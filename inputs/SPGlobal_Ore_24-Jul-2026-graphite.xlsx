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oecd-my.sharepoint.com/personal/wafa_houhamdi_oecd_org/Documents/Documents/cost curve/inputs/"/>
    </mc:Choice>
  </mc:AlternateContent>
  <xr:revisionPtr revIDLastSave="43" documentId="8_{495C6096-E5AE-4F16-B915-0DEBEC691B21}" xr6:coauthVersionLast="47" xr6:coauthVersionMax="47" xr10:uidLastSave="{D21218DB-0DC1-414E-A4E5-6CA0ACE24C93}"/>
  <bookViews>
    <workbookView xWindow="-110" yWindow="-110" windowWidth="19420" windowHeight="11500" firstSheet="4" activeTab="6" xr2:uid="{00000000-000D-0000-FFFF-FFFF00000000}"/>
  </bookViews>
  <sheets>
    <sheet name="__snloffice" sheetId="6" state="veryHidden" r:id="rId1"/>
    <sheet name="Ore" sheetId="1" r:id="rId2"/>
    <sheet name="Products Tonne" sheetId="2" r:id="rId3"/>
    <sheet name="Consolidated Products Tonne" sheetId="3" r:id="rId4"/>
    <sheet name="Cash Flow" sheetId="4" r:id="rId5"/>
    <sheet name="Ownership" sheetId="5" r:id="rId6"/>
    <sheet name="Ownership_txt" sheetId="7" r:id="rId7"/>
    <sheet name="Sheet2" sheetId="8" r:id="rId8"/>
    <sheet name="Public Companies Owners" sheetId="9" r:id="rId9"/>
  </sheets>
  <definedNames>
    <definedName name="_xlnm._FilterDatabase" localSheetId="5" hidden="1">Ownership!$A$6:$AN$20</definedName>
    <definedName name="_xlnm._FilterDatabase" localSheetId="6" hidden="1">Ownership_txt!$A$1:$AN$4</definedName>
    <definedName name="_xlnm._FilterDatabase" localSheetId="8" hidden="1">'Public Companies Owners'!$A$3:$Y$3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A6C8D5B_197A_48D2_83C6_00902882DAAA_" localSheetId="7" hidden="1">Sheet2!$N$3:$N$96</definedName>
    <definedName name="snl__0E5867F1_0885_4194_9CEF_B1838213DF20_" localSheetId="7" hidden="1">Sheet2!$U$3:$U$62</definedName>
    <definedName name="snl__11376430_9FDE_4837_ADBD_6113BFE83978_" localSheetId="7" hidden="1">Sheet2!$M$3:$M$96</definedName>
    <definedName name="snl__28E3DB26_F966_41EA_977C_9EA02A9D9939_" localSheetId="7" hidden="1">Sheet2!$B$3:$B$44</definedName>
    <definedName name="snl__39056B14_7C74_4CF4_841B_D9B07D1B4C3B_" localSheetId="7" hidden="1">Sheet2!$Q$3:$Q$15</definedName>
    <definedName name="snl__491EBCEB_E88F_496E_8F55_C0BCB04C62FB_" localSheetId="7" hidden="1">Sheet2!$R$3:$R$15</definedName>
    <definedName name="snl__5B1B806F_BEEA_4E3E_8E5F_7EBC50048609_" localSheetId="7" hidden="1">Sheet2!$D$3:$D$44</definedName>
    <definedName name="snl__6F3756D1_28B1_48A8_AD47_3055B6454F21_" localSheetId="7" hidden="1">Sheet2!$F$3:$F$4</definedName>
    <definedName name="snl__71D07C9B_B856_4FA0_8FC8_0AF84AE060CB_" localSheetId="7" hidden="1">Sheet2!$C$3:$C$44</definedName>
    <definedName name="snl__73FCD9AA_0901_4BE3_9BF6_3F56B369046A_" localSheetId="7" hidden="1">Sheet2!$I$3:$I$4</definedName>
    <definedName name="snl__74FFAC62_22F9_44B6_92A1_36FA95F15E84_" localSheetId="7" hidden="1">Sheet2!$V$3:$V$62</definedName>
    <definedName name="snl__77235A6A_5D83_4C79_AE41_EAC2601DB0D5_" localSheetId="7" hidden="1">Sheet2!$G$3:$G$4</definedName>
    <definedName name="snl__82AC265C_6742_4101_940C_9F763B71DF17_" localSheetId="7" hidden="1">Sheet2!$S$3:$S$15</definedName>
    <definedName name="snl__97799761_7663_445B_8945_31FE79E66EFF_" localSheetId="7" hidden="1">Sheet2!$X$3:$X$62</definedName>
    <definedName name="snl__9ECBF130_C360_457E_8F26_9314E9758778_" localSheetId="7" hidden="1">Sheet2!$L$3:$L$96</definedName>
    <definedName name="snl__B015851F_2B80_44A1_85F9_E64AE7F43425_" localSheetId="7" hidden="1">Sheet2!$P$3:$P$15</definedName>
    <definedName name="snl__B0E5D1E4_E042_41CB_8843_7F49AB7C53BA_" localSheetId="7" hidden="1">Sheet2!$A$3:$A$44</definedName>
    <definedName name="snl__C4E706AE_4633_497F_B83D_5CA0D42EBE42_" localSheetId="7" hidden="1">Sheet2!$H$3:$H$4</definedName>
    <definedName name="snl__CA4E703F_E0AE_49E4_9ADE_082F6382BB19_" localSheetId="7" hidden="1">Sheet2!$W$3:$W$62</definedName>
    <definedName name="snl__D6F1007F_9356_473E_AD21_232E56CEE1C9_" localSheetId="7" hidden="1">Sheet2!$K$3:$K$96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503" i="8" l="1"/>
  <c r="Y502" i="8"/>
  <c r="Y501" i="8"/>
  <c r="Y500" i="8"/>
  <c r="Y499" i="8"/>
  <c r="Y498" i="8"/>
  <c r="Y497" i="8"/>
  <c r="Y496" i="8"/>
  <c r="Y495" i="8"/>
  <c r="Y494" i="8"/>
  <c r="Y493" i="8"/>
  <c r="Y492" i="8"/>
  <c r="Y491" i="8"/>
  <c r="Y490" i="8"/>
  <c r="Y489" i="8"/>
  <c r="Y488" i="8"/>
  <c r="Y487" i="8"/>
  <c r="Y486" i="8"/>
  <c r="Y485" i="8"/>
  <c r="Y484" i="8"/>
  <c r="Y483" i="8"/>
  <c r="Y482" i="8"/>
  <c r="Y481" i="8"/>
  <c r="Y480" i="8"/>
  <c r="Y479" i="8"/>
  <c r="Y478" i="8"/>
  <c r="Y477" i="8"/>
  <c r="Y476" i="8"/>
  <c r="Y475" i="8"/>
  <c r="Y474" i="8"/>
  <c r="Y473" i="8"/>
  <c r="Y472" i="8"/>
  <c r="Y471" i="8"/>
  <c r="Y470" i="8"/>
  <c r="Y469" i="8"/>
  <c r="Y468" i="8"/>
  <c r="Y467" i="8"/>
  <c r="Y466" i="8"/>
  <c r="Y465" i="8"/>
  <c r="Y464" i="8"/>
  <c r="Y463" i="8"/>
  <c r="Y462" i="8"/>
  <c r="Y461" i="8"/>
  <c r="Y460" i="8"/>
  <c r="Y459" i="8"/>
  <c r="Y458" i="8"/>
  <c r="Y457" i="8"/>
  <c r="Y456" i="8"/>
  <c r="Y455" i="8"/>
  <c r="Y454" i="8"/>
  <c r="Y453" i="8"/>
  <c r="Y452" i="8"/>
  <c r="Y451" i="8"/>
  <c r="Y450" i="8"/>
  <c r="Y449" i="8"/>
  <c r="Y448" i="8"/>
  <c r="Y447" i="8"/>
  <c r="Y446" i="8"/>
  <c r="Y445" i="8"/>
  <c r="Y444" i="8"/>
  <c r="Y443" i="8"/>
  <c r="Y442" i="8"/>
  <c r="Y441" i="8"/>
  <c r="Y440" i="8"/>
  <c r="Y439" i="8"/>
  <c r="Y438" i="8"/>
  <c r="Y437" i="8"/>
  <c r="Y436" i="8"/>
  <c r="Y435" i="8"/>
  <c r="Y434" i="8"/>
  <c r="Y433" i="8"/>
  <c r="Y432" i="8"/>
  <c r="Y431" i="8"/>
  <c r="Y430" i="8"/>
  <c r="Y429" i="8"/>
  <c r="Y428" i="8"/>
  <c r="Y427" i="8"/>
  <c r="Y426" i="8"/>
  <c r="Y425" i="8"/>
  <c r="Y424" i="8"/>
  <c r="Y423" i="8"/>
  <c r="Y422" i="8"/>
  <c r="Y421" i="8"/>
  <c r="Y420" i="8"/>
  <c r="Y419" i="8"/>
  <c r="Y418" i="8"/>
  <c r="Y417" i="8"/>
  <c r="Y416" i="8"/>
  <c r="Y415" i="8"/>
  <c r="Y414" i="8"/>
  <c r="Y413" i="8"/>
  <c r="Y412" i="8"/>
  <c r="Y411" i="8"/>
  <c r="Y410" i="8"/>
  <c r="Y409" i="8"/>
  <c r="Y408" i="8"/>
  <c r="Y407" i="8"/>
  <c r="Y406" i="8"/>
  <c r="Y405" i="8"/>
  <c r="Y404" i="8"/>
  <c r="Y403" i="8"/>
  <c r="Y402" i="8"/>
  <c r="Y401" i="8"/>
  <c r="Y400" i="8"/>
  <c r="Y399" i="8"/>
  <c r="Y398" i="8"/>
  <c r="Y397" i="8"/>
  <c r="Y396" i="8"/>
  <c r="Y395" i="8"/>
  <c r="Y394" i="8"/>
  <c r="Y393" i="8"/>
  <c r="Y392" i="8"/>
  <c r="Y391" i="8"/>
  <c r="Y390" i="8"/>
  <c r="Y389" i="8"/>
  <c r="Y388" i="8"/>
  <c r="Y387" i="8"/>
  <c r="Y386" i="8"/>
  <c r="Y385" i="8"/>
  <c r="Y384" i="8"/>
  <c r="Y383" i="8"/>
  <c r="Y382" i="8"/>
  <c r="Y381" i="8"/>
  <c r="Y380" i="8"/>
  <c r="Y379" i="8"/>
  <c r="Y378" i="8"/>
  <c r="Y377" i="8"/>
  <c r="Y376" i="8"/>
  <c r="Y375" i="8"/>
  <c r="Y374" i="8"/>
  <c r="Y373" i="8"/>
  <c r="Y372" i="8"/>
  <c r="Y371" i="8"/>
  <c r="Y370" i="8"/>
  <c r="Y369" i="8"/>
  <c r="Y368" i="8"/>
  <c r="Y367" i="8"/>
  <c r="Y366" i="8"/>
  <c r="Y365" i="8"/>
  <c r="Y364" i="8"/>
  <c r="Y363" i="8"/>
  <c r="Y362" i="8"/>
  <c r="Y361" i="8"/>
  <c r="Y360" i="8"/>
  <c r="Y359" i="8"/>
  <c r="Y358" i="8"/>
  <c r="Y357" i="8"/>
  <c r="Y356" i="8"/>
  <c r="Y355" i="8"/>
  <c r="Y354" i="8"/>
  <c r="Y353" i="8"/>
  <c r="Y352" i="8"/>
  <c r="Y351" i="8"/>
  <c r="Y350" i="8"/>
  <c r="Y349" i="8"/>
  <c r="Y348" i="8"/>
  <c r="Y347" i="8"/>
  <c r="Y346" i="8"/>
  <c r="Y345" i="8"/>
  <c r="Y344" i="8"/>
  <c r="Y343" i="8"/>
  <c r="Y342" i="8"/>
  <c r="Y341" i="8"/>
  <c r="Y340" i="8"/>
  <c r="Y339" i="8"/>
  <c r="Y338" i="8"/>
  <c r="Y337" i="8"/>
  <c r="Y336" i="8"/>
  <c r="Y335" i="8"/>
  <c r="Y334" i="8"/>
  <c r="Y333" i="8"/>
  <c r="Y332" i="8"/>
  <c r="Y331" i="8"/>
  <c r="Y330" i="8"/>
  <c r="Y329" i="8"/>
  <c r="Y328" i="8"/>
  <c r="Y327" i="8"/>
  <c r="Y326" i="8"/>
  <c r="Y325" i="8"/>
  <c r="Y324" i="8"/>
  <c r="Y323" i="8"/>
  <c r="Y322" i="8"/>
  <c r="Y321" i="8"/>
  <c r="Y320" i="8"/>
  <c r="Y319" i="8"/>
  <c r="Y318" i="8"/>
  <c r="Y317" i="8"/>
  <c r="Y316" i="8"/>
  <c r="Y315" i="8"/>
  <c r="Y314" i="8"/>
  <c r="Y313" i="8"/>
  <c r="Y312" i="8"/>
  <c r="Y311" i="8"/>
  <c r="Y310" i="8"/>
  <c r="Y309" i="8"/>
  <c r="Y308" i="8"/>
  <c r="Y307" i="8"/>
  <c r="Y306" i="8"/>
  <c r="Y305" i="8"/>
  <c r="Y304" i="8"/>
  <c r="Y303" i="8"/>
  <c r="Y302" i="8"/>
  <c r="Y301" i="8"/>
  <c r="Y300" i="8"/>
  <c r="Y299" i="8"/>
  <c r="Y298" i="8"/>
  <c r="Y297" i="8"/>
  <c r="Y296" i="8"/>
  <c r="Y295" i="8"/>
  <c r="Y294" i="8"/>
  <c r="Y293" i="8"/>
  <c r="Y292" i="8"/>
  <c r="Y291" i="8"/>
  <c r="Y290" i="8"/>
  <c r="Y289" i="8"/>
  <c r="Y288" i="8"/>
  <c r="Y287" i="8"/>
  <c r="Y286" i="8"/>
  <c r="Y285" i="8"/>
  <c r="Y284" i="8"/>
  <c r="Y283" i="8"/>
  <c r="Y282" i="8"/>
  <c r="Y281" i="8"/>
  <c r="Y280" i="8"/>
  <c r="Y279" i="8"/>
  <c r="Y278" i="8"/>
  <c r="Y277" i="8"/>
  <c r="Y276" i="8"/>
  <c r="Y275" i="8"/>
  <c r="Y274" i="8"/>
  <c r="Y273" i="8"/>
  <c r="Y272" i="8"/>
  <c r="Y271" i="8"/>
  <c r="Y270" i="8"/>
  <c r="Y269" i="8"/>
  <c r="Y268" i="8"/>
  <c r="Y267" i="8"/>
  <c r="Y266" i="8"/>
  <c r="Y265" i="8"/>
  <c r="Y264" i="8"/>
  <c r="Y263" i="8"/>
  <c r="Y262" i="8"/>
  <c r="Y261" i="8"/>
  <c r="Y260" i="8"/>
  <c r="Y259" i="8"/>
  <c r="Y258" i="8"/>
  <c r="Y257" i="8"/>
  <c r="Y256" i="8"/>
  <c r="Y255" i="8"/>
  <c r="Y254" i="8"/>
  <c r="Y253" i="8"/>
  <c r="Y252" i="8"/>
  <c r="Y251" i="8"/>
  <c r="Y250" i="8"/>
  <c r="Y249" i="8"/>
  <c r="Y248" i="8"/>
  <c r="Y247" i="8"/>
  <c r="Y246" i="8"/>
  <c r="Y245" i="8"/>
  <c r="Y244" i="8"/>
  <c r="Y243" i="8"/>
  <c r="Y242" i="8"/>
  <c r="Y241" i="8"/>
  <c r="Y240" i="8"/>
  <c r="Y239" i="8"/>
  <c r="Y238" i="8"/>
  <c r="Y237" i="8"/>
  <c r="Y236" i="8"/>
  <c r="Y235" i="8"/>
  <c r="Y234" i="8"/>
  <c r="Y233" i="8"/>
  <c r="Y232" i="8"/>
  <c r="Y231" i="8"/>
  <c r="Y230" i="8"/>
  <c r="Y229" i="8"/>
  <c r="Y228" i="8"/>
  <c r="Y227" i="8"/>
  <c r="Y226" i="8"/>
  <c r="Y225" i="8"/>
  <c r="Y224" i="8"/>
  <c r="Y223" i="8"/>
  <c r="Y222" i="8"/>
  <c r="Y221" i="8"/>
  <c r="Y220" i="8"/>
  <c r="Y219" i="8"/>
  <c r="Y218" i="8"/>
  <c r="Y217" i="8"/>
  <c r="Y216" i="8"/>
  <c r="Y215" i="8"/>
  <c r="Y214" i="8"/>
  <c r="Y213" i="8"/>
  <c r="Y212" i="8"/>
  <c r="Y211" i="8"/>
  <c r="Y210" i="8"/>
  <c r="Y209" i="8"/>
  <c r="Y208" i="8"/>
  <c r="Y207" i="8"/>
  <c r="Y206" i="8"/>
  <c r="Y205" i="8"/>
  <c r="Y204" i="8"/>
  <c r="Y203" i="8"/>
  <c r="Y202" i="8"/>
  <c r="Y201" i="8"/>
  <c r="Y200" i="8"/>
  <c r="Y199" i="8"/>
  <c r="Y198" i="8"/>
  <c r="Y197" i="8"/>
  <c r="Y196" i="8"/>
  <c r="Y195" i="8"/>
  <c r="Y194" i="8"/>
  <c r="Y193" i="8"/>
  <c r="Y192" i="8"/>
  <c r="Y191" i="8"/>
  <c r="Y190" i="8"/>
  <c r="Y189" i="8"/>
  <c r="Y188" i="8"/>
  <c r="Y187" i="8"/>
  <c r="Y186" i="8"/>
  <c r="Y185" i="8"/>
  <c r="Y184" i="8"/>
  <c r="Y183" i="8"/>
  <c r="Y182" i="8"/>
  <c r="Y181" i="8"/>
  <c r="Y180" i="8"/>
  <c r="Y179" i="8"/>
  <c r="Y178" i="8"/>
  <c r="Y177" i="8"/>
  <c r="Y176" i="8"/>
  <c r="Y175" i="8"/>
  <c r="Y174" i="8"/>
  <c r="Y173" i="8"/>
  <c r="Y172" i="8"/>
  <c r="Y171" i="8"/>
  <c r="Y170" i="8"/>
  <c r="Y169" i="8"/>
  <c r="Y168" i="8"/>
  <c r="Y167" i="8"/>
  <c r="Y166" i="8"/>
  <c r="Y165" i="8"/>
  <c r="Y164" i="8"/>
  <c r="Y163" i="8"/>
  <c r="Y162" i="8"/>
  <c r="Y161" i="8"/>
  <c r="Y160" i="8"/>
  <c r="Y159" i="8"/>
  <c r="Y158" i="8"/>
  <c r="Y157" i="8"/>
  <c r="Y156" i="8"/>
  <c r="Y155" i="8"/>
  <c r="Y154" i="8"/>
  <c r="Y153" i="8"/>
  <c r="Y152" i="8"/>
  <c r="Y151" i="8"/>
  <c r="Y150" i="8"/>
  <c r="Y149" i="8"/>
  <c r="Y148" i="8"/>
  <c r="Y147" i="8"/>
  <c r="Y146" i="8"/>
  <c r="Y145" i="8"/>
  <c r="Y144" i="8"/>
  <c r="Y143" i="8"/>
  <c r="Y142" i="8"/>
  <c r="Y141" i="8"/>
  <c r="Y140" i="8"/>
  <c r="Y139" i="8"/>
  <c r="Y138" i="8"/>
  <c r="Y137" i="8"/>
  <c r="Y136" i="8"/>
  <c r="Y135" i="8"/>
  <c r="Y134" i="8"/>
  <c r="Y133" i="8"/>
  <c r="Y132" i="8"/>
  <c r="Y131" i="8"/>
  <c r="Y130" i="8"/>
  <c r="Y129" i="8"/>
  <c r="Y128" i="8"/>
  <c r="Y127" i="8"/>
  <c r="Y126" i="8"/>
  <c r="Y125" i="8"/>
  <c r="Y124" i="8"/>
  <c r="Y123" i="8"/>
  <c r="Y122" i="8"/>
  <c r="Y121" i="8"/>
  <c r="Y120" i="8"/>
  <c r="Y119" i="8"/>
  <c r="Y118" i="8"/>
  <c r="Y117" i="8"/>
  <c r="Y116" i="8"/>
  <c r="Y115" i="8"/>
  <c r="Y114" i="8"/>
  <c r="Y113" i="8"/>
  <c r="Y112" i="8"/>
  <c r="Y111" i="8"/>
  <c r="Y110" i="8"/>
  <c r="Y109" i="8"/>
  <c r="Y108" i="8"/>
  <c r="Y107" i="8"/>
  <c r="Y106" i="8"/>
  <c r="Y105" i="8"/>
  <c r="Y104" i="8"/>
  <c r="Y103" i="8"/>
  <c r="Y102" i="8"/>
  <c r="Y101" i="8"/>
  <c r="Y100" i="8"/>
  <c r="Y99" i="8"/>
  <c r="Y98" i="8"/>
  <c r="Y97" i="8"/>
  <c r="Y96" i="8"/>
  <c r="Y95" i="8"/>
  <c r="Y94" i="8"/>
  <c r="Y93" i="8"/>
  <c r="Y92" i="8"/>
  <c r="Y91" i="8"/>
  <c r="Y90" i="8"/>
  <c r="Y89" i="8"/>
  <c r="Y88" i="8"/>
  <c r="Y87" i="8"/>
  <c r="Y86" i="8"/>
  <c r="Y85" i="8"/>
  <c r="Y84" i="8"/>
  <c r="Y83" i="8"/>
  <c r="Y82" i="8"/>
  <c r="Y81" i="8"/>
  <c r="Y80" i="8"/>
  <c r="Y79" i="8"/>
  <c r="Y78" i="8"/>
  <c r="Y77" i="8"/>
  <c r="Y76" i="8"/>
  <c r="Y75" i="8"/>
  <c r="Y74" i="8"/>
  <c r="Y73" i="8"/>
  <c r="Y72" i="8"/>
  <c r="Y71" i="8"/>
  <c r="Y70" i="8"/>
  <c r="Y69" i="8"/>
  <c r="Y68" i="8"/>
  <c r="Y67" i="8"/>
  <c r="Y66" i="8"/>
  <c r="Y65" i="8"/>
  <c r="Y64" i="8"/>
  <c r="Y63" i="8"/>
  <c r="Y62" i="8"/>
  <c r="Y61" i="8"/>
  <c r="Y60" i="8"/>
  <c r="Y59" i="8"/>
  <c r="Y58" i="8"/>
  <c r="Y57" i="8"/>
  <c r="Y56" i="8"/>
  <c r="Y55" i="8"/>
  <c r="Y54" i="8"/>
  <c r="Y53" i="8"/>
  <c r="Y52" i="8"/>
  <c r="Y51" i="8"/>
  <c r="Y50" i="8"/>
  <c r="Y49" i="8"/>
  <c r="Y48" i="8"/>
  <c r="Y47" i="8"/>
  <c r="Y46" i="8"/>
  <c r="Y45" i="8"/>
  <c r="Y44" i="8"/>
  <c r="Y43" i="8"/>
  <c r="Y42" i="8"/>
  <c r="Y41" i="8"/>
  <c r="Y40" i="8"/>
  <c r="Y39" i="8"/>
  <c r="Y38" i="8"/>
  <c r="Y37" i="8"/>
  <c r="Y36" i="8"/>
  <c r="Y35" i="8"/>
  <c r="Y34" i="8"/>
  <c r="Y33" i="8"/>
  <c r="Y32" i="8"/>
  <c r="Y31" i="8"/>
  <c r="Y30" i="8"/>
  <c r="Y29" i="8"/>
  <c r="Y28" i="8"/>
  <c r="Y27" i="8"/>
  <c r="Y26" i="8"/>
  <c r="Y25" i="8"/>
  <c r="Y24" i="8"/>
  <c r="Y23" i="8"/>
  <c r="Y22" i="8"/>
  <c r="Y21" i="8"/>
  <c r="Y20" i="8"/>
  <c r="Y19" i="8"/>
  <c r="Y18" i="8"/>
  <c r="Y17" i="8"/>
  <c r="Y16" i="8"/>
  <c r="Y15" i="8"/>
  <c r="Y14" i="8"/>
  <c r="Y13" i="8"/>
  <c r="Y12" i="8"/>
  <c r="Y11" i="8"/>
  <c r="Y10" i="8"/>
  <c r="Y9" i="8"/>
  <c r="Y8" i="8"/>
  <c r="Y7" i="8"/>
  <c r="Y6" i="8"/>
  <c r="Y5" i="8"/>
  <c r="Y4" i="8"/>
  <c r="T503" i="8"/>
  <c r="T502" i="8"/>
  <c r="T501" i="8"/>
  <c r="T500" i="8"/>
  <c r="T499" i="8"/>
  <c r="T498" i="8"/>
  <c r="T497" i="8"/>
  <c r="T496" i="8"/>
  <c r="T495" i="8"/>
  <c r="T494" i="8"/>
  <c r="T493" i="8"/>
  <c r="T492" i="8"/>
  <c r="T491" i="8"/>
  <c r="T490" i="8"/>
  <c r="T489" i="8"/>
  <c r="T488" i="8"/>
  <c r="T487" i="8"/>
  <c r="T486" i="8"/>
  <c r="T485" i="8"/>
  <c r="T484" i="8"/>
  <c r="T483" i="8"/>
  <c r="T482" i="8"/>
  <c r="T481" i="8"/>
  <c r="T480" i="8"/>
  <c r="T479" i="8"/>
  <c r="T478" i="8"/>
  <c r="T477" i="8"/>
  <c r="T476" i="8"/>
  <c r="T475" i="8"/>
  <c r="T474" i="8"/>
  <c r="T473" i="8"/>
  <c r="T472" i="8"/>
  <c r="T471" i="8"/>
  <c r="T470" i="8"/>
  <c r="T469" i="8"/>
  <c r="T468" i="8"/>
  <c r="T467" i="8"/>
  <c r="T466" i="8"/>
  <c r="T465" i="8"/>
  <c r="T464" i="8"/>
  <c r="T463" i="8"/>
  <c r="T462" i="8"/>
  <c r="T461" i="8"/>
  <c r="T460" i="8"/>
  <c r="T459" i="8"/>
  <c r="T458" i="8"/>
  <c r="T457" i="8"/>
  <c r="T456" i="8"/>
  <c r="T455" i="8"/>
  <c r="T454" i="8"/>
  <c r="T453" i="8"/>
  <c r="T452" i="8"/>
  <c r="T451" i="8"/>
  <c r="T450" i="8"/>
  <c r="T449" i="8"/>
  <c r="T448" i="8"/>
  <c r="T447" i="8"/>
  <c r="T446" i="8"/>
  <c r="T445" i="8"/>
  <c r="T444" i="8"/>
  <c r="T443" i="8"/>
  <c r="T442" i="8"/>
  <c r="T441" i="8"/>
  <c r="T440" i="8"/>
  <c r="T439" i="8"/>
  <c r="T438" i="8"/>
  <c r="T437" i="8"/>
  <c r="T436" i="8"/>
  <c r="T435" i="8"/>
  <c r="T434" i="8"/>
  <c r="T433" i="8"/>
  <c r="T432" i="8"/>
  <c r="T431" i="8"/>
  <c r="T430" i="8"/>
  <c r="T429" i="8"/>
  <c r="T428" i="8"/>
  <c r="T427" i="8"/>
  <c r="T426" i="8"/>
  <c r="T425" i="8"/>
  <c r="T424" i="8"/>
  <c r="T423" i="8"/>
  <c r="T422" i="8"/>
  <c r="T421" i="8"/>
  <c r="T420" i="8"/>
  <c r="T419" i="8"/>
  <c r="T418" i="8"/>
  <c r="T417" i="8"/>
  <c r="T416" i="8"/>
  <c r="T415" i="8"/>
  <c r="T414" i="8"/>
  <c r="T413" i="8"/>
  <c r="T412" i="8"/>
  <c r="T411" i="8"/>
  <c r="T410" i="8"/>
  <c r="T409" i="8"/>
  <c r="T408" i="8"/>
  <c r="T407" i="8"/>
  <c r="T406" i="8"/>
  <c r="T405" i="8"/>
  <c r="T404" i="8"/>
  <c r="T403" i="8"/>
  <c r="T402" i="8"/>
  <c r="T401" i="8"/>
  <c r="T400" i="8"/>
  <c r="T399" i="8"/>
  <c r="T398" i="8"/>
  <c r="T397" i="8"/>
  <c r="T396" i="8"/>
  <c r="T395" i="8"/>
  <c r="T394" i="8"/>
  <c r="T393" i="8"/>
  <c r="T392" i="8"/>
  <c r="T391" i="8"/>
  <c r="T390" i="8"/>
  <c r="T389" i="8"/>
  <c r="T388" i="8"/>
  <c r="T387" i="8"/>
  <c r="T386" i="8"/>
  <c r="T385" i="8"/>
  <c r="T384" i="8"/>
  <c r="T383" i="8"/>
  <c r="T382" i="8"/>
  <c r="T381" i="8"/>
  <c r="T380" i="8"/>
  <c r="T379" i="8"/>
  <c r="T378" i="8"/>
  <c r="T377" i="8"/>
  <c r="T376" i="8"/>
  <c r="T375" i="8"/>
  <c r="T374" i="8"/>
  <c r="T373" i="8"/>
  <c r="T372" i="8"/>
  <c r="T371" i="8"/>
  <c r="T370" i="8"/>
  <c r="T369" i="8"/>
  <c r="T368" i="8"/>
  <c r="T367" i="8"/>
  <c r="T366" i="8"/>
  <c r="T365" i="8"/>
  <c r="T364" i="8"/>
  <c r="T363" i="8"/>
  <c r="T362" i="8"/>
  <c r="T361" i="8"/>
  <c r="T360" i="8"/>
  <c r="T359" i="8"/>
  <c r="T358" i="8"/>
  <c r="T357" i="8"/>
  <c r="T356" i="8"/>
  <c r="T355" i="8"/>
  <c r="T354" i="8"/>
  <c r="T353" i="8"/>
  <c r="T352" i="8"/>
  <c r="T351" i="8"/>
  <c r="T350" i="8"/>
  <c r="T349" i="8"/>
  <c r="T348" i="8"/>
  <c r="T347" i="8"/>
  <c r="T346" i="8"/>
  <c r="T345" i="8"/>
  <c r="T344" i="8"/>
  <c r="T343" i="8"/>
  <c r="T342" i="8"/>
  <c r="T341" i="8"/>
  <c r="T340" i="8"/>
  <c r="T339" i="8"/>
  <c r="T338" i="8"/>
  <c r="T337" i="8"/>
  <c r="T336" i="8"/>
  <c r="T335" i="8"/>
  <c r="T334" i="8"/>
  <c r="T333" i="8"/>
  <c r="T332" i="8"/>
  <c r="T331" i="8"/>
  <c r="T330" i="8"/>
  <c r="T329" i="8"/>
  <c r="T328" i="8"/>
  <c r="T327" i="8"/>
  <c r="T326" i="8"/>
  <c r="T325" i="8"/>
  <c r="T324" i="8"/>
  <c r="T323" i="8"/>
  <c r="T322" i="8"/>
  <c r="T321" i="8"/>
  <c r="T320" i="8"/>
  <c r="T319" i="8"/>
  <c r="T318" i="8"/>
  <c r="T317" i="8"/>
  <c r="T316" i="8"/>
  <c r="T315" i="8"/>
  <c r="T314" i="8"/>
  <c r="T313" i="8"/>
  <c r="T312" i="8"/>
  <c r="T311" i="8"/>
  <c r="T310" i="8"/>
  <c r="T309" i="8"/>
  <c r="T308" i="8"/>
  <c r="T307" i="8"/>
  <c r="T306" i="8"/>
  <c r="T305" i="8"/>
  <c r="T304" i="8"/>
  <c r="T303" i="8"/>
  <c r="T302" i="8"/>
  <c r="T301" i="8"/>
  <c r="T300" i="8"/>
  <c r="T299" i="8"/>
  <c r="T298" i="8"/>
  <c r="T297" i="8"/>
  <c r="T296" i="8"/>
  <c r="T295" i="8"/>
  <c r="T294" i="8"/>
  <c r="T293" i="8"/>
  <c r="T292" i="8"/>
  <c r="T291" i="8"/>
  <c r="T290" i="8"/>
  <c r="T289" i="8"/>
  <c r="T288" i="8"/>
  <c r="T287" i="8"/>
  <c r="T286" i="8"/>
  <c r="T285" i="8"/>
  <c r="T284" i="8"/>
  <c r="T283" i="8"/>
  <c r="T282" i="8"/>
  <c r="T281" i="8"/>
  <c r="T280" i="8"/>
  <c r="T279" i="8"/>
  <c r="T278" i="8"/>
  <c r="T277" i="8"/>
  <c r="T276" i="8"/>
  <c r="T275" i="8"/>
  <c r="T274" i="8"/>
  <c r="T273" i="8"/>
  <c r="T272" i="8"/>
  <c r="T271" i="8"/>
  <c r="T270" i="8"/>
  <c r="T269" i="8"/>
  <c r="T268" i="8"/>
  <c r="T267" i="8"/>
  <c r="T266" i="8"/>
  <c r="T265" i="8"/>
  <c r="T264" i="8"/>
  <c r="T263" i="8"/>
  <c r="T262" i="8"/>
  <c r="T261" i="8"/>
  <c r="T260" i="8"/>
  <c r="T259" i="8"/>
  <c r="T258" i="8"/>
  <c r="T257" i="8"/>
  <c r="T256" i="8"/>
  <c r="T255" i="8"/>
  <c r="T254" i="8"/>
  <c r="T253" i="8"/>
  <c r="T252" i="8"/>
  <c r="T251" i="8"/>
  <c r="T250" i="8"/>
  <c r="T249" i="8"/>
  <c r="T248" i="8"/>
  <c r="T247" i="8"/>
  <c r="T246" i="8"/>
  <c r="T245" i="8"/>
  <c r="T244" i="8"/>
  <c r="T243" i="8"/>
  <c r="T242" i="8"/>
  <c r="T241" i="8"/>
  <c r="T240" i="8"/>
  <c r="T239" i="8"/>
  <c r="T238" i="8"/>
  <c r="T237" i="8"/>
  <c r="T236" i="8"/>
  <c r="T235" i="8"/>
  <c r="T234" i="8"/>
  <c r="T233" i="8"/>
  <c r="T232" i="8"/>
  <c r="T231" i="8"/>
  <c r="T230" i="8"/>
  <c r="T229" i="8"/>
  <c r="T228" i="8"/>
  <c r="T227" i="8"/>
  <c r="T226" i="8"/>
  <c r="T225" i="8"/>
  <c r="T224" i="8"/>
  <c r="T223" i="8"/>
  <c r="T222" i="8"/>
  <c r="T221" i="8"/>
  <c r="T220" i="8"/>
  <c r="T219" i="8"/>
  <c r="T218" i="8"/>
  <c r="T217" i="8"/>
  <c r="T216" i="8"/>
  <c r="T215" i="8"/>
  <c r="T214" i="8"/>
  <c r="T213" i="8"/>
  <c r="T212" i="8"/>
  <c r="T211" i="8"/>
  <c r="T210" i="8"/>
  <c r="T209" i="8"/>
  <c r="T208" i="8"/>
  <c r="T207" i="8"/>
  <c r="T206" i="8"/>
  <c r="T205" i="8"/>
  <c r="T204" i="8"/>
  <c r="T203" i="8"/>
  <c r="T202" i="8"/>
  <c r="T201" i="8"/>
  <c r="T200" i="8"/>
  <c r="T199" i="8"/>
  <c r="T198" i="8"/>
  <c r="T197" i="8"/>
  <c r="T196" i="8"/>
  <c r="T195" i="8"/>
  <c r="T194" i="8"/>
  <c r="T193" i="8"/>
  <c r="T192" i="8"/>
  <c r="T191" i="8"/>
  <c r="T190" i="8"/>
  <c r="T189" i="8"/>
  <c r="T188" i="8"/>
  <c r="T187" i="8"/>
  <c r="T186" i="8"/>
  <c r="T185" i="8"/>
  <c r="T184" i="8"/>
  <c r="T183" i="8"/>
  <c r="T182" i="8"/>
  <c r="T181" i="8"/>
  <c r="T180" i="8"/>
  <c r="T179" i="8"/>
  <c r="T178" i="8"/>
  <c r="T177" i="8"/>
  <c r="T176" i="8"/>
  <c r="T175" i="8"/>
  <c r="T174" i="8"/>
  <c r="T173" i="8"/>
  <c r="T172" i="8"/>
  <c r="T171" i="8"/>
  <c r="T170" i="8"/>
  <c r="T169" i="8"/>
  <c r="T168" i="8"/>
  <c r="T167" i="8"/>
  <c r="T166" i="8"/>
  <c r="T165" i="8"/>
  <c r="T164" i="8"/>
  <c r="T163" i="8"/>
  <c r="T162" i="8"/>
  <c r="T161" i="8"/>
  <c r="T160" i="8"/>
  <c r="T159" i="8"/>
  <c r="T158" i="8"/>
  <c r="T157" i="8"/>
  <c r="T156" i="8"/>
  <c r="T155" i="8"/>
  <c r="T154" i="8"/>
  <c r="T153" i="8"/>
  <c r="T152" i="8"/>
  <c r="T151" i="8"/>
  <c r="T150" i="8"/>
  <c r="T149" i="8"/>
  <c r="T148" i="8"/>
  <c r="T147" i="8"/>
  <c r="T146" i="8"/>
  <c r="T145" i="8"/>
  <c r="T144" i="8"/>
  <c r="T143" i="8"/>
  <c r="T142" i="8"/>
  <c r="T141" i="8"/>
  <c r="T140" i="8"/>
  <c r="T139" i="8"/>
  <c r="T138" i="8"/>
  <c r="T137" i="8"/>
  <c r="T136" i="8"/>
  <c r="T135" i="8"/>
  <c r="T134" i="8"/>
  <c r="T133" i="8"/>
  <c r="T132" i="8"/>
  <c r="T131" i="8"/>
  <c r="T130" i="8"/>
  <c r="T129" i="8"/>
  <c r="T128" i="8"/>
  <c r="T127" i="8"/>
  <c r="T126" i="8"/>
  <c r="T125" i="8"/>
  <c r="T124" i="8"/>
  <c r="T123" i="8"/>
  <c r="T122" i="8"/>
  <c r="T121" i="8"/>
  <c r="T120" i="8"/>
  <c r="T119" i="8"/>
  <c r="T118" i="8"/>
  <c r="T117" i="8"/>
  <c r="T116" i="8"/>
  <c r="T115" i="8"/>
  <c r="T114" i="8"/>
  <c r="T113" i="8"/>
  <c r="T112" i="8"/>
  <c r="T111" i="8"/>
  <c r="T110" i="8"/>
  <c r="T109" i="8"/>
  <c r="T108" i="8"/>
  <c r="T107" i="8"/>
  <c r="T106" i="8"/>
  <c r="T105" i="8"/>
  <c r="T104" i="8"/>
  <c r="T103" i="8"/>
  <c r="T102" i="8"/>
  <c r="T101" i="8"/>
  <c r="T100" i="8"/>
  <c r="T99" i="8"/>
  <c r="T98" i="8"/>
  <c r="T97" i="8"/>
  <c r="T96" i="8"/>
  <c r="T95" i="8"/>
  <c r="T94" i="8"/>
  <c r="T93" i="8"/>
  <c r="T92" i="8"/>
  <c r="T91" i="8"/>
  <c r="T90" i="8"/>
  <c r="T89" i="8"/>
  <c r="T88" i="8"/>
  <c r="T87" i="8"/>
  <c r="T86" i="8"/>
  <c r="T85" i="8"/>
  <c r="T84" i="8"/>
  <c r="T83" i="8"/>
  <c r="T82" i="8"/>
  <c r="T81" i="8"/>
  <c r="T80" i="8"/>
  <c r="T79" i="8"/>
  <c r="T78" i="8"/>
  <c r="T77" i="8"/>
  <c r="T76" i="8"/>
  <c r="T75" i="8"/>
  <c r="T74" i="8"/>
  <c r="T73" i="8"/>
  <c r="T72" i="8"/>
  <c r="T71" i="8"/>
  <c r="T70" i="8"/>
  <c r="T69" i="8"/>
  <c r="T68" i="8"/>
  <c r="T67" i="8"/>
  <c r="T66" i="8"/>
  <c r="T65" i="8"/>
  <c r="T64" i="8"/>
  <c r="T63" i="8"/>
  <c r="T62" i="8"/>
  <c r="T61" i="8"/>
  <c r="T60" i="8"/>
  <c r="T59" i="8"/>
  <c r="T58" i="8"/>
  <c r="T57" i="8"/>
  <c r="T56" i="8"/>
  <c r="T55" i="8"/>
  <c r="T54" i="8"/>
  <c r="T53" i="8"/>
  <c r="T52" i="8"/>
  <c r="T51" i="8"/>
  <c r="T50" i="8"/>
  <c r="T49" i="8"/>
  <c r="T48" i="8"/>
  <c r="T47" i="8"/>
  <c r="T46" i="8"/>
  <c r="T45" i="8"/>
  <c r="T44" i="8"/>
  <c r="T43" i="8"/>
  <c r="T42" i="8"/>
  <c r="T41" i="8"/>
  <c r="T40" i="8"/>
  <c r="T39" i="8"/>
  <c r="T38" i="8"/>
  <c r="T37" i="8"/>
  <c r="T36" i="8"/>
  <c r="T35" i="8"/>
  <c r="T34" i="8"/>
  <c r="T33" i="8"/>
  <c r="T32" i="8"/>
  <c r="T31" i="8"/>
  <c r="T30" i="8"/>
  <c r="T29" i="8"/>
  <c r="T28" i="8"/>
  <c r="T27" i="8"/>
  <c r="T26" i="8"/>
  <c r="T25" i="8"/>
  <c r="T24" i="8"/>
  <c r="T23" i="8"/>
  <c r="T22" i="8"/>
  <c r="T21" i="8"/>
  <c r="T20" i="8"/>
  <c r="T19" i="8"/>
  <c r="T18" i="8"/>
  <c r="T17" i="8"/>
  <c r="T16" i="8"/>
  <c r="T15" i="8"/>
  <c r="T14" i="8"/>
  <c r="T13" i="8"/>
  <c r="T12" i="8"/>
  <c r="T11" i="8"/>
  <c r="T10" i="8"/>
  <c r="T9" i="8"/>
  <c r="T8" i="8"/>
  <c r="T7" i="8"/>
  <c r="T6" i="8"/>
  <c r="T5" i="8"/>
  <c r="T4" i="8"/>
  <c r="O503" i="8"/>
  <c r="O502" i="8"/>
  <c r="O501" i="8"/>
  <c r="O500" i="8"/>
  <c r="O499" i="8"/>
  <c r="O498" i="8"/>
  <c r="O497" i="8"/>
  <c r="O496" i="8"/>
  <c r="O495" i="8"/>
  <c r="O494" i="8"/>
  <c r="O493" i="8"/>
  <c r="O492" i="8"/>
  <c r="O491" i="8"/>
  <c r="O490" i="8"/>
  <c r="O489" i="8"/>
  <c r="O488" i="8"/>
  <c r="O487" i="8"/>
  <c r="O486" i="8"/>
  <c r="O485" i="8"/>
  <c r="O484" i="8"/>
  <c r="O483" i="8"/>
  <c r="O482" i="8"/>
  <c r="O481" i="8"/>
  <c r="O480" i="8"/>
  <c r="O479" i="8"/>
  <c r="O478" i="8"/>
  <c r="O477" i="8"/>
  <c r="O476" i="8"/>
  <c r="O475" i="8"/>
  <c r="O474" i="8"/>
  <c r="O473" i="8"/>
  <c r="O472" i="8"/>
  <c r="O471" i="8"/>
  <c r="O470" i="8"/>
  <c r="O469" i="8"/>
  <c r="O468" i="8"/>
  <c r="O467" i="8"/>
  <c r="O466" i="8"/>
  <c r="O465" i="8"/>
  <c r="O464" i="8"/>
  <c r="O463" i="8"/>
  <c r="O462" i="8"/>
  <c r="O461" i="8"/>
  <c r="O460" i="8"/>
  <c r="O459" i="8"/>
  <c r="O458" i="8"/>
  <c r="O457" i="8"/>
  <c r="O456" i="8"/>
  <c r="O455" i="8"/>
  <c r="O454" i="8"/>
  <c r="O453" i="8"/>
  <c r="O452" i="8"/>
  <c r="O451" i="8"/>
  <c r="O450" i="8"/>
  <c r="O449" i="8"/>
  <c r="O448" i="8"/>
  <c r="O447" i="8"/>
  <c r="O446" i="8"/>
  <c r="O445" i="8"/>
  <c r="O444" i="8"/>
  <c r="O443" i="8"/>
  <c r="O442" i="8"/>
  <c r="O441" i="8"/>
  <c r="O440" i="8"/>
  <c r="O439" i="8"/>
  <c r="O438" i="8"/>
  <c r="O437" i="8"/>
  <c r="O436" i="8"/>
  <c r="O435" i="8"/>
  <c r="O434" i="8"/>
  <c r="O433" i="8"/>
  <c r="O432" i="8"/>
  <c r="O431" i="8"/>
  <c r="O430" i="8"/>
  <c r="O429" i="8"/>
  <c r="O428" i="8"/>
  <c r="O427" i="8"/>
  <c r="O426" i="8"/>
  <c r="O425" i="8"/>
  <c r="O424" i="8"/>
  <c r="O423" i="8"/>
  <c r="O422" i="8"/>
  <c r="O421" i="8"/>
  <c r="O420" i="8"/>
  <c r="O419" i="8"/>
  <c r="O418" i="8"/>
  <c r="O417" i="8"/>
  <c r="O416" i="8"/>
  <c r="O415" i="8"/>
  <c r="O414" i="8"/>
  <c r="O413" i="8"/>
  <c r="O412" i="8"/>
  <c r="O411" i="8"/>
  <c r="O410" i="8"/>
  <c r="O409" i="8"/>
  <c r="O408" i="8"/>
  <c r="O407" i="8"/>
  <c r="O406" i="8"/>
  <c r="O405" i="8"/>
  <c r="O404" i="8"/>
  <c r="O403" i="8"/>
  <c r="O402" i="8"/>
  <c r="O401" i="8"/>
  <c r="O400" i="8"/>
  <c r="O399" i="8"/>
  <c r="O398" i="8"/>
  <c r="O397" i="8"/>
  <c r="O396" i="8"/>
  <c r="O395" i="8"/>
  <c r="O394" i="8"/>
  <c r="O393" i="8"/>
  <c r="O392" i="8"/>
  <c r="O391" i="8"/>
  <c r="O390" i="8"/>
  <c r="O389" i="8"/>
  <c r="O388" i="8"/>
  <c r="O387" i="8"/>
  <c r="O386" i="8"/>
  <c r="O385" i="8"/>
  <c r="O384" i="8"/>
  <c r="O383" i="8"/>
  <c r="O382" i="8"/>
  <c r="O381" i="8"/>
  <c r="O380" i="8"/>
  <c r="O379" i="8"/>
  <c r="O378" i="8"/>
  <c r="O377" i="8"/>
  <c r="O376" i="8"/>
  <c r="O375" i="8"/>
  <c r="O374" i="8"/>
  <c r="O373" i="8"/>
  <c r="O372" i="8"/>
  <c r="O371" i="8"/>
  <c r="O370" i="8"/>
  <c r="O369" i="8"/>
  <c r="O368" i="8"/>
  <c r="O367" i="8"/>
  <c r="O366" i="8"/>
  <c r="O365" i="8"/>
  <c r="O364" i="8"/>
  <c r="O363" i="8"/>
  <c r="O362" i="8"/>
  <c r="O361" i="8"/>
  <c r="O360" i="8"/>
  <c r="O359" i="8"/>
  <c r="O358" i="8"/>
  <c r="O357" i="8"/>
  <c r="O356" i="8"/>
  <c r="O355" i="8"/>
  <c r="O354" i="8"/>
  <c r="O353" i="8"/>
  <c r="O352" i="8"/>
  <c r="O351" i="8"/>
  <c r="O350" i="8"/>
  <c r="O349" i="8"/>
  <c r="O348" i="8"/>
  <c r="O347" i="8"/>
  <c r="O346" i="8"/>
  <c r="O345" i="8"/>
  <c r="O344" i="8"/>
  <c r="O343" i="8"/>
  <c r="O342" i="8"/>
  <c r="O341" i="8"/>
  <c r="O340" i="8"/>
  <c r="O339" i="8"/>
  <c r="O338" i="8"/>
  <c r="O337" i="8"/>
  <c r="O336" i="8"/>
  <c r="O335" i="8"/>
  <c r="O334" i="8"/>
  <c r="O333" i="8"/>
  <c r="O332" i="8"/>
  <c r="O331" i="8"/>
  <c r="O330" i="8"/>
  <c r="O329" i="8"/>
  <c r="O328" i="8"/>
  <c r="O327" i="8"/>
  <c r="O326" i="8"/>
  <c r="O325" i="8"/>
  <c r="O324" i="8"/>
  <c r="O323" i="8"/>
  <c r="O322" i="8"/>
  <c r="O321" i="8"/>
  <c r="O320" i="8"/>
  <c r="O319" i="8"/>
  <c r="O318" i="8"/>
  <c r="O317" i="8"/>
  <c r="O316" i="8"/>
  <c r="O315" i="8"/>
  <c r="O314" i="8"/>
  <c r="O313" i="8"/>
  <c r="O312" i="8"/>
  <c r="O311" i="8"/>
  <c r="O310" i="8"/>
  <c r="O309" i="8"/>
  <c r="O308" i="8"/>
  <c r="O307" i="8"/>
  <c r="O306" i="8"/>
  <c r="O305" i="8"/>
  <c r="O304" i="8"/>
  <c r="O303" i="8"/>
  <c r="O302" i="8"/>
  <c r="O301" i="8"/>
  <c r="O300" i="8"/>
  <c r="O299" i="8"/>
  <c r="O298" i="8"/>
  <c r="O297" i="8"/>
  <c r="O296" i="8"/>
  <c r="O295" i="8"/>
  <c r="O294" i="8"/>
  <c r="O293" i="8"/>
  <c r="O292" i="8"/>
  <c r="O291" i="8"/>
  <c r="O290" i="8"/>
  <c r="O289" i="8"/>
  <c r="O288" i="8"/>
  <c r="O287" i="8"/>
  <c r="O286" i="8"/>
  <c r="O285" i="8"/>
  <c r="O284" i="8"/>
  <c r="O283" i="8"/>
  <c r="O282" i="8"/>
  <c r="O281" i="8"/>
  <c r="O280" i="8"/>
  <c r="O279" i="8"/>
  <c r="O278" i="8"/>
  <c r="O277" i="8"/>
  <c r="O276" i="8"/>
  <c r="O275" i="8"/>
  <c r="O274" i="8"/>
  <c r="O273" i="8"/>
  <c r="O272" i="8"/>
  <c r="O271" i="8"/>
  <c r="O270" i="8"/>
  <c r="O269" i="8"/>
  <c r="O268" i="8"/>
  <c r="O267" i="8"/>
  <c r="O266" i="8"/>
  <c r="O265" i="8"/>
  <c r="O264" i="8"/>
  <c r="O263" i="8"/>
  <c r="O262" i="8"/>
  <c r="O261" i="8"/>
  <c r="O260" i="8"/>
  <c r="O259" i="8"/>
  <c r="O258" i="8"/>
  <c r="O257" i="8"/>
  <c r="O256" i="8"/>
  <c r="O255" i="8"/>
  <c r="O254" i="8"/>
  <c r="O253" i="8"/>
  <c r="O252" i="8"/>
  <c r="O251" i="8"/>
  <c r="O250" i="8"/>
  <c r="O249" i="8"/>
  <c r="O248" i="8"/>
  <c r="O247" i="8"/>
  <c r="O246" i="8"/>
  <c r="O245" i="8"/>
  <c r="O244" i="8"/>
  <c r="O243" i="8"/>
  <c r="O242" i="8"/>
  <c r="O241" i="8"/>
  <c r="O240" i="8"/>
  <c r="O239" i="8"/>
  <c r="O238" i="8"/>
  <c r="O237" i="8"/>
  <c r="O236" i="8"/>
  <c r="O235" i="8"/>
  <c r="O234" i="8"/>
  <c r="O233" i="8"/>
  <c r="O232" i="8"/>
  <c r="O231" i="8"/>
  <c r="O230" i="8"/>
  <c r="O229" i="8"/>
  <c r="O228" i="8"/>
  <c r="O227" i="8"/>
  <c r="O226" i="8"/>
  <c r="O225" i="8"/>
  <c r="O224" i="8"/>
  <c r="O223" i="8"/>
  <c r="O222" i="8"/>
  <c r="O221" i="8"/>
  <c r="O220" i="8"/>
  <c r="O219" i="8"/>
  <c r="O218" i="8"/>
  <c r="O217" i="8"/>
  <c r="O216" i="8"/>
  <c r="O215" i="8"/>
  <c r="O214" i="8"/>
  <c r="O213" i="8"/>
  <c r="O212" i="8"/>
  <c r="O211" i="8"/>
  <c r="O210" i="8"/>
  <c r="O209" i="8"/>
  <c r="O208" i="8"/>
  <c r="O207" i="8"/>
  <c r="O206" i="8"/>
  <c r="O205" i="8"/>
  <c r="O204" i="8"/>
  <c r="O203" i="8"/>
  <c r="O202" i="8"/>
  <c r="O201" i="8"/>
  <c r="O200" i="8"/>
  <c r="O199" i="8"/>
  <c r="O198" i="8"/>
  <c r="O197" i="8"/>
  <c r="O196" i="8"/>
  <c r="O195" i="8"/>
  <c r="O194" i="8"/>
  <c r="O193" i="8"/>
  <c r="O192" i="8"/>
  <c r="O191" i="8"/>
  <c r="O190" i="8"/>
  <c r="O189" i="8"/>
  <c r="O188" i="8"/>
  <c r="O187" i="8"/>
  <c r="O186" i="8"/>
  <c r="O185" i="8"/>
  <c r="O184" i="8"/>
  <c r="O183" i="8"/>
  <c r="O182" i="8"/>
  <c r="O181" i="8"/>
  <c r="O180" i="8"/>
  <c r="O179" i="8"/>
  <c r="O178" i="8"/>
  <c r="O177" i="8"/>
  <c r="O176" i="8"/>
  <c r="O175" i="8"/>
  <c r="O174" i="8"/>
  <c r="O173" i="8"/>
  <c r="O172" i="8"/>
  <c r="O171" i="8"/>
  <c r="O170" i="8"/>
  <c r="O169" i="8"/>
  <c r="O168" i="8"/>
  <c r="O167" i="8"/>
  <c r="O166" i="8"/>
  <c r="O165" i="8"/>
  <c r="O164" i="8"/>
  <c r="O163" i="8"/>
  <c r="O162" i="8"/>
  <c r="O161" i="8"/>
  <c r="O160" i="8"/>
  <c r="O159" i="8"/>
  <c r="O158" i="8"/>
  <c r="O157" i="8"/>
  <c r="O156" i="8"/>
  <c r="O155" i="8"/>
  <c r="O154" i="8"/>
  <c r="O153" i="8"/>
  <c r="O152" i="8"/>
  <c r="O151" i="8"/>
  <c r="O150" i="8"/>
  <c r="O149" i="8"/>
  <c r="O148" i="8"/>
  <c r="O147" i="8"/>
  <c r="O146" i="8"/>
  <c r="O145" i="8"/>
  <c r="O144" i="8"/>
  <c r="O143" i="8"/>
  <c r="O142" i="8"/>
  <c r="O141" i="8"/>
  <c r="O140" i="8"/>
  <c r="O139" i="8"/>
  <c r="O138" i="8"/>
  <c r="O137" i="8"/>
  <c r="O136" i="8"/>
  <c r="O135" i="8"/>
  <c r="O134" i="8"/>
  <c r="O133" i="8"/>
  <c r="O132" i="8"/>
  <c r="O131" i="8"/>
  <c r="O130" i="8"/>
  <c r="O129" i="8"/>
  <c r="O128" i="8"/>
  <c r="O127" i="8"/>
  <c r="O126" i="8"/>
  <c r="O125" i="8"/>
  <c r="O124" i="8"/>
  <c r="O123" i="8"/>
  <c r="O122" i="8"/>
  <c r="O121" i="8"/>
  <c r="O120" i="8"/>
  <c r="O119" i="8"/>
  <c r="O118" i="8"/>
  <c r="O117" i="8"/>
  <c r="O116" i="8"/>
  <c r="O115" i="8"/>
  <c r="O114" i="8"/>
  <c r="O113" i="8"/>
  <c r="O112" i="8"/>
  <c r="O111" i="8"/>
  <c r="O110" i="8"/>
  <c r="O109" i="8"/>
  <c r="O108" i="8"/>
  <c r="O107" i="8"/>
  <c r="O106" i="8"/>
  <c r="O105" i="8"/>
  <c r="O104" i="8"/>
  <c r="O103" i="8"/>
  <c r="O102" i="8"/>
  <c r="O101" i="8"/>
  <c r="O100" i="8"/>
  <c r="O99" i="8"/>
  <c r="O98" i="8"/>
  <c r="O97" i="8"/>
  <c r="O96" i="8"/>
  <c r="O95" i="8"/>
  <c r="O94" i="8"/>
  <c r="O93" i="8"/>
  <c r="O92" i="8"/>
  <c r="O91" i="8"/>
  <c r="O90" i="8"/>
  <c r="O89" i="8"/>
  <c r="O88" i="8"/>
  <c r="O87" i="8"/>
  <c r="O86" i="8"/>
  <c r="O85" i="8"/>
  <c r="O84" i="8"/>
  <c r="O83" i="8"/>
  <c r="O82" i="8"/>
  <c r="O81" i="8"/>
  <c r="O80" i="8"/>
  <c r="O79" i="8"/>
  <c r="O78" i="8"/>
  <c r="O77" i="8"/>
  <c r="O76" i="8"/>
  <c r="O75" i="8"/>
  <c r="O74" i="8"/>
  <c r="O73" i="8"/>
  <c r="O72" i="8"/>
  <c r="O71" i="8"/>
  <c r="O70" i="8"/>
  <c r="O69" i="8"/>
  <c r="O68" i="8"/>
  <c r="O67" i="8"/>
  <c r="O66" i="8"/>
  <c r="O65" i="8"/>
  <c r="O64" i="8"/>
  <c r="O63" i="8"/>
  <c r="O62" i="8"/>
  <c r="O61" i="8"/>
  <c r="O60" i="8"/>
  <c r="O59" i="8"/>
  <c r="O58" i="8"/>
  <c r="O57" i="8"/>
  <c r="O56" i="8"/>
  <c r="O55" i="8"/>
  <c r="O54" i="8"/>
  <c r="O53" i="8"/>
  <c r="O52" i="8"/>
  <c r="O51" i="8"/>
  <c r="O50" i="8"/>
  <c r="O49" i="8"/>
  <c r="O48" i="8"/>
  <c r="O47" i="8"/>
  <c r="O46" i="8"/>
  <c r="O45" i="8"/>
  <c r="O44" i="8"/>
  <c r="O43" i="8"/>
  <c r="O42" i="8"/>
  <c r="O41" i="8"/>
  <c r="O40" i="8"/>
  <c r="O39" i="8"/>
  <c r="O38" i="8"/>
  <c r="O37" i="8"/>
  <c r="O36" i="8"/>
  <c r="O35" i="8"/>
  <c r="O34" i="8"/>
  <c r="O33" i="8"/>
  <c r="O32" i="8"/>
  <c r="O31" i="8"/>
  <c r="O30" i="8"/>
  <c r="O29" i="8"/>
  <c r="O28" i="8"/>
  <c r="O27" i="8"/>
  <c r="O26" i="8"/>
  <c r="O25" i="8"/>
  <c r="O24" i="8"/>
  <c r="O23" i="8"/>
  <c r="O22" i="8"/>
  <c r="O21" i="8"/>
  <c r="O20" i="8"/>
  <c r="O19" i="8"/>
  <c r="O18" i="8"/>
  <c r="O17" i="8"/>
  <c r="O16" i="8"/>
  <c r="O15" i="8"/>
  <c r="O14" i="8"/>
  <c r="O13" i="8"/>
  <c r="O12" i="8"/>
  <c r="O11" i="8"/>
  <c r="O10" i="8"/>
  <c r="O9" i="8"/>
  <c r="O8" i="8"/>
  <c r="O7" i="8"/>
  <c r="O6" i="8"/>
  <c r="O5" i="8"/>
  <c r="O4" i="8"/>
  <c r="E503" i="8"/>
  <c r="E502" i="8"/>
  <c r="E501" i="8"/>
  <c r="E500" i="8"/>
  <c r="E499" i="8"/>
  <c r="E498" i="8"/>
  <c r="E497" i="8"/>
  <c r="E496" i="8"/>
  <c r="E495" i="8"/>
  <c r="E494" i="8"/>
  <c r="E493" i="8"/>
  <c r="E492" i="8"/>
  <c r="E491" i="8"/>
  <c r="E490" i="8"/>
  <c r="E489" i="8"/>
  <c r="E488" i="8"/>
  <c r="E487" i="8"/>
  <c r="E486" i="8"/>
  <c r="E485" i="8"/>
  <c r="E484" i="8"/>
  <c r="E483" i="8"/>
  <c r="E482" i="8"/>
  <c r="E481" i="8"/>
  <c r="E480" i="8"/>
  <c r="E479" i="8"/>
  <c r="E478" i="8"/>
  <c r="E477" i="8"/>
  <c r="E476" i="8"/>
  <c r="E475" i="8"/>
  <c r="E474" i="8"/>
  <c r="E473" i="8"/>
  <c r="E472" i="8"/>
  <c r="E471" i="8"/>
  <c r="E470" i="8"/>
  <c r="E469" i="8"/>
  <c r="E468" i="8"/>
  <c r="E467" i="8"/>
  <c r="E466" i="8"/>
  <c r="E465" i="8"/>
  <c r="E464" i="8"/>
  <c r="E463" i="8"/>
  <c r="E462" i="8"/>
  <c r="E461" i="8"/>
  <c r="E460" i="8"/>
  <c r="E459" i="8"/>
  <c r="E458" i="8"/>
  <c r="E457" i="8"/>
  <c r="E456" i="8"/>
  <c r="E455" i="8"/>
  <c r="E454" i="8"/>
  <c r="E453" i="8"/>
  <c r="E452" i="8"/>
  <c r="E451" i="8"/>
  <c r="E450" i="8"/>
  <c r="E449" i="8"/>
  <c r="E448" i="8"/>
  <c r="E447" i="8"/>
  <c r="E446" i="8"/>
  <c r="E445" i="8"/>
  <c r="E444" i="8"/>
  <c r="E443" i="8"/>
  <c r="E442" i="8"/>
  <c r="E441" i="8"/>
  <c r="E440" i="8"/>
  <c r="E439" i="8"/>
  <c r="E438" i="8"/>
  <c r="E437" i="8"/>
  <c r="E436" i="8"/>
  <c r="E435" i="8"/>
  <c r="E434" i="8"/>
  <c r="E433" i="8"/>
  <c r="E432" i="8"/>
  <c r="E431" i="8"/>
  <c r="E430" i="8"/>
  <c r="E429" i="8"/>
  <c r="E428" i="8"/>
  <c r="E427" i="8"/>
  <c r="E426" i="8"/>
  <c r="E425" i="8"/>
  <c r="E424" i="8"/>
  <c r="E423" i="8"/>
  <c r="E422" i="8"/>
  <c r="E421" i="8"/>
  <c r="E420" i="8"/>
  <c r="E419" i="8"/>
  <c r="E418" i="8"/>
  <c r="E417" i="8"/>
  <c r="E416" i="8"/>
  <c r="E415" i="8"/>
  <c r="E414" i="8"/>
  <c r="E413" i="8"/>
  <c r="E412" i="8"/>
  <c r="E411" i="8"/>
  <c r="E410" i="8"/>
  <c r="E409" i="8"/>
  <c r="E408" i="8"/>
  <c r="E407" i="8"/>
  <c r="E406" i="8"/>
  <c r="E405" i="8"/>
  <c r="E404" i="8"/>
  <c r="E403" i="8"/>
  <c r="E402" i="8"/>
  <c r="E401" i="8"/>
  <c r="E400" i="8"/>
  <c r="E399" i="8"/>
  <c r="E398" i="8"/>
  <c r="E397" i="8"/>
  <c r="E396" i="8"/>
  <c r="E395" i="8"/>
  <c r="E394" i="8"/>
  <c r="E393" i="8"/>
  <c r="E392" i="8"/>
  <c r="E391" i="8"/>
  <c r="E390" i="8"/>
  <c r="E389" i="8"/>
  <c r="E388" i="8"/>
  <c r="E387" i="8"/>
  <c r="E386" i="8"/>
  <c r="E385" i="8"/>
  <c r="E384" i="8"/>
  <c r="E383" i="8"/>
  <c r="E382" i="8"/>
  <c r="E381" i="8"/>
  <c r="E380" i="8"/>
  <c r="E379" i="8"/>
  <c r="E378" i="8"/>
  <c r="E377" i="8"/>
  <c r="E376" i="8"/>
  <c r="E375" i="8"/>
  <c r="E374" i="8"/>
  <c r="E373" i="8"/>
  <c r="E372" i="8"/>
  <c r="E371" i="8"/>
  <c r="E370" i="8"/>
  <c r="E369" i="8"/>
  <c r="E368" i="8"/>
  <c r="E367" i="8"/>
  <c r="E366" i="8"/>
  <c r="E365" i="8"/>
  <c r="E364" i="8"/>
  <c r="E363" i="8"/>
  <c r="E362" i="8"/>
  <c r="E361" i="8"/>
  <c r="E360" i="8"/>
  <c r="E359" i="8"/>
  <c r="E358" i="8"/>
  <c r="E357" i="8"/>
  <c r="E356" i="8"/>
  <c r="E355" i="8"/>
  <c r="E354" i="8"/>
  <c r="E353" i="8"/>
  <c r="E352" i="8"/>
  <c r="E351" i="8"/>
  <c r="E350" i="8"/>
  <c r="E349" i="8"/>
  <c r="E348" i="8"/>
  <c r="E347" i="8"/>
  <c r="E346" i="8"/>
  <c r="E345" i="8"/>
  <c r="E344" i="8"/>
  <c r="E343" i="8"/>
  <c r="E342" i="8"/>
  <c r="E341" i="8"/>
  <c r="E340" i="8"/>
  <c r="E339" i="8"/>
  <c r="E338" i="8"/>
  <c r="E337" i="8"/>
  <c r="E336" i="8"/>
  <c r="E335" i="8"/>
  <c r="E334" i="8"/>
  <c r="E333" i="8"/>
  <c r="E332" i="8"/>
  <c r="E331" i="8"/>
  <c r="E330" i="8"/>
  <c r="E329" i="8"/>
  <c r="E328" i="8"/>
  <c r="E327" i="8"/>
  <c r="E326" i="8"/>
  <c r="E325" i="8"/>
  <c r="E324" i="8"/>
  <c r="E323" i="8"/>
  <c r="E322" i="8"/>
  <c r="E321" i="8"/>
  <c r="E320" i="8"/>
  <c r="E319" i="8"/>
  <c r="E318" i="8"/>
  <c r="E317" i="8"/>
  <c r="E316" i="8"/>
  <c r="E315" i="8"/>
  <c r="E314" i="8"/>
  <c r="E313" i="8"/>
  <c r="E312" i="8"/>
  <c r="E311" i="8"/>
  <c r="E310" i="8"/>
  <c r="E309" i="8"/>
  <c r="E308" i="8"/>
  <c r="E307" i="8"/>
  <c r="E306" i="8"/>
  <c r="E305" i="8"/>
  <c r="E304" i="8"/>
  <c r="E303" i="8"/>
  <c r="E302" i="8"/>
  <c r="E301" i="8"/>
  <c r="E300" i="8"/>
  <c r="E299" i="8"/>
  <c r="E298" i="8"/>
  <c r="E297" i="8"/>
  <c r="E296" i="8"/>
  <c r="E295" i="8"/>
  <c r="E294" i="8"/>
  <c r="E293" i="8"/>
  <c r="E292" i="8"/>
  <c r="E291" i="8"/>
  <c r="E290" i="8"/>
  <c r="E289" i="8"/>
  <c r="E288" i="8"/>
  <c r="E287" i="8"/>
  <c r="E286" i="8"/>
  <c r="E285" i="8"/>
  <c r="E284" i="8"/>
  <c r="E283" i="8"/>
  <c r="E282" i="8"/>
  <c r="E281" i="8"/>
  <c r="E280" i="8"/>
  <c r="E279" i="8"/>
  <c r="E278" i="8"/>
  <c r="E277" i="8"/>
  <c r="E276" i="8"/>
  <c r="E275" i="8"/>
  <c r="E274" i="8"/>
  <c r="E273" i="8"/>
  <c r="E272" i="8"/>
  <c r="E271" i="8"/>
  <c r="E270" i="8"/>
  <c r="E269" i="8"/>
  <c r="E268" i="8"/>
  <c r="E267" i="8"/>
  <c r="E266" i="8"/>
  <c r="E265" i="8"/>
  <c r="E264" i="8"/>
  <c r="E263" i="8"/>
  <c r="E262" i="8"/>
  <c r="E261" i="8"/>
  <c r="E260" i="8"/>
  <c r="E259" i="8"/>
  <c r="E258" i="8"/>
  <c r="E257" i="8"/>
  <c r="E256" i="8"/>
  <c r="E255" i="8"/>
  <c r="E254" i="8"/>
  <c r="E253" i="8"/>
  <c r="E252" i="8"/>
  <c r="E251" i="8"/>
  <c r="E250" i="8"/>
  <c r="E249" i="8"/>
  <c r="E248" i="8"/>
  <c r="E247" i="8"/>
  <c r="E246" i="8"/>
  <c r="E245" i="8"/>
  <c r="E244" i="8"/>
  <c r="E243" i="8"/>
  <c r="E242" i="8"/>
  <c r="E241" i="8"/>
  <c r="E240" i="8"/>
  <c r="E239" i="8"/>
  <c r="E238" i="8"/>
  <c r="E237" i="8"/>
  <c r="E236" i="8"/>
  <c r="E235" i="8"/>
  <c r="E234" i="8"/>
  <c r="E233" i="8"/>
  <c r="E232" i="8"/>
  <c r="E231" i="8"/>
  <c r="E230" i="8"/>
  <c r="E229" i="8"/>
  <c r="E228" i="8"/>
  <c r="E227" i="8"/>
  <c r="E226" i="8"/>
  <c r="E225" i="8"/>
  <c r="E224" i="8"/>
  <c r="E223" i="8"/>
  <c r="E222" i="8"/>
  <c r="E221" i="8"/>
  <c r="E220" i="8"/>
  <c r="E219" i="8"/>
  <c r="E218" i="8"/>
  <c r="E217" i="8"/>
  <c r="E216" i="8"/>
  <c r="E215" i="8"/>
  <c r="E214" i="8"/>
  <c r="E213" i="8"/>
  <c r="E212" i="8"/>
  <c r="E211" i="8"/>
  <c r="E210" i="8"/>
  <c r="E209" i="8"/>
  <c r="E208" i="8"/>
  <c r="E207" i="8"/>
  <c r="E206" i="8"/>
  <c r="E205" i="8"/>
  <c r="E204" i="8"/>
  <c r="E203" i="8"/>
  <c r="E202" i="8"/>
  <c r="E201" i="8"/>
  <c r="E200" i="8"/>
  <c r="E199" i="8"/>
  <c r="E198" i="8"/>
  <c r="E197" i="8"/>
  <c r="E196" i="8"/>
  <c r="E195" i="8"/>
  <c r="E194" i="8"/>
  <c r="E193" i="8"/>
  <c r="E192" i="8"/>
  <c r="E191" i="8"/>
  <c r="E190" i="8"/>
  <c r="E189" i="8"/>
  <c r="E188" i="8"/>
  <c r="E187" i="8"/>
  <c r="E186" i="8"/>
  <c r="E185" i="8"/>
  <c r="E184" i="8"/>
  <c r="E183" i="8"/>
  <c r="E182" i="8"/>
  <c r="E181" i="8"/>
  <c r="E180" i="8"/>
  <c r="E179" i="8"/>
  <c r="E178" i="8"/>
  <c r="E177" i="8"/>
  <c r="E176" i="8"/>
  <c r="E175" i="8"/>
  <c r="E174" i="8"/>
  <c r="E173" i="8"/>
  <c r="E172" i="8"/>
  <c r="E171" i="8"/>
  <c r="E170" i="8"/>
  <c r="E169" i="8"/>
  <c r="E168" i="8"/>
  <c r="E167" i="8"/>
  <c r="E166" i="8"/>
  <c r="E165" i="8"/>
  <c r="E164" i="8"/>
  <c r="E163" i="8"/>
  <c r="E162" i="8"/>
  <c r="E161" i="8"/>
  <c r="E160" i="8"/>
  <c r="E159" i="8"/>
  <c r="E158" i="8"/>
  <c r="E157" i="8"/>
  <c r="E156" i="8"/>
  <c r="E155" i="8"/>
  <c r="E154" i="8"/>
  <c r="E153" i="8"/>
  <c r="E152" i="8"/>
  <c r="E151" i="8"/>
  <c r="E150" i="8"/>
  <c r="E149" i="8"/>
  <c r="E148" i="8"/>
  <c r="E147" i="8"/>
  <c r="E146" i="8"/>
  <c r="E145" i="8"/>
  <c r="E144" i="8"/>
  <c r="E143" i="8"/>
  <c r="E142" i="8"/>
  <c r="E141" i="8"/>
  <c r="E140" i="8"/>
  <c r="E139" i="8"/>
  <c r="E138" i="8"/>
  <c r="E137" i="8"/>
  <c r="E136" i="8"/>
  <c r="E135" i="8"/>
  <c r="E134" i="8"/>
  <c r="E133" i="8"/>
  <c r="E132" i="8"/>
  <c r="E131" i="8"/>
  <c r="E130" i="8"/>
  <c r="E129" i="8"/>
  <c r="E128" i="8"/>
  <c r="E127" i="8"/>
  <c r="E126" i="8"/>
  <c r="E125" i="8"/>
  <c r="E124" i="8"/>
  <c r="E123" i="8"/>
  <c r="E122" i="8"/>
  <c r="E121" i="8"/>
  <c r="E120" i="8"/>
  <c r="E119" i="8"/>
  <c r="E118" i="8"/>
  <c r="E117" i="8"/>
  <c r="E116" i="8"/>
  <c r="E115" i="8"/>
  <c r="E114" i="8"/>
  <c r="E113" i="8"/>
  <c r="E112" i="8"/>
  <c r="E111" i="8"/>
  <c r="E110" i="8"/>
  <c r="E109" i="8"/>
  <c r="E108" i="8"/>
  <c r="E107" i="8"/>
  <c r="E106" i="8"/>
  <c r="E105" i="8"/>
  <c r="E104" i="8"/>
  <c r="E103" i="8"/>
  <c r="E102" i="8"/>
  <c r="E101" i="8"/>
  <c r="E100" i="8"/>
  <c r="E99" i="8"/>
  <c r="E98" i="8"/>
  <c r="E97" i="8"/>
  <c r="E96" i="8"/>
  <c r="E95" i="8"/>
  <c r="E94" i="8"/>
  <c r="E93" i="8"/>
  <c r="E92" i="8"/>
  <c r="E91" i="8"/>
  <c r="E90" i="8"/>
  <c r="E89" i="8"/>
  <c r="E88" i="8"/>
  <c r="E87" i="8"/>
  <c r="E86" i="8"/>
  <c r="E85" i="8"/>
  <c r="E84" i="8"/>
  <c r="E83" i="8"/>
  <c r="E82" i="8"/>
  <c r="E81" i="8"/>
  <c r="E80" i="8"/>
  <c r="E79"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E7" i="8"/>
  <c r="E6" i="8"/>
  <c r="E5" i="8"/>
  <c r="E4" i="8"/>
  <c r="J4" i="8"/>
  <c r="J503" i="8"/>
  <c r="J502" i="8"/>
  <c r="J501" i="8"/>
  <c r="J500" i="8"/>
  <c r="J499" i="8"/>
  <c r="J498" i="8"/>
  <c r="J497" i="8"/>
  <c r="J496" i="8"/>
  <c r="J495" i="8"/>
  <c r="J494" i="8"/>
  <c r="J493" i="8"/>
  <c r="J492" i="8"/>
  <c r="J491" i="8"/>
  <c r="J490" i="8"/>
  <c r="J489" i="8"/>
  <c r="J488" i="8"/>
  <c r="J487" i="8"/>
  <c r="J486" i="8"/>
  <c r="J485" i="8"/>
  <c r="J484" i="8"/>
  <c r="J483" i="8"/>
  <c r="J482" i="8"/>
  <c r="J481" i="8"/>
  <c r="J480" i="8"/>
  <c r="J479" i="8"/>
  <c r="J478" i="8"/>
  <c r="J477" i="8"/>
  <c r="J476" i="8"/>
  <c r="J475" i="8"/>
  <c r="J474" i="8"/>
  <c r="J473" i="8"/>
  <c r="J472" i="8"/>
  <c r="J471" i="8"/>
  <c r="J470" i="8"/>
  <c r="J469" i="8"/>
  <c r="J468" i="8"/>
  <c r="J467" i="8"/>
  <c r="J466" i="8"/>
  <c r="J465" i="8"/>
  <c r="J464" i="8"/>
  <c r="J463" i="8"/>
  <c r="J462" i="8"/>
  <c r="J461" i="8"/>
  <c r="J460" i="8"/>
  <c r="J459" i="8"/>
  <c r="J458" i="8"/>
  <c r="J457" i="8"/>
  <c r="J456" i="8"/>
  <c r="J455" i="8"/>
  <c r="J454" i="8"/>
  <c r="J453" i="8"/>
  <c r="J452" i="8"/>
  <c r="J451" i="8"/>
  <c r="J450" i="8"/>
  <c r="J449" i="8"/>
  <c r="J448" i="8"/>
  <c r="J447" i="8"/>
  <c r="J446" i="8"/>
  <c r="J445" i="8"/>
  <c r="J444" i="8"/>
  <c r="J443" i="8"/>
  <c r="J442" i="8"/>
  <c r="J441" i="8"/>
  <c r="J440" i="8"/>
  <c r="J439" i="8"/>
  <c r="J438" i="8"/>
  <c r="J437" i="8"/>
  <c r="J436" i="8"/>
  <c r="J435" i="8"/>
  <c r="J434" i="8"/>
  <c r="J433" i="8"/>
  <c r="J432" i="8"/>
  <c r="J431" i="8"/>
  <c r="J430" i="8"/>
  <c r="J429" i="8"/>
  <c r="J428" i="8"/>
  <c r="J427" i="8"/>
  <c r="J426" i="8"/>
  <c r="J425" i="8"/>
  <c r="J424" i="8"/>
  <c r="J423" i="8"/>
  <c r="J422" i="8"/>
  <c r="J421" i="8"/>
  <c r="J420" i="8"/>
  <c r="J419" i="8"/>
  <c r="J418" i="8"/>
  <c r="J417" i="8"/>
  <c r="J416" i="8"/>
  <c r="J415" i="8"/>
  <c r="J414" i="8"/>
  <c r="J413" i="8"/>
  <c r="J412" i="8"/>
  <c r="J411" i="8"/>
  <c r="J410" i="8"/>
  <c r="J409" i="8"/>
  <c r="J408" i="8"/>
  <c r="J407" i="8"/>
  <c r="J406" i="8"/>
  <c r="J405" i="8"/>
  <c r="J404" i="8"/>
  <c r="J403" i="8"/>
  <c r="J402" i="8"/>
  <c r="J401" i="8"/>
  <c r="J400" i="8"/>
  <c r="J399" i="8"/>
  <c r="J398" i="8"/>
  <c r="J397" i="8"/>
  <c r="J396" i="8"/>
  <c r="J395" i="8"/>
  <c r="J394" i="8"/>
  <c r="J393" i="8"/>
  <c r="J392" i="8"/>
  <c r="J391" i="8"/>
  <c r="J390" i="8"/>
  <c r="J389" i="8"/>
  <c r="J388" i="8"/>
  <c r="J387" i="8"/>
  <c r="J386" i="8"/>
  <c r="J385" i="8"/>
  <c r="J384" i="8"/>
  <c r="J383" i="8"/>
  <c r="J382" i="8"/>
  <c r="J381" i="8"/>
  <c r="J380" i="8"/>
  <c r="J379" i="8"/>
  <c r="J378" i="8"/>
  <c r="J377" i="8"/>
  <c r="J376" i="8"/>
  <c r="J375" i="8"/>
  <c r="J374" i="8"/>
  <c r="J373" i="8"/>
  <c r="J372" i="8"/>
  <c r="J371" i="8"/>
  <c r="J370" i="8"/>
  <c r="J369" i="8"/>
  <c r="J368" i="8"/>
  <c r="J367" i="8"/>
  <c r="J366" i="8"/>
  <c r="J365" i="8"/>
  <c r="J364" i="8"/>
  <c r="J363" i="8"/>
  <c r="J362" i="8"/>
  <c r="J361" i="8"/>
  <c r="J360" i="8"/>
  <c r="J359" i="8"/>
  <c r="J358" i="8"/>
  <c r="J357" i="8"/>
  <c r="J356" i="8"/>
  <c r="J355" i="8"/>
  <c r="J354" i="8"/>
  <c r="J353" i="8"/>
  <c r="J352" i="8"/>
  <c r="J351" i="8"/>
  <c r="J350" i="8"/>
  <c r="J349" i="8"/>
  <c r="J348" i="8"/>
  <c r="J347" i="8"/>
  <c r="J346" i="8"/>
  <c r="J345" i="8"/>
  <c r="J344" i="8"/>
  <c r="J343" i="8"/>
  <c r="J342" i="8"/>
  <c r="J341" i="8"/>
  <c r="J340" i="8"/>
  <c r="J339" i="8"/>
  <c r="J338" i="8"/>
  <c r="J337" i="8"/>
  <c r="J336" i="8"/>
  <c r="J335" i="8"/>
  <c r="J334" i="8"/>
  <c r="J333" i="8"/>
  <c r="J332" i="8"/>
  <c r="J331" i="8"/>
  <c r="J330" i="8"/>
  <c r="J329" i="8"/>
  <c r="J328" i="8"/>
  <c r="J327" i="8"/>
  <c r="J326" i="8"/>
  <c r="J325" i="8"/>
  <c r="J324" i="8"/>
  <c r="J323" i="8"/>
  <c r="J322" i="8"/>
  <c r="J321" i="8"/>
  <c r="J320" i="8"/>
  <c r="J319" i="8"/>
  <c r="J318" i="8"/>
  <c r="J317" i="8"/>
  <c r="J316" i="8"/>
  <c r="J315" i="8"/>
  <c r="J314" i="8"/>
  <c r="J313" i="8"/>
  <c r="J312" i="8"/>
  <c r="J311" i="8"/>
  <c r="J310" i="8"/>
  <c r="J309" i="8"/>
  <c r="J308" i="8"/>
  <c r="J307" i="8"/>
  <c r="J306" i="8"/>
  <c r="J305" i="8"/>
  <c r="J304" i="8"/>
  <c r="J303" i="8"/>
  <c r="J302" i="8"/>
  <c r="J301" i="8"/>
  <c r="J300" i="8"/>
  <c r="J299" i="8"/>
  <c r="J298" i="8"/>
  <c r="J297" i="8"/>
  <c r="J296" i="8"/>
  <c r="J295" i="8"/>
  <c r="J294" i="8"/>
  <c r="J293" i="8"/>
  <c r="J292" i="8"/>
  <c r="J291" i="8"/>
  <c r="J290" i="8"/>
  <c r="J289" i="8"/>
  <c r="J288" i="8"/>
  <c r="J287" i="8"/>
  <c r="J286" i="8"/>
  <c r="J285" i="8"/>
  <c r="J284" i="8"/>
  <c r="J283" i="8"/>
  <c r="J282" i="8"/>
  <c r="J281" i="8"/>
  <c r="J280" i="8"/>
  <c r="J279" i="8"/>
  <c r="J278" i="8"/>
  <c r="J277" i="8"/>
  <c r="J276" i="8"/>
  <c r="J275" i="8"/>
  <c r="J274" i="8"/>
  <c r="J273" i="8"/>
  <c r="J272" i="8"/>
  <c r="J271" i="8"/>
  <c r="J270" i="8"/>
  <c r="J269" i="8"/>
  <c r="J268" i="8"/>
  <c r="J267" i="8"/>
  <c r="J266" i="8"/>
  <c r="J265" i="8"/>
  <c r="J264" i="8"/>
  <c r="J263" i="8"/>
  <c r="J262" i="8"/>
  <c r="J261" i="8"/>
  <c r="J260" i="8"/>
  <c r="J259" i="8"/>
  <c r="J258" i="8"/>
  <c r="J257" i="8"/>
  <c r="J256" i="8"/>
  <c r="J255" i="8"/>
  <c r="J254" i="8"/>
  <c r="J253" i="8"/>
  <c r="J252" i="8"/>
  <c r="J251" i="8"/>
  <c r="J250" i="8"/>
  <c r="J249" i="8"/>
  <c r="J248" i="8"/>
  <c r="J247" i="8"/>
  <c r="J246" i="8"/>
  <c r="J245" i="8"/>
  <c r="J244" i="8"/>
  <c r="J243" i="8"/>
  <c r="J242" i="8"/>
  <c r="J241" i="8"/>
  <c r="J240" i="8"/>
  <c r="J239" i="8"/>
  <c r="J238" i="8"/>
  <c r="J237" i="8"/>
  <c r="J236" i="8"/>
  <c r="J235" i="8"/>
  <c r="J234" i="8"/>
  <c r="J233" i="8"/>
  <c r="J232" i="8"/>
  <c r="J231" i="8"/>
  <c r="J230" i="8"/>
  <c r="J229" i="8"/>
  <c r="J228" i="8"/>
  <c r="J227" i="8"/>
  <c r="J226" i="8"/>
  <c r="J225" i="8"/>
  <c r="J224" i="8"/>
  <c r="J223" i="8"/>
  <c r="J222" i="8"/>
  <c r="J221" i="8"/>
  <c r="J220" i="8"/>
  <c r="J219" i="8"/>
  <c r="J218" i="8"/>
  <c r="J217" i="8"/>
  <c r="J216" i="8"/>
  <c r="J215" i="8"/>
  <c r="J214" i="8"/>
  <c r="J213" i="8"/>
  <c r="J212" i="8"/>
  <c r="J211" i="8"/>
  <c r="J210" i="8"/>
  <c r="J209" i="8"/>
  <c r="J208" i="8"/>
  <c r="J207" i="8"/>
  <c r="J206" i="8"/>
  <c r="J205" i="8"/>
  <c r="J204" i="8"/>
  <c r="J203" i="8"/>
  <c r="J202" i="8"/>
  <c r="J201" i="8"/>
  <c r="J200" i="8"/>
  <c r="J199" i="8"/>
  <c r="J198" i="8"/>
  <c r="J197" i="8"/>
  <c r="J196" i="8"/>
  <c r="J195" i="8"/>
  <c r="J194" i="8"/>
  <c r="J193" i="8"/>
  <c r="J192" i="8"/>
  <c r="J191" i="8"/>
  <c r="J190" i="8"/>
  <c r="J189" i="8"/>
  <c r="J188" i="8"/>
  <c r="J187" i="8"/>
  <c r="J186" i="8"/>
  <c r="J185" i="8"/>
  <c r="J184" i="8"/>
  <c r="J183" i="8"/>
  <c r="J182" i="8"/>
  <c r="J181" i="8"/>
  <c r="J180" i="8"/>
  <c r="J179" i="8"/>
  <c r="J178" i="8"/>
  <c r="J177" i="8"/>
  <c r="J176" i="8"/>
  <c r="J175" i="8"/>
  <c r="J174" i="8"/>
  <c r="J173" i="8"/>
  <c r="J172" i="8"/>
  <c r="J171" i="8"/>
  <c r="J170" i="8"/>
  <c r="J169" i="8"/>
  <c r="J168" i="8"/>
  <c r="J167" i="8"/>
  <c r="J166" i="8"/>
  <c r="J165" i="8"/>
  <c r="J164" i="8"/>
  <c r="J163" i="8"/>
  <c r="J162" i="8"/>
  <c r="J161" i="8"/>
  <c r="J160" i="8"/>
  <c r="J159" i="8"/>
  <c r="J158" i="8"/>
  <c r="J157" i="8"/>
  <c r="J156" i="8"/>
  <c r="J155" i="8"/>
  <c r="J154" i="8"/>
  <c r="J153" i="8"/>
  <c r="J152" i="8"/>
  <c r="J151" i="8"/>
  <c r="J150" i="8"/>
  <c r="J149" i="8"/>
  <c r="J148" i="8"/>
  <c r="J147" i="8"/>
  <c r="J146" i="8"/>
  <c r="J145" i="8"/>
  <c r="J144" i="8"/>
  <c r="J143" i="8"/>
  <c r="J142" i="8"/>
  <c r="J141" i="8"/>
  <c r="J140" i="8"/>
  <c r="J139" i="8"/>
  <c r="J138" i="8"/>
  <c r="J137" i="8"/>
  <c r="J136" i="8"/>
  <c r="J135" i="8"/>
  <c r="J134" i="8"/>
  <c r="J133" i="8"/>
  <c r="J132" i="8"/>
  <c r="J131" i="8"/>
  <c r="J130" i="8"/>
  <c r="J129" i="8"/>
  <c r="J128" i="8"/>
  <c r="J127" i="8"/>
  <c r="J126" i="8"/>
  <c r="J125" i="8"/>
  <c r="J124" i="8"/>
  <c r="J123" i="8"/>
  <c r="J122" i="8"/>
  <c r="J121" i="8"/>
  <c r="J120" i="8"/>
  <c r="J119" i="8"/>
  <c r="J118" i="8"/>
  <c r="J117" i="8"/>
  <c r="J116" i="8"/>
  <c r="J115" i="8"/>
  <c r="J114" i="8"/>
  <c r="J113" i="8"/>
  <c r="J112" i="8"/>
  <c r="J111" i="8"/>
  <c r="J110" i="8"/>
  <c r="J109" i="8"/>
  <c r="J108" i="8"/>
  <c r="J107" i="8"/>
  <c r="J106" i="8"/>
  <c r="J105" i="8"/>
  <c r="J104" i="8"/>
  <c r="J103" i="8"/>
  <c r="J102" i="8"/>
  <c r="J101" i="8"/>
  <c r="J100" i="8"/>
  <c r="J99" i="8"/>
  <c r="J98" i="8"/>
  <c r="J97" i="8"/>
  <c r="J96" i="8"/>
  <c r="J95" i="8"/>
  <c r="J94" i="8"/>
  <c r="J93" i="8"/>
  <c r="J92" i="8"/>
  <c r="J91" i="8"/>
  <c r="J90" i="8"/>
  <c r="J89" i="8"/>
  <c r="J88" i="8"/>
  <c r="J87" i="8"/>
  <c r="J86" i="8"/>
  <c r="J85" i="8"/>
  <c r="J84" i="8"/>
  <c r="J83" i="8"/>
  <c r="J82" i="8"/>
  <c r="J81" i="8"/>
  <c r="J80" i="8"/>
  <c r="J79" i="8"/>
  <c r="J78" i="8"/>
  <c r="J77" i="8"/>
  <c r="J76" i="8"/>
  <c r="J75" i="8"/>
  <c r="J74" i="8"/>
  <c r="J73" i="8"/>
  <c r="J72" i="8"/>
  <c r="J71" i="8"/>
  <c r="J70" i="8"/>
  <c r="J69" i="8"/>
  <c r="J68" i="8"/>
  <c r="J67" i="8"/>
  <c r="J66" i="8"/>
  <c r="J65" i="8"/>
  <c r="J64" i="8"/>
  <c r="J63" i="8"/>
  <c r="J62" i="8"/>
  <c r="J61" i="8"/>
  <c r="J60" i="8"/>
  <c r="J59" i="8"/>
  <c r="J58" i="8"/>
  <c r="J57" i="8"/>
  <c r="J56" i="8"/>
  <c r="J55" i="8"/>
  <c r="J54" i="8"/>
  <c r="J53" i="8"/>
  <c r="J52" i="8"/>
  <c r="J51" i="8"/>
  <c r="J50" i="8"/>
  <c r="J49" i="8"/>
  <c r="J48" i="8"/>
  <c r="J4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J17" i="8"/>
  <c r="J16" i="8"/>
  <c r="J15" i="8"/>
  <c r="J14" i="8"/>
  <c r="J13" i="8"/>
  <c r="J12" i="8"/>
  <c r="J11" i="8"/>
  <c r="J10" i="8"/>
  <c r="J9" i="8"/>
  <c r="J8" i="8"/>
  <c r="J7" i="8"/>
  <c r="J6" i="8"/>
  <c r="J5" i="8"/>
  <c r="X3" i="8"/>
  <c r="W3" i="8"/>
  <c r="V3" i="8"/>
  <c r="U3" i="8"/>
  <c r="S3" i="8"/>
  <c r="R3" i="8"/>
  <c r="Q3" i="8"/>
  <c r="P3" i="8"/>
  <c r="N3" i="8"/>
  <c r="M3" i="8"/>
  <c r="L3" i="8"/>
  <c r="K3" i="8"/>
  <c r="I3" i="8"/>
  <c r="H3" i="8"/>
  <c r="G3" i="8"/>
  <c r="F3" i="8"/>
  <c r="D3" i="8"/>
  <c r="C3" i="8"/>
  <c r="B3" i="8"/>
  <c r="A3" i="8"/>
  <c r="AN20" i="5"/>
  <c r="AM20" i="5"/>
  <c r="AL20" i="5"/>
  <c r="AK20" i="5"/>
  <c r="AJ20" i="5"/>
  <c r="AI20" i="5"/>
  <c r="AH20" i="5"/>
  <c r="AG20" i="5"/>
  <c r="AF20" i="5"/>
  <c r="AE20" i="5"/>
  <c r="AD20" i="5"/>
  <c r="AC20" i="5"/>
  <c r="AB20" i="5"/>
  <c r="AA20" i="5"/>
  <c r="Z20" i="5"/>
  <c r="Y20" i="5"/>
  <c r="X20" i="5"/>
  <c r="W20" i="5"/>
  <c r="V20" i="5"/>
  <c r="U20" i="5"/>
  <c r="T20" i="5"/>
  <c r="S20" i="5"/>
  <c r="R20" i="5"/>
  <c r="Q20" i="5"/>
  <c r="AN19" i="5"/>
  <c r="AM19" i="5"/>
  <c r="AL19" i="5"/>
  <c r="AK19" i="5"/>
  <c r="AJ19" i="5"/>
  <c r="AI19" i="5"/>
  <c r="AH19" i="5"/>
  <c r="AG19" i="5"/>
  <c r="AF19" i="5"/>
  <c r="AE19" i="5"/>
  <c r="AD19" i="5"/>
  <c r="AC19" i="5"/>
  <c r="AB19" i="5"/>
  <c r="AA19" i="5"/>
  <c r="Z19" i="5"/>
  <c r="Y19" i="5"/>
  <c r="X19" i="5"/>
  <c r="W19" i="5"/>
  <c r="V19" i="5"/>
  <c r="U19" i="5"/>
  <c r="T19" i="5"/>
  <c r="S19" i="5"/>
  <c r="R19" i="5"/>
  <c r="Q19" i="5"/>
  <c r="AN18" i="5"/>
  <c r="AM18" i="5"/>
  <c r="AL18" i="5"/>
  <c r="AK18" i="5"/>
  <c r="AJ18" i="5"/>
  <c r="AI18" i="5"/>
  <c r="AH18" i="5"/>
  <c r="AG18" i="5"/>
  <c r="AF18" i="5"/>
  <c r="AE18" i="5"/>
  <c r="AD18" i="5"/>
  <c r="AC18" i="5"/>
  <c r="AB18" i="5"/>
  <c r="AA18" i="5"/>
  <c r="Z18" i="5"/>
  <c r="Y18" i="5"/>
  <c r="X18" i="5"/>
  <c r="W18" i="5"/>
  <c r="V18" i="5"/>
  <c r="U18" i="5"/>
  <c r="T18" i="5"/>
  <c r="S18" i="5"/>
  <c r="R18" i="5"/>
  <c r="Q18" i="5"/>
  <c r="AN17" i="5"/>
  <c r="AM17" i="5"/>
  <c r="AL17" i="5"/>
  <c r="AK17" i="5"/>
  <c r="AJ17" i="5"/>
  <c r="AI17" i="5"/>
  <c r="AH17" i="5"/>
  <c r="AG17" i="5"/>
  <c r="AF17" i="5"/>
  <c r="AE17" i="5"/>
  <c r="AD17" i="5"/>
  <c r="AC17" i="5"/>
  <c r="AB17" i="5"/>
  <c r="AA17" i="5"/>
  <c r="Z17" i="5"/>
  <c r="Y17" i="5"/>
  <c r="X17" i="5"/>
  <c r="W17" i="5"/>
  <c r="V17" i="5"/>
  <c r="U17" i="5"/>
  <c r="T17" i="5"/>
  <c r="S17" i="5"/>
  <c r="R17" i="5"/>
  <c r="Q17" i="5"/>
  <c r="AN16" i="5"/>
  <c r="AM16" i="5"/>
  <c r="AL16" i="5"/>
  <c r="AK16" i="5"/>
  <c r="AJ16" i="5"/>
  <c r="AI16" i="5"/>
  <c r="AH16" i="5"/>
  <c r="AG16" i="5"/>
  <c r="AF16" i="5"/>
  <c r="AE16" i="5"/>
  <c r="AD16" i="5"/>
  <c r="AC16" i="5"/>
  <c r="AB16" i="5"/>
  <c r="AA16" i="5"/>
  <c r="Z16" i="5"/>
  <c r="Y16" i="5"/>
  <c r="X16" i="5"/>
  <c r="W16" i="5"/>
  <c r="V16" i="5"/>
  <c r="U16" i="5"/>
  <c r="T16" i="5"/>
  <c r="S16" i="5"/>
  <c r="R16" i="5"/>
  <c r="Q16" i="5"/>
  <c r="AN15" i="5"/>
  <c r="AM15" i="5"/>
  <c r="AL15" i="5"/>
  <c r="AK15" i="5"/>
  <c r="AJ15" i="5"/>
  <c r="AI15" i="5"/>
  <c r="AH15" i="5"/>
  <c r="AG15" i="5"/>
  <c r="AF15" i="5"/>
  <c r="AE15" i="5"/>
  <c r="AD15" i="5"/>
  <c r="AC15" i="5"/>
  <c r="AB15" i="5"/>
  <c r="AA15" i="5"/>
  <c r="Z15" i="5"/>
  <c r="Y15" i="5"/>
  <c r="X15" i="5"/>
  <c r="W15" i="5"/>
  <c r="V15" i="5"/>
  <c r="U15" i="5"/>
  <c r="T15" i="5"/>
  <c r="S15" i="5"/>
  <c r="R15" i="5"/>
  <c r="Q15" i="5"/>
  <c r="AN14" i="5"/>
  <c r="AM14" i="5"/>
  <c r="AL14" i="5"/>
  <c r="AK14" i="5"/>
  <c r="AJ14" i="5"/>
  <c r="AI14" i="5"/>
  <c r="AH14" i="5"/>
  <c r="AG14" i="5"/>
  <c r="AF14" i="5"/>
  <c r="AE14" i="5"/>
  <c r="AD14" i="5"/>
  <c r="AC14" i="5"/>
  <c r="AB14" i="5"/>
  <c r="AA14" i="5"/>
  <c r="Z14" i="5"/>
  <c r="Y14" i="5"/>
  <c r="X14" i="5"/>
  <c r="W14" i="5"/>
  <c r="V14" i="5"/>
  <c r="U14" i="5"/>
  <c r="T14" i="5"/>
  <c r="S14" i="5"/>
  <c r="R14" i="5"/>
  <c r="Q14" i="5"/>
  <c r="AN13" i="5"/>
  <c r="AM13" i="5"/>
  <c r="AL13" i="5"/>
  <c r="AK13" i="5"/>
  <c r="AJ13" i="5"/>
  <c r="AI13" i="5"/>
  <c r="AH13" i="5"/>
  <c r="AG13" i="5"/>
  <c r="AF13" i="5"/>
  <c r="AE13" i="5"/>
  <c r="AD13" i="5"/>
  <c r="AC13" i="5"/>
  <c r="AB13" i="5"/>
  <c r="AA13" i="5"/>
  <c r="Z13" i="5"/>
  <c r="Y13" i="5"/>
  <c r="X13" i="5"/>
  <c r="W13" i="5"/>
  <c r="V13" i="5"/>
  <c r="U13" i="5"/>
  <c r="T13" i="5"/>
  <c r="S13" i="5"/>
  <c r="R13" i="5"/>
  <c r="Q13" i="5"/>
  <c r="AN12" i="5"/>
  <c r="AM12" i="5"/>
  <c r="AL12" i="5"/>
  <c r="AK12" i="5"/>
  <c r="AJ12" i="5"/>
  <c r="AI12" i="5"/>
  <c r="AH12" i="5"/>
  <c r="AG12" i="5"/>
  <c r="AF12" i="5"/>
  <c r="AE12" i="5"/>
  <c r="AD12" i="5"/>
  <c r="AC12" i="5"/>
  <c r="AB12" i="5"/>
  <c r="AA12" i="5"/>
  <c r="Z12" i="5"/>
  <c r="Y12" i="5"/>
  <c r="X12" i="5"/>
  <c r="W12" i="5"/>
  <c r="V12" i="5"/>
  <c r="U12" i="5"/>
  <c r="T12" i="5"/>
  <c r="S12" i="5"/>
  <c r="R12" i="5"/>
  <c r="Q12" i="5"/>
  <c r="AN11" i="5"/>
  <c r="AM11" i="5"/>
  <c r="AL11" i="5"/>
  <c r="AK11" i="5"/>
  <c r="AJ11" i="5"/>
  <c r="AI11" i="5"/>
  <c r="AH11" i="5"/>
  <c r="AG11" i="5"/>
  <c r="AF11" i="5"/>
  <c r="AE11" i="5"/>
  <c r="AD11" i="5"/>
  <c r="AC11" i="5"/>
  <c r="AB11" i="5"/>
  <c r="AA11" i="5"/>
  <c r="Z11" i="5"/>
  <c r="Y11" i="5"/>
  <c r="X11" i="5"/>
  <c r="W11" i="5"/>
  <c r="V11" i="5"/>
  <c r="U11" i="5"/>
  <c r="T11" i="5"/>
  <c r="S11" i="5"/>
  <c r="R11" i="5"/>
  <c r="Q11" i="5"/>
  <c r="AN10" i="5"/>
  <c r="AM10" i="5"/>
  <c r="AL10" i="5"/>
  <c r="AK10" i="5"/>
  <c r="AJ10" i="5"/>
  <c r="AI10" i="5"/>
  <c r="AH10" i="5"/>
  <c r="AG10" i="5"/>
  <c r="AF10" i="5"/>
  <c r="AE10" i="5"/>
  <c r="AD10" i="5"/>
  <c r="AC10" i="5"/>
  <c r="AB10" i="5"/>
  <c r="AA10" i="5"/>
  <c r="Z10" i="5"/>
  <c r="Y10" i="5"/>
  <c r="X10" i="5"/>
  <c r="W10" i="5"/>
  <c r="V10" i="5"/>
  <c r="U10" i="5"/>
  <c r="T10" i="5"/>
  <c r="S10" i="5"/>
  <c r="R10" i="5"/>
  <c r="Q10" i="5"/>
  <c r="O20" i="5"/>
  <c r="P20" i="5" s="1"/>
  <c r="N20" i="5"/>
  <c r="M20" i="5"/>
  <c r="O19" i="5"/>
  <c r="P19" i="5" s="1"/>
  <c r="N19" i="5"/>
  <c r="M19" i="5"/>
  <c r="O18" i="5"/>
  <c r="P18" i="5" s="1"/>
  <c r="N18" i="5"/>
  <c r="M18" i="5"/>
  <c r="O17" i="5"/>
  <c r="P17" i="5" s="1"/>
  <c r="N17" i="5"/>
  <c r="M17" i="5"/>
  <c r="O16" i="5"/>
  <c r="P16" i="5" s="1"/>
  <c r="N16" i="5"/>
  <c r="M16" i="5"/>
  <c r="O15" i="5"/>
  <c r="P15" i="5" s="1"/>
  <c r="N15" i="5"/>
  <c r="M15" i="5"/>
  <c r="O14" i="5"/>
  <c r="P14" i="5" s="1"/>
  <c r="N14" i="5"/>
  <c r="M14" i="5"/>
  <c r="O13" i="5"/>
  <c r="P13" i="5" s="1"/>
  <c r="N13" i="5"/>
  <c r="M13" i="5"/>
  <c r="O12" i="5"/>
  <c r="P12" i="5" s="1"/>
  <c r="N12" i="5"/>
  <c r="M12" i="5"/>
  <c r="O11" i="5"/>
  <c r="P11" i="5" s="1"/>
  <c r="N11" i="5"/>
  <c r="M11" i="5"/>
  <c r="O10" i="5"/>
  <c r="P10" i="5" s="1"/>
  <c r="N10" i="5"/>
  <c r="M10" i="5"/>
  <c r="K20" i="5"/>
  <c r="L20" i="5" s="1"/>
  <c r="J20" i="5"/>
  <c r="K19" i="5"/>
  <c r="L19" i="5" s="1"/>
  <c r="J19" i="5"/>
  <c r="K18" i="5"/>
  <c r="L18" i="5" s="1"/>
  <c r="J18" i="5"/>
  <c r="K17" i="5"/>
  <c r="L17" i="5" s="1"/>
  <c r="J17" i="5"/>
  <c r="K16" i="5"/>
  <c r="L16" i="5" s="1"/>
  <c r="J16" i="5"/>
  <c r="K15" i="5"/>
  <c r="L15" i="5" s="1"/>
  <c r="J15" i="5"/>
  <c r="K14" i="5"/>
  <c r="L14" i="5" s="1"/>
  <c r="J14" i="5"/>
  <c r="K13" i="5"/>
  <c r="L13" i="5" s="1"/>
  <c r="J13" i="5"/>
  <c r="K12" i="5"/>
  <c r="L12" i="5" s="1"/>
  <c r="J12" i="5"/>
  <c r="K11" i="5"/>
  <c r="L11" i="5" s="1"/>
  <c r="J11" i="5"/>
  <c r="K10" i="5"/>
  <c r="L10" i="5" s="1"/>
  <c r="J10" i="5"/>
  <c r="H20" i="5"/>
  <c r="G20" i="5"/>
  <c r="H19" i="5"/>
  <c r="G19" i="5"/>
  <c r="H18" i="5"/>
  <c r="G18" i="5"/>
  <c r="H17" i="5"/>
  <c r="G17" i="5"/>
  <c r="H16" i="5"/>
  <c r="G16" i="5"/>
  <c r="H15" i="5"/>
  <c r="G15" i="5"/>
  <c r="H14" i="5"/>
  <c r="G14" i="5"/>
  <c r="H13" i="5"/>
  <c r="G13" i="5"/>
  <c r="H12" i="5"/>
  <c r="G12" i="5"/>
  <c r="H11" i="5"/>
  <c r="G11" i="5"/>
  <c r="H10" i="5"/>
  <c r="G10" i="5"/>
</calcChain>
</file>

<file path=xl/sharedStrings.xml><?xml version="1.0" encoding="utf-8"?>
<sst xmlns="http://schemas.openxmlformats.org/spreadsheetml/2006/main" count="4258" uniqueCount="421">
  <si>
    <t>Commodity: Graphite</t>
  </si>
  <si>
    <t>Scenario:  Market Intelligence 2024 Constant USD</t>
  </si>
  <si>
    <t xml:space="preserve"> Period Ended</t>
  </si>
  <si>
    <t xml:space="preserve"> Property</t>
  </si>
  <si>
    <t xml:space="preserve"> Property ID</t>
  </si>
  <si>
    <t xml:space="preserve"> Country/Region</t>
  </si>
  <si>
    <t xml:space="preserve"> Waste Mined:
Open Pit
(kilotonnes)</t>
  </si>
  <si>
    <t xml:space="preserve"> Waste Mined:
Underground (kilotonnes)</t>
  </si>
  <si>
    <t xml:space="preserve"> Waste Mined:
Total (kilotonnes)</t>
  </si>
  <si>
    <t xml:space="preserve"> Open Pit
Strip Ratio
(x)</t>
  </si>
  <si>
    <t xml:space="preserve"> Ore Mined:
Open Pit
(kilotonnes)</t>
  </si>
  <si>
    <t xml:space="preserve"> Ore Mined:
Underground (kilotonnes)</t>
  </si>
  <si>
    <t xml:space="preserve"> Ore Mined:
Total (kilotonnes)</t>
  </si>
  <si>
    <t xml:space="preserve"> Ore Processed
(kilotonnes)</t>
  </si>
  <si>
    <t xml:space="preserve"> Head Grade
(%)</t>
  </si>
  <si>
    <t xml:space="preserve"> Recovery Rate
(%)</t>
  </si>
  <si>
    <t xml:space="preserve"> Concentration (mg/liter)-
Li</t>
  </si>
  <si>
    <t xml:space="preserve"> Pumping Rate
(liters/min)</t>
  </si>
  <si>
    <t xml:space="preserve"> Mine: Labor
Cost ($/tonne)</t>
  </si>
  <si>
    <t xml:space="preserve"> Mine: Fuel
Cost ($/tonne)</t>
  </si>
  <si>
    <t xml:space="preserve"> Mine: Electricity
Cost ($/tonne)</t>
  </si>
  <si>
    <t xml:space="preserve"> Mine: Other
Cost ($/tonne)</t>
  </si>
  <si>
    <t xml:space="preserve"> Mine: Total
Cost ($/tonne)</t>
  </si>
  <si>
    <t xml:space="preserve"> Mill: Labor
Cost ($/tonne)</t>
  </si>
  <si>
    <t xml:space="preserve"> Mill: Reagents
Cost ($/tonne)</t>
  </si>
  <si>
    <t xml:space="preserve"> Mill: Electricity
Cost ($/tonne)</t>
  </si>
  <si>
    <t xml:space="preserve"> Mill: Other
Cost ($/tonne)</t>
  </si>
  <si>
    <t xml:space="preserve"> Mill: Total
Cost ($/tonne)</t>
  </si>
  <si>
    <t xml:space="preserve"> Processing Plant:
Labor Cost
($/tonne)</t>
  </si>
  <si>
    <t xml:space="preserve"> Processing Plant:
Reagent Cost
($/tonne)</t>
  </si>
  <si>
    <t xml:space="preserve"> Processing Plant:
Electricity Cost
($/tonne)</t>
  </si>
  <si>
    <t xml:space="preserve"> Processing Plant:
Other Cost
($/tonne)</t>
  </si>
  <si>
    <t xml:space="preserve"> Processing Plant:
Total Cost
($/tonne)</t>
  </si>
  <si>
    <t xml:space="preserve"> Total Minesite
Cost ($/tonne)</t>
  </si>
  <si>
    <t xml:space="preserve"> Transport and
Offsite Cost
($/tonne)</t>
  </si>
  <si>
    <t xml:space="preserve"> Cash Operating
Cost ($/tonne)</t>
  </si>
  <si>
    <t xml:space="preserve"> Seaborne Shipment
Cost ($/tonne)</t>
  </si>
  <si>
    <t xml:space="preserve"> Royalty Cost
($/tonne)</t>
  </si>
  <si>
    <t xml:space="preserve"> Total Cash
Cost ($/tonne)</t>
  </si>
  <si>
    <t xml:space="preserve"> Gross Revenue
($/tonne)</t>
  </si>
  <si>
    <t xml:space="preserve"> Cash Operating
Margin ($/tonne)</t>
  </si>
  <si>
    <t xml:space="preserve"> Total Cash
Margin ($/tonne)</t>
  </si>
  <si>
    <t>Balama</t>
  </si>
  <si>
    <t>61626</t>
  </si>
  <si>
    <t>Mozambique</t>
  </si>
  <si>
    <t>Beishan</t>
  </si>
  <si>
    <t>89685</t>
  </si>
  <si>
    <t>China</t>
  </si>
  <si>
    <t>Bogala</t>
  </si>
  <si>
    <t>64685</t>
  </si>
  <si>
    <t>Sri Lanka</t>
  </si>
  <si>
    <t>Kropfmuehl</t>
  </si>
  <si>
    <t>67003</t>
  </si>
  <si>
    <t>Germany</t>
  </si>
  <si>
    <t>Lac des Iles</t>
  </si>
  <si>
    <t>64090</t>
  </si>
  <si>
    <t>Canada</t>
  </si>
  <si>
    <t>Traelen</t>
  </si>
  <si>
    <t>83203</t>
  </si>
  <si>
    <t>Norway</t>
  </si>
  <si>
    <t>Vatomina</t>
  </si>
  <si>
    <t>76407</t>
  </si>
  <si>
    <t>Madagascar</t>
  </si>
  <si>
    <t>Yunshan</t>
  </si>
  <si>
    <t>93710</t>
  </si>
  <si>
    <t>Ore</t>
  </si>
  <si>
    <t xml:space="preserve"> Flake Size</t>
  </si>
  <si>
    <t xml:space="preserve"> Production (kilotonnes)</t>
  </si>
  <si>
    <t xml:space="preserve"> Grade (%)</t>
  </si>
  <si>
    <t xml:space="preserve"> Reclamation, Closure
Provision ($/tonne)</t>
  </si>
  <si>
    <t xml:space="preserve"> Depreciation ($/tonne)</t>
  </si>
  <si>
    <t xml:space="preserve"> Deferred Stripping
Amortized ($/tonne)</t>
  </si>
  <si>
    <t xml:space="preserve"> Inventory Change
($/tonne)</t>
  </si>
  <si>
    <t xml:space="preserve"> Total Production
Cost ($/tonne)</t>
  </si>
  <si>
    <t xml:space="preserve"> Corporate Overhead
Charges ($/tonne)</t>
  </si>
  <si>
    <t xml:space="preserve"> Exploration and
Other Sustaining
Costs ($/tonne)</t>
  </si>
  <si>
    <t xml:space="preserve"> Sustaining Capex
($/tonne)</t>
  </si>
  <si>
    <t xml:space="preserve"> All-in-Sustaining Cost
($/tonne)</t>
  </si>
  <si>
    <t xml:space="preserve"> Development and
Expansion Capex
($/tonne)</t>
  </si>
  <si>
    <t xml:space="preserve"> Interest Charges
($/tonne)</t>
  </si>
  <si>
    <t xml:space="preserve"> Extraordinary Cash
Charges ($/tonne)</t>
  </si>
  <si>
    <t xml:space="preserve"> Extraordinary Non-Cash
Charges ($/tonne)</t>
  </si>
  <si>
    <t xml:space="preserve"> Other All-in-Cost
($/tonne)</t>
  </si>
  <si>
    <t xml:space="preserve"> All-in-Cost ($/tonne)</t>
  </si>
  <si>
    <t>Jumbo</t>
  </si>
  <si>
    <t>Fines</t>
  </si>
  <si>
    <t>Medium</t>
  </si>
  <si>
    <t>Large</t>
  </si>
  <si>
    <t>Pedra Azul</t>
  </si>
  <si>
    <t>77115</t>
  </si>
  <si>
    <t>Brazil</t>
  </si>
  <si>
    <t>Super Jumbo</t>
  </si>
  <si>
    <t>Salto Da Divisa</t>
  </si>
  <si>
    <t>77113</t>
  </si>
  <si>
    <t>Products Tonne</t>
  </si>
  <si>
    <t>Consolidated Products Tonne</t>
  </si>
  <si>
    <t xml:space="preserve"> Gross Revenue
($M)</t>
  </si>
  <si>
    <t xml:space="preserve"> Inland Transport
&amp; Offsite
Costs ($M)</t>
  </si>
  <si>
    <t xml:space="preserve"> Seaborne Shipment
Costs ($M)</t>
  </si>
  <si>
    <t xml:space="preserve"> Royalties ($M)</t>
  </si>
  <si>
    <t xml:space="preserve"> Total Minesite
Costs ($M)</t>
  </si>
  <si>
    <t xml:space="preserve"> Indirect and
Extraordinary Costs
($M)</t>
  </si>
  <si>
    <t xml:space="preserve"> Working Capital
($M)</t>
  </si>
  <si>
    <t xml:space="preserve"> Sustaining Capex
($M)</t>
  </si>
  <si>
    <t xml:space="preserve"> Development and
Expansion Capex
($M)</t>
  </si>
  <si>
    <t xml:space="preserve"> Pre-tax Cash
Flow ($M)</t>
  </si>
  <si>
    <t xml:space="preserve"> Tax ($M)</t>
  </si>
  <si>
    <t xml:space="preserve"> Post-tax Cash
Flow ($M)</t>
  </si>
  <si>
    <t xml:space="preserve"> Corporate Tax
Rate (%)</t>
  </si>
  <si>
    <t xml:space="preserve"> Depreciation ($M)</t>
  </si>
  <si>
    <t xml:space="preserve"> NPV Discounted
at 8%
($M)</t>
  </si>
  <si>
    <t xml:space="preserve"> NPV Discounted
at 10%
($M)</t>
  </si>
  <si>
    <t xml:space="preserve"> NPV Discounted
at 12%
($M)</t>
  </si>
  <si>
    <t xml:space="preserve"> NPV Discounted
at 14%
($M)</t>
  </si>
  <si>
    <t>Cash Flow</t>
  </si>
  <si>
    <t xml:space="preserve"> Owner</t>
  </si>
  <si>
    <t xml:space="preserve"> KeyInstn</t>
  </si>
  <si>
    <t xml:space="preserve"> Equity Ownership
(%)</t>
  </si>
  <si>
    <t>Syrah Resources Ltd.</t>
  </si>
  <si>
    <t>China Graphite Group Ltd.</t>
  </si>
  <si>
    <t>AMG Critical Materials NV</t>
  </si>
  <si>
    <t>Northern Graphite Corp.</t>
  </si>
  <si>
    <t>Nacional de Grafite Ltda.</t>
  </si>
  <si>
    <t>Mineral Commodities Ltd.</t>
  </si>
  <si>
    <t>Private Interest</t>
  </si>
  <si>
    <t>Tirupati Graphite PLC</t>
  </si>
  <si>
    <t>China Minmetals Corp.</t>
  </si>
  <si>
    <t>Ownership</t>
  </si>
  <si>
    <t>Company type</t>
  </si>
  <si>
    <t>Owner country</t>
  </si>
  <si>
    <t>Parent Company Name</t>
  </si>
  <si>
    <t>Parent Company Country</t>
  </si>
  <si>
    <t>Parent company KeyInstn</t>
  </si>
  <si>
    <t>Parent company type</t>
  </si>
  <si>
    <t>Ultimate Parent Company Name</t>
  </si>
  <si>
    <t>Ultimate Parent Company Country</t>
  </si>
  <si>
    <t>Ultimate Parent company KeyInstn</t>
  </si>
  <si>
    <t>Ultimate Parent company type</t>
  </si>
  <si>
    <t>Perecnt Owned All-Insitutions</t>
  </si>
  <si>
    <t>Insitutions- Banks/ investment banks</t>
  </si>
  <si>
    <t>charitable foundations</t>
  </si>
  <si>
    <t>Corpotate Pensions sponsors</t>
  </si>
  <si>
    <t>Educational/cultural endowments</t>
  </si>
  <si>
    <t>Family Offices/Trusts</t>
  </si>
  <si>
    <t>gov pensions sponsors</t>
  </si>
  <si>
    <t>insurance companies</t>
  </si>
  <si>
    <t>Investment manager</t>
  </si>
  <si>
    <t>REIT</t>
  </si>
  <si>
    <t>Unclassified</t>
  </si>
  <si>
    <t>Union Pensions sponsors</t>
  </si>
  <si>
    <t>Hedge Fund Managers &lt;5% stake</t>
  </si>
  <si>
    <t>Soverign Welth Funds &lt;5% stake</t>
  </si>
  <si>
    <t>VC/PE firms &lt;5% stake</t>
  </si>
  <si>
    <t>Insiders</t>
  </si>
  <si>
    <t>Strategic Hedge Funds Manaegrs &gt;=5% stake</t>
  </si>
  <si>
    <t>StrategicVC/PE frims &gt;=5% stake</t>
  </si>
  <si>
    <t>Soverign Wealth Funds &gt;=5% stake</t>
  </si>
  <si>
    <t>strategic company controlled fuondations</t>
  </si>
  <si>
    <t>strategicESOP</t>
  </si>
  <si>
    <t>strategic State Owner</t>
  </si>
  <si>
    <t>strategic Corporation (Private)</t>
  </si>
  <si>
    <t>strategic Corporation (Public)</t>
  </si>
  <si>
    <t>Holder Country</t>
  </si>
  <si>
    <t>Traditional Investment Managers</t>
  </si>
  <si>
    <t>Australian Super Pty Ltd</t>
  </si>
  <si>
    <t>Paradice Investment Management Pty Ltd.</t>
  </si>
  <si>
    <t>Citigroup Inc.</t>
  </si>
  <si>
    <t>Bruce N. Gray</t>
  </si>
  <si>
    <t>Vanguard Capital Management LLC</t>
  </si>
  <si>
    <t>Dimensional Fund Advisors LP</t>
  </si>
  <si>
    <t>Bo Xu</t>
  </si>
  <si>
    <t>Niche Asset Management Limited</t>
  </si>
  <si>
    <t>Nt-Comnwlth Super Corp</t>
  </si>
  <si>
    <t>Peng Cheng Investment Pty. Ltd.</t>
  </si>
  <si>
    <t>Yyh Investment Pty. Ltd.</t>
  </si>
  <si>
    <t>Vanguard Fiduciary Trust Co.</t>
  </si>
  <si>
    <t>Arzon Capital PTY Ltd.</t>
  </si>
  <si>
    <t>Kenyon St Medical Centre Pty Ltd</t>
  </si>
  <si>
    <t>Zf Investments Australia Pty. Ltd.</t>
  </si>
  <si>
    <t>Shaun Verner</t>
  </si>
  <si>
    <t>ALPS Advisors Inc.</t>
  </si>
  <si>
    <t>Julio Cesar Diniz Costa</t>
  </si>
  <si>
    <t>Stephen Wells</t>
  </si>
  <si>
    <t>BetaShares Capital Ltd.</t>
  </si>
  <si>
    <t>James Edward Askew</t>
  </si>
  <si>
    <t>American Century Investment Management Inc</t>
  </si>
  <si>
    <t>Sara Watts</t>
  </si>
  <si>
    <t>State Street Global Advisors Inc.</t>
  </si>
  <si>
    <t>International Mining &amp; Finance Corp.</t>
  </si>
  <si>
    <t>John Richard Beevers</t>
  </si>
  <si>
    <t>Themes Management Co.</t>
  </si>
  <si>
    <t>Vanguard Global Advisers LLC</t>
  </si>
  <si>
    <t>Vanguard Asset Management Ltd.</t>
  </si>
  <si>
    <t>Robert Edel</t>
  </si>
  <si>
    <t>Lisa J. Bahash</t>
  </si>
  <si>
    <t>José Manuel Caldeira</t>
  </si>
  <si>
    <t>Kangjun Zhu</t>
  </si>
  <si>
    <t>Vanguard Group Inc.</t>
  </si>
  <si>
    <t>Boston Partners Global Investors Inc.</t>
  </si>
  <si>
    <t>Netwealth Investments Ltd.</t>
  </si>
  <si>
    <t>Vanguard Investments Australia Ltd.</t>
  </si>
  <si>
    <t>Sy Family Holding Pty. Ltd.</t>
  </si>
  <si>
    <t>FinClear Pty Ltd.</t>
  </si>
  <si>
    <t>Ataturk Investments Pty. Ltd.</t>
  </si>
  <si>
    <t>Connor Clark &amp; Lunn Investment Management Ltd.</t>
  </si>
  <si>
    <t>NA</t>
  </si>
  <si>
    <t>Liang Zhao</t>
  </si>
  <si>
    <t>Government Pension Sponsors</t>
  </si>
  <si>
    <t>Banks/Investment Banks</t>
  </si>
  <si>
    <t>Individuals/Insiders</t>
  </si>
  <si>
    <t>Corporations (Private)</t>
  </si>
  <si>
    <t>VC/PE Firms (&lt;5% stake)</t>
  </si>
  <si>
    <t>Van Eck Associates Corp.</t>
  </si>
  <si>
    <t>Heinz C. Schimmelbusch</t>
  </si>
  <si>
    <t>BlackRock Inc.</t>
  </si>
  <si>
    <t>Norges Bank Investment Management</t>
  </si>
  <si>
    <t>Man Group PLC</t>
  </si>
  <si>
    <t>Deutsche Asset &amp; Wealth Management</t>
  </si>
  <si>
    <t>Merrill Lynch Pierce Fenner &amp; Smith Inc.</t>
  </si>
  <si>
    <t>Barclays Bank PLC</t>
  </si>
  <si>
    <t>Barclays PLC</t>
  </si>
  <si>
    <t>Goldman Sachs Group Inc.</t>
  </si>
  <si>
    <t>KBC Asset Management NV</t>
  </si>
  <si>
    <t>L&amp;G - Asset Management Ltd.</t>
  </si>
  <si>
    <t>JPMorgan Chase &amp; Co.</t>
  </si>
  <si>
    <t>Acadian Asset Management LLC</t>
  </si>
  <si>
    <t>Legal &amp; General Investment Management Ltd.</t>
  </si>
  <si>
    <t>Parametric SAS</t>
  </si>
  <si>
    <t>Bank of America NA</t>
  </si>
  <si>
    <t>Eric E. Jackson</t>
  </si>
  <si>
    <t>Goldman Sachs Asset Management LP</t>
  </si>
  <si>
    <t>Global X Management (Aus) Ltd.</t>
  </si>
  <si>
    <t>Assenagon Asset Management S.A.</t>
  </si>
  <si>
    <t>Société Générale SA</t>
  </si>
  <si>
    <t>ING Belgium NV/SA</t>
  </si>
  <si>
    <t>Royce &amp; Associates LP</t>
  </si>
  <si>
    <t>Mirae Asset Global Investments Co. Ltd.</t>
  </si>
  <si>
    <t>Deka Investment GmbH</t>
  </si>
  <si>
    <t>Scopus Asset Management L.P.</t>
  </si>
  <si>
    <t>Steve H. Hanke</t>
  </si>
  <si>
    <t>Baron Capital Group Inc.</t>
  </si>
  <si>
    <t>SIH Partners LLLP</t>
  </si>
  <si>
    <t>Jackson M. Dunckel</t>
  </si>
  <si>
    <t>Amundi Asset Management SAS</t>
  </si>
  <si>
    <t>Rainier Investment Management LLC</t>
  </si>
  <si>
    <t>SEI Investments Co.</t>
  </si>
  <si>
    <t>BNY Asset Management</t>
  </si>
  <si>
    <t>DEVK Asset Management GmbH</t>
  </si>
  <si>
    <t>StarCapital AG</t>
  </si>
  <si>
    <t>UBS Asset Management AG</t>
  </si>
  <si>
    <t>Aramea Asset Management AG</t>
  </si>
  <si>
    <t>Michael Gerard Connor</t>
  </si>
  <si>
    <t>Herb D. Depp</t>
  </si>
  <si>
    <t>Bessemer Investment Management LLC</t>
  </si>
  <si>
    <t>Northern Trust Global Investments</t>
  </si>
  <si>
    <t>AXA Towarzystwo Funduszy Inwestycyjnych SA</t>
  </si>
  <si>
    <t>Geode Capital Management LLC</t>
  </si>
  <si>
    <t>Teachers Insurance and Annuity Association-College Retirement Equities Fund</t>
  </si>
  <si>
    <t>Donatella Ceccarelli</t>
  </si>
  <si>
    <t>EAM Global Investors LLC</t>
  </si>
  <si>
    <t>Fabiano Costa</t>
  </si>
  <si>
    <t>Warmolt Prins</t>
  </si>
  <si>
    <t>Ludo Mees</t>
  </si>
  <si>
    <t>Taunus Trust AG</t>
  </si>
  <si>
    <t>WisdomTree Asset Management Inc.</t>
  </si>
  <si>
    <t>CoreCommodity Management LLC</t>
  </si>
  <si>
    <t>Willem G. van Hassel</t>
  </si>
  <si>
    <t>Bank of America Corp.</t>
  </si>
  <si>
    <t>Anne K. Roby</t>
  </si>
  <si>
    <t>Dagmar Bottenbruch</t>
  </si>
  <si>
    <t>GWL Investment Management Ltd.</t>
  </si>
  <si>
    <t>ProShare Advisors LLC</t>
  </si>
  <si>
    <t>BTG Pactual Global Asset Management Ltd.</t>
  </si>
  <si>
    <t>Robert Jeffries</t>
  </si>
  <si>
    <t>KLP Kapitalforvaltning AS</t>
  </si>
  <si>
    <t>Bg Fund Management Luxembourg S.A.</t>
  </si>
  <si>
    <t>Picton Mahoney Asset Management</t>
  </si>
  <si>
    <t>AHP Capital Management</t>
  </si>
  <si>
    <t>Stefan Scherer</t>
  </si>
  <si>
    <t>Russell Investment Management LLC</t>
  </si>
  <si>
    <t>Sutterluty Investment Management GmbH</t>
  </si>
  <si>
    <t>D.E. Shaw &amp; Co. LP</t>
  </si>
  <si>
    <t>First Trust Advisors LP</t>
  </si>
  <si>
    <t>HSBC Global Asset Management (UK) Ltd.</t>
  </si>
  <si>
    <t>Towarzystwo Funduszy Inwestycyjnych PZU SA</t>
  </si>
  <si>
    <t>DBX Advisors LLC</t>
  </si>
  <si>
    <t>Old Mutual Investment Group (Pty) Ltd.</t>
  </si>
  <si>
    <t>FMR LLC</t>
  </si>
  <si>
    <t>CI Global Asset Management</t>
  </si>
  <si>
    <t>Citadel Advisors LLC</t>
  </si>
  <si>
    <t>First American Trust FSB</t>
  </si>
  <si>
    <t>Tweedy Browne Co. LLC</t>
  </si>
  <si>
    <t>ActusRayPartners Ltd.</t>
  </si>
  <si>
    <t>Voleon Capital Management LP</t>
  </si>
  <si>
    <t>Millennium Management LLC</t>
  </si>
  <si>
    <t>Marble Bar Asset Management LLP</t>
  </si>
  <si>
    <t>Sovereign Wealth Funds (&lt;5% stake)</t>
  </si>
  <si>
    <t>Hedge Fund Managers (&lt;5% stake)</t>
  </si>
  <si>
    <t>Palette Investment Management Inc.</t>
  </si>
  <si>
    <t>Gregory Borden Bowes</t>
  </si>
  <si>
    <t>W. Campbell Birge</t>
  </si>
  <si>
    <t>Hugues Jacquemin</t>
  </si>
  <si>
    <t>Bowes &amp; Company Management Ltd.</t>
  </si>
  <si>
    <t>B.E.S.T. Investment Counsel Ltd.</t>
  </si>
  <si>
    <t>Sam Januarie</t>
  </si>
  <si>
    <t>Niall Moore</t>
  </si>
  <si>
    <t>Pawel Alexander Jordan-Rozwadowski</t>
  </si>
  <si>
    <t>Arrow Capital Management Inc.</t>
  </si>
  <si>
    <t>Wealth Group Ltd.</t>
  </si>
  <si>
    <t>John Darin McNeice</t>
  </si>
  <si>
    <t>Sanyukta Somani</t>
  </si>
  <si>
    <t>Arun Somani</t>
  </si>
  <si>
    <t>Hargreaves Lansdown Asset Management Ltd.</t>
  </si>
  <si>
    <t>Haritmay Ventures LLP</t>
  </si>
  <si>
    <t>Pg Resources LLP</t>
  </si>
  <si>
    <t>James Brearley &amp; Sons Ltd.</t>
  </si>
  <si>
    <t>Aberdeen Group PLC</t>
  </si>
  <si>
    <t>Shishir Kumar Poddar</t>
  </si>
  <si>
    <t>Waratah Minerals Ltd.</t>
  </si>
  <si>
    <t>HBOS Investment Fund Managers Ltd.</t>
  </si>
  <si>
    <t>Premier Fund Managers Ltd.</t>
  </si>
  <si>
    <t>Optiva Securities Ltd.</t>
  </si>
  <si>
    <t>Interactive Brokers Group Inc.</t>
  </si>
  <si>
    <t>IG Group Holdings PLC</t>
  </si>
  <si>
    <t>Christian Gabriel St. John-Dennis</t>
  </si>
  <si>
    <t>Michael David Lynch-Bell</t>
  </si>
  <si>
    <t>Jarvis Securities PLC</t>
  </si>
  <si>
    <t>Evelyn Partners Investment Management LLP</t>
  </si>
  <si>
    <t>Octagonal Ltd.</t>
  </si>
  <si>
    <t>TEAM PLC</t>
  </si>
  <si>
    <t>Schroder Investment Management Ltd.</t>
  </si>
  <si>
    <t>Canaccord Genuity Wealth (International) Ltd.</t>
  </si>
  <si>
    <t>Raymond James Wealth Management Ltd.</t>
  </si>
  <si>
    <t>Royal Bank of Canada</t>
  </si>
  <si>
    <t>JM Finn &amp; Co Ltd.</t>
  </si>
  <si>
    <t>Commerzbank AG</t>
  </si>
  <si>
    <t>Standard Chartered PLC</t>
  </si>
  <si>
    <t>iDealing.com Ltd.</t>
  </si>
  <si>
    <t>BNY Mellon Advisors Inc.</t>
  </si>
  <si>
    <t>Dolmen Fund Management</t>
  </si>
  <si>
    <t>Lloyds Banking Group PLC</t>
  </si>
  <si>
    <t>Orbit Private Investments LP</t>
  </si>
  <si>
    <t>Fidelity International Ltd.</t>
  </si>
  <si>
    <t>Mediobanca Banca di Credito Finanziario SpA</t>
  </si>
  <si>
    <t>Fin-Eco SIM Spa</t>
  </si>
  <si>
    <t>Gérifonds SA</t>
  </si>
  <si>
    <t>RBC Europe Ltd.</t>
  </si>
  <si>
    <t>Mark Andrew Rollins</t>
  </si>
  <si>
    <t>Evelyn Partners Investment Management Services Ltd.</t>
  </si>
  <si>
    <t>Integrated Financial Arrangements plc</t>
  </si>
  <si>
    <t>Peel Hunt LLP</t>
  </si>
  <si>
    <t>Saxo Bank A/S</t>
  </si>
  <si>
    <t>Viscatain Ltd</t>
  </si>
  <si>
    <t>Capital International Group</t>
  </si>
  <si>
    <t>Killik Asset Management</t>
  </si>
  <si>
    <t>Marex Group Ltd.</t>
  </si>
  <si>
    <t>TrinityBridge Ltd.</t>
  </si>
  <si>
    <t>CGS International Securities Pte. Ltd.</t>
  </si>
  <si>
    <t>Turner Pope Investments (TPI) Ltd.</t>
  </si>
  <si>
    <t>Banco Inversis SA</t>
  </si>
  <si>
    <t>Avanza Fonder AB</t>
  </si>
  <si>
    <t>Ramsey Crookall &amp; Co. Ltd</t>
  </si>
  <si>
    <t>Joh. Berenberg Gossler &amp; Co. KG</t>
  </si>
  <si>
    <t>Ravenscroft Investment Management</t>
  </si>
  <si>
    <t>Corporations (Public)</t>
  </si>
  <si>
    <t>Government Institution</t>
  </si>
  <si>
    <t/>
  </si>
  <si>
    <t>#INVALID COMPANY ID</t>
  </si>
  <si>
    <t>Public Company</t>
  </si>
  <si>
    <t>Australia</t>
  </si>
  <si>
    <t>Australia; Australia</t>
  </si>
  <si>
    <t>4757367; 6682654</t>
  </si>
  <si>
    <t>Private Company</t>
  </si>
  <si>
    <t>BVI</t>
  </si>
  <si>
    <t>107016470</t>
  </si>
  <si>
    <t>Sandy Mining Limited</t>
  </si>
  <si>
    <t>Netherlands</t>
  </si>
  <si>
    <t>United Kingdom</t>
  </si>
  <si>
    <t>4649432</t>
  </si>
  <si>
    <t>State-owned Assets Supervision and Administration Commission of the State Counci</t>
  </si>
  <si>
    <t>允䅁䡁䅁䅁獂䅁䅁睊扂䙁䅍䅕䡂䝁䅷睢楂䝁䅅䅢時䕁䄸杣求䙁䄸杍ぁ䍁䄰杓ㅂ䝁䅷兌祁䑁䅁杍㉁䍁䄰睚祂䝁䅅䅣潂䝁䅫䅤求䍁䄴䅥獂䡁䅍䅥摂䙁䅍䅡求䝁䅕䅤祁䍁䅣光歁䕁䅙䅊穁䅁䅁材䅁䍁䅁䅁呂䙁䅁睘䑂䕁䄸兖佂䙁䅑杕婂䙁䄸杔䉂䕁䄰兒䅁䅁䅧䅁杁䅁䅁睕兂䙁䄸睑偂䕁䄰䅕䉂䕁䄴兗時䙁䅑兗兂䕁䅕䅁䅁䅁䅁䅕䅁䙁䅁睑啂䙁䄸睔塂䕁䄴兒䕂䙁䄸睕啂䙁䅉兑啂䕁䅕睒䩂䕁䅍睘䑂䕁䄸杕兂䕁䄸杕䉂䙁䅑兓偂䕁䄴睕時䙁䅁兖䍂䕁䅷兓䑂䅁䅁睈䅁䕁䅯䅁呂䙁䅁睘兂䕁䅍䅖時䙁䅍䅓䉂䙁䅉兒呂䙁䄸睔塂䕁䄴兒䕂䙁䄸兑䵂䕁䅷睘䩂䕁䄴睕啂䕁䅫䅖噂䙁䅑兓偂䕁䄴睕䅁䅁䅑䅁畁䅁䅁睒療䡁䅙党祂䝁䄴兢求䝁䄴䅤杁䕁䅫杢穂䡁䅑兡あ䡁䅕䅤灂䝁䄸杢䅁䅁䅅䅁䵂䅁䅁䅕䑂䙁䅑睘偂䙁䅣杔䙂䕁䅑睘䩂䕁䄴睕啂䕁䄴睘䝂䕁䅅兔䩂䕁䅷兗時䕁䄸杒䝂䕁䅫睑䙂䙁䅍睌啂䙁䅉兖呂䙁䅑睕䅁䅁䅉䅁䝁䅁䅁杔䉂䅁䅁睁䅁䉁䄴䅁䑂䝁䅅入瑂䝁䅅杢杁䕁䅫督獂䝁䅅杢歂䡁䅍䅁潂䅁䅁䅊䅁䙁䅍䅕時䙁䅁兑卂䕁䅕杔啂䙁䄸睑偂䙁䅕杔啂䙁䅉兗䅁䅁䅕䅁獂䅁䅁睊扂䙁䅍䅕䡂䝁䅷睢楂䝁䅅䅢時䕁䄸杣求䙁䄸杍ぁ䍁䄰杓ㅂ䝁䅷兌祁䑁䅁杍㉁䍁䄰睚祂䝁䅅䅣潂䝁䅫䅤求䍁䄴䅥獂䡁䅍䅥摂䙁䅍䅡求䝁䅕䅤祁䍁䅣光歁䕁䅙䅊祁䅁䅁睐䅁䅁䅧䅁䍂䙁䅙兓䅁䅁䅙䅁祁䅁䅁睕兂䙁䄸兖䵂䙁䅑睘兂䕁䅅杕䙂䕁䄴䅖時䕁䅍睔乂䙁䅁兑佂䙁䅫睘䩂䕁䅑䅁䡁䅁䅁杆䅁䕁䄰睢㙂䝁䅅兢楂䝁䅫兣ㅂ䝁䅕䅁䩁䅁䅁䅢䅁䍁䅣睗呂䙁䅁睒獂䝁䄸杙桂䝁䅷睘偂䡁䅉党時䑁䅉䅎瑁䕁䅯兤獂䍁䄰杍睁䑁䅉李瑁䝁䅣杣桂䡁䅁䅡灂䡁䅑党畁䡁䅧䅢穂䡁䅧兘呂䝁䅧党求䡁䅑杍湁䍁䅅䅊卂䍁䅑睍䅁䙁䅁䅁䵂䅁䅁䅕䑂䙁䅑睘偂䙁䅣杔䙂䕁䅑睘䩂䕁䄴睕啂䕁䄴睘䑂䕁䄸杕兂䙁䄸䅕䙂䕁䄴睕䩂䕁䄸杔時䙁䅍䅕偂䕁䄴睕偂䙁䅉睕䅁䅁䅯䅁卂䅁䅁䅕䑂䙁䅑睘偂䙁䅣杔䙂䕁䅑睘呂䙁䅑杕䉂䙁䅑兒䡂䕁䅫睑時䕁䅍睔卂䙁䅁睔卂䕁䅅䅖䩂䕁䄸杔呂䙁䄸䅕卂䕁䅫杖䉂䙁䅑兒䅁䅁䄰䅁煂䅁䅁䅕䑂䙁䅑睘偂䙁䅣杔䙂䕁䅑睘呂䙁䅑杕䉂䙁䅑兒䡂䕁䅫睑時䙁䅙睑癁䙁䅁兒時䕁䅙兓卂䕁䄰睕時䕁䄰睔卂䕁䅕睘䙂䙁䅅兖䉂䕁䅷兎兂䕁䅍䅖時䙁䅍䅖䉂䕁䅳兒䅁䍁䅑䅁佁䅁䅁睑桂䝁䄴兙歂䝁䅅䅁畁䅁䅁䅋䅁䍁䅍兓佂䙁䅙兑䵂䕁䅫䅒杁䕁䅍睔乂䙁䅁兑佂䙁䅫䅉䩂䕁䅑䅁穁䅁䅁䅢䅁䍁䅣睗呂䙁䅁睒獂䝁䄸杙桂䝁䅷睘偂䡁䅉党時䑁䅉䅎瑁䕁䅯兤獂䍁䄰杍睁䑁䅉李瑁䝁䅣杣桂䡁䅁䅡灂䡁䅑党畁䡁䅧䅢穂䡁䅧兘呂䝁䅧党求䡁䅑杍湁䍁䅅䅊䉂䍁䅑杍䅁䑁䅕䅁煁䅁䅁睕兂䙁䄸䅕䉂䙁䅉兒佂䙁䅑睘䑂䕁䄸兔兂䕁䅅杔婂䙁䄸兓䕂䅁䅁睃䅁䑁䅙䅁呂䙁䅁睘噂䕁䅷䅖時䙁䅁兑卂䕁䅕杔啂䙁䄸睑偂䕁䄰䅕䉂䕁䄴兗時䕁䄴兑乂䕁䅕䅁允䅁䅁䅢䅁䍁䅣睗呂䙁䅁睒獂䝁䄸杙桂䝁䅷睘偂䡁䅉党時䑁䅉䅎瑁䕁䅯兤獂䍁䄰杍睁䑁䅉李瑁䝁䅣杣桂䡁䅁䅡灂䡁䅑党畁䡁䅧䅢穂䡁䅧兘呂䝁䅧党求䡁䅑杍湁䍁䅅䅊兂䍁䅑睍䅁䕁䄴䅁啁䅁䅁免睁䑁䅣䅍硁䑁䅙䅎㍁䑁䅁䅁牁䅁䅁䅅䅁䑁䅑李ぁ䑁䅫䅎穁䑁䅉䅁硁䅁䅁䅢䅁䍁䅣睗呂䙁䅁睒獂䝁䄸杙桂䝁䅷睘偂䡁䅉党時䑁䅉䅎瑁䕁䅯兤獂䍁䄰杍睁䑁䅉李瑁䝁䅣杣桂䡁䅁䅡灂䡁䅑党畁䡁䅧䅢穂䡁䅧兘呂䝁䅧党求䡁䅑杍湁䍁䅅䅊䍂䍁䅑睍䅁䑁䅳䅁䍁䅁䅁䅁䵁䅁䅁䅢䅁䍁䅣睗呂䙁䅁睒獂䝁䄸杙桂䝁䅷睘偂䡁䅉党時䑁䅉䅎瑁䕁䅯兤獂䍁䄰杍睁䑁䅉李瑁䝁䅣杣桂䡁䅁䅡灂䡁䅑党畁䡁䅧䅢穂䡁䅧兘呂䝁䅧党求䡁䅑杍湁䍁䅅䅊䉂䍁䅑睍䅁䑁䅑䅁獂䅁䅁睊扂䙁䅍䅕䡂䝁䅷睢楂䝁䅅䅢時䕁䄸杣求䙁䄸杍ぁ䍁䄰杓ㅂ䝁䅷兌祁䑁䅁杍㉁䍁䄰睚祂䝁䅅䅣潂䝁䅫䅤求䍁䄴䅥獂䡁䅍䅥摂䙁䅍䅡求䝁䅕䅤祁䍁䅣光歁䙁䅁䅊祁䅁䅁睔䅁䑁䅯䅁兂䕁䅍䅖時䕁䄸睖佂䕁䅕䅒時䕁䅫杔呂䙁䅑杔時䙁䅕杔䑂䕁䅷兑呂䙁䅍兓䝂䕁䅫兒䕂䅁䅁杄䅁䉁䅁䅁呂䡁䅕兢瑂䝁䅅杣㕂䅁䅁兏䅁䕁䅷䅁兂䕁䅍䅖時䕁䄸睖佂䕁䅕䅒時䕁䅫杔呂䙁䅑杔時䕁䅣睔坂䙁䅑睘兂䕁䅕杔呂䕁䅫睔佂䙁䄸睕兂䕁䄸杔呂䕁䄸杕呂䅁䅁睄䅁䉁䅑䅁䉂䡁䅕督あ䡁䅉兙獂䝁䅫兙䅁䍁䅙䅁獂䅁䅁䅕䑂䙁䅑睘偂䙁䅣杔䙂䕁䅑睘䩂䕁䄴睕啂䕁䄴睘呂䕁䄸杖䙂䙁䅉兒䩂䕁䅣杔時䙁䅣兒䉂䕁䅷䅖䥂䙁䄸杒噂䕁䄴䅒呂䙁䄸䅔䙂䙁䅍睕ㅁ䙁䅁睑啂䙁䄸睕啂䕁䅅睓䙂䅁䅁充䅁䙁䄴䅁兂䕁䅍䅖時䕁䄸睖佂䕁䅕䅒時䕁䅫杔呂䙁䅑杔時䕁䅧兒䕂䕁䅣兒時䕁䅙兖佂䕁䅑睘乂䕁䅣杕呂䙁䄸䅔䙂䙁䅍睕ㅁ䙁䅁睑啂䙁䄸睕啂䕁䅅睓䙂䅁䅁睆䅁䍁䅯䅁䉂䡁䅕督あ䡁䅉兙獂䝁䅫兙㝁䍁䅁兑ㅂ䡁䅍䅤祂䝁䅅䅢灂䝁䅅䅁潁䅁䅁杍䅁䙁䅁睑啂䙁䄸睔塂䕁䄴兒䕂䙁䄸睕啂䙁䅉兑啂䕁䅕睒䩂䕁䅍睘䙂䙁䅍睔兂䅁䅁杅䅁䅁䄴䅁䍂䡁䅉兙㙂䝁䅫䅢䅁䍁䄸䅁獁䅁䅁睕兂䙁䄸兖䵂䙁䅑睘兂䕁䅅杕䙂䕁䄴䅖時䕁䅍睔噂䕁䄴䅖卂䙁䅫䅁呁䅁䅁杔䅁䙁䅁睑啂䙁䄸睔塂䕁䄴兒䕂䙁䄸兓佂䙁䅍䅖佂䙁䄸兖佂䕁䅫睔佂䙁䄸䅕䙂䕁䄴睕䩂䕁䄸杔時䙁䅍䅕偂䕁䄴睕偂䙁䅉睕䅁䍁䅁䅁䵁䅁䅁睑潂䝁䅫杢桂䅁䅁杋䅁䕁䅙䅁兂䕁䅍䅖時䕁䄸睖佂䕁䅕䅒時䕁䅫杔呂䙁䅑杔時䕁䅉兑佂䕁䅳睕癁䕁䅫杔坂䕁䅕睕啂䙁䄸村䉂䕁䄴睓呂䅁䅁䅆䅁䉁䄴䅁噂䝁䄴兡あ䝁䅕䅚杁䕁䅳兡畂䝁䅣䅚療䝁䄰䅁睁䅁䅁杣䅁䙁䅁睑啂䙁䄸睔塂䕁䄴兒䕂䙁䄸睕啂䙁䅉兑啂䕁䅕睒䩂䕁䅍睘䥂䕁䅕䅒䡂䕁䅕睘䝂䙁䅕杔䕂䙁䄸兔䡂䙁䅉睕時䕁䄰睔卂䕁䅕睘䙂䙁䅅兖䉂䕁䅷兎兂䕁䅍䅖時䙁䅍䅖䉂䕁䅳兒䅁䉁䅯䅁䅃䅁䅁䅕䑂䙁䅑睘偂䙁䅣杔䙂䕁䅑睘呂䙁䅑杕䉂䙁䅑兒䡂䕁䅫睑時䙁䅍睔坂䕁䅕杕䙂䕁䅫睒佂䙁䄸睖䙂䕁䅅䅔啂䕁䅧睘䝂䙁䅕杔䕂䙁䅍睘乂䕁䄸杕䙂䙁䄸兒剂䙁䅕兑䵂䑁䅕䅕䑂䙁䅑睘呂䙁䅑兑䱂䕁䅕䅁噁䅁䅁杚䅁䙁䅁睑啂䙁䄸睔塂䕁䄴兒䕂䙁䄸睕啂䙁䅉兑啂䕁䅕睒䩂䕁䅍睘䑂䕁䄸兔兂䕁䅅杔婂䙁䄸睑偂䕁䄴䅖卂䕁䄸䅔䵂䕁䅕䅒時䕁䅙睔噂䕁䄴䅒䉂䙁䅑兓偂䕁䄴睕䅁䍁䅍䅁獂䅁䅁睊扂䙁䅍䅕䡂䝁䅷睢楂䝁䅅䅢時䕁䄸杣求䙁䄸杍ぁ䍁䄰杓ㅂ䝁䅷兌祁䑁䅁杍㉁䍁䄰睚祂䝁䅅䅣潂䝁䅫䅤求䍁䄴䅥獂䡁䅍䅥摂䙁䅍䅡求䝁䅕䅤祁䍁䅣光歁䙁䅍䅊穁䅁䅁杕䅁䕁䄴䅁兂䕁䅍䅖時䕁䄸睖佂䕁䅕䅒時䕁䅫杔呂䙁䅑杔時䕁䅍䅓䉂䙁䅉兓啂䕁䅅村䵂䕁䅕睘䝂䕁䄸兖佂䕁䅑兑啂䕁䅫睔佂䙁䅍䅁坁䅁䅁䅙䅁䙁䅁睑啂䙁䄸睔塂䕁䄴兒䕂䙁䄸兓佂䙁䅍䅖佂䙁䄸兒䕂䙁䅕睑䉂䙁䅑兓偂䕁䄴兑䵂䍁䄸睑噂䕁䅷䅖噂䙁䅉兑䵂䙁䄸兒佂䕁䅑睔塂䕁䄰兒佂䙁䅑睕䅁䉁䅧䅁流䅁䅁䅕䑂䙁䅑睘偂䙁䅣杔䙂䕁䅑睘䩂䕁䄴睕䩂䕁䅑兒卂䙁䅍䅁婁䅁䅁䅓䅁䙁䅁睑啂䙁䄸睔塂䕁䄴兒䕂䙁䄸兓佂䙁䅍䅖佂䙁䄸兓佂䙁䅍兖卂䕁䅅杔䑂䕁䅕睘䑂䕁䄸兔兂䕁䅅杔䩂䕁䅕睕䅁䉁䅳䅁啁䅁䅁䅓療䝁䅷䅚求䡁䅉䅉䩂䕁䅑䅁㥁䅁䅁䅏䅁䙁䅁睑啂䙁䄸睔塂䕁䄴兒䕂䙁䄸兓佂䙁䅍䅖佂䙁䄸兓佂䙁䅙兒呂䙁䅑睘乂䕁䅣杕呂䅁䅁䅈䅁䍁䅯䅁兂䕁䅍䅖時䕁䄸睖佂䕁䅕䅒時䕁䅫杔呂䙁䅑杔時䙁䅉兒䩂䙁䅑䅁摁䅁䅁杉䅁䑁䅑睎ㅁ䑁䅣睍㉁䑁䅣睏杁䑁䅙李㑁䑁䅉李ㅁ䑁䅑䅁敁䅁䅁杖䅁䙁䅁睑啂䙁䄸睔塂䕁䄴兒䕂䙁䄸兓佂䙁䅍䅖佂䙁䄸杖䑂䍁䄸䅕䙂䙁䄸杒䩂䙁䅉兔呂䙁䄸䅔䙂䙁䅍睕ㅁ䙁䅁睑啂䙁䄸睕啂䕁䅅睓䙂䅁䅁光䅁䍁䅁䅁兂䡁䅉兡㉂䝁䅅䅤求䍁䅁睑療䝁䄰䅣桂䝁䄴入䅁䍁䅉䅁慁䅁䅁睕兂䙁䄸䅓偂䕁䅷䅒䙂䙁䅉睘䩂䕁䅑䅁㡁䅁䅁䅑䅁䙁䅁睑啂䙁䄸睔塂䕁䄴兒䕂䙁䄸睕啂䙁䅉兑啂䕁䅕睒䩂䕁䅍睘呂䙁䅑兑啂䕁䅕睘偂䙁䅣杔䙂䙁䅉䅁汁䅁䅁杈䅁䙁䅁兤楂䝁䅷兡橂䍁䅁睑療䝁䄰䅣桂䝁䄴入䅁䍁䅣䅁祁䅁䅁兑ㅂ䡁䅍䅤祂䝁䅅䅢灂䝁䅅杢杁䙁䅍兤睂䝁䅕杣杁䙁䅁䅤㕂䍁䅁䅔あ䝁䅑䅁灁䅁䅁杋䅁䙁䅍兙畂䝁䅑入杁䕁䄰兡畂䝁䅫杢湂䍁䅁䅔灂䝁䄰兡あ䝁䅕䅚䅁䍁䅷䅁奁䅁䅁杔求䡁䅑䅡求䡁䅉䅢桂䝁䄴䅚穂䅁䅁兌䅁䅁䅑䅁硁䅁䅁睎䅁䭁䅉䅁呂䡁䅑兙あ䝁䅕兌療䡁䅣杢求䝁䅑䅉䉂䡁䅍督求䡁䅑督杁䙁䅍兤睂䝁䅕杣㉂䝁䅫督灂䝁䄸杢杁䝁䅅杢歂䍁䅁兑歂䝁䄰兡畂䝁䅫督あ䡁䅉兙あ䝁䅫睢畂䍁䅁睑療䝁䄰兢灂䡁䅍督灂䝁䄸杢杁䝁䄸杚杁䡁䅑䅡求䍁䅁睕あ䝁䅅䅤求䍁䅁睑療䡁䅕杢橂䝁䅫䅁祁䅁䅁杈䅁䙁䅍䅕時䕁䅧睔䵂䕁䅑兒卂䙁䄸杔䉂䕁䄰兒䅁䑁䅙䅁䥁䅁䅁兎睁䑁䅁䅁㑁䅁䅁䅇䅁䕁䅧睢獂䝁䅑党祂䍁䅁杔桂䝁䄰党䅁䑁䅯䅁獂䅁䅁睊扂䙁䅍䅕䡂䝁䅷睢楂䝁䅅䅢時䕁䄸杣求䙁䄸杍ぁ䍁䄰杓ㅂ䝁䅷兌祁䑁䅁杍㉁䍁䄰睚祂䝁䅅䅣潂䝁䅫䅤求䍁䄴䅥獂䡁䅍䅥摂䙁䅍䅡求䝁䅕䅤祁䍁䅣光歁䕁䅍䅊穁䅁䅁䅑䅁䉁䄴䅁呂䙁䅁睘䥂䕁䄸䅔䕂䕁䅕杕時䙁䅑兗兂䕁䅕䅁䉂䅁䅁䅇䅁䕁䅧睢獂䝁䅑党祂䍁䅁䅖㕂䡁䅁党䅁䕁䅉䅁獂䅁䅁睊扂䙁䅍䅕䡂䝁䅷睢楂䝁䅅䅢時䕁䄸杣求䙁䄸杍ぁ䍁䄰杓ㅂ䝁䅷兌祁䑁䅁杍㉁䍁䄰睚祂䝁䅅䅣潂䝁䅫䅤求䍁䄴䅥獂䡁䅍䅥摂䙁䅍䅡求䝁䅕䅤祁䍁䅣光歁䕁䅑䅊穁䅁䅁睑䅁䍁䅷䅁呂䙁䅁睘兂䕁䅍䅖時䕁䅧兒䵂䕁䅑睘䍂䙁䅫睘䥂䕁䄸䅔䕂䕁䅕杕䅁䕁䅑䅁畁䅁䅁䅕求䡁䅉睙求䝁䄴䅤杁䕁䅧党獂䝁䅑䅉楂䡁䅫䅉䥂䝁䄸䅢歂䝁䅕杣䅁䕁䅕䅁獂䅁䅁睊扂䙁䅍䅕䡂䝁䅷睢楂䝁䅅䅢時䕁䄸杣求䙁䄸杍ぁ䍁䄰杓ㅂ䝁䅷兌祁䑁䅁杍㉁䍁䄰睚祂䝁䅅䅣潂䝁䅫䅤求䍁䄴䅥獂䡁䅍䅥摂䙁䅍䅡求䝁䅕䅤祁䍁䅣光歁䕁䅣䅊穁䅁䅁杒䅁䝁䅷䅁湁䙁䅳睕兂䕁䅣䅢療䝁䅉兙獂䙁䄸睔祂䝁䅕睘祁䑁䅑兌䭂䡁䅕䅢瑁䑁䅉䅍祁䑁䅙兌湂䡁䅉兙睂䝁䅧兡あ䝁䅕杌㑂䝁䅷督㑂䙁䄰睕潂䝁䅕党あ䑁䅉睊桁䍁䅑䅓歁䑁䅍䅁䡂䅁䅁䅄䅁䕁䅫杢歂䝁䅫兙䅁䝁䅙䅁獂䅁䅁睊扂䙁䅍䅕䡂䝁䅷睢楂䝁䅅䅢時䕁䄸杣求䙁䄸杍ぁ䍁䄰杓ㅂ䝁䅷兌祁䑁䅁杍㉁䍁䄰睚祂䝁䅅䅣潂䝁䅫䅤求䍁䄴䅥獂䡁䅍䅥摂䙁䅍䅡求䝁䅕䅤祁䍁䅣光歁䕁䅫䅊穁䅁䅁䅓䅁䝁䅷䅁湁䙁䅳睕兂䕁䅣䅢療䝁䅉兙獂䙁䄸睔祂䝁䅕睘祁䑁䅑兌䭂䡁䅕䅢瑁䑁䅉䅍祁䑁䅙兌湂䡁䅉兙睂䝁䅧兡あ䝁䅕杌㑂䝁䅷督㑂䙁䄰睕潂䝁䅕党あ䑁䅉睊桁䍁䅑睓歁䑁䅍䅁䩂䅁䅁䅢䅁䍁䅣睗呂䙁䅁睒獂䝁䄸杙桂䝁䅷睘偂䡁䅉党時䑁䅉䅎瑁䕁䅯兤獂䍁䄰杍睁䑁䅉李瑁䝁䅣杣桂䡁䅁䅡灂䡁䅑党畁䡁䅧䅢穂䡁䅧兘呂䝁䅧党求䡁䅑杍湁䍁䅅䅊䱂䍁䅑杍䅁䕁䅯䅁獂䅁䅁睊扂䙁䅍䅕䡂䝁䅷睢楂䝁䅅䅢時䕁䄸杣求䙁䄸杍ぁ䍁䄰杓ㅂ䝁䅷兌祁䑁䅁杍㉁䍁䄰睚祂䝁䅅䅣潂䝁䅫䅤求䍁䄴䅥獂䡁䅍䅥摂䙁䅍䅡求䝁䅕䅤祁䍁䅣光歁䕁䅷䅊穁䅁䅁睓䅁䝁䅷䅁湁䙁䅳睕兂䕁䅣䅢療䝁䅉兙獂䙁䄸睔祂䝁䅕睘祁䑁䅑兌䭂䡁䅕䅢瑁䑁䅉䅍祁䑁䅙兌湂䡁䅉兙睂䝁䅧兡あ䝁䅕杌㑂䝁䅷督㑂䙁䄰睕潂䝁䅕党あ䑁䅉睊桁䍁䅑兔歁䑁䅍䅁䵂䅁䅁䅢䅁䍁䅣睗呂䙁䅁睒獂䝁䄸杙桂䝁䅷睘偂䡁䅉党時䑁䅉䅎瑁䕁䅯兤獂䍁䄰杍睁䑁䅉李瑁䝁䅣杣桂䡁䅁䅡灂䡁䅑党畁䡁䅧䅢穂䡁䅧兘呂䝁䅧党求䡁䅑杍湁䍁䅅䅊佂䍁䅑睍䅁䕁䄰䅁獂䅁䅁睊扂䙁䅍䅕䡂䝁䅷睢楂䝁䅅䅢時䕁䄸杣求䙁䄸杍ぁ䍁䄰杓ㅂ䝁䅷兌祁䑁䅁杍㉁䍁䄰睚祂䝁䅅䅣潂䝁䅫䅤求䍁䄴䅥獂䡁䅍䅥摂䙁䅍䅡求䝁䅕䅤祁䍁䅣光歁䙁䅅䅊穁䅁䅁兕䅁䝁䅷䅁湁䙁䅳睕兂䕁䅣䅢療䝁䅉兙獂䙁䄸睔祂䝁䅕睘祁䑁䅑兌䭂䡁䅕䅢瑁䑁䅉䅍祁䑁䅙兌湂䡁䅉兙睂䝁䅧兡あ䝁䅕杌㑂䝁䅷督㑂䙁䄰睕潂䝁䅕党あ䑁䅉睊桁䍁䅑兖歁䑁䅍䅁呂䅁䅁䅢䅁䍁䅣睗呂䙁䅁睒獂䝁䄸杙桂䝁䅷睘偂䡁䅉党時䑁䅉䅎瑁䕁䅯兤獂䍁䄰杍睁䑁䅉李瑁䝁䅣杣桂䡁䅁䅡灂䡁䅑党畁䡁䅧䅢穂䡁䅧兘呂䝁䅧党求䡁䅑杍湁䍁䅅䅊噂䍁䅑杍䅁䙁䅑䅁獂䅁䅁睊扂䙁䅍䅕䡂䝁䅷睢楂䝁䅅䅢時䕁䄸杣求䙁䄸杍ぁ䍁䄰杓ㅂ䝁䅷兌祁䑁䅁杍㉁䍁䄰睚祂䝁䅅䅣潂䝁䅫䅤求䍁䄴䅥獂䡁䅍䅥摂䙁䅍䅡求䝁䅕䅤祁䍁䅣光歁䙁䅙䅊穁䅁䅁兖䅁䝁䅷䅁湁䙁䅳睕兂䕁䅣䅢療䝁䅉兙獂䙁䄸睔祂䝁䅕睘祁䑁䅑兌䭂䡁䅕䅢瑁䑁䅉䅍祁䑁䅙兌湂䡁䅉兙睂䝁䅧兡あ䝁䅕杌㑂䝁䅷督㑂䙁䄰睕潂䝁䅕党あ䑁䅉睊桁䍁䅑睖歁䑁䅍䅁坂䅁䅁䅢䅁䍁䅣睗呂䙁䅁睒獂䝁䄸杙桂䝁䅷睘偂䡁䅉党時䑁䅉䅎瑁䕁䅯兤獂䍁䄰杍睁䑁䅉李瑁䝁䅣杣桂䡁䅁䅡灂䡁䅑党畁䡁䅧䅢穂䡁䅧兘呂䝁䅧党求䡁䅑杍湁䍁䅅䅊奂䍁䅑睍䅁䙁䅣䅁䥁䅁䅁兖呂䕁䅅䅁奂䅁䅁䅆䅁䕁䅧睢畂䝁䅣䅉䱂䝁䄸杢湂䅁䅁党䅁䉁䅁䅁䡂䝁䅕杣瑂䝁䅅杢㕂䅁䅁兗䅁䉁䅁䅁䍂䝁䅕杣瑂䡁䅕䅚桂䅁䅁杗䅁䅁䄴䅁佂䝁䄸杣㍂䝁䅅入䅁䙁䅳䅁佁䅁䅁杓求䡁䅉督求䡁䅫䅁捂䅁䅁䅇䅁䙁䅍睢ㅂ䡁䅑䅡杁䕁䅳睢祂䝁䅕兙䅁䙁䄰䅁允䅁䅁村求䝁䅷睚灂䡁䅕兢䅁䙁䄴䅁佁䅁䅁杒祂䝁䅅杢橂䝁䅕䅁時䅁䅁杆䅁䕁䅷兤㑂䝁䅕兢楂䝁䄸兤祂䝁䅣䅁杂䅁䅁䅇䅁䙁䅍睤灂䡁䅑来求䡁䅉䅢桂䝁䄴䅚䅁䝁䅅䅁佁䅁䅁䅕療䝁䅷兙畂䝁䅑䅁楂䅁䅁䅅䅁䕁䅅兤穂䡁䅑杣灂䝁䅅䅁橂䅁䅁杇䅁䙁䅍睢ㅂ䡁䅑䅡杁䕁䅅杚祂䝁䅫睙桂䅁䅁䅚䅁䉁䅁䅁䩂䡁䅉党獂䝁䅅杢歂䅁䅁睚䅁䅁䅷䅁䩂䡁䅑兙獂䡁䅫䅁灂䅁䅁䅅䅁䕁䅑党畂䝁䄰兙祂䝁䅳䅁煂䅁䅁䅆䅁䙁䅍兡畂䝁䅣兙睂䝁䄸杣求䅁䅁睡䅁䅁䅷䅁呂䡁䅁兙灂䝁䄴䅁獂䅁䅁杄䅁䙁䅍睤求䝁䅑党畂䅁䅁兢䅁䉁䅧䅁䩂䡁䅍䅢求䍁䅁睢浂䍁䅁兔桂䝁䄴䅁畂䅁䅁杅䅁䕁䅣兤求䡁䅉杢穂䝁䅕入䅁䝁䄸䅁牄允䅁䍄䉁䅁䅁睁䅁䅁䅍䅄䅁䅁䅕䅁䅁䱧夲䕕䭅䅁䅁䅁䉁䅁䅁允䅁䅁䅯允䅁䅁杷允䅁䅁䅍䅁䑁䅁䅷䅁䙁䅁䅁䕁牂汭䉂权佁䅁䅁允䅁䅁䅅䅁䭁䅁䅍䅁䵁䅉䅅䅁䑁䅁䅁睁䵁䅁䅁兂䅁䅁䅃婶全兑䅯杁䅁䅁䅅䅁䉁䅁䅁权䑁䅁䅁䍄䉁䅁䅁睁䅁䅁䅍䅄䅁䅁䅕䅁䅁䱧夲䕕䭅䅁䅯䅁䉁䅁䅁允䅁䅁䅯睁䅁䅁杷允䅁䅁䅍䅁䑁䅁䅷䅁䙁䅁䅁䥁硁汏䉂权䥁䅁䅁允䅁䅁䅅䅁䭁䝁䅁䅁䵁䅉䅅䅁䑁䅁䅁睁䵁䅁䅁兂䅁䅁䅂㕡兰兑䅯䅂䅁䅁䅅䅁䉁䅁䅁权䑁䅁䅁䍄䉁䅁䅁睁䅁䅁䅍䅄䅁䅁䅕䅁䅁䨯改啭䭅䅁䅕䅁䉁䅁䅁允䅁䅁䅯杂䅁䅁杷允䅁䅁䅍䅁䑁䅁䅷䅁䙁䅁䅁䥁㥃䙭䉂权䡁䅁䅁允䅁䅁䅅䅁䭁䅁䅍䅁䵁䅉䅅䅁䑁䅁䅁睁䵁䅁䅁兂䅁䅁䅁䩢兴兑䅯睉䅁䅁䅅䅁䉁䅁䅁权䑁䅁䅁䍄䉁䅁䅁睁䅁䅁䅍䅄䅁䅁䅕䅁䅁䱧夲䕕䭅䅁䅧䅁䉁䅁䅁允䅁䅁䅯元䅁䅁杷允䅁䅁䅍䅁䑁䅁䅷䅁䙁䅁䅁䥁㥃䙭䉂权䱁䅁䅁允䅁䅁䅅䅁䭁䅁䅷䅁䵁䅉䅅䅁䑁䅁䅁睁䵁䅁䅁兂䅁䅁䅃婶全兑䅯兂䅁䅁䅅䅁䉁䅁䅁权䵁䅁䅁䍄䉁䅁䅁睁䅁䅁䅍䅄䅁䅁䅕䅁䅁䡑䉅啕䭅䉁䅍䅁䉁䅁䅁允䅁䅁䅯䅄䅁䅁杷允䅁䅁䅧䅁䵁䅉䅅䅁䡁䅁䅁权兂䅁䅁权偂䅁䅁权䉂䅁䅁权㍁䅁䅁权㑁䅁䅁权䕁䅁䅋权㕁䅁䅁䅆潃坓末䡭噯剌䅑橎瀲呶敍䉏啯䭁敱硲呑䱲䵖䅆瑄⼰卆䵃㑌硂䅑穄呲桡㝷乤啁䥁䉐唯敒歅乌䅆呄灰偌䍧䡺杉䅅䅁䉁䅁䅁权䍂䅁䅁䍄䉁䅁䅁睁䅁䅁䅍䅄䅁䅁䅕䅁䅁佧䘶䕕䭅䉁䅷䅁䉁䅁䅁允䅁䅁䅯睁䅁䅁杷允䅁䅁䅍䅁䑁䅁䅷䅁䙁䅁䅁䕁牂汭䉂权乁䅁䅁允䅁䅁䅅䅁䭁䅁䅍䅁䵁䅉䅅䅁䑁䅁䅁睁䵁䅁䅁兂䅁䅁䅁䩈党兑䅯䅇䅁䅁䅅䅁䉁䅁䅁权䑁䅁䅁䍄䉁䅁䅁睁䅁䅁䅍䅄䅁䅁䅕䅁䅁䩑挫䕕䭅䅁䅁䅁䉁䅁䅁允䅁䅁䅯睊䅁䅁杷允䅁䅁䅍䅁䑁䅁䅷䅁䙁䅁䅁偁晹灘䉬权佁䅁䅁允䅁䅁䅅䅁䭁䅁䅍䅁䵁䅉䅅䅁䑁䅁䅁睁䵁䅁䅁兂䅁䅁䅁穄側兑䅯䅃䅁䅁䅅䅁䉁䅁䅁权睁䅁䅁䍄䉁䅁䅁睁䅁䅁䅍䅄䅁䅁䅕䅁䅁䉁坹䕕䭅䅁䄸䅁䉁䅁䅁允䅁䅁䅯睁䅁䅁杷允䅁䅁䅍䅁䑁䅁䅷䅁䙁䅁䅁䕁晃䙮䉂权噁䅁䅁允䅁䅁䅅䅁䭁䅁䅍䅁䵁䅉䅅䅁䑁䅁䅁睁䵁䅁䅁兂䅁䅁䅃婶全兑䅯䅅䅁䅁䅅䅁䉁䅁䅁权䵁䅁䅁䍄䉁䅁䅁睁䅁䅁䅍䅄䅁䅁䅕䅁䅁䱧夲䕕䭅䅁䅑䅁䉁䅁䅁允䅁䅁䅯睁䅁䅁杷允䅁䅁䅍䅁䑁䅁䅷䅁䙁䅁䅁䕁牂汭䉂权婁䅁䅁允䅁䅁䅅䅁䙁䡁㥅瑃橥䵣⼰䍄䉁䅁䅁睁䅁䅁䅍䅄䅁䅁䅕䅁䅁䩑挫䕕䭅䉁䅅䅁䉁䅁䅁允䅁䅁䅯睁䅁䅁杷允䅁䅁䅍䅁䑁䅁䅷䅁䙁䅁䅁䕁晃䙮䉂权慁䅁䅁允䅁䅁䅅䅁䭁䅁䅍䅁䵁䅉䅅䅁䑁䅁䅁睁䵁䅁䅁兂䅁䅁䅁坥做兑䅯䅃䅁䅁䅅䅁䉁䅁䅁权睁䅁䅁䍄䉁䅁䅁睁䅁䅁䅍䅄䅁䅁䅕䅁䅁䱧夲䕕䭅䉁䅉䅁䉁䅁䅁允䅁䅁䅯睁䅁䅁杷允䅁䅁䅍䅁䑁䅁䅷䅁䙁䅁䅁䥁䍂䙘䉆权䥁䅁䅁允䅁䅁䅅䅁䭁䙁䅧䅁䵁䅉䅅䅁䑁䅁䅁睁䵁䅁䅁兂䅁䅁䅁䩈党兑䅯权䅁䅁䅅䅁䉁䅁䅁权䑁䅁䅁䍄䉁䅁䅁睁䅁䅁䅍䅄䅁䅁䅕䅁䅁䥁氫䕕䭅䉁䅕䅁䉁䅁䅁允䅁䅁䅯睁䅁䅁杷允䅁䅁䅍䅁䑁䅁䅷䅁䙁䅁䅁䥁㥃䙭䉂权呁䅁䅁允䅁䅁䅅䅁䭁䅁䅷䅁䵁䅉䅅䅁䑁䅁䅁睁䵁䅁䅁兂䅁䅁䅃婶全兑䅯䅆䅁䅁䅅䅁䉁䅁䅁权䑁䅁䅁䍄䉁䅁䅁睁䅁䅁䅍䅄䅁䅁䅕䅁䅁䱧夲䕕䭅䉁䅕䅁䉁䅁䅁允䅁䅁䅯睁䅁䅁杷允䅁䅁䅍䅁䑁䅁䅷䅁䙁䅁䅁䕁硂噁䉆权桁䅁䅁允䅁䅁䅅䅁䭁䅁䅍䅁䵁䅉䅅䅁䑁䅁䅁睁䵁䅁䅁兂䅁䅁䅃婶全兑䅯兊䅁䅁䅅䅁䉁䅁䅁权䑁䅁䅁䍄䉁䅁䅁睁䅁䅁䅍䅄䅁䅁䅕䅁䅁䩑挫䕕䭅䅁䅕䅁䉁䅁䅁允䅁䅁䅯䅋䅁䅁杷允䅁䅁䅍䅁䑁䅁䅷䅁䙁䅁䅁䕁晃䙮䉂权䥁䅁䅁允䅁䅁䅅䅁䭁䍁䅙䅁䵁䅉䅅䅁䑁䅁䅁睁䵁䅁䅁兂䅁䅁䅁㙪兖兑䅯兂䅁䅁䅅䅁䉁䅁䅁权䵁䅁䅁䍄䉁䅁䅁睁䅁䅁䅍䅄䅁䅁䅕䅁䅁䱧夲䕕䭅䉁䅙䅁䉁䅁䅁允䅁䅁䅯睁䅁䅁杷允䅁䅁䅍䅁䑁䅁䅷䅁䙁䅁䅁䅁獂ㅭ䉂权剁䅁䅁允䅁䅁䅅䅁䭁䅁䅍䅁䵁䅉䅅䅁䑁䅁䅁睁䵁䅁䅁兂䅁䅁䅃婶全兑䅯睆䅁䅁䅅䅁䉁䅁䅁权䑁䅁䅁䍄䉁䅁䅁睁䅁䅁䅍䅄䅁䅁䅕䅁䅁䍷杫䕕䭅䅁䅧䅁䉁䅁䅁允䅁䅁䅯睙䅁䅁杷允䅁䅁䅍䅁䑁䅁䅷䅁䙁䅁䅁䕁晃䙮䉂权十䅁䅁允䅁䅁䅅䅁䭁䅁䅍䅁䵁䅉䅅䅁䑁䅁䅁睁䵁䅁䅁兂䅁䅁䅃漷兖兑䅯兊䅁䅁䅅䅁䉁䅁䅁权䑁䅁䅁䍄䉁䅁䅁睁䅁䅁䅍䅄䅁䅁䅕䅁䅁䱧夲䕕䭅䉁䅧䅁䉁䅁䅁允䅁䅁䅯睁䅁䅁杷允䅁䅁䅍䅁䑁䅁䅷䅁䙁䅁䅁䕁畃浏䉒权捁䅁䅁允䅁䅁䅅䅁䙁䍁捬㡪ㅌ䉋䄹䍄䉁䅁䅁睁䅁䅁䅍䅄䅁䅁䅕䅁䅁偁當歔䭅䅁䅧䅁䉁䅁䅁允䅁䅁䅯䅗䅁䅁杷允䅁䅁䅍䅁䑁䅁䅷䅁䙁䅁䅁䥁㥃䙭䉂权歁䅁䅁允䅁䅁䅅䅁䭁䅁䅍䅁䵁䅉䅅䅁䑁䅁䅁睁䵁䅁䅁兂䅁䅁䅂㕮典兑䅯䅇䅁䅁䅅䅁䉁䅁䅁权䑁䅁䅁䍄䉁䅁䅁睁䅁䅁䅍䅄䅁䅁䅕䅁䅁䉁坹䕕䭅䉁䅅䅁䉁䅁䅁允䅁䅁䅕灭婭婭婭あ䵁䅉䅅䅁䑁䅁䅁睁䵁䅁䅁兂䅁䅁䅃婶全兑䅯睄䅁䅁䅅䅁䉁䅁䅁权䑁䅁䅁䍄䉁䅁䅁睁䅁䅁䅍䅄䅁䅁䅕䅁䅁䱧夲䕕䭅䉁䅅䅁䉁䅁䅁允䅁䅁䅯睁䅁䅁杷允䅁䅁䅍䅁䑁䅁䅷䅁䙁䅁䅁䕁晃䙮䉂权啁䅁䅁允䅁䅁䅅䅁䙁䭁睒児塲睯䅊䍄䉁䅁䅁睁䅁䅁䅍䅄䅁䅁䅕䅁䅁䱧夲䕕䭅䍁䅅䅁䉁䅁䅁允䅁䅁䅯睁䅁䅁杷允䅁䅁䅍䅁䑁䅁䅷䅁䙁䅁䅁䅁㍃歵䈹权䥁䅁䅁允䅁䅁䅅䅁䭁䙁䅧䅁䵁䅉䅅䅁䑁䅁䅁睁䵁䅁䅁兂䅁䅁䅃婶全兑䅯杇䅁䅁䅅䅁䉁䅁䅁权䑁䅁䅁䍄䉁䅁䅁睁䅁䅁䅍䅄䅁䅁䅕䅁䅁䱧夲䕕䭅䉁䄰䅁䉁䅁䅁允䅁䅁䅯睁䅁䅁杷允䅁䅁䅍䅁䑁䅁䅷䅁䙁䅁䅁䅁獂ㅭ䉂权啁䅁䅁允䅁䅁䅅䅁䭁䅁䅍䅁䵁䅉䅅䅁䑁䅁䅁睁䵁䅁䅁兂䅁䅁䅃漷兖兑䅯䅉䅁䅁䅅䅁䉁䅁䅁权䑁䅁䅁䍄䉁䅁䅁睁䅁䅁䅍䅄䅁䅁䅕䅁䅁䱧夲䕕䭅䉁䅳䅁䉁䅁䅁允䅁䅁䅯睁䅁䅁杷允䅁䅁䅍䅁䑁䅁䅷䅁䙁䅁䅁䥁㥃䙭䉂权捁䅁䅁允䅁䅁䅅䅁䭁䅁䅍䅁䵁䅉䅅䅁䑁䅁䅁睁䵁䅁䅁兂䅁䅁䅂㕡兰兑䅯睆䅁䅁䅅䅁䉁䅁䅁权䑁䅁䅁䍄䉁䅁䅁睁䅁䅁䅍䅄䅁䅁䅕䅁䅁䩑挫䕕䭅䅁䅯䅁䉁䅁䅁允䅁䅁䅯睁䅁䅁杷允䅁䅁䅍䅁䑁䅁䅷䅁䙁䅁䅁䕁晃䙮䉂权乁䅁䅁允䅁䅁䅅䅁䙁䝁浚浚浚癚⽯䍄䉁䅁䅁睁䅁䅁䅍䅄䅁䅁䅕䅁䅁䡑䉅啕䭅䅁䅳䅁䉁䅁䅁允䅁䅁䅯䅄䅁䅁杷允䅁䅁䅍䅁䑁䅁䅷䅁䙁䅁䅁䕁硂噁䉆权杁䅁䅁允䅁䅁䅅䅁䭁䅁䅍䅁䵁䅉䅅䅁䑁䅁䅁睁䵁䅁䅁兂䅁䅁䅂㕡兰兑䅯杁䅁䅁䅅䅁䉁䅁䅁权䑁䅁䅁䍄䉁䅁䅁睁䅁䅁䅍䅄䅁䅁䅕䅁䅁䝑慵䕕䭅䉁䅯䅁䉁䅁䅁允䅁䅁䅯睁䅁䅁杷允䅁䅁䅧䅁䵁䅉䅅䅁䡁䅁䅁权佂䅁䅁权偂䅁䅁权㉁䅁䅁权㍁䅁䅁权㑁䅁䅁权䕁䅁䅋权㕁䅁䅁䅆潃坓末䡭噯剌䅑橎瀲呶敍䉏啯䝁剔䄸呧婘䱴䅆瑄⼰卆䵃㑌硂䅑穄呲桡㝷乤啁䥁䉐唯敒歅乌䅆呄灰偌䍧䡺杉䅅䅁䉁䅁䅁权㙁䅁䅁䍄䉁䅁䅁睁䅁䅁䅍䅄䅁䅁䅕䅁䅁䉁坹䕕䭅䉁䅑䅁䉁䅁䅁允䅁䅁䅕䘷㑇潈牘䕊䵁䅉䅅䅁䑁䅁䅁睁䵁䅁䅁兂䅁䅁䅂橲歰兑䅯杇䅁䅁䅅䅁䉁䅁䅁权䑁䅁䅁䍄䉁䅁䅁睁䅁䅁䅍䅄䅁䅁䅕䅁䅁䱧夲䕕䭅䉁䅫䅁䉁䅁䅁允䅁䅁䅯睁䅁䅁杷允䅁䅁䅍䅁䑁䅁䅷䅁䙁䅁䅁乁㍉䭚䉆权䥁䅁䅁允䅁䅁䅅䅁䭁䍁䅙䅁䵁䅉䅅䅁䑁䅁䅁睁䵁䅁䅁兂䅁䅁䅄䐷儱兑䅯䅃䅁䅁䅅䅁䉁䅁䅁权獂䅁䅁䍄䉁䅁䅁睁䅁䅁䅍䅄䅁䅁䅕䅁䅁䉁坹䕕䭅䉁䅯䅁䉁䅁䅁允䅁䅁䅯睁䅁䅁杷允䅁䅁䅍䅁䑁䅁䅷䅁䙁䅁䅁䅁捁汬䉂权摁䅁䅁允䅁䅁䅅䅁䭁䅁䅍䅁䵁䅉䅅䅁䑁䅁䅁睁䵁䅁䅁兂䅁䅁䅂㕮典兑䅯睃䅁䅁䅅䅁䉁䅁䅁权敁䅁䅁䍄䉁䅁䅁睁䅁䅁䅍䅄䅁䅁䅕䅁䅁䝁批䕕䭅䉁䅳䅁䉁䅁䅁允䅁䅁䅯睁䅁䅁杷允䅁䅁䅍䅁䑁䅁䅷䅁䙁䅁䅁䕁硂噁䉆权䕁䅁䅁允䅁䅁䅅䅁䭁䅁䅍䅁䵁䅉䅅䅁䑁䅁䅁睁䵁䅁䅁兂䅁䅁䅃婶全兑䅯杄䅁䅁䅅䅁䉁䅁䅁权䑁䅁䅁䍄䉁䅁䅁睁䅁䅁䅍䅄䅁䅁䅕䅁䅁䭑㘴䕚䭅䅁䅣䅁䉁䅁䅁允䅁䅁䅯睁䅁䅁杷允䅁䅁䅍䅁䑁䅁䅷䅁䙁䅁䅁䕁晃䙮䉂权晁䅁䅁允䅁䅁䅅䅁䭁䅁䅍䅁䵁䅉䅅䅁䑁䅁䅁睁䵁䅁䅁兂䅁䅁䅃婶全兑䅯䅉䅁䅁䅅䅁䉁䅁䅁权䑁䅁䅁䍄䉁䅁䅁睁䅁䅁䅍䅄䅁䅁䅕䅁䅁䱧夲䕕䭅䅁䄰䅁䉁䅁䅁允䅁䅁䅯睁䅁䅁杷允䅁䅁䅍䅁䑁䅁䅷䅁䙁䅁䅁䅁獂ㅭ䉂权䅁䅁䅁允䅁䅁䅅䅁䭁䍁䅉䅁䵁䅉䅅䅁䑁䅁䅁睁䵁䅁䅁兂䅁䅁䅄硶慤兑䅯䅃䅁䅁䅅䅁䉁䅁䅁权流䅁䅁䍄䉁䅁䅁睁䅁䅁䅍䅄䅁䅁䅕䅁䅁䝑慵䕕䭅䅁䅧䅁䉁䅁䅁允䅁䅁䅯杊䅁䅁杷允䅁䅁䅍䅁䑁䅁䅷䅁䙁䅁䅁䅁畃嘸䉖权䥁䅁䅁允䅁䅁䅅䅁䭁䙁䅧䅁䵁䅉䅅䅁䑁䅁䅁睁䵁䅁䅁兂䅁䅁䅃婶全兑䅯睉䅁䅁䅅䅁䉁䅁䅁权䑁䅁䅁䍄䉁䅁䅁睁䅁䅁䅍䅄䅁䅁䅕䅁䅁䝑慵䕕䭅䉁䅷䅁䉁䅁䅁允䅁䅁䅯睁䅁䅁杷允䅁䅁䅍䅁䑁䅁䅷䅁䙁䅁䅁䥁㥃䙭䉂权晁䅁䅁允䅁䅁䅅䅁䭁䅁䅍䅁䵁䅉䅅䅁䑁䅁䅁睁䵁䅁䅁兂䅁䅁䅃䑘典兑䅯䅃䅁䅁䅅䅁䉁䅁䅁权摂䅁䅁䍄䉁䅁䅁睁䅁䅁䅍䅄䅁䅁䅕䅁䅁䭑㘴䕚䭅䅁䅉䅁䉁䅁䅁允䅁䅁䅯睁䅁䅁杷允䅁䅁䅍䅁䑁䅁䅷䅁䙁䅁䅁䅁捃欴䈵权䥁䅁䅁允䅁䅁䅅䅁䭁䍁䄴䅁䵁䅉䅅䅁䑁䅁䅁睁䵁䅁䅁兂䅁䅁䅂㕮典兑䅯先䅁䅁䅅䅁䉁䅁䅁权䑁䅁䅁䍄䉁䅁䅁睁䅁䅁䅍䅄䅁䅁䅕䅁䅁䥁氫䕕䭅䉁䅁䅁䉁䅁䅁允䅁䅁䅯䅄䅁䅁杷允䅁䅁䅍䅁䑁䅁䅷䅁䙁䅁䅁䕁畃浏䉒权坁䅁䅁允䅁䅁䅅䅁䭁䅁䅍䅁䵁䅉䅅䅁䑁䅁䅁睁䵁䅁䅁兂䅁䅁䅁䩈党兑䅯䅉䅁䅁䅅䅁䉁䅁䅁权䑁䅁䅁䍄䉁䅁䅁睁䅁䅁䅍䅄䅁䅁䅕䅁䅁䩑挫䕕䭅䉁䅁䅁䉁䅁䅁允䅁䅁䅯克䅁䅁杷允䅁䅁䅍䅁䑁䅁䅷䅁䙁䅁䅁䕁晃䙮䉂权呁䅁䅁允䅁䅁䅅䅁䭁䍁䅙䅁䵁䅉䅅䅁䑁䅁䅁睁䵁䅁䅁兂䅁䅁䅁䩈党兑䅯睇䅁䅁䅅䅁䉁䅁䅁权䑁䅁䅁䍄䉁䅁䅁睁䅁䅁䅍䅄䅁䅁䅕䅁䅁䩑挫䕕䭅䅁䅣䅁䉁䅁䅁允䅁䉁䅑㕤䥤䅁䅁䅁䵁䅉䅅䅁䑁䅁䅁睁䵁䅁䅁兂䅁䅁䅂㕮典兑䅯兊䅁䅁䅅䅁䉁䅁䅁权䑁䅁䅁䍄䉁䅁䅁睁䅁䅁䅍䅄䅁䅁䅕䅁䅁䩑挫䕕䭅䅁䅑䅁䉁䅁䅁允䅁䅁䅕䡰㥁瑃橤啔䵁䅉䅅䅁䑁䅁䅁睁䵁䅁䅁兂䅁䅁䅂兣剆兑䅯䅅䅁䅁䅅䅁䉁䅁䅁权䵁䅁䅁䍄䉁䅁䅁睁䅁䅁䅍䅄䅁䅁䅕䅁䅁䕣晨っ䭅䅁䅧䅁䉁䅁䅁允䅁䅁䅯党䅁䅁杷允䅁䅁䅍䅁䑁䅁䅷䅁䙁䅁䅁䅁獂ㅭ䉂权䭁䅁䅁允䅁䅁䅅䅁䭁䅁䅍䅁䵁䅉䅅䅁䑁䅁䅁睁䵁䅁䅁兂䅁䅁䅂㕮典兑䅯杆䅁䅁䅅䅁䉁䅁䅁权䑁䅁䅁䍄䉁䅁䅁睁䅁䅁䅍䅄䅁䅁䅕䅁䅁䩑挫䕕䭅䅁䅉䅁䉁䅁䅁允䅁䅁䅯睁䅁䅁杷允䅁䅁䅍䅁䑁䅁䅷䅁䙁䅁䅁䕁牂汭䉂权扁䅁䅁允䅁䅁䅅䅁䭁䅁䅍䅁䵁䅉䅅䅁䑁䅁䅁睁䵁䅁䅁兂䅁䅁䅂㕮典兑䅯睄䅁䅁䅅䅁䉁䅁䅁兂卂䉵䘶㔶䥆䅑杷允䅁䅁䅍䅁䑁䅁䅷䅁䙁䅁䅁䕁畃浏䉒权䙁䅁䅁允䅁䅁䅅䅁䭁䅁䅷䅁䵁䅉䅅䅁䑁䅁䅁睁䵁䅁䅁兂䅁䅁㡄ㅮ娶兑䅯权䅁䅁䅅䅁䉁䅁䅁权䑁䅁䅁䍄䉁䅁䅁睁䅁䅁䅍䅄䅁䅁䅕䅁䅁䨯改啭䭅䉁䅯䅁䉁䅁䅁允䅁䅁䅯睁䅁䅁杷允䅁䅁䅍䅁䑁䅁䅷䅁䙁䅁䅁䕁牂汭䉂权奁䅁䅁允䅁䅁䅅䅁䭁䅁䅍䅁䵁䅉䅅䅁䑁䅁䅁睁䵁䅁䅁兂䅁䅁䅂㕮典兑䅯睇䅁䅁䅅䅁䉁䅁䅁权䑁䅁䅁䍄䉁䅁䅁睁䅁䅁䅍䅄䅁䅁䅕䅁䅁䨯改啭䭅䉁䅑䅁䉁䅁䅁允䅁䅁䅯睁䅁䅁杷允䅁䅁䅍䅁䑁䅁䅷䅁䙁䅁䅁䅁元⽋䅴权䥁䅁䅁允䅁䅁䅅䅁䭁䙁䅧䅁䵁䅉䅅䅁䑁䅁䅁睁䵁䅁䅁兂䅁䅁䅂㕮典兑䅯䅈䅁䅁䅅䅁䉁䅁䅁兂穁積積積摍䅑杷允䅁䅁䅍䅁䑁䅁䅷䅁䙁䅁䅁䥁畄器䉂权橁䅁䅁允䅁䅁䅅䅁䭁䅁䅍䅁䵁䅉䅅䅁䑁䅁䅁睁䵁䅁䅁兂䅁䅁䅂橲歰兑䅯睆䅁䅁䅅䅁䉁䅁䅁权䑁䅁䅁䍄䉁䅁䅁睁䅁䅁䅍䅄䅁䅁䅕䅁䅁佧䘶䕕䭅䉁䅑䅁䉁䅁䅁允䅁䅁䅯睁䅁䅁杷允䅁䅁䅍䅁䑁䅁䅷䅁䙁䅁䅁䥁畄器䉂权慁䅁䅁允䅁䅁䅅䅁䭁䅁䅍䅁䵁䅉䅅䅁䑁䅁䅁睁䵁䅁䅁兂䅁䅁䅂㕡兰兑䅯䅁䅁䅁䅅䅁䉁䅁䅁权楁䅁䅁䍄䉁䅁䅁睁䅁䅁䅍䅄䅁䅁䅕䅁䅁䡑䉅啕䭅䉁䅑䅁䉁䅁䅁允䅁䅁䅯睁䅁䅁杷允䅁䅁䅍䅁䑁䅁䅷䅁䙁䅁䅁䅁乄䙂䉊权䥁䅁䅁允䅁䅁䅅䅁䭁䑁䅁䅁䵁䅉䅅䅁䑁䅁䅁睁䵁䅁䅁兂䅁䅁䅂㕮典兑䅯杄䅁䅁䅅䅁䉁䅁䅁权䑁䅁䅁䍄䉁䅁䅁睁䅁䅁䅍䅄䅁䅁䅕䅁䅁䩑挫䕕䭅䍁䅁䅁䉁䅁䅁允䅁䅁䅯睁䅁䅁杷允䅁䅁䅍䅁䑁䅁䅷䅁䙁䅁䅁䕁穂嘸䉖权䥁䅁䅁允䅁䅁䅅䅁䭁䍁䄴䅁䵁䅉䅅䅁䑁䅁䅁睁䵁䅁䅁兂䅁䅁䅂㙂橎兑䅯䅃䅁䅁䅅䅁䉁䅁䅁权睁䅁䅁䍄䉁䅁䅁睁䅁䅁䅍䅄䅁䅁䅕䅁䅁䩑挫䕕䭅䉁䅣䅁䉁䅁䅁允䅁䅁䅯睁䅁䅁杷允䅁䅁䅍䅁䑁䅁䅷䅁䙁䅁䅁䕁晃䙮䉂权桁䅁䅁允䅁䅁䅅䅁䙁䡁啳歲桦潥⽑䍄䉁䅁䅁睁䅁䅁䅍䅄䅁䅁䅕䅁䅁䡑䉅啕䭅䅁䅉䅁䉁䅁䅁允䅁䅁䅯睁䅁䅁杷允䅁䅁䅍䅁䑁䅁䅷䅁䙁䅁䅁䕁晃䙮䉂权婁䅁䅁允䅁䅁䅅䅁䙁䙁偹癷潕䅘䅤䍄䉁䅁䅁睁䅁䅁䅍䅄䅁䅁䅕䅁䅁䝁批䕕䭅䅁䅣䅁䉁䅁䅁允䅁䅁䅯睁䅁䅁杷允䅁䅁䅍䅁䑁䅁䅷䅁䙁䅁䅁䕁晃䙮䉂权歁䅁䅁允䅁䅁䅅䅁䭁䅁䅍䅁䵁䅉䅅䅁䑁䅁䅁睁䵁䅁䅁兂䅁䅁䅂㕡兰兑䅯䅅䅁䅁䅅䅁䉁䅁䅁权䵁䅁䅁䍄䉁䅁䅁睁䅁䅁䅍䅄䅁䅁䅕䅁䅁䩑挫䕕䭅䍁䅍䅁䉁䅁䅁允䅁䅁䅯睁䅁䅁杷允䅁䅁䅍䅁䑁䅁䅷䅁䙁䅁䅁䅁偃噰䉂权啁䅁䅁允䅁䅁䅅䅁䭁䅁䅍䅁䵁䅉䅅䅁䑁䅁䅁睁䵁䅁䅁兂䅁䅁䅁䩢兴兑䅯䅂䅁䅁䅅䅁䉁䅁䅁权䑁䅁䅁䍄䉁䅁䅁睁䅁䅁䅍䅄䅁䅁䅕䅁䅁䨯改啭䭅䉁䅍䅁䉁䅁䅁允䅁䅁䅯杂䅁䅁杷允䅁䅁䅍䅁䑁䅁䅷䅁䙁䅁䅁䅁⭁䕢䈹权䥁䅁䅁允䅁䅁䅅䅁䭁䙁䅧䅁䵁䅉䅅䅁䑁䅁䅁睁䵁䅁䅁兂䅁䅁㡄ㅮ娶兑䅯䅁䅁䅁䅅䅁䉁䅁䅁权湁䅁䅁䍄䉁䅁䅁睁䅁䅁䅍䅄䅁䅁䅕䅁䅁䅁塵ご䭅䅁䅧䅁䉁䅁䅁允䅁䅁䅯䅚䅁䅁杷允䅁䅁䅍䅁䑁䅁䅷䅁䙁䅁䅁䕁硂噁䉆权䅁䅁䅁允䅁䅁䅅䅁䭁䍁䅉䅁䵁䅉䅅䅁䑁䅁䅁睁䵁䅁䅁兂䅁䅁䅂兣剆兑䅯充䅁䅁䅅䅁䉁䅁䅁权䑁䅁䅁䍄䉁䅁䅁睁䅁䅁䅍䅄䅁䅁䅕䅁䅁䨯改啭䭅䅁䅧䅁䉁䅁䅁允䅁䅁䅯杋䅁䅁杷允䅁䅁䅍䅁䑁䅁䅷䅁䙁䅁䅁䅁捁汬䉂权塁䅁䅁允䅁䅁䅅䅁䙁乁橥䑣䬰⼱⼸䍄䉁䅁䅁䅃䅁䅁杷允䅁䅁䅣䅁䭁䕁䄰䅁䭁䕁䅯䅁䭁䕁䅑䅁䭁䑁䅣䅁䭁䑁䅧䅁䭁䅁䅑潁䭁䑁䅫䅁啁䭁䩨㙢奃桥瑕䅆捂ㄷ䉯䭺剹硢䅑䑊眶扵㕐䐳啕佁吳嘸䥉癷䡧䅆偁瑏煎䑈ぴ䈰䅑㡧㥈䙒匴獑唰乁浏獫䄫䵌楣允䅁䅁䅅䅁䭁䕁䅕䅁䵁䅉䅅䅁䑁䅁䅁睁䵁䅁䅁兂䅁䅁䅁㙪兖兑䅯睉䅁䅁䅅䅁䉁䅁䅁权䑁䅁䅁䍄䉁䅁䅁睁䅁䅁䅍䅄䅁䅁䅕䅁䅁乷氰歕䭅䅁䅁䅁䉁䅁䅁允䅁䅁䅯杉䅁䅁杷允䅁䅁䅍䅁䑁䅁䅷䅁䙁䅁䅁偁晹灘䉬权䱁䅁䅁允䅁䅁䅅䅁䭁䍁䅳䅁䵁䅉䅅䅁䑁䅁䅁睁䵁䅁䅁兂䅁䅁䅂㕡兰兑䅯睈䅁䅁䅅䅁䉁䅁䅁权䑁䅁䅁䍄䉁䅁䅁睁䅁䅁䅍䅄䅁䅁䅕䅁䅁䨯改啭䭅䉁䅣䅁䉁䅁䅁允䅁䅁䅯睁䅁䅁杷允䅁䅁䅍䅁䑁䅁䅷䅁䙁䅁䅁䅁偃噰䉂权䱁䅁䅁允䅁䅁䅅䅁䭁䅁䅷䅁䵁䅉䅅䅁䑁䅁䅁睁䵁䅁䅁兂䅁䅁㡄ㅮ娶兑䅯䅅䅁䅁䅅䅁䉁䅁䅁权獁䅁䅁䍄䉁䅁䅁睁䅁䅁䅍䅄䅁䅁䅕䅁䅁偧别ご䭅䅁䅧䅁䉁䅁䅁允䅁䅁䅯䅍䅁䅁杷允䅁䅁䅍䅁䑁䅁䅷䅁䙁䅁䅁偁晹灘䉬权䡁䅁䅁允䅁䅁䅅䅁啁䉁硢䅙䅙䅁䅁䍄䉁䅁䅁睁䅁䅁䅍䅄䅁䅁䅕䅁䅁䨯改啭䭅䅁䅑䅁䉁䅁䅁允䅁䅁䅯睁䅁䅁杷允䅁䅁䅍䅁䑁䅁䅷䅁䙁䅁䅁䵁杄ㅎ䉂权䥁䅁䅁允䅁䅁䅅䅁䭁䙁䅧䅁䵁䅉䅅䅁䑁䅁䅁睁䵁䅁䅁兂䅁䅁䅁㙪兖兑䅯睂䅁䅁䅅䅁䉁䅁䅁权䑁䅁䅁䍄䉁䅁䅁睁䅁䅁䅍䅄䅁䅁䅕䅁䅁䡑䉅啕䭅䅁䄰䅁䉁䅁䅁允䅁䅁䅯睁䅁䅁杷允䅁䅁䅍䅁䑁䅁䅷䅁䙁䅁䅁偁晹灘䉬权坁䅁䅁允䅁䅁䅅䅁䭁䅁䅍䅁䵁䅉䅅䅁䑁䅁䅁睁䵁䅁䅁兂䅁䅁䅃漷兖兑䅯兆䅁䅁䅅䅁䉁䅁䅁权䑁䅁䅁䍄䉁䅁䅁睁䅁䅁䅍䅄䅁䅁䅕䅁䅁䥁氫䕕䭅䉁䅧䅁䉁䅁䅁允䅁䅁䅯睁䅁䅁杷允䅁䅁䅍䅁䑁䅁䅷䅁䙁䅁䅁偁晹灘䉬权奁䅁䅁允䅁䅁䅅䅁䭁䅁䅍䅁䵁䅉䅅䅁䑁䅁䅁睁䵁䅁䅁兂䅁䅁㡄ㅮ娶兑䅯杁䅁䅁䅅䅁䉁䅁䅁权䑁䅁䅁䍄䉁䅁䅁睁䅁䅁䅍䅄䅁䅁䅕䅁䅁䭑㘴䕚䭅䅁䅳䅁䉁䅁䅁允䅁䅁䅯䅄䅁䅁杷允䅁䅁䅍䅁䑁䅁䅷䅁䙁䅁䅁偁晹灘䉬权偁䅁䅁允䅁䅁䅅䅁䭁䅁䅍䅁䵁䅉䅅䅁䑁䅁䅁睁䵁䅁䅁兂䅁䅁䅂兣剆兑䅯兇䅁䅁䅅䅁䉁䅁䅁权䑁䅁䅁䍄䉁䅁䅁睁䅁䅁䅍䅄䅁䅁䅕䅁䅁䨯改啭䭅䉁䅳䅁䉁䅁䅁允䅁䅁䅯睁䅁䅁杷允䅁䅁䅍䅁䑁䅁䅷䅁䙁䅁䅁偁晹灘䉬权捁䅁䅁允䅁䅁䅅䅁䭁䅁䅍䅁䵁䅉䅅䅁䑁䅁䅁睁䵁䅁䅁兂䅁䅁䅃漷兖兑䅯睅䅁䅁䅅䅁䉁䅁䅁权煁䅁䅁䍄䉁䅁䅁睁䅁䅁䅍䅄䅁䅁䅕䅁䅁䡑䉅啕䭅䅁䅯䅁䉁䅁䅁允䅁䅁䅯睁䅁䅁杷允䅁䅁䅍䅁䑁䅁䅷䅁䙁䅁䅁偁晹灘䉬权摁䅁䅁允䅁䅁䅅䅁䭁䅁䅍䅁䵁䅉䅅䅁䑁䅁䅁睁䵁䅁䅁兂䅁䅁䅁婹偖兑䅯䅃䅁䅁䅅䅁䉁䅁䅁权奂䅁䅁䍄䉁䅁䅁睁䅁䅁䅍䅄䅁䅁䅕䅁䅁佧䘶䕕䭅䉁䅧䅁䉁䅁䅁允䅁䅁䅯睁䅁䅁杷允䅁䅁䅍䅁䑁䅁䅷䅁䙁䅁䅁䭁乃䝰䉆权䥁䅁䅁允䅁䅁䅅䅁䭁䍁䄴䅁䵁䅉䅅䅁䑁䅁䅁睁䵁䅁䅁兂䅁䅁㡄ㅮ娶兑䅯䅉䅁䅁䅅䅁䉁䅁䅁权䑁䅁䅁䍄䉁䅁䅁睁䅁䅁䅍䅄䅁䅁䅕䅁䅁䝧㕆䕕䭅䅁䅧䅁䉁䅁䅁允䅁䅁䅯䅗䅁䅁杷允䅁䅁䅍䅁䑁䅁䅷䅁䙁䅁䅁偁晹灘䉬权剁䅁䅁允䅁䅁䅅䅁䭁䅁䅍䅁䵁䅉䅅䅁䑁䅁䅁睁䵁䅁䅁兂䅁䅁䅃慄偆兑䅯䅃䅁䅁䅅䅁䉁䅁䅁权奂䅁䅁䍄䉁䅁䅁睁䅁䅁䅍䅄䅁䅁䅕䅁䅁余乫步䭅䅁䅧䅁䉁䅁䅁允䅁䅁䅯䅘䅁䅁杷允䅁䅁䅍䅁䑁䅁䅷䅁䙁䅁䅁偁晹灘䉬权桁䅁䅁允䅁䅁䅅䅁䭁䅁䅍䅁䵁䅉䅅䅁䑁䅁䅁睁䵁䅁䅁兂䅁䅁䅁牉佬兑䅯䅃䅁䅁䅅䅁䉁䅁䅁权時䅁䅁䍄䉁䅁䅁睁䅁䅁䅍䅄䅁䅁䅕䅁䅁䝁批䕕䭅䉁䅉䅁䉁䅁䅁允䅁䅁䅯睁䅁䅁杷允䅁䅁䅍䅁䑁䅁䅷䅁䙁䅁䅁䅁偃噰䉂权坁䅁䅁允䅁䅁䅅䅁䭁䅁䅍䅁䵁䅉䅅䅁䑁䅁䅁睁䵁䅁䅁兂䅁䅁㡄ㅮ娶兑䅯兇䅁䅁䅅䅁䉁䅁䅁兂䅁䅁䅁䵁卂䅑杷允䅁䅁䅍䅁䑁䅁䅷䅁䭁䉁䄴䅁䭁䅁䅁䅁䉁䅁䅁允䅁䅁䅯睍䅁䅁杷允䅁䅁䅍䅁䑁䅁䅷䅁䙁䅁䅁偁晹灘䉬权歁䅁䅁允䅁䅁䅅䅁䭁䅁䅍䅁䵁䅉䅅䅁䑁䅁䅁睁䵁䅁䅁兂䅁䅁䅃漷兖兑䅯先䅁䅁䅅䅁䉁䅁䅁权䑁䅁䅁䍄䉁䅁䅁睁䅁䅁䅍䅄䅁䅁䅕䅁䅁䨯改啭䭅䉁䅕䅁䉁䅁䅁允䅁䅁䅯睁䅁䅁杷允䅁䅁䅍䅁䑁䅁䅷䅁䙁䅁䅁偁晹灘䉬权橁䅁䅁允䅁䅁䅅䅁䭁䅁䅍䅁䵁䅉䅅䅁䑁䅁䅁睁䵁䅁䅁兂䅁䅁䅂兣剆兑䅯䅈䅁䅁䅅䅁䉁䅁䅁权䑁䅁䅁䍄䉁䅁䅁睁䅁䅁䅍䅄䅁䅁䅕䅁䅁䑁湁〫䭁䅁䅧䅁䉁䅁䅁允䅁䅁䅯䅗䅁䅁杷允䅁䅁䅍䅁䑁䅁䅷䅁䙁䅁䅁偁晹灘䉬权十䅁䅁允䅁䅁䅅䅁䭁䅁䅍䅁䵁䅉䅅䅁䑁䅁䅁睁䵁䅁䅁兂䅁䅁䅁佯㘯䅑䅯䅃䅁䅁䅅䅁䉁䅁䅁权奂䅁䅁䍄䉁䅁䅁睁䅁䅁䅍䅄䅁䅁䅕䅁䅁䭑ㄸ歕䭅䅁䅧䅁䉁䅁䅁允䅁䅁䅯䅍䅁䅁杷允䅁䅁䅍䅁䑁䅁䅷䅁䙁䅁䅁偁晹灘䉬权汁䅁䅁允䅁䅁䅅䅁䭁䅁䅍䅁䵁䅉䅅䅁䑁䅁䅁睁䵁䅁䅁兂䅁䅁䅂橲歰兑䅯杅䅁䅁䅅䅁䉁䅁䅁权䑁䅁䅁䍄䉁䅁䅁睁䅁䅁䅍䅄䅁䅁䅕䅁䅁䥁氫䕕䭅䍁䅅䅁䉁䅁䅁允䅁䅁䅕䉵䘶ㄶ㑇橺䴸䅉䅅䅁䑁䅁䅁睁䵁䅁䅁兂䅁䅁㡄ㅮ娶兑䅯兄䅁䅁䅅䅁䉁䅁䅁权䑁䅁䅁䍄䉁䅁䅁睁䅁䅁䅍䅄䅁䅁䅕䅁䅁䥁氫䕕䭅䉁䅳䅁䉁䅁䅁允䅁䅁䅯睁䅁䅁杷允䅁䅁䅍䅁䑁䅁䅷䅁䙁䅁䅁䵁煂嘰䈹权䥁䅁䅁允䅁䅁䅅䅁䭁䝁䅫䅁䵁䅉䅅䅁䑁䅁䅁睁䵁䅁䅁兂䅁䅁䅂橲歰兑䅯睈䅁䅁䅅䅁䉁䅁䅁兂㑃潈牘払番睐杷允䅁䅁䅍䅁䑁䅁䅷䅁䙁䅁䅁乁塓㕴䉴权䥁䅁䅁允䅁䅁䅅䅁䭁䙁䅧䅁䵁䅉䅅䅁䑁䅁䅁睁䵁䅁䅁兂䅁䅁㡄ㅮ娶兑䅯睈䅁䅁䅅䅁䉁䅁䅁权䑁䅁䅁䍄䉁䅁䅁睁䅁䅁䅍䅄䅁䅁䅕䅁䅁䵧椯歔䭅䅁䅧䅁䉁䅁䅁允䅁䅁䅯䅗䅁䅁杷允䅁䅁䅍䅁䑁䅁䅷䅁䙁䅁䅁䅁捁汬䉂权䅁䅁䅁允䅁䅁䅅䅁䭁䍁䅣䅁䵁䅉䅅䅁䑁䅁䅁睁䵁䅁䅁权䵁䅁䅁权䥁䅁䅁允䅁䅁䅅䅁䭁䑁䅍䅁䵁䅉䅅䅁䑁䅁䅁睁䵁䅁䅁兂䅁䅁䅁䩈党兑䅯䅃䅁䅁䅅䅁䉁䅁䅁权瑁䅁䅁䍄䉁䅁䅁睁䅁䅁䅍䅄䅁䅁䅕䅁䅁䡷歭䕕䭅䅁䅧䅁䉁䅁䅁允䅁䅁䅯杊䅁䅁杷允䅁䅁䅍䅁䑁䅁䅷䅁䙁䅁䅁䅁偃噰䉂权剁䅁䅁允䅁䅁䅅䅁䭁䅁䅍䅁䵁䅉䅅䅁䑁䅁䅁睁䵁䅁䅁兂䅁䅁䅁㙪兖兑䅯睅䅁䅁䅅䅁䉁䅁䅁权䵁䅁䅁䍄䉁䅁䅁睁䅁䅁䅍䅄䅁䅁䅕䅁䅁䭑㘴䕚䭅䉁䅑䅁䉁䅁䅁允䅁䅁䅕䥘䌯匹捨稫䴸䅉䅅䅁䑁䅁䅁睁䵁䅁䅁兂䅁䅁䅁䩈党兑䅯兂䅁䅁䅅䅁䉁䅁䅁权䵁䅁䅁䍄䉁䅁䅁睁䅁䅁䅍䅄䅁䅁䅕䅁䅁䝁批䕕䭅䉁䅕䅁䉁䅁䅁允䅁䅁䅯睁䅁䅁杷允䅁䅁䅍䅁䑁䅁䅷䅁䙁䅁䅁䅁捁汬䉂权䱁䅁䅁允䅁䅁䅅䅁䭁䅁䅷䅁䵁䅉䅅䅁䑁䅁䅁睁䵁䅁䅁兂䅁䅁䅁䩈党兑䅯䅅䅁䅁䅅䅁䉁䅁䅁权䵁䅁䅁䍄䉁䅁䅁睁䅁䅁䅍䅄䅁䅁䅕䅁䅁䭑㘴䕚䭅䉁䄰䅁䉁䅁䅁允䅁䅁䅯睁䅁䅁杷允䅁䅁䅍䅁䑁䅁䅷䅁䙁䅁䅁䥁煄ㅏ䉂权䥁䅁䅁允䅁䅁䅅䅁䭁䙁䅫䅁䵁䅉䅅䅁䑁䅁䅁睁䵁䅁䅁兂䅁䅁䅁䩈党兑䅯睅䅁䅁䅅䅁䉁䅁䅁权䵁䅁䅁䍄䉁䅁䅁睁䅁䅁䅍䅄䅁䅁䅕䅁䅁佧䘶䕕䭅䉁䅣䅁䉁䅁䅁允䅁䅁䅯睁䅁䅁杷允䅁䅁䅍䅁䑁䅁䅷䅁䙁䅁䅁䥁畄器䉂权十䅁䅁允䅁䅁䅅䅁䭁䅁䅍䅁䵁䅉䅅䅁䑁䅁䅁睁䵁䅁䅁兂䅁䅁䅁䩈党兑䅯杁䅁䅁䅅䅁䉁䅁䅁权䑁䅁䅁䍄䉁䅁䅁睁䅁䅁䅍䅄䅁䅁䅕䅁䅁䉁坹䕕䭅䅁䅣䅁䉁䅁䅁允䅁䅁䅯睁䅁䅁杷允䅁䅁䅍䅁䑁䅁䅷䅁䙁䅁䅁䅁睄昫䅰权䥁䅁䅁允䅁䅁䅅䅁䭁䙁䅧䅁䵁䅉䅅䅁䑁䅁䅁睁䵁䅁䅁兂䅁䅁䅃㕒偎兑䅯䅃䅁䅁䅅䅁䉁䅁䅁权睁䅁䅁䍄䉁䅁䅁睁䅁䅁䅍䅄䅁䅁䅕䅁䅁䝑慵䕕䭅䉁䅉䅁䉁䅁䅁允䅁䅁䅯睁䅁䅁杷允䅁䅁䅍䅁䑁䅁䅷䅁䙁䅁䅁䕁硂噁䉆权十䅁䅁允䅁䅁䅅䅁䭁䅁䅍䅁䵁䅉䅅䅁䑁䅁䅁睁䵁䅁䅁兂䅁䅁䅃畓昫兑䅯䅃䅁䅁䅅䅁䉁䅁䅁权流䅁䅁䍄䉁䅁䅁睁䅁䅁䅍䅄䅁䅁䅕䅁䅁佧䘶䕕䭅䉁䅙䅁䉁䅁䅁允䅁䅁䅯睁䅁䅁杷允䅁䅁䅍䅁䑁䅁䅷䅁䙁䅁䅁䅁捁汬䉂权坁䅁䅁允䅁䅁䅅䅁䭁䅁䅍䅁䵁䅉䅅䅁䑁䅁䅁睁䵁䅁䅁兂䅁䅁䅁䩈党兑䅯䅂䅁䅁䅅䅁䉁䅁䅁兂䑄匹捨㙪䩊䅑杷允䅁䅁䅍䅁䑁䅁䅷䅁䙁䅁䅁䕁牂汭䉂权䱁䅁䅁允䅁䅁䅅䅁䭁䅁䅷䅁䵁䅉䅅䅁䑁䅁䅁睁䵁䅁䅁兂䅁䅁䅁䩈党兑䅯䅈䅁䅁䅅䅁䉁䅁䅁兂畃⭒㙆但䈵䅑杷允䅁䅁䅍䅁䑁䅁䅷䅁䙁䅁䅁䅁捁汬䉂权佁䅁䅁允䅁䅁䅅䅁䭁䅁䅍䅁䵁䅉䅅䅁䑁䅁䅁睁䵁䅁䅁兂䅁䅁䅁䑃偖兑䅯䅃䅁䅁䅅䅁䉁䅁䅁权灂䅁䅁䍄䉁䅁䅁睁䅁䅁䅍䅄䅁䅁䅕䅁䅁䉁坹䕕䭅䍁䅅䅁䉁䅁䅁允䅁䅁䅯睁䅁䅁杷允䅁䅁䅍䅁䑁䅁䅷䅁䙁䅁䅁䅁獂ㅭ䉂权允䅁䅁允䅁䅁䅅䅁䭁䅁䅷䅁䵁䅉䅅䅁䑁䅁䅁睁䵁䅁䅁兂䅁䅁䅁㙪兖兑䅯䅉䅁䅁䅅䅁䉁䅁䅁权䑁䅁䅁䍄䉁䅁䅁睁䅁䅁䅍䅄䅁䅁䅕䅁䅁䥧ㅕ䕕䭅䅁䅧䅁䉁䅁䅁允䅁䅁䅯䅍䅁䅁杷允䅁䅁䅍䅁䑁䅁䅷䅁䙁䅁䅁䅁偃噰䉂权䕁䅁䅁允䅁䅁䅅䅁䙁䵁ㅐ䙋偹癷⼰䍄䉁䅁䅁睁䅁䅁䅍䅄䅁䅁䅕䅁䅁䭁䭃ご䭅䅁䅧䅁䉁䅁䅁允䅁䅁䅯䅗䅁䅁杷允䅁䅁䅍䅁䑁䅁䅷䅁䙁䅁䅁䅁捁汬䉂权婁䅁䅁允䅁䅁䅅䅁䙁䑁䬰㘱睎剐䅬䍄䉁䅁䅁睁䅁䅁䅍䅄䅁䅁䅕䅁䅁䭁㍂啕䭅䅁䅧䅁䉁䅁䅁允䅁䅁䅯杊䅁䅁杷允䅁䅁䅍䅁䑁䅁䅷䅁䙁䅁䅁䅁捁汬䉂权歁䅁䅁允䅁䅁䅅䅁䭁䅁䅍䅁䵁䅉䅅䅁䑁䅁䅁睁䵁䅁䅁兂䅁䅁䅁䩈党兑䅯兆䅁䅁䅅䅁䉁䅁䅁权䑁䅁䅁䍄䉁䅁䅁睁䅁䅁䅍䅄䅁䅁䅕䅁䅁䕱稳の䭅䅁䅧䅁䉁䅁䅁允䅁䅁䅯杊䅁䅁杷允䅁䅁䅍䅁䑁䅁䅷䅁䙁䅁䅁䅁捁汬䉂权橁䅁䅁允䅁䅁䅅䅁䭁䅁䅍䅁䵁䅉䅅䅁䑁䅁䅁睁䵁䅁䅁兂䅁䅁䅂兣剆兑䅯睈䅁䅁䅅䅁䉁䅁䅁权䑁䅁䅁䍄䉁䅁䅁睁䅁䅁䅍䅄䅁䅁䅕䅁䅁䉁坹䕕䭅䉁䅉䅁䉁䅁䅁允䅁䅁䅯睁䅁䅁杷允䅁䅁䅍䅁䑁䅁䅷䅁䙁䅁䅁䕁畃浏䉒权桁䅁䅁允䅁䅁䅅䅁䭁䅁䅍䅁䵁䅉䅅䅁䑁䅁䅁睁䵁䅁䅁兂䅁䅁䅁佉䝖兑䅯䅃䅁䅁䅅䅁䉁䅁䅁权奂䅁䅁䍄䉁䅁䅁睁䅁䅁䅍䅄䅁䅁䅕䅁䅁䉁坹䕕䭅䍁䅕䅁䉁䅁䅁允䅁䅁䅯睁䅁䅁杷允䅁䅁䅍䅁䑁䅁䅷䅁䙁䅁䅁䅁捄啫䈹权䥁䅁䅁允䅁䅁䅅䅁䭁䙁䅫䅁䵁䅉䅅䅁䑁䅁䅁睁䵁䅁䅁兂䅁䅁䅂楩党兑䅯䅃䅁䅁䅅䅁䉁䅁䅁权煂䅁䅁䍄䉁䅁䅁睁䅁䅁䅍䅄䅁䅁䅕䅁䅁䉁坹䕕䭅䅁䄰䅁䉁䅁䅁允䅁䅁䅕䭆䠵場啯樸䴸䅉䅅䅁䑁䅁䅁睁䵁䅁䅁兂䅁䅁䅁䩢兴兑䅯䅇䅁䅁䅅䅁䉁䅁䅁权䑁䅁䅁䍄䉁䅁䅁睁䅁䅁䅍䅄䅁䅁䅕䅁䅁䅁䕩歕䭅䅁䅧䅁䉁䅁䅁允䅁䅁䅯䅍䅁䅁杷允䅁䅁䅍䅁䑁䅁䅷䅁䙁䅁䅁䅁捁汬䉂权晁䅁䅁允䅁䅁䅅䅁䭁䅁䅍䅁䵁䅉䅅䅁䑁䅁䅁睁䵁䅁䅁兂䅁䅁䅁䩢兴兑䅯杇䅁䅁䅅䅁䉁䅁䅁权䑁䅁䅁䍄䉁䅁䅁睁䅁䅁䅍䅄䅁䅁䅕䅁䅁䥁氫䕕䭅䅁䅁䅁䉁䅁䅁允䅁䅁䅯睊䅁䅁杷允䅁䅁䅍䅁䑁䅁䅷䅁䙁䅁䅁䅁畂歫䈹权䥁䅁䅁允䅁䅁䅅䅁䭁䑁䅁䅁䵁䅉䅅䅁䑁䅁䅁睁䵁䅁䅁兂䅁䅁䅁㙪兖兑䅯䅃䅁䅁䅅䅁䉁䅁䅁权畁䅁䅁䍄䉁䅁䅁睁䅁䅁䅍䅄䅁䅁䅕䅁䅁䥁氫䕕䭅䅁䅯䅁䉁䅁䅁允䅁䅁䅯睁䅁䅁杷允䅁䅁䅍䅁䑁䅁䅷䅁䙁䅁䅁䅁偃噰䉂权䍁䅁䅁允䅁䅁䅅䅁䙁䡁啳歲桦潥⽑䍄䉁䅁䅁睁䅁䅁䅍䅄䅁䅁䅕䅁䅁䥁氫䕕䭅䅁䄸䅁䉁䅁䅁允䅁䅁䅯睁䅁䅁杷允䅁䅁䅍䅁䑁䅁䅷䅁䙁䅁䅁䥁畄器䉂权偁䅁䅁允䅁䅁䅅䅁䭁䅁䅍䅁䵁䅉䅅䅁䑁䅁䅁睁䵁䅁䅁兂䅁䅁䅁㙪兖兑䅯䅈䅁䅁䅅䅁䉁䅁䅁兂䑄匹捨㡪㕌睐杷允䅁䅁䅍䅁䑁䅁䅷䅁䙁䅁䅁䅁偃噰䉂权摁䅁䅁允䅁䅁䅅䅁䭁䅁䅍䅁䵁䅉䅅䅁䑁䅁䅁睁䵁䅁䅁兂䅁䅁䅁㙪兖兑䅯杄䅁䅁䅅䅁䉁䅁䅁权䑁䅁䅁䍄䉁䅁䅁睁䅁䅁䅍䅄䅁䅁䅕䅁䅁䥁氫䕕䭅䉁䅣䅁䉁䅁䅁允䅁䅁䅯睁䅁䅁杷允䅁䅁䅍䅁䑁䅁䅷䅁䙁䅁䅁䅁敁䙴䉂权䥁䅁䅁允䅁䅁䅅䅁䭁䝁䅉䅁䵁䅉䅅䅁䑁䅁䅁睁䵁䅁䅁兂䅁䅁䅃漷兖兑䅯充䅁䅁䅅䅁䉁䅁䅁权䑁䅁䅁䍄䉁䅁䅁睁䅁䅁䅍䅄䅁䅁䅕䅁䅁䥁氫䕕䭅䉁䅫䅁䉁䅁䅁允䅁䅁䅕⽷潕䥘䌯あ䵁䅉䅅䅁䑁䅁䅁睁䵁䅁䅁兂䅁䅁䅁㙪兖兑䅯杇䅁䅁䅅䅁䉁䅁䅁权䑁䅁䅁䍄䉁䅁䅁睁䅁䅁䅍䅄䅁䅁䅕䅁䅁䡑䉅啕䭅䉁䄰䅁䉁䅁䅁允䅁䅁䅯睁䅁䅁杷允䅁䅁䅍䅁䑁䅁䅷䅁䙁䅁䅁䅁偃噰䉂权歁䅁䅁允䅁䅁䅅䅁䭁䅁䅍䅁䵁䅉䅅䅁䑁䅁䅁睁䵁䅁䅁兂䅁䅁䅁坌刹兑䅯䅃䅁䅁䅅䅁䉁䅁䅁权睁䅁䅁䍄䉁䅁䅁睁䅁䅁䅍䅄䅁䅁䅕䅁䅁䥁氫䕕䭅䉁䅉䅁䉁䅁䅁允䅁䅁䅯睁䅁䅁杷允䅁䅁䅍䅁䑁䅁䅷䅁䙁䅁䅁䕁畃浏䉒权䅁䅁䅁允䅁䅁䅅䅁䭁䍁䅣䅁䵁䅉䅅䅁䑁䅁䅁睁䵁䅁䅁兂䅁䅁䅁㙪兖兑䅯兊䅁䅁䅅䅁䉁䅁䅁权䑁䅁䅁䍄䉁䅁䅁睁䅁䅁䅍䅄䅁䅁䅕䅁䅁䝁批䕕䭅䉁䅍䅁䉁䅁䅁允䅁䅁䅯䅄䅁䅁杷允䅁䅁䅍䅁䑁䅁䅷䅁䙁䅁䅁䅁偃噰䉂权乁䅁䅁允䅁䅁䅅䅁䙁䵁ㅐ䙋偹瑷⽕䍄䉁䅁䅁睁䅁䅁䅍䅄䅁䅁䅕䅁䅁䝑慵䕕䭅䍁䅅䅁䉁䅁䅁允䅁䅁䅯睁䅁䅁杷允䅁䅁䅍䅁䑁䅁䅷䅁䙁䅁䅁䅁偃噰䉂权晁䅁䅁允䅁䅁䅅䅁䭁䅁䅍䅁䵁䅉䅅䅁䑁䅁䅁睁䵁䅁䅁兂䅁䅁䅂兣剆兑䅯䅃䅁䅁䅅䅁䉁䅁䅁权癁䅁䅁䍄䉁䅁䅁睁䅁䅁䅍䅄䅁䅁䅕䅁䅁䵺杶啭䭅䅁䅧䅁䉁䅁䅁允䅁䅁䅯杊䅁䅁杷允䅁䅁䅍䅁䑁䅁䅷䅁䙁䅁䅁䕁畃浏䉒权剁䅁䅁允䅁䅁䅅䅁䙁䡁啳歲桦潥⽑䍄䉁䅁䅁睁䅁䅁䅍䅄䅁䅁䅕䅁䅁䡑䉅啕䭅䅁䅕䅁䉁䅁䅁允䅁䅁䅯䅄䅁䅁杷允䅁䅁䅍䅁䑁䅁䅷䅁䙁䅁䅁䕁硂噁䉆权汁䅁䅁允䅁䅁䅅䅁䭁䅁䅍䅁䵁䅉䅅䅁䑁䅁䅁睁䵁䅁䅁兂䅁䅁䅂啐典兑䅯䅃䅁䅁䅅䅁䉁䅁䅁权睁䅁䅁䍄䉁䅁䅁睁䅁䅁䅍䅄䅁䅁䅕䅁䅁䝁批䕕䭅䅁䄰䅁䉁䅁䅁允䅁䅁䅯睁䅁䅁杷允䅁䅁䅍䅁䑁䅁䅷䅁䙁䅁䅁䅁獂ㅭ䉂权坁䅁䅁允䅁䅁䅅䅁䭁䅁䅍䅁䵁䅉䅅䅁䑁䅁䅁睁䵁䅁䅁兂䅁䅁䅂兣剆兑䅯睂䅁䅁䅅䅁䉁䅁䅁权䑁䅁䅁䍄䉁䅁䅁睁䅁䅁䅍䅄䅁䅁䅕䅁䅁䡧呇ご䭅䅁䅧䅁䉁䅁䅁允䅁䅁䅯䅍䅁䅁杷允䅁䅁䅍䅁䑁䅁䅷䅁䙁䅁䅁䕁硂噁䉆权坁䅁䅁允䅁䅁䅅䅁䭁䅁䅍䅁䵁䅉䅅䅁䑁䅁䅁睁䵁䅁䅁兂䅁䅁䅁偳䝂兑䅯䅃䅁䅁䅅䅁䉁䅁䅁权奂䅁䅁䍄䉁䅁䅁睁䅁䅁䅍䅄䅁䅁䅕䅁䅁䑑卑䕕䭅䅁䅧䅁䉁䅁䅁允䅁䅁䅯杊䅁䅁杷允䅁䅁䅍䅁䑁䅁䅷䅁䙁䅁䅁䥁畄器䉂权扁䅁䅁允䅁䅁䅅䅁䭁䅁䅍䅁䵁䅉䅅䅁䑁䅁䅁睁䵁䅁䅁兂䅁䅁䅂浭坒兑䅯䅃䅁䅁䅅䅁䉁䅁䅁权畁䅁䅁䍄䉁䅁䅁䅃䅁䅁杷允䅁䅁䅣䅁䭁䕁䅣䅁䭁䑁䄸䅁䭁䕁䅅䅁䭁䑁䅣䅁䭁䑁䅧䅁䭁䅁䅑潁䭁䑁䅫䅁啁䭁䩨㙢奃桥瑕䅆慃剓扚歖䱕桭䅑灱瘶䉆獏啴啷佁吳嘸䥉癷䡧䅆偁瑏煎䑈ぴ䈰䅑㡧㥈䙒匴獑唰乁浏獫䄫䵌楣允䅁䅁䅅䅁䭁䕁䅉䅁䵁䅉䅅䅁䑁䅁䅁睁䵁䅁䅁兂䅁䅁䅂兣剆兑䅯䅇䅁䅁䅅䅁䉁䅁䅁权䑁䅁䅁䍄䉁䅁䅁睁䅁䅁䅍䅄䅁䅁䅕䅁䅁䵧氶䕕䭅䅁䅧䅁䉁䅁䅁允䅁䅁䅯䅍䅁䅁杷允䅁䅁䅍䅁䑁䅁䅷䅁䙁䅁䅁䕁硂噁䉆权偁䅁䅁允䅁䅁䅅䅁䭁䅁䅍䅁䵁䅉䅅䅁䑁䅁䅁睁䵁䅁䅁兂䅁䅁䅂兣剆兑䅯睇䅁䅁䅅䅁䉁䅁䅁权䑁䅁䅁䍄䉁䅁䅁睁䅁䅁䅍䅄䅁䅁䅕䅁䅁䡑䉅啕䭅䅁䄴䅁䉁䅁䅁允䅁䅁䅯睁䅁䅁杷允䅁䅁䅍䅁䑁䅁䅷䅁䙁䅁䅁䵁䥂噅䉂权䥁䅁䅁允䅁䅁䅅䅁䭁䝁䅳䅁䵁䅉䅅䅁䑁䅁䅁睁䵁䅁䅁兂䅁䅁䅂㕡兰兑䅯睉䅁䅁䅅䅁䉁䅁䅁权䑁䅁䅁䍄䉁䅁䅁睁䅁䅁䅍䅄䅁䅁䅕䅁䅁䅁硥ご䭅䅁䅧䅁䉁䅁䅁允䅁䅁䅯䅗䅁䅁杷允䅁䅁䅍䅁䑁䅁䅷䅁䙁䅁䅁䕁硂噁䉆权塁䅁䅁允䅁䅁䅅䅁䭁䅁䅍䅁䵁䅉䅅䅁䑁䅁䅁睁䵁䅁䅁权䑁䅁䅁权䥁䅁䅁允䅁䅁䅅䅁䭁䍁䅯䅁䵁䅉䅅䅁䑁䅁䅁睁䵁䅁䅁兂䅁䅁䅃漷兖兑䅯权䅁䅁䅅䅁䉁䅁䅁权䑁䅁䅁䍄䉁䅁䅁睁䅁䅁䅍䅄䅁䅁䅕䅁䅁䡑䉅啕䭅䉁䅯䅁䉁䅁䅁允䅁䅁䅯睁䅁䅁杷允䅁䅁䅍䅁䑁䅁䅷䅁䙁䅁䅁䅁獂ㅭ䉂权歁䅁䅁允䅁䅁䅅䅁䭁䅁䅍䅁䵁䅉䅅䅁䑁䅁䅁睁䵁䅁䅁兂䅁䅁䅁䈴全兑䅯䅃䅁䅁䅅䅁䉁䅁䅁权睁䅁䅁䍄䉁䅁䅁睁䅁䅁䅍䅄䅁䅁䅕䅁䅁䡑䉅啕䭅䍁䅑䅁䉁䅁䅁允䅁䅁䅯睁䅁䅁杷允䅁䅁䅍䅁䑁䅁䅷䅁䙁䅁䅁䍁睁塤䉰权䥁䅁䅁允䅁䅁䅅䅁䭁䝁䅙䅁䵁䅉䅅䅁䑁䅁䅁睁䵁䅁䅁兂䅁䅁䅂兣剆兑䅯兆䅁䅁䅅䅁䉁䅁䅁权䑁䅁䅁䍄䉁䅁䅁睁䅁䅁䅍䅄䅁䅁䅕䅁䅁䡑䉅啕䭅䍁䅍䅁䉁䅁䅁允䅁䅁䅯睁䅁䅁杷允䅁䅁䅍䅁䑁䅁䅷䅁䙁䅁䅁䕁牂汭䉂权䙁䅁䅁允䅁䅁䅅䅁䭁䅁䅷䅁䵁䅉䅅䅁䑁䅁䅁睁䵁䅁䅁兂䅁䅁䅁䩢兴兑䅯先䅁䅁䅅䅁䉁䅁䅁权䑁䅁䅁䍄䉁䅁䅁睁䅁䅁䅍䅄䅁䅁䅕䅁䅁䍁搷䕕䭅䅁䅧䅁䉁䅁䅁允䅁䅁䅯兗䅁䅁杷允䅁䅁䅍䅁䑁䅁䅷䅁䙁䅁䅁䥁敄の䈹权䥁䅁䅁允䅁䅁䅅䅁䭁䑁䅁䅁䵁䅉䅅䅁䑁䅁䅁睁䵁䅁䅁兂䅁䅁䅁牤剸兑䅯䅁䅁䅁䅅䅁䉁䅁䅁权䉁䅁䅁䍄䉁䅁䅁睁䅁䅁䅍䅄䅁䅁䅕䅁䅁䭑㘴䕚䭅䅁䅧䅁䉁䅁䅁允䅁䅁䅯䅍䅁䅁杷允䅁䅁䅍䅁䑁䅁䅷䅁䙁䅁䅁䕁牂汭䉂权呁䅁䅁允䅁䅁䅅䅁䭁䅁䅷䅁䵁䅉䅅䅁䑁䅁䅁睁䵁䅁䅁兂䅁䅁䅂㕡兰兑䅯睂䅁䅁䅅䅁䉁䅁䅁权䑁䅁䅁䍄䉁䅁䅁睁䅁䅁䅍䅄䅁䅁䅕䅁䅁䭑㘴䕚䭅䅁䄰䅁䉁䅁䅁允䅁䅁䅕䘷㑇潈牘い䵁䅉䅅䅁䑁䅁䅁睁䵁䅁䅁兂䅁䅁䅁么佨兑䅯䅃䅁䅁䅅䅁䉁䅁䅁权奂䅁䅁䍄䉁䅁䅁睁䅁䅁䅍䅄䅁䅁䅕䅁䅁䝑慵䕕䭅䉁䅑䅁䉁䅁䅁允䅁䅁䅯睁䅁䅁杷允䅁䅁䅍䅁䑁䅁䅷䅁䙁䅁䅁䕁牂汭䉂权坁䅁䅁允䅁䅁䅅䅁䭁䅁䅍䅁䵁䅉䅅䅁䑁䅁䅁睁䵁䅁䅁兂䅁䅁䅂㕡兰兑䅯权䅁䅁䅅䅁䉁䅁䅁权䑁䅁䅁䍄䉁䅁䅁睁䅁䅁䅍䅄䅁䅁䅕䅁䅁䝑慵䕕䭅䅁䄸䅁䉁䅁䅁允䅁䅁䅯睁䅁䅁杷允䅁䅁䅍䅁䑁䅁䅷䅁䙁䅁䅁䕁牂汭䉂权摁䅁䅁允䅁䅁䅅䅁䭁䅁䅍䅁䵁䅉䅅䅁䑁䅁䅁睁䵁䅁䅁兂䅁䅁䅂㕡兰兑䅯䅉䅁䅁䅅䅁䉁䅁䅁权䑁䅁䅁䍄䉁䅁䅁䅃䅁䅁杷允䅁䅁䅣䅁䭁䕁䅳䅁䭁䕁䅯䅁䭁䑁䅷䅁䭁䑁䅣䅁䭁䑁䅧䅁䭁䅁䅑潁䭁䑁䅫䅁啁䭁䩨㙢奃桥瑕䅆捂ㄷ䉯䭺剹硢䅑扌浕栲慣䭷啉佁吳嘸䥉癷䡧䅆偁瑏煎䑈ぴ䈰䅑㡧㥈䙒匴獑唰乁浏獫䄫䵌楣允䅁䅁䅅䅁䭁䑁䄰䅁䵁䅉䅅䅁䑁䅁䅁睁䵁䅁䅁兂䅁䅁䅂㕡兰兑䅯充䅁䅁䅅䅁䉁䅁䅁权䑁䅁䅁䍄䉁䅁䅁睁䅁䅁䅍䅄䅁䅁䅕䅁䅁䝑慵䕕䭅䍁䅑䅁䉁䅁䅁允䅁䅁䅯睁䅁䅁杷允䅁䅁䅍䅁䑁䅁䅷䅁䙁䅁䅁䅁䅁智䅰权䥁䅁䅁允䅁䅁䅅䅁䭁䙁䅧䅁䵁䅉䅅䅁䑁䅁䅁睁䵁䅁䅁兂䅁䅁䅂㕡兰兑䅯兆䅁䅁䅅䅁䉁䅁䅁权䑁䅁䅁䍄䉁䅁䅁睁䅁䅁䅍䅄䅁䅁䅕䅁䅁䝑慵䕕䭅䍁䅕䅁䉁䅁䅁允䅁䅁䅯睁䅁䅁杷允䅁䅁䅍䅁䑁䅁䅷䅁䙁䅁䅁䅁獂ㅭ䉂权䥁䅁䅁允䅁䅁䅅䅁䭁䍁䅯䅁䵁䅉䅅䅁䑁䅁䅁睁䵁䅁䅁兂䅁䅁䅃楸儵兑䅯䅃䅁䅁䅅䅁䉁䅁䅁权敂䅁䅁䍄䉁䅁䅁睁䅁䅁䅍䅄䅁䅁䅕䅁䅁䝁批䕕䭅䅁䅕䅁䉁䅁䅁允䅁䅁䅯䅄䅁䅁杷允䅁䅁䅍䅁䑁䅁䅷䅁䙁䅁䅁䅁獂ㅭ䉂权䱁䅁䅁允䅁䅁䅅䅁䭁䅁䅷䅁䵁䅉䅅䅁䑁䅁䅁睁䵁䅁䅁兂䅁䅁䅁䩢兴兑䅯杁䅁䅁䅅䅁䉁䅁䅁权䑁䅁䅁䍄䉁䅁䅁睁䅁䅁䅍䅄䅁䅁䅕䅁䅁䭑㘴䕚䭅䍁䅍䅁䉁䅁䅁允䅁䅁䅯睁䅁䅁杷允䅁䅁䅍䅁䑁䅁䅷䅁䙁䅁䅁䅁獂ㅭ䉂权偁䅁䅁允䅁䅁䅅䅁䭁䅁䅍䅁䵁䅉䅅䅁䑁䅁䅁睁䵁䅁䅁兂䅁䅁䅁橕癳兑䅯䅃䅁䅁䅅䅁䉁䅁䅁权奂䅁䅁䍄䉁䅁䅁睁䅁䅁䅍䅄䅁䅁䅕䅁䅁䝁批䕕䭅䉁䅷䅁䉁䅁䅁允䅁䅁䅯睁䅁䅁杷允䅁䅁䅍䅁䑁䅁䅷䅁䙁䅁䅁䵁䱃ㅨ䉊权䥁䅁䅁允䅁䅁䅅䅁䭁䙁䅷䅁䵁䅉䅅䅁䑁䅁䅁睁䵁䅁䅁兂䅁䅁䅁䩢兴兑䅯杄䅁䅁䅅䅁䉁䅁䅁权䑁䅁䅁䍄䉁䅁䅁睁䅁䅁䅍䅄䅁䅁䅕䅁䅁䝑穊歕䭅䅁䅧䅁䉁䅁䅁允䅁䅁䅯䅍䅁䅁杷允䅁䅁䅍䅁䑁䅁䅷䅁䙁䅁䅁䅁獂ㅭ䉂权杁䅁䅁允䅁䅁䅅䅁䭁䅁䅍䅁䵁䅉䅅䅁䑁䅁䅁睁䵁䅁䅁兂䅁䅁䅁䩢兴兑䅯睆䅁䅁䅅䅁䉁䅁䅁权䑁䅁䅁䍄䉁䅁䅁睁䅁䅁䅍䅄䅁䅁䅕䅁䅁䭑㘴䕚䭅䉁䅁䅁䉁䅁䅁允䅁䅁䅯䅄䅁䅁杷允䅁䅁䅍䅁䑁䅁䅷䅁䙁䅁䅁䅁獂ㅭ䉂权桁䅁䅁允䅁䅁䅅䅁䭁䅁䅍䅁䵁䅉䅅䅁䑁䅁䅁睁䵁䅁䅁兂䅁䅁䅁䩢兴兑䅯兇䅁䅁䅅䅁䉁䅁䅁权䑁䅁䅁䍄䉁䅁䅁睁䅁䅁䅍䅄䅁䅁䅕䅁䅁䝁批䕕䭅䍁䅕䅁䉁䅁䅁允䅁䅁䅯睁䅁䅁杷允䅁䅁䅍䅁䑁䅁䅷䅁䙁䅁䅁䅁獂ㅭ䉂权晁䅁䅁允䅁䅁䅅䅁䭁䅁䅍䅁䵁䅉䅅䅁䑁䅁䅁睁䵁䅁䅁兂䅁䅁䅂橲歰兑䅯睅䅁䅁䅅䅁䉁䅁䅁权䵁䅁䅁䍄䉁䅁䅁睁䅁䅁䅍䅄䅁䅁䅕䅁䅁䭑㘴䕚䭅䅁䅑䅁䉁䅁䅁允䅁䅁䅕敨剴䉵䘴ぉ䵁䅉䅅䅁䑁䅁䅁睁䵁䅁䅁兂䅁䅁䅃漷兖兑䅯兂䅁䅁䅅䅁䉁䅁䅁权煁䅁䅁䍄䉁䅁䅁睁䅁䅁䅍䅄䅁䅁䅕䅁䅁䥁睏ご䭅䅁䅧䅁䉁䅁䅁允䅁䅁䅯䅗䅁䅁杷允䅁䅁䅍䅁䑁䅁䅷䅁䙁䅁䅁䕁畃浏䉒权䭁䅁䅁允䅁䅁䅅䅁䭁䅁䅍䅁䵁䅉䅅䅁䑁䅁䅁睁䵁䅁䅁兂䅁䅁䅂橲歰兑䅯䅇䅁䅁䅅䅁䉁䅁䅁权䑁䅁䅁䍄䉁䅁䅁睁䅁䅁䅍䅄䅁䅁䅕䅁䅁䭑㘴䕚䭅䅁䄸䅁䉁䅁䅁允䅁䅁䅯睁䅁䅁杷允䅁䅁䅍䅁䑁䅁䅷䅁䙁䅁䅁䕁畃浏䉒权扁䅁䅁允䅁䅁䅅䅁䭁䅁䅍䅁䵁䅉䅅䅁䑁䅁䅁睁䵁䅁䅁兂䅁䅁䅂橲歰兑䅯杄䅁䅁䅅䅁䉁䅁䅁权䑁䅁䅁䍄䉁䅁䅁睁䅁䅁䅍䅄䅁䅁䅕䅁䅁䭑㘴䕚䭅䍁䅁䅁䉁䅁䅁允䅁䅁䅯睁䅁䅁杷允䅁䅁䅍䅁䑁䅁䅷䅁䙁䅁䅁䕁畃浏䉒权婁䅁䅁允䅁䅁䅅䅁䙁䉁䘫ㄶ㑇橘䅖䍄䉁䅁䅁睁䅁䅁䅍䅄䅁䅁䅕䅁䅁䭑㘴䕚䭅䍁䅑䅁䉁䅁䅁允䅁䅁䅯睁䅁䅁杷允䅁䅁䅍䅁䑁䅁䅷䅁䙁䅁䅁䕁畃浏䉒权噁䅁䅁允䅁䅁䅅䅁䭁䅁䅍䅁䵁䅉䅅䅁䑁䅁䅁睁䵁䅁䅁兂䅁䅁䅂橲歰兑䅯兊䅁䅁䅅䅁䉁䅁䅁权䑁䅁䅁䍄䉁䅁䅁睁䅁䅁䅍䅄䅁䅁䅕䅁䅁佧䘶䕕䭅䅁䅁䅁䉁䅁䅁允䅁䅁䅯杉䅁䅁杷允䅁䅁䅍䅁䑁䅁䅷䅁䙁䅁䅁䥁畄器䉂权䡁䅁䅁允䅁䅁䅅䅁啁乁硪杒䅁䅁䅁䍄䉁䅁䅁睁䅁䅁䅍䅄䅁䅁䅕䅁䅁佧䘶䕕䭅䅁䅧䅁䉁䅁䅁允䅁䅁䅯杋䅁䅁杷允䅁䅁䅍䅁䑁䅁䅷䅁䙁䅁䅁䥁畄器䉂权䱁䅁䅁允䅁䅁䅅䅁䭁䑁䅅䅁䵁䅉䅅䅁䑁䅁䅁睁䵁䅁䅁兂䅁䅁䅃漷兖兑䅯䅅䅁䅁䅅䅁䉁䅁䅁权祁䅁䅁䍄䉁䅁䅁睁䅁䅁䅍䅄䅁䅁䅕䅁䅁佧䘶䕕䭅䅁䅑䅁䉁䅁䅁允䅁䅁䅯睁䅁䅁杷允䅁䅁䅍䅁䑁䅁䅷䅁䙁䅁䅁䥁畄器䉂权䍁䅁䅁允䅁䅁䅅䅁䭁䅁䅍䅁䵁䅉䅅䅁䑁䅁䅁睁䵁䅁䅁兂䅁䅁䅃漷兖兑䅯杄䅁䅁䅅䅁䉁䅁䅁权䑁䅁䅁䍄䉁䅁䅁睁䅁䅁䅍䅄䅁䅁䅕䅁䅁佧䘶䕕䭅䍁䅅䅁䉁䅁䅁允䅁䅁䅯睁䅁䅁杷允䅁䅁䅍䅁䑁䅁䅷䅁䙁䅁䅁䥁畄器䉂权婁䅁䅁允䅁䅁䅅䅁䭁䅁䅍䅁䵁䅉䅅䅁䑁䅁䅁睁䵁䅁䅁兂䅁䅁䅃漷兖兑䅯䅊䅁䅁䅅䅁䉁䅁䅁权䑁䅁䅁䍄䉁䅁䅁睁䅁䅁䅍䅄䅁䅁䅕䅁䅁佧䘶䕕䭅䅁䄰䅁䉁䅁䅁允䅁䅁䅯睁䅁䅁杷允䅁䅁䅧䅁䵁䅉䅅䅁䡁䅁䅁权ぁ䅁䅁权ㅁ䅁䅁权㉁䅁䅁权㍁䅁䅁权㑁䅁䅁权䕁䅁䅋权㕁䅁䅁䅆潃坓末䡭噯剌䅑嘲佖䕭䡹噱啯䝁剔䄸呧婘䱴䅆瑄⼰卆䵃㑌硂䅑穄呲桡㝷乤啁䥁䉐唯敒歅乌䅆呄灰偌䍧䡺杉䅅䅁䉁䅁䅁权㙁䅁䅁䍄䉁䅁䅁睁䅁䅁䅍䅄䅁䅁䅕䅁䅁佧䘶䕕䭅䉁䄸䅁䉁䅁䅁允䅁䅁䅯睁䅁䅁杷允䅁䅁䅍䅁䑁䅁䅷䅁䭁䅁䅷䅁䭁䅁䅁䅁䉁䅁䅁允䅁䅁䅯睍䅁䅁杷允䅁䅁䅍䅁䑁䅁䅷䅁䙁䅁䅁䕁䵃ㅉ䉆权䥁䅁䅁允䅁䅁䅅䅁䭁䑁䅁䅁䵁䅉䅅䅁䑁䅁䅁睁䵁䅁䅁权牁䅁䅁权䅁䅁䅁允䅁䅁䅅䅁䭁䍁䅉䅁䵁䅉䅅䅁䑁䅁䅁睁䵁䅁䅁兂䅁䅁䅃歐兰兑䅯䅃䅁䅁䅅䅁䉁䅁䅁权奂䅁䅁䍄䉁䅁䅁睁䅁䅁䅍䅄䅁䅁䅯免䅁䅁䅯䅁䅁䅁䅅䅁䉁䅁䅁权䉁䅁䅁䍄䉁䅁䅁睁䅁䅁䅍䅄䅁䅁䅯睁䅁䅁䅯䅁䅁䅁䅅䅁䉁䅁䅁权湁䅁䅁䍄䉁䅁䅁睁䅁䅁䅍䅄䅁䅁䅕䅁䅁䵗䑓啭䭅䅁䅁䅁䉁䅁䅁允䅁䅁䅯杉䅁䅁杷允䅁䅁䅍䅁䑁䅁䅷䅁䙁䅁䅁䕁䕂ㅊ䉂权䥁䅁䅁允䅁䅁䅅䅁䭁䍁䅙䅁䵁䅉䅅䅁䥁䅁䅁䍄䉁䅁䅁睂䅁䅁䅯睏䅁䅁䅯兎䅁䅁䅯䅐䅁䅁䅯睎䅁䅁䅯䅏䅁䅁䅯䅂䍁䅧䅯兏䅁䉁䅑䕱癬䩯㙨卆唰乁噬灔䵨㙨慬䅆瑁却慢硆䅲桯䅑搷硐杕䍪䄫啣䅁㘸㈰捯㍏兔䅆䑃晷䔱桘䍊剺䅑㘰卡㑺獁祸䉉䅁䅁允䅁䅁䅯児䅁䅁杷允䅁䅁䅧䅁䵁䅉䅅䅁䡁䅁䅁权⭁䅁䅁权⽁䅁䅁权㉁䅁䅁权㍁䅁䅁权㑁䅁䅁权䕁䅁䅋权㕁䅁䅁䅆潃坓末䡭噯剌䅑歭坫ㅗ䙚㕃啯䝁剔䄸呧婘䱴䅆瑄⼰卆䵃㑌硂䅑穄呲桡㝷乤啁䥁䉐唯敒歅乌䅆呄灰偌䍧䡺杉䅅䅁䉁䅁䅁权㙁䅁䅁䍄䉁䅁䅁䅃䅁䅁杷允䅁䅁䅣䅁䭁䕁䅁䅁䭁䑁䅕䅁䭁䕁䅅䅁䭁䑁䅣䅁䭁䑁䅧䅁䭁䅁䅑潁䭁䑁䅫䅁啁䭁䩨㙢奃桥瑕䅆婄啖夶䥔灥桗䅑灱瘶䉆獏啴啷佁吳嘸䥉癷䡧䅆偁瑏煎䑈ぴ䈰䅑㡧㥈䙒匴獑唰乁浏獫䄫䵌楣允䅁䅁䅅䅁䭁䕁䅉䅁䵁䅉䅅䅁䥁䅁䅁䍄䉁䅁䅁睂䅁䅁䅯睑䅁䅁䅯兎䅁䅁䅯䅒䅁䅁䅯睎䅁䅁䅯䅏䅁䅁䅯䅂䍁䅧䅯兏䅁䉁䅑䕱癬䩯㙨卆唰乁噬灔䵨㙨慬䅆歁牐㕃⽳据剎䅑搷硐杕䍪䄫啣䅁㘸㈰捯㍏兔䅆䑃晷䔱桘䍊剺䅑㘰卡㑺獁祸䉉䅁䅁允䅁䅁䅯兒䅁䅁杷允䅁䅁䅧䅁䵁䅉䅅䅁䡁䅁䅁权䝂䅁䅁权⽁䅁䅁权㡁䅁䅁权㍁䅁䅁权㑁䅁䅁权䕁䅁䅋权㕁䅁䅁䅆潃坓末䡭噯剌䅑歭坫ㅗ䙚㕃啯䍁ㄲ瑊塯獇楃䅆瑄⼰卆䵃㑌硂䅑穄呲桡㝷乤啁䥁䉐唯敒歅乌䅆呄灰偌䍧䡺杉䅅䅁䉁䅁䅁权㥁䅁䅁䍄䉁䅁䅁䅃䅁䅁杷允䅁䅁䅣䅁䭁䕁䅧䅁䭁䑁䄸䅁䭁䕁䅑䅁䭁䑁䅣䅁䭁䑁䅧䅁䭁䅁䅑潁䭁䑁䅫䅁啁䭁䩨㙢奃桥瑕䅆慃剓扚歖䱕桭䅑䑊眶扵㕐䐳啕佁吳嘸䥉癷䡧䅆偁瑏煎䑈ぴ䈰䅑㡧㥈䙒匴獑唰乁浏獫䄫䵌楣允䅁䅁䅅䅁䭁䕁䅕䅁䵁䅉䅅䅁䥁䅁䅁䍄䉁䅁䅁睂䅁䅁䅯兓䅁䅁䅯杓䅁䅁䅯李䅁䅁䅯睎䅁䅁䅯䅏䅁䅁䅯䅂䍁䅧䅯兏䅁䉁䅑䕱癬䩯㙨卆唰䙁発杗䵈䩲癆䅆歂昰䥁ㅅ戲硓䅑搷硐杕䍪䄫啣䅁㘸㈰捯㍏兔䅆䑃晷䔱桘䍊剺䅑㘰卡㑺獁祸䉉䅁䅁允䅁䅁䅯杏䅁䅁杷允䅁䅁䅧䅁䵁䅉䅅䅁䡁䅁䅁权䵂䅁䅁权䭂䅁䅁权䉂䅁䅁权㍁䅁䅁权㑁䅁䅁权䕁䅁䅋权㕁䅁䅁䅆潃坓末䡭噯剌䅑佘愹捁獹坫唸䭁敱硲呑䱲䵖䅆瑄⼰卆䵃㑌硂䅑穄呲桡㝷乤啁䥁䉐唯敒歅乌䅆呄灰偌䍧䡺杉䅅䅁䉁䅁䅁权䍂䅁䅁䍄䉁䅁䅁睁䅁䅁䅍䅄䅁䅁䅕䅁䅁䩁㉂䔫䭁䅁䅧䅁䉁䅁䅁允䅁䅁䅯䅗䅁䅁杷允䅁䅁䅧䅁䵁䅉䅅䅁䡁䅁䅁权剂䅁䅁权偂䅁䅁权㡁䅁䅁权㍁䅁䅁权㑁䅁䅁权䕁䅁䅋权㕁䅁䅁䅆潃坓末䡭噯剌䅑橎瀲呶敍䉏啯䍁ㄲ瑊塯獇楃䅆瑄⼰卆䵃㑌硂䅑穄呲桡㝷乤啁䥁䉐唯敒歅乌䅆呄灰偌䍧䡺杉䅅䅁䉁䅁䅁权㥁䅁䅁䍄䉁䅁䅁䅃䅁䅁杷允䅁䅁䅣䅁䭁䙁䅉䅁䭁䕁䄸䅁䭁䕁䅑䅁䭁䑁䅣䅁䭁䑁䅧䅁䭁䅁䅑潁䭁䑁䅫䅁啁䭁䩨㙢奃桥瑕䅆㉁慐㥭硍㐴桇䅑䑊眶扵㕐䐳啕佁吳嘸䥉癷䡧䅆偁瑏煎䑈ぴ䈰䅑㡧㥈䙒匴獑唰乁浏獫䄫䵌楣允䅁䅁䅅䅁䭁䕁䅕䅁䵁䅉䅅䅁䑁䅁䅁睁䵁䅁䅁兂䅁䅁䅁䉫㕔䅑䅯䅃䅁䅁䅅䅁䉁䅁䅁权奂䅁䅁䍄䉁䅁䅁䅃䅁䅁杷允䅁䅁䅣䅁䭁䙁䅍䅁䭁䙁䅑䅁䭁䑁䅙䅁䭁䑁䅣䅁䭁䑁䅧䅁䭁䅁䅑潁䭁䑁䅫䅁啁䭁䩨㙢奃桥瑕䅆慁䩹䍭智㉯䉚䅑乚睈䉃摎ね啳佁吳嘸䥉癷䡧䅆偁瑏煎䑈ぴ䈰䅑㡧㥈䙒匴獑唰乁浏獫䄫䵌楣允䅁䅁䅅䅁䭁䑁䅯䅁䵁䅉䅅䅁䑁䅁䅁睁䵁䅁䅁兂䅁䅁䅁䵱剂兑䅯䅃䅁䅁䅅䅁䉁䅁䅁权楂䅁䅁䍄䉁䅁䅁䅃䅁䅁杷允䅁䅁䅣䅁䭁䙁䅕䅁䭁䙁䅑䅁䭁䑁䅷䅁䭁䑁䅣䅁䭁䑁䅧䅁䭁䅁䅑潁䭁䑁䅫䅁啁䭁䩨㙢奃桥瑕䅆慁䩹䍭智㉯䉚䅑扌浕栲慣䭷啉佁吳嘸䥉癷䡧䅆偁瑏煎䑈ぴ䈰䅑㡧㥈䙒匴獑唰乁浏獫䄫䵌楣允䅁䅁䅅䅁䭁䑁䄰䅁䵁䅉䅅䅁䑁䅁䅁睁䵁䅁䅁兂䅁䅁䅁乐佚兑䅯䅃䅁䅁䅅䅁䉁䅁䅁权睁䅁䅁䍄䉁䅁䅁睁䅁䅁䅍䅄䅁䅁䅕䅁䅁䑷嘯啕䭅䅁䅧䅁䉁䅁䅁允䅁䅁䅯兙䅁䅁杷允䅁䅁䅧䅁䵁䅉䅅䅁䡁䅁䅁权坂䅁䅁权啂䅁䅁权䉂䅁䅁权㍁䅁䅁权㑁䅁䅁权䕁䅁䅋权㕁䅁䅁䅆潃坓末䡭噯剌䅑獇婩獧㘳济啑䭁敱硲呑䱲䵖䅆瑄⼰卆䵃㑌硂䅑穄呲桡㝷乤啁䥁䉐唯敒歅乌䅆呄灰偌䍧䡺杉䅅䅁䉁䅁䅁权䍂䅁䅁䍄䉁䅁䅁䅃䅁䅁杷允䅁䅁䅣䅁䭁䙁䅣䅁䭁䙁䅑䅁䭁䕁䅑䅁䭁䑁䅣䅁䭁䑁䅧䅁䭁䅁䅑潁䭁䑁䅫䅁啁䭁䩨㙢奃桥瑕䅆慁䩹䍭智㉯䉚䅑䑊眶扵㕐䐳啕佁吳嘸䥉癷䡧䅆偁瑏煎䑈ぴ䈰䅑㡧㥈䙒匴獑唰乁浏獫䄫䵌楣允䅁䅁䅅䅁䭁䕁䅕䅁䵁䅉䅅䅁䑁䅁䅁睁䵁䅁䅁兂䅁䅁䅃婇做兑䅯䅃䅁䅁䅅䅁䉁䅁䅁权婂䅁䅁䍄䉁䅁䅁睁䅁䅁䅍䅄䅁䅁䅕䅁䅁乷氰歕䭅䅁䅧䅁䉁䅁䅁允䅁䅁䅯杊䅁䅁杷允䅁䅁䅍䅁䑁䅁䅷䅁䙁䅁䅁䅁㑄㔶䉤权䥁䅁䅁允䅁䅁䅅䅁䭁䍁䅙䅁䵁䅉䅅䅁䑁䅁䅁睁䵁䅁䅁兂䅁䅁䅂䙚剰兑䅯䅃䅁䅁䅅䅁䉁䅁䅁权流䅁䅁䍄䉁䅁䅁睁䅁䅁䅍䅄䅁䅁䅕䅁䅁䙁坔歔䭅䅁䅧䅁䉁䅁䅁允䅁䅁䅯䅗䅁䅁杷允䅁䅁䅍䅁䑁䅁䅷䅁䙁䅁䅁䝁摁坰䉰权䥁䅁䅁允䅁䅁䅅䅁䭁䑁䅁䅁䵁䅉䅅䅁䑁䅁䅁睁䵁䅁䅁兂䅁䅁䅁偷㝔䅑䅯䅃䅁䅁䅅䅁䉁䅁䅁权睁䅁䅁䍄䉁䅁䅁睁䅁䅁䅍䅄䅁䅁䅕䅁䅁䡁瑱歔䭅䅁䅧䅁䉁䅁䅁允䅁䅁䅯杗䅁䅁杷允䅁䅁䅍䅁䑁䅁䅷䅁䙁䅁䅁䱁㡙䭢䉂权䥁䅁䅁允䅁䅁䅅䅁䭁䙁䅧䅁䵁䅉䅅䅁䑁䅁䅁睁䵁䅁䅁兂䅁䅁潁䙷婃兑䅯䅃䅁䅁䅅䅁䉁䅁䅁权流䅁䅁䍄䉁䅁䅁睁䅁䅁䅍䅄䅁䅁䅕䅁䅁䕧䵱ご䭅䅁䅧䅁䉁䅁䅁允䅁䅁䅯䅍䅁䅁杷允䅁䅁䅍䅁䑁䅁䅷䅁䙁䅁䅁䅁潄ㅊ䉂权䥁䅁䅁允䅁䅁䅅䅁䭁䑁䅁䅁䵁䅉䅅䅁䑁䅁䅁睁䵁䅁䅁兂䅁䅁䅃娸偊兑䅯䅃䅁䅁䅅䅁䉁䅁䅁权扂䅁䅁䍄䉁䅁䅁睁䅁䅁䅍䅄䅁䅁䅕䅁䅁䌲㉔の䭅䅁䅧䅁䉁䅁䅁允䅁䅁䅯杊䅁䅁杷允䅁䅁䅍䅁䑁䅁䅷䅁䙁䅁䅁䅁䅄⽁䅴权䥁䅁䅁允䅁䅁䅅䅁䭁䙁䅧䅁䵁䅉䅅䅁䑁䅁䅁睁䵁䅁䅁兂䅁䅁䅁摪但兑䅯䅃䅁䅁䅅䅁䉁䅁䅁权奂䅁䅁䍄䉁䅁䅁睁䅁䅁䅍䅄䅁䅁䅕䅁䅁䥷㑧䕕䭅䅁䅧䅁䉁䅁䅁允䅁䅁䅯䅗䅁䅁杷允䅁䅁䅍䅁䑁䅁䅷䅁䙁䅁䅁䅁潃䕮䈹权䥁䅁䅁允䅁䅁䅅䅁䭁䙁䅧䅁䵁䅉䅅䅁䑁䅁䅁睁䵁䅁䅁兂䅁䅁䅁䉉㜷䅑䅯䅃䅁䅁䅅䅁䉁䅁䅁权奂䅁䅁䍄䉁䅁䅁睁䅁䅁䅍䅄䅁䅁䅕䅁䅁乁え歔䭅䅁䅧䅁䉁䅁䅁允䅁䅁䅯䅗䅁䅁杷允䅁䅁䅍䅁䑁䅁䅷䅁䙁䅁䅁䅁䅁倱䅰权䥁䅁䅁允䅁䅁䅅䅁䭁䙁䅧䅁䵁䅉䅅䅁䑁䅁䅁睁䵁䅁䅁兂䅁䅁䅄牤摖兑䅯䅃䅁䅁䅅䅁䉁䅁䅁权奂䅁䅁䍄䉁䅁䅁睁䅁䅁䅍䅄䅁䅁䅕䅁䅁䅘䑶歭䭅䅁䅧䅁䉁䅁䅁允䅁䅁䅯䅗䅁䅁杷允䅁䅁䅍䅁䑁䅁䅷䅁䙁䅁䅁䕁剂䙪䉂权䥁䅁䅁允䅁䅁䅅䅁䭁䙁䅧䅁䵁䅉䅅䅁䑁䅁䅁睁䵁䅁䅁兂䅁䅁䅂䝓削兑䅯䅃䅁䅁䅅䅁䉁䅁䅁权畁䅁䅁䍄䉁䅁䅁睁䅁䅁䅍䅄䅁䅁䅕䅁䅁䡑剸歖䭅䅁䅧䅁䉁䅁䅁允䅁䅁䅯兗䅁䅁杷允䅁䅁䅍䅁䑁䅁䅷䅁䙁䅁䅁䥁卄に䈹权䥁䅁䅁允䅁䅁䅅䅁䭁䍁䅙䅁䵁䅉䅅䅁䑁䅁䅁睁䵁䅁䅁兂䅁䅁䅃䑭全兑䅯䅃䅁䅁䅅䅁䉁䅁䅁权慂䅁䅁䍄䉁䅁䅁睁䅁䅁䅍䅄䅁䅁䅕䅁䅁䡧煙歕䭅䅁䅧䅁䉁䅁䅁允䅁䅁䅯兙䅁䅁杷允䅁䅁䅍䅁䑁䅁䅷䅁䙁䅁䅁䅁䱄歹䈵权䥁䅁䅁允䅁䅁䅅䅁䭁䍁䄴䅁䵁䅉䅅䅁䑁䅁䅁睁䵁䅁䅁兂䅁䅁䅃䬳捖兑䅯䅃䅁䅁䅅䅁䉁䅁䅁权畂䅁䅁䍄䉁䅁䅁睁䅁䅁䅍䅄䅁䅁䅕䅁䅁偷潮じ䭅䅁䅧䅁䉁䅁䅁允䅁䅁䅯杊䅁䅁杷允䅁䅁䅍䅁䑁䅁䅷䅁䙁䅁䅁䥁㑁䔱䈵权䥁䅁䅁允䅁䅁䅅䅁䭁䑁䅁䅁䵁䅉䅅䅁䑁䅁䅁睁䵁䅁䅁兂䅁䅁䅁琹佒兑䅯䅃䅁䅁䅅䅁䉁䅁䅁权睁䅁䅁䍄䉁䅁䅁睁䅁䅁䅍䅄䅁䅁䅕䅁䅁䱯䩪䕡䭅䅁䅧䅁䉁䅁䅁允䅁䅁䅯䅗䅁䅁杷允䅁䅁䅍䅁䑁䅁䅷䅁䙁䅁䅁䥁佁じ䈹权䥁䅁䅁允䅁䅁䅅䅁䭁䙁䄴䅁䵁䅉䅅䅁䑁䅁䅁睁䵁䅁䅁兂䅁䅁䅁祌兒兑䅯䅃䅁䅁䅅䅁䉁䅁䅁权睁䅁䅁䍄䉁䅁䅁睁䅁䅁䅍䅄䅁䅁䅕䅁䅁䭁噵ご䭅䅁䅧䅁䉁䅁䅁允䅁䅁䅯䅍䅁䅁杷允䅁䅁䅍䅁䑁䅁䅷䅁䙁䅁䅁䵁摃䙆䉂权䥁䅁䅁允䅁䅁䅅䅁䭁䙁䄸䅁䵁䅉䅅䅁䑁䅁䅁睁䵁䅁䅁兂䅁䅁䅁乄畉兑䅯䅃䅁䅁䅅䅁䉁䅁䅁权奂䅁䅁䍄䉁䅁䅁睁䅁䅁䅍䅄䅁䅁䅕䅁䅁䱁⽄欫䭁䅁䅧䅁䉁䅁䅁允䅁䅁䅯䅗䅁䅁杷允䅁䅁䅍䅁䑁䅁䅷䅁䙁䅁䅁䥁扁噊䉚权䥁䅁䅁允䅁䅁䅅䅁䭁䝁䅁䅁䵁䅉䅅䅁䑁䅁䅁睁䵁䅁䅁兂䅁䅁䅁䵯㝮䅑䅯䅃䅁䅁䅅䅁䉁䅁䅁权時䅁䅁䍄䉁䅁䅁睁䅁䅁䅍䅄䅁䅁䅕䅁䅁䝧畤ご䭅䅁䅧䅁䉁䅁䅁允䅁䅁䅯䅗䅁䅁杷允䅁䅁䅍䅁䑁䅁䅷䅁䙁䅁䅁䅁䅃昸䅰权䥁䅁䅁允䅁䅁䅅䅁䭁䙁䅧䅁䵁䅉䅅䅁䑁䅁䅁睁䵁䅁䅁兂䅁䅁䅃䜶偸兑䅯䅃䅁䅁䅅䅁䉁䅁䅁权奂䅁䅁䍄䉁䅁䅁睁䅁䅁䅍䅄䅁䅁䅕䅁䅁䉁䉃䔫䭁䅁䅧䅁䉁䅁䅁允䅁䅁䅯䅗䅁䅁杷允䅁䅁䅍䅁䑁䅁䅷䅁䙁䅁䅁䅁䕄に䈹权䥁䅁䅁允䅁䅁䅅䅁䭁䙁䅳䅁䵁䅉䅅䅁䑁䅁䅁睁䵁䅁䅁兂䅁䅁䅂啶圵兑䅯䅃䅁䅁䅅䅁䉁䅁䅁权婂䅁䅁䍄䉁䅁䅁睁䅁䅁䅍䅄䅁䅁䅕䅁䅁偁癁〫䭁䅁䅧䅁䉁䅁䅁允䅁䅁䅯䅗䅁䅁杷允䅁䅁䅍䅁䑁䅁䅷䅁䙁䅁䅁䅁权癲䅰权䥁䅁䅁允䅁䅁䅅䅁䭁䙁䅧䅁䵁䅉䅅䅁䑁䅁䅁睁䵁䅁䅁兂䅁䅁䅁㡂佚兑䅯䅃䅁䅁䅅䅁䉁䅁䅁权奂䅁䅁䍄䉁䅁䅁睁䅁䅁䅍䅄䅁䅁䅕䅁䅁佁歆ご䭅䅁䅧䅁䉁䅁䅁允䅁䅁䅯杌䅁䅁杷允䅁䅁䅍䅁䑁䅁䅷䅁䙁䅁䅁䥁呁啪䈹权䥁䅁䅁允䅁䅁䅅䅁䭁䙁䅧䅁䵁䅉䅅䅁䑁䅁䅁睁䵁䅁䅁兂䅁䅁䅄瀲剨兑䅯䅃䅁䅁䅅䅁䉁䅁䅁权畁䅁䅁䍄䉁䅁䅁睁䅁䅁䅍䅄䅁䅁䅕䅁䅁䉯䭏步䭅䅁䅧䅁䉁䅁䅁允䅁䅁䅯杚䅁䅁杷允䅁䅁䅍䅁䑁䅁䅷䅁䙁䅁䅁䅁捂嘷䉰权䥁䅁䅁允䅁䅁䅅䅁䭁䑁䅁䅁䵁䅉䅅䅁䑁䅁䅁睁䵁䅁䅁兂䅁䅁䅃煓偒兑䅯䅃䅁䅁䅅䅁䉁䅁䅁权睁䅁䅁䍄䉁䅁䅁睁䅁䅁䅍䅄䅁䅁䅕䅁䅁䡁癔ご䭅䅁䅧䅁䉁䅁䅁允䅁䅁䅯䅍䅁䅁杷允䅁䅁䅍䅁䑁䅁䅷䅁䙁䅁䅁䵁瑂噘䉆权䥁䅁䅁允䅁䅁䅅䅁䭁䑁䅁䅁䵁䅉䅅䅁䑁䅁䅁睁䵁䅁䅁兂䅁䅁䅄䑏党兑䅯䅃䅁䅁䅅䅁䉁䅁䅁权瑂䅁䅁䍄䉁䅁䅁睁䅁䅁䅍䅄䅁䅁䅕䅁䅁䴸楊づ䭅䅁䅧䅁䉁䅁䅁允䅁䅁䅯䅍䅁䅁杷允䅁䅁䅍䅁䑁䅁䅷䅁䙁䅁䅁䅁权癩䅨权䥁䅁䅁允䅁䅁䅅䅁䭁䍁䄴䅁䵁䅉䅅䅁䑁䅁䅁睁䵁䅁䅁兂䅁䅁䅁㜷剴兑䅯䅃䅁䅁䅅䅁䉁䅁䅁权睁䅁䅁䍄䉁䅁䅁睁䅁䅁䅍䅄䅁䅁䅕䅁䅁䉁啄〫䭁䅁䅧䅁䉁䅁䅁允䅁䅁䅯兗䅁䅁杷允䅁䅁䅍䅁䑁䅁䅷䅁䙁䅁䅁䥁硂欱䈵权䥁䅁䅁允䅁䅁䅅䅁䭁䑁䅁䅁䵁䅉䅅䅁䑁䅁䅁睁䵁䅁䅁兂䅁䅁䅃晃噬兑䅯䅃䅁䅁䅅䅁䉁䅁䅁权湂䅁䅁䍄䉁䅁䅁睁䅁䅁䅍䅄䅁䅁䅕䅁䅁䕙䝪づ䭅䅁䅧䅁䉁䅁䅁允䅁䅁䅯䅡䅁䅁杷允䅁䅁䅍䅁䑁䅁䅷䅁䙁䅁䅁䕁噄汇䉂权䥁䅁䅁允䅁䅁䅅䅁䭁䑁䅁䅁䵁䅉䅅䅁䑁䅁䅁睁䵁䅁䅁兂䅁䅁䅂晳噸兑䅯䅃䅁䅁䅅䅁䉁䅁䅁权睁䅁䅁䍄䉁䅁䅁睁䅁䅁䅍䅄䅁䅁䅕䅁䅁䩁卥ご䭅䅁䅧䅁䉁䅁䅁允䅁䅁䅯兗䅁䅁杷允䅁䅁䅍䅁䑁䅁䅷䅁䙁䅁䅁䕁時噇䉚权䥁䅁䅁允䅁䅁䅅䅁䭁䝁䄸䅁㵁</t>
  </si>
  <si>
    <t>Holder Name</t>
  </si>
  <si>
    <t>Holder ID</t>
  </si>
  <si>
    <t>Holder Type</t>
  </si>
  <si>
    <t>Percent Held by Holder</t>
  </si>
  <si>
    <t>USA</t>
  </si>
  <si>
    <t>India</t>
  </si>
  <si>
    <t>Belgium</t>
  </si>
  <si>
    <t>France</t>
  </si>
  <si>
    <t>Switzerland</t>
  </si>
  <si>
    <t>Luxembourg</t>
  </si>
  <si>
    <t>Jersey</t>
  </si>
  <si>
    <t>South Korea</t>
  </si>
  <si>
    <t>Ireland</t>
  </si>
  <si>
    <t>Cayman Islands</t>
  </si>
  <si>
    <t>Bermuda</t>
  </si>
  <si>
    <t>Italy</t>
  </si>
  <si>
    <t>Denmark</t>
  </si>
  <si>
    <t>Poland</t>
  </si>
  <si>
    <t>Singapore</t>
  </si>
  <si>
    <t>Spain</t>
  </si>
  <si>
    <t>Sweden</t>
  </si>
  <si>
    <t>Isle of Man</t>
  </si>
  <si>
    <t>Guernsey</t>
  </si>
  <si>
    <t>Austria</t>
  </si>
  <si>
    <t>South Africa</t>
  </si>
  <si>
    <t>Hong Kong</t>
  </si>
  <si>
    <t>Percent Owned All-Insitutions</t>
  </si>
  <si>
    <t>Insitutions- Banks/ Investment banks</t>
  </si>
  <si>
    <t>Charitable Foundations</t>
  </si>
  <si>
    <t>Corporate Pensions sponsors</t>
  </si>
  <si>
    <t>Gov pensions sponsors</t>
  </si>
  <si>
    <t>Insurance companies</t>
  </si>
  <si>
    <t>Strategic Hedge Funds Managers &gt;=5% stake</t>
  </si>
  <si>
    <t>Strategic VC/PE firms &gt;=5% stake</t>
  </si>
  <si>
    <t>Sovereign Wealth Funds &gt;=5% stake</t>
  </si>
  <si>
    <t>Strategic company controlled foundations</t>
  </si>
  <si>
    <t>Strategic ESOP</t>
  </si>
  <si>
    <t>Strategic State Owner</t>
  </si>
  <si>
    <t>Strategic Corporation (Private)</t>
  </si>
  <si>
    <t>Strategic Corporation (Public)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</si>
</sst>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
  </numFmts>
  <fonts count="8" x14ac:knownFonts="1">
    <font>
      <sz val="11"/>
      <color theme="1"/>
      <name val="Calibri"/>
      <family val="2"/>
      <scheme val="minor"/>
    </font>
    <font>
      <b/>
      <sz val="14"/>
      <name val="Calibri"/>
      <family val="2"/>
    </font>
    <font>
      <b/>
      <sz val="11"/>
      <color theme="1"/>
      <name val="Calibri"/>
      <family val="2"/>
      <scheme val="minor"/>
    </font>
    <font>
      <sz val="11"/>
      <name val="Calibri"/>
      <family val="2"/>
      <scheme val="minor"/>
    </font>
    <font>
      <b/>
      <sz val="11"/>
      <color theme="3"/>
      <name val="Calibri"/>
      <family val="2"/>
      <scheme val="minor"/>
    </font>
    <font>
      <b/>
      <sz val="11"/>
      <color rgb="FF7030A0"/>
      <name val="Calibri"/>
      <family val="2"/>
      <scheme val="minor"/>
    </font>
    <font>
      <b/>
      <sz val="11"/>
      <color theme="6" tint="-0.499984740745262"/>
      <name val="Calibri"/>
      <family val="2"/>
      <scheme val="minor"/>
    </font>
    <font>
      <b/>
      <sz val="11"/>
      <color theme="9" tint="-0.49998474074526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horizontal="left"/>
    </xf>
    <xf numFmtId="0" fontId="1" fillId="0" borderId="0" xfId="0" applyFont="1"/>
    <xf numFmtId="0" fontId="2" fillId="0" borderId="0" xfId="0" applyFont="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164" fontId="0" fillId="0" borderId="0" xfId="0" applyNumberFormat="1" applyAlignment="1">
      <alignment horizontal="right" vertical="top"/>
    </xf>
    <xf numFmtId="165" fontId="0" fillId="0" borderId="0" xfId="0" applyNumberFormat="1" applyAlignment="1">
      <alignment horizontal="right" vertical="top"/>
    </xf>
    <xf numFmtId="0" fontId="0" fillId="0" borderId="0" xfId="0" applyAlignment="1">
      <alignment horizontal="right" vertical="top"/>
    </xf>
    <xf numFmtId="0" fontId="0" fillId="0" borderId="0" xfId="0" applyAlignment="1">
      <alignment horizontal="left"/>
    </xf>
    <xf numFmtId="0" fontId="3" fillId="0" borderId="0" xfId="0" applyFont="1" applyAlignment="1">
      <alignment horizontal="left"/>
    </xf>
    <xf numFmtId="4" fontId="0" fillId="0" borderId="0" xfId="0" applyNumberFormat="1" applyAlignment="1">
      <alignment horizontal="right"/>
    </xf>
    <xf numFmtId="0" fontId="2" fillId="0" borderId="0" xfId="0" applyFont="1" applyAlignment="1">
      <alignment wrapText="1"/>
    </xf>
    <xf numFmtId="0" fontId="2" fillId="0" borderId="0" xfId="0" applyFont="1" applyAlignment="1">
      <alignment horizontal="right" vertical="top" wrapText="1"/>
    </xf>
    <xf numFmtId="0" fontId="6" fillId="0" borderId="0" xfId="0" applyFont="1" applyAlignment="1">
      <alignment horizontal="right" vertical="top" wrapText="1"/>
    </xf>
    <xf numFmtId="0" fontId="7" fillId="0" borderId="0" xfId="0" applyFont="1" applyAlignment="1">
      <alignment horizontal="right" vertical="top" wrapText="1"/>
    </xf>
    <xf numFmtId="0" fontId="5" fillId="0" borderId="0" xfId="0" applyFont="1" applyAlignment="1">
      <alignment horizontal="right" vertical="top" wrapText="1"/>
    </xf>
    <xf numFmtId="0" fontId="4" fillId="0" borderId="0" xfId="0" applyFont="1" applyAlignment="1">
      <alignment horizontal="right" vertical="top" wrapText="1"/>
    </xf>
    <xf numFmtId="0" fontId="0" fillId="0" borderId="0" xfId="0" applyAlignment="1">
      <alignment horizontal="center"/>
    </xf>
    <xf numFmtId="0" fontId="2" fillId="0" borderId="0" xfId="0" applyFont="1" applyAlignment="1">
      <alignment horizontal="left" vertical="top" wrapText="1"/>
    </xf>
    <xf numFmtId="0" fontId="0" fillId="0" borderId="0" xfId="0" applyAlignment="1">
      <alignment horizontal="right" vertical="top" wrapText="1"/>
    </xf>
    <xf numFmtId="0" fontId="0" fillId="0" borderId="0" xfId="0" applyAlignment="1">
      <alignment horizontal="right" vertical="top"/>
    </xf>
    <xf numFmtId="0" fontId="0" fillId="0" borderId="0" xfId="0" applyAlignment="1">
      <alignment horizontal="right" wrapText="1"/>
    </xf>
    <xf numFmtId="0" fontId="2" fillId="0" borderId="0" xfId="0" applyFont="1" applyAlignment="1">
      <alignment horizontal="right" vertical="top"/>
    </xf>
  </cellXfs>
  <cellStyles count="1">
    <cellStyle name="Normal" xfId="0" builtinId="0"/>
  </cellStyles>
  <dxfs count="1">
    <dxf>
      <border>
        <right style="thin">
          <color auto="1"/>
        </right>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C38DC-5D8F-4F8A-AF3B-B6E86101D0DB}">
  <dimension ref="A1"/>
  <sheetViews>
    <sheetView workbookViewId="0"/>
  </sheetViews>
  <sheetFormatPr defaultRowHeight="14.5" x14ac:dyDescent="0.35"/>
  <sheetData>
    <row r="1" spans="1:1" x14ac:dyDescent="0.35">
      <c r="A1" t="s">
        <v>380</v>
      </c>
    </row>
  </sheetData>
  <pageMargins left="0.7" right="0.7" top="0.75" bottom="0.75" header="0.3" footer="0.3"/>
  <headerFooter>
    <oddFooter>&amp;C_x000D_&amp;1#&amp;"Aptos"&amp;10&amp;K0000FF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7"/>
  <sheetViews>
    <sheetView workbookViewId="0">
      <selection sqref="A1:D1"/>
    </sheetView>
  </sheetViews>
  <sheetFormatPr defaultRowHeight="14.5" x14ac:dyDescent="0.35"/>
  <cols>
    <col min="1" max="1" width="48.54296875" customWidth="1"/>
    <col min="2" max="2" width="19.54296875" customWidth="1"/>
    <col min="3" max="3" width="16.1796875" customWidth="1"/>
    <col min="4" max="4" width="21.7265625" customWidth="1"/>
    <col min="5" max="5" width="17.54296875" customWidth="1"/>
    <col min="6" max="6" width="16.1796875" customWidth="1"/>
    <col min="7" max="7" width="17.54296875" customWidth="1"/>
    <col min="8" max="8" width="20.54296875" customWidth="1"/>
    <col min="9" max="9" width="19.54296875" customWidth="1"/>
    <col min="10" max="10" width="17.54296875" customWidth="1"/>
    <col min="11" max="12" width="19.54296875" customWidth="1"/>
    <col min="13" max="14" width="17.54296875" customWidth="1"/>
    <col min="15" max="16" width="16.1796875" customWidth="1"/>
    <col min="17" max="17" width="22.453125" customWidth="1"/>
    <col min="18" max="18" width="21.1796875" customWidth="1"/>
    <col min="19" max="19" width="22.453125" customWidth="1"/>
    <col min="20" max="22" width="21.1796875" customWidth="1"/>
    <col min="23" max="24" width="22.453125" customWidth="1"/>
    <col min="25" max="26" width="21.1796875" customWidth="1"/>
    <col min="27" max="31" width="16.1796875" customWidth="1"/>
    <col min="32" max="32" width="21.1796875" customWidth="1"/>
    <col min="33" max="33" width="22.453125" customWidth="1"/>
    <col min="34" max="34" width="21.1796875" customWidth="1"/>
    <col min="35" max="35" width="16.1796875" customWidth="1"/>
    <col min="36" max="36" width="17.54296875" customWidth="1"/>
    <col min="37" max="37" width="21.1796875" customWidth="1"/>
    <col min="38" max="38" width="19.54296875" customWidth="1"/>
    <col min="39" max="39" width="22.453125" customWidth="1"/>
    <col min="40" max="40" width="21.1796875" customWidth="1"/>
    <col min="41" max="41" width="22" customWidth="1"/>
    <col min="42" max="42" width="16.1796875" customWidth="1"/>
    <col min="43" max="43" width="17.54296875" customWidth="1"/>
    <col min="44" max="44" width="22" customWidth="1"/>
  </cols>
  <sheetData>
    <row r="1" spans="1:44" ht="40" customHeight="1" x14ac:dyDescent="0.35">
      <c r="A1" s="18"/>
      <c r="B1" s="18"/>
      <c r="C1" s="18"/>
      <c r="D1" s="18"/>
    </row>
    <row r="2" spans="1:44" ht="30" customHeight="1" x14ac:dyDescent="0.45">
      <c r="A2" s="1" t="s">
        <v>65</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row>
    <row r="3" spans="1:44" x14ac:dyDescent="0.35">
      <c r="A3" s="3" t="s">
        <v>0</v>
      </c>
    </row>
    <row r="4" spans="1:44" x14ac:dyDescent="0.35">
      <c r="A4" s="3" t="s">
        <v>1</v>
      </c>
    </row>
    <row r="5" spans="1:44" x14ac:dyDescent="0.35">
      <c r="A5" s="4"/>
    </row>
    <row r="6" spans="1:44" x14ac:dyDescent="0.35">
      <c r="A6" s="19" t="s">
        <v>2</v>
      </c>
      <c r="B6" s="19" t="s">
        <v>3</v>
      </c>
      <c r="C6" s="19" t="s">
        <v>4</v>
      </c>
      <c r="D6" s="19" t="s">
        <v>5</v>
      </c>
      <c r="E6" s="13" t="s">
        <v>6</v>
      </c>
      <c r="F6" s="13" t="s">
        <v>7</v>
      </c>
      <c r="G6" s="13" t="s">
        <v>8</v>
      </c>
      <c r="H6" s="13" t="s">
        <v>9</v>
      </c>
      <c r="I6" s="13" t="s">
        <v>10</v>
      </c>
      <c r="J6" s="13" t="s">
        <v>11</v>
      </c>
      <c r="K6" s="13" t="s">
        <v>12</v>
      </c>
      <c r="L6" s="13" t="s">
        <v>13</v>
      </c>
      <c r="M6" s="13" t="s">
        <v>14</v>
      </c>
      <c r="N6" s="13" t="s">
        <v>15</v>
      </c>
      <c r="O6" s="13" t="s">
        <v>16</v>
      </c>
      <c r="P6" s="13" t="s">
        <v>17</v>
      </c>
      <c r="Q6" s="13" t="s">
        <v>18</v>
      </c>
      <c r="R6" s="13" t="s">
        <v>19</v>
      </c>
      <c r="S6" s="13" t="s">
        <v>20</v>
      </c>
      <c r="T6" s="13" t="s">
        <v>21</v>
      </c>
      <c r="U6" s="13" t="s">
        <v>22</v>
      </c>
      <c r="V6" s="13" t="s">
        <v>23</v>
      </c>
      <c r="W6" s="13" t="s">
        <v>24</v>
      </c>
      <c r="X6" s="13" t="s">
        <v>25</v>
      </c>
      <c r="Y6" s="13" t="s">
        <v>26</v>
      </c>
      <c r="Z6" s="13" t="s">
        <v>27</v>
      </c>
      <c r="AA6" s="13" t="s">
        <v>28</v>
      </c>
      <c r="AB6" s="13" t="s">
        <v>29</v>
      </c>
      <c r="AC6" s="13" t="s">
        <v>30</v>
      </c>
      <c r="AD6" s="13" t="s">
        <v>31</v>
      </c>
      <c r="AE6" s="13" t="s">
        <v>32</v>
      </c>
      <c r="AF6" s="13" t="s">
        <v>33</v>
      </c>
      <c r="AG6" s="13" t="s">
        <v>34</v>
      </c>
      <c r="AH6" s="13" t="s">
        <v>35</v>
      </c>
      <c r="AI6" s="13" t="s">
        <v>36</v>
      </c>
      <c r="AJ6" s="13" t="s">
        <v>37</v>
      </c>
      <c r="AK6" s="13" t="s">
        <v>38</v>
      </c>
      <c r="AL6" s="13" t="s">
        <v>39</v>
      </c>
      <c r="AM6" s="13" t="s">
        <v>34</v>
      </c>
      <c r="AN6" s="13" t="s">
        <v>33</v>
      </c>
      <c r="AO6" s="13" t="s">
        <v>40</v>
      </c>
      <c r="AP6" s="13" t="s">
        <v>36</v>
      </c>
      <c r="AQ6" s="13" t="s">
        <v>37</v>
      </c>
      <c r="AR6" s="13" t="s">
        <v>41</v>
      </c>
    </row>
    <row r="7" spans="1:44" x14ac:dyDescent="0.35">
      <c r="A7" s="19"/>
      <c r="B7" s="19"/>
      <c r="C7" s="19"/>
      <c r="D7" s="19"/>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row>
    <row r="8" spans="1:44" x14ac:dyDescent="0.35">
      <c r="A8" s="19"/>
      <c r="B8" s="19"/>
      <c r="C8" s="19"/>
      <c r="D8" s="19"/>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row>
    <row r="9" spans="1:44" x14ac:dyDescent="0.35">
      <c r="A9" s="19"/>
      <c r="B9" s="19"/>
      <c r="C9" s="19"/>
      <c r="D9" s="19"/>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row>
    <row r="10" spans="1:44" x14ac:dyDescent="0.35">
      <c r="A10" s="5">
        <v>46022</v>
      </c>
      <c r="B10" s="4" t="s">
        <v>42</v>
      </c>
      <c r="C10" s="4" t="s">
        <v>43</v>
      </c>
      <c r="D10" s="4" t="s">
        <v>44</v>
      </c>
      <c r="E10" s="6">
        <v>19.12</v>
      </c>
      <c r="F10" s="6">
        <v>0</v>
      </c>
      <c r="G10" s="6">
        <v>19.12</v>
      </c>
      <c r="H10" s="6">
        <v>0.04</v>
      </c>
      <c r="I10" s="6">
        <v>478</v>
      </c>
      <c r="J10" s="6">
        <v>0</v>
      </c>
      <c r="K10" s="6">
        <v>478</v>
      </c>
      <c r="L10" s="6">
        <v>478</v>
      </c>
      <c r="M10" s="7">
        <v>16.891213</v>
      </c>
      <c r="N10" s="6">
        <v>68.126084000000006</v>
      </c>
      <c r="O10" s="8">
        <v>0</v>
      </c>
      <c r="P10" s="8">
        <v>0</v>
      </c>
      <c r="Q10" s="7">
        <v>1.449679970729097</v>
      </c>
      <c r="R10" s="7">
        <v>0.96031997878608011</v>
      </c>
      <c r="S10" s="7">
        <v>1.32158563515493</v>
      </c>
      <c r="T10" s="7">
        <v>2.258295759334513</v>
      </c>
      <c r="U10" s="7">
        <v>5.989881344004619</v>
      </c>
      <c r="V10" s="7">
        <v>5.6829955862271699</v>
      </c>
      <c r="W10" s="7">
        <v>1.0029535140807839</v>
      </c>
      <c r="X10" s="7">
        <v>0.3921917296525822</v>
      </c>
      <c r="Y10" s="7">
        <v>12.376480488579309</v>
      </c>
      <c r="Z10" s="7">
        <v>19.45462131853985</v>
      </c>
      <c r="AA10" s="7">
        <v>0</v>
      </c>
      <c r="AB10" s="7">
        <v>0</v>
      </c>
      <c r="AC10" s="7">
        <v>0</v>
      </c>
      <c r="AD10" s="7">
        <v>0</v>
      </c>
      <c r="AE10" s="7">
        <v>0</v>
      </c>
      <c r="AF10" s="7">
        <v>25.444502662544469</v>
      </c>
      <c r="AG10" s="7">
        <v>34.810309189949663</v>
      </c>
      <c r="AH10" s="7">
        <v>60.13371233930804</v>
      </c>
      <c r="AI10" s="7">
        <v>0</v>
      </c>
      <c r="AJ10" s="7">
        <v>1.997916</v>
      </c>
      <c r="AK10" s="7">
        <v>62.131628339308037</v>
      </c>
      <c r="AL10" s="7">
        <v>66.597202999999993</v>
      </c>
      <c r="AM10" s="7">
        <v>34.810309189949663</v>
      </c>
      <c r="AN10" s="7">
        <v>25.444502662544469</v>
      </c>
      <c r="AO10" s="7">
        <v>6.4634906606919502</v>
      </c>
      <c r="AP10" s="7">
        <v>0</v>
      </c>
      <c r="AQ10" s="7">
        <v>1.997916</v>
      </c>
      <c r="AR10" s="7">
        <v>4.4655746606919502</v>
      </c>
    </row>
    <row r="11" spans="1:44" x14ac:dyDescent="0.35">
      <c r="A11" s="5">
        <v>46022</v>
      </c>
      <c r="B11" s="4" t="s">
        <v>45</v>
      </c>
      <c r="C11" s="4" t="s">
        <v>46</v>
      </c>
      <c r="D11" s="4" t="s">
        <v>47</v>
      </c>
      <c r="E11" s="6">
        <v>2205</v>
      </c>
      <c r="F11" s="6">
        <v>0</v>
      </c>
      <c r="G11" s="6">
        <v>2205</v>
      </c>
      <c r="H11" s="6">
        <v>4.5</v>
      </c>
      <c r="I11" s="6">
        <v>490</v>
      </c>
      <c r="J11" s="6">
        <v>0</v>
      </c>
      <c r="K11" s="6">
        <v>490</v>
      </c>
      <c r="L11" s="6">
        <v>490</v>
      </c>
      <c r="M11" s="7">
        <v>11</v>
      </c>
      <c r="N11" s="6">
        <v>88</v>
      </c>
      <c r="O11" s="8">
        <v>0</v>
      </c>
      <c r="P11" s="8">
        <v>0</v>
      </c>
      <c r="Q11" s="7">
        <v>1.766083853370787</v>
      </c>
      <c r="R11" s="7">
        <v>1.4407110000000001</v>
      </c>
      <c r="S11" s="7">
        <v>0.44707579283707871</v>
      </c>
      <c r="T11" s="7">
        <v>3.806952804424157</v>
      </c>
      <c r="U11" s="7">
        <v>7.4608234506320219</v>
      </c>
      <c r="V11" s="7">
        <v>2.605375998946629</v>
      </c>
      <c r="W11" s="7">
        <v>1.3194689634129211</v>
      </c>
      <c r="X11" s="7">
        <v>5.2619202158005622</v>
      </c>
      <c r="Y11" s="7">
        <v>7.0116415170646063</v>
      </c>
      <c r="Z11" s="7">
        <v>16.198406695224719</v>
      </c>
      <c r="AA11" s="7">
        <v>0</v>
      </c>
      <c r="AB11" s="7">
        <v>0</v>
      </c>
      <c r="AC11" s="7">
        <v>0</v>
      </c>
      <c r="AD11" s="7">
        <v>0</v>
      </c>
      <c r="AE11" s="7">
        <v>0</v>
      </c>
      <c r="AF11" s="7">
        <v>23.659230145856739</v>
      </c>
      <c r="AG11" s="7">
        <v>0</v>
      </c>
      <c r="AH11" s="7">
        <v>23.659230145856739</v>
      </c>
      <c r="AI11" s="7">
        <v>0</v>
      </c>
      <c r="AJ11" s="7">
        <v>1.0520929999999999</v>
      </c>
      <c r="AK11" s="7">
        <v>24.711323145856738</v>
      </c>
      <c r="AL11" s="7">
        <v>36.207662999999997</v>
      </c>
      <c r="AM11" s="7">
        <v>0</v>
      </c>
      <c r="AN11" s="7">
        <v>23.659230145856739</v>
      </c>
      <c r="AO11" s="7">
        <v>12.54843285414325</v>
      </c>
      <c r="AP11" s="7">
        <v>0</v>
      </c>
      <c r="AQ11" s="7">
        <v>1.0520929999999999</v>
      </c>
      <c r="AR11" s="7">
        <v>11.49633985414326</v>
      </c>
    </row>
    <row r="12" spans="1:44" x14ac:dyDescent="0.35">
      <c r="A12" s="5">
        <v>46022</v>
      </c>
      <c r="B12" s="4" t="s">
        <v>48</v>
      </c>
      <c r="C12" s="4" t="s">
        <v>49</v>
      </c>
      <c r="D12" s="4" t="s">
        <v>50</v>
      </c>
      <c r="E12" s="6">
        <v>0</v>
      </c>
      <c r="F12" s="6">
        <v>0</v>
      </c>
      <c r="G12" s="6">
        <v>0</v>
      </c>
      <c r="H12" s="6">
        <v>0</v>
      </c>
      <c r="I12" s="6">
        <v>0</v>
      </c>
      <c r="J12" s="6">
        <v>61.904761999999998</v>
      </c>
      <c r="K12" s="6">
        <v>61.904761999999998</v>
      </c>
      <c r="L12" s="6">
        <v>61.904761999999998</v>
      </c>
      <c r="M12" s="7">
        <v>6</v>
      </c>
      <c r="N12" s="6">
        <v>70</v>
      </c>
      <c r="O12" s="8">
        <v>0</v>
      </c>
      <c r="P12" s="8">
        <v>0</v>
      </c>
      <c r="Q12" s="7">
        <v>1.20983586399</v>
      </c>
      <c r="R12" s="7">
        <v>3.9520564804257301</v>
      </c>
      <c r="S12" s="7">
        <v>5.6222899999999996</v>
      </c>
      <c r="T12" s="7">
        <v>10.0010923296</v>
      </c>
      <c r="U12" s="7">
        <v>20.785274674015731</v>
      </c>
      <c r="V12" s="7">
        <v>2.4143944682599998</v>
      </c>
      <c r="W12" s="7">
        <v>0</v>
      </c>
      <c r="X12" s="7">
        <v>1.0336430000000001</v>
      </c>
      <c r="Y12" s="7">
        <v>3.41788019574</v>
      </c>
      <c r="Z12" s="7">
        <v>6.8659176640000004</v>
      </c>
      <c r="AA12" s="7">
        <v>0</v>
      </c>
      <c r="AB12" s="7">
        <v>0</v>
      </c>
      <c r="AC12" s="7">
        <v>0</v>
      </c>
      <c r="AD12" s="7">
        <v>0</v>
      </c>
      <c r="AE12" s="7">
        <v>0</v>
      </c>
      <c r="AF12" s="7">
        <v>27.651192338015729</v>
      </c>
      <c r="AG12" s="7">
        <v>0.78732199999999997</v>
      </c>
      <c r="AH12" s="7">
        <v>27.992478404090001</v>
      </c>
      <c r="AI12" s="7">
        <v>0</v>
      </c>
      <c r="AJ12" s="7">
        <v>4.1181000000000001</v>
      </c>
      <c r="AK12" s="7">
        <v>32.110578404089999</v>
      </c>
      <c r="AL12" s="7">
        <v>82.361999999999995</v>
      </c>
      <c r="AM12" s="7">
        <v>0.78732199999999997</v>
      </c>
      <c r="AN12" s="7">
        <v>27.651192338015729</v>
      </c>
      <c r="AO12" s="7">
        <v>54.369521595910001</v>
      </c>
      <c r="AP12" s="7">
        <v>0</v>
      </c>
      <c r="AQ12" s="7">
        <v>4.1181000000000001</v>
      </c>
      <c r="AR12" s="7">
        <v>50.251421595910003</v>
      </c>
    </row>
    <row r="13" spans="1:44" x14ac:dyDescent="0.35">
      <c r="A13" s="5">
        <v>46022</v>
      </c>
      <c r="B13" s="4" t="s">
        <v>51</v>
      </c>
      <c r="C13" s="4" t="s">
        <v>52</v>
      </c>
      <c r="D13" s="4" t="s">
        <v>53</v>
      </c>
      <c r="E13" s="6">
        <v>0</v>
      </c>
      <c r="F13" s="6">
        <v>0</v>
      </c>
      <c r="G13" s="6">
        <v>0</v>
      </c>
      <c r="H13" s="6">
        <v>0</v>
      </c>
      <c r="I13" s="6">
        <v>0</v>
      </c>
      <c r="J13" s="6">
        <v>6.7</v>
      </c>
      <c r="K13" s="6">
        <v>6.7</v>
      </c>
      <c r="L13" s="6">
        <v>6.7</v>
      </c>
      <c r="M13" s="7">
        <v>10</v>
      </c>
      <c r="N13" s="6">
        <v>88</v>
      </c>
      <c r="O13" s="8">
        <v>0</v>
      </c>
      <c r="P13" s="8">
        <v>0</v>
      </c>
      <c r="Q13" s="7">
        <v>31.89479512043161</v>
      </c>
      <c r="R13" s="7">
        <v>1.7328319999999999</v>
      </c>
      <c r="S13" s="7">
        <v>9.2538655666024052</v>
      </c>
      <c r="T13" s="7">
        <v>12.200348588192041</v>
      </c>
      <c r="U13" s="7">
        <v>55.081841275226061</v>
      </c>
      <c r="V13" s="7">
        <v>15.69049373522024</v>
      </c>
      <c r="W13" s="7">
        <v>0.12734014127318519</v>
      </c>
      <c r="X13" s="7">
        <v>0.7071152825674244</v>
      </c>
      <c r="Y13" s="7">
        <v>6.9152429223687388</v>
      </c>
      <c r="Z13" s="7">
        <v>23.440192081429579</v>
      </c>
      <c r="AA13" s="7">
        <v>0</v>
      </c>
      <c r="AB13" s="7">
        <v>0</v>
      </c>
      <c r="AC13" s="7">
        <v>0</v>
      </c>
      <c r="AD13" s="7">
        <v>0</v>
      </c>
      <c r="AE13" s="7">
        <v>0</v>
      </c>
      <c r="AF13" s="7">
        <v>78.522033356655641</v>
      </c>
      <c r="AG13" s="7">
        <v>1.166029498191268</v>
      </c>
      <c r="AH13" s="7">
        <v>79.688062854846905</v>
      </c>
      <c r="AI13" s="7">
        <v>0</v>
      </c>
      <c r="AJ13" s="7">
        <v>14.665675</v>
      </c>
      <c r="AK13" s="7">
        <v>94.353737854846912</v>
      </c>
      <c r="AL13" s="7">
        <v>146.656747</v>
      </c>
      <c r="AM13" s="7">
        <v>1.166029498191268</v>
      </c>
      <c r="AN13" s="7">
        <v>78.522033356655641</v>
      </c>
      <c r="AO13" s="7">
        <v>66.968684145153091</v>
      </c>
      <c r="AP13" s="7">
        <v>0</v>
      </c>
      <c r="AQ13" s="7">
        <v>14.665675</v>
      </c>
      <c r="AR13" s="7">
        <v>52.303009145153091</v>
      </c>
    </row>
    <row r="14" spans="1:44" x14ac:dyDescent="0.35">
      <c r="A14" s="5">
        <v>46022</v>
      </c>
      <c r="B14" s="4" t="s">
        <v>54</v>
      </c>
      <c r="C14" s="4" t="s">
        <v>55</v>
      </c>
      <c r="D14" s="4" t="s">
        <v>56</v>
      </c>
      <c r="E14" s="6">
        <v>460.56099999999998</v>
      </c>
      <c r="F14" s="6">
        <v>0</v>
      </c>
      <c r="G14" s="6">
        <v>460.56099999999998</v>
      </c>
      <c r="H14" s="6">
        <v>3.8655179999999998</v>
      </c>
      <c r="I14" s="6">
        <v>119.146</v>
      </c>
      <c r="J14" s="6">
        <v>0</v>
      </c>
      <c r="K14" s="6">
        <v>119.146</v>
      </c>
      <c r="L14" s="6">
        <v>119.33</v>
      </c>
      <c r="M14" s="7">
        <v>6.0873169999999996</v>
      </c>
      <c r="N14" s="6">
        <v>87.371013000000005</v>
      </c>
      <c r="O14" s="8">
        <v>0</v>
      </c>
      <c r="P14" s="8">
        <v>0</v>
      </c>
      <c r="Q14" s="7">
        <v>13.589515</v>
      </c>
      <c r="R14" s="7">
        <v>11.07375</v>
      </c>
      <c r="S14" s="7">
        <v>0.59240700000000013</v>
      </c>
      <c r="T14" s="7">
        <v>14.730378999999999</v>
      </c>
      <c r="U14" s="7">
        <v>39.986051000000003</v>
      </c>
      <c r="V14" s="7">
        <v>15.706657</v>
      </c>
      <c r="W14" s="7">
        <v>3.3129379999999999</v>
      </c>
      <c r="X14" s="7">
        <v>1.268589</v>
      </c>
      <c r="Y14" s="7">
        <v>9.0684170000000002</v>
      </c>
      <c r="Z14" s="7">
        <v>29.356601000000001</v>
      </c>
      <c r="AA14" s="7">
        <v>0</v>
      </c>
      <c r="AB14" s="7">
        <v>0</v>
      </c>
      <c r="AC14" s="7">
        <v>0</v>
      </c>
      <c r="AD14" s="7">
        <v>0</v>
      </c>
      <c r="AE14" s="7">
        <v>0</v>
      </c>
      <c r="AF14" s="7">
        <v>69.342652000000001</v>
      </c>
      <c r="AG14" s="7">
        <v>3.2217380000000002</v>
      </c>
      <c r="AH14" s="7">
        <v>72.564390000000003</v>
      </c>
      <c r="AI14" s="7">
        <v>0</v>
      </c>
      <c r="AJ14" s="7">
        <v>1.188766</v>
      </c>
      <c r="AK14" s="7">
        <v>73.753156000000004</v>
      </c>
      <c r="AL14" s="7">
        <v>59.438291</v>
      </c>
      <c r="AM14" s="7">
        <v>3.2217380000000002</v>
      </c>
      <c r="AN14" s="7">
        <v>69.342652000000001</v>
      </c>
      <c r="AO14" s="7">
        <v>-13.126099000000011</v>
      </c>
      <c r="AP14" s="7">
        <v>0</v>
      </c>
      <c r="AQ14" s="7">
        <v>1.188766</v>
      </c>
      <c r="AR14" s="7">
        <v>-14.31486500000001</v>
      </c>
    </row>
    <row r="15" spans="1:44" x14ac:dyDescent="0.35">
      <c r="A15" s="5">
        <v>46022</v>
      </c>
      <c r="B15" s="4" t="s">
        <v>57</v>
      </c>
      <c r="C15" s="4" t="s">
        <v>58</v>
      </c>
      <c r="D15" s="4" t="s">
        <v>59</v>
      </c>
      <c r="E15" s="6">
        <v>0</v>
      </c>
      <c r="F15" s="6">
        <v>0</v>
      </c>
      <c r="G15" s="6">
        <v>0</v>
      </c>
      <c r="H15" s="6">
        <v>0</v>
      </c>
      <c r="I15" s="6">
        <v>0</v>
      </c>
      <c r="J15" s="6">
        <v>31.286667000000001</v>
      </c>
      <c r="K15" s="6">
        <v>31.286667000000001</v>
      </c>
      <c r="L15" s="6">
        <v>28.533332999999999</v>
      </c>
      <c r="M15" s="7">
        <v>27.559823000000002</v>
      </c>
      <c r="N15" s="6">
        <v>91</v>
      </c>
      <c r="O15" s="8">
        <v>0</v>
      </c>
      <c r="P15" s="8">
        <v>0</v>
      </c>
      <c r="Q15" s="7">
        <v>82.545309653257021</v>
      </c>
      <c r="R15" s="7">
        <v>13.341333000000001</v>
      </c>
      <c r="S15" s="7">
        <v>40.619172934276797</v>
      </c>
      <c r="T15" s="7">
        <v>31.131700348844952</v>
      </c>
      <c r="U15" s="7">
        <v>167.6375159363788</v>
      </c>
      <c r="V15" s="7">
        <v>58.34098978077003</v>
      </c>
      <c r="W15" s="7">
        <v>5.6402995951716957</v>
      </c>
      <c r="X15" s="7">
        <v>4.6699195318626439</v>
      </c>
      <c r="Y15" s="7">
        <v>37.931658942455769</v>
      </c>
      <c r="Z15" s="7">
        <v>106.5828678502601</v>
      </c>
      <c r="AA15" s="7">
        <v>0</v>
      </c>
      <c r="AB15" s="7">
        <v>0</v>
      </c>
      <c r="AC15" s="7">
        <v>0</v>
      </c>
      <c r="AD15" s="7">
        <v>0</v>
      </c>
      <c r="AE15" s="7">
        <v>0</v>
      </c>
      <c r="AF15" s="7">
        <v>274.22038378663888</v>
      </c>
      <c r="AG15" s="7">
        <v>3.5178270393340272</v>
      </c>
      <c r="AH15" s="7">
        <v>277.73821082597289</v>
      </c>
      <c r="AI15" s="7">
        <v>0</v>
      </c>
      <c r="AJ15" s="7">
        <v>13.191398</v>
      </c>
      <c r="AK15" s="7">
        <v>290.92960882597288</v>
      </c>
      <c r="AL15" s="7">
        <v>212.401094</v>
      </c>
      <c r="AM15" s="7">
        <v>3.5178270393340272</v>
      </c>
      <c r="AN15" s="7">
        <v>274.22038378663888</v>
      </c>
      <c r="AO15" s="7">
        <v>-65.337116825972942</v>
      </c>
      <c r="AP15" s="7">
        <v>0</v>
      </c>
      <c r="AQ15" s="7">
        <v>13.191398</v>
      </c>
      <c r="AR15" s="7">
        <v>-78.528514825972934</v>
      </c>
    </row>
    <row r="16" spans="1:44" x14ac:dyDescent="0.35">
      <c r="A16" s="5">
        <v>46022</v>
      </c>
      <c r="B16" s="4" t="s">
        <v>60</v>
      </c>
      <c r="C16" s="4" t="s">
        <v>61</v>
      </c>
      <c r="D16" s="4" t="s">
        <v>62</v>
      </c>
      <c r="E16" s="6">
        <v>90.666667000000004</v>
      </c>
      <c r="F16" s="6">
        <v>0</v>
      </c>
      <c r="G16" s="6">
        <v>90.666667000000004</v>
      </c>
      <c r="H16" s="6">
        <v>0.5</v>
      </c>
      <c r="I16" s="6">
        <v>181.33333300000001</v>
      </c>
      <c r="J16" s="6">
        <v>0</v>
      </c>
      <c r="K16" s="6">
        <v>181.33333300000001</v>
      </c>
      <c r="L16" s="6">
        <v>181.33333300000001</v>
      </c>
      <c r="M16" s="7">
        <v>3</v>
      </c>
      <c r="N16" s="6">
        <v>85</v>
      </c>
      <c r="O16" s="8">
        <v>0</v>
      </c>
      <c r="P16" s="8">
        <v>0</v>
      </c>
      <c r="Q16" s="7">
        <v>0.31662210496220827</v>
      </c>
      <c r="R16" s="7">
        <v>0.52612899999999996</v>
      </c>
      <c r="S16" s="7">
        <v>1.287491426811461</v>
      </c>
      <c r="T16" s="7">
        <v>2.7101738984395989</v>
      </c>
      <c r="U16" s="7">
        <v>4.8404164302132688</v>
      </c>
      <c r="V16" s="7">
        <v>1.469431487125729</v>
      </c>
      <c r="W16" s="7">
        <v>0.57910519197699339</v>
      </c>
      <c r="X16" s="7">
        <v>0.77377725651200047</v>
      </c>
      <c r="Y16" s="7">
        <v>11.158671699169471</v>
      </c>
      <c r="Z16" s="7">
        <v>13.98098563478419</v>
      </c>
      <c r="AA16" s="7">
        <v>0</v>
      </c>
      <c r="AB16" s="7">
        <v>0</v>
      </c>
      <c r="AC16" s="7">
        <v>0</v>
      </c>
      <c r="AD16" s="7">
        <v>0</v>
      </c>
      <c r="AE16" s="7">
        <v>0</v>
      </c>
      <c r="AF16" s="7">
        <v>18.821402064997461</v>
      </c>
      <c r="AG16" s="7">
        <v>0.33149810989369688</v>
      </c>
      <c r="AH16" s="7">
        <v>19.152900174891151</v>
      </c>
      <c r="AI16" s="7">
        <v>0</v>
      </c>
      <c r="AJ16" s="7">
        <v>1.176142</v>
      </c>
      <c r="AK16" s="7">
        <v>20.32904217489115</v>
      </c>
      <c r="AL16" s="7">
        <v>23.522842000000001</v>
      </c>
      <c r="AM16" s="7">
        <v>0.33149810989369688</v>
      </c>
      <c r="AN16" s="7">
        <v>18.821402064997461</v>
      </c>
      <c r="AO16" s="7">
        <v>4.369941825108846</v>
      </c>
      <c r="AP16" s="7">
        <v>0</v>
      </c>
      <c r="AQ16" s="7">
        <v>1.176142</v>
      </c>
      <c r="AR16" s="7">
        <v>3.193799825108846</v>
      </c>
    </row>
    <row r="17" spans="1:44" x14ac:dyDescent="0.35">
      <c r="A17" s="5">
        <v>46022</v>
      </c>
      <c r="B17" s="4" t="s">
        <v>63</v>
      </c>
      <c r="C17" s="4" t="s">
        <v>64</v>
      </c>
      <c r="D17" s="4" t="s">
        <v>47</v>
      </c>
      <c r="E17" s="6">
        <v>15000</v>
      </c>
      <c r="F17" s="6">
        <v>0</v>
      </c>
      <c r="G17" s="6">
        <v>15000</v>
      </c>
      <c r="H17" s="6">
        <v>2.5</v>
      </c>
      <c r="I17" s="6">
        <v>6000</v>
      </c>
      <c r="J17" s="6">
        <v>0</v>
      </c>
      <c r="K17" s="6">
        <v>6000</v>
      </c>
      <c r="L17" s="6">
        <v>2000</v>
      </c>
      <c r="M17" s="7">
        <v>10</v>
      </c>
      <c r="N17" s="6">
        <v>90</v>
      </c>
      <c r="O17" s="8">
        <v>0</v>
      </c>
      <c r="P17" s="8">
        <v>0</v>
      </c>
      <c r="Q17" s="7">
        <v>1.871022740800562</v>
      </c>
      <c r="R17" s="7">
        <v>2.2427830000000002</v>
      </c>
      <c r="S17" s="7">
        <v>0.38518883356741568</v>
      </c>
      <c r="T17" s="7">
        <v>3.888826552106742</v>
      </c>
      <c r="U17" s="7">
        <v>8.3878211264747193</v>
      </c>
      <c r="V17" s="7">
        <v>2.129982173244382</v>
      </c>
      <c r="W17" s="7">
        <v>0.87498562429775284</v>
      </c>
      <c r="X17" s="7">
        <v>4.1513892252808988</v>
      </c>
      <c r="Y17" s="7">
        <v>3.633416371769663</v>
      </c>
      <c r="Z17" s="7">
        <v>10.7897733945927</v>
      </c>
      <c r="AA17" s="7">
        <v>0</v>
      </c>
      <c r="AB17" s="7">
        <v>0</v>
      </c>
      <c r="AC17" s="7">
        <v>0</v>
      </c>
      <c r="AD17" s="7">
        <v>0</v>
      </c>
      <c r="AE17" s="7">
        <v>0</v>
      </c>
      <c r="AF17" s="7">
        <v>19.177594521067419</v>
      </c>
      <c r="AG17" s="7">
        <v>0</v>
      </c>
      <c r="AH17" s="7">
        <v>19.177594521067419</v>
      </c>
      <c r="AI17" s="7">
        <v>0</v>
      </c>
      <c r="AJ17" s="7">
        <v>0.98218099999999997</v>
      </c>
      <c r="AK17" s="7">
        <v>20.15977552106742</v>
      </c>
      <c r="AL17" s="7">
        <v>55.777940000000001</v>
      </c>
      <c r="AM17" s="7">
        <v>0</v>
      </c>
      <c r="AN17" s="7">
        <v>19.177594521067419</v>
      </c>
      <c r="AO17" s="7">
        <v>36.600345478932581</v>
      </c>
      <c r="AP17" s="7">
        <v>0</v>
      </c>
      <c r="AQ17" s="7">
        <v>0.98218099999999997</v>
      </c>
      <c r="AR17" s="7">
        <v>35.618164478932577</v>
      </c>
    </row>
  </sheetData>
  <mergeCells count="45">
    <mergeCell ref="A1:D1"/>
    <mergeCell ref="A6:A9"/>
    <mergeCell ref="B6:B9"/>
    <mergeCell ref="C6:C9"/>
    <mergeCell ref="D6:D9"/>
    <mergeCell ref="E6:E9"/>
    <mergeCell ref="F6:F9"/>
    <mergeCell ref="G6:G9"/>
    <mergeCell ref="H6:H9"/>
    <mergeCell ref="I6:I9"/>
    <mergeCell ref="J6:J9"/>
    <mergeCell ref="K6:K9"/>
    <mergeCell ref="L6:L9"/>
    <mergeCell ref="M6:M9"/>
    <mergeCell ref="N6:N9"/>
    <mergeCell ref="O6:O9"/>
    <mergeCell ref="P6:P9"/>
    <mergeCell ref="Q6:Q9"/>
    <mergeCell ref="R6:R9"/>
    <mergeCell ref="S6:S9"/>
    <mergeCell ref="T6:T9"/>
    <mergeCell ref="U6:U9"/>
    <mergeCell ref="V6:V9"/>
    <mergeCell ref="W6:W9"/>
    <mergeCell ref="X6:X9"/>
    <mergeCell ref="Y6:Y9"/>
    <mergeCell ref="Z6:Z9"/>
    <mergeCell ref="AA6:AA9"/>
    <mergeCell ref="AB6:AB9"/>
    <mergeCell ref="AC6:AC9"/>
    <mergeCell ref="AD6:AD9"/>
    <mergeCell ref="AE6:AE9"/>
    <mergeCell ref="AF6:AF9"/>
    <mergeCell ref="AG6:AG9"/>
    <mergeCell ref="AH6:AH9"/>
    <mergeCell ref="AI6:AI9"/>
    <mergeCell ref="AJ6:AJ9"/>
    <mergeCell ref="AK6:AK9"/>
    <mergeCell ref="AL6:AL9"/>
    <mergeCell ref="AM6:AM9"/>
    <mergeCell ref="AN6:AN9"/>
    <mergeCell ref="AO6:AO9"/>
    <mergeCell ref="AP6:AP9"/>
    <mergeCell ref="AQ6:AQ9"/>
    <mergeCell ref="AR6:AR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32"/>
  <sheetViews>
    <sheetView workbookViewId="0"/>
  </sheetViews>
  <sheetFormatPr defaultRowHeight="14.5" x14ac:dyDescent="0.35"/>
  <cols>
    <col min="1" max="1" width="48.54296875" customWidth="1"/>
    <col min="2" max="2" width="24.1796875" customWidth="1"/>
    <col min="3" max="3" width="16.1796875" customWidth="1"/>
    <col min="4" max="4" width="21.7265625" customWidth="1"/>
    <col min="5" max="5" width="21.453125" customWidth="1"/>
    <col min="6" max="6" width="20.54296875" customWidth="1"/>
    <col min="7" max="7" width="16.1796875" customWidth="1"/>
    <col min="8" max="8" width="21.1796875" customWidth="1"/>
    <col min="9" max="9" width="27.453125" customWidth="1"/>
    <col min="10" max="17" width="21.1796875" customWidth="1"/>
    <col min="18" max="22" width="16.1796875" customWidth="1"/>
    <col min="23" max="25" width="21.1796875" customWidth="1"/>
    <col min="26" max="26" width="16.1796875" customWidth="1"/>
    <col min="27" max="27" width="22.453125" customWidth="1"/>
    <col min="28" max="30" width="21.1796875" customWidth="1"/>
    <col min="31" max="32" width="16.1796875" customWidth="1"/>
    <col min="33" max="36" width="21.1796875" customWidth="1"/>
    <col min="37" max="37" width="16.1796875" customWidth="1"/>
    <col min="38" max="39" width="21.1796875" customWidth="1"/>
    <col min="40" max="44" width="16.1796875" customWidth="1"/>
    <col min="45" max="45" width="21.1796875" customWidth="1"/>
    <col min="46" max="47" width="22" customWidth="1"/>
  </cols>
  <sheetData>
    <row r="1" spans="1:47" ht="40" customHeight="1" x14ac:dyDescent="0.35">
      <c r="A1" s="18"/>
      <c r="B1" s="18"/>
      <c r="C1" s="18"/>
      <c r="D1" s="18"/>
    </row>
    <row r="2" spans="1:47" ht="30" customHeight="1" x14ac:dyDescent="0.45">
      <c r="A2" s="1" t="s">
        <v>94</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row>
    <row r="3" spans="1:47" x14ac:dyDescent="0.35">
      <c r="A3" s="3" t="s">
        <v>0</v>
      </c>
    </row>
    <row r="4" spans="1:47" x14ac:dyDescent="0.35">
      <c r="A4" s="3" t="s">
        <v>1</v>
      </c>
    </row>
    <row r="5" spans="1:47" x14ac:dyDescent="0.35">
      <c r="A5" s="4"/>
    </row>
    <row r="6" spans="1:47" x14ac:dyDescent="0.35">
      <c r="A6" s="19" t="s">
        <v>2</v>
      </c>
      <c r="B6" s="19" t="s">
        <v>3</v>
      </c>
      <c r="C6" s="19" t="s">
        <v>4</v>
      </c>
      <c r="D6" s="19" t="s">
        <v>5</v>
      </c>
      <c r="E6" s="19" t="s">
        <v>66</v>
      </c>
      <c r="F6" s="13" t="s">
        <v>67</v>
      </c>
      <c r="G6" s="13" t="s">
        <v>68</v>
      </c>
      <c r="H6" s="13" t="s">
        <v>18</v>
      </c>
      <c r="I6" s="13" t="s">
        <v>19</v>
      </c>
      <c r="J6" s="13" t="s">
        <v>20</v>
      </c>
      <c r="K6" s="13" t="s">
        <v>21</v>
      </c>
      <c r="L6" s="13" t="s">
        <v>22</v>
      </c>
      <c r="M6" s="13" t="s">
        <v>23</v>
      </c>
      <c r="N6" s="13" t="s">
        <v>24</v>
      </c>
      <c r="O6" s="13" t="s">
        <v>25</v>
      </c>
      <c r="P6" s="13" t="s">
        <v>26</v>
      </c>
      <c r="Q6" s="13" t="s">
        <v>27</v>
      </c>
      <c r="R6" s="13" t="s">
        <v>28</v>
      </c>
      <c r="S6" s="13" t="s">
        <v>29</v>
      </c>
      <c r="T6" s="13" t="s">
        <v>30</v>
      </c>
      <c r="U6" s="13" t="s">
        <v>31</v>
      </c>
      <c r="V6" s="13" t="s">
        <v>32</v>
      </c>
      <c r="W6" s="13" t="s">
        <v>33</v>
      </c>
      <c r="X6" s="13" t="s">
        <v>34</v>
      </c>
      <c r="Y6" s="13" t="s">
        <v>35</v>
      </c>
      <c r="Z6" s="13" t="s">
        <v>36</v>
      </c>
      <c r="AA6" s="13" t="s">
        <v>37</v>
      </c>
      <c r="AB6" s="13" t="s">
        <v>38</v>
      </c>
      <c r="AC6" s="13" t="s">
        <v>69</v>
      </c>
      <c r="AD6" s="13" t="s">
        <v>70</v>
      </c>
      <c r="AE6" s="13" t="s">
        <v>71</v>
      </c>
      <c r="AF6" s="13" t="s">
        <v>72</v>
      </c>
      <c r="AG6" s="13" t="s">
        <v>73</v>
      </c>
      <c r="AH6" s="13" t="s">
        <v>38</v>
      </c>
      <c r="AI6" s="13" t="s">
        <v>74</v>
      </c>
      <c r="AJ6" s="13" t="s">
        <v>69</v>
      </c>
      <c r="AK6" s="13" t="s">
        <v>75</v>
      </c>
      <c r="AL6" s="13" t="s">
        <v>76</v>
      </c>
      <c r="AM6" s="13" t="s">
        <v>77</v>
      </c>
      <c r="AN6" s="13" t="s">
        <v>78</v>
      </c>
      <c r="AO6" s="13" t="s">
        <v>79</v>
      </c>
      <c r="AP6" s="13" t="s">
        <v>80</v>
      </c>
      <c r="AQ6" s="13" t="s">
        <v>81</v>
      </c>
      <c r="AR6" s="13" t="s">
        <v>82</v>
      </c>
      <c r="AS6" s="13" t="s">
        <v>83</v>
      </c>
      <c r="AT6" s="13" t="s">
        <v>40</v>
      </c>
      <c r="AU6" s="13" t="s">
        <v>41</v>
      </c>
    </row>
    <row r="7" spans="1:47" x14ac:dyDescent="0.35">
      <c r="A7" s="19"/>
      <c r="B7" s="19"/>
      <c r="C7" s="19"/>
      <c r="D7" s="19"/>
      <c r="E7" s="19"/>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row>
    <row r="8" spans="1:47" x14ac:dyDescent="0.35">
      <c r="A8" s="19"/>
      <c r="B8" s="19"/>
      <c r="C8" s="19"/>
      <c r="D8" s="19"/>
      <c r="E8" s="19"/>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row>
    <row r="9" spans="1:47" x14ac:dyDescent="0.35">
      <c r="A9" s="19"/>
      <c r="B9" s="19"/>
      <c r="C9" s="19"/>
      <c r="D9" s="19"/>
      <c r="E9" s="19"/>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row>
    <row r="10" spans="1:47" x14ac:dyDescent="0.35">
      <c r="A10" s="5">
        <v>46022</v>
      </c>
      <c r="B10" s="4" t="s">
        <v>42</v>
      </c>
      <c r="C10" s="4" t="s">
        <v>43</v>
      </c>
      <c r="D10" s="4" t="s">
        <v>44</v>
      </c>
      <c r="E10" s="4" t="s">
        <v>84</v>
      </c>
      <c r="F10" s="6">
        <v>8.1059999999999999</v>
      </c>
      <c r="G10" s="6">
        <v>0.95</v>
      </c>
      <c r="H10" s="7">
        <v>11.967998894423809</v>
      </c>
      <c r="I10" s="7">
        <v>6.9282810685999996</v>
      </c>
      <c r="J10" s="7">
        <v>10.910496768525819</v>
      </c>
      <c r="K10" s="7">
        <v>18.64361652642997</v>
      </c>
      <c r="L10" s="7">
        <v>48.450393257979613</v>
      </c>
      <c r="M10" s="7">
        <v>46.916612170898063</v>
      </c>
      <c r="N10" s="7">
        <v>8.2799975348631243</v>
      </c>
      <c r="O10" s="7">
        <v>3.2377796021784042</v>
      </c>
      <c r="P10" s="7">
        <v>102.1754319092785</v>
      </c>
      <c r="Q10" s="7">
        <v>160.6098212172181</v>
      </c>
      <c r="R10" s="7">
        <v>0</v>
      </c>
      <c r="S10" s="7">
        <v>0</v>
      </c>
      <c r="T10" s="7">
        <v>0</v>
      </c>
      <c r="U10" s="7">
        <v>0</v>
      </c>
      <c r="V10" s="7">
        <v>0</v>
      </c>
      <c r="W10" s="7">
        <v>209.06021447519771</v>
      </c>
      <c r="X10" s="7">
        <v>287.38044852499007</v>
      </c>
      <c r="Y10" s="7">
        <v>496.44066300018778</v>
      </c>
      <c r="Z10" s="7">
        <v>0</v>
      </c>
      <c r="AA10" s="7">
        <v>7.3080572408632962</v>
      </c>
      <c r="AB10" s="7">
        <v>503.7487202410511</v>
      </c>
      <c r="AC10" s="7">
        <v>0</v>
      </c>
      <c r="AD10" s="7">
        <v>220.17063900920189</v>
      </c>
      <c r="AE10" s="7">
        <v>0</v>
      </c>
      <c r="AF10" s="7">
        <v>0</v>
      </c>
      <c r="AG10" s="7">
        <v>723.91935925025302</v>
      </c>
      <c r="AH10" s="7">
        <v>503.7487202410511</v>
      </c>
      <c r="AI10" s="7">
        <v>75.046101521160807</v>
      </c>
      <c r="AJ10" s="7">
        <v>0</v>
      </c>
      <c r="AK10" s="7">
        <v>0</v>
      </c>
      <c r="AL10" s="7">
        <v>117.3199503648205</v>
      </c>
      <c r="AM10" s="7">
        <v>696.11477212703255</v>
      </c>
      <c r="AN10" s="7">
        <v>0</v>
      </c>
      <c r="AO10" s="7">
        <v>0</v>
      </c>
      <c r="AP10" s="7">
        <v>0</v>
      </c>
      <c r="AQ10" s="7">
        <v>0</v>
      </c>
      <c r="AR10" s="7">
        <v>0</v>
      </c>
      <c r="AS10" s="7">
        <v>696.11477212703255</v>
      </c>
      <c r="AT10" s="7">
        <v>391.80933699981222</v>
      </c>
      <c r="AU10" s="7">
        <v>384.5012797589489</v>
      </c>
    </row>
    <row r="11" spans="1:47" x14ac:dyDescent="0.35">
      <c r="A11" s="5">
        <v>46022</v>
      </c>
      <c r="B11" s="4" t="s">
        <v>42</v>
      </c>
      <c r="C11" s="4" t="s">
        <v>43</v>
      </c>
      <c r="D11" s="4" t="s">
        <v>44</v>
      </c>
      <c r="E11" s="4" t="s">
        <v>85</v>
      </c>
      <c r="F11" s="6">
        <v>49.793999999999997</v>
      </c>
      <c r="G11" s="6">
        <v>0.95</v>
      </c>
      <c r="H11" s="7">
        <v>11.967998894423809</v>
      </c>
      <c r="I11" s="7">
        <v>6.9282810685999996</v>
      </c>
      <c r="J11" s="7">
        <v>10.910496768525819</v>
      </c>
      <c r="K11" s="7">
        <v>18.64361652642997</v>
      </c>
      <c r="L11" s="7">
        <v>48.450393257979613</v>
      </c>
      <c r="M11" s="7">
        <v>46.916612170898063</v>
      </c>
      <c r="N11" s="7">
        <v>8.2799975348631243</v>
      </c>
      <c r="O11" s="7">
        <v>3.2377796021784042</v>
      </c>
      <c r="P11" s="7">
        <v>102.1754319092785</v>
      </c>
      <c r="Q11" s="7">
        <v>160.6098212172181</v>
      </c>
      <c r="R11" s="7">
        <v>0</v>
      </c>
      <c r="S11" s="7">
        <v>0</v>
      </c>
      <c r="T11" s="7">
        <v>0</v>
      </c>
      <c r="U11" s="7">
        <v>0</v>
      </c>
      <c r="V11" s="7">
        <v>0</v>
      </c>
      <c r="W11" s="7">
        <v>209.06021447519771</v>
      </c>
      <c r="X11" s="7">
        <v>287.38044852499007</v>
      </c>
      <c r="Y11" s="7">
        <v>496.44066300018778</v>
      </c>
      <c r="Z11" s="7">
        <v>0</v>
      </c>
      <c r="AA11" s="7">
        <v>6.4556708587406959</v>
      </c>
      <c r="AB11" s="7">
        <v>502.89633385892847</v>
      </c>
      <c r="AC11" s="7">
        <v>0</v>
      </c>
      <c r="AD11" s="7">
        <v>220.17063900920189</v>
      </c>
      <c r="AE11" s="7">
        <v>0</v>
      </c>
      <c r="AF11" s="7">
        <v>0</v>
      </c>
      <c r="AG11" s="7">
        <v>723.06697286813039</v>
      </c>
      <c r="AH11" s="7">
        <v>502.89633385892847</v>
      </c>
      <c r="AI11" s="7">
        <v>75.046101521160807</v>
      </c>
      <c r="AJ11" s="7">
        <v>0</v>
      </c>
      <c r="AK11" s="7">
        <v>0</v>
      </c>
      <c r="AL11" s="7">
        <v>117.3199503648205</v>
      </c>
      <c r="AM11" s="7">
        <v>695.26238574490992</v>
      </c>
      <c r="AN11" s="7">
        <v>0</v>
      </c>
      <c r="AO11" s="7">
        <v>0</v>
      </c>
      <c r="AP11" s="7">
        <v>0</v>
      </c>
      <c r="AQ11" s="7">
        <v>0</v>
      </c>
      <c r="AR11" s="7">
        <v>0</v>
      </c>
      <c r="AS11" s="7">
        <v>695.26238574490992</v>
      </c>
      <c r="AT11" s="7">
        <v>-107.8906630001878</v>
      </c>
      <c r="AU11" s="7">
        <v>-114.3463338589285</v>
      </c>
    </row>
    <row r="12" spans="1:47" x14ac:dyDescent="0.35">
      <c r="A12" s="5">
        <v>46022</v>
      </c>
      <c r="B12" s="4" t="s">
        <v>45</v>
      </c>
      <c r="C12" s="4" t="s">
        <v>46</v>
      </c>
      <c r="D12" s="4" t="s">
        <v>47</v>
      </c>
      <c r="E12" s="4" t="s">
        <v>86</v>
      </c>
      <c r="F12" s="6">
        <v>51.00215</v>
      </c>
      <c r="G12" s="6">
        <v>0.93</v>
      </c>
      <c r="H12" s="7">
        <v>16.967539624648879</v>
      </c>
      <c r="I12" s="7">
        <v>13.841543</v>
      </c>
      <c r="J12" s="7">
        <v>4.2952569096910107</v>
      </c>
      <c r="K12" s="7">
        <v>36.575065955126412</v>
      </c>
      <c r="L12" s="7">
        <v>71.679405489466305</v>
      </c>
      <c r="M12" s="7">
        <v>25.030989506179768</v>
      </c>
      <c r="N12" s="7">
        <v>12.67671678061798</v>
      </c>
      <c r="O12" s="7">
        <v>50.553571424719102</v>
      </c>
      <c r="P12" s="7">
        <v>67.363911174297755</v>
      </c>
      <c r="Q12" s="7">
        <v>155.62518888581459</v>
      </c>
      <c r="R12" s="7">
        <v>0</v>
      </c>
      <c r="S12" s="7">
        <v>0</v>
      </c>
      <c r="T12" s="7">
        <v>0</v>
      </c>
      <c r="U12" s="7">
        <v>0</v>
      </c>
      <c r="V12" s="7">
        <v>0</v>
      </c>
      <c r="W12" s="7">
        <v>227.30459437528091</v>
      </c>
      <c r="X12" s="7">
        <v>0</v>
      </c>
      <c r="Y12" s="7">
        <v>227.30459437528091</v>
      </c>
      <c r="Z12" s="7">
        <v>0</v>
      </c>
      <c r="AA12" s="7">
        <v>5.9818537666914038</v>
      </c>
      <c r="AB12" s="7">
        <v>233.2864481419723</v>
      </c>
      <c r="AC12" s="7">
        <v>0</v>
      </c>
      <c r="AD12" s="7">
        <v>25.843656262219099</v>
      </c>
      <c r="AE12" s="7">
        <v>0</v>
      </c>
      <c r="AF12" s="7">
        <v>0</v>
      </c>
      <c r="AG12" s="7">
        <v>259.1301044041914</v>
      </c>
      <c r="AH12" s="7">
        <v>233.2864481419723</v>
      </c>
      <c r="AI12" s="7">
        <v>68.610099579283698</v>
      </c>
      <c r="AJ12" s="7">
        <v>0</v>
      </c>
      <c r="AK12" s="7">
        <v>0</v>
      </c>
      <c r="AL12" s="7">
        <v>9.8014426542134832</v>
      </c>
      <c r="AM12" s="7">
        <v>311.69799037546949</v>
      </c>
      <c r="AN12" s="7">
        <v>0</v>
      </c>
      <c r="AO12" s="7">
        <v>0</v>
      </c>
      <c r="AP12" s="7">
        <v>0</v>
      </c>
      <c r="AQ12" s="7">
        <v>0</v>
      </c>
      <c r="AR12" s="7">
        <v>0</v>
      </c>
      <c r="AS12" s="7">
        <v>311.69799037546949</v>
      </c>
      <c r="AT12" s="7">
        <v>181.8954099382627</v>
      </c>
      <c r="AU12" s="7">
        <v>175.91355617157129</v>
      </c>
    </row>
    <row r="13" spans="1:47" x14ac:dyDescent="0.35">
      <c r="A13" s="5">
        <v>46022</v>
      </c>
      <c r="B13" s="4" t="s">
        <v>51</v>
      </c>
      <c r="C13" s="4" t="s">
        <v>52</v>
      </c>
      <c r="D13" s="4" t="s">
        <v>53</v>
      </c>
      <c r="E13" s="4" t="s">
        <v>84</v>
      </c>
      <c r="F13" s="6">
        <v>0.10377</v>
      </c>
      <c r="G13" s="6">
        <v>0.92</v>
      </c>
      <c r="H13" s="7">
        <v>411.86461196507668</v>
      </c>
      <c r="I13" s="7">
        <v>22.376449999999998</v>
      </c>
      <c r="J13" s="7">
        <v>119.4972326031797</v>
      </c>
      <c r="K13" s="7">
        <v>157.54582800889219</v>
      </c>
      <c r="L13" s="7">
        <v>711.28412257714865</v>
      </c>
      <c r="M13" s="7">
        <v>202.61485260763081</v>
      </c>
      <c r="N13" s="7">
        <v>1.6443660093056001</v>
      </c>
      <c r="O13" s="7">
        <v>9.131131780150632</v>
      </c>
      <c r="P13" s="7">
        <v>89.298074015401284</v>
      </c>
      <c r="Q13" s="7">
        <v>302.6884244124883</v>
      </c>
      <c r="R13" s="7">
        <v>0</v>
      </c>
      <c r="S13" s="7">
        <v>0</v>
      </c>
      <c r="T13" s="7">
        <v>0</v>
      </c>
      <c r="U13" s="7">
        <v>0</v>
      </c>
      <c r="V13" s="7">
        <v>0</v>
      </c>
      <c r="W13" s="7">
        <v>1013.972546989637</v>
      </c>
      <c r="X13" s="7">
        <v>15.057200061966331</v>
      </c>
      <c r="Y13" s="7">
        <v>1029.029747051603</v>
      </c>
      <c r="Z13" s="7">
        <v>0</v>
      </c>
      <c r="AA13" s="7">
        <v>0.48827669330416917</v>
      </c>
      <c r="AB13" s="7">
        <v>1029.5180237449069</v>
      </c>
      <c r="AC13" s="7">
        <v>0</v>
      </c>
      <c r="AD13" s="7">
        <v>50.549922891720023</v>
      </c>
      <c r="AE13" s="7">
        <v>0</v>
      </c>
      <c r="AF13" s="7">
        <v>0</v>
      </c>
      <c r="AG13" s="7">
        <v>1080.0679466366271</v>
      </c>
      <c r="AH13" s="7">
        <v>1029.5180237449069</v>
      </c>
      <c r="AI13" s="7">
        <v>42.285835464354818</v>
      </c>
      <c r="AJ13" s="7">
        <v>0</v>
      </c>
      <c r="AK13" s="7">
        <v>0</v>
      </c>
      <c r="AL13" s="7">
        <v>50.549922891720023</v>
      </c>
      <c r="AM13" s="7">
        <v>1122.353782100982</v>
      </c>
      <c r="AN13" s="7">
        <v>0</v>
      </c>
      <c r="AO13" s="7">
        <v>0</v>
      </c>
      <c r="AP13" s="7">
        <v>0</v>
      </c>
      <c r="AQ13" s="7">
        <v>0</v>
      </c>
      <c r="AR13" s="7">
        <v>0</v>
      </c>
      <c r="AS13" s="7">
        <v>1122.353782100982</v>
      </c>
      <c r="AT13" s="7">
        <v>-168.8333511761094</v>
      </c>
      <c r="AU13" s="7">
        <v>-169.32162786941359</v>
      </c>
    </row>
    <row r="14" spans="1:47" x14ac:dyDescent="0.35">
      <c r="A14" s="5">
        <v>46022</v>
      </c>
      <c r="B14" s="4" t="s">
        <v>51</v>
      </c>
      <c r="C14" s="4" t="s">
        <v>52</v>
      </c>
      <c r="D14" s="4" t="s">
        <v>53</v>
      </c>
      <c r="E14" s="4" t="s">
        <v>87</v>
      </c>
      <c r="F14" s="6">
        <v>0.41508</v>
      </c>
      <c r="G14" s="6">
        <v>0.92</v>
      </c>
      <c r="H14" s="7">
        <v>411.86461196507668</v>
      </c>
      <c r="I14" s="7">
        <v>22.376449999999998</v>
      </c>
      <c r="J14" s="7">
        <v>119.4972326031797</v>
      </c>
      <c r="K14" s="7">
        <v>157.54582800889219</v>
      </c>
      <c r="L14" s="7">
        <v>711.28412257714865</v>
      </c>
      <c r="M14" s="7">
        <v>202.61485260763081</v>
      </c>
      <c r="N14" s="7">
        <v>1.6443660093056001</v>
      </c>
      <c r="O14" s="7">
        <v>9.131131780150632</v>
      </c>
      <c r="P14" s="7">
        <v>89.298074015401284</v>
      </c>
      <c r="Q14" s="7">
        <v>302.6884244124883</v>
      </c>
      <c r="R14" s="7">
        <v>0</v>
      </c>
      <c r="S14" s="7">
        <v>0</v>
      </c>
      <c r="T14" s="7">
        <v>0</v>
      </c>
      <c r="U14" s="7">
        <v>0</v>
      </c>
      <c r="V14" s="7">
        <v>0</v>
      </c>
      <c r="W14" s="7">
        <v>1013.972546989637</v>
      </c>
      <c r="X14" s="7">
        <v>15.057200061966331</v>
      </c>
      <c r="Y14" s="7">
        <v>1029.029747051603</v>
      </c>
      <c r="Z14" s="7">
        <v>0</v>
      </c>
      <c r="AA14" s="7">
        <v>0.3906213529107343</v>
      </c>
      <c r="AB14" s="7">
        <v>1029.420368404514</v>
      </c>
      <c r="AC14" s="7">
        <v>0</v>
      </c>
      <c r="AD14" s="7">
        <v>50.549922891720023</v>
      </c>
      <c r="AE14" s="7">
        <v>0</v>
      </c>
      <c r="AF14" s="7">
        <v>0</v>
      </c>
      <c r="AG14" s="7">
        <v>1079.9702912962341</v>
      </c>
      <c r="AH14" s="7">
        <v>1029.420368404514</v>
      </c>
      <c r="AI14" s="7">
        <v>42.285835464354818</v>
      </c>
      <c r="AJ14" s="7">
        <v>0</v>
      </c>
      <c r="AK14" s="7">
        <v>0</v>
      </c>
      <c r="AL14" s="7">
        <v>50.549922891720023</v>
      </c>
      <c r="AM14" s="7">
        <v>1122.256126760589</v>
      </c>
      <c r="AN14" s="7">
        <v>0</v>
      </c>
      <c r="AO14" s="7">
        <v>0</v>
      </c>
      <c r="AP14" s="7">
        <v>0</v>
      </c>
      <c r="AQ14" s="7">
        <v>0</v>
      </c>
      <c r="AR14" s="7">
        <v>0</v>
      </c>
      <c r="AS14" s="7">
        <v>1122.256126760589</v>
      </c>
      <c r="AT14" s="7">
        <v>-478.87205214941571</v>
      </c>
      <c r="AU14" s="7">
        <v>-479.26267350232649</v>
      </c>
    </row>
    <row r="15" spans="1:47" x14ac:dyDescent="0.35">
      <c r="A15" s="5">
        <v>46022</v>
      </c>
      <c r="B15" s="4" t="s">
        <v>54</v>
      </c>
      <c r="C15" s="4" t="s">
        <v>55</v>
      </c>
      <c r="D15" s="4" t="s">
        <v>56</v>
      </c>
      <c r="E15" s="4" t="s">
        <v>84</v>
      </c>
      <c r="F15" s="6">
        <v>1.7203999999999999</v>
      </c>
      <c r="G15" s="6">
        <v>0.81200000000000006</v>
      </c>
      <c r="H15" s="7">
        <v>207.37044</v>
      </c>
      <c r="I15" s="7">
        <v>168.98089300000001</v>
      </c>
      <c r="J15" s="7">
        <v>9.0398899999999998</v>
      </c>
      <c r="K15" s="7">
        <v>224.779549</v>
      </c>
      <c r="L15" s="7">
        <v>610.17077200000006</v>
      </c>
      <c r="M15" s="7">
        <v>239.677155</v>
      </c>
      <c r="N15" s="7">
        <v>50.554082000000008</v>
      </c>
      <c r="O15" s="7">
        <v>19.358142999999998</v>
      </c>
      <c r="P15" s="7">
        <v>138.380335</v>
      </c>
      <c r="Q15" s="7">
        <v>447.96971500000001</v>
      </c>
      <c r="R15" s="7">
        <v>0</v>
      </c>
      <c r="S15" s="7">
        <v>0</v>
      </c>
      <c r="T15" s="7">
        <v>0</v>
      </c>
      <c r="U15" s="7">
        <v>0</v>
      </c>
      <c r="V15" s="7">
        <v>0</v>
      </c>
      <c r="W15" s="7">
        <v>1058.1404869999999</v>
      </c>
      <c r="X15" s="7">
        <v>49.162410000000008</v>
      </c>
      <c r="Y15" s="7">
        <v>1107.302897</v>
      </c>
      <c r="Z15" s="7">
        <v>0</v>
      </c>
      <c r="AA15" s="7">
        <v>1.7468947229774829</v>
      </c>
      <c r="AB15" s="7">
        <v>1109.0497917229779</v>
      </c>
      <c r="AC15" s="7">
        <v>0</v>
      </c>
      <c r="AD15" s="7">
        <v>530.11955999999998</v>
      </c>
      <c r="AE15" s="7">
        <v>0</v>
      </c>
      <c r="AF15" s="7">
        <v>0</v>
      </c>
      <c r="AG15" s="7">
        <v>1639.169351722978</v>
      </c>
      <c r="AH15" s="7">
        <v>1109.0497917229779</v>
      </c>
      <c r="AI15" s="7">
        <v>723.36180000000013</v>
      </c>
      <c r="AJ15" s="7">
        <v>0</v>
      </c>
      <c r="AK15" s="7">
        <v>0</v>
      </c>
      <c r="AL15" s="7">
        <v>515.33576000000005</v>
      </c>
      <c r="AM15" s="7">
        <v>2347.7473517229778</v>
      </c>
      <c r="AN15" s="7">
        <v>0</v>
      </c>
      <c r="AO15" s="7">
        <v>0</v>
      </c>
      <c r="AP15" s="7">
        <v>0</v>
      </c>
      <c r="AQ15" s="7">
        <v>0</v>
      </c>
      <c r="AR15" s="7">
        <v>0</v>
      </c>
      <c r="AS15" s="7">
        <v>2347.7473517229778</v>
      </c>
      <c r="AT15" s="7">
        <v>-348.46702743478272</v>
      </c>
      <c r="AU15" s="7">
        <v>-350.21392215776012</v>
      </c>
    </row>
    <row r="16" spans="1:47" x14ac:dyDescent="0.35">
      <c r="A16" s="5">
        <v>46022</v>
      </c>
      <c r="B16" s="4" t="s">
        <v>54</v>
      </c>
      <c r="C16" s="4" t="s">
        <v>55</v>
      </c>
      <c r="D16" s="4" t="s">
        <v>56</v>
      </c>
      <c r="E16" s="4" t="s">
        <v>87</v>
      </c>
      <c r="F16" s="6">
        <v>1.8768</v>
      </c>
      <c r="G16" s="6">
        <v>0.81200000000000006</v>
      </c>
      <c r="H16" s="7">
        <v>207.37044</v>
      </c>
      <c r="I16" s="7">
        <v>168.98089300000001</v>
      </c>
      <c r="J16" s="7">
        <v>9.0398899999999998</v>
      </c>
      <c r="K16" s="7">
        <v>224.779549</v>
      </c>
      <c r="L16" s="7">
        <v>610.17077200000006</v>
      </c>
      <c r="M16" s="7">
        <v>239.677155</v>
      </c>
      <c r="N16" s="7">
        <v>50.554082000000008</v>
      </c>
      <c r="O16" s="7">
        <v>19.358142999999998</v>
      </c>
      <c r="P16" s="7">
        <v>138.380335</v>
      </c>
      <c r="Q16" s="7">
        <v>447.96971500000001</v>
      </c>
      <c r="R16" s="7">
        <v>0</v>
      </c>
      <c r="S16" s="7">
        <v>0</v>
      </c>
      <c r="T16" s="7">
        <v>0</v>
      </c>
      <c r="U16" s="7">
        <v>0</v>
      </c>
      <c r="V16" s="7">
        <v>0</v>
      </c>
      <c r="W16" s="7">
        <v>1058.1404869999999</v>
      </c>
      <c r="X16" s="7">
        <v>49.162410000000008</v>
      </c>
      <c r="Y16" s="7">
        <v>1107.302897</v>
      </c>
      <c r="Z16" s="7">
        <v>0</v>
      </c>
      <c r="AA16" s="7">
        <v>1.397515778381986</v>
      </c>
      <c r="AB16" s="7">
        <v>1108.7004127783821</v>
      </c>
      <c r="AC16" s="7">
        <v>0</v>
      </c>
      <c r="AD16" s="7">
        <v>530.11955999999998</v>
      </c>
      <c r="AE16" s="7">
        <v>0</v>
      </c>
      <c r="AF16" s="7">
        <v>0</v>
      </c>
      <c r="AG16" s="7">
        <v>1638.819972778382</v>
      </c>
      <c r="AH16" s="7">
        <v>1108.7004127783821</v>
      </c>
      <c r="AI16" s="7">
        <v>723.36180000000013</v>
      </c>
      <c r="AJ16" s="7">
        <v>0</v>
      </c>
      <c r="AK16" s="7">
        <v>0</v>
      </c>
      <c r="AL16" s="7">
        <v>515.33576000000005</v>
      </c>
      <c r="AM16" s="7">
        <v>2347.3979727783822</v>
      </c>
      <c r="AN16" s="7">
        <v>0</v>
      </c>
      <c r="AO16" s="7">
        <v>0</v>
      </c>
      <c r="AP16" s="7">
        <v>0</v>
      </c>
      <c r="AQ16" s="7">
        <v>0</v>
      </c>
      <c r="AR16" s="7">
        <v>0</v>
      </c>
      <c r="AS16" s="7">
        <v>2347.3979727783822</v>
      </c>
      <c r="AT16" s="7">
        <v>-621.97274994117663</v>
      </c>
      <c r="AU16" s="7">
        <v>-623.37026571955857</v>
      </c>
    </row>
    <row r="17" spans="1:47" x14ac:dyDescent="0.35">
      <c r="A17" s="5">
        <v>46022</v>
      </c>
      <c r="B17" s="4" t="s">
        <v>54</v>
      </c>
      <c r="C17" s="4" t="s">
        <v>55</v>
      </c>
      <c r="D17" s="4" t="s">
        <v>56</v>
      </c>
      <c r="E17" s="4" t="s">
        <v>86</v>
      </c>
      <c r="F17" s="6">
        <v>1.4076</v>
      </c>
      <c r="G17" s="6">
        <v>0.81200000000000006</v>
      </c>
      <c r="H17" s="7">
        <v>207.37044</v>
      </c>
      <c r="I17" s="7">
        <v>168.98089300000001</v>
      </c>
      <c r="J17" s="7">
        <v>9.0398899999999998</v>
      </c>
      <c r="K17" s="7">
        <v>224.779549</v>
      </c>
      <c r="L17" s="7">
        <v>610.17077200000006</v>
      </c>
      <c r="M17" s="7">
        <v>239.677155</v>
      </c>
      <c r="N17" s="7">
        <v>50.554082000000008</v>
      </c>
      <c r="O17" s="7">
        <v>19.358142999999998</v>
      </c>
      <c r="P17" s="7">
        <v>138.380335</v>
      </c>
      <c r="Q17" s="7">
        <v>447.96971500000001</v>
      </c>
      <c r="R17" s="7">
        <v>0</v>
      </c>
      <c r="S17" s="7">
        <v>0</v>
      </c>
      <c r="T17" s="7">
        <v>0</v>
      </c>
      <c r="U17" s="7">
        <v>0</v>
      </c>
      <c r="V17" s="7">
        <v>0</v>
      </c>
      <c r="W17" s="7">
        <v>1058.1404869999999</v>
      </c>
      <c r="X17" s="7">
        <v>49.162410000000008</v>
      </c>
      <c r="Y17" s="7">
        <v>1107.302897</v>
      </c>
      <c r="Z17" s="7">
        <v>0</v>
      </c>
      <c r="AA17" s="7">
        <v>1.19787066718456</v>
      </c>
      <c r="AB17" s="7">
        <v>1108.5007676671851</v>
      </c>
      <c r="AC17" s="7">
        <v>0</v>
      </c>
      <c r="AD17" s="7">
        <v>530.11955999999998</v>
      </c>
      <c r="AE17" s="7">
        <v>0</v>
      </c>
      <c r="AF17" s="7">
        <v>0</v>
      </c>
      <c r="AG17" s="7">
        <v>1638.6203276671849</v>
      </c>
      <c r="AH17" s="7">
        <v>1108.5007676671851</v>
      </c>
      <c r="AI17" s="7">
        <v>723.36180000000013</v>
      </c>
      <c r="AJ17" s="7">
        <v>0</v>
      </c>
      <c r="AK17" s="7">
        <v>0</v>
      </c>
      <c r="AL17" s="7">
        <v>515.33576000000005</v>
      </c>
      <c r="AM17" s="7">
        <v>2347.1983276671849</v>
      </c>
      <c r="AN17" s="7">
        <v>0</v>
      </c>
      <c r="AO17" s="7">
        <v>0</v>
      </c>
      <c r="AP17" s="7">
        <v>0</v>
      </c>
      <c r="AQ17" s="7">
        <v>0</v>
      </c>
      <c r="AR17" s="7">
        <v>0</v>
      </c>
      <c r="AS17" s="7">
        <v>2347.1983276671849</v>
      </c>
      <c r="AT17" s="7">
        <v>-750.20363584626318</v>
      </c>
      <c r="AU17" s="7">
        <v>-751.40150651344777</v>
      </c>
    </row>
    <row r="18" spans="1:47" x14ac:dyDescent="0.35">
      <c r="A18" s="5">
        <v>46022</v>
      </c>
      <c r="B18" s="4" t="s">
        <v>54</v>
      </c>
      <c r="C18" s="4" t="s">
        <v>55</v>
      </c>
      <c r="D18" s="4" t="s">
        <v>56</v>
      </c>
      <c r="E18" s="4" t="s">
        <v>85</v>
      </c>
      <c r="F18" s="6">
        <v>2.8151999999999999</v>
      </c>
      <c r="G18" s="6">
        <v>0.81200000000000006</v>
      </c>
      <c r="H18" s="7">
        <v>207.37044</v>
      </c>
      <c r="I18" s="7">
        <v>168.98089300000001</v>
      </c>
      <c r="J18" s="7">
        <v>9.0398899999999998</v>
      </c>
      <c r="K18" s="7">
        <v>224.779549</v>
      </c>
      <c r="L18" s="7">
        <v>610.17077200000006</v>
      </c>
      <c r="M18" s="7">
        <v>239.677155</v>
      </c>
      <c r="N18" s="7">
        <v>50.554082000000008</v>
      </c>
      <c r="O18" s="7">
        <v>19.358142999999998</v>
      </c>
      <c r="P18" s="7">
        <v>138.380335</v>
      </c>
      <c r="Q18" s="7">
        <v>447.96971500000001</v>
      </c>
      <c r="R18" s="7">
        <v>0</v>
      </c>
      <c r="S18" s="7">
        <v>0</v>
      </c>
      <c r="T18" s="7">
        <v>0</v>
      </c>
      <c r="U18" s="7">
        <v>0</v>
      </c>
      <c r="V18" s="7">
        <v>0</v>
      </c>
      <c r="W18" s="7">
        <v>1058.1404869999999</v>
      </c>
      <c r="X18" s="7">
        <v>49.162410000000008</v>
      </c>
      <c r="Y18" s="7">
        <v>1107.302897</v>
      </c>
      <c r="Z18" s="7">
        <v>0</v>
      </c>
      <c r="AA18" s="7">
        <v>0.4991127779935664</v>
      </c>
      <c r="AB18" s="7">
        <v>1107.802009777994</v>
      </c>
      <c r="AC18" s="7">
        <v>0</v>
      </c>
      <c r="AD18" s="7">
        <v>530.11955999999998</v>
      </c>
      <c r="AE18" s="7">
        <v>0</v>
      </c>
      <c r="AF18" s="7">
        <v>0</v>
      </c>
      <c r="AG18" s="7">
        <v>1637.9215697779939</v>
      </c>
      <c r="AH18" s="7">
        <v>1107.802009777994</v>
      </c>
      <c r="AI18" s="7">
        <v>723.36180000000013</v>
      </c>
      <c r="AJ18" s="7">
        <v>0</v>
      </c>
      <c r="AK18" s="7">
        <v>0</v>
      </c>
      <c r="AL18" s="7">
        <v>515.33576000000005</v>
      </c>
      <c r="AM18" s="7">
        <v>2346.4995697779941</v>
      </c>
      <c r="AN18" s="7">
        <v>0</v>
      </c>
      <c r="AO18" s="7">
        <v>0</v>
      </c>
      <c r="AP18" s="7">
        <v>0</v>
      </c>
      <c r="AQ18" s="7">
        <v>0</v>
      </c>
      <c r="AR18" s="7">
        <v>0</v>
      </c>
      <c r="AS18" s="7">
        <v>2346.4995697779941</v>
      </c>
      <c r="AT18" s="7">
        <v>-775.36304725575462</v>
      </c>
      <c r="AU18" s="7">
        <v>-775.86216003374807</v>
      </c>
    </row>
    <row r="19" spans="1:47" x14ac:dyDescent="0.35">
      <c r="A19" s="5">
        <v>46022</v>
      </c>
      <c r="B19" s="4" t="s">
        <v>88</v>
      </c>
      <c r="C19" s="4" t="s">
        <v>89</v>
      </c>
      <c r="D19" s="4" t="s">
        <v>90</v>
      </c>
      <c r="E19" s="4" t="s">
        <v>91</v>
      </c>
      <c r="F19" s="6">
        <v>6.87134</v>
      </c>
      <c r="G19" s="6">
        <v>0.91</v>
      </c>
      <c r="H19" s="7">
        <v>68.282958409783063</v>
      </c>
      <c r="I19" s="7">
        <v>56.286554993919999</v>
      </c>
      <c r="J19" s="7">
        <v>0.29345399999999999</v>
      </c>
      <c r="K19" s="7">
        <v>82.441376943049605</v>
      </c>
      <c r="L19" s="7">
        <v>207.30434434675271</v>
      </c>
      <c r="M19" s="7">
        <v>144.7933339026838</v>
      </c>
      <c r="N19" s="7">
        <v>58.267044360042753</v>
      </c>
      <c r="O19" s="7">
        <v>13.893298205565859</v>
      </c>
      <c r="P19" s="7">
        <v>137.8434558364215</v>
      </c>
      <c r="Q19" s="7">
        <v>354.7971323047139</v>
      </c>
      <c r="R19" s="7">
        <v>0</v>
      </c>
      <c r="S19" s="7">
        <v>0</v>
      </c>
      <c r="T19" s="7">
        <v>0</v>
      </c>
      <c r="U19" s="7">
        <v>0</v>
      </c>
      <c r="V19" s="7">
        <v>0</v>
      </c>
      <c r="W19" s="7">
        <v>562.10147665146656</v>
      </c>
      <c r="X19" s="7">
        <v>0</v>
      </c>
      <c r="Y19" s="7">
        <v>562.10147665146656</v>
      </c>
      <c r="Z19" s="7">
        <v>0</v>
      </c>
      <c r="AA19" s="7">
        <v>4.4580850323659513</v>
      </c>
      <c r="AB19" s="7">
        <v>566.5595616838325</v>
      </c>
      <c r="AC19" s="7">
        <v>0</v>
      </c>
      <c r="AD19" s="7">
        <v>232.41896324126159</v>
      </c>
      <c r="AE19" s="7">
        <v>0</v>
      </c>
      <c r="AF19" s="7">
        <v>0</v>
      </c>
      <c r="AG19" s="7">
        <v>798.97852492509412</v>
      </c>
      <c r="AH19" s="7">
        <v>566.5595616838325</v>
      </c>
      <c r="AI19" s="7">
        <v>22.298386055139719</v>
      </c>
      <c r="AJ19" s="7">
        <v>0</v>
      </c>
      <c r="AK19" s="7">
        <v>0</v>
      </c>
      <c r="AL19" s="7">
        <v>224.55158133554491</v>
      </c>
      <c r="AM19" s="7">
        <v>813.40952907451708</v>
      </c>
      <c r="AN19" s="7">
        <v>0</v>
      </c>
      <c r="AO19" s="7">
        <v>0</v>
      </c>
      <c r="AP19" s="7">
        <v>0</v>
      </c>
      <c r="AQ19" s="7">
        <v>0</v>
      </c>
      <c r="AR19" s="7">
        <v>0</v>
      </c>
      <c r="AS19" s="7">
        <v>813.40952907451708</v>
      </c>
      <c r="AT19" s="7">
        <v>480.75778951786862</v>
      </c>
      <c r="AU19" s="7">
        <v>476.29970448550267</v>
      </c>
    </row>
    <row r="20" spans="1:47" x14ac:dyDescent="0.35">
      <c r="A20" s="5">
        <v>46022</v>
      </c>
      <c r="B20" s="4" t="s">
        <v>88</v>
      </c>
      <c r="C20" s="4" t="s">
        <v>89</v>
      </c>
      <c r="D20" s="4" t="s">
        <v>90</v>
      </c>
      <c r="E20" s="4" t="s">
        <v>84</v>
      </c>
      <c r="F20" s="6">
        <v>11.244</v>
      </c>
      <c r="G20" s="6">
        <v>0.91</v>
      </c>
      <c r="H20" s="7">
        <v>68.282958409783063</v>
      </c>
      <c r="I20" s="7">
        <v>56.286554993919999</v>
      </c>
      <c r="J20" s="7">
        <v>0.29345399999999999</v>
      </c>
      <c r="K20" s="7">
        <v>82.441376943049605</v>
      </c>
      <c r="L20" s="7">
        <v>207.30434434675271</v>
      </c>
      <c r="M20" s="7">
        <v>144.7933339026838</v>
      </c>
      <c r="N20" s="7">
        <v>58.267044360042753</v>
      </c>
      <c r="O20" s="7">
        <v>13.893298205565859</v>
      </c>
      <c r="P20" s="7">
        <v>137.8434558364215</v>
      </c>
      <c r="Q20" s="7">
        <v>354.7971323047139</v>
      </c>
      <c r="R20" s="7">
        <v>0</v>
      </c>
      <c r="S20" s="7">
        <v>0</v>
      </c>
      <c r="T20" s="7">
        <v>0</v>
      </c>
      <c r="U20" s="7">
        <v>0</v>
      </c>
      <c r="V20" s="7">
        <v>0</v>
      </c>
      <c r="W20" s="7">
        <v>562.10147665146656</v>
      </c>
      <c r="X20" s="7">
        <v>0</v>
      </c>
      <c r="Y20" s="7">
        <v>562.10147665146656</v>
      </c>
      <c r="Z20" s="7">
        <v>0</v>
      </c>
      <c r="AA20" s="7">
        <v>2.9761156525506212</v>
      </c>
      <c r="AB20" s="7">
        <v>565.07759230401723</v>
      </c>
      <c r="AC20" s="7">
        <v>0</v>
      </c>
      <c r="AD20" s="7">
        <v>232.41896324126159</v>
      </c>
      <c r="AE20" s="7">
        <v>0</v>
      </c>
      <c r="AF20" s="7">
        <v>0</v>
      </c>
      <c r="AG20" s="7">
        <v>797.49655554527885</v>
      </c>
      <c r="AH20" s="7">
        <v>565.07759230401723</v>
      </c>
      <c r="AI20" s="7">
        <v>22.298386055139719</v>
      </c>
      <c r="AJ20" s="7">
        <v>0</v>
      </c>
      <c r="AK20" s="7">
        <v>0</v>
      </c>
      <c r="AL20" s="7">
        <v>224.55158133554491</v>
      </c>
      <c r="AM20" s="7">
        <v>811.92755969470181</v>
      </c>
      <c r="AN20" s="7">
        <v>0</v>
      </c>
      <c r="AO20" s="7">
        <v>0</v>
      </c>
      <c r="AP20" s="7">
        <v>0</v>
      </c>
      <c r="AQ20" s="7">
        <v>0</v>
      </c>
      <c r="AR20" s="7">
        <v>0</v>
      </c>
      <c r="AS20" s="7">
        <v>811.92755969470181</v>
      </c>
      <c r="AT20" s="7">
        <v>288.74877281491553</v>
      </c>
      <c r="AU20" s="7">
        <v>285.77265716236491</v>
      </c>
    </row>
    <row r="21" spans="1:47" x14ac:dyDescent="0.35">
      <c r="A21" s="5">
        <v>46022</v>
      </c>
      <c r="B21" s="4" t="s">
        <v>88</v>
      </c>
      <c r="C21" s="4" t="s">
        <v>89</v>
      </c>
      <c r="D21" s="4" t="s">
        <v>90</v>
      </c>
      <c r="E21" s="4" t="s">
        <v>86</v>
      </c>
      <c r="F21" s="6">
        <v>11.244</v>
      </c>
      <c r="G21" s="6">
        <v>0.91</v>
      </c>
      <c r="H21" s="7">
        <v>68.282958409783063</v>
      </c>
      <c r="I21" s="7">
        <v>56.286554993919999</v>
      </c>
      <c r="J21" s="7">
        <v>0.29345399999999999</v>
      </c>
      <c r="K21" s="7">
        <v>82.441376943049605</v>
      </c>
      <c r="L21" s="7">
        <v>207.30434434675271</v>
      </c>
      <c r="M21" s="7">
        <v>144.7933339026838</v>
      </c>
      <c r="N21" s="7">
        <v>58.267044360042753</v>
      </c>
      <c r="O21" s="7">
        <v>13.893298205565859</v>
      </c>
      <c r="P21" s="7">
        <v>137.8434558364215</v>
      </c>
      <c r="Q21" s="7">
        <v>354.7971323047139</v>
      </c>
      <c r="R21" s="7">
        <v>0</v>
      </c>
      <c r="S21" s="7">
        <v>0</v>
      </c>
      <c r="T21" s="7">
        <v>0</v>
      </c>
      <c r="U21" s="7">
        <v>0</v>
      </c>
      <c r="V21" s="7">
        <v>0</v>
      </c>
      <c r="W21" s="7">
        <v>562.10147665146656</v>
      </c>
      <c r="X21" s="7">
        <v>0</v>
      </c>
      <c r="Y21" s="7">
        <v>562.10147665146656</v>
      </c>
      <c r="Z21" s="7">
        <v>0</v>
      </c>
      <c r="AA21" s="7">
        <v>1.962353330413789</v>
      </c>
      <c r="AB21" s="7">
        <v>564.06382998188042</v>
      </c>
      <c r="AC21" s="7">
        <v>0</v>
      </c>
      <c r="AD21" s="7">
        <v>232.41896324126159</v>
      </c>
      <c r="AE21" s="7">
        <v>0</v>
      </c>
      <c r="AF21" s="7">
        <v>0</v>
      </c>
      <c r="AG21" s="7">
        <v>796.48279322314204</v>
      </c>
      <c r="AH21" s="7">
        <v>564.06382998188042</v>
      </c>
      <c r="AI21" s="7">
        <v>22.298386055139719</v>
      </c>
      <c r="AJ21" s="7">
        <v>0</v>
      </c>
      <c r="AK21" s="7">
        <v>0</v>
      </c>
      <c r="AL21" s="7">
        <v>224.55158133554491</v>
      </c>
      <c r="AM21" s="7">
        <v>810.913797372565</v>
      </c>
      <c r="AN21" s="7">
        <v>0</v>
      </c>
      <c r="AO21" s="7">
        <v>0</v>
      </c>
      <c r="AP21" s="7">
        <v>0</v>
      </c>
      <c r="AQ21" s="7">
        <v>0</v>
      </c>
      <c r="AR21" s="7">
        <v>0</v>
      </c>
      <c r="AS21" s="7">
        <v>810.913797372565</v>
      </c>
      <c r="AT21" s="7">
        <v>-161.70135925552211</v>
      </c>
      <c r="AU21" s="7">
        <v>-163.66371258593591</v>
      </c>
    </row>
    <row r="22" spans="1:47" x14ac:dyDescent="0.35">
      <c r="A22" s="5">
        <v>46022</v>
      </c>
      <c r="B22" s="4" t="s">
        <v>88</v>
      </c>
      <c r="C22" s="4" t="s">
        <v>89</v>
      </c>
      <c r="D22" s="4" t="s">
        <v>90</v>
      </c>
      <c r="E22" s="4" t="s">
        <v>85</v>
      </c>
      <c r="F22" s="6">
        <v>1.8740000000000001</v>
      </c>
      <c r="G22" s="6">
        <v>0.91</v>
      </c>
      <c r="H22" s="7">
        <v>68.282958409783063</v>
      </c>
      <c r="I22" s="7">
        <v>56.286554993919999</v>
      </c>
      <c r="J22" s="7">
        <v>0.29345399999999999</v>
      </c>
      <c r="K22" s="7">
        <v>82.441376943049605</v>
      </c>
      <c r="L22" s="7">
        <v>207.30434434675271</v>
      </c>
      <c r="M22" s="7">
        <v>144.7933339026838</v>
      </c>
      <c r="N22" s="7">
        <v>58.267044360042753</v>
      </c>
      <c r="O22" s="7">
        <v>13.893298205565859</v>
      </c>
      <c r="P22" s="7">
        <v>137.8434558364215</v>
      </c>
      <c r="Q22" s="7">
        <v>354.7971323047139</v>
      </c>
      <c r="R22" s="7">
        <v>0</v>
      </c>
      <c r="S22" s="7">
        <v>0</v>
      </c>
      <c r="T22" s="7">
        <v>0</v>
      </c>
      <c r="U22" s="7">
        <v>0</v>
      </c>
      <c r="V22" s="7">
        <v>0</v>
      </c>
      <c r="W22" s="7">
        <v>562.10147665146656</v>
      </c>
      <c r="X22" s="7">
        <v>0</v>
      </c>
      <c r="Y22" s="7">
        <v>562.10147665146656</v>
      </c>
      <c r="Z22" s="7">
        <v>0</v>
      </c>
      <c r="AA22" s="7">
        <v>1.8058454644164099</v>
      </c>
      <c r="AB22" s="7">
        <v>563.90732211588295</v>
      </c>
      <c r="AC22" s="7">
        <v>0</v>
      </c>
      <c r="AD22" s="7">
        <v>232.41896324126159</v>
      </c>
      <c r="AE22" s="7">
        <v>0</v>
      </c>
      <c r="AF22" s="7">
        <v>0</v>
      </c>
      <c r="AG22" s="7">
        <v>796.32628535714457</v>
      </c>
      <c r="AH22" s="7">
        <v>563.90732211588295</v>
      </c>
      <c r="AI22" s="7">
        <v>22.298386055139719</v>
      </c>
      <c r="AJ22" s="7">
        <v>0</v>
      </c>
      <c r="AK22" s="7">
        <v>0</v>
      </c>
      <c r="AL22" s="7">
        <v>224.55158133554491</v>
      </c>
      <c r="AM22" s="7">
        <v>810.75728950656764</v>
      </c>
      <c r="AN22" s="7">
        <v>0</v>
      </c>
      <c r="AO22" s="7">
        <v>0</v>
      </c>
      <c r="AP22" s="7">
        <v>0</v>
      </c>
      <c r="AQ22" s="7">
        <v>0</v>
      </c>
      <c r="AR22" s="7">
        <v>0</v>
      </c>
      <c r="AS22" s="7">
        <v>810.75728950656764</v>
      </c>
      <c r="AT22" s="7">
        <v>-189.91147665146659</v>
      </c>
      <c r="AU22" s="7">
        <v>-191.71732211588301</v>
      </c>
    </row>
    <row r="23" spans="1:47" x14ac:dyDescent="0.35">
      <c r="A23" s="5">
        <v>46022</v>
      </c>
      <c r="B23" s="4" t="s">
        <v>92</v>
      </c>
      <c r="C23" s="4" t="s">
        <v>93</v>
      </c>
      <c r="D23" s="4" t="s">
        <v>90</v>
      </c>
      <c r="E23" s="4" t="s">
        <v>91</v>
      </c>
      <c r="F23" s="6">
        <v>1.94926</v>
      </c>
      <c r="G23" s="6">
        <v>0.92</v>
      </c>
      <c r="H23" s="7">
        <v>32.499992774659241</v>
      </c>
      <c r="I23" s="7">
        <v>26.02631143488</v>
      </c>
      <c r="J23" s="7">
        <v>1.670347738330241</v>
      </c>
      <c r="K23" s="7">
        <v>44.937021856999991</v>
      </c>
      <c r="L23" s="7">
        <v>105.1336738048695</v>
      </c>
      <c r="M23" s="7">
        <v>79.8174412250778</v>
      </c>
      <c r="N23" s="7">
        <v>66.314766083523693</v>
      </c>
      <c r="O23" s="7">
        <v>95.035600823153985</v>
      </c>
      <c r="P23" s="7">
        <v>245.6644500853337</v>
      </c>
      <c r="Q23" s="7">
        <v>486.83225821708919</v>
      </c>
      <c r="R23" s="7">
        <v>0</v>
      </c>
      <c r="S23" s="7">
        <v>0</v>
      </c>
      <c r="T23" s="7">
        <v>0</v>
      </c>
      <c r="U23" s="7">
        <v>0</v>
      </c>
      <c r="V23" s="7">
        <v>0</v>
      </c>
      <c r="W23" s="7">
        <v>591.96593202195857</v>
      </c>
      <c r="X23" s="7">
        <v>55.351148292763689</v>
      </c>
      <c r="Y23" s="7">
        <v>647.31708031472226</v>
      </c>
      <c r="Z23" s="7">
        <v>0</v>
      </c>
      <c r="AA23" s="7">
        <v>1.345487458076797</v>
      </c>
      <c r="AB23" s="7">
        <v>648.66256777279909</v>
      </c>
      <c r="AC23" s="7">
        <v>0</v>
      </c>
      <c r="AD23" s="7">
        <v>334.96118738404448</v>
      </c>
      <c r="AE23" s="7">
        <v>0</v>
      </c>
      <c r="AF23" s="7">
        <v>0</v>
      </c>
      <c r="AG23" s="7">
        <v>983.62375515684357</v>
      </c>
      <c r="AH23" s="7">
        <v>648.66256777279909</v>
      </c>
      <c r="AI23" s="7">
        <v>26.27740492949194</v>
      </c>
      <c r="AJ23" s="7">
        <v>0</v>
      </c>
      <c r="AK23" s="7">
        <v>0</v>
      </c>
      <c r="AL23" s="7">
        <v>323.62275119109461</v>
      </c>
      <c r="AM23" s="7">
        <v>998.56272389338574</v>
      </c>
      <c r="AN23" s="7">
        <v>0</v>
      </c>
      <c r="AO23" s="7">
        <v>0</v>
      </c>
      <c r="AP23" s="7">
        <v>0</v>
      </c>
      <c r="AQ23" s="7">
        <v>0</v>
      </c>
      <c r="AR23" s="7">
        <v>0</v>
      </c>
      <c r="AS23" s="7">
        <v>998.56272389338574</v>
      </c>
      <c r="AT23" s="7">
        <v>407.00456584843698</v>
      </c>
      <c r="AU23" s="7">
        <v>405.65907839036021</v>
      </c>
    </row>
    <row r="24" spans="1:47" x14ac:dyDescent="0.35">
      <c r="A24" s="5">
        <v>46022</v>
      </c>
      <c r="B24" s="4" t="s">
        <v>92</v>
      </c>
      <c r="C24" s="4" t="s">
        <v>93</v>
      </c>
      <c r="D24" s="4" t="s">
        <v>90</v>
      </c>
      <c r="E24" s="4" t="s">
        <v>84</v>
      </c>
      <c r="F24" s="6">
        <v>2.9628800000000002</v>
      </c>
      <c r="G24" s="6">
        <v>0.95</v>
      </c>
      <c r="H24" s="7">
        <v>32.499992774659241</v>
      </c>
      <c r="I24" s="7">
        <v>26.02631143488</v>
      </c>
      <c r="J24" s="7">
        <v>1.670347738330241</v>
      </c>
      <c r="K24" s="7">
        <v>44.937021856999991</v>
      </c>
      <c r="L24" s="7">
        <v>105.1336738048695</v>
      </c>
      <c r="M24" s="7">
        <v>79.8174412250778</v>
      </c>
      <c r="N24" s="7">
        <v>66.314766083523693</v>
      </c>
      <c r="O24" s="7">
        <v>95.035600823153985</v>
      </c>
      <c r="P24" s="7">
        <v>245.6644500853337</v>
      </c>
      <c r="Q24" s="7">
        <v>486.83225821708919</v>
      </c>
      <c r="R24" s="7">
        <v>0</v>
      </c>
      <c r="S24" s="7">
        <v>0</v>
      </c>
      <c r="T24" s="7">
        <v>0</v>
      </c>
      <c r="U24" s="7">
        <v>0</v>
      </c>
      <c r="V24" s="7">
        <v>0</v>
      </c>
      <c r="W24" s="7">
        <v>591.96593202195857</v>
      </c>
      <c r="X24" s="7">
        <v>55.351148292763689</v>
      </c>
      <c r="Y24" s="7">
        <v>647.31708031472226</v>
      </c>
      <c r="Z24" s="7">
        <v>0</v>
      </c>
      <c r="AA24" s="7">
        <v>0.89821662616077236</v>
      </c>
      <c r="AB24" s="7">
        <v>648.21529694088315</v>
      </c>
      <c r="AC24" s="7">
        <v>0</v>
      </c>
      <c r="AD24" s="7">
        <v>334.96118738404448</v>
      </c>
      <c r="AE24" s="7">
        <v>0</v>
      </c>
      <c r="AF24" s="7">
        <v>0</v>
      </c>
      <c r="AG24" s="7">
        <v>983.17648432492763</v>
      </c>
      <c r="AH24" s="7">
        <v>648.21529694088315</v>
      </c>
      <c r="AI24" s="7">
        <v>26.27740492949194</v>
      </c>
      <c r="AJ24" s="7">
        <v>0</v>
      </c>
      <c r="AK24" s="7">
        <v>0</v>
      </c>
      <c r="AL24" s="7">
        <v>323.62275119109461</v>
      </c>
      <c r="AM24" s="7">
        <v>998.11545306146957</v>
      </c>
      <c r="AN24" s="7">
        <v>0</v>
      </c>
      <c r="AO24" s="7">
        <v>0</v>
      </c>
      <c r="AP24" s="7">
        <v>0</v>
      </c>
      <c r="AQ24" s="7">
        <v>0</v>
      </c>
      <c r="AR24" s="7">
        <v>0</v>
      </c>
      <c r="AS24" s="7">
        <v>998.11545306146957</v>
      </c>
      <c r="AT24" s="7">
        <v>240.93260411394161</v>
      </c>
      <c r="AU24" s="7">
        <v>240.03438748778089</v>
      </c>
    </row>
    <row r="25" spans="1:47" x14ac:dyDescent="0.35">
      <c r="A25" s="5">
        <v>46022</v>
      </c>
      <c r="B25" s="4" t="s">
        <v>92</v>
      </c>
      <c r="C25" s="4" t="s">
        <v>93</v>
      </c>
      <c r="D25" s="4" t="s">
        <v>90</v>
      </c>
      <c r="E25" s="4" t="s">
        <v>86</v>
      </c>
      <c r="F25" s="6">
        <v>2.1052</v>
      </c>
      <c r="G25" s="6">
        <v>0.91</v>
      </c>
      <c r="H25" s="7">
        <v>32.499992774659241</v>
      </c>
      <c r="I25" s="7">
        <v>26.02631143488</v>
      </c>
      <c r="J25" s="7">
        <v>1.670347738330241</v>
      </c>
      <c r="K25" s="7">
        <v>44.937021856999991</v>
      </c>
      <c r="L25" s="7">
        <v>105.1336738048695</v>
      </c>
      <c r="M25" s="7">
        <v>79.8174412250778</v>
      </c>
      <c r="N25" s="7">
        <v>66.314766083523693</v>
      </c>
      <c r="O25" s="7">
        <v>95.035600823153985</v>
      </c>
      <c r="P25" s="7">
        <v>245.6644500853337</v>
      </c>
      <c r="Q25" s="7">
        <v>486.83225821708919</v>
      </c>
      <c r="R25" s="7">
        <v>0</v>
      </c>
      <c r="S25" s="7">
        <v>0</v>
      </c>
      <c r="T25" s="7">
        <v>0</v>
      </c>
      <c r="U25" s="7">
        <v>0</v>
      </c>
      <c r="V25" s="7">
        <v>0</v>
      </c>
      <c r="W25" s="7">
        <v>591.96593202195857</v>
      </c>
      <c r="X25" s="7">
        <v>55.351148292763689</v>
      </c>
      <c r="Y25" s="7">
        <v>647.31708031472226</v>
      </c>
      <c r="Z25" s="7">
        <v>0</v>
      </c>
      <c r="AA25" s="7">
        <v>0.59225469736021896</v>
      </c>
      <c r="AB25" s="7">
        <v>647.90933501208247</v>
      </c>
      <c r="AC25" s="7">
        <v>0</v>
      </c>
      <c r="AD25" s="7">
        <v>334.96118738404448</v>
      </c>
      <c r="AE25" s="7">
        <v>0</v>
      </c>
      <c r="AF25" s="7">
        <v>0</v>
      </c>
      <c r="AG25" s="7">
        <v>982.87052239612706</v>
      </c>
      <c r="AH25" s="7">
        <v>647.90933501208247</v>
      </c>
      <c r="AI25" s="7">
        <v>26.27740492949194</v>
      </c>
      <c r="AJ25" s="7">
        <v>0</v>
      </c>
      <c r="AK25" s="7">
        <v>0</v>
      </c>
      <c r="AL25" s="7">
        <v>323.62275119109461</v>
      </c>
      <c r="AM25" s="7">
        <v>997.80949113266911</v>
      </c>
      <c r="AN25" s="7">
        <v>0</v>
      </c>
      <c r="AO25" s="7">
        <v>0</v>
      </c>
      <c r="AP25" s="7">
        <v>0</v>
      </c>
      <c r="AQ25" s="7">
        <v>0</v>
      </c>
      <c r="AR25" s="7">
        <v>0</v>
      </c>
      <c r="AS25" s="7">
        <v>997.80949113266911</v>
      </c>
      <c r="AT25" s="7">
        <v>-246.91645329591171</v>
      </c>
      <c r="AU25" s="7">
        <v>-247.508707993272</v>
      </c>
    </row>
    <row r="26" spans="1:47" x14ac:dyDescent="0.35">
      <c r="A26" s="5">
        <v>46022</v>
      </c>
      <c r="B26" s="4" t="s">
        <v>92</v>
      </c>
      <c r="C26" s="4" t="s">
        <v>93</v>
      </c>
      <c r="D26" s="4" t="s">
        <v>90</v>
      </c>
      <c r="E26" s="4" t="s">
        <v>85</v>
      </c>
      <c r="F26" s="6">
        <v>0.77969999999999995</v>
      </c>
      <c r="G26" s="6">
        <v>0.85</v>
      </c>
      <c r="H26" s="7">
        <v>32.499992774659241</v>
      </c>
      <c r="I26" s="7">
        <v>26.02631143488</v>
      </c>
      <c r="J26" s="7">
        <v>1.670347738330241</v>
      </c>
      <c r="K26" s="7">
        <v>44.937021856999991</v>
      </c>
      <c r="L26" s="7">
        <v>105.1336738048695</v>
      </c>
      <c r="M26" s="7">
        <v>79.8174412250778</v>
      </c>
      <c r="N26" s="7">
        <v>66.314766083523693</v>
      </c>
      <c r="O26" s="7">
        <v>95.035600823153985</v>
      </c>
      <c r="P26" s="7">
        <v>245.6644500853337</v>
      </c>
      <c r="Q26" s="7">
        <v>486.83225821708919</v>
      </c>
      <c r="R26" s="7">
        <v>0</v>
      </c>
      <c r="S26" s="7">
        <v>0</v>
      </c>
      <c r="T26" s="7">
        <v>0</v>
      </c>
      <c r="U26" s="7">
        <v>0</v>
      </c>
      <c r="V26" s="7">
        <v>0</v>
      </c>
      <c r="W26" s="7">
        <v>591.96593202195857</v>
      </c>
      <c r="X26" s="7">
        <v>55.351148292763689</v>
      </c>
      <c r="Y26" s="7">
        <v>647.31708031472226</v>
      </c>
      <c r="Z26" s="7">
        <v>0</v>
      </c>
      <c r="AA26" s="7">
        <v>0.54501927332107014</v>
      </c>
      <c r="AB26" s="7">
        <v>647.86209958804341</v>
      </c>
      <c r="AC26" s="7">
        <v>0</v>
      </c>
      <c r="AD26" s="7">
        <v>334.96118738404448</v>
      </c>
      <c r="AE26" s="7">
        <v>0</v>
      </c>
      <c r="AF26" s="7">
        <v>0</v>
      </c>
      <c r="AG26" s="7">
        <v>982.82328697208789</v>
      </c>
      <c r="AH26" s="7">
        <v>647.86209958804341</v>
      </c>
      <c r="AI26" s="7">
        <v>26.27740492949194</v>
      </c>
      <c r="AJ26" s="7">
        <v>0</v>
      </c>
      <c r="AK26" s="7">
        <v>0</v>
      </c>
      <c r="AL26" s="7">
        <v>323.62275119109461</v>
      </c>
      <c r="AM26" s="7">
        <v>997.76225570862994</v>
      </c>
      <c r="AN26" s="7">
        <v>0</v>
      </c>
      <c r="AO26" s="7">
        <v>0</v>
      </c>
      <c r="AP26" s="7">
        <v>0</v>
      </c>
      <c r="AQ26" s="7">
        <v>0</v>
      </c>
      <c r="AR26" s="7">
        <v>0</v>
      </c>
      <c r="AS26" s="7">
        <v>997.76225570862994</v>
      </c>
      <c r="AT26" s="7">
        <v>-299.66498207180842</v>
      </c>
      <c r="AU26" s="7">
        <v>-300.2100013451294</v>
      </c>
    </row>
    <row r="27" spans="1:47" x14ac:dyDescent="0.35">
      <c r="A27" s="5">
        <v>46022</v>
      </c>
      <c r="B27" s="4" t="s">
        <v>57</v>
      </c>
      <c r="C27" s="4" t="s">
        <v>58</v>
      </c>
      <c r="D27" s="4" t="s">
        <v>59</v>
      </c>
      <c r="E27" s="4" t="s">
        <v>86</v>
      </c>
      <c r="F27" s="6">
        <v>2.6666400000000001</v>
      </c>
      <c r="G27" s="6">
        <v>0.85</v>
      </c>
      <c r="H27" s="7">
        <v>299.51320395140482</v>
      </c>
      <c r="I27" s="7">
        <v>48.408631</v>
      </c>
      <c r="J27" s="7">
        <v>147.385461743538</v>
      </c>
      <c r="K27" s="7">
        <v>112.9604505990843</v>
      </c>
      <c r="L27" s="7">
        <v>608.26774729402712</v>
      </c>
      <c r="M27" s="7">
        <v>211.688546218564</v>
      </c>
      <c r="N27" s="7">
        <v>20.465658650010411</v>
      </c>
      <c r="O27" s="7">
        <v>16.944663898064519</v>
      </c>
      <c r="P27" s="7">
        <v>137.63389719246621</v>
      </c>
      <c r="Q27" s="7">
        <v>386.73276595910511</v>
      </c>
      <c r="R27" s="7">
        <v>0</v>
      </c>
      <c r="S27" s="7">
        <v>0</v>
      </c>
      <c r="T27" s="7">
        <v>0</v>
      </c>
      <c r="U27" s="7">
        <v>0</v>
      </c>
      <c r="V27" s="7">
        <v>0</v>
      </c>
      <c r="W27" s="7">
        <v>995.00051325313223</v>
      </c>
      <c r="X27" s="7">
        <v>12.764329836711759</v>
      </c>
      <c r="Y27" s="7">
        <v>1007.764843089844</v>
      </c>
      <c r="Z27" s="7">
        <v>0</v>
      </c>
      <c r="AA27" s="7">
        <v>1.02706558295631</v>
      </c>
      <c r="AB27" s="7">
        <v>1008.7919086728</v>
      </c>
      <c r="AC27" s="7">
        <v>28.35488436780437</v>
      </c>
      <c r="AD27" s="7">
        <v>200.98656725063481</v>
      </c>
      <c r="AE27" s="7">
        <v>0</v>
      </c>
      <c r="AF27" s="7">
        <v>0</v>
      </c>
      <c r="AG27" s="7">
        <v>1238.1333602912389</v>
      </c>
      <c r="AH27" s="7">
        <v>1008.7919086728</v>
      </c>
      <c r="AI27" s="7">
        <v>149.6445730741311</v>
      </c>
      <c r="AJ27" s="7">
        <v>28.35488436780437</v>
      </c>
      <c r="AK27" s="7">
        <v>0</v>
      </c>
      <c r="AL27" s="7">
        <v>165.88879343288241</v>
      </c>
      <c r="AM27" s="7">
        <v>1352.6801595476179</v>
      </c>
      <c r="AN27" s="7">
        <v>0</v>
      </c>
      <c r="AO27" s="7">
        <v>0</v>
      </c>
      <c r="AP27" s="7">
        <v>0</v>
      </c>
      <c r="AQ27" s="7">
        <v>0</v>
      </c>
      <c r="AR27" s="7">
        <v>0</v>
      </c>
      <c r="AS27" s="7">
        <v>1352.6801595476179</v>
      </c>
      <c r="AT27" s="7">
        <v>-633.76418308324389</v>
      </c>
      <c r="AU27" s="7">
        <v>-634.7912486662002</v>
      </c>
    </row>
    <row r="28" spans="1:47" x14ac:dyDescent="0.35">
      <c r="A28" s="5">
        <v>46022</v>
      </c>
      <c r="B28" s="4" t="s">
        <v>57</v>
      </c>
      <c r="C28" s="4" t="s">
        <v>58</v>
      </c>
      <c r="D28" s="4" t="s">
        <v>59</v>
      </c>
      <c r="E28" s="4" t="s">
        <v>85</v>
      </c>
      <c r="F28" s="6">
        <v>5.1970900000000002</v>
      </c>
      <c r="G28" s="6">
        <v>0.94099999999999995</v>
      </c>
      <c r="H28" s="7">
        <v>299.51320395140482</v>
      </c>
      <c r="I28" s="7">
        <v>48.408631</v>
      </c>
      <c r="J28" s="7">
        <v>147.385461743538</v>
      </c>
      <c r="K28" s="7">
        <v>112.9604505990843</v>
      </c>
      <c r="L28" s="7">
        <v>608.26774729402712</v>
      </c>
      <c r="M28" s="7">
        <v>211.688546218564</v>
      </c>
      <c r="N28" s="7">
        <v>20.465658650010411</v>
      </c>
      <c r="O28" s="7">
        <v>16.944663898064519</v>
      </c>
      <c r="P28" s="7">
        <v>137.63389719246621</v>
      </c>
      <c r="Q28" s="7">
        <v>386.73276595910511</v>
      </c>
      <c r="R28" s="7">
        <v>0</v>
      </c>
      <c r="S28" s="7">
        <v>0</v>
      </c>
      <c r="T28" s="7">
        <v>0</v>
      </c>
      <c r="U28" s="7">
        <v>0</v>
      </c>
      <c r="V28" s="7">
        <v>0</v>
      </c>
      <c r="W28" s="7">
        <v>995.00051325313223</v>
      </c>
      <c r="X28" s="7">
        <v>12.764329836711759</v>
      </c>
      <c r="Y28" s="7">
        <v>1007.764843089844</v>
      </c>
      <c r="Z28" s="7">
        <v>0</v>
      </c>
      <c r="AA28" s="7">
        <v>0.4949439621512936</v>
      </c>
      <c r="AB28" s="7">
        <v>1008.259787051995</v>
      </c>
      <c r="AC28" s="7">
        <v>28.35488436780437</v>
      </c>
      <c r="AD28" s="7">
        <v>200.98656725063481</v>
      </c>
      <c r="AE28" s="7">
        <v>0</v>
      </c>
      <c r="AF28" s="7">
        <v>0</v>
      </c>
      <c r="AG28" s="7">
        <v>1237.601238670434</v>
      </c>
      <c r="AH28" s="7">
        <v>1008.259787051995</v>
      </c>
      <c r="AI28" s="7">
        <v>149.6445730741311</v>
      </c>
      <c r="AJ28" s="7">
        <v>28.35488436780437</v>
      </c>
      <c r="AK28" s="7">
        <v>0</v>
      </c>
      <c r="AL28" s="7">
        <v>165.88879343288241</v>
      </c>
      <c r="AM28" s="7">
        <v>1352.148037926813</v>
      </c>
      <c r="AN28" s="7">
        <v>0</v>
      </c>
      <c r="AO28" s="7">
        <v>0</v>
      </c>
      <c r="AP28" s="7">
        <v>0</v>
      </c>
      <c r="AQ28" s="7">
        <v>0</v>
      </c>
      <c r="AR28" s="7">
        <v>0</v>
      </c>
      <c r="AS28" s="7">
        <v>1352.148037926813</v>
      </c>
      <c r="AT28" s="7">
        <v>-622.98317334773833</v>
      </c>
      <c r="AU28" s="7">
        <v>-623.47811730988963</v>
      </c>
    </row>
    <row r="29" spans="1:47" x14ac:dyDescent="0.35">
      <c r="A29" s="5">
        <v>46022</v>
      </c>
      <c r="B29" s="4" t="s">
        <v>60</v>
      </c>
      <c r="C29" s="4" t="s">
        <v>61</v>
      </c>
      <c r="D29" s="4" t="s">
        <v>62</v>
      </c>
      <c r="E29" s="4" t="s">
        <v>84</v>
      </c>
      <c r="F29" s="6">
        <v>1.20417</v>
      </c>
      <c r="G29" s="6">
        <v>0.96</v>
      </c>
      <c r="H29" s="7">
        <v>11.91987995151476</v>
      </c>
      <c r="I29" s="7">
        <v>19.807220999999998</v>
      </c>
      <c r="J29" s="7">
        <v>69.672342096817204</v>
      </c>
      <c r="K29" s="7">
        <v>118.4138942549466</v>
      </c>
      <c r="L29" s="7">
        <v>219.81333730327859</v>
      </c>
      <c r="M29" s="7">
        <v>55.319760338846571</v>
      </c>
      <c r="N29" s="7">
        <v>21.801621227373811</v>
      </c>
      <c r="O29" s="7">
        <v>29.130426656918651</v>
      </c>
      <c r="P29" s="7">
        <v>594.52590108905497</v>
      </c>
      <c r="Q29" s="7">
        <v>700.77770931219402</v>
      </c>
      <c r="R29" s="7">
        <v>0</v>
      </c>
      <c r="S29" s="7">
        <v>0</v>
      </c>
      <c r="T29" s="7">
        <v>0</v>
      </c>
      <c r="U29" s="7">
        <v>0</v>
      </c>
      <c r="V29" s="7">
        <v>0</v>
      </c>
      <c r="W29" s="7">
        <v>920.59104661547258</v>
      </c>
      <c r="X29" s="7">
        <v>12.47993213717556</v>
      </c>
      <c r="Y29" s="7">
        <v>933.0709787526481</v>
      </c>
      <c r="Z29" s="7">
        <v>0</v>
      </c>
      <c r="AA29" s="7">
        <v>6.3270785728202403</v>
      </c>
      <c r="AB29" s="7">
        <v>939.39805732546836</v>
      </c>
      <c r="AC29" s="7">
        <v>20.761252882485191</v>
      </c>
      <c r="AD29" s="7">
        <v>12.91584028168184</v>
      </c>
      <c r="AE29" s="7">
        <v>0</v>
      </c>
      <c r="AF29" s="7">
        <v>0</v>
      </c>
      <c r="AG29" s="7">
        <v>973.07515048963535</v>
      </c>
      <c r="AH29" s="7">
        <v>939.39805732546836</v>
      </c>
      <c r="AI29" s="7">
        <v>4.6029555259085484</v>
      </c>
      <c r="AJ29" s="7">
        <v>20.761252882485191</v>
      </c>
      <c r="AK29" s="7">
        <v>0</v>
      </c>
      <c r="AL29" s="7">
        <v>4.6029555259085484</v>
      </c>
      <c r="AM29" s="7">
        <v>969.36522125977058</v>
      </c>
      <c r="AN29" s="7">
        <v>0</v>
      </c>
      <c r="AO29" s="7">
        <v>0</v>
      </c>
      <c r="AP29" s="7">
        <v>0</v>
      </c>
      <c r="AQ29" s="7">
        <v>0</v>
      </c>
      <c r="AR29" s="7">
        <v>0</v>
      </c>
      <c r="AS29" s="7">
        <v>969.36522125977058</v>
      </c>
      <c r="AT29" s="7">
        <v>-35.473463451652378</v>
      </c>
      <c r="AU29" s="7">
        <v>-41.80054202447262</v>
      </c>
    </row>
    <row r="30" spans="1:47" x14ac:dyDescent="0.35">
      <c r="A30" s="5">
        <v>46022</v>
      </c>
      <c r="B30" s="4" t="s">
        <v>60</v>
      </c>
      <c r="C30" s="4" t="s">
        <v>61</v>
      </c>
      <c r="D30" s="4" t="s">
        <v>62</v>
      </c>
      <c r="E30" s="4" t="s">
        <v>87</v>
      </c>
      <c r="F30" s="6">
        <v>1.9266700000000001</v>
      </c>
      <c r="G30" s="6">
        <v>0.96</v>
      </c>
      <c r="H30" s="7">
        <v>11.91987995151476</v>
      </c>
      <c r="I30" s="7">
        <v>19.807220999999998</v>
      </c>
      <c r="J30" s="7">
        <v>69.672342096817204</v>
      </c>
      <c r="K30" s="7">
        <v>118.4138942549466</v>
      </c>
      <c r="L30" s="7">
        <v>219.81333730327859</v>
      </c>
      <c r="M30" s="7">
        <v>55.319760338846571</v>
      </c>
      <c r="N30" s="7">
        <v>21.801621227373811</v>
      </c>
      <c r="O30" s="7">
        <v>29.130426656918651</v>
      </c>
      <c r="P30" s="7">
        <v>594.52590108905497</v>
      </c>
      <c r="Q30" s="7">
        <v>700.77770931219402</v>
      </c>
      <c r="R30" s="7">
        <v>0</v>
      </c>
      <c r="S30" s="7">
        <v>0</v>
      </c>
      <c r="T30" s="7">
        <v>0</v>
      </c>
      <c r="U30" s="7">
        <v>0</v>
      </c>
      <c r="V30" s="7">
        <v>0</v>
      </c>
      <c r="W30" s="7">
        <v>920.59104661547258</v>
      </c>
      <c r="X30" s="7">
        <v>12.47993213717556</v>
      </c>
      <c r="Y30" s="7">
        <v>933.0709787526481</v>
      </c>
      <c r="Z30" s="7">
        <v>0</v>
      </c>
      <c r="AA30" s="7">
        <v>5.8024715669330771</v>
      </c>
      <c r="AB30" s="7">
        <v>938.87345031958125</v>
      </c>
      <c r="AC30" s="7">
        <v>20.761252882485191</v>
      </c>
      <c r="AD30" s="7">
        <v>12.91584028168184</v>
      </c>
      <c r="AE30" s="7">
        <v>0</v>
      </c>
      <c r="AF30" s="7">
        <v>0</v>
      </c>
      <c r="AG30" s="7">
        <v>972.55054348374824</v>
      </c>
      <c r="AH30" s="7">
        <v>938.87345031958125</v>
      </c>
      <c r="AI30" s="7">
        <v>4.6029555259085484</v>
      </c>
      <c r="AJ30" s="7">
        <v>20.761252882485191</v>
      </c>
      <c r="AK30" s="7">
        <v>0</v>
      </c>
      <c r="AL30" s="7">
        <v>4.6029555259085484</v>
      </c>
      <c r="AM30" s="7">
        <v>968.84061425388347</v>
      </c>
      <c r="AN30" s="7">
        <v>0</v>
      </c>
      <c r="AO30" s="7">
        <v>0</v>
      </c>
      <c r="AP30" s="7">
        <v>0</v>
      </c>
      <c r="AQ30" s="7">
        <v>0</v>
      </c>
      <c r="AR30" s="7">
        <v>0</v>
      </c>
      <c r="AS30" s="7">
        <v>968.84061425388347</v>
      </c>
      <c r="AT30" s="7">
        <v>-358.99197196892288</v>
      </c>
      <c r="AU30" s="7">
        <v>-364.79444353585592</v>
      </c>
    </row>
    <row r="31" spans="1:47" x14ac:dyDescent="0.35">
      <c r="A31" s="5">
        <v>46022</v>
      </c>
      <c r="B31" s="4" t="s">
        <v>60</v>
      </c>
      <c r="C31" s="4" t="s">
        <v>61</v>
      </c>
      <c r="D31" s="4" t="s">
        <v>62</v>
      </c>
      <c r="E31" s="4" t="s">
        <v>86</v>
      </c>
      <c r="F31" s="6">
        <v>1.6858299999999999</v>
      </c>
      <c r="G31" s="6">
        <v>0.96</v>
      </c>
      <c r="H31" s="7">
        <v>11.91987995151476</v>
      </c>
      <c r="I31" s="7">
        <v>19.807220999999998</v>
      </c>
      <c r="J31" s="7">
        <v>69.672342096817204</v>
      </c>
      <c r="K31" s="7">
        <v>118.4138942549466</v>
      </c>
      <c r="L31" s="7">
        <v>219.81333730327859</v>
      </c>
      <c r="M31" s="7">
        <v>55.319760338846571</v>
      </c>
      <c r="N31" s="7">
        <v>21.801621227373811</v>
      </c>
      <c r="O31" s="7">
        <v>29.130426656918651</v>
      </c>
      <c r="P31" s="7">
        <v>594.52590108905497</v>
      </c>
      <c r="Q31" s="7">
        <v>700.77770931219402</v>
      </c>
      <c r="R31" s="7">
        <v>0</v>
      </c>
      <c r="S31" s="7">
        <v>0</v>
      </c>
      <c r="T31" s="7">
        <v>0</v>
      </c>
      <c r="U31" s="7">
        <v>0</v>
      </c>
      <c r="V31" s="7">
        <v>0</v>
      </c>
      <c r="W31" s="7">
        <v>920.59104661547258</v>
      </c>
      <c r="X31" s="7">
        <v>12.47993213717556</v>
      </c>
      <c r="Y31" s="7">
        <v>933.0709787526481</v>
      </c>
      <c r="Z31" s="7">
        <v>0</v>
      </c>
      <c r="AA31" s="7">
        <v>4.4406129522400404</v>
      </c>
      <c r="AB31" s="7">
        <v>937.51159170488825</v>
      </c>
      <c r="AC31" s="7">
        <v>20.761252882485191</v>
      </c>
      <c r="AD31" s="7">
        <v>12.91584028168184</v>
      </c>
      <c r="AE31" s="7">
        <v>0</v>
      </c>
      <c r="AF31" s="7">
        <v>0</v>
      </c>
      <c r="AG31" s="7">
        <v>971.18868486905524</v>
      </c>
      <c r="AH31" s="7">
        <v>937.51159170488825</v>
      </c>
      <c r="AI31" s="7">
        <v>4.6029555259085484</v>
      </c>
      <c r="AJ31" s="7">
        <v>20.761252882485191</v>
      </c>
      <c r="AK31" s="7">
        <v>0</v>
      </c>
      <c r="AL31" s="7">
        <v>4.6029555259085484</v>
      </c>
      <c r="AM31" s="7">
        <v>967.47875563919035</v>
      </c>
      <c r="AN31" s="7">
        <v>0</v>
      </c>
      <c r="AO31" s="7">
        <v>0</v>
      </c>
      <c r="AP31" s="7">
        <v>0</v>
      </c>
      <c r="AQ31" s="7">
        <v>0</v>
      </c>
      <c r="AR31" s="7">
        <v>0</v>
      </c>
      <c r="AS31" s="7">
        <v>967.47875563919035</v>
      </c>
      <c r="AT31" s="7">
        <v>-510.67014355574207</v>
      </c>
      <c r="AU31" s="7">
        <v>-515.11075650798216</v>
      </c>
    </row>
    <row r="32" spans="1:47" x14ac:dyDescent="0.35">
      <c r="A32" s="5">
        <v>46022</v>
      </c>
      <c r="B32" s="4" t="s">
        <v>63</v>
      </c>
      <c r="C32" s="4" t="s">
        <v>64</v>
      </c>
      <c r="D32" s="4" t="s">
        <v>47</v>
      </c>
      <c r="E32" s="4" t="s">
        <v>86</v>
      </c>
      <c r="F32" s="6">
        <v>189.47368</v>
      </c>
      <c r="G32" s="6">
        <v>0.95</v>
      </c>
      <c r="H32" s="7">
        <v>19.749687374508429</v>
      </c>
      <c r="I32" s="7">
        <v>23.673822000000001</v>
      </c>
      <c r="J32" s="7">
        <v>4.0658792438202243</v>
      </c>
      <c r="K32" s="7">
        <v>41.048726271910112</v>
      </c>
      <c r="L32" s="7">
        <v>88.538114890238759</v>
      </c>
      <c r="M32" s="7">
        <v>22.483146383988771</v>
      </c>
      <c r="N32" s="7">
        <v>9.2359558127808992</v>
      </c>
      <c r="O32" s="7">
        <v>43.820224265870792</v>
      </c>
      <c r="P32" s="7">
        <v>38.352731368047749</v>
      </c>
      <c r="Q32" s="7">
        <v>113.8920578306882</v>
      </c>
      <c r="R32" s="7">
        <v>0</v>
      </c>
      <c r="S32" s="7">
        <v>0</v>
      </c>
      <c r="T32" s="7">
        <v>0</v>
      </c>
      <c r="U32" s="7">
        <v>0</v>
      </c>
      <c r="V32" s="7">
        <v>0</v>
      </c>
      <c r="W32" s="7">
        <v>202.430172720927</v>
      </c>
      <c r="X32" s="7">
        <v>0</v>
      </c>
      <c r="Y32" s="7">
        <v>202.430172720927</v>
      </c>
      <c r="Z32" s="7">
        <v>0</v>
      </c>
      <c r="AA32" s="7">
        <v>23.28531341223448</v>
      </c>
      <c r="AB32" s="7">
        <v>225.71548613316139</v>
      </c>
      <c r="AC32" s="7">
        <v>0</v>
      </c>
      <c r="AD32" s="7">
        <v>31.5151431747191</v>
      </c>
      <c r="AE32" s="7">
        <v>0</v>
      </c>
      <c r="AF32" s="7">
        <v>0</v>
      </c>
      <c r="AG32" s="7">
        <v>257.23062930788058</v>
      </c>
      <c r="AH32" s="7">
        <v>225.71548613316139</v>
      </c>
      <c r="AI32" s="7">
        <v>60.727555577528094</v>
      </c>
      <c r="AJ32" s="7">
        <v>0</v>
      </c>
      <c r="AK32" s="7">
        <v>0</v>
      </c>
      <c r="AL32" s="7">
        <v>12.145510715589889</v>
      </c>
      <c r="AM32" s="7">
        <v>298.58855242627942</v>
      </c>
      <c r="AN32" s="7">
        <v>0</v>
      </c>
      <c r="AO32" s="7">
        <v>0</v>
      </c>
      <c r="AP32" s="7">
        <v>0</v>
      </c>
      <c r="AQ32" s="7">
        <v>0</v>
      </c>
      <c r="AR32" s="7">
        <v>0</v>
      </c>
      <c r="AS32" s="7">
        <v>298.58855242627942</v>
      </c>
      <c r="AT32" s="7">
        <v>215.56983656796211</v>
      </c>
      <c r="AU32" s="7">
        <v>192.28452315572761</v>
      </c>
    </row>
  </sheetData>
  <mergeCells count="48">
    <mergeCell ref="A1:D1"/>
    <mergeCell ref="A6:A9"/>
    <mergeCell ref="B6:B9"/>
    <mergeCell ref="C6:C9"/>
    <mergeCell ref="D6:D9"/>
    <mergeCell ref="E6:E9"/>
    <mergeCell ref="F6:F9"/>
    <mergeCell ref="G6:G9"/>
    <mergeCell ref="H6:H9"/>
    <mergeCell ref="I6:I9"/>
    <mergeCell ref="J6:J9"/>
    <mergeCell ref="K6:K9"/>
    <mergeCell ref="L6:L9"/>
    <mergeCell ref="M6:M9"/>
    <mergeCell ref="N6:N9"/>
    <mergeCell ref="O6:O9"/>
    <mergeCell ref="P6:P9"/>
    <mergeCell ref="Q6:Q9"/>
    <mergeCell ref="R6:R9"/>
    <mergeCell ref="S6:S9"/>
    <mergeCell ref="T6:T9"/>
    <mergeCell ref="U6:U9"/>
    <mergeCell ref="V6:V9"/>
    <mergeCell ref="W6:W9"/>
    <mergeCell ref="X6:X9"/>
    <mergeCell ref="Y6:Y9"/>
    <mergeCell ref="Z6:Z9"/>
    <mergeCell ref="AA6:AA9"/>
    <mergeCell ref="AB6:AB9"/>
    <mergeCell ref="AC6:AC9"/>
    <mergeCell ref="AD6:AD9"/>
    <mergeCell ref="AE6:AE9"/>
    <mergeCell ref="AF6:AF9"/>
    <mergeCell ref="AG6:AG9"/>
    <mergeCell ref="AH6:AH9"/>
    <mergeCell ref="AI6:AI9"/>
    <mergeCell ref="AJ6:AJ9"/>
    <mergeCell ref="AK6:AK9"/>
    <mergeCell ref="AL6:AL9"/>
    <mergeCell ref="AM6:AM9"/>
    <mergeCell ref="AS6:AS9"/>
    <mergeCell ref="AT6:AT9"/>
    <mergeCell ref="AU6:AU9"/>
    <mergeCell ref="AN6:AN9"/>
    <mergeCell ref="AO6:AO9"/>
    <mergeCell ref="AP6:AP9"/>
    <mergeCell ref="AQ6:AQ9"/>
    <mergeCell ref="AR6:AR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18"/>
  <sheetViews>
    <sheetView workbookViewId="0"/>
  </sheetViews>
  <sheetFormatPr defaultRowHeight="14.5" x14ac:dyDescent="0.35"/>
  <cols>
    <col min="1" max="1" width="48.54296875" customWidth="1"/>
    <col min="2" max="2" width="24.1796875" customWidth="1"/>
    <col min="3" max="3" width="16.1796875" customWidth="1"/>
    <col min="4" max="4" width="21.7265625" customWidth="1"/>
    <col min="5" max="5" width="20.54296875" customWidth="1"/>
    <col min="6" max="6" width="22.453125" customWidth="1"/>
    <col min="7" max="7" width="21.1796875" customWidth="1"/>
    <col min="8" max="8" width="27.453125" customWidth="1"/>
    <col min="9" max="16" width="21.1796875" customWidth="1"/>
    <col min="17" max="21" width="16.1796875" customWidth="1"/>
    <col min="22" max="24" width="21.1796875" customWidth="1"/>
    <col min="25" max="25" width="16.1796875" customWidth="1"/>
    <col min="26" max="26" width="22.453125" customWidth="1"/>
    <col min="27" max="29" width="21.1796875" customWidth="1"/>
    <col min="30" max="31" width="16.1796875" customWidth="1"/>
    <col min="32" max="35" width="21.1796875" customWidth="1"/>
    <col min="36" max="36" width="16.1796875" customWidth="1"/>
    <col min="37" max="38" width="21.1796875" customWidth="1"/>
    <col min="39" max="43" width="16.1796875" customWidth="1"/>
    <col min="44" max="44" width="21.1796875" customWidth="1"/>
    <col min="45" max="46" width="22" customWidth="1"/>
  </cols>
  <sheetData>
    <row r="1" spans="1:46" ht="40" customHeight="1" x14ac:dyDescent="0.35">
      <c r="A1" s="18"/>
      <c r="B1" s="18"/>
      <c r="C1" s="18"/>
      <c r="D1" s="18"/>
    </row>
    <row r="2" spans="1:46" ht="30" customHeight="1" x14ac:dyDescent="0.45">
      <c r="A2" s="1" t="s">
        <v>95</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spans="1:46" x14ac:dyDescent="0.35">
      <c r="A3" s="3" t="s">
        <v>0</v>
      </c>
    </row>
    <row r="4" spans="1:46" x14ac:dyDescent="0.35">
      <c r="A4" s="3" t="s">
        <v>1</v>
      </c>
    </row>
    <row r="5" spans="1:46" x14ac:dyDescent="0.35">
      <c r="A5" s="4"/>
    </row>
    <row r="6" spans="1:46" x14ac:dyDescent="0.35">
      <c r="A6" s="19" t="s">
        <v>2</v>
      </c>
      <c r="B6" s="19" t="s">
        <v>3</v>
      </c>
      <c r="C6" s="19" t="s">
        <v>4</v>
      </c>
      <c r="D6" s="19" t="s">
        <v>5</v>
      </c>
      <c r="E6" s="13" t="s">
        <v>67</v>
      </c>
      <c r="F6" s="13" t="s">
        <v>68</v>
      </c>
      <c r="G6" s="13" t="s">
        <v>18</v>
      </c>
      <c r="H6" s="13" t="s">
        <v>19</v>
      </c>
      <c r="I6" s="13" t="s">
        <v>20</v>
      </c>
      <c r="J6" s="13" t="s">
        <v>21</v>
      </c>
      <c r="K6" s="13" t="s">
        <v>22</v>
      </c>
      <c r="L6" s="13" t="s">
        <v>23</v>
      </c>
      <c r="M6" s="13" t="s">
        <v>24</v>
      </c>
      <c r="N6" s="13" t="s">
        <v>25</v>
      </c>
      <c r="O6" s="13" t="s">
        <v>26</v>
      </c>
      <c r="P6" s="13" t="s">
        <v>27</v>
      </c>
      <c r="Q6" s="13" t="s">
        <v>28</v>
      </c>
      <c r="R6" s="13" t="s">
        <v>29</v>
      </c>
      <c r="S6" s="13" t="s">
        <v>30</v>
      </c>
      <c r="T6" s="13" t="s">
        <v>31</v>
      </c>
      <c r="U6" s="13" t="s">
        <v>32</v>
      </c>
      <c r="V6" s="13" t="s">
        <v>33</v>
      </c>
      <c r="W6" s="13" t="s">
        <v>34</v>
      </c>
      <c r="X6" s="13" t="s">
        <v>35</v>
      </c>
      <c r="Y6" s="13" t="s">
        <v>36</v>
      </c>
      <c r="Z6" s="13" t="s">
        <v>37</v>
      </c>
      <c r="AA6" s="13" t="s">
        <v>38</v>
      </c>
      <c r="AB6" s="13" t="s">
        <v>69</v>
      </c>
      <c r="AC6" s="13" t="s">
        <v>70</v>
      </c>
      <c r="AD6" s="13" t="s">
        <v>71</v>
      </c>
      <c r="AE6" s="13" t="s">
        <v>72</v>
      </c>
      <c r="AF6" s="13" t="s">
        <v>73</v>
      </c>
      <c r="AG6" s="13" t="s">
        <v>38</v>
      </c>
      <c r="AH6" s="13" t="s">
        <v>74</v>
      </c>
      <c r="AI6" s="13" t="s">
        <v>69</v>
      </c>
      <c r="AJ6" s="13" t="s">
        <v>75</v>
      </c>
      <c r="AK6" s="13" t="s">
        <v>76</v>
      </c>
      <c r="AL6" s="13" t="s">
        <v>77</v>
      </c>
      <c r="AM6" s="13" t="s">
        <v>78</v>
      </c>
      <c r="AN6" s="13" t="s">
        <v>79</v>
      </c>
      <c r="AO6" s="13" t="s">
        <v>80</v>
      </c>
      <c r="AP6" s="13" t="s">
        <v>81</v>
      </c>
      <c r="AQ6" s="13" t="s">
        <v>82</v>
      </c>
      <c r="AR6" s="13" t="s">
        <v>83</v>
      </c>
      <c r="AS6" s="13" t="s">
        <v>40</v>
      </c>
      <c r="AT6" s="13" t="s">
        <v>41</v>
      </c>
    </row>
    <row r="7" spans="1:46" x14ac:dyDescent="0.35">
      <c r="A7" s="19"/>
      <c r="B7" s="19"/>
      <c r="C7" s="19"/>
      <c r="D7" s="19"/>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row>
    <row r="8" spans="1:46" x14ac:dyDescent="0.35">
      <c r="A8" s="19"/>
      <c r="B8" s="19"/>
      <c r="C8" s="19"/>
      <c r="D8" s="19"/>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row>
    <row r="9" spans="1:46" x14ac:dyDescent="0.35">
      <c r="A9" s="19"/>
      <c r="B9" s="19"/>
      <c r="C9" s="19"/>
      <c r="D9" s="19"/>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row>
    <row r="10" spans="1:46" x14ac:dyDescent="0.35">
      <c r="A10" s="5">
        <v>46022</v>
      </c>
      <c r="B10" s="4" t="s">
        <v>42</v>
      </c>
      <c r="C10" s="4" t="s">
        <v>43</v>
      </c>
      <c r="D10" s="4" t="s">
        <v>44</v>
      </c>
      <c r="E10" s="6">
        <v>57.9</v>
      </c>
      <c r="F10" s="6">
        <v>0.95</v>
      </c>
      <c r="G10" s="7">
        <v>11.967998894423809</v>
      </c>
      <c r="H10" s="7">
        <v>6.9282810685999996</v>
      </c>
      <c r="I10" s="7">
        <v>10.910496768525819</v>
      </c>
      <c r="J10" s="7">
        <v>18.64361652642997</v>
      </c>
      <c r="K10" s="7">
        <v>48.450393257979613</v>
      </c>
      <c r="L10" s="7">
        <v>46.916612170898063</v>
      </c>
      <c r="M10" s="7">
        <v>8.2799975348631243</v>
      </c>
      <c r="N10" s="7">
        <v>3.2377796021784042</v>
      </c>
      <c r="O10" s="7">
        <v>102.1754319092785</v>
      </c>
      <c r="P10" s="7">
        <v>160.6098212172181</v>
      </c>
      <c r="Q10" s="7">
        <v>0</v>
      </c>
      <c r="R10" s="7">
        <v>0</v>
      </c>
      <c r="S10" s="7">
        <v>0</v>
      </c>
      <c r="T10" s="7">
        <v>0</v>
      </c>
      <c r="U10" s="7">
        <v>0</v>
      </c>
      <c r="V10" s="7">
        <v>209.06021447519771</v>
      </c>
      <c r="W10" s="7">
        <v>287.38044852499007</v>
      </c>
      <c r="X10" s="7">
        <v>496.44066300018778</v>
      </c>
      <c r="Y10" s="7">
        <v>0</v>
      </c>
      <c r="Z10" s="7">
        <v>6.5750049522378609</v>
      </c>
      <c r="AA10" s="7">
        <v>503.01566795242559</v>
      </c>
      <c r="AB10" s="7">
        <v>0</v>
      </c>
      <c r="AC10" s="7">
        <v>220.17063900920192</v>
      </c>
      <c r="AD10" s="7">
        <v>0</v>
      </c>
      <c r="AE10" s="7">
        <v>0</v>
      </c>
      <c r="AF10" s="7">
        <v>723.18630696162757</v>
      </c>
      <c r="AG10" s="7">
        <v>503.01566795242559</v>
      </c>
      <c r="AH10" s="7">
        <v>75.046101521160793</v>
      </c>
      <c r="AI10" s="7">
        <v>0</v>
      </c>
      <c r="AJ10" s="7">
        <v>0</v>
      </c>
      <c r="AK10" s="7">
        <v>117.31995036482049</v>
      </c>
      <c r="AL10" s="7">
        <v>695.38171983840709</v>
      </c>
      <c r="AM10" s="7">
        <v>0</v>
      </c>
      <c r="AN10" s="7">
        <v>0</v>
      </c>
      <c r="AO10" s="7">
        <v>0</v>
      </c>
      <c r="AP10" s="7">
        <v>0</v>
      </c>
      <c r="AQ10" s="7">
        <v>0</v>
      </c>
      <c r="AR10" s="7">
        <v>695.38171983840709</v>
      </c>
      <c r="AS10" s="7">
        <v>-37.932663000187787</v>
      </c>
      <c r="AT10" s="7">
        <v>-44.507667952425656</v>
      </c>
    </row>
    <row r="11" spans="1:46" x14ac:dyDescent="0.35">
      <c r="A11" s="5">
        <v>46022</v>
      </c>
      <c r="B11" s="4" t="s">
        <v>45</v>
      </c>
      <c r="C11" s="4" t="s">
        <v>46</v>
      </c>
      <c r="D11" s="4" t="s">
        <v>47</v>
      </c>
      <c r="E11" s="6">
        <v>51.00215</v>
      </c>
      <c r="F11" s="6">
        <v>0.93</v>
      </c>
      <c r="G11" s="7">
        <v>16.967539624648879</v>
      </c>
      <c r="H11" s="7">
        <v>13.841543</v>
      </c>
      <c r="I11" s="7">
        <v>4.2952569096910107</v>
      </c>
      <c r="J11" s="7">
        <v>36.575065955126412</v>
      </c>
      <c r="K11" s="7">
        <v>71.679405489466305</v>
      </c>
      <c r="L11" s="7">
        <v>25.030989506179765</v>
      </c>
      <c r="M11" s="7">
        <v>12.676716780617978</v>
      </c>
      <c r="N11" s="7">
        <v>50.553571424719102</v>
      </c>
      <c r="O11" s="7">
        <v>67.363911174297755</v>
      </c>
      <c r="P11" s="7">
        <v>155.62518888581459</v>
      </c>
      <c r="Q11" s="7">
        <v>0</v>
      </c>
      <c r="R11" s="7">
        <v>0</v>
      </c>
      <c r="S11" s="7">
        <v>0</v>
      </c>
      <c r="T11" s="7">
        <v>0</v>
      </c>
      <c r="U11" s="7">
        <v>0</v>
      </c>
      <c r="V11" s="7">
        <v>227.30459437528091</v>
      </c>
      <c r="W11" s="7">
        <v>0</v>
      </c>
      <c r="X11" s="7">
        <v>227.30459437528091</v>
      </c>
      <c r="Y11" s="7">
        <v>0</v>
      </c>
      <c r="Z11" s="7">
        <v>5.9818537666914038</v>
      </c>
      <c r="AA11" s="7">
        <v>233.2864481419723</v>
      </c>
      <c r="AB11" s="7">
        <v>0</v>
      </c>
      <c r="AC11" s="7">
        <v>25.843656262219096</v>
      </c>
      <c r="AD11" s="7">
        <v>0</v>
      </c>
      <c r="AE11" s="7">
        <v>0</v>
      </c>
      <c r="AF11" s="7">
        <v>259.1301044041914</v>
      </c>
      <c r="AG11" s="7">
        <v>233.2864481419723</v>
      </c>
      <c r="AH11" s="7">
        <v>68.610099579283698</v>
      </c>
      <c r="AI11" s="7">
        <v>0</v>
      </c>
      <c r="AJ11" s="7">
        <v>0</v>
      </c>
      <c r="AK11" s="7">
        <v>9.8014426542134832</v>
      </c>
      <c r="AL11" s="7">
        <v>311.69799037546949</v>
      </c>
      <c r="AM11" s="7">
        <v>0</v>
      </c>
      <c r="AN11" s="7">
        <v>0</v>
      </c>
      <c r="AO11" s="7">
        <v>0</v>
      </c>
      <c r="AP11" s="7">
        <v>0</v>
      </c>
      <c r="AQ11" s="7">
        <v>0</v>
      </c>
      <c r="AR11" s="7">
        <v>311.69799037546949</v>
      </c>
      <c r="AS11" s="7">
        <v>181.8954099382627</v>
      </c>
      <c r="AT11" s="7">
        <v>175.91355617157129</v>
      </c>
    </row>
    <row r="12" spans="1:46" x14ac:dyDescent="0.35">
      <c r="A12" s="5">
        <v>46022</v>
      </c>
      <c r="B12" s="4" t="s">
        <v>51</v>
      </c>
      <c r="C12" s="4" t="s">
        <v>52</v>
      </c>
      <c r="D12" s="4" t="s">
        <v>53</v>
      </c>
      <c r="E12" s="6">
        <v>0.51885000000000003</v>
      </c>
      <c r="F12" s="6">
        <v>0.92</v>
      </c>
      <c r="G12" s="7">
        <v>411.86461196507668</v>
      </c>
      <c r="H12" s="7">
        <v>22.376449999999998</v>
      </c>
      <c r="I12" s="7">
        <v>119.49723260317968</v>
      </c>
      <c r="J12" s="7">
        <v>157.54582800889219</v>
      </c>
      <c r="K12" s="7">
        <v>711.28412257714865</v>
      </c>
      <c r="L12" s="7">
        <v>202.61485260763078</v>
      </c>
      <c r="M12" s="7">
        <v>1.6443660093055998</v>
      </c>
      <c r="N12" s="7">
        <v>9.1311317801506302</v>
      </c>
      <c r="O12" s="7">
        <v>89.298074015401269</v>
      </c>
      <c r="P12" s="7">
        <v>302.6884244124883</v>
      </c>
      <c r="Q12" s="7">
        <v>0</v>
      </c>
      <c r="R12" s="7">
        <v>0</v>
      </c>
      <c r="S12" s="7">
        <v>0</v>
      </c>
      <c r="T12" s="7">
        <v>0</v>
      </c>
      <c r="U12" s="7">
        <v>0</v>
      </c>
      <c r="V12" s="7">
        <v>1013.972546989637</v>
      </c>
      <c r="W12" s="7">
        <v>15.057200061966331</v>
      </c>
      <c r="X12" s="7">
        <v>1029.029747051603</v>
      </c>
      <c r="Y12" s="7">
        <v>0</v>
      </c>
      <c r="Z12" s="7">
        <v>0.41015242098942123</v>
      </c>
      <c r="AA12" s="7">
        <v>1029.4398994725925</v>
      </c>
      <c r="AB12" s="7">
        <v>0</v>
      </c>
      <c r="AC12" s="7">
        <v>50.549922891720023</v>
      </c>
      <c r="AD12" s="7">
        <v>0</v>
      </c>
      <c r="AE12" s="7">
        <v>0</v>
      </c>
      <c r="AF12" s="7">
        <v>1079.9898223643124</v>
      </c>
      <c r="AG12" s="7">
        <v>1029.4398994725925</v>
      </c>
      <c r="AH12" s="7">
        <v>42.285835464354811</v>
      </c>
      <c r="AI12" s="7">
        <v>0</v>
      </c>
      <c r="AJ12" s="7">
        <v>0</v>
      </c>
      <c r="AK12" s="7">
        <v>50.549922891720023</v>
      </c>
      <c r="AL12" s="7">
        <v>1122.2756578286676</v>
      </c>
      <c r="AM12" s="7">
        <v>0</v>
      </c>
      <c r="AN12" s="7">
        <v>0</v>
      </c>
      <c r="AO12" s="7">
        <v>0</v>
      </c>
      <c r="AP12" s="7">
        <v>0</v>
      </c>
      <c r="AQ12" s="7">
        <v>0</v>
      </c>
      <c r="AR12" s="7">
        <v>1122.2756578286676</v>
      </c>
      <c r="AS12" s="7">
        <v>-416.86431195475444</v>
      </c>
      <c r="AT12" s="7">
        <v>-417.27446437574389</v>
      </c>
    </row>
    <row r="13" spans="1:46" x14ac:dyDescent="0.35">
      <c r="A13" s="5">
        <v>46022</v>
      </c>
      <c r="B13" s="4" t="s">
        <v>54</v>
      </c>
      <c r="C13" s="4" t="s">
        <v>55</v>
      </c>
      <c r="D13" s="4" t="s">
        <v>56</v>
      </c>
      <c r="E13" s="6">
        <v>7.82</v>
      </c>
      <c r="F13" s="6">
        <v>0.81200000000000006</v>
      </c>
      <c r="G13" s="7">
        <v>207.37043999999997</v>
      </c>
      <c r="H13" s="7">
        <v>168.98089300000001</v>
      </c>
      <c r="I13" s="7">
        <v>9.0398899999999998</v>
      </c>
      <c r="J13" s="7">
        <v>224.779549</v>
      </c>
      <c r="K13" s="7">
        <v>610.17077199999994</v>
      </c>
      <c r="L13" s="7">
        <v>239.67715500000003</v>
      </c>
      <c r="M13" s="7">
        <v>50.554082000000008</v>
      </c>
      <c r="N13" s="7">
        <v>19.358142999999995</v>
      </c>
      <c r="O13" s="7">
        <v>138.38033499999997</v>
      </c>
      <c r="P13" s="7">
        <v>447.96971500000001</v>
      </c>
      <c r="Q13" s="7">
        <v>0</v>
      </c>
      <c r="R13" s="7">
        <v>0</v>
      </c>
      <c r="S13" s="7">
        <v>0</v>
      </c>
      <c r="T13" s="7">
        <v>0</v>
      </c>
      <c r="U13" s="7">
        <v>0</v>
      </c>
      <c r="V13" s="7">
        <v>1058.1404869999997</v>
      </c>
      <c r="W13" s="7">
        <v>49.162410000000008</v>
      </c>
      <c r="X13" s="7">
        <v>1107.3028969999998</v>
      </c>
      <c r="Y13" s="7">
        <v>0</v>
      </c>
      <c r="Z13" s="7">
        <v>1.1150179460376277</v>
      </c>
      <c r="AA13" s="7">
        <v>1108.4179149460381</v>
      </c>
      <c r="AB13" s="7">
        <v>0</v>
      </c>
      <c r="AC13" s="7">
        <v>530.11955999999998</v>
      </c>
      <c r="AD13" s="7">
        <v>0</v>
      </c>
      <c r="AE13" s="7">
        <v>0</v>
      </c>
      <c r="AF13" s="7">
        <v>1638.5374749460377</v>
      </c>
      <c r="AG13" s="7">
        <v>1108.4179149460381</v>
      </c>
      <c r="AH13" s="7">
        <v>723.36180000000024</v>
      </c>
      <c r="AI13" s="7">
        <v>0</v>
      </c>
      <c r="AJ13" s="7">
        <v>0</v>
      </c>
      <c r="AK13" s="7">
        <v>515.33576000000005</v>
      </c>
      <c r="AL13" s="7">
        <v>2347.1154749460379</v>
      </c>
      <c r="AM13" s="7">
        <v>0</v>
      </c>
      <c r="AN13" s="7">
        <v>0</v>
      </c>
      <c r="AO13" s="7">
        <v>0</v>
      </c>
      <c r="AP13" s="7">
        <v>0</v>
      </c>
      <c r="AQ13" s="7">
        <v>0</v>
      </c>
      <c r="AR13" s="7">
        <v>2347.1154749460379</v>
      </c>
      <c r="AS13" s="7">
        <v>-640.10355748593361</v>
      </c>
      <c r="AT13" s="7">
        <v>-641.21857543197109</v>
      </c>
    </row>
    <row r="14" spans="1:46" x14ac:dyDescent="0.35">
      <c r="A14" s="5">
        <v>46022</v>
      </c>
      <c r="B14" s="4" t="s">
        <v>88</v>
      </c>
      <c r="C14" s="4" t="s">
        <v>89</v>
      </c>
      <c r="D14" s="4" t="s">
        <v>90</v>
      </c>
      <c r="E14" s="6">
        <v>31.233339999999998</v>
      </c>
      <c r="F14" s="6">
        <v>0.91</v>
      </c>
      <c r="G14" s="7">
        <v>68.282958409783063</v>
      </c>
      <c r="H14" s="7">
        <v>56.286554993919999</v>
      </c>
      <c r="I14" s="7">
        <v>0.29345400000000005</v>
      </c>
      <c r="J14" s="7">
        <v>82.441376943049619</v>
      </c>
      <c r="K14" s="7">
        <v>207.30434434675274</v>
      </c>
      <c r="L14" s="7">
        <v>144.7933339026838</v>
      </c>
      <c r="M14" s="7">
        <v>58.26704436004276</v>
      </c>
      <c r="N14" s="7">
        <v>13.893298205565859</v>
      </c>
      <c r="O14" s="7">
        <v>137.8434558364215</v>
      </c>
      <c r="P14" s="7">
        <v>354.7971323047139</v>
      </c>
      <c r="Q14" s="7">
        <v>0</v>
      </c>
      <c r="R14" s="7">
        <v>0</v>
      </c>
      <c r="S14" s="7">
        <v>0</v>
      </c>
      <c r="T14" s="7">
        <v>0</v>
      </c>
      <c r="U14" s="7">
        <v>0</v>
      </c>
      <c r="V14" s="7">
        <v>562.10147665146656</v>
      </c>
      <c r="W14" s="7">
        <v>0</v>
      </c>
      <c r="X14" s="7">
        <v>562.10147665146656</v>
      </c>
      <c r="Y14" s="7">
        <v>0</v>
      </c>
      <c r="Z14" s="7">
        <v>2.8669786084698479</v>
      </c>
      <c r="AA14" s="7">
        <v>564.96845525993649</v>
      </c>
      <c r="AB14" s="7">
        <v>0</v>
      </c>
      <c r="AC14" s="7">
        <v>232.41896324126159</v>
      </c>
      <c r="AD14" s="7">
        <v>0</v>
      </c>
      <c r="AE14" s="7">
        <v>0</v>
      </c>
      <c r="AF14" s="7">
        <v>797.387418501198</v>
      </c>
      <c r="AG14" s="7">
        <v>564.96845525993649</v>
      </c>
      <c r="AH14" s="7">
        <v>22.298386055139719</v>
      </c>
      <c r="AI14" s="7">
        <v>0</v>
      </c>
      <c r="AJ14" s="7">
        <v>0</v>
      </c>
      <c r="AK14" s="7">
        <v>224.55158133554491</v>
      </c>
      <c r="AL14" s="7">
        <v>811.81842265062107</v>
      </c>
      <c r="AM14" s="7">
        <v>0</v>
      </c>
      <c r="AN14" s="7">
        <v>0</v>
      </c>
      <c r="AO14" s="7">
        <v>0</v>
      </c>
      <c r="AP14" s="7">
        <v>0</v>
      </c>
      <c r="AQ14" s="7">
        <v>0</v>
      </c>
      <c r="AR14" s="7">
        <v>811.81842265062107</v>
      </c>
      <c r="AS14" s="7">
        <v>140.10916668670987</v>
      </c>
      <c r="AT14" s="7">
        <v>137.24218807823999</v>
      </c>
    </row>
    <row r="15" spans="1:46" x14ac:dyDescent="0.35">
      <c r="A15" s="5">
        <v>46022</v>
      </c>
      <c r="B15" s="4" t="s">
        <v>92</v>
      </c>
      <c r="C15" s="4" t="s">
        <v>93</v>
      </c>
      <c r="D15" s="4" t="s">
        <v>90</v>
      </c>
      <c r="E15" s="6">
        <v>7.79704</v>
      </c>
      <c r="F15" s="6">
        <v>0.92170005540564115</v>
      </c>
      <c r="G15" s="7">
        <v>32.499992774659241</v>
      </c>
      <c r="H15" s="7">
        <v>26.026311434879997</v>
      </c>
      <c r="I15" s="7">
        <v>1.6703477383302407</v>
      </c>
      <c r="J15" s="7">
        <v>44.937021856999991</v>
      </c>
      <c r="K15" s="7">
        <v>105.13367380486949</v>
      </c>
      <c r="L15" s="7">
        <v>79.8174412250778</v>
      </c>
      <c r="M15" s="7">
        <v>66.314766083523693</v>
      </c>
      <c r="N15" s="7">
        <v>95.03560082315397</v>
      </c>
      <c r="O15" s="7">
        <v>245.6644500853337</v>
      </c>
      <c r="P15" s="7">
        <v>486.83225821708919</v>
      </c>
      <c r="Q15" s="7">
        <v>0</v>
      </c>
      <c r="R15" s="7">
        <v>0</v>
      </c>
      <c r="S15" s="7">
        <v>0</v>
      </c>
      <c r="T15" s="7">
        <v>0</v>
      </c>
      <c r="U15" s="7">
        <v>0</v>
      </c>
      <c r="V15" s="7">
        <v>591.96593202195857</v>
      </c>
      <c r="W15" s="7">
        <v>55.351148292763689</v>
      </c>
      <c r="X15" s="7">
        <v>647.31708031472226</v>
      </c>
      <c r="Y15" s="7">
        <v>0</v>
      </c>
      <c r="Z15" s="7">
        <v>0.89210509066789168</v>
      </c>
      <c r="AA15" s="7">
        <v>648.20918540539026</v>
      </c>
      <c r="AB15" s="7">
        <v>0</v>
      </c>
      <c r="AC15" s="7">
        <v>334.96118738404448</v>
      </c>
      <c r="AD15" s="7">
        <v>0</v>
      </c>
      <c r="AE15" s="7">
        <v>0</v>
      </c>
      <c r="AF15" s="7">
        <v>983.17037278943474</v>
      </c>
      <c r="AG15" s="7">
        <v>648.20918540539026</v>
      </c>
      <c r="AH15" s="7">
        <v>26.277404929491937</v>
      </c>
      <c r="AI15" s="7">
        <v>0</v>
      </c>
      <c r="AJ15" s="7">
        <v>0</v>
      </c>
      <c r="AK15" s="7">
        <v>323.62275119109455</v>
      </c>
      <c r="AL15" s="7">
        <v>998.10934152597679</v>
      </c>
      <c r="AM15" s="7">
        <v>0</v>
      </c>
      <c r="AN15" s="7">
        <v>0</v>
      </c>
      <c r="AO15" s="7">
        <v>0</v>
      </c>
      <c r="AP15" s="7">
        <v>0</v>
      </c>
      <c r="AQ15" s="7">
        <v>0</v>
      </c>
      <c r="AR15" s="7">
        <v>998.10934152597679</v>
      </c>
      <c r="AS15" s="7">
        <v>96.671917817902326</v>
      </c>
      <c r="AT15" s="7">
        <v>95.779812727234471</v>
      </c>
    </row>
    <row r="16" spans="1:46" x14ac:dyDescent="0.35">
      <c r="A16" s="5">
        <v>46022</v>
      </c>
      <c r="B16" s="4" t="s">
        <v>57</v>
      </c>
      <c r="C16" s="4" t="s">
        <v>58</v>
      </c>
      <c r="D16" s="4" t="s">
        <v>59</v>
      </c>
      <c r="E16" s="6">
        <v>7.8637300000000003</v>
      </c>
      <c r="F16" s="6">
        <v>0.91014133114946716</v>
      </c>
      <c r="G16" s="7">
        <v>299.51320395140482</v>
      </c>
      <c r="H16" s="7">
        <v>48.408631000000007</v>
      </c>
      <c r="I16" s="7">
        <v>147.385461743538</v>
      </c>
      <c r="J16" s="7">
        <v>112.9604505990843</v>
      </c>
      <c r="K16" s="7">
        <v>608.267747294027</v>
      </c>
      <c r="L16" s="7">
        <v>211.688546218564</v>
      </c>
      <c r="M16" s="7">
        <v>20.465658650010411</v>
      </c>
      <c r="N16" s="7">
        <v>16.944663898064519</v>
      </c>
      <c r="O16" s="7">
        <v>137.63389719246618</v>
      </c>
      <c r="P16" s="7">
        <v>386.73276595910511</v>
      </c>
      <c r="Q16" s="7">
        <v>0</v>
      </c>
      <c r="R16" s="7">
        <v>0</v>
      </c>
      <c r="S16" s="7">
        <v>0</v>
      </c>
      <c r="T16" s="7">
        <v>0</v>
      </c>
      <c r="U16" s="7">
        <v>0</v>
      </c>
      <c r="V16" s="7">
        <v>995.00051325313234</v>
      </c>
      <c r="W16" s="7">
        <v>12.764329836711761</v>
      </c>
      <c r="X16" s="7">
        <v>1007.7648430898441</v>
      </c>
      <c r="Y16" s="7">
        <v>0</v>
      </c>
      <c r="Z16" s="7">
        <v>0.67538973011426906</v>
      </c>
      <c r="AA16" s="7">
        <v>1008.4402328199581</v>
      </c>
      <c r="AB16" s="7">
        <v>28.354884367804374</v>
      </c>
      <c r="AC16" s="7">
        <v>200.98656725063483</v>
      </c>
      <c r="AD16" s="7">
        <v>0</v>
      </c>
      <c r="AE16" s="7">
        <v>0</v>
      </c>
      <c r="AF16" s="7">
        <v>1237.781684438397</v>
      </c>
      <c r="AG16" s="7">
        <v>1008.4402328199581</v>
      </c>
      <c r="AH16" s="7">
        <v>149.64457307413113</v>
      </c>
      <c r="AI16" s="7">
        <v>28.354884367804374</v>
      </c>
      <c r="AJ16" s="7">
        <v>0</v>
      </c>
      <c r="AK16" s="7">
        <v>165.88879343288241</v>
      </c>
      <c r="AL16" s="7">
        <v>1352.328483694776</v>
      </c>
      <c r="AM16" s="7">
        <v>0</v>
      </c>
      <c r="AN16" s="7">
        <v>0</v>
      </c>
      <c r="AO16" s="7">
        <v>0</v>
      </c>
      <c r="AP16" s="7">
        <v>0</v>
      </c>
      <c r="AQ16" s="7">
        <v>0</v>
      </c>
      <c r="AR16" s="7">
        <v>1352.328483694776</v>
      </c>
      <c r="AS16" s="7">
        <v>-626.63908114226956</v>
      </c>
      <c r="AT16" s="7">
        <v>-627.31447087238371</v>
      </c>
    </row>
    <row r="17" spans="1:46" x14ac:dyDescent="0.35">
      <c r="A17" s="5">
        <v>46022</v>
      </c>
      <c r="B17" s="4" t="s">
        <v>60</v>
      </c>
      <c r="C17" s="4" t="s">
        <v>61</v>
      </c>
      <c r="D17" s="4" t="s">
        <v>62</v>
      </c>
      <c r="E17" s="6">
        <v>4.8166700000000002</v>
      </c>
      <c r="F17" s="6">
        <v>0.95999999999999985</v>
      </c>
      <c r="G17" s="7">
        <v>11.919879951514758</v>
      </c>
      <c r="H17" s="7">
        <v>19.807220999999995</v>
      </c>
      <c r="I17" s="7">
        <v>69.672342096817204</v>
      </c>
      <c r="J17" s="7">
        <v>118.41389425494658</v>
      </c>
      <c r="K17" s="7">
        <v>219.81333730327856</v>
      </c>
      <c r="L17" s="7">
        <v>55.319760338846571</v>
      </c>
      <c r="M17" s="7">
        <v>21.801621227373811</v>
      </c>
      <c r="N17" s="7">
        <v>29.130426656918651</v>
      </c>
      <c r="O17" s="7">
        <v>594.52590108905497</v>
      </c>
      <c r="P17" s="7">
        <v>700.77770931219402</v>
      </c>
      <c r="Q17" s="7">
        <v>0</v>
      </c>
      <c r="R17" s="7">
        <v>0</v>
      </c>
      <c r="S17" s="7">
        <v>0</v>
      </c>
      <c r="T17" s="7">
        <v>0</v>
      </c>
      <c r="U17" s="7">
        <v>0</v>
      </c>
      <c r="V17" s="7">
        <v>920.59104661547246</v>
      </c>
      <c r="W17" s="7">
        <v>12.479932137175558</v>
      </c>
      <c r="X17" s="7">
        <v>933.0709787526481</v>
      </c>
      <c r="Y17" s="7">
        <v>0</v>
      </c>
      <c r="Z17" s="7">
        <v>5.4569743478732669</v>
      </c>
      <c r="AA17" s="7">
        <v>938.52795310052147</v>
      </c>
      <c r="AB17" s="7">
        <v>20.761252882485191</v>
      </c>
      <c r="AC17" s="7">
        <v>12.915840281681838</v>
      </c>
      <c r="AD17" s="7">
        <v>0</v>
      </c>
      <c r="AE17" s="7">
        <v>0</v>
      </c>
      <c r="AF17" s="7">
        <v>972.20504626468835</v>
      </c>
      <c r="AG17" s="7">
        <v>938.52795310052147</v>
      </c>
      <c r="AH17" s="7">
        <v>4.6029555259085484</v>
      </c>
      <c r="AI17" s="7">
        <v>20.761252882485191</v>
      </c>
      <c r="AJ17" s="7">
        <v>0</v>
      </c>
      <c r="AK17" s="7">
        <v>4.6029555259085484</v>
      </c>
      <c r="AL17" s="7">
        <v>968.49511703482347</v>
      </c>
      <c r="AM17" s="7">
        <v>0</v>
      </c>
      <c r="AN17" s="7">
        <v>0</v>
      </c>
      <c r="AO17" s="7">
        <v>0</v>
      </c>
      <c r="AP17" s="7">
        <v>0</v>
      </c>
      <c r="AQ17" s="7">
        <v>0</v>
      </c>
      <c r="AR17" s="7">
        <v>968.49511703482347</v>
      </c>
      <c r="AS17" s="7">
        <v>-331.19939527277506</v>
      </c>
      <c r="AT17" s="7">
        <v>-336.65636962064832</v>
      </c>
    </row>
    <row r="18" spans="1:46" x14ac:dyDescent="0.35">
      <c r="A18" s="5">
        <v>46022</v>
      </c>
      <c r="B18" s="4" t="s">
        <v>63</v>
      </c>
      <c r="C18" s="4" t="s">
        <v>64</v>
      </c>
      <c r="D18" s="4" t="s">
        <v>47</v>
      </c>
      <c r="E18" s="6">
        <v>189.47368</v>
      </c>
      <c r="F18" s="6">
        <v>0.94999999999999984</v>
      </c>
      <c r="G18" s="7">
        <v>19.749687374508429</v>
      </c>
      <c r="H18" s="7">
        <v>23.673822000000001</v>
      </c>
      <c r="I18" s="7">
        <v>4.0658792438202243</v>
      </c>
      <c r="J18" s="7">
        <v>41.048726271910112</v>
      </c>
      <c r="K18" s="7">
        <v>88.538114890238759</v>
      </c>
      <c r="L18" s="7">
        <v>22.483146383988771</v>
      </c>
      <c r="M18" s="7">
        <v>9.2359558127808992</v>
      </c>
      <c r="N18" s="7">
        <v>43.820224265870792</v>
      </c>
      <c r="O18" s="7">
        <v>38.352731368047749</v>
      </c>
      <c r="P18" s="7">
        <v>113.8920578306882</v>
      </c>
      <c r="Q18" s="7">
        <v>0</v>
      </c>
      <c r="R18" s="7">
        <v>0</v>
      </c>
      <c r="S18" s="7">
        <v>0</v>
      </c>
      <c r="T18" s="7">
        <v>0</v>
      </c>
      <c r="U18" s="7">
        <v>0</v>
      </c>
      <c r="V18" s="7">
        <v>202.430172720927</v>
      </c>
      <c r="W18" s="7">
        <v>0</v>
      </c>
      <c r="X18" s="7">
        <v>202.430172720927</v>
      </c>
      <c r="Y18" s="7">
        <v>0</v>
      </c>
      <c r="Z18" s="7">
        <v>23.28531341223448</v>
      </c>
      <c r="AA18" s="7">
        <v>225.71548613316136</v>
      </c>
      <c r="AB18" s="7">
        <v>0</v>
      </c>
      <c r="AC18" s="7">
        <v>31.5151431747191</v>
      </c>
      <c r="AD18" s="7">
        <v>0</v>
      </c>
      <c r="AE18" s="7">
        <v>0</v>
      </c>
      <c r="AF18" s="7">
        <v>257.23062930788058</v>
      </c>
      <c r="AG18" s="7">
        <v>225.71548613316136</v>
      </c>
      <c r="AH18" s="7">
        <v>60.727555577528101</v>
      </c>
      <c r="AI18" s="7">
        <v>0</v>
      </c>
      <c r="AJ18" s="7">
        <v>0</v>
      </c>
      <c r="AK18" s="7">
        <v>12.145510715589889</v>
      </c>
      <c r="AL18" s="7">
        <v>298.58855242627942</v>
      </c>
      <c r="AM18" s="7">
        <v>0</v>
      </c>
      <c r="AN18" s="7">
        <v>0</v>
      </c>
      <c r="AO18" s="7">
        <v>0</v>
      </c>
      <c r="AP18" s="7">
        <v>0</v>
      </c>
      <c r="AQ18" s="7">
        <v>0</v>
      </c>
      <c r="AR18" s="7">
        <v>298.58855242627942</v>
      </c>
      <c r="AS18" s="7">
        <v>215.56983656796214</v>
      </c>
      <c r="AT18" s="7">
        <v>192.28452315572761</v>
      </c>
    </row>
  </sheetData>
  <mergeCells count="47">
    <mergeCell ref="A1:D1"/>
    <mergeCell ref="A6:A9"/>
    <mergeCell ref="B6:B9"/>
    <mergeCell ref="C6:C9"/>
    <mergeCell ref="D6:D9"/>
    <mergeCell ref="E6:E9"/>
    <mergeCell ref="F6:F9"/>
    <mergeCell ref="G6:G9"/>
    <mergeCell ref="H6:H9"/>
    <mergeCell ref="I6:I9"/>
    <mergeCell ref="J6:J9"/>
    <mergeCell ref="K6:K9"/>
    <mergeCell ref="L6:L9"/>
    <mergeCell ref="M6:M9"/>
    <mergeCell ref="N6:N9"/>
    <mergeCell ref="O6:O9"/>
    <mergeCell ref="P6:P9"/>
    <mergeCell ref="Q6:Q9"/>
    <mergeCell ref="R6:R9"/>
    <mergeCell ref="S6:S9"/>
    <mergeCell ref="T6:T9"/>
    <mergeCell ref="U6:U9"/>
    <mergeCell ref="V6:V9"/>
    <mergeCell ref="W6:W9"/>
    <mergeCell ref="X6:X9"/>
    <mergeCell ref="Y6:Y9"/>
    <mergeCell ref="Z6:Z9"/>
    <mergeCell ref="AA6:AA9"/>
    <mergeCell ref="AB6:AB9"/>
    <mergeCell ref="AC6:AC9"/>
    <mergeCell ref="AD6:AD9"/>
    <mergeCell ref="AE6:AE9"/>
    <mergeCell ref="AF6:AF9"/>
    <mergeCell ref="AG6:AG9"/>
    <mergeCell ref="AH6:AH9"/>
    <mergeCell ref="AI6:AI9"/>
    <mergeCell ref="AJ6:AJ9"/>
    <mergeCell ref="AK6:AK9"/>
    <mergeCell ref="AL6:AL9"/>
    <mergeCell ref="AM6:AM9"/>
    <mergeCell ref="AS6:AS9"/>
    <mergeCell ref="AT6:AT9"/>
    <mergeCell ref="AN6:AN9"/>
    <mergeCell ref="AO6:AO9"/>
    <mergeCell ref="AP6:AP9"/>
    <mergeCell ref="AQ6:AQ9"/>
    <mergeCell ref="AR6:AR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8"/>
  <sheetViews>
    <sheetView workbookViewId="0">
      <selection sqref="A1:D1"/>
    </sheetView>
  </sheetViews>
  <sheetFormatPr defaultRowHeight="14.5" x14ac:dyDescent="0.35"/>
  <cols>
    <col min="1" max="1" width="48.54296875" customWidth="1"/>
    <col min="2" max="2" width="24.1796875" customWidth="1"/>
    <col min="3" max="3" width="16.1796875" customWidth="1"/>
    <col min="4" max="4" width="21.7265625" customWidth="1"/>
    <col min="5" max="6" width="17.54296875" customWidth="1"/>
    <col min="7" max="7" width="16.1796875" customWidth="1"/>
    <col min="8" max="8" width="20.54296875" customWidth="1"/>
    <col min="9" max="9" width="17.54296875" customWidth="1"/>
    <col min="10" max="10" width="20.54296875" customWidth="1"/>
    <col min="11" max="11" width="16.81640625" customWidth="1"/>
    <col min="12" max="13" width="20.54296875" customWidth="1"/>
    <col min="14" max="14" width="19.54296875" customWidth="1"/>
    <col min="15" max="15" width="17.54296875" customWidth="1"/>
    <col min="16" max="16" width="19.54296875" customWidth="1"/>
    <col min="17" max="17" width="16.1796875" customWidth="1"/>
    <col min="18" max="18" width="20.54296875" customWidth="1"/>
    <col min="19" max="22" width="21.54296875" customWidth="1"/>
  </cols>
  <sheetData>
    <row r="1" spans="1:22" ht="40" customHeight="1" x14ac:dyDescent="0.35">
      <c r="A1" s="18"/>
      <c r="B1" s="18"/>
      <c r="C1" s="18"/>
      <c r="D1" s="18"/>
    </row>
    <row r="2" spans="1:22" ht="30" customHeight="1" x14ac:dyDescent="0.45">
      <c r="A2" s="1" t="s">
        <v>114</v>
      </c>
      <c r="B2" s="2"/>
      <c r="C2" s="2"/>
      <c r="D2" s="2"/>
      <c r="E2" s="2"/>
      <c r="F2" s="2"/>
      <c r="G2" s="2"/>
      <c r="H2" s="2"/>
      <c r="I2" s="2"/>
      <c r="J2" s="2"/>
      <c r="K2" s="2"/>
      <c r="L2" s="2"/>
      <c r="M2" s="2"/>
      <c r="N2" s="2"/>
      <c r="O2" s="2"/>
      <c r="P2" s="2"/>
      <c r="Q2" s="2"/>
      <c r="R2" s="2"/>
      <c r="S2" s="2"/>
      <c r="T2" s="2"/>
      <c r="U2" s="2"/>
      <c r="V2" s="2"/>
    </row>
    <row r="3" spans="1:22" x14ac:dyDescent="0.35">
      <c r="A3" s="3" t="s">
        <v>0</v>
      </c>
    </row>
    <row r="4" spans="1:22" x14ac:dyDescent="0.35">
      <c r="A4" s="3" t="s">
        <v>1</v>
      </c>
    </row>
    <row r="5" spans="1:22" x14ac:dyDescent="0.35">
      <c r="A5" s="4"/>
    </row>
    <row r="6" spans="1:22" x14ac:dyDescent="0.35">
      <c r="A6" s="19" t="s">
        <v>2</v>
      </c>
      <c r="B6" s="19" t="s">
        <v>3</v>
      </c>
      <c r="C6" s="19" t="s">
        <v>4</v>
      </c>
      <c r="D6" s="19" t="s">
        <v>5</v>
      </c>
      <c r="E6" s="13" t="s">
        <v>96</v>
      </c>
      <c r="F6" s="13" t="s">
        <v>97</v>
      </c>
      <c r="G6" s="13" t="s">
        <v>98</v>
      </c>
      <c r="H6" s="13" t="s">
        <v>99</v>
      </c>
      <c r="I6" s="13" t="s">
        <v>100</v>
      </c>
      <c r="J6" s="13" t="s">
        <v>101</v>
      </c>
      <c r="K6" s="13" t="s">
        <v>102</v>
      </c>
      <c r="L6" s="13" t="s">
        <v>103</v>
      </c>
      <c r="M6" s="13" t="s">
        <v>104</v>
      </c>
      <c r="N6" s="13" t="s">
        <v>105</v>
      </c>
      <c r="O6" s="13" t="s">
        <v>106</v>
      </c>
      <c r="P6" s="13" t="s">
        <v>107</v>
      </c>
      <c r="Q6" s="13" t="s">
        <v>108</v>
      </c>
      <c r="R6" s="13" t="s">
        <v>109</v>
      </c>
      <c r="S6" s="13" t="s">
        <v>110</v>
      </c>
      <c r="T6" s="13" t="s">
        <v>111</v>
      </c>
      <c r="U6" s="13" t="s">
        <v>112</v>
      </c>
      <c r="V6" s="13" t="s">
        <v>113</v>
      </c>
    </row>
    <row r="7" spans="1:22" x14ac:dyDescent="0.35">
      <c r="A7" s="19"/>
      <c r="B7" s="19"/>
      <c r="C7" s="19"/>
      <c r="D7" s="19"/>
      <c r="E7" s="13"/>
      <c r="F7" s="13"/>
      <c r="G7" s="13"/>
      <c r="H7" s="13"/>
      <c r="I7" s="13"/>
      <c r="J7" s="13"/>
      <c r="K7" s="13"/>
      <c r="L7" s="13"/>
      <c r="M7" s="13"/>
      <c r="N7" s="13"/>
      <c r="O7" s="13"/>
      <c r="P7" s="13"/>
      <c r="Q7" s="13"/>
      <c r="R7" s="13"/>
      <c r="S7" s="13"/>
      <c r="T7" s="13"/>
      <c r="U7" s="13"/>
      <c r="V7" s="13"/>
    </row>
    <row r="8" spans="1:22" x14ac:dyDescent="0.35">
      <c r="A8" s="19"/>
      <c r="B8" s="19"/>
      <c r="C8" s="19"/>
      <c r="D8" s="19"/>
      <c r="E8" s="13"/>
      <c r="F8" s="13"/>
      <c r="G8" s="13"/>
      <c r="H8" s="13"/>
      <c r="I8" s="13"/>
      <c r="J8" s="13"/>
      <c r="K8" s="13"/>
      <c r="L8" s="13"/>
      <c r="M8" s="13"/>
      <c r="N8" s="13"/>
      <c r="O8" s="13"/>
      <c r="P8" s="13"/>
      <c r="Q8" s="13"/>
      <c r="R8" s="13"/>
      <c r="S8" s="13"/>
      <c r="T8" s="13"/>
      <c r="U8" s="13"/>
      <c r="V8" s="13"/>
    </row>
    <row r="9" spans="1:22" x14ac:dyDescent="0.35">
      <c r="A9" s="19"/>
      <c r="B9" s="19"/>
      <c r="C9" s="19"/>
      <c r="D9" s="19"/>
      <c r="E9" s="13"/>
      <c r="F9" s="13"/>
      <c r="G9" s="13"/>
      <c r="H9" s="13"/>
      <c r="I9" s="13"/>
      <c r="J9" s="13"/>
      <c r="K9" s="13"/>
      <c r="L9" s="13"/>
      <c r="M9" s="13"/>
      <c r="N9" s="13"/>
      <c r="O9" s="13"/>
      <c r="P9" s="13"/>
      <c r="Q9" s="13"/>
      <c r="R9" s="13"/>
      <c r="S9" s="13"/>
      <c r="T9" s="13"/>
      <c r="U9" s="13"/>
      <c r="V9" s="13"/>
    </row>
    <row r="10" spans="1:22" x14ac:dyDescent="0.35">
      <c r="A10" s="5">
        <v>46022</v>
      </c>
      <c r="B10" s="4" t="s">
        <v>42</v>
      </c>
      <c r="C10" s="4" t="s">
        <v>43</v>
      </c>
      <c r="D10" s="4" t="s">
        <v>44</v>
      </c>
      <c r="E10" s="6">
        <v>26.547612999999998</v>
      </c>
      <c r="F10" s="6">
        <v>16.639327999999999</v>
      </c>
      <c r="G10" s="6">
        <v>0</v>
      </c>
      <c r="H10" s="6">
        <v>0.95500399999999996</v>
      </c>
      <c r="I10" s="6">
        <v>12.104587</v>
      </c>
      <c r="J10" s="6">
        <v>4.3451690000000003</v>
      </c>
      <c r="K10" s="6">
        <v>-3.767398</v>
      </c>
      <c r="L10" s="6">
        <v>6.7928249999999997</v>
      </c>
      <c r="M10" s="6">
        <v>0</v>
      </c>
      <c r="N10" s="6">
        <v>29.527688000000001</v>
      </c>
      <c r="O10" s="6">
        <v>0</v>
      </c>
      <c r="P10" s="6">
        <v>29.527688000000001</v>
      </c>
      <c r="Q10" s="7">
        <v>32</v>
      </c>
      <c r="R10" s="6">
        <v>12.74788</v>
      </c>
      <c r="S10" s="6">
        <v>-8.2626089999999994</v>
      </c>
      <c r="T10" s="6">
        <v>-2.757177</v>
      </c>
      <c r="U10" s="6">
        <v>1.3507130000000001</v>
      </c>
      <c r="V10" s="6">
        <v>4.4595019999999996</v>
      </c>
    </row>
    <row r="11" spans="1:22" x14ac:dyDescent="0.35">
      <c r="A11" s="5">
        <v>46022</v>
      </c>
      <c r="B11" s="4" t="s">
        <v>45</v>
      </c>
      <c r="C11" s="4" t="s">
        <v>46</v>
      </c>
      <c r="D11" s="4" t="s">
        <v>47</v>
      </c>
      <c r="E11" s="6">
        <v>21.427641000000001</v>
      </c>
      <c r="F11" s="6">
        <v>0</v>
      </c>
      <c r="G11" s="6">
        <v>0</v>
      </c>
      <c r="H11" s="6">
        <v>0.51552600000000004</v>
      </c>
      <c r="I11" s="6">
        <v>11.593023000000001</v>
      </c>
      <c r="J11" s="6">
        <v>3.499263</v>
      </c>
      <c r="K11" s="6">
        <v>-0.10004</v>
      </c>
      <c r="L11" s="6">
        <v>0.49989499999999998</v>
      </c>
      <c r="M11" s="6">
        <v>0</v>
      </c>
      <c r="N11" s="6">
        <v>20.199997</v>
      </c>
      <c r="O11" s="6">
        <v>4.8204419999999999</v>
      </c>
      <c r="P11" s="6">
        <v>15.379554000000001</v>
      </c>
      <c r="Q11" s="7">
        <v>25</v>
      </c>
      <c r="R11" s="6">
        <v>1.318082</v>
      </c>
      <c r="S11" s="6">
        <v>149.96619000000001</v>
      </c>
      <c r="T11" s="6">
        <v>130.07501600000001</v>
      </c>
      <c r="U11" s="6">
        <v>114.149715</v>
      </c>
      <c r="V11" s="6">
        <v>101.237489</v>
      </c>
    </row>
    <row r="12" spans="1:22" x14ac:dyDescent="0.35">
      <c r="A12" s="5">
        <v>46022</v>
      </c>
      <c r="B12" s="4" t="s">
        <v>51</v>
      </c>
      <c r="C12" s="4" t="s">
        <v>52</v>
      </c>
      <c r="D12" s="4" t="s">
        <v>53</v>
      </c>
      <c r="E12" s="6">
        <v>0.31762200000000002</v>
      </c>
      <c r="F12" s="6">
        <v>7.8120000000000004E-3</v>
      </c>
      <c r="G12" s="6">
        <v>0</v>
      </c>
      <c r="H12" s="6">
        <v>9.826E-2</v>
      </c>
      <c r="I12" s="6">
        <v>0.52609799999999995</v>
      </c>
      <c r="J12" s="6">
        <v>2.1940000000000001E-2</v>
      </c>
      <c r="K12" s="6">
        <v>-1.9389810000000001</v>
      </c>
      <c r="L12" s="6">
        <v>2.6228000000000001E-2</v>
      </c>
      <c r="M12" s="6">
        <v>0</v>
      </c>
      <c r="N12" s="6">
        <v>147.91539</v>
      </c>
      <c r="O12" s="6">
        <v>43.792923000000002</v>
      </c>
      <c r="P12" s="6">
        <v>104.122468</v>
      </c>
      <c r="Q12" s="7">
        <v>30</v>
      </c>
      <c r="R12" s="6">
        <v>2.6228000000000001E-2</v>
      </c>
      <c r="S12" s="6">
        <v>524.30381199999999</v>
      </c>
      <c r="T12" s="6">
        <v>492.537913</v>
      </c>
      <c r="U12" s="6">
        <v>463.66333200000003</v>
      </c>
      <c r="V12" s="6">
        <v>437.352711</v>
      </c>
    </row>
    <row r="13" spans="1:22" x14ac:dyDescent="0.35">
      <c r="A13" s="5">
        <v>46022</v>
      </c>
      <c r="B13" s="4" t="s">
        <v>54</v>
      </c>
      <c r="C13" s="4" t="s">
        <v>55</v>
      </c>
      <c r="D13" s="4" t="s">
        <v>56</v>
      </c>
      <c r="E13" s="6">
        <v>3.6534990000000001</v>
      </c>
      <c r="F13" s="6">
        <v>0.38445000000000001</v>
      </c>
      <c r="G13" s="6">
        <v>0</v>
      </c>
      <c r="H13" s="6">
        <v>0.14185500000000001</v>
      </c>
      <c r="I13" s="6">
        <v>8.2746589999999998</v>
      </c>
      <c r="J13" s="6">
        <v>5.6566890000000001</v>
      </c>
      <c r="K13" s="6">
        <v>-2.5433490000000001</v>
      </c>
      <c r="L13" s="6">
        <v>4.0299259999999997</v>
      </c>
      <c r="M13" s="6">
        <v>4.5437960000000004</v>
      </c>
      <c r="N13" s="6">
        <v>38.950265000000002</v>
      </c>
      <c r="O13" s="6">
        <v>10.821301999999999</v>
      </c>
      <c r="P13" s="6">
        <v>28.128962999999999</v>
      </c>
      <c r="Q13" s="7">
        <v>26.5</v>
      </c>
      <c r="R13" s="6">
        <v>4.1455349999999997</v>
      </c>
      <c r="S13" s="6">
        <v>153.92888199999999</v>
      </c>
      <c r="T13" s="6">
        <v>142.200377</v>
      </c>
      <c r="U13" s="6">
        <v>131.835534</v>
      </c>
      <c r="V13" s="6">
        <v>122.63904599999999</v>
      </c>
    </row>
    <row r="14" spans="1:22" x14ac:dyDescent="0.35">
      <c r="A14" s="5">
        <v>46022</v>
      </c>
      <c r="B14" s="4" t="s">
        <v>88</v>
      </c>
      <c r="C14" s="4" t="s">
        <v>89</v>
      </c>
      <c r="D14" s="4" t="s">
        <v>90</v>
      </c>
      <c r="E14" s="6">
        <v>21.932383999999999</v>
      </c>
      <c r="F14" s="6">
        <v>0</v>
      </c>
      <c r="G14" s="6">
        <v>0</v>
      </c>
      <c r="H14" s="6">
        <v>0.74960000000000004</v>
      </c>
      <c r="I14" s="6">
        <v>17.556307</v>
      </c>
      <c r="J14" s="6">
        <v>0.69645299999999999</v>
      </c>
      <c r="K14" s="6">
        <v>1.247757</v>
      </c>
      <c r="L14" s="6">
        <v>7.013496</v>
      </c>
      <c r="M14" s="6">
        <v>0</v>
      </c>
      <c r="N14" s="6">
        <v>156.336386</v>
      </c>
      <c r="O14" s="6">
        <v>23.600763000000001</v>
      </c>
      <c r="P14" s="6">
        <v>132.735623</v>
      </c>
      <c r="Q14" s="7">
        <v>15</v>
      </c>
      <c r="R14" s="6">
        <v>7.2592210000000001</v>
      </c>
      <c r="S14" s="6">
        <v>955.62872700000003</v>
      </c>
      <c r="T14" s="6">
        <v>869.34879100000001</v>
      </c>
      <c r="U14" s="6">
        <v>794.66714100000002</v>
      </c>
      <c r="V14" s="6">
        <v>729.68789400000003</v>
      </c>
    </row>
    <row r="15" spans="1:22" x14ac:dyDescent="0.35">
      <c r="A15" s="5">
        <v>46022</v>
      </c>
      <c r="B15" s="4" t="s">
        <v>92</v>
      </c>
      <c r="C15" s="4" t="s">
        <v>93</v>
      </c>
      <c r="D15" s="4" t="s">
        <v>90</v>
      </c>
      <c r="E15" s="6">
        <v>5.8009120000000003</v>
      </c>
      <c r="F15" s="6">
        <v>0.43157600000000002</v>
      </c>
      <c r="G15" s="6">
        <v>0</v>
      </c>
      <c r="H15" s="6">
        <v>0.21831700000000001</v>
      </c>
      <c r="I15" s="6">
        <v>4.6155879999999998</v>
      </c>
      <c r="J15" s="6">
        <v>0.20488600000000001</v>
      </c>
      <c r="K15" s="6">
        <v>-2.1546910000000001</v>
      </c>
      <c r="L15" s="6">
        <v>2.5233029999999999</v>
      </c>
      <c r="M15" s="6">
        <v>0</v>
      </c>
      <c r="N15" s="6">
        <v>176.231021</v>
      </c>
      <c r="O15" s="6">
        <v>26.098189000000001</v>
      </c>
      <c r="P15" s="6">
        <v>150.13283200000001</v>
      </c>
      <c r="Q15" s="7">
        <v>15</v>
      </c>
      <c r="R15" s="6">
        <v>2.6117089999999998</v>
      </c>
      <c r="S15" s="6">
        <v>1175.999603</v>
      </c>
      <c r="T15" s="6">
        <v>1068.5972589999999</v>
      </c>
      <c r="U15" s="6">
        <v>975.66832899999997</v>
      </c>
      <c r="V15" s="6">
        <v>894.84531500000003</v>
      </c>
    </row>
    <row r="16" spans="1:22" x14ac:dyDescent="0.35">
      <c r="A16" s="5">
        <v>46022</v>
      </c>
      <c r="B16" s="4" t="s">
        <v>57</v>
      </c>
      <c r="C16" s="4" t="s">
        <v>58</v>
      </c>
      <c r="D16" s="4" t="s">
        <v>59</v>
      </c>
      <c r="E16" s="6">
        <v>2.9970699999999999</v>
      </c>
      <c r="F16" s="6">
        <v>0.10037500000000001</v>
      </c>
      <c r="G16" s="6">
        <v>0</v>
      </c>
      <c r="H16" s="6">
        <v>0.37639499999999998</v>
      </c>
      <c r="I16" s="6">
        <v>7.8244220000000002</v>
      </c>
      <c r="J16" s="6">
        <v>1.37618</v>
      </c>
      <c r="K16" s="6">
        <v>-1.5250060000000001</v>
      </c>
      <c r="L16" s="6">
        <v>1.3045059999999999</v>
      </c>
      <c r="M16" s="6">
        <v>0</v>
      </c>
      <c r="N16" s="6">
        <v>202.944222</v>
      </c>
      <c r="O16" s="6">
        <v>44.251508000000001</v>
      </c>
      <c r="P16" s="6">
        <v>158.692714</v>
      </c>
      <c r="Q16" s="7">
        <v>22</v>
      </c>
      <c r="R16" s="6">
        <v>1.580505</v>
      </c>
      <c r="S16" s="6">
        <v>1761.746699</v>
      </c>
      <c r="T16" s="6">
        <v>1594.5610019999999</v>
      </c>
      <c r="U16" s="6">
        <v>1450.1246980000001</v>
      </c>
      <c r="V16" s="6">
        <v>1324.701836</v>
      </c>
    </row>
    <row r="17" spans="1:22" x14ac:dyDescent="0.35">
      <c r="A17" s="5">
        <v>46022</v>
      </c>
      <c r="B17" s="4" t="s">
        <v>60</v>
      </c>
      <c r="C17" s="4" t="s">
        <v>61</v>
      </c>
      <c r="D17" s="4" t="s">
        <v>62</v>
      </c>
      <c r="E17" s="6">
        <v>2.8990170000000002</v>
      </c>
      <c r="F17" s="6">
        <v>6.0111999999999999E-2</v>
      </c>
      <c r="G17" s="6">
        <v>0</v>
      </c>
      <c r="H17" s="6">
        <v>0.21327399999999999</v>
      </c>
      <c r="I17" s="6">
        <v>3.4129480000000001</v>
      </c>
      <c r="J17" s="6">
        <v>0.117065</v>
      </c>
      <c r="K17" s="6">
        <v>0.384799</v>
      </c>
      <c r="L17" s="6">
        <v>1.7065E-2</v>
      </c>
      <c r="M17" s="6">
        <v>0</v>
      </c>
      <c r="N17" s="6">
        <v>19.31758</v>
      </c>
      <c r="O17" s="6">
        <v>3.9324680000000001</v>
      </c>
      <c r="P17" s="6">
        <v>15.385113</v>
      </c>
      <c r="Q17" s="7">
        <v>20</v>
      </c>
      <c r="R17" s="6">
        <v>5.7105000000000003E-2</v>
      </c>
      <c r="S17" s="6">
        <v>50.269503</v>
      </c>
      <c r="T17" s="6">
        <v>47.554383999999999</v>
      </c>
      <c r="U17" s="6">
        <v>45.100571000000002</v>
      </c>
      <c r="V17" s="6">
        <v>42.873824999999997</v>
      </c>
    </row>
    <row r="18" spans="1:22" x14ac:dyDescent="0.35">
      <c r="A18" s="5">
        <v>46022</v>
      </c>
      <c r="B18" s="4" t="s">
        <v>63</v>
      </c>
      <c r="C18" s="4" t="s">
        <v>64</v>
      </c>
      <c r="D18" s="4" t="s">
        <v>47</v>
      </c>
      <c r="E18" s="6">
        <v>125.277123</v>
      </c>
      <c r="F18" s="6">
        <v>0</v>
      </c>
      <c r="G18" s="6">
        <v>0</v>
      </c>
      <c r="H18" s="6">
        <v>1.9643619999999999</v>
      </c>
      <c r="I18" s="6">
        <v>38.355189000000003</v>
      </c>
      <c r="J18" s="6">
        <v>11.506273</v>
      </c>
      <c r="K18" s="6">
        <v>5.8699999999999996E-4</v>
      </c>
      <c r="L18" s="6">
        <v>2.3012549999999998</v>
      </c>
      <c r="M18" s="6">
        <v>0</v>
      </c>
      <c r="N18" s="6">
        <v>1.6502730000000001</v>
      </c>
      <c r="O18" s="6">
        <v>0</v>
      </c>
      <c r="P18" s="6">
        <v>1.6502730000000001</v>
      </c>
      <c r="Q18" s="7">
        <v>25</v>
      </c>
      <c r="R18" s="6">
        <v>5.9712909999999999</v>
      </c>
      <c r="S18" s="6">
        <v>-378.89406000000002</v>
      </c>
      <c r="T18" s="6">
        <v>-316.417079</v>
      </c>
      <c r="U18" s="6">
        <v>-268.37284699999998</v>
      </c>
      <c r="V18" s="6">
        <v>-230.726775</v>
      </c>
    </row>
  </sheetData>
  <mergeCells count="23">
    <mergeCell ref="A1:D1"/>
    <mergeCell ref="A6:A9"/>
    <mergeCell ref="B6:B9"/>
    <mergeCell ref="C6:C9"/>
    <mergeCell ref="D6:D9"/>
    <mergeCell ref="E6:E9"/>
    <mergeCell ref="F6:F9"/>
    <mergeCell ref="G6:G9"/>
    <mergeCell ref="H6:H9"/>
    <mergeCell ref="I6:I9"/>
    <mergeCell ref="J6:J9"/>
    <mergeCell ref="K6:K9"/>
    <mergeCell ref="L6:L9"/>
    <mergeCell ref="M6:M9"/>
    <mergeCell ref="N6:N9"/>
    <mergeCell ref="T6:T9"/>
    <mergeCell ref="U6:U9"/>
    <mergeCell ref="V6:V9"/>
    <mergeCell ref="O6:O9"/>
    <mergeCell ref="P6:P9"/>
    <mergeCell ref="Q6:Q9"/>
    <mergeCell ref="R6:R9"/>
    <mergeCell ref="S6:S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20"/>
  <sheetViews>
    <sheetView workbookViewId="0">
      <selection activeCell="D40" sqref="D40"/>
    </sheetView>
  </sheetViews>
  <sheetFormatPr defaultRowHeight="14.5" x14ac:dyDescent="0.35"/>
  <cols>
    <col min="1" max="1" width="48.54296875" customWidth="1"/>
    <col min="2" max="2" width="24.1796875" customWidth="1"/>
    <col min="3" max="3" width="16.1796875" customWidth="1"/>
    <col min="4" max="4" width="28.453125" customWidth="1"/>
    <col min="5" max="5" width="18.54296875" customWidth="1"/>
    <col min="6" max="6" width="16.1796875" customWidth="1"/>
  </cols>
  <sheetData>
    <row r="1" spans="1:40" ht="40" customHeight="1" x14ac:dyDescent="0.35">
      <c r="A1" s="18"/>
      <c r="B1" s="18"/>
      <c r="C1" s="18"/>
      <c r="D1" s="18"/>
    </row>
    <row r="2" spans="1:40" ht="30" customHeight="1" x14ac:dyDescent="0.45">
      <c r="A2" s="1" t="s">
        <v>127</v>
      </c>
      <c r="B2" s="2"/>
      <c r="C2" s="2"/>
      <c r="D2" s="2"/>
      <c r="E2" s="2"/>
      <c r="F2" s="2"/>
      <c r="G2" s="2"/>
      <c r="H2" s="2"/>
      <c r="I2" s="2"/>
      <c r="J2" s="2"/>
      <c r="K2" s="2"/>
      <c r="L2" s="2"/>
    </row>
    <row r="3" spans="1:40" x14ac:dyDescent="0.35">
      <c r="A3" s="3" t="s">
        <v>0</v>
      </c>
    </row>
    <row r="4" spans="1:40" x14ac:dyDescent="0.35">
      <c r="A4" s="3" t="s">
        <v>1</v>
      </c>
    </row>
    <row r="5" spans="1:40" x14ac:dyDescent="0.35">
      <c r="A5" s="4"/>
    </row>
    <row r="6" spans="1:40" x14ac:dyDescent="0.35">
      <c r="A6" s="19" t="s">
        <v>2</v>
      </c>
      <c r="B6" s="19" t="s">
        <v>3</v>
      </c>
      <c r="C6" s="19" t="s">
        <v>4</v>
      </c>
      <c r="D6" s="19" t="s">
        <v>115</v>
      </c>
      <c r="E6" s="13" t="s">
        <v>116</v>
      </c>
      <c r="F6" s="13" t="s">
        <v>117</v>
      </c>
      <c r="G6" s="13" t="s">
        <v>128</v>
      </c>
      <c r="H6" s="13" t="s">
        <v>129</v>
      </c>
      <c r="I6" s="13" t="s">
        <v>130</v>
      </c>
      <c r="J6" s="23" t="s">
        <v>131</v>
      </c>
      <c r="K6" s="23" t="s">
        <v>132</v>
      </c>
      <c r="L6" s="23" t="s">
        <v>133</v>
      </c>
      <c r="M6" s="13" t="s">
        <v>134</v>
      </c>
      <c r="N6" s="13" t="s">
        <v>135</v>
      </c>
      <c r="O6" s="13" t="s">
        <v>136</v>
      </c>
      <c r="P6" s="13" t="s">
        <v>137</v>
      </c>
      <c r="Q6" s="20" t="s">
        <v>138</v>
      </c>
      <c r="R6" s="20" t="s">
        <v>139</v>
      </c>
      <c r="S6" s="22" t="s">
        <v>140</v>
      </c>
      <c r="T6" s="21" t="s">
        <v>141</v>
      </c>
      <c r="U6" s="20" t="s">
        <v>142</v>
      </c>
      <c r="V6" s="20" t="s">
        <v>143</v>
      </c>
      <c r="W6" s="20" t="s">
        <v>144</v>
      </c>
      <c r="X6" s="20" t="s">
        <v>145</v>
      </c>
      <c r="Y6" s="20" t="s">
        <v>146</v>
      </c>
      <c r="Z6" s="20" t="s">
        <v>147</v>
      </c>
      <c r="AA6" s="20" t="s">
        <v>148</v>
      </c>
      <c r="AB6" s="20" t="s">
        <v>149</v>
      </c>
      <c r="AC6" s="20" t="s">
        <v>150</v>
      </c>
      <c r="AD6" s="20" t="s">
        <v>151</v>
      </c>
      <c r="AE6" s="20" t="s">
        <v>152</v>
      </c>
      <c r="AF6" s="20" t="s">
        <v>153</v>
      </c>
      <c r="AG6" s="20" t="s">
        <v>154</v>
      </c>
      <c r="AH6" s="20" t="s">
        <v>155</v>
      </c>
      <c r="AI6" s="20" t="s">
        <v>156</v>
      </c>
      <c r="AJ6" s="20" t="s">
        <v>157</v>
      </c>
      <c r="AK6" s="20" t="s">
        <v>158</v>
      </c>
      <c r="AL6" s="20" t="s">
        <v>159</v>
      </c>
      <c r="AM6" s="20" t="s">
        <v>160</v>
      </c>
      <c r="AN6" s="20" t="s">
        <v>161</v>
      </c>
    </row>
    <row r="7" spans="1:40" x14ac:dyDescent="0.35">
      <c r="A7" s="19"/>
      <c r="B7" s="19"/>
      <c r="C7" s="19"/>
      <c r="D7" s="19"/>
      <c r="E7" s="13"/>
      <c r="F7" s="13"/>
      <c r="G7" s="13"/>
      <c r="H7" s="13"/>
      <c r="I7" s="13"/>
      <c r="J7" s="23"/>
      <c r="K7" s="23"/>
      <c r="L7" s="23"/>
      <c r="M7" s="13"/>
      <c r="N7" s="13"/>
      <c r="O7" s="13"/>
      <c r="P7" s="13"/>
      <c r="Q7" s="20"/>
      <c r="R7" s="20"/>
      <c r="S7" s="22"/>
      <c r="T7" s="21"/>
      <c r="U7" s="20"/>
      <c r="V7" s="20"/>
      <c r="W7" s="20"/>
      <c r="X7" s="20"/>
      <c r="Y7" s="20"/>
      <c r="Z7" s="20"/>
      <c r="AA7" s="20"/>
      <c r="AB7" s="20"/>
      <c r="AC7" s="20"/>
      <c r="AD7" s="20"/>
      <c r="AE7" s="20"/>
      <c r="AF7" s="20"/>
      <c r="AG7" s="20"/>
      <c r="AH7" s="20"/>
      <c r="AI7" s="20"/>
      <c r="AJ7" s="20"/>
      <c r="AK7" s="20"/>
      <c r="AL7" s="20"/>
      <c r="AM7" s="20"/>
      <c r="AN7" s="20"/>
    </row>
    <row r="8" spans="1:40" x14ac:dyDescent="0.35">
      <c r="A8" s="19"/>
      <c r="B8" s="19"/>
      <c r="C8" s="19"/>
      <c r="D8" s="19"/>
      <c r="E8" s="13"/>
      <c r="F8" s="13"/>
      <c r="G8" s="13"/>
      <c r="H8" s="13"/>
      <c r="I8" s="13"/>
      <c r="J8" s="23"/>
      <c r="K8" s="23"/>
      <c r="L8" s="23"/>
      <c r="M8" s="13"/>
      <c r="N8" s="13"/>
      <c r="O8" s="13"/>
      <c r="P8" s="13"/>
      <c r="Q8" s="20"/>
      <c r="R8" s="20"/>
      <c r="S8" s="22"/>
      <c r="T8" s="21"/>
      <c r="U8" s="20"/>
      <c r="V8" s="20"/>
      <c r="W8" s="20"/>
      <c r="X8" s="20"/>
      <c r="Y8" s="20"/>
      <c r="Z8" s="20"/>
      <c r="AA8" s="20"/>
      <c r="AB8" s="20"/>
      <c r="AC8" s="20"/>
      <c r="AD8" s="20"/>
      <c r="AE8" s="20"/>
      <c r="AF8" s="20"/>
      <c r="AG8" s="20"/>
      <c r="AH8" s="20"/>
      <c r="AI8" s="20"/>
      <c r="AJ8" s="20"/>
      <c r="AK8" s="20"/>
      <c r="AL8" s="20"/>
      <c r="AM8" s="20"/>
      <c r="AN8" s="20"/>
    </row>
    <row r="9" spans="1:40" x14ac:dyDescent="0.35">
      <c r="A9" s="19"/>
      <c r="B9" s="19"/>
      <c r="C9" s="19"/>
      <c r="D9" s="19"/>
      <c r="E9" s="13"/>
      <c r="F9" s="13"/>
      <c r="G9" s="13"/>
      <c r="H9" s="13"/>
      <c r="I9" s="13"/>
      <c r="J9" s="23"/>
      <c r="K9" s="23"/>
      <c r="L9" s="23"/>
      <c r="M9" s="13"/>
      <c r="N9" s="13"/>
      <c r="O9" s="13"/>
      <c r="P9" s="13"/>
      <c r="Q9" s="20"/>
      <c r="R9" s="20"/>
      <c r="S9" s="22"/>
      <c r="T9" s="21"/>
      <c r="U9" s="20"/>
      <c r="V9" s="20"/>
      <c r="W9" s="20"/>
      <c r="X9" s="20"/>
      <c r="Y9" s="20"/>
      <c r="Z9" s="20"/>
      <c r="AA9" s="20"/>
      <c r="AB9" s="20"/>
      <c r="AC9" s="20"/>
      <c r="AD9" s="20"/>
      <c r="AE9" s="20"/>
      <c r="AF9" s="20"/>
      <c r="AG9" s="20"/>
      <c r="AH9" s="20"/>
      <c r="AI9" s="20"/>
      <c r="AJ9" s="20"/>
      <c r="AK9" s="20"/>
      <c r="AL9" s="20"/>
      <c r="AM9" s="20"/>
      <c r="AN9" s="20"/>
    </row>
    <row r="10" spans="1:40" x14ac:dyDescent="0.35">
      <c r="A10" s="5">
        <v>46022</v>
      </c>
      <c r="B10" s="4" t="s">
        <v>42</v>
      </c>
      <c r="C10" s="4" t="s">
        <v>43</v>
      </c>
      <c r="D10" s="4" t="s">
        <v>44</v>
      </c>
      <c r="E10" s="8">
        <v>4350710</v>
      </c>
      <c r="F10" s="7">
        <v>5</v>
      </c>
      <c r="G10" s="9" t="str">
        <f>_xll.SNL.Clients.Office.Excel.Functions.SPG(E10, "SP_COMPANY_TYPE")</f>
        <v>Government Institution</v>
      </c>
      <c r="H10" s="10" t="str">
        <f>_xll.SNL.Clients.Office.Excel.Functions.SPG(E10, "SP_COUNTRY_NAME")</f>
        <v>Mozambique</v>
      </c>
      <c r="J10" t="str">
        <f>_xll.SNL.Clients.Office.Excel.Functions.SPG(E10, "SP_PARENT_COUNTRY")</f>
        <v/>
      </c>
      <c r="K10" s="9" t="str">
        <f>_xll.SNL.Clients.Office.Excel.Functions.SPG(E10, "SP_PARENT_COMPANY_ID")</f>
        <v/>
      </c>
      <c r="L10" t="str">
        <f>_xll.SNL.Clients.Office.Excel.Functions.SPG(K10, "SP_COMPANY_TYPE")</f>
        <v>#INVALID COMPANY ID</v>
      </c>
      <c r="M10" s="9" t="str">
        <f>_xll.SNL.Clients.Office.Excel.Functions.SPG(E10, "SP_ULT_PARENT_COMPANY_NAME")</f>
        <v/>
      </c>
      <c r="N10" s="9" t="str">
        <f>_xll.SNL.Clients.Office.Excel.Functions.SPG(E10, "SP_ULT_PARENT_COUNTRY")</f>
        <v/>
      </c>
      <c r="O10" s="9" t="str">
        <f>_xll.SNL.Clients.Office.Excel.Functions.SPG(E10, "SP_ULT_PARENT_COMPANY_ID")</f>
        <v>NA</v>
      </c>
      <c r="P10" t="str">
        <f>_xll.SNL.Clients.Office.Excel.Functions.SPG(O10, "SP_COMPANY_TYPE")</f>
        <v>Public Company</v>
      </c>
      <c r="Q10" s="11" t="str">
        <f>_xll.SNL.Clients.Office.Excel.Functions.SPG(E10, "SP_PCT_SHARES_OWNED_ALL_INSTITUTIONS")</f>
        <v>NA</v>
      </c>
      <c r="R10" s="11" t="str">
        <f>_xll.SNL.Clients.Office.Excel.Functions.SPG(E10, "PCT_OWNED_INSTN_BANKS/INVEST_BANKS")</f>
        <v>NA</v>
      </c>
      <c r="S10" s="11" t="str">
        <f>_xll.SNL.Clients.Office.Excel.Functions.SPG(E10, "PCT_OWNED_INSTN_CHARITABLE_FOUNDATIONS")</f>
        <v>NA</v>
      </c>
      <c r="T10" s="11" t="str">
        <f>_xll.SNL.Clients.Office.Excel.Functions.SPG(E10, "PCT_OWNED_INSTN_CORP_PENSION_SPONSORS")</f>
        <v>NA</v>
      </c>
      <c r="U10" s="11" t="str">
        <f>_xll.SNL.Clients.Office.Excel.Functions.SPG(E10, "PCT_OWNED_INSTN_EDUCATIONAL/CULTURAL_ENDOWMENTS")</f>
        <v>NA</v>
      </c>
      <c r="V10" s="11" t="str">
        <f>_xll.SNL.Clients.Office.Excel.Functions.SPG(E10, "PCT_OWNED_INSTN_FAMILY_OFFICES/TRUSTS")</f>
        <v>NA</v>
      </c>
      <c r="W10" s="11" t="str">
        <f>_xll.SNL.Clients.Office.Excel.Functions.SPG(E10, "PCT_OWNED_INSTN_GOVT_PENSION_SPONSORS")</f>
        <v>NA</v>
      </c>
      <c r="X10" s="11" t="str">
        <f>_xll.SNL.Clients.Office.Excel.Functions.SPG(E10, "PCT_OWNED_INSTN_INSURANCE_COMPANIES")</f>
        <v>NA</v>
      </c>
      <c r="Y10" s="11" t="str">
        <f>_xll.SNL.Clients.Office.Excel.Functions.SPG(E10, "PCT_OWNED_INSTN_INVEST_MGRS")</f>
        <v>NA</v>
      </c>
      <c r="Z10" s="11" t="str">
        <f>_xll.SNL.Clients.Office.Excel.Functions.SPG(E10, "PCT_OWNED_INSTN_REIT")</f>
        <v>NA</v>
      </c>
      <c r="AA10" s="11" t="str">
        <f>_xll.SNL.Clients.Office.Excel.Functions.SPG(E10, "PCT_OWNED_INSTN_UNCLASSIFIED")</f>
        <v>NA</v>
      </c>
      <c r="AB10" s="11" t="str">
        <f>_xll.SNL.Clients.Office.Excel.Functions.SPG(E10, "PCT_OWNED_INSTN_UNION_PENSION_SPONSORS")</f>
        <v>NA</v>
      </c>
      <c r="AC10" s="11" t="str">
        <f>_xll.SNL.Clients.Office.Excel.Functions.SPG(E10, "PCT_OWNED_INSTN_HEDGE_FUND_MGRS_LESS5PCT_STAKE")</f>
        <v>NA</v>
      </c>
      <c r="AD10" s="11" t="str">
        <f>_xll.SNL.Clients.Office.Excel.Functions.SPG(E10, "PCT_OWNED_INSTN_SOVEREIGN_WEALTH_FUNDS_LESS5PCT_STAKE")</f>
        <v>NA</v>
      </c>
      <c r="AE10" s="11" t="str">
        <f>_xll.SNL.Clients.Office.Excel.Functions.SPG(E10, "PCT_OWNED_INSTN_VC/PE_FIRMS_LESS5PCT_STAKE")</f>
        <v>NA</v>
      </c>
      <c r="AF10" s="11" t="str">
        <f>_xll.SNL.Clients.Office.Excel.Functions.SPG(E10, "PCT_OWNED_INSIDERS")</f>
        <v>NA</v>
      </c>
      <c r="AG10" s="11" t="str">
        <f>_xll.SNL.Clients.Office.Excel.Functions.SPG(E10, "PCT_OWNED_STRATEGIC_HEDGE_FUND_MGRS_MORE_EQUAL5PCT_STAKE")</f>
        <v>NA</v>
      </c>
      <c r="AH10" s="11" t="str">
        <f>_xll.SNL.Clients.Office.Excel.Functions.SPG(E10, "PCT_OWNED_STRATEGIC_VC/PE_FIRMS_MORE_EQUAL5PCT_STAKE")</f>
        <v>NA</v>
      </c>
      <c r="AI10" s="11" t="str">
        <f>_xll.SNL.Clients.Office.Excel.Functions.SPG(E10, "PCT_OWNED_STRATEGIC_SOVEREIGN_WEALTH_FUNDS_MORE_EQUAL5PCT_STAKE")</f>
        <v>NA</v>
      </c>
      <c r="AJ10" s="11" t="str">
        <f>_xll.SNL.Clients.Office.Excel.Functions.SPG(E10, "PCT_OWNED_STRATEGIC_COMPANY_CONTROLLED_FOUNDATIONS")</f>
        <v>NA</v>
      </c>
      <c r="AK10" s="11" t="str">
        <f>_xll.SNL.Clients.Office.Excel.Functions.SPG(E10, "PCT_OWNED_STRATEGIC_ESOP")</f>
        <v>NA</v>
      </c>
      <c r="AL10" s="11" t="str">
        <f>_xll.SNL.Clients.Office.Excel.Functions.SPG(E10, "PCT_OWNED_STRATEGIC_STATE_OWNER")</f>
        <v>NA</v>
      </c>
      <c r="AM10" s="11" t="str">
        <f>_xll.SNL.Clients.Office.Excel.Functions.SPG(E10, "PCT_OWNED_STRATEGIC_CORPORATIONS_PRIVATE")</f>
        <v>NA</v>
      </c>
      <c r="AN10" s="11" t="str">
        <f>_xll.SNL.Clients.Office.Excel.Functions.SPG(E10, "PCT_OWNED_STRATEGIC_CORPORATIONS_PUBLIC")</f>
        <v>NA</v>
      </c>
    </row>
    <row r="11" spans="1:40" x14ac:dyDescent="0.35">
      <c r="A11" s="5">
        <v>46022</v>
      </c>
      <c r="B11" s="4" t="s">
        <v>42</v>
      </c>
      <c r="C11" s="4" t="s">
        <v>43</v>
      </c>
      <c r="D11" s="4" t="s">
        <v>118</v>
      </c>
      <c r="E11" s="8">
        <v>4354685</v>
      </c>
      <c r="F11" s="7">
        <v>95</v>
      </c>
      <c r="G11" s="9" t="str">
        <f>_xll.SNL.Clients.Office.Excel.Functions.SPG(E11, "SP_COMPANY_TYPE")</f>
        <v>Public Company</v>
      </c>
      <c r="H11" s="10" t="str">
        <f>_xll.SNL.Clients.Office.Excel.Functions.SPG(E11, "SP_COUNTRY_NAME")</f>
        <v>Australia</v>
      </c>
      <c r="J11" t="str">
        <f>_xll.SNL.Clients.Office.Excel.Functions.SPG(E11, "SP_PARENT_COUNTRY")</f>
        <v>Australia; Australia</v>
      </c>
      <c r="K11" s="9" t="str">
        <f>_xll.SNL.Clients.Office.Excel.Functions.SPG(E11, "SP_PARENT_COMPANY_ID")</f>
        <v>4757367; 6682654</v>
      </c>
      <c r="L11" t="str">
        <f>_xll.SNL.Clients.Office.Excel.Functions.SPG(K11, "SP_COMPANY_TYPE")</f>
        <v>#INVALID COMPANY ID</v>
      </c>
      <c r="M11" s="9" t="str">
        <f>_xll.SNL.Clients.Office.Excel.Functions.SPG(E11, "SP_ULT_PARENT_COMPANY_NAME")</f>
        <v>Australian Super Pty Ltd</v>
      </c>
      <c r="N11" s="9" t="str">
        <f>_xll.SNL.Clients.Office.Excel.Functions.SPG(E11, "SP_ULT_PARENT_COUNTRY")</f>
        <v>Australia</v>
      </c>
      <c r="O11" s="9">
        <f>_xll.SNL.Clients.Office.Excel.Functions.SPG(E11, "SP_ULT_PARENT_COMPANY_ID")</f>
        <v>4757367</v>
      </c>
      <c r="P11" t="str">
        <f>_xll.SNL.Clients.Office.Excel.Functions.SPG(O11, "SP_COMPANY_TYPE")</f>
        <v>Private Company</v>
      </c>
      <c r="Q11" s="11">
        <f>_xll.SNL.Clients.Office.Excel.Functions.SPG(E11, "SP_PCT_SHARES_OWNED_ALL_INSTITUTIONS")</f>
        <v>58.78</v>
      </c>
      <c r="R11" s="11">
        <f>_xll.SNL.Clients.Office.Excel.Functions.SPG(E11, "PCT_OWNED_INSTN_BANKS/INVEST_BANKS")</f>
        <v>2.33</v>
      </c>
      <c r="S11" s="11" t="str">
        <f>_xll.SNL.Clients.Office.Excel.Functions.SPG(E11, "PCT_OWNED_INSTN_CHARITABLE_FOUNDATIONS")</f>
        <v>NA</v>
      </c>
      <c r="T11" s="11" t="str">
        <f>_xll.SNL.Clients.Office.Excel.Functions.SPG(E11, "PCT_OWNED_INSTN_CORP_PENSION_SPONSORS")</f>
        <v>NA</v>
      </c>
      <c r="U11" s="11" t="str">
        <f>_xll.SNL.Clients.Office.Excel.Functions.SPG(E11, "PCT_OWNED_INSTN_EDUCATIONAL/CULTURAL_ENDOWMENTS")</f>
        <v>NA</v>
      </c>
      <c r="V11" s="11" t="str">
        <f>_xll.SNL.Clients.Office.Excel.Functions.SPG(E11, "PCT_OWNED_INSTN_FAMILY_OFFICES/TRUSTS")</f>
        <v>NA</v>
      </c>
      <c r="W11" s="11">
        <f>_xll.SNL.Clients.Office.Excel.Functions.SPG(E11, "PCT_OWNED_INSTN_GOVT_PENSION_SPONSORS")</f>
        <v>49.14</v>
      </c>
      <c r="X11" s="11" t="str">
        <f>_xll.SNL.Clients.Office.Excel.Functions.SPG(E11, "PCT_OWNED_INSTN_INSURANCE_COMPANIES")</f>
        <v>NA</v>
      </c>
      <c r="Y11" s="11">
        <f>_xll.SNL.Clients.Office.Excel.Functions.SPG(E11, "PCT_OWNED_INSTN_INVEST_MGRS")</f>
        <v>7.3</v>
      </c>
      <c r="Z11" s="11" t="str">
        <f>_xll.SNL.Clients.Office.Excel.Functions.SPG(E11, "PCT_OWNED_INSTN_REIT")</f>
        <v>NA</v>
      </c>
      <c r="AA11" s="11" t="str">
        <f>_xll.SNL.Clients.Office.Excel.Functions.SPG(E11, "PCT_OWNED_INSTN_UNCLASSIFIED")</f>
        <v>NA</v>
      </c>
      <c r="AB11" s="11" t="str">
        <f>_xll.SNL.Clients.Office.Excel.Functions.SPG(E11, "PCT_OWNED_INSTN_UNION_PENSION_SPONSORS")</f>
        <v>NA</v>
      </c>
      <c r="AC11" s="11" t="str">
        <f>_xll.SNL.Clients.Office.Excel.Functions.SPG(E11, "PCT_OWNED_INSTN_HEDGE_FUND_MGRS_LESS5PCT_STAKE")</f>
        <v>NA</v>
      </c>
      <c r="AD11" s="11" t="str">
        <f>_xll.SNL.Clients.Office.Excel.Functions.SPG(E11, "PCT_OWNED_INSTN_SOVEREIGN_WEALTH_FUNDS_LESS5PCT_STAKE")</f>
        <v>NA</v>
      </c>
      <c r="AE11" s="11">
        <f>_xll.SNL.Clients.Office.Excel.Functions.SPG(E11, "PCT_OWNED_INSTN_VC/PE_FIRMS_LESS5PCT_STAKE")</f>
        <v>0.01</v>
      </c>
      <c r="AF11" s="11">
        <f>_xll.SNL.Clients.Office.Excel.Functions.SPG(E11, "PCT_OWNED_INSIDERS")</f>
        <v>2.92</v>
      </c>
      <c r="AG11" s="11" t="str">
        <f>_xll.SNL.Clients.Office.Excel.Functions.SPG(E11, "PCT_OWNED_STRATEGIC_HEDGE_FUND_MGRS_MORE_EQUAL5PCT_STAKE")</f>
        <v>NA</v>
      </c>
      <c r="AH11" s="11" t="str">
        <f>_xll.SNL.Clients.Office.Excel.Functions.SPG(E11, "PCT_OWNED_STRATEGIC_VC/PE_FIRMS_MORE_EQUAL5PCT_STAKE")</f>
        <v>NA</v>
      </c>
      <c r="AI11" s="11" t="str">
        <f>_xll.SNL.Clients.Office.Excel.Functions.SPG(E11, "PCT_OWNED_STRATEGIC_SOVEREIGN_WEALTH_FUNDS_MORE_EQUAL5PCT_STAKE")</f>
        <v>NA</v>
      </c>
      <c r="AJ11" s="11" t="str">
        <f>_xll.SNL.Clients.Office.Excel.Functions.SPG(E11, "PCT_OWNED_STRATEGIC_COMPANY_CONTROLLED_FOUNDATIONS")</f>
        <v>NA</v>
      </c>
      <c r="AK11" s="11" t="str">
        <f>_xll.SNL.Clients.Office.Excel.Functions.SPG(E11, "PCT_OWNED_STRATEGIC_ESOP")</f>
        <v>NA</v>
      </c>
      <c r="AL11" s="11" t="str">
        <f>_xll.SNL.Clients.Office.Excel.Functions.SPG(E11, "PCT_OWNED_STRATEGIC_STATE_OWNER")</f>
        <v>NA</v>
      </c>
      <c r="AM11" s="11">
        <f>_xll.SNL.Clients.Office.Excel.Functions.SPG(E11, "PCT_OWNED_STRATEGIC_CORPORATIONS_PRIVATE")</f>
        <v>1.65</v>
      </c>
      <c r="AN11" s="11" t="str">
        <f>_xll.SNL.Clients.Office.Excel.Functions.SPG(E11, "PCT_OWNED_STRATEGIC_CORPORATIONS_PUBLIC")</f>
        <v>NA</v>
      </c>
    </row>
    <row r="12" spans="1:40" x14ac:dyDescent="0.35">
      <c r="A12" s="5">
        <v>46022</v>
      </c>
      <c r="B12" s="4" t="s">
        <v>45</v>
      </c>
      <c r="C12" s="4" t="s">
        <v>46</v>
      </c>
      <c r="D12" s="4" t="s">
        <v>119</v>
      </c>
      <c r="E12" s="8">
        <v>106407935</v>
      </c>
      <c r="F12" s="7">
        <v>100</v>
      </c>
      <c r="G12" s="9" t="str">
        <f>_xll.SNL.Clients.Office.Excel.Functions.SPG(E12, "SP_COMPANY_TYPE")</f>
        <v>Public Company</v>
      </c>
      <c r="H12" s="10" t="str">
        <f>_xll.SNL.Clients.Office.Excel.Functions.SPG(E12, "SP_COUNTRY_NAME")</f>
        <v>China</v>
      </c>
      <c r="J12" t="str">
        <f>_xll.SNL.Clients.Office.Excel.Functions.SPG(E12, "SP_PARENT_COUNTRY")</f>
        <v>BVI</v>
      </c>
      <c r="K12" s="9" t="str">
        <f>_xll.SNL.Clients.Office.Excel.Functions.SPG(E12, "SP_PARENT_COMPANY_ID")</f>
        <v>107016470</v>
      </c>
      <c r="L12" t="str">
        <f>_xll.SNL.Clients.Office.Excel.Functions.SPG(K12, "SP_COMPANY_TYPE")</f>
        <v>Private Company</v>
      </c>
      <c r="M12" s="9" t="str">
        <f>_xll.SNL.Clients.Office.Excel.Functions.SPG(E12, "SP_ULT_PARENT_COMPANY_NAME")</f>
        <v>Sandy Mining Limited</v>
      </c>
      <c r="N12" s="9" t="str">
        <f>_xll.SNL.Clients.Office.Excel.Functions.SPG(E12, "SP_ULT_PARENT_COUNTRY")</f>
        <v>BVI</v>
      </c>
      <c r="O12" s="9">
        <f>_xll.SNL.Clients.Office.Excel.Functions.SPG(E12, "SP_ULT_PARENT_COMPANY_ID")</f>
        <v>107016470</v>
      </c>
      <c r="P12" t="str">
        <f>_xll.SNL.Clients.Office.Excel.Functions.SPG(O12, "SP_COMPANY_TYPE")</f>
        <v>Private Company</v>
      </c>
      <c r="Q12" s="11" t="str">
        <f>_xll.SNL.Clients.Office.Excel.Functions.SPG(E12, "SP_PCT_SHARES_OWNED_ALL_INSTITUTIONS")</f>
        <v>NA</v>
      </c>
      <c r="R12" s="11" t="str">
        <f>_xll.SNL.Clients.Office.Excel.Functions.SPG(E12, "PCT_OWNED_INSTN_BANKS/INVEST_BANKS")</f>
        <v>NA</v>
      </c>
      <c r="S12" s="11" t="str">
        <f>_xll.SNL.Clients.Office.Excel.Functions.SPG(E12, "PCT_OWNED_INSTN_CHARITABLE_FOUNDATIONS")</f>
        <v>NA</v>
      </c>
      <c r="T12" s="11" t="str">
        <f>_xll.SNL.Clients.Office.Excel.Functions.SPG(E12, "PCT_OWNED_INSTN_CORP_PENSION_SPONSORS")</f>
        <v>NA</v>
      </c>
      <c r="U12" s="11" t="str">
        <f>_xll.SNL.Clients.Office.Excel.Functions.SPG(E12, "PCT_OWNED_INSTN_EDUCATIONAL/CULTURAL_ENDOWMENTS")</f>
        <v>NA</v>
      </c>
      <c r="V12" s="11" t="str">
        <f>_xll.SNL.Clients.Office.Excel.Functions.SPG(E12, "PCT_OWNED_INSTN_FAMILY_OFFICES/TRUSTS")</f>
        <v>NA</v>
      </c>
      <c r="W12" s="11" t="str">
        <f>_xll.SNL.Clients.Office.Excel.Functions.SPG(E12, "PCT_OWNED_INSTN_GOVT_PENSION_SPONSORS")</f>
        <v>NA</v>
      </c>
      <c r="X12" s="11" t="str">
        <f>_xll.SNL.Clients.Office.Excel.Functions.SPG(E12, "PCT_OWNED_INSTN_INSURANCE_COMPANIES")</f>
        <v>NA</v>
      </c>
      <c r="Y12" s="11" t="str">
        <f>_xll.SNL.Clients.Office.Excel.Functions.SPG(E12, "PCT_OWNED_INSTN_INVEST_MGRS")</f>
        <v>NA</v>
      </c>
      <c r="Z12" s="11" t="str">
        <f>_xll.SNL.Clients.Office.Excel.Functions.SPG(E12, "PCT_OWNED_INSTN_REIT")</f>
        <v>NA</v>
      </c>
      <c r="AA12" s="11" t="str">
        <f>_xll.SNL.Clients.Office.Excel.Functions.SPG(E12, "PCT_OWNED_INSTN_UNCLASSIFIED")</f>
        <v>NA</v>
      </c>
      <c r="AB12" s="11" t="str">
        <f>_xll.SNL.Clients.Office.Excel.Functions.SPG(E12, "PCT_OWNED_INSTN_UNION_PENSION_SPONSORS")</f>
        <v>NA</v>
      </c>
      <c r="AC12" s="11" t="str">
        <f>_xll.SNL.Clients.Office.Excel.Functions.SPG(E12, "PCT_OWNED_INSTN_HEDGE_FUND_MGRS_LESS5PCT_STAKE")</f>
        <v>NA</v>
      </c>
      <c r="AD12" s="11" t="str">
        <f>_xll.SNL.Clients.Office.Excel.Functions.SPG(E12, "PCT_OWNED_INSTN_SOVEREIGN_WEALTH_FUNDS_LESS5PCT_STAKE")</f>
        <v>NA</v>
      </c>
      <c r="AE12" s="11" t="str">
        <f>_xll.SNL.Clients.Office.Excel.Functions.SPG(E12, "PCT_OWNED_INSTN_VC/PE_FIRMS_LESS5PCT_STAKE")</f>
        <v>NA</v>
      </c>
      <c r="AF12" s="11">
        <f>_xll.SNL.Clients.Office.Excel.Functions.SPG(E12, "PCT_OWNED_INSIDERS")</f>
        <v>75</v>
      </c>
      <c r="AG12" s="11" t="str">
        <f>_xll.SNL.Clients.Office.Excel.Functions.SPG(E12, "PCT_OWNED_STRATEGIC_HEDGE_FUND_MGRS_MORE_EQUAL5PCT_STAKE")</f>
        <v>NA</v>
      </c>
      <c r="AH12" s="11" t="str">
        <f>_xll.SNL.Clients.Office.Excel.Functions.SPG(E12, "PCT_OWNED_STRATEGIC_VC/PE_FIRMS_MORE_EQUAL5PCT_STAKE")</f>
        <v>NA</v>
      </c>
      <c r="AI12" s="11" t="str">
        <f>_xll.SNL.Clients.Office.Excel.Functions.SPG(E12, "PCT_OWNED_STRATEGIC_SOVEREIGN_WEALTH_FUNDS_MORE_EQUAL5PCT_STAKE")</f>
        <v>NA</v>
      </c>
      <c r="AJ12" s="11" t="str">
        <f>_xll.SNL.Clients.Office.Excel.Functions.SPG(E12, "PCT_OWNED_STRATEGIC_COMPANY_CONTROLLED_FOUNDATIONS")</f>
        <v>NA</v>
      </c>
      <c r="AK12" s="11" t="str">
        <f>_xll.SNL.Clients.Office.Excel.Functions.SPG(E12, "PCT_OWNED_STRATEGIC_ESOP")</f>
        <v>NA</v>
      </c>
      <c r="AL12" s="11" t="str">
        <f>_xll.SNL.Clients.Office.Excel.Functions.SPG(E12, "PCT_OWNED_STRATEGIC_STATE_OWNER")</f>
        <v>NA</v>
      </c>
      <c r="AM12" s="11" t="str">
        <f>_xll.SNL.Clients.Office.Excel.Functions.SPG(E12, "PCT_OWNED_STRATEGIC_CORPORATIONS_PRIVATE")</f>
        <v>NA</v>
      </c>
      <c r="AN12" s="11" t="str">
        <f>_xll.SNL.Clients.Office.Excel.Functions.SPG(E12, "PCT_OWNED_STRATEGIC_CORPORATIONS_PUBLIC")</f>
        <v>NA</v>
      </c>
    </row>
    <row r="13" spans="1:40" x14ac:dyDescent="0.35">
      <c r="A13" s="5">
        <v>46022</v>
      </c>
      <c r="B13" s="4" t="s">
        <v>51</v>
      </c>
      <c r="C13" s="4" t="s">
        <v>52</v>
      </c>
      <c r="D13" s="4" t="s">
        <v>120</v>
      </c>
      <c r="E13" s="8">
        <v>4348016</v>
      </c>
      <c r="F13" s="7">
        <v>100</v>
      </c>
      <c r="G13" s="9" t="str">
        <f>_xll.SNL.Clients.Office.Excel.Functions.SPG(E13, "SP_COMPANY_TYPE")</f>
        <v>Public Company</v>
      </c>
      <c r="H13" s="10" t="str">
        <f>_xll.SNL.Clients.Office.Excel.Functions.SPG(E13, "SP_COUNTRY_NAME")</f>
        <v>Netherlands</v>
      </c>
      <c r="J13" t="str">
        <f>_xll.SNL.Clients.Office.Excel.Functions.SPG(E13, "SP_PARENT_COUNTRY")</f>
        <v/>
      </c>
      <c r="K13" s="9" t="str">
        <f>_xll.SNL.Clients.Office.Excel.Functions.SPG(E13, "SP_PARENT_COMPANY_ID")</f>
        <v/>
      </c>
      <c r="L13" t="str">
        <f>_xll.SNL.Clients.Office.Excel.Functions.SPG(K13, "SP_COMPANY_TYPE")</f>
        <v>#INVALID COMPANY ID</v>
      </c>
      <c r="M13" s="9" t="str">
        <f>_xll.SNL.Clients.Office.Excel.Functions.SPG(E13, "SP_ULT_PARENT_COMPANY_NAME")</f>
        <v/>
      </c>
      <c r="N13" s="9" t="str">
        <f>_xll.SNL.Clients.Office.Excel.Functions.SPG(E13, "SP_ULT_PARENT_COUNTRY")</f>
        <v/>
      </c>
      <c r="O13" s="9" t="str">
        <f>_xll.SNL.Clients.Office.Excel.Functions.SPG(E13, "SP_ULT_PARENT_COMPANY_ID")</f>
        <v>NA</v>
      </c>
      <c r="P13" t="str">
        <f>_xll.SNL.Clients.Office.Excel.Functions.SPG(O13, "SP_COMPANY_TYPE")</f>
        <v>Public Company</v>
      </c>
      <c r="Q13" s="11">
        <f>_xll.SNL.Clients.Office.Excel.Functions.SPG(E13, "SP_PCT_SHARES_OWNED_ALL_INSTITUTIONS")</f>
        <v>51.27</v>
      </c>
      <c r="R13" s="11">
        <f>_xll.SNL.Clients.Office.Excel.Functions.SPG(E13, "PCT_OWNED_INSTN_BANKS/INVEST_BANKS")</f>
        <v>10.46</v>
      </c>
      <c r="S13" s="11" t="str">
        <f>_xll.SNL.Clients.Office.Excel.Functions.SPG(E13, "PCT_OWNED_INSTN_CHARITABLE_FOUNDATIONS")</f>
        <v>NA</v>
      </c>
      <c r="T13" s="11" t="str">
        <f>_xll.SNL.Clients.Office.Excel.Functions.SPG(E13, "PCT_OWNED_INSTN_CORP_PENSION_SPONSORS")</f>
        <v>NA</v>
      </c>
      <c r="U13" s="11" t="str">
        <f>_xll.SNL.Clients.Office.Excel.Functions.SPG(E13, "PCT_OWNED_INSTN_EDUCATIONAL/CULTURAL_ENDOWMENTS")</f>
        <v>NA</v>
      </c>
      <c r="V13" s="11" t="str">
        <f>_xll.SNL.Clients.Office.Excel.Functions.SPG(E13, "PCT_OWNED_INSTN_FAMILY_OFFICES/TRUSTS")</f>
        <v>NA</v>
      </c>
      <c r="W13" s="11" t="str">
        <f>_xll.SNL.Clients.Office.Excel.Functions.SPG(E13, "PCT_OWNED_INSTN_GOVT_PENSION_SPONSORS")</f>
        <v>NA</v>
      </c>
      <c r="X13" s="11" t="str">
        <f>_xll.SNL.Clients.Office.Excel.Functions.SPG(E13, "PCT_OWNED_INSTN_INSURANCE_COMPANIES")</f>
        <v>NA</v>
      </c>
      <c r="Y13" s="11">
        <f>_xll.SNL.Clients.Office.Excel.Functions.SPG(E13, "PCT_OWNED_INSTN_INVEST_MGRS")</f>
        <v>35.86</v>
      </c>
      <c r="Z13" s="11" t="str">
        <f>_xll.SNL.Clients.Office.Excel.Functions.SPG(E13, "PCT_OWNED_INSTN_REIT")</f>
        <v>NA</v>
      </c>
      <c r="AA13" s="11" t="str">
        <f>_xll.SNL.Clients.Office.Excel.Functions.SPG(E13, "PCT_OWNED_INSTN_UNCLASSIFIED")</f>
        <v>NA</v>
      </c>
      <c r="AB13" s="11" t="str">
        <f>_xll.SNL.Clients.Office.Excel.Functions.SPG(E13, "PCT_OWNED_INSTN_UNION_PENSION_SPONSORS")</f>
        <v>NA</v>
      </c>
      <c r="AC13" s="11">
        <f>_xll.SNL.Clients.Office.Excel.Functions.SPG(E13, "PCT_OWNED_INSTN_HEDGE_FUND_MGRS_LESS5PCT_STAKE")</f>
        <v>1.99</v>
      </c>
      <c r="AD13" s="11">
        <f>_xll.SNL.Clients.Office.Excel.Functions.SPG(E13, "PCT_OWNED_INSTN_SOVEREIGN_WEALTH_FUNDS_LESS5PCT_STAKE")</f>
        <v>2.95</v>
      </c>
      <c r="AE13" s="11" t="str">
        <f>_xll.SNL.Clients.Office.Excel.Functions.SPG(E13, "PCT_OWNED_INSTN_VC/PE_FIRMS_LESS5PCT_STAKE")</f>
        <v>NA</v>
      </c>
      <c r="AF13" s="11">
        <f>_xll.SNL.Clients.Office.Excel.Functions.SPG(E13, "PCT_OWNED_INSIDERS")</f>
        <v>6.31</v>
      </c>
      <c r="AG13" s="11" t="str">
        <f>_xll.SNL.Clients.Office.Excel.Functions.SPG(E13, "PCT_OWNED_STRATEGIC_HEDGE_FUND_MGRS_MORE_EQUAL5PCT_STAKE")</f>
        <v>NA</v>
      </c>
      <c r="AH13" s="11" t="str">
        <f>_xll.SNL.Clients.Office.Excel.Functions.SPG(E13, "PCT_OWNED_STRATEGIC_VC/PE_FIRMS_MORE_EQUAL5PCT_STAKE")</f>
        <v>NA</v>
      </c>
      <c r="AI13" s="11" t="str">
        <f>_xll.SNL.Clients.Office.Excel.Functions.SPG(E13, "PCT_OWNED_STRATEGIC_SOVEREIGN_WEALTH_FUNDS_MORE_EQUAL5PCT_STAKE")</f>
        <v>NA</v>
      </c>
      <c r="AJ13" s="11" t="str">
        <f>_xll.SNL.Clients.Office.Excel.Functions.SPG(E13, "PCT_OWNED_STRATEGIC_COMPANY_CONTROLLED_FOUNDATIONS")</f>
        <v>NA</v>
      </c>
      <c r="AK13" s="11" t="str">
        <f>_xll.SNL.Clients.Office.Excel.Functions.SPG(E13, "PCT_OWNED_STRATEGIC_ESOP")</f>
        <v>NA</v>
      </c>
      <c r="AL13" s="11" t="str">
        <f>_xll.SNL.Clients.Office.Excel.Functions.SPG(E13, "PCT_OWNED_STRATEGIC_STATE_OWNER")</f>
        <v>NA</v>
      </c>
      <c r="AM13" s="11">
        <f>_xll.SNL.Clients.Office.Excel.Functions.SPG(E13, "PCT_OWNED_STRATEGIC_CORPORATIONS_PRIVATE")</f>
        <v>1.1299999999999999</v>
      </c>
      <c r="AN13" s="11" t="str">
        <f>_xll.SNL.Clients.Office.Excel.Functions.SPG(E13, "PCT_OWNED_STRATEGIC_CORPORATIONS_PUBLIC")</f>
        <v>NA</v>
      </c>
    </row>
    <row r="14" spans="1:40" x14ac:dyDescent="0.35">
      <c r="A14" s="5">
        <v>46022</v>
      </c>
      <c r="B14" s="4" t="s">
        <v>54</v>
      </c>
      <c r="C14" s="4" t="s">
        <v>55</v>
      </c>
      <c r="D14" s="4" t="s">
        <v>121</v>
      </c>
      <c r="E14" s="8">
        <v>4363836</v>
      </c>
      <c r="F14" s="7">
        <v>100</v>
      </c>
      <c r="G14" s="9" t="str">
        <f>_xll.SNL.Clients.Office.Excel.Functions.SPG(E14, "SP_COMPANY_TYPE")</f>
        <v>Public Company</v>
      </c>
      <c r="H14" s="10" t="str">
        <f>_xll.SNL.Clients.Office.Excel.Functions.SPG(E14, "SP_COUNTRY_NAME")</f>
        <v>Canada</v>
      </c>
      <c r="J14" t="str">
        <f>_xll.SNL.Clients.Office.Excel.Functions.SPG(E14, "SP_PARENT_COUNTRY")</f>
        <v/>
      </c>
      <c r="K14" s="9" t="str">
        <f>_xll.SNL.Clients.Office.Excel.Functions.SPG(E14, "SP_PARENT_COMPANY_ID")</f>
        <v/>
      </c>
      <c r="L14" t="str">
        <f>_xll.SNL.Clients.Office.Excel.Functions.SPG(K14, "SP_COMPANY_TYPE")</f>
        <v>#INVALID COMPANY ID</v>
      </c>
      <c r="M14" s="9" t="str">
        <f>_xll.SNL.Clients.Office.Excel.Functions.SPG(E14, "SP_ULT_PARENT_COMPANY_NAME")</f>
        <v/>
      </c>
      <c r="N14" s="9" t="str">
        <f>_xll.SNL.Clients.Office.Excel.Functions.SPG(E14, "SP_ULT_PARENT_COUNTRY")</f>
        <v/>
      </c>
      <c r="O14" s="9" t="str">
        <f>_xll.SNL.Clients.Office.Excel.Functions.SPG(E14, "SP_ULT_PARENT_COMPANY_ID")</f>
        <v>NA</v>
      </c>
      <c r="P14" t="str">
        <f>_xll.SNL.Clients.Office.Excel.Functions.SPG(O14, "SP_COMPANY_TYPE")</f>
        <v>Public Company</v>
      </c>
      <c r="Q14" s="11">
        <f>_xll.SNL.Clients.Office.Excel.Functions.SPG(E14, "SP_PCT_SHARES_OWNED_ALL_INSTITUTIONS")</f>
        <v>1.86</v>
      </c>
      <c r="R14" s="11" t="str">
        <f>_xll.SNL.Clients.Office.Excel.Functions.SPG(E14, "PCT_OWNED_INSTN_BANKS/INVEST_BANKS")</f>
        <v>NA</v>
      </c>
      <c r="S14" s="11" t="str">
        <f>_xll.SNL.Clients.Office.Excel.Functions.SPG(E14, "PCT_OWNED_INSTN_CHARITABLE_FOUNDATIONS")</f>
        <v>NA</v>
      </c>
      <c r="T14" s="11" t="str">
        <f>_xll.SNL.Clients.Office.Excel.Functions.SPG(E14, "PCT_OWNED_INSTN_CORP_PENSION_SPONSORS")</f>
        <v>NA</v>
      </c>
      <c r="U14" s="11" t="str">
        <f>_xll.SNL.Clients.Office.Excel.Functions.SPG(E14, "PCT_OWNED_INSTN_EDUCATIONAL/CULTURAL_ENDOWMENTS")</f>
        <v>NA</v>
      </c>
      <c r="V14" s="11">
        <f>_xll.SNL.Clients.Office.Excel.Functions.SPG(E14, "PCT_OWNED_INSTN_FAMILY_OFFICES/TRUSTS")</f>
        <v>0.01</v>
      </c>
      <c r="W14" s="11" t="str">
        <f>_xll.SNL.Clients.Office.Excel.Functions.SPG(E14, "PCT_OWNED_INSTN_GOVT_PENSION_SPONSORS")</f>
        <v>NA</v>
      </c>
      <c r="X14" s="11" t="str">
        <f>_xll.SNL.Clients.Office.Excel.Functions.SPG(E14, "PCT_OWNED_INSTN_INSURANCE_COMPANIES")</f>
        <v>NA</v>
      </c>
      <c r="Y14" s="11">
        <f>_xll.SNL.Clients.Office.Excel.Functions.SPG(E14, "PCT_OWNED_INSTN_INVEST_MGRS")</f>
        <v>1.61</v>
      </c>
      <c r="Z14" s="11" t="str">
        <f>_xll.SNL.Clients.Office.Excel.Functions.SPG(E14, "PCT_OWNED_INSTN_REIT")</f>
        <v>NA</v>
      </c>
      <c r="AA14" s="11" t="str">
        <f>_xll.SNL.Clients.Office.Excel.Functions.SPG(E14, "PCT_OWNED_INSTN_UNCLASSIFIED")</f>
        <v>NA</v>
      </c>
      <c r="AB14" s="11" t="str">
        <f>_xll.SNL.Clients.Office.Excel.Functions.SPG(E14, "PCT_OWNED_INSTN_UNION_PENSION_SPONSORS")</f>
        <v>NA</v>
      </c>
      <c r="AC14" s="11" t="str">
        <f>_xll.SNL.Clients.Office.Excel.Functions.SPG(E14, "PCT_OWNED_INSTN_HEDGE_FUND_MGRS_LESS5PCT_STAKE")</f>
        <v>NA</v>
      </c>
      <c r="AD14" s="11" t="str">
        <f>_xll.SNL.Clients.Office.Excel.Functions.SPG(E14, "PCT_OWNED_INSTN_SOVEREIGN_WEALTH_FUNDS_LESS5PCT_STAKE")</f>
        <v>NA</v>
      </c>
      <c r="AE14" s="11">
        <f>_xll.SNL.Clients.Office.Excel.Functions.SPG(E14, "PCT_OWNED_INSTN_VC/PE_FIRMS_LESS5PCT_STAKE")</f>
        <v>0.24</v>
      </c>
      <c r="AF14" s="11">
        <f>_xll.SNL.Clients.Office.Excel.Functions.SPG(E14, "PCT_OWNED_INSIDERS")</f>
        <v>2.97</v>
      </c>
      <c r="AG14" s="11" t="str">
        <f>_xll.SNL.Clients.Office.Excel.Functions.SPG(E14, "PCT_OWNED_STRATEGIC_HEDGE_FUND_MGRS_MORE_EQUAL5PCT_STAKE")</f>
        <v>NA</v>
      </c>
      <c r="AH14" s="11" t="str">
        <f>_xll.SNL.Clients.Office.Excel.Functions.SPG(E14, "PCT_OWNED_STRATEGIC_VC/PE_FIRMS_MORE_EQUAL5PCT_STAKE")</f>
        <v>NA</v>
      </c>
      <c r="AI14" s="11" t="str">
        <f>_xll.SNL.Clients.Office.Excel.Functions.SPG(E14, "PCT_OWNED_STRATEGIC_SOVEREIGN_WEALTH_FUNDS_MORE_EQUAL5PCT_STAKE")</f>
        <v>NA</v>
      </c>
      <c r="AJ14" s="11" t="str">
        <f>_xll.SNL.Clients.Office.Excel.Functions.SPG(E14, "PCT_OWNED_STRATEGIC_COMPANY_CONTROLLED_FOUNDATIONS")</f>
        <v>NA</v>
      </c>
      <c r="AK14" s="11" t="str">
        <f>_xll.SNL.Clients.Office.Excel.Functions.SPG(E14, "PCT_OWNED_STRATEGIC_ESOP")</f>
        <v>NA</v>
      </c>
      <c r="AL14" s="11" t="str">
        <f>_xll.SNL.Clients.Office.Excel.Functions.SPG(E14, "PCT_OWNED_STRATEGIC_STATE_OWNER")</f>
        <v>NA</v>
      </c>
      <c r="AM14" s="11">
        <f>_xll.SNL.Clients.Office.Excel.Functions.SPG(E14, "PCT_OWNED_STRATEGIC_CORPORATIONS_PRIVATE")</f>
        <v>0.34</v>
      </c>
      <c r="AN14" s="11" t="str">
        <f>_xll.SNL.Clients.Office.Excel.Functions.SPG(E14, "PCT_OWNED_STRATEGIC_CORPORATIONS_PUBLIC")</f>
        <v>NA</v>
      </c>
    </row>
    <row r="15" spans="1:40" x14ac:dyDescent="0.35">
      <c r="A15" s="5">
        <v>46022</v>
      </c>
      <c r="B15" s="4" t="s">
        <v>88</v>
      </c>
      <c r="C15" s="4" t="s">
        <v>89</v>
      </c>
      <c r="D15" s="4" t="s">
        <v>122</v>
      </c>
      <c r="E15" s="8">
        <v>4457925</v>
      </c>
      <c r="F15" s="7">
        <v>100</v>
      </c>
      <c r="G15" s="9" t="str">
        <f>_xll.SNL.Clients.Office.Excel.Functions.SPG(E15, "SP_COMPANY_TYPE")</f>
        <v>Private Company</v>
      </c>
      <c r="H15" s="10" t="str">
        <f>_xll.SNL.Clients.Office.Excel.Functions.SPG(E15, "SP_COUNTRY_NAME")</f>
        <v>Brazil</v>
      </c>
      <c r="J15" t="str">
        <f>_xll.SNL.Clients.Office.Excel.Functions.SPG(E15, "SP_PARENT_COUNTRY")</f>
        <v/>
      </c>
      <c r="K15" s="9" t="str">
        <f>_xll.SNL.Clients.Office.Excel.Functions.SPG(E15, "SP_PARENT_COMPANY_ID")</f>
        <v/>
      </c>
      <c r="L15" t="str">
        <f>_xll.SNL.Clients.Office.Excel.Functions.SPG(K15, "SP_COMPANY_TYPE")</f>
        <v>#INVALID COMPANY ID</v>
      </c>
      <c r="M15" s="9" t="str">
        <f>_xll.SNL.Clients.Office.Excel.Functions.SPG(E15, "SP_ULT_PARENT_COMPANY_NAME")</f>
        <v/>
      </c>
      <c r="N15" s="9" t="str">
        <f>_xll.SNL.Clients.Office.Excel.Functions.SPG(E15, "SP_ULT_PARENT_COUNTRY")</f>
        <v/>
      </c>
      <c r="O15" s="9" t="str">
        <f>_xll.SNL.Clients.Office.Excel.Functions.SPG(E15, "SP_ULT_PARENT_COMPANY_ID")</f>
        <v>NA</v>
      </c>
      <c r="P15" t="str">
        <f>_xll.SNL.Clients.Office.Excel.Functions.SPG(O15, "SP_COMPANY_TYPE")</f>
        <v>Public Company</v>
      </c>
      <c r="Q15" s="11" t="str">
        <f>_xll.SNL.Clients.Office.Excel.Functions.SPG(E15, "SP_PCT_SHARES_OWNED_ALL_INSTITUTIONS")</f>
        <v>NA</v>
      </c>
      <c r="R15" s="11" t="str">
        <f>_xll.SNL.Clients.Office.Excel.Functions.SPG(E15, "PCT_OWNED_INSTN_BANKS/INVEST_BANKS")</f>
        <v>NA</v>
      </c>
      <c r="S15" s="11" t="str">
        <f>_xll.SNL.Clients.Office.Excel.Functions.SPG(E15, "PCT_OWNED_INSTN_CHARITABLE_FOUNDATIONS")</f>
        <v>NA</v>
      </c>
      <c r="T15" s="11" t="str">
        <f>_xll.SNL.Clients.Office.Excel.Functions.SPG(E15, "PCT_OWNED_INSTN_CORP_PENSION_SPONSORS")</f>
        <v>NA</v>
      </c>
      <c r="U15" s="11" t="str">
        <f>_xll.SNL.Clients.Office.Excel.Functions.SPG(E15, "PCT_OWNED_INSTN_EDUCATIONAL/CULTURAL_ENDOWMENTS")</f>
        <v>NA</v>
      </c>
      <c r="V15" s="11" t="str">
        <f>_xll.SNL.Clients.Office.Excel.Functions.SPG(E15, "PCT_OWNED_INSTN_FAMILY_OFFICES/TRUSTS")</f>
        <v>NA</v>
      </c>
      <c r="W15" s="11" t="str">
        <f>_xll.SNL.Clients.Office.Excel.Functions.SPG(E15, "PCT_OWNED_INSTN_GOVT_PENSION_SPONSORS")</f>
        <v>NA</v>
      </c>
      <c r="X15" s="11" t="str">
        <f>_xll.SNL.Clients.Office.Excel.Functions.SPG(E15, "PCT_OWNED_INSTN_INSURANCE_COMPANIES")</f>
        <v>NA</v>
      </c>
      <c r="Y15" s="11" t="str">
        <f>_xll.SNL.Clients.Office.Excel.Functions.SPG(E15, "PCT_OWNED_INSTN_INVEST_MGRS")</f>
        <v>NA</v>
      </c>
      <c r="Z15" s="11" t="str">
        <f>_xll.SNL.Clients.Office.Excel.Functions.SPG(E15, "PCT_OWNED_INSTN_REIT")</f>
        <v>NA</v>
      </c>
      <c r="AA15" s="11" t="str">
        <f>_xll.SNL.Clients.Office.Excel.Functions.SPG(E15, "PCT_OWNED_INSTN_UNCLASSIFIED")</f>
        <v>NA</v>
      </c>
      <c r="AB15" s="11" t="str">
        <f>_xll.SNL.Clients.Office.Excel.Functions.SPG(E15, "PCT_OWNED_INSTN_UNION_PENSION_SPONSORS")</f>
        <v>NA</v>
      </c>
      <c r="AC15" s="11" t="str">
        <f>_xll.SNL.Clients.Office.Excel.Functions.SPG(E15, "PCT_OWNED_INSTN_HEDGE_FUND_MGRS_LESS5PCT_STAKE")</f>
        <v>NA</v>
      </c>
      <c r="AD15" s="11" t="str">
        <f>_xll.SNL.Clients.Office.Excel.Functions.SPG(E15, "PCT_OWNED_INSTN_SOVEREIGN_WEALTH_FUNDS_LESS5PCT_STAKE")</f>
        <v>NA</v>
      </c>
      <c r="AE15" s="11" t="str">
        <f>_xll.SNL.Clients.Office.Excel.Functions.SPG(E15, "PCT_OWNED_INSTN_VC/PE_FIRMS_LESS5PCT_STAKE")</f>
        <v>NA</v>
      </c>
      <c r="AF15" s="11" t="str">
        <f>_xll.SNL.Clients.Office.Excel.Functions.SPG(E15, "PCT_OWNED_INSIDERS")</f>
        <v>NA</v>
      </c>
      <c r="AG15" s="11" t="str">
        <f>_xll.SNL.Clients.Office.Excel.Functions.SPG(E15, "PCT_OWNED_STRATEGIC_HEDGE_FUND_MGRS_MORE_EQUAL5PCT_STAKE")</f>
        <v>NA</v>
      </c>
      <c r="AH15" s="11" t="str">
        <f>_xll.SNL.Clients.Office.Excel.Functions.SPG(E15, "PCT_OWNED_STRATEGIC_VC/PE_FIRMS_MORE_EQUAL5PCT_STAKE")</f>
        <v>NA</v>
      </c>
      <c r="AI15" s="11" t="str">
        <f>_xll.SNL.Clients.Office.Excel.Functions.SPG(E15, "PCT_OWNED_STRATEGIC_SOVEREIGN_WEALTH_FUNDS_MORE_EQUAL5PCT_STAKE")</f>
        <v>NA</v>
      </c>
      <c r="AJ15" s="11" t="str">
        <f>_xll.SNL.Clients.Office.Excel.Functions.SPG(E15, "PCT_OWNED_STRATEGIC_COMPANY_CONTROLLED_FOUNDATIONS")</f>
        <v>NA</v>
      </c>
      <c r="AK15" s="11" t="str">
        <f>_xll.SNL.Clients.Office.Excel.Functions.SPG(E15, "PCT_OWNED_STRATEGIC_ESOP")</f>
        <v>NA</v>
      </c>
      <c r="AL15" s="11" t="str">
        <f>_xll.SNL.Clients.Office.Excel.Functions.SPG(E15, "PCT_OWNED_STRATEGIC_STATE_OWNER")</f>
        <v>NA</v>
      </c>
      <c r="AM15" s="11" t="str">
        <f>_xll.SNL.Clients.Office.Excel.Functions.SPG(E15, "PCT_OWNED_STRATEGIC_CORPORATIONS_PRIVATE")</f>
        <v>NA</v>
      </c>
      <c r="AN15" s="11" t="str">
        <f>_xll.SNL.Clients.Office.Excel.Functions.SPG(E15, "PCT_OWNED_STRATEGIC_CORPORATIONS_PUBLIC")</f>
        <v>NA</v>
      </c>
    </row>
    <row r="16" spans="1:40" x14ac:dyDescent="0.35">
      <c r="A16" s="5">
        <v>46022</v>
      </c>
      <c r="B16" s="4" t="s">
        <v>92</v>
      </c>
      <c r="C16" s="4" t="s">
        <v>93</v>
      </c>
      <c r="D16" s="4" t="s">
        <v>122</v>
      </c>
      <c r="E16" s="8">
        <v>4457925</v>
      </c>
      <c r="F16" s="7">
        <v>100</v>
      </c>
      <c r="G16" s="9" t="str">
        <f>_xll.SNL.Clients.Office.Excel.Functions.SPG(E16, "SP_COMPANY_TYPE")</f>
        <v>Private Company</v>
      </c>
      <c r="H16" s="10" t="str">
        <f>_xll.SNL.Clients.Office.Excel.Functions.SPG(E16, "SP_COUNTRY_NAME")</f>
        <v>Brazil</v>
      </c>
      <c r="J16" t="str">
        <f>_xll.SNL.Clients.Office.Excel.Functions.SPG(E16, "SP_PARENT_COUNTRY")</f>
        <v/>
      </c>
      <c r="K16" s="9" t="str">
        <f>_xll.SNL.Clients.Office.Excel.Functions.SPG(E16, "SP_PARENT_COMPANY_ID")</f>
        <v/>
      </c>
      <c r="L16" t="str">
        <f>_xll.SNL.Clients.Office.Excel.Functions.SPG(K16, "SP_COMPANY_TYPE")</f>
        <v>#INVALID COMPANY ID</v>
      </c>
      <c r="M16" s="9" t="str">
        <f>_xll.SNL.Clients.Office.Excel.Functions.SPG(E16, "SP_ULT_PARENT_COMPANY_NAME")</f>
        <v/>
      </c>
      <c r="N16" s="9" t="str">
        <f>_xll.SNL.Clients.Office.Excel.Functions.SPG(E16, "SP_ULT_PARENT_COUNTRY")</f>
        <v/>
      </c>
      <c r="O16" s="9" t="str">
        <f>_xll.SNL.Clients.Office.Excel.Functions.SPG(E16, "SP_ULT_PARENT_COMPANY_ID")</f>
        <v>NA</v>
      </c>
      <c r="P16" t="str">
        <f>_xll.SNL.Clients.Office.Excel.Functions.SPG(O16, "SP_COMPANY_TYPE")</f>
        <v>Public Company</v>
      </c>
      <c r="Q16" s="11" t="str">
        <f>_xll.SNL.Clients.Office.Excel.Functions.SPG(E16, "SP_PCT_SHARES_OWNED_ALL_INSTITUTIONS")</f>
        <v>NA</v>
      </c>
      <c r="R16" s="11" t="str">
        <f>_xll.SNL.Clients.Office.Excel.Functions.SPG(E16, "PCT_OWNED_INSTN_BANKS/INVEST_BANKS")</f>
        <v>NA</v>
      </c>
      <c r="S16" s="11" t="str">
        <f>_xll.SNL.Clients.Office.Excel.Functions.SPG(E16, "PCT_OWNED_INSTN_CHARITABLE_FOUNDATIONS")</f>
        <v>NA</v>
      </c>
      <c r="T16" s="11" t="str">
        <f>_xll.SNL.Clients.Office.Excel.Functions.SPG(E16, "PCT_OWNED_INSTN_CORP_PENSION_SPONSORS")</f>
        <v>NA</v>
      </c>
      <c r="U16" s="11" t="str">
        <f>_xll.SNL.Clients.Office.Excel.Functions.SPG(E16, "PCT_OWNED_INSTN_EDUCATIONAL/CULTURAL_ENDOWMENTS")</f>
        <v>NA</v>
      </c>
      <c r="V16" s="11" t="str">
        <f>_xll.SNL.Clients.Office.Excel.Functions.SPG(E16, "PCT_OWNED_INSTN_FAMILY_OFFICES/TRUSTS")</f>
        <v>NA</v>
      </c>
      <c r="W16" s="11" t="str">
        <f>_xll.SNL.Clients.Office.Excel.Functions.SPG(E16, "PCT_OWNED_INSTN_GOVT_PENSION_SPONSORS")</f>
        <v>NA</v>
      </c>
      <c r="X16" s="11" t="str">
        <f>_xll.SNL.Clients.Office.Excel.Functions.SPG(E16, "PCT_OWNED_INSTN_INSURANCE_COMPANIES")</f>
        <v>NA</v>
      </c>
      <c r="Y16" s="11" t="str">
        <f>_xll.SNL.Clients.Office.Excel.Functions.SPG(E16, "PCT_OWNED_INSTN_INVEST_MGRS")</f>
        <v>NA</v>
      </c>
      <c r="Z16" s="11" t="str">
        <f>_xll.SNL.Clients.Office.Excel.Functions.SPG(E16, "PCT_OWNED_INSTN_REIT")</f>
        <v>NA</v>
      </c>
      <c r="AA16" s="11" t="str">
        <f>_xll.SNL.Clients.Office.Excel.Functions.SPG(E16, "PCT_OWNED_INSTN_UNCLASSIFIED")</f>
        <v>NA</v>
      </c>
      <c r="AB16" s="11" t="str">
        <f>_xll.SNL.Clients.Office.Excel.Functions.SPG(E16, "PCT_OWNED_INSTN_UNION_PENSION_SPONSORS")</f>
        <v>NA</v>
      </c>
      <c r="AC16" s="11" t="str">
        <f>_xll.SNL.Clients.Office.Excel.Functions.SPG(E16, "PCT_OWNED_INSTN_HEDGE_FUND_MGRS_LESS5PCT_STAKE")</f>
        <v>NA</v>
      </c>
      <c r="AD16" s="11" t="str">
        <f>_xll.SNL.Clients.Office.Excel.Functions.SPG(E16, "PCT_OWNED_INSTN_SOVEREIGN_WEALTH_FUNDS_LESS5PCT_STAKE")</f>
        <v>NA</v>
      </c>
      <c r="AE16" s="11" t="str">
        <f>_xll.SNL.Clients.Office.Excel.Functions.SPG(E16, "PCT_OWNED_INSTN_VC/PE_FIRMS_LESS5PCT_STAKE")</f>
        <v>NA</v>
      </c>
      <c r="AF16" s="11" t="str">
        <f>_xll.SNL.Clients.Office.Excel.Functions.SPG(E16, "PCT_OWNED_INSIDERS")</f>
        <v>NA</v>
      </c>
      <c r="AG16" s="11" t="str">
        <f>_xll.SNL.Clients.Office.Excel.Functions.SPG(E16, "PCT_OWNED_STRATEGIC_HEDGE_FUND_MGRS_MORE_EQUAL5PCT_STAKE")</f>
        <v>NA</v>
      </c>
      <c r="AH16" s="11" t="str">
        <f>_xll.SNL.Clients.Office.Excel.Functions.SPG(E16, "PCT_OWNED_STRATEGIC_VC/PE_FIRMS_MORE_EQUAL5PCT_STAKE")</f>
        <v>NA</v>
      </c>
      <c r="AI16" s="11" t="str">
        <f>_xll.SNL.Clients.Office.Excel.Functions.SPG(E16, "PCT_OWNED_STRATEGIC_SOVEREIGN_WEALTH_FUNDS_MORE_EQUAL5PCT_STAKE")</f>
        <v>NA</v>
      </c>
      <c r="AJ16" s="11" t="str">
        <f>_xll.SNL.Clients.Office.Excel.Functions.SPG(E16, "PCT_OWNED_STRATEGIC_COMPANY_CONTROLLED_FOUNDATIONS")</f>
        <v>NA</v>
      </c>
      <c r="AK16" s="11" t="str">
        <f>_xll.SNL.Clients.Office.Excel.Functions.SPG(E16, "PCT_OWNED_STRATEGIC_ESOP")</f>
        <v>NA</v>
      </c>
      <c r="AL16" s="11" t="str">
        <f>_xll.SNL.Clients.Office.Excel.Functions.SPG(E16, "PCT_OWNED_STRATEGIC_STATE_OWNER")</f>
        <v>NA</v>
      </c>
      <c r="AM16" s="11" t="str">
        <f>_xll.SNL.Clients.Office.Excel.Functions.SPG(E16, "PCT_OWNED_STRATEGIC_CORPORATIONS_PRIVATE")</f>
        <v>NA</v>
      </c>
      <c r="AN16" s="11" t="str">
        <f>_xll.SNL.Clients.Office.Excel.Functions.SPG(E16, "PCT_OWNED_STRATEGIC_CORPORATIONS_PUBLIC")</f>
        <v>NA</v>
      </c>
    </row>
    <row r="17" spans="1:40" x14ac:dyDescent="0.35">
      <c r="A17" s="5">
        <v>46022</v>
      </c>
      <c r="B17" s="4" t="s">
        <v>57</v>
      </c>
      <c r="C17" s="4" t="s">
        <v>58</v>
      </c>
      <c r="D17" s="4" t="s">
        <v>123</v>
      </c>
      <c r="E17" s="8">
        <v>4352429</v>
      </c>
      <c r="F17" s="7">
        <v>100</v>
      </c>
      <c r="G17" s="9" t="str">
        <f>_xll.SNL.Clients.Office.Excel.Functions.SPG(E17, "SP_COMPANY_TYPE")</f>
        <v>Private Company</v>
      </c>
      <c r="H17" s="10" t="str">
        <f>_xll.SNL.Clients.Office.Excel.Functions.SPG(E17, "SP_COUNTRY_NAME")</f>
        <v>Australia</v>
      </c>
      <c r="J17" t="str">
        <f>_xll.SNL.Clients.Office.Excel.Functions.SPG(E17, "SP_PARENT_COUNTRY")</f>
        <v/>
      </c>
      <c r="K17" s="9" t="str">
        <f>_xll.SNL.Clients.Office.Excel.Functions.SPG(E17, "SP_PARENT_COMPANY_ID")</f>
        <v/>
      </c>
      <c r="L17" t="str">
        <f>_xll.SNL.Clients.Office.Excel.Functions.SPG(K17, "SP_COMPANY_TYPE")</f>
        <v>#INVALID COMPANY ID</v>
      </c>
      <c r="M17" s="9" t="str">
        <f>_xll.SNL.Clients.Office.Excel.Functions.SPG(E17, "SP_ULT_PARENT_COMPANY_NAME")</f>
        <v/>
      </c>
      <c r="N17" s="9" t="str">
        <f>_xll.SNL.Clients.Office.Excel.Functions.SPG(E17, "SP_ULT_PARENT_COUNTRY")</f>
        <v/>
      </c>
      <c r="O17" s="9" t="str">
        <f>_xll.SNL.Clients.Office.Excel.Functions.SPG(E17, "SP_ULT_PARENT_COMPANY_ID")</f>
        <v>NA</v>
      </c>
      <c r="P17" t="str">
        <f>_xll.SNL.Clients.Office.Excel.Functions.SPG(O17, "SP_COMPANY_TYPE")</f>
        <v>Public Company</v>
      </c>
      <c r="Q17" s="11" t="str">
        <f>_xll.SNL.Clients.Office.Excel.Functions.SPG(E17, "SP_PCT_SHARES_OWNED_ALL_INSTITUTIONS")</f>
        <v>NA</v>
      </c>
      <c r="R17" s="11" t="str">
        <f>_xll.SNL.Clients.Office.Excel.Functions.SPG(E17, "PCT_OWNED_INSTN_BANKS/INVEST_BANKS")</f>
        <v>NA</v>
      </c>
      <c r="S17" s="11" t="str">
        <f>_xll.SNL.Clients.Office.Excel.Functions.SPG(E17, "PCT_OWNED_INSTN_CHARITABLE_FOUNDATIONS")</f>
        <v>NA</v>
      </c>
      <c r="T17" s="11" t="str">
        <f>_xll.SNL.Clients.Office.Excel.Functions.SPG(E17, "PCT_OWNED_INSTN_CORP_PENSION_SPONSORS")</f>
        <v>NA</v>
      </c>
      <c r="U17" s="11" t="str">
        <f>_xll.SNL.Clients.Office.Excel.Functions.SPG(E17, "PCT_OWNED_INSTN_EDUCATIONAL/CULTURAL_ENDOWMENTS")</f>
        <v>NA</v>
      </c>
      <c r="V17" s="11" t="str">
        <f>_xll.SNL.Clients.Office.Excel.Functions.SPG(E17, "PCT_OWNED_INSTN_FAMILY_OFFICES/TRUSTS")</f>
        <v>NA</v>
      </c>
      <c r="W17" s="11" t="str">
        <f>_xll.SNL.Clients.Office.Excel.Functions.SPG(E17, "PCT_OWNED_INSTN_GOVT_PENSION_SPONSORS")</f>
        <v>NA</v>
      </c>
      <c r="X17" s="11" t="str">
        <f>_xll.SNL.Clients.Office.Excel.Functions.SPG(E17, "PCT_OWNED_INSTN_INSURANCE_COMPANIES")</f>
        <v>NA</v>
      </c>
      <c r="Y17" s="11" t="str">
        <f>_xll.SNL.Clients.Office.Excel.Functions.SPG(E17, "PCT_OWNED_INSTN_INVEST_MGRS")</f>
        <v>NA</v>
      </c>
      <c r="Z17" s="11" t="str">
        <f>_xll.SNL.Clients.Office.Excel.Functions.SPG(E17, "PCT_OWNED_INSTN_REIT")</f>
        <v>NA</v>
      </c>
      <c r="AA17" s="11" t="str">
        <f>_xll.SNL.Clients.Office.Excel.Functions.SPG(E17, "PCT_OWNED_INSTN_UNCLASSIFIED")</f>
        <v>NA</v>
      </c>
      <c r="AB17" s="11" t="str">
        <f>_xll.SNL.Clients.Office.Excel.Functions.SPG(E17, "PCT_OWNED_INSTN_UNION_PENSION_SPONSORS")</f>
        <v>NA</v>
      </c>
      <c r="AC17" s="11" t="str">
        <f>_xll.SNL.Clients.Office.Excel.Functions.SPG(E17, "PCT_OWNED_INSTN_HEDGE_FUND_MGRS_LESS5PCT_STAKE")</f>
        <v>NA</v>
      </c>
      <c r="AD17" s="11" t="str">
        <f>_xll.SNL.Clients.Office.Excel.Functions.SPG(E17, "PCT_OWNED_INSTN_SOVEREIGN_WEALTH_FUNDS_LESS5PCT_STAKE")</f>
        <v>NA</v>
      </c>
      <c r="AE17" s="11" t="str">
        <f>_xll.SNL.Clients.Office.Excel.Functions.SPG(E17, "PCT_OWNED_INSTN_VC/PE_FIRMS_LESS5PCT_STAKE")</f>
        <v>NA</v>
      </c>
      <c r="AF17" s="11">
        <f>_xll.SNL.Clients.Office.Excel.Functions.SPG(E17, "PCT_OWNED_INSIDERS")</f>
        <v>0.23</v>
      </c>
      <c r="AG17" s="11" t="str">
        <f>_xll.SNL.Clients.Office.Excel.Functions.SPG(E17, "PCT_OWNED_STRATEGIC_HEDGE_FUND_MGRS_MORE_EQUAL5PCT_STAKE")</f>
        <v>NA</v>
      </c>
      <c r="AH17" s="11" t="str">
        <f>_xll.SNL.Clients.Office.Excel.Functions.SPG(E17, "PCT_OWNED_STRATEGIC_VC/PE_FIRMS_MORE_EQUAL5PCT_STAKE")</f>
        <v>NA</v>
      </c>
      <c r="AI17" s="11" t="str">
        <f>_xll.SNL.Clients.Office.Excel.Functions.SPG(E17, "PCT_OWNED_STRATEGIC_SOVEREIGN_WEALTH_FUNDS_MORE_EQUAL5PCT_STAKE")</f>
        <v>NA</v>
      </c>
      <c r="AJ17" s="11" t="str">
        <f>_xll.SNL.Clients.Office.Excel.Functions.SPG(E17, "PCT_OWNED_STRATEGIC_COMPANY_CONTROLLED_FOUNDATIONS")</f>
        <v>NA</v>
      </c>
      <c r="AK17" s="11" t="str">
        <f>_xll.SNL.Clients.Office.Excel.Functions.SPG(E17, "PCT_OWNED_STRATEGIC_ESOP")</f>
        <v>NA</v>
      </c>
      <c r="AL17" s="11" t="str">
        <f>_xll.SNL.Clients.Office.Excel.Functions.SPG(E17, "PCT_OWNED_STRATEGIC_STATE_OWNER")</f>
        <v>NA</v>
      </c>
      <c r="AM17" s="11" t="str">
        <f>_xll.SNL.Clients.Office.Excel.Functions.SPG(E17, "PCT_OWNED_STRATEGIC_CORPORATIONS_PRIVATE")</f>
        <v>NA</v>
      </c>
      <c r="AN17" s="11" t="str">
        <f>_xll.SNL.Clients.Office.Excel.Functions.SPG(E17, "PCT_OWNED_STRATEGIC_CORPORATIONS_PUBLIC")</f>
        <v>NA</v>
      </c>
    </row>
    <row r="18" spans="1:40" x14ac:dyDescent="0.35">
      <c r="A18" s="5">
        <v>46022</v>
      </c>
      <c r="B18" s="4" t="s">
        <v>60</v>
      </c>
      <c r="C18" s="4" t="s">
        <v>61</v>
      </c>
      <c r="D18" s="4" t="s">
        <v>124</v>
      </c>
      <c r="E18" s="8">
        <v>4353456</v>
      </c>
      <c r="F18" s="7">
        <v>2</v>
      </c>
      <c r="G18" s="9" t="str">
        <f>_xll.SNL.Clients.Office.Excel.Functions.SPG(E18, "SP_COMPANY_TYPE")</f>
        <v>Private Company</v>
      </c>
      <c r="H18" s="10" t="str">
        <f>_xll.SNL.Clients.Office.Excel.Functions.SPG(E18, "SP_COUNTRY_NAME")</f>
        <v>China</v>
      </c>
      <c r="J18" t="str">
        <f>_xll.SNL.Clients.Office.Excel.Functions.SPG(E18, "SP_PARENT_COUNTRY")</f>
        <v/>
      </c>
      <c r="K18" s="9" t="str">
        <f>_xll.SNL.Clients.Office.Excel.Functions.SPG(E18, "SP_PARENT_COMPANY_ID")</f>
        <v/>
      </c>
      <c r="L18" t="str">
        <f>_xll.SNL.Clients.Office.Excel.Functions.SPG(K18, "SP_COMPANY_TYPE")</f>
        <v>#INVALID COMPANY ID</v>
      </c>
      <c r="M18" s="9" t="str">
        <f>_xll.SNL.Clients.Office.Excel.Functions.SPG(E18, "SP_ULT_PARENT_COMPANY_NAME")</f>
        <v/>
      </c>
      <c r="N18" s="9" t="str">
        <f>_xll.SNL.Clients.Office.Excel.Functions.SPG(E18, "SP_ULT_PARENT_COUNTRY")</f>
        <v/>
      </c>
      <c r="O18" s="9" t="str">
        <f>_xll.SNL.Clients.Office.Excel.Functions.SPG(E18, "SP_ULT_PARENT_COMPANY_ID")</f>
        <v>NA</v>
      </c>
      <c r="P18" t="str">
        <f>_xll.SNL.Clients.Office.Excel.Functions.SPG(O18, "SP_COMPANY_TYPE")</f>
        <v>Public Company</v>
      </c>
      <c r="Q18" s="11" t="str">
        <f>_xll.SNL.Clients.Office.Excel.Functions.SPG(E18, "SP_PCT_SHARES_OWNED_ALL_INSTITUTIONS")</f>
        <v>NA</v>
      </c>
      <c r="R18" s="11" t="str">
        <f>_xll.SNL.Clients.Office.Excel.Functions.SPG(E18, "PCT_OWNED_INSTN_BANKS/INVEST_BANKS")</f>
        <v>NA</v>
      </c>
      <c r="S18" s="11" t="str">
        <f>_xll.SNL.Clients.Office.Excel.Functions.SPG(E18, "PCT_OWNED_INSTN_CHARITABLE_FOUNDATIONS")</f>
        <v>NA</v>
      </c>
      <c r="T18" s="11" t="str">
        <f>_xll.SNL.Clients.Office.Excel.Functions.SPG(E18, "PCT_OWNED_INSTN_CORP_PENSION_SPONSORS")</f>
        <v>NA</v>
      </c>
      <c r="U18" s="11" t="str">
        <f>_xll.SNL.Clients.Office.Excel.Functions.SPG(E18, "PCT_OWNED_INSTN_EDUCATIONAL/CULTURAL_ENDOWMENTS")</f>
        <v>NA</v>
      </c>
      <c r="V18" s="11" t="str">
        <f>_xll.SNL.Clients.Office.Excel.Functions.SPG(E18, "PCT_OWNED_INSTN_FAMILY_OFFICES/TRUSTS")</f>
        <v>NA</v>
      </c>
      <c r="W18" s="11" t="str">
        <f>_xll.SNL.Clients.Office.Excel.Functions.SPG(E18, "PCT_OWNED_INSTN_GOVT_PENSION_SPONSORS")</f>
        <v>NA</v>
      </c>
      <c r="X18" s="11" t="str">
        <f>_xll.SNL.Clients.Office.Excel.Functions.SPG(E18, "PCT_OWNED_INSTN_INSURANCE_COMPANIES")</f>
        <v>NA</v>
      </c>
      <c r="Y18" s="11" t="str">
        <f>_xll.SNL.Clients.Office.Excel.Functions.SPG(E18, "PCT_OWNED_INSTN_INVEST_MGRS")</f>
        <v>NA</v>
      </c>
      <c r="Z18" s="11" t="str">
        <f>_xll.SNL.Clients.Office.Excel.Functions.SPG(E18, "PCT_OWNED_INSTN_REIT")</f>
        <v>NA</v>
      </c>
      <c r="AA18" s="11" t="str">
        <f>_xll.SNL.Clients.Office.Excel.Functions.SPG(E18, "PCT_OWNED_INSTN_UNCLASSIFIED")</f>
        <v>NA</v>
      </c>
      <c r="AB18" s="11" t="str">
        <f>_xll.SNL.Clients.Office.Excel.Functions.SPG(E18, "PCT_OWNED_INSTN_UNION_PENSION_SPONSORS")</f>
        <v>NA</v>
      </c>
      <c r="AC18" s="11" t="str">
        <f>_xll.SNL.Clients.Office.Excel.Functions.SPG(E18, "PCT_OWNED_INSTN_HEDGE_FUND_MGRS_LESS5PCT_STAKE")</f>
        <v>NA</v>
      </c>
      <c r="AD18" s="11" t="str">
        <f>_xll.SNL.Clients.Office.Excel.Functions.SPG(E18, "PCT_OWNED_INSTN_SOVEREIGN_WEALTH_FUNDS_LESS5PCT_STAKE")</f>
        <v>NA</v>
      </c>
      <c r="AE18" s="11" t="str">
        <f>_xll.SNL.Clients.Office.Excel.Functions.SPG(E18, "PCT_OWNED_INSTN_VC/PE_FIRMS_LESS5PCT_STAKE")</f>
        <v>NA</v>
      </c>
      <c r="AF18" s="11" t="str">
        <f>_xll.SNL.Clients.Office.Excel.Functions.SPG(E18, "PCT_OWNED_INSIDERS")</f>
        <v>NA</v>
      </c>
      <c r="AG18" s="11" t="str">
        <f>_xll.SNL.Clients.Office.Excel.Functions.SPG(E18, "PCT_OWNED_STRATEGIC_HEDGE_FUND_MGRS_MORE_EQUAL5PCT_STAKE")</f>
        <v>NA</v>
      </c>
      <c r="AH18" s="11" t="str">
        <f>_xll.SNL.Clients.Office.Excel.Functions.SPG(E18, "PCT_OWNED_STRATEGIC_VC/PE_FIRMS_MORE_EQUAL5PCT_STAKE")</f>
        <v>NA</v>
      </c>
      <c r="AI18" s="11" t="str">
        <f>_xll.SNL.Clients.Office.Excel.Functions.SPG(E18, "PCT_OWNED_STRATEGIC_SOVEREIGN_WEALTH_FUNDS_MORE_EQUAL5PCT_STAKE")</f>
        <v>NA</v>
      </c>
      <c r="AJ18" s="11" t="str">
        <f>_xll.SNL.Clients.Office.Excel.Functions.SPG(E18, "PCT_OWNED_STRATEGIC_COMPANY_CONTROLLED_FOUNDATIONS")</f>
        <v>NA</v>
      </c>
      <c r="AK18" s="11" t="str">
        <f>_xll.SNL.Clients.Office.Excel.Functions.SPG(E18, "PCT_OWNED_STRATEGIC_ESOP")</f>
        <v>NA</v>
      </c>
      <c r="AL18" s="11" t="str">
        <f>_xll.SNL.Clients.Office.Excel.Functions.SPG(E18, "PCT_OWNED_STRATEGIC_STATE_OWNER")</f>
        <v>NA</v>
      </c>
      <c r="AM18" s="11" t="str">
        <f>_xll.SNL.Clients.Office.Excel.Functions.SPG(E18, "PCT_OWNED_STRATEGIC_CORPORATIONS_PRIVATE")</f>
        <v>NA</v>
      </c>
      <c r="AN18" s="11" t="str">
        <f>_xll.SNL.Clients.Office.Excel.Functions.SPG(E18, "PCT_OWNED_STRATEGIC_CORPORATIONS_PUBLIC")</f>
        <v>NA</v>
      </c>
    </row>
    <row r="19" spans="1:40" x14ac:dyDescent="0.35">
      <c r="A19" s="5">
        <v>46022</v>
      </c>
      <c r="B19" s="4" t="s">
        <v>60</v>
      </c>
      <c r="C19" s="4" t="s">
        <v>61</v>
      </c>
      <c r="D19" s="4" t="s">
        <v>125</v>
      </c>
      <c r="E19" s="8">
        <v>10605938</v>
      </c>
      <c r="F19" s="7">
        <v>98</v>
      </c>
      <c r="G19" s="9" t="str">
        <f>_xll.SNL.Clients.Office.Excel.Functions.SPG(E19, "SP_COMPANY_TYPE")</f>
        <v>Public Company</v>
      </c>
      <c r="H19" s="10" t="str">
        <f>_xll.SNL.Clients.Office.Excel.Functions.SPG(E19, "SP_COUNTRY_NAME")</f>
        <v>United Kingdom</v>
      </c>
      <c r="J19" t="str">
        <f>_xll.SNL.Clients.Office.Excel.Functions.SPG(E19, "SP_PARENT_COUNTRY")</f>
        <v/>
      </c>
      <c r="K19" s="9" t="str">
        <f>_xll.SNL.Clients.Office.Excel.Functions.SPG(E19, "SP_PARENT_COMPANY_ID")</f>
        <v/>
      </c>
      <c r="L19" t="str">
        <f>_xll.SNL.Clients.Office.Excel.Functions.SPG(K19, "SP_COMPANY_TYPE")</f>
        <v>#INVALID COMPANY ID</v>
      </c>
      <c r="M19" s="9" t="str">
        <f>_xll.SNL.Clients.Office.Excel.Functions.SPG(E19, "SP_ULT_PARENT_COMPANY_NAME")</f>
        <v/>
      </c>
      <c r="N19" s="9" t="str">
        <f>_xll.SNL.Clients.Office.Excel.Functions.SPG(E19, "SP_ULT_PARENT_COUNTRY")</f>
        <v/>
      </c>
      <c r="O19" s="9" t="str">
        <f>_xll.SNL.Clients.Office.Excel.Functions.SPG(E19, "SP_ULT_PARENT_COMPANY_ID")</f>
        <v>NA</v>
      </c>
      <c r="P19" t="str">
        <f>_xll.SNL.Clients.Office.Excel.Functions.SPG(O19, "SP_COMPANY_TYPE")</f>
        <v>Public Company</v>
      </c>
      <c r="Q19" s="11">
        <f>_xll.SNL.Clients.Office.Excel.Functions.SPG(E19, "SP_PCT_SHARES_OWNED_ALL_INSTITUTIONS")</f>
        <v>9.51</v>
      </c>
      <c r="R19" s="11">
        <f>_xll.SNL.Clients.Office.Excel.Functions.SPG(E19, "PCT_OWNED_INSTN_BANKS/INVEST_BANKS")</f>
        <v>1.71</v>
      </c>
      <c r="S19" s="11" t="str">
        <f>_xll.SNL.Clients.Office.Excel.Functions.SPG(E19, "PCT_OWNED_INSTN_CHARITABLE_FOUNDATIONS")</f>
        <v>NA</v>
      </c>
      <c r="T19" s="11" t="str">
        <f>_xll.SNL.Clients.Office.Excel.Functions.SPG(E19, "PCT_OWNED_INSTN_CORP_PENSION_SPONSORS")</f>
        <v>NA</v>
      </c>
      <c r="U19" s="11" t="str">
        <f>_xll.SNL.Clients.Office.Excel.Functions.SPG(E19, "PCT_OWNED_INSTN_EDUCATIONAL/CULTURAL_ENDOWMENTS")</f>
        <v>NA</v>
      </c>
      <c r="V19" s="11" t="str">
        <f>_xll.SNL.Clients.Office.Excel.Functions.SPG(E19, "PCT_OWNED_INSTN_FAMILY_OFFICES/TRUSTS")</f>
        <v>NA</v>
      </c>
      <c r="W19" s="11" t="str">
        <f>_xll.SNL.Clients.Office.Excel.Functions.SPG(E19, "PCT_OWNED_INSTN_GOVT_PENSION_SPONSORS")</f>
        <v>NA</v>
      </c>
      <c r="X19" s="11" t="str">
        <f>_xll.SNL.Clients.Office.Excel.Functions.SPG(E19, "PCT_OWNED_INSTN_INSURANCE_COMPANIES")</f>
        <v>NA</v>
      </c>
      <c r="Y19" s="11">
        <f>_xll.SNL.Clients.Office.Excel.Functions.SPG(E19, "PCT_OWNED_INSTN_INVEST_MGRS")</f>
        <v>7.79</v>
      </c>
      <c r="Z19" s="11" t="str">
        <f>_xll.SNL.Clients.Office.Excel.Functions.SPG(E19, "PCT_OWNED_INSTN_REIT")</f>
        <v>NA</v>
      </c>
      <c r="AA19" s="11" t="str">
        <f>_xll.SNL.Clients.Office.Excel.Functions.SPG(E19, "PCT_OWNED_INSTN_UNCLASSIFIED")</f>
        <v>NA</v>
      </c>
      <c r="AB19" s="11" t="str">
        <f>_xll.SNL.Clients.Office.Excel.Functions.SPG(E19, "PCT_OWNED_INSTN_UNION_PENSION_SPONSORS")</f>
        <v>NA</v>
      </c>
      <c r="AC19" s="11" t="str">
        <f>_xll.SNL.Clients.Office.Excel.Functions.SPG(E19, "PCT_OWNED_INSTN_HEDGE_FUND_MGRS_LESS5PCT_STAKE")</f>
        <v>NA</v>
      </c>
      <c r="AD19" s="11">
        <f>_xll.SNL.Clients.Office.Excel.Functions.SPG(E19, "PCT_OWNED_INSTN_SOVEREIGN_WEALTH_FUNDS_LESS5PCT_STAKE")</f>
        <v>0.01</v>
      </c>
      <c r="AE19" s="11" t="str">
        <f>_xll.SNL.Clients.Office.Excel.Functions.SPG(E19, "PCT_OWNED_INSTN_VC/PE_FIRMS_LESS5PCT_STAKE")</f>
        <v>NA</v>
      </c>
      <c r="AF19" s="11">
        <f>_xll.SNL.Clients.Office.Excel.Functions.SPG(E19, "PCT_OWNED_INSIDERS")</f>
        <v>21.37</v>
      </c>
      <c r="AG19" s="11" t="str">
        <f>_xll.SNL.Clients.Office.Excel.Functions.SPG(E19, "PCT_OWNED_STRATEGIC_HEDGE_FUND_MGRS_MORE_EQUAL5PCT_STAKE")</f>
        <v>NA</v>
      </c>
      <c r="AH19" s="11" t="str">
        <f>_xll.SNL.Clients.Office.Excel.Functions.SPG(E19, "PCT_OWNED_STRATEGIC_VC/PE_FIRMS_MORE_EQUAL5PCT_STAKE")</f>
        <v>NA</v>
      </c>
      <c r="AI19" s="11" t="str">
        <f>_xll.SNL.Clients.Office.Excel.Functions.SPG(E19, "PCT_OWNED_STRATEGIC_SOVEREIGN_WEALTH_FUNDS_MORE_EQUAL5PCT_STAKE")</f>
        <v>NA</v>
      </c>
      <c r="AJ19" s="11" t="str">
        <f>_xll.SNL.Clients.Office.Excel.Functions.SPG(E19, "PCT_OWNED_STRATEGIC_COMPANY_CONTROLLED_FOUNDATIONS")</f>
        <v>NA</v>
      </c>
      <c r="AK19" s="11" t="str">
        <f>_xll.SNL.Clients.Office.Excel.Functions.SPG(E19, "PCT_OWNED_STRATEGIC_ESOP")</f>
        <v>NA</v>
      </c>
      <c r="AL19" s="11" t="str">
        <f>_xll.SNL.Clients.Office.Excel.Functions.SPG(E19, "PCT_OWNED_STRATEGIC_STATE_OWNER")</f>
        <v>NA</v>
      </c>
      <c r="AM19" s="11">
        <f>_xll.SNL.Clients.Office.Excel.Functions.SPG(E19, "PCT_OWNED_STRATEGIC_CORPORATIONS_PRIVATE")</f>
        <v>3.99</v>
      </c>
      <c r="AN19" s="11">
        <f>_xll.SNL.Clients.Office.Excel.Functions.SPG(E19, "PCT_OWNED_STRATEGIC_CORPORATIONS_PUBLIC")</f>
        <v>0.96</v>
      </c>
    </row>
    <row r="20" spans="1:40" x14ac:dyDescent="0.35">
      <c r="A20" s="5">
        <v>46022</v>
      </c>
      <c r="B20" s="4" t="s">
        <v>63</v>
      </c>
      <c r="C20" s="4" t="s">
        <v>64</v>
      </c>
      <c r="D20" s="4" t="s">
        <v>126</v>
      </c>
      <c r="E20" s="8">
        <v>4331450</v>
      </c>
      <c r="F20" s="7">
        <v>100</v>
      </c>
      <c r="G20" s="9" t="str">
        <f>_xll.SNL.Clients.Office.Excel.Functions.SPG(E20, "SP_COMPANY_TYPE")</f>
        <v>Private Company</v>
      </c>
      <c r="H20" s="10" t="str">
        <f>_xll.SNL.Clients.Office.Excel.Functions.SPG(E20, "SP_COUNTRY_NAME")</f>
        <v>China</v>
      </c>
      <c r="J20" t="str">
        <f>_xll.SNL.Clients.Office.Excel.Functions.SPG(E20, "SP_PARENT_COUNTRY")</f>
        <v>China</v>
      </c>
      <c r="K20" s="9" t="str">
        <f>_xll.SNL.Clients.Office.Excel.Functions.SPG(E20, "SP_PARENT_COMPANY_ID")</f>
        <v>4649432</v>
      </c>
      <c r="L20" t="str">
        <f>_xll.SNL.Clients.Office.Excel.Functions.SPG(K20, "SP_COMPANY_TYPE")</f>
        <v>Government Institution</v>
      </c>
      <c r="M20" s="9" t="str">
        <f>_xll.SNL.Clients.Office.Excel.Functions.SPG(E20, "SP_ULT_PARENT_COMPANY_NAME")</f>
        <v>State-owned Assets Supervision and Administration Commission of the State Counci</v>
      </c>
      <c r="N20" s="9" t="str">
        <f>_xll.SNL.Clients.Office.Excel.Functions.SPG(E20, "SP_ULT_PARENT_COUNTRY")</f>
        <v>China</v>
      </c>
      <c r="O20" s="9">
        <f>_xll.SNL.Clients.Office.Excel.Functions.SPG(E20, "SP_ULT_PARENT_COMPANY_ID")</f>
        <v>4649432</v>
      </c>
      <c r="P20" t="str">
        <f>_xll.SNL.Clients.Office.Excel.Functions.SPG(O20, "SP_COMPANY_TYPE")</f>
        <v>Government Institution</v>
      </c>
      <c r="Q20" s="11" t="str">
        <f>_xll.SNL.Clients.Office.Excel.Functions.SPG(E20, "SP_PCT_SHARES_OWNED_ALL_INSTITUTIONS")</f>
        <v>NA</v>
      </c>
      <c r="R20" s="11" t="str">
        <f>_xll.SNL.Clients.Office.Excel.Functions.SPG(E20, "PCT_OWNED_INSTN_BANKS/INVEST_BANKS")</f>
        <v>NA</v>
      </c>
      <c r="S20" s="11" t="str">
        <f>_xll.SNL.Clients.Office.Excel.Functions.SPG(E20, "PCT_OWNED_INSTN_CHARITABLE_FOUNDATIONS")</f>
        <v>NA</v>
      </c>
      <c r="T20" s="11" t="str">
        <f>_xll.SNL.Clients.Office.Excel.Functions.SPG(E20, "PCT_OWNED_INSTN_CORP_PENSION_SPONSORS")</f>
        <v>NA</v>
      </c>
      <c r="U20" s="11" t="str">
        <f>_xll.SNL.Clients.Office.Excel.Functions.SPG(E20, "PCT_OWNED_INSTN_EDUCATIONAL/CULTURAL_ENDOWMENTS")</f>
        <v>NA</v>
      </c>
      <c r="V20" s="11" t="str">
        <f>_xll.SNL.Clients.Office.Excel.Functions.SPG(E20, "PCT_OWNED_INSTN_FAMILY_OFFICES/TRUSTS")</f>
        <v>NA</v>
      </c>
      <c r="W20" s="11" t="str">
        <f>_xll.SNL.Clients.Office.Excel.Functions.SPG(E20, "PCT_OWNED_INSTN_GOVT_PENSION_SPONSORS")</f>
        <v>NA</v>
      </c>
      <c r="X20" s="11" t="str">
        <f>_xll.SNL.Clients.Office.Excel.Functions.SPG(E20, "PCT_OWNED_INSTN_INSURANCE_COMPANIES")</f>
        <v>NA</v>
      </c>
      <c r="Y20" s="11" t="str">
        <f>_xll.SNL.Clients.Office.Excel.Functions.SPG(E20, "PCT_OWNED_INSTN_INVEST_MGRS")</f>
        <v>NA</v>
      </c>
      <c r="Z20" s="11" t="str">
        <f>_xll.SNL.Clients.Office.Excel.Functions.SPG(E20, "PCT_OWNED_INSTN_REIT")</f>
        <v>NA</v>
      </c>
      <c r="AA20" s="11" t="str">
        <f>_xll.SNL.Clients.Office.Excel.Functions.SPG(E20, "PCT_OWNED_INSTN_UNCLASSIFIED")</f>
        <v>NA</v>
      </c>
      <c r="AB20" s="11" t="str">
        <f>_xll.SNL.Clients.Office.Excel.Functions.SPG(E20, "PCT_OWNED_INSTN_UNION_PENSION_SPONSORS")</f>
        <v>NA</v>
      </c>
      <c r="AC20" s="11" t="str">
        <f>_xll.SNL.Clients.Office.Excel.Functions.SPG(E20, "PCT_OWNED_INSTN_HEDGE_FUND_MGRS_LESS5PCT_STAKE")</f>
        <v>NA</v>
      </c>
      <c r="AD20" s="11" t="str">
        <f>_xll.SNL.Clients.Office.Excel.Functions.SPG(E20, "PCT_OWNED_INSTN_SOVEREIGN_WEALTH_FUNDS_LESS5PCT_STAKE")</f>
        <v>NA</v>
      </c>
      <c r="AE20" s="11" t="str">
        <f>_xll.SNL.Clients.Office.Excel.Functions.SPG(E20, "PCT_OWNED_INSTN_VC/PE_FIRMS_LESS5PCT_STAKE")</f>
        <v>NA</v>
      </c>
      <c r="AF20" s="11" t="str">
        <f>_xll.SNL.Clients.Office.Excel.Functions.SPG(E20, "PCT_OWNED_INSIDERS")</f>
        <v>NA</v>
      </c>
      <c r="AG20" s="11" t="str">
        <f>_xll.SNL.Clients.Office.Excel.Functions.SPG(E20, "PCT_OWNED_STRATEGIC_HEDGE_FUND_MGRS_MORE_EQUAL5PCT_STAKE")</f>
        <v>NA</v>
      </c>
      <c r="AH20" s="11" t="str">
        <f>_xll.SNL.Clients.Office.Excel.Functions.SPG(E20, "PCT_OWNED_STRATEGIC_VC/PE_FIRMS_MORE_EQUAL5PCT_STAKE")</f>
        <v>NA</v>
      </c>
      <c r="AI20" s="11" t="str">
        <f>_xll.SNL.Clients.Office.Excel.Functions.SPG(E20, "PCT_OWNED_STRATEGIC_SOVEREIGN_WEALTH_FUNDS_MORE_EQUAL5PCT_STAKE")</f>
        <v>NA</v>
      </c>
      <c r="AJ20" s="11" t="str">
        <f>_xll.SNL.Clients.Office.Excel.Functions.SPG(E20, "PCT_OWNED_STRATEGIC_COMPANY_CONTROLLED_FOUNDATIONS")</f>
        <v>NA</v>
      </c>
      <c r="AK20" s="11" t="str">
        <f>_xll.SNL.Clients.Office.Excel.Functions.SPG(E20, "PCT_OWNED_STRATEGIC_ESOP")</f>
        <v>NA</v>
      </c>
      <c r="AL20" s="11" t="str">
        <f>_xll.SNL.Clients.Office.Excel.Functions.SPG(E20, "PCT_OWNED_STRATEGIC_STATE_OWNER")</f>
        <v>NA</v>
      </c>
      <c r="AM20" s="11" t="str">
        <f>_xll.SNL.Clients.Office.Excel.Functions.SPG(E20, "PCT_OWNED_STRATEGIC_CORPORATIONS_PRIVATE")</f>
        <v>NA</v>
      </c>
      <c r="AN20" s="11" t="str">
        <f>_xll.SNL.Clients.Office.Excel.Functions.SPG(E20, "PCT_OWNED_STRATEGIC_CORPORATIONS_PUBLIC")</f>
        <v>NA</v>
      </c>
    </row>
  </sheetData>
  <autoFilter ref="A6:AN20" xr:uid="{00000000-0001-0000-0400-000000000000}"/>
  <mergeCells count="41">
    <mergeCell ref="A1:D1"/>
    <mergeCell ref="A6:A9"/>
    <mergeCell ref="B6:B9"/>
    <mergeCell ref="C6:C9"/>
    <mergeCell ref="D6:D9"/>
    <mergeCell ref="E6:E9"/>
    <mergeCell ref="F6:F9"/>
    <mergeCell ref="G6:G9"/>
    <mergeCell ref="H6:H9"/>
    <mergeCell ref="I6:I9"/>
    <mergeCell ref="J6:J9"/>
    <mergeCell ref="K6:K9"/>
    <mergeCell ref="L6:L9"/>
    <mergeCell ref="M6:M9"/>
    <mergeCell ref="N6:N9"/>
    <mergeCell ref="O6:O9"/>
    <mergeCell ref="P6:P9"/>
    <mergeCell ref="Q6:Q9"/>
    <mergeCell ref="R6:R9"/>
    <mergeCell ref="S6:S9"/>
    <mergeCell ref="T6:T9"/>
    <mergeCell ref="U6:U9"/>
    <mergeCell ref="V6:V9"/>
    <mergeCell ref="W6:W9"/>
    <mergeCell ref="X6:X9"/>
    <mergeCell ref="Y6:Y9"/>
    <mergeCell ref="Z6:Z9"/>
    <mergeCell ref="AA6:AA9"/>
    <mergeCell ref="AB6:AB9"/>
    <mergeCell ref="AC6:AC9"/>
    <mergeCell ref="AD6:AD9"/>
    <mergeCell ref="AE6:AE9"/>
    <mergeCell ref="AF6:AF9"/>
    <mergeCell ref="AG6:AG9"/>
    <mergeCell ref="AH6:AH9"/>
    <mergeCell ref="AN6:AN9"/>
    <mergeCell ref="AI6:AI9"/>
    <mergeCell ref="AJ6:AJ9"/>
    <mergeCell ref="AK6:AK9"/>
    <mergeCell ref="AL6:AL9"/>
    <mergeCell ref="AM6:AM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53A5F-F294-4F76-9D54-40034CBE9446}">
  <dimension ref="A1:AN15"/>
  <sheetViews>
    <sheetView tabSelected="1" workbookViewId="0">
      <selection activeCell="B1" sqref="B1:B4"/>
    </sheetView>
  </sheetViews>
  <sheetFormatPr defaultRowHeight="14.5" x14ac:dyDescent="0.35"/>
  <cols>
    <col min="1" max="1" width="10.26953125" customWidth="1"/>
    <col min="2" max="2" width="19.26953125" customWidth="1"/>
    <col min="4" max="4" width="18" customWidth="1"/>
    <col min="7" max="7" width="16.36328125" customWidth="1"/>
    <col min="11" max="11" width="12.1796875" customWidth="1"/>
    <col min="12" max="12" width="12.26953125" customWidth="1"/>
    <col min="13" max="13" width="11.453125" customWidth="1"/>
    <col min="16" max="16" width="14.08984375" customWidth="1"/>
    <col min="17" max="17" width="14.7265625" customWidth="1"/>
    <col min="18" max="18" width="15.54296875" customWidth="1"/>
    <col min="19" max="19" width="14.453125" customWidth="1"/>
    <col min="20" max="20" width="21.1796875" customWidth="1"/>
    <col min="21" max="21" width="21.08984375" customWidth="1"/>
    <col min="22" max="22" width="18.453125" customWidth="1"/>
    <col min="23" max="23" width="18.7265625" customWidth="1"/>
    <col min="24" max="24" width="17.36328125" customWidth="1"/>
    <col min="25" max="25" width="13.6328125" customWidth="1"/>
    <col min="27" max="27" width="13.36328125" customWidth="1"/>
    <col min="28" max="28" width="15.26953125" customWidth="1"/>
    <col min="29" max="29" width="14.7265625" customWidth="1"/>
    <col min="30" max="30" width="12.54296875" customWidth="1"/>
    <col min="31" max="31" width="14.453125" customWidth="1"/>
    <col min="32" max="32" width="12.81640625" customWidth="1"/>
    <col min="33" max="33" width="14.1796875" customWidth="1"/>
    <col min="34" max="34" width="17.08984375" customWidth="1"/>
    <col min="35" max="35" width="18.453125" customWidth="1"/>
    <col min="36" max="36" width="14.6328125" customWidth="1"/>
    <col min="37" max="37" width="18.81640625" customWidth="1"/>
    <col min="38" max="38" width="17.1796875" customWidth="1"/>
    <col min="40" max="40" width="17.453125" customWidth="1"/>
  </cols>
  <sheetData>
    <row r="1" spans="1:40" ht="14.5" customHeight="1" x14ac:dyDescent="0.35">
      <c r="A1" s="13" t="s">
        <v>2</v>
      </c>
      <c r="B1" s="13" t="s">
        <v>3</v>
      </c>
      <c r="C1" s="13" t="s">
        <v>4</v>
      </c>
      <c r="D1" s="13" t="s">
        <v>115</v>
      </c>
      <c r="E1" s="13" t="s">
        <v>116</v>
      </c>
      <c r="F1" s="13" t="s">
        <v>117</v>
      </c>
      <c r="G1" s="13" t="s">
        <v>128</v>
      </c>
      <c r="H1" s="13" t="s">
        <v>129</v>
      </c>
      <c r="I1" s="13" t="s">
        <v>130</v>
      </c>
      <c r="J1" s="13" t="s">
        <v>131</v>
      </c>
      <c r="K1" s="13" t="s">
        <v>132</v>
      </c>
      <c r="L1" s="13" t="s">
        <v>133</v>
      </c>
      <c r="M1" s="13" t="s">
        <v>134</v>
      </c>
      <c r="N1" s="13" t="s">
        <v>135</v>
      </c>
      <c r="O1" s="13" t="s">
        <v>136</v>
      </c>
      <c r="P1" s="13" t="s">
        <v>137</v>
      </c>
      <c r="Q1" s="13" t="s">
        <v>407</v>
      </c>
      <c r="R1" s="17" t="s">
        <v>408</v>
      </c>
      <c r="S1" s="17" t="s">
        <v>409</v>
      </c>
      <c r="T1" s="17" t="s">
        <v>410</v>
      </c>
      <c r="U1" s="17" t="s">
        <v>142</v>
      </c>
      <c r="V1" s="16" t="s">
        <v>143</v>
      </c>
      <c r="W1" s="14" t="s">
        <v>411</v>
      </c>
      <c r="X1" s="17" t="s">
        <v>412</v>
      </c>
      <c r="Y1" s="17" t="s">
        <v>146</v>
      </c>
      <c r="Z1" s="17" t="s">
        <v>147</v>
      </c>
      <c r="AA1" s="17" t="s">
        <v>148</v>
      </c>
      <c r="AB1" s="17" t="s">
        <v>149</v>
      </c>
      <c r="AC1" s="17" t="s">
        <v>150</v>
      </c>
      <c r="AD1" s="14" t="s">
        <v>151</v>
      </c>
      <c r="AE1" s="17" t="s">
        <v>152</v>
      </c>
      <c r="AF1" s="16" t="s">
        <v>153</v>
      </c>
      <c r="AG1" s="13" t="s">
        <v>413</v>
      </c>
      <c r="AH1" s="13" t="s">
        <v>414</v>
      </c>
      <c r="AI1" s="14" t="s">
        <v>415</v>
      </c>
      <c r="AJ1" s="13" t="s">
        <v>416</v>
      </c>
      <c r="AK1" s="13" t="s">
        <v>417</v>
      </c>
      <c r="AL1" s="14" t="s">
        <v>418</v>
      </c>
      <c r="AM1" s="15" t="s">
        <v>419</v>
      </c>
      <c r="AN1" s="16" t="s">
        <v>420</v>
      </c>
    </row>
    <row r="2" spans="1:40" x14ac:dyDescent="0.35">
      <c r="A2" s="13"/>
      <c r="B2" s="13"/>
      <c r="C2" s="13"/>
      <c r="D2" s="13"/>
      <c r="E2" s="13"/>
      <c r="F2" s="13"/>
      <c r="G2" s="13"/>
      <c r="H2" s="13"/>
      <c r="I2" s="13"/>
      <c r="J2" s="13"/>
      <c r="K2" s="13"/>
      <c r="L2" s="13"/>
      <c r="M2" s="13"/>
      <c r="N2" s="13"/>
      <c r="O2" s="13"/>
      <c r="P2" s="13"/>
      <c r="Q2" s="13"/>
      <c r="R2" s="17"/>
      <c r="S2" s="17"/>
      <c r="T2" s="17"/>
      <c r="U2" s="17"/>
      <c r="V2" s="16"/>
      <c r="W2" s="14"/>
      <c r="X2" s="17"/>
      <c r="Y2" s="17"/>
      <c r="Z2" s="17"/>
      <c r="AA2" s="17"/>
      <c r="AB2" s="17"/>
      <c r="AC2" s="17"/>
      <c r="AD2" s="14"/>
      <c r="AE2" s="17"/>
      <c r="AF2" s="16"/>
      <c r="AG2" s="13"/>
      <c r="AH2" s="13"/>
      <c r="AI2" s="14"/>
      <c r="AJ2" s="13"/>
      <c r="AK2" s="13"/>
      <c r="AL2" s="14"/>
      <c r="AM2" s="15"/>
      <c r="AN2" s="16"/>
    </row>
    <row r="3" spans="1:40" x14ac:dyDescent="0.35">
      <c r="A3" s="13"/>
      <c r="B3" s="13"/>
      <c r="C3" s="13"/>
      <c r="D3" s="13"/>
      <c r="E3" s="13"/>
      <c r="F3" s="13"/>
      <c r="G3" s="13"/>
      <c r="H3" s="13"/>
      <c r="I3" s="13"/>
      <c r="J3" s="13"/>
      <c r="K3" s="13"/>
      <c r="L3" s="13"/>
      <c r="M3" s="13"/>
      <c r="N3" s="13"/>
      <c r="O3" s="13"/>
      <c r="P3" s="13"/>
      <c r="Q3" s="13"/>
      <c r="R3" s="17"/>
      <c r="S3" s="17"/>
      <c r="T3" s="17"/>
      <c r="U3" s="17"/>
      <c r="V3" s="16"/>
      <c r="W3" s="14"/>
      <c r="X3" s="17"/>
      <c r="Y3" s="17"/>
      <c r="Z3" s="17"/>
      <c r="AA3" s="17"/>
      <c r="AB3" s="17"/>
      <c r="AC3" s="17"/>
      <c r="AD3" s="14"/>
      <c r="AE3" s="17"/>
      <c r="AF3" s="16"/>
      <c r="AG3" s="13"/>
      <c r="AH3" s="13"/>
      <c r="AI3" s="14"/>
      <c r="AJ3" s="13"/>
      <c r="AK3" s="13"/>
      <c r="AL3" s="14"/>
      <c r="AM3" s="15"/>
      <c r="AN3" s="16"/>
    </row>
    <row r="4" spans="1:40" x14ac:dyDescent="0.35">
      <c r="A4" s="13"/>
      <c r="B4" s="13"/>
      <c r="C4" s="13"/>
      <c r="D4" s="13"/>
      <c r="E4" s="13"/>
      <c r="F4" s="13"/>
      <c r="G4" s="13"/>
      <c r="H4" s="13"/>
      <c r="I4" s="13"/>
      <c r="J4" s="13"/>
      <c r="K4" s="13"/>
      <c r="L4" s="13"/>
      <c r="M4" s="13"/>
      <c r="N4" s="13"/>
      <c r="O4" s="13"/>
      <c r="P4" s="13"/>
      <c r="Q4" s="13"/>
      <c r="R4" s="17"/>
      <c r="S4" s="17"/>
      <c r="T4" s="17"/>
      <c r="U4" s="17"/>
      <c r="V4" s="16"/>
      <c r="W4" s="14"/>
      <c r="X4" s="17"/>
      <c r="Y4" s="17"/>
      <c r="Z4" s="17"/>
      <c r="AA4" s="17"/>
      <c r="AB4" s="17"/>
      <c r="AC4" s="17"/>
      <c r="AD4" s="14"/>
      <c r="AE4" s="17"/>
      <c r="AF4" s="16"/>
      <c r="AG4" s="13"/>
      <c r="AH4" s="13"/>
      <c r="AI4" s="14"/>
      <c r="AJ4" s="13"/>
      <c r="AK4" s="13"/>
      <c r="AL4" s="14"/>
      <c r="AM4" s="15"/>
      <c r="AN4" s="16"/>
    </row>
    <row r="5" spans="1:40" x14ac:dyDescent="0.35">
      <c r="A5">
        <v>46022</v>
      </c>
      <c r="B5" t="s">
        <v>42</v>
      </c>
      <c r="C5" t="s">
        <v>43</v>
      </c>
      <c r="D5" t="s">
        <v>44</v>
      </c>
      <c r="E5">
        <v>4350710</v>
      </c>
      <c r="F5">
        <v>5</v>
      </c>
      <c r="G5" t="s">
        <v>365</v>
      </c>
      <c r="H5" t="s">
        <v>44</v>
      </c>
      <c r="J5" t="s">
        <v>366</v>
      </c>
      <c r="K5" t="s">
        <v>366</v>
      </c>
      <c r="L5" t="s">
        <v>367</v>
      </c>
      <c r="M5" t="s">
        <v>366</v>
      </c>
      <c r="N5" t="s">
        <v>366</v>
      </c>
      <c r="O5" t="s">
        <v>205</v>
      </c>
      <c r="P5" t="s">
        <v>368</v>
      </c>
      <c r="Q5" t="s">
        <v>205</v>
      </c>
      <c r="R5" t="s">
        <v>205</v>
      </c>
      <c r="S5" t="s">
        <v>205</v>
      </c>
      <c r="T5" t="s">
        <v>205</v>
      </c>
      <c r="U5" t="s">
        <v>205</v>
      </c>
      <c r="V5" t="s">
        <v>205</v>
      </c>
      <c r="W5" t="s">
        <v>205</v>
      </c>
      <c r="X5" t="s">
        <v>205</v>
      </c>
      <c r="Y5" t="s">
        <v>205</v>
      </c>
      <c r="Z5" t="s">
        <v>205</v>
      </c>
      <c r="AA5" t="s">
        <v>205</v>
      </c>
      <c r="AB5" t="s">
        <v>205</v>
      </c>
      <c r="AC5" t="s">
        <v>205</v>
      </c>
      <c r="AD5" t="s">
        <v>205</v>
      </c>
      <c r="AE5" t="s">
        <v>205</v>
      </c>
      <c r="AF5" t="s">
        <v>205</v>
      </c>
      <c r="AG5" t="s">
        <v>205</v>
      </c>
      <c r="AH5" t="s">
        <v>205</v>
      </c>
      <c r="AI5" t="s">
        <v>205</v>
      </c>
      <c r="AJ5" t="s">
        <v>205</v>
      </c>
      <c r="AK5" t="s">
        <v>205</v>
      </c>
      <c r="AL5" t="s">
        <v>205</v>
      </c>
      <c r="AM5" t="s">
        <v>205</v>
      </c>
      <c r="AN5" t="s">
        <v>205</v>
      </c>
    </row>
    <row r="6" spans="1:40" x14ac:dyDescent="0.35">
      <c r="A6">
        <v>46022</v>
      </c>
      <c r="B6" t="s">
        <v>42</v>
      </c>
      <c r="C6" t="s">
        <v>43</v>
      </c>
      <c r="D6" t="s">
        <v>118</v>
      </c>
      <c r="E6">
        <v>4354685</v>
      </c>
      <c r="F6">
        <v>95</v>
      </c>
      <c r="G6" t="s">
        <v>368</v>
      </c>
      <c r="H6" t="s">
        <v>369</v>
      </c>
      <c r="J6" t="s">
        <v>370</v>
      </c>
      <c r="K6" t="s">
        <v>371</v>
      </c>
      <c r="L6" t="s">
        <v>367</v>
      </c>
      <c r="M6" t="s">
        <v>164</v>
      </c>
      <c r="N6" t="s">
        <v>369</v>
      </c>
      <c r="O6">
        <v>4757367</v>
      </c>
      <c r="P6" t="s">
        <v>372</v>
      </c>
      <c r="Q6">
        <v>58.78</v>
      </c>
      <c r="R6">
        <v>2.33</v>
      </c>
      <c r="S6" t="s">
        <v>205</v>
      </c>
      <c r="T6" t="s">
        <v>205</v>
      </c>
      <c r="U6" t="s">
        <v>205</v>
      </c>
      <c r="V6" t="s">
        <v>205</v>
      </c>
      <c r="W6">
        <v>49.14</v>
      </c>
      <c r="X6" t="s">
        <v>205</v>
      </c>
      <c r="Y6">
        <v>7.3</v>
      </c>
      <c r="Z6" t="s">
        <v>205</v>
      </c>
      <c r="AA6" t="s">
        <v>205</v>
      </c>
      <c r="AB6" t="s">
        <v>205</v>
      </c>
      <c r="AC6" t="s">
        <v>205</v>
      </c>
      <c r="AD6" t="s">
        <v>205</v>
      </c>
      <c r="AE6">
        <v>0.01</v>
      </c>
      <c r="AF6">
        <v>2.92</v>
      </c>
      <c r="AG6" t="s">
        <v>205</v>
      </c>
      <c r="AH6" t="s">
        <v>205</v>
      </c>
      <c r="AI6" t="s">
        <v>205</v>
      </c>
      <c r="AJ6" t="s">
        <v>205</v>
      </c>
      <c r="AK6" t="s">
        <v>205</v>
      </c>
      <c r="AL6" t="s">
        <v>205</v>
      </c>
      <c r="AM6">
        <v>1.65</v>
      </c>
      <c r="AN6" t="s">
        <v>205</v>
      </c>
    </row>
    <row r="7" spans="1:40" x14ac:dyDescent="0.35">
      <c r="A7">
        <v>46022</v>
      </c>
      <c r="B7" t="s">
        <v>45</v>
      </c>
      <c r="C7" t="s">
        <v>46</v>
      </c>
      <c r="D7" t="s">
        <v>119</v>
      </c>
      <c r="E7">
        <v>106407935</v>
      </c>
      <c r="F7">
        <v>100</v>
      </c>
      <c r="G7" t="s">
        <v>368</v>
      </c>
      <c r="H7" t="s">
        <v>47</v>
      </c>
      <c r="J7" t="s">
        <v>373</v>
      </c>
      <c r="K7" t="s">
        <v>374</v>
      </c>
      <c r="L7" t="s">
        <v>372</v>
      </c>
      <c r="M7" t="s">
        <v>375</v>
      </c>
      <c r="N7" t="s">
        <v>373</v>
      </c>
      <c r="O7">
        <v>107016470</v>
      </c>
      <c r="P7" t="s">
        <v>372</v>
      </c>
      <c r="Q7" t="s">
        <v>205</v>
      </c>
      <c r="R7" t="s">
        <v>205</v>
      </c>
      <c r="S7" t="s">
        <v>205</v>
      </c>
      <c r="T7" t="s">
        <v>205</v>
      </c>
      <c r="U7" t="s">
        <v>205</v>
      </c>
      <c r="V7" t="s">
        <v>205</v>
      </c>
      <c r="W7" t="s">
        <v>205</v>
      </c>
      <c r="X7" t="s">
        <v>205</v>
      </c>
      <c r="Y7" t="s">
        <v>205</v>
      </c>
      <c r="Z7" t="s">
        <v>205</v>
      </c>
      <c r="AA7" t="s">
        <v>205</v>
      </c>
      <c r="AB7" t="s">
        <v>205</v>
      </c>
      <c r="AC7" t="s">
        <v>205</v>
      </c>
      <c r="AD7" t="s">
        <v>205</v>
      </c>
      <c r="AE7" t="s">
        <v>205</v>
      </c>
      <c r="AF7">
        <v>75</v>
      </c>
      <c r="AG7" t="s">
        <v>205</v>
      </c>
      <c r="AH7" t="s">
        <v>205</v>
      </c>
      <c r="AI7" t="s">
        <v>205</v>
      </c>
      <c r="AJ7" t="s">
        <v>205</v>
      </c>
      <c r="AK7" t="s">
        <v>205</v>
      </c>
      <c r="AL7" t="s">
        <v>205</v>
      </c>
      <c r="AM7" t="s">
        <v>205</v>
      </c>
      <c r="AN7" t="s">
        <v>205</v>
      </c>
    </row>
    <row r="8" spans="1:40" x14ac:dyDescent="0.35">
      <c r="A8">
        <v>46022</v>
      </c>
      <c r="B8" t="s">
        <v>51</v>
      </c>
      <c r="C8" t="s">
        <v>52</v>
      </c>
      <c r="D8" t="s">
        <v>120</v>
      </c>
      <c r="E8">
        <v>4348016</v>
      </c>
      <c r="F8">
        <v>100</v>
      </c>
      <c r="G8" t="s">
        <v>368</v>
      </c>
      <c r="H8" t="s">
        <v>376</v>
      </c>
      <c r="J8" t="s">
        <v>366</v>
      </c>
      <c r="K8" t="s">
        <v>366</v>
      </c>
      <c r="L8" t="s">
        <v>367</v>
      </c>
      <c r="M8" t="s">
        <v>366</v>
      </c>
      <c r="N8" t="s">
        <v>366</v>
      </c>
      <c r="O8" t="s">
        <v>205</v>
      </c>
      <c r="P8" t="s">
        <v>368</v>
      </c>
      <c r="Q8">
        <v>51.27</v>
      </c>
      <c r="R8">
        <v>10.46</v>
      </c>
      <c r="S8" t="s">
        <v>205</v>
      </c>
      <c r="T8" t="s">
        <v>205</v>
      </c>
      <c r="U8" t="s">
        <v>205</v>
      </c>
      <c r="V8" t="s">
        <v>205</v>
      </c>
      <c r="W8" t="s">
        <v>205</v>
      </c>
      <c r="X8" t="s">
        <v>205</v>
      </c>
      <c r="Y8">
        <v>35.86</v>
      </c>
      <c r="Z8" t="s">
        <v>205</v>
      </c>
      <c r="AA8" t="s">
        <v>205</v>
      </c>
      <c r="AB8" t="s">
        <v>205</v>
      </c>
      <c r="AC8">
        <v>1.99</v>
      </c>
      <c r="AD8">
        <v>2.95</v>
      </c>
      <c r="AE8" t="s">
        <v>205</v>
      </c>
      <c r="AF8">
        <v>6.31</v>
      </c>
      <c r="AG8" t="s">
        <v>205</v>
      </c>
      <c r="AH8" t="s">
        <v>205</v>
      </c>
      <c r="AI8" t="s">
        <v>205</v>
      </c>
      <c r="AJ8" t="s">
        <v>205</v>
      </c>
      <c r="AK8" t="s">
        <v>205</v>
      </c>
      <c r="AL8" t="s">
        <v>205</v>
      </c>
      <c r="AM8">
        <v>1.1299999999999999</v>
      </c>
      <c r="AN8" t="s">
        <v>205</v>
      </c>
    </row>
    <row r="9" spans="1:40" x14ac:dyDescent="0.35">
      <c r="A9">
        <v>46022</v>
      </c>
      <c r="B9" t="s">
        <v>54</v>
      </c>
      <c r="C9" t="s">
        <v>55</v>
      </c>
      <c r="D9" t="s">
        <v>121</v>
      </c>
      <c r="E9">
        <v>4363836</v>
      </c>
      <c r="F9">
        <v>100</v>
      </c>
      <c r="G9" t="s">
        <v>368</v>
      </c>
      <c r="H9" t="s">
        <v>56</v>
      </c>
      <c r="J9" t="s">
        <v>366</v>
      </c>
      <c r="K9" t="s">
        <v>366</v>
      </c>
      <c r="L9" t="s">
        <v>367</v>
      </c>
      <c r="M9" t="s">
        <v>366</v>
      </c>
      <c r="N9" t="s">
        <v>366</v>
      </c>
      <c r="O9" t="s">
        <v>205</v>
      </c>
      <c r="P9" t="s">
        <v>368</v>
      </c>
      <c r="Q9">
        <v>1.86</v>
      </c>
      <c r="R9" t="s">
        <v>205</v>
      </c>
      <c r="S9" t="s">
        <v>205</v>
      </c>
      <c r="T9" t="s">
        <v>205</v>
      </c>
      <c r="U9" t="s">
        <v>205</v>
      </c>
      <c r="V9">
        <v>0.01</v>
      </c>
      <c r="W9" t="s">
        <v>205</v>
      </c>
      <c r="X9" t="s">
        <v>205</v>
      </c>
      <c r="Y9">
        <v>1.61</v>
      </c>
      <c r="Z9" t="s">
        <v>205</v>
      </c>
      <c r="AA9" t="s">
        <v>205</v>
      </c>
      <c r="AB9" t="s">
        <v>205</v>
      </c>
      <c r="AC9" t="s">
        <v>205</v>
      </c>
      <c r="AD9" t="s">
        <v>205</v>
      </c>
      <c r="AE9">
        <v>0.24</v>
      </c>
      <c r="AF9">
        <v>2.97</v>
      </c>
      <c r="AG9" t="s">
        <v>205</v>
      </c>
      <c r="AH9" t="s">
        <v>205</v>
      </c>
      <c r="AI9" t="s">
        <v>205</v>
      </c>
      <c r="AJ9" t="s">
        <v>205</v>
      </c>
      <c r="AK9" t="s">
        <v>205</v>
      </c>
      <c r="AL9" t="s">
        <v>205</v>
      </c>
      <c r="AM9">
        <v>0.34</v>
      </c>
      <c r="AN9" t="s">
        <v>205</v>
      </c>
    </row>
    <row r="10" spans="1:40" x14ac:dyDescent="0.35">
      <c r="A10">
        <v>46022</v>
      </c>
      <c r="B10" t="s">
        <v>88</v>
      </c>
      <c r="C10" t="s">
        <v>89</v>
      </c>
      <c r="D10" t="s">
        <v>122</v>
      </c>
      <c r="E10">
        <v>4457925</v>
      </c>
      <c r="F10">
        <v>100</v>
      </c>
      <c r="G10" t="s">
        <v>372</v>
      </c>
      <c r="H10" t="s">
        <v>90</v>
      </c>
      <c r="J10" t="s">
        <v>366</v>
      </c>
      <c r="K10" t="s">
        <v>366</v>
      </c>
      <c r="L10" t="s">
        <v>367</v>
      </c>
      <c r="M10" t="s">
        <v>366</v>
      </c>
      <c r="N10" t="s">
        <v>366</v>
      </c>
      <c r="O10" t="s">
        <v>205</v>
      </c>
      <c r="P10" t="s">
        <v>368</v>
      </c>
      <c r="Q10" t="s">
        <v>205</v>
      </c>
      <c r="R10" t="s">
        <v>205</v>
      </c>
      <c r="S10" t="s">
        <v>205</v>
      </c>
      <c r="T10" t="s">
        <v>205</v>
      </c>
      <c r="U10" t="s">
        <v>205</v>
      </c>
      <c r="V10" t="s">
        <v>205</v>
      </c>
      <c r="W10" t="s">
        <v>205</v>
      </c>
      <c r="X10" t="s">
        <v>205</v>
      </c>
      <c r="Y10" t="s">
        <v>205</v>
      </c>
      <c r="Z10" t="s">
        <v>205</v>
      </c>
      <c r="AA10" t="s">
        <v>205</v>
      </c>
      <c r="AB10" t="s">
        <v>205</v>
      </c>
      <c r="AC10" t="s">
        <v>205</v>
      </c>
      <c r="AD10" t="s">
        <v>205</v>
      </c>
      <c r="AE10" t="s">
        <v>205</v>
      </c>
      <c r="AF10" t="s">
        <v>205</v>
      </c>
      <c r="AG10" t="s">
        <v>205</v>
      </c>
      <c r="AH10" t="s">
        <v>205</v>
      </c>
      <c r="AI10" t="s">
        <v>205</v>
      </c>
      <c r="AJ10" t="s">
        <v>205</v>
      </c>
      <c r="AK10" t="s">
        <v>205</v>
      </c>
      <c r="AL10" t="s">
        <v>205</v>
      </c>
      <c r="AM10" t="s">
        <v>205</v>
      </c>
      <c r="AN10" t="s">
        <v>205</v>
      </c>
    </row>
    <row r="11" spans="1:40" x14ac:dyDescent="0.35">
      <c r="A11">
        <v>46022</v>
      </c>
      <c r="B11" t="s">
        <v>92</v>
      </c>
      <c r="C11" t="s">
        <v>93</v>
      </c>
      <c r="D11" t="s">
        <v>122</v>
      </c>
      <c r="E11">
        <v>4457925</v>
      </c>
      <c r="F11">
        <v>100</v>
      </c>
      <c r="G11" t="s">
        <v>372</v>
      </c>
      <c r="H11" t="s">
        <v>90</v>
      </c>
      <c r="J11" t="s">
        <v>366</v>
      </c>
      <c r="K11" t="s">
        <v>366</v>
      </c>
      <c r="L11" t="s">
        <v>367</v>
      </c>
      <c r="M11" t="s">
        <v>366</v>
      </c>
      <c r="N11" t="s">
        <v>366</v>
      </c>
      <c r="O11" t="s">
        <v>205</v>
      </c>
      <c r="P11" t="s">
        <v>368</v>
      </c>
      <c r="Q11" t="s">
        <v>205</v>
      </c>
      <c r="R11" t="s">
        <v>205</v>
      </c>
      <c r="S11" t="s">
        <v>205</v>
      </c>
      <c r="T11" t="s">
        <v>205</v>
      </c>
      <c r="U11" t="s">
        <v>205</v>
      </c>
      <c r="V11" t="s">
        <v>205</v>
      </c>
      <c r="W11" t="s">
        <v>205</v>
      </c>
      <c r="X11" t="s">
        <v>205</v>
      </c>
      <c r="Y11" t="s">
        <v>205</v>
      </c>
      <c r="Z11" t="s">
        <v>205</v>
      </c>
      <c r="AA11" t="s">
        <v>205</v>
      </c>
      <c r="AB11" t="s">
        <v>205</v>
      </c>
      <c r="AC11" t="s">
        <v>205</v>
      </c>
      <c r="AD11" t="s">
        <v>205</v>
      </c>
      <c r="AE11" t="s">
        <v>205</v>
      </c>
      <c r="AF11" t="s">
        <v>205</v>
      </c>
      <c r="AG11" t="s">
        <v>205</v>
      </c>
      <c r="AH11" t="s">
        <v>205</v>
      </c>
      <c r="AI11" t="s">
        <v>205</v>
      </c>
      <c r="AJ11" t="s">
        <v>205</v>
      </c>
      <c r="AK11" t="s">
        <v>205</v>
      </c>
      <c r="AL11" t="s">
        <v>205</v>
      </c>
      <c r="AM11" t="s">
        <v>205</v>
      </c>
      <c r="AN11" t="s">
        <v>205</v>
      </c>
    </row>
    <row r="12" spans="1:40" x14ac:dyDescent="0.35">
      <c r="A12">
        <v>46022</v>
      </c>
      <c r="B12" t="s">
        <v>57</v>
      </c>
      <c r="C12" t="s">
        <v>58</v>
      </c>
      <c r="D12" t="s">
        <v>123</v>
      </c>
      <c r="E12">
        <v>4352429</v>
      </c>
      <c r="F12">
        <v>100</v>
      </c>
      <c r="G12" t="s">
        <v>372</v>
      </c>
      <c r="H12" t="s">
        <v>369</v>
      </c>
      <c r="J12" t="s">
        <v>366</v>
      </c>
      <c r="K12" t="s">
        <v>366</v>
      </c>
      <c r="L12" t="s">
        <v>367</v>
      </c>
      <c r="M12" t="s">
        <v>366</v>
      </c>
      <c r="N12" t="s">
        <v>366</v>
      </c>
      <c r="O12" t="s">
        <v>205</v>
      </c>
      <c r="P12" t="s">
        <v>368</v>
      </c>
      <c r="Q12" t="s">
        <v>205</v>
      </c>
      <c r="R12" t="s">
        <v>205</v>
      </c>
      <c r="S12" t="s">
        <v>205</v>
      </c>
      <c r="T12" t="s">
        <v>205</v>
      </c>
      <c r="U12" t="s">
        <v>205</v>
      </c>
      <c r="V12" t="s">
        <v>205</v>
      </c>
      <c r="W12" t="s">
        <v>205</v>
      </c>
      <c r="X12" t="s">
        <v>205</v>
      </c>
      <c r="Y12" t="s">
        <v>205</v>
      </c>
      <c r="Z12" t="s">
        <v>205</v>
      </c>
      <c r="AA12" t="s">
        <v>205</v>
      </c>
      <c r="AB12" t="s">
        <v>205</v>
      </c>
      <c r="AC12" t="s">
        <v>205</v>
      </c>
      <c r="AD12" t="s">
        <v>205</v>
      </c>
      <c r="AE12" t="s">
        <v>205</v>
      </c>
      <c r="AF12">
        <v>0.23</v>
      </c>
      <c r="AG12" t="s">
        <v>205</v>
      </c>
      <c r="AH12" t="s">
        <v>205</v>
      </c>
      <c r="AI12" t="s">
        <v>205</v>
      </c>
      <c r="AJ12" t="s">
        <v>205</v>
      </c>
      <c r="AK12" t="s">
        <v>205</v>
      </c>
      <c r="AL12" t="s">
        <v>205</v>
      </c>
      <c r="AM12" t="s">
        <v>205</v>
      </c>
      <c r="AN12" t="s">
        <v>205</v>
      </c>
    </row>
    <row r="13" spans="1:40" x14ac:dyDescent="0.35">
      <c r="A13">
        <v>46022</v>
      </c>
      <c r="B13" t="s">
        <v>60</v>
      </c>
      <c r="C13" t="s">
        <v>61</v>
      </c>
      <c r="D13" t="s">
        <v>124</v>
      </c>
      <c r="E13">
        <v>4353456</v>
      </c>
      <c r="F13">
        <v>2</v>
      </c>
      <c r="G13" t="s">
        <v>372</v>
      </c>
      <c r="H13" t="s">
        <v>47</v>
      </c>
      <c r="J13" t="s">
        <v>366</v>
      </c>
      <c r="K13" t="s">
        <v>366</v>
      </c>
      <c r="L13" t="s">
        <v>367</v>
      </c>
      <c r="M13" t="s">
        <v>366</v>
      </c>
      <c r="N13" t="s">
        <v>366</v>
      </c>
      <c r="O13" t="s">
        <v>205</v>
      </c>
      <c r="P13" t="s">
        <v>368</v>
      </c>
      <c r="Q13" t="s">
        <v>205</v>
      </c>
      <c r="R13" t="s">
        <v>205</v>
      </c>
      <c r="S13" t="s">
        <v>205</v>
      </c>
      <c r="T13" t="s">
        <v>205</v>
      </c>
      <c r="U13" t="s">
        <v>205</v>
      </c>
      <c r="V13" t="s">
        <v>205</v>
      </c>
      <c r="W13" t="s">
        <v>205</v>
      </c>
      <c r="X13" t="s">
        <v>205</v>
      </c>
      <c r="Y13" t="s">
        <v>205</v>
      </c>
      <c r="Z13" t="s">
        <v>205</v>
      </c>
      <c r="AA13" t="s">
        <v>205</v>
      </c>
      <c r="AB13" t="s">
        <v>205</v>
      </c>
      <c r="AC13" t="s">
        <v>205</v>
      </c>
      <c r="AD13" t="s">
        <v>205</v>
      </c>
      <c r="AE13" t="s">
        <v>205</v>
      </c>
      <c r="AF13" t="s">
        <v>205</v>
      </c>
      <c r="AG13" t="s">
        <v>205</v>
      </c>
      <c r="AH13" t="s">
        <v>205</v>
      </c>
      <c r="AI13" t="s">
        <v>205</v>
      </c>
      <c r="AJ13" t="s">
        <v>205</v>
      </c>
      <c r="AK13" t="s">
        <v>205</v>
      </c>
      <c r="AL13" t="s">
        <v>205</v>
      </c>
      <c r="AM13" t="s">
        <v>205</v>
      </c>
      <c r="AN13" t="s">
        <v>205</v>
      </c>
    </row>
    <row r="14" spans="1:40" x14ac:dyDescent="0.35">
      <c r="A14">
        <v>46022</v>
      </c>
      <c r="B14" t="s">
        <v>60</v>
      </c>
      <c r="C14" t="s">
        <v>61</v>
      </c>
      <c r="D14" t="s">
        <v>125</v>
      </c>
      <c r="E14">
        <v>10605938</v>
      </c>
      <c r="F14">
        <v>98</v>
      </c>
      <c r="G14" t="s">
        <v>368</v>
      </c>
      <c r="H14" t="s">
        <v>377</v>
      </c>
      <c r="J14" t="s">
        <v>366</v>
      </c>
      <c r="K14" t="s">
        <v>366</v>
      </c>
      <c r="L14" t="s">
        <v>367</v>
      </c>
      <c r="M14" t="s">
        <v>366</v>
      </c>
      <c r="N14" t="s">
        <v>366</v>
      </c>
      <c r="O14" t="s">
        <v>205</v>
      </c>
      <c r="P14" t="s">
        <v>368</v>
      </c>
      <c r="Q14">
        <v>9.51</v>
      </c>
      <c r="R14">
        <v>1.71</v>
      </c>
      <c r="S14" t="s">
        <v>205</v>
      </c>
      <c r="T14" t="s">
        <v>205</v>
      </c>
      <c r="U14" t="s">
        <v>205</v>
      </c>
      <c r="V14" t="s">
        <v>205</v>
      </c>
      <c r="W14" t="s">
        <v>205</v>
      </c>
      <c r="X14" t="s">
        <v>205</v>
      </c>
      <c r="Y14">
        <v>7.79</v>
      </c>
      <c r="Z14" t="s">
        <v>205</v>
      </c>
      <c r="AA14" t="s">
        <v>205</v>
      </c>
      <c r="AB14" t="s">
        <v>205</v>
      </c>
      <c r="AC14" t="s">
        <v>205</v>
      </c>
      <c r="AD14">
        <v>0.01</v>
      </c>
      <c r="AE14" t="s">
        <v>205</v>
      </c>
      <c r="AF14">
        <v>21.37</v>
      </c>
      <c r="AG14" t="s">
        <v>205</v>
      </c>
      <c r="AH14" t="s">
        <v>205</v>
      </c>
      <c r="AI14" t="s">
        <v>205</v>
      </c>
      <c r="AJ14" t="s">
        <v>205</v>
      </c>
      <c r="AK14" t="s">
        <v>205</v>
      </c>
      <c r="AL14" t="s">
        <v>205</v>
      </c>
      <c r="AM14">
        <v>3.99</v>
      </c>
      <c r="AN14">
        <v>0.96</v>
      </c>
    </row>
    <row r="15" spans="1:40" x14ac:dyDescent="0.35">
      <c r="A15">
        <v>46022</v>
      </c>
      <c r="B15" t="s">
        <v>63</v>
      </c>
      <c r="C15" t="s">
        <v>64</v>
      </c>
      <c r="D15" t="s">
        <v>126</v>
      </c>
      <c r="E15">
        <v>4331450</v>
      </c>
      <c r="F15">
        <v>100</v>
      </c>
      <c r="G15" t="s">
        <v>372</v>
      </c>
      <c r="H15" t="s">
        <v>47</v>
      </c>
      <c r="J15" t="s">
        <v>47</v>
      </c>
      <c r="K15" t="s">
        <v>378</v>
      </c>
      <c r="L15" t="s">
        <v>365</v>
      </c>
      <c r="M15" t="s">
        <v>379</v>
      </c>
      <c r="N15" t="s">
        <v>47</v>
      </c>
      <c r="O15">
        <v>4649432</v>
      </c>
      <c r="P15" t="s">
        <v>365</v>
      </c>
      <c r="Q15" t="s">
        <v>205</v>
      </c>
      <c r="R15" t="s">
        <v>205</v>
      </c>
      <c r="S15" t="s">
        <v>205</v>
      </c>
      <c r="T15" t="s">
        <v>205</v>
      </c>
      <c r="U15" t="s">
        <v>205</v>
      </c>
      <c r="V15" t="s">
        <v>205</v>
      </c>
      <c r="W15" t="s">
        <v>205</v>
      </c>
      <c r="X15" t="s">
        <v>205</v>
      </c>
      <c r="Y15" t="s">
        <v>205</v>
      </c>
      <c r="Z15" t="s">
        <v>205</v>
      </c>
      <c r="AA15" t="s">
        <v>205</v>
      </c>
      <c r="AB15" t="s">
        <v>205</v>
      </c>
      <c r="AC15" t="s">
        <v>205</v>
      </c>
      <c r="AD15" t="s">
        <v>205</v>
      </c>
      <c r="AE15" t="s">
        <v>205</v>
      </c>
      <c r="AF15" t="s">
        <v>205</v>
      </c>
      <c r="AG15" t="s">
        <v>205</v>
      </c>
      <c r="AH15" t="s">
        <v>205</v>
      </c>
      <c r="AI15" t="s">
        <v>205</v>
      </c>
      <c r="AJ15" t="s">
        <v>205</v>
      </c>
      <c r="AK15" t="s">
        <v>205</v>
      </c>
      <c r="AL15" t="s">
        <v>205</v>
      </c>
      <c r="AM15" t="s">
        <v>205</v>
      </c>
      <c r="AN15" t="s">
        <v>205</v>
      </c>
    </row>
  </sheetData>
  <autoFilter ref="A1:AN4" xr:uid="{AC053A5F-F294-4F76-9D54-40034CBE9446}"/>
  <mergeCells count="40">
    <mergeCell ref="F1:F4"/>
    <mergeCell ref="A1:A4"/>
    <mergeCell ref="B1:B4"/>
    <mergeCell ref="C1:C4"/>
    <mergeCell ref="D1:D4"/>
    <mergeCell ref="E1:E4"/>
    <mergeCell ref="R1:R4"/>
    <mergeCell ref="G1:G4"/>
    <mergeCell ref="H1:H4"/>
    <mergeCell ref="I1:I4"/>
    <mergeCell ref="J1:J4"/>
    <mergeCell ref="K1:K4"/>
    <mergeCell ref="L1:L4"/>
    <mergeCell ref="M1:M4"/>
    <mergeCell ref="N1:N4"/>
    <mergeCell ref="O1:O4"/>
    <mergeCell ref="P1:P4"/>
    <mergeCell ref="Q1:Q4"/>
    <mergeCell ref="AD1:AD4"/>
    <mergeCell ref="S1:S4"/>
    <mergeCell ref="T1:T4"/>
    <mergeCell ref="U1:U4"/>
    <mergeCell ref="V1:V4"/>
    <mergeCell ref="W1:W4"/>
    <mergeCell ref="X1:X4"/>
    <mergeCell ref="Y1:Y4"/>
    <mergeCell ref="Z1:Z4"/>
    <mergeCell ref="AA1:AA4"/>
    <mergeCell ref="AB1:AB4"/>
    <mergeCell ref="AC1:AC4"/>
    <mergeCell ref="AK1:AK4"/>
    <mergeCell ref="AL1:AL4"/>
    <mergeCell ref="AM1:AM4"/>
    <mergeCell ref="AN1:AN4"/>
    <mergeCell ref="AE1:AE4"/>
    <mergeCell ref="AF1:AF4"/>
    <mergeCell ref="AG1:AG4"/>
    <mergeCell ref="AH1:AH4"/>
    <mergeCell ref="AI1:AI4"/>
    <mergeCell ref="AJ1:AJ4"/>
  </mergeCells>
  <pageMargins left="0.7" right="0.7" top="0.75" bottom="0.75" header="0.3" footer="0.3"/>
  <headerFooter>
    <oddFooter>&amp;C_x000D_&amp;1#&amp;"Aptos"&amp;10&amp;K0000FF Restricted Use - À usage restreint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32EC4-2ECE-49C1-A59E-2B1FD52BE32A}">
  <dimension ref="A1:Y503"/>
  <sheetViews>
    <sheetView workbookViewId="0">
      <selection activeCell="G14" sqref="A1:XFD1048576"/>
    </sheetView>
  </sheetViews>
  <sheetFormatPr defaultRowHeight="14.5" x14ac:dyDescent="0.35"/>
  <sheetData>
    <row r="1" spans="1:25" x14ac:dyDescent="0.35">
      <c r="A1" s="8">
        <v>4354685</v>
      </c>
      <c r="B1" s="8">
        <v>106407935</v>
      </c>
      <c r="C1" s="8">
        <v>4348016</v>
      </c>
      <c r="D1" s="8">
        <v>4363836</v>
      </c>
      <c r="E1" s="8">
        <v>10605938</v>
      </c>
    </row>
    <row r="2" spans="1:25" x14ac:dyDescent="0.35">
      <c r="A2">
        <v>4354685</v>
      </c>
      <c r="B2">
        <v>4354685</v>
      </c>
      <c r="C2">
        <v>4354685</v>
      </c>
      <c r="D2">
        <v>4354685</v>
      </c>
      <c r="E2">
        <v>4354685</v>
      </c>
      <c r="F2">
        <v>106407935</v>
      </c>
      <c r="G2">
        <v>106407935</v>
      </c>
      <c r="H2">
        <v>106407935</v>
      </c>
      <c r="I2">
        <v>106407935</v>
      </c>
      <c r="J2">
        <v>106407935</v>
      </c>
      <c r="K2">
        <v>4348016</v>
      </c>
      <c r="L2">
        <v>4348016</v>
      </c>
      <c r="M2">
        <v>4348016</v>
      </c>
      <c r="N2">
        <v>4348016</v>
      </c>
      <c r="O2">
        <v>4348016</v>
      </c>
      <c r="P2">
        <v>4363836</v>
      </c>
      <c r="Q2">
        <v>4363836</v>
      </c>
      <c r="R2">
        <v>4363836</v>
      </c>
      <c r="S2">
        <v>4363836</v>
      </c>
      <c r="T2">
        <v>4363836</v>
      </c>
      <c r="U2">
        <v>10605938</v>
      </c>
      <c r="V2">
        <v>10605938</v>
      </c>
      <c r="W2">
        <v>10605938</v>
      </c>
      <c r="X2">
        <v>10605938</v>
      </c>
      <c r="Y2">
        <v>10605938</v>
      </c>
    </row>
    <row r="3" spans="1:25" x14ac:dyDescent="0.35">
      <c r="A3" s="9" t="str">
        <f>_xll.SNL.Clients.Office.Excel.Functions.SPGRANGEV(A2, "SP_HOLDER_NAME", "1", "500", , "Summary")</f>
        <v>Holder Name</v>
      </c>
      <c r="B3" s="9" t="str">
        <f>_xll.SNL.Clients.Office.Excel.Functions.SPGRANGEV(A2, "SP_HOLDER_ID", "1", "500", , "Summary")</f>
        <v>Holder ID</v>
      </c>
      <c r="C3" s="9" t="str">
        <f>_xll.SNL.Clients.Office.Excel.Functions.SPGRANGEV(A2, "SP_HOLDER_TYPE", "1", "500", , "Summary")</f>
        <v>Holder Type</v>
      </c>
      <c r="D3" s="9" t="str">
        <f>_xll.SNL.Clients.Office.Excel.Functions.SPGRANGEV(A2, "SP_PCT_HELD_BY_HOLDER", "1", "500", , "Summary")</f>
        <v>Percent Held by Holder</v>
      </c>
      <c r="E3" t="s">
        <v>162</v>
      </c>
      <c r="F3" s="9" t="str">
        <f>_xll.SNL.Clients.Office.Excel.Functions.SPGRANGEV(F2, "SP_HOLDER_NAME", "1", "500", , "Summary")</f>
        <v>Holder Name</v>
      </c>
      <c r="G3" s="9" t="str">
        <f>_xll.SNL.Clients.Office.Excel.Functions.SPGRANGEV(F2, "SP_HOLDER_ID", "1", "500", , "Summary")</f>
        <v>Holder ID</v>
      </c>
      <c r="H3" s="9" t="str">
        <f>_xll.SNL.Clients.Office.Excel.Functions.SPGRANGEV(F2, "SP_HOLDER_TYPE", "1", "500", , "Summary")</f>
        <v>Holder Type</v>
      </c>
      <c r="I3" s="9" t="str">
        <f>_xll.SNL.Clients.Office.Excel.Functions.SPGRANGEV(F2, "SP_PCT_HELD_BY_HOLDER", "1", "500", , "Summary")</f>
        <v>Percent Held by Holder</v>
      </c>
      <c r="J3" t="s">
        <v>162</v>
      </c>
      <c r="K3" s="9" t="str">
        <f>_xll.SNL.Clients.Office.Excel.Functions.SPGRANGEV(K2, "SP_HOLDER_NAME", "1", "500", , "Summary")</f>
        <v>Holder Name</v>
      </c>
      <c r="L3" s="9" t="str">
        <f>_xll.SNL.Clients.Office.Excel.Functions.SPGRANGEV(K2, "SP_HOLDER_ID", "1", "500", , "Summary")</f>
        <v>Holder ID</v>
      </c>
      <c r="M3" s="9" t="str">
        <f>_xll.SNL.Clients.Office.Excel.Functions.SPGRANGEV(K2, "SP_HOLDER_TYPE", "1", "500", , "Summary")</f>
        <v>Holder Type</v>
      </c>
      <c r="N3" s="9" t="str">
        <f>_xll.SNL.Clients.Office.Excel.Functions.SPGRANGEV(K2, "SP_PCT_HELD_BY_HOLDER", "1", "500", , "Summary")</f>
        <v>Percent Held by Holder</v>
      </c>
      <c r="O3" t="s">
        <v>162</v>
      </c>
      <c r="P3" s="9" t="str">
        <f>_xll.SNL.Clients.Office.Excel.Functions.SPGRANGEV(P2, "SP_HOLDER_NAME", "1", "500", , "Summary")</f>
        <v>Holder Name</v>
      </c>
      <c r="Q3" s="9" t="str">
        <f>_xll.SNL.Clients.Office.Excel.Functions.SPGRANGEV(P2, "SP_HOLDER_ID", "1", "500", , "Summary")</f>
        <v>Holder ID</v>
      </c>
      <c r="R3" s="9" t="str">
        <f>_xll.SNL.Clients.Office.Excel.Functions.SPGRANGEV(P2, "SP_HOLDER_TYPE", "1", "500", , "Summary")</f>
        <v>Holder Type</v>
      </c>
      <c r="S3" s="9" t="str">
        <f>_xll.SNL.Clients.Office.Excel.Functions.SPGRANGEV(P2, "SP_PCT_HELD_BY_HOLDER", "1", "500", , "Summary")</f>
        <v>Percent Held by Holder</v>
      </c>
      <c r="T3" t="s">
        <v>162</v>
      </c>
      <c r="U3" s="9" t="str">
        <f>_xll.SNL.Clients.Office.Excel.Functions.SPGRANGEV(U2, "SP_HOLDER_NAME", "1", "500", , "Summary")</f>
        <v>Holder Name</v>
      </c>
      <c r="V3" s="9" t="str">
        <f>_xll.SNL.Clients.Office.Excel.Functions.SPGRANGEV(U2, "SP_HOLDER_ID", "1", "500", , "Summary")</f>
        <v>Holder ID</v>
      </c>
      <c r="W3" s="9" t="str">
        <f>_xll.SNL.Clients.Office.Excel.Functions.SPGRANGEV(U2, "SP_HOLDER_TYPE", "1", "500", , "Summary")</f>
        <v>Holder Type</v>
      </c>
      <c r="X3" s="9" t="str">
        <f>_xll.SNL.Clients.Office.Excel.Functions.SPGRANGEV(U2, "SP_PCT_HELD_BY_HOLDER", "1", "500", , "Summary")</f>
        <v>Percent Held by Holder</v>
      </c>
      <c r="Y3" t="s">
        <v>162</v>
      </c>
    </row>
    <row r="4" spans="1:25" x14ac:dyDescent="0.35">
      <c r="A4" t="s">
        <v>164</v>
      </c>
      <c r="B4">
        <v>4757367</v>
      </c>
      <c r="C4" t="s">
        <v>207</v>
      </c>
      <c r="D4" s="11">
        <v>49.14</v>
      </c>
      <c r="E4" s="9" t="str">
        <f>_xll.SNL.Clients.Office.Excel.Functions.SPG(B4, "SP_COUNTRY_NAME")</f>
        <v>Australia</v>
      </c>
      <c r="F4" t="s">
        <v>206</v>
      </c>
      <c r="G4" t="s">
        <v>205</v>
      </c>
      <c r="H4" t="s">
        <v>209</v>
      </c>
      <c r="I4" s="11">
        <v>75</v>
      </c>
      <c r="J4" s="9" t="str">
        <f>_xll.SNL.Clients.Office.Excel.Functions.SPG(G4, "SP_COUNTRY_NAME")</f>
        <v>China</v>
      </c>
      <c r="K4" t="s">
        <v>212</v>
      </c>
      <c r="L4">
        <v>109888</v>
      </c>
      <c r="M4" t="s">
        <v>163</v>
      </c>
      <c r="N4" s="11">
        <v>9.07</v>
      </c>
      <c r="O4" s="9" t="str">
        <f>_xll.SNL.Clients.Office.Excel.Functions.SPG(L4, "SP_COUNTRY_NAME")</f>
        <v>USA</v>
      </c>
      <c r="P4" t="s">
        <v>298</v>
      </c>
      <c r="Q4">
        <v>5870185</v>
      </c>
      <c r="R4" t="s">
        <v>163</v>
      </c>
      <c r="S4" s="11">
        <v>1.59</v>
      </c>
      <c r="T4" s="9" t="str">
        <f>_xll.SNL.Clients.Office.Excel.Functions.SPG(Q4, "SP_COUNTRY_NAME")</f>
        <v>Canada</v>
      </c>
      <c r="U4" t="s">
        <v>310</v>
      </c>
      <c r="V4" t="s">
        <v>205</v>
      </c>
      <c r="W4" t="s">
        <v>209</v>
      </c>
      <c r="X4" s="11">
        <v>9.6999999999999993</v>
      </c>
      <c r="Y4" s="9" t="str">
        <f>_xll.SNL.Clients.Office.Excel.Functions.SPG(V4, "SP_COUNTRY_NAME")</f>
        <v>China</v>
      </c>
    </row>
    <row r="5" spans="1:25" x14ac:dyDescent="0.35">
      <c r="A5" t="s">
        <v>165</v>
      </c>
      <c r="B5">
        <v>4234513</v>
      </c>
      <c r="C5" t="s">
        <v>163</v>
      </c>
      <c r="D5" s="11">
        <v>3.39</v>
      </c>
      <c r="E5" s="9" t="str">
        <f>_xll.SNL.Clients.Office.Excel.Functions.SPG(B5, "SP_COUNTRY_NAME")</f>
        <v>Australia</v>
      </c>
      <c r="J5" s="9" t="str">
        <f>_xll.SNL.Clients.Office.Excel.Functions.SPG(G5, "SP_COUNTRY_NAME")</f>
        <v>#INVALID COMPANY ID</v>
      </c>
      <c r="K5" t="s">
        <v>213</v>
      </c>
      <c r="L5" t="s">
        <v>205</v>
      </c>
      <c r="M5" t="s">
        <v>209</v>
      </c>
      <c r="N5" s="11">
        <v>3.9</v>
      </c>
      <c r="O5" s="9" t="str">
        <f>_xll.SNL.Clients.Office.Excel.Functions.SPG(L5, "SP_COUNTRY_NAME")</f>
        <v>China</v>
      </c>
      <c r="P5" t="s">
        <v>299</v>
      </c>
      <c r="Q5" t="s">
        <v>205</v>
      </c>
      <c r="R5" t="s">
        <v>209</v>
      </c>
      <c r="S5" s="11">
        <v>1.32</v>
      </c>
      <c r="T5" s="9" t="str">
        <f>_xll.SNL.Clients.Office.Excel.Functions.SPG(Q5, "SP_COUNTRY_NAME")</f>
        <v>China</v>
      </c>
      <c r="U5" t="s">
        <v>311</v>
      </c>
      <c r="V5" t="s">
        <v>205</v>
      </c>
      <c r="W5" t="s">
        <v>209</v>
      </c>
      <c r="X5" s="11">
        <v>9.6999999999999993</v>
      </c>
      <c r="Y5" s="9" t="str">
        <f>_xll.SNL.Clients.Office.Excel.Functions.SPG(V5, "SP_COUNTRY_NAME")</f>
        <v>China</v>
      </c>
    </row>
    <row r="6" spans="1:25" x14ac:dyDescent="0.35">
      <c r="A6" t="s">
        <v>166</v>
      </c>
      <c r="B6">
        <v>4041896</v>
      </c>
      <c r="C6" t="s">
        <v>208</v>
      </c>
      <c r="D6" s="11">
        <v>2.33</v>
      </c>
      <c r="E6" s="9" t="str">
        <f>_xll.SNL.Clients.Office.Excel.Functions.SPG(B6, "SP_COUNTRY_NAME")</f>
        <v>USA</v>
      </c>
      <c r="J6" s="9" t="str">
        <f>_xll.SNL.Clients.Office.Excel.Functions.SPG(G6, "SP_COUNTRY_NAME")</f>
        <v>#INVALID COMPANY ID</v>
      </c>
      <c r="K6" t="s">
        <v>214</v>
      </c>
      <c r="L6">
        <v>4048287</v>
      </c>
      <c r="M6" t="s">
        <v>163</v>
      </c>
      <c r="N6" s="11">
        <v>3.05</v>
      </c>
      <c r="O6" s="9" t="str">
        <f>_xll.SNL.Clients.Office.Excel.Functions.SPG(L6, "SP_COUNTRY_NAME")</f>
        <v>USA</v>
      </c>
      <c r="P6" t="s">
        <v>300</v>
      </c>
      <c r="Q6" t="s">
        <v>205</v>
      </c>
      <c r="R6" t="s">
        <v>209</v>
      </c>
      <c r="S6" s="11">
        <v>0.82</v>
      </c>
      <c r="T6" s="9" t="str">
        <f>_xll.SNL.Clients.Office.Excel.Functions.SPG(Q6, "SP_COUNTRY_NAME")</f>
        <v>China</v>
      </c>
      <c r="U6" t="s">
        <v>312</v>
      </c>
      <c r="V6">
        <v>4219776</v>
      </c>
      <c r="W6" t="s">
        <v>163</v>
      </c>
      <c r="X6" s="11">
        <v>2.14</v>
      </c>
      <c r="Y6" s="9" t="str">
        <f>_xll.SNL.Clients.Office.Excel.Functions.SPG(V6, "SP_COUNTRY_NAME")</f>
        <v>United Kingdom</v>
      </c>
    </row>
    <row r="7" spans="1:25" x14ac:dyDescent="0.35">
      <c r="A7" t="s">
        <v>167</v>
      </c>
      <c r="B7" t="s">
        <v>205</v>
      </c>
      <c r="C7" t="s">
        <v>209</v>
      </c>
      <c r="D7" s="11">
        <v>1.55</v>
      </c>
      <c r="E7" s="9" t="str">
        <f>_xll.SNL.Clients.Office.Excel.Functions.SPG(B7, "SP_COUNTRY_NAME")</f>
        <v>China</v>
      </c>
      <c r="J7" s="9" t="str">
        <f>_xll.SNL.Clients.Office.Excel.Functions.SPG(G7, "SP_COUNTRY_NAME")</f>
        <v>#INVALID COMPANY ID</v>
      </c>
      <c r="K7" t="s">
        <v>215</v>
      </c>
      <c r="L7">
        <v>4138467</v>
      </c>
      <c r="M7" t="s">
        <v>296</v>
      </c>
      <c r="N7" s="11">
        <v>2.95</v>
      </c>
      <c r="O7" s="9" t="str">
        <f>_xll.SNL.Clients.Office.Excel.Functions.SPG(L7, "SP_COUNTRY_NAME")</f>
        <v>Norway</v>
      </c>
      <c r="P7" t="s">
        <v>301</v>
      </c>
      <c r="Q7" t="s">
        <v>205</v>
      </c>
      <c r="R7" t="s">
        <v>209</v>
      </c>
      <c r="S7" s="11">
        <v>0.66</v>
      </c>
      <c r="T7" s="9" t="str">
        <f>_xll.SNL.Clients.Office.Excel.Functions.SPG(Q7, "SP_COUNTRY_NAME")</f>
        <v>China</v>
      </c>
      <c r="U7" t="s">
        <v>313</v>
      </c>
      <c r="V7">
        <v>27742978</v>
      </c>
      <c r="W7" t="s">
        <v>210</v>
      </c>
      <c r="X7" s="11">
        <v>2.02</v>
      </c>
      <c r="Y7" s="9" t="str">
        <f>_xll.SNL.Clients.Office.Excel.Functions.SPG(V7, "SP_COUNTRY_NAME")</f>
        <v>India</v>
      </c>
    </row>
    <row r="8" spans="1:25" x14ac:dyDescent="0.35">
      <c r="A8" t="s">
        <v>168</v>
      </c>
      <c r="B8">
        <v>137764443</v>
      </c>
      <c r="C8" t="s">
        <v>163</v>
      </c>
      <c r="D8" s="11">
        <v>1.1200000000000001</v>
      </c>
      <c r="E8" s="9" t="str">
        <f>_xll.SNL.Clients.Office.Excel.Functions.SPG(B8, "SP_COUNTRY_NAME")</f>
        <v>USA</v>
      </c>
      <c r="J8" s="9" t="str">
        <f>_xll.SNL.Clients.Office.Excel.Functions.SPG(G8, "SP_COUNTRY_NAME")</f>
        <v>#INVALID COMPANY ID</v>
      </c>
      <c r="K8" t="s">
        <v>216</v>
      </c>
      <c r="L8">
        <v>4040817</v>
      </c>
      <c r="M8" t="s">
        <v>297</v>
      </c>
      <c r="N8" s="11">
        <v>2.91</v>
      </c>
      <c r="O8" s="9" t="str">
        <f>_xll.SNL.Clients.Office.Excel.Functions.SPG(L8, "SP_COUNTRY_NAME")</f>
        <v>United Kingdom</v>
      </c>
      <c r="P8" t="s">
        <v>302</v>
      </c>
      <c r="Q8">
        <v>9249901</v>
      </c>
      <c r="R8" t="s">
        <v>210</v>
      </c>
      <c r="S8" s="11">
        <v>0.34</v>
      </c>
      <c r="T8" s="9" t="str">
        <f>_xll.SNL.Clients.Office.Excel.Functions.SPG(Q8, "SP_COUNTRY_NAME")</f>
        <v>Canada</v>
      </c>
      <c r="U8" t="s">
        <v>314</v>
      </c>
      <c r="V8">
        <v>27828538</v>
      </c>
      <c r="W8" t="s">
        <v>210</v>
      </c>
      <c r="X8" s="11">
        <v>1.94</v>
      </c>
      <c r="Y8" s="9" t="str">
        <f>_xll.SNL.Clients.Office.Excel.Functions.SPG(V8, "SP_COUNTRY_NAME")</f>
        <v>India</v>
      </c>
    </row>
    <row r="9" spans="1:25" x14ac:dyDescent="0.35">
      <c r="A9" t="s">
        <v>169</v>
      </c>
      <c r="B9">
        <v>111289</v>
      </c>
      <c r="C9" t="s">
        <v>163</v>
      </c>
      <c r="D9" s="11">
        <v>0.95</v>
      </c>
      <c r="E9" s="9" t="str">
        <f>_xll.SNL.Clients.Office.Excel.Functions.SPG(B9, "SP_COUNTRY_NAME")</f>
        <v>USA</v>
      </c>
      <c r="J9" s="9" t="str">
        <f>_xll.SNL.Clients.Office.Excel.Functions.SPG(G9, "SP_COUNTRY_NAME")</f>
        <v>#INVALID COMPANY ID</v>
      </c>
      <c r="K9" t="s">
        <v>217</v>
      </c>
      <c r="L9">
        <v>111219</v>
      </c>
      <c r="M9" t="s">
        <v>163</v>
      </c>
      <c r="N9" s="11">
        <v>2.73</v>
      </c>
      <c r="O9" s="9" t="str">
        <f>_xll.SNL.Clients.Office.Excel.Functions.SPG(L9, "SP_COUNTRY_NAME")</f>
        <v>USA</v>
      </c>
      <c r="P9" t="s">
        <v>303</v>
      </c>
      <c r="Q9">
        <v>5752269</v>
      </c>
      <c r="R9" t="s">
        <v>211</v>
      </c>
      <c r="S9" s="11">
        <v>0.24</v>
      </c>
      <c r="T9" s="9" t="str">
        <f>_xll.SNL.Clients.Office.Excel.Functions.SPG(Q9, "SP_COUNTRY_NAME")</f>
        <v>Canada</v>
      </c>
      <c r="U9" t="s">
        <v>315</v>
      </c>
      <c r="V9">
        <v>4138639</v>
      </c>
      <c r="W9" t="s">
        <v>163</v>
      </c>
      <c r="X9" s="11">
        <v>1.67</v>
      </c>
      <c r="Y9" s="9" t="str">
        <f>_xll.SNL.Clients.Office.Excel.Functions.SPG(V9, "SP_COUNTRY_NAME")</f>
        <v>United Kingdom</v>
      </c>
    </row>
    <row r="10" spans="1:25" x14ac:dyDescent="0.35">
      <c r="A10" t="s">
        <v>170</v>
      </c>
      <c r="B10" t="s">
        <v>205</v>
      </c>
      <c r="C10" t="s">
        <v>209</v>
      </c>
      <c r="D10" s="11">
        <v>0.92</v>
      </c>
      <c r="E10" s="9" t="str">
        <f>_xll.SNL.Clients.Office.Excel.Functions.SPG(B10, "SP_COUNTRY_NAME")</f>
        <v>China</v>
      </c>
      <c r="J10" s="9" t="str">
        <f>_xll.SNL.Clients.Office.Excel.Functions.SPG(G10, "SP_COUNTRY_NAME")</f>
        <v>#INVALID COMPANY ID</v>
      </c>
      <c r="K10" t="s">
        <v>218</v>
      </c>
      <c r="L10">
        <v>3006816</v>
      </c>
      <c r="M10" t="s">
        <v>208</v>
      </c>
      <c r="N10" s="11">
        <v>2.58</v>
      </c>
      <c r="O10" s="9" t="str">
        <f>_xll.SNL.Clients.Office.Excel.Functions.SPG(L10, "SP_COUNTRY_NAME")</f>
        <v>USA</v>
      </c>
      <c r="P10" t="s">
        <v>304</v>
      </c>
      <c r="Q10" t="s">
        <v>205</v>
      </c>
      <c r="R10" t="s">
        <v>209</v>
      </c>
      <c r="S10" s="11">
        <v>0.08</v>
      </c>
      <c r="T10" s="9" t="str">
        <f>_xll.SNL.Clients.Office.Excel.Functions.SPG(Q10, "SP_COUNTRY_NAME")</f>
        <v>China</v>
      </c>
      <c r="U10" t="s">
        <v>316</v>
      </c>
      <c r="V10">
        <v>4145085</v>
      </c>
      <c r="W10" t="s">
        <v>163</v>
      </c>
      <c r="X10" s="11">
        <v>1.57</v>
      </c>
      <c r="Y10" s="9" t="str">
        <f>_xll.SNL.Clients.Office.Excel.Functions.SPG(V10, "SP_COUNTRY_NAME")</f>
        <v>United Kingdom</v>
      </c>
    </row>
    <row r="11" spans="1:25" x14ac:dyDescent="0.35">
      <c r="A11" t="s">
        <v>171</v>
      </c>
      <c r="B11">
        <v>13969643</v>
      </c>
      <c r="C11" t="s">
        <v>163</v>
      </c>
      <c r="D11" s="11">
        <v>0.57999999999999996</v>
      </c>
      <c r="E11" s="9" t="str">
        <f>_xll.SNL.Clients.Office.Excel.Functions.SPG(B11, "SP_COUNTRY_NAME")</f>
        <v>United Kingdom</v>
      </c>
      <c r="J11" s="9" t="str">
        <f>_xll.SNL.Clients.Office.Excel.Functions.SPG(G11, "SP_COUNTRY_NAME")</f>
        <v>#INVALID COMPANY ID</v>
      </c>
      <c r="K11" t="s">
        <v>219</v>
      </c>
      <c r="L11">
        <v>4041196</v>
      </c>
      <c r="M11" t="s">
        <v>208</v>
      </c>
      <c r="N11" s="11">
        <v>2.5299999999999998</v>
      </c>
      <c r="O11" s="9" t="str">
        <f>_xll.SNL.Clients.Office.Excel.Functions.SPG(L11, "SP_COUNTRY_NAME")</f>
        <v>United Kingdom</v>
      </c>
      <c r="P11" t="s">
        <v>305</v>
      </c>
      <c r="Q11" t="s">
        <v>205</v>
      </c>
      <c r="R11" t="s">
        <v>209</v>
      </c>
      <c r="S11" s="11">
        <v>0.05</v>
      </c>
      <c r="T11" s="9" t="str">
        <f>_xll.SNL.Clients.Office.Excel.Functions.SPG(Q11, "SP_COUNTRY_NAME")</f>
        <v>China</v>
      </c>
      <c r="U11" t="s">
        <v>317</v>
      </c>
      <c r="V11" t="s">
        <v>205</v>
      </c>
      <c r="W11" t="s">
        <v>209</v>
      </c>
      <c r="X11" s="11">
        <v>1.54</v>
      </c>
      <c r="Y11" s="9" t="str">
        <f>_xll.SNL.Clients.Office.Excel.Functions.SPG(V11, "SP_COUNTRY_NAME")</f>
        <v>China</v>
      </c>
    </row>
    <row r="12" spans="1:25" x14ac:dyDescent="0.35">
      <c r="A12" t="s">
        <v>172</v>
      </c>
      <c r="B12">
        <v>4549009</v>
      </c>
      <c r="C12" t="s">
        <v>163</v>
      </c>
      <c r="D12" s="11">
        <v>0.57999999999999996</v>
      </c>
      <c r="E12" s="9" t="str">
        <f>_xll.SNL.Clients.Office.Excel.Functions.SPG(B12, "SP_COUNTRY_NAME")</f>
        <v>Australia</v>
      </c>
      <c r="J12" s="9" t="str">
        <f>_xll.SNL.Clients.Office.Excel.Functions.SPG(G12, "SP_COUNTRY_NAME")</f>
        <v>#INVALID COMPANY ID</v>
      </c>
      <c r="K12" t="s">
        <v>220</v>
      </c>
      <c r="L12">
        <v>114508</v>
      </c>
      <c r="M12" t="s">
        <v>208</v>
      </c>
      <c r="N12" s="11">
        <v>2.2200000000000002</v>
      </c>
      <c r="O12" s="9" t="str">
        <f>_xll.SNL.Clients.Office.Excel.Functions.SPG(L12, "SP_COUNTRY_NAME")</f>
        <v>United Kingdom</v>
      </c>
      <c r="P12" t="s">
        <v>306</v>
      </c>
      <c r="Q12" t="s">
        <v>205</v>
      </c>
      <c r="R12" t="s">
        <v>209</v>
      </c>
      <c r="S12" s="11">
        <v>0.04</v>
      </c>
      <c r="T12" s="9" t="str">
        <f>_xll.SNL.Clients.Office.Excel.Functions.SPG(Q12, "SP_COUNTRY_NAME")</f>
        <v>China</v>
      </c>
      <c r="U12" t="s">
        <v>318</v>
      </c>
      <c r="V12">
        <v>4362727</v>
      </c>
      <c r="W12" t="s">
        <v>364</v>
      </c>
      <c r="X12" s="11">
        <v>0.86</v>
      </c>
      <c r="Y12" s="9" t="str">
        <f>_xll.SNL.Clients.Office.Excel.Functions.SPG(V12, "SP_COUNTRY_NAME")</f>
        <v>Australia</v>
      </c>
    </row>
    <row r="13" spans="1:25" x14ac:dyDescent="0.35">
      <c r="A13" t="s">
        <v>173</v>
      </c>
      <c r="B13">
        <v>106180618</v>
      </c>
      <c r="C13" t="s">
        <v>210</v>
      </c>
      <c r="D13" s="11">
        <v>0.47</v>
      </c>
      <c r="E13" s="9" t="str">
        <f>_xll.SNL.Clients.Office.Excel.Functions.SPG(B13, "SP_COUNTRY_NAME")</f>
        <v>Australia</v>
      </c>
      <c r="J13" s="9" t="str">
        <f>_xll.SNL.Clients.Office.Excel.Functions.SPG(G13, "SP_COUNTRY_NAME")</f>
        <v>#INVALID COMPANY ID</v>
      </c>
      <c r="K13" t="s">
        <v>221</v>
      </c>
      <c r="L13">
        <v>4039450</v>
      </c>
      <c r="M13" t="s">
        <v>163</v>
      </c>
      <c r="N13" s="11">
        <v>2.0099999999999998</v>
      </c>
      <c r="O13" s="9" t="str">
        <f>_xll.SNL.Clients.Office.Excel.Functions.SPG(L13, "SP_COUNTRY_NAME")</f>
        <v>USA</v>
      </c>
      <c r="P13" t="s">
        <v>307</v>
      </c>
      <c r="Q13">
        <v>4612971</v>
      </c>
      <c r="R13" t="s">
        <v>163</v>
      </c>
      <c r="S13" s="11">
        <v>0.03</v>
      </c>
      <c r="T13" s="9" t="str">
        <f>_xll.SNL.Clients.Office.Excel.Functions.SPG(Q13, "SP_COUNTRY_NAME")</f>
        <v>Canada</v>
      </c>
      <c r="U13" t="s">
        <v>319</v>
      </c>
      <c r="V13">
        <v>7058800</v>
      </c>
      <c r="W13" t="s">
        <v>163</v>
      </c>
      <c r="X13" s="11">
        <v>0.75</v>
      </c>
      <c r="Y13" s="9" t="str">
        <f>_xll.SNL.Clients.Office.Excel.Functions.SPG(V13, "SP_COUNTRY_NAME")</f>
        <v>United Kingdom</v>
      </c>
    </row>
    <row r="14" spans="1:25" x14ac:dyDescent="0.35">
      <c r="A14" t="s">
        <v>174</v>
      </c>
      <c r="B14">
        <v>133943968</v>
      </c>
      <c r="C14" t="s">
        <v>210</v>
      </c>
      <c r="D14" s="11">
        <v>0.42</v>
      </c>
      <c r="E14" s="9" t="str">
        <f>_xll.SNL.Clients.Office.Excel.Functions.SPG(B14, "SP_COUNTRY_NAME")</f>
        <v>Australia</v>
      </c>
      <c r="J14" s="9" t="str">
        <f>_xll.SNL.Clients.Office.Excel.Functions.SPG(G14, "SP_COUNTRY_NAME")</f>
        <v>#INVALID COMPANY ID</v>
      </c>
      <c r="K14" t="s">
        <v>169</v>
      </c>
      <c r="L14">
        <v>111289</v>
      </c>
      <c r="M14" t="s">
        <v>163</v>
      </c>
      <c r="N14" s="11">
        <v>1.97</v>
      </c>
      <c r="O14" s="9" t="str">
        <f>_xll.SNL.Clients.Office.Excel.Functions.SPG(L14, "SP_COUNTRY_NAME")</f>
        <v>USA</v>
      </c>
      <c r="P14" t="s">
        <v>308</v>
      </c>
      <c r="Q14">
        <v>12996037</v>
      </c>
      <c r="R14" t="s">
        <v>143</v>
      </c>
      <c r="S14" s="11">
        <v>0.01</v>
      </c>
      <c r="T14" s="9" t="str">
        <f>_xll.SNL.Clients.Office.Excel.Functions.SPG(Q14, "SP_COUNTRY_NAME")</f>
        <v>USA</v>
      </c>
      <c r="U14" t="s">
        <v>320</v>
      </c>
      <c r="V14">
        <v>4138723</v>
      </c>
      <c r="W14" t="s">
        <v>163</v>
      </c>
      <c r="X14" s="11">
        <v>0.64</v>
      </c>
      <c r="Y14" s="9" t="str">
        <f>_xll.SNL.Clients.Office.Excel.Functions.SPG(V14, "SP_COUNTRY_NAME")</f>
        <v>United Kingdom</v>
      </c>
    </row>
    <row r="15" spans="1:25" x14ac:dyDescent="0.35">
      <c r="A15" t="s">
        <v>175</v>
      </c>
      <c r="B15">
        <v>5752504</v>
      </c>
      <c r="C15" t="s">
        <v>163</v>
      </c>
      <c r="D15" s="11">
        <v>0.37</v>
      </c>
      <c r="E15" s="9" t="str">
        <f>_xll.SNL.Clients.Office.Excel.Functions.SPG(B15, "SP_COUNTRY_NAME")</f>
        <v>USA</v>
      </c>
      <c r="J15" s="9" t="str">
        <f>_xll.SNL.Clients.Office.Excel.Functions.SPG(G15, "SP_COUNTRY_NAME")</f>
        <v>#INVALID COMPANY ID</v>
      </c>
      <c r="K15" t="s">
        <v>222</v>
      </c>
      <c r="L15">
        <v>4111901</v>
      </c>
      <c r="M15" t="s">
        <v>163</v>
      </c>
      <c r="N15" s="11">
        <v>1.85</v>
      </c>
      <c r="O15" s="9" t="str">
        <f>_xll.SNL.Clients.Office.Excel.Functions.SPG(L15, "SP_COUNTRY_NAME")</f>
        <v>Belgium</v>
      </c>
      <c r="P15" t="s">
        <v>309</v>
      </c>
      <c r="Q15" t="s">
        <v>205</v>
      </c>
      <c r="R15" t="s">
        <v>209</v>
      </c>
      <c r="S15" s="11">
        <v>0</v>
      </c>
      <c r="T15" s="9" t="str">
        <f>_xll.SNL.Clients.Office.Excel.Functions.SPG(Q15, "SP_COUNTRY_NAME")</f>
        <v>China</v>
      </c>
      <c r="U15" t="s">
        <v>321</v>
      </c>
      <c r="V15">
        <v>4364090</v>
      </c>
      <c r="W15" t="s">
        <v>208</v>
      </c>
      <c r="X15" s="11">
        <v>0.55000000000000004</v>
      </c>
      <c r="Y15" s="9" t="str">
        <f>_xll.SNL.Clients.Office.Excel.Functions.SPG(V15, "SP_COUNTRY_NAME")</f>
        <v>United Kingdom</v>
      </c>
    </row>
    <row r="16" spans="1:25" x14ac:dyDescent="0.35">
      <c r="A16" t="s">
        <v>176</v>
      </c>
      <c r="B16">
        <v>145890281</v>
      </c>
      <c r="C16" t="s">
        <v>210</v>
      </c>
      <c r="D16" s="11">
        <v>0.27</v>
      </c>
      <c r="E16" s="9" t="str">
        <f>_xll.SNL.Clients.Office.Excel.Functions.SPG(B16, "SP_COUNTRY_NAME")</f>
        <v>Australia</v>
      </c>
      <c r="J16" s="9" t="str">
        <f>_xll.SNL.Clients.Office.Excel.Functions.SPG(G16, "SP_COUNTRY_NAME")</f>
        <v>#INVALID COMPANY ID</v>
      </c>
      <c r="K16" t="s">
        <v>223</v>
      </c>
      <c r="L16">
        <v>4231356</v>
      </c>
      <c r="M16" t="s">
        <v>163</v>
      </c>
      <c r="N16" s="11">
        <v>1.65</v>
      </c>
      <c r="O16" s="9" t="str">
        <f>_xll.SNL.Clients.Office.Excel.Functions.SPG(L16, "SP_COUNTRY_NAME")</f>
        <v>United Kingdom</v>
      </c>
      <c r="T16" s="9" t="str">
        <f>_xll.SNL.Clients.Office.Excel.Functions.SPG(Q16, "SP_COUNTRY_NAME")</f>
        <v>#INVALID COMPANY ID</v>
      </c>
      <c r="U16" t="s">
        <v>322</v>
      </c>
      <c r="V16">
        <v>4153870</v>
      </c>
      <c r="W16" t="s">
        <v>208</v>
      </c>
      <c r="X16" s="11">
        <v>0.44</v>
      </c>
      <c r="Y16" s="9" t="str">
        <f>_xll.SNL.Clients.Office.Excel.Functions.SPG(V16, "SP_COUNTRY_NAME")</f>
        <v>USA</v>
      </c>
    </row>
    <row r="17" spans="1:25" x14ac:dyDescent="0.35">
      <c r="A17" t="s">
        <v>177</v>
      </c>
      <c r="B17">
        <v>108540659</v>
      </c>
      <c r="C17" t="s">
        <v>210</v>
      </c>
      <c r="D17" s="11">
        <v>0.26</v>
      </c>
      <c r="E17" s="9" t="str">
        <f>_xll.SNL.Clients.Office.Excel.Functions.SPG(B17, "SP_COUNTRY_NAME")</f>
        <v>Australia</v>
      </c>
      <c r="J17" s="9" t="str">
        <f>_xll.SNL.Clients.Office.Excel.Functions.SPG(G17, "SP_COUNTRY_NAME")</f>
        <v>#INVALID COMPANY ID</v>
      </c>
      <c r="K17" t="s">
        <v>224</v>
      </c>
      <c r="L17">
        <v>100201</v>
      </c>
      <c r="M17" t="s">
        <v>208</v>
      </c>
      <c r="N17" s="11">
        <v>1.62</v>
      </c>
      <c r="O17" s="9" t="str">
        <f>_xll.SNL.Clients.Office.Excel.Functions.SPG(L17, "SP_COUNTRY_NAME")</f>
        <v>USA</v>
      </c>
      <c r="T17" s="9" t="str">
        <f>_xll.SNL.Clients.Office.Excel.Functions.SPG(Q17, "SP_COUNTRY_NAME")</f>
        <v>#INVALID COMPANY ID</v>
      </c>
      <c r="U17" t="s">
        <v>219</v>
      </c>
      <c r="V17">
        <v>4041196</v>
      </c>
      <c r="W17" t="s">
        <v>163</v>
      </c>
      <c r="X17" s="11">
        <v>0.27</v>
      </c>
      <c r="Y17" s="9" t="str">
        <f>_xll.SNL.Clients.Office.Excel.Functions.SPG(V17, "SP_COUNTRY_NAME")</f>
        <v>United Kingdom</v>
      </c>
    </row>
    <row r="18" spans="1:25" x14ac:dyDescent="0.35">
      <c r="A18" t="s">
        <v>178</v>
      </c>
      <c r="B18">
        <v>134056246</v>
      </c>
      <c r="C18" t="s">
        <v>210</v>
      </c>
      <c r="D18" s="11">
        <v>0.22</v>
      </c>
      <c r="E18" s="9" t="str">
        <f>_xll.SNL.Clients.Office.Excel.Functions.SPG(B18, "SP_COUNTRY_NAME")</f>
        <v>Australia</v>
      </c>
      <c r="J18" s="9" t="str">
        <f>_xll.SNL.Clients.Office.Excel.Functions.SPG(G18, "SP_COUNTRY_NAME")</f>
        <v>#INVALID COMPANY ID</v>
      </c>
      <c r="K18" t="s">
        <v>225</v>
      </c>
      <c r="L18">
        <v>110495</v>
      </c>
      <c r="M18" t="s">
        <v>163</v>
      </c>
      <c r="N18" s="11">
        <v>1.45</v>
      </c>
      <c r="O18" s="9" t="str">
        <f>_xll.SNL.Clients.Office.Excel.Functions.SPG(L18, "SP_COUNTRY_NAME")</f>
        <v>USA</v>
      </c>
      <c r="T18" s="9" t="str">
        <f>_xll.SNL.Clients.Office.Excel.Functions.SPG(Q18, "SP_COUNTRY_NAME")</f>
        <v>#INVALID COMPANY ID</v>
      </c>
      <c r="U18" t="s">
        <v>323</v>
      </c>
      <c r="V18">
        <v>4147349</v>
      </c>
      <c r="W18" t="s">
        <v>208</v>
      </c>
      <c r="X18" s="11">
        <v>0.25</v>
      </c>
      <c r="Y18" s="9" t="str">
        <f>_xll.SNL.Clients.Office.Excel.Functions.SPG(V18, "SP_COUNTRY_NAME")</f>
        <v>United Kingdom</v>
      </c>
    </row>
    <row r="19" spans="1:25" x14ac:dyDescent="0.35">
      <c r="A19" t="s">
        <v>179</v>
      </c>
      <c r="B19" t="s">
        <v>205</v>
      </c>
      <c r="C19" t="s">
        <v>209</v>
      </c>
      <c r="D19" s="11">
        <v>0.18</v>
      </c>
      <c r="E19" s="9" t="str">
        <f>_xll.SNL.Clients.Office.Excel.Functions.SPG(B19, "SP_COUNTRY_NAME")</f>
        <v>China</v>
      </c>
      <c r="J19" s="9" t="str">
        <f>_xll.SNL.Clients.Office.Excel.Functions.SPG(G19, "SP_COUNTRY_NAME")</f>
        <v>#INVALID COMPANY ID</v>
      </c>
      <c r="K19" t="s">
        <v>226</v>
      </c>
      <c r="L19">
        <v>4139862</v>
      </c>
      <c r="M19" t="s">
        <v>163</v>
      </c>
      <c r="N19" s="11">
        <v>1.36</v>
      </c>
      <c r="O19" s="9" t="str">
        <f>_xll.SNL.Clients.Office.Excel.Functions.SPG(L19, "SP_COUNTRY_NAME")</f>
        <v>United Kingdom</v>
      </c>
      <c r="T19" s="9" t="str">
        <f>_xll.SNL.Clients.Office.Excel.Functions.SPG(Q19, "SP_COUNTRY_NAME")</f>
        <v>#INVALID COMPANY ID</v>
      </c>
      <c r="U19" t="s">
        <v>324</v>
      </c>
      <c r="V19" t="s">
        <v>205</v>
      </c>
      <c r="W19" t="s">
        <v>209</v>
      </c>
      <c r="X19" s="11">
        <v>0.22</v>
      </c>
      <c r="Y19" s="9" t="str">
        <f>_xll.SNL.Clients.Office.Excel.Functions.SPG(V19, "SP_COUNTRY_NAME")</f>
        <v>China</v>
      </c>
    </row>
    <row r="20" spans="1:25" x14ac:dyDescent="0.35">
      <c r="A20" t="s">
        <v>180</v>
      </c>
      <c r="B20">
        <v>4143440</v>
      </c>
      <c r="C20" t="s">
        <v>163</v>
      </c>
      <c r="D20" s="11">
        <v>0.16</v>
      </c>
      <c r="E20" s="9" t="str">
        <f>_xll.SNL.Clients.Office.Excel.Functions.SPG(B20, "SP_COUNTRY_NAME")</f>
        <v>USA</v>
      </c>
      <c r="J20" s="9" t="str">
        <f>_xll.SNL.Clients.Office.Excel.Functions.SPG(G20, "SP_COUNTRY_NAME")</f>
        <v>#INVALID COMPANY ID</v>
      </c>
      <c r="K20" t="s">
        <v>227</v>
      </c>
      <c r="L20">
        <v>4215415</v>
      </c>
      <c r="M20" t="s">
        <v>163</v>
      </c>
      <c r="N20" s="11">
        <v>1.32</v>
      </c>
      <c r="O20" s="9" t="str">
        <f>_xll.SNL.Clients.Office.Excel.Functions.SPG(L20, "SP_COUNTRY_NAME")</f>
        <v>France</v>
      </c>
      <c r="T20" s="9" t="str">
        <f>_xll.SNL.Clients.Office.Excel.Functions.SPG(Q20, "SP_COUNTRY_NAME")</f>
        <v>#INVALID COMPANY ID</v>
      </c>
      <c r="U20" t="s">
        <v>325</v>
      </c>
      <c r="V20" t="s">
        <v>205</v>
      </c>
      <c r="W20" t="s">
        <v>209</v>
      </c>
      <c r="X20" s="11">
        <v>0.19</v>
      </c>
      <c r="Y20" s="9" t="str">
        <f>_xll.SNL.Clients.Office.Excel.Functions.SPG(V20, "SP_COUNTRY_NAME")</f>
        <v>China</v>
      </c>
    </row>
    <row r="21" spans="1:25" x14ac:dyDescent="0.35">
      <c r="A21" t="s">
        <v>181</v>
      </c>
      <c r="B21" t="s">
        <v>205</v>
      </c>
      <c r="C21" t="s">
        <v>209</v>
      </c>
      <c r="D21" s="11">
        <v>0.12</v>
      </c>
      <c r="E21" s="9" t="str">
        <f>_xll.SNL.Clients.Office.Excel.Functions.SPG(B21, "SP_COUNTRY_NAME")</f>
        <v>China</v>
      </c>
      <c r="J21" s="9" t="str">
        <f>_xll.SNL.Clients.Office.Excel.Functions.SPG(G21, "SP_COUNTRY_NAME")</f>
        <v>#INVALID COMPANY ID</v>
      </c>
      <c r="K21" t="s">
        <v>228</v>
      </c>
      <c r="L21">
        <v>1009926</v>
      </c>
      <c r="M21" t="s">
        <v>210</v>
      </c>
      <c r="N21" s="11">
        <v>1.1299999999999999</v>
      </c>
      <c r="O21" s="9" t="str">
        <f>_xll.SNL.Clients.Office.Excel.Functions.SPG(L21, "SP_COUNTRY_NAME")</f>
        <v>USA</v>
      </c>
      <c r="T21" s="9" t="str">
        <f>_xll.SNL.Clients.Office.Excel.Functions.SPG(Q21, "SP_COUNTRY_NAME")</f>
        <v>#INVALID COMPANY ID</v>
      </c>
      <c r="U21" t="s">
        <v>326</v>
      </c>
      <c r="V21">
        <v>4185832</v>
      </c>
      <c r="W21" t="s">
        <v>208</v>
      </c>
      <c r="X21" s="11">
        <v>0.17</v>
      </c>
      <c r="Y21" s="9" t="str">
        <f>_xll.SNL.Clients.Office.Excel.Functions.SPG(V21, "SP_COUNTRY_NAME")</f>
        <v>United Kingdom</v>
      </c>
    </row>
    <row r="22" spans="1:25" x14ac:dyDescent="0.35">
      <c r="A22" t="s">
        <v>182</v>
      </c>
      <c r="B22" t="s">
        <v>205</v>
      </c>
      <c r="C22" t="s">
        <v>209</v>
      </c>
      <c r="D22" s="11">
        <v>0.09</v>
      </c>
      <c r="E22" s="9" t="str">
        <f>_xll.SNL.Clients.Office.Excel.Functions.SPG(B22, "SP_COUNTRY_NAME")</f>
        <v>China</v>
      </c>
      <c r="J22" s="9" t="str">
        <f>_xll.SNL.Clients.Office.Excel.Functions.SPG(G22, "SP_COUNTRY_NAME")</f>
        <v>#INVALID COMPANY ID</v>
      </c>
      <c r="K22" t="s">
        <v>229</v>
      </c>
      <c r="L22" t="s">
        <v>205</v>
      </c>
      <c r="M22" t="s">
        <v>209</v>
      </c>
      <c r="N22" s="11">
        <v>1.1100000000000001</v>
      </c>
      <c r="O22" s="9" t="str">
        <f>_xll.SNL.Clients.Office.Excel.Functions.SPG(L22, "SP_COUNTRY_NAME")</f>
        <v>China</v>
      </c>
      <c r="T22" s="9" t="str">
        <f>_xll.SNL.Clients.Office.Excel.Functions.SPG(Q22, "SP_COUNTRY_NAME")</f>
        <v>#INVALID COMPANY ID</v>
      </c>
      <c r="U22" t="s">
        <v>249</v>
      </c>
      <c r="V22">
        <v>4674815</v>
      </c>
      <c r="W22" t="s">
        <v>163</v>
      </c>
      <c r="X22" s="11">
        <v>0.14000000000000001</v>
      </c>
      <c r="Y22" s="9" t="str">
        <f>_xll.SNL.Clients.Office.Excel.Functions.SPG(V22, "SP_COUNTRY_NAME")</f>
        <v>Switzerland</v>
      </c>
    </row>
    <row r="23" spans="1:25" x14ac:dyDescent="0.35">
      <c r="A23" t="s">
        <v>183</v>
      </c>
      <c r="B23">
        <v>4578944</v>
      </c>
      <c r="C23" t="s">
        <v>163</v>
      </c>
      <c r="D23" s="11">
        <v>0.08</v>
      </c>
      <c r="E23" s="9" t="str">
        <f>_xll.SNL.Clients.Office.Excel.Functions.SPG(B23, "SP_COUNTRY_NAME")</f>
        <v>Australia</v>
      </c>
      <c r="J23" s="9" t="str">
        <f>_xll.SNL.Clients.Office.Excel.Functions.SPG(G23, "SP_COUNTRY_NAME")</f>
        <v>#INVALID COMPANY ID</v>
      </c>
      <c r="K23" t="s">
        <v>230</v>
      </c>
      <c r="L23">
        <v>110587</v>
      </c>
      <c r="M23" t="s">
        <v>163</v>
      </c>
      <c r="N23" s="11">
        <v>1.02</v>
      </c>
      <c r="O23" s="9" t="str">
        <f>_xll.SNL.Clients.Office.Excel.Functions.SPG(L23, "SP_COUNTRY_NAME")</f>
        <v>USA</v>
      </c>
      <c r="T23" s="9" t="str">
        <f>_xll.SNL.Clients.Office.Excel.Functions.SPG(Q23, "SP_COUNTRY_NAME")</f>
        <v>#INVALID COMPANY ID</v>
      </c>
      <c r="U23" t="s">
        <v>327</v>
      </c>
      <c r="V23">
        <v>4570292</v>
      </c>
      <c r="W23" t="s">
        <v>163</v>
      </c>
      <c r="X23" s="11">
        <v>0.1</v>
      </c>
      <c r="Y23" s="9" t="str">
        <f>_xll.SNL.Clients.Office.Excel.Functions.SPG(V23, "SP_COUNTRY_NAME")</f>
        <v>United Kingdom</v>
      </c>
    </row>
    <row r="24" spans="1:25" x14ac:dyDescent="0.35">
      <c r="A24" t="s">
        <v>184</v>
      </c>
      <c r="B24" t="s">
        <v>205</v>
      </c>
      <c r="C24" t="s">
        <v>209</v>
      </c>
      <c r="D24" s="11">
        <v>0.02</v>
      </c>
      <c r="E24" s="9" t="str">
        <f>_xll.SNL.Clients.Office.Excel.Functions.SPG(B24, "SP_COUNTRY_NAME")</f>
        <v>China</v>
      </c>
      <c r="J24" s="9" t="str">
        <f>_xll.SNL.Clients.Office.Excel.Functions.SPG(G24, "SP_COUNTRY_NAME")</f>
        <v>#INVALID COMPANY ID</v>
      </c>
      <c r="K24" t="s">
        <v>185</v>
      </c>
      <c r="L24">
        <v>111074</v>
      </c>
      <c r="M24" t="s">
        <v>163</v>
      </c>
      <c r="N24" s="11">
        <v>1.02</v>
      </c>
      <c r="O24" s="9" t="str">
        <f>_xll.SNL.Clients.Office.Excel.Functions.SPG(L24, "SP_COUNTRY_NAME")</f>
        <v>USA</v>
      </c>
      <c r="T24" s="9" t="str">
        <f>_xll.SNL.Clients.Office.Excel.Functions.SPG(Q24, "SP_COUNTRY_NAME")</f>
        <v>#INVALID COMPANY ID</v>
      </c>
      <c r="U24" t="s">
        <v>328</v>
      </c>
      <c r="V24">
        <v>4773565</v>
      </c>
      <c r="W24" t="s">
        <v>208</v>
      </c>
      <c r="X24" s="11">
        <v>0.09</v>
      </c>
      <c r="Y24" s="9" t="str">
        <f>_xll.SNL.Clients.Office.Excel.Functions.SPG(V24, "SP_COUNTRY_NAME")</f>
        <v>United Kingdom</v>
      </c>
    </row>
    <row r="25" spans="1:25" x14ac:dyDescent="0.35">
      <c r="A25" t="s">
        <v>185</v>
      </c>
      <c r="B25">
        <v>111074</v>
      </c>
      <c r="C25" t="s">
        <v>163</v>
      </c>
      <c r="D25" s="11">
        <v>0.02</v>
      </c>
      <c r="E25" s="9" t="str">
        <f>_xll.SNL.Clients.Office.Excel.Functions.SPG(B25, "SP_COUNTRY_NAME")</f>
        <v>USA</v>
      </c>
      <c r="J25" s="9" t="str">
        <f>_xll.SNL.Clients.Office.Excel.Functions.SPG(G25, "SP_COUNTRY_NAME")</f>
        <v>#INVALID COMPANY ID</v>
      </c>
      <c r="K25" t="s">
        <v>231</v>
      </c>
      <c r="L25">
        <v>8365031</v>
      </c>
      <c r="M25" t="s">
        <v>163</v>
      </c>
      <c r="N25" s="11">
        <v>0.92</v>
      </c>
      <c r="O25" s="9" t="str">
        <f>_xll.SNL.Clients.Office.Excel.Functions.SPG(L25, "SP_COUNTRY_NAME")</f>
        <v>Australia</v>
      </c>
      <c r="T25" s="9" t="str">
        <f>_xll.SNL.Clients.Office.Excel.Functions.SPG(Q25, "SP_COUNTRY_NAME")</f>
        <v>#INVALID COMPANY ID</v>
      </c>
      <c r="U25" t="s">
        <v>283</v>
      </c>
      <c r="V25">
        <v>4115698</v>
      </c>
      <c r="W25" t="s">
        <v>163</v>
      </c>
      <c r="X25" s="11">
        <v>0.09</v>
      </c>
      <c r="Y25" s="9" t="str">
        <f>_xll.SNL.Clients.Office.Excel.Functions.SPG(V25, "SP_COUNTRY_NAME")</f>
        <v>United Kingdom</v>
      </c>
    </row>
    <row r="26" spans="1:25" x14ac:dyDescent="0.35">
      <c r="A26" t="s">
        <v>186</v>
      </c>
      <c r="B26" t="s">
        <v>205</v>
      </c>
      <c r="C26" t="s">
        <v>209</v>
      </c>
      <c r="D26" s="11">
        <v>0.02</v>
      </c>
      <c r="E26" s="9" t="str">
        <f>_xll.SNL.Clients.Office.Excel.Functions.SPG(B26, "SP_COUNTRY_NAME")</f>
        <v>China</v>
      </c>
      <c r="J26" s="9" t="str">
        <f>_xll.SNL.Clients.Office.Excel.Functions.SPG(G26, "SP_COUNTRY_NAME")</f>
        <v>#INVALID COMPANY ID</v>
      </c>
      <c r="K26" t="s">
        <v>232</v>
      </c>
      <c r="L26">
        <v>5805166</v>
      </c>
      <c r="M26" t="s">
        <v>163</v>
      </c>
      <c r="N26" s="11">
        <v>0.91</v>
      </c>
      <c r="O26" s="9" t="str">
        <f>_xll.SNL.Clients.Office.Excel.Functions.SPG(L26, "SP_COUNTRY_NAME")</f>
        <v>Luxembourg</v>
      </c>
      <c r="T26" s="9" t="str">
        <f>_xll.SNL.Clients.Office.Excel.Functions.SPG(Q26, "SP_COUNTRY_NAME")</f>
        <v>#INVALID COMPANY ID</v>
      </c>
      <c r="U26" t="s">
        <v>329</v>
      </c>
      <c r="V26">
        <v>27319958</v>
      </c>
      <c r="W26" t="s">
        <v>364</v>
      </c>
      <c r="X26" s="11">
        <v>0.08</v>
      </c>
      <c r="Y26" s="9" t="str">
        <f>_xll.SNL.Clients.Office.Excel.Functions.SPG(V26, "SP_COUNTRY_NAME")</f>
        <v>Jersey</v>
      </c>
    </row>
    <row r="27" spans="1:25" x14ac:dyDescent="0.35">
      <c r="A27" t="s">
        <v>187</v>
      </c>
      <c r="B27">
        <v>110652</v>
      </c>
      <c r="C27" t="s">
        <v>163</v>
      </c>
      <c r="D27" s="11">
        <v>0.01</v>
      </c>
      <c r="E27" s="9" t="str">
        <f>_xll.SNL.Clients.Office.Excel.Functions.SPG(B27, "SP_COUNTRY_NAME")</f>
        <v>USA</v>
      </c>
      <c r="J27" s="9" t="str">
        <f>_xll.SNL.Clients.Office.Excel.Functions.SPG(G27, "SP_COUNTRY_NAME")</f>
        <v>#INVALID COMPANY ID</v>
      </c>
      <c r="K27" t="s">
        <v>233</v>
      </c>
      <c r="L27">
        <v>113818</v>
      </c>
      <c r="M27" t="s">
        <v>208</v>
      </c>
      <c r="N27" s="11">
        <v>0.76</v>
      </c>
      <c r="O27" s="9" t="str">
        <f>_xll.SNL.Clients.Office.Excel.Functions.SPG(L27, "SP_COUNTRY_NAME")</f>
        <v>France</v>
      </c>
      <c r="T27" s="9" t="str">
        <f>_xll.SNL.Clients.Office.Excel.Functions.SPG(Q27, "SP_COUNTRY_NAME")</f>
        <v>#INVALID COMPANY ID</v>
      </c>
      <c r="U27" t="s">
        <v>330</v>
      </c>
      <c r="V27">
        <v>4249110</v>
      </c>
      <c r="W27" t="s">
        <v>163</v>
      </c>
      <c r="X27" s="11">
        <v>7.0000000000000007E-2</v>
      </c>
      <c r="Y27" s="9" t="str">
        <f>_xll.SNL.Clients.Office.Excel.Functions.SPG(V27, "SP_COUNTRY_NAME")</f>
        <v>United Kingdom</v>
      </c>
    </row>
    <row r="28" spans="1:25" x14ac:dyDescent="0.35">
      <c r="A28" t="s">
        <v>188</v>
      </c>
      <c r="B28">
        <v>7787995</v>
      </c>
      <c r="C28" t="s">
        <v>211</v>
      </c>
      <c r="D28" s="11">
        <v>0.01</v>
      </c>
      <c r="E28" s="9" t="str">
        <f>_xll.SNL.Clients.Office.Excel.Functions.SPG(B28, "SP_COUNTRY_NAME")</f>
        <v>USA</v>
      </c>
      <c r="J28" s="9" t="str">
        <f>_xll.SNL.Clients.Office.Excel.Functions.SPG(G28, "SP_COUNTRY_NAME")</f>
        <v>#INVALID COMPANY ID</v>
      </c>
      <c r="K28" t="s">
        <v>234</v>
      </c>
      <c r="L28">
        <v>4242202</v>
      </c>
      <c r="M28" t="s">
        <v>208</v>
      </c>
      <c r="N28" s="11">
        <v>0.74</v>
      </c>
      <c r="O28" s="9" t="str">
        <f>_xll.SNL.Clients.Office.Excel.Functions.SPG(L28, "SP_COUNTRY_NAME")</f>
        <v>Belgium</v>
      </c>
      <c r="T28" s="9" t="str">
        <f>_xll.SNL.Clients.Office.Excel.Functions.SPG(Q28, "SP_COUNTRY_NAME")</f>
        <v>#INVALID COMPANY ID</v>
      </c>
      <c r="U28" t="s">
        <v>331</v>
      </c>
      <c r="V28">
        <v>4857391</v>
      </c>
      <c r="W28" t="s">
        <v>163</v>
      </c>
      <c r="X28" s="11">
        <v>0.06</v>
      </c>
      <c r="Y28" s="9" t="str">
        <f>_xll.SNL.Clients.Office.Excel.Functions.SPG(V28, "SP_COUNTRY_NAME")</f>
        <v>Jersey</v>
      </c>
    </row>
    <row r="29" spans="1:25" x14ac:dyDescent="0.35">
      <c r="A29" t="s">
        <v>189</v>
      </c>
      <c r="B29" t="s">
        <v>205</v>
      </c>
      <c r="C29" t="s">
        <v>209</v>
      </c>
      <c r="D29" s="11">
        <v>0.01</v>
      </c>
      <c r="E29" s="9" t="str">
        <f>_xll.SNL.Clients.Office.Excel.Functions.SPG(B29, "SP_COUNTRY_NAME")</f>
        <v>China</v>
      </c>
      <c r="J29" s="9" t="str">
        <f>_xll.SNL.Clients.Office.Excel.Functions.SPG(G29, "SP_COUNTRY_NAME")</f>
        <v>#INVALID COMPANY ID</v>
      </c>
      <c r="K29" t="s">
        <v>235</v>
      </c>
      <c r="L29">
        <v>4054518</v>
      </c>
      <c r="M29" t="s">
        <v>163</v>
      </c>
      <c r="N29" s="11">
        <v>0.72</v>
      </c>
      <c r="O29" s="9" t="str">
        <f>_xll.SNL.Clients.Office.Excel.Functions.SPG(L29, "SP_COUNTRY_NAME")</f>
        <v>USA</v>
      </c>
      <c r="T29" s="9" t="str">
        <f>_xll.SNL.Clients.Office.Excel.Functions.SPG(Q29, "SP_COUNTRY_NAME")</f>
        <v>#INVALID COMPANY ID</v>
      </c>
      <c r="U29" t="s">
        <v>332</v>
      </c>
      <c r="V29">
        <v>4235168</v>
      </c>
      <c r="W29" t="s">
        <v>163</v>
      </c>
      <c r="X29" s="11">
        <v>0.06</v>
      </c>
      <c r="Y29" s="9" t="str">
        <f>_xll.SNL.Clients.Office.Excel.Functions.SPG(V29, "SP_COUNTRY_NAME")</f>
        <v>United Kingdom</v>
      </c>
    </row>
    <row r="30" spans="1:25" x14ac:dyDescent="0.35">
      <c r="A30" t="s">
        <v>190</v>
      </c>
      <c r="B30">
        <v>112247511</v>
      </c>
      <c r="C30" t="s">
        <v>163</v>
      </c>
      <c r="D30" s="11">
        <v>0.01</v>
      </c>
      <c r="E30" s="9" t="str">
        <f>_xll.SNL.Clients.Office.Excel.Functions.SPG(B30, "SP_COUNTRY_NAME")</f>
        <v>USA</v>
      </c>
      <c r="J30" s="9" t="str">
        <f>_xll.SNL.Clients.Office.Excel.Functions.SPG(G30, "SP_COUNTRY_NAME")</f>
        <v>#INVALID COMPANY ID</v>
      </c>
      <c r="K30" t="s">
        <v>236</v>
      </c>
      <c r="L30">
        <v>4256114</v>
      </c>
      <c r="M30" t="s">
        <v>163</v>
      </c>
      <c r="N30" s="11">
        <v>0.56999999999999995</v>
      </c>
      <c r="O30" s="9" t="str">
        <f>_xll.SNL.Clients.Office.Excel.Functions.SPG(L30, "SP_COUNTRY_NAME")</f>
        <v>South Korea</v>
      </c>
      <c r="T30" s="9" t="str">
        <f>_xll.SNL.Clients.Office.Excel.Functions.SPG(Q30, "SP_COUNTRY_NAME")</f>
        <v>#INVALID COMPANY ID</v>
      </c>
      <c r="U30" t="s">
        <v>333</v>
      </c>
      <c r="V30">
        <v>100522</v>
      </c>
      <c r="W30" t="s">
        <v>208</v>
      </c>
      <c r="X30" s="11">
        <v>0.04</v>
      </c>
      <c r="Y30" s="9" t="str">
        <f>_xll.SNL.Clients.Office.Excel.Functions.SPG(V30, "SP_COUNTRY_NAME")</f>
        <v>Canada</v>
      </c>
    </row>
    <row r="31" spans="1:25" x14ac:dyDescent="0.35">
      <c r="A31" t="s">
        <v>191</v>
      </c>
      <c r="B31">
        <v>4337989</v>
      </c>
      <c r="C31" t="s">
        <v>163</v>
      </c>
      <c r="D31" s="11">
        <v>0.01</v>
      </c>
      <c r="E31" s="9" t="str">
        <f>_xll.SNL.Clients.Office.Excel.Functions.SPG(B31, "SP_COUNTRY_NAME")</f>
        <v>USA</v>
      </c>
      <c r="J31" s="9" t="str">
        <f>_xll.SNL.Clients.Office.Excel.Functions.SPG(G31, "SP_COUNTRY_NAME")</f>
        <v>#INVALID COMPANY ID</v>
      </c>
      <c r="K31" t="s">
        <v>237</v>
      </c>
      <c r="L31">
        <v>4137912</v>
      </c>
      <c r="M31" t="s">
        <v>163</v>
      </c>
      <c r="N31" s="11">
        <v>0.49</v>
      </c>
      <c r="O31" s="9" t="str">
        <f>_xll.SNL.Clients.Office.Excel.Functions.SPG(L31, "SP_COUNTRY_NAME")</f>
        <v>Germany</v>
      </c>
      <c r="T31" s="9" t="str">
        <f>_xll.SNL.Clients.Office.Excel.Functions.SPG(Q31, "SP_COUNTRY_NAME")</f>
        <v>#INVALID COMPANY ID</v>
      </c>
      <c r="U31" t="s">
        <v>334</v>
      </c>
      <c r="V31">
        <v>4648892</v>
      </c>
      <c r="W31" t="s">
        <v>163</v>
      </c>
      <c r="X31" s="11">
        <v>0.04</v>
      </c>
      <c r="Y31" s="9" t="str">
        <f>_xll.SNL.Clients.Office.Excel.Functions.SPG(V31, "SP_COUNTRY_NAME")</f>
        <v>United Kingdom</v>
      </c>
    </row>
    <row r="32" spans="1:25" x14ac:dyDescent="0.35">
      <c r="A32" t="s">
        <v>192</v>
      </c>
      <c r="B32">
        <v>4723508</v>
      </c>
      <c r="C32" t="s">
        <v>163</v>
      </c>
      <c r="D32" s="11">
        <v>0.01</v>
      </c>
      <c r="E32" s="9" t="str">
        <f>_xll.SNL.Clients.Office.Excel.Functions.SPG(B32, "SP_COUNTRY_NAME")</f>
        <v>United Kingdom</v>
      </c>
      <c r="J32" s="9" t="str">
        <f>_xll.SNL.Clients.Office.Excel.Functions.SPG(G32, "SP_COUNTRY_NAME")</f>
        <v>#INVALID COMPANY ID</v>
      </c>
      <c r="K32" t="s">
        <v>238</v>
      </c>
      <c r="L32">
        <v>4139922</v>
      </c>
      <c r="M32" t="s">
        <v>297</v>
      </c>
      <c r="N32" s="11">
        <v>0.42</v>
      </c>
      <c r="O32" s="9" t="str">
        <f>_xll.SNL.Clients.Office.Excel.Functions.SPG(L32, "SP_COUNTRY_NAME")</f>
        <v>USA</v>
      </c>
      <c r="T32" s="9" t="str">
        <f>_xll.SNL.Clients.Office.Excel.Functions.SPG(Q32, "SP_COUNTRY_NAME")</f>
        <v>#INVALID COMPANY ID</v>
      </c>
      <c r="U32" t="s">
        <v>335</v>
      </c>
      <c r="V32">
        <v>113985</v>
      </c>
      <c r="W32" t="s">
        <v>208</v>
      </c>
      <c r="X32" s="11">
        <v>0.04</v>
      </c>
      <c r="Y32" s="9" t="str">
        <f>_xll.SNL.Clients.Office.Excel.Functions.SPG(V32, "SP_COUNTRY_NAME")</f>
        <v>Germany</v>
      </c>
    </row>
    <row r="33" spans="1:25" x14ac:dyDescent="0.35">
      <c r="A33" t="s">
        <v>193</v>
      </c>
      <c r="B33" t="s">
        <v>205</v>
      </c>
      <c r="C33" t="s">
        <v>209</v>
      </c>
      <c r="D33" s="11">
        <v>0</v>
      </c>
      <c r="E33" s="9" t="str">
        <f>_xll.SNL.Clients.Office.Excel.Functions.SPG(B33, "SP_COUNTRY_NAME")</f>
        <v>China</v>
      </c>
      <c r="J33" s="9" t="str">
        <f>_xll.SNL.Clients.Office.Excel.Functions.SPG(G33, "SP_COUNTRY_NAME")</f>
        <v>#INVALID COMPANY ID</v>
      </c>
      <c r="K33" t="s">
        <v>239</v>
      </c>
      <c r="L33" t="s">
        <v>205</v>
      </c>
      <c r="M33" t="s">
        <v>209</v>
      </c>
      <c r="N33" s="11">
        <v>0.41</v>
      </c>
      <c r="O33" s="9" t="str">
        <f>_xll.SNL.Clients.Office.Excel.Functions.SPG(L33, "SP_COUNTRY_NAME")</f>
        <v>China</v>
      </c>
      <c r="T33" s="9" t="str">
        <f>_xll.SNL.Clients.Office.Excel.Functions.SPG(Q33, "SP_COUNTRY_NAME")</f>
        <v>#INVALID COMPANY ID</v>
      </c>
      <c r="U33" t="s">
        <v>336</v>
      </c>
      <c r="V33">
        <v>4041955</v>
      </c>
      <c r="W33" t="s">
        <v>208</v>
      </c>
      <c r="X33" s="11">
        <v>0.03</v>
      </c>
      <c r="Y33" s="9" t="str">
        <f>_xll.SNL.Clients.Office.Excel.Functions.SPG(V33, "SP_COUNTRY_NAME")</f>
        <v>United Kingdom</v>
      </c>
    </row>
    <row r="34" spans="1:25" x14ac:dyDescent="0.35">
      <c r="A34" t="s">
        <v>194</v>
      </c>
      <c r="B34" t="s">
        <v>205</v>
      </c>
      <c r="C34" t="s">
        <v>209</v>
      </c>
      <c r="D34" s="11">
        <v>0</v>
      </c>
      <c r="E34" s="9" t="str">
        <f>_xll.SNL.Clients.Office.Excel.Functions.SPG(B34, "SP_COUNTRY_NAME")</f>
        <v>China</v>
      </c>
      <c r="J34" s="9" t="str">
        <f>_xll.SNL.Clients.Office.Excel.Functions.SPG(G34, "SP_COUNTRY_NAME")</f>
        <v>#INVALID COMPANY ID</v>
      </c>
      <c r="K34" t="s">
        <v>240</v>
      </c>
      <c r="L34">
        <v>4042808</v>
      </c>
      <c r="M34" t="s">
        <v>163</v>
      </c>
      <c r="N34" s="11">
        <v>0.36</v>
      </c>
      <c r="O34" s="9" t="str">
        <f>_xll.SNL.Clients.Office.Excel.Functions.SPG(L34, "SP_COUNTRY_NAME")</f>
        <v>USA</v>
      </c>
      <c r="T34" s="9" t="str">
        <f>_xll.SNL.Clients.Office.Excel.Functions.SPG(Q34, "SP_COUNTRY_NAME")</f>
        <v>#INVALID COMPANY ID</v>
      </c>
      <c r="U34" t="s">
        <v>337</v>
      </c>
      <c r="V34">
        <v>4552119</v>
      </c>
      <c r="W34" t="s">
        <v>208</v>
      </c>
      <c r="X34" s="11">
        <v>0.03</v>
      </c>
      <c r="Y34" s="9" t="str">
        <f>_xll.SNL.Clients.Office.Excel.Functions.SPG(V34, "SP_COUNTRY_NAME")</f>
        <v>United Kingdom</v>
      </c>
    </row>
    <row r="35" spans="1:25" x14ac:dyDescent="0.35">
      <c r="A35" t="s">
        <v>195</v>
      </c>
      <c r="B35" t="s">
        <v>205</v>
      </c>
      <c r="C35" t="s">
        <v>209</v>
      </c>
      <c r="D35" s="11">
        <v>0</v>
      </c>
      <c r="E35" s="9" t="str">
        <f>_xll.SNL.Clients.Office.Excel.Functions.SPG(B35, "SP_COUNTRY_NAME")</f>
        <v>China</v>
      </c>
      <c r="J35" s="9" t="str">
        <f>_xll.SNL.Clients.Office.Excel.Functions.SPG(G35, "SP_COUNTRY_NAME")</f>
        <v>#INVALID COMPANY ID</v>
      </c>
      <c r="K35" t="s">
        <v>241</v>
      </c>
      <c r="L35">
        <v>116254197</v>
      </c>
      <c r="M35" t="s">
        <v>163</v>
      </c>
      <c r="N35" s="11">
        <v>0.31</v>
      </c>
      <c r="O35" s="9" t="str">
        <f>_xll.SNL.Clients.Office.Excel.Functions.SPG(L35, "SP_COUNTRY_NAME")</f>
        <v>USA</v>
      </c>
      <c r="T35" s="9" t="str">
        <f>_xll.SNL.Clients.Office.Excel.Functions.SPG(Q35, "SP_COUNTRY_NAME")</f>
        <v>#INVALID COMPANY ID</v>
      </c>
      <c r="U35" t="s">
        <v>338</v>
      </c>
      <c r="V35">
        <v>4118652</v>
      </c>
      <c r="W35" t="s">
        <v>163</v>
      </c>
      <c r="X35" s="11">
        <v>0.03</v>
      </c>
      <c r="Y35" s="9" t="str">
        <f>_xll.SNL.Clients.Office.Excel.Functions.SPG(V35, "SP_COUNTRY_NAME")</f>
        <v>USA</v>
      </c>
    </row>
    <row r="36" spans="1:25" x14ac:dyDescent="0.35">
      <c r="A36" t="s">
        <v>196</v>
      </c>
      <c r="B36" t="s">
        <v>205</v>
      </c>
      <c r="C36" t="s">
        <v>209</v>
      </c>
      <c r="D36" s="11">
        <v>0</v>
      </c>
      <c r="E36" s="9" t="str">
        <f>_xll.SNL.Clients.Office.Excel.Functions.SPG(B36, "SP_COUNTRY_NAME")</f>
        <v>China</v>
      </c>
      <c r="J36" s="9" t="str">
        <f>_xll.SNL.Clients.Office.Excel.Functions.SPG(G36, "SP_COUNTRY_NAME")</f>
        <v>#INVALID COMPANY ID</v>
      </c>
      <c r="K36" t="s">
        <v>242</v>
      </c>
      <c r="L36" t="s">
        <v>205</v>
      </c>
      <c r="M36" t="s">
        <v>209</v>
      </c>
      <c r="N36" s="11">
        <v>0.28000000000000003</v>
      </c>
      <c r="O36" s="9" t="str">
        <f>_xll.SNL.Clients.Office.Excel.Functions.SPG(L36, "SP_COUNTRY_NAME")</f>
        <v>China</v>
      </c>
      <c r="T36" s="9" t="str">
        <f>_xll.SNL.Clients.Office.Excel.Functions.SPG(Q36, "SP_COUNTRY_NAME")</f>
        <v>#INVALID COMPANY ID</v>
      </c>
      <c r="U36" t="s">
        <v>339</v>
      </c>
      <c r="V36">
        <v>5760038</v>
      </c>
      <c r="W36" t="s">
        <v>163</v>
      </c>
      <c r="X36" s="11">
        <v>0.03</v>
      </c>
      <c r="Y36" s="9" t="str">
        <f>_xll.SNL.Clients.Office.Excel.Functions.SPG(V36, "SP_COUNTRY_NAME")</f>
        <v>Ireland</v>
      </c>
    </row>
    <row r="37" spans="1:25" x14ac:dyDescent="0.35">
      <c r="A37" t="s">
        <v>197</v>
      </c>
      <c r="B37">
        <v>109776</v>
      </c>
      <c r="C37" t="s">
        <v>163</v>
      </c>
      <c r="D37" s="11">
        <v>0</v>
      </c>
      <c r="E37" s="9" t="str">
        <f>_xll.SNL.Clients.Office.Excel.Functions.SPG(B37, "SP_COUNTRY_NAME")</f>
        <v>USA</v>
      </c>
      <c r="J37" s="9" t="str">
        <f>_xll.SNL.Clients.Office.Excel.Functions.SPG(G37, "SP_COUNTRY_NAME")</f>
        <v>#INVALID COMPANY ID</v>
      </c>
      <c r="K37" t="s">
        <v>243</v>
      </c>
      <c r="L37">
        <v>4026948</v>
      </c>
      <c r="M37" t="s">
        <v>163</v>
      </c>
      <c r="N37" s="11">
        <v>0.24</v>
      </c>
      <c r="O37" s="9" t="str">
        <f>_xll.SNL.Clients.Office.Excel.Functions.SPG(L37, "SP_COUNTRY_NAME")</f>
        <v>France</v>
      </c>
      <c r="T37" s="9" t="str">
        <f>_xll.SNL.Clients.Office.Excel.Functions.SPG(Q37, "SP_COUNTRY_NAME")</f>
        <v>#INVALID COMPANY ID</v>
      </c>
      <c r="U37" t="s">
        <v>340</v>
      </c>
      <c r="V37">
        <v>4041848</v>
      </c>
      <c r="W37" t="s">
        <v>364</v>
      </c>
      <c r="X37" s="11">
        <v>0.03</v>
      </c>
      <c r="Y37" s="9" t="str">
        <f>_xll.SNL.Clients.Office.Excel.Functions.SPG(V37, "SP_COUNTRY_NAME")</f>
        <v>United Kingdom</v>
      </c>
    </row>
    <row r="38" spans="1:25" x14ac:dyDescent="0.35">
      <c r="A38" t="s">
        <v>198</v>
      </c>
      <c r="B38">
        <v>4158830</v>
      </c>
      <c r="C38" t="s">
        <v>163</v>
      </c>
      <c r="D38" s="11">
        <v>0</v>
      </c>
      <c r="E38" s="9" t="str">
        <f>_xll.SNL.Clients.Office.Excel.Functions.SPG(B38, "SP_COUNTRY_NAME")</f>
        <v>USA</v>
      </c>
      <c r="J38" s="9" t="str">
        <f>_xll.SNL.Clients.Office.Excel.Functions.SPG(G38, "SP_COUNTRY_NAME")</f>
        <v>#INVALID COMPANY ID</v>
      </c>
      <c r="K38" t="s">
        <v>244</v>
      </c>
      <c r="L38">
        <v>110360</v>
      </c>
      <c r="M38" t="s">
        <v>163</v>
      </c>
      <c r="N38" s="11">
        <v>0.21</v>
      </c>
      <c r="O38" s="9" t="str">
        <f>_xll.SNL.Clients.Office.Excel.Functions.SPG(L38, "SP_COUNTRY_NAME")</f>
        <v>USA</v>
      </c>
      <c r="T38" s="9" t="str">
        <f>_xll.SNL.Clients.Office.Excel.Functions.SPG(Q38, "SP_COUNTRY_NAME")</f>
        <v>#INVALID COMPANY ID</v>
      </c>
      <c r="U38" t="s">
        <v>341</v>
      </c>
      <c r="V38">
        <v>29123718</v>
      </c>
      <c r="W38" t="s">
        <v>210</v>
      </c>
      <c r="X38" s="11">
        <v>0.02</v>
      </c>
      <c r="Y38" s="9" t="str">
        <f>_xll.SNL.Clients.Office.Excel.Functions.SPG(V38, "SP_COUNTRY_NAME")</f>
        <v>Cayman Islands</v>
      </c>
    </row>
    <row r="39" spans="1:25" x14ac:dyDescent="0.35">
      <c r="A39" t="s">
        <v>199</v>
      </c>
      <c r="B39">
        <v>4212945</v>
      </c>
      <c r="C39" t="s">
        <v>163</v>
      </c>
      <c r="D39" s="11">
        <v>0</v>
      </c>
      <c r="E39" s="9" t="str">
        <f>_xll.SNL.Clients.Office.Excel.Functions.SPG(B39, "SP_COUNTRY_NAME")</f>
        <v>Australia</v>
      </c>
      <c r="J39" s="9" t="str">
        <f>_xll.SNL.Clients.Office.Excel.Functions.SPG(G39, "SP_COUNTRY_NAME")</f>
        <v>#INVALID COMPANY ID</v>
      </c>
      <c r="K39" t="s">
        <v>245</v>
      </c>
      <c r="L39">
        <v>102729</v>
      </c>
      <c r="M39" t="s">
        <v>163</v>
      </c>
      <c r="N39" s="11">
        <v>0.19</v>
      </c>
      <c r="O39" s="9" t="str">
        <f>_xll.SNL.Clients.Office.Excel.Functions.SPG(L39, "SP_COUNTRY_NAME")</f>
        <v>USA</v>
      </c>
      <c r="T39" s="9" t="str">
        <f>_xll.SNL.Clients.Office.Excel.Functions.SPG(Q39, "SP_COUNTRY_NAME")</f>
        <v>#INVALID COMPANY ID</v>
      </c>
      <c r="U39" t="s">
        <v>342</v>
      </c>
      <c r="V39">
        <v>4020980</v>
      </c>
      <c r="W39" t="s">
        <v>163</v>
      </c>
      <c r="X39" s="11">
        <v>0.02</v>
      </c>
      <c r="Y39" s="9" t="str">
        <f>_xll.SNL.Clients.Office.Excel.Functions.SPG(V39, "SP_COUNTRY_NAME")</f>
        <v>Bermuda</v>
      </c>
    </row>
    <row r="40" spans="1:25" x14ac:dyDescent="0.35">
      <c r="A40" t="s">
        <v>200</v>
      </c>
      <c r="B40">
        <v>4138917</v>
      </c>
      <c r="C40" t="s">
        <v>163</v>
      </c>
      <c r="D40" s="11">
        <v>0</v>
      </c>
      <c r="E40" s="9" t="str">
        <f>_xll.SNL.Clients.Office.Excel.Functions.SPG(B40, "SP_COUNTRY_NAME")</f>
        <v>Australia</v>
      </c>
      <c r="J40" s="9" t="str">
        <f>_xll.SNL.Clients.Office.Excel.Functions.SPG(G40, "SP_COUNTRY_NAME")</f>
        <v>#INVALID COMPANY ID</v>
      </c>
      <c r="K40" t="s">
        <v>246</v>
      </c>
      <c r="L40">
        <v>4057506</v>
      </c>
      <c r="M40" t="s">
        <v>163</v>
      </c>
      <c r="N40" s="11">
        <v>0.18</v>
      </c>
      <c r="O40" s="9" t="str">
        <f>_xll.SNL.Clients.Office.Excel.Functions.SPG(L40, "SP_COUNTRY_NAME")</f>
        <v>USA</v>
      </c>
      <c r="T40" s="9" t="str">
        <f>_xll.SNL.Clients.Office.Excel.Functions.SPG(Q40, "SP_COUNTRY_NAME")</f>
        <v>#INVALID COMPANY ID</v>
      </c>
      <c r="U40" t="s">
        <v>343</v>
      </c>
      <c r="V40">
        <v>4090384</v>
      </c>
      <c r="W40" t="s">
        <v>163</v>
      </c>
      <c r="X40" s="11">
        <v>0.02</v>
      </c>
      <c r="Y40" s="9" t="str">
        <f>_xll.SNL.Clients.Office.Excel.Functions.SPG(V40, "SP_COUNTRY_NAME")</f>
        <v>Italy</v>
      </c>
    </row>
    <row r="41" spans="1:25" x14ac:dyDescent="0.35">
      <c r="A41" t="s">
        <v>201</v>
      </c>
      <c r="B41">
        <v>134009706</v>
      </c>
      <c r="C41" t="s">
        <v>210</v>
      </c>
      <c r="D41" s="11">
        <v>0</v>
      </c>
      <c r="E41" s="9" t="str">
        <f>_xll.SNL.Clients.Office.Excel.Functions.SPG(B41, "SP_COUNTRY_NAME")</f>
        <v>Australia</v>
      </c>
      <c r="J41" s="9" t="str">
        <f>_xll.SNL.Clients.Office.Excel.Functions.SPG(G41, "SP_COUNTRY_NAME")</f>
        <v>#INVALID COMPANY ID</v>
      </c>
      <c r="K41" t="s">
        <v>187</v>
      </c>
      <c r="L41">
        <v>110652</v>
      </c>
      <c r="M41" t="s">
        <v>163</v>
      </c>
      <c r="N41" s="11">
        <v>0.17</v>
      </c>
      <c r="O41" s="9" t="str">
        <f>_xll.SNL.Clients.Office.Excel.Functions.SPG(L41, "SP_COUNTRY_NAME")</f>
        <v>USA</v>
      </c>
      <c r="T41" s="9" t="str">
        <f>_xll.SNL.Clients.Office.Excel.Functions.SPG(Q41, "SP_COUNTRY_NAME")</f>
        <v>#INVALID COMPANY ID</v>
      </c>
      <c r="U41" t="s">
        <v>344</v>
      </c>
      <c r="V41">
        <v>8340907</v>
      </c>
      <c r="W41" t="s">
        <v>208</v>
      </c>
      <c r="X41" s="11">
        <v>0.02</v>
      </c>
      <c r="Y41" s="9" t="str">
        <f>_xll.SNL.Clients.Office.Excel.Functions.SPG(V41, "SP_COUNTRY_NAME")</f>
        <v>Italy</v>
      </c>
    </row>
    <row r="42" spans="1:25" x14ac:dyDescent="0.35">
      <c r="A42" t="s">
        <v>202</v>
      </c>
      <c r="B42">
        <v>6840063</v>
      </c>
      <c r="C42" t="s">
        <v>208</v>
      </c>
      <c r="D42" s="11">
        <v>0</v>
      </c>
      <c r="E42" s="9" t="str">
        <f>_xll.SNL.Clients.Office.Excel.Functions.SPG(B42, "SP_COUNTRY_NAME")</f>
        <v>Australia</v>
      </c>
      <c r="J42" s="9" t="str">
        <f>_xll.SNL.Clients.Office.Excel.Functions.SPG(G42, "SP_COUNTRY_NAME")</f>
        <v>#INVALID COMPANY ID</v>
      </c>
      <c r="K42" t="s">
        <v>247</v>
      </c>
      <c r="L42">
        <v>4420792</v>
      </c>
      <c r="M42" t="s">
        <v>163</v>
      </c>
      <c r="N42" s="11">
        <v>0.17</v>
      </c>
      <c r="O42" s="9" t="str">
        <f>_xll.SNL.Clients.Office.Excel.Functions.SPG(L42, "SP_COUNTRY_NAME")</f>
        <v>Germany</v>
      </c>
      <c r="T42" s="9" t="str">
        <f>_xll.SNL.Clients.Office.Excel.Functions.SPG(Q42, "SP_COUNTRY_NAME")</f>
        <v>#INVALID COMPANY ID</v>
      </c>
      <c r="U42" t="s">
        <v>345</v>
      </c>
      <c r="V42">
        <v>4762074</v>
      </c>
      <c r="W42" t="s">
        <v>296</v>
      </c>
      <c r="X42" s="11">
        <v>0.01</v>
      </c>
      <c r="Y42" s="9" t="str">
        <f>_xll.SNL.Clients.Office.Excel.Functions.SPG(V42, "SP_COUNTRY_NAME")</f>
        <v>Switzerland</v>
      </c>
    </row>
    <row r="43" spans="1:25" x14ac:dyDescent="0.35">
      <c r="A43" t="s">
        <v>203</v>
      </c>
      <c r="B43">
        <v>100335104</v>
      </c>
      <c r="C43" t="s">
        <v>210</v>
      </c>
      <c r="D43" s="11">
        <v>0</v>
      </c>
      <c r="E43" s="9" t="str">
        <f>_xll.SNL.Clients.Office.Excel.Functions.SPG(B43, "SP_COUNTRY_NAME")</f>
        <v>Australia</v>
      </c>
      <c r="J43" s="9" t="str">
        <f>_xll.SNL.Clients.Office.Excel.Functions.SPG(G43, "SP_COUNTRY_NAME")</f>
        <v>#INVALID COMPANY ID</v>
      </c>
      <c r="K43" t="s">
        <v>248</v>
      </c>
      <c r="L43">
        <v>4140083</v>
      </c>
      <c r="M43" t="s">
        <v>163</v>
      </c>
      <c r="N43" s="11">
        <v>0.16</v>
      </c>
      <c r="O43" s="9" t="str">
        <f>_xll.SNL.Clients.Office.Excel.Functions.SPG(L43, "SP_COUNTRY_NAME")</f>
        <v>Germany</v>
      </c>
      <c r="T43" s="9" t="str">
        <f>_xll.SNL.Clients.Office.Excel.Functions.SPG(Q43, "SP_COUNTRY_NAME")</f>
        <v>#INVALID COMPANY ID</v>
      </c>
      <c r="U43" t="s">
        <v>346</v>
      </c>
      <c r="V43">
        <v>4138204</v>
      </c>
      <c r="W43" t="s">
        <v>163</v>
      </c>
      <c r="X43" s="11">
        <v>0.01</v>
      </c>
      <c r="Y43" s="9" t="str">
        <f>_xll.SNL.Clients.Office.Excel.Functions.SPG(V43, "SP_COUNTRY_NAME")</f>
        <v>United Kingdom</v>
      </c>
    </row>
    <row r="44" spans="1:25" x14ac:dyDescent="0.35">
      <c r="A44" t="s">
        <v>204</v>
      </c>
      <c r="B44">
        <v>4035990</v>
      </c>
      <c r="C44" t="s">
        <v>163</v>
      </c>
      <c r="D44" s="11">
        <v>0</v>
      </c>
      <c r="E44" s="9" t="str">
        <f>_xll.SNL.Clients.Office.Excel.Functions.SPG(B44, "SP_COUNTRY_NAME")</f>
        <v>Canada</v>
      </c>
      <c r="J44" s="9" t="str">
        <f>_xll.SNL.Clients.Office.Excel.Functions.SPG(G44, "SP_COUNTRY_NAME")</f>
        <v>#INVALID COMPANY ID</v>
      </c>
      <c r="K44" t="s">
        <v>249</v>
      </c>
      <c r="L44">
        <v>4674815</v>
      </c>
      <c r="M44" t="s">
        <v>163</v>
      </c>
      <c r="N44" s="11">
        <v>0.15</v>
      </c>
      <c r="O44" s="9" t="str">
        <f>_xll.SNL.Clients.Office.Excel.Functions.SPG(L44, "SP_COUNTRY_NAME")</f>
        <v>Switzerland</v>
      </c>
      <c r="T44" s="9" t="str">
        <f>_xll.SNL.Clients.Office.Excel.Functions.SPG(Q44, "SP_COUNTRY_NAME")</f>
        <v>#INVALID COMPANY ID</v>
      </c>
      <c r="U44" t="s">
        <v>347</v>
      </c>
      <c r="V44" t="s">
        <v>205</v>
      </c>
      <c r="W44" t="s">
        <v>209</v>
      </c>
      <c r="X44" s="11">
        <v>0.01</v>
      </c>
      <c r="Y44" s="9" t="str">
        <f>_xll.SNL.Clients.Office.Excel.Functions.SPG(V44, "SP_COUNTRY_NAME")</f>
        <v>China</v>
      </c>
    </row>
    <row r="45" spans="1:25" x14ac:dyDescent="0.35">
      <c r="E45" s="9" t="str">
        <f>_xll.SNL.Clients.Office.Excel.Functions.SPG(B45, "SP_COUNTRY_NAME")</f>
        <v>#INVALID COMPANY ID</v>
      </c>
      <c r="J45" s="9" t="str">
        <f>_xll.SNL.Clients.Office.Excel.Functions.SPG(G45, "SP_COUNTRY_NAME")</f>
        <v>#INVALID COMPANY ID</v>
      </c>
      <c r="K45" t="s">
        <v>250</v>
      </c>
      <c r="L45">
        <v>4255658</v>
      </c>
      <c r="M45" t="s">
        <v>163</v>
      </c>
      <c r="N45" s="11">
        <v>0.14000000000000001</v>
      </c>
      <c r="O45" s="9" t="str">
        <f>_xll.SNL.Clients.Office.Excel.Functions.SPG(L45, "SP_COUNTRY_NAME")</f>
        <v>Germany</v>
      </c>
      <c r="T45" s="9" t="str">
        <f>_xll.SNL.Clients.Office.Excel.Functions.SPG(Q45, "SP_COUNTRY_NAME")</f>
        <v>#INVALID COMPANY ID</v>
      </c>
      <c r="U45" t="s">
        <v>348</v>
      </c>
      <c r="V45">
        <v>4137983</v>
      </c>
      <c r="W45" t="s">
        <v>163</v>
      </c>
      <c r="X45" s="11">
        <v>0.01</v>
      </c>
      <c r="Y45" s="9" t="str">
        <f>_xll.SNL.Clients.Office.Excel.Functions.SPG(V45, "SP_COUNTRY_NAME")</f>
        <v>United Kingdom</v>
      </c>
    </row>
    <row r="46" spans="1:25" x14ac:dyDescent="0.35">
      <c r="E46" s="9" t="str">
        <f>_xll.SNL.Clients.Office.Excel.Functions.SPG(B46, "SP_COUNTRY_NAME")</f>
        <v>#INVALID COMPANY ID</v>
      </c>
      <c r="J46" s="9" t="str">
        <f>_xll.SNL.Clients.Office.Excel.Functions.SPG(G46, "SP_COUNTRY_NAME")</f>
        <v>#INVALID COMPANY ID</v>
      </c>
      <c r="K46" t="s">
        <v>251</v>
      </c>
      <c r="L46" t="s">
        <v>205</v>
      </c>
      <c r="M46" t="s">
        <v>209</v>
      </c>
      <c r="N46" s="11">
        <v>0.12</v>
      </c>
      <c r="O46" s="9" t="str">
        <f>_xll.SNL.Clients.Office.Excel.Functions.SPG(L46, "SP_COUNTRY_NAME")</f>
        <v>China</v>
      </c>
      <c r="T46" s="9" t="str">
        <f>_xll.SNL.Clients.Office.Excel.Functions.SPG(Q46, "SP_COUNTRY_NAME")</f>
        <v>#INVALID COMPANY ID</v>
      </c>
      <c r="U46" t="s">
        <v>349</v>
      </c>
      <c r="V46">
        <v>4221781</v>
      </c>
      <c r="W46" t="s">
        <v>208</v>
      </c>
      <c r="X46" s="11">
        <v>0.01</v>
      </c>
      <c r="Y46" s="9" t="str">
        <f>_xll.SNL.Clients.Office.Excel.Functions.SPG(V46, "SP_COUNTRY_NAME")</f>
        <v>United Kingdom</v>
      </c>
    </row>
    <row r="47" spans="1:25" x14ac:dyDescent="0.35">
      <c r="E47" s="9" t="str">
        <f>_xll.SNL.Clients.Office.Excel.Functions.SPG(B47, "SP_COUNTRY_NAME")</f>
        <v>#INVALID COMPANY ID</v>
      </c>
      <c r="J47" s="9" t="str">
        <f>_xll.SNL.Clients.Office.Excel.Functions.SPG(G47, "SP_COUNTRY_NAME")</f>
        <v>#INVALID COMPANY ID</v>
      </c>
      <c r="K47" t="s">
        <v>252</v>
      </c>
      <c r="L47" t="s">
        <v>205</v>
      </c>
      <c r="M47" t="s">
        <v>209</v>
      </c>
      <c r="N47" s="11">
        <v>0.11</v>
      </c>
      <c r="O47" s="9" t="str">
        <f>_xll.SNL.Clients.Office.Excel.Functions.SPG(L47, "SP_COUNTRY_NAME")</f>
        <v>China</v>
      </c>
      <c r="T47" s="9" t="str">
        <f>_xll.SNL.Clients.Office.Excel.Functions.SPG(Q47, "SP_COUNTRY_NAME")</f>
        <v>#INVALID COMPANY ID</v>
      </c>
      <c r="U47" t="s">
        <v>350</v>
      </c>
      <c r="V47">
        <v>4093470</v>
      </c>
      <c r="W47" t="s">
        <v>208</v>
      </c>
      <c r="X47" s="11">
        <v>0.01</v>
      </c>
      <c r="Y47" s="9" t="str">
        <f>_xll.SNL.Clients.Office.Excel.Functions.SPG(V47, "SP_COUNTRY_NAME")</f>
        <v>United Kingdom</v>
      </c>
    </row>
    <row r="48" spans="1:25" x14ac:dyDescent="0.35">
      <c r="E48" s="9" t="str">
        <f>_xll.SNL.Clients.Office.Excel.Functions.SPG(B48, "SP_COUNTRY_NAME")</f>
        <v>#INVALID COMPANY ID</v>
      </c>
      <c r="J48" s="9" t="str">
        <f>_xll.SNL.Clients.Office.Excel.Functions.SPG(G48, "SP_COUNTRY_NAME")</f>
        <v>#INVALID COMPANY ID</v>
      </c>
      <c r="K48" t="s">
        <v>253</v>
      </c>
      <c r="L48">
        <v>4118993</v>
      </c>
      <c r="M48" t="s">
        <v>163</v>
      </c>
      <c r="N48" s="11">
        <v>0.11</v>
      </c>
      <c r="O48" s="9" t="str">
        <f>_xll.SNL.Clients.Office.Excel.Functions.SPG(L48, "SP_COUNTRY_NAME")</f>
        <v>USA</v>
      </c>
      <c r="T48" s="9" t="str">
        <f>_xll.SNL.Clients.Office.Excel.Functions.SPG(Q48, "SP_COUNTRY_NAME")</f>
        <v>#INVALID COMPANY ID</v>
      </c>
      <c r="U48" t="s">
        <v>351</v>
      </c>
      <c r="V48">
        <v>4233769</v>
      </c>
      <c r="W48" t="s">
        <v>163</v>
      </c>
      <c r="X48" s="11">
        <v>0.01</v>
      </c>
      <c r="Y48" s="9" t="str">
        <f>_xll.SNL.Clients.Office.Excel.Functions.SPG(V48, "SP_COUNTRY_NAME")</f>
        <v>Denmark</v>
      </c>
    </row>
    <row r="49" spans="5:25" x14ac:dyDescent="0.35">
      <c r="E49" s="9" t="str">
        <f>_xll.SNL.Clients.Office.Excel.Functions.SPG(B49, "SP_COUNTRY_NAME")</f>
        <v>#INVALID COMPANY ID</v>
      </c>
      <c r="J49" s="9" t="str">
        <f>_xll.SNL.Clients.Office.Excel.Functions.SPG(G49, "SP_COUNTRY_NAME")</f>
        <v>#INVALID COMPANY ID</v>
      </c>
      <c r="K49" t="s">
        <v>254</v>
      </c>
      <c r="L49">
        <v>4272373</v>
      </c>
      <c r="M49" t="s">
        <v>163</v>
      </c>
      <c r="N49" s="11">
        <v>0.09</v>
      </c>
      <c r="O49" s="9" t="str">
        <f>_xll.SNL.Clients.Office.Excel.Functions.SPG(L49, "SP_COUNTRY_NAME")</f>
        <v>United Kingdom</v>
      </c>
      <c r="T49" s="9" t="str">
        <f>_xll.SNL.Clients.Office.Excel.Functions.SPG(Q49, "SP_COUNTRY_NAME")</f>
        <v>#INVALID COMPANY ID</v>
      </c>
      <c r="U49" t="s">
        <v>352</v>
      </c>
      <c r="V49">
        <v>10295354</v>
      </c>
      <c r="W49" t="s">
        <v>210</v>
      </c>
      <c r="X49" s="11">
        <v>0.01</v>
      </c>
      <c r="Y49" s="9" t="str">
        <f>_xll.SNL.Clients.Office.Excel.Functions.SPG(V49, "SP_COUNTRY_NAME")</f>
        <v>United Kingdom</v>
      </c>
    </row>
    <row r="50" spans="5:25" x14ac:dyDescent="0.35">
      <c r="E50" s="9" t="str">
        <f>_xll.SNL.Clients.Office.Excel.Functions.SPG(B50, "SP_COUNTRY_NAME")</f>
        <v>#INVALID COMPANY ID</v>
      </c>
      <c r="J50" s="9" t="str">
        <f>_xll.SNL.Clients.Office.Excel.Functions.SPG(G50, "SP_COUNTRY_NAME")</f>
        <v>#INVALID COMPANY ID</v>
      </c>
      <c r="K50" t="s">
        <v>255</v>
      </c>
      <c r="L50">
        <v>4653728</v>
      </c>
      <c r="M50" t="s">
        <v>163</v>
      </c>
      <c r="N50" s="11">
        <v>0.08</v>
      </c>
      <c r="O50" s="9" t="str">
        <f>_xll.SNL.Clients.Office.Excel.Functions.SPG(L50, "SP_COUNTRY_NAME")</f>
        <v>Poland</v>
      </c>
      <c r="T50" s="9" t="str">
        <f>_xll.SNL.Clients.Office.Excel.Functions.SPG(Q50, "SP_COUNTRY_NAME")</f>
        <v>#INVALID COMPANY ID</v>
      </c>
      <c r="U50" t="s">
        <v>353</v>
      </c>
      <c r="V50">
        <v>28716079</v>
      </c>
      <c r="W50" t="s">
        <v>163</v>
      </c>
      <c r="X50" s="11">
        <v>0.01</v>
      </c>
      <c r="Y50" s="9" t="str">
        <f>_xll.SNL.Clients.Office.Excel.Functions.SPG(V50, "SP_COUNTRY_NAME")</f>
        <v>United Kingdom</v>
      </c>
    </row>
    <row r="51" spans="5:25" x14ac:dyDescent="0.35">
      <c r="E51" s="9" t="str">
        <f>_xll.SNL.Clients.Office.Excel.Functions.SPG(B51, "SP_COUNTRY_NAME")</f>
        <v>#INVALID COMPANY ID</v>
      </c>
      <c r="J51" s="9" t="str">
        <f>_xll.SNL.Clients.Office.Excel.Functions.SPG(G51, "SP_COUNTRY_NAME")</f>
        <v>#INVALID COMPANY ID</v>
      </c>
      <c r="K51" t="s">
        <v>256</v>
      </c>
      <c r="L51">
        <v>4119759</v>
      </c>
      <c r="M51" t="s">
        <v>163</v>
      </c>
      <c r="N51" s="11">
        <v>0.08</v>
      </c>
      <c r="O51" s="9" t="str">
        <f>_xll.SNL.Clients.Office.Excel.Functions.SPG(L51, "SP_COUNTRY_NAME")</f>
        <v>USA</v>
      </c>
      <c r="T51" s="9" t="str">
        <f>_xll.SNL.Clients.Office.Excel.Functions.SPG(Q51, "SP_COUNTRY_NAME")</f>
        <v>#INVALID COMPANY ID</v>
      </c>
      <c r="U51" t="s">
        <v>354</v>
      </c>
      <c r="V51">
        <v>5763781</v>
      </c>
      <c r="W51" t="s">
        <v>163</v>
      </c>
      <c r="X51" s="11">
        <v>0.01</v>
      </c>
      <c r="Y51" s="9" t="str">
        <f>_xll.SNL.Clients.Office.Excel.Functions.SPG(V51, "SP_COUNTRY_NAME")</f>
        <v>United Kingdom</v>
      </c>
    </row>
    <row r="52" spans="5:25" x14ac:dyDescent="0.35">
      <c r="E52" s="9" t="str">
        <f>_xll.SNL.Clients.Office.Excel.Functions.SPG(B52, "SP_COUNTRY_NAME")</f>
        <v>#INVALID COMPANY ID</v>
      </c>
      <c r="J52" s="9" t="str">
        <f>_xll.SNL.Clients.Office.Excel.Functions.SPG(G52, "SP_COUNTRY_NAME")</f>
        <v>#INVALID COMPANY ID</v>
      </c>
      <c r="K52" t="s">
        <v>192</v>
      </c>
      <c r="L52">
        <v>4723508</v>
      </c>
      <c r="M52" t="s">
        <v>163</v>
      </c>
      <c r="N52" s="11">
        <v>7.0000000000000007E-2</v>
      </c>
      <c r="O52" s="9" t="str">
        <f>_xll.SNL.Clients.Office.Excel.Functions.SPG(L52, "SP_COUNTRY_NAME")</f>
        <v>United Kingdom</v>
      </c>
      <c r="T52" s="9" t="str">
        <f>_xll.SNL.Clients.Office.Excel.Functions.SPG(Q52, "SP_COUNTRY_NAME")</f>
        <v>#INVALID COMPANY ID</v>
      </c>
      <c r="U52" t="s">
        <v>355</v>
      </c>
      <c r="V52">
        <v>4853792</v>
      </c>
      <c r="W52" t="s">
        <v>208</v>
      </c>
      <c r="X52" s="11">
        <v>0.01</v>
      </c>
      <c r="Y52" s="9" t="str">
        <f>_xll.SNL.Clients.Office.Excel.Functions.SPG(V52, "SP_COUNTRY_NAME")</f>
        <v>United Kingdom</v>
      </c>
    </row>
    <row r="53" spans="5:25" x14ac:dyDescent="0.35">
      <c r="E53" s="9" t="str">
        <f>_xll.SNL.Clients.Office.Excel.Functions.SPG(B53, "SP_COUNTRY_NAME")</f>
        <v>#INVALID COMPANY ID</v>
      </c>
      <c r="J53" s="9" t="str">
        <f>_xll.SNL.Clients.Office.Excel.Functions.SPG(G53, "SP_COUNTRY_NAME")</f>
        <v>#INVALID COMPANY ID</v>
      </c>
      <c r="K53" t="s">
        <v>257</v>
      </c>
      <c r="L53">
        <v>4270330</v>
      </c>
      <c r="M53" t="s">
        <v>163</v>
      </c>
      <c r="N53" s="11">
        <v>7.0000000000000007E-2</v>
      </c>
      <c r="O53" s="9" t="str">
        <f>_xll.SNL.Clients.Office.Excel.Functions.SPG(L53, "SP_COUNTRY_NAME")</f>
        <v>USA</v>
      </c>
      <c r="T53" s="9" t="str">
        <f>_xll.SNL.Clients.Office.Excel.Functions.SPG(Q53, "SP_COUNTRY_NAME")</f>
        <v>#INVALID COMPANY ID</v>
      </c>
      <c r="U53" t="s">
        <v>356</v>
      </c>
      <c r="V53">
        <v>4492849</v>
      </c>
      <c r="W53" t="s">
        <v>163</v>
      </c>
      <c r="X53" s="11">
        <v>0</v>
      </c>
      <c r="Y53" s="9" t="str">
        <f>_xll.SNL.Clients.Office.Excel.Functions.SPG(V53, "SP_COUNTRY_NAME")</f>
        <v>United Kingdom</v>
      </c>
    </row>
    <row r="54" spans="5:25" x14ac:dyDescent="0.35">
      <c r="E54" s="9" t="str">
        <f>_xll.SNL.Clients.Office.Excel.Functions.SPG(B54, "SP_COUNTRY_NAME")</f>
        <v>#INVALID COMPANY ID</v>
      </c>
      <c r="J54" s="9" t="str">
        <f>_xll.SNL.Clients.Office.Excel.Functions.SPG(G54, "SP_COUNTRY_NAME")</f>
        <v>#INVALID COMPANY ID</v>
      </c>
      <c r="K54" t="s">
        <v>258</v>
      </c>
      <c r="L54" t="s">
        <v>205</v>
      </c>
      <c r="M54" t="s">
        <v>209</v>
      </c>
      <c r="N54" s="11">
        <v>7.0000000000000007E-2</v>
      </c>
      <c r="O54" s="9" t="str">
        <f>_xll.SNL.Clients.Office.Excel.Functions.SPG(L54, "SP_COUNTRY_NAME")</f>
        <v>China</v>
      </c>
      <c r="T54" s="9" t="str">
        <f>_xll.SNL.Clients.Office.Excel.Functions.SPG(Q54, "SP_COUNTRY_NAME")</f>
        <v>#INVALID COMPANY ID</v>
      </c>
      <c r="U54" t="s">
        <v>357</v>
      </c>
      <c r="V54">
        <v>4212003</v>
      </c>
      <c r="W54" t="s">
        <v>208</v>
      </c>
      <c r="X54" s="11">
        <v>0</v>
      </c>
      <c r="Y54" s="9" t="str">
        <f>_xll.SNL.Clients.Office.Excel.Functions.SPG(V54, "SP_COUNTRY_NAME")</f>
        <v>Singapore</v>
      </c>
    </row>
    <row r="55" spans="5:25" x14ac:dyDescent="0.35">
      <c r="E55" s="9" t="str">
        <f>_xll.SNL.Clients.Office.Excel.Functions.SPG(B55, "SP_COUNTRY_NAME")</f>
        <v>#INVALID COMPANY ID</v>
      </c>
      <c r="J55" s="9" t="str">
        <f>_xll.SNL.Clients.Office.Excel.Functions.SPG(G55, "SP_COUNTRY_NAME")</f>
        <v>#INVALID COMPANY ID</v>
      </c>
      <c r="K55" t="s">
        <v>259</v>
      </c>
      <c r="L55">
        <v>4550922</v>
      </c>
      <c r="M55" t="s">
        <v>163</v>
      </c>
      <c r="N55" s="11">
        <v>7.0000000000000007E-2</v>
      </c>
      <c r="O55" s="9" t="str">
        <f>_xll.SNL.Clients.Office.Excel.Functions.SPG(L55, "SP_COUNTRY_NAME")</f>
        <v>USA</v>
      </c>
      <c r="T55" s="9" t="str">
        <f>_xll.SNL.Clients.Office.Excel.Functions.SPG(Q55, "SP_COUNTRY_NAME")</f>
        <v>#INVALID COMPANY ID</v>
      </c>
      <c r="U55" t="s">
        <v>358</v>
      </c>
      <c r="V55">
        <v>4836745</v>
      </c>
      <c r="W55" t="s">
        <v>208</v>
      </c>
      <c r="X55" s="11">
        <v>0</v>
      </c>
      <c r="Y55" s="9" t="str">
        <f>_xll.SNL.Clients.Office.Excel.Functions.SPG(V55, "SP_COUNTRY_NAME")</f>
        <v>United Kingdom</v>
      </c>
    </row>
    <row r="56" spans="5:25" x14ac:dyDescent="0.35">
      <c r="E56" s="9" t="str">
        <f>_xll.SNL.Clients.Office.Excel.Functions.SPG(B56, "SP_COUNTRY_NAME")</f>
        <v>#INVALID COMPANY ID</v>
      </c>
      <c r="J56" s="9" t="str">
        <f>_xll.SNL.Clients.Office.Excel.Functions.SPG(G56, "SP_COUNTRY_NAME")</f>
        <v>#INVALID COMPANY ID</v>
      </c>
      <c r="K56" t="s">
        <v>171</v>
      </c>
      <c r="L56">
        <v>13969643</v>
      </c>
      <c r="M56" t="s">
        <v>163</v>
      </c>
      <c r="N56" s="11">
        <v>0.06</v>
      </c>
      <c r="O56" s="9" t="str">
        <f>_xll.SNL.Clients.Office.Excel.Functions.SPG(L56, "SP_COUNTRY_NAME")</f>
        <v>United Kingdom</v>
      </c>
      <c r="T56" s="9" t="str">
        <f>_xll.SNL.Clients.Office.Excel.Functions.SPG(Q56, "SP_COUNTRY_NAME")</f>
        <v>#INVALID COMPANY ID</v>
      </c>
      <c r="U56" t="s">
        <v>359</v>
      </c>
      <c r="V56">
        <v>4257715</v>
      </c>
      <c r="W56" t="s">
        <v>208</v>
      </c>
      <c r="X56" s="11">
        <v>0</v>
      </c>
      <c r="Y56" s="9" t="str">
        <f>_xll.SNL.Clients.Office.Excel.Functions.SPG(V56, "SP_COUNTRY_NAME")</f>
        <v>Spain</v>
      </c>
    </row>
    <row r="57" spans="5:25" x14ac:dyDescent="0.35">
      <c r="E57" s="9" t="str">
        <f>_xll.SNL.Clients.Office.Excel.Functions.SPG(B57, "SP_COUNTRY_NAME")</f>
        <v>#INVALID COMPANY ID</v>
      </c>
      <c r="J57" s="9" t="str">
        <f>_xll.SNL.Clients.Office.Excel.Functions.SPG(G57, "SP_COUNTRY_NAME")</f>
        <v>#INVALID COMPANY ID</v>
      </c>
      <c r="K57" t="s">
        <v>260</v>
      </c>
      <c r="L57" t="s">
        <v>205</v>
      </c>
      <c r="M57" t="s">
        <v>209</v>
      </c>
      <c r="N57" s="11">
        <v>0.06</v>
      </c>
      <c r="O57" s="9" t="str">
        <f>_xll.SNL.Clients.Office.Excel.Functions.SPG(L57, "SP_COUNTRY_NAME")</f>
        <v>China</v>
      </c>
      <c r="T57" s="9" t="str">
        <f>_xll.SNL.Clients.Office.Excel.Functions.SPG(Q57, "SP_COUNTRY_NAME")</f>
        <v>#INVALID COMPANY ID</v>
      </c>
      <c r="U57" t="s">
        <v>360</v>
      </c>
      <c r="V57">
        <v>4249827</v>
      </c>
      <c r="W57" t="s">
        <v>163</v>
      </c>
      <c r="X57" s="11">
        <v>0</v>
      </c>
      <c r="Y57" s="9" t="str">
        <f>_xll.SNL.Clients.Office.Excel.Functions.SPG(V57, "SP_COUNTRY_NAME")</f>
        <v>Sweden</v>
      </c>
    </row>
    <row r="58" spans="5:25" x14ac:dyDescent="0.35">
      <c r="E58" s="9" t="str">
        <f>_xll.SNL.Clients.Office.Excel.Functions.SPG(B58, "SP_COUNTRY_NAME")</f>
        <v>#INVALID COMPANY ID</v>
      </c>
      <c r="J58" s="9" t="str">
        <f>_xll.SNL.Clients.Office.Excel.Functions.SPG(G58, "SP_COUNTRY_NAME")</f>
        <v>#INVALID COMPANY ID</v>
      </c>
      <c r="K58" t="s">
        <v>261</v>
      </c>
      <c r="L58" t="s">
        <v>205</v>
      </c>
      <c r="M58" t="s">
        <v>209</v>
      </c>
      <c r="N58" s="11">
        <v>0.05</v>
      </c>
      <c r="O58" s="9" t="str">
        <f>_xll.SNL.Clients.Office.Excel.Functions.SPG(L58, "SP_COUNTRY_NAME")</f>
        <v>China</v>
      </c>
      <c r="T58" s="9" t="str">
        <f>_xll.SNL.Clients.Office.Excel.Functions.SPG(Q58, "SP_COUNTRY_NAME")</f>
        <v>#INVALID COMPANY ID</v>
      </c>
      <c r="U58" t="s">
        <v>220</v>
      </c>
      <c r="V58">
        <v>114508</v>
      </c>
      <c r="W58" t="s">
        <v>208</v>
      </c>
      <c r="X58" s="11">
        <v>0</v>
      </c>
      <c r="Y58" s="9" t="str">
        <f>_xll.SNL.Clients.Office.Excel.Functions.SPG(V58, "SP_COUNTRY_NAME")</f>
        <v>United Kingdom</v>
      </c>
    </row>
    <row r="59" spans="5:25" x14ac:dyDescent="0.35">
      <c r="E59" s="9" t="str">
        <f>_xll.SNL.Clients.Office.Excel.Functions.SPG(B59, "SP_COUNTRY_NAME")</f>
        <v>#INVALID COMPANY ID</v>
      </c>
      <c r="J59" s="9" t="str">
        <f>_xll.SNL.Clients.Office.Excel.Functions.SPG(G59, "SP_COUNTRY_NAME")</f>
        <v>#INVALID COMPANY ID</v>
      </c>
      <c r="K59" t="s">
        <v>262</v>
      </c>
      <c r="L59" t="s">
        <v>205</v>
      </c>
      <c r="M59" t="s">
        <v>209</v>
      </c>
      <c r="N59" s="11">
        <v>0.05</v>
      </c>
      <c r="O59" s="9" t="str">
        <f>_xll.SNL.Clients.Office.Excel.Functions.SPG(L59, "SP_COUNTRY_NAME")</f>
        <v>China</v>
      </c>
      <c r="T59" s="9" t="str">
        <f>_xll.SNL.Clients.Office.Excel.Functions.SPG(Q59, "SP_COUNTRY_NAME")</f>
        <v>#INVALID COMPANY ID</v>
      </c>
      <c r="U59" t="s">
        <v>361</v>
      </c>
      <c r="V59">
        <v>7509874</v>
      </c>
      <c r="W59" t="s">
        <v>208</v>
      </c>
      <c r="X59" s="11">
        <v>0</v>
      </c>
      <c r="Y59" s="9" t="str">
        <f>_xll.SNL.Clients.Office.Excel.Functions.SPG(V59, "SP_COUNTRY_NAME")</f>
        <v>Isle of Man</v>
      </c>
    </row>
    <row r="60" spans="5:25" x14ac:dyDescent="0.35">
      <c r="E60" s="9" t="str">
        <f>_xll.SNL.Clients.Office.Excel.Functions.SPG(B60, "SP_COUNTRY_NAME")</f>
        <v>#INVALID COMPANY ID</v>
      </c>
      <c r="J60" s="9" t="str">
        <f>_xll.SNL.Clients.Office.Excel.Functions.SPG(G60, "SP_COUNTRY_NAME")</f>
        <v>#INVALID COMPANY ID</v>
      </c>
      <c r="K60" t="s">
        <v>263</v>
      </c>
      <c r="L60">
        <v>5850609</v>
      </c>
      <c r="M60" t="s">
        <v>163</v>
      </c>
      <c r="N60" s="11">
        <v>0.05</v>
      </c>
      <c r="O60" s="9" t="str">
        <f>_xll.SNL.Clients.Office.Excel.Functions.SPG(L60, "SP_COUNTRY_NAME")</f>
        <v>Germany</v>
      </c>
      <c r="T60" s="9" t="str">
        <f>_xll.SNL.Clients.Office.Excel.Functions.SPG(Q60, "SP_COUNTRY_NAME")</f>
        <v>#INVALID COMPANY ID</v>
      </c>
      <c r="U60" t="s">
        <v>362</v>
      </c>
      <c r="V60">
        <v>4138286</v>
      </c>
      <c r="W60" t="s">
        <v>163</v>
      </c>
      <c r="X60" s="11">
        <v>0</v>
      </c>
      <c r="Y60" s="9" t="str">
        <f>_xll.SNL.Clients.Office.Excel.Functions.SPG(V60, "SP_COUNTRY_NAME")</f>
        <v>Germany</v>
      </c>
    </row>
    <row r="61" spans="5:25" x14ac:dyDescent="0.35">
      <c r="E61" s="9" t="str">
        <f>_xll.SNL.Clients.Office.Excel.Functions.SPG(B61, "SP_COUNTRY_NAME")</f>
        <v>#INVALID COMPANY ID</v>
      </c>
      <c r="J61" s="9" t="str">
        <f>_xll.SNL.Clients.Office.Excel.Functions.SPG(G61, "SP_COUNTRY_NAME")</f>
        <v>#INVALID COMPANY ID</v>
      </c>
      <c r="K61" t="s">
        <v>264</v>
      </c>
      <c r="L61">
        <v>4145691</v>
      </c>
      <c r="M61" t="s">
        <v>163</v>
      </c>
      <c r="N61" s="11">
        <v>0.04</v>
      </c>
      <c r="O61" s="9" t="str">
        <f>_xll.SNL.Clients.Office.Excel.Functions.SPG(L61, "SP_COUNTRY_NAME")</f>
        <v>USA</v>
      </c>
      <c r="T61" s="9" t="str">
        <f>_xll.SNL.Clients.Office.Excel.Functions.SPG(Q61, "SP_COUNTRY_NAME")</f>
        <v>#INVALID COMPANY ID</v>
      </c>
      <c r="U61" t="s">
        <v>222</v>
      </c>
      <c r="V61">
        <v>4111901</v>
      </c>
      <c r="W61" t="s">
        <v>163</v>
      </c>
      <c r="X61" s="11">
        <v>0</v>
      </c>
      <c r="Y61" s="9" t="str">
        <f>_xll.SNL.Clients.Office.Excel.Functions.SPG(V61, "SP_COUNTRY_NAME")</f>
        <v>Belgium</v>
      </c>
    </row>
    <row r="62" spans="5:25" x14ac:dyDescent="0.35">
      <c r="E62" s="9" t="str">
        <f>_xll.SNL.Clients.Office.Excel.Functions.SPG(B62, "SP_COUNTRY_NAME")</f>
        <v>#INVALID COMPANY ID</v>
      </c>
      <c r="J62" s="9" t="str">
        <f>_xll.SNL.Clients.Office.Excel.Functions.SPG(G62, "SP_COUNTRY_NAME")</f>
        <v>#INVALID COMPANY ID</v>
      </c>
      <c r="K62" t="s">
        <v>265</v>
      </c>
      <c r="L62">
        <v>4134208</v>
      </c>
      <c r="M62" t="s">
        <v>163</v>
      </c>
      <c r="N62" s="11">
        <v>0.04</v>
      </c>
      <c r="O62" s="9" t="str">
        <f>_xll.SNL.Clients.Office.Excel.Functions.SPG(L62, "SP_COUNTRY_NAME")</f>
        <v>USA</v>
      </c>
      <c r="T62" s="9" t="str">
        <f>_xll.SNL.Clients.Office.Excel.Functions.SPG(Q62, "SP_COUNTRY_NAME")</f>
        <v>#INVALID COMPANY ID</v>
      </c>
      <c r="U62" t="s">
        <v>363</v>
      </c>
      <c r="V62">
        <v>5793149</v>
      </c>
      <c r="W62" t="s">
        <v>163</v>
      </c>
      <c r="X62" s="11">
        <v>0</v>
      </c>
      <c r="Y62" s="9" t="str">
        <f>_xll.SNL.Clients.Office.Excel.Functions.SPG(V62, "SP_COUNTRY_NAME")</f>
        <v>Guernsey</v>
      </c>
    </row>
    <row r="63" spans="5:25" x14ac:dyDescent="0.35">
      <c r="E63" s="9" t="str">
        <f>_xll.SNL.Clients.Office.Excel.Functions.SPG(B63, "SP_COUNTRY_NAME")</f>
        <v>#INVALID COMPANY ID</v>
      </c>
      <c r="J63" s="9" t="str">
        <f>_xll.SNL.Clients.Office.Excel.Functions.SPG(G63, "SP_COUNTRY_NAME")</f>
        <v>#INVALID COMPANY ID</v>
      </c>
      <c r="K63" t="s">
        <v>266</v>
      </c>
      <c r="L63" t="s">
        <v>205</v>
      </c>
      <c r="M63" t="s">
        <v>209</v>
      </c>
      <c r="N63" s="11">
        <v>0.04</v>
      </c>
      <c r="O63" s="9" t="str">
        <f>_xll.SNL.Clients.Office.Excel.Functions.SPG(L63, "SP_COUNTRY_NAME")</f>
        <v>China</v>
      </c>
      <c r="T63" s="9" t="str">
        <f>_xll.SNL.Clients.Office.Excel.Functions.SPG(Q63, "SP_COUNTRY_NAME")</f>
        <v>#INVALID COMPANY ID</v>
      </c>
      <c r="Y63" s="9" t="str">
        <f>_xll.SNL.Clients.Office.Excel.Functions.SPG(V63, "SP_COUNTRY_NAME")</f>
        <v>#INVALID COMPANY ID</v>
      </c>
    </row>
    <row r="64" spans="5:25" x14ac:dyDescent="0.35">
      <c r="E64" s="9" t="str">
        <f>_xll.SNL.Clients.Office.Excel.Functions.SPG(B64, "SP_COUNTRY_NAME")</f>
        <v>#INVALID COMPANY ID</v>
      </c>
      <c r="J64" s="9" t="str">
        <f>_xll.SNL.Clients.Office.Excel.Functions.SPG(G64, "SP_COUNTRY_NAME")</f>
        <v>#INVALID COMPANY ID</v>
      </c>
      <c r="K64" t="s">
        <v>267</v>
      </c>
      <c r="L64">
        <v>100369</v>
      </c>
      <c r="M64" t="s">
        <v>208</v>
      </c>
      <c r="N64" s="11">
        <v>0.04</v>
      </c>
      <c r="O64" s="9" t="str">
        <f>_xll.SNL.Clients.Office.Excel.Functions.SPG(L64, "SP_COUNTRY_NAME")</f>
        <v>USA</v>
      </c>
      <c r="T64" s="9" t="str">
        <f>_xll.SNL.Clients.Office.Excel.Functions.SPG(Q64, "SP_COUNTRY_NAME")</f>
        <v>#INVALID COMPANY ID</v>
      </c>
      <c r="Y64" s="9" t="str">
        <f>_xll.SNL.Clients.Office.Excel.Functions.SPG(V64, "SP_COUNTRY_NAME")</f>
        <v>#INVALID COMPANY ID</v>
      </c>
    </row>
    <row r="65" spans="5:25" x14ac:dyDescent="0.35">
      <c r="E65" s="9" t="str">
        <f>_xll.SNL.Clients.Office.Excel.Functions.SPG(B65, "SP_COUNTRY_NAME")</f>
        <v>#INVALID COMPANY ID</v>
      </c>
      <c r="J65" s="9" t="str">
        <f>_xll.SNL.Clients.Office.Excel.Functions.SPG(G65, "SP_COUNTRY_NAME")</f>
        <v>#INVALID COMPANY ID</v>
      </c>
      <c r="K65" t="s">
        <v>268</v>
      </c>
      <c r="L65" t="s">
        <v>205</v>
      </c>
      <c r="M65" t="s">
        <v>209</v>
      </c>
      <c r="N65" s="11">
        <v>0.03</v>
      </c>
      <c r="O65" s="9" t="str">
        <f>_xll.SNL.Clients.Office.Excel.Functions.SPG(L65, "SP_COUNTRY_NAME")</f>
        <v>China</v>
      </c>
      <c r="T65" s="9" t="str">
        <f>_xll.SNL.Clients.Office.Excel.Functions.SPG(Q65, "SP_COUNTRY_NAME")</f>
        <v>#INVALID COMPANY ID</v>
      </c>
      <c r="Y65" s="9" t="str">
        <f>_xll.SNL.Clients.Office.Excel.Functions.SPG(V65, "SP_COUNTRY_NAME")</f>
        <v>#INVALID COMPANY ID</v>
      </c>
    </row>
    <row r="66" spans="5:25" x14ac:dyDescent="0.35">
      <c r="E66" s="9" t="str">
        <f>_xll.SNL.Clients.Office.Excel.Functions.SPG(B66, "SP_COUNTRY_NAME")</f>
        <v>#INVALID COMPANY ID</v>
      </c>
      <c r="J66" s="9" t="str">
        <f>_xll.SNL.Clients.Office.Excel.Functions.SPG(G66, "SP_COUNTRY_NAME")</f>
        <v>#INVALID COMPANY ID</v>
      </c>
      <c r="K66" t="s">
        <v>269</v>
      </c>
      <c r="L66" t="s">
        <v>205</v>
      </c>
      <c r="M66" t="s">
        <v>209</v>
      </c>
      <c r="N66" s="11">
        <v>0.03</v>
      </c>
      <c r="O66" s="9" t="str">
        <f>_xll.SNL.Clients.Office.Excel.Functions.SPG(L66, "SP_COUNTRY_NAME")</f>
        <v>China</v>
      </c>
      <c r="T66" s="9" t="str">
        <f>_xll.SNL.Clients.Office.Excel.Functions.SPG(Q66, "SP_COUNTRY_NAME")</f>
        <v>#INVALID COMPANY ID</v>
      </c>
      <c r="Y66" s="9" t="str">
        <f>_xll.SNL.Clients.Office.Excel.Functions.SPG(V66, "SP_COUNTRY_NAME")</f>
        <v>#INVALID COMPANY ID</v>
      </c>
    </row>
    <row r="67" spans="5:25" x14ac:dyDescent="0.35">
      <c r="E67" s="9" t="str">
        <f>_xll.SNL.Clients.Office.Excel.Functions.SPG(B67, "SP_COUNTRY_NAME")</f>
        <v>#INVALID COMPANY ID</v>
      </c>
      <c r="J67" s="9" t="str">
        <f>_xll.SNL.Clients.Office.Excel.Functions.SPG(G67, "SP_COUNTRY_NAME")</f>
        <v>#INVALID COMPANY ID</v>
      </c>
      <c r="K67" t="s">
        <v>270</v>
      </c>
      <c r="L67">
        <v>4048184</v>
      </c>
      <c r="M67" t="s">
        <v>163</v>
      </c>
      <c r="N67" s="11">
        <v>0.03</v>
      </c>
      <c r="O67" s="9" t="str">
        <f>_xll.SNL.Clients.Office.Excel.Functions.SPG(L67, "SP_COUNTRY_NAME")</f>
        <v>Canada</v>
      </c>
      <c r="T67" s="9" t="str">
        <f>_xll.SNL.Clients.Office.Excel.Functions.SPG(Q67, "SP_COUNTRY_NAME")</f>
        <v>#INVALID COMPANY ID</v>
      </c>
      <c r="Y67" s="9" t="str">
        <f>_xll.SNL.Clients.Office.Excel.Functions.SPG(V67, "SP_COUNTRY_NAME")</f>
        <v>#INVALID COMPANY ID</v>
      </c>
    </row>
    <row r="68" spans="5:25" x14ac:dyDescent="0.35">
      <c r="E68" s="9" t="str">
        <f>_xll.SNL.Clients.Office.Excel.Functions.SPG(B68, "SP_COUNTRY_NAME")</f>
        <v>#INVALID COMPANY ID</v>
      </c>
      <c r="J68" s="9" t="str">
        <f>_xll.SNL.Clients.Office.Excel.Functions.SPG(G68, "SP_COUNTRY_NAME")</f>
        <v>#INVALID COMPANY ID</v>
      </c>
      <c r="K68" t="s">
        <v>271</v>
      </c>
      <c r="L68">
        <v>4153606</v>
      </c>
      <c r="M68" t="s">
        <v>163</v>
      </c>
      <c r="N68" s="11">
        <v>0.03</v>
      </c>
      <c r="O68" s="9" t="str">
        <f>_xll.SNL.Clients.Office.Excel.Functions.SPG(L68, "SP_COUNTRY_NAME")</f>
        <v>USA</v>
      </c>
      <c r="T68" s="9" t="str">
        <f>_xll.SNL.Clients.Office.Excel.Functions.SPG(Q68, "SP_COUNTRY_NAME")</f>
        <v>#INVALID COMPANY ID</v>
      </c>
      <c r="Y68" s="9" t="str">
        <f>_xll.SNL.Clients.Office.Excel.Functions.SPG(V68, "SP_COUNTRY_NAME")</f>
        <v>#INVALID COMPANY ID</v>
      </c>
    </row>
    <row r="69" spans="5:25" x14ac:dyDescent="0.35">
      <c r="E69" s="9" t="str">
        <f>_xll.SNL.Clients.Office.Excel.Functions.SPG(B69, "SP_COUNTRY_NAME")</f>
        <v>#INVALID COMPANY ID</v>
      </c>
      <c r="J69" s="9" t="str">
        <f>_xll.SNL.Clients.Office.Excel.Functions.SPG(G69, "SP_COUNTRY_NAME")</f>
        <v>#INVALID COMPANY ID</v>
      </c>
      <c r="K69" t="s">
        <v>272</v>
      </c>
      <c r="L69">
        <v>4252258</v>
      </c>
      <c r="M69" t="s">
        <v>163</v>
      </c>
      <c r="N69" s="11">
        <v>0.03</v>
      </c>
      <c r="O69" s="9" t="str">
        <f>_xll.SNL.Clients.Office.Excel.Functions.SPG(L69, "SP_COUNTRY_NAME")</f>
        <v>Bermuda</v>
      </c>
      <c r="T69" s="9" t="str">
        <f>_xll.SNL.Clients.Office.Excel.Functions.SPG(Q69, "SP_COUNTRY_NAME")</f>
        <v>#INVALID COMPANY ID</v>
      </c>
      <c r="Y69" s="9" t="str">
        <f>_xll.SNL.Clients.Office.Excel.Functions.SPG(V69, "SP_COUNTRY_NAME")</f>
        <v>#INVALID COMPANY ID</v>
      </c>
    </row>
    <row r="70" spans="5:25" x14ac:dyDescent="0.35">
      <c r="E70" s="9" t="str">
        <f>_xll.SNL.Clients.Office.Excel.Functions.SPG(B70, "SP_COUNTRY_NAME")</f>
        <v>#INVALID COMPANY ID</v>
      </c>
      <c r="J70" s="9" t="str">
        <f>_xll.SNL.Clients.Office.Excel.Functions.SPG(G70, "SP_COUNTRY_NAME")</f>
        <v>#INVALID COMPANY ID</v>
      </c>
      <c r="K70" t="s">
        <v>273</v>
      </c>
      <c r="L70" t="s">
        <v>205</v>
      </c>
      <c r="M70" t="s">
        <v>209</v>
      </c>
      <c r="N70" s="11">
        <v>0.03</v>
      </c>
      <c r="O70" s="9" t="str">
        <f>_xll.SNL.Clients.Office.Excel.Functions.SPG(L70, "SP_COUNTRY_NAME")</f>
        <v>China</v>
      </c>
      <c r="T70" s="9" t="str">
        <f>_xll.SNL.Clients.Office.Excel.Functions.SPG(Q70, "SP_COUNTRY_NAME")</f>
        <v>#INVALID COMPANY ID</v>
      </c>
      <c r="Y70" s="9" t="str">
        <f>_xll.SNL.Clients.Office.Excel.Functions.SPG(V70, "SP_COUNTRY_NAME")</f>
        <v>#INVALID COMPANY ID</v>
      </c>
    </row>
    <row r="71" spans="5:25" x14ac:dyDescent="0.35">
      <c r="E71" s="9" t="str">
        <f>_xll.SNL.Clients.Office.Excel.Functions.SPG(B71, "SP_COUNTRY_NAME")</f>
        <v>#INVALID COMPANY ID</v>
      </c>
      <c r="J71" s="9" t="str">
        <f>_xll.SNL.Clients.Office.Excel.Functions.SPG(G71, "SP_COUNTRY_NAME")</f>
        <v>#INVALID COMPANY ID</v>
      </c>
      <c r="K71" t="s">
        <v>200</v>
      </c>
      <c r="L71">
        <v>4138917</v>
      </c>
      <c r="M71" t="s">
        <v>163</v>
      </c>
      <c r="N71" s="11">
        <v>0.02</v>
      </c>
      <c r="O71" s="9" t="str">
        <f>_xll.SNL.Clients.Office.Excel.Functions.SPG(L71, "SP_COUNTRY_NAME")</f>
        <v>Australia</v>
      </c>
      <c r="T71" s="9" t="str">
        <f>_xll.SNL.Clients.Office.Excel.Functions.SPG(Q71, "SP_COUNTRY_NAME")</f>
        <v>#INVALID COMPANY ID</v>
      </c>
      <c r="Y71" s="9" t="str">
        <f>_xll.SNL.Clients.Office.Excel.Functions.SPG(V71, "SP_COUNTRY_NAME")</f>
        <v>#INVALID COMPANY ID</v>
      </c>
    </row>
    <row r="72" spans="5:25" x14ac:dyDescent="0.35">
      <c r="E72" s="9" t="str">
        <f>_xll.SNL.Clients.Office.Excel.Functions.SPG(B72, "SP_COUNTRY_NAME")</f>
        <v>#INVALID COMPANY ID</v>
      </c>
      <c r="J72" s="9" t="str">
        <f>_xll.SNL.Clients.Office.Excel.Functions.SPG(G72, "SP_COUNTRY_NAME")</f>
        <v>#INVALID COMPANY ID</v>
      </c>
      <c r="K72" t="s">
        <v>274</v>
      </c>
      <c r="L72">
        <v>4138888</v>
      </c>
      <c r="M72" t="s">
        <v>163</v>
      </c>
      <c r="N72" s="11">
        <v>0.02</v>
      </c>
      <c r="O72" s="9" t="str">
        <f>_xll.SNL.Clients.Office.Excel.Functions.SPG(L72, "SP_COUNTRY_NAME")</f>
        <v>Norway</v>
      </c>
      <c r="T72" s="9" t="str">
        <f>_xll.SNL.Clients.Office.Excel.Functions.SPG(Q72, "SP_COUNTRY_NAME")</f>
        <v>#INVALID COMPANY ID</v>
      </c>
      <c r="Y72" s="9" t="str">
        <f>_xll.SNL.Clients.Office.Excel.Functions.SPG(V72, "SP_COUNTRY_NAME")</f>
        <v>#INVALID COMPANY ID</v>
      </c>
    </row>
    <row r="73" spans="5:25" x14ac:dyDescent="0.35">
      <c r="E73" s="9" t="str">
        <f>_xll.SNL.Clients.Office.Excel.Functions.SPG(B73, "SP_COUNTRY_NAME")</f>
        <v>#INVALID COMPANY ID</v>
      </c>
      <c r="J73" s="9" t="str">
        <f>_xll.SNL.Clients.Office.Excel.Functions.SPG(G73, "SP_COUNTRY_NAME")</f>
        <v>#INVALID COMPANY ID</v>
      </c>
      <c r="K73" t="s">
        <v>275</v>
      </c>
      <c r="L73">
        <v>4253894</v>
      </c>
      <c r="M73" t="s">
        <v>163</v>
      </c>
      <c r="N73" s="11">
        <v>0.02</v>
      </c>
      <c r="O73" s="9" t="str">
        <f>_xll.SNL.Clients.Office.Excel.Functions.SPG(L73, "SP_COUNTRY_NAME")</f>
        <v>Luxembourg</v>
      </c>
      <c r="T73" s="9" t="str">
        <f>_xll.SNL.Clients.Office.Excel.Functions.SPG(Q73, "SP_COUNTRY_NAME")</f>
        <v>#INVALID COMPANY ID</v>
      </c>
      <c r="Y73" s="9" t="str">
        <f>_xll.SNL.Clients.Office.Excel.Functions.SPG(V73, "SP_COUNTRY_NAME")</f>
        <v>#INVALID COMPANY ID</v>
      </c>
    </row>
    <row r="74" spans="5:25" x14ac:dyDescent="0.35">
      <c r="E74" s="9" t="str">
        <f>_xll.SNL.Clients.Office.Excel.Functions.SPG(B74, "SP_COUNTRY_NAME")</f>
        <v>#INVALID COMPANY ID</v>
      </c>
      <c r="J74" s="9" t="str">
        <f>_xll.SNL.Clients.Office.Excel.Functions.SPG(G74, "SP_COUNTRY_NAME")</f>
        <v>#INVALID COMPANY ID</v>
      </c>
      <c r="K74" t="s">
        <v>276</v>
      </c>
      <c r="L74">
        <v>4557089</v>
      </c>
      <c r="M74" t="s">
        <v>163</v>
      </c>
      <c r="N74" s="11">
        <v>0.01</v>
      </c>
      <c r="O74" s="9" t="str">
        <f>_xll.SNL.Clients.Office.Excel.Functions.SPG(L74, "SP_COUNTRY_NAME")</f>
        <v>Canada</v>
      </c>
      <c r="T74" s="9" t="str">
        <f>_xll.SNL.Clients.Office.Excel.Functions.SPG(Q74, "SP_COUNTRY_NAME")</f>
        <v>#INVALID COMPANY ID</v>
      </c>
      <c r="Y74" s="9" t="str">
        <f>_xll.SNL.Clients.Office.Excel.Functions.SPG(V74, "SP_COUNTRY_NAME")</f>
        <v>#INVALID COMPANY ID</v>
      </c>
    </row>
    <row r="75" spans="5:25" x14ac:dyDescent="0.35">
      <c r="E75" s="9" t="str">
        <f>_xll.SNL.Clients.Office.Excel.Functions.SPG(B75, "SP_COUNTRY_NAME")</f>
        <v>#INVALID COMPANY ID</v>
      </c>
      <c r="J75" s="9" t="str">
        <f>_xll.SNL.Clients.Office.Excel.Functions.SPG(G75, "SP_COUNTRY_NAME")</f>
        <v>#INVALID COMPANY ID</v>
      </c>
      <c r="K75" t="s">
        <v>277</v>
      </c>
      <c r="L75">
        <v>5847797</v>
      </c>
      <c r="M75" t="s">
        <v>163</v>
      </c>
      <c r="N75" s="11">
        <v>0.01</v>
      </c>
      <c r="O75" s="9" t="str">
        <f>_xll.SNL.Clients.Office.Excel.Functions.SPG(L75, "SP_COUNTRY_NAME")</f>
        <v>Germany</v>
      </c>
      <c r="T75" s="9" t="str">
        <f>_xll.SNL.Clients.Office.Excel.Functions.SPG(Q75, "SP_COUNTRY_NAME")</f>
        <v>#INVALID COMPANY ID</v>
      </c>
      <c r="Y75" s="9" t="str">
        <f>_xll.SNL.Clients.Office.Excel.Functions.SPG(V75, "SP_COUNTRY_NAME")</f>
        <v>#INVALID COMPANY ID</v>
      </c>
    </row>
    <row r="76" spans="5:25" x14ac:dyDescent="0.35">
      <c r="E76" s="9" t="str">
        <f>_xll.SNL.Clients.Office.Excel.Functions.SPG(B76, "SP_COUNTRY_NAME")</f>
        <v>#INVALID COMPANY ID</v>
      </c>
      <c r="J76" s="9" t="str">
        <f>_xll.SNL.Clients.Office.Excel.Functions.SPG(G76, "SP_COUNTRY_NAME")</f>
        <v>#INVALID COMPANY ID</v>
      </c>
      <c r="K76" t="s">
        <v>278</v>
      </c>
      <c r="L76" t="s">
        <v>205</v>
      </c>
      <c r="M76" t="s">
        <v>209</v>
      </c>
      <c r="N76" s="11">
        <v>0.01</v>
      </c>
      <c r="O76" s="9" t="str">
        <f>_xll.SNL.Clients.Office.Excel.Functions.SPG(L76, "SP_COUNTRY_NAME")</f>
        <v>China</v>
      </c>
      <c r="T76" s="9" t="str">
        <f>_xll.SNL.Clients.Office.Excel.Functions.SPG(Q76, "SP_COUNTRY_NAME")</f>
        <v>#INVALID COMPANY ID</v>
      </c>
      <c r="Y76" s="9" t="str">
        <f>_xll.SNL.Clients.Office.Excel.Functions.SPG(V76, "SP_COUNTRY_NAME")</f>
        <v>#INVALID COMPANY ID</v>
      </c>
    </row>
    <row r="77" spans="5:25" x14ac:dyDescent="0.35">
      <c r="E77" s="9" t="str">
        <f>_xll.SNL.Clients.Office.Excel.Functions.SPG(B77, "SP_COUNTRY_NAME")</f>
        <v>#INVALID COMPANY ID</v>
      </c>
      <c r="J77" s="9" t="str">
        <f>_xll.SNL.Clients.Office.Excel.Functions.SPG(G77, "SP_COUNTRY_NAME")</f>
        <v>#INVALID COMPANY ID</v>
      </c>
      <c r="K77" t="s">
        <v>279</v>
      </c>
      <c r="L77">
        <v>111359</v>
      </c>
      <c r="M77" t="s">
        <v>163</v>
      </c>
      <c r="N77" s="11">
        <v>0.01</v>
      </c>
      <c r="O77" s="9" t="str">
        <f>_xll.SNL.Clients.Office.Excel.Functions.SPG(L77, "SP_COUNTRY_NAME")</f>
        <v>USA</v>
      </c>
      <c r="T77" s="9" t="str">
        <f>_xll.SNL.Clients.Office.Excel.Functions.SPG(Q77, "SP_COUNTRY_NAME")</f>
        <v>#INVALID COMPANY ID</v>
      </c>
      <c r="Y77" s="9" t="str">
        <f>_xll.SNL.Clients.Office.Excel.Functions.SPG(V77, "SP_COUNTRY_NAME")</f>
        <v>#INVALID COMPANY ID</v>
      </c>
    </row>
    <row r="78" spans="5:25" x14ac:dyDescent="0.35">
      <c r="E78" s="9" t="str">
        <f>_xll.SNL.Clients.Office.Excel.Functions.SPG(B78, "SP_COUNTRY_NAME")</f>
        <v>#INVALID COMPANY ID</v>
      </c>
      <c r="J78" s="9" t="str">
        <f>_xll.SNL.Clients.Office.Excel.Functions.SPG(G78, "SP_COUNTRY_NAME")</f>
        <v>#INVALID COMPANY ID</v>
      </c>
      <c r="K78" t="s">
        <v>280</v>
      </c>
      <c r="L78">
        <v>4227239</v>
      </c>
      <c r="M78" t="s">
        <v>163</v>
      </c>
      <c r="N78" s="11">
        <v>0.01</v>
      </c>
      <c r="O78" s="9" t="str">
        <f>_xll.SNL.Clients.Office.Excel.Functions.SPG(L78, "SP_COUNTRY_NAME")</f>
        <v>Austria</v>
      </c>
      <c r="T78" s="9" t="str">
        <f>_xll.SNL.Clients.Office.Excel.Functions.SPG(Q78, "SP_COUNTRY_NAME")</f>
        <v>#INVALID COMPANY ID</v>
      </c>
      <c r="Y78" s="9" t="str">
        <f>_xll.SNL.Clients.Office.Excel.Functions.SPG(V78, "SP_COUNTRY_NAME")</f>
        <v>#INVALID COMPANY ID</v>
      </c>
    </row>
    <row r="79" spans="5:25" x14ac:dyDescent="0.35">
      <c r="E79" s="9" t="str">
        <f>_xll.SNL.Clients.Office.Excel.Functions.SPG(B79, "SP_COUNTRY_NAME")</f>
        <v>#INVALID COMPANY ID</v>
      </c>
      <c r="J79" s="9" t="str">
        <f>_xll.SNL.Clients.Office.Excel.Functions.SPG(G79, "SP_COUNTRY_NAME")</f>
        <v>#INVALID COMPANY ID</v>
      </c>
      <c r="K79" t="s">
        <v>281</v>
      </c>
      <c r="L79">
        <v>109290</v>
      </c>
      <c r="M79" t="s">
        <v>297</v>
      </c>
      <c r="N79" s="11">
        <v>0</v>
      </c>
      <c r="O79" s="9" t="str">
        <f>_xll.SNL.Clients.Office.Excel.Functions.SPG(L79, "SP_COUNTRY_NAME")</f>
        <v>USA</v>
      </c>
      <c r="T79" s="9" t="str">
        <f>_xll.SNL.Clients.Office.Excel.Functions.SPG(Q79, "SP_COUNTRY_NAME")</f>
        <v>#INVALID COMPANY ID</v>
      </c>
      <c r="Y79" s="9" t="str">
        <f>_xll.SNL.Clients.Office.Excel.Functions.SPG(V79, "SP_COUNTRY_NAME")</f>
        <v>#INVALID COMPANY ID</v>
      </c>
    </row>
    <row r="80" spans="5:25" x14ac:dyDescent="0.35">
      <c r="E80" s="9" t="str">
        <f>_xll.SNL.Clients.Office.Excel.Functions.SPG(B80, "SP_COUNTRY_NAME")</f>
        <v>#INVALID COMPANY ID</v>
      </c>
      <c r="J80" s="9" t="str">
        <f>_xll.SNL.Clients.Office.Excel.Functions.SPG(G80, "SP_COUNTRY_NAME")</f>
        <v>#INVALID COMPANY ID</v>
      </c>
      <c r="K80" t="s">
        <v>282</v>
      </c>
      <c r="L80">
        <v>4033550</v>
      </c>
      <c r="M80" t="s">
        <v>163</v>
      </c>
      <c r="N80" s="11">
        <v>0</v>
      </c>
      <c r="O80" s="9" t="str">
        <f>_xll.SNL.Clients.Office.Excel.Functions.SPG(L80, "SP_COUNTRY_NAME")</f>
        <v>USA</v>
      </c>
      <c r="T80" s="9" t="str">
        <f>_xll.SNL.Clients.Office.Excel.Functions.SPG(Q80, "SP_COUNTRY_NAME")</f>
        <v>#INVALID COMPANY ID</v>
      </c>
      <c r="Y80" s="9" t="str">
        <f>_xll.SNL.Clients.Office.Excel.Functions.SPG(V80, "SP_COUNTRY_NAME")</f>
        <v>#INVALID COMPANY ID</v>
      </c>
    </row>
    <row r="81" spans="5:25" x14ac:dyDescent="0.35">
      <c r="E81" s="9" t="str">
        <f>_xll.SNL.Clients.Office.Excel.Functions.SPG(B81, "SP_COUNTRY_NAME")</f>
        <v>#INVALID COMPANY ID</v>
      </c>
      <c r="J81" s="9" t="str">
        <f>_xll.SNL.Clients.Office.Excel.Functions.SPG(G81, "SP_COUNTRY_NAME")</f>
        <v>#INVALID COMPANY ID</v>
      </c>
      <c r="K81" t="s">
        <v>183</v>
      </c>
      <c r="L81">
        <v>4578944</v>
      </c>
      <c r="M81" t="s">
        <v>163</v>
      </c>
      <c r="N81" s="11">
        <v>0</v>
      </c>
      <c r="O81" s="9" t="str">
        <f>_xll.SNL.Clients.Office.Excel.Functions.SPG(L81, "SP_COUNTRY_NAME")</f>
        <v>Australia</v>
      </c>
      <c r="T81" s="9" t="str">
        <f>_xll.SNL.Clients.Office.Excel.Functions.SPG(Q81, "SP_COUNTRY_NAME")</f>
        <v>#INVALID COMPANY ID</v>
      </c>
      <c r="Y81" s="9" t="str">
        <f>_xll.SNL.Clients.Office.Excel.Functions.SPG(V81, "SP_COUNTRY_NAME")</f>
        <v>#INVALID COMPANY ID</v>
      </c>
    </row>
    <row r="82" spans="5:25" x14ac:dyDescent="0.35">
      <c r="E82" s="9" t="str">
        <f>_xll.SNL.Clients.Office.Excel.Functions.SPG(B82, "SP_COUNTRY_NAME")</f>
        <v>#INVALID COMPANY ID</v>
      </c>
      <c r="J82" s="9" t="str">
        <f>_xll.SNL.Clients.Office.Excel.Functions.SPG(G82, "SP_COUNTRY_NAME")</f>
        <v>#INVALID COMPANY ID</v>
      </c>
      <c r="K82" t="s">
        <v>283</v>
      </c>
      <c r="L82">
        <v>4115698</v>
      </c>
      <c r="M82" t="s">
        <v>163</v>
      </c>
      <c r="N82" s="11">
        <v>0</v>
      </c>
      <c r="O82" s="9" t="str">
        <f>_xll.SNL.Clients.Office.Excel.Functions.SPG(L82, "SP_COUNTRY_NAME")</f>
        <v>United Kingdom</v>
      </c>
      <c r="T82" s="9" t="str">
        <f>_xll.SNL.Clients.Office.Excel.Functions.SPG(Q82, "SP_COUNTRY_NAME")</f>
        <v>#INVALID COMPANY ID</v>
      </c>
      <c r="Y82" s="9" t="str">
        <f>_xll.SNL.Clients.Office.Excel.Functions.SPG(V82, "SP_COUNTRY_NAME")</f>
        <v>#INVALID COMPANY ID</v>
      </c>
    </row>
    <row r="83" spans="5:25" x14ac:dyDescent="0.35">
      <c r="E83" s="9" t="str">
        <f>_xll.SNL.Clients.Office.Excel.Functions.SPG(B83, "SP_COUNTRY_NAME")</f>
        <v>#INVALID COMPANY ID</v>
      </c>
      <c r="J83" s="9" t="str">
        <f>_xll.SNL.Clients.Office.Excel.Functions.SPG(G83, "SP_COUNTRY_NAME")</f>
        <v>#INVALID COMPANY ID</v>
      </c>
      <c r="K83" t="s">
        <v>284</v>
      </c>
      <c r="L83">
        <v>4378744</v>
      </c>
      <c r="M83" t="s">
        <v>163</v>
      </c>
      <c r="N83" s="11">
        <v>0</v>
      </c>
      <c r="O83" s="9" t="str">
        <f>_xll.SNL.Clients.Office.Excel.Functions.SPG(L83, "SP_COUNTRY_NAME")</f>
        <v>Poland</v>
      </c>
      <c r="T83" s="9" t="str">
        <f>_xll.SNL.Clients.Office.Excel.Functions.SPG(Q83, "SP_COUNTRY_NAME")</f>
        <v>#INVALID COMPANY ID</v>
      </c>
      <c r="Y83" s="9" t="str">
        <f>_xll.SNL.Clients.Office.Excel.Functions.SPG(V83, "SP_COUNTRY_NAME")</f>
        <v>#INVALID COMPANY ID</v>
      </c>
    </row>
    <row r="84" spans="5:25" x14ac:dyDescent="0.35">
      <c r="E84" s="9" t="str">
        <f>_xll.SNL.Clients.Office.Excel.Functions.SPG(B84, "SP_COUNTRY_NAME")</f>
        <v>#INVALID COMPANY ID</v>
      </c>
      <c r="J84" s="9" t="str">
        <f>_xll.SNL.Clients.Office.Excel.Functions.SPG(G84, "SP_COUNTRY_NAME")</f>
        <v>#INVALID COMPANY ID</v>
      </c>
      <c r="K84" t="s">
        <v>190</v>
      </c>
      <c r="L84">
        <v>112247511</v>
      </c>
      <c r="M84" t="s">
        <v>163</v>
      </c>
      <c r="N84" s="11">
        <v>0</v>
      </c>
      <c r="O84" s="9" t="str">
        <f>_xll.SNL.Clients.Office.Excel.Functions.SPG(L84, "SP_COUNTRY_NAME")</f>
        <v>USA</v>
      </c>
      <c r="T84" s="9" t="str">
        <f>_xll.SNL.Clients.Office.Excel.Functions.SPG(Q84, "SP_COUNTRY_NAME")</f>
        <v>#INVALID COMPANY ID</v>
      </c>
      <c r="Y84" s="9" t="str">
        <f>_xll.SNL.Clients.Office.Excel.Functions.SPG(V84, "SP_COUNTRY_NAME")</f>
        <v>#INVALID COMPANY ID</v>
      </c>
    </row>
    <row r="85" spans="5:25" x14ac:dyDescent="0.35">
      <c r="E85" s="9" t="str">
        <f>_xll.SNL.Clients.Office.Excel.Functions.SPG(B85, "SP_COUNTRY_NAME")</f>
        <v>#INVALID COMPANY ID</v>
      </c>
      <c r="J85" s="9" t="str">
        <f>_xll.SNL.Clients.Office.Excel.Functions.SPG(G85, "SP_COUNTRY_NAME")</f>
        <v>#INVALID COMPANY ID</v>
      </c>
      <c r="K85" t="s">
        <v>285</v>
      </c>
      <c r="L85">
        <v>4318598</v>
      </c>
      <c r="M85" t="s">
        <v>163</v>
      </c>
      <c r="N85" s="11">
        <v>0</v>
      </c>
      <c r="O85" s="9" t="str">
        <f>_xll.SNL.Clients.Office.Excel.Functions.SPG(L85, "SP_COUNTRY_NAME")</f>
        <v>USA</v>
      </c>
      <c r="T85" s="9" t="str">
        <f>_xll.SNL.Clients.Office.Excel.Functions.SPG(Q85, "SP_COUNTRY_NAME")</f>
        <v>#INVALID COMPANY ID</v>
      </c>
      <c r="Y85" s="9" t="str">
        <f>_xll.SNL.Clients.Office.Excel.Functions.SPG(V85, "SP_COUNTRY_NAME")</f>
        <v>#INVALID COMPANY ID</v>
      </c>
    </row>
    <row r="86" spans="5:25" x14ac:dyDescent="0.35">
      <c r="E86" s="9" t="str">
        <f>_xll.SNL.Clients.Office.Excel.Functions.SPG(B86, "SP_COUNTRY_NAME")</f>
        <v>#INVALID COMPANY ID</v>
      </c>
      <c r="J86" s="9" t="str">
        <f>_xll.SNL.Clients.Office.Excel.Functions.SPG(G86, "SP_COUNTRY_NAME")</f>
        <v>#INVALID COMPANY ID</v>
      </c>
      <c r="K86" t="s">
        <v>286</v>
      </c>
      <c r="L86">
        <v>4140566</v>
      </c>
      <c r="M86" t="s">
        <v>163</v>
      </c>
      <c r="N86" s="11">
        <v>0</v>
      </c>
      <c r="O86" s="9" t="str">
        <f>_xll.SNL.Clients.Office.Excel.Functions.SPG(L86, "SP_COUNTRY_NAME")</f>
        <v>South Africa</v>
      </c>
      <c r="T86" s="9" t="str">
        <f>_xll.SNL.Clients.Office.Excel.Functions.SPG(Q86, "SP_COUNTRY_NAME")</f>
        <v>#INVALID COMPANY ID</v>
      </c>
      <c r="Y86" s="9" t="str">
        <f>_xll.SNL.Clients.Office.Excel.Functions.SPG(V86, "SP_COUNTRY_NAME")</f>
        <v>#INVALID COMPANY ID</v>
      </c>
    </row>
    <row r="87" spans="5:25" x14ac:dyDescent="0.35">
      <c r="E87" s="9" t="str">
        <f>_xll.SNL.Clients.Office.Excel.Functions.SPG(B87, "SP_COUNTRY_NAME")</f>
        <v>#INVALID COMPANY ID</v>
      </c>
      <c r="J87" s="9" t="str">
        <f>_xll.SNL.Clients.Office.Excel.Functions.SPG(G87, "SP_COUNTRY_NAME")</f>
        <v>#INVALID COMPANY ID</v>
      </c>
      <c r="K87" t="s">
        <v>287</v>
      </c>
      <c r="L87">
        <v>3000896</v>
      </c>
      <c r="M87" t="s">
        <v>163</v>
      </c>
      <c r="N87" s="11">
        <v>0</v>
      </c>
      <c r="O87" s="9" t="str">
        <f>_xll.SNL.Clients.Office.Excel.Functions.SPG(L87, "SP_COUNTRY_NAME")</f>
        <v>USA</v>
      </c>
      <c r="T87" s="9" t="str">
        <f>_xll.SNL.Clients.Office.Excel.Functions.SPG(Q87, "SP_COUNTRY_NAME")</f>
        <v>#INVALID COMPANY ID</v>
      </c>
      <c r="Y87" s="9" t="str">
        <f>_xll.SNL.Clients.Office.Excel.Functions.SPG(V87, "SP_COUNTRY_NAME")</f>
        <v>#INVALID COMPANY ID</v>
      </c>
    </row>
    <row r="88" spans="5:25" x14ac:dyDescent="0.35">
      <c r="E88" s="9" t="str">
        <f>_xll.SNL.Clients.Office.Excel.Functions.SPG(B88, "SP_COUNTRY_NAME")</f>
        <v>#INVALID COMPANY ID</v>
      </c>
      <c r="J88" s="9" t="str">
        <f>_xll.SNL.Clients.Office.Excel.Functions.SPG(G88, "SP_COUNTRY_NAME")</f>
        <v>#INVALID COMPANY ID</v>
      </c>
      <c r="K88" t="s">
        <v>288</v>
      </c>
      <c r="L88">
        <v>4114882</v>
      </c>
      <c r="M88" t="s">
        <v>163</v>
      </c>
      <c r="N88" s="11">
        <v>0</v>
      </c>
      <c r="O88" s="9" t="str">
        <f>_xll.SNL.Clients.Office.Excel.Functions.SPG(L88, "SP_COUNTRY_NAME")</f>
        <v>Canada</v>
      </c>
      <c r="T88" s="9" t="str">
        <f>_xll.SNL.Clients.Office.Excel.Functions.SPG(Q88, "SP_COUNTRY_NAME")</f>
        <v>#INVALID COMPANY ID</v>
      </c>
      <c r="Y88" s="9" t="str">
        <f>_xll.SNL.Clients.Office.Excel.Functions.SPG(V88, "SP_COUNTRY_NAME")</f>
        <v>#INVALID COMPANY ID</v>
      </c>
    </row>
    <row r="89" spans="5:25" x14ac:dyDescent="0.35">
      <c r="E89" s="9" t="str">
        <f>_xll.SNL.Clients.Office.Excel.Functions.SPG(B89, "SP_COUNTRY_NAME")</f>
        <v>#INVALID COMPANY ID</v>
      </c>
      <c r="J89" s="9" t="str">
        <f>_xll.SNL.Clients.Office.Excel.Functions.SPG(G89, "SP_COUNTRY_NAME")</f>
        <v>#INVALID COMPANY ID</v>
      </c>
      <c r="K89" t="s">
        <v>289</v>
      </c>
      <c r="L89">
        <v>4252195</v>
      </c>
      <c r="M89" t="s">
        <v>297</v>
      </c>
      <c r="N89" s="11">
        <v>0</v>
      </c>
      <c r="O89" s="9" t="str">
        <f>_xll.SNL.Clients.Office.Excel.Functions.SPG(L89, "SP_COUNTRY_NAME")</f>
        <v>USA</v>
      </c>
      <c r="T89" s="9" t="str">
        <f>_xll.SNL.Clients.Office.Excel.Functions.SPG(Q89, "SP_COUNTRY_NAME")</f>
        <v>#INVALID COMPANY ID</v>
      </c>
      <c r="Y89" s="9" t="str">
        <f>_xll.SNL.Clients.Office.Excel.Functions.SPG(V89, "SP_COUNTRY_NAME")</f>
        <v>#INVALID COMPANY ID</v>
      </c>
    </row>
    <row r="90" spans="5:25" x14ac:dyDescent="0.35">
      <c r="E90" s="9" t="str">
        <f>_xll.SNL.Clients.Office.Excel.Functions.SPG(B90, "SP_COUNTRY_NAME")</f>
        <v>#INVALID COMPANY ID</v>
      </c>
      <c r="J90" s="9" t="str">
        <f>_xll.SNL.Clients.Office.Excel.Functions.SPG(G90, "SP_COUNTRY_NAME")</f>
        <v>#INVALID COMPANY ID</v>
      </c>
      <c r="K90" t="s">
        <v>290</v>
      </c>
      <c r="L90">
        <v>1023401</v>
      </c>
      <c r="M90" t="s">
        <v>163</v>
      </c>
      <c r="N90" s="11">
        <v>0</v>
      </c>
      <c r="O90" s="9" t="str">
        <f>_xll.SNL.Clients.Office.Excel.Functions.SPG(L90, "SP_COUNTRY_NAME")</f>
        <v>USA</v>
      </c>
      <c r="T90" s="9" t="str">
        <f>_xll.SNL.Clients.Office.Excel.Functions.SPG(Q90, "SP_COUNTRY_NAME")</f>
        <v>#INVALID COMPANY ID</v>
      </c>
      <c r="Y90" s="9" t="str">
        <f>_xll.SNL.Clients.Office.Excel.Functions.SPG(V90, "SP_COUNTRY_NAME")</f>
        <v>#INVALID COMPANY ID</v>
      </c>
    </row>
    <row r="91" spans="5:25" x14ac:dyDescent="0.35">
      <c r="E91" s="9" t="str">
        <f>_xll.SNL.Clients.Office.Excel.Functions.SPG(B91, "SP_COUNTRY_NAME")</f>
        <v>#INVALID COMPANY ID</v>
      </c>
      <c r="J91" s="9" t="str">
        <f>_xll.SNL.Clients.Office.Excel.Functions.SPG(G91, "SP_COUNTRY_NAME")</f>
        <v>#INVALID COMPANY ID</v>
      </c>
      <c r="K91" t="s">
        <v>291</v>
      </c>
      <c r="L91">
        <v>110330</v>
      </c>
      <c r="M91" t="s">
        <v>163</v>
      </c>
      <c r="N91" s="11">
        <v>0</v>
      </c>
      <c r="O91" s="9" t="str">
        <f>_xll.SNL.Clients.Office.Excel.Functions.SPG(L91, "SP_COUNTRY_NAME")</f>
        <v>USA</v>
      </c>
      <c r="T91" s="9" t="str">
        <f>_xll.SNL.Clients.Office.Excel.Functions.SPG(Q91, "SP_COUNTRY_NAME")</f>
        <v>#INVALID COMPANY ID</v>
      </c>
      <c r="Y91" s="9" t="str">
        <f>_xll.SNL.Clients.Office.Excel.Functions.SPG(V91, "SP_COUNTRY_NAME")</f>
        <v>#INVALID COMPANY ID</v>
      </c>
    </row>
    <row r="92" spans="5:25" x14ac:dyDescent="0.35">
      <c r="E92" s="9" t="str">
        <f>_xll.SNL.Clients.Office.Excel.Functions.SPG(B92, "SP_COUNTRY_NAME")</f>
        <v>#INVALID COMPANY ID</v>
      </c>
      <c r="J92" s="9" t="str">
        <f>_xll.SNL.Clients.Office.Excel.Functions.SPG(G92, "SP_COUNTRY_NAME")</f>
        <v>#INVALID COMPANY ID</v>
      </c>
      <c r="K92" t="s">
        <v>197</v>
      </c>
      <c r="L92">
        <v>109776</v>
      </c>
      <c r="M92" t="s">
        <v>163</v>
      </c>
      <c r="N92" s="11">
        <v>0</v>
      </c>
      <c r="O92" s="9" t="str">
        <f>_xll.SNL.Clients.Office.Excel.Functions.SPG(L92, "SP_COUNTRY_NAME")</f>
        <v>USA</v>
      </c>
      <c r="T92" s="9" t="str">
        <f>_xll.SNL.Clients.Office.Excel.Functions.SPG(Q92, "SP_COUNTRY_NAME")</f>
        <v>#INVALID COMPANY ID</v>
      </c>
      <c r="Y92" s="9" t="str">
        <f>_xll.SNL.Clients.Office.Excel.Functions.SPG(V92, "SP_COUNTRY_NAME")</f>
        <v>#INVALID COMPANY ID</v>
      </c>
    </row>
    <row r="93" spans="5:25" x14ac:dyDescent="0.35">
      <c r="E93" s="9" t="str">
        <f>_xll.SNL.Clients.Office.Excel.Functions.SPG(B93, "SP_COUNTRY_NAME")</f>
        <v>#INVALID COMPANY ID</v>
      </c>
      <c r="J93" s="9" t="str">
        <f>_xll.SNL.Clients.Office.Excel.Functions.SPG(G93, "SP_COUNTRY_NAME")</f>
        <v>#INVALID COMPANY ID</v>
      </c>
      <c r="K93" t="s">
        <v>292</v>
      </c>
      <c r="L93">
        <v>20313223</v>
      </c>
      <c r="M93" t="s">
        <v>297</v>
      </c>
      <c r="N93" s="11">
        <v>0</v>
      </c>
      <c r="O93" s="9" t="str">
        <f>_xll.SNL.Clients.Office.Excel.Functions.SPG(L93, "SP_COUNTRY_NAME")</f>
        <v>Hong Kong</v>
      </c>
      <c r="T93" s="9" t="str">
        <f>_xll.SNL.Clients.Office.Excel.Functions.SPG(Q93, "SP_COUNTRY_NAME")</f>
        <v>#INVALID COMPANY ID</v>
      </c>
      <c r="Y93" s="9" t="str">
        <f>_xll.SNL.Clients.Office.Excel.Functions.SPG(V93, "SP_COUNTRY_NAME")</f>
        <v>#INVALID COMPANY ID</v>
      </c>
    </row>
    <row r="94" spans="5:25" x14ac:dyDescent="0.35">
      <c r="E94" s="9" t="str">
        <f>_xll.SNL.Clients.Office.Excel.Functions.SPG(B94, "SP_COUNTRY_NAME")</f>
        <v>#INVALID COMPANY ID</v>
      </c>
      <c r="J94" s="9" t="str">
        <f>_xll.SNL.Clients.Office.Excel.Functions.SPG(G94, "SP_COUNTRY_NAME")</f>
        <v>#INVALID COMPANY ID</v>
      </c>
      <c r="K94" t="s">
        <v>293</v>
      </c>
      <c r="L94">
        <v>4251523</v>
      </c>
      <c r="M94" t="s">
        <v>297</v>
      </c>
      <c r="N94" s="11">
        <v>-0.47</v>
      </c>
      <c r="O94" s="9" t="str">
        <f>_xll.SNL.Clients.Office.Excel.Functions.SPG(L94, "SP_COUNTRY_NAME")</f>
        <v>USA</v>
      </c>
      <c r="T94" s="9" t="str">
        <f>_xll.SNL.Clients.Office.Excel.Functions.SPG(Q94, "SP_COUNTRY_NAME")</f>
        <v>#INVALID COMPANY ID</v>
      </c>
      <c r="Y94" s="9" t="str">
        <f>_xll.SNL.Clients.Office.Excel.Functions.SPG(V94, "SP_COUNTRY_NAME")</f>
        <v>#INVALID COMPANY ID</v>
      </c>
    </row>
    <row r="95" spans="5:25" x14ac:dyDescent="0.35">
      <c r="E95" s="9" t="str">
        <f>_xll.SNL.Clients.Office.Excel.Functions.SPG(B95, "SP_COUNTRY_NAME")</f>
        <v>#INVALID COMPANY ID</v>
      </c>
      <c r="J95" s="9" t="str">
        <f>_xll.SNL.Clients.Office.Excel.Functions.SPG(G95, "SP_COUNTRY_NAME")</f>
        <v>#INVALID COMPANY ID</v>
      </c>
      <c r="K95" t="s">
        <v>294</v>
      </c>
      <c r="L95">
        <v>4135463</v>
      </c>
      <c r="M95" t="s">
        <v>297</v>
      </c>
      <c r="N95" s="11">
        <v>-0.83</v>
      </c>
      <c r="O95" s="9" t="str">
        <f>_xll.SNL.Clients.Office.Excel.Functions.SPG(L95, "SP_COUNTRY_NAME")</f>
        <v>USA</v>
      </c>
      <c r="T95" s="9" t="str">
        <f>_xll.SNL.Clients.Office.Excel.Functions.SPG(Q95, "SP_COUNTRY_NAME")</f>
        <v>#INVALID COMPANY ID</v>
      </c>
      <c r="Y95" s="9" t="str">
        <f>_xll.SNL.Clients.Office.Excel.Functions.SPG(V95, "SP_COUNTRY_NAME")</f>
        <v>#INVALID COMPANY ID</v>
      </c>
    </row>
    <row r="96" spans="5:25" x14ac:dyDescent="0.35">
      <c r="E96" s="9" t="str">
        <f>_xll.SNL.Clients.Office.Excel.Functions.SPG(B96, "SP_COUNTRY_NAME")</f>
        <v>#INVALID COMPANY ID</v>
      </c>
      <c r="J96" s="9" t="str">
        <f>_xll.SNL.Clients.Office.Excel.Functions.SPG(G96, "SP_COUNTRY_NAME")</f>
        <v>#INVALID COMPANY ID</v>
      </c>
      <c r="K96" t="s">
        <v>295</v>
      </c>
      <c r="L96">
        <v>4135061</v>
      </c>
      <c r="M96" t="s">
        <v>297</v>
      </c>
      <c r="N96" s="11">
        <v>-0.91</v>
      </c>
      <c r="O96" s="9" t="str">
        <f>_xll.SNL.Clients.Office.Excel.Functions.SPG(L96, "SP_COUNTRY_NAME")</f>
        <v>United Kingdom</v>
      </c>
      <c r="T96" s="9" t="str">
        <f>_xll.SNL.Clients.Office.Excel.Functions.SPG(Q96, "SP_COUNTRY_NAME")</f>
        <v>#INVALID COMPANY ID</v>
      </c>
      <c r="Y96" s="9" t="str">
        <f>_xll.SNL.Clients.Office.Excel.Functions.SPG(V96, "SP_COUNTRY_NAME")</f>
        <v>#INVALID COMPANY ID</v>
      </c>
    </row>
    <row r="97" spans="5:25" x14ac:dyDescent="0.35">
      <c r="E97" s="9" t="str">
        <f>_xll.SNL.Clients.Office.Excel.Functions.SPG(B97, "SP_COUNTRY_NAME")</f>
        <v>#INVALID COMPANY ID</v>
      </c>
      <c r="J97" s="9" t="str">
        <f>_xll.SNL.Clients.Office.Excel.Functions.SPG(G97, "SP_COUNTRY_NAME")</f>
        <v>#INVALID COMPANY ID</v>
      </c>
      <c r="O97" s="9" t="str">
        <f>_xll.SNL.Clients.Office.Excel.Functions.SPG(L97, "SP_COUNTRY_NAME")</f>
        <v>#INVALID COMPANY ID</v>
      </c>
      <c r="T97" s="9" t="str">
        <f>_xll.SNL.Clients.Office.Excel.Functions.SPG(Q97, "SP_COUNTRY_NAME")</f>
        <v>#INVALID COMPANY ID</v>
      </c>
      <c r="Y97" s="9" t="str">
        <f>_xll.SNL.Clients.Office.Excel.Functions.SPG(V97, "SP_COUNTRY_NAME")</f>
        <v>#INVALID COMPANY ID</v>
      </c>
    </row>
    <row r="98" spans="5:25" x14ac:dyDescent="0.35">
      <c r="E98" s="9" t="str">
        <f>_xll.SNL.Clients.Office.Excel.Functions.SPG(B98, "SP_COUNTRY_NAME")</f>
        <v>#INVALID COMPANY ID</v>
      </c>
      <c r="J98" s="9" t="str">
        <f>_xll.SNL.Clients.Office.Excel.Functions.SPG(G98, "SP_COUNTRY_NAME")</f>
        <v>#INVALID COMPANY ID</v>
      </c>
      <c r="O98" s="9" t="str">
        <f>_xll.SNL.Clients.Office.Excel.Functions.SPG(L98, "SP_COUNTRY_NAME")</f>
        <v>#INVALID COMPANY ID</v>
      </c>
      <c r="T98" s="9" t="str">
        <f>_xll.SNL.Clients.Office.Excel.Functions.SPG(Q98, "SP_COUNTRY_NAME")</f>
        <v>#INVALID COMPANY ID</v>
      </c>
      <c r="Y98" s="9" t="str">
        <f>_xll.SNL.Clients.Office.Excel.Functions.SPG(V98, "SP_COUNTRY_NAME")</f>
        <v>#INVALID COMPANY ID</v>
      </c>
    </row>
    <row r="99" spans="5:25" x14ac:dyDescent="0.35">
      <c r="E99" s="9" t="str">
        <f>_xll.SNL.Clients.Office.Excel.Functions.SPG(B99, "SP_COUNTRY_NAME")</f>
        <v>#INVALID COMPANY ID</v>
      </c>
      <c r="J99" s="9" t="str">
        <f>_xll.SNL.Clients.Office.Excel.Functions.SPG(G99, "SP_COUNTRY_NAME")</f>
        <v>#INVALID COMPANY ID</v>
      </c>
      <c r="O99" s="9" t="str">
        <f>_xll.SNL.Clients.Office.Excel.Functions.SPG(L99, "SP_COUNTRY_NAME")</f>
        <v>#INVALID COMPANY ID</v>
      </c>
      <c r="T99" s="9" t="str">
        <f>_xll.SNL.Clients.Office.Excel.Functions.SPG(Q99, "SP_COUNTRY_NAME")</f>
        <v>#INVALID COMPANY ID</v>
      </c>
      <c r="Y99" s="9" t="str">
        <f>_xll.SNL.Clients.Office.Excel.Functions.SPG(V99, "SP_COUNTRY_NAME")</f>
        <v>#INVALID COMPANY ID</v>
      </c>
    </row>
    <row r="100" spans="5:25" x14ac:dyDescent="0.35">
      <c r="E100" s="9" t="str">
        <f>_xll.SNL.Clients.Office.Excel.Functions.SPG(B100, "SP_COUNTRY_NAME")</f>
        <v>#INVALID COMPANY ID</v>
      </c>
      <c r="J100" s="9" t="str">
        <f>_xll.SNL.Clients.Office.Excel.Functions.SPG(G100, "SP_COUNTRY_NAME")</f>
        <v>#INVALID COMPANY ID</v>
      </c>
      <c r="O100" s="9" t="str">
        <f>_xll.SNL.Clients.Office.Excel.Functions.SPG(L100, "SP_COUNTRY_NAME")</f>
        <v>#INVALID COMPANY ID</v>
      </c>
      <c r="T100" s="9" t="str">
        <f>_xll.SNL.Clients.Office.Excel.Functions.SPG(Q100, "SP_COUNTRY_NAME")</f>
        <v>#INVALID COMPANY ID</v>
      </c>
      <c r="Y100" s="9" t="str">
        <f>_xll.SNL.Clients.Office.Excel.Functions.SPG(V100, "SP_COUNTRY_NAME")</f>
        <v>#INVALID COMPANY ID</v>
      </c>
    </row>
    <row r="101" spans="5:25" x14ac:dyDescent="0.35">
      <c r="E101" s="9" t="str">
        <f>_xll.SNL.Clients.Office.Excel.Functions.SPG(B101, "SP_COUNTRY_NAME")</f>
        <v>#INVALID COMPANY ID</v>
      </c>
      <c r="J101" s="9" t="str">
        <f>_xll.SNL.Clients.Office.Excel.Functions.SPG(G101, "SP_COUNTRY_NAME")</f>
        <v>#INVALID COMPANY ID</v>
      </c>
      <c r="O101" s="9" t="str">
        <f>_xll.SNL.Clients.Office.Excel.Functions.SPG(L101, "SP_COUNTRY_NAME")</f>
        <v>#INVALID COMPANY ID</v>
      </c>
      <c r="T101" s="9" t="str">
        <f>_xll.SNL.Clients.Office.Excel.Functions.SPG(Q101, "SP_COUNTRY_NAME")</f>
        <v>#INVALID COMPANY ID</v>
      </c>
      <c r="Y101" s="9" t="str">
        <f>_xll.SNL.Clients.Office.Excel.Functions.SPG(V101, "SP_COUNTRY_NAME")</f>
        <v>#INVALID COMPANY ID</v>
      </c>
    </row>
    <row r="102" spans="5:25" x14ac:dyDescent="0.35">
      <c r="E102" s="9" t="str">
        <f>_xll.SNL.Clients.Office.Excel.Functions.SPG(B102, "SP_COUNTRY_NAME")</f>
        <v>#INVALID COMPANY ID</v>
      </c>
      <c r="J102" s="9" t="str">
        <f>_xll.SNL.Clients.Office.Excel.Functions.SPG(G102, "SP_COUNTRY_NAME")</f>
        <v>#INVALID COMPANY ID</v>
      </c>
      <c r="O102" s="9" t="str">
        <f>_xll.SNL.Clients.Office.Excel.Functions.SPG(L102, "SP_COUNTRY_NAME")</f>
        <v>#INVALID COMPANY ID</v>
      </c>
      <c r="T102" s="9" t="str">
        <f>_xll.SNL.Clients.Office.Excel.Functions.SPG(Q102, "SP_COUNTRY_NAME")</f>
        <v>#INVALID COMPANY ID</v>
      </c>
      <c r="Y102" s="9" t="str">
        <f>_xll.SNL.Clients.Office.Excel.Functions.SPG(V102, "SP_COUNTRY_NAME")</f>
        <v>#INVALID COMPANY ID</v>
      </c>
    </row>
    <row r="103" spans="5:25" x14ac:dyDescent="0.35">
      <c r="E103" s="9" t="str">
        <f>_xll.SNL.Clients.Office.Excel.Functions.SPG(B103, "SP_COUNTRY_NAME")</f>
        <v>#INVALID COMPANY ID</v>
      </c>
      <c r="J103" s="9" t="str">
        <f>_xll.SNL.Clients.Office.Excel.Functions.SPG(G103, "SP_COUNTRY_NAME")</f>
        <v>#INVALID COMPANY ID</v>
      </c>
      <c r="O103" s="9" t="str">
        <f>_xll.SNL.Clients.Office.Excel.Functions.SPG(L103, "SP_COUNTRY_NAME")</f>
        <v>#INVALID COMPANY ID</v>
      </c>
      <c r="T103" s="9" t="str">
        <f>_xll.SNL.Clients.Office.Excel.Functions.SPG(Q103, "SP_COUNTRY_NAME")</f>
        <v>#INVALID COMPANY ID</v>
      </c>
      <c r="Y103" s="9" t="str">
        <f>_xll.SNL.Clients.Office.Excel.Functions.SPG(V103, "SP_COUNTRY_NAME")</f>
        <v>#INVALID COMPANY ID</v>
      </c>
    </row>
    <row r="104" spans="5:25" x14ac:dyDescent="0.35">
      <c r="E104" s="9" t="str">
        <f>_xll.SNL.Clients.Office.Excel.Functions.SPG(B104, "SP_COUNTRY_NAME")</f>
        <v>#INVALID COMPANY ID</v>
      </c>
      <c r="J104" s="9" t="str">
        <f>_xll.SNL.Clients.Office.Excel.Functions.SPG(G104, "SP_COUNTRY_NAME")</f>
        <v>#INVALID COMPANY ID</v>
      </c>
      <c r="O104" s="9" t="str">
        <f>_xll.SNL.Clients.Office.Excel.Functions.SPG(L104, "SP_COUNTRY_NAME")</f>
        <v>#INVALID COMPANY ID</v>
      </c>
      <c r="T104" s="9" t="str">
        <f>_xll.SNL.Clients.Office.Excel.Functions.SPG(Q104, "SP_COUNTRY_NAME")</f>
        <v>#INVALID COMPANY ID</v>
      </c>
      <c r="Y104" s="9" t="str">
        <f>_xll.SNL.Clients.Office.Excel.Functions.SPG(V104, "SP_COUNTRY_NAME")</f>
        <v>#INVALID COMPANY ID</v>
      </c>
    </row>
    <row r="105" spans="5:25" x14ac:dyDescent="0.35">
      <c r="E105" s="9" t="str">
        <f>_xll.SNL.Clients.Office.Excel.Functions.SPG(B105, "SP_COUNTRY_NAME")</f>
        <v>#INVALID COMPANY ID</v>
      </c>
      <c r="J105" s="9" t="str">
        <f>_xll.SNL.Clients.Office.Excel.Functions.SPG(G105, "SP_COUNTRY_NAME")</f>
        <v>#INVALID COMPANY ID</v>
      </c>
      <c r="O105" s="9" t="str">
        <f>_xll.SNL.Clients.Office.Excel.Functions.SPG(L105, "SP_COUNTRY_NAME")</f>
        <v>#INVALID COMPANY ID</v>
      </c>
      <c r="T105" s="9" t="str">
        <f>_xll.SNL.Clients.Office.Excel.Functions.SPG(Q105, "SP_COUNTRY_NAME")</f>
        <v>#INVALID COMPANY ID</v>
      </c>
      <c r="Y105" s="9" t="str">
        <f>_xll.SNL.Clients.Office.Excel.Functions.SPG(V105, "SP_COUNTRY_NAME")</f>
        <v>#INVALID COMPANY ID</v>
      </c>
    </row>
    <row r="106" spans="5:25" x14ac:dyDescent="0.35">
      <c r="E106" s="9" t="str">
        <f>_xll.SNL.Clients.Office.Excel.Functions.SPG(B106, "SP_COUNTRY_NAME")</f>
        <v>#INVALID COMPANY ID</v>
      </c>
      <c r="J106" s="9" t="str">
        <f>_xll.SNL.Clients.Office.Excel.Functions.SPG(G106, "SP_COUNTRY_NAME")</f>
        <v>#INVALID COMPANY ID</v>
      </c>
      <c r="O106" s="9" t="str">
        <f>_xll.SNL.Clients.Office.Excel.Functions.SPG(L106, "SP_COUNTRY_NAME")</f>
        <v>#INVALID COMPANY ID</v>
      </c>
      <c r="T106" s="9" t="str">
        <f>_xll.SNL.Clients.Office.Excel.Functions.SPG(Q106, "SP_COUNTRY_NAME")</f>
        <v>#INVALID COMPANY ID</v>
      </c>
      <c r="Y106" s="9" t="str">
        <f>_xll.SNL.Clients.Office.Excel.Functions.SPG(V106, "SP_COUNTRY_NAME")</f>
        <v>#INVALID COMPANY ID</v>
      </c>
    </row>
    <row r="107" spans="5:25" x14ac:dyDescent="0.35">
      <c r="E107" s="9" t="str">
        <f>_xll.SNL.Clients.Office.Excel.Functions.SPG(B107, "SP_COUNTRY_NAME")</f>
        <v>#INVALID COMPANY ID</v>
      </c>
      <c r="J107" s="9" t="str">
        <f>_xll.SNL.Clients.Office.Excel.Functions.SPG(G107, "SP_COUNTRY_NAME")</f>
        <v>#INVALID COMPANY ID</v>
      </c>
      <c r="O107" s="9" t="str">
        <f>_xll.SNL.Clients.Office.Excel.Functions.SPG(L107, "SP_COUNTRY_NAME")</f>
        <v>#INVALID COMPANY ID</v>
      </c>
      <c r="T107" s="9" t="str">
        <f>_xll.SNL.Clients.Office.Excel.Functions.SPG(Q107, "SP_COUNTRY_NAME")</f>
        <v>#INVALID COMPANY ID</v>
      </c>
      <c r="Y107" s="9" t="str">
        <f>_xll.SNL.Clients.Office.Excel.Functions.SPG(V107, "SP_COUNTRY_NAME")</f>
        <v>#INVALID COMPANY ID</v>
      </c>
    </row>
    <row r="108" spans="5:25" x14ac:dyDescent="0.35">
      <c r="E108" s="9" t="str">
        <f>_xll.SNL.Clients.Office.Excel.Functions.SPG(B108, "SP_COUNTRY_NAME")</f>
        <v>#INVALID COMPANY ID</v>
      </c>
      <c r="J108" s="9" t="str">
        <f>_xll.SNL.Clients.Office.Excel.Functions.SPG(G108, "SP_COUNTRY_NAME")</f>
        <v>#INVALID COMPANY ID</v>
      </c>
      <c r="O108" s="9" t="str">
        <f>_xll.SNL.Clients.Office.Excel.Functions.SPG(L108, "SP_COUNTRY_NAME")</f>
        <v>#INVALID COMPANY ID</v>
      </c>
      <c r="T108" s="9" t="str">
        <f>_xll.SNL.Clients.Office.Excel.Functions.SPG(Q108, "SP_COUNTRY_NAME")</f>
        <v>#INVALID COMPANY ID</v>
      </c>
      <c r="Y108" s="9" t="str">
        <f>_xll.SNL.Clients.Office.Excel.Functions.SPG(V108, "SP_COUNTRY_NAME")</f>
        <v>#INVALID COMPANY ID</v>
      </c>
    </row>
    <row r="109" spans="5:25" x14ac:dyDescent="0.35">
      <c r="E109" s="9" t="str">
        <f>_xll.SNL.Clients.Office.Excel.Functions.SPG(B109, "SP_COUNTRY_NAME")</f>
        <v>#INVALID COMPANY ID</v>
      </c>
      <c r="J109" s="9" t="str">
        <f>_xll.SNL.Clients.Office.Excel.Functions.SPG(G109, "SP_COUNTRY_NAME")</f>
        <v>#INVALID COMPANY ID</v>
      </c>
      <c r="O109" s="9" t="str">
        <f>_xll.SNL.Clients.Office.Excel.Functions.SPG(L109, "SP_COUNTRY_NAME")</f>
        <v>#INVALID COMPANY ID</v>
      </c>
      <c r="T109" s="9" t="str">
        <f>_xll.SNL.Clients.Office.Excel.Functions.SPG(Q109, "SP_COUNTRY_NAME")</f>
        <v>#INVALID COMPANY ID</v>
      </c>
      <c r="Y109" s="9" t="str">
        <f>_xll.SNL.Clients.Office.Excel.Functions.SPG(V109, "SP_COUNTRY_NAME")</f>
        <v>#INVALID COMPANY ID</v>
      </c>
    </row>
    <row r="110" spans="5:25" x14ac:dyDescent="0.35">
      <c r="E110" s="9" t="str">
        <f>_xll.SNL.Clients.Office.Excel.Functions.SPG(B110, "SP_COUNTRY_NAME")</f>
        <v>#INVALID COMPANY ID</v>
      </c>
      <c r="J110" s="9" t="str">
        <f>_xll.SNL.Clients.Office.Excel.Functions.SPG(G110, "SP_COUNTRY_NAME")</f>
        <v>#INVALID COMPANY ID</v>
      </c>
      <c r="O110" s="9" t="str">
        <f>_xll.SNL.Clients.Office.Excel.Functions.SPG(L110, "SP_COUNTRY_NAME")</f>
        <v>#INVALID COMPANY ID</v>
      </c>
      <c r="T110" s="9" t="str">
        <f>_xll.SNL.Clients.Office.Excel.Functions.SPG(Q110, "SP_COUNTRY_NAME")</f>
        <v>#INVALID COMPANY ID</v>
      </c>
      <c r="Y110" s="9" t="str">
        <f>_xll.SNL.Clients.Office.Excel.Functions.SPG(V110, "SP_COUNTRY_NAME")</f>
        <v>#INVALID COMPANY ID</v>
      </c>
    </row>
    <row r="111" spans="5:25" x14ac:dyDescent="0.35">
      <c r="E111" s="9" t="str">
        <f>_xll.SNL.Clients.Office.Excel.Functions.SPG(B111, "SP_COUNTRY_NAME")</f>
        <v>#INVALID COMPANY ID</v>
      </c>
      <c r="J111" s="9" t="str">
        <f>_xll.SNL.Clients.Office.Excel.Functions.SPG(G111, "SP_COUNTRY_NAME")</f>
        <v>#INVALID COMPANY ID</v>
      </c>
      <c r="O111" s="9" t="str">
        <f>_xll.SNL.Clients.Office.Excel.Functions.SPG(L111, "SP_COUNTRY_NAME")</f>
        <v>#INVALID COMPANY ID</v>
      </c>
      <c r="T111" s="9" t="str">
        <f>_xll.SNL.Clients.Office.Excel.Functions.SPG(Q111, "SP_COUNTRY_NAME")</f>
        <v>#INVALID COMPANY ID</v>
      </c>
      <c r="Y111" s="9" t="str">
        <f>_xll.SNL.Clients.Office.Excel.Functions.SPG(V111, "SP_COUNTRY_NAME")</f>
        <v>#INVALID COMPANY ID</v>
      </c>
    </row>
    <row r="112" spans="5:25" x14ac:dyDescent="0.35">
      <c r="E112" s="9" t="str">
        <f>_xll.SNL.Clients.Office.Excel.Functions.SPG(B112, "SP_COUNTRY_NAME")</f>
        <v>#INVALID COMPANY ID</v>
      </c>
      <c r="J112" s="9" t="str">
        <f>_xll.SNL.Clients.Office.Excel.Functions.SPG(G112, "SP_COUNTRY_NAME")</f>
        <v>#INVALID COMPANY ID</v>
      </c>
      <c r="O112" s="9" t="str">
        <f>_xll.SNL.Clients.Office.Excel.Functions.SPG(L112, "SP_COUNTRY_NAME")</f>
        <v>#INVALID COMPANY ID</v>
      </c>
      <c r="T112" s="9" t="str">
        <f>_xll.SNL.Clients.Office.Excel.Functions.SPG(Q112, "SP_COUNTRY_NAME")</f>
        <v>#INVALID COMPANY ID</v>
      </c>
      <c r="Y112" s="9" t="str">
        <f>_xll.SNL.Clients.Office.Excel.Functions.SPG(V112, "SP_COUNTRY_NAME")</f>
        <v>#INVALID COMPANY ID</v>
      </c>
    </row>
    <row r="113" spans="5:25" x14ac:dyDescent="0.35">
      <c r="E113" s="9" t="str">
        <f>_xll.SNL.Clients.Office.Excel.Functions.SPG(B113, "SP_COUNTRY_NAME")</f>
        <v>#INVALID COMPANY ID</v>
      </c>
      <c r="J113" s="9" t="str">
        <f>_xll.SNL.Clients.Office.Excel.Functions.SPG(G113, "SP_COUNTRY_NAME")</f>
        <v>#INVALID COMPANY ID</v>
      </c>
      <c r="O113" s="9" t="str">
        <f>_xll.SNL.Clients.Office.Excel.Functions.SPG(L113, "SP_COUNTRY_NAME")</f>
        <v>#INVALID COMPANY ID</v>
      </c>
      <c r="T113" s="9" t="str">
        <f>_xll.SNL.Clients.Office.Excel.Functions.SPG(Q113, "SP_COUNTRY_NAME")</f>
        <v>#INVALID COMPANY ID</v>
      </c>
      <c r="Y113" s="9" t="str">
        <f>_xll.SNL.Clients.Office.Excel.Functions.SPG(V113, "SP_COUNTRY_NAME")</f>
        <v>#INVALID COMPANY ID</v>
      </c>
    </row>
    <row r="114" spans="5:25" x14ac:dyDescent="0.35">
      <c r="E114" s="9" t="str">
        <f>_xll.SNL.Clients.Office.Excel.Functions.SPG(B114, "SP_COUNTRY_NAME")</f>
        <v>#INVALID COMPANY ID</v>
      </c>
      <c r="J114" s="9" t="str">
        <f>_xll.SNL.Clients.Office.Excel.Functions.SPG(G114, "SP_COUNTRY_NAME")</f>
        <v>#INVALID COMPANY ID</v>
      </c>
      <c r="O114" s="9" t="str">
        <f>_xll.SNL.Clients.Office.Excel.Functions.SPG(L114, "SP_COUNTRY_NAME")</f>
        <v>#INVALID COMPANY ID</v>
      </c>
      <c r="T114" s="9" t="str">
        <f>_xll.SNL.Clients.Office.Excel.Functions.SPG(Q114, "SP_COUNTRY_NAME")</f>
        <v>#INVALID COMPANY ID</v>
      </c>
      <c r="Y114" s="9" t="str">
        <f>_xll.SNL.Clients.Office.Excel.Functions.SPG(V114, "SP_COUNTRY_NAME")</f>
        <v>#INVALID COMPANY ID</v>
      </c>
    </row>
    <row r="115" spans="5:25" x14ac:dyDescent="0.35">
      <c r="E115" s="9" t="str">
        <f>_xll.SNL.Clients.Office.Excel.Functions.SPG(B115, "SP_COUNTRY_NAME")</f>
        <v>#INVALID COMPANY ID</v>
      </c>
      <c r="J115" s="9" t="str">
        <f>_xll.SNL.Clients.Office.Excel.Functions.SPG(G115, "SP_COUNTRY_NAME")</f>
        <v>#INVALID COMPANY ID</v>
      </c>
      <c r="O115" s="9" t="str">
        <f>_xll.SNL.Clients.Office.Excel.Functions.SPG(L115, "SP_COUNTRY_NAME")</f>
        <v>#INVALID COMPANY ID</v>
      </c>
      <c r="T115" s="9" t="str">
        <f>_xll.SNL.Clients.Office.Excel.Functions.SPG(Q115, "SP_COUNTRY_NAME")</f>
        <v>#INVALID COMPANY ID</v>
      </c>
      <c r="Y115" s="9" t="str">
        <f>_xll.SNL.Clients.Office.Excel.Functions.SPG(V115, "SP_COUNTRY_NAME")</f>
        <v>#INVALID COMPANY ID</v>
      </c>
    </row>
    <row r="116" spans="5:25" x14ac:dyDescent="0.35">
      <c r="E116" s="9" t="str">
        <f>_xll.SNL.Clients.Office.Excel.Functions.SPG(B116, "SP_COUNTRY_NAME")</f>
        <v>#INVALID COMPANY ID</v>
      </c>
      <c r="J116" s="9" t="str">
        <f>_xll.SNL.Clients.Office.Excel.Functions.SPG(G116, "SP_COUNTRY_NAME")</f>
        <v>#INVALID COMPANY ID</v>
      </c>
      <c r="O116" s="9" t="str">
        <f>_xll.SNL.Clients.Office.Excel.Functions.SPG(L116, "SP_COUNTRY_NAME")</f>
        <v>#INVALID COMPANY ID</v>
      </c>
      <c r="T116" s="9" t="str">
        <f>_xll.SNL.Clients.Office.Excel.Functions.SPG(Q116, "SP_COUNTRY_NAME")</f>
        <v>#INVALID COMPANY ID</v>
      </c>
      <c r="Y116" s="9" t="str">
        <f>_xll.SNL.Clients.Office.Excel.Functions.SPG(V116, "SP_COUNTRY_NAME")</f>
        <v>#INVALID COMPANY ID</v>
      </c>
    </row>
    <row r="117" spans="5:25" x14ac:dyDescent="0.35">
      <c r="E117" s="9" t="str">
        <f>_xll.SNL.Clients.Office.Excel.Functions.SPG(B117, "SP_COUNTRY_NAME")</f>
        <v>#INVALID COMPANY ID</v>
      </c>
      <c r="J117" s="9" t="str">
        <f>_xll.SNL.Clients.Office.Excel.Functions.SPG(G117, "SP_COUNTRY_NAME")</f>
        <v>#INVALID COMPANY ID</v>
      </c>
      <c r="O117" s="9" t="str">
        <f>_xll.SNL.Clients.Office.Excel.Functions.SPG(L117, "SP_COUNTRY_NAME")</f>
        <v>#INVALID COMPANY ID</v>
      </c>
      <c r="T117" s="9" t="str">
        <f>_xll.SNL.Clients.Office.Excel.Functions.SPG(Q117, "SP_COUNTRY_NAME")</f>
        <v>#INVALID COMPANY ID</v>
      </c>
      <c r="Y117" s="9" t="str">
        <f>_xll.SNL.Clients.Office.Excel.Functions.SPG(V117, "SP_COUNTRY_NAME")</f>
        <v>#INVALID COMPANY ID</v>
      </c>
    </row>
    <row r="118" spans="5:25" x14ac:dyDescent="0.35">
      <c r="E118" s="9" t="str">
        <f>_xll.SNL.Clients.Office.Excel.Functions.SPG(B118, "SP_COUNTRY_NAME")</f>
        <v>#INVALID COMPANY ID</v>
      </c>
      <c r="J118" s="9" t="str">
        <f>_xll.SNL.Clients.Office.Excel.Functions.SPG(G118, "SP_COUNTRY_NAME")</f>
        <v>#INVALID COMPANY ID</v>
      </c>
      <c r="O118" s="9" t="str">
        <f>_xll.SNL.Clients.Office.Excel.Functions.SPG(L118, "SP_COUNTRY_NAME")</f>
        <v>#INVALID COMPANY ID</v>
      </c>
      <c r="T118" s="9" t="str">
        <f>_xll.SNL.Clients.Office.Excel.Functions.SPG(Q118, "SP_COUNTRY_NAME")</f>
        <v>#INVALID COMPANY ID</v>
      </c>
      <c r="Y118" s="9" t="str">
        <f>_xll.SNL.Clients.Office.Excel.Functions.SPG(V118, "SP_COUNTRY_NAME")</f>
        <v>#INVALID COMPANY ID</v>
      </c>
    </row>
    <row r="119" spans="5:25" x14ac:dyDescent="0.35">
      <c r="E119" s="9" t="str">
        <f>_xll.SNL.Clients.Office.Excel.Functions.SPG(B119, "SP_COUNTRY_NAME")</f>
        <v>#INVALID COMPANY ID</v>
      </c>
      <c r="J119" s="9" t="str">
        <f>_xll.SNL.Clients.Office.Excel.Functions.SPG(G119, "SP_COUNTRY_NAME")</f>
        <v>#INVALID COMPANY ID</v>
      </c>
      <c r="O119" s="9" t="str">
        <f>_xll.SNL.Clients.Office.Excel.Functions.SPG(L119, "SP_COUNTRY_NAME")</f>
        <v>#INVALID COMPANY ID</v>
      </c>
      <c r="T119" s="9" t="str">
        <f>_xll.SNL.Clients.Office.Excel.Functions.SPG(Q119, "SP_COUNTRY_NAME")</f>
        <v>#INVALID COMPANY ID</v>
      </c>
      <c r="Y119" s="9" t="str">
        <f>_xll.SNL.Clients.Office.Excel.Functions.SPG(V119, "SP_COUNTRY_NAME")</f>
        <v>#INVALID COMPANY ID</v>
      </c>
    </row>
    <row r="120" spans="5:25" x14ac:dyDescent="0.35">
      <c r="E120" s="9" t="str">
        <f>_xll.SNL.Clients.Office.Excel.Functions.SPG(B120, "SP_COUNTRY_NAME")</f>
        <v>#INVALID COMPANY ID</v>
      </c>
      <c r="J120" s="9" t="str">
        <f>_xll.SNL.Clients.Office.Excel.Functions.SPG(G120, "SP_COUNTRY_NAME")</f>
        <v>#INVALID COMPANY ID</v>
      </c>
      <c r="O120" s="9" t="str">
        <f>_xll.SNL.Clients.Office.Excel.Functions.SPG(L120, "SP_COUNTRY_NAME")</f>
        <v>#INVALID COMPANY ID</v>
      </c>
      <c r="T120" s="9" t="str">
        <f>_xll.SNL.Clients.Office.Excel.Functions.SPG(Q120, "SP_COUNTRY_NAME")</f>
        <v>#INVALID COMPANY ID</v>
      </c>
      <c r="Y120" s="9" t="str">
        <f>_xll.SNL.Clients.Office.Excel.Functions.SPG(V120, "SP_COUNTRY_NAME")</f>
        <v>#INVALID COMPANY ID</v>
      </c>
    </row>
    <row r="121" spans="5:25" x14ac:dyDescent="0.35">
      <c r="E121" s="9" t="str">
        <f>_xll.SNL.Clients.Office.Excel.Functions.SPG(B121, "SP_COUNTRY_NAME")</f>
        <v>#INVALID COMPANY ID</v>
      </c>
      <c r="J121" s="9" t="str">
        <f>_xll.SNL.Clients.Office.Excel.Functions.SPG(G121, "SP_COUNTRY_NAME")</f>
        <v>#INVALID COMPANY ID</v>
      </c>
      <c r="O121" s="9" t="str">
        <f>_xll.SNL.Clients.Office.Excel.Functions.SPG(L121, "SP_COUNTRY_NAME")</f>
        <v>#INVALID COMPANY ID</v>
      </c>
      <c r="T121" s="9" t="str">
        <f>_xll.SNL.Clients.Office.Excel.Functions.SPG(Q121, "SP_COUNTRY_NAME")</f>
        <v>#INVALID COMPANY ID</v>
      </c>
      <c r="Y121" s="9" t="str">
        <f>_xll.SNL.Clients.Office.Excel.Functions.SPG(V121, "SP_COUNTRY_NAME")</f>
        <v>#INVALID COMPANY ID</v>
      </c>
    </row>
    <row r="122" spans="5:25" x14ac:dyDescent="0.35">
      <c r="E122" s="9" t="str">
        <f>_xll.SNL.Clients.Office.Excel.Functions.SPG(B122, "SP_COUNTRY_NAME")</f>
        <v>#INVALID COMPANY ID</v>
      </c>
      <c r="J122" s="9" t="str">
        <f>_xll.SNL.Clients.Office.Excel.Functions.SPG(G122, "SP_COUNTRY_NAME")</f>
        <v>#INVALID COMPANY ID</v>
      </c>
      <c r="O122" s="9" t="str">
        <f>_xll.SNL.Clients.Office.Excel.Functions.SPG(L122, "SP_COUNTRY_NAME")</f>
        <v>#INVALID COMPANY ID</v>
      </c>
      <c r="T122" s="9" t="str">
        <f>_xll.SNL.Clients.Office.Excel.Functions.SPG(Q122, "SP_COUNTRY_NAME")</f>
        <v>#INVALID COMPANY ID</v>
      </c>
      <c r="Y122" s="9" t="str">
        <f>_xll.SNL.Clients.Office.Excel.Functions.SPG(V122, "SP_COUNTRY_NAME")</f>
        <v>#INVALID COMPANY ID</v>
      </c>
    </row>
    <row r="123" spans="5:25" x14ac:dyDescent="0.35">
      <c r="E123" s="9" t="str">
        <f>_xll.SNL.Clients.Office.Excel.Functions.SPG(B123, "SP_COUNTRY_NAME")</f>
        <v>#INVALID COMPANY ID</v>
      </c>
      <c r="J123" s="9" t="str">
        <f>_xll.SNL.Clients.Office.Excel.Functions.SPG(G123, "SP_COUNTRY_NAME")</f>
        <v>#INVALID COMPANY ID</v>
      </c>
      <c r="O123" s="9" t="str">
        <f>_xll.SNL.Clients.Office.Excel.Functions.SPG(L123, "SP_COUNTRY_NAME")</f>
        <v>#INVALID COMPANY ID</v>
      </c>
      <c r="T123" s="9" t="str">
        <f>_xll.SNL.Clients.Office.Excel.Functions.SPG(Q123, "SP_COUNTRY_NAME")</f>
        <v>#INVALID COMPANY ID</v>
      </c>
      <c r="Y123" s="9" t="str">
        <f>_xll.SNL.Clients.Office.Excel.Functions.SPG(V123, "SP_COUNTRY_NAME")</f>
        <v>#INVALID COMPANY ID</v>
      </c>
    </row>
    <row r="124" spans="5:25" x14ac:dyDescent="0.35">
      <c r="E124" s="9" t="str">
        <f>_xll.SNL.Clients.Office.Excel.Functions.SPG(B124, "SP_COUNTRY_NAME")</f>
        <v>#INVALID COMPANY ID</v>
      </c>
      <c r="J124" s="9" t="str">
        <f>_xll.SNL.Clients.Office.Excel.Functions.SPG(G124, "SP_COUNTRY_NAME")</f>
        <v>#INVALID COMPANY ID</v>
      </c>
      <c r="O124" s="9" t="str">
        <f>_xll.SNL.Clients.Office.Excel.Functions.SPG(L124, "SP_COUNTRY_NAME")</f>
        <v>#INVALID COMPANY ID</v>
      </c>
      <c r="T124" s="9" t="str">
        <f>_xll.SNL.Clients.Office.Excel.Functions.SPG(Q124, "SP_COUNTRY_NAME")</f>
        <v>#INVALID COMPANY ID</v>
      </c>
      <c r="Y124" s="9" t="str">
        <f>_xll.SNL.Clients.Office.Excel.Functions.SPG(V124, "SP_COUNTRY_NAME")</f>
        <v>#INVALID COMPANY ID</v>
      </c>
    </row>
    <row r="125" spans="5:25" x14ac:dyDescent="0.35">
      <c r="E125" s="9" t="str">
        <f>_xll.SNL.Clients.Office.Excel.Functions.SPG(B125, "SP_COUNTRY_NAME")</f>
        <v>#INVALID COMPANY ID</v>
      </c>
      <c r="J125" s="9" t="str">
        <f>_xll.SNL.Clients.Office.Excel.Functions.SPG(G125, "SP_COUNTRY_NAME")</f>
        <v>#INVALID COMPANY ID</v>
      </c>
      <c r="O125" s="9" t="str">
        <f>_xll.SNL.Clients.Office.Excel.Functions.SPG(L125, "SP_COUNTRY_NAME")</f>
        <v>#INVALID COMPANY ID</v>
      </c>
      <c r="T125" s="9" t="str">
        <f>_xll.SNL.Clients.Office.Excel.Functions.SPG(Q125, "SP_COUNTRY_NAME")</f>
        <v>#INVALID COMPANY ID</v>
      </c>
      <c r="Y125" s="9" t="str">
        <f>_xll.SNL.Clients.Office.Excel.Functions.SPG(V125, "SP_COUNTRY_NAME")</f>
        <v>#INVALID COMPANY ID</v>
      </c>
    </row>
    <row r="126" spans="5:25" x14ac:dyDescent="0.35">
      <c r="E126" s="9" t="str">
        <f>_xll.SNL.Clients.Office.Excel.Functions.SPG(B126, "SP_COUNTRY_NAME")</f>
        <v>#INVALID COMPANY ID</v>
      </c>
      <c r="J126" s="9" t="str">
        <f>_xll.SNL.Clients.Office.Excel.Functions.SPG(G126, "SP_COUNTRY_NAME")</f>
        <v>#INVALID COMPANY ID</v>
      </c>
      <c r="O126" s="9" t="str">
        <f>_xll.SNL.Clients.Office.Excel.Functions.SPG(L126, "SP_COUNTRY_NAME")</f>
        <v>#INVALID COMPANY ID</v>
      </c>
      <c r="T126" s="9" t="str">
        <f>_xll.SNL.Clients.Office.Excel.Functions.SPG(Q126, "SP_COUNTRY_NAME")</f>
        <v>#INVALID COMPANY ID</v>
      </c>
      <c r="Y126" s="9" t="str">
        <f>_xll.SNL.Clients.Office.Excel.Functions.SPG(V126, "SP_COUNTRY_NAME")</f>
        <v>#INVALID COMPANY ID</v>
      </c>
    </row>
    <row r="127" spans="5:25" x14ac:dyDescent="0.35">
      <c r="E127" s="9" t="str">
        <f>_xll.SNL.Clients.Office.Excel.Functions.SPG(B127, "SP_COUNTRY_NAME")</f>
        <v>#INVALID COMPANY ID</v>
      </c>
      <c r="J127" s="9" t="str">
        <f>_xll.SNL.Clients.Office.Excel.Functions.SPG(G127, "SP_COUNTRY_NAME")</f>
        <v>#INVALID COMPANY ID</v>
      </c>
      <c r="O127" s="9" t="str">
        <f>_xll.SNL.Clients.Office.Excel.Functions.SPG(L127, "SP_COUNTRY_NAME")</f>
        <v>#INVALID COMPANY ID</v>
      </c>
      <c r="T127" s="9" t="str">
        <f>_xll.SNL.Clients.Office.Excel.Functions.SPG(Q127, "SP_COUNTRY_NAME")</f>
        <v>#INVALID COMPANY ID</v>
      </c>
      <c r="Y127" s="9" t="str">
        <f>_xll.SNL.Clients.Office.Excel.Functions.SPG(V127, "SP_COUNTRY_NAME")</f>
        <v>#INVALID COMPANY ID</v>
      </c>
    </row>
    <row r="128" spans="5:25" x14ac:dyDescent="0.35">
      <c r="E128" s="9" t="str">
        <f>_xll.SNL.Clients.Office.Excel.Functions.SPG(B128, "SP_COUNTRY_NAME")</f>
        <v>#INVALID COMPANY ID</v>
      </c>
      <c r="J128" s="9" t="str">
        <f>_xll.SNL.Clients.Office.Excel.Functions.SPG(G128, "SP_COUNTRY_NAME")</f>
        <v>#INVALID COMPANY ID</v>
      </c>
      <c r="O128" s="9" t="str">
        <f>_xll.SNL.Clients.Office.Excel.Functions.SPG(L128, "SP_COUNTRY_NAME")</f>
        <v>#INVALID COMPANY ID</v>
      </c>
      <c r="T128" s="9" t="str">
        <f>_xll.SNL.Clients.Office.Excel.Functions.SPG(Q128, "SP_COUNTRY_NAME")</f>
        <v>#INVALID COMPANY ID</v>
      </c>
      <c r="Y128" s="9" t="str">
        <f>_xll.SNL.Clients.Office.Excel.Functions.SPG(V128, "SP_COUNTRY_NAME")</f>
        <v>#INVALID COMPANY ID</v>
      </c>
    </row>
    <row r="129" spans="5:25" x14ac:dyDescent="0.35">
      <c r="E129" s="9" t="str">
        <f>_xll.SNL.Clients.Office.Excel.Functions.SPG(B129, "SP_COUNTRY_NAME")</f>
        <v>#INVALID COMPANY ID</v>
      </c>
      <c r="J129" s="9" t="str">
        <f>_xll.SNL.Clients.Office.Excel.Functions.SPG(G129, "SP_COUNTRY_NAME")</f>
        <v>#INVALID COMPANY ID</v>
      </c>
      <c r="O129" s="9" t="str">
        <f>_xll.SNL.Clients.Office.Excel.Functions.SPG(L129, "SP_COUNTRY_NAME")</f>
        <v>#INVALID COMPANY ID</v>
      </c>
      <c r="T129" s="9" t="str">
        <f>_xll.SNL.Clients.Office.Excel.Functions.SPG(Q129, "SP_COUNTRY_NAME")</f>
        <v>#INVALID COMPANY ID</v>
      </c>
      <c r="Y129" s="9" t="str">
        <f>_xll.SNL.Clients.Office.Excel.Functions.SPG(V129, "SP_COUNTRY_NAME")</f>
        <v>#INVALID COMPANY ID</v>
      </c>
    </row>
    <row r="130" spans="5:25" x14ac:dyDescent="0.35">
      <c r="E130" s="9" t="str">
        <f>_xll.SNL.Clients.Office.Excel.Functions.SPG(B130, "SP_COUNTRY_NAME")</f>
        <v>#INVALID COMPANY ID</v>
      </c>
      <c r="J130" s="9" t="str">
        <f>_xll.SNL.Clients.Office.Excel.Functions.SPG(G130, "SP_COUNTRY_NAME")</f>
        <v>#INVALID COMPANY ID</v>
      </c>
      <c r="O130" s="9" t="str">
        <f>_xll.SNL.Clients.Office.Excel.Functions.SPG(L130, "SP_COUNTRY_NAME")</f>
        <v>#INVALID COMPANY ID</v>
      </c>
      <c r="T130" s="9" t="str">
        <f>_xll.SNL.Clients.Office.Excel.Functions.SPG(Q130, "SP_COUNTRY_NAME")</f>
        <v>#INVALID COMPANY ID</v>
      </c>
      <c r="Y130" s="9" t="str">
        <f>_xll.SNL.Clients.Office.Excel.Functions.SPG(V130, "SP_COUNTRY_NAME")</f>
        <v>#INVALID COMPANY ID</v>
      </c>
    </row>
    <row r="131" spans="5:25" x14ac:dyDescent="0.35">
      <c r="E131" s="9" t="str">
        <f>_xll.SNL.Clients.Office.Excel.Functions.SPG(B131, "SP_COUNTRY_NAME")</f>
        <v>#INVALID COMPANY ID</v>
      </c>
      <c r="J131" s="9" t="str">
        <f>_xll.SNL.Clients.Office.Excel.Functions.SPG(G131, "SP_COUNTRY_NAME")</f>
        <v>#INVALID COMPANY ID</v>
      </c>
      <c r="O131" s="9" t="str">
        <f>_xll.SNL.Clients.Office.Excel.Functions.SPG(L131, "SP_COUNTRY_NAME")</f>
        <v>#INVALID COMPANY ID</v>
      </c>
      <c r="T131" s="9" t="str">
        <f>_xll.SNL.Clients.Office.Excel.Functions.SPG(Q131, "SP_COUNTRY_NAME")</f>
        <v>#INVALID COMPANY ID</v>
      </c>
      <c r="Y131" s="9" t="str">
        <f>_xll.SNL.Clients.Office.Excel.Functions.SPG(V131, "SP_COUNTRY_NAME")</f>
        <v>#INVALID COMPANY ID</v>
      </c>
    </row>
    <row r="132" spans="5:25" x14ac:dyDescent="0.35">
      <c r="E132" s="9" t="str">
        <f>_xll.SNL.Clients.Office.Excel.Functions.SPG(B132, "SP_COUNTRY_NAME")</f>
        <v>#INVALID COMPANY ID</v>
      </c>
      <c r="J132" s="9" t="str">
        <f>_xll.SNL.Clients.Office.Excel.Functions.SPG(G132, "SP_COUNTRY_NAME")</f>
        <v>#INVALID COMPANY ID</v>
      </c>
      <c r="O132" s="9" t="str">
        <f>_xll.SNL.Clients.Office.Excel.Functions.SPG(L132, "SP_COUNTRY_NAME")</f>
        <v>#INVALID COMPANY ID</v>
      </c>
      <c r="T132" s="9" t="str">
        <f>_xll.SNL.Clients.Office.Excel.Functions.SPG(Q132, "SP_COUNTRY_NAME")</f>
        <v>#INVALID COMPANY ID</v>
      </c>
      <c r="Y132" s="9" t="str">
        <f>_xll.SNL.Clients.Office.Excel.Functions.SPG(V132, "SP_COUNTRY_NAME")</f>
        <v>#INVALID COMPANY ID</v>
      </c>
    </row>
    <row r="133" spans="5:25" x14ac:dyDescent="0.35">
      <c r="E133" s="9" t="str">
        <f>_xll.SNL.Clients.Office.Excel.Functions.SPG(B133, "SP_COUNTRY_NAME")</f>
        <v>#INVALID COMPANY ID</v>
      </c>
      <c r="J133" s="9" t="str">
        <f>_xll.SNL.Clients.Office.Excel.Functions.SPG(G133, "SP_COUNTRY_NAME")</f>
        <v>#INVALID COMPANY ID</v>
      </c>
      <c r="O133" s="9" t="str">
        <f>_xll.SNL.Clients.Office.Excel.Functions.SPG(L133, "SP_COUNTRY_NAME")</f>
        <v>#INVALID COMPANY ID</v>
      </c>
      <c r="T133" s="9" t="str">
        <f>_xll.SNL.Clients.Office.Excel.Functions.SPG(Q133, "SP_COUNTRY_NAME")</f>
        <v>#INVALID COMPANY ID</v>
      </c>
      <c r="Y133" s="9" t="str">
        <f>_xll.SNL.Clients.Office.Excel.Functions.SPG(V133, "SP_COUNTRY_NAME")</f>
        <v>#INVALID COMPANY ID</v>
      </c>
    </row>
    <row r="134" spans="5:25" x14ac:dyDescent="0.35">
      <c r="E134" s="9" t="str">
        <f>_xll.SNL.Clients.Office.Excel.Functions.SPG(B134, "SP_COUNTRY_NAME")</f>
        <v>#INVALID COMPANY ID</v>
      </c>
      <c r="J134" s="9" t="str">
        <f>_xll.SNL.Clients.Office.Excel.Functions.SPG(G134, "SP_COUNTRY_NAME")</f>
        <v>#INVALID COMPANY ID</v>
      </c>
      <c r="O134" s="9" t="str">
        <f>_xll.SNL.Clients.Office.Excel.Functions.SPG(L134, "SP_COUNTRY_NAME")</f>
        <v>#INVALID COMPANY ID</v>
      </c>
      <c r="T134" s="9" t="str">
        <f>_xll.SNL.Clients.Office.Excel.Functions.SPG(Q134, "SP_COUNTRY_NAME")</f>
        <v>#INVALID COMPANY ID</v>
      </c>
      <c r="Y134" s="9" t="str">
        <f>_xll.SNL.Clients.Office.Excel.Functions.SPG(V134, "SP_COUNTRY_NAME")</f>
        <v>#INVALID COMPANY ID</v>
      </c>
    </row>
    <row r="135" spans="5:25" x14ac:dyDescent="0.35">
      <c r="E135" s="9" t="str">
        <f>_xll.SNL.Clients.Office.Excel.Functions.SPG(B135, "SP_COUNTRY_NAME")</f>
        <v>#INVALID COMPANY ID</v>
      </c>
      <c r="J135" s="9" t="str">
        <f>_xll.SNL.Clients.Office.Excel.Functions.SPG(G135, "SP_COUNTRY_NAME")</f>
        <v>#INVALID COMPANY ID</v>
      </c>
      <c r="O135" s="9" t="str">
        <f>_xll.SNL.Clients.Office.Excel.Functions.SPG(L135, "SP_COUNTRY_NAME")</f>
        <v>#INVALID COMPANY ID</v>
      </c>
      <c r="T135" s="9" t="str">
        <f>_xll.SNL.Clients.Office.Excel.Functions.SPG(Q135, "SP_COUNTRY_NAME")</f>
        <v>#INVALID COMPANY ID</v>
      </c>
      <c r="Y135" s="9" t="str">
        <f>_xll.SNL.Clients.Office.Excel.Functions.SPG(V135, "SP_COUNTRY_NAME")</f>
        <v>#INVALID COMPANY ID</v>
      </c>
    </row>
    <row r="136" spans="5:25" x14ac:dyDescent="0.35">
      <c r="E136" s="9" t="str">
        <f>_xll.SNL.Clients.Office.Excel.Functions.SPG(B136, "SP_COUNTRY_NAME")</f>
        <v>#INVALID COMPANY ID</v>
      </c>
      <c r="J136" s="9" t="str">
        <f>_xll.SNL.Clients.Office.Excel.Functions.SPG(G136, "SP_COUNTRY_NAME")</f>
        <v>#INVALID COMPANY ID</v>
      </c>
      <c r="O136" s="9" t="str">
        <f>_xll.SNL.Clients.Office.Excel.Functions.SPG(L136, "SP_COUNTRY_NAME")</f>
        <v>#INVALID COMPANY ID</v>
      </c>
      <c r="T136" s="9" t="str">
        <f>_xll.SNL.Clients.Office.Excel.Functions.SPG(Q136, "SP_COUNTRY_NAME")</f>
        <v>#INVALID COMPANY ID</v>
      </c>
      <c r="Y136" s="9" t="str">
        <f>_xll.SNL.Clients.Office.Excel.Functions.SPG(V136, "SP_COUNTRY_NAME")</f>
        <v>#INVALID COMPANY ID</v>
      </c>
    </row>
    <row r="137" spans="5:25" x14ac:dyDescent="0.35">
      <c r="E137" s="9" t="str">
        <f>_xll.SNL.Clients.Office.Excel.Functions.SPG(B137, "SP_COUNTRY_NAME")</f>
        <v>#INVALID COMPANY ID</v>
      </c>
      <c r="J137" s="9" t="str">
        <f>_xll.SNL.Clients.Office.Excel.Functions.SPG(G137, "SP_COUNTRY_NAME")</f>
        <v>#INVALID COMPANY ID</v>
      </c>
      <c r="O137" s="9" t="str">
        <f>_xll.SNL.Clients.Office.Excel.Functions.SPG(L137, "SP_COUNTRY_NAME")</f>
        <v>#INVALID COMPANY ID</v>
      </c>
      <c r="T137" s="9" t="str">
        <f>_xll.SNL.Clients.Office.Excel.Functions.SPG(Q137, "SP_COUNTRY_NAME")</f>
        <v>#INVALID COMPANY ID</v>
      </c>
      <c r="Y137" s="9" t="str">
        <f>_xll.SNL.Clients.Office.Excel.Functions.SPG(V137, "SP_COUNTRY_NAME")</f>
        <v>#INVALID COMPANY ID</v>
      </c>
    </row>
    <row r="138" spans="5:25" x14ac:dyDescent="0.35">
      <c r="E138" s="9" t="str">
        <f>_xll.SNL.Clients.Office.Excel.Functions.SPG(B138, "SP_COUNTRY_NAME")</f>
        <v>#INVALID COMPANY ID</v>
      </c>
      <c r="J138" s="9" t="str">
        <f>_xll.SNL.Clients.Office.Excel.Functions.SPG(G138, "SP_COUNTRY_NAME")</f>
        <v>#INVALID COMPANY ID</v>
      </c>
      <c r="O138" s="9" t="str">
        <f>_xll.SNL.Clients.Office.Excel.Functions.SPG(L138, "SP_COUNTRY_NAME")</f>
        <v>#INVALID COMPANY ID</v>
      </c>
      <c r="T138" s="9" t="str">
        <f>_xll.SNL.Clients.Office.Excel.Functions.SPG(Q138, "SP_COUNTRY_NAME")</f>
        <v>#INVALID COMPANY ID</v>
      </c>
      <c r="Y138" s="9" t="str">
        <f>_xll.SNL.Clients.Office.Excel.Functions.SPG(V138, "SP_COUNTRY_NAME")</f>
        <v>#INVALID COMPANY ID</v>
      </c>
    </row>
    <row r="139" spans="5:25" x14ac:dyDescent="0.35">
      <c r="E139" s="9" t="str">
        <f>_xll.SNL.Clients.Office.Excel.Functions.SPG(B139, "SP_COUNTRY_NAME")</f>
        <v>#INVALID COMPANY ID</v>
      </c>
      <c r="J139" s="9" t="str">
        <f>_xll.SNL.Clients.Office.Excel.Functions.SPG(G139, "SP_COUNTRY_NAME")</f>
        <v>#INVALID COMPANY ID</v>
      </c>
      <c r="O139" s="9" t="str">
        <f>_xll.SNL.Clients.Office.Excel.Functions.SPG(L139, "SP_COUNTRY_NAME")</f>
        <v>#INVALID COMPANY ID</v>
      </c>
      <c r="T139" s="9" t="str">
        <f>_xll.SNL.Clients.Office.Excel.Functions.SPG(Q139, "SP_COUNTRY_NAME")</f>
        <v>#INVALID COMPANY ID</v>
      </c>
      <c r="Y139" s="9" t="str">
        <f>_xll.SNL.Clients.Office.Excel.Functions.SPG(V139, "SP_COUNTRY_NAME")</f>
        <v>#INVALID COMPANY ID</v>
      </c>
    </row>
    <row r="140" spans="5:25" x14ac:dyDescent="0.35">
      <c r="E140" s="9" t="str">
        <f>_xll.SNL.Clients.Office.Excel.Functions.SPG(B140, "SP_COUNTRY_NAME")</f>
        <v>#INVALID COMPANY ID</v>
      </c>
      <c r="J140" s="9" t="str">
        <f>_xll.SNL.Clients.Office.Excel.Functions.SPG(G140, "SP_COUNTRY_NAME")</f>
        <v>#INVALID COMPANY ID</v>
      </c>
      <c r="O140" s="9" t="str">
        <f>_xll.SNL.Clients.Office.Excel.Functions.SPG(L140, "SP_COUNTRY_NAME")</f>
        <v>#INVALID COMPANY ID</v>
      </c>
      <c r="T140" s="9" t="str">
        <f>_xll.SNL.Clients.Office.Excel.Functions.SPG(Q140, "SP_COUNTRY_NAME")</f>
        <v>#INVALID COMPANY ID</v>
      </c>
      <c r="Y140" s="9" t="str">
        <f>_xll.SNL.Clients.Office.Excel.Functions.SPG(V140, "SP_COUNTRY_NAME")</f>
        <v>#INVALID COMPANY ID</v>
      </c>
    </row>
    <row r="141" spans="5:25" x14ac:dyDescent="0.35">
      <c r="E141" s="9" t="str">
        <f>_xll.SNL.Clients.Office.Excel.Functions.SPG(B141, "SP_COUNTRY_NAME")</f>
        <v>#INVALID COMPANY ID</v>
      </c>
      <c r="J141" s="9" t="str">
        <f>_xll.SNL.Clients.Office.Excel.Functions.SPG(G141, "SP_COUNTRY_NAME")</f>
        <v>#INVALID COMPANY ID</v>
      </c>
      <c r="O141" s="9" t="str">
        <f>_xll.SNL.Clients.Office.Excel.Functions.SPG(L141, "SP_COUNTRY_NAME")</f>
        <v>#INVALID COMPANY ID</v>
      </c>
      <c r="T141" s="9" t="str">
        <f>_xll.SNL.Clients.Office.Excel.Functions.SPG(Q141, "SP_COUNTRY_NAME")</f>
        <v>#INVALID COMPANY ID</v>
      </c>
      <c r="Y141" s="9" t="str">
        <f>_xll.SNL.Clients.Office.Excel.Functions.SPG(V141, "SP_COUNTRY_NAME")</f>
        <v>#INVALID COMPANY ID</v>
      </c>
    </row>
    <row r="142" spans="5:25" x14ac:dyDescent="0.35">
      <c r="E142" s="9" t="str">
        <f>_xll.SNL.Clients.Office.Excel.Functions.SPG(B142, "SP_COUNTRY_NAME")</f>
        <v>#INVALID COMPANY ID</v>
      </c>
      <c r="J142" s="9" t="str">
        <f>_xll.SNL.Clients.Office.Excel.Functions.SPG(G142, "SP_COUNTRY_NAME")</f>
        <v>#INVALID COMPANY ID</v>
      </c>
      <c r="O142" s="9" t="str">
        <f>_xll.SNL.Clients.Office.Excel.Functions.SPG(L142, "SP_COUNTRY_NAME")</f>
        <v>#INVALID COMPANY ID</v>
      </c>
      <c r="T142" s="9" t="str">
        <f>_xll.SNL.Clients.Office.Excel.Functions.SPG(Q142, "SP_COUNTRY_NAME")</f>
        <v>#INVALID COMPANY ID</v>
      </c>
      <c r="Y142" s="9" t="str">
        <f>_xll.SNL.Clients.Office.Excel.Functions.SPG(V142, "SP_COUNTRY_NAME")</f>
        <v>#INVALID COMPANY ID</v>
      </c>
    </row>
    <row r="143" spans="5:25" x14ac:dyDescent="0.35">
      <c r="E143" s="9" t="str">
        <f>_xll.SNL.Clients.Office.Excel.Functions.SPG(B143, "SP_COUNTRY_NAME")</f>
        <v>#INVALID COMPANY ID</v>
      </c>
      <c r="J143" s="9" t="str">
        <f>_xll.SNL.Clients.Office.Excel.Functions.SPG(G143, "SP_COUNTRY_NAME")</f>
        <v>#INVALID COMPANY ID</v>
      </c>
      <c r="O143" s="9" t="str">
        <f>_xll.SNL.Clients.Office.Excel.Functions.SPG(L143, "SP_COUNTRY_NAME")</f>
        <v>#INVALID COMPANY ID</v>
      </c>
      <c r="T143" s="9" t="str">
        <f>_xll.SNL.Clients.Office.Excel.Functions.SPG(Q143, "SP_COUNTRY_NAME")</f>
        <v>#INVALID COMPANY ID</v>
      </c>
      <c r="Y143" s="9" t="str">
        <f>_xll.SNL.Clients.Office.Excel.Functions.SPG(V143, "SP_COUNTRY_NAME")</f>
        <v>#INVALID COMPANY ID</v>
      </c>
    </row>
    <row r="144" spans="5:25" x14ac:dyDescent="0.35">
      <c r="E144" s="9" t="str">
        <f>_xll.SNL.Clients.Office.Excel.Functions.SPG(B144, "SP_COUNTRY_NAME")</f>
        <v>#INVALID COMPANY ID</v>
      </c>
      <c r="J144" s="9" t="str">
        <f>_xll.SNL.Clients.Office.Excel.Functions.SPG(G144, "SP_COUNTRY_NAME")</f>
        <v>#INVALID COMPANY ID</v>
      </c>
      <c r="O144" s="9" t="str">
        <f>_xll.SNL.Clients.Office.Excel.Functions.SPG(L144, "SP_COUNTRY_NAME")</f>
        <v>#INVALID COMPANY ID</v>
      </c>
      <c r="T144" s="9" t="str">
        <f>_xll.SNL.Clients.Office.Excel.Functions.SPG(Q144, "SP_COUNTRY_NAME")</f>
        <v>#INVALID COMPANY ID</v>
      </c>
      <c r="Y144" s="9" t="str">
        <f>_xll.SNL.Clients.Office.Excel.Functions.SPG(V144, "SP_COUNTRY_NAME")</f>
        <v>#INVALID COMPANY ID</v>
      </c>
    </row>
    <row r="145" spans="5:25" x14ac:dyDescent="0.35">
      <c r="E145" s="9" t="str">
        <f>_xll.SNL.Clients.Office.Excel.Functions.SPG(B145, "SP_COUNTRY_NAME")</f>
        <v>#INVALID COMPANY ID</v>
      </c>
      <c r="J145" s="9" t="str">
        <f>_xll.SNL.Clients.Office.Excel.Functions.SPG(G145, "SP_COUNTRY_NAME")</f>
        <v>#INVALID COMPANY ID</v>
      </c>
      <c r="O145" s="9" t="str">
        <f>_xll.SNL.Clients.Office.Excel.Functions.SPG(L145, "SP_COUNTRY_NAME")</f>
        <v>#INVALID COMPANY ID</v>
      </c>
      <c r="T145" s="9" t="str">
        <f>_xll.SNL.Clients.Office.Excel.Functions.SPG(Q145, "SP_COUNTRY_NAME")</f>
        <v>#INVALID COMPANY ID</v>
      </c>
      <c r="Y145" s="9" t="str">
        <f>_xll.SNL.Clients.Office.Excel.Functions.SPG(V145, "SP_COUNTRY_NAME")</f>
        <v>#INVALID COMPANY ID</v>
      </c>
    </row>
    <row r="146" spans="5:25" x14ac:dyDescent="0.35">
      <c r="E146" s="9" t="str">
        <f>_xll.SNL.Clients.Office.Excel.Functions.SPG(B146, "SP_COUNTRY_NAME")</f>
        <v>#INVALID COMPANY ID</v>
      </c>
      <c r="J146" s="9" t="str">
        <f>_xll.SNL.Clients.Office.Excel.Functions.SPG(G146, "SP_COUNTRY_NAME")</f>
        <v>#INVALID COMPANY ID</v>
      </c>
      <c r="O146" s="9" t="str">
        <f>_xll.SNL.Clients.Office.Excel.Functions.SPG(L146, "SP_COUNTRY_NAME")</f>
        <v>#INVALID COMPANY ID</v>
      </c>
      <c r="T146" s="9" t="str">
        <f>_xll.SNL.Clients.Office.Excel.Functions.SPG(Q146, "SP_COUNTRY_NAME")</f>
        <v>#INVALID COMPANY ID</v>
      </c>
      <c r="Y146" s="9" t="str">
        <f>_xll.SNL.Clients.Office.Excel.Functions.SPG(V146, "SP_COUNTRY_NAME")</f>
        <v>#INVALID COMPANY ID</v>
      </c>
    </row>
    <row r="147" spans="5:25" x14ac:dyDescent="0.35">
      <c r="E147" s="9" t="str">
        <f>_xll.SNL.Clients.Office.Excel.Functions.SPG(B147, "SP_COUNTRY_NAME")</f>
        <v>#INVALID COMPANY ID</v>
      </c>
      <c r="J147" s="9" t="str">
        <f>_xll.SNL.Clients.Office.Excel.Functions.SPG(G147, "SP_COUNTRY_NAME")</f>
        <v>#INVALID COMPANY ID</v>
      </c>
      <c r="O147" s="9" t="str">
        <f>_xll.SNL.Clients.Office.Excel.Functions.SPG(L147, "SP_COUNTRY_NAME")</f>
        <v>#INVALID COMPANY ID</v>
      </c>
      <c r="T147" s="9" t="str">
        <f>_xll.SNL.Clients.Office.Excel.Functions.SPG(Q147, "SP_COUNTRY_NAME")</f>
        <v>#INVALID COMPANY ID</v>
      </c>
      <c r="Y147" s="9" t="str">
        <f>_xll.SNL.Clients.Office.Excel.Functions.SPG(V147, "SP_COUNTRY_NAME")</f>
        <v>#INVALID COMPANY ID</v>
      </c>
    </row>
    <row r="148" spans="5:25" x14ac:dyDescent="0.35">
      <c r="E148" s="9" t="str">
        <f>_xll.SNL.Clients.Office.Excel.Functions.SPG(B148, "SP_COUNTRY_NAME")</f>
        <v>#INVALID COMPANY ID</v>
      </c>
      <c r="J148" s="9" t="str">
        <f>_xll.SNL.Clients.Office.Excel.Functions.SPG(G148, "SP_COUNTRY_NAME")</f>
        <v>#INVALID COMPANY ID</v>
      </c>
      <c r="O148" s="9" t="str">
        <f>_xll.SNL.Clients.Office.Excel.Functions.SPG(L148, "SP_COUNTRY_NAME")</f>
        <v>#INVALID COMPANY ID</v>
      </c>
      <c r="T148" s="9" t="str">
        <f>_xll.SNL.Clients.Office.Excel.Functions.SPG(Q148, "SP_COUNTRY_NAME")</f>
        <v>#INVALID COMPANY ID</v>
      </c>
      <c r="Y148" s="9" t="str">
        <f>_xll.SNL.Clients.Office.Excel.Functions.SPG(V148, "SP_COUNTRY_NAME")</f>
        <v>#INVALID COMPANY ID</v>
      </c>
    </row>
    <row r="149" spans="5:25" x14ac:dyDescent="0.35">
      <c r="E149" s="9" t="str">
        <f>_xll.SNL.Clients.Office.Excel.Functions.SPG(B149, "SP_COUNTRY_NAME")</f>
        <v>#INVALID COMPANY ID</v>
      </c>
      <c r="J149" s="9" t="str">
        <f>_xll.SNL.Clients.Office.Excel.Functions.SPG(G149, "SP_COUNTRY_NAME")</f>
        <v>#INVALID COMPANY ID</v>
      </c>
      <c r="O149" s="9" t="str">
        <f>_xll.SNL.Clients.Office.Excel.Functions.SPG(L149, "SP_COUNTRY_NAME")</f>
        <v>#INVALID COMPANY ID</v>
      </c>
      <c r="T149" s="9" t="str">
        <f>_xll.SNL.Clients.Office.Excel.Functions.SPG(Q149, "SP_COUNTRY_NAME")</f>
        <v>#INVALID COMPANY ID</v>
      </c>
      <c r="Y149" s="9" t="str">
        <f>_xll.SNL.Clients.Office.Excel.Functions.SPG(V149, "SP_COUNTRY_NAME")</f>
        <v>#INVALID COMPANY ID</v>
      </c>
    </row>
    <row r="150" spans="5:25" x14ac:dyDescent="0.35">
      <c r="E150" s="9" t="str">
        <f>_xll.SNL.Clients.Office.Excel.Functions.SPG(B150, "SP_COUNTRY_NAME")</f>
        <v>#INVALID COMPANY ID</v>
      </c>
      <c r="J150" s="9" t="str">
        <f>_xll.SNL.Clients.Office.Excel.Functions.SPG(G150, "SP_COUNTRY_NAME")</f>
        <v>#INVALID COMPANY ID</v>
      </c>
      <c r="O150" s="9" t="str">
        <f>_xll.SNL.Clients.Office.Excel.Functions.SPG(L150, "SP_COUNTRY_NAME")</f>
        <v>#INVALID COMPANY ID</v>
      </c>
      <c r="T150" s="9" t="str">
        <f>_xll.SNL.Clients.Office.Excel.Functions.SPG(Q150, "SP_COUNTRY_NAME")</f>
        <v>#INVALID COMPANY ID</v>
      </c>
      <c r="Y150" s="9" t="str">
        <f>_xll.SNL.Clients.Office.Excel.Functions.SPG(V150, "SP_COUNTRY_NAME")</f>
        <v>#INVALID COMPANY ID</v>
      </c>
    </row>
    <row r="151" spans="5:25" x14ac:dyDescent="0.35">
      <c r="E151" s="9" t="str">
        <f>_xll.SNL.Clients.Office.Excel.Functions.SPG(B151, "SP_COUNTRY_NAME")</f>
        <v>#INVALID COMPANY ID</v>
      </c>
      <c r="J151" s="9" t="str">
        <f>_xll.SNL.Clients.Office.Excel.Functions.SPG(G151, "SP_COUNTRY_NAME")</f>
        <v>#INVALID COMPANY ID</v>
      </c>
      <c r="O151" s="9" t="str">
        <f>_xll.SNL.Clients.Office.Excel.Functions.SPG(L151, "SP_COUNTRY_NAME")</f>
        <v>#INVALID COMPANY ID</v>
      </c>
      <c r="T151" s="9" t="str">
        <f>_xll.SNL.Clients.Office.Excel.Functions.SPG(Q151, "SP_COUNTRY_NAME")</f>
        <v>#INVALID COMPANY ID</v>
      </c>
      <c r="Y151" s="9" t="str">
        <f>_xll.SNL.Clients.Office.Excel.Functions.SPG(V151, "SP_COUNTRY_NAME")</f>
        <v>#INVALID COMPANY ID</v>
      </c>
    </row>
    <row r="152" spans="5:25" x14ac:dyDescent="0.35">
      <c r="E152" s="9" t="str">
        <f>_xll.SNL.Clients.Office.Excel.Functions.SPG(B152, "SP_COUNTRY_NAME")</f>
        <v>#INVALID COMPANY ID</v>
      </c>
      <c r="J152" s="9" t="str">
        <f>_xll.SNL.Clients.Office.Excel.Functions.SPG(G152, "SP_COUNTRY_NAME")</f>
        <v>#INVALID COMPANY ID</v>
      </c>
      <c r="O152" s="9" t="str">
        <f>_xll.SNL.Clients.Office.Excel.Functions.SPG(L152, "SP_COUNTRY_NAME")</f>
        <v>#INVALID COMPANY ID</v>
      </c>
      <c r="T152" s="9" t="str">
        <f>_xll.SNL.Clients.Office.Excel.Functions.SPG(Q152, "SP_COUNTRY_NAME")</f>
        <v>#INVALID COMPANY ID</v>
      </c>
      <c r="Y152" s="9" t="str">
        <f>_xll.SNL.Clients.Office.Excel.Functions.SPG(V152, "SP_COUNTRY_NAME")</f>
        <v>#INVALID COMPANY ID</v>
      </c>
    </row>
    <row r="153" spans="5:25" x14ac:dyDescent="0.35">
      <c r="E153" s="9" t="str">
        <f>_xll.SNL.Clients.Office.Excel.Functions.SPG(B153, "SP_COUNTRY_NAME")</f>
        <v>#INVALID COMPANY ID</v>
      </c>
      <c r="J153" s="9" t="str">
        <f>_xll.SNL.Clients.Office.Excel.Functions.SPG(G153, "SP_COUNTRY_NAME")</f>
        <v>#INVALID COMPANY ID</v>
      </c>
      <c r="O153" s="9" t="str">
        <f>_xll.SNL.Clients.Office.Excel.Functions.SPG(L153, "SP_COUNTRY_NAME")</f>
        <v>#INVALID COMPANY ID</v>
      </c>
      <c r="T153" s="9" t="str">
        <f>_xll.SNL.Clients.Office.Excel.Functions.SPG(Q153, "SP_COUNTRY_NAME")</f>
        <v>#INVALID COMPANY ID</v>
      </c>
      <c r="Y153" s="9" t="str">
        <f>_xll.SNL.Clients.Office.Excel.Functions.SPG(V153, "SP_COUNTRY_NAME")</f>
        <v>#INVALID COMPANY ID</v>
      </c>
    </row>
    <row r="154" spans="5:25" x14ac:dyDescent="0.35">
      <c r="E154" s="9" t="str">
        <f>_xll.SNL.Clients.Office.Excel.Functions.SPG(B154, "SP_COUNTRY_NAME")</f>
        <v>#INVALID COMPANY ID</v>
      </c>
      <c r="J154" s="9" t="str">
        <f>_xll.SNL.Clients.Office.Excel.Functions.SPG(G154, "SP_COUNTRY_NAME")</f>
        <v>#INVALID COMPANY ID</v>
      </c>
      <c r="O154" s="9" t="str">
        <f>_xll.SNL.Clients.Office.Excel.Functions.SPG(L154, "SP_COUNTRY_NAME")</f>
        <v>#INVALID COMPANY ID</v>
      </c>
      <c r="T154" s="9" t="str">
        <f>_xll.SNL.Clients.Office.Excel.Functions.SPG(Q154, "SP_COUNTRY_NAME")</f>
        <v>#INVALID COMPANY ID</v>
      </c>
      <c r="Y154" s="9" t="str">
        <f>_xll.SNL.Clients.Office.Excel.Functions.SPG(V154, "SP_COUNTRY_NAME")</f>
        <v>#INVALID COMPANY ID</v>
      </c>
    </row>
    <row r="155" spans="5:25" x14ac:dyDescent="0.35">
      <c r="E155" s="9" t="str">
        <f>_xll.SNL.Clients.Office.Excel.Functions.SPG(B155, "SP_COUNTRY_NAME")</f>
        <v>#INVALID COMPANY ID</v>
      </c>
      <c r="J155" s="9" t="str">
        <f>_xll.SNL.Clients.Office.Excel.Functions.SPG(G155, "SP_COUNTRY_NAME")</f>
        <v>#INVALID COMPANY ID</v>
      </c>
      <c r="O155" s="9" t="str">
        <f>_xll.SNL.Clients.Office.Excel.Functions.SPG(L155, "SP_COUNTRY_NAME")</f>
        <v>#INVALID COMPANY ID</v>
      </c>
      <c r="T155" s="9" t="str">
        <f>_xll.SNL.Clients.Office.Excel.Functions.SPG(Q155, "SP_COUNTRY_NAME")</f>
        <v>#INVALID COMPANY ID</v>
      </c>
      <c r="Y155" s="9" t="str">
        <f>_xll.SNL.Clients.Office.Excel.Functions.SPG(V155, "SP_COUNTRY_NAME")</f>
        <v>#INVALID COMPANY ID</v>
      </c>
    </row>
    <row r="156" spans="5:25" x14ac:dyDescent="0.35">
      <c r="E156" s="9" t="str">
        <f>_xll.SNL.Clients.Office.Excel.Functions.SPG(B156, "SP_COUNTRY_NAME")</f>
        <v>#INVALID COMPANY ID</v>
      </c>
      <c r="J156" s="9" t="str">
        <f>_xll.SNL.Clients.Office.Excel.Functions.SPG(G156, "SP_COUNTRY_NAME")</f>
        <v>#INVALID COMPANY ID</v>
      </c>
      <c r="O156" s="9" t="str">
        <f>_xll.SNL.Clients.Office.Excel.Functions.SPG(L156, "SP_COUNTRY_NAME")</f>
        <v>#INVALID COMPANY ID</v>
      </c>
      <c r="T156" s="9" t="str">
        <f>_xll.SNL.Clients.Office.Excel.Functions.SPG(Q156, "SP_COUNTRY_NAME")</f>
        <v>#INVALID COMPANY ID</v>
      </c>
      <c r="Y156" s="9" t="str">
        <f>_xll.SNL.Clients.Office.Excel.Functions.SPG(V156, "SP_COUNTRY_NAME")</f>
        <v>#INVALID COMPANY ID</v>
      </c>
    </row>
    <row r="157" spans="5:25" x14ac:dyDescent="0.35">
      <c r="E157" s="9" t="str">
        <f>_xll.SNL.Clients.Office.Excel.Functions.SPG(B157, "SP_COUNTRY_NAME")</f>
        <v>#INVALID COMPANY ID</v>
      </c>
      <c r="J157" s="9" t="str">
        <f>_xll.SNL.Clients.Office.Excel.Functions.SPG(G157, "SP_COUNTRY_NAME")</f>
        <v>#INVALID COMPANY ID</v>
      </c>
      <c r="O157" s="9" t="str">
        <f>_xll.SNL.Clients.Office.Excel.Functions.SPG(L157, "SP_COUNTRY_NAME")</f>
        <v>#INVALID COMPANY ID</v>
      </c>
      <c r="T157" s="9" t="str">
        <f>_xll.SNL.Clients.Office.Excel.Functions.SPG(Q157, "SP_COUNTRY_NAME")</f>
        <v>#INVALID COMPANY ID</v>
      </c>
      <c r="Y157" s="9" t="str">
        <f>_xll.SNL.Clients.Office.Excel.Functions.SPG(V157, "SP_COUNTRY_NAME")</f>
        <v>#INVALID COMPANY ID</v>
      </c>
    </row>
    <row r="158" spans="5:25" x14ac:dyDescent="0.35">
      <c r="E158" s="9" t="str">
        <f>_xll.SNL.Clients.Office.Excel.Functions.SPG(B158, "SP_COUNTRY_NAME")</f>
        <v>#INVALID COMPANY ID</v>
      </c>
      <c r="J158" s="9" t="str">
        <f>_xll.SNL.Clients.Office.Excel.Functions.SPG(G158, "SP_COUNTRY_NAME")</f>
        <v>#INVALID COMPANY ID</v>
      </c>
      <c r="O158" s="9" t="str">
        <f>_xll.SNL.Clients.Office.Excel.Functions.SPG(L158, "SP_COUNTRY_NAME")</f>
        <v>#INVALID COMPANY ID</v>
      </c>
      <c r="T158" s="9" t="str">
        <f>_xll.SNL.Clients.Office.Excel.Functions.SPG(Q158, "SP_COUNTRY_NAME")</f>
        <v>#INVALID COMPANY ID</v>
      </c>
      <c r="Y158" s="9" t="str">
        <f>_xll.SNL.Clients.Office.Excel.Functions.SPG(V158, "SP_COUNTRY_NAME")</f>
        <v>#INVALID COMPANY ID</v>
      </c>
    </row>
    <row r="159" spans="5:25" x14ac:dyDescent="0.35">
      <c r="E159" s="9" t="str">
        <f>_xll.SNL.Clients.Office.Excel.Functions.SPG(B159, "SP_COUNTRY_NAME")</f>
        <v>#INVALID COMPANY ID</v>
      </c>
      <c r="J159" s="9" t="str">
        <f>_xll.SNL.Clients.Office.Excel.Functions.SPG(G159, "SP_COUNTRY_NAME")</f>
        <v>#INVALID COMPANY ID</v>
      </c>
      <c r="O159" s="9" t="str">
        <f>_xll.SNL.Clients.Office.Excel.Functions.SPG(L159, "SP_COUNTRY_NAME")</f>
        <v>#INVALID COMPANY ID</v>
      </c>
      <c r="T159" s="9" t="str">
        <f>_xll.SNL.Clients.Office.Excel.Functions.SPG(Q159, "SP_COUNTRY_NAME")</f>
        <v>#INVALID COMPANY ID</v>
      </c>
      <c r="Y159" s="9" t="str">
        <f>_xll.SNL.Clients.Office.Excel.Functions.SPG(V159, "SP_COUNTRY_NAME")</f>
        <v>#INVALID COMPANY ID</v>
      </c>
    </row>
    <row r="160" spans="5:25" x14ac:dyDescent="0.35">
      <c r="E160" s="9" t="str">
        <f>_xll.SNL.Clients.Office.Excel.Functions.SPG(B160, "SP_COUNTRY_NAME")</f>
        <v>#INVALID COMPANY ID</v>
      </c>
      <c r="J160" s="9" t="str">
        <f>_xll.SNL.Clients.Office.Excel.Functions.SPG(G160, "SP_COUNTRY_NAME")</f>
        <v>#INVALID COMPANY ID</v>
      </c>
      <c r="O160" s="9" t="str">
        <f>_xll.SNL.Clients.Office.Excel.Functions.SPG(L160, "SP_COUNTRY_NAME")</f>
        <v>#INVALID COMPANY ID</v>
      </c>
      <c r="T160" s="9" t="str">
        <f>_xll.SNL.Clients.Office.Excel.Functions.SPG(Q160, "SP_COUNTRY_NAME")</f>
        <v>#INVALID COMPANY ID</v>
      </c>
      <c r="Y160" s="9" t="str">
        <f>_xll.SNL.Clients.Office.Excel.Functions.SPG(V160, "SP_COUNTRY_NAME")</f>
        <v>#INVALID COMPANY ID</v>
      </c>
    </row>
    <row r="161" spans="5:25" x14ac:dyDescent="0.35">
      <c r="E161" s="9" t="str">
        <f>_xll.SNL.Clients.Office.Excel.Functions.SPG(B161, "SP_COUNTRY_NAME")</f>
        <v>#INVALID COMPANY ID</v>
      </c>
      <c r="J161" s="9" t="str">
        <f>_xll.SNL.Clients.Office.Excel.Functions.SPG(G161, "SP_COUNTRY_NAME")</f>
        <v>#INVALID COMPANY ID</v>
      </c>
      <c r="O161" s="9" t="str">
        <f>_xll.SNL.Clients.Office.Excel.Functions.SPG(L161, "SP_COUNTRY_NAME")</f>
        <v>#INVALID COMPANY ID</v>
      </c>
      <c r="T161" s="9" t="str">
        <f>_xll.SNL.Clients.Office.Excel.Functions.SPG(Q161, "SP_COUNTRY_NAME")</f>
        <v>#INVALID COMPANY ID</v>
      </c>
      <c r="Y161" s="9" t="str">
        <f>_xll.SNL.Clients.Office.Excel.Functions.SPG(V161, "SP_COUNTRY_NAME")</f>
        <v>#INVALID COMPANY ID</v>
      </c>
    </row>
    <row r="162" spans="5:25" x14ac:dyDescent="0.35">
      <c r="E162" s="9" t="str">
        <f>_xll.SNL.Clients.Office.Excel.Functions.SPG(B162, "SP_COUNTRY_NAME")</f>
        <v>#INVALID COMPANY ID</v>
      </c>
      <c r="J162" s="9" t="str">
        <f>_xll.SNL.Clients.Office.Excel.Functions.SPG(G162, "SP_COUNTRY_NAME")</f>
        <v>#INVALID COMPANY ID</v>
      </c>
      <c r="O162" s="9" t="str">
        <f>_xll.SNL.Clients.Office.Excel.Functions.SPG(L162, "SP_COUNTRY_NAME")</f>
        <v>#INVALID COMPANY ID</v>
      </c>
      <c r="T162" s="9" t="str">
        <f>_xll.SNL.Clients.Office.Excel.Functions.SPG(Q162, "SP_COUNTRY_NAME")</f>
        <v>#INVALID COMPANY ID</v>
      </c>
      <c r="Y162" s="9" t="str">
        <f>_xll.SNL.Clients.Office.Excel.Functions.SPG(V162, "SP_COUNTRY_NAME")</f>
        <v>#INVALID COMPANY ID</v>
      </c>
    </row>
    <row r="163" spans="5:25" x14ac:dyDescent="0.35">
      <c r="E163" s="9" t="str">
        <f>_xll.SNL.Clients.Office.Excel.Functions.SPG(B163, "SP_COUNTRY_NAME")</f>
        <v>#INVALID COMPANY ID</v>
      </c>
      <c r="J163" s="9" t="str">
        <f>_xll.SNL.Clients.Office.Excel.Functions.SPG(G163, "SP_COUNTRY_NAME")</f>
        <v>#INVALID COMPANY ID</v>
      </c>
      <c r="O163" s="9" t="str">
        <f>_xll.SNL.Clients.Office.Excel.Functions.SPG(L163, "SP_COUNTRY_NAME")</f>
        <v>#INVALID COMPANY ID</v>
      </c>
      <c r="T163" s="9" t="str">
        <f>_xll.SNL.Clients.Office.Excel.Functions.SPG(Q163, "SP_COUNTRY_NAME")</f>
        <v>#INVALID COMPANY ID</v>
      </c>
      <c r="Y163" s="9" t="str">
        <f>_xll.SNL.Clients.Office.Excel.Functions.SPG(V163, "SP_COUNTRY_NAME")</f>
        <v>#INVALID COMPANY ID</v>
      </c>
    </row>
    <row r="164" spans="5:25" x14ac:dyDescent="0.35">
      <c r="E164" s="9" t="str">
        <f>_xll.SNL.Clients.Office.Excel.Functions.SPG(B164, "SP_COUNTRY_NAME")</f>
        <v>#INVALID COMPANY ID</v>
      </c>
      <c r="J164" s="9" t="str">
        <f>_xll.SNL.Clients.Office.Excel.Functions.SPG(G164, "SP_COUNTRY_NAME")</f>
        <v>#INVALID COMPANY ID</v>
      </c>
      <c r="O164" s="9" t="str">
        <f>_xll.SNL.Clients.Office.Excel.Functions.SPG(L164, "SP_COUNTRY_NAME")</f>
        <v>#INVALID COMPANY ID</v>
      </c>
      <c r="T164" s="9" t="str">
        <f>_xll.SNL.Clients.Office.Excel.Functions.SPG(Q164, "SP_COUNTRY_NAME")</f>
        <v>#INVALID COMPANY ID</v>
      </c>
      <c r="Y164" s="9" t="str">
        <f>_xll.SNL.Clients.Office.Excel.Functions.SPG(V164, "SP_COUNTRY_NAME")</f>
        <v>#INVALID COMPANY ID</v>
      </c>
    </row>
    <row r="165" spans="5:25" x14ac:dyDescent="0.35">
      <c r="E165" s="9" t="str">
        <f>_xll.SNL.Clients.Office.Excel.Functions.SPG(B165, "SP_COUNTRY_NAME")</f>
        <v>#INVALID COMPANY ID</v>
      </c>
      <c r="J165" s="9" t="str">
        <f>_xll.SNL.Clients.Office.Excel.Functions.SPG(G165, "SP_COUNTRY_NAME")</f>
        <v>#INVALID COMPANY ID</v>
      </c>
      <c r="O165" s="9" t="str">
        <f>_xll.SNL.Clients.Office.Excel.Functions.SPG(L165, "SP_COUNTRY_NAME")</f>
        <v>#INVALID COMPANY ID</v>
      </c>
      <c r="T165" s="9" t="str">
        <f>_xll.SNL.Clients.Office.Excel.Functions.SPG(Q165, "SP_COUNTRY_NAME")</f>
        <v>#INVALID COMPANY ID</v>
      </c>
      <c r="Y165" s="9" t="str">
        <f>_xll.SNL.Clients.Office.Excel.Functions.SPG(V165, "SP_COUNTRY_NAME")</f>
        <v>#INVALID COMPANY ID</v>
      </c>
    </row>
    <row r="166" spans="5:25" x14ac:dyDescent="0.35">
      <c r="E166" s="9" t="str">
        <f>_xll.SNL.Clients.Office.Excel.Functions.SPG(B166, "SP_COUNTRY_NAME")</f>
        <v>#INVALID COMPANY ID</v>
      </c>
      <c r="J166" s="9" t="str">
        <f>_xll.SNL.Clients.Office.Excel.Functions.SPG(G166, "SP_COUNTRY_NAME")</f>
        <v>#INVALID COMPANY ID</v>
      </c>
      <c r="O166" s="9" t="str">
        <f>_xll.SNL.Clients.Office.Excel.Functions.SPG(L166, "SP_COUNTRY_NAME")</f>
        <v>#INVALID COMPANY ID</v>
      </c>
      <c r="T166" s="9" t="str">
        <f>_xll.SNL.Clients.Office.Excel.Functions.SPG(Q166, "SP_COUNTRY_NAME")</f>
        <v>#INVALID COMPANY ID</v>
      </c>
      <c r="Y166" s="9" t="str">
        <f>_xll.SNL.Clients.Office.Excel.Functions.SPG(V166, "SP_COUNTRY_NAME")</f>
        <v>#INVALID COMPANY ID</v>
      </c>
    </row>
    <row r="167" spans="5:25" x14ac:dyDescent="0.35">
      <c r="E167" s="9" t="str">
        <f>_xll.SNL.Clients.Office.Excel.Functions.SPG(B167, "SP_COUNTRY_NAME")</f>
        <v>#INVALID COMPANY ID</v>
      </c>
      <c r="J167" s="9" t="str">
        <f>_xll.SNL.Clients.Office.Excel.Functions.SPG(G167, "SP_COUNTRY_NAME")</f>
        <v>#INVALID COMPANY ID</v>
      </c>
      <c r="O167" s="9" t="str">
        <f>_xll.SNL.Clients.Office.Excel.Functions.SPG(L167, "SP_COUNTRY_NAME")</f>
        <v>#INVALID COMPANY ID</v>
      </c>
      <c r="T167" s="9" t="str">
        <f>_xll.SNL.Clients.Office.Excel.Functions.SPG(Q167, "SP_COUNTRY_NAME")</f>
        <v>#INVALID COMPANY ID</v>
      </c>
      <c r="Y167" s="9" t="str">
        <f>_xll.SNL.Clients.Office.Excel.Functions.SPG(V167, "SP_COUNTRY_NAME")</f>
        <v>#INVALID COMPANY ID</v>
      </c>
    </row>
    <row r="168" spans="5:25" x14ac:dyDescent="0.35">
      <c r="E168" s="9" t="str">
        <f>_xll.SNL.Clients.Office.Excel.Functions.SPG(B168, "SP_COUNTRY_NAME")</f>
        <v>#INVALID COMPANY ID</v>
      </c>
      <c r="J168" s="9" t="str">
        <f>_xll.SNL.Clients.Office.Excel.Functions.SPG(G168, "SP_COUNTRY_NAME")</f>
        <v>#INVALID COMPANY ID</v>
      </c>
      <c r="O168" s="9" t="str">
        <f>_xll.SNL.Clients.Office.Excel.Functions.SPG(L168, "SP_COUNTRY_NAME")</f>
        <v>#INVALID COMPANY ID</v>
      </c>
      <c r="T168" s="9" t="str">
        <f>_xll.SNL.Clients.Office.Excel.Functions.SPG(Q168, "SP_COUNTRY_NAME")</f>
        <v>#INVALID COMPANY ID</v>
      </c>
      <c r="Y168" s="9" t="str">
        <f>_xll.SNL.Clients.Office.Excel.Functions.SPG(V168, "SP_COUNTRY_NAME")</f>
        <v>#INVALID COMPANY ID</v>
      </c>
    </row>
    <row r="169" spans="5:25" x14ac:dyDescent="0.35">
      <c r="E169" s="9" t="str">
        <f>_xll.SNL.Clients.Office.Excel.Functions.SPG(B169, "SP_COUNTRY_NAME")</f>
        <v>#INVALID COMPANY ID</v>
      </c>
      <c r="J169" s="9" t="str">
        <f>_xll.SNL.Clients.Office.Excel.Functions.SPG(G169, "SP_COUNTRY_NAME")</f>
        <v>#INVALID COMPANY ID</v>
      </c>
      <c r="O169" s="9" t="str">
        <f>_xll.SNL.Clients.Office.Excel.Functions.SPG(L169, "SP_COUNTRY_NAME")</f>
        <v>#INVALID COMPANY ID</v>
      </c>
      <c r="T169" s="9" t="str">
        <f>_xll.SNL.Clients.Office.Excel.Functions.SPG(Q169, "SP_COUNTRY_NAME")</f>
        <v>#INVALID COMPANY ID</v>
      </c>
      <c r="Y169" s="9" t="str">
        <f>_xll.SNL.Clients.Office.Excel.Functions.SPG(V169, "SP_COUNTRY_NAME")</f>
        <v>#INVALID COMPANY ID</v>
      </c>
    </row>
    <row r="170" spans="5:25" x14ac:dyDescent="0.35">
      <c r="E170" s="9" t="str">
        <f>_xll.SNL.Clients.Office.Excel.Functions.SPG(B170, "SP_COUNTRY_NAME")</f>
        <v>#INVALID COMPANY ID</v>
      </c>
      <c r="J170" s="9" t="str">
        <f>_xll.SNL.Clients.Office.Excel.Functions.SPG(G170, "SP_COUNTRY_NAME")</f>
        <v>#INVALID COMPANY ID</v>
      </c>
      <c r="O170" s="9" t="str">
        <f>_xll.SNL.Clients.Office.Excel.Functions.SPG(L170, "SP_COUNTRY_NAME")</f>
        <v>#INVALID COMPANY ID</v>
      </c>
      <c r="T170" s="9" t="str">
        <f>_xll.SNL.Clients.Office.Excel.Functions.SPG(Q170, "SP_COUNTRY_NAME")</f>
        <v>#INVALID COMPANY ID</v>
      </c>
      <c r="Y170" s="9" t="str">
        <f>_xll.SNL.Clients.Office.Excel.Functions.SPG(V170, "SP_COUNTRY_NAME")</f>
        <v>#INVALID COMPANY ID</v>
      </c>
    </row>
    <row r="171" spans="5:25" x14ac:dyDescent="0.35">
      <c r="E171" s="9" t="str">
        <f>_xll.SNL.Clients.Office.Excel.Functions.SPG(B171, "SP_COUNTRY_NAME")</f>
        <v>#INVALID COMPANY ID</v>
      </c>
      <c r="J171" s="9" t="str">
        <f>_xll.SNL.Clients.Office.Excel.Functions.SPG(G171, "SP_COUNTRY_NAME")</f>
        <v>#INVALID COMPANY ID</v>
      </c>
      <c r="O171" s="9" t="str">
        <f>_xll.SNL.Clients.Office.Excel.Functions.SPG(L171, "SP_COUNTRY_NAME")</f>
        <v>#INVALID COMPANY ID</v>
      </c>
      <c r="T171" s="9" t="str">
        <f>_xll.SNL.Clients.Office.Excel.Functions.SPG(Q171, "SP_COUNTRY_NAME")</f>
        <v>#INVALID COMPANY ID</v>
      </c>
      <c r="Y171" s="9" t="str">
        <f>_xll.SNL.Clients.Office.Excel.Functions.SPG(V171, "SP_COUNTRY_NAME")</f>
        <v>#INVALID COMPANY ID</v>
      </c>
    </row>
    <row r="172" spans="5:25" x14ac:dyDescent="0.35">
      <c r="E172" s="9" t="str">
        <f>_xll.SNL.Clients.Office.Excel.Functions.SPG(B172, "SP_COUNTRY_NAME")</f>
        <v>#INVALID COMPANY ID</v>
      </c>
      <c r="J172" s="9" t="str">
        <f>_xll.SNL.Clients.Office.Excel.Functions.SPG(G172, "SP_COUNTRY_NAME")</f>
        <v>#INVALID COMPANY ID</v>
      </c>
      <c r="O172" s="9" t="str">
        <f>_xll.SNL.Clients.Office.Excel.Functions.SPG(L172, "SP_COUNTRY_NAME")</f>
        <v>#INVALID COMPANY ID</v>
      </c>
      <c r="T172" s="9" t="str">
        <f>_xll.SNL.Clients.Office.Excel.Functions.SPG(Q172, "SP_COUNTRY_NAME")</f>
        <v>#INVALID COMPANY ID</v>
      </c>
      <c r="Y172" s="9" t="str">
        <f>_xll.SNL.Clients.Office.Excel.Functions.SPG(V172, "SP_COUNTRY_NAME")</f>
        <v>#INVALID COMPANY ID</v>
      </c>
    </row>
    <row r="173" spans="5:25" x14ac:dyDescent="0.35">
      <c r="E173" s="9" t="str">
        <f>_xll.SNL.Clients.Office.Excel.Functions.SPG(B173, "SP_COUNTRY_NAME")</f>
        <v>#INVALID COMPANY ID</v>
      </c>
      <c r="J173" s="9" t="str">
        <f>_xll.SNL.Clients.Office.Excel.Functions.SPG(G173, "SP_COUNTRY_NAME")</f>
        <v>#INVALID COMPANY ID</v>
      </c>
      <c r="O173" s="9" t="str">
        <f>_xll.SNL.Clients.Office.Excel.Functions.SPG(L173, "SP_COUNTRY_NAME")</f>
        <v>#INVALID COMPANY ID</v>
      </c>
      <c r="T173" s="9" t="str">
        <f>_xll.SNL.Clients.Office.Excel.Functions.SPG(Q173, "SP_COUNTRY_NAME")</f>
        <v>#INVALID COMPANY ID</v>
      </c>
      <c r="Y173" s="9" t="str">
        <f>_xll.SNL.Clients.Office.Excel.Functions.SPG(V173, "SP_COUNTRY_NAME")</f>
        <v>#INVALID COMPANY ID</v>
      </c>
    </row>
    <row r="174" spans="5:25" x14ac:dyDescent="0.35">
      <c r="E174" s="9" t="str">
        <f>_xll.SNL.Clients.Office.Excel.Functions.SPG(B174, "SP_COUNTRY_NAME")</f>
        <v>#INVALID COMPANY ID</v>
      </c>
      <c r="J174" s="9" t="str">
        <f>_xll.SNL.Clients.Office.Excel.Functions.SPG(G174, "SP_COUNTRY_NAME")</f>
        <v>#INVALID COMPANY ID</v>
      </c>
      <c r="O174" s="9" t="str">
        <f>_xll.SNL.Clients.Office.Excel.Functions.SPG(L174, "SP_COUNTRY_NAME")</f>
        <v>#INVALID COMPANY ID</v>
      </c>
      <c r="T174" s="9" t="str">
        <f>_xll.SNL.Clients.Office.Excel.Functions.SPG(Q174, "SP_COUNTRY_NAME")</f>
        <v>#INVALID COMPANY ID</v>
      </c>
      <c r="Y174" s="9" t="str">
        <f>_xll.SNL.Clients.Office.Excel.Functions.SPG(V174, "SP_COUNTRY_NAME")</f>
        <v>#INVALID COMPANY ID</v>
      </c>
    </row>
    <row r="175" spans="5:25" x14ac:dyDescent="0.35">
      <c r="E175" s="9" t="str">
        <f>_xll.SNL.Clients.Office.Excel.Functions.SPG(B175, "SP_COUNTRY_NAME")</f>
        <v>#INVALID COMPANY ID</v>
      </c>
      <c r="J175" s="9" t="str">
        <f>_xll.SNL.Clients.Office.Excel.Functions.SPG(G175, "SP_COUNTRY_NAME")</f>
        <v>#INVALID COMPANY ID</v>
      </c>
      <c r="O175" s="9" t="str">
        <f>_xll.SNL.Clients.Office.Excel.Functions.SPG(L175, "SP_COUNTRY_NAME")</f>
        <v>#INVALID COMPANY ID</v>
      </c>
      <c r="T175" s="9" t="str">
        <f>_xll.SNL.Clients.Office.Excel.Functions.SPG(Q175, "SP_COUNTRY_NAME")</f>
        <v>#INVALID COMPANY ID</v>
      </c>
      <c r="Y175" s="9" t="str">
        <f>_xll.SNL.Clients.Office.Excel.Functions.SPG(V175, "SP_COUNTRY_NAME")</f>
        <v>#INVALID COMPANY ID</v>
      </c>
    </row>
    <row r="176" spans="5:25" x14ac:dyDescent="0.35">
      <c r="E176" s="9" t="str">
        <f>_xll.SNL.Clients.Office.Excel.Functions.SPG(B176, "SP_COUNTRY_NAME")</f>
        <v>#INVALID COMPANY ID</v>
      </c>
      <c r="J176" s="9" t="str">
        <f>_xll.SNL.Clients.Office.Excel.Functions.SPG(G176, "SP_COUNTRY_NAME")</f>
        <v>#INVALID COMPANY ID</v>
      </c>
      <c r="O176" s="9" t="str">
        <f>_xll.SNL.Clients.Office.Excel.Functions.SPG(L176, "SP_COUNTRY_NAME")</f>
        <v>#INVALID COMPANY ID</v>
      </c>
      <c r="T176" s="9" t="str">
        <f>_xll.SNL.Clients.Office.Excel.Functions.SPG(Q176, "SP_COUNTRY_NAME")</f>
        <v>#INVALID COMPANY ID</v>
      </c>
      <c r="Y176" s="9" t="str">
        <f>_xll.SNL.Clients.Office.Excel.Functions.SPG(V176, "SP_COUNTRY_NAME")</f>
        <v>#INVALID COMPANY ID</v>
      </c>
    </row>
    <row r="177" spans="5:25" x14ac:dyDescent="0.35">
      <c r="E177" s="9" t="str">
        <f>_xll.SNL.Clients.Office.Excel.Functions.SPG(B177, "SP_COUNTRY_NAME")</f>
        <v>#INVALID COMPANY ID</v>
      </c>
      <c r="J177" s="9" t="str">
        <f>_xll.SNL.Clients.Office.Excel.Functions.SPG(G177, "SP_COUNTRY_NAME")</f>
        <v>#INVALID COMPANY ID</v>
      </c>
      <c r="O177" s="9" t="str">
        <f>_xll.SNL.Clients.Office.Excel.Functions.SPG(L177, "SP_COUNTRY_NAME")</f>
        <v>#INVALID COMPANY ID</v>
      </c>
      <c r="T177" s="9" t="str">
        <f>_xll.SNL.Clients.Office.Excel.Functions.SPG(Q177, "SP_COUNTRY_NAME")</f>
        <v>#INVALID COMPANY ID</v>
      </c>
      <c r="Y177" s="9" t="str">
        <f>_xll.SNL.Clients.Office.Excel.Functions.SPG(V177, "SP_COUNTRY_NAME")</f>
        <v>#INVALID COMPANY ID</v>
      </c>
    </row>
    <row r="178" spans="5:25" x14ac:dyDescent="0.35">
      <c r="E178" s="9" t="str">
        <f>_xll.SNL.Clients.Office.Excel.Functions.SPG(B178, "SP_COUNTRY_NAME")</f>
        <v>#INVALID COMPANY ID</v>
      </c>
      <c r="J178" s="9" t="str">
        <f>_xll.SNL.Clients.Office.Excel.Functions.SPG(G178, "SP_COUNTRY_NAME")</f>
        <v>#INVALID COMPANY ID</v>
      </c>
      <c r="O178" s="9" t="str">
        <f>_xll.SNL.Clients.Office.Excel.Functions.SPG(L178, "SP_COUNTRY_NAME")</f>
        <v>#INVALID COMPANY ID</v>
      </c>
      <c r="T178" s="9" t="str">
        <f>_xll.SNL.Clients.Office.Excel.Functions.SPG(Q178, "SP_COUNTRY_NAME")</f>
        <v>#INVALID COMPANY ID</v>
      </c>
      <c r="Y178" s="9" t="str">
        <f>_xll.SNL.Clients.Office.Excel.Functions.SPG(V178, "SP_COUNTRY_NAME")</f>
        <v>#INVALID COMPANY ID</v>
      </c>
    </row>
    <row r="179" spans="5:25" x14ac:dyDescent="0.35">
      <c r="E179" s="9" t="str">
        <f>_xll.SNL.Clients.Office.Excel.Functions.SPG(B179, "SP_COUNTRY_NAME")</f>
        <v>#INVALID COMPANY ID</v>
      </c>
      <c r="J179" s="9" t="str">
        <f>_xll.SNL.Clients.Office.Excel.Functions.SPG(G179, "SP_COUNTRY_NAME")</f>
        <v>#INVALID COMPANY ID</v>
      </c>
      <c r="O179" s="9" t="str">
        <f>_xll.SNL.Clients.Office.Excel.Functions.SPG(L179, "SP_COUNTRY_NAME")</f>
        <v>#INVALID COMPANY ID</v>
      </c>
      <c r="T179" s="9" t="str">
        <f>_xll.SNL.Clients.Office.Excel.Functions.SPG(Q179, "SP_COUNTRY_NAME")</f>
        <v>#INVALID COMPANY ID</v>
      </c>
      <c r="Y179" s="9" t="str">
        <f>_xll.SNL.Clients.Office.Excel.Functions.SPG(V179, "SP_COUNTRY_NAME")</f>
        <v>#INVALID COMPANY ID</v>
      </c>
    </row>
    <row r="180" spans="5:25" x14ac:dyDescent="0.35">
      <c r="E180" s="9" t="str">
        <f>_xll.SNL.Clients.Office.Excel.Functions.SPG(B180, "SP_COUNTRY_NAME")</f>
        <v>#INVALID COMPANY ID</v>
      </c>
      <c r="J180" s="9" t="str">
        <f>_xll.SNL.Clients.Office.Excel.Functions.SPG(G180, "SP_COUNTRY_NAME")</f>
        <v>#INVALID COMPANY ID</v>
      </c>
      <c r="O180" s="9" t="str">
        <f>_xll.SNL.Clients.Office.Excel.Functions.SPG(L180, "SP_COUNTRY_NAME")</f>
        <v>#INVALID COMPANY ID</v>
      </c>
      <c r="T180" s="9" t="str">
        <f>_xll.SNL.Clients.Office.Excel.Functions.SPG(Q180, "SP_COUNTRY_NAME")</f>
        <v>#INVALID COMPANY ID</v>
      </c>
      <c r="Y180" s="9" t="str">
        <f>_xll.SNL.Clients.Office.Excel.Functions.SPG(V180, "SP_COUNTRY_NAME")</f>
        <v>#INVALID COMPANY ID</v>
      </c>
    </row>
    <row r="181" spans="5:25" x14ac:dyDescent="0.35">
      <c r="E181" s="9" t="str">
        <f>_xll.SNL.Clients.Office.Excel.Functions.SPG(B181, "SP_COUNTRY_NAME")</f>
        <v>#INVALID COMPANY ID</v>
      </c>
      <c r="J181" s="9" t="str">
        <f>_xll.SNL.Clients.Office.Excel.Functions.SPG(G181, "SP_COUNTRY_NAME")</f>
        <v>#INVALID COMPANY ID</v>
      </c>
      <c r="O181" s="9" t="str">
        <f>_xll.SNL.Clients.Office.Excel.Functions.SPG(L181, "SP_COUNTRY_NAME")</f>
        <v>#INVALID COMPANY ID</v>
      </c>
      <c r="T181" s="9" t="str">
        <f>_xll.SNL.Clients.Office.Excel.Functions.SPG(Q181, "SP_COUNTRY_NAME")</f>
        <v>#INVALID COMPANY ID</v>
      </c>
      <c r="Y181" s="9" t="str">
        <f>_xll.SNL.Clients.Office.Excel.Functions.SPG(V181, "SP_COUNTRY_NAME")</f>
        <v>#INVALID COMPANY ID</v>
      </c>
    </row>
    <row r="182" spans="5:25" x14ac:dyDescent="0.35">
      <c r="E182" s="9" t="str">
        <f>_xll.SNL.Clients.Office.Excel.Functions.SPG(B182, "SP_COUNTRY_NAME")</f>
        <v>#INVALID COMPANY ID</v>
      </c>
      <c r="J182" s="9" t="str">
        <f>_xll.SNL.Clients.Office.Excel.Functions.SPG(G182, "SP_COUNTRY_NAME")</f>
        <v>#INVALID COMPANY ID</v>
      </c>
      <c r="O182" s="9" t="str">
        <f>_xll.SNL.Clients.Office.Excel.Functions.SPG(L182, "SP_COUNTRY_NAME")</f>
        <v>#INVALID COMPANY ID</v>
      </c>
      <c r="T182" s="9" t="str">
        <f>_xll.SNL.Clients.Office.Excel.Functions.SPG(Q182, "SP_COUNTRY_NAME")</f>
        <v>#INVALID COMPANY ID</v>
      </c>
      <c r="Y182" s="9" t="str">
        <f>_xll.SNL.Clients.Office.Excel.Functions.SPG(V182, "SP_COUNTRY_NAME")</f>
        <v>#INVALID COMPANY ID</v>
      </c>
    </row>
    <row r="183" spans="5:25" x14ac:dyDescent="0.35">
      <c r="E183" s="9" t="str">
        <f>_xll.SNL.Clients.Office.Excel.Functions.SPG(B183, "SP_COUNTRY_NAME")</f>
        <v>#INVALID COMPANY ID</v>
      </c>
      <c r="J183" s="9" t="str">
        <f>_xll.SNL.Clients.Office.Excel.Functions.SPG(G183, "SP_COUNTRY_NAME")</f>
        <v>#INVALID COMPANY ID</v>
      </c>
      <c r="O183" s="9" t="str">
        <f>_xll.SNL.Clients.Office.Excel.Functions.SPG(L183, "SP_COUNTRY_NAME")</f>
        <v>#INVALID COMPANY ID</v>
      </c>
      <c r="T183" s="9" t="str">
        <f>_xll.SNL.Clients.Office.Excel.Functions.SPG(Q183, "SP_COUNTRY_NAME")</f>
        <v>#INVALID COMPANY ID</v>
      </c>
      <c r="Y183" s="9" t="str">
        <f>_xll.SNL.Clients.Office.Excel.Functions.SPG(V183, "SP_COUNTRY_NAME")</f>
        <v>#INVALID COMPANY ID</v>
      </c>
    </row>
    <row r="184" spans="5:25" x14ac:dyDescent="0.35">
      <c r="E184" s="9" t="str">
        <f>_xll.SNL.Clients.Office.Excel.Functions.SPG(B184, "SP_COUNTRY_NAME")</f>
        <v>#INVALID COMPANY ID</v>
      </c>
      <c r="J184" s="9" t="str">
        <f>_xll.SNL.Clients.Office.Excel.Functions.SPG(G184, "SP_COUNTRY_NAME")</f>
        <v>#INVALID COMPANY ID</v>
      </c>
      <c r="O184" s="9" t="str">
        <f>_xll.SNL.Clients.Office.Excel.Functions.SPG(L184, "SP_COUNTRY_NAME")</f>
        <v>#INVALID COMPANY ID</v>
      </c>
      <c r="T184" s="9" t="str">
        <f>_xll.SNL.Clients.Office.Excel.Functions.SPG(Q184, "SP_COUNTRY_NAME")</f>
        <v>#INVALID COMPANY ID</v>
      </c>
      <c r="Y184" s="9" t="str">
        <f>_xll.SNL.Clients.Office.Excel.Functions.SPG(V184, "SP_COUNTRY_NAME")</f>
        <v>#INVALID COMPANY ID</v>
      </c>
    </row>
    <row r="185" spans="5:25" x14ac:dyDescent="0.35">
      <c r="E185" s="9" t="str">
        <f>_xll.SNL.Clients.Office.Excel.Functions.SPG(B185, "SP_COUNTRY_NAME")</f>
        <v>#INVALID COMPANY ID</v>
      </c>
      <c r="J185" s="9" t="str">
        <f>_xll.SNL.Clients.Office.Excel.Functions.SPG(G185, "SP_COUNTRY_NAME")</f>
        <v>#INVALID COMPANY ID</v>
      </c>
      <c r="O185" s="9" t="str">
        <f>_xll.SNL.Clients.Office.Excel.Functions.SPG(L185, "SP_COUNTRY_NAME")</f>
        <v>#INVALID COMPANY ID</v>
      </c>
      <c r="T185" s="9" t="str">
        <f>_xll.SNL.Clients.Office.Excel.Functions.SPG(Q185, "SP_COUNTRY_NAME")</f>
        <v>#INVALID COMPANY ID</v>
      </c>
      <c r="Y185" s="9" t="str">
        <f>_xll.SNL.Clients.Office.Excel.Functions.SPG(V185, "SP_COUNTRY_NAME")</f>
        <v>#INVALID COMPANY ID</v>
      </c>
    </row>
    <row r="186" spans="5:25" x14ac:dyDescent="0.35">
      <c r="E186" s="9" t="str">
        <f>_xll.SNL.Clients.Office.Excel.Functions.SPG(B186, "SP_COUNTRY_NAME")</f>
        <v>#INVALID COMPANY ID</v>
      </c>
      <c r="J186" s="9" t="str">
        <f>_xll.SNL.Clients.Office.Excel.Functions.SPG(G186, "SP_COUNTRY_NAME")</f>
        <v>#INVALID COMPANY ID</v>
      </c>
      <c r="O186" s="9" t="str">
        <f>_xll.SNL.Clients.Office.Excel.Functions.SPG(L186, "SP_COUNTRY_NAME")</f>
        <v>#INVALID COMPANY ID</v>
      </c>
      <c r="T186" s="9" t="str">
        <f>_xll.SNL.Clients.Office.Excel.Functions.SPG(Q186, "SP_COUNTRY_NAME")</f>
        <v>#INVALID COMPANY ID</v>
      </c>
      <c r="Y186" s="9" t="str">
        <f>_xll.SNL.Clients.Office.Excel.Functions.SPG(V186, "SP_COUNTRY_NAME")</f>
        <v>#INVALID COMPANY ID</v>
      </c>
    </row>
    <row r="187" spans="5:25" x14ac:dyDescent="0.35">
      <c r="E187" s="9" t="str">
        <f>_xll.SNL.Clients.Office.Excel.Functions.SPG(B187, "SP_COUNTRY_NAME")</f>
        <v>#INVALID COMPANY ID</v>
      </c>
      <c r="J187" s="9" t="str">
        <f>_xll.SNL.Clients.Office.Excel.Functions.SPG(G187, "SP_COUNTRY_NAME")</f>
        <v>#INVALID COMPANY ID</v>
      </c>
      <c r="O187" s="9" t="str">
        <f>_xll.SNL.Clients.Office.Excel.Functions.SPG(L187, "SP_COUNTRY_NAME")</f>
        <v>#INVALID COMPANY ID</v>
      </c>
      <c r="T187" s="9" t="str">
        <f>_xll.SNL.Clients.Office.Excel.Functions.SPG(Q187, "SP_COUNTRY_NAME")</f>
        <v>#INVALID COMPANY ID</v>
      </c>
      <c r="Y187" s="9" t="str">
        <f>_xll.SNL.Clients.Office.Excel.Functions.SPG(V187, "SP_COUNTRY_NAME")</f>
        <v>#INVALID COMPANY ID</v>
      </c>
    </row>
    <row r="188" spans="5:25" x14ac:dyDescent="0.35">
      <c r="E188" s="9" t="str">
        <f>_xll.SNL.Clients.Office.Excel.Functions.SPG(B188, "SP_COUNTRY_NAME")</f>
        <v>#INVALID COMPANY ID</v>
      </c>
      <c r="J188" s="9" t="str">
        <f>_xll.SNL.Clients.Office.Excel.Functions.SPG(G188, "SP_COUNTRY_NAME")</f>
        <v>#INVALID COMPANY ID</v>
      </c>
      <c r="O188" s="9" t="str">
        <f>_xll.SNL.Clients.Office.Excel.Functions.SPG(L188, "SP_COUNTRY_NAME")</f>
        <v>#INVALID COMPANY ID</v>
      </c>
      <c r="T188" s="9" t="str">
        <f>_xll.SNL.Clients.Office.Excel.Functions.SPG(Q188, "SP_COUNTRY_NAME")</f>
        <v>#INVALID COMPANY ID</v>
      </c>
      <c r="Y188" s="9" t="str">
        <f>_xll.SNL.Clients.Office.Excel.Functions.SPG(V188, "SP_COUNTRY_NAME")</f>
        <v>#INVALID COMPANY ID</v>
      </c>
    </row>
    <row r="189" spans="5:25" x14ac:dyDescent="0.35">
      <c r="E189" s="9" t="str">
        <f>_xll.SNL.Clients.Office.Excel.Functions.SPG(B189, "SP_COUNTRY_NAME")</f>
        <v>#INVALID COMPANY ID</v>
      </c>
      <c r="J189" s="9" t="str">
        <f>_xll.SNL.Clients.Office.Excel.Functions.SPG(G189, "SP_COUNTRY_NAME")</f>
        <v>#INVALID COMPANY ID</v>
      </c>
      <c r="O189" s="9" t="str">
        <f>_xll.SNL.Clients.Office.Excel.Functions.SPG(L189, "SP_COUNTRY_NAME")</f>
        <v>#INVALID COMPANY ID</v>
      </c>
      <c r="T189" s="9" t="str">
        <f>_xll.SNL.Clients.Office.Excel.Functions.SPG(Q189, "SP_COUNTRY_NAME")</f>
        <v>#INVALID COMPANY ID</v>
      </c>
      <c r="Y189" s="9" t="str">
        <f>_xll.SNL.Clients.Office.Excel.Functions.SPG(V189, "SP_COUNTRY_NAME")</f>
        <v>#INVALID COMPANY ID</v>
      </c>
    </row>
    <row r="190" spans="5:25" x14ac:dyDescent="0.35">
      <c r="E190" s="9" t="str">
        <f>_xll.SNL.Clients.Office.Excel.Functions.SPG(B190, "SP_COUNTRY_NAME")</f>
        <v>#INVALID COMPANY ID</v>
      </c>
      <c r="J190" s="9" t="str">
        <f>_xll.SNL.Clients.Office.Excel.Functions.SPG(G190, "SP_COUNTRY_NAME")</f>
        <v>#INVALID COMPANY ID</v>
      </c>
      <c r="O190" s="9" t="str">
        <f>_xll.SNL.Clients.Office.Excel.Functions.SPG(L190, "SP_COUNTRY_NAME")</f>
        <v>#INVALID COMPANY ID</v>
      </c>
      <c r="T190" s="9" t="str">
        <f>_xll.SNL.Clients.Office.Excel.Functions.SPG(Q190, "SP_COUNTRY_NAME")</f>
        <v>#INVALID COMPANY ID</v>
      </c>
      <c r="Y190" s="9" t="str">
        <f>_xll.SNL.Clients.Office.Excel.Functions.SPG(V190, "SP_COUNTRY_NAME")</f>
        <v>#INVALID COMPANY ID</v>
      </c>
    </row>
    <row r="191" spans="5:25" x14ac:dyDescent="0.35">
      <c r="E191" s="9" t="str">
        <f>_xll.SNL.Clients.Office.Excel.Functions.SPG(B191, "SP_COUNTRY_NAME")</f>
        <v>#INVALID COMPANY ID</v>
      </c>
      <c r="J191" s="9" t="str">
        <f>_xll.SNL.Clients.Office.Excel.Functions.SPG(G191, "SP_COUNTRY_NAME")</f>
        <v>#INVALID COMPANY ID</v>
      </c>
      <c r="O191" s="9" t="str">
        <f>_xll.SNL.Clients.Office.Excel.Functions.SPG(L191, "SP_COUNTRY_NAME")</f>
        <v>#INVALID COMPANY ID</v>
      </c>
      <c r="T191" s="9" t="str">
        <f>_xll.SNL.Clients.Office.Excel.Functions.SPG(Q191, "SP_COUNTRY_NAME")</f>
        <v>#INVALID COMPANY ID</v>
      </c>
      <c r="Y191" s="9" t="str">
        <f>_xll.SNL.Clients.Office.Excel.Functions.SPG(V191, "SP_COUNTRY_NAME")</f>
        <v>#INVALID COMPANY ID</v>
      </c>
    </row>
    <row r="192" spans="5:25" x14ac:dyDescent="0.35">
      <c r="E192" s="9" t="str">
        <f>_xll.SNL.Clients.Office.Excel.Functions.SPG(B192, "SP_COUNTRY_NAME")</f>
        <v>#INVALID COMPANY ID</v>
      </c>
      <c r="J192" s="9" t="str">
        <f>_xll.SNL.Clients.Office.Excel.Functions.SPG(G192, "SP_COUNTRY_NAME")</f>
        <v>#INVALID COMPANY ID</v>
      </c>
      <c r="O192" s="9" t="str">
        <f>_xll.SNL.Clients.Office.Excel.Functions.SPG(L192, "SP_COUNTRY_NAME")</f>
        <v>#INVALID COMPANY ID</v>
      </c>
      <c r="T192" s="9" t="str">
        <f>_xll.SNL.Clients.Office.Excel.Functions.SPG(Q192, "SP_COUNTRY_NAME")</f>
        <v>#INVALID COMPANY ID</v>
      </c>
      <c r="Y192" s="9" t="str">
        <f>_xll.SNL.Clients.Office.Excel.Functions.SPG(V192, "SP_COUNTRY_NAME")</f>
        <v>#INVALID COMPANY ID</v>
      </c>
    </row>
    <row r="193" spans="5:25" x14ac:dyDescent="0.35">
      <c r="E193" s="9" t="str">
        <f>_xll.SNL.Clients.Office.Excel.Functions.SPG(B193, "SP_COUNTRY_NAME")</f>
        <v>#INVALID COMPANY ID</v>
      </c>
      <c r="J193" s="9" t="str">
        <f>_xll.SNL.Clients.Office.Excel.Functions.SPG(G193, "SP_COUNTRY_NAME")</f>
        <v>#INVALID COMPANY ID</v>
      </c>
      <c r="O193" s="9" t="str">
        <f>_xll.SNL.Clients.Office.Excel.Functions.SPG(L193, "SP_COUNTRY_NAME")</f>
        <v>#INVALID COMPANY ID</v>
      </c>
      <c r="T193" s="9" t="str">
        <f>_xll.SNL.Clients.Office.Excel.Functions.SPG(Q193, "SP_COUNTRY_NAME")</f>
        <v>#INVALID COMPANY ID</v>
      </c>
      <c r="Y193" s="9" t="str">
        <f>_xll.SNL.Clients.Office.Excel.Functions.SPG(V193, "SP_COUNTRY_NAME")</f>
        <v>#INVALID COMPANY ID</v>
      </c>
    </row>
    <row r="194" spans="5:25" x14ac:dyDescent="0.35">
      <c r="E194" s="9" t="str">
        <f>_xll.SNL.Clients.Office.Excel.Functions.SPG(B194, "SP_COUNTRY_NAME")</f>
        <v>#INVALID COMPANY ID</v>
      </c>
      <c r="J194" s="9" t="str">
        <f>_xll.SNL.Clients.Office.Excel.Functions.SPG(G194, "SP_COUNTRY_NAME")</f>
        <v>#INVALID COMPANY ID</v>
      </c>
      <c r="O194" s="9" t="str">
        <f>_xll.SNL.Clients.Office.Excel.Functions.SPG(L194, "SP_COUNTRY_NAME")</f>
        <v>#INVALID COMPANY ID</v>
      </c>
      <c r="T194" s="9" t="str">
        <f>_xll.SNL.Clients.Office.Excel.Functions.SPG(Q194, "SP_COUNTRY_NAME")</f>
        <v>#INVALID COMPANY ID</v>
      </c>
      <c r="Y194" s="9" t="str">
        <f>_xll.SNL.Clients.Office.Excel.Functions.SPG(V194, "SP_COUNTRY_NAME")</f>
        <v>#INVALID COMPANY ID</v>
      </c>
    </row>
    <row r="195" spans="5:25" x14ac:dyDescent="0.35">
      <c r="E195" s="9" t="str">
        <f>_xll.SNL.Clients.Office.Excel.Functions.SPG(B195, "SP_COUNTRY_NAME")</f>
        <v>#INVALID COMPANY ID</v>
      </c>
      <c r="J195" s="9" t="str">
        <f>_xll.SNL.Clients.Office.Excel.Functions.SPG(G195, "SP_COUNTRY_NAME")</f>
        <v>#INVALID COMPANY ID</v>
      </c>
      <c r="O195" s="9" t="str">
        <f>_xll.SNL.Clients.Office.Excel.Functions.SPG(L195, "SP_COUNTRY_NAME")</f>
        <v>#INVALID COMPANY ID</v>
      </c>
      <c r="T195" s="9" t="str">
        <f>_xll.SNL.Clients.Office.Excel.Functions.SPG(Q195, "SP_COUNTRY_NAME")</f>
        <v>#INVALID COMPANY ID</v>
      </c>
      <c r="Y195" s="9" t="str">
        <f>_xll.SNL.Clients.Office.Excel.Functions.SPG(V195, "SP_COUNTRY_NAME")</f>
        <v>#INVALID COMPANY ID</v>
      </c>
    </row>
    <row r="196" spans="5:25" x14ac:dyDescent="0.35">
      <c r="E196" s="9" t="str">
        <f>_xll.SNL.Clients.Office.Excel.Functions.SPG(B196, "SP_COUNTRY_NAME")</f>
        <v>#INVALID COMPANY ID</v>
      </c>
      <c r="J196" s="9" t="str">
        <f>_xll.SNL.Clients.Office.Excel.Functions.SPG(G196, "SP_COUNTRY_NAME")</f>
        <v>#INVALID COMPANY ID</v>
      </c>
      <c r="O196" s="9" t="str">
        <f>_xll.SNL.Clients.Office.Excel.Functions.SPG(L196, "SP_COUNTRY_NAME")</f>
        <v>#INVALID COMPANY ID</v>
      </c>
      <c r="T196" s="9" t="str">
        <f>_xll.SNL.Clients.Office.Excel.Functions.SPG(Q196, "SP_COUNTRY_NAME")</f>
        <v>#INVALID COMPANY ID</v>
      </c>
      <c r="Y196" s="9" t="str">
        <f>_xll.SNL.Clients.Office.Excel.Functions.SPG(V196, "SP_COUNTRY_NAME")</f>
        <v>#INVALID COMPANY ID</v>
      </c>
    </row>
    <row r="197" spans="5:25" x14ac:dyDescent="0.35">
      <c r="E197" s="9" t="str">
        <f>_xll.SNL.Clients.Office.Excel.Functions.SPG(B197, "SP_COUNTRY_NAME")</f>
        <v>#INVALID COMPANY ID</v>
      </c>
      <c r="J197" s="9" t="str">
        <f>_xll.SNL.Clients.Office.Excel.Functions.SPG(G197, "SP_COUNTRY_NAME")</f>
        <v>#INVALID COMPANY ID</v>
      </c>
      <c r="O197" s="9" t="str">
        <f>_xll.SNL.Clients.Office.Excel.Functions.SPG(L197, "SP_COUNTRY_NAME")</f>
        <v>#INVALID COMPANY ID</v>
      </c>
      <c r="T197" s="9" t="str">
        <f>_xll.SNL.Clients.Office.Excel.Functions.SPG(Q197, "SP_COUNTRY_NAME")</f>
        <v>#INVALID COMPANY ID</v>
      </c>
      <c r="Y197" s="9" t="str">
        <f>_xll.SNL.Clients.Office.Excel.Functions.SPG(V197, "SP_COUNTRY_NAME")</f>
        <v>#INVALID COMPANY ID</v>
      </c>
    </row>
    <row r="198" spans="5:25" x14ac:dyDescent="0.35">
      <c r="E198" s="9" t="str">
        <f>_xll.SNL.Clients.Office.Excel.Functions.SPG(B198, "SP_COUNTRY_NAME")</f>
        <v>#INVALID COMPANY ID</v>
      </c>
      <c r="J198" s="9" t="str">
        <f>_xll.SNL.Clients.Office.Excel.Functions.SPG(G198, "SP_COUNTRY_NAME")</f>
        <v>#INVALID COMPANY ID</v>
      </c>
      <c r="O198" s="9" t="str">
        <f>_xll.SNL.Clients.Office.Excel.Functions.SPG(L198, "SP_COUNTRY_NAME")</f>
        <v>#INVALID COMPANY ID</v>
      </c>
      <c r="T198" s="9" t="str">
        <f>_xll.SNL.Clients.Office.Excel.Functions.SPG(Q198, "SP_COUNTRY_NAME")</f>
        <v>#INVALID COMPANY ID</v>
      </c>
      <c r="Y198" s="9" t="str">
        <f>_xll.SNL.Clients.Office.Excel.Functions.SPG(V198, "SP_COUNTRY_NAME")</f>
        <v>#INVALID COMPANY ID</v>
      </c>
    </row>
    <row r="199" spans="5:25" x14ac:dyDescent="0.35">
      <c r="E199" s="9" t="str">
        <f>_xll.SNL.Clients.Office.Excel.Functions.SPG(B199, "SP_COUNTRY_NAME")</f>
        <v>#INVALID COMPANY ID</v>
      </c>
      <c r="J199" s="9" t="str">
        <f>_xll.SNL.Clients.Office.Excel.Functions.SPG(G199, "SP_COUNTRY_NAME")</f>
        <v>#INVALID COMPANY ID</v>
      </c>
      <c r="O199" s="9" t="str">
        <f>_xll.SNL.Clients.Office.Excel.Functions.SPG(L199, "SP_COUNTRY_NAME")</f>
        <v>#INVALID COMPANY ID</v>
      </c>
      <c r="T199" s="9" t="str">
        <f>_xll.SNL.Clients.Office.Excel.Functions.SPG(Q199, "SP_COUNTRY_NAME")</f>
        <v>#INVALID COMPANY ID</v>
      </c>
      <c r="Y199" s="9" t="str">
        <f>_xll.SNL.Clients.Office.Excel.Functions.SPG(V199, "SP_COUNTRY_NAME")</f>
        <v>#INVALID COMPANY ID</v>
      </c>
    </row>
    <row r="200" spans="5:25" x14ac:dyDescent="0.35">
      <c r="E200" s="9" t="str">
        <f>_xll.SNL.Clients.Office.Excel.Functions.SPG(B200, "SP_COUNTRY_NAME")</f>
        <v>#INVALID COMPANY ID</v>
      </c>
      <c r="J200" s="9" t="str">
        <f>_xll.SNL.Clients.Office.Excel.Functions.SPG(G200, "SP_COUNTRY_NAME")</f>
        <v>#INVALID COMPANY ID</v>
      </c>
      <c r="O200" s="9" t="str">
        <f>_xll.SNL.Clients.Office.Excel.Functions.SPG(L200, "SP_COUNTRY_NAME")</f>
        <v>#INVALID COMPANY ID</v>
      </c>
      <c r="T200" s="9" t="str">
        <f>_xll.SNL.Clients.Office.Excel.Functions.SPG(Q200, "SP_COUNTRY_NAME")</f>
        <v>#INVALID COMPANY ID</v>
      </c>
      <c r="Y200" s="9" t="str">
        <f>_xll.SNL.Clients.Office.Excel.Functions.SPG(V200, "SP_COUNTRY_NAME")</f>
        <v>#INVALID COMPANY ID</v>
      </c>
    </row>
    <row r="201" spans="5:25" x14ac:dyDescent="0.35">
      <c r="E201" s="9" t="str">
        <f>_xll.SNL.Clients.Office.Excel.Functions.SPG(B201, "SP_COUNTRY_NAME")</f>
        <v>#INVALID COMPANY ID</v>
      </c>
      <c r="J201" s="9" t="str">
        <f>_xll.SNL.Clients.Office.Excel.Functions.SPG(G201, "SP_COUNTRY_NAME")</f>
        <v>#INVALID COMPANY ID</v>
      </c>
      <c r="O201" s="9" t="str">
        <f>_xll.SNL.Clients.Office.Excel.Functions.SPG(L201, "SP_COUNTRY_NAME")</f>
        <v>#INVALID COMPANY ID</v>
      </c>
      <c r="T201" s="9" t="str">
        <f>_xll.SNL.Clients.Office.Excel.Functions.SPG(Q201, "SP_COUNTRY_NAME")</f>
        <v>#INVALID COMPANY ID</v>
      </c>
      <c r="Y201" s="9" t="str">
        <f>_xll.SNL.Clients.Office.Excel.Functions.SPG(V201, "SP_COUNTRY_NAME")</f>
        <v>#INVALID COMPANY ID</v>
      </c>
    </row>
    <row r="202" spans="5:25" x14ac:dyDescent="0.35">
      <c r="E202" s="9" t="str">
        <f>_xll.SNL.Clients.Office.Excel.Functions.SPG(B202, "SP_COUNTRY_NAME")</f>
        <v>#INVALID COMPANY ID</v>
      </c>
      <c r="J202" s="9" t="str">
        <f>_xll.SNL.Clients.Office.Excel.Functions.SPG(G202, "SP_COUNTRY_NAME")</f>
        <v>#INVALID COMPANY ID</v>
      </c>
      <c r="O202" s="9" t="str">
        <f>_xll.SNL.Clients.Office.Excel.Functions.SPG(L202, "SP_COUNTRY_NAME")</f>
        <v>#INVALID COMPANY ID</v>
      </c>
      <c r="T202" s="9" t="str">
        <f>_xll.SNL.Clients.Office.Excel.Functions.SPG(Q202, "SP_COUNTRY_NAME")</f>
        <v>#INVALID COMPANY ID</v>
      </c>
      <c r="Y202" s="9" t="str">
        <f>_xll.SNL.Clients.Office.Excel.Functions.SPG(V202, "SP_COUNTRY_NAME")</f>
        <v>#INVALID COMPANY ID</v>
      </c>
    </row>
    <row r="203" spans="5:25" x14ac:dyDescent="0.35">
      <c r="E203" s="9" t="str">
        <f>_xll.SNL.Clients.Office.Excel.Functions.SPG(B203, "SP_COUNTRY_NAME")</f>
        <v>#INVALID COMPANY ID</v>
      </c>
      <c r="J203" s="9" t="str">
        <f>_xll.SNL.Clients.Office.Excel.Functions.SPG(G203, "SP_COUNTRY_NAME")</f>
        <v>#INVALID COMPANY ID</v>
      </c>
      <c r="O203" s="9" t="str">
        <f>_xll.SNL.Clients.Office.Excel.Functions.SPG(L203, "SP_COUNTRY_NAME")</f>
        <v>#INVALID COMPANY ID</v>
      </c>
      <c r="T203" s="9" t="str">
        <f>_xll.SNL.Clients.Office.Excel.Functions.SPG(Q203, "SP_COUNTRY_NAME")</f>
        <v>#INVALID COMPANY ID</v>
      </c>
      <c r="Y203" s="9" t="str">
        <f>_xll.SNL.Clients.Office.Excel.Functions.SPG(V203, "SP_COUNTRY_NAME")</f>
        <v>#INVALID COMPANY ID</v>
      </c>
    </row>
    <row r="204" spans="5:25" x14ac:dyDescent="0.35">
      <c r="E204" s="9" t="str">
        <f>_xll.SNL.Clients.Office.Excel.Functions.SPG(B204, "SP_COUNTRY_NAME")</f>
        <v>#INVALID COMPANY ID</v>
      </c>
      <c r="J204" s="9" t="str">
        <f>_xll.SNL.Clients.Office.Excel.Functions.SPG(G204, "SP_COUNTRY_NAME")</f>
        <v>#INVALID COMPANY ID</v>
      </c>
      <c r="O204" s="9" t="str">
        <f>_xll.SNL.Clients.Office.Excel.Functions.SPG(L204, "SP_COUNTRY_NAME")</f>
        <v>#INVALID COMPANY ID</v>
      </c>
      <c r="T204" s="9" t="str">
        <f>_xll.SNL.Clients.Office.Excel.Functions.SPG(Q204, "SP_COUNTRY_NAME")</f>
        <v>#INVALID COMPANY ID</v>
      </c>
      <c r="Y204" s="9" t="str">
        <f>_xll.SNL.Clients.Office.Excel.Functions.SPG(V204, "SP_COUNTRY_NAME")</f>
        <v>#INVALID COMPANY ID</v>
      </c>
    </row>
    <row r="205" spans="5:25" x14ac:dyDescent="0.35">
      <c r="E205" s="9" t="str">
        <f>_xll.SNL.Clients.Office.Excel.Functions.SPG(B205, "SP_COUNTRY_NAME")</f>
        <v>#INVALID COMPANY ID</v>
      </c>
      <c r="J205" s="9" t="str">
        <f>_xll.SNL.Clients.Office.Excel.Functions.SPG(G205, "SP_COUNTRY_NAME")</f>
        <v>#INVALID COMPANY ID</v>
      </c>
      <c r="O205" s="9" t="str">
        <f>_xll.SNL.Clients.Office.Excel.Functions.SPG(L205, "SP_COUNTRY_NAME")</f>
        <v>#INVALID COMPANY ID</v>
      </c>
      <c r="T205" s="9" t="str">
        <f>_xll.SNL.Clients.Office.Excel.Functions.SPG(Q205, "SP_COUNTRY_NAME")</f>
        <v>#INVALID COMPANY ID</v>
      </c>
      <c r="Y205" s="9" t="str">
        <f>_xll.SNL.Clients.Office.Excel.Functions.SPG(V205, "SP_COUNTRY_NAME")</f>
        <v>#INVALID COMPANY ID</v>
      </c>
    </row>
    <row r="206" spans="5:25" x14ac:dyDescent="0.35">
      <c r="E206" s="9" t="str">
        <f>_xll.SNL.Clients.Office.Excel.Functions.SPG(B206, "SP_COUNTRY_NAME")</f>
        <v>#INVALID COMPANY ID</v>
      </c>
      <c r="J206" s="9" t="str">
        <f>_xll.SNL.Clients.Office.Excel.Functions.SPG(G206, "SP_COUNTRY_NAME")</f>
        <v>#INVALID COMPANY ID</v>
      </c>
      <c r="O206" s="9" t="str">
        <f>_xll.SNL.Clients.Office.Excel.Functions.SPG(L206, "SP_COUNTRY_NAME")</f>
        <v>#INVALID COMPANY ID</v>
      </c>
      <c r="T206" s="9" t="str">
        <f>_xll.SNL.Clients.Office.Excel.Functions.SPG(Q206, "SP_COUNTRY_NAME")</f>
        <v>#INVALID COMPANY ID</v>
      </c>
      <c r="Y206" s="9" t="str">
        <f>_xll.SNL.Clients.Office.Excel.Functions.SPG(V206, "SP_COUNTRY_NAME")</f>
        <v>#INVALID COMPANY ID</v>
      </c>
    </row>
    <row r="207" spans="5:25" x14ac:dyDescent="0.35">
      <c r="E207" s="9" t="str">
        <f>_xll.SNL.Clients.Office.Excel.Functions.SPG(B207, "SP_COUNTRY_NAME")</f>
        <v>#INVALID COMPANY ID</v>
      </c>
      <c r="J207" s="9" t="str">
        <f>_xll.SNL.Clients.Office.Excel.Functions.SPG(G207, "SP_COUNTRY_NAME")</f>
        <v>#INVALID COMPANY ID</v>
      </c>
      <c r="O207" s="9" t="str">
        <f>_xll.SNL.Clients.Office.Excel.Functions.SPG(L207, "SP_COUNTRY_NAME")</f>
        <v>#INVALID COMPANY ID</v>
      </c>
      <c r="T207" s="9" t="str">
        <f>_xll.SNL.Clients.Office.Excel.Functions.SPG(Q207, "SP_COUNTRY_NAME")</f>
        <v>#INVALID COMPANY ID</v>
      </c>
      <c r="Y207" s="9" t="str">
        <f>_xll.SNL.Clients.Office.Excel.Functions.SPG(V207, "SP_COUNTRY_NAME")</f>
        <v>#INVALID COMPANY ID</v>
      </c>
    </row>
    <row r="208" spans="5:25" x14ac:dyDescent="0.35">
      <c r="E208" s="9" t="str">
        <f>_xll.SNL.Clients.Office.Excel.Functions.SPG(B208, "SP_COUNTRY_NAME")</f>
        <v>#INVALID COMPANY ID</v>
      </c>
      <c r="J208" s="9" t="str">
        <f>_xll.SNL.Clients.Office.Excel.Functions.SPG(G208, "SP_COUNTRY_NAME")</f>
        <v>#INVALID COMPANY ID</v>
      </c>
      <c r="O208" s="9" t="str">
        <f>_xll.SNL.Clients.Office.Excel.Functions.SPG(L208, "SP_COUNTRY_NAME")</f>
        <v>#INVALID COMPANY ID</v>
      </c>
      <c r="T208" s="9" t="str">
        <f>_xll.SNL.Clients.Office.Excel.Functions.SPG(Q208, "SP_COUNTRY_NAME")</f>
        <v>#INVALID COMPANY ID</v>
      </c>
      <c r="Y208" s="9" t="str">
        <f>_xll.SNL.Clients.Office.Excel.Functions.SPG(V208, "SP_COUNTRY_NAME")</f>
        <v>#INVALID COMPANY ID</v>
      </c>
    </row>
    <row r="209" spans="5:25" x14ac:dyDescent="0.35">
      <c r="E209" s="9" t="str">
        <f>_xll.SNL.Clients.Office.Excel.Functions.SPG(B209, "SP_COUNTRY_NAME")</f>
        <v>#INVALID COMPANY ID</v>
      </c>
      <c r="J209" s="9" t="str">
        <f>_xll.SNL.Clients.Office.Excel.Functions.SPG(G209, "SP_COUNTRY_NAME")</f>
        <v>#INVALID COMPANY ID</v>
      </c>
      <c r="O209" s="9" t="str">
        <f>_xll.SNL.Clients.Office.Excel.Functions.SPG(L209, "SP_COUNTRY_NAME")</f>
        <v>#INVALID COMPANY ID</v>
      </c>
      <c r="T209" s="9" t="str">
        <f>_xll.SNL.Clients.Office.Excel.Functions.SPG(Q209, "SP_COUNTRY_NAME")</f>
        <v>#INVALID COMPANY ID</v>
      </c>
      <c r="Y209" s="9" t="str">
        <f>_xll.SNL.Clients.Office.Excel.Functions.SPG(V209, "SP_COUNTRY_NAME")</f>
        <v>#INVALID COMPANY ID</v>
      </c>
    </row>
    <row r="210" spans="5:25" x14ac:dyDescent="0.35">
      <c r="E210" s="9" t="str">
        <f>_xll.SNL.Clients.Office.Excel.Functions.SPG(B210, "SP_COUNTRY_NAME")</f>
        <v>#INVALID COMPANY ID</v>
      </c>
      <c r="J210" s="9" t="str">
        <f>_xll.SNL.Clients.Office.Excel.Functions.SPG(G210, "SP_COUNTRY_NAME")</f>
        <v>#INVALID COMPANY ID</v>
      </c>
      <c r="O210" s="9" t="str">
        <f>_xll.SNL.Clients.Office.Excel.Functions.SPG(L210, "SP_COUNTRY_NAME")</f>
        <v>#INVALID COMPANY ID</v>
      </c>
      <c r="T210" s="9" t="str">
        <f>_xll.SNL.Clients.Office.Excel.Functions.SPG(Q210, "SP_COUNTRY_NAME")</f>
        <v>#INVALID COMPANY ID</v>
      </c>
      <c r="Y210" s="9" t="str">
        <f>_xll.SNL.Clients.Office.Excel.Functions.SPG(V210, "SP_COUNTRY_NAME")</f>
        <v>#INVALID COMPANY ID</v>
      </c>
    </row>
    <row r="211" spans="5:25" x14ac:dyDescent="0.35">
      <c r="E211" s="9" t="str">
        <f>_xll.SNL.Clients.Office.Excel.Functions.SPG(B211, "SP_COUNTRY_NAME")</f>
        <v>#INVALID COMPANY ID</v>
      </c>
      <c r="J211" s="9" t="str">
        <f>_xll.SNL.Clients.Office.Excel.Functions.SPG(G211, "SP_COUNTRY_NAME")</f>
        <v>#INVALID COMPANY ID</v>
      </c>
      <c r="O211" s="9" t="str">
        <f>_xll.SNL.Clients.Office.Excel.Functions.SPG(L211, "SP_COUNTRY_NAME")</f>
        <v>#INVALID COMPANY ID</v>
      </c>
      <c r="T211" s="9" t="str">
        <f>_xll.SNL.Clients.Office.Excel.Functions.SPG(Q211, "SP_COUNTRY_NAME")</f>
        <v>#INVALID COMPANY ID</v>
      </c>
      <c r="Y211" s="9" t="str">
        <f>_xll.SNL.Clients.Office.Excel.Functions.SPG(V211, "SP_COUNTRY_NAME")</f>
        <v>#INVALID COMPANY ID</v>
      </c>
    </row>
    <row r="212" spans="5:25" x14ac:dyDescent="0.35">
      <c r="E212" s="9" t="str">
        <f>_xll.SNL.Clients.Office.Excel.Functions.SPG(B212, "SP_COUNTRY_NAME")</f>
        <v>#INVALID COMPANY ID</v>
      </c>
      <c r="J212" s="9" t="str">
        <f>_xll.SNL.Clients.Office.Excel.Functions.SPG(G212, "SP_COUNTRY_NAME")</f>
        <v>#INVALID COMPANY ID</v>
      </c>
      <c r="O212" s="9" t="str">
        <f>_xll.SNL.Clients.Office.Excel.Functions.SPG(L212, "SP_COUNTRY_NAME")</f>
        <v>#INVALID COMPANY ID</v>
      </c>
      <c r="T212" s="9" t="str">
        <f>_xll.SNL.Clients.Office.Excel.Functions.SPG(Q212, "SP_COUNTRY_NAME")</f>
        <v>#INVALID COMPANY ID</v>
      </c>
      <c r="Y212" s="9" t="str">
        <f>_xll.SNL.Clients.Office.Excel.Functions.SPG(V212, "SP_COUNTRY_NAME")</f>
        <v>#INVALID COMPANY ID</v>
      </c>
    </row>
    <row r="213" spans="5:25" x14ac:dyDescent="0.35">
      <c r="E213" s="9" t="str">
        <f>_xll.SNL.Clients.Office.Excel.Functions.SPG(B213, "SP_COUNTRY_NAME")</f>
        <v>#INVALID COMPANY ID</v>
      </c>
      <c r="J213" s="9" t="str">
        <f>_xll.SNL.Clients.Office.Excel.Functions.SPG(G213, "SP_COUNTRY_NAME")</f>
        <v>#INVALID COMPANY ID</v>
      </c>
      <c r="O213" s="9" t="str">
        <f>_xll.SNL.Clients.Office.Excel.Functions.SPG(L213, "SP_COUNTRY_NAME")</f>
        <v>#INVALID COMPANY ID</v>
      </c>
      <c r="T213" s="9" t="str">
        <f>_xll.SNL.Clients.Office.Excel.Functions.SPG(Q213, "SP_COUNTRY_NAME")</f>
        <v>#INVALID COMPANY ID</v>
      </c>
      <c r="Y213" s="9" t="str">
        <f>_xll.SNL.Clients.Office.Excel.Functions.SPG(V213, "SP_COUNTRY_NAME")</f>
        <v>#INVALID COMPANY ID</v>
      </c>
    </row>
    <row r="214" spans="5:25" x14ac:dyDescent="0.35">
      <c r="E214" s="9" t="str">
        <f>_xll.SNL.Clients.Office.Excel.Functions.SPG(B214, "SP_COUNTRY_NAME")</f>
        <v>#INVALID COMPANY ID</v>
      </c>
      <c r="J214" s="9" t="str">
        <f>_xll.SNL.Clients.Office.Excel.Functions.SPG(G214, "SP_COUNTRY_NAME")</f>
        <v>#INVALID COMPANY ID</v>
      </c>
      <c r="O214" s="9" t="str">
        <f>_xll.SNL.Clients.Office.Excel.Functions.SPG(L214, "SP_COUNTRY_NAME")</f>
        <v>#INVALID COMPANY ID</v>
      </c>
      <c r="T214" s="9" t="str">
        <f>_xll.SNL.Clients.Office.Excel.Functions.SPG(Q214, "SP_COUNTRY_NAME")</f>
        <v>#INVALID COMPANY ID</v>
      </c>
      <c r="Y214" s="9" t="str">
        <f>_xll.SNL.Clients.Office.Excel.Functions.SPG(V214, "SP_COUNTRY_NAME")</f>
        <v>#INVALID COMPANY ID</v>
      </c>
    </row>
    <row r="215" spans="5:25" x14ac:dyDescent="0.35">
      <c r="E215" s="9" t="str">
        <f>_xll.SNL.Clients.Office.Excel.Functions.SPG(B215, "SP_COUNTRY_NAME")</f>
        <v>#INVALID COMPANY ID</v>
      </c>
      <c r="J215" s="9" t="str">
        <f>_xll.SNL.Clients.Office.Excel.Functions.SPG(G215, "SP_COUNTRY_NAME")</f>
        <v>#INVALID COMPANY ID</v>
      </c>
      <c r="O215" s="9" t="str">
        <f>_xll.SNL.Clients.Office.Excel.Functions.SPG(L215, "SP_COUNTRY_NAME")</f>
        <v>#INVALID COMPANY ID</v>
      </c>
      <c r="T215" s="9" t="str">
        <f>_xll.SNL.Clients.Office.Excel.Functions.SPG(Q215, "SP_COUNTRY_NAME")</f>
        <v>#INVALID COMPANY ID</v>
      </c>
      <c r="Y215" s="9" t="str">
        <f>_xll.SNL.Clients.Office.Excel.Functions.SPG(V215, "SP_COUNTRY_NAME")</f>
        <v>#INVALID COMPANY ID</v>
      </c>
    </row>
    <row r="216" spans="5:25" x14ac:dyDescent="0.35">
      <c r="E216" s="9" t="str">
        <f>_xll.SNL.Clients.Office.Excel.Functions.SPG(B216, "SP_COUNTRY_NAME")</f>
        <v>#INVALID COMPANY ID</v>
      </c>
      <c r="J216" s="9" t="str">
        <f>_xll.SNL.Clients.Office.Excel.Functions.SPG(G216, "SP_COUNTRY_NAME")</f>
        <v>#INVALID COMPANY ID</v>
      </c>
      <c r="O216" s="9" t="str">
        <f>_xll.SNL.Clients.Office.Excel.Functions.SPG(L216, "SP_COUNTRY_NAME")</f>
        <v>#INVALID COMPANY ID</v>
      </c>
      <c r="T216" s="9" t="str">
        <f>_xll.SNL.Clients.Office.Excel.Functions.SPG(Q216, "SP_COUNTRY_NAME")</f>
        <v>#INVALID COMPANY ID</v>
      </c>
      <c r="Y216" s="9" t="str">
        <f>_xll.SNL.Clients.Office.Excel.Functions.SPG(V216, "SP_COUNTRY_NAME")</f>
        <v>#INVALID COMPANY ID</v>
      </c>
    </row>
    <row r="217" spans="5:25" x14ac:dyDescent="0.35">
      <c r="E217" s="9" t="str">
        <f>_xll.SNL.Clients.Office.Excel.Functions.SPG(B217, "SP_COUNTRY_NAME")</f>
        <v>#INVALID COMPANY ID</v>
      </c>
      <c r="J217" s="9" t="str">
        <f>_xll.SNL.Clients.Office.Excel.Functions.SPG(G217, "SP_COUNTRY_NAME")</f>
        <v>#INVALID COMPANY ID</v>
      </c>
      <c r="O217" s="9" t="str">
        <f>_xll.SNL.Clients.Office.Excel.Functions.SPG(L217, "SP_COUNTRY_NAME")</f>
        <v>#INVALID COMPANY ID</v>
      </c>
      <c r="T217" s="9" t="str">
        <f>_xll.SNL.Clients.Office.Excel.Functions.SPG(Q217, "SP_COUNTRY_NAME")</f>
        <v>#INVALID COMPANY ID</v>
      </c>
      <c r="Y217" s="9" t="str">
        <f>_xll.SNL.Clients.Office.Excel.Functions.SPG(V217, "SP_COUNTRY_NAME")</f>
        <v>#INVALID COMPANY ID</v>
      </c>
    </row>
    <row r="218" spans="5:25" x14ac:dyDescent="0.35">
      <c r="E218" s="9" t="str">
        <f>_xll.SNL.Clients.Office.Excel.Functions.SPG(B218, "SP_COUNTRY_NAME")</f>
        <v>#INVALID COMPANY ID</v>
      </c>
      <c r="J218" s="9" t="str">
        <f>_xll.SNL.Clients.Office.Excel.Functions.SPG(G218, "SP_COUNTRY_NAME")</f>
        <v>#INVALID COMPANY ID</v>
      </c>
      <c r="O218" s="9" t="str">
        <f>_xll.SNL.Clients.Office.Excel.Functions.SPG(L218, "SP_COUNTRY_NAME")</f>
        <v>#INVALID COMPANY ID</v>
      </c>
      <c r="T218" s="9" t="str">
        <f>_xll.SNL.Clients.Office.Excel.Functions.SPG(Q218, "SP_COUNTRY_NAME")</f>
        <v>#INVALID COMPANY ID</v>
      </c>
      <c r="Y218" s="9" t="str">
        <f>_xll.SNL.Clients.Office.Excel.Functions.SPG(V218, "SP_COUNTRY_NAME")</f>
        <v>#INVALID COMPANY ID</v>
      </c>
    </row>
    <row r="219" spans="5:25" x14ac:dyDescent="0.35">
      <c r="E219" s="9" t="str">
        <f>_xll.SNL.Clients.Office.Excel.Functions.SPG(B219, "SP_COUNTRY_NAME")</f>
        <v>#INVALID COMPANY ID</v>
      </c>
      <c r="J219" s="9" t="str">
        <f>_xll.SNL.Clients.Office.Excel.Functions.SPG(G219, "SP_COUNTRY_NAME")</f>
        <v>#INVALID COMPANY ID</v>
      </c>
      <c r="O219" s="9" t="str">
        <f>_xll.SNL.Clients.Office.Excel.Functions.SPG(L219, "SP_COUNTRY_NAME")</f>
        <v>#INVALID COMPANY ID</v>
      </c>
      <c r="T219" s="9" t="str">
        <f>_xll.SNL.Clients.Office.Excel.Functions.SPG(Q219, "SP_COUNTRY_NAME")</f>
        <v>#INVALID COMPANY ID</v>
      </c>
      <c r="Y219" s="9" t="str">
        <f>_xll.SNL.Clients.Office.Excel.Functions.SPG(V219, "SP_COUNTRY_NAME")</f>
        <v>#INVALID COMPANY ID</v>
      </c>
    </row>
    <row r="220" spans="5:25" x14ac:dyDescent="0.35">
      <c r="E220" s="9" t="str">
        <f>_xll.SNL.Clients.Office.Excel.Functions.SPG(B220, "SP_COUNTRY_NAME")</f>
        <v>#INVALID COMPANY ID</v>
      </c>
      <c r="J220" s="9" t="str">
        <f>_xll.SNL.Clients.Office.Excel.Functions.SPG(G220, "SP_COUNTRY_NAME")</f>
        <v>#INVALID COMPANY ID</v>
      </c>
      <c r="O220" s="9" t="str">
        <f>_xll.SNL.Clients.Office.Excel.Functions.SPG(L220, "SP_COUNTRY_NAME")</f>
        <v>#INVALID COMPANY ID</v>
      </c>
      <c r="T220" s="9" t="str">
        <f>_xll.SNL.Clients.Office.Excel.Functions.SPG(Q220, "SP_COUNTRY_NAME")</f>
        <v>#INVALID COMPANY ID</v>
      </c>
      <c r="Y220" s="9" t="str">
        <f>_xll.SNL.Clients.Office.Excel.Functions.SPG(V220, "SP_COUNTRY_NAME")</f>
        <v>#INVALID COMPANY ID</v>
      </c>
    </row>
    <row r="221" spans="5:25" x14ac:dyDescent="0.35">
      <c r="E221" s="9" t="str">
        <f>_xll.SNL.Clients.Office.Excel.Functions.SPG(B221, "SP_COUNTRY_NAME")</f>
        <v>#INVALID COMPANY ID</v>
      </c>
      <c r="J221" s="9" t="str">
        <f>_xll.SNL.Clients.Office.Excel.Functions.SPG(G221, "SP_COUNTRY_NAME")</f>
        <v>#INVALID COMPANY ID</v>
      </c>
      <c r="O221" s="9" t="str">
        <f>_xll.SNL.Clients.Office.Excel.Functions.SPG(L221, "SP_COUNTRY_NAME")</f>
        <v>#INVALID COMPANY ID</v>
      </c>
      <c r="T221" s="9" t="str">
        <f>_xll.SNL.Clients.Office.Excel.Functions.SPG(Q221, "SP_COUNTRY_NAME")</f>
        <v>#INVALID COMPANY ID</v>
      </c>
      <c r="Y221" s="9" t="str">
        <f>_xll.SNL.Clients.Office.Excel.Functions.SPG(V221, "SP_COUNTRY_NAME")</f>
        <v>#INVALID COMPANY ID</v>
      </c>
    </row>
    <row r="222" spans="5:25" x14ac:dyDescent="0.35">
      <c r="E222" s="9" t="str">
        <f>_xll.SNL.Clients.Office.Excel.Functions.SPG(B222, "SP_COUNTRY_NAME")</f>
        <v>#INVALID COMPANY ID</v>
      </c>
      <c r="J222" s="9" t="str">
        <f>_xll.SNL.Clients.Office.Excel.Functions.SPG(G222, "SP_COUNTRY_NAME")</f>
        <v>#INVALID COMPANY ID</v>
      </c>
      <c r="O222" s="9" t="str">
        <f>_xll.SNL.Clients.Office.Excel.Functions.SPG(L222, "SP_COUNTRY_NAME")</f>
        <v>#INVALID COMPANY ID</v>
      </c>
      <c r="T222" s="9" t="str">
        <f>_xll.SNL.Clients.Office.Excel.Functions.SPG(Q222, "SP_COUNTRY_NAME")</f>
        <v>#INVALID COMPANY ID</v>
      </c>
      <c r="Y222" s="9" t="str">
        <f>_xll.SNL.Clients.Office.Excel.Functions.SPG(V222, "SP_COUNTRY_NAME")</f>
        <v>#INVALID COMPANY ID</v>
      </c>
    </row>
    <row r="223" spans="5:25" x14ac:dyDescent="0.35">
      <c r="E223" s="9" t="str">
        <f>_xll.SNL.Clients.Office.Excel.Functions.SPG(B223, "SP_COUNTRY_NAME")</f>
        <v>#INVALID COMPANY ID</v>
      </c>
      <c r="J223" s="9" t="str">
        <f>_xll.SNL.Clients.Office.Excel.Functions.SPG(G223, "SP_COUNTRY_NAME")</f>
        <v>#INVALID COMPANY ID</v>
      </c>
      <c r="O223" s="9" t="str">
        <f>_xll.SNL.Clients.Office.Excel.Functions.SPG(L223, "SP_COUNTRY_NAME")</f>
        <v>#INVALID COMPANY ID</v>
      </c>
      <c r="T223" s="9" t="str">
        <f>_xll.SNL.Clients.Office.Excel.Functions.SPG(Q223, "SP_COUNTRY_NAME")</f>
        <v>#INVALID COMPANY ID</v>
      </c>
      <c r="Y223" s="9" t="str">
        <f>_xll.SNL.Clients.Office.Excel.Functions.SPG(V223, "SP_COUNTRY_NAME")</f>
        <v>#INVALID COMPANY ID</v>
      </c>
    </row>
    <row r="224" spans="5:25" x14ac:dyDescent="0.35">
      <c r="E224" s="9" t="str">
        <f>_xll.SNL.Clients.Office.Excel.Functions.SPG(B224, "SP_COUNTRY_NAME")</f>
        <v>#INVALID COMPANY ID</v>
      </c>
      <c r="J224" s="9" t="str">
        <f>_xll.SNL.Clients.Office.Excel.Functions.SPG(G224, "SP_COUNTRY_NAME")</f>
        <v>#INVALID COMPANY ID</v>
      </c>
      <c r="O224" s="9" t="str">
        <f>_xll.SNL.Clients.Office.Excel.Functions.SPG(L224, "SP_COUNTRY_NAME")</f>
        <v>#INVALID COMPANY ID</v>
      </c>
      <c r="T224" s="9" t="str">
        <f>_xll.SNL.Clients.Office.Excel.Functions.SPG(Q224, "SP_COUNTRY_NAME")</f>
        <v>#INVALID COMPANY ID</v>
      </c>
      <c r="Y224" s="9" t="str">
        <f>_xll.SNL.Clients.Office.Excel.Functions.SPG(V224, "SP_COUNTRY_NAME")</f>
        <v>#INVALID COMPANY ID</v>
      </c>
    </row>
    <row r="225" spans="5:25" x14ac:dyDescent="0.35">
      <c r="E225" s="9" t="str">
        <f>_xll.SNL.Clients.Office.Excel.Functions.SPG(B225, "SP_COUNTRY_NAME")</f>
        <v>#INVALID COMPANY ID</v>
      </c>
      <c r="J225" s="9" t="str">
        <f>_xll.SNL.Clients.Office.Excel.Functions.SPG(G225, "SP_COUNTRY_NAME")</f>
        <v>#INVALID COMPANY ID</v>
      </c>
      <c r="O225" s="9" t="str">
        <f>_xll.SNL.Clients.Office.Excel.Functions.SPG(L225, "SP_COUNTRY_NAME")</f>
        <v>#INVALID COMPANY ID</v>
      </c>
      <c r="T225" s="9" t="str">
        <f>_xll.SNL.Clients.Office.Excel.Functions.SPG(Q225, "SP_COUNTRY_NAME")</f>
        <v>#INVALID COMPANY ID</v>
      </c>
      <c r="Y225" s="9" t="str">
        <f>_xll.SNL.Clients.Office.Excel.Functions.SPG(V225, "SP_COUNTRY_NAME")</f>
        <v>#INVALID COMPANY ID</v>
      </c>
    </row>
    <row r="226" spans="5:25" x14ac:dyDescent="0.35">
      <c r="E226" s="9" t="str">
        <f>_xll.SNL.Clients.Office.Excel.Functions.SPG(B226, "SP_COUNTRY_NAME")</f>
        <v>#INVALID COMPANY ID</v>
      </c>
      <c r="J226" s="9" t="str">
        <f>_xll.SNL.Clients.Office.Excel.Functions.SPG(G226, "SP_COUNTRY_NAME")</f>
        <v>#INVALID COMPANY ID</v>
      </c>
      <c r="O226" s="9" t="str">
        <f>_xll.SNL.Clients.Office.Excel.Functions.SPG(L226, "SP_COUNTRY_NAME")</f>
        <v>#INVALID COMPANY ID</v>
      </c>
      <c r="T226" s="9" t="str">
        <f>_xll.SNL.Clients.Office.Excel.Functions.SPG(Q226, "SP_COUNTRY_NAME")</f>
        <v>#INVALID COMPANY ID</v>
      </c>
      <c r="Y226" s="9" t="str">
        <f>_xll.SNL.Clients.Office.Excel.Functions.SPG(V226, "SP_COUNTRY_NAME")</f>
        <v>#INVALID COMPANY ID</v>
      </c>
    </row>
    <row r="227" spans="5:25" x14ac:dyDescent="0.35">
      <c r="E227" s="9" t="str">
        <f>_xll.SNL.Clients.Office.Excel.Functions.SPG(B227, "SP_COUNTRY_NAME")</f>
        <v>#INVALID COMPANY ID</v>
      </c>
      <c r="J227" s="9" t="str">
        <f>_xll.SNL.Clients.Office.Excel.Functions.SPG(G227, "SP_COUNTRY_NAME")</f>
        <v>#INVALID COMPANY ID</v>
      </c>
      <c r="O227" s="9" t="str">
        <f>_xll.SNL.Clients.Office.Excel.Functions.SPG(L227, "SP_COUNTRY_NAME")</f>
        <v>#INVALID COMPANY ID</v>
      </c>
      <c r="T227" s="9" t="str">
        <f>_xll.SNL.Clients.Office.Excel.Functions.SPG(Q227, "SP_COUNTRY_NAME")</f>
        <v>#INVALID COMPANY ID</v>
      </c>
      <c r="Y227" s="9" t="str">
        <f>_xll.SNL.Clients.Office.Excel.Functions.SPG(V227, "SP_COUNTRY_NAME")</f>
        <v>#INVALID COMPANY ID</v>
      </c>
    </row>
    <row r="228" spans="5:25" x14ac:dyDescent="0.35">
      <c r="E228" s="9" t="str">
        <f>_xll.SNL.Clients.Office.Excel.Functions.SPG(B228, "SP_COUNTRY_NAME")</f>
        <v>#INVALID COMPANY ID</v>
      </c>
      <c r="J228" s="9" t="str">
        <f>_xll.SNL.Clients.Office.Excel.Functions.SPG(G228, "SP_COUNTRY_NAME")</f>
        <v>#INVALID COMPANY ID</v>
      </c>
      <c r="O228" s="9" t="str">
        <f>_xll.SNL.Clients.Office.Excel.Functions.SPG(L228, "SP_COUNTRY_NAME")</f>
        <v>#INVALID COMPANY ID</v>
      </c>
      <c r="T228" s="9" t="str">
        <f>_xll.SNL.Clients.Office.Excel.Functions.SPG(Q228, "SP_COUNTRY_NAME")</f>
        <v>#INVALID COMPANY ID</v>
      </c>
      <c r="Y228" s="9" t="str">
        <f>_xll.SNL.Clients.Office.Excel.Functions.SPG(V228, "SP_COUNTRY_NAME")</f>
        <v>#INVALID COMPANY ID</v>
      </c>
    </row>
    <row r="229" spans="5:25" x14ac:dyDescent="0.35">
      <c r="E229" s="9" t="str">
        <f>_xll.SNL.Clients.Office.Excel.Functions.SPG(B229, "SP_COUNTRY_NAME")</f>
        <v>#INVALID COMPANY ID</v>
      </c>
      <c r="J229" s="9" t="str">
        <f>_xll.SNL.Clients.Office.Excel.Functions.SPG(G229, "SP_COUNTRY_NAME")</f>
        <v>#INVALID COMPANY ID</v>
      </c>
      <c r="O229" s="9" t="str">
        <f>_xll.SNL.Clients.Office.Excel.Functions.SPG(L229, "SP_COUNTRY_NAME")</f>
        <v>#INVALID COMPANY ID</v>
      </c>
      <c r="T229" s="9" t="str">
        <f>_xll.SNL.Clients.Office.Excel.Functions.SPG(Q229, "SP_COUNTRY_NAME")</f>
        <v>#INVALID COMPANY ID</v>
      </c>
      <c r="Y229" s="9" t="str">
        <f>_xll.SNL.Clients.Office.Excel.Functions.SPG(V229, "SP_COUNTRY_NAME")</f>
        <v>#INVALID COMPANY ID</v>
      </c>
    </row>
    <row r="230" spans="5:25" x14ac:dyDescent="0.35">
      <c r="E230" s="9" t="str">
        <f>_xll.SNL.Clients.Office.Excel.Functions.SPG(B230, "SP_COUNTRY_NAME")</f>
        <v>#INVALID COMPANY ID</v>
      </c>
      <c r="J230" s="9" t="str">
        <f>_xll.SNL.Clients.Office.Excel.Functions.SPG(G230, "SP_COUNTRY_NAME")</f>
        <v>#INVALID COMPANY ID</v>
      </c>
      <c r="O230" s="9" t="str">
        <f>_xll.SNL.Clients.Office.Excel.Functions.SPG(L230, "SP_COUNTRY_NAME")</f>
        <v>#INVALID COMPANY ID</v>
      </c>
      <c r="T230" s="9" t="str">
        <f>_xll.SNL.Clients.Office.Excel.Functions.SPG(Q230, "SP_COUNTRY_NAME")</f>
        <v>#INVALID COMPANY ID</v>
      </c>
      <c r="Y230" s="9" t="str">
        <f>_xll.SNL.Clients.Office.Excel.Functions.SPG(V230, "SP_COUNTRY_NAME")</f>
        <v>#INVALID COMPANY ID</v>
      </c>
    </row>
    <row r="231" spans="5:25" x14ac:dyDescent="0.35">
      <c r="E231" s="9" t="str">
        <f>_xll.SNL.Clients.Office.Excel.Functions.SPG(B231, "SP_COUNTRY_NAME")</f>
        <v>#INVALID COMPANY ID</v>
      </c>
      <c r="J231" s="9" t="str">
        <f>_xll.SNL.Clients.Office.Excel.Functions.SPG(G231, "SP_COUNTRY_NAME")</f>
        <v>#INVALID COMPANY ID</v>
      </c>
      <c r="O231" s="9" t="str">
        <f>_xll.SNL.Clients.Office.Excel.Functions.SPG(L231, "SP_COUNTRY_NAME")</f>
        <v>#INVALID COMPANY ID</v>
      </c>
      <c r="T231" s="9" t="str">
        <f>_xll.SNL.Clients.Office.Excel.Functions.SPG(Q231, "SP_COUNTRY_NAME")</f>
        <v>#INVALID COMPANY ID</v>
      </c>
      <c r="Y231" s="9" t="str">
        <f>_xll.SNL.Clients.Office.Excel.Functions.SPG(V231, "SP_COUNTRY_NAME")</f>
        <v>#INVALID COMPANY ID</v>
      </c>
    </row>
    <row r="232" spans="5:25" x14ac:dyDescent="0.35">
      <c r="E232" s="9" t="str">
        <f>_xll.SNL.Clients.Office.Excel.Functions.SPG(B232, "SP_COUNTRY_NAME")</f>
        <v>#INVALID COMPANY ID</v>
      </c>
      <c r="J232" s="9" t="str">
        <f>_xll.SNL.Clients.Office.Excel.Functions.SPG(G232, "SP_COUNTRY_NAME")</f>
        <v>#INVALID COMPANY ID</v>
      </c>
      <c r="O232" s="9" t="str">
        <f>_xll.SNL.Clients.Office.Excel.Functions.SPG(L232, "SP_COUNTRY_NAME")</f>
        <v>#INVALID COMPANY ID</v>
      </c>
      <c r="T232" s="9" t="str">
        <f>_xll.SNL.Clients.Office.Excel.Functions.SPG(Q232, "SP_COUNTRY_NAME")</f>
        <v>#INVALID COMPANY ID</v>
      </c>
      <c r="Y232" s="9" t="str">
        <f>_xll.SNL.Clients.Office.Excel.Functions.SPG(V232, "SP_COUNTRY_NAME")</f>
        <v>#INVALID COMPANY ID</v>
      </c>
    </row>
    <row r="233" spans="5:25" x14ac:dyDescent="0.35">
      <c r="E233" s="9" t="str">
        <f>_xll.SNL.Clients.Office.Excel.Functions.SPG(B233, "SP_COUNTRY_NAME")</f>
        <v>#INVALID COMPANY ID</v>
      </c>
      <c r="J233" s="9" t="str">
        <f>_xll.SNL.Clients.Office.Excel.Functions.SPG(G233, "SP_COUNTRY_NAME")</f>
        <v>#INVALID COMPANY ID</v>
      </c>
      <c r="O233" s="9" t="str">
        <f>_xll.SNL.Clients.Office.Excel.Functions.SPG(L233, "SP_COUNTRY_NAME")</f>
        <v>#INVALID COMPANY ID</v>
      </c>
      <c r="T233" s="9" t="str">
        <f>_xll.SNL.Clients.Office.Excel.Functions.SPG(Q233, "SP_COUNTRY_NAME")</f>
        <v>#INVALID COMPANY ID</v>
      </c>
      <c r="Y233" s="9" t="str">
        <f>_xll.SNL.Clients.Office.Excel.Functions.SPG(V233, "SP_COUNTRY_NAME")</f>
        <v>#INVALID COMPANY ID</v>
      </c>
    </row>
    <row r="234" spans="5:25" x14ac:dyDescent="0.35">
      <c r="E234" s="9" t="str">
        <f>_xll.SNL.Clients.Office.Excel.Functions.SPG(B234, "SP_COUNTRY_NAME")</f>
        <v>#INVALID COMPANY ID</v>
      </c>
      <c r="J234" s="9" t="str">
        <f>_xll.SNL.Clients.Office.Excel.Functions.SPG(G234, "SP_COUNTRY_NAME")</f>
        <v>#INVALID COMPANY ID</v>
      </c>
      <c r="O234" s="9" t="str">
        <f>_xll.SNL.Clients.Office.Excel.Functions.SPG(L234, "SP_COUNTRY_NAME")</f>
        <v>#INVALID COMPANY ID</v>
      </c>
      <c r="T234" s="9" t="str">
        <f>_xll.SNL.Clients.Office.Excel.Functions.SPG(Q234, "SP_COUNTRY_NAME")</f>
        <v>#INVALID COMPANY ID</v>
      </c>
      <c r="Y234" s="9" t="str">
        <f>_xll.SNL.Clients.Office.Excel.Functions.SPG(V234, "SP_COUNTRY_NAME")</f>
        <v>#INVALID COMPANY ID</v>
      </c>
    </row>
    <row r="235" spans="5:25" x14ac:dyDescent="0.35">
      <c r="E235" s="9" t="str">
        <f>_xll.SNL.Clients.Office.Excel.Functions.SPG(B235, "SP_COUNTRY_NAME")</f>
        <v>#INVALID COMPANY ID</v>
      </c>
      <c r="J235" s="9" t="str">
        <f>_xll.SNL.Clients.Office.Excel.Functions.SPG(G235, "SP_COUNTRY_NAME")</f>
        <v>#INVALID COMPANY ID</v>
      </c>
      <c r="O235" s="9" t="str">
        <f>_xll.SNL.Clients.Office.Excel.Functions.SPG(L235, "SP_COUNTRY_NAME")</f>
        <v>#INVALID COMPANY ID</v>
      </c>
      <c r="T235" s="9" t="str">
        <f>_xll.SNL.Clients.Office.Excel.Functions.SPG(Q235, "SP_COUNTRY_NAME")</f>
        <v>#INVALID COMPANY ID</v>
      </c>
      <c r="Y235" s="9" t="str">
        <f>_xll.SNL.Clients.Office.Excel.Functions.SPG(V235, "SP_COUNTRY_NAME")</f>
        <v>#INVALID COMPANY ID</v>
      </c>
    </row>
    <row r="236" spans="5:25" x14ac:dyDescent="0.35">
      <c r="E236" s="9" t="str">
        <f>_xll.SNL.Clients.Office.Excel.Functions.SPG(B236, "SP_COUNTRY_NAME")</f>
        <v>#INVALID COMPANY ID</v>
      </c>
      <c r="J236" s="9" t="str">
        <f>_xll.SNL.Clients.Office.Excel.Functions.SPG(G236, "SP_COUNTRY_NAME")</f>
        <v>#INVALID COMPANY ID</v>
      </c>
      <c r="O236" s="9" t="str">
        <f>_xll.SNL.Clients.Office.Excel.Functions.SPG(L236, "SP_COUNTRY_NAME")</f>
        <v>#INVALID COMPANY ID</v>
      </c>
      <c r="T236" s="9" t="str">
        <f>_xll.SNL.Clients.Office.Excel.Functions.SPG(Q236, "SP_COUNTRY_NAME")</f>
        <v>#INVALID COMPANY ID</v>
      </c>
      <c r="Y236" s="9" t="str">
        <f>_xll.SNL.Clients.Office.Excel.Functions.SPG(V236, "SP_COUNTRY_NAME")</f>
        <v>#INVALID COMPANY ID</v>
      </c>
    </row>
    <row r="237" spans="5:25" x14ac:dyDescent="0.35">
      <c r="E237" s="9" t="str">
        <f>_xll.SNL.Clients.Office.Excel.Functions.SPG(B237, "SP_COUNTRY_NAME")</f>
        <v>#INVALID COMPANY ID</v>
      </c>
      <c r="J237" s="9" t="str">
        <f>_xll.SNL.Clients.Office.Excel.Functions.SPG(G237, "SP_COUNTRY_NAME")</f>
        <v>#INVALID COMPANY ID</v>
      </c>
      <c r="O237" s="9" t="str">
        <f>_xll.SNL.Clients.Office.Excel.Functions.SPG(L237, "SP_COUNTRY_NAME")</f>
        <v>#INVALID COMPANY ID</v>
      </c>
      <c r="T237" s="9" t="str">
        <f>_xll.SNL.Clients.Office.Excel.Functions.SPG(Q237, "SP_COUNTRY_NAME")</f>
        <v>#INVALID COMPANY ID</v>
      </c>
      <c r="Y237" s="9" t="str">
        <f>_xll.SNL.Clients.Office.Excel.Functions.SPG(V237, "SP_COUNTRY_NAME")</f>
        <v>#INVALID COMPANY ID</v>
      </c>
    </row>
    <row r="238" spans="5:25" x14ac:dyDescent="0.35">
      <c r="E238" s="9" t="str">
        <f>_xll.SNL.Clients.Office.Excel.Functions.SPG(B238, "SP_COUNTRY_NAME")</f>
        <v>#INVALID COMPANY ID</v>
      </c>
      <c r="J238" s="9" t="str">
        <f>_xll.SNL.Clients.Office.Excel.Functions.SPG(G238, "SP_COUNTRY_NAME")</f>
        <v>#INVALID COMPANY ID</v>
      </c>
      <c r="O238" s="9" t="str">
        <f>_xll.SNL.Clients.Office.Excel.Functions.SPG(L238, "SP_COUNTRY_NAME")</f>
        <v>#INVALID COMPANY ID</v>
      </c>
      <c r="T238" s="9" t="str">
        <f>_xll.SNL.Clients.Office.Excel.Functions.SPG(Q238, "SP_COUNTRY_NAME")</f>
        <v>#INVALID COMPANY ID</v>
      </c>
      <c r="Y238" s="9" t="str">
        <f>_xll.SNL.Clients.Office.Excel.Functions.SPG(V238, "SP_COUNTRY_NAME")</f>
        <v>#INVALID COMPANY ID</v>
      </c>
    </row>
    <row r="239" spans="5:25" x14ac:dyDescent="0.35">
      <c r="E239" s="9" t="str">
        <f>_xll.SNL.Clients.Office.Excel.Functions.SPG(B239, "SP_COUNTRY_NAME")</f>
        <v>#INVALID COMPANY ID</v>
      </c>
      <c r="J239" s="9" t="str">
        <f>_xll.SNL.Clients.Office.Excel.Functions.SPG(G239, "SP_COUNTRY_NAME")</f>
        <v>#INVALID COMPANY ID</v>
      </c>
      <c r="O239" s="9" t="str">
        <f>_xll.SNL.Clients.Office.Excel.Functions.SPG(L239, "SP_COUNTRY_NAME")</f>
        <v>#INVALID COMPANY ID</v>
      </c>
      <c r="T239" s="9" t="str">
        <f>_xll.SNL.Clients.Office.Excel.Functions.SPG(Q239, "SP_COUNTRY_NAME")</f>
        <v>#INVALID COMPANY ID</v>
      </c>
      <c r="Y239" s="9" t="str">
        <f>_xll.SNL.Clients.Office.Excel.Functions.SPG(V239, "SP_COUNTRY_NAME")</f>
        <v>#INVALID COMPANY ID</v>
      </c>
    </row>
    <row r="240" spans="5:25" x14ac:dyDescent="0.35">
      <c r="E240" s="9" t="str">
        <f>_xll.SNL.Clients.Office.Excel.Functions.SPG(B240, "SP_COUNTRY_NAME")</f>
        <v>#INVALID COMPANY ID</v>
      </c>
      <c r="J240" s="9" t="str">
        <f>_xll.SNL.Clients.Office.Excel.Functions.SPG(G240, "SP_COUNTRY_NAME")</f>
        <v>#INVALID COMPANY ID</v>
      </c>
      <c r="O240" s="9" t="str">
        <f>_xll.SNL.Clients.Office.Excel.Functions.SPG(L240, "SP_COUNTRY_NAME")</f>
        <v>#INVALID COMPANY ID</v>
      </c>
      <c r="T240" s="9" t="str">
        <f>_xll.SNL.Clients.Office.Excel.Functions.SPG(Q240, "SP_COUNTRY_NAME")</f>
        <v>#INVALID COMPANY ID</v>
      </c>
      <c r="Y240" s="9" t="str">
        <f>_xll.SNL.Clients.Office.Excel.Functions.SPG(V240, "SP_COUNTRY_NAME")</f>
        <v>#INVALID COMPANY ID</v>
      </c>
    </row>
    <row r="241" spans="5:25" x14ac:dyDescent="0.35">
      <c r="E241" s="9" t="str">
        <f>_xll.SNL.Clients.Office.Excel.Functions.SPG(B241, "SP_COUNTRY_NAME")</f>
        <v>#INVALID COMPANY ID</v>
      </c>
      <c r="J241" s="9" t="str">
        <f>_xll.SNL.Clients.Office.Excel.Functions.SPG(G241, "SP_COUNTRY_NAME")</f>
        <v>#INVALID COMPANY ID</v>
      </c>
      <c r="O241" s="9" t="str">
        <f>_xll.SNL.Clients.Office.Excel.Functions.SPG(L241, "SP_COUNTRY_NAME")</f>
        <v>#INVALID COMPANY ID</v>
      </c>
      <c r="T241" s="9" t="str">
        <f>_xll.SNL.Clients.Office.Excel.Functions.SPG(Q241, "SP_COUNTRY_NAME")</f>
        <v>#INVALID COMPANY ID</v>
      </c>
      <c r="Y241" s="9" t="str">
        <f>_xll.SNL.Clients.Office.Excel.Functions.SPG(V241, "SP_COUNTRY_NAME")</f>
        <v>#INVALID COMPANY ID</v>
      </c>
    </row>
    <row r="242" spans="5:25" x14ac:dyDescent="0.35">
      <c r="E242" s="9" t="str">
        <f>_xll.SNL.Clients.Office.Excel.Functions.SPG(B242, "SP_COUNTRY_NAME")</f>
        <v>#INVALID COMPANY ID</v>
      </c>
      <c r="J242" s="9" t="str">
        <f>_xll.SNL.Clients.Office.Excel.Functions.SPG(G242, "SP_COUNTRY_NAME")</f>
        <v>#INVALID COMPANY ID</v>
      </c>
      <c r="O242" s="9" t="str">
        <f>_xll.SNL.Clients.Office.Excel.Functions.SPG(L242, "SP_COUNTRY_NAME")</f>
        <v>#INVALID COMPANY ID</v>
      </c>
      <c r="T242" s="9" t="str">
        <f>_xll.SNL.Clients.Office.Excel.Functions.SPG(Q242, "SP_COUNTRY_NAME")</f>
        <v>#INVALID COMPANY ID</v>
      </c>
      <c r="Y242" s="9" t="str">
        <f>_xll.SNL.Clients.Office.Excel.Functions.SPG(V242, "SP_COUNTRY_NAME")</f>
        <v>#INVALID COMPANY ID</v>
      </c>
    </row>
    <row r="243" spans="5:25" x14ac:dyDescent="0.35">
      <c r="E243" s="9" t="str">
        <f>_xll.SNL.Clients.Office.Excel.Functions.SPG(B243, "SP_COUNTRY_NAME")</f>
        <v>#INVALID COMPANY ID</v>
      </c>
      <c r="J243" s="9" t="str">
        <f>_xll.SNL.Clients.Office.Excel.Functions.SPG(G243, "SP_COUNTRY_NAME")</f>
        <v>#INVALID COMPANY ID</v>
      </c>
      <c r="O243" s="9" t="str">
        <f>_xll.SNL.Clients.Office.Excel.Functions.SPG(L243, "SP_COUNTRY_NAME")</f>
        <v>#INVALID COMPANY ID</v>
      </c>
      <c r="T243" s="9" t="str">
        <f>_xll.SNL.Clients.Office.Excel.Functions.SPG(Q243, "SP_COUNTRY_NAME")</f>
        <v>#INVALID COMPANY ID</v>
      </c>
      <c r="Y243" s="9" t="str">
        <f>_xll.SNL.Clients.Office.Excel.Functions.SPG(V243, "SP_COUNTRY_NAME")</f>
        <v>#INVALID COMPANY ID</v>
      </c>
    </row>
    <row r="244" spans="5:25" x14ac:dyDescent="0.35">
      <c r="E244" s="9" t="str">
        <f>_xll.SNL.Clients.Office.Excel.Functions.SPG(B244, "SP_COUNTRY_NAME")</f>
        <v>#INVALID COMPANY ID</v>
      </c>
      <c r="J244" s="9" t="str">
        <f>_xll.SNL.Clients.Office.Excel.Functions.SPG(G244, "SP_COUNTRY_NAME")</f>
        <v>#INVALID COMPANY ID</v>
      </c>
      <c r="O244" s="9" t="str">
        <f>_xll.SNL.Clients.Office.Excel.Functions.SPG(L244, "SP_COUNTRY_NAME")</f>
        <v>#INVALID COMPANY ID</v>
      </c>
      <c r="T244" s="9" t="str">
        <f>_xll.SNL.Clients.Office.Excel.Functions.SPG(Q244, "SP_COUNTRY_NAME")</f>
        <v>#INVALID COMPANY ID</v>
      </c>
      <c r="Y244" s="9" t="str">
        <f>_xll.SNL.Clients.Office.Excel.Functions.SPG(V244, "SP_COUNTRY_NAME")</f>
        <v>#INVALID COMPANY ID</v>
      </c>
    </row>
    <row r="245" spans="5:25" x14ac:dyDescent="0.35">
      <c r="E245" s="9" t="str">
        <f>_xll.SNL.Clients.Office.Excel.Functions.SPG(B245, "SP_COUNTRY_NAME")</f>
        <v>#INVALID COMPANY ID</v>
      </c>
      <c r="J245" s="9" t="str">
        <f>_xll.SNL.Clients.Office.Excel.Functions.SPG(G245, "SP_COUNTRY_NAME")</f>
        <v>#INVALID COMPANY ID</v>
      </c>
      <c r="O245" s="9" t="str">
        <f>_xll.SNL.Clients.Office.Excel.Functions.SPG(L245, "SP_COUNTRY_NAME")</f>
        <v>#INVALID COMPANY ID</v>
      </c>
      <c r="T245" s="9" t="str">
        <f>_xll.SNL.Clients.Office.Excel.Functions.SPG(Q245, "SP_COUNTRY_NAME")</f>
        <v>#INVALID COMPANY ID</v>
      </c>
      <c r="Y245" s="9" t="str">
        <f>_xll.SNL.Clients.Office.Excel.Functions.SPG(V245, "SP_COUNTRY_NAME")</f>
        <v>#INVALID COMPANY ID</v>
      </c>
    </row>
    <row r="246" spans="5:25" x14ac:dyDescent="0.35">
      <c r="E246" s="9" t="str">
        <f>_xll.SNL.Clients.Office.Excel.Functions.SPG(B246, "SP_COUNTRY_NAME")</f>
        <v>#INVALID COMPANY ID</v>
      </c>
      <c r="J246" s="9" t="str">
        <f>_xll.SNL.Clients.Office.Excel.Functions.SPG(G246, "SP_COUNTRY_NAME")</f>
        <v>#INVALID COMPANY ID</v>
      </c>
      <c r="O246" s="9" t="str">
        <f>_xll.SNL.Clients.Office.Excel.Functions.SPG(L246, "SP_COUNTRY_NAME")</f>
        <v>#INVALID COMPANY ID</v>
      </c>
      <c r="T246" s="9" t="str">
        <f>_xll.SNL.Clients.Office.Excel.Functions.SPG(Q246, "SP_COUNTRY_NAME")</f>
        <v>#INVALID COMPANY ID</v>
      </c>
      <c r="Y246" s="9" t="str">
        <f>_xll.SNL.Clients.Office.Excel.Functions.SPG(V246, "SP_COUNTRY_NAME")</f>
        <v>#INVALID COMPANY ID</v>
      </c>
    </row>
    <row r="247" spans="5:25" x14ac:dyDescent="0.35">
      <c r="E247" s="9" t="str">
        <f>_xll.SNL.Clients.Office.Excel.Functions.SPG(B247, "SP_COUNTRY_NAME")</f>
        <v>#INVALID COMPANY ID</v>
      </c>
      <c r="J247" s="9" t="str">
        <f>_xll.SNL.Clients.Office.Excel.Functions.SPG(G247, "SP_COUNTRY_NAME")</f>
        <v>#INVALID COMPANY ID</v>
      </c>
      <c r="O247" s="9" t="str">
        <f>_xll.SNL.Clients.Office.Excel.Functions.SPG(L247, "SP_COUNTRY_NAME")</f>
        <v>#INVALID COMPANY ID</v>
      </c>
      <c r="T247" s="9" t="str">
        <f>_xll.SNL.Clients.Office.Excel.Functions.SPG(Q247, "SP_COUNTRY_NAME")</f>
        <v>#INVALID COMPANY ID</v>
      </c>
      <c r="Y247" s="9" t="str">
        <f>_xll.SNL.Clients.Office.Excel.Functions.SPG(V247, "SP_COUNTRY_NAME")</f>
        <v>#INVALID COMPANY ID</v>
      </c>
    </row>
    <row r="248" spans="5:25" x14ac:dyDescent="0.35">
      <c r="E248" s="9" t="str">
        <f>_xll.SNL.Clients.Office.Excel.Functions.SPG(B248, "SP_COUNTRY_NAME")</f>
        <v>#INVALID COMPANY ID</v>
      </c>
      <c r="J248" s="9" t="str">
        <f>_xll.SNL.Clients.Office.Excel.Functions.SPG(G248, "SP_COUNTRY_NAME")</f>
        <v>#INVALID COMPANY ID</v>
      </c>
      <c r="O248" s="9" t="str">
        <f>_xll.SNL.Clients.Office.Excel.Functions.SPG(L248, "SP_COUNTRY_NAME")</f>
        <v>#INVALID COMPANY ID</v>
      </c>
      <c r="T248" s="9" t="str">
        <f>_xll.SNL.Clients.Office.Excel.Functions.SPG(Q248, "SP_COUNTRY_NAME")</f>
        <v>#INVALID COMPANY ID</v>
      </c>
      <c r="Y248" s="9" t="str">
        <f>_xll.SNL.Clients.Office.Excel.Functions.SPG(V248, "SP_COUNTRY_NAME")</f>
        <v>#INVALID COMPANY ID</v>
      </c>
    </row>
    <row r="249" spans="5:25" x14ac:dyDescent="0.35">
      <c r="E249" s="9" t="str">
        <f>_xll.SNL.Clients.Office.Excel.Functions.SPG(B249, "SP_COUNTRY_NAME")</f>
        <v>#INVALID COMPANY ID</v>
      </c>
      <c r="J249" s="9" t="str">
        <f>_xll.SNL.Clients.Office.Excel.Functions.SPG(G249, "SP_COUNTRY_NAME")</f>
        <v>#INVALID COMPANY ID</v>
      </c>
      <c r="O249" s="9" t="str">
        <f>_xll.SNL.Clients.Office.Excel.Functions.SPG(L249, "SP_COUNTRY_NAME")</f>
        <v>#INVALID COMPANY ID</v>
      </c>
      <c r="T249" s="9" t="str">
        <f>_xll.SNL.Clients.Office.Excel.Functions.SPG(Q249, "SP_COUNTRY_NAME")</f>
        <v>#INVALID COMPANY ID</v>
      </c>
      <c r="Y249" s="9" t="str">
        <f>_xll.SNL.Clients.Office.Excel.Functions.SPG(V249, "SP_COUNTRY_NAME")</f>
        <v>#INVALID COMPANY ID</v>
      </c>
    </row>
    <row r="250" spans="5:25" x14ac:dyDescent="0.35">
      <c r="E250" s="9" t="str">
        <f>_xll.SNL.Clients.Office.Excel.Functions.SPG(B250, "SP_COUNTRY_NAME")</f>
        <v>#INVALID COMPANY ID</v>
      </c>
      <c r="J250" s="9" t="str">
        <f>_xll.SNL.Clients.Office.Excel.Functions.SPG(G250, "SP_COUNTRY_NAME")</f>
        <v>#INVALID COMPANY ID</v>
      </c>
      <c r="O250" s="9" t="str">
        <f>_xll.SNL.Clients.Office.Excel.Functions.SPG(L250, "SP_COUNTRY_NAME")</f>
        <v>#INVALID COMPANY ID</v>
      </c>
      <c r="T250" s="9" t="str">
        <f>_xll.SNL.Clients.Office.Excel.Functions.SPG(Q250, "SP_COUNTRY_NAME")</f>
        <v>#INVALID COMPANY ID</v>
      </c>
      <c r="Y250" s="9" t="str">
        <f>_xll.SNL.Clients.Office.Excel.Functions.SPG(V250, "SP_COUNTRY_NAME")</f>
        <v>#INVALID COMPANY ID</v>
      </c>
    </row>
    <row r="251" spans="5:25" x14ac:dyDescent="0.35">
      <c r="E251" s="9" t="str">
        <f>_xll.SNL.Clients.Office.Excel.Functions.SPG(B251, "SP_COUNTRY_NAME")</f>
        <v>#INVALID COMPANY ID</v>
      </c>
      <c r="J251" s="9" t="str">
        <f>_xll.SNL.Clients.Office.Excel.Functions.SPG(G251, "SP_COUNTRY_NAME")</f>
        <v>#INVALID COMPANY ID</v>
      </c>
      <c r="O251" s="9" t="str">
        <f>_xll.SNL.Clients.Office.Excel.Functions.SPG(L251, "SP_COUNTRY_NAME")</f>
        <v>#INVALID COMPANY ID</v>
      </c>
      <c r="T251" s="9" t="str">
        <f>_xll.SNL.Clients.Office.Excel.Functions.SPG(Q251, "SP_COUNTRY_NAME")</f>
        <v>#INVALID COMPANY ID</v>
      </c>
      <c r="Y251" s="9" t="str">
        <f>_xll.SNL.Clients.Office.Excel.Functions.SPG(V251, "SP_COUNTRY_NAME")</f>
        <v>#INVALID COMPANY ID</v>
      </c>
    </row>
    <row r="252" spans="5:25" x14ac:dyDescent="0.35">
      <c r="E252" s="9" t="str">
        <f>_xll.SNL.Clients.Office.Excel.Functions.SPG(B252, "SP_COUNTRY_NAME")</f>
        <v>#INVALID COMPANY ID</v>
      </c>
      <c r="J252" s="9" t="str">
        <f>_xll.SNL.Clients.Office.Excel.Functions.SPG(G252, "SP_COUNTRY_NAME")</f>
        <v>#INVALID COMPANY ID</v>
      </c>
      <c r="O252" s="9" t="str">
        <f>_xll.SNL.Clients.Office.Excel.Functions.SPG(L252, "SP_COUNTRY_NAME")</f>
        <v>#INVALID COMPANY ID</v>
      </c>
      <c r="T252" s="9" t="str">
        <f>_xll.SNL.Clients.Office.Excel.Functions.SPG(Q252, "SP_COUNTRY_NAME")</f>
        <v>#INVALID COMPANY ID</v>
      </c>
      <c r="Y252" s="9" t="str">
        <f>_xll.SNL.Clients.Office.Excel.Functions.SPG(V252, "SP_COUNTRY_NAME")</f>
        <v>#INVALID COMPANY ID</v>
      </c>
    </row>
    <row r="253" spans="5:25" x14ac:dyDescent="0.35">
      <c r="E253" s="9" t="str">
        <f>_xll.SNL.Clients.Office.Excel.Functions.SPG(B253, "SP_COUNTRY_NAME")</f>
        <v>#INVALID COMPANY ID</v>
      </c>
      <c r="J253" s="9" t="str">
        <f>_xll.SNL.Clients.Office.Excel.Functions.SPG(G253, "SP_COUNTRY_NAME")</f>
        <v>#INVALID COMPANY ID</v>
      </c>
      <c r="O253" s="9" t="str">
        <f>_xll.SNL.Clients.Office.Excel.Functions.SPG(L253, "SP_COUNTRY_NAME")</f>
        <v>#INVALID COMPANY ID</v>
      </c>
      <c r="T253" s="9" t="str">
        <f>_xll.SNL.Clients.Office.Excel.Functions.SPG(Q253, "SP_COUNTRY_NAME")</f>
        <v>#INVALID COMPANY ID</v>
      </c>
      <c r="Y253" s="9" t="str">
        <f>_xll.SNL.Clients.Office.Excel.Functions.SPG(V253, "SP_COUNTRY_NAME")</f>
        <v>#INVALID COMPANY ID</v>
      </c>
    </row>
    <row r="254" spans="5:25" x14ac:dyDescent="0.35">
      <c r="E254" s="9" t="str">
        <f>_xll.SNL.Clients.Office.Excel.Functions.SPG(B254, "SP_COUNTRY_NAME")</f>
        <v>#INVALID COMPANY ID</v>
      </c>
      <c r="J254" s="9" t="str">
        <f>_xll.SNL.Clients.Office.Excel.Functions.SPG(G254, "SP_COUNTRY_NAME")</f>
        <v>#INVALID COMPANY ID</v>
      </c>
      <c r="O254" s="9" t="str">
        <f>_xll.SNL.Clients.Office.Excel.Functions.SPG(L254, "SP_COUNTRY_NAME")</f>
        <v>#INVALID COMPANY ID</v>
      </c>
      <c r="T254" s="9" t="str">
        <f>_xll.SNL.Clients.Office.Excel.Functions.SPG(Q254, "SP_COUNTRY_NAME")</f>
        <v>#INVALID COMPANY ID</v>
      </c>
      <c r="Y254" s="9" t="str">
        <f>_xll.SNL.Clients.Office.Excel.Functions.SPG(V254, "SP_COUNTRY_NAME")</f>
        <v>#INVALID COMPANY ID</v>
      </c>
    </row>
    <row r="255" spans="5:25" x14ac:dyDescent="0.35">
      <c r="E255" s="9" t="str">
        <f>_xll.SNL.Clients.Office.Excel.Functions.SPG(B255, "SP_COUNTRY_NAME")</f>
        <v>#INVALID COMPANY ID</v>
      </c>
      <c r="J255" s="9" t="str">
        <f>_xll.SNL.Clients.Office.Excel.Functions.SPG(G255, "SP_COUNTRY_NAME")</f>
        <v>#INVALID COMPANY ID</v>
      </c>
      <c r="O255" s="9" t="str">
        <f>_xll.SNL.Clients.Office.Excel.Functions.SPG(L255, "SP_COUNTRY_NAME")</f>
        <v>#INVALID COMPANY ID</v>
      </c>
      <c r="T255" s="9" t="str">
        <f>_xll.SNL.Clients.Office.Excel.Functions.SPG(Q255, "SP_COUNTRY_NAME")</f>
        <v>#INVALID COMPANY ID</v>
      </c>
      <c r="Y255" s="9" t="str">
        <f>_xll.SNL.Clients.Office.Excel.Functions.SPG(V255, "SP_COUNTRY_NAME")</f>
        <v>#INVALID COMPANY ID</v>
      </c>
    </row>
    <row r="256" spans="5:25" x14ac:dyDescent="0.35">
      <c r="E256" s="9" t="str">
        <f>_xll.SNL.Clients.Office.Excel.Functions.SPG(B256, "SP_COUNTRY_NAME")</f>
        <v>#INVALID COMPANY ID</v>
      </c>
      <c r="J256" s="9" t="str">
        <f>_xll.SNL.Clients.Office.Excel.Functions.SPG(G256, "SP_COUNTRY_NAME")</f>
        <v>#INVALID COMPANY ID</v>
      </c>
      <c r="O256" s="9" t="str">
        <f>_xll.SNL.Clients.Office.Excel.Functions.SPG(L256, "SP_COUNTRY_NAME")</f>
        <v>#INVALID COMPANY ID</v>
      </c>
      <c r="T256" s="9" t="str">
        <f>_xll.SNL.Clients.Office.Excel.Functions.SPG(Q256, "SP_COUNTRY_NAME")</f>
        <v>#INVALID COMPANY ID</v>
      </c>
      <c r="Y256" s="9" t="str">
        <f>_xll.SNL.Clients.Office.Excel.Functions.SPG(V256, "SP_COUNTRY_NAME")</f>
        <v>#INVALID COMPANY ID</v>
      </c>
    </row>
    <row r="257" spans="5:25" x14ac:dyDescent="0.35">
      <c r="E257" s="9" t="str">
        <f>_xll.SNL.Clients.Office.Excel.Functions.SPG(B257, "SP_COUNTRY_NAME")</f>
        <v>#INVALID COMPANY ID</v>
      </c>
      <c r="J257" s="9" t="str">
        <f>_xll.SNL.Clients.Office.Excel.Functions.SPG(G257, "SP_COUNTRY_NAME")</f>
        <v>#INVALID COMPANY ID</v>
      </c>
      <c r="O257" s="9" t="str">
        <f>_xll.SNL.Clients.Office.Excel.Functions.SPG(L257, "SP_COUNTRY_NAME")</f>
        <v>#INVALID COMPANY ID</v>
      </c>
      <c r="T257" s="9" t="str">
        <f>_xll.SNL.Clients.Office.Excel.Functions.SPG(Q257, "SP_COUNTRY_NAME")</f>
        <v>#INVALID COMPANY ID</v>
      </c>
      <c r="Y257" s="9" t="str">
        <f>_xll.SNL.Clients.Office.Excel.Functions.SPG(V257, "SP_COUNTRY_NAME")</f>
        <v>#INVALID COMPANY ID</v>
      </c>
    </row>
    <row r="258" spans="5:25" x14ac:dyDescent="0.35">
      <c r="E258" s="9" t="str">
        <f>_xll.SNL.Clients.Office.Excel.Functions.SPG(B258, "SP_COUNTRY_NAME")</f>
        <v>#INVALID COMPANY ID</v>
      </c>
      <c r="J258" s="9" t="str">
        <f>_xll.SNL.Clients.Office.Excel.Functions.SPG(G258, "SP_COUNTRY_NAME")</f>
        <v>#INVALID COMPANY ID</v>
      </c>
      <c r="O258" s="9" t="str">
        <f>_xll.SNL.Clients.Office.Excel.Functions.SPG(L258, "SP_COUNTRY_NAME")</f>
        <v>#INVALID COMPANY ID</v>
      </c>
      <c r="T258" s="9" t="str">
        <f>_xll.SNL.Clients.Office.Excel.Functions.SPG(Q258, "SP_COUNTRY_NAME")</f>
        <v>#INVALID COMPANY ID</v>
      </c>
      <c r="Y258" s="9" t="str">
        <f>_xll.SNL.Clients.Office.Excel.Functions.SPG(V258, "SP_COUNTRY_NAME")</f>
        <v>#INVALID COMPANY ID</v>
      </c>
    </row>
    <row r="259" spans="5:25" x14ac:dyDescent="0.35">
      <c r="E259" s="9" t="str">
        <f>_xll.SNL.Clients.Office.Excel.Functions.SPG(B259, "SP_COUNTRY_NAME")</f>
        <v>#INVALID COMPANY ID</v>
      </c>
      <c r="J259" s="9" t="str">
        <f>_xll.SNL.Clients.Office.Excel.Functions.SPG(G259, "SP_COUNTRY_NAME")</f>
        <v>#INVALID COMPANY ID</v>
      </c>
      <c r="O259" s="9" t="str">
        <f>_xll.SNL.Clients.Office.Excel.Functions.SPG(L259, "SP_COUNTRY_NAME")</f>
        <v>#INVALID COMPANY ID</v>
      </c>
      <c r="T259" s="9" t="str">
        <f>_xll.SNL.Clients.Office.Excel.Functions.SPG(Q259, "SP_COUNTRY_NAME")</f>
        <v>#INVALID COMPANY ID</v>
      </c>
      <c r="Y259" s="9" t="str">
        <f>_xll.SNL.Clients.Office.Excel.Functions.SPG(V259, "SP_COUNTRY_NAME")</f>
        <v>#INVALID COMPANY ID</v>
      </c>
    </row>
    <row r="260" spans="5:25" x14ac:dyDescent="0.35">
      <c r="E260" s="9" t="str">
        <f>_xll.SNL.Clients.Office.Excel.Functions.SPG(B260, "SP_COUNTRY_NAME")</f>
        <v>#INVALID COMPANY ID</v>
      </c>
      <c r="J260" s="9" t="str">
        <f>_xll.SNL.Clients.Office.Excel.Functions.SPG(G260, "SP_COUNTRY_NAME")</f>
        <v>#INVALID COMPANY ID</v>
      </c>
      <c r="O260" s="9" t="str">
        <f>_xll.SNL.Clients.Office.Excel.Functions.SPG(L260, "SP_COUNTRY_NAME")</f>
        <v>#INVALID COMPANY ID</v>
      </c>
      <c r="T260" s="9" t="str">
        <f>_xll.SNL.Clients.Office.Excel.Functions.SPG(Q260, "SP_COUNTRY_NAME")</f>
        <v>#INVALID COMPANY ID</v>
      </c>
      <c r="Y260" s="9" t="str">
        <f>_xll.SNL.Clients.Office.Excel.Functions.SPG(V260, "SP_COUNTRY_NAME")</f>
        <v>#INVALID COMPANY ID</v>
      </c>
    </row>
    <row r="261" spans="5:25" x14ac:dyDescent="0.35">
      <c r="E261" s="9" t="str">
        <f>_xll.SNL.Clients.Office.Excel.Functions.SPG(B261, "SP_COUNTRY_NAME")</f>
        <v>#INVALID COMPANY ID</v>
      </c>
      <c r="J261" s="9" t="str">
        <f>_xll.SNL.Clients.Office.Excel.Functions.SPG(G261, "SP_COUNTRY_NAME")</f>
        <v>#INVALID COMPANY ID</v>
      </c>
      <c r="O261" s="9" t="str">
        <f>_xll.SNL.Clients.Office.Excel.Functions.SPG(L261, "SP_COUNTRY_NAME")</f>
        <v>#INVALID COMPANY ID</v>
      </c>
      <c r="T261" s="9" t="str">
        <f>_xll.SNL.Clients.Office.Excel.Functions.SPG(Q261, "SP_COUNTRY_NAME")</f>
        <v>#INVALID COMPANY ID</v>
      </c>
      <c r="Y261" s="9" t="str">
        <f>_xll.SNL.Clients.Office.Excel.Functions.SPG(V261, "SP_COUNTRY_NAME")</f>
        <v>#INVALID COMPANY ID</v>
      </c>
    </row>
    <row r="262" spans="5:25" x14ac:dyDescent="0.35">
      <c r="E262" s="9" t="str">
        <f>_xll.SNL.Clients.Office.Excel.Functions.SPG(B262, "SP_COUNTRY_NAME")</f>
        <v>#INVALID COMPANY ID</v>
      </c>
      <c r="J262" s="9" t="str">
        <f>_xll.SNL.Clients.Office.Excel.Functions.SPG(G262, "SP_COUNTRY_NAME")</f>
        <v>#INVALID COMPANY ID</v>
      </c>
      <c r="O262" s="9" t="str">
        <f>_xll.SNL.Clients.Office.Excel.Functions.SPG(L262, "SP_COUNTRY_NAME")</f>
        <v>#INVALID COMPANY ID</v>
      </c>
      <c r="T262" s="9" t="str">
        <f>_xll.SNL.Clients.Office.Excel.Functions.SPG(Q262, "SP_COUNTRY_NAME")</f>
        <v>#INVALID COMPANY ID</v>
      </c>
      <c r="Y262" s="9" t="str">
        <f>_xll.SNL.Clients.Office.Excel.Functions.SPG(V262, "SP_COUNTRY_NAME")</f>
        <v>#INVALID COMPANY ID</v>
      </c>
    </row>
    <row r="263" spans="5:25" x14ac:dyDescent="0.35">
      <c r="E263" s="9" t="str">
        <f>_xll.SNL.Clients.Office.Excel.Functions.SPG(B263, "SP_COUNTRY_NAME")</f>
        <v>#INVALID COMPANY ID</v>
      </c>
      <c r="J263" s="9" t="str">
        <f>_xll.SNL.Clients.Office.Excel.Functions.SPG(G263, "SP_COUNTRY_NAME")</f>
        <v>#INVALID COMPANY ID</v>
      </c>
      <c r="O263" s="9" t="str">
        <f>_xll.SNL.Clients.Office.Excel.Functions.SPG(L263, "SP_COUNTRY_NAME")</f>
        <v>#INVALID COMPANY ID</v>
      </c>
      <c r="T263" s="9" t="str">
        <f>_xll.SNL.Clients.Office.Excel.Functions.SPG(Q263, "SP_COUNTRY_NAME")</f>
        <v>#INVALID COMPANY ID</v>
      </c>
      <c r="Y263" s="9" t="str">
        <f>_xll.SNL.Clients.Office.Excel.Functions.SPG(V263, "SP_COUNTRY_NAME")</f>
        <v>#INVALID COMPANY ID</v>
      </c>
    </row>
    <row r="264" spans="5:25" x14ac:dyDescent="0.35">
      <c r="E264" s="9" t="str">
        <f>_xll.SNL.Clients.Office.Excel.Functions.SPG(B264, "SP_COUNTRY_NAME")</f>
        <v>#INVALID COMPANY ID</v>
      </c>
      <c r="J264" s="9" t="str">
        <f>_xll.SNL.Clients.Office.Excel.Functions.SPG(G264, "SP_COUNTRY_NAME")</f>
        <v>#INVALID COMPANY ID</v>
      </c>
      <c r="O264" s="9" t="str">
        <f>_xll.SNL.Clients.Office.Excel.Functions.SPG(L264, "SP_COUNTRY_NAME")</f>
        <v>#INVALID COMPANY ID</v>
      </c>
      <c r="T264" s="9" t="str">
        <f>_xll.SNL.Clients.Office.Excel.Functions.SPG(Q264, "SP_COUNTRY_NAME")</f>
        <v>#INVALID COMPANY ID</v>
      </c>
      <c r="Y264" s="9" t="str">
        <f>_xll.SNL.Clients.Office.Excel.Functions.SPG(V264, "SP_COUNTRY_NAME")</f>
        <v>#INVALID COMPANY ID</v>
      </c>
    </row>
    <row r="265" spans="5:25" x14ac:dyDescent="0.35">
      <c r="E265" s="9" t="str">
        <f>_xll.SNL.Clients.Office.Excel.Functions.SPG(B265, "SP_COUNTRY_NAME")</f>
        <v>#INVALID COMPANY ID</v>
      </c>
      <c r="J265" s="9" t="str">
        <f>_xll.SNL.Clients.Office.Excel.Functions.SPG(G265, "SP_COUNTRY_NAME")</f>
        <v>#INVALID COMPANY ID</v>
      </c>
      <c r="O265" s="9" t="str">
        <f>_xll.SNL.Clients.Office.Excel.Functions.SPG(L265, "SP_COUNTRY_NAME")</f>
        <v>#INVALID COMPANY ID</v>
      </c>
      <c r="T265" s="9" t="str">
        <f>_xll.SNL.Clients.Office.Excel.Functions.SPG(Q265, "SP_COUNTRY_NAME")</f>
        <v>#INVALID COMPANY ID</v>
      </c>
      <c r="Y265" s="9" t="str">
        <f>_xll.SNL.Clients.Office.Excel.Functions.SPG(V265, "SP_COUNTRY_NAME")</f>
        <v>#INVALID COMPANY ID</v>
      </c>
    </row>
    <row r="266" spans="5:25" x14ac:dyDescent="0.35">
      <c r="E266" s="9" t="str">
        <f>_xll.SNL.Clients.Office.Excel.Functions.SPG(B266, "SP_COUNTRY_NAME")</f>
        <v>#INVALID COMPANY ID</v>
      </c>
      <c r="J266" s="9" t="str">
        <f>_xll.SNL.Clients.Office.Excel.Functions.SPG(G266, "SP_COUNTRY_NAME")</f>
        <v>#INVALID COMPANY ID</v>
      </c>
      <c r="O266" s="9" t="str">
        <f>_xll.SNL.Clients.Office.Excel.Functions.SPG(L266, "SP_COUNTRY_NAME")</f>
        <v>#INVALID COMPANY ID</v>
      </c>
      <c r="T266" s="9" t="str">
        <f>_xll.SNL.Clients.Office.Excel.Functions.SPG(Q266, "SP_COUNTRY_NAME")</f>
        <v>#INVALID COMPANY ID</v>
      </c>
      <c r="Y266" s="9" t="str">
        <f>_xll.SNL.Clients.Office.Excel.Functions.SPG(V266, "SP_COUNTRY_NAME")</f>
        <v>#INVALID COMPANY ID</v>
      </c>
    </row>
    <row r="267" spans="5:25" x14ac:dyDescent="0.35">
      <c r="E267" s="9" t="str">
        <f>_xll.SNL.Clients.Office.Excel.Functions.SPG(B267, "SP_COUNTRY_NAME")</f>
        <v>#INVALID COMPANY ID</v>
      </c>
      <c r="J267" s="9" t="str">
        <f>_xll.SNL.Clients.Office.Excel.Functions.SPG(G267, "SP_COUNTRY_NAME")</f>
        <v>#INVALID COMPANY ID</v>
      </c>
      <c r="O267" s="9" t="str">
        <f>_xll.SNL.Clients.Office.Excel.Functions.SPG(L267, "SP_COUNTRY_NAME")</f>
        <v>#INVALID COMPANY ID</v>
      </c>
      <c r="T267" s="9" t="str">
        <f>_xll.SNL.Clients.Office.Excel.Functions.SPG(Q267, "SP_COUNTRY_NAME")</f>
        <v>#INVALID COMPANY ID</v>
      </c>
      <c r="Y267" s="9" t="str">
        <f>_xll.SNL.Clients.Office.Excel.Functions.SPG(V267, "SP_COUNTRY_NAME")</f>
        <v>#INVALID COMPANY ID</v>
      </c>
    </row>
    <row r="268" spans="5:25" x14ac:dyDescent="0.35">
      <c r="E268" s="9" t="str">
        <f>_xll.SNL.Clients.Office.Excel.Functions.SPG(B268, "SP_COUNTRY_NAME")</f>
        <v>#INVALID COMPANY ID</v>
      </c>
      <c r="J268" s="9" t="str">
        <f>_xll.SNL.Clients.Office.Excel.Functions.SPG(G268, "SP_COUNTRY_NAME")</f>
        <v>#INVALID COMPANY ID</v>
      </c>
      <c r="O268" s="9" t="str">
        <f>_xll.SNL.Clients.Office.Excel.Functions.SPG(L268, "SP_COUNTRY_NAME")</f>
        <v>#INVALID COMPANY ID</v>
      </c>
      <c r="T268" s="9" t="str">
        <f>_xll.SNL.Clients.Office.Excel.Functions.SPG(Q268, "SP_COUNTRY_NAME")</f>
        <v>#INVALID COMPANY ID</v>
      </c>
      <c r="Y268" s="9" t="str">
        <f>_xll.SNL.Clients.Office.Excel.Functions.SPG(V268, "SP_COUNTRY_NAME")</f>
        <v>#INVALID COMPANY ID</v>
      </c>
    </row>
    <row r="269" spans="5:25" x14ac:dyDescent="0.35">
      <c r="E269" s="9" t="str">
        <f>_xll.SNL.Clients.Office.Excel.Functions.SPG(B269, "SP_COUNTRY_NAME")</f>
        <v>#INVALID COMPANY ID</v>
      </c>
      <c r="J269" s="9" t="str">
        <f>_xll.SNL.Clients.Office.Excel.Functions.SPG(G269, "SP_COUNTRY_NAME")</f>
        <v>#INVALID COMPANY ID</v>
      </c>
      <c r="O269" s="9" t="str">
        <f>_xll.SNL.Clients.Office.Excel.Functions.SPG(L269, "SP_COUNTRY_NAME")</f>
        <v>#INVALID COMPANY ID</v>
      </c>
      <c r="T269" s="9" t="str">
        <f>_xll.SNL.Clients.Office.Excel.Functions.SPG(Q269, "SP_COUNTRY_NAME")</f>
        <v>#INVALID COMPANY ID</v>
      </c>
      <c r="Y269" s="9" t="str">
        <f>_xll.SNL.Clients.Office.Excel.Functions.SPG(V269, "SP_COUNTRY_NAME")</f>
        <v>#INVALID COMPANY ID</v>
      </c>
    </row>
    <row r="270" spans="5:25" x14ac:dyDescent="0.35">
      <c r="E270" s="9" t="str">
        <f>_xll.SNL.Clients.Office.Excel.Functions.SPG(B270, "SP_COUNTRY_NAME")</f>
        <v>#INVALID COMPANY ID</v>
      </c>
      <c r="J270" s="9" t="str">
        <f>_xll.SNL.Clients.Office.Excel.Functions.SPG(G270, "SP_COUNTRY_NAME")</f>
        <v>#INVALID COMPANY ID</v>
      </c>
      <c r="O270" s="9" t="str">
        <f>_xll.SNL.Clients.Office.Excel.Functions.SPG(L270, "SP_COUNTRY_NAME")</f>
        <v>#INVALID COMPANY ID</v>
      </c>
      <c r="T270" s="9" t="str">
        <f>_xll.SNL.Clients.Office.Excel.Functions.SPG(Q270, "SP_COUNTRY_NAME")</f>
        <v>#INVALID COMPANY ID</v>
      </c>
      <c r="Y270" s="9" t="str">
        <f>_xll.SNL.Clients.Office.Excel.Functions.SPG(V270, "SP_COUNTRY_NAME")</f>
        <v>#INVALID COMPANY ID</v>
      </c>
    </row>
    <row r="271" spans="5:25" x14ac:dyDescent="0.35">
      <c r="E271" s="9" t="str">
        <f>_xll.SNL.Clients.Office.Excel.Functions.SPG(B271, "SP_COUNTRY_NAME")</f>
        <v>#INVALID COMPANY ID</v>
      </c>
      <c r="J271" s="9" t="str">
        <f>_xll.SNL.Clients.Office.Excel.Functions.SPG(G271, "SP_COUNTRY_NAME")</f>
        <v>#INVALID COMPANY ID</v>
      </c>
      <c r="O271" s="9" t="str">
        <f>_xll.SNL.Clients.Office.Excel.Functions.SPG(L271, "SP_COUNTRY_NAME")</f>
        <v>#INVALID COMPANY ID</v>
      </c>
      <c r="T271" s="9" t="str">
        <f>_xll.SNL.Clients.Office.Excel.Functions.SPG(Q271, "SP_COUNTRY_NAME")</f>
        <v>#INVALID COMPANY ID</v>
      </c>
      <c r="Y271" s="9" t="str">
        <f>_xll.SNL.Clients.Office.Excel.Functions.SPG(V271, "SP_COUNTRY_NAME")</f>
        <v>#INVALID COMPANY ID</v>
      </c>
    </row>
    <row r="272" spans="5:25" x14ac:dyDescent="0.35">
      <c r="E272" s="9" t="str">
        <f>_xll.SNL.Clients.Office.Excel.Functions.SPG(B272, "SP_COUNTRY_NAME")</f>
        <v>#INVALID COMPANY ID</v>
      </c>
      <c r="J272" s="9" t="str">
        <f>_xll.SNL.Clients.Office.Excel.Functions.SPG(G272, "SP_COUNTRY_NAME")</f>
        <v>#INVALID COMPANY ID</v>
      </c>
      <c r="O272" s="9" t="str">
        <f>_xll.SNL.Clients.Office.Excel.Functions.SPG(L272, "SP_COUNTRY_NAME")</f>
        <v>#INVALID COMPANY ID</v>
      </c>
      <c r="T272" s="9" t="str">
        <f>_xll.SNL.Clients.Office.Excel.Functions.SPG(Q272, "SP_COUNTRY_NAME")</f>
        <v>#INVALID COMPANY ID</v>
      </c>
      <c r="Y272" s="9" t="str">
        <f>_xll.SNL.Clients.Office.Excel.Functions.SPG(V272, "SP_COUNTRY_NAME")</f>
        <v>#INVALID COMPANY ID</v>
      </c>
    </row>
    <row r="273" spans="5:25" x14ac:dyDescent="0.35">
      <c r="E273" s="9" t="str">
        <f>_xll.SNL.Clients.Office.Excel.Functions.SPG(B273, "SP_COUNTRY_NAME")</f>
        <v>#INVALID COMPANY ID</v>
      </c>
      <c r="J273" s="9" t="str">
        <f>_xll.SNL.Clients.Office.Excel.Functions.SPG(G273, "SP_COUNTRY_NAME")</f>
        <v>#INVALID COMPANY ID</v>
      </c>
      <c r="O273" s="9" t="str">
        <f>_xll.SNL.Clients.Office.Excel.Functions.SPG(L273, "SP_COUNTRY_NAME")</f>
        <v>#INVALID COMPANY ID</v>
      </c>
      <c r="T273" s="9" t="str">
        <f>_xll.SNL.Clients.Office.Excel.Functions.SPG(Q273, "SP_COUNTRY_NAME")</f>
        <v>#INVALID COMPANY ID</v>
      </c>
      <c r="Y273" s="9" t="str">
        <f>_xll.SNL.Clients.Office.Excel.Functions.SPG(V273, "SP_COUNTRY_NAME")</f>
        <v>#INVALID COMPANY ID</v>
      </c>
    </row>
    <row r="274" spans="5:25" x14ac:dyDescent="0.35">
      <c r="E274" s="9" t="str">
        <f>_xll.SNL.Clients.Office.Excel.Functions.SPG(B274, "SP_COUNTRY_NAME")</f>
        <v>#INVALID COMPANY ID</v>
      </c>
      <c r="J274" s="9" t="str">
        <f>_xll.SNL.Clients.Office.Excel.Functions.SPG(G274, "SP_COUNTRY_NAME")</f>
        <v>#INVALID COMPANY ID</v>
      </c>
      <c r="O274" s="9" t="str">
        <f>_xll.SNL.Clients.Office.Excel.Functions.SPG(L274, "SP_COUNTRY_NAME")</f>
        <v>#INVALID COMPANY ID</v>
      </c>
      <c r="T274" s="9" t="str">
        <f>_xll.SNL.Clients.Office.Excel.Functions.SPG(Q274, "SP_COUNTRY_NAME")</f>
        <v>#INVALID COMPANY ID</v>
      </c>
      <c r="Y274" s="9" t="str">
        <f>_xll.SNL.Clients.Office.Excel.Functions.SPG(V274, "SP_COUNTRY_NAME")</f>
        <v>#INVALID COMPANY ID</v>
      </c>
    </row>
    <row r="275" spans="5:25" x14ac:dyDescent="0.35">
      <c r="E275" s="9" t="str">
        <f>_xll.SNL.Clients.Office.Excel.Functions.SPG(B275, "SP_COUNTRY_NAME")</f>
        <v>#INVALID COMPANY ID</v>
      </c>
      <c r="J275" s="9" t="str">
        <f>_xll.SNL.Clients.Office.Excel.Functions.SPG(G275, "SP_COUNTRY_NAME")</f>
        <v>#INVALID COMPANY ID</v>
      </c>
      <c r="O275" s="9" t="str">
        <f>_xll.SNL.Clients.Office.Excel.Functions.SPG(L275, "SP_COUNTRY_NAME")</f>
        <v>#INVALID COMPANY ID</v>
      </c>
      <c r="T275" s="9" t="str">
        <f>_xll.SNL.Clients.Office.Excel.Functions.SPG(Q275, "SP_COUNTRY_NAME")</f>
        <v>#INVALID COMPANY ID</v>
      </c>
      <c r="Y275" s="9" t="str">
        <f>_xll.SNL.Clients.Office.Excel.Functions.SPG(V275, "SP_COUNTRY_NAME")</f>
        <v>#INVALID COMPANY ID</v>
      </c>
    </row>
    <row r="276" spans="5:25" x14ac:dyDescent="0.35">
      <c r="E276" s="9" t="str">
        <f>_xll.SNL.Clients.Office.Excel.Functions.SPG(B276, "SP_COUNTRY_NAME")</f>
        <v>#INVALID COMPANY ID</v>
      </c>
      <c r="J276" s="9" t="str">
        <f>_xll.SNL.Clients.Office.Excel.Functions.SPG(G276, "SP_COUNTRY_NAME")</f>
        <v>#INVALID COMPANY ID</v>
      </c>
      <c r="O276" s="9" t="str">
        <f>_xll.SNL.Clients.Office.Excel.Functions.SPG(L276, "SP_COUNTRY_NAME")</f>
        <v>#INVALID COMPANY ID</v>
      </c>
      <c r="T276" s="9" t="str">
        <f>_xll.SNL.Clients.Office.Excel.Functions.SPG(Q276, "SP_COUNTRY_NAME")</f>
        <v>#INVALID COMPANY ID</v>
      </c>
      <c r="Y276" s="9" t="str">
        <f>_xll.SNL.Clients.Office.Excel.Functions.SPG(V276, "SP_COUNTRY_NAME")</f>
        <v>#INVALID COMPANY ID</v>
      </c>
    </row>
    <row r="277" spans="5:25" x14ac:dyDescent="0.35">
      <c r="E277" s="9" t="str">
        <f>_xll.SNL.Clients.Office.Excel.Functions.SPG(B277, "SP_COUNTRY_NAME")</f>
        <v>#INVALID COMPANY ID</v>
      </c>
      <c r="J277" s="9" t="str">
        <f>_xll.SNL.Clients.Office.Excel.Functions.SPG(G277, "SP_COUNTRY_NAME")</f>
        <v>#INVALID COMPANY ID</v>
      </c>
      <c r="O277" s="9" t="str">
        <f>_xll.SNL.Clients.Office.Excel.Functions.SPG(L277, "SP_COUNTRY_NAME")</f>
        <v>#INVALID COMPANY ID</v>
      </c>
      <c r="T277" s="9" t="str">
        <f>_xll.SNL.Clients.Office.Excel.Functions.SPG(Q277, "SP_COUNTRY_NAME")</f>
        <v>#INVALID COMPANY ID</v>
      </c>
      <c r="Y277" s="9" t="str">
        <f>_xll.SNL.Clients.Office.Excel.Functions.SPG(V277, "SP_COUNTRY_NAME")</f>
        <v>#INVALID COMPANY ID</v>
      </c>
    </row>
    <row r="278" spans="5:25" x14ac:dyDescent="0.35">
      <c r="E278" s="9" t="str">
        <f>_xll.SNL.Clients.Office.Excel.Functions.SPG(B278, "SP_COUNTRY_NAME")</f>
        <v>#INVALID COMPANY ID</v>
      </c>
      <c r="J278" s="9" t="str">
        <f>_xll.SNL.Clients.Office.Excel.Functions.SPG(G278, "SP_COUNTRY_NAME")</f>
        <v>#INVALID COMPANY ID</v>
      </c>
      <c r="O278" s="9" t="str">
        <f>_xll.SNL.Clients.Office.Excel.Functions.SPG(L278, "SP_COUNTRY_NAME")</f>
        <v>#INVALID COMPANY ID</v>
      </c>
      <c r="T278" s="9" t="str">
        <f>_xll.SNL.Clients.Office.Excel.Functions.SPG(Q278, "SP_COUNTRY_NAME")</f>
        <v>#INVALID COMPANY ID</v>
      </c>
      <c r="Y278" s="9" t="str">
        <f>_xll.SNL.Clients.Office.Excel.Functions.SPG(V278, "SP_COUNTRY_NAME")</f>
        <v>#INVALID COMPANY ID</v>
      </c>
    </row>
    <row r="279" spans="5:25" x14ac:dyDescent="0.35">
      <c r="E279" s="9" t="str">
        <f>_xll.SNL.Clients.Office.Excel.Functions.SPG(B279, "SP_COUNTRY_NAME")</f>
        <v>#INVALID COMPANY ID</v>
      </c>
      <c r="J279" s="9" t="str">
        <f>_xll.SNL.Clients.Office.Excel.Functions.SPG(G279, "SP_COUNTRY_NAME")</f>
        <v>#INVALID COMPANY ID</v>
      </c>
      <c r="O279" s="9" t="str">
        <f>_xll.SNL.Clients.Office.Excel.Functions.SPG(L279, "SP_COUNTRY_NAME")</f>
        <v>#INVALID COMPANY ID</v>
      </c>
      <c r="T279" s="9" t="str">
        <f>_xll.SNL.Clients.Office.Excel.Functions.SPG(Q279, "SP_COUNTRY_NAME")</f>
        <v>#INVALID COMPANY ID</v>
      </c>
      <c r="Y279" s="9" t="str">
        <f>_xll.SNL.Clients.Office.Excel.Functions.SPG(V279, "SP_COUNTRY_NAME")</f>
        <v>#INVALID COMPANY ID</v>
      </c>
    </row>
    <row r="280" spans="5:25" x14ac:dyDescent="0.35">
      <c r="E280" s="9" t="str">
        <f>_xll.SNL.Clients.Office.Excel.Functions.SPG(B280, "SP_COUNTRY_NAME")</f>
        <v>#INVALID COMPANY ID</v>
      </c>
      <c r="J280" s="9" t="str">
        <f>_xll.SNL.Clients.Office.Excel.Functions.SPG(G280, "SP_COUNTRY_NAME")</f>
        <v>#INVALID COMPANY ID</v>
      </c>
      <c r="O280" s="9" t="str">
        <f>_xll.SNL.Clients.Office.Excel.Functions.SPG(L280, "SP_COUNTRY_NAME")</f>
        <v>#INVALID COMPANY ID</v>
      </c>
      <c r="T280" s="9" t="str">
        <f>_xll.SNL.Clients.Office.Excel.Functions.SPG(Q280, "SP_COUNTRY_NAME")</f>
        <v>#INVALID COMPANY ID</v>
      </c>
      <c r="Y280" s="9" t="str">
        <f>_xll.SNL.Clients.Office.Excel.Functions.SPG(V280, "SP_COUNTRY_NAME")</f>
        <v>#INVALID COMPANY ID</v>
      </c>
    </row>
    <row r="281" spans="5:25" x14ac:dyDescent="0.35">
      <c r="E281" s="9" t="str">
        <f>_xll.SNL.Clients.Office.Excel.Functions.SPG(B281, "SP_COUNTRY_NAME")</f>
        <v>#INVALID COMPANY ID</v>
      </c>
      <c r="J281" s="9" t="str">
        <f>_xll.SNL.Clients.Office.Excel.Functions.SPG(G281, "SP_COUNTRY_NAME")</f>
        <v>#INVALID COMPANY ID</v>
      </c>
      <c r="O281" s="9" t="str">
        <f>_xll.SNL.Clients.Office.Excel.Functions.SPG(L281, "SP_COUNTRY_NAME")</f>
        <v>#INVALID COMPANY ID</v>
      </c>
      <c r="T281" s="9" t="str">
        <f>_xll.SNL.Clients.Office.Excel.Functions.SPG(Q281, "SP_COUNTRY_NAME")</f>
        <v>#INVALID COMPANY ID</v>
      </c>
      <c r="Y281" s="9" t="str">
        <f>_xll.SNL.Clients.Office.Excel.Functions.SPG(V281, "SP_COUNTRY_NAME")</f>
        <v>#INVALID COMPANY ID</v>
      </c>
    </row>
    <row r="282" spans="5:25" x14ac:dyDescent="0.35">
      <c r="E282" s="9" t="str">
        <f>_xll.SNL.Clients.Office.Excel.Functions.SPG(B282, "SP_COUNTRY_NAME")</f>
        <v>#INVALID COMPANY ID</v>
      </c>
      <c r="J282" s="9" t="str">
        <f>_xll.SNL.Clients.Office.Excel.Functions.SPG(G282, "SP_COUNTRY_NAME")</f>
        <v>#INVALID COMPANY ID</v>
      </c>
      <c r="O282" s="9" t="str">
        <f>_xll.SNL.Clients.Office.Excel.Functions.SPG(L282, "SP_COUNTRY_NAME")</f>
        <v>#INVALID COMPANY ID</v>
      </c>
      <c r="T282" s="9" t="str">
        <f>_xll.SNL.Clients.Office.Excel.Functions.SPG(Q282, "SP_COUNTRY_NAME")</f>
        <v>#INVALID COMPANY ID</v>
      </c>
      <c r="Y282" s="9" t="str">
        <f>_xll.SNL.Clients.Office.Excel.Functions.SPG(V282, "SP_COUNTRY_NAME")</f>
        <v>#INVALID COMPANY ID</v>
      </c>
    </row>
    <row r="283" spans="5:25" x14ac:dyDescent="0.35">
      <c r="E283" s="9" t="str">
        <f>_xll.SNL.Clients.Office.Excel.Functions.SPG(B283, "SP_COUNTRY_NAME")</f>
        <v>#INVALID COMPANY ID</v>
      </c>
      <c r="J283" s="9" t="str">
        <f>_xll.SNL.Clients.Office.Excel.Functions.SPG(G283, "SP_COUNTRY_NAME")</f>
        <v>#INVALID COMPANY ID</v>
      </c>
      <c r="O283" s="9" t="str">
        <f>_xll.SNL.Clients.Office.Excel.Functions.SPG(L283, "SP_COUNTRY_NAME")</f>
        <v>#INVALID COMPANY ID</v>
      </c>
      <c r="T283" s="9" t="str">
        <f>_xll.SNL.Clients.Office.Excel.Functions.SPG(Q283, "SP_COUNTRY_NAME")</f>
        <v>#INVALID COMPANY ID</v>
      </c>
      <c r="Y283" s="9" t="str">
        <f>_xll.SNL.Clients.Office.Excel.Functions.SPG(V283, "SP_COUNTRY_NAME")</f>
        <v>#INVALID COMPANY ID</v>
      </c>
    </row>
    <row r="284" spans="5:25" x14ac:dyDescent="0.35">
      <c r="E284" s="9" t="str">
        <f>_xll.SNL.Clients.Office.Excel.Functions.SPG(B284, "SP_COUNTRY_NAME")</f>
        <v>#INVALID COMPANY ID</v>
      </c>
      <c r="J284" s="9" t="str">
        <f>_xll.SNL.Clients.Office.Excel.Functions.SPG(G284, "SP_COUNTRY_NAME")</f>
        <v>#INVALID COMPANY ID</v>
      </c>
      <c r="O284" s="9" t="str">
        <f>_xll.SNL.Clients.Office.Excel.Functions.SPG(L284, "SP_COUNTRY_NAME")</f>
        <v>#INVALID COMPANY ID</v>
      </c>
      <c r="T284" s="9" t="str">
        <f>_xll.SNL.Clients.Office.Excel.Functions.SPG(Q284, "SP_COUNTRY_NAME")</f>
        <v>#INVALID COMPANY ID</v>
      </c>
      <c r="Y284" s="9" t="str">
        <f>_xll.SNL.Clients.Office.Excel.Functions.SPG(V284, "SP_COUNTRY_NAME")</f>
        <v>#INVALID COMPANY ID</v>
      </c>
    </row>
    <row r="285" spans="5:25" x14ac:dyDescent="0.35">
      <c r="E285" s="9" t="str">
        <f>_xll.SNL.Clients.Office.Excel.Functions.SPG(B285, "SP_COUNTRY_NAME")</f>
        <v>#INVALID COMPANY ID</v>
      </c>
      <c r="J285" s="9" t="str">
        <f>_xll.SNL.Clients.Office.Excel.Functions.SPG(G285, "SP_COUNTRY_NAME")</f>
        <v>#INVALID COMPANY ID</v>
      </c>
      <c r="O285" s="9" t="str">
        <f>_xll.SNL.Clients.Office.Excel.Functions.SPG(L285, "SP_COUNTRY_NAME")</f>
        <v>#INVALID COMPANY ID</v>
      </c>
      <c r="T285" s="9" t="str">
        <f>_xll.SNL.Clients.Office.Excel.Functions.SPG(Q285, "SP_COUNTRY_NAME")</f>
        <v>#INVALID COMPANY ID</v>
      </c>
      <c r="Y285" s="9" t="str">
        <f>_xll.SNL.Clients.Office.Excel.Functions.SPG(V285, "SP_COUNTRY_NAME")</f>
        <v>#INVALID COMPANY ID</v>
      </c>
    </row>
    <row r="286" spans="5:25" x14ac:dyDescent="0.35">
      <c r="E286" s="9" t="str">
        <f>_xll.SNL.Clients.Office.Excel.Functions.SPG(B286, "SP_COUNTRY_NAME")</f>
        <v>#INVALID COMPANY ID</v>
      </c>
      <c r="J286" s="9" t="str">
        <f>_xll.SNL.Clients.Office.Excel.Functions.SPG(G286, "SP_COUNTRY_NAME")</f>
        <v>#INVALID COMPANY ID</v>
      </c>
      <c r="O286" s="9" t="str">
        <f>_xll.SNL.Clients.Office.Excel.Functions.SPG(L286, "SP_COUNTRY_NAME")</f>
        <v>#INVALID COMPANY ID</v>
      </c>
      <c r="T286" s="9" t="str">
        <f>_xll.SNL.Clients.Office.Excel.Functions.SPG(Q286, "SP_COUNTRY_NAME")</f>
        <v>#INVALID COMPANY ID</v>
      </c>
      <c r="Y286" s="9" t="str">
        <f>_xll.SNL.Clients.Office.Excel.Functions.SPG(V286, "SP_COUNTRY_NAME")</f>
        <v>#INVALID COMPANY ID</v>
      </c>
    </row>
    <row r="287" spans="5:25" x14ac:dyDescent="0.35">
      <c r="E287" s="9" t="str">
        <f>_xll.SNL.Clients.Office.Excel.Functions.SPG(B287, "SP_COUNTRY_NAME")</f>
        <v>#INVALID COMPANY ID</v>
      </c>
      <c r="J287" s="9" t="str">
        <f>_xll.SNL.Clients.Office.Excel.Functions.SPG(G287, "SP_COUNTRY_NAME")</f>
        <v>#INVALID COMPANY ID</v>
      </c>
      <c r="O287" s="9" t="str">
        <f>_xll.SNL.Clients.Office.Excel.Functions.SPG(L287, "SP_COUNTRY_NAME")</f>
        <v>#INVALID COMPANY ID</v>
      </c>
      <c r="T287" s="9" t="str">
        <f>_xll.SNL.Clients.Office.Excel.Functions.SPG(Q287, "SP_COUNTRY_NAME")</f>
        <v>#INVALID COMPANY ID</v>
      </c>
      <c r="Y287" s="9" t="str">
        <f>_xll.SNL.Clients.Office.Excel.Functions.SPG(V287, "SP_COUNTRY_NAME")</f>
        <v>#INVALID COMPANY ID</v>
      </c>
    </row>
    <row r="288" spans="5:25" x14ac:dyDescent="0.35">
      <c r="E288" s="9" t="str">
        <f>_xll.SNL.Clients.Office.Excel.Functions.SPG(B288, "SP_COUNTRY_NAME")</f>
        <v>#INVALID COMPANY ID</v>
      </c>
      <c r="J288" s="9" t="str">
        <f>_xll.SNL.Clients.Office.Excel.Functions.SPG(G288, "SP_COUNTRY_NAME")</f>
        <v>#INVALID COMPANY ID</v>
      </c>
      <c r="O288" s="9" t="str">
        <f>_xll.SNL.Clients.Office.Excel.Functions.SPG(L288, "SP_COUNTRY_NAME")</f>
        <v>#INVALID COMPANY ID</v>
      </c>
      <c r="T288" s="9" t="str">
        <f>_xll.SNL.Clients.Office.Excel.Functions.SPG(Q288, "SP_COUNTRY_NAME")</f>
        <v>#INVALID COMPANY ID</v>
      </c>
      <c r="Y288" s="9" t="str">
        <f>_xll.SNL.Clients.Office.Excel.Functions.SPG(V288, "SP_COUNTRY_NAME")</f>
        <v>#INVALID COMPANY ID</v>
      </c>
    </row>
    <row r="289" spans="5:25" x14ac:dyDescent="0.35">
      <c r="E289" s="9" t="str">
        <f>_xll.SNL.Clients.Office.Excel.Functions.SPG(B289, "SP_COUNTRY_NAME")</f>
        <v>#INVALID COMPANY ID</v>
      </c>
      <c r="J289" s="9" t="str">
        <f>_xll.SNL.Clients.Office.Excel.Functions.SPG(G289, "SP_COUNTRY_NAME")</f>
        <v>#INVALID COMPANY ID</v>
      </c>
      <c r="O289" s="9" t="str">
        <f>_xll.SNL.Clients.Office.Excel.Functions.SPG(L289, "SP_COUNTRY_NAME")</f>
        <v>#INVALID COMPANY ID</v>
      </c>
      <c r="T289" s="9" t="str">
        <f>_xll.SNL.Clients.Office.Excel.Functions.SPG(Q289, "SP_COUNTRY_NAME")</f>
        <v>#INVALID COMPANY ID</v>
      </c>
      <c r="Y289" s="9" t="str">
        <f>_xll.SNL.Clients.Office.Excel.Functions.SPG(V289, "SP_COUNTRY_NAME")</f>
        <v>#INVALID COMPANY ID</v>
      </c>
    </row>
    <row r="290" spans="5:25" x14ac:dyDescent="0.35">
      <c r="E290" s="9" t="str">
        <f>_xll.SNL.Clients.Office.Excel.Functions.SPG(B290, "SP_COUNTRY_NAME")</f>
        <v>#INVALID COMPANY ID</v>
      </c>
      <c r="J290" s="9" t="str">
        <f>_xll.SNL.Clients.Office.Excel.Functions.SPG(G290, "SP_COUNTRY_NAME")</f>
        <v>#INVALID COMPANY ID</v>
      </c>
      <c r="O290" s="9" t="str">
        <f>_xll.SNL.Clients.Office.Excel.Functions.SPG(L290, "SP_COUNTRY_NAME")</f>
        <v>#INVALID COMPANY ID</v>
      </c>
      <c r="T290" s="9" t="str">
        <f>_xll.SNL.Clients.Office.Excel.Functions.SPG(Q290, "SP_COUNTRY_NAME")</f>
        <v>#INVALID COMPANY ID</v>
      </c>
      <c r="Y290" s="9" t="str">
        <f>_xll.SNL.Clients.Office.Excel.Functions.SPG(V290, "SP_COUNTRY_NAME")</f>
        <v>#INVALID COMPANY ID</v>
      </c>
    </row>
    <row r="291" spans="5:25" x14ac:dyDescent="0.35">
      <c r="E291" s="9" t="str">
        <f>_xll.SNL.Clients.Office.Excel.Functions.SPG(B291, "SP_COUNTRY_NAME")</f>
        <v>#INVALID COMPANY ID</v>
      </c>
      <c r="J291" s="9" t="str">
        <f>_xll.SNL.Clients.Office.Excel.Functions.SPG(G291, "SP_COUNTRY_NAME")</f>
        <v>#INVALID COMPANY ID</v>
      </c>
      <c r="O291" s="9" t="str">
        <f>_xll.SNL.Clients.Office.Excel.Functions.SPG(L291, "SP_COUNTRY_NAME")</f>
        <v>#INVALID COMPANY ID</v>
      </c>
      <c r="T291" s="9" t="str">
        <f>_xll.SNL.Clients.Office.Excel.Functions.SPG(Q291, "SP_COUNTRY_NAME")</f>
        <v>#INVALID COMPANY ID</v>
      </c>
      <c r="Y291" s="9" t="str">
        <f>_xll.SNL.Clients.Office.Excel.Functions.SPG(V291, "SP_COUNTRY_NAME")</f>
        <v>#INVALID COMPANY ID</v>
      </c>
    </row>
    <row r="292" spans="5:25" x14ac:dyDescent="0.35">
      <c r="E292" s="9" t="str">
        <f>_xll.SNL.Clients.Office.Excel.Functions.SPG(B292, "SP_COUNTRY_NAME")</f>
        <v>#INVALID COMPANY ID</v>
      </c>
      <c r="J292" s="9" t="str">
        <f>_xll.SNL.Clients.Office.Excel.Functions.SPG(G292, "SP_COUNTRY_NAME")</f>
        <v>#INVALID COMPANY ID</v>
      </c>
      <c r="O292" s="9" t="str">
        <f>_xll.SNL.Clients.Office.Excel.Functions.SPG(L292, "SP_COUNTRY_NAME")</f>
        <v>#INVALID COMPANY ID</v>
      </c>
      <c r="T292" s="9" t="str">
        <f>_xll.SNL.Clients.Office.Excel.Functions.SPG(Q292, "SP_COUNTRY_NAME")</f>
        <v>#INVALID COMPANY ID</v>
      </c>
      <c r="Y292" s="9" t="str">
        <f>_xll.SNL.Clients.Office.Excel.Functions.SPG(V292, "SP_COUNTRY_NAME")</f>
        <v>#INVALID COMPANY ID</v>
      </c>
    </row>
    <row r="293" spans="5:25" x14ac:dyDescent="0.35">
      <c r="E293" s="9" t="str">
        <f>_xll.SNL.Clients.Office.Excel.Functions.SPG(B293, "SP_COUNTRY_NAME")</f>
        <v>#INVALID COMPANY ID</v>
      </c>
      <c r="J293" s="9" t="str">
        <f>_xll.SNL.Clients.Office.Excel.Functions.SPG(G293, "SP_COUNTRY_NAME")</f>
        <v>#INVALID COMPANY ID</v>
      </c>
      <c r="O293" s="9" t="str">
        <f>_xll.SNL.Clients.Office.Excel.Functions.SPG(L293, "SP_COUNTRY_NAME")</f>
        <v>#INVALID COMPANY ID</v>
      </c>
      <c r="T293" s="9" t="str">
        <f>_xll.SNL.Clients.Office.Excel.Functions.SPG(Q293, "SP_COUNTRY_NAME")</f>
        <v>#INVALID COMPANY ID</v>
      </c>
      <c r="Y293" s="9" t="str">
        <f>_xll.SNL.Clients.Office.Excel.Functions.SPG(V293, "SP_COUNTRY_NAME")</f>
        <v>#INVALID COMPANY ID</v>
      </c>
    </row>
    <row r="294" spans="5:25" x14ac:dyDescent="0.35">
      <c r="E294" s="9" t="str">
        <f>_xll.SNL.Clients.Office.Excel.Functions.SPG(B294, "SP_COUNTRY_NAME")</f>
        <v>#INVALID COMPANY ID</v>
      </c>
      <c r="J294" s="9" t="str">
        <f>_xll.SNL.Clients.Office.Excel.Functions.SPG(G294, "SP_COUNTRY_NAME")</f>
        <v>#INVALID COMPANY ID</v>
      </c>
      <c r="O294" s="9" t="str">
        <f>_xll.SNL.Clients.Office.Excel.Functions.SPG(L294, "SP_COUNTRY_NAME")</f>
        <v>#INVALID COMPANY ID</v>
      </c>
      <c r="T294" s="9" t="str">
        <f>_xll.SNL.Clients.Office.Excel.Functions.SPG(Q294, "SP_COUNTRY_NAME")</f>
        <v>#INVALID COMPANY ID</v>
      </c>
      <c r="Y294" s="9" t="str">
        <f>_xll.SNL.Clients.Office.Excel.Functions.SPG(V294, "SP_COUNTRY_NAME")</f>
        <v>#INVALID COMPANY ID</v>
      </c>
    </row>
    <row r="295" spans="5:25" x14ac:dyDescent="0.35">
      <c r="E295" s="9" t="str">
        <f>_xll.SNL.Clients.Office.Excel.Functions.SPG(B295, "SP_COUNTRY_NAME")</f>
        <v>#INVALID COMPANY ID</v>
      </c>
      <c r="J295" s="9" t="str">
        <f>_xll.SNL.Clients.Office.Excel.Functions.SPG(G295, "SP_COUNTRY_NAME")</f>
        <v>#INVALID COMPANY ID</v>
      </c>
      <c r="O295" s="9" t="str">
        <f>_xll.SNL.Clients.Office.Excel.Functions.SPG(L295, "SP_COUNTRY_NAME")</f>
        <v>#INVALID COMPANY ID</v>
      </c>
      <c r="T295" s="9" t="str">
        <f>_xll.SNL.Clients.Office.Excel.Functions.SPG(Q295, "SP_COUNTRY_NAME")</f>
        <v>#INVALID COMPANY ID</v>
      </c>
      <c r="Y295" s="9" t="str">
        <f>_xll.SNL.Clients.Office.Excel.Functions.SPG(V295, "SP_COUNTRY_NAME")</f>
        <v>#INVALID COMPANY ID</v>
      </c>
    </row>
    <row r="296" spans="5:25" x14ac:dyDescent="0.35">
      <c r="E296" s="9" t="str">
        <f>_xll.SNL.Clients.Office.Excel.Functions.SPG(B296, "SP_COUNTRY_NAME")</f>
        <v>#INVALID COMPANY ID</v>
      </c>
      <c r="J296" s="9" t="str">
        <f>_xll.SNL.Clients.Office.Excel.Functions.SPG(G296, "SP_COUNTRY_NAME")</f>
        <v>#INVALID COMPANY ID</v>
      </c>
      <c r="O296" s="9" t="str">
        <f>_xll.SNL.Clients.Office.Excel.Functions.SPG(L296, "SP_COUNTRY_NAME")</f>
        <v>#INVALID COMPANY ID</v>
      </c>
      <c r="T296" s="9" t="str">
        <f>_xll.SNL.Clients.Office.Excel.Functions.SPG(Q296, "SP_COUNTRY_NAME")</f>
        <v>#INVALID COMPANY ID</v>
      </c>
      <c r="Y296" s="9" t="str">
        <f>_xll.SNL.Clients.Office.Excel.Functions.SPG(V296, "SP_COUNTRY_NAME")</f>
        <v>#INVALID COMPANY ID</v>
      </c>
    </row>
    <row r="297" spans="5:25" x14ac:dyDescent="0.35">
      <c r="E297" s="9" t="str">
        <f>_xll.SNL.Clients.Office.Excel.Functions.SPG(B297, "SP_COUNTRY_NAME")</f>
        <v>#INVALID COMPANY ID</v>
      </c>
      <c r="J297" s="9" t="str">
        <f>_xll.SNL.Clients.Office.Excel.Functions.SPG(G297, "SP_COUNTRY_NAME")</f>
        <v>#INVALID COMPANY ID</v>
      </c>
      <c r="O297" s="9" t="str">
        <f>_xll.SNL.Clients.Office.Excel.Functions.SPG(L297, "SP_COUNTRY_NAME")</f>
        <v>#INVALID COMPANY ID</v>
      </c>
      <c r="T297" s="9" t="str">
        <f>_xll.SNL.Clients.Office.Excel.Functions.SPG(Q297, "SP_COUNTRY_NAME")</f>
        <v>#INVALID COMPANY ID</v>
      </c>
      <c r="Y297" s="9" t="str">
        <f>_xll.SNL.Clients.Office.Excel.Functions.SPG(V297, "SP_COUNTRY_NAME")</f>
        <v>#INVALID COMPANY ID</v>
      </c>
    </row>
    <row r="298" spans="5:25" x14ac:dyDescent="0.35">
      <c r="E298" s="9" t="str">
        <f>_xll.SNL.Clients.Office.Excel.Functions.SPG(B298, "SP_COUNTRY_NAME")</f>
        <v>#INVALID COMPANY ID</v>
      </c>
      <c r="J298" s="9" t="str">
        <f>_xll.SNL.Clients.Office.Excel.Functions.SPG(G298, "SP_COUNTRY_NAME")</f>
        <v>#INVALID COMPANY ID</v>
      </c>
      <c r="O298" s="9" t="str">
        <f>_xll.SNL.Clients.Office.Excel.Functions.SPG(L298, "SP_COUNTRY_NAME")</f>
        <v>#INVALID COMPANY ID</v>
      </c>
      <c r="T298" s="9" t="str">
        <f>_xll.SNL.Clients.Office.Excel.Functions.SPG(Q298, "SP_COUNTRY_NAME")</f>
        <v>#INVALID COMPANY ID</v>
      </c>
      <c r="Y298" s="9" t="str">
        <f>_xll.SNL.Clients.Office.Excel.Functions.SPG(V298, "SP_COUNTRY_NAME")</f>
        <v>#INVALID COMPANY ID</v>
      </c>
    </row>
    <row r="299" spans="5:25" x14ac:dyDescent="0.35">
      <c r="E299" s="9" t="str">
        <f>_xll.SNL.Clients.Office.Excel.Functions.SPG(B299, "SP_COUNTRY_NAME")</f>
        <v>#INVALID COMPANY ID</v>
      </c>
      <c r="J299" s="9" t="str">
        <f>_xll.SNL.Clients.Office.Excel.Functions.SPG(G299, "SP_COUNTRY_NAME")</f>
        <v>#INVALID COMPANY ID</v>
      </c>
      <c r="O299" s="9" t="str">
        <f>_xll.SNL.Clients.Office.Excel.Functions.SPG(L299, "SP_COUNTRY_NAME")</f>
        <v>#INVALID COMPANY ID</v>
      </c>
      <c r="T299" s="9" t="str">
        <f>_xll.SNL.Clients.Office.Excel.Functions.SPG(Q299, "SP_COUNTRY_NAME")</f>
        <v>#INVALID COMPANY ID</v>
      </c>
      <c r="Y299" s="9" t="str">
        <f>_xll.SNL.Clients.Office.Excel.Functions.SPG(V299, "SP_COUNTRY_NAME")</f>
        <v>#INVALID COMPANY ID</v>
      </c>
    </row>
    <row r="300" spans="5:25" x14ac:dyDescent="0.35">
      <c r="E300" s="9" t="str">
        <f>_xll.SNL.Clients.Office.Excel.Functions.SPG(B300, "SP_COUNTRY_NAME")</f>
        <v>#INVALID COMPANY ID</v>
      </c>
      <c r="J300" s="9" t="str">
        <f>_xll.SNL.Clients.Office.Excel.Functions.SPG(G300, "SP_COUNTRY_NAME")</f>
        <v>#INVALID COMPANY ID</v>
      </c>
      <c r="O300" s="9" t="str">
        <f>_xll.SNL.Clients.Office.Excel.Functions.SPG(L300, "SP_COUNTRY_NAME")</f>
        <v>#INVALID COMPANY ID</v>
      </c>
      <c r="T300" s="9" t="str">
        <f>_xll.SNL.Clients.Office.Excel.Functions.SPG(Q300, "SP_COUNTRY_NAME")</f>
        <v>#INVALID COMPANY ID</v>
      </c>
      <c r="Y300" s="9" t="str">
        <f>_xll.SNL.Clients.Office.Excel.Functions.SPG(V300, "SP_COUNTRY_NAME")</f>
        <v>#INVALID COMPANY ID</v>
      </c>
    </row>
    <row r="301" spans="5:25" x14ac:dyDescent="0.35">
      <c r="E301" s="9" t="str">
        <f>_xll.SNL.Clients.Office.Excel.Functions.SPG(B301, "SP_COUNTRY_NAME")</f>
        <v>#INVALID COMPANY ID</v>
      </c>
      <c r="J301" s="9" t="str">
        <f>_xll.SNL.Clients.Office.Excel.Functions.SPG(G301, "SP_COUNTRY_NAME")</f>
        <v>#INVALID COMPANY ID</v>
      </c>
      <c r="O301" s="9" t="str">
        <f>_xll.SNL.Clients.Office.Excel.Functions.SPG(L301, "SP_COUNTRY_NAME")</f>
        <v>#INVALID COMPANY ID</v>
      </c>
      <c r="T301" s="9" t="str">
        <f>_xll.SNL.Clients.Office.Excel.Functions.SPG(Q301, "SP_COUNTRY_NAME")</f>
        <v>#INVALID COMPANY ID</v>
      </c>
      <c r="Y301" s="9" t="str">
        <f>_xll.SNL.Clients.Office.Excel.Functions.SPG(V301, "SP_COUNTRY_NAME")</f>
        <v>#INVALID COMPANY ID</v>
      </c>
    </row>
    <row r="302" spans="5:25" x14ac:dyDescent="0.35">
      <c r="E302" s="9" t="str">
        <f>_xll.SNL.Clients.Office.Excel.Functions.SPG(B302, "SP_COUNTRY_NAME")</f>
        <v>#INVALID COMPANY ID</v>
      </c>
      <c r="J302" s="9" t="str">
        <f>_xll.SNL.Clients.Office.Excel.Functions.SPG(G302, "SP_COUNTRY_NAME")</f>
        <v>#INVALID COMPANY ID</v>
      </c>
      <c r="O302" s="9" t="str">
        <f>_xll.SNL.Clients.Office.Excel.Functions.SPG(L302, "SP_COUNTRY_NAME")</f>
        <v>#INVALID COMPANY ID</v>
      </c>
      <c r="T302" s="9" t="str">
        <f>_xll.SNL.Clients.Office.Excel.Functions.SPG(Q302, "SP_COUNTRY_NAME")</f>
        <v>#INVALID COMPANY ID</v>
      </c>
      <c r="Y302" s="9" t="str">
        <f>_xll.SNL.Clients.Office.Excel.Functions.SPG(V302, "SP_COUNTRY_NAME")</f>
        <v>#INVALID COMPANY ID</v>
      </c>
    </row>
    <row r="303" spans="5:25" x14ac:dyDescent="0.35">
      <c r="E303" s="9" t="str">
        <f>_xll.SNL.Clients.Office.Excel.Functions.SPG(B303, "SP_COUNTRY_NAME")</f>
        <v>#INVALID COMPANY ID</v>
      </c>
      <c r="J303" s="9" t="str">
        <f>_xll.SNL.Clients.Office.Excel.Functions.SPG(G303, "SP_COUNTRY_NAME")</f>
        <v>#INVALID COMPANY ID</v>
      </c>
      <c r="O303" s="9" t="str">
        <f>_xll.SNL.Clients.Office.Excel.Functions.SPG(L303, "SP_COUNTRY_NAME")</f>
        <v>#INVALID COMPANY ID</v>
      </c>
      <c r="T303" s="9" t="str">
        <f>_xll.SNL.Clients.Office.Excel.Functions.SPG(Q303, "SP_COUNTRY_NAME")</f>
        <v>#INVALID COMPANY ID</v>
      </c>
      <c r="Y303" s="9" t="str">
        <f>_xll.SNL.Clients.Office.Excel.Functions.SPG(V303, "SP_COUNTRY_NAME")</f>
        <v>#INVALID COMPANY ID</v>
      </c>
    </row>
    <row r="304" spans="5:25" x14ac:dyDescent="0.35">
      <c r="E304" s="9" t="str">
        <f>_xll.SNL.Clients.Office.Excel.Functions.SPG(B304, "SP_COUNTRY_NAME")</f>
        <v>#INVALID COMPANY ID</v>
      </c>
      <c r="J304" s="9" t="str">
        <f>_xll.SNL.Clients.Office.Excel.Functions.SPG(G304, "SP_COUNTRY_NAME")</f>
        <v>#INVALID COMPANY ID</v>
      </c>
      <c r="O304" s="9" t="str">
        <f>_xll.SNL.Clients.Office.Excel.Functions.SPG(L304, "SP_COUNTRY_NAME")</f>
        <v>#INVALID COMPANY ID</v>
      </c>
      <c r="T304" s="9" t="str">
        <f>_xll.SNL.Clients.Office.Excel.Functions.SPG(Q304, "SP_COUNTRY_NAME")</f>
        <v>#INVALID COMPANY ID</v>
      </c>
      <c r="Y304" s="9" t="str">
        <f>_xll.SNL.Clients.Office.Excel.Functions.SPG(V304, "SP_COUNTRY_NAME")</f>
        <v>#INVALID COMPANY ID</v>
      </c>
    </row>
    <row r="305" spans="5:25" x14ac:dyDescent="0.35">
      <c r="E305" s="9" t="str">
        <f>_xll.SNL.Clients.Office.Excel.Functions.SPG(B305, "SP_COUNTRY_NAME")</f>
        <v>#INVALID COMPANY ID</v>
      </c>
      <c r="J305" s="9" t="str">
        <f>_xll.SNL.Clients.Office.Excel.Functions.SPG(G305, "SP_COUNTRY_NAME")</f>
        <v>#INVALID COMPANY ID</v>
      </c>
      <c r="O305" s="9" t="str">
        <f>_xll.SNL.Clients.Office.Excel.Functions.SPG(L305, "SP_COUNTRY_NAME")</f>
        <v>#INVALID COMPANY ID</v>
      </c>
      <c r="T305" s="9" t="str">
        <f>_xll.SNL.Clients.Office.Excel.Functions.SPG(Q305, "SP_COUNTRY_NAME")</f>
        <v>#INVALID COMPANY ID</v>
      </c>
      <c r="Y305" s="9" t="str">
        <f>_xll.SNL.Clients.Office.Excel.Functions.SPG(V305, "SP_COUNTRY_NAME")</f>
        <v>#INVALID COMPANY ID</v>
      </c>
    </row>
    <row r="306" spans="5:25" x14ac:dyDescent="0.35">
      <c r="E306" s="9" t="str">
        <f>_xll.SNL.Clients.Office.Excel.Functions.SPG(B306, "SP_COUNTRY_NAME")</f>
        <v>#INVALID COMPANY ID</v>
      </c>
      <c r="J306" s="9" t="str">
        <f>_xll.SNL.Clients.Office.Excel.Functions.SPG(G306, "SP_COUNTRY_NAME")</f>
        <v>#INVALID COMPANY ID</v>
      </c>
      <c r="O306" s="9" t="str">
        <f>_xll.SNL.Clients.Office.Excel.Functions.SPG(L306, "SP_COUNTRY_NAME")</f>
        <v>#INVALID COMPANY ID</v>
      </c>
      <c r="T306" s="9" t="str">
        <f>_xll.SNL.Clients.Office.Excel.Functions.SPG(Q306, "SP_COUNTRY_NAME")</f>
        <v>#INVALID COMPANY ID</v>
      </c>
      <c r="Y306" s="9" t="str">
        <f>_xll.SNL.Clients.Office.Excel.Functions.SPG(V306, "SP_COUNTRY_NAME")</f>
        <v>#INVALID COMPANY ID</v>
      </c>
    </row>
    <row r="307" spans="5:25" x14ac:dyDescent="0.35">
      <c r="E307" s="9" t="str">
        <f>_xll.SNL.Clients.Office.Excel.Functions.SPG(B307, "SP_COUNTRY_NAME")</f>
        <v>#INVALID COMPANY ID</v>
      </c>
      <c r="J307" s="9" t="str">
        <f>_xll.SNL.Clients.Office.Excel.Functions.SPG(G307, "SP_COUNTRY_NAME")</f>
        <v>#INVALID COMPANY ID</v>
      </c>
      <c r="O307" s="9" t="str">
        <f>_xll.SNL.Clients.Office.Excel.Functions.SPG(L307, "SP_COUNTRY_NAME")</f>
        <v>#INVALID COMPANY ID</v>
      </c>
      <c r="T307" s="9" t="str">
        <f>_xll.SNL.Clients.Office.Excel.Functions.SPG(Q307, "SP_COUNTRY_NAME")</f>
        <v>#INVALID COMPANY ID</v>
      </c>
      <c r="Y307" s="9" t="str">
        <f>_xll.SNL.Clients.Office.Excel.Functions.SPG(V307, "SP_COUNTRY_NAME")</f>
        <v>#INVALID COMPANY ID</v>
      </c>
    </row>
    <row r="308" spans="5:25" x14ac:dyDescent="0.35">
      <c r="E308" s="9" t="str">
        <f>_xll.SNL.Clients.Office.Excel.Functions.SPG(B308, "SP_COUNTRY_NAME")</f>
        <v>#INVALID COMPANY ID</v>
      </c>
      <c r="J308" s="9" t="str">
        <f>_xll.SNL.Clients.Office.Excel.Functions.SPG(G308, "SP_COUNTRY_NAME")</f>
        <v>#INVALID COMPANY ID</v>
      </c>
      <c r="O308" s="9" t="str">
        <f>_xll.SNL.Clients.Office.Excel.Functions.SPG(L308, "SP_COUNTRY_NAME")</f>
        <v>#INVALID COMPANY ID</v>
      </c>
      <c r="T308" s="9" t="str">
        <f>_xll.SNL.Clients.Office.Excel.Functions.SPG(Q308, "SP_COUNTRY_NAME")</f>
        <v>#INVALID COMPANY ID</v>
      </c>
      <c r="Y308" s="9" t="str">
        <f>_xll.SNL.Clients.Office.Excel.Functions.SPG(V308, "SP_COUNTRY_NAME")</f>
        <v>#INVALID COMPANY ID</v>
      </c>
    </row>
    <row r="309" spans="5:25" x14ac:dyDescent="0.35">
      <c r="E309" s="9" t="str">
        <f>_xll.SNL.Clients.Office.Excel.Functions.SPG(B309, "SP_COUNTRY_NAME")</f>
        <v>#INVALID COMPANY ID</v>
      </c>
      <c r="J309" s="9" t="str">
        <f>_xll.SNL.Clients.Office.Excel.Functions.SPG(G309, "SP_COUNTRY_NAME")</f>
        <v>#INVALID COMPANY ID</v>
      </c>
      <c r="O309" s="9" t="str">
        <f>_xll.SNL.Clients.Office.Excel.Functions.SPG(L309, "SP_COUNTRY_NAME")</f>
        <v>#INVALID COMPANY ID</v>
      </c>
      <c r="T309" s="9" t="str">
        <f>_xll.SNL.Clients.Office.Excel.Functions.SPG(Q309, "SP_COUNTRY_NAME")</f>
        <v>#INVALID COMPANY ID</v>
      </c>
      <c r="Y309" s="9" t="str">
        <f>_xll.SNL.Clients.Office.Excel.Functions.SPG(V309, "SP_COUNTRY_NAME")</f>
        <v>#INVALID COMPANY ID</v>
      </c>
    </row>
    <row r="310" spans="5:25" x14ac:dyDescent="0.35">
      <c r="E310" s="9" t="str">
        <f>_xll.SNL.Clients.Office.Excel.Functions.SPG(B310, "SP_COUNTRY_NAME")</f>
        <v>#INVALID COMPANY ID</v>
      </c>
      <c r="J310" s="9" t="str">
        <f>_xll.SNL.Clients.Office.Excel.Functions.SPG(G310, "SP_COUNTRY_NAME")</f>
        <v>#INVALID COMPANY ID</v>
      </c>
      <c r="O310" s="9" t="str">
        <f>_xll.SNL.Clients.Office.Excel.Functions.SPG(L310, "SP_COUNTRY_NAME")</f>
        <v>#INVALID COMPANY ID</v>
      </c>
      <c r="T310" s="9" t="str">
        <f>_xll.SNL.Clients.Office.Excel.Functions.SPG(Q310, "SP_COUNTRY_NAME")</f>
        <v>#INVALID COMPANY ID</v>
      </c>
      <c r="Y310" s="9" t="str">
        <f>_xll.SNL.Clients.Office.Excel.Functions.SPG(V310, "SP_COUNTRY_NAME")</f>
        <v>#INVALID COMPANY ID</v>
      </c>
    </row>
    <row r="311" spans="5:25" x14ac:dyDescent="0.35">
      <c r="E311" s="9" t="str">
        <f>_xll.SNL.Clients.Office.Excel.Functions.SPG(B311, "SP_COUNTRY_NAME")</f>
        <v>#INVALID COMPANY ID</v>
      </c>
      <c r="J311" s="9" t="str">
        <f>_xll.SNL.Clients.Office.Excel.Functions.SPG(G311, "SP_COUNTRY_NAME")</f>
        <v>#INVALID COMPANY ID</v>
      </c>
      <c r="O311" s="9" t="str">
        <f>_xll.SNL.Clients.Office.Excel.Functions.SPG(L311, "SP_COUNTRY_NAME")</f>
        <v>#INVALID COMPANY ID</v>
      </c>
      <c r="T311" s="9" t="str">
        <f>_xll.SNL.Clients.Office.Excel.Functions.SPG(Q311, "SP_COUNTRY_NAME")</f>
        <v>#INVALID COMPANY ID</v>
      </c>
      <c r="Y311" s="9" t="str">
        <f>_xll.SNL.Clients.Office.Excel.Functions.SPG(V311, "SP_COUNTRY_NAME")</f>
        <v>#INVALID COMPANY ID</v>
      </c>
    </row>
    <row r="312" spans="5:25" x14ac:dyDescent="0.35">
      <c r="E312" s="9" t="str">
        <f>_xll.SNL.Clients.Office.Excel.Functions.SPG(B312, "SP_COUNTRY_NAME")</f>
        <v>#INVALID COMPANY ID</v>
      </c>
      <c r="J312" s="9" t="str">
        <f>_xll.SNL.Clients.Office.Excel.Functions.SPG(G312, "SP_COUNTRY_NAME")</f>
        <v>#INVALID COMPANY ID</v>
      </c>
      <c r="O312" s="9" t="str">
        <f>_xll.SNL.Clients.Office.Excel.Functions.SPG(L312, "SP_COUNTRY_NAME")</f>
        <v>#INVALID COMPANY ID</v>
      </c>
      <c r="T312" s="9" t="str">
        <f>_xll.SNL.Clients.Office.Excel.Functions.SPG(Q312, "SP_COUNTRY_NAME")</f>
        <v>#INVALID COMPANY ID</v>
      </c>
      <c r="Y312" s="9" t="str">
        <f>_xll.SNL.Clients.Office.Excel.Functions.SPG(V312, "SP_COUNTRY_NAME")</f>
        <v>#INVALID COMPANY ID</v>
      </c>
    </row>
    <row r="313" spans="5:25" x14ac:dyDescent="0.35">
      <c r="E313" s="9" t="str">
        <f>_xll.SNL.Clients.Office.Excel.Functions.SPG(B313, "SP_COUNTRY_NAME")</f>
        <v>#INVALID COMPANY ID</v>
      </c>
      <c r="J313" s="9" t="str">
        <f>_xll.SNL.Clients.Office.Excel.Functions.SPG(G313, "SP_COUNTRY_NAME")</f>
        <v>#INVALID COMPANY ID</v>
      </c>
      <c r="O313" s="9" t="str">
        <f>_xll.SNL.Clients.Office.Excel.Functions.SPG(L313, "SP_COUNTRY_NAME")</f>
        <v>#INVALID COMPANY ID</v>
      </c>
      <c r="T313" s="9" t="str">
        <f>_xll.SNL.Clients.Office.Excel.Functions.SPG(Q313, "SP_COUNTRY_NAME")</f>
        <v>#INVALID COMPANY ID</v>
      </c>
      <c r="Y313" s="9" t="str">
        <f>_xll.SNL.Clients.Office.Excel.Functions.SPG(V313, "SP_COUNTRY_NAME")</f>
        <v>#INVALID COMPANY ID</v>
      </c>
    </row>
    <row r="314" spans="5:25" x14ac:dyDescent="0.35">
      <c r="E314" s="9" t="str">
        <f>_xll.SNL.Clients.Office.Excel.Functions.SPG(B314, "SP_COUNTRY_NAME")</f>
        <v>#INVALID COMPANY ID</v>
      </c>
      <c r="J314" s="9" t="str">
        <f>_xll.SNL.Clients.Office.Excel.Functions.SPG(G314, "SP_COUNTRY_NAME")</f>
        <v>#INVALID COMPANY ID</v>
      </c>
      <c r="O314" s="9" t="str">
        <f>_xll.SNL.Clients.Office.Excel.Functions.SPG(L314, "SP_COUNTRY_NAME")</f>
        <v>#INVALID COMPANY ID</v>
      </c>
      <c r="T314" s="9" t="str">
        <f>_xll.SNL.Clients.Office.Excel.Functions.SPG(Q314, "SP_COUNTRY_NAME")</f>
        <v>#INVALID COMPANY ID</v>
      </c>
      <c r="Y314" s="9" t="str">
        <f>_xll.SNL.Clients.Office.Excel.Functions.SPG(V314, "SP_COUNTRY_NAME")</f>
        <v>#INVALID COMPANY ID</v>
      </c>
    </row>
    <row r="315" spans="5:25" x14ac:dyDescent="0.35">
      <c r="E315" s="9" t="str">
        <f>_xll.SNL.Clients.Office.Excel.Functions.SPG(B315, "SP_COUNTRY_NAME")</f>
        <v>#INVALID COMPANY ID</v>
      </c>
      <c r="J315" s="9" t="str">
        <f>_xll.SNL.Clients.Office.Excel.Functions.SPG(G315, "SP_COUNTRY_NAME")</f>
        <v>#INVALID COMPANY ID</v>
      </c>
      <c r="O315" s="9" t="str">
        <f>_xll.SNL.Clients.Office.Excel.Functions.SPG(L315, "SP_COUNTRY_NAME")</f>
        <v>#INVALID COMPANY ID</v>
      </c>
      <c r="T315" s="9" t="str">
        <f>_xll.SNL.Clients.Office.Excel.Functions.SPG(Q315, "SP_COUNTRY_NAME")</f>
        <v>#INVALID COMPANY ID</v>
      </c>
      <c r="Y315" s="9" t="str">
        <f>_xll.SNL.Clients.Office.Excel.Functions.SPG(V315, "SP_COUNTRY_NAME")</f>
        <v>#INVALID COMPANY ID</v>
      </c>
    </row>
    <row r="316" spans="5:25" x14ac:dyDescent="0.35">
      <c r="E316" s="9" t="str">
        <f>_xll.SNL.Clients.Office.Excel.Functions.SPG(B316, "SP_COUNTRY_NAME")</f>
        <v>#INVALID COMPANY ID</v>
      </c>
      <c r="J316" s="9" t="str">
        <f>_xll.SNL.Clients.Office.Excel.Functions.SPG(G316, "SP_COUNTRY_NAME")</f>
        <v>#INVALID COMPANY ID</v>
      </c>
      <c r="O316" s="9" t="str">
        <f>_xll.SNL.Clients.Office.Excel.Functions.SPG(L316, "SP_COUNTRY_NAME")</f>
        <v>#INVALID COMPANY ID</v>
      </c>
      <c r="T316" s="9" t="str">
        <f>_xll.SNL.Clients.Office.Excel.Functions.SPG(Q316, "SP_COUNTRY_NAME")</f>
        <v>#INVALID COMPANY ID</v>
      </c>
      <c r="Y316" s="9" t="str">
        <f>_xll.SNL.Clients.Office.Excel.Functions.SPG(V316, "SP_COUNTRY_NAME")</f>
        <v>#INVALID COMPANY ID</v>
      </c>
    </row>
    <row r="317" spans="5:25" x14ac:dyDescent="0.35">
      <c r="E317" s="9" t="str">
        <f>_xll.SNL.Clients.Office.Excel.Functions.SPG(B317, "SP_COUNTRY_NAME")</f>
        <v>#INVALID COMPANY ID</v>
      </c>
      <c r="J317" s="9" t="str">
        <f>_xll.SNL.Clients.Office.Excel.Functions.SPG(G317, "SP_COUNTRY_NAME")</f>
        <v>#INVALID COMPANY ID</v>
      </c>
      <c r="O317" s="9" t="str">
        <f>_xll.SNL.Clients.Office.Excel.Functions.SPG(L317, "SP_COUNTRY_NAME")</f>
        <v>#INVALID COMPANY ID</v>
      </c>
      <c r="T317" s="9" t="str">
        <f>_xll.SNL.Clients.Office.Excel.Functions.SPG(Q317, "SP_COUNTRY_NAME")</f>
        <v>#INVALID COMPANY ID</v>
      </c>
      <c r="Y317" s="9" t="str">
        <f>_xll.SNL.Clients.Office.Excel.Functions.SPG(V317, "SP_COUNTRY_NAME")</f>
        <v>#INVALID COMPANY ID</v>
      </c>
    </row>
    <row r="318" spans="5:25" x14ac:dyDescent="0.35">
      <c r="E318" s="9" t="str">
        <f>_xll.SNL.Clients.Office.Excel.Functions.SPG(B318, "SP_COUNTRY_NAME")</f>
        <v>#INVALID COMPANY ID</v>
      </c>
      <c r="J318" s="9" t="str">
        <f>_xll.SNL.Clients.Office.Excel.Functions.SPG(G318, "SP_COUNTRY_NAME")</f>
        <v>#INVALID COMPANY ID</v>
      </c>
      <c r="O318" s="9" t="str">
        <f>_xll.SNL.Clients.Office.Excel.Functions.SPG(L318, "SP_COUNTRY_NAME")</f>
        <v>#INVALID COMPANY ID</v>
      </c>
      <c r="T318" s="9" t="str">
        <f>_xll.SNL.Clients.Office.Excel.Functions.SPG(Q318, "SP_COUNTRY_NAME")</f>
        <v>#INVALID COMPANY ID</v>
      </c>
      <c r="Y318" s="9" t="str">
        <f>_xll.SNL.Clients.Office.Excel.Functions.SPG(V318, "SP_COUNTRY_NAME")</f>
        <v>#INVALID COMPANY ID</v>
      </c>
    </row>
    <row r="319" spans="5:25" x14ac:dyDescent="0.35">
      <c r="E319" s="9" t="str">
        <f>_xll.SNL.Clients.Office.Excel.Functions.SPG(B319, "SP_COUNTRY_NAME")</f>
        <v>#INVALID COMPANY ID</v>
      </c>
      <c r="J319" s="9" t="str">
        <f>_xll.SNL.Clients.Office.Excel.Functions.SPG(G319, "SP_COUNTRY_NAME")</f>
        <v>#INVALID COMPANY ID</v>
      </c>
      <c r="O319" s="9" t="str">
        <f>_xll.SNL.Clients.Office.Excel.Functions.SPG(L319, "SP_COUNTRY_NAME")</f>
        <v>#INVALID COMPANY ID</v>
      </c>
      <c r="T319" s="9" t="str">
        <f>_xll.SNL.Clients.Office.Excel.Functions.SPG(Q319, "SP_COUNTRY_NAME")</f>
        <v>#INVALID COMPANY ID</v>
      </c>
      <c r="Y319" s="9" t="str">
        <f>_xll.SNL.Clients.Office.Excel.Functions.SPG(V319, "SP_COUNTRY_NAME")</f>
        <v>#INVALID COMPANY ID</v>
      </c>
    </row>
    <row r="320" spans="5:25" x14ac:dyDescent="0.35">
      <c r="E320" s="9" t="str">
        <f>_xll.SNL.Clients.Office.Excel.Functions.SPG(B320, "SP_COUNTRY_NAME")</f>
        <v>#INVALID COMPANY ID</v>
      </c>
      <c r="J320" s="9" t="str">
        <f>_xll.SNL.Clients.Office.Excel.Functions.SPG(G320, "SP_COUNTRY_NAME")</f>
        <v>#INVALID COMPANY ID</v>
      </c>
      <c r="O320" s="9" t="str">
        <f>_xll.SNL.Clients.Office.Excel.Functions.SPG(L320, "SP_COUNTRY_NAME")</f>
        <v>#INVALID COMPANY ID</v>
      </c>
      <c r="T320" s="9" t="str">
        <f>_xll.SNL.Clients.Office.Excel.Functions.SPG(Q320, "SP_COUNTRY_NAME")</f>
        <v>#INVALID COMPANY ID</v>
      </c>
      <c r="Y320" s="9" t="str">
        <f>_xll.SNL.Clients.Office.Excel.Functions.SPG(V320, "SP_COUNTRY_NAME")</f>
        <v>#INVALID COMPANY ID</v>
      </c>
    </row>
    <row r="321" spans="5:25" x14ac:dyDescent="0.35">
      <c r="E321" s="9" t="str">
        <f>_xll.SNL.Clients.Office.Excel.Functions.SPG(B321, "SP_COUNTRY_NAME")</f>
        <v>#INVALID COMPANY ID</v>
      </c>
      <c r="J321" s="9" t="str">
        <f>_xll.SNL.Clients.Office.Excel.Functions.SPG(G321, "SP_COUNTRY_NAME")</f>
        <v>#INVALID COMPANY ID</v>
      </c>
      <c r="O321" s="9" t="str">
        <f>_xll.SNL.Clients.Office.Excel.Functions.SPG(L321, "SP_COUNTRY_NAME")</f>
        <v>#INVALID COMPANY ID</v>
      </c>
      <c r="T321" s="9" t="str">
        <f>_xll.SNL.Clients.Office.Excel.Functions.SPG(Q321, "SP_COUNTRY_NAME")</f>
        <v>#INVALID COMPANY ID</v>
      </c>
      <c r="Y321" s="9" t="str">
        <f>_xll.SNL.Clients.Office.Excel.Functions.SPG(V321, "SP_COUNTRY_NAME")</f>
        <v>#INVALID COMPANY ID</v>
      </c>
    </row>
    <row r="322" spans="5:25" x14ac:dyDescent="0.35">
      <c r="E322" s="9" t="str">
        <f>_xll.SNL.Clients.Office.Excel.Functions.SPG(B322, "SP_COUNTRY_NAME")</f>
        <v>#INVALID COMPANY ID</v>
      </c>
      <c r="J322" s="9" t="str">
        <f>_xll.SNL.Clients.Office.Excel.Functions.SPG(G322, "SP_COUNTRY_NAME")</f>
        <v>#INVALID COMPANY ID</v>
      </c>
      <c r="O322" s="9" t="str">
        <f>_xll.SNL.Clients.Office.Excel.Functions.SPG(L322, "SP_COUNTRY_NAME")</f>
        <v>#INVALID COMPANY ID</v>
      </c>
      <c r="T322" s="9" t="str">
        <f>_xll.SNL.Clients.Office.Excel.Functions.SPG(Q322, "SP_COUNTRY_NAME")</f>
        <v>#INVALID COMPANY ID</v>
      </c>
      <c r="Y322" s="9" t="str">
        <f>_xll.SNL.Clients.Office.Excel.Functions.SPG(V322, "SP_COUNTRY_NAME")</f>
        <v>#INVALID COMPANY ID</v>
      </c>
    </row>
    <row r="323" spans="5:25" x14ac:dyDescent="0.35">
      <c r="E323" s="9" t="str">
        <f>_xll.SNL.Clients.Office.Excel.Functions.SPG(B323, "SP_COUNTRY_NAME")</f>
        <v>#INVALID COMPANY ID</v>
      </c>
      <c r="J323" s="9" t="str">
        <f>_xll.SNL.Clients.Office.Excel.Functions.SPG(G323, "SP_COUNTRY_NAME")</f>
        <v>#INVALID COMPANY ID</v>
      </c>
      <c r="O323" s="9" t="str">
        <f>_xll.SNL.Clients.Office.Excel.Functions.SPG(L323, "SP_COUNTRY_NAME")</f>
        <v>#INVALID COMPANY ID</v>
      </c>
      <c r="T323" s="9" t="str">
        <f>_xll.SNL.Clients.Office.Excel.Functions.SPG(Q323, "SP_COUNTRY_NAME")</f>
        <v>#INVALID COMPANY ID</v>
      </c>
      <c r="Y323" s="9" t="str">
        <f>_xll.SNL.Clients.Office.Excel.Functions.SPG(V323, "SP_COUNTRY_NAME")</f>
        <v>#INVALID COMPANY ID</v>
      </c>
    </row>
    <row r="324" spans="5:25" x14ac:dyDescent="0.35">
      <c r="E324" s="9" t="str">
        <f>_xll.SNL.Clients.Office.Excel.Functions.SPG(B324, "SP_COUNTRY_NAME")</f>
        <v>#INVALID COMPANY ID</v>
      </c>
      <c r="J324" s="9" t="str">
        <f>_xll.SNL.Clients.Office.Excel.Functions.SPG(G324, "SP_COUNTRY_NAME")</f>
        <v>#INVALID COMPANY ID</v>
      </c>
      <c r="O324" s="9" t="str">
        <f>_xll.SNL.Clients.Office.Excel.Functions.SPG(L324, "SP_COUNTRY_NAME")</f>
        <v>#INVALID COMPANY ID</v>
      </c>
      <c r="T324" s="9" t="str">
        <f>_xll.SNL.Clients.Office.Excel.Functions.SPG(Q324, "SP_COUNTRY_NAME")</f>
        <v>#INVALID COMPANY ID</v>
      </c>
      <c r="Y324" s="9" t="str">
        <f>_xll.SNL.Clients.Office.Excel.Functions.SPG(V324, "SP_COUNTRY_NAME")</f>
        <v>#INVALID COMPANY ID</v>
      </c>
    </row>
    <row r="325" spans="5:25" x14ac:dyDescent="0.35">
      <c r="E325" s="9" t="str">
        <f>_xll.SNL.Clients.Office.Excel.Functions.SPG(B325, "SP_COUNTRY_NAME")</f>
        <v>#INVALID COMPANY ID</v>
      </c>
      <c r="J325" s="9" t="str">
        <f>_xll.SNL.Clients.Office.Excel.Functions.SPG(G325, "SP_COUNTRY_NAME")</f>
        <v>#INVALID COMPANY ID</v>
      </c>
      <c r="O325" s="9" t="str">
        <f>_xll.SNL.Clients.Office.Excel.Functions.SPG(L325, "SP_COUNTRY_NAME")</f>
        <v>#INVALID COMPANY ID</v>
      </c>
      <c r="T325" s="9" t="str">
        <f>_xll.SNL.Clients.Office.Excel.Functions.SPG(Q325, "SP_COUNTRY_NAME")</f>
        <v>#INVALID COMPANY ID</v>
      </c>
      <c r="Y325" s="9" t="str">
        <f>_xll.SNL.Clients.Office.Excel.Functions.SPG(V325, "SP_COUNTRY_NAME")</f>
        <v>#INVALID COMPANY ID</v>
      </c>
    </row>
    <row r="326" spans="5:25" x14ac:dyDescent="0.35">
      <c r="E326" s="9" t="str">
        <f>_xll.SNL.Clients.Office.Excel.Functions.SPG(B326, "SP_COUNTRY_NAME")</f>
        <v>#INVALID COMPANY ID</v>
      </c>
      <c r="J326" s="9" t="str">
        <f>_xll.SNL.Clients.Office.Excel.Functions.SPG(G326, "SP_COUNTRY_NAME")</f>
        <v>#INVALID COMPANY ID</v>
      </c>
      <c r="O326" s="9" t="str">
        <f>_xll.SNL.Clients.Office.Excel.Functions.SPG(L326, "SP_COUNTRY_NAME")</f>
        <v>#INVALID COMPANY ID</v>
      </c>
      <c r="T326" s="9" t="str">
        <f>_xll.SNL.Clients.Office.Excel.Functions.SPG(Q326, "SP_COUNTRY_NAME")</f>
        <v>#INVALID COMPANY ID</v>
      </c>
      <c r="Y326" s="9" t="str">
        <f>_xll.SNL.Clients.Office.Excel.Functions.SPG(V326, "SP_COUNTRY_NAME")</f>
        <v>#INVALID COMPANY ID</v>
      </c>
    </row>
    <row r="327" spans="5:25" x14ac:dyDescent="0.35">
      <c r="E327" s="9" t="str">
        <f>_xll.SNL.Clients.Office.Excel.Functions.SPG(B327, "SP_COUNTRY_NAME")</f>
        <v>#INVALID COMPANY ID</v>
      </c>
      <c r="J327" s="9" t="str">
        <f>_xll.SNL.Clients.Office.Excel.Functions.SPG(G327, "SP_COUNTRY_NAME")</f>
        <v>#INVALID COMPANY ID</v>
      </c>
      <c r="O327" s="9" t="str">
        <f>_xll.SNL.Clients.Office.Excel.Functions.SPG(L327, "SP_COUNTRY_NAME")</f>
        <v>#INVALID COMPANY ID</v>
      </c>
      <c r="T327" s="9" t="str">
        <f>_xll.SNL.Clients.Office.Excel.Functions.SPG(Q327, "SP_COUNTRY_NAME")</f>
        <v>#INVALID COMPANY ID</v>
      </c>
      <c r="Y327" s="9" t="str">
        <f>_xll.SNL.Clients.Office.Excel.Functions.SPG(V327, "SP_COUNTRY_NAME")</f>
        <v>#INVALID COMPANY ID</v>
      </c>
    </row>
    <row r="328" spans="5:25" x14ac:dyDescent="0.35">
      <c r="E328" s="9" t="str">
        <f>_xll.SNL.Clients.Office.Excel.Functions.SPG(B328, "SP_COUNTRY_NAME")</f>
        <v>#INVALID COMPANY ID</v>
      </c>
      <c r="J328" s="9" t="str">
        <f>_xll.SNL.Clients.Office.Excel.Functions.SPG(G328, "SP_COUNTRY_NAME")</f>
        <v>#INVALID COMPANY ID</v>
      </c>
      <c r="O328" s="9" t="str">
        <f>_xll.SNL.Clients.Office.Excel.Functions.SPG(L328, "SP_COUNTRY_NAME")</f>
        <v>#INVALID COMPANY ID</v>
      </c>
      <c r="T328" s="9" t="str">
        <f>_xll.SNL.Clients.Office.Excel.Functions.SPG(Q328, "SP_COUNTRY_NAME")</f>
        <v>#INVALID COMPANY ID</v>
      </c>
      <c r="Y328" s="9" t="str">
        <f>_xll.SNL.Clients.Office.Excel.Functions.SPG(V328, "SP_COUNTRY_NAME")</f>
        <v>#INVALID COMPANY ID</v>
      </c>
    </row>
    <row r="329" spans="5:25" x14ac:dyDescent="0.35">
      <c r="E329" s="9" t="str">
        <f>_xll.SNL.Clients.Office.Excel.Functions.SPG(B329, "SP_COUNTRY_NAME")</f>
        <v>#INVALID COMPANY ID</v>
      </c>
      <c r="J329" s="9" t="str">
        <f>_xll.SNL.Clients.Office.Excel.Functions.SPG(G329, "SP_COUNTRY_NAME")</f>
        <v>#INVALID COMPANY ID</v>
      </c>
      <c r="O329" s="9" t="str">
        <f>_xll.SNL.Clients.Office.Excel.Functions.SPG(L329, "SP_COUNTRY_NAME")</f>
        <v>#INVALID COMPANY ID</v>
      </c>
      <c r="T329" s="9" t="str">
        <f>_xll.SNL.Clients.Office.Excel.Functions.SPG(Q329, "SP_COUNTRY_NAME")</f>
        <v>#INVALID COMPANY ID</v>
      </c>
      <c r="Y329" s="9" t="str">
        <f>_xll.SNL.Clients.Office.Excel.Functions.SPG(V329, "SP_COUNTRY_NAME")</f>
        <v>#INVALID COMPANY ID</v>
      </c>
    </row>
    <row r="330" spans="5:25" x14ac:dyDescent="0.35">
      <c r="E330" s="9" t="str">
        <f>_xll.SNL.Clients.Office.Excel.Functions.SPG(B330, "SP_COUNTRY_NAME")</f>
        <v>#INVALID COMPANY ID</v>
      </c>
      <c r="J330" s="9" t="str">
        <f>_xll.SNL.Clients.Office.Excel.Functions.SPG(G330, "SP_COUNTRY_NAME")</f>
        <v>#INVALID COMPANY ID</v>
      </c>
      <c r="O330" s="9" t="str">
        <f>_xll.SNL.Clients.Office.Excel.Functions.SPG(L330, "SP_COUNTRY_NAME")</f>
        <v>#INVALID COMPANY ID</v>
      </c>
      <c r="T330" s="9" t="str">
        <f>_xll.SNL.Clients.Office.Excel.Functions.SPG(Q330, "SP_COUNTRY_NAME")</f>
        <v>#INVALID COMPANY ID</v>
      </c>
      <c r="Y330" s="9" t="str">
        <f>_xll.SNL.Clients.Office.Excel.Functions.SPG(V330, "SP_COUNTRY_NAME")</f>
        <v>#INVALID COMPANY ID</v>
      </c>
    </row>
    <row r="331" spans="5:25" x14ac:dyDescent="0.35">
      <c r="E331" s="9" t="str">
        <f>_xll.SNL.Clients.Office.Excel.Functions.SPG(B331, "SP_COUNTRY_NAME")</f>
        <v>#INVALID COMPANY ID</v>
      </c>
      <c r="J331" s="9" t="str">
        <f>_xll.SNL.Clients.Office.Excel.Functions.SPG(G331, "SP_COUNTRY_NAME")</f>
        <v>#INVALID COMPANY ID</v>
      </c>
      <c r="O331" s="9" t="str">
        <f>_xll.SNL.Clients.Office.Excel.Functions.SPG(L331, "SP_COUNTRY_NAME")</f>
        <v>#INVALID COMPANY ID</v>
      </c>
      <c r="T331" s="9" t="str">
        <f>_xll.SNL.Clients.Office.Excel.Functions.SPG(Q331, "SP_COUNTRY_NAME")</f>
        <v>#INVALID COMPANY ID</v>
      </c>
      <c r="Y331" s="9" t="str">
        <f>_xll.SNL.Clients.Office.Excel.Functions.SPG(V331, "SP_COUNTRY_NAME")</f>
        <v>#INVALID COMPANY ID</v>
      </c>
    </row>
    <row r="332" spans="5:25" x14ac:dyDescent="0.35">
      <c r="E332" s="9" t="str">
        <f>_xll.SNL.Clients.Office.Excel.Functions.SPG(B332, "SP_COUNTRY_NAME")</f>
        <v>#INVALID COMPANY ID</v>
      </c>
      <c r="J332" s="9" t="str">
        <f>_xll.SNL.Clients.Office.Excel.Functions.SPG(G332, "SP_COUNTRY_NAME")</f>
        <v>#INVALID COMPANY ID</v>
      </c>
      <c r="O332" s="9" t="str">
        <f>_xll.SNL.Clients.Office.Excel.Functions.SPG(L332, "SP_COUNTRY_NAME")</f>
        <v>#INVALID COMPANY ID</v>
      </c>
      <c r="T332" s="9" t="str">
        <f>_xll.SNL.Clients.Office.Excel.Functions.SPG(Q332, "SP_COUNTRY_NAME")</f>
        <v>#INVALID COMPANY ID</v>
      </c>
      <c r="Y332" s="9" t="str">
        <f>_xll.SNL.Clients.Office.Excel.Functions.SPG(V332, "SP_COUNTRY_NAME")</f>
        <v>#INVALID COMPANY ID</v>
      </c>
    </row>
    <row r="333" spans="5:25" x14ac:dyDescent="0.35">
      <c r="E333" s="9" t="str">
        <f>_xll.SNL.Clients.Office.Excel.Functions.SPG(B333, "SP_COUNTRY_NAME")</f>
        <v>#INVALID COMPANY ID</v>
      </c>
      <c r="J333" s="9" t="str">
        <f>_xll.SNL.Clients.Office.Excel.Functions.SPG(G333, "SP_COUNTRY_NAME")</f>
        <v>#INVALID COMPANY ID</v>
      </c>
      <c r="O333" s="9" t="str">
        <f>_xll.SNL.Clients.Office.Excel.Functions.SPG(L333, "SP_COUNTRY_NAME")</f>
        <v>#INVALID COMPANY ID</v>
      </c>
      <c r="T333" s="9" t="str">
        <f>_xll.SNL.Clients.Office.Excel.Functions.SPG(Q333, "SP_COUNTRY_NAME")</f>
        <v>#INVALID COMPANY ID</v>
      </c>
      <c r="Y333" s="9" t="str">
        <f>_xll.SNL.Clients.Office.Excel.Functions.SPG(V333, "SP_COUNTRY_NAME")</f>
        <v>#INVALID COMPANY ID</v>
      </c>
    </row>
    <row r="334" spans="5:25" x14ac:dyDescent="0.35">
      <c r="E334" s="9" t="str">
        <f>_xll.SNL.Clients.Office.Excel.Functions.SPG(B334, "SP_COUNTRY_NAME")</f>
        <v>#INVALID COMPANY ID</v>
      </c>
      <c r="J334" s="9" t="str">
        <f>_xll.SNL.Clients.Office.Excel.Functions.SPG(G334, "SP_COUNTRY_NAME")</f>
        <v>#INVALID COMPANY ID</v>
      </c>
      <c r="O334" s="9" t="str">
        <f>_xll.SNL.Clients.Office.Excel.Functions.SPG(L334, "SP_COUNTRY_NAME")</f>
        <v>#INVALID COMPANY ID</v>
      </c>
      <c r="T334" s="9" t="str">
        <f>_xll.SNL.Clients.Office.Excel.Functions.SPG(Q334, "SP_COUNTRY_NAME")</f>
        <v>#INVALID COMPANY ID</v>
      </c>
      <c r="Y334" s="9" t="str">
        <f>_xll.SNL.Clients.Office.Excel.Functions.SPG(V334, "SP_COUNTRY_NAME")</f>
        <v>#INVALID COMPANY ID</v>
      </c>
    </row>
    <row r="335" spans="5:25" x14ac:dyDescent="0.35">
      <c r="E335" s="9" t="str">
        <f>_xll.SNL.Clients.Office.Excel.Functions.SPG(B335, "SP_COUNTRY_NAME")</f>
        <v>#INVALID COMPANY ID</v>
      </c>
      <c r="J335" s="9" t="str">
        <f>_xll.SNL.Clients.Office.Excel.Functions.SPG(G335, "SP_COUNTRY_NAME")</f>
        <v>#INVALID COMPANY ID</v>
      </c>
      <c r="O335" s="9" t="str">
        <f>_xll.SNL.Clients.Office.Excel.Functions.SPG(L335, "SP_COUNTRY_NAME")</f>
        <v>#INVALID COMPANY ID</v>
      </c>
      <c r="T335" s="9" t="str">
        <f>_xll.SNL.Clients.Office.Excel.Functions.SPG(Q335, "SP_COUNTRY_NAME")</f>
        <v>#INVALID COMPANY ID</v>
      </c>
      <c r="Y335" s="9" t="str">
        <f>_xll.SNL.Clients.Office.Excel.Functions.SPG(V335, "SP_COUNTRY_NAME")</f>
        <v>#INVALID COMPANY ID</v>
      </c>
    </row>
    <row r="336" spans="5:25" x14ac:dyDescent="0.35">
      <c r="E336" s="9" t="str">
        <f>_xll.SNL.Clients.Office.Excel.Functions.SPG(B336, "SP_COUNTRY_NAME")</f>
        <v>#INVALID COMPANY ID</v>
      </c>
      <c r="J336" s="9" t="str">
        <f>_xll.SNL.Clients.Office.Excel.Functions.SPG(G336, "SP_COUNTRY_NAME")</f>
        <v>#INVALID COMPANY ID</v>
      </c>
      <c r="O336" s="9" t="str">
        <f>_xll.SNL.Clients.Office.Excel.Functions.SPG(L336, "SP_COUNTRY_NAME")</f>
        <v>#INVALID COMPANY ID</v>
      </c>
      <c r="T336" s="9" t="str">
        <f>_xll.SNL.Clients.Office.Excel.Functions.SPG(Q336, "SP_COUNTRY_NAME")</f>
        <v>#INVALID COMPANY ID</v>
      </c>
      <c r="Y336" s="9" t="str">
        <f>_xll.SNL.Clients.Office.Excel.Functions.SPG(V336, "SP_COUNTRY_NAME")</f>
        <v>#INVALID COMPANY ID</v>
      </c>
    </row>
    <row r="337" spans="5:25" x14ac:dyDescent="0.35">
      <c r="E337" s="9" t="str">
        <f>_xll.SNL.Clients.Office.Excel.Functions.SPG(B337, "SP_COUNTRY_NAME")</f>
        <v>#INVALID COMPANY ID</v>
      </c>
      <c r="J337" s="9" t="str">
        <f>_xll.SNL.Clients.Office.Excel.Functions.SPG(G337, "SP_COUNTRY_NAME")</f>
        <v>#INVALID COMPANY ID</v>
      </c>
      <c r="O337" s="9" t="str">
        <f>_xll.SNL.Clients.Office.Excel.Functions.SPG(L337, "SP_COUNTRY_NAME")</f>
        <v>#INVALID COMPANY ID</v>
      </c>
      <c r="T337" s="9" t="str">
        <f>_xll.SNL.Clients.Office.Excel.Functions.SPG(Q337, "SP_COUNTRY_NAME")</f>
        <v>#INVALID COMPANY ID</v>
      </c>
      <c r="Y337" s="9" t="str">
        <f>_xll.SNL.Clients.Office.Excel.Functions.SPG(V337, "SP_COUNTRY_NAME")</f>
        <v>#INVALID COMPANY ID</v>
      </c>
    </row>
    <row r="338" spans="5:25" x14ac:dyDescent="0.35">
      <c r="E338" s="9" t="str">
        <f>_xll.SNL.Clients.Office.Excel.Functions.SPG(B338, "SP_COUNTRY_NAME")</f>
        <v>#INVALID COMPANY ID</v>
      </c>
      <c r="J338" s="9" t="str">
        <f>_xll.SNL.Clients.Office.Excel.Functions.SPG(G338, "SP_COUNTRY_NAME")</f>
        <v>#INVALID COMPANY ID</v>
      </c>
      <c r="O338" s="9" t="str">
        <f>_xll.SNL.Clients.Office.Excel.Functions.SPG(L338, "SP_COUNTRY_NAME")</f>
        <v>#INVALID COMPANY ID</v>
      </c>
      <c r="T338" s="9" t="str">
        <f>_xll.SNL.Clients.Office.Excel.Functions.SPG(Q338, "SP_COUNTRY_NAME")</f>
        <v>#INVALID COMPANY ID</v>
      </c>
      <c r="Y338" s="9" t="str">
        <f>_xll.SNL.Clients.Office.Excel.Functions.SPG(V338, "SP_COUNTRY_NAME")</f>
        <v>#INVALID COMPANY ID</v>
      </c>
    </row>
    <row r="339" spans="5:25" x14ac:dyDescent="0.35">
      <c r="E339" s="9" t="str">
        <f>_xll.SNL.Clients.Office.Excel.Functions.SPG(B339, "SP_COUNTRY_NAME")</f>
        <v>#INVALID COMPANY ID</v>
      </c>
      <c r="J339" s="9" t="str">
        <f>_xll.SNL.Clients.Office.Excel.Functions.SPG(G339, "SP_COUNTRY_NAME")</f>
        <v>#INVALID COMPANY ID</v>
      </c>
      <c r="O339" s="9" t="str">
        <f>_xll.SNL.Clients.Office.Excel.Functions.SPG(L339, "SP_COUNTRY_NAME")</f>
        <v>#INVALID COMPANY ID</v>
      </c>
      <c r="T339" s="9" t="str">
        <f>_xll.SNL.Clients.Office.Excel.Functions.SPG(Q339, "SP_COUNTRY_NAME")</f>
        <v>#INVALID COMPANY ID</v>
      </c>
      <c r="Y339" s="9" t="str">
        <f>_xll.SNL.Clients.Office.Excel.Functions.SPG(V339, "SP_COUNTRY_NAME")</f>
        <v>#INVALID COMPANY ID</v>
      </c>
    </row>
    <row r="340" spans="5:25" x14ac:dyDescent="0.35">
      <c r="E340" s="9" t="str">
        <f>_xll.SNL.Clients.Office.Excel.Functions.SPG(B340, "SP_COUNTRY_NAME")</f>
        <v>#INVALID COMPANY ID</v>
      </c>
      <c r="J340" s="9" t="str">
        <f>_xll.SNL.Clients.Office.Excel.Functions.SPG(G340, "SP_COUNTRY_NAME")</f>
        <v>#INVALID COMPANY ID</v>
      </c>
      <c r="O340" s="9" t="str">
        <f>_xll.SNL.Clients.Office.Excel.Functions.SPG(L340, "SP_COUNTRY_NAME")</f>
        <v>#INVALID COMPANY ID</v>
      </c>
      <c r="T340" s="9" t="str">
        <f>_xll.SNL.Clients.Office.Excel.Functions.SPG(Q340, "SP_COUNTRY_NAME")</f>
        <v>#INVALID COMPANY ID</v>
      </c>
      <c r="Y340" s="9" t="str">
        <f>_xll.SNL.Clients.Office.Excel.Functions.SPG(V340, "SP_COUNTRY_NAME")</f>
        <v>#INVALID COMPANY ID</v>
      </c>
    </row>
    <row r="341" spans="5:25" x14ac:dyDescent="0.35">
      <c r="E341" s="9" t="str">
        <f>_xll.SNL.Clients.Office.Excel.Functions.SPG(B341, "SP_COUNTRY_NAME")</f>
        <v>#INVALID COMPANY ID</v>
      </c>
      <c r="J341" s="9" t="str">
        <f>_xll.SNL.Clients.Office.Excel.Functions.SPG(G341, "SP_COUNTRY_NAME")</f>
        <v>#INVALID COMPANY ID</v>
      </c>
      <c r="O341" s="9" t="str">
        <f>_xll.SNL.Clients.Office.Excel.Functions.SPG(L341, "SP_COUNTRY_NAME")</f>
        <v>#INVALID COMPANY ID</v>
      </c>
      <c r="T341" s="9" t="str">
        <f>_xll.SNL.Clients.Office.Excel.Functions.SPG(Q341, "SP_COUNTRY_NAME")</f>
        <v>#INVALID COMPANY ID</v>
      </c>
      <c r="Y341" s="9" t="str">
        <f>_xll.SNL.Clients.Office.Excel.Functions.SPG(V341, "SP_COUNTRY_NAME")</f>
        <v>#INVALID COMPANY ID</v>
      </c>
    </row>
    <row r="342" spans="5:25" x14ac:dyDescent="0.35">
      <c r="E342" s="9" t="str">
        <f>_xll.SNL.Clients.Office.Excel.Functions.SPG(B342, "SP_COUNTRY_NAME")</f>
        <v>#INVALID COMPANY ID</v>
      </c>
      <c r="J342" s="9" t="str">
        <f>_xll.SNL.Clients.Office.Excel.Functions.SPG(G342, "SP_COUNTRY_NAME")</f>
        <v>#INVALID COMPANY ID</v>
      </c>
      <c r="O342" s="9" t="str">
        <f>_xll.SNL.Clients.Office.Excel.Functions.SPG(L342, "SP_COUNTRY_NAME")</f>
        <v>#INVALID COMPANY ID</v>
      </c>
      <c r="T342" s="9" t="str">
        <f>_xll.SNL.Clients.Office.Excel.Functions.SPG(Q342, "SP_COUNTRY_NAME")</f>
        <v>#INVALID COMPANY ID</v>
      </c>
      <c r="Y342" s="9" t="str">
        <f>_xll.SNL.Clients.Office.Excel.Functions.SPG(V342, "SP_COUNTRY_NAME")</f>
        <v>#INVALID COMPANY ID</v>
      </c>
    </row>
    <row r="343" spans="5:25" x14ac:dyDescent="0.35">
      <c r="E343" s="9" t="str">
        <f>_xll.SNL.Clients.Office.Excel.Functions.SPG(B343, "SP_COUNTRY_NAME")</f>
        <v>#INVALID COMPANY ID</v>
      </c>
      <c r="J343" s="9" t="str">
        <f>_xll.SNL.Clients.Office.Excel.Functions.SPG(G343, "SP_COUNTRY_NAME")</f>
        <v>#INVALID COMPANY ID</v>
      </c>
      <c r="O343" s="9" t="str">
        <f>_xll.SNL.Clients.Office.Excel.Functions.SPG(L343, "SP_COUNTRY_NAME")</f>
        <v>#INVALID COMPANY ID</v>
      </c>
      <c r="T343" s="9" t="str">
        <f>_xll.SNL.Clients.Office.Excel.Functions.SPG(Q343, "SP_COUNTRY_NAME")</f>
        <v>#INVALID COMPANY ID</v>
      </c>
      <c r="Y343" s="9" t="str">
        <f>_xll.SNL.Clients.Office.Excel.Functions.SPG(V343, "SP_COUNTRY_NAME")</f>
        <v>#INVALID COMPANY ID</v>
      </c>
    </row>
    <row r="344" spans="5:25" x14ac:dyDescent="0.35">
      <c r="E344" s="9" t="str">
        <f>_xll.SNL.Clients.Office.Excel.Functions.SPG(B344, "SP_COUNTRY_NAME")</f>
        <v>#INVALID COMPANY ID</v>
      </c>
      <c r="J344" s="9" t="str">
        <f>_xll.SNL.Clients.Office.Excel.Functions.SPG(G344, "SP_COUNTRY_NAME")</f>
        <v>#INVALID COMPANY ID</v>
      </c>
      <c r="O344" s="9" t="str">
        <f>_xll.SNL.Clients.Office.Excel.Functions.SPG(L344, "SP_COUNTRY_NAME")</f>
        <v>#INVALID COMPANY ID</v>
      </c>
      <c r="T344" s="9" t="str">
        <f>_xll.SNL.Clients.Office.Excel.Functions.SPG(Q344, "SP_COUNTRY_NAME")</f>
        <v>#INVALID COMPANY ID</v>
      </c>
      <c r="Y344" s="9" t="str">
        <f>_xll.SNL.Clients.Office.Excel.Functions.SPG(V344, "SP_COUNTRY_NAME")</f>
        <v>#INVALID COMPANY ID</v>
      </c>
    </row>
    <row r="345" spans="5:25" x14ac:dyDescent="0.35">
      <c r="E345" s="9" t="str">
        <f>_xll.SNL.Clients.Office.Excel.Functions.SPG(B345, "SP_COUNTRY_NAME")</f>
        <v>#INVALID COMPANY ID</v>
      </c>
      <c r="J345" s="9" t="str">
        <f>_xll.SNL.Clients.Office.Excel.Functions.SPG(G345, "SP_COUNTRY_NAME")</f>
        <v>#INVALID COMPANY ID</v>
      </c>
      <c r="O345" s="9" t="str">
        <f>_xll.SNL.Clients.Office.Excel.Functions.SPG(L345, "SP_COUNTRY_NAME")</f>
        <v>#INVALID COMPANY ID</v>
      </c>
      <c r="T345" s="9" t="str">
        <f>_xll.SNL.Clients.Office.Excel.Functions.SPG(Q345, "SP_COUNTRY_NAME")</f>
        <v>#INVALID COMPANY ID</v>
      </c>
      <c r="Y345" s="9" t="str">
        <f>_xll.SNL.Clients.Office.Excel.Functions.SPG(V345, "SP_COUNTRY_NAME")</f>
        <v>#INVALID COMPANY ID</v>
      </c>
    </row>
    <row r="346" spans="5:25" x14ac:dyDescent="0.35">
      <c r="E346" s="9" t="str">
        <f>_xll.SNL.Clients.Office.Excel.Functions.SPG(B346, "SP_COUNTRY_NAME")</f>
        <v>#INVALID COMPANY ID</v>
      </c>
      <c r="J346" s="9" t="str">
        <f>_xll.SNL.Clients.Office.Excel.Functions.SPG(G346, "SP_COUNTRY_NAME")</f>
        <v>#INVALID COMPANY ID</v>
      </c>
      <c r="O346" s="9" t="str">
        <f>_xll.SNL.Clients.Office.Excel.Functions.SPG(L346, "SP_COUNTRY_NAME")</f>
        <v>#INVALID COMPANY ID</v>
      </c>
      <c r="T346" s="9" t="str">
        <f>_xll.SNL.Clients.Office.Excel.Functions.SPG(Q346, "SP_COUNTRY_NAME")</f>
        <v>#INVALID COMPANY ID</v>
      </c>
      <c r="Y346" s="9" t="str">
        <f>_xll.SNL.Clients.Office.Excel.Functions.SPG(V346, "SP_COUNTRY_NAME")</f>
        <v>#INVALID COMPANY ID</v>
      </c>
    </row>
    <row r="347" spans="5:25" x14ac:dyDescent="0.35">
      <c r="E347" s="9" t="str">
        <f>_xll.SNL.Clients.Office.Excel.Functions.SPG(B347, "SP_COUNTRY_NAME")</f>
        <v>#INVALID COMPANY ID</v>
      </c>
      <c r="J347" s="9" t="str">
        <f>_xll.SNL.Clients.Office.Excel.Functions.SPG(G347, "SP_COUNTRY_NAME")</f>
        <v>#INVALID COMPANY ID</v>
      </c>
      <c r="O347" s="9" t="str">
        <f>_xll.SNL.Clients.Office.Excel.Functions.SPG(L347, "SP_COUNTRY_NAME")</f>
        <v>#INVALID COMPANY ID</v>
      </c>
      <c r="T347" s="9" t="str">
        <f>_xll.SNL.Clients.Office.Excel.Functions.SPG(Q347, "SP_COUNTRY_NAME")</f>
        <v>#INVALID COMPANY ID</v>
      </c>
      <c r="Y347" s="9" t="str">
        <f>_xll.SNL.Clients.Office.Excel.Functions.SPG(V347, "SP_COUNTRY_NAME")</f>
        <v>#INVALID COMPANY ID</v>
      </c>
    </row>
    <row r="348" spans="5:25" x14ac:dyDescent="0.35">
      <c r="E348" s="9" t="str">
        <f>_xll.SNL.Clients.Office.Excel.Functions.SPG(B348, "SP_COUNTRY_NAME")</f>
        <v>#INVALID COMPANY ID</v>
      </c>
      <c r="J348" s="9" t="str">
        <f>_xll.SNL.Clients.Office.Excel.Functions.SPG(G348, "SP_COUNTRY_NAME")</f>
        <v>#INVALID COMPANY ID</v>
      </c>
      <c r="O348" s="9" t="str">
        <f>_xll.SNL.Clients.Office.Excel.Functions.SPG(L348, "SP_COUNTRY_NAME")</f>
        <v>#INVALID COMPANY ID</v>
      </c>
      <c r="T348" s="9" t="str">
        <f>_xll.SNL.Clients.Office.Excel.Functions.SPG(Q348, "SP_COUNTRY_NAME")</f>
        <v>#INVALID COMPANY ID</v>
      </c>
      <c r="Y348" s="9" t="str">
        <f>_xll.SNL.Clients.Office.Excel.Functions.SPG(V348, "SP_COUNTRY_NAME")</f>
        <v>#INVALID COMPANY ID</v>
      </c>
    </row>
    <row r="349" spans="5:25" x14ac:dyDescent="0.35">
      <c r="E349" s="9" t="str">
        <f>_xll.SNL.Clients.Office.Excel.Functions.SPG(B349, "SP_COUNTRY_NAME")</f>
        <v>#INVALID COMPANY ID</v>
      </c>
      <c r="J349" s="9" t="str">
        <f>_xll.SNL.Clients.Office.Excel.Functions.SPG(G349, "SP_COUNTRY_NAME")</f>
        <v>#INVALID COMPANY ID</v>
      </c>
      <c r="O349" s="9" t="str">
        <f>_xll.SNL.Clients.Office.Excel.Functions.SPG(L349, "SP_COUNTRY_NAME")</f>
        <v>#INVALID COMPANY ID</v>
      </c>
      <c r="T349" s="9" t="str">
        <f>_xll.SNL.Clients.Office.Excel.Functions.SPG(Q349, "SP_COUNTRY_NAME")</f>
        <v>#INVALID COMPANY ID</v>
      </c>
      <c r="Y349" s="9" t="str">
        <f>_xll.SNL.Clients.Office.Excel.Functions.SPG(V349, "SP_COUNTRY_NAME")</f>
        <v>#INVALID COMPANY ID</v>
      </c>
    </row>
    <row r="350" spans="5:25" x14ac:dyDescent="0.35">
      <c r="E350" s="9" t="str">
        <f>_xll.SNL.Clients.Office.Excel.Functions.SPG(B350, "SP_COUNTRY_NAME")</f>
        <v>#INVALID COMPANY ID</v>
      </c>
      <c r="J350" s="9" t="str">
        <f>_xll.SNL.Clients.Office.Excel.Functions.SPG(G350, "SP_COUNTRY_NAME")</f>
        <v>#INVALID COMPANY ID</v>
      </c>
      <c r="O350" s="9" t="str">
        <f>_xll.SNL.Clients.Office.Excel.Functions.SPG(L350, "SP_COUNTRY_NAME")</f>
        <v>#INVALID COMPANY ID</v>
      </c>
      <c r="T350" s="9" t="str">
        <f>_xll.SNL.Clients.Office.Excel.Functions.SPG(Q350, "SP_COUNTRY_NAME")</f>
        <v>#INVALID COMPANY ID</v>
      </c>
      <c r="Y350" s="9" t="str">
        <f>_xll.SNL.Clients.Office.Excel.Functions.SPG(V350, "SP_COUNTRY_NAME")</f>
        <v>#INVALID COMPANY ID</v>
      </c>
    </row>
    <row r="351" spans="5:25" x14ac:dyDescent="0.35">
      <c r="E351" s="9" t="str">
        <f>_xll.SNL.Clients.Office.Excel.Functions.SPG(B351, "SP_COUNTRY_NAME")</f>
        <v>#INVALID COMPANY ID</v>
      </c>
      <c r="J351" s="9" t="str">
        <f>_xll.SNL.Clients.Office.Excel.Functions.SPG(G351, "SP_COUNTRY_NAME")</f>
        <v>#INVALID COMPANY ID</v>
      </c>
      <c r="O351" s="9" t="str">
        <f>_xll.SNL.Clients.Office.Excel.Functions.SPG(L351, "SP_COUNTRY_NAME")</f>
        <v>#INVALID COMPANY ID</v>
      </c>
      <c r="T351" s="9" t="str">
        <f>_xll.SNL.Clients.Office.Excel.Functions.SPG(Q351, "SP_COUNTRY_NAME")</f>
        <v>#INVALID COMPANY ID</v>
      </c>
      <c r="Y351" s="9" t="str">
        <f>_xll.SNL.Clients.Office.Excel.Functions.SPG(V351, "SP_COUNTRY_NAME")</f>
        <v>#INVALID COMPANY ID</v>
      </c>
    </row>
    <row r="352" spans="5:25" x14ac:dyDescent="0.35">
      <c r="E352" s="9" t="str">
        <f>_xll.SNL.Clients.Office.Excel.Functions.SPG(B352, "SP_COUNTRY_NAME")</f>
        <v>#INVALID COMPANY ID</v>
      </c>
      <c r="J352" s="9" t="str">
        <f>_xll.SNL.Clients.Office.Excel.Functions.SPG(G352, "SP_COUNTRY_NAME")</f>
        <v>#INVALID COMPANY ID</v>
      </c>
      <c r="O352" s="9" t="str">
        <f>_xll.SNL.Clients.Office.Excel.Functions.SPG(L352, "SP_COUNTRY_NAME")</f>
        <v>#INVALID COMPANY ID</v>
      </c>
      <c r="T352" s="9" t="str">
        <f>_xll.SNL.Clients.Office.Excel.Functions.SPG(Q352, "SP_COUNTRY_NAME")</f>
        <v>#INVALID COMPANY ID</v>
      </c>
      <c r="Y352" s="9" t="str">
        <f>_xll.SNL.Clients.Office.Excel.Functions.SPG(V352, "SP_COUNTRY_NAME")</f>
        <v>#INVALID COMPANY ID</v>
      </c>
    </row>
    <row r="353" spans="5:25" x14ac:dyDescent="0.35">
      <c r="E353" s="9" t="str">
        <f>_xll.SNL.Clients.Office.Excel.Functions.SPG(B353, "SP_COUNTRY_NAME")</f>
        <v>#INVALID COMPANY ID</v>
      </c>
      <c r="J353" s="9" t="str">
        <f>_xll.SNL.Clients.Office.Excel.Functions.SPG(G353, "SP_COUNTRY_NAME")</f>
        <v>#INVALID COMPANY ID</v>
      </c>
      <c r="O353" s="9" t="str">
        <f>_xll.SNL.Clients.Office.Excel.Functions.SPG(L353, "SP_COUNTRY_NAME")</f>
        <v>#INVALID COMPANY ID</v>
      </c>
      <c r="T353" s="9" t="str">
        <f>_xll.SNL.Clients.Office.Excel.Functions.SPG(Q353, "SP_COUNTRY_NAME")</f>
        <v>#INVALID COMPANY ID</v>
      </c>
      <c r="Y353" s="9" t="str">
        <f>_xll.SNL.Clients.Office.Excel.Functions.SPG(V353, "SP_COUNTRY_NAME")</f>
        <v>#INVALID COMPANY ID</v>
      </c>
    </row>
    <row r="354" spans="5:25" x14ac:dyDescent="0.35">
      <c r="E354" s="9" t="str">
        <f>_xll.SNL.Clients.Office.Excel.Functions.SPG(B354, "SP_COUNTRY_NAME")</f>
        <v>#INVALID COMPANY ID</v>
      </c>
      <c r="J354" s="9" t="str">
        <f>_xll.SNL.Clients.Office.Excel.Functions.SPG(G354, "SP_COUNTRY_NAME")</f>
        <v>#INVALID COMPANY ID</v>
      </c>
      <c r="O354" s="9" t="str">
        <f>_xll.SNL.Clients.Office.Excel.Functions.SPG(L354, "SP_COUNTRY_NAME")</f>
        <v>#INVALID COMPANY ID</v>
      </c>
      <c r="T354" s="9" t="str">
        <f>_xll.SNL.Clients.Office.Excel.Functions.SPG(Q354, "SP_COUNTRY_NAME")</f>
        <v>#INVALID COMPANY ID</v>
      </c>
      <c r="Y354" s="9" t="str">
        <f>_xll.SNL.Clients.Office.Excel.Functions.SPG(V354, "SP_COUNTRY_NAME")</f>
        <v>#INVALID COMPANY ID</v>
      </c>
    </row>
    <row r="355" spans="5:25" x14ac:dyDescent="0.35">
      <c r="E355" s="9" t="str">
        <f>_xll.SNL.Clients.Office.Excel.Functions.SPG(B355, "SP_COUNTRY_NAME")</f>
        <v>#INVALID COMPANY ID</v>
      </c>
      <c r="J355" s="9" t="str">
        <f>_xll.SNL.Clients.Office.Excel.Functions.SPG(G355, "SP_COUNTRY_NAME")</f>
        <v>#INVALID COMPANY ID</v>
      </c>
      <c r="O355" s="9" t="str">
        <f>_xll.SNL.Clients.Office.Excel.Functions.SPG(L355, "SP_COUNTRY_NAME")</f>
        <v>#INVALID COMPANY ID</v>
      </c>
      <c r="T355" s="9" t="str">
        <f>_xll.SNL.Clients.Office.Excel.Functions.SPG(Q355, "SP_COUNTRY_NAME")</f>
        <v>#INVALID COMPANY ID</v>
      </c>
      <c r="Y355" s="9" t="str">
        <f>_xll.SNL.Clients.Office.Excel.Functions.SPG(V355, "SP_COUNTRY_NAME")</f>
        <v>#INVALID COMPANY ID</v>
      </c>
    </row>
    <row r="356" spans="5:25" x14ac:dyDescent="0.35">
      <c r="E356" s="9" t="str">
        <f>_xll.SNL.Clients.Office.Excel.Functions.SPG(B356, "SP_COUNTRY_NAME")</f>
        <v>#INVALID COMPANY ID</v>
      </c>
      <c r="J356" s="9" t="str">
        <f>_xll.SNL.Clients.Office.Excel.Functions.SPG(G356, "SP_COUNTRY_NAME")</f>
        <v>#INVALID COMPANY ID</v>
      </c>
      <c r="O356" s="9" t="str">
        <f>_xll.SNL.Clients.Office.Excel.Functions.SPG(L356, "SP_COUNTRY_NAME")</f>
        <v>#INVALID COMPANY ID</v>
      </c>
      <c r="T356" s="9" t="str">
        <f>_xll.SNL.Clients.Office.Excel.Functions.SPG(Q356, "SP_COUNTRY_NAME")</f>
        <v>#INVALID COMPANY ID</v>
      </c>
      <c r="Y356" s="9" t="str">
        <f>_xll.SNL.Clients.Office.Excel.Functions.SPG(V356, "SP_COUNTRY_NAME")</f>
        <v>#INVALID COMPANY ID</v>
      </c>
    </row>
    <row r="357" spans="5:25" x14ac:dyDescent="0.35">
      <c r="E357" s="9" t="str">
        <f>_xll.SNL.Clients.Office.Excel.Functions.SPG(B357, "SP_COUNTRY_NAME")</f>
        <v>#INVALID COMPANY ID</v>
      </c>
      <c r="J357" s="9" t="str">
        <f>_xll.SNL.Clients.Office.Excel.Functions.SPG(G357, "SP_COUNTRY_NAME")</f>
        <v>#INVALID COMPANY ID</v>
      </c>
      <c r="O357" s="9" t="str">
        <f>_xll.SNL.Clients.Office.Excel.Functions.SPG(L357, "SP_COUNTRY_NAME")</f>
        <v>#INVALID COMPANY ID</v>
      </c>
      <c r="T357" s="9" t="str">
        <f>_xll.SNL.Clients.Office.Excel.Functions.SPG(Q357, "SP_COUNTRY_NAME")</f>
        <v>#INVALID COMPANY ID</v>
      </c>
      <c r="Y357" s="9" t="str">
        <f>_xll.SNL.Clients.Office.Excel.Functions.SPG(V357, "SP_COUNTRY_NAME")</f>
        <v>#INVALID COMPANY ID</v>
      </c>
    </row>
    <row r="358" spans="5:25" x14ac:dyDescent="0.35">
      <c r="E358" s="9" t="str">
        <f>_xll.SNL.Clients.Office.Excel.Functions.SPG(B358, "SP_COUNTRY_NAME")</f>
        <v>#INVALID COMPANY ID</v>
      </c>
      <c r="J358" s="9" t="str">
        <f>_xll.SNL.Clients.Office.Excel.Functions.SPG(G358, "SP_COUNTRY_NAME")</f>
        <v>#INVALID COMPANY ID</v>
      </c>
      <c r="O358" s="9" t="str">
        <f>_xll.SNL.Clients.Office.Excel.Functions.SPG(L358, "SP_COUNTRY_NAME")</f>
        <v>#INVALID COMPANY ID</v>
      </c>
      <c r="T358" s="9" t="str">
        <f>_xll.SNL.Clients.Office.Excel.Functions.SPG(Q358, "SP_COUNTRY_NAME")</f>
        <v>#INVALID COMPANY ID</v>
      </c>
      <c r="Y358" s="9" t="str">
        <f>_xll.SNL.Clients.Office.Excel.Functions.SPG(V358, "SP_COUNTRY_NAME")</f>
        <v>#INVALID COMPANY ID</v>
      </c>
    </row>
    <row r="359" spans="5:25" x14ac:dyDescent="0.35">
      <c r="E359" s="9" t="str">
        <f>_xll.SNL.Clients.Office.Excel.Functions.SPG(B359, "SP_COUNTRY_NAME")</f>
        <v>#INVALID COMPANY ID</v>
      </c>
      <c r="J359" s="9" t="str">
        <f>_xll.SNL.Clients.Office.Excel.Functions.SPG(G359, "SP_COUNTRY_NAME")</f>
        <v>#INVALID COMPANY ID</v>
      </c>
      <c r="O359" s="9" t="str">
        <f>_xll.SNL.Clients.Office.Excel.Functions.SPG(L359, "SP_COUNTRY_NAME")</f>
        <v>#INVALID COMPANY ID</v>
      </c>
      <c r="T359" s="9" t="str">
        <f>_xll.SNL.Clients.Office.Excel.Functions.SPG(Q359, "SP_COUNTRY_NAME")</f>
        <v>#INVALID COMPANY ID</v>
      </c>
      <c r="Y359" s="9" t="str">
        <f>_xll.SNL.Clients.Office.Excel.Functions.SPG(V359, "SP_COUNTRY_NAME")</f>
        <v>#INVALID COMPANY ID</v>
      </c>
    </row>
    <row r="360" spans="5:25" x14ac:dyDescent="0.35">
      <c r="E360" s="9" t="str">
        <f>_xll.SNL.Clients.Office.Excel.Functions.SPG(B360, "SP_COUNTRY_NAME")</f>
        <v>#INVALID COMPANY ID</v>
      </c>
      <c r="J360" s="9" t="str">
        <f>_xll.SNL.Clients.Office.Excel.Functions.SPG(G360, "SP_COUNTRY_NAME")</f>
        <v>#INVALID COMPANY ID</v>
      </c>
      <c r="O360" s="9" t="str">
        <f>_xll.SNL.Clients.Office.Excel.Functions.SPG(L360, "SP_COUNTRY_NAME")</f>
        <v>#INVALID COMPANY ID</v>
      </c>
      <c r="T360" s="9" t="str">
        <f>_xll.SNL.Clients.Office.Excel.Functions.SPG(Q360, "SP_COUNTRY_NAME")</f>
        <v>#INVALID COMPANY ID</v>
      </c>
      <c r="Y360" s="9" t="str">
        <f>_xll.SNL.Clients.Office.Excel.Functions.SPG(V360, "SP_COUNTRY_NAME")</f>
        <v>#INVALID COMPANY ID</v>
      </c>
    </row>
    <row r="361" spans="5:25" x14ac:dyDescent="0.35">
      <c r="E361" s="9" t="str">
        <f>_xll.SNL.Clients.Office.Excel.Functions.SPG(B361, "SP_COUNTRY_NAME")</f>
        <v>#INVALID COMPANY ID</v>
      </c>
      <c r="J361" s="9" t="str">
        <f>_xll.SNL.Clients.Office.Excel.Functions.SPG(G361, "SP_COUNTRY_NAME")</f>
        <v>#INVALID COMPANY ID</v>
      </c>
      <c r="O361" s="9" t="str">
        <f>_xll.SNL.Clients.Office.Excel.Functions.SPG(L361, "SP_COUNTRY_NAME")</f>
        <v>#INVALID COMPANY ID</v>
      </c>
      <c r="T361" s="9" t="str">
        <f>_xll.SNL.Clients.Office.Excel.Functions.SPG(Q361, "SP_COUNTRY_NAME")</f>
        <v>#INVALID COMPANY ID</v>
      </c>
      <c r="Y361" s="9" t="str">
        <f>_xll.SNL.Clients.Office.Excel.Functions.SPG(V361, "SP_COUNTRY_NAME")</f>
        <v>#INVALID COMPANY ID</v>
      </c>
    </row>
    <row r="362" spans="5:25" x14ac:dyDescent="0.35">
      <c r="E362" s="9" t="str">
        <f>_xll.SNL.Clients.Office.Excel.Functions.SPG(B362, "SP_COUNTRY_NAME")</f>
        <v>#INVALID COMPANY ID</v>
      </c>
      <c r="J362" s="9" t="str">
        <f>_xll.SNL.Clients.Office.Excel.Functions.SPG(G362, "SP_COUNTRY_NAME")</f>
        <v>#INVALID COMPANY ID</v>
      </c>
      <c r="O362" s="9" t="str">
        <f>_xll.SNL.Clients.Office.Excel.Functions.SPG(L362, "SP_COUNTRY_NAME")</f>
        <v>#INVALID COMPANY ID</v>
      </c>
      <c r="T362" s="9" t="str">
        <f>_xll.SNL.Clients.Office.Excel.Functions.SPG(Q362, "SP_COUNTRY_NAME")</f>
        <v>#INVALID COMPANY ID</v>
      </c>
      <c r="Y362" s="9" t="str">
        <f>_xll.SNL.Clients.Office.Excel.Functions.SPG(V362, "SP_COUNTRY_NAME")</f>
        <v>#INVALID COMPANY ID</v>
      </c>
    </row>
    <row r="363" spans="5:25" x14ac:dyDescent="0.35">
      <c r="E363" s="9" t="str">
        <f>_xll.SNL.Clients.Office.Excel.Functions.SPG(B363, "SP_COUNTRY_NAME")</f>
        <v>#INVALID COMPANY ID</v>
      </c>
      <c r="J363" s="9" t="str">
        <f>_xll.SNL.Clients.Office.Excel.Functions.SPG(G363, "SP_COUNTRY_NAME")</f>
        <v>#INVALID COMPANY ID</v>
      </c>
      <c r="O363" s="9" t="str">
        <f>_xll.SNL.Clients.Office.Excel.Functions.SPG(L363, "SP_COUNTRY_NAME")</f>
        <v>#INVALID COMPANY ID</v>
      </c>
      <c r="T363" s="9" t="str">
        <f>_xll.SNL.Clients.Office.Excel.Functions.SPG(Q363, "SP_COUNTRY_NAME")</f>
        <v>#INVALID COMPANY ID</v>
      </c>
      <c r="Y363" s="9" t="str">
        <f>_xll.SNL.Clients.Office.Excel.Functions.SPG(V363, "SP_COUNTRY_NAME")</f>
        <v>#INVALID COMPANY ID</v>
      </c>
    </row>
    <row r="364" spans="5:25" x14ac:dyDescent="0.35">
      <c r="E364" s="9" t="str">
        <f>_xll.SNL.Clients.Office.Excel.Functions.SPG(B364, "SP_COUNTRY_NAME")</f>
        <v>#INVALID COMPANY ID</v>
      </c>
      <c r="J364" s="9" t="str">
        <f>_xll.SNL.Clients.Office.Excel.Functions.SPG(G364, "SP_COUNTRY_NAME")</f>
        <v>#INVALID COMPANY ID</v>
      </c>
      <c r="O364" s="9" t="str">
        <f>_xll.SNL.Clients.Office.Excel.Functions.SPG(L364, "SP_COUNTRY_NAME")</f>
        <v>#INVALID COMPANY ID</v>
      </c>
      <c r="T364" s="9" t="str">
        <f>_xll.SNL.Clients.Office.Excel.Functions.SPG(Q364, "SP_COUNTRY_NAME")</f>
        <v>#INVALID COMPANY ID</v>
      </c>
      <c r="Y364" s="9" t="str">
        <f>_xll.SNL.Clients.Office.Excel.Functions.SPG(V364, "SP_COUNTRY_NAME")</f>
        <v>#INVALID COMPANY ID</v>
      </c>
    </row>
    <row r="365" spans="5:25" x14ac:dyDescent="0.35">
      <c r="E365" s="9" t="str">
        <f>_xll.SNL.Clients.Office.Excel.Functions.SPG(B365, "SP_COUNTRY_NAME")</f>
        <v>#INVALID COMPANY ID</v>
      </c>
      <c r="J365" s="9" t="str">
        <f>_xll.SNL.Clients.Office.Excel.Functions.SPG(G365, "SP_COUNTRY_NAME")</f>
        <v>#INVALID COMPANY ID</v>
      </c>
      <c r="O365" s="9" t="str">
        <f>_xll.SNL.Clients.Office.Excel.Functions.SPG(L365, "SP_COUNTRY_NAME")</f>
        <v>#INVALID COMPANY ID</v>
      </c>
      <c r="T365" s="9" t="str">
        <f>_xll.SNL.Clients.Office.Excel.Functions.SPG(Q365, "SP_COUNTRY_NAME")</f>
        <v>#INVALID COMPANY ID</v>
      </c>
      <c r="Y365" s="9" t="str">
        <f>_xll.SNL.Clients.Office.Excel.Functions.SPG(V365, "SP_COUNTRY_NAME")</f>
        <v>#INVALID COMPANY ID</v>
      </c>
    </row>
    <row r="366" spans="5:25" x14ac:dyDescent="0.35">
      <c r="E366" s="9" t="str">
        <f>_xll.SNL.Clients.Office.Excel.Functions.SPG(B366, "SP_COUNTRY_NAME")</f>
        <v>#INVALID COMPANY ID</v>
      </c>
      <c r="J366" s="9" t="str">
        <f>_xll.SNL.Clients.Office.Excel.Functions.SPG(G366, "SP_COUNTRY_NAME")</f>
        <v>#INVALID COMPANY ID</v>
      </c>
      <c r="O366" s="9" t="str">
        <f>_xll.SNL.Clients.Office.Excel.Functions.SPG(L366, "SP_COUNTRY_NAME")</f>
        <v>#INVALID COMPANY ID</v>
      </c>
      <c r="T366" s="9" t="str">
        <f>_xll.SNL.Clients.Office.Excel.Functions.SPG(Q366, "SP_COUNTRY_NAME")</f>
        <v>#INVALID COMPANY ID</v>
      </c>
      <c r="Y366" s="9" t="str">
        <f>_xll.SNL.Clients.Office.Excel.Functions.SPG(V366, "SP_COUNTRY_NAME")</f>
        <v>#INVALID COMPANY ID</v>
      </c>
    </row>
    <row r="367" spans="5:25" x14ac:dyDescent="0.35">
      <c r="E367" s="9" t="str">
        <f>_xll.SNL.Clients.Office.Excel.Functions.SPG(B367, "SP_COUNTRY_NAME")</f>
        <v>#INVALID COMPANY ID</v>
      </c>
      <c r="J367" s="9" t="str">
        <f>_xll.SNL.Clients.Office.Excel.Functions.SPG(G367, "SP_COUNTRY_NAME")</f>
        <v>#INVALID COMPANY ID</v>
      </c>
      <c r="O367" s="9" t="str">
        <f>_xll.SNL.Clients.Office.Excel.Functions.SPG(L367, "SP_COUNTRY_NAME")</f>
        <v>#INVALID COMPANY ID</v>
      </c>
      <c r="T367" s="9" t="str">
        <f>_xll.SNL.Clients.Office.Excel.Functions.SPG(Q367, "SP_COUNTRY_NAME")</f>
        <v>#INVALID COMPANY ID</v>
      </c>
      <c r="Y367" s="9" t="str">
        <f>_xll.SNL.Clients.Office.Excel.Functions.SPG(V367, "SP_COUNTRY_NAME")</f>
        <v>#INVALID COMPANY ID</v>
      </c>
    </row>
    <row r="368" spans="5:25" x14ac:dyDescent="0.35">
      <c r="E368" s="9" t="str">
        <f>_xll.SNL.Clients.Office.Excel.Functions.SPG(B368, "SP_COUNTRY_NAME")</f>
        <v>#INVALID COMPANY ID</v>
      </c>
      <c r="J368" s="9" t="str">
        <f>_xll.SNL.Clients.Office.Excel.Functions.SPG(G368, "SP_COUNTRY_NAME")</f>
        <v>#INVALID COMPANY ID</v>
      </c>
      <c r="O368" s="9" t="str">
        <f>_xll.SNL.Clients.Office.Excel.Functions.SPG(L368, "SP_COUNTRY_NAME")</f>
        <v>#INVALID COMPANY ID</v>
      </c>
      <c r="T368" s="9" t="str">
        <f>_xll.SNL.Clients.Office.Excel.Functions.SPG(Q368, "SP_COUNTRY_NAME")</f>
        <v>#INVALID COMPANY ID</v>
      </c>
      <c r="Y368" s="9" t="str">
        <f>_xll.SNL.Clients.Office.Excel.Functions.SPG(V368, "SP_COUNTRY_NAME")</f>
        <v>#INVALID COMPANY ID</v>
      </c>
    </row>
    <row r="369" spans="5:25" x14ac:dyDescent="0.35">
      <c r="E369" s="9" t="str">
        <f>_xll.SNL.Clients.Office.Excel.Functions.SPG(B369, "SP_COUNTRY_NAME")</f>
        <v>#INVALID COMPANY ID</v>
      </c>
      <c r="J369" s="9" t="str">
        <f>_xll.SNL.Clients.Office.Excel.Functions.SPG(G369, "SP_COUNTRY_NAME")</f>
        <v>#INVALID COMPANY ID</v>
      </c>
      <c r="O369" s="9" t="str">
        <f>_xll.SNL.Clients.Office.Excel.Functions.SPG(L369, "SP_COUNTRY_NAME")</f>
        <v>#INVALID COMPANY ID</v>
      </c>
      <c r="T369" s="9" t="str">
        <f>_xll.SNL.Clients.Office.Excel.Functions.SPG(Q369, "SP_COUNTRY_NAME")</f>
        <v>#INVALID COMPANY ID</v>
      </c>
      <c r="Y369" s="9" t="str">
        <f>_xll.SNL.Clients.Office.Excel.Functions.SPG(V369, "SP_COUNTRY_NAME")</f>
        <v>#INVALID COMPANY ID</v>
      </c>
    </row>
    <row r="370" spans="5:25" x14ac:dyDescent="0.35">
      <c r="E370" s="9" t="str">
        <f>_xll.SNL.Clients.Office.Excel.Functions.SPG(B370, "SP_COUNTRY_NAME")</f>
        <v>#INVALID COMPANY ID</v>
      </c>
      <c r="J370" s="9" t="str">
        <f>_xll.SNL.Clients.Office.Excel.Functions.SPG(G370, "SP_COUNTRY_NAME")</f>
        <v>#INVALID COMPANY ID</v>
      </c>
      <c r="O370" s="9" t="str">
        <f>_xll.SNL.Clients.Office.Excel.Functions.SPG(L370, "SP_COUNTRY_NAME")</f>
        <v>#INVALID COMPANY ID</v>
      </c>
      <c r="T370" s="9" t="str">
        <f>_xll.SNL.Clients.Office.Excel.Functions.SPG(Q370, "SP_COUNTRY_NAME")</f>
        <v>#INVALID COMPANY ID</v>
      </c>
      <c r="Y370" s="9" t="str">
        <f>_xll.SNL.Clients.Office.Excel.Functions.SPG(V370, "SP_COUNTRY_NAME")</f>
        <v>#INVALID COMPANY ID</v>
      </c>
    </row>
    <row r="371" spans="5:25" x14ac:dyDescent="0.35">
      <c r="E371" s="9" t="str">
        <f>_xll.SNL.Clients.Office.Excel.Functions.SPG(B371, "SP_COUNTRY_NAME")</f>
        <v>#INVALID COMPANY ID</v>
      </c>
      <c r="J371" s="9" t="str">
        <f>_xll.SNL.Clients.Office.Excel.Functions.SPG(G371, "SP_COUNTRY_NAME")</f>
        <v>#INVALID COMPANY ID</v>
      </c>
      <c r="O371" s="9" t="str">
        <f>_xll.SNL.Clients.Office.Excel.Functions.SPG(L371, "SP_COUNTRY_NAME")</f>
        <v>#INVALID COMPANY ID</v>
      </c>
      <c r="T371" s="9" t="str">
        <f>_xll.SNL.Clients.Office.Excel.Functions.SPG(Q371, "SP_COUNTRY_NAME")</f>
        <v>#INVALID COMPANY ID</v>
      </c>
      <c r="Y371" s="9" t="str">
        <f>_xll.SNL.Clients.Office.Excel.Functions.SPG(V371, "SP_COUNTRY_NAME")</f>
        <v>#INVALID COMPANY ID</v>
      </c>
    </row>
    <row r="372" spans="5:25" x14ac:dyDescent="0.35">
      <c r="E372" s="9" t="str">
        <f>_xll.SNL.Clients.Office.Excel.Functions.SPG(B372, "SP_COUNTRY_NAME")</f>
        <v>#INVALID COMPANY ID</v>
      </c>
      <c r="J372" s="9" t="str">
        <f>_xll.SNL.Clients.Office.Excel.Functions.SPG(G372, "SP_COUNTRY_NAME")</f>
        <v>#INVALID COMPANY ID</v>
      </c>
      <c r="O372" s="9" t="str">
        <f>_xll.SNL.Clients.Office.Excel.Functions.SPG(L372, "SP_COUNTRY_NAME")</f>
        <v>#INVALID COMPANY ID</v>
      </c>
      <c r="T372" s="9" t="str">
        <f>_xll.SNL.Clients.Office.Excel.Functions.SPG(Q372, "SP_COUNTRY_NAME")</f>
        <v>#INVALID COMPANY ID</v>
      </c>
      <c r="Y372" s="9" t="str">
        <f>_xll.SNL.Clients.Office.Excel.Functions.SPG(V372, "SP_COUNTRY_NAME")</f>
        <v>#INVALID COMPANY ID</v>
      </c>
    </row>
    <row r="373" spans="5:25" x14ac:dyDescent="0.35">
      <c r="E373" s="9" t="str">
        <f>_xll.SNL.Clients.Office.Excel.Functions.SPG(B373, "SP_COUNTRY_NAME")</f>
        <v>#INVALID COMPANY ID</v>
      </c>
      <c r="J373" s="9" t="str">
        <f>_xll.SNL.Clients.Office.Excel.Functions.SPG(G373, "SP_COUNTRY_NAME")</f>
        <v>#INVALID COMPANY ID</v>
      </c>
      <c r="O373" s="9" t="str">
        <f>_xll.SNL.Clients.Office.Excel.Functions.SPG(L373, "SP_COUNTRY_NAME")</f>
        <v>#INVALID COMPANY ID</v>
      </c>
      <c r="T373" s="9" t="str">
        <f>_xll.SNL.Clients.Office.Excel.Functions.SPG(Q373, "SP_COUNTRY_NAME")</f>
        <v>#INVALID COMPANY ID</v>
      </c>
      <c r="Y373" s="9" t="str">
        <f>_xll.SNL.Clients.Office.Excel.Functions.SPG(V373, "SP_COUNTRY_NAME")</f>
        <v>#INVALID COMPANY ID</v>
      </c>
    </row>
    <row r="374" spans="5:25" x14ac:dyDescent="0.35">
      <c r="E374" s="9" t="str">
        <f>_xll.SNL.Clients.Office.Excel.Functions.SPG(B374, "SP_COUNTRY_NAME")</f>
        <v>#INVALID COMPANY ID</v>
      </c>
      <c r="J374" s="9" t="str">
        <f>_xll.SNL.Clients.Office.Excel.Functions.SPG(G374, "SP_COUNTRY_NAME")</f>
        <v>#INVALID COMPANY ID</v>
      </c>
      <c r="O374" s="9" t="str">
        <f>_xll.SNL.Clients.Office.Excel.Functions.SPG(L374, "SP_COUNTRY_NAME")</f>
        <v>#INVALID COMPANY ID</v>
      </c>
      <c r="T374" s="9" t="str">
        <f>_xll.SNL.Clients.Office.Excel.Functions.SPG(Q374, "SP_COUNTRY_NAME")</f>
        <v>#INVALID COMPANY ID</v>
      </c>
      <c r="Y374" s="9" t="str">
        <f>_xll.SNL.Clients.Office.Excel.Functions.SPG(V374, "SP_COUNTRY_NAME")</f>
        <v>#INVALID COMPANY ID</v>
      </c>
    </row>
    <row r="375" spans="5:25" x14ac:dyDescent="0.35">
      <c r="E375" s="9" t="str">
        <f>_xll.SNL.Clients.Office.Excel.Functions.SPG(B375, "SP_COUNTRY_NAME")</f>
        <v>#INVALID COMPANY ID</v>
      </c>
      <c r="J375" s="9" t="str">
        <f>_xll.SNL.Clients.Office.Excel.Functions.SPG(G375, "SP_COUNTRY_NAME")</f>
        <v>#INVALID COMPANY ID</v>
      </c>
      <c r="O375" s="9" t="str">
        <f>_xll.SNL.Clients.Office.Excel.Functions.SPG(L375, "SP_COUNTRY_NAME")</f>
        <v>#INVALID COMPANY ID</v>
      </c>
      <c r="T375" s="9" t="str">
        <f>_xll.SNL.Clients.Office.Excel.Functions.SPG(Q375, "SP_COUNTRY_NAME")</f>
        <v>#INVALID COMPANY ID</v>
      </c>
      <c r="Y375" s="9" t="str">
        <f>_xll.SNL.Clients.Office.Excel.Functions.SPG(V375, "SP_COUNTRY_NAME")</f>
        <v>#INVALID COMPANY ID</v>
      </c>
    </row>
    <row r="376" spans="5:25" x14ac:dyDescent="0.35">
      <c r="E376" s="9" t="str">
        <f>_xll.SNL.Clients.Office.Excel.Functions.SPG(B376, "SP_COUNTRY_NAME")</f>
        <v>#INVALID COMPANY ID</v>
      </c>
      <c r="J376" s="9" t="str">
        <f>_xll.SNL.Clients.Office.Excel.Functions.SPG(G376, "SP_COUNTRY_NAME")</f>
        <v>#INVALID COMPANY ID</v>
      </c>
      <c r="O376" s="9" t="str">
        <f>_xll.SNL.Clients.Office.Excel.Functions.SPG(L376, "SP_COUNTRY_NAME")</f>
        <v>#INVALID COMPANY ID</v>
      </c>
      <c r="T376" s="9" t="str">
        <f>_xll.SNL.Clients.Office.Excel.Functions.SPG(Q376, "SP_COUNTRY_NAME")</f>
        <v>#INVALID COMPANY ID</v>
      </c>
      <c r="Y376" s="9" t="str">
        <f>_xll.SNL.Clients.Office.Excel.Functions.SPG(V376, "SP_COUNTRY_NAME")</f>
        <v>#INVALID COMPANY ID</v>
      </c>
    </row>
    <row r="377" spans="5:25" x14ac:dyDescent="0.35">
      <c r="E377" s="9" t="str">
        <f>_xll.SNL.Clients.Office.Excel.Functions.SPG(B377, "SP_COUNTRY_NAME")</f>
        <v>#INVALID COMPANY ID</v>
      </c>
      <c r="J377" s="9" t="str">
        <f>_xll.SNL.Clients.Office.Excel.Functions.SPG(G377, "SP_COUNTRY_NAME")</f>
        <v>#INVALID COMPANY ID</v>
      </c>
      <c r="O377" s="9" t="str">
        <f>_xll.SNL.Clients.Office.Excel.Functions.SPG(L377, "SP_COUNTRY_NAME")</f>
        <v>#INVALID COMPANY ID</v>
      </c>
      <c r="T377" s="9" t="str">
        <f>_xll.SNL.Clients.Office.Excel.Functions.SPG(Q377, "SP_COUNTRY_NAME")</f>
        <v>#INVALID COMPANY ID</v>
      </c>
      <c r="Y377" s="9" t="str">
        <f>_xll.SNL.Clients.Office.Excel.Functions.SPG(V377, "SP_COUNTRY_NAME")</f>
        <v>#INVALID COMPANY ID</v>
      </c>
    </row>
    <row r="378" spans="5:25" x14ac:dyDescent="0.35">
      <c r="E378" s="9" t="str">
        <f>_xll.SNL.Clients.Office.Excel.Functions.SPG(B378, "SP_COUNTRY_NAME")</f>
        <v>#INVALID COMPANY ID</v>
      </c>
      <c r="J378" s="9" t="str">
        <f>_xll.SNL.Clients.Office.Excel.Functions.SPG(G378, "SP_COUNTRY_NAME")</f>
        <v>#INVALID COMPANY ID</v>
      </c>
      <c r="O378" s="9" t="str">
        <f>_xll.SNL.Clients.Office.Excel.Functions.SPG(L378, "SP_COUNTRY_NAME")</f>
        <v>#INVALID COMPANY ID</v>
      </c>
      <c r="T378" s="9" t="str">
        <f>_xll.SNL.Clients.Office.Excel.Functions.SPG(Q378, "SP_COUNTRY_NAME")</f>
        <v>#INVALID COMPANY ID</v>
      </c>
      <c r="Y378" s="9" t="str">
        <f>_xll.SNL.Clients.Office.Excel.Functions.SPG(V378, "SP_COUNTRY_NAME")</f>
        <v>#INVALID COMPANY ID</v>
      </c>
    </row>
    <row r="379" spans="5:25" x14ac:dyDescent="0.35">
      <c r="E379" s="9" t="str">
        <f>_xll.SNL.Clients.Office.Excel.Functions.SPG(B379, "SP_COUNTRY_NAME")</f>
        <v>#INVALID COMPANY ID</v>
      </c>
      <c r="J379" s="9" t="str">
        <f>_xll.SNL.Clients.Office.Excel.Functions.SPG(G379, "SP_COUNTRY_NAME")</f>
        <v>#INVALID COMPANY ID</v>
      </c>
      <c r="O379" s="9" t="str">
        <f>_xll.SNL.Clients.Office.Excel.Functions.SPG(L379, "SP_COUNTRY_NAME")</f>
        <v>#INVALID COMPANY ID</v>
      </c>
      <c r="T379" s="9" t="str">
        <f>_xll.SNL.Clients.Office.Excel.Functions.SPG(Q379, "SP_COUNTRY_NAME")</f>
        <v>#INVALID COMPANY ID</v>
      </c>
      <c r="Y379" s="9" t="str">
        <f>_xll.SNL.Clients.Office.Excel.Functions.SPG(V379, "SP_COUNTRY_NAME")</f>
        <v>#INVALID COMPANY ID</v>
      </c>
    </row>
    <row r="380" spans="5:25" x14ac:dyDescent="0.35">
      <c r="E380" s="9" t="str">
        <f>_xll.SNL.Clients.Office.Excel.Functions.SPG(B380, "SP_COUNTRY_NAME")</f>
        <v>#INVALID COMPANY ID</v>
      </c>
      <c r="J380" s="9" t="str">
        <f>_xll.SNL.Clients.Office.Excel.Functions.SPG(G380, "SP_COUNTRY_NAME")</f>
        <v>#INVALID COMPANY ID</v>
      </c>
      <c r="O380" s="9" t="str">
        <f>_xll.SNL.Clients.Office.Excel.Functions.SPG(L380, "SP_COUNTRY_NAME")</f>
        <v>#INVALID COMPANY ID</v>
      </c>
      <c r="T380" s="9" t="str">
        <f>_xll.SNL.Clients.Office.Excel.Functions.SPG(Q380, "SP_COUNTRY_NAME")</f>
        <v>#INVALID COMPANY ID</v>
      </c>
      <c r="Y380" s="9" t="str">
        <f>_xll.SNL.Clients.Office.Excel.Functions.SPG(V380, "SP_COUNTRY_NAME")</f>
        <v>#INVALID COMPANY ID</v>
      </c>
    </row>
    <row r="381" spans="5:25" x14ac:dyDescent="0.35">
      <c r="E381" s="9" t="str">
        <f>_xll.SNL.Clients.Office.Excel.Functions.SPG(B381, "SP_COUNTRY_NAME")</f>
        <v>#INVALID COMPANY ID</v>
      </c>
      <c r="J381" s="9" t="str">
        <f>_xll.SNL.Clients.Office.Excel.Functions.SPG(G381, "SP_COUNTRY_NAME")</f>
        <v>#INVALID COMPANY ID</v>
      </c>
      <c r="O381" s="9" t="str">
        <f>_xll.SNL.Clients.Office.Excel.Functions.SPG(L381, "SP_COUNTRY_NAME")</f>
        <v>#INVALID COMPANY ID</v>
      </c>
      <c r="T381" s="9" t="str">
        <f>_xll.SNL.Clients.Office.Excel.Functions.SPG(Q381, "SP_COUNTRY_NAME")</f>
        <v>#INVALID COMPANY ID</v>
      </c>
      <c r="Y381" s="9" t="str">
        <f>_xll.SNL.Clients.Office.Excel.Functions.SPG(V381, "SP_COUNTRY_NAME")</f>
        <v>#INVALID COMPANY ID</v>
      </c>
    </row>
    <row r="382" spans="5:25" x14ac:dyDescent="0.35">
      <c r="E382" s="9" t="str">
        <f>_xll.SNL.Clients.Office.Excel.Functions.SPG(B382, "SP_COUNTRY_NAME")</f>
        <v>#INVALID COMPANY ID</v>
      </c>
      <c r="J382" s="9" t="str">
        <f>_xll.SNL.Clients.Office.Excel.Functions.SPG(G382, "SP_COUNTRY_NAME")</f>
        <v>#INVALID COMPANY ID</v>
      </c>
      <c r="O382" s="9" t="str">
        <f>_xll.SNL.Clients.Office.Excel.Functions.SPG(L382, "SP_COUNTRY_NAME")</f>
        <v>#INVALID COMPANY ID</v>
      </c>
      <c r="T382" s="9" t="str">
        <f>_xll.SNL.Clients.Office.Excel.Functions.SPG(Q382, "SP_COUNTRY_NAME")</f>
        <v>#INVALID COMPANY ID</v>
      </c>
      <c r="Y382" s="9" t="str">
        <f>_xll.SNL.Clients.Office.Excel.Functions.SPG(V382, "SP_COUNTRY_NAME")</f>
        <v>#INVALID COMPANY ID</v>
      </c>
    </row>
    <row r="383" spans="5:25" x14ac:dyDescent="0.35">
      <c r="E383" s="9" t="str">
        <f>_xll.SNL.Clients.Office.Excel.Functions.SPG(B383, "SP_COUNTRY_NAME")</f>
        <v>#INVALID COMPANY ID</v>
      </c>
      <c r="J383" s="9" t="str">
        <f>_xll.SNL.Clients.Office.Excel.Functions.SPG(G383, "SP_COUNTRY_NAME")</f>
        <v>#INVALID COMPANY ID</v>
      </c>
      <c r="O383" s="9" t="str">
        <f>_xll.SNL.Clients.Office.Excel.Functions.SPG(L383, "SP_COUNTRY_NAME")</f>
        <v>#INVALID COMPANY ID</v>
      </c>
      <c r="T383" s="9" t="str">
        <f>_xll.SNL.Clients.Office.Excel.Functions.SPG(Q383, "SP_COUNTRY_NAME")</f>
        <v>#INVALID COMPANY ID</v>
      </c>
      <c r="Y383" s="9" t="str">
        <f>_xll.SNL.Clients.Office.Excel.Functions.SPG(V383, "SP_COUNTRY_NAME")</f>
        <v>#INVALID COMPANY ID</v>
      </c>
    </row>
    <row r="384" spans="5:25" x14ac:dyDescent="0.35">
      <c r="E384" s="9" t="str">
        <f>_xll.SNL.Clients.Office.Excel.Functions.SPG(B384, "SP_COUNTRY_NAME")</f>
        <v>#INVALID COMPANY ID</v>
      </c>
      <c r="J384" s="9" t="str">
        <f>_xll.SNL.Clients.Office.Excel.Functions.SPG(G384, "SP_COUNTRY_NAME")</f>
        <v>#INVALID COMPANY ID</v>
      </c>
      <c r="O384" s="9" t="str">
        <f>_xll.SNL.Clients.Office.Excel.Functions.SPG(L384, "SP_COUNTRY_NAME")</f>
        <v>#INVALID COMPANY ID</v>
      </c>
      <c r="T384" s="9" t="str">
        <f>_xll.SNL.Clients.Office.Excel.Functions.SPG(Q384, "SP_COUNTRY_NAME")</f>
        <v>#INVALID COMPANY ID</v>
      </c>
      <c r="Y384" s="9" t="str">
        <f>_xll.SNL.Clients.Office.Excel.Functions.SPG(V384, "SP_COUNTRY_NAME")</f>
        <v>#INVALID COMPANY ID</v>
      </c>
    </row>
    <row r="385" spans="5:25" x14ac:dyDescent="0.35">
      <c r="E385" s="9" t="str">
        <f>_xll.SNL.Clients.Office.Excel.Functions.SPG(B385, "SP_COUNTRY_NAME")</f>
        <v>#INVALID COMPANY ID</v>
      </c>
      <c r="J385" s="9" t="str">
        <f>_xll.SNL.Clients.Office.Excel.Functions.SPG(G385, "SP_COUNTRY_NAME")</f>
        <v>#INVALID COMPANY ID</v>
      </c>
      <c r="O385" s="9" t="str">
        <f>_xll.SNL.Clients.Office.Excel.Functions.SPG(L385, "SP_COUNTRY_NAME")</f>
        <v>#INVALID COMPANY ID</v>
      </c>
      <c r="T385" s="9" t="str">
        <f>_xll.SNL.Clients.Office.Excel.Functions.SPG(Q385, "SP_COUNTRY_NAME")</f>
        <v>#INVALID COMPANY ID</v>
      </c>
      <c r="Y385" s="9" t="str">
        <f>_xll.SNL.Clients.Office.Excel.Functions.SPG(V385, "SP_COUNTRY_NAME")</f>
        <v>#INVALID COMPANY ID</v>
      </c>
    </row>
    <row r="386" spans="5:25" x14ac:dyDescent="0.35">
      <c r="E386" s="9" t="str">
        <f>_xll.SNL.Clients.Office.Excel.Functions.SPG(B386, "SP_COUNTRY_NAME")</f>
        <v>#INVALID COMPANY ID</v>
      </c>
      <c r="J386" s="9" t="str">
        <f>_xll.SNL.Clients.Office.Excel.Functions.SPG(G386, "SP_COUNTRY_NAME")</f>
        <v>#INVALID COMPANY ID</v>
      </c>
      <c r="O386" s="9" t="str">
        <f>_xll.SNL.Clients.Office.Excel.Functions.SPG(L386, "SP_COUNTRY_NAME")</f>
        <v>#INVALID COMPANY ID</v>
      </c>
      <c r="T386" s="9" t="str">
        <f>_xll.SNL.Clients.Office.Excel.Functions.SPG(Q386, "SP_COUNTRY_NAME")</f>
        <v>#INVALID COMPANY ID</v>
      </c>
      <c r="Y386" s="9" t="str">
        <f>_xll.SNL.Clients.Office.Excel.Functions.SPG(V386, "SP_COUNTRY_NAME")</f>
        <v>#INVALID COMPANY ID</v>
      </c>
    </row>
    <row r="387" spans="5:25" x14ac:dyDescent="0.35">
      <c r="E387" s="9" t="str">
        <f>_xll.SNL.Clients.Office.Excel.Functions.SPG(B387, "SP_COUNTRY_NAME")</f>
        <v>#INVALID COMPANY ID</v>
      </c>
      <c r="J387" s="9" t="str">
        <f>_xll.SNL.Clients.Office.Excel.Functions.SPG(G387, "SP_COUNTRY_NAME")</f>
        <v>#INVALID COMPANY ID</v>
      </c>
      <c r="O387" s="9" t="str">
        <f>_xll.SNL.Clients.Office.Excel.Functions.SPG(L387, "SP_COUNTRY_NAME")</f>
        <v>#INVALID COMPANY ID</v>
      </c>
      <c r="T387" s="9" t="str">
        <f>_xll.SNL.Clients.Office.Excel.Functions.SPG(Q387, "SP_COUNTRY_NAME")</f>
        <v>#INVALID COMPANY ID</v>
      </c>
      <c r="Y387" s="9" t="str">
        <f>_xll.SNL.Clients.Office.Excel.Functions.SPG(V387, "SP_COUNTRY_NAME")</f>
        <v>#INVALID COMPANY ID</v>
      </c>
    </row>
    <row r="388" spans="5:25" x14ac:dyDescent="0.35">
      <c r="E388" s="9" t="str">
        <f>_xll.SNL.Clients.Office.Excel.Functions.SPG(B388, "SP_COUNTRY_NAME")</f>
        <v>#INVALID COMPANY ID</v>
      </c>
      <c r="J388" s="9" t="str">
        <f>_xll.SNL.Clients.Office.Excel.Functions.SPG(G388, "SP_COUNTRY_NAME")</f>
        <v>#INVALID COMPANY ID</v>
      </c>
      <c r="O388" s="9" t="str">
        <f>_xll.SNL.Clients.Office.Excel.Functions.SPG(L388, "SP_COUNTRY_NAME")</f>
        <v>#INVALID COMPANY ID</v>
      </c>
      <c r="T388" s="9" t="str">
        <f>_xll.SNL.Clients.Office.Excel.Functions.SPG(Q388, "SP_COUNTRY_NAME")</f>
        <v>#INVALID COMPANY ID</v>
      </c>
      <c r="Y388" s="9" t="str">
        <f>_xll.SNL.Clients.Office.Excel.Functions.SPG(V388, "SP_COUNTRY_NAME")</f>
        <v>#INVALID COMPANY ID</v>
      </c>
    </row>
    <row r="389" spans="5:25" x14ac:dyDescent="0.35">
      <c r="E389" s="9" t="str">
        <f>_xll.SNL.Clients.Office.Excel.Functions.SPG(B389, "SP_COUNTRY_NAME")</f>
        <v>#INVALID COMPANY ID</v>
      </c>
      <c r="J389" s="9" t="str">
        <f>_xll.SNL.Clients.Office.Excel.Functions.SPG(G389, "SP_COUNTRY_NAME")</f>
        <v>#INVALID COMPANY ID</v>
      </c>
      <c r="O389" s="9" t="str">
        <f>_xll.SNL.Clients.Office.Excel.Functions.SPG(L389, "SP_COUNTRY_NAME")</f>
        <v>#INVALID COMPANY ID</v>
      </c>
      <c r="T389" s="9" t="str">
        <f>_xll.SNL.Clients.Office.Excel.Functions.SPG(Q389, "SP_COUNTRY_NAME")</f>
        <v>#INVALID COMPANY ID</v>
      </c>
      <c r="Y389" s="9" t="str">
        <f>_xll.SNL.Clients.Office.Excel.Functions.SPG(V389, "SP_COUNTRY_NAME")</f>
        <v>#INVALID COMPANY ID</v>
      </c>
    </row>
    <row r="390" spans="5:25" x14ac:dyDescent="0.35">
      <c r="E390" s="9" t="str">
        <f>_xll.SNL.Clients.Office.Excel.Functions.SPG(B390, "SP_COUNTRY_NAME")</f>
        <v>#INVALID COMPANY ID</v>
      </c>
      <c r="J390" s="9" t="str">
        <f>_xll.SNL.Clients.Office.Excel.Functions.SPG(G390, "SP_COUNTRY_NAME")</f>
        <v>#INVALID COMPANY ID</v>
      </c>
      <c r="O390" s="9" t="str">
        <f>_xll.SNL.Clients.Office.Excel.Functions.SPG(L390, "SP_COUNTRY_NAME")</f>
        <v>#INVALID COMPANY ID</v>
      </c>
      <c r="T390" s="9" t="str">
        <f>_xll.SNL.Clients.Office.Excel.Functions.SPG(Q390, "SP_COUNTRY_NAME")</f>
        <v>#INVALID COMPANY ID</v>
      </c>
      <c r="Y390" s="9" t="str">
        <f>_xll.SNL.Clients.Office.Excel.Functions.SPG(V390, "SP_COUNTRY_NAME")</f>
        <v>#INVALID COMPANY ID</v>
      </c>
    </row>
    <row r="391" spans="5:25" x14ac:dyDescent="0.35">
      <c r="E391" s="9" t="str">
        <f>_xll.SNL.Clients.Office.Excel.Functions.SPG(B391, "SP_COUNTRY_NAME")</f>
        <v>#INVALID COMPANY ID</v>
      </c>
      <c r="J391" s="9" t="str">
        <f>_xll.SNL.Clients.Office.Excel.Functions.SPG(G391, "SP_COUNTRY_NAME")</f>
        <v>#INVALID COMPANY ID</v>
      </c>
      <c r="O391" s="9" t="str">
        <f>_xll.SNL.Clients.Office.Excel.Functions.SPG(L391, "SP_COUNTRY_NAME")</f>
        <v>#INVALID COMPANY ID</v>
      </c>
      <c r="T391" s="9" t="str">
        <f>_xll.SNL.Clients.Office.Excel.Functions.SPG(Q391, "SP_COUNTRY_NAME")</f>
        <v>#INVALID COMPANY ID</v>
      </c>
      <c r="Y391" s="9" t="str">
        <f>_xll.SNL.Clients.Office.Excel.Functions.SPG(V391, "SP_COUNTRY_NAME")</f>
        <v>#INVALID COMPANY ID</v>
      </c>
    </row>
    <row r="392" spans="5:25" x14ac:dyDescent="0.35">
      <c r="E392" s="9" t="str">
        <f>_xll.SNL.Clients.Office.Excel.Functions.SPG(B392, "SP_COUNTRY_NAME")</f>
        <v>#INVALID COMPANY ID</v>
      </c>
      <c r="J392" s="9" t="str">
        <f>_xll.SNL.Clients.Office.Excel.Functions.SPG(G392, "SP_COUNTRY_NAME")</f>
        <v>#INVALID COMPANY ID</v>
      </c>
      <c r="O392" s="9" t="str">
        <f>_xll.SNL.Clients.Office.Excel.Functions.SPG(L392, "SP_COUNTRY_NAME")</f>
        <v>#INVALID COMPANY ID</v>
      </c>
      <c r="T392" s="9" t="str">
        <f>_xll.SNL.Clients.Office.Excel.Functions.SPG(Q392, "SP_COUNTRY_NAME")</f>
        <v>#INVALID COMPANY ID</v>
      </c>
      <c r="Y392" s="9" t="str">
        <f>_xll.SNL.Clients.Office.Excel.Functions.SPG(V392, "SP_COUNTRY_NAME")</f>
        <v>#INVALID COMPANY ID</v>
      </c>
    </row>
    <row r="393" spans="5:25" x14ac:dyDescent="0.35">
      <c r="E393" s="9" t="str">
        <f>_xll.SNL.Clients.Office.Excel.Functions.SPG(B393, "SP_COUNTRY_NAME")</f>
        <v>#INVALID COMPANY ID</v>
      </c>
      <c r="J393" s="9" t="str">
        <f>_xll.SNL.Clients.Office.Excel.Functions.SPG(G393, "SP_COUNTRY_NAME")</f>
        <v>#INVALID COMPANY ID</v>
      </c>
      <c r="O393" s="9" t="str">
        <f>_xll.SNL.Clients.Office.Excel.Functions.SPG(L393, "SP_COUNTRY_NAME")</f>
        <v>#INVALID COMPANY ID</v>
      </c>
      <c r="T393" s="9" t="str">
        <f>_xll.SNL.Clients.Office.Excel.Functions.SPG(Q393, "SP_COUNTRY_NAME")</f>
        <v>#INVALID COMPANY ID</v>
      </c>
      <c r="Y393" s="9" t="str">
        <f>_xll.SNL.Clients.Office.Excel.Functions.SPG(V393, "SP_COUNTRY_NAME")</f>
        <v>#INVALID COMPANY ID</v>
      </c>
    </row>
    <row r="394" spans="5:25" x14ac:dyDescent="0.35">
      <c r="E394" s="9" t="str">
        <f>_xll.SNL.Clients.Office.Excel.Functions.SPG(B394, "SP_COUNTRY_NAME")</f>
        <v>#INVALID COMPANY ID</v>
      </c>
      <c r="J394" s="9" t="str">
        <f>_xll.SNL.Clients.Office.Excel.Functions.SPG(G394, "SP_COUNTRY_NAME")</f>
        <v>#INVALID COMPANY ID</v>
      </c>
      <c r="O394" s="9" t="str">
        <f>_xll.SNL.Clients.Office.Excel.Functions.SPG(L394, "SP_COUNTRY_NAME")</f>
        <v>#INVALID COMPANY ID</v>
      </c>
      <c r="T394" s="9" t="str">
        <f>_xll.SNL.Clients.Office.Excel.Functions.SPG(Q394, "SP_COUNTRY_NAME")</f>
        <v>#INVALID COMPANY ID</v>
      </c>
      <c r="Y394" s="9" t="str">
        <f>_xll.SNL.Clients.Office.Excel.Functions.SPG(V394, "SP_COUNTRY_NAME")</f>
        <v>#INVALID COMPANY ID</v>
      </c>
    </row>
    <row r="395" spans="5:25" x14ac:dyDescent="0.35">
      <c r="E395" s="9" t="str">
        <f>_xll.SNL.Clients.Office.Excel.Functions.SPG(B395, "SP_COUNTRY_NAME")</f>
        <v>#INVALID COMPANY ID</v>
      </c>
      <c r="J395" s="9" t="str">
        <f>_xll.SNL.Clients.Office.Excel.Functions.SPG(G395, "SP_COUNTRY_NAME")</f>
        <v>#INVALID COMPANY ID</v>
      </c>
      <c r="O395" s="9" t="str">
        <f>_xll.SNL.Clients.Office.Excel.Functions.SPG(L395, "SP_COUNTRY_NAME")</f>
        <v>#INVALID COMPANY ID</v>
      </c>
      <c r="T395" s="9" t="str">
        <f>_xll.SNL.Clients.Office.Excel.Functions.SPG(Q395, "SP_COUNTRY_NAME")</f>
        <v>#INVALID COMPANY ID</v>
      </c>
      <c r="Y395" s="9" t="str">
        <f>_xll.SNL.Clients.Office.Excel.Functions.SPG(V395, "SP_COUNTRY_NAME")</f>
        <v>#INVALID COMPANY ID</v>
      </c>
    </row>
    <row r="396" spans="5:25" x14ac:dyDescent="0.35">
      <c r="E396" s="9" t="str">
        <f>_xll.SNL.Clients.Office.Excel.Functions.SPG(B396, "SP_COUNTRY_NAME")</f>
        <v>#INVALID COMPANY ID</v>
      </c>
      <c r="J396" s="9" t="str">
        <f>_xll.SNL.Clients.Office.Excel.Functions.SPG(G396, "SP_COUNTRY_NAME")</f>
        <v>#INVALID COMPANY ID</v>
      </c>
      <c r="O396" s="9" t="str">
        <f>_xll.SNL.Clients.Office.Excel.Functions.SPG(L396, "SP_COUNTRY_NAME")</f>
        <v>#INVALID COMPANY ID</v>
      </c>
      <c r="T396" s="9" t="str">
        <f>_xll.SNL.Clients.Office.Excel.Functions.SPG(Q396, "SP_COUNTRY_NAME")</f>
        <v>#INVALID COMPANY ID</v>
      </c>
      <c r="Y396" s="9" t="str">
        <f>_xll.SNL.Clients.Office.Excel.Functions.SPG(V396, "SP_COUNTRY_NAME")</f>
        <v>#INVALID COMPANY ID</v>
      </c>
    </row>
    <row r="397" spans="5:25" x14ac:dyDescent="0.35">
      <c r="E397" s="9" t="str">
        <f>_xll.SNL.Clients.Office.Excel.Functions.SPG(B397, "SP_COUNTRY_NAME")</f>
        <v>#INVALID COMPANY ID</v>
      </c>
      <c r="J397" s="9" t="str">
        <f>_xll.SNL.Clients.Office.Excel.Functions.SPG(G397, "SP_COUNTRY_NAME")</f>
        <v>#INVALID COMPANY ID</v>
      </c>
      <c r="O397" s="9" t="str">
        <f>_xll.SNL.Clients.Office.Excel.Functions.SPG(L397, "SP_COUNTRY_NAME")</f>
        <v>#INVALID COMPANY ID</v>
      </c>
      <c r="T397" s="9" t="str">
        <f>_xll.SNL.Clients.Office.Excel.Functions.SPG(Q397, "SP_COUNTRY_NAME")</f>
        <v>#INVALID COMPANY ID</v>
      </c>
      <c r="Y397" s="9" t="str">
        <f>_xll.SNL.Clients.Office.Excel.Functions.SPG(V397, "SP_COUNTRY_NAME")</f>
        <v>#INVALID COMPANY ID</v>
      </c>
    </row>
    <row r="398" spans="5:25" x14ac:dyDescent="0.35">
      <c r="E398" s="9" t="str">
        <f>_xll.SNL.Clients.Office.Excel.Functions.SPG(B398, "SP_COUNTRY_NAME")</f>
        <v>#INVALID COMPANY ID</v>
      </c>
      <c r="J398" s="9" t="str">
        <f>_xll.SNL.Clients.Office.Excel.Functions.SPG(G398, "SP_COUNTRY_NAME")</f>
        <v>#INVALID COMPANY ID</v>
      </c>
      <c r="O398" s="9" t="str">
        <f>_xll.SNL.Clients.Office.Excel.Functions.SPG(L398, "SP_COUNTRY_NAME")</f>
        <v>#INVALID COMPANY ID</v>
      </c>
      <c r="T398" s="9" t="str">
        <f>_xll.SNL.Clients.Office.Excel.Functions.SPG(Q398, "SP_COUNTRY_NAME")</f>
        <v>#INVALID COMPANY ID</v>
      </c>
      <c r="Y398" s="9" t="str">
        <f>_xll.SNL.Clients.Office.Excel.Functions.SPG(V398, "SP_COUNTRY_NAME")</f>
        <v>#INVALID COMPANY ID</v>
      </c>
    </row>
    <row r="399" spans="5:25" x14ac:dyDescent="0.35">
      <c r="E399" s="9" t="str">
        <f>_xll.SNL.Clients.Office.Excel.Functions.SPG(B399, "SP_COUNTRY_NAME")</f>
        <v>#INVALID COMPANY ID</v>
      </c>
      <c r="J399" s="9" t="str">
        <f>_xll.SNL.Clients.Office.Excel.Functions.SPG(G399, "SP_COUNTRY_NAME")</f>
        <v>#INVALID COMPANY ID</v>
      </c>
      <c r="O399" s="9" t="str">
        <f>_xll.SNL.Clients.Office.Excel.Functions.SPG(L399, "SP_COUNTRY_NAME")</f>
        <v>#INVALID COMPANY ID</v>
      </c>
      <c r="T399" s="9" t="str">
        <f>_xll.SNL.Clients.Office.Excel.Functions.SPG(Q399, "SP_COUNTRY_NAME")</f>
        <v>#INVALID COMPANY ID</v>
      </c>
      <c r="Y399" s="9" t="str">
        <f>_xll.SNL.Clients.Office.Excel.Functions.SPG(V399, "SP_COUNTRY_NAME")</f>
        <v>#INVALID COMPANY ID</v>
      </c>
    </row>
    <row r="400" spans="5:25" x14ac:dyDescent="0.35">
      <c r="E400" s="9" t="str">
        <f>_xll.SNL.Clients.Office.Excel.Functions.SPG(B400, "SP_COUNTRY_NAME")</f>
        <v>#INVALID COMPANY ID</v>
      </c>
      <c r="J400" s="9" t="str">
        <f>_xll.SNL.Clients.Office.Excel.Functions.SPG(G400, "SP_COUNTRY_NAME")</f>
        <v>#INVALID COMPANY ID</v>
      </c>
      <c r="O400" s="9" t="str">
        <f>_xll.SNL.Clients.Office.Excel.Functions.SPG(L400, "SP_COUNTRY_NAME")</f>
        <v>#INVALID COMPANY ID</v>
      </c>
      <c r="T400" s="9" t="str">
        <f>_xll.SNL.Clients.Office.Excel.Functions.SPG(Q400, "SP_COUNTRY_NAME")</f>
        <v>#INVALID COMPANY ID</v>
      </c>
      <c r="Y400" s="9" t="str">
        <f>_xll.SNL.Clients.Office.Excel.Functions.SPG(V400, "SP_COUNTRY_NAME")</f>
        <v>#INVALID COMPANY ID</v>
      </c>
    </row>
    <row r="401" spans="5:25" x14ac:dyDescent="0.35">
      <c r="E401" s="9" t="str">
        <f>_xll.SNL.Clients.Office.Excel.Functions.SPG(B401, "SP_COUNTRY_NAME")</f>
        <v>#INVALID COMPANY ID</v>
      </c>
      <c r="J401" s="9" t="str">
        <f>_xll.SNL.Clients.Office.Excel.Functions.SPG(G401, "SP_COUNTRY_NAME")</f>
        <v>#INVALID COMPANY ID</v>
      </c>
      <c r="O401" s="9" t="str">
        <f>_xll.SNL.Clients.Office.Excel.Functions.SPG(L401, "SP_COUNTRY_NAME")</f>
        <v>#INVALID COMPANY ID</v>
      </c>
      <c r="T401" s="9" t="str">
        <f>_xll.SNL.Clients.Office.Excel.Functions.SPG(Q401, "SP_COUNTRY_NAME")</f>
        <v>#INVALID COMPANY ID</v>
      </c>
      <c r="Y401" s="9" t="str">
        <f>_xll.SNL.Clients.Office.Excel.Functions.SPG(V401, "SP_COUNTRY_NAME")</f>
        <v>#INVALID COMPANY ID</v>
      </c>
    </row>
    <row r="402" spans="5:25" x14ac:dyDescent="0.35">
      <c r="E402" s="9" t="str">
        <f>_xll.SNL.Clients.Office.Excel.Functions.SPG(B402, "SP_COUNTRY_NAME")</f>
        <v>#INVALID COMPANY ID</v>
      </c>
      <c r="J402" s="9" t="str">
        <f>_xll.SNL.Clients.Office.Excel.Functions.SPG(G402, "SP_COUNTRY_NAME")</f>
        <v>#INVALID COMPANY ID</v>
      </c>
      <c r="O402" s="9" t="str">
        <f>_xll.SNL.Clients.Office.Excel.Functions.SPG(L402, "SP_COUNTRY_NAME")</f>
        <v>#INVALID COMPANY ID</v>
      </c>
      <c r="T402" s="9" t="str">
        <f>_xll.SNL.Clients.Office.Excel.Functions.SPG(Q402, "SP_COUNTRY_NAME")</f>
        <v>#INVALID COMPANY ID</v>
      </c>
      <c r="Y402" s="9" t="str">
        <f>_xll.SNL.Clients.Office.Excel.Functions.SPG(V402, "SP_COUNTRY_NAME")</f>
        <v>#INVALID COMPANY ID</v>
      </c>
    </row>
    <row r="403" spans="5:25" x14ac:dyDescent="0.35">
      <c r="E403" s="9" t="str">
        <f>_xll.SNL.Clients.Office.Excel.Functions.SPG(B403, "SP_COUNTRY_NAME")</f>
        <v>#INVALID COMPANY ID</v>
      </c>
      <c r="J403" s="9" t="str">
        <f>_xll.SNL.Clients.Office.Excel.Functions.SPG(G403, "SP_COUNTRY_NAME")</f>
        <v>#INVALID COMPANY ID</v>
      </c>
      <c r="O403" s="9" t="str">
        <f>_xll.SNL.Clients.Office.Excel.Functions.SPG(L403, "SP_COUNTRY_NAME")</f>
        <v>#INVALID COMPANY ID</v>
      </c>
      <c r="T403" s="9" t="str">
        <f>_xll.SNL.Clients.Office.Excel.Functions.SPG(Q403, "SP_COUNTRY_NAME")</f>
        <v>#INVALID COMPANY ID</v>
      </c>
      <c r="Y403" s="9" t="str">
        <f>_xll.SNL.Clients.Office.Excel.Functions.SPG(V403, "SP_COUNTRY_NAME")</f>
        <v>#INVALID COMPANY ID</v>
      </c>
    </row>
    <row r="404" spans="5:25" x14ac:dyDescent="0.35">
      <c r="E404" s="9" t="str">
        <f>_xll.SNL.Clients.Office.Excel.Functions.SPG(B404, "SP_COUNTRY_NAME")</f>
        <v>#INVALID COMPANY ID</v>
      </c>
      <c r="J404" s="9" t="str">
        <f>_xll.SNL.Clients.Office.Excel.Functions.SPG(G404, "SP_COUNTRY_NAME")</f>
        <v>#INVALID COMPANY ID</v>
      </c>
      <c r="O404" s="9" t="str">
        <f>_xll.SNL.Clients.Office.Excel.Functions.SPG(L404, "SP_COUNTRY_NAME")</f>
        <v>#INVALID COMPANY ID</v>
      </c>
      <c r="T404" s="9" t="str">
        <f>_xll.SNL.Clients.Office.Excel.Functions.SPG(Q404, "SP_COUNTRY_NAME")</f>
        <v>#INVALID COMPANY ID</v>
      </c>
      <c r="Y404" s="9" t="str">
        <f>_xll.SNL.Clients.Office.Excel.Functions.SPG(V404, "SP_COUNTRY_NAME")</f>
        <v>#INVALID COMPANY ID</v>
      </c>
    </row>
    <row r="405" spans="5:25" x14ac:dyDescent="0.35">
      <c r="E405" s="9" t="str">
        <f>_xll.SNL.Clients.Office.Excel.Functions.SPG(B405, "SP_COUNTRY_NAME")</f>
        <v>#INVALID COMPANY ID</v>
      </c>
      <c r="J405" s="9" t="str">
        <f>_xll.SNL.Clients.Office.Excel.Functions.SPG(G405, "SP_COUNTRY_NAME")</f>
        <v>#INVALID COMPANY ID</v>
      </c>
      <c r="O405" s="9" t="str">
        <f>_xll.SNL.Clients.Office.Excel.Functions.SPG(L405, "SP_COUNTRY_NAME")</f>
        <v>#INVALID COMPANY ID</v>
      </c>
      <c r="T405" s="9" t="str">
        <f>_xll.SNL.Clients.Office.Excel.Functions.SPG(Q405, "SP_COUNTRY_NAME")</f>
        <v>#INVALID COMPANY ID</v>
      </c>
      <c r="Y405" s="9" t="str">
        <f>_xll.SNL.Clients.Office.Excel.Functions.SPG(V405, "SP_COUNTRY_NAME")</f>
        <v>#INVALID COMPANY ID</v>
      </c>
    </row>
    <row r="406" spans="5:25" x14ac:dyDescent="0.35">
      <c r="E406" s="9" t="str">
        <f>_xll.SNL.Clients.Office.Excel.Functions.SPG(B406, "SP_COUNTRY_NAME")</f>
        <v>#INVALID COMPANY ID</v>
      </c>
      <c r="J406" s="9" t="str">
        <f>_xll.SNL.Clients.Office.Excel.Functions.SPG(G406, "SP_COUNTRY_NAME")</f>
        <v>#INVALID COMPANY ID</v>
      </c>
      <c r="O406" s="9" t="str">
        <f>_xll.SNL.Clients.Office.Excel.Functions.SPG(L406, "SP_COUNTRY_NAME")</f>
        <v>#INVALID COMPANY ID</v>
      </c>
      <c r="T406" s="9" t="str">
        <f>_xll.SNL.Clients.Office.Excel.Functions.SPG(Q406, "SP_COUNTRY_NAME")</f>
        <v>#INVALID COMPANY ID</v>
      </c>
      <c r="Y406" s="9" t="str">
        <f>_xll.SNL.Clients.Office.Excel.Functions.SPG(V406, "SP_COUNTRY_NAME")</f>
        <v>#INVALID COMPANY ID</v>
      </c>
    </row>
    <row r="407" spans="5:25" x14ac:dyDescent="0.35">
      <c r="E407" s="9" t="str">
        <f>_xll.SNL.Clients.Office.Excel.Functions.SPG(B407, "SP_COUNTRY_NAME")</f>
        <v>#INVALID COMPANY ID</v>
      </c>
      <c r="J407" s="9" t="str">
        <f>_xll.SNL.Clients.Office.Excel.Functions.SPG(G407, "SP_COUNTRY_NAME")</f>
        <v>#INVALID COMPANY ID</v>
      </c>
      <c r="O407" s="9" t="str">
        <f>_xll.SNL.Clients.Office.Excel.Functions.SPG(L407, "SP_COUNTRY_NAME")</f>
        <v>#INVALID COMPANY ID</v>
      </c>
      <c r="T407" s="9" t="str">
        <f>_xll.SNL.Clients.Office.Excel.Functions.SPG(Q407, "SP_COUNTRY_NAME")</f>
        <v>#INVALID COMPANY ID</v>
      </c>
      <c r="Y407" s="9" t="str">
        <f>_xll.SNL.Clients.Office.Excel.Functions.SPG(V407, "SP_COUNTRY_NAME")</f>
        <v>#INVALID COMPANY ID</v>
      </c>
    </row>
    <row r="408" spans="5:25" x14ac:dyDescent="0.35">
      <c r="E408" s="9" t="str">
        <f>_xll.SNL.Clients.Office.Excel.Functions.SPG(B408, "SP_COUNTRY_NAME")</f>
        <v>#INVALID COMPANY ID</v>
      </c>
      <c r="J408" s="9" t="str">
        <f>_xll.SNL.Clients.Office.Excel.Functions.SPG(G408, "SP_COUNTRY_NAME")</f>
        <v>#INVALID COMPANY ID</v>
      </c>
      <c r="O408" s="9" t="str">
        <f>_xll.SNL.Clients.Office.Excel.Functions.SPG(L408, "SP_COUNTRY_NAME")</f>
        <v>#INVALID COMPANY ID</v>
      </c>
      <c r="T408" s="9" t="str">
        <f>_xll.SNL.Clients.Office.Excel.Functions.SPG(Q408, "SP_COUNTRY_NAME")</f>
        <v>#INVALID COMPANY ID</v>
      </c>
      <c r="Y408" s="9" t="str">
        <f>_xll.SNL.Clients.Office.Excel.Functions.SPG(V408, "SP_COUNTRY_NAME")</f>
        <v>#INVALID COMPANY ID</v>
      </c>
    </row>
    <row r="409" spans="5:25" x14ac:dyDescent="0.35">
      <c r="E409" s="9" t="str">
        <f>_xll.SNL.Clients.Office.Excel.Functions.SPG(B409, "SP_COUNTRY_NAME")</f>
        <v>#INVALID COMPANY ID</v>
      </c>
      <c r="J409" s="9" t="str">
        <f>_xll.SNL.Clients.Office.Excel.Functions.SPG(G409, "SP_COUNTRY_NAME")</f>
        <v>#INVALID COMPANY ID</v>
      </c>
      <c r="O409" s="9" t="str">
        <f>_xll.SNL.Clients.Office.Excel.Functions.SPG(L409, "SP_COUNTRY_NAME")</f>
        <v>#INVALID COMPANY ID</v>
      </c>
      <c r="T409" s="9" t="str">
        <f>_xll.SNL.Clients.Office.Excel.Functions.SPG(Q409, "SP_COUNTRY_NAME")</f>
        <v>#INVALID COMPANY ID</v>
      </c>
      <c r="Y409" s="9" t="str">
        <f>_xll.SNL.Clients.Office.Excel.Functions.SPG(V409, "SP_COUNTRY_NAME")</f>
        <v>#INVALID COMPANY ID</v>
      </c>
    </row>
    <row r="410" spans="5:25" x14ac:dyDescent="0.35">
      <c r="E410" s="9" t="str">
        <f>_xll.SNL.Clients.Office.Excel.Functions.SPG(B410, "SP_COUNTRY_NAME")</f>
        <v>#INVALID COMPANY ID</v>
      </c>
      <c r="J410" s="9" t="str">
        <f>_xll.SNL.Clients.Office.Excel.Functions.SPG(G410, "SP_COUNTRY_NAME")</f>
        <v>#INVALID COMPANY ID</v>
      </c>
      <c r="O410" s="9" t="str">
        <f>_xll.SNL.Clients.Office.Excel.Functions.SPG(L410, "SP_COUNTRY_NAME")</f>
        <v>#INVALID COMPANY ID</v>
      </c>
      <c r="T410" s="9" t="str">
        <f>_xll.SNL.Clients.Office.Excel.Functions.SPG(Q410, "SP_COUNTRY_NAME")</f>
        <v>#INVALID COMPANY ID</v>
      </c>
      <c r="Y410" s="9" t="str">
        <f>_xll.SNL.Clients.Office.Excel.Functions.SPG(V410, "SP_COUNTRY_NAME")</f>
        <v>#INVALID COMPANY ID</v>
      </c>
    </row>
    <row r="411" spans="5:25" x14ac:dyDescent="0.35">
      <c r="E411" s="9" t="str">
        <f>_xll.SNL.Clients.Office.Excel.Functions.SPG(B411, "SP_COUNTRY_NAME")</f>
        <v>#INVALID COMPANY ID</v>
      </c>
      <c r="J411" s="9" t="str">
        <f>_xll.SNL.Clients.Office.Excel.Functions.SPG(G411, "SP_COUNTRY_NAME")</f>
        <v>#INVALID COMPANY ID</v>
      </c>
      <c r="O411" s="9" t="str">
        <f>_xll.SNL.Clients.Office.Excel.Functions.SPG(L411, "SP_COUNTRY_NAME")</f>
        <v>#INVALID COMPANY ID</v>
      </c>
      <c r="T411" s="9" t="str">
        <f>_xll.SNL.Clients.Office.Excel.Functions.SPG(Q411, "SP_COUNTRY_NAME")</f>
        <v>#INVALID COMPANY ID</v>
      </c>
      <c r="Y411" s="9" t="str">
        <f>_xll.SNL.Clients.Office.Excel.Functions.SPG(V411, "SP_COUNTRY_NAME")</f>
        <v>#INVALID COMPANY ID</v>
      </c>
    </row>
    <row r="412" spans="5:25" x14ac:dyDescent="0.35">
      <c r="E412" s="9" t="str">
        <f>_xll.SNL.Clients.Office.Excel.Functions.SPG(B412, "SP_COUNTRY_NAME")</f>
        <v>#INVALID COMPANY ID</v>
      </c>
      <c r="J412" s="9" t="str">
        <f>_xll.SNL.Clients.Office.Excel.Functions.SPG(G412, "SP_COUNTRY_NAME")</f>
        <v>#INVALID COMPANY ID</v>
      </c>
      <c r="O412" s="9" t="str">
        <f>_xll.SNL.Clients.Office.Excel.Functions.SPG(L412, "SP_COUNTRY_NAME")</f>
        <v>#INVALID COMPANY ID</v>
      </c>
      <c r="T412" s="9" t="str">
        <f>_xll.SNL.Clients.Office.Excel.Functions.SPG(Q412, "SP_COUNTRY_NAME")</f>
        <v>#INVALID COMPANY ID</v>
      </c>
      <c r="Y412" s="9" t="str">
        <f>_xll.SNL.Clients.Office.Excel.Functions.SPG(V412, "SP_COUNTRY_NAME")</f>
        <v>#INVALID COMPANY ID</v>
      </c>
    </row>
    <row r="413" spans="5:25" x14ac:dyDescent="0.35">
      <c r="E413" s="9" t="str">
        <f>_xll.SNL.Clients.Office.Excel.Functions.SPG(B413, "SP_COUNTRY_NAME")</f>
        <v>#INVALID COMPANY ID</v>
      </c>
      <c r="J413" s="9" t="str">
        <f>_xll.SNL.Clients.Office.Excel.Functions.SPG(G413, "SP_COUNTRY_NAME")</f>
        <v>#INVALID COMPANY ID</v>
      </c>
      <c r="O413" s="9" t="str">
        <f>_xll.SNL.Clients.Office.Excel.Functions.SPG(L413, "SP_COUNTRY_NAME")</f>
        <v>#INVALID COMPANY ID</v>
      </c>
      <c r="T413" s="9" t="str">
        <f>_xll.SNL.Clients.Office.Excel.Functions.SPG(Q413, "SP_COUNTRY_NAME")</f>
        <v>#INVALID COMPANY ID</v>
      </c>
      <c r="Y413" s="9" t="str">
        <f>_xll.SNL.Clients.Office.Excel.Functions.SPG(V413, "SP_COUNTRY_NAME")</f>
        <v>#INVALID COMPANY ID</v>
      </c>
    </row>
    <row r="414" spans="5:25" x14ac:dyDescent="0.35">
      <c r="E414" s="9" t="str">
        <f>_xll.SNL.Clients.Office.Excel.Functions.SPG(B414, "SP_COUNTRY_NAME")</f>
        <v>#INVALID COMPANY ID</v>
      </c>
      <c r="J414" s="9" t="str">
        <f>_xll.SNL.Clients.Office.Excel.Functions.SPG(G414, "SP_COUNTRY_NAME")</f>
        <v>#INVALID COMPANY ID</v>
      </c>
      <c r="O414" s="9" t="str">
        <f>_xll.SNL.Clients.Office.Excel.Functions.SPG(L414, "SP_COUNTRY_NAME")</f>
        <v>#INVALID COMPANY ID</v>
      </c>
      <c r="T414" s="9" t="str">
        <f>_xll.SNL.Clients.Office.Excel.Functions.SPG(Q414, "SP_COUNTRY_NAME")</f>
        <v>#INVALID COMPANY ID</v>
      </c>
      <c r="Y414" s="9" t="str">
        <f>_xll.SNL.Clients.Office.Excel.Functions.SPG(V414, "SP_COUNTRY_NAME")</f>
        <v>#INVALID COMPANY ID</v>
      </c>
    </row>
    <row r="415" spans="5:25" x14ac:dyDescent="0.35">
      <c r="E415" s="9" t="str">
        <f>_xll.SNL.Clients.Office.Excel.Functions.SPG(B415, "SP_COUNTRY_NAME")</f>
        <v>#INVALID COMPANY ID</v>
      </c>
      <c r="J415" s="9" t="str">
        <f>_xll.SNL.Clients.Office.Excel.Functions.SPG(G415, "SP_COUNTRY_NAME")</f>
        <v>#INVALID COMPANY ID</v>
      </c>
      <c r="O415" s="9" t="str">
        <f>_xll.SNL.Clients.Office.Excel.Functions.SPG(L415, "SP_COUNTRY_NAME")</f>
        <v>#INVALID COMPANY ID</v>
      </c>
      <c r="T415" s="9" t="str">
        <f>_xll.SNL.Clients.Office.Excel.Functions.SPG(Q415, "SP_COUNTRY_NAME")</f>
        <v>#INVALID COMPANY ID</v>
      </c>
      <c r="Y415" s="9" t="str">
        <f>_xll.SNL.Clients.Office.Excel.Functions.SPG(V415, "SP_COUNTRY_NAME")</f>
        <v>#INVALID COMPANY ID</v>
      </c>
    </row>
    <row r="416" spans="5:25" x14ac:dyDescent="0.35">
      <c r="E416" s="9" t="str">
        <f>_xll.SNL.Clients.Office.Excel.Functions.SPG(B416, "SP_COUNTRY_NAME")</f>
        <v>#INVALID COMPANY ID</v>
      </c>
      <c r="J416" s="9" t="str">
        <f>_xll.SNL.Clients.Office.Excel.Functions.SPG(G416, "SP_COUNTRY_NAME")</f>
        <v>#INVALID COMPANY ID</v>
      </c>
      <c r="O416" s="9" t="str">
        <f>_xll.SNL.Clients.Office.Excel.Functions.SPG(L416, "SP_COUNTRY_NAME")</f>
        <v>#INVALID COMPANY ID</v>
      </c>
      <c r="T416" s="9" t="str">
        <f>_xll.SNL.Clients.Office.Excel.Functions.SPG(Q416, "SP_COUNTRY_NAME")</f>
        <v>#INVALID COMPANY ID</v>
      </c>
      <c r="Y416" s="9" t="str">
        <f>_xll.SNL.Clients.Office.Excel.Functions.SPG(V416, "SP_COUNTRY_NAME")</f>
        <v>#INVALID COMPANY ID</v>
      </c>
    </row>
    <row r="417" spans="5:25" x14ac:dyDescent="0.35">
      <c r="E417" s="9" t="str">
        <f>_xll.SNL.Clients.Office.Excel.Functions.SPG(B417, "SP_COUNTRY_NAME")</f>
        <v>#INVALID COMPANY ID</v>
      </c>
      <c r="J417" s="9" t="str">
        <f>_xll.SNL.Clients.Office.Excel.Functions.SPG(G417, "SP_COUNTRY_NAME")</f>
        <v>#INVALID COMPANY ID</v>
      </c>
      <c r="O417" s="9" t="str">
        <f>_xll.SNL.Clients.Office.Excel.Functions.SPG(L417, "SP_COUNTRY_NAME")</f>
        <v>#INVALID COMPANY ID</v>
      </c>
      <c r="T417" s="9" t="str">
        <f>_xll.SNL.Clients.Office.Excel.Functions.SPG(Q417, "SP_COUNTRY_NAME")</f>
        <v>#INVALID COMPANY ID</v>
      </c>
      <c r="Y417" s="9" t="str">
        <f>_xll.SNL.Clients.Office.Excel.Functions.SPG(V417, "SP_COUNTRY_NAME")</f>
        <v>#INVALID COMPANY ID</v>
      </c>
    </row>
    <row r="418" spans="5:25" x14ac:dyDescent="0.35">
      <c r="E418" s="9" t="str">
        <f>_xll.SNL.Clients.Office.Excel.Functions.SPG(B418, "SP_COUNTRY_NAME")</f>
        <v>#INVALID COMPANY ID</v>
      </c>
      <c r="J418" s="9" t="str">
        <f>_xll.SNL.Clients.Office.Excel.Functions.SPG(G418, "SP_COUNTRY_NAME")</f>
        <v>#INVALID COMPANY ID</v>
      </c>
      <c r="O418" s="9" t="str">
        <f>_xll.SNL.Clients.Office.Excel.Functions.SPG(L418, "SP_COUNTRY_NAME")</f>
        <v>#INVALID COMPANY ID</v>
      </c>
      <c r="T418" s="9" t="str">
        <f>_xll.SNL.Clients.Office.Excel.Functions.SPG(Q418, "SP_COUNTRY_NAME")</f>
        <v>#INVALID COMPANY ID</v>
      </c>
      <c r="Y418" s="9" t="str">
        <f>_xll.SNL.Clients.Office.Excel.Functions.SPG(V418, "SP_COUNTRY_NAME")</f>
        <v>#INVALID COMPANY ID</v>
      </c>
    </row>
    <row r="419" spans="5:25" x14ac:dyDescent="0.35">
      <c r="E419" s="9" t="str">
        <f>_xll.SNL.Clients.Office.Excel.Functions.SPG(B419, "SP_COUNTRY_NAME")</f>
        <v>#INVALID COMPANY ID</v>
      </c>
      <c r="J419" s="9" t="str">
        <f>_xll.SNL.Clients.Office.Excel.Functions.SPG(G419, "SP_COUNTRY_NAME")</f>
        <v>#INVALID COMPANY ID</v>
      </c>
      <c r="O419" s="9" t="str">
        <f>_xll.SNL.Clients.Office.Excel.Functions.SPG(L419, "SP_COUNTRY_NAME")</f>
        <v>#INVALID COMPANY ID</v>
      </c>
      <c r="T419" s="9" t="str">
        <f>_xll.SNL.Clients.Office.Excel.Functions.SPG(Q419, "SP_COUNTRY_NAME")</f>
        <v>#INVALID COMPANY ID</v>
      </c>
      <c r="Y419" s="9" t="str">
        <f>_xll.SNL.Clients.Office.Excel.Functions.SPG(V419, "SP_COUNTRY_NAME")</f>
        <v>#INVALID COMPANY ID</v>
      </c>
    </row>
    <row r="420" spans="5:25" x14ac:dyDescent="0.35">
      <c r="E420" s="9" t="str">
        <f>_xll.SNL.Clients.Office.Excel.Functions.SPG(B420, "SP_COUNTRY_NAME")</f>
        <v>#INVALID COMPANY ID</v>
      </c>
      <c r="J420" s="9" t="str">
        <f>_xll.SNL.Clients.Office.Excel.Functions.SPG(G420, "SP_COUNTRY_NAME")</f>
        <v>#INVALID COMPANY ID</v>
      </c>
      <c r="O420" s="9" t="str">
        <f>_xll.SNL.Clients.Office.Excel.Functions.SPG(L420, "SP_COUNTRY_NAME")</f>
        <v>#INVALID COMPANY ID</v>
      </c>
      <c r="T420" s="9" t="str">
        <f>_xll.SNL.Clients.Office.Excel.Functions.SPG(Q420, "SP_COUNTRY_NAME")</f>
        <v>#INVALID COMPANY ID</v>
      </c>
      <c r="Y420" s="9" t="str">
        <f>_xll.SNL.Clients.Office.Excel.Functions.SPG(V420, "SP_COUNTRY_NAME")</f>
        <v>#INVALID COMPANY ID</v>
      </c>
    </row>
    <row r="421" spans="5:25" x14ac:dyDescent="0.35">
      <c r="E421" s="9" t="str">
        <f>_xll.SNL.Clients.Office.Excel.Functions.SPG(B421, "SP_COUNTRY_NAME")</f>
        <v>#INVALID COMPANY ID</v>
      </c>
      <c r="J421" s="9" t="str">
        <f>_xll.SNL.Clients.Office.Excel.Functions.SPG(G421, "SP_COUNTRY_NAME")</f>
        <v>#INVALID COMPANY ID</v>
      </c>
      <c r="O421" s="9" t="str">
        <f>_xll.SNL.Clients.Office.Excel.Functions.SPG(L421, "SP_COUNTRY_NAME")</f>
        <v>#INVALID COMPANY ID</v>
      </c>
      <c r="T421" s="9" t="str">
        <f>_xll.SNL.Clients.Office.Excel.Functions.SPG(Q421, "SP_COUNTRY_NAME")</f>
        <v>#INVALID COMPANY ID</v>
      </c>
      <c r="Y421" s="9" t="str">
        <f>_xll.SNL.Clients.Office.Excel.Functions.SPG(V421, "SP_COUNTRY_NAME")</f>
        <v>#INVALID COMPANY ID</v>
      </c>
    </row>
    <row r="422" spans="5:25" x14ac:dyDescent="0.35">
      <c r="E422" s="9" t="str">
        <f>_xll.SNL.Clients.Office.Excel.Functions.SPG(B422, "SP_COUNTRY_NAME")</f>
        <v>#INVALID COMPANY ID</v>
      </c>
      <c r="J422" s="9" t="str">
        <f>_xll.SNL.Clients.Office.Excel.Functions.SPG(G422, "SP_COUNTRY_NAME")</f>
        <v>#INVALID COMPANY ID</v>
      </c>
      <c r="O422" s="9" t="str">
        <f>_xll.SNL.Clients.Office.Excel.Functions.SPG(L422, "SP_COUNTRY_NAME")</f>
        <v>#INVALID COMPANY ID</v>
      </c>
      <c r="T422" s="9" t="str">
        <f>_xll.SNL.Clients.Office.Excel.Functions.SPG(Q422, "SP_COUNTRY_NAME")</f>
        <v>#INVALID COMPANY ID</v>
      </c>
      <c r="Y422" s="9" t="str">
        <f>_xll.SNL.Clients.Office.Excel.Functions.SPG(V422, "SP_COUNTRY_NAME")</f>
        <v>#INVALID COMPANY ID</v>
      </c>
    </row>
    <row r="423" spans="5:25" x14ac:dyDescent="0.35">
      <c r="E423" s="9" t="str">
        <f>_xll.SNL.Clients.Office.Excel.Functions.SPG(B423, "SP_COUNTRY_NAME")</f>
        <v>#INVALID COMPANY ID</v>
      </c>
      <c r="J423" s="9" t="str">
        <f>_xll.SNL.Clients.Office.Excel.Functions.SPG(G423, "SP_COUNTRY_NAME")</f>
        <v>#INVALID COMPANY ID</v>
      </c>
      <c r="O423" s="9" t="str">
        <f>_xll.SNL.Clients.Office.Excel.Functions.SPG(L423, "SP_COUNTRY_NAME")</f>
        <v>#INVALID COMPANY ID</v>
      </c>
      <c r="T423" s="9" t="str">
        <f>_xll.SNL.Clients.Office.Excel.Functions.SPG(Q423, "SP_COUNTRY_NAME")</f>
        <v>#INVALID COMPANY ID</v>
      </c>
      <c r="Y423" s="9" t="str">
        <f>_xll.SNL.Clients.Office.Excel.Functions.SPG(V423, "SP_COUNTRY_NAME")</f>
        <v>#INVALID COMPANY ID</v>
      </c>
    </row>
    <row r="424" spans="5:25" x14ac:dyDescent="0.35">
      <c r="E424" s="9" t="str">
        <f>_xll.SNL.Clients.Office.Excel.Functions.SPG(B424, "SP_COUNTRY_NAME")</f>
        <v>#INVALID COMPANY ID</v>
      </c>
      <c r="J424" s="9" t="str">
        <f>_xll.SNL.Clients.Office.Excel.Functions.SPG(G424, "SP_COUNTRY_NAME")</f>
        <v>#INVALID COMPANY ID</v>
      </c>
      <c r="O424" s="9" t="str">
        <f>_xll.SNL.Clients.Office.Excel.Functions.SPG(L424, "SP_COUNTRY_NAME")</f>
        <v>#INVALID COMPANY ID</v>
      </c>
      <c r="T424" s="9" t="str">
        <f>_xll.SNL.Clients.Office.Excel.Functions.SPG(Q424, "SP_COUNTRY_NAME")</f>
        <v>#INVALID COMPANY ID</v>
      </c>
      <c r="Y424" s="9" t="str">
        <f>_xll.SNL.Clients.Office.Excel.Functions.SPG(V424, "SP_COUNTRY_NAME")</f>
        <v>#INVALID COMPANY ID</v>
      </c>
    </row>
    <row r="425" spans="5:25" x14ac:dyDescent="0.35">
      <c r="E425" s="9" t="str">
        <f>_xll.SNL.Clients.Office.Excel.Functions.SPG(B425, "SP_COUNTRY_NAME")</f>
        <v>#INVALID COMPANY ID</v>
      </c>
      <c r="J425" s="9" t="str">
        <f>_xll.SNL.Clients.Office.Excel.Functions.SPG(G425, "SP_COUNTRY_NAME")</f>
        <v>#INVALID COMPANY ID</v>
      </c>
      <c r="O425" s="9" t="str">
        <f>_xll.SNL.Clients.Office.Excel.Functions.SPG(L425, "SP_COUNTRY_NAME")</f>
        <v>#INVALID COMPANY ID</v>
      </c>
      <c r="T425" s="9" t="str">
        <f>_xll.SNL.Clients.Office.Excel.Functions.SPG(Q425, "SP_COUNTRY_NAME")</f>
        <v>#INVALID COMPANY ID</v>
      </c>
      <c r="Y425" s="9" t="str">
        <f>_xll.SNL.Clients.Office.Excel.Functions.SPG(V425, "SP_COUNTRY_NAME")</f>
        <v>#INVALID COMPANY ID</v>
      </c>
    </row>
    <row r="426" spans="5:25" x14ac:dyDescent="0.35">
      <c r="E426" s="9" t="str">
        <f>_xll.SNL.Clients.Office.Excel.Functions.SPG(B426, "SP_COUNTRY_NAME")</f>
        <v>#INVALID COMPANY ID</v>
      </c>
      <c r="J426" s="9" t="str">
        <f>_xll.SNL.Clients.Office.Excel.Functions.SPG(G426, "SP_COUNTRY_NAME")</f>
        <v>#INVALID COMPANY ID</v>
      </c>
      <c r="O426" s="9" t="str">
        <f>_xll.SNL.Clients.Office.Excel.Functions.SPG(L426, "SP_COUNTRY_NAME")</f>
        <v>#INVALID COMPANY ID</v>
      </c>
      <c r="T426" s="9" t="str">
        <f>_xll.SNL.Clients.Office.Excel.Functions.SPG(Q426, "SP_COUNTRY_NAME")</f>
        <v>#INVALID COMPANY ID</v>
      </c>
      <c r="Y426" s="9" t="str">
        <f>_xll.SNL.Clients.Office.Excel.Functions.SPG(V426, "SP_COUNTRY_NAME")</f>
        <v>#INVALID COMPANY ID</v>
      </c>
    </row>
    <row r="427" spans="5:25" x14ac:dyDescent="0.35">
      <c r="E427" s="9" t="str">
        <f>_xll.SNL.Clients.Office.Excel.Functions.SPG(B427, "SP_COUNTRY_NAME")</f>
        <v>#INVALID COMPANY ID</v>
      </c>
      <c r="J427" s="9" t="str">
        <f>_xll.SNL.Clients.Office.Excel.Functions.SPG(G427, "SP_COUNTRY_NAME")</f>
        <v>#INVALID COMPANY ID</v>
      </c>
      <c r="O427" s="9" t="str">
        <f>_xll.SNL.Clients.Office.Excel.Functions.SPG(L427, "SP_COUNTRY_NAME")</f>
        <v>#INVALID COMPANY ID</v>
      </c>
      <c r="T427" s="9" t="str">
        <f>_xll.SNL.Clients.Office.Excel.Functions.SPG(Q427, "SP_COUNTRY_NAME")</f>
        <v>#INVALID COMPANY ID</v>
      </c>
      <c r="Y427" s="9" t="str">
        <f>_xll.SNL.Clients.Office.Excel.Functions.SPG(V427, "SP_COUNTRY_NAME")</f>
        <v>#INVALID COMPANY ID</v>
      </c>
    </row>
    <row r="428" spans="5:25" x14ac:dyDescent="0.35">
      <c r="E428" s="9" t="str">
        <f>_xll.SNL.Clients.Office.Excel.Functions.SPG(B428, "SP_COUNTRY_NAME")</f>
        <v>#INVALID COMPANY ID</v>
      </c>
      <c r="J428" s="9" t="str">
        <f>_xll.SNL.Clients.Office.Excel.Functions.SPG(G428, "SP_COUNTRY_NAME")</f>
        <v>#INVALID COMPANY ID</v>
      </c>
      <c r="O428" s="9" t="str">
        <f>_xll.SNL.Clients.Office.Excel.Functions.SPG(L428, "SP_COUNTRY_NAME")</f>
        <v>#INVALID COMPANY ID</v>
      </c>
      <c r="T428" s="9" t="str">
        <f>_xll.SNL.Clients.Office.Excel.Functions.SPG(Q428, "SP_COUNTRY_NAME")</f>
        <v>#INVALID COMPANY ID</v>
      </c>
      <c r="Y428" s="9" t="str">
        <f>_xll.SNL.Clients.Office.Excel.Functions.SPG(V428, "SP_COUNTRY_NAME")</f>
        <v>#INVALID COMPANY ID</v>
      </c>
    </row>
    <row r="429" spans="5:25" x14ac:dyDescent="0.35">
      <c r="E429" s="9" t="str">
        <f>_xll.SNL.Clients.Office.Excel.Functions.SPG(B429, "SP_COUNTRY_NAME")</f>
        <v>#INVALID COMPANY ID</v>
      </c>
      <c r="J429" s="9" t="str">
        <f>_xll.SNL.Clients.Office.Excel.Functions.SPG(G429, "SP_COUNTRY_NAME")</f>
        <v>#INVALID COMPANY ID</v>
      </c>
      <c r="O429" s="9" t="str">
        <f>_xll.SNL.Clients.Office.Excel.Functions.SPG(L429, "SP_COUNTRY_NAME")</f>
        <v>#INVALID COMPANY ID</v>
      </c>
      <c r="T429" s="9" t="str">
        <f>_xll.SNL.Clients.Office.Excel.Functions.SPG(Q429, "SP_COUNTRY_NAME")</f>
        <v>#INVALID COMPANY ID</v>
      </c>
      <c r="Y429" s="9" t="str">
        <f>_xll.SNL.Clients.Office.Excel.Functions.SPG(V429, "SP_COUNTRY_NAME")</f>
        <v>#INVALID COMPANY ID</v>
      </c>
    </row>
    <row r="430" spans="5:25" x14ac:dyDescent="0.35">
      <c r="E430" s="9" t="str">
        <f>_xll.SNL.Clients.Office.Excel.Functions.SPG(B430, "SP_COUNTRY_NAME")</f>
        <v>#INVALID COMPANY ID</v>
      </c>
      <c r="J430" s="9" t="str">
        <f>_xll.SNL.Clients.Office.Excel.Functions.SPG(G430, "SP_COUNTRY_NAME")</f>
        <v>#INVALID COMPANY ID</v>
      </c>
      <c r="O430" s="9" t="str">
        <f>_xll.SNL.Clients.Office.Excel.Functions.SPG(L430, "SP_COUNTRY_NAME")</f>
        <v>#INVALID COMPANY ID</v>
      </c>
      <c r="T430" s="9" t="str">
        <f>_xll.SNL.Clients.Office.Excel.Functions.SPG(Q430, "SP_COUNTRY_NAME")</f>
        <v>#INVALID COMPANY ID</v>
      </c>
      <c r="Y430" s="9" t="str">
        <f>_xll.SNL.Clients.Office.Excel.Functions.SPG(V430, "SP_COUNTRY_NAME")</f>
        <v>#INVALID COMPANY ID</v>
      </c>
    </row>
    <row r="431" spans="5:25" x14ac:dyDescent="0.35">
      <c r="E431" s="9" t="str">
        <f>_xll.SNL.Clients.Office.Excel.Functions.SPG(B431, "SP_COUNTRY_NAME")</f>
        <v>#INVALID COMPANY ID</v>
      </c>
      <c r="J431" s="9" t="str">
        <f>_xll.SNL.Clients.Office.Excel.Functions.SPG(G431, "SP_COUNTRY_NAME")</f>
        <v>#INVALID COMPANY ID</v>
      </c>
      <c r="O431" s="9" t="str">
        <f>_xll.SNL.Clients.Office.Excel.Functions.SPG(L431, "SP_COUNTRY_NAME")</f>
        <v>#INVALID COMPANY ID</v>
      </c>
      <c r="T431" s="9" t="str">
        <f>_xll.SNL.Clients.Office.Excel.Functions.SPG(Q431, "SP_COUNTRY_NAME")</f>
        <v>#INVALID COMPANY ID</v>
      </c>
      <c r="Y431" s="9" t="str">
        <f>_xll.SNL.Clients.Office.Excel.Functions.SPG(V431, "SP_COUNTRY_NAME")</f>
        <v>#INVALID COMPANY ID</v>
      </c>
    </row>
    <row r="432" spans="5:25" x14ac:dyDescent="0.35">
      <c r="E432" s="9" t="str">
        <f>_xll.SNL.Clients.Office.Excel.Functions.SPG(B432, "SP_COUNTRY_NAME")</f>
        <v>#INVALID COMPANY ID</v>
      </c>
      <c r="J432" s="9" t="str">
        <f>_xll.SNL.Clients.Office.Excel.Functions.SPG(G432, "SP_COUNTRY_NAME")</f>
        <v>#INVALID COMPANY ID</v>
      </c>
      <c r="O432" s="9" t="str">
        <f>_xll.SNL.Clients.Office.Excel.Functions.SPG(L432, "SP_COUNTRY_NAME")</f>
        <v>#INVALID COMPANY ID</v>
      </c>
      <c r="T432" s="9" t="str">
        <f>_xll.SNL.Clients.Office.Excel.Functions.SPG(Q432, "SP_COUNTRY_NAME")</f>
        <v>#INVALID COMPANY ID</v>
      </c>
      <c r="Y432" s="9" t="str">
        <f>_xll.SNL.Clients.Office.Excel.Functions.SPG(V432, "SP_COUNTRY_NAME")</f>
        <v>#INVALID COMPANY ID</v>
      </c>
    </row>
    <row r="433" spans="5:25" x14ac:dyDescent="0.35">
      <c r="E433" s="9" t="str">
        <f>_xll.SNL.Clients.Office.Excel.Functions.SPG(B433, "SP_COUNTRY_NAME")</f>
        <v>#INVALID COMPANY ID</v>
      </c>
      <c r="J433" s="9" t="str">
        <f>_xll.SNL.Clients.Office.Excel.Functions.SPG(G433, "SP_COUNTRY_NAME")</f>
        <v>#INVALID COMPANY ID</v>
      </c>
      <c r="O433" s="9" t="str">
        <f>_xll.SNL.Clients.Office.Excel.Functions.SPG(L433, "SP_COUNTRY_NAME")</f>
        <v>#INVALID COMPANY ID</v>
      </c>
      <c r="T433" s="9" t="str">
        <f>_xll.SNL.Clients.Office.Excel.Functions.SPG(Q433, "SP_COUNTRY_NAME")</f>
        <v>#INVALID COMPANY ID</v>
      </c>
      <c r="Y433" s="9" t="str">
        <f>_xll.SNL.Clients.Office.Excel.Functions.SPG(V433, "SP_COUNTRY_NAME")</f>
        <v>#INVALID COMPANY ID</v>
      </c>
    </row>
    <row r="434" spans="5:25" x14ac:dyDescent="0.35">
      <c r="E434" s="9" t="str">
        <f>_xll.SNL.Clients.Office.Excel.Functions.SPG(B434, "SP_COUNTRY_NAME")</f>
        <v>#INVALID COMPANY ID</v>
      </c>
      <c r="J434" s="9" t="str">
        <f>_xll.SNL.Clients.Office.Excel.Functions.SPG(G434, "SP_COUNTRY_NAME")</f>
        <v>#INVALID COMPANY ID</v>
      </c>
      <c r="O434" s="9" t="str">
        <f>_xll.SNL.Clients.Office.Excel.Functions.SPG(L434, "SP_COUNTRY_NAME")</f>
        <v>#INVALID COMPANY ID</v>
      </c>
      <c r="T434" s="9" t="str">
        <f>_xll.SNL.Clients.Office.Excel.Functions.SPG(Q434, "SP_COUNTRY_NAME")</f>
        <v>#INVALID COMPANY ID</v>
      </c>
      <c r="Y434" s="9" t="str">
        <f>_xll.SNL.Clients.Office.Excel.Functions.SPG(V434, "SP_COUNTRY_NAME")</f>
        <v>#INVALID COMPANY ID</v>
      </c>
    </row>
    <row r="435" spans="5:25" x14ac:dyDescent="0.35">
      <c r="E435" s="9" t="str">
        <f>_xll.SNL.Clients.Office.Excel.Functions.SPG(B435, "SP_COUNTRY_NAME")</f>
        <v>#INVALID COMPANY ID</v>
      </c>
      <c r="J435" s="9" t="str">
        <f>_xll.SNL.Clients.Office.Excel.Functions.SPG(G435, "SP_COUNTRY_NAME")</f>
        <v>#INVALID COMPANY ID</v>
      </c>
      <c r="O435" s="9" t="str">
        <f>_xll.SNL.Clients.Office.Excel.Functions.SPG(L435, "SP_COUNTRY_NAME")</f>
        <v>#INVALID COMPANY ID</v>
      </c>
      <c r="T435" s="9" t="str">
        <f>_xll.SNL.Clients.Office.Excel.Functions.SPG(Q435, "SP_COUNTRY_NAME")</f>
        <v>#INVALID COMPANY ID</v>
      </c>
      <c r="Y435" s="9" t="str">
        <f>_xll.SNL.Clients.Office.Excel.Functions.SPG(V435, "SP_COUNTRY_NAME")</f>
        <v>#INVALID COMPANY ID</v>
      </c>
    </row>
    <row r="436" spans="5:25" x14ac:dyDescent="0.35">
      <c r="E436" s="9" t="str">
        <f>_xll.SNL.Clients.Office.Excel.Functions.SPG(B436, "SP_COUNTRY_NAME")</f>
        <v>#INVALID COMPANY ID</v>
      </c>
      <c r="J436" s="9" t="str">
        <f>_xll.SNL.Clients.Office.Excel.Functions.SPG(G436, "SP_COUNTRY_NAME")</f>
        <v>#INVALID COMPANY ID</v>
      </c>
      <c r="O436" s="9" t="str">
        <f>_xll.SNL.Clients.Office.Excel.Functions.SPG(L436, "SP_COUNTRY_NAME")</f>
        <v>#INVALID COMPANY ID</v>
      </c>
      <c r="T436" s="9" t="str">
        <f>_xll.SNL.Clients.Office.Excel.Functions.SPG(Q436, "SP_COUNTRY_NAME")</f>
        <v>#INVALID COMPANY ID</v>
      </c>
      <c r="Y436" s="9" t="str">
        <f>_xll.SNL.Clients.Office.Excel.Functions.SPG(V436, "SP_COUNTRY_NAME")</f>
        <v>#INVALID COMPANY ID</v>
      </c>
    </row>
    <row r="437" spans="5:25" x14ac:dyDescent="0.35">
      <c r="E437" s="9" t="str">
        <f>_xll.SNL.Clients.Office.Excel.Functions.SPG(B437, "SP_COUNTRY_NAME")</f>
        <v>#INVALID COMPANY ID</v>
      </c>
      <c r="J437" s="9" t="str">
        <f>_xll.SNL.Clients.Office.Excel.Functions.SPG(G437, "SP_COUNTRY_NAME")</f>
        <v>#INVALID COMPANY ID</v>
      </c>
      <c r="O437" s="9" t="str">
        <f>_xll.SNL.Clients.Office.Excel.Functions.SPG(L437, "SP_COUNTRY_NAME")</f>
        <v>#INVALID COMPANY ID</v>
      </c>
      <c r="T437" s="9" t="str">
        <f>_xll.SNL.Clients.Office.Excel.Functions.SPG(Q437, "SP_COUNTRY_NAME")</f>
        <v>#INVALID COMPANY ID</v>
      </c>
      <c r="Y437" s="9" t="str">
        <f>_xll.SNL.Clients.Office.Excel.Functions.SPG(V437, "SP_COUNTRY_NAME")</f>
        <v>#INVALID COMPANY ID</v>
      </c>
    </row>
    <row r="438" spans="5:25" x14ac:dyDescent="0.35">
      <c r="E438" s="9" t="str">
        <f>_xll.SNL.Clients.Office.Excel.Functions.SPG(B438, "SP_COUNTRY_NAME")</f>
        <v>#INVALID COMPANY ID</v>
      </c>
      <c r="J438" s="9" t="str">
        <f>_xll.SNL.Clients.Office.Excel.Functions.SPG(G438, "SP_COUNTRY_NAME")</f>
        <v>#INVALID COMPANY ID</v>
      </c>
      <c r="O438" s="9" t="str">
        <f>_xll.SNL.Clients.Office.Excel.Functions.SPG(L438, "SP_COUNTRY_NAME")</f>
        <v>#INVALID COMPANY ID</v>
      </c>
      <c r="T438" s="9" t="str">
        <f>_xll.SNL.Clients.Office.Excel.Functions.SPG(Q438, "SP_COUNTRY_NAME")</f>
        <v>#INVALID COMPANY ID</v>
      </c>
      <c r="Y438" s="9" t="str">
        <f>_xll.SNL.Clients.Office.Excel.Functions.SPG(V438, "SP_COUNTRY_NAME")</f>
        <v>#INVALID COMPANY ID</v>
      </c>
    </row>
    <row r="439" spans="5:25" x14ac:dyDescent="0.35">
      <c r="E439" s="9" t="str">
        <f>_xll.SNL.Clients.Office.Excel.Functions.SPG(B439, "SP_COUNTRY_NAME")</f>
        <v>#INVALID COMPANY ID</v>
      </c>
      <c r="J439" s="9" t="str">
        <f>_xll.SNL.Clients.Office.Excel.Functions.SPG(G439, "SP_COUNTRY_NAME")</f>
        <v>#INVALID COMPANY ID</v>
      </c>
      <c r="O439" s="9" t="str">
        <f>_xll.SNL.Clients.Office.Excel.Functions.SPG(L439, "SP_COUNTRY_NAME")</f>
        <v>#INVALID COMPANY ID</v>
      </c>
      <c r="T439" s="9" t="str">
        <f>_xll.SNL.Clients.Office.Excel.Functions.SPG(Q439, "SP_COUNTRY_NAME")</f>
        <v>#INVALID COMPANY ID</v>
      </c>
      <c r="Y439" s="9" t="str">
        <f>_xll.SNL.Clients.Office.Excel.Functions.SPG(V439, "SP_COUNTRY_NAME")</f>
        <v>#INVALID COMPANY ID</v>
      </c>
    </row>
    <row r="440" spans="5:25" x14ac:dyDescent="0.35">
      <c r="E440" s="9" t="str">
        <f>_xll.SNL.Clients.Office.Excel.Functions.SPG(B440, "SP_COUNTRY_NAME")</f>
        <v>#INVALID COMPANY ID</v>
      </c>
      <c r="J440" s="9" t="str">
        <f>_xll.SNL.Clients.Office.Excel.Functions.SPG(G440, "SP_COUNTRY_NAME")</f>
        <v>#INVALID COMPANY ID</v>
      </c>
      <c r="O440" s="9" t="str">
        <f>_xll.SNL.Clients.Office.Excel.Functions.SPG(L440, "SP_COUNTRY_NAME")</f>
        <v>#INVALID COMPANY ID</v>
      </c>
      <c r="T440" s="9" t="str">
        <f>_xll.SNL.Clients.Office.Excel.Functions.SPG(Q440, "SP_COUNTRY_NAME")</f>
        <v>#INVALID COMPANY ID</v>
      </c>
      <c r="Y440" s="9" t="str">
        <f>_xll.SNL.Clients.Office.Excel.Functions.SPG(V440, "SP_COUNTRY_NAME")</f>
        <v>#INVALID COMPANY ID</v>
      </c>
    </row>
    <row r="441" spans="5:25" x14ac:dyDescent="0.35">
      <c r="E441" s="9" t="str">
        <f>_xll.SNL.Clients.Office.Excel.Functions.SPG(B441, "SP_COUNTRY_NAME")</f>
        <v>#INVALID COMPANY ID</v>
      </c>
      <c r="J441" s="9" t="str">
        <f>_xll.SNL.Clients.Office.Excel.Functions.SPG(G441, "SP_COUNTRY_NAME")</f>
        <v>#INVALID COMPANY ID</v>
      </c>
      <c r="O441" s="9" t="str">
        <f>_xll.SNL.Clients.Office.Excel.Functions.SPG(L441, "SP_COUNTRY_NAME")</f>
        <v>#INVALID COMPANY ID</v>
      </c>
      <c r="T441" s="9" t="str">
        <f>_xll.SNL.Clients.Office.Excel.Functions.SPG(Q441, "SP_COUNTRY_NAME")</f>
        <v>#INVALID COMPANY ID</v>
      </c>
      <c r="Y441" s="9" t="str">
        <f>_xll.SNL.Clients.Office.Excel.Functions.SPG(V441, "SP_COUNTRY_NAME")</f>
        <v>#INVALID COMPANY ID</v>
      </c>
    </row>
    <row r="442" spans="5:25" x14ac:dyDescent="0.35">
      <c r="E442" s="9" t="str">
        <f>_xll.SNL.Clients.Office.Excel.Functions.SPG(B442, "SP_COUNTRY_NAME")</f>
        <v>#INVALID COMPANY ID</v>
      </c>
      <c r="J442" s="9" t="str">
        <f>_xll.SNL.Clients.Office.Excel.Functions.SPG(G442, "SP_COUNTRY_NAME")</f>
        <v>#INVALID COMPANY ID</v>
      </c>
      <c r="O442" s="9" t="str">
        <f>_xll.SNL.Clients.Office.Excel.Functions.SPG(L442, "SP_COUNTRY_NAME")</f>
        <v>#INVALID COMPANY ID</v>
      </c>
      <c r="T442" s="9" t="str">
        <f>_xll.SNL.Clients.Office.Excel.Functions.SPG(Q442, "SP_COUNTRY_NAME")</f>
        <v>#INVALID COMPANY ID</v>
      </c>
      <c r="Y442" s="9" t="str">
        <f>_xll.SNL.Clients.Office.Excel.Functions.SPG(V442, "SP_COUNTRY_NAME")</f>
        <v>#INVALID COMPANY ID</v>
      </c>
    </row>
    <row r="443" spans="5:25" x14ac:dyDescent="0.35">
      <c r="E443" s="9" t="str">
        <f>_xll.SNL.Clients.Office.Excel.Functions.SPG(B443, "SP_COUNTRY_NAME")</f>
        <v>#INVALID COMPANY ID</v>
      </c>
      <c r="J443" s="9" t="str">
        <f>_xll.SNL.Clients.Office.Excel.Functions.SPG(G443, "SP_COUNTRY_NAME")</f>
        <v>#INVALID COMPANY ID</v>
      </c>
      <c r="O443" s="9" t="str">
        <f>_xll.SNL.Clients.Office.Excel.Functions.SPG(L443, "SP_COUNTRY_NAME")</f>
        <v>#INVALID COMPANY ID</v>
      </c>
      <c r="T443" s="9" t="str">
        <f>_xll.SNL.Clients.Office.Excel.Functions.SPG(Q443, "SP_COUNTRY_NAME")</f>
        <v>#INVALID COMPANY ID</v>
      </c>
      <c r="Y443" s="9" t="str">
        <f>_xll.SNL.Clients.Office.Excel.Functions.SPG(V443, "SP_COUNTRY_NAME")</f>
        <v>#INVALID COMPANY ID</v>
      </c>
    </row>
    <row r="444" spans="5:25" x14ac:dyDescent="0.35">
      <c r="E444" s="9" t="str">
        <f>_xll.SNL.Clients.Office.Excel.Functions.SPG(B444, "SP_COUNTRY_NAME")</f>
        <v>#INVALID COMPANY ID</v>
      </c>
      <c r="J444" s="9" t="str">
        <f>_xll.SNL.Clients.Office.Excel.Functions.SPG(G444, "SP_COUNTRY_NAME")</f>
        <v>#INVALID COMPANY ID</v>
      </c>
      <c r="O444" s="9" t="str">
        <f>_xll.SNL.Clients.Office.Excel.Functions.SPG(L444, "SP_COUNTRY_NAME")</f>
        <v>#INVALID COMPANY ID</v>
      </c>
      <c r="T444" s="9" t="str">
        <f>_xll.SNL.Clients.Office.Excel.Functions.SPG(Q444, "SP_COUNTRY_NAME")</f>
        <v>#INVALID COMPANY ID</v>
      </c>
      <c r="Y444" s="9" t="str">
        <f>_xll.SNL.Clients.Office.Excel.Functions.SPG(V444, "SP_COUNTRY_NAME")</f>
        <v>#INVALID COMPANY ID</v>
      </c>
    </row>
    <row r="445" spans="5:25" x14ac:dyDescent="0.35">
      <c r="E445" s="9" t="str">
        <f>_xll.SNL.Clients.Office.Excel.Functions.SPG(B445, "SP_COUNTRY_NAME")</f>
        <v>#INVALID COMPANY ID</v>
      </c>
      <c r="J445" s="9" t="str">
        <f>_xll.SNL.Clients.Office.Excel.Functions.SPG(G445, "SP_COUNTRY_NAME")</f>
        <v>#INVALID COMPANY ID</v>
      </c>
      <c r="O445" s="9" t="str">
        <f>_xll.SNL.Clients.Office.Excel.Functions.SPG(L445, "SP_COUNTRY_NAME")</f>
        <v>#INVALID COMPANY ID</v>
      </c>
      <c r="T445" s="9" t="str">
        <f>_xll.SNL.Clients.Office.Excel.Functions.SPG(Q445, "SP_COUNTRY_NAME")</f>
        <v>#INVALID COMPANY ID</v>
      </c>
      <c r="Y445" s="9" t="str">
        <f>_xll.SNL.Clients.Office.Excel.Functions.SPG(V445, "SP_COUNTRY_NAME")</f>
        <v>#INVALID COMPANY ID</v>
      </c>
    </row>
    <row r="446" spans="5:25" x14ac:dyDescent="0.35">
      <c r="E446" s="9" t="str">
        <f>_xll.SNL.Clients.Office.Excel.Functions.SPG(B446, "SP_COUNTRY_NAME")</f>
        <v>#INVALID COMPANY ID</v>
      </c>
      <c r="J446" s="9" t="str">
        <f>_xll.SNL.Clients.Office.Excel.Functions.SPG(G446, "SP_COUNTRY_NAME")</f>
        <v>#INVALID COMPANY ID</v>
      </c>
      <c r="O446" s="9" t="str">
        <f>_xll.SNL.Clients.Office.Excel.Functions.SPG(L446, "SP_COUNTRY_NAME")</f>
        <v>#INVALID COMPANY ID</v>
      </c>
      <c r="T446" s="9" t="str">
        <f>_xll.SNL.Clients.Office.Excel.Functions.SPG(Q446, "SP_COUNTRY_NAME")</f>
        <v>#INVALID COMPANY ID</v>
      </c>
      <c r="Y446" s="9" t="str">
        <f>_xll.SNL.Clients.Office.Excel.Functions.SPG(V446, "SP_COUNTRY_NAME")</f>
        <v>#INVALID COMPANY ID</v>
      </c>
    </row>
    <row r="447" spans="5:25" x14ac:dyDescent="0.35">
      <c r="E447" s="9" t="str">
        <f>_xll.SNL.Clients.Office.Excel.Functions.SPG(B447, "SP_COUNTRY_NAME")</f>
        <v>#INVALID COMPANY ID</v>
      </c>
      <c r="J447" s="9" t="str">
        <f>_xll.SNL.Clients.Office.Excel.Functions.SPG(G447, "SP_COUNTRY_NAME")</f>
        <v>#INVALID COMPANY ID</v>
      </c>
      <c r="O447" s="9" t="str">
        <f>_xll.SNL.Clients.Office.Excel.Functions.SPG(L447, "SP_COUNTRY_NAME")</f>
        <v>#INVALID COMPANY ID</v>
      </c>
      <c r="T447" s="9" t="str">
        <f>_xll.SNL.Clients.Office.Excel.Functions.SPG(Q447, "SP_COUNTRY_NAME")</f>
        <v>#INVALID COMPANY ID</v>
      </c>
      <c r="Y447" s="9" t="str">
        <f>_xll.SNL.Clients.Office.Excel.Functions.SPG(V447, "SP_COUNTRY_NAME")</f>
        <v>#INVALID COMPANY ID</v>
      </c>
    </row>
    <row r="448" spans="5:25" x14ac:dyDescent="0.35">
      <c r="E448" s="9" t="str">
        <f>_xll.SNL.Clients.Office.Excel.Functions.SPG(B448, "SP_COUNTRY_NAME")</f>
        <v>#INVALID COMPANY ID</v>
      </c>
      <c r="J448" s="9" t="str">
        <f>_xll.SNL.Clients.Office.Excel.Functions.SPG(G448, "SP_COUNTRY_NAME")</f>
        <v>#INVALID COMPANY ID</v>
      </c>
      <c r="O448" s="9" t="str">
        <f>_xll.SNL.Clients.Office.Excel.Functions.SPG(L448, "SP_COUNTRY_NAME")</f>
        <v>#INVALID COMPANY ID</v>
      </c>
      <c r="T448" s="9" t="str">
        <f>_xll.SNL.Clients.Office.Excel.Functions.SPG(Q448, "SP_COUNTRY_NAME")</f>
        <v>#INVALID COMPANY ID</v>
      </c>
      <c r="Y448" s="9" t="str">
        <f>_xll.SNL.Clients.Office.Excel.Functions.SPG(V448, "SP_COUNTRY_NAME")</f>
        <v>#INVALID COMPANY ID</v>
      </c>
    </row>
    <row r="449" spans="5:25" x14ac:dyDescent="0.35">
      <c r="E449" s="9" t="str">
        <f>_xll.SNL.Clients.Office.Excel.Functions.SPG(B449, "SP_COUNTRY_NAME")</f>
        <v>#INVALID COMPANY ID</v>
      </c>
      <c r="J449" s="9" t="str">
        <f>_xll.SNL.Clients.Office.Excel.Functions.SPG(G449, "SP_COUNTRY_NAME")</f>
        <v>#INVALID COMPANY ID</v>
      </c>
      <c r="O449" s="9" t="str">
        <f>_xll.SNL.Clients.Office.Excel.Functions.SPG(L449, "SP_COUNTRY_NAME")</f>
        <v>#INVALID COMPANY ID</v>
      </c>
      <c r="T449" s="9" t="str">
        <f>_xll.SNL.Clients.Office.Excel.Functions.SPG(Q449, "SP_COUNTRY_NAME")</f>
        <v>#INVALID COMPANY ID</v>
      </c>
      <c r="Y449" s="9" t="str">
        <f>_xll.SNL.Clients.Office.Excel.Functions.SPG(V449, "SP_COUNTRY_NAME")</f>
        <v>#INVALID COMPANY ID</v>
      </c>
    </row>
    <row r="450" spans="5:25" x14ac:dyDescent="0.35">
      <c r="E450" s="9" t="str">
        <f>_xll.SNL.Clients.Office.Excel.Functions.SPG(B450, "SP_COUNTRY_NAME")</f>
        <v>#INVALID COMPANY ID</v>
      </c>
      <c r="J450" s="9" t="str">
        <f>_xll.SNL.Clients.Office.Excel.Functions.SPG(G450, "SP_COUNTRY_NAME")</f>
        <v>#INVALID COMPANY ID</v>
      </c>
      <c r="O450" s="9" t="str">
        <f>_xll.SNL.Clients.Office.Excel.Functions.SPG(L450, "SP_COUNTRY_NAME")</f>
        <v>#INVALID COMPANY ID</v>
      </c>
      <c r="T450" s="9" t="str">
        <f>_xll.SNL.Clients.Office.Excel.Functions.SPG(Q450, "SP_COUNTRY_NAME")</f>
        <v>#INVALID COMPANY ID</v>
      </c>
      <c r="Y450" s="9" t="str">
        <f>_xll.SNL.Clients.Office.Excel.Functions.SPG(V450, "SP_COUNTRY_NAME")</f>
        <v>#INVALID COMPANY ID</v>
      </c>
    </row>
    <row r="451" spans="5:25" x14ac:dyDescent="0.35">
      <c r="E451" s="9" t="str">
        <f>_xll.SNL.Clients.Office.Excel.Functions.SPG(B451, "SP_COUNTRY_NAME")</f>
        <v>#INVALID COMPANY ID</v>
      </c>
      <c r="J451" s="9" t="str">
        <f>_xll.SNL.Clients.Office.Excel.Functions.SPG(G451, "SP_COUNTRY_NAME")</f>
        <v>#INVALID COMPANY ID</v>
      </c>
      <c r="O451" s="9" t="str">
        <f>_xll.SNL.Clients.Office.Excel.Functions.SPG(L451, "SP_COUNTRY_NAME")</f>
        <v>#INVALID COMPANY ID</v>
      </c>
      <c r="T451" s="9" t="str">
        <f>_xll.SNL.Clients.Office.Excel.Functions.SPG(Q451, "SP_COUNTRY_NAME")</f>
        <v>#INVALID COMPANY ID</v>
      </c>
      <c r="Y451" s="9" t="str">
        <f>_xll.SNL.Clients.Office.Excel.Functions.SPG(V451, "SP_COUNTRY_NAME")</f>
        <v>#INVALID COMPANY ID</v>
      </c>
    </row>
    <row r="452" spans="5:25" x14ac:dyDescent="0.35">
      <c r="E452" s="9" t="str">
        <f>_xll.SNL.Clients.Office.Excel.Functions.SPG(B452, "SP_COUNTRY_NAME")</f>
        <v>#INVALID COMPANY ID</v>
      </c>
      <c r="J452" s="9" t="str">
        <f>_xll.SNL.Clients.Office.Excel.Functions.SPG(G452, "SP_COUNTRY_NAME")</f>
        <v>#INVALID COMPANY ID</v>
      </c>
      <c r="O452" s="9" t="str">
        <f>_xll.SNL.Clients.Office.Excel.Functions.SPG(L452, "SP_COUNTRY_NAME")</f>
        <v>#INVALID COMPANY ID</v>
      </c>
      <c r="T452" s="9" t="str">
        <f>_xll.SNL.Clients.Office.Excel.Functions.SPG(Q452, "SP_COUNTRY_NAME")</f>
        <v>#INVALID COMPANY ID</v>
      </c>
      <c r="Y452" s="9" t="str">
        <f>_xll.SNL.Clients.Office.Excel.Functions.SPG(V452, "SP_COUNTRY_NAME")</f>
        <v>#INVALID COMPANY ID</v>
      </c>
    </row>
    <row r="453" spans="5:25" x14ac:dyDescent="0.35">
      <c r="E453" s="9" t="str">
        <f>_xll.SNL.Clients.Office.Excel.Functions.SPG(B453, "SP_COUNTRY_NAME")</f>
        <v>#INVALID COMPANY ID</v>
      </c>
      <c r="J453" s="9" t="str">
        <f>_xll.SNL.Clients.Office.Excel.Functions.SPG(G453, "SP_COUNTRY_NAME")</f>
        <v>#INVALID COMPANY ID</v>
      </c>
      <c r="O453" s="9" t="str">
        <f>_xll.SNL.Clients.Office.Excel.Functions.SPG(L453, "SP_COUNTRY_NAME")</f>
        <v>#INVALID COMPANY ID</v>
      </c>
      <c r="T453" s="9" t="str">
        <f>_xll.SNL.Clients.Office.Excel.Functions.SPG(Q453, "SP_COUNTRY_NAME")</f>
        <v>#INVALID COMPANY ID</v>
      </c>
      <c r="Y453" s="9" t="str">
        <f>_xll.SNL.Clients.Office.Excel.Functions.SPG(V453, "SP_COUNTRY_NAME")</f>
        <v>#INVALID COMPANY ID</v>
      </c>
    </row>
    <row r="454" spans="5:25" x14ac:dyDescent="0.35">
      <c r="E454" s="9" t="str">
        <f>_xll.SNL.Clients.Office.Excel.Functions.SPG(B454, "SP_COUNTRY_NAME")</f>
        <v>#INVALID COMPANY ID</v>
      </c>
      <c r="J454" s="9" t="str">
        <f>_xll.SNL.Clients.Office.Excel.Functions.SPG(G454, "SP_COUNTRY_NAME")</f>
        <v>#INVALID COMPANY ID</v>
      </c>
      <c r="O454" s="9" t="str">
        <f>_xll.SNL.Clients.Office.Excel.Functions.SPG(L454, "SP_COUNTRY_NAME")</f>
        <v>#INVALID COMPANY ID</v>
      </c>
      <c r="T454" s="9" t="str">
        <f>_xll.SNL.Clients.Office.Excel.Functions.SPG(Q454, "SP_COUNTRY_NAME")</f>
        <v>#INVALID COMPANY ID</v>
      </c>
      <c r="Y454" s="9" t="str">
        <f>_xll.SNL.Clients.Office.Excel.Functions.SPG(V454, "SP_COUNTRY_NAME")</f>
        <v>#INVALID COMPANY ID</v>
      </c>
    </row>
    <row r="455" spans="5:25" x14ac:dyDescent="0.35">
      <c r="E455" s="9" t="str">
        <f>_xll.SNL.Clients.Office.Excel.Functions.SPG(B455, "SP_COUNTRY_NAME")</f>
        <v>#INVALID COMPANY ID</v>
      </c>
      <c r="J455" s="9" t="str">
        <f>_xll.SNL.Clients.Office.Excel.Functions.SPG(G455, "SP_COUNTRY_NAME")</f>
        <v>#INVALID COMPANY ID</v>
      </c>
      <c r="O455" s="9" t="str">
        <f>_xll.SNL.Clients.Office.Excel.Functions.SPG(L455, "SP_COUNTRY_NAME")</f>
        <v>#INVALID COMPANY ID</v>
      </c>
      <c r="T455" s="9" t="str">
        <f>_xll.SNL.Clients.Office.Excel.Functions.SPG(Q455, "SP_COUNTRY_NAME")</f>
        <v>#INVALID COMPANY ID</v>
      </c>
      <c r="Y455" s="9" t="str">
        <f>_xll.SNL.Clients.Office.Excel.Functions.SPG(V455, "SP_COUNTRY_NAME")</f>
        <v>#INVALID COMPANY ID</v>
      </c>
    </row>
    <row r="456" spans="5:25" x14ac:dyDescent="0.35">
      <c r="E456" s="9" t="str">
        <f>_xll.SNL.Clients.Office.Excel.Functions.SPG(B456, "SP_COUNTRY_NAME")</f>
        <v>#INVALID COMPANY ID</v>
      </c>
      <c r="J456" s="9" t="str">
        <f>_xll.SNL.Clients.Office.Excel.Functions.SPG(G456, "SP_COUNTRY_NAME")</f>
        <v>#INVALID COMPANY ID</v>
      </c>
      <c r="O456" s="9" t="str">
        <f>_xll.SNL.Clients.Office.Excel.Functions.SPG(L456, "SP_COUNTRY_NAME")</f>
        <v>#INVALID COMPANY ID</v>
      </c>
      <c r="T456" s="9" t="str">
        <f>_xll.SNL.Clients.Office.Excel.Functions.SPG(Q456, "SP_COUNTRY_NAME")</f>
        <v>#INVALID COMPANY ID</v>
      </c>
      <c r="Y456" s="9" t="str">
        <f>_xll.SNL.Clients.Office.Excel.Functions.SPG(V456, "SP_COUNTRY_NAME")</f>
        <v>#INVALID COMPANY ID</v>
      </c>
    </row>
    <row r="457" spans="5:25" x14ac:dyDescent="0.35">
      <c r="E457" s="9" t="str">
        <f>_xll.SNL.Clients.Office.Excel.Functions.SPG(B457, "SP_COUNTRY_NAME")</f>
        <v>#INVALID COMPANY ID</v>
      </c>
      <c r="J457" s="9" t="str">
        <f>_xll.SNL.Clients.Office.Excel.Functions.SPG(G457, "SP_COUNTRY_NAME")</f>
        <v>#INVALID COMPANY ID</v>
      </c>
      <c r="O457" s="9" t="str">
        <f>_xll.SNL.Clients.Office.Excel.Functions.SPG(L457, "SP_COUNTRY_NAME")</f>
        <v>#INVALID COMPANY ID</v>
      </c>
      <c r="T457" s="9" t="str">
        <f>_xll.SNL.Clients.Office.Excel.Functions.SPG(Q457, "SP_COUNTRY_NAME")</f>
        <v>#INVALID COMPANY ID</v>
      </c>
      <c r="Y457" s="9" t="str">
        <f>_xll.SNL.Clients.Office.Excel.Functions.SPG(V457, "SP_COUNTRY_NAME")</f>
        <v>#INVALID COMPANY ID</v>
      </c>
    </row>
    <row r="458" spans="5:25" x14ac:dyDescent="0.35">
      <c r="E458" s="9" t="str">
        <f>_xll.SNL.Clients.Office.Excel.Functions.SPG(B458, "SP_COUNTRY_NAME")</f>
        <v>#INVALID COMPANY ID</v>
      </c>
      <c r="J458" s="9" t="str">
        <f>_xll.SNL.Clients.Office.Excel.Functions.SPG(G458, "SP_COUNTRY_NAME")</f>
        <v>#INVALID COMPANY ID</v>
      </c>
      <c r="O458" s="9" t="str">
        <f>_xll.SNL.Clients.Office.Excel.Functions.SPG(L458, "SP_COUNTRY_NAME")</f>
        <v>#INVALID COMPANY ID</v>
      </c>
      <c r="T458" s="9" t="str">
        <f>_xll.SNL.Clients.Office.Excel.Functions.SPG(Q458, "SP_COUNTRY_NAME")</f>
        <v>#INVALID COMPANY ID</v>
      </c>
      <c r="Y458" s="9" t="str">
        <f>_xll.SNL.Clients.Office.Excel.Functions.SPG(V458, "SP_COUNTRY_NAME")</f>
        <v>#INVALID COMPANY ID</v>
      </c>
    </row>
    <row r="459" spans="5:25" x14ac:dyDescent="0.35">
      <c r="E459" s="9" t="str">
        <f>_xll.SNL.Clients.Office.Excel.Functions.SPG(B459, "SP_COUNTRY_NAME")</f>
        <v>#INVALID COMPANY ID</v>
      </c>
      <c r="J459" s="9" t="str">
        <f>_xll.SNL.Clients.Office.Excel.Functions.SPG(G459, "SP_COUNTRY_NAME")</f>
        <v>#INVALID COMPANY ID</v>
      </c>
      <c r="O459" s="9" t="str">
        <f>_xll.SNL.Clients.Office.Excel.Functions.SPG(L459, "SP_COUNTRY_NAME")</f>
        <v>#INVALID COMPANY ID</v>
      </c>
      <c r="T459" s="9" t="str">
        <f>_xll.SNL.Clients.Office.Excel.Functions.SPG(Q459, "SP_COUNTRY_NAME")</f>
        <v>#INVALID COMPANY ID</v>
      </c>
      <c r="Y459" s="9" t="str">
        <f>_xll.SNL.Clients.Office.Excel.Functions.SPG(V459, "SP_COUNTRY_NAME")</f>
        <v>#INVALID COMPANY ID</v>
      </c>
    </row>
    <row r="460" spans="5:25" x14ac:dyDescent="0.35">
      <c r="E460" s="9" t="str">
        <f>_xll.SNL.Clients.Office.Excel.Functions.SPG(B460, "SP_COUNTRY_NAME")</f>
        <v>#INVALID COMPANY ID</v>
      </c>
      <c r="J460" s="9" t="str">
        <f>_xll.SNL.Clients.Office.Excel.Functions.SPG(G460, "SP_COUNTRY_NAME")</f>
        <v>#INVALID COMPANY ID</v>
      </c>
      <c r="O460" s="9" t="str">
        <f>_xll.SNL.Clients.Office.Excel.Functions.SPG(L460, "SP_COUNTRY_NAME")</f>
        <v>#INVALID COMPANY ID</v>
      </c>
      <c r="T460" s="9" t="str">
        <f>_xll.SNL.Clients.Office.Excel.Functions.SPG(Q460, "SP_COUNTRY_NAME")</f>
        <v>#INVALID COMPANY ID</v>
      </c>
      <c r="Y460" s="9" t="str">
        <f>_xll.SNL.Clients.Office.Excel.Functions.SPG(V460, "SP_COUNTRY_NAME")</f>
        <v>#INVALID COMPANY ID</v>
      </c>
    </row>
    <row r="461" spans="5:25" x14ac:dyDescent="0.35">
      <c r="E461" s="9" t="str">
        <f>_xll.SNL.Clients.Office.Excel.Functions.SPG(B461, "SP_COUNTRY_NAME")</f>
        <v>#INVALID COMPANY ID</v>
      </c>
      <c r="J461" s="9" t="str">
        <f>_xll.SNL.Clients.Office.Excel.Functions.SPG(G461, "SP_COUNTRY_NAME")</f>
        <v>#INVALID COMPANY ID</v>
      </c>
      <c r="O461" s="9" t="str">
        <f>_xll.SNL.Clients.Office.Excel.Functions.SPG(L461, "SP_COUNTRY_NAME")</f>
        <v>#INVALID COMPANY ID</v>
      </c>
      <c r="T461" s="9" t="str">
        <f>_xll.SNL.Clients.Office.Excel.Functions.SPG(Q461, "SP_COUNTRY_NAME")</f>
        <v>#INVALID COMPANY ID</v>
      </c>
      <c r="Y461" s="9" t="str">
        <f>_xll.SNL.Clients.Office.Excel.Functions.SPG(V461, "SP_COUNTRY_NAME")</f>
        <v>#INVALID COMPANY ID</v>
      </c>
    </row>
    <row r="462" spans="5:25" x14ac:dyDescent="0.35">
      <c r="E462" s="9" t="str">
        <f>_xll.SNL.Clients.Office.Excel.Functions.SPG(B462, "SP_COUNTRY_NAME")</f>
        <v>#INVALID COMPANY ID</v>
      </c>
      <c r="J462" s="9" t="str">
        <f>_xll.SNL.Clients.Office.Excel.Functions.SPG(G462, "SP_COUNTRY_NAME")</f>
        <v>#INVALID COMPANY ID</v>
      </c>
      <c r="O462" s="9" t="str">
        <f>_xll.SNL.Clients.Office.Excel.Functions.SPG(L462, "SP_COUNTRY_NAME")</f>
        <v>#INVALID COMPANY ID</v>
      </c>
      <c r="T462" s="9" t="str">
        <f>_xll.SNL.Clients.Office.Excel.Functions.SPG(Q462, "SP_COUNTRY_NAME")</f>
        <v>#INVALID COMPANY ID</v>
      </c>
      <c r="Y462" s="9" t="str">
        <f>_xll.SNL.Clients.Office.Excel.Functions.SPG(V462, "SP_COUNTRY_NAME")</f>
        <v>#INVALID COMPANY ID</v>
      </c>
    </row>
    <row r="463" spans="5:25" x14ac:dyDescent="0.35">
      <c r="E463" s="9" t="str">
        <f>_xll.SNL.Clients.Office.Excel.Functions.SPG(B463, "SP_COUNTRY_NAME")</f>
        <v>#INVALID COMPANY ID</v>
      </c>
      <c r="J463" s="9" t="str">
        <f>_xll.SNL.Clients.Office.Excel.Functions.SPG(G463, "SP_COUNTRY_NAME")</f>
        <v>#INVALID COMPANY ID</v>
      </c>
      <c r="O463" s="9" t="str">
        <f>_xll.SNL.Clients.Office.Excel.Functions.SPG(L463, "SP_COUNTRY_NAME")</f>
        <v>#INVALID COMPANY ID</v>
      </c>
      <c r="T463" s="9" t="str">
        <f>_xll.SNL.Clients.Office.Excel.Functions.SPG(Q463, "SP_COUNTRY_NAME")</f>
        <v>#INVALID COMPANY ID</v>
      </c>
      <c r="Y463" s="9" t="str">
        <f>_xll.SNL.Clients.Office.Excel.Functions.SPG(V463, "SP_COUNTRY_NAME")</f>
        <v>#INVALID COMPANY ID</v>
      </c>
    </row>
    <row r="464" spans="5:25" x14ac:dyDescent="0.35">
      <c r="E464" s="9" t="str">
        <f>_xll.SNL.Clients.Office.Excel.Functions.SPG(B464, "SP_COUNTRY_NAME")</f>
        <v>#INVALID COMPANY ID</v>
      </c>
      <c r="J464" s="9" t="str">
        <f>_xll.SNL.Clients.Office.Excel.Functions.SPG(G464, "SP_COUNTRY_NAME")</f>
        <v>#INVALID COMPANY ID</v>
      </c>
      <c r="O464" s="9" t="str">
        <f>_xll.SNL.Clients.Office.Excel.Functions.SPG(L464, "SP_COUNTRY_NAME")</f>
        <v>#INVALID COMPANY ID</v>
      </c>
      <c r="T464" s="9" t="str">
        <f>_xll.SNL.Clients.Office.Excel.Functions.SPG(Q464, "SP_COUNTRY_NAME")</f>
        <v>#INVALID COMPANY ID</v>
      </c>
      <c r="Y464" s="9" t="str">
        <f>_xll.SNL.Clients.Office.Excel.Functions.SPG(V464, "SP_COUNTRY_NAME")</f>
        <v>#INVALID COMPANY ID</v>
      </c>
    </row>
    <row r="465" spans="5:25" x14ac:dyDescent="0.35">
      <c r="E465" s="9" t="str">
        <f>_xll.SNL.Clients.Office.Excel.Functions.SPG(B465, "SP_COUNTRY_NAME")</f>
        <v>#INVALID COMPANY ID</v>
      </c>
      <c r="J465" s="9" t="str">
        <f>_xll.SNL.Clients.Office.Excel.Functions.SPG(G465, "SP_COUNTRY_NAME")</f>
        <v>#INVALID COMPANY ID</v>
      </c>
      <c r="O465" s="9" t="str">
        <f>_xll.SNL.Clients.Office.Excel.Functions.SPG(L465, "SP_COUNTRY_NAME")</f>
        <v>#INVALID COMPANY ID</v>
      </c>
      <c r="T465" s="9" t="str">
        <f>_xll.SNL.Clients.Office.Excel.Functions.SPG(Q465, "SP_COUNTRY_NAME")</f>
        <v>#INVALID COMPANY ID</v>
      </c>
      <c r="Y465" s="9" t="str">
        <f>_xll.SNL.Clients.Office.Excel.Functions.SPG(V465, "SP_COUNTRY_NAME")</f>
        <v>#INVALID COMPANY ID</v>
      </c>
    </row>
    <row r="466" spans="5:25" x14ac:dyDescent="0.35">
      <c r="E466" s="9" t="str">
        <f>_xll.SNL.Clients.Office.Excel.Functions.SPG(B466, "SP_COUNTRY_NAME")</f>
        <v>#INVALID COMPANY ID</v>
      </c>
      <c r="J466" s="9" t="str">
        <f>_xll.SNL.Clients.Office.Excel.Functions.SPG(G466, "SP_COUNTRY_NAME")</f>
        <v>#INVALID COMPANY ID</v>
      </c>
      <c r="O466" s="9" t="str">
        <f>_xll.SNL.Clients.Office.Excel.Functions.SPG(L466, "SP_COUNTRY_NAME")</f>
        <v>#INVALID COMPANY ID</v>
      </c>
      <c r="T466" s="9" t="str">
        <f>_xll.SNL.Clients.Office.Excel.Functions.SPG(Q466, "SP_COUNTRY_NAME")</f>
        <v>#INVALID COMPANY ID</v>
      </c>
      <c r="Y466" s="9" t="str">
        <f>_xll.SNL.Clients.Office.Excel.Functions.SPG(V466, "SP_COUNTRY_NAME")</f>
        <v>#INVALID COMPANY ID</v>
      </c>
    </row>
    <row r="467" spans="5:25" x14ac:dyDescent="0.35">
      <c r="E467" s="9" t="str">
        <f>_xll.SNL.Clients.Office.Excel.Functions.SPG(B467, "SP_COUNTRY_NAME")</f>
        <v>#INVALID COMPANY ID</v>
      </c>
      <c r="J467" s="9" t="str">
        <f>_xll.SNL.Clients.Office.Excel.Functions.SPG(G467, "SP_COUNTRY_NAME")</f>
        <v>#INVALID COMPANY ID</v>
      </c>
      <c r="O467" s="9" t="str">
        <f>_xll.SNL.Clients.Office.Excel.Functions.SPG(L467, "SP_COUNTRY_NAME")</f>
        <v>#INVALID COMPANY ID</v>
      </c>
      <c r="T467" s="9" t="str">
        <f>_xll.SNL.Clients.Office.Excel.Functions.SPG(Q467, "SP_COUNTRY_NAME")</f>
        <v>#INVALID COMPANY ID</v>
      </c>
      <c r="Y467" s="9" t="str">
        <f>_xll.SNL.Clients.Office.Excel.Functions.SPG(V467, "SP_COUNTRY_NAME")</f>
        <v>#INVALID COMPANY ID</v>
      </c>
    </row>
    <row r="468" spans="5:25" x14ac:dyDescent="0.35">
      <c r="E468" s="9" t="str">
        <f>_xll.SNL.Clients.Office.Excel.Functions.SPG(B468, "SP_COUNTRY_NAME")</f>
        <v>#INVALID COMPANY ID</v>
      </c>
      <c r="J468" s="9" t="str">
        <f>_xll.SNL.Clients.Office.Excel.Functions.SPG(G468, "SP_COUNTRY_NAME")</f>
        <v>#INVALID COMPANY ID</v>
      </c>
      <c r="O468" s="9" t="str">
        <f>_xll.SNL.Clients.Office.Excel.Functions.SPG(L468, "SP_COUNTRY_NAME")</f>
        <v>#INVALID COMPANY ID</v>
      </c>
      <c r="T468" s="9" t="str">
        <f>_xll.SNL.Clients.Office.Excel.Functions.SPG(Q468, "SP_COUNTRY_NAME")</f>
        <v>#INVALID COMPANY ID</v>
      </c>
      <c r="Y468" s="9" t="str">
        <f>_xll.SNL.Clients.Office.Excel.Functions.SPG(V468, "SP_COUNTRY_NAME")</f>
        <v>#INVALID COMPANY ID</v>
      </c>
    </row>
    <row r="469" spans="5:25" x14ac:dyDescent="0.35">
      <c r="E469" s="9" t="str">
        <f>_xll.SNL.Clients.Office.Excel.Functions.SPG(B469, "SP_COUNTRY_NAME")</f>
        <v>#INVALID COMPANY ID</v>
      </c>
      <c r="J469" s="9" t="str">
        <f>_xll.SNL.Clients.Office.Excel.Functions.SPG(G469, "SP_COUNTRY_NAME")</f>
        <v>#INVALID COMPANY ID</v>
      </c>
      <c r="O469" s="9" t="str">
        <f>_xll.SNL.Clients.Office.Excel.Functions.SPG(L469, "SP_COUNTRY_NAME")</f>
        <v>#INVALID COMPANY ID</v>
      </c>
      <c r="T469" s="9" t="str">
        <f>_xll.SNL.Clients.Office.Excel.Functions.SPG(Q469, "SP_COUNTRY_NAME")</f>
        <v>#INVALID COMPANY ID</v>
      </c>
      <c r="Y469" s="9" t="str">
        <f>_xll.SNL.Clients.Office.Excel.Functions.SPG(V469, "SP_COUNTRY_NAME")</f>
        <v>#INVALID COMPANY ID</v>
      </c>
    </row>
    <row r="470" spans="5:25" x14ac:dyDescent="0.35">
      <c r="E470" s="9" t="str">
        <f>_xll.SNL.Clients.Office.Excel.Functions.SPG(B470, "SP_COUNTRY_NAME")</f>
        <v>#INVALID COMPANY ID</v>
      </c>
      <c r="J470" s="9" t="str">
        <f>_xll.SNL.Clients.Office.Excel.Functions.SPG(G470, "SP_COUNTRY_NAME")</f>
        <v>#INVALID COMPANY ID</v>
      </c>
      <c r="O470" s="9" t="str">
        <f>_xll.SNL.Clients.Office.Excel.Functions.SPG(L470, "SP_COUNTRY_NAME")</f>
        <v>#INVALID COMPANY ID</v>
      </c>
      <c r="T470" s="9" t="str">
        <f>_xll.SNL.Clients.Office.Excel.Functions.SPG(Q470, "SP_COUNTRY_NAME")</f>
        <v>#INVALID COMPANY ID</v>
      </c>
      <c r="Y470" s="9" t="str">
        <f>_xll.SNL.Clients.Office.Excel.Functions.SPG(V470, "SP_COUNTRY_NAME")</f>
        <v>#INVALID COMPANY ID</v>
      </c>
    </row>
    <row r="471" spans="5:25" x14ac:dyDescent="0.35">
      <c r="E471" s="9" t="str">
        <f>_xll.SNL.Clients.Office.Excel.Functions.SPG(B471, "SP_COUNTRY_NAME")</f>
        <v>#INVALID COMPANY ID</v>
      </c>
      <c r="J471" s="9" t="str">
        <f>_xll.SNL.Clients.Office.Excel.Functions.SPG(G471, "SP_COUNTRY_NAME")</f>
        <v>#INVALID COMPANY ID</v>
      </c>
      <c r="O471" s="9" t="str">
        <f>_xll.SNL.Clients.Office.Excel.Functions.SPG(L471, "SP_COUNTRY_NAME")</f>
        <v>#INVALID COMPANY ID</v>
      </c>
      <c r="T471" s="9" t="str">
        <f>_xll.SNL.Clients.Office.Excel.Functions.SPG(Q471, "SP_COUNTRY_NAME")</f>
        <v>#INVALID COMPANY ID</v>
      </c>
      <c r="Y471" s="9" t="str">
        <f>_xll.SNL.Clients.Office.Excel.Functions.SPG(V471, "SP_COUNTRY_NAME")</f>
        <v>#INVALID COMPANY ID</v>
      </c>
    </row>
    <row r="472" spans="5:25" x14ac:dyDescent="0.35">
      <c r="E472" s="9" t="str">
        <f>_xll.SNL.Clients.Office.Excel.Functions.SPG(B472, "SP_COUNTRY_NAME")</f>
        <v>#INVALID COMPANY ID</v>
      </c>
      <c r="J472" s="9" t="str">
        <f>_xll.SNL.Clients.Office.Excel.Functions.SPG(G472, "SP_COUNTRY_NAME")</f>
        <v>#INVALID COMPANY ID</v>
      </c>
      <c r="O472" s="9" t="str">
        <f>_xll.SNL.Clients.Office.Excel.Functions.SPG(L472, "SP_COUNTRY_NAME")</f>
        <v>#INVALID COMPANY ID</v>
      </c>
      <c r="T472" s="9" t="str">
        <f>_xll.SNL.Clients.Office.Excel.Functions.SPG(Q472, "SP_COUNTRY_NAME")</f>
        <v>#INVALID COMPANY ID</v>
      </c>
      <c r="Y472" s="9" t="str">
        <f>_xll.SNL.Clients.Office.Excel.Functions.SPG(V472, "SP_COUNTRY_NAME")</f>
        <v>#INVALID COMPANY ID</v>
      </c>
    </row>
    <row r="473" spans="5:25" x14ac:dyDescent="0.35">
      <c r="E473" s="9" t="str">
        <f>_xll.SNL.Clients.Office.Excel.Functions.SPG(B473, "SP_COUNTRY_NAME")</f>
        <v>#INVALID COMPANY ID</v>
      </c>
      <c r="J473" s="9" t="str">
        <f>_xll.SNL.Clients.Office.Excel.Functions.SPG(G473, "SP_COUNTRY_NAME")</f>
        <v>#INVALID COMPANY ID</v>
      </c>
      <c r="O473" s="9" t="str">
        <f>_xll.SNL.Clients.Office.Excel.Functions.SPG(L473, "SP_COUNTRY_NAME")</f>
        <v>#INVALID COMPANY ID</v>
      </c>
      <c r="T473" s="9" t="str">
        <f>_xll.SNL.Clients.Office.Excel.Functions.SPG(Q473, "SP_COUNTRY_NAME")</f>
        <v>#INVALID COMPANY ID</v>
      </c>
      <c r="Y473" s="9" t="str">
        <f>_xll.SNL.Clients.Office.Excel.Functions.SPG(V473, "SP_COUNTRY_NAME")</f>
        <v>#INVALID COMPANY ID</v>
      </c>
    </row>
    <row r="474" spans="5:25" x14ac:dyDescent="0.35">
      <c r="E474" s="9" t="str">
        <f>_xll.SNL.Clients.Office.Excel.Functions.SPG(B474, "SP_COUNTRY_NAME")</f>
        <v>#INVALID COMPANY ID</v>
      </c>
      <c r="J474" s="9" t="str">
        <f>_xll.SNL.Clients.Office.Excel.Functions.SPG(G474, "SP_COUNTRY_NAME")</f>
        <v>#INVALID COMPANY ID</v>
      </c>
      <c r="O474" s="9" t="str">
        <f>_xll.SNL.Clients.Office.Excel.Functions.SPG(L474, "SP_COUNTRY_NAME")</f>
        <v>#INVALID COMPANY ID</v>
      </c>
      <c r="T474" s="9" t="str">
        <f>_xll.SNL.Clients.Office.Excel.Functions.SPG(Q474, "SP_COUNTRY_NAME")</f>
        <v>#INVALID COMPANY ID</v>
      </c>
      <c r="Y474" s="9" t="str">
        <f>_xll.SNL.Clients.Office.Excel.Functions.SPG(V474, "SP_COUNTRY_NAME")</f>
        <v>#INVALID COMPANY ID</v>
      </c>
    </row>
    <row r="475" spans="5:25" x14ac:dyDescent="0.35">
      <c r="E475" s="9" t="str">
        <f>_xll.SNL.Clients.Office.Excel.Functions.SPG(B475, "SP_COUNTRY_NAME")</f>
        <v>#INVALID COMPANY ID</v>
      </c>
      <c r="J475" s="9" t="str">
        <f>_xll.SNL.Clients.Office.Excel.Functions.SPG(G475, "SP_COUNTRY_NAME")</f>
        <v>#INVALID COMPANY ID</v>
      </c>
      <c r="O475" s="9" t="str">
        <f>_xll.SNL.Clients.Office.Excel.Functions.SPG(L475, "SP_COUNTRY_NAME")</f>
        <v>#INVALID COMPANY ID</v>
      </c>
      <c r="T475" s="9" t="str">
        <f>_xll.SNL.Clients.Office.Excel.Functions.SPG(Q475, "SP_COUNTRY_NAME")</f>
        <v>#INVALID COMPANY ID</v>
      </c>
      <c r="Y475" s="9" t="str">
        <f>_xll.SNL.Clients.Office.Excel.Functions.SPG(V475, "SP_COUNTRY_NAME")</f>
        <v>#INVALID COMPANY ID</v>
      </c>
    </row>
    <row r="476" spans="5:25" x14ac:dyDescent="0.35">
      <c r="E476" s="9" t="str">
        <f>_xll.SNL.Clients.Office.Excel.Functions.SPG(B476, "SP_COUNTRY_NAME")</f>
        <v>#INVALID COMPANY ID</v>
      </c>
      <c r="J476" s="9" t="str">
        <f>_xll.SNL.Clients.Office.Excel.Functions.SPG(G476, "SP_COUNTRY_NAME")</f>
        <v>#INVALID COMPANY ID</v>
      </c>
      <c r="O476" s="9" t="str">
        <f>_xll.SNL.Clients.Office.Excel.Functions.SPG(L476, "SP_COUNTRY_NAME")</f>
        <v>#INVALID COMPANY ID</v>
      </c>
      <c r="T476" s="9" t="str">
        <f>_xll.SNL.Clients.Office.Excel.Functions.SPG(Q476, "SP_COUNTRY_NAME")</f>
        <v>#INVALID COMPANY ID</v>
      </c>
      <c r="Y476" s="9" t="str">
        <f>_xll.SNL.Clients.Office.Excel.Functions.SPG(V476, "SP_COUNTRY_NAME")</f>
        <v>#INVALID COMPANY ID</v>
      </c>
    </row>
    <row r="477" spans="5:25" x14ac:dyDescent="0.35">
      <c r="E477" s="9" t="str">
        <f>_xll.SNL.Clients.Office.Excel.Functions.SPG(B477, "SP_COUNTRY_NAME")</f>
        <v>#INVALID COMPANY ID</v>
      </c>
      <c r="J477" s="9" t="str">
        <f>_xll.SNL.Clients.Office.Excel.Functions.SPG(G477, "SP_COUNTRY_NAME")</f>
        <v>#INVALID COMPANY ID</v>
      </c>
      <c r="O477" s="9" t="str">
        <f>_xll.SNL.Clients.Office.Excel.Functions.SPG(L477, "SP_COUNTRY_NAME")</f>
        <v>#INVALID COMPANY ID</v>
      </c>
      <c r="T477" s="9" t="str">
        <f>_xll.SNL.Clients.Office.Excel.Functions.SPG(Q477, "SP_COUNTRY_NAME")</f>
        <v>#INVALID COMPANY ID</v>
      </c>
      <c r="Y477" s="9" t="str">
        <f>_xll.SNL.Clients.Office.Excel.Functions.SPG(V477, "SP_COUNTRY_NAME")</f>
        <v>#INVALID COMPANY ID</v>
      </c>
    </row>
    <row r="478" spans="5:25" x14ac:dyDescent="0.35">
      <c r="E478" s="9" t="str">
        <f>_xll.SNL.Clients.Office.Excel.Functions.SPG(B478, "SP_COUNTRY_NAME")</f>
        <v>#INVALID COMPANY ID</v>
      </c>
      <c r="J478" s="9" t="str">
        <f>_xll.SNL.Clients.Office.Excel.Functions.SPG(G478, "SP_COUNTRY_NAME")</f>
        <v>#INVALID COMPANY ID</v>
      </c>
      <c r="O478" s="9" t="str">
        <f>_xll.SNL.Clients.Office.Excel.Functions.SPG(L478, "SP_COUNTRY_NAME")</f>
        <v>#INVALID COMPANY ID</v>
      </c>
      <c r="T478" s="9" t="str">
        <f>_xll.SNL.Clients.Office.Excel.Functions.SPG(Q478, "SP_COUNTRY_NAME")</f>
        <v>#INVALID COMPANY ID</v>
      </c>
      <c r="Y478" s="9" t="str">
        <f>_xll.SNL.Clients.Office.Excel.Functions.SPG(V478, "SP_COUNTRY_NAME")</f>
        <v>#INVALID COMPANY ID</v>
      </c>
    </row>
    <row r="479" spans="5:25" x14ac:dyDescent="0.35">
      <c r="E479" s="9" t="str">
        <f>_xll.SNL.Clients.Office.Excel.Functions.SPG(B479, "SP_COUNTRY_NAME")</f>
        <v>#INVALID COMPANY ID</v>
      </c>
      <c r="J479" s="9" t="str">
        <f>_xll.SNL.Clients.Office.Excel.Functions.SPG(G479, "SP_COUNTRY_NAME")</f>
        <v>#INVALID COMPANY ID</v>
      </c>
      <c r="O479" s="9" t="str">
        <f>_xll.SNL.Clients.Office.Excel.Functions.SPG(L479, "SP_COUNTRY_NAME")</f>
        <v>#INVALID COMPANY ID</v>
      </c>
      <c r="T479" s="9" t="str">
        <f>_xll.SNL.Clients.Office.Excel.Functions.SPG(Q479, "SP_COUNTRY_NAME")</f>
        <v>#INVALID COMPANY ID</v>
      </c>
      <c r="Y479" s="9" t="str">
        <f>_xll.SNL.Clients.Office.Excel.Functions.SPG(V479, "SP_COUNTRY_NAME")</f>
        <v>#INVALID COMPANY ID</v>
      </c>
    </row>
    <row r="480" spans="5:25" x14ac:dyDescent="0.35">
      <c r="E480" s="9" t="str">
        <f>_xll.SNL.Clients.Office.Excel.Functions.SPG(B480, "SP_COUNTRY_NAME")</f>
        <v>#INVALID COMPANY ID</v>
      </c>
      <c r="J480" s="9" t="str">
        <f>_xll.SNL.Clients.Office.Excel.Functions.SPG(G480, "SP_COUNTRY_NAME")</f>
        <v>#INVALID COMPANY ID</v>
      </c>
      <c r="O480" s="9" t="str">
        <f>_xll.SNL.Clients.Office.Excel.Functions.SPG(L480, "SP_COUNTRY_NAME")</f>
        <v>#INVALID COMPANY ID</v>
      </c>
      <c r="T480" s="9" t="str">
        <f>_xll.SNL.Clients.Office.Excel.Functions.SPG(Q480, "SP_COUNTRY_NAME")</f>
        <v>#INVALID COMPANY ID</v>
      </c>
      <c r="Y480" s="9" t="str">
        <f>_xll.SNL.Clients.Office.Excel.Functions.SPG(V480, "SP_COUNTRY_NAME")</f>
        <v>#INVALID COMPANY ID</v>
      </c>
    </row>
    <row r="481" spans="5:25" x14ac:dyDescent="0.35">
      <c r="E481" s="9" t="str">
        <f>_xll.SNL.Clients.Office.Excel.Functions.SPG(B481, "SP_COUNTRY_NAME")</f>
        <v>#INVALID COMPANY ID</v>
      </c>
      <c r="J481" s="9" t="str">
        <f>_xll.SNL.Clients.Office.Excel.Functions.SPG(G481, "SP_COUNTRY_NAME")</f>
        <v>#INVALID COMPANY ID</v>
      </c>
      <c r="O481" s="9" t="str">
        <f>_xll.SNL.Clients.Office.Excel.Functions.SPG(L481, "SP_COUNTRY_NAME")</f>
        <v>#INVALID COMPANY ID</v>
      </c>
      <c r="T481" s="9" t="str">
        <f>_xll.SNL.Clients.Office.Excel.Functions.SPG(Q481, "SP_COUNTRY_NAME")</f>
        <v>#INVALID COMPANY ID</v>
      </c>
      <c r="Y481" s="9" t="str">
        <f>_xll.SNL.Clients.Office.Excel.Functions.SPG(V481, "SP_COUNTRY_NAME")</f>
        <v>#INVALID COMPANY ID</v>
      </c>
    </row>
    <row r="482" spans="5:25" x14ac:dyDescent="0.35">
      <c r="E482" s="9" t="str">
        <f>_xll.SNL.Clients.Office.Excel.Functions.SPG(B482, "SP_COUNTRY_NAME")</f>
        <v>#INVALID COMPANY ID</v>
      </c>
      <c r="J482" s="9" t="str">
        <f>_xll.SNL.Clients.Office.Excel.Functions.SPG(G482, "SP_COUNTRY_NAME")</f>
        <v>#INVALID COMPANY ID</v>
      </c>
      <c r="O482" s="9" t="str">
        <f>_xll.SNL.Clients.Office.Excel.Functions.SPG(L482, "SP_COUNTRY_NAME")</f>
        <v>#INVALID COMPANY ID</v>
      </c>
      <c r="T482" s="9" t="str">
        <f>_xll.SNL.Clients.Office.Excel.Functions.SPG(Q482, "SP_COUNTRY_NAME")</f>
        <v>#INVALID COMPANY ID</v>
      </c>
      <c r="Y482" s="9" t="str">
        <f>_xll.SNL.Clients.Office.Excel.Functions.SPG(V482, "SP_COUNTRY_NAME")</f>
        <v>#INVALID COMPANY ID</v>
      </c>
    </row>
    <row r="483" spans="5:25" x14ac:dyDescent="0.35">
      <c r="E483" s="9" t="str">
        <f>_xll.SNL.Clients.Office.Excel.Functions.SPG(B483, "SP_COUNTRY_NAME")</f>
        <v>#INVALID COMPANY ID</v>
      </c>
      <c r="J483" s="9" t="str">
        <f>_xll.SNL.Clients.Office.Excel.Functions.SPG(G483, "SP_COUNTRY_NAME")</f>
        <v>#INVALID COMPANY ID</v>
      </c>
      <c r="O483" s="9" t="str">
        <f>_xll.SNL.Clients.Office.Excel.Functions.SPG(L483, "SP_COUNTRY_NAME")</f>
        <v>#INVALID COMPANY ID</v>
      </c>
      <c r="T483" s="9" t="str">
        <f>_xll.SNL.Clients.Office.Excel.Functions.SPG(Q483, "SP_COUNTRY_NAME")</f>
        <v>#INVALID COMPANY ID</v>
      </c>
      <c r="Y483" s="9" t="str">
        <f>_xll.SNL.Clients.Office.Excel.Functions.SPG(V483, "SP_COUNTRY_NAME")</f>
        <v>#INVALID COMPANY ID</v>
      </c>
    </row>
    <row r="484" spans="5:25" x14ac:dyDescent="0.35">
      <c r="E484" s="9" t="str">
        <f>_xll.SNL.Clients.Office.Excel.Functions.SPG(B484, "SP_COUNTRY_NAME")</f>
        <v>#INVALID COMPANY ID</v>
      </c>
      <c r="J484" s="9" t="str">
        <f>_xll.SNL.Clients.Office.Excel.Functions.SPG(G484, "SP_COUNTRY_NAME")</f>
        <v>#INVALID COMPANY ID</v>
      </c>
      <c r="O484" s="9" t="str">
        <f>_xll.SNL.Clients.Office.Excel.Functions.SPG(L484, "SP_COUNTRY_NAME")</f>
        <v>#INVALID COMPANY ID</v>
      </c>
      <c r="T484" s="9" t="str">
        <f>_xll.SNL.Clients.Office.Excel.Functions.SPG(Q484, "SP_COUNTRY_NAME")</f>
        <v>#INVALID COMPANY ID</v>
      </c>
      <c r="Y484" s="9" t="str">
        <f>_xll.SNL.Clients.Office.Excel.Functions.SPG(V484, "SP_COUNTRY_NAME")</f>
        <v>#INVALID COMPANY ID</v>
      </c>
    </row>
    <row r="485" spans="5:25" x14ac:dyDescent="0.35">
      <c r="E485" s="9" t="str">
        <f>_xll.SNL.Clients.Office.Excel.Functions.SPG(B485, "SP_COUNTRY_NAME")</f>
        <v>#INVALID COMPANY ID</v>
      </c>
      <c r="J485" s="9" t="str">
        <f>_xll.SNL.Clients.Office.Excel.Functions.SPG(G485, "SP_COUNTRY_NAME")</f>
        <v>#INVALID COMPANY ID</v>
      </c>
      <c r="O485" s="9" t="str">
        <f>_xll.SNL.Clients.Office.Excel.Functions.SPG(L485, "SP_COUNTRY_NAME")</f>
        <v>#INVALID COMPANY ID</v>
      </c>
      <c r="T485" s="9" t="str">
        <f>_xll.SNL.Clients.Office.Excel.Functions.SPG(Q485, "SP_COUNTRY_NAME")</f>
        <v>#INVALID COMPANY ID</v>
      </c>
      <c r="Y485" s="9" t="str">
        <f>_xll.SNL.Clients.Office.Excel.Functions.SPG(V485, "SP_COUNTRY_NAME")</f>
        <v>#INVALID COMPANY ID</v>
      </c>
    </row>
    <row r="486" spans="5:25" x14ac:dyDescent="0.35">
      <c r="E486" s="9" t="str">
        <f>_xll.SNL.Clients.Office.Excel.Functions.SPG(B486, "SP_COUNTRY_NAME")</f>
        <v>#INVALID COMPANY ID</v>
      </c>
      <c r="J486" s="9" t="str">
        <f>_xll.SNL.Clients.Office.Excel.Functions.SPG(G486, "SP_COUNTRY_NAME")</f>
        <v>#INVALID COMPANY ID</v>
      </c>
      <c r="O486" s="9" t="str">
        <f>_xll.SNL.Clients.Office.Excel.Functions.SPG(L486, "SP_COUNTRY_NAME")</f>
        <v>#INVALID COMPANY ID</v>
      </c>
      <c r="T486" s="9" t="str">
        <f>_xll.SNL.Clients.Office.Excel.Functions.SPG(Q486, "SP_COUNTRY_NAME")</f>
        <v>#INVALID COMPANY ID</v>
      </c>
      <c r="Y486" s="9" t="str">
        <f>_xll.SNL.Clients.Office.Excel.Functions.SPG(V486, "SP_COUNTRY_NAME")</f>
        <v>#INVALID COMPANY ID</v>
      </c>
    </row>
    <row r="487" spans="5:25" x14ac:dyDescent="0.35">
      <c r="E487" s="9" t="str">
        <f>_xll.SNL.Clients.Office.Excel.Functions.SPG(B487, "SP_COUNTRY_NAME")</f>
        <v>#INVALID COMPANY ID</v>
      </c>
      <c r="J487" s="9" t="str">
        <f>_xll.SNL.Clients.Office.Excel.Functions.SPG(G487, "SP_COUNTRY_NAME")</f>
        <v>#INVALID COMPANY ID</v>
      </c>
      <c r="O487" s="9" t="str">
        <f>_xll.SNL.Clients.Office.Excel.Functions.SPG(L487, "SP_COUNTRY_NAME")</f>
        <v>#INVALID COMPANY ID</v>
      </c>
      <c r="T487" s="9" t="str">
        <f>_xll.SNL.Clients.Office.Excel.Functions.SPG(Q487, "SP_COUNTRY_NAME")</f>
        <v>#INVALID COMPANY ID</v>
      </c>
      <c r="Y487" s="9" t="str">
        <f>_xll.SNL.Clients.Office.Excel.Functions.SPG(V487, "SP_COUNTRY_NAME")</f>
        <v>#INVALID COMPANY ID</v>
      </c>
    </row>
    <row r="488" spans="5:25" x14ac:dyDescent="0.35">
      <c r="E488" s="9" t="str">
        <f>_xll.SNL.Clients.Office.Excel.Functions.SPG(B488, "SP_COUNTRY_NAME")</f>
        <v>#INVALID COMPANY ID</v>
      </c>
      <c r="J488" s="9" t="str">
        <f>_xll.SNL.Clients.Office.Excel.Functions.SPG(G488, "SP_COUNTRY_NAME")</f>
        <v>#INVALID COMPANY ID</v>
      </c>
      <c r="O488" s="9" t="str">
        <f>_xll.SNL.Clients.Office.Excel.Functions.SPG(L488, "SP_COUNTRY_NAME")</f>
        <v>#INVALID COMPANY ID</v>
      </c>
      <c r="T488" s="9" t="str">
        <f>_xll.SNL.Clients.Office.Excel.Functions.SPG(Q488, "SP_COUNTRY_NAME")</f>
        <v>#INVALID COMPANY ID</v>
      </c>
      <c r="Y488" s="9" t="str">
        <f>_xll.SNL.Clients.Office.Excel.Functions.SPG(V488, "SP_COUNTRY_NAME")</f>
        <v>#INVALID COMPANY ID</v>
      </c>
    </row>
    <row r="489" spans="5:25" x14ac:dyDescent="0.35">
      <c r="E489" s="9" t="str">
        <f>_xll.SNL.Clients.Office.Excel.Functions.SPG(B489, "SP_COUNTRY_NAME")</f>
        <v>#INVALID COMPANY ID</v>
      </c>
      <c r="J489" s="9" t="str">
        <f>_xll.SNL.Clients.Office.Excel.Functions.SPG(G489, "SP_COUNTRY_NAME")</f>
        <v>#INVALID COMPANY ID</v>
      </c>
      <c r="O489" s="9" t="str">
        <f>_xll.SNL.Clients.Office.Excel.Functions.SPG(L489, "SP_COUNTRY_NAME")</f>
        <v>#INVALID COMPANY ID</v>
      </c>
      <c r="T489" s="9" t="str">
        <f>_xll.SNL.Clients.Office.Excel.Functions.SPG(Q489, "SP_COUNTRY_NAME")</f>
        <v>#INVALID COMPANY ID</v>
      </c>
      <c r="Y489" s="9" t="str">
        <f>_xll.SNL.Clients.Office.Excel.Functions.SPG(V489, "SP_COUNTRY_NAME")</f>
        <v>#INVALID COMPANY ID</v>
      </c>
    </row>
    <row r="490" spans="5:25" x14ac:dyDescent="0.35">
      <c r="E490" s="9" t="str">
        <f>_xll.SNL.Clients.Office.Excel.Functions.SPG(B490, "SP_COUNTRY_NAME")</f>
        <v>#INVALID COMPANY ID</v>
      </c>
      <c r="J490" s="9" t="str">
        <f>_xll.SNL.Clients.Office.Excel.Functions.SPG(G490, "SP_COUNTRY_NAME")</f>
        <v>#INVALID COMPANY ID</v>
      </c>
      <c r="O490" s="9" t="str">
        <f>_xll.SNL.Clients.Office.Excel.Functions.SPG(L490, "SP_COUNTRY_NAME")</f>
        <v>#INVALID COMPANY ID</v>
      </c>
      <c r="T490" s="9" t="str">
        <f>_xll.SNL.Clients.Office.Excel.Functions.SPG(Q490, "SP_COUNTRY_NAME")</f>
        <v>#INVALID COMPANY ID</v>
      </c>
      <c r="Y490" s="9" t="str">
        <f>_xll.SNL.Clients.Office.Excel.Functions.SPG(V490, "SP_COUNTRY_NAME")</f>
        <v>#INVALID COMPANY ID</v>
      </c>
    </row>
    <row r="491" spans="5:25" x14ac:dyDescent="0.35">
      <c r="E491" s="9" t="str">
        <f>_xll.SNL.Clients.Office.Excel.Functions.SPG(B491, "SP_COUNTRY_NAME")</f>
        <v>#INVALID COMPANY ID</v>
      </c>
      <c r="J491" s="9" t="str">
        <f>_xll.SNL.Clients.Office.Excel.Functions.SPG(G491, "SP_COUNTRY_NAME")</f>
        <v>#INVALID COMPANY ID</v>
      </c>
      <c r="O491" s="9" t="str">
        <f>_xll.SNL.Clients.Office.Excel.Functions.SPG(L491, "SP_COUNTRY_NAME")</f>
        <v>#INVALID COMPANY ID</v>
      </c>
      <c r="T491" s="9" t="str">
        <f>_xll.SNL.Clients.Office.Excel.Functions.SPG(Q491, "SP_COUNTRY_NAME")</f>
        <v>#INVALID COMPANY ID</v>
      </c>
      <c r="Y491" s="9" t="str">
        <f>_xll.SNL.Clients.Office.Excel.Functions.SPG(V491, "SP_COUNTRY_NAME")</f>
        <v>#INVALID COMPANY ID</v>
      </c>
    </row>
    <row r="492" spans="5:25" x14ac:dyDescent="0.35">
      <c r="E492" s="9" t="str">
        <f>_xll.SNL.Clients.Office.Excel.Functions.SPG(B492, "SP_COUNTRY_NAME")</f>
        <v>#INVALID COMPANY ID</v>
      </c>
      <c r="J492" s="9" t="str">
        <f>_xll.SNL.Clients.Office.Excel.Functions.SPG(G492, "SP_COUNTRY_NAME")</f>
        <v>#INVALID COMPANY ID</v>
      </c>
      <c r="O492" s="9" t="str">
        <f>_xll.SNL.Clients.Office.Excel.Functions.SPG(L492, "SP_COUNTRY_NAME")</f>
        <v>#INVALID COMPANY ID</v>
      </c>
      <c r="T492" s="9" t="str">
        <f>_xll.SNL.Clients.Office.Excel.Functions.SPG(Q492, "SP_COUNTRY_NAME")</f>
        <v>#INVALID COMPANY ID</v>
      </c>
      <c r="Y492" s="9" t="str">
        <f>_xll.SNL.Clients.Office.Excel.Functions.SPG(V492, "SP_COUNTRY_NAME")</f>
        <v>#INVALID COMPANY ID</v>
      </c>
    </row>
    <row r="493" spans="5:25" x14ac:dyDescent="0.35">
      <c r="E493" s="9" t="str">
        <f>_xll.SNL.Clients.Office.Excel.Functions.SPG(B493, "SP_COUNTRY_NAME")</f>
        <v>#INVALID COMPANY ID</v>
      </c>
      <c r="J493" s="9" t="str">
        <f>_xll.SNL.Clients.Office.Excel.Functions.SPG(G493, "SP_COUNTRY_NAME")</f>
        <v>#INVALID COMPANY ID</v>
      </c>
      <c r="O493" s="9" t="str">
        <f>_xll.SNL.Clients.Office.Excel.Functions.SPG(L493, "SP_COUNTRY_NAME")</f>
        <v>#INVALID COMPANY ID</v>
      </c>
      <c r="T493" s="9" t="str">
        <f>_xll.SNL.Clients.Office.Excel.Functions.SPG(Q493, "SP_COUNTRY_NAME")</f>
        <v>#INVALID COMPANY ID</v>
      </c>
      <c r="Y493" s="9" t="str">
        <f>_xll.SNL.Clients.Office.Excel.Functions.SPG(V493, "SP_COUNTRY_NAME")</f>
        <v>#INVALID COMPANY ID</v>
      </c>
    </row>
    <row r="494" spans="5:25" x14ac:dyDescent="0.35">
      <c r="E494" s="9" t="str">
        <f>_xll.SNL.Clients.Office.Excel.Functions.SPG(B494, "SP_COUNTRY_NAME")</f>
        <v>#INVALID COMPANY ID</v>
      </c>
      <c r="J494" s="9" t="str">
        <f>_xll.SNL.Clients.Office.Excel.Functions.SPG(G494, "SP_COUNTRY_NAME")</f>
        <v>#INVALID COMPANY ID</v>
      </c>
      <c r="O494" s="9" t="str">
        <f>_xll.SNL.Clients.Office.Excel.Functions.SPG(L494, "SP_COUNTRY_NAME")</f>
        <v>#INVALID COMPANY ID</v>
      </c>
      <c r="T494" s="9" t="str">
        <f>_xll.SNL.Clients.Office.Excel.Functions.SPG(Q494, "SP_COUNTRY_NAME")</f>
        <v>#INVALID COMPANY ID</v>
      </c>
      <c r="Y494" s="9" t="str">
        <f>_xll.SNL.Clients.Office.Excel.Functions.SPG(V494, "SP_COUNTRY_NAME")</f>
        <v>#INVALID COMPANY ID</v>
      </c>
    </row>
    <row r="495" spans="5:25" x14ac:dyDescent="0.35">
      <c r="E495" s="9" t="str">
        <f>_xll.SNL.Clients.Office.Excel.Functions.SPG(B495, "SP_COUNTRY_NAME")</f>
        <v>#INVALID COMPANY ID</v>
      </c>
      <c r="J495" s="9" t="str">
        <f>_xll.SNL.Clients.Office.Excel.Functions.SPG(G495, "SP_COUNTRY_NAME")</f>
        <v>#INVALID COMPANY ID</v>
      </c>
      <c r="O495" s="9" t="str">
        <f>_xll.SNL.Clients.Office.Excel.Functions.SPG(L495, "SP_COUNTRY_NAME")</f>
        <v>#INVALID COMPANY ID</v>
      </c>
      <c r="T495" s="9" t="str">
        <f>_xll.SNL.Clients.Office.Excel.Functions.SPG(Q495, "SP_COUNTRY_NAME")</f>
        <v>#INVALID COMPANY ID</v>
      </c>
      <c r="Y495" s="9" t="str">
        <f>_xll.SNL.Clients.Office.Excel.Functions.SPG(V495, "SP_COUNTRY_NAME")</f>
        <v>#INVALID COMPANY ID</v>
      </c>
    </row>
    <row r="496" spans="5:25" x14ac:dyDescent="0.35">
      <c r="E496" s="9" t="str">
        <f>_xll.SNL.Clients.Office.Excel.Functions.SPG(B496, "SP_COUNTRY_NAME")</f>
        <v>#INVALID COMPANY ID</v>
      </c>
      <c r="J496" s="9" t="str">
        <f>_xll.SNL.Clients.Office.Excel.Functions.SPG(G496, "SP_COUNTRY_NAME")</f>
        <v>#INVALID COMPANY ID</v>
      </c>
      <c r="O496" s="9" t="str">
        <f>_xll.SNL.Clients.Office.Excel.Functions.SPG(L496, "SP_COUNTRY_NAME")</f>
        <v>#INVALID COMPANY ID</v>
      </c>
      <c r="T496" s="9" t="str">
        <f>_xll.SNL.Clients.Office.Excel.Functions.SPG(Q496, "SP_COUNTRY_NAME")</f>
        <v>#INVALID COMPANY ID</v>
      </c>
      <c r="Y496" s="9" t="str">
        <f>_xll.SNL.Clients.Office.Excel.Functions.SPG(V496, "SP_COUNTRY_NAME")</f>
        <v>#INVALID COMPANY ID</v>
      </c>
    </row>
    <row r="497" spans="5:25" x14ac:dyDescent="0.35">
      <c r="E497" s="9" t="str">
        <f>_xll.SNL.Clients.Office.Excel.Functions.SPG(B497, "SP_COUNTRY_NAME")</f>
        <v>#INVALID COMPANY ID</v>
      </c>
      <c r="J497" s="9" t="str">
        <f>_xll.SNL.Clients.Office.Excel.Functions.SPG(G497, "SP_COUNTRY_NAME")</f>
        <v>#INVALID COMPANY ID</v>
      </c>
      <c r="O497" s="9" t="str">
        <f>_xll.SNL.Clients.Office.Excel.Functions.SPG(L497, "SP_COUNTRY_NAME")</f>
        <v>#INVALID COMPANY ID</v>
      </c>
      <c r="T497" s="9" t="str">
        <f>_xll.SNL.Clients.Office.Excel.Functions.SPG(Q497, "SP_COUNTRY_NAME")</f>
        <v>#INVALID COMPANY ID</v>
      </c>
      <c r="Y497" s="9" t="str">
        <f>_xll.SNL.Clients.Office.Excel.Functions.SPG(V497, "SP_COUNTRY_NAME")</f>
        <v>#INVALID COMPANY ID</v>
      </c>
    </row>
    <row r="498" spans="5:25" x14ac:dyDescent="0.35">
      <c r="E498" s="9" t="str">
        <f>_xll.SNL.Clients.Office.Excel.Functions.SPG(B498, "SP_COUNTRY_NAME")</f>
        <v>#INVALID COMPANY ID</v>
      </c>
      <c r="J498" s="9" t="str">
        <f>_xll.SNL.Clients.Office.Excel.Functions.SPG(G498, "SP_COUNTRY_NAME")</f>
        <v>#INVALID COMPANY ID</v>
      </c>
      <c r="O498" s="9" t="str">
        <f>_xll.SNL.Clients.Office.Excel.Functions.SPG(L498, "SP_COUNTRY_NAME")</f>
        <v>#INVALID COMPANY ID</v>
      </c>
      <c r="T498" s="9" t="str">
        <f>_xll.SNL.Clients.Office.Excel.Functions.SPG(Q498, "SP_COUNTRY_NAME")</f>
        <v>#INVALID COMPANY ID</v>
      </c>
      <c r="Y498" s="9" t="str">
        <f>_xll.SNL.Clients.Office.Excel.Functions.SPG(V498, "SP_COUNTRY_NAME")</f>
        <v>#INVALID COMPANY ID</v>
      </c>
    </row>
    <row r="499" spans="5:25" x14ac:dyDescent="0.35">
      <c r="E499" s="9" t="str">
        <f>_xll.SNL.Clients.Office.Excel.Functions.SPG(B499, "SP_COUNTRY_NAME")</f>
        <v>#INVALID COMPANY ID</v>
      </c>
      <c r="J499" s="9" t="str">
        <f>_xll.SNL.Clients.Office.Excel.Functions.SPG(G499, "SP_COUNTRY_NAME")</f>
        <v>#INVALID COMPANY ID</v>
      </c>
      <c r="O499" s="9" t="str">
        <f>_xll.SNL.Clients.Office.Excel.Functions.SPG(L499, "SP_COUNTRY_NAME")</f>
        <v>#INVALID COMPANY ID</v>
      </c>
      <c r="T499" s="9" t="str">
        <f>_xll.SNL.Clients.Office.Excel.Functions.SPG(Q499, "SP_COUNTRY_NAME")</f>
        <v>#INVALID COMPANY ID</v>
      </c>
      <c r="Y499" s="9" t="str">
        <f>_xll.SNL.Clients.Office.Excel.Functions.SPG(V499, "SP_COUNTRY_NAME")</f>
        <v>#INVALID COMPANY ID</v>
      </c>
    </row>
    <row r="500" spans="5:25" x14ac:dyDescent="0.35">
      <c r="E500" s="9" t="str">
        <f>_xll.SNL.Clients.Office.Excel.Functions.SPG(B500, "SP_COUNTRY_NAME")</f>
        <v>#INVALID COMPANY ID</v>
      </c>
      <c r="J500" s="9" t="str">
        <f>_xll.SNL.Clients.Office.Excel.Functions.SPG(G500, "SP_COUNTRY_NAME")</f>
        <v>#INVALID COMPANY ID</v>
      </c>
      <c r="O500" s="9" t="str">
        <f>_xll.SNL.Clients.Office.Excel.Functions.SPG(L500, "SP_COUNTRY_NAME")</f>
        <v>#INVALID COMPANY ID</v>
      </c>
      <c r="T500" s="9" t="str">
        <f>_xll.SNL.Clients.Office.Excel.Functions.SPG(Q500, "SP_COUNTRY_NAME")</f>
        <v>#INVALID COMPANY ID</v>
      </c>
      <c r="Y500" s="9" t="str">
        <f>_xll.SNL.Clients.Office.Excel.Functions.SPG(V500, "SP_COUNTRY_NAME")</f>
        <v>#INVALID COMPANY ID</v>
      </c>
    </row>
    <row r="501" spans="5:25" x14ac:dyDescent="0.35">
      <c r="E501" s="9" t="str">
        <f>_xll.SNL.Clients.Office.Excel.Functions.SPG(B501, "SP_COUNTRY_NAME")</f>
        <v>#INVALID COMPANY ID</v>
      </c>
      <c r="J501" s="9" t="str">
        <f>_xll.SNL.Clients.Office.Excel.Functions.SPG(G501, "SP_COUNTRY_NAME")</f>
        <v>#INVALID COMPANY ID</v>
      </c>
      <c r="O501" s="9" t="str">
        <f>_xll.SNL.Clients.Office.Excel.Functions.SPG(L501, "SP_COUNTRY_NAME")</f>
        <v>#INVALID COMPANY ID</v>
      </c>
      <c r="T501" s="9" t="str">
        <f>_xll.SNL.Clients.Office.Excel.Functions.SPG(Q501, "SP_COUNTRY_NAME")</f>
        <v>#INVALID COMPANY ID</v>
      </c>
      <c r="Y501" s="9" t="str">
        <f>_xll.SNL.Clients.Office.Excel.Functions.SPG(V501, "SP_COUNTRY_NAME")</f>
        <v>#INVALID COMPANY ID</v>
      </c>
    </row>
    <row r="502" spans="5:25" x14ac:dyDescent="0.35">
      <c r="E502" s="9" t="str">
        <f>_xll.SNL.Clients.Office.Excel.Functions.SPG(B502, "SP_COUNTRY_NAME")</f>
        <v>#INVALID COMPANY ID</v>
      </c>
      <c r="J502" s="9" t="str">
        <f>_xll.SNL.Clients.Office.Excel.Functions.SPG(G502, "SP_COUNTRY_NAME")</f>
        <v>#INVALID COMPANY ID</v>
      </c>
      <c r="O502" s="9" t="str">
        <f>_xll.SNL.Clients.Office.Excel.Functions.SPG(L502, "SP_COUNTRY_NAME")</f>
        <v>#INVALID COMPANY ID</v>
      </c>
      <c r="T502" s="9" t="str">
        <f>_xll.SNL.Clients.Office.Excel.Functions.SPG(Q502, "SP_COUNTRY_NAME")</f>
        <v>#INVALID COMPANY ID</v>
      </c>
      <c r="Y502" s="9" t="str">
        <f>_xll.SNL.Clients.Office.Excel.Functions.SPG(V502, "SP_COUNTRY_NAME")</f>
        <v>#INVALID COMPANY ID</v>
      </c>
    </row>
    <row r="503" spans="5:25" x14ac:dyDescent="0.35">
      <c r="E503" s="9" t="str">
        <f>_xll.SNL.Clients.Office.Excel.Functions.SPG(B503, "SP_COUNTRY_NAME")</f>
        <v>#INVALID COMPANY ID</v>
      </c>
      <c r="J503" s="9" t="str">
        <f>_xll.SNL.Clients.Office.Excel.Functions.SPG(G503, "SP_COUNTRY_NAME")</f>
        <v>#INVALID COMPANY ID</v>
      </c>
      <c r="O503" s="9" t="str">
        <f>_xll.SNL.Clients.Office.Excel.Functions.SPG(L503, "SP_COUNTRY_NAME")</f>
        <v>#INVALID COMPANY ID</v>
      </c>
      <c r="T503" s="9" t="str">
        <f>_xll.SNL.Clients.Office.Excel.Functions.SPG(Q503, "SP_COUNTRY_NAME")</f>
        <v>#INVALID COMPANY ID</v>
      </c>
      <c r="Y503" s="9" t="str">
        <f>_xll.SNL.Clients.Office.Excel.Functions.SPG(V503, "SP_COUNTRY_NAME")</f>
        <v>#INVALID COMPANY ID</v>
      </c>
    </row>
  </sheetData>
  <pageMargins left="0.7" right="0.7" top="0.75" bottom="0.75" header="0.3" footer="0.3"/>
  <headerFooter>
    <oddFooter>&amp;C_x000D_&amp;1#&amp;"Aptos"&amp;10&amp;K0000FF Restricted Use - À usage restreint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EF405-0EFB-4E4D-9745-95C30961FDA9}">
  <dimension ref="A1:Y503"/>
  <sheetViews>
    <sheetView workbookViewId="0">
      <selection activeCell="A18" sqref="A18:XFD18"/>
    </sheetView>
  </sheetViews>
  <sheetFormatPr defaultRowHeight="14.5" x14ac:dyDescent="0.35"/>
  <cols>
    <col min="1" max="1" width="24" customWidth="1"/>
  </cols>
  <sheetData>
    <row r="1" spans="1:25" x14ac:dyDescent="0.35">
      <c r="A1">
        <v>4354685</v>
      </c>
      <c r="B1">
        <v>106407935</v>
      </c>
      <c r="C1">
        <v>4348016</v>
      </c>
      <c r="D1">
        <v>4363836</v>
      </c>
      <c r="E1">
        <v>10605938</v>
      </c>
    </row>
    <row r="2" spans="1:25" s="12" customFormat="1" x14ac:dyDescent="0.35">
      <c r="A2" s="12">
        <v>4354685</v>
      </c>
      <c r="B2" s="12">
        <v>4354685</v>
      </c>
      <c r="C2" s="12">
        <v>4354685</v>
      </c>
      <c r="D2" s="12">
        <v>4354685</v>
      </c>
      <c r="E2" s="12">
        <v>4354685</v>
      </c>
      <c r="F2" s="12">
        <v>106407935</v>
      </c>
      <c r="G2" s="12">
        <v>106407935</v>
      </c>
      <c r="H2" s="12">
        <v>106407935</v>
      </c>
      <c r="I2" s="12">
        <v>106407935</v>
      </c>
      <c r="J2" s="12">
        <v>106407935</v>
      </c>
      <c r="K2" s="12">
        <v>4348016</v>
      </c>
      <c r="L2" s="12">
        <v>4348016</v>
      </c>
      <c r="M2" s="12">
        <v>4348016</v>
      </c>
      <c r="N2" s="12">
        <v>4348016</v>
      </c>
      <c r="O2" s="12">
        <v>4348016</v>
      </c>
      <c r="P2" s="12">
        <v>4363836</v>
      </c>
      <c r="Q2" s="12">
        <v>4363836</v>
      </c>
      <c r="R2" s="12">
        <v>4363836</v>
      </c>
      <c r="S2" s="12">
        <v>4363836</v>
      </c>
      <c r="T2" s="12">
        <v>4363836</v>
      </c>
      <c r="U2" s="12">
        <v>10605938</v>
      </c>
      <c r="V2" s="12">
        <v>10605938</v>
      </c>
      <c r="W2" s="12">
        <v>10605938</v>
      </c>
      <c r="X2" s="12">
        <v>10605938</v>
      </c>
      <c r="Y2" s="12">
        <v>10605938</v>
      </c>
    </row>
    <row r="3" spans="1:25" s="12" customFormat="1" ht="43.5" x14ac:dyDescent="0.35">
      <c r="A3" s="12" t="s">
        <v>381</v>
      </c>
      <c r="B3" s="12" t="s">
        <v>382</v>
      </c>
      <c r="C3" s="12" t="s">
        <v>383</v>
      </c>
      <c r="D3" s="12" t="s">
        <v>384</v>
      </c>
      <c r="E3" s="12" t="s">
        <v>162</v>
      </c>
      <c r="F3" s="12" t="s">
        <v>381</v>
      </c>
      <c r="G3" s="12" t="s">
        <v>382</v>
      </c>
      <c r="H3" s="12" t="s">
        <v>383</v>
      </c>
      <c r="I3" s="12" t="s">
        <v>384</v>
      </c>
      <c r="J3" s="12" t="s">
        <v>162</v>
      </c>
      <c r="K3" s="12" t="s">
        <v>381</v>
      </c>
      <c r="L3" s="12" t="s">
        <v>382</v>
      </c>
      <c r="M3" s="12" t="s">
        <v>383</v>
      </c>
      <c r="N3" s="12" t="s">
        <v>384</v>
      </c>
      <c r="O3" s="12" t="s">
        <v>162</v>
      </c>
      <c r="P3" s="12" t="s">
        <v>381</v>
      </c>
      <c r="Q3" s="12" t="s">
        <v>382</v>
      </c>
      <c r="R3" s="12" t="s">
        <v>383</v>
      </c>
      <c r="S3" s="12" t="s">
        <v>384</v>
      </c>
      <c r="T3" s="12" t="s">
        <v>162</v>
      </c>
      <c r="U3" s="12" t="s">
        <v>381</v>
      </c>
      <c r="V3" s="12" t="s">
        <v>382</v>
      </c>
      <c r="W3" s="12" t="s">
        <v>383</v>
      </c>
      <c r="X3" s="12" t="s">
        <v>384</v>
      </c>
      <c r="Y3" s="12" t="s">
        <v>162</v>
      </c>
    </row>
    <row r="4" spans="1:25" x14ac:dyDescent="0.35">
      <c r="A4" t="s">
        <v>164</v>
      </c>
      <c r="B4">
        <v>4757367</v>
      </c>
      <c r="C4" t="s">
        <v>207</v>
      </c>
      <c r="D4">
        <v>49.14</v>
      </c>
      <c r="E4" t="s">
        <v>369</v>
      </c>
      <c r="F4" t="s">
        <v>206</v>
      </c>
      <c r="G4" t="s">
        <v>205</v>
      </c>
      <c r="H4" t="s">
        <v>209</v>
      </c>
      <c r="I4">
        <v>75</v>
      </c>
      <c r="J4" t="s">
        <v>47</v>
      </c>
      <c r="K4" t="s">
        <v>212</v>
      </c>
      <c r="L4">
        <v>109888</v>
      </c>
      <c r="M4" t="s">
        <v>163</v>
      </c>
      <c r="N4">
        <v>9.07</v>
      </c>
      <c r="O4" t="s">
        <v>385</v>
      </c>
      <c r="P4" t="s">
        <v>298</v>
      </c>
      <c r="Q4">
        <v>5870185</v>
      </c>
      <c r="R4" t="s">
        <v>163</v>
      </c>
      <c r="S4">
        <v>1.59</v>
      </c>
      <c r="T4" t="s">
        <v>56</v>
      </c>
      <c r="U4" t="s">
        <v>310</v>
      </c>
      <c r="V4" t="s">
        <v>205</v>
      </c>
      <c r="W4" t="s">
        <v>209</v>
      </c>
      <c r="X4">
        <v>9.6999999999999993</v>
      </c>
      <c r="Y4" t="s">
        <v>47</v>
      </c>
    </row>
    <row r="5" spans="1:25" x14ac:dyDescent="0.35">
      <c r="A5" t="s">
        <v>165</v>
      </c>
      <c r="B5">
        <v>4234513</v>
      </c>
      <c r="C5" t="s">
        <v>163</v>
      </c>
      <c r="D5">
        <v>3.39</v>
      </c>
      <c r="E5" t="s">
        <v>369</v>
      </c>
      <c r="J5" t="s">
        <v>367</v>
      </c>
      <c r="K5" t="s">
        <v>213</v>
      </c>
      <c r="L5" t="s">
        <v>205</v>
      </c>
      <c r="M5" t="s">
        <v>209</v>
      </c>
      <c r="N5">
        <v>3.9</v>
      </c>
      <c r="O5" t="s">
        <v>47</v>
      </c>
      <c r="P5" t="s">
        <v>299</v>
      </c>
      <c r="Q5" t="s">
        <v>205</v>
      </c>
      <c r="R5" t="s">
        <v>209</v>
      </c>
      <c r="S5">
        <v>1.32</v>
      </c>
      <c r="T5" t="s">
        <v>47</v>
      </c>
      <c r="U5" t="s">
        <v>311</v>
      </c>
      <c r="V5" t="s">
        <v>205</v>
      </c>
      <c r="W5" t="s">
        <v>209</v>
      </c>
      <c r="X5">
        <v>9.6999999999999993</v>
      </c>
      <c r="Y5" t="s">
        <v>47</v>
      </c>
    </row>
    <row r="6" spans="1:25" x14ac:dyDescent="0.35">
      <c r="A6" t="s">
        <v>166</v>
      </c>
      <c r="B6">
        <v>4041896</v>
      </c>
      <c r="C6" t="s">
        <v>208</v>
      </c>
      <c r="D6">
        <v>2.33</v>
      </c>
      <c r="E6" t="s">
        <v>385</v>
      </c>
      <c r="J6" t="s">
        <v>367</v>
      </c>
      <c r="K6" t="s">
        <v>214</v>
      </c>
      <c r="L6">
        <v>4048287</v>
      </c>
      <c r="M6" t="s">
        <v>163</v>
      </c>
      <c r="N6">
        <v>3.05</v>
      </c>
      <c r="O6" t="s">
        <v>385</v>
      </c>
      <c r="P6" t="s">
        <v>300</v>
      </c>
      <c r="Q6" t="s">
        <v>205</v>
      </c>
      <c r="R6" t="s">
        <v>209</v>
      </c>
      <c r="S6">
        <v>0.82</v>
      </c>
      <c r="T6" t="s">
        <v>47</v>
      </c>
      <c r="U6" t="s">
        <v>312</v>
      </c>
      <c r="V6">
        <v>4219776</v>
      </c>
      <c r="W6" t="s">
        <v>163</v>
      </c>
      <c r="X6">
        <v>2.14</v>
      </c>
      <c r="Y6" t="s">
        <v>377</v>
      </c>
    </row>
    <row r="7" spans="1:25" x14ac:dyDescent="0.35">
      <c r="A7" t="s">
        <v>167</v>
      </c>
      <c r="B7" t="s">
        <v>205</v>
      </c>
      <c r="C7" t="s">
        <v>209</v>
      </c>
      <c r="D7">
        <v>1.55</v>
      </c>
      <c r="E7" t="s">
        <v>47</v>
      </c>
      <c r="J7" t="s">
        <v>367</v>
      </c>
      <c r="K7" t="s">
        <v>215</v>
      </c>
      <c r="L7">
        <v>4138467</v>
      </c>
      <c r="M7" t="s">
        <v>296</v>
      </c>
      <c r="N7">
        <v>2.95</v>
      </c>
      <c r="O7" t="s">
        <v>59</v>
      </c>
      <c r="P7" t="s">
        <v>301</v>
      </c>
      <c r="Q7" t="s">
        <v>205</v>
      </c>
      <c r="R7" t="s">
        <v>209</v>
      </c>
      <c r="S7">
        <v>0.66</v>
      </c>
      <c r="T7" t="s">
        <v>47</v>
      </c>
      <c r="U7" t="s">
        <v>313</v>
      </c>
      <c r="V7">
        <v>27742978</v>
      </c>
      <c r="W7" t="s">
        <v>210</v>
      </c>
      <c r="X7">
        <v>2.02</v>
      </c>
      <c r="Y7" t="s">
        <v>386</v>
      </c>
    </row>
    <row r="8" spans="1:25" x14ac:dyDescent="0.35">
      <c r="A8" t="s">
        <v>168</v>
      </c>
      <c r="B8">
        <v>137764443</v>
      </c>
      <c r="C8" t="s">
        <v>163</v>
      </c>
      <c r="D8">
        <v>1.1200000000000001</v>
      </c>
      <c r="E8" t="s">
        <v>385</v>
      </c>
      <c r="J8" t="s">
        <v>367</v>
      </c>
      <c r="K8" t="s">
        <v>216</v>
      </c>
      <c r="L8">
        <v>4040817</v>
      </c>
      <c r="M8" t="s">
        <v>297</v>
      </c>
      <c r="N8">
        <v>2.91</v>
      </c>
      <c r="O8" t="s">
        <v>377</v>
      </c>
      <c r="P8" t="s">
        <v>302</v>
      </c>
      <c r="Q8">
        <v>9249901</v>
      </c>
      <c r="R8" t="s">
        <v>210</v>
      </c>
      <c r="S8">
        <v>0.34</v>
      </c>
      <c r="T8" t="s">
        <v>56</v>
      </c>
      <c r="U8" t="s">
        <v>314</v>
      </c>
      <c r="V8">
        <v>27828538</v>
      </c>
      <c r="W8" t="s">
        <v>210</v>
      </c>
      <c r="X8">
        <v>1.94</v>
      </c>
      <c r="Y8" t="s">
        <v>386</v>
      </c>
    </row>
    <row r="9" spans="1:25" x14ac:dyDescent="0.35">
      <c r="A9" t="s">
        <v>169</v>
      </c>
      <c r="B9">
        <v>111289</v>
      </c>
      <c r="C9" t="s">
        <v>163</v>
      </c>
      <c r="D9">
        <v>0.95</v>
      </c>
      <c r="E9" t="s">
        <v>385</v>
      </c>
      <c r="J9" t="s">
        <v>367</v>
      </c>
      <c r="K9" t="s">
        <v>217</v>
      </c>
      <c r="L9">
        <v>111219</v>
      </c>
      <c r="M9" t="s">
        <v>163</v>
      </c>
      <c r="N9">
        <v>2.73</v>
      </c>
      <c r="O9" t="s">
        <v>385</v>
      </c>
      <c r="P9" t="s">
        <v>303</v>
      </c>
      <c r="Q9">
        <v>5752269</v>
      </c>
      <c r="R9" t="s">
        <v>211</v>
      </c>
      <c r="S9">
        <v>0.24</v>
      </c>
      <c r="T9" t="s">
        <v>56</v>
      </c>
      <c r="U9" t="s">
        <v>315</v>
      </c>
      <c r="V9">
        <v>4138639</v>
      </c>
      <c r="W9" t="s">
        <v>163</v>
      </c>
      <c r="X9">
        <v>1.67</v>
      </c>
      <c r="Y9" t="s">
        <v>377</v>
      </c>
    </row>
    <row r="10" spans="1:25" x14ac:dyDescent="0.35">
      <c r="A10" t="s">
        <v>170</v>
      </c>
      <c r="B10" t="s">
        <v>205</v>
      </c>
      <c r="C10" t="s">
        <v>209</v>
      </c>
      <c r="D10">
        <v>0.92</v>
      </c>
      <c r="E10" t="s">
        <v>47</v>
      </c>
      <c r="J10" t="s">
        <v>367</v>
      </c>
      <c r="K10" t="s">
        <v>218</v>
      </c>
      <c r="L10">
        <v>3006816</v>
      </c>
      <c r="M10" t="s">
        <v>208</v>
      </c>
      <c r="N10">
        <v>2.58</v>
      </c>
      <c r="O10" t="s">
        <v>385</v>
      </c>
      <c r="P10" t="s">
        <v>304</v>
      </c>
      <c r="Q10" t="s">
        <v>205</v>
      </c>
      <c r="R10" t="s">
        <v>209</v>
      </c>
      <c r="S10">
        <v>0.08</v>
      </c>
      <c r="T10" t="s">
        <v>47</v>
      </c>
      <c r="U10" t="s">
        <v>316</v>
      </c>
      <c r="V10">
        <v>4145085</v>
      </c>
      <c r="W10" t="s">
        <v>163</v>
      </c>
      <c r="X10">
        <v>1.57</v>
      </c>
      <c r="Y10" t="s">
        <v>377</v>
      </c>
    </row>
    <row r="11" spans="1:25" x14ac:dyDescent="0.35">
      <c r="A11" t="s">
        <v>171</v>
      </c>
      <c r="B11">
        <v>13969643</v>
      </c>
      <c r="C11" t="s">
        <v>163</v>
      </c>
      <c r="D11">
        <v>0.57999999999999996</v>
      </c>
      <c r="E11" t="s">
        <v>377</v>
      </c>
      <c r="J11" t="s">
        <v>367</v>
      </c>
      <c r="K11" t="s">
        <v>219</v>
      </c>
      <c r="L11">
        <v>4041196</v>
      </c>
      <c r="M11" t="s">
        <v>208</v>
      </c>
      <c r="N11">
        <v>2.5299999999999998</v>
      </c>
      <c r="O11" t="s">
        <v>377</v>
      </c>
      <c r="P11" t="s">
        <v>305</v>
      </c>
      <c r="Q11" t="s">
        <v>205</v>
      </c>
      <c r="R11" t="s">
        <v>209</v>
      </c>
      <c r="S11">
        <v>0.05</v>
      </c>
      <c r="T11" t="s">
        <v>47</v>
      </c>
      <c r="U11" t="s">
        <v>317</v>
      </c>
      <c r="V11" t="s">
        <v>205</v>
      </c>
      <c r="W11" t="s">
        <v>209</v>
      </c>
      <c r="X11">
        <v>1.54</v>
      </c>
      <c r="Y11" t="s">
        <v>47</v>
      </c>
    </row>
    <row r="12" spans="1:25" x14ac:dyDescent="0.35">
      <c r="A12" t="s">
        <v>172</v>
      </c>
      <c r="B12">
        <v>4549009</v>
      </c>
      <c r="C12" t="s">
        <v>163</v>
      </c>
      <c r="D12">
        <v>0.57999999999999996</v>
      </c>
      <c r="E12" t="s">
        <v>369</v>
      </c>
      <c r="J12" t="s">
        <v>367</v>
      </c>
      <c r="K12" t="s">
        <v>220</v>
      </c>
      <c r="L12">
        <v>114508</v>
      </c>
      <c r="M12" t="s">
        <v>208</v>
      </c>
      <c r="N12">
        <v>2.2200000000000002</v>
      </c>
      <c r="O12" t="s">
        <v>377</v>
      </c>
      <c r="P12" t="s">
        <v>306</v>
      </c>
      <c r="Q12" t="s">
        <v>205</v>
      </c>
      <c r="R12" t="s">
        <v>209</v>
      </c>
      <c r="S12">
        <v>0.04</v>
      </c>
      <c r="T12" t="s">
        <v>47</v>
      </c>
      <c r="U12" t="s">
        <v>318</v>
      </c>
      <c r="V12">
        <v>4362727</v>
      </c>
      <c r="W12" t="s">
        <v>364</v>
      </c>
      <c r="X12">
        <v>0.86</v>
      </c>
      <c r="Y12" t="s">
        <v>369</v>
      </c>
    </row>
    <row r="13" spans="1:25" x14ac:dyDescent="0.35">
      <c r="A13" t="s">
        <v>173</v>
      </c>
      <c r="B13">
        <v>106180618</v>
      </c>
      <c r="C13" t="s">
        <v>210</v>
      </c>
      <c r="D13">
        <v>0.47</v>
      </c>
      <c r="E13" t="s">
        <v>369</v>
      </c>
      <c r="J13" t="s">
        <v>367</v>
      </c>
      <c r="K13" t="s">
        <v>221</v>
      </c>
      <c r="L13">
        <v>4039450</v>
      </c>
      <c r="M13" t="s">
        <v>163</v>
      </c>
      <c r="N13">
        <v>2.0099999999999998</v>
      </c>
      <c r="O13" t="s">
        <v>385</v>
      </c>
      <c r="P13" t="s">
        <v>307</v>
      </c>
      <c r="Q13">
        <v>4612971</v>
      </c>
      <c r="R13" t="s">
        <v>163</v>
      </c>
      <c r="S13">
        <v>0.03</v>
      </c>
      <c r="T13" t="s">
        <v>56</v>
      </c>
      <c r="U13" t="s">
        <v>319</v>
      </c>
      <c r="V13">
        <v>7058800</v>
      </c>
      <c r="W13" t="s">
        <v>163</v>
      </c>
      <c r="X13">
        <v>0.75</v>
      </c>
      <c r="Y13" t="s">
        <v>377</v>
      </c>
    </row>
    <row r="14" spans="1:25" x14ac:dyDescent="0.35">
      <c r="A14" t="s">
        <v>174</v>
      </c>
      <c r="B14">
        <v>133943968</v>
      </c>
      <c r="C14" t="s">
        <v>210</v>
      </c>
      <c r="D14">
        <v>0.42</v>
      </c>
      <c r="E14" t="s">
        <v>369</v>
      </c>
      <c r="J14" t="s">
        <v>367</v>
      </c>
      <c r="K14" t="s">
        <v>169</v>
      </c>
      <c r="L14">
        <v>111289</v>
      </c>
      <c r="M14" t="s">
        <v>163</v>
      </c>
      <c r="N14">
        <v>1.97</v>
      </c>
      <c r="O14" t="s">
        <v>385</v>
      </c>
      <c r="P14" t="s">
        <v>308</v>
      </c>
      <c r="Q14">
        <v>12996037</v>
      </c>
      <c r="R14" t="s">
        <v>143</v>
      </c>
      <c r="S14">
        <v>0.01</v>
      </c>
      <c r="T14" t="s">
        <v>385</v>
      </c>
      <c r="U14" t="s">
        <v>320</v>
      </c>
      <c r="V14">
        <v>4138723</v>
      </c>
      <c r="W14" t="s">
        <v>163</v>
      </c>
      <c r="X14">
        <v>0.64</v>
      </c>
      <c r="Y14" t="s">
        <v>377</v>
      </c>
    </row>
    <row r="15" spans="1:25" x14ac:dyDescent="0.35">
      <c r="A15" t="s">
        <v>175</v>
      </c>
      <c r="B15">
        <v>5752504</v>
      </c>
      <c r="C15" t="s">
        <v>163</v>
      </c>
      <c r="D15">
        <v>0.37</v>
      </c>
      <c r="E15" t="s">
        <v>385</v>
      </c>
      <c r="J15" t="s">
        <v>367</v>
      </c>
      <c r="K15" t="s">
        <v>222</v>
      </c>
      <c r="L15">
        <v>4111901</v>
      </c>
      <c r="M15" t="s">
        <v>163</v>
      </c>
      <c r="N15">
        <v>1.85</v>
      </c>
      <c r="O15" t="s">
        <v>387</v>
      </c>
      <c r="P15" t="s">
        <v>309</v>
      </c>
      <c r="Q15" t="s">
        <v>205</v>
      </c>
      <c r="R15" t="s">
        <v>209</v>
      </c>
      <c r="S15">
        <v>0</v>
      </c>
      <c r="T15" t="s">
        <v>47</v>
      </c>
      <c r="U15" t="s">
        <v>321</v>
      </c>
      <c r="V15">
        <v>4364090</v>
      </c>
      <c r="W15" t="s">
        <v>208</v>
      </c>
      <c r="X15">
        <v>0.55000000000000004</v>
      </c>
      <c r="Y15" t="s">
        <v>377</v>
      </c>
    </row>
    <row r="16" spans="1:25" x14ac:dyDescent="0.35">
      <c r="A16" t="s">
        <v>176</v>
      </c>
      <c r="B16">
        <v>145890281</v>
      </c>
      <c r="C16" t="s">
        <v>210</v>
      </c>
      <c r="D16">
        <v>0.27</v>
      </c>
      <c r="E16" t="s">
        <v>369</v>
      </c>
      <c r="J16" t="s">
        <v>367</v>
      </c>
      <c r="K16" t="s">
        <v>223</v>
      </c>
      <c r="L16">
        <v>4231356</v>
      </c>
      <c r="M16" t="s">
        <v>163</v>
      </c>
      <c r="N16">
        <v>1.65</v>
      </c>
      <c r="O16" t="s">
        <v>377</v>
      </c>
      <c r="T16" t="s">
        <v>367</v>
      </c>
      <c r="U16" t="s">
        <v>322</v>
      </c>
      <c r="V16">
        <v>4153870</v>
      </c>
      <c r="W16" t="s">
        <v>208</v>
      </c>
      <c r="X16">
        <v>0.44</v>
      </c>
      <c r="Y16" t="s">
        <v>385</v>
      </c>
    </row>
    <row r="17" spans="1:25" x14ac:dyDescent="0.35">
      <c r="A17" t="s">
        <v>177</v>
      </c>
      <c r="B17">
        <v>108540659</v>
      </c>
      <c r="C17" t="s">
        <v>210</v>
      </c>
      <c r="D17">
        <v>0.26</v>
      </c>
      <c r="E17" t="s">
        <v>369</v>
      </c>
      <c r="J17" t="s">
        <v>367</v>
      </c>
      <c r="K17" t="s">
        <v>224</v>
      </c>
      <c r="L17">
        <v>100201</v>
      </c>
      <c r="M17" t="s">
        <v>208</v>
      </c>
      <c r="N17">
        <v>1.62</v>
      </c>
      <c r="O17" t="s">
        <v>385</v>
      </c>
      <c r="T17" t="s">
        <v>367</v>
      </c>
      <c r="U17" t="s">
        <v>219</v>
      </c>
      <c r="V17">
        <v>4041196</v>
      </c>
      <c r="W17" t="s">
        <v>163</v>
      </c>
      <c r="X17">
        <v>0.27</v>
      </c>
      <c r="Y17" t="s">
        <v>377</v>
      </c>
    </row>
    <row r="18" spans="1:25" x14ac:dyDescent="0.35">
      <c r="A18" t="s">
        <v>178</v>
      </c>
      <c r="B18">
        <v>134056246</v>
      </c>
      <c r="C18" t="s">
        <v>210</v>
      </c>
      <c r="D18">
        <v>0.22</v>
      </c>
      <c r="E18" t="s">
        <v>369</v>
      </c>
      <c r="J18" t="s">
        <v>367</v>
      </c>
      <c r="K18" t="s">
        <v>225</v>
      </c>
      <c r="L18">
        <v>110495</v>
      </c>
      <c r="M18" t="s">
        <v>163</v>
      </c>
      <c r="N18">
        <v>1.45</v>
      </c>
      <c r="O18" t="s">
        <v>385</v>
      </c>
      <c r="T18" t="s">
        <v>367</v>
      </c>
      <c r="U18" t="s">
        <v>323</v>
      </c>
      <c r="V18">
        <v>4147349</v>
      </c>
      <c r="W18" t="s">
        <v>208</v>
      </c>
      <c r="X18">
        <v>0.25</v>
      </c>
      <c r="Y18" t="s">
        <v>377</v>
      </c>
    </row>
    <row r="19" spans="1:25" x14ac:dyDescent="0.35">
      <c r="A19" t="s">
        <v>179</v>
      </c>
      <c r="B19" t="s">
        <v>205</v>
      </c>
      <c r="C19" t="s">
        <v>209</v>
      </c>
      <c r="D19">
        <v>0.18</v>
      </c>
      <c r="E19" t="s">
        <v>47</v>
      </c>
      <c r="J19" t="s">
        <v>367</v>
      </c>
      <c r="K19" t="s">
        <v>226</v>
      </c>
      <c r="L19">
        <v>4139862</v>
      </c>
      <c r="M19" t="s">
        <v>163</v>
      </c>
      <c r="N19">
        <v>1.36</v>
      </c>
      <c r="O19" t="s">
        <v>377</v>
      </c>
      <c r="T19" t="s">
        <v>367</v>
      </c>
      <c r="U19" t="s">
        <v>324</v>
      </c>
      <c r="V19" t="s">
        <v>205</v>
      </c>
      <c r="W19" t="s">
        <v>209</v>
      </c>
      <c r="X19">
        <v>0.22</v>
      </c>
      <c r="Y19" t="s">
        <v>47</v>
      </c>
    </row>
    <row r="20" spans="1:25" x14ac:dyDescent="0.35">
      <c r="A20" t="s">
        <v>180</v>
      </c>
      <c r="B20">
        <v>4143440</v>
      </c>
      <c r="C20" t="s">
        <v>163</v>
      </c>
      <c r="D20">
        <v>0.16</v>
      </c>
      <c r="E20" t="s">
        <v>385</v>
      </c>
      <c r="J20" t="s">
        <v>367</v>
      </c>
      <c r="K20" t="s">
        <v>227</v>
      </c>
      <c r="L20">
        <v>4215415</v>
      </c>
      <c r="M20" t="s">
        <v>163</v>
      </c>
      <c r="N20">
        <v>1.32</v>
      </c>
      <c r="O20" t="s">
        <v>388</v>
      </c>
      <c r="T20" t="s">
        <v>367</v>
      </c>
      <c r="U20" t="s">
        <v>325</v>
      </c>
      <c r="V20" t="s">
        <v>205</v>
      </c>
      <c r="W20" t="s">
        <v>209</v>
      </c>
      <c r="X20">
        <v>0.19</v>
      </c>
      <c r="Y20" t="s">
        <v>47</v>
      </c>
    </row>
    <row r="21" spans="1:25" x14ac:dyDescent="0.35">
      <c r="A21" t="s">
        <v>181</v>
      </c>
      <c r="B21" t="s">
        <v>205</v>
      </c>
      <c r="C21" t="s">
        <v>209</v>
      </c>
      <c r="D21">
        <v>0.12</v>
      </c>
      <c r="E21" t="s">
        <v>47</v>
      </c>
      <c r="J21" t="s">
        <v>367</v>
      </c>
      <c r="K21" t="s">
        <v>228</v>
      </c>
      <c r="L21">
        <v>1009926</v>
      </c>
      <c r="M21" t="s">
        <v>210</v>
      </c>
      <c r="N21">
        <v>1.1299999999999999</v>
      </c>
      <c r="O21" t="s">
        <v>385</v>
      </c>
      <c r="T21" t="s">
        <v>367</v>
      </c>
      <c r="U21" t="s">
        <v>326</v>
      </c>
      <c r="V21">
        <v>4185832</v>
      </c>
      <c r="W21" t="s">
        <v>208</v>
      </c>
      <c r="X21">
        <v>0.17</v>
      </c>
      <c r="Y21" t="s">
        <v>377</v>
      </c>
    </row>
    <row r="22" spans="1:25" x14ac:dyDescent="0.35">
      <c r="A22" t="s">
        <v>182</v>
      </c>
      <c r="B22" t="s">
        <v>205</v>
      </c>
      <c r="C22" t="s">
        <v>209</v>
      </c>
      <c r="D22">
        <v>0.09</v>
      </c>
      <c r="E22" t="s">
        <v>47</v>
      </c>
      <c r="J22" t="s">
        <v>367</v>
      </c>
      <c r="K22" t="s">
        <v>229</v>
      </c>
      <c r="L22" t="s">
        <v>205</v>
      </c>
      <c r="M22" t="s">
        <v>209</v>
      </c>
      <c r="N22">
        <v>1.1100000000000001</v>
      </c>
      <c r="O22" t="s">
        <v>47</v>
      </c>
      <c r="T22" t="s">
        <v>367</v>
      </c>
      <c r="U22" t="s">
        <v>249</v>
      </c>
      <c r="V22">
        <v>4674815</v>
      </c>
      <c r="W22" t="s">
        <v>163</v>
      </c>
      <c r="X22">
        <v>0.14000000000000001</v>
      </c>
      <c r="Y22" t="s">
        <v>389</v>
      </c>
    </row>
    <row r="23" spans="1:25" x14ac:dyDescent="0.35">
      <c r="A23" t="s">
        <v>183</v>
      </c>
      <c r="B23">
        <v>4578944</v>
      </c>
      <c r="C23" t="s">
        <v>163</v>
      </c>
      <c r="D23">
        <v>0.08</v>
      </c>
      <c r="E23" t="s">
        <v>369</v>
      </c>
      <c r="J23" t="s">
        <v>367</v>
      </c>
      <c r="K23" t="s">
        <v>230</v>
      </c>
      <c r="L23">
        <v>110587</v>
      </c>
      <c r="M23" t="s">
        <v>163</v>
      </c>
      <c r="N23">
        <v>1.02</v>
      </c>
      <c r="O23" t="s">
        <v>385</v>
      </c>
      <c r="T23" t="s">
        <v>367</v>
      </c>
      <c r="U23" t="s">
        <v>327</v>
      </c>
      <c r="V23">
        <v>4570292</v>
      </c>
      <c r="W23" t="s">
        <v>163</v>
      </c>
      <c r="X23">
        <v>0.1</v>
      </c>
      <c r="Y23" t="s">
        <v>377</v>
      </c>
    </row>
    <row r="24" spans="1:25" x14ac:dyDescent="0.35">
      <c r="A24" t="s">
        <v>184</v>
      </c>
      <c r="B24" t="s">
        <v>205</v>
      </c>
      <c r="C24" t="s">
        <v>209</v>
      </c>
      <c r="D24">
        <v>0.02</v>
      </c>
      <c r="E24" t="s">
        <v>47</v>
      </c>
      <c r="J24" t="s">
        <v>367</v>
      </c>
      <c r="K24" t="s">
        <v>185</v>
      </c>
      <c r="L24">
        <v>111074</v>
      </c>
      <c r="M24" t="s">
        <v>163</v>
      </c>
      <c r="N24">
        <v>1.02</v>
      </c>
      <c r="O24" t="s">
        <v>385</v>
      </c>
      <c r="T24" t="s">
        <v>367</v>
      </c>
      <c r="U24" t="s">
        <v>328</v>
      </c>
      <c r="V24">
        <v>4773565</v>
      </c>
      <c r="W24" t="s">
        <v>208</v>
      </c>
      <c r="X24">
        <v>0.09</v>
      </c>
      <c r="Y24" t="s">
        <v>377</v>
      </c>
    </row>
    <row r="25" spans="1:25" x14ac:dyDescent="0.35">
      <c r="A25" t="s">
        <v>185</v>
      </c>
      <c r="B25">
        <v>111074</v>
      </c>
      <c r="C25" t="s">
        <v>163</v>
      </c>
      <c r="D25">
        <v>0.02</v>
      </c>
      <c r="E25" t="s">
        <v>385</v>
      </c>
      <c r="J25" t="s">
        <v>367</v>
      </c>
      <c r="K25" t="s">
        <v>231</v>
      </c>
      <c r="L25">
        <v>8365031</v>
      </c>
      <c r="M25" t="s">
        <v>163</v>
      </c>
      <c r="N25">
        <v>0.92</v>
      </c>
      <c r="O25" t="s">
        <v>369</v>
      </c>
      <c r="T25" t="s">
        <v>367</v>
      </c>
      <c r="U25" t="s">
        <v>283</v>
      </c>
      <c r="V25">
        <v>4115698</v>
      </c>
      <c r="W25" t="s">
        <v>163</v>
      </c>
      <c r="X25">
        <v>0.09</v>
      </c>
      <c r="Y25" t="s">
        <v>377</v>
      </c>
    </row>
    <row r="26" spans="1:25" x14ac:dyDescent="0.35">
      <c r="A26" t="s">
        <v>186</v>
      </c>
      <c r="B26" t="s">
        <v>205</v>
      </c>
      <c r="C26" t="s">
        <v>209</v>
      </c>
      <c r="D26">
        <v>0.02</v>
      </c>
      <c r="E26" t="s">
        <v>47</v>
      </c>
      <c r="J26" t="s">
        <v>367</v>
      </c>
      <c r="K26" t="s">
        <v>232</v>
      </c>
      <c r="L26">
        <v>5805166</v>
      </c>
      <c r="M26" t="s">
        <v>163</v>
      </c>
      <c r="N26">
        <v>0.91</v>
      </c>
      <c r="O26" t="s">
        <v>390</v>
      </c>
      <c r="T26" t="s">
        <v>367</v>
      </c>
      <c r="U26" t="s">
        <v>329</v>
      </c>
      <c r="V26">
        <v>27319958</v>
      </c>
      <c r="W26" t="s">
        <v>364</v>
      </c>
      <c r="X26">
        <v>0.08</v>
      </c>
      <c r="Y26" t="s">
        <v>391</v>
      </c>
    </row>
    <row r="27" spans="1:25" x14ac:dyDescent="0.35">
      <c r="A27" t="s">
        <v>187</v>
      </c>
      <c r="B27">
        <v>110652</v>
      </c>
      <c r="C27" t="s">
        <v>163</v>
      </c>
      <c r="D27">
        <v>0.01</v>
      </c>
      <c r="E27" t="s">
        <v>385</v>
      </c>
      <c r="J27" t="s">
        <v>367</v>
      </c>
      <c r="K27" t="s">
        <v>233</v>
      </c>
      <c r="L27">
        <v>113818</v>
      </c>
      <c r="M27" t="s">
        <v>208</v>
      </c>
      <c r="N27">
        <v>0.76</v>
      </c>
      <c r="O27" t="s">
        <v>388</v>
      </c>
      <c r="T27" t="s">
        <v>367</v>
      </c>
      <c r="U27" t="s">
        <v>330</v>
      </c>
      <c r="V27">
        <v>4249110</v>
      </c>
      <c r="W27" t="s">
        <v>163</v>
      </c>
      <c r="X27">
        <v>7.0000000000000007E-2</v>
      </c>
      <c r="Y27" t="s">
        <v>377</v>
      </c>
    </row>
    <row r="28" spans="1:25" x14ac:dyDescent="0.35">
      <c r="A28" t="s">
        <v>188</v>
      </c>
      <c r="B28">
        <v>7787995</v>
      </c>
      <c r="C28" t="s">
        <v>211</v>
      </c>
      <c r="D28">
        <v>0.01</v>
      </c>
      <c r="E28" t="s">
        <v>385</v>
      </c>
      <c r="J28" t="s">
        <v>367</v>
      </c>
      <c r="K28" t="s">
        <v>234</v>
      </c>
      <c r="L28">
        <v>4242202</v>
      </c>
      <c r="M28" t="s">
        <v>208</v>
      </c>
      <c r="N28">
        <v>0.74</v>
      </c>
      <c r="O28" t="s">
        <v>387</v>
      </c>
      <c r="T28" t="s">
        <v>367</v>
      </c>
      <c r="U28" t="s">
        <v>331</v>
      </c>
      <c r="V28">
        <v>4857391</v>
      </c>
      <c r="W28" t="s">
        <v>163</v>
      </c>
      <c r="X28">
        <v>0.06</v>
      </c>
      <c r="Y28" t="s">
        <v>391</v>
      </c>
    </row>
    <row r="29" spans="1:25" x14ac:dyDescent="0.35">
      <c r="A29" t="s">
        <v>189</v>
      </c>
      <c r="B29" t="s">
        <v>205</v>
      </c>
      <c r="C29" t="s">
        <v>209</v>
      </c>
      <c r="D29">
        <v>0.01</v>
      </c>
      <c r="E29" t="s">
        <v>47</v>
      </c>
      <c r="J29" t="s">
        <v>367</v>
      </c>
      <c r="K29" t="s">
        <v>235</v>
      </c>
      <c r="L29">
        <v>4054518</v>
      </c>
      <c r="M29" t="s">
        <v>163</v>
      </c>
      <c r="N29">
        <v>0.72</v>
      </c>
      <c r="O29" t="s">
        <v>385</v>
      </c>
      <c r="T29" t="s">
        <v>367</v>
      </c>
      <c r="U29" t="s">
        <v>332</v>
      </c>
      <c r="V29">
        <v>4235168</v>
      </c>
      <c r="W29" t="s">
        <v>163</v>
      </c>
      <c r="X29">
        <v>0.06</v>
      </c>
      <c r="Y29" t="s">
        <v>377</v>
      </c>
    </row>
    <row r="30" spans="1:25" x14ac:dyDescent="0.35">
      <c r="A30" t="s">
        <v>190</v>
      </c>
      <c r="B30">
        <v>112247511</v>
      </c>
      <c r="C30" t="s">
        <v>163</v>
      </c>
      <c r="D30">
        <v>0.01</v>
      </c>
      <c r="E30" t="s">
        <v>385</v>
      </c>
      <c r="J30" t="s">
        <v>367</v>
      </c>
      <c r="K30" t="s">
        <v>236</v>
      </c>
      <c r="L30">
        <v>4256114</v>
      </c>
      <c r="M30" t="s">
        <v>163</v>
      </c>
      <c r="N30">
        <v>0.56999999999999995</v>
      </c>
      <c r="O30" t="s">
        <v>392</v>
      </c>
      <c r="T30" t="s">
        <v>367</v>
      </c>
      <c r="U30" t="s">
        <v>333</v>
      </c>
      <c r="V30">
        <v>100522</v>
      </c>
      <c r="W30" t="s">
        <v>208</v>
      </c>
      <c r="X30">
        <v>0.04</v>
      </c>
      <c r="Y30" t="s">
        <v>56</v>
      </c>
    </row>
    <row r="31" spans="1:25" x14ac:dyDescent="0.35">
      <c r="A31" t="s">
        <v>191</v>
      </c>
      <c r="B31">
        <v>4337989</v>
      </c>
      <c r="C31" t="s">
        <v>163</v>
      </c>
      <c r="D31">
        <v>0.01</v>
      </c>
      <c r="E31" t="s">
        <v>385</v>
      </c>
      <c r="J31" t="s">
        <v>367</v>
      </c>
      <c r="K31" t="s">
        <v>237</v>
      </c>
      <c r="L31">
        <v>4137912</v>
      </c>
      <c r="M31" t="s">
        <v>163</v>
      </c>
      <c r="N31">
        <v>0.49</v>
      </c>
      <c r="O31" t="s">
        <v>53</v>
      </c>
      <c r="T31" t="s">
        <v>367</v>
      </c>
      <c r="U31" t="s">
        <v>334</v>
      </c>
      <c r="V31">
        <v>4648892</v>
      </c>
      <c r="W31" t="s">
        <v>163</v>
      </c>
      <c r="X31">
        <v>0.04</v>
      </c>
      <c r="Y31" t="s">
        <v>377</v>
      </c>
    </row>
    <row r="32" spans="1:25" x14ac:dyDescent="0.35">
      <c r="A32" t="s">
        <v>192</v>
      </c>
      <c r="B32">
        <v>4723508</v>
      </c>
      <c r="C32" t="s">
        <v>163</v>
      </c>
      <c r="D32">
        <v>0.01</v>
      </c>
      <c r="E32" t="s">
        <v>377</v>
      </c>
      <c r="J32" t="s">
        <v>367</v>
      </c>
      <c r="K32" t="s">
        <v>238</v>
      </c>
      <c r="L32">
        <v>4139922</v>
      </c>
      <c r="M32" t="s">
        <v>297</v>
      </c>
      <c r="N32">
        <v>0.42</v>
      </c>
      <c r="O32" t="s">
        <v>385</v>
      </c>
      <c r="T32" t="s">
        <v>367</v>
      </c>
      <c r="U32" t="s">
        <v>335</v>
      </c>
      <c r="V32">
        <v>113985</v>
      </c>
      <c r="W32" t="s">
        <v>208</v>
      </c>
      <c r="X32">
        <v>0.04</v>
      </c>
      <c r="Y32" t="s">
        <v>53</v>
      </c>
    </row>
    <row r="33" spans="1:25" x14ac:dyDescent="0.35">
      <c r="A33" t="s">
        <v>193</v>
      </c>
      <c r="B33" t="s">
        <v>205</v>
      </c>
      <c r="C33" t="s">
        <v>209</v>
      </c>
      <c r="D33">
        <v>0</v>
      </c>
      <c r="E33" t="s">
        <v>47</v>
      </c>
      <c r="J33" t="s">
        <v>367</v>
      </c>
      <c r="K33" t="s">
        <v>239</v>
      </c>
      <c r="L33" t="s">
        <v>205</v>
      </c>
      <c r="M33" t="s">
        <v>209</v>
      </c>
      <c r="N33">
        <v>0.41</v>
      </c>
      <c r="O33" t="s">
        <v>47</v>
      </c>
      <c r="T33" t="s">
        <v>367</v>
      </c>
      <c r="U33" t="s">
        <v>336</v>
      </c>
      <c r="V33">
        <v>4041955</v>
      </c>
      <c r="W33" t="s">
        <v>208</v>
      </c>
      <c r="X33">
        <v>0.03</v>
      </c>
      <c r="Y33" t="s">
        <v>377</v>
      </c>
    </row>
    <row r="34" spans="1:25" x14ac:dyDescent="0.35">
      <c r="A34" t="s">
        <v>194</v>
      </c>
      <c r="B34" t="s">
        <v>205</v>
      </c>
      <c r="C34" t="s">
        <v>209</v>
      </c>
      <c r="D34">
        <v>0</v>
      </c>
      <c r="E34" t="s">
        <v>47</v>
      </c>
      <c r="J34" t="s">
        <v>367</v>
      </c>
      <c r="K34" t="s">
        <v>240</v>
      </c>
      <c r="L34">
        <v>4042808</v>
      </c>
      <c r="M34" t="s">
        <v>163</v>
      </c>
      <c r="N34">
        <v>0.36</v>
      </c>
      <c r="O34" t="s">
        <v>385</v>
      </c>
      <c r="T34" t="s">
        <v>367</v>
      </c>
      <c r="U34" t="s">
        <v>337</v>
      </c>
      <c r="V34">
        <v>4552119</v>
      </c>
      <c r="W34" t="s">
        <v>208</v>
      </c>
      <c r="X34">
        <v>0.03</v>
      </c>
      <c r="Y34" t="s">
        <v>377</v>
      </c>
    </row>
    <row r="35" spans="1:25" x14ac:dyDescent="0.35">
      <c r="A35" t="s">
        <v>195</v>
      </c>
      <c r="B35" t="s">
        <v>205</v>
      </c>
      <c r="C35" t="s">
        <v>209</v>
      </c>
      <c r="D35">
        <v>0</v>
      </c>
      <c r="E35" t="s">
        <v>47</v>
      </c>
      <c r="J35" t="s">
        <v>367</v>
      </c>
      <c r="K35" t="s">
        <v>241</v>
      </c>
      <c r="L35">
        <v>116254197</v>
      </c>
      <c r="M35" t="s">
        <v>163</v>
      </c>
      <c r="N35">
        <v>0.31</v>
      </c>
      <c r="O35" t="s">
        <v>385</v>
      </c>
      <c r="T35" t="s">
        <v>367</v>
      </c>
      <c r="U35" t="s">
        <v>338</v>
      </c>
      <c r="V35">
        <v>4118652</v>
      </c>
      <c r="W35" t="s">
        <v>163</v>
      </c>
      <c r="X35">
        <v>0.03</v>
      </c>
      <c r="Y35" t="s">
        <v>385</v>
      </c>
    </row>
    <row r="36" spans="1:25" x14ac:dyDescent="0.35">
      <c r="A36" t="s">
        <v>196</v>
      </c>
      <c r="B36" t="s">
        <v>205</v>
      </c>
      <c r="C36" t="s">
        <v>209</v>
      </c>
      <c r="D36">
        <v>0</v>
      </c>
      <c r="E36" t="s">
        <v>47</v>
      </c>
      <c r="J36" t="s">
        <v>367</v>
      </c>
      <c r="K36" t="s">
        <v>242</v>
      </c>
      <c r="L36" t="s">
        <v>205</v>
      </c>
      <c r="M36" t="s">
        <v>209</v>
      </c>
      <c r="N36">
        <v>0.28000000000000003</v>
      </c>
      <c r="O36" t="s">
        <v>47</v>
      </c>
      <c r="T36" t="s">
        <v>367</v>
      </c>
      <c r="U36" t="s">
        <v>339</v>
      </c>
      <c r="V36">
        <v>5760038</v>
      </c>
      <c r="W36" t="s">
        <v>163</v>
      </c>
      <c r="X36">
        <v>0.03</v>
      </c>
      <c r="Y36" t="s">
        <v>393</v>
      </c>
    </row>
    <row r="37" spans="1:25" x14ac:dyDescent="0.35">
      <c r="A37" t="s">
        <v>197</v>
      </c>
      <c r="B37">
        <v>109776</v>
      </c>
      <c r="C37" t="s">
        <v>163</v>
      </c>
      <c r="D37">
        <v>0</v>
      </c>
      <c r="E37" t="s">
        <v>385</v>
      </c>
      <c r="J37" t="s">
        <v>367</v>
      </c>
      <c r="K37" t="s">
        <v>243</v>
      </c>
      <c r="L37">
        <v>4026948</v>
      </c>
      <c r="M37" t="s">
        <v>163</v>
      </c>
      <c r="N37">
        <v>0.24</v>
      </c>
      <c r="O37" t="s">
        <v>388</v>
      </c>
      <c r="T37" t="s">
        <v>367</v>
      </c>
      <c r="U37" t="s">
        <v>340</v>
      </c>
      <c r="V37">
        <v>4041848</v>
      </c>
      <c r="W37" t="s">
        <v>364</v>
      </c>
      <c r="X37">
        <v>0.03</v>
      </c>
      <c r="Y37" t="s">
        <v>377</v>
      </c>
    </row>
    <row r="38" spans="1:25" x14ac:dyDescent="0.35">
      <c r="A38" t="s">
        <v>198</v>
      </c>
      <c r="B38">
        <v>4158830</v>
      </c>
      <c r="C38" t="s">
        <v>163</v>
      </c>
      <c r="D38">
        <v>0</v>
      </c>
      <c r="E38" t="s">
        <v>385</v>
      </c>
      <c r="J38" t="s">
        <v>367</v>
      </c>
      <c r="K38" t="s">
        <v>244</v>
      </c>
      <c r="L38">
        <v>110360</v>
      </c>
      <c r="M38" t="s">
        <v>163</v>
      </c>
      <c r="N38">
        <v>0.21</v>
      </c>
      <c r="O38" t="s">
        <v>385</v>
      </c>
      <c r="T38" t="s">
        <v>367</v>
      </c>
      <c r="U38" t="s">
        <v>341</v>
      </c>
      <c r="V38">
        <v>29123718</v>
      </c>
      <c r="W38" t="s">
        <v>210</v>
      </c>
      <c r="X38">
        <v>0.02</v>
      </c>
      <c r="Y38" t="s">
        <v>394</v>
      </c>
    </row>
    <row r="39" spans="1:25" x14ac:dyDescent="0.35">
      <c r="A39" t="s">
        <v>199</v>
      </c>
      <c r="B39">
        <v>4212945</v>
      </c>
      <c r="C39" t="s">
        <v>163</v>
      </c>
      <c r="D39">
        <v>0</v>
      </c>
      <c r="E39" t="s">
        <v>369</v>
      </c>
      <c r="J39" t="s">
        <v>367</v>
      </c>
      <c r="K39" t="s">
        <v>245</v>
      </c>
      <c r="L39">
        <v>102729</v>
      </c>
      <c r="M39" t="s">
        <v>163</v>
      </c>
      <c r="N39">
        <v>0.19</v>
      </c>
      <c r="O39" t="s">
        <v>385</v>
      </c>
      <c r="T39" t="s">
        <v>367</v>
      </c>
      <c r="U39" t="s">
        <v>342</v>
      </c>
      <c r="V39">
        <v>4020980</v>
      </c>
      <c r="W39" t="s">
        <v>163</v>
      </c>
      <c r="X39">
        <v>0.02</v>
      </c>
      <c r="Y39" t="s">
        <v>395</v>
      </c>
    </row>
    <row r="40" spans="1:25" x14ac:dyDescent="0.35">
      <c r="A40" t="s">
        <v>200</v>
      </c>
      <c r="B40">
        <v>4138917</v>
      </c>
      <c r="C40" t="s">
        <v>163</v>
      </c>
      <c r="D40">
        <v>0</v>
      </c>
      <c r="E40" t="s">
        <v>369</v>
      </c>
      <c r="J40" t="s">
        <v>367</v>
      </c>
      <c r="K40" t="s">
        <v>246</v>
      </c>
      <c r="L40">
        <v>4057506</v>
      </c>
      <c r="M40" t="s">
        <v>163</v>
      </c>
      <c r="N40">
        <v>0.18</v>
      </c>
      <c r="O40" t="s">
        <v>385</v>
      </c>
      <c r="T40" t="s">
        <v>367</v>
      </c>
      <c r="U40" t="s">
        <v>343</v>
      </c>
      <c r="V40">
        <v>4090384</v>
      </c>
      <c r="W40" t="s">
        <v>163</v>
      </c>
      <c r="X40">
        <v>0.02</v>
      </c>
      <c r="Y40" t="s">
        <v>396</v>
      </c>
    </row>
    <row r="41" spans="1:25" x14ac:dyDescent="0.35">
      <c r="A41" t="s">
        <v>201</v>
      </c>
      <c r="B41">
        <v>134009706</v>
      </c>
      <c r="C41" t="s">
        <v>210</v>
      </c>
      <c r="D41">
        <v>0</v>
      </c>
      <c r="E41" t="s">
        <v>369</v>
      </c>
      <c r="J41" t="s">
        <v>367</v>
      </c>
      <c r="K41" t="s">
        <v>187</v>
      </c>
      <c r="L41">
        <v>110652</v>
      </c>
      <c r="M41" t="s">
        <v>163</v>
      </c>
      <c r="N41">
        <v>0.17</v>
      </c>
      <c r="O41" t="s">
        <v>385</v>
      </c>
      <c r="T41" t="s">
        <v>367</v>
      </c>
      <c r="U41" t="s">
        <v>344</v>
      </c>
      <c r="V41">
        <v>8340907</v>
      </c>
      <c r="W41" t="s">
        <v>208</v>
      </c>
      <c r="X41">
        <v>0.02</v>
      </c>
      <c r="Y41" t="s">
        <v>396</v>
      </c>
    </row>
    <row r="42" spans="1:25" x14ac:dyDescent="0.35">
      <c r="A42" t="s">
        <v>202</v>
      </c>
      <c r="B42">
        <v>6840063</v>
      </c>
      <c r="C42" t="s">
        <v>208</v>
      </c>
      <c r="D42">
        <v>0</v>
      </c>
      <c r="E42" t="s">
        <v>369</v>
      </c>
      <c r="J42" t="s">
        <v>367</v>
      </c>
      <c r="K42" t="s">
        <v>247</v>
      </c>
      <c r="L42">
        <v>4420792</v>
      </c>
      <c r="M42" t="s">
        <v>163</v>
      </c>
      <c r="N42">
        <v>0.17</v>
      </c>
      <c r="O42" t="s">
        <v>53</v>
      </c>
      <c r="T42" t="s">
        <v>367</v>
      </c>
      <c r="U42" t="s">
        <v>345</v>
      </c>
      <c r="V42">
        <v>4762074</v>
      </c>
      <c r="W42" t="s">
        <v>296</v>
      </c>
      <c r="X42">
        <v>0.01</v>
      </c>
      <c r="Y42" t="s">
        <v>389</v>
      </c>
    </row>
    <row r="43" spans="1:25" x14ac:dyDescent="0.35">
      <c r="A43" t="s">
        <v>203</v>
      </c>
      <c r="B43">
        <v>100335104</v>
      </c>
      <c r="C43" t="s">
        <v>210</v>
      </c>
      <c r="D43">
        <v>0</v>
      </c>
      <c r="E43" t="s">
        <v>369</v>
      </c>
      <c r="J43" t="s">
        <v>367</v>
      </c>
      <c r="K43" t="s">
        <v>248</v>
      </c>
      <c r="L43">
        <v>4140083</v>
      </c>
      <c r="M43" t="s">
        <v>163</v>
      </c>
      <c r="N43">
        <v>0.16</v>
      </c>
      <c r="O43" t="s">
        <v>53</v>
      </c>
      <c r="T43" t="s">
        <v>367</v>
      </c>
      <c r="U43" t="s">
        <v>346</v>
      </c>
      <c r="V43">
        <v>4138204</v>
      </c>
      <c r="W43" t="s">
        <v>163</v>
      </c>
      <c r="X43">
        <v>0.01</v>
      </c>
      <c r="Y43" t="s">
        <v>377</v>
      </c>
    </row>
    <row r="44" spans="1:25" x14ac:dyDescent="0.35">
      <c r="A44" t="s">
        <v>204</v>
      </c>
      <c r="B44">
        <v>4035990</v>
      </c>
      <c r="C44" t="s">
        <v>163</v>
      </c>
      <c r="D44">
        <v>0</v>
      </c>
      <c r="E44" t="s">
        <v>56</v>
      </c>
      <c r="J44" t="s">
        <v>367</v>
      </c>
      <c r="K44" t="s">
        <v>249</v>
      </c>
      <c r="L44">
        <v>4674815</v>
      </c>
      <c r="M44" t="s">
        <v>163</v>
      </c>
      <c r="N44">
        <v>0.15</v>
      </c>
      <c r="O44" t="s">
        <v>389</v>
      </c>
      <c r="T44" t="s">
        <v>367</v>
      </c>
      <c r="U44" t="s">
        <v>347</v>
      </c>
      <c r="V44" t="s">
        <v>205</v>
      </c>
      <c r="W44" t="s">
        <v>209</v>
      </c>
      <c r="X44">
        <v>0.01</v>
      </c>
      <c r="Y44" t="s">
        <v>47</v>
      </c>
    </row>
    <row r="45" spans="1:25" x14ac:dyDescent="0.35">
      <c r="E45" t="s">
        <v>367</v>
      </c>
      <c r="J45" t="s">
        <v>367</v>
      </c>
      <c r="K45" t="s">
        <v>250</v>
      </c>
      <c r="L45">
        <v>4255658</v>
      </c>
      <c r="M45" t="s">
        <v>163</v>
      </c>
      <c r="N45">
        <v>0.14000000000000001</v>
      </c>
      <c r="O45" t="s">
        <v>53</v>
      </c>
      <c r="T45" t="s">
        <v>367</v>
      </c>
      <c r="U45" t="s">
        <v>348</v>
      </c>
      <c r="V45">
        <v>4137983</v>
      </c>
      <c r="W45" t="s">
        <v>163</v>
      </c>
      <c r="X45">
        <v>0.01</v>
      </c>
      <c r="Y45" t="s">
        <v>377</v>
      </c>
    </row>
    <row r="46" spans="1:25" x14ac:dyDescent="0.35">
      <c r="E46" t="s">
        <v>367</v>
      </c>
      <c r="J46" t="s">
        <v>367</v>
      </c>
      <c r="K46" t="s">
        <v>251</v>
      </c>
      <c r="L46" t="s">
        <v>205</v>
      </c>
      <c r="M46" t="s">
        <v>209</v>
      </c>
      <c r="N46">
        <v>0.12</v>
      </c>
      <c r="O46" t="s">
        <v>47</v>
      </c>
      <c r="T46" t="s">
        <v>367</v>
      </c>
      <c r="U46" t="s">
        <v>349</v>
      </c>
      <c r="V46">
        <v>4221781</v>
      </c>
      <c r="W46" t="s">
        <v>208</v>
      </c>
      <c r="X46">
        <v>0.01</v>
      </c>
      <c r="Y46" t="s">
        <v>377</v>
      </c>
    </row>
    <row r="47" spans="1:25" x14ac:dyDescent="0.35">
      <c r="E47" t="s">
        <v>367</v>
      </c>
      <c r="J47" t="s">
        <v>367</v>
      </c>
      <c r="K47" t="s">
        <v>252</v>
      </c>
      <c r="L47" t="s">
        <v>205</v>
      </c>
      <c r="M47" t="s">
        <v>209</v>
      </c>
      <c r="N47">
        <v>0.11</v>
      </c>
      <c r="O47" t="s">
        <v>47</v>
      </c>
      <c r="T47" t="s">
        <v>367</v>
      </c>
      <c r="U47" t="s">
        <v>350</v>
      </c>
      <c r="V47">
        <v>4093470</v>
      </c>
      <c r="W47" t="s">
        <v>208</v>
      </c>
      <c r="X47">
        <v>0.01</v>
      </c>
      <c r="Y47" t="s">
        <v>377</v>
      </c>
    </row>
    <row r="48" spans="1:25" x14ac:dyDescent="0.35">
      <c r="E48" t="s">
        <v>367</v>
      </c>
      <c r="J48" t="s">
        <v>367</v>
      </c>
      <c r="K48" t="s">
        <v>253</v>
      </c>
      <c r="L48">
        <v>4118993</v>
      </c>
      <c r="M48" t="s">
        <v>163</v>
      </c>
      <c r="N48">
        <v>0.11</v>
      </c>
      <c r="O48" t="s">
        <v>385</v>
      </c>
      <c r="T48" t="s">
        <v>367</v>
      </c>
      <c r="U48" t="s">
        <v>351</v>
      </c>
      <c r="V48">
        <v>4233769</v>
      </c>
      <c r="W48" t="s">
        <v>163</v>
      </c>
      <c r="X48">
        <v>0.01</v>
      </c>
      <c r="Y48" t="s">
        <v>397</v>
      </c>
    </row>
    <row r="49" spans="5:25" x14ac:dyDescent="0.35">
      <c r="E49" t="s">
        <v>367</v>
      </c>
      <c r="J49" t="s">
        <v>367</v>
      </c>
      <c r="K49" t="s">
        <v>254</v>
      </c>
      <c r="L49">
        <v>4272373</v>
      </c>
      <c r="M49" t="s">
        <v>163</v>
      </c>
      <c r="N49">
        <v>0.09</v>
      </c>
      <c r="O49" t="s">
        <v>377</v>
      </c>
      <c r="T49" t="s">
        <v>367</v>
      </c>
      <c r="U49" t="s">
        <v>352</v>
      </c>
      <c r="V49">
        <v>10295354</v>
      </c>
      <c r="W49" t="s">
        <v>210</v>
      </c>
      <c r="X49">
        <v>0.01</v>
      </c>
      <c r="Y49" t="s">
        <v>377</v>
      </c>
    </row>
    <row r="50" spans="5:25" x14ac:dyDescent="0.35">
      <c r="E50" t="s">
        <v>367</v>
      </c>
      <c r="J50" t="s">
        <v>367</v>
      </c>
      <c r="K50" t="s">
        <v>255</v>
      </c>
      <c r="L50">
        <v>4653728</v>
      </c>
      <c r="M50" t="s">
        <v>163</v>
      </c>
      <c r="N50">
        <v>0.08</v>
      </c>
      <c r="O50" t="s">
        <v>398</v>
      </c>
      <c r="T50" t="s">
        <v>367</v>
      </c>
      <c r="U50" t="s">
        <v>353</v>
      </c>
      <c r="V50">
        <v>28716079</v>
      </c>
      <c r="W50" t="s">
        <v>163</v>
      </c>
      <c r="X50">
        <v>0.01</v>
      </c>
      <c r="Y50" t="s">
        <v>377</v>
      </c>
    </row>
    <row r="51" spans="5:25" x14ac:dyDescent="0.35">
      <c r="E51" t="s">
        <v>367</v>
      </c>
      <c r="J51" t="s">
        <v>367</v>
      </c>
      <c r="K51" t="s">
        <v>256</v>
      </c>
      <c r="L51">
        <v>4119759</v>
      </c>
      <c r="M51" t="s">
        <v>163</v>
      </c>
      <c r="N51">
        <v>0.08</v>
      </c>
      <c r="O51" t="s">
        <v>385</v>
      </c>
      <c r="T51" t="s">
        <v>367</v>
      </c>
      <c r="U51" t="s">
        <v>354</v>
      </c>
      <c r="V51">
        <v>5763781</v>
      </c>
      <c r="W51" t="s">
        <v>163</v>
      </c>
      <c r="X51">
        <v>0.01</v>
      </c>
      <c r="Y51" t="s">
        <v>377</v>
      </c>
    </row>
    <row r="52" spans="5:25" x14ac:dyDescent="0.35">
      <c r="E52" t="s">
        <v>367</v>
      </c>
      <c r="J52" t="s">
        <v>367</v>
      </c>
      <c r="K52" t="s">
        <v>192</v>
      </c>
      <c r="L52">
        <v>4723508</v>
      </c>
      <c r="M52" t="s">
        <v>163</v>
      </c>
      <c r="N52">
        <v>7.0000000000000007E-2</v>
      </c>
      <c r="O52" t="s">
        <v>377</v>
      </c>
      <c r="T52" t="s">
        <v>367</v>
      </c>
      <c r="U52" t="s">
        <v>355</v>
      </c>
      <c r="V52">
        <v>4853792</v>
      </c>
      <c r="W52" t="s">
        <v>208</v>
      </c>
      <c r="X52">
        <v>0.01</v>
      </c>
      <c r="Y52" t="s">
        <v>377</v>
      </c>
    </row>
    <row r="53" spans="5:25" x14ac:dyDescent="0.35">
      <c r="E53" t="s">
        <v>367</v>
      </c>
      <c r="J53" t="s">
        <v>367</v>
      </c>
      <c r="K53" t="s">
        <v>257</v>
      </c>
      <c r="L53">
        <v>4270330</v>
      </c>
      <c r="M53" t="s">
        <v>163</v>
      </c>
      <c r="N53">
        <v>7.0000000000000007E-2</v>
      </c>
      <c r="O53" t="s">
        <v>385</v>
      </c>
      <c r="T53" t="s">
        <v>367</v>
      </c>
      <c r="U53" t="s">
        <v>356</v>
      </c>
      <c r="V53">
        <v>4492849</v>
      </c>
      <c r="W53" t="s">
        <v>163</v>
      </c>
      <c r="X53">
        <v>0</v>
      </c>
      <c r="Y53" t="s">
        <v>377</v>
      </c>
    </row>
    <row r="54" spans="5:25" x14ac:dyDescent="0.35">
      <c r="E54" t="s">
        <v>367</v>
      </c>
      <c r="J54" t="s">
        <v>367</v>
      </c>
      <c r="K54" t="s">
        <v>258</v>
      </c>
      <c r="L54" t="s">
        <v>205</v>
      </c>
      <c r="M54" t="s">
        <v>209</v>
      </c>
      <c r="N54">
        <v>7.0000000000000007E-2</v>
      </c>
      <c r="O54" t="s">
        <v>47</v>
      </c>
      <c r="T54" t="s">
        <v>367</v>
      </c>
      <c r="U54" t="s">
        <v>357</v>
      </c>
      <c r="V54">
        <v>4212003</v>
      </c>
      <c r="W54" t="s">
        <v>208</v>
      </c>
      <c r="X54">
        <v>0</v>
      </c>
      <c r="Y54" t="s">
        <v>399</v>
      </c>
    </row>
    <row r="55" spans="5:25" x14ac:dyDescent="0.35">
      <c r="E55" t="s">
        <v>367</v>
      </c>
      <c r="J55" t="s">
        <v>367</v>
      </c>
      <c r="K55" t="s">
        <v>259</v>
      </c>
      <c r="L55">
        <v>4550922</v>
      </c>
      <c r="M55" t="s">
        <v>163</v>
      </c>
      <c r="N55">
        <v>7.0000000000000007E-2</v>
      </c>
      <c r="O55" t="s">
        <v>385</v>
      </c>
      <c r="T55" t="s">
        <v>367</v>
      </c>
      <c r="U55" t="s">
        <v>358</v>
      </c>
      <c r="V55">
        <v>4836745</v>
      </c>
      <c r="W55" t="s">
        <v>208</v>
      </c>
      <c r="X55">
        <v>0</v>
      </c>
      <c r="Y55" t="s">
        <v>377</v>
      </c>
    </row>
    <row r="56" spans="5:25" x14ac:dyDescent="0.35">
      <c r="E56" t="s">
        <v>367</v>
      </c>
      <c r="J56" t="s">
        <v>367</v>
      </c>
      <c r="K56" t="s">
        <v>171</v>
      </c>
      <c r="L56">
        <v>13969643</v>
      </c>
      <c r="M56" t="s">
        <v>163</v>
      </c>
      <c r="N56">
        <v>0.06</v>
      </c>
      <c r="O56" t="s">
        <v>377</v>
      </c>
      <c r="T56" t="s">
        <v>367</v>
      </c>
      <c r="U56" t="s">
        <v>359</v>
      </c>
      <c r="V56">
        <v>4257715</v>
      </c>
      <c r="W56" t="s">
        <v>208</v>
      </c>
      <c r="X56">
        <v>0</v>
      </c>
      <c r="Y56" t="s">
        <v>400</v>
      </c>
    </row>
    <row r="57" spans="5:25" x14ac:dyDescent="0.35">
      <c r="E57" t="s">
        <v>367</v>
      </c>
      <c r="J57" t="s">
        <v>367</v>
      </c>
      <c r="K57" t="s">
        <v>260</v>
      </c>
      <c r="L57" t="s">
        <v>205</v>
      </c>
      <c r="M57" t="s">
        <v>209</v>
      </c>
      <c r="N57">
        <v>0.06</v>
      </c>
      <c r="O57" t="s">
        <v>47</v>
      </c>
      <c r="T57" t="s">
        <v>367</v>
      </c>
      <c r="U57" t="s">
        <v>360</v>
      </c>
      <c r="V57">
        <v>4249827</v>
      </c>
      <c r="W57" t="s">
        <v>163</v>
      </c>
      <c r="X57">
        <v>0</v>
      </c>
      <c r="Y57" t="s">
        <v>401</v>
      </c>
    </row>
    <row r="58" spans="5:25" x14ac:dyDescent="0.35">
      <c r="E58" t="s">
        <v>367</v>
      </c>
      <c r="J58" t="s">
        <v>367</v>
      </c>
      <c r="K58" t="s">
        <v>261</v>
      </c>
      <c r="L58" t="s">
        <v>205</v>
      </c>
      <c r="M58" t="s">
        <v>209</v>
      </c>
      <c r="N58">
        <v>0.05</v>
      </c>
      <c r="O58" t="s">
        <v>47</v>
      </c>
      <c r="T58" t="s">
        <v>367</v>
      </c>
      <c r="U58" t="s">
        <v>220</v>
      </c>
      <c r="V58">
        <v>114508</v>
      </c>
      <c r="W58" t="s">
        <v>208</v>
      </c>
      <c r="X58">
        <v>0</v>
      </c>
      <c r="Y58" t="s">
        <v>377</v>
      </c>
    </row>
    <row r="59" spans="5:25" x14ac:dyDescent="0.35">
      <c r="E59" t="s">
        <v>367</v>
      </c>
      <c r="J59" t="s">
        <v>367</v>
      </c>
      <c r="K59" t="s">
        <v>262</v>
      </c>
      <c r="L59" t="s">
        <v>205</v>
      </c>
      <c r="M59" t="s">
        <v>209</v>
      </c>
      <c r="N59">
        <v>0.05</v>
      </c>
      <c r="O59" t="s">
        <v>47</v>
      </c>
      <c r="T59" t="s">
        <v>367</v>
      </c>
      <c r="U59" t="s">
        <v>361</v>
      </c>
      <c r="V59">
        <v>7509874</v>
      </c>
      <c r="W59" t="s">
        <v>208</v>
      </c>
      <c r="X59">
        <v>0</v>
      </c>
      <c r="Y59" t="s">
        <v>402</v>
      </c>
    </row>
    <row r="60" spans="5:25" x14ac:dyDescent="0.35">
      <c r="E60" t="s">
        <v>367</v>
      </c>
      <c r="J60" t="s">
        <v>367</v>
      </c>
      <c r="K60" t="s">
        <v>263</v>
      </c>
      <c r="L60">
        <v>5850609</v>
      </c>
      <c r="M60" t="s">
        <v>163</v>
      </c>
      <c r="N60">
        <v>0.05</v>
      </c>
      <c r="O60" t="s">
        <v>53</v>
      </c>
      <c r="T60" t="s">
        <v>367</v>
      </c>
      <c r="U60" t="s">
        <v>362</v>
      </c>
      <c r="V60">
        <v>4138286</v>
      </c>
      <c r="W60" t="s">
        <v>163</v>
      </c>
      <c r="X60">
        <v>0</v>
      </c>
      <c r="Y60" t="s">
        <v>53</v>
      </c>
    </row>
    <row r="61" spans="5:25" x14ac:dyDescent="0.35">
      <c r="E61" t="s">
        <v>367</v>
      </c>
      <c r="J61" t="s">
        <v>367</v>
      </c>
      <c r="K61" t="s">
        <v>264</v>
      </c>
      <c r="L61">
        <v>4145691</v>
      </c>
      <c r="M61" t="s">
        <v>163</v>
      </c>
      <c r="N61">
        <v>0.04</v>
      </c>
      <c r="O61" t="s">
        <v>385</v>
      </c>
      <c r="T61" t="s">
        <v>367</v>
      </c>
      <c r="U61" t="s">
        <v>222</v>
      </c>
      <c r="V61">
        <v>4111901</v>
      </c>
      <c r="W61" t="s">
        <v>163</v>
      </c>
      <c r="X61">
        <v>0</v>
      </c>
      <c r="Y61" t="s">
        <v>387</v>
      </c>
    </row>
    <row r="62" spans="5:25" x14ac:dyDescent="0.35">
      <c r="E62" t="s">
        <v>367</v>
      </c>
      <c r="J62" t="s">
        <v>367</v>
      </c>
      <c r="K62" t="s">
        <v>265</v>
      </c>
      <c r="L62">
        <v>4134208</v>
      </c>
      <c r="M62" t="s">
        <v>163</v>
      </c>
      <c r="N62">
        <v>0.04</v>
      </c>
      <c r="O62" t="s">
        <v>385</v>
      </c>
      <c r="T62" t="s">
        <v>367</v>
      </c>
      <c r="U62" t="s">
        <v>363</v>
      </c>
      <c r="V62">
        <v>5793149</v>
      </c>
      <c r="W62" t="s">
        <v>163</v>
      </c>
      <c r="X62">
        <v>0</v>
      </c>
      <c r="Y62" t="s">
        <v>403</v>
      </c>
    </row>
    <row r="63" spans="5:25" x14ac:dyDescent="0.35">
      <c r="E63" t="s">
        <v>367</v>
      </c>
      <c r="J63" t="s">
        <v>367</v>
      </c>
      <c r="K63" t="s">
        <v>266</v>
      </c>
      <c r="L63" t="s">
        <v>205</v>
      </c>
      <c r="M63" t="s">
        <v>209</v>
      </c>
      <c r="N63">
        <v>0.04</v>
      </c>
      <c r="O63" t="s">
        <v>47</v>
      </c>
      <c r="T63" t="s">
        <v>367</v>
      </c>
      <c r="Y63" t="s">
        <v>367</v>
      </c>
    </row>
    <row r="64" spans="5:25" x14ac:dyDescent="0.35">
      <c r="E64" t="s">
        <v>367</v>
      </c>
      <c r="J64" t="s">
        <v>367</v>
      </c>
      <c r="K64" t="s">
        <v>267</v>
      </c>
      <c r="L64">
        <v>100369</v>
      </c>
      <c r="M64" t="s">
        <v>208</v>
      </c>
      <c r="N64">
        <v>0.04</v>
      </c>
      <c r="O64" t="s">
        <v>385</v>
      </c>
      <c r="T64" t="s">
        <v>367</v>
      </c>
      <c r="Y64" t="s">
        <v>367</v>
      </c>
    </row>
    <row r="65" spans="5:25" x14ac:dyDescent="0.35">
      <c r="E65" t="s">
        <v>367</v>
      </c>
      <c r="J65" t="s">
        <v>367</v>
      </c>
      <c r="K65" t="s">
        <v>268</v>
      </c>
      <c r="L65" t="s">
        <v>205</v>
      </c>
      <c r="M65" t="s">
        <v>209</v>
      </c>
      <c r="N65">
        <v>0.03</v>
      </c>
      <c r="O65" t="s">
        <v>47</v>
      </c>
      <c r="T65" t="s">
        <v>367</v>
      </c>
      <c r="Y65" t="s">
        <v>367</v>
      </c>
    </row>
    <row r="66" spans="5:25" x14ac:dyDescent="0.35">
      <c r="E66" t="s">
        <v>367</v>
      </c>
      <c r="J66" t="s">
        <v>367</v>
      </c>
      <c r="K66" t="s">
        <v>269</v>
      </c>
      <c r="L66" t="s">
        <v>205</v>
      </c>
      <c r="M66" t="s">
        <v>209</v>
      </c>
      <c r="N66">
        <v>0.03</v>
      </c>
      <c r="O66" t="s">
        <v>47</v>
      </c>
      <c r="T66" t="s">
        <v>367</v>
      </c>
      <c r="Y66" t="s">
        <v>367</v>
      </c>
    </row>
    <row r="67" spans="5:25" x14ac:dyDescent="0.35">
      <c r="E67" t="s">
        <v>367</v>
      </c>
      <c r="J67" t="s">
        <v>367</v>
      </c>
      <c r="K67" t="s">
        <v>270</v>
      </c>
      <c r="L67">
        <v>4048184</v>
      </c>
      <c r="M67" t="s">
        <v>163</v>
      </c>
      <c r="N67">
        <v>0.03</v>
      </c>
      <c r="O67" t="s">
        <v>56</v>
      </c>
      <c r="T67" t="s">
        <v>367</v>
      </c>
      <c r="Y67" t="s">
        <v>367</v>
      </c>
    </row>
    <row r="68" spans="5:25" x14ac:dyDescent="0.35">
      <c r="E68" t="s">
        <v>367</v>
      </c>
      <c r="J68" t="s">
        <v>367</v>
      </c>
      <c r="K68" t="s">
        <v>271</v>
      </c>
      <c r="L68">
        <v>4153606</v>
      </c>
      <c r="M68" t="s">
        <v>163</v>
      </c>
      <c r="N68">
        <v>0.03</v>
      </c>
      <c r="O68" t="s">
        <v>385</v>
      </c>
      <c r="T68" t="s">
        <v>367</v>
      </c>
      <c r="Y68" t="s">
        <v>367</v>
      </c>
    </row>
    <row r="69" spans="5:25" x14ac:dyDescent="0.35">
      <c r="E69" t="s">
        <v>367</v>
      </c>
      <c r="J69" t="s">
        <v>367</v>
      </c>
      <c r="K69" t="s">
        <v>272</v>
      </c>
      <c r="L69">
        <v>4252258</v>
      </c>
      <c r="M69" t="s">
        <v>163</v>
      </c>
      <c r="N69">
        <v>0.03</v>
      </c>
      <c r="O69" t="s">
        <v>395</v>
      </c>
      <c r="T69" t="s">
        <v>367</v>
      </c>
      <c r="Y69" t="s">
        <v>367</v>
      </c>
    </row>
    <row r="70" spans="5:25" x14ac:dyDescent="0.35">
      <c r="E70" t="s">
        <v>367</v>
      </c>
      <c r="J70" t="s">
        <v>367</v>
      </c>
      <c r="K70" t="s">
        <v>273</v>
      </c>
      <c r="L70" t="s">
        <v>205</v>
      </c>
      <c r="M70" t="s">
        <v>209</v>
      </c>
      <c r="N70">
        <v>0.03</v>
      </c>
      <c r="O70" t="s">
        <v>47</v>
      </c>
      <c r="T70" t="s">
        <v>367</v>
      </c>
      <c r="Y70" t="s">
        <v>367</v>
      </c>
    </row>
    <row r="71" spans="5:25" x14ac:dyDescent="0.35">
      <c r="E71" t="s">
        <v>367</v>
      </c>
      <c r="J71" t="s">
        <v>367</v>
      </c>
      <c r="K71" t="s">
        <v>200</v>
      </c>
      <c r="L71">
        <v>4138917</v>
      </c>
      <c r="M71" t="s">
        <v>163</v>
      </c>
      <c r="N71">
        <v>0.02</v>
      </c>
      <c r="O71" t="s">
        <v>369</v>
      </c>
      <c r="T71" t="s">
        <v>367</v>
      </c>
      <c r="Y71" t="s">
        <v>367</v>
      </c>
    </row>
    <row r="72" spans="5:25" x14ac:dyDescent="0.35">
      <c r="E72" t="s">
        <v>367</v>
      </c>
      <c r="J72" t="s">
        <v>367</v>
      </c>
      <c r="K72" t="s">
        <v>274</v>
      </c>
      <c r="L72">
        <v>4138888</v>
      </c>
      <c r="M72" t="s">
        <v>163</v>
      </c>
      <c r="N72">
        <v>0.02</v>
      </c>
      <c r="O72" t="s">
        <v>59</v>
      </c>
      <c r="T72" t="s">
        <v>367</v>
      </c>
      <c r="Y72" t="s">
        <v>367</v>
      </c>
    </row>
    <row r="73" spans="5:25" x14ac:dyDescent="0.35">
      <c r="E73" t="s">
        <v>367</v>
      </c>
      <c r="J73" t="s">
        <v>367</v>
      </c>
      <c r="K73" t="s">
        <v>275</v>
      </c>
      <c r="L73">
        <v>4253894</v>
      </c>
      <c r="M73" t="s">
        <v>163</v>
      </c>
      <c r="N73">
        <v>0.02</v>
      </c>
      <c r="O73" t="s">
        <v>390</v>
      </c>
      <c r="T73" t="s">
        <v>367</v>
      </c>
      <c r="Y73" t="s">
        <v>367</v>
      </c>
    </row>
    <row r="74" spans="5:25" x14ac:dyDescent="0.35">
      <c r="E74" t="s">
        <v>367</v>
      </c>
      <c r="J74" t="s">
        <v>367</v>
      </c>
      <c r="K74" t="s">
        <v>276</v>
      </c>
      <c r="L74">
        <v>4557089</v>
      </c>
      <c r="M74" t="s">
        <v>163</v>
      </c>
      <c r="N74">
        <v>0.01</v>
      </c>
      <c r="O74" t="s">
        <v>56</v>
      </c>
      <c r="T74" t="s">
        <v>367</v>
      </c>
      <c r="Y74" t="s">
        <v>367</v>
      </c>
    </row>
    <row r="75" spans="5:25" x14ac:dyDescent="0.35">
      <c r="E75" t="s">
        <v>367</v>
      </c>
      <c r="J75" t="s">
        <v>367</v>
      </c>
      <c r="K75" t="s">
        <v>277</v>
      </c>
      <c r="L75">
        <v>5847797</v>
      </c>
      <c r="M75" t="s">
        <v>163</v>
      </c>
      <c r="N75">
        <v>0.01</v>
      </c>
      <c r="O75" t="s">
        <v>53</v>
      </c>
      <c r="T75" t="s">
        <v>367</v>
      </c>
      <c r="Y75" t="s">
        <v>367</v>
      </c>
    </row>
    <row r="76" spans="5:25" x14ac:dyDescent="0.35">
      <c r="E76" t="s">
        <v>367</v>
      </c>
      <c r="J76" t="s">
        <v>367</v>
      </c>
      <c r="K76" t="s">
        <v>278</v>
      </c>
      <c r="L76" t="s">
        <v>205</v>
      </c>
      <c r="M76" t="s">
        <v>209</v>
      </c>
      <c r="N76">
        <v>0.01</v>
      </c>
      <c r="O76" t="s">
        <v>47</v>
      </c>
      <c r="T76" t="s">
        <v>367</v>
      </c>
      <c r="Y76" t="s">
        <v>367</v>
      </c>
    </row>
    <row r="77" spans="5:25" x14ac:dyDescent="0.35">
      <c r="E77" t="s">
        <v>367</v>
      </c>
      <c r="J77" t="s">
        <v>367</v>
      </c>
      <c r="K77" t="s">
        <v>279</v>
      </c>
      <c r="L77">
        <v>111359</v>
      </c>
      <c r="M77" t="s">
        <v>163</v>
      </c>
      <c r="N77">
        <v>0.01</v>
      </c>
      <c r="O77" t="s">
        <v>385</v>
      </c>
      <c r="T77" t="s">
        <v>367</v>
      </c>
      <c r="Y77" t="s">
        <v>367</v>
      </c>
    </row>
    <row r="78" spans="5:25" x14ac:dyDescent="0.35">
      <c r="E78" t="s">
        <v>367</v>
      </c>
      <c r="J78" t="s">
        <v>367</v>
      </c>
      <c r="K78" t="s">
        <v>280</v>
      </c>
      <c r="L78">
        <v>4227239</v>
      </c>
      <c r="M78" t="s">
        <v>163</v>
      </c>
      <c r="N78">
        <v>0.01</v>
      </c>
      <c r="O78" t="s">
        <v>404</v>
      </c>
      <c r="T78" t="s">
        <v>367</v>
      </c>
      <c r="Y78" t="s">
        <v>367</v>
      </c>
    </row>
    <row r="79" spans="5:25" x14ac:dyDescent="0.35">
      <c r="E79" t="s">
        <v>367</v>
      </c>
      <c r="J79" t="s">
        <v>367</v>
      </c>
      <c r="K79" t="s">
        <v>281</v>
      </c>
      <c r="L79">
        <v>109290</v>
      </c>
      <c r="M79" t="s">
        <v>297</v>
      </c>
      <c r="N79">
        <v>0</v>
      </c>
      <c r="O79" t="s">
        <v>385</v>
      </c>
      <c r="T79" t="s">
        <v>367</v>
      </c>
      <c r="Y79" t="s">
        <v>367</v>
      </c>
    </row>
    <row r="80" spans="5:25" x14ac:dyDescent="0.35">
      <c r="E80" t="s">
        <v>367</v>
      </c>
      <c r="J80" t="s">
        <v>367</v>
      </c>
      <c r="K80" t="s">
        <v>282</v>
      </c>
      <c r="L80">
        <v>4033550</v>
      </c>
      <c r="M80" t="s">
        <v>163</v>
      </c>
      <c r="N80">
        <v>0</v>
      </c>
      <c r="O80" t="s">
        <v>385</v>
      </c>
      <c r="T80" t="s">
        <v>367</v>
      </c>
      <c r="Y80" t="s">
        <v>367</v>
      </c>
    </row>
    <row r="81" spans="5:25" x14ac:dyDescent="0.35">
      <c r="E81" t="s">
        <v>367</v>
      </c>
      <c r="J81" t="s">
        <v>367</v>
      </c>
      <c r="K81" t="s">
        <v>183</v>
      </c>
      <c r="L81">
        <v>4578944</v>
      </c>
      <c r="M81" t="s">
        <v>163</v>
      </c>
      <c r="N81">
        <v>0</v>
      </c>
      <c r="O81" t="s">
        <v>369</v>
      </c>
      <c r="T81" t="s">
        <v>367</v>
      </c>
      <c r="Y81" t="s">
        <v>367</v>
      </c>
    </row>
    <row r="82" spans="5:25" x14ac:dyDescent="0.35">
      <c r="E82" t="s">
        <v>367</v>
      </c>
      <c r="J82" t="s">
        <v>367</v>
      </c>
      <c r="K82" t="s">
        <v>283</v>
      </c>
      <c r="L82">
        <v>4115698</v>
      </c>
      <c r="M82" t="s">
        <v>163</v>
      </c>
      <c r="N82">
        <v>0</v>
      </c>
      <c r="O82" t="s">
        <v>377</v>
      </c>
      <c r="T82" t="s">
        <v>367</v>
      </c>
      <c r="Y82" t="s">
        <v>367</v>
      </c>
    </row>
    <row r="83" spans="5:25" x14ac:dyDescent="0.35">
      <c r="E83" t="s">
        <v>367</v>
      </c>
      <c r="J83" t="s">
        <v>367</v>
      </c>
      <c r="K83" t="s">
        <v>284</v>
      </c>
      <c r="L83">
        <v>4378744</v>
      </c>
      <c r="M83" t="s">
        <v>163</v>
      </c>
      <c r="N83">
        <v>0</v>
      </c>
      <c r="O83" t="s">
        <v>398</v>
      </c>
      <c r="T83" t="s">
        <v>367</v>
      </c>
      <c r="Y83" t="s">
        <v>367</v>
      </c>
    </row>
    <row r="84" spans="5:25" x14ac:dyDescent="0.35">
      <c r="E84" t="s">
        <v>367</v>
      </c>
      <c r="J84" t="s">
        <v>367</v>
      </c>
      <c r="K84" t="s">
        <v>190</v>
      </c>
      <c r="L84">
        <v>112247511</v>
      </c>
      <c r="M84" t="s">
        <v>163</v>
      </c>
      <c r="N84">
        <v>0</v>
      </c>
      <c r="O84" t="s">
        <v>385</v>
      </c>
      <c r="T84" t="s">
        <v>367</v>
      </c>
      <c r="Y84" t="s">
        <v>367</v>
      </c>
    </row>
    <row r="85" spans="5:25" x14ac:dyDescent="0.35">
      <c r="E85" t="s">
        <v>367</v>
      </c>
      <c r="J85" t="s">
        <v>367</v>
      </c>
      <c r="K85" t="s">
        <v>285</v>
      </c>
      <c r="L85">
        <v>4318598</v>
      </c>
      <c r="M85" t="s">
        <v>163</v>
      </c>
      <c r="N85">
        <v>0</v>
      </c>
      <c r="O85" t="s">
        <v>385</v>
      </c>
      <c r="T85" t="s">
        <v>367</v>
      </c>
      <c r="Y85" t="s">
        <v>367</v>
      </c>
    </row>
    <row r="86" spans="5:25" x14ac:dyDescent="0.35">
      <c r="E86" t="s">
        <v>367</v>
      </c>
      <c r="J86" t="s">
        <v>367</v>
      </c>
      <c r="K86" t="s">
        <v>286</v>
      </c>
      <c r="L86">
        <v>4140566</v>
      </c>
      <c r="M86" t="s">
        <v>163</v>
      </c>
      <c r="N86">
        <v>0</v>
      </c>
      <c r="O86" t="s">
        <v>405</v>
      </c>
      <c r="T86" t="s">
        <v>367</v>
      </c>
      <c r="Y86" t="s">
        <v>367</v>
      </c>
    </row>
    <row r="87" spans="5:25" x14ac:dyDescent="0.35">
      <c r="E87" t="s">
        <v>367</v>
      </c>
      <c r="J87" t="s">
        <v>367</v>
      </c>
      <c r="K87" t="s">
        <v>287</v>
      </c>
      <c r="L87">
        <v>3000896</v>
      </c>
      <c r="M87" t="s">
        <v>163</v>
      </c>
      <c r="N87">
        <v>0</v>
      </c>
      <c r="O87" t="s">
        <v>385</v>
      </c>
      <c r="T87" t="s">
        <v>367</v>
      </c>
      <c r="Y87" t="s">
        <v>367</v>
      </c>
    </row>
    <row r="88" spans="5:25" x14ac:dyDescent="0.35">
      <c r="E88" t="s">
        <v>367</v>
      </c>
      <c r="J88" t="s">
        <v>367</v>
      </c>
      <c r="K88" t="s">
        <v>288</v>
      </c>
      <c r="L88">
        <v>4114882</v>
      </c>
      <c r="M88" t="s">
        <v>163</v>
      </c>
      <c r="N88">
        <v>0</v>
      </c>
      <c r="O88" t="s">
        <v>56</v>
      </c>
      <c r="T88" t="s">
        <v>367</v>
      </c>
      <c r="Y88" t="s">
        <v>367</v>
      </c>
    </row>
    <row r="89" spans="5:25" x14ac:dyDescent="0.35">
      <c r="E89" t="s">
        <v>367</v>
      </c>
      <c r="J89" t="s">
        <v>367</v>
      </c>
      <c r="K89" t="s">
        <v>289</v>
      </c>
      <c r="L89">
        <v>4252195</v>
      </c>
      <c r="M89" t="s">
        <v>297</v>
      </c>
      <c r="N89">
        <v>0</v>
      </c>
      <c r="O89" t="s">
        <v>385</v>
      </c>
      <c r="T89" t="s">
        <v>367</v>
      </c>
      <c r="Y89" t="s">
        <v>367</v>
      </c>
    </row>
    <row r="90" spans="5:25" x14ac:dyDescent="0.35">
      <c r="E90" t="s">
        <v>367</v>
      </c>
      <c r="J90" t="s">
        <v>367</v>
      </c>
      <c r="K90" t="s">
        <v>290</v>
      </c>
      <c r="L90">
        <v>1023401</v>
      </c>
      <c r="M90" t="s">
        <v>163</v>
      </c>
      <c r="N90">
        <v>0</v>
      </c>
      <c r="O90" t="s">
        <v>385</v>
      </c>
      <c r="T90" t="s">
        <v>367</v>
      </c>
      <c r="Y90" t="s">
        <v>367</v>
      </c>
    </row>
    <row r="91" spans="5:25" x14ac:dyDescent="0.35">
      <c r="E91" t="s">
        <v>367</v>
      </c>
      <c r="J91" t="s">
        <v>367</v>
      </c>
      <c r="K91" t="s">
        <v>291</v>
      </c>
      <c r="L91">
        <v>110330</v>
      </c>
      <c r="M91" t="s">
        <v>163</v>
      </c>
      <c r="N91">
        <v>0</v>
      </c>
      <c r="O91" t="s">
        <v>385</v>
      </c>
      <c r="T91" t="s">
        <v>367</v>
      </c>
      <c r="Y91" t="s">
        <v>367</v>
      </c>
    </row>
    <row r="92" spans="5:25" x14ac:dyDescent="0.35">
      <c r="E92" t="s">
        <v>367</v>
      </c>
      <c r="J92" t="s">
        <v>367</v>
      </c>
      <c r="K92" t="s">
        <v>197</v>
      </c>
      <c r="L92">
        <v>109776</v>
      </c>
      <c r="M92" t="s">
        <v>163</v>
      </c>
      <c r="N92">
        <v>0</v>
      </c>
      <c r="O92" t="s">
        <v>385</v>
      </c>
      <c r="T92" t="s">
        <v>367</v>
      </c>
      <c r="Y92" t="s">
        <v>367</v>
      </c>
    </row>
    <row r="93" spans="5:25" x14ac:dyDescent="0.35">
      <c r="E93" t="s">
        <v>367</v>
      </c>
      <c r="J93" t="s">
        <v>367</v>
      </c>
      <c r="K93" t="s">
        <v>292</v>
      </c>
      <c r="L93">
        <v>20313223</v>
      </c>
      <c r="M93" t="s">
        <v>297</v>
      </c>
      <c r="N93">
        <v>0</v>
      </c>
      <c r="O93" t="s">
        <v>406</v>
      </c>
      <c r="T93" t="s">
        <v>367</v>
      </c>
      <c r="Y93" t="s">
        <v>367</v>
      </c>
    </row>
    <row r="94" spans="5:25" x14ac:dyDescent="0.35">
      <c r="E94" t="s">
        <v>367</v>
      </c>
      <c r="J94" t="s">
        <v>367</v>
      </c>
      <c r="K94" t="s">
        <v>293</v>
      </c>
      <c r="L94">
        <v>4251523</v>
      </c>
      <c r="M94" t="s">
        <v>297</v>
      </c>
      <c r="N94">
        <v>-0.47</v>
      </c>
      <c r="O94" t="s">
        <v>385</v>
      </c>
      <c r="T94" t="s">
        <v>367</v>
      </c>
      <c r="Y94" t="s">
        <v>367</v>
      </c>
    </row>
    <row r="95" spans="5:25" x14ac:dyDescent="0.35">
      <c r="E95" t="s">
        <v>367</v>
      </c>
      <c r="J95" t="s">
        <v>367</v>
      </c>
      <c r="K95" t="s">
        <v>294</v>
      </c>
      <c r="L95">
        <v>4135463</v>
      </c>
      <c r="M95" t="s">
        <v>297</v>
      </c>
      <c r="N95">
        <v>-0.83</v>
      </c>
      <c r="O95" t="s">
        <v>385</v>
      </c>
      <c r="T95" t="s">
        <v>367</v>
      </c>
      <c r="Y95" t="s">
        <v>367</v>
      </c>
    </row>
    <row r="96" spans="5:25" x14ac:dyDescent="0.35">
      <c r="E96" t="s">
        <v>367</v>
      </c>
      <c r="J96" t="s">
        <v>367</v>
      </c>
      <c r="K96" t="s">
        <v>295</v>
      </c>
      <c r="L96">
        <v>4135061</v>
      </c>
      <c r="M96" t="s">
        <v>297</v>
      </c>
      <c r="N96">
        <v>-0.91</v>
      </c>
      <c r="O96" t="s">
        <v>377</v>
      </c>
      <c r="T96" t="s">
        <v>367</v>
      </c>
      <c r="Y96" t="s">
        <v>367</v>
      </c>
    </row>
    <row r="97" spans="5:25" x14ac:dyDescent="0.35">
      <c r="E97" t="s">
        <v>367</v>
      </c>
      <c r="J97" t="s">
        <v>367</v>
      </c>
      <c r="O97" t="s">
        <v>367</v>
      </c>
      <c r="T97" t="s">
        <v>367</v>
      </c>
      <c r="Y97" t="s">
        <v>367</v>
      </c>
    </row>
    <row r="98" spans="5:25" x14ac:dyDescent="0.35">
      <c r="E98" t="s">
        <v>367</v>
      </c>
      <c r="J98" t="s">
        <v>367</v>
      </c>
      <c r="O98" t="s">
        <v>367</v>
      </c>
      <c r="T98" t="s">
        <v>367</v>
      </c>
      <c r="Y98" t="s">
        <v>367</v>
      </c>
    </row>
    <row r="99" spans="5:25" x14ac:dyDescent="0.35">
      <c r="E99" t="s">
        <v>367</v>
      </c>
      <c r="J99" t="s">
        <v>367</v>
      </c>
      <c r="O99" t="s">
        <v>367</v>
      </c>
      <c r="T99" t="s">
        <v>367</v>
      </c>
      <c r="Y99" t="s">
        <v>367</v>
      </c>
    </row>
    <row r="100" spans="5:25" x14ac:dyDescent="0.35">
      <c r="E100" t="s">
        <v>367</v>
      </c>
      <c r="J100" t="s">
        <v>367</v>
      </c>
      <c r="O100" t="s">
        <v>367</v>
      </c>
      <c r="T100" t="s">
        <v>367</v>
      </c>
      <c r="Y100" t="s">
        <v>367</v>
      </c>
    </row>
    <row r="101" spans="5:25" x14ac:dyDescent="0.35">
      <c r="E101" t="s">
        <v>367</v>
      </c>
      <c r="J101" t="s">
        <v>367</v>
      </c>
      <c r="O101" t="s">
        <v>367</v>
      </c>
      <c r="T101" t="s">
        <v>367</v>
      </c>
      <c r="Y101" t="s">
        <v>367</v>
      </c>
    </row>
    <row r="102" spans="5:25" x14ac:dyDescent="0.35">
      <c r="E102" t="s">
        <v>367</v>
      </c>
      <c r="J102" t="s">
        <v>367</v>
      </c>
      <c r="O102" t="s">
        <v>367</v>
      </c>
      <c r="T102" t="s">
        <v>367</v>
      </c>
      <c r="Y102" t="s">
        <v>367</v>
      </c>
    </row>
    <row r="103" spans="5:25" x14ac:dyDescent="0.35">
      <c r="E103" t="s">
        <v>367</v>
      </c>
      <c r="J103" t="s">
        <v>367</v>
      </c>
      <c r="O103" t="s">
        <v>367</v>
      </c>
      <c r="T103" t="s">
        <v>367</v>
      </c>
      <c r="Y103" t="s">
        <v>367</v>
      </c>
    </row>
    <row r="104" spans="5:25" x14ac:dyDescent="0.35">
      <c r="E104" t="s">
        <v>367</v>
      </c>
      <c r="J104" t="s">
        <v>367</v>
      </c>
      <c r="O104" t="s">
        <v>367</v>
      </c>
      <c r="T104" t="s">
        <v>367</v>
      </c>
      <c r="Y104" t="s">
        <v>367</v>
      </c>
    </row>
    <row r="105" spans="5:25" x14ac:dyDescent="0.35">
      <c r="E105" t="s">
        <v>367</v>
      </c>
      <c r="J105" t="s">
        <v>367</v>
      </c>
      <c r="O105" t="s">
        <v>367</v>
      </c>
      <c r="T105" t="s">
        <v>367</v>
      </c>
      <c r="Y105" t="s">
        <v>367</v>
      </c>
    </row>
    <row r="106" spans="5:25" x14ac:dyDescent="0.35">
      <c r="E106" t="s">
        <v>367</v>
      </c>
      <c r="J106" t="s">
        <v>367</v>
      </c>
      <c r="O106" t="s">
        <v>367</v>
      </c>
      <c r="T106" t="s">
        <v>367</v>
      </c>
      <c r="Y106" t="s">
        <v>367</v>
      </c>
    </row>
    <row r="107" spans="5:25" x14ac:dyDescent="0.35">
      <c r="E107" t="s">
        <v>367</v>
      </c>
      <c r="J107" t="s">
        <v>367</v>
      </c>
      <c r="O107" t="s">
        <v>367</v>
      </c>
      <c r="T107" t="s">
        <v>367</v>
      </c>
      <c r="Y107" t="s">
        <v>367</v>
      </c>
    </row>
    <row r="108" spans="5:25" x14ac:dyDescent="0.35">
      <c r="E108" t="s">
        <v>367</v>
      </c>
      <c r="J108" t="s">
        <v>367</v>
      </c>
      <c r="O108" t="s">
        <v>367</v>
      </c>
      <c r="T108" t="s">
        <v>367</v>
      </c>
      <c r="Y108" t="s">
        <v>367</v>
      </c>
    </row>
    <row r="109" spans="5:25" x14ac:dyDescent="0.35">
      <c r="E109" t="s">
        <v>367</v>
      </c>
      <c r="J109" t="s">
        <v>367</v>
      </c>
      <c r="O109" t="s">
        <v>367</v>
      </c>
      <c r="T109" t="s">
        <v>367</v>
      </c>
      <c r="Y109" t="s">
        <v>367</v>
      </c>
    </row>
    <row r="110" spans="5:25" x14ac:dyDescent="0.35">
      <c r="E110" t="s">
        <v>367</v>
      </c>
      <c r="J110" t="s">
        <v>367</v>
      </c>
      <c r="O110" t="s">
        <v>367</v>
      </c>
      <c r="T110" t="s">
        <v>367</v>
      </c>
      <c r="Y110" t="s">
        <v>367</v>
      </c>
    </row>
    <row r="111" spans="5:25" x14ac:dyDescent="0.35">
      <c r="E111" t="s">
        <v>367</v>
      </c>
      <c r="J111" t="s">
        <v>367</v>
      </c>
      <c r="O111" t="s">
        <v>367</v>
      </c>
      <c r="T111" t="s">
        <v>367</v>
      </c>
      <c r="Y111" t="s">
        <v>367</v>
      </c>
    </row>
    <row r="112" spans="5:25" x14ac:dyDescent="0.35">
      <c r="E112" t="s">
        <v>367</v>
      </c>
      <c r="J112" t="s">
        <v>367</v>
      </c>
      <c r="O112" t="s">
        <v>367</v>
      </c>
      <c r="T112" t="s">
        <v>367</v>
      </c>
      <c r="Y112" t="s">
        <v>367</v>
      </c>
    </row>
    <row r="113" spans="5:25" x14ac:dyDescent="0.35">
      <c r="E113" t="s">
        <v>367</v>
      </c>
      <c r="J113" t="s">
        <v>367</v>
      </c>
      <c r="O113" t="s">
        <v>367</v>
      </c>
      <c r="T113" t="s">
        <v>367</v>
      </c>
      <c r="Y113" t="s">
        <v>367</v>
      </c>
    </row>
    <row r="114" spans="5:25" x14ac:dyDescent="0.35">
      <c r="E114" t="s">
        <v>367</v>
      </c>
      <c r="J114" t="s">
        <v>367</v>
      </c>
      <c r="O114" t="s">
        <v>367</v>
      </c>
      <c r="T114" t="s">
        <v>367</v>
      </c>
      <c r="Y114" t="s">
        <v>367</v>
      </c>
    </row>
    <row r="115" spans="5:25" x14ac:dyDescent="0.35">
      <c r="E115" t="s">
        <v>367</v>
      </c>
      <c r="J115" t="s">
        <v>367</v>
      </c>
      <c r="O115" t="s">
        <v>367</v>
      </c>
      <c r="T115" t="s">
        <v>367</v>
      </c>
      <c r="Y115" t="s">
        <v>367</v>
      </c>
    </row>
    <row r="116" spans="5:25" x14ac:dyDescent="0.35">
      <c r="E116" t="s">
        <v>367</v>
      </c>
      <c r="J116" t="s">
        <v>367</v>
      </c>
      <c r="O116" t="s">
        <v>367</v>
      </c>
      <c r="T116" t="s">
        <v>367</v>
      </c>
      <c r="Y116" t="s">
        <v>367</v>
      </c>
    </row>
    <row r="117" spans="5:25" x14ac:dyDescent="0.35">
      <c r="E117" t="s">
        <v>367</v>
      </c>
      <c r="J117" t="s">
        <v>367</v>
      </c>
      <c r="O117" t="s">
        <v>367</v>
      </c>
      <c r="T117" t="s">
        <v>367</v>
      </c>
      <c r="Y117" t="s">
        <v>367</v>
      </c>
    </row>
    <row r="118" spans="5:25" x14ac:dyDescent="0.35">
      <c r="E118" t="s">
        <v>367</v>
      </c>
      <c r="J118" t="s">
        <v>367</v>
      </c>
      <c r="O118" t="s">
        <v>367</v>
      </c>
      <c r="T118" t="s">
        <v>367</v>
      </c>
      <c r="Y118" t="s">
        <v>367</v>
      </c>
    </row>
    <row r="119" spans="5:25" x14ac:dyDescent="0.35">
      <c r="E119" t="s">
        <v>367</v>
      </c>
      <c r="J119" t="s">
        <v>367</v>
      </c>
      <c r="O119" t="s">
        <v>367</v>
      </c>
      <c r="T119" t="s">
        <v>367</v>
      </c>
      <c r="Y119" t="s">
        <v>367</v>
      </c>
    </row>
    <row r="120" spans="5:25" x14ac:dyDescent="0.35">
      <c r="E120" t="s">
        <v>367</v>
      </c>
      <c r="J120" t="s">
        <v>367</v>
      </c>
      <c r="O120" t="s">
        <v>367</v>
      </c>
      <c r="T120" t="s">
        <v>367</v>
      </c>
      <c r="Y120" t="s">
        <v>367</v>
      </c>
    </row>
    <row r="121" spans="5:25" x14ac:dyDescent="0.35">
      <c r="E121" t="s">
        <v>367</v>
      </c>
      <c r="J121" t="s">
        <v>367</v>
      </c>
      <c r="O121" t="s">
        <v>367</v>
      </c>
      <c r="T121" t="s">
        <v>367</v>
      </c>
      <c r="Y121" t="s">
        <v>367</v>
      </c>
    </row>
    <row r="122" spans="5:25" x14ac:dyDescent="0.35">
      <c r="E122" t="s">
        <v>367</v>
      </c>
      <c r="J122" t="s">
        <v>367</v>
      </c>
      <c r="O122" t="s">
        <v>367</v>
      </c>
      <c r="T122" t="s">
        <v>367</v>
      </c>
      <c r="Y122" t="s">
        <v>367</v>
      </c>
    </row>
    <row r="123" spans="5:25" x14ac:dyDescent="0.35">
      <c r="E123" t="s">
        <v>367</v>
      </c>
      <c r="J123" t="s">
        <v>367</v>
      </c>
      <c r="O123" t="s">
        <v>367</v>
      </c>
      <c r="T123" t="s">
        <v>367</v>
      </c>
      <c r="Y123" t="s">
        <v>367</v>
      </c>
    </row>
    <row r="124" spans="5:25" x14ac:dyDescent="0.35">
      <c r="E124" t="s">
        <v>367</v>
      </c>
      <c r="J124" t="s">
        <v>367</v>
      </c>
      <c r="O124" t="s">
        <v>367</v>
      </c>
      <c r="T124" t="s">
        <v>367</v>
      </c>
      <c r="Y124" t="s">
        <v>367</v>
      </c>
    </row>
    <row r="125" spans="5:25" x14ac:dyDescent="0.35">
      <c r="E125" t="s">
        <v>367</v>
      </c>
      <c r="J125" t="s">
        <v>367</v>
      </c>
      <c r="O125" t="s">
        <v>367</v>
      </c>
      <c r="T125" t="s">
        <v>367</v>
      </c>
      <c r="Y125" t="s">
        <v>367</v>
      </c>
    </row>
    <row r="126" spans="5:25" x14ac:dyDescent="0.35">
      <c r="E126" t="s">
        <v>367</v>
      </c>
      <c r="J126" t="s">
        <v>367</v>
      </c>
      <c r="O126" t="s">
        <v>367</v>
      </c>
      <c r="T126" t="s">
        <v>367</v>
      </c>
      <c r="Y126" t="s">
        <v>367</v>
      </c>
    </row>
    <row r="127" spans="5:25" x14ac:dyDescent="0.35">
      <c r="E127" t="s">
        <v>367</v>
      </c>
      <c r="J127" t="s">
        <v>367</v>
      </c>
      <c r="O127" t="s">
        <v>367</v>
      </c>
      <c r="T127" t="s">
        <v>367</v>
      </c>
      <c r="Y127" t="s">
        <v>367</v>
      </c>
    </row>
    <row r="128" spans="5:25" x14ac:dyDescent="0.35">
      <c r="E128" t="s">
        <v>367</v>
      </c>
      <c r="J128" t="s">
        <v>367</v>
      </c>
      <c r="O128" t="s">
        <v>367</v>
      </c>
      <c r="T128" t="s">
        <v>367</v>
      </c>
      <c r="Y128" t="s">
        <v>367</v>
      </c>
    </row>
    <row r="129" spans="5:25" x14ac:dyDescent="0.35">
      <c r="E129" t="s">
        <v>367</v>
      </c>
      <c r="J129" t="s">
        <v>367</v>
      </c>
      <c r="O129" t="s">
        <v>367</v>
      </c>
      <c r="T129" t="s">
        <v>367</v>
      </c>
      <c r="Y129" t="s">
        <v>367</v>
      </c>
    </row>
    <row r="130" spans="5:25" x14ac:dyDescent="0.35">
      <c r="E130" t="s">
        <v>367</v>
      </c>
      <c r="J130" t="s">
        <v>367</v>
      </c>
      <c r="O130" t="s">
        <v>367</v>
      </c>
      <c r="T130" t="s">
        <v>367</v>
      </c>
      <c r="Y130" t="s">
        <v>367</v>
      </c>
    </row>
    <row r="131" spans="5:25" x14ac:dyDescent="0.35">
      <c r="E131" t="s">
        <v>367</v>
      </c>
      <c r="J131" t="s">
        <v>367</v>
      </c>
      <c r="O131" t="s">
        <v>367</v>
      </c>
      <c r="T131" t="s">
        <v>367</v>
      </c>
      <c r="Y131" t="s">
        <v>367</v>
      </c>
    </row>
    <row r="132" spans="5:25" x14ac:dyDescent="0.35">
      <c r="E132" t="s">
        <v>367</v>
      </c>
      <c r="J132" t="s">
        <v>367</v>
      </c>
      <c r="O132" t="s">
        <v>367</v>
      </c>
      <c r="T132" t="s">
        <v>367</v>
      </c>
      <c r="Y132" t="s">
        <v>367</v>
      </c>
    </row>
    <row r="133" spans="5:25" x14ac:dyDescent="0.35">
      <c r="E133" t="s">
        <v>367</v>
      </c>
      <c r="J133" t="s">
        <v>367</v>
      </c>
      <c r="O133" t="s">
        <v>367</v>
      </c>
      <c r="T133" t="s">
        <v>367</v>
      </c>
      <c r="Y133" t="s">
        <v>367</v>
      </c>
    </row>
    <row r="134" spans="5:25" x14ac:dyDescent="0.35">
      <c r="E134" t="s">
        <v>367</v>
      </c>
      <c r="J134" t="s">
        <v>367</v>
      </c>
      <c r="O134" t="s">
        <v>367</v>
      </c>
      <c r="T134" t="s">
        <v>367</v>
      </c>
      <c r="Y134" t="s">
        <v>367</v>
      </c>
    </row>
    <row r="135" spans="5:25" x14ac:dyDescent="0.35">
      <c r="E135" t="s">
        <v>367</v>
      </c>
      <c r="J135" t="s">
        <v>367</v>
      </c>
      <c r="O135" t="s">
        <v>367</v>
      </c>
      <c r="T135" t="s">
        <v>367</v>
      </c>
      <c r="Y135" t="s">
        <v>367</v>
      </c>
    </row>
    <row r="136" spans="5:25" x14ac:dyDescent="0.35">
      <c r="E136" t="s">
        <v>367</v>
      </c>
      <c r="J136" t="s">
        <v>367</v>
      </c>
      <c r="O136" t="s">
        <v>367</v>
      </c>
      <c r="T136" t="s">
        <v>367</v>
      </c>
      <c r="Y136" t="s">
        <v>367</v>
      </c>
    </row>
    <row r="137" spans="5:25" x14ac:dyDescent="0.35">
      <c r="E137" t="s">
        <v>367</v>
      </c>
      <c r="J137" t="s">
        <v>367</v>
      </c>
      <c r="O137" t="s">
        <v>367</v>
      </c>
      <c r="T137" t="s">
        <v>367</v>
      </c>
      <c r="Y137" t="s">
        <v>367</v>
      </c>
    </row>
    <row r="138" spans="5:25" x14ac:dyDescent="0.35">
      <c r="E138" t="s">
        <v>367</v>
      </c>
      <c r="J138" t="s">
        <v>367</v>
      </c>
      <c r="O138" t="s">
        <v>367</v>
      </c>
      <c r="T138" t="s">
        <v>367</v>
      </c>
      <c r="Y138" t="s">
        <v>367</v>
      </c>
    </row>
    <row r="139" spans="5:25" x14ac:dyDescent="0.35">
      <c r="E139" t="s">
        <v>367</v>
      </c>
      <c r="J139" t="s">
        <v>367</v>
      </c>
      <c r="O139" t="s">
        <v>367</v>
      </c>
      <c r="T139" t="s">
        <v>367</v>
      </c>
      <c r="Y139" t="s">
        <v>367</v>
      </c>
    </row>
    <row r="140" spans="5:25" x14ac:dyDescent="0.35">
      <c r="E140" t="s">
        <v>367</v>
      </c>
      <c r="J140" t="s">
        <v>367</v>
      </c>
      <c r="O140" t="s">
        <v>367</v>
      </c>
      <c r="T140" t="s">
        <v>367</v>
      </c>
      <c r="Y140" t="s">
        <v>367</v>
      </c>
    </row>
    <row r="141" spans="5:25" x14ac:dyDescent="0.35">
      <c r="E141" t="s">
        <v>367</v>
      </c>
      <c r="J141" t="s">
        <v>367</v>
      </c>
      <c r="O141" t="s">
        <v>367</v>
      </c>
      <c r="T141" t="s">
        <v>367</v>
      </c>
      <c r="Y141" t="s">
        <v>367</v>
      </c>
    </row>
    <row r="142" spans="5:25" x14ac:dyDescent="0.35">
      <c r="E142" t="s">
        <v>367</v>
      </c>
      <c r="J142" t="s">
        <v>367</v>
      </c>
      <c r="O142" t="s">
        <v>367</v>
      </c>
      <c r="T142" t="s">
        <v>367</v>
      </c>
      <c r="Y142" t="s">
        <v>367</v>
      </c>
    </row>
    <row r="143" spans="5:25" x14ac:dyDescent="0.35">
      <c r="E143" t="s">
        <v>367</v>
      </c>
      <c r="J143" t="s">
        <v>367</v>
      </c>
      <c r="O143" t="s">
        <v>367</v>
      </c>
      <c r="T143" t="s">
        <v>367</v>
      </c>
      <c r="Y143" t="s">
        <v>367</v>
      </c>
    </row>
    <row r="144" spans="5:25" x14ac:dyDescent="0.35">
      <c r="E144" t="s">
        <v>367</v>
      </c>
      <c r="J144" t="s">
        <v>367</v>
      </c>
      <c r="O144" t="s">
        <v>367</v>
      </c>
      <c r="T144" t="s">
        <v>367</v>
      </c>
      <c r="Y144" t="s">
        <v>367</v>
      </c>
    </row>
    <row r="145" spans="5:25" x14ac:dyDescent="0.35">
      <c r="E145" t="s">
        <v>367</v>
      </c>
      <c r="J145" t="s">
        <v>367</v>
      </c>
      <c r="O145" t="s">
        <v>367</v>
      </c>
      <c r="T145" t="s">
        <v>367</v>
      </c>
      <c r="Y145" t="s">
        <v>367</v>
      </c>
    </row>
    <row r="146" spans="5:25" x14ac:dyDescent="0.35">
      <c r="E146" t="s">
        <v>367</v>
      </c>
      <c r="J146" t="s">
        <v>367</v>
      </c>
      <c r="O146" t="s">
        <v>367</v>
      </c>
      <c r="T146" t="s">
        <v>367</v>
      </c>
      <c r="Y146" t="s">
        <v>367</v>
      </c>
    </row>
    <row r="147" spans="5:25" x14ac:dyDescent="0.35">
      <c r="E147" t="s">
        <v>367</v>
      </c>
      <c r="J147" t="s">
        <v>367</v>
      </c>
      <c r="O147" t="s">
        <v>367</v>
      </c>
      <c r="T147" t="s">
        <v>367</v>
      </c>
      <c r="Y147" t="s">
        <v>367</v>
      </c>
    </row>
    <row r="148" spans="5:25" x14ac:dyDescent="0.35">
      <c r="E148" t="s">
        <v>367</v>
      </c>
      <c r="J148" t="s">
        <v>367</v>
      </c>
      <c r="O148" t="s">
        <v>367</v>
      </c>
      <c r="T148" t="s">
        <v>367</v>
      </c>
      <c r="Y148" t="s">
        <v>367</v>
      </c>
    </row>
    <row r="149" spans="5:25" x14ac:dyDescent="0.35">
      <c r="E149" t="s">
        <v>367</v>
      </c>
      <c r="J149" t="s">
        <v>367</v>
      </c>
      <c r="O149" t="s">
        <v>367</v>
      </c>
      <c r="T149" t="s">
        <v>367</v>
      </c>
      <c r="Y149" t="s">
        <v>367</v>
      </c>
    </row>
    <row r="150" spans="5:25" x14ac:dyDescent="0.35">
      <c r="E150" t="s">
        <v>367</v>
      </c>
      <c r="J150" t="s">
        <v>367</v>
      </c>
      <c r="O150" t="s">
        <v>367</v>
      </c>
      <c r="T150" t="s">
        <v>367</v>
      </c>
      <c r="Y150" t="s">
        <v>367</v>
      </c>
    </row>
    <row r="151" spans="5:25" x14ac:dyDescent="0.35">
      <c r="E151" t="s">
        <v>367</v>
      </c>
      <c r="J151" t="s">
        <v>367</v>
      </c>
      <c r="O151" t="s">
        <v>367</v>
      </c>
      <c r="T151" t="s">
        <v>367</v>
      </c>
      <c r="Y151" t="s">
        <v>367</v>
      </c>
    </row>
    <row r="152" spans="5:25" x14ac:dyDescent="0.35">
      <c r="E152" t="s">
        <v>367</v>
      </c>
      <c r="J152" t="s">
        <v>367</v>
      </c>
      <c r="O152" t="s">
        <v>367</v>
      </c>
      <c r="T152" t="s">
        <v>367</v>
      </c>
      <c r="Y152" t="s">
        <v>367</v>
      </c>
    </row>
    <row r="153" spans="5:25" x14ac:dyDescent="0.35">
      <c r="E153" t="s">
        <v>367</v>
      </c>
      <c r="J153" t="s">
        <v>367</v>
      </c>
      <c r="O153" t="s">
        <v>367</v>
      </c>
      <c r="T153" t="s">
        <v>367</v>
      </c>
      <c r="Y153" t="s">
        <v>367</v>
      </c>
    </row>
    <row r="154" spans="5:25" x14ac:dyDescent="0.35">
      <c r="E154" t="s">
        <v>367</v>
      </c>
      <c r="J154" t="s">
        <v>367</v>
      </c>
      <c r="O154" t="s">
        <v>367</v>
      </c>
      <c r="T154" t="s">
        <v>367</v>
      </c>
      <c r="Y154" t="s">
        <v>367</v>
      </c>
    </row>
    <row r="155" spans="5:25" x14ac:dyDescent="0.35">
      <c r="E155" t="s">
        <v>367</v>
      </c>
      <c r="J155" t="s">
        <v>367</v>
      </c>
      <c r="O155" t="s">
        <v>367</v>
      </c>
      <c r="T155" t="s">
        <v>367</v>
      </c>
      <c r="Y155" t="s">
        <v>367</v>
      </c>
    </row>
    <row r="156" spans="5:25" x14ac:dyDescent="0.35">
      <c r="E156" t="s">
        <v>367</v>
      </c>
      <c r="J156" t="s">
        <v>367</v>
      </c>
      <c r="O156" t="s">
        <v>367</v>
      </c>
      <c r="T156" t="s">
        <v>367</v>
      </c>
      <c r="Y156" t="s">
        <v>367</v>
      </c>
    </row>
    <row r="157" spans="5:25" x14ac:dyDescent="0.35">
      <c r="E157" t="s">
        <v>367</v>
      </c>
      <c r="J157" t="s">
        <v>367</v>
      </c>
      <c r="O157" t="s">
        <v>367</v>
      </c>
      <c r="T157" t="s">
        <v>367</v>
      </c>
      <c r="Y157" t="s">
        <v>367</v>
      </c>
    </row>
    <row r="158" spans="5:25" x14ac:dyDescent="0.35">
      <c r="E158" t="s">
        <v>367</v>
      </c>
      <c r="J158" t="s">
        <v>367</v>
      </c>
      <c r="O158" t="s">
        <v>367</v>
      </c>
      <c r="T158" t="s">
        <v>367</v>
      </c>
      <c r="Y158" t="s">
        <v>367</v>
      </c>
    </row>
    <row r="159" spans="5:25" x14ac:dyDescent="0.35">
      <c r="E159" t="s">
        <v>367</v>
      </c>
      <c r="J159" t="s">
        <v>367</v>
      </c>
      <c r="O159" t="s">
        <v>367</v>
      </c>
      <c r="T159" t="s">
        <v>367</v>
      </c>
      <c r="Y159" t="s">
        <v>367</v>
      </c>
    </row>
    <row r="160" spans="5:25" x14ac:dyDescent="0.35">
      <c r="E160" t="s">
        <v>367</v>
      </c>
      <c r="J160" t="s">
        <v>367</v>
      </c>
      <c r="O160" t="s">
        <v>367</v>
      </c>
      <c r="T160" t="s">
        <v>367</v>
      </c>
      <c r="Y160" t="s">
        <v>367</v>
      </c>
    </row>
    <row r="161" spans="5:25" x14ac:dyDescent="0.35">
      <c r="E161" t="s">
        <v>367</v>
      </c>
      <c r="J161" t="s">
        <v>367</v>
      </c>
      <c r="O161" t="s">
        <v>367</v>
      </c>
      <c r="T161" t="s">
        <v>367</v>
      </c>
      <c r="Y161" t="s">
        <v>367</v>
      </c>
    </row>
    <row r="162" spans="5:25" x14ac:dyDescent="0.35">
      <c r="E162" t="s">
        <v>367</v>
      </c>
      <c r="J162" t="s">
        <v>367</v>
      </c>
      <c r="O162" t="s">
        <v>367</v>
      </c>
      <c r="T162" t="s">
        <v>367</v>
      </c>
      <c r="Y162" t="s">
        <v>367</v>
      </c>
    </row>
    <row r="163" spans="5:25" x14ac:dyDescent="0.35">
      <c r="E163" t="s">
        <v>367</v>
      </c>
      <c r="J163" t="s">
        <v>367</v>
      </c>
      <c r="O163" t="s">
        <v>367</v>
      </c>
      <c r="T163" t="s">
        <v>367</v>
      </c>
      <c r="Y163" t="s">
        <v>367</v>
      </c>
    </row>
    <row r="164" spans="5:25" x14ac:dyDescent="0.35">
      <c r="E164" t="s">
        <v>367</v>
      </c>
      <c r="J164" t="s">
        <v>367</v>
      </c>
      <c r="O164" t="s">
        <v>367</v>
      </c>
      <c r="T164" t="s">
        <v>367</v>
      </c>
      <c r="Y164" t="s">
        <v>367</v>
      </c>
    </row>
    <row r="165" spans="5:25" x14ac:dyDescent="0.35">
      <c r="E165" t="s">
        <v>367</v>
      </c>
      <c r="J165" t="s">
        <v>367</v>
      </c>
      <c r="O165" t="s">
        <v>367</v>
      </c>
      <c r="T165" t="s">
        <v>367</v>
      </c>
      <c r="Y165" t="s">
        <v>367</v>
      </c>
    </row>
    <row r="166" spans="5:25" x14ac:dyDescent="0.35">
      <c r="E166" t="s">
        <v>367</v>
      </c>
      <c r="J166" t="s">
        <v>367</v>
      </c>
      <c r="O166" t="s">
        <v>367</v>
      </c>
      <c r="T166" t="s">
        <v>367</v>
      </c>
      <c r="Y166" t="s">
        <v>367</v>
      </c>
    </row>
    <row r="167" spans="5:25" x14ac:dyDescent="0.35">
      <c r="E167" t="s">
        <v>367</v>
      </c>
      <c r="J167" t="s">
        <v>367</v>
      </c>
      <c r="O167" t="s">
        <v>367</v>
      </c>
      <c r="T167" t="s">
        <v>367</v>
      </c>
      <c r="Y167" t="s">
        <v>367</v>
      </c>
    </row>
    <row r="168" spans="5:25" x14ac:dyDescent="0.35">
      <c r="E168" t="s">
        <v>367</v>
      </c>
      <c r="J168" t="s">
        <v>367</v>
      </c>
      <c r="O168" t="s">
        <v>367</v>
      </c>
      <c r="T168" t="s">
        <v>367</v>
      </c>
      <c r="Y168" t="s">
        <v>367</v>
      </c>
    </row>
    <row r="169" spans="5:25" x14ac:dyDescent="0.35">
      <c r="E169" t="s">
        <v>367</v>
      </c>
      <c r="J169" t="s">
        <v>367</v>
      </c>
      <c r="O169" t="s">
        <v>367</v>
      </c>
      <c r="T169" t="s">
        <v>367</v>
      </c>
      <c r="Y169" t="s">
        <v>367</v>
      </c>
    </row>
    <row r="170" spans="5:25" x14ac:dyDescent="0.35">
      <c r="E170" t="s">
        <v>367</v>
      </c>
      <c r="J170" t="s">
        <v>367</v>
      </c>
      <c r="O170" t="s">
        <v>367</v>
      </c>
      <c r="T170" t="s">
        <v>367</v>
      </c>
      <c r="Y170" t="s">
        <v>367</v>
      </c>
    </row>
    <row r="171" spans="5:25" x14ac:dyDescent="0.35">
      <c r="E171" t="s">
        <v>367</v>
      </c>
      <c r="J171" t="s">
        <v>367</v>
      </c>
      <c r="O171" t="s">
        <v>367</v>
      </c>
      <c r="T171" t="s">
        <v>367</v>
      </c>
      <c r="Y171" t="s">
        <v>367</v>
      </c>
    </row>
    <row r="172" spans="5:25" x14ac:dyDescent="0.35">
      <c r="E172" t="s">
        <v>367</v>
      </c>
      <c r="J172" t="s">
        <v>367</v>
      </c>
      <c r="O172" t="s">
        <v>367</v>
      </c>
      <c r="T172" t="s">
        <v>367</v>
      </c>
      <c r="Y172" t="s">
        <v>367</v>
      </c>
    </row>
    <row r="173" spans="5:25" x14ac:dyDescent="0.35">
      <c r="E173" t="s">
        <v>367</v>
      </c>
      <c r="J173" t="s">
        <v>367</v>
      </c>
      <c r="O173" t="s">
        <v>367</v>
      </c>
      <c r="T173" t="s">
        <v>367</v>
      </c>
      <c r="Y173" t="s">
        <v>367</v>
      </c>
    </row>
    <row r="174" spans="5:25" x14ac:dyDescent="0.35">
      <c r="E174" t="s">
        <v>367</v>
      </c>
      <c r="J174" t="s">
        <v>367</v>
      </c>
      <c r="O174" t="s">
        <v>367</v>
      </c>
      <c r="T174" t="s">
        <v>367</v>
      </c>
      <c r="Y174" t="s">
        <v>367</v>
      </c>
    </row>
    <row r="175" spans="5:25" x14ac:dyDescent="0.35">
      <c r="E175" t="s">
        <v>367</v>
      </c>
      <c r="J175" t="s">
        <v>367</v>
      </c>
      <c r="O175" t="s">
        <v>367</v>
      </c>
      <c r="T175" t="s">
        <v>367</v>
      </c>
      <c r="Y175" t="s">
        <v>367</v>
      </c>
    </row>
    <row r="176" spans="5:25" x14ac:dyDescent="0.35">
      <c r="E176" t="s">
        <v>367</v>
      </c>
      <c r="J176" t="s">
        <v>367</v>
      </c>
      <c r="O176" t="s">
        <v>367</v>
      </c>
      <c r="T176" t="s">
        <v>367</v>
      </c>
      <c r="Y176" t="s">
        <v>367</v>
      </c>
    </row>
    <row r="177" spans="5:25" x14ac:dyDescent="0.35">
      <c r="E177" t="s">
        <v>367</v>
      </c>
      <c r="J177" t="s">
        <v>367</v>
      </c>
      <c r="O177" t="s">
        <v>367</v>
      </c>
      <c r="T177" t="s">
        <v>367</v>
      </c>
      <c r="Y177" t="s">
        <v>367</v>
      </c>
    </row>
    <row r="178" spans="5:25" x14ac:dyDescent="0.35">
      <c r="E178" t="s">
        <v>367</v>
      </c>
      <c r="J178" t="s">
        <v>367</v>
      </c>
      <c r="O178" t="s">
        <v>367</v>
      </c>
      <c r="T178" t="s">
        <v>367</v>
      </c>
      <c r="Y178" t="s">
        <v>367</v>
      </c>
    </row>
    <row r="179" spans="5:25" x14ac:dyDescent="0.35">
      <c r="E179" t="s">
        <v>367</v>
      </c>
      <c r="J179" t="s">
        <v>367</v>
      </c>
      <c r="O179" t="s">
        <v>367</v>
      </c>
      <c r="T179" t="s">
        <v>367</v>
      </c>
      <c r="Y179" t="s">
        <v>367</v>
      </c>
    </row>
    <row r="180" spans="5:25" x14ac:dyDescent="0.35">
      <c r="E180" t="s">
        <v>367</v>
      </c>
      <c r="J180" t="s">
        <v>367</v>
      </c>
      <c r="O180" t="s">
        <v>367</v>
      </c>
      <c r="T180" t="s">
        <v>367</v>
      </c>
      <c r="Y180" t="s">
        <v>367</v>
      </c>
    </row>
    <row r="181" spans="5:25" x14ac:dyDescent="0.35">
      <c r="E181" t="s">
        <v>367</v>
      </c>
      <c r="J181" t="s">
        <v>367</v>
      </c>
      <c r="O181" t="s">
        <v>367</v>
      </c>
      <c r="T181" t="s">
        <v>367</v>
      </c>
      <c r="Y181" t="s">
        <v>367</v>
      </c>
    </row>
    <row r="182" spans="5:25" x14ac:dyDescent="0.35">
      <c r="E182" t="s">
        <v>367</v>
      </c>
      <c r="J182" t="s">
        <v>367</v>
      </c>
      <c r="O182" t="s">
        <v>367</v>
      </c>
      <c r="T182" t="s">
        <v>367</v>
      </c>
      <c r="Y182" t="s">
        <v>367</v>
      </c>
    </row>
    <row r="183" spans="5:25" x14ac:dyDescent="0.35">
      <c r="E183" t="s">
        <v>367</v>
      </c>
      <c r="J183" t="s">
        <v>367</v>
      </c>
      <c r="O183" t="s">
        <v>367</v>
      </c>
      <c r="T183" t="s">
        <v>367</v>
      </c>
      <c r="Y183" t="s">
        <v>367</v>
      </c>
    </row>
    <row r="184" spans="5:25" x14ac:dyDescent="0.35">
      <c r="E184" t="s">
        <v>367</v>
      </c>
      <c r="J184" t="s">
        <v>367</v>
      </c>
      <c r="O184" t="s">
        <v>367</v>
      </c>
      <c r="T184" t="s">
        <v>367</v>
      </c>
      <c r="Y184" t="s">
        <v>367</v>
      </c>
    </row>
    <row r="185" spans="5:25" x14ac:dyDescent="0.35">
      <c r="E185" t="s">
        <v>367</v>
      </c>
      <c r="J185" t="s">
        <v>367</v>
      </c>
      <c r="O185" t="s">
        <v>367</v>
      </c>
      <c r="T185" t="s">
        <v>367</v>
      </c>
      <c r="Y185" t="s">
        <v>367</v>
      </c>
    </row>
    <row r="186" spans="5:25" x14ac:dyDescent="0.35">
      <c r="E186" t="s">
        <v>367</v>
      </c>
      <c r="J186" t="s">
        <v>367</v>
      </c>
      <c r="O186" t="s">
        <v>367</v>
      </c>
      <c r="T186" t="s">
        <v>367</v>
      </c>
      <c r="Y186" t="s">
        <v>367</v>
      </c>
    </row>
    <row r="187" spans="5:25" x14ac:dyDescent="0.35">
      <c r="E187" t="s">
        <v>367</v>
      </c>
      <c r="J187" t="s">
        <v>367</v>
      </c>
      <c r="O187" t="s">
        <v>367</v>
      </c>
      <c r="T187" t="s">
        <v>367</v>
      </c>
      <c r="Y187" t="s">
        <v>367</v>
      </c>
    </row>
    <row r="188" spans="5:25" x14ac:dyDescent="0.35">
      <c r="E188" t="s">
        <v>367</v>
      </c>
      <c r="J188" t="s">
        <v>367</v>
      </c>
      <c r="O188" t="s">
        <v>367</v>
      </c>
      <c r="T188" t="s">
        <v>367</v>
      </c>
      <c r="Y188" t="s">
        <v>367</v>
      </c>
    </row>
    <row r="189" spans="5:25" x14ac:dyDescent="0.35">
      <c r="E189" t="s">
        <v>367</v>
      </c>
      <c r="J189" t="s">
        <v>367</v>
      </c>
      <c r="O189" t="s">
        <v>367</v>
      </c>
      <c r="T189" t="s">
        <v>367</v>
      </c>
      <c r="Y189" t="s">
        <v>367</v>
      </c>
    </row>
    <row r="190" spans="5:25" x14ac:dyDescent="0.35">
      <c r="E190" t="s">
        <v>367</v>
      </c>
      <c r="J190" t="s">
        <v>367</v>
      </c>
      <c r="O190" t="s">
        <v>367</v>
      </c>
      <c r="T190" t="s">
        <v>367</v>
      </c>
      <c r="Y190" t="s">
        <v>367</v>
      </c>
    </row>
    <row r="191" spans="5:25" x14ac:dyDescent="0.35">
      <c r="E191" t="s">
        <v>367</v>
      </c>
      <c r="J191" t="s">
        <v>367</v>
      </c>
      <c r="O191" t="s">
        <v>367</v>
      </c>
      <c r="T191" t="s">
        <v>367</v>
      </c>
      <c r="Y191" t="s">
        <v>367</v>
      </c>
    </row>
    <row r="192" spans="5:25" x14ac:dyDescent="0.35">
      <c r="E192" t="s">
        <v>367</v>
      </c>
      <c r="J192" t="s">
        <v>367</v>
      </c>
      <c r="O192" t="s">
        <v>367</v>
      </c>
      <c r="T192" t="s">
        <v>367</v>
      </c>
      <c r="Y192" t="s">
        <v>367</v>
      </c>
    </row>
    <row r="193" spans="5:25" x14ac:dyDescent="0.35">
      <c r="E193" t="s">
        <v>367</v>
      </c>
      <c r="J193" t="s">
        <v>367</v>
      </c>
      <c r="O193" t="s">
        <v>367</v>
      </c>
      <c r="T193" t="s">
        <v>367</v>
      </c>
      <c r="Y193" t="s">
        <v>367</v>
      </c>
    </row>
    <row r="194" spans="5:25" x14ac:dyDescent="0.35">
      <c r="E194" t="s">
        <v>367</v>
      </c>
      <c r="J194" t="s">
        <v>367</v>
      </c>
      <c r="O194" t="s">
        <v>367</v>
      </c>
      <c r="T194" t="s">
        <v>367</v>
      </c>
      <c r="Y194" t="s">
        <v>367</v>
      </c>
    </row>
    <row r="195" spans="5:25" x14ac:dyDescent="0.35">
      <c r="E195" t="s">
        <v>367</v>
      </c>
      <c r="J195" t="s">
        <v>367</v>
      </c>
      <c r="O195" t="s">
        <v>367</v>
      </c>
      <c r="T195" t="s">
        <v>367</v>
      </c>
      <c r="Y195" t="s">
        <v>367</v>
      </c>
    </row>
    <row r="196" spans="5:25" x14ac:dyDescent="0.35">
      <c r="E196" t="s">
        <v>367</v>
      </c>
      <c r="J196" t="s">
        <v>367</v>
      </c>
      <c r="O196" t="s">
        <v>367</v>
      </c>
      <c r="T196" t="s">
        <v>367</v>
      </c>
      <c r="Y196" t="s">
        <v>367</v>
      </c>
    </row>
    <row r="197" spans="5:25" x14ac:dyDescent="0.35">
      <c r="E197" t="s">
        <v>367</v>
      </c>
      <c r="J197" t="s">
        <v>367</v>
      </c>
      <c r="O197" t="s">
        <v>367</v>
      </c>
      <c r="T197" t="s">
        <v>367</v>
      </c>
      <c r="Y197" t="s">
        <v>367</v>
      </c>
    </row>
    <row r="198" spans="5:25" x14ac:dyDescent="0.35">
      <c r="E198" t="s">
        <v>367</v>
      </c>
      <c r="J198" t="s">
        <v>367</v>
      </c>
      <c r="O198" t="s">
        <v>367</v>
      </c>
      <c r="T198" t="s">
        <v>367</v>
      </c>
      <c r="Y198" t="s">
        <v>367</v>
      </c>
    </row>
    <row r="199" spans="5:25" x14ac:dyDescent="0.35">
      <c r="E199" t="s">
        <v>367</v>
      </c>
      <c r="J199" t="s">
        <v>367</v>
      </c>
      <c r="O199" t="s">
        <v>367</v>
      </c>
      <c r="T199" t="s">
        <v>367</v>
      </c>
      <c r="Y199" t="s">
        <v>367</v>
      </c>
    </row>
    <row r="200" spans="5:25" x14ac:dyDescent="0.35">
      <c r="E200" t="s">
        <v>367</v>
      </c>
      <c r="J200" t="s">
        <v>367</v>
      </c>
      <c r="O200" t="s">
        <v>367</v>
      </c>
      <c r="T200" t="s">
        <v>367</v>
      </c>
      <c r="Y200" t="s">
        <v>367</v>
      </c>
    </row>
    <row r="201" spans="5:25" x14ac:dyDescent="0.35">
      <c r="E201" t="s">
        <v>367</v>
      </c>
      <c r="J201" t="s">
        <v>367</v>
      </c>
      <c r="O201" t="s">
        <v>367</v>
      </c>
      <c r="T201" t="s">
        <v>367</v>
      </c>
      <c r="Y201" t="s">
        <v>367</v>
      </c>
    </row>
    <row r="202" spans="5:25" x14ac:dyDescent="0.35">
      <c r="E202" t="s">
        <v>367</v>
      </c>
      <c r="J202" t="s">
        <v>367</v>
      </c>
      <c r="O202" t="s">
        <v>367</v>
      </c>
      <c r="T202" t="s">
        <v>367</v>
      </c>
      <c r="Y202" t="s">
        <v>367</v>
      </c>
    </row>
    <row r="203" spans="5:25" x14ac:dyDescent="0.35">
      <c r="E203" t="s">
        <v>367</v>
      </c>
      <c r="J203" t="s">
        <v>367</v>
      </c>
      <c r="O203" t="s">
        <v>367</v>
      </c>
      <c r="T203" t="s">
        <v>367</v>
      </c>
      <c r="Y203" t="s">
        <v>367</v>
      </c>
    </row>
    <row r="204" spans="5:25" x14ac:dyDescent="0.35">
      <c r="E204" t="s">
        <v>367</v>
      </c>
      <c r="J204" t="s">
        <v>367</v>
      </c>
      <c r="O204" t="s">
        <v>367</v>
      </c>
      <c r="T204" t="s">
        <v>367</v>
      </c>
      <c r="Y204" t="s">
        <v>367</v>
      </c>
    </row>
    <row r="205" spans="5:25" x14ac:dyDescent="0.35">
      <c r="E205" t="s">
        <v>367</v>
      </c>
      <c r="J205" t="s">
        <v>367</v>
      </c>
      <c r="O205" t="s">
        <v>367</v>
      </c>
      <c r="T205" t="s">
        <v>367</v>
      </c>
      <c r="Y205" t="s">
        <v>367</v>
      </c>
    </row>
    <row r="206" spans="5:25" x14ac:dyDescent="0.35">
      <c r="E206" t="s">
        <v>367</v>
      </c>
      <c r="J206" t="s">
        <v>367</v>
      </c>
      <c r="O206" t="s">
        <v>367</v>
      </c>
      <c r="T206" t="s">
        <v>367</v>
      </c>
      <c r="Y206" t="s">
        <v>367</v>
      </c>
    </row>
    <row r="207" spans="5:25" x14ac:dyDescent="0.35">
      <c r="E207" t="s">
        <v>367</v>
      </c>
      <c r="J207" t="s">
        <v>367</v>
      </c>
      <c r="O207" t="s">
        <v>367</v>
      </c>
      <c r="T207" t="s">
        <v>367</v>
      </c>
      <c r="Y207" t="s">
        <v>367</v>
      </c>
    </row>
    <row r="208" spans="5:25" x14ac:dyDescent="0.35">
      <c r="E208" t="s">
        <v>367</v>
      </c>
      <c r="J208" t="s">
        <v>367</v>
      </c>
      <c r="O208" t="s">
        <v>367</v>
      </c>
      <c r="T208" t="s">
        <v>367</v>
      </c>
      <c r="Y208" t="s">
        <v>367</v>
      </c>
    </row>
    <row r="209" spans="5:25" x14ac:dyDescent="0.35">
      <c r="E209" t="s">
        <v>367</v>
      </c>
      <c r="J209" t="s">
        <v>367</v>
      </c>
      <c r="O209" t="s">
        <v>367</v>
      </c>
      <c r="T209" t="s">
        <v>367</v>
      </c>
      <c r="Y209" t="s">
        <v>367</v>
      </c>
    </row>
    <row r="210" spans="5:25" x14ac:dyDescent="0.35">
      <c r="E210" t="s">
        <v>367</v>
      </c>
      <c r="J210" t="s">
        <v>367</v>
      </c>
      <c r="O210" t="s">
        <v>367</v>
      </c>
      <c r="T210" t="s">
        <v>367</v>
      </c>
      <c r="Y210" t="s">
        <v>367</v>
      </c>
    </row>
    <row r="211" spans="5:25" x14ac:dyDescent="0.35">
      <c r="E211" t="s">
        <v>367</v>
      </c>
      <c r="J211" t="s">
        <v>367</v>
      </c>
      <c r="O211" t="s">
        <v>367</v>
      </c>
      <c r="T211" t="s">
        <v>367</v>
      </c>
      <c r="Y211" t="s">
        <v>367</v>
      </c>
    </row>
    <row r="212" spans="5:25" x14ac:dyDescent="0.35">
      <c r="E212" t="s">
        <v>367</v>
      </c>
      <c r="J212" t="s">
        <v>367</v>
      </c>
      <c r="O212" t="s">
        <v>367</v>
      </c>
      <c r="T212" t="s">
        <v>367</v>
      </c>
      <c r="Y212" t="s">
        <v>367</v>
      </c>
    </row>
    <row r="213" spans="5:25" x14ac:dyDescent="0.35">
      <c r="E213" t="s">
        <v>367</v>
      </c>
      <c r="J213" t="s">
        <v>367</v>
      </c>
      <c r="O213" t="s">
        <v>367</v>
      </c>
      <c r="T213" t="s">
        <v>367</v>
      </c>
      <c r="Y213" t="s">
        <v>367</v>
      </c>
    </row>
    <row r="214" spans="5:25" x14ac:dyDescent="0.35">
      <c r="E214" t="s">
        <v>367</v>
      </c>
      <c r="J214" t="s">
        <v>367</v>
      </c>
      <c r="O214" t="s">
        <v>367</v>
      </c>
      <c r="T214" t="s">
        <v>367</v>
      </c>
      <c r="Y214" t="s">
        <v>367</v>
      </c>
    </row>
    <row r="215" spans="5:25" x14ac:dyDescent="0.35">
      <c r="E215" t="s">
        <v>367</v>
      </c>
      <c r="J215" t="s">
        <v>367</v>
      </c>
      <c r="O215" t="s">
        <v>367</v>
      </c>
      <c r="T215" t="s">
        <v>367</v>
      </c>
      <c r="Y215" t="s">
        <v>367</v>
      </c>
    </row>
    <row r="216" spans="5:25" x14ac:dyDescent="0.35">
      <c r="E216" t="s">
        <v>367</v>
      </c>
      <c r="J216" t="s">
        <v>367</v>
      </c>
      <c r="O216" t="s">
        <v>367</v>
      </c>
      <c r="T216" t="s">
        <v>367</v>
      </c>
      <c r="Y216" t="s">
        <v>367</v>
      </c>
    </row>
    <row r="217" spans="5:25" x14ac:dyDescent="0.35">
      <c r="E217" t="s">
        <v>367</v>
      </c>
      <c r="J217" t="s">
        <v>367</v>
      </c>
      <c r="O217" t="s">
        <v>367</v>
      </c>
      <c r="T217" t="s">
        <v>367</v>
      </c>
      <c r="Y217" t="s">
        <v>367</v>
      </c>
    </row>
    <row r="218" spans="5:25" x14ac:dyDescent="0.35">
      <c r="E218" t="s">
        <v>367</v>
      </c>
      <c r="J218" t="s">
        <v>367</v>
      </c>
      <c r="O218" t="s">
        <v>367</v>
      </c>
      <c r="T218" t="s">
        <v>367</v>
      </c>
      <c r="Y218" t="s">
        <v>367</v>
      </c>
    </row>
    <row r="219" spans="5:25" x14ac:dyDescent="0.35">
      <c r="E219" t="s">
        <v>367</v>
      </c>
      <c r="J219" t="s">
        <v>367</v>
      </c>
      <c r="O219" t="s">
        <v>367</v>
      </c>
      <c r="T219" t="s">
        <v>367</v>
      </c>
      <c r="Y219" t="s">
        <v>367</v>
      </c>
    </row>
    <row r="220" spans="5:25" x14ac:dyDescent="0.35">
      <c r="E220" t="s">
        <v>367</v>
      </c>
      <c r="J220" t="s">
        <v>367</v>
      </c>
      <c r="O220" t="s">
        <v>367</v>
      </c>
      <c r="T220" t="s">
        <v>367</v>
      </c>
      <c r="Y220" t="s">
        <v>367</v>
      </c>
    </row>
    <row r="221" spans="5:25" x14ac:dyDescent="0.35">
      <c r="E221" t="s">
        <v>367</v>
      </c>
      <c r="J221" t="s">
        <v>367</v>
      </c>
      <c r="O221" t="s">
        <v>367</v>
      </c>
      <c r="T221" t="s">
        <v>367</v>
      </c>
      <c r="Y221" t="s">
        <v>367</v>
      </c>
    </row>
    <row r="222" spans="5:25" x14ac:dyDescent="0.35">
      <c r="E222" t="s">
        <v>367</v>
      </c>
      <c r="J222" t="s">
        <v>367</v>
      </c>
      <c r="O222" t="s">
        <v>367</v>
      </c>
      <c r="T222" t="s">
        <v>367</v>
      </c>
      <c r="Y222" t="s">
        <v>367</v>
      </c>
    </row>
    <row r="223" spans="5:25" x14ac:dyDescent="0.35">
      <c r="E223" t="s">
        <v>367</v>
      </c>
      <c r="J223" t="s">
        <v>367</v>
      </c>
      <c r="O223" t="s">
        <v>367</v>
      </c>
      <c r="T223" t="s">
        <v>367</v>
      </c>
      <c r="Y223" t="s">
        <v>367</v>
      </c>
    </row>
    <row r="224" spans="5:25" x14ac:dyDescent="0.35">
      <c r="E224" t="s">
        <v>367</v>
      </c>
      <c r="J224" t="s">
        <v>367</v>
      </c>
      <c r="O224" t="s">
        <v>367</v>
      </c>
      <c r="T224" t="s">
        <v>367</v>
      </c>
      <c r="Y224" t="s">
        <v>367</v>
      </c>
    </row>
    <row r="225" spans="5:25" x14ac:dyDescent="0.35">
      <c r="E225" t="s">
        <v>367</v>
      </c>
      <c r="J225" t="s">
        <v>367</v>
      </c>
      <c r="O225" t="s">
        <v>367</v>
      </c>
      <c r="T225" t="s">
        <v>367</v>
      </c>
      <c r="Y225" t="s">
        <v>367</v>
      </c>
    </row>
    <row r="226" spans="5:25" x14ac:dyDescent="0.35">
      <c r="E226" t="s">
        <v>367</v>
      </c>
      <c r="J226" t="s">
        <v>367</v>
      </c>
      <c r="O226" t="s">
        <v>367</v>
      </c>
      <c r="T226" t="s">
        <v>367</v>
      </c>
      <c r="Y226" t="s">
        <v>367</v>
      </c>
    </row>
    <row r="227" spans="5:25" x14ac:dyDescent="0.35">
      <c r="E227" t="s">
        <v>367</v>
      </c>
      <c r="J227" t="s">
        <v>367</v>
      </c>
      <c r="O227" t="s">
        <v>367</v>
      </c>
      <c r="T227" t="s">
        <v>367</v>
      </c>
      <c r="Y227" t="s">
        <v>367</v>
      </c>
    </row>
    <row r="228" spans="5:25" x14ac:dyDescent="0.35">
      <c r="E228" t="s">
        <v>367</v>
      </c>
      <c r="J228" t="s">
        <v>367</v>
      </c>
      <c r="O228" t="s">
        <v>367</v>
      </c>
      <c r="T228" t="s">
        <v>367</v>
      </c>
      <c r="Y228" t="s">
        <v>367</v>
      </c>
    </row>
    <row r="229" spans="5:25" x14ac:dyDescent="0.35">
      <c r="E229" t="s">
        <v>367</v>
      </c>
      <c r="J229" t="s">
        <v>367</v>
      </c>
      <c r="O229" t="s">
        <v>367</v>
      </c>
      <c r="T229" t="s">
        <v>367</v>
      </c>
      <c r="Y229" t="s">
        <v>367</v>
      </c>
    </row>
    <row r="230" spans="5:25" x14ac:dyDescent="0.35">
      <c r="E230" t="s">
        <v>367</v>
      </c>
      <c r="J230" t="s">
        <v>367</v>
      </c>
      <c r="O230" t="s">
        <v>367</v>
      </c>
      <c r="T230" t="s">
        <v>367</v>
      </c>
      <c r="Y230" t="s">
        <v>367</v>
      </c>
    </row>
    <row r="231" spans="5:25" x14ac:dyDescent="0.35">
      <c r="E231" t="s">
        <v>367</v>
      </c>
      <c r="J231" t="s">
        <v>367</v>
      </c>
      <c r="O231" t="s">
        <v>367</v>
      </c>
      <c r="T231" t="s">
        <v>367</v>
      </c>
      <c r="Y231" t="s">
        <v>367</v>
      </c>
    </row>
    <row r="232" spans="5:25" x14ac:dyDescent="0.35">
      <c r="E232" t="s">
        <v>367</v>
      </c>
      <c r="J232" t="s">
        <v>367</v>
      </c>
      <c r="O232" t="s">
        <v>367</v>
      </c>
      <c r="T232" t="s">
        <v>367</v>
      </c>
      <c r="Y232" t="s">
        <v>367</v>
      </c>
    </row>
    <row r="233" spans="5:25" x14ac:dyDescent="0.35">
      <c r="E233" t="s">
        <v>367</v>
      </c>
      <c r="J233" t="s">
        <v>367</v>
      </c>
      <c r="O233" t="s">
        <v>367</v>
      </c>
      <c r="T233" t="s">
        <v>367</v>
      </c>
      <c r="Y233" t="s">
        <v>367</v>
      </c>
    </row>
    <row r="234" spans="5:25" x14ac:dyDescent="0.35">
      <c r="E234" t="s">
        <v>367</v>
      </c>
      <c r="J234" t="s">
        <v>367</v>
      </c>
      <c r="O234" t="s">
        <v>367</v>
      </c>
      <c r="T234" t="s">
        <v>367</v>
      </c>
      <c r="Y234" t="s">
        <v>367</v>
      </c>
    </row>
    <row r="235" spans="5:25" x14ac:dyDescent="0.35">
      <c r="E235" t="s">
        <v>367</v>
      </c>
      <c r="J235" t="s">
        <v>367</v>
      </c>
      <c r="O235" t="s">
        <v>367</v>
      </c>
      <c r="T235" t="s">
        <v>367</v>
      </c>
      <c r="Y235" t="s">
        <v>367</v>
      </c>
    </row>
    <row r="236" spans="5:25" x14ac:dyDescent="0.35">
      <c r="E236" t="s">
        <v>367</v>
      </c>
      <c r="J236" t="s">
        <v>367</v>
      </c>
      <c r="O236" t="s">
        <v>367</v>
      </c>
      <c r="T236" t="s">
        <v>367</v>
      </c>
      <c r="Y236" t="s">
        <v>367</v>
      </c>
    </row>
    <row r="237" spans="5:25" x14ac:dyDescent="0.35">
      <c r="E237" t="s">
        <v>367</v>
      </c>
      <c r="J237" t="s">
        <v>367</v>
      </c>
      <c r="O237" t="s">
        <v>367</v>
      </c>
      <c r="T237" t="s">
        <v>367</v>
      </c>
      <c r="Y237" t="s">
        <v>367</v>
      </c>
    </row>
    <row r="238" spans="5:25" x14ac:dyDescent="0.35">
      <c r="E238" t="s">
        <v>367</v>
      </c>
      <c r="J238" t="s">
        <v>367</v>
      </c>
      <c r="O238" t="s">
        <v>367</v>
      </c>
      <c r="T238" t="s">
        <v>367</v>
      </c>
      <c r="Y238" t="s">
        <v>367</v>
      </c>
    </row>
    <row r="239" spans="5:25" x14ac:dyDescent="0.35">
      <c r="E239" t="s">
        <v>367</v>
      </c>
      <c r="J239" t="s">
        <v>367</v>
      </c>
      <c r="O239" t="s">
        <v>367</v>
      </c>
      <c r="T239" t="s">
        <v>367</v>
      </c>
      <c r="Y239" t="s">
        <v>367</v>
      </c>
    </row>
    <row r="240" spans="5:25" x14ac:dyDescent="0.35">
      <c r="E240" t="s">
        <v>367</v>
      </c>
      <c r="J240" t="s">
        <v>367</v>
      </c>
      <c r="O240" t="s">
        <v>367</v>
      </c>
      <c r="T240" t="s">
        <v>367</v>
      </c>
      <c r="Y240" t="s">
        <v>367</v>
      </c>
    </row>
    <row r="241" spans="5:25" x14ac:dyDescent="0.35">
      <c r="E241" t="s">
        <v>367</v>
      </c>
      <c r="J241" t="s">
        <v>367</v>
      </c>
      <c r="O241" t="s">
        <v>367</v>
      </c>
      <c r="T241" t="s">
        <v>367</v>
      </c>
      <c r="Y241" t="s">
        <v>367</v>
      </c>
    </row>
    <row r="242" spans="5:25" x14ac:dyDescent="0.35">
      <c r="E242" t="s">
        <v>367</v>
      </c>
      <c r="J242" t="s">
        <v>367</v>
      </c>
      <c r="O242" t="s">
        <v>367</v>
      </c>
      <c r="T242" t="s">
        <v>367</v>
      </c>
      <c r="Y242" t="s">
        <v>367</v>
      </c>
    </row>
    <row r="243" spans="5:25" x14ac:dyDescent="0.35">
      <c r="E243" t="s">
        <v>367</v>
      </c>
      <c r="J243" t="s">
        <v>367</v>
      </c>
      <c r="O243" t="s">
        <v>367</v>
      </c>
      <c r="T243" t="s">
        <v>367</v>
      </c>
      <c r="Y243" t="s">
        <v>367</v>
      </c>
    </row>
    <row r="244" spans="5:25" x14ac:dyDescent="0.35">
      <c r="E244" t="s">
        <v>367</v>
      </c>
      <c r="J244" t="s">
        <v>367</v>
      </c>
      <c r="O244" t="s">
        <v>367</v>
      </c>
      <c r="T244" t="s">
        <v>367</v>
      </c>
      <c r="Y244" t="s">
        <v>367</v>
      </c>
    </row>
    <row r="245" spans="5:25" x14ac:dyDescent="0.35">
      <c r="E245" t="s">
        <v>367</v>
      </c>
      <c r="J245" t="s">
        <v>367</v>
      </c>
      <c r="O245" t="s">
        <v>367</v>
      </c>
      <c r="T245" t="s">
        <v>367</v>
      </c>
      <c r="Y245" t="s">
        <v>367</v>
      </c>
    </row>
    <row r="246" spans="5:25" x14ac:dyDescent="0.35">
      <c r="E246" t="s">
        <v>367</v>
      </c>
      <c r="J246" t="s">
        <v>367</v>
      </c>
      <c r="O246" t="s">
        <v>367</v>
      </c>
      <c r="T246" t="s">
        <v>367</v>
      </c>
      <c r="Y246" t="s">
        <v>367</v>
      </c>
    </row>
    <row r="247" spans="5:25" x14ac:dyDescent="0.35">
      <c r="E247" t="s">
        <v>367</v>
      </c>
      <c r="J247" t="s">
        <v>367</v>
      </c>
      <c r="O247" t="s">
        <v>367</v>
      </c>
      <c r="T247" t="s">
        <v>367</v>
      </c>
      <c r="Y247" t="s">
        <v>367</v>
      </c>
    </row>
    <row r="248" spans="5:25" x14ac:dyDescent="0.35">
      <c r="E248" t="s">
        <v>367</v>
      </c>
      <c r="J248" t="s">
        <v>367</v>
      </c>
      <c r="O248" t="s">
        <v>367</v>
      </c>
      <c r="T248" t="s">
        <v>367</v>
      </c>
      <c r="Y248" t="s">
        <v>367</v>
      </c>
    </row>
    <row r="249" spans="5:25" x14ac:dyDescent="0.35">
      <c r="E249" t="s">
        <v>367</v>
      </c>
      <c r="J249" t="s">
        <v>367</v>
      </c>
      <c r="O249" t="s">
        <v>367</v>
      </c>
      <c r="T249" t="s">
        <v>367</v>
      </c>
      <c r="Y249" t="s">
        <v>367</v>
      </c>
    </row>
    <row r="250" spans="5:25" x14ac:dyDescent="0.35">
      <c r="E250" t="s">
        <v>367</v>
      </c>
      <c r="J250" t="s">
        <v>367</v>
      </c>
      <c r="O250" t="s">
        <v>367</v>
      </c>
      <c r="T250" t="s">
        <v>367</v>
      </c>
      <c r="Y250" t="s">
        <v>367</v>
      </c>
    </row>
    <row r="251" spans="5:25" x14ac:dyDescent="0.35">
      <c r="E251" t="s">
        <v>367</v>
      </c>
      <c r="J251" t="s">
        <v>367</v>
      </c>
      <c r="O251" t="s">
        <v>367</v>
      </c>
      <c r="T251" t="s">
        <v>367</v>
      </c>
      <c r="Y251" t="s">
        <v>367</v>
      </c>
    </row>
    <row r="252" spans="5:25" x14ac:dyDescent="0.35">
      <c r="E252" t="s">
        <v>367</v>
      </c>
      <c r="J252" t="s">
        <v>367</v>
      </c>
      <c r="O252" t="s">
        <v>367</v>
      </c>
      <c r="T252" t="s">
        <v>367</v>
      </c>
      <c r="Y252" t="s">
        <v>367</v>
      </c>
    </row>
    <row r="253" spans="5:25" x14ac:dyDescent="0.35">
      <c r="E253" t="s">
        <v>367</v>
      </c>
      <c r="J253" t="s">
        <v>367</v>
      </c>
      <c r="O253" t="s">
        <v>367</v>
      </c>
      <c r="T253" t="s">
        <v>367</v>
      </c>
      <c r="Y253" t="s">
        <v>367</v>
      </c>
    </row>
    <row r="254" spans="5:25" x14ac:dyDescent="0.35">
      <c r="E254" t="s">
        <v>367</v>
      </c>
      <c r="J254" t="s">
        <v>367</v>
      </c>
      <c r="O254" t="s">
        <v>367</v>
      </c>
      <c r="T254" t="s">
        <v>367</v>
      </c>
      <c r="Y254" t="s">
        <v>367</v>
      </c>
    </row>
    <row r="255" spans="5:25" x14ac:dyDescent="0.35">
      <c r="E255" t="s">
        <v>367</v>
      </c>
      <c r="J255" t="s">
        <v>367</v>
      </c>
      <c r="O255" t="s">
        <v>367</v>
      </c>
      <c r="T255" t="s">
        <v>367</v>
      </c>
      <c r="Y255" t="s">
        <v>367</v>
      </c>
    </row>
    <row r="256" spans="5:25" x14ac:dyDescent="0.35">
      <c r="E256" t="s">
        <v>367</v>
      </c>
      <c r="J256" t="s">
        <v>367</v>
      </c>
      <c r="O256" t="s">
        <v>367</v>
      </c>
      <c r="T256" t="s">
        <v>367</v>
      </c>
      <c r="Y256" t="s">
        <v>367</v>
      </c>
    </row>
    <row r="257" spans="5:25" x14ac:dyDescent="0.35">
      <c r="E257" t="s">
        <v>367</v>
      </c>
      <c r="J257" t="s">
        <v>367</v>
      </c>
      <c r="O257" t="s">
        <v>367</v>
      </c>
      <c r="T257" t="s">
        <v>367</v>
      </c>
      <c r="Y257" t="s">
        <v>367</v>
      </c>
    </row>
    <row r="258" spans="5:25" x14ac:dyDescent="0.35">
      <c r="E258" t="s">
        <v>367</v>
      </c>
      <c r="J258" t="s">
        <v>367</v>
      </c>
      <c r="O258" t="s">
        <v>367</v>
      </c>
      <c r="T258" t="s">
        <v>367</v>
      </c>
      <c r="Y258" t="s">
        <v>367</v>
      </c>
    </row>
    <row r="259" spans="5:25" x14ac:dyDescent="0.35">
      <c r="E259" t="s">
        <v>367</v>
      </c>
      <c r="J259" t="s">
        <v>367</v>
      </c>
      <c r="O259" t="s">
        <v>367</v>
      </c>
      <c r="T259" t="s">
        <v>367</v>
      </c>
      <c r="Y259" t="s">
        <v>367</v>
      </c>
    </row>
    <row r="260" spans="5:25" x14ac:dyDescent="0.35">
      <c r="E260" t="s">
        <v>367</v>
      </c>
      <c r="J260" t="s">
        <v>367</v>
      </c>
      <c r="O260" t="s">
        <v>367</v>
      </c>
      <c r="T260" t="s">
        <v>367</v>
      </c>
      <c r="Y260" t="s">
        <v>367</v>
      </c>
    </row>
    <row r="261" spans="5:25" x14ac:dyDescent="0.35">
      <c r="E261" t="s">
        <v>367</v>
      </c>
      <c r="J261" t="s">
        <v>367</v>
      </c>
      <c r="O261" t="s">
        <v>367</v>
      </c>
      <c r="T261" t="s">
        <v>367</v>
      </c>
      <c r="Y261" t="s">
        <v>367</v>
      </c>
    </row>
    <row r="262" spans="5:25" x14ac:dyDescent="0.35">
      <c r="E262" t="s">
        <v>367</v>
      </c>
      <c r="J262" t="s">
        <v>367</v>
      </c>
      <c r="O262" t="s">
        <v>367</v>
      </c>
      <c r="T262" t="s">
        <v>367</v>
      </c>
      <c r="Y262" t="s">
        <v>367</v>
      </c>
    </row>
    <row r="263" spans="5:25" x14ac:dyDescent="0.35">
      <c r="E263" t="s">
        <v>367</v>
      </c>
      <c r="J263" t="s">
        <v>367</v>
      </c>
      <c r="O263" t="s">
        <v>367</v>
      </c>
      <c r="T263" t="s">
        <v>367</v>
      </c>
      <c r="Y263" t="s">
        <v>367</v>
      </c>
    </row>
    <row r="264" spans="5:25" x14ac:dyDescent="0.35">
      <c r="E264" t="s">
        <v>367</v>
      </c>
      <c r="J264" t="s">
        <v>367</v>
      </c>
      <c r="O264" t="s">
        <v>367</v>
      </c>
      <c r="T264" t="s">
        <v>367</v>
      </c>
      <c r="Y264" t="s">
        <v>367</v>
      </c>
    </row>
    <row r="265" spans="5:25" x14ac:dyDescent="0.35">
      <c r="E265" t="s">
        <v>367</v>
      </c>
      <c r="J265" t="s">
        <v>367</v>
      </c>
      <c r="O265" t="s">
        <v>367</v>
      </c>
      <c r="T265" t="s">
        <v>367</v>
      </c>
      <c r="Y265" t="s">
        <v>367</v>
      </c>
    </row>
    <row r="266" spans="5:25" x14ac:dyDescent="0.35">
      <c r="E266" t="s">
        <v>367</v>
      </c>
      <c r="J266" t="s">
        <v>367</v>
      </c>
      <c r="O266" t="s">
        <v>367</v>
      </c>
      <c r="T266" t="s">
        <v>367</v>
      </c>
      <c r="Y266" t="s">
        <v>367</v>
      </c>
    </row>
    <row r="267" spans="5:25" x14ac:dyDescent="0.35">
      <c r="E267" t="s">
        <v>367</v>
      </c>
      <c r="J267" t="s">
        <v>367</v>
      </c>
      <c r="O267" t="s">
        <v>367</v>
      </c>
      <c r="T267" t="s">
        <v>367</v>
      </c>
      <c r="Y267" t="s">
        <v>367</v>
      </c>
    </row>
    <row r="268" spans="5:25" x14ac:dyDescent="0.35">
      <c r="E268" t="s">
        <v>367</v>
      </c>
      <c r="J268" t="s">
        <v>367</v>
      </c>
      <c r="O268" t="s">
        <v>367</v>
      </c>
      <c r="T268" t="s">
        <v>367</v>
      </c>
      <c r="Y268" t="s">
        <v>367</v>
      </c>
    </row>
    <row r="269" spans="5:25" x14ac:dyDescent="0.35">
      <c r="E269" t="s">
        <v>367</v>
      </c>
      <c r="J269" t="s">
        <v>367</v>
      </c>
      <c r="O269" t="s">
        <v>367</v>
      </c>
      <c r="T269" t="s">
        <v>367</v>
      </c>
      <c r="Y269" t="s">
        <v>367</v>
      </c>
    </row>
    <row r="270" spans="5:25" x14ac:dyDescent="0.35">
      <c r="E270" t="s">
        <v>367</v>
      </c>
      <c r="J270" t="s">
        <v>367</v>
      </c>
      <c r="O270" t="s">
        <v>367</v>
      </c>
      <c r="T270" t="s">
        <v>367</v>
      </c>
      <c r="Y270" t="s">
        <v>367</v>
      </c>
    </row>
    <row r="271" spans="5:25" x14ac:dyDescent="0.35">
      <c r="E271" t="s">
        <v>367</v>
      </c>
      <c r="J271" t="s">
        <v>367</v>
      </c>
      <c r="O271" t="s">
        <v>367</v>
      </c>
      <c r="T271" t="s">
        <v>367</v>
      </c>
      <c r="Y271" t="s">
        <v>367</v>
      </c>
    </row>
    <row r="272" spans="5:25" x14ac:dyDescent="0.35">
      <c r="E272" t="s">
        <v>367</v>
      </c>
      <c r="J272" t="s">
        <v>367</v>
      </c>
      <c r="O272" t="s">
        <v>367</v>
      </c>
      <c r="T272" t="s">
        <v>367</v>
      </c>
      <c r="Y272" t="s">
        <v>367</v>
      </c>
    </row>
    <row r="273" spans="5:25" x14ac:dyDescent="0.35">
      <c r="E273" t="s">
        <v>367</v>
      </c>
      <c r="J273" t="s">
        <v>367</v>
      </c>
      <c r="O273" t="s">
        <v>367</v>
      </c>
      <c r="T273" t="s">
        <v>367</v>
      </c>
      <c r="Y273" t="s">
        <v>367</v>
      </c>
    </row>
    <row r="274" spans="5:25" x14ac:dyDescent="0.35">
      <c r="E274" t="s">
        <v>367</v>
      </c>
      <c r="J274" t="s">
        <v>367</v>
      </c>
      <c r="O274" t="s">
        <v>367</v>
      </c>
      <c r="T274" t="s">
        <v>367</v>
      </c>
      <c r="Y274" t="s">
        <v>367</v>
      </c>
    </row>
    <row r="275" spans="5:25" x14ac:dyDescent="0.35">
      <c r="E275" t="s">
        <v>367</v>
      </c>
      <c r="J275" t="s">
        <v>367</v>
      </c>
      <c r="O275" t="s">
        <v>367</v>
      </c>
      <c r="T275" t="s">
        <v>367</v>
      </c>
      <c r="Y275" t="s">
        <v>367</v>
      </c>
    </row>
    <row r="276" spans="5:25" x14ac:dyDescent="0.35">
      <c r="E276" t="s">
        <v>367</v>
      </c>
      <c r="J276" t="s">
        <v>367</v>
      </c>
      <c r="O276" t="s">
        <v>367</v>
      </c>
      <c r="T276" t="s">
        <v>367</v>
      </c>
      <c r="Y276" t="s">
        <v>367</v>
      </c>
    </row>
    <row r="277" spans="5:25" x14ac:dyDescent="0.35">
      <c r="E277" t="s">
        <v>367</v>
      </c>
      <c r="J277" t="s">
        <v>367</v>
      </c>
      <c r="O277" t="s">
        <v>367</v>
      </c>
      <c r="T277" t="s">
        <v>367</v>
      </c>
      <c r="Y277" t="s">
        <v>367</v>
      </c>
    </row>
    <row r="278" spans="5:25" x14ac:dyDescent="0.35">
      <c r="E278" t="s">
        <v>367</v>
      </c>
      <c r="J278" t="s">
        <v>367</v>
      </c>
      <c r="O278" t="s">
        <v>367</v>
      </c>
      <c r="T278" t="s">
        <v>367</v>
      </c>
      <c r="Y278" t="s">
        <v>367</v>
      </c>
    </row>
    <row r="279" spans="5:25" x14ac:dyDescent="0.35">
      <c r="E279" t="s">
        <v>367</v>
      </c>
      <c r="J279" t="s">
        <v>367</v>
      </c>
      <c r="O279" t="s">
        <v>367</v>
      </c>
      <c r="T279" t="s">
        <v>367</v>
      </c>
      <c r="Y279" t="s">
        <v>367</v>
      </c>
    </row>
    <row r="280" spans="5:25" x14ac:dyDescent="0.35">
      <c r="E280" t="s">
        <v>367</v>
      </c>
      <c r="J280" t="s">
        <v>367</v>
      </c>
      <c r="O280" t="s">
        <v>367</v>
      </c>
      <c r="T280" t="s">
        <v>367</v>
      </c>
      <c r="Y280" t="s">
        <v>367</v>
      </c>
    </row>
    <row r="281" spans="5:25" x14ac:dyDescent="0.35">
      <c r="E281" t="s">
        <v>367</v>
      </c>
      <c r="J281" t="s">
        <v>367</v>
      </c>
      <c r="O281" t="s">
        <v>367</v>
      </c>
      <c r="T281" t="s">
        <v>367</v>
      </c>
      <c r="Y281" t="s">
        <v>367</v>
      </c>
    </row>
    <row r="282" spans="5:25" x14ac:dyDescent="0.35">
      <c r="E282" t="s">
        <v>367</v>
      </c>
      <c r="J282" t="s">
        <v>367</v>
      </c>
      <c r="O282" t="s">
        <v>367</v>
      </c>
      <c r="T282" t="s">
        <v>367</v>
      </c>
      <c r="Y282" t="s">
        <v>367</v>
      </c>
    </row>
    <row r="283" spans="5:25" x14ac:dyDescent="0.35">
      <c r="E283" t="s">
        <v>367</v>
      </c>
      <c r="J283" t="s">
        <v>367</v>
      </c>
      <c r="O283" t="s">
        <v>367</v>
      </c>
      <c r="T283" t="s">
        <v>367</v>
      </c>
      <c r="Y283" t="s">
        <v>367</v>
      </c>
    </row>
    <row r="284" spans="5:25" x14ac:dyDescent="0.35">
      <c r="E284" t="s">
        <v>367</v>
      </c>
      <c r="J284" t="s">
        <v>367</v>
      </c>
      <c r="O284" t="s">
        <v>367</v>
      </c>
      <c r="T284" t="s">
        <v>367</v>
      </c>
      <c r="Y284" t="s">
        <v>367</v>
      </c>
    </row>
    <row r="285" spans="5:25" x14ac:dyDescent="0.35">
      <c r="E285" t="s">
        <v>367</v>
      </c>
      <c r="J285" t="s">
        <v>367</v>
      </c>
      <c r="O285" t="s">
        <v>367</v>
      </c>
      <c r="T285" t="s">
        <v>367</v>
      </c>
      <c r="Y285" t="s">
        <v>367</v>
      </c>
    </row>
    <row r="286" spans="5:25" x14ac:dyDescent="0.35">
      <c r="E286" t="s">
        <v>367</v>
      </c>
      <c r="J286" t="s">
        <v>367</v>
      </c>
      <c r="O286" t="s">
        <v>367</v>
      </c>
      <c r="T286" t="s">
        <v>367</v>
      </c>
      <c r="Y286" t="s">
        <v>367</v>
      </c>
    </row>
    <row r="287" spans="5:25" x14ac:dyDescent="0.35">
      <c r="E287" t="s">
        <v>367</v>
      </c>
      <c r="J287" t="s">
        <v>367</v>
      </c>
      <c r="O287" t="s">
        <v>367</v>
      </c>
      <c r="T287" t="s">
        <v>367</v>
      </c>
      <c r="Y287" t="s">
        <v>367</v>
      </c>
    </row>
    <row r="288" spans="5:25" x14ac:dyDescent="0.35">
      <c r="E288" t="s">
        <v>367</v>
      </c>
      <c r="J288" t="s">
        <v>367</v>
      </c>
      <c r="O288" t="s">
        <v>367</v>
      </c>
      <c r="T288" t="s">
        <v>367</v>
      </c>
      <c r="Y288" t="s">
        <v>367</v>
      </c>
    </row>
    <row r="289" spans="5:25" x14ac:dyDescent="0.35">
      <c r="E289" t="s">
        <v>367</v>
      </c>
      <c r="J289" t="s">
        <v>367</v>
      </c>
      <c r="O289" t="s">
        <v>367</v>
      </c>
      <c r="T289" t="s">
        <v>367</v>
      </c>
      <c r="Y289" t="s">
        <v>367</v>
      </c>
    </row>
    <row r="290" spans="5:25" x14ac:dyDescent="0.35">
      <c r="E290" t="s">
        <v>367</v>
      </c>
      <c r="J290" t="s">
        <v>367</v>
      </c>
      <c r="O290" t="s">
        <v>367</v>
      </c>
      <c r="T290" t="s">
        <v>367</v>
      </c>
      <c r="Y290" t="s">
        <v>367</v>
      </c>
    </row>
    <row r="291" spans="5:25" x14ac:dyDescent="0.35">
      <c r="E291" t="s">
        <v>367</v>
      </c>
      <c r="J291" t="s">
        <v>367</v>
      </c>
      <c r="O291" t="s">
        <v>367</v>
      </c>
      <c r="T291" t="s">
        <v>367</v>
      </c>
      <c r="Y291" t="s">
        <v>367</v>
      </c>
    </row>
    <row r="292" spans="5:25" x14ac:dyDescent="0.35">
      <c r="E292" t="s">
        <v>367</v>
      </c>
      <c r="J292" t="s">
        <v>367</v>
      </c>
      <c r="O292" t="s">
        <v>367</v>
      </c>
      <c r="T292" t="s">
        <v>367</v>
      </c>
      <c r="Y292" t="s">
        <v>367</v>
      </c>
    </row>
    <row r="293" spans="5:25" x14ac:dyDescent="0.35">
      <c r="E293" t="s">
        <v>367</v>
      </c>
      <c r="J293" t="s">
        <v>367</v>
      </c>
      <c r="O293" t="s">
        <v>367</v>
      </c>
      <c r="T293" t="s">
        <v>367</v>
      </c>
      <c r="Y293" t="s">
        <v>367</v>
      </c>
    </row>
    <row r="294" spans="5:25" x14ac:dyDescent="0.35">
      <c r="E294" t="s">
        <v>367</v>
      </c>
      <c r="J294" t="s">
        <v>367</v>
      </c>
      <c r="O294" t="s">
        <v>367</v>
      </c>
      <c r="T294" t="s">
        <v>367</v>
      </c>
      <c r="Y294" t="s">
        <v>367</v>
      </c>
    </row>
    <row r="295" spans="5:25" x14ac:dyDescent="0.35">
      <c r="E295" t="s">
        <v>367</v>
      </c>
      <c r="J295" t="s">
        <v>367</v>
      </c>
      <c r="O295" t="s">
        <v>367</v>
      </c>
      <c r="T295" t="s">
        <v>367</v>
      </c>
      <c r="Y295" t="s">
        <v>367</v>
      </c>
    </row>
    <row r="296" spans="5:25" x14ac:dyDescent="0.35">
      <c r="E296" t="s">
        <v>367</v>
      </c>
      <c r="J296" t="s">
        <v>367</v>
      </c>
      <c r="O296" t="s">
        <v>367</v>
      </c>
      <c r="T296" t="s">
        <v>367</v>
      </c>
      <c r="Y296" t="s">
        <v>367</v>
      </c>
    </row>
    <row r="297" spans="5:25" x14ac:dyDescent="0.35">
      <c r="E297" t="s">
        <v>367</v>
      </c>
      <c r="J297" t="s">
        <v>367</v>
      </c>
      <c r="O297" t="s">
        <v>367</v>
      </c>
      <c r="T297" t="s">
        <v>367</v>
      </c>
      <c r="Y297" t="s">
        <v>367</v>
      </c>
    </row>
    <row r="298" spans="5:25" x14ac:dyDescent="0.35">
      <c r="E298" t="s">
        <v>367</v>
      </c>
      <c r="J298" t="s">
        <v>367</v>
      </c>
      <c r="O298" t="s">
        <v>367</v>
      </c>
      <c r="T298" t="s">
        <v>367</v>
      </c>
      <c r="Y298" t="s">
        <v>367</v>
      </c>
    </row>
    <row r="299" spans="5:25" x14ac:dyDescent="0.35">
      <c r="E299" t="s">
        <v>367</v>
      </c>
      <c r="J299" t="s">
        <v>367</v>
      </c>
      <c r="O299" t="s">
        <v>367</v>
      </c>
      <c r="T299" t="s">
        <v>367</v>
      </c>
      <c r="Y299" t="s">
        <v>367</v>
      </c>
    </row>
    <row r="300" spans="5:25" x14ac:dyDescent="0.35">
      <c r="E300" t="s">
        <v>367</v>
      </c>
      <c r="J300" t="s">
        <v>367</v>
      </c>
      <c r="O300" t="s">
        <v>367</v>
      </c>
      <c r="T300" t="s">
        <v>367</v>
      </c>
      <c r="Y300" t="s">
        <v>367</v>
      </c>
    </row>
    <row r="301" spans="5:25" x14ac:dyDescent="0.35">
      <c r="E301" t="s">
        <v>367</v>
      </c>
      <c r="J301" t="s">
        <v>367</v>
      </c>
      <c r="O301" t="s">
        <v>367</v>
      </c>
      <c r="T301" t="s">
        <v>367</v>
      </c>
      <c r="Y301" t="s">
        <v>367</v>
      </c>
    </row>
    <row r="302" spans="5:25" x14ac:dyDescent="0.35">
      <c r="E302" t="s">
        <v>367</v>
      </c>
      <c r="J302" t="s">
        <v>367</v>
      </c>
      <c r="O302" t="s">
        <v>367</v>
      </c>
      <c r="T302" t="s">
        <v>367</v>
      </c>
      <c r="Y302" t="s">
        <v>367</v>
      </c>
    </row>
    <row r="303" spans="5:25" x14ac:dyDescent="0.35">
      <c r="E303" t="s">
        <v>367</v>
      </c>
      <c r="J303" t="s">
        <v>367</v>
      </c>
      <c r="O303" t="s">
        <v>367</v>
      </c>
      <c r="T303" t="s">
        <v>367</v>
      </c>
      <c r="Y303" t="s">
        <v>367</v>
      </c>
    </row>
    <row r="304" spans="5:25" x14ac:dyDescent="0.35">
      <c r="E304" t="s">
        <v>367</v>
      </c>
      <c r="J304" t="s">
        <v>367</v>
      </c>
      <c r="O304" t="s">
        <v>367</v>
      </c>
      <c r="T304" t="s">
        <v>367</v>
      </c>
      <c r="Y304" t="s">
        <v>367</v>
      </c>
    </row>
    <row r="305" spans="5:25" x14ac:dyDescent="0.35">
      <c r="E305" t="s">
        <v>367</v>
      </c>
      <c r="J305" t="s">
        <v>367</v>
      </c>
      <c r="O305" t="s">
        <v>367</v>
      </c>
      <c r="T305" t="s">
        <v>367</v>
      </c>
      <c r="Y305" t="s">
        <v>367</v>
      </c>
    </row>
    <row r="306" spans="5:25" x14ac:dyDescent="0.35">
      <c r="E306" t="s">
        <v>367</v>
      </c>
      <c r="J306" t="s">
        <v>367</v>
      </c>
      <c r="O306" t="s">
        <v>367</v>
      </c>
      <c r="T306" t="s">
        <v>367</v>
      </c>
      <c r="Y306" t="s">
        <v>367</v>
      </c>
    </row>
    <row r="307" spans="5:25" x14ac:dyDescent="0.35">
      <c r="E307" t="s">
        <v>367</v>
      </c>
      <c r="J307" t="s">
        <v>367</v>
      </c>
      <c r="O307" t="s">
        <v>367</v>
      </c>
      <c r="T307" t="s">
        <v>367</v>
      </c>
      <c r="Y307" t="s">
        <v>367</v>
      </c>
    </row>
    <row r="308" spans="5:25" x14ac:dyDescent="0.35">
      <c r="E308" t="s">
        <v>367</v>
      </c>
      <c r="J308" t="s">
        <v>367</v>
      </c>
      <c r="O308" t="s">
        <v>367</v>
      </c>
      <c r="T308" t="s">
        <v>367</v>
      </c>
      <c r="Y308" t="s">
        <v>367</v>
      </c>
    </row>
    <row r="309" spans="5:25" x14ac:dyDescent="0.35">
      <c r="E309" t="s">
        <v>367</v>
      </c>
      <c r="J309" t="s">
        <v>367</v>
      </c>
      <c r="O309" t="s">
        <v>367</v>
      </c>
      <c r="T309" t="s">
        <v>367</v>
      </c>
      <c r="Y309" t="s">
        <v>367</v>
      </c>
    </row>
    <row r="310" spans="5:25" x14ac:dyDescent="0.35">
      <c r="E310" t="s">
        <v>367</v>
      </c>
      <c r="J310" t="s">
        <v>367</v>
      </c>
      <c r="O310" t="s">
        <v>367</v>
      </c>
      <c r="T310" t="s">
        <v>367</v>
      </c>
      <c r="Y310" t="s">
        <v>367</v>
      </c>
    </row>
    <row r="311" spans="5:25" x14ac:dyDescent="0.35">
      <c r="E311" t="s">
        <v>367</v>
      </c>
      <c r="J311" t="s">
        <v>367</v>
      </c>
      <c r="O311" t="s">
        <v>367</v>
      </c>
      <c r="T311" t="s">
        <v>367</v>
      </c>
      <c r="Y311" t="s">
        <v>367</v>
      </c>
    </row>
    <row r="312" spans="5:25" x14ac:dyDescent="0.35">
      <c r="E312" t="s">
        <v>367</v>
      </c>
      <c r="J312" t="s">
        <v>367</v>
      </c>
      <c r="O312" t="s">
        <v>367</v>
      </c>
      <c r="T312" t="s">
        <v>367</v>
      </c>
      <c r="Y312" t="s">
        <v>367</v>
      </c>
    </row>
    <row r="313" spans="5:25" x14ac:dyDescent="0.35">
      <c r="E313" t="s">
        <v>367</v>
      </c>
      <c r="J313" t="s">
        <v>367</v>
      </c>
      <c r="O313" t="s">
        <v>367</v>
      </c>
      <c r="T313" t="s">
        <v>367</v>
      </c>
      <c r="Y313" t="s">
        <v>367</v>
      </c>
    </row>
    <row r="314" spans="5:25" x14ac:dyDescent="0.35">
      <c r="E314" t="s">
        <v>367</v>
      </c>
      <c r="J314" t="s">
        <v>367</v>
      </c>
      <c r="O314" t="s">
        <v>367</v>
      </c>
      <c r="T314" t="s">
        <v>367</v>
      </c>
      <c r="Y314" t="s">
        <v>367</v>
      </c>
    </row>
    <row r="315" spans="5:25" x14ac:dyDescent="0.35">
      <c r="E315" t="s">
        <v>367</v>
      </c>
      <c r="J315" t="s">
        <v>367</v>
      </c>
      <c r="O315" t="s">
        <v>367</v>
      </c>
      <c r="T315" t="s">
        <v>367</v>
      </c>
      <c r="Y315" t="s">
        <v>367</v>
      </c>
    </row>
    <row r="316" spans="5:25" x14ac:dyDescent="0.35">
      <c r="E316" t="s">
        <v>367</v>
      </c>
      <c r="J316" t="s">
        <v>367</v>
      </c>
      <c r="O316" t="s">
        <v>367</v>
      </c>
      <c r="T316" t="s">
        <v>367</v>
      </c>
      <c r="Y316" t="s">
        <v>367</v>
      </c>
    </row>
    <row r="317" spans="5:25" x14ac:dyDescent="0.35">
      <c r="E317" t="s">
        <v>367</v>
      </c>
      <c r="J317" t="s">
        <v>367</v>
      </c>
      <c r="O317" t="s">
        <v>367</v>
      </c>
      <c r="T317" t="s">
        <v>367</v>
      </c>
      <c r="Y317" t="s">
        <v>367</v>
      </c>
    </row>
    <row r="318" spans="5:25" x14ac:dyDescent="0.35">
      <c r="E318" t="s">
        <v>367</v>
      </c>
      <c r="J318" t="s">
        <v>367</v>
      </c>
      <c r="O318" t="s">
        <v>367</v>
      </c>
      <c r="T318" t="s">
        <v>367</v>
      </c>
      <c r="Y318" t="s">
        <v>367</v>
      </c>
    </row>
    <row r="319" spans="5:25" x14ac:dyDescent="0.35">
      <c r="E319" t="s">
        <v>367</v>
      </c>
      <c r="J319" t="s">
        <v>367</v>
      </c>
      <c r="O319" t="s">
        <v>367</v>
      </c>
      <c r="T319" t="s">
        <v>367</v>
      </c>
      <c r="Y319" t="s">
        <v>367</v>
      </c>
    </row>
    <row r="320" spans="5:25" x14ac:dyDescent="0.35">
      <c r="E320" t="s">
        <v>367</v>
      </c>
      <c r="J320" t="s">
        <v>367</v>
      </c>
      <c r="O320" t="s">
        <v>367</v>
      </c>
      <c r="T320" t="s">
        <v>367</v>
      </c>
      <c r="Y320" t="s">
        <v>367</v>
      </c>
    </row>
    <row r="321" spans="5:25" x14ac:dyDescent="0.35">
      <c r="E321" t="s">
        <v>367</v>
      </c>
      <c r="J321" t="s">
        <v>367</v>
      </c>
      <c r="O321" t="s">
        <v>367</v>
      </c>
      <c r="T321" t="s">
        <v>367</v>
      </c>
      <c r="Y321" t="s">
        <v>367</v>
      </c>
    </row>
    <row r="322" spans="5:25" x14ac:dyDescent="0.35">
      <c r="E322" t="s">
        <v>367</v>
      </c>
      <c r="J322" t="s">
        <v>367</v>
      </c>
      <c r="O322" t="s">
        <v>367</v>
      </c>
      <c r="T322" t="s">
        <v>367</v>
      </c>
      <c r="Y322" t="s">
        <v>367</v>
      </c>
    </row>
    <row r="323" spans="5:25" x14ac:dyDescent="0.35">
      <c r="E323" t="s">
        <v>367</v>
      </c>
      <c r="J323" t="s">
        <v>367</v>
      </c>
      <c r="O323" t="s">
        <v>367</v>
      </c>
      <c r="T323" t="s">
        <v>367</v>
      </c>
      <c r="Y323" t="s">
        <v>367</v>
      </c>
    </row>
    <row r="324" spans="5:25" x14ac:dyDescent="0.35">
      <c r="E324" t="s">
        <v>367</v>
      </c>
      <c r="J324" t="s">
        <v>367</v>
      </c>
      <c r="O324" t="s">
        <v>367</v>
      </c>
      <c r="T324" t="s">
        <v>367</v>
      </c>
      <c r="Y324" t="s">
        <v>367</v>
      </c>
    </row>
    <row r="325" spans="5:25" x14ac:dyDescent="0.35">
      <c r="E325" t="s">
        <v>367</v>
      </c>
      <c r="J325" t="s">
        <v>367</v>
      </c>
      <c r="O325" t="s">
        <v>367</v>
      </c>
      <c r="T325" t="s">
        <v>367</v>
      </c>
      <c r="Y325" t="s">
        <v>367</v>
      </c>
    </row>
    <row r="326" spans="5:25" x14ac:dyDescent="0.35">
      <c r="E326" t="s">
        <v>367</v>
      </c>
      <c r="J326" t="s">
        <v>367</v>
      </c>
      <c r="O326" t="s">
        <v>367</v>
      </c>
      <c r="T326" t="s">
        <v>367</v>
      </c>
      <c r="Y326" t="s">
        <v>367</v>
      </c>
    </row>
    <row r="327" spans="5:25" x14ac:dyDescent="0.35">
      <c r="E327" t="s">
        <v>367</v>
      </c>
      <c r="J327" t="s">
        <v>367</v>
      </c>
      <c r="O327" t="s">
        <v>367</v>
      </c>
      <c r="T327" t="s">
        <v>367</v>
      </c>
      <c r="Y327" t="s">
        <v>367</v>
      </c>
    </row>
    <row r="328" spans="5:25" x14ac:dyDescent="0.35">
      <c r="E328" t="s">
        <v>367</v>
      </c>
      <c r="J328" t="s">
        <v>367</v>
      </c>
      <c r="O328" t="s">
        <v>367</v>
      </c>
      <c r="T328" t="s">
        <v>367</v>
      </c>
      <c r="Y328" t="s">
        <v>367</v>
      </c>
    </row>
    <row r="329" spans="5:25" x14ac:dyDescent="0.35">
      <c r="E329" t="s">
        <v>367</v>
      </c>
      <c r="J329" t="s">
        <v>367</v>
      </c>
      <c r="O329" t="s">
        <v>367</v>
      </c>
      <c r="T329" t="s">
        <v>367</v>
      </c>
      <c r="Y329" t="s">
        <v>367</v>
      </c>
    </row>
    <row r="330" spans="5:25" x14ac:dyDescent="0.35">
      <c r="E330" t="s">
        <v>367</v>
      </c>
      <c r="J330" t="s">
        <v>367</v>
      </c>
      <c r="O330" t="s">
        <v>367</v>
      </c>
      <c r="T330" t="s">
        <v>367</v>
      </c>
      <c r="Y330" t="s">
        <v>367</v>
      </c>
    </row>
    <row r="331" spans="5:25" x14ac:dyDescent="0.35">
      <c r="E331" t="s">
        <v>367</v>
      </c>
      <c r="J331" t="s">
        <v>367</v>
      </c>
      <c r="O331" t="s">
        <v>367</v>
      </c>
      <c r="T331" t="s">
        <v>367</v>
      </c>
      <c r="Y331" t="s">
        <v>367</v>
      </c>
    </row>
    <row r="332" spans="5:25" x14ac:dyDescent="0.35">
      <c r="E332" t="s">
        <v>367</v>
      </c>
      <c r="J332" t="s">
        <v>367</v>
      </c>
      <c r="O332" t="s">
        <v>367</v>
      </c>
      <c r="T332" t="s">
        <v>367</v>
      </c>
      <c r="Y332" t="s">
        <v>367</v>
      </c>
    </row>
    <row r="333" spans="5:25" x14ac:dyDescent="0.35">
      <c r="E333" t="s">
        <v>367</v>
      </c>
      <c r="J333" t="s">
        <v>367</v>
      </c>
      <c r="O333" t="s">
        <v>367</v>
      </c>
      <c r="T333" t="s">
        <v>367</v>
      </c>
      <c r="Y333" t="s">
        <v>367</v>
      </c>
    </row>
    <row r="334" spans="5:25" x14ac:dyDescent="0.35">
      <c r="E334" t="s">
        <v>367</v>
      </c>
      <c r="J334" t="s">
        <v>367</v>
      </c>
      <c r="O334" t="s">
        <v>367</v>
      </c>
      <c r="T334" t="s">
        <v>367</v>
      </c>
      <c r="Y334" t="s">
        <v>367</v>
      </c>
    </row>
    <row r="335" spans="5:25" x14ac:dyDescent="0.35">
      <c r="E335" t="s">
        <v>367</v>
      </c>
      <c r="J335" t="s">
        <v>367</v>
      </c>
      <c r="O335" t="s">
        <v>367</v>
      </c>
      <c r="T335" t="s">
        <v>367</v>
      </c>
      <c r="Y335" t="s">
        <v>367</v>
      </c>
    </row>
    <row r="336" spans="5:25" x14ac:dyDescent="0.35">
      <c r="E336" t="s">
        <v>367</v>
      </c>
      <c r="J336" t="s">
        <v>367</v>
      </c>
      <c r="O336" t="s">
        <v>367</v>
      </c>
      <c r="T336" t="s">
        <v>367</v>
      </c>
      <c r="Y336" t="s">
        <v>367</v>
      </c>
    </row>
    <row r="337" spans="5:25" x14ac:dyDescent="0.35">
      <c r="E337" t="s">
        <v>367</v>
      </c>
      <c r="J337" t="s">
        <v>367</v>
      </c>
      <c r="O337" t="s">
        <v>367</v>
      </c>
      <c r="T337" t="s">
        <v>367</v>
      </c>
      <c r="Y337" t="s">
        <v>367</v>
      </c>
    </row>
    <row r="338" spans="5:25" x14ac:dyDescent="0.35">
      <c r="E338" t="s">
        <v>367</v>
      </c>
      <c r="J338" t="s">
        <v>367</v>
      </c>
      <c r="O338" t="s">
        <v>367</v>
      </c>
      <c r="T338" t="s">
        <v>367</v>
      </c>
      <c r="Y338" t="s">
        <v>367</v>
      </c>
    </row>
    <row r="339" spans="5:25" x14ac:dyDescent="0.35">
      <c r="E339" t="s">
        <v>367</v>
      </c>
      <c r="J339" t="s">
        <v>367</v>
      </c>
      <c r="O339" t="s">
        <v>367</v>
      </c>
      <c r="T339" t="s">
        <v>367</v>
      </c>
      <c r="Y339" t="s">
        <v>367</v>
      </c>
    </row>
    <row r="340" spans="5:25" x14ac:dyDescent="0.35">
      <c r="E340" t="s">
        <v>367</v>
      </c>
      <c r="J340" t="s">
        <v>367</v>
      </c>
      <c r="O340" t="s">
        <v>367</v>
      </c>
      <c r="T340" t="s">
        <v>367</v>
      </c>
      <c r="Y340" t="s">
        <v>367</v>
      </c>
    </row>
    <row r="341" spans="5:25" x14ac:dyDescent="0.35">
      <c r="E341" t="s">
        <v>367</v>
      </c>
      <c r="J341" t="s">
        <v>367</v>
      </c>
      <c r="O341" t="s">
        <v>367</v>
      </c>
      <c r="T341" t="s">
        <v>367</v>
      </c>
      <c r="Y341" t="s">
        <v>367</v>
      </c>
    </row>
    <row r="342" spans="5:25" x14ac:dyDescent="0.35">
      <c r="E342" t="s">
        <v>367</v>
      </c>
      <c r="J342" t="s">
        <v>367</v>
      </c>
      <c r="O342" t="s">
        <v>367</v>
      </c>
      <c r="T342" t="s">
        <v>367</v>
      </c>
      <c r="Y342" t="s">
        <v>367</v>
      </c>
    </row>
    <row r="343" spans="5:25" x14ac:dyDescent="0.35">
      <c r="E343" t="s">
        <v>367</v>
      </c>
      <c r="J343" t="s">
        <v>367</v>
      </c>
      <c r="O343" t="s">
        <v>367</v>
      </c>
      <c r="T343" t="s">
        <v>367</v>
      </c>
      <c r="Y343" t="s">
        <v>367</v>
      </c>
    </row>
    <row r="344" spans="5:25" x14ac:dyDescent="0.35">
      <c r="E344" t="s">
        <v>367</v>
      </c>
      <c r="J344" t="s">
        <v>367</v>
      </c>
      <c r="O344" t="s">
        <v>367</v>
      </c>
      <c r="T344" t="s">
        <v>367</v>
      </c>
      <c r="Y344" t="s">
        <v>367</v>
      </c>
    </row>
    <row r="345" spans="5:25" x14ac:dyDescent="0.35">
      <c r="E345" t="s">
        <v>367</v>
      </c>
      <c r="J345" t="s">
        <v>367</v>
      </c>
      <c r="O345" t="s">
        <v>367</v>
      </c>
      <c r="T345" t="s">
        <v>367</v>
      </c>
      <c r="Y345" t="s">
        <v>367</v>
      </c>
    </row>
    <row r="346" spans="5:25" x14ac:dyDescent="0.35">
      <c r="E346" t="s">
        <v>367</v>
      </c>
      <c r="J346" t="s">
        <v>367</v>
      </c>
      <c r="O346" t="s">
        <v>367</v>
      </c>
      <c r="T346" t="s">
        <v>367</v>
      </c>
      <c r="Y346" t="s">
        <v>367</v>
      </c>
    </row>
    <row r="347" spans="5:25" x14ac:dyDescent="0.35">
      <c r="E347" t="s">
        <v>367</v>
      </c>
      <c r="J347" t="s">
        <v>367</v>
      </c>
      <c r="O347" t="s">
        <v>367</v>
      </c>
      <c r="T347" t="s">
        <v>367</v>
      </c>
      <c r="Y347" t="s">
        <v>367</v>
      </c>
    </row>
    <row r="348" spans="5:25" x14ac:dyDescent="0.35">
      <c r="E348" t="s">
        <v>367</v>
      </c>
      <c r="J348" t="s">
        <v>367</v>
      </c>
      <c r="O348" t="s">
        <v>367</v>
      </c>
      <c r="T348" t="s">
        <v>367</v>
      </c>
      <c r="Y348" t="s">
        <v>367</v>
      </c>
    </row>
    <row r="349" spans="5:25" x14ac:dyDescent="0.35">
      <c r="E349" t="s">
        <v>367</v>
      </c>
      <c r="J349" t="s">
        <v>367</v>
      </c>
      <c r="O349" t="s">
        <v>367</v>
      </c>
      <c r="T349" t="s">
        <v>367</v>
      </c>
      <c r="Y349" t="s">
        <v>367</v>
      </c>
    </row>
    <row r="350" spans="5:25" x14ac:dyDescent="0.35">
      <c r="E350" t="s">
        <v>367</v>
      </c>
      <c r="J350" t="s">
        <v>367</v>
      </c>
      <c r="O350" t="s">
        <v>367</v>
      </c>
      <c r="T350" t="s">
        <v>367</v>
      </c>
      <c r="Y350" t="s">
        <v>367</v>
      </c>
    </row>
    <row r="351" spans="5:25" x14ac:dyDescent="0.35">
      <c r="E351" t="s">
        <v>367</v>
      </c>
      <c r="J351" t="s">
        <v>367</v>
      </c>
      <c r="O351" t="s">
        <v>367</v>
      </c>
      <c r="T351" t="s">
        <v>367</v>
      </c>
      <c r="Y351" t="s">
        <v>367</v>
      </c>
    </row>
    <row r="352" spans="5:25" x14ac:dyDescent="0.35">
      <c r="E352" t="s">
        <v>367</v>
      </c>
      <c r="J352" t="s">
        <v>367</v>
      </c>
      <c r="O352" t="s">
        <v>367</v>
      </c>
      <c r="T352" t="s">
        <v>367</v>
      </c>
      <c r="Y352" t="s">
        <v>367</v>
      </c>
    </row>
    <row r="353" spans="5:25" x14ac:dyDescent="0.35">
      <c r="E353" t="s">
        <v>367</v>
      </c>
      <c r="J353" t="s">
        <v>367</v>
      </c>
      <c r="O353" t="s">
        <v>367</v>
      </c>
      <c r="T353" t="s">
        <v>367</v>
      </c>
      <c r="Y353" t="s">
        <v>367</v>
      </c>
    </row>
    <row r="354" spans="5:25" x14ac:dyDescent="0.35">
      <c r="E354" t="s">
        <v>367</v>
      </c>
      <c r="J354" t="s">
        <v>367</v>
      </c>
      <c r="O354" t="s">
        <v>367</v>
      </c>
      <c r="T354" t="s">
        <v>367</v>
      </c>
      <c r="Y354" t="s">
        <v>367</v>
      </c>
    </row>
    <row r="355" spans="5:25" x14ac:dyDescent="0.35">
      <c r="E355" t="s">
        <v>367</v>
      </c>
      <c r="J355" t="s">
        <v>367</v>
      </c>
      <c r="O355" t="s">
        <v>367</v>
      </c>
      <c r="T355" t="s">
        <v>367</v>
      </c>
      <c r="Y355" t="s">
        <v>367</v>
      </c>
    </row>
    <row r="356" spans="5:25" x14ac:dyDescent="0.35">
      <c r="E356" t="s">
        <v>367</v>
      </c>
      <c r="J356" t="s">
        <v>367</v>
      </c>
      <c r="O356" t="s">
        <v>367</v>
      </c>
      <c r="T356" t="s">
        <v>367</v>
      </c>
      <c r="Y356" t="s">
        <v>367</v>
      </c>
    </row>
    <row r="357" spans="5:25" x14ac:dyDescent="0.35">
      <c r="E357" t="s">
        <v>367</v>
      </c>
      <c r="J357" t="s">
        <v>367</v>
      </c>
      <c r="O357" t="s">
        <v>367</v>
      </c>
      <c r="T357" t="s">
        <v>367</v>
      </c>
      <c r="Y357" t="s">
        <v>367</v>
      </c>
    </row>
    <row r="358" spans="5:25" x14ac:dyDescent="0.35">
      <c r="E358" t="s">
        <v>367</v>
      </c>
      <c r="J358" t="s">
        <v>367</v>
      </c>
      <c r="O358" t="s">
        <v>367</v>
      </c>
      <c r="T358" t="s">
        <v>367</v>
      </c>
      <c r="Y358" t="s">
        <v>367</v>
      </c>
    </row>
    <row r="359" spans="5:25" x14ac:dyDescent="0.35">
      <c r="E359" t="s">
        <v>367</v>
      </c>
      <c r="J359" t="s">
        <v>367</v>
      </c>
      <c r="O359" t="s">
        <v>367</v>
      </c>
      <c r="T359" t="s">
        <v>367</v>
      </c>
      <c r="Y359" t="s">
        <v>367</v>
      </c>
    </row>
    <row r="360" spans="5:25" x14ac:dyDescent="0.35">
      <c r="E360" t="s">
        <v>367</v>
      </c>
      <c r="J360" t="s">
        <v>367</v>
      </c>
      <c r="O360" t="s">
        <v>367</v>
      </c>
      <c r="T360" t="s">
        <v>367</v>
      </c>
      <c r="Y360" t="s">
        <v>367</v>
      </c>
    </row>
    <row r="361" spans="5:25" x14ac:dyDescent="0.35">
      <c r="E361" t="s">
        <v>367</v>
      </c>
      <c r="J361" t="s">
        <v>367</v>
      </c>
      <c r="O361" t="s">
        <v>367</v>
      </c>
      <c r="T361" t="s">
        <v>367</v>
      </c>
      <c r="Y361" t="s">
        <v>367</v>
      </c>
    </row>
    <row r="362" spans="5:25" x14ac:dyDescent="0.35">
      <c r="E362" t="s">
        <v>367</v>
      </c>
      <c r="J362" t="s">
        <v>367</v>
      </c>
      <c r="O362" t="s">
        <v>367</v>
      </c>
      <c r="T362" t="s">
        <v>367</v>
      </c>
      <c r="Y362" t="s">
        <v>367</v>
      </c>
    </row>
    <row r="363" spans="5:25" x14ac:dyDescent="0.35">
      <c r="E363" t="s">
        <v>367</v>
      </c>
      <c r="J363" t="s">
        <v>367</v>
      </c>
      <c r="O363" t="s">
        <v>367</v>
      </c>
      <c r="T363" t="s">
        <v>367</v>
      </c>
      <c r="Y363" t="s">
        <v>367</v>
      </c>
    </row>
    <row r="364" spans="5:25" x14ac:dyDescent="0.35">
      <c r="E364" t="s">
        <v>367</v>
      </c>
      <c r="J364" t="s">
        <v>367</v>
      </c>
      <c r="O364" t="s">
        <v>367</v>
      </c>
      <c r="T364" t="s">
        <v>367</v>
      </c>
      <c r="Y364" t="s">
        <v>367</v>
      </c>
    </row>
    <row r="365" spans="5:25" x14ac:dyDescent="0.35">
      <c r="E365" t="s">
        <v>367</v>
      </c>
      <c r="J365" t="s">
        <v>367</v>
      </c>
      <c r="O365" t="s">
        <v>367</v>
      </c>
      <c r="T365" t="s">
        <v>367</v>
      </c>
      <c r="Y365" t="s">
        <v>367</v>
      </c>
    </row>
    <row r="366" spans="5:25" x14ac:dyDescent="0.35">
      <c r="E366" t="s">
        <v>367</v>
      </c>
      <c r="J366" t="s">
        <v>367</v>
      </c>
      <c r="O366" t="s">
        <v>367</v>
      </c>
      <c r="T366" t="s">
        <v>367</v>
      </c>
      <c r="Y366" t="s">
        <v>367</v>
      </c>
    </row>
    <row r="367" spans="5:25" x14ac:dyDescent="0.35">
      <c r="E367" t="s">
        <v>367</v>
      </c>
      <c r="J367" t="s">
        <v>367</v>
      </c>
      <c r="O367" t="s">
        <v>367</v>
      </c>
      <c r="T367" t="s">
        <v>367</v>
      </c>
      <c r="Y367" t="s">
        <v>367</v>
      </c>
    </row>
    <row r="368" spans="5:25" x14ac:dyDescent="0.35">
      <c r="E368" t="s">
        <v>367</v>
      </c>
      <c r="J368" t="s">
        <v>367</v>
      </c>
      <c r="O368" t="s">
        <v>367</v>
      </c>
      <c r="T368" t="s">
        <v>367</v>
      </c>
      <c r="Y368" t="s">
        <v>367</v>
      </c>
    </row>
    <row r="369" spans="5:25" x14ac:dyDescent="0.35">
      <c r="E369" t="s">
        <v>367</v>
      </c>
      <c r="J369" t="s">
        <v>367</v>
      </c>
      <c r="O369" t="s">
        <v>367</v>
      </c>
      <c r="T369" t="s">
        <v>367</v>
      </c>
      <c r="Y369" t="s">
        <v>367</v>
      </c>
    </row>
    <row r="370" spans="5:25" x14ac:dyDescent="0.35">
      <c r="E370" t="s">
        <v>367</v>
      </c>
      <c r="J370" t="s">
        <v>367</v>
      </c>
      <c r="O370" t="s">
        <v>367</v>
      </c>
      <c r="T370" t="s">
        <v>367</v>
      </c>
      <c r="Y370" t="s">
        <v>367</v>
      </c>
    </row>
    <row r="371" spans="5:25" x14ac:dyDescent="0.35">
      <c r="E371" t="s">
        <v>367</v>
      </c>
      <c r="J371" t="s">
        <v>367</v>
      </c>
      <c r="O371" t="s">
        <v>367</v>
      </c>
      <c r="T371" t="s">
        <v>367</v>
      </c>
      <c r="Y371" t="s">
        <v>367</v>
      </c>
    </row>
    <row r="372" spans="5:25" x14ac:dyDescent="0.35">
      <c r="E372" t="s">
        <v>367</v>
      </c>
      <c r="J372" t="s">
        <v>367</v>
      </c>
      <c r="O372" t="s">
        <v>367</v>
      </c>
      <c r="T372" t="s">
        <v>367</v>
      </c>
      <c r="Y372" t="s">
        <v>367</v>
      </c>
    </row>
    <row r="373" spans="5:25" x14ac:dyDescent="0.35">
      <c r="E373" t="s">
        <v>367</v>
      </c>
      <c r="J373" t="s">
        <v>367</v>
      </c>
      <c r="O373" t="s">
        <v>367</v>
      </c>
      <c r="T373" t="s">
        <v>367</v>
      </c>
      <c r="Y373" t="s">
        <v>367</v>
      </c>
    </row>
    <row r="374" spans="5:25" x14ac:dyDescent="0.35">
      <c r="E374" t="s">
        <v>367</v>
      </c>
      <c r="J374" t="s">
        <v>367</v>
      </c>
      <c r="O374" t="s">
        <v>367</v>
      </c>
      <c r="T374" t="s">
        <v>367</v>
      </c>
      <c r="Y374" t="s">
        <v>367</v>
      </c>
    </row>
    <row r="375" spans="5:25" x14ac:dyDescent="0.35">
      <c r="E375" t="s">
        <v>367</v>
      </c>
      <c r="J375" t="s">
        <v>367</v>
      </c>
      <c r="O375" t="s">
        <v>367</v>
      </c>
      <c r="T375" t="s">
        <v>367</v>
      </c>
      <c r="Y375" t="s">
        <v>367</v>
      </c>
    </row>
    <row r="376" spans="5:25" x14ac:dyDescent="0.35">
      <c r="E376" t="s">
        <v>367</v>
      </c>
      <c r="J376" t="s">
        <v>367</v>
      </c>
      <c r="O376" t="s">
        <v>367</v>
      </c>
      <c r="T376" t="s">
        <v>367</v>
      </c>
      <c r="Y376" t="s">
        <v>367</v>
      </c>
    </row>
    <row r="377" spans="5:25" x14ac:dyDescent="0.35">
      <c r="E377" t="s">
        <v>367</v>
      </c>
      <c r="J377" t="s">
        <v>367</v>
      </c>
      <c r="O377" t="s">
        <v>367</v>
      </c>
      <c r="T377" t="s">
        <v>367</v>
      </c>
      <c r="Y377" t="s">
        <v>367</v>
      </c>
    </row>
    <row r="378" spans="5:25" x14ac:dyDescent="0.35">
      <c r="E378" t="s">
        <v>367</v>
      </c>
      <c r="J378" t="s">
        <v>367</v>
      </c>
      <c r="O378" t="s">
        <v>367</v>
      </c>
      <c r="T378" t="s">
        <v>367</v>
      </c>
      <c r="Y378" t="s">
        <v>367</v>
      </c>
    </row>
    <row r="379" spans="5:25" x14ac:dyDescent="0.35">
      <c r="E379" t="s">
        <v>367</v>
      </c>
      <c r="J379" t="s">
        <v>367</v>
      </c>
      <c r="O379" t="s">
        <v>367</v>
      </c>
      <c r="T379" t="s">
        <v>367</v>
      </c>
      <c r="Y379" t="s">
        <v>367</v>
      </c>
    </row>
    <row r="380" spans="5:25" x14ac:dyDescent="0.35">
      <c r="E380" t="s">
        <v>367</v>
      </c>
      <c r="J380" t="s">
        <v>367</v>
      </c>
      <c r="O380" t="s">
        <v>367</v>
      </c>
      <c r="T380" t="s">
        <v>367</v>
      </c>
      <c r="Y380" t="s">
        <v>367</v>
      </c>
    </row>
    <row r="381" spans="5:25" x14ac:dyDescent="0.35">
      <c r="E381" t="s">
        <v>367</v>
      </c>
      <c r="J381" t="s">
        <v>367</v>
      </c>
      <c r="O381" t="s">
        <v>367</v>
      </c>
      <c r="T381" t="s">
        <v>367</v>
      </c>
      <c r="Y381" t="s">
        <v>367</v>
      </c>
    </row>
    <row r="382" spans="5:25" x14ac:dyDescent="0.35">
      <c r="E382" t="s">
        <v>367</v>
      </c>
      <c r="J382" t="s">
        <v>367</v>
      </c>
      <c r="O382" t="s">
        <v>367</v>
      </c>
      <c r="T382" t="s">
        <v>367</v>
      </c>
      <c r="Y382" t="s">
        <v>367</v>
      </c>
    </row>
    <row r="383" spans="5:25" x14ac:dyDescent="0.35">
      <c r="E383" t="s">
        <v>367</v>
      </c>
      <c r="J383" t="s">
        <v>367</v>
      </c>
      <c r="O383" t="s">
        <v>367</v>
      </c>
      <c r="T383" t="s">
        <v>367</v>
      </c>
      <c r="Y383" t="s">
        <v>367</v>
      </c>
    </row>
    <row r="384" spans="5:25" x14ac:dyDescent="0.35">
      <c r="E384" t="s">
        <v>367</v>
      </c>
      <c r="J384" t="s">
        <v>367</v>
      </c>
      <c r="O384" t="s">
        <v>367</v>
      </c>
      <c r="T384" t="s">
        <v>367</v>
      </c>
      <c r="Y384" t="s">
        <v>367</v>
      </c>
    </row>
    <row r="385" spans="5:25" x14ac:dyDescent="0.35">
      <c r="E385" t="s">
        <v>367</v>
      </c>
      <c r="J385" t="s">
        <v>367</v>
      </c>
      <c r="O385" t="s">
        <v>367</v>
      </c>
      <c r="T385" t="s">
        <v>367</v>
      </c>
      <c r="Y385" t="s">
        <v>367</v>
      </c>
    </row>
    <row r="386" spans="5:25" x14ac:dyDescent="0.35">
      <c r="E386" t="s">
        <v>367</v>
      </c>
      <c r="J386" t="s">
        <v>367</v>
      </c>
      <c r="O386" t="s">
        <v>367</v>
      </c>
      <c r="T386" t="s">
        <v>367</v>
      </c>
      <c r="Y386" t="s">
        <v>367</v>
      </c>
    </row>
    <row r="387" spans="5:25" x14ac:dyDescent="0.35">
      <c r="E387" t="s">
        <v>367</v>
      </c>
      <c r="J387" t="s">
        <v>367</v>
      </c>
      <c r="O387" t="s">
        <v>367</v>
      </c>
      <c r="T387" t="s">
        <v>367</v>
      </c>
      <c r="Y387" t="s">
        <v>367</v>
      </c>
    </row>
    <row r="388" spans="5:25" x14ac:dyDescent="0.35">
      <c r="E388" t="s">
        <v>367</v>
      </c>
      <c r="J388" t="s">
        <v>367</v>
      </c>
      <c r="O388" t="s">
        <v>367</v>
      </c>
      <c r="T388" t="s">
        <v>367</v>
      </c>
      <c r="Y388" t="s">
        <v>367</v>
      </c>
    </row>
    <row r="389" spans="5:25" x14ac:dyDescent="0.35">
      <c r="E389" t="s">
        <v>367</v>
      </c>
      <c r="J389" t="s">
        <v>367</v>
      </c>
      <c r="O389" t="s">
        <v>367</v>
      </c>
      <c r="T389" t="s">
        <v>367</v>
      </c>
      <c r="Y389" t="s">
        <v>367</v>
      </c>
    </row>
    <row r="390" spans="5:25" x14ac:dyDescent="0.35">
      <c r="E390" t="s">
        <v>367</v>
      </c>
      <c r="J390" t="s">
        <v>367</v>
      </c>
      <c r="O390" t="s">
        <v>367</v>
      </c>
      <c r="T390" t="s">
        <v>367</v>
      </c>
      <c r="Y390" t="s">
        <v>367</v>
      </c>
    </row>
    <row r="391" spans="5:25" x14ac:dyDescent="0.35">
      <c r="E391" t="s">
        <v>367</v>
      </c>
      <c r="J391" t="s">
        <v>367</v>
      </c>
      <c r="O391" t="s">
        <v>367</v>
      </c>
      <c r="T391" t="s">
        <v>367</v>
      </c>
      <c r="Y391" t="s">
        <v>367</v>
      </c>
    </row>
    <row r="392" spans="5:25" x14ac:dyDescent="0.35">
      <c r="E392" t="s">
        <v>367</v>
      </c>
      <c r="J392" t="s">
        <v>367</v>
      </c>
      <c r="O392" t="s">
        <v>367</v>
      </c>
      <c r="T392" t="s">
        <v>367</v>
      </c>
      <c r="Y392" t="s">
        <v>367</v>
      </c>
    </row>
    <row r="393" spans="5:25" x14ac:dyDescent="0.35">
      <c r="E393" t="s">
        <v>367</v>
      </c>
      <c r="J393" t="s">
        <v>367</v>
      </c>
      <c r="O393" t="s">
        <v>367</v>
      </c>
      <c r="T393" t="s">
        <v>367</v>
      </c>
      <c r="Y393" t="s">
        <v>367</v>
      </c>
    </row>
    <row r="394" spans="5:25" x14ac:dyDescent="0.35">
      <c r="E394" t="s">
        <v>367</v>
      </c>
      <c r="J394" t="s">
        <v>367</v>
      </c>
      <c r="O394" t="s">
        <v>367</v>
      </c>
      <c r="T394" t="s">
        <v>367</v>
      </c>
      <c r="Y394" t="s">
        <v>367</v>
      </c>
    </row>
    <row r="395" spans="5:25" x14ac:dyDescent="0.35">
      <c r="E395" t="s">
        <v>367</v>
      </c>
      <c r="J395" t="s">
        <v>367</v>
      </c>
      <c r="O395" t="s">
        <v>367</v>
      </c>
      <c r="T395" t="s">
        <v>367</v>
      </c>
      <c r="Y395" t="s">
        <v>367</v>
      </c>
    </row>
    <row r="396" spans="5:25" x14ac:dyDescent="0.35">
      <c r="E396" t="s">
        <v>367</v>
      </c>
      <c r="J396" t="s">
        <v>367</v>
      </c>
      <c r="O396" t="s">
        <v>367</v>
      </c>
      <c r="T396" t="s">
        <v>367</v>
      </c>
      <c r="Y396" t="s">
        <v>367</v>
      </c>
    </row>
    <row r="397" spans="5:25" x14ac:dyDescent="0.35">
      <c r="E397" t="s">
        <v>367</v>
      </c>
      <c r="J397" t="s">
        <v>367</v>
      </c>
      <c r="O397" t="s">
        <v>367</v>
      </c>
      <c r="T397" t="s">
        <v>367</v>
      </c>
      <c r="Y397" t="s">
        <v>367</v>
      </c>
    </row>
    <row r="398" spans="5:25" x14ac:dyDescent="0.35">
      <c r="E398" t="s">
        <v>367</v>
      </c>
      <c r="J398" t="s">
        <v>367</v>
      </c>
      <c r="O398" t="s">
        <v>367</v>
      </c>
      <c r="T398" t="s">
        <v>367</v>
      </c>
      <c r="Y398" t="s">
        <v>367</v>
      </c>
    </row>
    <row r="399" spans="5:25" x14ac:dyDescent="0.35">
      <c r="E399" t="s">
        <v>367</v>
      </c>
      <c r="J399" t="s">
        <v>367</v>
      </c>
      <c r="O399" t="s">
        <v>367</v>
      </c>
      <c r="T399" t="s">
        <v>367</v>
      </c>
      <c r="Y399" t="s">
        <v>367</v>
      </c>
    </row>
    <row r="400" spans="5:25" x14ac:dyDescent="0.35">
      <c r="E400" t="s">
        <v>367</v>
      </c>
      <c r="J400" t="s">
        <v>367</v>
      </c>
      <c r="O400" t="s">
        <v>367</v>
      </c>
      <c r="T400" t="s">
        <v>367</v>
      </c>
      <c r="Y400" t="s">
        <v>367</v>
      </c>
    </row>
    <row r="401" spans="5:25" x14ac:dyDescent="0.35">
      <c r="E401" t="s">
        <v>367</v>
      </c>
      <c r="J401" t="s">
        <v>367</v>
      </c>
      <c r="O401" t="s">
        <v>367</v>
      </c>
      <c r="T401" t="s">
        <v>367</v>
      </c>
      <c r="Y401" t="s">
        <v>367</v>
      </c>
    </row>
    <row r="402" spans="5:25" x14ac:dyDescent="0.35">
      <c r="E402" t="s">
        <v>367</v>
      </c>
      <c r="J402" t="s">
        <v>367</v>
      </c>
      <c r="O402" t="s">
        <v>367</v>
      </c>
      <c r="T402" t="s">
        <v>367</v>
      </c>
      <c r="Y402" t="s">
        <v>367</v>
      </c>
    </row>
    <row r="403" spans="5:25" x14ac:dyDescent="0.35">
      <c r="E403" t="s">
        <v>367</v>
      </c>
      <c r="J403" t="s">
        <v>367</v>
      </c>
      <c r="O403" t="s">
        <v>367</v>
      </c>
      <c r="T403" t="s">
        <v>367</v>
      </c>
      <c r="Y403" t="s">
        <v>367</v>
      </c>
    </row>
    <row r="404" spans="5:25" x14ac:dyDescent="0.35">
      <c r="E404" t="s">
        <v>367</v>
      </c>
      <c r="J404" t="s">
        <v>367</v>
      </c>
      <c r="O404" t="s">
        <v>367</v>
      </c>
      <c r="T404" t="s">
        <v>367</v>
      </c>
      <c r="Y404" t="s">
        <v>367</v>
      </c>
    </row>
    <row r="405" spans="5:25" x14ac:dyDescent="0.35">
      <c r="E405" t="s">
        <v>367</v>
      </c>
      <c r="J405" t="s">
        <v>367</v>
      </c>
      <c r="O405" t="s">
        <v>367</v>
      </c>
      <c r="T405" t="s">
        <v>367</v>
      </c>
      <c r="Y405" t="s">
        <v>367</v>
      </c>
    </row>
    <row r="406" spans="5:25" x14ac:dyDescent="0.35">
      <c r="E406" t="s">
        <v>367</v>
      </c>
      <c r="J406" t="s">
        <v>367</v>
      </c>
      <c r="O406" t="s">
        <v>367</v>
      </c>
      <c r="T406" t="s">
        <v>367</v>
      </c>
      <c r="Y406" t="s">
        <v>367</v>
      </c>
    </row>
    <row r="407" spans="5:25" x14ac:dyDescent="0.35">
      <c r="E407" t="s">
        <v>367</v>
      </c>
      <c r="J407" t="s">
        <v>367</v>
      </c>
      <c r="O407" t="s">
        <v>367</v>
      </c>
      <c r="T407" t="s">
        <v>367</v>
      </c>
      <c r="Y407" t="s">
        <v>367</v>
      </c>
    </row>
    <row r="408" spans="5:25" x14ac:dyDescent="0.35">
      <c r="E408" t="s">
        <v>367</v>
      </c>
      <c r="J408" t="s">
        <v>367</v>
      </c>
      <c r="O408" t="s">
        <v>367</v>
      </c>
      <c r="T408" t="s">
        <v>367</v>
      </c>
      <c r="Y408" t="s">
        <v>367</v>
      </c>
    </row>
    <row r="409" spans="5:25" x14ac:dyDescent="0.35">
      <c r="E409" t="s">
        <v>367</v>
      </c>
      <c r="J409" t="s">
        <v>367</v>
      </c>
      <c r="O409" t="s">
        <v>367</v>
      </c>
      <c r="T409" t="s">
        <v>367</v>
      </c>
      <c r="Y409" t="s">
        <v>367</v>
      </c>
    </row>
    <row r="410" spans="5:25" x14ac:dyDescent="0.35">
      <c r="E410" t="s">
        <v>367</v>
      </c>
      <c r="J410" t="s">
        <v>367</v>
      </c>
      <c r="O410" t="s">
        <v>367</v>
      </c>
      <c r="T410" t="s">
        <v>367</v>
      </c>
      <c r="Y410" t="s">
        <v>367</v>
      </c>
    </row>
    <row r="411" spans="5:25" x14ac:dyDescent="0.35">
      <c r="E411" t="s">
        <v>367</v>
      </c>
      <c r="J411" t="s">
        <v>367</v>
      </c>
      <c r="O411" t="s">
        <v>367</v>
      </c>
      <c r="T411" t="s">
        <v>367</v>
      </c>
      <c r="Y411" t="s">
        <v>367</v>
      </c>
    </row>
    <row r="412" spans="5:25" x14ac:dyDescent="0.35">
      <c r="E412" t="s">
        <v>367</v>
      </c>
      <c r="J412" t="s">
        <v>367</v>
      </c>
      <c r="O412" t="s">
        <v>367</v>
      </c>
      <c r="T412" t="s">
        <v>367</v>
      </c>
      <c r="Y412" t="s">
        <v>367</v>
      </c>
    </row>
    <row r="413" spans="5:25" x14ac:dyDescent="0.35">
      <c r="E413" t="s">
        <v>367</v>
      </c>
      <c r="J413" t="s">
        <v>367</v>
      </c>
      <c r="O413" t="s">
        <v>367</v>
      </c>
      <c r="T413" t="s">
        <v>367</v>
      </c>
      <c r="Y413" t="s">
        <v>367</v>
      </c>
    </row>
    <row r="414" spans="5:25" x14ac:dyDescent="0.35">
      <c r="E414" t="s">
        <v>367</v>
      </c>
      <c r="J414" t="s">
        <v>367</v>
      </c>
      <c r="O414" t="s">
        <v>367</v>
      </c>
      <c r="T414" t="s">
        <v>367</v>
      </c>
      <c r="Y414" t="s">
        <v>367</v>
      </c>
    </row>
    <row r="415" spans="5:25" x14ac:dyDescent="0.35">
      <c r="E415" t="s">
        <v>367</v>
      </c>
      <c r="J415" t="s">
        <v>367</v>
      </c>
      <c r="O415" t="s">
        <v>367</v>
      </c>
      <c r="T415" t="s">
        <v>367</v>
      </c>
      <c r="Y415" t="s">
        <v>367</v>
      </c>
    </row>
    <row r="416" spans="5:25" x14ac:dyDescent="0.35">
      <c r="E416" t="s">
        <v>367</v>
      </c>
      <c r="J416" t="s">
        <v>367</v>
      </c>
      <c r="O416" t="s">
        <v>367</v>
      </c>
      <c r="T416" t="s">
        <v>367</v>
      </c>
      <c r="Y416" t="s">
        <v>367</v>
      </c>
    </row>
    <row r="417" spans="5:25" x14ac:dyDescent="0.35">
      <c r="E417" t="s">
        <v>367</v>
      </c>
      <c r="J417" t="s">
        <v>367</v>
      </c>
      <c r="O417" t="s">
        <v>367</v>
      </c>
      <c r="T417" t="s">
        <v>367</v>
      </c>
      <c r="Y417" t="s">
        <v>367</v>
      </c>
    </row>
    <row r="418" spans="5:25" x14ac:dyDescent="0.35">
      <c r="E418" t="s">
        <v>367</v>
      </c>
      <c r="J418" t="s">
        <v>367</v>
      </c>
      <c r="O418" t="s">
        <v>367</v>
      </c>
      <c r="T418" t="s">
        <v>367</v>
      </c>
      <c r="Y418" t="s">
        <v>367</v>
      </c>
    </row>
    <row r="419" spans="5:25" x14ac:dyDescent="0.35">
      <c r="E419" t="s">
        <v>367</v>
      </c>
      <c r="J419" t="s">
        <v>367</v>
      </c>
      <c r="O419" t="s">
        <v>367</v>
      </c>
      <c r="T419" t="s">
        <v>367</v>
      </c>
      <c r="Y419" t="s">
        <v>367</v>
      </c>
    </row>
    <row r="420" spans="5:25" x14ac:dyDescent="0.35">
      <c r="E420" t="s">
        <v>367</v>
      </c>
      <c r="J420" t="s">
        <v>367</v>
      </c>
      <c r="O420" t="s">
        <v>367</v>
      </c>
      <c r="T420" t="s">
        <v>367</v>
      </c>
      <c r="Y420" t="s">
        <v>367</v>
      </c>
    </row>
    <row r="421" spans="5:25" x14ac:dyDescent="0.35">
      <c r="E421" t="s">
        <v>367</v>
      </c>
      <c r="J421" t="s">
        <v>367</v>
      </c>
      <c r="O421" t="s">
        <v>367</v>
      </c>
      <c r="T421" t="s">
        <v>367</v>
      </c>
      <c r="Y421" t="s">
        <v>367</v>
      </c>
    </row>
    <row r="422" spans="5:25" x14ac:dyDescent="0.35">
      <c r="E422" t="s">
        <v>367</v>
      </c>
      <c r="J422" t="s">
        <v>367</v>
      </c>
      <c r="O422" t="s">
        <v>367</v>
      </c>
      <c r="T422" t="s">
        <v>367</v>
      </c>
      <c r="Y422" t="s">
        <v>367</v>
      </c>
    </row>
    <row r="423" spans="5:25" x14ac:dyDescent="0.35">
      <c r="E423" t="s">
        <v>367</v>
      </c>
      <c r="J423" t="s">
        <v>367</v>
      </c>
      <c r="O423" t="s">
        <v>367</v>
      </c>
      <c r="T423" t="s">
        <v>367</v>
      </c>
      <c r="Y423" t="s">
        <v>367</v>
      </c>
    </row>
    <row r="424" spans="5:25" x14ac:dyDescent="0.35">
      <c r="E424" t="s">
        <v>367</v>
      </c>
      <c r="J424" t="s">
        <v>367</v>
      </c>
      <c r="O424" t="s">
        <v>367</v>
      </c>
      <c r="T424" t="s">
        <v>367</v>
      </c>
      <c r="Y424" t="s">
        <v>367</v>
      </c>
    </row>
    <row r="425" spans="5:25" x14ac:dyDescent="0.35">
      <c r="E425" t="s">
        <v>367</v>
      </c>
      <c r="J425" t="s">
        <v>367</v>
      </c>
      <c r="O425" t="s">
        <v>367</v>
      </c>
      <c r="T425" t="s">
        <v>367</v>
      </c>
      <c r="Y425" t="s">
        <v>367</v>
      </c>
    </row>
    <row r="426" spans="5:25" x14ac:dyDescent="0.35">
      <c r="E426" t="s">
        <v>367</v>
      </c>
      <c r="J426" t="s">
        <v>367</v>
      </c>
      <c r="O426" t="s">
        <v>367</v>
      </c>
      <c r="T426" t="s">
        <v>367</v>
      </c>
      <c r="Y426" t="s">
        <v>367</v>
      </c>
    </row>
    <row r="427" spans="5:25" x14ac:dyDescent="0.35">
      <c r="E427" t="s">
        <v>367</v>
      </c>
      <c r="J427" t="s">
        <v>367</v>
      </c>
      <c r="O427" t="s">
        <v>367</v>
      </c>
      <c r="T427" t="s">
        <v>367</v>
      </c>
      <c r="Y427" t="s">
        <v>367</v>
      </c>
    </row>
    <row r="428" spans="5:25" x14ac:dyDescent="0.35">
      <c r="E428" t="s">
        <v>367</v>
      </c>
      <c r="J428" t="s">
        <v>367</v>
      </c>
      <c r="O428" t="s">
        <v>367</v>
      </c>
      <c r="T428" t="s">
        <v>367</v>
      </c>
      <c r="Y428" t="s">
        <v>367</v>
      </c>
    </row>
    <row r="429" spans="5:25" x14ac:dyDescent="0.35">
      <c r="E429" t="s">
        <v>367</v>
      </c>
      <c r="J429" t="s">
        <v>367</v>
      </c>
      <c r="O429" t="s">
        <v>367</v>
      </c>
      <c r="T429" t="s">
        <v>367</v>
      </c>
      <c r="Y429" t="s">
        <v>367</v>
      </c>
    </row>
    <row r="430" spans="5:25" x14ac:dyDescent="0.35">
      <c r="E430" t="s">
        <v>367</v>
      </c>
      <c r="J430" t="s">
        <v>367</v>
      </c>
      <c r="O430" t="s">
        <v>367</v>
      </c>
      <c r="T430" t="s">
        <v>367</v>
      </c>
      <c r="Y430" t="s">
        <v>367</v>
      </c>
    </row>
    <row r="431" spans="5:25" x14ac:dyDescent="0.35">
      <c r="E431" t="s">
        <v>367</v>
      </c>
      <c r="J431" t="s">
        <v>367</v>
      </c>
      <c r="O431" t="s">
        <v>367</v>
      </c>
      <c r="T431" t="s">
        <v>367</v>
      </c>
      <c r="Y431" t="s">
        <v>367</v>
      </c>
    </row>
    <row r="432" spans="5:25" x14ac:dyDescent="0.35">
      <c r="E432" t="s">
        <v>367</v>
      </c>
      <c r="J432" t="s">
        <v>367</v>
      </c>
      <c r="O432" t="s">
        <v>367</v>
      </c>
      <c r="T432" t="s">
        <v>367</v>
      </c>
      <c r="Y432" t="s">
        <v>367</v>
      </c>
    </row>
    <row r="433" spans="5:25" x14ac:dyDescent="0.35">
      <c r="E433" t="s">
        <v>367</v>
      </c>
      <c r="J433" t="s">
        <v>367</v>
      </c>
      <c r="O433" t="s">
        <v>367</v>
      </c>
      <c r="T433" t="s">
        <v>367</v>
      </c>
      <c r="Y433" t="s">
        <v>367</v>
      </c>
    </row>
    <row r="434" spans="5:25" x14ac:dyDescent="0.35">
      <c r="E434" t="s">
        <v>367</v>
      </c>
      <c r="J434" t="s">
        <v>367</v>
      </c>
      <c r="O434" t="s">
        <v>367</v>
      </c>
      <c r="T434" t="s">
        <v>367</v>
      </c>
      <c r="Y434" t="s">
        <v>367</v>
      </c>
    </row>
    <row r="435" spans="5:25" x14ac:dyDescent="0.35">
      <c r="E435" t="s">
        <v>367</v>
      </c>
      <c r="J435" t="s">
        <v>367</v>
      </c>
      <c r="O435" t="s">
        <v>367</v>
      </c>
      <c r="T435" t="s">
        <v>367</v>
      </c>
      <c r="Y435" t="s">
        <v>367</v>
      </c>
    </row>
    <row r="436" spans="5:25" x14ac:dyDescent="0.35">
      <c r="E436" t="s">
        <v>367</v>
      </c>
      <c r="J436" t="s">
        <v>367</v>
      </c>
      <c r="O436" t="s">
        <v>367</v>
      </c>
      <c r="T436" t="s">
        <v>367</v>
      </c>
      <c r="Y436" t="s">
        <v>367</v>
      </c>
    </row>
    <row r="437" spans="5:25" x14ac:dyDescent="0.35">
      <c r="E437" t="s">
        <v>367</v>
      </c>
      <c r="J437" t="s">
        <v>367</v>
      </c>
      <c r="O437" t="s">
        <v>367</v>
      </c>
      <c r="T437" t="s">
        <v>367</v>
      </c>
      <c r="Y437" t="s">
        <v>367</v>
      </c>
    </row>
    <row r="438" spans="5:25" x14ac:dyDescent="0.35">
      <c r="E438" t="s">
        <v>367</v>
      </c>
      <c r="J438" t="s">
        <v>367</v>
      </c>
      <c r="O438" t="s">
        <v>367</v>
      </c>
      <c r="T438" t="s">
        <v>367</v>
      </c>
      <c r="Y438" t="s">
        <v>367</v>
      </c>
    </row>
    <row r="439" spans="5:25" x14ac:dyDescent="0.35">
      <c r="E439" t="s">
        <v>367</v>
      </c>
      <c r="J439" t="s">
        <v>367</v>
      </c>
      <c r="O439" t="s">
        <v>367</v>
      </c>
      <c r="T439" t="s">
        <v>367</v>
      </c>
      <c r="Y439" t="s">
        <v>367</v>
      </c>
    </row>
    <row r="440" spans="5:25" x14ac:dyDescent="0.35">
      <c r="E440" t="s">
        <v>367</v>
      </c>
      <c r="J440" t="s">
        <v>367</v>
      </c>
      <c r="O440" t="s">
        <v>367</v>
      </c>
      <c r="T440" t="s">
        <v>367</v>
      </c>
      <c r="Y440" t="s">
        <v>367</v>
      </c>
    </row>
    <row r="441" spans="5:25" x14ac:dyDescent="0.35">
      <c r="E441" t="s">
        <v>367</v>
      </c>
      <c r="J441" t="s">
        <v>367</v>
      </c>
      <c r="O441" t="s">
        <v>367</v>
      </c>
      <c r="T441" t="s">
        <v>367</v>
      </c>
      <c r="Y441" t="s">
        <v>367</v>
      </c>
    </row>
    <row r="442" spans="5:25" x14ac:dyDescent="0.35">
      <c r="E442" t="s">
        <v>367</v>
      </c>
      <c r="J442" t="s">
        <v>367</v>
      </c>
      <c r="O442" t="s">
        <v>367</v>
      </c>
      <c r="T442" t="s">
        <v>367</v>
      </c>
      <c r="Y442" t="s">
        <v>367</v>
      </c>
    </row>
    <row r="443" spans="5:25" x14ac:dyDescent="0.35">
      <c r="E443" t="s">
        <v>367</v>
      </c>
      <c r="J443" t="s">
        <v>367</v>
      </c>
      <c r="O443" t="s">
        <v>367</v>
      </c>
      <c r="T443" t="s">
        <v>367</v>
      </c>
      <c r="Y443" t="s">
        <v>367</v>
      </c>
    </row>
    <row r="444" spans="5:25" x14ac:dyDescent="0.35">
      <c r="E444" t="s">
        <v>367</v>
      </c>
      <c r="J444" t="s">
        <v>367</v>
      </c>
      <c r="O444" t="s">
        <v>367</v>
      </c>
      <c r="T444" t="s">
        <v>367</v>
      </c>
      <c r="Y444" t="s">
        <v>367</v>
      </c>
    </row>
    <row r="445" spans="5:25" x14ac:dyDescent="0.35">
      <c r="E445" t="s">
        <v>367</v>
      </c>
      <c r="J445" t="s">
        <v>367</v>
      </c>
      <c r="O445" t="s">
        <v>367</v>
      </c>
      <c r="T445" t="s">
        <v>367</v>
      </c>
      <c r="Y445" t="s">
        <v>367</v>
      </c>
    </row>
    <row r="446" spans="5:25" x14ac:dyDescent="0.35">
      <c r="E446" t="s">
        <v>367</v>
      </c>
      <c r="J446" t="s">
        <v>367</v>
      </c>
      <c r="O446" t="s">
        <v>367</v>
      </c>
      <c r="T446" t="s">
        <v>367</v>
      </c>
      <c r="Y446" t="s">
        <v>367</v>
      </c>
    </row>
    <row r="447" spans="5:25" x14ac:dyDescent="0.35">
      <c r="E447" t="s">
        <v>367</v>
      </c>
      <c r="J447" t="s">
        <v>367</v>
      </c>
      <c r="O447" t="s">
        <v>367</v>
      </c>
      <c r="T447" t="s">
        <v>367</v>
      </c>
      <c r="Y447" t="s">
        <v>367</v>
      </c>
    </row>
    <row r="448" spans="5:25" x14ac:dyDescent="0.35">
      <c r="E448" t="s">
        <v>367</v>
      </c>
      <c r="J448" t="s">
        <v>367</v>
      </c>
      <c r="O448" t="s">
        <v>367</v>
      </c>
      <c r="T448" t="s">
        <v>367</v>
      </c>
      <c r="Y448" t="s">
        <v>367</v>
      </c>
    </row>
    <row r="449" spans="5:25" x14ac:dyDescent="0.35">
      <c r="E449" t="s">
        <v>367</v>
      </c>
      <c r="J449" t="s">
        <v>367</v>
      </c>
      <c r="O449" t="s">
        <v>367</v>
      </c>
      <c r="T449" t="s">
        <v>367</v>
      </c>
      <c r="Y449" t="s">
        <v>367</v>
      </c>
    </row>
    <row r="450" spans="5:25" x14ac:dyDescent="0.35">
      <c r="E450" t="s">
        <v>367</v>
      </c>
      <c r="J450" t="s">
        <v>367</v>
      </c>
      <c r="O450" t="s">
        <v>367</v>
      </c>
      <c r="T450" t="s">
        <v>367</v>
      </c>
      <c r="Y450" t="s">
        <v>367</v>
      </c>
    </row>
    <row r="451" spans="5:25" x14ac:dyDescent="0.35">
      <c r="E451" t="s">
        <v>367</v>
      </c>
      <c r="J451" t="s">
        <v>367</v>
      </c>
      <c r="O451" t="s">
        <v>367</v>
      </c>
      <c r="T451" t="s">
        <v>367</v>
      </c>
      <c r="Y451" t="s">
        <v>367</v>
      </c>
    </row>
    <row r="452" spans="5:25" x14ac:dyDescent="0.35">
      <c r="E452" t="s">
        <v>367</v>
      </c>
      <c r="J452" t="s">
        <v>367</v>
      </c>
      <c r="O452" t="s">
        <v>367</v>
      </c>
      <c r="T452" t="s">
        <v>367</v>
      </c>
      <c r="Y452" t="s">
        <v>367</v>
      </c>
    </row>
    <row r="453" spans="5:25" x14ac:dyDescent="0.35">
      <c r="E453" t="s">
        <v>367</v>
      </c>
      <c r="J453" t="s">
        <v>367</v>
      </c>
      <c r="O453" t="s">
        <v>367</v>
      </c>
      <c r="T453" t="s">
        <v>367</v>
      </c>
      <c r="Y453" t="s">
        <v>367</v>
      </c>
    </row>
    <row r="454" spans="5:25" x14ac:dyDescent="0.35">
      <c r="E454" t="s">
        <v>367</v>
      </c>
      <c r="J454" t="s">
        <v>367</v>
      </c>
      <c r="O454" t="s">
        <v>367</v>
      </c>
      <c r="T454" t="s">
        <v>367</v>
      </c>
      <c r="Y454" t="s">
        <v>367</v>
      </c>
    </row>
    <row r="455" spans="5:25" x14ac:dyDescent="0.35">
      <c r="E455" t="s">
        <v>367</v>
      </c>
      <c r="J455" t="s">
        <v>367</v>
      </c>
      <c r="O455" t="s">
        <v>367</v>
      </c>
      <c r="T455" t="s">
        <v>367</v>
      </c>
      <c r="Y455" t="s">
        <v>367</v>
      </c>
    </row>
    <row r="456" spans="5:25" x14ac:dyDescent="0.35">
      <c r="E456" t="s">
        <v>367</v>
      </c>
      <c r="J456" t="s">
        <v>367</v>
      </c>
      <c r="O456" t="s">
        <v>367</v>
      </c>
      <c r="T456" t="s">
        <v>367</v>
      </c>
      <c r="Y456" t="s">
        <v>367</v>
      </c>
    </row>
    <row r="457" spans="5:25" x14ac:dyDescent="0.35">
      <c r="E457" t="s">
        <v>367</v>
      </c>
      <c r="J457" t="s">
        <v>367</v>
      </c>
      <c r="O457" t="s">
        <v>367</v>
      </c>
      <c r="T457" t="s">
        <v>367</v>
      </c>
      <c r="Y457" t="s">
        <v>367</v>
      </c>
    </row>
    <row r="458" spans="5:25" x14ac:dyDescent="0.35">
      <c r="E458" t="s">
        <v>367</v>
      </c>
      <c r="J458" t="s">
        <v>367</v>
      </c>
      <c r="O458" t="s">
        <v>367</v>
      </c>
      <c r="T458" t="s">
        <v>367</v>
      </c>
      <c r="Y458" t="s">
        <v>367</v>
      </c>
    </row>
    <row r="459" spans="5:25" x14ac:dyDescent="0.35">
      <c r="E459" t="s">
        <v>367</v>
      </c>
      <c r="J459" t="s">
        <v>367</v>
      </c>
      <c r="O459" t="s">
        <v>367</v>
      </c>
      <c r="T459" t="s">
        <v>367</v>
      </c>
      <c r="Y459" t="s">
        <v>367</v>
      </c>
    </row>
    <row r="460" spans="5:25" x14ac:dyDescent="0.35">
      <c r="E460" t="s">
        <v>367</v>
      </c>
      <c r="J460" t="s">
        <v>367</v>
      </c>
      <c r="O460" t="s">
        <v>367</v>
      </c>
      <c r="T460" t="s">
        <v>367</v>
      </c>
      <c r="Y460" t="s">
        <v>367</v>
      </c>
    </row>
    <row r="461" spans="5:25" x14ac:dyDescent="0.35">
      <c r="E461" t="s">
        <v>367</v>
      </c>
      <c r="J461" t="s">
        <v>367</v>
      </c>
      <c r="O461" t="s">
        <v>367</v>
      </c>
      <c r="T461" t="s">
        <v>367</v>
      </c>
      <c r="Y461" t="s">
        <v>367</v>
      </c>
    </row>
    <row r="462" spans="5:25" x14ac:dyDescent="0.35">
      <c r="E462" t="s">
        <v>367</v>
      </c>
      <c r="J462" t="s">
        <v>367</v>
      </c>
      <c r="O462" t="s">
        <v>367</v>
      </c>
      <c r="T462" t="s">
        <v>367</v>
      </c>
      <c r="Y462" t="s">
        <v>367</v>
      </c>
    </row>
    <row r="463" spans="5:25" x14ac:dyDescent="0.35">
      <c r="E463" t="s">
        <v>367</v>
      </c>
      <c r="J463" t="s">
        <v>367</v>
      </c>
      <c r="O463" t="s">
        <v>367</v>
      </c>
      <c r="T463" t="s">
        <v>367</v>
      </c>
      <c r="Y463" t="s">
        <v>367</v>
      </c>
    </row>
    <row r="464" spans="5:25" x14ac:dyDescent="0.35">
      <c r="E464" t="s">
        <v>367</v>
      </c>
      <c r="J464" t="s">
        <v>367</v>
      </c>
      <c r="O464" t="s">
        <v>367</v>
      </c>
      <c r="T464" t="s">
        <v>367</v>
      </c>
      <c r="Y464" t="s">
        <v>367</v>
      </c>
    </row>
    <row r="465" spans="5:25" x14ac:dyDescent="0.35">
      <c r="E465" t="s">
        <v>367</v>
      </c>
      <c r="J465" t="s">
        <v>367</v>
      </c>
      <c r="O465" t="s">
        <v>367</v>
      </c>
      <c r="T465" t="s">
        <v>367</v>
      </c>
      <c r="Y465" t="s">
        <v>367</v>
      </c>
    </row>
    <row r="466" spans="5:25" x14ac:dyDescent="0.35">
      <c r="E466" t="s">
        <v>367</v>
      </c>
      <c r="J466" t="s">
        <v>367</v>
      </c>
      <c r="O466" t="s">
        <v>367</v>
      </c>
      <c r="T466" t="s">
        <v>367</v>
      </c>
      <c r="Y466" t="s">
        <v>367</v>
      </c>
    </row>
    <row r="467" spans="5:25" x14ac:dyDescent="0.35">
      <c r="E467" t="s">
        <v>367</v>
      </c>
      <c r="J467" t="s">
        <v>367</v>
      </c>
      <c r="O467" t="s">
        <v>367</v>
      </c>
      <c r="T467" t="s">
        <v>367</v>
      </c>
      <c r="Y467" t="s">
        <v>367</v>
      </c>
    </row>
    <row r="468" spans="5:25" x14ac:dyDescent="0.35">
      <c r="E468" t="s">
        <v>367</v>
      </c>
      <c r="J468" t="s">
        <v>367</v>
      </c>
      <c r="O468" t="s">
        <v>367</v>
      </c>
      <c r="T468" t="s">
        <v>367</v>
      </c>
      <c r="Y468" t="s">
        <v>367</v>
      </c>
    </row>
    <row r="469" spans="5:25" x14ac:dyDescent="0.35">
      <c r="E469" t="s">
        <v>367</v>
      </c>
      <c r="J469" t="s">
        <v>367</v>
      </c>
      <c r="O469" t="s">
        <v>367</v>
      </c>
      <c r="T469" t="s">
        <v>367</v>
      </c>
      <c r="Y469" t="s">
        <v>367</v>
      </c>
    </row>
    <row r="470" spans="5:25" x14ac:dyDescent="0.35">
      <c r="E470" t="s">
        <v>367</v>
      </c>
      <c r="J470" t="s">
        <v>367</v>
      </c>
      <c r="O470" t="s">
        <v>367</v>
      </c>
      <c r="T470" t="s">
        <v>367</v>
      </c>
      <c r="Y470" t="s">
        <v>367</v>
      </c>
    </row>
    <row r="471" spans="5:25" x14ac:dyDescent="0.35">
      <c r="E471" t="s">
        <v>367</v>
      </c>
      <c r="J471" t="s">
        <v>367</v>
      </c>
      <c r="O471" t="s">
        <v>367</v>
      </c>
      <c r="T471" t="s">
        <v>367</v>
      </c>
      <c r="Y471" t="s">
        <v>367</v>
      </c>
    </row>
    <row r="472" spans="5:25" x14ac:dyDescent="0.35">
      <c r="E472" t="s">
        <v>367</v>
      </c>
      <c r="J472" t="s">
        <v>367</v>
      </c>
      <c r="O472" t="s">
        <v>367</v>
      </c>
      <c r="T472" t="s">
        <v>367</v>
      </c>
      <c r="Y472" t="s">
        <v>367</v>
      </c>
    </row>
    <row r="473" spans="5:25" x14ac:dyDescent="0.35">
      <c r="E473" t="s">
        <v>367</v>
      </c>
      <c r="J473" t="s">
        <v>367</v>
      </c>
      <c r="O473" t="s">
        <v>367</v>
      </c>
      <c r="T473" t="s">
        <v>367</v>
      </c>
      <c r="Y473" t="s">
        <v>367</v>
      </c>
    </row>
    <row r="474" spans="5:25" x14ac:dyDescent="0.35">
      <c r="E474" t="s">
        <v>367</v>
      </c>
      <c r="J474" t="s">
        <v>367</v>
      </c>
      <c r="O474" t="s">
        <v>367</v>
      </c>
      <c r="T474" t="s">
        <v>367</v>
      </c>
      <c r="Y474" t="s">
        <v>367</v>
      </c>
    </row>
    <row r="475" spans="5:25" x14ac:dyDescent="0.35">
      <c r="E475" t="s">
        <v>367</v>
      </c>
      <c r="J475" t="s">
        <v>367</v>
      </c>
      <c r="O475" t="s">
        <v>367</v>
      </c>
      <c r="T475" t="s">
        <v>367</v>
      </c>
      <c r="Y475" t="s">
        <v>367</v>
      </c>
    </row>
    <row r="476" spans="5:25" x14ac:dyDescent="0.35">
      <c r="E476" t="s">
        <v>367</v>
      </c>
      <c r="J476" t="s">
        <v>367</v>
      </c>
      <c r="O476" t="s">
        <v>367</v>
      </c>
      <c r="T476" t="s">
        <v>367</v>
      </c>
      <c r="Y476" t="s">
        <v>367</v>
      </c>
    </row>
    <row r="477" spans="5:25" x14ac:dyDescent="0.35">
      <c r="E477" t="s">
        <v>367</v>
      </c>
      <c r="J477" t="s">
        <v>367</v>
      </c>
      <c r="O477" t="s">
        <v>367</v>
      </c>
      <c r="T477" t="s">
        <v>367</v>
      </c>
      <c r="Y477" t="s">
        <v>367</v>
      </c>
    </row>
    <row r="478" spans="5:25" x14ac:dyDescent="0.35">
      <c r="E478" t="s">
        <v>367</v>
      </c>
      <c r="J478" t="s">
        <v>367</v>
      </c>
      <c r="O478" t="s">
        <v>367</v>
      </c>
      <c r="T478" t="s">
        <v>367</v>
      </c>
      <c r="Y478" t="s">
        <v>367</v>
      </c>
    </row>
    <row r="479" spans="5:25" x14ac:dyDescent="0.35">
      <c r="E479" t="s">
        <v>367</v>
      </c>
      <c r="J479" t="s">
        <v>367</v>
      </c>
      <c r="O479" t="s">
        <v>367</v>
      </c>
      <c r="T479" t="s">
        <v>367</v>
      </c>
      <c r="Y479" t="s">
        <v>367</v>
      </c>
    </row>
    <row r="480" spans="5:25" x14ac:dyDescent="0.35">
      <c r="E480" t="s">
        <v>367</v>
      </c>
      <c r="J480" t="s">
        <v>367</v>
      </c>
      <c r="O480" t="s">
        <v>367</v>
      </c>
      <c r="T480" t="s">
        <v>367</v>
      </c>
      <c r="Y480" t="s">
        <v>367</v>
      </c>
    </row>
    <row r="481" spans="5:25" x14ac:dyDescent="0.35">
      <c r="E481" t="s">
        <v>367</v>
      </c>
      <c r="J481" t="s">
        <v>367</v>
      </c>
      <c r="O481" t="s">
        <v>367</v>
      </c>
      <c r="T481" t="s">
        <v>367</v>
      </c>
      <c r="Y481" t="s">
        <v>367</v>
      </c>
    </row>
    <row r="482" spans="5:25" x14ac:dyDescent="0.35">
      <c r="E482" t="s">
        <v>367</v>
      </c>
      <c r="J482" t="s">
        <v>367</v>
      </c>
      <c r="O482" t="s">
        <v>367</v>
      </c>
      <c r="T482" t="s">
        <v>367</v>
      </c>
      <c r="Y482" t="s">
        <v>367</v>
      </c>
    </row>
    <row r="483" spans="5:25" x14ac:dyDescent="0.35">
      <c r="E483" t="s">
        <v>367</v>
      </c>
      <c r="J483" t="s">
        <v>367</v>
      </c>
      <c r="O483" t="s">
        <v>367</v>
      </c>
      <c r="T483" t="s">
        <v>367</v>
      </c>
      <c r="Y483" t="s">
        <v>367</v>
      </c>
    </row>
    <row r="484" spans="5:25" x14ac:dyDescent="0.35">
      <c r="E484" t="s">
        <v>367</v>
      </c>
      <c r="J484" t="s">
        <v>367</v>
      </c>
      <c r="O484" t="s">
        <v>367</v>
      </c>
      <c r="T484" t="s">
        <v>367</v>
      </c>
      <c r="Y484" t="s">
        <v>367</v>
      </c>
    </row>
    <row r="485" spans="5:25" x14ac:dyDescent="0.35">
      <c r="E485" t="s">
        <v>367</v>
      </c>
      <c r="J485" t="s">
        <v>367</v>
      </c>
      <c r="O485" t="s">
        <v>367</v>
      </c>
      <c r="T485" t="s">
        <v>367</v>
      </c>
      <c r="Y485" t="s">
        <v>367</v>
      </c>
    </row>
    <row r="486" spans="5:25" x14ac:dyDescent="0.35">
      <c r="E486" t="s">
        <v>367</v>
      </c>
      <c r="J486" t="s">
        <v>367</v>
      </c>
      <c r="O486" t="s">
        <v>367</v>
      </c>
      <c r="T486" t="s">
        <v>367</v>
      </c>
      <c r="Y486" t="s">
        <v>367</v>
      </c>
    </row>
    <row r="487" spans="5:25" x14ac:dyDescent="0.35">
      <c r="E487" t="s">
        <v>367</v>
      </c>
      <c r="J487" t="s">
        <v>367</v>
      </c>
      <c r="O487" t="s">
        <v>367</v>
      </c>
      <c r="T487" t="s">
        <v>367</v>
      </c>
      <c r="Y487" t="s">
        <v>367</v>
      </c>
    </row>
    <row r="488" spans="5:25" x14ac:dyDescent="0.35">
      <c r="E488" t="s">
        <v>367</v>
      </c>
      <c r="J488" t="s">
        <v>367</v>
      </c>
      <c r="O488" t="s">
        <v>367</v>
      </c>
      <c r="T488" t="s">
        <v>367</v>
      </c>
      <c r="Y488" t="s">
        <v>367</v>
      </c>
    </row>
    <row r="489" spans="5:25" x14ac:dyDescent="0.35">
      <c r="E489" t="s">
        <v>367</v>
      </c>
      <c r="J489" t="s">
        <v>367</v>
      </c>
      <c r="O489" t="s">
        <v>367</v>
      </c>
      <c r="T489" t="s">
        <v>367</v>
      </c>
      <c r="Y489" t="s">
        <v>367</v>
      </c>
    </row>
    <row r="490" spans="5:25" x14ac:dyDescent="0.35">
      <c r="E490" t="s">
        <v>367</v>
      </c>
      <c r="J490" t="s">
        <v>367</v>
      </c>
      <c r="O490" t="s">
        <v>367</v>
      </c>
      <c r="T490" t="s">
        <v>367</v>
      </c>
      <c r="Y490" t="s">
        <v>367</v>
      </c>
    </row>
    <row r="491" spans="5:25" x14ac:dyDescent="0.35">
      <c r="E491" t="s">
        <v>367</v>
      </c>
      <c r="J491" t="s">
        <v>367</v>
      </c>
      <c r="O491" t="s">
        <v>367</v>
      </c>
      <c r="T491" t="s">
        <v>367</v>
      </c>
      <c r="Y491" t="s">
        <v>367</v>
      </c>
    </row>
    <row r="492" spans="5:25" x14ac:dyDescent="0.35">
      <c r="E492" t="s">
        <v>367</v>
      </c>
      <c r="J492" t="s">
        <v>367</v>
      </c>
      <c r="O492" t="s">
        <v>367</v>
      </c>
      <c r="T492" t="s">
        <v>367</v>
      </c>
      <c r="Y492" t="s">
        <v>367</v>
      </c>
    </row>
    <row r="493" spans="5:25" x14ac:dyDescent="0.35">
      <c r="E493" t="s">
        <v>367</v>
      </c>
      <c r="J493" t="s">
        <v>367</v>
      </c>
      <c r="O493" t="s">
        <v>367</v>
      </c>
      <c r="T493" t="s">
        <v>367</v>
      </c>
      <c r="Y493" t="s">
        <v>367</v>
      </c>
    </row>
    <row r="494" spans="5:25" x14ac:dyDescent="0.35">
      <c r="E494" t="s">
        <v>367</v>
      </c>
      <c r="J494" t="s">
        <v>367</v>
      </c>
      <c r="O494" t="s">
        <v>367</v>
      </c>
      <c r="T494" t="s">
        <v>367</v>
      </c>
      <c r="Y494" t="s">
        <v>367</v>
      </c>
    </row>
    <row r="495" spans="5:25" x14ac:dyDescent="0.35">
      <c r="E495" t="s">
        <v>367</v>
      </c>
      <c r="J495" t="s">
        <v>367</v>
      </c>
      <c r="O495" t="s">
        <v>367</v>
      </c>
      <c r="T495" t="s">
        <v>367</v>
      </c>
      <c r="Y495" t="s">
        <v>367</v>
      </c>
    </row>
    <row r="496" spans="5:25" x14ac:dyDescent="0.35">
      <c r="E496" t="s">
        <v>367</v>
      </c>
      <c r="J496" t="s">
        <v>367</v>
      </c>
      <c r="O496" t="s">
        <v>367</v>
      </c>
      <c r="T496" t="s">
        <v>367</v>
      </c>
      <c r="Y496" t="s">
        <v>367</v>
      </c>
    </row>
    <row r="497" spans="5:25" x14ac:dyDescent="0.35">
      <c r="E497" t="s">
        <v>367</v>
      </c>
      <c r="J497" t="s">
        <v>367</v>
      </c>
      <c r="O497" t="s">
        <v>367</v>
      </c>
      <c r="T497" t="s">
        <v>367</v>
      </c>
      <c r="Y497" t="s">
        <v>367</v>
      </c>
    </row>
    <row r="498" spans="5:25" x14ac:dyDescent="0.35">
      <c r="E498" t="s">
        <v>367</v>
      </c>
      <c r="J498" t="s">
        <v>367</v>
      </c>
      <c r="O498" t="s">
        <v>367</v>
      </c>
      <c r="T498" t="s">
        <v>367</v>
      </c>
      <c r="Y498" t="s">
        <v>367</v>
      </c>
    </row>
    <row r="499" spans="5:25" x14ac:dyDescent="0.35">
      <c r="E499" t="s">
        <v>367</v>
      </c>
      <c r="J499" t="s">
        <v>367</v>
      </c>
      <c r="O499" t="s">
        <v>367</v>
      </c>
      <c r="T499" t="s">
        <v>367</v>
      </c>
      <c r="Y499" t="s">
        <v>367</v>
      </c>
    </row>
    <row r="500" spans="5:25" x14ac:dyDescent="0.35">
      <c r="E500" t="s">
        <v>367</v>
      </c>
      <c r="J500" t="s">
        <v>367</v>
      </c>
      <c r="O500" t="s">
        <v>367</v>
      </c>
      <c r="T500" t="s">
        <v>367</v>
      </c>
      <c r="Y500" t="s">
        <v>367</v>
      </c>
    </row>
    <row r="501" spans="5:25" x14ac:dyDescent="0.35">
      <c r="E501" t="s">
        <v>367</v>
      </c>
      <c r="J501" t="s">
        <v>367</v>
      </c>
      <c r="O501" t="s">
        <v>367</v>
      </c>
      <c r="T501" t="s">
        <v>367</v>
      </c>
      <c r="Y501" t="s">
        <v>367</v>
      </c>
    </row>
    <row r="502" spans="5:25" x14ac:dyDescent="0.35">
      <c r="E502" t="s">
        <v>367</v>
      </c>
      <c r="J502" t="s">
        <v>367</v>
      </c>
      <c r="O502" t="s">
        <v>367</v>
      </c>
      <c r="T502" t="s">
        <v>367</v>
      </c>
      <c r="Y502" t="s">
        <v>367</v>
      </c>
    </row>
    <row r="503" spans="5:25" x14ac:dyDescent="0.35">
      <c r="E503" t="s">
        <v>367</v>
      </c>
      <c r="J503" t="s">
        <v>367</v>
      </c>
      <c r="O503" t="s">
        <v>367</v>
      </c>
      <c r="T503" t="s">
        <v>367</v>
      </c>
      <c r="Y503" t="s">
        <v>367</v>
      </c>
    </row>
  </sheetData>
  <autoFilter ref="A3:Y3" xr:uid="{022EF405-0EFB-4E4D-9745-95C30961FDA9}"/>
  <conditionalFormatting sqref="A1:Y503">
    <cfRule type="expression" dxfId="0" priority="1">
      <formula>MOD(COLUMN(),5)=0</formula>
    </cfRule>
  </conditionalFormatting>
  <pageMargins left="0.7" right="0.7" top="0.75" bottom="0.75" header="0.3" footer="0.3"/>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Ore</vt:lpstr>
      <vt:lpstr>Products Tonne</vt:lpstr>
      <vt:lpstr>Consolidated Products Tonne</vt:lpstr>
      <vt:lpstr>Cash Flow</vt:lpstr>
      <vt:lpstr>Ownership</vt:lpstr>
      <vt:lpstr>Ownership_txt</vt:lpstr>
      <vt:lpstr>Sheet2</vt:lpstr>
      <vt:lpstr>Public Companies Owners</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HOUHAMDI Wafa, DAF/RBC</cp:lastModifiedBy>
  <dcterms:created xsi:type="dcterms:W3CDTF">2026-07-24T14:52:14Z</dcterms:created>
  <dcterms:modified xsi:type="dcterms:W3CDTF">2026-07-28T15:53:53Z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MSIP_Label_0e5510b0-e729-4ef0-a3dd-4ba0dfe56c99_Enabled">
    <vt:lpwstr>true</vt:lpwstr>
  </property>
  <property fmtid="{D5CDD505-2E9C-101B-9397-08002B2CF9AE}" pid="4" name="MSIP_Label_0e5510b0-e729-4ef0-a3dd-4ba0dfe56c99_SetDate">
    <vt:lpwstr>2026-07-28T14:49:01Z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1347f836-ee91-4cef-bd62-ae2b328ff34b</vt:lpwstr>
  </property>
  <property fmtid="{D5CDD505-2E9C-101B-9397-08002B2CF9AE}" pid="9" name="MSIP_Label_0e5510b0-e729-4ef0-a3dd-4ba0dfe56c99_ContentBits">
    <vt:lpwstr>2</vt:lpwstr>
  </property>
  <property fmtid="{D5CDD505-2E9C-101B-9397-08002B2CF9AE}" pid="10" name="MSIP_Label_0e5510b0-e729-4ef0-a3dd-4ba0dfe56c99_Tag">
    <vt:lpwstr>10, 3, 0, 1</vt:lpwstr>
  </property>
</Properties>
</file>