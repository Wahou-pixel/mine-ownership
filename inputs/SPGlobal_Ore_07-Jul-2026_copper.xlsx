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32" documentId="8_{3E2CAC6F-CD3E-473E-8819-D61609756422}" xr6:coauthVersionLast="47" xr6:coauthVersionMax="47" xr10:uidLastSave="{B00C47E4-4F51-4B13-A159-CA977395A78B}"/>
  <bookViews>
    <workbookView xWindow="10" yWindow="10" windowWidth="19180" windowHeight="11260" firstSheet="3" activeTab="7" xr2:uid="{00000000-000D-0000-FFFF-FFFF00000000}"/>
  </bookViews>
  <sheets>
    <sheet name="__snloffice" sheetId="6" state="veryHidden" r:id="rId1"/>
    <sheet name="Ore" sheetId="1" r:id="rId2"/>
    <sheet name="Production Costs Co Product" sheetId="2" r:id="rId3"/>
    <sheet name="Production Costs By Product" sheetId="3" r:id="rId4"/>
    <sheet name="Cash Flow" sheetId="4" r:id="rId5"/>
    <sheet name="Ownership" sheetId="5" r:id="rId6"/>
    <sheet name="Sheet1" sheetId="8" r:id="rId7"/>
    <sheet name="Sheet3" sheetId="9" r:id="rId8"/>
    <sheet name="Sheet2" sheetId="7" r:id="rId9"/>
  </sheets>
  <externalReferences>
    <externalReference r:id="rId10"/>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2C542031_FC57_456E_BE49_A34DF367CE36_" localSheetId="5" hidden="1">Sheet2!$C$1:$C$11</definedName>
    <definedName name="snl__33959E77_67EE_454C_B08D_087D5833E1B9_" localSheetId="5" hidden="1">Sheet2!$A$1:$A$11</definedName>
    <definedName name="snl__5943C64D_2F21_4637_A979_6D5A30EC8500_" localSheetId="5" hidden="1">Sheet2!$B$1:$B$11</definedName>
    <definedName name="snl__B24182AC_4BBC_4A46_ADBE_144B7E7FFAB2_" localSheetId="5" hidden="1">Sheet2!$D$1:$D$11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46" i="5" l="1"/>
  <c r="S548" i="5"/>
  <c r="R548" i="5"/>
  <c r="Q548" i="5"/>
  <c r="P548" i="5"/>
  <c r="O548" i="5"/>
  <c r="S547" i="5"/>
  <c r="R547" i="5"/>
  <c r="Q547" i="5"/>
  <c r="P547" i="5"/>
  <c r="O547" i="5"/>
  <c r="R546" i="5"/>
  <c r="Q546" i="5"/>
  <c r="P546" i="5"/>
  <c r="O546" i="5"/>
  <c r="S545" i="5"/>
  <c r="R545" i="5"/>
  <c r="Q545" i="5"/>
  <c r="P545" i="5"/>
  <c r="O545" i="5"/>
  <c r="S544" i="5"/>
  <c r="R544" i="5"/>
  <c r="Q544" i="5"/>
  <c r="P544" i="5"/>
  <c r="O544" i="5"/>
  <c r="S543" i="5"/>
  <c r="R543" i="5"/>
  <c r="Q543" i="5"/>
  <c r="P543" i="5"/>
  <c r="O543" i="5"/>
  <c r="S542" i="5"/>
  <c r="R542" i="5"/>
  <c r="Q542" i="5"/>
  <c r="P542" i="5"/>
  <c r="O542" i="5"/>
  <c r="S541" i="5"/>
  <c r="R541" i="5"/>
  <c r="Q541" i="5"/>
  <c r="P541" i="5"/>
  <c r="O541" i="5"/>
  <c r="S540" i="5"/>
  <c r="R540" i="5"/>
  <c r="Q540" i="5"/>
  <c r="P540" i="5"/>
  <c r="O540" i="5"/>
  <c r="S539" i="5"/>
  <c r="R539" i="5"/>
  <c r="Q539" i="5"/>
  <c r="P539" i="5"/>
  <c r="O539" i="5"/>
  <c r="S538" i="5"/>
  <c r="R538" i="5"/>
  <c r="Q538" i="5"/>
  <c r="P538" i="5"/>
  <c r="O538" i="5"/>
  <c r="S537" i="5"/>
  <c r="R537" i="5"/>
  <c r="Q537" i="5"/>
  <c r="P537" i="5"/>
  <c r="O537" i="5"/>
  <c r="S536" i="5"/>
  <c r="R536" i="5"/>
  <c r="Q536" i="5"/>
  <c r="P536" i="5"/>
  <c r="O536" i="5"/>
  <c r="S535" i="5"/>
  <c r="R535" i="5"/>
  <c r="Q535" i="5"/>
  <c r="P535" i="5"/>
  <c r="O535" i="5"/>
  <c r="S534" i="5"/>
  <c r="R534" i="5"/>
  <c r="Q534" i="5"/>
  <c r="P534" i="5"/>
  <c r="O534" i="5"/>
  <c r="S533" i="5"/>
  <c r="R533" i="5"/>
  <c r="Q533" i="5"/>
  <c r="P533" i="5"/>
  <c r="O533" i="5"/>
  <c r="S532" i="5"/>
  <c r="R532" i="5"/>
  <c r="Q532" i="5"/>
  <c r="P532" i="5"/>
  <c r="O532" i="5"/>
  <c r="S531" i="5"/>
  <c r="R531" i="5"/>
  <c r="Q531" i="5"/>
  <c r="P531" i="5"/>
  <c r="O531" i="5"/>
  <c r="S530" i="5"/>
  <c r="R530" i="5"/>
  <c r="Q530" i="5"/>
  <c r="P530" i="5"/>
  <c r="O530" i="5"/>
  <c r="S529" i="5"/>
  <c r="R529" i="5"/>
  <c r="Q529" i="5"/>
  <c r="P529" i="5"/>
  <c r="O529" i="5"/>
  <c r="S528" i="5"/>
  <c r="R528" i="5"/>
  <c r="Q528" i="5"/>
  <c r="P528" i="5"/>
  <c r="O528" i="5"/>
  <c r="S527" i="5"/>
  <c r="R527" i="5"/>
  <c r="Q527" i="5"/>
  <c r="P527" i="5"/>
  <c r="O527" i="5"/>
  <c r="S526" i="5"/>
  <c r="R526" i="5"/>
  <c r="Q526" i="5"/>
  <c r="P526" i="5"/>
  <c r="O526" i="5"/>
  <c r="S525" i="5"/>
  <c r="R525" i="5"/>
  <c r="Q525" i="5"/>
  <c r="P525" i="5"/>
  <c r="O525" i="5"/>
  <c r="S524" i="5"/>
  <c r="R524" i="5"/>
  <c r="Q524" i="5"/>
  <c r="P524" i="5"/>
  <c r="O524" i="5"/>
  <c r="S523" i="5"/>
  <c r="R523" i="5"/>
  <c r="Q523" i="5"/>
  <c r="P523" i="5"/>
  <c r="O523" i="5"/>
  <c r="S522" i="5"/>
  <c r="R522" i="5"/>
  <c r="Q522" i="5"/>
  <c r="P522" i="5"/>
  <c r="O522" i="5"/>
  <c r="S521" i="5"/>
  <c r="R521" i="5"/>
  <c r="Q521" i="5"/>
  <c r="P521" i="5"/>
  <c r="O521" i="5"/>
  <c r="S520" i="5"/>
  <c r="R520" i="5"/>
  <c r="Q520" i="5"/>
  <c r="P520" i="5"/>
  <c r="O520" i="5"/>
  <c r="S519" i="5"/>
  <c r="R519" i="5"/>
  <c r="Q519" i="5"/>
  <c r="P519" i="5"/>
  <c r="O519" i="5"/>
  <c r="S518" i="5"/>
  <c r="R518" i="5"/>
  <c r="Q518" i="5"/>
  <c r="P518" i="5"/>
  <c r="O518" i="5"/>
  <c r="S517" i="5"/>
  <c r="R517" i="5"/>
  <c r="Q517" i="5"/>
  <c r="P517" i="5"/>
  <c r="O517" i="5"/>
  <c r="S516" i="5"/>
  <c r="R516" i="5"/>
  <c r="Q516" i="5"/>
  <c r="P516" i="5"/>
  <c r="O516" i="5"/>
  <c r="S515" i="5"/>
  <c r="R515" i="5"/>
  <c r="Q515" i="5"/>
  <c r="P515" i="5"/>
  <c r="O515" i="5"/>
  <c r="S514" i="5"/>
  <c r="R514" i="5"/>
  <c r="Q514" i="5"/>
  <c r="P514" i="5"/>
  <c r="O514" i="5"/>
  <c r="S513" i="5"/>
  <c r="R513" i="5"/>
  <c r="Q513" i="5"/>
  <c r="P513" i="5"/>
  <c r="O513" i="5"/>
  <c r="S512" i="5"/>
  <c r="R512" i="5"/>
  <c r="Q512" i="5"/>
  <c r="P512" i="5"/>
  <c r="O512" i="5"/>
  <c r="S511" i="5"/>
  <c r="R511" i="5"/>
  <c r="Q511" i="5"/>
  <c r="P511" i="5"/>
  <c r="O511" i="5"/>
  <c r="S510" i="5"/>
  <c r="R510" i="5"/>
  <c r="Q510" i="5"/>
  <c r="P510" i="5"/>
  <c r="O510" i="5"/>
  <c r="S509" i="5"/>
  <c r="R509" i="5"/>
  <c r="Q509" i="5"/>
  <c r="P509" i="5"/>
  <c r="O509" i="5"/>
  <c r="S508" i="5"/>
  <c r="R508" i="5"/>
  <c r="Q508" i="5"/>
  <c r="P508" i="5"/>
  <c r="O508" i="5"/>
  <c r="S507" i="5"/>
  <c r="R507" i="5"/>
  <c r="Q507" i="5"/>
  <c r="P507" i="5"/>
  <c r="O507" i="5"/>
  <c r="S506" i="5"/>
  <c r="R506" i="5"/>
  <c r="Q506" i="5"/>
  <c r="P506" i="5"/>
  <c r="O506" i="5"/>
  <c r="S505" i="5"/>
  <c r="R505" i="5"/>
  <c r="Q505" i="5"/>
  <c r="P505" i="5"/>
  <c r="O505" i="5"/>
  <c r="S504" i="5"/>
  <c r="R504" i="5"/>
  <c r="Q504" i="5"/>
  <c r="P504" i="5"/>
  <c r="O504" i="5"/>
  <c r="S503" i="5"/>
  <c r="R503" i="5"/>
  <c r="Q503" i="5"/>
  <c r="P503" i="5"/>
  <c r="O503" i="5"/>
  <c r="S502" i="5"/>
  <c r="R502" i="5"/>
  <c r="Q502" i="5"/>
  <c r="P502" i="5"/>
  <c r="O502" i="5"/>
  <c r="S501" i="5"/>
  <c r="R501" i="5"/>
  <c r="Q501" i="5"/>
  <c r="P501" i="5"/>
  <c r="O501" i="5"/>
  <c r="S500" i="5"/>
  <c r="R500" i="5"/>
  <c r="Q500" i="5"/>
  <c r="P500" i="5"/>
  <c r="O500" i="5"/>
  <c r="S499" i="5"/>
  <c r="R499" i="5"/>
  <c r="Q499" i="5"/>
  <c r="P499" i="5"/>
  <c r="O499" i="5"/>
  <c r="S498" i="5"/>
  <c r="R498" i="5"/>
  <c r="Q498" i="5"/>
  <c r="P498" i="5"/>
  <c r="O498" i="5"/>
  <c r="S497" i="5"/>
  <c r="R497" i="5"/>
  <c r="Q497" i="5"/>
  <c r="P497" i="5"/>
  <c r="O497" i="5"/>
  <c r="S496" i="5"/>
  <c r="R496" i="5"/>
  <c r="Q496" i="5"/>
  <c r="P496" i="5"/>
  <c r="O496" i="5"/>
  <c r="S495" i="5"/>
  <c r="R495" i="5"/>
  <c r="Q495" i="5"/>
  <c r="P495" i="5"/>
  <c r="O495" i="5"/>
  <c r="S494" i="5"/>
  <c r="R494" i="5"/>
  <c r="Q494" i="5"/>
  <c r="P494" i="5"/>
  <c r="O494" i="5"/>
  <c r="S493" i="5"/>
  <c r="R493" i="5"/>
  <c r="Q493" i="5"/>
  <c r="P493" i="5"/>
  <c r="O493" i="5"/>
  <c r="S492" i="5"/>
  <c r="R492" i="5"/>
  <c r="Q492" i="5"/>
  <c r="P492" i="5"/>
  <c r="O492" i="5"/>
  <c r="S491" i="5"/>
  <c r="R491" i="5"/>
  <c r="Q491" i="5"/>
  <c r="P491" i="5"/>
  <c r="O491" i="5"/>
  <c r="S490" i="5"/>
  <c r="R490" i="5"/>
  <c r="Q490" i="5"/>
  <c r="P490" i="5"/>
  <c r="O490" i="5"/>
  <c r="S489" i="5"/>
  <c r="R489" i="5"/>
  <c r="Q489" i="5"/>
  <c r="P489" i="5"/>
  <c r="O489" i="5"/>
  <c r="S488" i="5"/>
  <c r="R488" i="5"/>
  <c r="Q488" i="5"/>
  <c r="P488" i="5"/>
  <c r="O488" i="5"/>
  <c r="S487" i="5"/>
  <c r="R487" i="5"/>
  <c r="Q487" i="5"/>
  <c r="P487" i="5"/>
  <c r="O487" i="5"/>
  <c r="S486" i="5"/>
  <c r="R486" i="5"/>
  <c r="Q486" i="5"/>
  <c r="P486" i="5"/>
  <c r="O486" i="5"/>
  <c r="S485" i="5"/>
  <c r="R485" i="5"/>
  <c r="Q485" i="5"/>
  <c r="P485" i="5"/>
  <c r="O485" i="5"/>
  <c r="S484" i="5"/>
  <c r="R484" i="5"/>
  <c r="Q484" i="5"/>
  <c r="P484" i="5"/>
  <c r="O484" i="5"/>
  <c r="S483" i="5"/>
  <c r="R483" i="5"/>
  <c r="Q483" i="5"/>
  <c r="P483" i="5"/>
  <c r="O483" i="5"/>
  <c r="S482" i="5"/>
  <c r="R482" i="5"/>
  <c r="Q482" i="5"/>
  <c r="P482" i="5"/>
  <c r="O482" i="5"/>
  <c r="S481" i="5"/>
  <c r="R481" i="5"/>
  <c r="Q481" i="5"/>
  <c r="P481" i="5"/>
  <c r="O481" i="5"/>
  <c r="S480" i="5"/>
  <c r="R480" i="5"/>
  <c r="Q480" i="5"/>
  <c r="P480" i="5"/>
  <c r="O480" i="5"/>
  <c r="S479" i="5"/>
  <c r="R479" i="5"/>
  <c r="Q479" i="5"/>
  <c r="P479" i="5"/>
  <c r="O479" i="5"/>
  <c r="S478" i="5"/>
  <c r="R478" i="5"/>
  <c r="Q478" i="5"/>
  <c r="P478" i="5"/>
  <c r="O478" i="5"/>
  <c r="S477" i="5"/>
  <c r="R477" i="5"/>
  <c r="Q477" i="5"/>
  <c r="P477" i="5"/>
  <c r="O477" i="5"/>
  <c r="S476" i="5"/>
  <c r="R476" i="5"/>
  <c r="Q476" i="5"/>
  <c r="P476" i="5"/>
  <c r="O476" i="5"/>
  <c r="S475" i="5"/>
  <c r="R475" i="5"/>
  <c r="Q475" i="5"/>
  <c r="P475" i="5"/>
  <c r="O475" i="5"/>
  <c r="S474" i="5"/>
  <c r="R474" i="5"/>
  <c r="Q474" i="5"/>
  <c r="P474" i="5"/>
  <c r="O474" i="5"/>
  <c r="S473" i="5"/>
  <c r="R473" i="5"/>
  <c r="Q473" i="5"/>
  <c r="P473" i="5"/>
  <c r="O473" i="5"/>
  <c r="S472" i="5"/>
  <c r="R472" i="5"/>
  <c r="Q472" i="5"/>
  <c r="P472" i="5"/>
  <c r="O472" i="5"/>
  <c r="S471" i="5"/>
  <c r="R471" i="5"/>
  <c r="Q471" i="5"/>
  <c r="P471" i="5"/>
  <c r="O471" i="5"/>
  <c r="S470" i="5"/>
  <c r="R470" i="5"/>
  <c r="Q470" i="5"/>
  <c r="P470" i="5"/>
  <c r="O470" i="5"/>
  <c r="S469" i="5"/>
  <c r="R469" i="5"/>
  <c r="Q469" i="5"/>
  <c r="P469" i="5"/>
  <c r="O469" i="5"/>
  <c r="S468" i="5"/>
  <c r="R468" i="5"/>
  <c r="Q468" i="5"/>
  <c r="P468" i="5"/>
  <c r="O468" i="5"/>
  <c r="S467" i="5"/>
  <c r="R467" i="5"/>
  <c r="Q467" i="5"/>
  <c r="P467" i="5"/>
  <c r="O467" i="5"/>
  <c r="S466" i="5"/>
  <c r="R466" i="5"/>
  <c r="Q466" i="5"/>
  <c r="P466" i="5"/>
  <c r="O466" i="5"/>
  <c r="S465" i="5"/>
  <c r="R465" i="5"/>
  <c r="Q465" i="5"/>
  <c r="P465" i="5"/>
  <c r="O465" i="5"/>
  <c r="S464" i="5"/>
  <c r="R464" i="5"/>
  <c r="Q464" i="5"/>
  <c r="P464" i="5"/>
  <c r="O464" i="5"/>
  <c r="S463" i="5"/>
  <c r="R463" i="5"/>
  <c r="Q463" i="5"/>
  <c r="P463" i="5"/>
  <c r="O463" i="5"/>
  <c r="S462" i="5"/>
  <c r="R462" i="5"/>
  <c r="Q462" i="5"/>
  <c r="P462" i="5"/>
  <c r="O462" i="5"/>
  <c r="S461" i="5"/>
  <c r="R461" i="5"/>
  <c r="Q461" i="5"/>
  <c r="P461" i="5"/>
  <c r="O461" i="5"/>
  <c r="S460" i="5"/>
  <c r="R460" i="5"/>
  <c r="Q460" i="5"/>
  <c r="P460" i="5"/>
  <c r="O460" i="5"/>
  <c r="S459" i="5"/>
  <c r="R459" i="5"/>
  <c r="Q459" i="5"/>
  <c r="P459" i="5"/>
  <c r="O459" i="5"/>
  <c r="S458" i="5"/>
  <c r="R458" i="5"/>
  <c r="Q458" i="5"/>
  <c r="P458" i="5"/>
  <c r="O458" i="5"/>
  <c r="S457" i="5"/>
  <c r="R457" i="5"/>
  <c r="Q457" i="5"/>
  <c r="P457" i="5"/>
  <c r="O457" i="5"/>
  <c r="S456" i="5"/>
  <c r="R456" i="5"/>
  <c r="Q456" i="5"/>
  <c r="P456" i="5"/>
  <c r="O456" i="5"/>
  <c r="S455" i="5"/>
  <c r="R455" i="5"/>
  <c r="Q455" i="5"/>
  <c r="P455" i="5"/>
  <c r="O455" i="5"/>
  <c r="S454" i="5"/>
  <c r="R454" i="5"/>
  <c r="Q454" i="5"/>
  <c r="P454" i="5"/>
  <c r="O454" i="5"/>
  <c r="S453" i="5"/>
  <c r="R453" i="5"/>
  <c r="Q453" i="5"/>
  <c r="P453" i="5"/>
  <c r="O453" i="5"/>
  <c r="S452" i="5"/>
  <c r="R452" i="5"/>
  <c r="Q452" i="5"/>
  <c r="P452" i="5"/>
  <c r="O452" i="5"/>
  <c r="S451" i="5"/>
  <c r="R451" i="5"/>
  <c r="Q451" i="5"/>
  <c r="P451" i="5"/>
  <c r="O451" i="5"/>
  <c r="S450" i="5"/>
  <c r="R450" i="5"/>
  <c r="Q450" i="5"/>
  <c r="P450" i="5"/>
  <c r="O450" i="5"/>
  <c r="S449" i="5"/>
  <c r="R449" i="5"/>
  <c r="Q449" i="5"/>
  <c r="P449" i="5"/>
  <c r="O449" i="5"/>
  <c r="S448" i="5"/>
  <c r="R448" i="5"/>
  <c r="Q448" i="5"/>
  <c r="P448" i="5"/>
  <c r="O448" i="5"/>
  <c r="S447" i="5"/>
  <c r="R447" i="5"/>
  <c r="Q447" i="5"/>
  <c r="P447" i="5"/>
  <c r="O447" i="5"/>
  <c r="S446" i="5"/>
  <c r="R446" i="5"/>
  <c r="Q446" i="5"/>
  <c r="P446" i="5"/>
  <c r="O446" i="5"/>
  <c r="S445" i="5"/>
  <c r="R445" i="5"/>
  <c r="Q445" i="5"/>
  <c r="P445" i="5"/>
  <c r="O445" i="5"/>
  <c r="S444" i="5"/>
  <c r="R444" i="5"/>
  <c r="Q444" i="5"/>
  <c r="P444" i="5"/>
  <c r="O444" i="5"/>
  <c r="S443" i="5"/>
  <c r="R443" i="5"/>
  <c r="Q443" i="5"/>
  <c r="P443" i="5"/>
  <c r="O443" i="5"/>
  <c r="S442" i="5"/>
  <c r="R442" i="5"/>
  <c r="Q442" i="5"/>
  <c r="P442" i="5"/>
  <c r="O442" i="5"/>
  <c r="S441" i="5"/>
  <c r="R441" i="5"/>
  <c r="Q441" i="5"/>
  <c r="P441" i="5"/>
  <c r="O441" i="5"/>
  <c r="S440" i="5"/>
  <c r="R440" i="5"/>
  <c r="Q440" i="5"/>
  <c r="P440" i="5"/>
  <c r="O440" i="5"/>
  <c r="S439" i="5"/>
  <c r="R439" i="5"/>
  <c r="Q439" i="5"/>
  <c r="P439" i="5"/>
  <c r="O439" i="5"/>
  <c r="S438" i="5"/>
  <c r="R438" i="5"/>
  <c r="Q438" i="5"/>
  <c r="P438" i="5"/>
  <c r="O438" i="5"/>
  <c r="S437" i="5"/>
  <c r="R437" i="5"/>
  <c r="Q437" i="5"/>
  <c r="P437" i="5"/>
  <c r="O437" i="5"/>
  <c r="S436" i="5"/>
  <c r="R436" i="5"/>
  <c r="Q436" i="5"/>
  <c r="P436" i="5"/>
  <c r="O436" i="5"/>
  <c r="S435" i="5"/>
  <c r="R435" i="5"/>
  <c r="Q435" i="5"/>
  <c r="P435" i="5"/>
  <c r="O435" i="5"/>
  <c r="S434" i="5"/>
  <c r="R434" i="5"/>
  <c r="Q434" i="5"/>
  <c r="P434" i="5"/>
  <c r="O434" i="5"/>
  <c r="S433" i="5"/>
  <c r="R433" i="5"/>
  <c r="Q433" i="5"/>
  <c r="P433" i="5"/>
  <c r="O433" i="5"/>
  <c r="S432" i="5"/>
  <c r="R432" i="5"/>
  <c r="Q432" i="5"/>
  <c r="P432" i="5"/>
  <c r="O432" i="5"/>
  <c r="S431" i="5"/>
  <c r="R431" i="5"/>
  <c r="Q431" i="5"/>
  <c r="P431" i="5"/>
  <c r="O431" i="5"/>
  <c r="S430" i="5"/>
  <c r="R430" i="5"/>
  <c r="Q430" i="5"/>
  <c r="P430" i="5"/>
  <c r="O430" i="5"/>
  <c r="S429" i="5"/>
  <c r="R429" i="5"/>
  <c r="Q429" i="5"/>
  <c r="P429" i="5"/>
  <c r="O429" i="5"/>
  <c r="S428" i="5"/>
  <c r="R428" i="5"/>
  <c r="Q428" i="5"/>
  <c r="P428" i="5"/>
  <c r="O428" i="5"/>
  <c r="S427" i="5"/>
  <c r="R427" i="5"/>
  <c r="Q427" i="5"/>
  <c r="P427" i="5"/>
  <c r="O427" i="5"/>
  <c r="S426" i="5"/>
  <c r="R426" i="5"/>
  <c r="Q426" i="5"/>
  <c r="P426" i="5"/>
  <c r="O426" i="5"/>
  <c r="S425" i="5"/>
  <c r="R425" i="5"/>
  <c r="Q425" i="5"/>
  <c r="P425" i="5"/>
  <c r="O425" i="5"/>
  <c r="S424" i="5"/>
  <c r="R424" i="5"/>
  <c r="Q424" i="5"/>
  <c r="P424" i="5"/>
  <c r="O424" i="5"/>
  <c r="S423" i="5"/>
  <c r="R423" i="5"/>
  <c r="Q423" i="5"/>
  <c r="P423" i="5"/>
  <c r="O423" i="5"/>
  <c r="S422" i="5"/>
  <c r="R422" i="5"/>
  <c r="Q422" i="5"/>
  <c r="P422" i="5"/>
  <c r="O422" i="5"/>
  <c r="S421" i="5"/>
  <c r="R421" i="5"/>
  <c r="Q421" i="5"/>
  <c r="P421" i="5"/>
  <c r="O421" i="5"/>
  <c r="S420" i="5"/>
  <c r="R420" i="5"/>
  <c r="Q420" i="5"/>
  <c r="P420" i="5"/>
  <c r="O420" i="5"/>
  <c r="S419" i="5"/>
  <c r="R419" i="5"/>
  <c r="Q419" i="5"/>
  <c r="P419" i="5"/>
  <c r="O419" i="5"/>
  <c r="S418" i="5"/>
  <c r="R418" i="5"/>
  <c r="Q418" i="5"/>
  <c r="P418" i="5"/>
  <c r="O418" i="5"/>
  <c r="S417" i="5"/>
  <c r="R417" i="5"/>
  <c r="Q417" i="5"/>
  <c r="P417" i="5"/>
  <c r="O417" i="5"/>
  <c r="S416" i="5"/>
  <c r="R416" i="5"/>
  <c r="Q416" i="5"/>
  <c r="P416" i="5"/>
  <c r="O416" i="5"/>
  <c r="S415" i="5"/>
  <c r="R415" i="5"/>
  <c r="Q415" i="5"/>
  <c r="P415" i="5"/>
  <c r="O415" i="5"/>
  <c r="S414" i="5"/>
  <c r="R414" i="5"/>
  <c r="Q414" i="5"/>
  <c r="P414" i="5"/>
  <c r="O414" i="5"/>
  <c r="S413" i="5"/>
  <c r="R413" i="5"/>
  <c r="Q413" i="5"/>
  <c r="P413" i="5"/>
  <c r="O413" i="5"/>
  <c r="S412" i="5"/>
  <c r="R412" i="5"/>
  <c r="Q412" i="5"/>
  <c r="P412" i="5"/>
  <c r="O412" i="5"/>
  <c r="S411" i="5"/>
  <c r="R411" i="5"/>
  <c r="Q411" i="5"/>
  <c r="P411" i="5"/>
  <c r="O411" i="5"/>
  <c r="S410" i="5"/>
  <c r="R410" i="5"/>
  <c r="Q410" i="5"/>
  <c r="P410" i="5"/>
  <c r="O410" i="5"/>
  <c r="S409" i="5"/>
  <c r="R409" i="5"/>
  <c r="Q409" i="5"/>
  <c r="P409" i="5"/>
  <c r="O409" i="5"/>
  <c r="S408" i="5"/>
  <c r="R408" i="5"/>
  <c r="Q408" i="5"/>
  <c r="P408" i="5"/>
  <c r="O408" i="5"/>
  <c r="S407" i="5"/>
  <c r="R407" i="5"/>
  <c r="Q407" i="5"/>
  <c r="P407" i="5"/>
  <c r="O407" i="5"/>
  <c r="S406" i="5"/>
  <c r="R406" i="5"/>
  <c r="Q406" i="5"/>
  <c r="P406" i="5"/>
  <c r="O406" i="5"/>
  <c r="S405" i="5"/>
  <c r="R405" i="5"/>
  <c r="Q405" i="5"/>
  <c r="P405" i="5"/>
  <c r="O405" i="5"/>
  <c r="S404" i="5"/>
  <c r="R404" i="5"/>
  <c r="Q404" i="5"/>
  <c r="P404" i="5"/>
  <c r="O404" i="5"/>
  <c r="S403" i="5"/>
  <c r="R403" i="5"/>
  <c r="Q403" i="5"/>
  <c r="P403" i="5"/>
  <c r="O403" i="5"/>
  <c r="S402" i="5"/>
  <c r="R402" i="5"/>
  <c r="Q402" i="5"/>
  <c r="P402" i="5"/>
  <c r="O402" i="5"/>
  <c r="S401" i="5"/>
  <c r="R401" i="5"/>
  <c r="Q401" i="5"/>
  <c r="P401" i="5"/>
  <c r="O401" i="5"/>
  <c r="S400" i="5"/>
  <c r="R400" i="5"/>
  <c r="Q400" i="5"/>
  <c r="P400" i="5"/>
  <c r="O400" i="5"/>
  <c r="S399" i="5"/>
  <c r="R399" i="5"/>
  <c r="Q399" i="5"/>
  <c r="P399" i="5"/>
  <c r="O399" i="5"/>
  <c r="S398" i="5"/>
  <c r="R398" i="5"/>
  <c r="Q398" i="5"/>
  <c r="P398" i="5"/>
  <c r="O398" i="5"/>
  <c r="S397" i="5"/>
  <c r="R397" i="5"/>
  <c r="Q397" i="5"/>
  <c r="P397" i="5"/>
  <c r="O397" i="5"/>
  <c r="S396" i="5"/>
  <c r="R396" i="5"/>
  <c r="Q396" i="5"/>
  <c r="P396" i="5"/>
  <c r="O396" i="5"/>
  <c r="S395" i="5"/>
  <c r="R395" i="5"/>
  <c r="Q395" i="5"/>
  <c r="P395" i="5"/>
  <c r="O395" i="5"/>
  <c r="S394" i="5"/>
  <c r="R394" i="5"/>
  <c r="Q394" i="5"/>
  <c r="P394" i="5"/>
  <c r="O394" i="5"/>
  <c r="S393" i="5"/>
  <c r="R393" i="5"/>
  <c r="Q393" i="5"/>
  <c r="P393" i="5"/>
  <c r="O393" i="5"/>
  <c r="S392" i="5"/>
  <c r="R392" i="5"/>
  <c r="Q392" i="5"/>
  <c r="P392" i="5"/>
  <c r="O392" i="5"/>
  <c r="S391" i="5"/>
  <c r="R391" i="5"/>
  <c r="Q391" i="5"/>
  <c r="P391" i="5"/>
  <c r="O391" i="5"/>
  <c r="S390" i="5"/>
  <c r="R390" i="5"/>
  <c r="Q390" i="5"/>
  <c r="P390" i="5"/>
  <c r="O390" i="5"/>
  <c r="S389" i="5"/>
  <c r="R389" i="5"/>
  <c r="Q389" i="5"/>
  <c r="P389" i="5"/>
  <c r="O389" i="5"/>
  <c r="S388" i="5"/>
  <c r="R388" i="5"/>
  <c r="Q388" i="5"/>
  <c r="P388" i="5"/>
  <c r="O388" i="5"/>
  <c r="S387" i="5"/>
  <c r="R387" i="5"/>
  <c r="Q387" i="5"/>
  <c r="P387" i="5"/>
  <c r="O387" i="5"/>
  <c r="S386" i="5"/>
  <c r="R386" i="5"/>
  <c r="Q386" i="5"/>
  <c r="P386" i="5"/>
  <c r="O386" i="5"/>
  <c r="S385" i="5"/>
  <c r="R385" i="5"/>
  <c r="Q385" i="5"/>
  <c r="P385" i="5"/>
  <c r="O385" i="5"/>
  <c r="S384" i="5"/>
  <c r="R384" i="5"/>
  <c r="Q384" i="5"/>
  <c r="P384" i="5"/>
  <c r="O384" i="5"/>
  <c r="S383" i="5"/>
  <c r="R383" i="5"/>
  <c r="Q383" i="5"/>
  <c r="P383" i="5"/>
  <c r="O383" i="5"/>
  <c r="S382" i="5"/>
  <c r="R382" i="5"/>
  <c r="Q382" i="5"/>
  <c r="P382" i="5"/>
  <c r="O382" i="5"/>
  <c r="S381" i="5"/>
  <c r="R381" i="5"/>
  <c r="Q381" i="5"/>
  <c r="P381" i="5"/>
  <c r="O381" i="5"/>
  <c r="S380" i="5"/>
  <c r="R380" i="5"/>
  <c r="Q380" i="5"/>
  <c r="P380" i="5"/>
  <c r="O380" i="5"/>
  <c r="S379" i="5"/>
  <c r="R379" i="5"/>
  <c r="Q379" i="5"/>
  <c r="P379" i="5"/>
  <c r="O379" i="5"/>
  <c r="S378" i="5"/>
  <c r="R378" i="5"/>
  <c r="Q378" i="5"/>
  <c r="P378" i="5"/>
  <c r="O378" i="5"/>
  <c r="S377" i="5"/>
  <c r="R377" i="5"/>
  <c r="Q377" i="5"/>
  <c r="P377" i="5"/>
  <c r="O377" i="5"/>
  <c r="S376" i="5"/>
  <c r="R376" i="5"/>
  <c r="Q376" i="5"/>
  <c r="P376" i="5"/>
  <c r="O376" i="5"/>
  <c r="S375" i="5"/>
  <c r="R375" i="5"/>
  <c r="Q375" i="5"/>
  <c r="P375" i="5"/>
  <c r="O375" i="5"/>
  <c r="S374" i="5"/>
  <c r="R374" i="5"/>
  <c r="Q374" i="5"/>
  <c r="P374" i="5"/>
  <c r="O374" i="5"/>
  <c r="S373" i="5"/>
  <c r="R373" i="5"/>
  <c r="Q373" i="5"/>
  <c r="P373" i="5"/>
  <c r="O373" i="5"/>
  <c r="S372" i="5"/>
  <c r="R372" i="5"/>
  <c r="Q372" i="5"/>
  <c r="P372" i="5"/>
  <c r="O372" i="5"/>
  <c r="S371" i="5"/>
  <c r="R371" i="5"/>
  <c r="Q371" i="5"/>
  <c r="P371" i="5"/>
  <c r="O371" i="5"/>
  <c r="S370" i="5"/>
  <c r="R370" i="5"/>
  <c r="Q370" i="5"/>
  <c r="P370" i="5"/>
  <c r="O370" i="5"/>
  <c r="S369" i="5"/>
  <c r="R369" i="5"/>
  <c r="Q369" i="5"/>
  <c r="P369" i="5"/>
  <c r="O369" i="5"/>
  <c r="S368" i="5"/>
  <c r="R368" i="5"/>
  <c r="Q368" i="5"/>
  <c r="P368" i="5"/>
  <c r="O368" i="5"/>
  <c r="S367" i="5"/>
  <c r="R367" i="5"/>
  <c r="Q367" i="5"/>
  <c r="P367" i="5"/>
  <c r="O367" i="5"/>
  <c r="S366" i="5"/>
  <c r="R366" i="5"/>
  <c r="Q366" i="5"/>
  <c r="P366" i="5"/>
  <c r="O366" i="5"/>
  <c r="S365" i="5"/>
  <c r="R365" i="5"/>
  <c r="Q365" i="5"/>
  <c r="P365" i="5"/>
  <c r="O365" i="5"/>
  <c r="S364" i="5"/>
  <c r="R364" i="5"/>
  <c r="Q364" i="5"/>
  <c r="P364" i="5"/>
  <c r="O364" i="5"/>
  <c r="S363" i="5"/>
  <c r="R363" i="5"/>
  <c r="Q363" i="5"/>
  <c r="P363" i="5"/>
  <c r="O363" i="5"/>
  <c r="S362" i="5"/>
  <c r="R362" i="5"/>
  <c r="Q362" i="5"/>
  <c r="P362" i="5"/>
  <c r="O362" i="5"/>
  <c r="S361" i="5"/>
  <c r="R361" i="5"/>
  <c r="Q361" i="5"/>
  <c r="P361" i="5"/>
  <c r="O361" i="5"/>
  <c r="S360" i="5"/>
  <c r="R360" i="5"/>
  <c r="Q360" i="5"/>
  <c r="P360" i="5"/>
  <c r="O360" i="5"/>
  <c r="S359" i="5"/>
  <c r="R359" i="5"/>
  <c r="Q359" i="5"/>
  <c r="P359" i="5"/>
  <c r="O359" i="5"/>
  <c r="S358" i="5"/>
  <c r="R358" i="5"/>
  <c r="Q358" i="5"/>
  <c r="P358" i="5"/>
  <c r="O358" i="5"/>
  <c r="S357" i="5"/>
  <c r="R357" i="5"/>
  <c r="Q357" i="5"/>
  <c r="P357" i="5"/>
  <c r="O357" i="5"/>
  <c r="S356" i="5"/>
  <c r="R356" i="5"/>
  <c r="Q356" i="5"/>
  <c r="P356" i="5"/>
  <c r="O356" i="5"/>
  <c r="S355" i="5"/>
  <c r="R355" i="5"/>
  <c r="Q355" i="5"/>
  <c r="P355" i="5"/>
  <c r="O355" i="5"/>
  <c r="S354" i="5"/>
  <c r="R354" i="5"/>
  <c r="Q354" i="5"/>
  <c r="P354" i="5"/>
  <c r="O354" i="5"/>
  <c r="S353" i="5"/>
  <c r="R353" i="5"/>
  <c r="Q353" i="5"/>
  <c r="P353" i="5"/>
  <c r="O353" i="5"/>
  <c r="S352" i="5"/>
  <c r="R352" i="5"/>
  <c r="Q352" i="5"/>
  <c r="P352" i="5"/>
  <c r="O352" i="5"/>
  <c r="S351" i="5"/>
  <c r="R351" i="5"/>
  <c r="Q351" i="5"/>
  <c r="P351" i="5"/>
  <c r="O351" i="5"/>
  <c r="S350" i="5"/>
  <c r="R350" i="5"/>
  <c r="Q350" i="5"/>
  <c r="P350" i="5"/>
  <c r="O350" i="5"/>
  <c r="S349" i="5"/>
  <c r="R349" i="5"/>
  <c r="Q349" i="5"/>
  <c r="P349" i="5"/>
  <c r="O349" i="5"/>
  <c r="S348" i="5"/>
  <c r="R348" i="5"/>
  <c r="Q348" i="5"/>
  <c r="P348" i="5"/>
  <c r="O348" i="5"/>
  <c r="S347" i="5"/>
  <c r="R347" i="5"/>
  <c r="Q347" i="5"/>
  <c r="P347" i="5"/>
  <c r="O347" i="5"/>
  <c r="S346" i="5"/>
  <c r="R346" i="5"/>
  <c r="Q346" i="5"/>
  <c r="P346" i="5"/>
  <c r="O346" i="5"/>
  <c r="S345" i="5"/>
  <c r="R345" i="5"/>
  <c r="Q345" i="5"/>
  <c r="P345" i="5"/>
  <c r="O345" i="5"/>
  <c r="S344" i="5"/>
  <c r="R344" i="5"/>
  <c r="Q344" i="5"/>
  <c r="P344" i="5"/>
  <c r="O344" i="5"/>
  <c r="S343" i="5"/>
  <c r="R343" i="5"/>
  <c r="Q343" i="5"/>
  <c r="P343" i="5"/>
  <c r="O343" i="5"/>
  <c r="S342" i="5"/>
  <c r="R342" i="5"/>
  <c r="Q342" i="5"/>
  <c r="P342" i="5"/>
  <c r="O342" i="5"/>
  <c r="S341" i="5"/>
  <c r="R341" i="5"/>
  <c r="Q341" i="5"/>
  <c r="P341" i="5"/>
  <c r="O341" i="5"/>
  <c r="S340" i="5"/>
  <c r="R340" i="5"/>
  <c r="Q340" i="5"/>
  <c r="P340" i="5"/>
  <c r="O340" i="5"/>
  <c r="S339" i="5"/>
  <c r="R339" i="5"/>
  <c r="Q339" i="5"/>
  <c r="P339" i="5"/>
  <c r="O339" i="5"/>
  <c r="S338" i="5"/>
  <c r="R338" i="5"/>
  <c r="Q338" i="5"/>
  <c r="P338" i="5"/>
  <c r="O338" i="5"/>
  <c r="S337" i="5"/>
  <c r="R337" i="5"/>
  <c r="Q337" i="5"/>
  <c r="P337" i="5"/>
  <c r="O337" i="5"/>
  <c r="S336" i="5"/>
  <c r="R336" i="5"/>
  <c r="Q336" i="5"/>
  <c r="P336" i="5"/>
  <c r="O336" i="5"/>
  <c r="S335" i="5"/>
  <c r="R335" i="5"/>
  <c r="Q335" i="5"/>
  <c r="P335" i="5"/>
  <c r="O335" i="5"/>
  <c r="S334" i="5"/>
  <c r="R334" i="5"/>
  <c r="Q334" i="5"/>
  <c r="P334" i="5"/>
  <c r="O334" i="5"/>
  <c r="S333" i="5"/>
  <c r="R333" i="5"/>
  <c r="Q333" i="5"/>
  <c r="P333" i="5"/>
  <c r="O333" i="5"/>
  <c r="S332" i="5"/>
  <c r="R332" i="5"/>
  <c r="Q332" i="5"/>
  <c r="P332" i="5"/>
  <c r="O332" i="5"/>
  <c r="S331" i="5"/>
  <c r="R331" i="5"/>
  <c r="Q331" i="5"/>
  <c r="P331" i="5"/>
  <c r="O331" i="5"/>
  <c r="S330" i="5"/>
  <c r="R330" i="5"/>
  <c r="Q330" i="5"/>
  <c r="P330" i="5"/>
  <c r="O330" i="5"/>
  <c r="S329" i="5"/>
  <c r="R329" i="5"/>
  <c r="Q329" i="5"/>
  <c r="P329" i="5"/>
  <c r="O329" i="5"/>
  <c r="S328" i="5"/>
  <c r="R328" i="5"/>
  <c r="Q328" i="5"/>
  <c r="P328" i="5"/>
  <c r="O328" i="5"/>
  <c r="S327" i="5"/>
  <c r="R327" i="5"/>
  <c r="Q327" i="5"/>
  <c r="P327" i="5"/>
  <c r="O327" i="5"/>
  <c r="S326" i="5"/>
  <c r="R326" i="5"/>
  <c r="Q326" i="5"/>
  <c r="P326" i="5"/>
  <c r="O326" i="5"/>
  <c r="S325" i="5"/>
  <c r="R325" i="5"/>
  <c r="Q325" i="5"/>
  <c r="P325" i="5"/>
  <c r="O325" i="5"/>
  <c r="S324" i="5"/>
  <c r="R324" i="5"/>
  <c r="Q324" i="5"/>
  <c r="P324" i="5"/>
  <c r="O324" i="5"/>
  <c r="S323" i="5"/>
  <c r="R323" i="5"/>
  <c r="Q323" i="5"/>
  <c r="P323" i="5"/>
  <c r="O323" i="5"/>
  <c r="S322" i="5"/>
  <c r="R322" i="5"/>
  <c r="Q322" i="5"/>
  <c r="P322" i="5"/>
  <c r="O322" i="5"/>
  <c r="S321" i="5"/>
  <c r="R321" i="5"/>
  <c r="Q321" i="5"/>
  <c r="P321" i="5"/>
  <c r="O321" i="5"/>
  <c r="S320" i="5"/>
  <c r="R320" i="5"/>
  <c r="Q320" i="5"/>
  <c r="P320" i="5"/>
  <c r="O320" i="5"/>
  <c r="S319" i="5"/>
  <c r="R319" i="5"/>
  <c r="Q319" i="5"/>
  <c r="P319" i="5"/>
  <c r="O319" i="5"/>
  <c r="S318" i="5"/>
  <c r="R318" i="5"/>
  <c r="Q318" i="5"/>
  <c r="P318" i="5"/>
  <c r="O318" i="5"/>
  <c r="S317" i="5"/>
  <c r="R317" i="5"/>
  <c r="Q317" i="5"/>
  <c r="P317" i="5"/>
  <c r="O317" i="5"/>
  <c r="S316" i="5"/>
  <c r="R316" i="5"/>
  <c r="Q316" i="5"/>
  <c r="P316" i="5"/>
  <c r="O316" i="5"/>
  <c r="S315" i="5"/>
  <c r="R315" i="5"/>
  <c r="Q315" i="5"/>
  <c r="P315" i="5"/>
  <c r="O315" i="5"/>
  <c r="S314" i="5"/>
  <c r="R314" i="5"/>
  <c r="Q314" i="5"/>
  <c r="P314" i="5"/>
  <c r="O314" i="5"/>
  <c r="S313" i="5"/>
  <c r="R313" i="5"/>
  <c r="Q313" i="5"/>
  <c r="P313" i="5"/>
  <c r="O313" i="5"/>
  <c r="S312" i="5"/>
  <c r="R312" i="5"/>
  <c r="Q312" i="5"/>
  <c r="P312" i="5"/>
  <c r="O312" i="5"/>
  <c r="S311" i="5"/>
  <c r="R311" i="5"/>
  <c r="Q311" i="5"/>
  <c r="P311" i="5"/>
  <c r="O311" i="5"/>
  <c r="S310" i="5"/>
  <c r="R310" i="5"/>
  <c r="Q310" i="5"/>
  <c r="P310" i="5"/>
  <c r="O310" i="5"/>
  <c r="S309" i="5"/>
  <c r="R309" i="5"/>
  <c r="Q309" i="5"/>
  <c r="P309" i="5"/>
  <c r="O309" i="5"/>
  <c r="S308" i="5"/>
  <c r="R308" i="5"/>
  <c r="Q308" i="5"/>
  <c r="P308" i="5"/>
  <c r="O308" i="5"/>
  <c r="S307" i="5"/>
  <c r="R307" i="5"/>
  <c r="Q307" i="5"/>
  <c r="P307" i="5"/>
  <c r="O307" i="5"/>
  <c r="S306" i="5"/>
  <c r="R306" i="5"/>
  <c r="Q306" i="5"/>
  <c r="P306" i="5"/>
  <c r="O306" i="5"/>
  <c r="S305" i="5"/>
  <c r="R305" i="5"/>
  <c r="Q305" i="5"/>
  <c r="P305" i="5"/>
  <c r="O305" i="5"/>
  <c r="S304" i="5"/>
  <c r="R304" i="5"/>
  <c r="Q304" i="5"/>
  <c r="P304" i="5"/>
  <c r="O304" i="5"/>
  <c r="S303" i="5"/>
  <c r="R303" i="5"/>
  <c r="Q303" i="5"/>
  <c r="P303" i="5"/>
  <c r="O303" i="5"/>
  <c r="S302" i="5"/>
  <c r="R302" i="5"/>
  <c r="Q302" i="5"/>
  <c r="P302" i="5"/>
  <c r="O302" i="5"/>
  <c r="S301" i="5"/>
  <c r="R301" i="5"/>
  <c r="Q301" i="5"/>
  <c r="P301" i="5"/>
  <c r="O301" i="5"/>
  <c r="S300" i="5"/>
  <c r="R300" i="5"/>
  <c r="Q300" i="5"/>
  <c r="P300" i="5"/>
  <c r="O300" i="5"/>
  <c r="S299" i="5"/>
  <c r="R299" i="5"/>
  <c r="Q299" i="5"/>
  <c r="P299" i="5"/>
  <c r="O299" i="5"/>
  <c r="S298" i="5"/>
  <c r="R298" i="5"/>
  <c r="Q298" i="5"/>
  <c r="P298" i="5"/>
  <c r="O298" i="5"/>
  <c r="S297" i="5"/>
  <c r="R297" i="5"/>
  <c r="Q297" i="5"/>
  <c r="P297" i="5"/>
  <c r="O297" i="5"/>
  <c r="S296" i="5"/>
  <c r="R296" i="5"/>
  <c r="Q296" i="5"/>
  <c r="P296" i="5"/>
  <c r="O296" i="5"/>
  <c r="S295" i="5"/>
  <c r="R295" i="5"/>
  <c r="Q295" i="5"/>
  <c r="P295" i="5"/>
  <c r="O295" i="5"/>
  <c r="S294" i="5"/>
  <c r="R294" i="5"/>
  <c r="Q294" i="5"/>
  <c r="P294" i="5"/>
  <c r="O294" i="5"/>
  <c r="S293" i="5"/>
  <c r="R293" i="5"/>
  <c r="Q293" i="5"/>
  <c r="P293" i="5"/>
  <c r="O293" i="5"/>
  <c r="S292" i="5"/>
  <c r="R292" i="5"/>
  <c r="Q292" i="5"/>
  <c r="P292" i="5"/>
  <c r="O292" i="5"/>
  <c r="S291" i="5"/>
  <c r="R291" i="5"/>
  <c r="Q291" i="5"/>
  <c r="P291" i="5"/>
  <c r="O291" i="5"/>
  <c r="S290" i="5"/>
  <c r="R290" i="5"/>
  <c r="Q290" i="5"/>
  <c r="P290" i="5"/>
  <c r="O290" i="5"/>
  <c r="S289" i="5"/>
  <c r="R289" i="5"/>
  <c r="Q289" i="5"/>
  <c r="P289" i="5"/>
  <c r="O289" i="5"/>
  <c r="S288" i="5"/>
  <c r="R288" i="5"/>
  <c r="Q288" i="5"/>
  <c r="P288" i="5"/>
  <c r="O288" i="5"/>
  <c r="S287" i="5"/>
  <c r="R287" i="5"/>
  <c r="Q287" i="5"/>
  <c r="P287" i="5"/>
  <c r="O287" i="5"/>
  <c r="S286" i="5"/>
  <c r="R286" i="5"/>
  <c r="Q286" i="5"/>
  <c r="P286" i="5"/>
  <c r="O286" i="5"/>
  <c r="S285" i="5"/>
  <c r="R285" i="5"/>
  <c r="Q285" i="5"/>
  <c r="P285" i="5"/>
  <c r="O285" i="5"/>
  <c r="S284" i="5"/>
  <c r="R284" i="5"/>
  <c r="Q284" i="5"/>
  <c r="P284" i="5"/>
  <c r="O284" i="5"/>
  <c r="S283" i="5"/>
  <c r="R283" i="5"/>
  <c r="Q283" i="5"/>
  <c r="P283" i="5"/>
  <c r="O283" i="5"/>
  <c r="S282" i="5"/>
  <c r="R282" i="5"/>
  <c r="Q282" i="5"/>
  <c r="P282" i="5"/>
  <c r="O282" i="5"/>
  <c r="S281" i="5"/>
  <c r="R281" i="5"/>
  <c r="Q281" i="5"/>
  <c r="P281" i="5"/>
  <c r="O281" i="5"/>
  <c r="S280" i="5"/>
  <c r="R280" i="5"/>
  <c r="Q280" i="5"/>
  <c r="P280" i="5"/>
  <c r="O280" i="5"/>
  <c r="S279" i="5"/>
  <c r="R279" i="5"/>
  <c r="Q279" i="5"/>
  <c r="P279" i="5"/>
  <c r="O279" i="5"/>
  <c r="S278" i="5"/>
  <c r="R278" i="5"/>
  <c r="Q278" i="5"/>
  <c r="P278" i="5"/>
  <c r="O278" i="5"/>
  <c r="S277" i="5"/>
  <c r="R277" i="5"/>
  <c r="Q277" i="5"/>
  <c r="P277" i="5"/>
  <c r="O277" i="5"/>
  <c r="S276" i="5"/>
  <c r="R276" i="5"/>
  <c r="Q276" i="5"/>
  <c r="P276" i="5"/>
  <c r="O276" i="5"/>
  <c r="S275" i="5"/>
  <c r="R275" i="5"/>
  <c r="Q275" i="5"/>
  <c r="P275" i="5"/>
  <c r="O275" i="5"/>
  <c r="S274" i="5"/>
  <c r="R274" i="5"/>
  <c r="Q274" i="5"/>
  <c r="P274" i="5"/>
  <c r="O274" i="5"/>
  <c r="S273" i="5"/>
  <c r="R273" i="5"/>
  <c r="Q273" i="5"/>
  <c r="P273" i="5"/>
  <c r="O273" i="5"/>
  <c r="S272" i="5"/>
  <c r="R272" i="5"/>
  <c r="Q272" i="5"/>
  <c r="P272" i="5"/>
  <c r="O272" i="5"/>
  <c r="S271" i="5"/>
  <c r="R271" i="5"/>
  <c r="Q271" i="5"/>
  <c r="P271" i="5"/>
  <c r="O271" i="5"/>
  <c r="S270" i="5"/>
  <c r="R270" i="5"/>
  <c r="Q270" i="5"/>
  <c r="P270" i="5"/>
  <c r="O270" i="5"/>
  <c r="S269" i="5"/>
  <c r="R269" i="5"/>
  <c r="Q269" i="5"/>
  <c r="P269" i="5"/>
  <c r="O269" i="5"/>
  <c r="S268" i="5"/>
  <c r="R268" i="5"/>
  <c r="Q268" i="5"/>
  <c r="P268" i="5"/>
  <c r="O268" i="5"/>
  <c r="S267" i="5"/>
  <c r="R267" i="5"/>
  <c r="Q267" i="5"/>
  <c r="P267" i="5"/>
  <c r="O267" i="5"/>
  <c r="S266" i="5"/>
  <c r="R266" i="5"/>
  <c r="Q266" i="5"/>
  <c r="P266" i="5"/>
  <c r="O266" i="5"/>
  <c r="S265" i="5"/>
  <c r="R265" i="5"/>
  <c r="Q265" i="5"/>
  <c r="P265" i="5"/>
  <c r="O265" i="5"/>
  <c r="S264" i="5"/>
  <c r="R264" i="5"/>
  <c r="Q264" i="5"/>
  <c r="P264" i="5"/>
  <c r="O264" i="5"/>
  <c r="S263" i="5"/>
  <c r="R263" i="5"/>
  <c r="Q263" i="5"/>
  <c r="P263" i="5"/>
  <c r="O263" i="5"/>
  <c r="S262" i="5"/>
  <c r="R262" i="5"/>
  <c r="Q262" i="5"/>
  <c r="P262" i="5"/>
  <c r="O262" i="5"/>
  <c r="S261" i="5"/>
  <c r="R261" i="5"/>
  <c r="Q261" i="5"/>
  <c r="P261" i="5"/>
  <c r="O261" i="5"/>
  <c r="S260" i="5"/>
  <c r="R260" i="5"/>
  <c r="Q260" i="5"/>
  <c r="P260" i="5"/>
  <c r="O260" i="5"/>
  <c r="S259" i="5"/>
  <c r="R259" i="5"/>
  <c r="Q259" i="5"/>
  <c r="P259" i="5"/>
  <c r="O259" i="5"/>
  <c r="S258" i="5"/>
  <c r="R258" i="5"/>
  <c r="Q258" i="5"/>
  <c r="P258" i="5"/>
  <c r="O258" i="5"/>
  <c r="S257" i="5"/>
  <c r="R257" i="5"/>
  <c r="Q257" i="5"/>
  <c r="P257" i="5"/>
  <c r="O257" i="5"/>
  <c r="S256" i="5"/>
  <c r="R256" i="5"/>
  <c r="Q256" i="5"/>
  <c r="P256" i="5"/>
  <c r="O256" i="5"/>
  <c r="S255" i="5"/>
  <c r="R255" i="5"/>
  <c r="Q255" i="5"/>
  <c r="P255" i="5"/>
  <c r="O255" i="5"/>
  <c r="S254" i="5"/>
  <c r="R254" i="5"/>
  <c r="Q254" i="5"/>
  <c r="P254" i="5"/>
  <c r="O254" i="5"/>
  <c r="S253" i="5"/>
  <c r="R253" i="5"/>
  <c r="Q253" i="5"/>
  <c r="P253" i="5"/>
  <c r="O253" i="5"/>
  <c r="S252" i="5"/>
  <c r="R252" i="5"/>
  <c r="Q252" i="5"/>
  <c r="P252" i="5"/>
  <c r="O252" i="5"/>
  <c r="S251" i="5"/>
  <c r="R251" i="5"/>
  <c r="Q251" i="5"/>
  <c r="P251" i="5"/>
  <c r="O251" i="5"/>
  <c r="S250" i="5"/>
  <c r="R250" i="5"/>
  <c r="Q250" i="5"/>
  <c r="P250" i="5"/>
  <c r="O250" i="5"/>
  <c r="S249" i="5"/>
  <c r="R249" i="5"/>
  <c r="Q249" i="5"/>
  <c r="P249" i="5"/>
  <c r="O249" i="5"/>
  <c r="S248" i="5"/>
  <c r="R248" i="5"/>
  <c r="Q248" i="5"/>
  <c r="P248" i="5"/>
  <c r="O248" i="5"/>
  <c r="S247" i="5"/>
  <c r="R247" i="5"/>
  <c r="Q247" i="5"/>
  <c r="P247" i="5"/>
  <c r="O247" i="5"/>
  <c r="S246" i="5"/>
  <c r="R246" i="5"/>
  <c r="Q246" i="5"/>
  <c r="P246" i="5"/>
  <c r="O246" i="5"/>
  <c r="S245" i="5"/>
  <c r="R245" i="5"/>
  <c r="Q245" i="5"/>
  <c r="P245" i="5"/>
  <c r="O245" i="5"/>
  <c r="S244" i="5"/>
  <c r="R244" i="5"/>
  <c r="Q244" i="5"/>
  <c r="P244" i="5"/>
  <c r="O244" i="5"/>
  <c r="S243" i="5"/>
  <c r="R243" i="5"/>
  <c r="Q243" i="5"/>
  <c r="P243" i="5"/>
  <c r="O243" i="5"/>
  <c r="S242" i="5"/>
  <c r="R242" i="5"/>
  <c r="Q242" i="5"/>
  <c r="P242" i="5"/>
  <c r="O242" i="5"/>
  <c r="S241" i="5"/>
  <c r="R241" i="5"/>
  <c r="Q241" i="5"/>
  <c r="P241" i="5"/>
  <c r="O241" i="5"/>
  <c r="S240" i="5"/>
  <c r="R240" i="5"/>
  <c r="Q240" i="5"/>
  <c r="P240" i="5"/>
  <c r="O240" i="5"/>
  <c r="S239" i="5"/>
  <c r="R239" i="5"/>
  <c r="Q239" i="5"/>
  <c r="P239" i="5"/>
  <c r="O239" i="5"/>
  <c r="S238" i="5"/>
  <c r="R238" i="5"/>
  <c r="Q238" i="5"/>
  <c r="P238" i="5"/>
  <c r="O238" i="5"/>
  <c r="S237" i="5"/>
  <c r="R237" i="5"/>
  <c r="Q237" i="5"/>
  <c r="P237" i="5"/>
  <c r="O237" i="5"/>
  <c r="S236" i="5"/>
  <c r="R236" i="5"/>
  <c r="Q236" i="5"/>
  <c r="P236" i="5"/>
  <c r="O236" i="5"/>
  <c r="S235" i="5"/>
  <c r="R235" i="5"/>
  <c r="Q235" i="5"/>
  <c r="P235" i="5"/>
  <c r="O235" i="5"/>
  <c r="S234" i="5"/>
  <c r="R234" i="5"/>
  <c r="Q234" i="5"/>
  <c r="P234" i="5"/>
  <c r="O234" i="5"/>
  <c r="S233" i="5"/>
  <c r="R233" i="5"/>
  <c r="Q233" i="5"/>
  <c r="P233" i="5"/>
  <c r="O233" i="5"/>
  <c r="S232" i="5"/>
  <c r="R232" i="5"/>
  <c r="Q232" i="5"/>
  <c r="P232" i="5"/>
  <c r="O232" i="5"/>
  <c r="S231" i="5"/>
  <c r="R231" i="5"/>
  <c r="Q231" i="5"/>
  <c r="P231" i="5"/>
  <c r="O231" i="5"/>
  <c r="S230" i="5"/>
  <c r="R230" i="5"/>
  <c r="Q230" i="5"/>
  <c r="P230" i="5"/>
  <c r="O230" i="5"/>
  <c r="S229" i="5"/>
  <c r="R229" i="5"/>
  <c r="Q229" i="5"/>
  <c r="P229" i="5"/>
  <c r="O229" i="5"/>
  <c r="S228" i="5"/>
  <c r="R228" i="5"/>
  <c r="Q228" i="5"/>
  <c r="P228" i="5"/>
  <c r="O228" i="5"/>
  <c r="S227" i="5"/>
  <c r="R227" i="5"/>
  <c r="Q227" i="5"/>
  <c r="P227" i="5"/>
  <c r="O227" i="5"/>
  <c r="S226" i="5"/>
  <c r="R226" i="5"/>
  <c r="Q226" i="5"/>
  <c r="P226" i="5"/>
  <c r="O226" i="5"/>
  <c r="S225" i="5"/>
  <c r="R225" i="5"/>
  <c r="Q225" i="5"/>
  <c r="P225" i="5"/>
  <c r="O225" i="5"/>
  <c r="S224" i="5"/>
  <c r="R224" i="5"/>
  <c r="Q224" i="5"/>
  <c r="P224" i="5"/>
  <c r="O224" i="5"/>
  <c r="S223" i="5"/>
  <c r="R223" i="5"/>
  <c r="Q223" i="5"/>
  <c r="P223" i="5"/>
  <c r="O223" i="5"/>
  <c r="S222" i="5"/>
  <c r="R222" i="5"/>
  <c r="Q222" i="5"/>
  <c r="P222" i="5"/>
  <c r="O222" i="5"/>
  <c r="S221" i="5"/>
  <c r="R221" i="5"/>
  <c r="Q221" i="5"/>
  <c r="P221" i="5"/>
  <c r="O221" i="5"/>
  <c r="S220" i="5"/>
  <c r="R220" i="5"/>
  <c r="Q220" i="5"/>
  <c r="P220" i="5"/>
  <c r="O220" i="5"/>
  <c r="S219" i="5"/>
  <c r="R219" i="5"/>
  <c r="Q219" i="5"/>
  <c r="P219" i="5"/>
  <c r="O219" i="5"/>
  <c r="S218" i="5"/>
  <c r="R218" i="5"/>
  <c r="Q218" i="5"/>
  <c r="P218" i="5"/>
  <c r="O218" i="5"/>
  <c r="S217" i="5"/>
  <c r="R217" i="5"/>
  <c r="Q217" i="5"/>
  <c r="P217" i="5"/>
  <c r="O217" i="5"/>
  <c r="S216" i="5"/>
  <c r="R216" i="5"/>
  <c r="Q216" i="5"/>
  <c r="P216" i="5"/>
  <c r="O216" i="5"/>
  <c r="S215" i="5"/>
  <c r="R215" i="5"/>
  <c r="Q215" i="5"/>
  <c r="P215" i="5"/>
  <c r="O215" i="5"/>
  <c r="S214" i="5"/>
  <c r="R214" i="5"/>
  <c r="Q214" i="5"/>
  <c r="P214" i="5"/>
  <c r="O214" i="5"/>
  <c r="S213" i="5"/>
  <c r="R213" i="5"/>
  <c r="Q213" i="5"/>
  <c r="P213" i="5"/>
  <c r="O213" i="5"/>
  <c r="S212" i="5"/>
  <c r="R212" i="5"/>
  <c r="Q212" i="5"/>
  <c r="P212" i="5"/>
  <c r="O212" i="5"/>
  <c r="S211" i="5"/>
  <c r="R211" i="5"/>
  <c r="Q211" i="5"/>
  <c r="P211" i="5"/>
  <c r="O211" i="5"/>
  <c r="S210" i="5"/>
  <c r="R210" i="5"/>
  <c r="Q210" i="5"/>
  <c r="P210" i="5"/>
  <c r="O210" i="5"/>
  <c r="S209" i="5"/>
  <c r="R209" i="5"/>
  <c r="Q209" i="5"/>
  <c r="P209" i="5"/>
  <c r="O209" i="5"/>
  <c r="S208" i="5"/>
  <c r="R208" i="5"/>
  <c r="Q208" i="5"/>
  <c r="P208" i="5"/>
  <c r="O208" i="5"/>
  <c r="S207" i="5"/>
  <c r="R207" i="5"/>
  <c r="Q207" i="5"/>
  <c r="P207" i="5"/>
  <c r="O207" i="5"/>
  <c r="S206" i="5"/>
  <c r="R206" i="5"/>
  <c r="Q206" i="5"/>
  <c r="P206" i="5"/>
  <c r="O206" i="5"/>
  <c r="S205" i="5"/>
  <c r="R205" i="5"/>
  <c r="Q205" i="5"/>
  <c r="P205" i="5"/>
  <c r="O205" i="5"/>
  <c r="S204" i="5"/>
  <c r="R204" i="5"/>
  <c r="Q204" i="5"/>
  <c r="P204" i="5"/>
  <c r="O204" i="5"/>
  <c r="S203" i="5"/>
  <c r="R203" i="5"/>
  <c r="Q203" i="5"/>
  <c r="P203" i="5"/>
  <c r="O203" i="5"/>
  <c r="S202" i="5"/>
  <c r="R202" i="5"/>
  <c r="Q202" i="5"/>
  <c r="P202" i="5"/>
  <c r="O202" i="5"/>
  <c r="S201" i="5"/>
  <c r="R201" i="5"/>
  <c r="Q201" i="5"/>
  <c r="P201" i="5"/>
  <c r="O201" i="5"/>
  <c r="S200" i="5"/>
  <c r="R200" i="5"/>
  <c r="Q200" i="5"/>
  <c r="P200" i="5"/>
  <c r="O200" i="5"/>
  <c r="S199" i="5"/>
  <c r="R199" i="5"/>
  <c r="Q199" i="5"/>
  <c r="P199" i="5"/>
  <c r="O199" i="5"/>
  <c r="S198" i="5"/>
  <c r="R198" i="5"/>
  <c r="Q198" i="5"/>
  <c r="P198" i="5"/>
  <c r="O198" i="5"/>
  <c r="S197" i="5"/>
  <c r="R197" i="5"/>
  <c r="Q197" i="5"/>
  <c r="P197" i="5"/>
  <c r="O197" i="5"/>
  <c r="S196" i="5"/>
  <c r="R196" i="5"/>
  <c r="Q196" i="5"/>
  <c r="P196" i="5"/>
  <c r="O196" i="5"/>
  <c r="S195" i="5"/>
  <c r="R195" i="5"/>
  <c r="Q195" i="5"/>
  <c r="P195" i="5"/>
  <c r="O195" i="5"/>
  <c r="S194" i="5"/>
  <c r="R194" i="5"/>
  <c r="Q194" i="5"/>
  <c r="P194" i="5"/>
  <c r="O194" i="5"/>
  <c r="S193" i="5"/>
  <c r="R193" i="5"/>
  <c r="Q193" i="5"/>
  <c r="P193" i="5"/>
  <c r="O193" i="5"/>
  <c r="S192" i="5"/>
  <c r="R192" i="5"/>
  <c r="Q192" i="5"/>
  <c r="P192" i="5"/>
  <c r="O192" i="5"/>
  <c r="S191" i="5"/>
  <c r="R191" i="5"/>
  <c r="Q191" i="5"/>
  <c r="P191" i="5"/>
  <c r="O191" i="5"/>
  <c r="S190" i="5"/>
  <c r="R190" i="5"/>
  <c r="Q190" i="5"/>
  <c r="P190" i="5"/>
  <c r="O190" i="5"/>
  <c r="S189" i="5"/>
  <c r="R189" i="5"/>
  <c r="Q189" i="5"/>
  <c r="P189" i="5"/>
  <c r="O189" i="5"/>
  <c r="S188" i="5"/>
  <c r="R188" i="5"/>
  <c r="Q188" i="5"/>
  <c r="P188" i="5"/>
  <c r="O188" i="5"/>
  <c r="S187" i="5"/>
  <c r="R187" i="5"/>
  <c r="Q187" i="5"/>
  <c r="P187" i="5"/>
  <c r="O187" i="5"/>
  <c r="S186" i="5"/>
  <c r="R186" i="5"/>
  <c r="Q186" i="5"/>
  <c r="P186" i="5"/>
  <c r="O186" i="5"/>
  <c r="S185" i="5"/>
  <c r="R185" i="5"/>
  <c r="Q185" i="5"/>
  <c r="P185" i="5"/>
  <c r="O185" i="5"/>
  <c r="S184" i="5"/>
  <c r="R184" i="5"/>
  <c r="Q184" i="5"/>
  <c r="P184" i="5"/>
  <c r="O184" i="5"/>
  <c r="S183" i="5"/>
  <c r="R183" i="5"/>
  <c r="Q183" i="5"/>
  <c r="P183" i="5"/>
  <c r="O183" i="5"/>
  <c r="S182" i="5"/>
  <c r="R182" i="5"/>
  <c r="Q182" i="5"/>
  <c r="P182" i="5"/>
  <c r="O182" i="5"/>
  <c r="S181" i="5"/>
  <c r="R181" i="5"/>
  <c r="Q181" i="5"/>
  <c r="P181" i="5"/>
  <c r="O181" i="5"/>
  <c r="S180" i="5"/>
  <c r="R180" i="5"/>
  <c r="Q180" i="5"/>
  <c r="P180" i="5"/>
  <c r="O180" i="5"/>
  <c r="S179" i="5"/>
  <c r="R179" i="5"/>
  <c r="Q179" i="5"/>
  <c r="P179" i="5"/>
  <c r="O179" i="5"/>
  <c r="S178" i="5"/>
  <c r="R178" i="5"/>
  <c r="Q178" i="5"/>
  <c r="P178" i="5"/>
  <c r="O178" i="5"/>
  <c r="S177" i="5"/>
  <c r="R177" i="5"/>
  <c r="Q177" i="5"/>
  <c r="P177" i="5"/>
  <c r="O177" i="5"/>
  <c r="S176" i="5"/>
  <c r="R176" i="5"/>
  <c r="Q176" i="5"/>
  <c r="P176" i="5"/>
  <c r="O176" i="5"/>
  <c r="S175" i="5"/>
  <c r="R175" i="5"/>
  <c r="Q175" i="5"/>
  <c r="P175" i="5"/>
  <c r="O175" i="5"/>
  <c r="S174" i="5"/>
  <c r="R174" i="5"/>
  <c r="Q174" i="5"/>
  <c r="P174" i="5"/>
  <c r="O174" i="5"/>
  <c r="S173" i="5"/>
  <c r="R173" i="5"/>
  <c r="Q173" i="5"/>
  <c r="P173" i="5"/>
  <c r="O173" i="5"/>
  <c r="S172" i="5"/>
  <c r="R172" i="5"/>
  <c r="Q172" i="5"/>
  <c r="P172" i="5"/>
  <c r="O172" i="5"/>
  <c r="S171" i="5"/>
  <c r="R171" i="5"/>
  <c r="Q171" i="5"/>
  <c r="P171" i="5"/>
  <c r="O171" i="5"/>
  <c r="S170" i="5"/>
  <c r="R170" i="5"/>
  <c r="Q170" i="5"/>
  <c r="P170" i="5"/>
  <c r="O170" i="5"/>
  <c r="S169" i="5"/>
  <c r="R169" i="5"/>
  <c r="Q169" i="5"/>
  <c r="P169" i="5"/>
  <c r="O169" i="5"/>
  <c r="S168" i="5"/>
  <c r="R168" i="5"/>
  <c r="Q168" i="5"/>
  <c r="P168" i="5"/>
  <c r="O168" i="5"/>
  <c r="S167" i="5"/>
  <c r="R167" i="5"/>
  <c r="Q167" i="5"/>
  <c r="P167" i="5"/>
  <c r="O167" i="5"/>
  <c r="S166" i="5"/>
  <c r="R166" i="5"/>
  <c r="Q166" i="5"/>
  <c r="P166" i="5"/>
  <c r="O166" i="5"/>
  <c r="S165" i="5"/>
  <c r="R165" i="5"/>
  <c r="Q165" i="5"/>
  <c r="P165" i="5"/>
  <c r="O165" i="5"/>
  <c r="S164" i="5"/>
  <c r="R164" i="5"/>
  <c r="Q164" i="5"/>
  <c r="P164" i="5"/>
  <c r="O164" i="5"/>
  <c r="S163" i="5"/>
  <c r="R163" i="5"/>
  <c r="Q163" i="5"/>
  <c r="P163" i="5"/>
  <c r="O163" i="5"/>
  <c r="S162" i="5"/>
  <c r="R162" i="5"/>
  <c r="Q162" i="5"/>
  <c r="P162" i="5"/>
  <c r="O162" i="5"/>
  <c r="S161" i="5"/>
  <c r="R161" i="5"/>
  <c r="Q161" i="5"/>
  <c r="P161" i="5"/>
  <c r="O161" i="5"/>
  <c r="S160" i="5"/>
  <c r="R160" i="5"/>
  <c r="Q160" i="5"/>
  <c r="P160" i="5"/>
  <c r="O160" i="5"/>
  <c r="S159" i="5"/>
  <c r="R159" i="5"/>
  <c r="Q159" i="5"/>
  <c r="P159" i="5"/>
  <c r="O159" i="5"/>
  <c r="S158" i="5"/>
  <c r="R158" i="5"/>
  <c r="Q158" i="5"/>
  <c r="P158" i="5"/>
  <c r="O158" i="5"/>
  <c r="S157" i="5"/>
  <c r="R157" i="5"/>
  <c r="Q157" i="5"/>
  <c r="P157" i="5"/>
  <c r="O157" i="5"/>
  <c r="S156" i="5"/>
  <c r="R156" i="5"/>
  <c r="Q156" i="5"/>
  <c r="P156" i="5"/>
  <c r="O156" i="5"/>
  <c r="S155" i="5"/>
  <c r="R155" i="5"/>
  <c r="Q155" i="5"/>
  <c r="P155" i="5"/>
  <c r="O155" i="5"/>
  <c r="S154" i="5"/>
  <c r="R154" i="5"/>
  <c r="Q154" i="5"/>
  <c r="P154" i="5"/>
  <c r="O154" i="5"/>
  <c r="S153" i="5"/>
  <c r="R153" i="5"/>
  <c r="Q153" i="5"/>
  <c r="P153" i="5"/>
  <c r="O153" i="5"/>
  <c r="S152" i="5"/>
  <c r="R152" i="5"/>
  <c r="Q152" i="5"/>
  <c r="P152" i="5"/>
  <c r="O152" i="5"/>
  <c r="S151" i="5"/>
  <c r="R151" i="5"/>
  <c r="Q151" i="5"/>
  <c r="P151" i="5"/>
  <c r="O151" i="5"/>
  <c r="S150" i="5"/>
  <c r="R150" i="5"/>
  <c r="Q150" i="5"/>
  <c r="P150" i="5"/>
  <c r="O150" i="5"/>
  <c r="S149" i="5"/>
  <c r="R149" i="5"/>
  <c r="Q149" i="5"/>
  <c r="P149" i="5"/>
  <c r="O149" i="5"/>
  <c r="S148" i="5"/>
  <c r="R148" i="5"/>
  <c r="Q148" i="5"/>
  <c r="P148" i="5"/>
  <c r="O148" i="5"/>
  <c r="S147" i="5"/>
  <c r="R147" i="5"/>
  <c r="Q147" i="5"/>
  <c r="P147" i="5"/>
  <c r="O147" i="5"/>
  <c r="S146" i="5"/>
  <c r="R146" i="5"/>
  <c r="Q146" i="5"/>
  <c r="P146" i="5"/>
  <c r="O146" i="5"/>
  <c r="S145" i="5"/>
  <c r="R145" i="5"/>
  <c r="Q145" i="5"/>
  <c r="P145" i="5"/>
  <c r="O145" i="5"/>
  <c r="S144" i="5"/>
  <c r="R144" i="5"/>
  <c r="Q144" i="5"/>
  <c r="P144" i="5"/>
  <c r="O144" i="5"/>
  <c r="S143" i="5"/>
  <c r="R143" i="5"/>
  <c r="Q143" i="5"/>
  <c r="P143" i="5"/>
  <c r="O143" i="5"/>
  <c r="S142" i="5"/>
  <c r="R142" i="5"/>
  <c r="Q142" i="5"/>
  <c r="P142" i="5"/>
  <c r="O142" i="5"/>
  <c r="S141" i="5"/>
  <c r="R141" i="5"/>
  <c r="Q141" i="5"/>
  <c r="P141" i="5"/>
  <c r="O141" i="5"/>
  <c r="S140" i="5"/>
  <c r="R140" i="5"/>
  <c r="Q140" i="5"/>
  <c r="P140" i="5"/>
  <c r="O140" i="5"/>
  <c r="S139" i="5"/>
  <c r="R139" i="5"/>
  <c r="Q139" i="5"/>
  <c r="P139" i="5"/>
  <c r="O139" i="5"/>
  <c r="S138" i="5"/>
  <c r="R138" i="5"/>
  <c r="Q138" i="5"/>
  <c r="P138" i="5"/>
  <c r="O138" i="5"/>
  <c r="S137" i="5"/>
  <c r="R137" i="5"/>
  <c r="Q137" i="5"/>
  <c r="P137" i="5"/>
  <c r="O137" i="5"/>
  <c r="S136" i="5"/>
  <c r="R136" i="5"/>
  <c r="Q136" i="5"/>
  <c r="P136" i="5"/>
  <c r="O136" i="5"/>
  <c r="S135" i="5"/>
  <c r="R135" i="5"/>
  <c r="Q135" i="5"/>
  <c r="P135" i="5"/>
  <c r="O135" i="5"/>
  <c r="S134" i="5"/>
  <c r="R134" i="5"/>
  <c r="Q134" i="5"/>
  <c r="P134" i="5"/>
  <c r="O134" i="5"/>
  <c r="S133" i="5"/>
  <c r="R133" i="5"/>
  <c r="Q133" i="5"/>
  <c r="P133" i="5"/>
  <c r="O133" i="5"/>
  <c r="S132" i="5"/>
  <c r="R132" i="5"/>
  <c r="Q132" i="5"/>
  <c r="P132" i="5"/>
  <c r="O132" i="5"/>
  <c r="S131" i="5"/>
  <c r="R131" i="5"/>
  <c r="Q131" i="5"/>
  <c r="P131" i="5"/>
  <c r="O131" i="5"/>
  <c r="S130" i="5"/>
  <c r="R130" i="5"/>
  <c r="Q130" i="5"/>
  <c r="P130" i="5"/>
  <c r="O130" i="5"/>
  <c r="S129" i="5"/>
  <c r="R129" i="5"/>
  <c r="Q129" i="5"/>
  <c r="P129" i="5"/>
  <c r="O129" i="5"/>
  <c r="S128" i="5"/>
  <c r="R128" i="5"/>
  <c r="Q128" i="5"/>
  <c r="P128" i="5"/>
  <c r="O128" i="5"/>
  <c r="S127" i="5"/>
  <c r="R127" i="5"/>
  <c r="Q127" i="5"/>
  <c r="P127" i="5"/>
  <c r="O127" i="5"/>
  <c r="S126" i="5"/>
  <c r="R126" i="5"/>
  <c r="Q126" i="5"/>
  <c r="P126" i="5"/>
  <c r="O126" i="5"/>
  <c r="S125" i="5"/>
  <c r="R125" i="5"/>
  <c r="Q125" i="5"/>
  <c r="P125" i="5"/>
  <c r="O125" i="5"/>
  <c r="S124" i="5"/>
  <c r="R124" i="5"/>
  <c r="Q124" i="5"/>
  <c r="P124" i="5"/>
  <c r="O124" i="5"/>
  <c r="S123" i="5"/>
  <c r="R123" i="5"/>
  <c r="Q123" i="5"/>
  <c r="P123" i="5"/>
  <c r="O123" i="5"/>
  <c r="S122" i="5"/>
  <c r="R122" i="5"/>
  <c r="Q122" i="5"/>
  <c r="P122" i="5"/>
  <c r="O122" i="5"/>
  <c r="S121" i="5"/>
  <c r="R121" i="5"/>
  <c r="Q121" i="5"/>
  <c r="P121" i="5"/>
  <c r="O121" i="5"/>
  <c r="S120" i="5"/>
  <c r="R120" i="5"/>
  <c r="Q120" i="5"/>
  <c r="P120" i="5"/>
  <c r="O120" i="5"/>
  <c r="S119" i="5"/>
  <c r="R119" i="5"/>
  <c r="Q119" i="5"/>
  <c r="P119" i="5"/>
  <c r="O119" i="5"/>
  <c r="S118" i="5"/>
  <c r="R118" i="5"/>
  <c r="Q118" i="5"/>
  <c r="P118" i="5"/>
  <c r="O118" i="5"/>
  <c r="S117" i="5"/>
  <c r="R117" i="5"/>
  <c r="Q117" i="5"/>
  <c r="P117" i="5"/>
  <c r="O117" i="5"/>
  <c r="S116" i="5"/>
  <c r="R116" i="5"/>
  <c r="Q116" i="5"/>
  <c r="P116" i="5"/>
  <c r="O116" i="5"/>
  <c r="S115" i="5"/>
  <c r="R115" i="5"/>
  <c r="Q115" i="5"/>
  <c r="P115" i="5"/>
  <c r="O115" i="5"/>
  <c r="S114" i="5"/>
  <c r="R114" i="5"/>
  <c r="Q114" i="5"/>
  <c r="P114" i="5"/>
  <c r="O114" i="5"/>
  <c r="S113" i="5"/>
  <c r="R113" i="5"/>
  <c r="Q113" i="5"/>
  <c r="P113" i="5"/>
  <c r="O113" i="5"/>
  <c r="S112" i="5"/>
  <c r="R112" i="5"/>
  <c r="Q112" i="5"/>
  <c r="P112" i="5"/>
  <c r="O112" i="5"/>
  <c r="S111" i="5"/>
  <c r="R111" i="5"/>
  <c r="Q111" i="5"/>
  <c r="P111" i="5"/>
  <c r="O111" i="5"/>
  <c r="S110" i="5"/>
  <c r="R110" i="5"/>
  <c r="Q110" i="5"/>
  <c r="P110" i="5"/>
  <c r="O110" i="5"/>
  <c r="S109" i="5"/>
  <c r="R109" i="5"/>
  <c r="Q109" i="5"/>
  <c r="P109" i="5"/>
  <c r="O109" i="5"/>
  <c r="S108" i="5"/>
  <c r="R108" i="5"/>
  <c r="Q108" i="5"/>
  <c r="P108" i="5"/>
  <c r="O108" i="5"/>
  <c r="S107" i="5"/>
  <c r="R107" i="5"/>
  <c r="Q107" i="5"/>
  <c r="P107" i="5"/>
  <c r="O107" i="5"/>
  <c r="S106" i="5"/>
  <c r="R106" i="5"/>
  <c r="Q106" i="5"/>
  <c r="P106" i="5"/>
  <c r="O106" i="5"/>
  <c r="S105" i="5"/>
  <c r="R105" i="5"/>
  <c r="Q105" i="5"/>
  <c r="P105" i="5"/>
  <c r="O105" i="5"/>
  <c r="S104" i="5"/>
  <c r="R104" i="5"/>
  <c r="Q104" i="5"/>
  <c r="P104" i="5"/>
  <c r="O104" i="5"/>
  <c r="S103" i="5"/>
  <c r="R103" i="5"/>
  <c r="Q103" i="5"/>
  <c r="P103" i="5"/>
  <c r="O103" i="5"/>
  <c r="S102" i="5"/>
  <c r="R102" i="5"/>
  <c r="Q102" i="5"/>
  <c r="P102" i="5"/>
  <c r="O102" i="5"/>
  <c r="S101" i="5"/>
  <c r="R101" i="5"/>
  <c r="Q101" i="5"/>
  <c r="P101" i="5"/>
  <c r="O101" i="5"/>
  <c r="S100" i="5"/>
  <c r="R100" i="5"/>
  <c r="Q100" i="5"/>
  <c r="P100" i="5"/>
  <c r="O100" i="5"/>
  <c r="S99" i="5"/>
  <c r="R99" i="5"/>
  <c r="Q99" i="5"/>
  <c r="P99" i="5"/>
  <c r="O99" i="5"/>
  <c r="S98" i="5"/>
  <c r="R98" i="5"/>
  <c r="Q98" i="5"/>
  <c r="P98" i="5"/>
  <c r="O98" i="5"/>
  <c r="S97" i="5"/>
  <c r="R97" i="5"/>
  <c r="Q97" i="5"/>
  <c r="P97" i="5"/>
  <c r="O97" i="5"/>
  <c r="S96" i="5"/>
  <c r="R96" i="5"/>
  <c r="Q96" i="5"/>
  <c r="P96" i="5"/>
  <c r="O96" i="5"/>
  <c r="S95" i="5"/>
  <c r="R95" i="5"/>
  <c r="Q95" i="5"/>
  <c r="P95" i="5"/>
  <c r="O95" i="5"/>
  <c r="S94" i="5"/>
  <c r="R94" i="5"/>
  <c r="Q94" i="5"/>
  <c r="P94" i="5"/>
  <c r="O94" i="5"/>
  <c r="S93" i="5"/>
  <c r="R93" i="5"/>
  <c r="Q93" i="5"/>
  <c r="P93" i="5"/>
  <c r="O93" i="5"/>
  <c r="S92" i="5"/>
  <c r="R92" i="5"/>
  <c r="Q92" i="5"/>
  <c r="P92" i="5"/>
  <c r="O92" i="5"/>
  <c r="S91" i="5"/>
  <c r="R91" i="5"/>
  <c r="Q91" i="5"/>
  <c r="P91" i="5"/>
  <c r="O91" i="5"/>
  <c r="S90" i="5"/>
  <c r="R90" i="5"/>
  <c r="Q90" i="5"/>
  <c r="P90" i="5"/>
  <c r="O90" i="5"/>
  <c r="S89" i="5"/>
  <c r="R89" i="5"/>
  <c r="Q89" i="5"/>
  <c r="P89" i="5"/>
  <c r="O89" i="5"/>
  <c r="S88" i="5"/>
  <c r="R88" i="5"/>
  <c r="Q88" i="5"/>
  <c r="P88" i="5"/>
  <c r="O88" i="5"/>
  <c r="S87" i="5"/>
  <c r="R87" i="5"/>
  <c r="Q87" i="5"/>
  <c r="P87" i="5"/>
  <c r="O87" i="5"/>
  <c r="S86" i="5"/>
  <c r="R86" i="5"/>
  <c r="Q86" i="5"/>
  <c r="P86" i="5"/>
  <c r="O86" i="5"/>
  <c r="S85" i="5"/>
  <c r="R85" i="5"/>
  <c r="Q85" i="5"/>
  <c r="P85" i="5"/>
  <c r="O85" i="5"/>
  <c r="S84" i="5"/>
  <c r="R84" i="5"/>
  <c r="Q84" i="5"/>
  <c r="P84" i="5"/>
  <c r="O84" i="5"/>
  <c r="S83" i="5"/>
  <c r="R83" i="5"/>
  <c r="Q83" i="5"/>
  <c r="P83" i="5"/>
  <c r="O83" i="5"/>
  <c r="S82" i="5"/>
  <c r="R82" i="5"/>
  <c r="Q82" i="5"/>
  <c r="P82" i="5"/>
  <c r="O82" i="5"/>
  <c r="S81" i="5"/>
  <c r="R81" i="5"/>
  <c r="Q81" i="5"/>
  <c r="P81" i="5"/>
  <c r="O81" i="5"/>
  <c r="S80" i="5"/>
  <c r="R80" i="5"/>
  <c r="Q80" i="5"/>
  <c r="P80" i="5"/>
  <c r="O80" i="5"/>
  <c r="S79" i="5"/>
  <c r="R79" i="5"/>
  <c r="Q79" i="5"/>
  <c r="P79" i="5"/>
  <c r="O79" i="5"/>
  <c r="S78" i="5"/>
  <c r="R78" i="5"/>
  <c r="Q78" i="5"/>
  <c r="P78" i="5"/>
  <c r="O78" i="5"/>
  <c r="S77" i="5"/>
  <c r="R77" i="5"/>
  <c r="Q77" i="5"/>
  <c r="P77" i="5"/>
  <c r="O77" i="5"/>
  <c r="S76" i="5"/>
  <c r="R76" i="5"/>
  <c r="Q76" i="5"/>
  <c r="P76" i="5"/>
  <c r="O76" i="5"/>
  <c r="S75" i="5"/>
  <c r="R75" i="5"/>
  <c r="Q75" i="5"/>
  <c r="P75" i="5"/>
  <c r="O75" i="5"/>
  <c r="S74" i="5"/>
  <c r="R74" i="5"/>
  <c r="Q74" i="5"/>
  <c r="P74" i="5"/>
  <c r="O74" i="5"/>
  <c r="S73" i="5"/>
  <c r="R73" i="5"/>
  <c r="Q73" i="5"/>
  <c r="P73" i="5"/>
  <c r="O73" i="5"/>
  <c r="S72" i="5"/>
  <c r="R72" i="5"/>
  <c r="Q72" i="5"/>
  <c r="P72" i="5"/>
  <c r="O72" i="5"/>
  <c r="S71" i="5"/>
  <c r="R71" i="5"/>
  <c r="Q71" i="5"/>
  <c r="P71" i="5"/>
  <c r="O71" i="5"/>
  <c r="S70" i="5"/>
  <c r="R70" i="5"/>
  <c r="Q70" i="5"/>
  <c r="P70" i="5"/>
  <c r="O70" i="5"/>
  <c r="S69" i="5"/>
  <c r="R69" i="5"/>
  <c r="Q69" i="5"/>
  <c r="P69" i="5"/>
  <c r="O69" i="5"/>
  <c r="S68" i="5"/>
  <c r="R68" i="5"/>
  <c r="Q68" i="5"/>
  <c r="P68" i="5"/>
  <c r="O68" i="5"/>
  <c r="S67" i="5"/>
  <c r="R67" i="5"/>
  <c r="Q67" i="5"/>
  <c r="P67" i="5"/>
  <c r="O67" i="5"/>
  <c r="S66" i="5"/>
  <c r="R66" i="5"/>
  <c r="Q66" i="5"/>
  <c r="P66" i="5"/>
  <c r="O66" i="5"/>
  <c r="S65" i="5"/>
  <c r="R65" i="5"/>
  <c r="Q65" i="5"/>
  <c r="P65" i="5"/>
  <c r="O65" i="5"/>
  <c r="S64" i="5"/>
  <c r="R64" i="5"/>
  <c r="Q64" i="5"/>
  <c r="P64" i="5"/>
  <c r="O64" i="5"/>
  <c r="S63" i="5"/>
  <c r="R63" i="5"/>
  <c r="Q63" i="5"/>
  <c r="P63" i="5"/>
  <c r="O63" i="5"/>
  <c r="S62" i="5"/>
  <c r="R62" i="5"/>
  <c r="Q62" i="5"/>
  <c r="P62" i="5"/>
  <c r="O62" i="5"/>
  <c r="S61" i="5"/>
  <c r="R61" i="5"/>
  <c r="Q61" i="5"/>
  <c r="P61" i="5"/>
  <c r="O61" i="5"/>
  <c r="S60" i="5"/>
  <c r="R60" i="5"/>
  <c r="Q60" i="5"/>
  <c r="P60" i="5"/>
  <c r="O60" i="5"/>
  <c r="S59" i="5"/>
  <c r="R59" i="5"/>
  <c r="Q59" i="5"/>
  <c r="P59" i="5"/>
  <c r="O59" i="5"/>
  <c r="S58" i="5"/>
  <c r="R58" i="5"/>
  <c r="Q58" i="5"/>
  <c r="P58" i="5"/>
  <c r="O58" i="5"/>
  <c r="S57" i="5"/>
  <c r="R57" i="5"/>
  <c r="Q57" i="5"/>
  <c r="P57" i="5"/>
  <c r="O57" i="5"/>
  <c r="S56" i="5"/>
  <c r="R56" i="5"/>
  <c r="Q56" i="5"/>
  <c r="P56" i="5"/>
  <c r="O56" i="5"/>
  <c r="S55" i="5"/>
  <c r="R55" i="5"/>
  <c r="Q55" i="5"/>
  <c r="P55" i="5"/>
  <c r="O55" i="5"/>
  <c r="S54" i="5"/>
  <c r="R54" i="5"/>
  <c r="Q54" i="5"/>
  <c r="P54" i="5"/>
  <c r="O54" i="5"/>
  <c r="S53" i="5"/>
  <c r="R53" i="5"/>
  <c r="Q53" i="5"/>
  <c r="P53" i="5"/>
  <c r="O53" i="5"/>
  <c r="S52" i="5"/>
  <c r="R52" i="5"/>
  <c r="Q52" i="5"/>
  <c r="P52" i="5"/>
  <c r="O52" i="5"/>
  <c r="S51" i="5"/>
  <c r="R51" i="5"/>
  <c r="Q51" i="5"/>
  <c r="P51" i="5"/>
  <c r="O51" i="5"/>
  <c r="S50" i="5"/>
  <c r="R50" i="5"/>
  <c r="Q50" i="5"/>
  <c r="P50" i="5"/>
  <c r="O50" i="5"/>
  <c r="S49" i="5"/>
  <c r="R49" i="5"/>
  <c r="Q49" i="5"/>
  <c r="P49" i="5"/>
  <c r="O49" i="5"/>
  <c r="S48" i="5"/>
  <c r="R48" i="5"/>
  <c r="Q48" i="5"/>
  <c r="P48" i="5"/>
  <c r="O48" i="5"/>
  <c r="S47" i="5"/>
  <c r="R47" i="5"/>
  <c r="Q47" i="5"/>
  <c r="P47" i="5"/>
  <c r="O47" i="5"/>
  <c r="S46" i="5"/>
  <c r="R46" i="5"/>
  <c r="Q46" i="5"/>
  <c r="P46" i="5"/>
  <c r="O46" i="5"/>
  <c r="S45" i="5"/>
  <c r="R45" i="5"/>
  <c r="Q45" i="5"/>
  <c r="P45" i="5"/>
  <c r="O45" i="5"/>
  <c r="S44" i="5"/>
  <c r="R44" i="5"/>
  <c r="Q44" i="5"/>
  <c r="P44" i="5"/>
  <c r="O44" i="5"/>
  <c r="S43" i="5"/>
  <c r="R43" i="5"/>
  <c r="Q43" i="5"/>
  <c r="P43" i="5"/>
  <c r="O43" i="5"/>
  <c r="S42" i="5"/>
  <c r="R42" i="5"/>
  <c r="Q42" i="5"/>
  <c r="P42" i="5"/>
  <c r="O42" i="5"/>
  <c r="S41" i="5"/>
  <c r="R41" i="5"/>
  <c r="Q41" i="5"/>
  <c r="P41" i="5"/>
  <c r="O41" i="5"/>
  <c r="S40" i="5"/>
  <c r="R40" i="5"/>
  <c r="Q40" i="5"/>
  <c r="P40" i="5"/>
  <c r="O40" i="5"/>
  <c r="S39" i="5"/>
  <c r="R39" i="5"/>
  <c r="Q39" i="5"/>
  <c r="P39" i="5"/>
  <c r="O39" i="5"/>
  <c r="S38" i="5"/>
  <c r="R38" i="5"/>
  <c r="Q38" i="5"/>
  <c r="P38" i="5"/>
  <c r="O38" i="5"/>
  <c r="S37" i="5"/>
  <c r="R37" i="5"/>
  <c r="Q37" i="5"/>
  <c r="P37" i="5"/>
  <c r="O37" i="5"/>
  <c r="S36" i="5"/>
  <c r="R36" i="5"/>
  <c r="Q36" i="5"/>
  <c r="P36" i="5"/>
  <c r="O36" i="5"/>
  <c r="S35" i="5"/>
  <c r="R35" i="5"/>
  <c r="Q35" i="5"/>
  <c r="P35" i="5"/>
  <c r="O35" i="5"/>
  <c r="S34" i="5"/>
  <c r="R34" i="5"/>
  <c r="Q34" i="5"/>
  <c r="P34" i="5"/>
  <c r="O34" i="5"/>
  <c r="S33" i="5"/>
  <c r="R33" i="5"/>
  <c r="Q33" i="5"/>
  <c r="P33" i="5"/>
  <c r="O33" i="5"/>
  <c r="S32" i="5"/>
  <c r="R32" i="5"/>
  <c r="Q32" i="5"/>
  <c r="P32" i="5"/>
  <c r="O32" i="5"/>
  <c r="S31" i="5"/>
  <c r="R31" i="5"/>
  <c r="Q31" i="5"/>
  <c r="P31" i="5"/>
  <c r="O31" i="5"/>
  <c r="S30" i="5"/>
  <c r="R30" i="5"/>
  <c r="Q30" i="5"/>
  <c r="P30" i="5"/>
  <c r="O30" i="5"/>
  <c r="S29" i="5"/>
  <c r="R29" i="5"/>
  <c r="Q29" i="5"/>
  <c r="P29" i="5"/>
  <c r="O29" i="5"/>
  <c r="S28" i="5"/>
  <c r="R28" i="5"/>
  <c r="Q28" i="5"/>
  <c r="P28" i="5"/>
  <c r="O28" i="5"/>
  <c r="S27" i="5"/>
  <c r="R27" i="5"/>
  <c r="Q27" i="5"/>
  <c r="P27" i="5"/>
  <c r="O27" i="5"/>
  <c r="S26" i="5"/>
  <c r="R26" i="5"/>
  <c r="Q26" i="5"/>
  <c r="P26" i="5"/>
  <c r="O26" i="5"/>
  <c r="S25" i="5"/>
  <c r="R25" i="5"/>
  <c r="Q25" i="5"/>
  <c r="P25" i="5"/>
  <c r="O25" i="5"/>
  <c r="S24" i="5"/>
  <c r="R24" i="5"/>
  <c r="Q24" i="5"/>
  <c r="P24" i="5"/>
  <c r="O24" i="5"/>
  <c r="S23" i="5"/>
  <c r="R23" i="5"/>
  <c r="Q23" i="5"/>
  <c r="P23" i="5"/>
  <c r="O23" i="5"/>
  <c r="S22" i="5"/>
  <c r="R22" i="5"/>
  <c r="Q22" i="5"/>
  <c r="P22" i="5"/>
  <c r="O22" i="5"/>
  <c r="S21" i="5"/>
  <c r="R21" i="5"/>
  <c r="Q21" i="5"/>
  <c r="P21" i="5"/>
  <c r="O21" i="5"/>
  <c r="S20" i="5"/>
  <c r="R20" i="5"/>
  <c r="Q20" i="5"/>
  <c r="P20" i="5"/>
  <c r="O20" i="5"/>
  <c r="S19" i="5"/>
  <c r="R19" i="5"/>
  <c r="Q19" i="5"/>
  <c r="P19" i="5"/>
  <c r="O19" i="5"/>
  <c r="S18" i="5"/>
  <c r="R18" i="5"/>
  <c r="Q18" i="5"/>
  <c r="P18" i="5"/>
  <c r="O18" i="5"/>
  <c r="S17" i="5"/>
  <c r="R17" i="5"/>
  <c r="Q17" i="5"/>
  <c r="P17" i="5"/>
  <c r="O17" i="5"/>
  <c r="S16" i="5"/>
  <c r="R16" i="5"/>
  <c r="Q16" i="5"/>
  <c r="P16" i="5"/>
  <c r="O16" i="5"/>
  <c r="S15" i="5"/>
  <c r="R15" i="5"/>
  <c r="Q15" i="5"/>
  <c r="P15" i="5"/>
  <c r="O15" i="5"/>
  <c r="S14" i="5"/>
  <c r="R14" i="5"/>
  <c r="Q14" i="5"/>
  <c r="P14" i="5"/>
  <c r="O14" i="5"/>
  <c r="S13" i="5"/>
  <c r="R13" i="5"/>
  <c r="Q13" i="5"/>
  <c r="P13" i="5"/>
  <c r="O13" i="5"/>
  <c r="S12" i="5"/>
  <c r="R12" i="5"/>
  <c r="Q12" i="5"/>
  <c r="P12" i="5"/>
  <c r="O12" i="5"/>
  <c r="S11" i="5"/>
  <c r="R11" i="5"/>
  <c r="Q11" i="5"/>
  <c r="P11" i="5"/>
  <c r="O11" i="5"/>
  <c r="S10" i="5"/>
  <c r="R10" i="5"/>
  <c r="Q10" i="5"/>
  <c r="P10" i="5"/>
  <c r="O10" i="5"/>
  <c r="D1" i="7"/>
  <c r="C1" i="7"/>
  <c r="B1" i="7"/>
  <c r="A1" i="7"/>
  <c r="I19" i="5"/>
  <c r="H19" i="5"/>
  <c r="N19" i="5" s="1"/>
  <c r="M264" i="5"/>
  <c r="M262" i="5"/>
  <c r="M254" i="5"/>
  <c r="M251" i="5"/>
  <c r="M241" i="5"/>
  <c r="M238" i="5"/>
  <c r="M224" i="5"/>
  <c r="M212" i="5"/>
  <c r="M209" i="5"/>
  <c r="M202" i="5"/>
  <c r="M200" i="5"/>
  <c r="M197" i="5"/>
  <c r="M195" i="5"/>
  <c r="M190" i="5"/>
  <c r="M179" i="5"/>
  <c r="M174" i="5"/>
  <c r="M170" i="5"/>
  <c r="M165" i="5"/>
  <c r="M159" i="5"/>
  <c r="M149" i="5"/>
  <c r="M148" i="5"/>
  <c r="M144" i="5"/>
  <c r="M141" i="5"/>
  <c r="M136" i="5"/>
  <c r="M135" i="5"/>
  <c r="M128" i="5"/>
  <c r="M126" i="5"/>
  <c r="M125" i="5"/>
  <c r="M19" i="5"/>
  <c r="L251" i="5"/>
  <c r="L249" i="5"/>
  <c r="L241" i="5"/>
  <c r="L238" i="5"/>
  <c r="L224" i="5"/>
  <c r="L212" i="5"/>
  <c r="L209" i="5"/>
  <c r="L205" i="5"/>
  <c r="L202" i="5"/>
  <c r="L200" i="5"/>
  <c r="L197" i="5"/>
  <c r="L185" i="5"/>
  <c r="L182" i="5"/>
  <c r="L180" i="5"/>
  <c r="L179" i="5"/>
  <c r="L174" i="5"/>
  <c r="L173" i="5"/>
  <c r="L171" i="5"/>
  <c r="L170" i="5"/>
  <c r="L166" i="5"/>
  <c r="L165" i="5"/>
  <c r="L159" i="5"/>
  <c r="L155" i="5"/>
  <c r="L149" i="5"/>
  <c r="L148" i="5"/>
  <c r="L144" i="5"/>
  <c r="L141" i="5"/>
  <c r="L139" i="5"/>
  <c r="L136" i="5"/>
  <c r="L135" i="5"/>
  <c r="L129" i="5"/>
  <c r="L128" i="5"/>
  <c r="L126" i="5"/>
  <c r="L125" i="5"/>
  <c r="L19" i="5"/>
  <c r="K264" i="5"/>
  <c r="J264" i="5"/>
  <c r="K263" i="5"/>
  <c r="J263" i="5"/>
  <c r="K262" i="5"/>
  <c r="J262" i="5"/>
  <c r="K261" i="5"/>
  <c r="J261" i="5"/>
  <c r="K259" i="5"/>
  <c r="J259" i="5"/>
  <c r="K257" i="5"/>
  <c r="J257" i="5"/>
  <c r="K256" i="5"/>
  <c r="J256" i="5"/>
  <c r="K255" i="5"/>
  <c r="J255" i="5"/>
  <c r="K254" i="5"/>
  <c r="J254" i="5"/>
  <c r="K251" i="5"/>
  <c r="J251" i="5"/>
  <c r="K250" i="5"/>
  <c r="J250" i="5"/>
  <c r="K249" i="5"/>
  <c r="J249" i="5"/>
  <c r="K248" i="5"/>
  <c r="J248" i="5"/>
  <c r="K243" i="5"/>
  <c r="J243" i="5"/>
  <c r="K241" i="5"/>
  <c r="J241" i="5"/>
  <c r="K238" i="5"/>
  <c r="J238" i="5"/>
  <c r="K235" i="5"/>
  <c r="J235" i="5"/>
  <c r="K232" i="5"/>
  <c r="J232" i="5"/>
  <c r="K230" i="5"/>
  <c r="J230" i="5"/>
  <c r="K226" i="5"/>
  <c r="J226" i="5"/>
  <c r="K224" i="5"/>
  <c r="J224" i="5"/>
  <c r="K221" i="5"/>
  <c r="J221" i="5"/>
  <c r="K217" i="5"/>
  <c r="J217" i="5"/>
  <c r="K216" i="5"/>
  <c r="J216" i="5"/>
  <c r="K214" i="5"/>
  <c r="J214" i="5"/>
  <c r="K212" i="5"/>
  <c r="J212" i="5"/>
  <c r="K210" i="5"/>
  <c r="J210" i="5"/>
  <c r="K209" i="5"/>
  <c r="J209" i="5"/>
  <c r="K207" i="5"/>
  <c r="J207" i="5"/>
  <c r="K206" i="5"/>
  <c r="J206" i="5"/>
  <c r="K205" i="5"/>
  <c r="J205" i="5"/>
  <c r="K202" i="5"/>
  <c r="J202" i="5"/>
  <c r="K200" i="5"/>
  <c r="J200" i="5"/>
  <c r="K197" i="5"/>
  <c r="J197" i="5"/>
  <c r="K195" i="5"/>
  <c r="J195" i="5"/>
  <c r="K194" i="5"/>
  <c r="J194" i="5"/>
  <c r="K192" i="5"/>
  <c r="J192" i="5"/>
  <c r="K190" i="5"/>
  <c r="J190" i="5"/>
  <c r="K189" i="5"/>
  <c r="J189" i="5"/>
  <c r="K185" i="5"/>
  <c r="J185" i="5"/>
  <c r="K182" i="5"/>
  <c r="J182" i="5"/>
  <c r="K181" i="5"/>
  <c r="J181" i="5"/>
  <c r="K180" i="5"/>
  <c r="J180" i="5"/>
  <c r="K179" i="5"/>
  <c r="J179" i="5"/>
  <c r="K175" i="5"/>
  <c r="J175" i="5"/>
  <c r="K174" i="5"/>
  <c r="J174" i="5"/>
  <c r="K173" i="5"/>
  <c r="J173" i="5"/>
  <c r="K171" i="5"/>
  <c r="J171" i="5"/>
  <c r="K170" i="5"/>
  <c r="J170" i="5"/>
  <c r="K168" i="5"/>
  <c r="J168" i="5"/>
  <c r="K167" i="5"/>
  <c r="J167" i="5"/>
  <c r="K166" i="5"/>
  <c r="J166" i="5"/>
  <c r="K165" i="5"/>
  <c r="J165" i="5"/>
  <c r="K163" i="5"/>
  <c r="J163" i="5"/>
  <c r="K161" i="5"/>
  <c r="J161" i="5"/>
  <c r="K160" i="5"/>
  <c r="J160" i="5"/>
  <c r="K159" i="5"/>
  <c r="J159" i="5"/>
  <c r="K156" i="5"/>
  <c r="J156" i="5"/>
  <c r="K155" i="5"/>
  <c r="J155" i="5"/>
  <c r="K154" i="5"/>
  <c r="J154" i="5"/>
  <c r="K151" i="5"/>
  <c r="J151" i="5"/>
  <c r="K149" i="5"/>
  <c r="J149" i="5"/>
  <c r="K148" i="5"/>
  <c r="J148" i="5"/>
  <c r="K144" i="5"/>
  <c r="J144" i="5"/>
  <c r="K143" i="5"/>
  <c r="J143" i="5"/>
  <c r="K141" i="5"/>
  <c r="J141" i="5"/>
  <c r="K139" i="5"/>
  <c r="J139" i="5"/>
  <c r="K136" i="5"/>
  <c r="J136" i="5"/>
  <c r="K135" i="5"/>
  <c r="J135" i="5"/>
  <c r="K133" i="5"/>
  <c r="J133" i="5"/>
  <c r="K129" i="5"/>
  <c r="J129" i="5"/>
  <c r="K128" i="5"/>
  <c r="J128" i="5"/>
  <c r="K126" i="5"/>
  <c r="J126" i="5"/>
  <c r="K125" i="5"/>
  <c r="J125" i="5"/>
  <c r="K19" i="5"/>
  <c r="J19" i="5"/>
  <c r="I548" i="5"/>
  <c r="H548" i="5"/>
  <c r="G548" i="5"/>
  <c r="I547" i="5"/>
  <c r="H547" i="5"/>
  <c r="G547" i="5"/>
  <c r="I546" i="5"/>
  <c r="H546" i="5"/>
  <c r="G546" i="5"/>
  <c r="I545" i="5"/>
  <c r="H545" i="5"/>
  <c r="G545" i="5"/>
  <c r="I544" i="5"/>
  <c r="H544" i="5"/>
  <c r="G544" i="5"/>
  <c r="I543" i="5"/>
  <c r="H543" i="5"/>
  <c r="G543" i="5"/>
  <c r="I542" i="5"/>
  <c r="H542" i="5"/>
  <c r="G542" i="5"/>
  <c r="I541" i="5"/>
  <c r="H541" i="5"/>
  <c r="G541" i="5"/>
  <c r="I540" i="5"/>
  <c r="H540" i="5"/>
  <c r="G540" i="5"/>
  <c r="I539" i="5"/>
  <c r="H539" i="5"/>
  <c r="G539" i="5"/>
  <c r="I538" i="5"/>
  <c r="H538" i="5"/>
  <c r="G538" i="5"/>
  <c r="I537" i="5"/>
  <c r="H537" i="5"/>
  <c r="G537" i="5"/>
  <c r="I536" i="5"/>
  <c r="H536" i="5"/>
  <c r="G536" i="5"/>
  <c r="I535" i="5"/>
  <c r="H535" i="5"/>
  <c r="G535" i="5"/>
  <c r="I534" i="5"/>
  <c r="H534" i="5"/>
  <c r="G534" i="5"/>
  <c r="I533" i="5"/>
  <c r="H533" i="5"/>
  <c r="G533" i="5"/>
  <c r="I532" i="5"/>
  <c r="H532" i="5"/>
  <c r="G532" i="5"/>
  <c r="I531" i="5"/>
  <c r="H531" i="5"/>
  <c r="G531" i="5"/>
  <c r="I530" i="5"/>
  <c r="H530" i="5"/>
  <c r="G530" i="5"/>
  <c r="I529" i="5"/>
  <c r="H529" i="5"/>
  <c r="G529" i="5"/>
  <c r="I528" i="5"/>
  <c r="H528" i="5"/>
  <c r="G528" i="5"/>
  <c r="I527" i="5"/>
  <c r="H527" i="5"/>
  <c r="G527" i="5"/>
  <c r="I526" i="5"/>
  <c r="H526" i="5"/>
  <c r="G526" i="5"/>
  <c r="I525" i="5"/>
  <c r="H525" i="5"/>
  <c r="G525" i="5"/>
  <c r="I524" i="5"/>
  <c r="H524" i="5"/>
  <c r="G524" i="5"/>
  <c r="I523" i="5"/>
  <c r="H523" i="5"/>
  <c r="G523" i="5"/>
  <c r="I522" i="5"/>
  <c r="H522" i="5"/>
  <c r="G522" i="5"/>
  <c r="I521" i="5"/>
  <c r="H521" i="5"/>
  <c r="G521" i="5"/>
  <c r="I520" i="5"/>
  <c r="H520" i="5"/>
  <c r="G520" i="5"/>
  <c r="I519" i="5"/>
  <c r="H519" i="5"/>
  <c r="G519" i="5"/>
  <c r="I518" i="5"/>
  <c r="H518" i="5"/>
  <c r="G518" i="5"/>
  <c r="I517" i="5"/>
  <c r="H517" i="5"/>
  <c r="G517" i="5"/>
  <c r="I516" i="5"/>
  <c r="H516" i="5"/>
  <c r="G516" i="5"/>
  <c r="I515" i="5"/>
  <c r="H515" i="5"/>
  <c r="G515" i="5"/>
  <c r="I514" i="5"/>
  <c r="H514" i="5"/>
  <c r="G514" i="5"/>
  <c r="I513" i="5"/>
  <c r="H513" i="5"/>
  <c r="G513" i="5"/>
  <c r="I512" i="5"/>
  <c r="H512" i="5"/>
  <c r="G512" i="5"/>
  <c r="I511" i="5"/>
  <c r="H511" i="5"/>
  <c r="G511" i="5"/>
  <c r="I510" i="5"/>
  <c r="H510" i="5"/>
  <c r="G510" i="5"/>
  <c r="I509" i="5"/>
  <c r="H509" i="5"/>
  <c r="G509" i="5"/>
  <c r="I508" i="5"/>
  <c r="H508" i="5"/>
  <c r="G508" i="5"/>
  <c r="I507" i="5"/>
  <c r="H507" i="5"/>
  <c r="G507" i="5"/>
  <c r="I506" i="5"/>
  <c r="H506" i="5"/>
  <c r="G506" i="5"/>
  <c r="I505" i="5"/>
  <c r="H505" i="5"/>
  <c r="G505" i="5"/>
  <c r="I504" i="5"/>
  <c r="H504" i="5"/>
  <c r="G504" i="5"/>
  <c r="I503" i="5"/>
  <c r="H503" i="5"/>
  <c r="G503" i="5"/>
  <c r="I502" i="5"/>
  <c r="H502" i="5"/>
  <c r="G502" i="5"/>
  <c r="I501" i="5"/>
  <c r="H501" i="5"/>
  <c r="G501" i="5"/>
  <c r="I500" i="5"/>
  <c r="H500" i="5"/>
  <c r="G500" i="5"/>
  <c r="I499" i="5"/>
  <c r="H499" i="5"/>
  <c r="G499" i="5"/>
  <c r="I498" i="5"/>
  <c r="H498" i="5"/>
  <c r="G498" i="5"/>
  <c r="I497" i="5"/>
  <c r="H497" i="5"/>
  <c r="G497" i="5"/>
  <c r="I496" i="5"/>
  <c r="H496" i="5"/>
  <c r="G496" i="5"/>
  <c r="I495" i="5"/>
  <c r="H495" i="5"/>
  <c r="G495" i="5"/>
  <c r="I494" i="5"/>
  <c r="H494" i="5"/>
  <c r="G494" i="5"/>
  <c r="I493" i="5"/>
  <c r="H493" i="5"/>
  <c r="G493" i="5"/>
  <c r="I492" i="5"/>
  <c r="H492" i="5"/>
  <c r="G492" i="5"/>
  <c r="I491" i="5"/>
  <c r="H491" i="5"/>
  <c r="G491" i="5"/>
  <c r="I490" i="5"/>
  <c r="H490" i="5"/>
  <c r="G490" i="5"/>
  <c r="I489" i="5"/>
  <c r="H489" i="5"/>
  <c r="G489" i="5"/>
  <c r="I488" i="5"/>
  <c r="H488" i="5"/>
  <c r="G488" i="5"/>
  <c r="I487" i="5"/>
  <c r="H487" i="5"/>
  <c r="G487" i="5"/>
  <c r="I486" i="5"/>
  <c r="H486" i="5"/>
  <c r="G486" i="5"/>
  <c r="I485" i="5"/>
  <c r="H485" i="5"/>
  <c r="G485" i="5"/>
  <c r="I484" i="5"/>
  <c r="H484" i="5"/>
  <c r="G484" i="5"/>
  <c r="I483" i="5"/>
  <c r="H483" i="5"/>
  <c r="G483" i="5"/>
  <c r="I482" i="5"/>
  <c r="H482" i="5"/>
  <c r="G482" i="5"/>
  <c r="I481" i="5"/>
  <c r="H481" i="5"/>
  <c r="G481" i="5"/>
  <c r="I480" i="5"/>
  <c r="H480" i="5"/>
  <c r="G480" i="5"/>
  <c r="I479" i="5"/>
  <c r="H479" i="5"/>
  <c r="G479" i="5"/>
  <c r="I478" i="5"/>
  <c r="H478" i="5"/>
  <c r="G478" i="5"/>
  <c r="I477" i="5"/>
  <c r="H477" i="5"/>
  <c r="G477" i="5"/>
  <c r="I476" i="5"/>
  <c r="H476" i="5"/>
  <c r="G476" i="5"/>
  <c r="I475" i="5"/>
  <c r="H475" i="5"/>
  <c r="G475" i="5"/>
  <c r="I474" i="5"/>
  <c r="H474" i="5"/>
  <c r="G474" i="5"/>
  <c r="I473" i="5"/>
  <c r="H473" i="5"/>
  <c r="G473" i="5"/>
  <c r="I472" i="5"/>
  <c r="H472" i="5"/>
  <c r="G472" i="5"/>
  <c r="I471" i="5"/>
  <c r="H471" i="5"/>
  <c r="G471" i="5"/>
  <c r="I470" i="5"/>
  <c r="H470" i="5"/>
  <c r="G470" i="5"/>
  <c r="I469" i="5"/>
  <c r="H469" i="5"/>
  <c r="G469" i="5"/>
  <c r="I468" i="5"/>
  <c r="H468" i="5"/>
  <c r="G468" i="5"/>
  <c r="I467" i="5"/>
  <c r="H467" i="5"/>
  <c r="G467" i="5"/>
  <c r="I466" i="5"/>
  <c r="H466" i="5"/>
  <c r="G466" i="5"/>
  <c r="I465" i="5"/>
  <c r="H465" i="5"/>
  <c r="G465" i="5"/>
  <c r="I464" i="5"/>
  <c r="H464" i="5"/>
  <c r="G464" i="5"/>
  <c r="I463" i="5"/>
  <c r="H463" i="5"/>
  <c r="G463" i="5"/>
  <c r="I462" i="5"/>
  <c r="H462" i="5"/>
  <c r="G462" i="5"/>
  <c r="I461" i="5"/>
  <c r="H461" i="5"/>
  <c r="G461" i="5"/>
  <c r="I460" i="5"/>
  <c r="H460" i="5"/>
  <c r="G460" i="5"/>
  <c r="I459" i="5"/>
  <c r="H459" i="5"/>
  <c r="G459" i="5"/>
  <c r="I458" i="5"/>
  <c r="H458" i="5"/>
  <c r="G458" i="5"/>
  <c r="I457" i="5"/>
  <c r="H457" i="5"/>
  <c r="G457" i="5"/>
  <c r="I456" i="5"/>
  <c r="H456" i="5"/>
  <c r="G456" i="5"/>
  <c r="I455" i="5"/>
  <c r="H455" i="5"/>
  <c r="G455" i="5"/>
  <c r="I454" i="5"/>
  <c r="H454" i="5"/>
  <c r="G454" i="5"/>
  <c r="I453" i="5"/>
  <c r="H453" i="5"/>
  <c r="G453" i="5"/>
  <c r="I452" i="5"/>
  <c r="H452" i="5"/>
  <c r="G452" i="5"/>
  <c r="I451" i="5"/>
  <c r="H451" i="5"/>
  <c r="G451" i="5"/>
  <c r="I450" i="5"/>
  <c r="H450" i="5"/>
  <c r="G450" i="5"/>
  <c r="I449" i="5"/>
  <c r="H449" i="5"/>
  <c r="G449" i="5"/>
  <c r="I448" i="5"/>
  <c r="H448" i="5"/>
  <c r="G448" i="5"/>
  <c r="I447" i="5"/>
  <c r="H447" i="5"/>
  <c r="G447" i="5"/>
  <c r="I446" i="5"/>
  <c r="H446" i="5"/>
  <c r="G446" i="5"/>
  <c r="I445" i="5"/>
  <c r="H445" i="5"/>
  <c r="G445" i="5"/>
  <c r="I444" i="5"/>
  <c r="H444" i="5"/>
  <c r="G444" i="5"/>
  <c r="I443" i="5"/>
  <c r="H443" i="5"/>
  <c r="G443" i="5"/>
  <c r="I442" i="5"/>
  <c r="H442" i="5"/>
  <c r="G442" i="5"/>
  <c r="I441" i="5"/>
  <c r="H441" i="5"/>
  <c r="G441" i="5"/>
  <c r="I440" i="5"/>
  <c r="H440" i="5"/>
  <c r="G440" i="5"/>
  <c r="I439" i="5"/>
  <c r="H439" i="5"/>
  <c r="G439" i="5"/>
  <c r="I438" i="5"/>
  <c r="H438" i="5"/>
  <c r="G438" i="5"/>
  <c r="I437" i="5"/>
  <c r="H437" i="5"/>
  <c r="G437" i="5"/>
  <c r="I436" i="5"/>
  <c r="H436" i="5"/>
  <c r="G436" i="5"/>
  <c r="I435" i="5"/>
  <c r="H435" i="5"/>
  <c r="G435" i="5"/>
  <c r="I434" i="5"/>
  <c r="H434" i="5"/>
  <c r="G434" i="5"/>
  <c r="I433" i="5"/>
  <c r="H433" i="5"/>
  <c r="G433" i="5"/>
  <c r="I432" i="5"/>
  <c r="H432" i="5"/>
  <c r="G432" i="5"/>
  <c r="I431" i="5"/>
  <c r="H431" i="5"/>
  <c r="G431" i="5"/>
  <c r="I430" i="5"/>
  <c r="H430" i="5"/>
  <c r="G430" i="5"/>
  <c r="I429" i="5"/>
  <c r="H429" i="5"/>
  <c r="G429" i="5"/>
  <c r="I428" i="5"/>
  <c r="H428" i="5"/>
  <c r="G428" i="5"/>
  <c r="I427" i="5"/>
  <c r="H427" i="5"/>
  <c r="G427" i="5"/>
  <c r="I426" i="5"/>
  <c r="H426" i="5"/>
  <c r="G426" i="5"/>
  <c r="I425" i="5"/>
  <c r="H425" i="5"/>
  <c r="G425" i="5"/>
  <c r="I424" i="5"/>
  <c r="H424" i="5"/>
  <c r="G424" i="5"/>
  <c r="I423" i="5"/>
  <c r="H423" i="5"/>
  <c r="G423" i="5"/>
  <c r="I422" i="5"/>
  <c r="H422" i="5"/>
  <c r="G422" i="5"/>
  <c r="I421" i="5"/>
  <c r="H421" i="5"/>
  <c r="G421" i="5"/>
  <c r="I420" i="5"/>
  <c r="H420" i="5"/>
  <c r="G420" i="5"/>
  <c r="I419" i="5"/>
  <c r="H419" i="5"/>
  <c r="G419" i="5"/>
  <c r="I418" i="5"/>
  <c r="H418" i="5"/>
  <c r="G418" i="5"/>
  <c r="I417" i="5"/>
  <c r="H417" i="5"/>
  <c r="G417" i="5"/>
  <c r="I416" i="5"/>
  <c r="H416" i="5"/>
  <c r="G416" i="5"/>
  <c r="I415" i="5"/>
  <c r="H415" i="5"/>
  <c r="G415" i="5"/>
  <c r="I414" i="5"/>
  <c r="H414" i="5"/>
  <c r="G414" i="5"/>
  <c r="I413" i="5"/>
  <c r="H413" i="5"/>
  <c r="G413" i="5"/>
  <c r="I412" i="5"/>
  <c r="H412" i="5"/>
  <c r="G412" i="5"/>
  <c r="I411" i="5"/>
  <c r="H411" i="5"/>
  <c r="G411" i="5"/>
  <c r="I410" i="5"/>
  <c r="H410" i="5"/>
  <c r="G410" i="5"/>
  <c r="I409" i="5"/>
  <c r="H409" i="5"/>
  <c r="G409" i="5"/>
  <c r="I408" i="5"/>
  <c r="H408" i="5"/>
  <c r="G408" i="5"/>
  <c r="I407" i="5"/>
  <c r="H407" i="5"/>
  <c r="G407" i="5"/>
  <c r="I406" i="5"/>
  <c r="H406" i="5"/>
  <c r="G406" i="5"/>
  <c r="I405" i="5"/>
  <c r="H405" i="5"/>
  <c r="G405" i="5"/>
  <c r="I404" i="5"/>
  <c r="H404" i="5"/>
  <c r="G404" i="5"/>
  <c r="I403" i="5"/>
  <c r="H403" i="5"/>
  <c r="G403" i="5"/>
  <c r="I402" i="5"/>
  <c r="H402" i="5"/>
  <c r="G402" i="5"/>
  <c r="I401" i="5"/>
  <c r="H401" i="5"/>
  <c r="G401" i="5"/>
  <c r="I400" i="5"/>
  <c r="H400" i="5"/>
  <c r="G400" i="5"/>
  <c r="I399" i="5"/>
  <c r="H399" i="5"/>
  <c r="G399" i="5"/>
  <c r="I398" i="5"/>
  <c r="H398" i="5"/>
  <c r="G398" i="5"/>
  <c r="I397" i="5"/>
  <c r="H397" i="5"/>
  <c r="G397" i="5"/>
  <c r="I396" i="5"/>
  <c r="H396" i="5"/>
  <c r="G396" i="5"/>
  <c r="I395" i="5"/>
  <c r="H395" i="5"/>
  <c r="G395" i="5"/>
  <c r="I394" i="5"/>
  <c r="H394" i="5"/>
  <c r="G394" i="5"/>
  <c r="I393" i="5"/>
  <c r="H393" i="5"/>
  <c r="G393" i="5"/>
  <c r="I392" i="5"/>
  <c r="H392" i="5"/>
  <c r="G392" i="5"/>
  <c r="I391" i="5"/>
  <c r="H391" i="5"/>
  <c r="G391" i="5"/>
  <c r="I390" i="5"/>
  <c r="H390" i="5"/>
  <c r="G390" i="5"/>
  <c r="I389" i="5"/>
  <c r="H389" i="5"/>
  <c r="G389" i="5"/>
  <c r="I388" i="5"/>
  <c r="H388" i="5"/>
  <c r="G388" i="5"/>
  <c r="I387" i="5"/>
  <c r="H387" i="5"/>
  <c r="G387" i="5"/>
  <c r="I386" i="5"/>
  <c r="H386" i="5"/>
  <c r="G386" i="5"/>
  <c r="I385" i="5"/>
  <c r="H385" i="5"/>
  <c r="G385" i="5"/>
  <c r="I384" i="5"/>
  <c r="H384" i="5"/>
  <c r="G384" i="5"/>
  <c r="I383" i="5"/>
  <c r="H383" i="5"/>
  <c r="G383" i="5"/>
  <c r="I382" i="5"/>
  <c r="H382" i="5"/>
  <c r="G382" i="5"/>
  <c r="I381" i="5"/>
  <c r="H381" i="5"/>
  <c r="G381" i="5"/>
  <c r="I380" i="5"/>
  <c r="H380" i="5"/>
  <c r="G380" i="5"/>
  <c r="I379" i="5"/>
  <c r="H379" i="5"/>
  <c r="G379" i="5"/>
  <c r="I378" i="5"/>
  <c r="H378" i="5"/>
  <c r="G378" i="5"/>
  <c r="I377" i="5"/>
  <c r="H377" i="5"/>
  <c r="G377" i="5"/>
  <c r="I376" i="5"/>
  <c r="H376" i="5"/>
  <c r="G376" i="5"/>
  <c r="I375" i="5"/>
  <c r="H375" i="5"/>
  <c r="G375" i="5"/>
  <c r="I374" i="5"/>
  <c r="H374" i="5"/>
  <c r="G374" i="5"/>
  <c r="I373" i="5"/>
  <c r="H373" i="5"/>
  <c r="G373" i="5"/>
  <c r="I372" i="5"/>
  <c r="H372" i="5"/>
  <c r="G372" i="5"/>
  <c r="I371" i="5"/>
  <c r="H371" i="5"/>
  <c r="G371" i="5"/>
  <c r="I370" i="5"/>
  <c r="H370" i="5"/>
  <c r="G370" i="5"/>
  <c r="I369" i="5"/>
  <c r="H369" i="5"/>
  <c r="G369" i="5"/>
  <c r="I368" i="5"/>
  <c r="H368" i="5"/>
  <c r="G368" i="5"/>
  <c r="I367" i="5"/>
  <c r="H367" i="5"/>
  <c r="G367" i="5"/>
  <c r="I366" i="5"/>
  <c r="H366" i="5"/>
  <c r="G366" i="5"/>
  <c r="I365" i="5"/>
  <c r="H365" i="5"/>
  <c r="G365" i="5"/>
  <c r="I364" i="5"/>
  <c r="H364" i="5"/>
  <c r="G364" i="5"/>
  <c r="I363" i="5"/>
  <c r="H363" i="5"/>
  <c r="G363" i="5"/>
  <c r="I362" i="5"/>
  <c r="H362" i="5"/>
  <c r="G362" i="5"/>
  <c r="I361" i="5"/>
  <c r="H361" i="5"/>
  <c r="G361" i="5"/>
  <c r="I360" i="5"/>
  <c r="H360" i="5"/>
  <c r="G360" i="5"/>
  <c r="I359" i="5"/>
  <c r="H359" i="5"/>
  <c r="G359" i="5"/>
  <c r="I358" i="5"/>
  <c r="H358" i="5"/>
  <c r="G358" i="5"/>
  <c r="I357" i="5"/>
  <c r="H357" i="5"/>
  <c r="G357" i="5"/>
  <c r="I356" i="5"/>
  <c r="H356" i="5"/>
  <c r="G356" i="5"/>
  <c r="I355" i="5"/>
  <c r="H355" i="5"/>
  <c r="G355" i="5"/>
  <c r="I354" i="5"/>
  <c r="H354" i="5"/>
  <c r="G354" i="5"/>
  <c r="I353" i="5"/>
  <c r="H353" i="5"/>
  <c r="G353" i="5"/>
  <c r="I352" i="5"/>
  <c r="H352" i="5"/>
  <c r="G352" i="5"/>
  <c r="I351" i="5"/>
  <c r="H351" i="5"/>
  <c r="G351" i="5"/>
  <c r="I350" i="5"/>
  <c r="H350" i="5"/>
  <c r="G350" i="5"/>
  <c r="I349" i="5"/>
  <c r="H349" i="5"/>
  <c r="G349" i="5"/>
  <c r="I348" i="5"/>
  <c r="H348" i="5"/>
  <c r="G348" i="5"/>
  <c r="I347" i="5"/>
  <c r="H347" i="5"/>
  <c r="G347" i="5"/>
  <c r="I346" i="5"/>
  <c r="H346" i="5"/>
  <c r="G346" i="5"/>
  <c r="I345" i="5"/>
  <c r="H345" i="5"/>
  <c r="G345" i="5"/>
  <c r="I344" i="5"/>
  <c r="H344" i="5"/>
  <c r="G344" i="5"/>
  <c r="I343" i="5"/>
  <c r="H343" i="5"/>
  <c r="G343" i="5"/>
  <c r="I342" i="5"/>
  <c r="H342" i="5"/>
  <c r="G342" i="5"/>
  <c r="I341" i="5"/>
  <c r="H341" i="5"/>
  <c r="G341" i="5"/>
  <c r="I340" i="5"/>
  <c r="H340" i="5"/>
  <c r="G340" i="5"/>
  <c r="I339" i="5"/>
  <c r="H339" i="5"/>
  <c r="G339" i="5"/>
  <c r="I338" i="5"/>
  <c r="H338" i="5"/>
  <c r="G338" i="5"/>
  <c r="I337" i="5"/>
  <c r="H337" i="5"/>
  <c r="G337" i="5"/>
  <c r="I336" i="5"/>
  <c r="H336" i="5"/>
  <c r="G336" i="5"/>
  <c r="I335" i="5"/>
  <c r="H335" i="5"/>
  <c r="G335" i="5"/>
  <c r="I334" i="5"/>
  <c r="H334" i="5"/>
  <c r="G334" i="5"/>
  <c r="I333" i="5"/>
  <c r="H333" i="5"/>
  <c r="G333" i="5"/>
  <c r="I332" i="5"/>
  <c r="H332" i="5"/>
  <c r="G332" i="5"/>
  <c r="I331" i="5"/>
  <c r="H331" i="5"/>
  <c r="G331" i="5"/>
  <c r="I330" i="5"/>
  <c r="H330" i="5"/>
  <c r="G330" i="5"/>
  <c r="I329" i="5"/>
  <c r="H329" i="5"/>
  <c r="G329" i="5"/>
  <c r="I328" i="5"/>
  <c r="H328" i="5"/>
  <c r="G328" i="5"/>
  <c r="I327" i="5"/>
  <c r="H327" i="5"/>
  <c r="G327" i="5"/>
  <c r="I326" i="5"/>
  <c r="H326" i="5"/>
  <c r="G326" i="5"/>
  <c r="I325" i="5"/>
  <c r="H325" i="5"/>
  <c r="G325" i="5"/>
  <c r="I324" i="5"/>
  <c r="H324" i="5"/>
  <c r="G324" i="5"/>
  <c r="I323" i="5"/>
  <c r="H323" i="5"/>
  <c r="G323" i="5"/>
  <c r="I322" i="5"/>
  <c r="H322" i="5"/>
  <c r="G322" i="5"/>
  <c r="I321" i="5"/>
  <c r="H321" i="5"/>
  <c r="G321" i="5"/>
  <c r="I320" i="5"/>
  <c r="H320" i="5"/>
  <c r="G320" i="5"/>
  <c r="I319" i="5"/>
  <c r="H319" i="5"/>
  <c r="G319" i="5"/>
  <c r="I318" i="5"/>
  <c r="H318" i="5"/>
  <c r="G318" i="5"/>
  <c r="I317" i="5"/>
  <c r="H317" i="5"/>
  <c r="G317" i="5"/>
  <c r="I316" i="5"/>
  <c r="H316" i="5"/>
  <c r="G316" i="5"/>
  <c r="I315" i="5"/>
  <c r="H315" i="5"/>
  <c r="G315" i="5"/>
  <c r="I314" i="5"/>
  <c r="H314" i="5"/>
  <c r="G314" i="5"/>
  <c r="I313" i="5"/>
  <c r="H313" i="5"/>
  <c r="G313" i="5"/>
  <c r="I312" i="5"/>
  <c r="H312" i="5"/>
  <c r="G312" i="5"/>
  <c r="I311" i="5"/>
  <c r="H311" i="5"/>
  <c r="G311" i="5"/>
  <c r="I310" i="5"/>
  <c r="H310" i="5"/>
  <c r="G310" i="5"/>
  <c r="I309" i="5"/>
  <c r="H309" i="5"/>
  <c r="G309" i="5"/>
  <c r="I308" i="5"/>
  <c r="H308" i="5"/>
  <c r="G308" i="5"/>
  <c r="I307" i="5"/>
  <c r="H307" i="5"/>
  <c r="G307" i="5"/>
  <c r="I306" i="5"/>
  <c r="H306" i="5"/>
  <c r="G306" i="5"/>
  <c r="I305" i="5"/>
  <c r="H305" i="5"/>
  <c r="G305" i="5"/>
  <c r="I304" i="5"/>
  <c r="H304" i="5"/>
  <c r="G304" i="5"/>
  <c r="I303" i="5"/>
  <c r="H303" i="5"/>
  <c r="G303" i="5"/>
  <c r="I302" i="5"/>
  <c r="H302" i="5"/>
  <c r="G302" i="5"/>
  <c r="I301" i="5"/>
  <c r="H301" i="5"/>
  <c r="G301" i="5"/>
  <c r="I300" i="5"/>
  <c r="H300" i="5"/>
  <c r="G300" i="5"/>
  <c r="I299" i="5"/>
  <c r="H299" i="5"/>
  <c r="G299" i="5"/>
  <c r="I298" i="5"/>
  <c r="H298" i="5"/>
  <c r="G298" i="5"/>
  <c r="I297" i="5"/>
  <c r="H297" i="5"/>
  <c r="G297" i="5"/>
  <c r="I296" i="5"/>
  <c r="H296" i="5"/>
  <c r="G296" i="5"/>
  <c r="I295" i="5"/>
  <c r="H295" i="5"/>
  <c r="G295" i="5"/>
  <c r="I294" i="5"/>
  <c r="H294" i="5"/>
  <c r="G294" i="5"/>
  <c r="I293" i="5"/>
  <c r="H293" i="5"/>
  <c r="G293" i="5"/>
  <c r="I292" i="5"/>
  <c r="H292" i="5"/>
  <c r="G292" i="5"/>
  <c r="I291" i="5"/>
  <c r="H291" i="5"/>
  <c r="G291" i="5"/>
  <c r="I290" i="5"/>
  <c r="H290" i="5"/>
  <c r="G290" i="5"/>
  <c r="I289" i="5"/>
  <c r="H289" i="5"/>
  <c r="G289" i="5"/>
  <c r="I288" i="5"/>
  <c r="H288" i="5"/>
  <c r="G288" i="5"/>
  <c r="I287" i="5"/>
  <c r="H287" i="5"/>
  <c r="G287" i="5"/>
  <c r="I286" i="5"/>
  <c r="H286" i="5"/>
  <c r="G286" i="5"/>
  <c r="I285" i="5"/>
  <c r="H285" i="5"/>
  <c r="G285" i="5"/>
  <c r="I284" i="5"/>
  <c r="H284" i="5"/>
  <c r="G284" i="5"/>
  <c r="I283" i="5"/>
  <c r="H283" i="5"/>
  <c r="G283" i="5"/>
  <c r="I282" i="5"/>
  <c r="H282" i="5"/>
  <c r="G282" i="5"/>
  <c r="I281" i="5"/>
  <c r="H281" i="5"/>
  <c r="G281" i="5"/>
  <c r="I280" i="5"/>
  <c r="H280" i="5"/>
  <c r="G280" i="5"/>
  <c r="I279" i="5"/>
  <c r="H279" i="5"/>
  <c r="G279" i="5"/>
  <c r="I278" i="5"/>
  <c r="H278" i="5"/>
  <c r="G278" i="5"/>
  <c r="I277" i="5"/>
  <c r="H277" i="5"/>
  <c r="G277" i="5"/>
  <c r="I276" i="5"/>
  <c r="H276" i="5"/>
  <c r="G276" i="5"/>
  <c r="I275" i="5"/>
  <c r="H275" i="5"/>
  <c r="G275" i="5"/>
  <c r="I274" i="5"/>
  <c r="H274" i="5"/>
  <c r="G274" i="5"/>
  <c r="I273" i="5"/>
  <c r="H273" i="5"/>
  <c r="G273" i="5"/>
  <c r="I272" i="5"/>
  <c r="H272" i="5"/>
  <c r="G272" i="5"/>
  <c r="I271" i="5"/>
  <c r="H271" i="5"/>
  <c r="G271" i="5"/>
  <c r="I270" i="5"/>
  <c r="H270" i="5"/>
  <c r="G270" i="5"/>
  <c r="I269" i="5"/>
  <c r="H269" i="5"/>
  <c r="G269" i="5"/>
  <c r="I268" i="5"/>
  <c r="H268" i="5"/>
  <c r="G268" i="5"/>
  <c r="I267" i="5"/>
  <c r="H267" i="5"/>
  <c r="G267" i="5"/>
  <c r="I266" i="5"/>
  <c r="H266" i="5"/>
  <c r="G266" i="5"/>
  <c r="I265" i="5"/>
  <c r="H265" i="5"/>
  <c r="G265" i="5"/>
  <c r="I264" i="5"/>
  <c r="H264" i="5"/>
  <c r="G264" i="5"/>
  <c r="I263" i="5"/>
  <c r="H263" i="5"/>
  <c r="G263" i="5"/>
  <c r="I262" i="5"/>
  <c r="H262" i="5"/>
  <c r="G262" i="5"/>
  <c r="I261" i="5"/>
  <c r="H261" i="5"/>
  <c r="G261" i="5"/>
  <c r="I260" i="5"/>
  <c r="H260" i="5"/>
  <c r="G260" i="5"/>
  <c r="I259" i="5"/>
  <c r="H259" i="5"/>
  <c r="G259" i="5"/>
  <c r="I258" i="5"/>
  <c r="H258" i="5"/>
  <c r="G258" i="5"/>
  <c r="I257" i="5"/>
  <c r="H257" i="5"/>
  <c r="G257" i="5"/>
  <c r="I256" i="5"/>
  <c r="H256" i="5"/>
  <c r="G256" i="5"/>
  <c r="I255" i="5"/>
  <c r="H255" i="5"/>
  <c r="G255" i="5"/>
  <c r="I254" i="5"/>
  <c r="H254" i="5"/>
  <c r="G254" i="5"/>
  <c r="I253" i="5"/>
  <c r="H253" i="5"/>
  <c r="G253" i="5"/>
  <c r="I252" i="5"/>
  <c r="H252" i="5"/>
  <c r="G252" i="5"/>
  <c r="I251" i="5"/>
  <c r="H251" i="5"/>
  <c r="N251" i="5" s="1"/>
  <c r="G251" i="5"/>
  <c r="I250" i="5"/>
  <c r="H250" i="5"/>
  <c r="G250" i="5"/>
  <c r="I249" i="5"/>
  <c r="H249" i="5"/>
  <c r="G249" i="5"/>
  <c r="I248" i="5"/>
  <c r="H248" i="5"/>
  <c r="G248" i="5"/>
  <c r="I247" i="5"/>
  <c r="H247" i="5"/>
  <c r="G247" i="5"/>
  <c r="I246" i="5"/>
  <c r="H246" i="5"/>
  <c r="G246" i="5"/>
  <c r="I245" i="5"/>
  <c r="H245" i="5"/>
  <c r="G245" i="5"/>
  <c r="I244" i="5"/>
  <c r="H244" i="5"/>
  <c r="G244" i="5"/>
  <c r="I243" i="5"/>
  <c r="H243" i="5"/>
  <c r="G243" i="5"/>
  <c r="I242" i="5"/>
  <c r="H242" i="5"/>
  <c r="G242" i="5"/>
  <c r="I241" i="5"/>
  <c r="H241" i="5"/>
  <c r="N241" i="5" s="1"/>
  <c r="G241" i="5"/>
  <c r="I240" i="5"/>
  <c r="H240" i="5"/>
  <c r="G240" i="5"/>
  <c r="I239" i="5"/>
  <c r="H239" i="5"/>
  <c r="G239" i="5"/>
  <c r="I238" i="5"/>
  <c r="H238" i="5"/>
  <c r="N238" i="5" s="1"/>
  <c r="G238" i="5"/>
  <c r="I237" i="5"/>
  <c r="H237" i="5"/>
  <c r="G237" i="5"/>
  <c r="I236" i="5"/>
  <c r="H236" i="5"/>
  <c r="G236" i="5"/>
  <c r="I235" i="5"/>
  <c r="H235" i="5"/>
  <c r="G235" i="5"/>
  <c r="I234" i="5"/>
  <c r="H234" i="5"/>
  <c r="G234" i="5"/>
  <c r="I233" i="5"/>
  <c r="H233" i="5"/>
  <c r="G233" i="5"/>
  <c r="I232" i="5"/>
  <c r="H232" i="5"/>
  <c r="G232" i="5"/>
  <c r="I231" i="5"/>
  <c r="H231" i="5"/>
  <c r="G231" i="5"/>
  <c r="I230" i="5"/>
  <c r="H230" i="5"/>
  <c r="G230" i="5"/>
  <c r="I229" i="5"/>
  <c r="H229" i="5"/>
  <c r="G229" i="5"/>
  <c r="I228" i="5"/>
  <c r="H228" i="5"/>
  <c r="G228" i="5"/>
  <c r="I227" i="5"/>
  <c r="H227" i="5"/>
  <c r="G227" i="5"/>
  <c r="I226" i="5"/>
  <c r="H226" i="5"/>
  <c r="G226" i="5"/>
  <c r="I225" i="5"/>
  <c r="H225" i="5"/>
  <c r="G225" i="5"/>
  <c r="I224" i="5"/>
  <c r="H224" i="5"/>
  <c r="N224" i="5" s="1"/>
  <c r="G224" i="5"/>
  <c r="I223" i="5"/>
  <c r="H223" i="5"/>
  <c r="G223" i="5"/>
  <c r="I222" i="5"/>
  <c r="H222" i="5"/>
  <c r="G222" i="5"/>
  <c r="I221" i="5"/>
  <c r="H221" i="5"/>
  <c r="G221" i="5"/>
  <c r="I220" i="5"/>
  <c r="H220" i="5"/>
  <c r="G220" i="5"/>
  <c r="I219" i="5"/>
  <c r="H219" i="5"/>
  <c r="G219" i="5"/>
  <c r="I218" i="5"/>
  <c r="H218" i="5"/>
  <c r="G218" i="5"/>
  <c r="I217" i="5"/>
  <c r="H217" i="5"/>
  <c r="G217" i="5"/>
  <c r="I216" i="5"/>
  <c r="H216" i="5"/>
  <c r="G216" i="5"/>
  <c r="I215" i="5"/>
  <c r="H215" i="5"/>
  <c r="G215" i="5"/>
  <c r="I214" i="5"/>
  <c r="H214" i="5"/>
  <c r="G214" i="5"/>
  <c r="I213" i="5"/>
  <c r="H213" i="5"/>
  <c r="G213" i="5"/>
  <c r="I212" i="5"/>
  <c r="H212" i="5"/>
  <c r="N212" i="5" s="1"/>
  <c r="G212" i="5"/>
  <c r="I211" i="5"/>
  <c r="H211" i="5"/>
  <c r="G211" i="5"/>
  <c r="I210" i="5"/>
  <c r="H210" i="5"/>
  <c r="G210" i="5"/>
  <c r="I209" i="5"/>
  <c r="H209" i="5"/>
  <c r="N209" i="5" s="1"/>
  <c r="G209" i="5"/>
  <c r="I208" i="5"/>
  <c r="H208" i="5"/>
  <c r="G208" i="5"/>
  <c r="I207" i="5"/>
  <c r="H207" i="5"/>
  <c r="G207" i="5"/>
  <c r="I206" i="5"/>
  <c r="H206" i="5"/>
  <c r="G206" i="5"/>
  <c r="I205" i="5"/>
  <c r="H205" i="5"/>
  <c r="G205" i="5"/>
  <c r="I204" i="5"/>
  <c r="H204" i="5"/>
  <c r="G204" i="5"/>
  <c r="I203" i="5"/>
  <c r="H203" i="5"/>
  <c r="G203" i="5"/>
  <c r="I202" i="5"/>
  <c r="H202" i="5"/>
  <c r="N202" i="5" s="1"/>
  <c r="G202" i="5"/>
  <c r="I201" i="5"/>
  <c r="H201" i="5"/>
  <c r="G201" i="5"/>
  <c r="I200" i="5"/>
  <c r="H200" i="5"/>
  <c r="N200" i="5" s="1"/>
  <c r="G200" i="5"/>
  <c r="I199" i="5"/>
  <c r="H199" i="5"/>
  <c r="G199" i="5"/>
  <c r="I198" i="5"/>
  <c r="H198" i="5"/>
  <c r="G198" i="5"/>
  <c r="I197" i="5"/>
  <c r="H197" i="5"/>
  <c r="N197" i="5" s="1"/>
  <c r="G197" i="5"/>
  <c r="I196" i="5"/>
  <c r="H196" i="5"/>
  <c r="G196" i="5"/>
  <c r="I195" i="5"/>
  <c r="H195" i="5"/>
  <c r="G195" i="5"/>
  <c r="I194" i="5"/>
  <c r="H194" i="5"/>
  <c r="G194" i="5"/>
  <c r="I193" i="5"/>
  <c r="H193" i="5"/>
  <c r="G193" i="5"/>
  <c r="I192" i="5"/>
  <c r="H192" i="5"/>
  <c r="G192" i="5"/>
  <c r="I191" i="5"/>
  <c r="H191" i="5"/>
  <c r="G191" i="5"/>
  <c r="I190" i="5"/>
  <c r="H190" i="5"/>
  <c r="G190" i="5"/>
  <c r="I189" i="5"/>
  <c r="H189" i="5"/>
  <c r="G189" i="5"/>
  <c r="I188" i="5"/>
  <c r="H188" i="5"/>
  <c r="G188" i="5"/>
  <c r="I187" i="5"/>
  <c r="H187" i="5"/>
  <c r="G187" i="5"/>
  <c r="I186" i="5"/>
  <c r="H186" i="5"/>
  <c r="G186" i="5"/>
  <c r="I185" i="5"/>
  <c r="H185" i="5"/>
  <c r="G185" i="5"/>
  <c r="I184" i="5"/>
  <c r="H184" i="5"/>
  <c r="G184" i="5"/>
  <c r="I183" i="5"/>
  <c r="H183" i="5"/>
  <c r="G183" i="5"/>
  <c r="I182" i="5"/>
  <c r="H182" i="5"/>
  <c r="G182" i="5"/>
  <c r="I181" i="5"/>
  <c r="H181" i="5"/>
  <c r="G181" i="5"/>
  <c r="I180" i="5"/>
  <c r="H180" i="5"/>
  <c r="G180" i="5"/>
  <c r="I179" i="5"/>
  <c r="H179" i="5"/>
  <c r="N179" i="5" s="1"/>
  <c r="G179" i="5"/>
  <c r="I178" i="5"/>
  <c r="H178" i="5"/>
  <c r="G178" i="5"/>
  <c r="I177" i="5"/>
  <c r="H177" i="5"/>
  <c r="G177" i="5"/>
  <c r="I176" i="5"/>
  <c r="H176" i="5"/>
  <c r="G176" i="5"/>
  <c r="I175" i="5"/>
  <c r="H175" i="5"/>
  <c r="G175" i="5"/>
  <c r="I174" i="5"/>
  <c r="H174" i="5"/>
  <c r="N174" i="5" s="1"/>
  <c r="G174" i="5"/>
  <c r="I173" i="5"/>
  <c r="H173" i="5"/>
  <c r="G173" i="5"/>
  <c r="I172" i="5"/>
  <c r="H172" i="5"/>
  <c r="G172" i="5"/>
  <c r="I171" i="5"/>
  <c r="H171" i="5"/>
  <c r="G171" i="5"/>
  <c r="I170" i="5"/>
  <c r="H170" i="5"/>
  <c r="N170" i="5" s="1"/>
  <c r="G170" i="5"/>
  <c r="I169" i="5"/>
  <c r="H169" i="5"/>
  <c r="G169" i="5"/>
  <c r="I168" i="5"/>
  <c r="H168" i="5"/>
  <c r="G168" i="5"/>
  <c r="I167" i="5"/>
  <c r="H167" i="5"/>
  <c r="G167" i="5"/>
  <c r="I166" i="5"/>
  <c r="H166" i="5"/>
  <c r="G166" i="5"/>
  <c r="I165" i="5"/>
  <c r="H165" i="5"/>
  <c r="N165" i="5" s="1"/>
  <c r="G165" i="5"/>
  <c r="I164" i="5"/>
  <c r="H164" i="5"/>
  <c r="G164" i="5"/>
  <c r="I163" i="5"/>
  <c r="H163" i="5"/>
  <c r="G163" i="5"/>
  <c r="I162" i="5"/>
  <c r="H162" i="5"/>
  <c r="G162" i="5"/>
  <c r="I161" i="5"/>
  <c r="H161" i="5"/>
  <c r="G161" i="5"/>
  <c r="I160" i="5"/>
  <c r="H160" i="5"/>
  <c r="G160" i="5"/>
  <c r="I159" i="5"/>
  <c r="H159" i="5"/>
  <c r="N159" i="5" s="1"/>
  <c r="G159" i="5"/>
  <c r="I158" i="5"/>
  <c r="H158" i="5"/>
  <c r="G158" i="5"/>
  <c r="I157" i="5"/>
  <c r="H157" i="5"/>
  <c r="G157" i="5"/>
  <c r="I156" i="5"/>
  <c r="H156" i="5"/>
  <c r="G156" i="5"/>
  <c r="I155" i="5"/>
  <c r="H155" i="5"/>
  <c r="G155" i="5"/>
  <c r="I154" i="5"/>
  <c r="H154" i="5"/>
  <c r="G154" i="5"/>
  <c r="I153" i="5"/>
  <c r="H153" i="5"/>
  <c r="G153" i="5"/>
  <c r="I152" i="5"/>
  <c r="H152" i="5"/>
  <c r="G152" i="5"/>
  <c r="I151" i="5"/>
  <c r="H151" i="5"/>
  <c r="G151" i="5"/>
  <c r="I150" i="5"/>
  <c r="H150" i="5"/>
  <c r="G150" i="5"/>
  <c r="I149" i="5"/>
  <c r="H149" i="5"/>
  <c r="N149" i="5" s="1"/>
  <c r="G149" i="5"/>
  <c r="I148" i="5"/>
  <c r="H148" i="5"/>
  <c r="N148" i="5" s="1"/>
  <c r="G148" i="5"/>
  <c r="I147" i="5"/>
  <c r="H147" i="5"/>
  <c r="G147" i="5"/>
  <c r="I146" i="5"/>
  <c r="H146" i="5"/>
  <c r="G146" i="5"/>
  <c r="I145" i="5"/>
  <c r="H145" i="5"/>
  <c r="G145" i="5"/>
  <c r="I144" i="5"/>
  <c r="H144" i="5"/>
  <c r="N144" i="5" s="1"/>
  <c r="G144" i="5"/>
  <c r="I143" i="5"/>
  <c r="H143" i="5"/>
  <c r="G143" i="5"/>
  <c r="I142" i="5"/>
  <c r="H142" i="5"/>
  <c r="G142" i="5"/>
  <c r="I141" i="5"/>
  <c r="H141" i="5"/>
  <c r="N141" i="5" s="1"/>
  <c r="G141" i="5"/>
  <c r="I140" i="5"/>
  <c r="H140" i="5"/>
  <c r="G140" i="5"/>
  <c r="I139" i="5"/>
  <c r="H139" i="5"/>
  <c r="G139" i="5"/>
  <c r="I138" i="5"/>
  <c r="H138" i="5"/>
  <c r="G138" i="5"/>
  <c r="I137" i="5"/>
  <c r="H137" i="5"/>
  <c r="G137" i="5"/>
  <c r="I136" i="5"/>
  <c r="H136" i="5"/>
  <c r="N136" i="5" s="1"/>
  <c r="G136" i="5"/>
  <c r="I135" i="5"/>
  <c r="H135" i="5"/>
  <c r="N135" i="5" s="1"/>
  <c r="G135" i="5"/>
  <c r="I134" i="5"/>
  <c r="H134" i="5"/>
  <c r="G134" i="5"/>
  <c r="I133" i="5"/>
  <c r="H133" i="5"/>
  <c r="G133" i="5"/>
  <c r="I132" i="5"/>
  <c r="H132" i="5"/>
  <c r="G132" i="5"/>
  <c r="I131" i="5"/>
  <c r="H131" i="5"/>
  <c r="G131" i="5"/>
  <c r="I130" i="5"/>
  <c r="H130" i="5"/>
  <c r="G130" i="5"/>
  <c r="I129" i="5"/>
  <c r="H129" i="5"/>
  <c r="G129" i="5"/>
  <c r="I128" i="5"/>
  <c r="H128" i="5"/>
  <c r="N128" i="5" s="1"/>
  <c r="G128" i="5"/>
  <c r="I127" i="5"/>
  <c r="H127" i="5"/>
  <c r="G127" i="5"/>
  <c r="I126" i="5"/>
  <c r="H126" i="5"/>
  <c r="N126" i="5" s="1"/>
  <c r="G126" i="5"/>
  <c r="I125" i="5"/>
  <c r="H125" i="5"/>
  <c r="N125" i="5" s="1"/>
  <c r="G125" i="5"/>
  <c r="I124" i="5"/>
  <c r="H124" i="5"/>
  <c r="G124" i="5"/>
  <c r="I123" i="5"/>
  <c r="H123" i="5"/>
  <c r="G123" i="5"/>
  <c r="I122" i="5"/>
  <c r="H122" i="5"/>
  <c r="G122" i="5"/>
  <c r="I121" i="5"/>
  <c r="H121" i="5"/>
  <c r="G121" i="5"/>
  <c r="I120" i="5"/>
  <c r="H120" i="5"/>
  <c r="G120" i="5"/>
  <c r="I119" i="5"/>
  <c r="H119" i="5"/>
  <c r="G119" i="5"/>
  <c r="I118" i="5"/>
  <c r="H118" i="5"/>
  <c r="G118" i="5"/>
  <c r="I117" i="5"/>
  <c r="H117" i="5"/>
  <c r="G117" i="5"/>
  <c r="I116" i="5"/>
  <c r="H116" i="5"/>
  <c r="G116" i="5"/>
  <c r="I115" i="5"/>
  <c r="H115" i="5"/>
  <c r="G115" i="5"/>
  <c r="I114" i="5"/>
  <c r="H114" i="5"/>
  <c r="G114" i="5"/>
  <c r="I113" i="5"/>
  <c r="H113" i="5"/>
  <c r="G113" i="5"/>
  <c r="I112" i="5"/>
  <c r="H112" i="5"/>
  <c r="G112" i="5"/>
  <c r="I111" i="5"/>
  <c r="H111" i="5"/>
  <c r="G111" i="5"/>
  <c r="I110" i="5"/>
  <c r="H110" i="5"/>
  <c r="G110" i="5"/>
  <c r="I109" i="5"/>
  <c r="H109" i="5"/>
  <c r="G109" i="5"/>
  <c r="I108" i="5"/>
  <c r="H108" i="5"/>
  <c r="G108" i="5"/>
  <c r="I107" i="5"/>
  <c r="H107" i="5"/>
  <c r="G107" i="5"/>
  <c r="I106" i="5"/>
  <c r="H106" i="5"/>
  <c r="G106" i="5"/>
  <c r="I105" i="5"/>
  <c r="H105" i="5"/>
  <c r="G105" i="5"/>
  <c r="I104" i="5"/>
  <c r="H104" i="5"/>
  <c r="G104" i="5"/>
  <c r="I103" i="5"/>
  <c r="H103" i="5"/>
  <c r="G103" i="5"/>
  <c r="I102" i="5"/>
  <c r="H102" i="5"/>
  <c r="G102" i="5"/>
  <c r="I101" i="5"/>
  <c r="H101" i="5"/>
  <c r="G101" i="5"/>
  <c r="I100" i="5"/>
  <c r="H100" i="5"/>
  <c r="G100" i="5"/>
  <c r="I99" i="5"/>
  <c r="H99" i="5"/>
  <c r="G99" i="5"/>
  <c r="I98" i="5"/>
  <c r="H98" i="5"/>
  <c r="G98" i="5"/>
  <c r="I97" i="5"/>
  <c r="H97" i="5"/>
  <c r="G97" i="5"/>
  <c r="I96" i="5"/>
  <c r="H96" i="5"/>
  <c r="G96" i="5"/>
  <c r="I95" i="5"/>
  <c r="H95" i="5"/>
  <c r="G95" i="5"/>
  <c r="I94" i="5"/>
  <c r="H94" i="5"/>
  <c r="G94" i="5"/>
  <c r="I93" i="5"/>
  <c r="H93" i="5"/>
  <c r="G93" i="5"/>
  <c r="I92" i="5"/>
  <c r="H92" i="5"/>
  <c r="G92" i="5"/>
  <c r="I91" i="5"/>
  <c r="H91" i="5"/>
  <c r="G91" i="5"/>
  <c r="I90" i="5"/>
  <c r="H90" i="5"/>
  <c r="G90" i="5"/>
  <c r="I89" i="5"/>
  <c r="H89" i="5"/>
  <c r="G89" i="5"/>
  <c r="I88" i="5"/>
  <c r="H88" i="5"/>
  <c r="G88" i="5"/>
  <c r="I87" i="5"/>
  <c r="H87" i="5"/>
  <c r="G87" i="5"/>
  <c r="I86" i="5"/>
  <c r="H86" i="5"/>
  <c r="G86" i="5"/>
  <c r="I85" i="5"/>
  <c r="H85" i="5"/>
  <c r="G85" i="5"/>
  <c r="I84" i="5"/>
  <c r="H84" i="5"/>
  <c r="G84" i="5"/>
  <c r="I83" i="5"/>
  <c r="H83" i="5"/>
  <c r="G83" i="5"/>
  <c r="I82" i="5"/>
  <c r="H82" i="5"/>
  <c r="G82" i="5"/>
  <c r="I81" i="5"/>
  <c r="H81" i="5"/>
  <c r="G81" i="5"/>
  <c r="I80" i="5"/>
  <c r="H80" i="5"/>
  <c r="G80" i="5"/>
  <c r="I79" i="5"/>
  <c r="H79" i="5"/>
  <c r="G79" i="5"/>
  <c r="I78" i="5"/>
  <c r="H78" i="5"/>
  <c r="G78" i="5"/>
  <c r="I77" i="5"/>
  <c r="H77" i="5"/>
  <c r="G77" i="5"/>
  <c r="I76" i="5"/>
  <c r="H76" i="5"/>
  <c r="G76" i="5"/>
  <c r="I75" i="5"/>
  <c r="H75" i="5"/>
  <c r="G75" i="5"/>
  <c r="I74" i="5"/>
  <c r="H74" i="5"/>
  <c r="G74" i="5"/>
  <c r="I73" i="5"/>
  <c r="H73" i="5"/>
  <c r="G73" i="5"/>
  <c r="I72" i="5"/>
  <c r="H72" i="5"/>
  <c r="G72" i="5"/>
  <c r="I71" i="5"/>
  <c r="H71" i="5"/>
  <c r="G71" i="5"/>
  <c r="I70" i="5"/>
  <c r="H70" i="5"/>
  <c r="G70" i="5"/>
  <c r="I69" i="5"/>
  <c r="H69" i="5"/>
  <c r="G69" i="5"/>
  <c r="I68" i="5"/>
  <c r="H68" i="5"/>
  <c r="G68" i="5"/>
  <c r="I67" i="5"/>
  <c r="H67" i="5"/>
  <c r="G67" i="5"/>
  <c r="I66" i="5"/>
  <c r="H66" i="5"/>
  <c r="G66" i="5"/>
  <c r="I65" i="5"/>
  <c r="H65" i="5"/>
  <c r="G65" i="5"/>
  <c r="I64" i="5"/>
  <c r="H64" i="5"/>
  <c r="G64" i="5"/>
  <c r="I63" i="5"/>
  <c r="H63" i="5"/>
  <c r="G63" i="5"/>
  <c r="I62" i="5"/>
  <c r="H62" i="5"/>
  <c r="G62" i="5"/>
  <c r="I61" i="5"/>
  <c r="H61" i="5"/>
  <c r="G61" i="5"/>
  <c r="I60" i="5"/>
  <c r="H60" i="5"/>
  <c r="G60" i="5"/>
  <c r="I59" i="5"/>
  <c r="H59" i="5"/>
  <c r="G59" i="5"/>
  <c r="I58" i="5"/>
  <c r="H58" i="5"/>
  <c r="G58" i="5"/>
  <c r="I57" i="5"/>
  <c r="H57" i="5"/>
  <c r="G57" i="5"/>
  <c r="I56" i="5"/>
  <c r="H56" i="5"/>
  <c r="G56" i="5"/>
  <c r="I55" i="5"/>
  <c r="H55" i="5"/>
  <c r="G55" i="5"/>
  <c r="I54" i="5"/>
  <c r="H54" i="5"/>
  <c r="G54" i="5"/>
  <c r="I53" i="5"/>
  <c r="H53" i="5"/>
  <c r="G53" i="5"/>
  <c r="I52" i="5"/>
  <c r="H52" i="5"/>
  <c r="G52" i="5"/>
  <c r="I51" i="5"/>
  <c r="H51" i="5"/>
  <c r="G51" i="5"/>
  <c r="I50" i="5"/>
  <c r="H50" i="5"/>
  <c r="G50" i="5"/>
  <c r="I49" i="5"/>
  <c r="H49" i="5"/>
  <c r="G49" i="5"/>
  <c r="I48" i="5"/>
  <c r="H48" i="5"/>
  <c r="G48" i="5"/>
  <c r="I47" i="5"/>
  <c r="H47" i="5"/>
  <c r="G47" i="5"/>
  <c r="I46" i="5"/>
  <c r="H46" i="5"/>
  <c r="G46" i="5"/>
  <c r="I45" i="5"/>
  <c r="H45" i="5"/>
  <c r="G45" i="5"/>
  <c r="I44" i="5"/>
  <c r="H44" i="5"/>
  <c r="G44" i="5"/>
  <c r="I43" i="5"/>
  <c r="H43" i="5"/>
  <c r="G43" i="5"/>
  <c r="I42" i="5"/>
  <c r="H42" i="5"/>
  <c r="G42" i="5"/>
  <c r="I41" i="5"/>
  <c r="H41" i="5"/>
  <c r="G41" i="5"/>
  <c r="I40" i="5"/>
  <c r="H40" i="5"/>
  <c r="G40" i="5"/>
  <c r="I39" i="5"/>
  <c r="H39" i="5"/>
  <c r="G39" i="5"/>
  <c r="I38" i="5"/>
  <c r="H38" i="5"/>
  <c r="G38" i="5"/>
  <c r="I37" i="5"/>
  <c r="H37" i="5"/>
  <c r="G37" i="5"/>
  <c r="I36" i="5"/>
  <c r="H36" i="5"/>
  <c r="G36" i="5"/>
  <c r="I35" i="5"/>
  <c r="H35" i="5"/>
  <c r="G35" i="5"/>
  <c r="I34" i="5"/>
  <c r="H34" i="5"/>
  <c r="G34" i="5"/>
  <c r="I33" i="5"/>
  <c r="H33" i="5"/>
  <c r="G33" i="5"/>
  <c r="I32" i="5"/>
  <c r="H32" i="5"/>
  <c r="G32" i="5"/>
  <c r="I31" i="5"/>
  <c r="H31" i="5"/>
  <c r="G31" i="5"/>
  <c r="I30" i="5"/>
  <c r="H30" i="5"/>
  <c r="G30" i="5"/>
  <c r="I29" i="5"/>
  <c r="H29" i="5"/>
  <c r="G29" i="5"/>
  <c r="I28" i="5"/>
  <c r="H28" i="5"/>
  <c r="G28" i="5"/>
  <c r="I27" i="5"/>
  <c r="H27" i="5"/>
  <c r="G27" i="5"/>
  <c r="I26" i="5"/>
  <c r="H26" i="5"/>
  <c r="G26" i="5"/>
  <c r="I25" i="5"/>
  <c r="H25" i="5"/>
  <c r="G25" i="5"/>
  <c r="I24" i="5"/>
  <c r="H24" i="5"/>
  <c r="G24" i="5"/>
  <c r="I23" i="5"/>
  <c r="H23" i="5"/>
  <c r="G23" i="5"/>
  <c r="I22" i="5"/>
  <c r="H22" i="5"/>
  <c r="G22" i="5"/>
  <c r="I21" i="5"/>
  <c r="H21" i="5"/>
  <c r="G21" i="5"/>
  <c r="I20" i="5"/>
  <c r="H20" i="5"/>
  <c r="G20" i="5"/>
  <c r="G19" i="5"/>
  <c r="I18" i="5"/>
  <c r="H18" i="5"/>
  <c r="G18" i="5"/>
  <c r="I17" i="5"/>
  <c r="H17" i="5"/>
  <c r="G17" i="5"/>
  <c r="I16" i="5"/>
  <c r="H16" i="5"/>
  <c r="G16" i="5"/>
  <c r="I15" i="5"/>
  <c r="H15" i="5"/>
  <c r="G15" i="5"/>
  <c r="I14" i="5"/>
  <c r="H14" i="5"/>
  <c r="G14" i="5"/>
  <c r="I13" i="5"/>
  <c r="H13" i="5"/>
  <c r="G13" i="5"/>
  <c r="I12" i="5"/>
  <c r="H12" i="5"/>
  <c r="G12" i="5"/>
  <c r="I11" i="5"/>
  <c r="H11" i="5"/>
  <c r="G11" i="5"/>
  <c r="I10" i="5"/>
  <c r="H10" i="5"/>
  <c r="G10" i="5"/>
  <c r="N548" i="5" l="1"/>
  <c r="M548" i="5"/>
  <c r="K548" i="5"/>
  <c r="J548" i="5"/>
  <c r="L548" i="5"/>
  <c r="M547" i="5"/>
  <c r="J547" i="5"/>
  <c r="N547" i="5"/>
  <c r="K547" i="5"/>
  <c r="L547" i="5"/>
  <c r="M546" i="5"/>
  <c r="N546" i="5"/>
  <c r="J546" i="5"/>
  <c r="L546" i="5"/>
  <c r="K546" i="5"/>
  <c r="N545" i="5"/>
  <c r="K545" i="5"/>
  <c r="J545" i="5"/>
  <c r="M545" i="5"/>
  <c r="L545" i="5"/>
  <c r="N544" i="5"/>
  <c r="L544" i="5"/>
  <c r="J544" i="5"/>
  <c r="K544" i="5"/>
  <c r="M544" i="5"/>
  <c r="M543" i="5"/>
  <c r="N543" i="5"/>
  <c r="L543" i="5"/>
  <c r="K543" i="5"/>
  <c r="J543" i="5"/>
  <c r="L542" i="5"/>
  <c r="K542" i="5"/>
  <c r="J542" i="5"/>
  <c r="M542" i="5"/>
  <c r="N542" i="5"/>
  <c r="N541" i="5"/>
  <c r="K541" i="5"/>
  <c r="J541" i="5"/>
  <c r="L541" i="5"/>
  <c r="M541" i="5"/>
  <c r="N540" i="5"/>
  <c r="L540" i="5"/>
  <c r="K540" i="5"/>
  <c r="M540" i="5"/>
  <c r="J540" i="5"/>
  <c r="J539" i="5"/>
  <c r="N539" i="5"/>
  <c r="L539" i="5"/>
  <c r="K539" i="5"/>
  <c r="M539" i="5"/>
  <c r="K538" i="5"/>
  <c r="L538" i="5"/>
  <c r="N538" i="5"/>
  <c r="J538" i="5"/>
  <c r="M538" i="5"/>
  <c r="K537" i="5"/>
  <c r="J537" i="5"/>
  <c r="L537" i="5"/>
  <c r="N537" i="5"/>
  <c r="M537" i="5"/>
  <c r="K536" i="5"/>
  <c r="J536" i="5"/>
  <c r="M536" i="5"/>
  <c r="N536" i="5"/>
  <c r="L536" i="5"/>
  <c r="J535" i="5"/>
  <c r="K535" i="5"/>
  <c r="M535" i="5"/>
  <c r="L535" i="5"/>
  <c r="N535" i="5"/>
  <c r="K534" i="5"/>
  <c r="M534" i="5"/>
  <c r="L534" i="5"/>
  <c r="N534" i="5"/>
  <c r="J534" i="5"/>
  <c r="K533" i="5"/>
  <c r="L533" i="5"/>
  <c r="J533" i="5"/>
  <c r="N533" i="5"/>
  <c r="M533" i="5"/>
  <c r="M532" i="5"/>
  <c r="N532" i="5"/>
  <c r="J532" i="5"/>
  <c r="K532" i="5"/>
  <c r="L532" i="5"/>
  <c r="J531" i="5"/>
  <c r="M531" i="5"/>
  <c r="L531" i="5"/>
  <c r="K531" i="5"/>
  <c r="N531" i="5"/>
  <c r="J530" i="5"/>
  <c r="K530" i="5"/>
  <c r="M530" i="5"/>
  <c r="L530" i="5"/>
  <c r="N530" i="5"/>
  <c r="K529" i="5"/>
  <c r="J529" i="5"/>
  <c r="N529" i="5"/>
  <c r="L529" i="5"/>
  <c r="M529" i="5"/>
  <c r="K528" i="5"/>
  <c r="J528" i="5"/>
  <c r="M528" i="5"/>
  <c r="N528" i="5"/>
  <c r="L528" i="5"/>
  <c r="L527" i="5"/>
  <c r="K527" i="5"/>
  <c r="J527" i="5"/>
  <c r="M527" i="5"/>
  <c r="N527" i="5"/>
  <c r="M526" i="5"/>
  <c r="K526" i="5"/>
  <c r="L526" i="5"/>
  <c r="J526" i="5"/>
  <c r="N526" i="5"/>
  <c r="J525" i="5"/>
  <c r="M525" i="5"/>
  <c r="L525" i="5"/>
  <c r="K525" i="5"/>
  <c r="N525" i="5"/>
  <c r="N524" i="5"/>
  <c r="M524" i="5"/>
  <c r="K524" i="5"/>
  <c r="J524" i="5"/>
  <c r="L524" i="5"/>
  <c r="N523" i="5"/>
  <c r="L523" i="5"/>
  <c r="K523" i="5"/>
  <c r="J523" i="5"/>
  <c r="M523" i="5"/>
  <c r="N522" i="5"/>
  <c r="L522" i="5"/>
  <c r="M522" i="5"/>
  <c r="J522" i="5"/>
  <c r="K522" i="5"/>
  <c r="N521" i="5"/>
  <c r="L521" i="5"/>
  <c r="M521" i="5"/>
  <c r="K521" i="5"/>
  <c r="J521" i="5"/>
  <c r="M520" i="5"/>
  <c r="L520" i="5"/>
  <c r="K520" i="5"/>
  <c r="J520" i="5"/>
  <c r="N520" i="5"/>
  <c r="N519" i="5"/>
  <c r="M519" i="5"/>
  <c r="L519" i="5"/>
  <c r="K519" i="5"/>
  <c r="J519" i="5"/>
  <c r="J518" i="5"/>
  <c r="N518" i="5"/>
  <c r="L518" i="5"/>
  <c r="M518" i="5"/>
  <c r="K518" i="5"/>
  <c r="L517" i="5"/>
  <c r="K517" i="5"/>
  <c r="J517" i="5"/>
  <c r="N517" i="5"/>
  <c r="M517" i="5"/>
  <c r="N516" i="5"/>
  <c r="J516" i="5"/>
  <c r="K516" i="5"/>
  <c r="L516" i="5"/>
  <c r="M516" i="5"/>
  <c r="N515" i="5"/>
  <c r="J515" i="5"/>
  <c r="K515" i="5"/>
  <c r="L515" i="5"/>
  <c r="M515" i="5"/>
  <c r="J514" i="5"/>
  <c r="K514" i="5"/>
  <c r="N514" i="5"/>
  <c r="L514" i="5"/>
  <c r="M514" i="5"/>
  <c r="J513" i="5"/>
  <c r="K513" i="5"/>
  <c r="N513" i="5"/>
  <c r="L513" i="5"/>
  <c r="M513" i="5"/>
  <c r="K512" i="5"/>
  <c r="L512" i="5"/>
  <c r="N512" i="5"/>
  <c r="M512" i="5"/>
  <c r="J512" i="5"/>
  <c r="L511" i="5"/>
  <c r="N511" i="5"/>
  <c r="J511" i="5"/>
  <c r="M511" i="5"/>
  <c r="K511" i="5"/>
  <c r="M510" i="5"/>
  <c r="L510" i="5"/>
  <c r="N510" i="5"/>
  <c r="K510" i="5"/>
  <c r="J510" i="5"/>
  <c r="L509" i="5"/>
  <c r="M509" i="5"/>
  <c r="N509" i="5"/>
  <c r="J509" i="5"/>
  <c r="K509" i="5"/>
  <c r="L508" i="5"/>
  <c r="N508" i="5"/>
  <c r="M508" i="5"/>
  <c r="K508" i="5"/>
  <c r="J508" i="5"/>
  <c r="L507" i="5"/>
  <c r="N507" i="5"/>
  <c r="M507" i="5"/>
  <c r="K507" i="5"/>
  <c r="J507" i="5"/>
  <c r="M506" i="5"/>
  <c r="N506" i="5"/>
  <c r="K506" i="5"/>
  <c r="J506" i="5"/>
  <c r="L506" i="5"/>
  <c r="N505" i="5"/>
  <c r="M505" i="5"/>
  <c r="J505" i="5"/>
  <c r="L505" i="5"/>
  <c r="K505" i="5"/>
  <c r="N504" i="5"/>
  <c r="M504" i="5"/>
  <c r="J504" i="5"/>
  <c r="K504" i="5"/>
  <c r="L504" i="5"/>
  <c r="N503" i="5"/>
  <c r="K503" i="5"/>
  <c r="J503" i="5"/>
  <c r="M503" i="5"/>
  <c r="L503" i="5"/>
  <c r="N502" i="5"/>
  <c r="M502" i="5"/>
  <c r="J502" i="5"/>
  <c r="K502" i="5"/>
  <c r="L502" i="5"/>
  <c r="N501" i="5"/>
  <c r="M501" i="5"/>
  <c r="J501" i="5"/>
  <c r="L501" i="5"/>
  <c r="K501" i="5"/>
  <c r="K500" i="5"/>
  <c r="J500" i="5"/>
  <c r="L500" i="5"/>
  <c r="M500" i="5"/>
  <c r="N500" i="5"/>
  <c r="K499" i="5"/>
  <c r="J499" i="5"/>
  <c r="N499" i="5"/>
  <c r="M499" i="5"/>
  <c r="L499" i="5"/>
  <c r="K498" i="5"/>
  <c r="J498" i="5"/>
  <c r="L498" i="5"/>
  <c r="M498" i="5"/>
  <c r="N498" i="5"/>
  <c r="J497" i="5"/>
  <c r="N497" i="5"/>
  <c r="M497" i="5"/>
  <c r="L497" i="5"/>
  <c r="K497" i="5"/>
  <c r="K496" i="5"/>
  <c r="J496" i="5"/>
  <c r="L496" i="5"/>
  <c r="M496" i="5"/>
  <c r="N496" i="5"/>
  <c r="K495" i="5"/>
  <c r="M495" i="5"/>
  <c r="J495" i="5"/>
  <c r="N495" i="5"/>
  <c r="L495" i="5"/>
  <c r="K494" i="5"/>
  <c r="J494" i="5"/>
  <c r="M494" i="5"/>
  <c r="L494" i="5"/>
  <c r="N494" i="5"/>
  <c r="N493" i="5"/>
  <c r="K493" i="5"/>
  <c r="J493" i="5"/>
  <c r="M493" i="5"/>
  <c r="L493" i="5"/>
  <c r="J492" i="5"/>
  <c r="M492" i="5"/>
  <c r="L492" i="5"/>
  <c r="K492" i="5"/>
  <c r="N492" i="5"/>
  <c r="J491" i="5"/>
  <c r="L491" i="5"/>
  <c r="M491" i="5"/>
  <c r="N491" i="5"/>
  <c r="K491" i="5"/>
  <c r="K490" i="5"/>
  <c r="J490" i="5"/>
  <c r="L490" i="5"/>
  <c r="N490" i="5"/>
  <c r="M490" i="5"/>
  <c r="K489" i="5"/>
  <c r="J489" i="5"/>
  <c r="N489" i="5"/>
  <c r="L489" i="5"/>
  <c r="M489" i="5"/>
  <c r="J488" i="5"/>
  <c r="K488" i="5"/>
  <c r="N488" i="5"/>
  <c r="L488" i="5"/>
  <c r="M488" i="5"/>
  <c r="J487" i="5"/>
  <c r="N487" i="5"/>
  <c r="K487" i="5"/>
  <c r="M487" i="5"/>
  <c r="L487" i="5"/>
  <c r="K486" i="5"/>
  <c r="L486" i="5"/>
  <c r="N486" i="5"/>
  <c r="M486" i="5"/>
  <c r="J486" i="5"/>
  <c r="J485" i="5"/>
  <c r="L485" i="5"/>
  <c r="N485" i="5"/>
  <c r="M485" i="5"/>
  <c r="K485" i="5"/>
  <c r="J484" i="5"/>
  <c r="N484" i="5"/>
  <c r="L484" i="5"/>
  <c r="M484" i="5"/>
  <c r="K484" i="5"/>
  <c r="N483" i="5"/>
  <c r="K483" i="5"/>
  <c r="J483" i="5"/>
  <c r="L483" i="5"/>
  <c r="M483" i="5"/>
  <c r="J482" i="5"/>
  <c r="N482" i="5"/>
  <c r="M482" i="5"/>
  <c r="K482" i="5"/>
  <c r="L482" i="5"/>
  <c r="N481" i="5"/>
  <c r="J481" i="5"/>
  <c r="K481" i="5"/>
  <c r="M481" i="5"/>
  <c r="L481" i="5"/>
  <c r="N480" i="5"/>
  <c r="K480" i="5"/>
  <c r="M480" i="5"/>
  <c r="J480" i="5"/>
  <c r="L480" i="5"/>
  <c r="N479" i="5"/>
  <c r="K479" i="5"/>
  <c r="L479" i="5"/>
  <c r="M479" i="5"/>
  <c r="J479" i="5"/>
  <c r="N478" i="5"/>
  <c r="J478" i="5"/>
  <c r="M478" i="5"/>
  <c r="K478" i="5"/>
  <c r="L478" i="5"/>
  <c r="N477" i="5"/>
  <c r="K477" i="5"/>
  <c r="M477" i="5"/>
  <c r="L477" i="5"/>
  <c r="J477" i="5"/>
  <c r="L476" i="5"/>
  <c r="J476" i="5"/>
  <c r="M476" i="5"/>
  <c r="K476" i="5"/>
  <c r="N476" i="5"/>
  <c r="L475" i="5"/>
  <c r="K475" i="5"/>
  <c r="M475" i="5"/>
  <c r="J475" i="5"/>
  <c r="N475" i="5"/>
  <c r="L474" i="5"/>
  <c r="K474" i="5"/>
  <c r="M474" i="5"/>
  <c r="N474" i="5"/>
  <c r="J474" i="5"/>
  <c r="L473" i="5"/>
  <c r="M473" i="5"/>
  <c r="K473" i="5"/>
  <c r="N473" i="5"/>
  <c r="J473" i="5"/>
  <c r="L472" i="5"/>
  <c r="J472" i="5"/>
  <c r="M472" i="5"/>
  <c r="K472" i="5"/>
  <c r="N472" i="5"/>
  <c r="L471" i="5"/>
  <c r="K471" i="5"/>
  <c r="M471" i="5"/>
  <c r="J471" i="5"/>
  <c r="N471" i="5"/>
  <c r="L470" i="5"/>
  <c r="N470" i="5"/>
  <c r="J470" i="5"/>
  <c r="M470" i="5"/>
  <c r="K470" i="5"/>
  <c r="J469" i="5"/>
  <c r="M469" i="5"/>
  <c r="N469" i="5"/>
  <c r="K469" i="5"/>
  <c r="L469" i="5"/>
  <c r="K468" i="5"/>
  <c r="M468" i="5"/>
  <c r="J468" i="5"/>
  <c r="N468" i="5"/>
  <c r="L468" i="5"/>
  <c r="M467" i="5"/>
  <c r="J467" i="5"/>
  <c r="K467" i="5"/>
  <c r="N467" i="5"/>
  <c r="L467" i="5"/>
  <c r="L466" i="5"/>
  <c r="K466" i="5"/>
  <c r="N466" i="5"/>
  <c r="M466" i="5"/>
  <c r="J466" i="5"/>
  <c r="N465" i="5"/>
  <c r="M465" i="5"/>
  <c r="L465" i="5"/>
  <c r="K465" i="5"/>
  <c r="J465" i="5"/>
  <c r="J464" i="5"/>
  <c r="L464" i="5"/>
  <c r="N464" i="5"/>
  <c r="M464" i="5"/>
  <c r="K464" i="5"/>
  <c r="N463" i="5"/>
  <c r="L463" i="5"/>
  <c r="M463" i="5"/>
  <c r="J463" i="5"/>
  <c r="K463" i="5"/>
  <c r="N462" i="5"/>
  <c r="L462" i="5"/>
  <c r="J462" i="5"/>
  <c r="M462" i="5"/>
  <c r="K462" i="5"/>
  <c r="J461" i="5"/>
  <c r="N461" i="5"/>
  <c r="L461" i="5"/>
  <c r="M461" i="5"/>
  <c r="K461" i="5"/>
  <c r="K460" i="5"/>
  <c r="J460" i="5"/>
  <c r="N460" i="5"/>
  <c r="M460" i="5"/>
  <c r="L460" i="5"/>
  <c r="J459" i="5"/>
  <c r="L459" i="5"/>
  <c r="N459" i="5"/>
  <c r="K459" i="5"/>
  <c r="M459" i="5"/>
  <c r="K458" i="5"/>
  <c r="L458" i="5"/>
  <c r="N458" i="5"/>
  <c r="M458" i="5"/>
  <c r="J458" i="5"/>
  <c r="K457" i="5"/>
  <c r="J457" i="5"/>
  <c r="L457" i="5"/>
  <c r="M457" i="5"/>
  <c r="N457" i="5"/>
  <c r="K456" i="5"/>
  <c r="J456" i="5"/>
  <c r="M456" i="5"/>
  <c r="N456" i="5"/>
  <c r="L456" i="5"/>
  <c r="K455" i="5"/>
  <c r="N455" i="5"/>
  <c r="J455" i="5"/>
  <c r="L455" i="5"/>
  <c r="M455" i="5"/>
  <c r="N454" i="5"/>
  <c r="M454" i="5"/>
  <c r="K454" i="5"/>
  <c r="J454" i="5"/>
  <c r="L454" i="5"/>
  <c r="M453" i="5"/>
  <c r="K453" i="5"/>
  <c r="N453" i="5"/>
  <c r="L453" i="5"/>
  <c r="J453" i="5"/>
  <c r="L452" i="5"/>
  <c r="N452" i="5"/>
  <c r="J452" i="5"/>
  <c r="K452" i="5"/>
  <c r="M452" i="5"/>
  <c r="K451" i="5"/>
  <c r="M451" i="5"/>
  <c r="J451" i="5"/>
  <c r="L451" i="5"/>
  <c r="N451" i="5"/>
  <c r="K450" i="5"/>
  <c r="M450" i="5"/>
  <c r="J450" i="5"/>
  <c r="L450" i="5"/>
  <c r="N450" i="5"/>
  <c r="M449" i="5"/>
  <c r="L449" i="5"/>
  <c r="J449" i="5"/>
  <c r="K449" i="5"/>
  <c r="N449" i="5"/>
  <c r="M448" i="5"/>
  <c r="L448" i="5"/>
  <c r="J448" i="5"/>
  <c r="K448" i="5"/>
  <c r="N448" i="5"/>
  <c r="M447" i="5"/>
  <c r="L447" i="5"/>
  <c r="N447" i="5"/>
  <c r="K447" i="5"/>
  <c r="J447" i="5"/>
  <c r="J446" i="5"/>
  <c r="K446" i="5"/>
  <c r="M446" i="5"/>
  <c r="L446" i="5"/>
  <c r="N446" i="5"/>
  <c r="K445" i="5"/>
  <c r="M445" i="5"/>
  <c r="L445" i="5"/>
  <c r="J445" i="5"/>
  <c r="N445" i="5"/>
  <c r="K444" i="5"/>
  <c r="J444" i="5"/>
  <c r="M444" i="5"/>
  <c r="L444" i="5"/>
  <c r="N444" i="5"/>
  <c r="M443" i="5"/>
  <c r="K443" i="5"/>
  <c r="J443" i="5"/>
  <c r="N443" i="5"/>
  <c r="L443" i="5"/>
  <c r="J442" i="5"/>
  <c r="N442" i="5"/>
  <c r="M442" i="5"/>
  <c r="L442" i="5"/>
  <c r="K442" i="5"/>
  <c r="N441" i="5"/>
  <c r="M441" i="5"/>
  <c r="L441" i="5"/>
  <c r="K441" i="5"/>
  <c r="J441" i="5"/>
  <c r="M440" i="5"/>
  <c r="L440" i="5"/>
  <c r="N440" i="5"/>
  <c r="K440" i="5"/>
  <c r="J440" i="5"/>
  <c r="J439" i="5"/>
  <c r="K439" i="5"/>
  <c r="M439" i="5"/>
  <c r="L439" i="5"/>
  <c r="N439" i="5"/>
  <c r="M438" i="5"/>
  <c r="N438" i="5"/>
  <c r="K438" i="5"/>
  <c r="J438" i="5"/>
  <c r="L438" i="5"/>
  <c r="M437" i="5"/>
  <c r="N437" i="5"/>
  <c r="K437" i="5"/>
  <c r="J437" i="5"/>
  <c r="L437" i="5"/>
  <c r="J436" i="5"/>
  <c r="N436" i="5"/>
  <c r="M436" i="5"/>
  <c r="K436" i="5"/>
  <c r="L436" i="5"/>
  <c r="J435" i="5"/>
  <c r="M435" i="5"/>
  <c r="L435" i="5"/>
  <c r="N435" i="5"/>
  <c r="K435" i="5"/>
  <c r="J434" i="5"/>
  <c r="M434" i="5"/>
  <c r="L434" i="5"/>
  <c r="N434" i="5"/>
  <c r="K434" i="5"/>
  <c r="J433" i="5"/>
  <c r="L433" i="5"/>
  <c r="M433" i="5"/>
  <c r="N433" i="5"/>
  <c r="K433" i="5"/>
  <c r="L432" i="5"/>
  <c r="N432" i="5"/>
  <c r="K432" i="5"/>
  <c r="J432" i="5"/>
  <c r="M432" i="5"/>
  <c r="J431" i="5"/>
  <c r="K431" i="5"/>
  <c r="N431" i="5"/>
  <c r="M431" i="5"/>
  <c r="L431" i="5"/>
  <c r="L430" i="5"/>
  <c r="K430" i="5"/>
  <c r="N430" i="5"/>
  <c r="M430" i="5"/>
  <c r="J430" i="5"/>
  <c r="J429" i="5"/>
  <c r="K429" i="5"/>
  <c r="N429" i="5"/>
  <c r="L429" i="5"/>
  <c r="M429" i="5"/>
  <c r="M428" i="5"/>
  <c r="L428" i="5"/>
  <c r="K428" i="5"/>
  <c r="N428" i="5"/>
  <c r="J428" i="5"/>
  <c r="K427" i="5"/>
  <c r="M427" i="5"/>
  <c r="J427" i="5"/>
  <c r="L427" i="5"/>
  <c r="N427" i="5"/>
  <c r="K426" i="5"/>
  <c r="M426" i="5"/>
  <c r="L426" i="5"/>
  <c r="N426" i="5"/>
  <c r="J426" i="5"/>
  <c r="M425" i="5"/>
  <c r="K425" i="5"/>
  <c r="L425" i="5"/>
  <c r="J425" i="5"/>
  <c r="N425" i="5"/>
  <c r="L424" i="5"/>
  <c r="N424" i="5"/>
  <c r="M424" i="5"/>
  <c r="J424" i="5"/>
  <c r="K424" i="5"/>
  <c r="M423" i="5"/>
  <c r="J423" i="5"/>
  <c r="K423" i="5"/>
  <c r="N423" i="5"/>
  <c r="L423" i="5"/>
  <c r="M422" i="5"/>
  <c r="J422" i="5"/>
  <c r="K422" i="5"/>
  <c r="N422" i="5"/>
  <c r="L422" i="5"/>
  <c r="L421" i="5"/>
  <c r="M421" i="5"/>
  <c r="J421" i="5"/>
  <c r="K421" i="5"/>
  <c r="N421" i="5"/>
  <c r="K420" i="5"/>
  <c r="M420" i="5"/>
  <c r="J420" i="5"/>
  <c r="N420" i="5"/>
  <c r="L420" i="5"/>
  <c r="M419" i="5"/>
  <c r="J419" i="5"/>
  <c r="K419" i="5"/>
  <c r="L419" i="5"/>
  <c r="N419" i="5"/>
  <c r="J418" i="5"/>
  <c r="M418" i="5"/>
  <c r="L418" i="5"/>
  <c r="N418" i="5"/>
  <c r="K418" i="5"/>
  <c r="M417" i="5"/>
  <c r="L417" i="5"/>
  <c r="N417" i="5"/>
  <c r="J417" i="5"/>
  <c r="K417" i="5"/>
  <c r="M416" i="5"/>
  <c r="N416" i="5"/>
  <c r="L416" i="5"/>
  <c r="K416" i="5"/>
  <c r="J416" i="5"/>
  <c r="L415" i="5"/>
  <c r="N415" i="5"/>
  <c r="K415" i="5"/>
  <c r="J415" i="5"/>
  <c r="M415" i="5"/>
  <c r="N414" i="5"/>
  <c r="K414" i="5"/>
  <c r="J414" i="5"/>
  <c r="M414" i="5"/>
  <c r="L414" i="5"/>
  <c r="M413" i="5"/>
  <c r="J413" i="5"/>
  <c r="N413" i="5"/>
  <c r="K413" i="5"/>
  <c r="L413" i="5"/>
  <c r="L412" i="5"/>
  <c r="M412" i="5"/>
  <c r="K412" i="5"/>
  <c r="J412" i="5"/>
  <c r="N412" i="5"/>
  <c r="N411" i="5"/>
  <c r="M411" i="5"/>
  <c r="K411" i="5"/>
  <c r="J411" i="5"/>
  <c r="L411" i="5"/>
  <c r="N410" i="5"/>
  <c r="M410" i="5"/>
  <c r="J410" i="5"/>
  <c r="L410" i="5"/>
  <c r="K410" i="5"/>
  <c r="L409" i="5"/>
  <c r="N409" i="5"/>
  <c r="J409" i="5"/>
  <c r="M409" i="5"/>
  <c r="K409" i="5"/>
  <c r="N408" i="5"/>
  <c r="M408" i="5"/>
  <c r="L408" i="5"/>
  <c r="J408" i="5"/>
  <c r="K408" i="5"/>
  <c r="M407" i="5"/>
  <c r="N407" i="5"/>
  <c r="J407" i="5"/>
  <c r="L407" i="5"/>
  <c r="K407" i="5"/>
  <c r="N406" i="5"/>
  <c r="K406" i="5"/>
  <c r="M406" i="5"/>
  <c r="J406" i="5"/>
  <c r="L406" i="5"/>
  <c r="M405" i="5"/>
  <c r="N405" i="5"/>
  <c r="L405" i="5"/>
  <c r="K405" i="5"/>
  <c r="J405" i="5"/>
  <c r="M404" i="5"/>
  <c r="J404" i="5"/>
  <c r="N404" i="5"/>
  <c r="K404" i="5"/>
  <c r="L404" i="5"/>
  <c r="L403" i="5"/>
  <c r="J403" i="5"/>
  <c r="N403" i="5"/>
  <c r="M403" i="5"/>
  <c r="K403" i="5"/>
  <c r="J402" i="5"/>
  <c r="K402" i="5"/>
  <c r="M402" i="5"/>
  <c r="L402" i="5"/>
  <c r="N402" i="5"/>
  <c r="J401" i="5"/>
  <c r="K401" i="5"/>
  <c r="M401" i="5"/>
  <c r="N401" i="5"/>
  <c r="L401" i="5"/>
  <c r="N400" i="5"/>
  <c r="M400" i="5"/>
  <c r="L400" i="5"/>
  <c r="K400" i="5"/>
  <c r="J400" i="5"/>
  <c r="L399" i="5"/>
  <c r="M399" i="5"/>
  <c r="N399" i="5"/>
  <c r="K399" i="5"/>
  <c r="J399" i="5"/>
  <c r="M398" i="5"/>
  <c r="N398" i="5"/>
  <c r="L398" i="5"/>
  <c r="K398" i="5"/>
  <c r="J398" i="5"/>
  <c r="L397" i="5"/>
  <c r="M397" i="5"/>
  <c r="N397" i="5"/>
  <c r="K397" i="5"/>
  <c r="J397" i="5"/>
  <c r="M396" i="5"/>
  <c r="N396" i="5"/>
  <c r="L396" i="5"/>
  <c r="K396" i="5"/>
  <c r="J396" i="5"/>
  <c r="L395" i="5"/>
  <c r="M395" i="5"/>
  <c r="N395" i="5"/>
  <c r="K395" i="5"/>
  <c r="J395" i="5"/>
  <c r="L394" i="5"/>
  <c r="N394" i="5"/>
  <c r="K394" i="5"/>
  <c r="M394" i="5"/>
  <c r="J394" i="5"/>
  <c r="J393" i="5"/>
  <c r="N393" i="5"/>
  <c r="L393" i="5"/>
  <c r="K393" i="5"/>
  <c r="M393" i="5"/>
  <c r="L392" i="5"/>
  <c r="J392" i="5"/>
  <c r="K392" i="5"/>
  <c r="N392" i="5"/>
  <c r="M392" i="5"/>
  <c r="L391" i="5"/>
  <c r="K391" i="5"/>
  <c r="J391" i="5"/>
  <c r="N391" i="5"/>
  <c r="M391" i="5"/>
  <c r="L390" i="5"/>
  <c r="K390" i="5"/>
  <c r="J390" i="5"/>
  <c r="M390" i="5"/>
  <c r="N390" i="5"/>
  <c r="M389" i="5"/>
  <c r="K389" i="5"/>
  <c r="L389" i="5"/>
  <c r="J389" i="5"/>
  <c r="N389" i="5"/>
  <c r="M388" i="5"/>
  <c r="N388" i="5"/>
  <c r="J388" i="5"/>
  <c r="K388" i="5"/>
  <c r="L388" i="5"/>
  <c r="M387" i="5"/>
  <c r="L387" i="5"/>
  <c r="J387" i="5"/>
  <c r="K387" i="5"/>
  <c r="N387" i="5"/>
  <c r="M386" i="5"/>
  <c r="N386" i="5"/>
  <c r="L386" i="5"/>
  <c r="J386" i="5"/>
  <c r="K386" i="5"/>
  <c r="N385" i="5"/>
  <c r="L385" i="5"/>
  <c r="J385" i="5"/>
  <c r="K385" i="5"/>
  <c r="M385" i="5"/>
  <c r="N384" i="5"/>
  <c r="L384" i="5"/>
  <c r="K384" i="5"/>
  <c r="M384" i="5"/>
  <c r="J384" i="5"/>
  <c r="N383" i="5"/>
  <c r="J383" i="5"/>
  <c r="K383" i="5"/>
  <c r="L383" i="5"/>
  <c r="M383" i="5"/>
  <c r="N382" i="5"/>
  <c r="J382" i="5"/>
  <c r="K382" i="5"/>
  <c r="L382" i="5"/>
  <c r="M382" i="5"/>
  <c r="M381" i="5"/>
  <c r="K381" i="5"/>
  <c r="J381" i="5"/>
  <c r="N381" i="5"/>
  <c r="L381" i="5"/>
  <c r="M380" i="5"/>
  <c r="N380" i="5"/>
  <c r="L380" i="5"/>
  <c r="K380" i="5"/>
  <c r="J380" i="5"/>
  <c r="M379" i="5"/>
  <c r="J379" i="5"/>
  <c r="N379" i="5"/>
  <c r="L379" i="5"/>
  <c r="K379" i="5"/>
  <c r="M378" i="5"/>
  <c r="J378" i="5"/>
  <c r="L378" i="5"/>
  <c r="K378" i="5"/>
  <c r="N378" i="5"/>
  <c r="M377" i="5"/>
  <c r="K377" i="5"/>
  <c r="J377" i="5"/>
  <c r="N377" i="5"/>
  <c r="L377" i="5"/>
  <c r="M376" i="5"/>
  <c r="J376" i="5"/>
  <c r="L376" i="5"/>
  <c r="K376" i="5"/>
  <c r="N376" i="5"/>
  <c r="N375" i="5"/>
  <c r="J375" i="5"/>
  <c r="M375" i="5"/>
  <c r="K375" i="5"/>
  <c r="L375" i="5"/>
  <c r="J374" i="5"/>
  <c r="N374" i="5"/>
  <c r="M374" i="5"/>
  <c r="L374" i="5"/>
  <c r="K374" i="5"/>
  <c r="J373" i="5"/>
  <c r="L373" i="5"/>
  <c r="M373" i="5"/>
  <c r="N373" i="5"/>
  <c r="K373" i="5"/>
  <c r="K372" i="5"/>
  <c r="J372" i="5"/>
  <c r="N372" i="5"/>
  <c r="L372" i="5"/>
  <c r="M372" i="5"/>
  <c r="K371" i="5"/>
  <c r="J371" i="5"/>
  <c r="N371" i="5"/>
  <c r="M371" i="5"/>
  <c r="L371" i="5"/>
  <c r="K370" i="5"/>
  <c r="L370" i="5"/>
  <c r="J370" i="5"/>
  <c r="N370" i="5"/>
  <c r="M370" i="5"/>
  <c r="M369" i="5"/>
  <c r="K369" i="5"/>
  <c r="L369" i="5"/>
  <c r="N369" i="5"/>
  <c r="J369" i="5"/>
  <c r="M368" i="5"/>
  <c r="K368" i="5"/>
  <c r="L368" i="5"/>
  <c r="J368" i="5"/>
  <c r="N368" i="5"/>
  <c r="M367" i="5"/>
  <c r="L367" i="5"/>
  <c r="N367" i="5"/>
  <c r="J367" i="5"/>
  <c r="K367" i="5"/>
  <c r="N366" i="5"/>
  <c r="L366" i="5"/>
  <c r="M366" i="5"/>
  <c r="K366" i="5"/>
  <c r="J366" i="5"/>
  <c r="M365" i="5"/>
  <c r="L365" i="5"/>
  <c r="N365" i="5"/>
  <c r="J365" i="5"/>
  <c r="K365" i="5"/>
  <c r="N364" i="5"/>
  <c r="L364" i="5"/>
  <c r="J364" i="5"/>
  <c r="K364" i="5"/>
  <c r="M364" i="5"/>
  <c r="M363" i="5"/>
  <c r="N363" i="5"/>
  <c r="L363" i="5"/>
  <c r="J363" i="5"/>
  <c r="K363" i="5"/>
  <c r="K362" i="5"/>
  <c r="M362" i="5"/>
  <c r="L362" i="5"/>
  <c r="N362" i="5"/>
  <c r="J362" i="5"/>
  <c r="N361" i="5"/>
  <c r="L361" i="5"/>
  <c r="J361" i="5"/>
  <c r="K361" i="5"/>
  <c r="M361" i="5"/>
  <c r="M360" i="5"/>
  <c r="J360" i="5"/>
  <c r="L360" i="5"/>
  <c r="K360" i="5"/>
  <c r="N360" i="5"/>
  <c r="J359" i="5"/>
  <c r="M359" i="5"/>
  <c r="L359" i="5"/>
  <c r="K359" i="5"/>
  <c r="N359" i="5"/>
  <c r="L358" i="5"/>
  <c r="M358" i="5"/>
  <c r="N358" i="5"/>
  <c r="J358" i="5"/>
  <c r="K358" i="5"/>
  <c r="L357" i="5"/>
  <c r="M357" i="5"/>
  <c r="J357" i="5"/>
  <c r="N357" i="5"/>
  <c r="K357" i="5"/>
  <c r="L356" i="5"/>
  <c r="J356" i="5"/>
  <c r="M356" i="5"/>
  <c r="K356" i="5"/>
  <c r="N356" i="5"/>
  <c r="M355" i="5"/>
  <c r="N355" i="5"/>
  <c r="L355" i="5"/>
  <c r="K355" i="5"/>
  <c r="J355" i="5"/>
  <c r="L354" i="5"/>
  <c r="J354" i="5"/>
  <c r="M354" i="5"/>
  <c r="K354" i="5"/>
  <c r="N354" i="5"/>
  <c r="M353" i="5"/>
  <c r="J353" i="5"/>
  <c r="K353" i="5"/>
  <c r="N353" i="5"/>
  <c r="L353" i="5"/>
  <c r="M352" i="5"/>
  <c r="L352" i="5"/>
  <c r="K352" i="5"/>
  <c r="J352" i="5"/>
  <c r="N352" i="5"/>
  <c r="K351" i="5"/>
  <c r="M351" i="5"/>
  <c r="N351" i="5"/>
  <c r="J351" i="5"/>
  <c r="L351" i="5"/>
  <c r="N350" i="5"/>
  <c r="L350" i="5"/>
  <c r="K350" i="5"/>
  <c r="M350" i="5"/>
  <c r="J350" i="5"/>
  <c r="N349" i="5"/>
  <c r="L349" i="5"/>
  <c r="J349" i="5"/>
  <c r="M349" i="5"/>
  <c r="K349" i="5"/>
  <c r="M348" i="5"/>
  <c r="L348" i="5"/>
  <c r="K348" i="5"/>
  <c r="N348" i="5"/>
  <c r="J348" i="5"/>
  <c r="M347" i="5"/>
  <c r="K347" i="5"/>
  <c r="J347" i="5"/>
  <c r="N347" i="5"/>
  <c r="L347" i="5"/>
  <c r="M346" i="5"/>
  <c r="L346" i="5"/>
  <c r="J346" i="5"/>
  <c r="K346" i="5"/>
  <c r="N346" i="5"/>
  <c r="M345" i="5"/>
  <c r="N345" i="5"/>
  <c r="L345" i="5"/>
  <c r="J345" i="5"/>
  <c r="K345" i="5"/>
  <c r="M344" i="5"/>
  <c r="N344" i="5"/>
  <c r="J344" i="5"/>
  <c r="K344" i="5"/>
  <c r="L344" i="5"/>
  <c r="N343" i="5"/>
  <c r="M343" i="5"/>
  <c r="L343" i="5"/>
  <c r="K343" i="5"/>
  <c r="J343" i="5"/>
  <c r="N342" i="5"/>
  <c r="L342" i="5"/>
  <c r="M342" i="5"/>
  <c r="J342" i="5"/>
  <c r="K342" i="5"/>
  <c r="N341" i="5"/>
  <c r="M341" i="5"/>
  <c r="L341" i="5"/>
  <c r="K341" i="5"/>
  <c r="J341" i="5"/>
  <c r="N340" i="5"/>
  <c r="M340" i="5"/>
  <c r="J340" i="5"/>
  <c r="L340" i="5"/>
  <c r="K340" i="5"/>
  <c r="K339" i="5"/>
  <c r="J339" i="5"/>
  <c r="M339" i="5"/>
  <c r="N339" i="5"/>
  <c r="L339" i="5"/>
  <c r="M338" i="5"/>
  <c r="L338" i="5"/>
  <c r="K338" i="5"/>
  <c r="J338" i="5"/>
  <c r="N338" i="5"/>
  <c r="M337" i="5"/>
  <c r="K337" i="5"/>
  <c r="J337" i="5"/>
  <c r="N337" i="5"/>
  <c r="L337" i="5"/>
  <c r="L336" i="5"/>
  <c r="M336" i="5"/>
  <c r="J336" i="5"/>
  <c r="N336" i="5"/>
  <c r="K336" i="5"/>
  <c r="K335" i="5"/>
  <c r="N335" i="5"/>
  <c r="L335" i="5"/>
  <c r="J335" i="5"/>
  <c r="M335" i="5"/>
  <c r="N334" i="5"/>
  <c r="K334" i="5"/>
  <c r="J334" i="5"/>
  <c r="M334" i="5"/>
  <c r="L334" i="5"/>
  <c r="N333" i="5"/>
  <c r="M333" i="5"/>
  <c r="L333" i="5"/>
  <c r="K333" i="5"/>
  <c r="J333" i="5"/>
  <c r="N332" i="5"/>
  <c r="J332" i="5"/>
  <c r="K332" i="5"/>
  <c r="M332" i="5"/>
  <c r="L332" i="5"/>
  <c r="N331" i="5"/>
  <c r="L331" i="5"/>
  <c r="J331" i="5"/>
  <c r="K331" i="5"/>
  <c r="M331" i="5"/>
  <c r="N330" i="5"/>
  <c r="L330" i="5"/>
  <c r="M330" i="5"/>
  <c r="K330" i="5"/>
  <c r="J330" i="5"/>
  <c r="N329" i="5"/>
  <c r="L329" i="5"/>
  <c r="M329" i="5"/>
  <c r="K329" i="5"/>
  <c r="J329" i="5"/>
  <c r="N328" i="5"/>
  <c r="L328" i="5"/>
  <c r="M328" i="5"/>
  <c r="K328" i="5"/>
  <c r="J328" i="5"/>
  <c r="M327" i="5"/>
  <c r="J327" i="5"/>
  <c r="L327" i="5"/>
  <c r="N327" i="5"/>
  <c r="K327" i="5"/>
  <c r="L326" i="5"/>
  <c r="N326" i="5"/>
  <c r="M326" i="5"/>
  <c r="K326" i="5"/>
  <c r="J326" i="5"/>
  <c r="N325" i="5"/>
  <c r="M325" i="5"/>
  <c r="L325" i="5"/>
  <c r="K325" i="5"/>
  <c r="J325" i="5"/>
  <c r="N324" i="5"/>
  <c r="L324" i="5"/>
  <c r="J324" i="5"/>
  <c r="M324" i="5"/>
  <c r="K324" i="5"/>
  <c r="K323" i="5"/>
  <c r="J323" i="5"/>
  <c r="L323" i="5"/>
  <c r="N323" i="5"/>
  <c r="M323" i="5"/>
  <c r="J322" i="5"/>
  <c r="L322" i="5"/>
  <c r="K322" i="5"/>
  <c r="M322" i="5"/>
  <c r="N322" i="5"/>
  <c r="K321" i="5"/>
  <c r="J321" i="5"/>
  <c r="M321" i="5"/>
  <c r="L321" i="5"/>
  <c r="N321" i="5"/>
  <c r="J320" i="5"/>
  <c r="K320" i="5"/>
  <c r="L320" i="5"/>
  <c r="M320" i="5"/>
  <c r="N320" i="5"/>
  <c r="L319" i="5"/>
  <c r="N319" i="5"/>
  <c r="K319" i="5"/>
  <c r="J319" i="5"/>
  <c r="M319" i="5"/>
  <c r="N318" i="5"/>
  <c r="K318" i="5"/>
  <c r="L318" i="5"/>
  <c r="J318" i="5"/>
  <c r="M318" i="5"/>
  <c r="J317" i="5"/>
  <c r="L317" i="5"/>
  <c r="N317" i="5"/>
  <c r="K317" i="5"/>
  <c r="M317" i="5"/>
  <c r="M316" i="5"/>
  <c r="L316" i="5"/>
  <c r="K316" i="5"/>
  <c r="N316" i="5"/>
  <c r="J316" i="5"/>
  <c r="N315" i="5"/>
  <c r="K315" i="5"/>
  <c r="L315" i="5"/>
  <c r="J315" i="5"/>
  <c r="M315" i="5"/>
  <c r="K314" i="5"/>
  <c r="J314" i="5"/>
  <c r="M314" i="5"/>
  <c r="L314" i="5"/>
  <c r="N314" i="5"/>
  <c r="L313" i="5"/>
  <c r="N313" i="5"/>
  <c r="K313" i="5"/>
  <c r="J313" i="5"/>
  <c r="M313" i="5"/>
  <c r="M312" i="5"/>
  <c r="L312" i="5"/>
  <c r="K312" i="5"/>
  <c r="J312" i="5"/>
  <c r="N312" i="5"/>
  <c r="M311" i="5"/>
  <c r="L311" i="5"/>
  <c r="J311" i="5"/>
  <c r="N311" i="5"/>
  <c r="K311" i="5"/>
  <c r="J310" i="5"/>
  <c r="M310" i="5"/>
  <c r="K310" i="5"/>
  <c r="L310" i="5"/>
  <c r="N310" i="5"/>
  <c r="L309" i="5"/>
  <c r="N309" i="5"/>
  <c r="K309" i="5"/>
  <c r="J309" i="5"/>
  <c r="M309" i="5"/>
  <c r="L308" i="5"/>
  <c r="M308" i="5"/>
  <c r="J308" i="5"/>
  <c r="K308" i="5"/>
  <c r="N308" i="5"/>
  <c r="K307" i="5"/>
  <c r="L307" i="5"/>
  <c r="J307" i="5"/>
  <c r="M307" i="5"/>
  <c r="N307" i="5"/>
  <c r="L306" i="5"/>
  <c r="K306" i="5"/>
  <c r="J306" i="5"/>
  <c r="N306" i="5"/>
  <c r="M306" i="5"/>
  <c r="M305" i="5"/>
  <c r="K305" i="5"/>
  <c r="L305" i="5"/>
  <c r="J305" i="5"/>
  <c r="N305" i="5"/>
  <c r="N304" i="5"/>
  <c r="J304" i="5"/>
  <c r="M304" i="5"/>
  <c r="K304" i="5"/>
  <c r="L304" i="5"/>
  <c r="N303" i="5"/>
  <c r="L303" i="5"/>
  <c r="J303" i="5"/>
  <c r="K303" i="5"/>
  <c r="M303" i="5"/>
  <c r="M302" i="5"/>
  <c r="K302" i="5"/>
  <c r="L302" i="5"/>
  <c r="J302" i="5"/>
  <c r="N302" i="5"/>
  <c r="M301" i="5"/>
  <c r="N301" i="5"/>
  <c r="K301" i="5"/>
  <c r="L301" i="5"/>
  <c r="J301" i="5"/>
  <c r="K300" i="5"/>
  <c r="N300" i="5"/>
  <c r="M300" i="5"/>
  <c r="J300" i="5"/>
  <c r="L300" i="5"/>
  <c r="N299" i="5"/>
  <c r="K299" i="5"/>
  <c r="J299" i="5"/>
  <c r="M299" i="5"/>
  <c r="L299" i="5"/>
  <c r="J298" i="5"/>
  <c r="M298" i="5"/>
  <c r="K298" i="5"/>
  <c r="L298" i="5"/>
  <c r="N298" i="5"/>
  <c r="L297" i="5"/>
  <c r="J297" i="5"/>
  <c r="K297" i="5"/>
  <c r="M297" i="5"/>
  <c r="N297" i="5"/>
  <c r="M296" i="5"/>
  <c r="J296" i="5"/>
  <c r="L296" i="5"/>
  <c r="K296" i="5"/>
  <c r="N296" i="5"/>
  <c r="L295" i="5"/>
  <c r="K295" i="5"/>
  <c r="J295" i="5"/>
  <c r="M295" i="5"/>
  <c r="N295" i="5"/>
  <c r="K294" i="5"/>
  <c r="J294" i="5"/>
  <c r="L294" i="5"/>
  <c r="M294" i="5"/>
  <c r="N294" i="5"/>
  <c r="N293" i="5"/>
  <c r="J293" i="5"/>
  <c r="K293" i="5"/>
  <c r="L293" i="5"/>
  <c r="M293" i="5"/>
  <c r="K292" i="5"/>
  <c r="J292" i="5"/>
  <c r="N292" i="5"/>
  <c r="M292" i="5"/>
  <c r="L292" i="5"/>
  <c r="K291" i="5"/>
  <c r="N291" i="5"/>
  <c r="M291" i="5"/>
  <c r="L291" i="5"/>
  <c r="J291" i="5"/>
  <c r="J290" i="5"/>
  <c r="K290" i="5"/>
  <c r="M290" i="5"/>
  <c r="N290" i="5"/>
  <c r="L290" i="5"/>
  <c r="M289" i="5"/>
  <c r="N289" i="5"/>
  <c r="K289" i="5"/>
  <c r="J289" i="5"/>
  <c r="L289" i="5"/>
  <c r="N288" i="5"/>
  <c r="J288" i="5"/>
  <c r="M288" i="5"/>
  <c r="L288" i="5"/>
  <c r="K288" i="5"/>
  <c r="K287" i="5"/>
  <c r="N287" i="5"/>
  <c r="J287" i="5"/>
  <c r="L287" i="5"/>
  <c r="M287" i="5"/>
  <c r="K286" i="5"/>
  <c r="J286" i="5"/>
  <c r="M286" i="5"/>
  <c r="L286" i="5"/>
  <c r="N286" i="5"/>
  <c r="M285" i="5"/>
  <c r="L285" i="5"/>
  <c r="K285" i="5"/>
  <c r="N285" i="5"/>
  <c r="J285" i="5"/>
  <c r="K284" i="5"/>
  <c r="J284" i="5"/>
  <c r="N284" i="5"/>
  <c r="M284" i="5"/>
  <c r="L284" i="5"/>
  <c r="M283" i="5"/>
  <c r="L283" i="5"/>
  <c r="J283" i="5"/>
  <c r="K283" i="5"/>
  <c r="N283" i="5"/>
  <c r="M282" i="5"/>
  <c r="L282" i="5"/>
  <c r="J282" i="5"/>
  <c r="N282" i="5"/>
  <c r="K282" i="5"/>
  <c r="N281" i="5"/>
  <c r="M281" i="5"/>
  <c r="L281" i="5"/>
  <c r="K281" i="5"/>
  <c r="J281" i="5"/>
  <c r="M280" i="5"/>
  <c r="J280" i="5"/>
  <c r="K280" i="5"/>
  <c r="N280" i="5"/>
  <c r="L280" i="5"/>
  <c r="N279" i="5"/>
  <c r="J279" i="5"/>
  <c r="M279" i="5"/>
  <c r="K279" i="5"/>
  <c r="L279" i="5"/>
  <c r="N278" i="5"/>
  <c r="J278" i="5"/>
  <c r="M278" i="5"/>
  <c r="K278" i="5"/>
  <c r="L278" i="5"/>
  <c r="L277" i="5"/>
  <c r="N277" i="5"/>
  <c r="M277" i="5"/>
  <c r="J277" i="5"/>
  <c r="K277" i="5"/>
  <c r="M276" i="5"/>
  <c r="J276" i="5"/>
  <c r="K276" i="5"/>
  <c r="L276" i="5"/>
  <c r="N276" i="5"/>
  <c r="J275" i="5"/>
  <c r="N275" i="5"/>
  <c r="M275" i="5"/>
  <c r="K275" i="5"/>
  <c r="L275" i="5"/>
  <c r="J274" i="5"/>
  <c r="N274" i="5"/>
  <c r="M274" i="5"/>
  <c r="K274" i="5"/>
  <c r="L274" i="5"/>
  <c r="M273" i="5"/>
  <c r="L273" i="5"/>
  <c r="N273" i="5"/>
  <c r="K273" i="5"/>
  <c r="J273" i="5"/>
  <c r="N272" i="5"/>
  <c r="M272" i="5"/>
  <c r="L272" i="5"/>
  <c r="K272" i="5"/>
  <c r="J272" i="5"/>
  <c r="M271" i="5"/>
  <c r="L271" i="5"/>
  <c r="N271" i="5"/>
  <c r="K271" i="5"/>
  <c r="J271" i="5"/>
  <c r="M270" i="5"/>
  <c r="L270" i="5"/>
  <c r="K270" i="5"/>
  <c r="N270" i="5"/>
  <c r="J270" i="5"/>
  <c r="L269" i="5"/>
  <c r="N269" i="5"/>
  <c r="M269" i="5"/>
  <c r="K269" i="5"/>
  <c r="J269" i="5"/>
  <c r="N268" i="5"/>
  <c r="L268" i="5"/>
  <c r="M268" i="5"/>
  <c r="K268" i="5"/>
  <c r="J268" i="5"/>
  <c r="J267" i="5"/>
  <c r="K267" i="5"/>
  <c r="L267" i="5"/>
  <c r="M267" i="5"/>
  <c r="N267" i="5"/>
  <c r="J266" i="5"/>
  <c r="K266" i="5"/>
  <c r="L266" i="5"/>
  <c r="M266" i="5"/>
  <c r="N266" i="5"/>
  <c r="M265" i="5"/>
  <c r="L265" i="5"/>
  <c r="N265" i="5"/>
  <c r="K265" i="5"/>
  <c r="J265" i="5"/>
  <c r="L264" i="5"/>
  <c r="N264" i="5"/>
  <c r="M263" i="5"/>
  <c r="N263" i="5"/>
  <c r="L263" i="5"/>
  <c r="L262" i="5"/>
  <c r="N262" i="5"/>
  <c r="L261" i="5"/>
  <c r="M261" i="5"/>
  <c r="N261" i="5"/>
  <c r="N260" i="5"/>
  <c r="L260" i="5"/>
  <c r="M260" i="5"/>
  <c r="K260" i="5"/>
  <c r="J260" i="5"/>
  <c r="N259" i="5"/>
  <c r="M259" i="5"/>
  <c r="L259" i="5"/>
  <c r="N258" i="5"/>
  <c r="M258" i="5"/>
  <c r="L258" i="5"/>
  <c r="K258" i="5"/>
  <c r="J258" i="5"/>
  <c r="N257" i="5"/>
  <c r="M257" i="5"/>
  <c r="L257" i="5"/>
  <c r="M256" i="5"/>
  <c r="L256" i="5"/>
  <c r="N256" i="5"/>
  <c r="L255" i="5"/>
  <c r="M255" i="5"/>
  <c r="N255" i="5"/>
  <c r="L254" i="5"/>
  <c r="N254" i="5"/>
  <c r="M253" i="5"/>
  <c r="J253" i="5"/>
  <c r="K253" i="5"/>
  <c r="N253" i="5"/>
  <c r="L253" i="5"/>
  <c r="M252" i="5"/>
  <c r="J252" i="5"/>
  <c r="K252" i="5"/>
  <c r="L252" i="5"/>
  <c r="N252" i="5"/>
  <c r="M250" i="5"/>
  <c r="L250" i="5"/>
  <c r="N250" i="5"/>
  <c r="N249" i="5"/>
  <c r="M249" i="5"/>
  <c r="N248" i="5"/>
  <c r="M248" i="5"/>
  <c r="L248" i="5"/>
  <c r="N247" i="5"/>
  <c r="J247" i="5"/>
  <c r="M247" i="5"/>
  <c r="K247" i="5"/>
  <c r="L247" i="5"/>
  <c r="K246" i="5"/>
  <c r="N246" i="5"/>
  <c r="L246" i="5"/>
  <c r="M246" i="5"/>
  <c r="J246" i="5"/>
  <c r="M245" i="5"/>
  <c r="K245" i="5"/>
  <c r="J245" i="5"/>
  <c r="N245" i="5"/>
  <c r="L245" i="5"/>
  <c r="M244" i="5"/>
  <c r="K244" i="5"/>
  <c r="J244" i="5"/>
  <c r="L244" i="5"/>
  <c r="N244" i="5"/>
  <c r="M243" i="5"/>
  <c r="L243" i="5"/>
  <c r="N243" i="5"/>
  <c r="K242" i="5"/>
  <c r="J242" i="5"/>
  <c r="N242" i="5"/>
  <c r="M242" i="5"/>
  <c r="L242" i="5"/>
  <c r="K240" i="5"/>
  <c r="N240" i="5"/>
  <c r="J240" i="5"/>
  <c r="L240" i="5"/>
  <c r="M240" i="5"/>
  <c r="N239" i="5"/>
  <c r="M239" i="5"/>
  <c r="L239" i="5"/>
  <c r="J239" i="5"/>
  <c r="K239" i="5"/>
  <c r="N237" i="5"/>
  <c r="J237" i="5"/>
  <c r="L237" i="5"/>
  <c r="M237" i="5"/>
  <c r="K237" i="5"/>
  <c r="L236" i="5"/>
  <c r="K236" i="5"/>
  <c r="J236" i="5"/>
  <c r="N236" i="5"/>
  <c r="M236" i="5"/>
  <c r="L235" i="5"/>
  <c r="M235" i="5"/>
  <c r="N235" i="5"/>
  <c r="L234" i="5"/>
  <c r="N234" i="5"/>
  <c r="M234" i="5"/>
  <c r="J234" i="5"/>
  <c r="K234" i="5"/>
  <c r="N233" i="5"/>
  <c r="M233" i="5"/>
  <c r="K233" i="5"/>
  <c r="J233" i="5"/>
  <c r="L233" i="5"/>
  <c r="L232" i="5"/>
  <c r="M232" i="5"/>
  <c r="N232" i="5"/>
  <c r="K231" i="5"/>
  <c r="M231" i="5"/>
  <c r="N231" i="5"/>
  <c r="J231" i="5"/>
  <c r="L231" i="5"/>
  <c r="L230" i="5"/>
  <c r="N230" i="5"/>
  <c r="M230" i="5"/>
  <c r="L229" i="5"/>
  <c r="N229" i="5"/>
  <c r="K229" i="5"/>
  <c r="J229" i="5"/>
  <c r="M229" i="5"/>
  <c r="L228" i="5"/>
  <c r="J228" i="5"/>
  <c r="M228" i="5"/>
  <c r="K228" i="5"/>
  <c r="N228" i="5"/>
  <c r="J227" i="5"/>
  <c r="K227" i="5"/>
  <c r="N227" i="5"/>
  <c r="M227" i="5"/>
  <c r="L227" i="5"/>
  <c r="L226" i="5"/>
  <c r="M226" i="5"/>
  <c r="N226" i="5"/>
  <c r="L225" i="5"/>
  <c r="N225" i="5"/>
  <c r="M225" i="5"/>
  <c r="K225" i="5"/>
  <c r="J225" i="5"/>
  <c r="L223" i="5"/>
  <c r="N223" i="5"/>
  <c r="M223" i="5"/>
  <c r="J223" i="5"/>
  <c r="K223" i="5"/>
  <c r="N222" i="5"/>
  <c r="M222" i="5"/>
  <c r="K222" i="5"/>
  <c r="J222" i="5"/>
  <c r="L222" i="5"/>
  <c r="L221" i="5"/>
  <c r="N221" i="5"/>
  <c r="M221" i="5"/>
  <c r="J220" i="5"/>
  <c r="N220" i="5"/>
  <c r="L220" i="5"/>
  <c r="M220" i="5"/>
  <c r="K220" i="5"/>
  <c r="M219" i="5"/>
  <c r="L219" i="5"/>
  <c r="J219" i="5"/>
  <c r="K219" i="5"/>
  <c r="N219" i="5"/>
  <c r="M218" i="5"/>
  <c r="L218" i="5"/>
  <c r="K218" i="5"/>
  <c r="N218" i="5"/>
  <c r="J218" i="5"/>
  <c r="M217" i="5"/>
  <c r="L217" i="5"/>
  <c r="N217" i="5"/>
  <c r="L216" i="5"/>
  <c r="M216" i="5"/>
  <c r="N216" i="5"/>
  <c r="K215" i="5"/>
  <c r="M215" i="5"/>
  <c r="L215" i="5"/>
  <c r="J215" i="5"/>
  <c r="N215" i="5"/>
  <c r="N214" i="5"/>
  <c r="L214" i="5"/>
  <c r="M214" i="5"/>
  <c r="L213" i="5"/>
  <c r="K213" i="5"/>
  <c r="J213" i="5"/>
  <c r="M213" i="5"/>
  <c r="N213" i="5"/>
  <c r="L211" i="5"/>
  <c r="J211" i="5"/>
  <c r="N211" i="5"/>
  <c r="K211" i="5"/>
  <c r="M211" i="5"/>
  <c r="L210" i="5"/>
  <c r="N210" i="5"/>
  <c r="M210" i="5"/>
  <c r="L208" i="5"/>
  <c r="J208" i="5"/>
  <c r="K208" i="5"/>
  <c r="N208" i="5"/>
  <c r="M208" i="5"/>
  <c r="L207" i="5"/>
  <c r="M207" i="5"/>
  <c r="N207" i="5"/>
  <c r="M206" i="5"/>
  <c r="L206" i="5"/>
  <c r="N206" i="5"/>
  <c r="N205" i="5"/>
  <c r="M205" i="5"/>
  <c r="M204" i="5"/>
  <c r="J204" i="5"/>
  <c r="K204" i="5"/>
  <c r="N204" i="5"/>
  <c r="L204" i="5"/>
  <c r="L203" i="5"/>
  <c r="N203" i="5"/>
  <c r="J203" i="5"/>
  <c r="M203" i="5"/>
  <c r="K203" i="5"/>
  <c r="L201" i="5"/>
  <c r="J201" i="5"/>
  <c r="K201" i="5"/>
  <c r="N201" i="5"/>
  <c r="M201" i="5"/>
  <c r="K199" i="5"/>
  <c r="M199" i="5"/>
  <c r="J199" i="5"/>
  <c r="L199" i="5"/>
  <c r="N199" i="5"/>
  <c r="L198" i="5"/>
  <c r="N198" i="5"/>
  <c r="M198" i="5"/>
  <c r="K198" i="5"/>
  <c r="J198" i="5"/>
  <c r="M196" i="5"/>
  <c r="L196" i="5"/>
  <c r="K196" i="5"/>
  <c r="J196" i="5"/>
  <c r="N196" i="5"/>
  <c r="N195" i="5"/>
  <c r="L195" i="5"/>
  <c r="M194" i="5"/>
  <c r="N194" i="5"/>
  <c r="L194" i="5"/>
  <c r="M193" i="5"/>
  <c r="N193" i="5"/>
  <c r="K193" i="5"/>
  <c r="J193" i="5"/>
  <c r="L193" i="5"/>
  <c r="M192" i="5"/>
  <c r="N192" i="5"/>
  <c r="L192" i="5"/>
  <c r="N191" i="5"/>
  <c r="J191" i="5"/>
  <c r="K191" i="5"/>
  <c r="L191" i="5"/>
  <c r="M191" i="5"/>
  <c r="L190" i="5"/>
  <c r="N190" i="5"/>
  <c r="M189" i="5"/>
  <c r="L189" i="5"/>
  <c r="N189" i="5"/>
  <c r="M188" i="5"/>
  <c r="N188" i="5"/>
  <c r="K188" i="5"/>
  <c r="J188" i="5"/>
  <c r="L188" i="5"/>
  <c r="M187" i="5"/>
  <c r="K187" i="5"/>
  <c r="J187" i="5"/>
  <c r="N187" i="5"/>
  <c r="L187" i="5"/>
  <c r="M186" i="5"/>
  <c r="J186" i="5"/>
  <c r="K186" i="5"/>
  <c r="L186" i="5"/>
  <c r="N186" i="5"/>
  <c r="M185" i="5"/>
  <c r="N185" i="5"/>
  <c r="N184" i="5"/>
  <c r="K184" i="5"/>
  <c r="J184" i="5"/>
  <c r="M184" i="5"/>
  <c r="L184" i="5"/>
  <c r="N183" i="5"/>
  <c r="K183" i="5"/>
  <c r="J183" i="5"/>
  <c r="M183" i="5"/>
  <c r="L183" i="5"/>
  <c r="M182" i="5"/>
  <c r="N182" i="5"/>
  <c r="N181" i="5"/>
  <c r="M181" i="5"/>
  <c r="L181" i="5"/>
  <c r="M180" i="5"/>
  <c r="N180" i="5"/>
  <c r="N178" i="5"/>
  <c r="M178" i="5"/>
  <c r="J178" i="5"/>
  <c r="K178" i="5"/>
  <c r="L178" i="5"/>
  <c r="N177" i="5"/>
  <c r="M177" i="5"/>
  <c r="J177" i="5"/>
  <c r="K177" i="5"/>
  <c r="L177" i="5"/>
  <c r="J176" i="5"/>
  <c r="K176" i="5"/>
  <c r="M176" i="5"/>
  <c r="L176" i="5"/>
  <c r="N176" i="5"/>
  <c r="M175" i="5"/>
  <c r="L175" i="5"/>
  <c r="N175" i="5"/>
  <c r="N173" i="5"/>
  <c r="M173" i="5"/>
  <c r="L172" i="5"/>
  <c r="M172" i="5"/>
  <c r="N172" i="5"/>
  <c r="K172" i="5"/>
  <c r="J172" i="5"/>
  <c r="N171" i="5"/>
  <c r="M171" i="5"/>
  <c r="L169" i="5"/>
  <c r="N169" i="5"/>
  <c r="J169" i="5"/>
  <c r="K169" i="5"/>
  <c r="M169" i="5"/>
  <c r="L168" i="5"/>
  <c r="N168" i="5"/>
  <c r="M168" i="5"/>
  <c r="L167" i="5"/>
  <c r="N167" i="5"/>
  <c r="M167" i="5"/>
  <c r="N166" i="5"/>
  <c r="M166" i="5"/>
  <c r="N164" i="5"/>
  <c r="L164" i="5"/>
  <c r="J164" i="5"/>
  <c r="K164" i="5"/>
  <c r="M164" i="5"/>
  <c r="N163" i="5"/>
  <c r="L163" i="5"/>
  <c r="M163" i="5"/>
  <c r="N162" i="5"/>
  <c r="K162" i="5"/>
  <c r="J162" i="5"/>
  <c r="M162" i="5"/>
  <c r="L162" i="5"/>
  <c r="N161" i="5"/>
  <c r="M161" i="5"/>
  <c r="L161" i="5"/>
  <c r="L160" i="5"/>
  <c r="M160" i="5"/>
  <c r="N160" i="5"/>
  <c r="L158" i="5"/>
  <c r="M158" i="5"/>
  <c r="K158" i="5"/>
  <c r="N158" i="5"/>
  <c r="J158" i="5"/>
  <c r="L157" i="5"/>
  <c r="M157" i="5"/>
  <c r="N157" i="5"/>
  <c r="J157" i="5"/>
  <c r="K157" i="5"/>
  <c r="N156" i="5"/>
  <c r="L156" i="5"/>
  <c r="M156" i="5"/>
  <c r="N155" i="5"/>
  <c r="M155" i="5"/>
  <c r="N154" i="5"/>
  <c r="L154" i="5"/>
  <c r="M154" i="5"/>
  <c r="N153" i="5"/>
  <c r="M153" i="5"/>
  <c r="J153" i="5"/>
  <c r="K153" i="5"/>
  <c r="L153" i="5"/>
  <c r="N152" i="5"/>
  <c r="J152" i="5"/>
  <c r="K152" i="5"/>
  <c r="L152" i="5"/>
  <c r="M152" i="5"/>
  <c r="N151" i="5"/>
  <c r="L151" i="5"/>
  <c r="M151" i="5"/>
  <c r="M150" i="5"/>
  <c r="K150" i="5"/>
  <c r="J150" i="5"/>
  <c r="L150" i="5"/>
  <c r="N150" i="5"/>
  <c r="N147" i="5"/>
  <c r="M147" i="5"/>
  <c r="K147" i="5"/>
  <c r="L147" i="5"/>
  <c r="J147" i="5"/>
  <c r="L146" i="5"/>
  <c r="N146" i="5"/>
  <c r="M146" i="5"/>
  <c r="K146" i="5"/>
  <c r="J146" i="5"/>
  <c r="L145" i="5"/>
  <c r="N145" i="5"/>
  <c r="M145" i="5"/>
  <c r="K145" i="5"/>
  <c r="J145" i="5"/>
  <c r="M143" i="5"/>
  <c r="L143" i="5"/>
  <c r="N143" i="5"/>
  <c r="N142" i="5"/>
  <c r="L142" i="5"/>
  <c r="M142" i="5"/>
  <c r="J142" i="5"/>
  <c r="K142" i="5"/>
  <c r="N140" i="5"/>
  <c r="L140" i="5"/>
  <c r="M140" i="5"/>
  <c r="J140" i="5"/>
  <c r="K140" i="5"/>
  <c r="N139" i="5"/>
  <c r="M139" i="5"/>
  <c r="N138" i="5"/>
  <c r="M138" i="5"/>
  <c r="L138" i="5"/>
  <c r="J138" i="5"/>
  <c r="K138" i="5"/>
  <c r="N137" i="5"/>
  <c r="L137" i="5"/>
  <c r="M137" i="5"/>
  <c r="J137" i="5"/>
  <c r="K137" i="5"/>
  <c r="L134" i="5"/>
  <c r="J134" i="5"/>
  <c r="M134" i="5"/>
  <c r="K134" i="5"/>
  <c r="N134" i="5"/>
  <c r="L133" i="5"/>
  <c r="M133" i="5"/>
  <c r="N133" i="5"/>
  <c r="J132" i="5"/>
  <c r="L132" i="5"/>
  <c r="N132" i="5"/>
  <c r="M132" i="5"/>
  <c r="K132" i="5"/>
  <c r="J131" i="5"/>
  <c r="K131" i="5"/>
  <c r="L131" i="5"/>
  <c r="M131" i="5"/>
  <c r="N131" i="5"/>
  <c r="K130" i="5"/>
  <c r="M130" i="5"/>
  <c r="L130" i="5"/>
  <c r="N130" i="5"/>
  <c r="J130" i="5"/>
  <c r="M129" i="5"/>
  <c r="N129" i="5"/>
  <c r="K127" i="5"/>
  <c r="M127" i="5"/>
  <c r="L127" i="5"/>
  <c r="J127" i="5"/>
  <c r="N127" i="5"/>
  <c r="N124" i="5"/>
  <c r="L124" i="5"/>
  <c r="M124" i="5"/>
  <c r="K124" i="5"/>
  <c r="J124" i="5"/>
  <c r="N123" i="5"/>
  <c r="K123" i="5"/>
  <c r="L123" i="5"/>
  <c r="J123" i="5"/>
  <c r="M123" i="5"/>
  <c r="N122" i="5"/>
  <c r="J122" i="5"/>
  <c r="M122" i="5"/>
  <c r="L122" i="5"/>
  <c r="K122" i="5"/>
  <c r="N121" i="5"/>
  <c r="M121" i="5"/>
  <c r="K121" i="5"/>
  <c r="J121" i="5"/>
  <c r="L121" i="5"/>
  <c r="N120" i="5"/>
  <c r="J120" i="5"/>
  <c r="K120" i="5"/>
  <c r="M120" i="5"/>
  <c r="L120" i="5"/>
  <c r="M119" i="5"/>
  <c r="L119" i="5"/>
  <c r="K119" i="5"/>
  <c r="N119" i="5"/>
  <c r="J119" i="5"/>
  <c r="K118" i="5"/>
  <c r="M118" i="5"/>
  <c r="J118" i="5"/>
  <c r="L118" i="5"/>
  <c r="N118" i="5"/>
  <c r="L117" i="5"/>
  <c r="M117" i="5"/>
  <c r="K117" i="5"/>
  <c r="N117" i="5"/>
  <c r="J117" i="5"/>
  <c r="M116" i="5"/>
  <c r="L116" i="5"/>
  <c r="N116" i="5"/>
  <c r="J116" i="5"/>
  <c r="K116" i="5"/>
  <c r="M115" i="5"/>
  <c r="N115" i="5"/>
  <c r="L115" i="5"/>
  <c r="J115" i="5"/>
  <c r="K115" i="5"/>
  <c r="N114" i="5"/>
  <c r="L114" i="5"/>
  <c r="M114" i="5"/>
  <c r="K114" i="5"/>
  <c r="J114" i="5"/>
  <c r="N113" i="5"/>
  <c r="L113" i="5"/>
  <c r="J113" i="5"/>
  <c r="M113" i="5"/>
  <c r="K113" i="5"/>
  <c r="N112" i="5"/>
  <c r="L112" i="5"/>
  <c r="K112" i="5"/>
  <c r="J112" i="5"/>
  <c r="M112" i="5"/>
  <c r="N111" i="5"/>
  <c r="J111" i="5"/>
  <c r="L111" i="5"/>
  <c r="M111" i="5"/>
  <c r="K111" i="5"/>
  <c r="N110" i="5"/>
  <c r="L110" i="5"/>
  <c r="M110" i="5"/>
  <c r="K110" i="5"/>
  <c r="J110" i="5"/>
  <c r="M109" i="5"/>
  <c r="J109" i="5"/>
  <c r="L109" i="5"/>
  <c r="K109" i="5"/>
  <c r="N109" i="5"/>
  <c r="J108" i="5"/>
  <c r="K108" i="5"/>
  <c r="N108" i="5"/>
  <c r="L108" i="5"/>
  <c r="M108" i="5"/>
  <c r="J107" i="5"/>
  <c r="K107" i="5"/>
  <c r="M107" i="5"/>
  <c r="N107" i="5"/>
  <c r="L107" i="5"/>
  <c r="K106" i="5"/>
  <c r="J106" i="5"/>
  <c r="M106" i="5"/>
  <c r="N106" i="5"/>
  <c r="L106" i="5"/>
  <c r="K105" i="5"/>
  <c r="L105" i="5"/>
  <c r="M105" i="5"/>
  <c r="N105" i="5"/>
  <c r="J105" i="5"/>
  <c r="L104" i="5"/>
  <c r="M104" i="5"/>
  <c r="N104" i="5"/>
  <c r="K104" i="5"/>
  <c r="J104" i="5"/>
  <c r="N103" i="5"/>
  <c r="J103" i="5"/>
  <c r="K103" i="5"/>
  <c r="M103" i="5"/>
  <c r="L103" i="5"/>
  <c r="M102" i="5"/>
  <c r="L102" i="5"/>
  <c r="N102" i="5"/>
  <c r="J102" i="5"/>
  <c r="K102" i="5"/>
  <c r="L101" i="5"/>
  <c r="J101" i="5"/>
  <c r="N101" i="5"/>
  <c r="M101" i="5"/>
  <c r="K101" i="5"/>
  <c r="M100" i="5"/>
  <c r="L100" i="5"/>
  <c r="K100" i="5"/>
  <c r="J100" i="5"/>
  <c r="N100" i="5"/>
  <c r="L99" i="5"/>
  <c r="N99" i="5"/>
  <c r="M99" i="5"/>
  <c r="K99" i="5"/>
  <c r="J99" i="5"/>
  <c r="M98" i="5"/>
  <c r="N98" i="5"/>
  <c r="L98" i="5"/>
  <c r="K98" i="5"/>
  <c r="J98" i="5"/>
  <c r="M97" i="5"/>
  <c r="N97" i="5"/>
  <c r="L97" i="5"/>
  <c r="K97" i="5"/>
  <c r="J97" i="5"/>
  <c r="L96" i="5"/>
  <c r="M96" i="5"/>
  <c r="N96" i="5"/>
  <c r="K96" i="5"/>
  <c r="J96" i="5"/>
  <c r="N95" i="5"/>
  <c r="M95" i="5"/>
  <c r="L95" i="5"/>
  <c r="K95" i="5"/>
  <c r="J95" i="5"/>
  <c r="K94" i="5"/>
  <c r="N94" i="5"/>
  <c r="L94" i="5"/>
  <c r="M94" i="5"/>
  <c r="J94" i="5"/>
  <c r="N93" i="5"/>
  <c r="K93" i="5"/>
  <c r="J93" i="5"/>
  <c r="M93" i="5"/>
  <c r="L93" i="5"/>
  <c r="M92" i="5"/>
  <c r="L92" i="5"/>
  <c r="J92" i="5"/>
  <c r="N92" i="5"/>
  <c r="K92" i="5"/>
  <c r="L91" i="5"/>
  <c r="K91" i="5"/>
  <c r="M91" i="5"/>
  <c r="N91" i="5"/>
  <c r="J91" i="5"/>
  <c r="L90" i="5"/>
  <c r="M90" i="5"/>
  <c r="N90" i="5"/>
  <c r="J90" i="5"/>
  <c r="K90" i="5"/>
  <c r="L89" i="5"/>
  <c r="M89" i="5"/>
  <c r="J89" i="5"/>
  <c r="K89" i="5"/>
  <c r="N89" i="5"/>
  <c r="M88" i="5"/>
  <c r="N88" i="5"/>
  <c r="J88" i="5"/>
  <c r="K88" i="5"/>
  <c r="L88" i="5"/>
  <c r="M87" i="5"/>
  <c r="N87" i="5"/>
  <c r="L87" i="5"/>
  <c r="J87" i="5"/>
  <c r="K87" i="5"/>
  <c r="L86" i="5"/>
  <c r="J86" i="5"/>
  <c r="N86" i="5"/>
  <c r="M86" i="5"/>
  <c r="K86" i="5"/>
  <c r="L85" i="5"/>
  <c r="N85" i="5"/>
  <c r="K85" i="5"/>
  <c r="M85" i="5"/>
  <c r="J85" i="5"/>
  <c r="L84" i="5"/>
  <c r="M84" i="5"/>
  <c r="N84" i="5"/>
  <c r="K84" i="5"/>
  <c r="J84" i="5"/>
  <c r="L83" i="5"/>
  <c r="M83" i="5"/>
  <c r="N83" i="5"/>
  <c r="J83" i="5"/>
  <c r="K83" i="5"/>
  <c r="M82" i="5"/>
  <c r="L82" i="5"/>
  <c r="J82" i="5"/>
  <c r="K82" i="5"/>
  <c r="N82" i="5"/>
  <c r="L81" i="5"/>
  <c r="M81" i="5"/>
  <c r="N81" i="5"/>
  <c r="K81" i="5"/>
  <c r="J81" i="5"/>
  <c r="K80" i="5"/>
  <c r="J80" i="5"/>
  <c r="M80" i="5"/>
  <c r="N80" i="5"/>
  <c r="L80" i="5"/>
  <c r="L79" i="5"/>
  <c r="J79" i="5"/>
  <c r="M79" i="5"/>
  <c r="K79" i="5"/>
  <c r="N79" i="5"/>
  <c r="K78" i="5"/>
  <c r="N78" i="5"/>
  <c r="J78" i="5"/>
  <c r="M78" i="5"/>
  <c r="L78" i="5"/>
  <c r="K77" i="5"/>
  <c r="J77" i="5"/>
  <c r="M77" i="5"/>
  <c r="L77" i="5"/>
  <c r="N77" i="5"/>
  <c r="K76" i="5"/>
  <c r="J76" i="5"/>
  <c r="N76" i="5"/>
  <c r="M76" i="5"/>
  <c r="L76" i="5"/>
  <c r="J75" i="5"/>
  <c r="K75" i="5"/>
  <c r="N75" i="5"/>
  <c r="M75" i="5"/>
  <c r="L75" i="5"/>
  <c r="K74" i="5"/>
  <c r="J74" i="5"/>
  <c r="M74" i="5"/>
  <c r="N74" i="5"/>
  <c r="L74" i="5"/>
  <c r="L73" i="5"/>
  <c r="K73" i="5"/>
  <c r="J73" i="5"/>
  <c r="M73" i="5"/>
  <c r="N73" i="5"/>
  <c r="K72" i="5"/>
  <c r="M72" i="5"/>
  <c r="N72" i="5"/>
  <c r="J72" i="5"/>
  <c r="L72" i="5"/>
  <c r="N71" i="5"/>
  <c r="K71" i="5"/>
  <c r="L71" i="5"/>
  <c r="M71" i="5"/>
  <c r="J71" i="5"/>
  <c r="L70" i="5"/>
  <c r="N70" i="5"/>
  <c r="M70" i="5"/>
  <c r="K70" i="5"/>
  <c r="J70" i="5"/>
  <c r="L69" i="5"/>
  <c r="J69" i="5"/>
  <c r="K69" i="5"/>
  <c r="M69" i="5"/>
  <c r="N69" i="5"/>
  <c r="K68" i="5"/>
  <c r="M68" i="5"/>
  <c r="J68" i="5"/>
  <c r="L68" i="5"/>
  <c r="N68" i="5"/>
  <c r="L67" i="5"/>
  <c r="M67" i="5"/>
  <c r="N67" i="5"/>
  <c r="J67" i="5"/>
  <c r="K67" i="5"/>
  <c r="M66" i="5"/>
  <c r="L66" i="5"/>
  <c r="K66" i="5"/>
  <c r="J66" i="5"/>
  <c r="N66" i="5"/>
  <c r="M65" i="5"/>
  <c r="K65" i="5"/>
  <c r="J65" i="5"/>
  <c r="L65" i="5"/>
  <c r="N65" i="5"/>
  <c r="N64" i="5"/>
  <c r="M64" i="5"/>
  <c r="K64" i="5"/>
  <c r="J64" i="5"/>
  <c r="L64" i="5"/>
  <c r="J63" i="5"/>
  <c r="M63" i="5"/>
  <c r="N63" i="5"/>
  <c r="L63" i="5"/>
  <c r="K63" i="5"/>
  <c r="J62" i="5"/>
  <c r="K62" i="5"/>
  <c r="L62" i="5"/>
  <c r="M62" i="5"/>
  <c r="N62" i="5"/>
  <c r="K61" i="5"/>
  <c r="L61" i="5"/>
  <c r="J61" i="5"/>
  <c r="N61" i="5"/>
  <c r="M61" i="5"/>
  <c r="M60" i="5"/>
  <c r="L60" i="5"/>
  <c r="J60" i="5"/>
  <c r="K60" i="5"/>
  <c r="N60" i="5"/>
  <c r="J59" i="5"/>
  <c r="M59" i="5"/>
  <c r="L59" i="5"/>
  <c r="K59" i="5"/>
  <c r="N59" i="5"/>
  <c r="J58" i="5"/>
  <c r="M58" i="5"/>
  <c r="L58" i="5"/>
  <c r="K58" i="5"/>
  <c r="N58" i="5"/>
  <c r="K57" i="5"/>
  <c r="L57" i="5"/>
  <c r="J57" i="5"/>
  <c r="N57" i="5"/>
  <c r="M57" i="5"/>
  <c r="N56" i="5"/>
  <c r="L56" i="5"/>
  <c r="M56" i="5"/>
  <c r="J56" i="5"/>
  <c r="K56" i="5"/>
  <c r="L55" i="5"/>
  <c r="J55" i="5"/>
  <c r="M55" i="5"/>
  <c r="K55" i="5"/>
  <c r="N55" i="5"/>
  <c r="N54" i="5"/>
  <c r="M54" i="5"/>
  <c r="L54" i="5"/>
  <c r="K54" i="5"/>
  <c r="J54" i="5"/>
  <c r="M53" i="5"/>
  <c r="J53" i="5"/>
  <c r="K53" i="5"/>
  <c r="L53" i="5"/>
  <c r="N53" i="5"/>
  <c r="J52" i="5"/>
  <c r="L52" i="5"/>
  <c r="K52" i="5"/>
  <c r="M52" i="5"/>
  <c r="N52" i="5"/>
  <c r="K51" i="5"/>
  <c r="N51" i="5"/>
  <c r="M51" i="5"/>
  <c r="L51" i="5"/>
  <c r="J51" i="5"/>
  <c r="M50" i="5"/>
  <c r="N50" i="5"/>
  <c r="L50" i="5"/>
  <c r="K50" i="5"/>
  <c r="J50" i="5"/>
  <c r="N49" i="5"/>
  <c r="M49" i="5"/>
  <c r="L49" i="5"/>
  <c r="K49" i="5"/>
  <c r="J49" i="5"/>
  <c r="N48" i="5"/>
  <c r="M48" i="5"/>
  <c r="L48" i="5"/>
  <c r="K48" i="5"/>
  <c r="J48" i="5"/>
  <c r="N47" i="5"/>
  <c r="M47" i="5"/>
  <c r="L47" i="5"/>
  <c r="K47" i="5"/>
  <c r="J47" i="5"/>
  <c r="N46" i="5"/>
  <c r="L46" i="5"/>
  <c r="M46" i="5"/>
  <c r="K46" i="5"/>
  <c r="J46" i="5"/>
  <c r="L45" i="5"/>
  <c r="N45" i="5"/>
  <c r="M45" i="5"/>
  <c r="K45" i="5"/>
  <c r="J45" i="5"/>
  <c r="M44" i="5"/>
  <c r="L44" i="5"/>
  <c r="N44" i="5"/>
  <c r="K44" i="5"/>
  <c r="J44" i="5"/>
  <c r="N43" i="5"/>
  <c r="L43" i="5"/>
  <c r="M43" i="5"/>
  <c r="K43" i="5"/>
  <c r="J43" i="5"/>
  <c r="M42" i="5"/>
  <c r="N42" i="5"/>
  <c r="L42" i="5"/>
  <c r="K42" i="5"/>
  <c r="J42" i="5"/>
  <c r="L41" i="5"/>
  <c r="N41" i="5"/>
  <c r="K41" i="5"/>
  <c r="M41" i="5"/>
  <c r="J41" i="5"/>
  <c r="M40" i="5"/>
  <c r="J40" i="5"/>
  <c r="K40" i="5"/>
  <c r="L40" i="5"/>
  <c r="N40" i="5"/>
  <c r="M39" i="5"/>
  <c r="J39" i="5"/>
  <c r="K39" i="5"/>
  <c r="L39" i="5"/>
  <c r="N39" i="5"/>
  <c r="J38" i="5"/>
  <c r="K38" i="5"/>
  <c r="L38" i="5"/>
  <c r="M38" i="5"/>
  <c r="N38" i="5"/>
  <c r="N37" i="5"/>
  <c r="M37" i="5"/>
  <c r="K37" i="5"/>
  <c r="L37" i="5"/>
  <c r="J37" i="5"/>
  <c r="M36" i="5"/>
  <c r="N36" i="5"/>
  <c r="J36" i="5"/>
  <c r="K36" i="5"/>
  <c r="L36" i="5"/>
  <c r="M35" i="5"/>
  <c r="K35" i="5"/>
  <c r="J35" i="5"/>
  <c r="N35" i="5"/>
  <c r="L35" i="5"/>
  <c r="J34" i="5"/>
  <c r="K34" i="5"/>
  <c r="M34" i="5"/>
  <c r="L34" i="5"/>
  <c r="N34" i="5"/>
  <c r="M33" i="5"/>
  <c r="K33" i="5"/>
  <c r="N33" i="5"/>
  <c r="J33" i="5"/>
  <c r="L33" i="5"/>
  <c r="K32" i="5"/>
  <c r="M32" i="5"/>
  <c r="J32" i="5"/>
  <c r="L32" i="5"/>
  <c r="N32" i="5"/>
  <c r="L31" i="5"/>
  <c r="J31" i="5"/>
  <c r="M31" i="5"/>
  <c r="N31" i="5"/>
  <c r="K31" i="5"/>
  <c r="M30" i="5"/>
  <c r="L30" i="5"/>
  <c r="N30" i="5"/>
  <c r="J30" i="5"/>
  <c r="K30" i="5"/>
  <c r="L29" i="5"/>
  <c r="M29" i="5"/>
  <c r="J29" i="5"/>
  <c r="N29" i="5"/>
  <c r="K29" i="5"/>
  <c r="N28" i="5"/>
  <c r="L28" i="5"/>
  <c r="M28" i="5"/>
  <c r="J28" i="5"/>
  <c r="K28" i="5"/>
  <c r="N27" i="5"/>
  <c r="L27" i="5"/>
  <c r="J27" i="5"/>
  <c r="K27" i="5"/>
  <c r="M27" i="5"/>
  <c r="M26" i="5"/>
  <c r="J26" i="5"/>
  <c r="N26" i="5"/>
  <c r="L26" i="5"/>
  <c r="K26" i="5"/>
  <c r="M25" i="5"/>
  <c r="N25" i="5"/>
  <c r="L25" i="5"/>
  <c r="K25" i="5"/>
  <c r="J25" i="5"/>
  <c r="M24" i="5"/>
  <c r="L24" i="5"/>
  <c r="N24" i="5"/>
  <c r="K24" i="5"/>
  <c r="J24" i="5"/>
  <c r="M23" i="5"/>
  <c r="N23" i="5"/>
  <c r="L23" i="5"/>
  <c r="K23" i="5"/>
  <c r="J23" i="5"/>
  <c r="M22" i="5"/>
  <c r="N22" i="5"/>
  <c r="L22" i="5"/>
  <c r="K22" i="5"/>
  <c r="J22" i="5"/>
  <c r="N21" i="5"/>
  <c r="L21" i="5"/>
  <c r="M21" i="5"/>
  <c r="K21" i="5"/>
  <c r="J21" i="5"/>
  <c r="M20" i="5"/>
  <c r="N20" i="5"/>
  <c r="K20" i="5"/>
  <c r="L20" i="5"/>
  <c r="J20" i="5"/>
  <c r="N18" i="5"/>
  <c r="M18" i="5"/>
  <c r="J18" i="5"/>
  <c r="K18" i="5"/>
  <c r="L18" i="5"/>
  <c r="N17" i="5"/>
  <c r="J17" i="5"/>
  <c r="K17" i="5"/>
  <c r="M17" i="5"/>
  <c r="L17" i="5"/>
  <c r="N16" i="5"/>
  <c r="L16" i="5"/>
  <c r="M16" i="5"/>
  <c r="J16" i="5"/>
  <c r="K16" i="5"/>
  <c r="N15" i="5"/>
  <c r="L15" i="5"/>
  <c r="M15" i="5"/>
  <c r="K15" i="5"/>
  <c r="J15" i="5"/>
  <c r="N14" i="5"/>
  <c r="M14" i="5"/>
  <c r="L14" i="5"/>
  <c r="K14" i="5"/>
  <c r="J14" i="5"/>
  <c r="N13" i="5"/>
  <c r="M13" i="5"/>
  <c r="L13" i="5"/>
  <c r="J13" i="5"/>
  <c r="K13" i="5"/>
  <c r="N12" i="5"/>
  <c r="L12" i="5"/>
  <c r="M12" i="5"/>
  <c r="K12" i="5"/>
  <c r="J12" i="5"/>
  <c r="M11" i="5"/>
  <c r="N11" i="5"/>
  <c r="L11" i="5"/>
  <c r="K11" i="5"/>
  <c r="J11" i="5"/>
  <c r="L10" i="5"/>
  <c r="M10" i="5"/>
  <c r="N10" i="5"/>
  <c r="K10" i="5"/>
  <c r="J10" i="5"/>
</calcChain>
</file>

<file path=xl/sharedStrings.xml><?xml version="1.0" encoding="utf-8"?>
<sst xmlns="http://schemas.openxmlformats.org/spreadsheetml/2006/main" count="22185" uniqueCount="1569">
  <si>
    <t>Commodity: Copper</t>
  </si>
  <si>
    <t>Scenario:  Market Intelligence 2024 Constant USD</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</si>
  <si>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</si>
  <si>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</si>
  <si>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</si>
  <si>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</si>
  <si>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</si>
  <si>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</si>
  <si>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</si>
  <si>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</si>
  <si>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</si>
  <si>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</si>
  <si>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</si>
  <si>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Treated
(kilotonnes)</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</si>
  <si>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</si>
  <si>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</si>
  <si>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</si>
  <si>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</si>
  <si>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</si>
  <si>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</si>
  <si>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</si>
  <si>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</si>
  <si>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</si>
  <si>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</si>
  <si>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Total Minesite
Cost ($/tonne)</t>
  </si>
  <si>
    <t xml:space="preserve"> Transport and
Offsite Cost
($/tonne)</t>
  </si>
  <si>
    <t xml:space="preserve"> Treatment &amp;
Refining Charges
($/tonne)</t>
  </si>
  <si>
    <t xml:space="preserve"> Cash Operating
Cost ($/tonne)</t>
  </si>
  <si>
    <t xml:space="preserve"> Royalty Cost
($/tonne)</t>
  </si>
  <si>
    <t xml:space="preserve"> Total Cash
Cost ($/tonne)</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</si>
  <si>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</si>
  <si>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</si>
  <si>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</si>
  <si>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</si>
  <si>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</si>
  <si>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</si>
  <si>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</si>
  <si>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</si>
  <si>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</si>
  <si>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</si>
  <si>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</si>
  <si>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</si>
  <si>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</si>
  <si>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</si>
  <si>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</si>
  <si>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 xml:space="preserve"> Gross Revenue
($/tonne)</t>
  </si>
  <si>
    <t xml:space="preserve"> Cash Operating
Margin ($/tonne)</t>
  </si>
  <si>
    <t xml:space="preserve"> Total Cash
Margin ($/tonne)</t>
  </si>
  <si>
    <t>Antamina</t>
  </si>
  <si>
    <t>27115</t>
  </si>
  <si>
    <t>Peru</t>
  </si>
  <si>
    <t>Antapaccay</t>
  </si>
  <si>
    <t>36915</t>
  </si>
  <si>
    <t>Antas</t>
  </si>
  <si>
    <t>35780</t>
  </si>
  <si>
    <t>Brazil</t>
  </si>
  <si>
    <t>Antucoya</t>
  </si>
  <si>
    <t>30340</t>
  </si>
  <si>
    <t>Chile</t>
  </si>
  <si>
    <t>Ashele</t>
  </si>
  <si>
    <t>28228</t>
  </si>
  <si>
    <t>China</t>
  </si>
  <si>
    <t>Bairen</t>
  </si>
  <si>
    <t>81247</t>
  </si>
  <si>
    <t>Baita Plai</t>
  </si>
  <si>
    <t>75735</t>
  </si>
  <si>
    <t>Romania</t>
  </si>
  <si>
    <t>Aktogay SX-EW</t>
  </si>
  <si>
    <t>79434</t>
  </si>
  <si>
    <t>Kazakhstan</t>
  </si>
  <si>
    <t>Alex</t>
  </si>
  <si>
    <t>81253</t>
  </si>
  <si>
    <t>Aljustrel</t>
  </si>
  <si>
    <t>26483</t>
  </si>
  <si>
    <t>Portugal</t>
  </si>
  <si>
    <t>Anqing</t>
  </si>
  <si>
    <t>27467</t>
  </si>
  <si>
    <t>Bagdad</t>
  </si>
  <si>
    <t>24518</t>
  </si>
  <si>
    <t>USA</t>
  </si>
  <si>
    <t>Bingham Canyon</t>
  </si>
  <si>
    <t>24783</t>
  </si>
  <si>
    <t>Bizhigou</t>
  </si>
  <si>
    <t>80814</t>
  </si>
  <si>
    <t>Bashkir</t>
  </si>
  <si>
    <t>30486</t>
  </si>
  <si>
    <t>Russia</t>
  </si>
  <si>
    <t>Boddington</t>
  </si>
  <si>
    <t>25613</t>
  </si>
  <si>
    <t>Australia</t>
  </si>
  <si>
    <t>Bystrinskoye</t>
  </si>
  <si>
    <t>33413</t>
  </si>
  <si>
    <t>Candelaria</t>
  </si>
  <si>
    <t>27244</t>
  </si>
  <si>
    <t>Caserones</t>
  </si>
  <si>
    <t>29152</t>
  </si>
  <si>
    <t>Centinela Sulfide</t>
  </si>
  <si>
    <t>30972</t>
  </si>
  <si>
    <t>Cerro Verde</t>
  </si>
  <si>
    <t>27055</t>
  </si>
  <si>
    <t>Boliden Area</t>
  </si>
  <si>
    <t>27166</t>
  </si>
  <si>
    <t>Sweden</t>
  </si>
  <si>
    <t>Booysendal South</t>
  </si>
  <si>
    <t>38707</t>
  </si>
  <si>
    <t>South Africa</t>
  </si>
  <si>
    <t>Bozymchak</t>
  </si>
  <si>
    <t>35199</t>
  </si>
  <si>
    <t>Kyrgyzstan</t>
  </si>
  <si>
    <t>Buenavista</t>
  </si>
  <si>
    <t>26672</t>
  </si>
  <si>
    <t>Mexico</t>
  </si>
  <si>
    <t>Buenavista SX-EW</t>
  </si>
  <si>
    <t>75974</t>
  </si>
  <si>
    <t>Buribayevsky</t>
  </si>
  <si>
    <t>33190</t>
  </si>
  <si>
    <t>Capela</t>
  </si>
  <si>
    <t>27826</t>
  </si>
  <si>
    <t>Cerro Verde SX-EW</t>
  </si>
  <si>
    <t>75975</t>
  </si>
  <si>
    <t>Chambishi</t>
  </si>
  <si>
    <t>28268</t>
  </si>
  <si>
    <t>Zambia</t>
  </si>
  <si>
    <t>Chibuluma South</t>
  </si>
  <si>
    <t>31323</t>
  </si>
  <si>
    <t>Chino</t>
  </si>
  <si>
    <t>24733</t>
  </si>
  <si>
    <t>Chuquicamata</t>
  </si>
  <si>
    <t>26697</t>
  </si>
  <si>
    <t>Cosala</t>
  </si>
  <si>
    <t>30268</t>
  </si>
  <si>
    <t>Cozamin</t>
  </si>
  <si>
    <t>32931</t>
  </si>
  <si>
    <t>Carrapateena</t>
  </si>
  <si>
    <t>33838</t>
  </si>
  <si>
    <t>Cayeli</t>
  </si>
  <si>
    <t>25754</t>
  </si>
  <si>
    <t>Türkiye</t>
  </si>
  <si>
    <t>Centinela Oxide</t>
  </si>
  <si>
    <t>27981</t>
  </si>
  <si>
    <t>Cerro Corona</t>
  </si>
  <si>
    <t>28818</t>
  </si>
  <si>
    <t>Cerro Lindo</t>
  </si>
  <si>
    <t>29509</t>
  </si>
  <si>
    <t>Chapada</t>
  </si>
  <si>
    <t>29357</t>
  </si>
  <si>
    <t>Chelopech</t>
  </si>
  <si>
    <t>28244</t>
  </si>
  <si>
    <t>Bulgaria</t>
  </si>
  <si>
    <t>Dahongshan</t>
  </si>
  <si>
    <t>29744</t>
  </si>
  <si>
    <t>Dapingzhang</t>
  </si>
  <si>
    <t>35291</t>
  </si>
  <si>
    <t>Datong</t>
  </si>
  <si>
    <t>80818</t>
  </si>
  <si>
    <t>Didipio</t>
  </si>
  <si>
    <t>28530</t>
  </si>
  <si>
    <t>Philippines</t>
  </si>
  <si>
    <t>Eagle</t>
  </si>
  <si>
    <t>33795</t>
  </si>
  <si>
    <t>East Region Operations</t>
  </si>
  <si>
    <t>30277</t>
  </si>
  <si>
    <t>El Soldado</t>
  </si>
  <si>
    <t>26722</t>
  </si>
  <si>
    <t>Amandelbult</t>
  </si>
  <si>
    <t>31295</t>
  </si>
  <si>
    <t>Amawusu</t>
  </si>
  <si>
    <t>81246</t>
  </si>
  <si>
    <t>Andina Division</t>
  </si>
  <si>
    <t>27525</t>
  </si>
  <si>
    <t>Aranzazu</t>
  </si>
  <si>
    <t>30526</t>
  </si>
  <si>
    <t>Asientos</t>
  </si>
  <si>
    <t>31282</t>
  </si>
  <si>
    <t>Baiyin Shenbu</t>
  </si>
  <si>
    <t>80829</t>
  </si>
  <si>
    <t>Baiyunshan</t>
  </si>
  <si>
    <t>80812</t>
  </si>
  <si>
    <t>Aitik</t>
  </si>
  <si>
    <t>27291</t>
  </si>
  <si>
    <t>Aktogay</t>
  </si>
  <si>
    <t>28811</t>
  </si>
  <si>
    <t>Aripuana</t>
  </si>
  <si>
    <t>29814</t>
  </si>
  <si>
    <t>Atlas Toledo</t>
  </si>
  <si>
    <t>26908</t>
  </si>
  <si>
    <t>Avino</t>
  </si>
  <si>
    <t>26257</t>
  </si>
  <si>
    <t>Baiyin Changtong</t>
  </si>
  <si>
    <t>28734</t>
  </si>
  <si>
    <t>Bor Basin</t>
  </si>
  <si>
    <t>27543</t>
  </si>
  <si>
    <t>Serbia</t>
  </si>
  <si>
    <t>Chuquicamata SX-EW</t>
  </si>
  <si>
    <t>75977</t>
  </si>
  <si>
    <t>Dajingzi</t>
  </si>
  <si>
    <t>81250</t>
  </si>
  <si>
    <t>Deflector</t>
  </si>
  <si>
    <t>28512</t>
  </si>
  <si>
    <t>Dongjin</t>
  </si>
  <si>
    <t>81258</t>
  </si>
  <si>
    <t>Dongshengmiao</t>
  </si>
  <si>
    <t>80256</t>
  </si>
  <si>
    <t>Duobaoshan</t>
  </si>
  <si>
    <t>33791</t>
  </si>
  <si>
    <t>East Yellow Mountain</t>
  </si>
  <si>
    <t>33386</t>
  </si>
  <si>
    <t>El Brocal</t>
  </si>
  <si>
    <t>26711</t>
  </si>
  <si>
    <t>El Teniente SX-EW</t>
  </si>
  <si>
    <t>75978</t>
  </si>
  <si>
    <t>Etoile</t>
  </si>
  <si>
    <t>36399</t>
  </si>
  <si>
    <t>Dem. Rep. Congo</t>
  </si>
  <si>
    <t>Fenghuangshan</t>
  </si>
  <si>
    <t>29286</t>
  </si>
  <si>
    <t>Frontier</t>
  </si>
  <si>
    <t>32917</t>
  </si>
  <si>
    <t>Fuyuan</t>
  </si>
  <si>
    <t>81248</t>
  </si>
  <si>
    <t>Gibraltar</t>
  </si>
  <si>
    <t>26577</t>
  </si>
  <si>
    <t>Canada</t>
  </si>
  <si>
    <t>El Teniente Tailings</t>
  </si>
  <si>
    <t>32770</t>
  </si>
  <si>
    <t>Ernest Henry</t>
  </si>
  <si>
    <t>28428</t>
  </si>
  <si>
    <t>Erzhulong</t>
  </si>
  <si>
    <t>81213</t>
  </si>
  <si>
    <t>Fengjiashan</t>
  </si>
  <si>
    <t>81205</t>
  </si>
  <si>
    <t>Garpenberg</t>
  </si>
  <si>
    <t>29632</t>
  </si>
  <si>
    <t>Guelb Moghrein</t>
  </si>
  <si>
    <t>28286</t>
  </si>
  <si>
    <t>Mauritania</t>
  </si>
  <si>
    <t>Highland Valley</t>
  </si>
  <si>
    <t>26575</t>
  </si>
  <si>
    <t>Hunchun</t>
  </si>
  <si>
    <t>33149</t>
  </si>
  <si>
    <t>Impala Bafokeng</t>
  </si>
  <si>
    <t>30267</t>
  </si>
  <si>
    <t>Jinchuan</t>
  </si>
  <si>
    <t>27136</t>
  </si>
  <si>
    <t>Jingbian</t>
  </si>
  <si>
    <t>80803</t>
  </si>
  <si>
    <t>Jixing</t>
  </si>
  <si>
    <t>80808</t>
  </si>
  <si>
    <t>Kainantu</t>
  </si>
  <si>
    <t>31239</t>
  </si>
  <si>
    <t>Papua New Guinea</t>
  </si>
  <si>
    <t>Kalongwe</t>
  </si>
  <si>
    <t>38132</t>
  </si>
  <si>
    <t>Bozshakol</t>
  </si>
  <si>
    <t>29312</t>
  </si>
  <si>
    <t>Bulyanhulu</t>
  </si>
  <si>
    <t>27160</t>
  </si>
  <si>
    <t>Tanzania</t>
  </si>
  <si>
    <t>Campo Morado</t>
  </si>
  <si>
    <t>29404</t>
  </si>
  <si>
    <t>Cerro de Maimon</t>
  </si>
  <si>
    <t>25700</t>
  </si>
  <si>
    <t>Dominican Republic</t>
  </si>
  <si>
    <t>Chengmenshan</t>
  </si>
  <si>
    <t>33372</t>
  </si>
  <si>
    <t>Chino SX-EW</t>
  </si>
  <si>
    <t>75976</t>
  </si>
  <si>
    <t>Cobar</t>
  </si>
  <si>
    <t>28004</t>
  </si>
  <si>
    <t>Kisanfu</t>
  </si>
  <si>
    <t>35320</t>
  </si>
  <si>
    <t>Konkola</t>
  </si>
  <si>
    <t>29352</t>
  </si>
  <si>
    <t>La Caridad</t>
  </si>
  <si>
    <t>27342</t>
  </si>
  <si>
    <t>Lanniping</t>
  </si>
  <si>
    <t>81195</t>
  </si>
  <si>
    <t>LaRonde</t>
  </si>
  <si>
    <t>25790</t>
  </si>
  <si>
    <t>Las Bambas</t>
  </si>
  <si>
    <t>27804</t>
  </si>
  <si>
    <t>Lindero</t>
  </si>
  <si>
    <t>32363</t>
  </si>
  <si>
    <t>Argentina</t>
  </si>
  <si>
    <t>Hemeida Industrial and Trading Company</t>
  </si>
  <si>
    <t>81231</t>
  </si>
  <si>
    <t>Hongwei</t>
  </si>
  <si>
    <t>81204</t>
  </si>
  <si>
    <t>Huzhan</t>
  </si>
  <si>
    <t>80804</t>
  </si>
  <si>
    <t>IMMSA</t>
  </si>
  <si>
    <t>29434</t>
  </si>
  <si>
    <t>Jiama</t>
  </si>
  <si>
    <t>32856</t>
  </si>
  <si>
    <t>Jilongshan</t>
  </si>
  <si>
    <t>34035</t>
  </si>
  <si>
    <t>Julcani</t>
  </si>
  <si>
    <t>28605</t>
  </si>
  <si>
    <t>Collahuasi</t>
  </si>
  <si>
    <t>27283</t>
  </si>
  <si>
    <t>Continental</t>
  </si>
  <si>
    <t>24673</t>
  </si>
  <si>
    <t>Copper Mountain</t>
  </si>
  <si>
    <t>26105</t>
  </si>
  <si>
    <t>Daluowan</t>
  </si>
  <si>
    <t>81201</t>
  </si>
  <si>
    <t>Deziwa</t>
  </si>
  <si>
    <t>36928</t>
  </si>
  <si>
    <t>Dongguashan</t>
  </si>
  <si>
    <t>29285</t>
  </si>
  <si>
    <t>El Abra</t>
  </si>
  <si>
    <t>27678</t>
  </si>
  <si>
    <t>Liwan</t>
  </si>
  <si>
    <t>80834</t>
  </si>
  <si>
    <t>Los Bronces</t>
  </si>
  <si>
    <t>26723</t>
  </si>
  <si>
    <t>Los Bronces SX-EW</t>
  </si>
  <si>
    <t>75986</t>
  </si>
  <si>
    <t>Lubambe</t>
  </si>
  <si>
    <t>28837</t>
  </si>
  <si>
    <t>Luojiahe</t>
  </si>
  <si>
    <t>80813</t>
  </si>
  <si>
    <t>Manitoba Division</t>
  </si>
  <si>
    <t>26560</t>
  </si>
  <si>
    <t>Maria</t>
  </si>
  <si>
    <t>26477</t>
  </si>
  <si>
    <t>Kamoto SX-EW</t>
  </si>
  <si>
    <t>79271</t>
  </si>
  <si>
    <t>Kanmantoo</t>
  </si>
  <si>
    <t>33083</t>
  </si>
  <si>
    <t>Kansanshi SX-EW</t>
  </si>
  <si>
    <t>75983</t>
  </si>
  <si>
    <t>Karaganda Region</t>
  </si>
  <si>
    <t>29432</t>
  </si>
  <si>
    <t>Kinsevere</t>
  </si>
  <si>
    <t>33340</t>
  </si>
  <si>
    <t>Kipoi SX-EW</t>
  </si>
  <si>
    <t>80064</t>
  </si>
  <si>
    <t>Kolwezi</t>
  </si>
  <si>
    <t>78612</t>
  </si>
  <si>
    <t>El Teniente</t>
  </si>
  <si>
    <t>26696</t>
  </si>
  <si>
    <t>El Valle</t>
  </si>
  <si>
    <t>28963</t>
  </si>
  <si>
    <t>Spain</t>
  </si>
  <si>
    <t>Eland</t>
  </si>
  <si>
    <t>34342</t>
  </si>
  <si>
    <t>Ellatzite</t>
  </si>
  <si>
    <t>28750</t>
  </si>
  <si>
    <t>Erdenet</t>
  </si>
  <si>
    <t>27495</t>
  </si>
  <si>
    <t>Mongolia</t>
  </si>
  <si>
    <t>Franke</t>
  </si>
  <si>
    <t>35428</t>
  </si>
  <si>
    <t>Gaisky Complex</t>
  </si>
  <si>
    <t>28092</t>
  </si>
  <si>
    <t>Metalkol RTR</t>
  </si>
  <si>
    <t>29829</t>
  </si>
  <si>
    <t>Ministro Hales</t>
  </si>
  <si>
    <t>28704</t>
  </si>
  <si>
    <t>Modikwa</t>
  </si>
  <si>
    <t>31138</t>
  </si>
  <si>
    <t>Mototolo</t>
  </si>
  <si>
    <t>33727</t>
  </si>
  <si>
    <t>Mount Milligan</t>
  </si>
  <si>
    <t>26984</t>
  </si>
  <si>
    <t>Mt Isa Copper</t>
  </si>
  <si>
    <t>27243</t>
  </si>
  <si>
    <t>Mutanda</t>
  </si>
  <si>
    <t>38654</t>
  </si>
  <si>
    <t>Kounrad Dump</t>
  </si>
  <si>
    <t>38114</t>
  </si>
  <si>
    <t>La Caridad SX-EW</t>
  </si>
  <si>
    <t>75984</t>
  </si>
  <si>
    <t>Langlike</t>
  </si>
  <si>
    <t>61027</t>
  </si>
  <si>
    <t>Laocun Hydrometallurgy Plant</t>
  </si>
  <si>
    <t>81228</t>
  </si>
  <si>
    <t>Liwu</t>
  </si>
  <si>
    <t>38217</t>
  </si>
  <si>
    <t>Mantoverde SX-EW</t>
  </si>
  <si>
    <t>90939</t>
  </si>
  <si>
    <t>MATSA</t>
  </si>
  <si>
    <t>27674</t>
  </si>
  <si>
    <t>Golden Grove</t>
  </si>
  <si>
    <t>25685</t>
  </si>
  <si>
    <t>Goldex</t>
  </si>
  <si>
    <t>26006</t>
  </si>
  <si>
    <t>Heiniudong</t>
  </si>
  <si>
    <t>81508</t>
  </si>
  <si>
    <t>Huachin</t>
  </si>
  <si>
    <t>76077</t>
  </si>
  <si>
    <t>Huaron</t>
  </si>
  <si>
    <t>27879</t>
  </si>
  <si>
    <t>Huayu</t>
  </si>
  <si>
    <t>80388</t>
  </si>
  <si>
    <t>Jabal Sayid</t>
  </si>
  <si>
    <t>25698</t>
  </si>
  <si>
    <t>Saudi Arabia</t>
  </si>
  <si>
    <t>Nchanga SX-EW</t>
  </si>
  <si>
    <t>76095</t>
  </si>
  <si>
    <t>Northparkes</t>
  </si>
  <si>
    <t>27165</t>
  </si>
  <si>
    <t>Phoenix SX-EW</t>
  </si>
  <si>
    <t>76083</t>
  </si>
  <si>
    <t>Phu Kham</t>
  </si>
  <si>
    <t>33208</t>
  </si>
  <si>
    <t>Laos</t>
  </si>
  <si>
    <t>Qiaoxiahala</t>
  </si>
  <si>
    <t>80827</t>
  </si>
  <si>
    <t>Qilianshan</t>
  </si>
  <si>
    <t>81212</t>
  </si>
  <si>
    <t>Raglan</t>
  </si>
  <si>
    <t>26073</t>
  </si>
  <si>
    <t>Milpillas</t>
  </si>
  <si>
    <t>29815</t>
  </si>
  <si>
    <t>Miniere Musoshi Kinsenda</t>
  </si>
  <si>
    <t>30678</t>
  </si>
  <si>
    <t>Morenci SX-EW</t>
  </si>
  <si>
    <t>75988</t>
  </si>
  <si>
    <t>Mufulira SX-EW</t>
  </si>
  <si>
    <t>76075</t>
  </si>
  <si>
    <t>Musonoi</t>
  </si>
  <si>
    <t>37355</t>
  </si>
  <si>
    <t>Nchanga</t>
  </si>
  <si>
    <t>28264</t>
  </si>
  <si>
    <t>Nevada Operations</t>
  </si>
  <si>
    <t>27560</t>
  </si>
  <si>
    <t>Jinxing</t>
  </si>
  <si>
    <t>67702</t>
  </si>
  <si>
    <t>Jiujiang</t>
  </si>
  <si>
    <t>80801</t>
  </si>
  <si>
    <t>Jiuquan</t>
  </si>
  <si>
    <t>36374</t>
  </si>
  <si>
    <t>Kalatongke</t>
  </si>
  <si>
    <t>34844</t>
  </si>
  <si>
    <t>Kevitsa</t>
  </si>
  <si>
    <t>29179</t>
  </si>
  <si>
    <t>Finland</t>
  </si>
  <si>
    <t>Khoemacau</t>
  </si>
  <si>
    <t>36026</t>
  </si>
  <si>
    <t>Botswana</t>
  </si>
  <si>
    <t>Lalor Lake</t>
  </si>
  <si>
    <t>35586</t>
  </si>
  <si>
    <t>Nova-Bollinger</t>
  </si>
  <si>
    <t>40767</t>
  </si>
  <si>
    <t>Oyu Tolgoi</t>
  </si>
  <si>
    <t>31528</t>
  </si>
  <si>
    <t>Panagyurishte Mining and Processing Complex</t>
  </si>
  <si>
    <t>27302</t>
  </si>
  <si>
    <t>Panagyurishte SX-EW</t>
  </si>
  <si>
    <t>83736</t>
  </si>
  <si>
    <t>Peak</t>
  </si>
  <si>
    <t>26771</t>
  </si>
  <si>
    <t>Pilanesberg</t>
  </si>
  <si>
    <t>32875</t>
  </si>
  <si>
    <t>Platinum Mile</t>
  </si>
  <si>
    <t>36120</t>
  </si>
  <si>
    <t>Red Chris</t>
  </si>
  <si>
    <t>28908</t>
  </si>
  <si>
    <t>San Francisco del Oro</t>
  </si>
  <si>
    <t>28591</t>
  </si>
  <si>
    <t>Santa Rita</t>
  </si>
  <si>
    <t>33832</t>
  </si>
  <si>
    <t>Sarcheshmeh</t>
  </si>
  <si>
    <t>27619</t>
  </si>
  <si>
    <t>Iran</t>
  </si>
  <si>
    <t>Shangrao</t>
  </si>
  <si>
    <t>81211</t>
  </si>
  <si>
    <t>Shijiangjun</t>
  </si>
  <si>
    <t>81256</t>
  </si>
  <si>
    <t>Shitouzui</t>
  </si>
  <si>
    <t>61040</t>
  </si>
  <si>
    <t>Platreef</t>
  </si>
  <si>
    <t>38500</t>
  </si>
  <si>
    <t>Sabinas</t>
  </si>
  <si>
    <t>30768</t>
  </si>
  <si>
    <t>Salobo</t>
  </si>
  <si>
    <t>25761</t>
  </si>
  <si>
    <t>Shejiaao</t>
  </si>
  <si>
    <t>81197</t>
  </si>
  <si>
    <t>Shuangfo Conc. Plant</t>
  </si>
  <si>
    <t>81233</t>
  </si>
  <si>
    <t>Silver Bell</t>
  </si>
  <si>
    <t>24880</t>
  </si>
  <si>
    <t>Songjiang</t>
  </si>
  <si>
    <t>36775</t>
  </si>
  <si>
    <t>Shuangfo Second Conc. Plant</t>
  </si>
  <si>
    <t>81227</t>
  </si>
  <si>
    <t>Sichuan La-La</t>
  </si>
  <si>
    <t>31591</t>
  </si>
  <si>
    <t>Sierrita</t>
  </si>
  <si>
    <t>24503</t>
  </si>
  <si>
    <t>Sierrita SX-EW</t>
  </si>
  <si>
    <t>76079</t>
  </si>
  <si>
    <t>Soerkuduke</t>
  </si>
  <si>
    <t>30665</t>
  </si>
  <si>
    <t>Sossego</t>
  </si>
  <si>
    <t>31223</t>
  </si>
  <si>
    <t>Sudbury Operations</t>
  </si>
  <si>
    <t>27146</t>
  </si>
  <si>
    <t>Stillwater</t>
  </si>
  <si>
    <t>24891</t>
  </si>
  <si>
    <t>Sunan</t>
  </si>
  <si>
    <t>38224</t>
  </si>
  <si>
    <t>Tangtang</t>
  </si>
  <si>
    <t>81642</t>
  </si>
  <si>
    <t>Tayahua</t>
  </si>
  <si>
    <t>29924</t>
  </si>
  <si>
    <t>Tongdan</t>
  </si>
  <si>
    <t>80815</t>
  </si>
  <si>
    <t>Tongshankou</t>
  </si>
  <si>
    <t>30654</t>
  </si>
  <si>
    <t>Tyrone SX-EW</t>
  </si>
  <si>
    <t>76109</t>
  </si>
  <si>
    <t>Sunan Dongshanding</t>
  </si>
  <si>
    <t>80830</t>
  </si>
  <si>
    <t>Telfer</t>
  </si>
  <si>
    <t>26419</t>
  </si>
  <si>
    <t>Timok</t>
  </si>
  <si>
    <t>33986</t>
  </si>
  <si>
    <t>Tonghe</t>
  </si>
  <si>
    <t>80810</t>
  </si>
  <si>
    <t>Tongkuangyu</t>
  </si>
  <si>
    <t>62900</t>
  </si>
  <si>
    <t>Tonglvshan</t>
  </si>
  <si>
    <t>80699</t>
  </si>
  <si>
    <t>Tongshan</t>
  </si>
  <si>
    <t>29739</t>
  </si>
  <si>
    <t>Union Section</t>
  </si>
  <si>
    <t>31296</t>
  </si>
  <si>
    <t>Unki</t>
  </si>
  <si>
    <t>30514</t>
  </si>
  <si>
    <t>Zimbabwe</t>
  </si>
  <si>
    <t>Wetar</t>
  </si>
  <si>
    <t>27065</t>
  </si>
  <si>
    <t>Indonesia</t>
  </si>
  <si>
    <t>Woodlawn</t>
  </si>
  <si>
    <t>27104</t>
  </si>
  <si>
    <t>Yangla</t>
  </si>
  <si>
    <t>33964</t>
  </si>
  <si>
    <t>Yauliyacu</t>
  </si>
  <si>
    <t>27728</t>
  </si>
  <si>
    <t>Yincan</t>
  </si>
  <si>
    <t>80825</t>
  </si>
  <si>
    <t>Tritton</t>
  </si>
  <si>
    <t>29544</t>
  </si>
  <si>
    <t>Tshukudu</t>
  </si>
  <si>
    <t>38696</t>
  </si>
  <si>
    <t>Uchaly</t>
  </si>
  <si>
    <t>28090</t>
  </si>
  <si>
    <t>Voisey's Bay</t>
  </si>
  <si>
    <t>28992</t>
  </si>
  <si>
    <t>Western Limb Tailings</t>
  </si>
  <si>
    <t>32553</t>
  </si>
  <si>
    <t>Wunugetushan</t>
  </si>
  <si>
    <t>29742</t>
  </si>
  <si>
    <t>Wutonghua</t>
  </si>
  <si>
    <t>80807</t>
  </si>
  <si>
    <t>Yinlu</t>
  </si>
  <si>
    <t>81261</t>
  </si>
  <si>
    <t>Yuanzhuding Mountain</t>
  </si>
  <si>
    <t>35786</t>
  </si>
  <si>
    <t>Wutongjing</t>
  </si>
  <si>
    <t>81199</t>
  </si>
  <si>
    <t>Xinzhuang</t>
  </si>
  <si>
    <t>40771</t>
  </si>
  <si>
    <t>Yinan</t>
  </si>
  <si>
    <t>63901</t>
  </si>
  <si>
    <t>Yueshan</t>
  </si>
  <si>
    <t>80833</t>
  </si>
  <si>
    <t>Zhixincheng Conc. Plant</t>
  </si>
  <si>
    <t>81238</t>
  </si>
  <si>
    <t>Zimplats</t>
  </si>
  <si>
    <t>29249</t>
  </si>
  <si>
    <t>Lomas Bayas</t>
  </si>
  <si>
    <t>28842</t>
  </si>
  <si>
    <t>Mabende</t>
  </si>
  <si>
    <t>76078</t>
  </si>
  <si>
    <t>Mantos Blancos SX-EW</t>
  </si>
  <si>
    <t>75987</t>
  </si>
  <si>
    <t>Mantoverde</t>
  </si>
  <si>
    <t>28256</t>
  </si>
  <si>
    <t>Maoyuan</t>
  </si>
  <si>
    <t>81251</t>
  </si>
  <si>
    <t>Mimosa</t>
  </si>
  <si>
    <t>27951</t>
  </si>
  <si>
    <t>Mission</t>
  </si>
  <si>
    <t>24505</t>
  </si>
  <si>
    <t>Mogalakwena</t>
  </si>
  <si>
    <t>27377</t>
  </si>
  <si>
    <t>Mount Lyell</t>
  </si>
  <si>
    <t>26806</t>
  </si>
  <si>
    <t>Mufulira</t>
  </si>
  <si>
    <t>28269</t>
  </si>
  <si>
    <t>Munali</t>
  </si>
  <si>
    <t>27453</t>
  </si>
  <si>
    <t>Mutanda SX-EW</t>
  </si>
  <si>
    <t>76076</t>
  </si>
  <si>
    <t>New Afton</t>
  </si>
  <si>
    <t>26942</t>
  </si>
  <si>
    <t>Niutoushan</t>
  </si>
  <si>
    <t>66154</t>
  </si>
  <si>
    <t>Nkana</t>
  </si>
  <si>
    <t>28270</t>
  </si>
  <si>
    <t>Norilsk</t>
  </si>
  <si>
    <t>75972</t>
  </si>
  <si>
    <t>Ok Tedi</t>
  </si>
  <si>
    <t>25715</t>
  </si>
  <si>
    <t>Olympic Dam</t>
  </si>
  <si>
    <t>25635</t>
  </si>
  <si>
    <t>Ontario Division</t>
  </si>
  <si>
    <t>27672</t>
  </si>
  <si>
    <t>Palabora</t>
  </si>
  <si>
    <t>27868</t>
  </si>
  <si>
    <t>Pinto Valley SX-EW</t>
  </si>
  <si>
    <t>76080</t>
  </si>
  <si>
    <t>Proyecto de Rio Tinto</t>
  </si>
  <si>
    <t>30469</t>
  </si>
  <si>
    <t>Pulang</t>
  </si>
  <si>
    <t>35707</t>
  </si>
  <si>
    <t>Radomiro Tomic</t>
  </si>
  <si>
    <t>27523</t>
  </si>
  <si>
    <t>Ray SX-EW</t>
  </si>
  <si>
    <t>76081</t>
  </si>
  <si>
    <t>Rosebery</t>
  </si>
  <si>
    <t>27542</t>
  </si>
  <si>
    <t>Ruashi</t>
  </si>
  <si>
    <t>29830</t>
  </si>
  <si>
    <t>Salvador</t>
  </si>
  <si>
    <t>28010</t>
  </si>
  <si>
    <t>San Martin</t>
  </si>
  <si>
    <t>29435</t>
  </si>
  <si>
    <t>San Vicente</t>
  </si>
  <si>
    <t>27623</t>
  </si>
  <si>
    <t>Bolivia</t>
  </si>
  <si>
    <t>Shanjinhongling</t>
  </si>
  <si>
    <t>35878</t>
  </si>
  <si>
    <t>Sierra Gorda</t>
  </si>
  <si>
    <t>28650</t>
  </si>
  <si>
    <t>Somincor</t>
  </si>
  <si>
    <t>25687</t>
  </si>
  <si>
    <t>Spence</t>
  </si>
  <si>
    <t>30025</t>
  </si>
  <si>
    <t>Suolajier</t>
  </si>
  <si>
    <t>81647</t>
  </si>
  <si>
    <t>Ta Khoa</t>
  </si>
  <si>
    <t>27531</t>
  </si>
  <si>
    <t>Vietnam</t>
  </si>
  <si>
    <t>Tanyaokou</t>
  </si>
  <si>
    <t>29749</t>
  </si>
  <si>
    <t>Tongshanpai</t>
  </si>
  <si>
    <t>81198</t>
  </si>
  <si>
    <t>Toquepala</t>
  </si>
  <si>
    <t>26654</t>
  </si>
  <si>
    <t>Toquepala SX-EW</t>
  </si>
  <si>
    <t>75985</t>
  </si>
  <si>
    <t>Toromocho</t>
  </si>
  <si>
    <t>28680</t>
  </si>
  <si>
    <t>Tucuma</t>
  </si>
  <si>
    <t>33521</t>
  </si>
  <si>
    <t>Tulaergen</t>
  </si>
  <si>
    <t>80826</t>
  </si>
  <si>
    <t>Tuwu-Yandong</t>
  </si>
  <si>
    <t>31590</t>
  </si>
  <si>
    <t>Weilasituo</t>
  </si>
  <si>
    <t>35851</t>
  </si>
  <si>
    <t>Xingjiang</t>
  </si>
  <si>
    <t>36137</t>
  </si>
  <si>
    <t>Yaodongzao</t>
  </si>
  <si>
    <t>81202</t>
  </si>
  <si>
    <t>Yauli</t>
  </si>
  <si>
    <t>26574</t>
  </si>
  <si>
    <t>Zaldivar</t>
  </si>
  <si>
    <t>27390</t>
  </si>
  <si>
    <t>Zhezkazgan Complex</t>
  </si>
  <si>
    <t>27034</t>
  </si>
  <si>
    <t>Zhibula</t>
  </si>
  <si>
    <t>81511</t>
  </si>
  <si>
    <t>Zhurihe</t>
  </si>
  <si>
    <t>80811</t>
  </si>
  <si>
    <t>Zondereinde</t>
  </si>
  <si>
    <t>27501</t>
  </si>
  <si>
    <t>Batu Hijau</t>
  </si>
  <si>
    <t>28386</t>
  </si>
  <si>
    <t>Bisha</t>
  </si>
  <si>
    <t>32625</t>
  </si>
  <si>
    <t>Eritrea</t>
  </si>
  <si>
    <t>Black Mountain</t>
  </si>
  <si>
    <t>27286</t>
  </si>
  <si>
    <t>Bolivar</t>
  </si>
  <si>
    <t>33381</t>
  </si>
  <si>
    <t>Booysendal North</t>
  </si>
  <si>
    <t>32552</t>
  </si>
  <si>
    <t>Caraíba</t>
  </si>
  <si>
    <t>27830</t>
  </si>
  <si>
    <t>Carlota</t>
  </si>
  <si>
    <t>28022</t>
  </si>
  <si>
    <t>Carmen de Andacollo</t>
  </si>
  <si>
    <t>27530</t>
  </si>
  <si>
    <t>Caserones SX-EW</t>
  </si>
  <si>
    <t>76101</t>
  </si>
  <si>
    <t>Central Region</t>
  </si>
  <si>
    <t>28638</t>
  </si>
  <si>
    <t>Changhong</t>
  </si>
  <si>
    <t>81644</t>
  </si>
  <si>
    <t>Charcas</t>
  </si>
  <si>
    <t>28283</t>
  </si>
  <si>
    <t>Chungar</t>
  </si>
  <si>
    <t>31651</t>
  </si>
  <si>
    <t>Constancia</t>
  </si>
  <si>
    <t>33414</t>
  </si>
  <si>
    <t>Cuajone</t>
  </si>
  <si>
    <t>26653</t>
  </si>
  <si>
    <t>Deerni</t>
  </si>
  <si>
    <t>30531</t>
  </si>
  <si>
    <t>Dexing Complex</t>
  </si>
  <si>
    <t>27385</t>
  </si>
  <si>
    <t>Doe Run Mines</t>
  </si>
  <si>
    <t>25493</t>
  </si>
  <si>
    <t>El Porvenir</t>
  </si>
  <si>
    <t>28596</t>
  </si>
  <si>
    <t>Eloise</t>
  </si>
  <si>
    <t>28703</t>
  </si>
  <si>
    <t>Escondida</t>
  </si>
  <si>
    <t>26490</t>
  </si>
  <si>
    <t>Escondida SX-EW</t>
  </si>
  <si>
    <t>75982</t>
  </si>
  <si>
    <t>Fengshan</t>
  </si>
  <si>
    <t>80697</t>
  </si>
  <si>
    <t>Gabriela Mistral</t>
  </si>
  <si>
    <t>30555</t>
  </si>
  <si>
    <t>Grasberg</t>
  </si>
  <si>
    <t>26568</t>
  </si>
  <si>
    <t>Heijing</t>
  </si>
  <si>
    <t>80821</t>
  </si>
  <si>
    <t>Huogeqi</t>
  </si>
  <si>
    <t>30656</t>
  </si>
  <si>
    <t>Impala Canada</t>
  </si>
  <si>
    <t>25979</t>
  </si>
  <si>
    <t>Jinshen</t>
  </si>
  <si>
    <t>81270</t>
  </si>
  <si>
    <t>Kamoa-Kakula</t>
  </si>
  <si>
    <t>38134</t>
  </si>
  <si>
    <t>Kansanshi</t>
  </si>
  <si>
    <t>26668</t>
  </si>
  <si>
    <t>Kapan</t>
  </si>
  <si>
    <t>31402</t>
  </si>
  <si>
    <t>Armenia</t>
  </si>
  <si>
    <t>Kazzinc Consolidated</t>
  </si>
  <si>
    <t>29980</t>
  </si>
  <si>
    <t>KGHM Polska Miedz</t>
  </si>
  <si>
    <t>28257</t>
  </si>
  <si>
    <t>Poland</t>
  </si>
  <si>
    <t>Kidd Creek</t>
  </si>
  <si>
    <t>27145</t>
  </si>
  <si>
    <t>Kroondal</t>
  </si>
  <si>
    <t>32954</t>
  </si>
  <si>
    <t>Kyzyl-Tash Turk</t>
  </si>
  <si>
    <t>35493</t>
  </si>
  <si>
    <t>Langyashan</t>
  </si>
  <si>
    <t>38210</t>
  </si>
  <si>
    <t>Laolaihong</t>
  </si>
  <si>
    <t>81232</t>
  </si>
  <si>
    <t>Longwan</t>
  </si>
  <si>
    <t>80396</t>
  </si>
  <si>
    <t>Los Pelambres</t>
  </si>
  <si>
    <t>27131</t>
  </si>
  <si>
    <t>Lumwana</t>
  </si>
  <si>
    <t>28868</t>
  </si>
  <si>
    <t>Luodong</t>
  </si>
  <si>
    <t>80822</t>
  </si>
  <si>
    <t>Lvshui</t>
  </si>
  <si>
    <t>81218</t>
  </si>
  <si>
    <t>Mantos Blancos</t>
  </si>
  <si>
    <t>27616</t>
  </si>
  <si>
    <t>Marikana</t>
  </si>
  <si>
    <t>27605</t>
  </si>
  <si>
    <t>Miami</t>
  </si>
  <si>
    <t>24469</t>
  </si>
  <si>
    <t>Mirador</t>
  </si>
  <si>
    <t>31300</t>
  </si>
  <si>
    <t>Ecuador</t>
  </si>
  <si>
    <t>Morenci</t>
  </si>
  <si>
    <t>24473</t>
  </si>
  <si>
    <t>Myra Falls</t>
  </si>
  <si>
    <t>25831</t>
  </si>
  <si>
    <t>Nanchong</t>
  </si>
  <si>
    <t>81216</t>
  </si>
  <si>
    <t>Nuoergai</t>
  </si>
  <si>
    <t>81249</t>
  </si>
  <si>
    <t>Padcal</t>
  </si>
  <si>
    <t>27918</t>
  </si>
  <si>
    <t>Pinto Valley</t>
  </si>
  <si>
    <t>24470</t>
  </si>
  <si>
    <t>Prominent Hill</t>
  </si>
  <si>
    <t>32233</t>
  </si>
  <si>
    <t>Pumpkin Hollow</t>
  </si>
  <si>
    <t>24697</t>
  </si>
  <si>
    <t>Punitaqui</t>
  </si>
  <si>
    <t>26968</t>
  </si>
  <si>
    <t>Quebrada Blanca</t>
  </si>
  <si>
    <t>27019</t>
  </si>
  <si>
    <t>Quellaveco</t>
  </si>
  <si>
    <t>27805</t>
  </si>
  <si>
    <t>Qulong</t>
  </si>
  <si>
    <t>34296</t>
  </si>
  <si>
    <t>Ray</t>
  </si>
  <si>
    <t>24509</t>
  </si>
  <si>
    <t>Robinson</t>
  </si>
  <si>
    <t>27653</t>
  </si>
  <si>
    <t>Rubtsovskoye</t>
  </si>
  <si>
    <t>29195</t>
  </si>
  <si>
    <t>Rustenburg</t>
  </si>
  <si>
    <t>27519</t>
  </si>
  <si>
    <t>Safford</t>
  </si>
  <si>
    <t>27280</t>
  </si>
  <si>
    <t>Sanxin</t>
  </si>
  <si>
    <t>33937</t>
  </si>
  <si>
    <t>Shaxi</t>
  </si>
  <si>
    <t>37670</t>
  </si>
  <si>
    <t>Shilong</t>
  </si>
  <si>
    <t>81649</t>
  </si>
  <si>
    <t>Shunqiang</t>
  </si>
  <si>
    <t>81263</t>
  </si>
  <si>
    <t>Spence SX-EW</t>
  </si>
  <si>
    <t>79640</t>
  </si>
  <si>
    <t>Suolagou</t>
  </si>
  <si>
    <t>80824</t>
  </si>
  <si>
    <t>Tenke Fungurume</t>
  </si>
  <si>
    <t>28371</t>
  </si>
  <si>
    <t>Tianbaoshan</t>
  </si>
  <si>
    <t>61042</t>
  </si>
  <si>
    <t>Tizapa</t>
  </si>
  <si>
    <t>27632</t>
  </si>
  <si>
    <t>Trident - Sentinel</t>
  </si>
  <si>
    <t>36127</t>
  </si>
  <si>
    <t>Tugenmansu</t>
  </si>
  <si>
    <t>86199</t>
  </si>
  <si>
    <t>Two Rivers</t>
  </si>
  <si>
    <t>30707</t>
  </si>
  <si>
    <t>Varvara</t>
  </si>
  <si>
    <t>29607</t>
  </si>
  <si>
    <t>Velardena</t>
  </si>
  <si>
    <t>35515</t>
  </si>
  <si>
    <t>Wenshan Dulong</t>
  </si>
  <si>
    <t>30968</t>
  </si>
  <si>
    <t>Wushan</t>
  </si>
  <si>
    <t>27817</t>
  </si>
  <si>
    <t>Xiliduo</t>
  </si>
  <si>
    <t>81271</t>
  </si>
  <si>
    <t>Xinqiao</t>
  </si>
  <si>
    <t>61038</t>
  </si>
  <si>
    <t>Yauricocha</t>
  </si>
  <si>
    <t>27747</t>
  </si>
  <si>
    <t>Yinmin</t>
  </si>
  <si>
    <t>81242</t>
  </si>
  <si>
    <t>Yinshan</t>
  </si>
  <si>
    <t>27818</t>
  </si>
  <si>
    <t>Yongping</t>
  </si>
  <si>
    <t>35755</t>
  </si>
  <si>
    <t>Yulong</t>
  </si>
  <si>
    <t>29743</t>
  </si>
  <si>
    <t>Zangezur</t>
  </si>
  <si>
    <t>29283</t>
  </si>
  <si>
    <t>Zihao</t>
  </si>
  <si>
    <t>81266</t>
  </si>
  <si>
    <t>Zijinshan</t>
  </si>
  <si>
    <t>29735</t>
  </si>
  <si>
    <t>Zijinshan SXEW</t>
  </si>
  <si>
    <t>81884</t>
  </si>
  <si>
    <t>Zinkgruvan</t>
  </si>
  <si>
    <t>27384</t>
  </si>
  <si>
    <t>Ore</t>
  </si>
  <si>
    <t xml:space="preserve"> Head Grade
(%)</t>
  </si>
  <si>
    <t xml:space="preserve"> Recovery Rate
(%)</t>
  </si>
  <si>
    <t xml:space="preserve"> Recovered Copper
(kilotonnes)</t>
  </si>
  <si>
    <t xml:space="preserve"> Payability (%)</t>
  </si>
  <si>
    <t xml:space="preserve"> Paid Copper
Produced (kilotonnes)</t>
  </si>
  <si>
    <t xml:space="preserve"> Commodity Net
Revenue (%)</t>
  </si>
  <si>
    <t xml:space="preserve"> Mine: Labor
Cost (¢/lb)</t>
  </si>
  <si>
    <t xml:space="preserve"> Mine: Fuel
Cost (¢/lb)</t>
  </si>
  <si>
    <t xml:space="preserve"> Mine: Electricity
Cost (¢/lb)</t>
  </si>
  <si>
    <t xml:space="preserve"> Mine: Other
Cost (¢/lb)</t>
  </si>
  <si>
    <t xml:space="preserve"> Mine: Total
Cost (¢/lb)</t>
  </si>
  <si>
    <t xml:space="preserve"> Mill: Labor
Cost (¢/lb)</t>
  </si>
  <si>
    <t xml:space="preserve"> Mill: Reagents
Cost (¢/lb)</t>
  </si>
  <si>
    <t xml:space="preserve"> Mill: Electricity
Cost (¢/lb)</t>
  </si>
  <si>
    <t xml:space="preserve"> Mill: Other
Cost (¢/lb)</t>
  </si>
  <si>
    <t xml:space="preserve"> Mill: Total
Cost (¢/lb)</t>
  </si>
  <si>
    <t xml:space="preserve"> Total Minesite
Cost (¢/lb)</t>
  </si>
  <si>
    <t xml:space="preserve"> Transport and
Offsite Cost
(¢/lb)</t>
  </si>
  <si>
    <t xml:space="preserve"> Treatment &amp;
Refining Charges
(¢/lb)</t>
  </si>
  <si>
    <t xml:space="preserve"> Cash Operating
Cost (¢/lb)</t>
  </si>
  <si>
    <t xml:space="preserve"> Royalty Cost
(¢/lb)</t>
  </si>
  <si>
    <t xml:space="preserve"> Total Cash
Cost (¢/lb)</t>
  </si>
  <si>
    <t xml:space="preserve"> Reclamation, Closure
Provision (¢/lb)</t>
  </si>
  <si>
    <t xml:space="preserve"> Depreciation (¢/lb)</t>
  </si>
  <si>
    <t xml:space="preserve"> Deferred Stripping
Amortized (¢/lb)</t>
  </si>
  <si>
    <t xml:space="preserve"> Inventory Change
(¢/lb)</t>
  </si>
  <si>
    <t xml:space="preserve"> Total Production
Cost (¢/lb)</t>
  </si>
  <si>
    <t xml:space="preserve"> Corporate Overhead
Charges (¢/lb)</t>
  </si>
  <si>
    <t xml:space="preserve"> Exploration and
Other Sustaining
Costs (¢/lb)</t>
  </si>
  <si>
    <t xml:space="preserve"> Sustaining Capex
(¢/lb)</t>
  </si>
  <si>
    <t xml:space="preserve"> All-in-Sustaining Cost
(¢/lb)</t>
  </si>
  <si>
    <t xml:space="preserve"> Development and
Expansion Capex
(¢/lb)</t>
  </si>
  <si>
    <t xml:space="preserve"> Interest Charges
(¢/lb)</t>
  </si>
  <si>
    <t xml:space="preserve"> Extraordinary Cash
Charges (¢/lb)</t>
  </si>
  <si>
    <t xml:space="preserve"> Extraordinary Non-Cash
Charges (¢/lb)</t>
  </si>
  <si>
    <t xml:space="preserve"> Other All-in-Cost
(¢/lb)</t>
  </si>
  <si>
    <t xml:space="preserve"> All-in-Cost (¢/lb)</t>
  </si>
  <si>
    <t xml:space="preserve"> Realized Price
(¢/lb)</t>
  </si>
  <si>
    <t xml:space="preserve"> Gross Revenue
($M)</t>
  </si>
  <si>
    <t xml:space="preserve"> Cash Operating
Margin (¢/lb)</t>
  </si>
  <si>
    <t xml:space="preserve"> Total Cash
Margin (¢/lb)</t>
  </si>
  <si>
    <t>Production Costs Co Product</t>
  </si>
  <si>
    <t xml:space="preserve"> By-product Credits
(¢/lb)</t>
  </si>
  <si>
    <t>Production Costs By Product</t>
  </si>
  <si>
    <t xml:space="preserve"> Realization Cost
($M)</t>
  </si>
  <si>
    <t xml:space="preserve"> Net Revenue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</si>
  <si>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</si>
  <si>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</si>
  <si>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</si>
  <si>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</si>
  <si>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</si>
  <si>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</si>
  <si>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</si>
  <si>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</si>
  <si>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</si>
  <si>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</si>
  <si>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</si>
  <si>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</si>
  <si>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</si>
  <si>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</si>
  <si>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</si>
  <si>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</si>
  <si>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</si>
  <si>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</si>
  <si>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</si>
  <si>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Boliden AB (publ)</t>
  </si>
  <si>
    <t>KAZ Minerals Limited</t>
  </si>
  <si>
    <t>Xinjiang Xinxin Mining Industry Co. Ltd.</t>
  </si>
  <si>
    <t>I'M - SGPS SA</t>
  </si>
  <si>
    <t>Valterra Platinum Ltd.</t>
  </si>
  <si>
    <t>Siziwangqi Amawusu Mining Co. Ltd.Siziwangqi Amawusu Mining Co. Ltd.</t>
  </si>
  <si>
    <t>Codelco</t>
  </si>
  <si>
    <t>Tongdu Copper Works</t>
  </si>
  <si>
    <t>BHP Group Ltd.</t>
  </si>
  <si>
    <t>Glencore PLC</t>
  </si>
  <si>
    <t>Mitsubishi Corp.</t>
  </si>
  <si>
    <t>Teck Resources Ltd.</t>
  </si>
  <si>
    <t>Antofagasta PLC</t>
  </si>
  <si>
    <t>Marubeni Corp.</t>
  </si>
  <si>
    <t>Aura Minerals Inc.</t>
  </si>
  <si>
    <t>Nexa Resources SA</t>
  </si>
  <si>
    <t>Sumner Group Mining plc</t>
  </si>
  <si>
    <t>People's Government of Gansu Province</t>
  </si>
  <si>
    <t>Xinjiang NonFerrous Metal Industry (Group) Co.Ltd.</t>
  </si>
  <si>
    <t>Zijin Mining Group Co. Ltd.</t>
  </si>
  <si>
    <t>Minera Frisco S.A.B. de C.V.</t>
  </si>
  <si>
    <t>Atlas Consolidated Mining &amp; Development Corp.</t>
  </si>
  <si>
    <t>Avino Silver &amp; Gold Mines Ltd.</t>
  </si>
  <si>
    <t>Private Interest</t>
  </si>
  <si>
    <t>Freeport-McMoRan Inc.</t>
  </si>
  <si>
    <t>Inner Mongolia Bayern Mining Co. Ltd.</t>
  </si>
  <si>
    <t>Vast Resources PLC</t>
  </si>
  <si>
    <t>Baiyin Deep Mining Co., Ltd.</t>
  </si>
  <si>
    <t>Yangxin County Xincheng Mining Co. Ltd.</t>
  </si>
  <si>
    <t>Ural Mining &amp; Metallurgical Co.</t>
  </si>
  <si>
    <t>PT Amman Mineral Internasional Tbk</t>
  </si>
  <si>
    <t>PT AP Investment</t>
  </si>
  <si>
    <t>Rio Tinto Group</t>
  </si>
  <si>
    <t>Eritrean National Mining Corp.</t>
  </si>
  <si>
    <t>Shanxi Zhongtiaoshan Nonferrous Metals Group Zizigou Mining Co. Ltd.</t>
  </si>
  <si>
    <t>Exxaro Resources Ltd.</t>
  </si>
  <si>
    <t>Vedanta Ltd.</t>
  </si>
  <si>
    <t>Newmont Corp.</t>
  </si>
  <si>
    <t>Alpayana S.A.C.</t>
  </si>
  <si>
    <t>Northam Platinum Holdings Ltd.</t>
  </si>
  <si>
    <t>RTB Bor Group d.o.o.</t>
  </si>
  <si>
    <t>Southern Copper Corp.</t>
  </si>
  <si>
    <t>Barrick Mining Corp.</t>
  </si>
  <si>
    <t>CIS Natural Resources Fund</t>
  </si>
  <si>
    <t>Highland Fund</t>
  </si>
  <si>
    <t>PJSC Mining and Metallurgical Co. Norilsk Nickel</t>
  </si>
  <si>
    <t>Luca Mining Corp.</t>
  </si>
  <si>
    <t>Reynas Minas SA de CV</t>
  </si>
  <si>
    <t>Lundin Mining Corp.</t>
  </si>
  <si>
    <t>Sumitomo Corp.</t>
  </si>
  <si>
    <t>Sumitomo Metal Mining Co. Ltd.</t>
  </si>
  <si>
    <t>Industrias Peñoles SAB de CV</t>
  </si>
  <si>
    <t>Ero Copper Corp.</t>
  </si>
  <si>
    <t>KGHM Polska Miedz SA</t>
  </si>
  <si>
    <t>Empresa Nacional de Minería</t>
  </si>
  <si>
    <t>JX Advanced Metals Corp.</t>
  </si>
  <si>
    <t>First Quantum Minerals Ltd.</t>
  </si>
  <si>
    <t>Cuprum Holding Ltd.</t>
  </si>
  <si>
    <t>Gold Fields Ltd.</t>
  </si>
  <si>
    <t>Shenzhen Zhongjin Lingnan Nonfemet Co. Ltd.</t>
  </si>
  <si>
    <t>Nexa Resources Perú SAA</t>
  </si>
  <si>
    <t>Compañía de Minas Buenaventura SAA</t>
  </si>
  <si>
    <t>China Nonferrous Mining Corp. Ltd.</t>
  </si>
  <si>
    <t>ZCCM Investments Holdings PLC</t>
  </si>
  <si>
    <t>DPM Metals Inc.</t>
  </si>
  <si>
    <t>Jiangxi Copper Co. Ltd.</t>
  </si>
  <si>
    <t>Volcan Compañía Minera SAA</t>
  </si>
  <si>
    <t>Harmony Gold Mining Co. Ltd.</t>
  </si>
  <si>
    <t>Anglo American PLC</t>
  </si>
  <si>
    <t>Mitsui &amp; Co. Ltd.</t>
  </si>
  <si>
    <t>Mitsui Kinzoku Company Ltd.</t>
  </si>
  <si>
    <t>Hudbay Minerals Inc.</t>
  </si>
  <si>
    <t>Montana Resources LLP</t>
  </si>
  <si>
    <t>Americas Gold and Silver Corp.</t>
  </si>
  <si>
    <t>Capstone Copper Corp.</t>
  </si>
  <si>
    <t>Yunnan Copper Co.Ltd.</t>
  </si>
  <si>
    <t>Chifeng Dajingzi Mining Co., Ltd.</t>
  </si>
  <si>
    <t>Grand Long Enterprises Ltd.</t>
  </si>
  <si>
    <t>Yunnan Dingtai Investment Co., Ltd.</t>
  </si>
  <si>
    <t>Yuxi Resources Corp.</t>
  </si>
  <si>
    <t>China State-Owned Mining Enterprise</t>
  </si>
  <si>
    <t>Vault Minerals Ltd.</t>
  </si>
  <si>
    <t>Gécamines SA</t>
  </si>
  <si>
    <t>OceanaGold Corp.</t>
  </si>
  <si>
    <t>The Doe Run Resources Corp.</t>
  </si>
  <si>
    <t>Tongling Nonferrous Metals Group Co. Ltd.</t>
  </si>
  <si>
    <t>Kunming Dongshen Mining Co. Ltd.</t>
  </si>
  <si>
    <t>Wancheng Commercial Dongshengmiao Co. Ltd.</t>
  </si>
  <si>
    <t>Orvana Minerals Corp.</t>
  </si>
  <si>
    <t>Geotechmin Ood</t>
  </si>
  <si>
    <t>AIC Mines Ltd.</t>
  </si>
  <si>
    <t>Mongolian Copper Corp. LLC</t>
  </si>
  <si>
    <t>Evolution Mining Ltd.</t>
  </si>
  <si>
    <t>Qinghai Xinguang Mining and Trade Co. Ltd.</t>
  </si>
  <si>
    <t>Mitsubishi Materials Corp.</t>
  </si>
  <si>
    <t>Shalina Resources Ltd.</t>
  </si>
  <si>
    <t>Hubei Fengjiashan Mining Co. Ltd.</t>
  </si>
  <si>
    <t>China Daye Non-Ferrous Metals Mining Ltd.</t>
  </si>
  <si>
    <t>Grupo Minero Las Cenizas SA</t>
  </si>
  <si>
    <t>Eurasian Resources Group SARL</t>
  </si>
  <si>
    <t>Inner Mongolia Chifeng Fuyuan Mining Co. Ltd.</t>
  </si>
  <si>
    <t>Trekor Metals Ltd.</t>
  </si>
  <si>
    <t>29Metals Ltd.</t>
  </si>
  <si>
    <t>Agnico Eagle Mines Ltd.</t>
  </si>
  <si>
    <t>PT Mineral Industri Indonesia (Persero)</t>
  </si>
  <si>
    <t>Huili County Heiyu Mining Co. Ltd.</t>
  </si>
  <si>
    <t>Unnamed Owner</t>
  </si>
  <si>
    <t>Kunming Hemeida Industry and Trade Co. Ltd.</t>
  </si>
  <si>
    <t>Daye Xinghong Mining Co. Ltd.</t>
  </si>
  <si>
    <t>Huachin SPRL</t>
  </si>
  <si>
    <t>Pan American Silver Corp.</t>
  </si>
  <si>
    <t>Tibet Huayu Mining Co. Ltd.</t>
  </si>
  <si>
    <t>Western Mining Co.Ltd.</t>
  </si>
  <si>
    <t>Shuyang County Qianpu Mining Co., Ltd.</t>
  </si>
  <si>
    <t>Impala Platinum Holdings Ltd.</t>
  </si>
  <si>
    <t>Saudi Arabian Mining Company (Maaden)</t>
  </si>
  <si>
    <t>China Gold International Resources Corp. Ltd.</t>
  </si>
  <si>
    <t>Zhongjin Gold Corp.Ltd.</t>
  </si>
  <si>
    <t>JinChuan Group Co.Ltd.</t>
  </si>
  <si>
    <t>Anhui Chizhou Jinsen Mining Co. Ltd.</t>
  </si>
  <si>
    <t>Jiujiang Mining and Metallurgy Co. Ltd.</t>
  </si>
  <si>
    <t>Sunan County Qilianshan Mining Co. Ltd.</t>
  </si>
  <si>
    <t>Inner Mongolia Yufeng Mining Group Co. Ltd.</t>
  </si>
  <si>
    <t>K92 Mining Inc.</t>
  </si>
  <si>
    <t>Chengtun Mining Group Co. Ltd.</t>
  </si>
  <si>
    <t>La Generale Industrielle et Commerciale au Congo SPRL</t>
  </si>
  <si>
    <t>Crystal River Global Limited</t>
  </si>
  <si>
    <t>Ivanhoe Mines Ltd.</t>
  </si>
  <si>
    <t>Hillgrove Resources Ltd.</t>
  </si>
  <si>
    <t>Gold Mining Company LLC</t>
  </si>
  <si>
    <t>Kazzinc Ltd.</t>
  </si>
  <si>
    <t>Compass Investment Co. Ltd</t>
  </si>
  <si>
    <t>MMG Ltd.</t>
  </si>
  <si>
    <t>Tiger Resources Ltd.</t>
  </si>
  <si>
    <t>CMOC Group Ltd.</t>
  </si>
  <si>
    <t>Contemporary Amperex Technology Co. Ltd.</t>
  </si>
  <si>
    <t>Vedanta Inc.</t>
  </si>
  <si>
    <t>Central Asia Metals PLC</t>
  </si>
  <si>
    <t>Sibanye Stillwater Ltd.</t>
  </si>
  <si>
    <t>Shandong Longxing Group Laizhou Chemical Building Materials Co.Ltd.</t>
  </si>
  <si>
    <t>Zhangzhou Tongxin Mining Co. Ltd.</t>
  </si>
  <si>
    <t>Kunming Laolaihong Mining Co. Ltd.</t>
  </si>
  <si>
    <t>Citic Ltd.</t>
  </si>
  <si>
    <t>Fortuna Mining Corp.</t>
  </si>
  <si>
    <t>Sichuan Liwu Copper Mining Co. Ltd.</t>
  </si>
  <si>
    <t>Guangxi Luxi Longwan Mining Co., Ltd.</t>
  </si>
  <si>
    <t>JCHX Mining Management Co.Ltd.</t>
  </si>
  <si>
    <t>Huili County Luodong Copper Industry Co. Ltd.</t>
  </si>
  <si>
    <t>Wuqu County Wulong Industrial Co. Ltd.</t>
  </si>
  <si>
    <t>Huili Xingda Mining Co. Ltd.</t>
  </si>
  <si>
    <t>Huachin SARL</t>
  </si>
  <si>
    <t>Vale SA</t>
  </si>
  <si>
    <t>Incwala Resource (Pty) Ltd.</t>
  </si>
  <si>
    <t>Sandfire Resources Ltd.</t>
  </si>
  <si>
    <t>Eurasian Group LLP</t>
  </si>
  <si>
    <t>Jinchuan Group International Resources Co. Ltd.</t>
  </si>
  <si>
    <t>SODIMICO</t>
  </si>
  <si>
    <t>China Railway Construction Investment Group Co.Ltd.</t>
  </si>
  <si>
    <t>Grupo México SAB de CV</t>
  </si>
  <si>
    <t>African Rainbow Minerals Ltd.</t>
  </si>
  <si>
    <t>Centerra Gold Inc.</t>
  </si>
  <si>
    <t>International Resources Holding</t>
  </si>
  <si>
    <t>Consolidated Mining and Investments Ltd</t>
  </si>
  <si>
    <t>Trafigura Group Pte. Ltd.</t>
  </si>
  <si>
    <t>New Gold Inc.</t>
  </si>
  <si>
    <t>Wanyu Mining</t>
  </si>
  <si>
    <t>Yinfu Gold Corp.</t>
  </si>
  <si>
    <t>IGO Ltd.</t>
  </si>
  <si>
    <t>Bahrain Right Banner Norga Copper Mine Co. Ltd.</t>
  </si>
  <si>
    <t>Ok Tedi Mining Ltd.</t>
  </si>
  <si>
    <t>Philex Mining Corp.</t>
  </si>
  <si>
    <t>China-Africa Development Fund</t>
  </si>
  <si>
    <t>General Nice Development Ltd</t>
  </si>
  <si>
    <t>HBIS Group Company Ltd.</t>
  </si>
  <si>
    <t>Tewoo Group Co. Ltd.</t>
  </si>
  <si>
    <t>The Industrial Development Corporation of South Africa Ltd.</t>
  </si>
  <si>
    <t>Assarel-Medet JSCo.</t>
  </si>
  <si>
    <t>Aurelia Metals Ltd.</t>
  </si>
  <si>
    <t>PanAust Ltd.</t>
  </si>
  <si>
    <t>Sedibelo Resources Limited</t>
  </si>
  <si>
    <t>Mvelaphanda Holdings (Proprietary) Ltd</t>
  </si>
  <si>
    <t>Black Economic Empowerment</t>
  </si>
  <si>
    <t>Atalaya Mining Copper SA</t>
  </si>
  <si>
    <t>iqing Development and Investment Co. Ltd.</t>
  </si>
  <si>
    <t>Yunnan Gold&amp;Mineral Group Co. Ltd.</t>
  </si>
  <si>
    <t>Kinterra Capital Corp.</t>
  </si>
  <si>
    <t>Battery Mineral Resources Corp.</t>
  </si>
  <si>
    <t>Qinghai Qilianshan Copper Industry Co. Ltd.</t>
  </si>
  <si>
    <t>Zangge Mining Company Ltd.</t>
  </si>
  <si>
    <t>Imperial Metals Corp.</t>
  </si>
  <si>
    <t>JSC "Sibir-Polymetal"</t>
  </si>
  <si>
    <t>Newshelf 1335 Pty. Ltd.</t>
  </si>
  <si>
    <t>Appian Capital Advisory LLP</t>
  </si>
  <si>
    <t>National Iranian Copper</t>
  </si>
  <si>
    <t>Jiangxi Jinyu Industrial Group Co. Ltd.</t>
  </si>
  <si>
    <t>Chifeng Jinhongling Nonferrous Mining Co., Ltd.</t>
  </si>
  <si>
    <t>Tangdan Conc. Plant</t>
  </si>
  <si>
    <t>Kunming Shuangfo Mining Co. Ltd.</t>
  </si>
  <si>
    <t>Kunming Shunqiang Mining Co. Ltd.</t>
  </si>
  <si>
    <t>KGHM International Ltd.</t>
  </si>
  <si>
    <t>South32 Ltd.</t>
  </si>
  <si>
    <t>Baiyin Nonferrous Group Co. Ltd.</t>
  </si>
  <si>
    <t>Blackstone Minerals Ltd.</t>
  </si>
  <si>
    <t>Xalotho Co. Ltd</t>
  </si>
  <si>
    <t>Qingdao Qihua Investment Holding Co., Ltd.</t>
  </si>
  <si>
    <t>Minera Tayahua, S.A. De C.V.</t>
  </si>
  <si>
    <t>Greatland Resources Ltd.</t>
  </si>
  <si>
    <t>Sichuan Huili Lead &amp; Zinc Co., Ltd.</t>
  </si>
  <si>
    <t>Dowa Holdings Co. Ltd.</t>
  </si>
  <si>
    <t>Linxi County Tonghe Mining Co., Ltd.</t>
  </si>
  <si>
    <t>China Nonferrous Metal Mining (Group) Co. Ltd.</t>
  </si>
  <si>
    <t>Anhui Chizhou Jinchi Investment Co. Ltd.</t>
  </si>
  <si>
    <t>Aluminum Corp. of China Ltd.</t>
  </si>
  <si>
    <t>Aeris Resources Ltd.</t>
  </si>
  <si>
    <t>Oriental Pearl Group Co.Ltd.</t>
  </si>
  <si>
    <t>Bakgatla Ba Kgafela</t>
  </si>
  <si>
    <t>Siyanda Resources (Pty) Ltd.</t>
  </si>
  <si>
    <t>Vares</t>
  </si>
  <si>
    <t>66175</t>
  </si>
  <si>
    <t>Solidcore Resources PLC</t>
  </si>
  <si>
    <t>Inner Mongolia Weila Situo Mining Industry Co., Ltd.</t>
  </si>
  <si>
    <t>Yunnan Hualian Zinc and Indium Co. Ltd.</t>
  </si>
  <si>
    <t>Posco International Corp.</t>
  </si>
  <si>
    <t>PT Merdeka Copper Gold Tbk</t>
  </si>
  <si>
    <t>Develop Global Ltd.</t>
  </si>
  <si>
    <t>China National Gold Group Co. Ltd.</t>
  </si>
  <si>
    <t>Wengniute Banner Wutonghua Copper Mine Houshan Mining</t>
  </si>
  <si>
    <t>Chengde Shuoda Mining Co., Ltd.</t>
  </si>
  <si>
    <t>Tongling Chemical Industry Group Co.Ltd.</t>
  </si>
  <si>
    <t>Wanguo Gold Group Ltd.</t>
  </si>
  <si>
    <t>云南楚雄矿冶有限公司</t>
  </si>
  <si>
    <t>Subei County Yuxi Mining Co. Ltd.</t>
  </si>
  <si>
    <t>Shandong Gold Mining Co. Ltd.</t>
  </si>
  <si>
    <t>Changdu Capital Management And Operation Co.</t>
  </si>
  <si>
    <t>Tibet No 6 Geology Survey Team</t>
  </si>
  <si>
    <t>Xizang Mineral Development Co. LTD</t>
  </si>
  <si>
    <t>Zangezur Copper Molybdenum Combine CJSC</t>
  </si>
  <si>
    <t>Kunming Haohao Mining Co. Ltd.</t>
  </si>
  <si>
    <t>Zimplats Holdings Ltd.</t>
  </si>
  <si>
    <t>Ownership</t>
  </si>
  <si>
    <t>List of owners</t>
  </si>
  <si>
    <t>Owner 1 SNL institution key</t>
  </si>
  <si>
    <t>Owner 2 SNL institution key</t>
  </si>
  <si>
    <t>Ultimate parent company name owner 1</t>
  </si>
  <si>
    <t>Ultimate parent company country owner 1</t>
  </si>
  <si>
    <t>Afa För­säkring tjänste­pensions­aktiebolag</t>
  </si>
  <si>
    <t>Atlas Copco AB (publ)</t>
  </si>
  <si>
    <t>Barclays PLC</t>
  </si>
  <si>
    <t>BlackRock, Inc.</t>
  </si>
  <si>
    <t>Folksam ömsesidig livförsäkring</t>
  </si>
  <si>
    <t>Förenade Liv Gruppförsäkring AB (publ)</t>
  </si>
  <si>
    <t>Keskinäinen Eläkevakuutusyhtiö Ilmarinen</t>
  </si>
  <si>
    <t>Keskinäinen Työeläkevakuutusyhtiö Elon</t>
  </si>
  <si>
    <t>Keskinäinen työeläkevakuutusyhtiö Varma</t>
  </si>
  <si>
    <t>Kpa Fond &amp; Finans Ab</t>
  </si>
  <si>
    <t>NA</t>
  </si>
  <si>
    <t>Swedbank Robur Fonder AB</t>
  </si>
  <si>
    <t>BlackRock Inc.</t>
  </si>
  <si>
    <t>Alecta Real Estate Investment LLC</t>
  </si>
  <si>
    <t>Vanguard Capital Management LLC</t>
  </si>
  <si>
    <t>Handelsbanken Funds</t>
  </si>
  <si>
    <t>Nordea Investment Management AB</t>
  </si>
  <si>
    <t>SEB Funds AB</t>
  </si>
  <si>
    <t>Mirae Asset Global Investments Co. Ltd.</t>
  </si>
  <si>
    <t>Amundi Asset Management SAS</t>
  </si>
  <si>
    <t>Dimensional Fund Advisors LP</t>
  </si>
  <si>
    <t>Parent company Owner 1</t>
  </si>
  <si>
    <t>Parent company country onwer 1</t>
  </si>
  <si>
    <t>Country name owner 1</t>
  </si>
  <si>
    <t>Ultimate parent company name owner 2</t>
  </si>
  <si>
    <t>Ultimate parent company country owner 2</t>
  </si>
  <si>
    <t>Parent company Owner 2</t>
  </si>
  <si>
    <t>Parent company country onwer 2</t>
  </si>
  <si>
    <t>Country name owner 2</t>
  </si>
  <si>
    <t>Boliden AB (publ)  100%</t>
  </si>
  <si>
    <t/>
  </si>
  <si>
    <t>KAZ Minerals Limited  100%</t>
  </si>
  <si>
    <t>Trianon Limited</t>
  </si>
  <si>
    <t>Nova Resources B.V.</t>
  </si>
  <si>
    <t>Netherlands</t>
  </si>
  <si>
    <t>United Kingdom</t>
  </si>
  <si>
    <t>Xinjiang Xinxin Mining Industry Co., Ltd.  100%</t>
  </si>
  <si>
    <t>Xinjiang NonFerrous Metal Industry (Group) Co.Ltd</t>
  </si>
  <si>
    <t>I'M - SGPS, SA  100%</t>
  </si>
  <si>
    <t>Valterra Platinum Limited  100%</t>
  </si>
  <si>
    <t>Siziwangqi Amawusu Mining Co., Ltd.Siziwangqi Amawusu Mining Co., Ltd.  100%</t>
  </si>
  <si>
    <t>Corporación Nacional del Cobre de Chile  100%</t>
  </si>
  <si>
    <t>Tongdu Copper Works (Optionee) 100%; Tongling Nonferrous Metals Group Co.,Ltd. (Optionor) %</t>
  </si>
  <si>
    <t>BHP Group Limited (Venturer) 33.75%; Teck Resources Limited (Venturer) 22.5%; Mitsubishi Corporation (Venturer) 10%; Glencore plc (Venturer) 33.75%</t>
  </si>
  <si>
    <t>Switzerland</t>
  </si>
  <si>
    <t>Glencore plc  100%</t>
  </si>
  <si>
    <t>BHP Group Limited  100%</t>
  </si>
  <si>
    <t>Marubeni Corporation (Venturer) 30%; Antofagasta plc (Venturer) 70%</t>
  </si>
  <si>
    <t>E. Abaroa Foundation</t>
  </si>
  <si>
    <t>Liechtenstein</t>
  </si>
  <si>
    <t>Metalinvest Anstalt</t>
  </si>
  <si>
    <t>Japan</t>
  </si>
  <si>
    <t>Aura Minerals Inc.  100%</t>
  </si>
  <si>
    <t>Sumner Group Mining plc  100%; Nexa Resources S.A.  100%</t>
  </si>
  <si>
    <t>JEMF Participações S.A.</t>
  </si>
  <si>
    <t>Votorantim S.A.</t>
  </si>
  <si>
    <t>Luxembourg</t>
  </si>
  <si>
    <t>Xinjiang NonFerrous Metal Industry (Group) Co.Ltd (Venturer) 34%; Zijin Mining Group Company Limited (Venturer) 51%; People's Government of Gansu Province (Venturer) 15%</t>
  </si>
  <si>
    <t>Minera Frisco, S.A.B. de C.V. (Venturer) 99.99%; Unnamed Owner (Fractional) %</t>
  </si>
  <si>
    <t>Atlas Consolidated Mining and Development Corporation  100%</t>
  </si>
  <si>
    <t>Private Interest (Venturer) 0.33%; Avino Silver &amp; Gold Mines Ltd. (Venturer) 99.67%; Silver Wolf Exploration Ltd. (Fractional) %</t>
  </si>
  <si>
    <t>Freeport-McMoRan Inc.  100%</t>
  </si>
  <si>
    <t>Inner Mongolia Bayern Mining Co., Ltd.  100%</t>
  </si>
  <si>
    <t>Vast Resources plc  100%</t>
  </si>
  <si>
    <t>Baiyin Deep Mining Co., Ltd.  100%</t>
  </si>
  <si>
    <t>Yangxin County Xincheng Mining Co., Ltd.  100%</t>
  </si>
  <si>
    <t>Ural Mining and Metallurgical Company  79.78%</t>
  </si>
  <si>
    <t>Mineral Power Limited</t>
  </si>
  <si>
    <t>Hong Kong</t>
  </si>
  <si>
    <t>SELMARECO LTD.</t>
  </si>
  <si>
    <t>Cyprus</t>
  </si>
  <si>
    <t>PT Amman Mineral Internasional Tbk (Venturer) 99.99%; PT AP Investment (Venturer) 0.01%</t>
  </si>
  <si>
    <t>Rio Tinto Group  100%</t>
  </si>
  <si>
    <t>Eritrean National Mining Corporation  45%; Zijin Mining Group Company Limited (Venturer) 55%</t>
  </si>
  <si>
    <t>Shanxi Zhongtiaoshan Nonferrous Metals Group Zizigou Mining Co., Ltd.  100%</t>
  </si>
  <si>
    <t>Exxaro Resources Limited (Venturer) 26%; Vedanta Limited (Venturer) 74%</t>
  </si>
  <si>
    <t>India</t>
  </si>
  <si>
    <t>Newmont Corporation  100%</t>
  </si>
  <si>
    <t>Alpayana S.A.C.  100%</t>
  </si>
  <si>
    <t>Northam Platinum Holdings Limited  100%</t>
  </si>
  <si>
    <t>RTB Bor Group d.o.o. (Venturer) 37%; Zijin Mining Group Company Limited (Venturer) 63%</t>
  </si>
  <si>
    <t>Zijin Mining Group Company Limited</t>
  </si>
  <si>
    <t>Southern Copper Corporation (Venturer) 98.3%; Mexico (Venturer) 1.7%</t>
  </si>
  <si>
    <t>Grupo México, S.A.B. de C.V.</t>
  </si>
  <si>
    <t>Americas Mining Corporation</t>
  </si>
  <si>
    <t>Mexico (Venturer) 1.7%; Southern Copper Corporation (Venturer) 98.3%</t>
  </si>
  <si>
    <t>Tanzania (Carried) 16%; Barrick Mining Corporation  84%</t>
  </si>
  <si>
    <t>Ural Mining and Metallurgical Company (Venturer) 64.66%; People's Government of Gansu Province (Venturer) 35.34%</t>
  </si>
  <si>
    <t>Public Joint Stock Company Mining and Metallurgical Company Norilsk Nickel (Venturer) 50.01%; CIS Natural Resources Fund (Venturer) 36.66%; Highland Fund (Venturer) 13.33%</t>
  </si>
  <si>
    <t>Luca Mining Corp. (Venturer) 99.9%; Reynas Minas S.A. de C.V. (Venturer) 0.1%</t>
  </si>
  <si>
    <t>Sumitomo Metal Mining Co., Ltd. (Venturer) 16%; Smma Candelaria, Inc. (Venture) %; Lundin Mining Corporation (Venturer) 80%; Sumitomo Corporation (Venturer) 4%</t>
  </si>
  <si>
    <t>Industrias Peñoles, S.A.B. de C.V.  100%</t>
  </si>
  <si>
    <t>Ero Copper Corp. (Venturer) 99.6%; Unnamed Owner (Fractional) %</t>
  </si>
  <si>
    <t>KGHM Polska Miedz S.A.  100%</t>
  </si>
  <si>
    <t>Teck Resources Limited (Venturer) 90%; Empresa Nacional de Minería (Venturer) 10%</t>
  </si>
  <si>
    <t>JX Advanced Metals Corporation (Venturer) 25%; Lundin Mining Corporation (Venturer) 75%</t>
  </si>
  <si>
    <t>JX Advanced Metals Corporation  100%</t>
  </si>
  <si>
    <t>First Quantum Minerals Ltd.  100%</t>
  </si>
  <si>
    <t>Antofagasta plc (Venturer) 70%; Marubeni Corporation (Venturer) 30%</t>
  </si>
  <si>
    <t>Cuprum Holding Limited  100%</t>
  </si>
  <si>
    <t>Malta</t>
  </si>
  <si>
    <t>Private Interest (Venturer) 0.47%; Gold Fields Limited (Venturer) 99.53%; Compañía de Minas Buenaventura S.A.A. (Fractional) %</t>
  </si>
  <si>
    <t>Shenzhen Zhongjin Lingnan Nonfemet Co. Ltd.  100%</t>
  </si>
  <si>
    <t>Nexa Resources Perú S.A.A.  100%</t>
  </si>
  <si>
    <t>Nexa Resources - Cajamarquilla S.A.</t>
  </si>
  <si>
    <t>Sumitomo Metal Mining Co., Ltd. (Venturer) 16.8%; Sumitomo Corporation  4.2%; Freeport-McMoRan Inc. (Venturer) 55.08%; Unnamed Owner (Fractional) %; Compañía de Minas Buenaventura S.A.A. (Venturer) 19.58%</t>
  </si>
  <si>
    <t>Compañía de Minas Buenaventura S.A.A. (Venturer) 19.58%; Sumitomo Metal Mining Co., Ltd. (Venturer) 21%; Unnamed Owner (Fractional) %; Freeport-McMoRan Inc. (Venturer) 55.08%</t>
  </si>
  <si>
    <t>ZCCM Investments Holdings Plc (Venturer) 15%; China Nonferrous Mining Corporation Limited (Venturer) 85%</t>
  </si>
  <si>
    <t>State-owned Assets Supervision and Administration Commission of the State Counci</t>
  </si>
  <si>
    <t>China Nonferrous Mining Development Limited</t>
  </si>
  <si>
    <t>BVI</t>
  </si>
  <si>
    <t>Industrial Development Corporation (Zambia) Limited</t>
  </si>
  <si>
    <t>Private Interest  100%</t>
  </si>
  <si>
    <t>Lundin Mining Corporation  100%</t>
  </si>
  <si>
    <t>Southern Copper Corporation  100%</t>
  </si>
  <si>
    <t>DPM Metals Inc.  100%</t>
  </si>
  <si>
    <t>Jiangxi Copper Company Limited  100%</t>
  </si>
  <si>
    <t>State-owned Assets Supervision and Administration Commission of Jiangxi Province</t>
  </si>
  <si>
    <t>Jiangxi Copper Corporation Limited</t>
  </si>
  <si>
    <t>Volcan Compañía Minera S.A.A.  100%</t>
  </si>
  <si>
    <t>Integra Capital S.A.</t>
  </si>
  <si>
    <t>Transition Metals AG</t>
  </si>
  <si>
    <t>Harmony Gold Mining Company Limited  100%</t>
  </si>
  <si>
    <t>Anglo American plc (Venturer) 44%; Mitsui Kinzoku Company, Limited (Venturer) 0.97%; Mitsui &amp; Co., Ltd. (Venturer) 11.03%; Glencore plc (Venturer) 44%</t>
  </si>
  <si>
    <t>Hudbay Minerals Inc.  100%</t>
  </si>
  <si>
    <t>Montana Resources, LLP  100%</t>
  </si>
  <si>
    <t>The Washington Companies</t>
  </si>
  <si>
    <t>Washington Corporations</t>
  </si>
  <si>
    <t>Americas Gold and Silver Corporation  100%</t>
  </si>
  <si>
    <t>Capstone Copper Corp.  100%</t>
  </si>
  <si>
    <t>Yunnan Copper Co.,Ltd  100%</t>
  </si>
  <si>
    <t>Yunnan Copper Industry (Group) Co., Ltd.</t>
  </si>
  <si>
    <t>Chifeng Dajingzi Mining Co., Ltd.  100%</t>
  </si>
  <si>
    <t>Yuxi Resources Corporation (Venturer) 50%; Grand Long Enterprises Limited (Venturer) 40%; Yunnan Dingtai Investment Co., Ltd. (Venturer) 10%</t>
  </si>
  <si>
    <t>Yunnan Copper Co.,Ltd</t>
  </si>
  <si>
    <t>China State-Owned Mining Enterprise  100%</t>
  </si>
  <si>
    <t>Zijin Mining Group Company Limited  100%</t>
  </si>
  <si>
    <t>Vault Minerals Limited  100%</t>
  </si>
  <si>
    <t>China Nonferrous Mining Corporation Limited (Venturer) 51%; Gécamines SA (Venturer) 49%</t>
  </si>
  <si>
    <t>Private Interest (Venturer) 20%; OceanaGold Corporation (Venturer) 80%</t>
  </si>
  <si>
    <t>The Doe Run Resources Corporation  100%</t>
  </si>
  <si>
    <t>The Renco Group, Inc.</t>
  </si>
  <si>
    <t>Tongling Nonferrous Metals Group Co.,Ltd.  100%</t>
  </si>
  <si>
    <t>Kunming Dongshen Mining Co., Ltd.  100%</t>
  </si>
  <si>
    <t>Wancheng Commercial Dongshengmiao Co., Ltd.  100%</t>
  </si>
  <si>
    <t>Hainan Qianjinda Investment Company Limited</t>
  </si>
  <si>
    <t>Talon Metals Corp.  100%</t>
  </si>
  <si>
    <t>Corporación Nacional del Cobre de Chile (Venturer) 49%; Freeport-McMoRan Inc. (Venturer) 51%</t>
  </si>
  <si>
    <t>Compañía de Minas Buenaventura S.A.A. (Venturer) 61.43%; Unnamed Owner (Fractional) %</t>
  </si>
  <si>
    <t>Anglo American plc (Venturer) 50.06%; Mitsubishi Corporation (Venturer) 20.44%; Corporación Nacional del Cobre de Chile (Venturer) 20%; Mitsui &amp; Co., Ltd. (Venturer) 9.5%</t>
  </si>
  <si>
    <t>Orvana Minerals Corp.  100%</t>
  </si>
  <si>
    <t>Andean Resources SA</t>
  </si>
  <si>
    <t>Panama</t>
  </si>
  <si>
    <t>Fabulosa Mines Limited</t>
  </si>
  <si>
    <t>Geotechmin Ood  100%</t>
  </si>
  <si>
    <t>AIC Mines Limited  100%</t>
  </si>
  <si>
    <t>Mongolian Copper Corporation LLC (Venturer) 49%; Mongolia (Venturer) 51%</t>
  </si>
  <si>
    <t>Evolution Mining Limited  100%</t>
  </si>
  <si>
    <t>Qinghai Xinguang Mining and Trade Co., Ltd.  100%</t>
  </si>
  <si>
    <t>BHP Group Limited (Venturer) 57.5%; Rio Tinto Group (Venturer) 30%; Mitsubishi Corporation (Venturer) 8.25%; JX Advanced Metals Corporation (Venturer) 3%; Mitsubishi Materials Corporation (Venturer) 1.25%</t>
  </si>
  <si>
    <t>Mitsubishi Corporation (Venturer) 8.25%; Rio Tinto Group (Venturer) 30%; Mitsubishi Materials Corporation (Venturer) 1.25%; JX Advanced Metals Corporation (Venturer) 3%; BHP Group Limited (Venturer) 57.5%</t>
  </si>
  <si>
    <t>Shalina Resources Ltd  95%; Dem. Rep. Congo (Carried) 5%</t>
  </si>
  <si>
    <t>Shalina Group Limited</t>
  </si>
  <si>
    <t>United Arab Emirates</t>
  </si>
  <si>
    <t>Hubei Fengjiashan Mining Co., Ltd.  100%</t>
  </si>
  <si>
    <t>Unnamed Owner (Fractional) %; China Daye Non-Ferrous Metals Mining Limited (Venturer) 95.35%</t>
  </si>
  <si>
    <t>Daye Nonferrous Metals Group Holdings Co., Ltd.</t>
  </si>
  <si>
    <t>Grupo Minero Las Cenizas S.A.  100%</t>
  </si>
  <si>
    <t>Eurasian Resources Group S.à r.l. (Venturer) 95%; Dem. Rep. Congo (Venturer) 5%</t>
  </si>
  <si>
    <t>Inner Mongolia Chifeng Fuyuan Mining Co., Ltd.  100%</t>
  </si>
  <si>
    <t>Ural Mining and Metallurgical Company  100%</t>
  </si>
  <si>
    <t>Trekor Metals Limited  100%</t>
  </si>
  <si>
    <t>29Metals Limited  100%</t>
  </si>
  <si>
    <t>Agnico Eagle Mines Limited  100%</t>
  </si>
  <si>
    <t>Freeport-McMoRan Inc. (Venturer) 48.76%; PT Mineral Industri Indonesia (Persero) (Venturer) 51.24%</t>
  </si>
  <si>
    <t>Huili County Heiyu Mining Co., Ltd.  100%</t>
  </si>
  <si>
    <t>Unnamed Owner  100%</t>
  </si>
  <si>
    <t>Kunming Hemeida Industry and Trade Co., Ltd.  100%</t>
  </si>
  <si>
    <t>Teck Resources Limited  100%</t>
  </si>
  <si>
    <t>Daye Xinghong Mining Co., Ltd.  100%</t>
  </si>
  <si>
    <t>China Nonferrous Mining Corporation Limited (Venturer) 67.5%; Huachin SPRL (Venturer) 32.5%</t>
  </si>
  <si>
    <t>Pan American Silver Corp.  100%</t>
  </si>
  <si>
    <t>Tibet Huayu Mining Co., Ltd.  100%</t>
  </si>
  <si>
    <t>Western Mining Co.,Ltd.  100%</t>
  </si>
  <si>
    <t>Qinghai State Owned Assets Supervision &amp; Administration Commission</t>
  </si>
  <si>
    <t>Western Mining Group Co., Ltd.</t>
  </si>
  <si>
    <t>Shuyang County Qianpu Mining Co., Ltd.  100%</t>
  </si>
  <si>
    <t>Private Interest (Venturer) 13%; Impala Platinum Holdings Limited (Venturer) 87%</t>
  </si>
  <si>
    <t>Impala Platinum Holdings Limited  100%</t>
  </si>
  <si>
    <t>Barrick Mining Corporation (Venturer) 50%; Saudi Arabian Mining Company (Maaden) (Venturer) 50%</t>
  </si>
  <si>
    <t>Public Investment Fund</t>
  </si>
  <si>
    <t>China Gold International Resources Corp. Ltd.  100%</t>
  </si>
  <si>
    <t>China National Gold Group Hong Kong Limited</t>
  </si>
  <si>
    <t>Zhongjin Gold Corp.,Ltd (Venturer) 55%; Unnamed Owner (Fractional) %</t>
  </si>
  <si>
    <t>China National Gold Group Co., Ltd</t>
  </si>
  <si>
    <t>JinChuan Group Co.,Ltd  100%</t>
  </si>
  <si>
    <t>State-Owned Assets Supervision And Administration Commission Of Gansu Provincial</t>
  </si>
  <si>
    <t>Anhui Chizhou Jinsen Mining Co., Ltd.  100%</t>
  </si>
  <si>
    <t>Jiujiang Mining and Metallurgy Co., Ltd.  100%</t>
  </si>
  <si>
    <t>Sunan County Qilianshan Mining Co., Ltd.  100%</t>
  </si>
  <si>
    <t>Inner Mongolia Yufeng Mining Group Co., Ltd.  100%</t>
  </si>
  <si>
    <t>Compañía de Minas Buenaventura S.A.A.  100%</t>
  </si>
  <si>
    <t>K92 Mining Inc.  100%</t>
  </si>
  <si>
    <t>Chengtun Mining Group Co., Ltd. (Venturer) 85%; Dem. Rep. Congo (Carried) 5%; La Generale Industrielle et Commerciale au Congo SPRL (Venturer) 10%; Ivanhoe Mines Ltd. (Fractional) %</t>
  </si>
  <si>
    <t>Crystal River Global Limited (Venturer) 0.8%; Zijin Mining Group Company Limited (Venturer) 39.6%; Dem. Rep. Congo (Venturer) 20%; Ivanhoe Mines Ltd. (Venturer) 39.6%</t>
  </si>
  <si>
    <t>Glencore plc  75%; Dem. Rep. Congo (Venturer) 25%</t>
  </si>
  <si>
    <t>Hillgrove Resources Limited  100%</t>
  </si>
  <si>
    <t>ZCCM Investments Holdings Plc (Venturer) 20%; First Quantum Minerals Ltd. (Venturer) 80%</t>
  </si>
  <si>
    <t>Gold Mining Company LLC  100%</t>
  </si>
  <si>
    <t>Kazzinc Ltd.  100%</t>
  </si>
  <si>
    <t>Glencore plc</t>
  </si>
  <si>
    <t>Compass Investment Company Limited (Venturer) 40.5%; MMG Limited (Venturer) 55%</t>
  </si>
  <si>
    <t>China Minmetals H.K. (Holdings) Limited</t>
  </si>
  <si>
    <t>Pagoda Tree Investment Company Limited</t>
  </si>
  <si>
    <t>Discovery Mining Ltd.  100%</t>
  </si>
  <si>
    <t>MMG Limited  100%</t>
  </si>
  <si>
    <t>Gécamines SA (Venturer) 5%; Tiger Resources Limited (Venturer) 95%</t>
  </si>
  <si>
    <t>CMOC Group Limited (Venturer) 71.25%; Contemporary Amperex Technology Co., Limited (Venturer) 23.75%; Unnamed Owner (Fractional) %</t>
  </si>
  <si>
    <t>Zijin Mining Group Company Limited (Venturer) 67%; Gécamines SA (Venturer) 33%</t>
  </si>
  <si>
    <t>ZCCM Investments Holdings Plc (Venturer) 20.6%; Vedanta Incorporated (Venturer) 79.4%</t>
  </si>
  <si>
    <t>Conclave PTC Limited</t>
  </si>
  <si>
    <t>Bahamas</t>
  </si>
  <si>
    <t>Central Asia Metals plc  100%</t>
  </si>
  <si>
    <t>Sibanye Stillwater Limited  100%</t>
  </si>
  <si>
    <t>Shandong Longxing Group Laizhou Chemical Building Materials Co.,Ltd. (Venturer) 30%; Zijin Mining Group Company Limited (Venturer) 70%</t>
  </si>
  <si>
    <t>Unnamed Owner (Fractional) %; Southern Copper Corporation (Venturer) 98.1%</t>
  </si>
  <si>
    <t>Unnamed Owner (Venturer) 1.9%; Southern Copper Corporation (Venturer) 98.1%</t>
  </si>
  <si>
    <t>Zhangzhou Tongxin Mining Co., Ltd.  100%</t>
  </si>
  <si>
    <t>Kunming Laolaihong Mining Co., Ltd.  100%</t>
  </si>
  <si>
    <t>MMG Limited (Venturer) 62.5%; Compass Investment Company Limited (Venturer) 20.25%; CITIC Limited (Venturer) 15%</t>
  </si>
  <si>
    <t>Fortuna Mining Corp.  100%</t>
  </si>
  <si>
    <t>Sichuan Liwu Copper Mining Co., Ltd.  100%</t>
  </si>
  <si>
    <t>Guangxi Luxi Longwan Mining Co., Ltd.  100%</t>
  </si>
  <si>
    <t>Mitsubishi Corporation (Venturer) 20.44%; Mitsui &amp; Co., Ltd. (Venturer) 9.5%; Corporación Nacional del Cobre de Chile (Venturer) 20%; Anglo American plc (Venturer) 50.06%</t>
  </si>
  <si>
    <t>Corporación Nacional del Cobre de Chile (Venturer) 20%; Anglo American plc (Venturer) 50.06%; Mitsubishi Corporation (Venturer) 20.44%; Mitsui &amp; Co., Ltd. (Venturer) 9.5%</t>
  </si>
  <si>
    <t>Antofagasta plc (Venturer) 60%; Mitsubishi Materials Corporation (Venturer) 10%; JX Advanced Metals Corporation (Venturer) 12.52%; Marubeni Corporation (Venturer) 12.48%; Mitsubishi Corporation (Venturer) 5%</t>
  </si>
  <si>
    <t>ZCCM Investments Holdings Plc (Venturer) 20%; JCHX Mining Management Co.,Ltd. (Venturer) 80%</t>
  </si>
  <si>
    <t>JCHX Group Co., Ltd.</t>
  </si>
  <si>
    <t>Barrick Mining Corporation  100%</t>
  </si>
  <si>
    <t>Huili County Luodong Copper Industry Co., Ltd.  100%</t>
  </si>
  <si>
    <t>Wuqu County Wulong Industrial Co., Ltd.  100%</t>
  </si>
  <si>
    <t>Huili Xingda Mining Co., Ltd  100%</t>
  </si>
  <si>
    <t>China Nonferrous Mining Corporation Limited (Venturer) 42%; Huachin SARL (Venturer) 35%; Unnamed Owner (Venturer) 23%</t>
  </si>
  <si>
    <t>Vale S.A.  100%</t>
  </si>
  <si>
    <t>Capstone Copper Corp. (Venturer) 69.99%; Unnamed Owner (Fractional) %; Mitsubishi Materials Corporation (Venturer) 30%</t>
  </si>
  <si>
    <t>Mitsubishi Materials Corporation (Venturer) 30%; Capstone Copper Corp. (Venturer) 69.99%; Unnamed Owner (Fractional) %</t>
  </si>
  <si>
    <t>Incwala Resource (Pty) Limited (Venturer) 19.36%; Sibanye Stillwater Limited (Venturer) 80.64%</t>
  </si>
  <si>
    <t>The Shanduka Group Pty Ltd.</t>
  </si>
  <si>
    <t>Shanduka Resources</t>
  </si>
  <si>
    <t>Sandfire Resources Limited  100%</t>
  </si>
  <si>
    <t>Eurasian Group LLP  100%</t>
  </si>
  <si>
    <t>Eurasian Resources Group S.à r.l.</t>
  </si>
  <si>
    <t>Sibanye Stillwater Limited (Venturer) 50%; Impala Platinum Holdings Limited (Venturer) 50%</t>
  </si>
  <si>
    <t>SODIMICO (Venturer) 23%; Jinchuan Group International Resources Co. Ltd (Venturer) 77%</t>
  </si>
  <si>
    <t>Jinchuan (BVI) Limited</t>
  </si>
  <si>
    <t>China Railway Construction Investment Group Co.,Ltd. (Venturer) 30%; Tongling Nonferrous Metals Group Co.,Ltd. (Venturer) 70%</t>
  </si>
  <si>
    <t>China Railway Construction Corporation Limited</t>
  </si>
  <si>
    <t>Grupo México, S.A.B. de C.V.  100%</t>
  </si>
  <si>
    <t>Private Interest (Carried) 8.5%; African Rainbow Minerals Limited (Venturer) 41.5%; Valterra Platinum Limited (Venturer) 50%</t>
  </si>
  <si>
    <t>Sumitomo Corporation (Venturer) 3%; Sumitomo Metal Mining Co., Ltd. (Venturer) 25%; Freeport-McMoRan Inc. (Venturer) 72%</t>
  </si>
  <si>
    <t>Freeport-McMoRan Inc. (Venturer) 72%; Sumitomo Corporation (Venturer) 3%; Sumitomo Metal Mining Co., Ltd. (Venturer) 25%</t>
  </si>
  <si>
    <t>Centerra Gold Inc.  100%</t>
  </si>
  <si>
    <t>ZCCM Investments Holdings Plc (Venturer) 49%; International Resources Holding (Venturer) 51%</t>
  </si>
  <si>
    <t>International Holding Company PJSC</t>
  </si>
  <si>
    <t>2PointZero</t>
  </si>
  <si>
    <t>ZCCM Investments Holdings Plc  100%</t>
  </si>
  <si>
    <t>Consolidated Mining and Investments Ltd (Optionee) 68%; Jinchuan Group International Resources Co. Ltd (Optionor) 32%</t>
  </si>
  <si>
    <t>Dem. Rep. Congo (Venturer) 5%; Jinchuan Group International Resources Co. Ltd (Venturer) 70%; Gécamines SA (Venturer) 25%</t>
  </si>
  <si>
    <t>Dem. Rep. Congo (Venturer) 5%; Glencore plc (Venturer) 95%</t>
  </si>
  <si>
    <t>Trafigura Group Pte. Ltd.  100%</t>
  </si>
  <si>
    <t>Farringford Foundation</t>
  </si>
  <si>
    <t>Trafigura Beheer B.V.</t>
  </si>
  <si>
    <t>Singapore</t>
  </si>
  <si>
    <t>Vedanta Incorporated (Venturer) 79.4%; ZCCM Investments Holdings Plc (Venturer) 20.6%</t>
  </si>
  <si>
    <t>Barrick Mining Corporation (Venturer) 61.5%; Newmont Corporation (Venturer) 38.5%; i-80 Gold Corp.  %</t>
  </si>
  <si>
    <t>Coeur Mining, Inc.  100%</t>
  </si>
  <si>
    <t>Yinfu Gold Corporation (Venturer) 35%; Wanyu Mining (Venturer) 65%</t>
  </si>
  <si>
    <t>International Resources Holding (Venturer) 51%; ZCCM Investments Holdings Plc (Venturer) 49%</t>
  </si>
  <si>
    <t>Public Joint Stock Company Mining and Metallurgical Company Norilsk Nickel  100%</t>
  </si>
  <si>
    <t>Sumitomo Corporation (Venturer) 6.7%; Sumitomo Metal Mining Co., Ltd. (Venturer) 13.3%; Evolution Mining Limited (Venturer) 80%</t>
  </si>
  <si>
    <t>IGO Limited  100%</t>
  </si>
  <si>
    <t>Bahrain Right Banner Norga Copper Mine Co., Ltd.  100%</t>
  </si>
  <si>
    <t>Ok Tedi Mining Limited  100%</t>
  </si>
  <si>
    <t>PNG Sustainable Development Program Limited</t>
  </si>
  <si>
    <t>Rio Tinto Group (Venturer) 66%; Mongolia (Venturer) 34%</t>
  </si>
  <si>
    <t>Philex Mining Corporation  100%</t>
  </si>
  <si>
    <t>China-Africa Development Fund (Venturer) 5%; General Nice Development Limited (Venturer) 20%; The Industrial Development Corporation of South Africa Limited (Venturer) 20%; HBIS Group Company Limited (Venturer) 35%; Tewoo Group Co., Ltd. (Venturer) 20%</t>
  </si>
  <si>
    <t>State-owned Assets Supervision and Administration Commission of Hebei Province</t>
  </si>
  <si>
    <t>Assarel-Medet JSCo.  100%</t>
  </si>
  <si>
    <t>Tello Holding AG</t>
  </si>
  <si>
    <t>VA INTERTRADING Aktiengesellschaft</t>
  </si>
  <si>
    <t>Austria</t>
  </si>
  <si>
    <t>Aurelia Metals Limited  100%; Lydail Pty Ltd. (Fractional) %; Zintoba Pty Ltd. (Fractional) %</t>
  </si>
  <si>
    <t>Laos (Carried) 10%; PanAust Limited  90%</t>
  </si>
  <si>
    <t>Sedibelo Resources Limited  100%</t>
  </si>
  <si>
    <t>Guernsey</t>
  </si>
  <si>
    <t>Mvelaphanda Holdings (Proprietary) Limited (Venturer) 8.3%; Sibanye Stillwater Limited (Venturer) 91.7%</t>
  </si>
  <si>
    <t>ITOCHU Corporation (Venturer) %; Japan Organization for Metals and Energy Security (Venturer) %; Ivanhoe Mines Ltd. (Venturer) 64%; JGC Holdings Corporation (Venturer) %; Black Economic Empowerment (Venturer) 26%</t>
  </si>
  <si>
    <t>PSG Group Ltd</t>
  </si>
  <si>
    <t>OZ Minerals Pty Ltd (Fractional) %; BHP Group Limited  100%</t>
  </si>
  <si>
    <t>BHP Group Limited</t>
  </si>
  <si>
    <t>Bhp Lonsdale Investments Pty. Ltd.</t>
  </si>
  <si>
    <t>Atalaya Mining Copper, S.A.  100%; Rumbo 5-Cero, S.L. (Fractional) %</t>
  </si>
  <si>
    <t>Yunnan Copper Co.,Ltd (Venturer) 70%; Diqing Development and Investment Co Ltd (Venturer) 8.33%; Yunnan Gold&amp;Mineral Group Co., Ltd. (Venturer) 20%</t>
  </si>
  <si>
    <t>Kinterra Capital Corp.  100%; RGGS Land &amp; Minerals Ltd., L.P (Fractional) %</t>
  </si>
  <si>
    <t>Battery Mineral Resources Corp.  100%</t>
  </si>
  <si>
    <t>Qinghai Qilianshan Copper Industry Co., Ltd.  100%</t>
  </si>
  <si>
    <t>Sumitomo Corporation (Venturer) 5%; Sumitomo Metal Mining Co., Ltd. (Venturer) 25%; Corporación Nacional del Cobre de Chile (Carried) 10%; Teck Resources Limited (Venturer) 60%</t>
  </si>
  <si>
    <t>Anglo American plc (Venturer) 60%; Mitsubishi Corporation (Venturer) 40%</t>
  </si>
  <si>
    <t>Zijin Mining Group Company Limited (Venturer) 58.16%; Zangge Mining Company Limited (Venturer) 16.84%; Private Interest (Venturer) 25%</t>
  </si>
  <si>
    <t>Imperial Metals Corporation (Venturer) 30%; Newmont Corporation (Venturer) 70%</t>
  </si>
  <si>
    <t>Jinchuan Group International Resources Co. Ltd (Venturer) 70%; Gécamines SA (Venturer) 25%; Dem. Rep. Congo (Venturer) 5%</t>
  </si>
  <si>
    <t>Joint Stock Company "Sibir-Polymetal"  100%</t>
  </si>
  <si>
    <t>Public Joint-Stock Company Chelyabinsk Zinc Plant</t>
  </si>
  <si>
    <t>Sibanye Stillwater Limited (Venturer) 74%; Newshelf 1335 Proprietary Limited (Venturer) 26%</t>
  </si>
  <si>
    <t>Unnamed Owner (Fractional) %; Minera Frisco, S.A.B. de C.V. (Venturer) 99.16%</t>
  </si>
  <si>
    <t>Pan American Silver Corp. (Venturer) 95%; Trafigura Group Pte. Ltd. (Venturer) 5%</t>
  </si>
  <si>
    <t>Appian Capital Advisory LLP  100%</t>
  </si>
  <si>
    <t>Zhongjin Gold Corp.,Ltd (Venturer) 51%; Unnamed Owner (Fractional) %</t>
  </si>
  <si>
    <t>National Iranian Copper Industries  100%</t>
  </si>
  <si>
    <t>Jiangxi Jinyu Industrial Group Co., Ltd.  100%</t>
  </si>
  <si>
    <t>Chifeng Jinhongling Nonferrous Mining Co., Ltd.  100%</t>
  </si>
  <si>
    <t>Tangdan Conc. Plant  100%</t>
  </si>
  <si>
    <t>Kunming Shuangfo Mining Co., Ltd.  100%</t>
  </si>
  <si>
    <t>Kunming Shunqiang Mining Co., Ltd.  100%</t>
  </si>
  <si>
    <t>South32 Limited (Venturer) 45%; KGHM International Ltd. (Venturer) 55%</t>
  </si>
  <si>
    <t>KGHM Polska Miedz S.A.</t>
  </si>
  <si>
    <t>Future 1 Spolka Z O.O.</t>
  </si>
  <si>
    <t>Baiyin Nonferrous Group Co., Ltd.  100%</t>
  </si>
  <si>
    <t>Xalotho Company Limited (Optionee) 80%; Blackstone Minerals Limited (Optionor) 20%</t>
  </si>
  <si>
    <t>Qingdao Qihua Investment Holding Co., Ltd.  100%</t>
  </si>
  <si>
    <t>Minera Frisco, S.A.B. de C.V. (Venturer) 90.2%; Minera Tayahua, S.A. De C.V. (Venturer) 9.8%</t>
  </si>
  <si>
    <t>Grupo Carso, S.A.B. de C.V.</t>
  </si>
  <si>
    <t>Greatland Resources Limited  100%</t>
  </si>
  <si>
    <t>Gécamines SA (Carried) 20%; CMOC Group Limited (Venturer) 80%</t>
  </si>
  <si>
    <t>Sichuan Huili Lead &amp; Zinc Co., Ltd.  100%</t>
  </si>
  <si>
    <t>Industrias Peñoles, S.A.B. de C.V. (Venturer) 51%; Sumitomo Corporation (Venturer) 10%; Dowa Holdings Co., Ltd. (Venturer) 39%</t>
  </si>
  <si>
    <t>Linxi County Tonghe Mining Co., Ltd.  100%</t>
  </si>
  <si>
    <t>China Nonferrous Metal Mining (Group) Co., Ltd. (Venturer) 4.65%; China Daye Non-Ferrous Metals Mining Limited (Venturer) 95.35%</t>
  </si>
  <si>
    <t>Anhui Chizhou Jinchi Investment Co., Ltd.  100%</t>
  </si>
  <si>
    <t>Aluminum Corporation of China Limited  100%</t>
  </si>
  <si>
    <t>Aluminum Corporation of China</t>
  </si>
  <si>
    <t>Aeris Resources Limited  100%</t>
  </si>
  <si>
    <t>Strata Investment Holdings Plc (Fractional) %; Sandfire Resources Limited  100%</t>
  </si>
  <si>
    <t>Yunnan Copper Co.,Ltd (Venturer) 51%; Oriental Pearl Group Co.,Ltd. (Venturer) 49%</t>
  </si>
  <si>
    <t>African Rainbow Minerals Limited (Venturer) 54%; Impala Platinum Holdings Limited (Venturer) 46%</t>
  </si>
  <si>
    <t>Bakgatla Ba Kgafela (Venturer) 15%; Siyanda Resources (Pty) Ltd (Venturer) 85%</t>
  </si>
  <si>
    <t>Solidcore Resources plc  100%</t>
  </si>
  <si>
    <t>Heilongjiang Yichun Jinlin Mining Industry C (Venturer) %; Beijing Yuhongxing Investment Co Ltd (Venturer) %; Inner Mongolia Geological Exploration Co Ltd (Venturer) %; Inner Mongolia Weila Situo Mining Industry Co., Ltd.  100%</t>
  </si>
  <si>
    <t>#INVALID COMPANY ID</t>
  </si>
  <si>
    <t>Yunnan Hualian Zinc and Indium Co., Ltd.  100%</t>
  </si>
  <si>
    <t>State-owned Asset Supervision and Administration Commission of Yunnan Provincial</t>
  </si>
  <si>
    <t>Yunnan Tin Company Limited</t>
  </si>
  <si>
    <t>Posco International Corporation (Venturer) 0.01%; PT Merdeka Copper Gold Tbk (Venturer) 99.99%</t>
  </si>
  <si>
    <t>POSCO Holdings Inc.</t>
  </si>
  <si>
    <t>South Korea</t>
  </si>
  <si>
    <t>Sky Metals Limited (Fractional) %; Develop Global Limited  100%</t>
  </si>
  <si>
    <t>China National Gold Group Co., Ltd (Venturer) 10%; Zhongjin Gold Corp.,Ltd (Venturer) 90%</t>
  </si>
  <si>
    <t>Wengniute Banner Wutonghua Copper Mine Houshan Mining  100%</t>
  </si>
  <si>
    <t>Chengde Shuoda Mining Co., Ltd.  100%</t>
  </si>
  <si>
    <t>Unnamed Owner (Fractional) %; China Daye Non-Ferrous Metals Mining Limited (Venturer) 55%</t>
  </si>
  <si>
    <t>Tongling Chemical Industry Group Co.,Ltd.  100%</t>
  </si>
  <si>
    <t>Wanguo Gold Group Limited  100%; Anhui Bureau of Geology and Mineral Explo  %</t>
  </si>
  <si>
    <t>Yunnan Chuxiong Mining &amp; Metallurgy Co., Ltd. (Venturer) 16.67%; Diqing Development and Investment Co Ltd (Venturer) 8.33%; Yunnan Copper Co.,Ltd (Venturer) 75%</t>
  </si>
  <si>
    <t>Subei County Yuxi Mining Co., Ltd.  100%</t>
  </si>
  <si>
    <t>Volcan Compañía Minera S.A.A.  100%; Empresa Minera Mahr Tunel S.A. (Venture) %</t>
  </si>
  <si>
    <t>Private Interest (Venturer) 2.4%; Alpayana S.A.C. (Venturer) 97.6%</t>
  </si>
  <si>
    <t>Private Interest (Venturer) 18.16%; Alpayana S.A.C. (Venturer) 81.84%</t>
  </si>
  <si>
    <t>Shandong Gold Mining Co., Ltd.  100%</t>
  </si>
  <si>
    <t>People's Government Of Shandong Province</t>
  </si>
  <si>
    <t>Shandong Gold Group Co.,Ltd</t>
  </si>
  <si>
    <t>Xizang Mineral Development Co. LTD (Venturer) 2%; Western Mining Co.,Ltd. (Venturer) 58%; Changdu Capital Management And Operation Co (Venturer) 8%; Tibet No 6 Geology and Survey Team (Venturer) 10%; Yulong Copper Industry Joint-Stock Co (Venture) %; Zijin Mining Group Company Limited (Venturer) 22%</t>
  </si>
  <si>
    <t>Antofagasta plc (Venturer) 50%; Barrick Mining Corporation (Venturer) 50%</t>
  </si>
  <si>
    <t>Zangezur Copper Molybdenum Combine CJSC  100%</t>
  </si>
  <si>
    <t>Zijin Mining Group Company Limited (Venturer) 50.1%; Private Interest (Venturer) 25%; Zangge Mining Company Limited (Venturer) 24.9%</t>
  </si>
  <si>
    <t>Zhixincheng Conc. Plant  100%</t>
  </si>
  <si>
    <t>Kunming Haohao Mining Co., Ltd.  100%</t>
  </si>
  <si>
    <t>Zimplats Holdings Limited  100%</t>
  </si>
  <si>
    <t>Impala Platinum Holdings Limited</t>
  </si>
  <si>
    <t>Impala Platinum BV</t>
  </si>
  <si>
    <t>Valterra Platinum Limited (Fractional) %; Northam Platinum Holdings Limited  100%</t>
  </si>
  <si>
    <t>允䅁䉁䑷䅁䵁䅁䅁睎ㅁ䑁䅣睍ㅁ䅁䅁睌䅁䅁䄴䅁祁䑁䅑睍穁䑁䅉睎䅁䅁䅁䅁潁䅁䅁兔求䡁䅑兙獂䝁䅫杢㉂䝁䅕督あ䍁䅁兑畂䡁䅍䅤桂䝁䅷䅤䅁偁䍁䅁允䅁䅁睔㍂䝁䄴党祂䍁䅁杍䅁䅁䅣䅁㡁䅁䅁睑求䝁䄴䅤祂䝁䅅䅢杁䕁䅅督灂䝁䅅䅉乂䝁䅕䅤桂䝁䅷督杁䡁䅁䅢橂䍁䅁䅉硁䑁䅁䅍汁䅁䅁李䅁䡁䅧䅁䉂䡁䅑䅢桂䡁䅍䅉䑂䝁䄸杢穂䝁䄸䅢灂䝁䅑兙あ䝁䅕䅚杁䕁䄰兡畂䝁䅫杢湂䍁䅁兙畂䝁䅑䅉䕂䝁䅕杤求䝁䅷睢睂䝁䄰党畂䡁䅑䅉䑂䝁䄸杣睂䝁䄸杣桂䡁䅑兡療䝁䄴䅉杁䑁䅅䅍睁䍁䅕䅁潁䅁䅁䅄䅁䑁䅉李ぁ䑁䅅兏䅁䭁䉉䅁䵁䅁䅁杍㍁䑁䅅免ㅁ䅁䅁允䅁䕁䅙䅁䥂䡁䅕兡獂䝁䅫䅉奂䝁䅫杢湂䝁䅑兙杁䕁䄰兡畂䝁䅫杢湂䍁䅁睑療䍁䄴䅌杁䕁䅷䅤歂䍁䅁䅉硁䑁䅁䅍汁䅁䅁典䅅䅁䅷䅁祁䑁䅧兏㕁䑁䅉䅁佂杁䅁䅄䅁䑁䅧免祁䑁䅑睎䅁䍁䄰䅁㙃䅁䅁兓畂䡁䅑党祂䝁䄴兙あ䝁䅫睢畂䝁䅅䅢杁䙁䅉党穂䝁䄸兤祂䝁䅍党穂䍁䅁䅓療䝁䅷䅚灂䝁䄴睚杁䍁䅧杖求䝁䄴䅤ㅂ䡁䅉党祂䍁䅫䅉ㅁ䑁䅅兊㝁䍁䅁杗䑂䕁䅍兔杁䕁䅫杢㉂䝁䅕督あ䝁䄰党畂䡁䅑督杁䕁䅧睢獂䝁䅑兡畂䝁䅣督杁䙁䅁䅢橂䍁䅁䅋坂䝁䅕杢あ䡁䅕杣求䡁䅉克杁䑁䅑兏汁䅁䅁杢䅁䙁䅁䅁䱂䡁䅕杢瑂䝁䅫杢湂䍁䅁睕潂䡁䅕兙畂䝁䅣杚療䍁䅁兔灂䝁䄴兡畂䝁䅣䅉䑂䝁䄸杌獁䍁䅁䅔あ䝁䅑杌杁䍁䅁免睁䑁䅁兊䅁䑁䌰䅁䵁䅁䅁杍ㅁ䑁䅫睎㕁䅁䅁条䅅䉁䅁䅁偂䡁䅣杢求䡁䅉䅉硁䅁䅁杂䅁䱁䅁䅁䑂䝁䅧兡畂䝁䅅䅉佂䝁䄸杢浂䝁䅕杣祂䝁䄸兤穂䍁䅁兔灂䝁䄴兡畂䝁䅣䅉䑂䝁䄸杣睂䝁䄸杣桂䡁䅑兡療䝁䄴䅉䵂䝁䅫兢灂䡁䅑党歂䍁䅁䅋坂䝁䅕杢あ䡁䅕杣求䡁䅉克杁䑁䅕免汁䑁䅳䅉䡂佁䅫睙桂䝁䄰兡畂䝁䅕督杁䙁䅍兑杁䍁䅧杖求䝁䄴䅤ㅂ䡁䅉党祂䍁䅫䅉ぁ䑁䅫兊䅁偁䅅䅁允䅁䅁兒祂䝁䅫䅤祂䝁䅕兙䅁䅁䑷䅁坁䅁䅁睔塂䕁䄴兒卂䙁䄸䅔䩂䙁䅍䅖䅁䅁䅉䅁潁允䅁村䥂䙁䅁䅉䡂䡁䅉睢ㅂ䡁䅁䅉䵂䝁䅫兢灂䡁䅑党歂䍁䅁䅋坂䝁䅕杢あ䡁䅕杣求䡁䅉克杁䑁䅍睍畁䑁䅣兎汁䑁䅳䅉啂䝁䅕睙牂䍁䅁杕求䡁䅍睢ㅂ䡁䅉睙求䡁䅍䅉䵂䝁䅫兢灂䡁䅑党歂䍁䅁䅋坂䝁䅕杢あ䡁䅕杣求䡁䅉克杁䑁䅉杍畁䑁䅕兊㝁䍁䅁兔灂䡁䅑督ㅂ䝁䅉兡穂䝁䅧兡杁䕁䅍睢祂䡁䅁睢祂䝁䅅䅤灂䝁䄸杢杁䍁䅧杖求䝁䄴䅤ㅂ䡁䅉党祂䍁䅫䅉硁䑁䅁兊㝁䍁䅁睒獂䝁䅕杢橂䝁䄸杣求䍁䅁䅣獂䝁䅍䅉潁䙁䅙党畂䡁䅑兤祂䝁䅕杣灁䍁䅁睍穁䍁䄴睎ㅁ䍁䅕䅁䑁䅁䅁䅄䅁䑁䅉李㉁䑁䅣杍䅁䙁䄴䅁楂䅁䅁睊扂䙁䅍䅕䡂䝁䅷睢楂䝁䅅䅢時䕁䄸杣求䙁䄸䅍㍁䍁䄰杓ㅂ䝁䅷兌祁䑁䅁杍㉁䍁䄴䅥獂䡁䅍䅥摂䕁䄸睤畂䝁䅕杣穂䝁䅧兡睂䍁䅣光歁䙁䅅䅊硁䑁䅁䅁剄杁䅁䅄䅁䑁䅉睎祁䑁䅫免䅁䅁䅑䅁捂䅁䅁睑療䡁䅉䅣療䡁䅉兙橂䝁䅫眸畂䍁䅁杔桂䝁䅍兡療䝁䄴兙獂䍁䅁䅚求䝁䅷䅉䑂䝁䄸杙祂䝁䅕䅉歂䝁䅕䅉䑂䝁䅧兡獂䝁䅕䅉杁䑁䅅䅍睁䍁䅕䅁奁䅁䅁朸䅁䙁䅍兤瑂䝁䅫䅤療䝁䄰睢杁䕁䅍睢祂䡁䅁睢祂䝁䅅䅤灂䝁䄸杢杁䍁䅧杖求䝁䄴䅤ㅂ䡁䅉党祂䍁䅫䅉穁䍁䅕睏杁䙁䅍兤瑂䝁䅫䅤療䝁䄰睢杁䕁䄰党あ䝁䅅䅢杁䕁䄰兡畂䝁䅫杢湂䍁䅁睑療䍁䄴䅌杁䕁䅷䅤歂䍁䄴䅉潁䙁䅙党畂䡁䅑兤祂䝁䅕杣灁䍁䅁杍ㅁ䍁䅕睏杁䕁䅙杣求䝁䅕䅣療䡁䅉䅤瑁䕁䄰睙乂䝁䄸杕桂䝁䄴䅉䩂䝁䄴睙畁䍁䅁䅋坂䝁䅕杢あ䡁䅕杣求䡁䅉克杁䑁䅣杍汁䅁䅁朵䅅䍁䅧䅁偂䙁䅣杔䙂䙁䅉睘呂䕁䄴䅔時䕁䅫杔呂䙁䅑杔時䕁䅳兒婂䅁䅁兂䅁䱁䅧䅁啂䝁䄸杢湂䝁䅑兤杁䕁䅍睢睂䡁䅁党祂䍁䅁睖療䡁䅉睡穂䍁䅁䅋偂䡁䅁䅤灂䝁䄸杢求䝁䅕克杁䑁䅅䅍睁䍁䅕睏杁䙁䅑睢畂䝁䅣䅢灂䝁䄴睚杁䕁䄴睢畂䝁䅙党祂䡁䅉睢ㅂ䡁䅍䅉乂䝁䅕䅤桂䝁䅷督杁䕁䅣杣療䡁䅕䅣杁䕁䅍睢畁䍁䅷䅔あ䝁䅑杌杁䍁䅧睔睂䡁䅑兡療䝁䄴睢祂䍁䅫䅉汁䅁䅁杇䅁䅁䅷䅁穁䑁䅕兎硁䑁䅕䅁療杁䅁䅰䅁䙁䅁兙畂䍁䅁兑瑂䝁䅕杣灂䝁䅍兙畂䍁䅁睕灂䝁䅷杤求䡁䅉䅉䑂䝁䄸杣睂䍁䄴䅉潁䙁䅙党畂䡁䅑兤祂䝁䅕杣灁䍁䅁兏ㅁ䍁䅕睏杁䙁䅑杣桂䝁䅙兡湂䡁䅕杣桂䍁䅁睒祂䝁䄸兤睂䍁䅁䅕あ䝁䅕杌杁䕁䅷䅤歂䍁䄴䅉潁䙁䅙党畂䡁䅑兤祂䝁䅕杣灁䍁䅁兎汁䅁䅁睌䅉䅁䅙䅁佂䕁䅅䅁䥁䅁䅁䅄䅁䑁䅉兏㉁䑁䅁睎䅁䝁䍳䅁祁䅁䅁杖桂䡁䅍䅤杁䙁䅉党穂䝁䄸兤祂䝁䅍党穂䍁䅁䅣獂䝁䅍䅉杁䑁䅅䅍睁䍁䅕䅁睁䅁䅁䅄䅁䑁䅉兏㕁䑁䅧䅍䅁䅁䉉䅁㙃䅁䅁兒祂䝁䅫䅤祂䝁䅕兙畂䍁䅁杔桂䡁䅑兡療䝁䄴兙獂䍁䅁兔灂䝁䄴兡畂䝁䅣䅉䑂䝁䄸杣睂䝁䄸杣桂䡁䅑兡療䝁䄴䅉杁䑁䅑兎汁䑁䅳䅉慂䝁䅫条灂䝁䄴䅉乂䝁䅫杢灂䝁䄴睚杁䕁䅣杣療䡁䅕䅣杁䕁䅍睢瑂䡁䅁兙畂䡁䅫䅉䵂䝁䅫兢灂䡁䅑党歂䍁䅁䅋坂䝁䅕杢あ䡁䅕杣求䡁䅉克杁䑁䅕兎汁䅁䅁睥䅁䅁䅷䅁穁䑁䅅杍㑁䑁䅉䅁汁䅁䅁杣䅁䙁䅍兤瑂䝁䄴党祂䍁䅁睒祂䝁䄸兤睂䍁䅁兔灂䝁䄴兡畂䝁䅣䅉睂䝁䅷睙杁䍁䅁免睁䑁䅁兊㝁䍁䅁杔求䡁䅧兙杁䙁䅉党穂䝁䄸兤祂䝁䅍党穂䍁䅁睕畁䕁䅅杌杁䍁䅁免睁䑁䅁兊䅁䉁䅁䅁坁䅁䅁睓桂䡁䅯兙牂䝁䅧督あ䝁䅅杢䅁䩁䍑䅁睁䅁䅁村療䝁䅷兡歂䝁䅕杢杁䕁䅅村杁䍁䅧䅣ㅂ䝁䅉䅢灁䍁䅁䅉硁䑁䅁䅍汁䅁䅁元䅁䅁䅷䅁祁䑁䅫杍㑁䑁䅍䅁䙃杁䅁䅄䅁䑁䅍䅏㉁䑁䅫李䅁䝁䍍䅁捃䅁䅁兔灂䝁䄴党祂䝁䅅䅉䝂䡁䅉兡穂䝁䅍睢獁䍁䅁睕畁䕁䅅杌䍂䍁䄴䅉歂䝁䅕䅉䑂䍁䄴杖畁䍁䅁䅋坂䝁䅕杢あ䡁䅕杣求䡁䅉克杁䑁䅫兏畁䑁䅫兏汁䑁䅳䅉噂䝁䄴杢桂䝁䄰党歂䍁䅁睔㍂䝁䄴党祂䍁䅁䅋䝂䡁䅉兙橂䡁䅑兡療䝁䄴兙獂䍁䅫䅉汁䅁䅁杊䅁䅁䅷䅁祁䑁䅧䅏硁䑁䅅䅁䭁䅁䅁䅎䅁䙁䅑兙畂䝁䅣䅚桂䝁䄴䅉䑂䝁䄸杢橂䍁䄴䅉兂䝁䅷兙畂䡁䅑䅉杁䑁䅅䅍睁䍁䅕䅁癃䅁䅁䅄䅁䑁䅧䅍㑁䑁䅉兏䅁䑁䅅䅁歂䅁䅁睒獂䝁䅕杢橂䝁䄸杣求䍁䅁䅣獂䝁䅍䅉杁䑁䅣兎汁䑁䅳䅉䕂䝁䅕兢畁䍁䅁杕求䡁䅁杌杁䕁䅍睢畂䝁䅣睢杁䍁䅧杖求䝁䄴䅤ㅂ䡁䅉党祂䍁䅫䅉祁䑁䅕兊䅁䥁䉉䅁煁䅁䅁兓湁䕁䄰䅉瑁䍁䅁睕䡂䙁䅁睕獁䍁䅁睕䉂䍁䅁䅉硁䑁䅁䅍汁䅁䅁杄䅁䅁䅷䅁祁䑁䅣䅏硁䑁䅣䅁扃允䅁杘䅁䕁䅍䅡灂䝁䄴兙杁䙁䅉兙灂䝁䅷睤桂䡁䅫䅉䑂䝁䄸杢穂䡁䅑杣ㅂ䝁䅍䅤灂䝁䄸杢杁䕁䅍睢祂䡁䅁睢祂䝁䅅䅤灂䝁䄸杢杁䕁䅷兡瑂䝁䅫䅤求䝁䅑䅁塁睁䅁䅗䅁䕁䅍䅡灂䝁䄴兙杁䕁䄴兙あ䝁䅫睢畂䝁䅅䅢杁䕁䅣睢獂䝁䅑䅉䡂䡁䅉睢ㅂ䡁䅁䅉䥂䝁䄸杢湂䍁䅁睓療䝁䄴睚杁䕁䅷兡瑂䝁䅫䅤求䝁䅑䅁⭄杁䅁䅄䅁䑁䅉䅏睁䑁䅫䅍䅁䝁䍧䅁㉁䅁䅁睓䉂䙁䅯䅉乂䝁䅫杢求䡁䅉兙獂䡁䅍䅉䵂䝁䅫兢灂䡁䅑党歂䍁䅁䅉硁䑁䅁䅍汁䅁䅁睃䅁䅁䅷䅁㑁䑁䅁䅏硁䑁䅉䅁睂䅁䅁䅧䅁䙁䅍睡㕂䍁䅁兔求䡁䅑兙獂䡁䅍䅉䵂䝁䅫兢灂䡁䅑党歂䍁䅁䅋䝂䡁䅉兙橂䡁䅑兡療䝁䄴兙獂䍁䅫䅉汁䑁䅳䅉䕂䝁䅕杤求䝁䅷睢睂䍁䅁睒獂䝁䄸杙桂䝁䅷䅉䵂䝁䅫兢灂䡁䅑党歂䍁䅁䅉硁䑁䅁䅍汁䅁䅁䅤䅉䅁䅷䅁祁䑁䅣免ぁ䑁䅕䅁呃允䅁䅄䅁䑁䅣兎㕁䑁䅧李䅁䑁䅳䅁䵁䅁䅁睎㕁䑁䅑睍ぁ䅁䅁䅄䅁䅁䅷䅁祁䑁䅙䅎㑁䑁䅍䅁乁䅁䅁䅄䅁䑁䅍睍穁䑁䅣杍䅁䱁䄴䅁䵁䅁䅁杍㍁䑁䅅睍硁䅁䅁杵䅅䅁䅷䅁祁䑁䅣睍㍁䑁䅣䅁桄允䅁杄䅁䕁䅍入睂䡁䅉兤穂䅁䅁儴䅉䥁䅧䅁乂䝁䅅杣ㅂ䝁䅉党畂䝁䅫䅉䑂䝁䄸杣睂䝁䄸杣桂䡁䅑兡療䝁䄴䅉潁䙁䅙党畂䡁䅑兤祂䝁䅕杣灁䍁䅁睍睁䍁䅕睏杁䕁䅅杢あ䝁䄸杚桂䝁䅣兙穂䡁䅑兙杁䡁䅁䅢橂䍁䅁䅋坂䝁䅕杢あ䡁䅕杣求䡁䅉克杁䑁䅣䅍汁䅁䅁䅈䅁䅁䅷䅁祁䑁䅫䅏硁䑁䅑䅁偁䅁䅁䅄䅁䑁䅍免祁䑁䅫兎䅁䉁䅅䅁䵁䅁䅁杍㉁䑁䅙兏㉁䅁䅁杄䅅䅁䅷䅁穁䑁䅕兎㑁䑁䅙䅁䩂允䅁䅄䅁䑁䅣李睁䑁䅫兎䅁偁䉧䅁䅂䅁䅁杖桂䝁䅷䅤求䡁䅉杣桂䍁䅁䅕獂䝁䅅䅤灂䝁䄴兤瑂䍁䅁䅔灂䝁䄰兡あ䝁䅕䅚杁䍁䅁免睁䑁䅁兊䅁䉁䅉䅁䵁䅁䅁杍㍁䑁䅑兏ㅁ䅁䅁䅉䅅䅁䅷䅁㑁䑁䅅杍ㅁ䑁䅍䅁呁䅁䅁䅙䅁䙁䅧兡畂䝁䅯兡桂䝁䄴睚杁䙁䅧兡畂䡁䅧兡畂䍁䅁兔灂䝁䄴兡畂䝁䅣䅉䩂䝁䄴䅚ㅂ䡁䅍䅤祂䡁䅫䅉䑂䝁䄸杌獁䍁䅁䅔あ䝁䅑杌杁䍁䅁免睁䑁䅁兊䅁䉁䅑䅁杂䅁䅁䅒桂䡁䅫党杁䕁䄴睢畂䝁䅙党祂䡁䅉睢ㅂ䡁䅍䅉乂䝁䅕䅤桂䝁䅷督杁䕁䅣杣療䡁䅕䅣杁䕁䅧睢獂䝁䅑兡畂䝁䅣督杁䕁䅍睢畁䍁䅷䅉䵂䡁䅑䅚畁䅁䅁眫䅉䥁䅯䅁慂䝁䅧睢畂䝁䅣条灂䝁䄴䅉䡂䝁䄸䅢歂䍁䅁睑療䡁䅉䅣畁䍁䅷䅔あ䝁䅑䅉潁䙁䅙党畂䡁䅑兤祂䝁䅕杣灁䍁䅁兎硁䍁䅕睏杁䙁䅕杢畂䝁䅅兢求䝁䅑䅉偂䡁䅣杢求䡁䅉䅉潁䕁䅙杣桂䝁䅍䅤灂䝁䄸杢桂䝁䅷克杁䍁䅕䅁硁杁䅁䅫䅁䕁䅕䅥㑂䝁䅅杣療䍁䅁杕求䡁䅍睢ㅂ䡁䅉睙求䡁䅍䅉䵂䝁䅫兢灂䡁䅑党歂䍁䅁䅋坂䝁䅕杢あ䡁䅕杣求䡁䅉克杁䑁䅉李汁䑁䅳䅉坂䝁䅕䅚桂䝁䄴䅤桂䍁䅁䅔灂䝁䄰兡あ䝁䅕䅚杁䍁䅧杖求䝁䄴䅤ㅂ䡁䅉党祂䍁䅫䅉㍁䑁䅑兊䅁䥁䅅䅁䵁䅁䅁䅏硁䑁䅉䅎㉁䅁䅁兆䅁䩁䅯䅁呂䝁䅫来灂䡁䅣兙畂䝁䅣兣灂䍁䅁兑瑂䝁䅅睤ㅂ䡁䅍兤杁䕁䄰兡畂䝁䅫杢湂䍁䅁睑療䍁䄴䅌杁䕁䅷䅤歂䍁䄴睕灂䡁䅯兡㍂䝁䅅杢湂䡁䅅兡杁䕁䅅兢桂䡁䅣兤穂䡁䅕䅉乂䝁䅫杢灂䝁䄴睚杁䕁䅍睢畁䍁䅷䅉䵂䡁䅑䅚畁䍁䅁䅉硁䑁䅁䅍汁䅁䅁杆䅁䙁䅯䅁䩂䝁䄴杢求䡁䅉䅉乂䝁䄸杢湂䝁䄸䅢灂䝁䅅䅉䍂䝁䅅入求䡁䅉杢杁䕁䄰兡畂䝁䅫杢湂䍁䅁睑療䍁䄴䅌杁䕁䅷䅤歂䍁䄴䅉杁䑁䅅䅍睁䍁䅕䅁畁䅁䅁䅄䅁䑁䅧免祁䑁䅑䅏䅁䑁䈴䅁䵁䅁䅁睍硁䑁䅉兏㉁䅁䅁杒䅁䅁䅷䅁祁䑁䅣兎祁䑁䅕䅁塁䅁䅁䅄䅁䑁䅉兏ㅁ䑁䅁兏䅁䱁䅅䅁䵁䅁䅁睍穁䑁䅍䅎睁䅁䅁兔䅅䅁䅷䅁祁䑁䅣䅎㉁䑁䅣䅁婁䅁䅁䅄䅁䑁䅍䅍睁䑁䅉兎䅁䕁䍳䅁䵁䅁䅁睍睁䑁䅍䅎睁䅁䅁睇䅁乁䅉䅁慂䕁䅍睑乂䍁䅁兓畂䡁䅙党穂䡁䅑兢求䝁䄴䅤穂䍁䅁䅓療䝁䅷䅚灂䝁䄴睚穂䍁䅁䅕獂䝁䅍䅉潁䙁䅙党畂䡁䅑兤祂䝁䅕杣灁䍁䅁免ㅁ䍁䅕睏杁䕁䅍䅡灂䝁䄴兙杁䕁䄴睢畂䝁䅙党祂䡁䅉睢ㅂ䡁䅍䅉乂䝁䅫杢灂䝁䄴睚杁䕁䅍睢祂䡁䅁睢祂䝁䅅䅤灂䝁䄸杢杁䕁䅷兡瑂䝁䅫䅤求䝁䅑䅉潁䙁䅙党畂䡁䅑兤祂䝁䅕杣灁䍁䅁䅏ㅁ䍁䅕䅁㑃䅁䅁䅘䅁䙁䅕杣桂䝁䅷䅉乂䝁䅫杢灂䝁䄴睚杁䝁䅅杢歂䍁䅁兔求䡁䅑兙獂䝁䅷兤祂䝁䅣兡橂䝁䅅䅢杁䕁䅍睢瑂䡁䅁兙畂䡁䅫䅉杁䑁䅣兏畁䑁䅣䅏汁䅁䅁兤䅁䅁䅷䅁穁䑁䅙兏硁䑁䅕䅁摁䅁䅁䅄䅁䑁䅉䅏祁䑁䅑䅎䅁䡁䅧䅁流䅁䅁睒獂䝁䅕杢橂䝁䄸杣求䍁䅁䅣獂䝁䅍䅉杁䑁䅅䅍睁䍁䅕䅁敁䅁䅁䅺䅁䕁䅉兙祂䡁䅉兡橂䝁䅳䅉乂䝁䅫杢灂䝁䄴睚杁䕁䅍睢祂䡁䅁睢祂䝁䅅䅤灂䝁䄸杢杁䍁䅧杖求䝁䄴䅤ㅂ䡁䅉党祂䍁䅫䅉㉁䑁䅅杌ㅁ䍁䅕睏杁䕁䄴党㍂䝁䄰睢畂䡁䅑䅉䑂䝁䄸杣睂䝁䄸杣桂䡁䅑兡療䝁䄴䅉潁䙁䅙党畂䡁䅑兤祂䝁䅕杣灁䍁䅁睍㑁䍁䄴兎汁䑁䅳䅉灂䍁䄰䅏睁䍁䅁睒療䝁䅷䅚杁䕁䅍睢祂䡁䅁杌杁䍁䅁兊䅁佁䉍䅁啃䅁䅁兑畂䡁䅑睢浂䝁䅅睚桂䡁䅍䅤桂䍁䅁䅣獂䝁䅍䅉潁䙁䅙党畂䡁䅑兤祂䝁䅕杣灁䍁䅁兎睁䍁䅕睏杁䕁䅉兙祂䡁䅉兡橂䝁䅳䅉乂䝁䅫杢灂䝁䄴睚杁䕁䅍睢祂䡁䅁睢祂䝁䅅䅤灂䝁䄸杢杁䍁䅧杖求䝁䄴䅤ㅂ䡁䅉党祂䍁䅫䅉ㅁ䑁䅁兊䅁䑁䅑䅁䵁䅁䅁睍ㅁ䑁䅣䅏睁䅁䅁睈䅁䅁䅷䅁祁䑁䅙䅎㕁䑁䅁䅁奁允䅁䅲䅁䕁䅍睢瑂䡁䅁兙硄佁䄰兙杁䝁䅑党杁䕁䄰兡畂䝁䅅督杁䕁䅉兤求䝁䄴兙㉂䝁䅕杢あ䡁䅕杣桂䍁䅁睕畁䕁䅅杌䉂䍁䄴䅉潁䙁䅙党畂䡁䅑兤祂䝁䅕杣灁䍁䅁李硁䍁䄴䅎穁䍁䅕睏杁䙁䅕杢畂䝁䅅兢求䝁䅑䅉偂䡁䅣杢求䡁䅉䅉潁䕁䅙杣桂䝁䅍䅤灂䝁䄸杢桂䝁䅷克杁䍁䅕䅁䥁允䅁䅄䅁䑁䅉睎睁䑁䅅兏䅁䡁䉕䅁獁䅁䅁睕兂䙁䄸兖䵂䙁䅑睘兂䕁䅅杕䙂䕁䄴䅖時䕁䅍睔噂䕁䄴䅖卂䙁䅫䅁元杁䅁䅍䅁䕁䅉䅓兂䍁䅁睒祂䝁䄸兤睂䍁䅁䅔灂䝁䄰兡あ䝁䅕䅚杁䍁䅁免睁䑁䅁兊䅁䍁䅁䅁䵁䅁䅁杍㑁䑁䅉杍㑁䅁䅁睉䅁䑁䅉䅁䉂䡁䅕杣桂䍁䅁兔灂䝁䄴党祂䝁䅅䅢穂䍁䅁兓畂䝁䅍杌杁䍁䅁免睁䑁䅁兊䅁䍁䅉䅁千䅁䅁兔療䝁䄴睚療䝁䅷兡桂䝁䄴䅉䑂䝁䄸䅣睂䝁䅕杣杁䕁䅍睢祂䡁䅁睢祂䝁䅅䅤灂䝁䄸杢杁䕁䅷䅔䑂䍁䅁䅋坂䝁䅕杢あ䡁䅕杣求䡁䅉克杁䑁䅑兏汁䑁䅳䅉乂䝁䄸杢湂䝁䄸䅢灂䝁䅅䅉潁䙁䅙党畂䡁䅑兤祂䝁䅕杣灁䍁䅁兎硁䍁䅕䅁桁允䅁杉䅁䙁䅍䅕時䕁䅫杔坂䕁䅕睕啂䕁䄸杕時䕁䄴兑乂䕁䅕䅁䩄杁䅁䅄䅁䑁䅍䅍ㅁ䑁䅉李䅁䍁䅅䅁䵁䅁䅁杍㍁䑁䅍兏睁䅁䅁睍䅁䉁䅧䅁呂䝁䄸兤あ䝁䅧䅉䱂䝁䄸杣求䝁䅅䅁䭁睁䅁䅖䅅䙁䅧兡畂䝁䅯兡桂䝁䄴睚杁䕁䄴睢畂䕁䅙党祂䡁䅉睢ㅂ䡁䅍䅉乂䝁䅕䅤桂䝁䅷䅉䩂䝁䄴䅚ㅂ䡁䅍䅤祂䡁䅫䅉潁䕁䅣杣療䡁䅕䅣灁䍁䅁睑療䍁䄴䅔あ䝁䅑䅉潁䙁䅙党畂䡁䅑兤祂䝁䅕杣灁䍁䅁睍ぁ䍁䅕睏杁䙁䅯兡煂䝁䅫杢杁䕁䄰兡畂䝁䅫杢湂䍁䅁睒祂䝁䄸兤睂䍁䅁睑療䝁䄰䅣桂䝁䄴入杁䕁䅷兡瑂䝁䅫䅤求䝁䅑䅉潁䙁䅙党畂䡁䅑兤祂䝁䅕杣灁䍁䅁兎硁䍁䅕睏杁䙁䅁党療䡁䅁䅢求䍁䅣督杁䕁䅣睢㉂䝁䅕杣畂䝁䄰党畂䡁䅑䅉療䝁䅙䅉䡂䝁䅅杢穂䡁䅕䅉兂䡁䅉睢㉂䝁䅫杢橂䝁䅕䅉潁䙁䅙党畂䡁䅑兤祂䝁䅕杣灁䍁䅁免ㅁ䍁䅕䅁歁䅁䅁䅄䅁䑁䅉李㕁䑁䅁䅏䅁䍁䅣䅁䵁䅁䅁杍㉁䑁䅉兎㍁䅁䅁克䅁䅁䅷䅁祁䑁䅫杍㑁䑁䅕䅁い䅁䅁䅕䅁䕁䅍䅡灂䝁䄴兙杁䕁䄰兡畂䝁䄰党あ䝁䅅䅢穂䍁䅁䅓畁䕁䅳杌杁䍁䅧䅓療䝁䅷䅚灂䝁䄴睚穂䍁䅫䅉䵂䝁䅫兢灂䡁䅑党歂䅁䅁䅁䅍䅁䉉䅁兂䡁䅉兡㉂䝁䅅䅤求䍁䅁兓畂䡁䅑党祂䝁䅕督あ䍁䅁䅋坂䝁䅕杢あ䡁䅕杣求䡁䅉克杁䑁䅁杌穁䑁䅍兊㝁䍁䅁兑㉂䝁䅫杢療䍁䅁睕灂䝁䅷杤求䡁䅉䅉流䍁䅁睒療䝁䅷䅚杁䕁䄰兡畂䝁䅕督杁䕁䅷䅤歂䍁䄴䅉潁䙁䅙党畂䡁䅑兤祂䝁䅕杣灁䍁䅁兏㕁䍁䄴李㍁䍁䅕睏杁䙁䅍兡獂䡁䅙党祂䍁䅁睖療䝁䅷杚杁䕁䅕䅥睂䝁䅷睢祂䝁䅅䅤灂䝁䄸杢杁䕁䅷䅤歂䍁䄴䅉潁䕁䅙杣桂䝁䅍䅤灂䝁䄸杢桂䝁䅷克杁䍁䅕䅁煁䅁䅁䅄䅁䑁䅉兏㍁䑁䅑杍䅁䡁䍕䅁䵁䅁䅁杍ぁ䑁䅕免㑁䅁䅁睋䅁䑁䅧䅁䝂䡁䅉党求䡁䅁睢祂䡁䅑兌乂䝁䅍兔療䙁䅉兙畂䍁䅁兓畂䝁䅍杌杁䍁䅁免睁䑁䅁兊䅁䍁䅷䅁䵁䅁䅁睍㑁䑁䅅免ぁ䅁䅁兎䅁䕁䅙䅁䍂䝁䅅兡㕂䝁䅫杢杁䕁䅑党求䡁䅁䅉乂䝁䅫杢灂䝁䄴睚杁䕁䅍睢畁䍁䅷䅉䵂䡁䅑䅚畁䍁䅁䅉硁䑁䅁䅍汁䅁䅁杍䅁佁䅉䅁噂䡁䅉兙獂䍁䅁兔灂䝁䄴兡畂䝁䅣䅉桂䝁䄴䅚杁䕁䄰党あ䝁䅅䅢獂䡁䅕杣湂䝁䅫睙桂䝁䅷䅉䑂䝁䄸兢睂䝁䅅杢㕂䍁䅁䅋坂䝁䅕杢あ䡁䅕杣求䡁䅉克杁䑁䅙䅎畁䑁䅙李汁䑁䅳䅉兂䝁䅕睢睂䝁䅷党湁䡁䅍䅉䡂䝁䄸杤求䡁䅉杢瑂䝁䅕杢あ䍁䅁睢浂䍁䅁睒桂䝁䄴督ㅂ䍁䅁䅕祂䝁䄸杤灂䝁䄴睙求䍁䅁䅋坂䝁䅕杢あ䡁䅕杣求䡁䅉克杁䑁䅍兎畁䑁䅍䅎汁䅁䅁睭䅁䝁䅑䅁呂䝁䅧党畂䡁䅯䅡求䝁䄴䅉慂䝁䅧睢畂䝁䅣条灂䝁䄴䅉䵂䝁䅫杢湂䝁䄴兙畂䍁䅁杔療䝁䄴杚求䝁䄰党あ䍁䅁睑療䍁䄴䅉䵂䡁䅑䅚畁䍁䅁䅉硁䑁䅁䅍汁䅁䅁杏䅁䅁䅷䅁㍁䑁䅕兏㍁䑁䅕䅁㍁䅁䅁杘䅅䕁䅍睢瑂䡁䅁兙硄佁䄰兙杁䝁䅑党杁䕁䄰兡畂䝁䅅督杁䕁䅉兤求䝁䄴兙㉂䝁䅕杢あ䡁䅕杣桂䍁䅁睕畁䕁䅅杌䉂䍁䄴䅉潁䙁䅙党畂䡁䅑兤祂䝁䅕杣灁䍁䅁免㕁䍁䄴兎㑁䍁䅕睏杁䙁䅍兤瑂䝁䅫䅤療䝁䄰睢杁䕁䄰党あ䝁䅅䅢杁䕁䄰兡畂䝁䅫杢湂䍁䅁睑療䍁䄴䅌杁䕁䅷䅤歂䍁䄴䅉潁䙁䅙党畂䡁䅑兤祂䝁䅕杣灁䍁䅁杍硁䍁䅕睏杁䙁䅕杢畂䝁䅅兢求䝁䅑䅉偂䡁䅣杢求䡁䅉䅉潁䕁䅙杣桂䝁䅍䅤灂䝁䄸杢桂䝁䅷克杁䍁䅕睏杁䕁䅙杣求䝁䅕䅣療䡁䅉䅤瑁䕁䄰睙乂䝁䄸杕桂䝁䄴䅉䩂䝁䄴睙畁䍁䅁䅋坂䝁䅕杢あ䡁䅕杣求䡁䅉克杁䑁䅕兎畁䑁䅁䅏汁䅁䅁䅏䅁䅁䅷䅁祁䑁䅕睎睁䑁䅁䅁㕁䅁䅁䅄䅁䑁䅉李ぁ䑁䅣睎䅁乁䉁䅁㙃䅁䅁兔灂䝁䄴党祂䝁䅅䅉䝂䡁䅉兡穂䝁䅍睢獁䍁䅁睕畁䕁䅅杌䍂䍁䄴䅉歂䝁䅕䅉䑂䍁䄴杖畁䍁䅁䅋坂䝁䅕杢あ䡁䅕杣求䡁䅉克杁䑁䅫䅍畁䑁䅉兊㝁䍁䅁兔灂䝁䄴党祂䝁䅅䅉啂䝁䅅入桂䝁䅧兤桂䍁䅷䅉呂䍁䄴兑畁䍁䅁䅒求䍁䅁睑畁䙁䅙杌杁䍁䅧杖求䝁䄴䅤ㅂ䡁䅉党祂䍁䅫䅉㕁䍁䄴䅏汁䅁䅁兂䅉䅁䅷䅁㑁䑁䅅杍ㅁ䑁䅁䅁摄䅁䅁杖䅅䕁䅍睢祂䡁䅁睢祂䝁䅅睙灂偁䅍杢杁䕁䄴兙橂䝁䅫睢畂䝁䅅䅢杁䝁䅑党獂䍁䅁睑療䝁䅉杣求䍁䅁䅚求䍁䅁睑潂䝁䅫䅢求䍁䅁䅋坂䝁䅕杢あ䡁䅕杣求䡁䅉克杁䑁䅉䅍汁䑁䅳䅉䉂䝁䄴睚獂䝁䄸䅉䉂䝁䄰党祂䝁䅫睙桂䝁䄴䅉睂䝁䅷睙杁䍁䅧杖求䝁䄴䅤ㅂ䡁䅉党祂䍁䅫䅉ㅁ䑁䅁杌睁䑁䅙兊㝁䍁䅁兔灂䡁䅑督ㅂ䝁䅉兡穂䝁䅧兡杁䕁䅍睢祂䡁䅁睢祂䝁䅅䅤灂䝁䄸杢杁䍁䅧杖求䝁䄴䅤ㅂ䡁䅉党祂䍁䅫䅉祁䑁䅁杌ぁ䑁䅑兊㝁䍁䅁兔灂䡁䅑督ㅂ䝁䅫䅉流䍁䅁睑療䍁䄴䅌杁䕁䅷䅤歂䍁䄴䅉潁䙁䅙党畂䡁䅑兤祂䝁䅕杣灁䍁䅁兏畁䑁䅕兊䅁䑁䅷䅁䵁䅁䅁杍ㅁ䑁䅙䅏ㅁ䅁䅁児䅁䍁䄴䅁祁䑁䅫兔求䡁䅑兙獂䡁䅍䅉䵂䝁䅫兢灂䡁䅑党歂䍁䅁䅉硁䑁䅁䅍汁䅁䅁材䅁䅁䅷䅁祁䑁䅣兎睁䑁䅅䅁硃允䅁杭䅅䙁䅍兤瑂䝁䅫䅤療䝁䄰睢杁䕁䄰党あ䝁䅅䅢杁䕁䄰兡畂䝁䅫杢湂䍁䅁睑療䍁䄴䅌杁䕁䅷䅤歂䍁䄴䅉潁䙁䅙党畂䡁䅑兤祂䝁䅕杣灁䍁䅁免㉁䍁䄴䅏汁䑁䅳䅉呂䡁䅕兢灂䡁䅑睢瑂䝁䄸䅉䑂䝁䄸杣睂䝁䄸杣桂䡁䅑兡療䝁䄴䅉杁䑁䅑杌祁䍁䅕睏杁䕁䅙杣求䝁䅕䅣療䡁䅉䅤瑁䕁䄰睙乂䝁䄸杕桂䝁䄴䅉䩂䝁䄴睙畁䍁䅁䅋坂䝁䅕杢あ䡁䅕杣求䡁䅉克杁䑁䅕兎畁䑁䅁䅏汁䑁䅳䅉噂䝁䄴杢桂䝁䄰党歂䍁䅁睔㍂䝁䄴党祂䍁䅁䅋䝂䡁䅉兙橂䡁䅑兡療䝁䄴兙獂䍁䅫䅉汁䑁䅳䅉䑂䝁䄸兢睂䝁䅅儸瑄䝁䅅䅉歂䝁䅕䅉乂䝁䅫杢桂䡁䅍䅉䍂䡁䅕党畂䝁䅅杤求䝁䄴䅤ㅂ䡁䅉兙杁䙁䅍杌䉂䍁䄴兑畁䍁䅁䅋坂䝁䅕杢あ䡁䅕杣求䡁䅉克杁䑁䅅兏畁䑁䅕䅏汁䅁䅁䅴䅁䅁䅷䅁祁䑁䅕睎㉁䑁䅅䅁煁杁䅁䅄䅁䑁䅉䅏㉁䑁䅍䅏䅁䑁䄸䅁㙁䅁䅁睑ㅂ䡁䅁杣ㅂ䝁䄰䅉䥂䝁䄸䅢歂䝁䅫杢湂䍁䅁䅔灂䝁䄰兡あ䝁䅕䅚杁䍁䅁免睁䑁䅁兊䅁䕁䅁䅁䵁䅁䅁䅏睁䑁䅧䅍㍁䅁䅁兑䅁䅁䅷䅁祁䑁䅕李穁䑁䅕䅁䙃允䅁䅄䅁䑁䅍睎穁䑁䅕兎䅁偁䉅䅁䵁䅁䅁杍㕁䑁䅣䅎ぁ䅁䅁䅘䅁䅁䅷䅁祁䑁䅣䅏硁䑁䅧䅁䍃杁䅁䅥䅁䙁䅣党畂䝁䅣杢灂䡁䅕䅤求䍁䅁村桂䝁䄴杢求䡁䅉䅉塂䡁䅕䅤療䝁䄴睚潂䡁䅕兙杁䕁䅍睢睂䡁䅁党祂䍁䅁兔灂䝁䄴党杁䕁䅧睢ㅂ䡁䅍䅡桂䝁䄴䅉乂䝁䅫杢灂䝁䄴睚杁䍁䅁免睁䑁䅁兊䅁䕁䅉䅁䵁䅁䅁李㉁䑁䅅睎ㅁ䅁䅁条䅉䅁䅷䅁穁䑁䅉兎ㅁ䑁䅉䅁䑂䅁䅁䅭䅁䙁䅕杢畂䝁䅅兢求䝁䅑䅉偂䡁䅣杢求䡁䅉䅉潁䙁䅙党畂䡁䅑兤祂䝁䅕杣灁䍁䅁免畁䑁䅫兊㝁䍁䅁睕療䡁䅕䅤潂䝁䅕杣畂䍁䅁睑療䡁䅁䅣求䡁䅉䅉䑂䝁䄸杣睂䝁䄸杣桂䡁䅑兡療䝁䄴䅉潁䙁䅙党畂䡁䅑兤祂䝁䅕杣灁䍁䅁兏㑁䍁䄴免汁䅁䅁兯䅁䝁䅉䅁湁䙁䅳睕兂䕁䅣䅢療䝁䅉兙獂䙁䄸睔祂䝁䅕睘睁䑁䅣兌䭂䡁䅕䅢瑁䑁䅉䅍祁䑁䅙杌㑂䝁䅷督㑂䙁䄰睔㍂䝁䄴党祂䡁䅍䅡灂䡁䅁睊桁䍁䅑睔歁䑁䅅䅍䅁䵁䍣䅁䵁䅁䅁杍㑁䑁䅙兎睁䅁䅁䅑䅉䙁䅁䅁佂䝁䄸杣あ䝁䅧兙瑂䍁䅁䅕獂䝁䅅䅤灂䝁䄴兤瑂䍁䅁䅓療䝁䅷䅚灂䝁䄴睚穂䍁䅁䅔灂䝁䄰兡あ䝁䅕䅚杁䍁䅁免睁䑁䅁兊䅁䕁䅑䅁ぁ䅁䅁睕兂䙁䄸䅕䑂䙁䅑睘䥂䕁䅕䅔䕂䙁䄸村婂䙁䄸兓佂䙁䅍䅖時䕁䄸睖佂䕁䅕杕䅁乁䍉䅁䵁䅁䅁䅏睁䑁䅧免ㅁ䅁䅁睖䅉䅁䅷䅁祁䑁䅣免㉁䑁䅙䅁䕃䅁䅁䅄䅁䑁䅍䅍ㅁ䑁䅍免䅁佁䅑䅁䵁䅁䅁睍硁䑁䅑䅍祁䅁䅁兩䅅䅁䅷䅁祁䑁䅫李穁䑁䅉䅁䙂䅁䅁杮䅁䕁䅉兙牂䝁䅣兙あ䝁䅷兙杁䕁䅉兙杁䕁䅳睚桂䝁䅙党獂䝁䅅䅉潁䙁䅙党畂䡁䅑兤祂䝁䅕杣灁䍁䅁免ㅁ䍁䅕睏杁䙁䅍兡㕂䝁䅅杢歂䝁䅅䅉卂䝁䅕督療䡁䅕杣橂䝁䅕督杁䍁䅧䅕あ䡁䅫克杁䕁䅷䅤歂䍁䅁䅋坂䝁䅕杢あ䡁䅕杣求䡁䅉克杁䑁䅧兎汁䅁䅁睒䅁䑁䅯䅁坂䝁䅅兤獂䡁䅑䅉乂䝁䅫杢求䡁䅉兙獂䡁䅍䅉䵂䝁䅫兢灂䡁䅑党歂䍁䅁䅉硁䑁䅁䅍汁䅁䅁儶䅁䅁䅧䅁䉂䝁䅷䅢䅁䵁䍷䅁䵁䅁䅁䅏睁䑁䅧免㑁䅁䅁䅓䅁䙁䅑䅁䑂䝁䅧兡畂䝁䅅䅉呂䡁䅑兙あ䝁䅕兌偂䡁䅣杢求䝁䅑䅉乂䝁䅫杢灂䝁䄴睚杁䕁䅕杢あ䝁䅕杣睂䡁䅉兡穂䝁䅕䅉杁䑁䅅䅍睁䍁䅕䅁䩂䅁䅁䅄䅁䑁䅍杍㑁䑁䅣兎䅁䩁䅧䅁慂杁䅁䅗灂䡁䅯兙畂䝁䅣䅉乂䝁䅫杢求䡁䅉兙獂䍁䅁䅒求䡁䅙党獂䝁䄸䅣瑂䝁䅕杢あ䍁䅁睑療䍁䄴䅉䵂䙁䅑䅒杁䍁䅧杖求䝁䄴䅤ㅂ䡁䅉党祂䍁䅫䅉祁䍁䅕睏杁䙁䅣党穂䡁䅑党祂䝁䄴䅉乂䝁䅫杢灂䝁䄴睚杁䕁䅍睢畁䍁䅷䅔あ䝁䅑杌杁䍁䅧杖求䝁䄴䅤ㅂ䡁䅉党祂䍁䅫䅉ㅁ䑁䅧兊㝁䍁䅁睑潂䝁䅅杢湂䝁䅑兤杁䕁䅍兙睂䝁䅫䅤桂䝁䅷䅉乂䝁䅅杢桂䝁䅣党瑂䝁䅕杢あ䍁䅁兑畂䝁䅑䅉偂䡁䅁党祂䝁䅅䅤灂䝁䄸杢杁䕁䅍睢杁䍁䅧杖求䝁䄴䅤ㅂ䡁䅉党祂䍁䅫䅉㑁䍁䅕睏杁䙁䅑兡楂䝁䅕䅤杁䕁䄴睢杁䑁䅙䅉䡂䝁䅕睢獂䝁䄸睚㕂䍁䅁兙畂䝁䅑䅉呂䡁䅕杣㉂䝁䅕入杁䙁䅑党桂䝁䄰䅉潁䙁䅙党畂䡁䅑兤祂䝁䅕杣灁䍁䅁免睁䍁䅕睏杁䙁䅫兤獂䝁䄸杢湂䍁䅁睑療䡁䅁䅣求䡁䅉䅉䩂䝁䄴䅚ㅂ䡁䅍䅤祂䡁䅫䅉䭂䝁䄸兡畂䡁䅑兌呂䡁䅑睢橂䝁䅳䅉䑂䝁䄸䅉潁䙁䅙党畂䡁䅑兤祂䝁䅕克杁䍁䅕睏杁䙁䅯兡煂䝁䅫杢杁䕁䄰兡畂䝁䅫杢湂䍁䅁睒祂䝁䄸兤睂䍁䅁睑療䝁䄰䅣桂䝁䄴入杁䕁䅷兡瑂䝁䅫䅤求䝁䅑䅉潁䙁䅙党畂䡁䅑兤祂䝁䅕杣灁䍁䅁杍祁䍁䅕䅁䥄允䅁䅄䅁䑁䅉睎ㅁ䑁䅍䅍䅁䭁䅣䅁䵁䅁䅁杍㉁䑁䅣杍祁䅁䅁䅄䅅䅁䅷䅁祁䑁䅧睍㑁䑁䅙䅁灂䅁䅁䅄䅁䑁䅧李硁䑁䅫兏䅁䕁䅯䅁䵁䅁䅁睍睁䑁䅉李㑁䅁䅁睓䅁䥁䅯䅁䉂䡁䅑兙獂䝁䅅入桂䍁䅁兔灂䝁䄴兡畂䝁䅣䅉䑂䝁䄸䅣睂䝁䅕杣獁䍁䅁睕畁䕁䅅杌杁䍁䅁免睁䑁䅁兊㝁䍁䅁杕ㅂ䝁䄰杙療䍁䅁兎瑁䕁䅍党祂䝁䄸䅌杁䙁䅍杌䵂䍁䄴䅉潁䕁䅙杣桂䝁䅍䅤灂䝁䄸杢桂䝁䅷克杁䍁䅕䅁䵂允䅁杖䅁䕁䅅兢求䡁䅉兡橂䝁䅅督杁䕁䅣睢獂䝁䅑䅉桂䝁䄴䅚杁䙁䅍兡獂䡁䅙党祂䍁䅁睑療䡁䅉䅣療䡁䅉兙あ䝁䅫睢畂䍁䅁䅉硁䑁䅁䅍汁䅁䅁䅔䅁䅁䅷䅁㉁䑁䅅䅍穁䑁䅧䅁乂䅁䅁䅄䅁䑁䅣兎㕁䑁䅧睎䅁䵁䉫䅁䵁䅁䅁杍ぁ䑁䅙睎穁䅁䅁朰䅁䝁䅁䅁啂䝁䄸杢湂䝁䅷兡畂䝁䅣䅉䑂䝁䅧党瑂䝁䅫睙桂䝁䅷䅉䩂䝁䄴䅚ㅂ䡁䅍䅤祂䡁䅫䅉䡂䡁䅉睢ㅂ䡁䅁䅉䑂䝁䄸杌獁䕁䅷䅤歂䍁䄴䅉杁䑁䅅䅍睁䍁䅕䅁佂䅁䅁䅄䅁䑁䅧免祁䑁䅍免䅁䑁䉉䅁䵁䅁䅁杍ㅁ䑁䅑兏穁䅁䅁睔䅁䍁䅷䅁啂䝁䅧党杁䙁䅉党畂䝁䅍睢杁䕁䅣杣療䡁䅕䅣獁䍁䅁兓畂䝁䅍杌䅁䭁䍳䅁㙁䅁䅁杓灂䝁䄴睑潂䡁䅕兙畂䍁䅁睒祂䝁䄸兤睂䍁䅁睑療䍁䄴䅌䵂䡁䅑䅚杁䍁䅁免睁䑁䅁兊䅁䡁䉅䅁䵁䅁䅁睍㉁䑁䅍睎ぁ䅁䅁入䅅䑁䄴䅁塂䝁䅕督あ䝁䅕杣畂䍁䅁兔灂䝁䄴兡畂䝁䅣䅉䡂䡁䅉睢ㅂ䡁䅁䅉䑂䝁䄸杌獁䍁䅁䅔あ䝁䅑杌䅁偁䍷䅁䵁䅁䅁李祁䑁䅫䅍睁䅁䅁睏䅉䙁䅁䅁啂䝁䅧党杁䕁䅑睢求䍁䅁杕ㅂ䝁䄴䅉卂䝁䅕督療䡁䅕杣橂䝁䅕督杁䕁䅍睢祂䡁䅁睢祂䝁䅅䅤灂䝁䄸杢杁䍁䅁免睁䑁䅁兊䅁䙁䅁䅁䵁䅁䅁杍㍁䑁䅕睍硁䅁䅁兕䅁䅁䅷䅁祁䑁䅙睎祁䑁䅍䅁㑃允䅁䅄䅁䑁䅍睎㉁䑁䅣䅍䅁䑁䍙䅁浃䅁䅁䅗桂䝁䅷睢あ䝁䅧睢杁䕁䅍睢瑂䡁䅁兙畂䡁䅫䅉䵂䝁䅫兢灂䡁䅑党歂䍁䅁䅋偂䡁䅁䅤灂䝁䄸杢求䝁䅕克杁䑁䅧䅍汁䑁䅳䅉䍂䝁䅷兙橂䝁䅳督あ䝁䄸杢求䍁䅁兔灂䝁䄴党祂䝁䅅䅢穂䍁䅁䅔灂䝁䄰兡あ䝁䅕䅚杁䍁䅧睔睂䡁䅑兡療䝁䄴睢祂䍁䅫䅉祁䑁䅁兊䅁䙁䅉䅁慂䅁䅁睕潂䡁䅕入桂䝁䄴睚杁䕁䅍睢ㅂ䝁䄴䅤㕂䍁䅁兕灂䝁䅅杢睂䡁䅕䅉乂䝁䅫杢灂䝁䄴睚杁䕁䅍睢畁䍁䅷䅉䵂䡁䅑䅚畁䍁䅁䅉硁䑁䅁䅍汁䅁䅁䅚䅅䅁䅷䅁㑁䑁䅁䅏祁䑁䅣䅁坁杁䅁杩䅁䙁䅯䅡療䝁䄴睚煂䝁䅫杢杁䕁䅣睢獂䝁䅑䅉䑂䝁䄸杣睂䍁䄴䅌䵂䡁䅑䅚杁䍁䅧杖求䝁䄴䅤ㅂ䡁䅉党祂䍁䅫䅉ㅁ䑁䅕兊㝁䍁䅁兖畂䝁䄴兙瑂䝁䅕䅚杁䕁䄸睤畂䝁䅕杣杁䍁䅧杒祂䝁䅅睙あ䝁䅫睢畂䝁䅅䅢灁䍁䅁兊䅁䝁䉉䅁獁䅁䅁杕灂䝁䄸䅉啂䝁䅫杢あ䝁䄸䅉䡂䡁䅉睢ㅂ䡁䅁䅉杁䑁䅅䅍睁䍁䅕䅁婂䅁䅁䅄䅁䑁䅣李睁䑁䅣兏䅁䙁䅍䅁䵁䅁䅁睍睁䑁䅫睎祁䅁䅁䅖䅁䅁䅷䅁祁䑁䅑䅏㕁䑁䅅䅁䵂杁䅁䅄䅁䑁䅍免ㅁ䑁䅫䅍䅁䡁䈸䅁䥃䅁䅁兑畂䡁䅑睢浂䝁䅅睚桂䡁䅍䅤桂䍁䅁䅣獂䝁䅍䅉潁䙁䅙党畂䡁䅑兤祂䝁䅕杣灁䍁䅁睎睁䍁䅕睏杁䕁䄰兙祂䡁䅕杙求䝁䄴兡杁䕁䅍睢祂䡁䅁睢祂䝁䅅䅤灂䝁䄸杢杁䍁䅧杖求䝁䄴䅤ㅂ䡁䅉党祂䍁䅫䅉穁䑁䅁兊䅁䙁䅕䅁䵁䅁䅁䅏穁䑁䅣睍㉁䅁䅁杖䅁䅁䅷䅁祁䑁䅕睎㕁䑁䅁䅁煃允䅁䅄䅁䑁䅍䅍祁䑁䅣睎䅁䅁䉅䅁䵁䅁䅁䅏硁䑁䅕䅍㑁䅁䅁睔䅅䅁䅷䅁祁䑁䅧䅏㉁䑁䅧䅁䅄允䅁䅎䅁䕁䅅督穂䝁䅅杣求䝁䅷兌乂䝁䅕䅚求䡁䅑䅉䭂䙁䅍睑療䍁䄴䅉杁䑁䅅䅍睁䍁䅕䅁塂䅁䅁䅄䅁䑁䅉李㉁䑁䅕睍䅁乁䅫䅁䵁䅁䅁杍ぁ䑁䅣䅏穁䅁䅁䅗䅁䅁䅷䅁祁䑁䅧杍ㅁ䑁䅣䅁慂䅁䅁杏䅁䕁䅳睒䥂䕁䄰䅉兂䝁䄸䅢穂䝁䅳兙杁䕁䄰兡求䝁䅑来杁䙁䅍杌䉂䍁䄴䅉杁䑁䅅䅍睁䍁䅕䅁扂䅁䅁䅄䅁䑁䅉䅏睁䑁䅉杍䅁䩁䅕䅁䵁䅁䅁杍㕁䑁䅍兎㍁䅁䅁杵䅁䅁䅷䅁祁䑁䅧杍㉁䑁䅑䅁噄䅁䅁䅏䅁䙁䅫兤畂䝁䄴兙畂䍁䅁睑療䡁䅁䅣求䡁䅉䅉䑂䝁䄸杌獁䕁䅷䅤歂䍁䅁䅉硁䑁䅁䅍汁䅁䅁兘䅁䥁䅯䅁呂䝁䄸兤あ䝁䅧党祂䝁䄴䅉䑂䝁䄸䅣睂䝁䅕杣杁䕁䅍睢祂䡁䅁睢祂䝁䅅䅤灂䝁䄸杢杁䍁䅧杖求䝁䄴䅤ㅂ䡁䅉党祂䍁䅫䅉㕁䑁䅧杌穁䍁䅕睏杁䕁䄰党㑂䝁䅫睙療䍁䅁䅋坂䝁䅕杢あ䡁䅕杣求䡁䅉克杁䑁䅅杌㍁䍁䅕䅁時䅁䅁䅄䅁䑁䅉睎㑁䑁䅣兏䅁䙁䉙䅁坁䅁䅁杍兂䝁䄸兡畂䡁䅑杗求䡁䅉睢䅁䅁䑅䅁䵁䅁䅁睍睁䑁䅙兎ぁ䅁䅁䅙䅁䅁䅷䅁祁䑁䅙李㉁䑁䅧䅁䝃允䅁杁䅅䕁䅍䅡灂䝁䄴兙杁䕁䄴睢畂䝁䅙党祂䡁䅉睢ㅂ䡁䅍䅉乂䝁䅕䅤桂䝁䅷䅉乂䝁䅫杢灂䝁䄴睚杁䍁䅧睒祂䝁䄸兤睂䍁䅫䅉䑂䝁䄸杌獁䍁䅁䅔あ䝁䅑杌杁䍁䅧杖求䝁䄴䅤ㅂ䡁䅉党祂䍁䅫䅉ぁ䍁䄴李ㅁ䍁䅕睏杁䕁䅍䅡灂䝁䄴兙杁䕁䅑兙㕂䝁䅕䅉佂䝁䄸杢瑁䕁䅙党祂䡁䅉睢ㅂ䡁䅍䅉乂䝁䅕䅤桂䝁䅷督杁䕁䄰兡畂䝁䅫杢湂䍁䅁䅔灂䝁䄰兡あ䝁䅕䅚杁䍁䅧杖求䝁䄴䅤ㅂ䡁䅉党祂䍁䅫䅉㕁䑁䅕杌穁䑁䅕兊䅁䝁䅅䅁䵁䅁䅁睍ぁ䑁䅧䅎ぁ䅁䅁杙䅁䅁䅷䅁㍁䑁䅕兏㑁䑁䅑䅁权䅁䅁䅗䅁䕁䅍睢瑂䡁䅁兙硄佁䄰兙杁䝁䅑党杁䕁䄰兡畂䝁䅅督杁䕁䅉兤求䝁䄴兙㉂䝁䅕杢あ䡁䅕杣桂䍁䅁睕畁䕁䅅杌䉂䍁䄴䅉杁䑁䅅䅍睁䍁䅕䅁⭂允䅁䅄䅁䑁䅍兎㑁䑁䅕免䅁䝁䅍䅁䥄允䅁䅓求䝁䅫䅢療䝁䄴睚煂䝁䅫兙畂䝁䅣䅉婂䝁䅫睙潂䡁䅕杢杁䕁䅯兡畂䝁䅷兡畂䍁䅁兔灂䝁䄴兡畂䝁䅣䅉䩂䝁䄴䅚ㅂ䡁䅍䅤祂䡁䅫䅉䑂䍁䅁䅋坂䝁䅕杢あ䡁䅕杣求䡁䅉克杁䍁䅕睏杁䕁䅉党灂䝁䅯兡畂䝁䅣䅉婂䡁䅕䅡療䝁䄴睚㑂䝁䅫杢湂䍁䅁兓畂䡁䅙党穂䡁䅑兢求䝁䄴䅤杁䕁䅍睢杁䕁䅷䅤歂䍁䅁䅋坂䝁䅕杢あ䡁䅕杣求䡁䅉克杁䍁䅕睏杁䕁䅫杢畂䝁䅕杣杁䕁䄰睢畂䝁䅣睢獂䝁䅫兙杁䕁䅣党療䝁䅷睢湂䝁䅫睙桂䝁䅷䅉䙂䡁䅧䅣獂䝁䄸杣桂䡁䅑兡療䝁䄴䅉䑂䝁䄸䅉䵂䡁䅑䅚杁䍁䅧杖求䝁䄴䅤ㅂ䡁䅉党祂䍁䅫䅉汁䑁䅳䅉䩂䝁䄴杢求䡁䅉䅉乂䝁䄸杢湂䝁䄸䅢灂䝁䅅䅉塂䝁䅕兡獂䝁䅅䅉呂䝁䅫䅤ㅂ䝁䄸䅉乂䝁䅫杢灂䝁䄴睚杁䕁䅫杢歂䡁䅕督あ䡁䅉入杁䕁䅍睢畁䍁䅷䅉䵂䡁䅑䅚畁䍁䅁䅉硁䑁䅁䅍汁䅁䅁䅚䅁䅁䅷䅁㑁䑁䅅李ぁ䑁䅣䅁橄䅁䅁䅄䅁䑁䅉䅏㑁䑁䅑杍䅁佁䅳䅁䕂䅁䅁兑睂䡁䅁兡桂䝁䄴䅉䑂䝁䅅䅣灂䡁䅑兙獂䍁䅁兑歂䡁䅙兡穂䝁䄸杣㕂䍁䅁䅔䵂䙁䅁䅉杁䑁䅅䅍睁䍁䅕䅁流允䅁䅊䅁䕁䅉䅓兂䍁䅁睒祂䝁䄸兤睂䍁䅁䅔灂䝁䄰兡あ䝁䅕䅚䅁䅁䑳䅁䵁䅁䅁杍㉁䑁䅫䅏ぁ䅁䅁眶䅅䝁䅉䅁剂䝁䅫杢湂䝁䅑兙療䍁䅁兕灂䝁䅧兤桂䍁䅁兓畂䡁䅙党穂䡁䅑兢求䝁䄴䅤杁䕁䅧睢獂䝁䅑兡畂䝁䅣䅉䑂䝁䄸杌獁䍁䅁䅔あ䝁䅑杌杁䍁䅁免睁䑁䅁兊䅁䅁䍁䅁䵁䅁䅁睎㉁䑁䅅䅍硁䅁䅁党䅁䅁䅷䅁㑁䑁䅁杍ㅁ䑁䅙䅁㙄䅁䅁杓䅁䕁䅯䅗杁䕁䅅䅚㉂䝁䅅杢橂䝁䅕䅚杁䕁䄰党あ䝁䅅䅢穂䍁䅁睑療䡁䅉䅣療䡁䅉兙あ䝁䅫睢畂䍁䅁䅉硁䑁䅁䅍汁䅁䅁杚䅁䑁䅙䅁呂䙁䅁睘噂䕁䅷䅖時䙁䅁兑卂䕁䅕杔啂䙁䄸睑偂䕁䄰䅕䉂䕁䄴兗時䕁䄴兑乂䕁䅕䅁佃杁䅁䅄䅁䑁䅧免㉁䑁䅑兏䅁䝁䅣䅁䵁䅁䅁䅏睁䑁䅧杍ㅁ䅁䅁䅧䅉䍁䄴䅁兂䡁䅉兡㉂䝁䅅䅤求䍁䅁兓畂䡁䅑党祂䝁䅕督あ䍁䅁䅉硁䑁䅁䅍汁䅁䅁䅡䅁䕁䅉䅁佂䝁䅕䅥桂䍁䅁杕求䡁䅍睢ㅂ䡁䅉睙求䡁䅍䅉兂䝁䅕杣㙄䍁䅁睕畁䕁䅅杌䉂䍁䄴䅉杁䑁䅅䅍睁䍁䅕䅁祃䅁䅁杅䅁䕁䅣兤求䡁䅉杢穂䝁䅕入䅁佁䍁䅁睃䅁䅁䅕啂䍁䅁兑瑂䝁䄰兙畂䍁䅁兔灂䝁䄴党祂䝁䅅䅢杁䕁䅫杢あ䝁䅕杣畂䝁䅅督灂䝁䄸杢桂䝁䅷䅉啂䝁䅉睡杁䍁䅧杖求䝁䄴䅤ㅂ䡁䅉党祂䍁䅫䅉㕁䑁䅫杌㕁䑁䅫兊㝁䍁䅁䅕啂䍁䅁兑兂䍁䅁兓畂䡁䅙党穂䡁䅑兢求䝁䄴䅤杁䍁䅧杖求䝁䄴䅤ㅂ䡁䅉党祂䍁䅫䅉睁䍁䄴䅍硁䍁䅕䅁煂䅁䅁条䅁䕁䅫杢畂䝁䅕杣杁䕁䄰睢畂䝁䅣睢獂䝁䅫兙杁䕁䅍䅡灂䝁䅙党畂䝁䅣䅉䝂䡁䅕入ㅂ䝁䅅杢杁䕁䄰兡畂䝁䅫杢湂䍁䅁睑療䍁䄴䅌杁䕁䅷䅤歂䍁䄴䅉杁䑁䅅䅍睁䍁䅕䅁⽁允䅁䅄䅁䑁䅉䅏ㅁ䑁䅅杍䅁佁䅧䅁䵁䅁䅁睍穁䑁䅅䅎㕁䅁䅁䅊䅅䅁䅷䅁祁䑁䅣杍ぁ䑁䅑䅁牂䅁䅁䅄䅁䑁䅍兎穁䑁䅉䅍䅁䩁䉣䅁䵁䅁䅁杍㍁䑁䅅李ㅁ䅁䅁䅶䅅䕁䉁䅁呂䡁䅕兢灂䡁䅑睢瑂䝁䄸䅉乂䝁䅕䅤桂䝁䅷䅉乂䝁䅫杢灂䝁䄴睚杁䕁䅍睢畁䍁䅷䅉䵂䡁䅑䅚畁䍁䅁䅋坂䝁䅕杢あ䡁䅕杣求䡁䅉克杁䑁䅅李汁䑁䅳䅉呂䝁䄰兢桂䍁䅁睑桂䝁䄴䅚求䝁䅷兙祂䝁䅫兙獁䍁䅁兓畂䝁䅍杌杁䍁䅧杖求䝁䄴䅤ㅂ䡁䅉党灁䍁䅁兊㝁䍁䅁䅔ㅂ䝁䄴䅚灂䝁䄴䅉乂䝁䅫杢灂䝁䄴睚杁䕁䅍睢祂䡁䅁睢祂䝁䅅䅤灂䝁䄸杢杁䍁䅧杖求䝁䄴䅤ㅂ䡁䅉党祂䍁䅫䅉㑁䑁䅁兊㝁䍁䅁睕ㅂ䝁䄰兡あ䝁䄸兢療䍁䅁睑療䡁䅉䅣療䡁䅉兙あ䝁䅫睢畂䍁䅁䅋坂䝁䅕杢あ䡁䅕杣求䡁䅉克杁䑁䅑兊䅁䝁䅷䅁䵁䅁䅁杍㉁䑁䅣睎硁䅁䅁全䅁䱁䄴䅁䩂䝁䄴睙㍂䝁䅅䅢桂䍁䅁杕求䡁䅍睢ㅂ䡁䅉睙求䍁䅁䅋兂䡁䅑入灁䍁䅁䅔灂䝁䄰兡あ䝁䅕䅚杁䍁䅧杖求䝁䄴䅤ㅂ䡁䅉党祂䍁䅫䅉硁䑁䅫杌穁䑁䅙兊㝁䍁䅁睕灂䝁䅉兙畂䡁䅫党杁䙁䅍䅤灂䝁䅷䅢㍂䝁䅅䅤求䡁䅉䅉䵂䝁䅫兢灂䡁䅑党歂䍁䅁䅋坂䝁䅕杢あ䡁䅕杣求䡁䅉克杁䑁䅧䅍畁䑁䅙䅎汁䅁䅁䄱䅅䙁䅧䅁兂䕁䄴睒杁䙁䅍兤穂䡁䅑兙灂䝁䄴兙楂䝁䅷党杁䕁䅑党㉂䝁䅕䅢療䡁䅁兢求䝁䄴䅤杁䙁䅁杣療䝁䅣杣桂䝁䄰䅉䵂䝁䅫兢灂䡁䅑党歂䅁䅁睮䅉䅁䅷䅁祁䑁䅣䅎ㅁ䑁䅍䅁癄允䅁杤䅁䕁䅑党瑂䍁䄴䅉卂䝁䅕䅣畁䍁䅁睑療䝁䄴睚療䍁䅁䅋坂䝁䅕杢あ䡁䅕杣求䡁䅉克杁䑁䅕兊㝁䍁䅁睒獂䝁䅕杢橂䝁䄸杣求䍁䅁䅣獂䝁䅍䅉潁䙁䅙党畂䡁䅑兤祂䝁䅕杣灁䍁䅁兏ㅁ䍁䅕䅁い允䅁䅄䅁䑁䅉䅏祁䑁䅣䅍䅁䝁䄰䅁䵁䅁䅁睍ㅁ䑁䅣䅏㉁䅁䅁朵䅁䅁䅷䅁祁䑁䅙李㕁䑁䅣䅁療䅁䅁杘䅁䙁䅫兙畂䝁䅣䅥灂䝁䄴䅉䑂䝁䄸兤畂䡁䅑入杁䙁䅧兡畂䝁䅍䅡求䝁䄴睚杁䕁䄰兡畂䝁䅫杢湂䍁䅁睑療䍁䄴䅌杁䕁䅷䅤歂䍁䄴䅉杁䑁䅅䅍睁䍁䅕䅁硂䅁䅁䅄䅁䑁䅉兎㉁䑁䅅睍䅁䡁䅉䅁⭁䅁䅁兒㉂䝁䄸䅢ㅂ䡁䅑兡療䝁䄴䅉乂䝁䅫杢灂䝁䄴睚杁䕁䅷兡瑂䝁䅫䅤求䝁䅑䅉杁䑁䅅䅍睁䍁䅕䅁潁允䅁䅎䅁䕁䄴党㍂䝁䄰睢畂䡁䅑䅉䑂䝁䄸杣睂䝁䄸杣桂䡁䅑兡療䝁䄴䅉杁䑁䅅䅍睁䍁䅕䅁穂䅁䅁䅄䅁䑁䅉䅏祁䑁䅙䅏䅁䱁䅣䅁䵁䅁䅁睍睁䑁䅑䅏㉁䅁䅁䅤䅁䅁䅷䅁祁䑁䅣免㉁䑁䅁䅁㉂䅁䅁䅄䅁䑁䅧䅍㑁䑁䅅睍䅁䭁䉳䅁睂䅁䅁䅖桂䝁䄴来桂䝁䄴兡桂䍁䅁䅋䑂䝁䅅杣祂䝁䅫党歂䍁䅫䅉硁䑁䅙兊㝁䍁䅁村桂䡁䅉杣灂䝁䅍睡杁䕁䄰兡畂䝁䅫杢湂䍁䅁睑療䡁䅉䅣療䡁䅉兙あ䝁䅫睢畂䍁䅁䅉㑁䑁䅑兊䅁䡁䅣䅁獁䅁䅁䅒兂䕁䄰䅉乂䝁䅕䅤桂䝁䅷督杁䕁䅫杢橂䍁䄴䅉杁䑁䅅䅍睁䍁䅕䅁㕂䅁䅁䅄䅁䑁䅍杍㉁䑁䅉兎䅁䡁䅯䅁䵁䅁䅁䅏硁䑁䅉睍㑁䅁䅁八䅁䅁䅷䅁祁䑁䅙免睁䑁䅕䅁啄䅁䅁䅄䅁䑁䅉睎ㅁ䑁䅑睍䅁䡁䅷䅁畃䅁䅁杕啂䕁䅉䅉䍂䝁䄸杣杁䕁䅣杣療䡁䅕䅣杁䝁䅑杌療䍁䄴睢畁䍁䅁䅋坂䝁䅕杢あ䡁䅕杣求䡁䅉克杁䑁䅍睎汁䑁䅳䅉慂䝁䅫条灂䝁䄴䅉乂䝁䅫杢灂䝁䄴睚杁䕁䅣杣療䡁䅕䅣杁䕁䅍睢瑂䡁䅁兙畂䡁䅫䅉䵂䝁䅫兢灂䡁䅑党歂䍁䅁䅋坂䝁䅕杢あ䡁䅕杣求䡁䅉克杁䑁䅙睍汁䅁䅁兦䅁䝁䅑䅁塂䝁䅅杢橂䝁䅧党畂䝁䅣䅉䑂䝁䄸兢瑂䝁䅕杣橂䝁䅫兙獂䍁䅁䅒療䝁䄴睚穂䝁䅧党畂䝁䅣兢灂䝁䅅睢杁䕁䅍睢畁䍁䅷䅉䵂䡁䅑䅚畁䍁䅁䅉硁䑁䅁䅍汁䅁䅁眫䅁佁䅉䅁乂䕁䄰睒杁䕁䅷兡瑂䝁䅫䅤求䝁䅑䅉潁䙁䅙党畂䡁䅑兤祂䝁䅕杣灁䍁䅁李祁䍁䄴兎汁䑁䅳䅉䑂䝁䄸兢睂䝁䅅督穂䍁䅁兓畂䡁䅙党穂䡁䅑兢求䝁䄴䅤杁䕁䅍睢瑂䡁䅁兙畂䡁䅫䅉䵂䝁䅫兢灂䡁䅑党歂䍁䅁䅋坂䝁䅕杢あ䡁䅕杣求䡁䅉克杁䑁䅉䅍畁䑁䅉兎汁䑁䅳䅉䑂䕁䅫䅖䩂䕁䅍䅉䵂䝁䅫兢灂䡁䅑党歂䍁䅁䅋坂䝁䅕杢あ䡁䅕杣求䡁䅉克杁䑁䅅兎汁䅁䅁杲䅅䩁䅷䅁噂䝁䄴杢桂䝁䄰党歂䍁䅁睔㍂䝁䄴党祂䍁䅁䅋䝂䡁䅉兙橂䡁䅑兡療䝁䄴兙獂䍁䅫䅉汁䑁䅳䅉乂䝁䅫杢求䡁䅉兙杁䕁䅙杣灂䡁䅍睙療䍁䅷䅉呂䍁䄴兑畁䕁䅉杌杁䝁䅑党杁䕁䅍杌坂䍁䄴䅉潁䙁䅙党畂䡁䅑兤祂䝁䅕杣灁䍁䅁兏㕁䍁䄴免㉁䍁䅕䅁獁杁䅁䅄䅁䑁䅉兎㑁䑁䅍免䅁偁䉕䅁䵁䅁䅁䅏睁䑁䅧免ぁ䅁䅁杦䅁䅁䅷䅁㍁䑁䅙䅍㍁䑁䅣䅁啂允䅁䅄䅁䑁䅣李硁䑁䅁兏䅁䝁䍣䅁奃䅁䅁睕潂䝁䅅杢㑂䝁䅫䅉慂䝁䅧睢畂䝁䅣䅤灂䝁䅅睢穂䝁䅧兙畂䍁䅁杔療䝁䄴杚求䡁䅉杣療䡁䅕督杁䕁䄰党あ䝁䅅䅢穂䍁䅁睒祂䝁䄸兤睂䍁䅁杗灂䡁䅯兡湂䝁䄸兤杁䕁䄰兡畂䝁䅫杢湂䍁䅁睑療䍁䄴䅌杁䕁䅷䅤歂䍁䄴䅉杁䑁䅅䅍睁䍁䅕䅁⽂䅁䅁䅄䅁䑁䅉睎祁䑁䅧李䅁䥁䅁䅁潁䅁䅁兑畂䝁䅑党桂䝁䄴䅉卂䝁䅕督療䡁䅕杣橂䝁䅕督杁䙁䅍兑䅁䭁䌴䅁䅂䅁䅁䅕桂䝁䄴䅉䉂䝁䄰党祂䝁䅫睙桂䝁䄴䅉呂䝁䅫䅢㉂䝁䅕杣杁䕁䅍睢祂䡁䅁杌杁䍁䅁免睁䑁䅁兊䅁䙁䉣䅁䵁䅁䅁睍穁䑁䅣杍㍁䅁䅁䅗䅅䅁䅷䅁穁䑁䅅杍穁䑁䅫䅁䍃䅁䅁䅌䅁䕁䅳兏祁䍁䅁兔灂䝁䄴兡畂䝁䅣䅉䩂䝁䄴睙畁䍁䅁䅉硁䑁䅁䅍汁䅁䅁睧䅁䕁䅙䅁啂䝁䅫杙求䡁䅑䅉䥂䡁䅕兙㕂䡁䅕䅉乂䝁䅫杢灂䝁䄴睚杁䕁䅍睢畁䍁䅷䅉䵂䡁䅑䅚畁䍁䅁䅉硁䑁䅁䅍汁䅁䅁杗䅅䅁䅯䅁䩂䡁䅉兙畂䅁䅁䄷䅉䙁䅉䅁慂䝁䅫条灂䝁䄴䅉乂䝁䅫杢灂䝁䄴睚杁䕁䅣杣療䡁䅕䅣杁䕁䅍睢瑂䡁䅁兙畂䡁䅫䅉䵂䝁䅫兢灂䡁䅑党歂䍁䅁䅉硁䑁䅁䅍汁䅁䅁儵䅁䍁䅁䅁坂䝁䄸䅤療䡁䅉兙畂䡁䅑兡瑂䍁䅁睕畁䕁䅅杌䅁偁䍅䅁㡃䅁䅁兑ㅂ䡁䅉党獂䝁䅫兙杁䕁䄰党あ䝁䅅䅢穂䍁䅁䅔灂䝁䄰兡あ䝁䅕䅚杁䍁䅁免睁䑁䅁兊㝁䍁䅁䅔㕂䝁䅑兙灂䝁䅷䅉兂䡁䅑入杁䕁䅷䅤歂䍁䄴䅉潁䕁䅙杣桂䝁䅍䅤灂䝁䄸杢桂䝁䅷克杁䍁䅕睏杁䙁䅯兡畂䡁䅑睢楂䝁䅅䅉兂䡁䅑入杁䕁䅷䅤歂䍁䄴䅉潁䕁䅙杣桂䝁䅍䅤灂䝁䄸杢桂䝁䅷克杁䍁䅕䅁䝃䅁䅁䅄䅁䑁䅉睎㑁䑁䅍䅍䅁䥁䅣䅁䵁䅁䅁杍㍁䑁䅉䅏睁䅁䅁克䅉䥁䅁䅁䙂䡁䅉睢杁䕁䅍睢睂䡁䅁党祂䍁䅁睑療䡁䅉䅣畁䍁䅁䅋坂䝁䅕杢あ䡁䅕杣求䡁䅉克杁䑁䅫兏畁䑁䅙兊㝁䍁䅁兖畂䝁䄴兙瑂䝁䅕䅚杁䕁䄸睤畂䝁䅕杣杁䍁䅧杒祂䝁䅅睙あ䝁䅫睢畂䝁䅅䅢灁䍁䅁兊䅁䥁䅧䅁䵁䅁䅁杍ぁ䑁䅕䅍ㅁ䅁䅁兩䅁䕁䅙䅁䡂䡁䅉兤睂䝁䄸䅉乂佁䅫䅥灂䝁䅍睢獁䍁䅁睕畁䕁䅅杌䍂䍁䄴䅉歂䝁䅕䅉䑂䍁䄴杖畁䍁䅁䅉硁䑁䅁䅍汁䅁䅁杩䅁䅁䅷䅁祁䑁䅣李穁䑁䅉䅁噂杁䅁䅄䅁䑁䅍䅍㉁䑁䅣䅏䅁佁䅷䅁䵁䅁䅁睍穁䑁䅍䅏硁䅁䅁睩䅁䙁䅧䅁䉂䝁䅷兤瑂䝁䅫杢ㅂ䝁䄰䅉䑂䝁䄸杣睂䝁䄸杣桂䡁䅑兡療䝁䄴䅉療䝁䅙䅉䑂䝁䅧兡畂䝁䅅䅉䵂䝁䅫兢灂䡁䅑党歂䍁䅁䅉硁䑁䅁䅍汁䅁䅁睉䅅䝁䅧䅁䑂䝁䅧兡畂䝁䅅䅉䡂䝁䄸䅢歂䍁䅁兓畂䡁䅑党祂䝁䄴兙あ䝁䅫睢畂䝁䅅䅢杁䙁䅉党穂䝁䄸兤祂䝁䅍党穂䍁䅁睑療䡁䅉䅣畁䍁䅁䅔あ䝁䅑杌杁䍁䅁免睁䑁䅁兊䅁䝁䈰䅁獁䅁䅁兑獂䡁䅁兙㕂䝁䅅杢桂䍁䅁睕畁䕁䅅杌䑂䍁䄴䅉杁䑁䅅䅍睁䍁䅕䅁䵃䅁䅁䅄䅁䑁䅧䅍穁䑁䅧䅏䅁䙁䉫䅁䵁䅁䅁睍㑁䑁䅣䅍㍁䅁䅁兪䅁䭁䅑䅁啂䝁䅕睙牂䍁䅁杕求䡁䅍睢ㅂ䡁䅉睙求䡁䅍䅉䵂䝁䅫兢灂䡁䅑党歂䍁䅁䅋坂䝁䅕杢あ䡁䅕杣求䡁䅉克杁䑁䅫䅍汁䑁䅳䅉䙂䝁䄰䅣祂䝁䅕督桂䍁䅁杔桂䝁䅍兡療䝁䄴兙獂䍁䅁䅚求䍁䅁兔灂䝁䄴党祂佁䄰兙杁䍁䅧杖求䝁䄴䅤ㅂ䡁䅉党祂䍁䅫䅉硁䑁䅁兊䅁䭁䅧䅁䵁䅁䅁杍㑁䑁䅫䅍㑁䅁䅁光䅉䅁䅷䅁祁䑁䅫睍硁䑁䅉䅁佃䅁䅁杕䅁䕁䅫杢歂䡁䅕督あ䡁䅉兡桂䡁䅍䅉兂䝁䅕儸療䝁䅷党穂䍁䅷䅉呂䍁䄴兑畁䕁䅉杌杁䝁䅑党杁䕁䅍杌坂䍁䄴䅉杁䑁䅅䅍睁䍁䅕䅁橃䅁䅁䅄䅁䑁䅍兎硁䑁䅫兏䅁䥁䄸䅁䵁䅁䅁杍㑁䑁䅉李㕁䅁䅁儷䅅䅁䅷䅁㑁䑁䅁䅏祁䑁䅑䅁元䅁䅁䅐䅁䙁䅯䅡灂䡁䅧兡畂䝁䅍䅡求䝁䄴睚杁䕁䅍睢畂䝁䅍杌杁䙁䅁䅢桂䝁䄴䅤杁䍁䅁免睁䑁䅁兊䅁䩁䅉䅁䵁䅁䅁睎ㅁ䑁䅫睎ぁ䅁䅁睫䅁䥁䅯䅁乂䝁䅕䅥灂䝁䅍睢杁䍁䅧杖求䝁䄴䅤ㅂ䡁䅉党祂䍁䅫䅉硁䍁䄴睎汁䑁䅳䅉呂䝁䄸兤あ䝁䅧党祂䝁䄴䅉䑂䝁䄸䅣睂䝁䅕杣杁䕁䅍睢祂䡁䅁睢祂䝁䅅䅤灂䝁䄸杢杁䍁䅧杖求䝁䄴䅤ㅂ䡁䅉党祂䍁䅫䅉㕁䑁䅧杌穁䍁䅕䅁啃䅁䅁䅚䅁䙁䅁兤楂䝁䅷兡橂䍁䅁杓療䝁䅫杢あ䍁䄰睕あ䝁䄸睙牂䍁䅁睑療䝁䄰䅣桂䝁䄴入杁䕁䅍䅡求䝁䅷入桂䝁䅉兡畂䡁䅍睡杁䙁䅯兡畂䝁䅍䅉兂䝁䅷兙畂䡁䅑䅁䕁睁䅁杌䅁䕁䅙兙祂䡁䅉兡畂䝁䅣杚療䡁䅉䅚杁䕁䅙睢ㅂ䝁䄴䅚桂䡁䅑兡療䝁䄴䅁㡃杁䅁䅄䅁䑁䅉䅏㑁䑁䅅䅏䅁䩁䅙䅁⭄䅁䅁䅕祂䝁䅫杤桂䡁䅑党杁䕁䅫杢あ䝁䅕杣求䡁䅍䅤杁䍁䅧杖求䝁䄴䅤ㅂ䡁䅉党祂䍁䅫䅉睁䍁䄴䅎㍁䍁䅕睏杁䕁䅣睢獂䝁䅑䅉䝂䝁䅫党獂䝁䅑督杁䕁䅷兡瑂䝁䅫䅤求䝁䅑䅉潁䙁䅙党畂䡁䅑兤祂䝁䅕杣灁䍁䅁兏㕁䍁䄴兎穁䍁䅕睏杁䕁䅍睢瑂䡁䅁兙硄佁䄰兙杁䝁䅑党杁䕁䄰兡畂䝁䅅督杁䕁䅉兤求䝁䄴兙㉂䝁䅕杢あ䡁䅕杣桂䍁䅁睕畁䕁䅅杌䉂䍁䄴䅉潁䕁䅙杣桂䝁䅍䅤灂䝁䄸杢桂䝁䅷克杁䍁䅕䅁塃䅁䅁䅄䅁䑁䅉睎㉁䑁䅅兏䅁䅁䈸䅁啂䅁䅁䅓桂䡁䅉兢療䝁䄴入杁䕁䅣睢獂䝁䅑䅉乂䝁䅫杢灂䝁䄴睚杁䕁䅍睢瑂䡁䅁兙畂䡁䅫䅉䵂䝁䅫兢灂䡁䅑党歂䍁䅁䅉硁䑁䅁䅍汁䅁䅁杹䅁䅁䅷䅁祁䑁䅑䅎㍁䑁䅍䅁汄允䅁村䅁䙁䅍党歂䝁䅫杙求䝁䅷睢杁䙁䅉党穂䝁䄸兤祂䝁䅍党穂䍁䅁䅔灂䝁䄰兡あ䝁䅕䅚杁䍁䅁免睁䑁䅁兊䅁䩁䅫䅁兂䅁䅁睑潂䝁䅫杚求䝁䄴睚杁䕁䅑兙煂䝁䅫杢湂䡁䅯兡杁䕁䄰兡畂䝁䅫杢湂䍁䅁睑療䍁䄴䅌杁䕁䅷䅤歂䍁䄴䅉杁䑁䅅䅍睁䍁䅕䅁敄䅁䅁䅄䅁䑁䅍睍硁䑁䅫䅍䅁䩁䅯䅁䵁䅁䅁杍㕁䑁䅑睍ぁ䅁䅁党䅅䭁䅉䅁兂䡁䅕杙獂䝁䅫睙杁䕁䅯睢灂䝁䄴䅤杁䙁䅍䅤療䝁䅍睡杁䕁䅍睢瑂䡁䅁兙畂䡁䅫䅉乂䝁䅫杢灂䝁䄴睚杁䝁䅅杢歂䍁䅁兔求䡁䅑兙獂䝁䅷兤祂䝁䅣兡橂䝁䅅䅢杁䕁䅍睢瑂䡁䅁兙畂䡁䅫䅉佂䝁䄸杣灂䝁䅷督牂䍁䅁杔灂䝁䅍睡求䝁䅷䅉杁䑁䅅䅍睁䍁䅕䅁㡄允䅁䅄䅁䑁䅍睍ぁ䑁䅅睍䅁䩁䅷䅁奂允䅁䅕ㅂ䝁䅉䅢灂䝁䅍䅉䭂䝁䄸兡畂䡁䅑䅉呂䡁䅑睢橂䝁䅳䅉䑂䝁䄸兢睂䝁䅅杢㕂䍁䅁兔灂䝁䄴兡畂䝁䅣䅉桂䝁䄴䅚杁䕁䄰党あ䝁䅅䅢獂䡁䅕杣湂䝁䅫睙桂䝁䅷䅉䑂䝁䄸兢睂䝁䅅杢㕂䍁䅁杔療䡁䅉兡獂䡁䅍睡杁䕁䄴兡橂䝁䅳党獂䍁䅁䅋坂䝁䅕杢あ䡁䅕杣求䡁䅉克杁䑁䅕䅍畁䑁䅁免汁䑁䅳䅉䑂䕁䅫睕杁䕁䄴兙あ䡁䅕杣桂䝁䅷䅉卂䝁䅕督療䡁䅕杣橂䝁䅕督杁䕁䅙兤畂䝁䅑䅉潁䙁䅙党畂䡁䅑兤祂䝁䅕杣灁䍁䅁睍㉁䍁䄴李㉁䍁䅕睏杁䕁䅧兡湂䝁䅧䅢桂䝁䄴䅚杁䕁䅙兤畂䝁䅑䅉潁䙁䅙党畂䡁䅑兤祂䝁䅕杣灁䍁䅁免穁䍁䄴睍穁䍁䅕䅁摃䅁䅁䅄䅁䑁䅉兏ぁ䑁䅁䅎䅁䩁䄴䅁䵁䅁䅁睍睁䑁䅙李ㅁ䅁䅁杒䅉䩁䅷䅁䵂䡁䅕睙桂䍁䅁兔灂䝁䄴兡畂䝁䅣䅉䑂䝁䄸杣睂䍁䄴䅉潁䙁䅙党畂䡁䅑兤祂䝁䅕杣灁䍁䅁兏㕁䍁䄴兏汁䑁䅳䅉卂䝁䅕入畂䝁䅅督杁䕁䄰兡畂䝁䅅督杁䙁䅍杌䉂䍁䄴䅉歂䝁䅕䅉䑂䍁䄴杖畁䍁䅁䅋坂䝁䅕杢あ䡁䅕杣求䡁䅉克杁䑁䅁杌硁䍁䅕䅁晃䅁䅁䅙䅁䙁䅑睢畂䝁䅣䅢灂䝁䄴睚杁䕁䄴睢畂䝁䅙党祂䡁䅉睢ㅂ䡁䅍䅉乂䝁䅕䅤桂䝁䅷督杁䕁䅣杣療䡁䅕䅣杁䕁䅍睢畁䍁䅷䅔あ䝁䅑杌杁䍁䅁免睁䑁䅁兊䅁偁䅕䅁䕁䅁䅁免䅁䵁䍯䅁䵁䅁䅁䅏睁䑁䅧䅍硁䅁䅁睤䅅䅁䅷䅁祁䑁䅣䅏祁䑁䅙䅁楃䅁䅁䅄䅁䑁䅣兏㉁䑁䅑䅍䅁䭁䅑䅁䵁䅁䅁杍ㅁ䑁䅣兎ぁ䅁䅁兰䅁䍁䄴䅁呂䙁䅁睘兂䕁䅅杕䙂䕁䄴䅖時䕁䅍睔乂䙁䅁兑佂䙁䅫睘佂䕁䅅兔䙂䅁䅁典䅉䅁䅷䅁祁䑁䅫䅏穁䑁䅁䅁ㅃ䅁䅁䅒䅁䕁䅙兡祂䡁䅍䅤杁䙁䅅兤桂䝁䄴䅤ㅂ䝁䄰䅉乂䝁䅫杢求䡁䅉兙獂䡁䅍䅉䵂䡁䅑䅚畁䍁䅁䅉硁䑁䅁䅍汁䅁䅁杰䅁䅁䅷䅁㕁䑁䅁兏穁䑁䅫䅁灃䅁䅁䅄䅁䑁䅍睍㑁䑁䅍䅏䅁䭁䅳䅁畄䅁䅁兔灂䡁䅑督ㅂ䝁䅉兡穂䝁䅧兡杁䕁䄰兙あ䝁䅕杣灂䝁䅅䅢穂䍁䅁睑療䡁䅉䅣療䡁䅉兙あ䝁䅫睢畂䍁䅁䅋坂䝁䅕杢あ䡁䅕杣求䡁䅉克杁䑁䅍䅍汁䑁䅳䅉䑂䝁䅅䅣穂䡁䅑睢畂䝁䅕䅉䑂䝁䄸䅣睂䝁䅕杣杁䕁䅍睢祂䡁䅁杌杁䍁䅧杖求䝁䄴䅤ㅂ䡁䅉党祂䍁䅫䅉㉁䑁䅫杌㕁䑁䅫兊㝁䍁䅁兖畂䝁䄴兙瑂䝁䅕䅚杁䕁䄸睤畂䝁䅕杣杁䍁䅧杒祂䝁䅅睙あ䝁䅫睢畂䝁䅅䅢灁䍁䅁兊䅁䭁䅯䅁䵁䅁䅁杍㕁䑁䅅兎祁䅁䅁䅲䅁䱁䅁䅁䭂䙁䅧䅉䉂䝁䅑杤桂䝁䄴睙求䝁䅑䅉乂䝁䅕䅤桂䝁䅷督杁䕁䅍睢祂䡁䅁睢祂䝁䅅䅤灂䝁䄸杢杁䍁䅧杖求䝁䄴䅤ㅂ䡁䅉党祂䍁䅫䅉祁䑁䅕兊㝁䍁䅁䅔ㅂ䝁䄴䅚灂䝁䄴䅉乂䝁䅫杢灂䝁䄴睚杁䕁䅍睢祂䡁䅁睢祂䝁䅅䅤灂䝁䄸杢杁䍁䅧杖求䝁䄴䅤ㅂ䡁䅉党祂䍁䅫䅉㍁䑁䅕兊䅁䭁䄰䅁䵁䅁䅁睎ㅁ䑁䅫睎祁䅁䅁眫䅅䅁䅷䅁㑁䑁䅅杍ぁ䑁䅉䅁畃䅁䅁䅄䅁䑁䅉睎㕁䑁䅧免䅁䱁䅁䅁䵁䅁䅁杍㍁䑁䅁兎ㅁ䅁䅁睳䅁䙁䅉䅁呂䡁䅕杙求䝁䅫䅉䑂䝁䄸兤畂䡁䅑入杁䙁䅫兤㑂䝁䅫䅉乂䝁䅫杢灂䝁䄴睚杁䕁䅍睢畁䍁䅷䅉䵂䡁䅑䅚畁䍁䅁䅉硁䑁䅁䅍汁䅁䅁杢䅉偁䅑䅁䭂䝁䅫杢橂䝁䅧兤桂䝁䄴䅉䡂䡁䅉睢ㅂ䡁䅁䅉䩂䝁䄴䅤求䡁䅉杢桂䡁䅑兡療䝁䄴兙獂䍁䅁杕求䡁䅍睢ㅂ䡁䅉睙求䡁䅍䅉䑂䝁䄸杌杁䕁䅷䅤歂䍁䅁䅋坂䝁䅕杢あ䡁䅕杣求䡁䅉克杁䑁䅣䅍汁䑁䅳䅉䡂佁䅫睙桂䝁䄰兡畂䝁䅕督杁䙁䅍兑杁䍁䅧杖求䝁䄴䅤ㅂ䡁䅉党祂䍁䅫䅉祁䑁䅕兊㝁䍁䅁䅒求䝁䄰杌杁䙁䅉党睂䍁䄴䅉䑂䝁䄸杢湂䝁䄸䅉潁䙁䅙党畂䡁䅑兤祂䝁䅕杣灁䍁䅁兎汁䅁䅁杴䅁䅁䅷䅁㑁䑁䅅李ぁ䑁䅑䅁㕃䅁䅁䅆䅁䕁䅅兤穂䡁䅑杣桂䝁䅷兡桂䅁䅁朳䅉䕁䅁䅁䵂䡁䅕杢歂䝁䅫杢杁䕁䄰兡畂䝁䅫杢湂䍁䅁睑療䡁䅉䅣療䡁䅉兙あ䝁䅫睢畂䍁䅁䅉硁䑁䅁䅍汁䅁䅁睵䅁䅁䅷䅁祁䑁䅧杍㑁䑁䅍䅁㡃䅁䅁䅄䅁䑁䅧䅍㑁䑁䅁睍䅁䡁䉉䅁䵁䅁䅁睍穁䑁䅫李ぁ䅁䅁朹䅁䕁䅑䅁呂䝁䄸兤あ䝁䅧党祂䝁䄴䅉䑂䝁䄸䅣睂䝁䅕杣杁䕁䅍睢祂䡁䅁睢祂䝁䅅䅤灂䝁䄸杢杁䍁䅁免睁䑁䅁兊䅁䱁䄰䅁䭂䅁䅁杓灂䝁䅅杢湂䡁䅧兡杁䕁䅍睢睂䡁䅁党祂䍁䅁睑療䝁䄰䅣桂䝁䄴入杁䕁䅷兡瑂䝁䅫䅤求䝁䅑䅉杁䑁䅅䅍睁䍁䅕䅁⽃䅁䅁䅄䅁䑁䅉睎㉁䑁䅁兎䅁乁䉍䅁䵁䅁䅁杍㑁䑁䅁䅍ぁ䅁䅁兹䅁䅁䅷䅁祁䑁䅫䅎穁䑁䅉䅁乃允䅁䅄䅁䑁䅉䅎㍁䑁䅍睍䅁䵁䅁䅁䵁䅁䅁睍祁䑁䅣睎睁䅁䅁充䅅䕁䅑䅁䙂䡁䅕杣桂䡁䅍兡桂䝁䄴䅉卂䝁䅕督療䡁䅕杣橂䝁䅕督杁䕁䅣杣療䡁䅕䅣杁䙁䅍杌杄䍁䅁杣畁䝁䅷杌䅁䱁䍫䅁䵁䅁䅁䅏睁䑁䅧杍硁䅁䅁具䅁䅁䅷䅁祁䑁䅙兏㉁䑁䅧䅁敁允䅁村䅁䙁䅍兙畂䝁䅑杚灂䡁䅉党杁䙁䅉党穂䝁䄸兤祂䝁䅍党穂䍁䅁䅔灂䝁䄰兡あ䝁䅕䅚杁䍁䅁免睁䑁䅁兊䅁乁䉧䅁啂䅁䅁䅓ㅂ䝁䅫䅢灂䍁䅁睑療䡁䅕杢あ䡁䅫䅉䥂䝁䅕兡㕂䡁䅕䅉乂䝁䅫杢灂䝁䄴睚杁䕁䅍睢畁䍁䅷䅉䵂䡁䅑䅚畁䍁䅁䅉硁䑁䅁䅍汁䅁䅁杷䅁䅁䅷䅁穁䑁䅉兎ㅁ䑁䅍䅁睂杁䅁杏䅁䕁䄸睡杁䙁䅑党歂䝁䅫䅉乂䝁䅫杢灂䝁䄴睚杁䕁䅷兡瑂䝁䅫䅤求䝁䅑䅉杁䑁䅅䅍睁䍁䅕䅁灂允䅁䅄䅁䑁䅣兎㕁䑁䅣李䅁䵁䅍䅁䵁䅁䅁杍ㅁ䑁䅙兏㑁䅁䅁䅸䅁䵁䅁䅁䍂䝁䅅杣祂䝁䅫睙牂䍁䅁兔灂䝁䄴兡畂䝁䅣䅉䑂䝁䄸杣睂䝁䄸杣桂䡁䅑兡療䝁䄴䅉潁䙁䅙党畂䡁䅑兤祂䝁䅕杣灁䍁䅁兎睁䍁䅕睏杁䙁䅍兙ㅂ䝁䅑兡杁䕁䅅杣桂䝁䅉兡桂䝁䄴䅉乂䝁䅫杢灂䝁䄴睚杁䕁䅍睢瑂䡁䅁兙畂䡁䅫䅉潁䕁䄰兙桂䝁䅑党畂䍁䅫䅉潁䙁䅙党畂䡁䅑兤祂䝁䅕杣灁䍁䅁兎睁䍁䅕䅁䙄䅁䅁䅍䅁䕁䅅兓䑂䍁䅁兔灂䝁䄴党穂䍁䅁䅔灂䝁䄰兡あ䝁䅕䅚杁䍁䅁免睁䑁䅁兊䅁䉁䈰䅁䵁䅁䅁杍㉁䑁䅕李㑁䅁䅁杒䅅䅁䅷䅁穁䑁䅁兎ㅁ䑁䅕䅁䝄䅁䅁䅄䅁䑁䅍免㉁䑁䅕免䅁䵁䅣䅁杁䅁䅁杖桂䝁䅷党杁䙁䅍杌䉂䍁䄴䅉杁䑁䅅䅍睁䍁䅕䅁療允䅁䅄䅁䑁䅧䅍㑁䑁䅉杍䅁䵁䉉䅁㙃䅁䅁杗䑂䕁䅍兔杁䕁䅫杢㉂䝁䅕督あ䝁䄰党畂䡁䅑督杁䕁䅧睢獂䝁䅑兡畂䝁䅣督杁䙁䅁䅢橂䍁䅁䅋坂䝁䅕杢あ䡁䅕杣求䡁䅉克杁䑁䅑兏汁䑁䅳䅉䩂䝁䄴䅤求䡁䅉杢桂䡁䅑兡療䝁䄴兙獂䍁䅁杕求䡁䅍睢ㅂ䡁䅉睙求䡁䅍䅉䥂䝁䄸䅢歂䝁䅫杢湂䍁䅁䅋坂䝁䅕杢あ䡁䅕杣求䡁䅉克杁䑁䅕免汁䅁䅁朷䅅䕁䅧䅁坂䝁䄸䅢橂䝁䅅杢杁䕁䅍睢瑂䡁䅁兙硄佁䄰兙杁䕁䄰兡畂䝁䅕杣桂䍁䅁睕畁䕁䅅杌䉂䍁䄴䅉杁䑁䅅䅍睁䍁䅕䅁䥄䅁䅁䅄䅁䑁䅣兎㕁䑁䅧杍䅁䍁䉳䅁䵁䅁䅁䅏硁䑁䅉李穁䅁䅁睹䅁䭁䅷䅁慂䕁䅍睑乂䍁䅁兓畂䡁䅙党穂䡁䅑兢求䝁䄴䅤穂䍁䅁䅓療䝁䅷䅚灂䝁䄴睚穂䍁䅁䅕獂䝁䅍䅉潁䙁䅙党畂䡁䅑兤祂䝁䅕杣灁䍁䅁杍睁䍁䄴李汁䑁䅳䅉坂䝁䅕䅚桂䝁䄴䅤桂䍁䅁兓畂䝁䅍睢祂䡁䅁睢祂䝁䅅䅤求䝁䅑䅉潁䙁䅙党畂䡁䅑兤祂䝁䅕杣灁䍁䅁睎㕁䍁䄴䅎汁䅁䅁睮䅅䙁䅷䅁慂䝁䅅杢湂䝁䅕来ㅂ䡁䅉䅉䑂䝁䄸䅣睂䝁䅕杣杁䕁䄰睢獂䡁䅫杙歂䝁䅕杢ㅂ䝁䄰䅉䑂䝁䄸兢楂䝁䅫杢求䍁䅁睑䭂䙁䅍睑杁䍁䅁免睁䑁䅁兊䅁䥁䍙䅁卂䅁䅁睓ㅂ䝁䄴兢灂䝁䄴睚杁䙁䅍䅡ㅂ䝁䄴兣灂䝁䅅杢湂䍁䅁兔灂䝁䄴兡畂䝁䅣䅉䑂䝁䄸杌獁䍁䅁䅔あ䝁䅑杌杁䍁䅁免睁䑁䅁兊䅁䵁䅷䅁䵁䅁䅁䅏硁䑁䅙䅎祁䅁䅁兺䅁䱁䅙䅁呂䝁䅫杙桂䝁䄴入求䍁䅁睕あ䝁䅫䅢獂䡁䅣兙あ䝁䅕杣杁䕁䅷兡瑂䝁䅫䅤求䝁䅑䅉潁䙁䅙党畂䡁䅑兤祂䝁䅕杣灁䍁䅁兎睁䍁䅕睏杁䕁䅫兢睂䝁䅅䅢桂䍁䅁䅕獂䝁䅅䅤灂䝁䄴兤瑂䍁䅁䅓療䝁䅷䅚灂䝁䄴睚穂䍁䅁䅔灂䝁䄰兡あ䝁䅕䅚杁䍁䅧杖求䝁䄴䅤ㅂ䡁䅉党祂䍁䅫䅉ㅁ䑁䅁兊䅁乁䈰䅁䵁䅁䅁杍㍁䑁䅉䅏穁䅁䅁杺䅁䍁䈴䅁䉂䝁䄴睚獂䝁䄸䅉䉂䝁䄰党祂䝁䅫睙桂䝁䄴䅉睂䝁䅷睙杁䍁䅧杖求䝁䄴䅤ㅂ䡁䅉党祂䍁䅫䅉ぁ䑁䅑兊㝁䍁䅁兔灂䡁䅑督ㅂ䝁䅫䅉䱂䝁䅫杢㙂䝁䄸睡ㅂ䍁䅁睑療䝁䄰䅣桂䝁䄴入獁䍁䅁䅔灂䝁䄰兡あ䝁䅕䅚杁䍁䅧杖求䝁䄴䅤ㅂ䡁䅉党祂䍁䅫䅉睁䍁䄴兏㍁䍁䅕睏杁䕁䄰兡あ䡁䅍兤灂䍁䅁杊杁䕁䅍睢畁䍁䅷䅉䵂䡁䅑䅚畁䍁䅁䅋坂䝁䅕杢あ䡁䅕杣求䡁䅉克杁䑁䅅免畁䑁䅁睍汁䑁䅳䅉䡂䝁䅷党畂䝁䅍睢祂䝁䅕䅉睂䝁䅷睙杁䍁䅧杖求䝁䄴䅤ㅂ䡁䅉党祂䍁䅫䅉ぁ䑁䅑兊䅁䵁䄸䅁䵁䅁䅁睍穁䑁䅑免ぁ䅁䅁䄰䅁䅁䅷䅁穁䑁䅙䅍祁䑁䅙䅁剃允䅁村䅁䕁䅫兢睂䝁䅅䅢桂䍁䅁䅕獂䝁䅅䅤灂䝁䄴兤瑂䍁䅁䅓療䝁䅷䅚灂䝁䄴睚穂䍁䅁䅔灂䝁䄰兡あ䝁䅕䅚䅁䵁䍅䅁啂䅁䅁睕灂䝁䅍䅡ㅂ䝁䅅杢杁䕁䅧兤灂䝁䅷兡杁䕁䅷党桂䝁䅑䅉流䍁䅁杗灂䝁䄴睙杁䕁䅍睢畁䍁䅷䅉䵂䡁䅑䅚畁䍁䅁䅉硁䑁䅁䅍汁䅁䅁睕䅉䅁䅷䅁祁䑁䅑䅏㑁䑁䅁䅁䙂杁䅁李䅁䕁䅧兤歂䝁䅉兙㕂䍁䅁兔灂䝁䄴党祂䝁䅅䅢穂䍁䅁兓畂䝁䅍杌杁䍁䅁免睁䑁䅁兊䅁乁䅅䅁䵁䅁䅁睍穁䑁䅫䅏㉁䅁䅁䅖䅉䙁䅑䅁䱂䡁䅕杢瑂䝁䅫杢湂䍁䅁䅔桂䝁䄸䅢桂䝁䅫䅡療䝁䄴睚杁䕁䄰兡畂䝁䅫杢湂䍁䅁睑療䍁䄴䅌杁䕁䅷䅤歂䍁䄴䅉杁䑁䅅䅍睁䍁䅕䅁偃允䅁杍䅁䕁䅫杢穂䡁䅑兡あ䡁䅕䅤灂䝁䄸杢桂䝁䅷䅉偂䡁䅣杢求䡁䅉䅉佂䝁䅅兢求䅁䅁眱䅉䅁䅷䅁穁䑁䅧杍祁䑁䅑䅁偂杁䅁杏䅁䕁䄰睢畂䡁䅑兙畂䝁䅅䅉卂䝁䅕督療䡁䅕杣橂䝁䅕督獁䍁䅁䅔䵂䙁䅁䅉杁䑁䅅䅍睁䍁䅕䅁呄䅁䅁䅲䅁䙁䅙党歂䝁䅅杢あ䝁䅅䅉䩂䝁䄴睙療䡁䅉䅣療䡁䅉兙あ䝁䅕䅚杁䍁䅧杖求䝁䄴䅤ㅂ䡁䅉党祂䍁䅫䅉㍁䑁䅫杌ぁ䍁䅕睏杁䙁䅯睑䑂䕁䄰䅉䩂䝁䄴杤求䡁䅍䅤瑂䝁䅕杢あ䡁䅍䅉䥂䝁䄸䅢歂䝁䅫杢湂䡁䅍䅉兂䝁䅷睙杁䍁䅧杖求䝁䄴䅤ㅂ䡁䅉党祂䍁䅫䅉祁䑁䅁杌㉁䍁䅕䅁坄䅁䅁䅄䅁䑁䅧䅍㉁䑁䅫兏䅁䭁䉁䅁䵁䅁䅁睍祁䑁䅫睍硁䅁䅁眱䅁䑁䅧䅁䑂䝁䅅䅣穂䡁䅑睢畂䝁䅕䅉䑂䝁䄸䅣睂䝁䅕杣杁䕁䅍睢祂䡁䅁杌杁䍁䅁免睁䑁䅁兊䅁乁䅧䅁㡄䅁䅁睑潂䝁䅫杢桂䍁䅁杕桂䝁䅫䅢㍂䝁䅅入杁䕁䅍睢畂䡁䅍䅤祂䡁䅕睙あ䝁䅫睢畂䍁䅁兓畂䡁䅙党穂䡁䅑兢求䝁䄴䅤杁䕁䅣杣療䡁䅕䅣杁䕁䅍睢畁䍁䅷䅔あ䝁䅑杌杁䍁䅧杖求䝁䄴䅤ㅂ䡁䅉党祂䍁䅫䅉穁䑁䅁兊㝁䍁䅁䅖療䝁䄴睚獂䝁䅫杢湂䍁䅁杔療䝁䄴杚求䡁䅉杣療䡁䅕督杁䕁䄰党あ䝁䅅䅢穂䍁䅁睒祂䝁䄸兤睂䍁䅁睑療䍁䄴䅌䵂䡁䅑䅚畁䍁䅁䅋坂䝁䅕杢あ䡁䅕杣求䡁䅉克杁䑁䅣䅍汁䅁䅁䄴䅅䙁䉙䅁䉂䝁䄴睚獂䝁䄸䅉䉂䝁䄰党祂䝁䅫睙桂䝁䄴䅉睂䝁䅷睙杁䍁䅧杖求䝁䄴䅤ㅂ䡁䅉党祂䍁䅫䅉ㅁ䑁䅁杌睁䑁䅙兊㝁䍁䅁兔灂䡁䅑督ㅂ䝁䅉兡穂䝁䅧兡杁䕁䅍睢祂䡁䅁睢祂䝁䅅䅤灂䝁䄸杢杁䍁䅧杖求䝁䄴䅤ㅂ䡁䅉党祂䍁䅫䅉祁䑁䅁杌ぁ䑁䅑兊㝁䍁䅁睑療䡁䅉䅣療䡁䅉兙橂䝁䅫眸畂䍁䅁杔桂䝁䅍兡療䝁䄴兙獂䍁䅁䅚求䝁䅷䅉䑂䝁䄸杙祂䝁䅕䅉歂䝁䅕䅉䑂䝁䅧兡獂䝁䅕䅉潁䙁䅙党畂䡁䅑兤祂䝁䅕杣灁䍁䅁杍睁䍁䅕睏杁䕁䄰兡あ䡁䅍兤灂䍁䅁杊杁䕁䅍睢畁䍁䅷䅉䵂䡁䅑䅚畁䍁䅁䅋坂䝁䅕杢あ䡁䅕杣求䡁䅉克杁䑁䅫杌ㅁ䍁䅕䅁乁允䅁李䅁䙁䅫兤畂䝁䄴兙畂䍁䅁䅖灂䝁䄴䅉䑂䝁䄸兢睂䝁䅅杢㕂䍁䅁䅔灂䝁䄰兡あ䝁䅕䅚䅁䅁䑣䅁䵁䅁䅁杍㑁䑁䅁免睁䅁䅁朲䅁䅁䅷䅁穁䑁䅧免穁䑁䅉䅁扄䅁䅁䅢䅅䕁䅍䅡求䝁䄴睚あ䡁䅕杢杁䕁䄰兡畂䝁䅫杢湂䍁䅁睒祂䝁䄸兤睂䍁䅁睑療䍁䄴䅌杁䕁䅷䅤歂䍁䄴䅉潁䙁䅙党畂䡁䅑兤祂䝁䅕杣灁䍁䅁䅏ㅁ䍁䅕睏杁䕁䅑党瑂䍁䄴䅉卂䝁䅕䅣畁䍁䅁睑療䝁䄴睚療䍁䅁䅋䑂䝁䅅杣祂䝁䅫党歂䍁䅫䅉ㅁ䍁䅕睏杁䕁䅷兙杁䕁䅣党畂䝁䅕杣桂䝁䅷党杁䕁䅫杢歂䡁䅕督あ䡁䅉兡求䝁䅷䅢求䍁䅁党あ䍁䅁睑療䝁䄰兢求䡁䅉睙灂䝁䅅䅢求䍁䅁兙ㅂ䍁䅁睑療䝁䄴睚療䍁䅁睕兂䙁䅉䅔杁䍁䅧杖求䝁䄴䅤ㅂ䡁䅉党祂䍁䅫䅉硁䑁䅁兊㝁䍁䅁兓㉂䝁䅅杢潂䝁䄸党杁䕁䄰兡畂䝁䅕督杁䕁䅷䅤歂䍁䄴䅉潁䕁䅙杣桂䝁䅍䅤灂䝁䄸杢桂䝁䅷克杁䍁䅕䅁捄䅁䅁䅄䅁䑁䅧免祁䑁䅁免䅁乁䄸䅁䵁䅁䅁杍㍁䑁䅉䅎穁䅁䅁䄴䅁䅁䅷䅁穁䑁䅕杍㕁䑁䅅䅁桄䅁䅁杇䅅䙁䅫兤㑂䝁䅫䅉卂䝁䅕督療䡁䅕杣橂䝁䅕督杁䕁䅍睢祂䡁䅁睢祂䝁䅅䅤灂䝁䄸杢杁䍁䅧杖求䝁䄴䅤ㅂ䡁䅉党祂䍁䅫䅉ㅁ䑁䅁兊㝁䍁䅁睒祂䝁䅅杢歂䍁䅁䅔療䝁䄴睚杁䕁䅕杢あ䝁䅕杣睂䡁䅉兡穂䝁䅕督杁䕁䅷兡瑂䝁䅫䅤求䝁䅑䅉潁䙁䅙党畂䡁䅑兤祂䝁䅕杣灁䍁䅁䅎睁䍁䅕睏杁䙁䅫兤畂䝁䄴兙畂䍁䅁䅒灂䝁䄴睚あ䝁䅅兡杁䕁䅫杢㉂䝁䅕督あ䝁䄰党畂䡁䅑䅉䑂䝁䄸杌獁䍁䅁䅔あ䝁䅑杌杁䍁䅧杖求䝁䄴䅤ㅂ䡁䅉党祂䍁䅫䅉硁䑁䅁兊䅁佁䅉䅁䵁䅁䅁䅏硁䑁䅉兎硁䅁䅁睺䅅䍁䅧䅁噂䝁䄴杢桂䝁䄰党歂䍁䅁睔㍂䝁䄴党祂䍁䅁䅉硁䑁䅁䅍汁䅁䅁眵䅁䭁䉯䅁䩂䙁䅑睔䑂䕁䅧兖杁䕁䅍睢祂䡁䅁睢祂䝁䅅䅤灂䝁䄸杢杁䍁䅧杖求䝁䄴䅤ㅂ䡁䅉党祂䍁䅫䅉汁䑁䅳䅉䭂䝁䅅䅣桂䝁䄴䅉偂䡁䅉睚桂䝁䄴兡㙂䝁䅅䅤灂䝁䄸杢杁䝁䅙睢祂䍁䅁兔求䡁䅑兙獂䡁䅍䅉桂䝁䄴䅚杁䕁䅕杢求䡁䅉睚㕂䍁䅁睕求䝁䅍兤祂䝁䅫䅤㕂䍁䅁䅋坂䝁䅕杢あ䡁䅕杣求䡁䅉克杁䍁䅕睏杁䕁䅫杤桂䝁䄴䅡療䝁䅕䅉乂䝁䅫杢求䡁䅍䅉䵂䡁䅑䅚畁䍁䅁䅋坂䝁䅕杢あ䡁䅕杣求䡁䅉克杁䑁䅙䅎汁䑁䅳䅉䭂䕁䅣睑杁䕁䅧睢獂䝁䅑兡畂䝁䅣督杁䕁䅍睢祂䡁䅁睢祂䝁䅅䅤灂䝁䄸杢杁䍁䅧杖求䝁䄴䅤ㅂ䡁䅉党祂䍁䅫䅉汁䑁䅳䅉䍂䝁䅷兙橂䝁䅳䅉䙂䝁䅍睢畂䝁䄸兢灂䝁䅍䅉䙂䝁䄰䅣療䡁䅣党祂䝁䄰党畂䡁䅑䅉潁䙁䅙党畂䡁䅑兤祂䝁䅕杣灁䍁䅁杍㉁䍁䅕䅁䵃允䅁䅄䅁䑁䅉睎穁䑁䅧兎䅁佁䅯䅁畄䅁䅁睑桂䡁䅁督あ䝁䄸杢求䍁䅁睑療䡁䅁䅣求䡁䅉䅉䑂䝁䄸杣睂䍁䄴䅉潁䙁䅙党畂䡁䅑兤祂䝁䅕杣灁䍁䅁李㕁䍁䄴兏㕁䍁䅕睏杁䙁䅕杢畂䝁䅅兢求䝁䅑䅉偂䡁䅣杢求䡁䅉䅉潁䕁䅙杣桂䝁䅍䅤灂䝁䄸杢桂䝁䅷克杁䍁䅕睏杁䕁䄰兡あ䡁䅍兤楂䝁䅫督潂䝁䅫䅉乂䝁䅅䅤求䡁䅉兡桂䝁䅷督杁䕁䅍睢祂䡁䅁睢祂䝁䅅䅤灂䝁䄸杢杁䍁䅧杖求䝁䄴䅤ㅂ䡁䅉党祂䍁䅫䅉穁䑁䅁兊䅁䵁䉳䅁畃䅁䅁睕偂䕁䅑兓乂䕁䅫睑偂䍁䅁䅋坂䝁䅕杢あ䡁䅕杣求䡁䅉克杁䑁䅉睍汁䑁䅳䅉䭂䝁䅫杢橂䝁䅧兤桂䝁䄴䅉䡂䡁䅉睢ㅂ䡁䅁䅉䩂䝁䄴䅤求䡁䅉杢桂䡁䅑兡療䝁䄴兙獂䍁䅁杕求䡁䅍睢ㅂ䡁䅉睙求䡁䅍䅉䑂䝁䄸杌杁䕁䅷䅤歂䍁䅁䅋坂䝁䅕杢あ䡁䅕杣求䡁䅉克杁䑁䅣睎汁䅁䅁儷䅁䍁䅯䅁䡂䝁䅕睢あ䝁䅕睙潂䝁䄰兡畂䍁䅁睔療䝁䅑䅉杁䑁䅅䅍睁䍁䅕䅁扁允䅁䅄䅁䑁䅍李硁䑁䅉䅍䅁佁䄴䅁祁䅁䅁睑療䝁䅕兤祂䍁䅁兔灂䝁䄴兡畂䝁䅣䅌杁䕁䅫杢橂䍁䄴䅉杁䑁䅅䅍睁䍁䅕䅁㙄允䅁杅䅁䙁䅁睢祂䡁䅑兤湂䝁䅅䅢䅁乁䍯䅁兄䅁䅁兔㉂䝁䅕䅢桂䡁䅁䅡桂䝁䄴䅚桂䍁䅁䅓療䝁䅷䅚灂䝁䄴睚穂䍁䅁䅋兂䡁䅉睢睂䡁䅉兡求䡁䅑兙祂䡁䅫克杁䕁䅷兡瑂䝁䅫䅤求䝁䅑䅉潁䙁䅙党畂䡁䅑兤祂䝁䅕杣灁䍁䅁䅏畁䑁䅍兊㝁䍁䅁睕灂䝁䅉兙畂䡁䅫党杁䙁䅍䅤灂䝁䅷䅢㍂䝁䅅䅤求䡁䅉䅉䵂䝁䅫兢灂䡁䅑党歂䍁䅁䅋坂䝁䅕杢あ䡁䅕杣求䡁䅉克杁䑁䅫免畁䑁䅣兊䅁佁䄸䅁䵁䅁䅁杍㍁䑁䅕李睁䅁䅁朴䅅䅁䅷䅁穁䑁䅙兏祁䑁䅧䅁睄䅁䅁䅄䅁䑁䅧免祁䑁䅕䅏䅁偁䅧䅁䵁䅁䅁杍㍁䑁䅙免㉁䅁䅁杸䅅䅁䅷䅁祁䑁䅧兎穁䑁䅁䅁祄䅁䅁䅄䅁䑁䅉李ㅁ䑁䅣兎䅁䙁䉁䅁佃䅁䅁䅕祂䝁䅫杤桂䡁䅑党杁䕁䅫杢あ䝁䅕杣求䡁䅍䅤杁䍁䅧杖求䝁䄴䅤ㅂ䡁䅉党祂䍁䅫䅉祁䑁䅁兊㝁䍁䅁睔橂䝁䅕兙畂䝁䅅睒療䝁䅷䅚杁䕁䅍睢祂䡁䅁睢祂䝁䅅䅤灂䝁䄸杢杁䍁䅧杖求䝁䄴䅤ㅂ䡁䅉党祂䍁䅫䅉㑁䑁䅁兊䅁偁䅍䅁㙃䅁䅁睑療䡁䅉䅣療䡁䅉兙橂䝁䅫眸畂䍁䅁杔桂䝁䅍兡療䝁䄴兙獂䍁䅁䅚求䝁䅷䅉䑂䝁䄸杙祂䝁䅕䅉歂䝁䅕䅉䑂䝁䅧兡獂䝁䅕䅉潁䙁䅙党畂䡁䅑兤祂䝁䅕杣灁䍁䅁䅎㕁䍁䅕睏杁䕁䅙杣求䝁䅕䅣療䡁䅉䅤瑁䕁䄰睙乂䝁䄸杕桂䝁䄴䅉䩂䝁䄴睙畁䍁䅁䅋坂䝁䅕杢あ䡁䅕杣求䡁䅉克杁䑁䅕免汁䅁䅁杂䅅䕁䉉䅁婂䡁䅕杢畂䝁䅅杢杁䕁䅍䅡ㅂ䡁䅧兡療䝁䄴睚杁䕁䄰兡畂䝁䅫杢湂䍁䅁杊杁䕁䄰党あ䝁䅅䅢獂䡁䅕杣湂䡁䅫䅉䑂䝁䄸杌獁䍁䅁䅔あ䝁䅑杌杁䍁䅧杖求䝁䄴䅤ㅂ䡁䅉党祂䍁䅫䅉硁䑁䅙杌㉁䑁䅣兊㝁䍁䅁䅒灂䡁䅅兡畂䝁䅣䅉䕂䝁䅕杤求䝁䅷睢睂䝁䄰党畂䡁䅑䅉桂䝁䄴䅚杁䕁䅫杢㉂䝁䅕督あ䝁䄰党畂䡁䅑䅉䑂䝁䄸䅉䵂䡁䅑䅚杁䍁䅧杖求䝁䄴䅤ㅂ䡁䅉党祂䍁䅫䅉㑁䍁䄴睍穁䍁䅕睏杁䙁䅫兤畂䝁䄴兙畂䍁䅁睑療䡁䅁䅣求䡁䅉䅉䑂䝁䄸杌獁䕁䅷䅤歂䍁䅁䅋坂䝁䅕杢あ䡁䅕杣求䡁䅉克杁䑁䅣兎汁䅁䅁眹䅁䩁䅧䅁䱂䝁䅫杢あ䝁䅕杣祂䝁䅅䅉䑂䝁䅅䅣灂䡁䅑兙獂䍁䅁睑療䡁䅉䅣畁䍁䅁䅉硁䑁䅁䅍汁䑁䅳䅉卂䕁䅣睒呂䍁䅁䅔桂䝁䄴䅚杁䍁䅙䅉乂䝁䅫杢求䡁䅉兙獂䡁䅍䅉䵂䡁䅑䅚畁䍁䅷䅉䵂䍁䄴䅕杁䍁䅧杒祂䝁䅅睙あ䝁䅫睢畂䝁䅅䅢灁䍁䅁兊䅁䉁䍕䅁兂䅁䅁睓ㅂ䝁䄴兢灂䝁䄴睚杁䕁䅑睢畂䝁䅣督潂䝁䅕杢杁䕁䄰兡畂䝁䅫杢湂䍁䅁睑療䍁䄴䅌杁䕁䅷䅤歂䍁䄴䅉杁䑁䅅䅍睁䍁䅕䅁㕄䅁䅁䅄䅁䑁䅍睍㍁䑁䅫免䅁偁䅷䅁奂䅁䅁睒ㅂ䝁䅅杢湂䡁䅧兡杁䕁䅷兤㑂䝁䅫䅉䵂䝁䄸杢湂䡁䅣兙畂䍁䅁兔灂䝁䄴兡畂䝁䅣䅉䑂䝁䄸杌獁䍁䅁䅔あ䝁䅑杌杁䍁䅁免睁䑁䅁兊䅁䱁䉣䅁䵁䅁䅁睍穁䑁䅣兏ㅁ䅁䅁儯䅁䑁䅉䅁啂䝁䅅䅢療䝁䄴䅉乂䝁䅕䅤桂䝁䅷督杁䕁䅍睢祂䡁䅁杌杁䍁䅁免睁䑁䅁兊䅁偁䄴䅁䵁䅁䅁杍㉁䑁䅧䅍㉁䅁䅁眯䅁䅁䅷䅁㑁䑁䅁䅍㉁䑁䅑䅁噃允䅁䅄䅁䑁䅧䅍㑁䑁䅍睍䅁䥁䍑䅁䍂䅁䅁睕灂䝁䅉兙畂䡁䅫党杁䙁䅍䅤灂䝁䅷䅢㍂䝁䅅䅤求䡁䅉䅉䵂䝁䅫兢灂䡁䅑党歂䍁䅁䅉硁䑁䅁䅍汁䅁䅁䅁䅅䅁䅷䅁㉁䑁䅙免ㅁ䑁䅑䅁㡁允䅁杨䅁䕁䅣儶橂䝁䅅兢灂䝁䄴党穂䍁䅁睕䉂䍁䅁䅋坂䝁䅕杢あ䡁䅕杣求䡁䅉克杁䑁䅕兊㝁䍁䅁䅖灂䝁䅣党祂䍁䅁杕求䡁䅍睢ㅂ䡁䅉睙求䡁䅍䅉䵂䝁䅫兢灂䡁䅑党歂䍁䅁䅋坂䝁䅕杢あ䡁䅕杣求䡁䅉克杁䑁䅫兎汁䅁䅁杬䅅䕁䅷䅁䍂䝁䅅䅤あ䝁䅕杣㕂䍁䅁兔灂䝁䄴党祂䝁䅅䅢杁䙁䅉党穂䝁䄸兤祂䝁䅍党穂䍁䅁睑療䡁䅉䅣畁䍁䅁䅉硁䑁䅁䅍汁䅁䅁睈䅅䍁䅙䅁䱂䝁䅅来㙂䝁䅫杢橂䍁䅁䅔あ䝁䅑杌杁䍁䅁免睁䑁䅁兊䅁䅁䉍䅁䵁䅁䅁睍穁䑁䅍䅏㉁䅁䅁䅂䅅䅁䅷䅁祁䑁䅣李㍁䑁䅧䅁䙁允䅁䅄䅁䑁䅍杍祁䑁䅍睍䅁䉁䍁䅁䵁䅁䅁杍㉁䑁䅣免硁䅁䅁睂䅅䙁䅷䅁塂䡁䅕兣ㅂ䍁䅁睑療䡁䅕杢あ䡁䅫䅉塂䡁䅕䅢療䝁䄴睚杁䕁䅫杢歂䡁䅕督あ䡁䅉兡桂䝁䅷䅉䑂䝁䄸杌獁䍁䅁䅔あ䝁䅑杌杁䍁䅁免睁䑁䅁兊䅁䭁䉷䅁䵁䅁䅁杍㑁䑁䅕兏㉁䅁䅁元䅅䱁䅯䅁噂䝁䄴杢桂䝁䄰党歂䍁䅁睔㍂䝁䄴党祂䍁䅁䅋䝂䡁䅉兙橂䡁䅑兡療䝁䄴兙獂䍁䅫䅉汁䑁䅳䅉䑂䝁䅧兡畂䝁䅅䅉䕂䝁䅅入求䍁䅁杔療䝁䄴兌䝂䝁䅕杣祂䝁䄸兤穂䍁䅁兔求䡁䅑兙獂䡁䅍䅉乂䝁䅫杢灂䝁䄴睚杁䕁䅷兡瑂䝁䅫䅤求䝁䅑䅉潁䙁䅙党畂䡁䅑兤祂䝁䅕杣灁䍁䅁兏ㅁ䍁䄴睍ㅁ䍁䅕䅁㍁允䅁䅄䅁䑁䅍䅏祁䑁䅅䅍䅁䅁䉯䅁卂䅁䅁杗潂䝁䅅杢湂䡁䅯䅡療䡁䅕䅉啂䝁䄸杢湂䡁䅧兡畂䍁䅁兔灂䝁䄴兡畂䝁䅣䅉䑂䝁䄸杌獁䍁䅁䅔あ䝁䅑杌杁䍁䅁免睁䑁䅁兊䅁䅁䉳䅁卂䅁䅁杔桂䡁䅑兡療䝁䄴兙獂䍁䅁兓祂䝁䅅杢灂䝁䅅杢杁䕁䅍睢睂䡁䅁党祂䍁䅁兓畂䝁䅑兤穂䡁䅑杣灂䝁䅕督杁䍁䅁免睁䑁䅁兊䅁䉁䉁䅁䵁䅁䅁睍㑁䑁䅅睍ぁ䅁䅁杅䅅䕁䈴䅁䑂䡁䅉入穂䡁䅑兙獂䍁䅁杕灂䡁䅙党祂䍁䅁睒獂䝁䄸杙桂䝁䅷䅉䵂䝁䅫兢灂䡁䅑党歂䍁䅁䅋坂䝁䅕杢あ䡁䅕杣求䡁䅉克杁䑁䅁杌㑁䍁䅕睏杁䙁䅯兡煂䝁䅫杢杁䕁䄰兡畂䝁䅫杢湂䍁䅁睒祂䝁䄸兤睂䍁䅁睑療䝁䄰䅣桂䝁䄴入杁䕁䅷兡瑂䝁䅫䅤求䝁䅑䅉潁䙁䅙党畂䡁䅑兤祂䝁䅕杣灁䍁䅁睍㕁䍁䄴李汁䑁䅳䅉䕂䝁䅕兢畁䍁䅁杕求䡁䅁杌杁䕁䅍睢畂䝁䅣睢杁䍁䅧杖求䝁䄴䅤ㅂ䡁䅉党祂䍁䅫䅉祁䑁䅁兊㝁䍁䅁兓㉂䝁䅅杢潂䝁䄸党杁䕁䄰兡畂䝁䅕督杁䕁䅷䅤歂䍁䄴䅉潁䙁䅙党畂䡁䅑兤祂䝁䅕杣灁䍁䅁睍㕁䍁䄴李汁䅁䅁睅䅅䍁䅷䅁啂䡁䅉兙浂䝁䅫睚ㅂ䡁䅉兙杁䕁䅉党潂䝁䅕党祂䍁䅁村畁䙁䅙杌䅁䅁䑉䅁䵁䅁䅁睎㉁䑁䅁睎㉁䅁䅁䅆䅅䅁䅷䅁祁䑁䅧兏㉁䑁䅍䅁噁允䅁䅄䅁䑁䅧免祁䑁䅁兎䅁䑁䉑䅁歂䅁䅁䅗灂䝁䄴条灂䝁䅅杢湂䍁䅁杔療䝁䄴杒求䡁䅉杣療䡁䅕督杁䕁䄰党あ䝁䅅䅢杁䕁䅫杢歂䡁䅕督あ䡁䅉入杁䍁䅧睒祂䝁䄸兤睂䍁䅫䅉䑂䝁䄸杌䵂䡁䅑䅚䅁䩁䍉䅁㑁䅁䅁睔祂䡁䅙兙畂䝁䅅䅉乂䝁䅫杢求䡁䅉兙獂䡁䅍䅉䑂䝁䄸杣睂䍁䄴䅉杁䑁䅅䅍睁䍁䅕䅁坁允䅁䅄䅁䑁䅍䅎穁䑁䅑杍䅁䉁䉣䅁䵁䅁䅁睍硁䑁䅕兏硁䅁䅁睐䅉䩁䉯䅁䍂䕁䅧䅕杁䕁䅣杣療䡁䅕䅣杁䕁䅷兡瑂䝁䅫䅤求䝁䅑䅉潁䙁䅙党畂䡁䅑兤祂䝁䅕杣灁䍁䅁兎㍁䍁䄴兎汁䑁䅳䅉卂䝁䅫睢杁䙁䅑兡畂䡁䅑睢杁䕁䅣杣療䡁䅕䅣杁䍁䅧杖求䝁䄴䅤ㅂ䡁䅉党祂䍁䅫䅉穁䑁䅁兊㝁䍁䅁兔灂䡁䅑督ㅂ䝁䅉兡穂䝁䅧兡杁䕁䅍睢祂䡁䅁睢祂䝁䅅䅤灂䝁䄸杢杁䍁䅧杖求䝁䄴䅤ㅂ䡁䅉党祂䍁䅫䅉㑁䍁䄴杍ㅁ䍁䅕睏杁䕁䅯䅗杁䕁䅅䅚㉂䝁䅅杢橂䝁䅕䅚杁䕁䄰党あ䝁䅅䅢穂䍁䅁睑療䡁䅉䅣療䡁䅉兙あ䝁䅫睢畂䍁䅁䅋坂䝁䅕杢あ䡁䅕杣求䡁䅉克杁䑁䅍兊㝁䍁䅁兔灂䡁䅑督ㅂ䝁䅉兡穂䝁䅧兡杁䕁䄰兙あ䝁䅕杣灂䝁䅅䅢穂䍁䅁睑療䡁䅉䅣療䡁䅉兙あ䝁䅫睢畂䍁䅁䅋坂䝁䅕杢あ䡁䅕杣求䡁䅉克杁䑁䅅杌祁䑁䅕兊䅁䉁䉫䅁䵁䅁䅁杍㑁䑁䅣兎睁䅁䅁杇䅅䑁䅉䅁䑂䝁䅕杢あ䝁䅕杣祂䝁䅅䅉䡂䝁䄸䅢歂䍁䅁兓畂䝁䅍杌杁䍁䅁免睁䑁䅁兊䅁佁䉷䅁䵁䅁䅁杍㑁䑁䅣䅍穁䅁䅁䅈䅅䅁䅷䅁祁䑁䅧李㑁䑁䅁䅁楁允䅁䅄䅁䑁䅧䅍㑁䑁䅁䅎䅁䝁䉍䅁䵁䅁䅁睍穁䑁䅧睍祁䅁䅁兊䅅䅁䅷䅁祁䑁䅧䅎祁䑁䅧䅁湁允䅁䅄䅁䑁䅧免祁䑁䅅睍䅁䍁䉫䅁歂䅁䅁兕灂䝁䄴睚潂䝁䅅兡杁䙁䅧兡畂䝁䅣兤桂䝁䄴睚杁䕁䄰兡畂䝁䅫杢湂䍁䅁兙畂䝁䅑䅉啂䡁䅉兙歂䝁䅕䅉䑂䝁䄸杌獁䍁䅁䅔あ䝁䅑杌杁䍁䅁免睁䑁䅁兊䅁䍁䉯䅁䅁允䅁睕ㅂ䝁䄰兡あ䝁䄸兢療䍁䅁睑療䡁䅉䅣療䡁䅉兙あ䝁䅫睢畂䍁䅁䅋坂䝁䅕杢あ䡁䅕杣求䡁䅉克杁䑁䅙杌㍁䍁䅕睏杁䙁䅍兤瑂䝁䅫䅤療䝁䄰睢杁䕁䄰党あ䝁䅅䅢杁䕁䄰兡畂䝁䅫杢湂䍁䅁睑療䍁䄴䅌杁䕁䅷䅤歂䍁䄴䅉潁䙁䅙党畂䡁䅑兤祂䝁䅕杣灁䍁䅁免穁䍁䄴睍汁䑁䅳䅉䙂䡁䅙睢獂䡁䅕䅤灂䝁䄸杢杁䕁䄰兡畂䝁䅫杢湂䍁䅁䅔灂䝁䄰兡あ䝁䅕䅚杁䍁䅧杖求䝁䄴䅤ㅂ䡁䅉党祂䍁䅫䅉㑁䑁䅁兊䅁䱁䈰䅁䵁䅁䅁睍㑁䑁䅉免㍁䅁䅁䅴䅅䅁䄴䅁卂䡁䅕督穂䝁䅫兙䅁佁䍉䅁慃允䅁兔灂䡁䅑督ㅂ䝁䅉兡穂䝁䅧兡杁䕁䅍睢祂䡁䅁睢祂䝁䅅䅤灂䝁䄸杢杁䍁䅧杖求䝁䄴䅤ㅂ䡁䅉党祂䍁䅫䅉㑁䍁䄴杍ㅁ䍁䅕睏杁䙁䅉兡療䍁䅁䅖灂䝁䄴䅤療䍁䅁睒祂䝁䄸兤睂䍁䅁䅋坂䝁䅕杢あ䡁䅕杣求䡁䅉克杁䑁䅍䅍汁䑁䅳䅉乂䝁䅫䅤穂䡁䅕杙灂䡁䅍䅡灂䍁䅁兔桂䡁䅑党祂䝁䅫兙獂䡁䅍䅉䑂䝁䄸杣睂䝁䄸杣桂䡁䅑兡療䝁䄴䅉潁䙁䅙党畂䡁䅑兤祂䝁䅕杣灁䍁䅁免畁䑁䅉兎汁䑁䅳䅉䭂䙁䅧䅉䉂䝁䅑杤桂䝁䄴睙求䝁䅑䅉乂䝁䅕䅤桂䝁䅷督杁䕁䅍睢祂䡁䅁睢祂䝁䅅䅤灂䝁䄸杢杁䍁䅧杖求䝁䄴䅤ㅂ䡁䅉党祂䍁䅫䅉穁䍁䅕睏杁䕁䅉䅓兂䍁䅁睒祂䝁䄸兤睂䍁䅁䅔灂䝁䄰兡あ䝁䅕䅚杁䍁䅧杖求䝁䄴䅤ㅂ䡁䅉党祂䍁䅫䅉ㅁ䑁䅣杌ㅁ䍁䅕䅁獁允䅁条䅁䕁䅧兤灂䝁䅷兡杁䕁䅍睢ㅂ䝁䄴䅤㕂䍁䅁䅔ㅂ䝁䄸䅚療䝁䄴睚杁䕁䅍睢睂䡁䅁党祂䍁䅁兓畂䝁䅑兤穂䡁䅑杣㕂䍁䅁睑療䍁䄴䅌杁䕁䅷䅤歂䍁䄴䅉杁䑁䅅䅍睁䍁䅕䅁䑄允䅁䅄䅁䑁䅍李穁䑁䅫兏䅁䍁䈰䅁祂䅁䅁睕潂䝁䅅䅢灂䝁䄴兙杁䙁䅉党穂䝁䄸兤祂䝁䅍党穂䍁䅁䅔あ䝁䅑䅉杁䑁䅫兎汁䑁䅳䅉䕂䝁䅕兢畁䍁䅁杕求䡁䅁杌杁䕁䅍睢畂䝁䅣睢杁䍁䅧睑桂䡁䅉杣灂䝁䅕䅚灁䍁䅁兎汁䅁䅁杌䅅䅁䅷䅁祁䑁䅫杍㑁䑁䅙䅁癁允䅁䅄䅁䑁䅧䅍㑁䑁䅍䅎䅁䱁䉍䅁䵁䅁䅁睍睁䑁䅫李㑁䅁䅁䅍䅅䅁䅷䅁㍁䑁䅫杍㍁䑁䅅䅁䉃允䅁杘䅁䙁䅫兤畂䝁䄴兙畂䍁䅁䅓ㅂ䝁䅅䅢灂䝁䅅杢杁䙁䅯兡畂䝁䅍䅉桂䝁䄴䅚杁䕁䅫杢歂䝁䅫兤瑂䍁䅁睑療䍁䄴䅌杁䕁䅷䅤歂䍁䄴䅉杁䑁䅅䅍睁䍁䅕䅁硁允䅁䅇䅁䙁䅍睤灂䡁䅑来求䡁䅉䅢桂䝁䄴䅚䅁䱁䍕䅁浂䅁䅁睓ㅂ䝁䄴兢灂䝁䄴睚杁䕁䅧党瑂䝁䅕兡歂䝁䅅䅉䩂䝁䄴䅚ㅂ䡁䅍䅤祂䡁䅫䅉桂䝁䄴䅚杁䙁䅑杣桂䝁䅑党杁䕁䅍睢畁䍁䅷䅉䵂䡁䅑䅚畁䍁䅁䅉硁䑁䅁䅍汁䅁䅁睍䅅䙁䅉䅁䥂䡁䅕杙求䝁䅫䅉䝂䝁䅕杢湂䝁䅯兡桂䡁䅍䅡桂䝁䄴䅉乂䝁䅫杢灂䝁䄴睚杁䕁䅍睢畁䍁䅷䅉䵂䡁䅑䅚畁䍁䅁䅉硁䑁䅁䅍汁䅁䅁兎䅅䅁䅷䅁祁䑁䅑䅎㉁䑁䅫䅁䵄允䅁䅄䅁䑁䅧䅍㉁䑁䅫睎䅁䑁䉙䅁䵁䅁䅁睍ㅁ䑁䅑杍㑁䅁䅁䅏䅅䅁䅷䅁祁䑁䅕睎硁䑁䅕䅁潂允䅁䅄䅁䑁䅍䅏㉁䑁䅕䅎䅁偁䉍䅁䥂䅁䅁睒祂䡁䅕䅣療䍁䅁兔灂䝁䄴党祂䝁䄸䅉䵂䝁䅅督杁䕁䅍党畂䝁䅫来桂䡁䅍䅉呂䍁䄴兑畁䍁䅁䅉硁䑁䅁䅍汁䅁䅁兏䅅䅁䅷䅁穁䑁䅉兏硁䑁䅣䅁㙁允䅁䅄䅁䑁䅉兏硁䑁䅫兎䅁䙁䈰䅁权䅁䅁兒ㅂ䡁䅉兙穂䝁䅫兙畂䍁䅁杕求䡁䅍睢ㅂ䡁䅉睙求䡁䅍䅉䡂䡁䅉睢ㅂ䡁䅁䅉呂䍁䄴䄴杁䡁䅉杌獂䍁䄴䅉潁䙁䅙党畂䡁䅑兤祂䝁䅕杣灁䍁䅁兏ㅁ䍁䅕睏杁䕁䅑党瑂䍁䄴䅉卂䝁䅕䅣畁䍁䅁睑療䝁䄴睚療䍁䅁䅋坂䝁䅕杢あ䡁䅕杣求䡁䅉克杁䑁䅕兊䅁䑁䉳䅁䝂䅁䅁杖䉂䍁䅁兓佂䙁䅑兒卂䙁䅑杕䉂䕁䅑兓佂䕁䅣䅉䉂䝁䅳䅤灂䝁䅕杢湂䝁䅕督求䝁䅷䅢穂䝁䅍䅡桂䝁䅙䅤䅁䅁䑍䅁䝃䅁䅁兗灂䝁䄴杚ㅂ䍁䅁睒療䝁䅷䅚杁䕁䅍睢祂䡁䅁睢祂䝁䅅䅤灂䝁䄸杢杁䍁䅧杖求䝁䄴䅤ㅂ䡁䅉党祂䍁䅫䅉穁䑁䅕兊㝁䍁䅁睖桂䝁䄴入ㅂ䍁䅁兔灂䝁䄴兡畂䝁䅣䅉潁䙁䅙党畂䡁䅑兤祂䝁䅕杣灁䍁䅁李ㅁ䍁䅕䅁㥁允䅁䅄䅁䑁䅧䅍㑁䑁䅅䅍䅁䙁䍧䅁䵁䅁䅁杍㑁䑁䅁兏祁䅁䅁䅑䅅䅁䅷䅁祁䑁䅫睎ぁ䑁䅫䅁⽄允䅁䅄䅁䑁䅍䅍㍁䑁䅙䅏䅁䍁䍧䅁奂䅁䅁兖祂䝁䅅䅢杁䕁䄰兡畂䝁䅫杢湂䍁䅁兙畂䝁䅑䅉乂䝁䅕䅤桂䝁䅷䅢ㅂ䡁䅉睚灂䝁䅍兙獂䍁䅁睑療䝁䄰䅣桂䝁䄴入杁䍁䅁免睁䑁䅁兊䅁䕁䉅䅁䵁䅁䅁杍㍁䑁䅕杍穁䅁䅁先䅉䅁䅷䅁祁䑁䅙兎㍁䑁䅣䅁䍂允䅁䅄䅁䑁䅍䅎睁䑁䅍兎䅁䝁䉅䅁䥂䅁䅁杔求䡁䅧兙杁䙁䅉党穂䝁䄸兤祂䝁䅍党穂䍁䅁兌杁䕁䅍兙煂䝁䅅兢桂䡁䅉兣ㅂ䝁䅫䅢獂䝁䅅䅉呂䍁䄴兑畁䅁䅁䄹䅉䑁䅧䅁啂䡁䅉党牂䝁䄸杣杁䕁䄰党あ䝁䅅䅢穂䍁䅁䅔灂䝁䄰兡あ䝁䅕䅚杁䍁䅁免睁䑁䅁兊䅁䕁䉍䅁䵁䅁䅁杍㍁䑁䅁睍ぁ䅁䅁睨䅉䅁䅷䅁祁䑁䅙䅍睁䑁䅙䅁䕂允䅁村䅁䕁䅅睚畂䝁䅫睙療䍁䅁兒桂䝁䅣䅢求䍁䅁兔灂䝁䄴党穂䍁䅁䅔灂䝁䄰兡あ䝁䅕䅚杁䍁䅁免睁䑁䅁兊䅁䕁䉕䅁䍁䅁䅁䅁偃杁䅁䅄䅁䑁䅣兎㕁䑁䅧睍䅁䥁䉧䅁䵁䅁䅁睍硁䑁䅅睍㑁䅁䅁兺䅅䵁䅙䅁䝂䡁䅉党求䡁䅁睢祂䡁䅑兌乂䝁䅍兔療䙁䅉兙畂䍁䅁兓畂䝁䅍杌杁䍁䅧杖求䝁䄴䅤ㅂ䡁䅉党祂䍁䅫䅉ぁ䑁䅧杌㍁䑁䅙兊㝁䍁䅁䅕啂䍁䅁兔灂䝁䄴党祂䝁䅅䅢杁䕁䅫杢歂䡁䅕督あ䡁䅉兡杁䕁䅫杢歂䝁䄸杢求䡁䅍兡桂䍁䅁䅋兂䝁䅕杣穂䝁䅕杣療䍁䅫䅉潁䙁䅙党畂䡁䅑兤祂䝁䅕杣灁䍁䅁兎硁䍁䄴杍ぁ䍁䅕䅁䡂允䅁䅄䅁䑁䅉睎穁䑁䅑杍䅁䭁䉙䅁畁䅁䅁睓䡂䕁䅧兔杁䙁䅁睢獂䡁䅍睡桂䍁䅁兔灂䝁䅕䅚㙂䍁䅁睕畁䕁䅅杌䅁䵁䍁䅁㑁䅁䅁䅒灂䡁䅍睙療䡁䅙党祂䡁䅫䅉乂䝁䅫杢灂䝁䄴睚杁䕁䅷䅤歂䍁䄴䅉杁䑁䅅䅍睁䍁䅕䅁啃允䅁䅄䅁䑁䅉䅏祁䑁䅧李䅁䕁䉧䅁䵁䅁䅁睍㉁䑁䅅杍㍁䅁䅁杓䅅䍁䅧䅁橁䕁䅫杔坂䕁䅅䅔䩂䕁䅑䅉䑂䕁䄸兔兂䕁䅅杔婂䍁䅁兓䕂䅁䅁儷䅉䅁䅷䅁穁䑁䅁䅎㉁䑁䅫䅁䱂允䅁䅊䅁䕁䄰兔䡂䍁䅁䅔灂䝁䄰兡あ䝁䅕䅚杁䍁䅁免睁䑁䅁兊䅁䕁䈴䅁䵁䅁䅁睎㉁䑁䅁䅏硁䅁䅁䅉䅉䭁䅑䅁坂䝁䅅䅢あ䝁䅕杣祂䝁䅅䅉兂䝁䅷兙あ䝁䅫杢ㅂ䝁䄰䅉䵂䝁䅫兢灂䡁䅑党歂䍁䅁䅋䝂䡁䅉兙橂䡁䅑兡療䝁䄴兙獂䍁䅫䅉汁䑁䅳䅉佂䝁䄸杣あ䝁䅧兙瑂䍁䅁䅕獂䝁䅅䅤灂䝁䄴兤瑂䍁䅁䅓療䝁䅷䅚灂䝁䄴睚穂䍁䅁䅔灂䝁䄰兡あ䝁䅕䅚杁䍁䅁免睁䑁䅁兊䅁䱁䉉䅁䵁䅁䅁䅏硁䑁䅉兎㉁䅁䅁䅏䅉䑁䅯䅁啂䝁䅕睙牂䍁䅁杕求䡁䅍睢ㅂ䡁䅉睙求䡁䅍䅉䵂䝁䅫兢灂䡁䅑党歂䍁䅁䅉硁䑁䅁䅍汁䅁䅁兕䅅䉁䄴䅁呂䕁䅕䅔乂䕁䅅杕䙂䕁䅍睔杁䕁䅷䅖䕂䍁䄴䅁祄杁䅁䅄䅁䑁䅧免祁䑁䅁䅎䅁䙁䉉䅁䭂䅁䅁䅒桂䡁䅫党杁䙁䅧兡畂䝁䅣䅡療䝁䄴睚杁䕁䄰兡畂䝁䅫杢湂䍁䅁睑療䍁䄴䅌杁䕁䅷䅤歂䍁䄴䅉杁䑁䅅䅍睁䍁䅕䅁呂允䅁䅵䅁䕁䅍䅡灂䝁䄴兙杁䕁䄴睢畂䝁䅙党祂䡁䅉睢ㅂ䡁䅍䅉乂䝁䅫杢灂䝁䄴睚杁䕁䅍睢祂䡁䅁睢祂䝁䅅䅤灂䝁䄸杢杁䕁䅷兡瑂䝁䅫䅤求䝁䅑䅉潁䙁䅙党畂䡁䅑兤祂䝁䅕杣灁䍁䅁李㍁䍁䄴兎汁䑁䅳䅉䥂䡁䅕兙橂䝁䅧兡畂䍁䅁睕兂䙁䅉䅔杁䍁䅧杖求䝁䄴䅤ㅂ䡁䅉党祂䍁䅫䅉穁䑁䅉杌ㅁ䍁䅕䅁噂允䅁䅄䅁䑁䅧免祁䑁䅙李䅁䙁䉳䅁䵂䅁䅁睓ㅂ䝁䄴兢灂䝁䄴睚杁䕁䅧兙療䝁䅧兙療䍁䅁兔灂䝁䄴兡畂䝁䅣䅉䑂䝁䄸杌獁䍁䅁䅔あ䝁䅑杌杁䍁䅁免睁䑁䅁兊䅁䙁䉷䅁䵁䅁䅁杍㕁䑁䅧免ㅁ䅁䅁眲䅅䙁䅧䅁䭂䝁䄸兡畂䡁䅑䅉呂䡁䅑睢橂䝁䅳䅉䑂䝁䄸兢睂䝁䅅杢㕂䍁䅁杉呂䝁䅫杙灂䡁䅉兌兂䝁䄸䅢㕂䝁䄰党あ䝁䅅䅢楁䍁䅁䅉硁䑁䅁䅍汁䅁䅁杘䅅䅁䅷䅁穁䑁䅁李ㅁ䑁䅙䅁時允䅁䅐䅁䙁䅣党穂䡁䅑党祂䝁䄴䅉乂䝁䅫杢灂䝁䄴睚杁䕁䅍睢畁䍁䅷䅔あ䝁䅑杌杁䍁䅁免睁䑁䅁兊䅁䝁䉁䅁䅂䅁䅁杗灂䝁䄰䅣獂䝁䅅䅤穂䍁䅁䅓療䝁䅷䅚灂䝁䄴睚穂䍁䅁䅔灂䝁䄰兡あ䝁䅕䅚杁䍁䅁免睁䑁䅁兊䅁䥁䌰䅁䵁䅁䅁睍睁䑁䅉李㍁䅁䅁杚䅅䱁䅉䅁慂䕁䅍睑乂䍁䅁兓畂䡁䅙党穂䡁䅑兢求䝁䄴䅤穂䍁䅁䅓療䝁䅷䅚灂䝁䄴睚穂䍁䅁䅕獂䝁䅍䅉潁䙁䅙党畂䡁䅑兤祂䝁䅕杣灁䍁䅁杍睁䍁䅕睏杁䕁䅙兡祂䡁䅍䅤杁䙁䅅兤桂䝁䄴䅤ㅂ䝁䄰䅉乂䝁䅫杢求䡁䅉兙獂䡁䅍䅉䵂䡁䅑䅚畁䍁䅁䅋坂䝁䅕杢あ䡁䅕杣求䡁䅉克杁䑁䅧䅍汁䅁䅁睨䅅䭁䅉䅁兂䡁䅉兡㉂䝁䅅䅤求䍁䅁兓畂䡁䅑党祂䝁䅕督あ䍁䅁䅋坂䝁䅕杢あ䡁䅕杣求䡁䅉克杁䑁䅅睍汁䑁䅳䅉䩂䝁䄰䅣桂䝁䅷兙杁䙁䅁䅢桂䡁䅑兡畂䡁䅕兢杁䕁䅧睢獂䝁䅑兡畂䝁䅣督杁䕁䅷兡瑂䝁䅫䅤求䝁䅑䅉潁䙁䅙党畂䡁䅑兤祂䝁䅕杣灁䍁䅁䅏㍁䍁䅕䅁湂允䅁杔䅁䕁䅫兢睂䝁䅅䅢桂䍁䅁䅕獂䝁䅅䅤灂䝁䄴兤瑂䍁䅁䅓療䝁䅷䅚灂䝁䄴睚穂䍁䅁䅔灂䝁䄰兡あ䝁䅕䅚杁䍁䅁免睁䑁䅁兊䅁䝁䉳䅁䵁䅁䅁睍祁䑁䅧兎㉁䅁䅁䅢䅅䅁䅷䅁祁䑁䅙兎㉁䑁䅁䅁畂允䅁䅄䅁䑁䅍杍穁䑁䅙睍䅁䭁䈸䅁䵁䅁䅁睍ㅁ䑁䅣兎ㅁ䅁䅁睧䅉䅁䅷䅁祁䑁䅣免穁䑁䅙䅁睂允䅁䅴䅁䕁䅍䅡灂䝁䄴兙杁䕁䄴兙あ䝁䅫睢畂䝁䅅䅢杁䕁䅣睢獂䝁䅑䅉䡂䡁䅉睢ㅂ䡁䅁䅉䑂䝁䄸杌獁䍁䅁䅔あ䝁䅑䅉潁䙁䅙党畂䡁䅑兤祂䝁䅕杣灁䍁䅁免睁䍁䅕睏杁䙁䅯䅡療䝁䄴睚煂䝁䅫杢杁䕁䅣睢獂䝁䅑䅉䑂䝁䄸杣睂䍁䄴䅌䵂䡁䅑䅚杁䍁䅧杖求䝁䄴䅤ㅂ䡁䅉党祂䍁䅫䅉㕁䑁䅁兊䅁䡁䍙䅁䵁䅁䅁䅏硁䑁䅉睎睁䅁䅁督䅅䙁䅧䅁䉂䝁䄴䅡ㅂ䝁䅫䅉䑂䝁䅧兡㙂䝁䅧睢ㅂ䍁䅁杓灂䝁䄴督求䝁䄴䅉乂䝁䅫杢灂䝁䄴睚杁䕁䅍睢畁䍁䅷䅉䵂䡁䅑䅚畁䍁䅁䅉硁䑁䅁䅍汁䅁䅁䅤䅅䍁䅯䅁䩂䝁䄴䅤求䝁䅣杣桂䍁䅁睑桂䡁䅁兡あ䝁䅅䅢杁䙁䅍杌䉂䍁䄴䅁湃杁䅁杙䅅䙁䅍兤瑂䝁䅫䅤療䝁䄰睢杁䕁䅍睢祂䡁䅁睢祂䝁䅅䅤灂䝁䄸杢杁䍁䅧杖求䝁䄴䅤ㅂ䡁䅉党祂䍁䅫䅉ㅁ䍁䅕睏杁䙁䅍兤瑂䝁䅫䅤療䝁䄰睢杁䕁䄰党あ䝁䅅䅢杁䕁䄰兡畂䝁䅫杢湂䍁䅁睑療䍁䄴䅌杁䕁䅷䅤歂䍁䄴䅉潁䙁䅙党畂䡁䅑兤祂䝁䅕杣灁䍁䅁杍ㅁ䍁䅕睏杁䕁䅍睢祂䡁䅁睢祂䝁䅅睙灂偁䅍杢杁䕁䄴兙橂䝁䅫睢畂䝁䅅䅢杁䝁䅑党獂䍁䅁睑療䝁䅉杣求䍁䅁䅚求䍁䅁睑潂䝁䅫䅢求䍁䅁䅋䑂䝁䅅杣祂䝁䅫党歂䍁䅫䅉硁䑁䅁兊㝁䍁䅁䅖求䝁䅍睡杁䙁䅉党穂䝁䄸兤祂䝁䅍党穂䍁䅁䅔灂䝁䄰兡あ䝁䅕䅚杁䍁䅧杖求䝁䄴䅤ㅂ䡁䅉党祂䍁䅫䅉㉁䑁䅁兊䅁䡁䉙䅁敂䅁䅁杓灂䡁䅕条灂䝁䅅杢湂䍁䅁兔灂䝁䄴兡畂䝁䅣䅉桂䝁䄴䅚杁䕁䄰党あ䝁䅅䅢獂䡁䅕杣湂䡁䅫䅉䑂䝁䄸杌獁䍁䅁䅔あ䝁䅑杌杁䍁䅁免睁䑁䅁兊䅁䡁䉧䅁䵁䅁䅁䅏硁䑁䅉䅍祁䅁䅁兢䅉䙁䄴䅁呂䡁䅕杢桂䝁䄴䅉䑂䝁䄸兤畂䡁䅑入杁䙁䅅兡獂䝁䅫兙畂䡁䅍䅡桂䝁䄴䅉乂䝁䅫杢灂䝁䄴睚杁䕁䅍睢畁䍁䅷䅉䵂䡁䅑䅚畁䍁䅁䅉硁䑁䅁䅍汁䅁䅁来䅅䅁䅷䅁㑁䑁䅁䅏睁䑁䅧䅁㝂允䅁杚䅁䕁䅫杢畂䝁䅕杣杁䕁䄰睢畂䝁䅣睢獂䝁䅫兙杁䙁䅫兤浂䝁䅕杢湂䍁䅁兔灂䝁䄴兡畂䝁䅣䅉䡂䡁䅉睢ㅂ䡁䅁䅉䑂䝁䄸杌獁䍁䅁䅔あ䝁䅑杌杁䍁䅁免睁䑁䅁兊䅁䡁䉷䅁䵁䅁䅁杍㕁䑁䅑睍ㅁ䅁䅁兌䅉䅁䅷䅁祁䑁䅧李睁䑁䅕䅁㥂允䅁杰䅁䙁䅫兤畂䝁䄴兙畂䍁䅁睑療䡁䅁䅣求䡁䅉䅉䑂䝁䄸杌獁䕁䅷䅤歂䍁䅁䅋坂䝁䅕杢あ䡁䅕杣求䡁䅉克杁䑁䅕免汁䑁䅳䅉偂䡁䅉兡求䝁䄴䅤桂䝁䅷䅉兂䝁䅕兙祂䝁䅷䅉䡂䡁䅉睢ㅂ䡁䅁䅉䑂䝁䄸杌獁䕁䅷䅤歂䍁䄴䅉潁䙁䅙党畂䡁䅑兤祂䝁䅕杣灁䍁䅁䅎㕁䍁䅕䅁䅃允䅁䅄䅁䑁䅍䅍㍁䑁䅁睎䅁䙁䌴䅁㙃䅁䅁杗䑂䕁䅍兔杁䕁䅫杢㉂䝁䅕督あ䝁䄰党畂䡁䅑督杁䕁䅧睢獂䝁䅑兡畂䝁䅣督杁䙁䅁䅢橂䍁䅁䅋坂䝁䅕杢あ䡁䅕杣求䡁䅉克杁䑁䅉䅍汁䑁䅳䅉䭂䕁䅍䅓奂䍁䅁兔灂䝁䄴兡畂䝁䅣䅉乂䝁䅅杢桂䝁䅣党瑂䝁䅕杢あ䍁䅁睑療䍁䄴䅌䵂䡁䅑䅚畁䍁䅁䅋坂䝁䅕杢あ䡁䅕杣求䡁䅉克杁䑁䅧䅍汁䅁䅁睶䅅䑁䅧䅁呂䝁䅧兙畂䝁䅑睢畂䝁䅣䅉䡂䝁䄸䅢歂䍁䅁睒祂䝁䄸兤睂䍁䅁睑療䍁䄴䅌䵂䡁䅑䅚䅁䅁䑧䅁䵁䅁䅁睍穁䑁䅁䅏穁䅁䅁睧䅅䅁䅷䅁穁䑁䅕䅏㍁䑁䅧䅁ぁ杁䅁䅒䅁䕁䅧兡獂䝁䅷睚祂䝁䄸杤求䍁䅁杕求䡁䅍睢ㅂ䡁䅉睙求䡁䅍䅉䵂䝁䅫兢灂䡁䅑党歂䍁䅁䅉硁䑁䅁䅍汁䅁䅁䅨䅅䑁䅷䅁䡂䝁䄸䅢歂䍁䅁兔灂䝁䄴兡畂䝁䅣䅉䑂䝁䄸兢睂䝁䅅杢㕂䍁䅁䅔䵂䕁䅍䅉杁䑁䅅䅍睁䍁䅕䅁䭃允䅁䅄䅁䑁䅍䅏ㅁ䑁䅁䅍䅁䥁䉳䅁䵁䅁䅁䅏硁䑁䅉睍祁䅁䅁杪䅅䅁䅷䅁祁䑁䅫免㍁䑁䅫䅁元允䅁杖䅁䕁䅷兡畂䡁䅧兡杁䕁䅍睢ㅂ䝁䄴䅤㕂䍁䅁䅖療䝁䄴睚潂䝁䅕䅉乂䝁䅫杢灂䝁䄴睚杁䕁䅍睢畁䍁䅷䅉䵂䡁䅑䅚畁䍁䅁䅉硁䑁䅁䅍汁䅁䅁兗䅉䙁䅙䅁呂䝁䅫睙潂䡁䅕兙畂䍁䅁䅔灂䡁䅣兤杁䕁䅍睢睂䡁䅁党祂䍁䅁兔灂䝁䄴兡畂䝁䅣䅉䑂䝁䄸杌獁䍁䅁䅔あ䝁䅑杌杁䍁䅁免睁䑁䅁兊䅁䱁䉕䅁权䅁䅁睑療䝁䄰䅣桂䡁䅍督杁䕁䅫杢㉂䝁䅕督あ䝁䄰党畂䡁䅑䅉䑂䝁䄸兢睂䝁䅅杢㕂䍁䅁䅔灂䝁䄰兡あ䝁䅕䅚杁䍁䅧杖求䝁䄴䅤ㅂ䡁䅉党祂䍁䅫䅉ぁ䑁䅁杌ㅁ䍁䅕睏杁䕁䄰兔䡂䍁䅁䅔灂䝁䄰兡あ䝁䅕䅚杁䍁䅧杖求䝁䄴䅤ㅂ䡁䅉党祂䍁䅫䅉ㅁ䑁䅕兊䅁䩁䉉䅁䝁允䅁睑乂䕁䄸睑杁䕁䅣杣療䡁䅕䅣杁䕁䅷兡瑂䝁䅫䅤求䝁䅑䅉潁䙁䅙党畂䡁䅑兤祂䝁䅕杣灁䍁䅁睎硁䍁䄴杍ㅁ䍁䅕睏杁䕁䅍睢畂䡁䅑党瑂䡁䅁睢祂䝁䅅杣㕂䍁䅁兑瑂䡁䅁党祂䝁䅕䅥杁䙁䅑党橂䝁䅧杢療䝁䅷睢湂䡁䅫䅉䑂䝁䄸杌獁䍁䅁䅔灂䝁䄰兡あ䝁䅕䅚杁䍁䅧杖求䝁䄴䅤ㅂ䡁䅉党祂䍁䅫䅉祁䑁䅍杌㍁䑁䅕兊㝁䍁䅁兖畂䝁䄴兙瑂䝁䅕䅚杁䕁䄸睤畂䝁䅕杣杁䍁䅧杒祂䝁䅅睙あ䝁䅫睢畂䝁䅅䅢灁䍁䅁兊䅁䩁䉧䅁䵁䅁䅁睎㉁䑁䅁睎㑁䅁䅁六䅅䍁䅑䅁䩂䕁䅣睔杁䕁䅷兡瑂䝁䅫䅤求䝁䅑䅉杁䑁䅅䅍睁䍁䅕䅁⭄允䅁䄷䅁䕁䅍䅡灂䝁䄴兙杁䕁䄴睢畂䝁䅙党祂䡁䅉睢ㅂ䡁䅍䅉乂䝁䅫杢灂䝁䄴睚杁䕁䅍睢祂䡁䅁睢祂䝁䅅䅤灂䝁䄸杢杁䕁䅷兡瑂䝁䅫䅤求䝁䅑䅉潁䙁䅙党畂䡁䅑兤祂䝁䅕杣灁䍁䅁䅎祁䍁䅕睏杁䕁䅧兤桂䝁䅍䅡灂䝁䄴䅉呂䕁䅅杕䵂䍁䅁䅋坂䝁䅕杢あ䡁䅕杣求䡁䅉克杁䑁䅍兎汁䑁䅳䅉噂䝁䄴杢桂䝁䄰党歂䍁䅁睔㍂䝁䄴党祂䍁䅁䅋坂䝁䅕杢あ䡁䅕杣求䡁䅉克杁䑁䅉睍汁䅁䅁杭䅅䅁䅷䅁㍁䑁䅧李硁䑁䅉䅁捃允䅁杏䅁䕁䅣杣ㅂ䡁䅁睢杁䕁䄰儶㑂䝁䅫睙療䍁䅷䅉呂䍁䄴兑畁䕁䅉杌杁䝁䅑党杁䕁䅍杌坂䍁䄴䅁歃杁䅁䅄䅁䑁䅉睎㉁䑁䅣䅎䅁乁䉣䅁敃䅁䅁杗灂䝁䅯兡畂䍁䅁兔灂䝁䄴兡畂䝁䅣䅉䡂䡁䅉睢ㅂ䡁䅁䅉䑂䝁䄸兢睂䝁䅅杢㕂䍁䅁䅔灂䝁䄰兡あ䝁䅕䅚杁䍁䅧杖求䝁䄴䅤ㅂ䡁䅉党祂䍁䅫䅉㉁䑁䅣兊㝁䍁䅁睒灄䝁䅍兙瑂䝁䅫杢求䡁䅍䅉呂䕁䅅䅉潁䙁䅙党畂䡁䅑兤祂䝁䅕杣灁䍁䅁睍穁䍁䅕䅁摃允䅁䅄䅁䑁䅉兏穁䑁䅕杍䅁䩁䈴䅁䵁䅁䅁睍祁䑁䅫兎ぁ䅁䅁兯䅅䅁䅷䅁祁䑁䅙兏ぁ䑁䅉䅁㕄允䅁䅒䅁䕁䅣杣求䝁䅅䅤獂䝁䅅杢歂䍁䅁杕求䡁䅍睢ㅂ䡁䅉睙求䡁䅍䅉䵂䝁䅫兢灂䡁䅑党歂䍁䅁䅉硁䑁䅁䅍汁䅁䅁睯䅅䅁䅷䅁穁䑁䅕䅎㕁䑁䅍䅁歃允䅁杮䅁䕁䅫兢睂䝁䅕杣灂䝁䅅䅢杁䕁䄰党あ䝁䅅䅢穂䍁䅁睑療䡁䅉䅣療䡁䅉兙あ䝁䅫睢畂䍁䅁䅋坂䝁䅕杢あ䡁䅕杣求䡁䅉克杁䑁䅍䅍汁䑁䅳䅉佂䝁䅕睤瑂䝁䄸杢あ䍁䅁睑療䡁䅉䅣療䡁䅉兙あ䝁䅫睢畂䍁䅁䅋坂䝁䅕杢あ䡁䅕杣求䡁䅉克杁䑁䅣䅍汁䅁䅁杉䅉䅁䈴䅁呂䝁䅧兙畂䝁䅑睢畂䝁䅣䅉䵂䝁䄸杢湂䡁䅧兡畂䝁䅣䅉䡂䡁䅉睢ㅂ䡁䅁䅉䵂䝁䅅兡㙂䝁䅧睢ㅂ䍁䅁睑潂䝁䅕兢灂䝁䅍兙獂䍁䅁村ㅂ䝁䅫䅢歂䝁䅫杢湂䍁䅁兔桂䡁䅑党祂䝁䅫兙獂䡁䅍䅉䑂䝁䄸杌獁䕁䅷䅤歂䍁䄴䅉潁䙁䅙党畂䡁䅑兤祂䝁䅕杣灁䍁䅁睍睁䍁䅕睏杁䙁䅯兡煂䝁䅫杢杁䕁䄰兡畂䝁䅫杢湂䍁䅁睒祂䝁䄸兤睂䍁䅁睑療䝁䄰䅣桂䝁䄴入杁䕁䅷兡瑂䝁䅫䅤求䝁䅑䅉潁䙁䅙党畂䡁䅑兤祂䝁䅕杣灁䍁䅁睎睁䍁䅕䅁汃允䅁䅆䅁䕁䅧睢畂䝁䅣䅉䱂䝁䄸杢湂䅁䅁兯䅉䩁䅙䅁噂䝁䄴杢桂䝁䄰党歂䍁䅁睔㍂䝁䄴党祂䍁䅁䅋䝂䡁䅉兙橂䡁䅑兡療䝁䄴兙獂䍁䅫䅉汁䑁䅳䅉呂䝁䄸兤あ䝁䅧党祂䝁䄴䅉䑂䝁䄸䅣睂䝁䅕杣杁䕁䅍睢祂䡁䅁睢祂䝁䅅䅤灂䝁䄸杢杁䍁䅧杖求䝁䄴䅤ㅂ䡁䅉党祂䍁䅫䅉㕁䑁䅧杌硁䍁䅕䅁湃允䅁䅄䅁䑁䅙免睁䑁䅉睎䅁䭁䉧䅁䵁䅁䅁䅏硁䑁䅉杍㑁䅁䅁共䅅䅁䅷䅁祁䑁䅣䅏睁䑁䅑䅁瑃允䅁李䅁䕁䅙睢祂䡁䅑兤畂䝁䅅䅉乂䝁䅫杢灂䝁䄴睚杁䕁䅍睢祂䡁䅁杌杁䍁䅁免睁䑁䅁兊䅁䱁䉁䅁䵁䅁䅁䅏睁䑁䅍兏㉁䅁䅁杴䅅䙁䉙䅁乂䝁䅫䅤穂䡁䅕杙灂䡁䅍䅡灂䍁䅁睑療䡁䅉䅣療䡁䅉兙あ䝁䅫睢畂䍁䅁䅋坂䝁䅕杢あ䡁䅕杣求䡁䅉克杁䑁䅉䅍畁䑁䅑䅎汁䑁䅳䅉乂䝁䅫䅤穂䡁䅕兡杁䍁䅙䅉䑂䝁䄸杌獁䍁䅁䅔あ䝁䅑杌杁䍁䅧杖求䝁䄴䅤ㅂ䡁䅉党祂䍁䅫䅉㕁䍁䄴兎汁䑁䅳䅉䑂䝁䄸杣睂䝁䄸杣桂䝁䅍兡穄䝁䄴䅉佂䝁䅅睙灂䝁䄸杢桂䝁䅷䅉歂䝁䅕䅢杁䕁䅍睢楂䡁䅉党杁䝁䅑党杁䕁䅍䅡灂䝁䅷党杁䍁䅧杖求䝁䄴䅤ㅂ䡁䅉党祂䍁䅫䅉祁䑁䅁兊㝁䍁䅁兑畂䝁䅣䅢療䍁䅁兑瑂䝁䅕杣灂䝁䅍兙畂䍁䅁䅣獂䝁䅍䅉潁䙁䅙党畂䡁䅑兤祂䝁䅕杣灁䍁䅁兎睁䍁䄴䅍㉁䍁䅕䅁㕃允䅁䅄䅁䑁䅉䅎ぁ䑁䅣䅍䅁䅁䌴䅁权允䅁兑畂䡁䅑睢浂䝁䅅睚桂䡁䅍䅤桂䍁䅁䅣獂䝁䅍䅉潁䙁䅙党畂䡁䅑兤祂䝁䅕杣灁䍁䅁李睁䍁䅕睏杁䕁䄰兡あ䡁䅍兤楂䝁䅫督潂䝁䅫䅉乂䝁䅅䅤求䡁䅉兡桂䝁䅷督杁䕁䅍睢祂䡁䅁睢祂䝁䅅䅤灂䝁䄸杢杁䍁䅧杖求䝁䄴䅤ㅂ䡁䅉党祂䍁䅫䅉硁䑁䅁兊㝁䍁䅁杓奂䍁䅁兑歂䡁䅙兙畂䝁䅍党歂䍁䅁兔求䡁䅑兙獂䡁䅍䅉䑂䝁䄸杣睂䝁䄸杣桂䡁䅑兡療䝁䄴䅉潁䙁䅙党畂䡁䅑兤祂䝁䅕杣灁䍁䅁免祁䍁䄴兎祁䍁䅕睏杁䕁䄰兙祂䡁䅕杙求䝁䄴兡杁䕁䅍睢祂䡁䅁睢祂䝁䅅䅤灂䝁䄸杢杁䍁䅧杖求䝁䄴䅤ㅂ䡁䅉党祂䍁䅫䅉硁䑁䅉杌ぁ䑁䅧兊㝁䍁䅁兔灂䡁䅑督ㅂ䝁䅉兡穂䝁䅧兡杁䕁䅍睢祂䡁䅁睢祂䝁䅅䅤灂䝁䄸杢杁䍁䅧杖求䝁䄴䅤ㅂ䡁䅉党祂䍁䅫䅉ㅁ䍁䅕䅁㝃允䅁䅄䅁䑁䅉䅏㑁䑁䅍睎䅁䱁䈴䅁䵁䅁䅁杍ぁ䑁䅕䅍㕁䅁䅁睈䅉䕁䅧䅁慂䕁䅍睑乂䍁䅁兓畂䡁䅙党穂䡁䅑兢求䝁䄴䅤穂䍁䅁䅓療䝁䅷䅚灂䝁䄴睚穂䍁䅁䅕獂䝁䅍䅉杁䑁䅅䅍睁䍁䅕䅁坄允䅁村䅁䕁䅉兙祂䡁䅉兡橂䝁䅳䅉乂䝁䅫杢灂䝁䄴睚杁䕁䅍睢祂䡁䅁睢祂䝁䅅䅤灂䝁䄸杢杁䍁䅁免睁䑁䅁兊䅁䵁䉅䅁䵁䅁䅁䅏硁䑁䅉免㑁䅁䅁䅸䅅䅁䅷䅁祁䑁䅫睎ぁ䑁䅍䅁䡄允䅁䅄䅁䑁䅉䅏祁䑁䅕李䅁䵁䉯䅁㙄䅁䅁䅕祂䝁䅫杤桂䡁䅑党杁䕁䅫杢あ䝁䅕杣求䡁䅍䅤杁䍁䅧睑桂䡁䅉杣灂䝁䅕䅚灁䍁䅁䅏畁䑁䅕兊㝁䍁䅁兑浂䡁䅉兡橂䝁䅅杢杁䙁䅉兙灂䝁䄴杙療䡁䅣䅉乂䝁䅫杢求䡁䅉兙獂䡁䅍䅉䵂䝁䅫兢灂䡁䅑党歂䍁䅁䅋坂䝁䅕杢あ䡁䅕杣求䡁䅉克杁䑁䅑免畁䑁䅕兊㝁䍁䅁杖桂䝁䅷䅤求䡁䅉杣桂䍁䅁䅕獂䝁䅅䅤灂䝁䄴兤瑂䍁䅁䅔灂䝁䄰兡あ䝁䅕䅚杁䍁䅧杖求䝁䄴䅤ㅂ䡁䅉党祂䍁䅫䅉ㅁ䑁䅁兊䅁䵁䈴䅁䵁䅁䅁兔桂䝁䅷䅤桂䅁䅁儵䅉䅁䅷䅁㑁䑁䅅杍㍁䑁䅅䅁剄允䅁䅔䅁䕁䅍䅡求䝁䄴睚歂䝁䅕䅉呂䝁䅧兤療䝁䅑兙杁䕁䄰兡畂䝁䅫杢湂䍁䅁睑療䍁䄴䅌杁䕁䅷䅤歂䍁䄴䅉杁䑁䅅䅍睁䍁䅕䅁卄允䅁䅄䅁䑁䅉睎㕁䑁䅕免䅁乁䉷䅁䵁䅁䅁睎㉁䑁䅁睎ㅁ䅁䅁儱䅅䅁䅷䅁祁䑁䅣睎祁䑁䅧䅁㙂杁䅁䅄䅁䑁䅉兏㑁䑁䅉兏䅁乁䉫䅁允䅁䅁兑祂䝁䄰党畂䝁䅫兙䅁佁䍫䅁䵁䅁䅁䅎睁䑁䅣睎硁䅁䅁䅥䅉䑁䅉䅁䙂䡁䅕杣桂䡁䅍兡桂䝁䄴䅉䡂䡁䅉睢ㅂ䡁䅁䅉䵂䕁䅷䅕杁䍁䅁免睁䑁䅁兊䅁乁䉯䅁䵁䅁䅁杍㑁䑁䅣䅍ぁ䅁䅁朳䅅䅁䅷䅁穁䑁䅅杍祁䑁䅍䅁䭂杁䅁䅄䅁䑁䅍免穁䑁䅁䅍䅁乁䈸䅁䵁䅁䅁杍㍁䑁䅙兎穁䅁䅁䄵䅅䅁䅷䅁祁䑁䅣䅏㉁䑁䅧䅁湄允䅁末䅅䕁䅍䅡灂䝁䄴兙瑁䕁䅅杚祂䝁䅫睙桂䍁䅁䅒求䡁䅙党獂䝁䄸䅣瑂䝁䅕杢あ䍁䅁杒ㅂ䝁䄴䅚杁䍁䅧杖求䝁䄴䅤ㅂ䡁䅉党祂䍁䅫䅉ㅁ䍁䅕睏杁䕁䅣党畂䝁䅕杣桂䝁䅷䅉佂䝁䅫睙求䍁䅁䅒求䡁䅙党獂䝁䄸䅣瑂䝁䅕杢あ䍁䅁䅔灂䝁䄰兡あ䝁䅕䅚杁䍁䅧杖求䝁䄴䅤ㅂ䡁䅉党祂䍁䅫䅉祁䑁䅁兊㝁䍁䅁䅖潂䝁䅕䅉䩂䝁䄴䅚ㅂ䡁䅍䅤祂䝁䅫兙獂䍁䅁䅒求䡁䅙党獂䝁䄸䅣瑂䝁䅕杢あ䍁䅁睑療䡁䅉䅣療䡁䅉兙あ䝁䅫睢畂䍁䅁睢浂䍁䅁睕療䡁䅕䅤潂䍁䅁兑浂䡁䅉兡橂䝁䅅䅉䵂䝁䅫兢灂䡁䅑党歂䍁䅁䅋坂䝁䅕杢あ䡁䅕杣求䡁䅉克杁䑁䅉䅍汁䑁䅳䅉䥂䕁䅉兓呂䍁䅁睒祂䝁䄸兤睂䍁䅁睑療䝁䄰䅣桂䝁䄴入杁䕁䅷兡瑂䝁䅫䅤求䝁䅑䅉潁䙁䅙党畂䡁䅑兤祂䝁䅕杣灁䍁䅁睍ㅁ䍁䅕睏杁䙁䅑党㍂䝁䄸睢杁䕁䅣杣療䡁䅕䅣杁䕁䅍睢畁䍁䅷䅉䵂䡁䅑䅚畁䍁䅁䅋坂䝁䅕杢あ䡁䅕杣求䡁䅉克杁䑁䅉䅍汁䅁䅁䄶䅅䙁䄴䅁䭂䝁䅫兙畂䝁䅣䅥灂䍁䅁杓灂䝁䄴入ㅂ䍁䅁兓畂䝁䅑兤穂䡁䅑杣灂䝁䅅䅢杁䕁䅣杣療䡁䅕䅣杁䕁䅍睢畁䍁䅷䅉䵂䡁䅑䅚畁䍁䅁䅉硁䑁䅁䅍汁䅁䅁睍䅉䅁䅷䅁㍁䑁䅕兏㑁䑁䅧䅁灄允䅁䅋䅁䙁䅁睔呂䕁䅍睔杁䕁䅧睢獂䝁䅑兡畂䝁䅣督杁䕁䅫杢橂䍁䄴䅁慁睁䅁朸䅁䕁䅙杣求䝁䅕䅣療䡁䅉䅤瑁䕁䄰睙乂䝁䄸杕桂䝁䄴䅉䩂䝁䄴睙畁䍁䅁䅋坂䝁䅕杢あ䡁䅕杣求䡁䅉克杁䑁䅣杍汁䑁䅳䅉呂䡁䅕兢灂䡁䅑睢瑂䝁䄸䅉䑂䝁䄸杣睂䝁䄸杣桂䡁䅑兡療䝁䄴䅉潁䙁䅙党畂䡁䅑兤祂䝁䅕杣灁䍁䅁睍汁䑁䅳䅉呂䡁䅕兢灂䡁䅑睢瑂䝁䄸䅉乂䝁䅕䅤桂䝁䅷䅉乂䝁䅫杢灂䝁䄴睚杁䕁䅍睢畁䍁䅷䅉䵂䡁䅑䅚畁䍁䅁䅋坂䝁䅕杢あ䡁䅕杣求䡁䅉克杁䑁䅉兎汁䅁䅁朶䅅佁䅷䅁䑂䝁䄸杢穂䝁䄸䅢灂䝁䅑兙あ䝁䅕䅚杁䕁䄰兡畂䝁䅫杢湂䍁䅁兙畂䝁䅑䅉䩂䝁䄴杤求䡁䅍䅤瑂䝁䅕杢あ䡁䅍䅉䵂䡁䅑䅚杁䍁䅧睔睂䡁䅑兡療䝁䄴党求䍁䅫䅉㉁䑁䅧兊㝁䍁䅁杓灂䝁䄴睙潂䡁䅕兙畂䍁䅁睒祂䝁䄸兤睂䍁䅁兓畂䡁䅑党祂䝁䄴兙あ䝁䅫睢畂䝁䅅䅢杁䙁䅉党穂䝁䄸兤祂䝁䅍党穂䍁䅁睑療䍁䄴䅉䵂䡁䅑䅚杁䍁䅧睔睂䡁䅑兡療䝁䄴睢祂䍁䅫䅉穁䑁䅉兊䅁偁䉁䅁い䅁䅁䅒求䝁䄰杌杁䙁䅉党睂䍁䄴䅉䑂䝁䄸杢湂䝁䄸䅉潁䙁䅙党畂䡁䅑兤祂䝁䅕杣灁䍁䅁兎汁䑁䅳䅉䭂䝁䅫杢橂䝁䅧兤桂䝁䄴䅉䡂䡁䅉睢ㅂ䡁䅁䅉䩂䝁䄴䅤求䡁䅉杢桂䡁䅑兡療䝁䄴兙獂䍁䅁杕求䡁䅍睢ㅂ䡁䅉睙求䡁䅍䅉䑂䝁䄸杌杁䕁䅷䅤歂䍁䅁䅋坂䝁䅕杢あ䡁䅕杣求䡁䅉克杁䑁䅣䅍汁䑁䅳䅉䡂佁䅫睙桂䝁䄰兡畂䝁䅕督杁䙁䅍兑杁䍁䅧杖求䝁䄴䅤ㅂ䡁䅉党祂䍁䅫䅉祁䑁䅕兊䅁偁䉉䅁䅂䅁䅁䅖祂䝁䅅杚灂䝁䅣兤祂䝁䅅䅉䡂䡁䅉睢ㅂ䡁䅁䅉兂䡁䅑党畁䍁䅁䅔あ䝁䅑杌杁䍁䅁免睁䑁䅁兊䅁偁䉙䅁䵁䅁䅁䅏硁䑁䅕免硁䅁䅁䅩䅉䅁䅷䅁㑁䑁䅅杍硁䑁䅙䅁㍄允䅁䅄䅁䑁䅑䅍㍁䑁䅙睎䅁偁䈰䅁䵁䅁䅁䅏硁䑁䅉䅎㕁䅁䅁允䅉䝁䄴䅁䍂䝁䅅䅡祂䝁䅅兡畂䍁䅁杕灂䝁䅣䅡あ䍁䅁村桂䝁䄴杢求䡁䅉䅉佂䝁䄸杣湂䝁䅅䅉䑂䝁䄸䅣睂䝁䅕杣杁䕁䄰兡畂䝁䅕䅉䑂䝁䄸杌獁䍁䅁䅔あ䝁䅑杌杁䍁䅁免睁䑁䅁兊䅁䅁䍉䅁䵁䅁䅁杍㍁䑁䅙睎祁䅁䅁睁䅉䅁䅷䅁祁䑁䅫兏祁䑁䅑䅁䕁杁䅁䅄䅁䑁䅧免㑁䑁䅧䅎䅁䥁䍳䅁⭄䅁䅁兓畂䝁䅑兤穂䡁䅑杣灂䝁䅅督杁䙁䅁党硄䝁䄸䅢求䡁䅍䅌杁䙁䅍杌䉂䍁䄴村畁䍁䅁䅚求䍁䅁睑畁䙁䅙杌杁䍁䅧杖求䝁䄴䅤ㅂ䡁䅉党祂䍁䅫䅉ㅁ䑁䅅兊㝁䍁䅁睕ㅂ䝁䄰兡あ䝁䄸兢療䍁䅁睑療䡁䅉䅣療䡁䅉兙あ䝁䅫睢畂䍁䅁䅋坂䝁䅕杢あ䡁䅕杣求䡁䅉克杁䑁䅅䅍汁䑁䅳䅉䕂䝁䄸睤桂䍁䅁䅓療䝁䅷䅚灂䝁䄴睚穂䍁䅁睑療䍁䄴䅌杁䕁䅷䅤歂䍁䄴䅉潁䙁䅙党畂䡁䅑兤祂䝁䅕杣灁䍁䅁睍㕁䍁䅕䅁坂杁䅁䅄䅁䑁䅍免ㅁ䑁䅉䅏䅁䅁䍙䅁䍄䅁䅁兑浂䡁䅉兡橂䝁䅅杢杁䙁䅉兙灂䝁䄴杙療䡁䅣䅉乂䝁䅫杢求䡁䅉兙獂䡁䅍䅉䵂䝁䅫兢灂䡁䅑党歂䍁䅁䅋坂䝁䅕杢あ䡁䅕杣求䡁䅉克杁䑁䅕䅎汁䑁䅳䅉䩂䝁䄰䅣桂䝁䅷兙杁䙁䅁䅢桂䡁䅑兡畂䡁䅕兢杁䕁䅧睢獂䝁䅑兡畂䝁䅣督杁䕁䅷兡瑂䝁䅫䅤求䝁䅑䅉潁䙁䅙党畂䡁䅑兤祂䝁䅕杣灁䍁䅁䅎㉁䍁䅕䅁時杁䅁䅣䅁䙁䅉兡療䍁䅁䅖灂䝁䄴䅤療䍁䅁睒祂䝁䄸兤睂䍁䅁䅋坂䝁䅕杢あ䡁䅕杣求䡁䅉克杁䑁䅙李汁䑁䅳䅉乂䝁䄸杢湂䝁䄸䅢灂䝁䅅䅉潁䙁䅙党畂䡁䅑兤祂䝁䅕杣灁䍁䅁睍ぁ䍁䅕䅁䡁杁䅁䅄䅁䑁䅉睎㕁䑁䅅䅏䅁䅁䍧䅁䅂䅁䅁䅕潂䝁䅫䅢求䡁䅧䅉乂䝁䅫杢灂䝁䄴睚杁䕁䅍睢祂䡁䅁睢祂䝁䅅䅤灂䝁䄸杢杁䍁䅁免睁䑁䅁兊䅁䅁䍫䅁䵁䅁䅁杍㍁䑁䅍䅍祁䅁䅁权䅉䅁䅷䅁穁䑁䅁兎硁䑁䅑䅁灂杁䅁䅄䅁䑁䅧䅍㑁䑁䅍䅍䅁䅁䍳䅁䵁䅁䅁睍穁䑁䅉䅍㑁䅁䅁䅄䅉䙁䅉䅁䵂䝁䅅睢穂䍁䅁䅋䑂䝁䅅杣祂䝁䅫党歂䍁䅫䅉硁䑁䅁兊㝁䍁䅁䅕桂䝁䄴兑ㅂ䡁䅍䅤杁䕁䅷兡瑂䝁䅫䅤求䝁䅑䅉杁䑁䅫䅍汁䅁䅁兄䅉䅁䅷䅁㍁䑁䅙䅍㑁䑁䅁䅁偁杁䅁䅥䅁䕁䄸杗杁䕁䄰兡畂䝁䅕杣桂䝁䅷督杁䙁䅁䅤㕂䍁䅁䅔あ䝁䅑䅉潁䕁䅙杣桂䝁䅍䅤灂䝁䄸杢桂䝁䅷克杁䍁䅕睏杁䕁䅉䅓兂䍁䅁睒祂䝁䄸兤睂䍁䅁䅔灂䝁䄰兡あ䝁䅕䅚杁䍁䅁免睁䑁䅁兊䅁䉁䍅䅁䵁䅁䅁杍㍁䑁䅅䅎㉁䅁䅁兔䅉䅁䅷䅁穁䑁䅕睎睁䑁䅣䅁十杁䅁䅋䅅䙁䅫兤畂䝁䄴兙畂䍁䅁睑療䡁䅁䅣求䡁䅉䅉䑂䝁䄸杌獁䕁䅷䅤歂䍁䅁䅋坂䝁䅕杢あ䡁䅕杣求䡁䅉克杁䑁䅣䅍汁䑁䅳䅉䕂䝁䅫兣灂䝁䄴睚杁䕁䅑党㉂䝁䅕䅢療䡁䅁兢求䝁䄴䅤杁䝁䅅杢歂䍁䅁兓畂䡁䅙党穂䡁䅑兢求䝁䄴䅤杁䕁䅍睢杁䕁䅷䅤歂䍁䅁䅋坂䝁䅕杢あ䡁䅕杣求䡁䅉克杁䑁䅧杌穁䑁䅍兊㝁䍁䅁兗ㅂ䝁䄴杢桂䝁䄴䅉䡂䝁䄸䅢歂䍁䅙兔灂䝁䄴党祂䝁䅅䅢杁䕁䅣杣療䡁䅕䅣杁䕁䅍睢畁䍁䅷䅉䵂䡁䅑䅚畁䍁䅁䅋坂䝁䅕杢あ䡁䅕杣求䡁䅉克杁䑁䅉䅍汁䅁䅁睅䅉䅁䅷䅁祁䑁䅑李㕁䑁䅣䅁啁杁䅁䅄䅁䑁䅧免祁䑁䅅杍䅁䉁䍣䅁楂䅁䅁睊扂䙁䅍䅕䡂䝁䅷睢楂䝁䅅䅢時䕁䄸杣求䙁䄸䅍㍁䍁䄰杓ㅂ䝁䅷兌祁䑁䅁杍㉁䍁䄴䅥獂䡁䅍䅥摂䕁䄸睤畂䝁䅕杣穂䝁䅧兡睂䍁䅣光歁䕁䅧䅊硁䑁䅁䅁䥄杁䅁杚䅁䙁䅅兡畂䝁䅣䅡桂䝁䅫䅉剂䝁䅫䅢灂䝁䅅杢穂䝁䅧兙畂䍁䅁睑療䡁䅁䅣求䡁䅉䅉䩂䝁䄴䅚ㅂ䡁䅍䅤祂䡁䅫䅉䑂䝁䄸杌獁䍁䅁䅔あ䝁䅑杌杁䍁䅁免睁䑁䅁兊䅁䉁䍧䅁十䅁䅁兔療䝁䄴睚療䝁䅷兡桂䅁䅁䄶䅉䅁䅷䅁祁䑁䅣䅏睁䑁䅕䅁婁杁䅁杫䅁䕁䅅杢湂䝁䅷睢杁䕁䅅兢求䡁䅉兡橂䝁䅅杢杁䡁䅁䅢橂䍁䅁䅋坂䝁䅕杢あ䡁䅕杣求䡁䅉克杁䑁䅙䅍汁䑁䅳䅉乂䝁䅫䅤穂䡁䅕杙灂䡁䅍䅡灂䍁䅁睑療䡁䅉䅣療䡁䅉兙あ䝁䅫睢畂䍁䅁䅋坂䝁䅕杢あ䡁䅕杣求䡁䅉克杁䑁䅑䅍汁䅁䅁杇䅉䅁䅷䅁穁䑁䅑杍㕁䑁䅙䅁扁杁䅁杄䅅䙁䅯兡煂䝁䅫杢杁䕁䄰兡畂䝁䅫杢湂䍁䅁睒祂䝁䄸兤睂䍁䅁睑療䝁䄰䅣桂䝁䄴入杁䕁䅷兡瑂䝁䅫䅤求䝁䅑䅉潁䙁䅙党畂䡁䅑兤祂䝁䅕杣灁䍁䅁兎㑁䍁䄴免㉁䍁䅕睏杁䙁䅯兙畂䝁䅣睚求䍁䅁兔灂䝁䄴兡畂䝁䅣䅉䑂䝁䄸兢睂䝁䅅杢㕂䍁䅁䅔灂䝁䄰兡あ䝁䅕䅚杁䍁䅧杖求䝁䄴䅤ㅂ䡁䅉党祂䍁䅫䅉硁䑁䅙杌㑁䑁䅑兊㝁䍁䅁䅕祂䝁䅫杤桂䡁䅑党杁䕁䅫杢あ䝁䅕杣求䡁䅍䅤杁䍁䅧杖求䝁䄴䅤ㅂ䡁䅉党祂䍁䅫䅉祁䑁䅕兊䅁䉁䍷䅁䵁䅁䅁杍㉁䑁䅁睎穁䅁䅁杈䅉䅁䅷䅁穁䑁䅙免穁䑁䅣䅁橁杁䅁䅴䅁䙁䅕杢畂䝁䅅兢求䝁䅑䅉偂䡁䅣杢求䡁䅉䅉潁䕁䅙杣桂䝁䅍䅤灂䝁䄸杢桂䝁䅷克杁䍁䅕睏杁䕁䅍䅡灂䝁䄴兙杁䕁䅑兙㕂䝁䅕䅉佂䝁䄸杢瑁䕁䅙党祂䡁䅉睢ㅂ䡁䅍䅉乂䝁䅕䅤桂䝁䅷督杁䕁䄰兡畂䝁䅫杢湂䍁䅁䅔灂䝁䄰兡あ䝁䅕䅚杁䍁䅧杖求䝁䄴䅤ㅂ䡁䅉党祂䍁䅫䅉ㅁ䑁䅕兊䅁䍁䍑䅁䵁䅁䅁杍㍁䑁䅕䅎祁䅁䅁兊䅉䅁䅷䅁祁䑁䅣兎硁䑁䅫䅁流杁䅁䅌䅁䙁䅍䅕時䕁䅫杔呂䙁䅑兓啂䙁䅕䅖䩂䕁䄸杔䉂䕁䅷睘佂䕁䅅兔䙂䅁䅁朱䅉䱁䅧䅁呂䝁䅫杙桂䝁䄴入求䍁䅁睕あ䝁䅫䅢獂䡁䅣兙あ䝁䅕杣杁䕁䅷兡瑂䝁䅫䅤求䝁䅑䅉潁䙁䅙党畂䡁䅑兤祂䝁䅕杣灁䍁䅁睎ぁ䍁䅕睏杁䕁䄴党㍂䡁䅍䅡求䝁䅷杚杁䑁䅅睍穁䑁䅕䅉兂䡁䅉睢睂䡁䅉兡求䡁䅑兙祂䡁䅫䅉䵂䝁䅫兢灂䡁䅑党歂䍁䅁䅋坂䝁䅕杢あ䡁䅕杣求䡁䅉克杁䑁䅉李汁䅁䅁睊䅉䥁䅷䅁兂䡁䅉兡㉂䝁䅅䅤求䍁䅁兓畂䡁䅑党祂䝁䅕督あ䍁䅁䅋坂䝁䅕杢あ䡁䅕杣求䡁䅉克杁䑁䅅䅏畁䑁䅅李汁䑁䅳䅉䉂䝁䅷䅣桂䡁䅫兙畂䝁䅅䅉呂䍁䄴兑畁䕁䅍杌杁䍁䅧杖求䝁䄴䅤ㅂ䡁䅉党祂䍁䅫䅉㑁䑁䅅杌㑁䑁䅑兊䅁䡁䌰䅁䵁䅁䅁杍㑁䑁䅕兏硁䅁䅁睋䅉䅁䅷䅁祁䑁䅣李祁䑁䅍䅁畁杁䅁䅄䅁䑁䅍睍㕁䑁䅍睎䅁䑁䍁䅁䵁䅁䅁䅏硁䑁䅉免硁䅁䅁杍䅉䝁䅷䅁䑂䝁䅧兡浂䝁䅕杢湂䍁䅁杓灂䝁䄴䅡療䝁䄴睚獂䝁䅫杢湂䍁䅁杔療䝁䄴杚求䡁䅉杣療䡁䅕督杁䕁䄰兡畂䝁䅫杢湂䍁䅁睑療䍁䄴䅌杁䕁䅷䅤歂䍁䄴䅉杁䑁䅅䅍睁䍁䅕䅁ㅁ杁䅁䅄䅁䑁䅧免硁䑁䅫睎䅁䑁䍣䅁䵁䅁䅁杍㍁䑁䅍䅏ぁ䅁䅁兏䅉䅁䅷䅁㉁䑁䅅䅍ぁ䑁䅁䅁㙁杁䅁权䅅䙁䅯兡煂䝁䅫杢杁䕁䄰兡畂䝁䅫杢湂䍁䅁睒祂䝁䄸兤睂䍁䅁睑療䝁䄰䅣桂䝁䄴入杁䕁䅷兡瑂䝁䅫䅤求䝁䅑䅉潁䙁䅙党畂䡁䅑兤祂䝁䅕杣灁䍁䅁兎睁䍁䄴免汁䑁䅳䅉兂䡁䅉兡㉂䝁䅅䅤求䍁䅁兓畂䡁䅑党祂䝁䅕督あ䍁䅁䅋坂䝁䅕杢あ䡁䅕杣求䡁䅉克杁䑁䅉兎汁䑁䅳䅉慂䝁䅅杢湂䝁䅣党杁䕁䄰兡畂䝁䅫杢湂䍁䅁睑療䝁䄰䅣桂䝁䄴入杁䕁䅷兡瑂䝁䅫䅤求䝁䅑䅉潁䙁䅙党畂䡁䅑兤祂䝁䅕杣灁䍁䅁杍ぁ䍁䄴兏汁䅁䅁兩䅉䅁䅷䅁㑁䑁䅅杍穁䑁䅍䅁㡁杁䅁䅄䅁䑁䅧免祁䑁䅉睎䅁䑁䌴䅁佃䅁䅁睕療䡁䅕䅤潂䑁䅍杍杁䕁䅷兡瑂䝁䅫䅤求䝁䅑䅉潁䙁䅙党畂䡁䅑兤祂䝁䅕杣灁䍁䅁䅎ㅁ䍁䅕睏杁䕁䅳睒䥂䕁䄰䅉䩂䝁䄴䅤求䡁䅉杢桂䡁䅑兡療䝁䄴兙獂䍁䅁䅔あ䝁䅑杌杁䍁䅧杖求䝁䄴䅤ㅂ䡁䅉党祂䍁䅫䅉ㅁ䑁䅕兊䅁䕁䍅䅁䵁䅁䅁杍ぁ䑁䅕䅍穁䅁䅁村䅉䅁䅷䅁祁䑁䅙兎㍁䑁䅑䅁䑂杁䅁䅄䅁䑁䅣兎㕁䑁䅧兎䅁䝁䍁䅁权䅁䅁杖療䝁䅷睙桂䝁䄴䅉䑂䝁䄸兢睂䝁䅅儸瑄䝁䅅䅉乂䝁䅫杢求䡁䅉兙杁䙁䅍杌䉂䍁䄴兑畁䍁䅁䅉硁䑁䅁䅍汁䑁䅳䅉䙂䝁䄰䅣祂䝁䅕督桂䍁䅁兔灂䝁䄴党祂䝁䅅䅉乂䝁䅅䅡祂䍁䅁䅖ㅂ䝁䄴党獂䍁䅁睕畁䕁䅅杌杁䍁䅧杖求䝁䄴䅤ㅂ䡁䅉党灁䍁䅁兊䅁䕁䍑䅁兂䅁䅁村桂䝁䅫入灂䝁䄴䅉佂䝁䄸杢浂䝁䅕杣祂䝁䄸兤穂䍁䅁睒祂䝁䄸兤睂䍁䅁睑療䍁䄴䅌杁䕁䅷䅤歂䍁䄴䅉杁䑁䅅䅍睁䍁䅕䅁䡂杁䅁䅄䅁䑁䅉兎㉁䑁䅧睎䅁䕁䍧䅁䵁䅁䅁睍㉁䑁䅣睎ㅁ䅁䅁兓䅉䅁䅷䅁祁䑁䅧睍㍁䑁䅅䅁兂杁䅁䅦䅁䕁䅣儶橂䝁䅅兢灂䝁䄴党穂䍁䅁睕䉂䍁䅁䅋䑂䝁䅅杣祂䝁䅫党歂䍁䅫䅉祁䑁䅁兊㝁䍁䅁睑乂䕁䄸睑杁䕁䅣杣療䡁䅕䅣杁䕁䅷兡瑂䝁䅫䅤求䝁䅑䅉潁䙁䅙党畂䡁䅑兤祂䝁䅕杣灁䍁䅁䅏睁䍁䅕䅁剂杁䅁䅄䅁䑁䅙免睁䑁䅑杍䅁䙁䍉䅁楂䅁䅁睊扂䙁䅍䅕䡂䝁䅷睢楂䝁䅅䅢時䕁䄸杣求䙁䄸䅍㍁䍁䄰杓ㅂ䝁䅷兌祁䑁䅁杍㉁䍁䄴䅥獂䡁䅍䅥摂䕁䄸睤畂䝁䅕杣穂䝁䅧兡睂䍁䅣光歁䙁䅁䅊硁䑁䅁䅁佄杁䅁䅄䅁䑁䅉兏㍁䑁䅍兏䅁䙁䍯䅁䵁䅁䅁䅏硁䑁䅅兏㑁䅁䅁睗䅉䝁䅁䅁䉂䝁䄴䅡ㅂ䝁䅫䅉䑂䝁䅧兡㙂䝁䅧睢ㅂ䍁䅁杓灂䝁䄴睙潂䝁䅫䅉䩂䝁䄴杤求䡁䅍䅤瑂䝁䅕杢あ䍁䅁睑療䍁䄴䅌杁䕁䅷䅤歂䍁䄴䅉杁䑁䅅䅍睁䍁䅕䅁捂杁䅁䅄䅁䑁䅉李㉁䑁䅕䅎䅁䙁䌰䅁䵁䅁䅁杍㕁䑁䅕䅎ぁ䅁䅁兙䅉䍁䅑䅁呂䙁䅁睘䩂䕁䄴杖䙂䙁䅍䅖偂䙁䅉睘呂䙁䅑兑䱂䕁䅕䅁偄杁䅁䅐䅁䕁䅅党祂䝁䅫督杁䙁䅉党穂䝁䄸兤祂䝁䅍党穂䍁䅁䅔灂䝁䄰兡あ䝁䅕䅚杁䍁䅁免睁䑁䅁兊䅁䝁䍉䅁权䅁䅁睕あ䡁䅉兙あ䝁䅅䅉䩂䝁䄴杤求䡁䅍䅤瑂䝁䅕杢あ䍁䅁䅓療䝁䅷䅚灂䝁䄴睚穂䍁䅁䅕獂䝁䅍䅉潁䕁䅙杣桂䝁䅍䅤灂䝁䄸杢桂䝁䅷克杁䍁䅕睏杁䙁䅍兙畂䝁䅑杚灂䡁䅉党杁䙁䅉党穂䝁䄸兤祂䝁䅍党穂䍁䅁䅔灂䝁䄰兡あ䝁䅕䅚杁䍁䅁免睁䑁䅁兊䅁䝁䍑䅁䵁䅁䅁杍㍁䑁䅁李ㅁ䅁䅁兣䅉䅁䅷䅁穁䑁䅍兎祁䑁䅅䅁求杁䅁䅄䅁䑁䅧䅍㑁䑁䅉李䅁䝁䍙䅁㡁䅁䅁睕療䝁䅷兡歂䝁䅍睢祂䝁䅕䅉卂䝁䅕督療䡁䅕杣橂䝁䅕督杁䡁䅁䅢橂䍁䅁䅉硁䑁䅁䅍汁䅁䅁䅢䅉䱁䄴䅁兂䝁䄸督橂䝁䄸䅉䩂䝁䄴䅤求䡁䅉杢桂䡁䅑兡療䝁䄴兙獂䍁䅁睑療䡁䅉䅣療䡁䅉兙あ䝁䅫睢畂䍁䅁䅋坂䝁䅕杢あ䡁䅕杣求䡁䅉克杁䑁䅁杌睁䑁䅅兊㝁䍁䅁䅕啂䍁䅁兔求䡁䅉䅚求䝁䅳兙杁</t>
  </si>
  <si>
    <t>䕁䅍睢睂䡁䅁党祂䍁䅁睒療䝁䅷䅚杁䙁䅑杙牂䍁䅁䅋坂䝁䅕杢あ䡁䅕杣求䡁䅉克杁䑁䅫兏畁䑁䅫兏汁䅁䅁杣䅉䅁䅷䅁祁䑁䅣免睁䑁䅑䅁穂杁䅁䅄䅁䑁䅧免硁䑁䅫兏䅁䡁䍣䅁捃䅁䅁睖桂䝁䄴睚ㅂ䝁䄸䅉䡂䝁䄸䅢歂䍁䅁睒祂䝁䄸兤睂䍁䅁䅔灂䝁䄰兡あ䝁䅕䅚杁䍁䅁免睁䑁䅁兊㝁䍁䅁兑畂䝁䅧兤灂䍁䅁村ㅂ䡁䅉党桂䡁䅕䅉療䝁䅙䅉䡂䝁䅕睢獂䝁䄸睚㕂䍁䅁兙畂䝁䅑䅉乂䝁䅫杢求䡁䅉兙獂䍁䅁兒㑂䡁䅁䅢療䍁䅁䅉汁䅁䅁入䅉䥁䅙䅁兂䡁䅉兡㉂䝁䅅䅤求䍁䅁兓畂䡁䅑党祂䝁䅕督あ䍁䅁䅋坂䝁䅕杢あ䡁䅕杣求䡁䅉克杁䑁䅉杌ぁ䍁䅕睏杁䕁䅅䅢睂䝁䅅入桂䝁䄴兙杁䙁䅍杌䉂䍁䄴睑畁䍁䅁䅋坂䝁䅕杢あ䡁䅕杣求䡁䅉克杁䑁䅫睎畁䑁䅙兊䅁䡁䍳䅁䵁䅁䅁杍㍁䑁䅣䅎㍁䅁䅁䅦䅉䅁䅷䅁㉁䑁䅍兏睁䑁䅅䅁⭂杁䅁杓䅁䙁䅍䅡桂䝁䄴䅚療䝁䄴睚杁䕁䅣睢獂䝁䅑䅉乂䝁䅫杢灂䝁䄴睚杁䕁䅍睢畁䍁䅷䅉䵂䡁䅑䅚畁䍁䅁䅉硁䑁䅁䅍汁䅁䅁睦䅉䅁䅷䅁㑁䑁䅅杍㉁䑁䅅䅁䉃杁䅁杯䅁䙁䅍䅤桂䡁䅑党瑁䝁䄸睤畂䝁䅕䅚杁䕁䅅督穂䝁䅕䅤穂䍁䅁睕ㅂ䡁䅁党祂䡁䅙兡穂䝁䅫睢畂䍁䅁兙畂䝁䅑䅉䉂䝁䅑兢灂䝁䄴兡穂䡁䅑杣桂䡁䅑兡療䝁䄴䅉䑂䝁䄸兢瑂䝁䅫督穂䝁䅫睢畂䍁䅁睢浂䍁䅁杓灂䝁䅅杢湂䡁䅧兡杁䙁䅁杣療䡁䅙兡畂䝁䅍党䅁䭁䍙䅁䵁䅁䅁杍㕁䑁䅣睍ㅁ䅁䅁杩䅉䅁䅷䅁祁䑁䅫杍ぁ䑁䅫䅁䵃杁䅁䅅䅁䕁䅉兙潂䝁䅅兢桂䡁䅍䅁㍃杁䅁䅉䅁䙁䅑杣灂䝁䅅杢療䝁䄴䅉䵂䝁䅫兢灂䡁䅑党歂䅁䅁八䅉䅁䅷䅁䑂䝁䅧兡獂䝁䅕䅁呃杁䅁䅄䅁䕁䅍䅡灂䝁䄴兙䅁䩁䍕䅁獁䅁䅁兔灂䝁䄴党祂䝁䅅䅢杁䙁䅁睢㍂䝁䅕杣杁䕁䅷兡瑂䝁䅫䅤求䝁䅑䅁坃杁䅁杄䅁䙁䅯兙瑂䝁䅉兡桂䅁䅁睬䅉䭁䅉䅁呂䡁䅑兙あ䝁䅕兌療䡁䅣杢求䝁䅑䅉䉂䡁䅍督求䡁䅑督杁䙁䅍兤睂䝁䅕杣㉂䝁䅫督灂䝁䄸杢杁䝁䅅杢歂䍁䅁兑歂䝁䄰兡畂䝁䅫督あ䡁䅉兙あ䝁䅫睢畂䍁䅁睑療䝁䄰兢灂䡁䅍督灂䝁䄸杢杁䝁䄸杚杁䡁䅑䅡求䍁䅁睕あ䝁䅅䅤求䍁䅁睑療䡁䅕杢橂䝁䅫䅁奃杁䅁杋䅁䕁䅍睢畂䝁䅍䅢桂䡁䅙党杁䙁䅁䅖䑂䍁䅁䅔灂䝁䄰兡あ䝁䅕䅚䅁䩁䍫䅁煁䅁䅁兒畁䍁䅁兑楂䝁䅅杣療䝁䅅䅉䝂䝁䄸兤畂䝁䅑兙あ䝁䅫睢畂䅁䅁杭䅉䅁䄴䅁䍂䡁䅉兙㙂䝁䅫䅢䅁䩁䍳䅁捁䅁䅁䅔灂䝁䅕睙潂䡁䅑党畂䡁䅍䅤求䝁䅫杢䅁䩁䍷䅁睁䅁䅁杓䙂䕁䄰杒杁䙁䅁兙祂䡁䅑兡橂䝁䅫䅣桂佁䅣儹求䡁䅍䅉呂䍁䄴兑畁䅁䅁兮䅉䍁䅉䅁啂䝁䅕䅢獂䝁䄸䅉䥂䝁䄸䅢歂䝁䅫杢湂䍁䅁兑䡂䅁䅁杶䅉䭁䅉䅁呂䡁䅑兙あ䝁䅕兌偂䡁䅣杢求䝁䅑䅉䉂䡁䅍督求䡁䅑督杁䙁䅍兤睂䝁䅕杣㉂䝁䅫督灂䝁䄸杢杁䕁䅅杢歂䍁䅁兑歂䝁䄰兡畂䝁䅫督あ䡁䅉兙あ䝁䅫睢畂䍁䅁睑療䝁䄰兢灂䡁䅍督灂䝁䄸杢杁䕁䄸杚杁䕁䅣兙畂䡁䅍兤杁䙁䅁杣療䡁䅙兡畂䝁䅍兡桂䝁䅷䅁敃杁䅁杯䅁䙁䅍䅤桂䡁䅑党瑁䝁䄸睤畂䝁䅕䅚杁䕁䅅督穂䝁䅕䅤杁䙁䅍兤睂䝁䅕杣㉂䝁䅫督灂䝁䄸杢杁䝁䅅杢歂䍁䅁兑歂䝁䄰兡畂䝁䅫督あ䡁䅉兙あ䝁䅫睢畂䍁䅁睑療䝁䄰兢灂䡁䅍督灂䝁䄸杢杁䝁䄸杚杁䙁䅫兤畂䝁䄴兙畂䍁䅁䅕祂䝁䄸杤灂䝁䄴睙灂䝁䅅䅢䅁䭁䍁䅁卂䅁䅁䅕求䝁䄸䅣獂䝁䅕睊穂䍁䅁睒療䡁䅙党祂䝁䄴兢求䝁䄴䅤杁䕁䄸杚杁䙁䅍䅡桂䝁䄴䅚療䝁䄴睚杁䙁䅁杣療䡁䅙兡畂䝁䅍党䅁䭁䍉䅁佁䅁䅁睑桂䝁䄴兙歂䝁䅅䅁捄杁䅁杉䅁䙁䅁兙睂䡁䅕兙杁䕁䄴党㍂䍁䅁睒ㅂ䝁䅫杢求䝁䅅䅁橃杁䅁杄䅁䕁䄰党㑂䝁䅫睙療䅁䅁兰䅉䉁䅧䅁兂䝁䅧兡獂䝁䅫䅣睂䝁䅫杢求䡁䅍䅁奄杁䅁䅆䅁䕁䅅杣湂䝁䅕杢あ䝁䅫杢桂䅁䅁䅱䅉䑁䅉䅁啂䝁䅧党杁䙁䅣兙穂䝁䅧兡畂䝁䅣䅤療䝁䄴䅉䑂䝁䄸兢睂䝁䅅杢灂䝁䅕督䅁䭁䍫䅁䥁䅁䅁兖呂䕁䅅䅁煃杁䅁䅗䅁䕁䅧兙灂䝁䄴兙畂䍁䅁兕灂䝁䅅杢煂䝁䅫杢歂䝁䅅䅉䩂䝁䄴杤求䡁䅍䅤瑂䝁䅕杢あ䍁䅁睑療䝁䄰䅣桂䝁䄴入杁䕁䅷兡瑂䝁䅫䅤求䝁䅑䅁獃杁䅁杇䅁䙁䅍睢ㅂ䡁䅑䅡杁䕁䅅杚祂䝁䅫睙桂䅁䅁兲䅉䅁䄴䅁兂䝁䅅杢桂䝁䄰兙䅁䭁䌸䅁坁䅁䅁䅔ㅂ䡁䅧党瑂䝁䅉睢ㅂ䡁䅉睚䅁䱁䍁䅁獁䅁䅁睕潂䝁䅅䅢灂䝁䄴兙杁䕁䅣杣療䡁䅕䅣杁䕁䅷兡瑂䝁䅫䅤求䝁䅑䅁硃杁䅁杋䅁䙁䅕杢灂䡁䅑党歂䍁䅁兑祂䝁䅅杙杁䕁䅕兢灂䡁䅉兙あ䝁䅕督䅁䱁䍉䅁啁䅁䅁兓畂䝁䅑睢畂䝁䅕督灂䝁䅅䅁穃杁䅁杨䅁䙁䅅兡畂䝁䅣䅡桂䝁䅫䅉呂䡁䅑兙あ䝁䅕䅉偂䡁䅣杢求䝁䅑䅉䉂䡁䅍督求䡁䅑督杁䙁䅍兤睂䝁䅕杣㉂䝁䅫督灂䝁䄸杢杁䍁䅙䅉䉂䝁䅑兢灂䝁䄴兡穂䡁䅑杣桂䡁䅑兡療䝁䄴䅉䑂䝁䄸兢瑂䝁䅫督穂䝁䅫睢畂䅁䅁䅴䅉䉁䅯䅁䡂䝁䅷党畂䝁䅍睢祂䝁䅕䅉睂䝁䅷睙䅁䱁䍙䅁煁䅁䅁杓䑂䕁䅧䅗杁䕁䅣杣療䡁䅕䅣杁䕁䅍睢畁䍁䅷䅉䵂䡁䅑䅚畁䅁䅁䅵䅉䕁䅙䅁䩂䝁䄴䅤求䡁䅉杢桂䡁䅑兡療䝁䄴兙獂䍁䅁䅓療䝁䅷䅚灂䝁䄴睚杁䕁䅍睢瑂䡁䅁兙畂䡁䅫䅉兂䕁䅯睕䑂䅁䅁杵䅉䩁䄴䅁呂䡁䅑兙あ䝁䅕兌療䡁䅣杢求䝁䅑䅉䉂䡁䅍督求䡁䅑督杁䙁䅍兤睂䝁䅕杣㉂䝁䅫督灂䝁䄸杢杁䝁䅅杢歂䍁䅁兑歂䝁䄰兡畂䝁䅫督あ䡁䅉兙あ䝁䅫睢畂䍁䅁睑療䝁䄰兢灂䡁䅍督灂䝁䄸杢杁䝁䄸杚杁䕁䅧党楂䝁䅕兡杁䙁䅁杣療䡁䅙兡畂䝁䅍党䅁䱁䌰䅁潂䅁䅁兓畂䝁䅑兤穂䡁䅑杣灂䝁䅅䅢杁䕁䅑党㉂䝁䅕䅢療䡁䅁兢求䝁䄴䅤杁䕁䅍睢祂䡁䅁睢祂䝁䅅䅤灂䝁䄸杢杁䍁䅧杗桂䝁䄰杙灂䝁䅅克杁䕁䅷兡瑂䝁䅫䅤求䝁䅑䅁㝃杁䅁杄䅁䙁䅁睢獂䝁䅅杢歂䅁䅁睶䅉䍁䅑䅁呂䙁䅁睘兂䕁䅅杕䙂䕁䄴䅖時䕁䅍睔噂䕁䄴䅖卂䙁䅫䅁䍄杁䅁䅉䅁䙁䅍䅕時䕁䅍睔噂䕁䄴䅖卂䙁䅫睘佂䕁䅅兔䙂䅁䅁睷䅉䅁䄴䅁呂䡁䅣党歂䝁䅕杢䅁䵁䍑䅁敁䅁䅁兖畂䝁䅫䅤求䝁䅑䅉䱂䝁䅫杢湂䝁䅑睢瑂䅁䅁杸䅉䅁䅙䅁硁䑁䅁䅁䱄杁䅁䅈䅁䕁䅫杢㉂䝁䅕督あ䝁䄸杣杁䕁䄴兙瑂䝁䅕䅁乄杁䅁杉䅁䕁䅫杢㉂䝁䅕督あ䝁䄰党畂䡁䅑䅉呂䡁䅑兙牂䝁䅕䅁兄杁䅁䅅䅁䙁䅍兤瑂䝁䄰兙祂䡁䅫䅁呄杁䅁䅓䅁䙁䅁党祂䝁䅍党畂䡁䅑䅉䥂䝁䅕䅢歂䍁䅁杙㕂䍁䅁兓畂䡁䅍䅤灂䡁䅑兤あ䝁䅫睢畂䝁䅅䅢杁䕁䄸睤畂䝁䅕杣䅁乁䍑䅁畁䅁䅁杓灂䝁䄴睙潂䡁䅕兙畂䍁䅁䅋䍂䙁䅙兓灁䍁䅁䅔灂䝁䄰兡あ䝁䅕䅚䅁偁䌰䅁楂䅁䅁睊扂䙁䅍䅕䡂䝁䅷睢楂䝁䅅䅢時䕁䄸杣求䙁䄸䅍㍁䍁䄰杓ㅂ䝁䅷兌祁䑁䅁杍㉁䍁䄴䅥獂䡁䅍䅥摂䕁䄸睤畂䝁䅕杣穂䝁䅧兡睂䍁䅣光歁䙁䅉䅊硁䑁䅁䅁噄杁䅁䅇䅁䕁䄴党あ䝁䅧党祂䝁䅷兙畂䝁䅑督䅁乁䍫䅁䵁䅁䅁睕睂䝁䅅兡畂䅁䅁眲䅉䉁䅁䅁坂䝁䅫党あ䝁䄴兙瑂䅁䅁儳䅉䅁䅯䅁兂䝁䅕杣ㅂ䅁䅁眳䅉䅁䅷䅁䩂䝁䄴䅚灂䝁䅅䅁橄杁䅁䅄䅁䕁䅯兙睂䝁䅅杢䅁佁䍑䅁奂䅁䅁睑潂䝁䅫杢桂䍁䅁杔療䝁䄴杚求䡁䅉杣療䡁䅕督杁䕁䄰兡畂䝁䅫杢湂䍁䅁䅒求䡁䅙党獂䝁䄸䅣瑂䝁䅕杢あ䍁䅁䅔灂䝁䄰兡あ䝁䅕䅚䅁偁䍣䅁䥁䅁䅁村坂䕁䅫䅁浄杁䅁杅䅁䕁䅉兤獂䝁䅣兙祂䝁䅫兙䅁佁䍣䅁啁䅁䅁睕灂䝁䄴睚桂䡁䅁睢祂䝁䅕䅁煄杁䅁䅅䅁䕁䅅兤穂䡁䅑杣灂䝁䅅䅁牄杁䅁䅋䅁䕁䄴睢㉂䝁䅅䅉卂䝁䅕督療䡁䅕杣橂䝁䅕督杁䕁䅉杌坂䍁䄴䅁畄杁䅁杒䅁䕁䅯兡桂䝁䄴睚㑂䝁䅫䅉䑂䝁䄸䅣睂䝁䅕杣杁䕁䅍睢祂䡁䅁睢祂䝁䅅䅤灂䝁䄸杢杁䕁䅷兡瑂䝁䅫䅤求䝁䅑䅁癄杁䅁杌䅁䕁䅙兙楂䡁䅕䅢療䡁䅍兙杁䕁䄰兡畂䝁䅕督杁䕁䅷兡瑂䝁䅫䅤求䝁䅑䅁穄杁䅁䅏䅁䕁䅅兢求䡁䅉兡橂䝁䅅督杁䕁䄰兡畂䝁䅫杢湂䍁䅁睑療䡁䅉䅣療䡁䅉兙あ䝁䅫睢畂䅁䅁儹䅉䍁䅯䅁啂䡁䅉兙畂䡁䅍兡あ䝁䅫睢畂䍁䅁兔求䡁䅑兙獂䡁䅍䅉䉂䕁䅣䅁㉄杁䅁䅍䅁䙁䅣兙穂䝁䅧兡畂䝁䅣䅤療䝁䄴䅉䑂䝁䄸杣睂䝁䄸杣桂䡁䅑兡療䝁䄴督䅁偁䍧䅁卂䅁䅁兗ㅂ䝁䄴杢桂䝁䄴䅉䑂䝁䄸䅣睂䝁䅕杣杁䕁䅫杢歂䡁䅕督あ䡁䅉入杁䍁䅧睒祂䝁䄸兤睂䍁䅫䅉䑂䝁䄸杌獁䍁䅁䅔あ䝁䅑杌䅁偁䍫䅁獁䅁䅁兗ㅂ䝁䄴杢桂䝁䄴䅉䑂䝁䄸䅣睂䝁䅕杣杁䕁䅍睢畁䍁䅷䅔あ䝁䅑䅁㙄杁䅁杒䅁䕁䅍䅡灂䝁䄴兙杁䕁䄴兙あ䝁䅫睢畂䝁䅅䅢杁䕁䅣睢獂䝁䅑䅉䡂䡁䅉睢ㅂ䡁䅁䅉䑂䝁䄸杌獁䍁䅁䅔あ䝁䅑䅁⽄杁䅁杌䅁䕁䅙兤あ䡁䅕杣求䍁䅁免杁䙁䅍䅣療䝁䅷睡桂䍁䅁杗杁䕁䄸杌偂䍁䄴䅁䙁睁䅁䅐䅁䕁䅅䅢ㅂ䝁䄰兡畂䡁䅕兢杁䕁䅍睢祂䡁䅁睢祂䝁䅅䅤灂䝁䄸杢杁䝁䄸杚杁䕁䅍䅡灂䝁䄴兙䅁䅁䑙䅁流䅁䅁兓瑂䡁䅁兙獂䝁䅅䅉兂䝁䅷兙あ䝁䅫杢ㅂ䝁䄰䅉䍂䙁䅙䅁䩁睁䅁杒䅁䙁䅯兡煂䝁䅫杢杁䕁䄰兡畂䝁䅫杢湂䍁䅁睒祂䝁䄸兤睂䍁䅁睑療䝁䄰䅣桂䝁䄴入杁䕁䅷兡瑂䝁䅫䅤求䝁䅑䅁乁睁䅁杄䅁䙁䅍党祂䝁䅉兡桂䅁䅁杄䅍䉁䅉䅁啂䝁䅅杢㙂䝁䅅杢灂䝁䅅䅁偁睁䅁杒䅁䕁䅉䅡睂䍁䅁䅔療䝁䄴督歂䝁䅅䅢求䍁䅁兓畂䡁䅙党穂䡁䅑兢求䝁䄴䅤穂䍁䅁䅕あ䡁䅫杌杁䕁䅷䅤歂䍁䄴䅁允睁䅁杔䅁䙁䅁兙湂䝁䄸䅚桂䍁䅁䅖祂䝁䅕党杁䕁䅫杢㉂䝁䅕督あ䝁䄰党畂䡁䅑䅉䑂䝁䄸兢睂䝁䅅杢㕂䍁䅁䅔灂䝁䄰兡あ䝁䅕䅚䅁䉁䑅䅁㑁䅁䅁䅖潂䝁䅕䅉呂䝁䅧兙畂䝁䅑兤牂䝁䅅䅉䡂䡁䅉睢ㅂ䡁䅁䅉兂䡁䅑入杁䕁䅷䅤歂䍁䄴䅁十睁䅁䅉䅁䕁䅑党瑂䍁䄴䅉卂䝁䅕䅣畁䍁䅁睑療䝁䄴睚療䅁䅁睅䅍䉁䅯䅁呂䝁䅅兤歂䝁䅫䅉䉂䡁䅉兙楂䝁䅫兙䅁䉁䑑䅁畁䅁䅁䅕ㅂ䝁䅉䅢灂䝁䅍䅉䩂䝁䄴杤求䡁䅍䅤瑂䝁䅕杢あ䍁䅁杒ㅂ䝁䄴䅚䅁䉁䑕䅁流䅁䅁睕潂䝁䅅杢歂䡁䅕睡桂䍁䅁杕求䡁䅍睢ㅂ䡁䅉睙求䡁䅍䅁坁睁䅁权䅁䕁䅷兙療䡁䅍䅁奁睁䅁䅈䅁䙁䅁睕䡂䍁䅁睒祂䝁䄸兤睂䍁䅁䅔あ䝁䅑䅁婁睁䅁䅏䅁䕁䅣杣ㅂ䡁䅁睢杁䕁䅍兙祂䡁䅍睢獁䍁䅁睕畁䕁䅅杌䍂䍁䄴䅉歂䝁䅕䅉䑂䍁䄴杖畁䅁䅁睇䅍䑁䩧䅁䵁䅉䅅䅁䑁䅁䅁睁䵁䅁䅁兂䅁䅁权整歆兑䅯䅫䅉䅁䅅䅁䉁䅁䅁权偃杁䅁䍄䉁䅁䅁䅂䅁䅁䅍䅁䅁䅁䅯䅁䅁䅁䅯允䅁䅁䅯杁䅁䅁䅅䅁䉁䅁䅁权䑁䅁䅁䍄䉁䅁䅁兂䅁䅁䅍䅁䅁䅁䅯䅁䅁䅁䅯兌䅉䅁䅯兂䅁䅁䅯睂䅁䅁䅅䅁䉁䅁䅁权䥁䅁䅁䍄䉁䅁䅁䅂䅁䅁䅍䅁䅁䅁䅯䅁䅁䅁䅯睌䅅䅁䅯杁䅁䅁䅅䅁䉁䅁䅁权ㅄ䅁䅁䍄䉁䅁䅁兂䅁䅁䅍䅁䅁䅁䅯䅁䅁䅁䅯睙䅅䅁䅯兂䅁䅁䅯杂䅁䅁䅅䅁䉁䅁䅁睁獂䭄䅣䍄䉁䅁䅁兂䅁䅁䅍䅁䅁䅁䅯䅁䅁䅁䅯䅂䅁䅁䅯兂䅁䅁䅯杂䅁䅁䅅䅁䉁䅁䅁睁畄歗䅉䍄䉁䅁䅁兂䅁䅁䅍䅁䅁䅁䅯䅁䅁䅁䅯杴䅅䅁䅯兂䅁䅁䅯杂䅁䅁䅅䅁䉁䅁䅁睁獂灸䄴䍄䉁䅁䅁兂䅁䅁䅍䅁䅁䅁䅯䅁䅁䅁䅯䅂䅁䅁䅯兂䅁䅁䅯睂䅁䅁䅅䅁䉁䅁䅁权䥁䅁䅁䍄䉁䅁䅁睁䅁䅁䅍䅄䅁䅁䅕䅁䅁䍷坹䕕䭅䵁䍍䅁䉁䅁䅁允䅁䅁䅯杸䅉䅁杷允䅁䅁䅑䅁䑁䅁䅁䅁䭁䅁䅁䅁䭁䅁䅑䅁䭁䅁䅉䅁䉁䅁䅁允䅁䅁䅯元䅁䅁杷允䅁䅁䅕䅁䑁䅁䅁䅁䭁䅁䅁䅁䭁䉁䉯䅁䭁䅁䅕䅁䭁䅁䅣䅁䉁䅁䅁允䅁䅁䅯䅃䅁䅁杷允䅁䅁䅕䅁䑁䅁䅁䅁䭁䅁䅁䅁䭁䭁䅷䅁䭁䅁䅕䅁䭁䅁䅙䅁䉁䅁䅁允䅁䅁䅍㉵䍤䅁杷允䅁䅁䅑䅁䑁䅁䅁䅁䭁䅁䅁䅁䭁䉁䄰䅁䭁䅁䅉䅁䉁䅁䅁允䅁䅁䅯杈䅁䅁杷允䅁䅁䅑䅁䑁䅁䅁䅁䭁䅁䅁䅁䭁䉁䍙䅁䭁䅁䅉䅁䉁䅁䅁允䅁䅁䅯䅡䅁䅁杷允䅁䅁䅕䅁䑁䅁䅁䅁䭁䅁䅁䅁䭁䩁䅅䅁䭁䅁䅕䅁䭁䅁䅙䅁䉁䅁䅁允䅁䅁䅍杷渶䅁杷允䅁䅁䅕䅁䑁䅁䅁䅁䭁䅁䅁䅁䭁佁䅍䅁䭁䅁䅕䅁䭁䅁䅙䅁䉁䅁䅁允䅁䅁䅍䝳䌱䅁杷允䅁䅁䅍䅁䑁䅁䅷䅁䙁䅁䅁䕁桂ㅬ䉂权䙄杁䅁允䅁䅁䅅䅁䭁䥁䌸䅁䵁䅉䅅䅁䑁䅁䅁睁䵁䅁䅁兂䅁䅁䅄䨲典兑䅯䅫䅉䅁䅅䅁䉁䅁䅁权偃杁䅁䍄䉁䅁䅁䅂䅁䅁䅍䅁䅁䅁䅯䅁䅁䅁䅯权䅁䅁䅯杁䅁䅁䅅䅁䉁䅁䅁权䱁䅁䅁䍄䉁䅁䅁䅂䅁䅁䅍䅁䅁䅁䅯䅁䅁䅁䅯睏䅁䅁䅯杁䅁䅁䅅䅁䉁䅁䅁权㡁䅁䅁䍄䉁䅁䅁睁䅁䅁䅍䅄䅁䅁䅕䅁䅁乯奲す䭅䵁䍍䅁䉁䅁䅁允䅁䅁䅯公䅉䅁杷允䅁䅁䅍䅁䑁䅁䅷䅁䙁䅁䅁䵁婁坏䉒权元杁䅁允䅁䅁䅅䅁䭁䭁䍅䅁䵁䅉䅅䅁䕁䅁䅁睁䅁䅁䅁权䅁䅁䅁权啂䅁䅁权䍁䅁䅁允䅁䅁䅅䅁䭁䙁䅕䅁䵁䅉䅅䅁䕁䅁䅁睁䅁䅁䅁权䅁䅁䅁权㉂䅁䅁权䍁䅁䅁允䅁䅁䅅䅁䭁䡁䅣䅁䵁䅉䅅䅁䙁䅁䅁睁䅁䅁䅁权䅁䅁䅁权晁杁䅁权䙁䅁䅁权䝁䅁䅁允䅁䅁䅅䅁䑁䝁橴村䵁䅉䅅䅁䑁䅁䅁睁䵁䅁䅁兂䅁䅁䅁㕎兤兑䅯䅫䅉䅁䅅䅁䉁䅁䅁权偃杁䅁䍄䉁䅁䅁䅂䅁䅁䅍䅁䅁䅁䅯䅁䅁䅁䅯杏䅅䅁䅯杁䅁䅁䅅䅁䉁䅁䅁权㝁允䅁䍄䉁䅁䅁兂䅁䅁䅍䅁䅁䅁䅯䅁䅁䅁䅯杗䅉䅁䅯兂䅁䅁䅯睂䅁䅁䅅䅁䉁䅁䅁权䥁䅁䅁䍄䉁䅁䅁睁䅁䅁䅍䅄䅁䅁䅕䅁䅁佷娶䕕䭅䵁䍕䅁䉁䅁䅁允䅁䅁䅯睪䅉䅁杷允䅁䅁䅑䅁䑁䅁䅁䅁䭁䅁䅁䅁䭁䝁䅕䅁䭁䅁䅉䅁䉁䅁䅁允䅁䅁䅯杚䅁䅁杷允䅁䅁䅑䅁䑁䅁䅁䅁䭁䅁䅁䅁䭁䅁䅷䅁䭁䅁䅉䅁䉁䅁䅁允䅁䅁䅯睃䅁䅁杷允䅁䅁䅕䅁䑁䅁䅁䅁䭁䅁䅁䅁䭁䵁䅳䅁䭁䅁䅕䅁䭁䅁䅣䅁䉁䅁䅁允䅁䅁䅯䅃䅁䅁杷允䅁䅁䅕䅁䑁䅁䅁䅁䭁䅁䅁䅁䭁䵁䅙䅁䭁䅁䅕䅁䭁䅁䅣䅁䉁䅁䅁允䅁䅁䅯䅃䅁䅁杷允䅁䅁䅍䅁䑁䅁䅷䅁䙁䅁䅁䍁牁䜲䉒权䍄杁䅁允䅁䅁䅅䅁䭁䥁䌸䅁䵁䅉䅅䅁䕁䅁䅁睁䅁䅁䅁权䅁䅁䅁权偁䅁䅁权䍁䅁䅁允䅁䅁䅅䅁䭁䉁䅁䅁䵁䅉䅅䅁䙁䅁䅁睁䅁䅁䅁权䅁䅁䅁权汁杁䅁权䙁䅁䅁权䡁䅁䅁允䅁䅁䅅䅁䭁䅁䅧䅁䵁䅉䅅䅁䕁䅁䅁睁䅁䅁䅁权䅁䅁䅁权剁允䅁权䍁䅁䅁允䅁䅁䅅䅁䭁䉁䅧䅁䵁䅉䅅䅁䕁䅁䅁睁䅁䅁䅁权䅁䅁䅁权穂杁䅁权䍁䅁䅁允䅁䅁䅅䅁䭁䡁䍑䅁䵁䅉䅅䅁䕁䅁䅁睁䅁䅁䅁权䅁䅁䅁权乁䅁䅁权䍁䅁䅁允䅁䅁䅅䅁䭁䅁䄴䅁䵁䅉䅅䅁䙁䅁䅁睁䅁䅁䅁权䅁䅁䅁权䥁杁䅁权䙁䅁䅁权䡁䅁䅁允䅁䅁䅅䅁䭁䅁䅧䅁䵁䅉䅅䅁䕁䅁䅁睁䅁䅁䅁权䅁䅁䅁权偂䅁䅁权䍁䅁䅁允䅁䅁䅅䅁䭁䙁䅁䅁䵁䅉䅅䅁䕁䅁䅁睁䅁䅁䅁权䅁䅁䅁权䙂䅁䅁权䍁䅁䅁允䅁䅁䅅䅁䭁䅁䅫䅁䵁䅉䅅䅁䑁䅁䅁睁䵁䅁䅁兂䅁䅁䅄灚典兑䅯典䅉䅁䅅䅁䉁䅁䅁权ㅄ杁䅁䍄䉁䅁䅁兂䅁䅁䅍䅁䅁䅁䅯䅁䅁䅁䅯杯䅁䅁䅯兂䅁䅁䅯杂䅁䅁䅅䅁䉁䅁䅁睁㙄䕚䅉䍄䉁䅁䅁䅂䅁䅁䅍䅁䅁䅁䅯䅁䅁䅁䅯充䅁䅁䅯杁䅁䅁䅅䅁䉁䅁䅁权十䅁䅁䍄䉁䅁䅁䅂䅁䅁䅍䅁䅁䅁䅯䅁䅁䅁䅯杯䅅䅁䅯杁䅁䅁䅅䅁䉁䅁䅁权橃允䅁䍄䉁䅁䅁兂䅁䅁䅍䅁䅁䅁䅯䅁䅁䅁䅯睲䅅䅁䅯兂䅁䅁䅯杂䅁䅁䅅䅁䉁䅁䅁睁睁啙䅉䍄䉁䅁䅁睁䅁䅁䅍䅄䅁䅁䅕䅁䅁䙑住啕䭅䵁䍍䅁䉁䅁䅁允䅁䅁䅯睳䅉䅁杷允䅁䅁䅑䅁䑁䅁䅁䅁䭁䅁䅁䅁䭁䍁䅳䅁䭁䅁䅉䅁䉁䅁䅁允䅁䅁䅯䅌䅁䅁杷允䅁䅁䅕䅁䑁䅁䅁䅁䭁䅁䅁䅁䭁䩁䅷䅁䭁䅁䅕䅁䭁䅁䅙䅁䉁䅁䅁允䅁䅁䅍坖䍴䅁杷允䅁䅁䅍䅁䑁䅁䅷䅁䙁䅁䅁䥁祃嘷䉂权䙄杁䅁允䅁䅁䅅䅁䭁䥁䌸䅁䵁䅉䅅䅁䙁䅁䅁睁䅁䅁䅁权䅁䅁䅁权偂允䅁权䙁䅁䅁权䡁䅁䅁允䅁䅁䅅䅁䭁䅁䅧䅁䵁䅉䅅䅁䕁䅁䅁睁䅁䅁䅁权䅁䅁䅁权呁䅁䅁权䍁䅁䅁允䅁䅁䅅䅁䭁䉁䅑䅁䵁䅉䅅䅁䑁䅁䅁睁䵁䅁䅁兂䅁䅁䅃灚儱兑䅯杷䅉䅁䅅䅁䉁䅁䅁权噃杁䅁䍄䉁䅁䅁䅂䅁䅁䅍䅁䅁䅁䅯䅁䅁䅁䅯兆䅁䅁䅯杁䅁䅁䅅䅁䉁䅁䅁权坁䅁䅁䍄䉁䅁䅁䅂䅁䅁䅍䅁䅁䅁䅯䅁䅁䅁䅯杒䅁䅁䅯杁䅁䅁䅅䅁䉁䅁䅁权䡂䅁䅁䍄䉁䅁䅁䅂䅁䅁䅍䅁䅁䅁䅯䅁䅁䅁䅯睬䅅䅁䅯杁䅁䅁䅅䅁䉁䅁䅁权奃允䅁䍄䉁䅁䅁睁䅁䅁䅍䅄䅁䅁䅕䅁䅁䉑扭䕕䭅䩁䍁䅁䉁䅁䅁允䅁䅁䅯睲䅉䅁杷允䅁䅁䅑䅁䑁䅁䅁䅁䭁䅁䅁䅁䭁䉁䅣䅁䭁䅁䅉䅁䉁䅁䅁允䅁䅁䅯䅇䅁䅁杷允䅁䅁䅑䅁䑁䅁䅁䅁䭁䅁䅁䅁䭁䉁䅫䅁䭁䅁䅉䅁䉁䅁䅁允䅁䅁䅯杇䅁䅁杷允䅁䅁䅑䅁䑁䅁䅁䅁䭁䅁䅁䅁䭁䵁䉁䅁䭁䅁䅉䅁䉁䅁䅁允䅁䅁䅯具䅅䅁杷允䅁䅁䅍䅁䑁䅁䅷䅁䙁䅁䅁䅁汃ぁ䈹权元杁䅁允䅁䅁䅅䅁䭁䥁䌸䅁䵁䅉䅅䅁䕁䅁䅁睁䅁䅁䅁权䅁䅁䅁权扁䅁䅁权䍁䅁䅁允䅁䅁䅅䅁䭁䉁䅷䅁䵁䅉䅅䅁䕁䅁䅁睁䅁䅁䅁权䅁䅁䅁权䕁杁䅁权䍁䅁䅁允䅁䅁䅅䅁䭁䅁䍕䅁䵁䅉䅅䅁䙁䅁䅁睁䅁䅁䅁权䅁䅁䅁权䑃允䅁权䙁䅁䅁权䝁䅁䅁允䅁䅁䅅䅁䑁䕁欵村䵁䅉䅅䅁䑁䅁䅁睁䵁䅁䅁兂䅁䅁䅃灚儱兑䅯杪䅉䅁䅅䅁䉁䅁䅁权千杁䅁䍄䉁䅁䅁䅂䅁䅁䅍䅁䅁䅁䅯䅁䅁䅁䅯䅥䅁䅁䅯杁䅁䅁䅅䅁䉁䅁䅁权㕂䅁䅁䍄䉁䅁䅁䅂䅁䅁䅍䅁䅁䅁䅯䅁䅁䅁䅯眯䅁䅁䅯杁䅁䅁䅅䅁䉁䅁䅁权䅁允䅁䍄䉁䅁䅁兂䅁䅁䅍䅁䅁䅁䅯䅁䅁䅁䅯眱䅁䅁䅯兂䅁䅁䅯杂䅁䅁䅅䅁䉁䅁䅁睁䭁䕘䅉䍄䉁䅁䅁䅂䅁䅁䅍䅁䅁䅁䅯䅁䅁䅁䅯眵䅅䅁䅯杁䅁䅁䅅䅁䉁䅁䅁权潄允䅁䍄䉁䅁䅁䅂䅁䅁䅍䅁䅁䅁䅯䅁䅁䅁䅯睈䅁䅁䅯杁䅁䅁䅅䅁䉁䅁䅁权杁䅁䅁䍄䉁䅁䅁䅂䅁䅁䅍䅁䅁䅁䅯䅁䅁䅁䅯光䅁䅁䅯杁䅁䅁䅅䅁䉁䅁䅁权楁䅁䅁䍄䉁䅁䅁睁䅁䅁䅍䅄䅁䅁䅕䅁䅁䑷婗䕕䭅䥁䌴䅁䉁䅁䅁允䅁䅁䅯睪䅉䅁杷允䅁䅁䅍䅁䑁䅁䅷䅁䙁䅁䅁䅁潃噥䉆权元杁䅁允䅁䅁䅅䅁䭁䥁䌸䅁䵁䅉䅅䅁䑁䅁䅁睁䵁䅁䅁兂䅁䅁权⭲歆兑䅯睷䅉䅁䅅䅁䉁䅁䅁权噃杁䅁䍄䉁䅁䅁䅂䅁䅁䅍䅁䅁䅁䅯䅁䅁䅁䅯朶䅁䅁䅯杁䅁䅁䅅䅁䉁䅁䅁权⽃䅁䅁䍄䉁䅁䅁䅂䅁䅁䅍䅁䅁䅁䅯䅁䅁䅁䅯权䅉䅁䅯杁䅁䅁䅅䅁䉁䅁䅁权塂䅁䅁䍄䉁䅁䅁兂䅁䅁䅍䅁䅁䅁䅯䅁䅁䅁䅯䄯䅁䅁䅯兂䅁䅁䅯杂䅁䅁䅅䅁䉁䅁䅁睁㙁此䅉䍄䉁䅁䅁睁䅁䅁䅍䅄䅁䅁䅕䅁䅁佧塃䕕䭅䥁䌴䅁䉁䅁䅁允䅁䅁䅯睪䅉䅁杷允䅁䅁䅑䅁䑁䅁䅁䅁䭁䅁䅁䅁䭁偁䉍䅁䭁䅁䅉䅁䉁䅁䅁允䅁䅁䅯䄹䅅䅁杷允䅁䅁䅕䅁䑁䅁䅁䅁䭁䅁䅁䅁䭁䵁䅳䅁䭁䅁䅕䅁䭁䅁䅙䅁䉁䅁䅁允䅁䅁䅍獄浇䅁杷允䅁䅁䅑䅁䑁䅁䅁䅁䭁䅁䅁䅁䭁䝁䄸䅁䭁䅁䅉䅁䉁䅁䅁允䅁䅁䅯䅇䅁䅁杷允䅁䅁䅑䅁䑁䅁䅁䅁䭁䅁䅁䅁䭁䡁䉁䅁䭁䅁䅉䅁䉁䅁䅁允䅁䅁䅯兣䅅䅁杷允䅁䅁䅑䅁䑁䅁䅁䅁䭁䅁䅁䅁䭁䝁䉯䅁䭁䅁䅉䅁䉁䅁䅁允䅁䅁䅯睡䅅䅁杷允䅁䅁䅑䅁䑁䅁䅁䅁䭁䅁䅁䅁䭁䡁䅉䅁䭁䅁䅉䅁䉁䅁䅁允䅁䅁䅯督䅁䅁杷允䅁䅁䅍䅁䑁䅁䅷䅁䙁䅁䅁䵁慁䙒䉂权䙄杁䅁允䅁䅁䅅䅁䭁䥁䌸䅁䵁䅉䅅䅁䕁䅁䅁睁䅁䅁䅁权䅁䅁䅁权㙄䅁䅁权䍁䅁䅁允䅁䅁䅅䅁䭁偁䅳䅁䵁䅉䅅䅁䕁䅁䅁睁䅁䅁䅁权䅁䅁䅁权橁䅁䅁权䍁䅁䅁允䅁䅁䅅䅁䭁䍁䅑䅁䵁䅉䅅䅁䙁䅁䅁睁䅁䅁䅁权䅁䅁䅁权䥂䅁䅁权䙁䅁䅁权䡁䅁䅁允䅁䅁䅅䅁䭁䅁䅧䅁䵁䅉䅅䅁䕁䅁䅁睁䅁䅁䅁权䅁䅁䅁权汁䅁䅁权䍁䅁䅁允䅁䅁䅅䅁䭁䍁䅙䅁䵁䅉䅅䅁䕁䅁䅁睁䅁䅁䅁权䅁䅁䅁权䱂䅁䅁权䍁䅁䅁允䅁䅁䅅䅁䭁䕁䅷䅁䵁䅉䅅䅁䑁䅁䅁睁䵁䅁䅁兂䅁䅁䅃䩨儱兑䅯䅫䅉䅁䅅䅁䉁䅁䅁权塃杁䅁䍄䉁䅁䅁睁䅁䅁䅍䅄䅁䅁䅕䅁䅁䡑婶䕚䭅䩁䍁䅁䉁䅁䅁允䅁䅁䅯睪䅉䅁杷允䅁䅁䅑䅁䑁䅁䅁䅁䭁䅁䅁䅁䭁䍁䅣䅁䭁䅁䅉䅁䉁䅁䅁允䅁䅁䅯䅋䅁䅁杷允䅁䅁䅕䅁䑁䅁䅁䅁䭁䅁䅁䅁䭁䑁䉁䅁䭁䅁䅕䅁䭁䅁䅙䅁䉁䅁䅁允䅁䅁䅍佇䕂䅁杷允䅁䅁䅍䅁䑁䅁䅷䅁䙁䅁䅁䥁噁䙭䉂权䑄杁䅁允䅁䅁䅅䅁䭁䅁䑷䅁䵁䅉䅅䅁䑁䅁䅁睁䵁䅁䅁兂䅁䅁䅃婚兰兑䅯睷䅉䅁䅅䅁䉁䅁䅁权汃杁䅁䍄䉁䅁䅁䅂䅁䅁䅍䅁䅁䅁䅯䅁䅁䅁䅯克䅁䅁䅯杁䅁䅁䅅䅁䉁䅁䅁权煁䅁䅁䍄䉁䅁䅁兂䅁䅁䅍䅁䅁䅁䅯䅁䅁䅁䅯权䅅䅁䅯兂䅁䅁䅯睂䅁䅁䅅䅁䉁䅁䅁权䥁䅁䅁䍄䉁䅁䅁兂䅁䅁䅍䅁䅁䅁䅯䅁䅁䅁䅯眲䅅䅁䅯兂䅁䅁䅯睂䅁䅁䅅䅁䉁䅁䅁权䥁䅁䅁䍄䉁䅁䅁䅂䅁䅁䅍䅁䅁䅁䅯䅁䅁䅁䅯兔䅁䅁䅯杁䅁䅁䅅䅁䉁䅁䅁权佂䅁䅁䍄䉁䅁䅁䅂䅁䅁䅍䅁䅁䅁䅯䅁䅁䅁䅯兌䅁䅁䅯杁䅁䅁䅅䅁䉁䅁䅁权畁䅁䅁䍄䉁䅁䅁兂䅁䅁䅍䅁䅁䅁䅯䅁䅁䅁䅯䅗䅅䅁䅯兂䅁䅁䅯睂䅁䅁䅅䅁䉁䅁䅁权䥁䅁䅁䍄䉁䅁䅁䅂䅁䅁䅍䅁䅁䅁䅯䅁䅁䅁䅯睌䅁䅁䅯杁䅁䅁䅅䅁䉁䅁䅁权睁䅁䅁䍄䉁䅁䅁䅂䅁䅁䅍䅁䅁䅁䅯䅁䅁䅁䅯睑䅉䅁䅯杁䅁䅁䅅䅁䉁䅁䅁权䕂杁䅁䍄䉁䅁䅁䅂䅁䅁䅍䅁䅁䅁䅯䅁䅁䅁䅯䅗䅉䅁䅯杁䅁䅁䅅䅁䉁䅁䅁权婂杁䅁䍄䉁䅁䅁兂䅁䅁䅍䅁䅁䅁䅯䅁䅁䅁䅯睋䅉䅁䅯兂䅁䅁䅯杂䅁䅁䅅䅁䉁䅁䅁睁煂啡䅉䍄䉁䅁䅁睁䅁䅁䅍䅄䅁䅁䅕䅁䅁䑷塥䕕䭅䥁䌴䅁䉁䅁䅁允䅁䅁䅯䅭䅉䅁杷允䅁䅁䅍䅁䑁䅁䅷䅁䙁䅁䅁䕁浃䙮䉂权䍄杁䅁允䅁䅁䅅䅁䭁䥁䌸䅁䵁䅉䅅䅁䕁䅁䅁睁䅁䅁䅁权䅁䅁䅁权䩄䅁䅁权䍁䅁䅁允䅁䅁䅅䅁䭁䵁䅯䅁䵁䅉䅅䅁䑁䅁䅁睁䵁䅁䅁兂䅁䅁䅁䩏公兑䅯睷䅉䅁䅅䅁䉁䅁䅁权瑃杁䅁䍄䉁䅁䅁睁䅁䅁䅍䅄䅁䅁䅕䅁䅁乑慗䕕䭅䵁䍉䅁䉁䅁䅁允䅁䅁䅯睪䅉䅁杷允䅁䅁䅍䅁䑁䅁䅷䅁䙁䅁䅁䵁穁䙩䉤权佃杁䅁允䅁䅁䅅䅁䭁䥁䌸䅁䵁䅉䅅䅁䑁䅁䅁睁䵁䅁䅁兂䅁䅁䅂㤲歨兑䅯典䅉䅁䅅䅁䉁䅁䅁权偃杁䅁䍄䉁䅁䅁䅂䅁䅁䅍䅁䅁䅁䅯䅁䅁䅁䅯免䅁䅁䅯杁䅁䅁䅅䅁䉁䅁䅁权祁䅁䅁䍄䉁䅁䅁䅂䅁䅁䅍䅁䅁䅁䅯䅁䅁䅁䅯兊䅅䅁䅯杁䅁䅁䅅䅁䉁䅁䅁权流允䅁䍄䉁䅁䅁䅂䅁䅁䅍䅁䅁䅁䅯䅁䅁䅁䅯眷䅅䅁䅯杁䅁䅁䅅䅁䉁䅁䅁权睄允䅁䍄䉁䅁䅁睁䅁䅁䅍䅄䅁䅁䅕䅁䅁䡁挶啕䭅䩁䍁䅁䉁䅁䅁允䅁䅁䅯睪䅉䅁杷允䅁䅁䅑䅁䑁䅁䅁䅁䭁䅁䅁䅁䭁䉁䍁䅁䭁䅁䅉䅁䉁䅁䅁允䅁䅁䅯充䅉䅁杷允䅁䅁䅑䅁䑁䅁䅁䅁䭁䅁䅁䅁䭁䑁䅍䅁䭁䅁䅉䅁䉁䅁䅁允䅁䅁䅯䅎䅁䅁杷允䅁䅁䅑䅁䑁䅁䅁䅁䭁䅁䅁䅁䭁䑁䅕䅁䭁䅁䅉䅁䉁䅁䅁允䅁䅁䅯李䅁䅁杷允䅁䅁䅕䅁䑁䅁䅁䅁䭁䅁䅁䅁䭁䥁䉳䅁䭁䅁䅕䅁䭁䅁䅙䅁䉁䅁䅁允䅁䅁䅍䝩䍖䅁杷允䅁䅁䅕䅁䑁䅁䅁䅁䭁䅁䅁䅁䭁䅁䉑䅁䭁䅁䅕䅁䭁䅁䅙䅁䉁䅁䅁允䅁䅁䅍湭䍖䅁杷允䅁䅁䅑䅁䑁䅁䅁䅁䭁䅁䅁䅁䭁䑁䄸䅁䭁䅁䅉䅁䉁䅁䅁允䅁䅁䅯䅑䅁䅁杷允䅁䅁䅕䅁䑁䅁䅁䅁䭁䅁䅁䅁䭁佁䄴䅁䭁䅁䅕䅁䭁䅁䅙䅁䉁䅁䅁允䅁䅁䅍摪䍒䅁杷允䅁䅁䅍䅁䑁䅁䅷䅁䙁䅁䅁䕁元噮䉂权䍄杁䅁允䅁䅁䅅䅁䭁乁䍫䅁䵁䅉䅅䅁䕁䅁䅁睁䅁䅁䅁权䅁䅁䅁权捂䅁䅁权䍁䅁䅁允䅁䅁䅅䅁䭁䙁䄰䅁䵁䅉䅅䅁䕁䅁䅁睁䅁䅁䅁权䅁䅁䅁权卂杁䅁权䍁䅁䅁允䅁䅁䅅䅁䭁䙁䍍䅁䵁䅉䅅䅁䙁䅁䅁睁䅁䅁䅁权䅁䅁䅁权㉁杁䅁权䙁䅁䅁权䝁䅁䅁允䅁䅁䅅䅁䑁䝁坦兑䵁䅉䅅䅁䕁䅁䅁睁䅁䅁䅁权䅁䅁䅁权㍁䅁䅁权䍁䅁䅁允䅁䅁䅅䅁䭁䑁䅧䅁䵁䅉䅅䅁䑁䅁䅁睁䵁䅁䅁兂䅁䅁䅃牺偎兑䅯典䅉䅁䅅䅁䉁䅁䅁权偃杁䅁䍄䉁䅁䅁兂䅁䅁䅍䅁䅁䅁䅯䅁䅁䅁䅯元䅅䅁䅯兂䅁䅁䅯杂䅁䅁䅅䅁䉁䅁䅁睁牁啘䅉䍄䉁䅁䅁兂䅁䅁䅍䅁䅁䅁䅯䅁䅁䅁䅯睧䅉䅁䅯兂䅁䅁䅯杂䅁䅁䅅䅁䉁䅁䅁睁⽃啚䅉䍄䉁䅁䅁睁䅁䅁䅍䅄䅁䅁䅕䅁䅁䕧扱䕕䭅䵁䍍䅁䉁䅁䅁允䅁䅁䅯䄲䅉䅁杷允䅁䅁䅑䅁䑁䅁䅁䅁䭁䅁䅁䅁䭁䑁䅫䅁䭁䅁䅉䅁䉁䅁䅁允䅁䅁䅯杏䅁䅁杷允䅁䅁䅕䅁䑁䅁䅁䅁䭁䅁䅁䅁䭁䑁䍙䅁䭁䅁䅕䅁䭁䅁䅣䅁䉁䅁䅁允䅁䅁䅯䅃䅁䅁杷允䅁䅁䅑䅁䑁䅁䅁䅁䭁䅁䅁䅁䭁䉁䍉䅁䭁䅁䅉䅁䉁䅁䅁允䅁䅁䅯睅䅉䅁杷允䅁䅁䅍䅁䑁䅁䅷䅁䙁䅁䅁䵁乄㄰䉆权䑄杁䅁允䅁䅁䅅䅁䭁䩁䍕䅁䵁䅉䅅䅁䕁䅁䅁睁䅁䅁䅁权䅁䅁䅁权奂䅁䅁权䍁䅁䅁允䅁䅁䅅䅁䭁䙁䅫䅁䵁䅉䅅䅁䕁䅁䅁睁䅁䅁䅁权䅁䅁䅁权䉁杁䅁权䍁䅁䅁允䅁䅁䅅䅁䭁䅁䍉䅁䵁䅉䅅䅁䑁䅁䅁睁䵁䅁䅁兂䅁䅁䅂䱊兖兑䅯典䅉䅁䅅䅁䉁䅁䅁权偃杁䅁䍄䉁䅁䅁䅂䅁䅁䅍䅁䅁䅁䅯䅁䅁䅁䅯䅣䅁䅁䅯杁䅁䅁䅅䅁䉁䅁䅁权硂䅁䅁䍄䉁䅁䅁䅂䅁䅁䅍䅁䅁䅁䅯䅁䅁䅁䅯杋䅉䅁䅯杁䅁䅁䅅䅁䉁䅁䅁权療允䅁䍄䉁䅁䅁䅂䅁䅁䅍䅁䅁䅁䅯䅁䅁䅁䅯䅎䅅䅁䅯杁䅁䅁䅅䅁䉁䅁䅁权ㅁ允䅁䍄䉁䅁䅁睁䅁䅁䅍䅄䅁䅁䅕䅁䅁䍯奔䕚䭅䵁䍍䅁䉁䅁䅁允䅁䅁䅯公䅉䅁杷允䅁䅁䅕䅁䑁䅁䅁䅁䭁䅁䅁䅁䭁䑁䍧䅁䭁䅁䅕䅁䭁䅁䅙䅁䉁䅁䅁允䅁䅁䅍捗浇䅁杷允䅁䅁䅕䅁䑁䅁䅁䅁䭁䅁䅁䅁䭁䩁䉫䅁䭁䅁䅕䅁䭁䅁䅙䅁䉁䅁䅁允䅁䅁䅍䘶䍸䅁杷允䅁䅁䅍䅁䑁䅁䅷䅁䙁䅁䅁䵁乂噎䉊权䍄杁䅁允䅁䅁䅅䅁䭁䥁䌸䅁䵁䅉䅅䅁䕁䅁䅁睁䅁䅁䅁权䅁䅁䅁权婄䅁䅁权䍁䅁䅁允䅁䅁䅅䅁䭁䱁䄰䅁䵁䅉䅅䅁䙁䅁䅁睁䅁䅁䅁权䅁䅁䅁权兄允䅁权䙁䅁䅁权䝁䅁䅁允䅁䅁䅅䅁䑁䝁灰村䵁䅉䅅䅁䑁䅁䅁睁䵁䅁䅁兂䅁䅁䅄㉰剸兑䅯杪䅉䅁䅅䅁䉁䅁䅁权偃杁䅁䍄䉁䅁䅁䅂䅁䅁䅍䅁䅁䅁䅯䅁䅁䅁䅯児䅁䅁䅯杁䅁䅁䅅䅁䉁䅁䅁权⭁䅁䅁䍄䉁䅁䅁䅂䅁䅁䅍䅁䅁䅁䅯䅁䅁䅁䅯杗䅁䅁䅯杁䅁䅁䅅䅁䉁䅁䅁权扂䅁䅁䍄䉁䅁䅁兂䅁䅁䅍䅁䅁䅁䅯䅁䅁䅁䅯材䅅䅁䅯兂䅁䅁䅯睂䅁䅁䅅䅁䉁䅁䅁权䥁䅁䅁䍄䉁䅁䅁䅂䅁䅁䅍䅁䅁䅁䅯䅁䅁䅁䅯杉䅅䅁䅯杁䅁䅁䅅䅁䉁䅁䅁权橁允䅁䍄䉁䅁䅁睁䅁䅁䅍䅄䅁䅁䅕䅁䅁䑷摏䕕䭅䵁䍍䅁䉁䅁䅁允䅁䅁䅯公䅉䅁杷允䅁䅁䅕䅁䑁䅁䅁䅁䭁䅁䅁䅁䭁䝁䍧䅁䭁䅁䅕䅁䭁䅁䅙䅁䉁䅁䅁允䅁䅁䅍湋䍒䅁杷允䅁䅁䅑䅁䑁䅁䅁䅁䭁䅁䅁䅁䭁䵁䉷䅁䭁䅁䅉䅁䉁䅁䅁允䅁䅁䅯䅌䅁䅁杷允䅁䅁䅍䅁䑁䅁䅷䅁䙁䅁䅁䕁晄汬䉂权佃杁䅁允䅁䅁䅅䅁䭁䥁䌸䅁䵁䅉䅅䅁䕁䅁䅁睁䅁䅁䅁权䅁䅁䅁权䉂䅁䅁权䍁䅁䅁允䅁䅁䅅䅁䭁䕁䅉䅁䵁䅉䅅䅁䙁䅁䅁睁䅁䅁䅁权䅁䅁䅁权摂允䅁权䙁䅁䅁权䡁䅁䅁允䅁䅁䅅䅁䭁䅁䅧䅁䵁䅉䅅䅁䕁䅁䅁睁䅁䅁䅁权䅁䅁䅁权⭂杁䅁权䍁䅁䅁允䅁䅁䅅䅁䭁䡁䌸䅁䵁䅉䅅䅁䕁䅁䅁睁䅁䅁䅁权䅁䅁䅁权䑂䅁䅁权䍁䅁䅁允䅁䅁䅅䅁䭁䕁䅑䅁䵁䅉䅅䅁䑁䅁䅁睁䵁䅁䅁兂䅁䅁䅄慏兎兑䅯睷䅉䅁䅅䅁䉁䅁䅁权桃杁䅁䍄䉁䅁䅁䅂䅁䅁䅍䅁䅁䅁䅯䅁䅁䅁䅯兡䅉䅁䅯杁䅁䅁䅅䅁䉁䅁䅁权十䅁䅁䍄䉁䅁䅁睁䅁䅁䅍䅄䅁䅁䅕䅁䅁䉧捋䕕䭅䥁䌴䅁䉁䅁䅁允䅁䅁䅯杯䅉䅁杷允䅁䅁䅑䅁䑁䅁䅁䅁䭁䅁䅁䅁䭁䙁䅅䅁䭁䅁䅉䅁䉁䅁䅁允䅁䅁䅯杕䅁䅁杷允䅁䅁䅑䅁䑁䅁䅁䅁䭁䅁䅁䅁䭁䱁䅣䅁䭁䅁䅉䅁䉁䅁䅁允䅁䅁䅯䅵䅁䅁杷允䅁䅁䅍䅁䑁䅁䅷䅁䙁䅁䅁䵁⽂圲䉒权元杁䅁允䅁䅁䅅䅁䭁䥁䌸䅁䵁䅉䅅䅁䕁䅁䅁睁䅁䅁䅁权䅁䅁䅁权䥂䅁䅁权䍁䅁䅁允䅁䅁䅅䅁䭁䕁䅫䅁䵁䅉䅅䅁䙁䅁䅁睁䅁䅁䅁权䅁䅁䅁权䥃允䅁权䙁䅁䅁权䝁䅁䅁允䅁䅁䅅䅁䑁䅁桤村䵁䅉䅅䅁䙁䅁䅁睁䅁䅁䅁权䅁䅁䅁权䱃允䅁权䙁䅁䅁权䡁䅁䅁允䅁䅁䅅䅁䑁䱁慖村䵁䅉䅅䅁䕁䅁䅁睁䅁䅁䅁权䅁䅁䅁权䭂䅁䅁权䍁䅁䅁允䅁䅁䅅䅁䭁䕁䅫䅁䵁䅉䅅䅁䙁䅁䅁睁䅁䅁䅁权䅁䅁䅁权婁杁䅁权䙁䅁䅁权䝁䅁䅁允䅁䅁䅅䅁䑁偁㝮睐䵁䅉䅅䅁䙁䅁䅁睁䅁䅁䅁权䅁䅁䅁权灁杁䅁权䙁䅁䅁权䝁䅁䅁允䅁䅁䅅䅁䑁䅁婳児䵁䅉䅅䅁䑁䅁䅁睁䵁䅁䅁兂䅁䅁䅃䩨儱兑䅯典䅉䅁䅅䅁䉁䅁䅁权㝃杁䅁䍄䉁䅁䅁䅂䅁䅁䅍䅁䅁䅁䅯䅁䅁䅁䅯来䅁䅁䅯杁䅁䅁䅅䅁䉁䅁䅁权㝂䅁䅁䍄䉁䅁䅁䅂䅁䅁䅍䅁䅁䅁䅯䅁䅁䅁䅯朲䅁䅁䅯杁䅁䅁䅅䅁䉁䅁䅁权奁䅁䅁䍄䉁䅁䅁兂䅁䅁䅍䅁䅁䅁䅯䅁䅁䅁䅯杒䅅䅁䅯兂䅁䅁䅯睂䅁䅁䅅䅁䉁䅁䅁睁䱁呇䄰䍄䉁䅁䅁䅂䅁䅁䅍䅁䅁䅁䅯䅁䅁䅁䅯睔䅅䅁䅯杁䅁䅁䅅䅁䉁䅁䅁权湄䅁䅁䍄䉁䅁䅁睁䅁䅁䅍䅄䅁䅁䅕䅁䅁䵁漶ご䭅䥁䌴䅁䉁䅁䅁允䅁䅁䅯睪䅉䅁杷允䅁䅁䅑䅁䑁䅁䅁䅁䭁䅁䅁䅁䭁䡁䉳䅁䭁䅁䅉䅁䉁䅁䅁允䅁䅁䅯䅦䅅䅁杷允䅁䅁䅍䅁䑁䅁䅷䅁䙁䅁䅁䥁剂ㅯ䉂权佃杁䅁允䅁䅁䅅䅁䭁䥁䌸䅁䵁䅉䅅䅁䕁䅁䅁睁䅁䅁䅁权䅁䅁䅁权汄允䅁权䍁䅁䅁允䅁䅁䅅䅁䭁佁䉙䅁䵁䅉䅅䅁䕁䅁䅁睁䅁䅁䅁权䅁䅁䅁权呂䅁䅁权䍁䅁䅁允䅁䅁䅅䅁䭁䍁䅷䅁䵁䅉䅅䅁䙁䅁䅁睁䅁䅁䅁权䅁䅁䅁权呃允䅁权䙁䅁䅁权䡁䅁䅁允䅁䅁䅅䅁䭁䅁䅧䅁䵁䅉䅅䅁䕁䅁䅁睁䅁䅁䅁权䅁䅁䅁权灃䅁䅁权䍁䅁䅁允䅁䅁䅅䅁䭁䭁䅯䅁䵁䅉䅅䅁䕁䅁䅁睁䅁䅁䅁权䅁䅁䅁权坂䅁䅁权䍁䅁䅁允䅁䅁䅅䅁䭁䙁䅣䅁䵁䅉䅅䅁䙁䅁䅁睁䅁䅁䅁权䅁䅁䅁权㍂杁䅁权䙁䅁䅁权䝁䅁䅁允䅁䅁䅅䅁䑁䱁瑂村䵁䅉䅅䅁䑁䅁䅁睁䵁䅁䅁兂䅁䅁䅁祦剖兑䅯䅫䅉䅁䅅䅁䉁䅁䅁权偃杁䅁䍄䉁䅁䅁兂䅁䅁䅍䅁䅁䅁䅯䅁䅁䅁䅯䅦䅁䅁䅯兂䅁䅁䅯杂䅁䅁䅅䅁䉁䅁䅁睁㙁此䅉䍄䉁䅁䅁睁䅁䅁䅍䅄䅁䅁䅯䅃䅁䅁䅯睷䅉䅁䅅䅁䉁䅁䅁权噃杁䅁䍄䉁䅁䅁䅂䅁䅁䅍䅁䅁䅁䅯䅁䅁䅁䅯䅡䅅䅁䅯杁䅁䅁䅅䅁䉁䅁䅁权灂允䅁䍄䉁䅁䅁䅂䅁䅁䅍䅁䅁䅁䅯䅁䅁䅁䅯杘䅁䅁䅯杁䅁䅁䅅䅁䉁䅁䅁权時䅁䅁䍄䉁䅁䅁䅂䅁䅁䅍䅁䅁䅁䅯䅁䅁䅁䅯䅙䅁䅁䅯杁䅁䅁䅅䅁䉁䅁䅁权桂䅁䅁䍄䉁䅁䅁䅂䅁䅁䅍䅁䅁䅁䅯䅁䅁䅁䅯元䅅䅁䅯杁䅁䅁䅅䅁䉁䅁䅁权祃䅁䅁䍄䉁䅁䅁䅂䅁䅁䅍䅁䅁䅁䅯䅁䅁䅁䅯杙䅁䅁䅯杁䅁䅁䅅䅁䉁䅁䅁权啁䅁䅁䍄䉁䅁䅁睁䅁䅁䅍䅄䅁䅁䅕䅁䅁偷堲䕕䭅䵁䍉䅁䉁䅁䅁允䅁䅁䅯睪䅉䅁杷允䅁䅁䅍䅁䑁䅁䅷䅁䙁䅁䅁䵁慄䙭䉂权䙄杁䅁允䅁䅁䅅䅁䭁䥁䌸䅁䵁䅉䅅䅁䕁䅁䅁睁䅁䅁䅁权䅁䅁䅁权橂䅁䅁权䍁䅁䅁允䅁䅁䅅䅁䭁䝁䅑䅁䵁䅉䅅䅁䑁䅁䅁睁䵁䅁䅁兂䅁䅁䅂癤兊兑䅯睷䅉䅁䅅䅁䉁䅁䅁权敄杁䅁䍄䉁䅁䅁兂䅁䅁䅍䅁䅁䅁䅯䅁䅁䅁䅯睫䅁䅁䅯兂䅁䅁䅯杂䅁䅁䅅䅁䉁䅁䅁睁扃啣䅉䍄䉁䅁䅁䅂䅁䅁䅍䅁䅁䅁䅯䅁䅁䅁䅯䄰䅅䅁䅯杁䅁䅁䅅䅁䉁䅁䅁权流䅁䅁䍄䉁䅁䅁䅂䅁䅁䅍䅁䅁䅁䅯䅁䅁䅁䅯睚䅁䅁䅯杁䅁䅁䅅䅁䉁䅁䅁权潂䅁䅁䍄䉁䅁䅁䅂䅁䅁䅍䅁䅁䅁䅯䅁䅁䅁䅯䅭䅁䅁䅯杁䅁䅁䅅䅁䉁䅁䅁权婃䅁䅁䍄䉁䅁䅁䅂䅁䅁䅍䅁䅁䅁䅯䅁䅁䅁䅯兡䅁䅁䅯杁䅁䅁䅅䅁䉁䅁䅁权煂䅁䅁䍄䉁䅁䅁兂䅁䅁䅍䅁䅁䅁䅯䅁䅁䅁䅯䅧䅉䅁䅯兂䅁䅁䅯杂䅁䅁䅅䅁䉁䅁䅁睁睃啢䅉䍄䉁䅁䅁睁䅁䅁䅍䅄䅁䅁䅕䅁䅁䍷戲䕕䭅䩁䍁䅁䉁䅁䅁允䅁䅁䅯睪䅉䅁杷允䅁䅁䅑䅁䑁䅁䅁䅁䭁䅁䅁䅁䭁䝁䅳䅁䭁䅁䅉䅁䉁䅁䅁允䅁䅁䅯䅢䅁䅁杷允䅁䅁䅍䅁䑁䅁䅷䅁䙁䅁䅁䥁䝄啭䈹权䍄杁䅁允䅁䅁䅅䅁䭁䥁䌸䅁䵁䅉䅅䅁䕁䅁䅁睁䅁䅁䅁权䅁䅁䅁权瑂䅁䅁权䍁䅁䅁允䅁䅁䅅䅁䭁䝁䄴䅁䵁䅉䅅䅁䑁䅁䅁睁䵁䅁䅁兂䅁䅁䅂伲歆兑䅯杷䅉䅁䅅䅁䉁䅁䅁权偃杁䅁䍄䉁䅁䅁䅂䅁䅁䅍䅁䅁䅁䅯䅁䅁䅁䅯䅤䅁䅁䅯杁䅁䅁䅅䅁䉁䅁䅁权ㅂ䅁䅁䍄䉁䅁䅁睁䅁䅁䅍䅄䅁䅁䅕䅁䅁倴奈䕚䭅䥁䌴䅁䉁䅁䅁允䅁䅁䅯睪䅉䅁杷允䅁䅁䅑䅁䑁䅁䅁䅁䭁䅁䅁䅁䭁乁䉅䅁䭁䅁䅉䅁䉁䅁䅁允䅁䅁䅯朰䅅䅁杷允䅁䅁䅕䅁䑁䅁䅁䅁䭁䅁䅁䅁䭁䑁䍫䅁䭁䅁䅕䅁䭁䅁䅙䅁䉁䅁䅁允䅁䅁䅍氷䍰䅁杷允䅁䅁䅑䅁䑁䅁䅁䅁䭁䅁䅁䅁䭁䡁䅷䅁䭁䅁䅉䅁䉁䅁䅁允䅁䅁䅯兦䅁䅁杷允䅁䅁䅕䅁䑁䅁䅁䅁䭁䅁䅁䅁䭁䅁䉣䅁䭁䅁䅕䅁䭁䅁䅙䅁䉁䅁䅁允䅁䅁䅍䙆䌱䅁杷允䅁䅁䅍䅁䑁䅁䅷䅁䙁䅁䅁䵁坃汯䉂权佃杁䅁允䅁䅁䅅䅁䭁䥁䌸䅁䵁䅉䅅䅁䕁䅁䅁睁䅁䅁䅁权䅁䅁䅁权⭂䅁䅁权䍁䅁䅁允䅁䅁䅅䅁䭁䡁䄸䅁䵁䅉䅅䅁䙁䅁䅁睁䅁䅁䅁权䅁䅁䅁权穂允䅁权䙁䅁䅁权䡁䅁䅁允䅁䅁䅅䅁䭁䅁䅧䅁䵁䅉䅅䅁䙁䅁䅁睁䅁䅁䅁权䅁䅁䅁权穃䅁䅁权䙁䅁䅁权䡁䅁䅁允䅁䅁䅅䅁䑁䉁摒村䵁䅉䅅䅁䑁䅁䅁睁䵁䅁䅁兂䅁䅁䅃䡁晴兑䅯杪䅉䅁䅅䅁䉁䅁䅁权偃杁䅁䍄䉁䅁䅁睁䅁䅁䅍䅄䅁䅁䅕䅁䅁䉙奮䕚䭅䥁䌴䅁䉁䅁䅁允䅁䅁䅯睪䅉䅁杷允䅁䅁䅑䅁䑁䅁䅁䅁䭁䅁䅁䅁䭁䥁䅁䅁䭁䅁䅉䅁䉁䅁䅁允䅁䅁䅯內䅁䅁杷允䅁䅁䅑䅁䑁䅁䅁䅁䭁䅁䅁䅁䭁䥁䅉䅁䭁䅁䅉䅁䉁䅁䅁允䅁䅁䅯睧䅁䅁杷允䅁䅁䅕䅁䑁䅁䅁䅁䭁䅁䅁䅁䭁佁䅙䅁䭁䅁䅕䅁䭁䅁䅣䅁䉁䅁䅁允䅁䅁䅯䅃䅁䅁杷允䅁䅁䅑䅁䑁䅁䅁䅁䭁䅁䅁䅁䭁䵁䅅䅁䭁䅁䅉䅁䉁䅁䅁允䅁䅁䅯杷䅁䅁杷允䅁䅁䅕䅁䑁䅁䅁䅁䭁䅁䅁䅁䭁䕁䉳䅁䭁䅁䅕䅁䭁䅁䅙䅁䉁䅁䅁允䅁䅁䅍ㄹ䌹䅁杷允䅁䅁䅑䅁䑁䅁䅁䅁䭁䅁䅁䅁䭁䥁䅑䅁䭁䅁䅉䅁䉁䅁䅁允䅁䅁䅯元䅁䅁杷允䅁䅁䅑䅁䑁䅁䅁䅁䭁䅁䅁䅁䭁䥁䍯䅁䭁䅁䅉䅁䉁䅁䅁允䅁䅁䅯儵䅁䅁杷允䅁䅁䅑䅁䑁䅁䅁䅁䭁䅁䅁䅁䭁䭁䉅䅁䭁䅁䅉䅁䉁䅁䅁允䅁䅁䅯䅁䅅䅁杷允䅁䅁䅑䅁䑁䅁䅁䅁䭁䅁䅁䅁䭁䅁䍍䅁䭁䅁䅉䅁䉁䅁䅁允䅁䅁䅯睢䅅䅁杷允䅁䅁䅕䅁䑁䅁䅁䅁䭁䅁䅁䅁䭁䅁䉕䅁䭁䅁䅕䅁䭁䅁䅙䅁䉁䅁䅁允䅁䅁䅍硃㥫䅁杷允䅁䅁䅑䅁䑁䅁䅁䅁䭁䅁䅁䅁䭁䥁䅕䅁䭁䅁䅉䅁䉁䅁䅁允䅁䅁䅯杨䅁䅁杷允䅁䅁䅕䅁䑁䅁䅁䅁䭁䅁䅁䅁䭁䭁䉙䅁䭁䅁䅕䅁䭁䅁䅙䅁䉁䅁䅁允䅁䅁䅍㍭䍆䅁杷允䅁䅁䅍䅁䑁䅁䅷䅁䙁䅁䅁䕁䅃圲䉒权䍄杁䅁允䅁䅁䅅䅁䭁䥁䌸䅁䵁䅉䅅䅁䕁䅁䅁睁䅁䅁䅁权䅁䅁䅁权䡃䅁䅁权䍁䅁䅁允䅁䅁䅅䅁䭁䥁䅧䅁䵁䅉䅅䅁䙁䅁䅁睁䅁䅁䅁权䅁䅁䅁权桁杁䅁权䙁䅁䅁权䡁䅁䅁允䅁䅁䅅䅁䑁乁此村䵁䅉䅅䅁䙁䅁䅁睁䅁䅁䅁权䅁䅁䅁权䕄允䅁权䙁䅁䅁权䡁䅁䅁允䅁䅁䅅䅁䭁䅁䅧䅁䵁䅉䅅䅁䕁䅁䅁睁䅁䅁䅁权䅁䅁䅁权佁允䅁权䍁䅁䅁允䅁䅁䅅䅁䭁䉁䅧䅁䵁䅉䅅䅁䙁䅁䅁睁䅁䅁䅁权䅁䅁䅁权䭁杁䅁权䙁䅁䅁权䝁䅁䅁允䅁䅁䅅䅁䑁䵁䡙党䵁䅉䅅䅁䕁䅁䅁睁䅁䅁䅁权䅁䅁䅁权䩃䅁䅁权䍁䅁䅁允䅁䅁䅅䅁䭁䥁䅯䅁䵁䅉䅅䅁䑁䅁䅁睁䵁䅁䅁兂䅁䅁䅄㡅兎兑䅯典䅉䅁䅅䅁䉁䅁䅁权㉃杁䅁䍄䉁䅁䅁䅂䅁䅁䅍䅁䅁䅁䅯䅁䅁䅁䅯䅏䅅䅁䅯杁䅁䅁䅅䅁䉁䅁䅁权㕁允䅁䍄䉁䅁䅁睁䅁䅁䅍䅄䅁䅁䅕䅁䅁佷捳䕕䭅䥁䌴䅁䉁䅁䅁允䅁䅁䅯睪䅉䅁杷允䅁䅁䅍䅁䑁䅁䅷䅁䙁䅁䅁䕁㕄汭䉂权佃杁䅁允䅁䅁䅅䅁䭁䥁䌸䅁䵁䅉䅅䅁䕁䅁䅁睁䅁䅁䅁权䅁䅁䅁权䱃䅁䅁权䍁䅁䅁允䅁䅁䅅䅁䭁䥁䅷䅁䵁䅉䅅䅁䙁䅁䅁睁䅁䅁䅁权䅁䅁䅁权塄䅁䅁权䙁䅁䅁权䡁䅁䅁允䅁䅁䅅䅁䭁䅁䅧䅁䵁䅉䅅䅁䕁䅁䅁睁䅁䅁䅁权䅁䅁䅁权乃䅁䅁权䍁䅁䅁允䅁䅁䅅䅁䭁䕁䅑䅁䵁䅉䅅䅁䑁䅁䅁睁䵁䅁䅁兂䅁䅁䅄婏兤兑䅯杪䅉䅁䅅䅁䉁䅁䅁权奃杁䅁䍄䉁䅁䅁兂䅁䅁䅍䅁䅁䅁䅯䅁䅁䅁䅯睆䅁䅁䅯兂䅁䅁䅯杂䅁䅁䅅䅁䉁䅁䅁睁䍃啘䅉䍄䉁䅁䅁兂䅁䅁䅍䅁䅁䅁䅯䅁䅁䅁䅯兡䅁䅁䅯兂䅁䅁䅯杂䅁䅁䅅䅁䉁䅁䅁睁歄歩䅧䍄䉁䅁䅁䅂䅁䅁䅍䅁䅁䅁䅯䅁䅁䅁䅯睄䅉䅁䅯杁䅁䅁䅅䅁䉁䅁䅁权奄䅁䅁䍄䉁䅁䅁䅂䅁䅁䅍䅁䅁䅁䅯䅁䅁䅁䅯睧䅉䅁䅯杁䅁䅁䅅䅁䉁䅁䅁权⽃䅁䅁䍄䉁䅁䅁兂䅁䅁䅍䅁䅁䅁䅯䅁䅁䅁䅯党䅅䅁䅯兂䅁䅁䅯睂䅁䅁䅅䅁䉁䅁䅁权䥁䅁䅁䍄䉁䅁䅁䅂䅁䅁䅍䅁䅁䅁䅯䅁䅁䅁䅯杪䅁䅁䅯杁䅁䅁䅅䅁䉁䅁䅁权䱁䅁䅁䍄䉁䅁䅁睁䅁䅁䅍䅄䅁䅁䅕䅁䅁䝁婋䕕䭅䥁䌴䅁䉁䅁䅁允䅁䅁䅯睪䅉䅁杷允䅁䅁䅍䅁䑁䅁䅷䅁䙁䅁䅁䥁楃䙋䉆权䑄杁䅁允䅁䅁䅅䅁䭁䅁䑯䅁䵁䅉䅅䅁䑁䅁䅁睁䵁䅁䅁兂䅁䅁䅃桳桰兑䅯䅫䅉䅁䅅䅁䉁䅁䅁权偃杁䅁䍄䉁䅁䅁䅂䅁䅁䅍䅁䅁䅁䅯䅁䅁䅁䅯睪䅁䅁䅯杁䅁䅁䅅䅁䉁䅁䅁权䱁䅁䅁䍄䉁䅁䅁䅂䅁䅁䅍䅁䅁䅁䅯䅁䅁䅁䅯䅫䅁䅁䅯杁䅁䅁䅅䅁䉁䅁䅁权潂䅁䅁䍄䉁䅁䅁䅂䅁䅁䅍䅁䅁䅁䅯䅁䅁䅁䅯儷䅅䅁䅯杁䅁䅁䅅䅁䉁䅁䅁权畄允䅁䍄䉁䅁䅁睁䅁䅁䅍䅄䅁䅁䅕䅁䅁䩁婭䕕䭅䥁䌴䅁䉁䅁䅁允䅁䅁䅯䅷䅉䅁杷允䅁䅁䅑䅁䑁䅁䅁䅁䭁䅁䅁䅁䭁偁䅑䅁䭁䅁䅉䅁䉁䅁䅁允䅁䅁䅯儹䅁䅁杷允䅁䅁䅍䅁䑁䅁䅷䅁䙁䅁䅁䵁い噭䉂权佃杁䅁允䅁䅁䅅䅁䭁䉁䑑䅁䵁䅉䅅䅁䑁䅁䅁睁䵁䅁䅁兂䅁䅁䅄㥹橊兑䅯䅫䅉䅁䅅䅁䉁䅁䅁权偃杁䅁䍄䉁䅁䅁䅂䅁䅁䅍䅁䅁䅁䅯䅁䅁䅁䅯八䅁䅁䅯杁䅁䅁䅅䅁䉁䅁䅁权千䅁䅁䍄䉁䅁䅁䅂䅁䅁䅍䅁䅁䅁䅯䅁䅁䅁䅯杶䅁䅁䅯杁䅁䅁䅅䅁䉁䅁䅁权⽃䅁䅁䍄䉁䅁䅁睁䅁䅁䅍䅄䅁䅁䅕䅁䅁䙧夫䕕䭅䵁䍕䅁䉁䅁䅁允䅁䅁䅯睪䅉䅁杷允䅁䅁䅍䅁䑁䅁䅷䅁䙁䅁䅁䕁⽃䘵䉂权䑄杁䅁允䅁䅁䅅䅁䭁䅁䐴䅁䵁䅉䅅䅁䕁䅁䅁睁䅁䅁䅁权䅁䅁䅁权呃䅁䅁权䍁䅁䅁允䅁䅁䅅䅁䭁䩁䅑䅁䵁䅉䅅䅁䙁䅁䅁睁䅁䅁䅁权䅁䅁䅁权楄允䅁权䙁䅁䅁权䡁䅁䅁允䅁䅁䅅䅁䑁䝁畅材䵁䅉䅅䅁䑁䅁䅁睁䵁䅁䅁兂䅁䅁权琲橨兑䅯杷䅉䅁䅅䅁䉁䅁䅁权偃杁䅁䍄䉁䅁䅁䅂䅁䅁䅍䅁䅁䅁䅯䅁䅁䅁䅯䅖䅉䅁䅯杁䅁䅁䅅䅁䉁䅁䅁权汄䅁䅁䍄䉁䅁䅁䅂䅁䅁䅍䅁䅁䅁䅯䅁䅁䅁䅯公䅁䅁䅯杁䅁䅁䅅䅁䉁䅁䅁权扂䅁䅁䍄䉁䅁䅁兂䅁䅁䅍䅁䅁䅁䅯䅁䅁䅁䅯䅸䅅䅁䅯兂䅁䅁䅯杂䅁䅁䅅䅁䉁䅁䅁睁瑃慄䅣䍄䉁䅁䅁兂䅁䅁䅍䅁䅁䅁䅯䅁䅁䅁䅯杷䅅䅁䅯兂䅁䅁䅯杂䅁䅁䅅䅁䉁䅁䅁睁穁䭺䅙䍄䉁䅁䅁睁䅁䅁䅍䅄䅁䅁䅕䅁䅁䩁浫啕䭅䵁䍉䅁䉁䅁䅁允䅁䅁䅯東䅉䅁杷允䅁䅁䅑䅁䑁䅁䅁䅁䭁䅁䅁䅁䭁䙁䍣䅁䭁䅁䅉䅁䉁䅁䅁允䅁䅁䅯兓䅁䅁杷允䅁䅁䅕䅁䑁䅁䅁䅁䭁䅁䅁䅁䭁䑁䅕䅁䭁䅁䅕䅁䭁䅁䅙䅁䉁䅁䅁允䅁䅁䅍噡䍸䅁杷允䅁䅁䅕䅁䑁䅁䅁䅁䭁䅁䅁䅁䭁佁䅅䅁䭁䅁䅕䅁䭁䅁䅣䅁䉁䅁䅁允䅁䅁䅍䝌䍎䅁杷允䅁䅁䅕䅁䑁䅁䅁䅁䭁䅁䅁䅁䭁䉁䉧䅁䭁䅁䅕䅁䭁䅁䅣䅁䉁䅁䅁允䅁䅁䅍䙮⽅䅁杷允䅁䅁䅑䅁䑁䅁䅁䅁䭁䅁䅁䅁䭁䩁䅙䅁䭁䅁䅉䅁䉁䅁䅁允䅁䅁䅯睬䅁䅁杷允䅁䅁䅕䅁䑁䅁䅁䅁䭁䅁䅁䅁䭁䍁䅫䅁䭁䅁䅕䅁䭁䅁䅙䅁䉁䅁䅁允䅁䅁䅍ㅹ䍬䅁杷允䅁䅁䅕䅁䑁䅁䅁䅁䭁䅁䅁䅁䭁䕁䉑䅁䭁䅁䅕䅁䭁䅁䅙䅁䉁䅁䅁允䅁䅁䅍䙸䍤䅁杷允䅁䅁䅍䅁䑁䅁䅷䅁䙁䅁䅁䥁慂汭䉂权元杁䅁允䅁䅁䅅䅁䭁䥁䌸䅁䵁䅉䅅䅁䑁䅁䅁睁䵁䅁䅁兂䅁䅁䅄煤兤兑䅯典䅉䅁䅅䅁䉁䅁䅁权硃杁䅁䍄䉁䅁䅁䅂䅁䅁䅍䅁䅁䅁䅯䅁䅁䅁䅯儲䅅䅁䅯杁䅁䅁䅅䅁䉁䅁䅁权慄允䅁䍄䉁䅁䅁睁䅁䅁䅍䅄䅁䅁䅕䅁䅁䙧療ご䭅䵁䍍䅁䉁䅁䅁允䅁䅁䅯䄳䅉䅁杷允䅁䅁䅍䅁䑁䅁䅷䅁䙁䅁䅁䥁杂ㅬ䉂权䑄杁䅁允䅁䅁䅅䅁䭁䩁䍍䅁䵁䅉䅅䅁䕁䅁䅁睁䅁䅁䅁权䅁䅁䅁权慃䅁䅁权䍁䅁䅁允䅁䅁䅅䅁䭁䩁䅳䅁䵁䅉䅅䅁䕁䅁䅁睁䅁䅁䅁权䅁䅁䅁权㡃允䅁权䍁䅁䅁允䅁䅁䅅䅁䭁䱁䈰䅁䵁䅉䅅䅁䙁䅁䅁睁䅁䅁䅁权䅁䅁䅁权㝁杁䅁权䙁䅁䅁权䡁䅁䅁允䅁䅁䅅䅁䭁䅁䅧䅁䵁䅉䅅䅁䑁䅁䅁睁䵁䅁䅁兂䅁䅁䅃杺兒兑䅯睷䅉䅁䅅䅁䉁䅁䅁权噃杁䅁䍄䉁䅁䅁睁䅁䅁䅍䅄䅁䅁䅕䅁䅁䉁搫䕕䭅䥁䌴䅁䉁䅁䅁允䅁䅁䅯睪䅉䅁杷允䅁䅁䅑䅁䑁䅁䅁䅁䭁䅁䅁䅁䭁䡁䈰䅁䭁䅁䅉䅁䉁䅁䅁允䅁䅁䅯杦䅅䅁杷允䅁䅁䅍䅁䑁䅁䅷䅁䙁䅁䅁䕁䙂ㅈ䉬权䑄杁䅁允䅁䅁䅅䅁䭁䩁䍕䅁䵁䅉䅅䅁䕁䅁䅁睁䅁䅁䅁权䅁䅁䅁权捃䅁䅁权䍁䅁䅁允䅁䅁䅅䅁䭁䩁䄰䅁䵁䅉䅅䅁䑁䅁䅁睁䵁䅁䅁兂䅁䅁䅄灚典兑䅯䅫䅉䅁䅅䅁䉁䅁䅁权汃杁䅁䍄䉁䅁䅁䅂䅁䅁䅍䅁䅁䅁䅯䅁䅁䅁䅯杮䅁䅁䅯杁䅁䅁䅅䅁䉁䅁䅁权晃䅁䅁䍄䉁䅁䅁䅂䅁䅁䅍䅁䅁䅁䅯䅁䅁䅁䅯䅯䅁䅁䅯杁䅁䅁䅅䅁䉁䅁䅁权桃䅁䅁䍄䉁䅁䅁䅂䅁䅁䅍䅁䅁䅁䅯䅁䅁䅁䅯眲䅁䅁䅯杁䅁䅁䅅䅁䉁䅁䅁权捄䅁䅁䍄䉁䅁䅁睁䅁䅁䅍䅄䅁䅁䅕䅁䅁䡁永啕䭅䥁䌴䅁䉁䅁䅁允䅁䅁䅯睪䅉䅁杷允䅁䅁䅕䅁䑁䅁䅁䅁䭁䅁䅁䅁䭁䥁䍕䅁䭁䅁䅕䅁䭁䅁䅙䅁䉁䅁䅁允䅁䅁䅍㍂䍚䅁杷允䅁䅁䅑䅁䑁䅁䅁䅁䭁䅁䅁䅁䭁䡁䍣䅁䭁䅁䅉䅁䉁䅁䅁允䅁䅁䅯䅡䅁䅁杷允䅁䅁䅑䅁䑁䅁䅁䅁䭁䅁䅁䅁䭁䭁䅉䅁䭁䅁䅉䅁䉁䅁䅁允䅁䅁䅯睯䅁䅁杷允䅁䅁䅑䅁䑁䅁䅁䅁䭁䅁䅁䅁䭁䭁䅑䅁䭁䅁䅉䅁䉁䅁䅁允䅁䅁䅯䅉䅁䅁杷允䅁䅁䅕䅁䑁䅁䅁䅁䭁䅁䅁䅁䭁䑁䍣䅁䭁䅁䅕䅁䭁䅁䅙䅁䉁䅁䅁允䅁䅁䅍䝳䌱䅁杷允䅁䅁䅑䅁䑁䅁䅁䅁䭁䅁䅁䅁䭁䍁䍅䅁䭁䅁䅉䅁䉁䅁䅁允䅁䅁䅯杉䅉䅁杷允䅁䅁䅍䅁䑁䅁䅷䅁䙁䅁䅁䅁婃汊䉆权元杁䅁允䅁䅁䅅䅁䭁䭁䍯䅁䵁䅉䅅䅁䕁䅁䅁睁䅁䅁䅁权䅁䅁䅁权䩄允䅁权䍁䅁䅁允䅁䅁䅅䅁䭁乁䅧䅁䵁䅉䅅䅁䑁䅁䅁睁䵁䅁䅁兂䅁䅁䅃临歨兑䅯睷䅉䅁䅅䅁䉁䅁䅁权噃杁䅁䍄䉁䅁䅁䅂䅁䅁䅍䅁䅁䅁䅯䅁䅁䅁䅯兰䅁䅁䅯杁䅁䅁䅅䅁䉁䅁䅁权浃䅁䅁䍄䉁䅁䅁睁䅁䅁䅍䅄䅁䅁䅕䅁䅁䡷圶䕕䭅䵁䍍䅁䉁䅁䅁允䅁䅁䅯兲䅉䅁杷允䅁䅁䅑䅁䑁䅁䅁䅁䭁䅁䅁䅁䭁䭁䅣䅁䭁䅁䅉䅁䉁䅁䅁允䅁䅁䅯䅱䅁䅁杷允䅁䅁䅍䅁䑁䅁䅷䅁䙁䅁䅁䅁兄圴䉒权䙄杁䅁允䅁䅁䅅䅁䭁䥁䌸䅁䵁䅉䅅䅁䙁䅁䅁睁䅁䅁䅁权䅁䅁䅁权㡂䅁䅁权䙁䅁䅁权䡁䅁䅁允䅁䅁䅅䅁䑁偁匲睑䵁䅉䅅䅁䑁䅁䅁睁䵁䅁䅁兂䅁䅁杁汘浒兑䅯杪䅉䅁䅅䅁䉁䅁䅁权偃杁䅁䍄䉁䅁䅁䅂䅁䅁䅍䅁䅁䅁䅯䅁䅁䅁䅯睱䅁䅁䅯杁䅁䅁䅅䅁䉁䅁䅁权杁䅁䅁䍄䉁䅁䅁睁䅁䅁䅍䅄䅁䅁䅕䅁䅁䡷摏䕕䭅䩁䍁䅁䉁䅁䅁允䅁䅁䅯睪䅉䅁杷允䅁䅁䅍䅁䑁䅁䅷䅁䙁䅁䅁䅁兄圴䉒权元杁䅁允䅁䅁䅅䅁䭁䥁䌸䅁䵁䅉䅅䅁䕁䅁䅁睁䅁䅁䅁权䅁䅁䅁权獃䅁䅁权䍁䅁䅁允䅁䅁䅅䅁䭁䭁䄰䅁䵁䅉䅅䅁䑁䅁䅁睁䵁䅁䅁兂䅁䅁䅂瑧歬兑䅯杷䅉䅁䅅䅁䉁䅁䅁权偃杁䅁䍄䉁䅁䅁䅂䅁䅁䅍䅁䅁䅁䅯䅁䅁䅁䅯䅄䅉䅁䅯杁䅁䅁䅅䅁䉁䅁䅁权乁杁䅁䍄䉁䅁䅁兂䅁䅁䅍䅁䅁䅁䅯䅁䅁䅁䅯兣䅉䅁䅯兂䅁䅁䅯睂䅁䅁䅅䅁䉁䅁䅁睁䭃歯䅑䍄䉁䅁䅁睁䅁䅁䅍䅄䅁䅁䅕䅁䅁佑噱䕕䭅䵁䍕䅁䉁䅁䅁允䅁䅁䅯睪䅉䅁杷允䅁䅁䅑䅁䑁䅁䅁䅁䭁䅁䅁䅁䭁䭁䄴䅁䭁䅁䅉䅁䉁䅁䅁允䅁䅁䅯睲䅁䅁杷允䅁䅁䅍䅁䑁䅁䅷䅁䙁䅁䅁䅁獂ㅭ䉂权䙄杁䅁允䅁䅁䅅䅁䭁䥁䌸䅁䵁䅉䅅䅁䑁䅁䅁睁䵁䅁䅁兂䅁䅁䅄㥦歬兑䅯典䅉䅁䅅䅁䉁䅁䅁权偃杁䅁䍄䉁䅁䅁兂䅁䅁䅍䅁䅁䅁䅯䅁䅁䅁䅯杰䅅䅁䅯兂䅁䅁䅯睂䅁䅁䅅䅁䉁䅁䅁睁敃歊䅍䍄䉁䅁䅁䅂䅁䅁䅍䅁䅁䅁䅯䅁䅁䅁䅯䅳䅁䅁䅯杁䅁䅁䅅䅁䉁䅁䅁权噂䅁䅁䍄䉁䅁䅁䅂䅁䅁䅍䅁䅁䅁䅯䅁䅁䅁䅯关䅁䅁䅯杁䅁䅁䅅䅁䉁䅁䅁权祃䅁䅁䍄䉁䅁䅁睁䅁䅁䅍䅄䅁䅁䅕䅁䅁䕷ㄴ䕕䭅䵁䍉䅁䉁䅁䅁允䅁䅁䅯朳䅉䅁杷允䅁䅁䅍䅁䑁䅁䅷䅁䙁䅁䅁䥁慂汭䉂权䑄杁䅁允䅁䅁䅅䅁䭁䭁䍕䅁䵁䅉䅅䅁䕁䅁䅁睁䅁䅁䅁权䅁䅁䅁权䍃杁䅁权䍁䅁䅁允䅁䅁䅅䅁䭁䱁䄸䅁䵁䅉䅅䅁䙁䅁䅁睁䅁䅁䅁权䅁䅁䅁权乄允䅁权䙁䅁䅁权䡁䅁䅁允䅁䅁䅅䅁䑁䍁潘睐䵁䅉䅅䅁䕁䅁䅁睁䅁䅁䅁权䅁䅁䅁权䭂允䅁权䍁䅁䅁允䅁䅁䅅䅁䭁䭁䅙䅁䵁䅉䅅䅁䕁䅁䅁睁䅁䅁䅁权䅁䅁䅁权奂允䅁权䍁䅁䅁允䅁䅁䅅䅁䭁䉁䅉䅁䵁䅉䅅䅁䑁䅁䅁睁䵁䅁䅁兂䅁䅁䅃临歨兑䅯杪䅉䅁䅅䅁䉁䅁䅁权偃杁䅁䍄䉁䅁䅁䅂䅁䅁䅍䅁䅁䅁䅯䅁䅁䅁䅯睳䅁䅁䅯杁䅁䅁䅅䅁䉁䅁䅁权ぃ䅁䅁䍄䉁䅁䅁睁䅁䅁䅍䅄䅁䅁䅕䅁䅁䩙桺䕚䭅䩁䍁䅁䉁䅁䅁允䅁䅁䅯睪䅉䅁杷允䅁䅁䅕䅁䑁䅁䅁䅁䭁䅁䅁䅁䭁䉁䄸䅁䭁䅁䅕䅁䭁䅁䅙䅁䉁䅁䅁允䅁䅁䅍伸⭑䅁杷允䅁䅁䅑䅁䑁䅁䅁䅁䭁䅁䅁䅁䭁䱁䅕䅁䭁䅁䅉䅁䉁䅁䅁允䅁䅁䅯杴䅁䅁杷允䅁䅁䅑䅁䑁䅁䅁䅁䭁䅁䅁䅁䭁䱁䅫䅁䭁䅁䅉䅁䉁䅁䅁允䅁䅁䅯䅡䅁䅁杷允䅁䅁䅕䅁䑁䅁䅁䅁䭁䅁䅁䅁䭁䥁䄰䅁䭁䅁䅕䅁䭁䅁䅣䅁䉁䅁䅁允䅁䅁䅯䅃䅁䅁杷允䅁䅁䅑䅁䑁䅁䅁䅁䭁䅁䅁䅁䭁䝁䉍䅁䭁䅁䅉䅁䉁䅁䅁允䅁䅁䅯䅚䅅䅁杷允䅁䅁䅕䅁䑁䅁䅁䅁䭁䅁䅁䅁䭁䉁䉑䅁䭁䅁䅕䅁䭁䅁䅙䅁䉁䅁䅁允䅁䅁䅍䵒⭕䅁杷允䅁䅁䅕䅁䑁䅁䅁䅁䭁䅁䅁䅁䭁䝁䍯䅁䭁䅁䅕䅁䭁䅁䅙䅁䉁䅁䅁允䅁䅁䅍汧䌹䅁杷允䅁䅁䅑䅁䑁䅁䅁䅁䭁䅁䅁䅁䭁䱁䅯䅁䭁䅁䅉䅁䉁䅁䅁允䅁䅁䅯睵䅁䅁杷允䅁䅁䅑䅁䑁䅁䅁䅁䭁䅁䅁䅁䭁䥁䈰䅁䭁䅁䅉䅁䉁䅁䅁允䅁䅁䅯䅑䅁䅁杷允䅁䅁䅑䅁䑁䅁䅁䅁䭁䅁䅁䅁䭁䱁䅷䅁䭁䅁䅉䅁䉁䅁䅁允䅁䅁䅯其䅁䅁杷允䅁䅁䅍䅁䑁䅁䅷䅁䙁䅁䅁䉁獂䠱䉴权佃杁䅁允䅁䅁䅅䅁䭁䥁䌸䅁䵁䅉䅅䅁䙁䅁䅁睁䅁䅁䅁权䅁䅁䅁权杂䅁䅁权䙁䅁䅁权䝁䅁䅁允䅁䅁䅅䅁䑁䵁捴村䵁䅉䅅䅁䕁䅁䅁睁䅁䅁䅁权䅁䅁䅁权䅄䅁䅁权䍁䅁䅁允䅁䅁䅅䅁䭁䍁䅷䅁䵁䅉䅅䅁䑁䅁䅁睁䵁䅁䅁兂䅁䅁䅃噁剨兑䅯典䅉䅁䅅䅁䉁䅁䅁权偃杁䅁䍄䉁䅁䅁睁䅁䅁䅍䅄䅁䅁䅕䅁䅁䥙婢䕚䭅䵁䍕䅁䉁䅁䅁允䅁䅁䅯睪䅉䅁杷允䅁䅁䅑䅁䑁䅁䅁䅁䭁䅁䅁䅁䭁䵁䅍䅁䭁䅁䅉䅁䉁䅁䅁允䅁䅁䅯䅌䅁䅁杷允䅁䅁䅑䅁䑁䅁䅁䅁䭁䅁䅁䅁䭁䵁䅑䅁䭁䅁䅉䅁䉁䅁䅁允䅁䅁䅯典䅁䅁杷允䅁䅁䅍䅁䑁䅁䅷䅁䙁䅁䅁䥁十䙮䉂权䑄杁䅁允䅁䅁䅅䅁䭁䩁䍕䅁䵁䅉䅅䅁䙁䅁䅁睁䅁䅁䅁权䅁䅁䅁权偁杁䅁权䙁䅁䅁权䝁䅁䅁允䅁䅁䅅䅁䑁䅁捰村䵁䅉䅅䅁䕁䅁䅁睁䅁䅁䅁权䅁䅁䅁权䝄䅁䅁权䍁䅁䅁允䅁䅁䅅䅁䭁䉁䅧䅁䵁䅉䅅䅁䙁䅁䅁睁䅁䅁䅁权䅁䅁䅁权㝁䅁䅁权䙁䅁䅁权䝁䅁䅁允䅁䅁䅅䅁䑁偁㝮睐䵁䅉䅅䅁䑁䅁䅁睁䵁䅁䅁兂䅁䅁䅂婙兤兑䅯睷䅉䅁䅅䅁䉁䅁䅁权煃杁䅁䍄䉁䅁䅁兂䅁䅁䅍䅁䅁䅁䅯䅁䅁䅁䅯条䅅䅁䅯兂䅁䅁䅯杂䅁䅁䅅䅁䉁䅁䅁睁坄䕚䅉䍄䉁䅁䅁兂䅁䅁䅍䅁䅁䅁䅯䅁䅁䅁䅯督䅉䅁䅯兂䅁䅁䅯杂䅁䅁䅅䅁䉁䅁䅁睁㡂䕤䅉䍄䉁䅁䅁䅂䅁䅁䅍䅁䅁䅁䅯䅁䅁䅁䅯睸䅁䅁䅯杁䅁䅁䅅䅁䉁䅁䅁权䥄䅁䅁䍄䉁䅁䅁兂䅁䅁䅍䅁䅁䅁䅯䅁䅁䅁䅯䅧䅁䅁䅯兂䅁䅁䅯睂䅁䅁䅅䅁䉁䅁䅁睁敃て䅁䍄䉁䅁䅁兂䅁䅁䅍䅁䅁䅁䅯䅁䅁䅁䅯杕䅉䅁䅯兂䅁䅁䅯睂䅁䅁䅅䅁䉁䅁䅁权䥁䅁䅁䍄䉁䅁䅁兂䅁䅁䅍䅁䅁䅁䅯䅁䅁䅁䅯杚䅉䅁䅯兂䅁䅁䅯杂䅁䅁䅅䅁䉁䅁䅁睁敂灬䄴䍄䉁䅁䅁䅂䅁䅁䅍䅁䅁䅁䅯䅁䅁䅁䅯李䅅䅁䅯杁䅁䅁䅅䅁䉁䅁䅁权㍁允䅁䍄䉁䅁䅁睁䅁䅁䅍䅄䅁䅁䅕䅁䅁䍷块䕕䭅䩁䍁䅁䉁䅁䅁允䅁䅁䅯睪䅉䅁杷允䅁䅁䅍䅁䑁䅁䅷䅁䙁䅁䅁䕁䵃噮䉂权元杁䅁允䅁䅁䅅䅁䭁䥁䌸䅁䵁䅉䅅䅁䕁䅁䅁睁䅁䅁䅁权䅁䅁䅁权䱄䅁䅁权䍁䅁䅁允䅁䅁䅅䅁䭁䵁䅷䅁䵁䅉䅅䅁䙁䅁䅁睁䅁䅁䅁权䅁䅁䅁权䉁䅁䅁权䙁䅁䅁权䡁䅁䅁允䅁䅁䅅䅁䑁偁歄材䵁䅉䅅䅁䕁䅁䅁睁䅁䅁䅁权䅁䅁䅁权乄䅁䅁权䍁䅁䅁允䅁䅁䅅䅁䭁䕁䅫䅁䵁䅉䅅䅁䕁䅁䅁睁䅁䅁䅁权䅁䅁䅁权摂允䅁权䍁䅁䅁允䅁䅁䅅䅁䭁䙁䈴䅁䵁䅉䅅䅁䕁䅁䅁睁䅁䅁䅁权䅁䅁䅁权佄䅁䅁权䍁䅁䅁允䅁䅁䅅䅁䭁䵁䄸䅁䵁䅉䅅䅁䙁䅁䅁睁䅁䅁䅁权䅁䅁䅁权⭃䅁䅁权䙁䅁䅁权䡁䅁䅁允䅁䅁䅅䅁䭁䅁䅧䅁䵁䅉䅅䅁䕁䅁䅁睁䅁䅁䅁权䅁䅁䅁权䥃允䅁权䍁䅁䅁允䅁䅁䅅䅁䭁䥁䉣䅁䵁䅉䅅䅁䕁䅁䅁睁䅁䅁䅁权䅁䅁䅁权兄䅁䅁权䍁䅁䅁允䅁䅁䅅䅁䭁乁䅅䅁䵁䅉䅅䅁䑁䅁䅁睁䵁䅁䅁兂䅁䅁杄琷歨兑䅯杪䅉䅁䅅䅁䉁䅁䅁权偃杁䅁䍄䉁䅁䅁䅂䅁䅁䅍䅁䅁䅁䅯䅁䅁䅁䅯朰䅁䅁䅯杁䅁䅁䅅䅁䉁䅁䅁权呄䅁䅁䍄䉁䅁䅁睁䅁䅁䅍䅄䅁䅁䅕䅁䅁䉙奮䕚䭅䵁䍉䅁䉁䅁䅁允䅁䅁䅯睪䅉䅁杷允䅁䅁䅍䅁䑁䅁䅷䅁䙁䅁䅁䍁畄䜲䉒权䑄杁䅁允䅁䅁䅅䅁䭁䩁䍕䅁䵁䅉䅅䅁䑁䅁䅁睁䵁䅁䅁兂䅁䅁杂⭷歆兑䅯睷䅉䅁䅅䅁䉁䅁䅁权噃杁䅁䍄䉁䅁䅁兂䅁䅁䅍䅁䅁䅁䅯䅁䅁䅁䅯眸䅅䅁䅯兂䅁䅁䅯杂䅁䅁䅅䅁䉁䅁䅁睁䕂呸䄴䍄䉁䅁䅁䅂䅁䅁䅍䅁䅁䅁䅯䅁䅁䅁䅯村䅅䅁䅯杁䅁䅁䅅䅁䉁䅁䅁权䑂允䅁䍄䉁䅁䅁兂䅁䅁䅍䅁䅁䅁䅯䅁䅁䅁䅯元䅅䅁䅯兂䅁䅁䅯睂䅁䅁䅅䅁䉁䅁䅁权䥁䅁䅁䍄䉁䅁䅁䅂䅁䅁䅍䅁䅁䅁䅯䅁䅁䅁䅯䄱䅁䅁䅯杁䅁䅁䅅䅁䉁䅁䅁权剄䅁䅁䍄䉁䅁䅁䅂䅁䅁䅍䅁䅁䅁䅯䅁䅁䅁䅯儱䅁䅁䅯杁䅁䅁䅅䅁䉁䅁䅁权坄䅁䅁䍄䉁䅁䅁䅂䅁䅁䅍䅁䅁䅁䅯䅁䅁䅁䅯䅖䅅䅁䅯杁䅁䅁䅅䅁䉁䅁䅁权噂允䅁䍄䉁䅁䅁睁䅁䅁䅍䅄䅁䅁䅕䅁䅁䑧婗䕕䭅䩁䍁䅁䉁䅁䅁允䅁䅁䅯睪䅉䅁杷允䅁䅁䅑䅁䑁䅁䅁䅁䭁䅁䅁䅁䭁䝁䍙䅁䭁䅁䅉䅁䉁䅁䅁允䅁䅁䅯兓䅁䅁杷允䅁䅁䅑䅁䑁䅁䅁䅁䭁䅁䅁䅁䭁乁䅣䅁䭁䅁䅉䅁䉁䅁䅁允䅁䅁䅯䄲䅁䅁杷允䅁䅁䅍䅁䑁䅁䅷䅁䙁䅁䅁䵁祁ㅬ䉂权佃杁䅁允䅁䅁䅅䅁䭁䩁䍧䅁䵁䅉䅅䅁䙁䅁䅁睁䅁䅁䅁权䅁䅁䅁权䭃杁䅁权䙁䅁䅁权䡁䅁䅁允䅁䅁䅅䅁䭁䅁䅧䅁䵁䅉䅅䅁䕁䅁䅁睁䅁䅁䅁权䅁䅁䅁权摄䅁䅁权䍁䅁䅁允䅁䅁䅅䅁䭁乁䄴䅁䵁䅉䅅䅁䑁䅁䅁睁䵁䅁䅁兂䅁䅁䅄塭兖兑䅯䅫䅉䅁䅅䅁䉁䅁䅁权偃杁䅁䍄䉁䅁䅁兂䅁䅁䅍䅁䅁䅁䅯䅁䅁䅁䅯杧䅉䅁䅯兂䅁䅁䅯杂䅁䅁䅅䅁䉁䅁䅁睁⽃啚䅉䍄䉁䅁䅁兂䅁䅁䅍䅁䅁䅁䅯䅁䅁䅁䅯䅩䅉䅁䅯兂䅁䅁䅯睂䅁䅁䅅䅁䉁䅁䅁睁睃啢䅉䍄䉁䅁䅁兂䅁䅁䅍䅁䅁䅁䅯䅁䅁䅁䅯杁䅅䅁䅯兂䅁䅁䅯睂䅁䅁䅅䅁䉁䅁䅁权䥁䅁䅁䍄䉁䅁䅁睁䅁䅁䅍䅄䅁䅁䅕䅁䅁䝑浑歕䭅䵁䍉䅁䉁䅁䅁允䅁䅁䅯睪䅉䅁杷允䅁䅁䅑䅁䑁䅁䅁䅁䭁䅁䅁䅁䭁乁䄸䅁䭁䅁䅉䅁䉁䅁䅁允䅁䅁䅯䅡䅁䅁杷允䅁䅁䅕䅁䑁䅁䅁䅁䭁䅁䅁䅁䭁䩁䅅䅁䭁䅁䅕䅁䭁䅁䅣䅁䉁䅁䅁允䅁䅁䅯䅃䅁䅁杷允䅁䅁䅕䅁䑁䅁䅁䅁䭁䅁䅁䅁䭁乁䉳䅁䭁䅁䅕䅁䭁䅁䅙䅁䉁䅁䅁允䅁䅁䅍洫䍒䅁杷允䅁䅁䅍䅁䑁䅁䅷䅁䙁䅁䅁䵁乂噎䉊权佃杁䅁允䅁䅁䅅䅁䭁䥁䌸䅁䵁䅉䅅䅁䑁䅁䅁睁䵁䅁䅁兂䅁䅁杂瑨歬兑䅯杷䅉䅁䅅䅁䉁䅁䅁权偃杁䅁䍄䉁䅁䅁兂䅁䅁䅍䅁䅁䅁䅯䅁䅁䅁䅯兆䅅䅁䅯兂䅁䅁䅯睂䅁䅁䅅䅁䉁䅁䅁权䥁䅁䅁䍄䉁䅁䅁睁䅁䅁䅍䅄䅁䅁䅕䅁䅁偑奔䕚䭅䥁䌴䅁䉁䅁䅁允䅁䅁䅯睪䅉䅁杷允䅁䅁䅍䅁䑁䅁䅷䅁䙁䅁䅁䵁㉂ㅰ䉂权䑄杁䅁允䅁䅁䅅䅁䭁䵁䍙䅁䵁䅉䅅䅁䕁䅁䅁睁䅁䅁䅁权䅁䅁䅁权杄䅁䅁权䍁䅁䅁允䅁䅁䅅䅁䭁䉁䄴䅁䵁䅉䅅䅁䑁䅁䅁睁䵁䅁䅁兂䅁䅁䅃睹兒兑䅯杷䅉䅁䅅䅁䉁䅁䅁权婄杁䅁䍄䉁䅁䅁䅂䅁䅁䅍䅁䅁䅁䅯䅁䅁䅁䅯儴䅁䅁䅯杁䅁䅁䅅䅁䉁䅁䅁权楄䅁䅁䍄䉁䅁䅁兂䅁䅁䅍䅁䅁䅁䅯䅁䅁䅁䅯睩䅁䅁䅯兂䅁䅁䅯杂䅁䅁䅅䅁䉁䅁䅁睁橄㡒䉙䍄䉁䅁䅁兂䅁䅁䅍䅁䅁䅁䅯䅁䅁䅁䅯兂䅅䅁䅯兂䅁䅁䅯睂䅁䅁䅅䅁䉁䅁䅁睁䍃啘䅉䍄䉁䅁䅁睁䅁䅁䅍䅄䅁䅁䅕䅁䅁伴奶䕚䭅䩁䍁䅁䉁䅁䅁允䅁䅁䅯睪䅉䅁杷允䅁䅁䅕䅁䑁䅁䅁䅁䭁䅁䅁䅁䭁佁䉑䅁䭁䅁䅕䅁䭁䅁䅙䅁䉁䅁䅁允䅁䅁䅍坚䍚䅁杷允䅁䅁䅑䅁䑁䅁䅁䅁䭁䅁䅁䅁䭁偁䉳䅁䭁䅁䅉䅁䉁䅁䅁允䅁䅁䅯䄯䅅䅁杷允䅁䅁䅍䅁䑁䅁䅷䅁䙁䅁䅁䕁婃噭䉂权䙄杁䅁允䅁䅁䅅䅁䭁䥁䌸䅁䵁䅉䅅䅁䕁䅁䅁睁䅁䅁䅁权䅁䅁䅁权橄䅁䅁权䍁䅁䅁允䅁䅁䅅䅁䭁䝁䅧䅁䵁䅉䅅䅁䕁䅁䅁睁䅁䅁䅁权䅁䅁䅁权牁杁䅁权䍁䅁䅁允䅁䅁䅅䅁䭁䍁䍷䅁䵁䅉䅅䅁䙁䅁䅁睁䅁䅁䅁权䅁䅁䅁权瑂䅁䅁权䙁䅁䅁权䝁䅁䅁允䅁䅁䅅䅁䑁䕁朵睄䵣䅉䅅䅁䑁䅁䅁睁䵁䅁䅁兂䅁䅁䅃桳桰兑䅯睷䅉䅁䅅䅁䉁䅁䅁权敄杁䅁䍄䉁䅁䅁兂䅁䅁䅍䅁䅁䅁䅯䅁䅁䅁䅯兗䅅䅁䅯兂䅁䅁䅯睂䅁䅁䅅䅁䉁䅁䅁权䥁䅁䅁䍄䉁䅁䅁䅂䅁䅁䅍䅁䅁䅁䅯䅁䅁䅁䅯䄵䅁䅁䅯杁䅁䅁䅅䅁䉁䅁䅁权汄䅁䅁䍄䉁䅁䅁兂䅁䅁䅍䅁䅁䅁䅯䅁䅁䅁䅯䅄䅁䅁䅯兂䅁䅁䅯杂䅁䅁䅅䅁䉁䅁䅁睁畁ぅ䅁䍄䉁䅁䅁兂䅁䅁䅍䅁䅁䅁䅯䅁䅁䅁䅯眲䅁䅁䅯兂䅁䅁䅯杂䅁䅁䅅䅁䉁䅁䅁睁杁〸䅙䍄䉁䅁䅁䅂䅁䅁䅍䅁䅁䅁䅯䅁䅁䅁䅯朵䅁䅁䅯杁䅁䅁䅅䅁䉁䅁䅁权湄䅁䅁䍄䉁䅁䅁兂䅁䅁䅍䅁䅁䅁䅯䅁䅁䅁䅯杄䅉䅁䅯兂䅁䅁䅯杂䅁䅁䅅䅁䉁䅁䅁睁䭁䕘䅉䍄䉁䅁䅁䅂䅁䅁䅍䅁䅁䅁䅯䅁䅁䅁䅯䄶䅁䅁䅯杁䅁䅁䅅䅁䉁䅁䅁权灄䅁䅁䍄䉁䅁䅁䅂䅁䅁䅍䅁䅁䅁䅯䅁䅁䅁䅯眶䅁䅁䅯杁䅁䅁䅅䅁䉁䅁䅁权敁䅁䅁䍄䉁䅁䅁兂䅁䅁䅍䅁䅁䅁䅯䅁䅁䅁䅯末䅁䅁䅯兂䅁䅁䅯杂䅁䅁䅅䅁䉁䅁䅁睁畂啍䅍䍄䉁䅁䅁䅂䅁䅁䅍䅁䅁䅁䅯䅁䅁䅁䅯睩䅅䅁䅯杁䅁䅁䅅䅁䉁䅁䅁权䵃允䅁䍄䉁䅁䅁䅂䅁䅁䅍䅁䅁䅁䅯䅁䅁䅁䅯䄷䅁䅁䅯杁䅁䅁䅅䅁䉁䅁䅁权瑄䅁䅁䍄䉁䅁䅁兂䅁䅁䅍䅁䅁䅁䅯䅁䅁䅁䅯䅎䅉䅁䅯兂䅁䅁䅯睂䅁䅁䅅䅁䉁䅁䅁权䥁䅁䅁䍄䉁䅁䅁䅂䅁䅁䅍䅁䅁䅁䅯䅁䅁䅁䅯內䅅䅁䅯杁䅁䅁䅅䅁䉁䅁䅁权䍃允䅁䍄䉁䅁䅁睁䅁䅁䅍䅄䅁䅁䅕䅁䅁䵙桐䕚䭅䵁䍕䅁䉁䅁䅁允䅁䅁䅯睪䅉䅁杷允䅁䅁䅕䅁䑁䅁䅁䅁䭁䅁䅁䅁䭁䝁䅕䅁䭁䅁䅕䅁䭁䅁䅙䅁䉁䅁䅁允䅁䅁䅍潒䌱䅁杷允䅁䅁䅑䅁䑁䅁䅁䅁䭁䅁䅁䅁䭁佁䄴䅁䭁䅁䅉䅁䉁䅁䅁允䅁䅁䅯眷䅁䅁杷允䅁䅁䅑䅁䑁䅁䅁䅁䭁䅁䅁䅁䭁偁䅁䅁䭁䅁䅉䅁䉁䅁䅁允䅁䅁䅯儸䅁䅁杷允䅁䅁䅍䅁䑁䅁䅷䅁䙁䅁䅁䥁㡄唯䈹权䙄杁䅁允䅁䅁䅅䅁䭁䥁䌸䅁䵁䅉䅅䅁䑁䅁䅁睁䵁䅁䅁兂䅁䅁䅃桳桰兑䅯典䅉䅁䅅䅁䉁䅁䅁权偃杁䅁䍄䉁䅁䅁䅂䅁䅁䅍䅁䅁䅁䅯䅁䅁䅁䅯朸䅁䅁䅯杁䅁䅁䅅䅁䉁䅁䅁权穄䅁䅁䍄䉁䅁䅁䅂䅁䅁䅍䅁䅁䅁䅯䅁䅁䅁䅯关䅅䅁䅯杁䅁䅁䅅䅁䉁䅁䅁权祃允䅁䍄䉁䅁䅁䅂䅁䅁䅍䅁䅁䅁䅯䅁䅁䅁䅯朹䅁䅁䅯杁䅁䅁䅅䅁䉁䅁䅁权㍄䅁䅁䍄䉁䅁䅁兂䅁䅁䅍䅁䅁䅁䅯䅁䅁䅁䅯杦䅉䅁䅯兂䅁䅁䅯睂䅁䅁䅅䅁䉁䅁䅁权䥁䅁䅁䍄䉁䅁䅁睁䅁䅁䅍䅄䅁䅁䅕䅁䅁䙧捩䕕䭅䵁䍕䅁䉁䅁䅁允䅁䅁䅯睪䅉䅁杷允䅁䅁䅑䅁䑁䅁䅁䅁䭁䅁䅁䅁䭁偁䅧䅁䭁䅁䅉䅁䉁䅁䅁允䅁䅁䅯儫䅁䅁杷允䅁䅁䅕䅁䑁䅁䅁䅁䭁䅁䅁䅁䭁䱁䅷䅁䭁䅁䅕䅁䭁䅁䅣䅁䉁䅁䅁允䅁䅁䅯䅃䅁䅁杷允䅁䅁䅑䅁䑁䅁䅁䅁䭁䅁䅁䅁䭁偁䅷䅁䭁䅁䅉䅁䉁䅁䅁允䅁䅁䅯儵䅁䅁杷允䅁䅁䅕䅁䑁䅁䅁䅁䭁䅁䅁䅁䭁䉁䈴䅁䭁䅁䅕䅁䭁䅁䅙䅁䉁䅁䅁允䅁䅁䅍坸照允杷允䅁䅁䅑䅁䑁䅁䅁䅁䭁䅁䅁䅁䭁䑁䌴䅁䭁䅁䅉䅁䉁䅁䅁允䅁䅁䅯児䅉䅁杷允䅁䅁䅕䅁䑁䅁䅁䅁䭁䅁䅁䅁䭁䉁䍁䅁䭁䅁䅕䅁䭁䅁䅣䅁䉁䅁䅁允䅁䅁䅍㥏䅖䅁杷允䅁䅁䅑䅁䑁䅁䅁䅁䭁䅁䅁䅁䭁䡁䉫䅁䭁䅁䅉䅁䉁䅁䅁允䅁䅁䅯来䅅䅁杷允䅁䅁䅕䅁䑁䅁䅁䅁䭁䅁䅁䅁䭁䵁䈸䅁䭁䅁䅕䅁䭁䅁䅙䅁䉁䅁䅁允䅁䅁䅍䝳䌱䅁杷允䅁䅁䅑䅁䑁䅁䅁䅁䭁䅁䅁䅁䭁偁䄰䅁䭁䅁䅉䅁䉁䅁䅁允䅁䅁䅯术䅁䅁杷允䅁䅁䅕䅁䑁䅁䅁䅁䭁䅁䅁䅁䭁䉁䄸䅁䭁䅁䅕䅁䭁䅁䅣䅁䉁䅁䅁允䅁䅁䅯䅃䅁䅁杷允䅁䅁䅑䅁䑁䅁䅁䅁䭁䅁䅁䅁䭁䑁䉷䅁䭁䅁䅉䅁䉁䅁䅁允䅁䅁䅯児䅅䅁杷允䅁䅁䅕䅁䑁䅁䅁䅁䭁䅁䅁䅁䭁䕁䅯䅁䭁䅁䅕䅁䭁䅁䅣䅁䉁䅁䅁允䅁䅁䅯䅃䅁䅁杷允䅁䅁䅑䅁䑁䅁䅁䅁䭁䅁䅁䅁䭁䑁䍉䅁䭁䅁䅉䅁䉁䅁䅁允䅁䅁䅯睍䅉䅁杷允䅁䅁䅑䅁䑁䅁䅁䅁䭁䅁䅁䅁䭁䥁䍕䅁䭁䅁䅉䅁䉁䅁䅁允䅁䅁䅯杨䅉䅁杷允䅁䅁䅕䅁䑁䅁䅁䅁䭁䅁䅁䅁䭁䱁䅕䅁䭁䅁䅕䅁䭁䅁䅙䅁䉁䅁䅁允䅁䅁䅍㐵䍸䅁杷允䅁䅁䅑䅁䑁䅁䅁䅁䭁䅁䅁䅁䭁䅁䉅䅁䭁䅁䅉䅁䉁䅁䅁允䅁䅁䅯睃䅁䅁杷允䅁䅁䅑䅁䑁䅁䅁䅁䭁䅁䅁䅁䭁䥁䍁䅁䭁䅁䅉䅁䉁䅁䅁允䅁䅁䅯䅡䅁䅁杷允䅁䅁䅕䅁䑁䅁䅁䅁䭁䅁䅁䅁䭁䙁䅧䅁䭁䅁䅕䅁䭁䅁䅙䅁䉁䅁䅁允䅁䅁䅍䙮⽅䅁杷允䅁䅁䅕䅁䑁䅁䅁䅁䭁䅁䅁䅁䭁䉁䌰䅁䭁䅁䅕䅁䭁䅁䅙䅁䉁䅁䅁允䅁䅁䅍汧䌱䅁杷允䅁䅁䅍䅁䑁䅁䅷䅁䙁䅁䅁䕁慃噺䉆权䙄杁䅁允䅁䅁䅅䅁䭁偁䍅䅁䵁䅉䅅䅁䕁䅁䅁睁䅁䅁䅁权䅁䅁䅁权䍁允䅁权䍁䅁䅁允䅁䅁䅅䅁䭁䅁䉍䅁䵁䅉䅅䅁䙁䅁䅁睁䅁䅁䅁权䅁䅁䅁权䭁䅁䅁权䙁䅁䅁权䝁䅁䅁允䅁䅁䅅䅁䑁䍁吴䅑䵁䅉䅅䅁䑁䅁䅁睁䵁䅁䅁权䥁䅁䅁权䙄杁䅁允䅁䅁䅅䅁䭁䥁䌸䅁䵁䅉䅅䅁䕁䅁䅁睁䅁䅁䅁权䅁䅁䅁权䕁允䅁权䍁䅁䅁允䅁䅁䅅䅁䭁䉁䅑䅁䵁䅉䅅䅁䙁䅁䅁睁䅁䅁䅁权䅁䅁䅁权䝁杁䅁权䙁䅁䅁权䝁䅁䅁允䅁䅁䅅䅁䑁䩁剸睐䵁䅉䅅䅁䑁䅁䅁睁䵁䅁䅁兂䅁䅁䅃婆全兑䅯典䅉䅁䅅䅁䉁䅁䅁权偃杁䅁䍄䉁䅁䅁睁䅁䅁䅍䅄䅁䅁䅕䅁䅁䙧夫䕕䭅䥁䌴䅁䉁䅁䅁允䅁䅁䅯睪䅉䅁杷允䅁䅁䅕䅁䑁䅁䅁䅁䭁䅁䅁䅁䭁䥁䍷䅁䭁䅁䅕䅁䭁䅁䅣䅁䉁䅁䅁允䅁䅁䅯䅃䅁䅁杷允䅁䅁䅍䅁䑁䅁䅷䅁䙁䅁䅁䵁乂噎䉊权䑄杁䅁允䅁䅁䅅䅁䭁乁䍷䅁䵁䅉䅅䅁䕁䅁䅁睁䅁䅁䅁权䅁䅁䅁权時允䅁权䍁䅁䅁允䅁䅁䅅䅁䭁䝁䉁䅁䵁䅉䅅䅁䙁䅁䅁睁䅁䅁䅁权䅁䅁䅁权穁䅁䅁权䙁䅁䅁权䝁䅁䅁允䅁䅁䅅䅁䑁䭁效材䵁䅉䅅䅁䑁䅁䅁睁䵁䅁䅁兂䅁䅁䅁䑹攱兑䅯睷䅉䅁䅅䅁䉁䅁䅁权晄杁䅁䍄䉁䅁䅁䅂䅁䅁䅍䅁䅁䅁䅯䅁䅁䅁䅯兂䅅䅁䅯杁䅁䅁䅅䅁䉁䅁䅁权䝁允䅁䍄䉁䅁䅁䅂䅁䅁䅍䅁䅁䅁䅯䅁䅁䅁䅯睂䅅䅁䅯杁䅁䅁䅅䅁䉁䅁䅁权䥁允䅁䍄䉁䅁䅁䅂䅁䅁䅍䅁䅁䅁䅯䅁䅁䅁䅯权䅅䅁䅯杁䅁䅁䅅䅁䉁䅁䅁权䱁允䅁䍄䉁䅁䅁䅂䅁䅁䅍䅁䅁䅁䅯䅁䅁䅁䅯杇䅅䅁䅯杁䅁䅁䅅䅁䉁䅁䅁权扁允䅁䍄䉁䅁䅁睁䅁䅁䅍䅄䅁䅁䅕䅁䅁䵷捵䕕䭅䵁䍕䅁䉁䅁䅁允䅁䅁䅯睪䅉䅁杷允䅁䅁䅕䅁䑁䅁䅁䅁䭁䅁䅁䅁䭁佁䉫䅁䭁䅁䅕䅁䭁䅁䅣䅁䉁䅁䅁允䅁䅁䅍湔䍊䅁杷允䅁䅁䅑䅁䑁䅁䅁䅁䭁䅁䅁䅁䭁䅁䉷䅁䭁䅁䅉䅁䉁䅁䅁允䅁䅁䅯兄䅅䅁杷允䅁䅁䅍䅁䑁䅁䅷䅁䙁䅁䅁䅁摂䕣䈹权䙄杁䅁允䅁䅁䅅䅁䭁䭁䍳䅁䵁䅉䅅䅁䑁䅁䅁睁䵁䅁䅁兂䅁䅁䅂穸刱兑䅯杪䅉䅁䅅䅁䉁䅁䅁权偃杁䅁䍄䉁䅁䅁䅂䅁䅁䅍䅁䅁䅁䅯䅁䅁䅁䅯睄䅅䅁䅯杁䅁䅁䅅䅁䉁䅁䅁权允允䅁䍄䉁䅁䅁䅂䅁䅁䅍䅁䅁䅁䅯䅁䅁䅁䅯杗䅉䅁䅯杁䅁䅁䅅䅁䉁䅁䅁权ㅄ䅁䅁䍄䉁䅁䅁䅂䅁䅁䅍䅁䅁䅁䅯䅁䅁䅁䅯杅䅅䅁䅯杁䅁䅁䅅䅁䉁䅁䅁权呁允䅁䍄䉁䅁䅁睁䅁䅁䅍䅄䅁䅁䅕䅁䅁䙁眱ご䭅䩁䍁䅁䉁䅁䅁允䅁䅁䅯東䅉䅁杷允䅁䅁䅑䅁䑁䅁䅁䅁䭁䅁䅁䅁䭁䉁䉑䅁䭁䅁䅉䅁䉁䅁䅁允䅁䅁䅯杈䅁䅁杷允䅁䅁䅕䅁䑁䅁䅁䅁䭁䅁䅁䅁䭁䙁䌰䅁䭁䅁䅕䅁䭁䅁䅙䅁䉁䅁䅁允䅁䅁䅍㍭䍆䅁杷允䅁䅁䅍䅁䑁䅁䅷䅁䙁䅁䅁䕁䕁䘫䈹权䙄杁䅁允䅁䅁䅅䅁䭁䱁䍫䅁䵁䅉䅅䅁䙁䅁䅁睁䅁䅁䅁权䅁䅁䅁权兄允䅁权䙁䅁䅁权䡁䅁䅁允䅁䅁䅅䅁䑁䩁洴睑䵁䅉䅅䅁䕁䅁䅁睁䅁䅁䅁权䅁䅁䅁权䍄允䅁权䍁䅁䅁允䅁䅁䅅䅁䭁䵁䉍䅁䵁䅉䅅䅁䙁䅁䅁睁䅁䅁䅁权䅁䅁䅁权䩃䅁䅁权䙁䅁䅁权䡁䅁䅁允䅁䅁䅅䅁䭁䅁䅧䅁䵁䅉䅅䅁䙁䅁䅁睁䅁䅁䅁权䅁䅁䅁权浂杁䅁权䙁䅁䅁权䡁䅁䅁允䅁䅁䅅䅁䭁䅁䅧䅁䵁䅉䅅䅁䙁䅁䅁睁䅁䅁䅁权䅁䅁䅁权䕄䅁䅁权䙁䅁䅁权䝁䅁䅁允䅁䅁䅅䅁䑁䭁效材䵁䅉䅅䅁䕁䅁䅁睁䅁䅁䅁权䅁䅁䅁权噁允䅁权䍁䅁䅁允䅁䅁䅅䅁䭁䉁䉙䅁䵁䅉䅅䅁䙁䅁䅁睁䅁䅁䅁权䅁䅁䅁权桁杁䅁权䙁䅁䅁权䝁䅁䅁允䅁䅁䅅䅁䑁䝁畅材䵁䅉䅅䅁䙁䅁䅁睁䅁䅁䅁权䅁䅁䅁权㡃允䅁权䙁䅁䅁权䝁䅁䅁允䅁䅁䅅䅁䑁䥁杨村䵁䅉䅅䅁䑁䅁䅁睁䵁䅁䅁兂䅁䅁䅂浮削兑䅯䅫䅉䅁䅅䅁䉁䅁䅁权穃杁䅁䍄䉁䅁䅁䅂䅁䅁䅍䅁䅁䅁䅯䅁䅁䅁䅯眹䅅䅁䅯杁䅁䅁䅅䅁䉁䅁䅁权潂䅁䅁䍄䉁䅁䅁䅂䅁䅁䅍䅁䅁䅁䅯䅁䅁䅁䅯村䅉䅁䅯杁䅁䅁䅅䅁䉁䅁䅁权獁䅁䅁䍄䉁䅁䅁睁䅁䅁䅍䅄䅁䅁䅕䅁䅁䝅啺づ䭅䵁䍕䅁䉁䅁䅁允䅁䅁䅯睪䅉䅁杷允䅁䅁䅍䅁䑁䅁䅷䅁䙁䅁䅁䕁婃噭䉂权䑄杁䅁允䅁䅁䅅䅁䭁䱁䌸䅁䵁䅉䅅䅁䑁䅁䅁睁䵁䅁䅁兂䅁䅁兂䭪祚兑䅯䅫䅉䅁䅅䅁䉁䅁䅁权偃杁䅁䍄䉁䅁䅁䅂䅁䅁䅍䅁䅁䅁䅯䅁䅁䅁䅯睆䅅䅁䅯杁䅁䅁䅅䅁䉁䅁䅁权䕂䅁䅁䍄䉁䅁䅁䅂䅁䅁䅍䅁䅁䅁䅯䅁䅁䅁䅯䅇䅅䅁䅯杁䅁䅁䅅䅁䉁䅁䅁权婁允䅁䍄䉁䅁䅁兂䅁䅁䅍䅁䅁䅁䅯䅁䅁䅁䅯兰䅁䅁䅯兂䅁䅁䅯睂䅁䅁䅅䅁䉁䅁䅁权䥁䅁䅁䍄䉁䅁䅁兂䅁䅁䅍䅁䅁䅁䅯䅁䅁䅁䅯䅷䅁䅁䅯兂䅁䅁䅯睂䅁䅁䅅䅁䉁䅁䅁权䥁䅁䅁䍄䉁䅁䅁䅂䅁䅁䅍䅁䅁䅁䅯䅁䅁䅁䅯䅈䅅䅁䅯杁䅁䅁䅅䅁䉁䅁䅁权摁允䅁䍄䉁䅁䅁䅂䅁䅁䅍䅁䅁䅁䅯䅁䅁䅁䅯杈䅅䅁䅯杁䅁䅁䅅䅁䉁䅁䅁权晁允䅁䍄䉁䅁䅁兂䅁䅁䅍䅁䅁䅁䅯䅁䅁䅁䅯䅣䅅䅁䅯兂䅁䅁䅯睂䅁䅁䅅䅁䉁䅁䅁权䥁䅁䅁䍄䉁䅁䅁兂䅁䅁䅍䅁䅁䅁䅯䅁䅁䅁䅯䅎䅅䅁䅯兂䅁䅁䅯杂䅁䅁䅅䅁䉁䅁䅁睁桂㙸䅙䍄䉁䅁䅁兂䅁䅁䅍䅁䅁䅁䅯䅁䅁䅁䅯內䅉䅁䅯兂䅁䅁䅯杂䅁䅁䅅䅁䉁䅁䅁睁睃啢䅉䍄䉁䅁䅁䅂䅁䅁䅍䅁䅁䅁䅯䅁䅁䅁䅯䅉䅅䅁䅯杁䅁䅁䅅䅁䉁䅁䅁权桁允䅁䍄䉁䅁䅁睁䅁䅁䅍䅄䅁䅁䅕䅁䅁䵷捵䕕䭅䥁䌴䅁䉁䅁䅁允䅁䅁䅯睪䅉䅁杷允䅁䅁䅑䅁䑁䅁䅁䅁䭁䅁䅁䅁䭁䍁䉑䅁䭁䅁䅉䅁䉁䅁䅁允䅁䅁䅯儵䅁䅁杷允䅁䅁䅍䅁䑁䅁䅷䅁䙁䅁䅁䕁呂汪䉆权元杁䅁允䅁䅁䅅䅁䭁䥁䌸䅁䵁䅉䅅䅁䙁䅁䅁睁䅁䅁䅁权䅁䅁䅁权橂䅁䅁权䙁䅁䅁权䝁䅁䅁允䅁䅁䅅䅁䑁䡁䱭村䵁䅉䅅䅁䙁䅁䅁睁䅁䅁䅁权䅁䅁䅁权䙃允䅁权䙁䅁䅁权䡁䅁䅁允䅁䅁䅅䅁䭁䅁䅧䅁䵁䅉䅅䅁䑁䅁䅁睁䵁䅁䅁兂䅁䅁兂䭪祚兑䅯典䅉䅁䅅䅁䉁䅁䅁权偃杁䅁䍄䉁䅁䅁兂䅁䅁䅍䅁䅁䅁䅯䅁䅁䅁䅯眷䅅䅁䅯兂䅁䅁䅯睂䅁䅁䅅䅁䉁䅁䅁睁湄䕪䅉䍄䉁䅁䅁睁䅁䅁䅍䅄䅁䅁䅕䅁䅁乯奲す䭅䩁䍁䅁䉁䅁䅁允䅁䅁䅯睪䅉䅁杷允䅁䅁䅍䅁䑁䅁䅷䅁䙁䅁䅁䝁癃圴䉒权䑄杁䅁允䅁䅁䅅䅁䭁䩁䍕䅁䵁䅉䅅䅁䕁䅁䅁睁䅁䅁䅁权䅁䅁䅁权湁允䅁权䍁䅁䅁允䅁䅁䅅䅁䭁䍁䉧䅁䵁䅉䅅䅁䕁䅁䅁睁䅁䅁䅁权䅁䅁䅁权灁允䅁权䍁䅁䅁允䅁䅁䅅䅁䭁䍁䉯䅁䵁䅉䅅䅁䕁䅁䅁睁䅁䅁䅁权䅁䅁䅁权硂杁䅁权䍁䅁䅁允䅁䅁䅅䅁䭁䡁䍉䅁䵁䅉䅅䅁䑁䅁䅁睁䵁䅁䅁兂䅁䅁䅄灥兰兑䅯杷䅉䅁䅅䅁䉁䅁䅁权桃杁䅁䍄䉁䅁䅁兂䅁䅁䅍䅁䅁䅁䅯䅁䅁䅁䅯䅨䅉䅁䅯兂䅁䅁䅯睂䅁䅁䅅䅁䉁䅁䅁权䥁䅁䅁䍄䉁䅁䅁兂䅁䅁䅍䅁䅁䅁䅯䅁䅁䅁䅯䅄䅁䅁䅯兂䅁䅁䅯睂䅁䅁䅅䅁䉁䅁䅁权䥁䅁䅁䍄䉁䅁䅁䅂䅁䅁䅍䅁䅁䅁䅯䅁䅁䅁䅯睋䅅䅁䅯杁䅁䅁䅅䅁䉁䅁䅁权獁允䅁䍄䉁䅁䅁䅂䅁䅁䅍䅁䅁䅁䅯䅁䅁䅁䅯杪䅅䅁䅯杁䅁䅁䅅䅁䉁䅁䅁权偃允䅁䍄䉁䅁䅁兂䅁䅁䅍䅁䅁䅁䅯䅁䅁䅁䅯睤䅅䅁䅯兂䅁䅁䅯杂䅁䅁䅅䅁䉁䅁䅁睁㕁㙹䅙䍄䉁䅁䅁睁䅁䅁䅍䅄䅁䅁䅕䅁䅁䕧扱䕕䭅䵁䍉䅁䉁䅁䅁允䅁䅁䅯睪䅉䅁杷允䅁䅁䅕䅁䑁䅁䅁䅁䭁䅁䅁䅁䭁䑁䅫䅁䭁䅁䅕䅁䭁䅁䅣䅁䉁䅁䅁允䅁䅁䅯䅃䅁䅁杷允䅁䅁䅍䅁䑁䅁䅷䅁䙁䅁䅁䕁橁噴䉂权䑄杁䅁允䅁䅁䅅䅁䭁䭁䌰䅁䵁䅉䅅䅁䕁䅁䅁睁䅁䅁䅁权䅁䅁䅁权瑁允䅁权䍁䅁䅁允䅁䅁䅅䅁䭁䍁䈴䅁䵁䅉䅅䅁䕁䅁䅁睁䅁䅁䅁权䅁䅁䅁权祂允䅁权䍁䅁䅁允䅁䅁䅅䅁䭁䝁䅧䅁䵁䅉䅅䅁䑁䅁䅁睁䵁䅁䅁兂䅁䅁䅂䱊兖兑䅯睷䅉䅁䅅䅁䉁䅁䅁权瑃杁䅁䍄䉁䅁䅁䅂䅁䅁䅍䅁䅁䅁䅯䅁䅁䅁䅯䅍䅅䅁䅯杁䅁䅁䅅䅁䉁䅁䅁权硁允䅁䍄䉁䅁䅁䅂䅁䅁䅍䅁䅁䅁䅯䅁䅁䅁䅯杍䅅䅁䅯杁䅁䅁䅅䅁䉁䅁䅁权穁允䅁䍄䉁䅁䅁䅂䅁䅁䅍䅁䅁䅁䅯䅁䅁䅁䅯䅎䅉䅁䅯杁䅁䅁䅅䅁䉁䅁䅁权ㅁ杁䅁䍄䉁䅁䅁睁䅁䅁䅍䅄䅁䅁䅕䅁䅁䭑手䕕䭅䵁䍍䅁䉁䅁䅁允䅁䅁䅯朳䅉䅁杷允䅁䅁䅑䅁䑁䅁䅁䅁䭁䅁䅁䅁䭁䑁䈴䅁䭁䅁䅉䅁䉁䅁䅁允䅁䅁䅯睐䅅䅁杷允䅁䅁䅍䅁䑁䅁䅷䅁䙁䅁䅁䕁慃噺䉆权䍄杁䅁允䅁䅁䅅䅁䭁䩁䍳䅁䵁䅉䅅䅁䑁䅁䅁睁䵁䅁䅁兂䅁䅁㡃歩婃兑䅯杪䅉䅁䅅䅁䉁䅁䅁权偃杁䅁䍄䉁䅁䅁䅂䅁䅁䅍䅁䅁䅁䅯䅁䅁䅁䅯䅑䅅䅁䅯杁䅁䅁䅅䅁䉁䅁䅁权䉂允䅁䍄䉁䅁䅁睁䅁䅁䅍䅄䅁䅁䅕䅁䅁䵧奏䕕䭅䵁䍉䅁䉁䅁䅁允䅁䅁䅯睪䅉䅁杷允䅁䅁䅕䅁䑁䅁䅁䅁䭁䅁䅁䅁䭁䑁䉯䅁䭁䅁䅕䅁䭁䅁䅙䅁䉁䅁䅁允䅁䅁䅍佯䙚䅁杷允䅁䅁䅑䅁䑁䅁䅁䅁䭁䅁䅁䅁䭁䕁䉑䅁䭁䅁䅉䅁䉁䅁䅁允䅁䅁䅯兒䅅䅁杷允䅁䅁䅑䅁䑁䅁䅁䅁䭁䅁䅁䅁䭁䉁䍑䅁䭁䅁䅉䅁䉁䅁䅁允䅁䅁䅯兆䅉䅁杷允䅁䅁䅑䅁䑁䅁䅁䅁䭁䅁䅁䅁䭁䍁䍁䅁䭁䅁䅉䅁䉁䅁䅁允䅁䅁䅯杩䅁䅁杷允䅁䅁䅕䅁䑁䅁䅁䅁䭁䅁䅁䅁䭁偁䄰䅁䭁䅁䅕䅁䭁䅁䅙䅁䉁䅁䅁允䅁䅁䅍塭䍊䅁杷允䅁䅁䅑䅁䑁䅁䅁䅁䭁䅁䅁䅁䭁䕁䉙䅁䭁䅁䅉䅁䉁䅁䅁允䅁䅁䅯睒䅅䅁杷允䅁䅁䅍䅁䑁䅁䅷䅁䙁䅁䅁䵁桁䜲䉒权䍄杁䅁允䅁䅁䅅䅁䭁䥁䌸䅁䵁䅉䅅䅁䕁䅁䅁睁䅁䅁䅁权䅁䅁䅁权䥂允䅁权䍁䅁䅁允䅁䅁䅅䅁䭁䭁䅙䅁䵁䅉䅅䅁䙁䅁䅁睁䅁䅁䅁权䅁䅁䅁权㙁允䅁权䙁䅁䅁权䡁䅁䅁允䅁䅁䅅䅁䑁䅁樵村䵁䅉䅅䅁䕁䅁䅁睁䅁䅁䅁权䅁䅁䅁权煃允䅁权䍁䅁䅁允䅁䅁䅅䅁䭁䕁䉕䅁䵁䅉䅅䅁䕁䅁䅁睁䅁䅁䅁权䅁䅁䅁权䩂允䅁权䍁䅁䅁允䅁䅁䅅䅁䭁乁䅅䅁䵁䅉䅅䅁䙁䅁䅁睁䅁䅁䅁权䅁䅁䅁权㙂䅁䅁权䙁䅁䅁权䝁䅁䅁允䅁䅁䅅䅁䑁䑁㉰村䵁䅉䅅䅁䕁䅁䅁睁䅁䅁䅁权䅁䅁䅁权䱂允䅁权䍁䅁䅁允䅁䅁䅅䅁䭁䕁䉷䅁䵁䅉䅅䅁䙁䅁䅁睁䅁䅁䅁权䅁䅁䅁权元允䅁权䙁䅁䅁权䡁䅁䅁允䅁䅁䅅䅁䭁䅁䅧䅁䵁䅉䅅䅁䕁䅁䅁睁䅁䅁䅁权䅁䅁䅁权乂允䅁权䍁䅁䅁允䅁䅁䅅䅁䭁䕁䈴䅁䵁䅉䅅䅁䙁䅁䅁睁䅁䅁䅁权䅁䅁䅁权癃允䅁权䙁䅁䅁权䡁䅁䅁允䅁䅁䅅䅁䭁䅁䅧䅁䵁䅉䅅䅁䑁䅁䅁睁䵁䅁䅁兂䅁䅁䅃灓兴兑䅯典䅉䅁䅅䅁䉁䅁䅁权偃杁䅁䍄䉁䅁䅁䅂䅁䅁䅍䅁䅁䅁䅯䅁䅁䅁䅯杨䅅䅁䅯杁䅁䅁䅅䅁䉁䅁䅁权䡃允䅁䍄䉁䅁䅁睁䅁䅁䅍䅄䅁䅁䅕䅁䅁䅑捓䕕䭅䵁䍕䅁䉁䅁䅁允䅁䅁䅯睪䅉䅁杷允䅁䅁䅑䅁䑁䅁䅁䅁䭁䅁䅁䅁䭁䙁䉁䅁䭁䅁䅉䅁䉁䅁䅁允䅁䅁䅯兕䅅䅁杷允䅁䅁䅍䅁䑁䅁䅷䅁䙁䅁䅁䕁奄圴䉒权䑄杁䅁允䅁䅁䅅䅁䭁䩁䍕䅁䵁䅉䅅䅁䕁䅁䅁睁䅁䅁䅁权䅁䅁䅁权卂允䅁权䍁䅁䅁允䅁䅁䅅䅁䭁䙁䉍䅁䵁䅉䅅䅁䙁䅁䅁睁䅁䅁䅁权䅁䅁䅁权楃允䅁权䙁䅁䅁权䡁䅁䅁允䅁䅁䅅䅁䭁䅁䅧䅁䵁䅉䅅䅁䕁䅁䅁睁䅁䅁䅁权䅁䅁䅁权䝁杁䅁权䍁䅁䅁允䅁䅁䅅䅁䭁䅁䍣䅁䵁䅉䅅䅁䙁䅁䅁睁䅁䅁䅁权䅁䅁䅁权牁杁䅁权䙁䅁䅁权䡁䅁䅁允䅁䅁䅅䅁䑁䩁洴睑䵁䅉䅅䅁䙁䅁䅁睁䅁䅁䅁权䅁䅁䅁权湁䅁䅁权䙁䅁䅁权䝁䅁䅁允䅁䅁䅅䅁䑁䝁娵村䵁䅉䅅䅁䙁䅁䅁睁䅁䅁䅁权䅁䅁䅁权乂杁䅁权䙁䅁䅁权䡁䅁䅁允䅁䅁䅅䅁䭁䅁䅧䅁䵁䅉䅅䅁䑁䅁䅁睁䵁䅁䅁兂䅁䅁䅁卸剸兑䅯杷䅉䅁䅅䅁䉁䅁䅁权偃杁䅁䍄䉁䅁䅁䅂䅁䅁䅍䅁䅁䅁䅯䅁䅁䅁䅯杖䅅䅁䅯杁䅁䅁䅅䅁䉁䅁䅁权塂允䅁䍄䉁䅁䅁兂䅁䅁䅍䅁䅁䅁䅯䅁䅁䅁䅯兖䅉䅁䅯兂䅁䅁䅯杂䅁䅁䅅䅁䉁䅁䅁睁㙄䕚䅉䍄䉁䅁䅁睁䅁䅁䅍䅄䅁䅁䅕䅁䅁䑁堳す䭅䩁䍁䅁䉁䅁䅁允䅁䅁䅯睪䅉䅁杷允䅁䅁䅑䅁䑁䅁䅁䅁䭁䅁䅁䅁䭁䙁䉫䅁䭁䅁䅉䅁䉁䅁䅁允䅁䅁䅯杗䅅䅁杷允䅁䅁䅍䅁䑁䅁䅷䅁䙁䅁䅁䅁㑂正䈹权䑄杁䅁允䅁䅁䅅䅁䭁乁䌴䅁䵁䅉䅅䅁䑁䅁䅁睁䵁䅁䅁兂䅁䅁䅄㡅兎兑䅯杷䅉䅁䅅䅁䉁䅁䅁权ㅃ杁䅁䍄䉁䅁䅁睁䅁䅁䅍䅄䅁䅁䅕䅁䅁䑁堳す䭅䵁䍕䅁䉁䅁䅁允䅁䅁䅯睪䅉䅁杷允䅁䅁䅑䅁䑁䅁䅁䅁䭁䅁䅁䅁䭁佁䉅䅁䭁䅁䅉䅁䉁䅁䅁允䅁䅁䅯杅䅁䅁杷允䅁䅁䅍䅁䑁䅁䅷䅁䙁䅁䅁䅁㕁噭䉂权䑄杁䅁允䅁䅁䅅䅁䭁乁䌴䅁䵁䅉䅅䅁䕁䅁䅁睁䅁䅁䅁权䅁䅁䅁权扂允䅁权䍁䅁䅁允䅁䅁䅅䅁䭁䙁䉷䅁䵁䅉䅅䅁䕁䅁䅁睁䅁䅁䅁权䅁䅁䅁权噂杁䅁权䍁䅁䅁允䅁䅁䅅䅁䭁䙁䍙䅁䵁䅉䅅䅁䑁䅁䅁睁䵁䅁䅁兂䅁䅁䅃㕷全兑䅯睷䅉䅁䅅䅁䉁䅁䅁权呁睁䅁䍄䉁䅁䅁䅂䅁䅁䅍䅁䅁䅁䅯䅁䅁䅁䅯兙䅅䅁䅯杁䅁䅁䅅䅁䉁䅁䅁权楂允䅁䍄䉁䅁䅁兂䅁䅁䅍䅁䅁䅁䅯䅁䅁䅁䅯兹䅅䅁䅯兂䅁䅁䅯杂䅁䅁䅅䅁䉁䅁䅁睁䭁䕘䅉䍄䉁䅁䅁䅂䅁䅁䅍䅁䅁䅁䅯䅁䅁䅁䅯睩䅉䅁䅯杁䅁䅁䅅䅁䉁䅁䅁权汄䅁䅁䍄䉁䅁䅁睁䅁䅁䅍䅄䅁䅁䅕䅁䅁䱁楫歕䭅䩁䍁䅁䉁䅁䅁允䅁䅁䅯睪䅉䅁杷允䅁䅁䅑䅁䑁䅁䅁䅁䭁䅁䅁䅁䭁䝁䉕䅁䭁䅁䅉䅁䉁䅁䅁允䅁䅁䅯其䅁䅁杷允䅁䅁䅕䅁䑁䅁䅁䅁䭁䅁䅁䅁䭁䭁䉑䅁䭁䅁䅕䅁䭁䅁䅣䅁䉁䅁䅁允䅁䅁䅍䭁㙇䅁杷允䅁䅁䅕䅁䑁䅁䅁䅁䭁䅁䅁䅁䭁䅁䉅䅁䭁䅁䅕䅁䭁䅁䅙䅁䉁䅁䅁允䅁䅁䅍桌䅎䅁杷允䅁䅁䅍䅁䑁䅁䅷䅁䙁䅁䅁䥁癃圴䉒权䍄杁䅁允䅁䅁䅅䅁䭁䥁䌸䅁䵁䅉䅅䅁䙁䅁䅁睁䅁䅁䅁权䅁䅁䅁权畂允䅁权䙁䅁䅁权䝁䅁䅁允䅁䅁䅅䅁䑁䭁稹䅑䵁䅉䅅䅁䙁䅁䅁睁䅁䅁䅁权䅁䅁䅁权啂杁䅁权䙁䅁䅁权䝁䅁䅁允䅁䅁䅅䅁䑁䑁㉰村䵁䅉䅅䅁䙁䅁䅁睁䅁䅁䅁权䅁䅁䅁权畃䅁䅁权䙁䅁䅁权䝁䅁䅁允䅁䅁䅅䅁䑁䙁䉮杰䵁䅉䅅䅁䙁䅁䅁睁䅁䅁䅁权䅁䅁䅁权乄允䅁权䙁䅁䅁权䝁䅁䅁允䅁䅁䅅䅁䑁䩁奤村䵁䅉䅅䅁䙁䅁䅁睁䅁䅁䅁权䅁䅁䅁权䙂杁䅁权䙁䅁䅁权䡁䅁䅁允䅁䅁䅅䅁䭁䅁䅧䅁䵁䅉䅅䅁䕁䅁䅁睁䅁䅁䅁权䅁䅁䅁权浂允䅁权䍁䅁䅁允䅁䅁䅅䅁䭁䝁䉣䅁䵁䅉䅅䅁䙁䅁䅁睁䅁䅁䅁权䅁䅁䅁权牄䅁䅁权䙁䅁䅁权䡁䅁䅁允䅁䅁䅅䅁䭁䅁䅧䅁䵁䅉䅅䅁䙁䅁䅁睁䅁䅁䅁权䅁䅁䅁权捂䅁䅁权䙁䅁䅁权䡁䅁䅁允䅁䅁䅅䅁䭁䅁䅧䅁䵁䅉䅅䅁䕁䅁䅁睁䅁䅁䅁权䅁䅁䅁权㉁杁䅁权䍁䅁䅁允䅁䅁䅅䅁䭁偁䅕䅁䵁䅉䅅䅁䙁䅁䅁睁䅁䅁䅁权䅁䅁䅁权捂䅁䅁权䙁䅁䅁权䝁䅁䅁允䅁䅁䅅䅁䑁乁ㄹ村䵁䅉䅅䅁䕁䅁䅁睁䅁䅁䅁权䅁䅁䅁权獂允䅁权䍁䅁䅁允䅁䅁䅅䅁䭁䝁䈰䅁䵁䅉䅅䅁䙁䅁䅁睁䅁䅁䅁权䅁䅁䅁权畁杁䅁权䙁䅁䅁权䝁䅁䅁允䅁䅁䅅䅁䑁䱁獎村䵁䅉䅅䅁䕁䅁䅁睁䅁䅁䅁权䅁䅁䅁权睂杁䅁权䍁䅁䅁允䅁䅁䅅䅁䭁䅁䉁䅁䵁䅉䅅䅁䑁䅁䅁睁䵁䅁䅁兂䅁䅁权整歆兑䅯杪䅉䅁䅅䅁䉁䅁䅁权偃杁䅁䍄䉁䅁䅁䅂䅁䅁䅍䅁䅁䅁䅯䅁䅁䅁䅯杢䅅䅁䅯杁䅁䅁䅅䅁䉁䅁䅁权療允䅁䍄䉁䅁䅁䅂䅁䅁䅍䅁䅁䅁䅯䅁䅁䅁䅯督䅅䅁䅯杁䅁䅁䅅䅁䉁䅁䅁权あ允䅁䍄䉁䅁䅁䅂䅁䅁䅍䅁䅁䅁䅯䅁䅁䅁䅯兤䅅䅁䅯杁䅁䅁䅅䅁䉁䅁䅁权㉂允䅁䍄䉁䅁䅁睁䅁䅁䅍䅄䅁䅁䅕䅁䅁䝁䌴さ䭅䵁䍉䅁䉁䅁䅁允䅁䅁䅯公䅉䅁杷允䅁䅁䅑䅁䑁䅁䅁䅁䭁䅁䅁䅁䭁䡁䉣䅁䭁䅁䅉䅁䉁䅁䅁允䅁䅁䅯䅥䅅䅁杷允䅁䅁䅍䅁䑁䅁䅷䅁䙁䅁䅁䕁䡄噐䉆权元杁䅁允䅁䅁䅅䅁䭁䥁䌸䅁䵁䅉䅅䅁䙁䅁䅁睁䅁䅁䅁权䅁䅁䅁权瑁允䅁权䙁䅁䅁权䡁䅁䅁允䅁䅁䅅䅁䑁䅁樵村䵁䅉䅅䅁䑁䅁䅁睁䵁䅁䅁兂䅁䅁䅃䩒儱兑䅯典䅉䅁䅅䅁䉁䅁䅁权㡄杁䅁䍄䉁䅁䅁䅂䅁䅁䅍䅁䅁䅁䅯䅁䅁䅁䅯睦䅅䅁䅯杁䅁䅁䅅䅁䉁䅁䅁权䅃允䅁䍄䉁䅁䅁兂䅁䅁䅍䅁䅁䅁䅯䅁䅁䅁䅯末䅁䅁䅯兂䅁䅁䅯睂䅁䅁䅅䅁䉁䅁䅁权䥁䅁䅁䍄䉁䅁䅁睁䅁䅁䅍䅄䅁䅁䅕䅁䅁䅁㑙啕䭅䥁䌴䅁䉁䅁䅁允䅁䅁䅯䅯䅉䅁杷允䅁䅁䅕䅁䑁䅁䅁䅁䭁䅁䅁䅁䭁偁䉳䅁䭁䅁䅕䅁䭁䅁䅙䅁䉁䅁䅁允䅁䅁䅍坖䍴䅁杷允䅁䅁䅕䅁䑁䅁䅁䅁䭁䅁䅁䅁䭁䉁䍉䅁䭁䅁䅕䅁䭁䅁䅙䅁䉁䅁䅁允䅁䅁䅍㌳䍖䅁杷允䅁䅁䅍䅁䑁䅁䅷䅁䙁䅁䅁䥁佄䙂䉂权佃杁䅁允䅁䅁䅅䅁䭁䩁䍧䅁䵁䅉䅅䅁䕁䅁䅁睁䅁䅁䅁权䅁䅁䅁权䑃允䅁权䍁䅁䅁允䅁䅁䅅䅁䭁䥁䉑䅁䵁䅉䅅䅁䑁䅁䅁睁䵁䅁䅁兂䅁䅁䅄瑥歬兑䅯䅫䅉䅁䅅䅁䉁䅁䅁权偃杁䅁䍄䉁䅁䅁䅂䅁䅁䅍䅁䅁䅁䅯䅁䅁䅁䅯全䅅䅁䅯杁䅁䅁䅅䅁䉁䅁䅁权杁䅁䅁䍄䉁䅁䅁䅂䅁䅁䅍䅁䅁䅁䅯䅁䅁䅁䅯儯䅅䅁䅯杁䅁䅁䅅䅁䉁䅁䅁权⭄允䅁䍄䉁䅁䅁兂䅁䅁䅍䅁䅁䅁䅯䅁䅁䅁䅯眳䅅䅁䅯兂䅁䅁䅯杂䅁䅁䅅䅁䉁䅁䅁睁湂欱䅅䍄䉁䅁䅁䅂䅁䅁䅍䅁䅁䅁䅯䅁䅁䅁䅯兩䅅䅁䅯杁䅁䅁䅅䅁䉁䅁䅁权䭃允䅁䍄䉁䅁䅁睁䅁䅁䅍䅄䅁䅁䅕䅁䅁偁噇䕕䭅䵁䍍䅁䉁䅁䅁允䅁䅁䅯䄳䅉䅁杷允䅁䅁䅑䅁䑁䅁䅁䅁䭁䅁䅁䅁䭁䩁䉁䅁䭁䅁䅉䅁䉁䅁䅁允䅁䅁䅯元䅁䅁杷允䅁䅁䅍䅁䑁䅁䅷䅁䙁䅁䅁䅁佄䕱䈹权䑄杁䅁允䅁䅁䅅䅁䭁䵁䍙䅁䵁䅉䅅䅁䙁䅁䅁睁䅁䅁䅁权䅁䅁䅁权扁䅁䅁权䙁䅁䅁权䡁䅁䅁允䅁䅁䅅䅁䑁䥁猫児䵁䅉䅅䅁䕁䅁䅁睁䅁䅁䅁权䅁䅁䅁权剃允䅁权䍁䅁䅁允䅁䅁䅅䅁䭁䩁䉉䅁䵁䅉䅅䅁䕁䅁䅁睁䅁䅁䅁权䅁䅁䅁权捄允䅁权䍁䅁䅁允䅁䅁䅅䅁䭁乁䈰䅁䵁䅉䅅䅁䙁䅁䅁睁䅁䅁䅁权䅁䅁䅁权硃䅁䅁权䙁䅁䅁权䝁䅁䅁允䅁䅁䅅䅁䑁䍁摴村䵁䅉䅅䅁䙁䅁䅁睁䅁䅁䅁权䅁䅁䅁权牂杁䅁权䙁䅁䅁权䡁䅁䅁允䅁䅁䅅䅁䭁䅁䅧䅁䵁䅉䅅䅁䕁䅁䅁睁䅁䅁䅁权䅁䅁䅁权乄允䅁权䍁䅁䅁允䅁䅁䅅䅁䭁䵁䈴䅁䵁䅉䅅䅁䑁䅁䅁睁䵁䅁䅁兂䅁䅁䅃㕘兴兑䅯睷䅉䅁䅅䅁䉁䅁䅁权啃杁䅁䍄䉁䅁䅁睁䅁䅁䅍䅄䅁䅁䅕䅁䅁䩁坵䕕䭅䵁䍕䅁䉁䅁䅁允䅁䅁䅯儷䅉䅁杷允䅁䅁䅍䅁䑁䅁䅷䅁䙁䅁䅁䅁杁䝖䉤权佃杁䅁允䅁䅁䅅䅁䭁䥁䌸䅁䵁䅉䅅䅁䕁䅁䅁睁䅁䅁䅁权䅁䅁䅁权呃允䅁权䍁䅁䅁允䅁䅁䅅䅁䭁䩁䉑䅁䵁䅉䅅䅁䕁䅁䅁睁䅁䅁䅁权䅁䅁䅁权噃允䅁权䍁䅁䅁允䅁䅁䅅䅁䭁䩁䉙䅁䵁䅉䅅䅁䕁䅁䅁睁䅁䅁䅁权䅁䅁䅁权婃允䅁权䍁䅁䅁允䅁䅁䅅䅁䭁䩁䉯䅁䵁䅉䅅䅁䑁䅁䅁睁䵁䅁䅁兂䅁䅁䅄摉歨兑䅯杪䅉䅁䅅䅁䉁䅁䅁权偃杁䅁䍄䉁䅁䅁睁䅁䅁䅍䅄䅁䅁䅕䅁䅁佁䠵䕥䭅䥁䌴䅁䉁䅁䅁允䅁䅁䅯睪䅉䅁杷允䅁䅁䅕䅁䑁䅁䅁䅁䭁䅁䅁䅁䭁䡁䉕䅁䭁䅁䅕䅁䭁䅁䅙䅁䉁䅁䅁允䅁䅁䅍呪⽍䅁杷允䅁䅁䅑䅁䑁䅁䅁䅁䭁䅁䅁䅁䭁䩁䉳䅁䭁䅁䅉䅁䉁䅁䅁允䅁䅁䅯睶䅁䅁杷允䅁䅁䅕䅁䑁䅁䅁䅁䭁䅁䅁䅁䭁偁䄸䅁䭁䅁䅕䅁䭁䅁䅙䅁䉁䅁䅁允䅁䅁䅍摪䍒䅁杷允䅁䅁䅕䅁䑁䅁䅁䅁䭁䅁䅁䅁䭁䱁䅁䅁䭁䅁䅕䅁䭁䅁䅙䅁䉁䅁䅁允䅁䅁䅍ㅳ䍨䅁杷允䅁䅁䅍䅁䑁䅁䅷䅁䙁䅁䅁䕁桂ㅬ䉂权佃杁䅁允䅁䅁䅅䅁䭁䥁䌸䅁䵁䅉䅅䅁䙁䅁䅁睁䅁䅁䅁权䅁䅁䅁权䙂䅁䅁权䙁䅁䅁权䝁䅁䅁允䅁䅁䅅䅁䑁佁愵村䵁䅉䅅䅁䕁䅁䅁睁䅁䅁䅁权䅁䅁䅁权捃允䅁权䍁䅁䅁允䅁䅁䅅䅁䭁䩁䈰䅁䵁䅉䅅䅁䑁䅁䅁睁䵁䅁䅁兂䅁䅁䅃㕅公兑䅯杷䅉䅁䅅䅁䉁䅁䅁权偃杁䅁䍄䉁䅁䅁䅂䅁䅁䅍䅁䅁䅁䅯䅁䅁䅁䅯杮䅅䅁䅯杁䅁䅁䅅䅁䉁䅁䅁权晃允䅁䍄䉁䅁䅁䅂䅁䅁䅍䅁䅁䅁䅯䅁䅁䅁䅯䅯䅅䅁䅯杁䅁䅁䅅䅁䉁䅁䅁权㍁允䅁䍄䉁䅁䅁䅂䅁䅁䅍䅁䅁䅁䅯䅁䅁䅁䅯䅰䅅䅁䅯杁䅁䅁䅅䅁䉁䅁䅁权汃允䅁䍄䉁䅁䅁兂䅁䅁䅍䅁䅁䅁䅯䅁䅁䅁䅯李䅅䅁䅯兂䅁䅁䅯杂䅁䅁䅅䅁䉁䅁䅁睁䱄䕘䅉䍄䉁䅁䅁睁䅁䅁䅍䅄䅁䅁䅕䅁䅁䱁杵䕕䭅䩁䍁䅁䉁䅁䅁允䅁䅁䅯睪䅉䅁杷允䅁䅁䅑䅁䑁䅁䅁䅁䭁䅁䅁䅁䭁䭁䉙䅁䭁䅁䅉䅁䉁䅁䅁允䅁䅁䅯睰䅅䅁杷允䅁䅁䅍䅁䑁䅁䅷䅁䙁䅁䅁䥁䡂欱䈵权䍄杁䅁允䅁䅁䅅䅁䭁䥁䌸䅁䵁䅉䅅䅁䙁䅁䅁睁䅁䅁䅁权䅁䅁䅁权癁允䅁权䙁䅁䅁权䡁䅁䅁允䅁䅁䅅䅁䭁䅁䅧䅁䵁䅉䅅䅁䕁䅁䅁睁䅁䅁䅁权䅁䅁䅁权潃允䅁权䍁䅁䅁允䅁䅁䅅䅁䭁䝁䅧䅁䵁䅉䅅䅁䕁䅁䅁睁䅁䅁䅁权䅁䅁䅁权灃允䅁权䍁䅁䅁允䅁䅁䅅䅁䭁䝁䅧䅁䵁䅉䅅䅁䙁䅁䅁睁䅁䅁䅁权䅁䅁䅁权奁允䅁权䙁䅁䅁权䝁䅁䅁允䅁䅁䅅䅁䑁偁歄材䵁䅉䅅䅁䑁䅁䅁睁䵁䅁䅁兂䅁䅁杁㥋歨兑䅯杪䅉䅁䅅䅁䉁䅁䅁权偃杁䅁䍄䉁䅁䅁䅂䅁䅁䅍䅁䅁䅁䅯䅁䅁䅁䅯睱䅅䅁䅯杁䅁䅁䅅䅁䉁䅁䅁权獃允䅁䍄䉁䅁䅁䅂䅁䅁䅍䅁䅁䅁䅯䅁䅁䅁䅯兲䅅䅁䅯杁䅁䅁䅅䅁䉁䅁䅁权畃允䅁䍄䉁䅁䅁䅂䅁䅁䅍䅁䅁䅁䅯䅁䅁䅁䅯䅋䅉䅁䅯杁䅁䅁䅅䅁䉁䅁䅁权橃䅁䅁䍄䉁䅁䅁䅂䅁䅁䅍䅁䅁䅁䅯䅁䅁䅁䅯睨䅉䅁䅯杁䅁䅁䅅䅁䉁䅁䅁权䅂䅁䅁䍄䉁䅁䅁䅂䅁䅁䅍䅁䅁䅁䅯䅁䅁䅁䅯睲䅅䅁䅯杁䅁䅁䅅䅁䉁䅁䅁权睃允䅁䍄䉁䅁䅁睁䅁䅁䅍䅄䅁䅁䅕䅁䅁䑁堳す䭅䵁䍉䅁䉁䅁䅁允䅁䅁䅯睪䅉䅁杷允䅁䅁䅕䅁䑁䅁䅁䅁䭁䅁䅁䅁䭁䵁䅑䅁䭁䅁䅕䅁䭁䅁䅣䅁䉁䅁䅁允䅁䅁䅍㈰䍤䅁杷允䅁䅁䅍䅁䑁䅁䅷䅁䙁䅁䅁䕁煄噬䉂权䑄杁䅁允䅁䅁䅅䅁䭁䵁䍙䅁䵁䅉䅅䅁䙁䅁䅁睁䅁䅁䅁权䅁䅁䅁权牁䅁䅁权䙁䅁䅁权䡁䅁䅁允䅁䅁䅅䅁䭁䅁䅧䅁䵁䅉䅅䅁䙁䅁䅁睁䅁䅁䅁权䅁䅁䅁权偂杁䅁权䙁䅁䅁权䡁䅁䅁允䅁䅁䅅䅁䭁䅁䅧䅁䵁䅉䅅䅁䑁䅁䅁睁䵁䅁䅁兂䅁䅁䅄婧儱兑䅯䅫䅉䅁䅅䅁䉁䅁䅁权偃杁䅁䍄䉁䅁䅁兂䅁䅁䅍䅁䅁䅁䅯䅁䅁䅁䅯䅈䅅䅁䅯兂䅁䅁䅯睂䅁䅁䅅䅁䉁䅁䅁权䥁䅁䅁䍄䉁䅁䅁睁䅁䅁䅍䅄䅁䅁䅕䅁䅁䥁摹䕕䭅䵁䍕䅁䉁䅁䅁允䅁䅁䅯眯䅉䅁杷允䅁䅁䅑䅁䑁䅁䅁䅁䭁䅁䅁䅁䭁䱁䉍䅁䭁䅁䅉䅁䉁䅁䅁允䅁䅁䅯䅡䅁䅁杷允䅁䅁䅑䅁䑁䅁䅁䅁䭁䅁䅁䅁䭁䱁䉑䅁䭁䅁䅉䅁䉁䅁䅁允䅁䅁䅯兴䅅䅁杷允䅁䅁䅕䅁䑁䅁䅁䅁䭁䅁䅁䅁䭁䡁䅉䅁䭁䅁䅕䅁䭁䅁䅣䅁䉁䅁䅁允䅁䅁䅯䅃䅁䅁杷允䅁䅁䅍䅁䑁䅁䅷䅁䙁䅁䅁䭁癃圴䉒权䍄杁䅁允䅁䅁䅅䅁䭁䥁䌸䅁䵁䅉䅅䅁䕁䅁䅁睁䅁䅁䅁权䅁䅁䅁权䡄允䅁权䍁䅁䅁允䅁䅁䅅䅁䭁䵁䉧䅁䵁䅉䅅䅁䕁䅁䅁睁䅁䅁䅁权䅁䅁䅁权敁杁䅁权䍁䅁䅁允䅁䅁䅅䅁䭁䉁䄴䅁䵁䅉䅅䅁䙁䅁䅁睁䅁䅁䅁权䅁䅁䅁权乃允䅁权䙁䅁䅁权䡁䅁䅁允䅁䅁䅅䅁䭁䅁䅧䅁䵁䅉䅅䅁䙁䅁䅁睁䅁䅁䅁权䅁䅁䅁权湂杁䅁权䙁䅁䅁权䡁䅁䅁允䅁䅁䅅䅁䭁䅁䅧䅁䵁䅉䅅䅁䕁䅁䅁睁䅁䅁䅁权䅁䅁䅁权㉃允䅁权䍁䅁䅁允䅁䅁䅅䅁䭁䱁䉣䅁䵁䅉䅅䅁䕁䅁䅁睁䅁䅁䅁权䅁䅁䅁权㑃允䅁权䍁䅁䅁允䅁䅁䅅䅁䭁䱁䉫䅁䵁䅉䅅䅁䙁䅁䅁睁䅁䅁䅁权䅁䅁䅁权祂䅁䅁权䙁䅁䅁权䝁䅁䅁允䅁䅁䅅䅁䑁䝁畅材䵁䅉䅅䅁䙁䅁䅁睁䅁䅁䅁权䅁䅁䅁权時允䅁权䙁䅁䅁权䡁䅁䅁允䅁䅁䅅䅁䭁䅁䅧䅁䵁䅉䅅䅁䙁䅁䅁睁䅁䅁䅁权䅁䅁䅁权硄允䅁权䙁䅁䅁权䡁䅁䅁允䅁䅁䅅䅁䑁䩁桨村䵁䅉䅅䅁䕁䅁䅁睁䅁䅁䅁权䅁䅁䅁权㙃允䅁权䍁䅁䅁允䅁䅁䅅䅁䭁䱁䉳䅁䵁䅉䅅䅁䕁䅁䅁睁䅁䅁䅁权䅁䅁䅁权䵂杁䅁权䍁䅁䅁允䅁䅁䅅䅁䭁䅁䉁䅁䵁䅉䅅䅁䕁䅁䅁睁䅁䅁䅁权䅁䅁䅁权⭃允䅁权䍁䅁䅁允䅁䅁䅅䅁䭁䱁䈸䅁䵁䅉䅅䅁䙁䅁䅁睁䅁䅁䅁权䅁䅁䅁权瑁允䅁权䙁䅁䅁权䝁䅁䅁允䅁䅁䅅䅁䑁乁摵村䵁䅉䅅䅁䕁䅁䅁睁䅁䅁䅁权䅁䅁䅁权䕄允䅁权䍁䅁䅁允䅁䅁䅅䅁䭁䵁䉕䅁䵁䅉䅅䅁䙁䅁䅁睁䅁䅁䅁权䅁䅁䅁权噁䅁䅁权䙁䅁䅁权䝁䅁䅁允䅁䅁䅅䅁䑁䝁䡶杰䵁䅉䅅䅁䕁䅁䅁睁䅁䅁䅁权䅁䅁䅁权䅂杁䅁权䍁䅁䅁允䅁䅁䅅䅁䭁䕁䍅䅁䵁䅉䅅䅁䑁䅁䅁睁䵁䅁䅁兂䅁䅁䅃灸偬兑䅯杪䅉䅁䅅䅁䉁䅁䅁权偃杁䅁䍄䉁䅁䅁睁䅁䅁䅍䅄䅁䅁䅕䅁䅁䕧扱䕕䭅䩁䍁䅁䉁䅁䅁允䅁䅁䅯睪䅉䅁杷允䅁䅁䅑䅁䑁䅁䅁䅁䭁䅁䅁䅁䭁䵁䉙䅁䭁䅁䅉䅁䉁䅁䅁允䅁䅁䅯䄲䅁䅁杷允䅁䅁䅑䅁䑁䅁䅁䅁䭁䅁䅁䅁䭁佁䉑䅁䭁䅁䅉䅁䉁䅁䅁允䅁䅁䅯睗䅁䅁杷允䅁䅁䅕䅁䑁䅁䅁䅁䭁䅁䅁䅁䭁䉁䍁䅁䭁䅁䅕䅁䭁䅁䅙䅁䉁䅁䅁允䅁䅁䅍伸⭑䅁杷允䅁䅁䅍䅁䑁䅁䅷䅁䙁䅁䅁䅁畂汁䉎权元杁䅁允䅁䅁䅅䅁䭁䩁䍕䅁䵁䅉䅅䅁䕁䅁䅁睁䅁䅁䅁权䅁䅁䅁权䭄允䅁权䍁䅁䅁允䅁䅁䅅䅁䭁䵁䉳䅁䵁䅉䅅䅁䙁䅁䅁睁䅁䅁䅁权䅁䅁䅁权㡄䅁䅁权䙁䅁䅁权䡁䅁䅁允䅁䅁䅅䅁䭁䅁䅧䅁䵁䅉䅅䅁䑁䅁䅁睁䵁䅁䅁兂䅁䅁䅂獅奨兑䅯典䅉䅁䅅䅁䉁䅁䅁权㙄杁䅁䍄䉁䅁䅁兂䅁䅁䅍䅁䅁䅁䅯䅁䅁䅁䅯睓䅅䅁䅯兂䅁䅁䅯睂䅁䅁䅅䅁䉁䅁䅁睁摁〹䅑䍄䉁䅁䅁睁䅁䅁䅍䅄䅁䅁䅕䅁䅁䉷塩䕕䭅䥁䌴䅁䉁䅁䅁允䅁䅁䅯睪䅉䅁杷允䅁䅁䅑䅁䑁䅁䅁䅁䭁䅁䅁䅁䭁䵁䈸䅁䭁䅁䅉䅁䉁䅁䅁允䅁䅁䅯䅡䅁䅁杷允䅁䅁䅑䅁䑁䅁䅁䅁䭁䅁䅁䅁䭁乁䉍䅁䭁䅁䅉䅁䉁䅁䅁允䅁䅁䅯䄱䅅䅁杷允䅁䅁䅕䅁䑁䅁䅁䅁䭁䅁䅁䅁䭁䑁䉷䅁䭁䅁䅕䅁䭁䅁䅙䅁䉁䅁䅁允䅁䅁䅍噯䑤䅁杷允䅁䅁䅑䅁䑁䅁䅁䅁䭁䅁䅁䅁䭁乁䉕䅁䭁䅁䅉䅁䉁䅁䅁允䅁䅁䅯朱䅅䅁杷允䅁䅁䅍䅁䑁䅁䅷䅁䙁䅁䅁䥁睁う䈹权䙄杁䅁允䅁䅁䅅䅁䭁䥁䌸䅁䵁䅉䅅䅁䕁䅁䅁睁䅁䅁䅁权䅁䅁䅁权塄允䅁权䍁䅁䅁允䅁䅁䅅䅁䭁乁䉧䅁䵁䅉䅅䅁䙁䅁䅁睁䅁䅁䅁权䅁䅁䅁权ㅄ允䅁权䙁䅁䅁权䝁䅁䅁允䅁䅁䅅䅁䑁偁爯杘䵁䅉䅅䅁䙁䅁䅁睁䅁䅁䅁权䅁䅁䅁权呃䅁䅁权䙁䅁䅁权䡁䅁䅁允䅁䅁䅅䅁䑁䵁㉱睑䵁䅉䅅䅁䑁䅁䅁睁䵁䅁䅁兂䅁䅁䅂灇兤兑䅯䅫䅉䅁䅅䅁䉁䅁䅁权偃杁䅁䍄䉁䅁䅁䅂䅁䅁䅍䅁䅁䅁䅯䅁䅁䅁䅯眲䅅䅁䅯杁䅁䅁䅅䅁䉁䅁䅁权橃䅁䅁䍄䉁䅁䅁睁䅁䅁䅍䅄䅁䅁䅕䅁䅁䩷ㅬ䕕䭅䵁䍍䅁䉁䅁䅁允䅁䅁䅯公䅉䅁杷允䅁䅁䅕䅁䑁䅁䅁䅁䭁䅁䅁䅁䭁䉁䅍䅁䭁䅁䅕䅁䭁䅁䅙䅁䉁䅁䅁允䅁䅁䅍湭䍖䅁杷允䅁䅁䅍䅁䑁䅁䅷䅁䙁䅁䅁䕁䕁䙮䉂权䑄杁䅁允䅁䅁䅅䅁䭁乁䍷䅁䵁䅉䅅䅁䑁䅁䅁睁䵁䅁䅁兂䅁䅁䅂⭲歆兑䅯杷䅉䅁䅅䅁䉁䅁䅁权偃杁䅁䍄䉁䅁䅁兂䅁䅁䅍䅁䅁䅁䅯䅁䅁䅁䅯䅙䅉䅁䅯兂䅁䅁䅯睂䅁䅁䅅䅁䉁䅁䅁权䥁䅁䅁䍄䉁䅁䅁睁䅁䅁䅍䅄䅁䅁䅕䅁䅁䵧稶ご䭅䥁䌴䅁䉁䅁䅁允䅁䅁䅯睪䅉䅁杷允䅁䅁䅕䅁䑁䅁䅁䅁䭁䅁䅁䅁䭁䩁䉳䅁䭁䅁䅕䅁䭁䅁䅙䅁䉁䅁䅁允䅁䅁䅍㉶䍖䅁杷允䅁䅁䅍䅁䑁䅁䅷䅁䙁䅁䅁䅁楁䙭䉂权佃杁䅁允䅁䅁䅅䅁䭁䥁䌸䅁䵁䅉䅅䅁䕁䅁䅁睁䅁䅁䅁权䅁䅁䅁权敄允䅁权䍁䅁䅁允䅁䅁䅅䅁䭁䉁䅧䅁䵁䅉䅅䅁䑁䅁䅁睁䵁䅁䅁兂䅁䅁䅂婲党兑䅯睷䅉䅁䅅䅁䉁䅁䅁权瑃杁䅁䍄䉁䅁䅁兂䅁䅁䅍䅁䅁䅁䅯䅁䅁䅁䅯睧䅅䅁䅯兂䅁䅁䅯睂䅁䅁䅅䅁䉁䅁䅁权䥁䅁䅁䍄䉁䅁䅁兂䅁䅁䅍䅁䅁䅁䅯䅁䅁䅁䅯杖䅅䅁䅯兂䅁䅁䅯睂䅁䅁䅅䅁䉁䅁䅁权䥁䅁䅁䍄䉁䅁䅁䅂䅁䅁䅍䅁䅁䅁䅯䅁䅁䅁䅯眳䅅䅁䅯杁䅁䅁䅅䅁䉁䅁䅁权杄允䅁䍄䉁䅁䅁兂䅁䅁䅍䅁䅁䅁䅯䅁䅁䅁䅯䅊䅅䅁䅯兂䅁䅁䅯杂䅁䅁䅅䅁䉁䅁䅁睁㙁此䅉䍄䉁䅁䅁睁䅁䅁䅍䅄䅁䅁䅕䅁䅁䥧䵗歔䭅䵁䍉䅁䉁䅁䅁允䅁䅁䅯睪䅉䅁杷允䅁䅁䅑䅁䑁䅁䅁䅁䭁䅁䅁䅁䭁佁䉉䅁䭁䅁䅉䅁䉁䅁䅁允䅁䅁䅯眴䅅䅁杷允䅁䅁䅑䅁䑁䅁䅁䅁䭁䅁䅁䅁䭁䕁䍯䅁䭁䅁䅉䅁䉁䅁䅁允䅁䅁䅯睢䅅䅁杷允䅁䅁䅑䅁䑁䅁䅁䅁䭁䅁䅁䅁䭁佁䉫䅁䭁䅁䅉䅁䉁䅁䅁允䅁䅁䅯朶䅅䅁杷允䅁䅁䅕䅁䑁䅁䅁䅁䭁䅁䅁䅁䭁䑁䅳䅁䭁䅁䅕䅁䭁䅁䅣䅁䉁䅁䅁允䅁䅁䅍杓⭣䅁杷允䅁䅁䅑䅁䑁䅁䅁䅁䭁䅁䅁䅁䭁佁䉳䅁䭁䅁䅉䅁䉁䅁䅁允䅁䅁䅯䄷䅅䅁杷允䅁䅁䅕䅁䑁䅁䅁䅁䭁䅁䅁䅁䭁䑁䍳䅁䭁䅁䅕䅁䭁䅁䅙䅁䉁䅁䅁允䅁䅁䅍灘敡䅁杷允䅁䅁䅑䅁䑁䅁䅁䅁䭁䅁䅁䅁䭁偁䉅䅁䭁䅁䅉䅁䉁䅁䅁允䅁䅁䅯朸䅅䅁杷允䅁䅁䅕䅁䑁䅁䅁䅁䭁䅁䅁䅁䭁䭁䉅䅁䭁䅁䅕䅁䭁䅁䅙䅁䉁䅁䅁允䅁䅁䅍摪䍒䅁杷允䅁䅁䅑䅁䑁䅁䅁䅁䭁䅁䅁䅁䭁偁䉕䅁䭁䅁䅉䅁䉁䅁䅁允䅁䅁䅯朹䅅䅁杷允䅁䅁䅍䅁䑁䅁䅷䅁䙁䅁䅁䥁杄ㅬ䉂权䙄杁䅁允䅁䅁䅅䅁䭁䥁䌸䅁䵁䅉䅅䅁䕁䅁䅁睁䅁䅁䅁权䅁䅁䅁权㑄允䅁权䍁䅁䅁允䅁䅁䅅䅁䭁䩁䈸䅁䵁䅉䅅䅁䕁䅁䅁睁䅁䅁䅁权䅁䅁䅁权㕄允䅁权䍁䅁䅁允䅁䅁䅅䅁䭁偁䉯䅁䵁䅉䅅䅁䑁䅁䅁睁䵁䅁䅁兂䅁䅁䅃㕫典兑䅯䅫䅉䅁䅅䅁䉁䅁䅁权偃杁䅁䍄䉁䅁䅁䅂䅁䅁䅍䅁䅁䅁䅯䅁䅁䅁䅯眯䅅䅁䅯杁䅁䅁䅅䅁䉁䅁䅁权䅁杁䅁䍄䉁䅁䅁兂䅁䅁䅍䅁䅁䅁䅯䅁䅁䅁䅯兏䅁䅁䅯兂䅁䅁䅯杂䅁䅁䅅䅁䉁䅁䅁睁硁此䅉䍄䉁䅁䅁兂䅁䅁䅍䅁䅁䅁䅯䅁䅁䅁䅯䅮䅅䅁䅯兂䅁䅁䅯杂䅁䅁䅅䅁䉁䅁䅁睁㙁此䅉䍄䉁䅁䅁䅂䅁䅁䅍䅁䅁䅁䅯䅁䅁䅁䅯䅃䅉䅁䅯杁䅁䅁䅅䅁䉁䅁䅁权䩁杁䅁䍄䉁䅁䅁兂䅁䅁䅍䅁䅁䅁䅯䅁䅁䅁䅯兦䅅䅁䅯兂䅁䅁䅯睂䅁䅁䅅䅁䉁䅁䅁权䥁䅁䅁䍄䉁䅁䅁䅂䅁䅁䅍䅁䅁䅁䅯䅁䅁䅁䅯睃䅉䅁䅯杁䅁䅁䅅䅁䉁䅁䅁权潂䅁䅁䍄䉁䅁䅁睁䅁䅁䅍䅄䅁䅁䅕䅁䅁䥑婄䕚䭅䩁䍁䅁䉁䅁䅁允䅁䅁䅯睪䅉䅁杷允䅁䅁䅑䅁䑁䅁䅁䅁䭁䅁䅁䅁䭁䅁䌴䅁䭁䅁䅉䅁䉁䅁䅁允䅁䅁䅯䄲䅁䅁杷允䅁䅁䅑䅁䑁䅁䅁䅁䭁䅁䅁䅁䭁䉁䍣䅁䭁䅁䅉䅁䉁䅁䅁允䅁䅁䅯䅇䅉䅁杷允䅁䅁䅍䅁䑁䅁䅷䅁䙁䅁䅁䥁ㅁ噭䉂权佃杁䅁允䅁䅁䅅䅁䭁䥁䌸䅁䵁䅉䅅䅁䕁䅁䅁睁䅁䅁䅁权䅁䅁䅁权䥂杁䅁权䍁䅁䅁允䅁䅁䅅䅁䭁䅁䅫䅁䵁䅉䅅䅁䑁䅁䅁睁䵁䅁䅁兂䅁䅁杁琷歨兑䅯䅫䅉䅁䅅䅁䉁䅁䅁权偃杁䅁䍄䉁䅁䅁䅂䅁䅁䅍䅁䅁䅁䅯䅁䅁䅁䅯兇䅉䅁䅯杁䅁䅁䅅䅁䉁䅁䅁权慁杁䅁䍄䉁䅁䅁兂䅁䅁䅍䅁䅁䅁䅯䅁䅁䅁䅯睊䅁䅁䅯兂䅁䅁䅯睂䅁䅁䅅䅁䉁䅁䅁权䥁䅁䅁䍄䉁䅁䅁睁䅁䅁䅍䅄䅁䅁䅕䅁䅁䥷摇䕕䭅䵁䍍䅁䉁䅁䅁允䅁䅁䅯儶䅉䅁杷允䅁䅁䅕䅁䑁䅁䅁䅁䭁䅁䅁䅁䭁䍁䅳䅁䭁䅁䅕䅁䭁䅁䅙䅁䉁䅁䅁允䅁䅁䅍硃㥫䅁杷允䅁䅁䅕䅁䑁䅁䅁䅁䭁䅁䅁䅁䭁䭁䉧䅁䭁䅁䅕䅁䭁䅁䅣䅁䉁䅁䅁允䅁䅁䅯䅃䅁䅁杷允䅁䅁䅕䅁䑁䅁䅁䅁䭁䅁䅁䅁䭁佁䅁䅁䭁䅁䅕䅁䭁䅁䅙䅁䉁䅁䅁允䅁䅁䅍䵒⭕䅁杷允䅁䅁䅍䅁䑁䅁䅷䅁䙁䅁䅁䅁䍁ㅔ䉂权元杁䅁允䅁䅁䅅䅁䭁䥁䌸䅁䵁䅉䅅䅁䕁䅁䅁睁䅁䅁䅁权䅁䅁䅁权扁杁䅁权䍁䅁䅁允䅁䅁䅅䅁䭁䉁䍷䅁䵁䅉䅅䅁䕁䅁䅁睁䅁䅁䅁权䅁䅁䅁权摁杁䅁权䍁䅁䅁允䅁䅁䅅䅁䭁䉁䅧䅁䵁䅉䅅䅁䙁䅁䅁睁䅁䅁䅁权䅁䅁䅁权睁杁䅁权䙁䅁䅁权䝁䅁䅁允䅁䅁䅅䅁䑁䑁㉂村䵁䅉䅅䅁䙁䅁䅁睁䅁䅁䅁权䅁䅁䅁权㑂䅁䅁权䙁䅁䅁权䡁䅁䅁允䅁䅁䅅䅁䭁䅁䅧䅁䵁䅉䅅䅁䕁䅁䅁睁䅁䅁䅁权䅁䅁䅁权晁杁䅁权䍁䅁䅁允䅁䅁䅅䅁䭁䥁䅯䅁䵁䅉䅅䅁䙁䅁䅁睁䅁䅁䅁权䅁䅁䅁权㍃䅁䅁权䙁䅁䅁权䝁䅁䅁允䅁䅁䅅䅁䑁佁捨村䵁䅉䅅䅁䑁䅁䅁睁䵁䅁䅁兂䅁䅁䅂䩂典兑䅯杷䅉䅁䅅䅁䉁䅁䅁权偃杁䅁䍄䉁䅁䅁睁䅁䅁䅍䅄䅁䅁䅕䅁䅁䭑捡䕕䭅䥁䌴䅁䉁䅁䅁允䅁䅁䅯睪䅉䅁杷允䅁䅁䅑䅁䑁䅁䅁䅁䭁䅁䅁䅁䭁䍁䍍䅁䭁䅁䅉䅁䉁䅁䅁允䅁䅁䅯䅊䅉䅁杷允䅁䅁䅕䅁䑁䅁䅁䅁䭁䅁䅁䅁䭁䙁䅯䅁䭁䅁䅕䅁䭁䅁䅙䅁䉁䅁䅁允䅁䅁䅍坚䍚䅁杷允䅁䅁䅍䅁䑁䅁䅷䅁䙁䅁䅁䑁䉩婐䉸权佃杁䅁允䅁䅁䅅䅁䭁䱁䍯䅁䵁䅉䅅䅁䕁䅁䅁睁䅁䅁䅁权䅁䅁䅁权汁杁䅁权䍁䅁䅁允䅁䅁䅅䅁䭁䕁䈴䅁䵁䅉䅅䅁䕁䅁䅁睁䅁䅁䅁权䅁䅁䅁权流杁䅁权䍁䅁䅁允䅁䅁䅅䅁䭁䍁䍣䅁䵁䅉䅅䅁䕁䅁䅁睁䅁䅁䅁权䅁䅁䅁权乂杁䅁权䍁䅁䅁允䅁䅁䅅䅁䭁䉁䄴䅁䵁䅉䅅䅁䙁䅁䅁睁䅁䅁䅁权䅁䅁䅁权噃䅁䅁权䙁䅁䅁权䝁䅁䅁允䅁䅁䅅䅁䑁䝁浖村䵁䅉䅅䅁䙁䅁䅁睁䅁䅁䅁权䅁䅁䅁权乃䅁䅁权䙁䅁䅁权䝁䅁䅁允䅁䅁䅅䅁䑁䝁关兑䵁䅉䅅䅁䕁䅁䅁睁䅁䅁䅁权䅁䅁䅁权灁杁䅁权䍁䅁䅁允䅁䅁䅅䅁䭁䍁䅷䅁䵁䅉䅅䅁䕁䅁䅁睁䅁䅁䅁权䅁䅁䅁权瑁杁䅁权䍁䅁䅁允䅁䅁䅅䅁䭁䱁䄰䅁䵁䅉䅅䅁䙁䅁䅁睁䅁䅁䅁权䅁䅁䅁权癁䅁䅁权䙁䅁䅁权䝁䅁䅁允䅁䅁䅅䅁䑁䭁塬村䵁䅉䅅䅁䙁䅁䅁睁䅁䅁䅁权䅁䅁䅁权㑃允䅁权䙁䅁䅁权䡁䅁䅁允䅁䅁䅅䅁䑁䕁䡯材䵁䅉䅅䅁䕁䅁䅁睁䅁䅁䅁权䅁䅁䅁权畁杁䅁权䍁䅁䅁允䅁䅁䅅䅁䭁䍁䌸䅁䵁䅉䅅䅁䙁䅁䅁睁䅁䅁䅁权䅁䅁䅁权㑄允䅁权䙁䅁䅁权䡁䅁䅁允䅁䅁䅅䅁䑁䉁㉊村䵁䅉䅅䅁䙁䅁䅁睁䅁䅁䅁权䅁䅁䅁权䉁䅁䅁权䙁䅁䅁权䝁䅁䅁允䅁䅁䅅䅁䑁䕁䙔材䵁䅉䅅䅁䙁䅁䅁睁䅁䅁䅁权䅁䅁䅁权䵃杁䅁权䙁䅁䅁权䝁䅁䅁允䅁䅁䅅䅁䑁䕁㉆村䵁䅉䅅䅁䑁䅁䅁睁䵁䅁䅁兂䅁䅁䅂丶兖兑䅯睷䅉䅁䅅䅁䉁䅁䅁权噃杁䅁䍄䉁䅁䅁䅂䅁䅁䅍䅁䅁䅁䅯䅁䅁䅁䅯䅍䅉䅁䅯杁䅁䅁䅅䅁䉁䅁䅁权硁杁䅁䍄䉁䅁䅁䅂䅁䅁䅍䅁䅁䅁䅯䅁䅁䅁䅯睎䅉䅁䅯杁䅁䅁䅅䅁䉁䅁䅁权潂䅁䅁䍄䉁䅁䅁睁䅁䅁䅍䅄䅁䅁䅕䅁䅁䝁均䕕䭅䵁䍕䅁䉁䅁䅁允䅁䅁䅯睪䅉䅁杷允䅁䅁䅍䅁䑁䅁䅷䅁䙁䅁䅁䥁呁噭䉂权元杁䅁允䅁䅁䅅䅁䭁䥁䌸䅁䵁䅉䅅䅁䕁䅁䅁睁䅁䅁䅁权䅁䅁䅁权㑁杁䅁权䍁䅁䅁允䅁䅁䅅䅁䭁䭁䄸䅁䵁䅉䅅䅁䑁䅁䅁睁䵁䅁䅁兂䅁䅁杄䭊栱兑䅯杪䅉䅁䅅䅁䉁䅁䅁权偃杁䅁䍄䉁䅁䅁䅂䅁䅁䅍䅁䅁䅁䅯䅁䅁䅁䅯兏䅉䅁䅯杁䅁䅁䅅䅁䉁䅁䅁权䩁䅁䅁䍄䉁䅁䅁睁䅁䅁䅍䅄䅁䅁䅕䅁䅁䭁楊ご䭅䵁䍕䅁䉁䅁䅁允䅁䅁䅯睪䅉䅁杷允䅁䅁䅍䅁䑁䅁䅷䅁䙁䅁䅁䥁慂汭䉂权䍄杁䅁允䅁䅁䅅䅁䭁䥁䌸䅁䵁䅉䅅䅁䙁䅁䅁睁䅁䅁䅁权䅁䅁䅁权畁杁䅁权䙁䅁䅁权䡁䅁䅁允䅁䅁䅅䅁䑁偁爯杘䵁䅉䅅䅁䑁䅁䅁睁䵁䅁䅁兂䅁䅁䅃䡁晴兑䅯睷䅉䅁䅅䅁䉁䅁䅁权捄杁䅁䍄䉁䅁䅁䅂䅁䅁䅍䅁䅁䅁䅯䅁䅁䅁䅯杏䅉䅁䅯杁䅁䅁䅅䅁䉁䅁䅁权潂䅁䅁䍄䉁䅁䅁睁䅁䅁䅍䅄䅁䅁䅕䅁䅁䭧䩦䕕䭅䵁䍕䅁䉁䅁䅁允䅁䅁䅯睪䅉䅁杷允䅁䅁䅍䅁䑁䅁䅷䅁䙁䅁䅁䅁敄ㅇ䉬权䑄杁䅁允䅁䅁䅅䅁䭁䩁䍕䅁䵁䅉䅅䅁䕁䅁䅁睁䅁䅁䅁权䅁䅁䅁权㝁杁䅁权䍁䅁䅁允䅁䅁䅅䅁䭁䕁䅫䅁䵁䅉䅅䅁䑁䅁䅁睁䵁䅁䅁兂䅁䅁䅂丶兖兑䅯杪䅉䅁䅅䅁䉁䅁䅁权偃杁䅁䍄䉁䅁䅁兂䅁䅁䅍䅁䅁䅁䅯䅁䅁䅁䅯免䅁䅁䅯兂䅁䅁䅯睂䅁䅁䅅䅁䉁䅁䅁权䥁䅁䅁䍄䉁䅁䅁兂䅁䅁䅍䅁䅁䅁䅯䅁䅁䅁䅯杋䅉䅁䅯兂䅁䅁䅯睂䅁䅁䅅䅁䉁䅁䅁权䥁䅁䅁䍄䉁䅁䅁䅂䅁䅁䅍䅁䅁䅁䅯䅁䅁䅁䅯䅐䅉䅁䅯杁䅁䅁䅅䅁䉁䅁䅁权㥁杁䅁䍄䉁䅁䅁䅂䅁䅁䅍䅁䅁䅁䅯䅁䅁䅁䅯睐䅉䅁䅯杁䅁䅁䅅䅁䉁䅁䅁权䩂䅁䅁䍄䉁䅁䅁睁䅁䅁䅍䅄䅁䅁䅕䅁䅁䍷戲䕕䭅䵁䍍䅁䉁䅁䅁允䅁䅁䅯朳䅉䅁杷允䅁䅁䅕䅁䑁䅁䅁䅁䭁䅁䅁䅁䭁䥁䄸䅁䭁䅁䅕䅁䭁䅁䅙䅁䉁䅁䅁允䅁䅁䅍桌䅎䅁杷允䅁䅁䅑䅁䑁䅁䅁䅁䭁䅁䅁䅁䭁䕁䍕䅁䭁䅁䅉䅁䉁䅁䅁允䅁䅁䅯杩䅁䅁杷允䅁䅁䅕䅁䑁䅁䅁䅁䭁䅁䅁䅁䭁䍁䄸䅁䭁䅁䅕䅁䭁䅁䅣䅁䉁䅁䅁允䅁䅁䅯䅃䅁䅁杷允䅁䅁䅍䅁䑁䅁䅷䅁䙁䅁䅁䕁㑁汅䉂权佃杁䅁允䅁䅁䅅䅁䭁䥁䌸䅁䵁䅉䅅䅁䕁䅁䅁睁䅁䅁䅁权䅁䅁䅁权䝂杁䅁权䍁䅁䅁允䅁䅁䅅䅁䭁䕁䍣䅁䵁䅉䅅䅁䙁䅁䅁睁䅁䅁䅁权䅁䅁䅁权瑂䅁䅁权䙁䅁䅁权䡁䅁䅁允䅁䅁䅅䅁䑁䉁㉊村䵁䅉䅅䅁䕁䅁䅁睁䅁䅁䅁权䅁䅁䅁权䩂杁䅁权䍁䅁䅁允䅁䅁䅅䅁䭁䝁䅧䅁䵁䅉䅅䅁䕁䅁䅁睁䅁䅁䅁权䅁䅁䅁权䱂杁䅁权䍁䅁䅁允䅁䅁䅅䅁䭁䍁䅁䅁䵁䅉䅅䅁䙁䅁䅁睁䅁䅁䅁权䅁䅁䅁权䡃䅁䅁权䙁䅁䅁权䡁䅁䅁允䅁䅁䅅䅁䑁䩁洴睑䵁䅉䅅䅁䑁䅁䅁睁䵁䅁䅁兂䅁䅁䅃㡗典兑䅯睷䅉䅁䅅䅁䉁䅁䅁权噃杁䅁䍄䉁䅁䅁兂䅁䅁䅍䅁䅁䅁䅯䅁䅁䅁䅯杪䅁䅁䅯兂䅁䅁䅯杂䅁䅁䅅䅁䉁䅁䅁睁畁ぅ䅁䍄䉁䅁䅁兂䅁䅁䅍䅁䅁䅁䅯䅁䅁䅁䅯眳䅁䅁䅯兂䅁䅁䅯睂䅁䅁䅅䅁䉁䅁䅁权䥁䅁䅁䍄䉁䅁䅁䅂䅁䅁䅍䅁䅁䅁䅯䅁䅁䅁䅯杔䅉䅁䅯杁䅁䅁䅅䅁䉁䅁䅁权療允䅁䍄䉁䅁䅁䅂䅁䅁䅍䅁䅁䅁䅯䅁䅁䅁䅯睔䅉䅁䅯杁䅁䅁䅅䅁䉁䅁䅁权潂䅁䅁䍄䉁䅁䅁兂䅁䅁䅍䅁䅁䅁䅯䅁䅁䅁䅯睫䅅䅁䅯兂䅁䅁䅯杂䅁䅁䅅䅁䉁䅁䅁睁㍁唱䅧䍄䉁䅁䅁䅂䅁䅁䅍䅁䅁䅁䅯䅁䅁䅁䅯䅕䅉䅁䅯杁䅁䅁䅅䅁䉁䅁䅁权剂杁䅁䍄䉁䅁䅁䅂䅁䅁䅍䅁䅁䅁䅯䅁䅁䅁䅯睗䅉䅁䅯杁䅁䅁䅅䅁䉁䅁䅁权捂杁䅁䍄䉁䅁䅁兂䅁䅁䅍䅁䅁䅁䅯䅁䅁䅁䅯睢䅉䅁䅯兂䅁䅁䅯杂䅁䅁䅅䅁䉁䅁䅁睁㙄䕚䅉䍄䉁䅁䅁睁䅁䅁䅍䅄䅁䅁䅕䅁䅁䝷捡䕕䭅䵁䍉䅁䉁䅁䅁允䅁䅁䅯東䅉䅁杷允䅁䅁䅕䅁䑁䅁䅁䅁䭁䅁䅁䅁䭁䕁䉙䅁䭁䅁䅕䅁䭁䅁䅙䅁䉁䅁䅁允䅁䅁䅍奥䙰䅁杷允䅁䅁䅑䅁䑁䅁䅁䅁䭁䅁䅁䅁䭁䙁䌰䅁䭁䅁䅉䅁䉁䅁䅁允䅁䅁䅯其䅁䅁杷允䅁䅁䅍䅁䑁䅁䅷䅁䙁䅁䅁䥁兂ぢ䈹权佃杁䅁允䅁䅁䅅䅁䭁䥁䌸䅁䵁䅉䅅䅁䑁䅁䅁睁䵁䅁䅁兂䅁䅁䅂㕣公兑䅯典䅉䅁䅅䅁䉁䅁䅁权敃杁䅁䍄䉁䅁䅁䅂䅁䅁䅍䅁䅁䅁䅯䅁䅁䅁䅯杘䅉䅁䅯杁䅁䅁䅅䅁䉁䅁䅁权時杁䅁䍄䉁䅁䅁兂䅁䅁䅍䅁䅁䅁䅯䅁䅁䅁䅯党䅉䅁䅯兂䅁䅁䅯杂䅁䅁䅅䅁䉁䅁䅁睁䍁䠷䄰䍄䉁䅁䅁兂䅁䅁䅍䅁䅁䅁䅯䅁䅁䅁䅯兄䅁䅁䅯兂䅁䅁䅯杂䅁䅁䅅䅁䉁䅁䅁睁扂歩䅉䍄䉁䅁䅁䅂䅁䅁䅍䅁䅁䅁䅯䅁䅁䅁䅯䅙䅉䅁䅯杁䅁䅁䅅䅁䉁䅁䅁权㥃䅁䅁䍄䉁䅁䅁䅂䅁䅁䅍䅁䅁䅁䅯䅁䅁䅁䅯睢䅉䅁䅯杁䅁䅁䅅䅁䉁䅁䅁权橃䅁䅁䍄䉁䅁䅁睁䅁䅁䅍䅄䅁䅁䅕䅁䅁䑁塥䕕䭅䵁䍍䅁䉁䅁䅁允䅁䅁䅯公䅉䅁杷允䅁䅁䅍䅁䑁䅁䅷䅁䙁䅁䅁䅁浂䙭䉂权元杁䅁允䅁䅁䅅䅁䭁䉁䑍䅁䵁䅉䅅䅁䕁䅁䅁睁䅁䅁䅁权䅁䅁䅁权桂杁䅁权䍁䅁䅁允䅁䅁䅅䅁䭁䝁䍉䅁䵁䅉䅅䅁䑁䅁䅁睁䵁䅁䅁兂䅁䅁杁⭷歆兑䅯睷䅉䅁䅅䅁䉁䅁䅁权噃杁䅁䍄䉁䅁䅁睁䅁䅁䅍䅄䅁䅁䅕䅁䅁䑷塭䕕䭅䵁䍕䅁䉁䅁䅁允䅁䅁䅯䅭䅉䅁杷允䅁䅁䅑䅁䑁䅁䅁䅁䭁䅁䅁䅁䭁䝁䍍䅁䭁䅁䅉䅁䉁䅁䅁允䅁䅁䅯䅚䅉䅁杷允䅁䅁䅍䅁䑁䅁䅷䅁䙁䅁䅁䥁㡄唯䈹权䑄杁䅁允䅁䅁䅅䅁䭁䵁䍙䅁䵁䅉䅅䅁䕁䅁䅁睁䅁䅁䅁权䅁䅁䅁权求杁䅁权䍁䅁䅁允䅁䅁䅅䅁䭁䥁䅧䅁䵁䅉䅅䅁䑁䅁䅁睁䵁䅁䅁兂䅁䅁䅄㕍儱兑䅯䅫䅉䅁䅅䅁䉁䅁䅁权偃杁䅁䍄䉁䅁䅁兂䅁䅁䅍䅁䅁䅁䅯䅁䅁䅁䅯兒䅁䅁䅯兂䅁䅁䅯睂䅁䅁䅅䅁䉁䅁䅁权䥁䅁䅁䍄䉁䅁䅁䅂䅁䅁䅍䅁䅁䅁䅯䅁䅁䅁䅯睚䅉䅁䅯杁䅁䅁䅅䅁䉁䅁䅁权獁䅁䅁䍄䉁䅁䅁兂䅁䅁䅍䅁䅁䅁䅯䅁䅁䅁䅯杅䅅䅁䅯兂䅁䅁䅯睂䅁䅁䅅䅁䉁䅁䅁睁㙁此䅉䍄䉁䅁䅁䅂䅁䅁䅍䅁䅁䅁䅯䅁䅁䅁䅯䅪䅉䅁䅯杁䅁䅁䅅䅁䉁䅁䅁权乃杁䅁䍄䉁䅁䅁兂䅁䅁䅍䅁䅁䅁䅯䅁䅁䅁䅯杧䅁䅁䅯兂䅁䅁䅯睂䅁䅁䅅䅁䉁䅁䅁权䥁䅁䅁䍄䉁䅁䅁兂䅁䅁䅍䅁䅁䅁䅯䅁䅁䅁䅯杯䅁䅁䅯兂䅁䅁䅯睂䅁䅁䅅䅁䉁䅁䅁权䥁䅁䅁䍄䉁䅁䅁兂䅁䅁䅍䅁䅁䅁䅯䅁䅁䅁䅯杧䅉䅁䅯兂䅁䅁䅯睂䅁䅁䅅䅁䉁䅁䅁权䥁䅁䅁䍄䉁䅁䅁䅂䅁䅁䅍䅁䅁䅁䅯䅁䅁䅁䅯䅡䅉䅁䅯杁䅁䅁䅅䅁䉁䅁䅁权䉂允䅁䍄䉁䅁䅁睁䅁䅁䅍䅄䅁䅁䅕䅁䅁䉧がご䭅䵁䍕䅁䉁䅁䅁允䅁䅁䅯睪䅉䅁杷允䅁䅁䅕䅁䑁䅁䅁䅁䭁䅁䅁䅁䭁䭁䉫䅁䭁䅁䅕䅁䭁䅁䅙䅁䉁䅁䅁允䅁䅁䅍䝳䌱䅁杷允䅁䅁䅍䅁䑁䅁䅷䅁䙁䅁䅁䕁乁䙮䉂权䙄杁䅁允䅁䅁䅅䅁䭁䥁䌸䅁䵁䅉䅅䅁䕁䅁䅁睁䅁䅁䅁权䅁䅁䅁权煂杁䅁权䍁䅁䅁允䅁䅁䅅䅁䭁䡁䅫䅁䵁䅉䅅䅁䑁䅁䅁睁䵁䅁䅁兂䅁䅁䅄䩇兤兑䅯䅫䅉䅁䅅䅁䉁䅁䅁权偃杁䅁䍄䉁䅁䅁兂䅁䅁䅍䅁䅁䅁䅯䅁䅁䅁䅯光䅁䅁䅯兂䅁䅁䅯睂䅁䅁䅅䅁䉁䅁䅁权䥁䅁䅁䍄䉁䅁䅁睁䅁䅁䅍䅄䅁䅁䅕䅁䅁䍯奔䕚䭅䵁䍉䅁䉁䅁䅁允䅁䅁䅯睪䅉䅁杷允䅁䅁䅑䅁䑁䅁䅁䅁䭁䅁䅁䅁䭁䝁䍳䅁䭁䅁䅉䅁䉁䅁䅁允䅁䅁䅯䅢䅉䅁杷允䅁䅁䅑䅁䑁䅁䅁䅁䭁䅁䅁䅁䭁䝁䌰䅁䭁䅁䅉䅁䉁䅁䅁允䅁䅁䅯杢䅉䅁杷允䅁䅁䅍䅁䑁䅁䅷䅁䙁䅁䅁䵁汁汬䉂权䑄杁䅁允䅁䅁䅅䅁䭁䭁䌰䅁䵁䅉䅅䅁䕁䅁䅁睁䅁䅁䅁权䅁䅁䅁权ㅂ杁䅁权䍁䅁䅁允䅁䅁䅅䅁䭁䡁䍙䅁䵁䅉䅅䅁䕁䅁䅁睁䅁䅁䅁权䅁䅁䅁权㑂杁䅁权䍁䅁䅁允䅁䅁䅅䅁䭁䡁䍫䅁䵁䅉䅅䅁䕁䅁䅁睁䅁䅁䅁权䅁䅁䅁权㙂杁䅁权䍁䅁䅁允䅁䅁䅅䅁䭁䡁䍳䅁䵁䅉䅅䅁䙁䅁䅁睁䅁䅁䅁权䅁䅁䅁权元允䅁权䙁䅁䅁权䝁䅁䅁允䅁䅁䅅䅁䑁佁愵村䵁䅉䅅䅁䙁䅁䅁睁䅁䅁䅁权䅁䅁䅁权剁䅁䅁权䙁䅁䅁权䡁䅁䅁允䅁䅁䅅䅁䭁䅁䅧䅁䵁䅉䅅䅁䑁䅁䅁睁䵁䅁䅁兂䅁䅁䅄灓兤兑䅯睷䅉䅁䅅䅁䉁䅁䅁权晄杁䅁䍄䉁䅁䅁䅂䅁䅁䅍䅁䅁䅁䅯䅁䅁䅁䅯䅦䅉䅁䅯杁䅁䅁䅅䅁䉁䅁䅁权㥂杁䅁䍄䉁䅁䅁睁䅁䅁䅍䅄䅁䅁䅕䅁䅁䩑乲啕䭅䵁䍍䅁䉁䅁䅁允䅁䅁䅯䅳䅉䅁杷允䅁䅁䅕䅁䑁䅁䅁䅁䭁䅁䅁䅁䭁䕁䉯䅁䭁䅁䅕䅁䭁䅁䅣䅁䉁䅁䅁允䅁䅁䅯䅃䅁䅁杷允䅁䅁䅑䅁䑁䅁䅁䅁䭁䅁䅁䅁䭁䥁䍅䅁䭁䅁䅉䅁䉁䅁䅁允䅁䅁䅯䅡䅁䅁杷允䅁䅁䅑䅁䑁䅁䅁䅁䭁䅁䅁䅁䭁䥁䍑䅁䭁䅁䅉䅁䉁䅁䅁允䅁䅁䅯儹䅁䅁杷允䅁䅁䅕䅁䑁䅁䅁䅁䭁䅁䅁䅁䭁䱁䉍䅁䭁䅁䅕䅁䭁䅁䅣䅁䉁䅁䅁允䅁䅁䅯䅃䅁䅁杷允䅁䅁䅑䅁䑁䅁䅁䅁䭁䅁䅁䅁䭁䥁䍧䅁䭁䅁䅉䅁䉁䅁䅁允䅁䅁䅯兩䅉䅁杷允䅁䅁䅕䅁䑁䅁䅁䅁䭁䅁䅁䅁䭁䉁䅅䅁䭁䅁䅕䅁䭁䅁䅙䅁䉁䅁䅁允䅁䅁䅍ㅬ䍨䅁杷允䅁䅁䅕䅁䑁䅁䅁䅁䭁䅁䅁䅁䭁䵁䅣䅁䭁䅁䅕䅁䭁䅁䅙䅁䉁䅁䅁允䅁䅁䅍湳䍒䅁杷允䅁䅁䅕䅁䑁䅁䅁䅁䭁䅁䅁䅁䭁䝁䉯䅁䭁䅁䅕䅁䭁䅁䅣䅁䉁䅁䅁允䅁䅁䅯䅃䅁䅁杷允䅁䅁䅍䅁䑁䅁䅷䅁䙁䅁䅁䥁㍂噖䉂权䑄杁䅁允䅁䅁䅅䅁䭁䭁䌰䅁䵁䅉䅅䅁䑁䅁䅁睁䵁䅁䅁兂䅁䅁䅂㔳党兑䅯典䅉䅁䅅䅁䉁䅁䅁权偃杁䅁䍄䉁䅁䅁兂䅁䅁䅍䅁䅁䅁䅯䅁䅁䅁䅯兇䅁䅁䅯兂䅁䅁䅯杂䅁䅁䅅䅁䉁䅁䅁睁橂っ䅉䍄䉁䅁䅁睁䅁䅁䅍䅄䅁䅁䅕䅁䅁偁噇䕕䭅䵁䍕䅁䉁䅁䅁允䅁䅁䅯睪䅉䅁杷允䅁䅁䅍䅁䑁䅁䅷</t>
  </si>
  <si>
    <t>䅁䙁䅁䅁䅁㕃汉䉊权䙄杁䅁允䅁䅁䅅䅁䭁䥁䌸䅁䵁䅉䅅䅁䙁䅁䅁睁䅁䅁䅁权䅁䅁䅁权摁䅁䅁权䙁䅁䅁权䝁䅁䅁允䅁䅁䅅䅁䑁䕁䙔材䵁䅉䅅䅁䙁䅁䅁睁䅁䅁䅁权䅁䅁䅁权㥄允䅁权䙁䅁䅁权䝁䅁䅁允䅁䅁䅅䅁䑁佁歒村䵁䅉䅅䅁䙁䅁䅁睁䅁䅁䅁权䅁䅁䅁权䑂䅁䅁权䙁䅁䅁权䡁䅁䅁允䅁䅁䅅䅁䭁䅁䅧䅁䵁䅉䅅䅁䙁䅁䅁睁䅁䅁䅁权䅁䅁䅁权䑂杁䅁权䙁䅁䅁权䝁䅁䅁允䅁䅁䅅䅁䑁䱁お村䵁䅉䅅䅁䑁䅁䅁睁䵁䅁䅁兂䅁䅁䅂䩫儱兑䅯杪䅉䅁䅅䅁䉁䅁䅁权䉄杁䅁䍄䉁䅁䅁兂䅁䅁䅍䅁䅁䅁䅯䅁䅁䅁䅯兑䅁䅁䅯兂䅁䅁䅯杂䅁䅁䅅䅁䉁䅁䅁睁慄㙹䅙䍄䉁䅁䅁兂䅁䅁䅍䅁䅁䅁䅯䅁䅁䅁䅯睌䅅䅁䅯兂䅁䅁䅯杂䅁䅁䅅䅁䉁䅁䅁睁湂欱䅅䍄䉁䅁䅁兂䅁䅁䅍䅁䅁䅁䅯䅁䅁䅁䅯睐䅉䅁䅯兂䅁䅁䅯杂䅁䅁䅅䅁䉁䅁䅁睁敂灬䄴䍄䉁䅁䅁睁䅁䅁䅍䅄䅁䅁䅕䅁䅁䭑捡䕕䭅䩁䍁䅁䉁䅁䅁允䅁䅁䅯睪䅉䅁杷允䅁䅁䅕䅁䑁䅁䅁䅁䭁䅁䅁䅁䭁䡁䍕䅁䭁䅁䅕䅁䭁䅁䅙䅁䉁䅁䅁允䅁䅁䅍䡍䍚䅁杷允䅁䅁䅕䅁䑁䅁䅁䅁䭁䅁䅁䅁䭁䩁䅷䅁䭁䅁䅕䅁䭁䅁䅣䅁䉁䅁䅁允䅁䅁䅍祺敂䅁杷允䅁䅁䅕䅁䑁䅁䅁䅁䭁䅁䅁䅁䭁偁䉫䅁䭁䅁䅕䅁䭁䅁䅣䅁䉁䅁䅁允䅁䅁䅯䅃䅁䅁杷允䅁䅁䅕䅁䑁䅁䅁䅁䭁䅁䅁䅁䭁䱁䅕䅁䭁䅁䅕䅁䭁䅁䅣䅁䉁䅁䅁允䅁䅁䅍䝭䍆䅁杷允䅁䅁䅍䅁䑁䅁䅷䅁䙁䅁䅁䵁㕁ㅯ䉂权佃杁䅁允䅁䅁䅅䅁䭁䩁䌴䅁䵁䅉䅅䅁䑁䅁䅁睁䵁䅁䅁兂䅁䅁䅂呂扖兑䅯睷䅉䅁䅅䅁䉁䅁䅁权噃杁䅁䍄䉁䅁䅁兂䅁䅁䅍䅁䅁䅁䅯䅁䅁䅁䅯权䅁䅁䅯兂䅁䅁䅯睂䅁䅁䅅䅁䉁䅁䅁权䥁䅁䅁䍄䉁䅁䅁兂䅁䅁䅍䅁䅁䅁䅯䅁䅁䅁䅯睄䅁䅁䅯兂䅁䅁䅯睂䅁䅁䅅䅁䉁䅁䅁睁杁㌹䅧䍄䉁䅁䅁兂䅁䅁䅍䅁䅁䅁䅯䅁䅁䅁䅯杭䅁䅁䅯兂䅁䅁䅯杂䅁䅁䅅䅁䉁䅁䅁睁煁䕤䅉䍄䉁䅁䅁睁䅁䅁䅍䅄䅁䅁䅕䅁䅁乑奏䕕䭅䵁䍕䅁䉁䅁䅁允䅁䅁䅯睪䅉䅁杷允䅁䅁䅕䅁䑁䅁䅁䅁䭁䅁䅁䅁䭁䉁䅍䅁䭁䅁䅕䅁䭁䅁䅣䅁䉁䅁䅁允䅁䅁䅯䅃䅁䅁杷允䅁䅁䅕䅁䑁䅁䅁䅁䭁䅁䅁䅁䭁䝁䄸䅁䭁䅁䅕䅁䭁䅁䅣䅁䉁䅁䅁允䅁䅁䅯䅃䅁䅁杷允䅁䅁䅕䅁䑁䅁䅁䅁䭁䅁䅁䅁䭁䝁䌰䅁䭁䅁䅕䅁䭁䅁䅣䅁䉁䅁䅁允䅁䅁䅯䅃䅁䅁杷允䅁䅁䅕䅁䑁䅁䅁䅁䭁䅁䅁䅁䭁䕁䉧䅁䭁䅁䅕䅁䭁䅁䅙䅁䉁䅁䅁允䅁䅁䅍㉂䍆䅁杷允䅁䅁䅕䅁䑁䅁䅁䅁䭁䅁䅁䅁䭁䵁䅅䅁䭁䅁䅕䅁䭁䅁䅙䅁䉁䅁䅁允䅁䅁䅍䵈浹䅁杷允䅁䅁䅕䅁䑁䅁䅁䅁䭁䅁䅁䅁䭁䱁䄴䅁䭁䅁䅕䅁䭁䅁䅙䅁䉁䅁䅁允䅁䅁䅍㉶䍖䅁杷允䅁䅁䅕䅁䑁䅁䅁䅁䭁䅁䅁䅁䭁䭁䉳䅁䭁䅁䅕䅁䭁䅁䅣䅁䉁䅁䅁允䅁䅁䅯䅃䅁䅁杷允䅁䅁䅕䅁䑁䅁䅁䅁䭁䅁䅁䅁䭁䉁䍣䅁䭁䅁䅕䅁䭁䅁䅙䅁䉁䅁䅁允䅁䅁䅍獯浥䅁杷允䅁䅁䅕䅁䑁䅁䅁䅁䭁䅁䅁䅁䭁䡁䅁䅁䭁䅁䅕䅁䭁䅁䅙䅁䉁䅁䅁允䅁䅁䅍獅浹䅁杷允䅁䅁䅍䅁䑁䅁䅷䅁䙁䅁䅁䵁橁噭䉂权佃杁䅁允䅁䅁䅅䅁䭁䥁䌸䅁䵁䅉䅅䅁䙁䅁䅁睁䅁䅁䅁权䅁䅁䅁权流杁䅁权䙁䅁䅁权䡁䅁䅁允䅁䅁䅅䅁䑁佁⭂䅨䵅䅉䅅䅁䙁䅁䅁睁䅁䅁䅁权䅁䅁䅁权楄允䅁权䙁䅁䅁权䝁䅁䅁允䅁䅁䅅䅁䑁䭁效材䵁䅉䅅䅁䑁䅁䅁睁䵁䅁䅁兂䅁䅁䅄橔兖兑䅯杪䅉䅁䅅䅁䉁䅁䅁权䱁睁䅁䍄䉁䅁䅁兂䅁䅁䅍䅁䅁䅁䅯䅁䅁䅁䅯先䅁䅁䅯兂䅁䅁䅯睂䅁䅁䅅䅁䉁䅁䅁权䥁䅁䅁䍄䉁䅁䅁睁䅁䅁䅍䅄䅁䅁䅕䅁䅁䵉桐䕚䭅䩁䍁䅁䉁䅁䅁允䅁䅁䅯睪䅉䅁杷允䅁䅁䅕䅁䑁䅁䅁䅁䭁䅁䅁䅁䭁䍁䅕䅁䭁䅁䅕䅁䭁䅁䅣䅁䉁䅁䅁允䅁䅁䅍楮䑚䅁杷允䅁䅁䅕䅁䑁䅁䅁䅁䭁䅁䅁䅁䭁偁䅁䅁䭁䅁䅕䅁䭁䅁䅣䅁䉁䅁䅁允䅁䅁䅍䝭䍆䅁杷允䅁䅁䅍䅁䑁䅁䅷䅁䙁䅁䅁䥁⭁噭䉂权䙄杁䅁允䅁䅁䅅䅁䭁䥁䌸䅁䵁䅉䅅䅁䑁䅁䅁睁䵁䅁䅁兂䅁䅁䅂娫兰兑䅯杷䅉䅁䅅䅁䉁䅁䅁权偃杁䅁䍄䉁䅁䅁睁䅁䅁䅍䅄䅁䅁䅕䅁䅁䭁䘷䕕䭅䵁䍍䅁䉁䅁䅁允䅁䅁䅯睴䅉䅁杷允䅁䅁䅕䅁䑁䅁䅁䅁䭁䅁䅁䅁䭁乁䅯䅁䭁䅁䅕䅁䭁䅁䅣䅁䉁䅁䅁允䅁䅁䅯䅃䅁䅁杷允䅁䅁䅕䅁䑁䅁䅁䅁䭁䅁䅁䅁䭁䵁䈸䅁䭁䅁䅕䅁䭁䅁䅣䅁䉁䅁䅁允䅁䅁䅯䅃䅁䅁杷允䅁䅁䅍䅁䑁䅁䅷䅁䙁䅁䅁䵁⽂圲䉒权䑄杁䅁允䅁䅁䅅䅁䭁䩁䍕䅁䵁䅉䅅䅁䙁䅁䅁睁䅁䅁䅁权䅁䅁䅁权扁䅁䅁权䙁䅁䅁权䝁䅁䅁允䅁䅁䅅䅁䑁䱁奎村䵁䅉䅅䅁䙁䅁䅁睁䅁䅁䅁权䅁䅁䅁权硁䅁䅁权䙁䅁䅁权䝁䅁䅁允䅁䅁䅅䅁䑁䉁佳睰䵁䅉䅅䅁䙁䅁䅁睁䅁䅁䅁权䅁䅁䅁权獂允䅁权䙁䅁䅁权䡁䅁䅁允䅁䅁䅅䅁䭁䅁䅧䅁䵁䅉䅅䅁䙁䅁䅁睁䅁䅁䅁权䅁䅁䅁权䥂杁䅁权䙁䅁䅁权䝁䅁䅁允䅁䅁䅅䅁䑁佁愵村䵁䅉䅅䅁䑁䅁䅁睁䵁䅁䅁兂䅁䅁䅃㕅公兑䅯睷䅉䅁䅅䅁䉁䅁䅁权敄杁䅁䍄䉁䅁䅁睁䅁䅁䅍䅄䅁䅁䅕䅁䅁乑椶䕕䭅䥁䌴䅁䉁䅁䅁允䅁䅁䅯睪䅉䅁杷允䅁䅁䅕䅁䑁䅁䅁䅁䭁䅁䅁䅁䭁䅁䄰䅁䭁䅁䅕䅁䭁䅁䅣䅁䉁䅁䅁允䅁䅁䅯䅃䅁䅁杷允䅁䅁䅕䅁䑁䅁䅁䅁䭁䅁䅁䅁䭁䉁䅕䅁䭁䅁䅕䅁䭁䅁䅣䅁䉁䅁䅁允䅁䅁䅯䅃䅁䅁杷允䅁䅁䅕䅁䑁䅁䅁䅁䭁䅁䅁䅁䭁䍁䄰䅁䭁䅁䅕䅁䭁䅁䅣䅁䉁䅁䅁允䅁䅁䅯䅃䅁䅁杷允䅁䅁䅕䅁䑁䅁䅁䅁䭁䅁䅁䅁䭁䕁䅙䅁䭁䅁䅕䅁䭁䅁䅙䅁䉁䅁䅁允䅁䅁䅍摫䍒䅁杷允䅁䅁䅍䅁䑁䅁䅷䅁䙁䅁䅁䕁䵃噮䉂权䑄杁䅁允䅁䅁䅅䅁䭁䩁䍕䅁䵁䅉䅅䅁䙁䅁䅁睁䅁䅁䅁权䅁䅁䅁权婄䅁䅁权䙁䅁䅁权䡁䅁䅁允䅁䅁䅅䅁䭁䅁䅧䅁䵁䅉䅅䅁䑁䅁䅁睁䵁䅁䅁兂䅁䅁䅃灗兰兑䅯典䅉䅁䅅䅁䉁䅁䅁权偃杁䅁䍄䉁䅁䅁兂䅁䅁䅍䅁䅁䅁䅯䅁䅁䅁䅯光䅁䅁䅯兂䅁䅁䅯杂䅁䅁䅅䅁䉁䅁䅁睁䕃啗䅉䍄䉁䅁䅁睁䅁䅁䅍䅄䅁䅁䅕䅁䅁乁桄䕚䭅䵁䍍䅁䉁䅁䅁允䅁䅁䅯公䅉䅁杷允䅁䅁䅕䅁䑁䅁䅁䅁䭁䅁䅁䅁䭁䥁䉫䅁䭁䅁䅕䅁䭁䅁䅙䅁䉁䅁䅁允䅁䅁䅍㡎㙥杂杷允䅁䅁䅕䅁䑁䅁䅁䅁䭁䅁䅁䅁䭁䉁䌴䅁䭁䅁䅕䅁䭁䅁䅙䅁䉁䅁䅁允䅁䅁䅍䵒⭕䅁杷允䅁䅁䅍䅁䑁䅁䅷䅁䙁䅁䅁䅁㝃䙯䉂权䙄杁䅁允䅁䅁䅅䅁䭁䥁䌸䅁䵁䅉䅅䅁䙁䅁䅁睁䅁䅁䅁权䅁䅁䅁权塁䅁䅁权䙁䅁䅁权䡁䅁䅁允䅁䅁䅅䅁䭁䅁䅧䅁䵁䅉䅅䅁䑁䅁䅁睁䵁䅁䅁兂䅁䅁䅄瀲全兑䅯杷䅉䅁䅅䅁䉁䅁䅁权偃杁䅁䍄䉁䅁䅁睁䅁䅁䅍䅄䅁䅁䅕䅁䅁䅧獖啕䭅䩁䍁䅁䉁䅁䅁允䅁䅁䅯睪䅉䅁杷允䅁䅁䅕䅁䑁䅁䅁䅁䭁䅁䅁䅁䭁佁䉣䅁䭁䅁䅕䅁䭁䅁䅙䅁䉁䅁䅁允䅁䅁䅍㝰䙆䅁杷允䅁䅁䅕䅁䑁䅁䅁䅁䭁䅁䅁䅁䭁䭁䉁䅁䭁䅁䅕䅁䭁䅁䅙䅁䉁䅁䅁允䅁䅁䅍ㅹ䍸䅁杷允䅁䅁䅍䅁䑁䅁䅷䅁䙁䅁䅁䥁塄ㅐ䉨权佃杁䅁允䅁䅁䅅䅁䭁䥁䌸䅁䵁䅉䅅䅁䑁䅁䅁睁䵁䅁䅁兂䅁䅁䅄㥹橊兑䅯杷䅉䅁䅅䅁䉁䅁䅁权偃杁䅁䍄䉁䅁䅁兂䅁䅁䅍䅁䅁䅁䅯䅁䅁䅁䅯杤䅁䅁䅯兂䅁䅁䅯杂䅁䅁䅅䅁䉁䅁䅁睁桃樳䄴䍄䉁䅁䅁兂䅁䅁䅍䅁䅁䅁䅯䅁䅁䅁䅯杗䅉䅁䅯兂䅁䅁䅯杂䅁䅁䅅䅁䉁䅁䅁睁湂欱䅅䍄䉁䅁䅁兂䅁䅁䅍䅁䅁䅁䅯䅁䅁䅁䅯䅐䅉䅁䅯兂䅁䅁䅯睂䅁䅁䅅䅁䉁䅁䅁权䥁䅁䅁䍄䉁䅁䅁兂䅁䅁䅍䅁䅁䅁䅯䅁䅁䅁䅯兇䅁䅁䅯兂䅁䅁䅯睂䅁䅁䅅䅁䉁䅁䅁睁湂欱䅅䍄䉁䅁䅁睁䅁䅁䅍䅄䅁䅁䅕䅁䅁乧奵䕕䭅䵁䍕䅁䉁䅁䅁允䅁䅁䅯睪䅉䅁杷允䅁䅁䅕䅁䑁䅁䅁䅁䭁䅁䅁䅁䭁䍁䅕䅁䭁䅁䅕䅁䭁䅁䅙䅁䉁䅁䅁允䅁䅁䅍浡䍬䅁杷允䅁䅁䅕䅁䑁䅁䅁䅁䭁䅁䅁䅁䭁䥁䅑䅁䭁䅁䅕䅁䭁䅁䅙䅁䉁䅁䅁允䅁䅁䅍氷䍰䅁杷允䅁䅁䅕䅁䑁䅁䅁䅁䭁䅁䅁䅁䭁䵁䄴䅁䭁䅁䅕䅁䭁䅁䅙䅁䉁䅁䅁允䅁䅁䅍䵒⭕䅁杷允䅁䅁䅍䅁䑁䅁䅷䅁䙁䅁䅁䵁橁噭䉂权䍄杁䅁允䅁䅁䅅䅁䭁䥁䌸䅁䵁䅉䅅䅁䑁䅁䅁睁䵁䅁䅁兂䅁䅁䅃䭋晚兑䅯杷䅉䅁䅅䅁䉁䅁䅁权偃杁䅁䍄䉁䅁䅁兂䅁䅁䅍䅁䅁䅁䅯䅁䅁䅁䅯杓䅁䅁䅯兂䅁䅁䅯杂䅁䅁䅅䅁䉁䅁䅁睁敂灬䄴䍄䉁䅁䅁兂䅁䅁䅍䅁䅁䅁䅯䅁䅁䅁䅯共䅁䅁䅯兂䅁䅁䅯杂䅁䅁䅅䅁䉁䅁䅁睁䭁䕘䅉䍄䉁䅁䅁兂䅁䅁䅍䅁䅁䅁䅯䅁䅁䅁䅯兹䅁䅁䅯兂䅁䅁䅯杂䅁䅁䅅䅁䉁䅁䅁睁摃穚䄸䍄䉁䅁䅁兂䅁䅁䅍䅁䅁䅁䅯䅁䅁䅁䅯朷䅁䅁䅯兂䅁䅁䅯睂䅁䅁䅅䅁䉁䅁䅁睁乃啳䅁䍄䉁䅁䅁兂䅁䅁䅍䅁䅁䅁䅯䅁䅁䅁䅯䅄䅉䅁䅯兂䅁䅁䅯睂䅁䅁䅅䅁䉁䅁䅁睁瑄歙䅉䍄䉁䅁䅁睁䅁䅁䅍䅄䅁䅁䅕䅁䅁䭁㕨啕䭅䵁䍕䅁䉁䅁䅁允䅁䅁䅯睪䅉䅁杷允䅁䅁䅕䅁䑁䅁䅁䅁䭁䅁䅁䅁䭁䑁䉧䅁䭁䅁䅕䅁䭁䅁䅙䅁䉁䅁䅁允䅁䅁䅍浢䍎䅁杷允䅁䅁䅍䅁䑁䅁䅷䅁䙁䅁䅁䥁䉁䙗䉆权䑄杁䅁允䅁䅁䅅䅁䭁䵁䍙䅁䵁䅉䅅䅁䙁䅁䅁睁䅁䅁䅁权䅁䅁䅁权橁䅁䅁权䙁䅁䅁权䡁䅁䅁允䅁䅁䅅䅁䑁䑁朱睑䵁䅉䅅䅁䙁䅁䅁睁䅁䅁䅁权䅁䅁䅁权ぁ杁䅁权䙁䅁䅁权䝁䅁䅁允䅁䅁䅅䅁䑁乁䝘杮䵁䅉䅅䅁䙁䅁䅁睁䅁䅁䅁权䅁䅁䅁权歃允䅁权䙁䅁䅁权䝁䅁䅁允䅁䅁䅅䅁䑁䑁㉰村䵁䅉䅅䅁䙁䅁䅁睁䅁䅁䅁权䅁䅁䅁权偁䅁䅁权䙁䅁䅁权䝁䅁䅁允䅁䅁䅅䅁䑁䝁㉫睒䵁䅉䅅䅁䙁䅁䅁睁䅁䅁䅁权䅁䅁䅁权橁䅁䅁权䙁䅁䅁权䝁䅁䅁允䅁䅁䅅䅁䑁䑁㉰村䵁䅉䅅䅁䑁䅁䅁睁䵁䅁䅁兂䅁䅁䅄㕢公兑䅯睷䅉䅁䅅䅁䉁䅁䅁权噃杁䅁䍄䉁䅁䅁兂䅁䅁䅍䅁䅁䅁䅯䅁䅁䅁䅯眷䅅䅁䅯兂䅁䅁䅯杂䅁䅁䅅䅁䉁䅁䅁睁㑄啣䅙䍄䉁䅁䅁兂䅁䅁䅍䅁䅁䅁䅯䅁䅁䅁䅯內䅅䅁䅯兂䅁䅁䅯杂䅁䅁䅅䅁䉁䅁䅁睁䕂呸䄴䍄䉁䅁䅁睁䅁䅁䅍䅄䅁䅁䅕䅁䅁䅑奡䕕䭅䵁䍕䅁䉁䅁䅁允䅁䅁䅯睪䅉䅁杷允䅁䅁䅕䅁䑁䅁䅁䅁䭁䅁䅁䅁䭁䡁䉳䅁䭁䅁䅕䅁䭁䅁䅙䅁䉁䅁䅁允䅁䅁䅍䴵浵䅁杷允䅁䅁䅕䅁䑁䅁䅁䅁䭁䅁䅁䅁䭁䩁䉕䅁䭁䅁䅕䅁䭁䅁䅣䅁䉁䅁䅁允䅁䅁䅍䝭䍆䅁杷允䅁䅁䅍䅁䑁䅁䅷䅁䙁䅁䅁䍁癄䜲䉒权佃杁䅁允䅁䅁䅅䅁䭁䥁䌸䅁䵁䅉䅅䅁䙁䅁䅁睁䅁䅁䅁权䅁䅁䅁权兄䅁䅁权䙁䅁䅁权䡁䅁䅁允䅁䅁䅅䅁䭁䅁䅧䅁䵁䅉䅅䅁䙁䅁䅁睁䅁䅁䅁权䅁䅁䅁权敃允䅁权䙁䅁䅁权䡁䅁䅁允䅁䅁䅅䅁䑁䉁㉊村䵁䅉䅅䅁䑁䅁䅁睁䵁䅁䅁兂䅁䅁杁㥋歨兑䅯䅫䅉䅁䅅䅁䉁䅁䅁权偃杁䅁䍄䉁䅁䅁睁䅁䅁䅍䅄䅁䅁䅕䅁䅁䥧栳䕚䭅䵁䍕䅁䉁䅁䅁允䅁䅁䅯睪䅉䅁杷允䅁䅁䅕䅁䑁䅁䅁䅁䭁䅁䅁䅁䭁䍁䅫䅁䭁䅁䅕䅁䭁䅁䅣䅁䉁䅁䅁允䅁䅁䅍䝳䌱䅁杷允䅁䅁䅍䅁䑁䅁䅷䅁䙁䅁䅁乁捷㔶䉰权䍄杁䅁允䅁䅁䅅䅁䭁䥁䌸䅁䵁䅉䅅䅁䙁䅁䅁睁䅁䅁䅁权䅁䅁䅁权睂䅁䅁权䙁䅁䅁权䡁䅁䅁允䅁䅁䅅䅁䭁䅁䅧䅁䵁䅉䅅䅁䑁䅁䅁睁䵁䅁䅁兂䅁䅁䅂丶兖兑䅯䅫䅉䅁䅅䅁䉁䅁䅁权偃杁䅁䍄䉁䅁䅁睁䅁䅁䅍䅄䅁䅁䅕䅁䅁䭯栯䕚䭅䥁䌴䅁䉁䅁䅁允䅁䅁䅯睪䅉䅁杷允䅁䅁䅕䅁䑁䅁䅁䅁䭁䅁䅁䅁䭁䩁䉷䅁䭁䅁䅕䅁䭁䅁䅣䅁䉁䅁䅁允䅁䅁䅍䝭䍆䅁杷允䅁䅁䅕䅁䑁䅁䅁䅁䭁䅁䅁䅁䭁䭁䅑䅁䭁䅁䅕䅁䭁䅁䅣䅁䉁䅁䅁允䅁䅁䅯䅃䅁䅁杷允䅁䅁䅕䅁䑁䅁䅁䅁䭁䅁䅁䅁䭁䥁䅣䅁䭁䅁䅕䅁䭁䅁䅙䅁䉁䅁䅁允䅁䅁䅍畁㥸䅁杷允䅁䅁䅕䅁䑁䅁䅁䅁䭁䅁䅁䅁䭁䍁䄰䅁䭁䅁䅕䅁䭁䅁䅙䅁䉁䅁䅁允䅁䅁䅍㡤浥䅁杷允䅁䅁䅕䅁䑁䅁䅁䅁䭁䅁䅁䅁䭁䩁䅁䅁䭁䅁䅕䅁䭁䅁䅣䅁䉁䅁䅁允䅁䅁䅯䅃䅁䅁杷允䅁䅁䅕䅁䑁䅁䅁䅁䭁䅁䅁䅁䭁䩁䉕䅁䭁䅁䅕䅁䭁䅁䅙䅁䉁䅁䅁允䅁䅁䅍㍌䍎䅁杷允䅁䅁䅕䅁䑁䅁䅁䅁䭁䅁䅁䅁䭁䅁䍑䅁䭁䅁䅕䅁䭁䅁䅣䅁䉁䅁䅁允䅁䅁䅍浬䍬䅁杷允䅁䅁䅕䅁䑁䅁䅁䅁䭁䅁䅁䅁䭁䵁䅍䅁䭁䅁䅕䅁䭁䅁䅙䅁䉁䅁䅁允䅁䅁䅍硃㥫䅁杷允䅁䅁䅕䅁䑁䅁䅁䅁䭁䅁䅁䅁䭁䝁䅁䅁䭁䅁䅕䅁䭁䅁䅣䅁䉁䅁䅁允䅁䅁䅍ㄵ䍸䅁杷允䅁䅁䅕䅁䑁䅁䅁䅁䭁䅁䅁䅁䭁䱁䉑䅁䭁䅁䅕䅁䭁䅁䅙䅁䉁䅁䅁允䅁䅁䅍睥渲䅁杷允䅁䅁䅍䅁䑁䅁䅷䅁䙁䅁䅁䅁兄圴䉒权䍄杁䅁允䅁䅁䅅䅁䭁䥁䌸䅁䵁䅉䅅䅁䙁䅁䅁睁䅁䅁䅁权䅁䅁䅁权祁允䅁权䙁䅁䅁权䝁䅁䅁允䅁䅁䅅䅁䑁䵁䅶杰䵁䅉䅅䅁䙁䅁䅁睁䅁䅁䅁权䅁䅁䅁权䉁杁䅁权䙁䅁䅁权䝁䅁䅁允䅁䅁䅅䅁䑁䡁䡮杰䵁䅉䅅䅁䑁䅁䅁睁䵁䅁䅁兂䅁䅁䅂㕵全兑䅯䅫䅉䅁䅅䅁䉁䅁䅁权偃杁䅁䍄䉁䅁䅁兂䅁䅁䅍䅁䅁䅁䅯䅁䅁䅁䅯兔䅁䅁䅯兂䅁䅁䅯睂䅁䅁䅅䅁䉁䅁䅁权䥁䅁䅁䍄䉁䅁䅁兂䅁䅁䅍䅁䅁䅁䅯䅁䅁䅁䅯兰䅁䅁䅯兂䅁䅁䅯杂䅁䅁䅅䅁䉁䅁䅁睁䡁啙䅉䍄䉁䅁䅁睁䅁䅁䅍䅄䅁䅁䅕䅁䅁䵉桐䕚䭅䥁䌴䅁䉁䅁䅁允䅁䅁䅯睪䅉䅁杷允䅁䅁䅕䅁䑁䅁䅁䅁䭁䅁䅁䅁䭁䭁䅣䅁䭁䅁䅕䅁䭁䅁䅣䅁䉁䅁䅁允䅁䅁䅍均䍂䅁杷允䅁䅁䅕䅁䑁䅁䅁䅁䭁䅁䅁䅁䭁䉁䉑䅁䭁䅁䅕䅁䭁䅁䅣䅁䉁䅁䅁允䅁䅁䅯䅃䅁䅁杷允䅁䅁䅕䅁䑁䅁䅁䅁䭁䅁䅁䅁䭁䉁䍑䅁䭁䅁䅕䅁䭁䅁䅙䅁䉁䅁䅁允䅁䅁䅍祲兊杂杷允䅁䅁䅕䅁䑁䅁䅁䅁䭁䅁䅁䅁䭁䕁䅳䅁䭁䅁䅕䅁䭁䅁䅣䅁䉁䅁䅁允䅁䅁䅯䅃䅁䅁杷允䅁䅁䅕䅁䑁䅁䅁䅁䭁䅁䅁䅁䭁䝁䅉䅁䭁䅁䅕䅁䭁䅁䅣䅁䉁䅁䅁允䅁䅁䅯䅃䅁䅁杷允䅁䅁䅕䅁䑁䅁䅁䅁䭁䅁䅁䅁䭁䙁䉳䅁䭁䅁䅕䅁䭁䅁䅣䅁䉁䅁䅁允䅁䅁䅯䅃䅁䅁杷允䅁䅁䅍䅁䑁䅁䅷䅁䙁䅁䅁䝁婁䜲䉒权䑄杁䅁允䅁䅁䅅䅁䭁䩁䍕䅁䵁䅉䅅䅁䙁䅁䅁睁䅁䅁䅁权䅁䅁䅁权䱂䅁䅁权䙁䅁䅁权䝁䅁䅁允䅁䅁䅅䅁䑁䉁睆村䵁䅉䅅䅁䙁䅁䅁睁䅁䅁䅁权䅁䅁䅁权坂䅁䅁权䙁䅁䅁权䡁䅁䅁允䅁䅁䅅䅁䭁䅁䅧䅁䵁䅉䅅䅁䙁䅁䅁睁䅁䅁䅁权䅁䅁䅁权あ䅁䅁权䙁䅁䅁权䝁䅁䅁允䅁䅁䅅䅁䑁䍁ば村䵁䅉䅅䅁䑁䅁䅁睁䵁䅁䅁兂䅁䅁䅃摺橨兑䅯䅫䅉䅁䅅䅁䉁䅁䅁权偃杁䅁䍄䉁䅁䅁兂䅁䅁䅍䅁䅁䅁䅯䅁䅁䅁䅯朰䅁䅁䅯兂䅁䅁䅯睂䅁䅁䅅䅁䉁䅁䅁权䥁䅁䅁䍄䉁䅁䅁兂䅁䅁䅍䅁䅁䅁䅯䅁䅁䅁䅯杨䅅䅁䅯兂䅁䅁䅯杂䅁䅁䅅䅁䉁䅁䅁睁䡁啙䅉䍄䉁䅁䅁睁䅁䅁䅍䅄䅁䅁䅕䅁䅁乧奵䕕䭅䵁䍉䅁䉁䅁䅁允䅁䅁䅯睪䅉䅁杷允䅁䅁䅕䅁䑁䅁䅁䅁䭁䅁䅁䅁䭁䡁䅑䅁䭁䅁䅕䅁䭁䅁䅣䅁䉁䅁䅁允䅁䅁䅯䅃䅁䅁杷允䅁䅁䅕䅁䑁䅁䅁䅁䭁䅁䅁䅁䭁䅁䈸䅁䭁䅁䅕䅁䭁䅁䅙䅁䉁䅁䅁允䅁䅁䅍䝴䍰䅁杷允䅁䅁䅕䅁䑁䅁䅁䅁䭁䅁䅁䅁䭁䝁䅫䅁䭁䅁䅕䅁䭁䅁䅣䅁䉁䅁䅁允䅁䅁䅍㍷ㄹ䅁杷允䅁䅁䅕䅁䑁䅁䅁䅁䭁䅁䅁䅁䭁䥁䍍䅁䭁䅁䅕䅁䭁䅁䅣䅁䉁䅁䅁允䅁䅁䅯䅃䅁䅁杷允䅁䅁䅍䅁䑁䅁䅷䅁䙁䅁䅁䵁䉂䙭䉂权䍄杁䅁允䅁䅁䅅䅁䭁䥁䌸䅁䵁䅉䅅䅁䙁䅁䅁睁䅁䅁䅁权䅁䅁䅁权奂䅁䅁权䙁䅁䅁权䡁䅁䅁允䅁䅁䅅䅁䭁䅁䅧䅁䵁䅉䅅䅁䙁䅁䅁睁䅁䅁䅁权䅁䅁䅁权㙂䅁䅁权䙁䅁䅁权䡁䅁䅁允䅁䅁䅅䅁䑁䙁杚村䵁䅉䅅䅁䙁䅁䅁睁䅁䅁䅁权䅁䅁䅁权獃䅁䅁权䙁䅁䅁权䡁䅁䅁允䅁䅁䅅䅁䑁䕁乡村䵁䅉䅅䅁䙁䅁䅁睁䅁䅁䅁权䅁䅁䅁权䅄䅁䅁权䙁䅁䅁权䝁䅁䅁允䅁䅁䅅䅁䑁䅁婳児䵁䅉䅅䅁䑁䅁䅁睁䵁䅁䅁兂䅁䅁䅁㕈儱兑䅯杷䅉䅁䅅䅁䉁䅁䅁权偃杁䅁䍄䉁䅁䅁兂䅁䅁䅍䅁䅁䅁䅯䅁䅁䅁䅯睚䅁䅁䅯兂䅁䅁䅯杂䅁䅁䅅䅁䉁䅁䅁睁睃啢䅉䍄䉁䅁䅁兂䅁䅁䅍䅁䅁䅁䅯䅁䅁䅁䅯䅨䅁䅁䅯兂䅁䅁䅯睂䅁䅁䅅䅁䉁䅁䅁权䥁䅁䅁䍄䉁䅁䅁兂䅁䅁䅍䅁䅁䅁䅯䅁䅁䅁䅯克䅅䅁䅯兂䅁䅁䅯睂䅁䅁䅅䅁䉁䅁䅁权䥁䅁䅁䍄䉁䅁䅁睁䅁䅁䅍䅄䅁䅁䅕䅁䅁䝁批䕕䭅䥁䌴䅁䉁䅁䅁允䅁䅁䅯睪䅉䅁杷允䅁䅁䅕䅁䑁䅁䅁䅁䭁䅁䅁䅁䭁乁䉫䅁䭁䅁䅕䅁䭁䅁䅣䅁䉁䅁䅁允䅁䅁䅯䅃䅁䅁杷允䅁䅁䅍䅁䑁䅁䅷䅁䙁䅁䅁䥁敄氰䉂权佃杁䅁允䅁䅁䅅䅁䭁䥁䌸䅁䵁䅉䅅䅁䙁䅁䅁睁䅁䅁䅁权䅁䅁䅁权⭂䅁䅁权䙁䅁䅁权䝁䅁䅁允䅁䅁䅅䅁䑁䅁䵌杰䵁䅉䅅䅁䑁䅁䅁睁䵁䅁䅁兂䅁䅁䅁塘偂兑䅯杷䅉䅁䅅䅁䉁䅁䅁权煃杁䅁䍄䉁䅁䅁兂䅁䅁䅍䅁䅁䅁䅯䅁䅁䅁䅯兢䅉䅁䅯兂䅁䅁䅯杂䅁䅁䅅䅁䉁䅁䅁睁呁㙸䅙䍄䉁䅁䅁兂䅁䅁䅍䅁䅁䅁䅯䅁䅁䅁䅯杦䅁䅁䅯兂䅁䅁䅯睂䅁䅁䅅䅁䉁䅁䅁权䥁䅁䅁䍄䉁䅁䅁睁䅁䅁䅍䅄䅁䅁䅕䅁䅁䝁婋䕕䭅䩁䍁䅁䉁䅁䅁允䅁䅁䅯睪䅉䅁杷允䅁䅁䅕䅁䑁䅁䅁䅁䭁䅁䅁䅁䭁䥁䅁䅁䭁䅁䅕䅁䭁䅁䅙䅁䉁䅁䅁允䅁䅁䅍塎䍂䅁杷允䅁䅁䅍䅁䑁䅁䅷䅁䙁䅁䅁䥁扂汬䉂权元杁䅁允䅁䅁䅅䅁䭁䥁䌸䅁䵁䅉䅅䅁䙁䅁䅁睁䅁䅁䅁权䅁䅁䅁权塁允䅁权䙁䅁䅁权䡁䅁䅁允䅁䅁䅅䅁䭁䅁䅧䅁䵁䅉䅅䅁䑁䅁䅁睁䵁䅁䅁兂䅁䅁䅃灃儱兑䅯典䅉䅁䅅䅁䉁䅁䅁权祄杁䅁䍄䉁䅁䅁兂䅁䅁䅍䅁䅁䅁䅯䅁䅁䅁䅯杣䅅䅁䅯兂䅁䅁䅯杂䅁䅁䅅䅁䉁䅁䅁睁睃啢䅉䍄䉁䅁䅁睁䅁䅁䅍䅄䅁䅁䅕䅁䅁䵷捵䕕䭅䵁䍍䅁䉁䅁䅁允䅁䅁䅯朳䅉䅁杷允䅁䅁䅕䅁䑁䅁䅁䅁䭁䅁䅁䅁䭁䝁䉷䅁䭁䅁䅕䅁䭁䅁䅙䅁䉁䅁䅁允䅁䅁䅍㄰䍸䅁杷允䅁䅁䅕䅁䑁䅁䅁䅁䭁䅁䅁䅁䭁䝁䍍䅁䭁䅁䅕䅁䭁䅁䅣䅁䉁䅁䅁允䅁䅁䅍㝮䙊䅁杷允䅁䅁䅕䅁䑁䅁䅁䅁䭁䅁䅁䅁䭁偁䅙䅁䭁䅁䅕䅁䭁䅁䅙䅁䉁䅁䅁允䅁䅁䅍㌳䍖䅁杷允䅁䅁䅍䅁䑁䅁䅷䅁䙁䅁䅁䕁乁䙮䉂权䑄杁䅁允䅁䅁䅅䅁䭁佁䍍䅁䵁䅉䅅䅁䙁䅁䅁睁䅁䅁䅁权䅁䅁䅁权佃允䅁权䙁䅁䅁权䝁䅁䅁允䅁䅁䅅䅁䑁䡁乯睰䵁䅉䅅䅁䙁䅁䅁睁䅁䅁䅁权䅁䅁䅁权䅄允䅁权䙁䅁䅁权䡁䅁䅁允䅁䅁䅅䅁䭁䅁䅧䅁䵁䅉䅅䅁䑁䅁䅁睁䵁䅁䅁兂䅁䅁䅃噁剨兑䅯杷䅉䅁䅅䅁䉁䅁䅁权偃杁䅁䍄䉁䅁䅁兂䅁䅁䅍䅁䅁䅁䅯䅁䅁䅁䅯兩䅅䅁䅯兂䅁䅁䅯睂䅁䅁䅅䅁䉁䅁䅁权䥁䅁䅁䍄䉁䅁䅁兂䅁䅁䅍䅁䅁䅁䅯䅁䅁䅁䅯儴䅅䅁䅯兂䅁䅁䅯睂䅁䅁䅅䅁䉁䅁䅁权䥁䅁䅁䍄䉁䅁䅁睁䅁䅁䅍䅄䅁䅁䅕䅁䅁䡷摥䕕䭅䵁䍍䅁䉁䅁䅁允䅁䅁䅯公䅉䅁杷允䅁䅁䅕䅁䑁䅁䅁䅁䭁䅁䅁䅁䭁䥁䅳䅁䭁䅁䅕䅁䭁䅁䅣䅁䉁䅁䅁允䅁䅁䅯䅃䅁䅁杷允䅁䅁䅕䅁䑁䅁䅁䅁䭁䅁䅁䅁䭁乁䈴䅁䭁䅁䅕䅁䭁䅁䅙䅁䉁䅁䅁允䅁䅁䅍汧䌱䅁杷允䅁䅁䅍䅁䑁䅁䅷䅁䙁䅁䅁䅁⭂䙮䉆权䑄杁䅁允䅁䅁䅅䅁䭁䵁䍙䅁䵁䅉䅅䅁䙁䅁䅁睁䅁䅁䅁权䅁䅁䅁权桄允䅁权䙁䅁䅁权䝁䅁䅁允䅁䅁䅅䅁䑁䩁奤村䵁䅉䅅䅁䙁䅁䅁睁䅁䅁䅁权䅁䅁䅁权扁杁䅁权䙁䅁䅁权䡁䅁䅁允䅁䅁䅅䅁䑁䱁瑂村䵁䅉䅅䅁䙁䅁䅁睁䅁䅁䅁权䅁䅁䅁权湁允䅁权䙁䅁䅁权䝁䅁䅁允䅁䅁䅅䅁䑁䥁杨村䵁䅉䅅䅁䙁䅁䅁睁䅁䅁䅁权䅁䅁䅁权䭁杁䅁权䙁䅁䅁权䡁䅁䅁允䅁䅁䅅䅁䭁䅁䅧䅁䵁䅉䅅䅁䙁䅁䅁睁䅁䅁䅁权䅁䅁䅁权䑂䅁䅁权䙁䅁䅁权䝁䅁䅁允䅁䅁䅅䅁䑁䝁关兑䵁䅉䅅䅁䑁䅁䅁睁䵁䅁䅁兂䅁䅁䅃吲婚兑䅯杷䅉䅁䅅䅁䉁䅁䅁权偃杁䅁䍄䉁䅁䅁兂䅁䅁䅍䅁䅁䅁䅯䅁䅁䅁䅯杶䅅䅁䅯兂䅁䅁䅯睂䅁䅁䅅䅁䉁䅁䅁睁十此䅉䍄䉁䅁䅁睁䅁䅁䅍䅄䅁䅁䅕䅁䅁佉夯䕚䭅䵁䍍䅁䉁䅁䅁允䅁䅁䅯公䅉䅁杷允䅁䅁䅕䅁䑁䅁䅁䅁䭁䅁䅁䅁䭁䥁䄴䅁䭁䅁䅕䅁䭁䅁䅣䅁䉁䅁䅁允䅁䅁䅯䅃䅁䅁杷允䅁䅁䅕䅁䑁䅁䅁䅁䭁䅁䅁䅁䭁乁䅑䅁䭁䅁䅕䅁䭁䅁䅣䅁䉁䅁䅁允䅁䅁䅯䅃䅁䅁杷允䅁䅁䅍䅁䑁䅁䅷䅁䙁䅁䅁䍁獄䜲䉒权䑄杁䅁允䅁䅁䅅䅁䭁䩁䍕䅁䵁䅉䅅䅁䙁䅁䅁睁䅁䅁䅁权䅁䅁䅁权橁杁䅁权䙁䅁䅁权䝁䅁䅁允䅁䅁䅅䅁䑁䵁捴村䵁䅉䅅䅁䙁䅁䅁睁䅁䅁䅁权䅁䅁䅁权杁杁䅁权䙁䅁䅁权䡁䅁䅁允䅁䅁䅅䅁䭁䅁䅧䅁䵁䅉䅅䅁䙁䅁䅁睁䅁䅁䅁权䅁䅁䅁权噂杁䅁权䙁䅁䅁权䡁䅁䅁允䅁䅁䅅䅁䑁佁䍹村䵁䅉䅅䅁䙁䅁䅁睁䅁䅁䅁权䅁䅁䅁权牄䅁䅁权䙁䅁䅁权䝁䅁䅁允䅁䅁䅅䅁䑁䕁䙔材䵁䅉䅅䅁䙁䅁䅁睁䅁䅁䅁权䅁䅁䅁权歁允䅁权䙁䅁䅁权䡁䅁䅁允䅁䅁䅅䅁䭁䅁䅧䅁䵁䅉䅅䅁䙁䅁䅁睁䅁䅁䅁权䅁䅁䅁权䵁杁䅁权䙁䅁䅁权䝁䅁䅁允䅁䅁䅅䅁䑁䱁獤村䵁䅉䅅䅁䙁䅁䅁睁䅁䅁䅁权䅁䅁䅁权㑂杁䅁权䙁䅁䅁权䝁䅁䅁允䅁䅁䅅䅁䑁䵁〹村䵁䅉䅅䅁䑁䅁䅁睁䵁䅁䅁兂䅁䅁䅂㤲歨兑䅯杪䅉䅁䅅䅁䉁䅁䅁权偃杁䅁䍄䉁䅁䅁兂䅁䅁䅍䅁䅁䅁䅯䅁䅁䅁䅯睐䅉䅁䅯兂䅁䅁䅯睂䅁䅁䅅䅁䉁䅁䅁权䥁䅁䅁䍄䉁䅁䅁兂䅁䅁䅍䅁䅁䅁䅯䅁䅁䅁䅯睚䅉䅁䅯兂䅁䅁䅯杂䅁䅁䅅䅁䉁䅁䅁睁䱁呇䄰䍄䉁䅁䅁睁䅁䅁䅍䅄䅁䅁䅕䅁䅁䥧婐䕚䭅䩁䍁䅁䉁䅁䅁允䅁䅁䅯睪䅉䅁杷允䅁䅁䅕䅁䑁䅁䅁䅁䭁䅁䅁䅁䭁䥁䄸䅁䭁䅁䅕䅁䭁䅁䅣䅁䉁䅁䅁允䅁䅁䅯䅃䅁䅁杷允䅁䅁䅕䅁䑁䅁䅁䅁䭁䅁䅁䅁䭁䥁䅕䅁䭁䅁䅕䅁䭁䅁䅣䅁䉁䅁䅁允䅁䅁䅍挲䑬䅁杷允䅁䅁䅍䅁䑁䅁䅷䅁䙁䅁䅁䥁婂ㅭ䉂权䍄杁䅁允䅁䅁䅅䅁䭁䥁䌸䅁䵁䅉䅅䅁䙁䅁䅁睁䅁䅁䅁权䅁䅁䅁权䭄允䅁权䙁䅁䅁权䝁䅁䅁允䅁䅁䅅䅁䑁䅁捰村䵁䅉䅅䅁䙁䅁䅁睁䅁䅁䅁权䅁䅁䅁权療䅁䅁权䙁䅁䅁权䝁䅁䅁允䅁䅁䅅䅁䑁䥁摊村䵁䅉䅅䅁䙁䅁䅁睁䅁䅁䅁权䅁䅁䅁权敂䅁䅁权䙁䅁䅁权䝁䅁䅁允䅁䅁䅅䅁䑁䩁硴村䵁䅉䅅䅁䑁䅁䅁睁䵁䅁䅁兂䅁䅁䅄瀷公兑䅯杪䅉䅁䅅䅁䉁䅁䅁权偃杁䅁䍄䉁䅁䅁睁䅁䅁䅍䅄䅁䅁䅕䅁䅁䩑椵啕䭅䵁䍍䅁䉁䅁䅁允䅁䅁䅯睳䅉䅁杷允䅁䅁䅕䅁䑁䅁䅁䅁䭁䅁䅁䅁䭁䙁䄴䅁䭁䅁䅕䅁䭁䅁䅣䅁䉁䅁䅁允䅁䅁䅍特䑚䅁杷允䅁䅁䅍䅁䑁䅁䅷䅁䙁䅁䅁䅁楁䙭䉂权䍄杁䅁允䅁䅁䅅䅁䭁䥁䌸䅁䵁䅉䅅䅁䙁䅁䅁睁䅁䅁䅁权䅁䅁䅁权塂杁䅁权䙁䅁䅁权䡁䅁䅁允䅁䅁䅅䅁䭁䅁䅧䅁䵁䅉䅅䅁䙁䅁䅁睁䅁䅁䅁权䅁䅁䅁权祄䅁䅁权䙁䅁䅁权䡁䅁䅁允䅁䅁䅅䅁䑁䱁瑂村䵁䅉䅅䅁䙁䅁䅁睁䅁䅁䅁权䅁䅁䅁权牁允䅁权䙁䅁䅁权䝁䅁䅁允䅁䅁䅅䅁䑁偁歄材䵁䅉䅅䅁䙁䅁䅁睁䅁䅁䅁权䅁䅁䅁权ㅄ允䅁权䙁䅁䅁权䡁䅁䅁允䅁䅁䅅䅁䭁䅁䅧䅁䵁䅉䅅䅁䑁䅁䅁睁䵁䅁䅁兂䅁䅁杂搷歨兑䅯䅫䅉䅁䅅䅁䉁䅁䅁权偃杁䅁䍄䉁䅁䅁兂䅁䅁䅍䅁䅁䅁䅯䅁䅁䅁䅯睁䅉䅁䅯兂䅁䅁䅯杂䅁䅁䅅䅁䉁䅁䅁睁癃っ䅁䍄䉁䅁䅁兂䅁䅁䅍䅁䅁䅁䅯䅁䅁䅁䅯睤䅅䅁䅯兂䅁䅁䅯睂䅁䅁䅅䅁䉁䅁䅁权䥁䅁䅁䍄䉁䅁䅁兂䅁䅁䅍䅁䅁䅁䅯䅁䅁䅁䅯䅭䅁䅁䅯兂䅁䅁䅯杂䅁䅁䅅䅁䉁䅁䅁睁浂啢䅉䍄䉁䅁䅁睁䅁䅁䅍䅄䅁䅁䅕䅁䅁䭙栯䕚䭅䵁䍕䅁䉁䅁䅁允䅁䅁䅯睪䅉䅁杷允䅁䅁䅕䅁䑁䅁䅁䅁䭁䅁䅁䅁䭁䙁䉙䅁䭁䅁䅕䅁䭁䅁䅙䅁䉁䅁䅁允䅁䅁䅍㉳䍸䅁杷允䅁䅁䅕䅁䑁䅁䅁䅁䭁䅁䅁䅁䭁䡁䅙䅁䭁䅁䅕䅁䭁䅁䅣䅁䉁䅁䅁允䅁䅁䅍坄䍎䅁杷允䅁䅁䅕䅁䑁䅁䅁䅁䭁䅁䅁䅁䭁䍁䉫䅁䭁䅁䅕䅁䭁䅁䅙䅁䉁䅁䅁允䅁䅁䅍䵰浥䅁杷允䅁䅁䅍䅁䑁䅁䅷䅁䙁䅁䅁䅁䵃噮䉂权䍄杁䅁允䅁䅁䅅䅁䭁䩁䍕䅁䵁䅉䅅䅁䙁䅁䅁睁䅁䅁䅁权䅁䅁䅁权捄允䅁权䙁䅁䅁权䝁䅁䅁允䅁䅁䅅䅁䑁乁歚村䵁䅉䅅䅁䑁䅁䅁睁䵁䅁䅁兂䅁䅁䅃灸偬兑䅯典䅉䅁䅅䅁䉁䅁䅁权偃杁䅁䍄䉁䅁䅁睁䅁䅁䅍䅄䅁䅁䅕䅁䅁䉑扭䕕䭅䵁䍕䅁䉁䅁䅁允䅁䅁䅯眸䅉䅁杷允䅁䅁䅕䅁䑁䅁䅁䅁䭁䅁䅁䅁䭁䩁䅙䅁䭁䅁䅕䅁䭁䅁䅙䅁䉁䅁䅁允䅁䅁䅍橉⼴䅁杷允䅁䅁䅕䅁䑁䅁䅁䅁䭁䅁䅁䅁䭁䍁䍧䅁䭁䅁䅕䅁䭁䅁䅣䅁䉁䅁䅁允䅁䅁䅯䅃䅁䅁杷允䅁䅁䅍䅁䑁䅁䅷䅁䙁䅁䅁䵁奄䙮䉂权䙄杁䅁允䅁䅁䅅䅁䭁䥁䌸䅁䵁䅉䅅䅁䑁䅁䅁睁䵁䅁䅁兂䅁䅁䅂瑧歬兑䅯睷䅉䅁䅅䅁䉁䅁䅁权噃杁䅁䍄䉁䅁䅁兂䅁䅁䅍䅁䅁䅁䅯䅁䅁䅁䅯杵䅁䅁䅯兂䅁䅁䅯睂䅁䅁䅅䅁䉁䅁䅁权䥁䅁䅁䍄䉁䅁䅁兂䅁䅁䅍䅁䅁䅁䅯䅁䅁䅁䅯杭䅁䅁䅯兂䅁䅁䅯睂䅁䅁䅅䅁䉁䅁䅁睁⭂啙䅉䍄䉁䅁䅁兂䅁䅁䅍䅁䅁䅁䅯䅁䅁䅁䅯克䅉䅁䅯兂䅁䅁䅯睂䅁䅁䅅䅁䉁䅁䅁权䥁䅁䅁䍄䉁䅁䅁兂䅁䅁䅍䅁䅁䅁䅯䅁䅁䅁䅯杓䅉䅁䅯兂䅁䅁䅯杂䅁䅁䅅䅁䉁䅁䅁睁癃っ䅁䍄䉁䅁䅁兂䅁䅁䅍䅁䅁䅁䅯䅁䅁䅁䅯杮䅁䅁䅯兂䅁䅁䅯杂䅁䅁䅅䅁䉁䅁䅁睁楂啣䅉䍄䉁䅁䅁睁䅁䅁䅍䅄䅁䅁䅕䅁䅁佧塃䕕䭅䵁䍍䅁䉁䅁䅁允䅁䅁䅯䄳䅉䅁杷允䅁䅁䅍䅁䑁䅁䅷䅁䙁䅁䅁䵁⽄汵䉤权佃杁䅁允䅁䅁䅅䅁䭁䱁䍷䅁䵁䅉䅅䅁䙁䅁䅁睁䅁䅁䅁权䅁䅁䅁权敃䅁䅁权䙁䅁䅁权䡁䅁䅁允䅁䅁䅅䅁䑁䭁䩡杒䵁䅉䅅䅁䙁䅁䅁睁䅁䅁䅁权䅁䅁䅁权噄䅁䅁权䙁䅁䅁权䡁䅁䅁允䅁䅁䅅䅁䑁䉁㉊村䵁䅉䅅䅁䙁䅁䅁睁䅁䅁䅁权䅁䅁䅁权牂䅁䅁权䙁䅁䅁权䝁䅁䅁允䅁䅁䅅䅁䑁䱁湴村䵁䅉䅅䅁䑁䅁䅁睁䵁䅁䅁兂䅁䅁䅃灁兤兑䅯典䅉䅁䅅䅁䉁䅁䅁权偃杁䅁䍄䉁䅁䅁兂䅁䅁䅍䅁䅁䅁䅯䅁䅁䅁䅯睡䅁䅁䅯兂䅁䅁䅯睂䅁䅁䅅䅁䉁䅁䅁睁佂正䅉䍄䉁䅁䅁兂䅁䅁䅍䅁䅁䅁䅯䅁䅁䅁䅯䅕䅅䅁䅯兂䅁䅁䅯杂䅁䅁䅅䅁䉁䅁䅁睁乃積䄸䍄䉁䅁䅁兂䅁䅁䅍䅁䅁䅁䅯䅁䅁䅁䅯杣䅅䅁䅯兂䅁䅁䅯睂䅁䅁䅅䅁䉁䅁䅁权䥁䅁䅁䍄䉁䅁䅁兂䅁䅁䅍䅁䅁䅁䅯䅁䅁䅁䅯䅵䅅䅁䅯兂䅁䅁䅯杂䅁䅁䅅䅁䉁䅁䅁睁㕄稫䄸䍄䉁䅁䅁兂䅁䅁䅍䅁䅁䅁䅯䅁䅁䅁䅯兵䅁䅁䅯兂䅁䅁䅯睂䅁䅁䅅䅁䉁䅁䅁权䥁䅁䅁䍄䉁䅁䅁睁䅁䅁䅍䅄䅁䅁䅕䅁䅁䥧䵗歔䭅䵁䍍䅁䉁䅁䅁允䅁䅁䅯東䅉䅁杷允䅁䅁䅍䅁䑁䅁䅷䅁䙁䅁䅁䥁䝄啭䈹权䑄杁䅁允䅁䅁䅅䅁䭁乁䍷䅁䵁䅉䅅䅁䑁䅁䅁睁䵁䅁䅁兂䅁䅁䅂娱兰兑䅯杪䅉䅁䅅䅁䉁䅁䅁权偃杁䅁䍄䉁䅁䅁兂䅁䅁䅍䅁䅁䅁䅯䅁䅁䅁䅯睔䅁䅁䅯兂䅁䅁䅯睂䅁䅁䅅䅁䉁䅁䅁权䥁䅁䅁䍄䉁䅁䅁睁䅁䅁䅍䅄䅁䅁䅕䅁䅁䌴瑓啙䭅䵁䍕䅁䉁䅁䅁允䅁䅁䅯睪䅉䅁杷允䅁䅁䅕䅁䑁䅁䅁䅁䭁䅁䅁䅁䭁䩁䅕䅁䭁䅁䅕䅁䭁䅁䅣䅁䉁䅁䅁允䅁䅁䅯䅃䅁䅁杷允䅁䅁䅕䅁䑁䅁䅁䅁䭁䅁䅁䅁䭁䭁䅣䅁䭁䅁䅕䅁䭁䅁䅙䅁䉁䅁䅁允䅁䅁䅍呪⽍䅁杷允䅁䅁䅍䅁䑁䅁䅷䅁䙁䅁䅁䥁⭁噭䉂权䍄杁䅁允䅁䅁䅅䅁䭁䥁䌸䅁䵁䅉䅅䅁䙁䅁䅁睁䅁䅁䅁权䅁䅁䅁权牄允䅁权䙁䅁䅁权䡁䅁䅁允䅁䅁䅅䅁䭁䅁䅧䅁䵁䅉䅅䅁䙁䅁䅁睁䅁䅁䅁权䅁䅁䅁权敁允䅁权䙁䅁䅁权䡁䅁䅁允䅁䅁䅅䅁䭁䅁䅧䅁䵁䅉䅅䅁䑁䅁䅁睁䵁䅁䅁兂䅁䅁䅄坡剸兑䅯䅫䅉䅁䅅䅁䉁䅁䅁权噃杁䅁䍄䉁䅁䅁兂䅁䅁䅍䅁䅁䅁䅯䅁䅁䅁䅯眰䅅䅁䅯兂䅁䅁䅯杂䅁䅁䅅䅁䉁䅁䅁睁乃䔱䅉䍄䉁䅁䅁兂䅁䅁䅍䅁䅁䅁䅯䅁䅁䅁䅯入䅅䅁䅯兂䅁䅁䅯杂䅁䅁䅅䅁䉁䅁䅁睁䕁㙸䅙䍄䉁䅁䅁睁䅁䅁䅍䅄䅁䅁䅕䅁䅁䵧婡ご䭅䩁䍁䅁䉁䅁䅁允䅁䅁䅯睪䅉䅁杷允䅁䅁䅕䅁䑁䅁䅁䅁䭁䅁䅁䅁䭁䭁䅳䅁䭁䅁䅕䅁䭁䅁䅙䅁䉁䅁䅁允䅁䅁䅍伸⭑䅁杷允䅁䅁䅍䅁䑁䅁䅷䅁䙁䅁䅁䵁䉃噮䉂权佃杁䅁允䅁䅁䅅䅁䭁䥁䌸䅁䵁䅉䅅䅁䙁䅁䅁睁䅁䅁䅁权䅁䅁䅁权瑄允䅁权䙁䅁䅁权䝁䅁䅁允䅁䅁䅅䅁䑁䕁朵睄䵣䅉䅅䅁䙁䅁䅁睁䅁䅁䅁权䅁䅁䅁权㑄䅁䅁权䙁䅁䅁权䝁䅁䅁允䅁䅁䅅䅁䑁佁䵍睰䵁䅉䅅䅁䙁䅁䅁睁䅁䅁䅁权䅁䅁䅁权塂杁䅁权䙁䅁䅁权䝁䅁䅁允䅁䅁䅅䅁䑁䙁圶杮䵁䅉䅅䅁䙁䅁䅁睁䅁䅁䅁权䅁䅁䅁权睄䅁䅁权䙁䅁䅁权䝁䅁䅁允䅁䅁䅅䅁䑁佁捨村䵁䅉䅅䅁䙁䅁䅁睁䅁䅁䅁权䅁䅁䅁权䕃杁䅁权䙁䅁䅁权䝁䅁䅁允䅁䅁䅅䅁䑁䝁坦兑䵁䅉䅅䅁䑁䅁䅁睁䵁䅁䅁兂䅁䅁䅄瀲全兑䅯睷䅉䅁䅅䅁䉁䅁䅁权汃杁䅁䍄䉁䅁䅁兂䅁䅁䅍䅁䅁䅁䅯䅁䅁䅁䅯睱䅁䅁䅯兂䅁䅁䅯睂䅁䅁䅅䅁䉁䅁䅁权䥁䅁䅁䍄䉁䅁䅁睁䅁䅁䅍䅄䅁䅁䅕䅁䅁䝁批䕕䭅䵁䍍䅁䉁䅁䅁允䅁䅁䅯公䅉䅁杷允䅁䅁䅕䅁䑁䅁䅁䅁䭁䅁䅁䅁䭁䝁䉕䅁䭁䅁䅕䅁䭁䅁䅙䅁䉁䅁䅁允䅁䅁䅍㍭䍆䅁杷允䅁䅁䅕䅁䑁䅁䅁䅁䭁䅁䅁䅁䭁偁䅉䅁䭁䅁䅕䅁䭁䅁䅙䅁䉁䅁䅁允䅁䅁䅍圵䍴䅁杷允䅁䅁䅕䅁䑁䅁䅁䅁䭁䅁䅁䅁䭁乁䉕䅁䭁䅁䅕䅁䭁䅁䅣䅁䉁䅁䅁允䅁䅁䅯䅃䅁䅁杷允䅁䅁䅕䅁䑁䅁䅁䅁䭁䅁䅁䅁䭁䝁䍅䅁䭁䅁䅕䅁䭁䅁䅣䅁䉁䅁䅁允䅁䅁䅯䅃䅁䅁杷允䅁䅁䅍䅁䑁䅁䅷䅁䙁䅁䅁䵁灂䙢䉆权䍄杁䅁允䅁䅁䅅䅁䭁䩁䍕䅁䵁䅉䅅䅁䑁䅁䅁睁䵁䅁䅁兂䅁䅁䅂㥥歬兑䅯典䅉䅁䅅䅁䉁䅁䅁权偃杁䅁䍄䉁䅁䅁兂䅁䅁䅍䅁䅁䅁䅯䅁䅁䅁䅯䅩䅅䅁䅯兂䅁䅁䅯睂䅁䅁䅅䅁䉁䅁䅁睁十此䅉䍄䉁䅁䅁兂䅁䅁䅍䅁䅁䅁䅯䅁䅁䅁䅯杍䅅䅁䅯兂䅁䅁䅯睂䅁䅁䅅䅁䉁䅁䅁权䥁䅁䅁䍄䉁䅁䅁兂䅁䅁䅍䅁䅁䅁䅯䅁䅁䅁䅯睱䅅䅁䅯兂䅁䅁䅯杂䅁䅁䅅䅁䉁䅁䅁睁⭄㙹䅙䍄䉁䅁䅁睁䅁䅁䅍䅄䅁䅁䅕䅁䅁䙧扭䕕䭅䥁䌴䅁䉁䅁䅁允䅁䅁䅯睪䅉䅁杷允䅁䅁䅕䅁䑁䅁䅁䅁䭁䅁䅁䅁䭁䝁䅕䅁䭁䅁䅕䅁䭁䅁䅣䅁䉁䅁䅁允䅁䅁䅯䅃䅁䅁杷允䅁䅁䅕䅁䑁䅁䅁䅁䭁䅁䅁䅁䭁䵁䉁䅁䭁䅁䅕䅁䭁䅁䅙䅁䉁䅁䅁允䅁䅁䅍摯⬴䅁杷允䅁䅁䅕䅁䑁䅁䅁䅁䭁䅁䅁䅁䭁䙁䅯䅁䭁䅁䅕䅁䭁䅁䅣䅁䉁䅁䅁允䅁䅁䅯䅃䅁䅁杷允䅁䅁䅕䅁䑁䅁䅁䅁䭁䅁䅁䅁䭁䑁䉑䅁䭁䅁䅕䅁䭁䅁䅣䅁䉁䅁䅁允䅁䅁䅯䅃䅁䅁杷允䅁䅁䅕䅁䑁䅁䅁䅁䭁䅁䅁䅁䭁䥁䍣䅁䭁䅁䅕䅁䭁䅁䅣䅁䉁䅁䅁允䅁䅁䅯䅃䅁䅁杷允䅁䅁䅍䅁䑁䅁䅷䅁䙁䅁䅁䥁癃圴䉒权佃杁䅁允䅁䅁䅅䅁䭁䥁䌸䅁䵁䅉䅅䅁䙁䅁䅁睁䅁䅁䅁权䅁䅁䅁权楂䅁䅁权䙁䅁䅁权䝁䅁䅁允䅁䅁䅅䅁䑁䩁ㅰ村䵁䅉䅅䅁䙁䅁䅁睁䅁䅁䅁权䅁䅁䅁权㑄允䅁权䙁䅁䅁权䝁䅁䅁允䅁䅁䅅䅁䑁䱁坧睑䵁䅉䅅䅁䙁䅁䅁睁䅁䅁䅁权䅁䅁䅁权睃䅁䅁权䙁䅁䅁权䡁䅁䅁允䅁䅁䅅䅁䑁䥁猫児䵁䅉䅅䅁䙁䅁䅁睁䅁䅁䅁权䅁䅁䅁权坃䅁䅁权䙁䅁䅁权䡁䅁䅁允䅁䅁䅅䅁䑁䱁瑂村䵁䅉䅅䅁䙁䅁䅁睁䅁䅁䅁权䅁䅁䅁权䝂杁䅁权䙁䅁䅁权䝁䅁䅁允䅁䅁䅅䅁䑁䝁扢䅚䵁䅉䅅䅁䙁䅁䅁睁䅁䅁䅁权䅁䅁䅁权坁杁䅁权䙁䅁䅁权䝁䅁䅁允䅁䅁䅅䅁䑁䱁瑂村䵁䅉䅅䅁䙁䅁䅁睁䅁䅁䅁权䅁䅁䅁权啂䅁䅁权䙁䅁䅁权䝁䅁䅁允䅁䅁䅅䅁䑁䱁奎村䵁䅉䅅䅁䙁䅁䅁睁䅁䅁䅁权䅁䅁䅁权⽁䅁䅁权䙁䅁䅁权䝁䅁䅁允䅁䅁䅅䅁䑁䡁䱰睑䵁䅉䅅䅁䙁䅁䅁睁䅁䅁䅁权䅁䅁䅁权啂䅁䅁权䙁䅁䅁权䡁䅁䅁允䅁䅁䅅䅁䑁䥁猫児䵁䅉䅅䅁䙁䅁䅁睁䅁䅁䅁权䅁䅁䅁权⽁䅁䅁权䙁䅁䅁权䡁䅁䅁允䅁䅁䅅䅁䭁䅁䅧䅁䵁䅉䅅䅁䙁䅁䅁睁䅁䅁䅁权䅁䅁䅁权㑂杁䅁权䙁䅁䅁权䡁䅁䅁允䅁䅁䅅䅁䑁䡁戱村䵁䅉䅅䅁䑁䅁䅁睁䵁䅁䅁兂䅁䅁䅂㤲歨兑䅯䅫䅉䅁䅅䅁䉁䅁䅁权偃杁䅁䍄䉁䅁䅁兂䅁䅁䅍䅁䅁䅁䅯䅁䅁䅁䅯杓䅅䅁䅯兂䅁䅁䅯杂䅁䅁䅅䅁䉁䅁䅁睁䡁啙䅉䍄䉁䅁䅁兂䅁䅁䅍䅁䅁䅁䅯䅁䅁䅁䅯杍䅉䅁䅯兂䅁䅁䅯杂䅁䅁䅅䅁䉁䅁䅁睁偃㙸䅙䍄䉁䅁䅁兂䅁䅁䅍䅁䅁䅁䅯䅁䅁䅁䅯䅣䅉䅁䅯兂䅁䅁䅯杂䅁䅁䅅䅁䉁䅁䅁睁乃䔱䅉䍄䉁䅁䅁睁䅁䅁䅍䅄䅁䅁䅕䅁䅁佑噱䕕䭅䩁䍁䅁䉁䅁䅁允䅁䅁䅯睪䅉䅁杷允䅁䅁䅕䅁䑁䅁䅁䅁䭁䅁䅁䅁䭁偁䄰䅁䭁䅁䅕䅁䭁䅁䅣䅁䉁䅁䅁允䅁䅁䅯䅃䅁䅁杷允䅁䅁䅕䅁䑁䅁䅁䅁䭁䅁䅁䅁䭁䥁䈴䅁䭁䅁䅕䅁䭁䅁䅣䅁䉁䅁䅁允䅁䅁䅯䅃䅁䅁杷允䅁䅁䅍䅁䑁䅁䅷䅁䙁䅁䅁䅁桂汬䉂权䍄杁䅁允䅁䅁䅅䅁䭁䥁䌸䅁䵁䅉䅅䅁䙁䅁䅁睁䅁䅁䅁权䅁䅁䅁权硃䅁䅁权䙁䅁䅁权䡁䅁䅁允䅁䅁䅅䅁䭁䅁䅧䅁䵁䅉䅅䅁䙁䅁䅁睁䅁䅁䅁权䅁䅁䅁权㑂䅁䅁权䙁䅁䅁权䝁䅁䅁允䅁䅁䅅䅁䑁䥁晊村䵁䅉䅅䅁䑁䅁䅁睁䵁䅁䅁兂䅁䅁䅃㡰公兑䅯杷䅉䅁䅅䅁䉁䅁䅁权偃杁䅁䍄䉁䅁䅁兂䅁䅁䅍䅁䅁䅁䅯䅁䅁䅁䅯睸䅅䅁䅯兂䅁䅁䅯杂䅁䅁䅅䅁䉁䅁䅁睁十啤䅉䍄䉁䅁䅁兂䅁䅁䅍䅁䅁䅁䅯䅁䅁䅁䅯眹䅅䅁䅯兂䅁䅁䅯睂䅁䅁䅅䅁䉁䅁䅁权䥁䅁䅁䍄䉁䅁䅁睁䅁䅁䅍䅄䅁䅁䅕䅁䅁䑷塓䕕䭅䥁䌴䅁䉁䅁䅁允䅁䅁䅯䅭䅉䅁杷允䅁䅁䅕䅁䑁䅁䅁䅁䭁䅁䅁䅁䭁䑁䍷䅁䭁䅁䅕䅁䭁䅁䅙䅁䉁䅁䅁允䅁䅁䅍兇渶䅁杷允䅁䅁䅕䅁䑁䅁䅁䅁䭁䅁䅁䅁䭁䱁䅍䅁䭁䅁䅕䅁䭁䅁䅙䅁䉁䅁䅁允䅁䅁䅍硃㥫䅁杷允䅁䅁䅕䅁䑁䅁䅁䅁䭁䅁䅁䅁䭁䭁䉁䅁䭁䅁䅕䅁䭁䅁䅣䅁䉁䅁䅁允䅁䅁䅍楮䑚䅁杷允䅁䅁䅍䅁䑁䅁䅷䅁䙁䅁䅁䥁佄び䈹权䑄杁䅁允䅁䅁䅅䅁䭁䭁䌰䅁䵁䅉䅅䅁䙁䅁䅁睁䅁䅁䅁权䅁䅁䅁权橄䅁䅁权䙁䅁䅁权䡁䅁䅁允䅁䅁䅅䅁䭁䅁䅧䅁䵁䅉䅅䅁䑁䅁䅁睁䵁䅁䅁兂䅁䅁䅃砵儹兑䅯睷䅉䅁䅅䅁䉁䅁䅁权瑃杁䅁䍄䉁䅁䅁兂䅁䅁䅍䅁䅁䅁䅯䅁䅁䅁䅯睎䅁䅁䅯兂䅁䅁䅯杂䅁䅁䅅䅁䉁䅁䅁睁䱁呇䄰䍄䉁䅁䅁兂䅁䅁䅍䅁䅁䅁䅯䅁䅁䅁䅯睎䅁䅁䅯兂䅁䅁䅯睂䅁䅁䅅䅁䉁䅁䅁睁佂正䅉䍄䉁䅁䅁睁䅁䅁䅍䅄䅁䅁䅕䅁䅁䥶䅰啭䭅䵁䍉䅁䉁䅁䅁允䅁䅁䅯睪䅉䅁杷允䅁䅁䅕䅁䑁䅁䅁䅁䭁䅁䅁䅁䭁䍁䍯䅁䭁䅁䅕䅁䭁䅁䅙䅁䉁䅁䅁允䅁䅁䅍㍲䅎䅁杷允䅁䅁䅕䅁䑁䅁䅁䅁䭁䅁䅁䅁䭁䍁䌰䅁䭁䅁䅕䅁䭁䅁䅙䅁䉁䅁䅁允䅁䅁䅍㍭䍆䅁杷允䅁䅁䅕䅁䑁䅁䅁䅁䭁䅁䅁䅁䭁䱁䅣䅁䭁䅁䅕䅁䭁䅁䅣䅁䉁䅁䅁允䅁䅁䅍湅䍚䅁杷允䅁䅁䅍䅁䑁䅁䅷䅁䙁䅁䅁䅁㕂噮䉂权䍄杁䅁允䅁䅁䅅䅁䭁䥁䌸䅁䵁䅉䅅䅁䑁䅁䅁睁䵁䅁䅁兂䅁䅁䅃唸婆兑䅯杪䅉䅁䅅䅁䉁䅁䅁权⭃杁䅁䍄䉁䅁䅁睁䅁䅁䅍䅄䅁䅁䅕䅁䅁䭧潉啕䭅䵁䍉䅁䉁䅁䅁允䅁䅁䅯权䅍䅁杷允䅁䅁䅕䅁䑁䅁䅁䅁䭁䅁䅁䅁䭁䵁䅙䅁䭁䅁䅕䅁䭁䅁䅙䅁䉁䅁䅁允䅁䅁䅍汧䌱䅁杷允䅁䅁䅕䅁䑁䅁䅁䅁䭁䅁䅁䅁䭁䑁䉷䅁䭁䅁䅕䅁䭁䅁䅣䅁䉁䅁䅁允䅁䅁䅍㉚䐱䅁杷允䅁䅁䅕䅁䑁䅁䅁䅁䭁䅁䅁䅁䭁䱁䅫䅁䭁䅁䅕䅁䭁䅁䅙䅁䉁䅁䅁允䅁䅁䅍䝳䌱䅁杷允䅁䅁䅍䅁䑁䅁䅷䅁䙁䅁䅁䵁硁䙪䉆权䙄杁䅁允䅁䅁䅅䅁䭁䅁䑑䅁䵁䅉䅅䅁䙁䅁䅁睁䅁䅁䅁权䅁䅁䅁权㡃䅁䅁权䙁䅁䅁权䝁䅁䅁允䅁䅁䅅䅁䑁䩁硴村䵁䅉䅅䅁䙁䅁䅁睁䅁䅁䅁权䅁䅁䅁权桃允䅁权䙁䅁䅁权䡁䅁䅁允䅁䅁䅅䅁䭁䅁䅧䅁䵁䅉䅅䅁䙁䅁䅁睁䅁䅁䅁权䅁䅁䅁权㙃䅁䅁权䙁䅁䅁权䝁䅁䅁允䅁䅁䅅䅁䑁䱁湴村䵁䅉䅅䅁䙁䅁䅁睁䅁䅁䅁权䅁䅁䅁权䩂允䅁权䙁䅁䅁权䡁䅁䅁允䅁䅁䅅䅁䭁䅁䅧䅁䵁䅉䅅䅁䙁䅁䅁睁䅁䅁䅁权䅁䅁䅁权奃䅁䅁权䙁䅁䅁权䡁䅁䅁允䅁䅁䅅䅁䭁䅁䅧䅁䵁䅉䅅䅁䙁䅁䅁睁䅁䅁䅁权䅁䅁䅁权灃允䅁权䙁䅁䅁权䡁䅁䅁允䅁䅁䅅䅁䭁䅁䅧䅁䵁䅉䅅䅁䑁䅁䅁睁䵁䅁䅁兂䅁䅁䅄㕍儱兑䅯杪䅉䅁䅅䅁䉁䅁䅁权偃杁䅁䍄䉁䅁䅁睁䅁䅁䅍䅄䅁䅁䅕䅁䅁䝉婦䕚䭅䵁䍍䅁䉁䅁䅁允䅁䅁䅯公䅉䅁杷允䅁䅁䅕䅁䑁䅁䅁䅁䭁䅁䅁䅁䭁䱁䉅䅁䭁䅁䅕䅁䭁䅁䅙䅁䉁䅁䅁允䅁䅁䅍硡䉂䅁杷允䅁䅁䅍䅁䑁䅁䅷䅁䙁䅁䅁䥁䕃噮䉂权䑄杁䅁允䅁䅁䅅䅁䭁䩁䍣䅁䵁䅉䅅䅁䑁䅁䅁睁䵁䅁䅁兂䅁䅁䅄瑥歬兑䅯杷䅉䅁䅅䅁䉁䅁䅁权偃杁䅁䍄䉁䅁䅁兂䅁䅁䅍䅁䅁䅁䅯䅁䅁䅁䅯䄵䅁䅁䅯兂䅁䅁䅯杂䅁䅁䅅䅁䉁䅁䅁睁㙁此䅉䍄䉁䅁䅁兂䅁䅁䅍䅁䅁䅁䅯䅁䅁䅁䅯杲䅁䅁䅯兂䅁䅁䅯睂䅁䅁䅅䅁䉁䅁䅁权䥁䅁䅁䍄䉁䅁䅁兂䅁䅁䅍䅁䅁䅁䅯䅁䅁䅁䅯儲䅁䅁䅯兂䅁䅁䅯杂䅁䅁䅅䅁䉁䅁䅁睁扃啣䅉䍄䉁䅁䅁兂䅁䅁䅍䅁䅁䅁䅯䅁䅁䅁䅯睳䅅䅁䅯兂䅁䅁䅯杂䅁䅁䅅䅁䉁䅁䅁睁睃啢䅉䍄䉁䅁䅁兂䅁䅁䅍䅁䅁䅁䅯䅁䅁䅁䅯睗䅉䅁䅯兂䅁䅁䅯睂䅁䅁䅅䅁䉁䅁䅁权䥁䅁䅁䍄䉁䅁䅁兂䅁䅁䅍䅁䅁䅁䅯䅁䅁䅁䅯䅂䅅䅁䅯兂䅁䅁䅯睂䅁䅁䅅䅁䉁䅁䅁权䥁䅁䅁䍄䉁䅁䅁兂䅁䅁䅍䅁䅁䅁䅯䅁䅁䅁䅯䅏䅅䅁䅯兂䅁䅁䅯睂䅁䅁䅅䅁䉁䅁䅁权䥁䅁䅁䍄䉁䅁䅁睁䅁䅁䅍䅄䅁䅁䅕䅁䅁䥑摹䕕䭅䵁䍕䅁䉁䅁䅁允䅁䅁䅯睪䅉䅁杷允䅁䅁䅕䅁䑁䅁䅁䅁䭁䅁䅁䅁䭁䵁䅍䅁䭁䅁䅕䅁䭁䅁䅣䅁䉁䅁䅁允䅁䅁䅯䅃䅁䅁杷允䅁䅁䅕䅁䑁䅁䅁䅁䭁䅁䅁䅁䭁佁䉣䅁䭁䅁䅕䅁䭁䅁䅣䅁䉁䅁䅁允䅁䅁䅍氳䉖䅁杷允䅁䅁䅕䅁䑁䅁䅁䅁䭁䅁䅁䅁䭁䵁䅣䅁䭁䅁䅕䅁䭁䅁䅣䅁䉁䅁䅁允䅁䅁䅯䅃䅁䅁杷允䅁䅁䅍䅁䑁䅁䅷䅁䙁䅁䅁䕁偁䘲䉂权䙄杁䅁允䅁䅁䅅䅁䭁䥁䌸䅁䵁䅉䅅䅁䑁䅁䅁睁䵁䅁䅁兂䅁䅁权乊歨兑䅯杪䅉䅁䅅䅁䉁䅁䅁权偃杁䅁䍄䉁䅁䅁睁䅁䅁䅍䅄䅁䅁䅕䅁䅁䅧獖啕䭅䵁䍍䅁䉁䅁䅁允䅁䅁䅯睅䅍䅁杷允䅁䅁䅕䅁䑁䅁䅁䅁䭁䅁䅁䅁䭁䅁䌴䅁䭁䅁䅕䅁䭁䅁䅣䅁䉁䅁䅁允䅁䅁䅯䅃䅁䅁杷允䅁䅁䅕䅁䑁䅁䅁䅁䭁䅁䅁䅁䭁佁䅙䅁䭁䅁䅕䅁䭁䅁䅙䅁䉁䅁䅁允䅁䅁䅍楮䑚䅁杷允䅁䅁䅍䅁䑁䅁䅷䅁䙁䅁䅁䅁扃汬䉂权䑄杁䅁允䅁䅁䅅䅁䭁佁䌰䅁䵁䅉䅅䅁䙁䅁䅁睁䅁䅁䅁权䅁䅁䅁权潂杁䅁权䙁䅁䅁权䡁䅁䅁允䅁䅁䅅䅁䭁䅁䅧䅁䵁䅉䅅䅁䙁䅁䅁睁䅁䅁䅁权䅁䅁䅁权䩄䅁䅁权䙁䅁䅁权䡁䅁䅁允䅁䅁䅅䅁䭁䅁䅧䅁䵁䅉䅅䅁䑁䅁䅁睁䵁䅁䅁兂䅁䅁䅁婙党兑䅯杪䅉䅁䅅䅁䉁䅁䅁权偃杁䅁䍄䉁䅁䅁兂䅁䅁䅍䅁䅁䅁䅯䅁䅁䅁䅯䅡䅅䅁䅯兂䅁䅁䅯杂䅁䅁䅅䅁䉁䅁䅁睁䑁䕢䅉䍄䉁䅁䅁睁䅁䅁䅍䅄䅁䅁䅕䅁䅁余夳䕚䭅䥁䌴䅁䉁䅁䅁允䅁䅁䅯睪䅉䅁杷允䅁䅁䅕䅁䑁䅁䅁䅁䭁䅁䅁䅁䭁䩁䉣䅁䭁䅁䅕䅁䭁䅁䅙䅁䉁䅁䅁允䅁䅁䅍䘳䍸䅁杷允䅁䅁䅍䅁䑁䅁䅷䅁䙁䅁䅁䕁橁噴䉂权佃杁䅁允䅁䅁䅅䅁䭁䥁䌸䅁䵁䅉䅅䅁䙁䅁䅁睁䅁䅁䅁权䅁䅁䅁权䝄允䅁权䙁䅁䅁权䝁䅁䅁允䅁䅁䅅䅁䑁䅁捰村䵁䅉䅅䅁䙁䅁䅁睁䅁䅁䅁权䅁䅁䅁权剁允䅁权䙁䅁䅁权䝁䅁䅁允䅁䅁䅅䅁䑁䥁摊村䵁䅉䅅䅁䑁䅁䅁睁䵁䅁䅁兂䅁䅁䅄瀷公兑䅯睷䅉䅁䅅䅁䉁䅁䅁权捄杁䅁䍄䉁䅁䅁睁䅁䅁䅍䅄䅁䅁䅕䅁䅁䭧潉啕䭅䥁䌴䅁䉁䅁䅁允䅁䅁䅯杇䅍䅁杷允䅁䅁䅕䅁䑁䅁䅁䅁䭁䅁䅁䅁䭁䅁䍅䅁䭁䅁䅕䅁䭁䅁䅣䅁䉁䅁䅁允䅁䅁䅯䅃䅁䅁杷允䅁䅁䅕䅁䑁䅁䅁䅁䭁䅁䅁䅁䭁䵁䄴䅁䭁䅁䅕䅁䭁䅁䅣䅁䉁䅁䅁允䅁䅁䅍昫⽳䅁杷允䅁䅁䅍䅁䑁䅁䅷䅁䙁䅁䅁䕁潄嘱䉂权䍄杁䅁允䅁䅁䅅䅁䭁䥁䌸䅁䵁䅉䅅䅁䙁䅁䅁睁䅁䅁䅁权䅁䅁䅁权偂允䅁权䙁䅁䅁权䝁䅁䅁允䅁䅁䅅䅁䑁䩁洴睑䵁䅉䅅䅁䙁䅁䅁睁䅁䅁䅁权䅁䅁䅁权䍃䅁䅁权䙁䅁䅁权䝁䅁䅁允䅁䅁䅅䅁䑁偁噹䅒䵁䅉䅅䅁䙁䅁䅁睁䅁䅁䅁权䅁䅁䅁权灂杁䅁权䙁䅁䅁权䡁䅁䅁允䅁䅁䅅䅁䭁䅁䅧䅁䵁䅉䅅䅁䙁䅁䅁睁䅁䅁䅁权䅁䅁䅁权婂允䅁权䙁䅁䅁权䝁䅁䅁允䅁䅁䅅䅁䑁䑁偤睒䵁䅉䅅䅁䙁䅁䅁睁䅁䅁䅁权䅁䅁䅁权卂杁䅁权䙁䅁䅁权䝁䅁䅁允䅁䅁䅅䅁䑁佁㕩杮䵁䅉䅅䅁䑁䅁䅁睁䵁䅁䅁兂䅁䅁杄琷歨兑䅯䅫䅉䅁䅅䅁䉁䅁䅁权偃杁䅁䍄䉁䅁䅁兂䅁䅁䅍䅁䅁䅁䅯䅁䅁䅁䅯眲䅁䅁䅯兂䅁䅁䅯睂䅁䅁䅅䅁䉁䅁䅁睁坁䕳䅕䍄䉁䅁䅁兂䅁䅁䅍䅁䅁䅁䅯䅁䅁䅁䅯杘䅉䅁䅯兂䅁䅁䅯杂䅁䅁䅅䅁䉁䅁䅁睁汁䐶䄸䍄䉁䅁䅁兂䅁䅁䅍䅁䅁䅁䅯䅁䅁䅁䅯䄰䅁䅁䅯兂䅁䅁䅯杂䅁䅁䅅䅁䉁䅁䅁睁偃䕚䅉䍄䉁䅁䅁兂䅁䅁䅍䅁䅁䅁䅯䅁䅁䅁䅯䅗䅅䅁䅯兂䅁䅁䅯杂䅁䅁䅅䅁䉁䅁䅁睁塃䕗䅉䍄䉁䅁䅁睁䅁䅁䅍䅄䅁䅁䅕䅁䅁䵁㡩啕䭅䵁䍍䅁䉁䅁䅁允䅁䅁䅯公䅉䅁杷允䅁䅁䅕䅁䑁䅁䅁䅁䭁䅁䅁䅁䭁佁䅅䅁䭁䅁䅕䅁䭁䅁䅙䅁䉁䅁䅁允䅁䅁䅍卓橂䅁杷允䅁䅁䅕䅁䑁䅁䅁䅁䭁䅁䅁䅁䭁䉁䉯䅁䭁䅁䅕䅁䭁䅁䅙䅁䉁䅁䅁允䅁䅁䅍䱆䕎䅁杷允䅁䅁䅍䅁䑁䅁䅷䅁䙁䅁䅁䥁㍂噖䉂权元杁䅁允䅁䅁䅅䅁䭁䥁䌸䅁䵁䅉䅅䅁䑁䅁䅁睁䵁䅁䅁兂䅁䅁䅂㑕刵兑䅯典䅉䅁䅅䅁䉁䅁䅁权偃杁䅁䍄䉁䅁䅁兂䅁䅁䅍䅁䅁䅁䅯䅁䅁䅁䅯朰䅁䅁䅯兂䅁䅁䅯杂䅁䅁䅅䅁䉁䅁䅁睁歂歭䅑䍄䉁䅁䅁睁䅁䅁䅍䅄䅁䅁䅕䅁䅁䉑扭䕕䭅䥁䌴䅁䉁䅁䅁允䅁䅁䅯杲䅉䅁杷允䅁䅁䅍䅁䑁䅁䅷䅁䙁䅁䅁䝁䑄圴䉒权䍄杁䅁允䅁䅁䅅䅁䭁䥁䌸䅁䵁䅉䅅䅁䙁䅁䅁睁䅁䅁䅁权䅁䅁䅁权啄䅁䅁权䙁䅁䅁权䝁䅁䅁允䅁䅁䅅䅁䑁䥁欹村䵁䅉䅅䅁䙁䅁䅁睁䅁䅁䅁权䅁䅁䅁权㥂允䅁权䙁䅁䅁权䝁䅁䅁允䅁䅁䅅䅁䑁䉁摒村䵁䅉䅅䅁䙁䅁䅁睁䅁䅁䅁权䅁䅁䅁权䝄允䅁权䙁䅁䅁权䡁䅁䅁允䅁䅁䅅䅁䭁䅁䅧䅁䵁䅉䅅䅁䙁䅁䅁睁䅁䅁䅁权䅁䅁䅁权䙃䅁䅁权䙁䅁䅁权䝁䅁䅁允䅁䅁䅅䅁䑁䵁ㄹ村䵁䅉䅅䅁䙁䅁䅁睁䅁䅁䅁权䅁䅁䅁权睁杁䅁权䙁䅁䅁权䡁䅁䅁允䅁䅁䅅䅁䑁䩁洴睑䵁䅉䅅䅁䑁䅁䅁睁䵁䅁䅁兂䅁䅁䅄摉歨兑䅯䅫䅉䅁䅅䅁䉁䅁䅁权偃杁䅁䍄䉁䅁䅁兂䅁䅁䅍䅁䅁䅁䅯䅁䅁䅁䅯䅓䅅䅁䅯兂䅁䅁䅯睂䅁䅁䅅䅁䉁䅁䅁权䥁䅁䅁䍄䉁䅁䅁兂䅁䅁䅍䅁䅁䅁䅯䅁䅁䅁䅯杕䅅䅁䅯兂䅁䅁䅯睂䅁䅁䅅䅁䉁䅁䅁权䥁䅁䅁䍄䉁䅁䅁兂䅁䅁䅍䅁䅁䅁䅯䅁䅁䅁䅯杄䅅䅁䅯兂䅁䅁䅯睂䅁䅁䅅䅁䉁䅁䅁权䥁䅁䅁䍄䉁䅁䅁兂䅁䅁䅍䅁䅁䅁䅯䅁䅁䅁䅯眯䅁䅁䅯兂䅁䅁䅯睂䅁䅁䅅䅁䉁䅁䅁权䥁䅁䅁䍄䉁䅁䅁睁䅁䅁䅍䅄䅁䅁䅕䅁䅁佧晣䕕䭅䩁䍁䅁䉁䅁䅁允䅁䅁䅯睪䅉䅁杷允䅁䅁䅕䅁䑁䅁䅁䅁䭁䅁䅁䅁䭁乁䄰䅁䭁䅁䅕䅁䭁䅁䅙䅁䉁䅁䅁允䅁䅁䅍䅧渶䅁杷允䅁䅁䅍䅁䑁䅁䅷䅁䙁䅁䅁䕁偁䘲䉂权元杁䅁允䅁䅁䅅䅁䭁䥁䌸䅁䵁䅉䅅䅁䑁䅁䅁睁䵁䅁䅁兂䅁䅁睁浦㡒兑䅯䅫䅉䅁䅅䅁䉁䅁䅁权偃杁䅁䍄䉁䅁䅁兂䅁䅁䅍䅁䅁䅁䅯䅁䅁䅁䅯睙䅉䅁䅯兂䅁䅁䅯杂䅁䅁䅅䅁䉁䅁䅁睁扄ぢ䅉䍄䉁䅁䅁兂䅁䅁䅍䅁䅁䅁䅯䅁䅁䅁䅯儳䅁䅁䅯兂䅁䅁䅯睂䅁䅁䅅䅁䉁䅁䅁权䥁䅁䅁䍄䉁䅁䅁睁䅁䅁䅍䅄䅁䅁䅕䅁䅁䙧慱䕕䭅䥁䌴䅁䉁䅁䅁允䅁䅁䅯睪䅉䅁杷允䅁䅁䅍䅁䑁䅁䅷䅁䙁䅁䅁䕁㝂圲䉒权䑄杁䅁允䅁䅁䅅䅁䭁䩁䍕䅁䵁䅉䅅䅁䙁䅁䅁睁䅁䅁䅁权䅁䅁䅁权㥁䅁䅁权䙁䅁䅁权䡁䅁䅁允䅁䅁䅅䅁䭁䅁䅧䅁䵁䅉䅅䅁䑁䅁䅁睁䵁䅁䅁兂䅁䅁䅁䩔全兑䅯䅫䅉䅁䅅䅁䉁䅁䅁权偃杁䅁䍄䉁䅁䅁睁䅁䅁䅍䅄䅁䅁䅕䅁䅁䝉婦䕚䭅䩁䍁䅁䉁䅁䅁允䅁䅁䅯睪䅉䅁杷允䅁䅁䅕䅁䑁䅁䅁䅁䭁䅁䅁䅁䭁乁䄸䅁䭁䅁䅕䅁䭁䅁䅙䅁䉁䅁䅁允䅁䅁䅍䝳䌱䅁杷允䅁䅁䅍䅁䑁䅁䅷䅁䙁䅁䅁䥁硄噑䉬权元杁䅁允䅁䅁䅅䅁䭁䱁䍕䅁䵁䅉䅅䅁䙁䅁䅁睁䅁䅁䅁权䅁䅁䅁权㍂杁䅁权䙁䅁䅁权䡁䅁䅁允䅁䅁䅅䅁䭁䅁䅧䅁䵁䅉䅅䅁䙁䅁䅁睁䅁䅁䅁权䅁䅁䅁权桂允䅁权䙁䅁䅁权䝁䅁䅁允䅁䅁䅅䅁䑁䑁㉂村䵁䅉䅅䅁䙁䅁䅁睁䅁䅁䅁权䅁䅁䅁权䥂䅁䅁权䙁䅁䅁权䝁䅁䅁允䅁䅁䅅䅁䑁䙁圶杮䵁䅉䅅䅁䙁䅁䅁睁䅁䅁䅁权䅁䅁䅁权佁允䅁权䙁䅁䅁权䝁䅁䅁允䅁䅁䅅䅁䑁䥁摊村䵁䅉䅅䅁䙁䅁䅁睁䅁䅁䅁权䅁䅁䅁权汁允䅁权䙁䅁䅁权䡁䅁䅁允䅁䅁䅅䅁䭁䅁䅧䅁䵁䅉䅅䅁䙁䅁䅁睁䅁䅁䅁权䅁䅁䅁权敃允䅁权䙁䅁䅁权䝁䅁䅁允䅁䅁䅅䅁䑁䱁坧睑䵁䅉䅅䅁䑁䅁䅁睁䵁䅁䅁兂䅁䅁䅄㕢公兑䅯典䅉䅁䅅䅁䉁䅁䅁权癄杁䅁䍄䉁䅁䅁兂䅁䅁䅍䅁䅁䅁䅯䅁䅁䅁䅯兑䅁䅁䅯兂䅁䅁䅯睂䅁䅁䅅䅁䉁䅁䅁权䥁䅁䅁䍄䉁䅁䅁睁䅁䅁䅍䅄䅁䅁䅕䅁䅁䅑䍭歕䭅䵁䍕䅁䉁䅁䅁允䅁䅁䅯睪䅉䅁杷允䅁䅁䅕䅁䑁䅁䅁䅁䭁䅁䅁䅁䭁䝁䉙䅁䭁䅁䅕䅁䭁䅁䅣䅁䉁䅁䅁允䅁䅁䅍䝳䌱䅁杷允䅁䅁䅕䅁䑁䅁䅁䅁䭁䅁䅁䅁䭁佁䅑䅁䭁䅁䅕䅁䭁䅁䅣䅁䉁䅁䅁允䅁䅁䅯䅃䅁䅁杷允䅁䅁䅕䅁䑁䅁䅁䅁䭁䅁䅁䅁䭁䙁䉁䅁䭁䅁䅕䅁䭁䅁䅣䅁䉁䅁䅁允䅁䅁䅯䅃䅁䅁杷允䅁䅁䅕䅁䑁䅁䅁䅁䭁䅁䅁䅁䭁䥁䍳䅁䭁䅁䅕䅁䭁䅁䅣䅁䉁䅁䅁允䅁䅁䅯䅃䅁䅁杷允䅁䅁䅕䅁䑁䅁䅁䅁䭁䅁䅁䅁䭁䭁䉯䅁䭁䅁䅕䅁䭁䅁䅙䅁䉁䅁䅁允䅁䅁䅍䙸䍤䅁杷允䅁䅁䅕䅁䑁䅁䅁䅁䭁䅁䅁䅁䭁佁䅧䅁䭁䅁䅕䅁䭁䅁䅙䅁䉁䅁䅁允䅁䅁䅍坩䌵䅁杷允䅁䅁䅕䅁䑁䅁䅁䅁䭁䅁䅁䅁䭁䙁䍁䅁䭁䅁䅕䅁䭁䅁䅙䅁䉁䅁䅁允䅁䅁䅍䘳䍸䅁杷允䅁䅁䅍䅁䑁䅁䅷䅁䙁䅁䅁䅁瑃汭䉂权䍄杁䅁允䅁䅁䅅䅁䭁䥁䌸䅁䵁䅉䅅䅁䙁䅁䅁睁䅁䅁䅁权䅁䅁䅁权い䅁䅁权䙁䅁䅁权䝁䅁䅁允䅁䅁䅅䅁䑁䝁坦兑䵁䅉䅅䅁䙁䅁䅁睁䅁䅁䅁权䅁䅁䅁权潄䅁䅁权䙁䅁䅁权䡁䅁䅁允䅁䅁䅅䅁䭁䅁䅧䅁䵁䅉䅅䅁䙁䅁䅁睁䅁䅁䅁权䅁䅁䅁权楁允䅁权䙁䅁䅁权䡁䅁䅁允䅁䅁䅅䅁䭁䅁䅧䅁䵁䅉䅅䅁䑁䅁䅁睁䵁䅁䅁兂䅁䅁䅃倯倱兑䅯䅫䅉䅁䅅䅁䉁䅁䅁权偃杁䅁䍄䉁䅁䅁兂䅁䅁䅍䅁䅁䅁䅯䅁䅁䅁䅯朶䅁䅁䅯兂䅁䅁䅯杂䅁䅁䅅䅁䉁䅁䅁睁⽃啚䅉䍄䉁䅁䅁睁䅁䅁䅍䅄䅁䅁䅕䅁䅁偧㥺ご䭅䵁䍉䅁䉁䅁䅁允䅁䅁䅯睪䅉䅁杷允䅁䅁䅕䅁䑁䅁䅁䅁䭁䅁䅁䅁䭁佁䅯䅁䭁䅁䅕䅁䭁䅁䅣䅁䉁䅁䅁允䅁䅁䅯䅃䅁䅁杷允䅁䅁䅕䅁䑁䅁䅁䅁䭁䅁䅁䅁䭁䱁䉙䅁䭁䅁䅕䅁䭁䅁䅣䅁䉁䅁䅁允䅁䅁䅯䅃䅁䅁杷允䅁䅁䅕䅁䑁䅁䅁䅁䭁䅁䅁䅁䭁䑁䌴䅁䭁䅁䅕䅁䭁䅁䅙䅁䉁䅁䅁允䅁䅁䅍兇渶䅁杷允䅁䅁䅕䅁䑁䅁䅁䅁䭁䅁䅁䅁䭁乁䉷䅁䭁䅁䅕䅁䭁䅁䅣䅁䉁䅁䅁允䅁䅁䅍摪䍒䅁杷允䅁䅁䅕䅁䑁䅁䅁䅁䭁䅁䅁䅁䭁䑁䍫䅁䭁䅁䅕䅁䭁䅁䅣䅁䉁䅁䅁允䅁䅁䅯䅃䅁䅁杷允䅁䅁䅕䅁䑁䅁䅁䅁䭁䅁䅁䅁䭁䭁䅁䅁䭁䅁䅕䅁䭁䅁䅙䅁䉁䅁䅁允䅁䅁䅍㍭䍆䅁杷允䅁䅁䅕䅁䑁䅁䅁䅁䭁䅁䅁䅁䭁䡁䉫䅁䭁䅁䅕䅁䭁䅁䅣䅁䉁䅁䅁允䅁䅁䅯䅃䅁䅁杷允䅁䅁䅕䅁䑁䅁䅁䅁䭁䅁䅁䅁䭁䱁䉑䅁䭁䅁䅕䅁䭁䅁䅣䅁䉁䅁䅁允䅁䅁䅯䅃䅁䅁杷允䅁䅁䅕䅁䑁䅁䅁䅁䭁䅁䅁䅁䭁䕁䄸䅁䭁䅁䅕䅁䭁䅁䅙䅁䉁䅁䅁允䅁䅁䅍畵⭁䅁杷允䅁䅁䅕䅁䑁䅁䅁䅁䭁䅁䅁䅁䭁䑁䍯䅁䭁䅁䅕䅁䭁䅁䅣䅁䉁䅁䅁允䅁䅁䅯䅃䅁䅁杷允䅁䅁䅕䅁䑁䅁䅁䅁䭁䅁䅁䅁䭁䅁䍙䅁䭁䅁䅕䅁䭁䅁䅣䅁䉁䅁䅁允䅁䅁䅍䜹䍊䅁杷允䅁䅁䅕䅁䑁䅁䅁䅁䭁䅁䅁䅁䭁乁䉍䅁䭁䅁䅕䅁䭁䅁䅣䅁䉁䅁䅁允䅁䅁䅍䜴䍒䅁杷允䅁䅁䅍䅁䑁䅁䅷䅁䙁䅁䅁䵁㥄ㅬ䉂权元杁䅁允䅁䅁䅅䅁䭁䥁䌸䅁䵁䅉䅅䅁䑁䅁䅁睁䵁䅁䅁兂䅁䅁䅁卵半兑䅯睷䅉䅁䅅䅁䉁䅁䅁权穃杁䅁䍄䉁䅁䅁兂䅁䅁䅍䅁䅁䅁䅯䅁䅁䅁䅯眫䅅䅁䅯兂䅁䅁䅯睂䅁䅁䅅䅁䉁䅁䅁权䥁䅁䅁䍄䉁䅁䅁睁䅁䅁䅍䅄䅁䅁䅕䅁䅁䕑晕啗䭅䥁䌴䅁䉁䅁䅁允䅁䅁䅯䅭䅉䅁杷允䅁䅁䅕䅁䑁䅁䅁䅁䭁䅁䅁䅁䭁䍁䉁䅁䭁䅁䅕䅁䭁䅁䅣䅁䉁䅁䅁允䅁䅁䅍婫䥬䅁杷允䅁䅁䅕䅁䑁䅁䅁䅁䭁䅁䅁䅁䭁䕁䉁䅁䭁䅁䅕䅁䭁䅁䅙䅁䉁䅁䅁允䅁䅁䅍湋䍒䅁杷允䅁䅁䅕䅁䑁䅁䅁䅁䭁䅁䅁䅁䭁偁䅑䅁䭁䅁䅕䅁䭁䅁䅣䅁䉁䅁䅁允䅁䅁䅯䅃䅁䅁杷允䅁䅁䅕䅁䑁䅁䅁䅁䭁䅁䅁䅁䭁䡁䉕䅁䭁䅁䅕䅁䭁䅁䅣䅁䉁䅁䅁允䅁䅁䅍湔䍊䅁杷允䅁䅁䅕䅁䑁䅁䅁䅁䭁䅁䅁䅁䭁䵁䄰䅁䭁䅁䅕䅁䭁䅁䅙䅁䉁䅁䅁允䅁䅁䅍灘敡䅁杷允䅁䅁䅍䅁䑁䅁䅷䅁䙁䅁䅁䥁㝃汬䉂权䙄杁䅁允䅁䅁䅅䅁䭁䥁䌸䅁䵁䅉䅅䅁䙁䅁䅁睁䅁䅁䅁权䅁䅁䅁权㑄䅁䅁权䙁䅁䅁权䡁䅁䅁允䅁䅁䅅䅁䭁䅁䅧䅁䵁䅉䅅䅁䙁䅁䅁睁䅁䅁䅁权䅁䅁䅁权坂䅁䅁权䙁䅁䅁权䝁䅁䅁允䅁䅁䅅䅁䑁䵁䡙党䵁䅉䅅䅁䑁䅁䅁睁䵁䅁䅁兂䅁䅁䅃稱夹兑䅯睷䅉䅁䅅䅁䉁䅁䅁权敄杁䅁䍄䉁䅁䅁兂䅁䅁䅍䅁䅁䅁䅯䅁䅁䅁䅯兘䅅䅁䅯兂䅁䅁䅯杂䅁䅁䅅䅁䉁䅁䅁睁䡄䕍䅙䍄䉁䅁䅁兂䅁䅁䅍䅁䅁䅁䅯䅁䅁䅁䅯眸䅅䅁䅯兂䅁䅁䅯睂䅁䅁䅅䅁䉁䅁䅁睁佁す䅉䍄䉁䅁䅁兂䅁䅁䅍䅁䅁䅁䅯䅁䅁䅁䅯䅔䅉䅁䅯兂䅁䅁䅯杂䅁䅁䅅䅁䉁䅁䅁睁乃䔱䅉䍄䉁䅁䅁兂䅁䅁䅍䅁䅁䅁䅯䅁䅁䅁䅯允䅅䅁䅯兂䅁䅁䅯睂䅁䅁䅅䅁䉁䅁䅁权䥁䅁䅁䍄䉁䅁䅁兂䅁䅁䅍䅁䅁䅁䅯䅁䅁䅁䅯睂䅅䅁䅯兂䅁䅁䅯睂䅁䅁䅅䅁䉁䅁䅁睁敃歊䅍䍄䉁䅁䅁兂䅁䅁䅍䅁䅁䅁䅯䅁䅁䅁䅯八䅅䅁䅯兂䅁䅁䅯杂䅁䅁䅅䅁䉁䅁䅁睁牄啡䅉䍄䉁䅁䅁兂䅁䅁䅍䅁䅁䅁䅯䅁䅁䅁䅯䅃䅉䅁䅯兂䅁䅁䅯杂䅁䅁䅅䅁䉁䅁䅁睁煁啢䅉䍄䉁䅁䅁兂䅁䅁䅍䅁䅁䅁䅯䅁䅁䅁䅯眯䅅䅁䅯兂䅁䅁䅯睂䅁䅁䅅䅁䉁䅁䅁权䥁䅁䅁䍄䉁䅁䅁兂䅁䅁䅍䅁䅁䅁䅯䅁䅁䅁䅯杓䅉䅁䅯兂䅁䅁䅯睂䅁䅁䅅䅁䉁䅁䅁权䥁䅁䅁䍄䉁䅁䅁睁䅁䅁䅍䅄䅁䅁䅕䅁䅁佁䠵䕥䭅䵁䍍䅁䉁䅁䅁允䅁䅁䅯東䅉䅁杷允䅁䅁䅕䅁䑁䅁䅁䅁䭁䅁䅁䅁䭁䅁䉷䅁䭁䅁䅕䅁䭁䅁䅙䅁䉁䅁䅁允䅁䅁䅍昫⽳䅁杷允䅁䅁䅍䅁䑁䅁䅷䅁䙁䅁䅁䥁灂汯䉆权䙄杁䅁允䅁䅁䅅䅁䭁䥁䌸䅁䵁䅉䅅䅁䙁䅁䅁睁䅁䅁䅁权䅁䅁䅁权䵁允䅁权䙁䅁䅁权䡁䅁䅁允䅁䅁䅅䅁䑁䕁䡯材䵁䅉䅅䅁䙁䅁䅁睁䅁䅁䅁权䅁䅁䅁权睂允䅁权䙁䅁䅁权䝁䅁䅁允䅁䅁䅅䅁䑁䵁氱村䵁䅉䅅䅁䙁䅁䅁睁䅁䅁䅁权䅁䅁䅁权乃允䅁权䙁䅁䅁权䝁䅁䅁允䅁䅁䅅䅁䑁䡁䱰睑䵁䅉䅅䅁䙁䅁䅁睁䅁䅁䅁权䅁䅁䅁权剁允䅁权䙁䅁䅁权䡁䅁䅁允䅁䅁䅅䅁䭁䅁䅧䅁䵁䅉䅅䅁䙁䅁䅁睁䅁䅁䅁权䅁䅁䅁权䕂允䅁权䙁䅁䅁权䡁䅁䅁允䅁䅁䅅䅁䭁䅁䅧䅁䵁䅉䅅䅁䑁䅁䅁睁䵁䅁䅁兂䅁䅁䅂呂扖兑䅯杷䅉䅁䅅䅁䉁䅁䅁权偃杁䅁䍄䉁䅁䅁兂䅁䅁䅍䅁䅁䅁䅯䅁䅁䅁䅯䅩䅉䅁䅯兂䅁䅁䅯杂䅁䅁䅅䅁䉁䅁䅁睁㙁此䅉䍄䉁䅁䅁睁䅁䅁䅍䅄䅁䅁䅕䅁䅁乁桄䕚䭅䥁䌴䅁䉁䅁䅁允䅁䅁䅯睪䅉䅁杷允䅁䅁䅍䅁䑁䅁䅷䅁䙁䅁䅁䅁杁䝖䉤权䍄杁䅁允䅁䅁䅅䅁䭁䥁䌸䅁䵁䅉䅅䅁䙁䅁䅁睁䅁䅁䅁权䅁䅁䅁权十杁䅁权䙁䅁䅁权䡁䅁䅁允䅁䅁䅅䅁䑁佁ㅒ村䵁䅉䅅䅁䙁䅁䅁睁䅁䅁䅁权䅁䅁䅁权噁允䅁权䙁䅁䅁权䝁䅁䅁允䅁䅁䅅䅁䑁䝁獖村䵁䅉䅅䅁䙁䅁䅁睁䅁䅁䅁权䅁䅁䅁权乄䅁䅁权䙁䅁䅁权䡁䅁䅁允䅁䅁䅅䅁䭁䅁䅧䅁䵁䅉䅅䅁䙁䅁䅁睁䅁䅁䅁权䅁䅁䅁权㉁允䅁权䙁䅁䅁权䡁䅁䅁允䅁䅁䅅䅁䑁䩁洴睑䵁䅉䅅䅁䙁䅁䅁睁䅁䅁䅁权䅁䅁䅁权塁允䅁权䙁䅁䅁权䝁䅁䅁允䅁䅁䅅䅁䑁䝁关兑䵁䅉䅅䅁䑁䅁䅁睁䵁䅁䅁兂䅁䅁䅄㕉公兑䅯䅫䅉䅁䅅䅁䉁䅁䅁权偃杁䅁䍄䉁䅁䅁睁䅁䅁䅍䅄䅁䅁䅕䅁䅁䩑摃䕕䭅䩁䍁䅁䉁䅁䅁允䅁䅁䅯兲䅉䅁杷允䅁䅁䅕䅁䑁䅁䅁䅁䭁䅁䅁䅁䭁䝁䉅䅁䭁䅁䅕䅁䭁䅁䅣䅁䉁䅁䅁允䅁䅁䅍楮䑚䅁杷允䅁䅁䅕䅁䑁䅁䅁䅁䭁䅁䅁䅁䭁䉁䉷䅁䭁䅁䅕䅁䭁䅁䅙䅁䉁䅁䅁允䅁䅁䅍乬䥗䅁杷允䅁䅁䅕䅁䑁䅁䅁䅁䭁䅁䅁䅁䭁䡁䉳䅁䭁䅁䅕䅁䭁䅁䅣䅁䉁䅁䅁允䅁䅁䅯䅃䅁䅁杷允䅁䅁䅍䅁䑁䅁䅷䅁䙁䅁䅁䍁敂䝖䉚权䍄杁䅁允䅁䅁䅅䅁䭁䥁䌸䅁䵁䅉䅅䅁䙁䅁䅁睁䅁䅁䅁权䅁䅁䅁权剃允䅁权䙁䅁䅁权䡁䅁䅁允䅁䅁䅅䅁䑁䵁䤷兯䵁䅉䅅䅁䑁䅁䅁睁䵁䅁䅁兂䅁䅁䅂㕵全兑䅯杪䅉䅁䅅䅁䉁䅁䅁权偃杁䅁䍄䉁䅁䅁睁䅁䅁䅍䅄䅁䅁䅕䅁䅁䝷娫䕕䭅䥁䌴䅁䉁䅁䅁允䅁䅁䅯杰䅉䅁杷允䅁䅁䅕䅁䑁䅁䅁䅁䭁䅁䅁䅁䭁䍁䉁䅁䭁䅁䅕䅁䭁䅁䅙䅁䉁䅁䅁允䅁䅁䅍䜹䍊䅁杷允䅁䅁䅕䅁䑁䅁䅁䅁䭁䅁䅁䅁䭁䥁䉙䅁䭁䅁䅕䅁䭁䅁䅣䅁䉁䅁䅁允䅁䅁䅍湅䍚䅁杷允䅁䅁䅍䅁䑁䅁䅷䅁䙁䅁䅁䕁楃ㅭ䉂权佃杁䅁允䅁䅁䅅䅁䭁䥁䌸䅁䵁䅉䅅䅁䙁䅁䅁睁䅁䅁䅁权䅁䅁䅁权湁允䅁权䙁䅁䅁权䡁䅁䅁允䅁䅁䅅䅁䭁䅁䅧䅁䵁䅉䅅䅁䙁䅁䅁睁䅁䅁䅁权䅁䅁䅁权䍁允䅁权䙁䅁䅁权䝁䅁䅁允䅁䅁䅅䅁䑁䕁䴸睑䵁䅉䅅䅁䑁䅁䅁睁䵁䅁䅁兂䅁䅁䅃婆全兑䅯杪䅉䅁䅅䅁䉁䅁䅁权偃杁䅁䍄䉁䅁䅁兂䅁䅁䅍䅁䅁䅁䅯䅁䅁䅁䅯䅆䅉䅁䅯兂䅁䅁䅯睂䅁䅁䅅䅁䉁䅁䅁睁䱁啊䅕䍄䉁䅁䅁睁䅁䅁䅍䅄䅁䅁䅕䅁䅁䩑椵啕䭅䵁䍕䅁䉁䅁䅁允䅁䅁䅯睳䅉䅁杷允䅁䅁䅕䅁䑁䅁䅁䅁䭁䅁䅁䅁䭁䍁䉳䅁䭁䅁䅕䅁䭁䅁䅣䅁䉁䅁䅁允䅁䅁䅍䙮⽅䅁杷允䅁䅁䅕䅁䑁䅁䅁䅁䭁䅁䅁䅁䭁䉁䉉䅁䭁䅁䅕䅁䭁䅁䅙䅁䉁䅁䅁允䅁䅁䅍䝩䍖䅁杷允䅁䅁䅍䅁䑁䅁䅷䅁䙁䅁䅁䵁婂ㄲ䉂权䙄杁䅁允䅁䅁䅅䅁䭁䥁䌸䅁䵁䅉䅅䅁䙁䅁䅁睁䅁䅁䅁权䅁䅁䅁权坁杁䅁权䙁䅁䅁权䡁䅁䅁允䅁䅁䅅䅁䭁䅁䅧䅁䵁䅉䅅䅁䙁䅁䅁睁䅁䅁䅁权䅁䅁䅁权汁杁䅁权䙁䅁䅁权䝁䅁䅁允䅁䅁䅅䅁䑁佁灴村䵁䅉䅅䅁䙁䅁䅁睁䅁䅁䅁权䅁䅁䅁权䱃杁䅁权䙁䅁䅁权䝁䅁䅁允䅁䅁䅅䅁䑁䑁㉰村䵁䅉䅅䅁䑁䅁䅁睁䵁䅁䅁兂䅁䅁䅃㡰公兑䅯睷䅉䅁䅅䅁䉁䅁䅁权煃杁䅁䍄䉁䅁䅁兂䅁䅁䅍䅁䅁䅁䅯䅁䅁䅁䅯杷䅅䅁䅯兂䅁䅁䅯睂䅁䅁䅅䅁䉁䅁䅁权䥁䅁䅁䍄䉁䅁䅁兂䅁䅁䅍䅁䅁䅁䅯䅁䅁䅁䅯村䅅䅁䅯兂䅁䅁䅯杂䅁䅁䅅䅁䉁䅁䅁睁㝃正䅉䍄䉁䅁䅁兂䅁䅁䅍䅁䅁䅁䅯䅁䅁䅁䅯睇䅉䅁䅯兂䅁䅁䅯杂䅁䅁䅅䅁䉁䅁䅁睁㙁此䅉䍄䉁䅁䅁兂䅁䅁䅍䅁䅁䅁䅯䅁䅁䅁䅯䅗䅉䅁䅯兂䅁䅁䅯睂䅁䅁䅅䅁䉁䅁䅁权䥁䅁䅁䍄䉁䅁䅁兂䅁䅁䅍䅁䅁䅁䅯䅁䅁䅁䅯材䅅䅁䅯兂䅁䅁䅯杂䅁䅁䅅䅁䉁䅁䅁睁硂㙸䅙䍄䉁䅁䅁兂䅁䅁䅍䅁䅁䅁䅯䅁䅁䅁䅯儯䅅䅁䅯兂䅁䅁䅯睂䅁䅁䅅䅁䉁䅁䅁权䥁䅁䅁䍄䉁䅁䅁兂䅁䅁䅍䅁䅁䅁䅯䅁䅁䅁䅯杔䅉䅁䅯兂䅁䅁䅯杂䅁䅁䅅䅁䉁䅁䅁睁癃っ䅁䍄䉁䅁䅁兂䅁䅁䅍䅁䅁䅁䅯䅁䅁䅁䅯䅑䅅䅁䅯兂䅁䅁䅯睂䅁䅁䅅䅁䉁䅁䅁权䥁䅁䅁䍄䉁䅁䅁兂䅁䅁䅍䅁䅁䅁䅯䅁䅁䅁䅯兓䅉䅁䅯兂䅁䅁䅯睂䅁䅁䅅䅁䉁䅁䅁权䥁䅁䅁䍄䉁䅁䅁兂䅁䅁䅍䅁䅁䅁䅯䅁䅁䅁䅯兔䅁䅁䅯兂䅁䅁䅯杂䅁䅁䅅䅁䉁䅁䅁睁噁䜱䅷䍄䉁䅁䅁兂䅁䅁䅍䅁䅁䅁䅯䅁䅁䅁䅯村䅅䅁䅯兂䅁䅁䅯睂䅁䅁䅅䅁䉁䅁䅁权䥁䅁䅁䍄䉁䅁䅁睁䅁䅁䅍䅄䅁䅁䅕䅁䅁䑷摏䕕䭅䵁䍉䅁䉁䅁䅁允䅁䅁䅯睪䅉䅁杷允䅁䅁䅕䅁䑁䅁䅁䅁䭁䅁䅁䅁䭁䑁䄰䅁䭁䅁䅕䅁䭁䅁䅙䅁䉁䅁䅁允䅁䅁䅍啷㥡允杷允䅁䅁䅍䅁䑁䅁䅷䅁䙁䅁䅁䵁瑁ㅭ䉂权䙄杁䅁允䅁䅁䅅䅁䭁䥁䌸䅁䵁䅉䅅䅁䙁䅁䅁睁䅁䅁䅁权䅁䅁䅁权䉄䅁䅁权䙁䅁䅁权䡁䅁䅁允䅁䅁䅅䅁䭁䅁䅧䅁䵁䅉䅅䅁䙁䅁䅁睁䅁䅁䅁权䅁䅁䅁权䉃允䅁权䙁䅁䅁权䡁䅁䅁允䅁䅁䅅䅁䑁䅁樵村䵁䅉䅅䅁䙁䅁䅁睁䅁䅁䅁权䅁䅁䅁权卂允䅁权䙁䅁䅁权䝁䅁䅁允䅁䅁䅅䅁䑁䙁䠯杰䵁䅉䅅䅁䑁䅁䅁睁䵁䅁䅁兂䅁䅁䅂穸刱兑䅯典䅉䅁䅅䅁䉁䅁䅁权偃杁䅁䍄䉁䅁䅁睁䅁䅁䅍䅄䅁䅁䅕䅁䅁偷時啘䭅䥁䌴䅁䉁䅁䅁允䅁䅁䅯睪䅉䅁杷允䅁䅁䅕䅁䑁䅁䅁䅁䭁䅁䅁䅁䭁䙁䉑䅁䭁䅁䅕䅁䭁䅁䅙䅁䉁䅁䅁允䅁䅁䅍䘶䍸䅁杷允䅁䅁䅕䅁䑁䅁䅁䅁䭁䅁䅁䅁䭁䙁䉑䅁䭁䅁䅕䅁䭁䅁䅣䅁䉁䅁䅁允䅁䅁䅍唲䕰䅁杷允䅁䅁䅕䅁䑁䅁䅁䅁䭁䅁䅁䅁䭁䙁䈸䅁䭁䅁䅕䅁䭁䅁䅙䅁䉁䅁䅁允䅁䅁䅍湅䍖䅁杷允䅁䅁䅕䅁䑁䅁䅁䅁䭁䅁䅁䅁䭁乁䉣䅁䭁䅁䅕䅁䭁䅁䅙䅁䉁䅁䅁允䅁䅁䅍㈲䌹䅁杷允䅁䅁䅕䅁䑁䅁䅁䅁䭁䅁䅁䅁䭁䝁䉍䅁䭁䅁䅕䅁䭁䅁䅣䅁䉁䅁䅁允䅁䅁䅯䅃䅁䅁杷允䅁䅁䅍䅁䑁䅁䅷䅁䙁䅁䅁䅁䙂ㅬ䉂权䙄杁䅁允䅁䅁䅅䅁䭁䥁䌸䅁䵁䅉䅅䅁䑁䅁䅁睁䵁䅁䅁兂䅁䅁䅄䩌兴兑䅯䅫䅉䅁䅅䅁䉁䅁䅁权偃杁䅁䍄䉁䅁䅁兂䅁䅁䅍䅁䅁䅁䅯䅁䅁䅁䅯杚䅅䅁䅯兂䅁䅁䅯杂䅁䅁䅅䅁䉁䅁䅁睁坄䕚䅉䍄䉁䅁䅁兂䅁䅁䅍䅁䅁䅁䅯䅁䅁䅁䅯䅂䅉䅁䅯兂䅁䅁䅯杂䅁䅁䅅䅁䉁䅁䅁睁煂啡䅉䍄䉁䅁䅁兂䅁䅁䅍䅁䅁䅁䅯䅁䅁䅁䅯权䅅䅁䅯兂䅁䅁䅯杂䅁䅁䅅䅁䉁䅁䅁睁坄㙹䅙䍄䉁䅁䅁兂䅁䅁䅍䅁䅁䅁䅯䅁䅁䅁䅯督䅅䅁䅯兂䅁䅁䅯杂䅁䅁䅅䅁䉁䅁䅁睁㥂慄䅣䍄䉁䅁䅁睁䅁䅁䅍䅄䅁䅁䅕䅁䅁䍧摹䕕䭅䵁䍕䅁䉁䅁䅁允䅁䅁䅯朹䅉䅁杷允䅁䅁䅕䅁䑁䅁䅁䅁䭁䅁䅁䅁䭁䩁䉣䅁䭁䅁䅕䅁䭁䅁䅣䅁䉁䅁䅁允䅁䅁䅍䝥欹䅁杷允䅁䅁䅍䅁䑁䅁䅷䅁䙁䅁䅁䥁扂汬䉂权䍄杁䅁允䅁䅁䅅䅁䭁䥁䌸䅁䵁䅉䅅䅁䙁䅁䅁睁䅁䅁䅁权䅁䅁䅁权灄允䅁权䙁䅁䅁权䝁䅁䅁允䅁䅁䅅䅁䑁䅁婳児䵁䅉䅅䅁䙁䅁䅁睁䅁䅁䅁权䅁䅁䅁权⭃允䅁权䙁䅁䅁权䝁䅁䅁允䅁䅁䅅䅁䑁䱁䩧䅔䵁䅉䅅䅁䑁䅁䅁睁䵁䅁䅁兂䅁䅁䅄䩎兤兑䅯睷䅉䅁䅅䅁䉁䅁䅁权捄杁䅁䍄䉁䅁䅁兂䅁䅁䅍䅁䅁䅁䅯䅁䅁䅁䅯兔䅅䅁䅯兂䅁䅁䅯杂䅁䅁䅅䅁䉁䅁䅁睁牄啡䅉䍄䉁䅁䅁兂䅁䅁䅍䅁䅁䅁䅯䅁䅁䅁䅯兔䅅䅁䅯兂䅁䅁䅯睂䅁䅁䅅䅁䉁䅁䅁权䥁䅁䅁䍄䉁䅁䅁兂䅁䅁䅍䅁䅁䅁䅯䅁䅁䅁䅯兎䅁䅁䅯兂䅁䅁䅯睂䅁䅁䅅䅁䉁䅁䅁权䥁䅁䅁䍄䉁䅁䅁睁䅁䅁䅍䅄䅁䅁䅕䅁䅁乧⽣䕗䭅䵁䍕䅁䉁䅁䅁允䅁䅁䅯睪䅉䅁杷允䅁䅁䅕䅁䑁䅁䅁䅁䭁䅁䅁䅁䭁䭁䅁䅁䭁䅁䅕䅁䭁䅁䅣䅁䉁䅁䅁允䅁䅁䅍楮䑚䅁杷允䅁䅁䅍䅁䑁䅁䅷䅁䙁䅁䅁䥁䍁ㅬ䉂权元杁䅁允䅁䅁䅅䅁䭁䥁䌸䅁䵁䅉䅅䅁䙁䅁䅁睁䅁䅁䅁权䅁䅁䅁权䩂允䅁权䙁䅁䅁权䝁䅁䅁允䅁䅁䅅䅁䑁䥁欹村䵁䅉䅅䅁䙁䅁䅁睁䅁䅁䅁权䅁䅁䅁权䵂杁䅁权䙁䅁䅁权䡁䅁䅁允䅁䅁䅅䅁䭁䅁䅧䅁䵁䅉䅅䅁䙁䅁䅁睁䅁䅁䅁权䅁䅁䅁权潃允䅁权䙁䅁䅁权䝁䅁䅁允䅁䅁䅅䅁䑁䱁瑂村䵁䅉䅅䅁䙁䅁䅁睁䅁䅁䅁权䅁䅁䅁权慄䅁䅁权䙁䅁䅁权䝁䅁䅁允䅁䅁䅅䅁䑁䥁摊村䵁䅉䅅䅁䙁䅁䅁睁䅁䅁䅁权䅁䅁䅁权䵄允䅁权䙁䅁䅁权䡁䅁䅁允䅁䅁䅅䅁䭁䅁䅧䅁䵁䅉䅅䅁䙁䅁䅁睁䅁䅁䅁权䅁䅁䅁权䱂杁䅁权䙁䅁䅁权䡁䅁䅁允䅁䅁䅅䅁䭁䅁䅧䅁䵁䅉䅅䅁䑁䅁䅁睁䵁䅁䅁兂䅁䅁杁丷歨兑䅯䅫䅉䅁䅅䅁䉁䅁䅁权偃杁䅁䍄䉁䅁䅁兂䅁䅁䅍䅁䅁䅁䅯䅁䅁䅁䅯東䅅䅁䅯兂䅁䅁䅯睂䅁䅁䅅䅁䉁䅁䅁权䥁䅁䅁䍄䉁䅁䅁兂䅁䅁䅍䅁䅁䅁䅯䅁䅁䅁䅯杒䅁䅁䅯兂䅁䅁䅯睂䅁䅁䅅䅁䉁䅁䅁睁㝄啗䅉䍄䉁䅁䅁兂䅁䅁䅍䅁䅁䅁䅯䅁䅁䅁䅯兲䅅䅁䅯兂䅁䅁䅯杂䅁䅁䅅䅁䉁䅁䅁睁牄啡䅉䍄䉁䅁䅁兂䅁䅁䅍䅁䅁䅁䅯䅁䅁䅁䅯䅑䅉䅁䅯兂䅁䅁䅯杂䅁䅁䅅䅁䉁䅁䅁睁歂歚䅉䍄䉁䅁䅁兂䅁䅁䅍䅁䅁䅁䅯䅁䅁䅁䅯先䅉䅁䅯兂䅁䅁䅯睂䅁䅁䅅䅁䉁䅁䅁权䥁䅁䅁䍄䉁䅁䅁睁䅁䅁䅍䅄䅁䅁䅕䅁䅁䭧䩦䕕䭅䥁䌴䅁䉁䅁䅁允䅁䅁䅯睪䅉䅁杷允䅁䅁䅕䅁䑁䅁䅁䅁䭁䅁䅁䅁䭁䭁䈰䅁䭁䅁䅕䅁䭁䅁䅣䅁䉁䅁䅁允䅁䅁䅍獺桩䅁杷允䅁䅁䅕䅁䑁䅁䅁䅁䭁䅁䅁䅁䭁䝁䈴䅁䭁䅁䅕䅁䭁䅁䅣䅁䉁䅁䅁允䅁䅁䅯䅃䅁䅁杷允䅁䅁䅍䅁䑁䅁䅷䅁䙁䅁䅁䥁㝃汬䉂权䍄杁䅁允䅁䅁䅅䅁䭁䥁䌸䅁䵁䅉䅅䅁䙁䅁䅁睁䅁䅁䅁权䅁䅁䅁权牄允䅁权䙁䅁䅁权䝁䅁䅁允䅁䅁䅅䅁䑁䝁捎村䵁䅉䅅䅁䙁䅁䅁睁䅁䅁䅁权䅁䅁䅁权㙁杁䅁权䙁䅁䅁权䝁䅁䅁允䅁䅁䅅䅁䑁䱁瑂村䵁䅉䅅䅁䙁䅁䅁睁䅁䅁䅁权䅁䅁䅁权㙃允䅁权䙁䅁䅁权䝁䅁䅁允䅁䅁䅅䅁䑁䱁奎村䵁䅉䅅䅁䑁䅁䅁睁䵁䅁䅁兂䅁䅁杄㤶歨兑䅯睷䅉䅁䅅䅁䉁䅁䅁权噃杁䅁䍄䉁䅁䅁兂䅁䅁䅍䅁䅁䅁䅯䅁䅁䅁䅯杵䅅䅁䅯兂䅁䅁䅯睂䅁䅁䅅䅁䉁䅁䅁睁䝂啪䅉䍄䉁䅁䅁兂䅁䅁䅍䅁䅁䅁䅯䅁䅁䅁䅯儫䅅䅁䅯兂䅁䅁䅯杂䅁䅁䅅䅁䉁䅁䅁睁䙃啘䅉䍄䉁䅁䅁兂䅁䅁䅍䅁䅁䅁䅯䅁䅁䅁䅯六䅅䅁䅯兂䅁䅁䅯睂䅁䅁䅅䅁䉁䅁䅁睁祂楳䉣䍄䉁䅁䅁睁䅁䅁䅍䅄䅁䅁䅕䅁䅁䝧摡䕕䭅䩁䍁䅁䉁䅁䅁允䅁䅁䅯公䅉䅁杷允䅁䅁䅍䅁䑁䅁䅷䅁䙁䅁䅁䥁䉁䙗䉆权元杁䅁允䅁䅁䅅䅁䭁䥁䌸䅁䵁䅉䅅䅁䙁䅁䅁睁䅁䅁䅁权䅁䅁䅁权䩄允䅁权䙁䅁䅁权䡁䅁䅁允䅁䅁䅅䅁䭁䅁䅧䅁䵁䅉䅅䅁䑁䅁䅁睁䵁䅁䅁兂䅁䅁䅁婅倹兑䅯典䅉䅁䅅䅁䉁䅁䅁权偃杁䅁䍄䉁䅁䅁睁䅁䅁䅍䅄䅁䅁䅕䅁䅁偷扡䕕䭅䩁䍁䅁䉁䅁䅁允䅁䅁䅯睪䅉䅁杷允䅁䅁䅕䅁䑁䅁䅁䅁䭁䅁䅁䅁䭁䵁䉯䅁䭁䅁䅕䅁䭁䅁䅣䅁䉁䅁䅁允䅁䅁䅍唴䅨䅁杷允䅁䅁䅕䅁䑁䅁䅁䅁䭁䅁䅁䅁䭁䭁䅫䅁䭁䅁䅕䅁䭁䅁䅣䅁䉁䅁䅁允䅁䅁䅍唴䅨䅁杷允䅁䅁䅕䅁䑁䅁䅁䅁䭁䅁䅁䅁䭁偁䅙䅁䭁䅁䅕䅁䭁䅁䅣䅁䉁䅁䅁允䅁䅁䅍杅䝨䅁杷允䅁䅁䅕䅁䑁䅁䅁䅁䭁䅁䅁䅁䭁乁䉣䅁䭁䅁䅕䅁䭁䅁䅣䅁䉁䅁䅁允䅁䅁䅯䅃䅁䅁杷允䅁䅁䅕䅁䑁䅁䅁䅁䭁䅁䅁䅁䭁乁䉫䅁䭁䅁䅕䅁䭁䅁䅙䅁䉁䅁䅁允䅁䅁䅍故⽂䅁杷允䅁䅁䅍䅁䑁䅁䅷䅁䙁䅁䅁䅁潃噥䉆权佃杁䅁允䅁䅁䅅䅁䭁䥁䌸䅁䵁䅉䅅䅁䙁䅁䅁睁䅁䅁䅁权䅁䅁䅁权䵄允䅁权䙁䅁䅁权䝁䅁䅁允䅁䅁䅅䅁䑁䅁婳児䵁䅉䅅䅁䙁䅁䅁睁䅁䅁䅁权䅁䅁䅁权杄䅁䅁权䙁䅁䅁权䡁䅁䅁允䅁䅁䅅䅁䭁䅁䅧䅁䵁䅉䅅䅁䑁䅁䅁睁䵁䅁䅁兂䅁䅁䅂娫兰兑䅯䅫䅉䅁䅅䅁䉁䅁䅁权偃杁䅁䍄䉁䅁䅁兂䅁䅁䅍䅁䅁䅁䅯䅁䅁䅁䅯䄷䅁䅁䅯兂䅁䅁䅯杂䅁䅁䅅䅁䉁䅁䅁睁湄䕪䅉䍄䉁䅁䅁兂䅁䅁䅍䅁䅁䅁䅯䅁䅁䅁䅯䅓䅉䅁䅯兂䅁䅁䅯睂䅁䅁䅅䅁䉁䅁䅁权䥁䅁䅁䍄䉁䅁䅁睁䅁䅁䅍䅄䅁䅁䅕䅁䅁余奌䕚䭅䩁䍁䅁䉁䅁䅁允䅁䅁䅯睪䅉䅁杷允䅁䅁䅕䅁䑁䅁䅁䅁䭁䅁䅁䅁䭁佁䅷䅁䭁䅁䅕䅁䭁䅁䅣䅁䉁䅁䅁允䅁䅁䅍湘䍆䅁杷允䅁䅁䅍䅁䑁䅁䅷䅁䙁䅁䅁䵁婁坏䉒权䙄杁䅁允䅁䅁䅅䅁䭁䉁䑅䅁䵁䅉䅅䅁䙁䅁䅁睁䅁䅁䅁权䅁䅁䅁权敄允䅁权䙁䅁䅁权䡁䅁䅁允䅁䅁䅅䅁䭁䅁䅧䅁䵁䅉䅅䅁䑁䅁䅁睁䵁䅁䅁兂䅁䅁䅄婊党兑䅯典䅉䅁䅅䅁䉁䅁䅁权偃杁䅁䍄䉁䅁䅁睁䅁䅁䅍䅄䅁䅁䅕䅁䅁䥧婐䕚䭅䵁䍉䅁䉁䅁䅁允䅁䅁䅯睪䅉䅁杷允䅁䅁䅕䅁䑁䅁䅁䅁䭁䅁䅁䅁䭁䙁䌴䅁䭁䅁䅕䅁䭁䅁䅣䅁䉁䅁䅁允䅁䅁䅍洱䍒䅁杷允䅁䅁䅕䅁䑁䅁䅁䅁䭁䅁䅁䅁䭁乁䈸䅁䭁䅁䅕䅁䭁䅁䅣䅁䉁䅁䅁允䅁䅁䅍塆欱䅁杷允䅁䅁䅕䅁䑁䅁䅁䅁䭁䅁䅁䅁䭁䥁䅫䅁䭁䅁䅕䅁䭁䅁䅙䅁䉁䅁䅁允䅁䅁䅍㉡䍎䅁杷允䅁䅁䅕䅁䑁䅁䅁䅁䭁䅁䅁䅁䭁佁䉕䅁䭁䅁䅕䅁䭁䅁䅙䅁䉁䅁䅁允䅁䅁䅍硃㥫䅁杷允䅁䅁䅍䅁䑁䅁䅷䅁䙁䅁䅁䵁牄䙈䉂权元杁䅁允䅁䅁䅅䅁䭁䥁䌸䅁䵁䅉䅅䅁䑁䅁䅁睁䵁䅁䅁兂䅁䅁䅂婲党兑䅯䅫䅉䅁䅅䅁䉁䅁䅁权瑃杁䅁䍄䉁䅁䅁兂䅁䅁䅍䅁䅁䅁䅯䅁䅁䅁䅯儵䅅䅁䅯兂䅁䅁䅯睂䅁䅁䅅䅁䉁䅁䅁睁佂正䅉䍄䉁䅁䅁睁䅁䅁䅍䅄䅁䅁䅕䅁䅁䍁奋䕕䭅䵁䍍䅁䉁䅁䅁允䅁䅁䅯朳䅉䅁杷允䅁䅁䅕䅁䑁䅁䅁䅁䭁䅁䅁䅁䭁䡁䈸䅁䭁䅁䅕䅁䭁䅁䅣䅁䉁䅁䅁允䅁䅁䅍䐹䵚䅁杷允䅁䅁䅕䅁䑁䅁䅁䅁䭁䅁䅁䅁䭁佁䈰䅁䭁䅁䅕䅁䭁䅁䅣䅁䉁䅁䅁允䅁䅁䅍湅䍚䅁杷允䅁䅁䅍䅁䑁䅁䅷䅁䙁䅁䅁䵁汁汬䉂权䍄杁䅁允䅁䅁䅅䅁䭁䥁䌸䅁䵁䅉䅅䅁䑁䅁䅁睁䵁䅁䅁兂䅁䅁䅂乧歬兑䅯典䅉䅁䅅䅁䉁䅁䅁权偃杁䅁䍄䉁䅁䅁兂䅁䅁䅍䅁䅁䅁䅯䅁䅁䅁䅯儱䅅䅁䅯兂䅁䅁䅯杂䅁䅁䅅䅁䉁䅁䅁睁十此䅉䍄䉁䅁䅁兂䅁䅁䅍䅁䅁䅁䅯䅁䅁䅁䅯儸䅅䅁䅯兂䅁䅁䅯杂䅁䅁䅅䅁䉁䅁䅁睁湄䕪䅉䍄䉁䅁䅁睁䅁䅁䅍䅄䅁䅁䅕䅁䅁䵧䕳䕕䭅䵁䍍䅁䉁䅁䅁允䅁䅁䅯杸䅉䅁杷允䅁䅁䅕䅁䑁䅁䅁䅁䭁䅁䅁䅁䭁䙁䍑䅁䭁䅁䅕䅁䭁䅁䅣䅁䉁䅁䅁允䅁䅁䅯䅃䅁䅁杷允䅁䅁䅍䅁䑁䅁䅷䅁䙁䅁䅁䅁楃歙䈹权佃杁䅁允䅁䅁䅅䅁䭁䥁䌸䅁䵁䅉䅅䅁䙁䅁䅁睁䅁䅁䅁权䅁䅁䅁权汁允䅁权䙁䅁䅁权䝁䅁䅁允䅁䅁䅅䅁䑁䅁杚兒䵁䅉䅅䅁䙁䅁䅁睁䅁䅁䅁权䅁䅁䅁权㍄允䅁权䙁䅁䅁权䝁䅁䅁允䅁䅁䅅䅁䑁䱁瑂村䵁䅉䅅䅁䙁䅁䅁睁䅁䅁䅁权䅁䅁䅁权噄䅁䅁权䙁䅁䅁权䝁䅁䅁允䅁䅁䅅䅁䑁䱁坧睑䵁䅉䅅䅁䑁䅁䅁睁䵁䅁䅁兂䅁䅁䅁祦剖兑䅯睷䅉䅁䅅䅁䉁䅁䅁权捄杁䅁䍄䉁䅁䅁兂䅁䅁䅍䅁䅁䅁䅯䅁䅁䅁䅯䅡䅅䅁䅯兂䅁䅁䅯睂䅁䅁䅅䅁䉁䅁䅁权䥁䅁䅁䍄䉁䅁䅁兂䅁䅁䅍䅁䅁䅁䅯䅁䅁䅁䅯䅶䅅䅁䅯兂䅁䅁䅯睂䅁䅁䅅䅁䉁䅁䅁睁佂正䅉䍄䉁䅁䅁兂䅁䅁䅍䅁䅁䅁䅯䅁䅁䅁䅯睚䅁䅁䅯兂䅁䅁䅯睂䅁䅁䅅䅁䉁䅁䅁权䥁䅁䅁䍄䉁䅁䅁兂䅁䅁䅍䅁䅁䅁䅯䅁䅁䅁䅯全䅅䅁䅯兂䅁䅁䅯杂䅁䅁䅅䅁䉁䅁䅁睁睄䐵䄴䍄䉁䅁䅁睁䅁䅁䅍䅄䅁䅁䅕䅁䅁余夳䕚䭅䵁䍉䅁䉁䅁䅁允䅁䅁䅯睪䅉䅁杷允䅁䅁䅕䅁䑁䅁䅁䅁䭁䅁䅁䅁䭁䅁䍍䅁䭁䅁䅕䅁䭁䅁䅣䅁䉁䅁䅁允䅁䅁䅯䅃䅁䅁杷允䅁䅁䅕䅁䑁䅁䅁䅁䭁䅁䅁䅁䭁䅁䌸䅁䭁䅁䅕䅁䭁䅁䅣䅁䉁䅁䅁允䅁䅁䅯䅃䅁䅁杷允䅁䅁䅕䅁䑁䅁䅁䅁䭁䅁䅁䅁䭁偁䈸䅁䭁䅁䅕䅁䭁䅁䅙䅁䉁䅁䅁允䅁䅁䅍灯⭨䅁杷允䅁䅁䅕䅁䑁䅁䅁䅁䭁䅁䅁䅁䭁䕁䍳䅁䭁䅁䅕䅁䭁䅁䅙䅁䉁䅁䅁允䅁䅁䅍伸⭑䅁杷允䅁䅁䅕䅁䑁䅁䅁䅁䭁䅁䅁䅁䭁䉁䍣䅁䭁䅁䅕䅁䭁䅁䅣䅁䉁䅁䅁允䅁䅁䅯䅃䅁䅁杷允䅁䅁䅕䅁䑁䅁䅁䅁䭁䅁䅁䅁䭁䱁䉅䅁䭁䅁䅕䅁䭁䅁䅣䅁䉁䅁䅁允䅁䅁䅍ㅬ䍨䅁杷允䅁䅁䅕䅁䑁䅁䅁䅁䭁䅁䅁䅁䭁乁䉅䅁䭁䅁䅕䅁䭁䅁䅙䅁䉁䅁䅁允䅁䅁䅍㉊乭䅁杷允䅁䅁䅍䅁䑁䅁䅷䅁䙁䅁䅁䕁䕁䙮䉂权佃杁䅁允䅁䅁䅅䅁䭁䥁䌸䅁䵁䅉䅅䅁䙁䅁䅁睁䅁䅁䅁权䅁䅁䅁权婁杁䅁权䙁䅁䅁权䡁䅁䅁允䅁䅁䅅䅁䑁䕁䡯材䵁䅉䅅䅁䙁䅁䅁睁䅁䅁䅁权䅁䅁䅁权敁杁䅁权䙁䅁䅁权䡁䅁䅁允䅁䅁䅅䅁䭁䅁䅧䅁䵁䅉䅅䅁䙁䅁䅁睁䅁䅁䅁权䅁䅁䅁权晁杁䅁权䙁䅁䅁权䡁䅁䅁允䅁䅁䅅䅁䭁䅁䅧䅁䵁䅉䅅䅁䑁䅁䅁睁䵁䅁䅁兂䅁䅁䅂獅奨兑䅯杪䅉䅁䅅䅁䉁䅁䅁权奃杁䅁䍄䉁䅁䅁兂䅁䅁䅍䅁䅁䅁䅯䅁䅁䅁䅯䅉䅉䅁䅯兂䅁䅁䅯杂䅁䅁䅅䅁䉁䅁䅁睁牂す䅉䍄䉁䅁䅁兂䅁䅁䅍䅁䅁䅁䅯䅁䅁䅁䅯䄵䅅䅁䅯兂䅁䅁䅯睂䅁䅁䅅䅁䉁䅁䅁权䥁䅁䅁䍄䉁䅁䅁兂䅁䅁䅍䅁䅁䅁䅯䅁䅁䅁䅯杊䅉䅁䅯兂䅁䅁䅯杂䅁䅁䅅䅁䉁䅁䅁睁乃䔱䅉䍄䉁䅁䅁兂䅁䅁䅍䅁䅁䅁䅯䅁䅁䅁䅯杉䅅䅁䅯兂䅁䅁䅯杂䅁䅁䅅䅁䉁䅁䅁睁㙁ぅ䅁䍄䉁䅁䅁兂䅁䅁䅍䅁䅁䅁䅯䅁䅁䅁䅯䅋䅉䅁䅯兂䅁䅁䅯杂䅁䅁䅅䅁䉁䅁䅁睁㙄䕚䅉䍄䉁䅁䅁兂䅁䅁䅍䅁䅁䅁䅯䅁䅁䅁䅯睄䅅䅁䅯兂䅁䅁䅯睂䅁䅁䅅䅁䉁䅁䅁权䥁䅁䅁䍄䉁䅁䅁兂䅁䅁䅍䅁䅁䅁䅯䅁䅁䅁䅯杍䅉䅁䅯兂䅁䅁䅯睂䅁䅁䅅䅁䉁䅁䅁权䥁䅁䅁䍄䉁䅁䅁睁䅁䅁䅍䅄䅁䅁䅕䅁䅁䥧䵗歔䭅䥁䌴䅁䉁䅁䅁允䅁䅁䅯睪䅉䅁杷允䅁䅁䅕䅁䑁䅁䅁䅁䭁䅁䅁䅁䭁䑁䍣䅁䭁䅁䅕䅁䭁䅁䅣䅁䉁䅁䅁允䅁䅁䅯䅃䅁䅁杷允䅁䅁䅕䅁䑁䅁䅁䅁䭁䅁䅁䅁䭁䑁䍧䅁䭁䅁䅕䅁䭁䅁䅣䅁䉁䅁䅁允䅁䅁䅯䅃䅁䅁杷允䅁䅁䅕䅁䑁䅁䅁䅁䭁䅁䅁䅁䭁䑁䌴䅁䭁䅁䅕䅁䭁䅁䅣䅁䉁䅁䅁允䅁䅁䅯䅃䅁䅁杷允䅁䅁䅍䅁䑁䅁䅷䅁䙁䅁䅁䵁奁ㅬ䉂权䙄杁䅁允䅁䅁䅅䅁䭁䥁䌸䅁䵁䅉䅅䅁䙁䅁䅁睁䅁䅁䅁权䅁䅁䅁权䅂杁䅁权䙁䅁䅁权䡁䅁䅁允䅁䅁䅅䅁䑁偁睈兒䵁䅉䅅䅁䙁䅁䅁睁䅁䅁䅁权䅁䅁䅁权䍂杁䅁权䙁䅁䅁权䝁䅁䅁允䅁䅁䅅䅁䑁䅁婳児䵁䅉䅅䅁䙁䅁䅁睁䅁䅁䅁权䅁䅁䅁权䍂杁䅁权䙁䅁䅁权䡁䅁䅁允䅁䅁䅅䅁䭁䅁䅧䅁䵁䅉䅅䅁䑁䅁䅁睁䵁䅁䅁兂䅁䅁䅃ㅤ兖兑䅯杪䅉䅁䅅䅁䉁䅁䅁权偃杁䅁䍄䉁䅁䅁睁䅁䅁䅍䅄䅁䅁䅕䅁䅁䍧摹䕕䭅䵁䍉䅁䉁䅁䅁允䅁䅁䅯兴䅉䅁杷允䅁䅁䅕䅁䑁䅁䅁䅁䭁䅁䅁䅁䭁䙁䅍䅁䭁䅁䅕䅁䭁䅁䅙䅁䉁䅁䅁允䅁䅁䅍硃㥫䅁杷允䅁䅁䅍䅁䑁䅁䅷䅁䙁䅁䅁䥁硄噑䉬权䑄杁䅁允䅁䅁䅅䅁䭁佁䍣䅁䵁䅉䅅䅁䙁䅁䅁睁䅁䅁䅁权䅁䅁䅁权呂䅁䅁权䙁䅁䅁权䡁䅁䅁允䅁䅁䅅䅁䭁䅁䅧䅁䵁䅉䅅䅁䙁䅁䅁睁䅁䅁䅁权䅁䅁䅁权䙂杁䅁权䙁䅁䅁权䝁䅁䅁允䅁䅁䅅䅁䑁䝁橴村䵁䅉䅅䅁䙁䅁䅁睁䅁䅁䅁权䅁䅁䅁权䝂杁䅁权䙁䅁䅁权䡁䅁䅁允䅁䅁䅅䅁䭁䅁䅧䅁䵁䅉䅅䅁䑁䅁䅁睁䵁䅁䅁兂䅁䅁䅂⭲歆兑䅯䅫䅉䅁䅅䅁䉁䅁䅁权偃杁䅁䍄䉁䅁䅁兂䅁䅁䅍䅁䅁䅁䅯䅁䅁䅁䅯兓䅉䅁䅯兂䅁䅁䅯杂䅁䅁䅅䅁䉁䅁䅁睁睃啢䅉䍄䉁䅁䅁兂䅁䅁䅍䅁䅁䅁䅯䅁䅁䅁䅯䅰䅁䅁䅯兂䅁䅁䅯杂䅁䅁䅅䅁䉁䅁䅁睁睄䐵䄴䍄䉁䅁䅁睁䅁䅁䅍䅄䅁䅁䅕䅁䅁䙧扭䕕䭅䵁䍕䅁䉁䅁䅁允䅁䅁䅯睪䅉䅁杷允䅁䅁䅕䅁䑁䅁䅁䅁䭁䅁䅁䅁䭁䕁䌰䅁䭁䅁䅕䅁䭁䅁䅙䅁䉁䅁䅁允䅁䅁䅍䵒⭕䅁杷允䅁䅁䅕䅁䑁䅁䅁䅁䭁䅁䅁䅁䭁䕁䌸䅁䭁䅁䅕䅁䭁䅁䅙䅁䉁䅁䅁允䅁䅁䅍䝳䌱䅁杷允䅁䅁䅕䅁䑁䅁䅁䅁䭁䅁䅁䅁䭁䅁䍳䅁䭁䅁䅕䅁䭁䅁䅙䅁䉁䅁䅁允䅁䅁䅍䝳䌱䅁杷允䅁䅁䅕䅁䑁䅁䅁䅁䭁䅁䅁䅁䭁䅁䍳䅁䭁䅁䅕䅁䭁䅁䅣䅁䉁䅁䅁允䅁䅁䅯䅃䅁䅁杷允䅁䅁䅍䅁䑁䅁䅷䅁䙁䅁䅁䅁㑁噭䉂权䙄杁䅁允䅁䅁䅅䅁䭁䉁䑙䅁䵁䅉䅅䅁䑁䅁䅁睁䵁䅁䅁兂䅁䅁䅂婇兴兑䅯睷䅉䅁䅅䅁䉁䅁䅁权捄杁䅁䍄䉁䅁䅁兂䅁䅁䅍䅁䅁䅁䅯䅁䅁䅁䅯䅫䅁䅁䅯兂䅁䅁䅯杂䅁䅁䅅䅁䉁䅁䅁睁睃啢䅉䍄䉁䅁䅁睁䅁䅁䅍䅄䅁䅁䅕䅁䅁䭷挶䕕䭅䩁䍁䅁䉁䅁䅁允䅁䅁䅯睪䅉䅁杷允䅁䅁䅕䅁䑁䅁䅁䅁䭁䅁䅁䅁䭁䙁䅅䅁䭁䅁䅕䅁䭁䅁䅙䅁䉁䅁䅁允䅁䅁䅍愸祋䅁杷允䅁䅁䅕䅁䑁䅁䅁䅁䭁䅁䅁䅁䭁䙁䅅䅁䭁䅁䅕䅁䭁䅁䅣䅁䉁䅁䅁允䅁䅁䅍兊䭨䅁杷允䅁䅁䅍䅁䑁䅁䅷䅁䙁䅁䅁䵁乄㄰䉆权元杁䅁允䅁䅁䅅䅁䭁䥁䌸䅁䵁䅉䅅䅁䙁䅁䅁睁䅁䅁䅁权䅁䅁䅁权楃允䅁权䙁䅁䅁权䝁䅁䅁允䅁䅁䅅䅁䑁䕁樱村䵁䅉䅅䅁䙁䅁䅁睁䅁䅁䅁权䅁䅁䅁权兂杁䅁权䙁䅁䅁权䡁䅁䅁允䅁䅁䅅䅁䑁䩁桨村䵁䅉䅅䅁䙁䅁䅁睁䅁䅁䅁权䅁䅁䅁权奂杁䅁权䙁䅁䅁权䝁䅁䅁允䅁䅁䅅䅁䑁䡁乷睰䵁䅉䅅䅁䙁䅁䅁睁䅁䅁䅁权䅁䅁䅁权扂杁䅁权䙁䅁䅁权䝁䅁䅁允䅁䅁䅅䅁䑁乁䝲杰䵁䅉䅅䅁䙁䅁䅁睁䅁䅁䅁权䅁䅁䅁权摂杁䅁权䙁䅁䅁权䡁䅁䅁允䅁䅁䅅䅁䭁䅁䅧䅁䵁䅉䅅䅁䙁䅁䅁睁䅁䅁䅁权䅁䅁䅁权杂杁䅁权䙁䅁䅁权䝁䅁䅁允䅁䅁䅅䅁䑁䩁硴村䵁䅉䅅䅁䑁䅁䅁睁䵁䅁䅁兂䅁䅁䅁䡥偊兑䅯杪䅉䅁䅅䅁䉁䅁䅁权偃杁䅁䍄䉁䅁䅁睁䅁䅁䅍䅄䅁䅁䅕䅁䅁䭷獤啕䭅䩁䍁䅁䉁䅁䅁允䅁䅁䅯睪䅉䅁杷允䅁䅁䅕䅁䑁䅁䅁䅁䭁䅁䅁䅁䭁䑁䅍䅁䭁䅁䅕䅁䭁䅁䅣䅁䉁䅁䅁允䅁䅁䅍ㅳ䍨䅁杷允䅁䅁䅍䅁䑁䅁䅷䅁䙁䅁䅁䅁瑃汭䉂权䙄杁䅁允䅁䅁䅅䅁䭁䥁䌸䅁䵁䅉䅅䅁䙁䅁䅁睁䅁䅁䅁权䅁䅁䅁权桂杁䅁权䙁䅁䅁权䝁䅁䅁允䅁䅁䅅䅁䑁䅁㡧兑䵁䅉䅅䅁䙁䅁䅁睁䅁䅁䅁权䅁䅁䅁权求杁䅁权䙁䅁䅁权䡁䅁䅁允䅁䅁䅅䅁䑁䩁洴睑䵁䅉䅅䅁䑁䅁䅁睁䵁䅁䅁兂䅁䅁䅁婭公兑䅯䅫䅉䅁䅅䅁䉁䅁䅁权⽃杁䅁䍄䉁䅁䅁睁䅁䅁䅍䅄䅁䅁䅕䅁䅁䥑婌䕚䭅䥁䌴䅁䉁䅁䅁允䅁䅁䅯睪䅉䅁杷允䅁䅁䅕䅁䑁䅁䅁䅁䭁䅁䅁䅁䭁䡁䈸䅁䭁䅁䅕䅁䭁䅁䅙䅁䉁䅁䅁允䅁䅁䅍㌳䍖䅁杷允䅁䅁䅕䅁䑁䅁䅁䅁䭁䅁䅁䅁䭁䙁䉳䅁䭁䅁䅕䅁䭁䅁䅙䅁䉁䅁䅁允䅁䅁䅍捊浇䅁杷允䅁䅁䅕䅁䑁䅁䅁䅁䭁䅁䅁䅁䭁䝁䍫䅁䭁䅁䅕䅁䭁䅁䅙䅁䉁䅁䅁允䅁䅁䅍ㅬ䍨䅁杷允䅁䅁䅕䅁䑁䅁䅁䅁䭁䅁䅁䅁䭁䝁䍯䅁䭁䅁䅕䅁䭁䅁䅣䅁䉁䅁䅁允䅁䅁䅯䅃䅁䅁杷允䅁䅁䅕䅁䑁䅁䅁䅁䭁䅁䅁䅁䭁䝁䍳䅁䭁䅁䅕䅁䭁䅁䅙䅁䉁䅁䅁允䅁䅁䅍浦䌱䅁杷允䅁䅁䅍䅁䑁䅁䅷䅁䙁䅁䅁䅁㥃噄䉎权元杁䅁允䅁䅁䅅䅁䭁䥁䌸䅁䵁䅉䅅䅁䙁䅁䅁睁䅁䅁䅁权䅁䅁䅁权療杁䅁权䙁䅁䅁权䡁䅁䅁允䅁䅁䅅䅁䭁䅁䅧䅁䵁䅉䅅䅁䑁䅁䅁睁䵁䅁䅁兂䅁䅁䅄灓兤兑䅯䅫䅉䅁䅅䅁䉁䅁䅁权扃杁䅁䍄䉁䅁䅁兂䅁䅁䅍䅁䅁䅁䅯䅁䅁䅁䅯杔䅉䅁䅯兂䅁䅁䅯睂䅁䅁䅅䅁䉁䅁䅁权䥁䅁䅁䍄䉁䅁䅁兂䅁䅁䅍䅁䅁䅁䅯䅁䅁䅁䅯內䅉䅁䅯兂䅁䅁䅯睂䅁䅁䅅䅁䉁䅁䅁权䥁䅁䅁䍄䉁䅁䅁兂䅁䅁䅍䅁䅁䅁䅯䅁䅁䅁䅯睙䅁䅁䅯兂䅁䅁䅯睂䅁䅁䅅䅁䉁䅁䅁睁獂歗䅉䍄䉁䅁䅁兂䅁䅁䅍䅁䅁䅁䅯䅁䅁䅁䅯䅍䅅䅁䅯兂䅁䅁䅯睂䅁䅁䅅䅁䉁䅁䅁权䥁䅁䅁䍄䉁䅁䅁睁䅁䅁䅍䅄䅁䅁䅕䅁䅁偷堲䕕䭅䵁䍕䅁䉁䅁䅁允䅁䅁䅯睪䅉䅁杷允䅁䅁䅕䅁䑁䅁䅁䅁䭁䅁䅁䅁䭁䡁䍁䅁䭁䅁䅕䅁䭁䅁䅣䅁䉁䅁䅁允䅁䅁䅯䅃䅁䅁杷允䅁䅁䅕䅁䑁䅁䅁䅁䭁䅁䅁䅁䭁䡁䍅䅁䭁䅁䅕䅁䭁䅁䅙䅁䉁䅁䅁允䅁䅁䅍呔䝬䅁杷允䅁䅁䅍䅁䑁䅁䅷䅁䙁䅁䅁䅁䵂䙭䉂权䍄杁䅁允䅁䅁䅅䅁䭁䥁䌸䅁䵁䅉䅅䅁䑁䅁䅁睁䵁䅁䅁兂䅁䅁杁㥋歨兑䅯睷䅉䅁䅅䅁䉁䅁䅁权噃杁䅁䍄䉁䅁䅁兂䅁䅁䅍䅁䅁䅁䅯䅁䅁䅁䅯督䅉䅁䅯兂䅁䅁䅯睂䅁䅁䅅䅁䉁䅁䅁睁敂㈯䅁䍄䉁䅁䅁兂䅁䅁䅍䅁䅁䅁䅯䅁䅁䅁䅯兤䅉䅁䅯兂䅁䅁䅯睂䅁䅁䅅䅁䉁䅁䅁睁晄䕘䅉䍄䉁䅁䅁兂䅁䅁䅍䅁䅁䅁䅯䅁䅁䅁䅯睭䅅䅁䅯兂䅁䅁䅯睂䅁䅁䅅䅁䉁䅁䅁权䥁䅁䅁䍄䉁䅁䅁兂䅁䅁䅍䅁䅁䅁䅯䅁䅁䅁䅯儰䅅䅁䅯兂䅁䅁䅯睂䅁䅁䅅䅁䉁䅁䅁权䥁䅁䅁䍄䉁䅁䅁兂䅁䅁䅍䅁䅁䅁䅯䅁䅁䅁䅯睉䅉䅁䅯兂䅁䅁䅯睂䅁䅁䅅䅁䉁䅁䅁睁敃歊䅍䍄䉁䅁䅁睁䅁䅁䅍䅄䅁䅁䅕䅁䅁乧⽣䕗䭅䩁䍁䅁䉁䅁䅁允䅁䅁䅯睪䅉䅁杷允䅁䅁䅕䅁䑁䅁䅁䅁䭁䅁䅁䅁䭁䕁䍍䅁䭁䅁䅕䅁䭁䅁䅣䅁䉁䅁䅁允䅁䅁䅍浄䍂䅁杷允䅁䅁䅍䅁䑁䅁䅷䅁䙁䅁䅁䅁楁䙭䉂权䙄杁䅁允䅁䅁䅅䅁䭁䥁䌸䅁䵁䅉䅅䅁䑁䅁䅁睁䵁䅁䅁兂䅁䅁䅁祦剖兑䅯杷䅉䅁䅅䅁䉁䅁䅁权偃杁䅁䍄䉁䅁䅁兂䅁䅁䅍䅁䅁䅁䅯䅁䅁䅁䅯来䅉䅁䅯兂䅁䅁䅯杂䅁䅁䅅䅁䉁䅁䅁睁橄㡒䉙䍄䉁䅁䅁睁䅁䅁䅍䅄䅁䅁䅕䅁䅁乑椶䕕䭅䵁䍉䅁䉁䅁䅁允䅁䅁䅯睪䅉䅁杷允䅁䅁䅍䅁䑁䅁䅷䅁䙁䅁䅁䵁⭂汬䉂权佃杁䅁允䅁䅁䅅䅁䭁䥁䌸䅁䵁䅉䅅䅁䑁䅁䅁睁䵁䅁䅁兂䅁䅁䅃㥧歬兑䅯杪䅉䅁䅅䅁䉁䅁䅁权偃杁䅁䍄䉁䅁䅁兂䅁䅁䅍䅁䅁䅁䅯䅁䅁䅁䅯来䅉䅁䅯兂䅁䅁䅯睂䅁䅁䅅䅁䉁䅁䅁睁睃啢䅉䍄䉁䅁䅁兂䅁䅁䅍䅁䅁䅁䅯䅁䅁䅁䅯䅦䅉䅁䅯兂䅁䅁䅯杂䅁䅁䅅䅁䉁䅁䅁睁橄㡒䉙䍄䉁䅁䅁兂䅁䅁䅍䅁䅁䅁䅯䅁䅁䅁䅯䅦䅉䅁䅯兂䅁䅁䅯睂䅁䅁䅅䅁䉁䅁䅁睁睃啢䅉䍄䉁䅁䅁兂䅁䅁䅍䅁䅁䅁䅯䅁䅁䅁䅯杦䅉䅁䅯兂䅁䅁䅯杂䅁䅁䅅䅁䉁䅁䅁睁䭂䕣䅉䍄䉁䅁䅁睁䅁䅁䅍䅄䅁䅁䅕䅁䅁䱧坵䕕䭅䵁䍍䅁䉁䅁䅁允䅁䅁䅯䅸䅉䅁杷允䅁䅁䅕䅁䑁䅁䅁䅁䭁䅁䅁䅁䭁䥁䍁䅁䭁䅁䅕䅁䭁䅁䅣䅁䉁䅁䅁允䅁䅁䅯䅃䅁䅁杷允䅁䅁䅕䅁䑁䅁䅁䅁䭁䅁䅁䅁䭁䵁䉣䅁䭁䅁䅕䅁䭁䅁䅣䅁䉁䅁䅁允䅁䅁䅍湏䍚䅁杷允䅁䅁䅕䅁䑁䅁䅁䅁䭁䅁䅁䅁䭁䥁䍕䅁䭁䅁䅕䅁䭁䅁䅣䅁䉁䅁䅁允䅁䅁䅯䅃䅁䅁杷允䅁䅁䅍䅁䑁䅁䅷䅁䙁䅁䅁䭁慄䜲䉎权䙄杁䅁允䅁䅁䅅䅁䭁䥁䌸䅁䵁䅉䅅䅁䙁䅁䅁睁䅁䅁䅁权䅁䅁䅁权䡃杁䅁权䙁䅁䅁权䝁䅁䅁允䅁䅁䅅䅁䑁䡁䱰睑䵁䅉䅅䅁䑁䅁䅁睁䵁䅁䅁兂䅁䅁杂摇歨兑䅯䅫䅉䅁䅅䅁䉁䅁䅁权偃杁䅁䍄䉁䅁䅁兂䅁䅁䅍䅁䅁䅁䅯䅁䅁䅁䅯杩䅉䅁䅯兂䅁䅁䅯杂䅁䅁䅅䅁䉁䅁䅁睁㙁此䅉䍄䉁䅁䅁睁䅁䅁䅍䅄䅁䅁䅕䅁䅁䱧坵䕕䭅䥁䌴䅁䉁䅁䅁允䅁䅁䅯睪䅉䅁杷允䅁䅁䅍䅁䑁䅁䅷䅁䙁䅁䅁䥁㝃汬䉂权元杁䅁允䅁䅁䅅䅁䭁䥁䌸䅁䵁䅉䅅䅁䑁䅁䅁睁䵁䅁䅁兂䅁䅁䅃慕兎兑䅯杷䅉䅁䅅䅁䉁䅁䅁权偃杁䅁䍄䉁䅁䅁睁䅁䅁䅍䅄䅁䅁䅕䅁䅁䥧婐䕚䭅䵁䍍䅁䉁䅁䅁允䅁䅁䅯公䅉䅁杷允䅁䅁䅍䅁䑁䅁䅷䅁䙁䅁䅁䥁䱄䙂䉂权佃杁䅁允䅁䅁䅅䅁䭁䩁䍅䅁䵁䅉䅅䅁䑁䅁䅁睁䵁䅁䅁兂䅁䅁䅄婊党兑䅯杪䅉䅁䅅䅁䉁䅁䅁权偃杁䅁䍄䉁䅁䅁睁䅁䅁䅍䅄䅁䅁䅕䅁䅁䕁塗䕕䭅䵁䍉䅁䉁䅁䅁允䅁䅁䅯睪䅉䅁杷允䅁䅁䅍䅁䑁䅁䅷䅁䙁䅁䅁䥁杂ㅬ䉂权佃杁䅁允䅁䅁䅅䅁䭁䩁䍍䅁䵁䅉䅅䅁䑁䅁䅁睁䵁䅁䅁兂䅁䅁䅄䨲典兑䅯杪䅉䅁䅅䅁䉁䅁䅁权偃杁䅁䍄䉁䅁䅁睁䅁䅁䅍䅄䅁䅁䅕䅁䅁䩷楡䕕䭅䩁䍁䅁䉁䅁䅁允䅁䅁䅯睪䅉䅁杷允䅁䅁䅍䅁䑁䅁䅷䅁䙁䅁䅁䥁䱄䙂䉂权元杁䅁允䅁䅁䅅䅁䭁䩁䍑䅁䵁䅉䅅䅁䑁䅁䅁睁䵁䅁䅁兂䅁䅁䅁䑹攱兑䅯杪䅉䅁䅅䅁䉁䅁䅁权偃杁䅁䍄䉁䅁䅁睁䅁䅁䅍䅄䅁䅁䅕䅁䅁䡑婶䕚䭅䵁䍉䅁䉁䅁䅁允䅁䅁䅯睪䅉䅁杷允䅁䅁䅍䅁䑁䅁䅷䅁䙁䅁䅁䥁杂ㅬ䉂权元杁䅁允䅁䅁䅅䅁䭁䩁䍍䅁䵁䅉䅅䅁䑁䅁䅁睁䵁䅁䅁兂䅁䅁䅁灉全兑䅯䅫䅉䅁䅅䅁䉁䅁䅁权偃杁䅁䍄䉁䅁䅁睁䅁䅁䅍䅄䅁䅁䅕䅁䅁䙁眱ご䭅䥁䌴䅁䉁䅁䅁允䅁䅁䅯睱䅉䅁杷允䅁䅁䅍䅁䑁䅁䅷䅁䙁䅁䅁䥁䭁噮䉂权佃杁䅁允䅁䅁䅅䅁䭁䩁䍙䅁䵁䅉䅅䅁䑁䅁䅁睁䵁䅁䅁兂䅁䅁䅁煺偨兑䅯䅫䅉䅁䅅䅁䉁䅁䅁权偃杁䅁䍄䉁䅁䅁睁䅁䅁䅍䅄䅁䅁䅕䅁䅁䡷坋䕕䭅䩁䍁䅁䉁䅁䅁允䅁䅁䅯睪䅉䅁杷允䅁䅁䅍䅁䑁䅁䅷䅁䙁䅁䅁䅁㕃汉䉊权佃杁䅁允䅁䅁䅅䅁䭁䥁䌸䅁䵁䅉䅅䅁䑁䅁䅁睁䵁䅁䅁兂䅁䅁允乢㝒兑䅯䅫䅉䅁䅅䅁䉁䅁䅁权偃杁䅁䍄䉁䅁䅁睁䅁䅁䅍䅄䅁䅁䅕䅁䅁䅁偊䕕䭅䥁䌴䅁䉁䅁䅁允䅁䅁䅯睪䅉䅁杷允䅁䅁䅍䅁䑁䅁䅷䅁䙁䅁䅁䅁㑁噭䉂权元杁䅁允䅁䅁䅅䅁䭁䭁䌰䅁䵁䅉䅅䅁䑁䅁䅁睁䵁䅁䅁兂䅁䅁䅄䩌兴兑䅯杷䅉䅁䅅䅁䉁䅁䅁权偃杁䅁䍄䉁䅁䅁睁䅁䅁䅍䅄䅁䅁䅕䅁䅁䙧戫䕕䭅䩁䍁䅁䉁䅁䅁允䅁䅁䅯睪䅉䅁杷允䅁䅁䅍䅁䑁䅁䅷䅁䙁䅁䅁䥁十䔹䈹权佃杁䅁允䅁䅁䅅䅁䭁䥁䌸䅁䵁䅉䅅䅁䑁䅁䅁睁䵁䅁䅁兂䅁䅁䅄㕤儱兑䅯杪䅉䅁䅅䅁䉁䅁䅁权奃杁䅁䍄䉁䅁䅁睁䅁䅁䅍䅄䅁䅁䅕䅁䅁䭧潉啕䭅䵁䍕䅁䉁䅁䅁允䅁䅁䅯杇䅍䅁杷允䅁䅁䅍䅁䑁䅁䅷䅁䙁䅁䅁䥁睁う䈹权佃杁䅁允䅁䅁䅅䅁䭁䥁䌸䅁䵁䅉䅅䅁䑁䅁䅁睁䵁䅁䅁兂䅁䅁䅁煺偨兑䅯杷䅉䅁䅅䅁䉁䅁䅁权偃杁䅁䍄䉁䅁䅁睁䅁䅁䅍䅄䅁䅁䅕䅁䅁䭁䘷䕕䭅䥁䌴䅁䉁䅁䅁允䅁䅁䅯六䅉䅁杷允䅁䅁䅍䅁䑁䅁䅷䅁䙁䅁䅁䥁癃圴䉒权䙄杁䅁允䅁䅁䅅䅁䭁䥁䌸䅁䵁䅉䅅䅁䑁䅁䅁睁䵁䅁䅁兂䅁䅁䅂婄典兑䅯杪䅉䅁䅅䅁䉁䅁䅁权偃杁䅁䍄䉁䅁䅁睁䅁䅁䅍䅄䅁䅁䅕䅁䅁䵙桐䕚䭅䥁䌴䅁䉁䅁䅁允䅁䅁䅯睪䅉䅁杷允䅁䅁䅍䅁䑁䅁䅷䅁䙁䅁䅁䵁獁汬䉂权佃杁䅁允䅁䅁䅅䅁䭁䩁䍯䅁䵁䅉䅅䅁䑁䅁䅁睁䵁䅁䅁兂䅁䅁䅃灪儱兑䅯䅫䅉䅁䅅䅁䉁䅁䅁权偃杁䅁䍄䉁䅁䅁睁䅁䅁䅍䅄䅁䅁䅕䅁䅁䅑ㅕし䭅䥁䌴䅁䉁䅁䅁允䅁䅁䅯睪䅉䅁杷允䅁䅁䅍䅁䑁䅁䅷䅁䙁䅁䅁䅁楃歙䈹权元杁䅁允䅁䅁䅅䅁䭁䥁䌸䅁䵁䅉䅅䅁䑁䅁䅁睁䵁䅁䅁兂䅁䅁䅁婙党兑䅯䅫䅉䅁䅅䅁䉁䅁䅁权偃杁䅁䍄䉁䅁䅁睁䅁䅁䅍䅄䅁䅁䅕䅁䅁䑁婭䕕䭅䩁䍁䅁䉁䅁䅁允䅁䅁䅯睪䅉䅁杷允䅁䅁䅍䅁䑁䅁䅷䅁䙁䅁䅁䥁䍁ㅬ䉂权䑄杁䅁允䅁䅁䅅䅁䭁乁䍷䅁䵁䅉䅅䅁䑁䅁䅁睁䵁䅁䅁兂䅁䅁权琲橨兑䅯杪䅉䅁䅅䅁䉁䅁䅁权偃杁䅁䍄䉁䅁䅁睁䅁䅁䅍䅄䅁䅁䅕䅁䅁䥶䅰啭䭅䩁䍁䅁䉁䅁䅁允䅁䅁䅯睪䅉䅁杷允䅁䅁䅍䅁䑁䅁䅷䅁䙁䅁䅁䅁潃噥䉆权䑄杁䅁允䅁䅁䅅䅁䭁䱁䍁䅁䵁䅉䅅䅁䑁䅁䅁睁䵁䅁䅁兂䅁䅁䅂獭刱兑䅯䅫䅉䅁䅅䅁䉁䅁䅁权扃杁䅁䍄䉁䅁䅁睁䅁䅁䅍䅄䅁䅁䅕䅁䅁䙧療ご䭅䩁䍁䅁䉁䅁䅁允䅁䅁䅯睪䅉䅁杷允䅁䅁䅍䅁䑁䅁䅷䅁䙁䅁䅁䅁㍁ㅬ䉂权䙄杁䅁允䅁䅁䅅䅁䭁䥁䌸䅁䵁䅉䅅䅁䑁䅁䅁睁䵁䅁䅁兂䅁䅁䅁䡥偊兑䅯䅫䅉䅁䅅䅁䉁䅁䅁权偃杁䅁䍄䉁䅁䅁睁䅁䅁䅍䅄䅁䅁䅕䅁䅁䑁塱䕕䭅䵁䍕䅁䉁䅁䅁允䅁䅁䅯眹䅉䅁杷允䅁䅁䅍䅁䑁䅁䅷䅁䙁䅁䅁䵁獁汬䉂权元杁䅁允䅁䅁䅅䅁䭁䩁䍷䅁䵁䅉䅅䅁䑁䅁䅁睁䵁䅁䅁兂䅁䅁䅂獭刱兑䅯杪䅉䅁䅅䅁䉁䅁䅁权摃杁䅁䍄䉁䅁䅁睁䅁䅁䅍䅄䅁䅁䅕䅁䅁乧奵䕕䭅䩁䍁䅁䉁䅁䅁允䅁䅁䅯睪䅉䅁杷允䅁䅁䅍䅁䑁䅁䅷䅁䙁䅁䅁䍁湂圲䉒权佃杁䅁允䅁䅁䅅䅁䭁䥁䌸䅁䵁䅉䅅䅁䑁䅁䅁睁䵁䅁䅁兂䅁䅁䅃灪儱兑䅯杪䅉䅁䅅䅁䉁䅁䅁权偃杁䅁䍄䉁䅁䅁睁䅁䅁䅍䅄䅁䅁䅕䅁䅁佁䠵䕥䭅䵁䍕䅁䉁䅁䅁允䅁䅁䅯睪䅉䅁杷允䅁䅁䅍䅁䑁䅁䅷䅁䙁䅁䅁䥁扂汬䉂权佃杁䅁允䅁䅁䅅䅁䭁䥁䌸䅁䵁䅉䅅䅁䑁䅁䅁睁䵁䅁䅁兂䅁䅁䅄灣党兑䅯杪䅉䅁䅅䅁䉁䅁䅁权偃杁䅁䍄䉁䅁䅁睁䅁䅁䅍䅄䅁䅁䅕䅁䅁䵷卶す䭅䥁䌴䅁䉁䅁䅁允䅁䅁䅯睪䅉䅁杷允䅁䅁䅍䅁䑁䅁䅷䅁䙁䅁䅁䥁䙃䕪䈵权元杁䅁允䅁䅁䅅䅁䭁䥁䌸䅁䵁䅉䅅䅁䑁䅁䅁睁䵁䅁䅁兂䅁䅁䅃灪儱兑䅯睷䅉䅁䅅䅁䉁䅁䅁权噃杁䅁䍄䉁䅁䅁睁䅁䅁䅍䅄䅁䅁䅕䅁䅁䅷扃䕕䭅䥁䌴䅁䉁䅁䅁允䅁䅁䅯睮䅉䅁杷允䅁䅁䅍䅁䑁䅁䅷䅁䙁䅁䅁䵁橁噭䉂权䑄杁䅁允䅁䅁䅅䅁䭁乁䍷䅁䵁䅉䅅䅁䑁䅁䅁睁䵁䅁䅁兂䅁䅁䅂瑧歬兑䅯䅫䅉䅁䅅䅁䉁䅁䅁权偃杁䅁䍄䉁䅁䅁睁䅁䅁䅍䅄䅁䅁䅕䅁䅁佑噱䕕䭅䥁䌴䅁䉁䅁䅁允䅁䅁䅯睪䅉䅁杷允䅁䅁䅍䅁䑁䅁䅷䅁䙁䅁䅁䵁慁䙒䉂权佃杁䅁允䅁䅁䅅䅁䭁䥁䌸䅁䵁䅉䅅䅁䑁䅁䅁睁䵁䅁䅁兂䅁䅁䅁婏公兑䅯典䅉䅁䅅䅁䉁䅁䅁权偃杁䅁䍄䉁䅁䅁睁䅁䅁䅍䅄䅁䅁䅕䅁䅁䩑婭䕕䭅䩁䍁䅁䉁䅁䅁允䅁䅁䅯睪䅉䅁杷允䅁䅁䅍䅁䑁䅁䅷䅁䙁䅁䅁䝁䑄圴䉒权元杁䅁允䅁䅁䅅䅁䭁䥁䌸䅁䵁䅉䅅䅁䑁䅁䅁睁䵁䅁䅁兂䅁䅁䅃灃儱兑䅯䅫䅉䅁䅅䅁䉁䅁䅁权桃杁䅁䍄䉁䅁䅁睁䅁䅁䅍䅄䅁䅁䅕䅁䅁䥑婄䕚䭅䥁䌴䅁䉁䅁䅁允䅁䅁䅯睪䅉䅁杷允䅁䅁䅍䅁䑁䅁䅷䅁䙁䅁䅁䕁乁䙮䉂权元杁䅁允䅁䅁䅅䅁䭁䥁䌸䅁䵁䅉䅅䅁䑁䅁䅁睁䵁䅁䅁兂䅁䅁䅃䉍偤兑䅯䅫䅉䅁䅅䅁䉁䅁䅁权偃杁䅁䍄䉁䅁䅁睁䅁䅁䅍䅄䅁䅁䅕䅁䅁䅷扃䕕䭅䩁䍁䅁䉁䅁䅁允䅁䅁䅯睯䅉䅁杷允䅁䅁䅍䅁䑁䅁䅷䅁䙁䅁䅁䑁⭂䡚䉸权佃杁䅁允䅁䅁䅅䅁䭁䥁䌸䅁䵁䅉䅅䅁䑁䅁䅁睁䵁䅁䅁兂䅁䅁䅄歇兒兑䅯䅫䅉䅁䅅䅁䉁䅁䅁权偃杁䅁䍄䉁䅁䅁睁䅁䅁䅍䅄䅁䅁䅕䅁䅁䝷捡䕕䭅䥁䌴䅁䉁䅁䅁允䅁䅁䅯䅰䅉䅁杷允䅁䅁䅍䅁䑁䅁䅷䅁䙁䅁䅁䅁㥃䙭䉂权佃杁䅁允䅁䅁䅅䅁䭁䥁䌸䅁䵁䅉䅅䅁䑁䅁䅁睁䵁䅁䅁兂䅁䅁䅂娱兰兑䅯䅫䅉䅁䅅䅁䉁䅁䅁权偃杁䅁䍄䉁䅁䅁睁䅁䅁䅍䅄䅁䅁䅕䅁䅁䙧捩䕕䭅䥁䌴䅁䉁䅁䅁允䅁䅁䅯睪䅉䅁杷允䅁䅁䅍䅁䑁䅁䅷䅁䙁䅁䅁䥁奂䙮䉂权元杁䅁允䅁䅁䅅䅁䭁䥁䌸䅁䵁䅉䅅䅁䑁䅁䅁睁䵁䅁䅁兂䅁䅁杁㤷歨兑䅯䅫䅉䅁䅅䅁䉁䅁䅁权偃杁䅁䍄䉁䅁䅁睁䅁䅁䅍䅄䅁䅁䅕䅁䅁䡑婏䕕䭅䩁䍁䅁䉁䅁䅁允䅁䅁䅯公䅉䅁杷允䅁䅁䅍䅁䑁䅁䅷䅁䙁䅁䅁䝁捃圴䉒权䙄杁䅁允䅁䅁䅅䅁䭁䥁䌸䅁䵁䅉䅅䅁䑁䅁䅁睁䵁䅁䅁兂䅁䅁䅄瀹兴兑䅯杪䅉䅁䅅䅁䉁䅁䅁权偃杁䅁䍄䉁䅁䅁睁䅁䅁䅍䅄䅁䅁䅕䅁䅁倴奈䕚䭅䩁䍁䅁䉁䅁䅁允䅁䅁䅯睪䅉䅁杷允䅁䅁䅍䅁䑁䅁䅷䅁䙁䅁䅁䵁畄噭䉂权元杁䅁允䅁䅁䅅䅁䭁䥁䌸䅁䵁䅉䅅䅁䑁䅁䅁睁䵁䅁䅁兂䅁䅁䅂獅奨兑䅯䅫䅉䅁䅅䅁䉁䅁䅁权噃杁䅁䍄䉁䅁䅁睁䅁䅁䅍䅄䅁䅁䅕䅁䅁䑧娶䕕䭅䥁䌴䅁䉁䅁䅁允䅁䅁䅯睪䅉䅁杷允䅁䅁䅍䅁䑁䅁䅷䅁䙁䅁䅁䥁⭁噭䉂权元杁䅁允䅁䅁䅅䅁䭁䥁䌸䅁䵁䅉䅅䅁䑁䅁䅁睁䵁䅁䅁兂䅁䅁㡃歩婃兑䅯睷䅉䅁䅅䅁䉁䅁䅁权捄杁䅁䍄䉁䅁䅁睁䅁䅁䅍䅄䅁䅁䅕䅁䅁䅧㝂じ䭅䩁䍁䅁䉁䅁䅁允䅁䅁䅯睪䅉䅁杷允䅁䅁䅍䅁䑁䅁䅷䅁䙁䅁䅁䕁婃噭䉂权佃杁䅁允䅁䅁䅅䅁䭁䥁䌸䅁䵁䅉䅅䅁䑁䅁䅁睁䵁䅁䅁兂䅁䅁䅃慕兎兑䅯䅫䅉䅁䅅䅁䉁䅁䅁权偃杁䅁䍄䉁䅁䅁睁䅁䅁䅍䅄䅁䅁䅕䅁䅁䕷奇䕕䭅䥁䌴䅁䉁䅁䅁允䅁䅁䅯睪䅉䅁杷允䅁䅁䅍䅁䑁䅁䅷䅁䙁䅁䅁䝁癃圴䉒权佃杁䅁允䅁䅁䅅䅁䭁䥁䌸䅁䵁䅉䅅䅁䑁䅁䅁睁䵁䅁䅁兂䅁䅁䅄婑全兑䅯䅫䅉䅁䅅䅁䉁䅁䅁权偃杁䅁䍄䉁䅁䅁睁䅁䅁䅍䅄䅁䅁䅕䅁䅁䱑奵䕕䭅䵁䍕䅁䉁䅁䅁允䅁䅁䅯睪䅉䅁杷允䅁䅁䅍䅁䑁䅁䅷䅁䙁䅁䅁䥁乃圴䉒权䍄杁䅁允䅁䅁䅅䅁䭁䥁䌸䅁䵁䅉䅅䅁䑁䅁䅁睁䵁䅁䅁兂䅁䅁䅂㝉兖兑䅯䅫䅉䅁䅅䅁䉁䅁䅁权偃杁䅁䍄䉁䅁䅁睁䅁䅁䅍䅄䅁䅁䅕䅁䅁佁䠵䕥䭅䵁䍉䅁䉁䅁䅁允䅁䅁䅯睪䅉䅁杷允䅁䅁䅍䅁䑁䅁䅷䅁䙁䅁䅁䕁楃ㅭ䉂权䙄杁䅁允䅁䅁䅅䅁䭁䥁䌸䅁䵁䅉䅅䅁䑁䅁䅁睁䵁䅁䅁兂䅁䅁䅃琳兊兑䅯䅫䅉䅁䅅䅁䉁䅁䅁权偃杁䅁䍄䉁䅁䅁睁䅁䅁䅍䅄䅁䅁䅕䅁䅁䡧婺䕚䭅䩁䍁䅁䉁䅁䅁允䅁䅁䅯睪䅉䅁杷允䅁䅁䅍䅁䑁䅁䅷䅁䙁䅁䅁䝁癃圴䉒权元杁䅁允䅁䅁䅅䅁䭁䥁䌸䅁䵁䅉䅅䅁䑁䅁䅁睁䵁䅁䅁兂䅁䅁䅁婅倹兑䅯杪䅉䅁䅅䅁䉁䅁䅁权偃杁䅁䍄䉁䅁䅁睁䅁䅁䅍䅄䅁䅁䅕䅁䅁䉁晇ご䭅䩁䍁䅁䉁䅁䅁允䅁䅁䅯睪䅉䅁杷允䅁䅁䅍䅁䑁䅁䅷䅁䙁䅁䅁䅁䙄䙌䉆权元杁䅁允䅁䅁䅅䅁䭁䥁䌸䅁䵁䅉䅅䅁䑁䅁䅁睁䵁䅁䅁兂䅁䅁䅂䩪儱兑䅯杪䅉䅁䅅䅁䉁䅁䅁权偃杁䅁䍄䉁䅁䅁睁䅁䅁䅍䅄䅁䅁䅕䅁䅁䕷塱䕕䭅䥁䌴䅁䉁䅁䅁允䅁䅁䅯兮䅉䅁杷允䅁䅁䅍䅁䑁䅁䅷䅁䙁䅁䅁䅁㙁ㅬ䉂权佃杁䅁允䅁䅁䅅䅁䭁䩁䍧䅁䵁䅉䅅䅁䑁䅁䅁睁䵁䅁䅁兂䅁䅁䅁灏兤兑䅯䅫䅉䅁䅅䅁䉁䅁䅁权噃杁䅁䍄䉁䅁䅁睁䅁䅁䅍䅄䅁䅁䅕䅁䅁乷奱䕕䭅䩁䍁䅁䉁䅁䅁允䅁䅁䅯睪䅉䅁杷允䅁䅁䅍䅁䑁䅁䅷䅁䙁䅁䅁䥁扄䙭䉂权佃杁䅁允䅁䅁䅅䅁䭁䥁䌸䅁䵁䅉䅅䅁䑁䅁䅁睁䵁䅁䅁兂䅁䅁䅃㕘兴兑䅯杪䅉䅁䅅䅁䉁䅁䅁权偃杁䅁䍄䉁䅁䅁睁䅁䅁䅍䅄䅁䅁䅕䅁䅁䝁批䕕䭅䩁䍁䅁䉁䅁䅁允䅁䅁䅯睪䅉䅁杷允䅁䅁䅍䅁䑁䅁䅷䅁䙁䅁䅁䥁十䙮䉂权元杁䅁允䅁䅁䅅䅁䭁䩁䍕䅁䵁䅉䅅䅁䑁䅁䅁睁䵁䅁䅁兂䅁䅁䅂丶兖兑䅯典䅉䅁䅅䅁䉁䅁䅁权偃杁䅁䍄䉁䅁䅁睁䅁䅁䅍䅄䅁䅁䅕䅁䅁偑奔䕚䭅䩁䍁䅁䉁䅁䅁允䅁䅁䅯睪䅉䅁杷允䅁䅁䅍䅁䑁䅁䅷䅁䙁䅁䅁䝁捃圴䉒权佃杁䅁允䅁䅁䅅䅁䭁䥁䌸䅁䵁䅉䅅䅁䑁䅁䅁睁䵁䅁䅁兂䅁䅁䅃䨴兤兑䅯䅫䅉䅁䅅䅁䉁䅁䅁权偃杁䅁䍄䉁䅁䅁睁䅁䅁䅍䅄䅁䅁䅕䅁䅁䩑椵啕䭅䥁䌴䅁䉁䅁䅁允䅁䅁䅯睳䅉䅁杷允䅁䅁䅍䅁䑁䅁䅷䅁䙁䅁䅁䵁療噭䉂权元杁䅁允䅁䅁䅅䅁䭁䩁䍕䅁䵁䅉䅅䅁䑁䅁䅁睁䵁䅁䅁兂䅁䅁䅄䨲典兑䅯睷䅉䅁䅅䅁䉁䅁䅁权噃杁䅁䍄䉁䅁䅁睁䅁䅁䅍䅄䅁䅁䅕䅁䅁䍧摹䕕䭅䥁䌴䅁䉁䅁䅁允䅁䅁䅯睰䅉䅁杷允䅁䅁䅍䅁䑁䅁䅷䅁䙁䅁䅁䵁牄䙈䉂权䑄杁䅁允䅁䅁䅅䅁䭁䩁䍳䅁䵁䅉䅅䅁䑁䅁䅁睁䵁䅁䅁兂䅁䅁䅃䩌儱兑䅯䅫䅉䅁䅅䅁䉁䅁䅁权潃杁䅁䍄䉁䅁䅁睁䅁䅁䅍䅄䅁䅁䅕䅁䅁䵧稶ご䭅䩁䍁䅁䉁䅁䅁允䅁䅁䅯睪䅉䅁杷允䅁䅁䅍䅁䑁䅁䅷䅁䙁䅁䅁䵁䉃噮䉂权䙄杁䅁允䅁䅁䅅䅁䭁䥁䌸䅁䵁䅉䅅䅁䑁䅁䅁睁䵁䅁䅁兂䅁䅁䅁卭剚兑䅯杪䅉䅁䅅䅁䉁䅁䅁权灃杁䅁䍄䉁䅁䅁睁䅁䅁䅍䅄䅁䅁䅕䅁䅁䅑捓䕕䭅䩁䍁䅁䉁䅁䅁允䅁䅁䅯睪䅉䅁杷允䅁䅁䅍䅁䑁䅁䅷䅁䙁䅁䅁䝁捃圴䉒权䍄杁䅁允䅁䅁䅅䅁䭁䥁䌸䅁䵁䅉䅅䅁䑁䅁䅁睁䵁䅁䅁兂䅁䅁䅁兰偎兑䅯杷䅉䅁䅅䅁䉁䅁䅁权偃杁䅁䍄䉁䅁䅁睁䅁䅁䅍䅄䅁䅁䅕䅁䅁䅧塋䕕䭅䥁䌴䅁䉁䅁䅁允䅁䅁䅯睪䅉䅁杷允䅁䅁䅍䅁䑁䅁䅷䅁䙁䅁䅁䵁㍂噮䉂权元杁䅁允䅁䅁䅅䅁䭁䩁䍕䅁䵁䅉䅅䅁䑁䅁䅁睁䵁䅁䅁兂䅁䅁捄佈慵兑䅯杪䅉䅁䅅䅁䉁䅁䅁权偃杁䅁䍄䉁䅁䅁睁䅁䅁䅍䅄䅁䅁䅕䅁䅁䭑手䕕䭅䩁䍁䅁䉁䅁䅁允䅁䅁䅯睪䅉䅁杷允䅁䅁䅍䅁䑁䅁䅷䅁䙁䅁䅁䵁灂䙢䉆权䑄杁䅁允䅁䅁䅅䅁䭁䩁䍕䅁䵁䅉䅅䅁䑁䅁䅁睁䵁䅁䅁兂䅁䅁䅄塭兖兑䅯杪䅉䅁䅅䅁䉁䅁䅁权偃杁䅁䍄䉁䅁䅁睁䅁䅁䅍䅄䅁䅁䅕䅁䅁䙧䵶䕕䭅䥁䌴䅁䉁䅁䅁允䅁䅁䅯䅲䅉䅁杷允䅁䅁䅍䅁䑁䅁䅷䅁䙁䅁䅁䥁剂ㅯ䉂权䑄杁䅁允䅁䅁䅅䅁䭁佁䍑䅁䵁䅉䅅䅁䑁䅁䅁睁䵁䅁䅁兂䅁䅁䅃㡗典兑䅯䅫䅉䅁䅅䅁䉁䅁䅁权噃杁䅁䍄䉁䅁䅁睁䅁䅁䅍䅄䅁䅁䅕䅁䅁䕁塗䕕䭅䥁䌴䅁䉁䅁䅁允䅁䅁䅯睪䅉䅁杷允䅁䅁䅍䅁䑁䅁䅷䅁䙁䅁䅁䑁⭂䡚䉸权䍄杁䅁允䅁䅁䅅䅁䭁䥁䌸䅁䵁䅉䅅䅁䑁䅁䅁睁䵁䅁䅁兂䅁䅁䅃㡰公兑䅯䅫䅉䅁䅅䅁䉁䅁䅁权偃杁䅁䍄䉁䅁䅁睁䅁䅁䅍䅄䅁䅁䅕䅁䅁䕁塗䕕䭅䩁䍁䅁䉁䅁䅁允䅁䅁䅯睪䅉䅁杷允䅁䅁䅍䅁䑁䅁䅷䅁䙁䅁䅁䥁㡄唯䈹权佃杁䅁允䅁䅁䅅䅁䭁䥁䌸䅁䵁䅉䅅䅁䑁䅁䅁睁䵁䅁䅁兂䅁䅁䅄䨲典兑䅯杷䅉䅁䅅䅁䉁䅁䅁权偃杁䅁䍄䉁䅁䅁睁䅁䅁䅍䅄䅁䅁䅕䅁䅁䕷㄰歕䭅䩁䍁䅁䉁䅁䅁允䅁䅁䅯睪䅉䅁杷允䅁䅁䅍䅁䑁䅁䅷䅁䙁䅁䅁䕁奄圴䉒权䙄杁䅁允䅁䅁䅅䅁䭁䥁䌸䅁䵁䅉䅅䅁䑁䅁䅁睁䵁䅁䅁兂䅁䅁䅄灍兤兑䅯䅫䅉䅁䅅䅁䉁䅁䅁权噃杁䅁䍄䉁䅁䅁睁䅁䅁䅍䅄䅁䅁䅕䅁䅁䍉㝤正䭅䩁䍁䅁䉁䅁䅁允䅁䅁䅯睪䅉䅁杷允䅁䅁䅍䅁䑁䅁䅷䅁䙁䅁䅁䅁䙄䙌䉆权佃杁䅁允䅁䅁䅅䅁䭁䥁䌸䅁䵁䅉䅅䅁䑁䅁䅁睁䵁䅁䅁兂䅁䅁䅃桳桰兑䅯杪䅉䅁䅅䅁䉁䅁䅁权偃杁䅁䍄䉁䅁䅁睁䅁䅁䅍䅄䅁䅁䅕䅁䅁䱁夲䕕䭅䩁䍁䅁䉁䅁䅁允䅁䅁䅯睪䅉䅁杷允䅁䅁䅍䅁䑁䅁䅷䅁䙁䅁䅁䥁敄氰䉂权䑄杁䅁允䅁䅁䅅䅁䭁佁䍕䅁䵁䅉䅅䅁䑁䅁䅁睁䵁䅁䅁兂䅁䅁䅁卭剚兑䅯睷䅉䅁䅅䅁䉁䅁䅁权煃杁䅁䍄䉁䅁䅁睁䅁䅁䅍䅄䅁䅁䅕䅁䅁乧㉫啗䭅䩁䍁䅁䉁䅁䅁允䅁䅁䅯睪䅉䅁杷允䅁䅁䅍䅁䑁䅁䅷䅁䙁䅁䅁䵁䉃噮䉂权䍄杁䅁允䅁䅁䅅䅁䭁䥁䌸䅁䵁䅉䅅䅁䑁䅁䅁睁䵁䅁䅁兂䅁䅁䅃丹歨兑䅯杪䅉䅁䅅䅁䉁䅁䅁权偃杁䅁䍄䉁䅁䅁睁䅁䅁䅍䅄䅁䅁䅕䅁䅁䅑㑔じ䭅䩁䍁䅁䉁䅁䅁允䅁䅁䅯䅳䅉䅁杷允䅁䅁䅍䅁䑁䅁䅷䅁䙁䅁䅁䥁杂ㅬ䉂权䍄杁䅁允䅁䅁䅅䅁䭁䩁䍍䅁䵁䅉䅅䅁䑁䅁䅁睁䵁䅁䅁兂䅁䅁䅃丹歨兑䅯䅫䅉䅁䅅䅁䉁䅁䅁权偃杁䅁䍄䉁䅁䅁睁䅁䅁䅍䅄䅁䅁䅕䅁䅁䡷湡䕕䭅䥁䌴䅁䉁䅁䅁允䅁䅁䅯关䅉䅁杷允䅁䅁䅍䅁䑁䅁䅷䅁䙁䅁䅁䵁㉂ㅰ䉂权元杁䅁允䅁䅁䅅䅁䭁䱁䍉䅁䵁䅉䅅䅁䑁䅁䅁睁䵁䅁䅁兂䅁䅁䅃摺橨兑䅯杷䅉䅁䅅䅁䉁䅁䅁权偃杁䅁䍄䉁䅁䅁睁䅁䅁䅍䅄䅁䅁䅕䅁䅁佉奺䕚䭅䥁䌴䅁䉁䅁䅁允䅁䅁䅯睪䅉䅁杷允䅁䅁䅍䅁䑁䅁䅷䅁䙁䅁䅁䍁畄䜲䉒权佃杁䅁允䅁䅁䅅䅁䭁䥁䌸䅁䵁䅉䅅䅁䑁䅁䅁睁䵁䅁䅁兂䅁䅁䅁娸兖兑䅯杪䅉䅁䅅䅁䉁䅁䅁权偃杁䅁䍄䉁䅁䅁睁䅁䅁䅍䅄䅁䅁䅕䅁䅁䭷挶䕕䭅䥁䌴䅁䉁䅁䅁允䅁䅁䅯睪䅉䅁杷允䅁䅁䅍䅁䑁䅁䅷䅁䙁䅁䅁䅁硄噬䉂权元杁䅁允䅁䅁䅅䅁䭁䥁䌸䅁䵁䅉䅅䅁䑁䅁䅁睁䵁䅁䅁兂䅁䅁杄㤶歨兑䅯杪䅉䅁䅅䅁䉁䅁䅁权偃杁䅁䍄䉁䅁䅁睁䅁䅁䅍䅄䅁䅁䅕䅁䅁䍷批䕕䭅䥁䌴䅁䉁䅁䅁允䅁䅁䅯睪䅉䅁杷允䅁䅁䅍䅁䑁䅁䅷䅁䙁䅁䅁䵁乄㄰䉆权䙄杁䅁允䅁䅁䅅䅁䭁䥁䌸䅁䵁䅉䅅䅁䑁䅁䅁睁䵁䅁䅁兂䅁䅁䅂灇兤兑䅯杪䅉䅁䅅䅁䉁䅁䅁权偃杁䅁䍄䉁䅁䅁睁䅁䅁䅍䅄䅁䅁䅕䅁䅁䵷吳啕䭅䥁䌴䅁䉁䅁䅁允䅁䅁䅯睪䅉䅁杷允䅁䅁䅍䅁䑁䅁䅷䅁䙁䅁䅁䥁䕂噮䉂权佃杁䅁允䅁䅁䅅䅁䭁䱁䍑䅁䵁䅉䅅䅁䑁䅁䅁睁䵁䅁䅁兂䅁䅁䅃䩒儱兑䅯䅫䅉䅁䅅䅁䉁䅁䅁权噃杁䅁䍄䉁䅁䅁睁䅁䅁䅍䅄䅁䅁䅕䅁䅁䱑卙啕䭅䥁䌴䅁䉁䅁䅁允䅁䅁䅯睪䅉䅁杷允䅁䅁䅍䅁䑁䅁䅷䅁䙁䅁䅁䥁乃圴䉒权佃杁䅁允䅁䅁䅅䅁䭁䥁䌸䅁䵁䅉䅅䅁䑁䅁䅁睁䵁䅁䅁兂䅁䅁䅁灦剸兑䅯典䅉䅁䅅䅁䉁䅁䅁权偃杁䅁䍄䉁䅁䅁睁䅁䅁䅍䅄䅁䅁䅕䅁䅁䥧栳䕚䭅䩁䍁䅁䉁䅁䅁允䅁䅁䅯睪䅉䅁杷允䅁䅁䅍䅁䑁䅁䅷䅁䙁䅁䅁䕁癃圴䉒权佃杁䅁允䅁䅁䅅䅁䭁䥁䌸䅁䵁䅉䅅䅁䑁䅁䅁睁䵁䅁䅁兂䅁䅁䅄䩎兤兑䅯䅫䅉䅁䅅䅁䉁䅁䅁权噃杁䅁䍄䉁䅁䅁睁䅁䅁䅍䅄䅁䅁䅕䅁䅁䑷塥䕕䭅䵁䍕䅁䉁䅁䅁允䅁䅁䅯䅭䅉䅁杷允䅁䅁䅍䅁䑁䅁䅷䅁䙁䅁䅁䭁歁䜲䉒权元杁䅁允䅁䅁䅅䅁䭁䥁䌸䅁䵁䅉䅅䅁䑁䅁䅁睁䵁䅁䅁兂䅁䅁䅁䩪儱兑䅯杪䅉䅁䅅䅁䉁䅁䅁权奃杁䅁䍄䉁䅁䅁睁䅁䅁䅍䅄䅁䅁䅕䅁䅁䥁摹䕕䭅䩁䍁䅁䉁䅁䅁允䅁䅁䅯公䅉䅁杷允䅁䅁䅍䅁䑁䅁䅷䅁䙁䅁䅁䕁穂噭䉂权佃杁䅁允䅁䅁䅅䅁䭁䩁䌴䅁䵁䅉䅅䅁䑁䅁䅁睁䵁䅁䅁兂䅁䅁䅄歑剬兑䅯䅫䅉䅁䅅䅁䉁䅁䅁权偃杁䅁䍄䉁䅁䅁睁䅁䅁䅍䅄䅁䅁䅕䅁䅁䍧浩じ䭅䥁䌴䅁䉁䅁䅁允䅁䅁䅯睪䅉䅁杷允䅁䅁䅍䅁䑁䅁䅷䅁䙁䅁䅁䭁癃圴䉒权元杁䅁允䅁䅁䅅䅁䭁䥁䌸䅁䵁䅉䅅䅁䑁䅁䅁睁䵁䅁䅁兂䅁䅁䅃临歨兑䅯䅫䅉䅁䅅䅁䉁䅁䅁权偃杁䅁䍄䉁䅁䅁睁䅁䅁䅍䅄䅁䅁䅕䅁䅁䙧戫䕕䭅䵁䍉䅁䉁䅁䅁允䅁䅁䅯睪䅉䅁杷允䅁䅁䅍䅁䑁䅁䅷䅁䙁䅁䅁䥁㡂圲䉒权佃杁䅁允䅁䅁䅅䅁䭁䥁䌸䅁䵁䅉䅅䅁䑁䅁䅁睁䵁䅁䅁兂䅁䅁䅁䱹剸兑䅯杪䅉䅁䅅䅁䉁䅁䅁权偃杁䅁䍄䉁䅁䅁睁䅁䅁䅍䅄䅁䅁䅕䅁䅁䵁㡩啕䭅䩁䍁䅁䉁䅁䅁允䅁䅁䅯睪䅉䅁杷允䅁䅁䅍䅁䑁䅁䅷䅁䙁䅁䅁䅁㕁噭䉂权佃杁䅁允䅁䅁䅅䅁䭁䥁䌸䅁䵁䅉䅅䅁䡁䅁䅁䍄䉁䅁䅁杂䅁䅁䅯杺䅉䅁䅯䅹䅉䅁䅯睺䅉䅁䅯杹䅉䅁䅯睹䅉䅁䅯䅺䅉䉁䅑䕱癬䩯㙨卆唰䙁慦唷捘䵵杦䅆癁䥇睁䡪䉑剕䅑搷硐杕䍪䄫啣䱁ぺ㌱塡乇偉䅆湂杈⽸畚桤党䅅䅁䉁䅁䅁权兄杁䅁䍄䉁䅁䅁睁䅁䅁䅍䅄䅁䅁䅕䅁䅁䉧婏䕕䭅䥁䌴䅁䉁䅁䅁允䅁䅁䅯睪䅉䅁杷允䅁䅁䅍䅁䑁䅁䅷䅁䙁䅁䅁䥁ㅁ噭䉂权䍄杁䅁允䅁䅁䅅䅁䭁䥁䌸䅁䵁䅉䅅䅁䑁䅁䅁睁䵁䅁䅁兂䅁䅁䅄灥兰兑䅯杪䅉䅁䅅䅁䉁䅁䅁权奃杁䅁䍄䉁䅁䅁睁䅁䅁䅍䅄䅁䅁䅕䅁䅁䈳牺歭䭅䩁䍁䅁䉁䅁䅁允䅁䅁䅯睪䅉䅁杷允䅁䅁䅍䅁䑁䅁䅷䅁䙁䅁䅁䵁呁ㅷ䉂权佃杁䅁允䅁䅁䅅䅁䭁䱁䍙䅁䵁䅉䅅䅁䑁䅁䅁睁䵁䅁䅁兂䅁䅁䅄㡅兎兑䅯䅫䅉䅁䅅䅁䉁䅁䅁权ㅃ杁䅁䍄䉁䅁䅁睁䅁䅁䅍䅄䅁䅁䅕䅁䅁䡷慱䕕䭅䩁䍁䅁䉁䅁䅁允䅁䅁䅯公䅉䅁杷允䅁䅁䅍䅁䑁䅁䅷䅁䙁䅁䅁䵁䱄䙮䉂权元杁䅁允䅁䅁䅅䅁䭁䥁䌸䅁䵁䅉䅅䅁䑁䅁䅁睁䵁䅁䅁兂䅁䅁䅁㕎兤兑䅯杪䅉䅁䅅䅁䉁䅁䅁权偃杁䅁䍄䉁䅁䅁睁䅁䅁䅍䅄䅁䅁䅕䅁䅁䭁䘷䕕䭅䩁䍁䅁䉁䅁䅁允䅁䅁䅯睴䅉䅁杷允䅁䅁䅍䅁䑁䅁䅷䅁䙁䅁䅁䕁㑁汅䉂权元杁䅁允䅁䅁䅅䅁䭁䥁䌸䅁䵁䅉䅅䅁䑁䅁䅁睁䵁䅁䅁兂䅁䅁䅁䩔全兑䅯杪䅉䅁䅅䅁䉁䅁䅁权偃杁䅁䍄䉁䅁䅁睁䅁䅁䅍䅄䅁䅁䅕䅁䅁余奌䕚䭅䥁䌴䅁䉁䅁䅁允䅁䅁䅯睪䅉䅁杷允䅁䅁䅍䅁䑁䅁䅷䅁䙁䅁䅁䥁䭁噮䉂权䍄杁䅁允䅁䅁䅅䅁䭁佁䍅䅁䵁䅉䅅䅁䑁䅁䅁睁䵁䅁䅁兂䅁䅁杂瑨歬兑䅯杪䅉䅁䅅䅁䉁䅁䅁权偃杁䅁䍄䉁䅁䅁睁䅁䅁䅍䅄䅁䅁䅕䅁䅁䡷婲䕚䭅䥁䌴䅁䉁䅁䅁允䅁䅁䅯睪䅉䅁杷允䅁䅁䅍䅁䑁䅁䅷䅁䙁䅁䅁䥁乄䜲䉎权佃杁䅁允䅁䅁䅅䅁䭁䥁䌸䅁䵁䅉䅅䅁䑁䅁䅁睁䵁䅁䅁兂䅁䅁䅁杢告兑䅯杪䅉䅁䅅䅁䉁䅁䅁权㑃杁䅁䍄䉁䅁䅁睁䅁䅁䅍䅄䅁䅁䅕䅁䅁偧䉆啗䭅䵁䍕䅁䉁䅁䅁允䅁䅁䅯睁䅍䅁杷允䅁䅁䅍䅁䑁䅁䅷䅁䙁䅁䅁佁硄䜲䉒权䙄杁䅁允䅁䅁䅅䅁䭁䥁䌸䅁䵁䅉䅅䅁䑁䅁䅁睁䵁䅁䅁兂䅁䅁杂瑨歬兑䅯䅫䅉䅁䅅䅁䉁䅁䅁权偃杁䅁䍄䉁䅁䅁睁䅁䅁䅍䅄䅁䅁䅕䅁䅁䡷娯䕚䭅䥁䌴䅁䉁䅁䅁允䅁䅁䅯睪䅉䅁杷允䅁䅁䅍䅁䑁䅁䅷䅁䙁䅁䅁䕁䕁䘫䈹权佃杁䅁允䅁䅁䅅䅁䭁䱁䍫䅁䵁䅉䅅䅁䑁䅁䅁睁䵁䅁䅁兂䅁䅁䅄慏兎兑䅯䅫䅉䅁䅅䅁䉁䅁䅁权噃杁䅁䍄䉁䅁䅁睁䅁䅁䅍䅄䅁䅁䅕䅁䅁䅧塋䕕䭅䵁䍉䅁䉁䅁䅁允䅁䅁䅯睪䅉䅁杷允䅁䅁䅍䅁䑁䅁䅷䅁䙁䅁䅁䵁慄䙭䉂权佃杁䅁允䅁䅁䅅䅁䭁䥁䌸䅁䵁䅉䅅䅁䑁䅁䅁睁䵁䅁䅁兂䅁䅁㑁呧挲兑䅯䅫䅉䅁䅅䅁䉁䅁䅁权祃杁䅁䍄䉁䅁䅁睁䅁䅁䅍䅄䅁䅁䅕䅁䅁䥧摓䕕䭅䥁䌴䅁䉁䅁䅁允䅁䅁䅯睵䅉䅁杷允䅁䅁䅍䅁䑁䅁䅷䅁䙁䅁䅁䵁灂䙢䉆权䙄杁䅁允䅁䅁䅅䅁䭁䱁䌰䅁䵁䅉䅅䅁䑁䅁䅁睁䵁䅁䅁兂䅁䅁䅁灦剸兑䅯杪䅉䅁䅅䅁䉁䅁䅁权偃杁䅁䍄䉁䅁䅁睁䅁䅁䅍䅄䅁䅁䅕䅁䅁䝑塇䕕䭅䩁䍁䅁䉁䅁䅁允䅁䅁䅯睪䅉䅁杷允䅁䅁䅍䅁䑁䅁䅷䅁䙁䅁䅁䵁⽄汵䉤权元杁䅁允䅁䅁䅅䅁䭁䭁䌸䅁䵁䅉䅅䅁䑁䅁䅁睁䵁䅁䅁兂䅁䅁䅁㕈儱兑䅯䅫䅉䅁䅅䅁䉁䅁䅁权偃杁䅁䍄䉁䅁䅁睁䅁䅁䅍䅄䅁䅁䅕䅁䅁䕧扱䕕䭅䥁䌴䅁䉁䅁䅁允䅁䅁䅯睪䅉䅁杷允䅁䅁䅍䅁䑁䅁䅷䅁䙁䅁䅁䥁十䔹䈹权䍄杁䅁允䅁䅁䅅䅁䭁䥁䌸䅁䵁䅉䅅䅁䑁䅁䅁睁䵁䅁䅁兂䅁䅁䅃㡗典兑䅯典䅉䅁䅅䅁䉁䅁䅁权獃杁䅁䍄䉁䅁䅁睁䅁䅁䅍䅄䅁䅁䅕䅁䅁䝷獬啕䭅䥁䌴䅁䉁䅁䅁允䅁䅁䅯其䅉䅁杷允䅁䅁䅍䅁䑁䅁䅷䅁䙁䅁䅁䵁坃汯䉂权䍄杁䅁允䅁䅁䅅䅁䭁䥁䌸䅁䵁䅉䅅䅁䑁䅁䅁睁䵁䅁䅁兂䅁䅁䅃䭋晚兑䅯䅫䅉䅁䅅䅁䉁䅁䅁权偃杁䅁䍄䉁䅁䅁睁䅁䅁䅍䅄䅁䅁䅕䅁䅁䅧奏䕕䭅䥁䌴䅁䉁䅁䅁允䅁䅁䅯睪䅉䅁杷允䅁䅁䅍䅁䑁䅁䅷䅁䙁䅁䅁䵁穂噮䉂权佃杁䅁允䅁䅁䅅䅁䭁䥁䌸䅁䵁䅉䅅䅁䑁䅁䅁睁䵁䅁䅁兂䅁䅁䅃杺兒兑䅯䅫䅉䅁䅅䅁䉁䅁䅁权噃杁䅁䍄䉁䅁䅁睁䅁䅁䅍䅄䅁䅁䅕䅁䅁䙧捥䕕䭅䥁䌴䅁䉁䅁䅁允䅁䅁䅯睪䅉䅁杷允䅁䅁䅍䅁䑁䅁䅷䅁䙁䅁䅁䵁瑁ㅭ䉂权佃杁䅁允䅁䅁䅅䅁䭁䥁䌸䅁䵁䅉䅅䅁䑁䅁䅁睁䵁䅁䅁兂䅁䅁䅃癅偒兑䅯䅫䅉䅁䅅䅁䉁䅁䅁权偃杁䅁䍄䉁䅁䅁睁䅁䅁䅍䅄䅁䅁䅕䅁䅁余夳䕚䭅䵁䍕䅁䉁䅁䅁允䅁䅁䅯睪䅉䅁杷允䅁䅁䅍䅁䑁䅁䅷䅁䙁䅁䅁䥁婂ㅭ䉂权元杁䅁允䅁䅁䅅䅁䭁䥁䌸䅁䵁䅉䅅䅁䑁䅁䅁睁䵁䅁䅁兂䅁䅁䅄娯兤兑䅯杪䅉䅁䅅䅁䉁䅁䅁权偃杁䅁䍄䉁䅁䅁睁䅁䅁䅍䅄䅁䅁䅕䅁䅁䥕浹正䭅䥁䌴䅁䉁䅁䅁允䅁䅁䅯睪䅉䅁杷允䅁䅁䅍䅁䑁䅁䅷䅁䙁䅁䅁䵁硁䙪䉆权佃杁䅁允䅁䅁䅅䅁䭁䩁䍙䅁䵁䅉䅅䅁䑁䅁䅁睁䵁䅁䅁兂䅁䅁杄搸歨兑䅯杷䅉䅁䅅䅁䉁䅁䅁权偃杁䅁䍄䉁䅁䅁睁䅁䅁䅍䅄䅁䅁䅕䅁䅁䑷䵇啕䭅</t>
  </si>
  <si>
    <t>䩁䍁䅁䉁䅁䅁允䅁䅁䅯兯䅉䅁杷允䅁䅁䅍䅁䑁䅁䅷䅁䙁䅁䅁䕁䕁䘫䈹权䍄杁䅁允䅁䅁䅅䅁䭁䱁䍁䅁䵁䅉䅅䅁䑁䅁䅁睁䵁䅁䅁兂䅁䅁䅃噁剨兑䅯杪䅉䅁䅅䅁䉁䅁䅁权偃杁䅁䍄䉁䅁䅁睁䅁䅁䅍䅄䅁䅁䅕䅁䅁䭁愲䕕䭅䥁䌴䅁䉁䅁䅁允䅁䅁䅯睪䅉䅁杷允䅁䅁䅍䅁䑁䅁䅷䅁䙁䅁䅁䅁瑃汭䉂权元杁䅁允䅁䅁䅅䅁䭁䥁䌸䅁䵁䅉䅅䅁䑁䅁䅁睁䵁䅁䅁兂䅁䅁䅃灃儱兑䅯睷䅉䅁䅅䅁䉁䅁䅁权楄杁䅁䍄䉁䅁䅁睁䅁䅁䅍䅄䅁䅁䅕䅁䅁䱑欯䕕䭅䵁䍕䅁䉁䅁䅁允䅁䅁䅯兄䅍䅁杷允䅁䅁䅍䅁䑁䅁䅷䅁䙁䅁䅁䥁癃圴䉒权元杁䅁允䅁䅁䅅䅁䭁䥁䌸䅁䵁䅉䅅䅁䑁䅁䅁睁䵁䅁䅁兂䅁䅁䅃吲婚兑䅯杪䅉䅁䅅䅁䉁䅁䅁权偃杁䅁䍄䉁䅁䅁睁䅁䅁䅍䅄䅁䅁䅕䅁䅁余夳䕚䭅䵁䍍䅁䉁䅁䅁允䅁䅁䅯公䅉䅁杷允䅁䅁䅍䅁䑁䅁䅷䅁䙁䅁䅁䍁敂䝖䉚权元杁䅁允䅁䅁䅅䅁䭁䥁䌸䅁䵁䅉䅅䅁䑁䅁䅁睁䵁䅁䅁兂䅁䅁䅁灏兤兑䅯杷䅉䅁䅅䅁䉁䅁䅁权浄杁䅁䍄䉁䅁䅁睁䅁䅁䅍䅄䅁䅁䅕䅁䅁乑奏䕕䭅䥁䌴䅁䉁䅁䅁允䅁䅁䅯睪䅉䅁杷允䅁䅁䅍䅁䑁䅁䅷䅁䙁䅁䅁䕁呄䙭䉂权元杁䅁允䅁䅁䅅䅁䭁䥁䌸䅁䵁䅉䅅䅁䑁䅁䅁睁䵁䅁䅁兂䅁䅁䅁摐橤兑䅯杪䅉䅁䅅䅁䉁䅁䅁权偃杁䅁䍄䉁䅁䅁睁䅁䅁䅍䅄䅁䅁䅕䅁䅁䍑ㅓ䕕䭅䥁䌴䅁䉁䅁䅁允䅁䅁䅯睪䅉䅁杷允䅁䅁䅍䅁䑁䅁䅷䅁䙁䅁䅁䅁䝁䙏䉆权䑄杁䅁允䅁䅁䅅䅁䭁䩁䍕䅁䵁䅉䅅䅁䑁䅁䅁睁䵁䅁䅁兂䅁䅁䅂䱊兖兑䅯䅫䅉䅁䅅䅁䉁䅁䅁权偃杁䅁䍄䉁䅁䅁睁䅁䅁䅍䅄䅁䅁䅕䅁䅁偑奔䕚䭅䵁䍉䅁䉁䅁䅁允䅁䅁䅯睪䅉䅁杷允䅁䅁䅍䅁䑁䅁䅷䅁䙁䅁䅁䕁敄汯䉂权元杁䅁允䅁䅁䅅䅁䭁䥁䌸䅁䵁䅉䅅䅁䑁䅁䅁睁䵁䅁䅁兂䅁䅁䅄摗兴兑䅯䅫䅉䅁䅅䅁䉁䅁䅁权偃杁䅁䍄䉁䅁䅁睁䅁䅁䅍䅄䅁䅁䅕䅁䅁䅁㑙啕䭅䩁䍁䅁䉁䅁䅁允䅁䅁䅯公䅉䅁杷允䅁䅁䅍䅁䑁䅁䅷䅁䙁䅁䅁䕁呂汪䉆权佃杁䅁允䅁䅁䅅䅁䭁䥁䌸䅁䵁䅉䅅䅁䑁䅁䅁睁䵁䅁䅁兂䅁䅁䅃䉍偤兑䅯杷䅉䅁䅅䅁䉁䅁䅁权偃杁䅁䍄䉁䅁䅁睁䅁䅁䅍䅄䅁䅁䅕䅁䅁䡑婶䕚䭅䥁䌴䅁䉁䅁䅁允䅁䅁䅯睪䅉䅁杷允䅁䅁䅍䅁䑁䅁䅷䅁䙁䅁䅁䵁乄㄰䉆权䍄杁䅁允䅁䅁䅅䅁䭁䥁䌸䅁䵁䅉䅅䅁䑁䅁䅁睁䵁䅁䅁兂䅁䅁杄䭊栱兑䅯䅫䅉䅁䅅䅁䉁䅁䅁权偃杁䅁䍄䉁䅁䅁睁䅁䅁䅍䅄䅁䅁䅕䅁䅁䅑ㅕし䭅䩁䍁䅁䉁䅁䅁允䅁䅁䅯睪䅉䅁杷允䅁䅁䅍䅁䑁䅁䅷䅁䙁䅁䅁䕁奄圴䉒权佃杁䅁允䅁䅁䅅䅁䭁䥁䌸䅁䵁䅉䅅䅁䑁䅁䅁睁䵁䅁䅁兂䅁䅁䅂伲歆兑䅯䅫䅉䅁䅅䅁䉁䅁䅁权偃杁䅁䍄䉁䅁䅁睂䅁䅁杷允䅁䅁䅙䅁䭁䵁䍣䅁䭁䵁䍧䅁䭁䵁䍫䅁䭁䵁䍯䅁䭁䵁䍳䅁䭁䵁䍷䅁啁䭁䩨㙢奃桥瑕䅆塂甲䘱䰳䡪䈴䅑牍浚塰〹䑇啅佁吳嘸䥉癷䡧䅆㡃丹㉤硬卪硄䅑硚䴴㉦湢坙䉕䅁䅁允䅁䅁䅯兺䅉䅁杷允䅁䅁䅧䅁䵁䅉䅅䅁䡁䅁䅁权剄杁䅁权䥄杁䅁权卄杁䅁权䭄杁䅁权䱄杁䅁权䕁䅁䅋权呄杁䅁䅆潃坓末䡭噯剌䅑㥖瑲摒㑹⭸啁䱁千礰坫橱浵䅆瑄⼰卆䵃㑌硂䅑偶塔灤奣朰唸䥁䉐唯敒歅乌䅆呄灰偌䍧䡺杉䅅䅁䉁䅁䅁权啄杁䅁䍄䉁䅁䅁䅃䅁䅁杷允䅁䅁䅣䅁䭁乁䍕䅁䭁䵁䍧䅁䭁乁䍙䅁䭁䵁䍯䅁䭁䵁䍳䅁䭁䅁䅑潁䭁乁䍍䅁啁䭁䩨㙢奃桥瑕䅆塂甲䘱䰳䡪䈴䅑䙍汢火㝐椹唸佁吳嘸䥉癷䡧䅆㡃丹㉤硬卪硄䅑㡧㥈䙒匴獑唰乁浏獫䄫䵌楣允䅁䅁䅅䅁䭁乁䍣䅁䵁䅉䅅䅁䑁䅁䅁睁䵁䅁䅁兂䅁䅁䅃㕗党兑䅯睷䅉䅁䅅䅁䉁䅁䅁权奄杁䅁䍄䉁䅁䅁睁䅁䅁䅍䅄䅁䅁䅕䅁䅁䍷坹䕕䭅䵁䍉䅁䉁䅁䅁允䅁䅁䅯䅮䅉䅁杷允䅁䅁䅍䅁䑁䅁䅷䅁䙁䅁䅁䵁慁䙒䉂权䍄杁䅁允䅁䅁䅅䅁䭁䥁䌸䅁䵁䅉䅅䅁䑁䅁䅁睁䵁䅁䅁兂䅁䅁䅃桳桰兑䅯杷䅉䅁䅅䅁䉁䅁䅁权偃杁䅁䍄䉁䅁䅁睁䅁䅁䅍䅄䅁䅁䅕䅁䅁䝧摡䕕䭅䵁䍍䅁䉁䅁䅁允䅁䅁䅯公䅉䅁杷允䅁䅁䅍䅁䑁䅁䅷䅁䙁䅁䅁䥁ㅁ噭䉂权䑄杁䅁允䅁䅁䅅䅁䭁䭁䌰䅁䵁䅉䅅䅁䑁䅁䅁睁䵁䅁䅁兂䅁䅁䅁䩢兴兑䅯杷䅉䅁䅅䅁䉁䅁䅁权偃杁䅁䍄䉁䅁䅁睁䅁䅁䅍䅄䅁䅁䅕䅁䅁䭑捡䕕䭅䵁䍕䅁䉁䅁䅁允䅁䅁䅯睪䅉䅁杷允䅁䅁䅍䅁䑁䅁䅷䅁䙁䅁䅁䝁䝃圲䉒权䑄杁䅁允䅁䅁䅅䅁䭁䩁䍕䅁䵁䅉䅅䅁䑁䅁䅁睁䵁䅁䅁兂䅁䅁䅁婭公兑䅯杷䅉䅁䅅䅁䉁䅁䅁权⽃杁䅁䍄䉁䅁䅁睁䅁䅁䅍䅄䅁䅁䅕䅁䅁䙧療ご䭅䵁䍉䅁䉁䅁䅁允䅁䅁䅯睪䅉䅁杷允䅁䅁䅍䅁䑁䅁䅷䅁䙁䅁䅁䕁䙂ㅈ䉬权䙄杁䅁允䅁䅁䅅䅁䭁䉁䑣䅁䵁䅉䅅䅁䑁䅁䅁睁䵁䅁䅁兂䅁䅁䅄煬兊兑䅯睷䅉䅁䅅䅁䉁䅁䅁权慄杁䅁䍄䉁䅁䅁睁䅁䅁䅍䅄䅁䅁䅕䅁䅁䭁楊ご䭅䵁䍍䅁䉁䅁䅁允䅁䅁䅯兴䅉䅁杷允䅁䅁䅍䅁䑁䅁䅷䅁䙁䅁䅁䑁䉩婐䉸权䍄杁䅁允䅁䅁䅅䅁䭁䱁䍉䅁䵁䅉䅅䅁䑁䅁䅁睁䵁䅁䅁兂䅁䅁䅄娯兤兑䅯睷䅉䅁䅅䅁䉁䅁䅁权扄杁䅁䍄䉁䅁䅁睁䅁䅁䅍䅄䅁䅁䅕䅁䅁䑁婭䕕䭅䵁䍉䅁䉁䅁䅁允䅁䅁䅯睪䅉䅁杷允䅁䅁䅍䅁䑁䅁䅷䅁䙁䅁䅁䥁㡂圲䉒权䍄杁䅁允䅁䅁䅅䅁䭁䥁䌸䅁䵁䅉䅅䅁䑁䅁䅁睁䵁䅁䅁兂䅁䅁杁汘浒兑䅯睷䅉䅁䅅䅁䉁䅁䅁权摄杁䅁䍄䉁䅁䅁睁䅁䅁䅍䅄䅁䅁䅕䅁䅁䝅啺づ䭅䵁䍍䅁䉁䅁䅁允䅁䅁䅯朳䅉䅁杷允䅁䅁䅍䅁䑁䅁䅷䅁䙁䅁䅁䥁乄䜲䉎权䙄杁䅁允䅁䅁䅅䅁䭁䥁䌸䅁䵁䅉䅅䅁䑁䅁䅁睁䵁䅁䅁兂䅁䅁䅃婚兰兑䅯䅫䅉䅁䅅䅁䉁䅁䅁权汃杁䅁䍄䉁䅁䅁睁䅁䅁䅍䅄䅁䅁䅕䅁䅁佉奺䕚䭅䵁䍉䅁䉁䅁䅁允䅁䅁䅯睪䅉䅁杷允䅁䅁䅍䅁䑁䅁䅷䅁䙁䅁䅁䕁敃汙䉆权䍄杁䅁允䅁䅁䅅䅁䭁䱁䍍䅁䵁䅉䅅䅁䑁䅁䅁睁䵁䅁䅁兂䅁䅁䅂偂晨兑䅯睷䅉䅁䅅䅁䉁䅁䅁权啃杁䅁䍄䉁䅁䅁睁䅁䅁䅍䅄䅁䅁䅕䅁䅁伴夷䕚䭅䵁䍉䅁䉁䅁䅁允䅁䅁䅯睪䅉䅁杷允䅁䅁䅍䅁䑁䅁䅷䅁䙁䅁䅁䅁楃歙䈹权䍄杁䅁允䅁䅁䅅䅁䭁䥁䌸䅁䵁䅉䅅䅁䑁䅁䅁睁䵁䅁䅁兂䅁䅁䅃㔲全兑䅯睷䅉䅁䅅䅁䉁䅁䅁权呃杁䅁䍄䉁䅁䅁睁䅁䅁䅍䅄䅁䅁䅕䅁䅁䡁票ご䭅䵁䍉䅁䉁䅁䅁允䅁䅁䅯睪䅉䅁杷允䅁䅁䅍䅁䑁䅁䅷䅁䙁䅁䅁䅁佄䕱䈹权䙄杁䅁允䅁䅁䅅䅁䭁䥁䌸䅁䵁䅉䅅䅁䑁䅁䅁睁䵁䅁䅁兂䅁䅁䅃敪歆兑䅯睷䅉䅁䅅䅁䉁䅁䅁权噃杁䅁䍄䉁䅁䅁睁䅁䅁䅍䅄䅁䅁䅕䅁䅁偷扡䕕䭅䵁䍍䅁䉁䅁䅁允䅁䅁䅯朳䅉䅁杷允䅁䅁䅍䅁䑁䅁䅷䅁䙁䅁䅁䥁獁噮䉂权䑄杁䅁允䅁䅁䅅䅁䭁乁䌸䅁䵁䅉䅅䅁䑁䅁䅁睁䵁䅁䅁兂䅁䅁䅃䭋晚兑䅯睷䅉䅁䅅䅁䉁䅁䅁权噃杁䅁䍄䉁䅁䅁睁䅁䅁䅍䅄䅁䅁䅕䅁䅁佷捳䕕䭅䵁䍉䅁䉁䅁䅁允䅁䅁䅯睪䅉䅁杷允䅁䅁䅍䅁䑁䅁䅷䅁䙁䅁䅁䥁㡂圲䉒权䙄杁䅁允䅁䅁䅅䅁䭁䥁䌸䅁䵁䅉䅅䅁䑁䅁䅁睁䵁䅁䅁兂䅁䅁䅁婙党兑䅯睷䅉䅁䅅䅁䉁䅁䅁权煃杁䅁䍄䉁䅁䅁睁䅁䅁䅍䅄䅁䅁䅕䅁䅁䑧塁ご䭅䵁䍍䅁䉁䅁䅁允䅁䅁䅯東䅉䅁杷允䅁䅁䅍䅁䑁䅁䅷䅁䙁䅁䅁䥁佃噮䉂权䍄杁䅁允䅁䅁䅅䅁䭁䥁䌸䅁䵁䅉䅅䅁䑁䅁䅁睁䵁䅁䅁兂䅁䅁䅄灣党兑䅯睷䅉䅁䅅䅁䉁䅁䅁权捄杁䅁䍄䉁䅁䅁睁䅁䅁䅍䅄䅁䅁䅕䅁䅁䑁塥䕕䭅䵁䍉䅁䉁䅁䅁允䅁䅁䅯睪䅉䅁杷允䅁䅁䅍䅁䑁䅁䅷䅁䙁䅁䅁佁牄䜲䉒权䍄杁䅁允䅁䅁䅅䅁䭁䥁䌸䅁䵁䅉䅅䅁䑁䅁䅁睁䵁䅁䅁兂䅁䅁䅃䩒儱兑䅯睷䅉䅁䅅䅁䉁䅁䅁权噃杁䅁䍄䉁䅁䅁睁䅁䅁䅍䅄䅁䅁䅕䅁䅁䡷坋䕕䭅䵁䍉䅁䉁䅁䅁允䅁䅁䅯睪䅉䅁杷允䅁䅁䅍䅁䑁䅁䅷䅁䙁䅁䅁䵁祁ㅬ䉂权䍄杁䅁允䅁䅁䅅䅁䭁䩁䍕䅁䵁䅉䅅䅁䑁䅁䅁睁䵁䅁䅁兂䅁䅁䅂䩫儱兑䅯睷䅉䅁䅅䅁䉁䅁䅁权杄杁䅁䍄䉁䅁䅁睁䅁䅁䅍䅄䅁䅁䅕䅁䅁伴夷䕚䭅䵁䍍䅁䉁䅁䅁允䅁䅁䅯公䅉䅁杷允䅁䅁䅍䅁䑁䅁䅷䅁䙁䅁䅁䑁⭂䡚䉸权䑄杁䅁允䅁䅁䅅䅁䭁乁䌸䅁䵁䅉䅅䅁䑁䅁䅁睁䵁䅁䅁兂䅁䅁䅂瀶兖兑䅯杷䅉䅁䅅䅁䉁䅁䅁权偃杁䅁䍄䉁䅁䅁睁䅁䅁䅍䅄䅁䅁䅕䅁䅁䅧㝂じ䭅䵁䍉䅁䉁䅁䅁允䅁䅁䅯睪䅉䅁杷允䅁䅁䅍䅁䑁䅁䅷䅁䙁䅁䅁䅁㕃汉䉊权䍄杁䅁允䅁䅁䅅䅁䭁䥁䌸䅁䵁䅉䅅䅁䑁䅁䅁睁䵁䅁䅁兂䅁䅁䅃丹歨兑䅯睷䅉䅁䅅䅁䉁䅁䅁权噃杁䅁䍄䉁䅁䅁睁䅁䅁䅍䅄䅁䅁䅕䅁䅁䙧䵶䕕䭅䵁䍉䅁䉁䅁䅁允䅁䅁䅯公䅉䅁杷允䅁䅁䅍䅁䑁䅁䅷䅁䙁䅁䅁䕁䅃圲䉒权䑄杁䅁允䅁䅁䅅䅁䭁䩁䍕䅁䵁䅉䅅䅁䑁䅁䅁睁䵁䅁䅁兂䅁䅁䅂婄典兑䅯杷䅉䅁䅅䅁䉁䅁䅁权偃杁䅁䍄䉁䅁䅁睁䅁䅁䅍䅄䅁䅁䅕䅁䅁偧奔䕚䭅䵁䍉䅁䉁䅁䅁允䅁䅁䅯睪䅉䅁杷允䅁䅁䅍䅁䑁䅁䅷䅁䙁䅁䅁䵁慁䙒䉂权䑄杁䅁允䅁䅁䅅䅁䭁䭁䌰䅁䵁䅉䅅䅁䑁䅁䅁睁䵁䅁䅁兂䅁䅁䅁娸兖兑䅯杷䅉䅁䅅䅁䉁䅁䅁权偃杁䅁䍄䉁䅁䅁睁䅁䅁䅍䅄䅁䅁䅕䅁䅁䝷捡䕕䭅䵁䍍䅁䉁䅁䅁允䅁䅁䅯東䅉䅁杷允䅁䅁䅍䅁䑁䅁䅷䅁䙁䅁䅁䕁噄汭䉂权䑄杁䅁允䅁䅁䅅䅁䭁佁䍉䅁䵁䅉䅅䅁䑁䅁䅁睁䵁䅁䅁兂䅁䅁䅄奍剸兑䅯睷䅉䅁䅅䅁䉁䅁䅁权楄杁䅁䍄䉁䅁䅁睁䅁䅁䅍䅄䅁䅁䅕䅁䅁䅁㑙啕䭅䵁䍉䅁䉁䅁䅁允䅁䅁䅯公䅉䅁杷允䅁䅁䅍䅁䑁䅁䅷䅁䙁䅁䅁䕁癃圴䉒权䑄杁䅁允䅁䅁䅅䅁䭁䩁䍕䅁䵁䅉䅅䅁䑁䅁䅁睁䵁䅁䅁兂䅁䅁䅁杢告兑䅯睷䅉䅁䅅䅁䉁䅁䅁权噃杁䅁䍄䉁䅁䅁睁䅁䅁䅍䅄䅁䅁䅕䅁䅁䙧捩䕕䭅䵁䍉䅁䉁䅁䅁允䅁䅁䅯睪䅉䅁杷允䅁䅁䅍䅁䑁䅁䅷䅁䙁䅁䅁䵁奁ㅬ䉂权䑄杁䅁允䅁䅁䅅䅁䭁乁䍷䅁䵁䅉䅅䅁䑁䅁䅁睁䵁䅁䅁兂䅁䅁捄佈慵兑䅯睷䅉䅁䅅䅁䉁䅁䅁权灄杁䅁䍄䉁䅁䅁睁䅁䅁䅍䅄䅁䅁䅕䅁䅁䙧捩䕕䭅䵁䍍䅁䉁䅁䅁允䅁䅁䅯䄳䅉䅁杷允䅁䅁䅍䅁䑁䅁䅷䅁䙁䅁䅁䵁畄噭䉂权䍄杁䅁允䅁䅁䅅䅁䭁䥁䌸䅁䵁䅉䅅䅁䑁䅁䅁睁䵁䅁䅁兂䅁䅁䅄䩇兤兑䅯杷䅉䅁䅅䅁䉁䅁䅁权偃杁䅁䍄䉁䅁䅁睁䅁䅁䅍䅄䅁䅁䅕䅁䅁佧塃䕕䭅䵁䍉䅁䉁䅁䅁允䅁䅁䅯睪䅉䅁杷允䅁䅁䅍䅁䑁䅁䅷䅁䙁䅁䅁䵁祁ㅬ䉂权䑄杁䅁允䅁䅁䅅䅁䭁䭁䍅䅁䵁䅉䅅䅁䑁䅁䅁睁䵁䅁䅁兂䅁䅁䅂㔰全兑䅯杷䅉䅁䅅䅁䉁䅁䅁权偃杁䅁䍄䉁䅁䅁睁䅁䅁䅍䅄䅁䅁䅕䅁䅁䉷䑐䕕䭅䵁䍍䅁䉁䅁䅁允䅁䅁䅯䅬䅉䅁杷允䅁䅁䅍䅁䑁䅁䅷䅁䙁䅁䅁䥁⭁噭䉂权䑄杁䅁允䅁䅁䅅䅁䭁䭁䍕䅁䵁䅉䅅䅁䑁䅁䅁睁䵁䅁䅁兂䅁䅁䅂婭公兑䅯杷䅉䅁䅅䅁䉁䅁䅁权偃杁䅁䍄䉁䅁䅁睁䅁䅁䅍䅄䅁䅁䅕䅁䅁乧匷䕕䭅䵁䍕䅁䉁䅁䅁允䅁䅁䅯睪䅉䅁杷允䅁䅁䅍䅁䑁䅁䅷䅁䙁䅁䅁䵁䉂䙭䉂权䑄杁䅁允䅁䅁䅅䅁䭁乁䍷䅁䵁䅉䅅䅁䑁䅁䅁睁䵁䅁䅁兂䅁䅁䅁塘偂兑䅯睷䅉䅁䅅䅁䉁䅁䅁权煃杁䅁䍄䉁䅁䅁睁䅁䅁䅍䅄䅁䅁䅕䅁䅁乧匷䕕䭅䵁䍉䅁䉁䅁䅁允䅁䅁䅯睪䅉䅁杷允䅁䅁䅍䅁䑁䅁䅷䅁䙁䅁䅁䅁剁の䈹权䍄杁䅁允䅁䅁䅅䅁䭁䥁䌸䅁䵁䅉䅅䅁䑁䅁䅁睁䵁䅁䅁兂䅁䅁䅂㕣公兑䅯杷䅉䅁䅅䅁䉁䅁䅁权噃杁䅁䍄䉁䅁䅁睁䅁䅁䅍䅄䅁䅁䅕䅁䅁䡷婲䕚䭅䵁䍍䅁䉁䅁䅁允䅁䅁䅯公䅉䅁杷允䅁䅁䅍䅁䑁䅁䅷䅁䙁䅁䅁䅁剁の䈹权䑄杁䅁允䅁䅁䅅䅁䭁䭁䌰䅁䵁䅉䅅䅁䑁䅁䅁睁䵁䅁䅁兂䅁䅁䅂䩪儱兑䅯杷䅉䅁䅅䅁䉁䅁䅁权偃杁䅁䍄䉁䅁䅁睁䅁䅁䅍䅄䅁䅁䅕䅁䅁䕷塱䕕䭅䵁䍉䅁䉁䅁䅁允䅁䅁䅯眳䅉䅁杷允䅁䅁䅍䅁䑁䅁䅷䅁䙁䅁䅁䅁㙁ㅬ䉂权䑄杁䅁允䅁䅁䅅䅁䭁䩁䍕䅁䵁䅉䅅䅁䑁䅁䅁睁䵁䅁䅁兂䅁䅁杁㥚歬兑䅯典䅉䅁䅅䅁䉁䅁䅁权偃杁䅁䍄䉁䅁䅁睁䅁䅁䅍䅄䅁䅁䅕䅁䅁䝷娫䕕䭅䵁䍉䅁䉁䅁䅁允䅁䅁䅯公䅉䅁杷允䅁䅁䅍䅁䑁䅁䅷䅁䙁䅁䅁䥁佄び䈹权䍄杁䅁允䅁䅁䅅䅁䭁䥁䌸䅁䵁䅉䅅䅁䑁䅁䅁睁䵁䅁䅁兂䅁䅁䅄㕹典兑䅯杷䅉䅁䅅䅁䉁䅁䅁权偃杁䅁䍄䉁䅁䅁睁䅁䅁䅍䅄䅁䅁䅕䅁䅁䉑塱䕕䭅䵁䍉䅁䉁䅁䅁允䅁䅁䅯睪䅉䅁杷允䅁䅁䅍䅁䑁䅁䅷䅁䙁䅁䅁䅁䙂ㅬ䉂权䑄杁䅁允䅁䅁䅅䅁䭁乁䌸䅁䵁䅉䅅䅁䑁䅁䅁睁䵁䅁䅁兂䅁䅁䅂㕣公兑䅯睷䅉䅁䅅䅁䉁䅁䅁权噃杁䅁䍄䉁䅁䅁睁䅁䅁䅍䅄䅁䅁䅕䅁䅁䡁挶啕䭅䵁䍉䅁䉁䅁䅁允䅁䅁䅯睪䅉䅁杷允䅁䅁䅍䅁䑁䅁䅷䅁䙁䅁䅁䍁䑄圴䉒权䍄杁䅁允䅁䅁䅅䅁䭁䥁䌸䅁䵁䅉䅅䅁䑁䅁䅁睁䵁䅁䅁兂䅁䅁䅄㕤儱兑䅯杷䅉䅁䅅䅁䉁䅁䅁权噃杁䅁䍄䉁䅁䅁睁䅁䅁䅍䅄䅁䅁䅕䅁䅁䉑䥌䕗䭅䵁䍉䅁䉁䅁䅁允䅁䅁䅯公䅉䅁杷允䅁䅁䅍䅁䑁䅁䅷䅁䙁䅁䅁䕁十䙹䉨权䑄杁䅁允䅁䅁䅅䅁䭁䩁䍕䅁䵁䅉䅅䅁䑁䅁䅁睁䵁䅁䅁兂䅁䅁䅄㥹橊兑䅯睷䅉䅁䅅䅁䉁䅁䅁权噃杁䅁䍄䉁䅁䅁睁䅁䅁䅍䅄䅁䅁䅕䅁䅁䭑手䕕䭅䵁䍉䅁䉁䅁䅁允䅁䅁䅯睪䅉䅁杷允䅁䅁䅍䅁䑁䅁䅷䅁䙁䅁䅁䕁㕄汭䉂权䑄杁䅁允䅁䅁䅅䅁䭁乁䍷䅁䵁䅉䅅䅁䑁䅁䅁睁䵁䅁䅁兂䅁䅁䅄㑍塨兑䅯䅫䅉䅁䅅䅁䉁䅁䅁权偃杁䅁䍄䉁䅁䅁睁䅁䅁䅍䅄䅁䅁䅕䅁䅁䩷ㅬ䕕䭅䵁䍉䅁䉁䅁䅁允䅁䅁䅯睪䅉䅁杷允䅁䅁䅍䅁䑁䅁䅷䅁䙁䅁䅁䵁穂噮䉂权䑄杁䅁允䅁䅁䅅䅁䭁乁䌴䅁䵁䅉䅅䅁䑁䅁䅁睁䵁䅁䅁兂䅁䅁䅁灚全兑䅯睷䅉䅁䅅䅁䉁䅁䅁权呁睁䅁䍄䉁䅁䅁睁䅁䅁䅍䅄䅁䅁䅕䅁䅁䑷䵇啕䭅䵁䍉䅁䉁䅁䅁允䅁䅁䅯朴䅉䅁杷允䅁䅁䅍䅁䑁䅁䅷䅁䙁䅁䅁䥁婄汎䉬权䑄杁䅁允䅁䅁䅅䅁䭁䩁䍕䅁䵁䅉䅅䅁䑁䅁䅁睁䵁䅁䅁兂䅁䅁杂佮歆兑䅯睷䅉䅁䅅䅁䉁䅁䅁权噃杁䅁䍄䉁䅁䅁睁䅁䅁䅍䅄䅁䅁䅕䅁䅁䭑捡䕕䭅䵁䍍䅁䉁䅁䅁允䅁䅁䅯朵䅉䅁杷允䅁䅁䅍䅁䑁䅁䅷䅁䙁䅁䅁䕁婁ㅭ䉂权䍄杁䅁允䅁䅁䅅䅁䭁佁䍅䅁䵁䅉䅅䅁䑁䅁䅁睁䵁䅁䅁兂䅁䅁㑁呧挲兑䅯睷䅉䅁䅅䅁䉁䅁䅁权祃杁䅁䍄䉁䅁䅁睁䅁䅁䅍䅄䅁䅁䅕䅁䅁䵁獕啕䭅䵁䍍䅁䉁䅁䅁允䅁䅁䅯眵䅉䅁杷允䅁䅁䅍䅁䑁䅁䅷䅁䙁䅁䅁䵁瑁ㅭ䉂权䍄杁䅁允䅁䅁䅅䅁䭁䥁䌸䅁䵁䅉䅅䅁䑁䅁䅁睁䵁䅁䅁兂䅁䅁䅁婶全兑䅯杷䅉䅁䅅䅁䉁䅁䅁权偃杁䅁䍄䉁䅁䅁睁䅁䅁䅍䅄䅁䅁䅕䅁䅁䱁夲䕕䭅䵁䍍䅁䉁䅁䅁允䅁䅁䅯䄶䅉䅁杷允䅁䅁䅍䅁䑁䅁䅷䅁䙁䅁䅁䍁癄䜲䉒权䍄杁䅁允䅁䅁䅅䅁䭁䥁䌸䅁䵁䅉䅅䅁䑁䅁䅁睁䵁䅁䅁兂䅁䅁䅄煤兤兑䅯杷䅉䅁䅅䅁䉁䅁䅁权祃杁䅁䍄䉁䅁䅁睁䅁䅁䅍䅄䅁䅁䅕䅁䅁䭁㕨啕䭅䵁䍉䅁䉁䅁䅁允䅁䅁䅯睪䅉䅁杷允䅁䅁䅍䅁䑁䅁䅷䅁䙁䅁䅁䥁祃嘷䉂权䑄杁䅁允䅁䅁䅅䅁䭁䭁䍕䅁䵁䅉䅅䅁䑁䅁䅁睁䵁䅁䅁兂䅁䅁䅃摺橨兑䅯睷䅉䅁䅅䅁䉁䅁䅁权噃杁䅁䍄䉁䅁䅁睁䅁䅁䅍䅄䅁䅁䅕䅁䅁佉夷䕚䭅䵁䍉䅁䉁䅁䅁允䅁䅁䅯睪䅉䅁杷允䅁䅁䅍䅁䑁䅁䅷䅁䙁䅁䅁䥁婂ㅭ䉂权䑄杁䅁允䅁䅁䅅䅁䭁佁䍁䅁䵁䅉䅅䅁䑁䅁䅁睁䵁䅁䅁兂䅁䅁䅄灲典兑䅯杷䅉䅁䅅䅁䉁䅁䅁权偃杁䅁䍄䉁䅁䅁睁䅁䅁䅍䅄䅁䅁䅕䅁䅁䭷挶䕕䭅䵁䍍䅁䉁䅁䅁允䅁䅁䅯䄳䅉䅁杷允䅁䅁䅍䅁䑁䅁䅷䅁䙁䅁䅁䥁浂噮䉂权䙄杁䅁允䅁䅁䅅䅁䭁䩁䍉䅁䵁䅉䅅䅁䑁䅁䅁睁䵁䅁䅁兂䅁䅁杄䭊栱兑䅯睷䅉䅁䅅䅁䉁䅁䅁权噃杁䅁䍄䉁䅁䅁睁䅁䅁䅍䅄䅁䅁䅕䅁䅁乑奶䕚䭅䵁䍉䅁䉁䅁䅁允䅁䅁䅯睪䅉䅁杷允䅁䅁䅍䅁䑁䅁䅷䅁䙁䅁䅁䉁獂䠱䉴权䍄杁䅁允䅁䅁䅅䅁䭁䥁䌸䅁䵁䅉䅅䅁䑁䅁䅁睁䵁䅁䅁兂䅁䅁权整歆兑䅯睷䅉䅁䅅䅁䉁䅁䅁权噃杁䅁䍄䉁䅁䅁睁䅁䅁䅍䅄䅁䅁䅕䅁䅁䍷批䕕䭅䵁䍍䅁䉁䅁䅁允䅁䅁䅯䄳䅉䅁杷允䅁䅁䅍䅁䑁䅁䅷䅁䙁䅁䅁䥁䕂噮䉂权䍄杁䅁允䅁䅁䅅䅁䭁䩁䍕䅁䵁䅉䅅䅁䑁䅁䅁睁䵁䅁䅁兂䅁䅁䅄摉歨兑䅯睷䅉䅁䅅䅁䉁䅁䅁权噃杁䅁䍄䉁䅁䅁睁䅁䅁䅍䅄䅁䅁䅕䅁䅁䑷塓䕕䭅䵁䍉䅁䉁䅁䅁允䅁䅁䅯兯䅉䅁杷允䅁䅁䅍䅁䑁䅁䅷䅁䙁䅁䅁䥁佄䙂䉂权䍄杁䅁允䅁䅁䅅䅁䭁䩁䍕䅁䵁䅉䅅䅁䑁䅁䅁睁䵁䅁䅁兂䅁䅁䅁䩪儱兑䅯睷䅉䅁䅅䅁䉁䅁䅁权噃杁䅁䍄䉁䅁䅁睁䅁䅁䅍䅄䅁䅁䅕䅁䅁䝉婦䕚䭅䵁䍉䅁䉁䅁䅁允䅁䅁䅯睪䅉䅁杷允䅁䅁䅍䅁䑁䅁䅷䅁䙁䅁䅁䥁杄䜲䉒权䍄杁䅁允䅁䅁䅅䅁䭁䥁䌸䅁䵁䅉䅅䅁䑁䅁䅁睁䵁䅁䅁兂䅁䅁䅂灇兤兑䅯睷䅉䅁䅅䅁䉁䅁䅁权䝄杁䅁䍄䉁䅁䅁睁䅁䅁䅍䅄䅁䅁䅕䅁䅁乑慗䕕䭅䵁䍕䅁䉁䅁䅁允䅁䅁䅯睪䅉䅁杷允䅁䅁䅍䅁䑁䅁䅷䅁䙁䅁䅁䥁㡂圲䉒权䑄杁䅁允䅁䅁䅅䅁䭁䩁䍕䅁䵁䅉䅅䅁䑁䅁䅁睁䵁䅁䅁兂䅁䅁䅁䱹剸兑䅯杷䅉䅁䅅䅁䉁䅁䅁权偃杁䅁䍄䉁䅁䅁睁䅁䅁䅍䅄䅁䅁䅕䅁䅁䝁婋䕕䭅䵁䍉䅁䉁䅁䅁允䅁䅁䅯睪䅉䅁杷允䅁䅁䅍䅁䑁䅁䅷䅁䙁䅁䅁䅁楂噭䉂权䑄杁䅁允䅁䅁䅅䅁䭁乁䍷䅁䵁䅉䅅䅁䑁䅁䅁睁䵁䅁䅁兂䅁䅁杄䭊栱兑䅯杷䅉䅁䅅䅁䉁䅁䅁权偃杁䅁䍄䉁䅁䅁睁䅁䅁䅍䅄䅁䅁䅕䅁䅁䡷慱䕕䭅䵁䍍䅁䉁䅁䅁允䅁䅁䅯朳䅉䅁杷允䅁䅁䅍䅁䑁䅁䅷䅁䙁䅁䅁䅁畃噸䉂权䍄杁䅁允䅁䅁䅅䅁䭁䱁䍣䅁䵁䅉䅅䅁䑁䅁䅁睁䵁䅁䅁兂䅁䅁䅂㝉兖兑䅯杷䅉䅁䅅䅁䉁䅁䅁权偃杁䅁䍄䉁䅁䅁睁䅁䅁䅍䅄䅁䅁䅕䅁䅁䍑ㅓ䕕䭅䵁䍉䅁䉁䅁䅁允䅁䅁䅯睪䅉䅁杷允䅁䅁䅍䅁䑁䅁䅷䅁䙁䅁䅁䕁扄䜲䉒权䑄杁䅁允䅁䅁䅅䅁䭁䩁䍕䅁䵁䅉䅅䅁䑁䅁䅁睁䵁䅁䅁兂䅁䅁杄搸歨兑䅯睷䅉䅁䅅䅁䉁䅁䅁权噃杁䅁䍄䉁䅁䅁睁䅁䅁䅍䅄䅁䅁䅕䅁䅁䕁她䕕䭅䵁䍍䅁䉁䅁䅁允䅁䅁䅯䄳䅉䅁杷允䅁䅁䅍䅁䑁䅁䅷䅁䙁䅁䅁䝁癃圴䉒权䍄杁䅁允䅁䅁䅅䅁䭁䥁䌸䅁䵁䅉䅅䅁䑁䅁䅁睁䵁䅁䅁兂䅁䅁䅄㥦歬兑䅯杷䅉䅁䅅䅁䉁䅁䅁权偃杁䅁䍄䉁䅁䅁睁䅁䅁䅍䅄䅁䅁䅕䅁䅁䵑㥣啕䭅䵁䍍䅁䉁䅁䅁允䅁䅁䅯眲䅉䅁杷允䅁䅁䅍䅁䑁䅁䅷䅁䙁䅁䅁䕁呂汪䉆权䍄杁䅁允䅁䅁䅅䅁䭁䥁䌸䅁䵁䅉䅅䅁䑁䅁䅁睁䵁䅁䅁兂䅁䅁权整歆兑䅯杷䅉䅁䅅䅁䉁䅁䅁权偃杁䅁䍄䉁䅁䅁睁䅁䅁䅍䅄䅁䅁䅕䅁䅁偷扡䕕䭅䵁䍉䅁䉁䅁䅁允䅁䅁䅯睪䅉䅁杷允䅁䅁䅍䅁䑁䅁䅷䅁䙁䅁䅁䕁敄汯䉂权䑄杁䅁允䅁䅁䅅䅁䭁䩁䍕䅁䵁䅉䅅䅁䑁䅁䅁睁䵁䅁䅁兂䅁䅁䅄慏兎兑䅯杷䅉䅁䅅䅁䉁䅁䅁权浄杁䅁䍄䉁䅁䅁睁䅁䅁䅍䅄䅁䅁䅕䅁䅁䥧摓䕕䭅䵁䍉䅁䉁䅁䅁允䅁䅁䅯睬䅉䅁杷允䅁䅁䅍䅁䑁䅁䅷䅁䙁䅁䅁䵁⽄汵䉤权䍄杁䅁允䅁䅁䅅䅁䭁佁䍯䅁䵁䅉䅅䅁䑁䅁䅁睁䵁䅁䅁兂䅁䅁䅄㜯塰兑䅯睷䅉䅁䅅䅁䉁䅁䅁权煄杁䅁䍄䉁䅁䅁睁䅁䅁䅍䅄䅁䅁䅕䅁䅁䝑塇䕕䭅䵁䍉䅁䉁䅁䅁允䅁䅁䅯睪䅉䅁杷允䅁䅁䅍䅁䑁䅁䅷䅁䙁䅁䅁䵁䅁ㅭ䉂权䍄杁䅁允䅁䅁䅅䅁䭁䭁䍍䅁䵁䅉䅅䅁䑁䅁䅁睁䵁䅁䅁兂䅁䅁䅄䩁兴兑䅯睷䅉䅁䅅䅁䉁䅁䅁权橃杁䅁䍄䉁䅁䅁睁䅁䅁䅍䅄䅁䅁䅕䅁䅁偧䉆啗䭅䵁䍉䅁䉁䅁䅁允䅁䅁䅯眶䅉䅁杷允䅁䅁䅍䅁䑁䅁䅷䅁䙁䅁䅁䵁穂噮䉂权䍄杁䅁允䅁䅁䅅䅁䭁䥁䌸䅁䵁䅉䅅䅁䑁䅁䅁睁䵁䅁䅁兂䅁䅁兂䭪祚兑䅯杷䅉䅁䅅䅁䉁䅁䅁权偃杁䅁䍄䉁䅁䅁睁䅁䅁䅍䅄䅁䅁䅕䅁䅁䥕浹正䭅䵁䍍䅁䉁䅁䅁允䅁䅁䅯䄳䅉䅁杷允䅁䅁䅍䅁䑁䅁䅷䅁䙁䅁䅁䥁十䔹䈹权䑄杁䅁允䅁䅁䅅䅁䭁䭁䌰䅁䵁䅉䅅䅁䑁䅁䅁睁䵁䅁䅁兂䅁䅁䅃㕫典兑䅯杪䅉䅁䅅䅁䉁䅁䅁权偃杁䅁䍄䉁䅁䅁睁䅁䅁䅍䅄䅁䅁䅕䅁䅁䕁她䕕䭅䵁䍕䅁䉁䅁䅁允䅁䅁䅯睪䅉䅁杷允䅁䅁䅍䅁䑁䅁䅷䅁䙁䅁䅁䕁い䜲䉒权䑄杁䅁允䅁䅁䅅䅁䭁䩁䍕䅁䵁䅉䅅䅁䑁䅁䅁睁䵁䅁䅁兂䅁䅁䅁婲兰兑䅯睷䅉䅁䅅䅁䉁䅁䅁权獄杁䅁䍄䉁䅁䅁睁䅁䅁䅍䅄䅁䅁䅕䅁䅁䩁婭䕕䭅䵁䍍䅁䉁䅁䅁允䅁䅁䅯䄳䅉䅁杷允䅁䅁䅍䅁䑁䅁䅷䅁䙁䅁䅁䕁呄䙭䉂权䑄杁䅁允䅁䅁䅅䅁䭁乁䌴䅁䵁䅉䅅䅁䑁䅁䅁睁䵁䅁䅁兂䅁䅁䅄㥹橊兑䅯典䅉䅁䅅䅁䉁䅁䅁权偃杁䅁䍄䉁䅁䅁睁䅁䅁䅍䅄䅁䅁䅕䅁䅁䑁堳す䭅䵁䍍䅁䉁䅁䅁允䅁䅁䅯公䅉䅁杷允䅁䅁䅍䅁䑁䅁䅷䅁䙁䅁䅁䥁癃圴䉒权䑄杁䅁允䅁䅁䅅䅁䭁䩁䍕䅁䵁䅉䅅䅁䑁䅁䅁睁䵁䅁䅁兂䅁䅁䅁歁儹兑䅯杷䅉䅁䅅䅁䉁䅁䅁权偃杁䅁䍄䉁䅁䅁睁䅁䅁䅍䅄䅁䅁䅕䅁䅁䅁偊䕕䭅䵁䍍䅁䉁䅁䅁允䅁䅁䅯朳䅉䅁杷允䅁䅁䅍䅁䑁䅁䅷䅁䙁䅁䅁䅁晁噮䉂权䑄杁䅁允䅁䅁䅅䅁䭁乁䌴䅁䵁䅉䅅䅁䑁䅁䅁睁䵁䅁䅁兂䅁䅁杂琴歨兑䅯杷䅉䅁䅅䅁䉁䅁䅁权偃杁䅁䍄䉁䅁䅁睁䅁䅁䅍䅄䅁䅁䅕䅁䅁余奌䕚䭅䵁䍍䅁䉁䅁䅁允䅁䅁䅯公䅉䅁杷允䅁䅁䅍䅁䑁䅁䅷䅁䙁䅁䅁䥁十䙮䉂权䍄杁䅁允䅁䅁䅅䅁䭁䩁䍕䅁䵁䅉䅅䅁䑁䅁䅁睁䵁䅁䅁权䕁䅁䅁权䙄杁䅁允䅁䅁䅅䅁䭁佁䌰䅁䵁䅉䅅䅁䑁䅁䅁睁䵁䅁䅁兂䅁䅁䅃睹兒兑䅯典䅉䅁䅅䅁䉁䅁䅁权畄杁䅁䍄䉁䅁䅁睁䅁䅁䅍䅄䅁䅁䅕䅁䅁伴奶䕚䭅䵁䍕䅁䉁䅁䅁允䅁䅁䅯睪䅉䅁杷允䅁䅁䅍䅁䑁䅁䅷䅁䙁䅁䅁䵁獁ㅭ䉂权䙄杁䅁允䅁䅁䅅䅁䭁䥁䌸䅁䵁䅉䅅䅁䑁䅁䅁睁䵁䅁䅁兂䅁䅁䅄呔卖兑䅯典䅉䅁䅅䅁䉁䅁䅁权偃杁䅁䍄䉁䅁䅁睁䅁䅁䅍䅄䅁䅁䅕䅁䅁伴夷䕚䭅䵁䍕䅁䉁䅁䅁允䅁䅁䅯睪䅉䅁杷允䅁䅁䅍䅁䑁䅁䅷䅁䙁䅁䅁䥁䑃圲䉒权䙄杁䅁允䅁䅁䅅䅁䭁䥁䌸䅁䵁䅉䅅䅁䑁䅁䅁睁䵁䅁䅁兂䅁䅁䅄煬兊兑䅯典䅉䅁䅅䅁䉁䅁䅁权偃杁䅁䍄䉁䅁䅁睁䅁䅁䅍䅄䅁䅁䅕䅁䅁䝧塃䕕䭅䵁䍕䅁䉁䅁䅁允䅁䅁䅯睫䅉䅁杷允䅁䅁䅍䅁䑁䅁䅷䅁䙁䅁䅁䥁䕁汧䉆权䍄杁䅁允䅁䅁䅅䅁䭁䩁䍕䅁䵁䅉䅅䅁䑁䅁䅁睁䵁䅁䅁兂䅁䅁䅃慕兎兑䅯典䅉䅁䅅䅁䉁䅁䅁权偃杁䅁䍄䉁䅁䅁睁䅁䅁䅍䅄䅁䅁䅕䅁䅁乧㉫啗䭅䵁䍕䅁䉁䅁䅁允䅁䅁䅯睪䅉䅁杷允䅁䅁䅍䅁䑁䅁䅷䅁䙁䅁䅁䅁䥄䙶䉆权䙄杁䅁允䅁䅁䅅䅁䭁䥁䌸䅁䵁䅉䅅䅁䑁䅁䅁睁䵁䅁䅁兂䅁䅁䅂瑧歬兑䅯典䅉䅁䅅䅁䉁䅁䅁权偃杁䅁䍄䉁䅁䅁睁䅁䅁䅍䅄䅁䅁䅕䅁䅁䍷婏䕕䭅䵁䍕䅁䉁䅁䅁允䅁䅁䅯睪䅉䅁杷允䅁䅁䅍䅁䑁䅁䅷䅁䙁䅁䅁䅁㑂正䈹权䙄杁䅁允䅁䅁䅅䅁䭁䥁䌸䅁䵁䅉䅅䅁䑁䅁䅁睁䵁䅁䅁兂䅁䅁䅂灇兤兑䅯典䅉䅁䅅䅁䉁䅁䅁权偃杁䅁䍄䉁䅁䅁睁䅁䅁䅍䅄䅁䅁䅕䅁䅁䍷坹䕕䭅䵁䍕䅁䉁䅁䅁允䅁䅁䅯䄸䅉䅁杷允䅁䅁䅍䅁䑁䅁䅷䅁䙁䅁䅁䥁扂汬䉂权䙄杁䅁允䅁䅁䅅䅁䭁䥁䌸䅁䵁䅉䅅䅁䑁䅁䅁睁䵁䅁䅁兂䅁䅁䅂丹歨兑䅯典䅉䅁䅅䅁䉁䅁䅁权偃杁䅁䍄䉁䅁䅁睁䅁䅁䅍䅄䅁䅁䅕䅁䅁䥧搶䕕䭅䵁䍕䅁䉁䅁䅁允䅁䅁䅯睪䅉䅁杷允䅁䅁䅍䅁䑁䅁䅷䅁䙁䅁䅁䵁祂汬䉂权䙄杁䅁允䅁䅁䅅䅁䭁䥁䌸䅁䵁䅉䅅䅁䑁䅁䅁睁䵁䅁䅁兂䅁䅁䅃奨佸兑䅯典䅉䅁䅅䅁䉁䅁䅁权偃杁䅁䍄䉁䅁䅁睁䅁䅁䅍䅄䅁䅁䅕䅁䅁䩷ㅬ䕕䭅䵁䍕䅁䉁䅁䅁允䅁䅁䅯睪䅉䅁杷允䅁䅁䅍䅁䑁䅁䅷䅁䙁䅁䅁䥁杄䜲䉒权䙄杁䅁允䅁䅁䅅䅁䭁䥁䌸䅁䵁䅉䅅䅁䑁䅁䅁睁䵁䅁䅁兂䅁䅁睁浦㡒兑䅯典䅉䅁䅅䅁䉁䅁䅁权偃杁䅁䍄䉁䅁䅁睁䅁䅁䅍䅄䅁䅁䅕䅁䅁䕷塱䕕䭅䵁䍕䅁䉁䅁䅁允䅁䅁䅯䄹䅉䅁杷允䅁䅁䅍䅁䑁䅁䅷䅁䙁䅁䅁䥁兂ぢ䈹权䙄杁䅁允䅁䅁䅅䅁䭁䥁䌸䅁䵁䅉䅅䅁䑁䅁䅁睁䵁䅁䅁兂䅁䅁㡃歩婃兑䅯典䅉䅁䅅䅁䉁䅁䅁权偃杁䅁䍄䉁䅁䅁睁䅁䅁䅍䅄䅁䅁䅕䅁䅁偑慭䕕䭅䵁䍕䅁䉁䅁䅁允䅁䅁䅯睪䅉䅁杷允䅁䅁䅍䅁䑁䅁䅷䅁䙁䅁䅁䥁䅁ㅥ䈹权䙄杁䅁允䅁䅁䅅䅁䭁䥁䌸䅁䵁䅉䅅䅁䑁䅁䅁睁䵁䅁䅁兂䅁䅁䅄婑全兑䅯典䅉䅁䅅䅁䉁䅁䅁权偃杁䅁䍄䉁䅁䅁睁䅁䅁䅍䅄䅁䅁䅕䅁䅁䩁浫啕䭅䵁䍕䅁䉁䅁䅁允䅁䅁䅯䄫䅉䅁杷允䅁䅁䅍䅁䑁䅁䅷䅁䙁䅁䅁䵁㍂噮䉂权䙄杁䅁允䅁䅁䅅䅁䭁偁䍫䅁䵁䅉䅅䅁䑁䅁䅁睁䵁䅁䅁兂䅁䅁䅁卸剸兑䅯典䅉䅁䅅䅁䉁䅁䅁权偃杁䅁䍄䉁䅁䅁睁䅁䅁䅍䅄䅁䅁䅕䅁䅁䱁夲䕕䭅䵁䍕䅁䉁䅁䅁允䅁䅁䅯睪䅉䅁杷允䅁䅁䅍䅁䑁䅁䅷䅁䙁䅁䅁䝁婁䜲䉒权䙄杁䅁允䅁䅁䅅䅁䭁䥁䌸䅁䵁䅉䅅䅁䑁䅁䅁睁䵁䅁䅁兂䅁䅁䅃丹歨兑䅯典䅉䅁䅅䅁䉁䅁䅁权偃杁䅁䍄䉁䅁䅁睁䅁䅁䅍䅄䅁䅁䅕䅁䅁佉奺䕚䭅䵁䍕䅁䉁䅁䅁允䅁䅁䅯睪䅉䅁杷允䅁䅁䅍䅁䑁䅁䅷䅁䙁䅁䅁䵁祁ㅬ䉂权䙄杁䅁允䅁䅁䅅䅁䭁偁䍳䅁䵁䅉䅅䅁䑁䅁䅁睁䵁䅁䅁兂䅁䅁杁琷歨兑䅯典䅉䅁䅅䅁䉁䅁䅁权偃杁䅁䍄䉁䅁䅁睁䅁䅁䅍䅄䅁䅁䅕䅁䅁䭷挶䕕䭅䵁䍕䅁䉁䅁䅁允䅁䅁䅯睪䅉䅁杷允䅁䅁䅍䅁䑁䅁䅷䅁䙁䅁䅁䥁ㅁ噭䉂权䙄杁䅁允䅁䅁䅅䅁䭁䥁䌸䅁䵁䅉䅅䅁䑁䅁䅁睁䵁䅁䅁兂䅁䅁䅄慏兎兑䅯典䅉䅁䅅䅁䉁䅁䅁权㥄杁䅁䍄䉁䅁䅁睁䅁䅁䅍䅄䅁䅁䅕䅁䅁䑷塓䕕䭅䵁䍕䅁䉁䅁䅁允䅁䅁䅯术䅉䅁杷允䅁䅁䅍䅁䑁䅁䅷䅁䙁䅁䅁䅁⽂噊䉆权䙄杁䅁允䅁䅁䅅䅁䭁䥁䌸䅁䵁䅉䅅䅁䑁䅁䅁睁䵁䅁䅁兂䅁䅁权⭲歆兑䅯典䅉䅁䅅䅁䉁䅁䅁权偃杁䅁䍄䉁䅁䅁睁䅁䅁䅍䅄䅁䅁䅕䅁䅁余奌䕚䭅䵁䍕䅁䉁䅁䅁允䅁䅁䅯睪䅉䅁杷允䅁䅁䅍䅁䑁䅁䅷䅁䙁䅁䅁䅁楂噭䉂权䙄杁䅁允䅁䅁䅅䅁䭁䥁䌸䅁䵁䅉䅅䅁䑁䅁䅁睁䵁䅁䅁兂䅁䅁䅃㕅公兑䅯典䅉䅁䅅䅁䉁䅁䅁权偃杁䅁䍄䉁䅁䅁睁䅁䅁䅍䅄䅁䅁䅕䅁䅁䈳牺歭䭅䵁䍕䅁䉁䅁䅁允䅁䅁䅯睪䅉䅁杷允䅁䅁䅍䅁䑁䅁䅷䅁䙁䅁䅁䵁㙂汭䉂权䙄杁䅁允䅁䅁䅅䅁䭁䅁䑁䅁䵁䅉䅅䅁䑁䅁䅁睁䵁䅁䅁兂䅁䅁䅁獲兖兑䅯典䅉䅁䅅䅁䉁䅁䅁权婃杁䅁䍄䉁䅁䅁睁䅁䅁䅍䅄䅁䅁䅕䅁䅁䍑ㅏ䕕䭅䵁䍕䅁䉁䅁䅁允䅁䅁䅯睪䅉䅁杷允䅁䅁䅍䅁䑁䅁䅷䅁䙁䅁䅁䵁㙂圲䉒权䙄杁䅁允䅁䅁䅅䅁䭁䥁䌸䅁䵁䅉䅅䅁䑁䅁䅁睁䵁䅁䅁兂䅁䅁䅂⭲歆兑䅯典䅉䅁䅅䅁䉁䅁䅁权偃杁䅁䍄䉁䅁䅁睁䅁䅁䅍䅄䅁䅁䅕䅁䅁䝁䌴さ䭅䵁䍕䅁䉁䅁䅁允䅁䅁䅯䅵䅉䅁杷允䅁䅁䅍䅁䑁䅁䅷䅁䙁䅁䅁䭁ㅃ圴䉒权䙄杁䅁允䅁䅁䅅䅁䭁䥁䌸䅁䵁䅉䅅䅁䑁䅁䅁睁䵁䅁䅁兂䅁䅁䅄砶典兑䅯典䅉䅁䅅䅁䉁䅁䅁权偃杁䅁䍄䉁䅁䅁睁䅁䅁䅍䅄䅁䅁䅕䅁䅁偷扡䕕䭅䵁䍕䅁䉁䅁䅁允䅁䅁䅯睪䅉䅁杷允䅁䅁䅍䅁䑁䅁䅷䅁䙁䅁䅁䑁䉩婐䉸权䙄杁䅁允䅁䅁䅅䅁䭁䅁䑅䅁䵁䅉䅅䅁䑁䅁䅁睁䵁䅁䅁兂䅁䅁䅄㜯塰兑䅯典䅉䅁䅅䅁䉁䅁䅁权䍁睁䅁䍄䉁䅁䅁睁䅁䅁䅍䅄䅁䅁䅕䅁䅁佉夯䕚䭅䵁䍕䅁䉁䅁䅁允䅁䅁䅯睪䅉䅁杷允䅁䅁䅍䅁䑁䅁䅷䅁䙁䅁䅁䵁䅁ㅭ䉂权䙄杁䅁允䅁䅁䅅䅁䭁䩁䌸䅁䵁䅉䅅䅁䑁䅁䅁睁䵁䅁䅁兂䅁䅁䅄㕣儱兑䅯典䅉䅁䅅䅁䉁䅁䅁权偃杁䅁䍄䉁䅁䅁睁䅁䅁䅍䅄䅁䅁䅕䅁䅁䡷圶䕕䭅䵁䍉䅁䉁䅁䅁允䅁䅁䅯睪䅉䅁杷允䅁䅁䅍䅁䑁䅁䅷䅁䙁䅁䅁䍁牁䜲䉒权䙄杁䅁允䅁䅁䅅䅁䭁䥁䌸䅁䵁䅉䅅䅁䑁䅁䅁睁䵁䅁䅁兂䅁䅁杁⭷歆兑䅯典䅉䅁䅅䅁䉁䅁䅁权偃杁䅁䍄䉁䅁䅁睁䅁䅁䅍䅄䅁䅁䅕䅁䅁䍷奈䕚䭅䵁䍕䅁䉁䅁䅁允䅁䅁䅯睪䅉䅁杷允䅁䅁䅍䅁䑁䅁䅷䅁䙁䅁䅁䅁婃噭䉂权䙄杁䅁允䅁䅁䅅䅁䭁䅁䑕䅁䵁䅉䅅䅁䑁䅁䅁睁䵁䅁䅁兂䅁䅁䅂㕷全兑䅯杷䅉䅁䅅䅁䉁䅁䅁权偃杁䅁䍄䉁䅁䅁睁䅁䅁䅍䅄䅁䅁䅕䅁䅁䙉唵歚䭅䵁䍕䅁䉁䅁䅁允䅁䅁䅯睪䅉䅁杷允䅁䅁䅍䅁䑁䅁䅷䅁䙁䅁䅁䥁潁汰䈹权䙄杁䅁允䅁䅁䅅䅁䭁䥁䌸䅁䵁䅉䅅䅁䑁䅁䅁睁䵁䅁䅁兂䅁䅁䅃杺兒兑䅯典䅉䅁䅅䅁䉁䅁䅁权䝁睁䅁䍄䉁䅁䅁睁䅁䅁䅍䅄䅁䅁䅕䅁䅁䅁偊䕕䭅䵁䍕䅁䉁䅁䅁允䅁䅁䅯睪䅉䅁杷允䅁䅁䅍䅁䑁䅁䅷䅁䙁䅁䅁䥁時ㅭ䉂权䙄杁䅁允䅁䅁䅅䅁䭁䥁䌸䅁䵁䅉䅅䅁䑁䅁䅁睁䵁䅁䅁兂䅁䅁䅂焳兊兑䅯典䅉䅁䅅䅁䉁䅁䅁权偃杁䅁䍄䉁䅁䅁睁䅁䅁䅍䅄䅁䅁䅕䅁䅁䅁㑙啕䭅䵁䍕䅁䉁䅁䅁允䅁䅁䅯睂䅍䅁杷允䅁䅁䅍䅁䑁䅁䅷䅁䙁䅁䅁䅁晁噮䉂权䙄杁䅁允䅁䅁䅅䅁䭁䥁䌸䅁䵁䅉䅅䅁䑁䅁䅁睁䵁䅁䅁兂䅁䅁䅂呂扖兑䅯典䅉䅁䅅䅁䉁䅁䅁权偃杁䅁䍄䉁䅁䅁睁䅁䅁䅍䅄䅁䅁䅕䅁䅁䑷摏䕕䭅䵁䍕䅁䉁䅁䅁允䅁䅁䅯睪䅉䅁杷允䅁䅁䅍䅁䑁䅁䅷䅁䙁䅁䅁䥁十䙮䉂权䙄杁䅁允䅁䅁䅅䅁䭁䅁䑧䅁䵁䅉䅅䅁䑁䅁䅁睁䵁䅁䅁兂䅁䅁权乊歨兑䅯典䅉䅁䅅䅁䉁䅁䅁权偃杁䅁䍄䉁䅁䅁睁䅁䅁䅍䅄䅁䅁䅕䅁䅁䩑摃䕕䭅䵁䍕䅁䉁䅁䅁允䅁䅁䅯元䅍䅁杷允䅁䅁䅍䅁䑁䅁䅷䅁䙁䅁䅁䅁汃ぁ䈹权佃杁䅁允䅁䅁䅅䅁䭁䥁䌸䅁䵁䅉䅅䅁䑁䅁䅁睁䵁䅁䅁兂䅁䅁䅂䡐剸兑䅯杪䅉䅁䅅䅁䉁䅁䅁权偃杁䅁䍄䉁䅁䅁睁䅁䅁䅍䅄䅁䅁䅯䅃䅁䅁䅯杪䅉䅁䅅䅁䉁䅁䅁权偃杁䅁䍄䉁䅁䅁睁䅁䅁䅍䅄䅁䅁䅕䅁䅁䅑夯䕕䭅䥁䌴䅁䉁䅁䅁允䅁䅁䅯睪䅉䅁杷允䅁䅁䅍䅁䑁䅁䅷䅁䙁䅁䅁䥁湄ㅈ䉂权䙄杁䅁允䅁䅁䅅䅁䭁䥁䌸䅁䵁䅉䅅䅁䑁䅁䅁睁䵁䅁䅁权䥁䅁䅁权元杁䅁允䅁䅁䅅䅁䭁䥁䌸䅁䵁䅉䅅䅁䑁䅁䅁睁䵁䅁䅁兂䅁䅁䅃砵儹兑䅯杷䅉䅁䅅䅁䉁䅁䅁权偃杁䅁䍄䉁䅁䅁睁䅁䅁䅍䅄䅁䅁䅕䅁䅁䵑㥣啕䭅䵁䍉䅁䉁䅁䅁允䅁䅁䅯睪䅉䅁杷允䅁䅁䅍䅁䑁䅁䅷䅁䭁䅁䅧䅁䭁䵁䍉䅁䉁䅁䅁允䅁䅁䅯睪䅉䅁杷允䅁䅁䅍䅁䑁䅁䅷䅁䙁䅁䅁䅁䥄噐䈵权䙄杁䅁允䅁䅁䅅䅁䭁䥁䌸䅁䵁䅉䅅䅁䑁䅁䅁睁䵁䅁䅁兂䅁䅁䅃㕖典兑䅯睷䅉䅁䅅䅁䉁䅁䅁权呁睁䅁䍄䉁䅁䅁睁䅁䅁䅍䅄䅁䅁䅕䅁䅁䍉㝤正䭅䵁䍉䅁䉁䅁䅁允䅁䅁䅯睪䅉䅁杷允䅁䅁䅍䅁䑁䅁䅷䅁䙁䅁䅁䕁偁䘲䉂权䍄杁䅁允䅁䅁䅅䅁䭁䥁䌸䅁䵁䅉䅅䅁䑁䅁䅁睁䵁䅁䅁兂䅁䅁䅂⭶兒兑䅯杷䅉䅁䅅䅁䉁䅁䅁权噃杁䅁䍄䉁䅁䅁睁䅁䅁䅍䅄䅁䅁䅕䅁䅁䝑獍䕕䭅䵁䍕䅁䉁䅁䅁允䅁䅁䅯睪䅉䅁杷允䅁䅁䅍䅁䑁䅁䅷䅁䙁䅁䅁䕁㡁䙦䉆权䙄杁䅁允䅁䅁䅅䅁䭁䥁䌸䅁䵁䅉䅅䅁䑁䅁䅁睁䵁䅁䅁兂䅁䅁䅄㕎兤兑䅯杷䅉䅁䅅䅁䉁䅁䅁权噃杁䅁䍄䉁䅁䅁睁䅁䅁䅍䅄䅁䅁䅕䅁䅁䅑䍭歕䭅䵁䍉䅁䉁䅁䅁允䅁䅁䅯睪䅉䅁杷允䅁䅁䅍䅁䑁䅁䅷䅁䙁䅁䅁䍁湁㍥䉊权䑄杁䅁允䅁䅁䅅䅁䭁䭁䍯䅁䵁䅉䅅䅁䑁䅁䅁睁䵁䅁䅁兂䅁䅁䅁兰偎兑䅯典䅉䅁䅅䅁䉁䅁䅁权偃杁䅁䍄䉁䅁䅁睁䅁䅁䅍䅄䅁䅁䅕䅁䅁䕧坦歔䭅䥁䌴䅁䉁䅁䅁允䅁䅁䅯睪䅉䅁杷允䅁䅁䅍䅁䑁䅁䅷䅁䙁䅁䅁䥁䡂欱䈵权元杁䅁允䅁䅁䅅䅁䭁䥁䌸䅁䵁䅉䅅䅁䑁䅁䅁睁䵁䅁䅁兂䅁䅁䅃㥒佚兑䅯典䅉䅁䅅䅁䉁䅁䅁权偃杁䅁䍄䉁䅁䅁睁䅁䅁䅍䅄䅁䅁䅕䅁䅁䅑奡䕕䭅䥁䌴䅁䉁䅁䅁允䅁䅁䅯睪䅉䅁杷允䅁䅁䅍䅁䑁䅁䅷䅁䙁䅁䅁䵁ㅁ噭䉂权䙄杁䅁允䅁䅁䅅䅁䭁䥁䌸䅁䵁䅉䅅䅁䑁䅁䅁睁䵁䅁䅁兂䅁䅁䅁䑹攱兑䅯䅫䅉䅁䅅䅁䉁䅁䅁权偃杁䅁䍄䉁䅁䅁睁䅁䅁䅍䅄䅁䅁䅕䅁䅁䕧坦歔䭅䵁䍍䅁䉁䅁䅁允䅁䅁䅯䄵䅉䅁杷允䅁䅁䅍䅁䑁䅁䅷䅁䙁䅁䅁䕁偁䘲䉂权䑄杁䅁允䅁䅁䅅䅁䭁䩁䍕䅁䵁䅉䅅䅁䑁䅁䅁睁䵁䅁䅁兂䅁䅁䅃婆全兑䅯杷䅉䅁䅅䅁䉁䅁䅁权偃杁䅁䍄䉁䅁䅁睁䅁䅁䅍䅄䅁䅁䅕䅁䅁䵁㥧歘䭅䵁䍉䅁䉁䅁䅁允䅁䅁䅯睪䅉䅁杷允䅁䅁䅍䅁䑁䅁䅷䅁䙁䅁䅁䵁婁坏䉒权䍄杁䅁允䅁䅁䅅䅁䭁䭁䍅䅁䵁䅉䅅䅁䑁䅁䅁睁䵁䅁䅁兂䅁䅁䅂㕵全兑䅯杷䅉䅁䅅䅁䉁䅁䅁权偃杁䅁䍄䉁䅁䅁睁䅁䅁䅍䅄䅁䅁䅕䅁䅁䍁啂ず䭅䩁䍁䅁䉁䅁䅁允䅁䅁䅯睪䅉䅁杷允䅁䅁䅍䅁䑁䅁䅷䅁䙁䅁䅁䵁睄ㅘ䈱权䍄杁䅁允䅁䅁䅅䅁䭁䥁䌸䅁䵁䅉䅅䅁䑁䅁䅁睁䵁䅁䅁兂䅁䅁䅂㔳党兑䅯䅫䅉䅁䅅䅁䉁䅁䅁权偃杁䅁䍄䉁䅁䅁睁䅁䅁䅍䅄䅁䅁䅕䅁䅁䱁杵䕕䭅䥁䌴䅁䉁䅁䅁允䅁䅁䅯睪䅉䅁杷允䅁䅁䅍䅁䑁䅁䅷䅁䙁䅁䅁䕁⽃䘵䉂权元杁䅁允䅁䅁䅅䅁䭁䩁䍕䅁䵁䅉䅅䅁䑁䅁䅁睁䵁䅁䅁兂䅁䅁䅂䍚博兑䅯杪䅉䅁䅅䅁䉁䅁䅁权偃杁䅁䍄䉁䅁䅁睁䅁䅁䅍䅄䅁䅁䅕䅁䅁䙧夫䕕䭅䵁䍉䅁䉁䅁䅁允䅁䅁䅯睪䅉䅁杷允䅁䅁䅍䅁䑁䅁䅷䅁䙁䅁䅁䅁䱄䙭䉂权䙄杁䅁允䅁䅁䅅䅁䭁䥁䌸䅁䵁䅉䅅䅁䑁䅁䅁睁䵁䅁䅁兂䅁䅁䅃慡削兑䅯䅫䅉䅁䅅䅁䉁䅁䅁权偃杁䅁䍄䉁䅁䅁睁䅁䅁䅍䅄䅁䅁䅕䅁䅁偷時啘䭅䩁䍁䅁䉁䅁䅁允䅁䅁䅯睪䅉䅁杷允䅁䅁䅍䅁䑁䅁䅷䅁䙁䅁䅁䵁穁䙩䉤权䍄杁䅁允䅁䅁䅅䅁䭁䥁䌸䅁䵁䅉䅅䅁䑁䅁䅁睁䵁䅁䅁兂䅁䅁䅄䘸搹兑䅯典䅉䅁䅅䅁䉁䅁䅁权偃杁䅁䍄䉁䅁䅁睁䅁䅁䅍䅄䅁䅁䅕䅁䅁䝑獍䕕䭅䩁䍁䅁䉁䅁䅁允䅁䅁䅯睪䅉䅁杷允䅁䅁䅍䅁䑁䅁䅷䅁䙁䅁䅁䵁睄ㅘ䈱权䑄杁䅁允䅁䅁䅅䅁䭁䱁䍍䅁䵁䅉䅅䅁䑁䅁䅁睁䵁䅁䅁兂䅁䅁䅃婆全兑䅯䅫䅉䅁䅅䅁䉁䅁䅁权偃杁䅁䍄䉁䅁䅁睁䅁䅁䅍䅄䅁䅁䅕䅁䅁佧晣䕕䭅䥁䌴䅁䉁䅁䅁允䅁䅁䅯睪䅉䅁杷允䅁䅁䅍䅁䑁䅁䅷䅁䙁䅁䅁䥁祃嘷䉂权䍄杁䅁允䅁䅁䅅䅁䭁䥁䌸䅁䵁䅉䅅䅁䑁䅁䅁睁䵁䅁䅁兂䅁䅁䅂⭶兒兑䅯杪䅉䅁䅅䅁䉁䅁䅁权乁睁䅁䍄䉁䅁䅁睁䅁䅁䅍䅄䅁䅁䅕䅁䅁䑑㡸啕䭅䩁䍁䅁䉁䅁䅁允䅁䅁䅯睪䅉䅁杷允䅁䅁䅍䅁䑁䅁䅷䅁䙁䅁䅁䥁祃嘷䉂权佃杁䅁允䅁䅁䅅䅁䭁䥁䌸䅁䵁䅉䅅䅁䑁䅁䅁睁䵁䅁䅁兂䅁䅁䅃畳儱兑䅯䅫䅉䅁䅅䅁䉁䅁䅁权偃杁䅁䍄䉁䅁䅁睁䅁䅁䅍䅄䅁䅁䅕䅁䅁䙷扮䕕䭅䵁䍉䅁䉁䅁䅁允䅁䅁䅯睪䅉䅁杷允䅁䅁䅍䅁䑁䅁䅷䅁䙁䅁䅁䕁䑄䙭䉂权佃杁䅁允䅁䅁䅅䅁䭁䥁䌸䅁䵁䅉䅅䅁䑁䅁䅁睁䵁䅁䅁兂䅁䅁䅂㕷全兑䅯䅫䅉䅁䅅䅁䉁䅁䅁权偃杁䅁䍄䉁䅁䅁睁䅁䅁䅍䅄䅁䅁䅕䅁䅁䵑奏䕕䭅䵁䍕䅁䉁䅁䅁允䅁䅁䅯睪䅉䅁杷允䅁䅁䅍䅁䑁䅁䅷䅁䙁䅁䅁䵁㕁ㅬ䉂权䍄杁䅁允䅁䅁䅅䅁䭁䩁䍕䅁䵁䅉䅅䅁䑁䅁䅁睁䵁䅁䅁兂䅁䅁䅁㙵兂兑䅯杷䅉䅁䅅䅁䉁䅁䅁权偃杁䅁䍄䉁䅁䅁睁䅁䅁䅍䅄䅁䅁䅕䅁䅁䵑奏䕕䭅䵁䍍䅁䉁䅁䅁允䅁䅁䅯睄䅍䅁杷允䅁䅁䅍䅁䑁䅁䅷䅁䙁䅁䅁䵁佂噎䉂权䙄杁䅁允䅁䅁䅅䅁䭁䉁䑁䅁䵁䅉䅅䅁䑁䅁䅁睁䵁䅁䅁兂䅁䅁䅃㕘全兑䅯䅫䅉䅁䅅䅁䉁䅁䅁权偃杁䅁䍄䉁䅁䅁睁䅁䅁䅍䅄䅁䅁䅕䅁䅁䙧夫䕕䭅䵁䍍䅁䉁䅁䅁允䅁䅁䅯公䅉䅁杷允䅁䅁䅍䅁䑁䅁䅷䅁䙁䅁䅁䅁㑁噭䉂权佃杁䅁允䅁䅁䅅䅁䭁䉁䑉䅁䵁䅉䅅䅁䑁䅁䅁睁䵁䅁䅁兂䅁䅁䅄㑍塨兑䅯典䅉䅁䅅䅁䉁䅁䅁权偃杁䅁䍄䉁䅁䅁睁䅁䅁䅍䅄䅁䅁䅕䅁䅁䑷䥏ざ䭅䵁䍍䅁䉁䅁䅁允䅁䅁䅯朴䅉䅁杷允䅁䅁䅍䅁䑁䅁䅷䅁䙁䅁䅁䅁汃ぁ䈹权䑄杁䅁允䅁䅁䅅䅁䭁佁䍑䅁䵁䅉䅅䅁䑁䅁䅁睁䵁䅁䅁兂䅁䅁䅃慡削兑䅯杪䅉䅁䅅䅁䉁䅁䅁权偃杁䅁䍄䉁䅁䅁睁䅁䅁䅍䅄䅁䅁䅕䅁䅁䝧業啕䭅䵁䍉䅁䉁䅁䅁允䅁䅁䅯睪䅉䅁杷允䅁䅁䅍䅁䑁䅁䅷䅁䙁䅁䅁䥁灂汯䉆权䑄杁䅁允䅁䅁䅅䅁䭁䭁䍕䅁䵁䅉䅅䅁䑁䅁䅁睁䵁䅁䅁兂䅁䅁䅁婥儱兑䅯杪䅉䅁䅅䅁䉁䅁䅁权偃杁䅁䍄䉁䅁䅁睁䅁䅁䅍䅄䅁䅁䅕䅁䅁䩧捏䕕䭅䵁䍕䅁䉁䅁䅁允䅁䅁䅯睪䅉䅁杷允䅁䅁䅍䅁䑁䅁䅷䅁䙁䅁䅁䥁呃䙮䉂权䍄杁䅁允䅁䅁䅅䅁䭁䥁䌸䅁䵁䅉䅅䅁䑁䅁䅁睁䵁䅁䅁兂䅁䅁䅃㕫典兑䅯睷䅉䅁䅅䅁䉁䅁䅁权歄杁䅁䍄䉁䅁䅁睁䅁䅁䅍䅄䅁䅁䅕䅁䅁䅧䍓啕䭅䥁䌴䅁䉁䅁䅁允䅁䅁䅯䅭䅉䅁杷允䅁䅁䅍䅁䑁䅁䅷䅁䙁䅁䅁䕁䝁䙭䉂权元杁䅁允䅁䅁䅅䅁䭁䥁䌸䅁䵁䅉䅅䅁䑁䅁䅁睁䵁䅁䅁兂䅁䅁䅂灂全兑䅯杷䅉䅁䅅䅁䉁䅁䅁权偃杁䅁䍄䉁䅁䅁睁䅁䅁䅍䅄䅁䅁䅕䅁䅁䅑奡䕕䭅䵁䍍䅁䉁䅁䅁允䅁䅁䅯睫䅉䅁杷允䅁䅁䅍䅁䑁䅁䅷䅁䙁䅁䅁䕁䩁汧䉊权佃杁䅁允䅁䅁䅅䅁䭁䥁䌸䅁䵁䅉䅅䅁䑁䅁䅁睁䵁䅁䅁兂䅁䅁䅁䙉湒兑䅯典䅉䅁䅅䅁䉁䅁䅁权偃杁䅁䍄䉁䅁䅁睁䅁䅁䅍䅄䅁䅁䅕䅁䅁䉷㕫䕚䭅䥁䌴䅁䉁䅁䅁允䅁䅁䅯充䅍䅁杷允䅁䅁䅍䅁䑁䅁䅷䅁䙁䅁䅁䅁䱄䙭䉂权佃杁䅁允䅁䅁䅅䅁䭁䥁䌸䅁䵁䅉䅅䅁䑁䅁䅁睁䵁䅁䅁兂䅁䅁䅁㕹全兑䅯䅫䅉䅁䅅䅁䉁䅁䅁权偃杁䅁䍄䉁䅁䅁睁䅁䅁䅍䅄䅁䅁䅕䅁䅁䵁奵䕕䭅䵁䍉䅁䉁䅁䅁允䅁䅁䅯睪䅉䅁杷允䅁䅁䅍䅁䑁䅁䅷䅁䙁䅁䅁䅁䱄䙭䉂权䑄杁䅁允䅁䅁䅅䅁䭁佁䍙䅁䵁䅉䅅䅁䑁䅁䅁睁䵁䅁䅁兂䅁䅁䅁灚全兑䅯杪䅉䅁䅅䅁䉁䅁䅁权呁睁䅁䍄䉁䅁䅁睁䅁䅁䅍䅄䅁䅁䅕䅁䅁䱁丰さ䭅䵁䍕䅁䉁䅁䅁允䅁䅁䅯睪䅉䅁杷允䅁䅁䅍䅁䑁䅁䅷䅁䙁䅁䅁䅁浂䙭䉂权䙄杁䅁允䅁䅁䅅䅁䭁䉁䑍䅁䵁䅉䅅䅁䑁䅁䅁睁䵁䅁䅁兂䅁䅁䅁灚全兑䅯杷䅉䅁䅅䅁䉁䅁䅁权呁睁䅁䍄䉁䅁䅁睁䅁䅁䅍䅄䅁䅁䅕䅁䅁䱑卙啕䭅䵁䍕䅁䉁䅁䅁允䅁䅁䅯睪䅉䅁杷允䅁䅁䅍䅁䑁䅁䅷䅁䙁䅁䅁䥁㍂噖䉂权䍄杁䅁允䅁䅁䅅䅁䭁䥁䌸䅁䵁䅉䅅䅁䑁䅁䅁睁䵁䅁䅁兂䅁䅁䅄歑剬兑䅯杷䅉䅁䅅䅁䉁䅁䅁权偃杁䅁䍄䉁䅁䅁睁䅁䅁䅍䅄䅁䅁䅕䅁䅁䍁啂ず䭅䵁䍍䅁䉁䅁䅁允䅁䅁䅯公䅉䅁杷允䅁䅁䅍䅁䑁䅁䅷䅁䙁䅁䅁䕁㑁汅䉂权䍄杁䅁允䅁䅁䅅䅁䭁䥁䌸䅁䵁䅉䅅䅁䑁䅁䅁睁䵁䅁䅁兂䅁䅁䅂䡐剸兑䅯睷䅉䅁䅅䅁䉁䅁䅁权敄杁䅁䍄䉁䅁䅁睁䅁䅁䅍䅄䅁䅁䅕䅁䅁䝑浑歕䭅䩁䍁䅁䉁䅁䅁允䅁䅁䅯睪䅉䅁杷允䅁䅁䅍䅁䑁䅁䅷䅁䙁䅁䅁䕁歂汊䉊权䙄杁䅁允䅁䅁䅅䅁䭁䥁䌸䅁䵁䅉䅅䅁䑁䅁䅁睁䵁䅁䅁兂䅁䅁䅂䍚博兑䅯睷䅉䅁䅅䅁䉁䅁䅁权潄杁䅁䍄䉁䅁䅁睁䅁䅁䅍䅄䅁䅁䅕䅁䅁乁戴啗䭅䩁䍁䅁䉁䅁䅁允䅁䅁䅯睪䅉䅁杷允䅁䅁䅍䅁䑁䅁䅷䅁䙁䅁䅁䥁䑄䙭䉂权佃杁䅁允䅁䅁䅅䅁䭁䥁䌸䅁䵁䅉䅅䅁䑁䅁䅁睁䵁䅁䅁兂䅁䅁䅃㕷全兑䅯䅫䅉䅁䅅䅁䉁䅁䅁权偃杁䅁䍄䉁䅁䅁睁䅁䅁䅍䅄䅁䅁䅕䅁䅁䭷獤啕䭅䵁䍕䅁䉁䅁䅁允䅁䅁䅯睪䅉䅁杷允䅁䅁䅍䅁䑁䅁䅷䅁䙁䅁䅁䥁䑄䙭䉂权䙄杁䅁允䅁䅁䅅䅁䭁䥁䌸䅁䵁䅉䅅䅁䑁䅁䅁睁䵁䅁䅁兂䅁䅁䅂桴削兑䅯䅫䅉䅁䅅䅁䉁䅁䅁权偃杁䅁䍄䉁䅁䅁睁䅁䅁䅍䅄䅁䅁䅕䅁䅁䱑卙啕䭅䵁䍉䅁䉁䅁䅁允䅁䅁䅯睪䅉䅁杷允䅁䅁䅍䅁䑁䅁䅷䅁䙁䅁䅁䕁㉃汅䉆权䑄杁䅁允䅁䅁䅅䅁䭁䩁䍣䅁䵁䅉䅅䅁䑁䅁䅁睁䵁䅁䅁兂䅁䅁䅄䨹公兑䅯䅫䅉䅁䅅䅁䉁䅁䅁权啁睁䅁䍄䉁䅁䅁睁䅁䅁䅍䅄䅁䅁䅕䅁䅁偷婓䕕䭅䵁䍕䅁䉁䅁䅁允䅁䅁䅯兆䅍䅁杷允䅁䅁䅍䅁䑁䅁䅷䅁䙁䅁䅁䵁い噭䉂权䍄杁䅁允䅁䅁䅅䅁䭁䉁䑑䅁䵁䅉䅅䅁䑁䅁䅁睁䵁䅁䅁兂䅁䅁䅂剒娹兑䅯䅫䅉䅁䅅䅁䉁䅁䅁权噃杁䅁䍄䉁䅁䅁睁䅁䅁䅍䅄䅁䅁䅕䅁䅁偷婓䕕䭅䵁䍍䅁䉁䅁䅁允䅁䅁䅯䅆䅍䅁杷允䅁䅁䅍䅁䑁䅁䅷䅁䙁䅁䅁䥁䙁䙢䉆权佃杁䅁允䅁䅁䅅䅁䭁䥁䌸䅁䵁䅉䅅䅁䑁䅁䅁睁䵁䅁䅁兂䅁䅁䅃坂剸兑䅯典䅉䅁䅅䅁䉁䅁䅁权偃杁䅁䍄䉁䅁䅁睁䅁䅁䅍䅄䅁䅁䅕䅁䅁乧⽣䕗䭅䵁䍉䅁䉁䅁䅁允䅁䅁䅯睪䅉䅁杷允䅁䅁䅍䅁䑁䅁䅷䅁䙁䅁䅁䥁䙁䙢䉆权䍄杁䅁允䅁䅁䅅䅁䭁䥁䌸䅁䵁䅉䅅䅁䑁䅁䅁睁䵁䅁䅁兂䅁䅁䅂奃半兑䅯䅫䅉䅁䅅䅁䉁䅁䅁权偃杁䅁䍄䉁䅁䅁睁䅁䅁䅍䅄䅁䅁䅕䅁䅁䉷㕫䕚䭅䵁䍍䅁䉁䅁䅁允䅁䅁䅯兯䅉䅁杷允䅁䅁䅍䅁䑁䅁䅷䅁䙁䅁䅁䅁敄ㅇ䉬权佃杁䅁允䅁䅁䅅䅁䭁䥁䌸䅁䵁䅉䅅䅁䑁䅁䅁睁䵁䅁䅁兂䅁䅁䅂癤兊兑䅯䅫䅉䅁䅅䅁䉁䅁䅁权偃杁䅁䍄䉁䅁䅁睁䅁䅁䅍䅄䅁䅁䅕䅁䅁乁戴啗䭅䵁䍕䅁䉁䅁䅁允䅁䅁䅯睪䅉䅁杷允䅁䅁䅍䅁䑁䅁䅷䅁䙁䅁䅁䵁佂噎䉂权元杁䅁允䅁䅁䅅䅁䭁乁䌴䅁䵁䅉䅅䅁䑁䅁䅁睁䵁䅁䅁兂䅁䅁䅁栳婴兑䅯杷䅉䅁䅅䅁䉁䅁䅁权偃杁䅁䍄䉁䅁䅁睁䅁䅁䅍䅄䅁䅁䅕䅁䅁䍉㝤正䭅䥁䌴䅁䉁䅁䅁允䅁䅁䅯睪䅉䅁杷允䅁䅁䅍䅁䑁䅁䅷䅁䙁䅁䅁䍁湁㍥䉊权䙄杁䅁允䅁䅁䅅䅁䭁䥁䌸䅁䵁䅉䅅䅁䑁䅁䅁睁䵁䅁䅁兂䅁䅁䅂䉏兊兑䅯典䅉䅁䅅䅁䉁䅁䅁权偃杁䅁䍄䉁䅁䅁睁䅁䅁䅍䅄䅁䅁䅕䅁䅁䑑卧䕕䭅䵁䍍䅁䉁䅁䅁允䅁䅁䅯䄵䅉䅁杷允䅁䅁䅍䅁䑁䅁䅷䅁䙁䅁䅁䅁㑁噭䉂权䍄杁䅁允䅁䅁䅅䅁䭁䭁䌰䅁䵁䅉䅅䅁䑁䅁䅁睁䵁䅁䅁兂䅁䅁䅃㕖典兑䅯䅫䅉䅁䅅䅁䉁䅁䅁权偃杁䅁䍄䉁䅁䅁睁䅁䅁䅍䅄䅁䅁䅕䅁䅁䙧捥䕕䭅䵁䍕䅁䉁䅁䅁允䅁䅁䅯睪䅉䅁杷允䅁䅁䅍䅁䑁䅁䅷䅁䙁䅁䅁䥁塂䙮䉂权䍄杁䅁允䅁䅁䅅䅁䭁䥁䌸䅁䵁䅉䅅䅁䑁䅁䅁睁䵁䅁䅁兂䅁䅁䅂剒娹兑䅯杷䅉䅁䅅䅁䉁䅁䅁权噃杁䅁䍄䉁䅁䅁睁䅁䅁䅍䅄䅁䅁䅕䅁䅁䭑圲䕕䭅䵁䍉䅁䉁䅁䅁允䅁䅁䅯兲䅉䅁杷允䅁䅁䅍䅁䑁䅁䅷䅁䙁䅁䅁䅁扃汬䉂权元杁䅁允䅁䅁䅅䅁䭁佁䌰䅁䵁䅉䅅䅁䑁䅁䅁睁䵁䅁䅁兂䅁䅁䅄摗兴兑䅯杪䅉䅁䅅䅁䉁䅁䅁权偃杁䅁䍄䉁䅁䅁睁䅁䅁䅍䅄䅁䅁䅕䅁䅁䙷扮䕕䭅䵁䍍䅁䉁䅁䅁允䅁䅁䅯公䅉䅁杷允䅁䅁䅍䅁䑁䅁䅷䅁䙁䅁䅁䥁㍂噖䉂权䙄杁䅁允䅁䅁䅅䅁䭁䥁䌸䅁䵁䅉䅅䅁䑁䅁䅁睁䵁䅁䅁兂䅁䅁䅂癤兊兑䅯杪䅉䅁䅅䅁䉁䅁䅁权偃杁䅁䍄䉁䅁䅁睁䅁䅁䅍䅄䅁䅁䅕䅁䅁䡑祢䕕䭅䵁䍕䅁䉁䅁䅁允䅁䅁䅯睪䅉䅁杷允䅁䅁䅍䅁䑁䅁䅷䅁䙁䅁䅁䕁㉂永䉂权䍄杁䅁允䅁䅁䅅䅁䭁䥁䌸䅁䵁䅉䅅䅁䑁䅁䅁睁䵁䅁䅁兂䅁䅁䅂奃半兑䅯睷䅉䅁䅅䅁䉁䅁䅁权敄杁䅁䍄䉁䅁䅁睁䅁䅁䅍䅄䅁䅁䅕䅁䅁䱑奵䕕䭅䵁䍍䅁䉁䅁䅁允䅁䅁䅯䅇䅍䅁杷允䅁䅁䅍䅁䑁䅁䅷䅁䙁䅁䅁䕁橂䙌䉂权佃杁䅁允䅁䅁䅅䅁䭁䥁䌸䅁䵁䅉䅅䅁䑁䅁䅁睁䵁䅁䅁兂䅁䅁䅂祙典兑䅯杷䅉䅁䅅䅁䉁䅁䅁权偃杁䅁䍄䉁䅁䅁睁䅁䅁䅍䅄䅁䅁䅕䅁䅁䝑獍䕕䭅䵁䍍䅁䉁䅁䅁允䅁䅁䅯兲䅉䅁杷允䅁䅁䅍䅁䑁䅁䅷䅁䙁䅁䅁䕁瑃汬䉂权佃杁䅁允䅁䅁䅅䅁䭁䉁䑫䅁䵁䅉䅅䅁䑁䅁䅁睁䵁䅁䅁兂䅁䅁䅂婲党兑䅯典䅉䅁䅅䅁䉁䅁䅁权婁睁䅁䍄䉁䅁䅁睁䅁䅁䅍䅄䅁䅁䅕䅁䅁䕷ㄴ䕕䭅䵁䍍䅁䉁䅁䅁允䅁䅁䅯朳䅉䅁杷允䅁䅁䅍䅁䑁䅁䅷䅁䙁䅁䅁䅁㕂噮䉂权元杁䅁允䅁䅁䅅䅁䭁䥁䌸䅁䵁䅉䅅䅁䑁䅁䅁睁䵁䅁䅁兂䅁䅁䅁婥儱兑䅯典䅉䅁䅅䅁䉁䅁䅁权偃杁䅁䍄䉁䅁䅁睁䅁䅁䅍䅄䅁䅁䅕䅁䅁䡁摭䕕䭅䵁䍍䅁䉁䅁䅁允䅁䅁䅯公䅉䅁杷允䅁䅁䅍䅁䑁䅁䅷䅁䙁䅁䅁䵁䍂噓䉆权佃杁䅁允䅁䅁䅅䅁䭁䥁䌸䅁䵁䅉䅅䅁䑁䅁䅁睁䵁䅁䅁兂䅁䅁䅄歑剬兑䅯典䅉䅁䅅䅁䉁䅁䅁权偃杁䅁䍄䉁䅁䅁睁䅁䅁䅍䅄䅁䅁䅕䅁䅁䩁坵䕕䭅䥁䌴䅁䉁䅁䅁允䅁䅁䅯儷䅉䅁杷允䅁䅁䅍䅁䑁䅁䅷䅁䙁䅁䅁䵁䍂噓䉆权䑄杁䅁允䅁䅁䅅䅁䭁䭁䍯䅁䵁䅉䅅䅁䑁䅁䅁睁䵁䅁䅁兂䅁䅁䅄婎公兑䅯䅫䅉䅁䅅䅁䉁䅁䅁权偃杁䅁䍄䉁䅁䅁睁䅁䅁䅍䅄䅁䅁䅕䅁䅁䑷婗䕕䭅䵁䍍䅁䉁䅁䅁允䅁䅁䅯䄳䅉䅁杷允䅁䅁䅍䅁䑁䅁䅷䅁䙁䅁䅁䵁ㅁ噭䉂权䍄杁䅁允䅁䅁䅅䅁䭁䥁䌸䅁䵁䅉䅅䅁䑁䅁䅁睁䵁䅁䅁兂䅁䅁䅁欷㑤兑䅯䅫䅉䅁䅅䅁䉁䅁䅁权偃杁䅁䍄䉁䅁䅁睁䅁䅁䅍䅄䅁䅁䅕䅁䅁䑑㡸啕䭅䵁䍉䅁䉁䅁䅁允䅁䅁䅯睪䅉䅁杷允䅁䅁䅍䅁䑁䅁䅷䅁䙁䅁䅁䥁求汭䉂权佃杁䅁允䅁䅁䅅䅁䭁䉁䑳䅁䵁䅉䅅䅁䑁䅁䅁睁䵁䅁䅁兂䅁䅁䅃婚兰兑䅯典䅉䅁䅅䅁䉁䅁䅁权扁睁䅁䍄䉁䅁䅁睁䅁䅁䅍䅄䅁䅁䅕䅁䅁䝧慗䕕䭅䵁䍉䅁䉁䅁䅁允䅁䅁䅯兰䅉䅁杷允䅁䅁䅍䅁䑁䅁䅷䅁䙁䅁䅁䅁㝃䙯䉂权䑄杁䅁允䅁䅁䅅䅁䭁佁䍑䅁䵁䅉䅅䅁䑁䅁䅁睁䵁䅁䅁兂䅁䅁䅄婏兤兑䅯䅫䅉䅁䅅䅁䉁䅁䅁权噃杁䅁䍄䉁䅁䅁睁䅁䅁䅍䅄䅁䅁䅕䅁䅁䑷塭䕕䭅䵁䍍䅁䉁䅁䅁允䅁䅁䅯公䅉䅁杷允䅁䅁䅍䅁䑁䅁䅷䅁䙁䅁䅁䅁扃汬䉂权䍄杁䅁允䅁䅁䅅䅁䭁佁䌰䅁䵁䅉䅅䅁䑁䅁䅁睁䵁䅁䅁兂䅁䅁䅄㉰剸兑䅯杷䅉䅁䅅䅁䉁䅁䅁权偃杁䅁䍄䉁䅁䅁睁䅁䅁䅍䅄䅁䅁䅕䅁䅁䭷獤啕䭅䵁䍍䅁䉁䅁䅁允䅁䅁䅯杸䅉䅁杷允䅁䅁䅍䅁䑁䅁䅷䅁䙁䅁䅁䅁㥃噄䉎权佃杁䅁允䅁䅁䅅䅁䭁䥁䌸䅁䵁䅉䅅䅁䑁䅁䅁睁䵁䅁䅁兂䅁䅁䅁其吱兑䅯杷䅉䅁䅅䅁䉁䅁䅁权偃杁䅁䍄䉁䅁䅁睁䅁䅁䅍䅄䅁䅁䅕䅁䅁䱁丰さ䭅䵁䍍䅁䉁䅁䅁允䅁䅁䅯公䅉䅁杷允䅁䅁䅍䅁䑁䅁䅷䅁䙁䅁䅁䵁⭂汬䉂权元杁䅁允䅁䅁䅅䅁䭁䥁䌸䅁䵁䅉䅅䅁䑁䅁䅁睁䵁䅁䅁兂䅁䅁䅄灦党兑䅯典䅉䅁䅅䅁䉁䅁䅁权偃杁䅁䍄䉁䅁䅁睁䅁䅁䅍䅄䅁䅁䅕䅁䅁䭧潉啕䭅䩁䍁䅁䉁䅁䅁允䅁䅁䅯权䅍䅁杷允䅁䅁䅍䅁䑁䅁䅷䅁䙁䅁䅁䵁㍁ㅬ䉂权元杁䅁允䅁䅁䅅䅁䭁䩁䍕䅁䵁䅉䅅䅁䑁䅁䅁睁䵁䅁䅁兂䅁䅁䅄㕎兤兑䅯睷䅉䅁䅅䅁䉁䅁䅁权噃杁䅁䍄䉁䅁䅁睁䅁䅁䅍䅄䅁䅁䅕䅁䅁乑圫䕕䭅䵁䍉䅁䉁䅁䅁允䅁䅁䅯睪䅉䅁杷允䅁䅁䅍䅁䑁䅁䅷䅁䙁䅁䅁䕁晄汬䉂权䑄杁䅁允䅁䅁䅅䅁䭁䩁䍕䅁䵁䅉䅅䅁䑁䅁䅁睁䵁䅁䅁兂䅁䅁䅃䥂削兑䅯䅫䅉䅁䅅䅁䉁䅁䅁权噃杁䅁䍄䉁䅁䅁睁䅁䅁䅍䅄䅁䅁䅕䅁䅁䅧䍓啕䭅䵁䍕䅁䉁䅁䅁允䅁䅁䅯末䅉䅁杷允䅁䅁䅍䅁䑁䅁䅷䅁䙁䅁䅁䥁䕁汧䉆权䑄杁䅁允䅁䅁䅅䅁䭁䩁䍕䅁䵁䅉䅅䅁䑁䅁䅁睁䵁䅁䅁兂䅁䅁䅃㕁全兑䅯䅫䅉䅁䅅䅁䉁䅁䅁权偃杁䅁䍄䉁䅁䅁睁䅁䅁䅍䅄䅁䅁䅕䅁䅁䅧奏䕕䭅䵁䍕䅁䉁䅁䅁允䅁䅁䅯睪䅉䅁杷允䅁䅁䅍䅁䑁䅁䅷䅁䙁䅁䅁䥁䑁䙭䉂权䍄杁䅁允䅁䅁䅅䅁䭁䥁䌸䅁䵁䅉䅅䅁䑁䅁䅁睁䵁䅁䅁兂䅁䅁䅃㕁全兑䅯睷䅉䅁䅅䅁䉁䅁䅁权晄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</si>
</sst>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3" x14ac:knownFonts="1">
    <font>
      <sz val="11"/>
      <color theme="1"/>
      <name val="Calibri"/>
      <family val="2"/>
      <scheme val="minor"/>
    </font>
    <font>
      <b/>
      <sz val="14"/>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xf>
    <xf numFmtId="0" fontId="0" fillId="0" borderId="0" xfId="0" applyAlignment="1">
      <alignment wrapText="1"/>
    </xf>
    <xf numFmtId="0" fontId="1" fillId="0" borderId="0" xfId="0" applyFont="1" applyAlignment="1">
      <alignment wrapText="1"/>
    </xf>
    <xf numFmtId="0" fontId="0" fillId="0" borderId="0" xfId="0" applyAlignment="1">
      <alignment horizontal="left" wrapText="1"/>
    </xf>
    <xf numFmtId="4" fontId="0" fillId="0" borderId="0" xfId="0" applyNumberFormat="1" applyAlignment="1">
      <alignment horizontal="right"/>
    </xf>
    <xf numFmtId="14" fontId="0" fillId="0" borderId="0" xfId="0" applyNumberFormat="1" applyAlignment="1">
      <alignment wrapText="1"/>
    </xf>
    <xf numFmtId="165" fontId="0" fillId="0" borderId="0" xfId="0" applyNumberFormat="1" applyAlignment="1">
      <alignment wrapText="1"/>
    </xf>
    <xf numFmtId="0" fontId="2" fillId="0" borderId="0" xfId="0" applyFont="1" applyAlignment="1">
      <alignment wrapText="1"/>
    </xf>
    <xf numFmtId="0" fontId="0" fillId="0" borderId="0" xfId="0" applyAlignment="1">
      <alignment horizontal="center"/>
    </xf>
    <xf numFmtId="0" fontId="2" fillId="0" borderId="0" xfId="0" applyFont="1" applyAlignment="1">
      <alignment horizontal="left" vertical="top" wrapText="1"/>
    </xf>
    <xf numFmtId="0" fontId="2" fillId="0" borderId="0" xfId="0" applyFont="1" applyAlignment="1">
      <alignment horizontal="righ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gram%20Files/SNL%20Financial/SNLxl/SNLXLAddin.xla" TargetMode="External"/><Relationship Id="rId2" Type="http://schemas.openxmlformats.org/officeDocument/2006/relationships/externalLinkPath" Target="file:///C:\Program%20Files\SNL%20Financial\SNLxl\SNLXLAddin.xla" TargetMode="External"/><Relationship Id="rId1" Type="http://schemas.openxmlformats.org/officeDocument/2006/relationships/externalLinkPath" Target="/Program%20Files/SNL%20Financial/SNLxl/SNLXLAddin.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 val="Sheet3"/>
      <sheetName val="SNLXLAddin"/>
    </sheetNames>
    <definedNames>
      <definedName name="SNLData"/>
    </definedNames>
    <sheetDataSet>
      <sheetData sheetId="0"/>
      <sheetData sheetId="1"/>
      <sheetData sheetId="2"/>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CB3F-907E-4457-B7DF-1557F97D3C18}">
  <dimension ref="A1:A4"/>
  <sheetViews>
    <sheetView workbookViewId="0"/>
  </sheetViews>
  <sheetFormatPr defaultRowHeight="14.5" x14ac:dyDescent="0.35"/>
  <sheetData>
    <row r="1" spans="1:1" x14ac:dyDescent="0.35">
      <c r="A1" t="s">
        <v>1565</v>
      </c>
    </row>
    <row r="2" spans="1:1" x14ac:dyDescent="0.35">
      <c r="A2" t="s">
        <v>1566</v>
      </c>
    </row>
    <row r="3" spans="1:1" x14ac:dyDescent="0.35">
      <c r="A3" t="s">
        <v>1567</v>
      </c>
    </row>
    <row r="4" spans="1:1" x14ac:dyDescent="0.35">
      <c r="A4" t="s">
        <v>1568</v>
      </c>
    </row>
  </sheetData>
  <pageMargins left="0.7" right="0.7" top="0.75" bottom="0.75" header="0.3" footer="0.3"/>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01"/>
  <sheetViews>
    <sheetView workbookViewId="0">
      <selection sqref="A1:D1"/>
    </sheetView>
  </sheetViews>
  <sheetFormatPr defaultRowHeight="14.5" x14ac:dyDescent="0.35"/>
  <cols>
    <col min="1" max="2" width="48.54296875" customWidth="1"/>
    <col min="3" max="3" width="16.1796875" customWidth="1"/>
    <col min="4" max="4" width="21.7265625" customWidth="1"/>
    <col min="5" max="5" width="25.54296875" customWidth="1"/>
    <col min="6" max="6" width="19.54296875" customWidth="1"/>
    <col min="7" max="7" width="25.54296875" customWidth="1"/>
    <col min="8" max="8" width="17.54296875" customWidth="1"/>
    <col min="9" max="9" width="25.54296875" customWidth="1"/>
    <col min="10" max="10" width="21.54296875" customWidth="1"/>
    <col min="11" max="12" width="25.54296875" customWidth="1"/>
    <col min="13" max="13" width="22.453125" customWidth="1"/>
    <col min="14" max="14" width="17.54296875" customWidth="1"/>
    <col min="15" max="15" width="22.453125" customWidth="1"/>
    <col min="16" max="17" width="21.1796875" customWidth="1"/>
    <col min="18" max="19" width="22.453125" customWidth="1"/>
    <col min="20" max="20" width="21.1796875" customWidth="1"/>
    <col min="21" max="21" width="22.453125" customWidth="1"/>
    <col min="22" max="23" width="21.1796875" customWidth="1"/>
    <col min="24" max="24" width="25.81640625" customWidth="1"/>
    <col min="25" max="25" width="25.1796875" customWidth="1"/>
    <col min="26" max="26" width="22.453125" customWidth="1"/>
    <col min="27" max="27" width="25.1796875" customWidth="1"/>
    <col min="28" max="28" width="22.453125" customWidth="1"/>
    <col min="29" max="29" width="23.81640625" customWidth="1"/>
    <col min="30" max="30" width="21.1796875" customWidth="1"/>
    <col min="31" max="31" width="16.1796875" customWidth="1"/>
    <col min="32" max="32" width="21.1796875" customWidth="1"/>
    <col min="33" max="33" width="22.453125" customWidth="1"/>
    <col min="34" max="34" width="23.81640625" customWidth="1"/>
    <col min="35" max="37" width="22.453125" customWidth="1"/>
    <col min="38" max="38" width="19.54296875" customWidth="1"/>
    <col min="39" max="39" width="21.1796875" customWidth="1"/>
    <col min="40" max="41" width="16.1796875" customWidth="1"/>
    <col min="42" max="42" width="17.54296875" customWidth="1"/>
    <col min="43" max="45" width="22.453125" customWidth="1"/>
    <col min="46" max="46" width="23.26953125" customWidth="1"/>
  </cols>
  <sheetData>
    <row r="1" spans="1:46" ht="40" customHeight="1" x14ac:dyDescent="0.35">
      <c r="A1" s="17"/>
      <c r="B1" s="17"/>
      <c r="C1" s="17"/>
      <c r="D1" s="17"/>
    </row>
    <row r="2" spans="1:46" ht="30" customHeight="1" x14ac:dyDescent="0.45">
      <c r="A2" s="1" t="s">
        <v>873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8" t="s">
        <v>2</v>
      </c>
      <c r="B6" s="18" t="s">
        <v>3</v>
      </c>
      <c r="C6" s="18" t="s">
        <v>4</v>
      </c>
      <c r="D6" s="18" t="s">
        <v>5</v>
      </c>
      <c r="E6" s="19" t="s">
        <v>6</v>
      </c>
      <c r="F6" s="19" t="s">
        <v>7</v>
      </c>
      <c r="G6" s="19" t="s">
        <v>8</v>
      </c>
      <c r="H6" s="19" t="s">
        <v>9</v>
      </c>
      <c r="I6" s="19" t="s">
        <v>10</v>
      </c>
      <c r="J6" s="19" t="s">
        <v>11</v>
      </c>
      <c r="K6" s="19" t="s">
        <v>12</v>
      </c>
      <c r="L6" s="19" t="s">
        <v>13</v>
      </c>
      <c r="M6" s="19" t="s">
        <v>14</v>
      </c>
      <c r="N6" s="19" t="s">
        <v>15</v>
      </c>
      <c r="O6" s="19" t="s">
        <v>16</v>
      </c>
      <c r="P6" s="19" t="s">
        <v>17</v>
      </c>
      <c r="Q6" s="19" t="s">
        <v>18</v>
      </c>
      <c r="R6" s="19" t="s">
        <v>19</v>
      </c>
      <c r="S6" s="19" t="s">
        <v>20</v>
      </c>
      <c r="T6" s="19" t="s">
        <v>21</v>
      </c>
      <c r="U6" s="19" t="s">
        <v>22</v>
      </c>
      <c r="V6" s="19" t="s">
        <v>23</v>
      </c>
      <c r="W6" s="19" t="s">
        <v>24</v>
      </c>
      <c r="X6" s="19" t="s">
        <v>25</v>
      </c>
      <c r="Y6" s="19" t="s">
        <v>26</v>
      </c>
      <c r="Z6" s="19" t="s">
        <v>27</v>
      </c>
      <c r="AA6" s="19" t="s">
        <v>28</v>
      </c>
      <c r="AB6" s="19" t="s">
        <v>29</v>
      </c>
      <c r="AC6" s="19" t="s">
        <v>30</v>
      </c>
      <c r="AD6" s="19" t="s">
        <v>31</v>
      </c>
      <c r="AE6" s="19" t="s">
        <v>32</v>
      </c>
      <c r="AF6" s="19" t="s">
        <v>33</v>
      </c>
      <c r="AG6" s="19" t="s">
        <v>34</v>
      </c>
      <c r="AH6" s="19" t="s">
        <v>35</v>
      </c>
      <c r="AI6" s="19" t="s">
        <v>36</v>
      </c>
      <c r="AJ6" s="19" t="s">
        <v>37</v>
      </c>
      <c r="AK6" s="19" t="s">
        <v>38</v>
      </c>
      <c r="AL6" s="19" t="s">
        <v>39</v>
      </c>
      <c r="AM6" s="19" t="s">
        <v>40</v>
      </c>
      <c r="AN6" s="19" t="s">
        <v>41</v>
      </c>
      <c r="AO6" s="19" t="s">
        <v>42</v>
      </c>
      <c r="AP6" s="19" t="s">
        <v>43</v>
      </c>
      <c r="AQ6" s="19" t="s">
        <v>44</v>
      </c>
      <c r="AR6" s="19" t="s">
        <v>45</v>
      </c>
      <c r="AS6" s="19" t="s">
        <v>46</v>
      </c>
      <c r="AT6" s="19" t="s">
        <v>47</v>
      </c>
    </row>
    <row r="7" spans="1:46" x14ac:dyDescent="0.35">
      <c r="A7" s="18"/>
      <c r="B7" s="18"/>
      <c r="C7" s="18"/>
      <c r="D7" s="18"/>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row>
    <row r="8" spans="1:46" x14ac:dyDescent="0.35">
      <c r="A8" s="18"/>
      <c r="B8" s="18"/>
      <c r="C8" s="18"/>
      <c r="D8" s="18"/>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row>
    <row r="9" spans="1:46" x14ac:dyDescent="0.35">
      <c r="A9" s="18"/>
      <c r="B9" s="18"/>
      <c r="C9" s="18"/>
      <c r="D9" s="18"/>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row>
    <row r="10" spans="1:46" x14ac:dyDescent="0.35">
      <c r="A10" s="5">
        <v>46022</v>
      </c>
      <c r="B10" s="4" t="s">
        <v>48</v>
      </c>
      <c r="C10" s="4" t="s">
        <v>49</v>
      </c>
      <c r="D10" s="4" t="s">
        <v>50</v>
      </c>
      <c r="E10" s="6">
        <v>164059.475989</v>
      </c>
      <c r="F10" s="6">
        <v>0</v>
      </c>
      <c r="G10" s="6">
        <v>164059.475989</v>
      </c>
      <c r="H10" s="6">
        <v>3.3481529999999999</v>
      </c>
      <c r="I10" s="6">
        <v>49000</v>
      </c>
      <c r="J10" s="6">
        <v>0</v>
      </c>
      <c r="K10" s="6">
        <v>49000</v>
      </c>
      <c r="L10" s="6">
        <v>49000</v>
      </c>
      <c r="M10" s="7">
        <v>0.54424899999999998</v>
      </c>
      <c r="N10" s="7">
        <v>5.279973</v>
      </c>
      <c r="O10" s="7">
        <v>0.125444</v>
      </c>
      <c r="P10" s="7">
        <v>5.3202809999999996</v>
      </c>
      <c r="Q10" s="7">
        <v>11.269947</v>
      </c>
      <c r="R10" s="7">
        <v>0.19053300000000001</v>
      </c>
      <c r="S10" s="7">
        <v>3.4996149999999999</v>
      </c>
      <c r="T10" s="7">
        <v>1.541641</v>
      </c>
      <c r="U10" s="7">
        <v>4.2820099999999996</v>
      </c>
      <c r="V10" s="7">
        <v>9.5137990000000006</v>
      </c>
      <c r="W10" s="7">
        <v>20.783746000000001</v>
      </c>
      <c r="X10" s="7">
        <v>2.0882217365516569</v>
      </c>
      <c r="Y10" s="7">
        <v>6.6119653565645438</v>
      </c>
      <c r="Z10" s="7">
        <v>29.4839330931162</v>
      </c>
      <c r="AA10" s="7">
        <v>2.1867708424750338</v>
      </c>
      <c r="AB10" s="7">
        <v>31.670703935591231</v>
      </c>
      <c r="AC10" s="7">
        <v>0</v>
      </c>
      <c r="AD10" s="7">
        <v>19.965608</v>
      </c>
      <c r="AE10" s="7">
        <v>0</v>
      </c>
      <c r="AF10" s="7">
        <v>0</v>
      </c>
      <c r="AG10" s="7">
        <v>51.63631193559123</v>
      </c>
      <c r="AH10" s="7">
        <v>0.92209399999999997</v>
      </c>
      <c r="AI10" s="7">
        <v>0</v>
      </c>
      <c r="AJ10" s="7">
        <v>15.572792</v>
      </c>
      <c r="AK10" s="7">
        <v>48.165589935591228</v>
      </c>
      <c r="AL10" s="7">
        <v>0.35714299999999999</v>
      </c>
      <c r="AM10" s="7">
        <v>0</v>
      </c>
      <c r="AN10" s="7">
        <v>0</v>
      </c>
      <c r="AO10" s="7">
        <v>0</v>
      </c>
      <c r="AP10" s="7">
        <v>0</v>
      </c>
      <c r="AQ10" s="7">
        <v>48.522732935591229</v>
      </c>
      <c r="AR10" s="7">
        <v>99.057518670683365</v>
      </c>
      <c r="AS10" s="7">
        <v>69.573585577567172</v>
      </c>
      <c r="AT10" s="7">
        <v>67.386814735092145</v>
      </c>
    </row>
    <row r="11" spans="1:46" x14ac:dyDescent="0.35">
      <c r="A11" s="5">
        <v>46022</v>
      </c>
      <c r="B11" s="4" t="s">
        <v>51</v>
      </c>
      <c r="C11" s="4" t="s">
        <v>52</v>
      </c>
      <c r="D11" s="4" t="s">
        <v>50</v>
      </c>
      <c r="E11" s="6">
        <v>220000</v>
      </c>
      <c r="F11" s="6">
        <v>0</v>
      </c>
      <c r="G11" s="6">
        <v>220000</v>
      </c>
      <c r="H11" s="6">
        <v>5.2380950000000004</v>
      </c>
      <c r="I11" s="6">
        <v>42000</v>
      </c>
      <c r="J11" s="6">
        <v>0</v>
      </c>
      <c r="K11" s="6">
        <v>42000</v>
      </c>
      <c r="L11" s="6">
        <v>42000</v>
      </c>
      <c r="M11" s="7">
        <v>1.4868669999999999</v>
      </c>
      <c r="N11" s="7">
        <v>1.546789</v>
      </c>
      <c r="O11" s="7">
        <v>0.89508200000000004</v>
      </c>
      <c r="P11" s="7">
        <v>3.6275629999999999</v>
      </c>
      <c r="Q11" s="7">
        <v>7.5563010000000004</v>
      </c>
      <c r="R11" s="7">
        <v>0.40905900000000001</v>
      </c>
      <c r="S11" s="7">
        <v>0.94320899999999996</v>
      </c>
      <c r="T11" s="7">
        <v>4.2706860000000004</v>
      </c>
      <c r="U11" s="7">
        <v>1.4123399999999999</v>
      </c>
      <c r="V11" s="7">
        <v>7.0352940000000004</v>
      </c>
      <c r="W11" s="7">
        <v>14.591595</v>
      </c>
      <c r="X11" s="7">
        <v>1.1059220899285711</v>
      </c>
      <c r="Y11" s="7">
        <v>1.5925452662214441</v>
      </c>
      <c r="Z11" s="7">
        <v>17.29006235615002</v>
      </c>
      <c r="AA11" s="7">
        <v>0.37125777718979919</v>
      </c>
      <c r="AB11" s="7">
        <v>17.66132013333981</v>
      </c>
      <c r="AC11" s="7">
        <v>0</v>
      </c>
      <c r="AD11" s="7">
        <v>13.2761</v>
      </c>
      <c r="AE11" s="7">
        <v>0</v>
      </c>
      <c r="AF11" s="7">
        <v>0</v>
      </c>
      <c r="AG11" s="7">
        <v>30.93742013333981</v>
      </c>
      <c r="AH11" s="7">
        <v>1</v>
      </c>
      <c r="AI11" s="7">
        <v>0</v>
      </c>
      <c r="AJ11" s="7">
        <v>10.952381000000001</v>
      </c>
      <c r="AK11" s="7">
        <v>29.61370113333982</v>
      </c>
      <c r="AL11" s="7">
        <v>1.1904760000000001</v>
      </c>
      <c r="AM11" s="7">
        <v>0</v>
      </c>
      <c r="AN11" s="7">
        <v>0</v>
      </c>
      <c r="AO11" s="7">
        <v>0</v>
      </c>
      <c r="AP11" s="7">
        <v>0</v>
      </c>
      <c r="AQ11" s="7">
        <v>30.80417713333982</v>
      </c>
      <c r="AR11" s="7">
        <v>34.596344853284741</v>
      </c>
      <c r="AS11" s="7">
        <v>17.306282497134731</v>
      </c>
      <c r="AT11" s="7">
        <v>16.935024719944931</v>
      </c>
    </row>
    <row r="12" spans="1:46" x14ac:dyDescent="0.35">
      <c r="A12" s="5">
        <v>46022</v>
      </c>
      <c r="B12" s="4" t="s">
        <v>53</v>
      </c>
      <c r="C12" s="4" t="s">
        <v>54</v>
      </c>
      <c r="D12" s="4" t="s">
        <v>55</v>
      </c>
      <c r="E12" s="6">
        <v>0</v>
      </c>
      <c r="F12" s="6">
        <v>0</v>
      </c>
      <c r="G12" s="6">
        <v>0</v>
      </c>
      <c r="H12" s="6">
        <v>0</v>
      </c>
      <c r="I12" s="6">
        <v>0</v>
      </c>
      <c r="J12" s="6">
        <v>950</v>
      </c>
      <c r="K12" s="6">
        <v>950</v>
      </c>
      <c r="L12" s="6">
        <v>950</v>
      </c>
      <c r="M12" s="7">
        <v>12.674286</v>
      </c>
      <c r="N12" s="7">
        <v>10.96529</v>
      </c>
      <c r="O12" s="7">
        <v>1.6657919999999999</v>
      </c>
      <c r="P12" s="7">
        <v>10.496243</v>
      </c>
      <c r="Q12" s="7">
        <v>35.801611000000001</v>
      </c>
      <c r="R12" s="7">
        <v>7.9809799999999989</v>
      </c>
      <c r="S12" s="7">
        <v>2.758804</v>
      </c>
      <c r="T12" s="7">
        <v>3.6908500000000002</v>
      </c>
      <c r="U12" s="7">
        <v>6.7430250000000003</v>
      </c>
      <c r="V12" s="7">
        <v>21.173659000000001</v>
      </c>
      <c r="W12" s="7">
        <v>56.975270000000002</v>
      </c>
      <c r="X12" s="7">
        <v>7.6157975551419996</v>
      </c>
      <c r="Y12" s="7">
        <v>9.0404640763681012</v>
      </c>
      <c r="Z12" s="7">
        <v>73.6315316315101</v>
      </c>
      <c r="AA12" s="7">
        <v>15.755755682852991</v>
      </c>
      <c r="AB12" s="7">
        <v>89.387287314363078</v>
      </c>
      <c r="AC12" s="7">
        <v>1.272632</v>
      </c>
      <c r="AD12" s="7">
        <v>49.68468</v>
      </c>
      <c r="AE12" s="7">
        <v>0</v>
      </c>
      <c r="AF12" s="7">
        <v>0</v>
      </c>
      <c r="AG12" s="7">
        <v>140.34459931436311</v>
      </c>
      <c r="AH12" s="7">
        <v>2.9783179999999998</v>
      </c>
      <c r="AI12" s="7">
        <v>0</v>
      </c>
      <c r="AJ12" s="7">
        <v>12.718612</v>
      </c>
      <c r="AK12" s="7">
        <v>106.3568493143631</v>
      </c>
      <c r="AL12" s="7">
        <v>6.3157889999999997</v>
      </c>
      <c r="AM12" s="7">
        <v>0</v>
      </c>
      <c r="AN12" s="7">
        <v>0</v>
      </c>
      <c r="AO12" s="7">
        <v>0</v>
      </c>
      <c r="AP12" s="7">
        <v>0</v>
      </c>
      <c r="AQ12" s="7">
        <v>112.6726383143631</v>
      </c>
      <c r="AR12" s="7">
        <v>189.8077434966095</v>
      </c>
      <c r="AS12" s="7">
        <v>116.1762118650994</v>
      </c>
      <c r="AT12" s="7">
        <v>100.4204561822465</v>
      </c>
    </row>
    <row r="13" spans="1:46" x14ac:dyDescent="0.35">
      <c r="A13" s="5">
        <v>46022</v>
      </c>
      <c r="B13" s="4" t="s">
        <v>56</v>
      </c>
      <c r="C13" s="4" t="s">
        <v>57</v>
      </c>
      <c r="D13" s="4" t="s">
        <v>58</v>
      </c>
      <c r="E13" s="6">
        <v>40000</v>
      </c>
      <c r="F13" s="6">
        <v>0</v>
      </c>
      <c r="G13" s="6">
        <v>40000</v>
      </c>
      <c r="H13" s="6">
        <v>1.25</v>
      </c>
      <c r="I13" s="6">
        <v>32000</v>
      </c>
      <c r="J13" s="6">
        <v>0</v>
      </c>
      <c r="K13" s="6">
        <v>32000</v>
      </c>
      <c r="L13" s="6">
        <v>32000</v>
      </c>
      <c r="M13" s="7">
        <v>4.0958019999999999</v>
      </c>
      <c r="N13" s="7">
        <v>2.2279870000000002</v>
      </c>
      <c r="O13" s="7">
        <v>0.16237399999999999</v>
      </c>
      <c r="P13" s="7">
        <v>1.876768</v>
      </c>
      <c r="Q13" s="7">
        <v>8.3629309999999997</v>
      </c>
      <c r="R13" s="7">
        <v>0.99048000000000014</v>
      </c>
      <c r="S13" s="7">
        <v>1.041234</v>
      </c>
      <c r="T13" s="7">
        <v>2.340865</v>
      </c>
      <c r="U13" s="7">
        <v>0.410028</v>
      </c>
      <c r="V13" s="7">
        <v>4.7826069999999996</v>
      </c>
      <c r="W13" s="7">
        <v>13.145538</v>
      </c>
      <c r="X13" s="7">
        <v>0.398341766865</v>
      </c>
      <c r="Y13" s="7">
        <v>0</v>
      </c>
      <c r="Z13" s="7">
        <v>13.543879766865</v>
      </c>
      <c r="AA13" s="7">
        <v>0.10452481404461671</v>
      </c>
      <c r="AB13" s="7">
        <v>13.64840458090962</v>
      </c>
      <c r="AC13" s="7">
        <v>0</v>
      </c>
      <c r="AD13" s="7">
        <v>4.6799710000000001</v>
      </c>
      <c r="AE13" s="7">
        <v>0</v>
      </c>
      <c r="AF13" s="7">
        <v>0</v>
      </c>
      <c r="AG13" s="7">
        <v>18.328375580909618</v>
      </c>
      <c r="AH13" s="7">
        <v>0.28125</v>
      </c>
      <c r="AI13" s="7">
        <v>0</v>
      </c>
      <c r="AJ13" s="7">
        <v>2.4225910000000002</v>
      </c>
      <c r="AK13" s="7">
        <v>16.352245580909621</v>
      </c>
      <c r="AL13" s="7">
        <v>0</v>
      </c>
      <c r="AM13" s="7">
        <v>0</v>
      </c>
      <c r="AN13" s="7">
        <v>0</v>
      </c>
      <c r="AO13" s="7">
        <v>0</v>
      </c>
      <c r="AP13" s="7">
        <v>0</v>
      </c>
      <c r="AQ13" s="7">
        <v>16.352245580909621</v>
      </c>
      <c r="AR13" s="7">
        <v>22.361487243938281</v>
      </c>
      <c r="AS13" s="7">
        <v>8.8176074770732829</v>
      </c>
      <c r="AT13" s="7">
        <v>8.7130826630286649</v>
      </c>
    </row>
    <row r="14" spans="1:46" x14ac:dyDescent="0.35">
      <c r="A14" s="5">
        <v>46022</v>
      </c>
      <c r="B14" s="4" t="s">
        <v>59</v>
      </c>
      <c r="C14" s="4" t="s">
        <v>60</v>
      </c>
      <c r="D14" s="4" t="s">
        <v>61</v>
      </c>
      <c r="E14" s="6">
        <v>0</v>
      </c>
      <c r="F14" s="6">
        <v>0</v>
      </c>
      <c r="G14" s="6">
        <v>0</v>
      </c>
      <c r="H14" s="6">
        <v>0</v>
      </c>
      <c r="I14" s="6">
        <v>0</v>
      </c>
      <c r="J14" s="6">
        <v>2700</v>
      </c>
      <c r="K14" s="6">
        <v>2700</v>
      </c>
      <c r="L14" s="6">
        <v>2700</v>
      </c>
      <c r="M14" s="7">
        <v>4.9542919999999997</v>
      </c>
      <c r="N14" s="7">
        <v>0.48226799999999997</v>
      </c>
      <c r="O14" s="7">
        <v>1.517736</v>
      </c>
      <c r="P14" s="7">
        <v>7.7729090000000003</v>
      </c>
      <c r="Q14" s="7">
        <v>14.727205</v>
      </c>
      <c r="R14" s="7">
        <v>2.3891010000000001</v>
      </c>
      <c r="S14" s="7">
        <v>0.61582199999999998</v>
      </c>
      <c r="T14" s="7">
        <v>3.0183909999999998</v>
      </c>
      <c r="U14" s="7">
        <v>2.8912810000000002</v>
      </c>
      <c r="V14" s="7">
        <v>8.9145950000000003</v>
      </c>
      <c r="W14" s="7">
        <v>23.6418</v>
      </c>
      <c r="X14" s="7">
        <v>7.5036184819650371</v>
      </c>
      <c r="Y14" s="7">
        <v>10.26732534368074</v>
      </c>
      <c r="Z14" s="7">
        <v>41.412743825645776</v>
      </c>
      <c r="AA14" s="7">
        <v>7.1579737512546231</v>
      </c>
      <c r="AB14" s="7">
        <v>48.5707175769004</v>
      </c>
      <c r="AC14" s="7">
        <v>0</v>
      </c>
      <c r="AD14" s="7">
        <v>7.9840479999999996</v>
      </c>
      <c r="AE14" s="7">
        <v>0</v>
      </c>
      <c r="AF14" s="7">
        <v>0</v>
      </c>
      <c r="AG14" s="7">
        <v>56.554765576900401</v>
      </c>
      <c r="AH14" s="7">
        <v>2.038351</v>
      </c>
      <c r="AI14" s="7">
        <v>0</v>
      </c>
      <c r="AJ14" s="7">
        <v>2.54548</v>
      </c>
      <c r="AK14" s="7">
        <v>53.154548576900403</v>
      </c>
      <c r="AL14" s="7">
        <v>0</v>
      </c>
      <c r="AM14" s="7">
        <v>0</v>
      </c>
      <c r="AN14" s="7">
        <v>0</v>
      </c>
      <c r="AO14" s="7">
        <v>0</v>
      </c>
      <c r="AP14" s="7">
        <v>0</v>
      </c>
      <c r="AQ14" s="7">
        <v>53.154548576900403</v>
      </c>
      <c r="AR14" s="7">
        <v>178.94906868594839</v>
      </c>
      <c r="AS14" s="7">
        <v>137.53632486030261</v>
      </c>
      <c r="AT14" s="7">
        <v>130.378351109048</v>
      </c>
    </row>
    <row r="15" spans="1:46" x14ac:dyDescent="0.35">
      <c r="A15" s="5">
        <v>46022</v>
      </c>
      <c r="B15" s="4" t="s">
        <v>62</v>
      </c>
      <c r="C15" s="4" t="s">
        <v>63</v>
      </c>
      <c r="D15" s="4" t="s">
        <v>61</v>
      </c>
      <c r="E15" s="6">
        <v>0</v>
      </c>
      <c r="F15" s="6">
        <v>0</v>
      </c>
      <c r="G15" s="6">
        <v>0</v>
      </c>
      <c r="H15" s="6">
        <v>0</v>
      </c>
      <c r="I15" s="6">
        <v>0</v>
      </c>
      <c r="J15" s="6">
        <v>339.41</v>
      </c>
      <c r="K15" s="6">
        <v>339.41</v>
      </c>
      <c r="L15" s="6">
        <v>339.41</v>
      </c>
      <c r="M15" s="7">
        <v>4.0815720000000004</v>
      </c>
      <c r="N15" s="7">
        <v>0.29922900000000002</v>
      </c>
      <c r="O15" s="7">
        <v>2.4928300000000001</v>
      </c>
      <c r="P15" s="7">
        <v>4.9866669999999997</v>
      </c>
      <c r="Q15" s="7">
        <v>11.860298</v>
      </c>
      <c r="R15" s="7">
        <v>1.32358</v>
      </c>
      <c r="S15" s="7">
        <v>2.4395199999999999</v>
      </c>
      <c r="T15" s="7">
        <v>2.9776349999999998</v>
      </c>
      <c r="U15" s="7">
        <v>3.9259080000000002</v>
      </c>
      <c r="V15" s="7">
        <v>10.666643000000001</v>
      </c>
      <c r="W15" s="7">
        <v>22.526941000000001</v>
      </c>
      <c r="X15" s="7">
        <v>0.4757261145534899</v>
      </c>
      <c r="Y15" s="7">
        <v>2.561174927228298</v>
      </c>
      <c r="Z15" s="7">
        <v>25.56384204178179</v>
      </c>
      <c r="AA15" s="7">
        <v>7.1370457595466741</v>
      </c>
      <c r="AB15" s="7">
        <v>32.700887801328463</v>
      </c>
      <c r="AC15" s="7">
        <v>0</v>
      </c>
      <c r="AD15" s="7">
        <v>0.52545799999999998</v>
      </c>
      <c r="AE15" s="7">
        <v>0</v>
      </c>
      <c r="AF15" s="7">
        <v>0</v>
      </c>
      <c r="AG15" s="7">
        <v>33.226345801328463</v>
      </c>
      <c r="AH15" s="7">
        <v>1.734307</v>
      </c>
      <c r="AI15" s="7">
        <v>0</v>
      </c>
      <c r="AJ15" s="7">
        <v>0.52545799999999998</v>
      </c>
      <c r="AK15" s="7">
        <v>34.960652801328457</v>
      </c>
      <c r="AL15" s="7">
        <v>0</v>
      </c>
      <c r="AM15" s="7">
        <v>0</v>
      </c>
      <c r="AN15" s="7">
        <v>0</v>
      </c>
      <c r="AO15" s="7">
        <v>0</v>
      </c>
      <c r="AP15" s="7">
        <v>0</v>
      </c>
      <c r="AQ15" s="7">
        <v>34.960652801328457</v>
      </c>
      <c r="AR15" s="7">
        <v>41.251936837837249</v>
      </c>
      <c r="AS15" s="7">
        <v>15.688094796055459</v>
      </c>
      <c r="AT15" s="7">
        <v>8.5510490365087897</v>
      </c>
    </row>
    <row r="16" spans="1:46" x14ac:dyDescent="0.35">
      <c r="A16" s="5">
        <v>46022</v>
      </c>
      <c r="B16" s="4" t="s">
        <v>64</v>
      </c>
      <c r="C16" s="4" t="s">
        <v>65</v>
      </c>
      <c r="D16" s="4" t="s">
        <v>66</v>
      </c>
      <c r="E16" s="6">
        <v>0</v>
      </c>
      <c r="F16" s="6">
        <v>0</v>
      </c>
      <c r="G16" s="6">
        <v>0</v>
      </c>
      <c r="H16" s="6">
        <v>0</v>
      </c>
      <c r="I16" s="6">
        <v>0</v>
      </c>
      <c r="J16" s="6">
        <v>87.127700000000004</v>
      </c>
      <c r="K16" s="6">
        <v>87.127700000000004</v>
      </c>
      <c r="L16" s="6">
        <v>87.127700000000004</v>
      </c>
      <c r="M16" s="7">
        <v>30.939741476086962</v>
      </c>
      <c r="N16" s="7">
        <v>2.640587</v>
      </c>
      <c r="O16" s="7">
        <v>5.5772866152173917</v>
      </c>
      <c r="P16" s="7">
        <v>12.1352415826087</v>
      </c>
      <c r="Q16" s="7">
        <v>51.29285667391305</v>
      </c>
      <c r="R16" s="7">
        <v>32.230240926086957</v>
      </c>
      <c r="S16" s="7">
        <v>1.3548718739130441</v>
      </c>
      <c r="T16" s="7">
        <v>3.4530542478260871</v>
      </c>
      <c r="U16" s="7">
        <v>14.83466706521739</v>
      </c>
      <c r="V16" s="7">
        <v>51.872834113043481</v>
      </c>
      <c r="W16" s="7">
        <v>103.1656907869565</v>
      </c>
      <c r="X16" s="7">
        <v>2.4824766462261709</v>
      </c>
      <c r="Y16" s="7">
        <v>3.7320224572072109</v>
      </c>
      <c r="Z16" s="7">
        <v>109.3801898903899</v>
      </c>
      <c r="AA16" s="7">
        <v>3.0516376145449091</v>
      </c>
      <c r="AB16" s="7">
        <v>112.4318275049348</v>
      </c>
      <c r="AC16" s="7">
        <v>0</v>
      </c>
      <c r="AD16" s="7">
        <v>21.057912252173921</v>
      </c>
      <c r="AE16" s="7">
        <v>0</v>
      </c>
      <c r="AF16" s="7">
        <v>0</v>
      </c>
      <c r="AG16" s="7">
        <v>133.48973975710871</v>
      </c>
      <c r="AH16" s="7">
        <v>78.498219402173916</v>
      </c>
      <c r="AI16" s="7">
        <v>0</v>
      </c>
      <c r="AJ16" s="7">
        <v>3.4207662043478262</v>
      </c>
      <c r="AK16" s="7">
        <v>194.3508131114566</v>
      </c>
      <c r="AL16" s="7">
        <v>0</v>
      </c>
      <c r="AM16" s="7">
        <v>0</v>
      </c>
      <c r="AN16" s="7">
        <v>0</v>
      </c>
      <c r="AO16" s="7">
        <v>0</v>
      </c>
      <c r="AP16" s="7">
        <v>0</v>
      </c>
      <c r="AQ16" s="7">
        <v>194.3508131114566</v>
      </c>
      <c r="AR16" s="7">
        <v>61.033191982503268</v>
      </c>
      <c r="AS16" s="7">
        <v>-48.346997907886639</v>
      </c>
      <c r="AT16" s="7">
        <v>-51.398635522431547</v>
      </c>
    </row>
    <row r="17" spans="1:46" x14ac:dyDescent="0.35">
      <c r="A17" s="5">
        <v>46022</v>
      </c>
      <c r="B17" s="4" t="s">
        <v>67</v>
      </c>
      <c r="C17" s="4" t="s">
        <v>68</v>
      </c>
      <c r="D17" s="4" t="s">
        <v>69</v>
      </c>
      <c r="E17" s="6">
        <v>1283.04</v>
      </c>
      <c r="F17" s="6">
        <v>0</v>
      </c>
      <c r="G17" s="6">
        <v>1283.04</v>
      </c>
      <c r="H17" s="6">
        <v>0.18</v>
      </c>
      <c r="I17" s="6">
        <v>7128</v>
      </c>
      <c r="J17" s="6">
        <v>0</v>
      </c>
      <c r="K17" s="6">
        <v>7128</v>
      </c>
      <c r="L17" s="6">
        <v>7128</v>
      </c>
      <c r="M17" s="7">
        <v>0.66146799999999994</v>
      </c>
      <c r="N17" s="7">
        <v>1.0740130000000001</v>
      </c>
      <c r="O17" s="7">
        <v>1.4474000000000001E-2</v>
      </c>
      <c r="P17" s="7">
        <v>0.39151900000000001</v>
      </c>
      <c r="Q17" s="7">
        <v>2.1414740000000001</v>
      </c>
      <c r="R17" s="7">
        <v>0.64965700000000015</v>
      </c>
      <c r="S17" s="7">
        <v>0.75669799999999998</v>
      </c>
      <c r="T17" s="7">
        <v>1.1869769999999999</v>
      </c>
      <c r="U17" s="7">
        <v>0.44791399999999998</v>
      </c>
      <c r="V17" s="7">
        <v>3.0412460000000001</v>
      </c>
      <c r="W17" s="7">
        <v>5.1827199999999998</v>
      </c>
      <c r="X17" s="7">
        <v>0</v>
      </c>
      <c r="Y17" s="7">
        <v>0</v>
      </c>
      <c r="Z17" s="7">
        <v>5.1827199999999998</v>
      </c>
      <c r="AA17" s="7">
        <v>1.3447195846548821</v>
      </c>
      <c r="AB17" s="7">
        <v>6.5274395846548821</v>
      </c>
      <c r="AC17" s="7">
        <v>0</v>
      </c>
      <c r="AD17" s="7">
        <v>2.7183639999999998</v>
      </c>
      <c r="AE17" s="7">
        <v>0</v>
      </c>
      <c r="AF17" s="7">
        <v>0</v>
      </c>
      <c r="AG17" s="7">
        <v>9.2458035846548814</v>
      </c>
      <c r="AH17" s="7">
        <v>1.0866659999999999</v>
      </c>
      <c r="AI17" s="7">
        <v>0</v>
      </c>
      <c r="AJ17" s="7">
        <v>0.98375100000000015</v>
      </c>
      <c r="AK17" s="7">
        <v>8.5978565846548811</v>
      </c>
      <c r="AL17" s="7">
        <v>0</v>
      </c>
      <c r="AM17" s="7">
        <v>0.147312</v>
      </c>
      <c r="AN17" s="7">
        <v>0</v>
      </c>
      <c r="AO17" s="7">
        <v>0</v>
      </c>
      <c r="AP17" s="7">
        <v>0</v>
      </c>
      <c r="AQ17" s="7">
        <v>8.7451685846548823</v>
      </c>
      <c r="AR17" s="7">
        <v>19.485300884699502</v>
      </c>
      <c r="AS17" s="7">
        <v>14.3025808846995</v>
      </c>
      <c r="AT17" s="7">
        <v>12.957861300044611</v>
      </c>
    </row>
    <row r="18" spans="1:46" x14ac:dyDescent="0.35">
      <c r="A18" s="5">
        <v>46022</v>
      </c>
      <c r="B18" s="4" t="s">
        <v>70</v>
      </c>
      <c r="C18" s="4" t="s">
        <v>71</v>
      </c>
      <c r="D18" s="4" t="s">
        <v>61</v>
      </c>
      <c r="E18" s="6">
        <v>0</v>
      </c>
      <c r="F18" s="6">
        <v>0</v>
      </c>
      <c r="G18" s="6">
        <v>0</v>
      </c>
      <c r="H18" s="6">
        <v>0</v>
      </c>
      <c r="I18" s="6">
        <v>0</v>
      </c>
      <c r="J18" s="6">
        <v>165</v>
      </c>
      <c r="K18" s="6">
        <v>165</v>
      </c>
      <c r="L18" s="6">
        <v>165</v>
      </c>
      <c r="M18" s="7">
        <v>3.209079</v>
      </c>
      <c r="N18" s="7">
        <v>0</v>
      </c>
      <c r="O18" s="7">
        <v>0.84201700000000002</v>
      </c>
      <c r="P18" s="7">
        <v>5.391343</v>
      </c>
      <c r="Q18" s="7">
        <v>9.4424390000000002</v>
      </c>
      <c r="R18" s="7">
        <v>3.4739140000000002</v>
      </c>
      <c r="S18" s="7">
        <v>1.7833669999999999</v>
      </c>
      <c r="T18" s="7">
        <v>2.8105519999999999</v>
      </c>
      <c r="U18" s="7">
        <v>2.4982540000000002</v>
      </c>
      <c r="V18" s="7">
        <v>10.566087</v>
      </c>
      <c r="W18" s="7">
        <v>20.008526</v>
      </c>
      <c r="X18" s="7">
        <v>5.9160325099830304</v>
      </c>
      <c r="Y18" s="7">
        <v>12.75393673590915</v>
      </c>
      <c r="Z18" s="7">
        <v>38.678495245892179</v>
      </c>
      <c r="AA18" s="7">
        <v>7.4754258571483829</v>
      </c>
      <c r="AB18" s="7">
        <v>46.15392110304056</v>
      </c>
      <c r="AC18" s="7">
        <v>0</v>
      </c>
      <c r="AD18" s="7">
        <v>3.919365</v>
      </c>
      <c r="AE18" s="7">
        <v>0</v>
      </c>
      <c r="AF18" s="7">
        <v>0</v>
      </c>
      <c r="AG18" s="7">
        <v>50.073286103040559</v>
      </c>
      <c r="AH18" s="7">
        <v>2.247665</v>
      </c>
      <c r="AI18" s="7">
        <v>0</v>
      </c>
      <c r="AJ18" s="7">
        <v>1.0816889999999999</v>
      </c>
      <c r="AK18" s="7">
        <v>49.483275103040562</v>
      </c>
      <c r="AL18" s="7">
        <v>0</v>
      </c>
      <c r="AM18" s="7">
        <v>0</v>
      </c>
      <c r="AN18" s="7">
        <v>0</v>
      </c>
      <c r="AO18" s="7">
        <v>0</v>
      </c>
      <c r="AP18" s="7">
        <v>0</v>
      </c>
      <c r="AQ18" s="7">
        <v>49.483275103040562</v>
      </c>
      <c r="AR18" s="7">
        <v>49.386031568977522</v>
      </c>
      <c r="AS18" s="7">
        <v>10.707536323085341</v>
      </c>
      <c r="AT18" s="7">
        <v>3.2321104659369562</v>
      </c>
    </row>
    <row r="19" spans="1:46" x14ac:dyDescent="0.35">
      <c r="A19" s="5">
        <v>46022</v>
      </c>
      <c r="B19" s="4" t="s">
        <v>72</v>
      </c>
      <c r="C19" s="4" t="s">
        <v>73</v>
      </c>
      <c r="D19" s="4" t="s">
        <v>74</v>
      </c>
      <c r="E19" s="6">
        <v>0</v>
      </c>
      <c r="F19" s="6">
        <v>0</v>
      </c>
      <c r="G19" s="6">
        <v>0</v>
      </c>
      <c r="H19" s="6">
        <v>0</v>
      </c>
      <c r="I19" s="6">
        <v>0</v>
      </c>
      <c r="J19" s="6">
        <v>500</v>
      </c>
      <c r="K19" s="6">
        <v>500</v>
      </c>
      <c r="L19" s="6">
        <v>500</v>
      </c>
      <c r="M19" s="7">
        <v>11.844981000000001</v>
      </c>
      <c r="N19" s="7">
        <v>1.268734</v>
      </c>
      <c r="O19" s="7">
        <v>0.75775700000000001</v>
      </c>
      <c r="P19" s="7">
        <v>6.1715920000000013</v>
      </c>
      <c r="Q19" s="7">
        <v>20.043064000000001</v>
      </c>
      <c r="R19" s="7">
        <v>5.9116650000000002</v>
      </c>
      <c r="S19" s="7">
        <v>2.9735559999999999</v>
      </c>
      <c r="T19" s="7">
        <v>7.0501290000000001</v>
      </c>
      <c r="U19" s="7">
        <v>5.831785</v>
      </c>
      <c r="V19" s="7">
        <v>21.767135</v>
      </c>
      <c r="W19" s="7">
        <v>41.810198999999997</v>
      </c>
      <c r="X19" s="7">
        <v>12.295779570983999</v>
      </c>
      <c r="Y19" s="7">
        <v>22.372839920000001</v>
      </c>
      <c r="Z19" s="7">
        <v>76.478818490983997</v>
      </c>
      <c r="AA19" s="7">
        <v>0</v>
      </c>
      <c r="AB19" s="7">
        <v>76.478818490983997</v>
      </c>
      <c r="AC19" s="7">
        <v>0</v>
      </c>
      <c r="AD19" s="7">
        <v>16.356777000000001</v>
      </c>
      <c r="AE19" s="7">
        <v>0</v>
      </c>
      <c r="AF19" s="7">
        <v>0</v>
      </c>
      <c r="AG19" s="7">
        <v>92.835595490984005</v>
      </c>
      <c r="AH19" s="7">
        <v>6.2626929999999996</v>
      </c>
      <c r="AI19" s="7">
        <v>0</v>
      </c>
      <c r="AJ19" s="7">
        <v>11.112114</v>
      </c>
      <c r="AK19" s="7">
        <v>93.853625490984001</v>
      </c>
      <c r="AL19" s="7">
        <v>0</v>
      </c>
      <c r="AM19" s="7">
        <v>0</v>
      </c>
      <c r="AN19" s="7">
        <v>0</v>
      </c>
      <c r="AO19" s="7">
        <v>0</v>
      </c>
      <c r="AP19" s="7">
        <v>0</v>
      </c>
      <c r="AQ19" s="7">
        <v>93.853625490984001</v>
      </c>
      <c r="AR19" s="7">
        <v>266.03573013740942</v>
      </c>
      <c r="AS19" s="7">
        <v>189.55691164642539</v>
      </c>
      <c r="AT19" s="7">
        <v>189.55691164642539</v>
      </c>
    </row>
    <row r="20" spans="1:46" x14ac:dyDescent="0.35">
      <c r="A20" s="5">
        <v>46022</v>
      </c>
      <c r="B20" s="4" t="s">
        <v>75</v>
      </c>
      <c r="C20" s="4" t="s">
        <v>76</v>
      </c>
      <c r="D20" s="4" t="s">
        <v>61</v>
      </c>
      <c r="E20" s="6">
        <v>0</v>
      </c>
      <c r="F20" s="6">
        <v>0</v>
      </c>
      <c r="G20" s="6">
        <v>0</v>
      </c>
      <c r="H20" s="6">
        <v>0</v>
      </c>
      <c r="I20" s="6">
        <v>0</v>
      </c>
      <c r="J20" s="6">
        <v>1024.48</v>
      </c>
      <c r="K20" s="6">
        <v>1024.48</v>
      </c>
      <c r="L20" s="6">
        <v>1024.48</v>
      </c>
      <c r="M20" s="7">
        <v>9.1076304943820219</v>
      </c>
      <c r="N20" s="7">
        <v>1.4519580000000001</v>
      </c>
      <c r="O20" s="7">
        <v>3.9363932247191009</v>
      </c>
      <c r="P20" s="7">
        <v>5.5844541741573028</v>
      </c>
      <c r="Q20" s="7">
        <v>20.080435893258429</v>
      </c>
      <c r="R20" s="7">
        <v>1.2649486797752809</v>
      </c>
      <c r="S20" s="7">
        <v>1.932560050561797</v>
      </c>
      <c r="T20" s="7">
        <v>2.814940404494382</v>
      </c>
      <c r="U20" s="7">
        <v>3.8892880561797751</v>
      </c>
      <c r="V20" s="7">
        <v>9.9017371910112342</v>
      </c>
      <c r="W20" s="7">
        <v>29.982173084269661</v>
      </c>
      <c r="X20" s="7">
        <v>0.36752793875917539</v>
      </c>
      <c r="Y20" s="7">
        <v>3.1795295380946862</v>
      </c>
      <c r="Z20" s="7">
        <v>33.529230561123519</v>
      </c>
      <c r="AA20" s="7">
        <v>5.3082427590499792</v>
      </c>
      <c r="AB20" s="7">
        <v>38.837473320173501</v>
      </c>
      <c r="AC20" s="7">
        <v>0</v>
      </c>
      <c r="AD20" s="7">
        <v>1.2002953707865169</v>
      </c>
      <c r="AE20" s="7">
        <v>0</v>
      </c>
      <c r="AF20" s="7">
        <v>0</v>
      </c>
      <c r="AG20" s="7">
        <v>40.037768690960021</v>
      </c>
      <c r="AH20" s="7">
        <v>2.9656018539325841</v>
      </c>
      <c r="AI20" s="7">
        <v>0</v>
      </c>
      <c r="AJ20" s="7">
        <v>1.658488370786517</v>
      </c>
      <c r="AK20" s="7">
        <v>43.461563544892599</v>
      </c>
      <c r="AL20" s="7">
        <v>0</v>
      </c>
      <c r="AM20" s="7">
        <v>0</v>
      </c>
      <c r="AN20" s="7">
        <v>0</v>
      </c>
      <c r="AO20" s="7">
        <v>0</v>
      </c>
      <c r="AP20" s="7">
        <v>0</v>
      </c>
      <c r="AQ20" s="7">
        <v>43.461563544892599</v>
      </c>
      <c r="AR20" s="7">
        <v>51.725394191735028</v>
      </c>
      <c r="AS20" s="7">
        <v>18.196163630611512</v>
      </c>
      <c r="AT20" s="7">
        <v>12.88792087156153</v>
      </c>
    </row>
    <row r="21" spans="1:46" x14ac:dyDescent="0.35">
      <c r="A21" s="5">
        <v>46022</v>
      </c>
      <c r="B21" s="4" t="s">
        <v>77</v>
      </c>
      <c r="C21" s="4" t="s">
        <v>78</v>
      </c>
      <c r="D21" s="4" t="s">
        <v>79</v>
      </c>
      <c r="E21" s="6">
        <v>54280.565484999999</v>
      </c>
      <c r="F21" s="6">
        <v>0</v>
      </c>
      <c r="G21" s="6">
        <v>54280.565484999999</v>
      </c>
      <c r="H21" s="6">
        <v>1.706218</v>
      </c>
      <c r="I21" s="6">
        <v>31813.382954000001</v>
      </c>
      <c r="J21" s="6">
        <v>0</v>
      </c>
      <c r="K21" s="6">
        <v>31813.382954000001</v>
      </c>
      <c r="L21" s="6">
        <v>31813.382954000001</v>
      </c>
      <c r="M21" s="7">
        <v>2.3909310000000001</v>
      </c>
      <c r="N21" s="7">
        <v>1.186177</v>
      </c>
      <c r="O21" s="7">
        <v>0.108669</v>
      </c>
      <c r="P21" s="7">
        <v>3.1688109999999998</v>
      </c>
      <c r="Q21" s="7">
        <v>6.8545879999999997</v>
      </c>
      <c r="R21" s="7">
        <v>1.5479860000000001</v>
      </c>
      <c r="S21" s="7">
        <v>2.9217070000000001</v>
      </c>
      <c r="T21" s="7">
        <v>2.930663</v>
      </c>
      <c r="U21" s="7">
        <v>2.4980869999999999</v>
      </c>
      <c r="V21" s="7">
        <v>9.8984430000000003</v>
      </c>
      <c r="W21" s="7">
        <v>16.753031</v>
      </c>
      <c r="X21" s="7">
        <v>0.6210961033151432</v>
      </c>
      <c r="Y21" s="7">
        <v>0.333962465442245</v>
      </c>
      <c r="Z21" s="7">
        <v>17.708089568757391</v>
      </c>
      <c r="AA21" s="7">
        <v>0.62140666370777364</v>
      </c>
      <c r="AB21" s="7">
        <v>18.329496232465161</v>
      </c>
      <c r="AC21" s="7">
        <v>0</v>
      </c>
      <c r="AD21" s="7">
        <v>2.4261180000000002</v>
      </c>
      <c r="AE21" s="7">
        <v>0</v>
      </c>
      <c r="AF21" s="7">
        <v>0</v>
      </c>
      <c r="AG21" s="7">
        <v>20.75561423246516</v>
      </c>
      <c r="AH21" s="7">
        <v>0.679172</v>
      </c>
      <c r="AI21" s="7">
        <v>0</v>
      </c>
      <c r="AJ21" s="7">
        <v>2.4261180000000002</v>
      </c>
      <c r="AK21" s="7">
        <v>21.434786232465161</v>
      </c>
      <c r="AL21" s="7">
        <v>0</v>
      </c>
      <c r="AM21" s="7">
        <v>0</v>
      </c>
      <c r="AN21" s="7">
        <v>0</v>
      </c>
      <c r="AO21" s="7">
        <v>0</v>
      </c>
      <c r="AP21" s="7">
        <v>0</v>
      </c>
      <c r="AQ21" s="7">
        <v>21.434786232465161</v>
      </c>
      <c r="AR21" s="7">
        <v>24.855986717331859</v>
      </c>
      <c r="AS21" s="7">
        <v>7.1478971485744687</v>
      </c>
      <c r="AT21" s="7">
        <v>6.5264904848666951</v>
      </c>
    </row>
    <row r="22" spans="1:46" x14ac:dyDescent="0.35">
      <c r="A22" s="5">
        <v>46022</v>
      </c>
      <c r="B22" s="4" t="s">
        <v>80</v>
      </c>
      <c r="C22" s="4" t="s">
        <v>81</v>
      </c>
      <c r="D22" s="4" t="s">
        <v>79</v>
      </c>
      <c r="E22" s="6">
        <v>76248.274726000003</v>
      </c>
      <c r="F22" s="6">
        <v>0</v>
      </c>
      <c r="G22" s="6">
        <v>76248.274726000003</v>
      </c>
      <c r="H22" s="6">
        <v>1.9979340000000001</v>
      </c>
      <c r="I22" s="6">
        <v>38163.568978000003</v>
      </c>
      <c r="J22" s="6">
        <v>0</v>
      </c>
      <c r="K22" s="6">
        <v>38163.568978000003</v>
      </c>
      <c r="L22" s="6">
        <v>38163.568978000003</v>
      </c>
      <c r="M22" s="7">
        <v>2.373294</v>
      </c>
      <c r="N22" s="7">
        <v>2.751919</v>
      </c>
      <c r="O22" s="7">
        <v>1.3097240000000001</v>
      </c>
      <c r="P22" s="7">
        <v>7.7979019999999997</v>
      </c>
      <c r="Q22" s="7">
        <v>14.232839</v>
      </c>
      <c r="R22" s="7">
        <v>1.668032</v>
      </c>
      <c r="S22" s="7">
        <v>7.1143450000000001</v>
      </c>
      <c r="T22" s="7">
        <v>9.9563769999999998</v>
      </c>
      <c r="U22" s="7">
        <v>14.119923999999999</v>
      </c>
      <c r="V22" s="7">
        <v>32.858677999999998</v>
      </c>
      <c r="W22" s="7">
        <v>47.091517000000003</v>
      </c>
      <c r="X22" s="7">
        <v>7.6855574126298898E-2</v>
      </c>
      <c r="Y22" s="7">
        <v>1.950976456297661</v>
      </c>
      <c r="Z22" s="7">
        <v>49.119349030423962</v>
      </c>
      <c r="AA22" s="7">
        <v>0</v>
      </c>
      <c r="AB22" s="7">
        <v>49.119349030423962</v>
      </c>
      <c r="AC22" s="7">
        <v>0.52286100000000002</v>
      </c>
      <c r="AD22" s="7">
        <v>11.999461999999999</v>
      </c>
      <c r="AE22" s="7">
        <v>0</v>
      </c>
      <c r="AF22" s="7">
        <v>0</v>
      </c>
      <c r="AG22" s="7">
        <v>61.641672030423962</v>
      </c>
      <c r="AH22" s="7">
        <v>0.827538</v>
      </c>
      <c r="AI22" s="7">
        <v>0</v>
      </c>
      <c r="AJ22" s="7">
        <v>7.9722770000000001</v>
      </c>
      <c r="AK22" s="7">
        <v>58.442025030423963</v>
      </c>
      <c r="AL22" s="7">
        <v>11.775627999999999</v>
      </c>
      <c r="AM22" s="7">
        <v>0</v>
      </c>
      <c r="AN22" s="7">
        <v>0</v>
      </c>
      <c r="AO22" s="7">
        <v>0</v>
      </c>
      <c r="AP22" s="7">
        <v>0</v>
      </c>
      <c r="AQ22" s="7">
        <v>70.217653030423961</v>
      </c>
      <c r="AR22" s="7">
        <v>40.449401763188177</v>
      </c>
      <c r="AS22" s="7">
        <v>-8.6699472672357771</v>
      </c>
      <c r="AT22" s="7">
        <v>-8.6699472672357771</v>
      </c>
    </row>
    <row r="23" spans="1:46" x14ac:dyDescent="0.35">
      <c r="A23" s="5">
        <v>46022</v>
      </c>
      <c r="B23" s="4" t="s">
        <v>82</v>
      </c>
      <c r="C23" s="4" t="s">
        <v>83</v>
      </c>
      <c r="D23" s="4" t="s">
        <v>61</v>
      </c>
      <c r="E23" s="6">
        <v>0</v>
      </c>
      <c r="F23" s="6">
        <v>0</v>
      </c>
      <c r="G23" s="6">
        <v>0</v>
      </c>
      <c r="H23" s="6">
        <v>0</v>
      </c>
      <c r="I23" s="6">
        <v>0</v>
      </c>
      <c r="J23" s="6">
        <v>580.46</v>
      </c>
      <c r="K23" s="6">
        <v>580.46</v>
      </c>
      <c r="L23" s="6">
        <v>580.46</v>
      </c>
      <c r="M23" s="7">
        <v>6.6041489999999996</v>
      </c>
      <c r="N23" s="7">
        <v>0</v>
      </c>
      <c r="O23" s="7">
        <v>3.253701</v>
      </c>
      <c r="P23" s="7">
        <v>3.2502520000000001</v>
      </c>
      <c r="Q23" s="7">
        <v>13.108102000000001</v>
      </c>
      <c r="R23" s="7">
        <v>5.0120209999999998</v>
      </c>
      <c r="S23" s="7">
        <v>0.93168200000000001</v>
      </c>
      <c r="T23" s="7">
        <v>3.7932049999999999</v>
      </c>
      <c r="U23" s="7">
        <v>2.4213979999999999</v>
      </c>
      <c r="V23" s="7">
        <v>12.158306</v>
      </c>
      <c r="W23" s="7">
        <v>25.266407999999998</v>
      </c>
      <c r="X23" s="7">
        <v>0.77127596251249009</v>
      </c>
      <c r="Y23" s="7">
        <v>2.540741985999758</v>
      </c>
      <c r="Z23" s="7">
        <v>28.578425948512251</v>
      </c>
      <c r="AA23" s="7">
        <v>5.0995725598645931</v>
      </c>
      <c r="AB23" s="7">
        <v>33.677998508376838</v>
      </c>
      <c r="AC23" s="7">
        <v>0</v>
      </c>
      <c r="AD23" s="7">
        <v>0.52847200000000005</v>
      </c>
      <c r="AE23" s="7">
        <v>0</v>
      </c>
      <c r="AF23" s="7">
        <v>0</v>
      </c>
      <c r="AG23" s="7">
        <v>34.206470508376839</v>
      </c>
      <c r="AH23" s="7">
        <v>1.2142980000000001</v>
      </c>
      <c r="AI23" s="7">
        <v>0</v>
      </c>
      <c r="AJ23" s="7">
        <v>0.52847200000000005</v>
      </c>
      <c r="AK23" s="7">
        <v>35.420768508376838</v>
      </c>
      <c r="AL23" s="7">
        <v>0</v>
      </c>
      <c r="AM23" s="7">
        <v>0</v>
      </c>
      <c r="AN23" s="7">
        <v>0</v>
      </c>
      <c r="AO23" s="7">
        <v>0</v>
      </c>
      <c r="AP23" s="7">
        <v>0</v>
      </c>
      <c r="AQ23" s="7">
        <v>35.420768508376838</v>
      </c>
      <c r="AR23" s="7">
        <v>53.041883160779989</v>
      </c>
      <c r="AS23" s="7">
        <v>24.463457212267741</v>
      </c>
      <c r="AT23" s="7">
        <v>19.363884652403151</v>
      </c>
    </row>
    <row r="24" spans="1:46" x14ac:dyDescent="0.35">
      <c r="A24" s="5">
        <v>46022</v>
      </c>
      <c r="B24" s="4" t="s">
        <v>84</v>
      </c>
      <c r="C24" s="4" t="s">
        <v>85</v>
      </c>
      <c r="D24" s="4" t="s">
        <v>86</v>
      </c>
      <c r="E24" s="6">
        <v>0</v>
      </c>
      <c r="F24" s="6">
        <v>0</v>
      </c>
      <c r="G24" s="6">
        <v>0</v>
      </c>
      <c r="H24" s="6">
        <v>0</v>
      </c>
      <c r="I24" s="6">
        <v>0</v>
      </c>
      <c r="J24" s="6">
        <v>2898.25</v>
      </c>
      <c r="K24" s="6">
        <v>2898.25</v>
      </c>
      <c r="L24" s="6">
        <v>2898.25</v>
      </c>
      <c r="M24" s="7">
        <v>11.385505</v>
      </c>
      <c r="N24" s="7">
        <v>0.20100999999999999</v>
      </c>
      <c r="O24" s="7">
        <v>1.797663</v>
      </c>
      <c r="P24" s="7">
        <v>13.573105</v>
      </c>
      <c r="Q24" s="7">
        <v>26.957283</v>
      </c>
      <c r="R24" s="7">
        <v>6.1140949999999989</v>
      </c>
      <c r="S24" s="7">
        <v>1.0841179999999999</v>
      </c>
      <c r="T24" s="7">
        <v>2.7199580000000001</v>
      </c>
      <c r="U24" s="7">
        <v>2.9289610000000001</v>
      </c>
      <c r="V24" s="7">
        <v>12.847132</v>
      </c>
      <c r="W24" s="7">
        <v>39.804414999999999</v>
      </c>
      <c r="X24" s="7">
        <v>2.2785536356926079</v>
      </c>
      <c r="Y24" s="7">
        <v>7.7597284329344776</v>
      </c>
      <c r="Z24" s="7">
        <v>49.842697068627082</v>
      </c>
      <c r="AA24" s="7">
        <v>6.028224336123885</v>
      </c>
      <c r="AB24" s="7">
        <v>55.870921404750973</v>
      </c>
      <c r="AC24" s="7">
        <v>0</v>
      </c>
      <c r="AD24" s="7">
        <v>17.750782000000001</v>
      </c>
      <c r="AE24" s="7">
        <v>0</v>
      </c>
      <c r="AF24" s="7">
        <v>0</v>
      </c>
      <c r="AG24" s="7">
        <v>73.621703404750974</v>
      </c>
      <c r="AH24" s="7">
        <v>1.221973</v>
      </c>
      <c r="AI24" s="7">
        <v>0</v>
      </c>
      <c r="AJ24" s="7">
        <v>6.1696330000000001</v>
      </c>
      <c r="AK24" s="7">
        <v>63.262527404750969</v>
      </c>
      <c r="AL24" s="7">
        <v>23.288457000000001</v>
      </c>
      <c r="AM24" s="7">
        <v>0</v>
      </c>
      <c r="AN24" s="7">
        <v>0</v>
      </c>
      <c r="AO24" s="7">
        <v>0</v>
      </c>
      <c r="AP24" s="7">
        <v>0</v>
      </c>
      <c r="AQ24" s="7">
        <v>86.550984404750963</v>
      </c>
      <c r="AR24" s="7">
        <v>100.4707385832254</v>
      </c>
      <c r="AS24" s="7">
        <v>50.628041514598301</v>
      </c>
      <c r="AT24" s="7">
        <v>44.599817178474417</v>
      </c>
    </row>
    <row r="25" spans="1:46" x14ac:dyDescent="0.35">
      <c r="A25" s="5">
        <v>46022</v>
      </c>
      <c r="B25" s="4" t="s">
        <v>87</v>
      </c>
      <c r="C25" s="4" t="s">
        <v>88</v>
      </c>
      <c r="D25" s="4" t="s">
        <v>89</v>
      </c>
      <c r="E25" s="6">
        <v>71074.245114999998</v>
      </c>
      <c r="F25" s="6">
        <v>0</v>
      </c>
      <c r="G25" s="6">
        <v>71074.245114999998</v>
      </c>
      <c r="H25" s="6">
        <v>1.6922440000000001</v>
      </c>
      <c r="I25" s="6">
        <v>42000</v>
      </c>
      <c r="J25" s="6">
        <v>0</v>
      </c>
      <c r="K25" s="6">
        <v>42000</v>
      </c>
      <c r="L25" s="6">
        <v>34936</v>
      </c>
      <c r="M25" s="7">
        <v>4.6265309999999999</v>
      </c>
      <c r="N25" s="7">
        <v>0.95248100000000002</v>
      </c>
      <c r="O25" s="7">
        <v>0.15721199999999999</v>
      </c>
      <c r="P25" s="7">
        <v>3.4746570000000001</v>
      </c>
      <c r="Q25" s="7">
        <v>9.2108810000000005</v>
      </c>
      <c r="R25" s="7">
        <v>2.5092409999999998</v>
      </c>
      <c r="S25" s="7">
        <v>1.310297</v>
      </c>
      <c r="T25" s="7">
        <v>4.0458819999999998</v>
      </c>
      <c r="U25" s="7">
        <v>9.3086979999999997</v>
      </c>
      <c r="V25" s="7">
        <v>17.174118</v>
      </c>
      <c r="W25" s="7">
        <v>26.384999000000001</v>
      </c>
      <c r="X25" s="7">
        <v>0.1169050698</v>
      </c>
      <c r="Y25" s="7">
        <v>0.50633203902820667</v>
      </c>
      <c r="Z25" s="7">
        <v>27.008236108828211</v>
      </c>
      <c r="AA25" s="7">
        <v>1.598164491011856</v>
      </c>
      <c r="AB25" s="7">
        <v>28.606400599840061</v>
      </c>
      <c r="AC25" s="7">
        <v>0.543852</v>
      </c>
      <c r="AD25" s="7">
        <v>6.8561870000000003</v>
      </c>
      <c r="AE25" s="7">
        <v>0</v>
      </c>
      <c r="AF25" s="7">
        <v>0</v>
      </c>
      <c r="AG25" s="7">
        <v>36.006439599840057</v>
      </c>
      <c r="AH25" s="7">
        <v>1.0807009999999999</v>
      </c>
      <c r="AI25" s="7">
        <v>0.114495</v>
      </c>
      <c r="AJ25" s="7">
        <v>3.9577499999999999</v>
      </c>
      <c r="AK25" s="7">
        <v>34.303198599840059</v>
      </c>
      <c r="AL25" s="7">
        <v>0</v>
      </c>
      <c r="AM25" s="7">
        <v>0</v>
      </c>
      <c r="AN25" s="7">
        <v>0</v>
      </c>
      <c r="AO25" s="7">
        <v>0</v>
      </c>
      <c r="AP25" s="7">
        <v>0</v>
      </c>
      <c r="AQ25" s="7">
        <v>34.303198599840059</v>
      </c>
      <c r="AR25" s="7">
        <v>54.187999925176783</v>
      </c>
      <c r="AS25" s="7">
        <v>27.179763816348579</v>
      </c>
      <c r="AT25" s="7">
        <v>25.581599325336722</v>
      </c>
    </row>
    <row r="26" spans="1:46" x14ac:dyDescent="0.35">
      <c r="A26" s="5">
        <v>46022</v>
      </c>
      <c r="B26" s="4" t="s">
        <v>90</v>
      </c>
      <c r="C26" s="4" t="s">
        <v>91</v>
      </c>
      <c r="D26" s="4" t="s">
        <v>86</v>
      </c>
      <c r="E26" s="6">
        <v>40000</v>
      </c>
      <c r="F26" s="6">
        <v>0</v>
      </c>
      <c r="G26" s="6">
        <v>40000</v>
      </c>
      <c r="H26" s="6">
        <v>2.6666669999999999</v>
      </c>
      <c r="I26" s="6">
        <v>15000</v>
      </c>
      <c r="J26" s="6">
        <v>0</v>
      </c>
      <c r="K26" s="6">
        <v>15000</v>
      </c>
      <c r="L26" s="6">
        <v>10500</v>
      </c>
      <c r="M26" s="7">
        <v>5.9215020000000003</v>
      </c>
      <c r="N26" s="7">
        <v>2.1982650000000001</v>
      </c>
      <c r="O26" s="7">
        <v>1.624876</v>
      </c>
      <c r="P26" s="7">
        <v>19.844504000000001</v>
      </c>
      <c r="Q26" s="7">
        <v>29.589147000000001</v>
      </c>
      <c r="R26" s="7">
        <v>2.742658</v>
      </c>
      <c r="S26" s="7">
        <v>5.0998109999999999</v>
      </c>
      <c r="T26" s="7">
        <v>2.9761890000000002</v>
      </c>
      <c r="U26" s="7">
        <v>5.1526990000000001</v>
      </c>
      <c r="V26" s="7">
        <v>15.971356999999999</v>
      </c>
      <c r="W26" s="7">
        <v>45.560504000000002</v>
      </c>
      <c r="X26" s="7">
        <v>6.5779877440362862</v>
      </c>
      <c r="Y26" s="7">
        <v>3.2905045005529052</v>
      </c>
      <c r="Z26" s="7">
        <v>55.428996244589193</v>
      </c>
      <c r="AA26" s="7">
        <v>12.70763567149625</v>
      </c>
      <c r="AB26" s="7">
        <v>68.136631916085435</v>
      </c>
      <c r="AC26" s="7">
        <v>0</v>
      </c>
      <c r="AD26" s="7">
        <v>14.393699</v>
      </c>
      <c r="AE26" s="7">
        <v>0</v>
      </c>
      <c r="AF26" s="7">
        <v>0</v>
      </c>
      <c r="AG26" s="7">
        <v>82.530330916085447</v>
      </c>
      <c r="AH26" s="7">
        <v>2.1553689999999999</v>
      </c>
      <c r="AI26" s="7">
        <v>0</v>
      </c>
      <c r="AJ26" s="7">
        <v>9.1428569999999993</v>
      </c>
      <c r="AK26" s="7">
        <v>79.434857916085434</v>
      </c>
      <c r="AL26" s="7">
        <v>0</v>
      </c>
      <c r="AM26" s="7">
        <v>0.47619</v>
      </c>
      <c r="AN26" s="7">
        <v>0</v>
      </c>
      <c r="AO26" s="7">
        <v>0</v>
      </c>
      <c r="AP26" s="7">
        <v>0</v>
      </c>
      <c r="AQ26" s="7">
        <v>79.911047916085437</v>
      </c>
      <c r="AR26" s="7">
        <v>130.82597017560519</v>
      </c>
      <c r="AS26" s="7">
        <v>75.396973931015978</v>
      </c>
      <c r="AT26" s="7">
        <v>62.689338259519729</v>
      </c>
    </row>
    <row r="27" spans="1:46" x14ac:dyDescent="0.35">
      <c r="A27" s="5">
        <v>46022</v>
      </c>
      <c r="B27" s="4" t="s">
        <v>92</v>
      </c>
      <c r="C27" s="4" t="s">
        <v>93</v>
      </c>
      <c r="D27" s="4" t="s">
        <v>58</v>
      </c>
      <c r="E27" s="6">
        <v>64748</v>
      </c>
      <c r="F27" s="6">
        <v>0</v>
      </c>
      <c r="G27" s="6">
        <v>64748</v>
      </c>
      <c r="H27" s="6">
        <v>1.9781660000000001</v>
      </c>
      <c r="I27" s="6">
        <v>32731.333332999999</v>
      </c>
      <c r="J27" s="6">
        <v>5986</v>
      </c>
      <c r="K27" s="6">
        <v>38717.333333000002</v>
      </c>
      <c r="L27" s="6">
        <v>31476</v>
      </c>
      <c r="M27" s="7">
        <v>5.1981909999999996</v>
      </c>
      <c r="N27" s="7">
        <v>1.2897559999999999</v>
      </c>
      <c r="O27" s="7">
        <v>0.31008999999999998</v>
      </c>
      <c r="P27" s="7">
        <v>3.2533840000000001</v>
      </c>
      <c r="Q27" s="7">
        <v>10.051420999999999</v>
      </c>
      <c r="R27" s="7">
        <v>0.58540099999999995</v>
      </c>
      <c r="S27" s="7">
        <v>3.5616300000000001</v>
      </c>
      <c r="T27" s="7">
        <v>6.169664</v>
      </c>
      <c r="U27" s="7">
        <v>1.8141579999999999</v>
      </c>
      <c r="V27" s="7">
        <v>12.130853</v>
      </c>
      <c r="W27" s="7">
        <v>22.182274</v>
      </c>
      <c r="X27" s="7">
        <v>0.62710656165377432</v>
      </c>
      <c r="Y27" s="7">
        <v>2.1179962633822971</v>
      </c>
      <c r="Z27" s="7">
        <v>24.92737682503607</v>
      </c>
      <c r="AA27" s="7">
        <v>2.1526073963403318</v>
      </c>
      <c r="AB27" s="7">
        <v>27.079984221376399</v>
      </c>
      <c r="AC27" s="7">
        <v>0</v>
      </c>
      <c r="AD27" s="7">
        <v>7.6237139999999997</v>
      </c>
      <c r="AE27" s="7">
        <v>0</v>
      </c>
      <c r="AF27" s="7">
        <v>0</v>
      </c>
      <c r="AG27" s="7">
        <v>34.703698221376399</v>
      </c>
      <c r="AH27" s="7">
        <v>0.75609400000000015</v>
      </c>
      <c r="AI27" s="7">
        <v>0</v>
      </c>
      <c r="AJ27" s="7">
        <v>6.512899</v>
      </c>
      <c r="AK27" s="7">
        <v>34.348977221376401</v>
      </c>
      <c r="AL27" s="7">
        <v>0</v>
      </c>
      <c r="AM27" s="7">
        <v>0</v>
      </c>
      <c r="AN27" s="7">
        <v>0</v>
      </c>
      <c r="AO27" s="7">
        <v>0</v>
      </c>
      <c r="AP27" s="7">
        <v>0</v>
      </c>
      <c r="AQ27" s="7">
        <v>34.348977221376401</v>
      </c>
      <c r="AR27" s="7">
        <v>48.86693490913833</v>
      </c>
      <c r="AS27" s="7">
        <v>23.939558084102249</v>
      </c>
      <c r="AT27" s="7">
        <v>21.786950687761919</v>
      </c>
    </row>
    <row r="28" spans="1:46" x14ac:dyDescent="0.35">
      <c r="A28" s="5">
        <v>46022</v>
      </c>
      <c r="B28" s="4" t="s">
        <v>94</v>
      </c>
      <c r="C28" s="4" t="s">
        <v>95</v>
      </c>
      <c r="D28" s="4" t="s">
        <v>58</v>
      </c>
      <c r="E28" s="6">
        <v>31099.772779999999</v>
      </c>
      <c r="F28" s="6">
        <v>0</v>
      </c>
      <c r="G28" s="6">
        <v>31099.772779999999</v>
      </c>
      <c r="H28" s="6">
        <v>0.93374299999999999</v>
      </c>
      <c r="I28" s="6">
        <v>33306.574250999998</v>
      </c>
      <c r="J28" s="6">
        <v>0</v>
      </c>
      <c r="K28" s="6">
        <v>33306.574250999998</v>
      </c>
      <c r="L28" s="6">
        <v>33306.574250999998</v>
      </c>
      <c r="M28" s="7">
        <v>0.41833199999999998</v>
      </c>
      <c r="N28" s="7">
        <v>1.3995420000000001</v>
      </c>
      <c r="O28" s="7">
        <v>6.7443000000000017E-2</v>
      </c>
      <c r="P28" s="7">
        <v>1.005506</v>
      </c>
      <c r="Q28" s="7">
        <v>2.8908230000000001</v>
      </c>
      <c r="R28" s="7">
        <v>3.4819619999999998</v>
      </c>
      <c r="S28" s="7">
        <v>2.8302459999999998</v>
      </c>
      <c r="T28" s="7">
        <v>2.1523270000000001</v>
      </c>
      <c r="U28" s="7">
        <v>2.3439040000000002</v>
      </c>
      <c r="V28" s="7">
        <v>10.808439</v>
      </c>
      <c r="W28" s="7">
        <v>13.699261999999999</v>
      </c>
      <c r="X28" s="7">
        <v>1.0880535046494599</v>
      </c>
      <c r="Y28" s="7">
        <v>1.6427221524408031</v>
      </c>
      <c r="Z28" s="7">
        <v>16.43003765709026</v>
      </c>
      <c r="AA28" s="7">
        <v>0.88303074539589421</v>
      </c>
      <c r="AB28" s="7">
        <v>17.313068402486159</v>
      </c>
      <c r="AC28" s="7">
        <v>0</v>
      </c>
      <c r="AD28" s="7">
        <v>6.840237000000001</v>
      </c>
      <c r="AE28" s="7">
        <v>0</v>
      </c>
      <c r="AF28" s="7">
        <v>0</v>
      </c>
      <c r="AG28" s="7">
        <v>24.153305402486161</v>
      </c>
      <c r="AH28" s="7">
        <v>4.2085980000000012</v>
      </c>
      <c r="AI28" s="7">
        <v>0.46237899999999998</v>
      </c>
      <c r="AJ28" s="7">
        <v>4.7398600000000002</v>
      </c>
      <c r="AK28" s="7">
        <v>26.72390540248616</v>
      </c>
      <c r="AL28" s="7">
        <v>0</v>
      </c>
      <c r="AM28" s="7">
        <v>0</v>
      </c>
      <c r="AN28" s="7">
        <v>0</v>
      </c>
      <c r="AO28" s="7">
        <v>0</v>
      </c>
      <c r="AP28" s="7">
        <v>0</v>
      </c>
      <c r="AQ28" s="7">
        <v>26.72390540248616</v>
      </c>
      <c r="AR28" s="7">
        <v>27.24429512540587</v>
      </c>
      <c r="AS28" s="7">
        <v>10.81425746831561</v>
      </c>
      <c r="AT28" s="7">
        <v>9.9312267229197104</v>
      </c>
    </row>
    <row r="29" spans="1:46" x14ac:dyDescent="0.35">
      <c r="A29" s="5">
        <v>46022</v>
      </c>
      <c r="B29" s="4" t="s">
        <v>96</v>
      </c>
      <c r="C29" s="4" t="s">
        <v>97</v>
      </c>
      <c r="D29" s="4" t="s">
        <v>58</v>
      </c>
      <c r="E29" s="6">
        <v>149184</v>
      </c>
      <c r="F29" s="6">
        <v>0</v>
      </c>
      <c r="G29" s="6">
        <v>149184</v>
      </c>
      <c r="H29" s="6">
        <v>4</v>
      </c>
      <c r="I29" s="6">
        <v>37296</v>
      </c>
      <c r="J29" s="6">
        <v>0</v>
      </c>
      <c r="K29" s="6">
        <v>37296</v>
      </c>
      <c r="L29" s="6">
        <v>37296</v>
      </c>
      <c r="M29" s="7">
        <v>3.6679729999999999</v>
      </c>
      <c r="N29" s="7">
        <v>1.7342219999999999</v>
      </c>
      <c r="O29" s="7">
        <v>6.3527E-2</v>
      </c>
      <c r="P29" s="7">
        <v>0.96793499999999999</v>
      </c>
      <c r="Q29" s="7">
        <v>6.4336570000000002</v>
      </c>
      <c r="R29" s="7">
        <v>1.5553760000000001</v>
      </c>
      <c r="S29" s="7">
        <v>4.0245480000000002</v>
      </c>
      <c r="T29" s="7">
        <v>4.5954199999999998</v>
      </c>
      <c r="U29" s="7">
        <v>1.7551559999999999</v>
      </c>
      <c r="V29" s="7">
        <v>11.9305</v>
      </c>
      <c r="W29" s="7">
        <v>18.364156999999999</v>
      </c>
      <c r="X29" s="7">
        <v>2.0603428410631599</v>
      </c>
      <c r="Y29" s="7">
        <v>1.6686754610237831</v>
      </c>
      <c r="Z29" s="7">
        <v>22.093175302086941</v>
      </c>
      <c r="AA29" s="7">
        <v>0.65342136442527576</v>
      </c>
      <c r="AB29" s="7">
        <v>22.746596666512222</v>
      </c>
      <c r="AC29" s="7">
        <v>0</v>
      </c>
      <c r="AD29" s="7">
        <v>12.319044</v>
      </c>
      <c r="AE29" s="7">
        <v>0</v>
      </c>
      <c r="AF29" s="7">
        <v>0</v>
      </c>
      <c r="AG29" s="7">
        <v>35.065640666512223</v>
      </c>
      <c r="AH29" s="7">
        <v>0.33710899999999999</v>
      </c>
      <c r="AI29" s="7">
        <v>0</v>
      </c>
      <c r="AJ29" s="7">
        <v>10.051296000000001</v>
      </c>
      <c r="AK29" s="7">
        <v>33.135001666512217</v>
      </c>
      <c r="AL29" s="7">
        <v>53.625053999999999</v>
      </c>
      <c r="AM29" s="7">
        <v>0</v>
      </c>
      <c r="AN29" s="7">
        <v>0</v>
      </c>
      <c r="AO29" s="7">
        <v>0</v>
      </c>
      <c r="AP29" s="7">
        <v>0</v>
      </c>
      <c r="AQ29" s="7">
        <v>86.760055666512216</v>
      </c>
      <c r="AR29" s="7">
        <v>50.070575883444398</v>
      </c>
      <c r="AS29" s="7">
        <v>27.97740058135745</v>
      </c>
      <c r="AT29" s="7">
        <v>27.32397921693218</v>
      </c>
    </row>
    <row r="30" spans="1:46" x14ac:dyDescent="0.35">
      <c r="A30" s="5">
        <v>46022</v>
      </c>
      <c r="B30" s="4" t="s">
        <v>98</v>
      </c>
      <c r="C30" s="4" t="s">
        <v>99</v>
      </c>
      <c r="D30" s="4" t="s">
        <v>50</v>
      </c>
      <c r="E30" s="6">
        <v>214601.66605</v>
      </c>
      <c r="F30" s="6">
        <v>0</v>
      </c>
      <c r="G30" s="6">
        <v>214601.66605</v>
      </c>
      <c r="H30" s="6">
        <v>1.311008</v>
      </c>
      <c r="I30" s="6">
        <v>163692.14859999999</v>
      </c>
      <c r="J30" s="6">
        <v>0</v>
      </c>
      <c r="K30" s="6">
        <v>163692.14859999999</v>
      </c>
      <c r="L30" s="6">
        <v>163692.14859999999</v>
      </c>
      <c r="M30" s="7">
        <v>0.26751200000000003</v>
      </c>
      <c r="N30" s="7">
        <v>1.3861399999999999</v>
      </c>
      <c r="O30" s="7">
        <v>6.4649999999999999E-2</v>
      </c>
      <c r="P30" s="7">
        <v>1.732958</v>
      </c>
      <c r="Q30" s="7">
        <v>3.45126</v>
      </c>
      <c r="R30" s="7">
        <v>0.16622200000000001</v>
      </c>
      <c r="S30" s="7">
        <v>3.1828409999999998</v>
      </c>
      <c r="T30" s="7">
        <v>6.1646700000000001</v>
      </c>
      <c r="U30" s="7">
        <v>2.9626380000000001</v>
      </c>
      <c r="V30" s="7">
        <v>12.476371</v>
      </c>
      <c r="W30" s="7">
        <v>15.927631</v>
      </c>
      <c r="X30" s="7">
        <v>1.1671734059533649</v>
      </c>
      <c r="Y30" s="7">
        <v>1.029978414747017</v>
      </c>
      <c r="Z30" s="7">
        <v>18.124782820700378</v>
      </c>
      <c r="AA30" s="7">
        <v>1.199222335264349</v>
      </c>
      <c r="AB30" s="7">
        <v>19.324005155964731</v>
      </c>
      <c r="AC30" s="7">
        <v>0</v>
      </c>
      <c r="AD30" s="7">
        <v>2.2680920000000002</v>
      </c>
      <c r="AE30" s="7">
        <v>0</v>
      </c>
      <c r="AF30" s="7">
        <v>0</v>
      </c>
      <c r="AG30" s="7">
        <v>21.59209715596473</v>
      </c>
      <c r="AH30" s="7">
        <v>0.738622</v>
      </c>
      <c r="AI30" s="7">
        <v>0</v>
      </c>
      <c r="AJ30" s="7">
        <v>1.129006</v>
      </c>
      <c r="AK30" s="7">
        <v>21.19163315596473</v>
      </c>
      <c r="AL30" s="7">
        <v>0</v>
      </c>
      <c r="AM30" s="7">
        <v>0</v>
      </c>
      <c r="AN30" s="7">
        <v>0</v>
      </c>
      <c r="AO30" s="7">
        <v>0</v>
      </c>
      <c r="AP30" s="7">
        <v>0</v>
      </c>
      <c r="AQ30" s="7">
        <v>21.19163315596473</v>
      </c>
      <c r="AR30" s="7">
        <v>30.03197409661173</v>
      </c>
      <c r="AS30" s="7">
        <v>11.90719127591135</v>
      </c>
      <c r="AT30" s="7">
        <v>10.707968940647</v>
      </c>
    </row>
    <row r="31" spans="1:46" x14ac:dyDescent="0.35">
      <c r="A31" s="5">
        <v>46022</v>
      </c>
      <c r="B31" s="4" t="s">
        <v>100</v>
      </c>
      <c r="C31" s="4" t="s">
        <v>101</v>
      </c>
      <c r="D31" s="4" t="s">
        <v>102</v>
      </c>
      <c r="E31" s="6">
        <v>0</v>
      </c>
      <c r="F31" s="6">
        <v>0</v>
      </c>
      <c r="G31" s="6">
        <v>0</v>
      </c>
      <c r="H31" s="6">
        <v>0</v>
      </c>
      <c r="I31" s="6">
        <v>0</v>
      </c>
      <c r="J31" s="6">
        <v>1796</v>
      </c>
      <c r="K31" s="6">
        <v>1796</v>
      </c>
      <c r="L31" s="6">
        <v>1796</v>
      </c>
      <c r="M31" s="7">
        <v>36.933616999999998</v>
      </c>
      <c r="N31" s="7">
        <v>6.5245879999999996</v>
      </c>
      <c r="O31" s="7">
        <v>2.400938</v>
      </c>
      <c r="P31" s="7">
        <v>34.126651000000003</v>
      </c>
      <c r="Q31" s="7">
        <v>79.985793999999999</v>
      </c>
      <c r="R31" s="7">
        <v>3.9196550000000001</v>
      </c>
      <c r="S31" s="7">
        <v>5.0995559999999998</v>
      </c>
      <c r="T31" s="7">
        <v>4.595917</v>
      </c>
      <c r="U31" s="7">
        <v>10.820656</v>
      </c>
      <c r="V31" s="7">
        <v>24.435784000000002</v>
      </c>
      <c r="W31" s="7">
        <v>104.421578</v>
      </c>
      <c r="X31" s="7">
        <v>3.2918095835606902</v>
      </c>
      <c r="Y31" s="7">
        <v>10.880407127588411</v>
      </c>
      <c r="Z31" s="7">
        <v>118.5937947111491</v>
      </c>
      <c r="AA31" s="7">
        <v>0</v>
      </c>
      <c r="AB31" s="7">
        <v>118.5937947111491</v>
      </c>
      <c r="AC31" s="7">
        <v>0</v>
      </c>
      <c r="AD31" s="7">
        <v>3.893281</v>
      </c>
      <c r="AE31" s="7">
        <v>0</v>
      </c>
      <c r="AF31" s="7">
        <v>0</v>
      </c>
      <c r="AG31" s="7">
        <v>122.4870757111491</v>
      </c>
      <c r="AH31" s="7">
        <v>8.353726</v>
      </c>
      <c r="AI31" s="7">
        <v>0</v>
      </c>
      <c r="AJ31" s="7">
        <v>25.929458</v>
      </c>
      <c r="AK31" s="7">
        <v>152.87697871114909</v>
      </c>
      <c r="AL31" s="7">
        <v>21.830438999999998</v>
      </c>
      <c r="AM31" s="7">
        <v>0</v>
      </c>
      <c r="AN31" s="7">
        <v>0</v>
      </c>
      <c r="AO31" s="7">
        <v>0</v>
      </c>
      <c r="AP31" s="7">
        <v>0</v>
      </c>
      <c r="AQ31" s="7">
        <v>174.70741771114911</v>
      </c>
      <c r="AR31" s="7">
        <v>239.76704662397279</v>
      </c>
      <c r="AS31" s="7">
        <v>121.1732519128237</v>
      </c>
      <c r="AT31" s="7">
        <v>121.1732519128237</v>
      </c>
    </row>
    <row r="32" spans="1:46" x14ac:dyDescent="0.35">
      <c r="A32" s="5">
        <v>46022</v>
      </c>
      <c r="B32" s="4" t="s">
        <v>103</v>
      </c>
      <c r="C32" s="4" t="s">
        <v>104</v>
      </c>
      <c r="D32" s="4" t="s">
        <v>105</v>
      </c>
      <c r="E32" s="6">
        <v>0</v>
      </c>
      <c r="F32" s="6">
        <v>0</v>
      </c>
      <c r="G32" s="6">
        <v>0</v>
      </c>
      <c r="H32" s="6">
        <v>0</v>
      </c>
      <c r="I32" s="6">
        <v>0</v>
      </c>
      <c r="J32" s="6">
        <v>3441.32</v>
      </c>
      <c r="K32" s="6">
        <v>3441.32</v>
      </c>
      <c r="L32" s="6">
        <v>3321.8980000000001</v>
      </c>
      <c r="M32" s="7">
        <v>18.654522</v>
      </c>
      <c r="N32" s="7">
        <v>1.321998</v>
      </c>
      <c r="O32" s="7">
        <v>0.90907800000000005</v>
      </c>
      <c r="P32" s="7">
        <v>26.159958</v>
      </c>
      <c r="Q32" s="7">
        <v>47.045555999999998</v>
      </c>
      <c r="R32" s="7">
        <v>6.6506309999999988</v>
      </c>
      <c r="S32" s="7">
        <v>0.8461249999999999</v>
      </c>
      <c r="T32" s="7">
        <v>3.0935410000000001</v>
      </c>
      <c r="U32" s="7">
        <v>1.3267139999999999</v>
      </c>
      <c r="V32" s="7">
        <v>11.917011</v>
      </c>
      <c r="W32" s="7">
        <v>58.962566999999993</v>
      </c>
      <c r="X32" s="7">
        <v>1.0625473847226801</v>
      </c>
      <c r="Y32" s="7">
        <v>22.095423283897901</v>
      </c>
      <c r="Z32" s="7">
        <v>82.120537668620585</v>
      </c>
      <c r="AA32" s="7">
        <v>3.0091184862817979</v>
      </c>
      <c r="AB32" s="7">
        <v>85.129656154902378</v>
      </c>
      <c r="AC32" s="7">
        <v>0</v>
      </c>
      <c r="AD32" s="7">
        <v>10.487415</v>
      </c>
      <c r="AE32" s="7">
        <v>0</v>
      </c>
      <c r="AF32" s="7">
        <v>0</v>
      </c>
      <c r="AG32" s="7">
        <v>95.617071154902376</v>
      </c>
      <c r="AH32" s="7">
        <v>5.9700000000000003E-2</v>
      </c>
      <c r="AI32" s="7">
        <v>0</v>
      </c>
      <c r="AJ32" s="7">
        <v>5.8820769999999989</v>
      </c>
      <c r="AK32" s="7">
        <v>91.07143315490238</v>
      </c>
      <c r="AL32" s="7">
        <v>0.117272</v>
      </c>
      <c r="AM32" s="7">
        <v>0</v>
      </c>
      <c r="AN32" s="7">
        <v>0</v>
      </c>
      <c r="AO32" s="7">
        <v>0</v>
      </c>
      <c r="AP32" s="7">
        <v>0</v>
      </c>
      <c r="AQ32" s="7">
        <v>91.188705154902379</v>
      </c>
      <c r="AR32" s="7">
        <v>151.70821487494041</v>
      </c>
      <c r="AS32" s="7">
        <v>69.587677206319796</v>
      </c>
      <c r="AT32" s="7">
        <v>66.578558720038004</v>
      </c>
    </row>
    <row r="33" spans="1:46" x14ac:dyDescent="0.35">
      <c r="A33" s="5">
        <v>46022</v>
      </c>
      <c r="B33" s="4" t="s">
        <v>106</v>
      </c>
      <c r="C33" s="4" t="s">
        <v>107</v>
      </c>
      <c r="D33" s="4" t="s">
        <v>108</v>
      </c>
      <c r="E33" s="6">
        <v>1769.893525</v>
      </c>
      <c r="F33" s="6">
        <v>0</v>
      </c>
      <c r="G33" s="6">
        <v>1769.893525</v>
      </c>
      <c r="H33" s="6">
        <v>1.8</v>
      </c>
      <c r="I33" s="6">
        <v>983.274181</v>
      </c>
      <c r="J33" s="6">
        <v>0</v>
      </c>
      <c r="K33" s="6">
        <v>983.274181</v>
      </c>
      <c r="L33" s="6">
        <v>983.274181</v>
      </c>
      <c r="M33" s="7">
        <v>4.8354080000000002</v>
      </c>
      <c r="N33" s="7">
        <v>14.687939999999999</v>
      </c>
      <c r="O33" s="7">
        <v>0.99555800000000005</v>
      </c>
      <c r="P33" s="7">
        <v>11.815842</v>
      </c>
      <c r="Q33" s="7">
        <v>32.334747999999998</v>
      </c>
      <c r="R33" s="7">
        <v>7.3281780000000012</v>
      </c>
      <c r="S33" s="7">
        <v>2.363305</v>
      </c>
      <c r="T33" s="7">
        <v>10.162998</v>
      </c>
      <c r="U33" s="7">
        <v>12.518547</v>
      </c>
      <c r="V33" s="7">
        <v>32.373027999999998</v>
      </c>
      <c r="W33" s="7">
        <v>64.707775999999996</v>
      </c>
      <c r="X33" s="7">
        <v>1.908534731270443</v>
      </c>
      <c r="Y33" s="7">
        <v>2.7863286483613061</v>
      </c>
      <c r="Z33" s="7">
        <v>69.402639379631751</v>
      </c>
      <c r="AA33" s="7">
        <v>10.515906854742701</v>
      </c>
      <c r="AB33" s="7">
        <v>79.918546234374446</v>
      </c>
      <c r="AC33" s="7">
        <v>0</v>
      </c>
      <c r="AD33" s="7">
        <v>29.767731999999999</v>
      </c>
      <c r="AE33" s="7">
        <v>0</v>
      </c>
      <c r="AF33" s="7">
        <v>0</v>
      </c>
      <c r="AG33" s="7">
        <v>109.6862782343745</v>
      </c>
      <c r="AH33" s="7">
        <v>8.7371710000000018</v>
      </c>
      <c r="AI33" s="7">
        <v>0</v>
      </c>
      <c r="AJ33" s="7">
        <v>6.1462700000000012</v>
      </c>
      <c r="AK33" s="7">
        <v>94.801987234374465</v>
      </c>
      <c r="AL33" s="7">
        <v>0</v>
      </c>
      <c r="AM33" s="7">
        <v>2.0079199999999999</v>
      </c>
      <c r="AN33" s="7">
        <v>0</v>
      </c>
      <c r="AO33" s="7">
        <v>0</v>
      </c>
      <c r="AP33" s="7">
        <v>0</v>
      </c>
      <c r="AQ33" s="7">
        <v>96.809907234374464</v>
      </c>
      <c r="AR33" s="7">
        <v>134.28669241675379</v>
      </c>
      <c r="AS33" s="7">
        <v>64.884053037122086</v>
      </c>
      <c r="AT33" s="7">
        <v>54.368146182379377</v>
      </c>
    </row>
    <row r="34" spans="1:46" x14ac:dyDescent="0.35">
      <c r="A34" s="5">
        <v>46022</v>
      </c>
      <c r="B34" s="4" t="s">
        <v>109</v>
      </c>
      <c r="C34" s="4" t="s">
        <v>110</v>
      </c>
      <c r="D34" s="4" t="s">
        <v>111</v>
      </c>
      <c r="E34" s="6">
        <v>128000</v>
      </c>
      <c r="F34" s="6">
        <v>0</v>
      </c>
      <c r="G34" s="6">
        <v>128000</v>
      </c>
      <c r="H34" s="6">
        <v>0.72727299999999995</v>
      </c>
      <c r="I34" s="6">
        <v>176000</v>
      </c>
      <c r="J34" s="6">
        <v>0</v>
      </c>
      <c r="K34" s="6">
        <v>176000</v>
      </c>
      <c r="L34" s="6">
        <v>81000</v>
      </c>
      <c r="M34" s="7">
        <v>0.81780699999999995</v>
      </c>
      <c r="N34" s="7">
        <v>2.0366629999999999</v>
      </c>
      <c r="O34" s="7">
        <v>6.9211999999999996E-2</v>
      </c>
      <c r="P34" s="7">
        <v>1.177907</v>
      </c>
      <c r="Q34" s="7">
        <v>4.1015889999999997</v>
      </c>
      <c r="R34" s="7">
        <v>0.31775199999999992</v>
      </c>
      <c r="S34" s="7">
        <v>2.2292260000000002</v>
      </c>
      <c r="T34" s="7">
        <v>4.3591049999999987</v>
      </c>
      <c r="U34" s="7">
        <v>1.7210829999999999</v>
      </c>
      <c r="V34" s="7">
        <v>8.627165999999999</v>
      </c>
      <c r="W34" s="7">
        <v>12.728755</v>
      </c>
      <c r="X34" s="7">
        <v>1.304403298448074</v>
      </c>
      <c r="Y34" s="7">
        <v>2.6793229595386001</v>
      </c>
      <c r="Z34" s="7">
        <v>16.712481257986671</v>
      </c>
      <c r="AA34" s="7">
        <v>1.958222680440501</v>
      </c>
      <c r="AB34" s="7">
        <v>18.67070393842717</v>
      </c>
      <c r="AC34" s="7">
        <v>0</v>
      </c>
      <c r="AD34" s="7">
        <v>3.5118499999999999</v>
      </c>
      <c r="AE34" s="7">
        <v>0</v>
      </c>
      <c r="AF34" s="7">
        <v>0</v>
      </c>
      <c r="AG34" s="7">
        <v>22.182553938427169</v>
      </c>
      <c r="AH34" s="7">
        <v>0.41975299999999988</v>
      </c>
      <c r="AI34" s="7">
        <v>0</v>
      </c>
      <c r="AJ34" s="7">
        <v>1.5555559999999999</v>
      </c>
      <c r="AK34" s="7">
        <v>20.64601293842717</v>
      </c>
      <c r="AL34" s="7">
        <v>3.2320989999999998</v>
      </c>
      <c r="AM34" s="7">
        <v>0</v>
      </c>
      <c r="AN34" s="7">
        <v>0</v>
      </c>
      <c r="AO34" s="7">
        <v>0</v>
      </c>
      <c r="AP34" s="7">
        <v>0</v>
      </c>
      <c r="AQ34" s="7">
        <v>23.878111938427171</v>
      </c>
      <c r="AR34" s="7">
        <v>42.97705971396087</v>
      </c>
      <c r="AS34" s="7">
        <v>26.264578455974199</v>
      </c>
      <c r="AT34" s="7">
        <v>24.306355775533699</v>
      </c>
    </row>
    <row r="35" spans="1:46" x14ac:dyDescent="0.35">
      <c r="A35" s="5">
        <v>46022</v>
      </c>
      <c r="B35" s="4" t="s">
        <v>112</v>
      </c>
      <c r="C35" s="4" t="s">
        <v>113</v>
      </c>
      <c r="D35" s="4" t="s">
        <v>111</v>
      </c>
      <c r="E35" s="6">
        <v>0</v>
      </c>
      <c r="F35" s="6">
        <v>0</v>
      </c>
      <c r="G35" s="6">
        <v>0</v>
      </c>
      <c r="H35" s="6">
        <v>0</v>
      </c>
      <c r="I35" s="6">
        <v>0</v>
      </c>
      <c r="J35" s="6">
        <v>0</v>
      </c>
      <c r="K35" s="6">
        <v>0</v>
      </c>
      <c r="L35" s="6">
        <v>95000</v>
      </c>
      <c r="M35" s="7">
        <v>0</v>
      </c>
      <c r="N35" s="7">
        <v>0</v>
      </c>
      <c r="O35" s="7">
        <v>0</v>
      </c>
      <c r="P35" s="7">
        <v>0</v>
      </c>
      <c r="Q35" s="7">
        <v>0</v>
      </c>
      <c r="R35" s="7">
        <v>0.82061700000000004</v>
      </c>
      <c r="S35" s="7">
        <v>2.2582999999999999E-2</v>
      </c>
      <c r="T35" s="7">
        <v>0.66090599999999988</v>
      </c>
      <c r="U35" s="7">
        <v>0.464084</v>
      </c>
      <c r="V35" s="7">
        <v>1.9681900000000001</v>
      </c>
      <c r="W35" s="7">
        <v>1.9681900000000001</v>
      </c>
      <c r="X35" s="7">
        <v>7.0485682640210531E-2</v>
      </c>
      <c r="Y35" s="7">
        <v>0</v>
      </c>
      <c r="Z35" s="7">
        <v>2.0386756826402102</v>
      </c>
      <c r="AA35" s="7">
        <v>0.54392764039997121</v>
      </c>
      <c r="AB35" s="7">
        <v>2.5826033230401819</v>
      </c>
      <c r="AC35" s="7">
        <v>0</v>
      </c>
      <c r="AD35" s="7">
        <v>0.51632100000000003</v>
      </c>
      <c r="AE35" s="7">
        <v>0</v>
      </c>
      <c r="AF35" s="7">
        <v>0</v>
      </c>
      <c r="AG35" s="7">
        <v>3.0989243230401819</v>
      </c>
      <c r="AH35" s="7">
        <v>0.105263</v>
      </c>
      <c r="AI35" s="7">
        <v>0</v>
      </c>
      <c r="AJ35" s="7">
        <v>0.16842099999999999</v>
      </c>
      <c r="AK35" s="7">
        <v>2.8562873230401822</v>
      </c>
      <c r="AL35" s="7">
        <v>0</v>
      </c>
      <c r="AM35" s="7">
        <v>0</v>
      </c>
      <c r="AN35" s="7">
        <v>0</v>
      </c>
      <c r="AO35" s="7">
        <v>0</v>
      </c>
      <c r="AP35" s="7">
        <v>0</v>
      </c>
      <c r="AQ35" s="7">
        <v>2.8562873230401822</v>
      </c>
      <c r="AR35" s="7">
        <v>9.394894863385737</v>
      </c>
      <c r="AS35" s="7">
        <v>7.3562191807455273</v>
      </c>
      <c r="AT35" s="7">
        <v>6.812291540345556</v>
      </c>
    </row>
    <row r="36" spans="1:46" x14ac:dyDescent="0.35">
      <c r="A36" s="5">
        <v>46022</v>
      </c>
      <c r="B36" s="4" t="s">
        <v>114</v>
      </c>
      <c r="C36" s="4" t="s">
        <v>115</v>
      </c>
      <c r="D36" s="4" t="s">
        <v>86</v>
      </c>
      <c r="E36" s="6">
        <v>0</v>
      </c>
      <c r="F36" s="6">
        <v>0</v>
      </c>
      <c r="G36" s="6">
        <v>0</v>
      </c>
      <c r="H36" s="6">
        <v>0</v>
      </c>
      <c r="I36" s="6">
        <v>0</v>
      </c>
      <c r="J36" s="6">
        <v>367.7</v>
      </c>
      <c r="K36" s="6">
        <v>367.7</v>
      </c>
      <c r="L36" s="6">
        <v>367.7</v>
      </c>
      <c r="M36" s="7">
        <v>11.452847999999999</v>
      </c>
      <c r="N36" s="7">
        <v>0.55222700000000002</v>
      </c>
      <c r="O36" s="7">
        <v>1.8936519999999999</v>
      </c>
      <c r="P36" s="7">
        <v>4.2523419999999987</v>
      </c>
      <c r="Q36" s="7">
        <v>18.151069</v>
      </c>
      <c r="R36" s="7">
        <v>5.7250670000000001</v>
      </c>
      <c r="S36" s="7">
        <v>1.491061</v>
      </c>
      <c r="T36" s="7">
        <v>3.3561369999999999</v>
      </c>
      <c r="U36" s="7">
        <v>3.5012400000000001</v>
      </c>
      <c r="V36" s="7">
        <v>14.073505000000001</v>
      </c>
      <c r="W36" s="7">
        <v>32.224573999999997</v>
      </c>
      <c r="X36" s="7">
        <v>3.832105872868643</v>
      </c>
      <c r="Y36" s="7">
        <v>14.36628289351674</v>
      </c>
      <c r="Z36" s="7">
        <v>50.422962766385382</v>
      </c>
      <c r="AA36" s="7">
        <v>13.72202426428904</v>
      </c>
      <c r="AB36" s="7">
        <v>64.144987030674415</v>
      </c>
      <c r="AC36" s="7">
        <v>0</v>
      </c>
      <c r="AD36" s="7">
        <v>35.246637</v>
      </c>
      <c r="AE36" s="7">
        <v>0</v>
      </c>
      <c r="AF36" s="7">
        <v>0</v>
      </c>
      <c r="AG36" s="7">
        <v>99.391624030674421</v>
      </c>
      <c r="AH36" s="7">
        <v>7.3083840000000002</v>
      </c>
      <c r="AI36" s="7">
        <v>0</v>
      </c>
      <c r="AJ36" s="7">
        <v>27.736415999999998</v>
      </c>
      <c r="AK36" s="7">
        <v>99.189787030674424</v>
      </c>
      <c r="AL36" s="7">
        <v>0</v>
      </c>
      <c r="AM36" s="7">
        <v>0</v>
      </c>
      <c r="AN36" s="7">
        <v>0</v>
      </c>
      <c r="AO36" s="7">
        <v>0</v>
      </c>
      <c r="AP36" s="7">
        <v>0</v>
      </c>
      <c r="AQ36" s="7">
        <v>99.189787030674424</v>
      </c>
      <c r="AR36" s="7">
        <v>228.70017162298259</v>
      </c>
      <c r="AS36" s="7">
        <v>178.27720885659721</v>
      </c>
      <c r="AT36" s="7">
        <v>164.55518459230819</v>
      </c>
    </row>
    <row r="37" spans="1:46" x14ac:dyDescent="0.35">
      <c r="A37" s="5">
        <v>46022</v>
      </c>
      <c r="B37" s="4" t="s">
        <v>116</v>
      </c>
      <c r="C37" s="4" t="s">
        <v>117</v>
      </c>
      <c r="D37" s="4" t="s">
        <v>111</v>
      </c>
      <c r="E37" s="6">
        <v>0</v>
      </c>
      <c r="F37" s="6">
        <v>0</v>
      </c>
      <c r="G37" s="6">
        <v>0</v>
      </c>
      <c r="H37" s="6">
        <v>0</v>
      </c>
      <c r="I37" s="6">
        <v>0</v>
      </c>
      <c r="J37" s="6">
        <v>1300</v>
      </c>
      <c r="K37" s="6">
        <v>1300</v>
      </c>
      <c r="L37" s="6">
        <v>1300</v>
      </c>
      <c r="M37" s="7">
        <v>25.767623</v>
      </c>
      <c r="N37" s="7">
        <v>11.179808</v>
      </c>
      <c r="O37" s="7">
        <v>5.8865139999999991</v>
      </c>
      <c r="P37" s="7">
        <v>24.470085999999998</v>
      </c>
      <c r="Q37" s="7">
        <v>67.304030999999995</v>
      </c>
      <c r="R37" s="7">
        <v>12.344417</v>
      </c>
      <c r="S37" s="7">
        <v>8.9121520000000007</v>
      </c>
      <c r="T37" s="7">
        <v>13.998042</v>
      </c>
      <c r="U37" s="7">
        <v>12.907349999999999</v>
      </c>
      <c r="V37" s="7">
        <v>48.161960999999998</v>
      </c>
      <c r="W37" s="7">
        <v>115.465992</v>
      </c>
      <c r="X37" s="7">
        <v>3.9754840203007689</v>
      </c>
      <c r="Y37" s="7">
        <v>9.6844398931791691</v>
      </c>
      <c r="Z37" s="7">
        <v>129.1259159134799</v>
      </c>
      <c r="AA37" s="7">
        <v>0.25602782860105749</v>
      </c>
      <c r="AB37" s="7">
        <v>129.38194374208101</v>
      </c>
      <c r="AC37" s="7">
        <v>0</v>
      </c>
      <c r="AD37" s="7">
        <v>28.444008</v>
      </c>
      <c r="AE37" s="7">
        <v>0</v>
      </c>
      <c r="AF37" s="7">
        <v>0</v>
      </c>
      <c r="AG37" s="7">
        <v>157.825951742081</v>
      </c>
      <c r="AH37" s="7">
        <v>1.4135169999999999</v>
      </c>
      <c r="AI37" s="7">
        <v>0</v>
      </c>
      <c r="AJ37" s="7">
        <v>6.0647799999999989</v>
      </c>
      <c r="AK37" s="7">
        <v>136.860240742081</v>
      </c>
      <c r="AL37" s="7">
        <v>0</v>
      </c>
      <c r="AM37" s="7">
        <v>0</v>
      </c>
      <c r="AN37" s="7">
        <v>0</v>
      </c>
      <c r="AO37" s="7">
        <v>0</v>
      </c>
      <c r="AP37" s="7">
        <v>0</v>
      </c>
      <c r="AQ37" s="7">
        <v>136.860240742081</v>
      </c>
      <c r="AR37" s="7">
        <v>172.86963271183089</v>
      </c>
      <c r="AS37" s="7">
        <v>43.743716798350931</v>
      </c>
      <c r="AT37" s="7">
        <v>43.487688969749868</v>
      </c>
    </row>
    <row r="38" spans="1:46" x14ac:dyDescent="0.35">
      <c r="A38" s="5">
        <v>46022</v>
      </c>
      <c r="B38" s="4" t="s">
        <v>118</v>
      </c>
      <c r="C38" s="4" t="s">
        <v>119</v>
      </c>
      <c r="D38" s="4" t="s">
        <v>50</v>
      </c>
      <c r="E38" s="6">
        <v>115538.28150899999</v>
      </c>
      <c r="F38" s="6">
        <v>0</v>
      </c>
      <c r="G38" s="6">
        <v>115538.28150899999</v>
      </c>
      <c r="H38" s="6">
        <v>4.8634459999999997</v>
      </c>
      <c r="I38" s="6">
        <v>23756.466002000001</v>
      </c>
      <c r="J38" s="6">
        <v>0</v>
      </c>
      <c r="K38" s="6">
        <v>23756.466002000001</v>
      </c>
      <c r="L38" s="6">
        <v>23756.466002000001</v>
      </c>
      <c r="M38" s="7">
        <v>0.251556</v>
      </c>
      <c r="N38" s="7">
        <v>0.78735900000000003</v>
      </c>
      <c r="O38" s="7">
        <v>3.6651000000000003E-2</v>
      </c>
      <c r="P38" s="7">
        <v>1.9403900000000001</v>
      </c>
      <c r="Q38" s="7">
        <v>3.0159560000000001</v>
      </c>
      <c r="R38" s="7">
        <v>0.154143</v>
      </c>
      <c r="S38" s="7">
        <v>1.1983630000000001</v>
      </c>
      <c r="T38" s="7">
        <v>2.6171039999999999</v>
      </c>
      <c r="U38" s="7">
        <v>1.2081820000000001</v>
      </c>
      <c r="V38" s="7">
        <v>5.1777920000000002</v>
      </c>
      <c r="W38" s="7">
        <v>8.1937479999999994</v>
      </c>
      <c r="X38" s="7">
        <v>0.6319294504061943</v>
      </c>
      <c r="Y38" s="7">
        <v>0</v>
      </c>
      <c r="Z38" s="7">
        <v>8.8256774504061948</v>
      </c>
      <c r="AA38" s="7">
        <v>0.68506229963405585</v>
      </c>
      <c r="AB38" s="7">
        <v>9.5107397500402495</v>
      </c>
      <c r="AC38" s="7">
        <v>0</v>
      </c>
      <c r="AD38" s="7">
        <v>1.105337</v>
      </c>
      <c r="AE38" s="7">
        <v>0</v>
      </c>
      <c r="AF38" s="7">
        <v>0</v>
      </c>
      <c r="AG38" s="7">
        <v>10.61607675004025</v>
      </c>
      <c r="AH38" s="7">
        <v>0.35006599999999999</v>
      </c>
      <c r="AI38" s="7">
        <v>0</v>
      </c>
      <c r="AJ38" s="7">
        <v>0.67000199999999999</v>
      </c>
      <c r="AK38" s="7">
        <v>10.53080775004025</v>
      </c>
      <c r="AL38" s="7">
        <v>0</v>
      </c>
      <c r="AM38" s="7">
        <v>0</v>
      </c>
      <c r="AN38" s="7">
        <v>0</v>
      </c>
      <c r="AO38" s="7">
        <v>0</v>
      </c>
      <c r="AP38" s="7">
        <v>0</v>
      </c>
      <c r="AQ38" s="7">
        <v>10.53080775004025</v>
      </c>
      <c r="AR38" s="7">
        <v>15.897264931966189</v>
      </c>
      <c r="AS38" s="7">
        <v>7.0715874815599946</v>
      </c>
      <c r="AT38" s="7">
        <v>6.386525181925939</v>
      </c>
    </row>
    <row r="39" spans="1:46" x14ac:dyDescent="0.35">
      <c r="A39" s="5">
        <v>46022</v>
      </c>
      <c r="B39" s="4" t="s">
        <v>120</v>
      </c>
      <c r="C39" s="4" t="s">
        <v>121</v>
      </c>
      <c r="D39" s="4" t="s">
        <v>122</v>
      </c>
      <c r="E39" s="6">
        <v>0</v>
      </c>
      <c r="F39" s="6">
        <v>0</v>
      </c>
      <c r="G39" s="6">
        <v>0</v>
      </c>
      <c r="H39" s="6">
        <v>0</v>
      </c>
      <c r="I39" s="6">
        <v>0</v>
      </c>
      <c r="J39" s="6">
        <v>5600</v>
      </c>
      <c r="K39" s="6">
        <v>5600</v>
      </c>
      <c r="L39" s="6">
        <v>5600</v>
      </c>
      <c r="M39" s="7">
        <v>17.379308000000002</v>
      </c>
      <c r="N39" s="7">
        <v>1.124978</v>
      </c>
      <c r="O39" s="7">
        <v>1.4244760000000001</v>
      </c>
      <c r="P39" s="7">
        <v>13.723706</v>
      </c>
      <c r="Q39" s="7">
        <v>33.652467999999999</v>
      </c>
      <c r="R39" s="7">
        <v>2.092158</v>
      </c>
      <c r="S39" s="7">
        <v>1.160952</v>
      </c>
      <c r="T39" s="7">
        <v>2.8474390000000001</v>
      </c>
      <c r="U39" s="7">
        <v>4.66099</v>
      </c>
      <c r="V39" s="7">
        <v>10.761539000000001</v>
      </c>
      <c r="W39" s="7">
        <v>44.414006999999998</v>
      </c>
      <c r="X39" s="7">
        <v>0.88857489910214293</v>
      </c>
      <c r="Y39" s="7">
        <v>12.690147900730469</v>
      </c>
      <c r="Z39" s="7">
        <v>57.99272979983261</v>
      </c>
      <c r="AA39" s="7">
        <v>11.16775277193544</v>
      </c>
      <c r="AB39" s="7">
        <v>69.160482571768057</v>
      </c>
      <c r="AC39" s="7">
        <v>0</v>
      </c>
      <c r="AD39" s="7">
        <v>18.163267999999999</v>
      </c>
      <c r="AE39" s="7">
        <v>0</v>
      </c>
      <c r="AF39" s="7">
        <v>0</v>
      </c>
      <c r="AG39" s="7">
        <v>87.323750571768059</v>
      </c>
      <c r="AH39" s="7">
        <v>1.9791529999999999</v>
      </c>
      <c r="AI39" s="7">
        <v>0</v>
      </c>
      <c r="AJ39" s="7">
        <v>4.3532270000000004</v>
      </c>
      <c r="AK39" s="7">
        <v>75.492862571768057</v>
      </c>
      <c r="AL39" s="7">
        <v>0</v>
      </c>
      <c r="AM39" s="7">
        <v>0</v>
      </c>
      <c r="AN39" s="7">
        <v>0</v>
      </c>
      <c r="AO39" s="7">
        <v>0</v>
      </c>
      <c r="AP39" s="7">
        <v>0</v>
      </c>
      <c r="AQ39" s="7">
        <v>75.492862571768057</v>
      </c>
      <c r="AR39" s="7">
        <v>148.90365017527839</v>
      </c>
      <c r="AS39" s="7">
        <v>90.910920375445798</v>
      </c>
      <c r="AT39" s="7">
        <v>79.743167603510358</v>
      </c>
    </row>
    <row r="40" spans="1:46" x14ac:dyDescent="0.35">
      <c r="A40" s="5">
        <v>46022</v>
      </c>
      <c r="B40" s="4" t="s">
        <v>123</v>
      </c>
      <c r="C40" s="4" t="s">
        <v>124</v>
      </c>
      <c r="D40" s="4" t="s">
        <v>122</v>
      </c>
      <c r="E40" s="6">
        <v>0</v>
      </c>
      <c r="F40" s="6">
        <v>0</v>
      </c>
      <c r="G40" s="6">
        <v>0</v>
      </c>
      <c r="H40" s="6">
        <v>0</v>
      </c>
      <c r="I40" s="6">
        <v>0</v>
      </c>
      <c r="J40" s="6">
        <v>117.02786399999999</v>
      </c>
      <c r="K40" s="6">
        <v>117.02786399999999</v>
      </c>
      <c r="L40" s="6">
        <v>117.02786399999999</v>
      </c>
      <c r="M40" s="7">
        <v>11.911777000000001</v>
      </c>
      <c r="N40" s="7">
        <v>2.9463979999999999</v>
      </c>
      <c r="O40" s="7">
        <v>1.957438</v>
      </c>
      <c r="P40" s="7">
        <v>19.321466999999998</v>
      </c>
      <c r="Q40" s="7">
        <v>36.137079999999997</v>
      </c>
      <c r="R40" s="7">
        <v>2.7651690000000002</v>
      </c>
      <c r="S40" s="7">
        <v>1.2652540000000001</v>
      </c>
      <c r="T40" s="7">
        <v>3.009754</v>
      </c>
      <c r="U40" s="7">
        <v>4.6251170000000004</v>
      </c>
      <c r="V40" s="7">
        <v>11.665293999999999</v>
      </c>
      <c r="W40" s="7">
        <v>47.802374</v>
      </c>
      <c r="X40" s="7">
        <v>0.95908854129816468</v>
      </c>
      <c r="Y40" s="7">
        <v>7.6079212401144813</v>
      </c>
      <c r="Z40" s="7">
        <v>56.369383781412651</v>
      </c>
      <c r="AA40" s="7">
        <v>8.7031930922542227</v>
      </c>
      <c r="AB40" s="7">
        <v>65.072576873666875</v>
      </c>
      <c r="AC40" s="7">
        <v>3.4179889999999999</v>
      </c>
      <c r="AD40" s="7">
        <v>11.985442000000001</v>
      </c>
      <c r="AE40" s="7">
        <v>0</v>
      </c>
      <c r="AF40" s="7">
        <v>0</v>
      </c>
      <c r="AG40" s="7">
        <v>80.476007873666873</v>
      </c>
      <c r="AH40" s="7">
        <v>4.2724869999999999</v>
      </c>
      <c r="AI40" s="7">
        <v>0.85449699999999995</v>
      </c>
      <c r="AJ40" s="7">
        <v>8.5449739999999998</v>
      </c>
      <c r="AK40" s="7">
        <v>82.162523873666871</v>
      </c>
      <c r="AL40" s="7">
        <v>0</v>
      </c>
      <c r="AM40" s="7">
        <v>0</v>
      </c>
      <c r="AN40" s="7">
        <v>0</v>
      </c>
      <c r="AO40" s="7">
        <v>0</v>
      </c>
      <c r="AP40" s="7">
        <v>0</v>
      </c>
      <c r="AQ40" s="7">
        <v>82.162523873666871</v>
      </c>
      <c r="AR40" s="7">
        <v>145.0533639304397</v>
      </c>
      <c r="AS40" s="7">
        <v>88.683980149027036</v>
      </c>
      <c r="AT40" s="7">
        <v>79.980787056772826</v>
      </c>
    </row>
    <row r="41" spans="1:46" x14ac:dyDescent="0.35">
      <c r="A41" s="5">
        <v>46022</v>
      </c>
      <c r="B41" s="4" t="s">
        <v>125</v>
      </c>
      <c r="C41" s="4" t="s">
        <v>126</v>
      </c>
      <c r="D41" s="4" t="s">
        <v>79</v>
      </c>
      <c r="E41" s="6">
        <v>57296.145898000002</v>
      </c>
      <c r="F41" s="6">
        <v>0</v>
      </c>
      <c r="G41" s="6">
        <v>57296.145898000002</v>
      </c>
      <c r="H41" s="6">
        <v>4.6395660000000003</v>
      </c>
      <c r="I41" s="6">
        <v>12349.463502000001</v>
      </c>
      <c r="J41" s="6">
        <v>0</v>
      </c>
      <c r="K41" s="6">
        <v>12349.463502000001</v>
      </c>
      <c r="L41" s="6">
        <v>12349.463502000001</v>
      </c>
      <c r="M41" s="7">
        <v>3.9156170000000001</v>
      </c>
      <c r="N41" s="7">
        <v>2.069458</v>
      </c>
      <c r="O41" s="7">
        <v>0.170403</v>
      </c>
      <c r="P41" s="7">
        <v>5.1652690000000003</v>
      </c>
      <c r="Q41" s="7">
        <v>11.320747000000001</v>
      </c>
      <c r="R41" s="7">
        <v>2.9035099999999998</v>
      </c>
      <c r="S41" s="7">
        <v>2.132609</v>
      </c>
      <c r="T41" s="7">
        <v>3.083154</v>
      </c>
      <c r="U41" s="7">
        <v>4.7721780000000003</v>
      </c>
      <c r="V41" s="7">
        <v>12.891451</v>
      </c>
      <c r="W41" s="7">
        <v>24.212198000000001</v>
      </c>
      <c r="X41" s="7">
        <v>0.57959670954894571</v>
      </c>
      <c r="Y41" s="7">
        <v>0.65724531436614475</v>
      </c>
      <c r="Z41" s="7">
        <v>25.449040023915089</v>
      </c>
      <c r="AA41" s="7">
        <v>0.1634308365993942</v>
      </c>
      <c r="AB41" s="7">
        <v>25.612470860514492</v>
      </c>
      <c r="AC41" s="7">
        <v>0</v>
      </c>
      <c r="AD41" s="7">
        <v>3.22289</v>
      </c>
      <c r="AE41" s="7">
        <v>0</v>
      </c>
      <c r="AF41" s="7">
        <v>0</v>
      </c>
      <c r="AG41" s="7">
        <v>28.835360860514491</v>
      </c>
      <c r="AH41" s="7">
        <v>0.98645000000000005</v>
      </c>
      <c r="AI41" s="7">
        <v>0</v>
      </c>
      <c r="AJ41" s="7">
        <v>2.806492</v>
      </c>
      <c r="AK41" s="7">
        <v>29.405412860514492</v>
      </c>
      <c r="AL41" s="7">
        <v>0</v>
      </c>
      <c r="AM41" s="7">
        <v>0</v>
      </c>
      <c r="AN41" s="7">
        <v>0</v>
      </c>
      <c r="AO41" s="7">
        <v>0</v>
      </c>
      <c r="AP41" s="7">
        <v>0</v>
      </c>
      <c r="AQ41" s="7">
        <v>29.405412860514492</v>
      </c>
      <c r="AR41" s="7">
        <v>32.685767884856418</v>
      </c>
      <c r="AS41" s="7">
        <v>7.2367278609413317</v>
      </c>
      <c r="AT41" s="7">
        <v>7.0732970243419384</v>
      </c>
    </row>
    <row r="42" spans="1:46" x14ac:dyDescent="0.35">
      <c r="A42" s="5">
        <v>46022</v>
      </c>
      <c r="B42" s="4" t="s">
        <v>127</v>
      </c>
      <c r="C42" s="4" t="s">
        <v>128</v>
      </c>
      <c r="D42" s="4" t="s">
        <v>58</v>
      </c>
      <c r="E42" s="6">
        <v>27375</v>
      </c>
      <c r="F42" s="6">
        <v>0</v>
      </c>
      <c r="G42" s="6">
        <v>27375</v>
      </c>
      <c r="H42" s="6">
        <v>1.25</v>
      </c>
      <c r="I42" s="6">
        <v>21900</v>
      </c>
      <c r="J42" s="6">
        <v>51100</v>
      </c>
      <c r="K42" s="6">
        <v>73000</v>
      </c>
      <c r="L42" s="6">
        <v>73000</v>
      </c>
      <c r="M42" s="7">
        <v>15.891354</v>
      </c>
      <c r="N42" s="7">
        <v>2.2956660000000002</v>
      </c>
      <c r="O42" s="7">
        <v>0.231299</v>
      </c>
      <c r="P42" s="7">
        <v>5.954008</v>
      </c>
      <c r="Q42" s="7">
        <v>24.372326999999999</v>
      </c>
      <c r="R42" s="7">
        <v>1.3161510000000001</v>
      </c>
      <c r="S42" s="7">
        <v>2.0063019999999998</v>
      </c>
      <c r="T42" s="7">
        <v>3.7615259999999999</v>
      </c>
      <c r="U42" s="7">
        <v>1.2318420000000001</v>
      </c>
      <c r="V42" s="7">
        <v>8.3158209999999997</v>
      </c>
      <c r="W42" s="7">
        <v>32.688147999999998</v>
      </c>
      <c r="X42" s="7">
        <v>1.0243567808219181</v>
      </c>
      <c r="Y42" s="7">
        <v>2.1926985079448711</v>
      </c>
      <c r="Z42" s="7">
        <v>35.905203288766792</v>
      </c>
      <c r="AA42" s="7">
        <v>0.78687843233849208</v>
      </c>
      <c r="AB42" s="7">
        <v>36.692081721105282</v>
      </c>
      <c r="AC42" s="7">
        <v>0</v>
      </c>
      <c r="AD42" s="7">
        <v>5.833094</v>
      </c>
      <c r="AE42" s="7">
        <v>0</v>
      </c>
      <c r="AF42" s="7">
        <v>0</v>
      </c>
      <c r="AG42" s="7">
        <v>42.525175721105278</v>
      </c>
      <c r="AH42" s="7">
        <v>1.566891</v>
      </c>
      <c r="AI42" s="7">
        <v>0</v>
      </c>
      <c r="AJ42" s="7">
        <v>2.999727</v>
      </c>
      <c r="AK42" s="7">
        <v>41.25869972110528</v>
      </c>
      <c r="AL42" s="7">
        <v>3.424658</v>
      </c>
      <c r="AM42" s="7">
        <v>0</v>
      </c>
      <c r="AN42" s="7">
        <v>0</v>
      </c>
      <c r="AO42" s="7">
        <v>0</v>
      </c>
      <c r="AP42" s="7">
        <v>10.547945</v>
      </c>
      <c r="AQ42" s="7">
        <v>55.23130272110528</v>
      </c>
      <c r="AR42" s="7">
        <v>53.913970290038478</v>
      </c>
      <c r="AS42" s="7">
        <v>18.008767001271689</v>
      </c>
      <c r="AT42" s="7">
        <v>17.221888568933199</v>
      </c>
    </row>
    <row r="43" spans="1:46" x14ac:dyDescent="0.35">
      <c r="A43" s="5">
        <v>46022</v>
      </c>
      <c r="B43" s="4" t="s">
        <v>129</v>
      </c>
      <c r="C43" s="4" t="s">
        <v>130</v>
      </c>
      <c r="D43" s="4" t="s">
        <v>111</v>
      </c>
      <c r="E43" s="6">
        <v>0</v>
      </c>
      <c r="F43" s="6">
        <v>0</v>
      </c>
      <c r="G43" s="6">
        <v>0</v>
      </c>
      <c r="H43" s="6">
        <v>0</v>
      </c>
      <c r="I43" s="6">
        <v>0</v>
      </c>
      <c r="J43" s="6">
        <v>612</v>
      </c>
      <c r="K43" s="6">
        <v>612</v>
      </c>
      <c r="L43" s="6">
        <v>604</v>
      </c>
      <c r="M43" s="7">
        <v>17.650963201309331</v>
      </c>
      <c r="N43" s="7">
        <v>11.317131</v>
      </c>
      <c r="O43" s="7">
        <v>3.3557450485542821</v>
      </c>
      <c r="P43" s="7">
        <v>17.342117834151662</v>
      </c>
      <c r="Q43" s="7">
        <v>49.665957084015268</v>
      </c>
      <c r="R43" s="7">
        <v>6.5630218788870698</v>
      </c>
      <c r="S43" s="7">
        <v>1.4058316082924169</v>
      </c>
      <c r="T43" s="7">
        <v>3.450985524277141</v>
      </c>
      <c r="U43" s="7">
        <v>2.5169256497545001</v>
      </c>
      <c r="V43" s="7">
        <v>13.93676466121113</v>
      </c>
      <c r="W43" s="7">
        <v>63.602721745226397</v>
      </c>
      <c r="X43" s="7">
        <v>2.790681132584437</v>
      </c>
      <c r="Y43" s="7">
        <v>7.9380970204357073</v>
      </c>
      <c r="Z43" s="7">
        <v>74.331499898246534</v>
      </c>
      <c r="AA43" s="7">
        <v>12.265392431560249</v>
      </c>
      <c r="AB43" s="7">
        <v>86.596892329806806</v>
      </c>
      <c r="AC43" s="7">
        <v>9.6140541189307135E-2</v>
      </c>
      <c r="AD43" s="7">
        <v>22.53404095362793</v>
      </c>
      <c r="AE43" s="7">
        <v>0</v>
      </c>
      <c r="AF43" s="7">
        <v>0</v>
      </c>
      <c r="AG43" s="7">
        <v>109.227073824624</v>
      </c>
      <c r="AH43" s="7">
        <v>8.2341105226404796</v>
      </c>
      <c r="AI43" s="7">
        <v>0</v>
      </c>
      <c r="AJ43" s="7">
        <v>4.9414397392253129</v>
      </c>
      <c r="AK43" s="7">
        <v>99.868583132861886</v>
      </c>
      <c r="AL43" s="7">
        <v>0</v>
      </c>
      <c r="AM43" s="7">
        <v>0</v>
      </c>
      <c r="AN43" s="7">
        <v>0</v>
      </c>
      <c r="AO43" s="7">
        <v>0</v>
      </c>
      <c r="AP43" s="7">
        <v>0</v>
      </c>
      <c r="AQ43" s="7">
        <v>99.868583132861886</v>
      </c>
      <c r="AR43" s="7">
        <v>150.56262896051359</v>
      </c>
      <c r="AS43" s="7">
        <v>76.231129062267101</v>
      </c>
      <c r="AT43" s="7">
        <v>63.96573663070685</v>
      </c>
    </row>
    <row r="44" spans="1:46" x14ac:dyDescent="0.35">
      <c r="A44" s="5">
        <v>46022</v>
      </c>
      <c r="B44" s="4" t="s">
        <v>131</v>
      </c>
      <c r="C44" s="4" t="s">
        <v>132</v>
      </c>
      <c r="D44" s="4" t="s">
        <v>111</v>
      </c>
      <c r="E44" s="6">
        <v>0</v>
      </c>
      <c r="F44" s="6">
        <v>0</v>
      </c>
      <c r="G44" s="6">
        <v>0</v>
      </c>
      <c r="H44" s="6">
        <v>0</v>
      </c>
      <c r="I44" s="6">
        <v>0</v>
      </c>
      <c r="J44" s="6">
        <v>1356</v>
      </c>
      <c r="K44" s="6">
        <v>1356</v>
      </c>
      <c r="L44" s="6">
        <v>1356</v>
      </c>
      <c r="M44" s="7">
        <v>27.082986999999999</v>
      </c>
      <c r="N44" s="7">
        <v>5.7241090000000003</v>
      </c>
      <c r="O44" s="7">
        <v>4.557563</v>
      </c>
      <c r="P44" s="7">
        <v>16.911104999999999</v>
      </c>
      <c r="Q44" s="7">
        <v>54.275763999999988</v>
      </c>
      <c r="R44" s="7">
        <v>9.7925699999999996</v>
      </c>
      <c r="S44" s="7">
        <v>2.6703000000000001</v>
      </c>
      <c r="T44" s="7">
        <v>3.9227910000000001</v>
      </c>
      <c r="U44" s="7">
        <v>4.604406</v>
      </c>
      <c r="V44" s="7">
        <v>20.990067</v>
      </c>
      <c r="W44" s="7">
        <v>75.265830999999991</v>
      </c>
      <c r="X44" s="7">
        <v>4.8182265549926253</v>
      </c>
      <c r="Y44" s="7">
        <v>12.44594948438449</v>
      </c>
      <c r="Z44" s="7">
        <v>92.530007039377111</v>
      </c>
      <c r="AA44" s="7">
        <v>7.094095448610636</v>
      </c>
      <c r="AB44" s="7">
        <v>99.624102487987741</v>
      </c>
      <c r="AC44" s="7">
        <v>0.29055999999999998</v>
      </c>
      <c r="AD44" s="7">
        <v>23.216483</v>
      </c>
      <c r="AE44" s="7">
        <v>0</v>
      </c>
      <c r="AF44" s="7">
        <v>0</v>
      </c>
      <c r="AG44" s="7">
        <v>123.13114548798769</v>
      </c>
      <c r="AH44" s="7">
        <v>5.3509669999999989</v>
      </c>
      <c r="AI44" s="7">
        <v>0</v>
      </c>
      <c r="AJ44" s="7">
        <v>11.226400999999999</v>
      </c>
      <c r="AK44" s="7">
        <v>116.49203048798771</v>
      </c>
      <c r="AL44" s="7">
        <v>0</v>
      </c>
      <c r="AM44" s="7">
        <v>0</v>
      </c>
      <c r="AN44" s="7">
        <v>0</v>
      </c>
      <c r="AO44" s="7">
        <v>0</v>
      </c>
      <c r="AP44" s="7">
        <v>0</v>
      </c>
      <c r="AQ44" s="7">
        <v>116.49203048798771</v>
      </c>
      <c r="AR44" s="7">
        <v>198.58516097741</v>
      </c>
      <c r="AS44" s="7">
        <v>106.0551539380329</v>
      </c>
      <c r="AT44" s="7">
        <v>98.961058489422243</v>
      </c>
    </row>
    <row r="45" spans="1:46" x14ac:dyDescent="0.35">
      <c r="A45" s="5">
        <v>46022</v>
      </c>
      <c r="B45" s="4" t="s">
        <v>133</v>
      </c>
      <c r="C45" s="4" t="s">
        <v>134</v>
      </c>
      <c r="D45" s="4" t="s">
        <v>89</v>
      </c>
      <c r="E45" s="6">
        <v>0</v>
      </c>
      <c r="F45" s="6">
        <v>0</v>
      </c>
      <c r="G45" s="6">
        <v>0</v>
      </c>
      <c r="H45" s="6">
        <v>0</v>
      </c>
      <c r="I45" s="6">
        <v>0</v>
      </c>
      <c r="J45" s="6">
        <v>5291.9081759999999</v>
      </c>
      <c r="K45" s="6">
        <v>5291.9081759999999</v>
      </c>
      <c r="L45" s="6">
        <v>5291.9081759999999</v>
      </c>
      <c r="M45" s="7">
        <v>28.862328999999999</v>
      </c>
      <c r="N45" s="7">
        <v>0.40855999999999998</v>
      </c>
      <c r="O45" s="7">
        <v>1.0314680000000001</v>
      </c>
      <c r="P45" s="7">
        <v>25.573255</v>
      </c>
      <c r="Q45" s="7">
        <v>55.875611999999997</v>
      </c>
      <c r="R45" s="7">
        <v>8.1446520000000007</v>
      </c>
      <c r="S45" s="7">
        <v>1.487927</v>
      </c>
      <c r="T45" s="7">
        <v>2.6639089999999999</v>
      </c>
      <c r="U45" s="7">
        <v>8.5146280000000001</v>
      </c>
      <c r="V45" s="7">
        <v>20.811115999999998</v>
      </c>
      <c r="W45" s="7">
        <v>76.686728000000002</v>
      </c>
      <c r="X45" s="7">
        <v>2.4938151548204792</v>
      </c>
      <c r="Y45" s="7">
        <v>5.4785950395499494</v>
      </c>
      <c r="Z45" s="7">
        <v>84.659138194370428</v>
      </c>
      <c r="AA45" s="7">
        <v>7.9475417729367024</v>
      </c>
      <c r="AB45" s="7">
        <v>92.60667996730713</v>
      </c>
      <c r="AC45" s="7">
        <v>0.14613100000000001</v>
      </c>
      <c r="AD45" s="7">
        <v>16.330496</v>
      </c>
      <c r="AE45" s="7">
        <v>0</v>
      </c>
      <c r="AF45" s="7">
        <v>0</v>
      </c>
      <c r="AG45" s="7">
        <v>109.0833069673071</v>
      </c>
      <c r="AH45" s="7">
        <v>1.1571849999999999</v>
      </c>
      <c r="AI45" s="7">
        <v>0</v>
      </c>
      <c r="AJ45" s="7">
        <v>6.6040910000000004</v>
      </c>
      <c r="AK45" s="7">
        <v>100.51408696730709</v>
      </c>
      <c r="AL45" s="7">
        <v>51.588197000000001</v>
      </c>
      <c r="AM45" s="7">
        <v>0</v>
      </c>
      <c r="AN45" s="7">
        <v>0</v>
      </c>
      <c r="AO45" s="7">
        <v>0</v>
      </c>
      <c r="AP45" s="7">
        <v>0</v>
      </c>
      <c r="AQ45" s="7">
        <v>152.1022839673071</v>
      </c>
      <c r="AR45" s="7">
        <v>158.95097494272531</v>
      </c>
      <c r="AS45" s="7">
        <v>74.291836748354925</v>
      </c>
      <c r="AT45" s="7">
        <v>66.344294975418222</v>
      </c>
    </row>
    <row r="46" spans="1:46" x14ac:dyDescent="0.35">
      <c r="A46" s="5">
        <v>46022</v>
      </c>
      <c r="B46" s="4" t="s">
        <v>135</v>
      </c>
      <c r="C46" s="4" t="s">
        <v>136</v>
      </c>
      <c r="D46" s="4" t="s">
        <v>137</v>
      </c>
      <c r="E46" s="6">
        <v>0</v>
      </c>
      <c r="F46" s="6">
        <v>35.797100999999998</v>
      </c>
      <c r="G46" s="6">
        <v>35.797100999999998</v>
      </c>
      <c r="H46" s="6">
        <v>0</v>
      </c>
      <c r="I46" s="6">
        <v>0</v>
      </c>
      <c r="J46" s="6">
        <v>650</v>
      </c>
      <c r="K46" s="6">
        <v>650</v>
      </c>
      <c r="L46" s="6">
        <v>800</v>
      </c>
      <c r="M46" s="7">
        <v>18.875610000000002</v>
      </c>
      <c r="N46" s="7">
        <v>1.949757</v>
      </c>
      <c r="O46" s="7">
        <v>2.0133760000000001</v>
      </c>
      <c r="P46" s="7">
        <v>20.072925000000001</v>
      </c>
      <c r="Q46" s="7">
        <v>42.911667999999999</v>
      </c>
      <c r="R46" s="7">
        <v>10.596221999999999</v>
      </c>
      <c r="S46" s="7">
        <v>3.6030509999999998</v>
      </c>
      <c r="T46" s="7">
        <v>4.9790179999999999</v>
      </c>
      <c r="U46" s="7">
        <v>11.742089</v>
      </c>
      <c r="V46" s="7">
        <v>30.920380000000002</v>
      </c>
      <c r="W46" s="7">
        <v>73.832048</v>
      </c>
      <c r="X46" s="7">
        <v>4.328214533535375</v>
      </c>
      <c r="Y46" s="7">
        <v>7.5941736188117979</v>
      </c>
      <c r="Z46" s="7">
        <v>85.754436152347168</v>
      </c>
      <c r="AA46" s="7">
        <v>8.8825355495599645</v>
      </c>
      <c r="AB46" s="7">
        <v>94.636971701907143</v>
      </c>
      <c r="AC46" s="7">
        <v>0</v>
      </c>
      <c r="AD46" s="7">
        <v>14.252862</v>
      </c>
      <c r="AE46" s="7">
        <v>0</v>
      </c>
      <c r="AF46" s="7">
        <v>0</v>
      </c>
      <c r="AG46" s="7">
        <v>108.88983370190709</v>
      </c>
      <c r="AH46" s="7">
        <v>1.25</v>
      </c>
      <c r="AI46" s="7">
        <v>0</v>
      </c>
      <c r="AJ46" s="7">
        <v>3.4214329999999999</v>
      </c>
      <c r="AK46" s="7">
        <v>99.308404701907136</v>
      </c>
      <c r="AL46" s="7">
        <v>0</v>
      </c>
      <c r="AM46" s="7">
        <v>0</v>
      </c>
      <c r="AN46" s="7">
        <v>0</v>
      </c>
      <c r="AO46" s="7">
        <v>0</v>
      </c>
      <c r="AP46" s="7">
        <v>0</v>
      </c>
      <c r="AQ46" s="7">
        <v>99.308404701907136</v>
      </c>
      <c r="AR46" s="7">
        <v>135.9977364132331</v>
      </c>
      <c r="AS46" s="7">
        <v>50.243300260885903</v>
      </c>
      <c r="AT46" s="7">
        <v>41.360764711325928</v>
      </c>
    </row>
    <row r="47" spans="1:46" x14ac:dyDescent="0.35">
      <c r="A47" s="5">
        <v>46022</v>
      </c>
      <c r="B47" s="4" t="s">
        <v>138</v>
      </c>
      <c r="C47" s="4" t="s">
        <v>139</v>
      </c>
      <c r="D47" s="4" t="s">
        <v>58</v>
      </c>
      <c r="E47" s="6">
        <v>153555.5</v>
      </c>
      <c r="F47" s="6">
        <v>0</v>
      </c>
      <c r="G47" s="6">
        <v>153555.5</v>
      </c>
      <c r="H47" s="6">
        <v>7</v>
      </c>
      <c r="I47" s="6">
        <v>21936.5</v>
      </c>
      <c r="J47" s="6">
        <v>0</v>
      </c>
      <c r="K47" s="6">
        <v>21936.5</v>
      </c>
      <c r="L47" s="6">
        <v>21936.5</v>
      </c>
      <c r="M47" s="7">
        <v>4.1135469999999996</v>
      </c>
      <c r="N47" s="7">
        <v>2.9096690000000001</v>
      </c>
      <c r="O47" s="7">
        <v>0.20299600000000001</v>
      </c>
      <c r="P47" s="7">
        <v>3.0449229999999998</v>
      </c>
      <c r="Q47" s="7">
        <v>10.271134999999999</v>
      </c>
      <c r="R47" s="7">
        <v>0.85137399999999996</v>
      </c>
      <c r="S47" s="7">
        <v>1.071358</v>
      </c>
      <c r="T47" s="7">
        <v>1.850508</v>
      </c>
      <c r="U47" s="7">
        <v>0.371915</v>
      </c>
      <c r="V47" s="7">
        <v>4.1451549999999999</v>
      </c>
      <c r="W47" s="7">
        <v>14.41629</v>
      </c>
      <c r="X47" s="7">
        <v>0.55141761377376519</v>
      </c>
      <c r="Y47" s="7">
        <v>0</v>
      </c>
      <c r="Z47" s="7">
        <v>14.96770761377377</v>
      </c>
      <c r="AA47" s="7">
        <v>0.48133043156243488</v>
      </c>
      <c r="AB47" s="7">
        <v>15.4490380453362</v>
      </c>
      <c r="AC47" s="7">
        <v>0</v>
      </c>
      <c r="AD47" s="7">
        <v>14.402490999999999</v>
      </c>
      <c r="AE47" s="7">
        <v>0</v>
      </c>
      <c r="AF47" s="7">
        <v>0</v>
      </c>
      <c r="AG47" s="7">
        <v>29.8515290453362</v>
      </c>
      <c r="AH47" s="7">
        <v>0.25590099999999999</v>
      </c>
      <c r="AI47" s="7">
        <v>0</v>
      </c>
      <c r="AJ47" s="7">
        <v>11.619885</v>
      </c>
      <c r="AK47" s="7">
        <v>27.3248240453362</v>
      </c>
      <c r="AL47" s="7">
        <v>0</v>
      </c>
      <c r="AM47" s="7">
        <v>0</v>
      </c>
      <c r="AN47" s="7">
        <v>0</v>
      </c>
      <c r="AO47" s="7">
        <v>0</v>
      </c>
      <c r="AP47" s="7">
        <v>0</v>
      </c>
      <c r="AQ47" s="7">
        <v>27.3248240453362</v>
      </c>
      <c r="AR47" s="7">
        <v>37.593229128125721</v>
      </c>
      <c r="AS47" s="7">
        <v>22.625521514351949</v>
      </c>
      <c r="AT47" s="7">
        <v>22.144191082789519</v>
      </c>
    </row>
    <row r="48" spans="1:46" x14ac:dyDescent="0.35">
      <c r="A48" s="5">
        <v>46022</v>
      </c>
      <c r="B48" s="4" t="s">
        <v>140</v>
      </c>
      <c r="C48" s="4" t="s">
        <v>141</v>
      </c>
      <c r="D48" s="4" t="s">
        <v>50</v>
      </c>
      <c r="E48" s="6">
        <v>8900</v>
      </c>
      <c r="F48" s="6">
        <v>0</v>
      </c>
      <c r="G48" s="6">
        <v>8900</v>
      </c>
      <c r="H48" s="6">
        <v>0.809091</v>
      </c>
      <c r="I48" s="6">
        <v>11000</v>
      </c>
      <c r="J48" s="6">
        <v>0</v>
      </c>
      <c r="K48" s="6">
        <v>11000</v>
      </c>
      <c r="L48" s="6">
        <v>6408</v>
      </c>
      <c r="M48" s="7">
        <v>7.3328100000000003</v>
      </c>
      <c r="N48" s="7">
        <v>2.8969109999999998</v>
      </c>
      <c r="O48" s="7">
        <v>0.143479</v>
      </c>
      <c r="P48" s="7">
        <v>4.1959980000000003</v>
      </c>
      <c r="Q48" s="7">
        <v>14.569198</v>
      </c>
      <c r="R48" s="7">
        <v>4.0843369999999997</v>
      </c>
      <c r="S48" s="7">
        <v>2.775639</v>
      </c>
      <c r="T48" s="7">
        <v>2.5345249999999999</v>
      </c>
      <c r="U48" s="7">
        <v>5.7971469999999998</v>
      </c>
      <c r="V48" s="7">
        <v>15.191648000000001</v>
      </c>
      <c r="W48" s="7">
        <v>29.760846000000001</v>
      </c>
      <c r="X48" s="7">
        <v>1.3628925547267789</v>
      </c>
      <c r="Y48" s="7">
        <v>2.0243173218370831</v>
      </c>
      <c r="Z48" s="7">
        <v>33.148055876563859</v>
      </c>
      <c r="AA48" s="7">
        <v>1.144762855233483</v>
      </c>
      <c r="AB48" s="7">
        <v>34.29281873179734</v>
      </c>
      <c r="AC48" s="7">
        <v>2.516893</v>
      </c>
      <c r="AD48" s="7">
        <v>7.9474270000000002</v>
      </c>
      <c r="AE48" s="7">
        <v>0</v>
      </c>
      <c r="AF48" s="7">
        <v>0</v>
      </c>
      <c r="AG48" s="7">
        <v>44.757138731797347</v>
      </c>
      <c r="AH48" s="7">
        <v>0.28201199999999998</v>
      </c>
      <c r="AI48" s="7">
        <v>2.1594389999999999</v>
      </c>
      <c r="AJ48" s="7">
        <v>1.4044939999999999</v>
      </c>
      <c r="AK48" s="7">
        <v>40.655656731797343</v>
      </c>
      <c r="AL48" s="7">
        <v>0.31211</v>
      </c>
      <c r="AM48" s="7">
        <v>0</v>
      </c>
      <c r="AN48" s="7">
        <v>0</v>
      </c>
      <c r="AO48" s="7">
        <v>0</v>
      </c>
      <c r="AP48" s="7">
        <v>0</v>
      </c>
      <c r="AQ48" s="7">
        <v>40.96776673179734</v>
      </c>
      <c r="AR48" s="7">
        <v>63.231201173911508</v>
      </c>
      <c r="AS48" s="7">
        <v>30.083145297347649</v>
      </c>
      <c r="AT48" s="7">
        <v>28.938382442114172</v>
      </c>
    </row>
    <row r="49" spans="1:46" x14ac:dyDescent="0.35">
      <c r="A49" s="5">
        <v>46022</v>
      </c>
      <c r="B49" s="4" t="s">
        <v>142</v>
      </c>
      <c r="C49" s="4" t="s">
        <v>143</v>
      </c>
      <c r="D49" s="4" t="s">
        <v>50</v>
      </c>
      <c r="E49" s="6">
        <v>0</v>
      </c>
      <c r="F49" s="6">
        <v>0</v>
      </c>
      <c r="G49" s="6">
        <v>0</v>
      </c>
      <c r="H49" s="6">
        <v>0</v>
      </c>
      <c r="I49" s="6">
        <v>0</v>
      </c>
      <c r="J49" s="6">
        <v>6000</v>
      </c>
      <c r="K49" s="6">
        <v>6000</v>
      </c>
      <c r="L49" s="6">
        <v>6000</v>
      </c>
      <c r="M49" s="7">
        <v>5.7870780000000002</v>
      </c>
      <c r="N49" s="7">
        <v>7.5281370000000001</v>
      </c>
      <c r="O49" s="7">
        <v>5.7369640000000004</v>
      </c>
      <c r="P49" s="7">
        <v>12.5122</v>
      </c>
      <c r="Q49" s="7">
        <v>31.564378999999999</v>
      </c>
      <c r="R49" s="7">
        <v>0.93987900000000002</v>
      </c>
      <c r="S49" s="7">
        <v>2.1926649999999999</v>
      </c>
      <c r="T49" s="7">
        <v>11.061515999999999</v>
      </c>
      <c r="U49" s="7">
        <v>3.2932589999999999</v>
      </c>
      <c r="V49" s="7">
        <v>17.487318999999999</v>
      </c>
      <c r="W49" s="7">
        <v>49.051698000000002</v>
      </c>
      <c r="X49" s="7">
        <v>3.2131738785852</v>
      </c>
      <c r="Y49" s="7">
        <v>5.3764068619219003</v>
      </c>
      <c r="Z49" s="7">
        <v>57.641278740507097</v>
      </c>
      <c r="AA49" s="7">
        <v>0.92816798984972859</v>
      </c>
      <c r="AB49" s="7">
        <v>58.56944673035683</v>
      </c>
      <c r="AC49" s="7">
        <v>0.86601499999999998</v>
      </c>
      <c r="AD49" s="7">
        <v>16.775469000000001</v>
      </c>
      <c r="AE49" s="7">
        <v>0</v>
      </c>
      <c r="AF49" s="7">
        <v>0</v>
      </c>
      <c r="AG49" s="7">
        <v>76.210930730356836</v>
      </c>
      <c r="AH49" s="7">
        <v>4.313339</v>
      </c>
      <c r="AI49" s="7">
        <v>0</v>
      </c>
      <c r="AJ49" s="7">
        <v>6.8907369999999997</v>
      </c>
      <c r="AK49" s="7">
        <v>70.639537730356835</v>
      </c>
      <c r="AL49" s="7">
        <v>1.5833E-2</v>
      </c>
      <c r="AM49" s="7">
        <v>0</v>
      </c>
      <c r="AN49" s="7">
        <v>0</v>
      </c>
      <c r="AO49" s="7">
        <v>0</v>
      </c>
      <c r="AP49" s="7">
        <v>0</v>
      </c>
      <c r="AQ49" s="7">
        <v>70.655370730356836</v>
      </c>
      <c r="AR49" s="7">
        <v>93.364652708110455</v>
      </c>
      <c r="AS49" s="7">
        <v>35.723373967603351</v>
      </c>
      <c r="AT49" s="7">
        <v>34.795205977753618</v>
      </c>
    </row>
    <row r="50" spans="1:46" x14ac:dyDescent="0.35">
      <c r="A50" s="5">
        <v>46022</v>
      </c>
      <c r="B50" s="4" t="s">
        <v>144</v>
      </c>
      <c r="C50" s="4" t="s">
        <v>145</v>
      </c>
      <c r="D50" s="4" t="s">
        <v>55</v>
      </c>
      <c r="E50" s="6">
        <v>28770</v>
      </c>
      <c r="F50" s="6">
        <v>0</v>
      </c>
      <c r="G50" s="6">
        <v>28770</v>
      </c>
      <c r="H50" s="6">
        <v>1.6043940000000001</v>
      </c>
      <c r="I50" s="6">
        <v>17932</v>
      </c>
      <c r="J50" s="6">
        <v>0</v>
      </c>
      <c r="K50" s="6">
        <v>17932</v>
      </c>
      <c r="L50" s="6">
        <v>23554.666667000001</v>
      </c>
      <c r="M50" s="7">
        <v>1.5720730000000001</v>
      </c>
      <c r="N50" s="7">
        <v>0.66700300000000001</v>
      </c>
      <c r="O50" s="7">
        <v>4.6606000000000002E-2</v>
      </c>
      <c r="P50" s="7">
        <v>0.84524100000000002</v>
      </c>
      <c r="Q50" s="7">
        <v>3.1309230000000001</v>
      </c>
      <c r="R50" s="7">
        <v>0.92252100000000004</v>
      </c>
      <c r="S50" s="7">
        <v>1.39506</v>
      </c>
      <c r="T50" s="7">
        <v>1.715757</v>
      </c>
      <c r="U50" s="7">
        <v>0.96499299999999988</v>
      </c>
      <c r="V50" s="7">
        <v>4.9983310000000003</v>
      </c>
      <c r="W50" s="7">
        <v>8.1292539999999995</v>
      </c>
      <c r="X50" s="7">
        <v>0.72840478902599204</v>
      </c>
      <c r="Y50" s="7">
        <v>0.95377944673231885</v>
      </c>
      <c r="Z50" s="7">
        <v>9.8114382357583096</v>
      </c>
      <c r="AA50" s="7">
        <v>0.36365490974905579</v>
      </c>
      <c r="AB50" s="7">
        <v>10.17509314550737</v>
      </c>
      <c r="AC50" s="7">
        <v>0</v>
      </c>
      <c r="AD50" s="7">
        <v>4.1288910000000003</v>
      </c>
      <c r="AE50" s="7">
        <v>0</v>
      </c>
      <c r="AF50" s="7">
        <v>0</v>
      </c>
      <c r="AG50" s="7">
        <v>14.30398414550737</v>
      </c>
      <c r="AH50" s="7">
        <v>0.275507</v>
      </c>
      <c r="AI50" s="7">
        <v>0</v>
      </c>
      <c r="AJ50" s="7">
        <v>3.6086269999999998</v>
      </c>
      <c r="AK50" s="7">
        <v>14.05922714550737</v>
      </c>
      <c r="AL50" s="7">
        <v>0</v>
      </c>
      <c r="AM50" s="7">
        <v>0</v>
      </c>
      <c r="AN50" s="7">
        <v>0</v>
      </c>
      <c r="AO50" s="7">
        <v>0</v>
      </c>
      <c r="AP50" s="7">
        <v>0</v>
      </c>
      <c r="AQ50" s="7">
        <v>14.05922714550737</v>
      </c>
      <c r="AR50" s="7">
        <v>22.75153359277116</v>
      </c>
      <c r="AS50" s="7">
        <v>12.940095357012851</v>
      </c>
      <c r="AT50" s="7">
        <v>12.57644044726379</v>
      </c>
    </row>
    <row r="51" spans="1:46" x14ac:dyDescent="0.35">
      <c r="A51" s="5">
        <v>46022</v>
      </c>
      <c r="B51" s="4" t="s">
        <v>146</v>
      </c>
      <c r="C51" s="4" t="s">
        <v>147</v>
      </c>
      <c r="D51" s="4" t="s">
        <v>148</v>
      </c>
      <c r="E51" s="6">
        <v>0</v>
      </c>
      <c r="F51" s="6">
        <v>0</v>
      </c>
      <c r="G51" s="6">
        <v>0</v>
      </c>
      <c r="H51" s="6">
        <v>0</v>
      </c>
      <c r="I51" s="6">
        <v>0</v>
      </c>
      <c r="J51" s="6">
        <v>2145</v>
      </c>
      <c r="K51" s="6">
        <v>2145</v>
      </c>
      <c r="L51" s="6">
        <v>2145</v>
      </c>
      <c r="M51" s="7">
        <v>19.786763000000001</v>
      </c>
      <c r="N51" s="7">
        <v>0.524505</v>
      </c>
      <c r="O51" s="7">
        <v>1.277579</v>
      </c>
      <c r="P51" s="7">
        <v>4.913227</v>
      </c>
      <c r="Q51" s="7">
        <v>26.502074</v>
      </c>
      <c r="R51" s="7">
        <v>5.83941</v>
      </c>
      <c r="S51" s="7">
        <v>2.064978</v>
      </c>
      <c r="T51" s="7">
        <v>4.4687989999999997</v>
      </c>
      <c r="U51" s="7">
        <v>4.709301</v>
      </c>
      <c r="V51" s="7">
        <v>17.082488000000001</v>
      </c>
      <c r="W51" s="7">
        <v>43.584561999999998</v>
      </c>
      <c r="X51" s="7">
        <v>12.400932400932399</v>
      </c>
      <c r="Y51" s="7">
        <v>39.587955031803297</v>
      </c>
      <c r="Z51" s="7">
        <v>95.5734494327357</v>
      </c>
      <c r="AA51" s="7">
        <v>7.7164425423937208</v>
      </c>
      <c r="AB51" s="7">
        <v>103.28989197512939</v>
      </c>
      <c r="AC51" s="7">
        <v>1.1450149999999999</v>
      </c>
      <c r="AD51" s="7">
        <v>15.182701</v>
      </c>
      <c r="AE51" s="7">
        <v>0</v>
      </c>
      <c r="AF51" s="7">
        <v>0</v>
      </c>
      <c r="AG51" s="7">
        <v>119.6176079751294</v>
      </c>
      <c r="AH51" s="7">
        <v>4.7026279999999998</v>
      </c>
      <c r="AI51" s="7">
        <v>0</v>
      </c>
      <c r="AJ51" s="7">
        <v>6.2937060000000002</v>
      </c>
      <c r="AK51" s="7">
        <v>115.4312409751294</v>
      </c>
      <c r="AL51" s="7">
        <v>2.0979019999999999</v>
      </c>
      <c r="AM51" s="7">
        <v>0</v>
      </c>
      <c r="AN51" s="7">
        <v>0</v>
      </c>
      <c r="AO51" s="7">
        <v>0</v>
      </c>
      <c r="AP51" s="7">
        <v>0</v>
      </c>
      <c r="AQ51" s="7">
        <v>117.5291429751294</v>
      </c>
      <c r="AR51" s="7">
        <v>260.1745338255472</v>
      </c>
      <c r="AS51" s="7">
        <v>164.60108439281149</v>
      </c>
      <c r="AT51" s="7">
        <v>156.88464185041781</v>
      </c>
    </row>
    <row r="52" spans="1:46" x14ac:dyDescent="0.35">
      <c r="A52" s="5">
        <v>46022</v>
      </c>
      <c r="B52" s="4" t="s">
        <v>149</v>
      </c>
      <c r="C52" s="4" t="s">
        <v>150</v>
      </c>
      <c r="D52" s="4" t="s">
        <v>61</v>
      </c>
      <c r="E52" s="6">
        <v>0</v>
      </c>
      <c r="F52" s="6">
        <v>0</v>
      </c>
      <c r="G52" s="6">
        <v>0</v>
      </c>
      <c r="H52" s="6">
        <v>0</v>
      </c>
      <c r="I52" s="6">
        <v>0</v>
      </c>
      <c r="J52" s="6">
        <v>5728.31</v>
      </c>
      <c r="K52" s="6">
        <v>5728.31</v>
      </c>
      <c r="L52" s="6">
        <v>5728.31</v>
      </c>
      <c r="M52" s="7">
        <v>3.2166190000000001</v>
      </c>
      <c r="N52" s="7">
        <v>0</v>
      </c>
      <c r="O52" s="7">
        <v>6.8449929999999997</v>
      </c>
      <c r="P52" s="7">
        <v>4.2567050000000002</v>
      </c>
      <c r="Q52" s="7">
        <v>14.318317</v>
      </c>
      <c r="R52" s="7">
        <v>0.56645400000000001</v>
      </c>
      <c r="S52" s="7">
        <v>1.8229880000000001</v>
      </c>
      <c r="T52" s="7">
        <v>2.0000040000000001</v>
      </c>
      <c r="U52" s="7">
        <v>2.7071429999999999</v>
      </c>
      <c r="V52" s="7">
        <v>7.0965889999999998</v>
      </c>
      <c r="W52" s="7">
        <v>21.414905999999998</v>
      </c>
      <c r="X52" s="7">
        <v>0.31594913683093268</v>
      </c>
      <c r="Y52" s="7">
        <v>2.0206748513037258</v>
      </c>
      <c r="Z52" s="7">
        <v>23.75152998813466</v>
      </c>
      <c r="AA52" s="7">
        <v>4.0408690345251541</v>
      </c>
      <c r="AB52" s="7">
        <v>27.792399022659811</v>
      </c>
      <c r="AC52" s="7">
        <v>0</v>
      </c>
      <c r="AD52" s="7">
        <v>0.422842</v>
      </c>
      <c r="AE52" s="7">
        <v>0</v>
      </c>
      <c r="AF52" s="7">
        <v>0</v>
      </c>
      <c r="AG52" s="7">
        <v>28.215241022659811</v>
      </c>
      <c r="AH52" s="7">
        <v>1.1449039999999999</v>
      </c>
      <c r="AI52" s="7">
        <v>0</v>
      </c>
      <c r="AJ52" s="7">
        <v>1.4834590000000001</v>
      </c>
      <c r="AK52" s="7">
        <v>30.420762022659812</v>
      </c>
      <c r="AL52" s="7">
        <v>0</v>
      </c>
      <c r="AM52" s="7">
        <v>0</v>
      </c>
      <c r="AN52" s="7">
        <v>0</v>
      </c>
      <c r="AO52" s="7">
        <v>0</v>
      </c>
      <c r="AP52" s="7">
        <v>0</v>
      </c>
      <c r="AQ52" s="7">
        <v>30.420762022659812</v>
      </c>
      <c r="AR52" s="7">
        <v>34.246555700473678</v>
      </c>
      <c r="AS52" s="7">
        <v>10.49502571233902</v>
      </c>
      <c r="AT52" s="7">
        <v>6.4541566778138684</v>
      </c>
    </row>
    <row r="53" spans="1:46" x14ac:dyDescent="0.35">
      <c r="A53" s="5">
        <v>46022</v>
      </c>
      <c r="B53" s="4" t="s">
        <v>151</v>
      </c>
      <c r="C53" s="4" t="s">
        <v>152</v>
      </c>
      <c r="D53" s="4" t="s">
        <v>61</v>
      </c>
      <c r="E53" s="6">
        <v>15479.376</v>
      </c>
      <c r="F53" s="6">
        <v>0</v>
      </c>
      <c r="G53" s="6">
        <v>15479.376</v>
      </c>
      <c r="H53" s="6">
        <v>7.6</v>
      </c>
      <c r="I53" s="6">
        <v>2036.76</v>
      </c>
      <c r="J53" s="6">
        <v>0</v>
      </c>
      <c r="K53" s="6">
        <v>2036.76</v>
      </c>
      <c r="L53" s="6">
        <v>2036.76</v>
      </c>
      <c r="M53" s="7">
        <v>3.4320110000000001</v>
      </c>
      <c r="N53" s="7">
        <v>0.474157</v>
      </c>
      <c r="O53" s="7">
        <v>0.15937000000000001</v>
      </c>
      <c r="P53" s="7">
        <v>2.6582460000000001</v>
      </c>
      <c r="Q53" s="7">
        <v>6.7237840000000002</v>
      </c>
      <c r="R53" s="7">
        <v>2.1272609999999998</v>
      </c>
      <c r="S53" s="7">
        <v>1.993527</v>
      </c>
      <c r="T53" s="7">
        <v>3.2544919999999999</v>
      </c>
      <c r="U53" s="7">
        <v>3.1806109999999999</v>
      </c>
      <c r="V53" s="7">
        <v>10.555891000000001</v>
      </c>
      <c r="W53" s="7">
        <v>17.279675000000001</v>
      </c>
      <c r="X53" s="7">
        <v>1.331599351992871</v>
      </c>
      <c r="Y53" s="7">
        <v>7.9231059277506599</v>
      </c>
      <c r="Z53" s="7">
        <v>26.53438027974353</v>
      </c>
      <c r="AA53" s="7">
        <v>5.7001606070699147</v>
      </c>
      <c r="AB53" s="7">
        <v>32.234540886813448</v>
      </c>
      <c r="AC53" s="7">
        <v>0</v>
      </c>
      <c r="AD53" s="7">
        <v>1.2053100000000001</v>
      </c>
      <c r="AE53" s="7">
        <v>0</v>
      </c>
      <c r="AF53" s="7">
        <v>0</v>
      </c>
      <c r="AG53" s="7">
        <v>33.439850886813453</v>
      </c>
      <c r="AH53" s="7">
        <v>1.0971409999999999</v>
      </c>
      <c r="AI53" s="7">
        <v>0</v>
      </c>
      <c r="AJ53" s="7">
        <v>2.3277380000000001</v>
      </c>
      <c r="AK53" s="7">
        <v>35.659419886813453</v>
      </c>
      <c r="AL53" s="7">
        <v>0</v>
      </c>
      <c r="AM53" s="7">
        <v>0</v>
      </c>
      <c r="AN53" s="7">
        <v>0</v>
      </c>
      <c r="AO53" s="7">
        <v>0</v>
      </c>
      <c r="AP53" s="7">
        <v>0</v>
      </c>
      <c r="AQ53" s="7">
        <v>35.659419886813453</v>
      </c>
      <c r="AR53" s="7">
        <v>64.187764389834442</v>
      </c>
      <c r="AS53" s="7">
        <v>37.653384110090911</v>
      </c>
      <c r="AT53" s="7">
        <v>31.953223503021</v>
      </c>
    </row>
    <row r="54" spans="1:46" x14ac:dyDescent="0.35">
      <c r="A54" s="5">
        <v>46022</v>
      </c>
      <c r="B54" s="4" t="s">
        <v>153</v>
      </c>
      <c r="C54" s="4" t="s">
        <v>154</v>
      </c>
      <c r="D54" s="4" t="s">
        <v>61</v>
      </c>
      <c r="E54" s="6">
        <v>0</v>
      </c>
      <c r="F54" s="6">
        <v>0</v>
      </c>
      <c r="G54" s="6">
        <v>0</v>
      </c>
      <c r="H54" s="6">
        <v>0</v>
      </c>
      <c r="I54" s="6">
        <v>0</v>
      </c>
      <c r="J54" s="6">
        <v>359.72222199999999</v>
      </c>
      <c r="K54" s="6">
        <v>359.72222199999999</v>
      </c>
      <c r="L54" s="6">
        <v>359.72222199999999</v>
      </c>
      <c r="M54" s="7">
        <v>1.8753949999999999</v>
      </c>
      <c r="N54" s="7">
        <v>0.37788899999999997</v>
      </c>
      <c r="O54" s="7">
        <v>2.754254</v>
      </c>
      <c r="P54" s="7">
        <v>5.5944149999999997</v>
      </c>
      <c r="Q54" s="7">
        <v>10.601953</v>
      </c>
      <c r="R54" s="7">
        <v>0.49170399999999997</v>
      </c>
      <c r="S54" s="7">
        <v>1.7536080000000001</v>
      </c>
      <c r="T54" s="7">
        <v>2.464521</v>
      </c>
      <c r="U54" s="7">
        <v>6.0396229999999997</v>
      </c>
      <c r="V54" s="7">
        <v>10.749456</v>
      </c>
      <c r="W54" s="7">
        <v>21.351409</v>
      </c>
      <c r="X54" s="7">
        <v>1.2476845854716201</v>
      </c>
      <c r="Y54" s="7">
        <v>2.572049712556626</v>
      </c>
      <c r="Z54" s="7">
        <v>25.171143298028252</v>
      </c>
      <c r="AA54" s="7">
        <v>5.1293930531130032</v>
      </c>
      <c r="AB54" s="7">
        <v>30.30053635114125</v>
      </c>
      <c r="AC54" s="7">
        <v>0</v>
      </c>
      <c r="AD54" s="7">
        <v>2.3235229999999998</v>
      </c>
      <c r="AE54" s="7">
        <v>0</v>
      </c>
      <c r="AF54" s="7">
        <v>0</v>
      </c>
      <c r="AG54" s="7">
        <v>32.624059351141248</v>
      </c>
      <c r="AH54" s="7">
        <v>3.1354920000000002</v>
      </c>
      <c r="AI54" s="7">
        <v>0</v>
      </c>
      <c r="AJ54" s="7">
        <v>3.0020370000000001</v>
      </c>
      <c r="AK54" s="7">
        <v>36.438065351141248</v>
      </c>
      <c r="AL54" s="7">
        <v>0</v>
      </c>
      <c r="AM54" s="7">
        <v>0</v>
      </c>
      <c r="AN54" s="7">
        <v>0</v>
      </c>
      <c r="AO54" s="7">
        <v>0</v>
      </c>
      <c r="AP54" s="7">
        <v>0</v>
      </c>
      <c r="AQ54" s="7">
        <v>36.438065351141248</v>
      </c>
      <c r="AR54" s="7">
        <v>40.238888489840527</v>
      </c>
      <c r="AS54" s="7">
        <v>15.06774519181228</v>
      </c>
      <c r="AT54" s="7">
        <v>9.9383521386992797</v>
      </c>
    </row>
    <row r="55" spans="1:46" x14ac:dyDescent="0.35">
      <c r="A55" s="5">
        <v>46022</v>
      </c>
      <c r="B55" s="4" t="s">
        <v>155</v>
      </c>
      <c r="C55" s="4" t="s">
        <v>156</v>
      </c>
      <c r="D55" s="4" t="s">
        <v>157</v>
      </c>
      <c r="E55" s="6">
        <v>0</v>
      </c>
      <c r="F55" s="6">
        <v>98</v>
      </c>
      <c r="G55" s="6">
        <v>98</v>
      </c>
      <c r="H55" s="6">
        <v>0</v>
      </c>
      <c r="I55" s="6">
        <v>0</v>
      </c>
      <c r="J55" s="6">
        <v>1386</v>
      </c>
      <c r="K55" s="6">
        <v>1386</v>
      </c>
      <c r="L55" s="6">
        <v>4044</v>
      </c>
      <c r="M55" s="7">
        <v>2.6218117340876939</v>
      </c>
      <c r="N55" s="7">
        <v>0.72006300000000001</v>
      </c>
      <c r="O55" s="7">
        <v>3.9562119207920792</v>
      </c>
      <c r="P55" s="7">
        <v>13.26921885714286</v>
      </c>
      <c r="Q55" s="7">
        <v>20.567305512022632</v>
      </c>
      <c r="R55" s="7">
        <v>1.327189550212164</v>
      </c>
      <c r="S55" s="7">
        <v>3.984547089108911</v>
      </c>
      <c r="T55" s="7">
        <v>3.217701974540311</v>
      </c>
      <c r="U55" s="7">
        <v>4.8242662178217834</v>
      </c>
      <c r="V55" s="7">
        <v>13.353704831683171</v>
      </c>
      <c r="W55" s="7">
        <v>33.921010343705802</v>
      </c>
      <c r="X55" s="7">
        <v>3.960954715660435</v>
      </c>
      <c r="Y55" s="7">
        <v>1.7964800819652831</v>
      </c>
      <c r="Z55" s="7">
        <v>39.678445141331522</v>
      </c>
      <c r="AA55" s="7">
        <v>2.1760374564961751</v>
      </c>
      <c r="AB55" s="7">
        <v>41.85448259782769</v>
      </c>
      <c r="AC55" s="7">
        <v>0.1582714455445545</v>
      </c>
      <c r="AD55" s="7">
        <v>14.52402961810467</v>
      </c>
      <c r="AE55" s="7">
        <v>0</v>
      </c>
      <c r="AF55" s="7">
        <v>1.9032505403111739</v>
      </c>
      <c r="AG55" s="7">
        <v>58.440034201788087</v>
      </c>
      <c r="AH55" s="7">
        <v>3.8809276096181051</v>
      </c>
      <c r="AI55" s="7">
        <v>0.80136907496463927</v>
      </c>
      <c r="AJ55" s="7">
        <v>7.2671721357850068</v>
      </c>
      <c r="AK55" s="7">
        <v>53.962222863740003</v>
      </c>
      <c r="AL55" s="7">
        <v>0.49456</v>
      </c>
      <c r="AM55" s="7">
        <v>0</v>
      </c>
      <c r="AN55" s="7">
        <v>0</v>
      </c>
      <c r="AO55" s="7">
        <v>0</v>
      </c>
      <c r="AP55" s="7">
        <v>0</v>
      </c>
      <c r="AQ55" s="7">
        <v>54.456782863740003</v>
      </c>
      <c r="AR55" s="7">
        <v>83.69345793914529</v>
      </c>
      <c r="AS55" s="7">
        <v>44.015012797813768</v>
      </c>
      <c r="AT55" s="7">
        <v>41.838975341317592</v>
      </c>
    </row>
    <row r="56" spans="1:46" x14ac:dyDescent="0.35">
      <c r="A56" s="5">
        <v>46022</v>
      </c>
      <c r="B56" s="4" t="s">
        <v>158</v>
      </c>
      <c r="C56" s="4" t="s">
        <v>159</v>
      </c>
      <c r="D56" s="4" t="s">
        <v>79</v>
      </c>
      <c r="E56" s="6">
        <v>0</v>
      </c>
      <c r="F56" s="6">
        <v>0</v>
      </c>
      <c r="G56" s="6">
        <v>0</v>
      </c>
      <c r="H56" s="6">
        <v>0</v>
      </c>
      <c r="I56" s="6">
        <v>0</v>
      </c>
      <c r="J56" s="6">
        <v>684</v>
      </c>
      <c r="K56" s="6">
        <v>684</v>
      </c>
      <c r="L56" s="6">
        <v>684</v>
      </c>
      <c r="M56" s="7">
        <v>28.923463999999999</v>
      </c>
      <c r="N56" s="7">
        <v>28.070563</v>
      </c>
      <c r="O56" s="7">
        <v>7.9793979999999998</v>
      </c>
      <c r="P56" s="7">
        <v>25.373466000000001</v>
      </c>
      <c r="Q56" s="7">
        <v>90.346890999999999</v>
      </c>
      <c r="R56" s="7">
        <v>13.207618</v>
      </c>
      <c r="S56" s="7">
        <v>6.7431419999999997</v>
      </c>
      <c r="T56" s="7">
        <v>11.63256</v>
      </c>
      <c r="U56" s="7">
        <v>18.534276999999999</v>
      </c>
      <c r="V56" s="7">
        <v>50.117597000000004</v>
      </c>
      <c r="W56" s="7">
        <v>140.46448799999999</v>
      </c>
      <c r="X56" s="7">
        <v>6.0276686289122807</v>
      </c>
      <c r="Y56" s="7">
        <v>60.021592101226467</v>
      </c>
      <c r="Z56" s="7">
        <v>206.5137487301387</v>
      </c>
      <c r="AA56" s="7">
        <v>14.41890192297058</v>
      </c>
      <c r="AB56" s="7">
        <v>220.93265065310931</v>
      </c>
      <c r="AC56" s="7">
        <v>0</v>
      </c>
      <c r="AD56" s="7">
        <v>88.792868999999996</v>
      </c>
      <c r="AE56" s="7">
        <v>0</v>
      </c>
      <c r="AF56" s="7">
        <v>0</v>
      </c>
      <c r="AG56" s="7">
        <v>309.7255196531093</v>
      </c>
      <c r="AH56" s="7">
        <v>13.630139</v>
      </c>
      <c r="AI56" s="7">
        <v>0</v>
      </c>
      <c r="AJ56" s="7">
        <v>36.549708000000003</v>
      </c>
      <c r="AK56" s="7">
        <v>271.1124976531093</v>
      </c>
      <c r="AL56" s="7">
        <v>0</v>
      </c>
      <c r="AM56" s="7">
        <v>0</v>
      </c>
      <c r="AN56" s="7">
        <v>0</v>
      </c>
      <c r="AO56" s="7">
        <v>0</v>
      </c>
      <c r="AP56" s="7">
        <v>0</v>
      </c>
      <c r="AQ56" s="7">
        <v>271.1124976531093</v>
      </c>
      <c r="AR56" s="7">
        <v>364.20827662377968</v>
      </c>
      <c r="AS56" s="7">
        <v>157.6945278936409</v>
      </c>
      <c r="AT56" s="7">
        <v>143.27562597067029</v>
      </c>
    </row>
    <row r="57" spans="1:46" x14ac:dyDescent="0.35">
      <c r="A57" s="5">
        <v>46022</v>
      </c>
      <c r="B57" s="4" t="s">
        <v>160</v>
      </c>
      <c r="C57" s="4" t="s">
        <v>161</v>
      </c>
      <c r="D57" s="4" t="s">
        <v>69</v>
      </c>
      <c r="E57" s="6">
        <v>0</v>
      </c>
      <c r="F57" s="6">
        <v>0</v>
      </c>
      <c r="G57" s="6">
        <v>0</v>
      </c>
      <c r="H57" s="6">
        <v>0</v>
      </c>
      <c r="I57" s="6">
        <v>0</v>
      </c>
      <c r="J57" s="6">
        <v>2150.3515000000002</v>
      </c>
      <c r="K57" s="6">
        <v>2150.3515000000002</v>
      </c>
      <c r="L57" s="6">
        <v>1940.2915</v>
      </c>
      <c r="M57" s="7">
        <v>43.820227273045177</v>
      </c>
      <c r="N57" s="7">
        <v>10.594257000000001</v>
      </c>
      <c r="O57" s="7">
        <v>7.3804153333049021</v>
      </c>
      <c r="P57" s="7">
        <v>18.286874920911789</v>
      </c>
      <c r="Q57" s="7">
        <v>80.081774527261871</v>
      </c>
      <c r="R57" s="7">
        <v>9.7669216100816687</v>
      </c>
      <c r="S57" s="7">
        <v>3.8650252855832998</v>
      </c>
      <c r="T57" s="7">
        <v>6.6603832131266394</v>
      </c>
      <c r="U57" s="7">
        <v>3.1879719098023331</v>
      </c>
      <c r="V57" s="7">
        <v>23.480302018593939</v>
      </c>
      <c r="W57" s="7">
        <v>103.5620765458558</v>
      </c>
      <c r="X57" s="7">
        <v>21.848041905043651</v>
      </c>
      <c r="Y57" s="7">
        <v>17.974091941267901</v>
      </c>
      <c r="Z57" s="7">
        <v>143.3842103921674</v>
      </c>
      <c r="AA57" s="7">
        <v>7.2628656865926997</v>
      </c>
      <c r="AB57" s="7">
        <v>150.64707607876011</v>
      </c>
      <c r="AC57" s="7">
        <v>0</v>
      </c>
      <c r="AD57" s="7">
        <v>61.683860408085799</v>
      </c>
      <c r="AE57" s="7">
        <v>0</v>
      </c>
      <c r="AF57" s="7">
        <v>0</v>
      </c>
      <c r="AG57" s="7">
        <v>212.3309364868459</v>
      </c>
      <c r="AH57" s="7">
        <v>14.336576093865281</v>
      </c>
      <c r="AI57" s="7">
        <v>0</v>
      </c>
      <c r="AJ57" s="7">
        <v>25.41066698893319</v>
      </c>
      <c r="AK57" s="7">
        <v>190.39431916155851</v>
      </c>
      <c r="AL57" s="7">
        <v>0</v>
      </c>
      <c r="AM57" s="7">
        <v>0</v>
      </c>
      <c r="AN57" s="7">
        <v>0</v>
      </c>
      <c r="AO57" s="7">
        <v>0</v>
      </c>
      <c r="AP57" s="7">
        <v>0</v>
      </c>
      <c r="AQ57" s="7">
        <v>190.39431916155851</v>
      </c>
      <c r="AR57" s="7">
        <v>298.8140576727605</v>
      </c>
      <c r="AS57" s="7">
        <v>155.42984728059309</v>
      </c>
      <c r="AT57" s="7">
        <v>148.16698159400039</v>
      </c>
    </row>
    <row r="58" spans="1:46" x14ac:dyDescent="0.35">
      <c r="A58" s="5">
        <v>46022</v>
      </c>
      <c r="B58" s="4" t="s">
        <v>162</v>
      </c>
      <c r="C58" s="4" t="s">
        <v>163</v>
      </c>
      <c r="D58" s="4" t="s">
        <v>58</v>
      </c>
      <c r="E58" s="6">
        <v>8679.7466669999994</v>
      </c>
      <c r="F58" s="6">
        <v>0</v>
      </c>
      <c r="G58" s="6">
        <v>8679.7466669999994</v>
      </c>
      <c r="H58" s="6">
        <v>1.7</v>
      </c>
      <c r="I58" s="6">
        <v>5105.7333330000001</v>
      </c>
      <c r="J58" s="6">
        <v>0</v>
      </c>
      <c r="K58" s="6">
        <v>5105.7333330000001</v>
      </c>
      <c r="L58" s="6">
        <v>6407.6</v>
      </c>
      <c r="M58" s="7">
        <v>5.589969</v>
      </c>
      <c r="N58" s="7">
        <v>2.1565460000000001</v>
      </c>
      <c r="O58" s="7">
        <v>0.21246100000000001</v>
      </c>
      <c r="P58" s="7">
        <v>3.211357</v>
      </c>
      <c r="Q58" s="7">
        <v>11.170332999999999</v>
      </c>
      <c r="R58" s="7">
        <v>5.1832979999999997</v>
      </c>
      <c r="S58" s="7">
        <v>5.1136200000000001</v>
      </c>
      <c r="T58" s="7">
        <v>8.5079480000000007</v>
      </c>
      <c r="U58" s="7">
        <v>3.0622029999999998</v>
      </c>
      <c r="V58" s="7">
        <v>21.867069000000001</v>
      </c>
      <c r="W58" s="7">
        <v>33.037402</v>
      </c>
      <c r="X58" s="7">
        <v>1.4115394217295869</v>
      </c>
      <c r="Y58" s="7">
        <v>3.2187341142514891</v>
      </c>
      <c r="Z58" s="7">
        <v>37.667675535981083</v>
      </c>
      <c r="AA58" s="7">
        <v>0.13176771887895219</v>
      </c>
      <c r="AB58" s="7">
        <v>37.79944325486003</v>
      </c>
      <c r="AC58" s="7">
        <v>0</v>
      </c>
      <c r="AD58" s="7">
        <v>7.0100350000000011</v>
      </c>
      <c r="AE58" s="7">
        <v>0</v>
      </c>
      <c r="AF58" s="7">
        <v>0</v>
      </c>
      <c r="AG58" s="7">
        <v>44.809478254860032</v>
      </c>
      <c r="AH58" s="7">
        <v>1.0280180000000001</v>
      </c>
      <c r="AI58" s="7">
        <v>0</v>
      </c>
      <c r="AJ58" s="7">
        <v>7.0100350000000011</v>
      </c>
      <c r="AK58" s="7">
        <v>45.837496254860028</v>
      </c>
      <c r="AL58" s="7">
        <v>0</v>
      </c>
      <c r="AM58" s="7">
        <v>0</v>
      </c>
      <c r="AN58" s="7">
        <v>0</v>
      </c>
      <c r="AO58" s="7">
        <v>0</v>
      </c>
      <c r="AP58" s="7">
        <v>0</v>
      </c>
      <c r="AQ58" s="7">
        <v>45.837496254860028</v>
      </c>
      <c r="AR58" s="7">
        <v>63.547084627369529</v>
      </c>
      <c r="AS58" s="7">
        <v>25.87940909138845</v>
      </c>
      <c r="AT58" s="7">
        <v>25.747641372509499</v>
      </c>
    </row>
    <row r="59" spans="1:46" x14ac:dyDescent="0.35">
      <c r="A59" s="5">
        <v>46022</v>
      </c>
      <c r="B59" s="4" t="s">
        <v>164</v>
      </c>
      <c r="C59" s="4" t="s">
        <v>165</v>
      </c>
      <c r="D59" s="4" t="s">
        <v>105</v>
      </c>
      <c r="E59" s="6">
        <v>0</v>
      </c>
      <c r="F59" s="6">
        <v>0</v>
      </c>
      <c r="G59" s="6">
        <v>0</v>
      </c>
      <c r="H59" s="6">
        <v>0</v>
      </c>
      <c r="I59" s="6">
        <v>99.514775</v>
      </c>
      <c r="J59" s="6">
        <v>2793.5219040000002</v>
      </c>
      <c r="K59" s="6">
        <v>2893.0366789999998</v>
      </c>
      <c r="L59" s="6">
        <v>2893.0366789999998</v>
      </c>
      <c r="M59" s="7">
        <v>92.025113999999988</v>
      </c>
      <c r="N59" s="7">
        <v>7.4197629999999997</v>
      </c>
      <c r="O59" s="7">
        <v>10.695238</v>
      </c>
      <c r="P59" s="7">
        <v>10.257930999999999</v>
      </c>
      <c r="Q59" s="7">
        <v>120.39804599999999</v>
      </c>
      <c r="R59" s="7">
        <v>24.843456</v>
      </c>
      <c r="S59" s="7">
        <v>4.9165530000000004</v>
      </c>
      <c r="T59" s="7">
        <v>21.538996999999998</v>
      </c>
      <c r="U59" s="7">
        <v>2.4695369999999999</v>
      </c>
      <c r="V59" s="7">
        <v>53.768542999999987</v>
      </c>
      <c r="W59" s="7">
        <v>174.16658899999999</v>
      </c>
      <c r="X59" s="7">
        <v>0.21794630686657809</v>
      </c>
      <c r="Y59" s="7">
        <v>11.66059514957877</v>
      </c>
      <c r="Z59" s="7">
        <v>186.04513045644529</v>
      </c>
      <c r="AA59" s="7">
        <v>2.2283560245808438</v>
      </c>
      <c r="AB59" s="7">
        <v>188.2734864810262</v>
      </c>
      <c r="AC59" s="7">
        <v>0</v>
      </c>
      <c r="AD59" s="7">
        <v>30.350774000000001</v>
      </c>
      <c r="AE59" s="7">
        <v>0</v>
      </c>
      <c r="AF59" s="7">
        <v>0</v>
      </c>
      <c r="AG59" s="7">
        <v>218.6242604810262</v>
      </c>
      <c r="AH59" s="7">
        <v>4.4323199999999989</v>
      </c>
      <c r="AI59" s="7">
        <v>0.7314949999999999</v>
      </c>
      <c r="AJ59" s="7">
        <v>24.866914000000001</v>
      </c>
      <c r="AK59" s="7">
        <v>218.3042154810262</v>
      </c>
      <c r="AL59" s="7">
        <v>0</v>
      </c>
      <c r="AM59" s="7">
        <v>0</v>
      </c>
      <c r="AN59" s="7">
        <v>0</v>
      </c>
      <c r="AO59" s="7">
        <v>0</v>
      </c>
      <c r="AP59" s="7">
        <v>0</v>
      </c>
      <c r="AQ59" s="7">
        <v>218.3042154810262</v>
      </c>
      <c r="AR59" s="7">
        <v>231.98964692529401</v>
      </c>
      <c r="AS59" s="7">
        <v>45.944516468848661</v>
      </c>
      <c r="AT59" s="7">
        <v>43.716160444267821</v>
      </c>
    </row>
    <row r="60" spans="1:46" x14ac:dyDescent="0.35">
      <c r="A60" s="5">
        <v>46022</v>
      </c>
      <c r="B60" s="4" t="s">
        <v>166</v>
      </c>
      <c r="C60" s="4" t="s">
        <v>167</v>
      </c>
      <c r="D60" s="4" t="s">
        <v>61</v>
      </c>
      <c r="E60" s="6">
        <v>0</v>
      </c>
      <c r="F60" s="6">
        <v>0</v>
      </c>
      <c r="G60" s="6">
        <v>0</v>
      </c>
      <c r="H60" s="6">
        <v>0</v>
      </c>
      <c r="I60" s="6">
        <v>0</v>
      </c>
      <c r="J60" s="6">
        <v>200</v>
      </c>
      <c r="K60" s="6">
        <v>200</v>
      </c>
      <c r="L60" s="6">
        <v>200</v>
      </c>
      <c r="M60" s="7">
        <v>7.0273570000000003</v>
      </c>
      <c r="N60" s="7">
        <v>0.44702999999999998</v>
      </c>
      <c r="O60" s="7">
        <v>1.04498</v>
      </c>
      <c r="P60" s="7">
        <v>5.1274670000000002</v>
      </c>
      <c r="Q60" s="7">
        <v>13.646834</v>
      </c>
      <c r="R60" s="7">
        <v>0.86358100000000015</v>
      </c>
      <c r="S60" s="7">
        <v>1.100071</v>
      </c>
      <c r="T60" s="7">
        <v>1.937216</v>
      </c>
      <c r="U60" s="7">
        <v>4.8009830000000004</v>
      </c>
      <c r="V60" s="7">
        <v>8.7018509999999996</v>
      </c>
      <c r="W60" s="7">
        <v>22.348685</v>
      </c>
      <c r="X60" s="7">
        <v>1.1392931199765</v>
      </c>
      <c r="Y60" s="7">
        <v>3.9401690488423728</v>
      </c>
      <c r="Z60" s="7">
        <v>27.428147168818871</v>
      </c>
      <c r="AA60" s="7">
        <v>8.5718956335464842</v>
      </c>
      <c r="AB60" s="7">
        <v>36.000042802365357</v>
      </c>
      <c r="AC60" s="7">
        <v>0</v>
      </c>
      <c r="AD60" s="7">
        <v>2.0493049999999999</v>
      </c>
      <c r="AE60" s="7">
        <v>0</v>
      </c>
      <c r="AF60" s="7">
        <v>0</v>
      </c>
      <c r="AG60" s="7">
        <v>38.049347802365361</v>
      </c>
      <c r="AH60" s="7">
        <v>2.8619599999999998</v>
      </c>
      <c r="AI60" s="7">
        <v>0</v>
      </c>
      <c r="AJ60" s="7">
        <v>2.0493049999999999</v>
      </c>
      <c r="AK60" s="7">
        <v>40.911307802365357</v>
      </c>
      <c r="AL60" s="7">
        <v>0</v>
      </c>
      <c r="AM60" s="7">
        <v>0</v>
      </c>
      <c r="AN60" s="7">
        <v>0</v>
      </c>
      <c r="AO60" s="7">
        <v>0</v>
      </c>
      <c r="AP60" s="7">
        <v>0</v>
      </c>
      <c r="AQ60" s="7">
        <v>40.911307802365357</v>
      </c>
      <c r="AR60" s="7">
        <v>80.554169716835503</v>
      </c>
      <c r="AS60" s="7">
        <v>53.126022548016621</v>
      </c>
      <c r="AT60" s="7">
        <v>44.554126914470139</v>
      </c>
    </row>
    <row r="61" spans="1:46" x14ac:dyDescent="0.35">
      <c r="A61" s="5">
        <v>46022</v>
      </c>
      <c r="B61" s="4" t="s">
        <v>168</v>
      </c>
      <c r="C61" s="4" t="s">
        <v>169</v>
      </c>
      <c r="D61" s="4" t="s">
        <v>58</v>
      </c>
      <c r="E61" s="6">
        <v>70400</v>
      </c>
      <c r="F61" s="6">
        <v>0</v>
      </c>
      <c r="G61" s="6">
        <v>70400</v>
      </c>
      <c r="H61" s="6">
        <v>2.2000000000000002</v>
      </c>
      <c r="I61" s="6">
        <v>32000</v>
      </c>
      <c r="J61" s="6">
        <v>0</v>
      </c>
      <c r="K61" s="6">
        <v>32000</v>
      </c>
      <c r="L61" s="6">
        <v>32000</v>
      </c>
      <c r="M61" s="7">
        <v>3.3964660000000002</v>
      </c>
      <c r="N61" s="7">
        <v>4.0929960000000003</v>
      </c>
      <c r="O61" s="7">
        <v>0.180037</v>
      </c>
      <c r="P61" s="7">
        <v>1.999889</v>
      </c>
      <c r="Q61" s="7">
        <v>9.6693880000000014</v>
      </c>
      <c r="R61" s="7">
        <v>1.293342</v>
      </c>
      <c r="S61" s="7">
        <v>2.9422280000000001</v>
      </c>
      <c r="T61" s="7">
        <v>4.7152209999999997</v>
      </c>
      <c r="U61" s="7">
        <v>1.1277109999999999</v>
      </c>
      <c r="V61" s="7">
        <v>10.078502</v>
      </c>
      <c r="W61" s="7">
        <v>19.747890000000002</v>
      </c>
      <c r="X61" s="7">
        <v>4.6257055601624998E-2</v>
      </c>
      <c r="Y61" s="7">
        <v>2.4205198473860672</v>
      </c>
      <c r="Z61" s="7">
        <v>22.214666902987691</v>
      </c>
      <c r="AA61" s="7">
        <v>2.1540244339037939</v>
      </c>
      <c r="AB61" s="7">
        <v>24.368691336891491</v>
      </c>
      <c r="AC61" s="7">
        <v>0</v>
      </c>
      <c r="AD61" s="7">
        <v>5.323404</v>
      </c>
      <c r="AE61" s="7">
        <v>0</v>
      </c>
      <c r="AF61" s="7">
        <v>0</v>
      </c>
      <c r="AG61" s="7">
        <v>29.692095336891491</v>
      </c>
      <c r="AH61" s="7">
        <v>2.058913</v>
      </c>
      <c r="AI61" s="7">
        <v>0</v>
      </c>
      <c r="AJ61" s="7">
        <v>2.345726</v>
      </c>
      <c r="AK61" s="7">
        <v>28.77333033689149</v>
      </c>
      <c r="AL61" s="7">
        <v>0</v>
      </c>
      <c r="AM61" s="7">
        <v>0</v>
      </c>
      <c r="AN61" s="7">
        <v>0</v>
      </c>
      <c r="AO61" s="7">
        <v>0</v>
      </c>
      <c r="AP61" s="7">
        <v>10.008661999999999</v>
      </c>
      <c r="AQ61" s="7">
        <v>38.781992336891491</v>
      </c>
      <c r="AR61" s="7">
        <v>52.256402347879202</v>
      </c>
      <c r="AS61" s="7">
        <v>30.041735444891511</v>
      </c>
      <c r="AT61" s="7">
        <v>27.887711010987719</v>
      </c>
    </row>
    <row r="62" spans="1:46" x14ac:dyDescent="0.35">
      <c r="A62" s="5">
        <v>46022</v>
      </c>
      <c r="B62" s="4" t="s">
        <v>170</v>
      </c>
      <c r="C62" s="4" t="s">
        <v>171</v>
      </c>
      <c r="D62" s="4" t="s">
        <v>111</v>
      </c>
      <c r="E62" s="6">
        <v>0</v>
      </c>
      <c r="F62" s="6">
        <v>0</v>
      </c>
      <c r="G62" s="6">
        <v>0</v>
      </c>
      <c r="H62" s="6">
        <v>0</v>
      </c>
      <c r="I62" s="6">
        <v>0</v>
      </c>
      <c r="J62" s="6">
        <v>1222</v>
      </c>
      <c r="K62" s="6">
        <v>1222</v>
      </c>
      <c r="L62" s="6">
        <v>1222</v>
      </c>
      <c r="M62" s="7">
        <v>21.942761000000001</v>
      </c>
      <c r="N62" s="7">
        <v>2.645883</v>
      </c>
      <c r="O62" s="7">
        <v>2.815042</v>
      </c>
      <c r="P62" s="7">
        <v>8.6901129999999984</v>
      </c>
      <c r="Q62" s="7">
        <v>36.093798999999997</v>
      </c>
      <c r="R62" s="7">
        <v>8.5400819999999982</v>
      </c>
      <c r="S62" s="7">
        <v>2.6078359999999998</v>
      </c>
      <c r="T62" s="7">
        <v>4.7829680000000003</v>
      </c>
      <c r="U62" s="7">
        <v>3.5819869999999989</v>
      </c>
      <c r="V62" s="7">
        <v>19.512872999999999</v>
      </c>
      <c r="W62" s="7">
        <v>55.606672000000003</v>
      </c>
      <c r="X62" s="7">
        <v>9.7888041472981993</v>
      </c>
      <c r="Y62" s="7">
        <v>10.24591529410673</v>
      </c>
      <c r="Z62" s="7">
        <v>75.641391441404934</v>
      </c>
      <c r="AA62" s="7">
        <v>6.0846650076441859</v>
      </c>
      <c r="AB62" s="7">
        <v>81.726056449049125</v>
      </c>
      <c r="AC62" s="7">
        <v>1.0963080000000001</v>
      </c>
      <c r="AD62" s="7">
        <v>23.014029000000001</v>
      </c>
      <c r="AE62" s="7">
        <v>0</v>
      </c>
      <c r="AF62" s="7">
        <v>0</v>
      </c>
      <c r="AG62" s="7">
        <v>105.8363934490491</v>
      </c>
      <c r="AH62" s="7">
        <v>7.3195129999999988</v>
      </c>
      <c r="AI62" s="7">
        <v>1.969327</v>
      </c>
      <c r="AJ62" s="7">
        <v>11.903102000000001</v>
      </c>
      <c r="AK62" s="7">
        <v>104.0143064490491</v>
      </c>
      <c r="AL62" s="7">
        <v>0</v>
      </c>
      <c r="AM62" s="7">
        <v>0</v>
      </c>
      <c r="AN62" s="7">
        <v>0</v>
      </c>
      <c r="AO62" s="7">
        <v>0</v>
      </c>
      <c r="AP62" s="7">
        <v>0</v>
      </c>
      <c r="AQ62" s="7">
        <v>104.0143064490491</v>
      </c>
      <c r="AR62" s="7">
        <v>169.73049763550969</v>
      </c>
      <c r="AS62" s="7">
        <v>94.089106194104801</v>
      </c>
      <c r="AT62" s="7">
        <v>88.004441186460625</v>
      </c>
    </row>
    <row r="63" spans="1:46" x14ac:dyDescent="0.35">
      <c r="A63" s="5">
        <v>46022</v>
      </c>
      <c r="B63" s="4" t="s">
        <v>172</v>
      </c>
      <c r="C63" s="4" t="s">
        <v>173</v>
      </c>
      <c r="D63" s="4" t="s">
        <v>111</v>
      </c>
      <c r="E63" s="6">
        <v>0</v>
      </c>
      <c r="F63" s="6">
        <v>0</v>
      </c>
      <c r="G63" s="6">
        <v>0</v>
      </c>
      <c r="H63" s="6">
        <v>0</v>
      </c>
      <c r="I63" s="6">
        <v>0</v>
      </c>
      <c r="J63" s="6">
        <v>533.97278600000004</v>
      </c>
      <c r="K63" s="6">
        <v>533.97278600000004</v>
      </c>
      <c r="L63" s="6">
        <v>533.97278600000004</v>
      </c>
      <c r="M63" s="7">
        <v>6.256816999999999</v>
      </c>
      <c r="N63" s="7">
        <v>2.3479190000000001</v>
      </c>
      <c r="O63" s="7">
        <v>3.7879499999999999</v>
      </c>
      <c r="P63" s="7">
        <v>3.293704</v>
      </c>
      <c r="Q63" s="7">
        <v>15.686389999999999</v>
      </c>
      <c r="R63" s="7">
        <v>7.7560719999999987</v>
      </c>
      <c r="S63" s="7">
        <v>2.3848069999999999</v>
      </c>
      <c r="T63" s="7">
        <v>4.5843569999999989</v>
      </c>
      <c r="U63" s="7">
        <v>4.4144889999999988</v>
      </c>
      <c r="V63" s="7">
        <v>19.139724999999999</v>
      </c>
      <c r="W63" s="7">
        <v>34.826115000000001</v>
      </c>
      <c r="X63" s="7">
        <v>16.36665197416259</v>
      </c>
      <c r="Y63" s="7">
        <v>21.264131919743761</v>
      </c>
      <c r="Z63" s="7">
        <v>72.456898893906356</v>
      </c>
      <c r="AA63" s="7">
        <v>14.288259128708649</v>
      </c>
      <c r="AB63" s="7">
        <v>86.745158022615001</v>
      </c>
      <c r="AC63" s="7">
        <v>0</v>
      </c>
      <c r="AD63" s="7">
        <v>5.0324710000000001</v>
      </c>
      <c r="AE63" s="7">
        <v>0</v>
      </c>
      <c r="AF63" s="7">
        <v>0</v>
      </c>
      <c r="AG63" s="7">
        <v>91.777629022615002</v>
      </c>
      <c r="AH63" s="7">
        <v>2.5595659999999998</v>
      </c>
      <c r="AI63" s="7">
        <v>0</v>
      </c>
      <c r="AJ63" s="7">
        <v>1.976531</v>
      </c>
      <c r="AK63" s="7">
        <v>91.281255022614999</v>
      </c>
      <c r="AL63" s="7">
        <v>0</v>
      </c>
      <c r="AM63" s="7">
        <v>0</v>
      </c>
      <c r="AN63" s="7">
        <v>0</v>
      </c>
      <c r="AO63" s="7">
        <v>0</v>
      </c>
      <c r="AP63" s="7">
        <v>0</v>
      </c>
      <c r="AQ63" s="7">
        <v>91.281255022614999</v>
      </c>
      <c r="AR63" s="7">
        <v>223.5403172507838</v>
      </c>
      <c r="AS63" s="7">
        <v>151.08341835687739</v>
      </c>
      <c r="AT63" s="7">
        <v>136.79515922816881</v>
      </c>
    </row>
    <row r="64" spans="1:46" x14ac:dyDescent="0.35">
      <c r="A64" s="5">
        <v>46022</v>
      </c>
      <c r="B64" s="4" t="s">
        <v>174</v>
      </c>
      <c r="C64" s="4" t="s">
        <v>175</v>
      </c>
      <c r="D64" s="4" t="s">
        <v>61</v>
      </c>
      <c r="E64" s="6">
        <v>0</v>
      </c>
      <c r="F64" s="6">
        <v>0</v>
      </c>
      <c r="G64" s="6">
        <v>0</v>
      </c>
      <c r="H64" s="6">
        <v>0</v>
      </c>
      <c r="I64" s="6">
        <v>0</v>
      </c>
      <c r="J64" s="6">
        <v>780.06</v>
      </c>
      <c r="K64" s="6">
        <v>780.06</v>
      </c>
      <c r="L64" s="6">
        <v>780.06</v>
      </c>
      <c r="M64" s="7">
        <v>3.93886</v>
      </c>
      <c r="N64" s="7">
        <v>0.93107600000000001</v>
      </c>
      <c r="O64" s="7">
        <v>2.9969679999999999</v>
      </c>
      <c r="P64" s="7">
        <v>5.6145579999999997</v>
      </c>
      <c r="Q64" s="7">
        <v>13.481462000000001</v>
      </c>
      <c r="R64" s="7">
        <v>3.4258419999999998</v>
      </c>
      <c r="S64" s="7">
        <v>1.542648</v>
      </c>
      <c r="T64" s="7">
        <v>3.1563870000000001</v>
      </c>
      <c r="U64" s="7">
        <v>3.3837350000000002</v>
      </c>
      <c r="V64" s="7">
        <v>11.508611999999999</v>
      </c>
      <c r="W64" s="7">
        <v>24.990074</v>
      </c>
      <c r="X64" s="7">
        <v>0.97179819616439755</v>
      </c>
      <c r="Y64" s="7">
        <v>2.6300602243742208</v>
      </c>
      <c r="Z64" s="7">
        <v>28.591932420538619</v>
      </c>
      <c r="AA64" s="7">
        <v>6.1423280103417417</v>
      </c>
      <c r="AB64" s="7">
        <v>34.734260430880362</v>
      </c>
      <c r="AC64" s="7">
        <v>0</v>
      </c>
      <c r="AD64" s="7">
        <v>1.021811</v>
      </c>
      <c r="AE64" s="7">
        <v>0</v>
      </c>
      <c r="AF64" s="7">
        <v>0</v>
      </c>
      <c r="AG64" s="7">
        <v>35.756071430880361</v>
      </c>
      <c r="AH64" s="7">
        <v>2.6868889999999999</v>
      </c>
      <c r="AI64" s="7">
        <v>0</v>
      </c>
      <c r="AJ64" s="7">
        <v>1.021811</v>
      </c>
      <c r="AK64" s="7">
        <v>38.442960430880362</v>
      </c>
      <c r="AL64" s="7">
        <v>0</v>
      </c>
      <c r="AM64" s="7">
        <v>0</v>
      </c>
      <c r="AN64" s="7">
        <v>0</v>
      </c>
      <c r="AO64" s="7">
        <v>0</v>
      </c>
      <c r="AP64" s="7">
        <v>0</v>
      </c>
      <c r="AQ64" s="7">
        <v>38.442960430880362</v>
      </c>
      <c r="AR64" s="7">
        <v>41.700960244608112</v>
      </c>
      <c r="AS64" s="7">
        <v>13.109027824069489</v>
      </c>
      <c r="AT64" s="7">
        <v>6.9666998137277476</v>
      </c>
    </row>
    <row r="65" spans="1:46" x14ac:dyDescent="0.35">
      <c r="A65" s="5">
        <v>46022</v>
      </c>
      <c r="B65" s="4" t="s">
        <v>176</v>
      </c>
      <c r="C65" s="4" t="s">
        <v>177</v>
      </c>
      <c r="D65" s="4" t="s">
        <v>61</v>
      </c>
      <c r="E65" s="6">
        <v>0</v>
      </c>
      <c r="F65" s="6">
        <v>0</v>
      </c>
      <c r="G65" s="6">
        <v>0</v>
      </c>
      <c r="H65" s="6">
        <v>0</v>
      </c>
      <c r="I65" s="6">
        <v>0</v>
      </c>
      <c r="J65" s="6">
        <v>1400</v>
      </c>
      <c r="K65" s="6">
        <v>1400</v>
      </c>
      <c r="L65" s="6">
        <v>1400</v>
      </c>
      <c r="M65" s="7">
        <v>9.342924</v>
      </c>
      <c r="N65" s="7">
        <v>0</v>
      </c>
      <c r="O65" s="7">
        <v>6.9066869999999998</v>
      </c>
      <c r="P65" s="7">
        <v>6.1486099999999997</v>
      </c>
      <c r="Q65" s="7">
        <v>22.398220999999999</v>
      </c>
      <c r="R65" s="7">
        <v>0.85196799999999995</v>
      </c>
      <c r="S65" s="7">
        <v>1.53793</v>
      </c>
      <c r="T65" s="7">
        <v>3.6434790000000001</v>
      </c>
      <c r="U65" s="7">
        <v>3.667405</v>
      </c>
      <c r="V65" s="7">
        <v>9.7007820000000002</v>
      </c>
      <c r="W65" s="7">
        <v>32.099003000000003</v>
      </c>
      <c r="X65" s="7">
        <v>0.23611546920000001</v>
      </c>
      <c r="Y65" s="7">
        <v>3.3036865895567988</v>
      </c>
      <c r="Z65" s="7">
        <v>35.638805058756802</v>
      </c>
      <c r="AA65" s="7">
        <v>6.5219032038336104</v>
      </c>
      <c r="AB65" s="7">
        <v>42.160708262590411</v>
      </c>
      <c r="AC65" s="7">
        <v>0</v>
      </c>
      <c r="AD65" s="7">
        <v>1.517174</v>
      </c>
      <c r="AE65" s="7">
        <v>0</v>
      </c>
      <c r="AF65" s="7">
        <v>0</v>
      </c>
      <c r="AG65" s="7">
        <v>43.677882262590408</v>
      </c>
      <c r="AH65" s="7">
        <v>5.0291490000000003</v>
      </c>
      <c r="AI65" s="7">
        <v>0</v>
      </c>
      <c r="AJ65" s="7">
        <v>2.4822649999999999</v>
      </c>
      <c r="AK65" s="7">
        <v>49.672122262590413</v>
      </c>
      <c r="AL65" s="7">
        <v>0</v>
      </c>
      <c r="AM65" s="7">
        <v>0</v>
      </c>
      <c r="AN65" s="7">
        <v>0</v>
      </c>
      <c r="AO65" s="7">
        <v>0</v>
      </c>
      <c r="AP65" s="7">
        <v>0</v>
      </c>
      <c r="AQ65" s="7">
        <v>49.672122262590413</v>
      </c>
      <c r="AR65" s="7">
        <v>51.958545993129221</v>
      </c>
      <c r="AS65" s="7">
        <v>16.319740934372419</v>
      </c>
      <c r="AT65" s="7">
        <v>9.7978377305388076</v>
      </c>
    </row>
    <row r="66" spans="1:46" x14ac:dyDescent="0.35">
      <c r="A66" s="5">
        <v>46022</v>
      </c>
      <c r="B66" s="4" t="s">
        <v>178</v>
      </c>
      <c r="C66" s="4" t="s">
        <v>179</v>
      </c>
      <c r="D66" s="4" t="s">
        <v>102</v>
      </c>
      <c r="E66" s="6">
        <v>36446.080000000002</v>
      </c>
      <c r="F66" s="6">
        <v>0</v>
      </c>
      <c r="G66" s="6">
        <v>36446.080000000002</v>
      </c>
      <c r="H66" s="6">
        <v>0.93</v>
      </c>
      <c r="I66" s="6">
        <v>39189.333333000002</v>
      </c>
      <c r="J66" s="6">
        <v>0</v>
      </c>
      <c r="K66" s="6">
        <v>39189.333333000002</v>
      </c>
      <c r="L66" s="6">
        <v>39189.333333000002</v>
      </c>
      <c r="M66" s="7">
        <v>0.75865300000000002</v>
      </c>
      <c r="N66" s="7">
        <v>0.91480099999999998</v>
      </c>
      <c r="O66" s="7">
        <v>0.13323399999999999</v>
      </c>
      <c r="P66" s="7">
        <v>2.598147</v>
      </c>
      <c r="Q66" s="7">
        <v>4.4048350000000003</v>
      </c>
      <c r="R66" s="7">
        <v>0.55744499999999997</v>
      </c>
      <c r="S66" s="7">
        <v>1.2940670000000001</v>
      </c>
      <c r="T66" s="7">
        <v>1.992758</v>
      </c>
      <c r="U66" s="7">
        <v>1.447338</v>
      </c>
      <c r="V66" s="7">
        <v>5.2916080000000001</v>
      </c>
      <c r="W66" s="7">
        <v>9.6964430000000004</v>
      </c>
      <c r="X66" s="7">
        <v>0.1704850115870431</v>
      </c>
      <c r="Y66" s="7">
        <v>0.70921275501050152</v>
      </c>
      <c r="Z66" s="7">
        <v>10.57614076659754</v>
      </c>
      <c r="AA66" s="7">
        <v>0</v>
      </c>
      <c r="AB66" s="7">
        <v>10.57614076659754</v>
      </c>
      <c r="AC66" s="7">
        <v>0</v>
      </c>
      <c r="AD66" s="7">
        <v>0.85972999999999999</v>
      </c>
      <c r="AE66" s="7">
        <v>0</v>
      </c>
      <c r="AF66" s="7">
        <v>0</v>
      </c>
      <c r="AG66" s="7">
        <v>11.435870766597541</v>
      </c>
      <c r="AH66" s="7">
        <v>0.45930900000000002</v>
      </c>
      <c r="AI66" s="7">
        <v>0</v>
      </c>
      <c r="AJ66" s="7">
        <v>4.488556</v>
      </c>
      <c r="AK66" s="7">
        <v>15.52400576659754</v>
      </c>
      <c r="AL66" s="7">
        <v>1.077915</v>
      </c>
      <c r="AM66" s="7">
        <v>0</v>
      </c>
      <c r="AN66" s="7">
        <v>0</v>
      </c>
      <c r="AO66" s="7">
        <v>0</v>
      </c>
      <c r="AP66" s="7">
        <v>0</v>
      </c>
      <c r="AQ66" s="7">
        <v>16.601920766597541</v>
      </c>
      <c r="AR66" s="7">
        <v>13.78924933441157</v>
      </c>
      <c r="AS66" s="7">
        <v>3.2131085678140261</v>
      </c>
      <c r="AT66" s="7">
        <v>3.2131085678140261</v>
      </c>
    </row>
    <row r="67" spans="1:46" x14ac:dyDescent="0.35">
      <c r="A67" s="5">
        <v>46022</v>
      </c>
      <c r="B67" s="4" t="s">
        <v>180</v>
      </c>
      <c r="C67" s="4" t="s">
        <v>181</v>
      </c>
      <c r="D67" s="4" t="s">
        <v>69</v>
      </c>
      <c r="E67" s="6">
        <v>13845.96</v>
      </c>
      <c r="F67" s="6">
        <v>0</v>
      </c>
      <c r="G67" s="6">
        <v>13845.96</v>
      </c>
      <c r="H67" s="6">
        <v>0.18</v>
      </c>
      <c r="I67" s="6">
        <v>76922</v>
      </c>
      <c r="J67" s="6">
        <v>0</v>
      </c>
      <c r="K67" s="6">
        <v>76922</v>
      </c>
      <c r="L67" s="6">
        <v>61742</v>
      </c>
      <c r="M67" s="7">
        <v>0.686921</v>
      </c>
      <c r="N67" s="7">
        <v>1.2626010000000001</v>
      </c>
      <c r="O67" s="7">
        <v>6.1388999999999999E-2</v>
      </c>
      <c r="P67" s="7">
        <v>1.0819430000000001</v>
      </c>
      <c r="Q67" s="7">
        <v>3.092854</v>
      </c>
      <c r="R67" s="7">
        <v>0.41056399999999998</v>
      </c>
      <c r="S67" s="7">
        <v>4.2269310000000013</v>
      </c>
      <c r="T67" s="7">
        <v>1.489295</v>
      </c>
      <c r="U67" s="7">
        <v>1.466461</v>
      </c>
      <c r="V67" s="7">
        <v>7.5932510000000013</v>
      </c>
      <c r="W67" s="7">
        <v>10.686105</v>
      </c>
      <c r="X67" s="7">
        <v>3.1552597785161769</v>
      </c>
      <c r="Y67" s="7">
        <v>2.0604520829242352</v>
      </c>
      <c r="Z67" s="7">
        <v>15.901816861440411</v>
      </c>
      <c r="AA67" s="7">
        <v>2.398437617449289</v>
      </c>
      <c r="AB67" s="7">
        <v>18.300254478889698</v>
      </c>
      <c r="AC67" s="7">
        <v>0</v>
      </c>
      <c r="AD67" s="7">
        <v>3.1900460000000002</v>
      </c>
      <c r="AE67" s="7">
        <v>0</v>
      </c>
      <c r="AF67" s="7">
        <v>0</v>
      </c>
      <c r="AG67" s="7">
        <v>21.490300478889701</v>
      </c>
      <c r="AH67" s="7">
        <v>3.3589310000000001</v>
      </c>
      <c r="AI67" s="7">
        <v>0</v>
      </c>
      <c r="AJ67" s="7">
        <v>1.1565890000000001</v>
      </c>
      <c r="AK67" s="7">
        <v>22.815774478889701</v>
      </c>
      <c r="AL67" s="7">
        <v>0</v>
      </c>
      <c r="AM67" s="7">
        <v>9.9579000000000015E-2</v>
      </c>
      <c r="AN67" s="7">
        <v>0</v>
      </c>
      <c r="AO67" s="7">
        <v>0</v>
      </c>
      <c r="AP67" s="7">
        <v>0</v>
      </c>
      <c r="AQ67" s="7">
        <v>22.915353478889699</v>
      </c>
      <c r="AR67" s="7">
        <v>34.753318017421208</v>
      </c>
      <c r="AS67" s="7">
        <v>18.851501155980799</v>
      </c>
      <c r="AT67" s="7">
        <v>16.453063538531509</v>
      </c>
    </row>
    <row r="68" spans="1:46" x14ac:dyDescent="0.35">
      <c r="A68" s="5">
        <v>46022</v>
      </c>
      <c r="B68" s="4" t="s">
        <v>182</v>
      </c>
      <c r="C68" s="4" t="s">
        <v>183</v>
      </c>
      <c r="D68" s="4" t="s">
        <v>55</v>
      </c>
      <c r="E68" s="6">
        <v>0</v>
      </c>
      <c r="F68" s="6">
        <v>0</v>
      </c>
      <c r="G68" s="6">
        <v>0</v>
      </c>
      <c r="H68" s="6">
        <v>0</v>
      </c>
      <c r="I68" s="6">
        <v>0</v>
      </c>
      <c r="J68" s="6">
        <v>1379.2302520000001</v>
      </c>
      <c r="K68" s="6">
        <v>1379.2302520000001</v>
      </c>
      <c r="L68" s="6">
        <v>1360.2258979999999</v>
      </c>
      <c r="M68" s="7">
        <v>11.177235</v>
      </c>
      <c r="N68" s="7">
        <v>1.3428979999999999</v>
      </c>
      <c r="O68" s="7">
        <v>0.89363599999999987</v>
      </c>
      <c r="P68" s="7">
        <v>9.1061029999999992</v>
      </c>
      <c r="Q68" s="7">
        <v>22.519871999999999</v>
      </c>
      <c r="R68" s="7">
        <v>7.4171509999999987</v>
      </c>
      <c r="S68" s="7">
        <v>3.6086499999999999</v>
      </c>
      <c r="T68" s="7">
        <v>3.7765520000000001</v>
      </c>
      <c r="U68" s="7">
        <v>6.530767</v>
      </c>
      <c r="V68" s="7">
        <v>21.333120000000001</v>
      </c>
      <c r="W68" s="7">
        <v>43.852992</v>
      </c>
      <c r="X68" s="7">
        <v>5.1182718598949952</v>
      </c>
      <c r="Y68" s="7">
        <v>30.55296194299406</v>
      </c>
      <c r="Z68" s="7">
        <v>79.524225802889049</v>
      </c>
      <c r="AA68" s="7">
        <v>5.6433840576221677</v>
      </c>
      <c r="AB68" s="7">
        <v>85.16760986051122</v>
      </c>
      <c r="AC68" s="7">
        <v>0.86231400000000002</v>
      </c>
      <c r="AD68" s="7">
        <v>67.270488999999984</v>
      </c>
      <c r="AE68" s="7">
        <v>0</v>
      </c>
      <c r="AF68" s="7">
        <v>0</v>
      </c>
      <c r="AG68" s="7">
        <v>153.30041286051119</v>
      </c>
      <c r="AH68" s="7">
        <v>3.6068509999999998</v>
      </c>
      <c r="AI68" s="7">
        <v>0</v>
      </c>
      <c r="AJ68" s="7">
        <v>48.841965000000002</v>
      </c>
      <c r="AK68" s="7">
        <v>138.47873986051121</v>
      </c>
      <c r="AL68" s="7">
        <v>6.6165479999999999</v>
      </c>
      <c r="AM68" s="7">
        <v>0</v>
      </c>
      <c r="AN68" s="7">
        <v>0</v>
      </c>
      <c r="AO68" s="7">
        <v>0</v>
      </c>
      <c r="AP68" s="7">
        <v>0</v>
      </c>
      <c r="AQ68" s="7">
        <v>145.09528786051121</v>
      </c>
      <c r="AR68" s="7">
        <v>196.4194890169276</v>
      </c>
      <c r="AS68" s="7">
        <v>116.89526321403849</v>
      </c>
      <c r="AT68" s="7">
        <v>111.25187915641629</v>
      </c>
    </row>
    <row r="69" spans="1:46" x14ac:dyDescent="0.35">
      <c r="A69" s="5">
        <v>46022</v>
      </c>
      <c r="B69" s="4" t="s">
        <v>184</v>
      </c>
      <c r="C69" s="4" t="s">
        <v>185</v>
      </c>
      <c r="D69" s="4" t="s">
        <v>157</v>
      </c>
      <c r="E69" s="6">
        <v>54750</v>
      </c>
      <c r="F69" s="6">
        <v>0</v>
      </c>
      <c r="G69" s="6">
        <v>54750</v>
      </c>
      <c r="H69" s="6">
        <v>3</v>
      </c>
      <c r="I69" s="6">
        <v>18250</v>
      </c>
      <c r="J69" s="6">
        <v>0</v>
      </c>
      <c r="K69" s="6">
        <v>18250</v>
      </c>
      <c r="L69" s="6">
        <v>18250</v>
      </c>
      <c r="M69" s="7">
        <v>1.201316345120226</v>
      </c>
      <c r="N69" s="7">
        <v>1.821912</v>
      </c>
      <c r="O69" s="7">
        <v>0.49209252050919378</v>
      </c>
      <c r="P69" s="7">
        <v>2.9034235473833099</v>
      </c>
      <c r="Q69" s="7">
        <v>6.41874441301273</v>
      </c>
      <c r="R69" s="7">
        <v>0.26143620933521922</v>
      </c>
      <c r="S69" s="7">
        <v>1.4226646562942009</v>
      </c>
      <c r="T69" s="7">
        <v>2.8775533635077788</v>
      </c>
      <c r="U69" s="7">
        <v>0.92330478642149927</v>
      </c>
      <c r="V69" s="7">
        <v>5.4849590155586991</v>
      </c>
      <c r="W69" s="7">
        <v>11.903703428571429</v>
      </c>
      <c r="X69" s="7">
        <v>4.5916908235013702E-2</v>
      </c>
      <c r="Y69" s="7">
        <v>0.16281261163652719</v>
      </c>
      <c r="Z69" s="7">
        <v>12.11243294844297</v>
      </c>
      <c r="AA69" s="7">
        <v>1.158762207393508</v>
      </c>
      <c r="AB69" s="7">
        <v>13.27119515583648</v>
      </c>
      <c r="AC69" s="7">
        <v>0</v>
      </c>
      <c r="AD69" s="7">
        <v>5.1024458896746818</v>
      </c>
      <c r="AE69" s="7">
        <v>0</v>
      </c>
      <c r="AF69" s="7">
        <v>0</v>
      </c>
      <c r="AG69" s="7">
        <v>18.37364104551116</v>
      </c>
      <c r="AH69" s="7">
        <v>6.9164384724186706E-2</v>
      </c>
      <c r="AI69" s="7">
        <v>0</v>
      </c>
      <c r="AJ69" s="7">
        <v>3.5770954908062231</v>
      </c>
      <c r="AK69" s="7">
        <v>16.917455031366892</v>
      </c>
      <c r="AL69" s="7">
        <v>0</v>
      </c>
      <c r="AM69" s="7">
        <v>0</v>
      </c>
      <c r="AN69" s="7">
        <v>0</v>
      </c>
      <c r="AO69" s="7">
        <v>0</v>
      </c>
      <c r="AP69" s="7">
        <v>0.82191800000000004</v>
      </c>
      <c r="AQ69" s="7">
        <v>17.739373031366888</v>
      </c>
      <c r="AR69" s="7">
        <v>29.236163320879609</v>
      </c>
      <c r="AS69" s="7">
        <v>17.12373037243664</v>
      </c>
      <c r="AT69" s="7">
        <v>15.96496816504313</v>
      </c>
    </row>
    <row r="70" spans="1:46" x14ac:dyDescent="0.35">
      <c r="A70" s="5">
        <v>46022</v>
      </c>
      <c r="B70" s="4" t="s">
        <v>186</v>
      </c>
      <c r="C70" s="4" t="s">
        <v>187</v>
      </c>
      <c r="D70" s="4" t="s">
        <v>111</v>
      </c>
      <c r="E70" s="6">
        <v>0</v>
      </c>
      <c r="F70" s="6">
        <v>0</v>
      </c>
      <c r="G70" s="6">
        <v>0</v>
      </c>
      <c r="H70" s="6">
        <v>0</v>
      </c>
      <c r="I70" s="6">
        <v>0</v>
      </c>
      <c r="J70" s="6">
        <v>730.12933299999997</v>
      </c>
      <c r="K70" s="6">
        <v>730.12933299999997</v>
      </c>
      <c r="L70" s="6">
        <v>730.12933299999997</v>
      </c>
      <c r="M70" s="7">
        <v>6.5430450000000002</v>
      </c>
      <c r="N70" s="7">
        <v>5.4347820000000002</v>
      </c>
      <c r="O70" s="7">
        <v>5.0622680000000004</v>
      </c>
      <c r="P70" s="7">
        <v>14.792773</v>
      </c>
      <c r="Q70" s="7">
        <v>31.832868000000001</v>
      </c>
      <c r="R70" s="7">
        <v>2.9719679999999999</v>
      </c>
      <c r="S70" s="7">
        <v>2.7806449999999998</v>
      </c>
      <c r="T70" s="7">
        <v>4.4338889999999989</v>
      </c>
      <c r="U70" s="7">
        <v>5.626155999999999</v>
      </c>
      <c r="V70" s="7">
        <v>15.812658000000001</v>
      </c>
      <c r="W70" s="7">
        <v>47.645525999999997</v>
      </c>
      <c r="X70" s="7">
        <v>2.7549160258159362</v>
      </c>
      <c r="Y70" s="7">
        <v>3.721265354800956</v>
      </c>
      <c r="Z70" s="7">
        <v>54.12170738061689</v>
      </c>
      <c r="AA70" s="7">
        <v>4.1592203281009787</v>
      </c>
      <c r="AB70" s="7">
        <v>58.280927708717869</v>
      </c>
      <c r="AC70" s="7">
        <v>0.284881</v>
      </c>
      <c r="AD70" s="7">
        <v>4.7772360000000003</v>
      </c>
      <c r="AE70" s="7">
        <v>0</v>
      </c>
      <c r="AF70" s="7">
        <v>0.56565299999999985</v>
      </c>
      <c r="AG70" s="7">
        <v>63.908697708717867</v>
      </c>
      <c r="AH70" s="7">
        <v>15.723242000000001</v>
      </c>
      <c r="AI70" s="7">
        <v>1.751288</v>
      </c>
      <c r="AJ70" s="7">
        <v>3.199433</v>
      </c>
      <c r="AK70" s="7">
        <v>79.239771708717868</v>
      </c>
      <c r="AL70" s="7">
        <v>36.733218000000001</v>
      </c>
      <c r="AM70" s="7">
        <v>0</v>
      </c>
      <c r="AN70" s="7">
        <v>0</v>
      </c>
      <c r="AO70" s="7">
        <v>0</v>
      </c>
      <c r="AP70" s="7">
        <v>0</v>
      </c>
      <c r="AQ70" s="7">
        <v>115.9729897087179</v>
      </c>
      <c r="AR70" s="7">
        <v>96.892918940225741</v>
      </c>
      <c r="AS70" s="7">
        <v>42.771211559608851</v>
      </c>
      <c r="AT70" s="7">
        <v>38.611991231507872</v>
      </c>
    </row>
    <row r="71" spans="1:46" x14ac:dyDescent="0.35">
      <c r="A71" s="5">
        <v>46022</v>
      </c>
      <c r="B71" s="4" t="s">
        <v>188</v>
      </c>
      <c r="C71" s="4" t="s">
        <v>189</v>
      </c>
      <c r="D71" s="4" t="s">
        <v>61</v>
      </c>
      <c r="E71" s="6">
        <v>0</v>
      </c>
      <c r="F71" s="6">
        <v>0</v>
      </c>
      <c r="G71" s="6">
        <v>0</v>
      </c>
      <c r="H71" s="6">
        <v>0</v>
      </c>
      <c r="I71" s="6">
        <v>0</v>
      </c>
      <c r="J71" s="6">
        <v>250</v>
      </c>
      <c r="K71" s="6">
        <v>250</v>
      </c>
      <c r="L71" s="6">
        <v>250</v>
      </c>
      <c r="M71" s="7">
        <v>4.7666240000000002</v>
      </c>
      <c r="N71" s="7">
        <v>0.31140000000000001</v>
      </c>
      <c r="O71" s="7">
        <v>1.826538</v>
      </c>
      <c r="P71" s="7">
        <v>6.0880900000000002</v>
      </c>
      <c r="Q71" s="7">
        <v>12.992652</v>
      </c>
      <c r="R71" s="7">
        <v>1.5013240000000001</v>
      </c>
      <c r="S71" s="7">
        <v>2.3111630000000001</v>
      </c>
      <c r="T71" s="7">
        <v>4.1509090000000004</v>
      </c>
      <c r="U71" s="7">
        <v>3.2258450000000001</v>
      </c>
      <c r="V71" s="7">
        <v>11.189241000000001</v>
      </c>
      <c r="W71" s="7">
        <v>24.181892999999999</v>
      </c>
      <c r="X71" s="7">
        <v>0.9283092606044</v>
      </c>
      <c r="Y71" s="7">
        <v>2.9913992843186672</v>
      </c>
      <c r="Z71" s="7">
        <v>28.101601544923071</v>
      </c>
      <c r="AA71" s="7">
        <v>9.2792509887705048</v>
      </c>
      <c r="AB71" s="7">
        <v>37.38085253369357</v>
      </c>
      <c r="AC71" s="7">
        <v>0</v>
      </c>
      <c r="AD71" s="7">
        <v>1.74194</v>
      </c>
      <c r="AE71" s="7">
        <v>0</v>
      </c>
      <c r="AF71" s="7">
        <v>0</v>
      </c>
      <c r="AG71" s="7">
        <v>39.12279253369357</v>
      </c>
      <c r="AH71" s="7">
        <v>3.0343469999999999</v>
      </c>
      <c r="AI71" s="7">
        <v>0</v>
      </c>
      <c r="AJ71" s="7">
        <v>2.135281</v>
      </c>
      <c r="AK71" s="7">
        <v>42.550480533693573</v>
      </c>
      <c r="AL71" s="7">
        <v>0</v>
      </c>
      <c r="AM71" s="7">
        <v>0</v>
      </c>
      <c r="AN71" s="7">
        <v>0</v>
      </c>
      <c r="AO71" s="7">
        <v>0</v>
      </c>
      <c r="AP71" s="7">
        <v>0</v>
      </c>
      <c r="AQ71" s="7">
        <v>42.550480533693573</v>
      </c>
      <c r="AR71" s="7">
        <v>68.947939436828918</v>
      </c>
      <c r="AS71" s="7">
        <v>40.846337891905847</v>
      </c>
      <c r="AT71" s="7">
        <v>31.567086903135351</v>
      </c>
    </row>
    <row r="72" spans="1:46" x14ac:dyDescent="0.35">
      <c r="A72" s="5">
        <v>46022</v>
      </c>
      <c r="B72" s="4" t="s">
        <v>190</v>
      </c>
      <c r="C72" s="4" t="s">
        <v>191</v>
      </c>
      <c r="D72" s="4" t="s">
        <v>192</v>
      </c>
      <c r="E72" s="6">
        <v>93000</v>
      </c>
      <c r="F72" s="6">
        <v>0</v>
      </c>
      <c r="G72" s="6">
        <v>93000</v>
      </c>
      <c r="H72" s="6">
        <v>3</v>
      </c>
      <c r="I72" s="6">
        <v>31000</v>
      </c>
      <c r="J72" s="6">
        <v>1200</v>
      </c>
      <c r="K72" s="6">
        <v>32200</v>
      </c>
      <c r="L72" s="6">
        <v>32200</v>
      </c>
      <c r="M72" s="7">
        <v>3.1795460000000002</v>
      </c>
      <c r="N72" s="7">
        <v>2.2343639999999998</v>
      </c>
      <c r="O72" s="7">
        <v>8.5748000000000005E-2</v>
      </c>
      <c r="P72" s="7">
        <v>2.7221920000000002</v>
      </c>
      <c r="Q72" s="7">
        <v>8.2218499999999999</v>
      </c>
      <c r="R72" s="7">
        <v>1.3449549999999999</v>
      </c>
      <c r="S72" s="7">
        <v>0.47205000000000003</v>
      </c>
      <c r="T72" s="7">
        <v>5.8001139999999998</v>
      </c>
      <c r="U72" s="7">
        <v>4.1455780000000013</v>
      </c>
      <c r="V72" s="7">
        <v>11.762696999999999</v>
      </c>
      <c r="W72" s="7">
        <v>19.984546999999999</v>
      </c>
      <c r="X72" s="7">
        <v>2.6344547151084221</v>
      </c>
      <c r="Y72" s="7">
        <v>1.9276915509072849</v>
      </c>
      <c r="Z72" s="7">
        <v>24.546693266015708</v>
      </c>
      <c r="AA72" s="7">
        <v>1.94678454594915</v>
      </c>
      <c r="AB72" s="7">
        <v>26.493477811964858</v>
      </c>
      <c r="AC72" s="7">
        <v>0</v>
      </c>
      <c r="AD72" s="7">
        <v>4.8394789999999999</v>
      </c>
      <c r="AE72" s="7">
        <v>0</v>
      </c>
      <c r="AF72" s="7">
        <v>0</v>
      </c>
      <c r="AG72" s="7">
        <v>31.332956811964859</v>
      </c>
      <c r="AH72" s="7">
        <v>2.5940569999999998</v>
      </c>
      <c r="AI72" s="7">
        <v>0</v>
      </c>
      <c r="AJ72" s="7">
        <v>4.5111629999999998</v>
      </c>
      <c r="AK72" s="7">
        <v>33.598697811964861</v>
      </c>
      <c r="AL72" s="7">
        <v>0.77639800000000003</v>
      </c>
      <c r="AM72" s="7">
        <v>0</v>
      </c>
      <c r="AN72" s="7">
        <v>0</v>
      </c>
      <c r="AO72" s="7">
        <v>0</v>
      </c>
      <c r="AP72" s="7">
        <v>0</v>
      </c>
      <c r="AQ72" s="7">
        <v>34.375095811964862</v>
      </c>
      <c r="AR72" s="7">
        <v>38.935750771028673</v>
      </c>
      <c r="AS72" s="7">
        <v>14.389057505012961</v>
      </c>
      <c r="AT72" s="7">
        <v>12.442272959063811</v>
      </c>
    </row>
    <row r="73" spans="1:46" x14ac:dyDescent="0.35">
      <c r="A73" s="5">
        <v>46022</v>
      </c>
      <c r="B73" s="4" t="s">
        <v>193</v>
      </c>
      <c r="C73" s="4" t="s">
        <v>194</v>
      </c>
      <c r="D73" s="4" t="s">
        <v>58</v>
      </c>
      <c r="E73" s="6">
        <v>13940.827332999999</v>
      </c>
      <c r="F73" s="6">
        <v>0</v>
      </c>
      <c r="G73" s="6">
        <v>13940.827332999999</v>
      </c>
      <c r="H73" s="6">
        <v>1.6400969999999999</v>
      </c>
      <c r="I73" s="6">
        <v>8500</v>
      </c>
      <c r="J73" s="6">
        <v>0</v>
      </c>
      <c r="K73" s="6">
        <v>8500</v>
      </c>
      <c r="L73" s="6">
        <v>8500</v>
      </c>
      <c r="M73" s="7">
        <v>5.6780340000000011</v>
      </c>
      <c r="N73" s="7">
        <v>1.9874689999999999</v>
      </c>
      <c r="O73" s="7">
        <v>0.51754100000000014</v>
      </c>
      <c r="P73" s="7">
        <v>1.478065</v>
      </c>
      <c r="Q73" s="7">
        <v>9.6611090000000015</v>
      </c>
      <c r="R73" s="7">
        <v>2.207376</v>
      </c>
      <c r="S73" s="7">
        <v>1.3813530000000001</v>
      </c>
      <c r="T73" s="7">
        <v>1.7586250000000001</v>
      </c>
      <c r="U73" s="7">
        <v>0.30229</v>
      </c>
      <c r="V73" s="7">
        <v>5.6496440000000003</v>
      </c>
      <c r="W73" s="7">
        <v>15.310753</v>
      </c>
      <c r="X73" s="7">
        <v>0.25800000000000001</v>
      </c>
      <c r="Y73" s="7">
        <v>0</v>
      </c>
      <c r="Z73" s="7">
        <v>15.568752999999999</v>
      </c>
      <c r="AA73" s="7">
        <v>0.31852187754484718</v>
      </c>
      <c r="AB73" s="7">
        <v>15.887274877544851</v>
      </c>
      <c r="AC73" s="7">
        <v>0</v>
      </c>
      <c r="AD73" s="7">
        <v>5.6132600000000012</v>
      </c>
      <c r="AE73" s="7">
        <v>0</v>
      </c>
      <c r="AF73" s="7">
        <v>0</v>
      </c>
      <c r="AG73" s="7">
        <v>21.500534877544851</v>
      </c>
      <c r="AH73" s="7">
        <v>1.4509129999999999</v>
      </c>
      <c r="AI73" s="7">
        <v>0</v>
      </c>
      <c r="AJ73" s="7">
        <v>1.9178280000000001</v>
      </c>
      <c r="AK73" s="7">
        <v>19.256015877544851</v>
      </c>
      <c r="AL73" s="7">
        <v>0</v>
      </c>
      <c r="AM73" s="7">
        <v>0</v>
      </c>
      <c r="AN73" s="7">
        <v>0</v>
      </c>
      <c r="AO73" s="7">
        <v>0</v>
      </c>
      <c r="AP73" s="7">
        <v>0</v>
      </c>
      <c r="AQ73" s="7">
        <v>19.256015877544851</v>
      </c>
      <c r="AR73" s="7">
        <v>31.852387606333181</v>
      </c>
      <c r="AS73" s="7">
        <v>16.28363460633318</v>
      </c>
      <c r="AT73" s="7">
        <v>15.965112728788331</v>
      </c>
    </row>
    <row r="74" spans="1:46" x14ac:dyDescent="0.35">
      <c r="A74" s="5">
        <v>46022</v>
      </c>
      <c r="B74" s="4" t="s">
        <v>195</v>
      </c>
      <c r="C74" s="4" t="s">
        <v>196</v>
      </c>
      <c r="D74" s="4" t="s">
        <v>61</v>
      </c>
      <c r="E74" s="6">
        <v>0</v>
      </c>
      <c r="F74" s="6">
        <v>0</v>
      </c>
      <c r="G74" s="6">
        <v>0</v>
      </c>
      <c r="H74" s="6">
        <v>0</v>
      </c>
      <c r="I74" s="6">
        <v>0</v>
      </c>
      <c r="J74" s="6">
        <v>341.45807000000002</v>
      </c>
      <c r="K74" s="6">
        <v>341.45807000000002</v>
      </c>
      <c r="L74" s="6">
        <v>341.45807000000002</v>
      </c>
      <c r="M74" s="7">
        <v>9.1030409999999993</v>
      </c>
      <c r="N74" s="7">
        <v>0.238455</v>
      </c>
      <c r="O74" s="7">
        <v>2.2711169999999998</v>
      </c>
      <c r="P74" s="7">
        <v>5.722499</v>
      </c>
      <c r="Q74" s="7">
        <v>17.335111999999999</v>
      </c>
      <c r="R74" s="7">
        <v>2.4724309999999998</v>
      </c>
      <c r="S74" s="7">
        <v>1.1552169999999999</v>
      </c>
      <c r="T74" s="7">
        <v>2.9061949999999999</v>
      </c>
      <c r="U74" s="7">
        <v>4.2976419999999997</v>
      </c>
      <c r="V74" s="7">
        <v>10.831485000000001</v>
      </c>
      <c r="W74" s="7">
        <v>28.166596999999999</v>
      </c>
      <c r="X74" s="7">
        <v>1.5049833038891129</v>
      </c>
      <c r="Y74" s="7">
        <v>6.5450679766964308</v>
      </c>
      <c r="Z74" s="7">
        <v>36.216648280585538</v>
      </c>
      <c r="AA74" s="7">
        <v>8.0759928654232436</v>
      </c>
      <c r="AB74" s="7">
        <v>44.292641146008791</v>
      </c>
      <c r="AC74" s="7">
        <v>0</v>
      </c>
      <c r="AD74" s="7">
        <v>4.4559949999999997</v>
      </c>
      <c r="AE74" s="7">
        <v>0</v>
      </c>
      <c r="AF74" s="7">
        <v>0</v>
      </c>
      <c r="AG74" s="7">
        <v>48.748636146008792</v>
      </c>
      <c r="AH74" s="7">
        <v>3.3672819999999999</v>
      </c>
      <c r="AI74" s="7">
        <v>0</v>
      </c>
      <c r="AJ74" s="7">
        <v>2.1928779999999999</v>
      </c>
      <c r="AK74" s="7">
        <v>49.852801146008787</v>
      </c>
      <c r="AL74" s="7">
        <v>0</v>
      </c>
      <c r="AM74" s="7">
        <v>0</v>
      </c>
      <c r="AN74" s="7">
        <v>0</v>
      </c>
      <c r="AO74" s="7">
        <v>0</v>
      </c>
      <c r="AP74" s="7">
        <v>0</v>
      </c>
      <c r="AQ74" s="7">
        <v>49.852801146008787</v>
      </c>
      <c r="AR74" s="7">
        <v>108.2337227881773</v>
      </c>
      <c r="AS74" s="7">
        <v>72.017074507591744</v>
      </c>
      <c r="AT74" s="7">
        <v>63.941081642168513</v>
      </c>
    </row>
    <row r="75" spans="1:46" x14ac:dyDescent="0.35">
      <c r="A75" s="5">
        <v>46022</v>
      </c>
      <c r="B75" s="4" t="s">
        <v>197</v>
      </c>
      <c r="C75" s="4" t="s">
        <v>198</v>
      </c>
      <c r="D75" s="4" t="s">
        <v>89</v>
      </c>
      <c r="E75" s="6">
        <v>0</v>
      </c>
      <c r="F75" s="6">
        <v>0</v>
      </c>
      <c r="G75" s="6">
        <v>0</v>
      </c>
      <c r="H75" s="6">
        <v>0</v>
      </c>
      <c r="I75" s="6">
        <v>0</v>
      </c>
      <c r="J75" s="6">
        <v>750</v>
      </c>
      <c r="K75" s="6">
        <v>750</v>
      </c>
      <c r="L75" s="6">
        <v>775</v>
      </c>
      <c r="M75" s="7">
        <v>36.273293000000002</v>
      </c>
      <c r="N75" s="7">
        <v>4.1931380000000003</v>
      </c>
      <c r="O75" s="7">
        <v>7.3184829999999996</v>
      </c>
      <c r="P75" s="7">
        <v>61.080128999999999</v>
      </c>
      <c r="Q75" s="7">
        <v>108.865043</v>
      </c>
      <c r="R75" s="7">
        <v>13.904875000000001</v>
      </c>
      <c r="S75" s="7">
        <v>2.7596159999999998</v>
      </c>
      <c r="T75" s="7">
        <v>7.3981389999999996</v>
      </c>
      <c r="U75" s="7">
        <v>18.846064999999999</v>
      </c>
      <c r="V75" s="7">
        <v>42.908695000000002</v>
      </c>
      <c r="W75" s="7">
        <v>151.77373800000001</v>
      </c>
      <c r="X75" s="7">
        <v>0.43857291348232258</v>
      </c>
      <c r="Y75" s="7">
        <v>0.5062230307383041</v>
      </c>
      <c r="Z75" s="7">
        <v>152.71853394422061</v>
      </c>
      <c r="AA75" s="7">
        <v>8.3987067782667744</v>
      </c>
      <c r="AB75" s="7">
        <v>161.1172407224874</v>
      </c>
      <c r="AC75" s="7">
        <v>0</v>
      </c>
      <c r="AD75" s="7">
        <v>87.250696000000005</v>
      </c>
      <c r="AE75" s="7">
        <v>0</v>
      </c>
      <c r="AF75" s="7">
        <v>0</v>
      </c>
      <c r="AG75" s="7">
        <v>248.3679367224874</v>
      </c>
      <c r="AH75" s="7">
        <v>6.6466580000000004</v>
      </c>
      <c r="AI75" s="7">
        <v>0</v>
      </c>
      <c r="AJ75" s="7">
        <v>28.517931000000001</v>
      </c>
      <c r="AK75" s="7">
        <v>196.2818297224874</v>
      </c>
      <c r="AL75" s="7">
        <v>0</v>
      </c>
      <c r="AM75" s="7">
        <v>0</v>
      </c>
      <c r="AN75" s="7">
        <v>0</v>
      </c>
      <c r="AO75" s="7">
        <v>0</v>
      </c>
      <c r="AP75" s="7">
        <v>0</v>
      </c>
      <c r="AQ75" s="7">
        <v>196.2818297224874</v>
      </c>
      <c r="AR75" s="7">
        <v>288.7858764792727</v>
      </c>
      <c r="AS75" s="7">
        <v>136.06734253505209</v>
      </c>
      <c r="AT75" s="7">
        <v>127.66863575678531</v>
      </c>
    </row>
    <row r="76" spans="1:46" x14ac:dyDescent="0.35">
      <c r="A76" s="5">
        <v>46022</v>
      </c>
      <c r="B76" s="4" t="s">
        <v>199</v>
      </c>
      <c r="C76" s="4" t="s">
        <v>200</v>
      </c>
      <c r="D76" s="4" t="s">
        <v>61</v>
      </c>
      <c r="E76" s="6">
        <v>0</v>
      </c>
      <c r="F76" s="6">
        <v>0</v>
      </c>
      <c r="G76" s="6">
        <v>0</v>
      </c>
      <c r="H76" s="6">
        <v>0</v>
      </c>
      <c r="I76" s="6">
        <v>0</v>
      </c>
      <c r="J76" s="6">
        <v>50</v>
      </c>
      <c r="K76" s="6">
        <v>50</v>
      </c>
      <c r="L76" s="6">
        <v>50</v>
      </c>
      <c r="M76" s="7">
        <v>4.9913740000000013</v>
      </c>
      <c r="N76" s="7">
        <v>0.57282900000000003</v>
      </c>
      <c r="O76" s="7">
        <v>2.8892699999999998</v>
      </c>
      <c r="P76" s="7">
        <v>2.5593219999999999</v>
      </c>
      <c r="Q76" s="7">
        <v>11.012795000000001</v>
      </c>
      <c r="R76" s="7">
        <v>2.8449499999999999</v>
      </c>
      <c r="S76" s="7">
        <v>0.75548899999999997</v>
      </c>
      <c r="T76" s="7">
        <v>4.1340199999999996</v>
      </c>
      <c r="U76" s="7">
        <v>2.361443</v>
      </c>
      <c r="V76" s="7">
        <v>10.095902000000001</v>
      </c>
      <c r="W76" s="7">
        <v>21.108696999999999</v>
      </c>
      <c r="X76" s="7">
        <v>0.28838979004800003</v>
      </c>
      <c r="Y76" s="7">
        <v>2.0200925270077401</v>
      </c>
      <c r="Z76" s="7">
        <v>23.417179317055741</v>
      </c>
      <c r="AA76" s="7">
        <v>5.5002984335683811</v>
      </c>
      <c r="AB76" s="7">
        <v>28.917477750624119</v>
      </c>
      <c r="AC76" s="7">
        <v>0</v>
      </c>
      <c r="AD76" s="7">
        <v>1.047282</v>
      </c>
      <c r="AE76" s="7">
        <v>0</v>
      </c>
      <c r="AF76" s="7">
        <v>0</v>
      </c>
      <c r="AG76" s="7">
        <v>29.964759750624118</v>
      </c>
      <c r="AH76" s="7">
        <v>0.779532</v>
      </c>
      <c r="AI76" s="7">
        <v>0</v>
      </c>
      <c r="AJ76" s="7">
        <v>1.047282</v>
      </c>
      <c r="AK76" s="7">
        <v>30.744291750624122</v>
      </c>
      <c r="AL76" s="7">
        <v>0</v>
      </c>
      <c r="AM76" s="7">
        <v>0</v>
      </c>
      <c r="AN76" s="7">
        <v>0</v>
      </c>
      <c r="AO76" s="7">
        <v>0</v>
      </c>
      <c r="AP76" s="7">
        <v>0</v>
      </c>
      <c r="AQ76" s="7">
        <v>30.744291750624122</v>
      </c>
      <c r="AR76" s="7">
        <v>30.201248196459701</v>
      </c>
      <c r="AS76" s="7">
        <v>6.7840688794039634</v>
      </c>
      <c r="AT76" s="7">
        <v>1.2837704458355821</v>
      </c>
    </row>
    <row r="77" spans="1:46" x14ac:dyDescent="0.35">
      <c r="A77" s="5">
        <v>46022</v>
      </c>
      <c r="B77" s="4" t="s">
        <v>201</v>
      </c>
      <c r="C77" s="4" t="s">
        <v>202</v>
      </c>
      <c r="D77" s="4" t="s">
        <v>61</v>
      </c>
      <c r="E77" s="6">
        <v>0</v>
      </c>
      <c r="F77" s="6">
        <v>0</v>
      </c>
      <c r="G77" s="6">
        <v>0</v>
      </c>
      <c r="H77" s="6">
        <v>0</v>
      </c>
      <c r="I77" s="6">
        <v>0</v>
      </c>
      <c r="J77" s="6">
        <v>1800</v>
      </c>
      <c r="K77" s="6">
        <v>1800</v>
      </c>
      <c r="L77" s="6">
        <v>1800</v>
      </c>
      <c r="M77" s="7">
        <v>0.92227499999999996</v>
      </c>
      <c r="N77" s="7">
        <v>2.8724090000000002</v>
      </c>
      <c r="O77" s="7">
        <v>3.575167</v>
      </c>
      <c r="P77" s="7">
        <v>10.453239999999999</v>
      </c>
      <c r="Q77" s="7">
        <v>17.823091000000002</v>
      </c>
      <c r="R77" s="7">
        <v>1.6507309999999999</v>
      </c>
      <c r="S77" s="7">
        <v>2.6218119999999998</v>
      </c>
      <c r="T77" s="7">
        <v>4.9331709999999998</v>
      </c>
      <c r="U77" s="7">
        <v>2.5201980000000002</v>
      </c>
      <c r="V77" s="7">
        <v>11.725911999999999</v>
      </c>
      <c r="W77" s="7">
        <v>29.549002999999999</v>
      </c>
      <c r="X77" s="7">
        <v>8.3644130680269999</v>
      </c>
      <c r="Y77" s="7">
        <v>32.146488692654337</v>
      </c>
      <c r="Z77" s="7">
        <v>70.059904760681334</v>
      </c>
      <c r="AA77" s="7">
        <v>3.84090959244282</v>
      </c>
      <c r="AB77" s="7">
        <v>73.900814353124161</v>
      </c>
      <c r="AC77" s="7">
        <v>0</v>
      </c>
      <c r="AD77" s="7">
        <v>1.2611509999999999</v>
      </c>
      <c r="AE77" s="7">
        <v>0</v>
      </c>
      <c r="AF77" s="7">
        <v>0</v>
      </c>
      <c r="AG77" s="7">
        <v>75.16196535312416</v>
      </c>
      <c r="AH77" s="7">
        <v>0.95575299999999996</v>
      </c>
      <c r="AI77" s="7">
        <v>0</v>
      </c>
      <c r="AJ77" s="7">
        <v>1.2611509999999999</v>
      </c>
      <c r="AK77" s="7">
        <v>76.117718353124161</v>
      </c>
      <c r="AL77" s="7">
        <v>0</v>
      </c>
      <c r="AM77" s="7">
        <v>0</v>
      </c>
      <c r="AN77" s="7">
        <v>0</v>
      </c>
      <c r="AO77" s="7">
        <v>0</v>
      </c>
      <c r="AP77" s="7">
        <v>0</v>
      </c>
      <c r="AQ77" s="7">
        <v>76.117718353124161</v>
      </c>
      <c r="AR77" s="7">
        <v>142.46268925705681</v>
      </c>
      <c r="AS77" s="7">
        <v>72.402784496375475</v>
      </c>
      <c r="AT77" s="7">
        <v>68.561874903932662</v>
      </c>
    </row>
    <row r="78" spans="1:46" x14ac:dyDescent="0.35">
      <c r="A78" s="5">
        <v>46022</v>
      </c>
      <c r="B78" s="4" t="s">
        <v>203</v>
      </c>
      <c r="C78" s="4" t="s">
        <v>204</v>
      </c>
      <c r="D78" s="4" t="s">
        <v>61</v>
      </c>
      <c r="E78" s="6">
        <v>98000</v>
      </c>
      <c r="F78" s="6">
        <v>0</v>
      </c>
      <c r="G78" s="6">
        <v>98000</v>
      </c>
      <c r="H78" s="6">
        <v>3.5</v>
      </c>
      <c r="I78" s="6">
        <v>28000</v>
      </c>
      <c r="J78" s="6">
        <v>0</v>
      </c>
      <c r="K78" s="6">
        <v>28000</v>
      </c>
      <c r="L78" s="6">
        <v>28000</v>
      </c>
      <c r="M78" s="7">
        <v>0.95887100000000003</v>
      </c>
      <c r="N78" s="7">
        <v>1.6665620000000001</v>
      </c>
      <c r="O78" s="7">
        <v>0.84947099999999998</v>
      </c>
      <c r="P78" s="7">
        <v>2.7018620000000002</v>
      </c>
      <c r="Q78" s="7">
        <v>6.1767659999999998</v>
      </c>
      <c r="R78" s="7">
        <v>0.47299400000000003</v>
      </c>
      <c r="S78" s="7">
        <v>0.693832</v>
      </c>
      <c r="T78" s="7">
        <v>2.479479</v>
      </c>
      <c r="U78" s="7">
        <v>3.7817720000000001</v>
      </c>
      <c r="V78" s="7">
        <v>7.428077</v>
      </c>
      <c r="W78" s="7">
        <v>13.604843000000001</v>
      </c>
      <c r="X78" s="7">
        <v>1.3504414211615501</v>
      </c>
      <c r="Y78" s="7">
        <v>2.1299527128829778</v>
      </c>
      <c r="Z78" s="7">
        <v>17.085237134044529</v>
      </c>
      <c r="AA78" s="7">
        <v>0.95536501196115431</v>
      </c>
      <c r="AB78" s="7">
        <v>18.040602146005678</v>
      </c>
      <c r="AC78" s="7">
        <v>0</v>
      </c>
      <c r="AD78" s="7">
        <v>2.3740960000000002</v>
      </c>
      <c r="AE78" s="7">
        <v>0</v>
      </c>
      <c r="AF78" s="7">
        <v>0</v>
      </c>
      <c r="AG78" s="7">
        <v>20.41469814600568</v>
      </c>
      <c r="AH78" s="7">
        <v>0.93699500000000002</v>
      </c>
      <c r="AI78" s="7">
        <v>0</v>
      </c>
      <c r="AJ78" s="7">
        <v>0.72206199999999998</v>
      </c>
      <c r="AK78" s="7">
        <v>19.699659146005679</v>
      </c>
      <c r="AL78" s="7">
        <v>0</v>
      </c>
      <c r="AM78" s="7">
        <v>0</v>
      </c>
      <c r="AN78" s="7">
        <v>0</v>
      </c>
      <c r="AO78" s="7">
        <v>0</v>
      </c>
      <c r="AP78" s="7">
        <v>0</v>
      </c>
      <c r="AQ78" s="7">
        <v>19.699659146005679</v>
      </c>
      <c r="AR78" s="7">
        <v>42.787826952960607</v>
      </c>
      <c r="AS78" s="7">
        <v>25.702589818916081</v>
      </c>
      <c r="AT78" s="7">
        <v>24.747224806954922</v>
      </c>
    </row>
    <row r="79" spans="1:46" x14ac:dyDescent="0.35">
      <c r="A79" s="5">
        <v>46022</v>
      </c>
      <c r="B79" s="4" t="s">
        <v>205</v>
      </c>
      <c r="C79" s="4" t="s">
        <v>206</v>
      </c>
      <c r="D79" s="4" t="s">
        <v>61</v>
      </c>
      <c r="E79" s="6">
        <v>0</v>
      </c>
      <c r="F79" s="6">
        <v>0</v>
      </c>
      <c r="G79" s="6">
        <v>0</v>
      </c>
      <c r="H79" s="6">
        <v>0</v>
      </c>
      <c r="I79" s="6">
        <v>0</v>
      </c>
      <c r="J79" s="6">
        <v>1500</v>
      </c>
      <c r="K79" s="6">
        <v>1500</v>
      </c>
      <c r="L79" s="6">
        <v>1500</v>
      </c>
      <c r="M79" s="7">
        <v>12.863141000000001</v>
      </c>
      <c r="N79" s="7">
        <v>2.3866499999999999</v>
      </c>
      <c r="O79" s="7">
        <v>0.76189200000000001</v>
      </c>
      <c r="P79" s="7">
        <v>4.3155570000000001</v>
      </c>
      <c r="Q79" s="7">
        <v>20.32724</v>
      </c>
      <c r="R79" s="7">
        <v>3.4367380000000001</v>
      </c>
      <c r="S79" s="7">
        <v>1.8297669999999999</v>
      </c>
      <c r="T79" s="7">
        <v>2.4054579999999999</v>
      </c>
      <c r="U79" s="7">
        <v>3.1986669999999999</v>
      </c>
      <c r="V79" s="7">
        <v>10.87063</v>
      </c>
      <c r="W79" s="7">
        <v>31.197870000000002</v>
      </c>
      <c r="X79" s="7">
        <v>7.2390580216610667</v>
      </c>
      <c r="Y79" s="7">
        <v>16.976567266116732</v>
      </c>
      <c r="Z79" s="7">
        <v>55.413495287777799</v>
      </c>
      <c r="AA79" s="7">
        <v>6.0026608446215386</v>
      </c>
      <c r="AB79" s="7">
        <v>61.41615613239933</v>
      </c>
      <c r="AC79" s="7">
        <v>0</v>
      </c>
      <c r="AD79" s="7">
        <v>4.110417</v>
      </c>
      <c r="AE79" s="7">
        <v>0</v>
      </c>
      <c r="AF79" s="7">
        <v>0</v>
      </c>
      <c r="AG79" s="7">
        <v>65.526573132399335</v>
      </c>
      <c r="AH79" s="7">
        <v>2.247665</v>
      </c>
      <c r="AI79" s="7">
        <v>1.407977</v>
      </c>
      <c r="AJ79" s="7">
        <v>1.0816889999999999</v>
      </c>
      <c r="AK79" s="7">
        <v>66.153487132399334</v>
      </c>
      <c r="AL79" s="7">
        <v>0</v>
      </c>
      <c r="AM79" s="7">
        <v>0</v>
      </c>
      <c r="AN79" s="7">
        <v>0</v>
      </c>
      <c r="AO79" s="7">
        <v>0</v>
      </c>
      <c r="AP79" s="7">
        <v>0</v>
      </c>
      <c r="AQ79" s="7">
        <v>66.153487132399334</v>
      </c>
      <c r="AR79" s="7">
        <v>100.04396387397919</v>
      </c>
      <c r="AS79" s="7">
        <v>44.630468586201403</v>
      </c>
      <c r="AT79" s="7">
        <v>38.627807741579858</v>
      </c>
    </row>
    <row r="80" spans="1:46" x14ac:dyDescent="0.35">
      <c r="A80" s="5">
        <v>46022</v>
      </c>
      <c r="B80" s="4" t="s">
        <v>207</v>
      </c>
      <c r="C80" s="4" t="s">
        <v>208</v>
      </c>
      <c r="D80" s="4" t="s">
        <v>50</v>
      </c>
      <c r="E80" s="6">
        <v>0</v>
      </c>
      <c r="F80" s="6">
        <v>0</v>
      </c>
      <c r="G80" s="6">
        <v>0</v>
      </c>
      <c r="H80" s="6">
        <v>0</v>
      </c>
      <c r="I80" s="6">
        <v>0</v>
      </c>
      <c r="J80" s="6">
        <v>4200</v>
      </c>
      <c r="K80" s="6">
        <v>4200</v>
      </c>
      <c r="L80" s="6">
        <v>4200</v>
      </c>
      <c r="M80" s="7">
        <v>12.637117999999999</v>
      </c>
      <c r="N80" s="7">
        <v>2.9426540000000001</v>
      </c>
      <c r="O80" s="7">
        <v>1.771601</v>
      </c>
      <c r="P80" s="7">
        <v>10.662583</v>
      </c>
      <c r="Q80" s="7">
        <v>28.013956</v>
      </c>
      <c r="R80" s="7">
        <v>3.336824</v>
      </c>
      <c r="S80" s="7">
        <v>2.0149780000000002</v>
      </c>
      <c r="T80" s="7">
        <v>4.7319969999999998</v>
      </c>
      <c r="U80" s="7">
        <v>7.819331</v>
      </c>
      <c r="V80" s="7">
        <v>17.903130000000001</v>
      </c>
      <c r="W80" s="7">
        <v>45.917085999999998</v>
      </c>
      <c r="X80" s="7">
        <v>2.7993261662245241</v>
      </c>
      <c r="Y80" s="7">
        <v>7.3020014999378038</v>
      </c>
      <c r="Z80" s="7">
        <v>56.018413666162331</v>
      </c>
      <c r="AA80" s="7">
        <v>0.48248578522203062</v>
      </c>
      <c r="AB80" s="7">
        <v>56.500899451384363</v>
      </c>
      <c r="AC80" s="7">
        <v>0.95055999999999996</v>
      </c>
      <c r="AD80" s="7">
        <v>19.091028000000001</v>
      </c>
      <c r="AE80" s="7">
        <v>0</v>
      </c>
      <c r="AF80" s="7">
        <v>0</v>
      </c>
      <c r="AG80" s="7">
        <v>76.54248745138436</v>
      </c>
      <c r="AH80" s="7">
        <v>2.1330079999999998</v>
      </c>
      <c r="AI80" s="7">
        <v>0</v>
      </c>
      <c r="AJ80" s="7">
        <v>14.285714</v>
      </c>
      <c r="AK80" s="7">
        <v>73.870181451384354</v>
      </c>
      <c r="AL80" s="7">
        <v>0</v>
      </c>
      <c r="AM80" s="7">
        <v>0</v>
      </c>
      <c r="AN80" s="7">
        <v>0</v>
      </c>
      <c r="AO80" s="7">
        <v>0</v>
      </c>
      <c r="AP80" s="7">
        <v>0</v>
      </c>
      <c r="AQ80" s="7">
        <v>73.870181451384354</v>
      </c>
      <c r="AR80" s="7">
        <v>131.41025261454661</v>
      </c>
      <c r="AS80" s="7">
        <v>75.391838948384247</v>
      </c>
      <c r="AT80" s="7">
        <v>74.909353163162223</v>
      </c>
    </row>
    <row r="81" spans="1:46" x14ac:dyDescent="0.35">
      <c r="A81" s="5">
        <v>46022</v>
      </c>
      <c r="B81" s="4" t="s">
        <v>209</v>
      </c>
      <c r="C81" s="4" t="s">
        <v>210</v>
      </c>
      <c r="D81" s="4" t="s">
        <v>58</v>
      </c>
      <c r="E81" s="6">
        <v>0</v>
      </c>
      <c r="F81" s="6">
        <v>0</v>
      </c>
      <c r="G81" s="6">
        <v>0</v>
      </c>
      <c r="H81" s="6">
        <v>0</v>
      </c>
      <c r="I81" s="6">
        <v>0</v>
      </c>
      <c r="J81" s="6">
        <v>0</v>
      </c>
      <c r="K81" s="6">
        <v>0</v>
      </c>
      <c r="L81" s="6">
        <v>26666.666667000001</v>
      </c>
      <c r="M81" s="7">
        <v>0</v>
      </c>
      <c r="N81" s="7">
        <v>0</v>
      </c>
      <c r="O81" s="7">
        <v>0</v>
      </c>
      <c r="P81" s="7">
        <v>0</v>
      </c>
      <c r="Q81" s="7">
        <v>0</v>
      </c>
      <c r="R81" s="7">
        <v>0.25956099999999999</v>
      </c>
      <c r="S81" s="7">
        <v>2.1097999999999999E-2</v>
      </c>
      <c r="T81" s="7">
        <v>2.7088999999999998E-2</v>
      </c>
      <c r="U81" s="7">
        <v>3.1628999999999997E-2</v>
      </c>
      <c r="V81" s="7">
        <v>0.33937699999999998</v>
      </c>
      <c r="W81" s="7">
        <v>0.33937699999999998</v>
      </c>
      <c r="X81" s="7">
        <v>5.4011019749324856E-3</v>
      </c>
      <c r="Y81" s="7">
        <v>0</v>
      </c>
      <c r="Z81" s="7">
        <v>0.34477810197493253</v>
      </c>
      <c r="AA81" s="7">
        <v>2.6740057535338171E-2</v>
      </c>
      <c r="AB81" s="7">
        <v>0.37151815951027067</v>
      </c>
      <c r="AC81" s="7">
        <v>0</v>
      </c>
      <c r="AD81" s="7">
        <v>0.109388</v>
      </c>
      <c r="AE81" s="7">
        <v>0</v>
      </c>
      <c r="AF81" s="7">
        <v>0</v>
      </c>
      <c r="AG81" s="7">
        <v>0.48090615951027071</v>
      </c>
      <c r="AH81" s="7">
        <v>1.4437E-2</v>
      </c>
      <c r="AI81" s="7">
        <v>0</v>
      </c>
      <c r="AJ81" s="7">
        <v>3.7499999999999999E-2</v>
      </c>
      <c r="AK81" s="7">
        <v>0.42345515951027068</v>
      </c>
      <c r="AL81" s="7">
        <v>0</v>
      </c>
      <c r="AM81" s="7">
        <v>0</v>
      </c>
      <c r="AN81" s="7">
        <v>0</v>
      </c>
      <c r="AO81" s="7">
        <v>0</v>
      </c>
      <c r="AP81" s="7">
        <v>0</v>
      </c>
      <c r="AQ81" s="7">
        <v>0.42345515951027068</v>
      </c>
      <c r="AR81" s="7">
        <v>0.69445611102201055</v>
      </c>
      <c r="AS81" s="7">
        <v>0.34967800904707808</v>
      </c>
      <c r="AT81" s="7">
        <v>0.32293795151173987</v>
      </c>
    </row>
    <row r="82" spans="1:46" x14ac:dyDescent="0.35">
      <c r="A82" s="5">
        <v>46022</v>
      </c>
      <c r="B82" s="4" t="s">
        <v>211</v>
      </c>
      <c r="C82" s="4" t="s">
        <v>212</v>
      </c>
      <c r="D82" s="4" t="s">
        <v>213</v>
      </c>
      <c r="E82" s="6">
        <v>4926.4612390000002</v>
      </c>
      <c r="F82" s="6">
        <v>0</v>
      </c>
      <c r="G82" s="6">
        <v>4926.4612390000002</v>
      </c>
      <c r="H82" s="6">
        <v>3.4347840000000001</v>
      </c>
      <c r="I82" s="6">
        <v>1434.2857140000001</v>
      </c>
      <c r="J82" s="6">
        <v>0</v>
      </c>
      <c r="K82" s="6">
        <v>1434.2857140000001</v>
      </c>
      <c r="L82" s="6">
        <v>1434.2857140000001</v>
      </c>
      <c r="M82" s="7">
        <v>9.6338229999999996</v>
      </c>
      <c r="N82" s="7">
        <v>7.1443479999999999</v>
      </c>
      <c r="O82" s="7">
        <v>2.227646</v>
      </c>
      <c r="P82" s="7">
        <v>21.152474999999999</v>
      </c>
      <c r="Q82" s="7">
        <v>40.158292000000003</v>
      </c>
      <c r="R82" s="7">
        <v>7.6295840000000013</v>
      </c>
      <c r="S82" s="7">
        <v>15.646722</v>
      </c>
      <c r="T82" s="7">
        <v>25.903389000000001</v>
      </c>
      <c r="U82" s="7">
        <v>12.650836</v>
      </c>
      <c r="V82" s="7">
        <v>61.830531000000008</v>
      </c>
      <c r="W82" s="7">
        <v>101.988823</v>
      </c>
      <c r="X82" s="7">
        <v>1.1845952046884149</v>
      </c>
      <c r="Y82" s="7">
        <v>0.180905426039769</v>
      </c>
      <c r="Z82" s="7">
        <v>103.3543236307282</v>
      </c>
      <c r="AA82" s="7">
        <v>10.529851108775141</v>
      </c>
      <c r="AB82" s="7">
        <v>113.88417473950329</v>
      </c>
      <c r="AC82" s="7">
        <v>0</v>
      </c>
      <c r="AD82" s="7">
        <v>12.878450000000001</v>
      </c>
      <c r="AE82" s="7">
        <v>0</v>
      </c>
      <c r="AF82" s="7">
        <v>0</v>
      </c>
      <c r="AG82" s="7">
        <v>126.76262473950329</v>
      </c>
      <c r="AH82" s="7">
        <v>1.857572</v>
      </c>
      <c r="AI82" s="7">
        <v>0</v>
      </c>
      <c r="AJ82" s="7">
        <v>7.3761429999999999</v>
      </c>
      <c r="AK82" s="7">
        <v>123.1178897395033</v>
      </c>
      <c r="AL82" s="7">
        <v>0</v>
      </c>
      <c r="AM82" s="7">
        <v>0</v>
      </c>
      <c r="AN82" s="7">
        <v>0</v>
      </c>
      <c r="AO82" s="7">
        <v>0</v>
      </c>
      <c r="AP82" s="7">
        <v>0</v>
      </c>
      <c r="AQ82" s="7">
        <v>123.1178897395033</v>
      </c>
      <c r="AR82" s="7">
        <v>210.08056794794291</v>
      </c>
      <c r="AS82" s="7">
        <v>106.72624431721469</v>
      </c>
      <c r="AT82" s="7">
        <v>96.196393208439545</v>
      </c>
    </row>
    <row r="83" spans="1:46" x14ac:dyDescent="0.35">
      <c r="A83" s="5">
        <v>46022</v>
      </c>
      <c r="B83" s="4" t="s">
        <v>214</v>
      </c>
      <c r="C83" s="4" t="s">
        <v>215</v>
      </c>
      <c r="D83" s="4" t="s">
        <v>61</v>
      </c>
      <c r="E83" s="6">
        <v>0</v>
      </c>
      <c r="F83" s="6">
        <v>0</v>
      </c>
      <c r="G83" s="6">
        <v>0</v>
      </c>
      <c r="H83" s="6">
        <v>0</v>
      </c>
      <c r="I83" s="6">
        <v>0</v>
      </c>
      <c r="J83" s="6">
        <v>1.04</v>
      </c>
      <c r="K83" s="6">
        <v>1.04</v>
      </c>
      <c r="L83" s="6">
        <v>140.85</v>
      </c>
      <c r="M83" s="7">
        <v>0.62115600000000015</v>
      </c>
      <c r="N83" s="7">
        <v>3.6610000000000002E-3</v>
      </c>
      <c r="O83" s="7">
        <v>3.4020570000000001</v>
      </c>
      <c r="P83" s="7">
        <v>0.49823200000000001</v>
      </c>
      <c r="Q83" s="7">
        <v>4.5251060000000001</v>
      </c>
      <c r="R83" s="7">
        <v>3.0961189999999998</v>
      </c>
      <c r="S83" s="7">
        <v>1.060813</v>
      </c>
      <c r="T83" s="7">
        <v>2.4591560000000001</v>
      </c>
      <c r="U83" s="7">
        <v>4.2520199999999999</v>
      </c>
      <c r="V83" s="7">
        <v>10.868107999999999</v>
      </c>
      <c r="W83" s="7">
        <v>15.393214</v>
      </c>
      <c r="X83" s="7">
        <v>0.47113610486900959</v>
      </c>
      <c r="Y83" s="7">
        <v>4.2352340367318684</v>
      </c>
      <c r="Z83" s="7">
        <v>20.099584141600879</v>
      </c>
      <c r="AA83" s="7">
        <v>5.1635257908423817</v>
      </c>
      <c r="AB83" s="7">
        <v>25.26310993244326</v>
      </c>
      <c r="AC83" s="7">
        <v>0</v>
      </c>
      <c r="AD83" s="7">
        <v>0.75858700000000001</v>
      </c>
      <c r="AE83" s="7">
        <v>0</v>
      </c>
      <c r="AF83" s="7">
        <v>0</v>
      </c>
      <c r="AG83" s="7">
        <v>26.021696932443259</v>
      </c>
      <c r="AH83" s="7">
        <v>2.1774249999999999</v>
      </c>
      <c r="AI83" s="7">
        <v>0</v>
      </c>
      <c r="AJ83" s="7">
        <v>2.7604129999999998</v>
      </c>
      <c r="AK83" s="7">
        <v>30.20094793244326</v>
      </c>
      <c r="AL83" s="7">
        <v>0</v>
      </c>
      <c r="AM83" s="7">
        <v>0</v>
      </c>
      <c r="AN83" s="7">
        <v>0</v>
      </c>
      <c r="AO83" s="7">
        <v>0</v>
      </c>
      <c r="AP83" s="7">
        <v>0</v>
      </c>
      <c r="AQ83" s="7">
        <v>30.20094793244326</v>
      </c>
      <c r="AR83" s="7">
        <v>73.942216694735436</v>
      </c>
      <c r="AS83" s="7">
        <v>53.84263255313455</v>
      </c>
      <c r="AT83" s="7">
        <v>48.679106762292172</v>
      </c>
    </row>
    <row r="84" spans="1:46" x14ac:dyDescent="0.35">
      <c r="A84" s="5">
        <v>46022</v>
      </c>
      <c r="B84" s="4" t="s">
        <v>216</v>
      </c>
      <c r="C84" s="4" t="s">
        <v>217</v>
      </c>
      <c r="D84" s="4" t="s">
        <v>213</v>
      </c>
      <c r="E84" s="6">
        <v>40500</v>
      </c>
      <c r="F84" s="6">
        <v>0</v>
      </c>
      <c r="G84" s="6">
        <v>40500</v>
      </c>
      <c r="H84" s="6">
        <v>4.5</v>
      </c>
      <c r="I84" s="6">
        <v>9000</v>
      </c>
      <c r="J84" s="6">
        <v>0</v>
      </c>
      <c r="K84" s="6">
        <v>9000</v>
      </c>
      <c r="L84" s="6">
        <v>9000</v>
      </c>
      <c r="M84" s="7">
        <v>0.94541500000000012</v>
      </c>
      <c r="N84" s="7">
        <v>0.17333399999999999</v>
      </c>
      <c r="O84" s="7">
        <v>1.176077</v>
      </c>
      <c r="P84" s="7">
        <v>1.1965539999999999</v>
      </c>
      <c r="Q84" s="7">
        <v>3.4913799999999999</v>
      </c>
      <c r="R84" s="7">
        <v>0.73280500000000015</v>
      </c>
      <c r="S84" s="7">
        <v>5.237876</v>
      </c>
      <c r="T84" s="7">
        <v>8.5496429999999997</v>
      </c>
      <c r="U84" s="7">
        <v>1.6082590000000001</v>
      </c>
      <c r="V84" s="7">
        <v>16.128582999999999</v>
      </c>
      <c r="W84" s="7">
        <v>19.619962999999998</v>
      </c>
      <c r="X84" s="7">
        <v>2.3945610859999999</v>
      </c>
      <c r="Y84" s="7">
        <v>2.6079525655748279</v>
      </c>
      <c r="Z84" s="7">
        <v>24.622476651574829</v>
      </c>
      <c r="AA84" s="7">
        <v>1.6542835221055749</v>
      </c>
      <c r="AB84" s="7">
        <v>26.276760173680401</v>
      </c>
      <c r="AC84" s="7">
        <v>0</v>
      </c>
      <c r="AD84" s="7">
        <v>5.6781560000000013</v>
      </c>
      <c r="AE84" s="7">
        <v>0</v>
      </c>
      <c r="AF84" s="7">
        <v>0</v>
      </c>
      <c r="AG84" s="7">
        <v>31.954916173680409</v>
      </c>
      <c r="AH84" s="7">
        <v>0.44444400000000001</v>
      </c>
      <c r="AI84" s="7">
        <v>0</v>
      </c>
      <c r="AJ84" s="7">
        <v>2.2100460000000002</v>
      </c>
      <c r="AK84" s="7">
        <v>28.9312501736804</v>
      </c>
      <c r="AL84" s="7">
        <v>1.111111</v>
      </c>
      <c r="AM84" s="7">
        <v>0</v>
      </c>
      <c r="AN84" s="7">
        <v>0</v>
      </c>
      <c r="AO84" s="7">
        <v>0</v>
      </c>
      <c r="AP84" s="7">
        <v>0</v>
      </c>
      <c r="AQ84" s="7">
        <v>30.042361173680401</v>
      </c>
      <c r="AR84" s="7">
        <v>50.117509621140741</v>
      </c>
      <c r="AS84" s="7">
        <v>25.495032969565909</v>
      </c>
      <c r="AT84" s="7">
        <v>23.840749447460329</v>
      </c>
    </row>
    <row r="85" spans="1:46" x14ac:dyDescent="0.35">
      <c r="A85" s="5">
        <v>46022</v>
      </c>
      <c r="B85" s="4" t="s">
        <v>218</v>
      </c>
      <c r="C85" s="4" t="s">
        <v>219</v>
      </c>
      <c r="D85" s="4" t="s">
        <v>61</v>
      </c>
      <c r="E85" s="6">
        <v>0</v>
      </c>
      <c r="F85" s="6">
        <v>0</v>
      </c>
      <c r="G85" s="6">
        <v>0</v>
      </c>
      <c r="H85" s="6">
        <v>0</v>
      </c>
      <c r="I85" s="6">
        <v>0</v>
      </c>
      <c r="J85" s="6">
        <v>90.41</v>
      </c>
      <c r="K85" s="6">
        <v>90.41</v>
      </c>
      <c r="L85" s="6">
        <v>90.41</v>
      </c>
      <c r="M85" s="7">
        <v>11.235550999999999</v>
      </c>
      <c r="N85" s="7">
        <v>0.161132</v>
      </c>
      <c r="O85" s="7">
        <v>2.3681160000000001</v>
      </c>
      <c r="P85" s="7">
        <v>4.0015349999999996</v>
      </c>
      <c r="Q85" s="7">
        <v>17.766334000000001</v>
      </c>
      <c r="R85" s="7">
        <v>5.457573</v>
      </c>
      <c r="S85" s="7">
        <v>1.385634</v>
      </c>
      <c r="T85" s="7">
        <v>3.8154170000000001</v>
      </c>
      <c r="U85" s="7">
        <v>5.77034</v>
      </c>
      <c r="V85" s="7">
        <v>16.428964000000001</v>
      </c>
      <c r="W85" s="7">
        <v>34.195298000000001</v>
      </c>
      <c r="X85" s="7">
        <v>2.1828380329642738</v>
      </c>
      <c r="Y85" s="7">
        <v>7.7456337492228684</v>
      </c>
      <c r="Z85" s="7">
        <v>44.123769782187139</v>
      </c>
      <c r="AA85" s="7">
        <v>17.791536459821192</v>
      </c>
      <c r="AB85" s="7">
        <v>61.915306242008327</v>
      </c>
      <c r="AC85" s="7">
        <v>0</v>
      </c>
      <c r="AD85" s="7">
        <v>4.2832059999999998</v>
      </c>
      <c r="AE85" s="7">
        <v>0</v>
      </c>
      <c r="AF85" s="7">
        <v>0</v>
      </c>
      <c r="AG85" s="7">
        <v>66.198512242008334</v>
      </c>
      <c r="AH85" s="7">
        <v>4.4307090000000002</v>
      </c>
      <c r="AI85" s="7">
        <v>0</v>
      </c>
      <c r="AJ85" s="7">
        <v>4.2832059999999998</v>
      </c>
      <c r="AK85" s="7">
        <v>70.629221242008327</v>
      </c>
      <c r="AL85" s="7">
        <v>0</v>
      </c>
      <c r="AM85" s="7">
        <v>0</v>
      </c>
      <c r="AN85" s="7">
        <v>0</v>
      </c>
      <c r="AO85" s="7">
        <v>0</v>
      </c>
      <c r="AP85" s="7">
        <v>0</v>
      </c>
      <c r="AQ85" s="7">
        <v>70.629221242008327</v>
      </c>
      <c r="AR85" s="7">
        <v>134.55853491651939</v>
      </c>
      <c r="AS85" s="7">
        <v>90.43476513433221</v>
      </c>
      <c r="AT85" s="7">
        <v>72.643228674511036</v>
      </c>
    </row>
    <row r="86" spans="1:46" x14ac:dyDescent="0.35">
      <c r="A86" s="5">
        <v>46022</v>
      </c>
      <c r="B86" s="4" t="s">
        <v>220</v>
      </c>
      <c r="C86" s="4" t="s">
        <v>221</v>
      </c>
      <c r="D86" s="4" t="s">
        <v>222</v>
      </c>
      <c r="E86" s="6">
        <v>67548.975739999994</v>
      </c>
      <c r="F86" s="6">
        <v>0</v>
      </c>
      <c r="G86" s="6">
        <v>67548.975739999994</v>
      </c>
      <c r="H86" s="6">
        <v>2.4</v>
      </c>
      <c r="I86" s="6">
        <v>28145.406558999999</v>
      </c>
      <c r="J86" s="6">
        <v>0</v>
      </c>
      <c r="K86" s="6">
        <v>28145.406558999999</v>
      </c>
      <c r="L86" s="6">
        <v>28145.406558999999</v>
      </c>
      <c r="M86" s="7">
        <v>1.255703</v>
      </c>
      <c r="N86" s="7">
        <v>2.1420689999999998</v>
      </c>
      <c r="O86" s="7">
        <v>7.0990999999999999E-2</v>
      </c>
      <c r="P86" s="7">
        <v>2.0269300000000001</v>
      </c>
      <c r="Q86" s="7">
        <v>5.4956930000000002</v>
      </c>
      <c r="R86" s="7">
        <v>0.68373600000000012</v>
      </c>
      <c r="S86" s="7">
        <v>1.158825</v>
      </c>
      <c r="T86" s="7">
        <v>1.916714</v>
      </c>
      <c r="U86" s="7">
        <v>1.626757</v>
      </c>
      <c r="V86" s="7">
        <v>5.3860320000000002</v>
      </c>
      <c r="W86" s="7">
        <v>10.881724999999999</v>
      </c>
      <c r="X86" s="7">
        <v>1.154723576361216</v>
      </c>
      <c r="Y86" s="7">
        <v>2.2618244958214529E-3</v>
      </c>
      <c r="Z86" s="7">
        <v>12.03871040085704</v>
      </c>
      <c r="AA86" s="7">
        <v>0.16047506760446131</v>
      </c>
      <c r="AB86" s="7">
        <v>12.199185468461501</v>
      </c>
      <c r="AC86" s="7">
        <v>0</v>
      </c>
      <c r="AD86" s="7">
        <v>1.7940510000000001</v>
      </c>
      <c r="AE86" s="7">
        <v>0</v>
      </c>
      <c r="AF86" s="7">
        <v>0</v>
      </c>
      <c r="AG86" s="7">
        <v>13.9932364684615</v>
      </c>
      <c r="AH86" s="7">
        <v>0.32965499999999998</v>
      </c>
      <c r="AI86" s="7">
        <v>0</v>
      </c>
      <c r="AJ86" s="7">
        <v>1.072878</v>
      </c>
      <c r="AK86" s="7">
        <v>13.601718468461501</v>
      </c>
      <c r="AL86" s="7">
        <v>0</v>
      </c>
      <c r="AM86" s="7">
        <v>0</v>
      </c>
      <c r="AN86" s="7">
        <v>0</v>
      </c>
      <c r="AO86" s="7">
        <v>0</v>
      </c>
      <c r="AP86" s="7">
        <v>0</v>
      </c>
      <c r="AQ86" s="7">
        <v>13.601718468461501</v>
      </c>
      <c r="AR86" s="7">
        <v>20.46644375353516</v>
      </c>
      <c r="AS86" s="7">
        <v>8.4277333526781266</v>
      </c>
      <c r="AT86" s="7">
        <v>8.2672582850736642</v>
      </c>
    </row>
    <row r="87" spans="1:46" x14ac:dyDescent="0.35">
      <c r="A87" s="5">
        <v>46022</v>
      </c>
      <c r="B87" s="4" t="s">
        <v>223</v>
      </c>
      <c r="C87" s="4" t="s">
        <v>224</v>
      </c>
      <c r="D87" s="4" t="s">
        <v>58</v>
      </c>
      <c r="E87" s="6">
        <v>0</v>
      </c>
      <c r="F87" s="6">
        <v>0</v>
      </c>
      <c r="G87" s="6">
        <v>0</v>
      </c>
      <c r="H87" s="6">
        <v>0</v>
      </c>
      <c r="I87" s="6">
        <v>66937.5</v>
      </c>
      <c r="J87" s="6">
        <v>0</v>
      </c>
      <c r="K87" s="6">
        <v>66937.5</v>
      </c>
      <c r="L87" s="6">
        <v>66937.5</v>
      </c>
      <c r="M87" s="7">
        <v>8.2281000000000007E-2</v>
      </c>
      <c r="N87" s="7">
        <v>1.4343E-2</v>
      </c>
      <c r="O87" s="7">
        <v>4.7385999999999998E-2</v>
      </c>
      <c r="P87" s="7">
        <v>2.1031000000000001E-2</v>
      </c>
      <c r="Q87" s="7">
        <v>0.16504099999999999</v>
      </c>
      <c r="R87" s="7">
        <v>0.115744</v>
      </c>
      <c r="S87" s="7">
        <v>0.62264799999999998</v>
      </c>
      <c r="T87" s="7">
        <v>0.43998599999999999</v>
      </c>
      <c r="U87" s="7">
        <v>0.38627600000000001</v>
      </c>
      <c r="V87" s="7">
        <v>1.564654</v>
      </c>
      <c r="W87" s="7">
        <v>1.729695</v>
      </c>
      <c r="X87" s="7">
        <v>2.3743567192560221E-2</v>
      </c>
      <c r="Y87" s="7">
        <v>0.16223197057710681</v>
      </c>
      <c r="Z87" s="7">
        <v>1.915670537769667</v>
      </c>
      <c r="AA87" s="7">
        <v>1.2220537472604229</v>
      </c>
      <c r="AB87" s="7">
        <v>3.1377242850300902</v>
      </c>
      <c r="AC87" s="7">
        <v>0</v>
      </c>
      <c r="AD87" s="7">
        <v>0.23766899999999999</v>
      </c>
      <c r="AE87" s="7">
        <v>0</v>
      </c>
      <c r="AF87" s="7">
        <v>0</v>
      </c>
      <c r="AG87" s="7">
        <v>3.3753932850300901</v>
      </c>
      <c r="AH87" s="7">
        <v>6.8731E-2</v>
      </c>
      <c r="AI87" s="7">
        <v>0</v>
      </c>
      <c r="AJ87" s="7">
        <v>6.2744999999999995E-2</v>
      </c>
      <c r="AK87" s="7">
        <v>3.2692002850300899</v>
      </c>
      <c r="AL87" s="7">
        <v>0.131466</v>
      </c>
      <c r="AM87" s="7">
        <v>0</v>
      </c>
      <c r="AN87" s="7">
        <v>0</v>
      </c>
      <c r="AO87" s="7">
        <v>0</v>
      </c>
      <c r="AP87" s="7">
        <v>0</v>
      </c>
      <c r="AQ87" s="7">
        <v>3.4006662850300899</v>
      </c>
      <c r="AR87" s="7">
        <v>4.1788736672121338</v>
      </c>
      <c r="AS87" s="7">
        <v>2.2632031294424668</v>
      </c>
      <c r="AT87" s="7">
        <v>1.0411493821820439</v>
      </c>
    </row>
    <row r="88" spans="1:46" x14ac:dyDescent="0.35">
      <c r="A88" s="5">
        <v>46022</v>
      </c>
      <c r="B88" s="4" t="s">
        <v>225</v>
      </c>
      <c r="C88" s="4" t="s">
        <v>226</v>
      </c>
      <c r="D88" s="4" t="s">
        <v>89</v>
      </c>
      <c r="E88" s="6">
        <v>0</v>
      </c>
      <c r="F88" s="6">
        <v>0</v>
      </c>
      <c r="G88" s="6">
        <v>0</v>
      </c>
      <c r="H88" s="6">
        <v>0</v>
      </c>
      <c r="I88" s="6">
        <v>0</v>
      </c>
      <c r="J88" s="6">
        <v>6500</v>
      </c>
      <c r="K88" s="6">
        <v>6500</v>
      </c>
      <c r="L88" s="6">
        <v>6500</v>
      </c>
      <c r="M88" s="7">
        <v>16.324403</v>
      </c>
      <c r="N88" s="7">
        <v>0.51366400000000001</v>
      </c>
      <c r="O88" s="7">
        <v>1.9967969999999999</v>
      </c>
      <c r="P88" s="7">
        <v>7.7093239999999996</v>
      </c>
      <c r="Q88" s="7">
        <v>26.544187999999998</v>
      </c>
      <c r="R88" s="7">
        <v>1.5827450000000001</v>
      </c>
      <c r="S88" s="7">
        <v>1.5651900000000001</v>
      </c>
      <c r="T88" s="7">
        <v>5.1808240000000003</v>
      </c>
      <c r="U88" s="7">
        <v>4.5772820000000003</v>
      </c>
      <c r="V88" s="7">
        <v>12.906041</v>
      </c>
      <c r="W88" s="7">
        <v>39.450229</v>
      </c>
      <c r="X88" s="7">
        <v>1.0147338746803689</v>
      </c>
      <c r="Y88" s="7">
        <v>3.7428315270261638</v>
      </c>
      <c r="Z88" s="7">
        <v>44.207794401706529</v>
      </c>
      <c r="AA88" s="7">
        <v>4.197630949073746</v>
      </c>
      <c r="AB88" s="7">
        <v>48.405425350780277</v>
      </c>
      <c r="AC88" s="7">
        <v>0.74471100000000001</v>
      </c>
      <c r="AD88" s="7">
        <v>11.488848000000001</v>
      </c>
      <c r="AE88" s="7">
        <v>0</v>
      </c>
      <c r="AF88" s="7">
        <v>0</v>
      </c>
      <c r="AG88" s="7">
        <v>60.638984350780277</v>
      </c>
      <c r="AH88" s="7">
        <v>0.98514900000000005</v>
      </c>
      <c r="AI88" s="7">
        <v>0.12030100000000001</v>
      </c>
      <c r="AJ88" s="7">
        <v>5.5163479999999998</v>
      </c>
      <c r="AK88" s="7">
        <v>55.771934350780278</v>
      </c>
      <c r="AL88" s="7">
        <v>9.6432990000000007</v>
      </c>
      <c r="AM88" s="7">
        <v>0</v>
      </c>
      <c r="AN88" s="7">
        <v>0</v>
      </c>
      <c r="AO88" s="7">
        <v>0</v>
      </c>
      <c r="AP88" s="7">
        <v>0</v>
      </c>
      <c r="AQ88" s="7">
        <v>65.415233350780284</v>
      </c>
      <c r="AR88" s="7">
        <v>99.179086256412234</v>
      </c>
      <c r="AS88" s="7">
        <v>54.971291854705697</v>
      </c>
      <c r="AT88" s="7">
        <v>50.773660905631957</v>
      </c>
    </row>
    <row r="89" spans="1:46" x14ac:dyDescent="0.35">
      <c r="A89" s="5">
        <v>46022</v>
      </c>
      <c r="B89" s="4" t="s">
        <v>227</v>
      </c>
      <c r="C89" s="4" t="s">
        <v>228</v>
      </c>
      <c r="D89" s="4" t="s">
        <v>61</v>
      </c>
      <c r="E89" s="6">
        <v>0</v>
      </c>
      <c r="F89" s="6">
        <v>0</v>
      </c>
      <c r="G89" s="6">
        <v>0</v>
      </c>
      <c r="H89" s="6">
        <v>0</v>
      </c>
      <c r="I89" s="6">
        <v>0</v>
      </c>
      <c r="J89" s="6">
        <v>261.56</v>
      </c>
      <c r="K89" s="6">
        <v>261.56</v>
      </c>
      <c r="L89" s="6">
        <v>261.56</v>
      </c>
      <c r="M89" s="7">
        <v>7.8016069999999997</v>
      </c>
      <c r="N89" s="7">
        <v>3.740475</v>
      </c>
      <c r="O89" s="7">
        <v>1.410893</v>
      </c>
      <c r="P89" s="7">
        <v>2.2962229999999999</v>
      </c>
      <c r="Q89" s="7">
        <v>15.249198</v>
      </c>
      <c r="R89" s="7">
        <v>2.17191</v>
      </c>
      <c r="S89" s="7">
        <v>1.9078889999999999</v>
      </c>
      <c r="T89" s="7">
        <v>2.6179169999999998</v>
      </c>
      <c r="U89" s="7">
        <v>3.5367329999999999</v>
      </c>
      <c r="V89" s="7">
        <v>10.234449</v>
      </c>
      <c r="W89" s="7">
        <v>25.483647000000001</v>
      </c>
      <c r="X89" s="7">
        <v>0.74548538498279548</v>
      </c>
      <c r="Y89" s="7">
        <v>2.5540197257659099</v>
      </c>
      <c r="Z89" s="7">
        <v>28.783152110748709</v>
      </c>
      <c r="AA89" s="7">
        <v>6.9542928289373682</v>
      </c>
      <c r="AB89" s="7">
        <v>35.737444939686071</v>
      </c>
      <c r="AC89" s="7">
        <v>0</v>
      </c>
      <c r="AD89" s="7">
        <v>1.1482859999999999</v>
      </c>
      <c r="AE89" s="7">
        <v>0</v>
      </c>
      <c r="AF89" s="7">
        <v>0</v>
      </c>
      <c r="AG89" s="7">
        <v>36.88573093968607</v>
      </c>
      <c r="AH89" s="7">
        <v>1.7179850000000001</v>
      </c>
      <c r="AI89" s="7">
        <v>0</v>
      </c>
      <c r="AJ89" s="7">
        <v>1.1482859999999999</v>
      </c>
      <c r="AK89" s="7">
        <v>38.603715939686069</v>
      </c>
      <c r="AL89" s="7">
        <v>0</v>
      </c>
      <c r="AM89" s="7">
        <v>0</v>
      </c>
      <c r="AN89" s="7">
        <v>0</v>
      </c>
      <c r="AO89" s="7">
        <v>0</v>
      </c>
      <c r="AP89" s="7">
        <v>0</v>
      </c>
      <c r="AQ89" s="7">
        <v>38.603715939686069</v>
      </c>
      <c r="AR89" s="7">
        <v>57.180810687063691</v>
      </c>
      <c r="AS89" s="7">
        <v>28.397658576314981</v>
      </c>
      <c r="AT89" s="7">
        <v>21.443365747377609</v>
      </c>
    </row>
    <row r="90" spans="1:46" x14ac:dyDescent="0.35">
      <c r="A90" s="5">
        <v>46022</v>
      </c>
      <c r="B90" s="4" t="s">
        <v>229</v>
      </c>
      <c r="C90" s="4" t="s">
        <v>230</v>
      </c>
      <c r="D90" s="4" t="s">
        <v>61</v>
      </c>
      <c r="E90" s="6">
        <v>0</v>
      </c>
      <c r="F90" s="6">
        <v>0</v>
      </c>
      <c r="G90" s="6">
        <v>0</v>
      </c>
      <c r="H90" s="6">
        <v>0</v>
      </c>
      <c r="I90" s="6">
        <v>0</v>
      </c>
      <c r="J90" s="6">
        <v>137.11397199999999</v>
      </c>
      <c r="K90" s="6">
        <v>137.11397199999999</v>
      </c>
      <c r="L90" s="6">
        <v>137.11397199999999</v>
      </c>
      <c r="M90" s="7">
        <v>12.560230000000001</v>
      </c>
      <c r="N90" s="7">
        <v>0</v>
      </c>
      <c r="O90" s="7">
        <v>5.83026</v>
      </c>
      <c r="P90" s="7">
        <v>6.5192519999999998</v>
      </c>
      <c r="Q90" s="7">
        <v>24.909742000000001</v>
      </c>
      <c r="R90" s="7">
        <v>1.694177</v>
      </c>
      <c r="S90" s="7">
        <v>1.024796</v>
      </c>
      <c r="T90" s="7">
        <v>3.8775909999999998</v>
      </c>
      <c r="U90" s="7">
        <v>4.4563249999999996</v>
      </c>
      <c r="V90" s="7">
        <v>11.052889</v>
      </c>
      <c r="W90" s="7">
        <v>35.962631000000002</v>
      </c>
      <c r="X90" s="7">
        <v>0.31511062730791578</v>
      </c>
      <c r="Y90" s="7">
        <v>4.4089490795959572</v>
      </c>
      <c r="Z90" s="7">
        <v>40.686690706903867</v>
      </c>
      <c r="AA90" s="7">
        <v>4.6043002735336529</v>
      </c>
      <c r="AB90" s="7">
        <v>45.290990980437527</v>
      </c>
      <c r="AC90" s="7">
        <v>0</v>
      </c>
      <c r="AD90" s="7">
        <v>1.0816889999999999</v>
      </c>
      <c r="AE90" s="7">
        <v>0</v>
      </c>
      <c r="AF90" s="7">
        <v>0</v>
      </c>
      <c r="AG90" s="7">
        <v>46.372679980437532</v>
      </c>
      <c r="AH90" s="7">
        <v>1.587413</v>
      </c>
      <c r="AI90" s="7">
        <v>0</v>
      </c>
      <c r="AJ90" s="7">
        <v>1.4764349999999999</v>
      </c>
      <c r="AK90" s="7">
        <v>48.354838980437528</v>
      </c>
      <c r="AL90" s="7">
        <v>0</v>
      </c>
      <c r="AM90" s="7">
        <v>0</v>
      </c>
      <c r="AN90" s="7">
        <v>0</v>
      </c>
      <c r="AO90" s="7">
        <v>0</v>
      </c>
      <c r="AP90" s="7">
        <v>0</v>
      </c>
      <c r="AQ90" s="7">
        <v>48.354838980437528</v>
      </c>
      <c r="AR90" s="7">
        <v>69.340619505092164</v>
      </c>
      <c r="AS90" s="7">
        <v>28.653928798188289</v>
      </c>
      <c r="AT90" s="7">
        <v>24.049628524654629</v>
      </c>
    </row>
    <row r="91" spans="1:46" x14ac:dyDescent="0.35">
      <c r="A91" s="5">
        <v>46022</v>
      </c>
      <c r="B91" s="4" t="s">
        <v>231</v>
      </c>
      <c r="C91" s="4" t="s">
        <v>232</v>
      </c>
      <c r="D91" s="4" t="s">
        <v>102</v>
      </c>
      <c r="E91" s="6">
        <v>0</v>
      </c>
      <c r="F91" s="6">
        <v>0</v>
      </c>
      <c r="G91" s="6">
        <v>0</v>
      </c>
      <c r="H91" s="6">
        <v>0</v>
      </c>
      <c r="I91" s="6">
        <v>0</v>
      </c>
      <c r="J91" s="6">
        <v>2306.666667</v>
      </c>
      <c r="K91" s="6">
        <v>2306.666667</v>
      </c>
      <c r="L91" s="6">
        <v>2306.666667</v>
      </c>
      <c r="M91" s="7">
        <v>7.8715619999999999</v>
      </c>
      <c r="N91" s="7">
        <v>1.111388</v>
      </c>
      <c r="O91" s="7">
        <v>1.4809589999999999</v>
      </c>
      <c r="P91" s="7">
        <v>6.7039520000000001</v>
      </c>
      <c r="Q91" s="7">
        <v>17.167860999999998</v>
      </c>
      <c r="R91" s="7">
        <v>2.969239</v>
      </c>
      <c r="S91" s="7">
        <v>2.358949</v>
      </c>
      <c r="T91" s="7">
        <v>2.753978</v>
      </c>
      <c r="U91" s="7">
        <v>3.5818910000000002</v>
      </c>
      <c r="V91" s="7">
        <v>11.664057</v>
      </c>
      <c r="W91" s="7">
        <v>28.831918000000002</v>
      </c>
      <c r="X91" s="7">
        <v>12.32618060605698</v>
      </c>
      <c r="Y91" s="7">
        <v>13.595781374679589</v>
      </c>
      <c r="Z91" s="7">
        <v>54.753879980736571</v>
      </c>
      <c r="AA91" s="7">
        <v>0</v>
      </c>
      <c r="AB91" s="7">
        <v>54.753879980736571</v>
      </c>
      <c r="AC91" s="7">
        <v>0</v>
      </c>
      <c r="AD91" s="7">
        <v>22.400662000000001</v>
      </c>
      <c r="AE91" s="7">
        <v>0</v>
      </c>
      <c r="AF91" s="7">
        <v>0</v>
      </c>
      <c r="AG91" s="7">
        <v>77.154541980736582</v>
      </c>
      <c r="AH91" s="7">
        <v>2.9693329999999998</v>
      </c>
      <c r="AI91" s="7">
        <v>0</v>
      </c>
      <c r="AJ91" s="7">
        <v>17.245559</v>
      </c>
      <c r="AK91" s="7">
        <v>74.968771980736577</v>
      </c>
      <c r="AL91" s="7">
        <v>0.29913299999999998</v>
      </c>
      <c r="AM91" s="7">
        <v>0</v>
      </c>
      <c r="AN91" s="7">
        <v>0</v>
      </c>
      <c r="AO91" s="7">
        <v>0</v>
      </c>
      <c r="AP91" s="7">
        <v>0</v>
      </c>
      <c r="AQ91" s="7">
        <v>75.267904980736574</v>
      </c>
      <c r="AR91" s="7">
        <v>166.4766564696852</v>
      </c>
      <c r="AS91" s="7">
        <v>111.7227764889486</v>
      </c>
      <c r="AT91" s="7">
        <v>111.7227764889486</v>
      </c>
    </row>
    <row r="92" spans="1:46" x14ac:dyDescent="0.35">
      <c r="A92" s="5">
        <v>46022</v>
      </c>
      <c r="B92" s="4" t="s">
        <v>233</v>
      </c>
      <c r="C92" s="4" t="s">
        <v>234</v>
      </c>
      <c r="D92" s="4" t="s">
        <v>235</v>
      </c>
      <c r="E92" s="6">
        <v>2500</v>
      </c>
      <c r="F92" s="6">
        <v>0</v>
      </c>
      <c r="G92" s="6">
        <v>2500</v>
      </c>
      <c r="H92" s="6">
        <v>2.5</v>
      </c>
      <c r="I92" s="6">
        <v>1000</v>
      </c>
      <c r="J92" s="6">
        <v>0</v>
      </c>
      <c r="K92" s="6">
        <v>1000</v>
      </c>
      <c r="L92" s="6">
        <v>3000</v>
      </c>
      <c r="M92" s="7">
        <v>0.526725</v>
      </c>
      <c r="N92" s="7">
        <v>1.804225</v>
      </c>
      <c r="O92" s="7">
        <v>0.261903</v>
      </c>
      <c r="P92" s="7">
        <v>5.2060620000000011</v>
      </c>
      <c r="Q92" s="7">
        <v>7.7989150000000009</v>
      </c>
      <c r="R92" s="7">
        <v>1.225374</v>
      </c>
      <c r="S92" s="7">
        <v>3.8802089999999998</v>
      </c>
      <c r="T92" s="7">
        <v>7.6891499999999997</v>
      </c>
      <c r="U92" s="7">
        <v>19.903673000000001</v>
      </c>
      <c r="V92" s="7">
        <v>32.698405999999999</v>
      </c>
      <c r="W92" s="7">
        <v>40.497320999999999</v>
      </c>
      <c r="X92" s="7">
        <v>1.2434601213080669</v>
      </c>
      <c r="Y92" s="7">
        <v>1.697736538872485</v>
      </c>
      <c r="Z92" s="7">
        <v>43.438517660180558</v>
      </c>
      <c r="AA92" s="7">
        <v>1.872460934997298</v>
      </c>
      <c r="AB92" s="7">
        <v>45.310978595177851</v>
      </c>
      <c r="AC92" s="7">
        <v>0.52029000000000014</v>
      </c>
      <c r="AD92" s="7">
        <v>8.9938230000000008</v>
      </c>
      <c r="AE92" s="7">
        <v>0</v>
      </c>
      <c r="AF92" s="7">
        <v>0</v>
      </c>
      <c r="AG92" s="7">
        <v>54.825091595177852</v>
      </c>
      <c r="AH92" s="7">
        <v>1.3333330000000001</v>
      </c>
      <c r="AI92" s="7">
        <v>0</v>
      </c>
      <c r="AJ92" s="7">
        <v>1.3333330000000001</v>
      </c>
      <c r="AK92" s="7">
        <v>48.497934595177853</v>
      </c>
      <c r="AL92" s="7">
        <v>0</v>
      </c>
      <c r="AM92" s="7">
        <v>0</v>
      </c>
      <c r="AN92" s="7">
        <v>0</v>
      </c>
      <c r="AO92" s="7">
        <v>0</v>
      </c>
      <c r="AP92" s="7">
        <v>0</v>
      </c>
      <c r="AQ92" s="7">
        <v>48.497934595177853</v>
      </c>
      <c r="AR92" s="7">
        <v>80.338323142253742</v>
      </c>
      <c r="AS92" s="7">
        <v>36.899805482073191</v>
      </c>
      <c r="AT92" s="7">
        <v>35.027344547075892</v>
      </c>
    </row>
    <row r="93" spans="1:46" x14ac:dyDescent="0.35">
      <c r="A93" s="5">
        <v>46022</v>
      </c>
      <c r="B93" s="4" t="s">
        <v>236</v>
      </c>
      <c r="C93" s="4" t="s">
        <v>237</v>
      </c>
      <c r="D93" s="4" t="s">
        <v>222</v>
      </c>
      <c r="E93" s="6">
        <v>33000</v>
      </c>
      <c r="F93" s="6">
        <v>0</v>
      </c>
      <c r="G93" s="6">
        <v>33000</v>
      </c>
      <c r="H93" s="6">
        <v>0.75</v>
      </c>
      <c r="I93" s="6">
        <v>44000</v>
      </c>
      <c r="J93" s="6">
        <v>0</v>
      </c>
      <c r="K93" s="6">
        <v>44000</v>
      </c>
      <c r="L93" s="6">
        <v>44000</v>
      </c>
      <c r="M93" s="7">
        <v>2.8552110000000002</v>
      </c>
      <c r="N93" s="7">
        <v>1.0210870000000001</v>
      </c>
      <c r="O93" s="7">
        <v>9.5901000000000014E-2</v>
      </c>
      <c r="P93" s="7">
        <v>2.3319640000000001</v>
      </c>
      <c r="Q93" s="7">
        <v>6.3041630000000008</v>
      </c>
      <c r="R93" s="7">
        <v>2.091202</v>
      </c>
      <c r="S93" s="7">
        <v>1.142164</v>
      </c>
      <c r="T93" s="7">
        <v>1.2907360000000001</v>
      </c>
      <c r="U93" s="7">
        <v>3.2355619999999998</v>
      </c>
      <c r="V93" s="7">
        <v>7.7596640000000008</v>
      </c>
      <c r="W93" s="7">
        <v>14.063827</v>
      </c>
      <c r="X93" s="7">
        <v>0.89641868226395449</v>
      </c>
      <c r="Y93" s="7">
        <v>1.25496376129659</v>
      </c>
      <c r="Z93" s="7">
        <v>16.21520944356055</v>
      </c>
      <c r="AA93" s="7">
        <v>0.21648381449267071</v>
      </c>
      <c r="AB93" s="7">
        <v>16.431693258053219</v>
      </c>
      <c r="AC93" s="7">
        <v>0</v>
      </c>
      <c r="AD93" s="7">
        <v>2.640892</v>
      </c>
      <c r="AE93" s="7">
        <v>0</v>
      </c>
      <c r="AF93" s="7">
        <v>0</v>
      </c>
      <c r="AG93" s="7">
        <v>19.07258525805322</v>
      </c>
      <c r="AH93" s="7">
        <v>0.51594799999999996</v>
      </c>
      <c r="AI93" s="7">
        <v>0</v>
      </c>
      <c r="AJ93" s="7">
        <v>1.5909089999999999</v>
      </c>
      <c r="AK93" s="7">
        <v>18.53855025805322</v>
      </c>
      <c r="AL93" s="7">
        <v>1.818182</v>
      </c>
      <c r="AM93" s="7">
        <v>0</v>
      </c>
      <c r="AN93" s="7">
        <v>0</v>
      </c>
      <c r="AO93" s="7">
        <v>0</v>
      </c>
      <c r="AP93" s="7">
        <v>0</v>
      </c>
      <c r="AQ93" s="7">
        <v>20.356732258053221</v>
      </c>
      <c r="AR93" s="7">
        <v>29.397926220855339</v>
      </c>
      <c r="AS93" s="7">
        <v>13.18271677729479</v>
      </c>
      <c r="AT93" s="7">
        <v>12.96623296280212</v>
      </c>
    </row>
    <row r="94" spans="1:46" x14ac:dyDescent="0.35">
      <c r="A94" s="5">
        <v>46022</v>
      </c>
      <c r="B94" s="4" t="s">
        <v>238</v>
      </c>
      <c r="C94" s="4" t="s">
        <v>239</v>
      </c>
      <c r="D94" s="4" t="s">
        <v>61</v>
      </c>
      <c r="E94" s="6">
        <v>0</v>
      </c>
      <c r="F94" s="6">
        <v>0</v>
      </c>
      <c r="G94" s="6">
        <v>0</v>
      </c>
      <c r="H94" s="6">
        <v>0</v>
      </c>
      <c r="I94" s="6">
        <v>0</v>
      </c>
      <c r="J94" s="6">
        <v>2670.8752720000002</v>
      </c>
      <c r="K94" s="6">
        <v>2670.8752720000002</v>
      </c>
      <c r="L94" s="6">
        <v>2670.8752720000002</v>
      </c>
      <c r="M94" s="7">
        <v>2.3071999999999999</v>
      </c>
      <c r="N94" s="7">
        <v>0</v>
      </c>
      <c r="O94" s="7">
        <v>2.7733400000000001</v>
      </c>
      <c r="P94" s="7">
        <v>3.0811950000000001</v>
      </c>
      <c r="Q94" s="7">
        <v>8.1617350000000002</v>
      </c>
      <c r="R94" s="7">
        <v>1.865132</v>
      </c>
      <c r="S94" s="7">
        <v>1.5116989999999999</v>
      </c>
      <c r="T94" s="7">
        <v>2.8105639999999998</v>
      </c>
      <c r="U94" s="7">
        <v>4.2121130000000013</v>
      </c>
      <c r="V94" s="7">
        <v>10.399508000000001</v>
      </c>
      <c r="W94" s="7">
        <v>18.561243000000001</v>
      </c>
      <c r="X94" s="7">
        <v>0.6027425496348674</v>
      </c>
      <c r="Y94" s="7">
        <v>2.1193624111113181</v>
      </c>
      <c r="Z94" s="7">
        <v>21.283347960746191</v>
      </c>
      <c r="AA94" s="7">
        <v>4.4206131618669326</v>
      </c>
      <c r="AB94" s="7">
        <v>25.703961122613119</v>
      </c>
      <c r="AC94" s="7">
        <v>0</v>
      </c>
      <c r="AD94" s="7">
        <v>2.284189</v>
      </c>
      <c r="AE94" s="7">
        <v>0</v>
      </c>
      <c r="AF94" s="7">
        <v>0</v>
      </c>
      <c r="AG94" s="7">
        <v>27.988150122613121</v>
      </c>
      <c r="AH94" s="7">
        <v>2.1844489999999999</v>
      </c>
      <c r="AI94" s="7">
        <v>0</v>
      </c>
      <c r="AJ94" s="7">
        <v>1.352813</v>
      </c>
      <c r="AK94" s="7">
        <v>29.241223122613121</v>
      </c>
      <c r="AL94" s="7">
        <v>0</v>
      </c>
      <c r="AM94" s="7">
        <v>0</v>
      </c>
      <c r="AN94" s="7">
        <v>0</v>
      </c>
      <c r="AO94" s="7">
        <v>0</v>
      </c>
      <c r="AP94" s="7">
        <v>0</v>
      </c>
      <c r="AQ94" s="7">
        <v>29.241223122613121</v>
      </c>
      <c r="AR94" s="7">
        <v>63.58429051239375</v>
      </c>
      <c r="AS94" s="7">
        <v>42.300942551647573</v>
      </c>
      <c r="AT94" s="7">
        <v>37.880329389780627</v>
      </c>
    </row>
    <row r="95" spans="1:46" x14ac:dyDescent="0.35">
      <c r="A95" s="5">
        <v>46022</v>
      </c>
      <c r="B95" s="4" t="s">
        <v>240</v>
      </c>
      <c r="C95" s="4" t="s">
        <v>241</v>
      </c>
      <c r="D95" s="4" t="s">
        <v>105</v>
      </c>
      <c r="E95" s="6">
        <v>0</v>
      </c>
      <c r="F95" s="6">
        <v>0</v>
      </c>
      <c r="G95" s="6">
        <v>0</v>
      </c>
      <c r="H95" s="6">
        <v>0</v>
      </c>
      <c r="I95" s="6">
        <v>0</v>
      </c>
      <c r="J95" s="6">
        <v>4540</v>
      </c>
      <c r="K95" s="6">
        <v>4540</v>
      </c>
      <c r="L95" s="6">
        <v>4540</v>
      </c>
      <c r="M95" s="7">
        <v>62.126660999999991</v>
      </c>
      <c r="N95" s="7">
        <v>0.70789599999999997</v>
      </c>
      <c r="O95" s="7">
        <v>17.476870999999999</v>
      </c>
      <c r="P95" s="7">
        <v>25.787011</v>
      </c>
      <c r="Q95" s="7">
        <v>106.098439</v>
      </c>
      <c r="R95" s="7">
        <v>3.5362450000000001</v>
      </c>
      <c r="S95" s="7">
        <v>1.8480799999999999</v>
      </c>
      <c r="T95" s="7">
        <v>6.6289399999999992</v>
      </c>
      <c r="U95" s="7">
        <v>8.0463459999999998</v>
      </c>
      <c r="V95" s="7">
        <v>20.059611</v>
      </c>
      <c r="W95" s="7">
        <v>126.15805</v>
      </c>
      <c r="X95" s="7">
        <v>0.106300272</v>
      </c>
      <c r="Y95" s="7">
        <v>5.7621602927086357</v>
      </c>
      <c r="Z95" s="7">
        <v>132.02651056470859</v>
      </c>
      <c r="AA95" s="7">
        <v>1.9717262937683679</v>
      </c>
      <c r="AB95" s="7">
        <v>133.99823685847699</v>
      </c>
      <c r="AC95" s="7">
        <v>0</v>
      </c>
      <c r="AD95" s="7">
        <v>30.956178999999999</v>
      </c>
      <c r="AE95" s="7">
        <v>0</v>
      </c>
      <c r="AF95" s="7">
        <v>0</v>
      </c>
      <c r="AG95" s="7">
        <v>164.95441585847701</v>
      </c>
      <c r="AH95" s="7">
        <v>0.72082299999999988</v>
      </c>
      <c r="AI95" s="7">
        <v>0</v>
      </c>
      <c r="AJ95" s="7">
        <v>18.923708000000001</v>
      </c>
      <c r="AK95" s="7">
        <v>153.64276785847699</v>
      </c>
      <c r="AL95" s="7">
        <v>0</v>
      </c>
      <c r="AM95" s="7">
        <v>0</v>
      </c>
      <c r="AN95" s="7">
        <v>0</v>
      </c>
      <c r="AO95" s="7">
        <v>0</v>
      </c>
      <c r="AP95" s="7">
        <v>0</v>
      </c>
      <c r="AQ95" s="7">
        <v>153.64276785847699</v>
      </c>
      <c r="AR95" s="7">
        <v>143.8399565600144</v>
      </c>
      <c r="AS95" s="7">
        <v>11.81344599530575</v>
      </c>
      <c r="AT95" s="7">
        <v>9.8417197015373841</v>
      </c>
    </row>
    <row r="96" spans="1:46" x14ac:dyDescent="0.35">
      <c r="A96" s="5">
        <v>46022</v>
      </c>
      <c r="B96" s="4" t="s">
        <v>242</v>
      </c>
      <c r="C96" s="4" t="s">
        <v>243</v>
      </c>
      <c r="D96" s="4" t="s">
        <v>61</v>
      </c>
      <c r="E96" s="6">
        <v>0</v>
      </c>
      <c r="F96" s="6">
        <v>0</v>
      </c>
      <c r="G96" s="6">
        <v>0</v>
      </c>
      <c r="H96" s="6">
        <v>0</v>
      </c>
      <c r="I96" s="6">
        <v>0</v>
      </c>
      <c r="J96" s="6">
        <v>12000</v>
      </c>
      <c r="K96" s="6">
        <v>12000</v>
      </c>
      <c r="L96" s="6">
        <v>13500</v>
      </c>
      <c r="M96" s="7">
        <v>33.463132000000002</v>
      </c>
      <c r="N96" s="7">
        <v>0.86302199999999996</v>
      </c>
      <c r="O96" s="7">
        <v>1.7986759999999999</v>
      </c>
      <c r="P96" s="7">
        <v>6.9927359999999998</v>
      </c>
      <c r="Q96" s="7">
        <v>43.117565999999997</v>
      </c>
      <c r="R96" s="7">
        <v>1.1343399999999999</v>
      </c>
      <c r="S96" s="7">
        <v>0.70357899999999995</v>
      </c>
      <c r="T96" s="7">
        <v>2.373335</v>
      </c>
      <c r="U96" s="7">
        <v>1.8374889999999999</v>
      </c>
      <c r="V96" s="7">
        <v>6.048743</v>
      </c>
      <c r="W96" s="7">
        <v>49.166308999999998</v>
      </c>
      <c r="X96" s="7">
        <v>1.2008003088000001</v>
      </c>
      <c r="Y96" s="7">
        <v>19.037828709271931</v>
      </c>
      <c r="Z96" s="7">
        <v>69.404938018071931</v>
      </c>
      <c r="AA96" s="7">
        <v>3.6086366000158381</v>
      </c>
      <c r="AB96" s="7">
        <v>73.013574618087773</v>
      </c>
      <c r="AC96" s="7">
        <v>0</v>
      </c>
      <c r="AD96" s="7">
        <v>17.847380000000001</v>
      </c>
      <c r="AE96" s="7">
        <v>0</v>
      </c>
      <c r="AF96" s="7">
        <v>0</v>
      </c>
      <c r="AG96" s="7">
        <v>90.860954618087774</v>
      </c>
      <c r="AH96" s="7">
        <v>2.5925929999999999</v>
      </c>
      <c r="AI96" s="7">
        <v>0</v>
      </c>
      <c r="AJ96" s="7">
        <v>13.333333</v>
      </c>
      <c r="AK96" s="7">
        <v>88.939500618087763</v>
      </c>
      <c r="AL96" s="7">
        <v>0</v>
      </c>
      <c r="AM96" s="7">
        <v>0</v>
      </c>
      <c r="AN96" s="7">
        <v>0</v>
      </c>
      <c r="AO96" s="7">
        <v>0</v>
      </c>
      <c r="AP96" s="7">
        <v>0</v>
      </c>
      <c r="AQ96" s="7">
        <v>88.939500618087763</v>
      </c>
      <c r="AR96" s="7">
        <v>235.89031317092429</v>
      </c>
      <c r="AS96" s="7">
        <v>166.48537515285241</v>
      </c>
      <c r="AT96" s="7">
        <v>162.87673855283651</v>
      </c>
    </row>
    <row r="97" spans="1:46" x14ac:dyDescent="0.35">
      <c r="A97" s="5">
        <v>46022</v>
      </c>
      <c r="B97" s="4" t="s">
        <v>244</v>
      </c>
      <c r="C97" s="4" t="s">
        <v>245</v>
      </c>
      <c r="D97" s="4" t="s">
        <v>61</v>
      </c>
      <c r="E97" s="6">
        <v>0</v>
      </c>
      <c r="F97" s="6">
        <v>0</v>
      </c>
      <c r="G97" s="6">
        <v>0</v>
      </c>
      <c r="H97" s="6">
        <v>0</v>
      </c>
      <c r="I97" s="6">
        <v>0</v>
      </c>
      <c r="J97" s="6">
        <v>33.74</v>
      </c>
      <c r="K97" s="6">
        <v>33.74</v>
      </c>
      <c r="L97" s="6">
        <v>33.74</v>
      </c>
      <c r="M97" s="7">
        <v>7.36</v>
      </c>
      <c r="N97" s="7">
        <v>0</v>
      </c>
      <c r="O97" s="7">
        <v>5.281237</v>
      </c>
      <c r="P97" s="7">
        <v>7.3</v>
      </c>
      <c r="Q97" s="7">
        <v>19.941237000000001</v>
      </c>
      <c r="R97" s="7">
        <v>3.05</v>
      </c>
      <c r="S97" s="7">
        <v>1.618E-2</v>
      </c>
      <c r="T97" s="7">
        <v>0.32714700000000002</v>
      </c>
      <c r="U97" s="7">
        <v>4.9166730000000003</v>
      </c>
      <c r="V97" s="7">
        <v>8.31</v>
      </c>
      <c r="W97" s="7">
        <v>28.251237</v>
      </c>
      <c r="X97" s="7">
        <v>0.40115001827800828</v>
      </c>
      <c r="Y97" s="7">
        <v>3.5215084173287758</v>
      </c>
      <c r="Z97" s="7">
        <v>32.173895435606781</v>
      </c>
      <c r="AA97" s="7">
        <v>7.4400576890042798</v>
      </c>
      <c r="AB97" s="7">
        <v>39.613953124611058</v>
      </c>
      <c r="AC97" s="7">
        <v>0</v>
      </c>
      <c r="AD97" s="7">
        <v>2.4302869999999999</v>
      </c>
      <c r="AE97" s="7">
        <v>0</v>
      </c>
      <c r="AF97" s="7">
        <v>0</v>
      </c>
      <c r="AG97" s="7">
        <v>42.044240124611058</v>
      </c>
      <c r="AH97" s="7">
        <v>2.4864790000000001</v>
      </c>
      <c r="AI97" s="7">
        <v>0</v>
      </c>
      <c r="AJ97" s="7">
        <v>2.4302869999999999</v>
      </c>
      <c r="AK97" s="7">
        <v>44.530719124611061</v>
      </c>
      <c r="AL97" s="7">
        <v>0</v>
      </c>
      <c r="AM97" s="7">
        <v>0</v>
      </c>
      <c r="AN97" s="7">
        <v>0</v>
      </c>
      <c r="AO97" s="7">
        <v>0</v>
      </c>
      <c r="AP97" s="7">
        <v>0</v>
      </c>
      <c r="AQ97" s="7">
        <v>44.530719124611061</v>
      </c>
      <c r="AR97" s="7">
        <v>64.349271619022232</v>
      </c>
      <c r="AS97" s="7">
        <v>32.175376183415452</v>
      </c>
      <c r="AT97" s="7">
        <v>24.735318494411171</v>
      </c>
    </row>
    <row r="98" spans="1:46" x14ac:dyDescent="0.35">
      <c r="A98" s="5">
        <v>46022</v>
      </c>
      <c r="B98" s="4" t="s">
        <v>246</v>
      </c>
      <c r="C98" s="4" t="s">
        <v>247</v>
      </c>
      <c r="D98" s="4" t="s">
        <v>61</v>
      </c>
      <c r="E98" s="6">
        <v>0</v>
      </c>
      <c r="F98" s="6">
        <v>0</v>
      </c>
      <c r="G98" s="6">
        <v>0</v>
      </c>
      <c r="H98" s="6">
        <v>0</v>
      </c>
      <c r="I98" s="6">
        <v>0</v>
      </c>
      <c r="J98" s="6">
        <v>46.9</v>
      </c>
      <c r="K98" s="6">
        <v>46.9</v>
      </c>
      <c r="L98" s="6">
        <v>46.9</v>
      </c>
      <c r="M98" s="7">
        <v>4.8184310000000004</v>
      </c>
      <c r="N98" s="7">
        <v>0</v>
      </c>
      <c r="O98" s="7">
        <v>1.638004</v>
      </c>
      <c r="P98" s="7">
        <v>6.280799</v>
      </c>
      <c r="Q98" s="7">
        <v>12.737234000000001</v>
      </c>
      <c r="R98" s="7">
        <v>1.2081200000000001</v>
      </c>
      <c r="S98" s="7">
        <v>2.853129</v>
      </c>
      <c r="T98" s="7">
        <v>3.5671490000000001</v>
      </c>
      <c r="U98" s="7">
        <v>5.1355279999999999</v>
      </c>
      <c r="V98" s="7">
        <v>12.763926</v>
      </c>
      <c r="W98" s="7">
        <v>25.501159999999999</v>
      </c>
      <c r="X98" s="7">
        <v>0.50576857569296385</v>
      </c>
      <c r="Y98" s="7">
        <v>2.103390895718773</v>
      </c>
      <c r="Z98" s="7">
        <v>28.110319471411739</v>
      </c>
      <c r="AA98" s="7">
        <v>3.1220718770178659</v>
      </c>
      <c r="AB98" s="7">
        <v>31.232391348429601</v>
      </c>
      <c r="AC98" s="7">
        <v>0</v>
      </c>
      <c r="AD98" s="7">
        <v>3.4599989999999998</v>
      </c>
      <c r="AE98" s="7">
        <v>0</v>
      </c>
      <c r="AF98" s="7">
        <v>0</v>
      </c>
      <c r="AG98" s="7">
        <v>34.692390348429598</v>
      </c>
      <c r="AH98" s="7">
        <v>2.449954</v>
      </c>
      <c r="AI98" s="7">
        <v>0</v>
      </c>
      <c r="AJ98" s="7">
        <v>0.65603699999999998</v>
      </c>
      <c r="AK98" s="7">
        <v>34.338382348429597</v>
      </c>
      <c r="AL98" s="7">
        <v>0</v>
      </c>
      <c r="AM98" s="7">
        <v>0</v>
      </c>
      <c r="AN98" s="7">
        <v>0</v>
      </c>
      <c r="AO98" s="7">
        <v>0</v>
      </c>
      <c r="AP98" s="7">
        <v>0</v>
      </c>
      <c r="AQ98" s="7">
        <v>34.338382348429597</v>
      </c>
      <c r="AR98" s="7">
        <v>39.598323375343341</v>
      </c>
      <c r="AS98" s="7">
        <v>11.48800390393161</v>
      </c>
      <c r="AT98" s="7">
        <v>8.3659320269137396</v>
      </c>
    </row>
    <row r="99" spans="1:46" x14ac:dyDescent="0.35">
      <c r="A99" s="5">
        <v>46022</v>
      </c>
      <c r="B99" s="4" t="s">
        <v>248</v>
      </c>
      <c r="C99" s="4" t="s">
        <v>249</v>
      </c>
      <c r="D99" s="4" t="s">
        <v>250</v>
      </c>
      <c r="E99" s="6">
        <v>0</v>
      </c>
      <c r="F99" s="6">
        <v>0</v>
      </c>
      <c r="G99" s="6">
        <v>0</v>
      </c>
      <c r="H99" s="6">
        <v>0</v>
      </c>
      <c r="I99" s="6">
        <v>0</v>
      </c>
      <c r="J99" s="6">
        <v>789.30200000000002</v>
      </c>
      <c r="K99" s="6">
        <v>789.30200000000002</v>
      </c>
      <c r="L99" s="6">
        <v>789.30200000000002</v>
      </c>
      <c r="M99" s="7">
        <v>31.296690000000002</v>
      </c>
      <c r="N99" s="7">
        <v>2.426193</v>
      </c>
      <c r="O99" s="7">
        <v>9.8091430000000006</v>
      </c>
      <c r="P99" s="7">
        <v>64.593731000000005</v>
      </c>
      <c r="Q99" s="7">
        <v>108.12575699999999</v>
      </c>
      <c r="R99" s="7">
        <v>20.723738999999998</v>
      </c>
      <c r="S99" s="7">
        <v>7.5884260000000001</v>
      </c>
      <c r="T99" s="7">
        <v>12.327843</v>
      </c>
      <c r="U99" s="7">
        <v>14.934627000000001</v>
      </c>
      <c r="V99" s="7">
        <v>55.574635000000001</v>
      </c>
      <c r="W99" s="7">
        <v>163.70039199999999</v>
      </c>
      <c r="X99" s="7">
        <v>1.022309800304573</v>
      </c>
      <c r="Y99" s="7">
        <v>11.948910326527489</v>
      </c>
      <c r="Z99" s="7">
        <v>176.67161212683209</v>
      </c>
      <c r="AA99" s="7">
        <v>12.66057431240319</v>
      </c>
      <c r="AB99" s="7">
        <v>189.3321864392353</v>
      </c>
      <c r="AC99" s="7">
        <v>0.66342800000000002</v>
      </c>
      <c r="AD99" s="7">
        <v>114.530371</v>
      </c>
      <c r="AE99" s="7">
        <v>0</v>
      </c>
      <c r="AF99" s="7">
        <v>0</v>
      </c>
      <c r="AG99" s="7">
        <v>304.52598543923528</v>
      </c>
      <c r="AH99" s="7">
        <v>16.098229</v>
      </c>
      <c r="AI99" s="7">
        <v>0</v>
      </c>
      <c r="AJ99" s="7">
        <v>56.042048999999999</v>
      </c>
      <c r="AK99" s="7">
        <v>262.13589243923531</v>
      </c>
      <c r="AL99" s="7">
        <v>31.478110999999998</v>
      </c>
      <c r="AM99" s="7">
        <v>0</v>
      </c>
      <c r="AN99" s="7">
        <v>0</v>
      </c>
      <c r="AO99" s="7">
        <v>0</v>
      </c>
      <c r="AP99" s="7">
        <v>0</v>
      </c>
      <c r="AQ99" s="7">
        <v>293.61400343923532</v>
      </c>
      <c r="AR99" s="7">
        <v>505.6058014486506</v>
      </c>
      <c r="AS99" s="7">
        <v>328.93418932181862</v>
      </c>
      <c r="AT99" s="7">
        <v>316.27361500941538</v>
      </c>
    </row>
    <row r="100" spans="1:46" x14ac:dyDescent="0.35">
      <c r="A100" s="5">
        <v>46022</v>
      </c>
      <c r="B100" s="4" t="s">
        <v>251</v>
      </c>
      <c r="C100" s="4" t="s">
        <v>252</v>
      </c>
      <c r="D100" s="4" t="s">
        <v>213</v>
      </c>
      <c r="E100" s="6">
        <v>1510</v>
      </c>
      <c r="F100" s="6">
        <v>0</v>
      </c>
      <c r="G100" s="6">
        <v>1510</v>
      </c>
      <c r="H100" s="6">
        <v>1.51</v>
      </c>
      <c r="I100" s="6">
        <v>1000</v>
      </c>
      <c r="J100" s="6">
        <v>0</v>
      </c>
      <c r="K100" s="6">
        <v>1000</v>
      </c>
      <c r="L100" s="6">
        <v>2100</v>
      </c>
      <c r="M100" s="7">
        <v>3.1402030000000001</v>
      </c>
      <c r="N100" s="7">
        <v>4.6438449999999998</v>
      </c>
      <c r="O100" s="7">
        <v>1.4705859999999999</v>
      </c>
      <c r="P100" s="7">
        <v>16.034414999999999</v>
      </c>
      <c r="Q100" s="7">
        <v>25.289048999999999</v>
      </c>
      <c r="R100" s="7">
        <v>4.649114</v>
      </c>
      <c r="S100" s="7">
        <v>2.0886689999999999</v>
      </c>
      <c r="T100" s="7">
        <v>5.8373249999999999</v>
      </c>
      <c r="U100" s="7">
        <v>5.6927240000000001</v>
      </c>
      <c r="V100" s="7">
        <v>18.267831999999999</v>
      </c>
      <c r="W100" s="7">
        <v>43.556880999999997</v>
      </c>
      <c r="X100" s="7">
        <v>2.362579000521714</v>
      </c>
      <c r="Y100" s="7">
        <v>51.140688191907643</v>
      </c>
      <c r="Z100" s="7">
        <v>97.060148192429367</v>
      </c>
      <c r="AA100" s="7">
        <v>27.26642882517254</v>
      </c>
      <c r="AB100" s="7">
        <v>124.32657701760191</v>
      </c>
      <c r="AC100" s="7">
        <v>1.4762000000000001E-2</v>
      </c>
      <c r="AD100" s="7">
        <v>11.770244999999999</v>
      </c>
      <c r="AE100" s="7">
        <v>0</v>
      </c>
      <c r="AF100" s="7">
        <v>0</v>
      </c>
      <c r="AG100" s="7">
        <v>136.1115840176019</v>
      </c>
      <c r="AH100" s="7">
        <v>0.37440600000000002</v>
      </c>
      <c r="AI100" s="7">
        <v>1.019048</v>
      </c>
      <c r="AJ100" s="7">
        <v>0.238095</v>
      </c>
      <c r="AK100" s="7">
        <v>125.9728880176019</v>
      </c>
      <c r="AL100" s="7">
        <v>0</v>
      </c>
      <c r="AM100" s="7">
        <v>0</v>
      </c>
      <c r="AN100" s="7">
        <v>0</v>
      </c>
      <c r="AO100" s="7">
        <v>0</v>
      </c>
      <c r="AP100" s="7">
        <v>0</v>
      </c>
      <c r="AQ100" s="7">
        <v>125.9728880176019</v>
      </c>
      <c r="AR100" s="7">
        <v>324.94197341225117</v>
      </c>
      <c r="AS100" s="7">
        <v>227.88182521982179</v>
      </c>
      <c r="AT100" s="7">
        <v>200.61539639464931</v>
      </c>
    </row>
    <row r="101" spans="1:46" x14ac:dyDescent="0.35">
      <c r="A101" s="5">
        <v>46022</v>
      </c>
      <c r="B101" s="4" t="s">
        <v>253</v>
      </c>
      <c r="C101" s="4" t="s">
        <v>254</v>
      </c>
      <c r="D101" s="4" t="s">
        <v>69</v>
      </c>
      <c r="E101" s="6">
        <v>14456.366722999999</v>
      </c>
      <c r="F101" s="6">
        <v>0</v>
      </c>
      <c r="G101" s="6">
        <v>14456.366722999999</v>
      </c>
      <c r="H101" s="6">
        <v>0.396152</v>
      </c>
      <c r="I101" s="6">
        <v>36492</v>
      </c>
      <c r="J101" s="6">
        <v>0</v>
      </c>
      <c r="K101" s="6">
        <v>36492</v>
      </c>
      <c r="L101" s="6">
        <v>35722.156940000001</v>
      </c>
      <c r="M101" s="7">
        <v>0.659748</v>
      </c>
      <c r="N101" s="7">
        <v>1.6895819999999999</v>
      </c>
      <c r="O101" s="7">
        <v>4.9821999999999998E-2</v>
      </c>
      <c r="P101" s="7">
        <v>0.98136400000000013</v>
      </c>
      <c r="Q101" s="7">
        <v>3.3805160000000001</v>
      </c>
      <c r="R101" s="7">
        <v>0.46817599999999998</v>
      </c>
      <c r="S101" s="7">
        <v>3.6031209999999998</v>
      </c>
      <c r="T101" s="7">
        <v>1.028246</v>
      </c>
      <c r="U101" s="7">
        <v>1.2030160000000001</v>
      </c>
      <c r="V101" s="7">
        <v>6.3025589999999996</v>
      </c>
      <c r="W101" s="7">
        <v>9.6830750000000005</v>
      </c>
      <c r="X101" s="7">
        <v>1.1595720653805739</v>
      </c>
      <c r="Y101" s="7">
        <v>1.4375771483037609</v>
      </c>
      <c r="Z101" s="7">
        <v>12.28022421368434</v>
      </c>
      <c r="AA101" s="7">
        <v>2.224500453792476</v>
      </c>
      <c r="AB101" s="7">
        <v>14.504724667476809</v>
      </c>
      <c r="AC101" s="7">
        <v>0</v>
      </c>
      <c r="AD101" s="7">
        <v>4.4199289999999998</v>
      </c>
      <c r="AE101" s="7">
        <v>0</v>
      </c>
      <c r="AF101" s="7">
        <v>0</v>
      </c>
      <c r="AG101" s="7">
        <v>18.924653667476811</v>
      </c>
      <c r="AH101" s="7">
        <v>2.0679219999999998</v>
      </c>
      <c r="AI101" s="7">
        <v>0</v>
      </c>
      <c r="AJ101" s="7">
        <v>2.6441669999999999</v>
      </c>
      <c r="AK101" s="7">
        <v>19.21681366747681</v>
      </c>
      <c r="AL101" s="7">
        <v>0</v>
      </c>
      <c r="AM101" s="7">
        <v>0.29699900000000001</v>
      </c>
      <c r="AN101" s="7">
        <v>0</v>
      </c>
      <c r="AO101" s="7">
        <v>0</v>
      </c>
      <c r="AP101" s="7">
        <v>0</v>
      </c>
      <c r="AQ101" s="7">
        <v>19.51381266747681</v>
      </c>
      <c r="AR101" s="7">
        <v>31.862244536264349</v>
      </c>
      <c r="AS101" s="7">
        <v>19.582020322580021</v>
      </c>
      <c r="AT101" s="7">
        <v>17.357519868787541</v>
      </c>
    </row>
    <row r="102" spans="1:46" x14ac:dyDescent="0.35">
      <c r="A102" s="5">
        <v>46022</v>
      </c>
      <c r="B102" s="4" t="s">
        <v>255</v>
      </c>
      <c r="C102" s="4" t="s">
        <v>256</v>
      </c>
      <c r="D102" s="4" t="s">
        <v>257</v>
      </c>
      <c r="E102" s="6">
        <v>0</v>
      </c>
      <c r="F102" s="6">
        <v>0</v>
      </c>
      <c r="G102" s="6">
        <v>0</v>
      </c>
      <c r="H102" s="6">
        <v>0</v>
      </c>
      <c r="I102" s="6">
        <v>0</v>
      </c>
      <c r="J102" s="6">
        <v>1741.269841</v>
      </c>
      <c r="K102" s="6">
        <v>1741.269841</v>
      </c>
      <c r="L102" s="6">
        <v>1147.619048</v>
      </c>
      <c r="M102" s="7">
        <v>33.356684000000001</v>
      </c>
      <c r="N102" s="7">
        <v>30.055218</v>
      </c>
      <c r="O102" s="7">
        <v>7.5612339999999989</v>
      </c>
      <c r="P102" s="7">
        <v>19.733464999999999</v>
      </c>
      <c r="Q102" s="7">
        <v>90.706601000000006</v>
      </c>
      <c r="R102" s="7">
        <v>10.26933</v>
      </c>
      <c r="S102" s="7">
        <v>2.6611449999999999</v>
      </c>
      <c r="T102" s="7">
        <v>32.831712000000003</v>
      </c>
      <c r="U102" s="7">
        <v>15.076833000000001</v>
      </c>
      <c r="V102" s="7">
        <v>60.839019999999998</v>
      </c>
      <c r="W102" s="7">
        <v>151.54562100000001</v>
      </c>
      <c r="X102" s="7">
        <v>4.3896886774127513</v>
      </c>
      <c r="Y102" s="7">
        <v>1.436574487077189</v>
      </c>
      <c r="Z102" s="7">
        <v>157.3718841644899</v>
      </c>
      <c r="AA102" s="7">
        <v>23.418521793648178</v>
      </c>
      <c r="AB102" s="7">
        <v>180.79040595813811</v>
      </c>
      <c r="AC102" s="7">
        <v>0.87227399999999999</v>
      </c>
      <c r="AD102" s="7">
        <v>49.274228999999998</v>
      </c>
      <c r="AE102" s="7">
        <v>0</v>
      </c>
      <c r="AF102" s="7">
        <v>0</v>
      </c>
      <c r="AG102" s="7">
        <v>230.9369089581381</v>
      </c>
      <c r="AH102" s="7">
        <v>5.1297119999999987</v>
      </c>
      <c r="AI102" s="7">
        <v>0</v>
      </c>
      <c r="AJ102" s="7">
        <v>59.190030999999991</v>
      </c>
      <c r="AK102" s="7">
        <v>245.9824229581381</v>
      </c>
      <c r="AL102" s="7">
        <v>0</v>
      </c>
      <c r="AM102" s="7">
        <v>0</v>
      </c>
      <c r="AN102" s="7">
        <v>0</v>
      </c>
      <c r="AO102" s="7">
        <v>0</v>
      </c>
      <c r="AP102" s="7">
        <v>0</v>
      </c>
      <c r="AQ102" s="7">
        <v>245.9824229581381</v>
      </c>
      <c r="AR102" s="7">
        <v>391.90709924666618</v>
      </c>
      <c r="AS102" s="7">
        <v>234.53521508217631</v>
      </c>
      <c r="AT102" s="7">
        <v>211.1166932885281</v>
      </c>
    </row>
    <row r="103" spans="1:46" x14ac:dyDescent="0.35">
      <c r="A103" s="5">
        <v>46022</v>
      </c>
      <c r="B103" s="4" t="s">
        <v>258</v>
      </c>
      <c r="C103" s="4" t="s">
        <v>259</v>
      </c>
      <c r="D103" s="4" t="s">
        <v>111</v>
      </c>
      <c r="E103" s="6">
        <v>0</v>
      </c>
      <c r="F103" s="6">
        <v>0</v>
      </c>
      <c r="G103" s="6">
        <v>0</v>
      </c>
      <c r="H103" s="6">
        <v>0</v>
      </c>
      <c r="I103" s="6">
        <v>0</v>
      </c>
      <c r="J103" s="6">
        <v>620</v>
      </c>
      <c r="K103" s="6">
        <v>620</v>
      </c>
      <c r="L103" s="6">
        <v>620</v>
      </c>
      <c r="M103" s="7">
        <v>16.288943</v>
      </c>
      <c r="N103" s="7">
        <v>1.0606310000000001</v>
      </c>
      <c r="O103" s="7">
        <v>0.54581299999999988</v>
      </c>
      <c r="P103" s="7">
        <v>20.906486999999998</v>
      </c>
      <c r="Q103" s="7">
        <v>38.801873999999991</v>
      </c>
      <c r="R103" s="7">
        <v>14.324897999999999</v>
      </c>
      <c r="S103" s="7">
        <v>2.8924059999999998</v>
      </c>
      <c r="T103" s="7">
        <v>7.3387309999999992</v>
      </c>
      <c r="U103" s="7">
        <v>6.953104999999999</v>
      </c>
      <c r="V103" s="7">
        <v>31.509139999999999</v>
      </c>
      <c r="W103" s="7">
        <v>70.311013999999986</v>
      </c>
      <c r="X103" s="7">
        <v>15.98909990181774</v>
      </c>
      <c r="Y103" s="7">
        <v>12.83517800440781</v>
      </c>
      <c r="Z103" s="7">
        <v>99.135291906225547</v>
      </c>
      <c r="AA103" s="7">
        <v>2.6392861487509389</v>
      </c>
      <c r="AB103" s="7">
        <v>101.7745780549765</v>
      </c>
      <c r="AC103" s="7">
        <v>0.44148799999999999</v>
      </c>
      <c r="AD103" s="7">
        <v>13.460599</v>
      </c>
      <c r="AE103" s="7">
        <v>0</v>
      </c>
      <c r="AF103" s="7">
        <v>0</v>
      </c>
      <c r="AG103" s="7">
        <v>115.6766650549765</v>
      </c>
      <c r="AH103" s="7">
        <v>2.3794520000000001</v>
      </c>
      <c r="AI103" s="7">
        <v>2.0967739999999999</v>
      </c>
      <c r="AJ103" s="7">
        <v>20.967742000000001</v>
      </c>
      <c r="AK103" s="7">
        <v>127.66003405497651</v>
      </c>
      <c r="AL103" s="7">
        <v>0</v>
      </c>
      <c r="AM103" s="7">
        <v>0</v>
      </c>
      <c r="AN103" s="7">
        <v>0</v>
      </c>
      <c r="AO103" s="7">
        <v>0</v>
      </c>
      <c r="AP103" s="7">
        <v>0</v>
      </c>
      <c r="AQ103" s="7">
        <v>127.66003405497651</v>
      </c>
      <c r="AR103" s="7">
        <v>164.23171206597871</v>
      </c>
      <c r="AS103" s="7">
        <v>65.096420159753123</v>
      </c>
      <c r="AT103" s="7">
        <v>62.457134011002204</v>
      </c>
    </row>
    <row r="104" spans="1:46" x14ac:dyDescent="0.35">
      <c r="A104" s="5">
        <v>46022</v>
      </c>
      <c r="B104" s="4" t="s">
        <v>260</v>
      </c>
      <c r="C104" s="4" t="s">
        <v>261</v>
      </c>
      <c r="D104" s="4" t="s">
        <v>262</v>
      </c>
      <c r="E104" s="6">
        <v>0</v>
      </c>
      <c r="F104" s="6">
        <v>0</v>
      </c>
      <c r="G104" s="6">
        <v>0</v>
      </c>
      <c r="H104" s="6">
        <v>0</v>
      </c>
      <c r="I104" s="6">
        <v>0</v>
      </c>
      <c r="J104" s="6">
        <v>2000</v>
      </c>
      <c r="K104" s="6">
        <v>2000</v>
      </c>
      <c r="L104" s="6">
        <v>215.6</v>
      </c>
      <c r="M104" s="7">
        <v>82.860541999999995</v>
      </c>
      <c r="N104" s="7">
        <v>4.4616030000000002</v>
      </c>
      <c r="O104" s="7">
        <v>76.533708000000004</v>
      </c>
      <c r="P104" s="7">
        <v>47.150196999999999</v>
      </c>
      <c r="Q104" s="7">
        <v>211.00604999999999</v>
      </c>
      <c r="R104" s="7">
        <v>4.3817159999999999</v>
      </c>
      <c r="S104" s="7">
        <v>0.41628100000000001</v>
      </c>
      <c r="T104" s="7">
        <v>3.6762130000000002</v>
      </c>
      <c r="U104" s="7">
        <v>6.4410280000000002</v>
      </c>
      <c r="V104" s="7">
        <v>14.915238</v>
      </c>
      <c r="W104" s="7">
        <v>225.921288</v>
      </c>
      <c r="X104" s="7">
        <v>14.44773859495362</v>
      </c>
      <c r="Y104" s="7">
        <v>31.853056421711031</v>
      </c>
      <c r="Z104" s="7">
        <v>272.22208301666461</v>
      </c>
      <c r="AA104" s="7">
        <v>9.6929018186407898</v>
      </c>
      <c r="AB104" s="7">
        <v>281.9149848353054</v>
      </c>
      <c r="AC104" s="7">
        <v>0</v>
      </c>
      <c r="AD104" s="7">
        <v>5.172949</v>
      </c>
      <c r="AE104" s="7">
        <v>0</v>
      </c>
      <c r="AF104" s="7">
        <v>0</v>
      </c>
      <c r="AG104" s="7">
        <v>287.08793383530542</v>
      </c>
      <c r="AH104" s="7">
        <v>2.8275739999999998</v>
      </c>
      <c r="AI104" s="7">
        <v>0</v>
      </c>
      <c r="AJ104" s="7">
        <v>0.296929</v>
      </c>
      <c r="AK104" s="7">
        <v>285.03948783530541</v>
      </c>
      <c r="AL104" s="7">
        <v>0</v>
      </c>
      <c r="AM104" s="7">
        <v>0</v>
      </c>
      <c r="AN104" s="7">
        <v>0</v>
      </c>
      <c r="AO104" s="7">
        <v>0</v>
      </c>
      <c r="AP104" s="7">
        <v>0</v>
      </c>
      <c r="AQ104" s="7">
        <v>285.03948783530541</v>
      </c>
      <c r="AR104" s="7">
        <v>484.64524056070132</v>
      </c>
      <c r="AS104" s="7">
        <v>212.4231575440366</v>
      </c>
      <c r="AT104" s="7">
        <v>202.73025572539581</v>
      </c>
    </row>
    <row r="105" spans="1:46" x14ac:dyDescent="0.35">
      <c r="A105" s="5">
        <v>46022</v>
      </c>
      <c r="B105" s="4" t="s">
        <v>263</v>
      </c>
      <c r="C105" s="4" t="s">
        <v>264</v>
      </c>
      <c r="D105" s="4" t="s">
        <v>61</v>
      </c>
      <c r="E105" s="6">
        <v>4195.2183889999997</v>
      </c>
      <c r="F105" s="6">
        <v>0</v>
      </c>
      <c r="G105" s="6">
        <v>4195.2183889999997</v>
      </c>
      <c r="H105" s="6">
        <v>1.844141</v>
      </c>
      <c r="I105" s="6">
        <v>2274.89</v>
      </c>
      <c r="J105" s="6">
        <v>0</v>
      </c>
      <c r="K105" s="6">
        <v>2274.89</v>
      </c>
      <c r="L105" s="6">
        <v>2274.89</v>
      </c>
      <c r="M105" s="7">
        <v>2.0278109999999998</v>
      </c>
      <c r="N105" s="7">
        <v>1.1539429999999999</v>
      </c>
      <c r="O105" s="7">
        <v>0.114971</v>
      </c>
      <c r="P105" s="7">
        <v>3.0388790000000001</v>
      </c>
      <c r="Q105" s="7">
        <v>6.335604</v>
      </c>
      <c r="R105" s="7">
        <v>1.116716</v>
      </c>
      <c r="S105" s="7">
        <v>1.343496</v>
      </c>
      <c r="T105" s="7">
        <v>2.7834439999999998</v>
      </c>
      <c r="U105" s="7">
        <v>4.3875209999999996</v>
      </c>
      <c r="V105" s="7">
        <v>9.6311769999999992</v>
      </c>
      <c r="W105" s="7">
        <v>15.966780999999999</v>
      </c>
      <c r="X105" s="7">
        <v>0.75331215671966556</v>
      </c>
      <c r="Y105" s="7">
        <v>3.0223078600450339</v>
      </c>
      <c r="Z105" s="7">
        <v>19.742401016764699</v>
      </c>
      <c r="AA105" s="7">
        <v>4.7661495738122301</v>
      </c>
      <c r="AB105" s="7">
        <v>24.508550590576931</v>
      </c>
      <c r="AC105" s="7">
        <v>0</v>
      </c>
      <c r="AD105" s="7">
        <v>1.3977660000000001</v>
      </c>
      <c r="AE105" s="7">
        <v>0</v>
      </c>
      <c r="AF105" s="7">
        <v>0</v>
      </c>
      <c r="AG105" s="7">
        <v>25.906316590576932</v>
      </c>
      <c r="AH105" s="7">
        <v>0.82461200000000001</v>
      </c>
      <c r="AI105" s="7">
        <v>0</v>
      </c>
      <c r="AJ105" s="7">
        <v>2.2898079999999998</v>
      </c>
      <c r="AK105" s="7">
        <v>27.62297059057693</v>
      </c>
      <c r="AL105" s="7">
        <v>0</v>
      </c>
      <c r="AM105" s="7">
        <v>0</v>
      </c>
      <c r="AN105" s="7">
        <v>0</v>
      </c>
      <c r="AO105" s="7">
        <v>0</v>
      </c>
      <c r="AP105" s="7">
        <v>0</v>
      </c>
      <c r="AQ105" s="7">
        <v>27.62297059057693</v>
      </c>
      <c r="AR105" s="7">
        <v>58.378830358547738</v>
      </c>
      <c r="AS105" s="7">
        <v>38.636429341783042</v>
      </c>
      <c r="AT105" s="7">
        <v>33.870279767970807</v>
      </c>
    </row>
    <row r="106" spans="1:46" x14ac:dyDescent="0.35">
      <c r="A106" s="5">
        <v>46022</v>
      </c>
      <c r="B106" s="4" t="s">
        <v>265</v>
      </c>
      <c r="C106" s="4" t="s">
        <v>266</v>
      </c>
      <c r="D106" s="4" t="s">
        <v>79</v>
      </c>
      <c r="E106" s="6">
        <v>0</v>
      </c>
      <c r="F106" s="6">
        <v>0</v>
      </c>
      <c r="G106" s="6">
        <v>0</v>
      </c>
      <c r="H106" s="6">
        <v>0</v>
      </c>
      <c r="I106" s="6">
        <v>14343.854101999999</v>
      </c>
      <c r="J106" s="6">
        <v>0</v>
      </c>
      <c r="K106" s="6">
        <v>14343.854101999999</v>
      </c>
      <c r="L106" s="6">
        <v>14343.854101999999</v>
      </c>
      <c r="M106" s="7">
        <v>1.6333500000000001</v>
      </c>
      <c r="N106" s="7">
        <v>0.389071</v>
      </c>
      <c r="O106" s="7">
        <v>7.1675000000000003E-2</v>
      </c>
      <c r="P106" s="7">
        <v>1.864109</v>
      </c>
      <c r="Q106" s="7">
        <v>3.958205</v>
      </c>
      <c r="R106" s="7">
        <v>1.629842</v>
      </c>
      <c r="S106" s="7">
        <v>0.63003200000000004</v>
      </c>
      <c r="T106" s="7">
        <v>0.98118899999999998</v>
      </c>
      <c r="U106" s="7">
        <v>1.805504</v>
      </c>
      <c r="V106" s="7">
        <v>5.0465669999999996</v>
      </c>
      <c r="W106" s="7">
        <v>9.0047720000000009</v>
      </c>
      <c r="X106" s="7">
        <v>0.1150558272737791</v>
      </c>
      <c r="Y106" s="7">
        <v>0</v>
      </c>
      <c r="Z106" s="7">
        <v>9.1198278272737792</v>
      </c>
      <c r="AA106" s="7">
        <v>6.6582354709525268E-2</v>
      </c>
      <c r="AB106" s="7">
        <v>9.1864101819833053</v>
      </c>
      <c r="AC106" s="7">
        <v>0</v>
      </c>
      <c r="AD106" s="7">
        <v>1.1657949999999999</v>
      </c>
      <c r="AE106" s="7">
        <v>0</v>
      </c>
      <c r="AF106" s="7">
        <v>0</v>
      </c>
      <c r="AG106" s="7">
        <v>10.352205181983299</v>
      </c>
      <c r="AH106" s="7">
        <v>0.29152</v>
      </c>
      <c r="AI106" s="7">
        <v>0</v>
      </c>
      <c r="AJ106" s="7">
        <v>1.1657949999999999</v>
      </c>
      <c r="AK106" s="7">
        <v>10.643725181983299</v>
      </c>
      <c r="AL106" s="7">
        <v>0</v>
      </c>
      <c r="AM106" s="7">
        <v>0</v>
      </c>
      <c r="AN106" s="7">
        <v>0</v>
      </c>
      <c r="AO106" s="7">
        <v>0</v>
      </c>
      <c r="AP106" s="7">
        <v>0</v>
      </c>
      <c r="AQ106" s="7">
        <v>10.643725181983299</v>
      </c>
      <c r="AR106" s="7">
        <v>13.316870637879781</v>
      </c>
      <c r="AS106" s="7">
        <v>4.1970428106059989</v>
      </c>
      <c r="AT106" s="7">
        <v>4.1304604558964728</v>
      </c>
    </row>
    <row r="107" spans="1:46" x14ac:dyDescent="0.35">
      <c r="A107" s="5">
        <v>46022</v>
      </c>
      <c r="B107" s="4" t="s">
        <v>267</v>
      </c>
      <c r="C107" s="4" t="s">
        <v>268</v>
      </c>
      <c r="D107" s="4" t="s">
        <v>89</v>
      </c>
      <c r="E107" s="6">
        <v>0</v>
      </c>
      <c r="F107" s="6">
        <v>596</v>
      </c>
      <c r="G107" s="6">
        <v>596</v>
      </c>
      <c r="H107" s="6">
        <v>0</v>
      </c>
      <c r="I107" s="6">
        <v>0</v>
      </c>
      <c r="J107" s="6">
        <v>1111</v>
      </c>
      <c r="K107" s="6">
        <v>1111</v>
      </c>
      <c r="L107" s="6">
        <v>1111</v>
      </c>
      <c r="M107" s="7">
        <v>119.26178400000001</v>
      </c>
      <c r="N107" s="7">
        <v>1.3493630000000001</v>
      </c>
      <c r="O107" s="7">
        <v>0.96301899999999996</v>
      </c>
      <c r="P107" s="7">
        <v>8.2553560000000008</v>
      </c>
      <c r="Q107" s="7">
        <v>129.829522</v>
      </c>
      <c r="R107" s="7">
        <v>49.376660999999999</v>
      </c>
      <c r="S107" s="7">
        <v>0.83995200000000003</v>
      </c>
      <c r="T107" s="7">
        <v>2.3551989999999998</v>
      </c>
      <c r="U107" s="7">
        <v>5.5622670000000003</v>
      </c>
      <c r="V107" s="7">
        <v>58.134079</v>
      </c>
      <c r="W107" s="7">
        <v>187.96360100000001</v>
      </c>
      <c r="X107" s="7">
        <v>12.0725124140414</v>
      </c>
      <c r="Y107" s="7">
        <v>25.824046216129421</v>
      </c>
      <c r="Z107" s="7">
        <v>225.86015963017081</v>
      </c>
      <c r="AA107" s="7">
        <v>14.82472861913339</v>
      </c>
      <c r="AB107" s="7">
        <v>240.68488824930421</v>
      </c>
      <c r="AC107" s="7">
        <v>0</v>
      </c>
      <c r="AD107" s="7">
        <v>41.984143000000003</v>
      </c>
      <c r="AE107" s="7">
        <v>0</v>
      </c>
      <c r="AF107" s="7">
        <v>0</v>
      </c>
      <c r="AG107" s="7">
        <v>282.66903124930423</v>
      </c>
      <c r="AH107" s="7">
        <v>3.0378039999999999</v>
      </c>
      <c r="AI107" s="7">
        <v>0</v>
      </c>
      <c r="AJ107" s="7">
        <v>40.504049999999999</v>
      </c>
      <c r="AK107" s="7">
        <v>284.22674224930421</v>
      </c>
      <c r="AL107" s="7">
        <v>20.252025</v>
      </c>
      <c r="AM107" s="7">
        <v>0</v>
      </c>
      <c r="AN107" s="7">
        <v>0</v>
      </c>
      <c r="AO107" s="7">
        <v>0</v>
      </c>
      <c r="AP107" s="7">
        <v>0</v>
      </c>
      <c r="AQ107" s="7">
        <v>304.47876724930421</v>
      </c>
      <c r="AR107" s="7">
        <v>355.48254579765103</v>
      </c>
      <c r="AS107" s="7">
        <v>129.6223861674801</v>
      </c>
      <c r="AT107" s="7">
        <v>114.79765754834681</v>
      </c>
    </row>
    <row r="108" spans="1:46" x14ac:dyDescent="0.35">
      <c r="A108" s="5">
        <v>46022</v>
      </c>
      <c r="B108" s="4" t="s">
        <v>269</v>
      </c>
      <c r="C108" s="4" t="s">
        <v>270</v>
      </c>
      <c r="D108" s="4" t="s">
        <v>213</v>
      </c>
      <c r="E108" s="6">
        <v>46038.900678999998</v>
      </c>
      <c r="F108" s="6">
        <v>0</v>
      </c>
      <c r="G108" s="6">
        <v>46038.900678999998</v>
      </c>
      <c r="H108" s="6">
        <v>6</v>
      </c>
      <c r="I108" s="6">
        <v>7673.1501129999997</v>
      </c>
      <c r="J108" s="6">
        <v>0</v>
      </c>
      <c r="K108" s="6">
        <v>7673.1501129999997</v>
      </c>
      <c r="L108" s="6">
        <v>7673.1501129999997</v>
      </c>
      <c r="M108" s="7">
        <v>4.2177220000000002</v>
      </c>
      <c r="N108" s="7">
        <v>4.3070959999999996</v>
      </c>
      <c r="O108" s="7">
        <v>0.53629599999999999</v>
      </c>
      <c r="P108" s="7">
        <v>7.7865789999999997</v>
      </c>
      <c r="Q108" s="7">
        <v>16.847693</v>
      </c>
      <c r="R108" s="7">
        <v>2.6321340000000002</v>
      </c>
      <c r="S108" s="7">
        <v>44.088315000000001</v>
      </c>
      <c r="T108" s="7">
        <v>5.1562970000000012</v>
      </c>
      <c r="U108" s="7">
        <v>3.446615</v>
      </c>
      <c r="V108" s="7">
        <v>55.323361000000013</v>
      </c>
      <c r="W108" s="7">
        <v>72.171054000000012</v>
      </c>
      <c r="X108" s="7">
        <v>0</v>
      </c>
      <c r="Y108" s="7">
        <v>46.528900786887156</v>
      </c>
      <c r="Z108" s="7">
        <v>118.6999547868872</v>
      </c>
      <c r="AA108" s="7">
        <v>30.609296836970771</v>
      </c>
      <c r="AB108" s="7">
        <v>149.3092516238579</v>
      </c>
      <c r="AC108" s="7">
        <v>1.9873350000000001</v>
      </c>
      <c r="AD108" s="7">
        <v>10.682774</v>
      </c>
      <c r="AE108" s="7">
        <v>0</v>
      </c>
      <c r="AF108" s="7">
        <v>0</v>
      </c>
      <c r="AG108" s="7">
        <v>161.9793606238579</v>
      </c>
      <c r="AH108" s="7">
        <v>0.81273799999999996</v>
      </c>
      <c r="AI108" s="7">
        <v>0</v>
      </c>
      <c r="AJ108" s="7">
        <v>0.28438099999999999</v>
      </c>
      <c r="AK108" s="7">
        <v>152.3937056238579</v>
      </c>
      <c r="AL108" s="7">
        <v>12.120184999999999</v>
      </c>
      <c r="AM108" s="7">
        <v>0</v>
      </c>
      <c r="AN108" s="7">
        <v>0</v>
      </c>
      <c r="AO108" s="7">
        <v>0</v>
      </c>
      <c r="AP108" s="7">
        <v>0</v>
      </c>
      <c r="AQ108" s="7">
        <v>164.51389062385789</v>
      </c>
      <c r="AR108" s="7">
        <v>346.25204370572698</v>
      </c>
      <c r="AS108" s="7">
        <v>227.5520889188399</v>
      </c>
      <c r="AT108" s="7">
        <v>196.9427920818691</v>
      </c>
    </row>
    <row r="109" spans="1:46" x14ac:dyDescent="0.35">
      <c r="A109" s="5">
        <v>46022</v>
      </c>
      <c r="B109" s="4" t="s">
        <v>271</v>
      </c>
      <c r="C109" s="4" t="s">
        <v>272</v>
      </c>
      <c r="D109" s="4" t="s">
        <v>122</v>
      </c>
      <c r="E109" s="6">
        <v>0</v>
      </c>
      <c r="F109" s="6">
        <v>0</v>
      </c>
      <c r="G109" s="6">
        <v>0</v>
      </c>
      <c r="H109" s="6">
        <v>0</v>
      </c>
      <c r="I109" s="6">
        <v>0</v>
      </c>
      <c r="J109" s="6">
        <v>1472.9825960000001</v>
      </c>
      <c r="K109" s="6">
        <v>1472.9825960000001</v>
      </c>
      <c r="L109" s="6">
        <v>1472.9825960000001</v>
      </c>
      <c r="M109" s="7">
        <v>55.958815999999999</v>
      </c>
      <c r="N109" s="7">
        <v>2.0168279999999998</v>
      </c>
      <c r="O109" s="7">
        <v>76.627167999999998</v>
      </c>
      <c r="P109" s="7">
        <v>5.8566729999999998</v>
      </c>
      <c r="Q109" s="7">
        <v>140.459485</v>
      </c>
      <c r="R109" s="7">
        <v>7.4301680000000001</v>
      </c>
      <c r="S109" s="7">
        <v>0.772316</v>
      </c>
      <c r="T109" s="7">
        <v>7.0877720000000002</v>
      </c>
      <c r="U109" s="7">
        <v>3.0928439999999999</v>
      </c>
      <c r="V109" s="7">
        <v>18.383099999999999</v>
      </c>
      <c r="W109" s="7">
        <v>158.84258500000001</v>
      </c>
      <c r="X109" s="7">
        <v>2.0750566478326542</v>
      </c>
      <c r="Y109" s="7">
        <v>9.5843867017243518</v>
      </c>
      <c r="Z109" s="7">
        <v>170.50202834955701</v>
      </c>
      <c r="AA109" s="7">
        <v>21.539699877657291</v>
      </c>
      <c r="AB109" s="7">
        <v>192.04172822721429</v>
      </c>
      <c r="AC109" s="7">
        <v>0</v>
      </c>
      <c r="AD109" s="7">
        <v>23.708898999999999</v>
      </c>
      <c r="AE109" s="7">
        <v>0</v>
      </c>
      <c r="AF109" s="7">
        <v>0</v>
      </c>
      <c r="AG109" s="7">
        <v>215.7506272272143</v>
      </c>
      <c r="AH109" s="7">
        <v>0.74343400000000004</v>
      </c>
      <c r="AI109" s="7">
        <v>0</v>
      </c>
      <c r="AJ109" s="7">
        <v>9.2561929999999997</v>
      </c>
      <c r="AK109" s="7">
        <v>202.0413552272143</v>
      </c>
      <c r="AL109" s="7">
        <v>0</v>
      </c>
      <c r="AM109" s="7">
        <v>0</v>
      </c>
      <c r="AN109" s="7">
        <v>0</v>
      </c>
      <c r="AO109" s="7">
        <v>0</v>
      </c>
      <c r="AP109" s="7">
        <v>0</v>
      </c>
      <c r="AQ109" s="7">
        <v>202.0413552272143</v>
      </c>
      <c r="AR109" s="7">
        <v>215.39677893805671</v>
      </c>
      <c r="AS109" s="7">
        <v>44.894750588499647</v>
      </c>
      <c r="AT109" s="7">
        <v>23.35505071084237</v>
      </c>
    </row>
    <row r="110" spans="1:46" x14ac:dyDescent="0.35">
      <c r="A110" s="5">
        <v>46022</v>
      </c>
      <c r="B110" s="4" t="s">
        <v>273</v>
      </c>
      <c r="C110" s="4" t="s">
        <v>274</v>
      </c>
      <c r="D110" s="4" t="s">
        <v>111</v>
      </c>
      <c r="E110" s="6">
        <v>2100</v>
      </c>
      <c r="F110" s="6">
        <v>0</v>
      </c>
      <c r="G110" s="6">
        <v>2100</v>
      </c>
      <c r="H110" s="6">
        <v>0.06</v>
      </c>
      <c r="I110" s="6">
        <v>35000</v>
      </c>
      <c r="J110" s="6">
        <v>0</v>
      </c>
      <c r="K110" s="6">
        <v>35000</v>
      </c>
      <c r="L110" s="6">
        <v>34000</v>
      </c>
      <c r="M110" s="7">
        <v>1.7885260000000001</v>
      </c>
      <c r="N110" s="7">
        <v>0.97281700000000004</v>
      </c>
      <c r="O110" s="7">
        <v>1.8674E-2</v>
      </c>
      <c r="P110" s="7">
        <v>0.73798300000000006</v>
      </c>
      <c r="Q110" s="7">
        <v>3.5179999999999998</v>
      </c>
      <c r="R110" s="7">
        <v>1.8677299999999999</v>
      </c>
      <c r="S110" s="7">
        <v>2.0397660000000002</v>
      </c>
      <c r="T110" s="7">
        <v>3.0206019999999998</v>
      </c>
      <c r="U110" s="7">
        <v>3.2291449999999999</v>
      </c>
      <c r="V110" s="7">
        <v>10.157242999999999</v>
      </c>
      <c r="W110" s="7">
        <v>13.675243</v>
      </c>
      <c r="X110" s="7">
        <v>1.0570858377257939</v>
      </c>
      <c r="Y110" s="7">
        <v>1.4524999573129089</v>
      </c>
      <c r="Z110" s="7">
        <v>16.184828795038701</v>
      </c>
      <c r="AA110" s="7">
        <v>1.408584510712495</v>
      </c>
      <c r="AB110" s="7">
        <v>17.593413305751199</v>
      </c>
      <c r="AC110" s="7">
        <v>0</v>
      </c>
      <c r="AD110" s="7">
        <v>1.563841</v>
      </c>
      <c r="AE110" s="7">
        <v>0</v>
      </c>
      <c r="AF110" s="7">
        <v>0</v>
      </c>
      <c r="AG110" s="7">
        <v>19.157254305751199</v>
      </c>
      <c r="AH110" s="7">
        <v>0.352941</v>
      </c>
      <c r="AI110" s="7">
        <v>0</v>
      </c>
      <c r="AJ110" s="7">
        <v>1.4742329999999999</v>
      </c>
      <c r="AK110" s="7">
        <v>19.420587305751202</v>
      </c>
      <c r="AL110" s="7">
        <v>0</v>
      </c>
      <c r="AM110" s="7">
        <v>0</v>
      </c>
      <c r="AN110" s="7">
        <v>0</v>
      </c>
      <c r="AO110" s="7">
        <v>0</v>
      </c>
      <c r="AP110" s="7">
        <v>0</v>
      </c>
      <c r="AQ110" s="7">
        <v>19.420587305751202</v>
      </c>
      <c r="AR110" s="7">
        <v>35.199446623504834</v>
      </c>
      <c r="AS110" s="7">
        <v>19.014617828466118</v>
      </c>
      <c r="AT110" s="7">
        <v>17.606033317753631</v>
      </c>
    </row>
    <row r="111" spans="1:46" x14ac:dyDescent="0.35">
      <c r="A111" s="5">
        <v>46022</v>
      </c>
      <c r="B111" s="4" t="s">
        <v>275</v>
      </c>
      <c r="C111" s="4" t="s">
        <v>276</v>
      </c>
      <c r="D111" s="4" t="s">
        <v>61</v>
      </c>
      <c r="E111" s="6">
        <v>0</v>
      </c>
      <c r="F111" s="6">
        <v>0</v>
      </c>
      <c r="G111" s="6">
        <v>0</v>
      </c>
      <c r="H111" s="6">
        <v>0</v>
      </c>
      <c r="I111" s="6">
        <v>0</v>
      </c>
      <c r="J111" s="6">
        <v>800</v>
      </c>
      <c r="K111" s="6">
        <v>800</v>
      </c>
      <c r="L111" s="6">
        <v>800</v>
      </c>
      <c r="M111" s="7">
        <v>7.8570599999999997</v>
      </c>
      <c r="N111" s="7">
        <v>0.54350200000000004</v>
      </c>
      <c r="O111" s="7">
        <v>1.193233</v>
      </c>
      <c r="P111" s="7">
        <v>4.1500919999999999</v>
      </c>
      <c r="Q111" s="7">
        <v>13.743887000000001</v>
      </c>
      <c r="R111" s="7">
        <v>0.40425699999999998</v>
      </c>
      <c r="S111" s="7">
        <v>1.4418200000000001</v>
      </c>
      <c r="T111" s="7">
        <v>2.6188159999999998</v>
      </c>
      <c r="U111" s="7">
        <v>2.7487409999999999</v>
      </c>
      <c r="V111" s="7">
        <v>7.2136339999999999</v>
      </c>
      <c r="W111" s="7">
        <v>20.957521</v>
      </c>
      <c r="X111" s="7">
        <v>0.58846613699999994</v>
      </c>
      <c r="Y111" s="7">
        <v>3.4627749902406868</v>
      </c>
      <c r="Z111" s="7">
        <v>25.00876212724069</v>
      </c>
      <c r="AA111" s="7">
        <v>7.6523775679982808</v>
      </c>
      <c r="AB111" s="7">
        <v>32.661139695238973</v>
      </c>
      <c r="AC111" s="7">
        <v>0</v>
      </c>
      <c r="AD111" s="7">
        <v>3.2338269999999998</v>
      </c>
      <c r="AE111" s="7">
        <v>0</v>
      </c>
      <c r="AF111" s="7">
        <v>0</v>
      </c>
      <c r="AG111" s="7">
        <v>35.894966695238971</v>
      </c>
      <c r="AH111" s="7">
        <v>2.10859</v>
      </c>
      <c r="AI111" s="7">
        <v>0</v>
      </c>
      <c r="AJ111" s="7">
        <v>2.0931380000000002</v>
      </c>
      <c r="AK111" s="7">
        <v>36.862867695238968</v>
      </c>
      <c r="AL111" s="7">
        <v>0</v>
      </c>
      <c r="AM111" s="7">
        <v>0</v>
      </c>
      <c r="AN111" s="7">
        <v>0</v>
      </c>
      <c r="AO111" s="7">
        <v>0</v>
      </c>
      <c r="AP111" s="7">
        <v>0</v>
      </c>
      <c r="AQ111" s="7">
        <v>36.862867695238968</v>
      </c>
      <c r="AR111" s="7">
        <v>49.0956866914945</v>
      </c>
      <c r="AS111" s="7">
        <v>24.08692456425382</v>
      </c>
      <c r="AT111" s="7">
        <v>16.434546996255531</v>
      </c>
    </row>
    <row r="112" spans="1:46" x14ac:dyDescent="0.35">
      <c r="A112" s="5">
        <v>46022</v>
      </c>
      <c r="B112" s="4" t="s">
        <v>277</v>
      </c>
      <c r="C112" s="4" t="s">
        <v>278</v>
      </c>
      <c r="D112" s="4" t="s">
        <v>222</v>
      </c>
      <c r="E112" s="6">
        <v>0</v>
      </c>
      <c r="F112" s="6">
        <v>0</v>
      </c>
      <c r="G112" s="6">
        <v>0</v>
      </c>
      <c r="H112" s="6">
        <v>0</v>
      </c>
      <c r="I112" s="6">
        <v>0</v>
      </c>
      <c r="J112" s="6">
        <v>2789</v>
      </c>
      <c r="K112" s="6">
        <v>2789</v>
      </c>
      <c r="L112" s="6">
        <v>2789</v>
      </c>
      <c r="M112" s="7">
        <v>43.389429999999997</v>
      </c>
      <c r="N112" s="7">
        <v>5.4090290000000003</v>
      </c>
      <c r="O112" s="7">
        <v>1.6556850000000001</v>
      </c>
      <c r="P112" s="7">
        <v>29.440999999999999</v>
      </c>
      <c r="Q112" s="7">
        <v>79.895144000000002</v>
      </c>
      <c r="R112" s="7">
        <v>16.979908000000002</v>
      </c>
      <c r="S112" s="7">
        <v>4.884259000000001</v>
      </c>
      <c r="T112" s="7">
        <v>1.7288539999999999</v>
      </c>
      <c r="U112" s="7">
        <v>13.74192</v>
      </c>
      <c r="V112" s="7">
        <v>37.334941000000001</v>
      </c>
      <c r="W112" s="7">
        <v>117.230085</v>
      </c>
      <c r="X112" s="7">
        <v>3.9107992317246318</v>
      </c>
      <c r="Y112" s="7">
        <v>2.1027777310965861</v>
      </c>
      <c r="Z112" s="7">
        <v>123.24366196282121</v>
      </c>
      <c r="AA112" s="7">
        <v>14.240932649386639</v>
      </c>
      <c r="AB112" s="7">
        <v>137.4845946122079</v>
      </c>
      <c r="AC112" s="7">
        <v>1.7145820000000001</v>
      </c>
      <c r="AD112" s="7">
        <v>40.783622999999999</v>
      </c>
      <c r="AE112" s="7">
        <v>0</v>
      </c>
      <c r="AF112" s="7">
        <v>3.585515</v>
      </c>
      <c r="AG112" s="7">
        <v>183.5683146122079</v>
      </c>
      <c r="AH112" s="7">
        <v>7.7826969999999998</v>
      </c>
      <c r="AI112" s="7">
        <v>1.9720329999999999</v>
      </c>
      <c r="AJ112" s="7">
        <v>39.691645999999999</v>
      </c>
      <c r="AK112" s="7">
        <v>188.64555261220789</v>
      </c>
      <c r="AL112" s="7">
        <v>21.333811000000001</v>
      </c>
      <c r="AM112" s="7">
        <v>0</v>
      </c>
      <c r="AN112" s="7">
        <v>0</v>
      </c>
      <c r="AO112" s="7">
        <v>0</v>
      </c>
      <c r="AP112" s="7">
        <v>0</v>
      </c>
      <c r="AQ112" s="7">
        <v>209.97936361220789</v>
      </c>
      <c r="AR112" s="7">
        <v>284.22543493803369</v>
      </c>
      <c r="AS112" s="7">
        <v>160.98177297521249</v>
      </c>
      <c r="AT112" s="7">
        <v>146.7408403258259</v>
      </c>
    </row>
    <row r="113" spans="1:46" x14ac:dyDescent="0.35">
      <c r="A113" s="5">
        <v>46022</v>
      </c>
      <c r="B113" s="4" t="s">
        <v>279</v>
      </c>
      <c r="C113" s="4" t="s">
        <v>280</v>
      </c>
      <c r="D113" s="4" t="s">
        <v>50</v>
      </c>
      <c r="E113" s="6">
        <v>132360.73940300001</v>
      </c>
      <c r="F113" s="6">
        <v>0</v>
      </c>
      <c r="G113" s="6">
        <v>132360.73940300001</v>
      </c>
      <c r="H113" s="6">
        <v>2.6472150000000001</v>
      </c>
      <c r="I113" s="6">
        <v>50000</v>
      </c>
      <c r="J113" s="6">
        <v>0</v>
      </c>
      <c r="K113" s="6">
        <v>50000</v>
      </c>
      <c r="L113" s="6">
        <v>51100</v>
      </c>
      <c r="M113" s="7">
        <v>1.0432349999999999</v>
      </c>
      <c r="N113" s="7">
        <v>3.9104570000000001</v>
      </c>
      <c r="O113" s="7">
        <v>9.2913999999999997E-2</v>
      </c>
      <c r="P113" s="7">
        <v>3.0251510000000001</v>
      </c>
      <c r="Q113" s="7">
        <v>8.0717569999999998</v>
      </c>
      <c r="R113" s="7">
        <v>1.0448230000000001</v>
      </c>
      <c r="S113" s="7">
        <v>2.6931020000000001</v>
      </c>
      <c r="T113" s="7">
        <v>2.872614</v>
      </c>
      <c r="U113" s="7">
        <v>2.9795470000000002</v>
      </c>
      <c r="V113" s="7">
        <v>9.5900859999999994</v>
      </c>
      <c r="W113" s="7">
        <v>17.661843000000001</v>
      </c>
      <c r="X113" s="7">
        <v>1.962078009400513</v>
      </c>
      <c r="Y113" s="7">
        <v>3.8259956366634191</v>
      </c>
      <c r="Z113" s="7">
        <v>23.449916646063929</v>
      </c>
      <c r="AA113" s="7">
        <v>0.90723257243550559</v>
      </c>
      <c r="AB113" s="7">
        <v>24.35714921849944</v>
      </c>
      <c r="AC113" s="7">
        <v>0</v>
      </c>
      <c r="AD113" s="7">
        <v>8.7679189999999991</v>
      </c>
      <c r="AE113" s="7">
        <v>0</v>
      </c>
      <c r="AF113" s="7">
        <v>0</v>
      </c>
      <c r="AG113" s="7">
        <v>33.125068218499443</v>
      </c>
      <c r="AH113" s="7">
        <v>0.246221</v>
      </c>
      <c r="AI113" s="7">
        <v>0</v>
      </c>
      <c r="AJ113" s="7">
        <v>1.2266539999999999</v>
      </c>
      <c r="AK113" s="7">
        <v>25.830024218499439</v>
      </c>
      <c r="AL113" s="7">
        <v>11.252446000000001</v>
      </c>
      <c r="AM113" s="7">
        <v>0</v>
      </c>
      <c r="AN113" s="7">
        <v>0</v>
      </c>
      <c r="AO113" s="7">
        <v>0</v>
      </c>
      <c r="AP113" s="7">
        <v>0</v>
      </c>
      <c r="AQ113" s="7">
        <v>37.082470218499438</v>
      </c>
      <c r="AR113" s="7">
        <v>74.177693017811862</v>
      </c>
      <c r="AS113" s="7">
        <v>50.727776371747929</v>
      </c>
      <c r="AT113" s="7">
        <v>49.820543799312418</v>
      </c>
    </row>
    <row r="114" spans="1:46" x14ac:dyDescent="0.35">
      <c r="A114" s="5">
        <v>46022</v>
      </c>
      <c r="B114" s="4" t="s">
        <v>281</v>
      </c>
      <c r="C114" s="4" t="s">
        <v>282</v>
      </c>
      <c r="D114" s="4" t="s">
        <v>283</v>
      </c>
      <c r="E114" s="6">
        <v>10200</v>
      </c>
      <c r="F114" s="6">
        <v>0</v>
      </c>
      <c r="G114" s="6">
        <v>10200</v>
      </c>
      <c r="H114" s="6">
        <v>1.5111110000000001</v>
      </c>
      <c r="I114" s="6">
        <v>6750</v>
      </c>
      <c r="J114" s="6">
        <v>0</v>
      </c>
      <c r="K114" s="6">
        <v>6750</v>
      </c>
      <c r="L114" s="6">
        <v>6750</v>
      </c>
      <c r="M114" s="7">
        <v>3.4505300000000001</v>
      </c>
      <c r="N114" s="7">
        <v>0.65397000000000005</v>
      </c>
      <c r="O114" s="7">
        <v>0.16014700000000001</v>
      </c>
      <c r="P114" s="7">
        <v>0.71220600000000001</v>
      </c>
      <c r="Q114" s="7">
        <v>4.9768530000000002</v>
      </c>
      <c r="R114" s="7">
        <v>2.2249099999999999</v>
      </c>
      <c r="S114" s="7">
        <v>4.1556410000000001</v>
      </c>
      <c r="T114" s="7">
        <v>1.8299190000000001</v>
      </c>
      <c r="U114" s="7">
        <v>1.413001</v>
      </c>
      <c r="V114" s="7">
        <v>9.6234710000000003</v>
      </c>
      <c r="W114" s="7">
        <v>14.600324000000001</v>
      </c>
      <c r="X114" s="7">
        <v>8.2991553658133335E-2</v>
      </c>
      <c r="Y114" s="7">
        <v>0.17851486845733169</v>
      </c>
      <c r="Z114" s="7">
        <v>14.861830422115469</v>
      </c>
      <c r="AA114" s="7">
        <v>2.2064088486401361</v>
      </c>
      <c r="AB114" s="7">
        <v>17.068239270755601</v>
      </c>
      <c r="AC114" s="7">
        <v>0.35023199999999999</v>
      </c>
      <c r="AD114" s="7">
        <v>7.3954800000000001</v>
      </c>
      <c r="AE114" s="7">
        <v>0</v>
      </c>
      <c r="AF114" s="7">
        <v>0</v>
      </c>
      <c r="AG114" s="7">
        <v>24.813951270755599</v>
      </c>
      <c r="AH114" s="7">
        <v>1.484192</v>
      </c>
      <c r="AI114" s="7">
        <v>0.50370400000000015</v>
      </c>
      <c r="AJ114" s="7">
        <v>2.7555559999999999</v>
      </c>
      <c r="AK114" s="7">
        <v>22.161923270755601</v>
      </c>
      <c r="AL114" s="7">
        <v>0</v>
      </c>
      <c r="AM114" s="7">
        <v>0</v>
      </c>
      <c r="AN114" s="7">
        <v>0</v>
      </c>
      <c r="AO114" s="7">
        <v>0</v>
      </c>
      <c r="AP114" s="7">
        <v>0</v>
      </c>
      <c r="AQ114" s="7">
        <v>22.161923270755601</v>
      </c>
      <c r="AR114" s="7">
        <v>36.926344108708562</v>
      </c>
      <c r="AS114" s="7">
        <v>22.064513686593099</v>
      </c>
      <c r="AT114" s="7">
        <v>19.858104837952961</v>
      </c>
    </row>
    <row r="115" spans="1:46" x14ac:dyDescent="0.35">
      <c r="A115" s="5">
        <v>46022</v>
      </c>
      <c r="B115" s="4" t="s">
        <v>284</v>
      </c>
      <c r="C115" s="4" t="s">
        <v>285</v>
      </c>
      <c r="D115" s="4" t="s">
        <v>61</v>
      </c>
      <c r="E115" s="6">
        <v>0</v>
      </c>
      <c r="F115" s="6">
        <v>0</v>
      </c>
      <c r="G115" s="6">
        <v>0</v>
      </c>
      <c r="H115" s="6">
        <v>0</v>
      </c>
      <c r="I115" s="6">
        <v>0</v>
      </c>
      <c r="J115" s="6">
        <v>134.13733199999999</v>
      </c>
      <c r="K115" s="6">
        <v>134.13733199999999</v>
      </c>
      <c r="L115" s="6">
        <v>134.13733199999999</v>
      </c>
      <c r="M115" s="7">
        <v>4.3765910000000003</v>
      </c>
      <c r="N115" s="7">
        <v>0</v>
      </c>
      <c r="O115" s="7">
        <v>1.3603959999999999</v>
      </c>
      <c r="P115" s="7">
        <v>4.7132259999999997</v>
      </c>
      <c r="Q115" s="7">
        <v>10.450213</v>
      </c>
      <c r="R115" s="7">
        <v>2.3824619999999999</v>
      </c>
      <c r="S115" s="7">
        <v>0.78103199999999995</v>
      </c>
      <c r="T115" s="7">
        <v>0.791238</v>
      </c>
      <c r="U115" s="7">
        <v>2.9639700000000002</v>
      </c>
      <c r="V115" s="7">
        <v>6.9187019999999997</v>
      </c>
      <c r="W115" s="7">
        <v>17.368915000000001</v>
      </c>
      <c r="X115" s="7">
        <v>0.3576551139991363</v>
      </c>
      <c r="Y115" s="7">
        <v>2.2814008788169389</v>
      </c>
      <c r="Z115" s="7">
        <v>20.00797099281608</v>
      </c>
      <c r="AA115" s="7">
        <v>3.6771909319329379</v>
      </c>
      <c r="AB115" s="7">
        <v>23.685161924749011</v>
      </c>
      <c r="AC115" s="7">
        <v>0</v>
      </c>
      <c r="AD115" s="7">
        <v>0.68553799999999998</v>
      </c>
      <c r="AE115" s="7">
        <v>0</v>
      </c>
      <c r="AF115" s="7">
        <v>0</v>
      </c>
      <c r="AG115" s="7">
        <v>24.370699924749012</v>
      </c>
      <c r="AH115" s="7">
        <v>0.51977200000000001</v>
      </c>
      <c r="AI115" s="7">
        <v>0</v>
      </c>
      <c r="AJ115" s="7">
        <v>0.68553799999999998</v>
      </c>
      <c r="AK115" s="7">
        <v>24.890471924749011</v>
      </c>
      <c r="AL115" s="7">
        <v>0</v>
      </c>
      <c r="AM115" s="7">
        <v>0</v>
      </c>
      <c r="AN115" s="7">
        <v>0</v>
      </c>
      <c r="AO115" s="7">
        <v>0</v>
      </c>
      <c r="AP115" s="7">
        <v>0</v>
      </c>
      <c r="AQ115" s="7">
        <v>24.890471924749011</v>
      </c>
      <c r="AR115" s="7">
        <v>35.881468107357541</v>
      </c>
      <c r="AS115" s="7">
        <v>15.87349711454147</v>
      </c>
      <c r="AT115" s="7">
        <v>12.196306182608531</v>
      </c>
    </row>
    <row r="116" spans="1:46" x14ac:dyDescent="0.35">
      <c r="A116" s="5">
        <v>46022</v>
      </c>
      <c r="B116" s="4" t="s">
        <v>286</v>
      </c>
      <c r="C116" s="4" t="s">
        <v>287</v>
      </c>
      <c r="D116" s="4" t="s">
        <v>61</v>
      </c>
      <c r="E116" s="6">
        <v>0</v>
      </c>
      <c r="F116" s="6">
        <v>0</v>
      </c>
      <c r="G116" s="6">
        <v>0</v>
      </c>
      <c r="H116" s="6">
        <v>0</v>
      </c>
      <c r="I116" s="6">
        <v>0</v>
      </c>
      <c r="J116" s="6">
        <v>67.75</v>
      </c>
      <c r="K116" s="6">
        <v>67.75</v>
      </c>
      <c r="L116" s="6">
        <v>67.75</v>
      </c>
      <c r="M116" s="7">
        <v>9.7805510000000009</v>
      </c>
      <c r="N116" s="7">
        <v>0</v>
      </c>
      <c r="O116" s="7">
        <v>5.4900019999999996</v>
      </c>
      <c r="P116" s="7">
        <v>4.840255</v>
      </c>
      <c r="Q116" s="7">
        <v>20.110807999999999</v>
      </c>
      <c r="R116" s="7">
        <v>2.13117</v>
      </c>
      <c r="S116" s="7">
        <v>1.271207</v>
      </c>
      <c r="T116" s="7">
        <v>3.334044</v>
      </c>
      <c r="U116" s="7">
        <v>4.4151870000000013</v>
      </c>
      <c r="V116" s="7">
        <v>11.151608</v>
      </c>
      <c r="W116" s="7">
        <v>31.262416000000002</v>
      </c>
      <c r="X116" s="7">
        <v>9.0365579335793367E-2</v>
      </c>
      <c r="Y116" s="7">
        <v>1.225797724791968</v>
      </c>
      <c r="Z116" s="7">
        <v>32.578579304127757</v>
      </c>
      <c r="AA116" s="7">
        <v>7.2441695244143594</v>
      </c>
      <c r="AB116" s="7">
        <v>39.822748828542117</v>
      </c>
      <c r="AC116" s="7">
        <v>0</v>
      </c>
      <c r="AD116" s="7">
        <v>1.2446440000000001</v>
      </c>
      <c r="AE116" s="7">
        <v>0</v>
      </c>
      <c r="AF116" s="7">
        <v>0</v>
      </c>
      <c r="AG116" s="7">
        <v>41.067392828542118</v>
      </c>
      <c r="AH116" s="7">
        <v>3.6945990000000002</v>
      </c>
      <c r="AI116" s="7">
        <v>0</v>
      </c>
      <c r="AJ116" s="7">
        <v>1.2446440000000001</v>
      </c>
      <c r="AK116" s="7">
        <v>44.761991828542122</v>
      </c>
      <c r="AL116" s="7">
        <v>0</v>
      </c>
      <c r="AM116" s="7">
        <v>0</v>
      </c>
      <c r="AN116" s="7">
        <v>0</v>
      </c>
      <c r="AO116" s="7">
        <v>0</v>
      </c>
      <c r="AP116" s="7">
        <v>0</v>
      </c>
      <c r="AQ116" s="7">
        <v>44.761991828542122</v>
      </c>
      <c r="AR116" s="7">
        <v>34.99701111393636</v>
      </c>
      <c r="AS116" s="7">
        <v>2.4184318098085931</v>
      </c>
      <c r="AT116" s="7">
        <v>-4.8257377146057658</v>
      </c>
    </row>
    <row r="117" spans="1:46" x14ac:dyDescent="0.35">
      <c r="A117" s="5">
        <v>46022</v>
      </c>
      <c r="B117" s="4" t="s">
        <v>288</v>
      </c>
      <c r="C117" s="4" t="s">
        <v>289</v>
      </c>
      <c r="D117" s="4" t="s">
        <v>61</v>
      </c>
      <c r="E117" s="6">
        <v>0</v>
      </c>
      <c r="F117" s="6">
        <v>0</v>
      </c>
      <c r="G117" s="6">
        <v>0</v>
      </c>
      <c r="H117" s="6">
        <v>0</v>
      </c>
      <c r="I117" s="6">
        <v>0</v>
      </c>
      <c r="J117" s="6">
        <v>23.91</v>
      </c>
      <c r="K117" s="6">
        <v>23.91</v>
      </c>
      <c r="L117" s="6">
        <v>23.91</v>
      </c>
      <c r="M117" s="7">
        <v>6.1001370000000001</v>
      </c>
      <c r="N117" s="7">
        <v>0.14884800000000001</v>
      </c>
      <c r="O117" s="7">
        <v>4.5471079999999997</v>
      </c>
      <c r="P117" s="7">
        <v>8.1308209999999992</v>
      </c>
      <c r="Q117" s="7">
        <v>18.926914</v>
      </c>
      <c r="R117" s="7">
        <v>1.7992410000000001</v>
      </c>
      <c r="S117" s="7">
        <v>1.2800400000000001</v>
      </c>
      <c r="T117" s="7">
        <v>2.5447850000000001</v>
      </c>
      <c r="U117" s="7">
        <v>2.7354509999999999</v>
      </c>
      <c r="V117" s="7">
        <v>8.3595170000000003</v>
      </c>
      <c r="W117" s="7">
        <v>27.286431</v>
      </c>
      <c r="X117" s="7">
        <v>0.1206880923462986</v>
      </c>
      <c r="Y117" s="7">
        <v>3.4857463183970889</v>
      </c>
      <c r="Z117" s="7">
        <v>30.89286541074339</v>
      </c>
      <c r="AA117" s="7">
        <v>5.5225267916631617</v>
      </c>
      <c r="AB117" s="7">
        <v>36.415392202406551</v>
      </c>
      <c r="AC117" s="7">
        <v>0</v>
      </c>
      <c r="AD117" s="7">
        <v>3.5077609999999999</v>
      </c>
      <c r="AE117" s="7">
        <v>0</v>
      </c>
      <c r="AF117" s="7">
        <v>0</v>
      </c>
      <c r="AG117" s="7">
        <v>39.923153202406553</v>
      </c>
      <c r="AH117" s="7">
        <v>2.0425650000000002</v>
      </c>
      <c r="AI117" s="7">
        <v>0</v>
      </c>
      <c r="AJ117" s="7">
        <v>1.601461</v>
      </c>
      <c r="AK117" s="7">
        <v>40.059418202406547</v>
      </c>
      <c r="AL117" s="7">
        <v>0</v>
      </c>
      <c r="AM117" s="7">
        <v>0</v>
      </c>
      <c r="AN117" s="7">
        <v>0</v>
      </c>
      <c r="AO117" s="7">
        <v>0</v>
      </c>
      <c r="AP117" s="7">
        <v>0</v>
      </c>
      <c r="AQ117" s="7">
        <v>40.059418202406547</v>
      </c>
      <c r="AR117" s="7">
        <v>65.355198970532442</v>
      </c>
      <c r="AS117" s="7">
        <v>34.462333559789059</v>
      </c>
      <c r="AT117" s="7">
        <v>28.939806768125891</v>
      </c>
    </row>
    <row r="118" spans="1:46" x14ac:dyDescent="0.35">
      <c r="A118" s="5">
        <v>46022</v>
      </c>
      <c r="B118" s="4" t="s">
        <v>290</v>
      </c>
      <c r="C118" s="4" t="s">
        <v>291</v>
      </c>
      <c r="D118" s="4" t="s">
        <v>111</v>
      </c>
      <c r="E118" s="6">
        <v>0</v>
      </c>
      <c r="F118" s="6">
        <v>0</v>
      </c>
      <c r="G118" s="6">
        <v>0</v>
      </c>
      <c r="H118" s="6">
        <v>0</v>
      </c>
      <c r="I118" s="6">
        <v>0</v>
      </c>
      <c r="J118" s="6">
        <v>1671</v>
      </c>
      <c r="K118" s="6">
        <v>1671</v>
      </c>
      <c r="L118" s="6">
        <v>1701</v>
      </c>
      <c r="M118" s="7">
        <v>17.574622000000002</v>
      </c>
      <c r="N118" s="7">
        <v>2.1358419999999998</v>
      </c>
      <c r="O118" s="7">
        <v>2.40056</v>
      </c>
      <c r="P118" s="7">
        <v>9.4887799999999984</v>
      </c>
      <c r="Q118" s="7">
        <v>31.599803999999999</v>
      </c>
      <c r="R118" s="7">
        <v>8.2317660000000004</v>
      </c>
      <c r="S118" s="7">
        <v>4.3824560000000004</v>
      </c>
      <c r="T118" s="7">
        <v>8.8900939999999995</v>
      </c>
      <c r="U118" s="7">
        <v>5.6047070000000003</v>
      </c>
      <c r="V118" s="7">
        <v>27.109023000000001</v>
      </c>
      <c r="W118" s="7">
        <v>58.708826999999999</v>
      </c>
      <c r="X118" s="7">
        <v>3.807134779663492</v>
      </c>
      <c r="Y118" s="7">
        <v>11.97924284810418</v>
      </c>
      <c r="Z118" s="7">
        <v>74.495204627767663</v>
      </c>
      <c r="AA118" s="7">
        <v>5.0034163347250633</v>
      </c>
      <c r="AB118" s="7">
        <v>79.498620962492737</v>
      </c>
      <c r="AC118" s="7">
        <v>0</v>
      </c>
      <c r="AD118" s="7">
        <v>6.4754870000000002</v>
      </c>
      <c r="AE118" s="7">
        <v>0</v>
      </c>
      <c r="AF118" s="7">
        <v>0</v>
      </c>
      <c r="AG118" s="7">
        <v>85.974107962492738</v>
      </c>
      <c r="AH118" s="7">
        <v>2.176056</v>
      </c>
      <c r="AI118" s="7">
        <v>0</v>
      </c>
      <c r="AJ118" s="7">
        <v>5.8788949999999991</v>
      </c>
      <c r="AK118" s="7">
        <v>87.55357196249274</v>
      </c>
      <c r="AL118" s="7">
        <v>0</v>
      </c>
      <c r="AM118" s="7">
        <v>0</v>
      </c>
      <c r="AN118" s="7">
        <v>0</v>
      </c>
      <c r="AO118" s="7">
        <v>0</v>
      </c>
      <c r="AP118" s="7">
        <v>0</v>
      </c>
      <c r="AQ118" s="7">
        <v>87.55357196249274</v>
      </c>
      <c r="AR118" s="7">
        <v>138.9057753271901</v>
      </c>
      <c r="AS118" s="7">
        <v>64.410570699422436</v>
      </c>
      <c r="AT118" s="7">
        <v>59.407154364697369</v>
      </c>
    </row>
    <row r="119" spans="1:46" x14ac:dyDescent="0.35">
      <c r="A119" s="5">
        <v>46022</v>
      </c>
      <c r="B119" s="4" t="s">
        <v>292</v>
      </c>
      <c r="C119" s="4" t="s">
        <v>293</v>
      </c>
      <c r="D119" s="4" t="s">
        <v>61</v>
      </c>
      <c r="E119" s="6">
        <v>20150</v>
      </c>
      <c r="F119" s="6">
        <v>0</v>
      </c>
      <c r="G119" s="6">
        <v>20150</v>
      </c>
      <c r="H119" s="6">
        <v>2.6866669999999999</v>
      </c>
      <c r="I119" s="6">
        <v>7500</v>
      </c>
      <c r="J119" s="6">
        <v>4000</v>
      </c>
      <c r="K119" s="6">
        <v>11500</v>
      </c>
      <c r="L119" s="6">
        <v>11500</v>
      </c>
      <c r="M119" s="7">
        <v>4.3049730000000004</v>
      </c>
      <c r="N119" s="7">
        <v>3.0379100000000001</v>
      </c>
      <c r="O119" s="7">
        <v>2.2447560000000002</v>
      </c>
      <c r="P119" s="7">
        <v>17.805630000000001</v>
      </c>
      <c r="Q119" s="7">
        <v>27.393269</v>
      </c>
      <c r="R119" s="7">
        <v>1.0024200000000001</v>
      </c>
      <c r="S119" s="7">
        <v>1.1477170000000001</v>
      </c>
      <c r="T119" s="7">
        <v>5.1906420000000013</v>
      </c>
      <c r="U119" s="7">
        <v>3.248408</v>
      </c>
      <c r="V119" s="7">
        <v>10.589187000000001</v>
      </c>
      <c r="W119" s="7">
        <v>37.982455999999999</v>
      </c>
      <c r="X119" s="7">
        <v>0</v>
      </c>
      <c r="Y119" s="7">
        <v>2.3184195057615011</v>
      </c>
      <c r="Z119" s="7">
        <v>40.300875505761503</v>
      </c>
      <c r="AA119" s="7">
        <v>3.1155895583539142</v>
      </c>
      <c r="AB119" s="7">
        <v>43.416465064115421</v>
      </c>
      <c r="AC119" s="7">
        <v>0</v>
      </c>
      <c r="AD119" s="7">
        <v>5.2485679999999997</v>
      </c>
      <c r="AE119" s="7">
        <v>0</v>
      </c>
      <c r="AF119" s="7">
        <v>0</v>
      </c>
      <c r="AG119" s="7">
        <v>48.66503306411542</v>
      </c>
      <c r="AH119" s="7">
        <v>3.326317</v>
      </c>
      <c r="AI119" s="7">
        <v>0</v>
      </c>
      <c r="AJ119" s="7">
        <v>1.538627</v>
      </c>
      <c r="AK119" s="7">
        <v>48.281409064115422</v>
      </c>
      <c r="AL119" s="7">
        <v>0</v>
      </c>
      <c r="AM119" s="7">
        <v>0</v>
      </c>
      <c r="AN119" s="7">
        <v>0</v>
      </c>
      <c r="AO119" s="7">
        <v>0</v>
      </c>
      <c r="AP119" s="7">
        <v>0</v>
      </c>
      <c r="AQ119" s="7">
        <v>48.281409064115422</v>
      </c>
      <c r="AR119" s="7">
        <v>82.598707844723947</v>
      </c>
      <c r="AS119" s="7">
        <v>42.297832338962444</v>
      </c>
      <c r="AT119" s="7">
        <v>39.182242780608519</v>
      </c>
    </row>
    <row r="120" spans="1:46" x14ac:dyDescent="0.35">
      <c r="A120" s="5">
        <v>46022</v>
      </c>
      <c r="B120" s="4" t="s">
        <v>294</v>
      </c>
      <c r="C120" s="4" t="s">
        <v>295</v>
      </c>
      <c r="D120" s="4" t="s">
        <v>61</v>
      </c>
      <c r="E120" s="6">
        <v>0</v>
      </c>
      <c r="F120" s="6">
        <v>0</v>
      </c>
      <c r="G120" s="6">
        <v>0</v>
      </c>
      <c r="H120" s="6">
        <v>0</v>
      </c>
      <c r="I120" s="6">
        <v>0</v>
      </c>
      <c r="J120" s="6">
        <v>250</v>
      </c>
      <c r="K120" s="6">
        <v>250</v>
      </c>
      <c r="L120" s="6">
        <v>250</v>
      </c>
      <c r="M120" s="7">
        <v>9.537077</v>
      </c>
      <c r="N120" s="7">
        <v>0.49134899999999998</v>
      </c>
      <c r="O120" s="7">
        <v>12.601933000000001</v>
      </c>
      <c r="P120" s="7">
        <v>6.1839320000000013</v>
      </c>
      <c r="Q120" s="7">
        <v>28.814291000000001</v>
      </c>
      <c r="R120" s="7">
        <v>0.96859099999999998</v>
      </c>
      <c r="S120" s="7">
        <v>1.542842</v>
      </c>
      <c r="T120" s="7">
        <v>3.607386</v>
      </c>
      <c r="U120" s="7">
        <v>4.0040849999999999</v>
      </c>
      <c r="V120" s="7">
        <v>10.122904</v>
      </c>
      <c r="W120" s="7">
        <v>38.937195000000003</v>
      </c>
      <c r="X120" s="7">
        <v>0.60141525606000001</v>
      </c>
      <c r="Y120" s="7">
        <v>2.531196228437524</v>
      </c>
      <c r="Z120" s="7">
        <v>42.069806484497533</v>
      </c>
      <c r="AA120" s="7">
        <v>5.1156234558599394</v>
      </c>
      <c r="AB120" s="7">
        <v>47.185429940357459</v>
      </c>
      <c r="AC120" s="7">
        <v>0</v>
      </c>
      <c r="AD120" s="7">
        <v>1.3373600000000001</v>
      </c>
      <c r="AE120" s="7">
        <v>0</v>
      </c>
      <c r="AF120" s="7">
        <v>0</v>
      </c>
      <c r="AG120" s="7">
        <v>48.52278994035747</v>
      </c>
      <c r="AH120" s="7">
        <v>5.0431970000000002</v>
      </c>
      <c r="AI120" s="7">
        <v>0</v>
      </c>
      <c r="AJ120" s="7">
        <v>2.4822649999999999</v>
      </c>
      <c r="AK120" s="7">
        <v>54.71089194035747</v>
      </c>
      <c r="AL120" s="7">
        <v>0</v>
      </c>
      <c r="AM120" s="7">
        <v>0</v>
      </c>
      <c r="AN120" s="7">
        <v>0</v>
      </c>
      <c r="AO120" s="7">
        <v>0</v>
      </c>
      <c r="AP120" s="7">
        <v>0</v>
      </c>
      <c r="AQ120" s="7">
        <v>54.71089194035747</v>
      </c>
      <c r="AR120" s="7">
        <v>59.911586167693841</v>
      </c>
      <c r="AS120" s="7">
        <v>17.841779683196311</v>
      </c>
      <c r="AT120" s="7">
        <v>12.72615622733637</v>
      </c>
    </row>
    <row r="121" spans="1:46" x14ac:dyDescent="0.35">
      <c r="A121" s="5">
        <v>46022</v>
      </c>
      <c r="B121" s="4" t="s">
        <v>296</v>
      </c>
      <c r="C121" s="4" t="s">
        <v>297</v>
      </c>
      <c r="D121" s="4" t="s">
        <v>50</v>
      </c>
      <c r="E121" s="6">
        <v>0</v>
      </c>
      <c r="F121" s="6">
        <v>0</v>
      </c>
      <c r="G121" s="6">
        <v>0</v>
      </c>
      <c r="H121" s="6">
        <v>0</v>
      </c>
      <c r="I121" s="6">
        <v>0</v>
      </c>
      <c r="J121" s="6">
        <v>103</v>
      </c>
      <c r="K121" s="6">
        <v>103</v>
      </c>
      <c r="L121" s="6">
        <v>103</v>
      </c>
      <c r="M121" s="7">
        <v>96.749324999999999</v>
      </c>
      <c r="N121" s="7">
        <v>17.298514000000001</v>
      </c>
      <c r="O121" s="7">
        <v>50.101317000000002</v>
      </c>
      <c r="P121" s="7">
        <v>88.097673999999998</v>
      </c>
      <c r="Q121" s="7">
        <v>252.24682999999999</v>
      </c>
      <c r="R121" s="7">
        <v>40.160404999999997</v>
      </c>
      <c r="S121" s="7">
        <v>1.815321</v>
      </c>
      <c r="T121" s="7">
        <v>13.412283</v>
      </c>
      <c r="U121" s="7">
        <v>15.82314</v>
      </c>
      <c r="V121" s="7">
        <v>71.211149000000006</v>
      </c>
      <c r="W121" s="7">
        <v>323.45797900000002</v>
      </c>
      <c r="X121" s="7">
        <v>2.0849899418504849</v>
      </c>
      <c r="Y121" s="7">
        <v>29.584603642100969</v>
      </c>
      <c r="Z121" s="7">
        <v>355.12757258395152</v>
      </c>
      <c r="AA121" s="7">
        <v>2.6651761100950582</v>
      </c>
      <c r="AB121" s="7">
        <v>357.79274869404651</v>
      </c>
      <c r="AC121" s="7">
        <v>0</v>
      </c>
      <c r="AD121" s="7">
        <v>17.723417999999999</v>
      </c>
      <c r="AE121" s="7">
        <v>0</v>
      </c>
      <c r="AF121" s="7">
        <v>0</v>
      </c>
      <c r="AG121" s="7">
        <v>375.51616669404649</v>
      </c>
      <c r="AH121" s="7">
        <v>22.812829000000001</v>
      </c>
      <c r="AI121" s="7">
        <v>0</v>
      </c>
      <c r="AJ121" s="7">
        <v>17.723417999999999</v>
      </c>
      <c r="AK121" s="7">
        <v>398.32899569404651</v>
      </c>
      <c r="AL121" s="7">
        <v>0</v>
      </c>
      <c r="AM121" s="7">
        <v>0</v>
      </c>
      <c r="AN121" s="7">
        <v>0</v>
      </c>
      <c r="AO121" s="7">
        <v>0</v>
      </c>
      <c r="AP121" s="7">
        <v>0</v>
      </c>
      <c r="AQ121" s="7">
        <v>398.32899569404651</v>
      </c>
      <c r="AR121" s="7">
        <v>497.65041359848948</v>
      </c>
      <c r="AS121" s="7">
        <v>142.5228410145381</v>
      </c>
      <c r="AT121" s="7">
        <v>139.857664904443</v>
      </c>
    </row>
    <row r="122" spans="1:46" x14ac:dyDescent="0.35">
      <c r="A122" s="5">
        <v>46022</v>
      </c>
      <c r="B122" s="4" t="s">
        <v>298</v>
      </c>
      <c r="C122" s="4" t="s">
        <v>299</v>
      </c>
      <c r="D122" s="4" t="s">
        <v>58</v>
      </c>
      <c r="E122" s="6">
        <v>90000</v>
      </c>
      <c r="F122" s="6">
        <v>0</v>
      </c>
      <c r="G122" s="6">
        <v>90000</v>
      </c>
      <c r="H122" s="6">
        <v>2.1373540000000002</v>
      </c>
      <c r="I122" s="6">
        <v>42108.133332999998</v>
      </c>
      <c r="J122" s="6">
        <v>0</v>
      </c>
      <c r="K122" s="6">
        <v>42108.133332999998</v>
      </c>
      <c r="L122" s="6">
        <v>58945.333333000002</v>
      </c>
      <c r="M122" s="7">
        <v>4.8712859999999996</v>
      </c>
      <c r="N122" s="7">
        <v>1.972377</v>
      </c>
      <c r="O122" s="7">
        <v>7.0801000000000017E-2</v>
      </c>
      <c r="P122" s="7">
        <v>1.536869</v>
      </c>
      <c r="Q122" s="7">
        <v>8.451333</v>
      </c>
      <c r="R122" s="7">
        <v>2.9502060000000001</v>
      </c>
      <c r="S122" s="7">
        <v>5.1702459999999997</v>
      </c>
      <c r="T122" s="7">
        <v>6.5142689999999996</v>
      </c>
      <c r="U122" s="7">
        <v>2.0554860000000001</v>
      </c>
      <c r="V122" s="7">
        <v>16.690207000000001</v>
      </c>
      <c r="W122" s="7">
        <v>25.141539999999999</v>
      </c>
      <c r="X122" s="7">
        <v>1.6300256223944289</v>
      </c>
      <c r="Y122" s="7">
        <v>4.4811887672907851</v>
      </c>
      <c r="Z122" s="7">
        <v>31.252754389685212</v>
      </c>
      <c r="AA122" s="7">
        <v>5.8467439426246868</v>
      </c>
      <c r="AB122" s="7">
        <v>37.099498332309899</v>
      </c>
      <c r="AC122" s="7">
        <v>0</v>
      </c>
      <c r="AD122" s="7">
        <v>11.165385000000001</v>
      </c>
      <c r="AE122" s="7">
        <v>0</v>
      </c>
      <c r="AF122" s="7">
        <v>0</v>
      </c>
      <c r="AG122" s="7">
        <v>48.2648833323099</v>
      </c>
      <c r="AH122" s="7">
        <v>1.18</v>
      </c>
      <c r="AI122" s="7">
        <v>0</v>
      </c>
      <c r="AJ122" s="7">
        <v>22.620097999999999</v>
      </c>
      <c r="AK122" s="7">
        <v>60.899596332309898</v>
      </c>
      <c r="AL122" s="7">
        <v>0</v>
      </c>
      <c r="AM122" s="7">
        <v>0</v>
      </c>
      <c r="AN122" s="7">
        <v>0</v>
      </c>
      <c r="AO122" s="7">
        <v>0</v>
      </c>
      <c r="AP122" s="7">
        <v>0</v>
      </c>
      <c r="AQ122" s="7">
        <v>60.899596332309898</v>
      </c>
      <c r="AR122" s="7">
        <v>79.096439635741817</v>
      </c>
      <c r="AS122" s="7">
        <v>47.843685246056602</v>
      </c>
      <c r="AT122" s="7">
        <v>41.99694130343191</v>
      </c>
    </row>
    <row r="123" spans="1:46" x14ac:dyDescent="0.35">
      <c r="A123" s="5">
        <v>46022</v>
      </c>
      <c r="B123" s="4" t="s">
        <v>300</v>
      </c>
      <c r="C123" s="4" t="s">
        <v>301</v>
      </c>
      <c r="D123" s="4" t="s">
        <v>79</v>
      </c>
      <c r="E123" s="6">
        <v>7393.5755390000004</v>
      </c>
      <c r="F123" s="6">
        <v>0</v>
      </c>
      <c r="G123" s="6">
        <v>7393.5755390000004</v>
      </c>
      <c r="H123" s="6">
        <v>0.47092800000000001</v>
      </c>
      <c r="I123" s="6">
        <v>15700</v>
      </c>
      <c r="J123" s="6">
        <v>0</v>
      </c>
      <c r="K123" s="6">
        <v>15700</v>
      </c>
      <c r="L123" s="6">
        <v>15700</v>
      </c>
      <c r="M123" s="7">
        <v>0.59416199999999997</v>
      </c>
      <c r="N123" s="7">
        <v>1.0894440000000001</v>
      </c>
      <c r="O123" s="7">
        <v>6.5949999999999995E-2</v>
      </c>
      <c r="P123" s="7">
        <v>2.4485239999999999</v>
      </c>
      <c r="Q123" s="7">
        <v>4.19808</v>
      </c>
      <c r="R123" s="7">
        <v>1.807205</v>
      </c>
      <c r="S123" s="7">
        <v>1.340711</v>
      </c>
      <c r="T123" s="7">
        <v>3.383661</v>
      </c>
      <c r="U123" s="7">
        <v>3.5413199999999998</v>
      </c>
      <c r="V123" s="7">
        <v>10.072896999999999</v>
      </c>
      <c r="W123" s="7">
        <v>14.270977</v>
      </c>
      <c r="X123" s="7">
        <v>0.2202682802547771</v>
      </c>
      <c r="Y123" s="7">
        <v>1.8701558558833851</v>
      </c>
      <c r="Z123" s="7">
        <v>16.361401136138159</v>
      </c>
      <c r="AA123" s="7">
        <v>2.3711698301190398</v>
      </c>
      <c r="AB123" s="7">
        <v>18.7325709662572</v>
      </c>
      <c r="AC123" s="7">
        <v>0</v>
      </c>
      <c r="AD123" s="7">
        <v>1.608938</v>
      </c>
      <c r="AE123" s="7">
        <v>0</v>
      </c>
      <c r="AF123" s="7">
        <v>0</v>
      </c>
      <c r="AG123" s="7">
        <v>20.341508966257202</v>
      </c>
      <c r="AH123" s="7">
        <v>0.58594000000000002</v>
      </c>
      <c r="AI123" s="7">
        <v>0</v>
      </c>
      <c r="AJ123" s="7">
        <v>1.608938</v>
      </c>
      <c r="AK123" s="7">
        <v>20.927448966257199</v>
      </c>
      <c r="AL123" s="7">
        <v>0</v>
      </c>
      <c r="AM123" s="7">
        <v>0</v>
      </c>
      <c r="AN123" s="7">
        <v>0</v>
      </c>
      <c r="AO123" s="7">
        <v>0</v>
      </c>
      <c r="AP123" s="7">
        <v>0</v>
      </c>
      <c r="AQ123" s="7">
        <v>20.927448966257199</v>
      </c>
      <c r="AR123" s="7">
        <v>38.282232988017192</v>
      </c>
      <c r="AS123" s="7">
        <v>21.920831851879029</v>
      </c>
      <c r="AT123" s="7">
        <v>19.549662021759989</v>
      </c>
    </row>
    <row r="124" spans="1:46" x14ac:dyDescent="0.35">
      <c r="A124" s="5">
        <v>46022</v>
      </c>
      <c r="B124" s="4" t="s">
        <v>302</v>
      </c>
      <c r="C124" s="4" t="s">
        <v>303</v>
      </c>
      <c r="D124" s="4" t="s">
        <v>222</v>
      </c>
      <c r="E124" s="6">
        <v>91637</v>
      </c>
      <c r="F124" s="6">
        <v>0</v>
      </c>
      <c r="G124" s="6">
        <v>91637</v>
      </c>
      <c r="H124" s="6">
        <v>4.0977059999999996</v>
      </c>
      <c r="I124" s="6">
        <v>22363</v>
      </c>
      <c r="J124" s="6">
        <v>0</v>
      </c>
      <c r="K124" s="6">
        <v>22363</v>
      </c>
      <c r="L124" s="6">
        <v>16425</v>
      </c>
      <c r="M124" s="7">
        <v>3.3906550000000002</v>
      </c>
      <c r="N124" s="7">
        <v>1.27678</v>
      </c>
      <c r="O124" s="7">
        <v>3.683800000000001E-2</v>
      </c>
      <c r="P124" s="7">
        <v>2.519781</v>
      </c>
      <c r="Q124" s="7">
        <v>7.2240540000000006</v>
      </c>
      <c r="R124" s="7">
        <v>1.4588080000000001</v>
      </c>
      <c r="S124" s="7">
        <v>0.64776699999999998</v>
      </c>
      <c r="T124" s="7">
        <v>0.99939400000000012</v>
      </c>
      <c r="U124" s="7">
        <v>2.106195</v>
      </c>
      <c r="V124" s="7">
        <v>5.2121640000000014</v>
      </c>
      <c r="W124" s="7">
        <v>12.436218</v>
      </c>
      <c r="X124" s="7">
        <v>0.21866682551086761</v>
      </c>
      <c r="Y124" s="7">
        <v>0.78919493686646158</v>
      </c>
      <c r="Z124" s="7">
        <v>13.44407976237733</v>
      </c>
      <c r="AA124" s="7">
        <v>0.22517312531645961</v>
      </c>
      <c r="AB124" s="7">
        <v>13.669252887693791</v>
      </c>
      <c r="AC124" s="7">
        <v>0</v>
      </c>
      <c r="AD124" s="7">
        <v>9.4662659999999992</v>
      </c>
      <c r="AE124" s="7">
        <v>0</v>
      </c>
      <c r="AF124" s="7">
        <v>0</v>
      </c>
      <c r="AG124" s="7">
        <v>23.135518887693792</v>
      </c>
      <c r="AH124" s="7">
        <v>0.45140999999999998</v>
      </c>
      <c r="AI124" s="7">
        <v>6.0883E-2</v>
      </c>
      <c r="AJ124" s="7">
        <v>8.2191779999999994</v>
      </c>
      <c r="AK124" s="7">
        <v>22.40072388769379</v>
      </c>
      <c r="AL124" s="7">
        <v>4.5662099999999999</v>
      </c>
      <c r="AM124" s="7">
        <v>0</v>
      </c>
      <c r="AN124" s="7">
        <v>0</v>
      </c>
      <c r="AO124" s="7">
        <v>0</v>
      </c>
      <c r="AP124" s="7">
        <v>0</v>
      </c>
      <c r="AQ124" s="7">
        <v>26.966933887693791</v>
      </c>
      <c r="AR124" s="7">
        <v>17.847584144795391</v>
      </c>
      <c r="AS124" s="7">
        <v>4.4035043824180633</v>
      </c>
      <c r="AT124" s="7">
        <v>4.1783312571016031</v>
      </c>
    </row>
    <row r="125" spans="1:46" x14ac:dyDescent="0.35">
      <c r="A125" s="5">
        <v>46022</v>
      </c>
      <c r="B125" s="4" t="s">
        <v>304</v>
      </c>
      <c r="C125" s="4" t="s">
        <v>305</v>
      </c>
      <c r="D125" s="4" t="s">
        <v>61</v>
      </c>
      <c r="E125" s="6">
        <v>84.5</v>
      </c>
      <c r="F125" s="6">
        <v>0</v>
      </c>
      <c r="G125" s="6">
        <v>84.5</v>
      </c>
      <c r="H125" s="6">
        <v>1</v>
      </c>
      <c r="I125" s="6">
        <v>84.5</v>
      </c>
      <c r="J125" s="6">
        <v>0</v>
      </c>
      <c r="K125" s="6">
        <v>84.5</v>
      </c>
      <c r="L125" s="6">
        <v>84.5</v>
      </c>
      <c r="M125" s="7">
        <v>2.8250329999999999</v>
      </c>
      <c r="N125" s="7">
        <v>2.7327689999999998</v>
      </c>
      <c r="O125" s="7">
        <v>0.178289</v>
      </c>
      <c r="P125" s="7">
        <v>4.9164329999999996</v>
      </c>
      <c r="Q125" s="7">
        <v>10.652524</v>
      </c>
      <c r="R125" s="7">
        <v>2.0392549999999998</v>
      </c>
      <c r="S125" s="7">
        <v>3.057172</v>
      </c>
      <c r="T125" s="7">
        <v>3.973503</v>
      </c>
      <c r="U125" s="7">
        <v>3.578802</v>
      </c>
      <c r="V125" s="7">
        <v>12.648732000000001</v>
      </c>
      <c r="W125" s="7">
        <v>23.301255999999999</v>
      </c>
      <c r="X125" s="7">
        <v>0.67754621792781067</v>
      </c>
      <c r="Y125" s="7">
        <v>1.969892360114972</v>
      </c>
      <c r="Z125" s="7">
        <v>25.94869457804278</v>
      </c>
      <c r="AA125" s="7">
        <v>5.4305614219395961</v>
      </c>
      <c r="AB125" s="7">
        <v>31.37925599998238</v>
      </c>
      <c r="AC125" s="7">
        <v>0</v>
      </c>
      <c r="AD125" s="7">
        <v>2.7674370000000001</v>
      </c>
      <c r="AE125" s="7">
        <v>0</v>
      </c>
      <c r="AF125" s="7">
        <v>0</v>
      </c>
      <c r="AG125" s="7">
        <v>34.146692999982378</v>
      </c>
      <c r="AH125" s="7">
        <v>3.104587</v>
      </c>
      <c r="AI125" s="7">
        <v>0</v>
      </c>
      <c r="AJ125" s="7">
        <v>0.89906600000000003</v>
      </c>
      <c r="AK125" s="7">
        <v>35.382908999982376</v>
      </c>
      <c r="AL125" s="7">
        <v>0</v>
      </c>
      <c r="AM125" s="7">
        <v>0</v>
      </c>
      <c r="AN125" s="7">
        <v>0</v>
      </c>
      <c r="AO125" s="7">
        <v>0</v>
      </c>
      <c r="AP125" s="7">
        <v>0</v>
      </c>
      <c r="AQ125" s="7">
        <v>35.382908999982376</v>
      </c>
      <c r="AR125" s="7">
        <v>56.394926659686391</v>
      </c>
      <c r="AS125" s="7">
        <v>30.446232081643611</v>
      </c>
      <c r="AT125" s="7">
        <v>25.015670659704011</v>
      </c>
    </row>
    <row r="126" spans="1:46" x14ac:dyDescent="0.35">
      <c r="A126" s="5">
        <v>46022</v>
      </c>
      <c r="B126" s="4" t="s">
        <v>306</v>
      </c>
      <c r="C126" s="4" t="s">
        <v>307</v>
      </c>
      <c r="D126" s="4" t="s">
        <v>213</v>
      </c>
      <c r="E126" s="6">
        <v>12150</v>
      </c>
      <c r="F126" s="6">
        <v>0</v>
      </c>
      <c r="G126" s="6">
        <v>12150</v>
      </c>
      <c r="H126" s="6">
        <v>2.7</v>
      </c>
      <c r="I126" s="6">
        <v>4500</v>
      </c>
      <c r="J126" s="6">
        <v>0</v>
      </c>
      <c r="K126" s="6">
        <v>4500</v>
      </c>
      <c r="L126" s="6">
        <v>4500</v>
      </c>
      <c r="M126" s="7">
        <v>9.4752810000000007</v>
      </c>
      <c r="N126" s="7">
        <v>5.3222209999999999</v>
      </c>
      <c r="O126" s="7">
        <v>0.71121100000000015</v>
      </c>
      <c r="P126" s="7">
        <v>8.4555620000000005</v>
      </c>
      <c r="Q126" s="7">
        <v>23.964275000000001</v>
      </c>
      <c r="R126" s="7">
        <v>4.9508390000000011</v>
      </c>
      <c r="S126" s="7">
        <v>20.706931000000001</v>
      </c>
      <c r="T126" s="7">
        <v>4.6161989999999999</v>
      </c>
      <c r="U126" s="7">
        <v>2.1116769999999998</v>
      </c>
      <c r="V126" s="7">
        <v>32.385646000000001</v>
      </c>
      <c r="W126" s="7">
        <v>56.349921000000002</v>
      </c>
      <c r="X126" s="7">
        <v>6.001609066666667</v>
      </c>
      <c r="Y126" s="7">
        <v>0</v>
      </c>
      <c r="Z126" s="7">
        <v>62.351530066666669</v>
      </c>
      <c r="AA126" s="7">
        <v>4.1152955573333339</v>
      </c>
      <c r="AB126" s="7">
        <v>66.466825624000009</v>
      </c>
      <c r="AC126" s="7">
        <v>0.422624</v>
      </c>
      <c r="AD126" s="7">
        <v>17.482334999999999</v>
      </c>
      <c r="AE126" s="7">
        <v>0</v>
      </c>
      <c r="AF126" s="7">
        <v>0</v>
      </c>
      <c r="AG126" s="7">
        <v>84.371784624000014</v>
      </c>
      <c r="AH126" s="7">
        <v>3.919413</v>
      </c>
      <c r="AI126" s="7">
        <v>0</v>
      </c>
      <c r="AJ126" s="7">
        <v>5.6349919999999996</v>
      </c>
      <c r="AK126" s="7">
        <v>76.443854624000011</v>
      </c>
      <c r="AL126" s="7">
        <v>0</v>
      </c>
      <c r="AM126" s="7">
        <v>0</v>
      </c>
      <c r="AN126" s="7">
        <v>0</v>
      </c>
      <c r="AO126" s="7">
        <v>0</v>
      </c>
      <c r="AP126" s="7">
        <v>0</v>
      </c>
      <c r="AQ126" s="7">
        <v>76.443854624000011</v>
      </c>
      <c r="AR126" s="7">
        <v>164.61182229333329</v>
      </c>
      <c r="AS126" s="7">
        <v>102.26029222666671</v>
      </c>
      <c r="AT126" s="7">
        <v>98.144996669333338</v>
      </c>
    </row>
    <row r="127" spans="1:46" x14ac:dyDescent="0.35">
      <c r="A127" s="5">
        <v>46022</v>
      </c>
      <c r="B127" s="4" t="s">
        <v>308</v>
      </c>
      <c r="C127" s="4" t="s">
        <v>309</v>
      </c>
      <c r="D127" s="4" t="s">
        <v>61</v>
      </c>
      <c r="E127" s="6">
        <v>0</v>
      </c>
      <c r="F127" s="6">
        <v>0</v>
      </c>
      <c r="G127" s="6">
        <v>0</v>
      </c>
      <c r="H127" s="6">
        <v>0</v>
      </c>
      <c r="I127" s="6">
        <v>0</v>
      </c>
      <c r="J127" s="6">
        <v>4200</v>
      </c>
      <c r="K127" s="6">
        <v>4200</v>
      </c>
      <c r="L127" s="6">
        <v>4200</v>
      </c>
      <c r="M127" s="7">
        <v>6.9769860000000001</v>
      </c>
      <c r="N127" s="7">
        <v>0.57361399999999996</v>
      </c>
      <c r="O127" s="7">
        <v>3.9979460000000002</v>
      </c>
      <c r="P127" s="7">
        <v>5.1821099999999998</v>
      </c>
      <c r="Q127" s="7">
        <v>16.730656</v>
      </c>
      <c r="R127" s="7">
        <v>1.786705</v>
      </c>
      <c r="S127" s="7">
        <v>1.389489</v>
      </c>
      <c r="T127" s="7">
        <v>2.6544379999999999</v>
      </c>
      <c r="U127" s="7">
        <v>4.1618120000000003</v>
      </c>
      <c r="V127" s="7">
        <v>9.9924440000000008</v>
      </c>
      <c r="W127" s="7">
        <v>26.723099999999999</v>
      </c>
      <c r="X127" s="7">
        <v>0.4772762531428571</v>
      </c>
      <c r="Y127" s="7">
        <v>4.2096784135268948</v>
      </c>
      <c r="Z127" s="7">
        <v>31.410054666669751</v>
      </c>
      <c r="AA127" s="7">
        <v>10.079145733907859</v>
      </c>
      <c r="AB127" s="7">
        <v>41.489200400577623</v>
      </c>
      <c r="AC127" s="7">
        <v>0</v>
      </c>
      <c r="AD127" s="7">
        <v>2.458383</v>
      </c>
      <c r="AE127" s="7">
        <v>0</v>
      </c>
      <c r="AF127" s="7">
        <v>0</v>
      </c>
      <c r="AG127" s="7">
        <v>43.947583400577621</v>
      </c>
      <c r="AH127" s="7">
        <v>1.8964669999999999</v>
      </c>
      <c r="AI127" s="7">
        <v>0</v>
      </c>
      <c r="AJ127" s="7">
        <v>3.6187399999999998</v>
      </c>
      <c r="AK127" s="7">
        <v>47.00440740057762</v>
      </c>
      <c r="AL127" s="7">
        <v>0</v>
      </c>
      <c r="AM127" s="7">
        <v>0</v>
      </c>
      <c r="AN127" s="7">
        <v>0</v>
      </c>
      <c r="AO127" s="7">
        <v>0</v>
      </c>
      <c r="AP127" s="7">
        <v>0</v>
      </c>
      <c r="AQ127" s="7">
        <v>47.00440740057762</v>
      </c>
      <c r="AR127" s="7">
        <v>77.0127549103794</v>
      </c>
      <c r="AS127" s="7">
        <v>45.602700243709641</v>
      </c>
      <c r="AT127" s="7">
        <v>35.523554509801777</v>
      </c>
    </row>
    <row r="128" spans="1:46" x14ac:dyDescent="0.35">
      <c r="A128" s="5">
        <v>46022</v>
      </c>
      <c r="B128" s="4" t="s">
        <v>310</v>
      </c>
      <c r="C128" s="4" t="s">
        <v>311</v>
      </c>
      <c r="D128" s="4" t="s">
        <v>58</v>
      </c>
      <c r="E128" s="6">
        <v>54445.857343999996</v>
      </c>
      <c r="F128" s="6">
        <v>0</v>
      </c>
      <c r="G128" s="6">
        <v>54445.857343999996</v>
      </c>
      <c r="H128" s="6">
        <v>1.5034879999999999</v>
      </c>
      <c r="I128" s="6">
        <v>36213.033997999999</v>
      </c>
      <c r="J128" s="6">
        <v>0</v>
      </c>
      <c r="K128" s="6">
        <v>36213.033997999999</v>
      </c>
      <c r="L128" s="6">
        <v>36213.033997999999</v>
      </c>
      <c r="M128" s="7">
        <v>5.1562330000000012</v>
      </c>
      <c r="N128" s="7">
        <v>1.773963</v>
      </c>
      <c r="O128" s="7">
        <v>9.6200999999999995E-2</v>
      </c>
      <c r="P128" s="7">
        <v>1.5324009999999999</v>
      </c>
      <c r="Q128" s="7">
        <v>8.5587980000000012</v>
      </c>
      <c r="R128" s="7">
        <v>2.0388929999999998</v>
      </c>
      <c r="S128" s="7">
        <v>0.57349700000000015</v>
      </c>
      <c r="T128" s="7">
        <v>1.8421240000000001</v>
      </c>
      <c r="U128" s="7">
        <v>0.37690499999999999</v>
      </c>
      <c r="V128" s="7">
        <v>4.8314190000000004</v>
      </c>
      <c r="W128" s="7">
        <v>13.390217</v>
      </c>
      <c r="X128" s="7">
        <v>0.59913209996843297</v>
      </c>
      <c r="Y128" s="7">
        <v>0</v>
      </c>
      <c r="Z128" s="7">
        <v>13.989349099968431</v>
      </c>
      <c r="AA128" s="7">
        <v>0.1784208072821464</v>
      </c>
      <c r="AB128" s="7">
        <v>14.16776990725058</v>
      </c>
      <c r="AC128" s="7">
        <v>0</v>
      </c>
      <c r="AD128" s="7">
        <v>1.901092</v>
      </c>
      <c r="AE128" s="7">
        <v>0</v>
      </c>
      <c r="AF128" s="7">
        <v>0</v>
      </c>
      <c r="AG128" s="7">
        <v>16.068861907250579</v>
      </c>
      <c r="AH128" s="7">
        <v>0.60737099999999999</v>
      </c>
      <c r="AI128" s="7">
        <v>0</v>
      </c>
      <c r="AJ128" s="7">
        <v>1.3448009999999999</v>
      </c>
      <c r="AK128" s="7">
        <v>16.119941907250581</v>
      </c>
      <c r="AL128" s="7">
        <v>0</v>
      </c>
      <c r="AM128" s="7">
        <v>0</v>
      </c>
      <c r="AN128" s="7">
        <v>0</v>
      </c>
      <c r="AO128" s="7">
        <v>0</v>
      </c>
      <c r="AP128" s="7">
        <v>0</v>
      </c>
      <c r="AQ128" s="7">
        <v>16.119941907250581</v>
      </c>
      <c r="AR128" s="7">
        <v>23.897695917964331</v>
      </c>
      <c r="AS128" s="7">
        <v>9.9083468179958931</v>
      </c>
      <c r="AT128" s="7">
        <v>9.7299260107137489</v>
      </c>
    </row>
    <row r="129" spans="1:46" x14ac:dyDescent="0.35">
      <c r="A129" s="5">
        <v>46022</v>
      </c>
      <c r="B129" s="4" t="s">
        <v>312</v>
      </c>
      <c r="C129" s="4" t="s">
        <v>313</v>
      </c>
      <c r="D129" s="4" t="s">
        <v>61</v>
      </c>
      <c r="E129" s="6">
        <v>0</v>
      </c>
      <c r="F129" s="6">
        <v>0</v>
      </c>
      <c r="G129" s="6">
        <v>0</v>
      </c>
      <c r="H129" s="6">
        <v>0</v>
      </c>
      <c r="I129" s="6">
        <v>0</v>
      </c>
      <c r="J129" s="6">
        <v>60</v>
      </c>
      <c r="K129" s="6">
        <v>60</v>
      </c>
      <c r="L129" s="6">
        <v>60</v>
      </c>
      <c r="M129" s="7">
        <v>7.5649050000000013</v>
      </c>
      <c r="N129" s="7">
        <v>0.277528</v>
      </c>
      <c r="O129" s="7">
        <v>2.3867060000000002</v>
      </c>
      <c r="P129" s="7">
        <v>7.0422260000000003</v>
      </c>
      <c r="Q129" s="7">
        <v>17.271364999999999</v>
      </c>
      <c r="R129" s="7">
        <v>2.418927</v>
      </c>
      <c r="S129" s="7">
        <v>1.9254880000000001</v>
      </c>
      <c r="T129" s="7">
        <v>2.9238360000000001</v>
      </c>
      <c r="U129" s="7">
        <v>4.9164589999999997</v>
      </c>
      <c r="V129" s="7">
        <v>12.184710000000001</v>
      </c>
      <c r="W129" s="7">
        <v>29.456074999999998</v>
      </c>
      <c r="X129" s="7">
        <v>0.24936408087</v>
      </c>
      <c r="Y129" s="7">
        <v>2.4158593586509922</v>
      </c>
      <c r="Z129" s="7">
        <v>32.121298439520992</v>
      </c>
      <c r="AA129" s="7">
        <v>4.0114836451259652</v>
      </c>
      <c r="AB129" s="7">
        <v>36.132782084646962</v>
      </c>
      <c r="AC129" s="7">
        <v>0</v>
      </c>
      <c r="AD129" s="7">
        <v>2.9472499999999999</v>
      </c>
      <c r="AE129" s="7">
        <v>0</v>
      </c>
      <c r="AF129" s="7">
        <v>0</v>
      </c>
      <c r="AG129" s="7">
        <v>39.080032084646959</v>
      </c>
      <c r="AH129" s="7">
        <v>1.8276319999999999</v>
      </c>
      <c r="AI129" s="7">
        <v>0</v>
      </c>
      <c r="AJ129" s="7">
        <v>2.1675909999999998</v>
      </c>
      <c r="AK129" s="7">
        <v>40.128005084646958</v>
      </c>
      <c r="AL129" s="7">
        <v>0</v>
      </c>
      <c r="AM129" s="7">
        <v>0</v>
      </c>
      <c r="AN129" s="7">
        <v>0</v>
      </c>
      <c r="AO129" s="7">
        <v>0</v>
      </c>
      <c r="AP129" s="7">
        <v>0</v>
      </c>
      <c r="AQ129" s="7">
        <v>40.128005084646958</v>
      </c>
      <c r="AR129" s="7">
        <v>40.597178973901279</v>
      </c>
      <c r="AS129" s="7">
        <v>8.4758805343802912</v>
      </c>
      <c r="AT129" s="7">
        <v>4.464396889254326</v>
      </c>
    </row>
    <row r="130" spans="1:46" x14ac:dyDescent="0.35">
      <c r="A130" s="5">
        <v>46022</v>
      </c>
      <c r="B130" s="4" t="s">
        <v>314</v>
      </c>
      <c r="C130" s="4" t="s">
        <v>315</v>
      </c>
      <c r="D130" s="4" t="s">
        <v>58</v>
      </c>
      <c r="E130" s="6">
        <v>91200</v>
      </c>
      <c r="F130" s="6">
        <v>0</v>
      </c>
      <c r="G130" s="6">
        <v>91200</v>
      </c>
      <c r="H130" s="6">
        <v>2.4122729999999999</v>
      </c>
      <c r="I130" s="6">
        <v>37806.666666999998</v>
      </c>
      <c r="J130" s="6">
        <v>0</v>
      </c>
      <c r="K130" s="6">
        <v>37806.666666999998</v>
      </c>
      <c r="L130" s="6">
        <v>30672.799999999999</v>
      </c>
      <c r="M130" s="7">
        <v>4.4984190000000002</v>
      </c>
      <c r="N130" s="7">
        <v>1.8580589999999999</v>
      </c>
      <c r="O130" s="7">
        <v>0.32522200000000001</v>
      </c>
      <c r="P130" s="7">
        <v>2.3472420000000001</v>
      </c>
      <c r="Q130" s="7">
        <v>9.0289420000000007</v>
      </c>
      <c r="R130" s="7">
        <v>2.6164100000000001</v>
      </c>
      <c r="S130" s="7">
        <v>4.6439870000000001</v>
      </c>
      <c r="T130" s="7">
        <v>8.5543449999999996</v>
      </c>
      <c r="U130" s="7">
        <v>2.38808</v>
      </c>
      <c r="V130" s="7">
        <v>18.202822000000001</v>
      </c>
      <c r="W130" s="7">
        <v>27.231763999999998</v>
      </c>
      <c r="X130" s="7">
        <v>1.6247035642162271</v>
      </c>
      <c r="Y130" s="7">
        <v>2.0761796291799501</v>
      </c>
      <c r="Z130" s="7">
        <v>30.932647193396178</v>
      </c>
      <c r="AA130" s="7">
        <v>0.48775246070926059</v>
      </c>
      <c r="AB130" s="7">
        <v>31.420399654105442</v>
      </c>
      <c r="AC130" s="7">
        <v>0</v>
      </c>
      <c r="AD130" s="7">
        <v>8.6719860000000004</v>
      </c>
      <c r="AE130" s="7">
        <v>0</v>
      </c>
      <c r="AF130" s="7">
        <v>0</v>
      </c>
      <c r="AG130" s="7">
        <v>40.092385654105442</v>
      </c>
      <c r="AH130" s="7">
        <v>0.96447499999999997</v>
      </c>
      <c r="AI130" s="7">
        <v>0</v>
      </c>
      <c r="AJ130" s="7">
        <v>6.9420999999999999</v>
      </c>
      <c r="AK130" s="7">
        <v>39.326974654105442</v>
      </c>
      <c r="AL130" s="7">
        <v>0</v>
      </c>
      <c r="AM130" s="7">
        <v>0</v>
      </c>
      <c r="AN130" s="7">
        <v>0</v>
      </c>
      <c r="AO130" s="7">
        <v>0</v>
      </c>
      <c r="AP130" s="7">
        <v>0</v>
      </c>
      <c r="AQ130" s="7">
        <v>39.326974654105442</v>
      </c>
      <c r="AR130" s="7">
        <v>42.107773830917012</v>
      </c>
      <c r="AS130" s="7">
        <v>11.17512663752083</v>
      </c>
      <c r="AT130" s="7">
        <v>10.68737417681157</v>
      </c>
    </row>
    <row r="131" spans="1:46" x14ac:dyDescent="0.35">
      <c r="A131" s="5">
        <v>46022</v>
      </c>
      <c r="B131" s="4" t="s">
        <v>316</v>
      </c>
      <c r="C131" s="4" t="s">
        <v>317</v>
      </c>
      <c r="D131" s="4" t="s">
        <v>58</v>
      </c>
      <c r="E131" s="6">
        <v>67450</v>
      </c>
      <c r="F131" s="6">
        <v>0</v>
      </c>
      <c r="G131" s="6">
        <v>67450</v>
      </c>
      <c r="H131" s="6">
        <v>1.9</v>
      </c>
      <c r="I131" s="6">
        <v>35500</v>
      </c>
      <c r="J131" s="6">
        <v>0</v>
      </c>
      <c r="K131" s="6">
        <v>35500</v>
      </c>
      <c r="L131" s="6">
        <v>28266.666667000001</v>
      </c>
      <c r="M131" s="7">
        <v>1.1076550000000001</v>
      </c>
      <c r="N131" s="7">
        <v>1.19825</v>
      </c>
      <c r="O131" s="7">
        <v>0.32596799999999998</v>
      </c>
      <c r="P131" s="7">
        <v>0.76909499999999997</v>
      </c>
      <c r="Q131" s="7">
        <v>3.4009680000000002</v>
      </c>
      <c r="R131" s="7">
        <v>0.19742699999999999</v>
      </c>
      <c r="S131" s="7">
        <v>4.0097000000000001E-2</v>
      </c>
      <c r="T131" s="7">
        <v>0.18385899999999999</v>
      </c>
      <c r="U131" s="7">
        <v>4.7939000000000009E-2</v>
      </c>
      <c r="V131" s="7">
        <v>0.46932200000000002</v>
      </c>
      <c r="W131" s="7">
        <v>3.8702899999999998</v>
      </c>
      <c r="X131" s="7">
        <v>7.9362848249064116E-2</v>
      </c>
      <c r="Y131" s="7">
        <v>0</v>
      </c>
      <c r="Z131" s="7">
        <v>3.9496528482490638</v>
      </c>
      <c r="AA131" s="7">
        <v>7.7819054717277562E-3</v>
      </c>
      <c r="AB131" s="7">
        <v>3.9574347537207921</v>
      </c>
      <c r="AC131" s="7">
        <v>0</v>
      </c>
      <c r="AD131" s="7">
        <v>0.72830700000000015</v>
      </c>
      <c r="AE131" s="7">
        <v>0</v>
      </c>
      <c r="AF131" s="7">
        <v>0</v>
      </c>
      <c r="AG131" s="7">
        <v>4.6857417537207917</v>
      </c>
      <c r="AH131" s="7">
        <v>5.3066000000000009E-2</v>
      </c>
      <c r="AI131" s="7">
        <v>0</v>
      </c>
      <c r="AJ131" s="7">
        <v>0.70754700000000015</v>
      </c>
      <c r="AK131" s="7">
        <v>4.7180477537207919</v>
      </c>
      <c r="AL131" s="7">
        <v>0</v>
      </c>
      <c r="AM131" s="7">
        <v>0</v>
      </c>
      <c r="AN131" s="7">
        <v>0</v>
      </c>
      <c r="AO131" s="7">
        <v>0</v>
      </c>
      <c r="AP131" s="7">
        <v>0</v>
      </c>
      <c r="AQ131" s="7">
        <v>4.7180477537207919</v>
      </c>
      <c r="AR131" s="7">
        <v>6.9445612517344513</v>
      </c>
      <c r="AS131" s="7">
        <v>2.994908403485387</v>
      </c>
      <c r="AT131" s="7">
        <v>2.9871264980136591</v>
      </c>
    </row>
    <row r="132" spans="1:46" x14ac:dyDescent="0.35">
      <c r="A132" s="5">
        <v>46022</v>
      </c>
      <c r="B132" s="4" t="s">
        <v>318</v>
      </c>
      <c r="C132" s="4" t="s">
        <v>319</v>
      </c>
      <c r="D132" s="4" t="s">
        <v>122</v>
      </c>
      <c r="E132" s="6">
        <v>0</v>
      </c>
      <c r="F132" s="6">
        <v>0</v>
      </c>
      <c r="G132" s="6">
        <v>0</v>
      </c>
      <c r="H132" s="6">
        <v>0</v>
      </c>
      <c r="I132" s="6">
        <v>0</v>
      </c>
      <c r="J132" s="6">
        <v>634.50912500000004</v>
      </c>
      <c r="K132" s="6">
        <v>634.50912500000004</v>
      </c>
      <c r="L132" s="6">
        <v>634.50912500000004</v>
      </c>
      <c r="M132" s="7">
        <v>22.311489000000002</v>
      </c>
      <c r="N132" s="7">
        <v>5.6596479999999998</v>
      </c>
      <c r="O132" s="7">
        <v>2.2584960000000001</v>
      </c>
      <c r="P132" s="7">
        <v>12.973084</v>
      </c>
      <c r="Q132" s="7">
        <v>43.202717</v>
      </c>
      <c r="R132" s="7">
        <v>13.546656</v>
      </c>
      <c r="S132" s="7">
        <v>3.6791909999999999</v>
      </c>
      <c r="T132" s="7">
        <v>3.7537280000000002</v>
      </c>
      <c r="U132" s="7">
        <v>8.7503729999999997</v>
      </c>
      <c r="V132" s="7">
        <v>29.729948</v>
      </c>
      <c r="W132" s="7">
        <v>72.932665</v>
      </c>
      <c r="X132" s="7">
        <v>2.4866377041531118</v>
      </c>
      <c r="Y132" s="7">
        <v>5.0470803680995981</v>
      </c>
      <c r="Z132" s="7">
        <v>80.466383072252711</v>
      </c>
      <c r="AA132" s="7">
        <v>12.37863941156718</v>
      </c>
      <c r="AB132" s="7">
        <v>92.845022483819889</v>
      </c>
      <c r="AC132" s="7">
        <v>0</v>
      </c>
      <c r="AD132" s="7">
        <v>45.209392000000001</v>
      </c>
      <c r="AE132" s="7">
        <v>0</v>
      </c>
      <c r="AF132" s="7">
        <v>0</v>
      </c>
      <c r="AG132" s="7">
        <v>138.0544144838199</v>
      </c>
      <c r="AH132" s="7">
        <v>5.0432689999999996</v>
      </c>
      <c r="AI132" s="7">
        <v>0</v>
      </c>
      <c r="AJ132" s="7">
        <v>7.2496989999999997</v>
      </c>
      <c r="AK132" s="7">
        <v>105.13799048381991</v>
      </c>
      <c r="AL132" s="7">
        <v>17.982405</v>
      </c>
      <c r="AM132" s="7">
        <v>0</v>
      </c>
      <c r="AN132" s="7">
        <v>0</v>
      </c>
      <c r="AO132" s="7">
        <v>0</v>
      </c>
      <c r="AP132" s="7">
        <v>0</v>
      </c>
      <c r="AQ132" s="7">
        <v>123.12039548381991</v>
      </c>
      <c r="AR132" s="7">
        <v>123.7868937439128</v>
      </c>
      <c r="AS132" s="7">
        <v>43.320510671660116</v>
      </c>
      <c r="AT132" s="7">
        <v>30.941871260092942</v>
      </c>
    </row>
    <row r="133" spans="1:46" x14ac:dyDescent="0.35">
      <c r="A133" s="5">
        <v>46022</v>
      </c>
      <c r="B133" s="4" t="s">
        <v>320</v>
      </c>
      <c r="C133" s="4" t="s">
        <v>321</v>
      </c>
      <c r="D133" s="4" t="s">
        <v>61</v>
      </c>
      <c r="E133" s="6">
        <v>0</v>
      </c>
      <c r="F133" s="6">
        <v>0</v>
      </c>
      <c r="G133" s="6">
        <v>0</v>
      </c>
      <c r="H133" s="6">
        <v>0</v>
      </c>
      <c r="I133" s="6">
        <v>0</v>
      </c>
      <c r="J133" s="6">
        <v>264.27999999999997</v>
      </c>
      <c r="K133" s="6">
        <v>264.27999999999997</v>
      </c>
      <c r="L133" s="6">
        <v>264.27999999999997</v>
      </c>
      <c r="M133" s="7">
        <v>8.48</v>
      </c>
      <c r="N133" s="7">
        <v>0</v>
      </c>
      <c r="O133" s="7">
        <v>0.82792500000000002</v>
      </c>
      <c r="P133" s="7">
        <v>2.37</v>
      </c>
      <c r="Q133" s="7">
        <v>11.677925</v>
      </c>
      <c r="R133" s="7">
        <v>2.0948630000000001</v>
      </c>
      <c r="S133" s="7">
        <v>0.40218599999999999</v>
      </c>
      <c r="T133" s="7">
        <v>2.1783290000000002</v>
      </c>
      <c r="U133" s="7">
        <v>3.1746219999999998</v>
      </c>
      <c r="V133" s="7">
        <v>7.85</v>
      </c>
      <c r="W133" s="7">
        <v>19.527925</v>
      </c>
      <c r="X133" s="7">
        <v>0.79080378655668226</v>
      </c>
      <c r="Y133" s="7">
        <v>0</v>
      </c>
      <c r="Z133" s="7">
        <v>20.318728786556679</v>
      </c>
      <c r="AA133" s="7">
        <v>0</v>
      </c>
      <c r="AB133" s="7">
        <v>20.318728786556679</v>
      </c>
      <c r="AC133" s="7">
        <v>0</v>
      </c>
      <c r="AD133" s="7">
        <v>1.826227</v>
      </c>
      <c r="AE133" s="7">
        <v>0</v>
      </c>
      <c r="AF133" s="7">
        <v>0</v>
      </c>
      <c r="AG133" s="7">
        <v>22.144955786556679</v>
      </c>
      <c r="AH133" s="7">
        <v>1.826227</v>
      </c>
      <c r="AI133" s="7">
        <v>0</v>
      </c>
      <c r="AJ133" s="7">
        <v>1.826227</v>
      </c>
      <c r="AK133" s="7">
        <v>23.971182786556682</v>
      </c>
      <c r="AL133" s="7">
        <v>0</v>
      </c>
      <c r="AM133" s="7">
        <v>0</v>
      </c>
      <c r="AN133" s="7">
        <v>0</v>
      </c>
      <c r="AO133" s="7">
        <v>0</v>
      </c>
      <c r="AP133" s="7">
        <v>0</v>
      </c>
      <c r="AQ133" s="7">
        <v>23.971182786556682</v>
      </c>
      <c r="AR133" s="7">
        <v>48.492509991413122</v>
      </c>
      <c r="AS133" s="7">
        <v>28.173781204856439</v>
      </c>
      <c r="AT133" s="7">
        <v>28.173781204856439</v>
      </c>
    </row>
    <row r="134" spans="1:46" x14ac:dyDescent="0.35">
      <c r="A134" s="5">
        <v>46022</v>
      </c>
      <c r="B134" s="4" t="s">
        <v>322</v>
      </c>
      <c r="C134" s="4" t="s">
        <v>323</v>
      </c>
      <c r="D134" s="4" t="s">
        <v>222</v>
      </c>
      <c r="E134" s="6">
        <v>0</v>
      </c>
      <c r="F134" s="6">
        <v>0</v>
      </c>
      <c r="G134" s="6">
        <v>0</v>
      </c>
      <c r="H134" s="6">
        <v>0</v>
      </c>
      <c r="I134" s="6">
        <v>0</v>
      </c>
      <c r="J134" s="6">
        <v>880</v>
      </c>
      <c r="K134" s="6">
        <v>880</v>
      </c>
      <c r="L134" s="6">
        <v>880</v>
      </c>
      <c r="M134" s="7">
        <v>37.408580802919708</v>
      </c>
      <c r="N134" s="7">
        <v>2.8194710000000001</v>
      </c>
      <c r="O134" s="7">
        <v>7.8738428467153287</v>
      </c>
      <c r="P134" s="7">
        <v>95.184980875912416</v>
      </c>
      <c r="Q134" s="7">
        <v>143.28687552554749</v>
      </c>
      <c r="R134" s="7">
        <v>16.14708839416058</v>
      </c>
      <c r="S134" s="7">
        <v>11.03860649635037</v>
      </c>
      <c r="T134" s="7">
        <v>11.33048306569343</v>
      </c>
      <c r="U134" s="7">
        <v>20.58796810218978</v>
      </c>
      <c r="V134" s="7">
        <v>59.104146058394157</v>
      </c>
      <c r="W134" s="7">
        <v>202.39102158394161</v>
      </c>
      <c r="X134" s="7">
        <v>53.314783629137949</v>
      </c>
      <c r="Y134" s="7">
        <v>55.60179271362513</v>
      </c>
      <c r="Z134" s="7">
        <v>311.30759792670472</v>
      </c>
      <c r="AA134" s="7">
        <v>0</v>
      </c>
      <c r="AB134" s="7">
        <v>311.30759792670472</v>
      </c>
      <c r="AC134" s="7">
        <v>0</v>
      </c>
      <c r="AD134" s="7">
        <v>38.960198175182491</v>
      </c>
      <c r="AE134" s="7">
        <v>0</v>
      </c>
      <c r="AF134" s="7">
        <v>0</v>
      </c>
      <c r="AG134" s="7">
        <v>350.2677961018872</v>
      </c>
      <c r="AH134" s="7">
        <v>1.725282189781022</v>
      </c>
      <c r="AI134" s="7">
        <v>0</v>
      </c>
      <c r="AJ134" s="7">
        <v>22.0932504379562</v>
      </c>
      <c r="AK134" s="7">
        <v>335.12613055444189</v>
      </c>
      <c r="AL134" s="7">
        <v>0</v>
      </c>
      <c r="AM134" s="7">
        <v>0</v>
      </c>
      <c r="AN134" s="7">
        <v>0</v>
      </c>
      <c r="AO134" s="7">
        <v>0</v>
      </c>
      <c r="AP134" s="7">
        <v>0</v>
      </c>
      <c r="AQ134" s="7">
        <v>335.12613055444189</v>
      </c>
      <c r="AR134" s="7">
        <v>315.16019842095682</v>
      </c>
      <c r="AS134" s="7">
        <v>3.852600494252064</v>
      </c>
      <c r="AT134" s="7">
        <v>3.852600494252064</v>
      </c>
    </row>
    <row r="135" spans="1:46" x14ac:dyDescent="0.35">
      <c r="A135" s="5">
        <v>46022</v>
      </c>
      <c r="B135" s="4" t="s">
        <v>324</v>
      </c>
      <c r="C135" s="4" t="s">
        <v>325</v>
      </c>
      <c r="D135" s="4" t="s">
        <v>111</v>
      </c>
      <c r="E135" s="6">
        <v>1100</v>
      </c>
      <c r="F135" s="6">
        <v>0</v>
      </c>
      <c r="G135" s="6">
        <v>1100</v>
      </c>
      <c r="H135" s="6">
        <v>2.2000000000000002</v>
      </c>
      <c r="I135" s="6">
        <v>500</v>
      </c>
      <c r="J135" s="6">
        <v>0</v>
      </c>
      <c r="K135" s="6">
        <v>500</v>
      </c>
      <c r="L135" s="6">
        <v>500</v>
      </c>
      <c r="M135" s="7">
        <v>9.5099370000000008</v>
      </c>
      <c r="N135" s="7">
        <v>10.772323</v>
      </c>
      <c r="O135" s="7">
        <v>1.231795</v>
      </c>
      <c r="P135" s="7">
        <v>8.7419899999999995</v>
      </c>
      <c r="Q135" s="7">
        <v>30.256045</v>
      </c>
      <c r="R135" s="7">
        <v>4.6249200000000004</v>
      </c>
      <c r="S135" s="7">
        <v>0.52631899999999987</v>
      </c>
      <c r="T135" s="7">
        <v>3.268656</v>
      </c>
      <c r="U135" s="7">
        <v>2.7722329999999999</v>
      </c>
      <c r="V135" s="7">
        <v>11.192128</v>
      </c>
      <c r="W135" s="7">
        <v>41.448172999999997</v>
      </c>
      <c r="X135" s="7">
        <v>0.37215950804999998</v>
      </c>
      <c r="Y135" s="7">
        <v>0</v>
      </c>
      <c r="Z135" s="7">
        <v>41.820332508050001</v>
      </c>
      <c r="AA135" s="7">
        <v>0.93976745892878022</v>
      </c>
      <c r="AB135" s="7">
        <v>42.760099966978778</v>
      </c>
      <c r="AC135" s="7">
        <v>0</v>
      </c>
      <c r="AD135" s="7">
        <v>2.4804119999999998</v>
      </c>
      <c r="AE135" s="7">
        <v>0</v>
      </c>
      <c r="AF135" s="7">
        <v>0</v>
      </c>
      <c r="AG135" s="7">
        <v>45.240511966978779</v>
      </c>
      <c r="AH135" s="7">
        <v>3.6517689999999989</v>
      </c>
      <c r="AI135" s="7">
        <v>0</v>
      </c>
      <c r="AJ135" s="7">
        <v>1.5355479999999999</v>
      </c>
      <c r="AK135" s="7">
        <v>47.947416966978778</v>
      </c>
      <c r="AL135" s="7">
        <v>0</v>
      </c>
      <c r="AM135" s="7">
        <v>0</v>
      </c>
      <c r="AN135" s="7">
        <v>0</v>
      </c>
      <c r="AO135" s="7">
        <v>0</v>
      </c>
      <c r="AP135" s="7">
        <v>0</v>
      </c>
      <c r="AQ135" s="7">
        <v>47.947416966978778</v>
      </c>
      <c r="AR135" s="7">
        <v>15.278033817675221</v>
      </c>
      <c r="AS135" s="7">
        <v>-26.542298690374778</v>
      </c>
      <c r="AT135" s="7">
        <v>-27.482066149303559</v>
      </c>
    </row>
    <row r="136" spans="1:46" x14ac:dyDescent="0.35">
      <c r="A136" s="5">
        <v>46022</v>
      </c>
      <c r="B136" s="4" t="s">
        <v>326</v>
      </c>
      <c r="C136" s="4" t="s">
        <v>327</v>
      </c>
      <c r="D136" s="4" t="s">
        <v>213</v>
      </c>
      <c r="E136" s="6">
        <v>84500</v>
      </c>
      <c r="F136" s="6">
        <v>0</v>
      </c>
      <c r="G136" s="6">
        <v>84500</v>
      </c>
      <c r="H136" s="6">
        <v>12.518519</v>
      </c>
      <c r="I136" s="6">
        <v>6750</v>
      </c>
      <c r="J136" s="6">
        <v>700</v>
      </c>
      <c r="K136" s="6">
        <v>7450</v>
      </c>
      <c r="L136" s="6">
        <v>8450</v>
      </c>
      <c r="M136" s="7">
        <v>9.6213780000000018</v>
      </c>
      <c r="N136" s="7">
        <v>10.666748999999999</v>
      </c>
      <c r="O136" s="7">
        <v>2.5202429999999998</v>
      </c>
      <c r="P136" s="7">
        <v>19.112535000000001</v>
      </c>
      <c r="Q136" s="7">
        <v>41.920904999999998</v>
      </c>
      <c r="R136" s="7">
        <v>2.17347</v>
      </c>
      <c r="S136" s="7">
        <v>13.256164</v>
      </c>
      <c r="T136" s="7">
        <v>33.155878999999999</v>
      </c>
      <c r="U136" s="7">
        <v>23.796147000000001</v>
      </c>
      <c r="V136" s="7">
        <v>72.381659999999997</v>
      </c>
      <c r="W136" s="7">
        <v>114.302565</v>
      </c>
      <c r="X136" s="7">
        <v>6.8874830769230773</v>
      </c>
      <c r="Y136" s="7">
        <v>10.584483294674561</v>
      </c>
      <c r="Z136" s="7">
        <v>131.77453137159759</v>
      </c>
      <c r="AA136" s="7">
        <v>16.086007898819609</v>
      </c>
      <c r="AB136" s="7">
        <v>147.86053927041721</v>
      </c>
      <c r="AC136" s="7">
        <v>0.55683899999999997</v>
      </c>
      <c r="AD136" s="7">
        <v>64.498697000000007</v>
      </c>
      <c r="AE136" s="7">
        <v>0</v>
      </c>
      <c r="AF136" s="7">
        <v>0</v>
      </c>
      <c r="AG136" s="7">
        <v>212.91607527041731</v>
      </c>
      <c r="AH136" s="7">
        <v>1.1393310000000001</v>
      </c>
      <c r="AI136" s="7">
        <v>0</v>
      </c>
      <c r="AJ136" s="7">
        <v>38.80097700000001</v>
      </c>
      <c r="AK136" s="7">
        <v>188.3576862704173</v>
      </c>
      <c r="AL136" s="7">
        <v>0</v>
      </c>
      <c r="AM136" s="7">
        <v>0</v>
      </c>
      <c r="AN136" s="7">
        <v>0</v>
      </c>
      <c r="AO136" s="7">
        <v>0</v>
      </c>
      <c r="AP136" s="7">
        <v>0</v>
      </c>
      <c r="AQ136" s="7">
        <v>188.3576862704173</v>
      </c>
      <c r="AR136" s="7">
        <v>234.07226623659011</v>
      </c>
      <c r="AS136" s="7">
        <v>102.29773486499251</v>
      </c>
      <c r="AT136" s="7">
        <v>86.211726966172904</v>
      </c>
    </row>
    <row r="137" spans="1:46" x14ac:dyDescent="0.35">
      <c r="A137" s="5">
        <v>46022</v>
      </c>
      <c r="B137" s="4" t="s">
        <v>328</v>
      </c>
      <c r="C137" s="4" t="s">
        <v>329</v>
      </c>
      <c r="D137" s="4" t="s">
        <v>89</v>
      </c>
      <c r="E137" s="6">
        <v>0</v>
      </c>
      <c r="F137" s="6">
        <v>0</v>
      </c>
      <c r="G137" s="6">
        <v>0</v>
      </c>
      <c r="H137" s="6">
        <v>0</v>
      </c>
      <c r="I137" s="6">
        <v>0</v>
      </c>
      <c r="J137" s="6">
        <v>1184.6844000000001</v>
      </c>
      <c r="K137" s="6">
        <v>1184.6844000000001</v>
      </c>
      <c r="L137" s="6">
        <v>1184.6844000000001</v>
      </c>
      <c r="M137" s="7">
        <v>26.874313000000001</v>
      </c>
      <c r="N137" s="7">
        <v>2.6005440000000002</v>
      </c>
      <c r="O137" s="7">
        <v>1.926779</v>
      </c>
      <c r="P137" s="7">
        <v>11.422394000000001</v>
      </c>
      <c r="Q137" s="7">
        <v>42.82403</v>
      </c>
      <c r="R137" s="7">
        <v>16.137325000000001</v>
      </c>
      <c r="S137" s="7">
        <v>3.6939220000000001</v>
      </c>
      <c r="T137" s="7">
        <v>5.4538529999999996</v>
      </c>
      <c r="U137" s="7">
        <v>12.045135999999999</v>
      </c>
      <c r="V137" s="7">
        <v>37.330235999999999</v>
      </c>
      <c r="W137" s="7">
        <v>80.154266000000007</v>
      </c>
      <c r="X137" s="7">
        <v>4.882216929989962</v>
      </c>
      <c r="Y137" s="7">
        <v>5.1608574522277966</v>
      </c>
      <c r="Z137" s="7">
        <v>90.19734038221776</v>
      </c>
      <c r="AA137" s="7">
        <v>4.67129619418328</v>
      </c>
      <c r="AB137" s="7">
        <v>94.868636576401045</v>
      </c>
      <c r="AC137" s="7">
        <v>0</v>
      </c>
      <c r="AD137" s="7">
        <v>13.495087</v>
      </c>
      <c r="AE137" s="7">
        <v>0</v>
      </c>
      <c r="AF137" s="7">
        <v>0</v>
      </c>
      <c r="AG137" s="7">
        <v>108.363723576401</v>
      </c>
      <c r="AH137" s="7">
        <v>1.1593990000000001</v>
      </c>
      <c r="AI137" s="7">
        <v>0</v>
      </c>
      <c r="AJ137" s="7">
        <v>2.1533820000000001</v>
      </c>
      <c r="AK137" s="7">
        <v>98.181417576401046</v>
      </c>
      <c r="AL137" s="7">
        <v>0</v>
      </c>
      <c r="AM137" s="7">
        <v>0</v>
      </c>
      <c r="AN137" s="7">
        <v>0</v>
      </c>
      <c r="AO137" s="7">
        <v>0</v>
      </c>
      <c r="AP137" s="7">
        <v>0</v>
      </c>
      <c r="AQ137" s="7">
        <v>98.181417576401046</v>
      </c>
      <c r="AR137" s="7">
        <v>95.213168607459664</v>
      </c>
      <c r="AS137" s="7">
        <v>5.0158282252419113</v>
      </c>
      <c r="AT137" s="7">
        <v>0.34453203105863123</v>
      </c>
    </row>
    <row r="138" spans="1:46" x14ac:dyDescent="0.35">
      <c r="A138" s="5">
        <v>46022</v>
      </c>
      <c r="B138" s="4" t="s">
        <v>330</v>
      </c>
      <c r="C138" s="4" t="s">
        <v>331</v>
      </c>
      <c r="D138" s="4" t="s">
        <v>122</v>
      </c>
      <c r="E138" s="6">
        <v>0</v>
      </c>
      <c r="F138" s="6">
        <v>0</v>
      </c>
      <c r="G138" s="6">
        <v>0</v>
      </c>
      <c r="H138" s="6">
        <v>0</v>
      </c>
      <c r="I138" s="6">
        <v>0</v>
      </c>
      <c r="J138" s="6">
        <v>0</v>
      </c>
      <c r="K138" s="6">
        <v>0</v>
      </c>
      <c r="L138" s="6">
        <v>2976.1904300000001</v>
      </c>
      <c r="M138" s="7">
        <v>0</v>
      </c>
      <c r="N138" s="7">
        <v>0</v>
      </c>
      <c r="O138" s="7">
        <v>0</v>
      </c>
      <c r="P138" s="7">
        <v>0</v>
      </c>
      <c r="Q138" s="7">
        <v>0</v>
      </c>
      <c r="R138" s="7">
        <v>6.6361728491214542</v>
      </c>
      <c r="S138" s="7">
        <v>5.6631066568182238</v>
      </c>
      <c r="T138" s="7">
        <v>1.6920955749651729</v>
      </c>
      <c r="U138" s="7">
        <v>6.3577991493513917</v>
      </c>
      <c r="V138" s="7">
        <v>20.349174230256239</v>
      </c>
      <c r="W138" s="7">
        <v>20.349174230256239</v>
      </c>
      <c r="X138" s="7">
        <v>0.2100000032592001</v>
      </c>
      <c r="Y138" s="7">
        <v>0</v>
      </c>
      <c r="Z138" s="7">
        <v>20.559174233515439</v>
      </c>
      <c r="AA138" s="7">
        <v>9.7183216554907421</v>
      </c>
      <c r="AB138" s="7">
        <v>30.277495889006179</v>
      </c>
      <c r="AC138" s="7">
        <v>0</v>
      </c>
      <c r="AD138" s="7">
        <v>9.2547457517475298</v>
      </c>
      <c r="AE138" s="7">
        <v>0</v>
      </c>
      <c r="AF138" s="7">
        <v>0</v>
      </c>
      <c r="AG138" s="7">
        <v>39.532241640753718</v>
      </c>
      <c r="AH138" s="7">
        <v>1.1281208799467191</v>
      </c>
      <c r="AI138" s="7">
        <v>0</v>
      </c>
      <c r="AJ138" s="7">
        <v>3.8932844389469312</v>
      </c>
      <c r="AK138" s="7">
        <v>35.298901207899839</v>
      </c>
      <c r="AL138" s="7">
        <v>0</v>
      </c>
      <c r="AM138" s="7">
        <v>0</v>
      </c>
      <c r="AN138" s="7">
        <v>0</v>
      </c>
      <c r="AO138" s="7">
        <v>0</v>
      </c>
      <c r="AP138" s="7">
        <v>0</v>
      </c>
      <c r="AQ138" s="7">
        <v>35.298901207899839</v>
      </c>
      <c r="AR138" s="7">
        <v>77.779085770177019</v>
      </c>
      <c r="AS138" s="7">
        <v>57.21991153666157</v>
      </c>
      <c r="AT138" s="7">
        <v>47.50158988117083</v>
      </c>
    </row>
    <row r="139" spans="1:46" x14ac:dyDescent="0.35">
      <c r="A139" s="5">
        <v>46022</v>
      </c>
      <c r="B139" s="4" t="s">
        <v>332</v>
      </c>
      <c r="C139" s="4" t="s">
        <v>333</v>
      </c>
      <c r="D139" s="4" t="s">
        <v>69</v>
      </c>
      <c r="E139" s="6">
        <v>4543.2</v>
      </c>
      <c r="F139" s="6">
        <v>0</v>
      </c>
      <c r="G139" s="6">
        <v>4543.2</v>
      </c>
      <c r="H139" s="6">
        <v>1</v>
      </c>
      <c r="I139" s="6">
        <v>4543.2</v>
      </c>
      <c r="J139" s="6">
        <v>490</v>
      </c>
      <c r="K139" s="6">
        <v>5033.2</v>
      </c>
      <c r="L139" s="6">
        <v>5033.2</v>
      </c>
      <c r="M139" s="7">
        <v>2.2637000000000001E-2</v>
      </c>
      <c r="N139" s="7">
        <v>5.4173619999999998</v>
      </c>
      <c r="O139" s="7">
        <v>6.5075999999999995E-2</v>
      </c>
      <c r="P139" s="7">
        <v>1.2833810000000001</v>
      </c>
      <c r="Q139" s="7">
        <v>6.788456</v>
      </c>
      <c r="R139" s="7">
        <v>1.9297999999999999E-2</v>
      </c>
      <c r="S139" s="7">
        <v>5.3185999999999997E-2</v>
      </c>
      <c r="T139" s="7">
        <v>0.47352699999999998</v>
      </c>
      <c r="U139" s="7">
        <v>0.88689200000000012</v>
      </c>
      <c r="V139" s="7">
        <v>1.432903</v>
      </c>
      <c r="W139" s="7">
        <v>8.2213589999999996</v>
      </c>
      <c r="X139" s="7">
        <v>6.1006349261975483</v>
      </c>
      <c r="Y139" s="7">
        <v>6.9131355204691083</v>
      </c>
      <c r="Z139" s="7">
        <v>21.235129446666662</v>
      </c>
      <c r="AA139" s="7">
        <v>0</v>
      </c>
      <c r="AB139" s="7">
        <v>21.235129446666662</v>
      </c>
      <c r="AC139" s="7">
        <v>0</v>
      </c>
      <c r="AD139" s="7">
        <v>7.5615600000000009</v>
      </c>
      <c r="AE139" s="7">
        <v>0</v>
      </c>
      <c r="AF139" s="7">
        <v>0</v>
      </c>
      <c r="AG139" s="7">
        <v>28.796689446666662</v>
      </c>
      <c r="AH139" s="7">
        <v>0.93124700000000005</v>
      </c>
      <c r="AI139" s="7">
        <v>0</v>
      </c>
      <c r="AJ139" s="7">
        <v>5.5247999999999999</v>
      </c>
      <c r="AK139" s="7">
        <v>27.69117644666666</v>
      </c>
      <c r="AL139" s="7">
        <v>0</v>
      </c>
      <c r="AM139" s="7">
        <v>0</v>
      </c>
      <c r="AN139" s="7">
        <v>0</v>
      </c>
      <c r="AO139" s="7">
        <v>0</v>
      </c>
      <c r="AP139" s="7">
        <v>0</v>
      </c>
      <c r="AQ139" s="7">
        <v>27.69117644666666</v>
      </c>
      <c r="AR139" s="7">
        <v>86.105185224168736</v>
      </c>
      <c r="AS139" s="7">
        <v>64.870055777502074</v>
      </c>
      <c r="AT139" s="7">
        <v>64.870055777502074</v>
      </c>
    </row>
    <row r="140" spans="1:46" x14ac:dyDescent="0.35">
      <c r="A140" s="5">
        <v>46022</v>
      </c>
      <c r="B140" s="4" t="s">
        <v>334</v>
      </c>
      <c r="C140" s="4" t="s">
        <v>335</v>
      </c>
      <c r="D140" s="4" t="s">
        <v>213</v>
      </c>
      <c r="E140" s="6">
        <v>5336.7862880000002</v>
      </c>
      <c r="F140" s="6">
        <v>0</v>
      </c>
      <c r="G140" s="6">
        <v>5336.7862880000002</v>
      </c>
      <c r="H140" s="6">
        <v>1.778929</v>
      </c>
      <c r="I140" s="6">
        <v>3000</v>
      </c>
      <c r="J140" s="6">
        <v>0</v>
      </c>
      <c r="K140" s="6">
        <v>3000</v>
      </c>
      <c r="L140" s="6">
        <v>4040</v>
      </c>
      <c r="M140" s="7">
        <v>10.244536</v>
      </c>
      <c r="N140" s="7">
        <v>2.0467300000000002</v>
      </c>
      <c r="O140" s="7">
        <v>5.3945E-2</v>
      </c>
      <c r="P140" s="7">
        <v>1.432965</v>
      </c>
      <c r="Q140" s="7">
        <v>13.778176</v>
      </c>
      <c r="R140" s="7">
        <v>8.0972930000000005</v>
      </c>
      <c r="S140" s="7">
        <v>39.875683000000002</v>
      </c>
      <c r="T140" s="7">
        <v>5.8259189999999998</v>
      </c>
      <c r="U140" s="7">
        <v>17.316752000000001</v>
      </c>
      <c r="V140" s="7">
        <v>71.11564700000001</v>
      </c>
      <c r="W140" s="7">
        <v>84.893823000000012</v>
      </c>
      <c r="X140" s="7">
        <v>2.5694613400990098</v>
      </c>
      <c r="Y140" s="7">
        <v>0</v>
      </c>
      <c r="Z140" s="7">
        <v>87.463284340099023</v>
      </c>
      <c r="AA140" s="7">
        <v>7.1095675450134497</v>
      </c>
      <c r="AB140" s="7">
        <v>94.57285188511247</v>
      </c>
      <c r="AC140" s="7">
        <v>0</v>
      </c>
      <c r="AD140" s="7">
        <v>76.762315999999998</v>
      </c>
      <c r="AE140" s="7">
        <v>0</v>
      </c>
      <c r="AF140" s="7">
        <v>0</v>
      </c>
      <c r="AG140" s="7">
        <v>171.3351678851125</v>
      </c>
      <c r="AH140" s="7">
        <v>0.59274700000000013</v>
      </c>
      <c r="AI140" s="7">
        <v>0</v>
      </c>
      <c r="AJ140" s="7">
        <v>62.487144000000001</v>
      </c>
      <c r="AK140" s="7">
        <v>157.6527428851125</v>
      </c>
      <c r="AL140" s="7">
        <v>0</v>
      </c>
      <c r="AM140" s="7">
        <v>0</v>
      </c>
      <c r="AN140" s="7">
        <v>0</v>
      </c>
      <c r="AO140" s="7">
        <v>0</v>
      </c>
      <c r="AP140" s="7">
        <v>0</v>
      </c>
      <c r="AQ140" s="7">
        <v>157.6527428851125</v>
      </c>
      <c r="AR140" s="7">
        <v>151.26767096708139</v>
      </c>
      <c r="AS140" s="7">
        <v>63.804386626982421</v>
      </c>
      <c r="AT140" s="7">
        <v>56.694819081968973</v>
      </c>
    </row>
    <row r="141" spans="1:46" x14ac:dyDescent="0.35">
      <c r="A141" s="5">
        <v>46022</v>
      </c>
      <c r="B141" s="4" t="s">
        <v>336</v>
      </c>
      <c r="C141" s="4" t="s">
        <v>337</v>
      </c>
      <c r="D141" s="4" t="s">
        <v>213</v>
      </c>
      <c r="E141" s="6">
        <v>5224.5122170000004</v>
      </c>
      <c r="F141" s="6">
        <v>0</v>
      </c>
      <c r="G141" s="6">
        <v>5224.5122170000004</v>
      </c>
      <c r="H141" s="6">
        <v>2.2000000000000002</v>
      </c>
      <c r="I141" s="6">
        <v>2374.7782809999999</v>
      </c>
      <c r="J141" s="6">
        <v>0</v>
      </c>
      <c r="K141" s="6">
        <v>2374.7782809999999</v>
      </c>
      <c r="L141" s="6">
        <v>2374.7782809999999</v>
      </c>
      <c r="M141" s="7">
        <v>7.7839749999999999</v>
      </c>
      <c r="N141" s="7">
        <v>5.6402530000000004</v>
      </c>
      <c r="O141" s="7">
        <v>0.220522</v>
      </c>
      <c r="P141" s="7">
        <v>4.113899</v>
      </c>
      <c r="Q141" s="7">
        <v>17.758648999999998</v>
      </c>
      <c r="R141" s="7">
        <v>15.665805000000001</v>
      </c>
      <c r="S141" s="7">
        <v>11.585549</v>
      </c>
      <c r="T141" s="7">
        <v>19.263832000000001</v>
      </c>
      <c r="U141" s="7">
        <v>8.3350380000000008</v>
      </c>
      <c r="V141" s="7">
        <v>54.850224000000011</v>
      </c>
      <c r="W141" s="7">
        <v>72.608873000000017</v>
      </c>
      <c r="X141" s="7">
        <v>2.7057163147292989</v>
      </c>
      <c r="Y141" s="7">
        <v>0</v>
      </c>
      <c r="Z141" s="7">
        <v>75.314589314729304</v>
      </c>
      <c r="AA141" s="7">
        <v>5.5539486475280109</v>
      </c>
      <c r="AB141" s="7">
        <v>80.868537962257321</v>
      </c>
      <c r="AC141" s="7">
        <v>0</v>
      </c>
      <c r="AD141" s="7">
        <v>20.653105</v>
      </c>
      <c r="AE141" s="7">
        <v>0</v>
      </c>
      <c r="AF141" s="7">
        <v>0</v>
      </c>
      <c r="AG141" s="7">
        <v>101.5216429622573</v>
      </c>
      <c r="AH141" s="7">
        <v>4.2109189999999996</v>
      </c>
      <c r="AI141" s="7">
        <v>0</v>
      </c>
      <c r="AJ141" s="7">
        <v>8.4218390000000003</v>
      </c>
      <c r="AK141" s="7">
        <v>93.501295962257316</v>
      </c>
      <c r="AL141" s="7">
        <v>0</v>
      </c>
      <c r="AM141" s="7">
        <v>0</v>
      </c>
      <c r="AN141" s="7">
        <v>0</v>
      </c>
      <c r="AO141" s="7">
        <v>0</v>
      </c>
      <c r="AP141" s="7">
        <v>0</v>
      </c>
      <c r="AQ141" s="7">
        <v>93.501295962257316</v>
      </c>
      <c r="AR141" s="7">
        <v>102.3165357455163</v>
      </c>
      <c r="AS141" s="7">
        <v>27.00194643078698</v>
      </c>
      <c r="AT141" s="7">
        <v>21.44799778325897</v>
      </c>
    </row>
    <row r="142" spans="1:46" x14ac:dyDescent="0.35">
      <c r="A142" s="5">
        <v>46022</v>
      </c>
      <c r="B142" s="4" t="s">
        <v>338</v>
      </c>
      <c r="C142" s="4" t="s">
        <v>339</v>
      </c>
      <c r="D142" s="4" t="s">
        <v>213</v>
      </c>
      <c r="E142" s="6">
        <v>13399.479901999999</v>
      </c>
      <c r="F142" s="6">
        <v>0</v>
      </c>
      <c r="G142" s="6">
        <v>13399.479901999999</v>
      </c>
      <c r="H142" s="6">
        <v>3.3171020000000002</v>
      </c>
      <c r="I142" s="6">
        <v>4039.5137890000001</v>
      </c>
      <c r="J142" s="6">
        <v>0</v>
      </c>
      <c r="K142" s="6">
        <v>4039.5137890000001</v>
      </c>
      <c r="L142" s="6">
        <v>4039.5137890000001</v>
      </c>
      <c r="M142" s="7">
        <v>6.0651359999999999</v>
      </c>
      <c r="N142" s="7">
        <v>14.922669000000001</v>
      </c>
      <c r="O142" s="7">
        <v>2.2164799999999998</v>
      </c>
      <c r="P142" s="7">
        <v>26.851189000000002</v>
      </c>
      <c r="Q142" s="7">
        <v>50.055473999999997</v>
      </c>
      <c r="R142" s="7">
        <v>3.54217</v>
      </c>
      <c r="S142" s="7">
        <v>3.2957139999999998</v>
      </c>
      <c r="T142" s="7">
        <v>9.0870149999999992</v>
      </c>
      <c r="U142" s="7">
        <v>11.799246999999999</v>
      </c>
      <c r="V142" s="7">
        <v>27.724146000000001</v>
      </c>
      <c r="W142" s="7">
        <v>77.779619999999994</v>
      </c>
      <c r="X142" s="7">
        <v>5.5144317829268337</v>
      </c>
      <c r="Y142" s="7">
        <v>12.152331452294581</v>
      </c>
      <c r="Z142" s="7">
        <v>95.446383235221418</v>
      </c>
      <c r="AA142" s="7">
        <v>8.5994387203602436</v>
      </c>
      <c r="AB142" s="7">
        <v>104.0458219555817</v>
      </c>
      <c r="AC142" s="7">
        <v>0</v>
      </c>
      <c r="AD142" s="7">
        <v>13.088615000000001</v>
      </c>
      <c r="AE142" s="7">
        <v>0</v>
      </c>
      <c r="AF142" s="7">
        <v>0</v>
      </c>
      <c r="AG142" s="7">
        <v>117.13443695558171</v>
      </c>
      <c r="AH142" s="7">
        <v>1.21</v>
      </c>
      <c r="AI142" s="7">
        <v>0</v>
      </c>
      <c r="AJ142" s="7">
        <v>2.95</v>
      </c>
      <c r="AK142" s="7">
        <v>108.2058219555817</v>
      </c>
      <c r="AL142" s="7">
        <v>0</v>
      </c>
      <c r="AM142" s="7">
        <v>0</v>
      </c>
      <c r="AN142" s="7">
        <v>0</v>
      </c>
      <c r="AO142" s="7">
        <v>0</v>
      </c>
      <c r="AP142" s="7">
        <v>0</v>
      </c>
      <c r="AQ142" s="7">
        <v>108.2058219555817</v>
      </c>
      <c r="AR142" s="7">
        <v>245.6984204572133</v>
      </c>
      <c r="AS142" s="7">
        <v>150.25203722199191</v>
      </c>
      <c r="AT142" s="7">
        <v>141.65259850163159</v>
      </c>
    </row>
    <row r="143" spans="1:46" x14ac:dyDescent="0.35">
      <c r="A143" s="5">
        <v>46022</v>
      </c>
      <c r="B143" s="4" t="s">
        <v>340</v>
      </c>
      <c r="C143" s="4" t="s">
        <v>341</v>
      </c>
      <c r="D143" s="4" t="s">
        <v>58</v>
      </c>
      <c r="E143" s="6">
        <v>0</v>
      </c>
      <c r="F143" s="6">
        <v>0</v>
      </c>
      <c r="G143" s="6">
        <v>0</v>
      </c>
      <c r="H143" s="6">
        <v>0</v>
      </c>
      <c r="I143" s="6">
        <v>0</v>
      </c>
      <c r="J143" s="6">
        <v>50000</v>
      </c>
      <c r="K143" s="6">
        <v>50000</v>
      </c>
      <c r="L143" s="6">
        <v>50000</v>
      </c>
      <c r="M143" s="7">
        <v>13.889303999999999</v>
      </c>
      <c r="N143" s="7">
        <v>0.24299699999999999</v>
      </c>
      <c r="O143" s="7">
        <v>0.53127400000000014</v>
      </c>
      <c r="P143" s="7">
        <v>5.3608830000000012</v>
      </c>
      <c r="Q143" s="7">
        <v>20.024457999999999</v>
      </c>
      <c r="R143" s="7">
        <v>1.7625599999999999</v>
      </c>
      <c r="S143" s="7">
        <v>1.6042620000000001</v>
      </c>
      <c r="T143" s="7">
        <v>2.4194369999999998</v>
      </c>
      <c r="U143" s="7">
        <v>1.1800919999999999</v>
      </c>
      <c r="V143" s="7">
        <v>6.9663510000000004</v>
      </c>
      <c r="W143" s="7">
        <v>26.990808999999999</v>
      </c>
      <c r="X143" s="7">
        <v>1.318004284881592</v>
      </c>
      <c r="Y143" s="7">
        <v>3.3712039924117949</v>
      </c>
      <c r="Z143" s="7">
        <v>31.680017277293391</v>
      </c>
      <c r="AA143" s="7">
        <v>1.936734750992924</v>
      </c>
      <c r="AB143" s="7">
        <v>33.616752028286307</v>
      </c>
      <c r="AC143" s="7">
        <v>0</v>
      </c>
      <c r="AD143" s="7">
        <v>9.2215670000000003</v>
      </c>
      <c r="AE143" s="7">
        <v>0</v>
      </c>
      <c r="AF143" s="7">
        <v>0</v>
      </c>
      <c r="AG143" s="7">
        <v>42.838319028286307</v>
      </c>
      <c r="AH143" s="7">
        <v>3.8158629999999998</v>
      </c>
      <c r="AI143" s="7">
        <v>0</v>
      </c>
      <c r="AJ143" s="7">
        <v>3.3801640000000002</v>
      </c>
      <c r="AK143" s="7">
        <v>40.812779028286307</v>
      </c>
      <c r="AL143" s="7">
        <v>0</v>
      </c>
      <c r="AM143" s="7">
        <v>0</v>
      </c>
      <c r="AN143" s="7">
        <v>0</v>
      </c>
      <c r="AO143" s="7">
        <v>0</v>
      </c>
      <c r="AP143" s="7">
        <v>10.762456</v>
      </c>
      <c r="AQ143" s="7">
        <v>51.575235028286308</v>
      </c>
      <c r="AR143" s="7">
        <v>67.784477263085947</v>
      </c>
      <c r="AS143" s="7">
        <v>36.104459985792552</v>
      </c>
      <c r="AT143" s="7">
        <v>34.167725234799619</v>
      </c>
    </row>
    <row r="144" spans="1:46" x14ac:dyDescent="0.35">
      <c r="A144" s="5">
        <v>46022</v>
      </c>
      <c r="B144" s="4" t="s">
        <v>342</v>
      </c>
      <c r="C144" s="4" t="s">
        <v>343</v>
      </c>
      <c r="D144" s="4" t="s">
        <v>344</v>
      </c>
      <c r="E144" s="6">
        <v>0</v>
      </c>
      <c r="F144" s="6">
        <v>0</v>
      </c>
      <c r="G144" s="6">
        <v>0</v>
      </c>
      <c r="H144" s="6">
        <v>0</v>
      </c>
      <c r="I144" s="6">
        <v>0</v>
      </c>
      <c r="J144" s="6">
        <v>667</v>
      </c>
      <c r="K144" s="6">
        <v>667</v>
      </c>
      <c r="L144" s="6">
        <v>667</v>
      </c>
      <c r="M144" s="7">
        <v>39.303122000000002</v>
      </c>
      <c r="N144" s="7">
        <v>4.3849689999999999</v>
      </c>
      <c r="O144" s="7">
        <v>6.3267230000000012</v>
      </c>
      <c r="P144" s="7">
        <v>29.159101</v>
      </c>
      <c r="Q144" s="7">
        <v>79.173914999999994</v>
      </c>
      <c r="R144" s="7">
        <v>8.1327149999999993</v>
      </c>
      <c r="S144" s="7">
        <v>3.9729369999999999</v>
      </c>
      <c r="T144" s="7">
        <v>15.595378999999999</v>
      </c>
      <c r="U144" s="7">
        <v>8.0577260000000006</v>
      </c>
      <c r="V144" s="7">
        <v>35.758757000000003</v>
      </c>
      <c r="W144" s="7">
        <v>114.932672</v>
      </c>
      <c r="X144" s="7">
        <v>1.55899139517931</v>
      </c>
      <c r="Y144" s="7">
        <v>1.4717133826620199</v>
      </c>
      <c r="Z144" s="7">
        <v>117.9633767778413</v>
      </c>
      <c r="AA144" s="7">
        <v>3.8710638679935339</v>
      </c>
      <c r="AB144" s="7">
        <v>121.8344406458349</v>
      </c>
      <c r="AC144" s="7">
        <v>0.87856100000000015</v>
      </c>
      <c r="AD144" s="7">
        <v>22.149802000000001</v>
      </c>
      <c r="AE144" s="7">
        <v>0</v>
      </c>
      <c r="AF144" s="7">
        <v>0</v>
      </c>
      <c r="AG144" s="7">
        <v>144.8628036458349</v>
      </c>
      <c r="AH144" s="7">
        <v>2.2488760000000001</v>
      </c>
      <c r="AI144" s="7">
        <v>0</v>
      </c>
      <c r="AJ144" s="7">
        <v>6.5577209999999999</v>
      </c>
      <c r="AK144" s="7">
        <v>131.51959864583489</v>
      </c>
      <c r="AL144" s="7">
        <v>12.986507</v>
      </c>
      <c r="AM144" s="7">
        <v>0</v>
      </c>
      <c r="AN144" s="7">
        <v>0</v>
      </c>
      <c r="AO144" s="7">
        <v>0</v>
      </c>
      <c r="AP144" s="7">
        <v>0</v>
      </c>
      <c r="AQ144" s="7">
        <v>144.50610564583491</v>
      </c>
      <c r="AR144" s="7">
        <v>132.11548741303909</v>
      </c>
      <c r="AS144" s="7">
        <v>14.152110635197751</v>
      </c>
      <c r="AT144" s="7">
        <v>10.281046767204209</v>
      </c>
    </row>
    <row r="145" spans="1:46" x14ac:dyDescent="0.35">
      <c r="A145" s="5">
        <v>46022</v>
      </c>
      <c r="B145" s="4" t="s">
        <v>345</v>
      </c>
      <c r="C145" s="4" t="s">
        <v>346</v>
      </c>
      <c r="D145" s="4" t="s">
        <v>105</v>
      </c>
      <c r="E145" s="6">
        <v>7932.3180000000002</v>
      </c>
      <c r="F145" s="6">
        <v>0</v>
      </c>
      <c r="G145" s="6">
        <v>7932.3180000000002</v>
      </c>
      <c r="H145" s="6">
        <v>6</v>
      </c>
      <c r="I145" s="6">
        <v>1322.0530000000001</v>
      </c>
      <c r="J145" s="6">
        <v>1268.195856</v>
      </c>
      <c r="K145" s="6">
        <v>2590.2488560000002</v>
      </c>
      <c r="L145" s="6">
        <v>2590.2488560000002</v>
      </c>
      <c r="M145" s="7">
        <v>16.839934</v>
      </c>
      <c r="N145" s="7">
        <v>16.823191000000001</v>
      </c>
      <c r="O145" s="7">
        <v>7.1191719999999989</v>
      </c>
      <c r="P145" s="7">
        <v>12.336705</v>
      </c>
      <c r="Q145" s="7">
        <v>53.119002000000002</v>
      </c>
      <c r="R145" s="7">
        <v>5.027698</v>
      </c>
      <c r="S145" s="7">
        <v>1.4997849999999999</v>
      </c>
      <c r="T145" s="7">
        <v>7.364736999999999</v>
      </c>
      <c r="U145" s="7">
        <v>1.0318050000000001</v>
      </c>
      <c r="V145" s="7">
        <v>14.924025</v>
      </c>
      <c r="W145" s="7">
        <v>68.043026999999995</v>
      </c>
      <c r="X145" s="7">
        <v>0.14343573558169351</v>
      </c>
      <c r="Y145" s="7">
        <v>12.08474741884171</v>
      </c>
      <c r="Z145" s="7">
        <v>80.2712101544234</v>
      </c>
      <c r="AA145" s="7">
        <v>0.34085976223543119</v>
      </c>
      <c r="AB145" s="7">
        <v>80.612069916658825</v>
      </c>
      <c r="AC145" s="7">
        <v>0</v>
      </c>
      <c r="AD145" s="7">
        <v>11.935214999999999</v>
      </c>
      <c r="AE145" s="7">
        <v>0</v>
      </c>
      <c r="AF145" s="7">
        <v>0</v>
      </c>
      <c r="AG145" s="7">
        <v>92.547284916658825</v>
      </c>
      <c r="AH145" s="7">
        <v>0.73739500000000002</v>
      </c>
      <c r="AI145" s="7">
        <v>0</v>
      </c>
      <c r="AJ145" s="7">
        <v>2.1679140000000001</v>
      </c>
      <c r="AK145" s="7">
        <v>83.517378916658828</v>
      </c>
      <c r="AL145" s="7">
        <v>34.945371999999999</v>
      </c>
      <c r="AM145" s="7">
        <v>0</v>
      </c>
      <c r="AN145" s="7">
        <v>0</v>
      </c>
      <c r="AO145" s="7">
        <v>0</v>
      </c>
      <c r="AP145" s="7">
        <v>0</v>
      </c>
      <c r="AQ145" s="7">
        <v>118.46275091665881</v>
      </c>
      <c r="AR145" s="7">
        <v>62.619058842410759</v>
      </c>
      <c r="AS145" s="7">
        <v>-17.652151312012641</v>
      </c>
      <c r="AT145" s="7">
        <v>-17.99301107424807</v>
      </c>
    </row>
    <row r="146" spans="1:46" x14ac:dyDescent="0.35">
      <c r="A146" s="5">
        <v>46022</v>
      </c>
      <c r="B146" s="4" t="s">
        <v>347</v>
      </c>
      <c r="C146" s="4" t="s">
        <v>348</v>
      </c>
      <c r="D146" s="4" t="s">
        <v>148</v>
      </c>
      <c r="E146" s="6">
        <v>36450</v>
      </c>
      <c r="F146" s="6">
        <v>0</v>
      </c>
      <c r="G146" s="6">
        <v>36450</v>
      </c>
      <c r="H146" s="6">
        <v>2.7</v>
      </c>
      <c r="I146" s="6">
        <v>13500</v>
      </c>
      <c r="J146" s="6">
        <v>0</v>
      </c>
      <c r="K146" s="6">
        <v>13500</v>
      </c>
      <c r="L146" s="6">
        <v>13500</v>
      </c>
      <c r="M146" s="7">
        <v>4.9294960000000003</v>
      </c>
      <c r="N146" s="7">
        <v>2.7119070000000001</v>
      </c>
      <c r="O146" s="7">
        <v>0.45924300000000001</v>
      </c>
      <c r="P146" s="7">
        <v>2.0450620000000002</v>
      </c>
      <c r="Q146" s="7">
        <v>10.145708000000001</v>
      </c>
      <c r="R146" s="7">
        <v>3.0130189999999999</v>
      </c>
      <c r="S146" s="7">
        <v>1.9920260000000001</v>
      </c>
      <c r="T146" s="7">
        <v>1.631456</v>
      </c>
      <c r="U146" s="7">
        <v>1.2225729999999999</v>
      </c>
      <c r="V146" s="7">
        <v>7.8590739999999997</v>
      </c>
      <c r="W146" s="7">
        <v>18.004781999999999</v>
      </c>
      <c r="X146" s="7">
        <v>9.4784086611259255E-2</v>
      </c>
      <c r="Y146" s="7">
        <v>1.405196791432862</v>
      </c>
      <c r="Z146" s="7">
        <v>19.504762878044119</v>
      </c>
      <c r="AA146" s="7">
        <v>0.57010473614908186</v>
      </c>
      <c r="AB146" s="7">
        <v>20.074867614193199</v>
      </c>
      <c r="AC146" s="7">
        <v>0</v>
      </c>
      <c r="AD146" s="7">
        <v>2.4171520000000002</v>
      </c>
      <c r="AE146" s="7">
        <v>0</v>
      </c>
      <c r="AF146" s="7">
        <v>0</v>
      </c>
      <c r="AG146" s="7">
        <v>22.4920196141932</v>
      </c>
      <c r="AH146" s="7">
        <v>0.45012000000000002</v>
      </c>
      <c r="AI146" s="7">
        <v>0</v>
      </c>
      <c r="AJ146" s="7">
        <v>1.800478</v>
      </c>
      <c r="AK146" s="7">
        <v>22.325465614193199</v>
      </c>
      <c r="AL146" s="7">
        <v>0</v>
      </c>
      <c r="AM146" s="7">
        <v>0</v>
      </c>
      <c r="AN146" s="7">
        <v>0</v>
      </c>
      <c r="AO146" s="7">
        <v>0</v>
      </c>
      <c r="AP146" s="7">
        <v>0</v>
      </c>
      <c r="AQ146" s="7">
        <v>22.325465614193199</v>
      </c>
      <c r="AR146" s="7">
        <v>28.71468852743936</v>
      </c>
      <c r="AS146" s="7">
        <v>9.2099256493952417</v>
      </c>
      <c r="AT146" s="7">
        <v>8.6398209132461599</v>
      </c>
    </row>
    <row r="147" spans="1:46" x14ac:dyDescent="0.35">
      <c r="A147" s="5">
        <v>46022</v>
      </c>
      <c r="B147" s="4" t="s">
        <v>349</v>
      </c>
      <c r="C147" s="4" t="s">
        <v>350</v>
      </c>
      <c r="D147" s="4" t="s">
        <v>351</v>
      </c>
      <c r="E147" s="6">
        <v>10354.707692</v>
      </c>
      <c r="F147" s="6">
        <v>0</v>
      </c>
      <c r="G147" s="6">
        <v>10354.707692</v>
      </c>
      <c r="H147" s="6">
        <v>0.24</v>
      </c>
      <c r="I147" s="6">
        <v>43144.615384999997</v>
      </c>
      <c r="J147" s="6">
        <v>0</v>
      </c>
      <c r="K147" s="6">
        <v>43144.615384999997</v>
      </c>
      <c r="L147" s="6">
        <v>38000</v>
      </c>
      <c r="M147" s="7">
        <v>1.580495</v>
      </c>
      <c r="N147" s="7">
        <v>0.58102799999999999</v>
      </c>
      <c r="O147" s="7">
        <v>0.10929899999999999</v>
      </c>
      <c r="P147" s="7">
        <v>2.2888259999999998</v>
      </c>
      <c r="Q147" s="7">
        <v>4.5596480000000001</v>
      </c>
      <c r="R147" s="7">
        <v>1.3133140000000001</v>
      </c>
      <c r="S147" s="7">
        <v>0.85940899999999998</v>
      </c>
      <c r="T147" s="7">
        <v>3.636298</v>
      </c>
      <c r="U147" s="7">
        <v>3.1367099999999999</v>
      </c>
      <c r="V147" s="7">
        <v>8.9457310000000003</v>
      </c>
      <c r="W147" s="7">
        <v>13.505379</v>
      </c>
      <c r="X147" s="7">
        <v>4.0164113684210534</v>
      </c>
      <c r="Y147" s="7">
        <v>2.5133496484280831</v>
      </c>
      <c r="Z147" s="7">
        <v>20.035140016849141</v>
      </c>
      <c r="AA147" s="7">
        <v>6.5543056639627704</v>
      </c>
      <c r="AB147" s="7">
        <v>26.589445680811899</v>
      </c>
      <c r="AC147" s="7">
        <v>0</v>
      </c>
      <c r="AD147" s="7">
        <v>2.4274819999999999</v>
      </c>
      <c r="AE147" s="7">
        <v>0</v>
      </c>
      <c r="AF147" s="7">
        <v>0</v>
      </c>
      <c r="AG147" s="7">
        <v>29.0169276808119</v>
      </c>
      <c r="AH147" s="7">
        <v>0.81032300000000002</v>
      </c>
      <c r="AI147" s="7">
        <v>0</v>
      </c>
      <c r="AJ147" s="7">
        <v>2.0258069999999999</v>
      </c>
      <c r="AK147" s="7">
        <v>29.4255756808119</v>
      </c>
      <c r="AL147" s="7">
        <v>0</v>
      </c>
      <c r="AM147" s="7">
        <v>0</v>
      </c>
      <c r="AN147" s="7">
        <v>0</v>
      </c>
      <c r="AO147" s="7">
        <v>0</v>
      </c>
      <c r="AP147" s="7">
        <v>0</v>
      </c>
      <c r="AQ147" s="7">
        <v>29.4255756808119</v>
      </c>
      <c r="AR147" s="7">
        <v>40.964422891053289</v>
      </c>
      <c r="AS147" s="7">
        <v>20.929282874204159</v>
      </c>
      <c r="AT147" s="7">
        <v>14.37497721024139</v>
      </c>
    </row>
    <row r="148" spans="1:46" x14ac:dyDescent="0.35">
      <c r="A148" s="5">
        <v>46022</v>
      </c>
      <c r="B148" s="4" t="s">
        <v>352</v>
      </c>
      <c r="C148" s="4" t="s">
        <v>353</v>
      </c>
      <c r="D148" s="4" t="s">
        <v>58</v>
      </c>
      <c r="E148" s="6">
        <v>5085.6923079999997</v>
      </c>
      <c r="F148" s="6">
        <v>0</v>
      </c>
      <c r="G148" s="6">
        <v>5085.6923079999997</v>
      </c>
      <c r="H148" s="6">
        <v>1.5</v>
      </c>
      <c r="I148" s="6">
        <v>3390.461538</v>
      </c>
      <c r="J148" s="6">
        <v>0</v>
      </c>
      <c r="K148" s="6">
        <v>3390.461538</v>
      </c>
      <c r="L148" s="6">
        <v>3390.461538</v>
      </c>
      <c r="M148" s="7">
        <v>6.4850599999999998</v>
      </c>
      <c r="N148" s="7">
        <v>2.0511140000000001</v>
      </c>
      <c r="O148" s="7">
        <v>2.0573999999999999E-2</v>
      </c>
      <c r="P148" s="7">
        <v>2.1100479999999999</v>
      </c>
      <c r="Q148" s="7">
        <v>10.666796</v>
      </c>
      <c r="R148" s="7">
        <v>0.99731099999999995</v>
      </c>
      <c r="S148" s="7">
        <v>2.8690929999999999</v>
      </c>
      <c r="T148" s="7">
        <v>1.959722</v>
      </c>
      <c r="U148" s="7">
        <v>0.45311099999999999</v>
      </c>
      <c r="V148" s="7">
        <v>6.2792370000000002</v>
      </c>
      <c r="W148" s="7">
        <v>16.946033</v>
      </c>
      <c r="X148" s="7">
        <v>0.35732924764864271</v>
      </c>
      <c r="Y148" s="7">
        <v>0</v>
      </c>
      <c r="Z148" s="7">
        <v>17.303362247648639</v>
      </c>
      <c r="AA148" s="7">
        <v>8.5335893911296645E-2</v>
      </c>
      <c r="AB148" s="7">
        <v>17.388698141559939</v>
      </c>
      <c r="AC148" s="7">
        <v>0</v>
      </c>
      <c r="AD148" s="7">
        <v>2.3888720000000001</v>
      </c>
      <c r="AE148" s="7">
        <v>0</v>
      </c>
      <c r="AF148" s="7">
        <v>0</v>
      </c>
      <c r="AG148" s="7">
        <v>19.777570141559941</v>
      </c>
      <c r="AH148" s="7">
        <v>0.84730200000000011</v>
      </c>
      <c r="AI148" s="7">
        <v>0</v>
      </c>
      <c r="AJ148" s="7">
        <v>1.6946030000000001</v>
      </c>
      <c r="AK148" s="7">
        <v>19.930603141559939</v>
      </c>
      <c r="AL148" s="7">
        <v>0</v>
      </c>
      <c r="AM148" s="7">
        <v>0</v>
      </c>
      <c r="AN148" s="7">
        <v>0</v>
      </c>
      <c r="AO148" s="7">
        <v>0</v>
      </c>
      <c r="AP148" s="7">
        <v>0</v>
      </c>
      <c r="AQ148" s="7">
        <v>19.930603141559939</v>
      </c>
      <c r="AR148" s="7">
        <v>36.111718473107537</v>
      </c>
      <c r="AS148" s="7">
        <v>18.808356225458901</v>
      </c>
      <c r="AT148" s="7">
        <v>18.723020331547598</v>
      </c>
    </row>
    <row r="149" spans="1:46" x14ac:dyDescent="0.35">
      <c r="A149" s="5">
        <v>46022</v>
      </c>
      <c r="B149" s="4" t="s">
        <v>354</v>
      </c>
      <c r="C149" s="4" t="s">
        <v>355</v>
      </c>
      <c r="D149" s="4" t="s">
        <v>86</v>
      </c>
      <c r="E149" s="6">
        <v>1817.6470589999999</v>
      </c>
      <c r="F149" s="6">
        <v>0</v>
      </c>
      <c r="G149" s="6">
        <v>1817.6470589999999</v>
      </c>
      <c r="H149" s="6">
        <v>6.0588240000000004</v>
      </c>
      <c r="I149" s="6">
        <v>300</v>
      </c>
      <c r="J149" s="6">
        <v>9000</v>
      </c>
      <c r="K149" s="6">
        <v>9300</v>
      </c>
      <c r="L149" s="6">
        <v>10000</v>
      </c>
      <c r="M149" s="7">
        <v>4.8273260000000002</v>
      </c>
      <c r="N149" s="7">
        <v>6.2383000000000001E-2</v>
      </c>
      <c r="O149" s="7">
        <v>0.36729299999999998</v>
      </c>
      <c r="P149" s="7">
        <v>2.7900659999999999</v>
      </c>
      <c r="Q149" s="7">
        <v>8.0470679999999994</v>
      </c>
      <c r="R149" s="7">
        <v>1.8003119999999999</v>
      </c>
      <c r="S149" s="7">
        <v>0.93107200000000001</v>
      </c>
      <c r="T149" s="7">
        <v>2.6431689999999999</v>
      </c>
      <c r="U149" s="7">
        <v>2.3412130000000002</v>
      </c>
      <c r="V149" s="7">
        <v>7.7157660000000003</v>
      </c>
      <c r="W149" s="7">
        <v>15.762834</v>
      </c>
      <c r="X149" s="7">
        <v>0.49960528947005001</v>
      </c>
      <c r="Y149" s="7">
        <v>6.1850429404100167</v>
      </c>
      <c r="Z149" s="7">
        <v>22.44748222988007</v>
      </c>
      <c r="AA149" s="7">
        <v>6.6600481596497039</v>
      </c>
      <c r="AB149" s="7">
        <v>29.107530389529771</v>
      </c>
      <c r="AC149" s="7">
        <v>0</v>
      </c>
      <c r="AD149" s="7">
        <v>11.853534</v>
      </c>
      <c r="AE149" s="7">
        <v>0</v>
      </c>
      <c r="AF149" s="7">
        <v>0</v>
      </c>
      <c r="AG149" s="7">
        <v>40.961064389529767</v>
      </c>
      <c r="AH149" s="7">
        <v>2.6879689999999998</v>
      </c>
      <c r="AI149" s="7">
        <v>0</v>
      </c>
      <c r="AJ149" s="7">
        <v>8.3714399999999998</v>
      </c>
      <c r="AK149" s="7">
        <v>40.166939389529773</v>
      </c>
      <c r="AL149" s="7">
        <v>0</v>
      </c>
      <c r="AM149" s="7">
        <v>0</v>
      </c>
      <c r="AN149" s="7">
        <v>0</v>
      </c>
      <c r="AO149" s="7">
        <v>0</v>
      </c>
      <c r="AP149" s="7">
        <v>0</v>
      </c>
      <c r="AQ149" s="7">
        <v>40.166939389529773</v>
      </c>
      <c r="AR149" s="7">
        <v>111.00083589978649</v>
      </c>
      <c r="AS149" s="7">
        <v>88.553353669906471</v>
      </c>
      <c r="AT149" s="7">
        <v>81.893305510256766</v>
      </c>
    </row>
    <row r="150" spans="1:46" x14ac:dyDescent="0.35">
      <c r="A150" s="5">
        <v>46022</v>
      </c>
      <c r="B150" s="4" t="s">
        <v>356</v>
      </c>
      <c r="C150" s="4" t="s">
        <v>357</v>
      </c>
      <c r="D150" s="4" t="s">
        <v>213</v>
      </c>
      <c r="E150" s="6">
        <v>0</v>
      </c>
      <c r="F150" s="6">
        <v>0</v>
      </c>
      <c r="G150" s="6">
        <v>0</v>
      </c>
      <c r="H150" s="6">
        <v>0</v>
      </c>
      <c r="I150" s="6">
        <v>8200</v>
      </c>
      <c r="J150" s="6">
        <v>0</v>
      </c>
      <c r="K150" s="6">
        <v>8200</v>
      </c>
      <c r="L150" s="6">
        <v>8200</v>
      </c>
      <c r="M150" s="7">
        <v>0.49427500000000002</v>
      </c>
      <c r="N150" s="7">
        <v>8.3409999999999998E-2</v>
      </c>
      <c r="O150" s="7">
        <v>0.86991600000000013</v>
      </c>
      <c r="P150" s="7">
        <v>6.1452E-2</v>
      </c>
      <c r="Q150" s="7">
        <v>1.509053</v>
      </c>
      <c r="R150" s="7">
        <v>0.52680000000000005</v>
      </c>
      <c r="S150" s="7">
        <v>4.0822190000000003</v>
      </c>
      <c r="T150" s="7">
        <v>8.3208409999999997</v>
      </c>
      <c r="U150" s="7">
        <v>0.581013</v>
      </c>
      <c r="V150" s="7">
        <v>13.510873</v>
      </c>
      <c r="W150" s="7">
        <v>15.019926</v>
      </c>
      <c r="X150" s="7">
        <v>3.400909599907707</v>
      </c>
      <c r="Y150" s="7">
        <v>0</v>
      </c>
      <c r="Z150" s="7">
        <v>18.420835599907711</v>
      </c>
      <c r="AA150" s="7">
        <v>11.78611356434007</v>
      </c>
      <c r="AB150" s="7">
        <v>30.206949164247781</v>
      </c>
      <c r="AC150" s="7">
        <v>0</v>
      </c>
      <c r="AD150" s="7">
        <v>7.4949589999999997</v>
      </c>
      <c r="AE150" s="7">
        <v>0</v>
      </c>
      <c r="AF150" s="7">
        <v>0</v>
      </c>
      <c r="AG150" s="7">
        <v>37.701908164247783</v>
      </c>
      <c r="AH150" s="7">
        <v>3.3512970000000002</v>
      </c>
      <c r="AI150" s="7">
        <v>0</v>
      </c>
      <c r="AJ150" s="7">
        <v>1.5019929999999999</v>
      </c>
      <c r="AK150" s="7">
        <v>35.060239164247783</v>
      </c>
      <c r="AL150" s="7">
        <v>0</v>
      </c>
      <c r="AM150" s="7">
        <v>0</v>
      </c>
      <c r="AN150" s="7">
        <v>0</v>
      </c>
      <c r="AO150" s="7">
        <v>0</v>
      </c>
      <c r="AP150" s="7">
        <v>0</v>
      </c>
      <c r="AQ150" s="7">
        <v>35.060239164247783</v>
      </c>
      <c r="AR150" s="7">
        <v>167.5314054061983</v>
      </c>
      <c r="AS150" s="7">
        <v>149.11056980629061</v>
      </c>
      <c r="AT150" s="7">
        <v>137.32445624195049</v>
      </c>
    </row>
    <row r="151" spans="1:46" x14ac:dyDescent="0.35">
      <c r="A151" s="5">
        <v>46022</v>
      </c>
      <c r="B151" s="4" t="s">
        <v>358</v>
      </c>
      <c r="C151" s="4" t="s">
        <v>359</v>
      </c>
      <c r="D151" s="4" t="s">
        <v>58</v>
      </c>
      <c r="E151" s="6">
        <v>65880</v>
      </c>
      <c r="F151" s="6">
        <v>0</v>
      </c>
      <c r="G151" s="6">
        <v>65880</v>
      </c>
      <c r="H151" s="6">
        <v>3.5610810000000002</v>
      </c>
      <c r="I151" s="6">
        <v>18500</v>
      </c>
      <c r="J151" s="6">
        <v>0</v>
      </c>
      <c r="K151" s="6">
        <v>18500</v>
      </c>
      <c r="L151" s="6">
        <v>18500</v>
      </c>
      <c r="M151" s="7">
        <v>4.4457420000000001</v>
      </c>
      <c r="N151" s="7">
        <v>2.1316809999999999</v>
      </c>
      <c r="O151" s="7">
        <v>0.31104599999999999</v>
      </c>
      <c r="P151" s="7">
        <v>2.060403</v>
      </c>
      <c r="Q151" s="7">
        <v>8.9488719999999997</v>
      </c>
      <c r="R151" s="7">
        <v>2.1809750000000001</v>
      </c>
      <c r="S151" s="7">
        <v>2.4985369999999998</v>
      </c>
      <c r="T151" s="7">
        <v>2.189565</v>
      </c>
      <c r="U151" s="7">
        <v>1.8580650000000001</v>
      </c>
      <c r="V151" s="7">
        <v>8.7271420000000006</v>
      </c>
      <c r="W151" s="7">
        <v>17.676013999999999</v>
      </c>
      <c r="X151" s="7">
        <v>2.6352100579729729</v>
      </c>
      <c r="Y151" s="7">
        <v>2.5582673471361108</v>
      </c>
      <c r="Z151" s="7">
        <v>22.869491405109081</v>
      </c>
      <c r="AA151" s="7">
        <v>4.0989244100165108</v>
      </c>
      <c r="AB151" s="7">
        <v>26.968415815125599</v>
      </c>
      <c r="AC151" s="7">
        <v>0</v>
      </c>
      <c r="AD151" s="7">
        <v>7.5959219999999998</v>
      </c>
      <c r="AE151" s="7">
        <v>0</v>
      </c>
      <c r="AF151" s="7">
        <v>0</v>
      </c>
      <c r="AG151" s="7">
        <v>34.564337815125597</v>
      </c>
      <c r="AH151" s="7">
        <v>2.3847860000000001</v>
      </c>
      <c r="AI151" s="7">
        <v>0</v>
      </c>
      <c r="AJ151" s="7">
        <v>2.2272669999999999</v>
      </c>
      <c r="AK151" s="7">
        <v>31.580468815125599</v>
      </c>
      <c r="AL151" s="7">
        <v>0</v>
      </c>
      <c r="AM151" s="7">
        <v>0</v>
      </c>
      <c r="AN151" s="7">
        <v>0</v>
      </c>
      <c r="AO151" s="7">
        <v>0</v>
      </c>
      <c r="AP151" s="7">
        <v>7.5893110000000004</v>
      </c>
      <c r="AQ151" s="7">
        <v>39.169779815125601</v>
      </c>
      <c r="AR151" s="7">
        <v>76.644977091716143</v>
      </c>
      <c r="AS151" s="7">
        <v>53.775485686607063</v>
      </c>
      <c r="AT151" s="7">
        <v>49.67656127659054</v>
      </c>
    </row>
    <row r="152" spans="1:46" x14ac:dyDescent="0.35">
      <c r="A152" s="5">
        <v>46022</v>
      </c>
      <c r="B152" s="4" t="s">
        <v>360</v>
      </c>
      <c r="C152" s="4" t="s">
        <v>361</v>
      </c>
      <c r="D152" s="4" t="s">
        <v>105</v>
      </c>
      <c r="E152" s="6">
        <v>0</v>
      </c>
      <c r="F152" s="6">
        <v>0</v>
      </c>
      <c r="G152" s="6">
        <v>0</v>
      </c>
      <c r="H152" s="6">
        <v>0</v>
      </c>
      <c r="I152" s="6">
        <v>0</v>
      </c>
      <c r="J152" s="6">
        <v>2803.9772950000001</v>
      </c>
      <c r="K152" s="6">
        <v>2803.9772950000001</v>
      </c>
      <c r="L152" s="6">
        <v>2803.9772950000001</v>
      </c>
      <c r="M152" s="7">
        <v>51.667036767594098</v>
      </c>
      <c r="N152" s="7">
        <v>1.2879320000000001</v>
      </c>
      <c r="O152" s="7">
        <v>12.338407806873979</v>
      </c>
      <c r="P152" s="7">
        <v>44.52447105564648</v>
      </c>
      <c r="Q152" s="7">
        <v>109.8178476301146</v>
      </c>
      <c r="R152" s="7">
        <v>3.3895005319148939</v>
      </c>
      <c r="S152" s="7">
        <v>4.5233411047463177</v>
      </c>
      <c r="T152" s="7">
        <v>21.407800728314239</v>
      </c>
      <c r="U152" s="7">
        <v>6.56302031096563</v>
      </c>
      <c r="V152" s="7">
        <v>35.883662675941082</v>
      </c>
      <c r="W152" s="7">
        <v>145.70151030605561</v>
      </c>
      <c r="X152" s="7">
        <v>6.6214711217196208E-3</v>
      </c>
      <c r="Y152" s="7">
        <v>6.5489667830079972</v>
      </c>
      <c r="Z152" s="7">
        <v>152.2570985601854</v>
      </c>
      <c r="AA152" s="7">
        <v>0.37398804545055359</v>
      </c>
      <c r="AB152" s="7">
        <v>152.63108660563589</v>
      </c>
      <c r="AC152" s="7">
        <v>0</v>
      </c>
      <c r="AD152" s="7">
        <v>19.266149288052372</v>
      </c>
      <c r="AE152" s="7">
        <v>0</v>
      </c>
      <c r="AF152" s="7">
        <v>0</v>
      </c>
      <c r="AG152" s="7">
        <v>171.8972358936883</v>
      </c>
      <c r="AH152" s="7">
        <v>4.2944191816693937</v>
      </c>
      <c r="AI152" s="7">
        <v>0</v>
      </c>
      <c r="AJ152" s="7">
        <v>13.050655310965629</v>
      </c>
      <c r="AK152" s="7">
        <v>169.97616109827089</v>
      </c>
      <c r="AL152" s="7">
        <v>0</v>
      </c>
      <c r="AM152" s="7">
        <v>0</v>
      </c>
      <c r="AN152" s="7">
        <v>0</v>
      </c>
      <c r="AO152" s="7">
        <v>0</v>
      </c>
      <c r="AP152" s="7">
        <v>0</v>
      </c>
      <c r="AQ152" s="7">
        <v>169.97616109827089</v>
      </c>
      <c r="AR152" s="7">
        <v>165.94130569001621</v>
      </c>
      <c r="AS152" s="7">
        <v>13.68420712983084</v>
      </c>
      <c r="AT152" s="7">
        <v>13.310219084380281</v>
      </c>
    </row>
    <row r="153" spans="1:46" x14ac:dyDescent="0.35">
      <c r="A153" s="5">
        <v>46022</v>
      </c>
      <c r="B153" s="4" t="s">
        <v>362</v>
      </c>
      <c r="C153" s="4" t="s">
        <v>363</v>
      </c>
      <c r="D153" s="4" t="s">
        <v>105</v>
      </c>
      <c r="E153" s="6">
        <v>0</v>
      </c>
      <c r="F153" s="6">
        <v>0</v>
      </c>
      <c r="G153" s="6">
        <v>0</v>
      </c>
      <c r="H153" s="6">
        <v>0</v>
      </c>
      <c r="I153" s="6">
        <v>0</v>
      </c>
      <c r="J153" s="6">
        <v>2430</v>
      </c>
      <c r="K153" s="6">
        <v>2430</v>
      </c>
      <c r="L153" s="6">
        <v>2430</v>
      </c>
      <c r="M153" s="7">
        <v>25.820226999999999</v>
      </c>
      <c r="N153" s="7">
        <v>0.79213500000000003</v>
      </c>
      <c r="O153" s="7">
        <v>20.181920000000002</v>
      </c>
      <c r="P153" s="7">
        <v>17.229990000000001</v>
      </c>
      <c r="Q153" s="7">
        <v>64.024271999999996</v>
      </c>
      <c r="R153" s="7">
        <v>1.6955720000000001</v>
      </c>
      <c r="S153" s="7">
        <v>2.700577</v>
      </c>
      <c r="T153" s="7">
        <v>19.153974000000002</v>
      </c>
      <c r="U153" s="7">
        <v>-0.17838399999999999</v>
      </c>
      <c r="V153" s="7">
        <v>23.371739000000002</v>
      </c>
      <c r="W153" s="7">
        <v>87.396011000000001</v>
      </c>
      <c r="X153" s="7">
        <v>9.3727529999999993E-3</v>
      </c>
      <c r="Y153" s="7">
        <v>7.0678835879068256</v>
      </c>
      <c r="Z153" s="7">
        <v>94.473267340906816</v>
      </c>
      <c r="AA153" s="7">
        <v>4.9252803337765254</v>
      </c>
      <c r="AB153" s="7">
        <v>99.398547674683357</v>
      </c>
      <c r="AC153" s="7">
        <v>0</v>
      </c>
      <c r="AD153" s="7">
        <v>58.699564000000002</v>
      </c>
      <c r="AE153" s="7">
        <v>0</v>
      </c>
      <c r="AF153" s="7">
        <v>0</v>
      </c>
      <c r="AG153" s="7">
        <v>158.09811167468331</v>
      </c>
      <c r="AH153" s="7">
        <v>4.3013469999999989</v>
      </c>
      <c r="AI153" s="7">
        <v>0</v>
      </c>
      <c r="AJ153" s="7">
        <v>57.47231699999999</v>
      </c>
      <c r="AK153" s="7">
        <v>161.1722116746833</v>
      </c>
      <c r="AL153" s="7">
        <v>9.7637420000000006</v>
      </c>
      <c r="AM153" s="7">
        <v>0</v>
      </c>
      <c r="AN153" s="7">
        <v>0</v>
      </c>
      <c r="AO153" s="7">
        <v>0</v>
      </c>
      <c r="AP153" s="7">
        <v>0</v>
      </c>
      <c r="AQ153" s="7">
        <v>170.9359536746833</v>
      </c>
      <c r="AR153" s="7">
        <v>170.85182324953709</v>
      </c>
      <c r="AS153" s="7">
        <v>76.378555908630304</v>
      </c>
      <c r="AT153" s="7">
        <v>71.453275574853791</v>
      </c>
    </row>
    <row r="154" spans="1:46" x14ac:dyDescent="0.35">
      <c r="A154" s="5">
        <v>46022</v>
      </c>
      <c r="B154" s="4" t="s">
        <v>364</v>
      </c>
      <c r="C154" s="4" t="s">
        <v>365</v>
      </c>
      <c r="D154" s="4" t="s">
        <v>222</v>
      </c>
      <c r="E154" s="6">
        <v>30320</v>
      </c>
      <c r="F154" s="6">
        <v>0</v>
      </c>
      <c r="G154" s="6">
        <v>30320</v>
      </c>
      <c r="H154" s="6">
        <v>1.7772570000000001</v>
      </c>
      <c r="I154" s="6">
        <v>17060</v>
      </c>
      <c r="J154" s="6">
        <v>0</v>
      </c>
      <c r="K154" s="6">
        <v>17060</v>
      </c>
      <c r="L154" s="6">
        <v>21900</v>
      </c>
      <c r="M154" s="7">
        <v>2.1349330000000002</v>
      </c>
      <c r="N154" s="7">
        <v>2.0166810000000002</v>
      </c>
      <c r="O154" s="7">
        <v>5.665400000000001E-2</v>
      </c>
      <c r="P154" s="7">
        <v>2.3603519999999998</v>
      </c>
      <c r="Q154" s="7">
        <v>6.568620000000001</v>
      </c>
      <c r="R154" s="7">
        <v>1.887858</v>
      </c>
      <c r="S154" s="7">
        <v>1.331887</v>
      </c>
      <c r="T154" s="7">
        <v>1.4574739999999999</v>
      </c>
      <c r="U154" s="7">
        <v>2.0666669999999998</v>
      </c>
      <c r="V154" s="7">
        <v>6.7438859999999998</v>
      </c>
      <c r="W154" s="7">
        <v>13.312506000000001</v>
      </c>
      <c r="X154" s="7">
        <v>0.55038908184796353</v>
      </c>
      <c r="Y154" s="7">
        <v>0.59769806725942642</v>
      </c>
      <c r="Z154" s="7">
        <v>14.460593149107391</v>
      </c>
      <c r="AA154" s="7">
        <v>0.14308169871408749</v>
      </c>
      <c r="AB154" s="7">
        <v>14.60367484782148</v>
      </c>
      <c r="AC154" s="7">
        <v>0.11194999999999999</v>
      </c>
      <c r="AD154" s="7">
        <v>4.0630930000000012</v>
      </c>
      <c r="AE154" s="7">
        <v>0</v>
      </c>
      <c r="AF154" s="7">
        <v>0</v>
      </c>
      <c r="AG154" s="7">
        <v>18.778717847821479</v>
      </c>
      <c r="AH154" s="7">
        <v>0.95354000000000005</v>
      </c>
      <c r="AI154" s="7">
        <v>0</v>
      </c>
      <c r="AJ154" s="7">
        <v>1.96347</v>
      </c>
      <c r="AK154" s="7">
        <v>17.632634847821478</v>
      </c>
      <c r="AL154" s="7">
        <v>0.47945199999999999</v>
      </c>
      <c r="AM154" s="7">
        <v>0</v>
      </c>
      <c r="AN154" s="7">
        <v>0</v>
      </c>
      <c r="AO154" s="7">
        <v>0</v>
      </c>
      <c r="AP154" s="7">
        <v>0</v>
      </c>
      <c r="AQ154" s="7">
        <v>18.11208684782148</v>
      </c>
      <c r="AR154" s="7">
        <v>26.908416369283731</v>
      </c>
      <c r="AS154" s="7">
        <v>12.447823220176341</v>
      </c>
      <c r="AT154" s="7">
        <v>12.30474152146226</v>
      </c>
    </row>
    <row r="155" spans="1:46" x14ac:dyDescent="0.35">
      <c r="A155" s="5">
        <v>46022</v>
      </c>
      <c r="B155" s="4" t="s">
        <v>366</v>
      </c>
      <c r="C155" s="4" t="s">
        <v>367</v>
      </c>
      <c r="D155" s="4" t="s">
        <v>89</v>
      </c>
      <c r="E155" s="6">
        <v>0</v>
      </c>
      <c r="F155" s="6">
        <v>0</v>
      </c>
      <c r="G155" s="6">
        <v>0</v>
      </c>
      <c r="H155" s="6">
        <v>0</v>
      </c>
      <c r="I155" s="6">
        <v>0</v>
      </c>
      <c r="J155" s="6">
        <v>3000</v>
      </c>
      <c r="K155" s="6">
        <v>3000</v>
      </c>
      <c r="L155" s="6">
        <v>3000</v>
      </c>
      <c r="M155" s="7">
        <v>26.490846000000001</v>
      </c>
      <c r="N155" s="7">
        <v>4.3713160000000002</v>
      </c>
      <c r="O155" s="7">
        <v>1.727703</v>
      </c>
      <c r="P155" s="7">
        <v>7.7490750000000004</v>
      </c>
      <c r="Q155" s="7">
        <v>40.338940000000001</v>
      </c>
      <c r="R155" s="7">
        <v>6.4788519999999998</v>
      </c>
      <c r="S155" s="7">
        <v>1.615575</v>
      </c>
      <c r="T155" s="7">
        <v>5.9433059999999998</v>
      </c>
      <c r="U155" s="7">
        <v>5.2418839999999998</v>
      </c>
      <c r="V155" s="7">
        <v>19.279616999999998</v>
      </c>
      <c r="W155" s="7">
        <v>59.618557000000003</v>
      </c>
      <c r="X155" s="7">
        <v>2.3671739748777001</v>
      </c>
      <c r="Y155" s="7">
        <v>6.2885730905969721</v>
      </c>
      <c r="Z155" s="7">
        <v>68.274304065474666</v>
      </c>
      <c r="AA155" s="7">
        <v>5.719415547765756</v>
      </c>
      <c r="AB155" s="7">
        <v>73.99371961324043</v>
      </c>
      <c r="AC155" s="7">
        <v>0</v>
      </c>
      <c r="AD155" s="7">
        <v>34.230331</v>
      </c>
      <c r="AE155" s="7">
        <v>0</v>
      </c>
      <c r="AF155" s="7">
        <v>0</v>
      </c>
      <c r="AG155" s="7">
        <v>108.22405061324039</v>
      </c>
      <c r="AH155" s="7">
        <v>2.5588289999999998</v>
      </c>
      <c r="AI155" s="7">
        <v>0</v>
      </c>
      <c r="AJ155" s="7">
        <v>31.616986000000001</v>
      </c>
      <c r="AK155" s="7">
        <v>108.1695346132404</v>
      </c>
      <c r="AL155" s="7">
        <v>0</v>
      </c>
      <c r="AM155" s="7">
        <v>0</v>
      </c>
      <c r="AN155" s="7">
        <v>0</v>
      </c>
      <c r="AO155" s="7">
        <v>0</v>
      </c>
      <c r="AP155" s="7">
        <v>0</v>
      </c>
      <c r="AQ155" s="7">
        <v>108.1695346132404</v>
      </c>
      <c r="AR155" s="7">
        <v>135.2743141099069</v>
      </c>
      <c r="AS155" s="7">
        <v>67.000010044432187</v>
      </c>
      <c r="AT155" s="7">
        <v>61.280594496666431</v>
      </c>
    </row>
    <row r="156" spans="1:46" x14ac:dyDescent="0.35">
      <c r="A156" s="5">
        <v>46022</v>
      </c>
      <c r="B156" s="4" t="s">
        <v>368</v>
      </c>
      <c r="C156" s="4" t="s">
        <v>369</v>
      </c>
      <c r="D156" s="4" t="s">
        <v>213</v>
      </c>
      <c r="E156" s="6">
        <v>547.5</v>
      </c>
      <c r="F156" s="6">
        <v>0</v>
      </c>
      <c r="G156" s="6">
        <v>547.5</v>
      </c>
      <c r="H156" s="6">
        <v>3</v>
      </c>
      <c r="I156" s="6">
        <v>182.5</v>
      </c>
      <c r="J156" s="6">
        <v>0</v>
      </c>
      <c r="K156" s="6">
        <v>182.5</v>
      </c>
      <c r="L156" s="6">
        <v>182.5</v>
      </c>
      <c r="M156" s="7">
        <v>14.340003047832139</v>
      </c>
      <c r="N156" s="7">
        <v>4.4636719999999999</v>
      </c>
      <c r="O156" s="7">
        <v>2.4057791382293119</v>
      </c>
      <c r="P156" s="7">
        <v>21.306144591285729</v>
      </c>
      <c r="Q156" s="7">
        <v>42.515598777347179</v>
      </c>
      <c r="R156" s="7">
        <v>29.792694658987259</v>
      </c>
      <c r="S156" s="7">
        <v>0.55339671827427472</v>
      </c>
      <c r="T156" s="7">
        <v>2.0340463674981262</v>
      </c>
      <c r="U156" s="7">
        <v>4.0521652588802048</v>
      </c>
      <c r="V156" s="7">
        <v>36.432303003639873</v>
      </c>
      <c r="W156" s="7">
        <v>78.947901780987053</v>
      </c>
      <c r="X156" s="7">
        <v>6.0248720799999997</v>
      </c>
      <c r="Y156" s="7">
        <v>8.8635721589553533</v>
      </c>
      <c r="Z156" s="7">
        <v>93.836346019942397</v>
      </c>
      <c r="AA156" s="7">
        <v>9.097201625806159</v>
      </c>
      <c r="AB156" s="7">
        <v>102.9335476457486</v>
      </c>
      <c r="AC156" s="7">
        <v>0</v>
      </c>
      <c r="AD156" s="7">
        <v>23.86748994418156</v>
      </c>
      <c r="AE156" s="7">
        <v>0</v>
      </c>
      <c r="AF156" s="7">
        <v>0</v>
      </c>
      <c r="AG156" s="7">
        <v>126.8010375899301</v>
      </c>
      <c r="AH156" s="7">
        <v>0.52748009273097096</v>
      </c>
      <c r="AI156" s="7">
        <v>0</v>
      </c>
      <c r="AJ156" s="7">
        <v>23.86748994418156</v>
      </c>
      <c r="AK156" s="7">
        <v>127.3285176826611</v>
      </c>
      <c r="AL156" s="7">
        <v>0</v>
      </c>
      <c r="AM156" s="7">
        <v>0</v>
      </c>
      <c r="AN156" s="7">
        <v>0</v>
      </c>
      <c r="AO156" s="7">
        <v>0</v>
      </c>
      <c r="AP156" s="7">
        <v>0</v>
      </c>
      <c r="AQ156" s="7">
        <v>127.3285176826611</v>
      </c>
      <c r="AR156" s="7">
        <v>129.3375396531512</v>
      </c>
      <c r="AS156" s="7">
        <v>35.501193633208842</v>
      </c>
      <c r="AT156" s="7">
        <v>26.403992007402682</v>
      </c>
    </row>
    <row r="157" spans="1:46" x14ac:dyDescent="0.35">
      <c r="A157" s="5">
        <v>46022</v>
      </c>
      <c r="B157" s="4" t="s">
        <v>370</v>
      </c>
      <c r="C157" s="4" t="s">
        <v>371</v>
      </c>
      <c r="D157" s="4" t="s">
        <v>69</v>
      </c>
      <c r="E157" s="6">
        <v>0</v>
      </c>
      <c r="F157" s="6">
        <v>0</v>
      </c>
      <c r="G157" s="6">
        <v>0</v>
      </c>
      <c r="H157" s="6">
        <v>0</v>
      </c>
      <c r="I157" s="6">
        <v>0</v>
      </c>
      <c r="J157" s="6">
        <v>0</v>
      </c>
      <c r="K157" s="6">
        <v>0</v>
      </c>
      <c r="L157" s="6">
        <v>29609.523809999999</v>
      </c>
      <c r="M157" s="7">
        <v>0</v>
      </c>
      <c r="N157" s="7">
        <v>0</v>
      </c>
      <c r="O157" s="7">
        <v>0</v>
      </c>
      <c r="P157" s="7">
        <v>0</v>
      </c>
      <c r="Q157" s="7">
        <v>0</v>
      </c>
      <c r="R157" s="7">
        <v>0.21603700000000001</v>
      </c>
      <c r="S157" s="7">
        <v>0.40687200000000001</v>
      </c>
      <c r="T157" s="7">
        <v>7.1465000000000001E-2</v>
      </c>
      <c r="U157" s="7">
        <v>3.712E-2</v>
      </c>
      <c r="V157" s="7">
        <v>0.73149400000000009</v>
      </c>
      <c r="W157" s="7">
        <v>0.73149400000000009</v>
      </c>
      <c r="X157" s="7">
        <v>0</v>
      </c>
      <c r="Y157" s="7">
        <v>0</v>
      </c>
      <c r="Z157" s="7">
        <v>0.73149400000000009</v>
      </c>
      <c r="AA157" s="7">
        <v>0.33066783668956751</v>
      </c>
      <c r="AB157" s="7">
        <v>1.062161836689568</v>
      </c>
      <c r="AC157" s="7">
        <v>0</v>
      </c>
      <c r="AD157" s="7">
        <v>0.152586</v>
      </c>
      <c r="AE157" s="7">
        <v>0</v>
      </c>
      <c r="AF157" s="7">
        <v>0</v>
      </c>
      <c r="AG157" s="7">
        <v>1.2147478366895681</v>
      </c>
      <c r="AH157" s="7">
        <v>0.69277</v>
      </c>
      <c r="AI157" s="7">
        <v>0</v>
      </c>
      <c r="AJ157" s="7">
        <v>7.0923E-2</v>
      </c>
      <c r="AK157" s="7">
        <v>1.8258548366895679</v>
      </c>
      <c r="AL157" s="7">
        <v>0</v>
      </c>
      <c r="AM157" s="7">
        <v>0</v>
      </c>
      <c r="AN157" s="7">
        <v>0</v>
      </c>
      <c r="AO157" s="7">
        <v>0</v>
      </c>
      <c r="AP157" s="7">
        <v>0</v>
      </c>
      <c r="AQ157" s="7">
        <v>1.8258548366895679</v>
      </c>
      <c r="AR157" s="7">
        <v>3.8889543016174568</v>
      </c>
      <c r="AS157" s="7">
        <v>3.1574603016174572</v>
      </c>
      <c r="AT157" s="7">
        <v>2.8267924649278888</v>
      </c>
    </row>
    <row r="158" spans="1:46" x14ac:dyDescent="0.35">
      <c r="A158" s="5">
        <v>46022</v>
      </c>
      <c r="B158" s="4" t="s">
        <v>372</v>
      </c>
      <c r="C158" s="4" t="s">
        <v>373</v>
      </c>
      <c r="D158" s="4" t="s">
        <v>111</v>
      </c>
      <c r="E158" s="6">
        <v>0</v>
      </c>
      <c r="F158" s="6">
        <v>0</v>
      </c>
      <c r="G158" s="6">
        <v>0</v>
      </c>
      <c r="H158" s="6">
        <v>0</v>
      </c>
      <c r="I158" s="6">
        <v>0</v>
      </c>
      <c r="J158" s="6">
        <v>0</v>
      </c>
      <c r="K158" s="6">
        <v>0</v>
      </c>
      <c r="L158" s="6">
        <v>12400</v>
      </c>
      <c r="M158" s="7">
        <v>0</v>
      </c>
      <c r="N158" s="7">
        <v>0</v>
      </c>
      <c r="O158" s="7">
        <v>0</v>
      </c>
      <c r="P158" s="7">
        <v>0</v>
      </c>
      <c r="Q158" s="7">
        <v>0</v>
      </c>
      <c r="R158" s="7">
        <v>0.163159</v>
      </c>
      <c r="S158" s="7">
        <v>7.4379999999999993E-3</v>
      </c>
      <c r="T158" s="7">
        <v>0.32583800000000002</v>
      </c>
      <c r="U158" s="7">
        <v>0.23258100000000001</v>
      </c>
      <c r="V158" s="7">
        <v>0.729016</v>
      </c>
      <c r="W158" s="7">
        <v>0.729016</v>
      </c>
      <c r="X158" s="7">
        <v>5.7027064766330647E-2</v>
      </c>
      <c r="Y158" s="7">
        <v>0</v>
      </c>
      <c r="Z158" s="7">
        <v>0.78604306476633057</v>
      </c>
      <c r="AA158" s="7">
        <v>0.38750846774392528</v>
      </c>
      <c r="AB158" s="7">
        <v>1.1735515325102559</v>
      </c>
      <c r="AC158" s="7">
        <v>0</v>
      </c>
      <c r="AD158" s="7">
        <v>0.8686529999999999</v>
      </c>
      <c r="AE158" s="7">
        <v>0</v>
      </c>
      <c r="AF158" s="7">
        <v>0</v>
      </c>
      <c r="AG158" s="7">
        <v>2.0422045325102558</v>
      </c>
      <c r="AH158" s="7">
        <v>6.4718999999999985E-2</v>
      </c>
      <c r="AI158" s="7">
        <v>0</v>
      </c>
      <c r="AJ158" s="7">
        <v>0.66761000000000004</v>
      </c>
      <c r="AK158" s="7">
        <v>1.9058805325102559</v>
      </c>
      <c r="AL158" s="7">
        <v>0</v>
      </c>
      <c r="AM158" s="7">
        <v>0</v>
      </c>
      <c r="AN158" s="7">
        <v>0</v>
      </c>
      <c r="AO158" s="7">
        <v>0</v>
      </c>
      <c r="AP158" s="7">
        <v>0</v>
      </c>
      <c r="AQ158" s="7">
        <v>1.9058805325102559</v>
      </c>
      <c r="AR158" s="7">
        <v>6.0167529289295887</v>
      </c>
      <c r="AS158" s="7">
        <v>5.2307098641632583</v>
      </c>
      <c r="AT158" s="7">
        <v>4.8432013964193326</v>
      </c>
    </row>
    <row r="159" spans="1:46" x14ac:dyDescent="0.35">
      <c r="A159" s="5">
        <v>46022</v>
      </c>
      <c r="B159" s="4" t="s">
        <v>374</v>
      </c>
      <c r="C159" s="4" t="s">
        <v>375</v>
      </c>
      <c r="D159" s="4" t="s">
        <v>61</v>
      </c>
      <c r="E159" s="6">
        <v>468.334632</v>
      </c>
      <c r="F159" s="6">
        <v>0</v>
      </c>
      <c r="G159" s="6">
        <v>468.334632</v>
      </c>
      <c r="H159" s="6">
        <v>3.7389000000000001</v>
      </c>
      <c r="I159" s="6">
        <v>125.26</v>
      </c>
      <c r="J159" s="6">
        <v>0</v>
      </c>
      <c r="K159" s="6">
        <v>125.26</v>
      </c>
      <c r="L159" s="6">
        <v>125.26</v>
      </c>
      <c r="M159" s="7">
        <v>4.446707</v>
      </c>
      <c r="N159" s="7">
        <v>1.8222050000000001</v>
      </c>
      <c r="O159" s="7">
        <v>0.28606199999999998</v>
      </c>
      <c r="P159" s="7">
        <v>3.63767</v>
      </c>
      <c r="Q159" s="7">
        <v>10.192644</v>
      </c>
      <c r="R159" s="7">
        <v>2.3442660000000002</v>
      </c>
      <c r="S159" s="7">
        <v>2.042754</v>
      </c>
      <c r="T159" s="7">
        <v>2.9006970000000001</v>
      </c>
      <c r="U159" s="7">
        <v>3.9826190000000001</v>
      </c>
      <c r="V159" s="7">
        <v>11.270336</v>
      </c>
      <c r="W159" s="7">
        <v>21.462980000000002</v>
      </c>
      <c r="X159" s="7">
        <v>0.7114237306402682</v>
      </c>
      <c r="Y159" s="7">
        <v>3.0957974671638429</v>
      </c>
      <c r="Z159" s="7">
        <v>25.270201197804109</v>
      </c>
      <c r="AA159" s="7">
        <v>5.43884109978457</v>
      </c>
      <c r="AB159" s="7">
        <v>30.709042297588681</v>
      </c>
      <c r="AC159" s="7">
        <v>0</v>
      </c>
      <c r="AD159" s="7">
        <v>1.712439</v>
      </c>
      <c r="AE159" s="7">
        <v>0</v>
      </c>
      <c r="AF159" s="7">
        <v>0</v>
      </c>
      <c r="AG159" s="7">
        <v>32.421481297588677</v>
      </c>
      <c r="AH159" s="7">
        <v>4.4700430000000013</v>
      </c>
      <c r="AI159" s="7">
        <v>0</v>
      </c>
      <c r="AJ159" s="7">
        <v>1.712439</v>
      </c>
      <c r="AK159" s="7">
        <v>36.891524297588681</v>
      </c>
      <c r="AL159" s="7">
        <v>0</v>
      </c>
      <c r="AM159" s="7">
        <v>0</v>
      </c>
      <c r="AN159" s="7">
        <v>0</v>
      </c>
      <c r="AO159" s="7">
        <v>0</v>
      </c>
      <c r="AP159" s="7">
        <v>0</v>
      </c>
      <c r="AQ159" s="7">
        <v>36.891524297588681</v>
      </c>
      <c r="AR159" s="7">
        <v>45.173470652467508</v>
      </c>
      <c r="AS159" s="7">
        <v>19.903269454663398</v>
      </c>
      <c r="AT159" s="7">
        <v>14.46442835487883</v>
      </c>
    </row>
    <row r="160" spans="1:46" x14ac:dyDescent="0.35">
      <c r="A160" s="5">
        <v>46022</v>
      </c>
      <c r="B160" s="4" t="s">
        <v>376</v>
      </c>
      <c r="C160" s="4" t="s">
        <v>377</v>
      </c>
      <c r="D160" s="4" t="s">
        <v>61</v>
      </c>
      <c r="E160" s="6">
        <v>0</v>
      </c>
      <c r="F160" s="6">
        <v>0</v>
      </c>
      <c r="G160" s="6">
        <v>0</v>
      </c>
      <c r="H160" s="6">
        <v>0</v>
      </c>
      <c r="I160" s="6">
        <v>0</v>
      </c>
      <c r="J160" s="6">
        <v>65</v>
      </c>
      <c r="K160" s="6">
        <v>65</v>
      </c>
      <c r="L160" s="6">
        <v>65</v>
      </c>
      <c r="M160" s="7">
        <v>5.2794220000000003</v>
      </c>
      <c r="N160" s="7">
        <v>0</v>
      </c>
      <c r="O160" s="7">
        <v>2.464464</v>
      </c>
      <c r="P160" s="7">
        <v>5.4096710000000003</v>
      </c>
      <c r="Q160" s="7">
        <v>13.153556999999999</v>
      </c>
      <c r="R160" s="7">
        <v>2.6794539999999998</v>
      </c>
      <c r="S160" s="7">
        <v>0.84156600000000015</v>
      </c>
      <c r="T160" s="7">
        <v>4.0202429999999998</v>
      </c>
      <c r="U160" s="7">
        <v>2.4608460000000001</v>
      </c>
      <c r="V160" s="7">
        <v>10.002109000000001</v>
      </c>
      <c r="W160" s="7">
        <v>23.155666</v>
      </c>
      <c r="X160" s="7">
        <v>0.3378403702153846</v>
      </c>
      <c r="Y160" s="7">
        <v>2.0564331330027241</v>
      </c>
      <c r="Z160" s="7">
        <v>25.549939503218109</v>
      </c>
      <c r="AA160" s="7">
        <v>3.4700603181625471</v>
      </c>
      <c r="AB160" s="7">
        <v>29.019999821380662</v>
      </c>
      <c r="AC160" s="7">
        <v>0</v>
      </c>
      <c r="AD160" s="7">
        <v>0.41722300000000001</v>
      </c>
      <c r="AE160" s="7">
        <v>0</v>
      </c>
      <c r="AF160" s="7">
        <v>0</v>
      </c>
      <c r="AG160" s="7">
        <v>29.437222821380661</v>
      </c>
      <c r="AH160" s="7">
        <v>0.16014600000000001</v>
      </c>
      <c r="AI160" s="7">
        <v>0</v>
      </c>
      <c r="AJ160" s="7">
        <v>0.81758799999999998</v>
      </c>
      <c r="AK160" s="7">
        <v>29.99773382138066</v>
      </c>
      <c r="AL160" s="7">
        <v>0</v>
      </c>
      <c r="AM160" s="7">
        <v>0</v>
      </c>
      <c r="AN160" s="7">
        <v>0</v>
      </c>
      <c r="AO160" s="7">
        <v>0</v>
      </c>
      <c r="AP160" s="7">
        <v>0</v>
      </c>
      <c r="AQ160" s="7">
        <v>29.99773382138066</v>
      </c>
      <c r="AR160" s="7">
        <v>28.718437874466161</v>
      </c>
      <c r="AS160" s="7">
        <v>3.1684983712480461</v>
      </c>
      <c r="AT160" s="7">
        <v>-0.30156194691450111</v>
      </c>
    </row>
    <row r="161" spans="1:46" x14ac:dyDescent="0.35">
      <c r="A161" s="5">
        <v>46022</v>
      </c>
      <c r="B161" s="4" t="s">
        <v>378</v>
      </c>
      <c r="C161" s="4" t="s">
        <v>379</v>
      </c>
      <c r="D161" s="4" t="s">
        <v>61</v>
      </c>
      <c r="E161" s="6">
        <v>0</v>
      </c>
      <c r="F161" s="6">
        <v>0</v>
      </c>
      <c r="G161" s="6">
        <v>0</v>
      </c>
      <c r="H161" s="6">
        <v>0</v>
      </c>
      <c r="I161" s="6">
        <v>0</v>
      </c>
      <c r="J161" s="6">
        <v>420</v>
      </c>
      <c r="K161" s="6">
        <v>420</v>
      </c>
      <c r="L161" s="6">
        <v>420</v>
      </c>
      <c r="M161" s="7">
        <v>3.5481959999999999</v>
      </c>
      <c r="N161" s="7">
        <v>0</v>
      </c>
      <c r="O161" s="7">
        <v>1.7755879999999999</v>
      </c>
      <c r="P161" s="7">
        <v>8.5441730000000007</v>
      </c>
      <c r="Q161" s="7">
        <v>13.867957000000001</v>
      </c>
      <c r="R161" s="7">
        <v>1.6128100000000001</v>
      </c>
      <c r="S161" s="7">
        <v>1.5936440000000001</v>
      </c>
      <c r="T161" s="7">
        <v>2.6144669999999999</v>
      </c>
      <c r="U161" s="7">
        <v>6.8688580000000004</v>
      </c>
      <c r="V161" s="7">
        <v>12.689779</v>
      </c>
      <c r="W161" s="7">
        <v>26.557735999999998</v>
      </c>
      <c r="X161" s="7">
        <v>5.5939213745666674</v>
      </c>
      <c r="Y161" s="7">
        <v>12.72432476215409</v>
      </c>
      <c r="Z161" s="7">
        <v>44.875982136720758</v>
      </c>
      <c r="AA161" s="7">
        <v>12.185092738277421</v>
      </c>
      <c r="AB161" s="7">
        <v>57.061074874998177</v>
      </c>
      <c r="AC161" s="7">
        <v>0</v>
      </c>
      <c r="AD161" s="7">
        <v>2.773056</v>
      </c>
      <c r="AE161" s="7">
        <v>0</v>
      </c>
      <c r="AF161" s="7">
        <v>0</v>
      </c>
      <c r="AG161" s="7">
        <v>59.834130874998181</v>
      </c>
      <c r="AH161" s="7">
        <v>2.485074</v>
      </c>
      <c r="AI161" s="7">
        <v>0</v>
      </c>
      <c r="AJ161" s="7">
        <v>3.1242540000000001</v>
      </c>
      <c r="AK161" s="7">
        <v>62.670402874998182</v>
      </c>
      <c r="AL161" s="7">
        <v>0</v>
      </c>
      <c r="AM161" s="7">
        <v>0</v>
      </c>
      <c r="AN161" s="7">
        <v>0</v>
      </c>
      <c r="AO161" s="7">
        <v>0</v>
      </c>
      <c r="AP161" s="7">
        <v>0</v>
      </c>
      <c r="AQ161" s="7">
        <v>62.670402874998182</v>
      </c>
      <c r="AR161" s="7">
        <v>190.05937898072409</v>
      </c>
      <c r="AS161" s="7">
        <v>145.1833968440034</v>
      </c>
      <c r="AT161" s="7">
        <v>132.99830410572599</v>
      </c>
    </row>
    <row r="162" spans="1:46" x14ac:dyDescent="0.35">
      <c r="A162" s="5">
        <v>46022</v>
      </c>
      <c r="B162" s="4" t="s">
        <v>380</v>
      </c>
      <c r="C162" s="4" t="s">
        <v>381</v>
      </c>
      <c r="D162" s="4" t="s">
        <v>58</v>
      </c>
      <c r="E162" s="6">
        <v>53557.251907999998</v>
      </c>
      <c r="F162" s="6">
        <v>0</v>
      </c>
      <c r="G162" s="6">
        <v>53557.251907999998</v>
      </c>
      <c r="H162" s="6">
        <v>2.2315520000000002</v>
      </c>
      <c r="I162" s="6">
        <v>24000</v>
      </c>
      <c r="J162" s="6">
        <v>0</v>
      </c>
      <c r="K162" s="6">
        <v>24000</v>
      </c>
      <c r="L162" s="6">
        <v>24102.3</v>
      </c>
      <c r="M162" s="7">
        <v>3.2955209999999999</v>
      </c>
      <c r="N162" s="7">
        <v>1.7193659999999999</v>
      </c>
      <c r="O162" s="7">
        <v>8.7639999999999992E-3</v>
      </c>
      <c r="P162" s="7">
        <v>0.99929000000000012</v>
      </c>
      <c r="Q162" s="7">
        <v>6.0229410000000003</v>
      </c>
      <c r="R162" s="7">
        <v>2.2997269999999999</v>
      </c>
      <c r="S162" s="7">
        <v>1.4078539999999999</v>
      </c>
      <c r="T162" s="7">
        <v>1.664442</v>
      </c>
      <c r="U162" s="7">
        <v>0.60365599999999997</v>
      </c>
      <c r="V162" s="7">
        <v>5.9756790000000004</v>
      </c>
      <c r="W162" s="7">
        <v>11.998620000000001</v>
      </c>
      <c r="X162" s="7">
        <v>7.4106960414566242E-2</v>
      </c>
      <c r="Y162" s="7">
        <v>0</v>
      </c>
      <c r="Z162" s="7">
        <v>12.07272696041457</v>
      </c>
      <c r="AA162" s="7">
        <v>1.7929124088150551E-2</v>
      </c>
      <c r="AB162" s="7">
        <v>12.09065608450272</v>
      </c>
      <c r="AC162" s="7">
        <v>0</v>
      </c>
      <c r="AD162" s="7">
        <v>0.29777100000000001</v>
      </c>
      <c r="AE162" s="7">
        <v>0</v>
      </c>
      <c r="AF162" s="7">
        <v>0</v>
      </c>
      <c r="AG162" s="7">
        <v>12.38842708450272</v>
      </c>
      <c r="AH162" s="7">
        <v>0.30562099999999998</v>
      </c>
      <c r="AI162" s="7">
        <v>0</v>
      </c>
      <c r="AJ162" s="7">
        <v>2.3224000000000002E-2</v>
      </c>
      <c r="AK162" s="7">
        <v>12.41950108450272</v>
      </c>
      <c r="AL162" s="7">
        <v>0</v>
      </c>
      <c r="AM162" s="7">
        <v>0</v>
      </c>
      <c r="AN162" s="7">
        <v>0</v>
      </c>
      <c r="AO162" s="7">
        <v>0</v>
      </c>
      <c r="AP162" s="7">
        <v>0</v>
      </c>
      <c r="AQ162" s="7">
        <v>12.41950108450272</v>
      </c>
      <c r="AR162" s="7">
        <v>12.2934856855886</v>
      </c>
      <c r="AS162" s="7">
        <v>0.2207587251740295</v>
      </c>
      <c r="AT162" s="7">
        <v>0.202829601085879</v>
      </c>
    </row>
    <row r="163" spans="1:46" x14ac:dyDescent="0.35">
      <c r="A163" s="5">
        <v>46022</v>
      </c>
      <c r="B163" s="4" t="s">
        <v>382</v>
      </c>
      <c r="C163" s="4" t="s">
        <v>383</v>
      </c>
      <c r="D163" s="4" t="s">
        <v>344</v>
      </c>
      <c r="E163" s="6">
        <v>0</v>
      </c>
      <c r="F163" s="6">
        <v>0</v>
      </c>
      <c r="G163" s="6">
        <v>0</v>
      </c>
      <c r="H163" s="6">
        <v>0</v>
      </c>
      <c r="I163" s="6">
        <v>0</v>
      </c>
      <c r="J163" s="6">
        <v>4724.3639999999996</v>
      </c>
      <c r="K163" s="6">
        <v>4724.3639999999996</v>
      </c>
      <c r="L163" s="6">
        <v>4693.59</v>
      </c>
      <c r="M163" s="7">
        <v>13.932062</v>
      </c>
      <c r="N163" s="7">
        <v>23.575763999999999</v>
      </c>
      <c r="O163" s="7">
        <v>1.1872720000000001</v>
      </c>
      <c r="P163" s="7">
        <v>2.4071199999999999</v>
      </c>
      <c r="Q163" s="7">
        <v>41.102218000000001</v>
      </c>
      <c r="R163" s="7">
        <v>5.6950390000000013</v>
      </c>
      <c r="S163" s="7">
        <v>2.9699529999999998</v>
      </c>
      <c r="T163" s="7">
        <v>6.4286839999999996</v>
      </c>
      <c r="U163" s="7">
        <v>5.4082100000000013</v>
      </c>
      <c r="V163" s="7">
        <v>20.501885999999999</v>
      </c>
      <c r="W163" s="7">
        <v>61.604104</v>
      </c>
      <c r="X163" s="7">
        <v>20.623467144005438</v>
      </c>
      <c r="Y163" s="7">
        <v>14.039397965831419</v>
      </c>
      <c r="Z163" s="7">
        <v>96.266969109836865</v>
      </c>
      <c r="AA163" s="7">
        <v>0</v>
      </c>
      <c r="AB163" s="7">
        <v>96.266969109836865</v>
      </c>
      <c r="AC163" s="7">
        <v>0</v>
      </c>
      <c r="AD163" s="7">
        <v>19.18544</v>
      </c>
      <c r="AE163" s="7">
        <v>0</v>
      </c>
      <c r="AF163" s="7">
        <v>0</v>
      </c>
      <c r="AG163" s="7">
        <v>115.45240910983691</v>
      </c>
      <c r="AH163" s="7">
        <v>1.7212810000000001</v>
      </c>
      <c r="AI163" s="7">
        <v>0</v>
      </c>
      <c r="AJ163" s="7">
        <v>3.1187860000000001</v>
      </c>
      <c r="AK163" s="7">
        <v>101.1070361098369</v>
      </c>
      <c r="AL163" s="7">
        <v>0</v>
      </c>
      <c r="AM163" s="7">
        <v>0</v>
      </c>
      <c r="AN163" s="7">
        <v>0</v>
      </c>
      <c r="AO163" s="7">
        <v>0</v>
      </c>
      <c r="AP163" s="7">
        <v>0</v>
      </c>
      <c r="AQ163" s="7">
        <v>101.1070361098369</v>
      </c>
      <c r="AR163" s="7">
        <v>152.36428219979919</v>
      </c>
      <c r="AS163" s="7">
        <v>56.097313089962391</v>
      </c>
      <c r="AT163" s="7">
        <v>56.097313089962391</v>
      </c>
    </row>
    <row r="164" spans="1:46" x14ac:dyDescent="0.35">
      <c r="A164" s="5">
        <v>46022</v>
      </c>
      <c r="B164" s="4" t="s">
        <v>384</v>
      </c>
      <c r="C164" s="4" t="s">
        <v>385</v>
      </c>
      <c r="D164" s="4" t="s">
        <v>89</v>
      </c>
      <c r="E164" s="6">
        <v>0</v>
      </c>
      <c r="F164" s="6">
        <v>0</v>
      </c>
      <c r="G164" s="6">
        <v>0</v>
      </c>
      <c r="H164" s="6">
        <v>0</v>
      </c>
      <c r="I164" s="6">
        <v>0</v>
      </c>
      <c r="J164" s="6">
        <v>1493.0334</v>
      </c>
      <c r="K164" s="6">
        <v>1493.0334</v>
      </c>
      <c r="L164" s="6">
        <v>1453.1558</v>
      </c>
      <c r="M164" s="7">
        <v>43.807155000000002</v>
      </c>
      <c r="N164" s="7">
        <v>17.127606</v>
      </c>
      <c r="O164" s="7">
        <v>9.9668349999999997</v>
      </c>
      <c r="P164" s="7">
        <v>55.264597999999999</v>
      </c>
      <c r="Q164" s="7">
        <v>126.166194</v>
      </c>
      <c r="R164" s="7">
        <v>20.968222000000001</v>
      </c>
      <c r="S164" s="7">
        <v>3.8659729999999999</v>
      </c>
      <c r="T164" s="7">
        <v>7.2670209999999997</v>
      </c>
      <c r="U164" s="7">
        <v>23.073519999999998</v>
      </c>
      <c r="V164" s="7">
        <v>55.174736000000003</v>
      </c>
      <c r="W164" s="7">
        <v>181.34092999999999</v>
      </c>
      <c r="X164" s="7">
        <v>11.29284079880609</v>
      </c>
      <c r="Y164" s="7">
        <v>19.64692175152128</v>
      </c>
      <c r="Z164" s="7">
        <v>212.28069255032739</v>
      </c>
      <c r="AA164" s="7">
        <v>12.30053040505752</v>
      </c>
      <c r="AB164" s="7">
        <v>224.5812229553849</v>
      </c>
      <c r="AC164" s="7">
        <v>0</v>
      </c>
      <c r="AD164" s="7">
        <v>23.588871999999999</v>
      </c>
      <c r="AE164" s="7">
        <v>0</v>
      </c>
      <c r="AF164" s="7">
        <v>-4.9581660000000003</v>
      </c>
      <c r="AG164" s="7">
        <v>243.21192895538491</v>
      </c>
      <c r="AH164" s="7">
        <v>14.075535</v>
      </c>
      <c r="AI164" s="7">
        <v>0</v>
      </c>
      <c r="AJ164" s="7">
        <v>10.443139</v>
      </c>
      <c r="AK164" s="7">
        <v>249.09989695538491</v>
      </c>
      <c r="AL164" s="7">
        <v>52.896768999999999</v>
      </c>
      <c r="AM164" s="7">
        <v>0</v>
      </c>
      <c r="AN164" s="7">
        <v>0</v>
      </c>
      <c r="AO164" s="7">
        <v>0</v>
      </c>
      <c r="AP164" s="7">
        <v>0</v>
      </c>
      <c r="AQ164" s="7">
        <v>301.99666595538491</v>
      </c>
      <c r="AR164" s="7">
        <v>222.74049693457621</v>
      </c>
      <c r="AS164" s="7">
        <v>10.459804384248841</v>
      </c>
      <c r="AT164" s="7">
        <v>-1.840726020808684</v>
      </c>
    </row>
    <row r="165" spans="1:46" x14ac:dyDescent="0.35">
      <c r="A165" s="5">
        <v>46022</v>
      </c>
      <c r="B165" s="4" t="s">
        <v>386</v>
      </c>
      <c r="C165" s="4" t="s">
        <v>387</v>
      </c>
      <c r="D165" s="4" t="s">
        <v>222</v>
      </c>
      <c r="E165" s="6">
        <v>1855</v>
      </c>
      <c r="F165" s="6">
        <v>0</v>
      </c>
      <c r="G165" s="6">
        <v>1855</v>
      </c>
      <c r="H165" s="6">
        <v>2.65</v>
      </c>
      <c r="I165" s="6">
        <v>700</v>
      </c>
      <c r="J165" s="6">
        <v>2500</v>
      </c>
      <c r="K165" s="6">
        <v>3200</v>
      </c>
      <c r="L165" s="6">
        <v>3205</v>
      </c>
      <c r="M165" s="7">
        <v>17.989493</v>
      </c>
      <c r="N165" s="7">
        <v>1.1394390000000001</v>
      </c>
      <c r="O165" s="7">
        <v>0.60645199999999999</v>
      </c>
      <c r="P165" s="7">
        <v>6.6809989999999999</v>
      </c>
      <c r="Q165" s="7">
        <v>26.416383</v>
      </c>
      <c r="R165" s="7">
        <v>6.3847969999999998</v>
      </c>
      <c r="S165" s="7">
        <v>1.180525</v>
      </c>
      <c r="T165" s="7">
        <v>1.460159</v>
      </c>
      <c r="U165" s="7">
        <v>7.2577270000000009</v>
      </c>
      <c r="V165" s="7">
        <v>16.283207999999998</v>
      </c>
      <c r="W165" s="7">
        <v>42.699590999999998</v>
      </c>
      <c r="X165" s="7">
        <v>8.0590810521060846E-2</v>
      </c>
      <c r="Y165" s="7">
        <v>0.71815475169201559</v>
      </c>
      <c r="Z165" s="7">
        <v>43.498336562213083</v>
      </c>
      <c r="AA165" s="7">
        <v>4.6680618845283206</v>
      </c>
      <c r="AB165" s="7">
        <v>48.166398446741397</v>
      </c>
      <c r="AC165" s="7">
        <v>0.68241200000000013</v>
      </c>
      <c r="AD165" s="7">
        <v>14.017208</v>
      </c>
      <c r="AE165" s="7">
        <v>0</v>
      </c>
      <c r="AF165" s="7">
        <v>0</v>
      </c>
      <c r="AG165" s="7">
        <v>62.8660184467414</v>
      </c>
      <c r="AH165" s="7">
        <v>2.806851</v>
      </c>
      <c r="AI165" s="7">
        <v>0.68642700000000012</v>
      </c>
      <c r="AJ165" s="7">
        <v>14.102964</v>
      </c>
      <c r="AK165" s="7">
        <v>66.4450524467414</v>
      </c>
      <c r="AL165" s="7">
        <v>3.8377539999999999</v>
      </c>
      <c r="AM165" s="7">
        <v>0</v>
      </c>
      <c r="AN165" s="7">
        <v>0</v>
      </c>
      <c r="AO165" s="7">
        <v>0</v>
      </c>
      <c r="AP165" s="7">
        <v>0</v>
      </c>
      <c r="AQ165" s="7">
        <v>70.282806446741404</v>
      </c>
      <c r="AR165" s="7">
        <v>101.70867125142109</v>
      </c>
      <c r="AS165" s="7">
        <v>58.210334689208011</v>
      </c>
      <c r="AT165" s="7">
        <v>53.542272804679683</v>
      </c>
    </row>
    <row r="166" spans="1:46" x14ac:dyDescent="0.35">
      <c r="A166" s="5">
        <v>46022</v>
      </c>
      <c r="B166" s="4" t="s">
        <v>388</v>
      </c>
      <c r="C166" s="4" t="s">
        <v>389</v>
      </c>
      <c r="D166" s="4" t="s">
        <v>61</v>
      </c>
      <c r="E166" s="6">
        <v>0</v>
      </c>
      <c r="F166" s="6">
        <v>0</v>
      </c>
      <c r="G166" s="6">
        <v>0</v>
      </c>
      <c r="H166" s="6">
        <v>0</v>
      </c>
      <c r="I166" s="6">
        <v>0</v>
      </c>
      <c r="J166" s="6">
        <v>495</v>
      </c>
      <c r="K166" s="6">
        <v>495</v>
      </c>
      <c r="L166" s="6">
        <v>495</v>
      </c>
      <c r="M166" s="7">
        <v>3.3147859999999998</v>
      </c>
      <c r="N166" s="7">
        <v>0.39701599999999998</v>
      </c>
      <c r="O166" s="7">
        <v>2.5068480000000002</v>
      </c>
      <c r="P166" s="7">
        <v>4.8794680000000001</v>
      </c>
      <c r="Q166" s="7">
        <v>11.098117999999999</v>
      </c>
      <c r="R166" s="7">
        <v>0.86691399999999996</v>
      </c>
      <c r="S166" s="7">
        <v>1.284953</v>
      </c>
      <c r="T166" s="7">
        <v>2.5888399999999998</v>
      </c>
      <c r="U166" s="7">
        <v>3.5830869999999999</v>
      </c>
      <c r="V166" s="7">
        <v>8.3237939999999995</v>
      </c>
      <c r="W166" s="7">
        <v>19.421911999999999</v>
      </c>
      <c r="X166" s="7">
        <v>3.3682943189030299</v>
      </c>
      <c r="Y166" s="7">
        <v>14.991864529229829</v>
      </c>
      <c r="Z166" s="7">
        <v>37.782070848132861</v>
      </c>
      <c r="AA166" s="7">
        <v>5.0665483743385069</v>
      </c>
      <c r="AB166" s="7">
        <v>42.84861922247137</v>
      </c>
      <c r="AC166" s="7">
        <v>0</v>
      </c>
      <c r="AD166" s="7">
        <v>1.2491749999999999</v>
      </c>
      <c r="AE166" s="7">
        <v>0</v>
      </c>
      <c r="AF166" s="7">
        <v>0</v>
      </c>
      <c r="AG166" s="7">
        <v>44.097794222471371</v>
      </c>
      <c r="AH166" s="7">
        <v>1.281477</v>
      </c>
      <c r="AI166" s="7">
        <v>0</v>
      </c>
      <c r="AJ166" s="7">
        <v>2.2335820000000002</v>
      </c>
      <c r="AK166" s="7">
        <v>46.363678222471371</v>
      </c>
      <c r="AL166" s="7">
        <v>0</v>
      </c>
      <c r="AM166" s="7">
        <v>0</v>
      </c>
      <c r="AN166" s="7">
        <v>0</v>
      </c>
      <c r="AO166" s="7">
        <v>0</v>
      </c>
      <c r="AP166" s="7">
        <v>0</v>
      </c>
      <c r="AQ166" s="7">
        <v>46.363678222471371</v>
      </c>
      <c r="AR166" s="7">
        <v>196.1919549546588</v>
      </c>
      <c r="AS166" s="7">
        <v>158.40988410652599</v>
      </c>
      <c r="AT166" s="7">
        <v>153.34333573218751</v>
      </c>
    </row>
    <row r="167" spans="1:46" x14ac:dyDescent="0.35">
      <c r="A167" s="5">
        <v>46022</v>
      </c>
      <c r="B167" s="4" t="s">
        <v>390</v>
      </c>
      <c r="C167" s="4" t="s">
        <v>391</v>
      </c>
      <c r="D167" s="4" t="s">
        <v>213</v>
      </c>
      <c r="E167" s="6">
        <v>2568.6046510000001</v>
      </c>
      <c r="F167" s="6">
        <v>0</v>
      </c>
      <c r="G167" s="6">
        <v>2568.6046510000001</v>
      </c>
      <c r="H167" s="6">
        <v>3.5</v>
      </c>
      <c r="I167" s="6">
        <v>733.88704299999995</v>
      </c>
      <c r="J167" s="6">
        <v>0</v>
      </c>
      <c r="K167" s="6">
        <v>733.88704299999995</v>
      </c>
      <c r="L167" s="6">
        <v>733.88704299999995</v>
      </c>
      <c r="M167" s="7">
        <v>21.623479</v>
      </c>
      <c r="N167" s="7">
        <v>19.266672</v>
      </c>
      <c r="O167" s="7">
        <v>0.60342700000000005</v>
      </c>
      <c r="P167" s="7">
        <v>9.2643989999999992</v>
      </c>
      <c r="Q167" s="7">
        <v>50.757976999999997</v>
      </c>
      <c r="R167" s="7">
        <v>15.336452</v>
      </c>
      <c r="S167" s="7">
        <v>22.868243</v>
      </c>
      <c r="T167" s="7">
        <v>26.940359000000001</v>
      </c>
      <c r="U167" s="7">
        <v>8.3109570000000001</v>
      </c>
      <c r="V167" s="7">
        <v>73.456011000000004</v>
      </c>
      <c r="W167" s="7">
        <v>124.213988</v>
      </c>
      <c r="X167" s="7">
        <v>5.2775167395617864</v>
      </c>
      <c r="Y167" s="7">
        <v>0</v>
      </c>
      <c r="Z167" s="7">
        <v>129.4915047395618</v>
      </c>
      <c r="AA167" s="7">
        <v>6.9677244095074169</v>
      </c>
      <c r="AB167" s="7">
        <v>136.45922914906919</v>
      </c>
      <c r="AC167" s="7">
        <v>0.93160500000000013</v>
      </c>
      <c r="AD167" s="7">
        <v>9.3799449999999993</v>
      </c>
      <c r="AE167" s="7">
        <v>0</v>
      </c>
      <c r="AF167" s="7">
        <v>0</v>
      </c>
      <c r="AG167" s="7">
        <v>146.7707791490692</v>
      </c>
      <c r="AH167" s="7">
        <v>9.1587150000000008</v>
      </c>
      <c r="AI167" s="7">
        <v>0</v>
      </c>
      <c r="AJ167" s="7">
        <v>2.7252149999999999</v>
      </c>
      <c r="AK167" s="7">
        <v>149.2747641490692</v>
      </c>
      <c r="AL167" s="7">
        <v>0</v>
      </c>
      <c r="AM167" s="7">
        <v>0</v>
      </c>
      <c r="AN167" s="7">
        <v>0</v>
      </c>
      <c r="AO167" s="7">
        <v>0</v>
      </c>
      <c r="AP167" s="7">
        <v>0</v>
      </c>
      <c r="AQ167" s="7">
        <v>149.2747641490692</v>
      </c>
      <c r="AR167" s="7">
        <v>278.70839169231658</v>
      </c>
      <c r="AS167" s="7">
        <v>149.21688695275481</v>
      </c>
      <c r="AT167" s="7">
        <v>142.24916254324739</v>
      </c>
    </row>
    <row r="168" spans="1:46" x14ac:dyDescent="0.35">
      <c r="A168" s="5">
        <v>46022</v>
      </c>
      <c r="B168" s="4" t="s">
        <v>392</v>
      </c>
      <c r="C168" s="4" t="s">
        <v>393</v>
      </c>
      <c r="D168" s="4" t="s">
        <v>50</v>
      </c>
      <c r="E168" s="6">
        <v>0</v>
      </c>
      <c r="F168" s="6">
        <v>0</v>
      </c>
      <c r="G168" s="6">
        <v>0</v>
      </c>
      <c r="H168" s="6">
        <v>0</v>
      </c>
      <c r="I168" s="6">
        <v>0</v>
      </c>
      <c r="J168" s="6">
        <v>1042</v>
      </c>
      <c r="K168" s="6">
        <v>1042</v>
      </c>
      <c r="L168" s="6">
        <v>1056</v>
      </c>
      <c r="M168" s="7">
        <v>58.751528</v>
      </c>
      <c r="N168" s="7">
        <v>12.369607</v>
      </c>
      <c r="O168" s="7">
        <v>9.9636499999999995</v>
      </c>
      <c r="P168" s="7">
        <v>25.398807000000001</v>
      </c>
      <c r="Q168" s="7">
        <v>106.483592</v>
      </c>
      <c r="R168" s="7">
        <v>9.7169229999999995</v>
      </c>
      <c r="S168" s="7">
        <v>1.654148</v>
      </c>
      <c r="T168" s="7">
        <v>3.4250090000000002</v>
      </c>
      <c r="U168" s="7">
        <v>3.5309349999999999</v>
      </c>
      <c r="V168" s="7">
        <v>18.327014999999999</v>
      </c>
      <c r="W168" s="7">
        <v>124.810607</v>
      </c>
      <c r="X168" s="7">
        <v>2.6318679387960229</v>
      </c>
      <c r="Y168" s="7">
        <v>16.589232381165679</v>
      </c>
      <c r="Z168" s="7">
        <v>144.0317073199617</v>
      </c>
      <c r="AA168" s="7">
        <v>1.789073119063904</v>
      </c>
      <c r="AB168" s="7">
        <v>145.82078043902561</v>
      </c>
      <c r="AC168" s="7">
        <v>0.963391</v>
      </c>
      <c r="AD168" s="7">
        <v>33.256014999999998</v>
      </c>
      <c r="AE168" s="7">
        <v>0</v>
      </c>
      <c r="AF168" s="7">
        <v>0</v>
      </c>
      <c r="AG168" s="7">
        <v>180.0401864390256</v>
      </c>
      <c r="AH168" s="7">
        <v>4.8646770000000004</v>
      </c>
      <c r="AI168" s="7">
        <v>0</v>
      </c>
      <c r="AJ168" s="7">
        <v>16.477273</v>
      </c>
      <c r="AK168" s="7">
        <v>168.12612143902561</v>
      </c>
      <c r="AL168" s="7">
        <v>11.363636</v>
      </c>
      <c r="AM168" s="7">
        <v>0</v>
      </c>
      <c r="AN168" s="7">
        <v>0</v>
      </c>
      <c r="AO168" s="7">
        <v>0</v>
      </c>
      <c r="AP168" s="7">
        <v>0</v>
      </c>
      <c r="AQ168" s="7">
        <v>179.4897574390256</v>
      </c>
      <c r="AR168" s="7">
        <v>178.90721213213541</v>
      </c>
      <c r="AS168" s="7">
        <v>34.87550481217373</v>
      </c>
      <c r="AT168" s="7">
        <v>33.08643169310983</v>
      </c>
    </row>
    <row r="169" spans="1:46" x14ac:dyDescent="0.35">
      <c r="A169" s="5">
        <v>46022</v>
      </c>
      <c r="B169" s="4" t="s">
        <v>394</v>
      </c>
      <c r="C169" s="4" t="s">
        <v>395</v>
      </c>
      <c r="D169" s="4" t="s">
        <v>61</v>
      </c>
      <c r="E169" s="6">
        <v>0</v>
      </c>
      <c r="F169" s="6">
        <v>0</v>
      </c>
      <c r="G169" s="6">
        <v>0</v>
      </c>
      <c r="H169" s="6">
        <v>0</v>
      </c>
      <c r="I169" s="6">
        <v>0</v>
      </c>
      <c r="J169" s="6">
        <v>600</v>
      </c>
      <c r="K169" s="6">
        <v>600</v>
      </c>
      <c r="L169" s="6">
        <v>600</v>
      </c>
      <c r="M169" s="7">
        <v>13.028941</v>
      </c>
      <c r="N169" s="7">
        <v>5.4286320000000003</v>
      </c>
      <c r="O169" s="7">
        <v>6.281841</v>
      </c>
      <c r="P169" s="7">
        <v>5.4961929999999999</v>
      </c>
      <c r="Q169" s="7">
        <v>30.235607000000002</v>
      </c>
      <c r="R169" s="7">
        <v>3.043504</v>
      </c>
      <c r="S169" s="7">
        <v>1.615359</v>
      </c>
      <c r="T169" s="7">
        <v>3.5799159999999999</v>
      </c>
      <c r="U169" s="7">
        <v>6.2548000000000004</v>
      </c>
      <c r="V169" s="7">
        <v>14.493579</v>
      </c>
      <c r="W169" s="7">
        <v>44.729185999999999</v>
      </c>
      <c r="X169" s="7">
        <v>35.17701468424</v>
      </c>
      <c r="Y169" s="7">
        <v>60.36469217243986</v>
      </c>
      <c r="Z169" s="7">
        <v>140.27089285667989</v>
      </c>
      <c r="AA169" s="7">
        <v>5.8091800693443938</v>
      </c>
      <c r="AB169" s="7">
        <v>146.08007292602429</v>
      </c>
      <c r="AC169" s="7">
        <v>0</v>
      </c>
      <c r="AD169" s="7">
        <v>3.560921</v>
      </c>
      <c r="AE169" s="7">
        <v>0</v>
      </c>
      <c r="AF169" s="7">
        <v>0</v>
      </c>
      <c r="AG169" s="7">
        <v>149.64099392602429</v>
      </c>
      <c r="AH169" s="7">
        <v>1.513177</v>
      </c>
      <c r="AI169" s="7">
        <v>0</v>
      </c>
      <c r="AJ169" s="7">
        <v>3.533954</v>
      </c>
      <c r="AK169" s="7">
        <v>151.12720392602429</v>
      </c>
      <c r="AL169" s="7">
        <v>0</v>
      </c>
      <c r="AM169" s="7">
        <v>0</v>
      </c>
      <c r="AN169" s="7">
        <v>0</v>
      </c>
      <c r="AO169" s="7">
        <v>0</v>
      </c>
      <c r="AP169" s="7">
        <v>0</v>
      </c>
      <c r="AQ169" s="7">
        <v>151.12720392602429</v>
      </c>
      <c r="AR169" s="7">
        <v>224.4847881032068</v>
      </c>
      <c r="AS169" s="7">
        <v>84.213895246526931</v>
      </c>
      <c r="AT169" s="7">
        <v>78.404715177182524</v>
      </c>
    </row>
    <row r="170" spans="1:46" x14ac:dyDescent="0.35">
      <c r="A170" s="5">
        <v>46022</v>
      </c>
      <c r="B170" s="4" t="s">
        <v>396</v>
      </c>
      <c r="C170" s="4" t="s">
        <v>397</v>
      </c>
      <c r="D170" s="4" t="s">
        <v>398</v>
      </c>
      <c r="E170" s="6">
        <v>0</v>
      </c>
      <c r="F170" s="6">
        <v>0</v>
      </c>
      <c r="G170" s="6">
        <v>0</v>
      </c>
      <c r="H170" s="6">
        <v>0</v>
      </c>
      <c r="I170" s="6">
        <v>0</v>
      </c>
      <c r="J170" s="6">
        <v>3485.333333</v>
      </c>
      <c r="K170" s="6">
        <v>3485.333333</v>
      </c>
      <c r="L170" s="6">
        <v>3008</v>
      </c>
      <c r="M170" s="7">
        <v>22.009246999999998</v>
      </c>
      <c r="N170" s="7">
        <v>3.6127069999999999</v>
      </c>
      <c r="O170" s="7">
        <v>5.3166080000000004</v>
      </c>
      <c r="P170" s="7">
        <v>20.704238</v>
      </c>
      <c r="Q170" s="7">
        <v>51.642800000000001</v>
      </c>
      <c r="R170" s="7">
        <v>6.0524149999999999</v>
      </c>
      <c r="S170" s="7">
        <v>9.3498830000000002</v>
      </c>
      <c r="T170" s="7">
        <v>11.767875</v>
      </c>
      <c r="U170" s="7">
        <v>7.1744159999999999</v>
      </c>
      <c r="V170" s="7">
        <v>34.344588999999999</v>
      </c>
      <c r="W170" s="7">
        <v>85.987388999999993</v>
      </c>
      <c r="X170" s="7">
        <v>2.1863256717591422</v>
      </c>
      <c r="Y170" s="7">
        <v>10.5890591985233</v>
      </c>
      <c r="Z170" s="7">
        <v>98.762773870282444</v>
      </c>
      <c r="AA170" s="7">
        <v>0</v>
      </c>
      <c r="AB170" s="7">
        <v>98.762773870282444</v>
      </c>
      <c r="AC170" s="7">
        <v>0</v>
      </c>
      <c r="AD170" s="7">
        <v>17.105982000000001</v>
      </c>
      <c r="AE170" s="7">
        <v>0</v>
      </c>
      <c r="AF170" s="7">
        <v>0</v>
      </c>
      <c r="AG170" s="7">
        <v>115.8687558702824</v>
      </c>
      <c r="AH170" s="7">
        <v>2.6631999999999998</v>
      </c>
      <c r="AI170" s="7">
        <v>0</v>
      </c>
      <c r="AJ170" s="7">
        <v>11.264749</v>
      </c>
      <c r="AK170" s="7">
        <v>112.6907228702824</v>
      </c>
      <c r="AL170" s="7">
        <v>0</v>
      </c>
      <c r="AM170" s="7">
        <v>0</v>
      </c>
      <c r="AN170" s="7">
        <v>0</v>
      </c>
      <c r="AO170" s="7">
        <v>0</v>
      </c>
      <c r="AP170" s="7">
        <v>0</v>
      </c>
      <c r="AQ170" s="7">
        <v>112.6907228702824</v>
      </c>
      <c r="AR170" s="7">
        <v>207.10581439976241</v>
      </c>
      <c r="AS170" s="7">
        <v>108.34304052948001</v>
      </c>
      <c r="AT170" s="7">
        <v>108.34304052948001</v>
      </c>
    </row>
    <row r="171" spans="1:46" x14ac:dyDescent="0.35">
      <c r="A171" s="5">
        <v>46022</v>
      </c>
      <c r="B171" s="4" t="s">
        <v>399</v>
      </c>
      <c r="C171" s="4" t="s">
        <v>400</v>
      </c>
      <c r="D171" s="4" t="s">
        <v>122</v>
      </c>
      <c r="E171" s="6">
        <v>0</v>
      </c>
      <c r="F171" s="6">
        <v>0</v>
      </c>
      <c r="G171" s="6">
        <v>0</v>
      </c>
      <c r="H171" s="6">
        <v>0</v>
      </c>
      <c r="I171" s="6">
        <v>24039.0625</v>
      </c>
      <c r="J171" s="6">
        <v>0</v>
      </c>
      <c r="K171" s="6">
        <v>24039.0625</v>
      </c>
      <c r="L171" s="6">
        <v>24039.0625</v>
      </c>
      <c r="M171" s="7">
        <v>4.7240650000000004</v>
      </c>
      <c r="N171" s="7">
        <v>0.90264</v>
      </c>
      <c r="O171" s="7">
        <v>0.38242799999999999</v>
      </c>
      <c r="P171" s="7">
        <v>0.32225399999999998</v>
      </c>
      <c r="Q171" s="7">
        <v>6.3313870000000003</v>
      </c>
      <c r="R171" s="7">
        <v>6.9386130000000001</v>
      </c>
      <c r="S171" s="7">
        <v>0.62597000000000003</v>
      </c>
      <c r="T171" s="7">
        <v>12.773365999999999</v>
      </c>
      <c r="U171" s="7">
        <v>1.66204</v>
      </c>
      <c r="V171" s="7">
        <v>21.999988999999999</v>
      </c>
      <c r="W171" s="7">
        <v>28.331375999999999</v>
      </c>
      <c r="X171" s="7">
        <v>3.2464586783999998</v>
      </c>
      <c r="Y171" s="7">
        <v>0</v>
      </c>
      <c r="Z171" s="7">
        <v>31.577834678399999</v>
      </c>
      <c r="AA171" s="7">
        <v>2.9630008093075908</v>
      </c>
      <c r="AB171" s="7">
        <v>34.540835487707589</v>
      </c>
      <c r="AC171" s="7">
        <v>0</v>
      </c>
      <c r="AD171" s="7">
        <v>1.274216</v>
      </c>
      <c r="AE171" s="7">
        <v>0</v>
      </c>
      <c r="AF171" s="7">
        <v>0</v>
      </c>
      <c r="AG171" s="7">
        <v>35.815051487707592</v>
      </c>
      <c r="AH171" s="7">
        <v>0.57244300000000004</v>
      </c>
      <c r="AI171" s="7">
        <v>0</v>
      </c>
      <c r="AJ171" s="7">
        <v>1.235088</v>
      </c>
      <c r="AK171" s="7">
        <v>36.348366487707587</v>
      </c>
      <c r="AL171" s="7">
        <v>0</v>
      </c>
      <c r="AM171" s="7">
        <v>0</v>
      </c>
      <c r="AN171" s="7">
        <v>0</v>
      </c>
      <c r="AO171" s="7">
        <v>0</v>
      </c>
      <c r="AP171" s="7">
        <v>0</v>
      </c>
      <c r="AQ171" s="7">
        <v>36.348366487707587</v>
      </c>
      <c r="AR171" s="7">
        <v>29.630128004561161</v>
      </c>
      <c r="AS171" s="7">
        <v>-1.9477066738388391</v>
      </c>
      <c r="AT171" s="7">
        <v>-4.9107074831464299</v>
      </c>
    </row>
    <row r="172" spans="1:46" x14ac:dyDescent="0.35">
      <c r="A172" s="5">
        <v>46022</v>
      </c>
      <c r="B172" s="4" t="s">
        <v>401</v>
      </c>
      <c r="C172" s="4" t="s">
        <v>402</v>
      </c>
      <c r="D172" s="4" t="s">
        <v>89</v>
      </c>
      <c r="E172" s="6">
        <v>0</v>
      </c>
      <c r="F172" s="6">
        <v>0</v>
      </c>
      <c r="G172" s="6">
        <v>0</v>
      </c>
      <c r="H172" s="6">
        <v>0</v>
      </c>
      <c r="I172" s="6">
        <v>0</v>
      </c>
      <c r="J172" s="6">
        <v>7800</v>
      </c>
      <c r="K172" s="6">
        <v>7800</v>
      </c>
      <c r="L172" s="6">
        <v>7800</v>
      </c>
      <c r="M172" s="7">
        <v>4.9967959999999998</v>
      </c>
      <c r="N172" s="7">
        <v>0.338951</v>
      </c>
      <c r="O172" s="7">
        <v>1.256516</v>
      </c>
      <c r="P172" s="7">
        <v>4.5839639999999999</v>
      </c>
      <c r="Q172" s="7">
        <v>11.176227000000001</v>
      </c>
      <c r="R172" s="7">
        <v>1.232097</v>
      </c>
      <c r="S172" s="7">
        <v>2.5033240000000001</v>
      </c>
      <c r="T172" s="7">
        <v>2.5912649999999999</v>
      </c>
      <c r="U172" s="7">
        <v>3.9243540000000001</v>
      </c>
      <c r="V172" s="7">
        <v>10.25104</v>
      </c>
      <c r="W172" s="7">
        <v>21.427267000000001</v>
      </c>
      <c r="X172" s="7">
        <v>1.4679157123081279</v>
      </c>
      <c r="Y172" s="7">
        <v>2.1529652963015509</v>
      </c>
      <c r="Z172" s="7">
        <v>25.048148008609679</v>
      </c>
      <c r="AA172" s="7">
        <v>1.9775805532886519</v>
      </c>
      <c r="AB172" s="7">
        <v>27.02572856189833</v>
      </c>
      <c r="AC172" s="7">
        <v>0</v>
      </c>
      <c r="AD172" s="7">
        <v>4.6170590000000002</v>
      </c>
      <c r="AE172" s="7">
        <v>0</v>
      </c>
      <c r="AF172" s="7">
        <v>0</v>
      </c>
      <c r="AG172" s="7">
        <v>31.642787561898331</v>
      </c>
      <c r="AH172" s="7">
        <v>0.63663400000000003</v>
      </c>
      <c r="AI172" s="7">
        <v>0</v>
      </c>
      <c r="AJ172" s="7">
        <v>1.7826299999999999</v>
      </c>
      <c r="AK172" s="7">
        <v>29.444992561898331</v>
      </c>
      <c r="AL172" s="7">
        <v>5.7692310000000004</v>
      </c>
      <c r="AM172" s="7">
        <v>0</v>
      </c>
      <c r="AN172" s="7">
        <v>0</v>
      </c>
      <c r="AO172" s="7">
        <v>0</v>
      </c>
      <c r="AP172" s="7">
        <v>0</v>
      </c>
      <c r="AQ172" s="7">
        <v>35.214223561898329</v>
      </c>
      <c r="AR172" s="7">
        <v>53.447877527970199</v>
      </c>
      <c r="AS172" s="7">
        <v>28.39972951936052</v>
      </c>
      <c r="AT172" s="7">
        <v>26.422148966071859</v>
      </c>
    </row>
    <row r="173" spans="1:46" x14ac:dyDescent="0.35">
      <c r="A173" s="5">
        <v>46022</v>
      </c>
      <c r="B173" s="4" t="s">
        <v>403</v>
      </c>
      <c r="C173" s="4" t="s">
        <v>404</v>
      </c>
      <c r="D173" s="4" t="s">
        <v>79</v>
      </c>
      <c r="E173" s="6">
        <v>0</v>
      </c>
      <c r="F173" s="6">
        <v>0</v>
      </c>
      <c r="G173" s="6">
        <v>0</v>
      </c>
      <c r="H173" s="6">
        <v>0</v>
      </c>
      <c r="I173" s="6">
        <v>0</v>
      </c>
      <c r="J173" s="6">
        <v>0</v>
      </c>
      <c r="K173" s="6">
        <v>0</v>
      </c>
      <c r="L173" s="6">
        <v>7184.9052000000001</v>
      </c>
      <c r="M173" s="7">
        <v>0</v>
      </c>
      <c r="N173" s="7">
        <v>0</v>
      </c>
      <c r="O173" s="7">
        <v>0</v>
      </c>
      <c r="P173" s="7">
        <v>0</v>
      </c>
      <c r="Q173" s="7">
        <v>0</v>
      </c>
      <c r="R173" s="7">
        <v>1.114034</v>
      </c>
      <c r="S173" s="7">
        <v>2.0510660000000001</v>
      </c>
      <c r="T173" s="7">
        <v>0.52899700000000005</v>
      </c>
      <c r="U173" s="7">
        <v>1.6979040000000001</v>
      </c>
      <c r="V173" s="7">
        <v>5.3920009999999996</v>
      </c>
      <c r="W173" s="7">
        <v>5.3920009999999996</v>
      </c>
      <c r="X173" s="7">
        <v>7.7942396306829489E-2</v>
      </c>
      <c r="Y173" s="7">
        <v>0</v>
      </c>
      <c r="Z173" s="7">
        <v>5.4699433963068298</v>
      </c>
      <c r="AA173" s="7">
        <v>0</v>
      </c>
      <c r="AB173" s="7">
        <v>5.4699433963068298</v>
      </c>
      <c r="AC173" s="7">
        <v>0</v>
      </c>
      <c r="AD173" s="7">
        <v>1.856363</v>
      </c>
      <c r="AE173" s="7">
        <v>0</v>
      </c>
      <c r="AF173" s="7">
        <v>0</v>
      </c>
      <c r="AG173" s="7">
        <v>7.3263063963068298</v>
      </c>
      <c r="AH173" s="7">
        <v>0.37488100000000002</v>
      </c>
      <c r="AI173" s="7">
        <v>0</v>
      </c>
      <c r="AJ173" s="7">
        <v>0.74608099999999999</v>
      </c>
      <c r="AK173" s="7">
        <v>6.5909053963068303</v>
      </c>
      <c r="AL173" s="7">
        <v>0</v>
      </c>
      <c r="AM173" s="7">
        <v>0</v>
      </c>
      <c r="AN173" s="7">
        <v>0</v>
      </c>
      <c r="AO173" s="7">
        <v>0</v>
      </c>
      <c r="AP173" s="7">
        <v>0</v>
      </c>
      <c r="AQ173" s="7">
        <v>6.5909053963068303</v>
      </c>
      <c r="AR173" s="7">
        <v>8.1668215370372739</v>
      </c>
      <c r="AS173" s="7">
        <v>2.6968781407304441</v>
      </c>
      <c r="AT173" s="7">
        <v>2.6968781407304441</v>
      </c>
    </row>
    <row r="174" spans="1:46" x14ac:dyDescent="0.35">
      <c r="A174" s="5">
        <v>46022</v>
      </c>
      <c r="B174" s="4" t="s">
        <v>405</v>
      </c>
      <c r="C174" s="4" t="s">
        <v>406</v>
      </c>
      <c r="D174" s="4" t="s">
        <v>407</v>
      </c>
      <c r="E174" s="6">
        <v>24330</v>
      </c>
      <c r="F174" s="6">
        <v>0</v>
      </c>
      <c r="G174" s="6">
        <v>24330</v>
      </c>
      <c r="H174" s="6">
        <v>2.20181</v>
      </c>
      <c r="I174" s="6">
        <v>11050</v>
      </c>
      <c r="J174" s="6">
        <v>0</v>
      </c>
      <c r="K174" s="6">
        <v>11050</v>
      </c>
      <c r="L174" s="6">
        <v>11050</v>
      </c>
      <c r="M174" s="7">
        <v>1.992065</v>
      </c>
      <c r="N174" s="7">
        <v>3.0165250000000001</v>
      </c>
      <c r="O174" s="7">
        <v>9.2133000000000007E-2</v>
      </c>
      <c r="P174" s="7">
        <v>2.354609</v>
      </c>
      <c r="Q174" s="7">
        <v>7.4553320000000003</v>
      </c>
      <c r="R174" s="7">
        <v>0.96647799999999995</v>
      </c>
      <c r="S174" s="7">
        <v>1.0069999999999999</v>
      </c>
      <c r="T174" s="7">
        <v>2.1172140000000002</v>
      </c>
      <c r="U174" s="7">
        <v>2.2575479999999999</v>
      </c>
      <c r="V174" s="7">
        <v>6.3482399999999997</v>
      </c>
      <c r="W174" s="7">
        <v>13.803572000000001</v>
      </c>
      <c r="X174" s="7">
        <v>3.0903602560900452</v>
      </c>
      <c r="Y174" s="7">
        <v>2.3595095613108579</v>
      </c>
      <c r="Z174" s="7">
        <v>19.253441817400901</v>
      </c>
      <c r="AA174" s="7">
        <v>2.4656818970405752</v>
      </c>
      <c r="AB174" s="7">
        <v>21.71912371444148</v>
      </c>
      <c r="AC174" s="7">
        <v>0</v>
      </c>
      <c r="AD174" s="7">
        <v>6.1456439999999999</v>
      </c>
      <c r="AE174" s="7">
        <v>0</v>
      </c>
      <c r="AF174" s="7">
        <v>0</v>
      </c>
      <c r="AG174" s="7">
        <v>27.864767714441481</v>
      </c>
      <c r="AH174" s="7">
        <v>1.596638</v>
      </c>
      <c r="AI174" s="7">
        <v>0</v>
      </c>
      <c r="AJ174" s="7">
        <v>2.9063699999999999</v>
      </c>
      <c r="AK174" s="7">
        <v>26.222131714441481</v>
      </c>
      <c r="AL174" s="7">
        <v>0</v>
      </c>
      <c r="AM174" s="7">
        <v>0</v>
      </c>
      <c r="AN174" s="7">
        <v>0</v>
      </c>
      <c r="AO174" s="7">
        <v>0</v>
      </c>
      <c r="AP174" s="7">
        <v>0</v>
      </c>
      <c r="AQ174" s="7">
        <v>26.222131714441481</v>
      </c>
      <c r="AR174" s="7">
        <v>48.182595590924201</v>
      </c>
      <c r="AS174" s="7">
        <v>28.9291537735233</v>
      </c>
      <c r="AT174" s="7">
        <v>26.463471876482721</v>
      </c>
    </row>
    <row r="175" spans="1:46" x14ac:dyDescent="0.35">
      <c r="A175" s="5">
        <v>46022</v>
      </c>
      <c r="B175" s="4" t="s">
        <v>408</v>
      </c>
      <c r="C175" s="4" t="s">
        <v>409</v>
      </c>
      <c r="D175" s="4" t="s">
        <v>61</v>
      </c>
      <c r="E175" s="6">
        <v>0</v>
      </c>
      <c r="F175" s="6">
        <v>0</v>
      </c>
      <c r="G175" s="6">
        <v>0</v>
      </c>
      <c r="H175" s="6">
        <v>0</v>
      </c>
      <c r="I175" s="6">
        <v>0</v>
      </c>
      <c r="J175" s="6">
        <v>300</v>
      </c>
      <c r="K175" s="6">
        <v>300</v>
      </c>
      <c r="L175" s="6">
        <v>300</v>
      </c>
      <c r="M175" s="7">
        <v>4.2424670000000013</v>
      </c>
      <c r="N175" s="7">
        <v>0.63215600000000005</v>
      </c>
      <c r="O175" s="7">
        <v>1.2089209999999999</v>
      </c>
      <c r="P175" s="7">
        <v>3.3426</v>
      </c>
      <c r="Q175" s="7">
        <v>9.4261440000000007</v>
      </c>
      <c r="R175" s="7">
        <v>1.264311</v>
      </c>
      <c r="S175" s="7">
        <v>1.8249610000000001</v>
      </c>
      <c r="T175" s="7">
        <v>2.3874780000000002</v>
      </c>
      <c r="U175" s="7">
        <v>2.0810209999999998</v>
      </c>
      <c r="V175" s="7">
        <v>7.5577709999999998</v>
      </c>
      <c r="W175" s="7">
        <v>16.983915</v>
      </c>
      <c r="X175" s="7">
        <v>2.4885671462399999</v>
      </c>
      <c r="Y175" s="7">
        <v>1.942497875639674</v>
      </c>
      <c r="Z175" s="7">
        <v>21.414980021879671</v>
      </c>
      <c r="AA175" s="7">
        <v>3.5093652807757971</v>
      </c>
      <c r="AB175" s="7">
        <v>24.924345302655471</v>
      </c>
      <c r="AC175" s="7">
        <v>0</v>
      </c>
      <c r="AD175" s="7">
        <v>0.70239499999999999</v>
      </c>
      <c r="AE175" s="7">
        <v>0</v>
      </c>
      <c r="AF175" s="7">
        <v>0</v>
      </c>
      <c r="AG175" s="7">
        <v>25.62674030265547</v>
      </c>
      <c r="AH175" s="7">
        <v>1.8964669999999999</v>
      </c>
      <c r="AI175" s="7">
        <v>0</v>
      </c>
      <c r="AJ175" s="7">
        <v>0.98335300000000014</v>
      </c>
      <c r="AK175" s="7">
        <v>27.80416530265547</v>
      </c>
      <c r="AL175" s="7">
        <v>0</v>
      </c>
      <c r="AM175" s="7">
        <v>0</v>
      </c>
      <c r="AN175" s="7">
        <v>0</v>
      </c>
      <c r="AO175" s="7">
        <v>0</v>
      </c>
      <c r="AP175" s="7">
        <v>0</v>
      </c>
      <c r="AQ175" s="7">
        <v>27.80416530265547</v>
      </c>
      <c r="AR175" s="7">
        <v>32.729651457336388</v>
      </c>
      <c r="AS175" s="7">
        <v>11.31467143545671</v>
      </c>
      <c r="AT175" s="7">
        <v>7.8053061546809177</v>
      </c>
    </row>
    <row r="176" spans="1:46" x14ac:dyDescent="0.35">
      <c r="A176" s="5">
        <v>46022</v>
      </c>
      <c r="B176" s="4" t="s">
        <v>410</v>
      </c>
      <c r="C176" s="4" t="s">
        <v>411</v>
      </c>
      <c r="D176" s="4" t="s">
        <v>61</v>
      </c>
      <c r="E176" s="6">
        <v>38.187510000000003</v>
      </c>
      <c r="F176" s="6">
        <v>0</v>
      </c>
      <c r="G176" s="6">
        <v>38.187510000000003</v>
      </c>
      <c r="H176" s="6">
        <v>2.9927519999999999</v>
      </c>
      <c r="I176" s="6">
        <v>12.76</v>
      </c>
      <c r="J176" s="6">
        <v>85.44</v>
      </c>
      <c r="K176" s="6">
        <v>98.2</v>
      </c>
      <c r="L176" s="6">
        <v>98.2</v>
      </c>
      <c r="M176" s="7">
        <v>4.1543609999999997</v>
      </c>
      <c r="N176" s="7">
        <v>0.89452900000000002</v>
      </c>
      <c r="O176" s="7">
        <v>1.988939</v>
      </c>
      <c r="P176" s="7">
        <v>5.5171849999999996</v>
      </c>
      <c r="Q176" s="7">
        <v>12.555014</v>
      </c>
      <c r="R176" s="7">
        <v>1.0332460000000001</v>
      </c>
      <c r="S176" s="7">
        <v>1.145116</v>
      </c>
      <c r="T176" s="7">
        <v>2.6945950000000001</v>
      </c>
      <c r="U176" s="7">
        <v>5.0167330000000003</v>
      </c>
      <c r="V176" s="7">
        <v>9.8896900000000016</v>
      </c>
      <c r="W176" s="7">
        <v>22.444704000000002</v>
      </c>
      <c r="X176" s="7">
        <v>2.3999146754837071</v>
      </c>
      <c r="Y176" s="7">
        <v>7.3398652626798668</v>
      </c>
      <c r="Z176" s="7">
        <v>32.184483938163567</v>
      </c>
      <c r="AA176" s="7">
        <v>6.8351949866139652</v>
      </c>
      <c r="AB176" s="7">
        <v>39.019678924777537</v>
      </c>
      <c r="AC176" s="7">
        <v>0</v>
      </c>
      <c r="AD176" s="7">
        <v>2.9303020000000002</v>
      </c>
      <c r="AE176" s="7">
        <v>0</v>
      </c>
      <c r="AF176" s="7">
        <v>0</v>
      </c>
      <c r="AG176" s="7">
        <v>41.949980924777542</v>
      </c>
      <c r="AH176" s="7">
        <v>2.9303020000000002</v>
      </c>
      <c r="AI176" s="7">
        <v>0</v>
      </c>
      <c r="AJ176" s="7">
        <v>2.9303020000000002</v>
      </c>
      <c r="AK176" s="7">
        <v>44.880282924777539</v>
      </c>
      <c r="AL176" s="7">
        <v>0</v>
      </c>
      <c r="AM176" s="7">
        <v>0</v>
      </c>
      <c r="AN176" s="7">
        <v>0</v>
      </c>
      <c r="AO176" s="7">
        <v>0</v>
      </c>
      <c r="AP176" s="7">
        <v>0</v>
      </c>
      <c r="AQ176" s="7">
        <v>44.880282924777539</v>
      </c>
      <c r="AR176" s="7">
        <v>106.16268263651629</v>
      </c>
      <c r="AS176" s="7">
        <v>73.978198698352713</v>
      </c>
      <c r="AT176" s="7">
        <v>67.143003711738757</v>
      </c>
    </row>
    <row r="177" spans="1:46" x14ac:dyDescent="0.35">
      <c r="A177" s="5">
        <v>46022</v>
      </c>
      <c r="B177" s="4" t="s">
        <v>412</v>
      </c>
      <c r="C177" s="4" t="s">
        <v>413</v>
      </c>
      <c r="D177" s="4" t="s">
        <v>222</v>
      </c>
      <c r="E177" s="6">
        <v>0</v>
      </c>
      <c r="F177" s="6">
        <v>0</v>
      </c>
      <c r="G177" s="6">
        <v>0</v>
      </c>
      <c r="H177" s="6">
        <v>0</v>
      </c>
      <c r="I177" s="6">
        <v>0</v>
      </c>
      <c r="J177" s="6">
        <v>1350</v>
      </c>
      <c r="K177" s="6">
        <v>1350</v>
      </c>
      <c r="L177" s="6">
        <v>1350</v>
      </c>
      <c r="M177" s="7">
        <v>86.881849000000017</v>
      </c>
      <c r="N177" s="7">
        <v>6.9469159999999999</v>
      </c>
      <c r="O177" s="7">
        <v>11.850735</v>
      </c>
      <c r="P177" s="7">
        <v>166.048169</v>
      </c>
      <c r="Q177" s="7">
        <v>271.72766899999999</v>
      </c>
      <c r="R177" s="7">
        <v>10.242015</v>
      </c>
      <c r="S177" s="7">
        <v>9.4480459999999997</v>
      </c>
      <c r="T177" s="7">
        <v>6.485671</v>
      </c>
      <c r="U177" s="7">
        <v>27.329287000000001</v>
      </c>
      <c r="V177" s="7">
        <v>53.505019000000011</v>
      </c>
      <c r="W177" s="7">
        <v>325.232688</v>
      </c>
      <c r="X177" s="7">
        <v>30.0768551428297</v>
      </c>
      <c r="Y177" s="7">
        <v>72.864782839862755</v>
      </c>
      <c r="Z177" s="7">
        <v>428.17432598269249</v>
      </c>
      <c r="AA177" s="7">
        <v>23.587163531603782</v>
      </c>
      <c r="AB177" s="7">
        <v>451.76148951429627</v>
      </c>
      <c r="AC177" s="7">
        <v>0</v>
      </c>
      <c r="AD177" s="7">
        <v>127.77133499999999</v>
      </c>
      <c r="AE177" s="7">
        <v>0</v>
      </c>
      <c r="AF177" s="7">
        <v>0</v>
      </c>
      <c r="AG177" s="7">
        <v>579.53282451429629</v>
      </c>
      <c r="AH177" s="7">
        <v>1.601561</v>
      </c>
      <c r="AI177" s="7">
        <v>0</v>
      </c>
      <c r="AJ177" s="7">
        <v>33.659337999999998</v>
      </c>
      <c r="AK177" s="7">
        <v>487.02238851429632</v>
      </c>
      <c r="AL177" s="7">
        <v>0</v>
      </c>
      <c r="AM177" s="7">
        <v>0</v>
      </c>
      <c r="AN177" s="7">
        <v>0</v>
      </c>
      <c r="AO177" s="7">
        <v>0</v>
      </c>
      <c r="AP177" s="7">
        <v>0</v>
      </c>
      <c r="AQ177" s="7">
        <v>487.02238851429632</v>
      </c>
      <c r="AR177" s="7">
        <v>593.16027555786366</v>
      </c>
      <c r="AS177" s="7">
        <v>164.98594957517111</v>
      </c>
      <c r="AT177" s="7">
        <v>141.3987860435673</v>
      </c>
    </row>
    <row r="178" spans="1:46" x14ac:dyDescent="0.35">
      <c r="A178" s="5">
        <v>46022</v>
      </c>
      <c r="B178" s="4" t="s">
        <v>414</v>
      </c>
      <c r="C178" s="4" t="s">
        <v>415</v>
      </c>
      <c r="D178" s="4" t="s">
        <v>111</v>
      </c>
      <c r="E178" s="6">
        <v>0</v>
      </c>
      <c r="F178" s="6">
        <v>0</v>
      </c>
      <c r="G178" s="6">
        <v>0</v>
      </c>
      <c r="H178" s="6">
        <v>0</v>
      </c>
      <c r="I178" s="6">
        <v>0</v>
      </c>
      <c r="J178" s="6">
        <v>2000</v>
      </c>
      <c r="K178" s="6">
        <v>2000</v>
      </c>
      <c r="L178" s="6">
        <v>2000</v>
      </c>
      <c r="M178" s="7">
        <v>18.297453999999998</v>
      </c>
      <c r="N178" s="7">
        <v>4.7499929999999999</v>
      </c>
      <c r="O178" s="7">
        <v>3.171516</v>
      </c>
      <c r="P178" s="7">
        <v>11.094675000000001</v>
      </c>
      <c r="Q178" s="7">
        <v>37.313637999999997</v>
      </c>
      <c r="R178" s="7">
        <v>1.151106</v>
      </c>
      <c r="S178" s="7">
        <v>9.9922949999999986</v>
      </c>
      <c r="T178" s="7">
        <v>11.589409</v>
      </c>
      <c r="U178" s="7">
        <v>3.471177</v>
      </c>
      <c r="V178" s="7">
        <v>26.203987000000001</v>
      </c>
      <c r="W178" s="7">
        <v>63.517624999999988</v>
      </c>
      <c r="X178" s="7">
        <v>0.85530525696000004</v>
      </c>
      <c r="Y178" s="7">
        <v>0</v>
      </c>
      <c r="Z178" s="7">
        <v>64.372930256959989</v>
      </c>
      <c r="AA178" s="7">
        <v>0</v>
      </c>
      <c r="AB178" s="7">
        <v>64.372930256959989</v>
      </c>
      <c r="AC178" s="7">
        <v>0</v>
      </c>
      <c r="AD178" s="7">
        <v>8.2628850000000007</v>
      </c>
      <c r="AE178" s="7">
        <v>0</v>
      </c>
      <c r="AF178" s="7">
        <v>0</v>
      </c>
      <c r="AG178" s="7">
        <v>72.635815256959987</v>
      </c>
      <c r="AH178" s="7">
        <v>4.8079109999999989</v>
      </c>
      <c r="AI178" s="7">
        <v>0</v>
      </c>
      <c r="AJ178" s="7">
        <v>0.63626999999999989</v>
      </c>
      <c r="AK178" s="7">
        <v>69.81711125695999</v>
      </c>
      <c r="AL178" s="7">
        <v>0</v>
      </c>
      <c r="AM178" s="7">
        <v>0</v>
      </c>
      <c r="AN178" s="7">
        <v>0</v>
      </c>
      <c r="AO178" s="7">
        <v>0</v>
      </c>
      <c r="AP178" s="7">
        <v>0</v>
      </c>
      <c r="AQ178" s="7">
        <v>69.81711125695999</v>
      </c>
      <c r="AR178" s="7">
        <v>60.001008993051997</v>
      </c>
      <c r="AS178" s="7">
        <v>-4.3719212639079901</v>
      </c>
      <c r="AT178" s="7">
        <v>-4.3719212639079901</v>
      </c>
    </row>
    <row r="179" spans="1:46" x14ac:dyDescent="0.35">
      <c r="A179" s="5">
        <v>46022</v>
      </c>
      <c r="B179" s="4" t="s">
        <v>416</v>
      </c>
      <c r="C179" s="4" t="s">
        <v>417</v>
      </c>
      <c r="D179" s="4" t="s">
        <v>213</v>
      </c>
      <c r="E179" s="6">
        <v>0</v>
      </c>
      <c r="F179" s="6">
        <v>0</v>
      </c>
      <c r="G179" s="6">
        <v>0</v>
      </c>
      <c r="H179" s="6">
        <v>0</v>
      </c>
      <c r="I179" s="6">
        <v>0</v>
      </c>
      <c r="J179" s="6">
        <v>700</v>
      </c>
      <c r="K179" s="6">
        <v>700</v>
      </c>
      <c r="L179" s="6">
        <v>700</v>
      </c>
      <c r="M179" s="7">
        <v>22.324999999999999</v>
      </c>
      <c r="N179" s="7">
        <v>2.417008</v>
      </c>
      <c r="O179" s="7">
        <v>3.2995410000000001</v>
      </c>
      <c r="P179" s="7">
        <v>5.4732760000000011</v>
      </c>
      <c r="Q179" s="7">
        <v>33.514825000000002</v>
      </c>
      <c r="R179" s="7">
        <v>3.3476279999999998</v>
      </c>
      <c r="S179" s="7">
        <v>0.88438899999999998</v>
      </c>
      <c r="T179" s="7">
        <v>5.4035799999999998</v>
      </c>
      <c r="U179" s="7">
        <v>1.6200749999999999</v>
      </c>
      <c r="V179" s="7">
        <v>11.255672000000001</v>
      </c>
      <c r="W179" s="7">
        <v>44.770496999999999</v>
      </c>
      <c r="X179" s="7">
        <v>26.901795325509859</v>
      </c>
      <c r="Y179" s="7">
        <v>-0.74435589731236684</v>
      </c>
      <c r="Z179" s="7">
        <v>70.927936428197484</v>
      </c>
      <c r="AA179" s="7">
        <v>9.6666398557020958</v>
      </c>
      <c r="AB179" s="7">
        <v>80.594576283899585</v>
      </c>
      <c r="AC179" s="7">
        <v>1.8</v>
      </c>
      <c r="AD179" s="7">
        <v>59.923999999999999</v>
      </c>
      <c r="AE179" s="7">
        <v>0</v>
      </c>
      <c r="AF179" s="7">
        <v>0</v>
      </c>
      <c r="AG179" s="7">
        <v>142.3185762838996</v>
      </c>
      <c r="AH179" s="7">
        <v>10.872382</v>
      </c>
      <c r="AI179" s="7">
        <v>0</v>
      </c>
      <c r="AJ179" s="7">
        <v>19.201785000000001</v>
      </c>
      <c r="AK179" s="7">
        <v>112.4687432838996</v>
      </c>
      <c r="AL179" s="7">
        <v>0</v>
      </c>
      <c r="AM179" s="7">
        <v>0</v>
      </c>
      <c r="AN179" s="7">
        <v>0</v>
      </c>
      <c r="AO179" s="7">
        <v>0</v>
      </c>
      <c r="AP179" s="7">
        <v>0</v>
      </c>
      <c r="AQ179" s="7">
        <v>112.4687432838996</v>
      </c>
      <c r="AR179" s="7">
        <v>386.6652344920866</v>
      </c>
      <c r="AS179" s="7">
        <v>315.73729806388911</v>
      </c>
      <c r="AT179" s="7">
        <v>306.07065820818701</v>
      </c>
    </row>
    <row r="180" spans="1:46" x14ac:dyDescent="0.35">
      <c r="A180" s="5">
        <v>46022</v>
      </c>
      <c r="B180" s="4" t="s">
        <v>418</v>
      </c>
      <c r="C180" s="4" t="s">
        <v>419</v>
      </c>
      <c r="D180" s="4" t="s">
        <v>79</v>
      </c>
      <c r="E180" s="6">
        <v>0</v>
      </c>
      <c r="F180" s="6">
        <v>0</v>
      </c>
      <c r="G180" s="6">
        <v>0</v>
      </c>
      <c r="H180" s="6">
        <v>0</v>
      </c>
      <c r="I180" s="6">
        <v>179425.139131</v>
      </c>
      <c r="J180" s="6">
        <v>0</v>
      </c>
      <c r="K180" s="6">
        <v>179425.139131</v>
      </c>
      <c r="L180" s="6">
        <v>179425.139131</v>
      </c>
      <c r="M180" s="7">
        <v>1.1640600000000001</v>
      </c>
      <c r="N180" s="7">
        <v>0.32808399999999999</v>
      </c>
      <c r="O180" s="7">
        <v>6.6265000000000004E-2</v>
      </c>
      <c r="P180" s="7">
        <v>2.3635459999999999</v>
      </c>
      <c r="Q180" s="7">
        <v>3.9219550000000001</v>
      </c>
      <c r="R180" s="7">
        <v>0.71403700000000003</v>
      </c>
      <c r="S180" s="7">
        <v>0.97084499999999996</v>
      </c>
      <c r="T180" s="7">
        <v>0.77135799999999999</v>
      </c>
      <c r="U180" s="7">
        <v>0.54768600000000001</v>
      </c>
      <c r="V180" s="7">
        <v>3.0039259999999999</v>
      </c>
      <c r="W180" s="7">
        <v>6.9258810000000004</v>
      </c>
      <c r="X180" s="7">
        <v>0.15147859597788799</v>
      </c>
      <c r="Y180" s="7">
        <v>0</v>
      </c>
      <c r="Z180" s="7">
        <v>7.0773595959778879</v>
      </c>
      <c r="AA180" s="7">
        <v>0.18821862830457431</v>
      </c>
      <c r="AB180" s="7">
        <v>7.2655782242824616</v>
      </c>
      <c r="AC180" s="7">
        <v>0</v>
      </c>
      <c r="AD180" s="7">
        <v>0.42110900000000001</v>
      </c>
      <c r="AE180" s="7">
        <v>0</v>
      </c>
      <c r="AF180" s="7">
        <v>0</v>
      </c>
      <c r="AG180" s="7">
        <v>7.686687224282462</v>
      </c>
      <c r="AH180" s="7">
        <v>0.27888499999999999</v>
      </c>
      <c r="AI180" s="7">
        <v>0</v>
      </c>
      <c r="AJ180" s="7">
        <v>0.396845</v>
      </c>
      <c r="AK180" s="7">
        <v>7.9413082242824622</v>
      </c>
      <c r="AL180" s="7">
        <v>0</v>
      </c>
      <c r="AM180" s="7">
        <v>0</v>
      </c>
      <c r="AN180" s="7">
        <v>0</v>
      </c>
      <c r="AO180" s="7">
        <v>0</v>
      </c>
      <c r="AP180" s="7">
        <v>0</v>
      </c>
      <c r="AQ180" s="7">
        <v>7.9413082242824622</v>
      </c>
      <c r="AR180" s="7">
        <v>7.5291048505301754</v>
      </c>
      <c r="AS180" s="7">
        <v>0.45174525455228731</v>
      </c>
      <c r="AT180" s="7">
        <v>0.263526626247713</v>
      </c>
    </row>
    <row r="181" spans="1:46" x14ac:dyDescent="0.35">
      <c r="A181" s="5">
        <v>46022</v>
      </c>
      <c r="B181" s="4" t="s">
        <v>420</v>
      </c>
      <c r="C181" s="4" t="s">
        <v>421</v>
      </c>
      <c r="D181" s="4" t="s">
        <v>122</v>
      </c>
      <c r="E181" s="6">
        <v>0</v>
      </c>
      <c r="F181" s="6">
        <v>0</v>
      </c>
      <c r="G181" s="6">
        <v>0</v>
      </c>
      <c r="H181" s="6">
        <v>0</v>
      </c>
      <c r="I181" s="6">
        <v>0</v>
      </c>
      <c r="J181" s="6">
        <v>0</v>
      </c>
      <c r="K181" s="6">
        <v>0</v>
      </c>
      <c r="L181" s="6">
        <v>892.85714299999995</v>
      </c>
      <c r="M181" s="7">
        <v>0</v>
      </c>
      <c r="N181" s="7">
        <v>0</v>
      </c>
      <c r="O181" s="7">
        <v>0</v>
      </c>
      <c r="P181" s="7">
        <v>0</v>
      </c>
      <c r="Q181" s="7">
        <v>0</v>
      </c>
      <c r="R181" s="7">
        <v>3.2984270000000002</v>
      </c>
      <c r="S181" s="7">
        <v>20.134516000000001</v>
      </c>
      <c r="T181" s="7">
        <v>0.35031400000000001</v>
      </c>
      <c r="U181" s="7">
        <v>0.73769600000000002</v>
      </c>
      <c r="V181" s="7">
        <v>24.520952999999999</v>
      </c>
      <c r="W181" s="7">
        <v>24.520952999999999</v>
      </c>
      <c r="X181" s="7">
        <v>0</v>
      </c>
      <c r="Y181" s="7">
        <v>0</v>
      </c>
      <c r="Z181" s="7">
        <v>24.520952999999999</v>
      </c>
      <c r="AA181" s="7">
        <v>1.118051230193198</v>
      </c>
      <c r="AB181" s="7">
        <v>25.639004230193201</v>
      </c>
      <c r="AC181" s="7">
        <v>0</v>
      </c>
      <c r="AD181" s="7">
        <v>1.6864159999999999</v>
      </c>
      <c r="AE181" s="7">
        <v>0</v>
      </c>
      <c r="AF181" s="7">
        <v>0</v>
      </c>
      <c r="AG181" s="7">
        <v>27.325420230193199</v>
      </c>
      <c r="AH181" s="7">
        <v>0.98083799999999999</v>
      </c>
      <c r="AI181" s="7">
        <v>0</v>
      </c>
      <c r="AJ181" s="7">
        <v>1.3856440000000001</v>
      </c>
      <c r="AK181" s="7">
        <v>28.005486230193199</v>
      </c>
      <c r="AL181" s="7">
        <v>0</v>
      </c>
      <c r="AM181" s="7">
        <v>0</v>
      </c>
      <c r="AN181" s="7">
        <v>0</v>
      </c>
      <c r="AO181" s="7">
        <v>0</v>
      </c>
      <c r="AP181" s="7">
        <v>0</v>
      </c>
      <c r="AQ181" s="7">
        <v>28.005486230193199</v>
      </c>
      <c r="AR181" s="7">
        <v>20.741089179464741</v>
      </c>
      <c r="AS181" s="7">
        <v>-3.779863820535263</v>
      </c>
      <c r="AT181" s="7">
        <v>-4.8979150507284608</v>
      </c>
    </row>
    <row r="182" spans="1:46" x14ac:dyDescent="0.35">
      <c r="A182" s="5">
        <v>46022</v>
      </c>
      <c r="B182" s="4" t="s">
        <v>422</v>
      </c>
      <c r="C182" s="4" t="s">
        <v>423</v>
      </c>
      <c r="D182" s="4" t="s">
        <v>213</v>
      </c>
      <c r="E182" s="6">
        <v>0</v>
      </c>
      <c r="F182" s="6">
        <v>0</v>
      </c>
      <c r="G182" s="6">
        <v>0</v>
      </c>
      <c r="H182" s="6">
        <v>0</v>
      </c>
      <c r="I182" s="6">
        <v>0</v>
      </c>
      <c r="J182" s="6">
        <v>1230.1587300000001</v>
      </c>
      <c r="K182" s="6">
        <v>1230.1587300000001</v>
      </c>
      <c r="L182" s="6">
        <v>1230.1587300000001</v>
      </c>
      <c r="M182" s="7">
        <v>30.835650999999999</v>
      </c>
      <c r="N182" s="7">
        <v>4.0874300000000003</v>
      </c>
      <c r="O182" s="7">
        <v>7.5149439999999998</v>
      </c>
      <c r="P182" s="7">
        <v>29.977764000000001</v>
      </c>
      <c r="Q182" s="7">
        <v>72.415789000000004</v>
      </c>
      <c r="R182" s="7">
        <v>9.7072880000000001</v>
      </c>
      <c r="S182" s="7">
        <v>1.1921029999999999</v>
      </c>
      <c r="T182" s="7">
        <v>8.9247460000000007</v>
      </c>
      <c r="U182" s="7">
        <v>9.8673260000000003</v>
      </c>
      <c r="V182" s="7">
        <v>29.691462999999999</v>
      </c>
      <c r="W182" s="7">
        <v>102.107252</v>
      </c>
      <c r="X182" s="7">
        <v>21.26447634563468</v>
      </c>
      <c r="Y182" s="7">
        <v>36.982889118582797</v>
      </c>
      <c r="Z182" s="7">
        <v>160.35461746421751</v>
      </c>
      <c r="AA182" s="7">
        <v>36.469616385377442</v>
      </c>
      <c r="AB182" s="7">
        <v>196.82423384959489</v>
      </c>
      <c r="AC182" s="7">
        <v>0</v>
      </c>
      <c r="AD182" s="7">
        <v>37.825876000000001</v>
      </c>
      <c r="AE182" s="7">
        <v>0</v>
      </c>
      <c r="AF182" s="7">
        <v>0</v>
      </c>
      <c r="AG182" s="7">
        <v>234.65010984959491</v>
      </c>
      <c r="AH182" s="7">
        <v>6.2593550000000011</v>
      </c>
      <c r="AI182" s="7">
        <v>0</v>
      </c>
      <c r="AJ182" s="7">
        <v>6.5032259999999997</v>
      </c>
      <c r="AK182" s="7">
        <v>209.5868148495949</v>
      </c>
      <c r="AL182" s="7">
        <v>0</v>
      </c>
      <c r="AM182" s="7">
        <v>0</v>
      </c>
      <c r="AN182" s="7">
        <v>0</v>
      </c>
      <c r="AO182" s="7">
        <v>0</v>
      </c>
      <c r="AP182" s="7">
        <v>0</v>
      </c>
      <c r="AQ182" s="7">
        <v>209.5868148495949</v>
      </c>
      <c r="AR182" s="7">
        <v>356.90742295521738</v>
      </c>
      <c r="AS182" s="7">
        <v>196.5528054909999</v>
      </c>
      <c r="AT182" s="7">
        <v>160.08318910562249</v>
      </c>
    </row>
    <row r="183" spans="1:46" x14ac:dyDescent="0.35">
      <c r="A183" s="5">
        <v>46022</v>
      </c>
      <c r="B183" s="4" t="s">
        <v>424</v>
      </c>
      <c r="C183" s="4" t="s">
        <v>425</v>
      </c>
      <c r="D183" s="4" t="s">
        <v>122</v>
      </c>
      <c r="E183" s="6">
        <v>3406.3120570000001</v>
      </c>
      <c r="F183" s="6">
        <v>0</v>
      </c>
      <c r="G183" s="6">
        <v>3406.3120570000001</v>
      </c>
      <c r="H183" s="6">
        <v>3</v>
      </c>
      <c r="I183" s="6">
        <v>1135.4373519999999</v>
      </c>
      <c r="J183" s="6">
        <v>820.03808800000002</v>
      </c>
      <c r="K183" s="6">
        <v>1955.4754399999999</v>
      </c>
      <c r="L183" s="6">
        <v>1955.4754399999999</v>
      </c>
      <c r="M183" s="7">
        <v>21.348671</v>
      </c>
      <c r="N183" s="7">
        <v>13.820074999999999</v>
      </c>
      <c r="O183" s="7">
        <v>2.5167090000000001</v>
      </c>
      <c r="P183" s="7">
        <v>4.6312490000000004</v>
      </c>
      <c r="Q183" s="7">
        <v>42.316704000000001</v>
      </c>
      <c r="R183" s="7">
        <v>10.659794</v>
      </c>
      <c r="S183" s="7">
        <v>1.582408</v>
      </c>
      <c r="T183" s="7">
        <v>8.5298370000000006</v>
      </c>
      <c r="U183" s="7">
        <v>3.6578970000000002</v>
      </c>
      <c r="V183" s="7">
        <v>24.429936000000001</v>
      </c>
      <c r="W183" s="7">
        <v>66.746639999999999</v>
      </c>
      <c r="X183" s="7">
        <v>0.1283398885337062</v>
      </c>
      <c r="Y183" s="7">
        <v>2.9630472490028579</v>
      </c>
      <c r="Z183" s="7">
        <v>69.838027137536557</v>
      </c>
      <c r="AA183" s="7">
        <v>4.4445930833020544</v>
      </c>
      <c r="AB183" s="7">
        <v>74.282620220838623</v>
      </c>
      <c r="AC183" s="7">
        <v>0</v>
      </c>
      <c r="AD183" s="7">
        <v>2.5182380000000002</v>
      </c>
      <c r="AE183" s="7">
        <v>0</v>
      </c>
      <c r="AF183" s="7">
        <v>0</v>
      </c>
      <c r="AG183" s="7">
        <v>76.80085822083862</v>
      </c>
      <c r="AH183" s="7">
        <v>0.69699299999999997</v>
      </c>
      <c r="AI183" s="7">
        <v>0</v>
      </c>
      <c r="AJ183" s="7">
        <v>2.0541960000000001</v>
      </c>
      <c r="AK183" s="7">
        <v>77.03380922083862</v>
      </c>
      <c r="AL183" s="7">
        <v>0</v>
      </c>
      <c r="AM183" s="7">
        <v>0</v>
      </c>
      <c r="AN183" s="7">
        <v>0</v>
      </c>
      <c r="AO183" s="7">
        <v>0</v>
      </c>
      <c r="AP183" s="7">
        <v>0</v>
      </c>
      <c r="AQ183" s="7">
        <v>77.03380922083862</v>
      </c>
      <c r="AR183" s="7">
        <v>44.445561077931188</v>
      </c>
      <c r="AS183" s="7">
        <v>-25.392466059605368</v>
      </c>
      <c r="AT183" s="7">
        <v>-29.837059142907421</v>
      </c>
    </row>
    <row r="184" spans="1:46" x14ac:dyDescent="0.35">
      <c r="A184" s="5">
        <v>46022</v>
      </c>
      <c r="B184" s="4" t="s">
        <v>426</v>
      </c>
      <c r="C184" s="4" t="s">
        <v>427</v>
      </c>
      <c r="D184" s="4" t="s">
        <v>79</v>
      </c>
      <c r="E184" s="6">
        <v>205717.073171</v>
      </c>
      <c r="F184" s="6">
        <v>0</v>
      </c>
      <c r="G184" s="6">
        <v>205717.073171</v>
      </c>
      <c r="H184" s="6">
        <v>7.9449889999999996</v>
      </c>
      <c r="I184" s="6">
        <v>25892.682927000002</v>
      </c>
      <c r="J184" s="6">
        <v>9902.4390239999993</v>
      </c>
      <c r="K184" s="6">
        <v>35795.121951000001</v>
      </c>
      <c r="L184" s="6">
        <v>39297.560976000001</v>
      </c>
      <c r="M184" s="7">
        <v>23.903161000000001</v>
      </c>
      <c r="N184" s="7">
        <v>12.124955</v>
      </c>
      <c r="O184" s="7">
        <v>1.910482</v>
      </c>
      <c r="P184" s="7">
        <v>20.441624000000001</v>
      </c>
      <c r="Q184" s="7">
        <v>58.380222000000003</v>
      </c>
      <c r="R184" s="7">
        <v>3.2514569999999998</v>
      </c>
      <c r="S184" s="7">
        <v>1.788586</v>
      </c>
      <c r="T184" s="7">
        <v>5.7253639999999999</v>
      </c>
      <c r="U184" s="7">
        <v>15.688323</v>
      </c>
      <c r="V184" s="7">
        <v>26.45373</v>
      </c>
      <c r="W184" s="7">
        <v>84.833951999999996</v>
      </c>
      <c r="X184" s="7">
        <v>4.278587915308691E-2</v>
      </c>
      <c r="Y184" s="7">
        <v>0.1889231598178811</v>
      </c>
      <c r="Z184" s="7">
        <v>85.065661038970973</v>
      </c>
      <c r="AA184" s="7">
        <v>3.2548164673505848</v>
      </c>
      <c r="AB184" s="7">
        <v>88.320477506321552</v>
      </c>
      <c r="AC184" s="7">
        <v>2.8597630000000001</v>
      </c>
      <c r="AD184" s="7">
        <v>31.737158999999998</v>
      </c>
      <c r="AE184" s="7">
        <v>0</v>
      </c>
      <c r="AF184" s="7">
        <v>0</v>
      </c>
      <c r="AG184" s="7">
        <v>122.9173995063216</v>
      </c>
      <c r="AH184" s="7">
        <v>1.4435480000000001</v>
      </c>
      <c r="AI184" s="7">
        <v>0</v>
      </c>
      <c r="AJ184" s="7">
        <v>29.791460000000001</v>
      </c>
      <c r="AK184" s="7">
        <v>122.4152485063216</v>
      </c>
      <c r="AL184" s="7">
        <v>7.9443890000000001</v>
      </c>
      <c r="AM184" s="7">
        <v>0</v>
      </c>
      <c r="AN184" s="7">
        <v>0</v>
      </c>
      <c r="AO184" s="7">
        <v>0</v>
      </c>
      <c r="AP184" s="7">
        <v>0</v>
      </c>
      <c r="AQ184" s="7">
        <v>130.3596375063216</v>
      </c>
      <c r="AR184" s="7">
        <v>159.5318081908151</v>
      </c>
      <c r="AS184" s="7">
        <v>74.466147151844169</v>
      </c>
      <c r="AT184" s="7">
        <v>71.211330684493575</v>
      </c>
    </row>
    <row r="185" spans="1:46" x14ac:dyDescent="0.35">
      <c r="A185" s="5">
        <v>46022</v>
      </c>
      <c r="B185" s="4" t="s">
        <v>428</v>
      </c>
      <c r="C185" s="4" t="s">
        <v>429</v>
      </c>
      <c r="D185" s="4" t="s">
        <v>61</v>
      </c>
      <c r="E185" s="6">
        <v>0</v>
      </c>
      <c r="F185" s="6">
        <v>0</v>
      </c>
      <c r="G185" s="6">
        <v>0</v>
      </c>
      <c r="H185" s="6">
        <v>0</v>
      </c>
      <c r="I185" s="6">
        <v>0</v>
      </c>
      <c r="J185" s="6">
        <v>350</v>
      </c>
      <c r="K185" s="6">
        <v>350</v>
      </c>
      <c r="L185" s="6">
        <v>350</v>
      </c>
      <c r="M185" s="7">
        <v>25.827154</v>
      </c>
      <c r="N185" s="7">
        <v>0.511988</v>
      </c>
      <c r="O185" s="7">
        <v>1.8220609999999999</v>
      </c>
      <c r="P185" s="7">
        <v>53.676400999999998</v>
      </c>
      <c r="Q185" s="7">
        <v>81.837603999999999</v>
      </c>
      <c r="R185" s="7">
        <v>4.0591189999999999</v>
      </c>
      <c r="S185" s="7">
        <v>0.72291499999999997</v>
      </c>
      <c r="T185" s="7">
        <v>4.0383740000000001</v>
      </c>
      <c r="U185" s="7">
        <v>12.806543</v>
      </c>
      <c r="V185" s="7">
        <v>21.626950999999998</v>
      </c>
      <c r="W185" s="7">
        <v>103.464555</v>
      </c>
      <c r="X185" s="7">
        <v>0</v>
      </c>
      <c r="Y185" s="7">
        <v>6.6055643677142859</v>
      </c>
      <c r="Z185" s="7">
        <v>110.0701193677143</v>
      </c>
      <c r="AA185" s="7">
        <v>12.35519147858574</v>
      </c>
      <c r="AB185" s="7">
        <v>122.42531084629999</v>
      </c>
      <c r="AC185" s="7">
        <v>0</v>
      </c>
      <c r="AD185" s="7">
        <v>119.669381</v>
      </c>
      <c r="AE185" s="7">
        <v>0</v>
      </c>
      <c r="AF185" s="7">
        <v>0</v>
      </c>
      <c r="AG185" s="7">
        <v>242.09469184630001</v>
      </c>
      <c r="AH185" s="7">
        <v>19.356601000000001</v>
      </c>
      <c r="AI185" s="7">
        <v>0</v>
      </c>
      <c r="AJ185" s="7">
        <v>115.266346</v>
      </c>
      <c r="AK185" s="7">
        <v>257.04825784629998</v>
      </c>
      <c r="AL185" s="7">
        <v>0</v>
      </c>
      <c r="AM185" s="7">
        <v>0</v>
      </c>
      <c r="AN185" s="7">
        <v>0</v>
      </c>
      <c r="AO185" s="7">
        <v>0</v>
      </c>
      <c r="AP185" s="7">
        <v>0</v>
      </c>
      <c r="AQ185" s="7">
        <v>257.04825784629998</v>
      </c>
      <c r="AR185" s="7">
        <v>307.52637174204682</v>
      </c>
      <c r="AS185" s="7">
        <v>197.45625237433251</v>
      </c>
      <c r="AT185" s="7">
        <v>185.1010608957468</v>
      </c>
    </row>
    <row r="186" spans="1:46" x14ac:dyDescent="0.35">
      <c r="A186" s="5">
        <v>46022</v>
      </c>
      <c r="B186" s="4" t="s">
        <v>430</v>
      </c>
      <c r="C186" s="4" t="s">
        <v>431</v>
      </c>
      <c r="D186" s="4" t="s">
        <v>61</v>
      </c>
      <c r="E186" s="6">
        <v>0</v>
      </c>
      <c r="F186" s="6">
        <v>0</v>
      </c>
      <c r="G186" s="6">
        <v>0</v>
      </c>
      <c r="H186" s="6">
        <v>0</v>
      </c>
      <c r="I186" s="6">
        <v>0</v>
      </c>
      <c r="J186" s="6">
        <v>68.61</v>
      </c>
      <c r="K186" s="6">
        <v>68.61</v>
      </c>
      <c r="L186" s="6">
        <v>68.61</v>
      </c>
      <c r="M186" s="7">
        <v>5.84</v>
      </c>
      <c r="N186" s="7">
        <v>0.36</v>
      </c>
      <c r="O186" s="7">
        <v>3.0309219999999999</v>
      </c>
      <c r="P186" s="7">
        <v>4.18</v>
      </c>
      <c r="Q186" s="7">
        <v>13.410921999999999</v>
      </c>
      <c r="R186" s="7">
        <v>1.42</v>
      </c>
      <c r="S186" s="7">
        <v>1.68</v>
      </c>
      <c r="T186" s="7">
        <v>2.450942</v>
      </c>
      <c r="U186" s="7">
        <v>5.83</v>
      </c>
      <c r="V186" s="7">
        <v>11.380941999999999</v>
      </c>
      <c r="W186" s="7">
        <v>24.791864</v>
      </c>
      <c r="X186" s="7">
        <v>0.49518423773793913</v>
      </c>
      <c r="Y186" s="7">
        <v>2.811619390986698</v>
      </c>
      <c r="Z186" s="7">
        <v>28.098667628724641</v>
      </c>
      <c r="AA186" s="7">
        <v>7.4717550502973982</v>
      </c>
      <c r="AB186" s="7">
        <v>35.57042267902203</v>
      </c>
      <c r="AC186" s="7">
        <v>0</v>
      </c>
      <c r="AD186" s="7">
        <v>2.6733159999999998</v>
      </c>
      <c r="AE186" s="7">
        <v>0</v>
      </c>
      <c r="AF186" s="7">
        <v>0</v>
      </c>
      <c r="AG186" s="7">
        <v>38.24373867902203</v>
      </c>
      <c r="AH186" s="7">
        <v>2.2336170000000002</v>
      </c>
      <c r="AI186" s="7">
        <v>0</v>
      </c>
      <c r="AJ186" s="7">
        <v>2.6733159999999998</v>
      </c>
      <c r="AK186" s="7">
        <v>40.477355679022033</v>
      </c>
      <c r="AL186" s="7">
        <v>0</v>
      </c>
      <c r="AM186" s="7">
        <v>0</v>
      </c>
      <c r="AN186" s="7">
        <v>0</v>
      </c>
      <c r="AO186" s="7">
        <v>0</v>
      </c>
      <c r="AP186" s="7">
        <v>0</v>
      </c>
      <c r="AQ186" s="7">
        <v>40.477355679022033</v>
      </c>
      <c r="AR186" s="7">
        <v>45.877200896035632</v>
      </c>
      <c r="AS186" s="7">
        <v>17.778533267311001</v>
      </c>
      <c r="AT186" s="7">
        <v>10.3067782170136</v>
      </c>
    </row>
    <row r="187" spans="1:46" x14ac:dyDescent="0.35">
      <c r="A187" s="5">
        <v>46022</v>
      </c>
      <c r="B187" s="4" t="s">
        <v>432</v>
      </c>
      <c r="C187" s="4" t="s">
        <v>433</v>
      </c>
      <c r="D187" s="4" t="s">
        <v>61</v>
      </c>
      <c r="E187" s="6">
        <v>0</v>
      </c>
      <c r="F187" s="6">
        <v>0</v>
      </c>
      <c r="G187" s="6">
        <v>0</v>
      </c>
      <c r="H187" s="6">
        <v>0</v>
      </c>
      <c r="I187" s="6">
        <v>0</v>
      </c>
      <c r="J187" s="6">
        <v>18</v>
      </c>
      <c r="K187" s="6">
        <v>18</v>
      </c>
      <c r="L187" s="6">
        <v>18</v>
      </c>
      <c r="M187" s="7">
        <v>5.967549</v>
      </c>
      <c r="N187" s="7">
        <v>0.46217599999999998</v>
      </c>
      <c r="O187" s="7">
        <v>3.8154110000000001</v>
      </c>
      <c r="P187" s="7">
        <v>6.0616680000000001</v>
      </c>
      <c r="Q187" s="7">
        <v>16.306804</v>
      </c>
      <c r="R187" s="7">
        <v>3.423486</v>
      </c>
      <c r="S187" s="7">
        <v>7.9486000000000001E-2</v>
      </c>
      <c r="T187" s="7">
        <v>0.77429199999999998</v>
      </c>
      <c r="U187" s="7">
        <v>8.2998239999999992</v>
      </c>
      <c r="V187" s="7">
        <v>12.577088</v>
      </c>
      <c r="W187" s="7">
        <v>28.883891999999999</v>
      </c>
      <c r="X187" s="7">
        <v>1.725090299288889</v>
      </c>
      <c r="Y187" s="7">
        <v>4.6084149477276144</v>
      </c>
      <c r="Z187" s="7">
        <v>35.2173972470165</v>
      </c>
      <c r="AA187" s="7">
        <v>8.1257425977518487</v>
      </c>
      <c r="AB187" s="7">
        <v>43.343139844768352</v>
      </c>
      <c r="AC187" s="7">
        <v>0</v>
      </c>
      <c r="AD187" s="7">
        <v>1.8402750000000001</v>
      </c>
      <c r="AE187" s="7">
        <v>0</v>
      </c>
      <c r="AF187" s="7">
        <v>0</v>
      </c>
      <c r="AG187" s="7">
        <v>45.18341484476835</v>
      </c>
      <c r="AH187" s="7">
        <v>2.87982</v>
      </c>
      <c r="AI187" s="7">
        <v>0</v>
      </c>
      <c r="AJ187" s="7">
        <v>1.8402750000000001</v>
      </c>
      <c r="AK187" s="7">
        <v>48.063234844768353</v>
      </c>
      <c r="AL187" s="7">
        <v>0</v>
      </c>
      <c r="AM187" s="7">
        <v>0</v>
      </c>
      <c r="AN187" s="7">
        <v>0</v>
      </c>
      <c r="AO187" s="7">
        <v>0</v>
      </c>
      <c r="AP187" s="7">
        <v>0</v>
      </c>
      <c r="AQ187" s="7">
        <v>48.063234844768353</v>
      </c>
      <c r="AR187" s="7">
        <v>75.10411906825945</v>
      </c>
      <c r="AS187" s="7">
        <v>39.886721821242951</v>
      </c>
      <c r="AT187" s="7">
        <v>31.760979223491098</v>
      </c>
    </row>
    <row r="188" spans="1:46" x14ac:dyDescent="0.35">
      <c r="A188" s="5">
        <v>46022</v>
      </c>
      <c r="B188" s="4" t="s">
        <v>434</v>
      </c>
      <c r="C188" s="4" t="s">
        <v>435</v>
      </c>
      <c r="D188" s="4" t="s">
        <v>61</v>
      </c>
      <c r="E188" s="6">
        <v>0</v>
      </c>
      <c r="F188" s="6">
        <v>0</v>
      </c>
      <c r="G188" s="6">
        <v>0</v>
      </c>
      <c r="H188" s="6">
        <v>0</v>
      </c>
      <c r="I188" s="6">
        <v>0</v>
      </c>
      <c r="J188" s="6">
        <v>1000</v>
      </c>
      <c r="K188" s="6">
        <v>1000</v>
      </c>
      <c r="L188" s="6">
        <v>1000</v>
      </c>
      <c r="M188" s="7">
        <v>10.206897</v>
      </c>
      <c r="N188" s="7">
        <v>0.58650800000000003</v>
      </c>
      <c r="O188" s="7">
        <v>1.3786369999999999</v>
      </c>
      <c r="P188" s="7">
        <v>5.1442119999999996</v>
      </c>
      <c r="Q188" s="7">
        <v>17.316254000000001</v>
      </c>
      <c r="R188" s="7">
        <v>3.291039</v>
      </c>
      <c r="S188" s="7">
        <v>1.480966</v>
      </c>
      <c r="T188" s="7">
        <v>3.6191979999999999</v>
      </c>
      <c r="U188" s="7">
        <v>8.4341790000000003</v>
      </c>
      <c r="V188" s="7">
        <v>16.825382000000001</v>
      </c>
      <c r="W188" s="7">
        <v>34.141635999999998</v>
      </c>
      <c r="X188" s="7">
        <v>0.32970631190439997</v>
      </c>
      <c r="Y188" s="7">
        <v>18.49761667546348</v>
      </c>
      <c r="Z188" s="7">
        <v>52.968958987367877</v>
      </c>
      <c r="AA188" s="7">
        <v>3.0961640090817322</v>
      </c>
      <c r="AB188" s="7">
        <v>56.06512299644961</v>
      </c>
      <c r="AC188" s="7">
        <v>0</v>
      </c>
      <c r="AD188" s="7">
        <v>4.2143709999999999</v>
      </c>
      <c r="AE188" s="7">
        <v>0</v>
      </c>
      <c r="AF188" s="7">
        <v>0</v>
      </c>
      <c r="AG188" s="7">
        <v>60.279493996449609</v>
      </c>
      <c r="AH188" s="7">
        <v>2.8484050000000001</v>
      </c>
      <c r="AI188" s="7">
        <v>1.5264409999999999</v>
      </c>
      <c r="AJ188" s="7">
        <v>1.7174199999999999</v>
      </c>
      <c r="AK188" s="7">
        <v>62.157388996449612</v>
      </c>
      <c r="AL188" s="7">
        <v>0</v>
      </c>
      <c r="AM188" s="7">
        <v>0</v>
      </c>
      <c r="AN188" s="7">
        <v>0</v>
      </c>
      <c r="AO188" s="7">
        <v>0</v>
      </c>
      <c r="AP188" s="7">
        <v>0</v>
      </c>
      <c r="AQ188" s="7">
        <v>62.157388996449612</v>
      </c>
      <c r="AR188" s="7">
        <v>126.2168529963658</v>
      </c>
      <c r="AS188" s="7">
        <v>73.247894008997903</v>
      </c>
      <c r="AT188" s="7">
        <v>70.151729999916185</v>
      </c>
    </row>
    <row r="189" spans="1:46" x14ac:dyDescent="0.35">
      <c r="A189" s="5">
        <v>46022</v>
      </c>
      <c r="B189" s="4" t="s">
        <v>436</v>
      </c>
      <c r="C189" s="4" t="s">
        <v>437</v>
      </c>
      <c r="D189" s="4" t="s">
        <v>438</v>
      </c>
      <c r="E189" s="6">
        <v>21422.666667000001</v>
      </c>
      <c r="F189" s="6">
        <v>0</v>
      </c>
      <c r="G189" s="6">
        <v>21422.666667000001</v>
      </c>
      <c r="H189" s="6">
        <v>2.1351499999999999</v>
      </c>
      <c r="I189" s="6">
        <v>10033.333333</v>
      </c>
      <c r="J189" s="6">
        <v>0</v>
      </c>
      <c r="K189" s="6">
        <v>10033.333333</v>
      </c>
      <c r="L189" s="6">
        <v>10033.333333</v>
      </c>
      <c r="M189" s="7">
        <v>0.78895499999999996</v>
      </c>
      <c r="N189" s="7">
        <v>0.41878500000000002</v>
      </c>
      <c r="O189" s="7">
        <v>4.3568000000000003E-2</v>
      </c>
      <c r="P189" s="7">
        <v>1.089772</v>
      </c>
      <c r="Q189" s="7">
        <v>2.3410799999999998</v>
      </c>
      <c r="R189" s="7">
        <v>0.33812500000000001</v>
      </c>
      <c r="S189" s="7">
        <v>0.88496699999999995</v>
      </c>
      <c r="T189" s="7">
        <v>1.1640280000000001</v>
      </c>
      <c r="U189" s="7">
        <v>0.54234300000000002</v>
      </c>
      <c r="V189" s="7">
        <v>2.9294630000000002</v>
      </c>
      <c r="W189" s="7">
        <v>5.270543</v>
      </c>
      <c r="X189" s="7">
        <v>2.2312527007745229</v>
      </c>
      <c r="Y189" s="7">
        <v>6.4463036519407346</v>
      </c>
      <c r="Z189" s="7">
        <v>13.948099352715261</v>
      </c>
      <c r="AA189" s="7">
        <v>0</v>
      </c>
      <c r="AB189" s="7">
        <v>13.948099352715261</v>
      </c>
      <c r="AC189" s="7">
        <v>0</v>
      </c>
      <c r="AD189" s="7">
        <v>0.84586300000000014</v>
      </c>
      <c r="AE189" s="7">
        <v>0</v>
      </c>
      <c r="AF189" s="7">
        <v>0</v>
      </c>
      <c r="AG189" s="7">
        <v>14.79396235271526</v>
      </c>
      <c r="AH189" s="7">
        <v>0.647841</v>
      </c>
      <c r="AI189" s="7">
        <v>0</v>
      </c>
      <c r="AJ189" s="7">
        <v>11.165891999999999</v>
      </c>
      <c r="AK189" s="7">
        <v>25.76183235271526</v>
      </c>
      <c r="AL189" s="7">
        <v>1.0605279999999999</v>
      </c>
      <c r="AM189" s="7">
        <v>0</v>
      </c>
      <c r="AN189" s="7">
        <v>0</v>
      </c>
      <c r="AO189" s="7">
        <v>0</v>
      </c>
      <c r="AP189" s="7">
        <v>0</v>
      </c>
      <c r="AQ189" s="7">
        <v>26.822360352715261</v>
      </c>
      <c r="AR189" s="7">
        <v>45.54317694059047</v>
      </c>
      <c r="AS189" s="7">
        <v>31.59507758787521</v>
      </c>
      <c r="AT189" s="7">
        <v>31.59507758787521</v>
      </c>
    </row>
    <row r="190" spans="1:46" x14ac:dyDescent="0.35">
      <c r="A190" s="5">
        <v>46022</v>
      </c>
      <c r="B190" s="4" t="s">
        <v>439</v>
      </c>
      <c r="C190" s="4" t="s">
        <v>440</v>
      </c>
      <c r="D190" s="4" t="s">
        <v>441</v>
      </c>
      <c r="E190" s="6">
        <v>0</v>
      </c>
      <c r="F190" s="6">
        <v>0</v>
      </c>
      <c r="G190" s="6">
        <v>0</v>
      </c>
      <c r="H190" s="6">
        <v>0</v>
      </c>
      <c r="I190" s="6">
        <v>0</v>
      </c>
      <c r="J190" s="6">
        <v>3386.4311680000001</v>
      </c>
      <c r="K190" s="6">
        <v>3386.4311680000001</v>
      </c>
      <c r="L190" s="6">
        <v>3295.5065970000001</v>
      </c>
      <c r="M190" s="7">
        <v>11.433574999999999</v>
      </c>
      <c r="N190" s="7">
        <v>23.923741</v>
      </c>
      <c r="O190" s="7">
        <v>7.1796709999999999</v>
      </c>
      <c r="P190" s="7">
        <v>6.4681040000000012</v>
      </c>
      <c r="Q190" s="7">
        <v>49.005091</v>
      </c>
      <c r="R190" s="7">
        <v>2.1219440000000001</v>
      </c>
      <c r="S190" s="7">
        <v>1.99038</v>
      </c>
      <c r="T190" s="7">
        <v>4.1826210000000001</v>
      </c>
      <c r="U190" s="7">
        <v>3.175646</v>
      </c>
      <c r="V190" s="7">
        <v>11.470591000000001</v>
      </c>
      <c r="W190" s="7">
        <v>60.475681999999999</v>
      </c>
      <c r="X190" s="7">
        <v>0.12581743686067939</v>
      </c>
      <c r="Y190" s="7">
        <v>7.0347319989620374</v>
      </c>
      <c r="Z190" s="7">
        <v>67.636231435822722</v>
      </c>
      <c r="AA190" s="7">
        <v>3.967166983594046</v>
      </c>
      <c r="AB190" s="7">
        <v>71.603398419416763</v>
      </c>
      <c r="AC190" s="7">
        <v>0.89131199999999999</v>
      </c>
      <c r="AD190" s="7">
        <v>12.038524000000001</v>
      </c>
      <c r="AE190" s="7">
        <v>0</v>
      </c>
      <c r="AF190" s="7">
        <v>0</v>
      </c>
      <c r="AG190" s="7">
        <v>84.533234419416758</v>
      </c>
      <c r="AH190" s="7">
        <v>0.80577900000000013</v>
      </c>
      <c r="AI190" s="7">
        <v>0</v>
      </c>
      <c r="AJ190" s="7">
        <v>48.550956999999997</v>
      </c>
      <c r="AK190" s="7">
        <v>121.8514464194168</v>
      </c>
      <c r="AL190" s="7">
        <v>57.654262000000003</v>
      </c>
      <c r="AM190" s="7">
        <v>0</v>
      </c>
      <c r="AN190" s="7">
        <v>0</v>
      </c>
      <c r="AO190" s="7">
        <v>0</v>
      </c>
      <c r="AP190" s="7">
        <v>0</v>
      </c>
      <c r="AQ190" s="7">
        <v>179.50570841941681</v>
      </c>
      <c r="AR190" s="7">
        <v>130.3189587313978</v>
      </c>
      <c r="AS190" s="7">
        <v>62.682727295575042</v>
      </c>
      <c r="AT190" s="7">
        <v>58.715560311980987</v>
      </c>
    </row>
    <row r="191" spans="1:46" x14ac:dyDescent="0.35">
      <c r="A191" s="5">
        <v>46022</v>
      </c>
      <c r="B191" s="4" t="s">
        <v>442</v>
      </c>
      <c r="C191" s="4" t="s">
        <v>443</v>
      </c>
      <c r="D191" s="4" t="s">
        <v>222</v>
      </c>
      <c r="E191" s="6">
        <v>0</v>
      </c>
      <c r="F191" s="6">
        <v>0</v>
      </c>
      <c r="G191" s="6">
        <v>0</v>
      </c>
      <c r="H191" s="6">
        <v>0</v>
      </c>
      <c r="I191" s="6">
        <v>0</v>
      </c>
      <c r="J191" s="6">
        <v>1855</v>
      </c>
      <c r="K191" s="6">
        <v>1855</v>
      </c>
      <c r="L191" s="6">
        <v>1855</v>
      </c>
      <c r="M191" s="7">
        <v>36.252040000000001</v>
      </c>
      <c r="N191" s="7">
        <v>36.148687000000002</v>
      </c>
      <c r="O191" s="7">
        <v>6.5694939999999997</v>
      </c>
      <c r="P191" s="7">
        <v>24.089321000000002</v>
      </c>
      <c r="Q191" s="7">
        <v>103.05954199999999</v>
      </c>
      <c r="R191" s="7">
        <v>8.3736390000000007</v>
      </c>
      <c r="S191" s="7">
        <v>7.911639000000001</v>
      </c>
      <c r="T191" s="7">
        <v>12.054657000000001</v>
      </c>
      <c r="U191" s="7">
        <v>6.0319039999999999</v>
      </c>
      <c r="V191" s="7">
        <v>34.371839000000001</v>
      </c>
      <c r="W191" s="7">
        <v>137.43138099999999</v>
      </c>
      <c r="X191" s="7">
        <v>5.6843478901146627</v>
      </c>
      <c r="Y191" s="7">
        <v>6.4294886208765654</v>
      </c>
      <c r="Z191" s="7">
        <v>149.54521751099119</v>
      </c>
      <c r="AA191" s="7">
        <v>5.2047516173891921</v>
      </c>
      <c r="AB191" s="7">
        <v>154.7499691283804</v>
      </c>
      <c r="AC191" s="7">
        <v>0</v>
      </c>
      <c r="AD191" s="7">
        <v>63.500903000000008</v>
      </c>
      <c r="AE191" s="7">
        <v>0</v>
      </c>
      <c r="AF191" s="7">
        <v>0</v>
      </c>
      <c r="AG191" s="7">
        <v>218.25087212838039</v>
      </c>
      <c r="AH191" s="7">
        <v>1.2053259999999999</v>
      </c>
      <c r="AI191" s="7">
        <v>0</v>
      </c>
      <c r="AJ191" s="7">
        <v>32.345013000000002</v>
      </c>
      <c r="AK191" s="7">
        <v>188.30030812838041</v>
      </c>
      <c r="AL191" s="7">
        <v>8.0862529999999992</v>
      </c>
      <c r="AM191" s="7">
        <v>0</v>
      </c>
      <c r="AN191" s="7">
        <v>0</v>
      </c>
      <c r="AO191" s="7">
        <v>0</v>
      </c>
      <c r="AP191" s="7">
        <v>0</v>
      </c>
      <c r="AQ191" s="7">
        <v>196.38656112838041</v>
      </c>
      <c r="AR191" s="7">
        <v>316.34435448048259</v>
      </c>
      <c r="AS191" s="7">
        <v>166.79913696949129</v>
      </c>
      <c r="AT191" s="7">
        <v>161.59438535210211</v>
      </c>
    </row>
    <row r="192" spans="1:46" x14ac:dyDescent="0.35">
      <c r="A192" s="5">
        <v>46022</v>
      </c>
      <c r="B192" s="4" t="s">
        <v>444</v>
      </c>
      <c r="C192" s="4" t="s">
        <v>445</v>
      </c>
      <c r="D192" s="4" t="s">
        <v>89</v>
      </c>
      <c r="E192" s="6">
        <v>0</v>
      </c>
      <c r="F192" s="6">
        <v>0</v>
      </c>
      <c r="G192" s="6">
        <v>0</v>
      </c>
      <c r="H192" s="6">
        <v>0</v>
      </c>
      <c r="I192" s="6">
        <v>0</v>
      </c>
      <c r="J192" s="6">
        <v>778.19799999999998</v>
      </c>
      <c r="K192" s="6">
        <v>778.19799999999998</v>
      </c>
      <c r="L192" s="6">
        <v>763.72900000000004</v>
      </c>
      <c r="M192" s="7">
        <v>44.706189999999999</v>
      </c>
      <c r="N192" s="7">
        <v>4.0511080000000002</v>
      </c>
      <c r="O192" s="7">
        <v>6.9624499999999996</v>
      </c>
      <c r="P192" s="7">
        <v>29.573253000000001</v>
      </c>
      <c r="Q192" s="7">
        <v>85.293001000000004</v>
      </c>
      <c r="R192" s="7">
        <v>19.756851999999999</v>
      </c>
      <c r="S192" s="7">
        <v>4.1053620000000004</v>
      </c>
      <c r="T192" s="7">
        <v>15.358155</v>
      </c>
      <c r="U192" s="7">
        <v>6.1534639999999996</v>
      </c>
      <c r="V192" s="7">
        <v>45.373832999999998</v>
      </c>
      <c r="W192" s="7">
        <v>130.66683399999999</v>
      </c>
      <c r="X192" s="7">
        <v>5.7314184765842331</v>
      </c>
      <c r="Y192" s="7">
        <v>1.240173684730095</v>
      </c>
      <c r="Z192" s="7">
        <v>137.6384261613143</v>
      </c>
      <c r="AA192" s="7">
        <v>10.778288624740821</v>
      </c>
      <c r="AB192" s="7">
        <v>148.41671478605511</v>
      </c>
      <c r="AC192" s="7">
        <v>2.5205280000000001</v>
      </c>
      <c r="AD192" s="7">
        <v>92.157456999999994</v>
      </c>
      <c r="AE192" s="7">
        <v>0</v>
      </c>
      <c r="AF192" s="7">
        <v>0</v>
      </c>
      <c r="AG192" s="7">
        <v>243.09469978605509</v>
      </c>
      <c r="AH192" s="7">
        <v>5.2374599999999996</v>
      </c>
      <c r="AI192" s="7">
        <v>0</v>
      </c>
      <c r="AJ192" s="7">
        <v>7.0707060000000004</v>
      </c>
      <c r="AK192" s="7">
        <v>163.24540878605509</v>
      </c>
      <c r="AL192" s="7">
        <v>0</v>
      </c>
      <c r="AM192" s="7">
        <v>0</v>
      </c>
      <c r="AN192" s="7">
        <v>0</v>
      </c>
      <c r="AO192" s="7">
        <v>0</v>
      </c>
      <c r="AP192" s="7">
        <v>0</v>
      </c>
      <c r="AQ192" s="7">
        <v>163.24540878605509</v>
      </c>
      <c r="AR192" s="7">
        <v>218.2910924325642</v>
      </c>
      <c r="AS192" s="7">
        <v>80.652666271249856</v>
      </c>
      <c r="AT192" s="7">
        <v>69.874377646509032</v>
      </c>
    </row>
    <row r="193" spans="1:46" x14ac:dyDescent="0.35">
      <c r="A193" s="5">
        <v>46022</v>
      </c>
      <c r="B193" s="4" t="s">
        <v>446</v>
      </c>
      <c r="C193" s="4" t="s">
        <v>447</v>
      </c>
      <c r="D193" s="4" t="s">
        <v>351</v>
      </c>
      <c r="E193" s="6">
        <v>66000</v>
      </c>
      <c r="F193" s="6">
        <v>0</v>
      </c>
      <c r="G193" s="6">
        <v>66000</v>
      </c>
      <c r="H193" s="6">
        <v>2.75</v>
      </c>
      <c r="I193" s="6">
        <v>24000</v>
      </c>
      <c r="J193" s="6">
        <v>12400</v>
      </c>
      <c r="K193" s="6">
        <v>36400</v>
      </c>
      <c r="L193" s="6">
        <v>36000</v>
      </c>
      <c r="M193" s="7">
        <v>2.2270349999999999</v>
      </c>
      <c r="N193" s="7">
        <v>1.681797</v>
      </c>
      <c r="O193" s="7">
        <v>0.89211499999999999</v>
      </c>
      <c r="P193" s="7">
        <v>7.5816739999999996</v>
      </c>
      <c r="Q193" s="7">
        <v>12.382621</v>
      </c>
      <c r="R193" s="7">
        <v>0.54704299999999995</v>
      </c>
      <c r="S193" s="7">
        <v>0.90652100000000002</v>
      </c>
      <c r="T193" s="7">
        <v>4.7593209999999999</v>
      </c>
      <c r="U193" s="7">
        <v>4.2525279999999999</v>
      </c>
      <c r="V193" s="7">
        <v>10.465413</v>
      </c>
      <c r="W193" s="7">
        <v>22.848033999999998</v>
      </c>
      <c r="X193" s="7">
        <v>1.301002132159583</v>
      </c>
      <c r="Y193" s="7">
        <v>3.6631756810763951</v>
      </c>
      <c r="Z193" s="7">
        <v>27.812211813235979</v>
      </c>
      <c r="AA193" s="7">
        <v>4.8924191105051467</v>
      </c>
      <c r="AB193" s="7">
        <v>32.704630923741121</v>
      </c>
      <c r="AC193" s="7">
        <v>0.88319199999999998</v>
      </c>
      <c r="AD193" s="7">
        <v>16.454901</v>
      </c>
      <c r="AE193" s="7">
        <v>0</v>
      </c>
      <c r="AF193" s="7">
        <v>0</v>
      </c>
      <c r="AG193" s="7">
        <v>50.042723923741121</v>
      </c>
      <c r="AH193" s="7">
        <v>0.68438200000000005</v>
      </c>
      <c r="AI193" s="7">
        <v>0</v>
      </c>
      <c r="AJ193" s="7">
        <v>6.556972</v>
      </c>
      <c r="AK193" s="7">
        <v>40.829176923741123</v>
      </c>
      <c r="AL193" s="7">
        <v>12.888889000000001</v>
      </c>
      <c r="AM193" s="7">
        <v>0</v>
      </c>
      <c r="AN193" s="7">
        <v>0</v>
      </c>
      <c r="AO193" s="7">
        <v>0</v>
      </c>
      <c r="AP193" s="7">
        <v>0</v>
      </c>
      <c r="AQ193" s="7">
        <v>53.718065923741122</v>
      </c>
      <c r="AR193" s="7">
        <v>97.848362265268136</v>
      </c>
      <c r="AS193" s="7">
        <v>70.03615045203216</v>
      </c>
      <c r="AT193" s="7">
        <v>65.143731341527015</v>
      </c>
    </row>
    <row r="194" spans="1:46" x14ac:dyDescent="0.35">
      <c r="A194" s="5">
        <v>46022</v>
      </c>
      <c r="B194" s="4" t="s">
        <v>448</v>
      </c>
      <c r="C194" s="4" t="s">
        <v>449</v>
      </c>
      <c r="D194" s="4" t="s">
        <v>148</v>
      </c>
      <c r="E194" s="6">
        <v>34500</v>
      </c>
      <c r="F194" s="6">
        <v>0</v>
      </c>
      <c r="G194" s="6">
        <v>34500</v>
      </c>
      <c r="H194" s="6">
        <v>2.2999999999999998</v>
      </c>
      <c r="I194" s="6">
        <v>15000</v>
      </c>
      <c r="J194" s="6">
        <v>0</v>
      </c>
      <c r="K194" s="6">
        <v>15000</v>
      </c>
      <c r="L194" s="6">
        <v>15000</v>
      </c>
      <c r="M194" s="7">
        <v>2.042602</v>
      </c>
      <c r="N194" s="7">
        <v>2.1278350000000001</v>
      </c>
      <c r="O194" s="7">
        <v>0.14057800000000001</v>
      </c>
      <c r="P194" s="7">
        <v>2.682833</v>
      </c>
      <c r="Q194" s="7">
        <v>6.9938479999999998</v>
      </c>
      <c r="R194" s="7">
        <v>3.5996800000000002</v>
      </c>
      <c r="S194" s="7">
        <v>1.9693020000000001</v>
      </c>
      <c r="T194" s="7">
        <v>6.1437809999999997</v>
      </c>
      <c r="U194" s="7">
        <v>2.5531190000000001</v>
      </c>
      <c r="V194" s="7">
        <v>14.265882</v>
      </c>
      <c r="W194" s="7">
        <v>21.259730000000001</v>
      </c>
      <c r="X194" s="7">
        <v>0.31471375823999997</v>
      </c>
      <c r="Y194" s="7">
        <v>2.0560697419856249</v>
      </c>
      <c r="Z194" s="7">
        <v>23.630513500225629</v>
      </c>
      <c r="AA194" s="7">
        <v>1.035874405795346</v>
      </c>
      <c r="AB194" s="7">
        <v>24.666387906020969</v>
      </c>
      <c r="AC194" s="7">
        <v>0</v>
      </c>
      <c r="AD194" s="7">
        <v>1.5747629999999999</v>
      </c>
      <c r="AE194" s="7">
        <v>0</v>
      </c>
      <c r="AF194" s="7">
        <v>0</v>
      </c>
      <c r="AG194" s="7">
        <v>26.24115090602097</v>
      </c>
      <c r="AH194" s="7">
        <v>0.86</v>
      </c>
      <c r="AI194" s="7">
        <v>0</v>
      </c>
      <c r="AJ194" s="7">
        <v>1.4088000000000001</v>
      </c>
      <c r="AK194" s="7">
        <v>26.935187906020971</v>
      </c>
      <c r="AL194" s="7">
        <v>0</v>
      </c>
      <c r="AM194" s="7">
        <v>0</v>
      </c>
      <c r="AN194" s="7">
        <v>0</v>
      </c>
      <c r="AO194" s="7">
        <v>0</v>
      </c>
      <c r="AP194" s="7">
        <v>0</v>
      </c>
      <c r="AQ194" s="7">
        <v>26.935187906020971</v>
      </c>
      <c r="AR194" s="7">
        <v>41.615079003391138</v>
      </c>
      <c r="AS194" s="7">
        <v>17.98456550316552</v>
      </c>
      <c r="AT194" s="7">
        <v>16.948691097370169</v>
      </c>
    </row>
    <row r="195" spans="1:46" x14ac:dyDescent="0.35">
      <c r="A195" s="5">
        <v>46022</v>
      </c>
      <c r="B195" s="4" t="s">
        <v>450</v>
      </c>
      <c r="C195" s="4" t="s">
        <v>451</v>
      </c>
      <c r="D195" s="4" t="s">
        <v>148</v>
      </c>
      <c r="E195" s="6">
        <v>1050</v>
      </c>
      <c r="F195" s="6">
        <v>0</v>
      </c>
      <c r="G195" s="6">
        <v>1050</v>
      </c>
      <c r="H195" s="6">
        <v>2.5</v>
      </c>
      <c r="I195" s="6">
        <v>420</v>
      </c>
      <c r="J195" s="6">
        <v>0</v>
      </c>
      <c r="K195" s="6">
        <v>420</v>
      </c>
      <c r="L195" s="6">
        <v>420</v>
      </c>
      <c r="M195" s="7">
        <v>1.792824</v>
      </c>
      <c r="N195" s="7">
        <v>2.1484960000000002</v>
      </c>
      <c r="O195" s="7">
        <v>0.16001599999999999</v>
      </c>
      <c r="P195" s="7">
        <v>2.914606</v>
      </c>
      <c r="Q195" s="7">
        <v>7.0159419999999999</v>
      </c>
      <c r="R195" s="7">
        <v>1.1824140000000001</v>
      </c>
      <c r="S195" s="7">
        <v>12.052904</v>
      </c>
      <c r="T195" s="7">
        <v>0.71140199999999998</v>
      </c>
      <c r="U195" s="7">
        <v>1.599342</v>
      </c>
      <c r="V195" s="7">
        <v>15.546061999999999</v>
      </c>
      <c r="W195" s="7">
        <v>22.562004000000002</v>
      </c>
      <c r="X195" s="7">
        <v>1.3674485714285711E-2</v>
      </c>
      <c r="Y195" s="7">
        <v>0</v>
      </c>
      <c r="Z195" s="7">
        <v>22.575678485714288</v>
      </c>
      <c r="AA195" s="7">
        <v>0.61988972989566615</v>
      </c>
      <c r="AB195" s="7">
        <v>23.195568215609949</v>
      </c>
      <c r="AC195" s="7">
        <v>0</v>
      </c>
      <c r="AD195" s="7">
        <v>3.662709</v>
      </c>
      <c r="AE195" s="7">
        <v>0</v>
      </c>
      <c r="AF195" s="7">
        <v>0</v>
      </c>
      <c r="AG195" s="7">
        <v>26.858277215609949</v>
      </c>
      <c r="AH195" s="7">
        <v>0.86</v>
      </c>
      <c r="AI195" s="7">
        <v>0</v>
      </c>
      <c r="AJ195" s="7">
        <v>1.4088000000000001</v>
      </c>
      <c r="AK195" s="7">
        <v>25.464368215609952</v>
      </c>
      <c r="AL195" s="7">
        <v>0</v>
      </c>
      <c r="AM195" s="7">
        <v>0</v>
      </c>
      <c r="AN195" s="7">
        <v>0</v>
      </c>
      <c r="AO195" s="7">
        <v>0</v>
      </c>
      <c r="AP195" s="7">
        <v>0</v>
      </c>
      <c r="AQ195" s="7">
        <v>25.464368215609952</v>
      </c>
      <c r="AR195" s="7">
        <v>33.069339215747142</v>
      </c>
      <c r="AS195" s="7">
        <v>10.493660730032859</v>
      </c>
      <c r="AT195" s="7">
        <v>9.8737710001371912</v>
      </c>
    </row>
    <row r="196" spans="1:46" x14ac:dyDescent="0.35">
      <c r="A196" s="5">
        <v>46022</v>
      </c>
      <c r="B196" s="4" t="s">
        <v>452</v>
      </c>
      <c r="C196" s="4" t="s">
        <v>453</v>
      </c>
      <c r="D196" s="4" t="s">
        <v>89</v>
      </c>
      <c r="E196" s="6">
        <v>0</v>
      </c>
      <c r="F196" s="6">
        <v>0</v>
      </c>
      <c r="G196" s="6">
        <v>0</v>
      </c>
      <c r="H196" s="6">
        <v>0</v>
      </c>
      <c r="I196" s="6">
        <v>0</v>
      </c>
      <c r="J196" s="6">
        <v>712.29161299999998</v>
      </c>
      <c r="K196" s="6">
        <v>712.29161299999998</v>
      </c>
      <c r="L196" s="6">
        <v>690.81061299999999</v>
      </c>
      <c r="M196" s="7">
        <v>72.276902000000007</v>
      </c>
      <c r="N196" s="7">
        <v>5.5358340000000004</v>
      </c>
      <c r="O196" s="7">
        <v>6.7392190000000003</v>
      </c>
      <c r="P196" s="7">
        <v>40.351137999999999</v>
      </c>
      <c r="Q196" s="7">
        <v>124.903093</v>
      </c>
      <c r="R196" s="7">
        <v>26.524504</v>
      </c>
      <c r="S196" s="7">
        <v>4.1793719999999999</v>
      </c>
      <c r="T196" s="7">
        <v>4.2185730000000001</v>
      </c>
      <c r="U196" s="7">
        <v>23.698197</v>
      </c>
      <c r="V196" s="7">
        <v>58.620646000000001</v>
      </c>
      <c r="W196" s="7">
        <v>183.52373900000001</v>
      </c>
      <c r="X196" s="7">
        <v>19.31279648685782</v>
      </c>
      <c r="Y196" s="7">
        <v>18.556940303906099</v>
      </c>
      <c r="Z196" s="7">
        <v>221.39347579076389</v>
      </c>
      <c r="AA196" s="7">
        <v>17.137998131520419</v>
      </c>
      <c r="AB196" s="7">
        <v>238.53147392228431</v>
      </c>
      <c r="AC196" s="7">
        <v>0</v>
      </c>
      <c r="AD196" s="7">
        <v>71.270611000000002</v>
      </c>
      <c r="AE196" s="7">
        <v>0</v>
      </c>
      <c r="AF196" s="7">
        <v>-0.39541799999999999</v>
      </c>
      <c r="AG196" s="7">
        <v>309.40666692228427</v>
      </c>
      <c r="AH196" s="7">
        <v>9.765549</v>
      </c>
      <c r="AI196" s="7">
        <v>0</v>
      </c>
      <c r="AJ196" s="7">
        <v>38.702280999999999</v>
      </c>
      <c r="AK196" s="7">
        <v>286.9993039222843</v>
      </c>
      <c r="AL196" s="7">
        <v>58.536869000000003</v>
      </c>
      <c r="AM196" s="7">
        <v>0</v>
      </c>
      <c r="AN196" s="7">
        <v>0</v>
      </c>
      <c r="AO196" s="7">
        <v>0</v>
      </c>
      <c r="AP196" s="7">
        <v>0</v>
      </c>
      <c r="AQ196" s="7">
        <v>345.53617292228432</v>
      </c>
      <c r="AR196" s="7">
        <v>296.21258282276972</v>
      </c>
      <c r="AS196" s="7">
        <v>74.819107032005761</v>
      </c>
      <c r="AT196" s="7">
        <v>57.681108900485341</v>
      </c>
    </row>
    <row r="197" spans="1:46" x14ac:dyDescent="0.35">
      <c r="A197" s="5">
        <v>46022</v>
      </c>
      <c r="B197" s="4" t="s">
        <v>454</v>
      </c>
      <c r="C197" s="4" t="s">
        <v>455</v>
      </c>
      <c r="D197" s="4" t="s">
        <v>105</v>
      </c>
      <c r="E197" s="6">
        <v>34160</v>
      </c>
      <c r="F197" s="6">
        <v>0</v>
      </c>
      <c r="G197" s="6">
        <v>34160</v>
      </c>
      <c r="H197" s="6">
        <v>6.1</v>
      </c>
      <c r="I197" s="6">
        <v>5600</v>
      </c>
      <c r="J197" s="6">
        <v>0</v>
      </c>
      <c r="K197" s="6">
        <v>5600</v>
      </c>
      <c r="L197" s="6">
        <v>5600</v>
      </c>
      <c r="M197" s="7">
        <v>0.45957510638297872</v>
      </c>
      <c r="N197" s="7">
        <v>7.2532430000000003</v>
      </c>
      <c r="O197" s="7">
        <v>0.52075200490998363</v>
      </c>
      <c r="P197" s="7">
        <v>7.5985152373158762</v>
      </c>
      <c r="Q197" s="7">
        <v>15.832085348608841</v>
      </c>
      <c r="R197" s="7">
        <v>0.20066715220949261</v>
      </c>
      <c r="S197" s="7">
        <v>2.9359455810147299</v>
      </c>
      <c r="T197" s="7">
        <v>17.554779427168569</v>
      </c>
      <c r="U197" s="7">
        <v>5.9805951800327328</v>
      </c>
      <c r="V197" s="7">
        <v>26.671987340425531</v>
      </c>
      <c r="W197" s="7">
        <v>42.504072689034373</v>
      </c>
      <c r="X197" s="7">
        <v>0.19189640599999999</v>
      </c>
      <c r="Y197" s="7">
        <v>4.7441753816537711</v>
      </c>
      <c r="Z197" s="7">
        <v>47.44014447668814</v>
      </c>
      <c r="AA197" s="7">
        <v>0.13986287765648961</v>
      </c>
      <c r="AB197" s="7">
        <v>47.58000735434463</v>
      </c>
      <c r="AC197" s="7">
        <v>0</v>
      </c>
      <c r="AD197" s="7">
        <v>9.9428469230769227</v>
      </c>
      <c r="AE197" s="7">
        <v>0</v>
      </c>
      <c r="AF197" s="7">
        <v>0</v>
      </c>
      <c r="AG197" s="7">
        <v>57.522854277421551</v>
      </c>
      <c r="AH197" s="7">
        <v>3.488662487725041</v>
      </c>
      <c r="AI197" s="7">
        <v>0</v>
      </c>
      <c r="AJ197" s="7">
        <v>0.85721639116202941</v>
      </c>
      <c r="AK197" s="7">
        <v>51.925886233231701</v>
      </c>
      <c r="AL197" s="7">
        <v>0</v>
      </c>
      <c r="AM197" s="7">
        <v>0</v>
      </c>
      <c r="AN197" s="7">
        <v>0</v>
      </c>
      <c r="AO197" s="7">
        <v>0</v>
      </c>
      <c r="AP197" s="7">
        <v>0</v>
      </c>
      <c r="AQ197" s="7">
        <v>51.925886233231701</v>
      </c>
      <c r="AR197" s="7">
        <v>52.059371743366633</v>
      </c>
      <c r="AS197" s="7">
        <v>4.6192272666784877</v>
      </c>
      <c r="AT197" s="7">
        <v>4.4793643890219981</v>
      </c>
    </row>
    <row r="198" spans="1:46" x14ac:dyDescent="0.35">
      <c r="A198" s="5">
        <v>46022</v>
      </c>
      <c r="B198" s="4" t="s">
        <v>456</v>
      </c>
      <c r="C198" s="4" t="s">
        <v>457</v>
      </c>
      <c r="D198" s="4" t="s">
        <v>105</v>
      </c>
      <c r="E198" s="6">
        <v>0</v>
      </c>
      <c r="F198" s="6">
        <v>0</v>
      </c>
      <c r="G198" s="6">
        <v>0</v>
      </c>
      <c r="H198" s="6">
        <v>0</v>
      </c>
      <c r="I198" s="6">
        <v>0</v>
      </c>
      <c r="J198" s="6">
        <v>0</v>
      </c>
      <c r="K198" s="6">
        <v>0</v>
      </c>
      <c r="L198" s="6">
        <v>8488</v>
      </c>
      <c r="M198" s="7">
        <v>0</v>
      </c>
      <c r="N198" s="7">
        <v>0</v>
      </c>
      <c r="O198" s="7">
        <v>0</v>
      </c>
      <c r="P198" s="7">
        <v>0</v>
      </c>
      <c r="Q198" s="7">
        <v>0</v>
      </c>
      <c r="R198" s="7">
        <v>0.22723699999999999</v>
      </c>
      <c r="S198" s="7">
        <v>0.56580499999999989</v>
      </c>
      <c r="T198" s="7">
        <v>2.3099789999999998</v>
      </c>
      <c r="U198" s="7">
        <v>0.32848500000000003</v>
      </c>
      <c r="V198" s="7">
        <v>3.4315059999999988</v>
      </c>
      <c r="W198" s="7">
        <v>3.4315059999999988</v>
      </c>
      <c r="X198" s="7">
        <v>1.534417577756833E-3</v>
      </c>
      <c r="Y198" s="7">
        <v>0.56222092440506355</v>
      </c>
      <c r="Z198" s="7">
        <v>3.99526134198282</v>
      </c>
      <c r="AA198" s="7">
        <v>0</v>
      </c>
      <c r="AB198" s="7">
        <v>3.99526134198282</v>
      </c>
      <c r="AC198" s="7">
        <v>0</v>
      </c>
      <c r="AD198" s="7">
        <v>0.35111199999999992</v>
      </c>
      <c r="AE198" s="7">
        <v>0</v>
      </c>
      <c r="AF198" s="7">
        <v>0</v>
      </c>
      <c r="AG198" s="7">
        <v>4.3463733419828197</v>
      </c>
      <c r="AH198" s="7">
        <v>5.0932999999999992E-2</v>
      </c>
      <c r="AI198" s="7">
        <v>0</v>
      </c>
      <c r="AJ198" s="7">
        <v>0.15140300000000001</v>
      </c>
      <c r="AK198" s="7">
        <v>4.1975973419828199</v>
      </c>
      <c r="AL198" s="7">
        <v>0</v>
      </c>
      <c r="AM198" s="7">
        <v>0</v>
      </c>
      <c r="AN198" s="7">
        <v>0</v>
      </c>
      <c r="AO198" s="7">
        <v>0</v>
      </c>
      <c r="AP198" s="7">
        <v>0</v>
      </c>
      <c r="AQ198" s="7">
        <v>4.1975973419828199</v>
      </c>
      <c r="AR198" s="7">
        <v>5.9656557115405313</v>
      </c>
      <c r="AS198" s="7">
        <v>1.9703943695577111</v>
      </c>
      <c r="AT198" s="7">
        <v>1.9703943695577111</v>
      </c>
    </row>
    <row r="199" spans="1:46" x14ac:dyDescent="0.35">
      <c r="A199" s="5">
        <v>46022</v>
      </c>
      <c r="B199" s="4" t="s">
        <v>458</v>
      </c>
      <c r="C199" s="4" t="s">
        <v>459</v>
      </c>
      <c r="D199" s="4" t="s">
        <v>222</v>
      </c>
      <c r="E199" s="6">
        <v>24155.46</v>
      </c>
      <c r="F199" s="6">
        <v>0</v>
      </c>
      <c r="G199" s="6">
        <v>24155.46</v>
      </c>
      <c r="H199" s="6">
        <v>3.17835</v>
      </c>
      <c r="I199" s="6">
        <v>7600</v>
      </c>
      <c r="J199" s="6">
        <v>0</v>
      </c>
      <c r="K199" s="6">
        <v>7600</v>
      </c>
      <c r="L199" s="6">
        <v>9000</v>
      </c>
      <c r="M199" s="7">
        <v>8.4747009999999996</v>
      </c>
      <c r="N199" s="7">
        <v>3.0045470000000001</v>
      </c>
      <c r="O199" s="7">
        <v>0.43206899999999998</v>
      </c>
      <c r="P199" s="7">
        <v>5.8398729999999999</v>
      </c>
      <c r="Q199" s="7">
        <v>17.751190000000001</v>
      </c>
      <c r="R199" s="7">
        <v>5.9361009999999998</v>
      </c>
      <c r="S199" s="7">
        <v>2.1663770000000002</v>
      </c>
      <c r="T199" s="7">
        <v>2.6062530000000002</v>
      </c>
      <c r="U199" s="7">
        <v>6.828653000000001</v>
      </c>
      <c r="V199" s="7">
        <v>17.537383999999999</v>
      </c>
      <c r="W199" s="7">
        <v>35.288573999999997</v>
      </c>
      <c r="X199" s="7">
        <v>4.9500654032077334</v>
      </c>
      <c r="Y199" s="7">
        <v>0.48369938174561361</v>
      </c>
      <c r="Z199" s="7">
        <v>40.722338784953351</v>
      </c>
      <c r="AA199" s="7">
        <v>1.171950577910208</v>
      </c>
      <c r="AB199" s="7">
        <v>41.89428936286356</v>
      </c>
      <c r="AC199" s="7">
        <v>0.280443</v>
      </c>
      <c r="AD199" s="7">
        <v>14.357984999999999</v>
      </c>
      <c r="AE199" s="7">
        <v>0</v>
      </c>
      <c r="AF199" s="7">
        <v>0</v>
      </c>
      <c r="AG199" s="7">
        <v>56.532717362863558</v>
      </c>
      <c r="AH199" s="7">
        <v>0.62426000000000015</v>
      </c>
      <c r="AI199" s="7">
        <v>0</v>
      </c>
      <c r="AJ199" s="7">
        <v>11.111110999999999</v>
      </c>
      <c r="AK199" s="7">
        <v>53.910103362863559</v>
      </c>
      <c r="AL199" s="7">
        <v>19.047619000000001</v>
      </c>
      <c r="AM199" s="7">
        <v>0</v>
      </c>
      <c r="AN199" s="7">
        <v>0</v>
      </c>
      <c r="AO199" s="7">
        <v>0</v>
      </c>
      <c r="AP199" s="7">
        <v>0</v>
      </c>
      <c r="AQ199" s="7">
        <v>72.957722362863564</v>
      </c>
      <c r="AR199" s="7">
        <v>61.780398245662028</v>
      </c>
      <c r="AS199" s="7">
        <v>21.05805946070868</v>
      </c>
      <c r="AT199" s="7">
        <v>19.886108882798471</v>
      </c>
    </row>
    <row r="200" spans="1:46" x14ac:dyDescent="0.35">
      <c r="A200" s="5">
        <v>46022</v>
      </c>
      <c r="B200" s="4" t="s">
        <v>460</v>
      </c>
      <c r="C200" s="4" t="s">
        <v>461</v>
      </c>
      <c r="D200" s="4" t="s">
        <v>111</v>
      </c>
      <c r="E200" s="6">
        <v>0</v>
      </c>
      <c r="F200" s="6">
        <v>0</v>
      </c>
      <c r="G200" s="6">
        <v>0</v>
      </c>
      <c r="H200" s="6">
        <v>0</v>
      </c>
      <c r="I200" s="6">
        <v>0</v>
      </c>
      <c r="J200" s="6">
        <v>1291.6536779999999</v>
      </c>
      <c r="K200" s="6">
        <v>1291.6536779999999</v>
      </c>
      <c r="L200" s="6">
        <v>1291.6536779999999</v>
      </c>
      <c r="M200" s="7">
        <v>7.3021549999999991</v>
      </c>
      <c r="N200" s="7">
        <v>5.8244300000000004</v>
      </c>
      <c r="O200" s="7">
        <v>2.9622700000000002</v>
      </c>
      <c r="P200" s="7">
        <v>4.4121540000000001</v>
      </c>
      <c r="Q200" s="7">
        <v>20.501009</v>
      </c>
      <c r="R200" s="7">
        <v>3.080613</v>
      </c>
      <c r="S200" s="7">
        <v>3.2058019999999998</v>
      </c>
      <c r="T200" s="7">
        <v>7.5537140000000003</v>
      </c>
      <c r="U200" s="7">
        <v>4.0579739999999989</v>
      </c>
      <c r="V200" s="7">
        <v>17.898102999999999</v>
      </c>
      <c r="W200" s="7">
        <v>38.399112000000002</v>
      </c>
      <c r="X200" s="7">
        <v>3.0988998372182079</v>
      </c>
      <c r="Y200" s="7">
        <v>2.8256206345570871</v>
      </c>
      <c r="Z200" s="7">
        <v>44.323632471775291</v>
      </c>
      <c r="AA200" s="7">
        <v>1.7201746206208119</v>
      </c>
      <c r="AB200" s="7">
        <v>46.043807092396108</v>
      </c>
      <c r="AC200" s="7">
        <v>0</v>
      </c>
      <c r="AD200" s="7">
        <v>13.898683</v>
      </c>
      <c r="AE200" s="7">
        <v>0</v>
      </c>
      <c r="AF200" s="7">
        <v>0</v>
      </c>
      <c r="AG200" s="7">
        <v>59.942490092396099</v>
      </c>
      <c r="AH200" s="7">
        <v>1.9414169999999999</v>
      </c>
      <c r="AI200" s="7">
        <v>0</v>
      </c>
      <c r="AJ200" s="7">
        <v>1.826705</v>
      </c>
      <c r="AK200" s="7">
        <v>49.811929092396099</v>
      </c>
      <c r="AL200" s="7">
        <v>0</v>
      </c>
      <c r="AM200" s="7">
        <v>0</v>
      </c>
      <c r="AN200" s="7">
        <v>0</v>
      </c>
      <c r="AO200" s="7">
        <v>0</v>
      </c>
      <c r="AP200" s="7">
        <v>0</v>
      </c>
      <c r="AQ200" s="7">
        <v>49.811929092396099</v>
      </c>
      <c r="AR200" s="7">
        <v>41.340672506651039</v>
      </c>
      <c r="AS200" s="7">
        <v>-2.9829599651242549</v>
      </c>
      <c r="AT200" s="7">
        <v>-4.7031345857450679</v>
      </c>
    </row>
    <row r="201" spans="1:46" x14ac:dyDescent="0.35">
      <c r="A201" s="5">
        <v>46022</v>
      </c>
      <c r="B201" s="4" t="s">
        <v>462</v>
      </c>
      <c r="C201" s="4" t="s">
        <v>463</v>
      </c>
      <c r="D201" s="4" t="s">
        <v>55</v>
      </c>
      <c r="E201" s="6">
        <v>33000</v>
      </c>
      <c r="F201" s="6">
        <v>0</v>
      </c>
      <c r="G201" s="6">
        <v>33000</v>
      </c>
      <c r="H201" s="6">
        <v>5</v>
      </c>
      <c r="I201" s="6">
        <v>6600</v>
      </c>
      <c r="J201" s="6">
        <v>0</v>
      </c>
      <c r="K201" s="6">
        <v>6600</v>
      </c>
      <c r="L201" s="6">
        <v>6600</v>
      </c>
      <c r="M201" s="7">
        <v>1.386412</v>
      </c>
      <c r="N201" s="7">
        <v>1.9798709999999999</v>
      </c>
      <c r="O201" s="7">
        <v>0.11181199999999999</v>
      </c>
      <c r="P201" s="7">
        <v>3.0547119999999999</v>
      </c>
      <c r="Q201" s="7">
        <v>6.532807</v>
      </c>
      <c r="R201" s="7">
        <v>0.62582099999999985</v>
      </c>
      <c r="S201" s="7">
        <v>1.6257870000000001</v>
      </c>
      <c r="T201" s="7">
        <v>1.7122390000000001</v>
      </c>
      <c r="U201" s="7">
        <v>3.2195589999999998</v>
      </c>
      <c r="V201" s="7">
        <v>7.1834059999999997</v>
      </c>
      <c r="W201" s="7">
        <v>13.716213</v>
      </c>
      <c r="X201" s="7">
        <v>0.4421016516423788</v>
      </c>
      <c r="Y201" s="7">
        <v>6.0064147553832816</v>
      </c>
      <c r="Z201" s="7">
        <v>20.164729407025661</v>
      </c>
      <c r="AA201" s="7">
        <v>2.2946225906798001</v>
      </c>
      <c r="AB201" s="7">
        <v>22.459351997705461</v>
      </c>
      <c r="AC201" s="7">
        <v>0.15151500000000001</v>
      </c>
      <c r="AD201" s="7">
        <v>10.734522999999999</v>
      </c>
      <c r="AE201" s="7">
        <v>0</v>
      </c>
      <c r="AF201" s="7">
        <v>0</v>
      </c>
      <c r="AG201" s="7">
        <v>33.34538999770546</v>
      </c>
      <c r="AH201" s="7">
        <v>1.1363639999999999</v>
      </c>
      <c r="AI201" s="7">
        <v>0</v>
      </c>
      <c r="AJ201" s="7">
        <v>5.4864850000000001</v>
      </c>
      <c r="AK201" s="7">
        <v>29.23371599770546</v>
      </c>
      <c r="AL201" s="7">
        <v>0</v>
      </c>
      <c r="AM201" s="7">
        <v>0</v>
      </c>
      <c r="AN201" s="7">
        <v>0</v>
      </c>
      <c r="AO201" s="7">
        <v>0</v>
      </c>
      <c r="AP201" s="7">
        <v>0</v>
      </c>
      <c r="AQ201" s="7">
        <v>29.23371599770546</v>
      </c>
      <c r="AR201" s="7">
        <v>43.27252914942828</v>
      </c>
      <c r="AS201" s="7">
        <v>23.107799742402619</v>
      </c>
      <c r="AT201" s="7">
        <v>20.813177151722819</v>
      </c>
    </row>
    <row r="202" spans="1:46" x14ac:dyDescent="0.35">
      <c r="A202" s="5">
        <v>46022</v>
      </c>
      <c r="B202" s="4" t="s">
        <v>464</v>
      </c>
      <c r="C202" s="4" t="s">
        <v>465</v>
      </c>
      <c r="D202" s="4" t="s">
        <v>466</v>
      </c>
      <c r="E202" s="6">
        <v>64293.914922999997</v>
      </c>
      <c r="F202" s="6">
        <v>0</v>
      </c>
      <c r="G202" s="6">
        <v>64293.914922999997</v>
      </c>
      <c r="H202" s="6">
        <v>2</v>
      </c>
      <c r="I202" s="6">
        <v>32146.957461999998</v>
      </c>
      <c r="J202" s="6">
        <v>0</v>
      </c>
      <c r="K202" s="6">
        <v>32146.957461999998</v>
      </c>
      <c r="L202" s="6">
        <v>32146.957461999998</v>
      </c>
      <c r="M202" s="7">
        <v>11.941979999999999</v>
      </c>
      <c r="N202" s="7">
        <v>0.57593399999999995</v>
      </c>
      <c r="O202" s="7">
        <v>0.53512499999999996</v>
      </c>
      <c r="P202" s="7">
        <v>1.0048520000000001</v>
      </c>
      <c r="Q202" s="7">
        <v>14.057891</v>
      </c>
      <c r="R202" s="7">
        <v>7.5764760000000013</v>
      </c>
      <c r="S202" s="7">
        <v>2.6353149999999999</v>
      </c>
      <c r="T202" s="7">
        <v>21.677644999999998</v>
      </c>
      <c r="U202" s="7">
        <v>1.346487</v>
      </c>
      <c r="V202" s="7">
        <v>33.235923</v>
      </c>
      <c r="W202" s="7">
        <v>47.293813999999998</v>
      </c>
      <c r="X202" s="7">
        <v>6.2679868736624137E-6</v>
      </c>
      <c r="Y202" s="7">
        <v>3.8950877160844151</v>
      </c>
      <c r="Z202" s="7">
        <v>51.188907984071292</v>
      </c>
      <c r="AA202" s="7">
        <v>0</v>
      </c>
      <c r="AB202" s="7">
        <v>51.188907984071292</v>
      </c>
      <c r="AC202" s="7">
        <v>0</v>
      </c>
      <c r="AD202" s="7">
        <v>5.7331519999999996</v>
      </c>
      <c r="AE202" s="7">
        <v>0</v>
      </c>
      <c r="AF202" s="7">
        <v>0</v>
      </c>
      <c r="AG202" s="7">
        <v>56.922059984071289</v>
      </c>
      <c r="AH202" s="7">
        <v>7.0940719999999997</v>
      </c>
      <c r="AI202" s="7">
        <v>0</v>
      </c>
      <c r="AJ202" s="7">
        <v>4.7293820000000002</v>
      </c>
      <c r="AK202" s="7">
        <v>63.012361984071291</v>
      </c>
      <c r="AL202" s="7">
        <v>0</v>
      </c>
      <c r="AM202" s="7">
        <v>0</v>
      </c>
      <c r="AN202" s="7">
        <v>0</v>
      </c>
      <c r="AO202" s="7">
        <v>0</v>
      </c>
      <c r="AP202" s="7">
        <v>0</v>
      </c>
      <c r="AQ202" s="7">
        <v>63.012361984071291</v>
      </c>
      <c r="AR202" s="7">
        <v>60.911055180861119</v>
      </c>
      <c r="AS202" s="7">
        <v>9.7221471967898303</v>
      </c>
      <c r="AT202" s="7">
        <v>9.7221471967898303</v>
      </c>
    </row>
    <row r="203" spans="1:46" x14ac:dyDescent="0.35">
      <c r="A203" s="5">
        <v>46022</v>
      </c>
      <c r="B203" s="4" t="s">
        <v>467</v>
      </c>
      <c r="C203" s="4" t="s">
        <v>468</v>
      </c>
      <c r="D203" s="4" t="s">
        <v>61</v>
      </c>
      <c r="E203" s="6">
        <v>0</v>
      </c>
      <c r="F203" s="6">
        <v>0</v>
      </c>
      <c r="G203" s="6">
        <v>0</v>
      </c>
      <c r="H203" s="6">
        <v>0</v>
      </c>
      <c r="I203" s="6">
        <v>0</v>
      </c>
      <c r="J203" s="6">
        <v>331.76</v>
      </c>
      <c r="K203" s="6">
        <v>331.76</v>
      </c>
      <c r="L203" s="6">
        <v>331.76</v>
      </c>
      <c r="M203" s="7">
        <v>6.2957650000000003</v>
      </c>
      <c r="N203" s="7">
        <v>0</v>
      </c>
      <c r="O203" s="7">
        <v>3.8599700000000001</v>
      </c>
      <c r="P203" s="7">
        <v>4.7712659999999998</v>
      </c>
      <c r="Q203" s="7">
        <v>14.927001000000001</v>
      </c>
      <c r="R203" s="7">
        <v>1.3601350000000001</v>
      </c>
      <c r="S203" s="7">
        <v>1.298986</v>
      </c>
      <c r="T203" s="7">
        <v>3.3881480000000002</v>
      </c>
      <c r="U203" s="7">
        <v>4.0906929999999999</v>
      </c>
      <c r="V203" s="7">
        <v>10.137962</v>
      </c>
      <c r="W203" s="7">
        <v>25.064962999999999</v>
      </c>
      <c r="X203" s="7">
        <v>0</v>
      </c>
      <c r="Y203" s="7">
        <v>2.378315758675817</v>
      </c>
      <c r="Z203" s="7">
        <v>27.44327875867582</v>
      </c>
      <c r="AA203" s="7">
        <v>5.465410786443968</v>
      </c>
      <c r="AB203" s="7">
        <v>32.908689545119792</v>
      </c>
      <c r="AC203" s="7">
        <v>0</v>
      </c>
      <c r="AD203" s="7">
        <v>1.4680059999999999</v>
      </c>
      <c r="AE203" s="7">
        <v>0</v>
      </c>
      <c r="AF203" s="7">
        <v>0</v>
      </c>
      <c r="AG203" s="7">
        <v>34.376695545119787</v>
      </c>
      <c r="AH203" s="7">
        <v>2.6129099999999998</v>
      </c>
      <c r="AI203" s="7">
        <v>0</v>
      </c>
      <c r="AJ203" s="7">
        <v>1.4680059999999999</v>
      </c>
      <c r="AK203" s="7">
        <v>36.989605545119787</v>
      </c>
      <c r="AL203" s="7">
        <v>0</v>
      </c>
      <c r="AM203" s="7">
        <v>0</v>
      </c>
      <c r="AN203" s="7">
        <v>0</v>
      </c>
      <c r="AO203" s="7">
        <v>0</v>
      </c>
      <c r="AP203" s="7">
        <v>0</v>
      </c>
      <c r="AQ203" s="7">
        <v>36.989605545119787</v>
      </c>
      <c r="AR203" s="7">
        <v>47.442829677333677</v>
      </c>
      <c r="AS203" s="7">
        <v>19.99955091865786</v>
      </c>
      <c r="AT203" s="7">
        <v>14.53414013221389</v>
      </c>
    </row>
    <row r="204" spans="1:46" x14ac:dyDescent="0.35">
      <c r="A204" s="5">
        <v>46022</v>
      </c>
      <c r="B204" s="4" t="s">
        <v>469</v>
      </c>
      <c r="C204" s="4" t="s">
        <v>470</v>
      </c>
      <c r="D204" s="4" t="s">
        <v>61</v>
      </c>
      <c r="E204" s="6">
        <v>0</v>
      </c>
      <c r="F204" s="6">
        <v>0</v>
      </c>
      <c r="G204" s="6">
        <v>0</v>
      </c>
      <c r="H204" s="6">
        <v>0</v>
      </c>
      <c r="I204" s="6">
        <v>0</v>
      </c>
      <c r="J204" s="6">
        <v>150</v>
      </c>
      <c r="K204" s="6">
        <v>150</v>
      </c>
      <c r="L204" s="6">
        <v>150</v>
      </c>
      <c r="M204" s="7">
        <v>6.2946580000000001</v>
      </c>
      <c r="N204" s="7">
        <v>0.85705399999999998</v>
      </c>
      <c r="O204" s="7">
        <v>2.9334549999999999</v>
      </c>
      <c r="P204" s="7">
        <v>4.495101</v>
      </c>
      <c r="Q204" s="7">
        <v>14.580268</v>
      </c>
      <c r="R204" s="7">
        <v>1.4096789999999999</v>
      </c>
      <c r="S204" s="7">
        <v>1.476858</v>
      </c>
      <c r="T204" s="7">
        <v>2.276135</v>
      </c>
      <c r="U204" s="7">
        <v>2.1832750000000001</v>
      </c>
      <c r="V204" s="7">
        <v>7.3459469999999998</v>
      </c>
      <c r="W204" s="7">
        <v>21.926214999999999</v>
      </c>
      <c r="X204" s="7">
        <v>0.43887017760000002</v>
      </c>
      <c r="Y204" s="7">
        <v>2.7993796554146919</v>
      </c>
      <c r="Z204" s="7">
        <v>25.164464833014691</v>
      </c>
      <c r="AA204" s="7">
        <v>5.3924930520451273</v>
      </c>
      <c r="AB204" s="7">
        <v>30.55695788505982</v>
      </c>
      <c r="AC204" s="7">
        <v>0</v>
      </c>
      <c r="AD204" s="7">
        <v>3.4206639999999999</v>
      </c>
      <c r="AE204" s="7">
        <v>0</v>
      </c>
      <c r="AF204" s="7">
        <v>0</v>
      </c>
      <c r="AG204" s="7">
        <v>33.977621885059818</v>
      </c>
      <c r="AH204" s="7">
        <v>1.7082250000000001</v>
      </c>
      <c r="AI204" s="7">
        <v>0</v>
      </c>
      <c r="AJ204" s="7">
        <v>1.9020859999999999</v>
      </c>
      <c r="AK204" s="7">
        <v>34.167268885059819</v>
      </c>
      <c r="AL204" s="7">
        <v>0</v>
      </c>
      <c r="AM204" s="7">
        <v>0</v>
      </c>
      <c r="AN204" s="7">
        <v>0</v>
      </c>
      <c r="AO204" s="7">
        <v>0</v>
      </c>
      <c r="AP204" s="7">
        <v>0</v>
      </c>
      <c r="AQ204" s="7">
        <v>34.167268885059819</v>
      </c>
      <c r="AR204" s="7">
        <v>44.025433169606004</v>
      </c>
      <c r="AS204" s="7">
        <v>18.860968336591309</v>
      </c>
      <c r="AT204" s="7">
        <v>13.46847528454618</v>
      </c>
    </row>
    <row r="205" spans="1:46" x14ac:dyDescent="0.35">
      <c r="A205" s="5">
        <v>46022</v>
      </c>
      <c r="B205" s="4" t="s">
        <v>471</v>
      </c>
      <c r="C205" s="4" t="s">
        <v>472</v>
      </c>
      <c r="D205" s="4" t="s">
        <v>61</v>
      </c>
      <c r="E205" s="6">
        <v>0</v>
      </c>
      <c r="F205" s="6">
        <v>0</v>
      </c>
      <c r="G205" s="6">
        <v>0</v>
      </c>
      <c r="H205" s="6">
        <v>0</v>
      </c>
      <c r="I205" s="6">
        <v>0</v>
      </c>
      <c r="J205" s="6">
        <v>500</v>
      </c>
      <c r="K205" s="6">
        <v>500</v>
      </c>
      <c r="L205" s="6">
        <v>500</v>
      </c>
      <c r="M205" s="7">
        <v>7.4769889999999997</v>
      </c>
      <c r="N205" s="7">
        <v>0</v>
      </c>
      <c r="O205" s="7">
        <v>5.4499209999999998</v>
      </c>
      <c r="P205" s="7">
        <v>4.9897869999999998</v>
      </c>
      <c r="Q205" s="7">
        <v>17.916696999999999</v>
      </c>
      <c r="R205" s="7">
        <v>1.3271580000000001</v>
      </c>
      <c r="S205" s="7">
        <v>2.0921509999999999</v>
      </c>
      <c r="T205" s="7">
        <v>3.517909</v>
      </c>
      <c r="U205" s="7">
        <v>2.8517009999999998</v>
      </c>
      <c r="V205" s="7">
        <v>9.7889189999999999</v>
      </c>
      <c r="W205" s="7">
        <v>27.705615999999999</v>
      </c>
      <c r="X205" s="7">
        <v>0.31651370900480003</v>
      </c>
      <c r="Y205" s="7">
        <v>4.8359996612076879</v>
      </c>
      <c r="Z205" s="7">
        <v>32.858129370212488</v>
      </c>
      <c r="AA205" s="7">
        <v>6.5551580306136454</v>
      </c>
      <c r="AB205" s="7">
        <v>39.413287400826128</v>
      </c>
      <c r="AC205" s="7">
        <v>0</v>
      </c>
      <c r="AD205" s="7">
        <v>2.388144</v>
      </c>
      <c r="AE205" s="7">
        <v>0</v>
      </c>
      <c r="AF205" s="7">
        <v>0</v>
      </c>
      <c r="AG205" s="7">
        <v>41.801431400826132</v>
      </c>
      <c r="AH205" s="7">
        <v>1.1238319999999999</v>
      </c>
      <c r="AI205" s="7">
        <v>0</v>
      </c>
      <c r="AJ205" s="7">
        <v>1.27274</v>
      </c>
      <c r="AK205" s="7">
        <v>41.809859400826127</v>
      </c>
      <c r="AL205" s="7">
        <v>0</v>
      </c>
      <c r="AM205" s="7">
        <v>0</v>
      </c>
      <c r="AN205" s="7">
        <v>0</v>
      </c>
      <c r="AO205" s="7">
        <v>0</v>
      </c>
      <c r="AP205" s="7">
        <v>0</v>
      </c>
      <c r="AQ205" s="7">
        <v>41.809859400826127</v>
      </c>
      <c r="AR205" s="7">
        <v>91.405572514633917</v>
      </c>
      <c r="AS205" s="7">
        <v>58.547443144421422</v>
      </c>
      <c r="AT205" s="7">
        <v>51.992285113807768</v>
      </c>
    </row>
    <row r="206" spans="1:46" x14ac:dyDescent="0.35">
      <c r="A206" s="5">
        <v>46022</v>
      </c>
      <c r="B206" s="4" t="s">
        <v>473</v>
      </c>
      <c r="C206" s="4" t="s">
        <v>474</v>
      </c>
      <c r="D206" s="4" t="s">
        <v>105</v>
      </c>
      <c r="E206" s="6">
        <v>0</v>
      </c>
      <c r="F206" s="6">
        <v>0</v>
      </c>
      <c r="G206" s="6">
        <v>0</v>
      </c>
      <c r="H206" s="6">
        <v>0</v>
      </c>
      <c r="I206" s="6">
        <v>0</v>
      </c>
      <c r="J206" s="6">
        <v>445</v>
      </c>
      <c r="K206" s="6">
        <v>445</v>
      </c>
      <c r="L206" s="6">
        <v>445</v>
      </c>
      <c r="M206" s="7">
        <v>25.395057000000001</v>
      </c>
      <c r="N206" s="7">
        <v>0.81381599999999998</v>
      </c>
      <c r="O206" s="7">
        <v>7.1109379999999991</v>
      </c>
      <c r="P206" s="7">
        <v>89.760906999999989</v>
      </c>
      <c r="Q206" s="7">
        <v>123.080718</v>
      </c>
      <c r="R206" s="7">
        <v>8.0760939999999994</v>
      </c>
      <c r="S206" s="7">
        <v>1.7243470000000001</v>
      </c>
      <c r="T206" s="7">
        <v>5.9562509999999991</v>
      </c>
      <c r="U206" s="7">
        <v>10.027018999999999</v>
      </c>
      <c r="V206" s="7">
        <v>25.783711</v>
      </c>
      <c r="W206" s="7">
        <v>148.864429</v>
      </c>
      <c r="X206" s="7">
        <v>1.5622216505820219</v>
      </c>
      <c r="Y206" s="7">
        <v>27.445104326157381</v>
      </c>
      <c r="Z206" s="7">
        <v>177.8717549767394</v>
      </c>
      <c r="AA206" s="7">
        <v>9.1567061514820445</v>
      </c>
      <c r="AB206" s="7">
        <v>187.02846112822141</v>
      </c>
      <c r="AC206" s="7">
        <v>0.246807</v>
      </c>
      <c r="AD206" s="7">
        <v>59.178749000000003</v>
      </c>
      <c r="AE206" s="7">
        <v>0</v>
      </c>
      <c r="AF206" s="7">
        <v>0</v>
      </c>
      <c r="AG206" s="7">
        <v>246.45401712822141</v>
      </c>
      <c r="AH206" s="7">
        <v>7.4432210000000003</v>
      </c>
      <c r="AI206" s="7">
        <v>0</v>
      </c>
      <c r="AJ206" s="7">
        <v>49.43820199999999</v>
      </c>
      <c r="AK206" s="7">
        <v>244.15669112822141</v>
      </c>
      <c r="AL206" s="7">
        <v>719.10112400000003</v>
      </c>
      <c r="AM206" s="7">
        <v>0</v>
      </c>
      <c r="AN206" s="7">
        <v>0</v>
      </c>
      <c r="AO206" s="7">
        <v>0</v>
      </c>
      <c r="AP206" s="7">
        <v>0</v>
      </c>
      <c r="AQ206" s="7">
        <v>963.25781512822152</v>
      </c>
      <c r="AR206" s="7">
        <v>183.13453948112351</v>
      </c>
      <c r="AS206" s="7">
        <v>5.2627845043841139</v>
      </c>
      <c r="AT206" s="7">
        <v>-3.893921647097931</v>
      </c>
    </row>
    <row r="207" spans="1:46" x14ac:dyDescent="0.35">
      <c r="A207" s="5">
        <v>46022</v>
      </c>
      <c r="B207" s="4" t="s">
        <v>475</v>
      </c>
      <c r="C207" s="4" t="s">
        <v>476</v>
      </c>
      <c r="D207" s="4" t="s">
        <v>111</v>
      </c>
      <c r="E207" s="6">
        <v>0</v>
      </c>
      <c r="F207" s="6">
        <v>0</v>
      </c>
      <c r="G207" s="6">
        <v>0</v>
      </c>
      <c r="H207" s="6">
        <v>0</v>
      </c>
      <c r="I207" s="6">
        <v>0</v>
      </c>
      <c r="J207" s="6">
        <v>1250</v>
      </c>
      <c r="K207" s="6">
        <v>1250</v>
      </c>
      <c r="L207" s="6">
        <v>1250</v>
      </c>
      <c r="M207" s="7">
        <v>35.490031999999999</v>
      </c>
      <c r="N207" s="7">
        <v>7.7269519999999998</v>
      </c>
      <c r="O207" s="7">
        <v>3.326012</v>
      </c>
      <c r="P207" s="7">
        <v>15.869902</v>
      </c>
      <c r="Q207" s="7">
        <v>62.412897999999991</v>
      </c>
      <c r="R207" s="7">
        <v>3.1179540000000001</v>
      </c>
      <c r="S207" s="7">
        <v>2.28043</v>
      </c>
      <c r="T207" s="7">
        <v>6.4215600000000004</v>
      </c>
      <c r="U207" s="7">
        <v>4.8031879999999987</v>
      </c>
      <c r="V207" s="7">
        <v>16.623131999999998</v>
      </c>
      <c r="W207" s="7">
        <v>79.036029999999997</v>
      </c>
      <c r="X207" s="7">
        <v>2.6534803598822401</v>
      </c>
      <c r="Y207" s="7">
        <v>9.2137762419651814</v>
      </c>
      <c r="Z207" s="7">
        <v>90.903286601847412</v>
      </c>
      <c r="AA207" s="7">
        <v>1.4148510484030421</v>
      </c>
      <c r="AB207" s="7">
        <v>92.318137650250463</v>
      </c>
      <c r="AC207" s="7">
        <v>0</v>
      </c>
      <c r="AD207" s="7">
        <v>10.032961</v>
      </c>
      <c r="AE207" s="7">
        <v>0</v>
      </c>
      <c r="AF207" s="7">
        <v>0</v>
      </c>
      <c r="AG207" s="7">
        <v>102.35109865025051</v>
      </c>
      <c r="AH207" s="7">
        <v>2.7810980000000001</v>
      </c>
      <c r="AI207" s="7">
        <v>0</v>
      </c>
      <c r="AJ207" s="7">
        <v>8.6216939999999997</v>
      </c>
      <c r="AK207" s="7">
        <v>103.7209296502505</v>
      </c>
      <c r="AL207" s="7">
        <v>0</v>
      </c>
      <c r="AM207" s="7">
        <v>0</v>
      </c>
      <c r="AN207" s="7">
        <v>0</v>
      </c>
      <c r="AO207" s="7">
        <v>0</v>
      </c>
      <c r="AP207" s="7">
        <v>0</v>
      </c>
      <c r="AQ207" s="7">
        <v>103.7209296502505</v>
      </c>
      <c r="AR207" s="7">
        <v>108.5914484836494</v>
      </c>
      <c r="AS207" s="7">
        <v>17.68816188180196</v>
      </c>
      <c r="AT207" s="7">
        <v>16.27331083339892</v>
      </c>
    </row>
    <row r="208" spans="1:46" x14ac:dyDescent="0.35">
      <c r="A208" s="5">
        <v>46022</v>
      </c>
      <c r="B208" s="4" t="s">
        <v>477</v>
      </c>
      <c r="C208" s="4" t="s">
        <v>478</v>
      </c>
      <c r="D208" s="4" t="s">
        <v>55</v>
      </c>
      <c r="E208" s="6">
        <v>69000</v>
      </c>
      <c r="F208" s="6">
        <v>0</v>
      </c>
      <c r="G208" s="6">
        <v>69000</v>
      </c>
      <c r="H208" s="6">
        <v>1.5</v>
      </c>
      <c r="I208" s="6">
        <v>46000</v>
      </c>
      <c r="J208" s="6">
        <v>0</v>
      </c>
      <c r="K208" s="6">
        <v>46000</v>
      </c>
      <c r="L208" s="6">
        <v>30000</v>
      </c>
      <c r="M208" s="7">
        <v>1.803393</v>
      </c>
      <c r="N208" s="7">
        <v>4.1818210000000002</v>
      </c>
      <c r="O208" s="7">
        <v>0.37221500000000002</v>
      </c>
      <c r="P208" s="7">
        <v>11.679256000000001</v>
      </c>
      <c r="Q208" s="7">
        <v>18.036684999999999</v>
      </c>
      <c r="R208" s="7">
        <v>0.80462699999999987</v>
      </c>
      <c r="S208" s="7">
        <v>1.4393100000000001</v>
      </c>
      <c r="T208" s="7">
        <v>4.6384689999999988</v>
      </c>
      <c r="U208" s="7">
        <v>7.6923120000000003</v>
      </c>
      <c r="V208" s="7">
        <v>14.574718000000001</v>
      </c>
      <c r="W208" s="7">
        <v>32.611403000000003</v>
      </c>
      <c r="X208" s="7">
        <v>1.441776981664</v>
      </c>
      <c r="Y208" s="7">
        <v>2.7541880254617079</v>
      </c>
      <c r="Z208" s="7">
        <v>36.80736800712571</v>
      </c>
      <c r="AA208" s="7">
        <v>1.733610141055977</v>
      </c>
      <c r="AB208" s="7">
        <v>38.540978148181679</v>
      </c>
      <c r="AC208" s="7">
        <v>0</v>
      </c>
      <c r="AD208" s="7">
        <v>8.6056290000000004</v>
      </c>
      <c r="AE208" s="7">
        <v>0</v>
      </c>
      <c r="AF208" s="7">
        <v>0</v>
      </c>
      <c r="AG208" s="7">
        <v>47.14660714818168</v>
      </c>
      <c r="AH208" s="7">
        <v>1.285406</v>
      </c>
      <c r="AI208" s="7">
        <v>0</v>
      </c>
      <c r="AJ208" s="7">
        <v>3.8241960000000002</v>
      </c>
      <c r="AK208" s="7">
        <v>43.650580148181682</v>
      </c>
      <c r="AL208" s="7">
        <v>0</v>
      </c>
      <c r="AM208" s="7">
        <v>0</v>
      </c>
      <c r="AN208" s="7">
        <v>0</v>
      </c>
      <c r="AO208" s="7">
        <v>0</v>
      </c>
      <c r="AP208" s="7">
        <v>0</v>
      </c>
      <c r="AQ208" s="7">
        <v>43.650580148181682</v>
      </c>
      <c r="AR208" s="7">
        <v>94.413914267698786</v>
      </c>
      <c r="AS208" s="7">
        <v>57.606546260573069</v>
      </c>
      <c r="AT208" s="7">
        <v>55.872936119517092</v>
      </c>
    </row>
    <row r="209" spans="1:46" x14ac:dyDescent="0.35">
      <c r="A209" s="5">
        <v>46022</v>
      </c>
      <c r="B209" s="4" t="s">
        <v>479</v>
      </c>
      <c r="C209" s="4" t="s">
        <v>480</v>
      </c>
      <c r="D209" s="4" t="s">
        <v>61</v>
      </c>
      <c r="E209" s="6">
        <v>0</v>
      </c>
      <c r="F209" s="6">
        <v>0</v>
      </c>
      <c r="G209" s="6">
        <v>0</v>
      </c>
      <c r="H209" s="6">
        <v>0</v>
      </c>
      <c r="I209" s="6">
        <v>0</v>
      </c>
      <c r="J209" s="6">
        <v>20</v>
      </c>
      <c r="K209" s="6">
        <v>20</v>
      </c>
      <c r="L209" s="6">
        <v>20</v>
      </c>
      <c r="M209" s="7">
        <v>12.066927</v>
      </c>
      <c r="N209" s="7">
        <v>1.602816</v>
      </c>
      <c r="O209" s="7">
        <v>2.9178920000000002</v>
      </c>
      <c r="P209" s="7">
        <v>5.3962250000000003</v>
      </c>
      <c r="Q209" s="7">
        <v>21.98386</v>
      </c>
      <c r="R209" s="7">
        <v>2.4450940000000001</v>
      </c>
      <c r="S209" s="7">
        <v>1.5293479999999999</v>
      </c>
      <c r="T209" s="7">
        <v>4.2651960000000013</v>
      </c>
      <c r="U209" s="7">
        <v>4.2857500000000002</v>
      </c>
      <c r="V209" s="7">
        <v>12.525388</v>
      </c>
      <c r="W209" s="7">
        <v>34.509247999999999</v>
      </c>
      <c r="X209" s="7">
        <v>0.34138287</v>
      </c>
      <c r="Y209" s="7">
        <v>3.235293049573122</v>
      </c>
      <c r="Z209" s="7">
        <v>38.085923919573119</v>
      </c>
      <c r="AA209" s="7">
        <v>7.6737793206334572</v>
      </c>
      <c r="AB209" s="7">
        <v>45.759703240206584</v>
      </c>
      <c r="AC209" s="7">
        <v>0</v>
      </c>
      <c r="AD209" s="7">
        <v>0.67570399999999997</v>
      </c>
      <c r="AE209" s="7">
        <v>0</v>
      </c>
      <c r="AF209" s="7">
        <v>0</v>
      </c>
      <c r="AG209" s="7">
        <v>46.43540724020658</v>
      </c>
      <c r="AH209" s="7">
        <v>1.9667060000000001</v>
      </c>
      <c r="AI209" s="7">
        <v>0</v>
      </c>
      <c r="AJ209" s="7">
        <v>0.65182300000000015</v>
      </c>
      <c r="AK209" s="7">
        <v>48.378232240206579</v>
      </c>
      <c r="AL209" s="7">
        <v>0</v>
      </c>
      <c r="AM209" s="7">
        <v>0</v>
      </c>
      <c r="AN209" s="7">
        <v>0</v>
      </c>
      <c r="AO209" s="7">
        <v>0</v>
      </c>
      <c r="AP209" s="7">
        <v>0</v>
      </c>
      <c r="AQ209" s="7">
        <v>48.378232240206579</v>
      </c>
      <c r="AR209" s="7">
        <v>60.059774539305842</v>
      </c>
      <c r="AS209" s="7">
        <v>21.973850619732719</v>
      </c>
      <c r="AT209" s="7">
        <v>14.30007129909926</v>
      </c>
    </row>
    <row r="210" spans="1:46" x14ac:dyDescent="0.35">
      <c r="A210" s="5">
        <v>46022</v>
      </c>
      <c r="B210" s="4" t="s">
        <v>481</v>
      </c>
      <c r="C210" s="4" t="s">
        <v>482</v>
      </c>
      <c r="D210" s="4" t="s">
        <v>61</v>
      </c>
      <c r="E210" s="6">
        <v>0</v>
      </c>
      <c r="F210" s="6">
        <v>0</v>
      </c>
      <c r="G210" s="6">
        <v>0</v>
      </c>
      <c r="H210" s="6">
        <v>0</v>
      </c>
      <c r="I210" s="6">
        <v>0</v>
      </c>
      <c r="J210" s="6">
        <v>83.59</v>
      </c>
      <c r="K210" s="6">
        <v>83.59</v>
      </c>
      <c r="L210" s="6">
        <v>83.59</v>
      </c>
      <c r="M210" s="7">
        <v>5.617686</v>
      </c>
      <c r="N210" s="7">
        <v>1.868933</v>
      </c>
      <c r="O210" s="7">
        <v>1.1091089999999999</v>
      </c>
      <c r="P210" s="7">
        <v>6.2167250000000003</v>
      </c>
      <c r="Q210" s="7">
        <v>14.812453</v>
      </c>
      <c r="R210" s="7">
        <v>2.8704589999999999</v>
      </c>
      <c r="S210" s="7">
        <v>1.0515140000000001</v>
      </c>
      <c r="T210" s="7">
        <v>3.841612</v>
      </c>
      <c r="U210" s="7">
        <v>2.4112990000000001</v>
      </c>
      <c r="V210" s="7">
        <v>10.174884</v>
      </c>
      <c r="W210" s="7">
        <v>24.987337</v>
      </c>
      <c r="X210" s="7">
        <v>0.34273496829764333</v>
      </c>
      <c r="Y210" s="7">
        <v>2.186208744416184</v>
      </c>
      <c r="Z210" s="7">
        <v>27.516280712713829</v>
      </c>
      <c r="AA210" s="7">
        <v>7.5127669599602234</v>
      </c>
      <c r="AB210" s="7">
        <v>35.029047672674047</v>
      </c>
      <c r="AC210" s="7">
        <v>0</v>
      </c>
      <c r="AD210" s="7">
        <v>2.279833</v>
      </c>
      <c r="AE210" s="7">
        <v>0</v>
      </c>
      <c r="AF210" s="7">
        <v>0</v>
      </c>
      <c r="AG210" s="7">
        <v>37.30888067267405</v>
      </c>
      <c r="AH210" s="7">
        <v>1.317693</v>
      </c>
      <c r="AI210" s="7">
        <v>0</v>
      </c>
      <c r="AJ210" s="7">
        <v>1.04095</v>
      </c>
      <c r="AK210" s="7">
        <v>37.387690672674047</v>
      </c>
      <c r="AL210" s="7">
        <v>0</v>
      </c>
      <c r="AM210" s="7">
        <v>0</v>
      </c>
      <c r="AN210" s="7">
        <v>0</v>
      </c>
      <c r="AO210" s="7">
        <v>0</v>
      </c>
      <c r="AP210" s="7">
        <v>0</v>
      </c>
      <c r="AQ210" s="7">
        <v>37.387690672674047</v>
      </c>
      <c r="AR210" s="7">
        <v>34.38356260540364</v>
      </c>
      <c r="AS210" s="7">
        <v>6.8672818926898112</v>
      </c>
      <c r="AT210" s="7">
        <v>-0.64548506727041233</v>
      </c>
    </row>
    <row r="211" spans="1:46" x14ac:dyDescent="0.35">
      <c r="A211" s="5">
        <v>46022</v>
      </c>
      <c r="B211" s="4" t="s">
        <v>483</v>
      </c>
      <c r="C211" s="4" t="s">
        <v>484</v>
      </c>
      <c r="D211" s="4" t="s">
        <v>79</v>
      </c>
      <c r="E211" s="6">
        <v>14040</v>
      </c>
      <c r="F211" s="6">
        <v>0</v>
      </c>
      <c r="G211" s="6">
        <v>14040</v>
      </c>
      <c r="H211" s="6">
        <v>1.56</v>
      </c>
      <c r="I211" s="6">
        <v>9000</v>
      </c>
      <c r="J211" s="6">
        <v>0</v>
      </c>
      <c r="K211" s="6">
        <v>9000</v>
      </c>
      <c r="L211" s="6">
        <v>25469.311331000001</v>
      </c>
      <c r="M211" s="7">
        <v>0.61795100000000003</v>
      </c>
      <c r="N211" s="7">
        <v>0.39990700000000001</v>
      </c>
      <c r="O211" s="7">
        <v>2.9113E-2</v>
      </c>
      <c r="P211" s="7">
        <v>1.0709120000000001</v>
      </c>
      <c r="Q211" s="7">
        <v>2.117883</v>
      </c>
      <c r="R211" s="7">
        <v>0.33578200000000002</v>
      </c>
      <c r="S211" s="7">
        <v>0.47273599999999999</v>
      </c>
      <c r="T211" s="7">
        <v>0.25320399999999998</v>
      </c>
      <c r="U211" s="7">
        <v>0.45851599999999998</v>
      </c>
      <c r="V211" s="7">
        <v>1.520238</v>
      </c>
      <c r="W211" s="7">
        <v>3.6381209999999999</v>
      </c>
      <c r="X211" s="7">
        <v>4.7115525991447547E-2</v>
      </c>
      <c r="Y211" s="7">
        <v>0</v>
      </c>
      <c r="Z211" s="7">
        <v>3.6852365259914479</v>
      </c>
      <c r="AA211" s="7">
        <v>0.18178491417147921</v>
      </c>
      <c r="AB211" s="7">
        <v>3.8670214401629268</v>
      </c>
      <c r="AC211" s="7">
        <v>0</v>
      </c>
      <c r="AD211" s="7">
        <v>0.46318999999999999</v>
      </c>
      <c r="AE211" s="7">
        <v>0</v>
      </c>
      <c r="AF211" s="7">
        <v>0</v>
      </c>
      <c r="AG211" s="7">
        <v>4.3302114401629268</v>
      </c>
      <c r="AH211" s="7">
        <v>0.18153</v>
      </c>
      <c r="AI211" s="7">
        <v>0</v>
      </c>
      <c r="AJ211" s="7">
        <v>0.39568300000000001</v>
      </c>
      <c r="AK211" s="7">
        <v>4.4442344401629272</v>
      </c>
      <c r="AL211" s="7">
        <v>0</v>
      </c>
      <c r="AM211" s="7">
        <v>0</v>
      </c>
      <c r="AN211" s="7">
        <v>0</v>
      </c>
      <c r="AO211" s="7">
        <v>0</v>
      </c>
      <c r="AP211" s="7">
        <v>0</v>
      </c>
      <c r="AQ211" s="7">
        <v>4.4442344401629272</v>
      </c>
      <c r="AR211" s="7">
        <v>7.2710368124264457</v>
      </c>
      <c r="AS211" s="7">
        <v>3.5858002864349992</v>
      </c>
      <c r="AT211" s="7">
        <v>3.4040153722635189</v>
      </c>
    </row>
    <row r="212" spans="1:46" x14ac:dyDescent="0.35">
      <c r="A212" s="5">
        <v>46022</v>
      </c>
      <c r="B212" s="4" t="s">
        <v>485</v>
      </c>
      <c r="C212" s="4" t="s">
        <v>486</v>
      </c>
      <c r="D212" s="4" t="s">
        <v>61</v>
      </c>
      <c r="E212" s="6">
        <v>0</v>
      </c>
      <c r="F212" s="6">
        <v>0</v>
      </c>
      <c r="G212" s="6">
        <v>0</v>
      </c>
      <c r="H212" s="6">
        <v>0</v>
      </c>
      <c r="I212" s="6">
        <v>0</v>
      </c>
      <c r="J212" s="6">
        <v>300</v>
      </c>
      <c r="K212" s="6">
        <v>300</v>
      </c>
      <c r="L212" s="6">
        <v>300</v>
      </c>
      <c r="M212" s="7">
        <v>5.2766770000000003</v>
      </c>
      <c r="N212" s="7">
        <v>0.43543399999999999</v>
      </c>
      <c r="O212" s="7">
        <v>1.4308799999999999</v>
      </c>
      <c r="P212" s="7">
        <v>2.7864429999999998</v>
      </c>
      <c r="Q212" s="7">
        <v>9.9294340000000005</v>
      </c>
      <c r="R212" s="7">
        <v>0.98958000000000002</v>
      </c>
      <c r="S212" s="7">
        <v>0.91130699999999998</v>
      </c>
      <c r="T212" s="7">
        <v>2.9529399999999999</v>
      </c>
      <c r="U212" s="7">
        <v>1.971527</v>
      </c>
      <c r="V212" s="7">
        <v>6.8253539999999999</v>
      </c>
      <c r="W212" s="7">
        <v>16.754788000000001</v>
      </c>
      <c r="X212" s="7">
        <v>0.42085922969066669</v>
      </c>
      <c r="Y212" s="7">
        <v>8.8409732522009303</v>
      </c>
      <c r="Z212" s="7">
        <v>26.0166204818916</v>
      </c>
      <c r="AA212" s="7">
        <v>5.493232150880039</v>
      </c>
      <c r="AB212" s="7">
        <v>31.50985263277164</v>
      </c>
      <c r="AC212" s="7">
        <v>0</v>
      </c>
      <c r="AD212" s="7">
        <v>2.1774170000000002</v>
      </c>
      <c r="AE212" s="7">
        <v>0</v>
      </c>
      <c r="AF212" s="7">
        <v>0</v>
      </c>
      <c r="AG212" s="7">
        <v>33.687269632771638</v>
      </c>
      <c r="AH212" s="7">
        <v>2.4302869999999999</v>
      </c>
      <c r="AI212" s="7">
        <v>0</v>
      </c>
      <c r="AJ212" s="7">
        <v>1.5312209999999999</v>
      </c>
      <c r="AK212" s="7">
        <v>35.471360632771642</v>
      </c>
      <c r="AL212" s="7">
        <v>0</v>
      </c>
      <c r="AM212" s="7">
        <v>0</v>
      </c>
      <c r="AN212" s="7">
        <v>0</v>
      </c>
      <c r="AO212" s="7">
        <v>0</v>
      </c>
      <c r="AP212" s="7">
        <v>0</v>
      </c>
      <c r="AQ212" s="7">
        <v>35.471360632771642</v>
      </c>
      <c r="AR212" s="7">
        <v>73.890948345143102</v>
      </c>
      <c r="AS212" s="7">
        <v>47.874327863251509</v>
      </c>
      <c r="AT212" s="7">
        <v>42.381095712371469</v>
      </c>
    </row>
    <row r="213" spans="1:46" x14ac:dyDescent="0.35">
      <c r="A213" s="5">
        <v>46022</v>
      </c>
      <c r="B213" s="4" t="s">
        <v>487</v>
      </c>
      <c r="C213" s="4" t="s">
        <v>488</v>
      </c>
      <c r="D213" s="4" t="s">
        <v>61</v>
      </c>
      <c r="E213" s="6">
        <v>0</v>
      </c>
      <c r="F213" s="6">
        <v>0</v>
      </c>
      <c r="G213" s="6">
        <v>0</v>
      </c>
      <c r="H213" s="6">
        <v>0</v>
      </c>
      <c r="I213" s="6">
        <v>0</v>
      </c>
      <c r="J213" s="6">
        <v>40.65</v>
      </c>
      <c r="K213" s="6">
        <v>40.65</v>
      </c>
      <c r="L213" s="6">
        <v>40.65</v>
      </c>
      <c r="M213" s="7">
        <v>3.161098</v>
      </c>
      <c r="N213" s="7">
        <v>1.879842</v>
      </c>
      <c r="O213" s="7">
        <v>1.1694880000000001</v>
      </c>
      <c r="P213" s="7">
        <v>6.5064130000000002</v>
      </c>
      <c r="Q213" s="7">
        <v>12.716841000000001</v>
      </c>
      <c r="R213" s="7">
        <v>2.0550440000000001</v>
      </c>
      <c r="S213" s="7">
        <v>1.0214479999999999</v>
      </c>
      <c r="T213" s="7">
        <v>3.8822830000000002</v>
      </c>
      <c r="U213" s="7">
        <v>3.7161789999999999</v>
      </c>
      <c r="V213" s="7">
        <v>10.674954</v>
      </c>
      <c r="W213" s="7">
        <v>23.391794999999998</v>
      </c>
      <c r="X213" s="7">
        <v>0.2163888007380074</v>
      </c>
      <c r="Y213" s="7">
        <v>2.1073015330459959</v>
      </c>
      <c r="Z213" s="7">
        <v>25.715485333783999</v>
      </c>
      <c r="AA213" s="7">
        <v>5.8993551370916579</v>
      </c>
      <c r="AB213" s="7">
        <v>31.614840470875659</v>
      </c>
      <c r="AC213" s="7">
        <v>0</v>
      </c>
      <c r="AD213" s="7">
        <v>1.2376199999999999</v>
      </c>
      <c r="AE213" s="7">
        <v>0</v>
      </c>
      <c r="AF213" s="7">
        <v>0</v>
      </c>
      <c r="AG213" s="7">
        <v>32.852460470875663</v>
      </c>
      <c r="AH213" s="7">
        <v>1.2235720000000001</v>
      </c>
      <c r="AI213" s="7">
        <v>0</v>
      </c>
      <c r="AJ213" s="7">
        <v>0.92997099999999999</v>
      </c>
      <c r="AK213" s="7">
        <v>33.768383470875662</v>
      </c>
      <c r="AL213" s="7">
        <v>0</v>
      </c>
      <c r="AM213" s="7">
        <v>0</v>
      </c>
      <c r="AN213" s="7">
        <v>0</v>
      </c>
      <c r="AO213" s="7">
        <v>0</v>
      </c>
      <c r="AP213" s="7">
        <v>0</v>
      </c>
      <c r="AQ213" s="7">
        <v>33.768383470875662</v>
      </c>
      <c r="AR213" s="7">
        <v>33.142556867147363</v>
      </c>
      <c r="AS213" s="7">
        <v>7.4270715333633532</v>
      </c>
      <c r="AT213" s="7">
        <v>1.527716396271694</v>
      </c>
    </row>
    <row r="214" spans="1:46" x14ac:dyDescent="0.35">
      <c r="A214" s="5">
        <v>46022</v>
      </c>
      <c r="B214" s="4" t="s">
        <v>489</v>
      </c>
      <c r="C214" s="4" t="s">
        <v>490</v>
      </c>
      <c r="D214" s="4" t="s">
        <v>61</v>
      </c>
      <c r="E214" s="6">
        <v>4900</v>
      </c>
      <c r="F214" s="6">
        <v>0</v>
      </c>
      <c r="G214" s="6">
        <v>4900</v>
      </c>
      <c r="H214" s="6">
        <v>2.8</v>
      </c>
      <c r="I214" s="6">
        <v>1750</v>
      </c>
      <c r="J214" s="6">
        <v>0</v>
      </c>
      <c r="K214" s="6">
        <v>1750</v>
      </c>
      <c r="L214" s="6">
        <v>1750</v>
      </c>
      <c r="M214" s="7">
        <v>1.642123</v>
      </c>
      <c r="N214" s="7">
        <v>0.37498399999999998</v>
      </c>
      <c r="O214" s="7">
        <v>0.97783600000000015</v>
      </c>
      <c r="P214" s="7">
        <v>2.630709</v>
      </c>
      <c r="Q214" s="7">
        <v>5.6256519999999997</v>
      </c>
      <c r="R214" s="7">
        <v>0.70722099999999999</v>
      </c>
      <c r="S214" s="7">
        <v>1.027512</v>
      </c>
      <c r="T214" s="7">
        <v>4.1020459999999996</v>
      </c>
      <c r="U214" s="7">
        <v>3.0832030000000001</v>
      </c>
      <c r="V214" s="7">
        <v>8.9199819999999992</v>
      </c>
      <c r="W214" s="7">
        <v>14.545634</v>
      </c>
      <c r="X214" s="7">
        <v>1.6496363126711999</v>
      </c>
      <c r="Y214" s="7">
        <v>4.9292278912906999</v>
      </c>
      <c r="Z214" s="7">
        <v>21.124498203961899</v>
      </c>
      <c r="AA214" s="7">
        <v>7.056983694026469</v>
      </c>
      <c r="AB214" s="7">
        <v>28.18148189798837</v>
      </c>
      <c r="AC214" s="7">
        <v>0</v>
      </c>
      <c r="AD214" s="7">
        <v>2.4541689999999998</v>
      </c>
      <c r="AE214" s="7">
        <v>0</v>
      </c>
      <c r="AF214" s="7">
        <v>0</v>
      </c>
      <c r="AG214" s="7">
        <v>30.63565089798837</v>
      </c>
      <c r="AH214" s="7">
        <v>0.81196900000000005</v>
      </c>
      <c r="AI214" s="7">
        <v>0</v>
      </c>
      <c r="AJ214" s="7">
        <v>2.799747</v>
      </c>
      <c r="AK214" s="7">
        <v>31.793197897988371</v>
      </c>
      <c r="AL214" s="7">
        <v>0</v>
      </c>
      <c r="AM214" s="7">
        <v>0</v>
      </c>
      <c r="AN214" s="7">
        <v>0</v>
      </c>
      <c r="AO214" s="7">
        <v>0</v>
      </c>
      <c r="AP214" s="7">
        <v>0</v>
      </c>
      <c r="AQ214" s="7">
        <v>31.793197897988371</v>
      </c>
      <c r="AR214" s="7">
        <v>82.167410303441926</v>
      </c>
      <c r="AS214" s="7">
        <v>61.042912099480027</v>
      </c>
      <c r="AT214" s="7">
        <v>53.985928405453564</v>
      </c>
    </row>
    <row r="215" spans="1:46" x14ac:dyDescent="0.35">
      <c r="A215" s="5">
        <v>46022</v>
      </c>
      <c r="B215" s="4" t="s">
        <v>491</v>
      </c>
      <c r="C215" s="4" t="s">
        <v>492</v>
      </c>
      <c r="D215" s="4" t="s">
        <v>79</v>
      </c>
      <c r="E215" s="6">
        <v>7338.5150210000002</v>
      </c>
      <c r="F215" s="6">
        <v>0</v>
      </c>
      <c r="G215" s="6">
        <v>7338.5150210000002</v>
      </c>
      <c r="H215" s="6">
        <v>0.21392600000000001</v>
      </c>
      <c r="I215" s="6">
        <v>34304.065282000003</v>
      </c>
      <c r="J215" s="6">
        <v>0</v>
      </c>
      <c r="K215" s="6">
        <v>34304.065282000003</v>
      </c>
      <c r="L215" s="6">
        <v>34304.065282000003</v>
      </c>
      <c r="M215" s="7">
        <v>1.4994719999999999</v>
      </c>
      <c r="N215" s="7">
        <v>0.45871200000000001</v>
      </c>
      <c r="O215" s="7">
        <v>2.6379E-2</v>
      </c>
      <c r="P215" s="7">
        <v>2.1453039999999999</v>
      </c>
      <c r="Q215" s="7">
        <v>4.129867</v>
      </c>
      <c r="R215" s="7">
        <v>3.2271390000000002</v>
      </c>
      <c r="S215" s="7">
        <v>3.4368300000000001</v>
      </c>
      <c r="T215" s="7">
        <v>3.806562</v>
      </c>
      <c r="U215" s="7">
        <v>5.4308319999999997</v>
      </c>
      <c r="V215" s="7">
        <v>15.901363</v>
      </c>
      <c r="W215" s="7">
        <v>20.031230000000001</v>
      </c>
      <c r="X215" s="7">
        <v>0.31992763140745001</v>
      </c>
      <c r="Y215" s="7">
        <v>0.3045455789224103</v>
      </c>
      <c r="Z215" s="7">
        <v>20.655703210329861</v>
      </c>
      <c r="AA215" s="7">
        <v>0.67273292602185997</v>
      </c>
      <c r="AB215" s="7">
        <v>21.328436136351719</v>
      </c>
      <c r="AC215" s="7">
        <v>0</v>
      </c>
      <c r="AD215" s="7">
        <v>1.6030329999999999</v>
      </c>
      <c r="AE215" s="7">
        <v>0</v>
      </c>
      <c r="AF215" s="7">
        <v>0</v>
      </c>
      <c r="AG215" s="7">
        <v>22.931469136351719</v>
      </c>
      <c r="AH215" s="7">
        <v>0.57616800000000001</v>
      </c>
      <c r="AI215" s="7">
        <v>0</v>
      </c>
      <c r="AJ215" s="7">
        <v>1.6030329999999999</v>
      </c>
      <c r="AK215" s="7">
        <v>23.507637136351718</v>
      </c>
      <c r="AL215" s="7">
        <v>0</v>
      </c>
      <c r="AM215" s="7">
        <v>0</v>
      </c>
      <c r="AN215" s="7">
        <v>0</v>
      </c>
      <c r="AO215" s="7">
        <v>0</v>
      </c>
      <c r="AP215" s="7">
        <v>0</v>
      </c>
      <c r="AQ215" s="7">
        <v>23.507637136351718</v>
      </c>
      <c r="AR215" s="7">
        <v>26.909593766533821</v>
      </c>
      <c r="AS215" s="7">
        <v>6.2538905562039622</v>
      </c>
      <c r="AT215" s="7">
        <v>5.5811576301821022</v>
      </c>
    </row>
    <row r="216" spans="1:46" x14ac:dyDescent="0.35">
      <c r="A216" s="5">
        <v>46022</v>
      </c>
      <c r="B216" s="4" t="s">
        <v>493</v>
      </c>
      <c r="C216" s="4" t="s">
        <v>494</v>
      </c>
      <c r="D216" s="4" t="s">
        <v>79</v>
      </c>
      <c r="E216" s="6">
        <v>0</v>
      </c>
      <c r="F216" s="6">
        <v>0</v>
      </c>
      <c r="G216" s="6">
        <v>0</v>
      </c>
      <c r="H216" s="6">
        <v>0</v>
      </c>
      <c r="I216" s="6">
        <v>0</v>
      </c>
      <c r="J216" s="6">
        <v>0</v>
      </c>
      <c r="K216" s="6">
        <v>0</v>
      </c>
      <c r="L216" s="6">
        <v>19661.484979000001</v>
      </c>
      <c r="M216" s="7">
        <v>0</v>
      </c>
      <c r="N216" s="7">
        <v>0</v>
      </c>
      <c r="O216" s="7">
        <v>0</v>
      </c>
      <c r="P216" s="7">
        <v>0</v>
      </c>
      <c r="Q216" s="7">
        <v>0</v>
      </c>
      <c r="R216" s="7">
        <v>1.935535</v>
      </c>
      <c r="S216" s="7">
        <v>1.6479109999999999</v>
      </c>
      <c r="T216" s="7">
        <v>1.120824</v>
      </c>
      <c r="U216" s="7">
        <v>1.7517830000000001</v>
      </c>
      <c r="V216" s="7">
        <v>6.4560529999999998</v>
      </c>
      <c r="W216" s="7">
        <v>6.4560529999999998</v>
      </c>
      <c r="X216" s="7">
        <v>0.1895329917788505</v>
      </c>
      <c r="Y216" s="7">
        <v>0</v>
      </c>
      <c r="Z216" s="7">
        <v>6.6455859917788507</v>
      </c>
      <c r="AA216" s="7">
        <v>0.2212441710420423</v>
      </c>
      <c r="AB216" s="7">
        <v>6.866830162820893</v>
      </c>
      <c r="AC216" s="7">
        <v>0</v>
      </c>
      <c r="AD216" s="7">
        <v>0.65180800000000005</v>
      </c>
      <c r="AE216" s="7">
        <v>0</v>
      </c>
      <c r="AF216" s="7">
        <v>0</v>
      </c>
      <c r="AG216" s="7">
        <v>7.5186381628208929</v>
      </c>
      <c r="AH216" s="7">
        <v>0.25280200000000003</v>
      </c>
      <c r="AI216" s="7">
        <v>0</v>
      </c>
      <c r="AJ216" s="7">
        <v>0.65180800000000005</v>
      </c>
      <c r="AK216" s="7">
        <v>7.7714401628208929</v>
      </c>
      <c r="AL216" s="7">
        <v>0</v>
      </c>
      <c r="AM216" s="7">
        <v>0</v>
      </c>
      <c r="AN216" s="7">
        <v>0</v>
      </c>
      <c r="AO216" s="7">
        <v>0</v>
      </c>
      <c r="AP216" s="7">
        <v>0</v>
      </c>
      <c r="AQ216" s="7">
        <v>7.7714401628208929</v>
      </c>
      <c r="AR216" s="7">
        <v>8.850126562305201</v>
      </c>
      <c r="AS216" s="7">
        <v>2.2045405705263499</v>
      </c>
      <c r="AT216" s="7">
        <v>1.983296399484308</v>
      </c>
    </row>
    <row r="217" spans="1:46" x14ac:dyDescent="0.35">
      <c r="A217" s="5">
        <v>46022</v>
      </c>
      <c r="B217" s="4" t="s">
        <v>495</v>
      </c>
      <c r="C217" s="4" t="s">
        <v>496</v>
      </c>
      <c r="D217" s="4" t="s">
        <v>61</v>
      </c>
      <c r="E217" s="6">
        <v>4950</v>
      </c>
      <c r="F217" s="6">
        <v>0</v>
      </c>
      <c r="G217" s="6">
        <v>4950</v>
      </c>
      <c r="H217" s="6">
        <v>3.3400810000000001</v>
      </c>
      <c r="I217" s="6">
        <v>1482</v>
      </c>
      <c r="J217" s="6">
        <v>0</v>
      </c>
      <c r="K217" s="6">
        <v>1482</v>
      </c>
      <c r="L217" s="6">
        <v>1482</v>
      </c>
      <c r="M217" s="7">
        <v>2.0741839592868692</v>
      </c>
      <c r="N217" s="7">
        <v>3.1029939999999998</v>
      </c>
      <c r="O217" s="7">
        <v>0.63402297867717383</v>
      </c>
      <c r="P217" s="7">
        <v>3.6257812713300921</v>
      </c>
      <c r="Q217" s="7">
        <v>9.4369822092941344</v>
      </c>
      <c r="R217" s="7">
        <v>1.8471407835319471</v>
      </c>
      <c r="S217" s="7">
        <v>1.478991785950875</v>
      </c>
      <c r="T217" s="7">
        <v>4.9201351418786512</v>
      </c>
      <c r="U217" s="7">
        <v>2.669769720046038</v>
      </c>
      <c r="V217" s="7">
        <v>10.91603743140751</v>
      </c>
      <c r="W217" s="7">
        <v>20.35301964070165</v>
      </c>
      <c r="X217" s="7">
        <v>3.9971426168991488</v>
      </c>
      <c r="Y217" s="7">
        <v>2.146383108493199</v>
      </c>
      <c r="Z217" s="7">
        <v>26.496545366094001</v>
      </c>
      <c r="AA217" s="7">
        <v>4.7036207984293474</v>
      </c>
      <c r="AB217" s="7">
        <v>31.200166164523338</v>
      </c>
      <c r="AC217" s="7">
        <v>0</v>
      </c>
      <c r="AD217" s="7">
        <v>1.4325844227135851</v>
      </c>
      <c r="AE217" s="7">
        <v>0</v>
      </c>
      <c r="AF217" s="7">
        <v>0</v>
      </c>
      <c r="AG217" s="7">
        <v>32.632750587236927</v>
      </c>
      <c r="AH217" s="7">
        <v>1.4606738866718301</v>
      </c>
      <c r="AI217" s="7">
        <v>0</v>
      </c>
      <c r="AJ217" s="7">
        <v>0.43539284115627908</v>
      </c>
      <c r="AK217" s="7">
        <v>33.096232892351452</v>
      </c>
      <c r="AL217" s="7">
        <v>0</v>
      </c>
      <c r="AM217" s="7">
        <v>0</v>
      </c>
      <c r="AN217" s="7">
        <v>0</v>
      </c>
      <c r="AO217" s="7">
        <v>0</v>
      </c>
      <c r="AP217" s="7">
        <v>0</v>
      </c>
      <c r="AQ217" s="7">
        <v>33.096232892351452</v>
      </c>
      <c r="AR217" s="7">
        <v>41.856563296754288</v>
      </c>
      <c r="AS217" s="7">
        <v>15.360017930660289</v>
      </c>
      <c r="AT217" s="7">
        <v>10.65639713223095</v>
      </c>
    </row>
    <row r="218" spans="1:46" x14ac:dyDescent="0.35">
      <c r="A218" s="5">
        <v>46022</v>
      </c>
      <c r="B218" s="4" t="s">
        <v>497</v>
      </c>
      <c r="C218" s="4" t="s">
        <v>498</v>
      </c>
      <c r="D218" s="4" t="s">
        <v>55</v>
      </c>
      <c r="E218" s="6">
        <v>31500</v>
      </c>
      <c r="F218" s="6">
        <v>0</v>
      </c>
      <c r="G218" s="6">
        <v>31500</v>
      </c>
      <c r="H218" s="6">
        <v>2.3195079999999999</v>
      </c>
      <c r="I218" s="6">
        <v>13580.463576</v>
      </c>
      <c r="J218" s="6">
        <v>0</v>
      </c>
      <c r="K218" s="6">
        <v>13580.463576</v>
      </c>
      <c r="L218" s="6">
        <v>13580.463576</v>
      </c>
      <c r="M218" s="7">
        <v>5.5936120000000003</v>
      </c>
      <c r="N218" s="7">
        <v>2.2689050000000002</v>
      </c>
      <c r="O218" s="7">
        <v>0.46223999999999998</v>
      </c>
      <c r="P218" s="7">
        <v>6.8986169999999989</v>
      </c>
      <c r="Q218" s="7">
        <v>15.223374</v>
      </c>
      <c r="R218" s="7">
        <v>2.5427240000000002</v>
      </c>
      <c r="S218" s="7">
        <v>2.329701</v>
      </c>
      <c r="T218" s="7">
        <v>2.079364</v>
      </c>
      <c r="U218" s="7">
        <v>2.5927660000000001</v>
      </c>
      <c r="V218" s="7">
        <v>9.5445550000000008</v>
      </c>
      <c r="W218" s="7">
        <v>24.767928999999999</v>
      </c>
      <c r="X218" s="7">
        <v>2.0833586849031289</v>
      </c>
      <c r="Y218" s="7">
        <v>1.7928594156523801</v>
      </c>
      <c r="Z218" s="7">
        <v>28.644147100555511</v>
      </c>
      <c r="AA218" s="7">
        <v>0.7348351684439447</v>
      </c>
      <c r="AB218" s="7">
        <v>29.378982268999451</v>
      </c>
      <c r="AC218" s="7">
        <v>0</v>
      </c>
      <c r="AD218" s="7">
        <v>5.8152949999999999</v>
      </c>
      <c r="AE218" s="7">
        <v>0</v>
      </c>
      <c r="AF218" s="7">
        <v>0</v>
      </c>
      <c r="AG218" s="7">
        <v>35.19427726899945</v>
      </c>
      <c r="AH218" s="7">
        <v>0.86889499999999986</v>
      </c>
      <c r="AI218" s="7">
        <v>0</v>
      </c>
      <c r="AJ218" s="7">
        <v>4.6151920000000004</v>
      </c>
      <c r="AK218" s="7">
        <v>34.863069268999453</v>
      </c>
      <c r="AL218" s="7">
        <v>0</v>
      </c>
      <c r="AM218" s="7">
        <v>0</v>
      </c>
      <c r="AN218" s="7">
        <v>0</v>
      </c>
      <c r="AO218" s="7">
        <v>0</v>
      </c>
      <c r="AP218" s="7">
        <v>0</v>
      </c>
      <c r="AQ218" s="7">
        <v>34.863069268999453</v>
      </c>
      <c r="AR218" s="7">
        <v>43.331978640275032</v>
      </c>
      <c r="AS218" s="7">
        <v>14.68783153971953</v>
      </c>
      <c r="AT218" s="7">
        <v>13.95299637127558</v>
      </c>
    </row>
    <row r="219" spans="1:46" x14ac:dyDescent="0.35">
      <c r="A219" s="5">
        <v>46022</v>
      </c>
      <c r="B219" s="4" t="s">
        <v>499</v>
      </c>
      <c r="C219" s="4" t="s">
        <v>500</v>
      </c>
      <c r="D219" s="4" t="s">
        <v>222</v>
      </c>
      <c r="E219" s="6">
        <v>0</v>
      </c>
      <c r="F219" s="6">
        <v>300</v>
      </c>
      <c r="G219" s="6">
        <v>300</v>
      </c>
      <c r="H219" s="6">
        <v>0</v>
      </c>
      <c r="I219" s="6">
        <v>0</v>
      </c>
      <c r="J219" s="6">
        <v>1000</v>
      </c>
      <c r="K219" s="6">
        <v>1000</v>
      </c>
      <c r="L219" s="6">
        <v>1000</v>
      </c>
      <c r="M219" s="7">
        <v>68.086607999999998</v>
      </c>
      <c r="N219" s="7">
        <v>9.9942130000000002</v>
      </c>
      <c r="O219" s="7">
        <v>9.6457300000000004</v>
      </c>
      <c r="P219" s="7">
        <v>115.817108</v>
      </c>
      <c r="Q219" s="7">
        <v>203.54365899999999</v>
      </c>
      <c r="R219" s="7">
        <v>4.3315429999999999</v>
      </c>
      <c r="S219" s="7">
        <v>7.8041669999999996</v>
      </c>
      <c r="T219" s="7">
        <v>3.148301</v>
      </c>
      <c r="U219" s="7">
        <v>12.194663</v>
      </c>
      <c r="V219" s="7">
        <v>27.478674000000002</v>
      </c>
      <c r="W219" s="7">
        <v>231.022333</v>
      </c>
      <c r="X219" s="7">
        <v>12.3457448149216</v>
      </c>
      <c r="Y219" s="7">
        <v>32.708790361245413</v>
      </c>
      <c r="Z219" s="7">
        <v>276.07686817616701</v>
      </c>
      <c r="AA219" s="7">
        <v>0</v>
      </c>
      <c r="AB219" s="7">
        <v>276.07686817616701</v>
      </c>
      <c r="AC219" s="7">
        <v>0</v>
      </c>
      <c r="AD219" s="7">
        <v>110.48586299999999</v>
      </c>
      <c r="AE219" s="7">
        <v>0</v>
      </c>
      <c r="AF219" s="7">
        <v>0</v>
      </c>
      <c r="AG219" s="7">
        <v>386.56273117616701</v>
      </c>
      <c r="AH219" s="7">
        <v>1.0373760000000001</v>
      </c>
      <c r="AI219" s="7">
        <v>0</v>
      </c>
      <c r="AJ219" s="7">
        <v>41.53421800000001</v>
      </c>
      <c r="AK219" s="7">
        <v>318.64846217616702</v>
      </c>
      <c r="AL219" s="7">
        <v>200</v>
      </c>
      <c r="AM219" s="7">
        <v>0</v>
      </c>
      <c r="AN219" s="7">
        <v>0</v>
      </c>
      <c r="AO219" s="7">
        <v>0</v>
      </c>
      <c r="AP219" s="7">
        <v>0</v>
      </c>
      <c r="AQ219" s="7">
        <v>518.64846217616696</v>
      </c>
      <c r="AR219" s="7">
        <v>268.04984798736371</v>
      </c>
      <c r="AS219" s="7">
        <v>-8.0270201888032808</v>
      </c>
      <c r="AT219" s="7">
        <v>-8.0270201888032808</v>
      </c>
    </row>
    <row r="220" spans="1:46" x14ac:dyDescent="0.35">
      <c r="A220" s="5">
        <v>46022</v>
      </c>
      <c r="B220" s="4" t="s">
        <v>501</v>
      </c>
      <c r="C220" s="4" t="s">
        <v>502</v>
      </c>
      <c r="D220" s="4" t="s">
        <v>79</v>
      </c>
      <c r="E220" s="6">
        <v>0</v>
      </c>
      <c r="F220" s="6">
        <v>0</v>
      </c>
      <c r="G220" s="6">
        <v>0</v>
      </c>
      <c r="H220" s="6">
        <v>0</v>
      </c>
      <c r="I220" s="6">
        <v>0</v>
      </c>
      <c r="J220" s="6">
        <v>713.73717699999997</v>
      </c>
      <c r="K220" s="6">
        <v>713.73717699999997</v>
      </c>
      <c r="L220" s="6">
        <v>713.73717699999997</v>
      </c>
      <c r="M220" s="7">
        <v>115.76871199999999</v>
      </c>
      <c r="N220" s="7">
        <v>15.020705</v>
      </c>
      <c r="O220" s="7">
        <v>19.189886999999999</v>
      </c>
      <c r="P220" s="7">
        <v>125.140199</v>
      </c>
      <c r="Q220" s="7">
        <v>275.11950300000001</v>
      </c>
      <c r="R220" s="7">
        <v>24.184252999999998</v>
      </c>
      <c r="S220" s="7">
        <v>19.543050999999998</v>
      </c>
      <c r="T220" s="7">
        <v>22.827235999999999</v>
      </c>
      <c r="U220" s="7">
        <v>28.127120000000001</v>
      </c>
      <c r="V220" s="7">
        <v>94.681659999999994</v>
      </c>
      <c r="W220" s="7">
        <v>369.80116299999997</v>
      </c>
      <c r="X220" s="7">
        <v>0</v>
      </c>
      <c r="Y220" s="7">
        <v>22.474674604227069</v>
      </c>
      <c r="Z220" s="7">
        <v>392.27583760422709</v>
      </c>
      <c r="AA220" s="7">
        <v>0</v>
      </c>
      <c r="AB220" s="7">
        <v>392.27583760422709</v>
      </c>
      <c r="AC220" s="7">
        <v>0</v>
      </c>
      <c r="AD220" s="7">
        <v>44.492182999999997</v>
      </c>
      <c r="AE220" s="7">
        <v>0</v>
      </c>
      <c r="AF220" s="7">
        <v>0</v>
      </c>
      <c r="AG220" s="7">
        <v>436.7680206042271</v>
      </c>
      <c r="AH220" s="7">
        <v>27.134108000000001</v>
      </c>
      <c r="AI220" s="7">
        <v>5.3748420000000001</v>
      </c>
      <c r="AJ220" s="7">
        <v>101.11859800000001</v>
      </c>
      <c r="AK220" s="7">
        <v>525.90338560422708</v>
      </c>
      <c r="AL220" s="7">
        <v>19.13475</v>
      </c>
      <c r="AM220" s="7">
        <v>0</v>
      </c>
      <c r="AN220" s="7">
        <v>0</v>
      </c>
      <c r="AO220" s="7">
        <v>0</v>
      </c>
      <c r="AP220" s="7">
        <v>0</v>
      </c>
      <c r="AQ220" s="7">
        <v>545.03813560422714</v>
      </c>
      <c r="AR220" s="7">
        <v>418.9727194002171</v>
      </c>
      <c r="AS220" s="7">
        <v>26.69688179599007</v>
      </c>
      <c r="AT220" s="7">
        <v>26.69688179599007</v>
      </c>
    </row>
    <row r="221" spans="1:46" x14ac:dyDescent="0.35">
      <c r="A221" s="5">
        <v>46022</v>
      </c>
      <c r="B221" s="4" t="s">
        <v>503</v>
      </c>
      <c r="C221" s="4" t="s">
        <v>504</v>
      </c>
      <c r="D221" s="4" t="s">
        <v>61</v>
      </c>
      <c r="E221" s="6">
        <v>0</v>
      </c>
      <c r="F221" s="6">
        <v>0</v>
      </c>
      <c r="G221" s="6">
        <v>0</v>
      </c>
      <c r="H221" s="6">
        <v>0</v>
      </c>
      <c r="I221" s="6">
        <v>0</v>
      </c>
      <c r="J221" s="6">
        <v>120</v>
      </c>
      <c r="K221" s="6">
        <v>120</v>
      </c>
      <c r="L221" s="6">
        <v>121.03</v>
      </c>
      <c r="M221" s="7">
        <v>9.922034</v>
      </c>
      <c r="N221" s="7">
        <v>1.653438</v>
      </c>
      <c r="O221" s="7">
        <v>2.7934809999999999</v>
      </c>
      <c r="P221" s="7">
        <v>4.3554969999999997</v>
      </c>
      <c r="Q221" s="7">
        <v>18.724450000000001</v>
      </c>
      <c r="R221" s="7">
        <v>2.6873640000000001</v>
      </c>
      <c r="S221" s="7">
        <v>1.910515</v>
      </c>
      <c r="T221" s="7">
        <v>3.5989800000000001</v>
      </c>
      <c r="U221" s="7">
        <v>3.4671159999999999</v>
      </c>
      <c r="V221" s="7">
        <v>11.663975000000001</v>
      </c>
      <c r="W221" s="7">
        <v>30.388425000000002</v>
      </c>
      <c r="X221" s="7">
        <v>1.733025829959514</v>
      </c>
      <c r="Y221" s="7">
        <v>4.6947953145429153</v>
      </c>
      <c r="Z221" s="7">
        <v>36.816246144502429</v>
      </c>
      <c r="AA221" s="7">
        <v>6.2060529220442309</v>
      </c>
      <c r="AB221" s="7">
        <v>43.022299066546658</v>
      </c>
      <c r="AC221" s="7">
        <v>0</v>
      </c>
      <c r="AD221" s="7">
        <v>3.2886139999999999</v>
      </c>
      <c r="AE221" s="7">
        <v>0</v>
      </c>
      <c r="AF221" s="7">
        <v>0</v>
      </c>
      <c r="AG221" s="7">
        <v>46.310913066546661</v>
      </c>
      <c r="AH221" s="7">
        <v>2.6269580000000001</v>
      </c>
      <c r="AI221" s="7">
        <v>0</v>
      </c>
      <c r="AJ221" s="7">
        <v>0.98194800000000015</v>
      </c>
      <c r="AK221" s="7">
        <v>46.631205066546663</v>
      </c>
      <c r="AL221" s="7">
        <v>0</v>
      </c>
      <c r="AM221" s="7">
        <v>0</v>
      </c>
      <c r="AN221" s="7">
        <v>0</v>
      </c>
      <c r="AO221" s="7">
        <v>0</v>
      </c>
      <c r="AP221" s="7">
        <v>0</v>
      </c>
      <c r="AQ221" s="7">
        <v>46.631205066546663</v>
      </c>
      <c r="AR221" s="7">
        <v>76.436267302819061</v>
      </c>
      <c r="AS221" s="7">
        <v>39.620021158316632</v>
      </c>
      <c r="AT221" s="7">
        <v>33.413968236272403</v>
      </c>
    </row>
    <row r="222" spans="1:46" x14ac:dyDescent="0.35">
      <c r="A222" s="5">
        <v>46022</v>
      </c>
      <c r="B222" s="4" t="s">
        <v>505</v>
      </c>
      <c r="C222" s="4" t="s">
        <v>506</v>
      </c>
      <c r="D222" s="4" t="s">
        <v>61</v>
      </c>
      <c r="E222" s="6">
        <v>0</v>
      </c>
      <c r="F222" s="6">
        <v>0</v>
      </c>
      <c r="G222" s="6">
        <v>0</v>
      </c>
      <c r="H222" s="6">
        <v>0</v>
      </c>
      <c r="I222" s="6">
        <v>0</v>
      </c>
      <c r="J222" s="6">
        <v>160.87</v>
      </c>
      <c r="K222" s="6">
        <v>160.87</v>
      </c>
      <c r="L222" s="6">
        <v>160.87</v>
      </c>
      <c r="M222" s="7">
        <v>6.76</v>
      </c>
      <c r="N222" s="7">
        <v>0.69</v>
      </c>
      <c r="O222" s="7">
        <v>3.34</v>
      </c>
      <c r="P222" s="7">
        <v>4.2699999999999996</v>
      </c>
      <c r="Q222" s="7">
        <v>15.06</v>
      </c>
      <c r="R222" s="7">
        <v>1.77</v>
      </c>
      <c r="S222" s="7">
        <v>1.63</v>
      </c>
      <c r="T222" s="7">
        <v>2.5173169999999998</v>
      </c>
      <c r="U222" s="7">
        <v>3.81</v>
      </c>
      <c r="V222" s="7">
        <v>9.7273169999999993</v>
      </c>
      <c r="W222" s="7">
        <v>24.787317000000002</v>
      </c>
      <c r="X222" s="7">
        <v>1.010807830344377</v>
      </c>
      <c r="Y222" s="7">
        <v>3.305674687976687</v>
      </c>
      <c r="Z222" s="7">
        <v>29.103799518321061</v>
      </c>
      <c r="AA222" s="7">
        <v>7.7037682702741277</v>
      </c>
      <c r="AB222" s="7">
        <v>36.807567788595193</v>
      </c>
      <c r="AC222" s="7">
        <v>0</v>
      </c>
      <c r="AD222" s="7">
        <v>5.0263400000000003</v>
      </c>
      <c r="AE222" s="7">
        <v>0</v>
      </c>
      <c r="AF222" s="7">
        <v>0</v>
      </c>
      <c r="AG222" s="7">
        <v>41.833907788595191</v>
      </c>
      <c r="AH222" s="7">
        <v>1.57758</v>
      </c>
      <c r="AI222" s="7">
        <v>0</v>
      </c>
      <c r="AJ222" s="7">
        <v>2.379715</v>
      </c>
      <c r="AK222" s="7">
        <v>40.764862788595188</v>
      </c>
      <c r="AL222" s="7">
        <v>0</v>
      </c>
      <c r="AM222" s="7">
        <v>0</v>
      </c>
      <c r="AN222" s="7">
        <v>0</v>
      </c>
      <c r="AO222" s="7">
        <v>0</v>
      </c>
      <c r="AP222" s="7">
        <v>0</v>
      </c>
      <c r="AQ222" s="7">
        <v>40.764862788595188</v>
      </c>
      <c r="AR222" s="7">
        <v>65.140428941319072</v>
      </c>
      <c r="AS222" s="7">
        <v>36.036629422998011</v>
      </c>
      <c r="AT222" s="7">
        <v>28.332861152723879</v>
      </c>
    </row>
    <row r="223" spans="1:46" x14ac:dyDescent="0.35">
      <c r="A223" s="5">
        <v>46022</v>
      </c>
      <c r="B223" s="4" t="s">
        <v>507</v>
      </c>
      <c r="C223" s="4" t="s">
        <v>508</v>
      </c>
      <c r="D223" s="4" t="s">
        <v>111</v>
      </c>
      <c r="E223" s="6">
        <v>0</v>
      </c>
      <c r="F223" s="6">
        <v>0</v>
      </c>
      <c r="G223" s="6">
        <v>0</v>
      </c>
      <c r="H223" s="6">
        <v>0</v>
      </c>
      <c r="I223" s="6">
        <v>0</v>
      </c>
      <c r="J223" s="6">
        <v>3024.47</v>
      </c>
      <c r="K223" s="6">
        <v>3024.47</v>
      </c>
      <c r="L223" s="6">
        <v>3024.47</v>
      </c>
      <c r="M223" s="7">
        <v>8.6164179999999995</v>
      </c>
      <c r="N223" s="7">
        <v>2.2717710000000002</v>
      </c>
      <c r="O223" s="7">
        <v>2.441738</v>
      </c>
      <c r="P223" s="7">
        <v>18.253229999999999</v>
      </c>
      <c r="Q223" s="7">
        <v>31.583157</v>
      </c>
      <c r="R223" s="7">
        <v>2.08311</v>
      </c>
      <c r="S223" s="7">
        <v>1.2501139999999999</v>
      </c>
      <c r="T223" s="7">
        <v>4.3591100000000003</v>
      </c>
      <c r="U223" s="7">
        <v>1.1651530000000001</v>
      </c>
      <c r="V223" s="7">
        <v>8.8574870000000008</v>
      </c>
      <c r="W223" s="7">
        <v>40.440643999999992</v>
      </c>
      <c r="X223" s="7">
        <v>2.940393809589978</v>
      </c>
      <c r="Y223" s="7">
        <v>8.0912747349190415</v>
      </c>
      <c r="Z223" s="7">
        <v>51.472312544509009</v>
      </c>
      <c r="AA223" s="7">
        <v>6.7511217351337018</v>
      </c>
      <c r="AB223" s="7">
        <v>58.223434279642717</v>
      </c>
      <c r="AC223" s="7">
        <v>0</v>
      </c>
      <c r="AD223" s="7">
        <v>2.9925660000000001</v>
      </c>
      <c r="AE223" s="7">
        <v>0</v>
      </c>
      <c r="AF223" s="7">
        <v>0</v>
      </c>
      <c r="AG223" s="7">
        <v>61.216000279642721</v>
      </c>
      <c r="AH223" s="7">
        <v>2.5595659999999998</v>
      </c>
      <c r="AI223" s="7">
        <v>0</v>
      </c>
      <c r="AJ223" s="7">
        <v>1.565726</v>
      </c>
      <c r="AK223" s="7">
        <v>62.348726279642719</v>
      </c>
      <c r="AL223" s="7">
        <v>0</v>
      </c>
      <c r="AM223" s="7">
        <v>0</v>
      </c>
      <c r="AN223" s="7">
        <v>0</v>
      </c>
      <c r="AO223" s="7">
        <v>0</v>
      </c>
      <c r="AP223" s="7">
        <v>0</v>
      </c>
      <c r="AQ223" s="7">
        <v>62.348726279642719</v>
      </c>
      <c r="AR223" s="7">
        <v>106.7922645202613</v>
      </c>
      <c r="AS223" s="7">
        <v>55.319951975752311</v>
      </c>
      <c r="AT223" s="7">
        <v>48.56883024061861</v>
      </c>
    </row>
    <row r="224" spans="1:46" x14ac:dyDescent="0.35">
      <c r="A224" s="5">
        <v>46022</v>
      </c>
      <c r="B224" s="4" t="s">
        <v>509</v>
      </c>
      <c r="C224" s="4" t="s">
        <v>510</v>
      </c>
      <c r="D224" s="4" t="s">
        <v>61</v>
      </c>
      <c r="E224" s="6">
        <v>0</v>
      </c>
      <c r="F224" s="6">
        <v>0</v>
      </c>
      <c r="G224" s="6">
        <v>0</v>
      </c>
      <c r="H224" s="6">
        <v>0</v>
      </c>
      <c r="I224" s="6">
        <v>0</v>
      </c>
      <c r="J224" s="6">
        <v>700</v>
      </c>
      <c r="K224" s="6">
        <v>700</v>
      </c>
      <c r="L224" s="6">
        <v>700</v>
      </c>
      <c r="M224" s="7">
        <v>8.7105049999999995</v>
      </c>
      <c r="N224" s="7">
        <v>0.771675</v>
      </c>
      <c r="O224" s="7">
        <v>1.8427469999999999</v>
      </c>
      <c r="P224" s="7">
        <v>6.1761419999999996</v>
      </c>
      <c r="Q224" s="7">
        <v>17.501069000000001</v>
      </c>
      <c r="R224" s="7">
        <v>1.036367</v>
      </c>
      <c r="S224" s="7">
        <v>1.5873919999999999</v>
      </c>
      <c r="T224" s="7">
        <v>2.9740359999999999</v>
      </c>
      <c r="U224" s="7">
        <v>3.9507029999999999</v>
      </c>
      <c r="V224" s="7">
        <v>9.5484980000000004</v>
      </c>
      <c r="W224" s="7">
        <v>27.049567</v>
      </c>
      <c r="X224" s="7">
        <v>0.23011844019128569</v>
      </c>
      <c r="Y224" s="7">
        <v>3.5787365674172542</v>
      </c>
      <c r="Z224" s="7">
        <v>30.858422007608539</v>
      </c>
      <c r="AA224" s="7">
        <v>4.8916487769698236</v>
      </c>
      <c r="AB224" s="7">
        <v>35.750070784578362</v>
      </c>
      <c r="AC224" s="7">
        <v>0</v>
      </c>
      <c r="AD224" s="7">
        <v>0.14047899999999999</v>
      </c>
      <c r="AE224" s="7">
        <v>0</v>
      </c>
      <c r="AF224" s="7">
        <v>0</v>
      </c>
      <c r="AG224" s="7">
        <v>35.890549784578361</v>
      </c>
      <c r="AH224" s="7">
        <v>1.4455290000000001</v>
      </c>
      <c r="AI224" s="7">
        <v>0</v>
      </c>
      <c r="AJ224" s="7">
        <v>1.44272</v>
      </c>
      <c r="AK224" s="7">
        <v>38.638319784578357</v>
      </c>
      <c r="AL224" s="7">
        <v>0</v>
      </c>
      <c r="AM224" s="7">
        <v>0</v>
      </c>
      <c r="AN224" s="7">
        <v>0</v>
      </c>
      <c r="AO224" s="7">
        <v>0</v>
      </c>
      <c r="AP224" s="7">
        <v>0</v>
      </c>
      <c r="AQ224" s="7">
        <v>38.638319784578357</v>
      </c>
      <c r="AR224" s="7">
        <v>63.28918414626586</v>
      </c>
      <c r="AS224" s="7">
        <v>32.430762138657322</v>
      </c>
      <c r="AT224" s="7">
        <v>27.539113361687502</v>
      </c>
    </row>
    <row r="225" spans="1:46" x14ac:dyDescent="0.35">
      <c r="A225" s="5">
        <v>46022</v>
      </c>
      <c r="B225" s="4" t="s">
        <v>511</v>
      </c>
      <c r="C225" s="4" t="s">
        <v>512</v>
      </c>
      <c r="D225" s="4" t="s">
        <v>61</v>
      </c>
      <c r="E225" s="6">
        <v>2487.018407</v>
      </c>
      <c r="F225" s="6">
        <v>0</v>
      </c>
      <c r="G225" s="6">
        <v>2487.018407</v>
      </c>
      <c r="H225" s="6">
        <v>2.307067</v>
      </c>
      <c r="I225" s="6">
        <v>1078</v>
      </c>
      <c r="J225" s="6">
        <v>0</v>
      </c>
      <c r="K225" s="6">
        <v>1078</v>
      </c>
      <c r="L225" s="6">
        <v>1078</v>
      </c>
      <c r="M225" s="7">
        <v>4.9320269999999997</v>
      </c>
      <c r="N225" s="7">
        <v>5.3845900000000002</v>
      </c>
      <c r="O225" s="7">
        <v>3.6730170000000002</v>
      </c>
      <c r="P225" s="7">
        <v>4.237323</v>
      </c>
      <c r="Q225" s="7">
        <v>18.226956999999999</v>
      </c>
      <c r="R225" s="7">
        <v>1.0855379999999999</v>
      </c>
      <c r="S225" s="7">
        <v>1.856905</v>
      </c>
      <c r="T225" s="7">
        <v>2.8034629999999998</v>
      </c>
      <c r="U225" s="7">
        <v>3.575933</v>
      </c>
      <c r="V225" s="7">
        <v>9.3218390000000007</v>
      </c>
      <c r="W225" s="7">
        <v>27.548795999999999</v>
      </c>
      <c r="X225" s="7">
        <v>0.16548824901818179</v>
      </c>
      <c r="Y225" s="7">
        <v>2.4874847142796161</v>
      </c>
      <c r="Z225" s="7">
        <v>30.201768963297798</v>
      </c>
      <c r="AA225" s="7">
        <v>2.5650263036958281</v>
      </c>
      <c r="AB225" s="7">
        <v>32.766795266993633</v>
      </c>
      <c r="AC225" s="7">
        <v>0</v>
      </c>
      <c r="AD225" s="7">
        <v>12.355375</v>
      </c>
      <c r="AE225" s="7">
        <v>0</v>
      </c>
      <c r="AF225" s="7">
        <v>0</v>
      </c>
      <c r="AG225" s="7">
        <v>45.122170266993628</v>
      </c>
      <c r="AH225" s="7">
        <v>7.3042660000000001</v>
      </c>
      <c r="AI225" s="7">
        <v>0</v>
      </c>
      <c r="AJ225" s="7">
        <v>11.47742</v>
      </c>
      <c r="AK225" s="7">
        <v>51.548481266993633</v>
      </c>
      <c r="AL225" s="7">
        <v>0</v>
      </c>
      <c r="AM225" s="7">
        <v>0</v>
      </c>
      <c r="AN225" s="7">
        <v>0</v>
      </c>
      <c r="AO225" s="7">
        <v>0</v>
      </c>
      <c r="AP225" s="7">
        <v>0</v>
      </c>
      <c r="AQ225" s="7">
        <v>51.548481266993633</v>
      </c>
      <c r="AR225" s="7">
        <v>43.25501023107482</v>
      </c>
      <c r="AS225" s="7">
        <v>13.05324126777702</v>
      </c>
      <c r="AT225" s="7">
        <v>10.488214964081189</v>
      </c>
    </row>
    <row r="226" spans="1:46" x14ac:dyDescent="0.35">
      <c r="A226" s="5">
        <v>46022</v>
      </c>
      <c r="B226" s="4" t="s">
        <v>513</v>
      </c>
      <c r="C226" s="4" t="s">
        <v>514</v>
      </c>
      <c r="D226" s="4" t="s">
        <v>79</v>
      </c>
      <c r="E226" s="6">
        <v>21119.599426000001</v>
      </c>
      <c r="F226" s="6">
        <v>0</v>
      </c>
      <c r="G226" s="6">
        <v>21119.599426000001</v>
      </c>
      <c r="H226" s="6">
        <v>1.1891400000000001</v>
      </c>
      <c r="I226" s="6">
        <v>17760.400573999999</v>
      </c>
      <c r="J226" s="6">
        <v>0</v>
      </c>
      <c r="K226" s="6">
        <v>17760.400573999999</v>
      </c>
      <c r="L226" s="6">
        <v>17760.400573999999</v>
      </c>
      <c r="M226" s="7">
        <v>2.0030230000000002</v>
      </c>
      <c r="N226" s="7">
        <v>0.77964299999999997</v>
      </c>
      <c r="O226" s="7">
        <v>8.1508999999999998E-2</v>
      </c>
      <c r="P226" s="7">
        <v>2.7422970000000002</v>
      </c>
      <c r="Q226" s="7">
        <v>5.6064720000000001</v>
      </c>
      <c r="R226" s="7">
        <v>0.70171600000000001</v>
      </c>
      <c r="S226" s="7">
        <v>0</v>
      </c>
      <c r="T226" s="7">
        <v>0.13350600000000001</v>
      </c>
      <c r="U226" s="7">
        <v>0.67945500000000003</v>
      </c>
      <c r="V226" s="7">
        <v>1.5146770000000001</v>
      </c>
      <c r="W226" s="7">
        <v>7.121149</v>
      </c>
      <c r="X226" s="7">
        <v>0</v>
      </c>
      <c r="Y226" s="7">
        <v>0</v>
      </c>
      <c r="Z226" s="7">
        <v>7.121149</v>
      </c>
      <c r="AA226" s="7">
        <v>5.0667564850392893E-2</v>
      </c>
      <c r="AB226" s="7">
        <v>7.1718165648503929</v>
      </c>
      <c r="AC226" s="7">
        <v>0</v>
      </c>
      <c r="AD226" s="7">
        <v>0.66774999999999995</v>
      </c>
      <c r="AE226" s="7">
        <v>0</v>
      </c>
      <c r="AF226" s="7">
        <v>0</v>
      </c>
      <c r="AG226" s="7">
        <v>7.8395665648503927</v>
      </c>
      <c r="AH226" s="7">
        <v>0.29050399999999998</v>
      </c>
      <c r="AI226" s="7">
        <v>0</v>
      </c>
      <c r="AJ226" s="7">
        <v>0.66774999999999995</v>
      </c>
      <c r="AK226" s="7">
        <v>8.1300705648503921</v>
      </c>
      <c r="AL226" s="7">
        <v>0</v>
      </c>
      <c r="AM226" s="7">
        <v>0</v>
      </c>
      <c r="AN226" s="7">
        <v>0</v>
      </c>
      <c r="AO226" s="7">
        <v>0</v>
      </c>
      <c r="AP226" s="7">
        <v>0</v>
      </c>
      <c r="AQ226" s="7">
        <v>8.1300705648503921</v>
      </c>
      <c r="AR226" s="7">
        <v>10.133512970078581</v>
      </c>
      <c r="AS226" s="7">
        <v>3.0123639700785771</v>
      </c>
      <c r="AT226" s="7">
        <v>2.9616964052281838</v>
      </c>
    </row>
    <row r="227" spans="1:46" x14ac:dyDescent="0.35">
      <c r="A227" s="5">
        <v>46022</v>
      </c>
      <c r="B227" s="4" t="s">
        <v>515</v>
      </c>
      <c r="C227" s="4" t="s">
        <v>516</v>
      </c>
      <c r="D227" s="4" t="s">
        <v>61</v>
      </c>
      <c r="E227" s="6">
        <v>0</v>
      </c>
      <c r="F227" s="6">
        <v>0</v>
      </c>
      <c r="G227" s="6">
        <v>0</v>
      </c>
      <c r="H227" s="6">
        <v>0</v>
      </c>
      <c r="I227" s="6">
        <v>0</v>
      </c>
      <c r="J227" s="6">
        <v>273.22000000000003</v>
      </c>
      <c r="K227" s="6">
        <v>273.22000000000003</v>
      </c>
      <c r="L227" s="6">
        <v>273.22000000000003</v>
      </c>
      <c r="M227" s="7">
        <v>3.2015169999999999</v>
      </c>
      <c r="N227" s="7">
        <v>1.9119200000000001</v>
      </c>
      <c r="O227" s="7">
        <v>0.43267499999999998</v>
      </c>
      <c r="P227" s="7">
        <v>4.7299290000000003</v>
      </c>
      <c r="Q227" s="7">
        <v>10.276040999999999</v>
      </c>
      <c r="R227" s="7">
        <v>2.0228980000000001</v>
      </c>
      <c r="S227" s="7">
        <v>1.9551959999999999</v>
      </c>
      <c r="T227" s="7">
        <v>1.8547899999999999</v>
      </c>
      <c r="U227" s="7">
        <v>3.7168809999999999</v>
      </c>
      <c r="V227" s="7">
        <v>9.5497650000000007</v>
      </c>
      <c r="W227" s="7">
        <v>19.825806</v>
      </c>
      <c r="X227" s="7">
        <v>3.8750613974086821</v>
      </c>
      <c r="Y227" s="7">
        <v>10.327513719396309</v>
      </c>
      <c r="Z227" s="7">
        <v>34.028381116804987</v>
      </c>
      <c r="AA227" s="7">
        <v>14.2094226988639</v>
      </c>
      <c r="AB227" s="7">
        <v>48.23780381566889</v>
      </c>
      <c r="AC227" s="7">
        <v>0</v>
      </c>
      <c r="AD227" s="7">
        <v>4.6779520000000003</v>
      </c>
      <c r="AE227" s="7">
        <v>0</v>
      </c>
      <c r="AF227" s="7">
        <v>0</v>
      </c>
      <c r="AG227" s="7">
        <v>52.915755815668888</v>
      </c>
      <c r="AH227" s="7">
        <v>2.0088499999999998</v>
      </c>
      <c r="AI227" s="7">
        <v>0</v>
      </c>
      <c r="AJ227" s="7">
        <v>1.7138439999999999</v>
      </c>
      <c r="AK227" s="7">
        <v>51.960497815668887</v>
      </c>
      <c r="AL227" s="7">
        <v>0</v>
      </c>
      <c r="AM227" s="7">
        <v>0</v>
      </c>
      <c r="AN227" s="7">
        <v>0</v>
      </c>
      <c r="AO227" s="7">
        <v>0</v>
      </c>
      <c r="AP227" s="7">
        <v>0</v>
      </c>
      <c r="AQ227" s="7">
        <v>51.960497815668887</v>
      </c>
      <c r="AR227" s="7">
        <v>169.34202086592151</v>
      </c>
      <c r="AS227" s="7">
        <v>135.3136397491165</v>
      </c>
      <c r="AT227" s="7">
        <v>121.1042170502526</v>
      </c>
    </row>
    <row r="228" spans="1:46" x14ac:dyDescent="0.35">
      <c r="A228" s="5">
        <v>46022</v>
      </c>
      <c r="B228" s="4" t="s">
        <v>517</v>
      </c>
      <c r="C228" s="4" t="s">
        <v>518</v>
      </c>
      <c r="D228" s="4" t="s">
        <v>89</v>
      </c>
      <c r="E228" s="6">
        <v>10988.410991999999</v>
      </c>
      <c r="F228" s="6">
        <v>0</v>
      </c>
      <c r="G228" s="6">
        <v>10988.410991999999</v>
      </c>
      <c r="H228" s="6">
        <v>1.0405219999999999</v>
      </c>
      <c r="I228" s="6">
        <v>10560.478741000001</v>
      </c>
      <c r="J228" s="6">
        <v>1138.3738880000001</v>
      </c>
      <c r="K228" s="6">
        <v>11698.852629000001</v>
      </c>
      <c r="L228" s="6">
        <v>13248.688527</v>
      </c>
      <c r="M228" s="7">
        <v>10.294707000000001</v>
      </c>
      <c r="N228" s="7">
        <v>1.377378</v>
      </c>
      <c r="O228" s="7">
        <v>0.53714700000000004</v>
      </c>
      <c r="P228" s="7">
        <v>7.1188570000000002</v>
      </c>
      <c r="Q228" s="7">
        <v>19.328088999999999</v>
      </c>
      <c r="R228" s="7">
        <v>4.761666</v>
      </c>
      <c r="S228" s="7">
        <v>0.44300400000000001</v>
      </c>
      <c r="T228" s="7">
        <v>3.4886910000000002</v>
      </c>
      <c r="U228" s="7">
        <v>6.730137</v>
      </c>
      <c r="V228" s="7">
        <v>15.423498</v>
      </c>
      <c r="W228" s="7">
        <v>34.751587000000001</v>
      </c>
      <c r="X228" s="7">
        <v>0.62992630141239192</v>
      </c>
      <c r="Y228" s="7">
        <v>0.87466604406244486</v>
      </c>
      <c r="Z228" s="7">
        <v>36.256179345474841</v>
      </c>
      <c r="AA228" s="7">
        <v>1.7855177647748961</v>
      </c>
      <c r="AB228" s="7">
        <v>38.041697110249729</v>
      </c>
      <c r="AC228" s="7">
        <v>0</v>
      </c>
      <c r="AD228" s="7">
        <v>18.082108999999999</v>
      </c>
      <c r="AE228" s="7">
        <v>0</v>
      </c>
      <c r="AF228" s="7">
        <v>0</v>
      </c>
      <c r="AG228" s="7">
        <v>56.123806110249731</v>
      </c>
      <c r="AH228" s="7">
        <v>1.390063</v>
      </c>
      <c r="AI228" s="7">
        <v>0</v>
      </c>
      <c r="AJ228" s="7">
        <v>2.7801269999999998</v>
      </c>
      <c r="AK228" s="7">
        <v>42.211887110249727</v>
      </c>
      <c r="AL228" s="7">
        <v>0</v>
      </c>
      <c r="AM228" s="7">
        <v>0</v>
      </c>
      <c r="AN228" s="7">
        <v>0</v>
      </c>
      <c r="AO228" s="7">
        <v>0</v>
      </c>
      <c r="AP228" s="7">
        <v>0</v>
      </c>
      <c r="AQ228" s="7">
        <v>42.211887110249727</v>
      </c>
      <c r="AR228" s="7">
        <v>59.51742367942645</v>
      </c>
      <c r="AS228" s="7">
        <v>23.261244333951609</v>
      </c>
      <c r="AT228" s="7">
        <v>21.475726569176711</v>
      </c>
    </row>
    <row r="229" spans="1:46" x14ac:dyDescent="0.35">
      <c r="A229" s="5">
        <v>46022</v>
      </c>
      <c r="B229" s="4" t="s">
        <v>519</v>
      </c>
      <c r="C229" s="4" t="s">
        <v>520</v>
      </c>
      <c r="D229" s="4" t="s">
        <v>192</v>
      </c>
      <c r="E229" s="6">
        <v>0</v>
      </c>
      <c r="F229" s="6">
        <v>0</v>
      </c>
      <c r="G229" s="6">
        <v>0</v>
      </c>
      <c r="H229" s="6">
        <v>0</v>
      </c>
      <c r="I229" s="6">
        <v>0</v>
      </c>
      <c r="J229" s="6">
        <v>3180</v>
      </c>
      <c r="K229" s="6">
        <v>3180</v>
      </c>
      <c r="L229" s="6">
        <v>4688.3468830000002</v>
      </c>
      <c r="M229" s="7">
        <v>4.361542</v>
      </c>
      <c r="N229" s="7">
        <v>3.0219680000000002</v>
      </c>
      <c r="O229" s="7">
        <v>0.82406699999999999</v>
      </c>
      <c r="P229" s="7">
        <v>17.030456000000001</v>
      </c>
      <c r="Q229" s="7">
        <v>25.238033000000001</v>
      </c>
      <c r="R229" s="7">
        <v>1.175519</v>
      </c>
      <c r="S229" s="7">
        <v>1.2995000000000001</v>
      </c>
      <c r="T229" s="7">
        <v>7.547879</v>
      </c>
      <c r="U229" s="7">
        <v>9.5356020000000008</v>
      </c>
      <c r="V229" s="7">
        <v>19.558499999999999</v>
      </c>
      <c r="W229" s="7">
        <v>44.796532999999997</v>
      </c>
      <c r="X229" s="7">
        <v>25.860666748926221</v>
      </c>
      <c r="Y229" s="7">
        <v>15.173276952471181</v>
      </c>
      <c r="Z229" s="7">
        <v>85.830476701397416</v>
      </c>
      <c r="AA229" s="7">
        <v>22.765848796960992</v>
      </c>
      <c r="AB229" s="7">
        <v>108.5963254983584</v>
      </c>
      <c r="AC229" s="7">
        <v>0.77141899999999997</v>
      </c>
      <c r="AD229" s="7">
        <v>14.149264000000001</v>
      </c>
      <c r="AE229" s="7">
        <v>0</v>
      </c>
      <c r="AF229" s="7">
        <v>0</v>
      </c>
      <c r="AG229" s="7">
        <v>123.51700849835839</v>
      </c>
      <c r="AH229" s="7">
        <v>5.2547430000000013</v>
      </c>
      <c r="AI229" s="7">
        <v>0</v>
      </c>
      <c r="AJ229" s="7">
        <v>7.8919079999999999</v>
      </c>
      <c r="AK229" s="7">
        <v>122.5143954983584</v>
      </c>
      <c r="AL229" s="7">
        <v>0</v>
      </c>
      <c r="AM229" s="7">
        <v>0</v>
      </c>
      <c r="AN229" s="7">
        <v>0</v>
      </c>
      <c r="AO229" s="7">
        <v>0</v>
      </c>
      <c r="AP229" s="7">
        <v>0</v>
      </c>
      <c r="AQ229" s="7">
        <v>122.5143954983584</v>
      </c>
      <c r="AR229" s="7">
        <v>413.92466858992287</v>
      </c>
      <c r="AS229" s="7">
        <v>328.09419188852547</v>
      </c>
      <c r="AT229" s="7">
        <v>305.32834309156448</v>
      </c>
    </row>
    <row r="230" spans="1:46" x14ac:dyDescent="0.35">
      <c r="A230" s="5">
        <v>46022</v>
      </c>
      <c r="B230" s="4" t="s">
        <v>521</v>
      </c>
      <c r="C230" s="4" t="s">
        <v>522</v>
      </c>
      <c r="D230" s="4" t="s">
        <v>61</v>
      </c>
      <c r="E230" s="6">
        <v>0</v>
      </c>
      <c r="F230" s="6">
        <v>0</v>
      </c>
      <c r="G230" s="6">
        <v>0</v>
      </c>
      <c r="H230" s="6">
        <v>0</v>
      </c>
      <c r="I230" s="6">
        <v>0</v>
      </c>
      <c r="J230" s="6">
        <v>65.86</v>
      </c>
      <c r="K230" s="6">
        <v>65.86</v>
      </c>
      <c r="L230" s="6">
        <v>65.86</v>
      </c>
      <c r="M230" s="7">
        <v>6.6306099999999999</v>
      </c>
      <c r="N230" s="7">
        <v>0.96237099999999998</v>
      </c>
      <c r="O230" s="7">
        <v>2.3473000000000002</v>
      </c>
      <c r="P230" s="7">
        <v>2.6132770000000001</v>
      </c>
      <c r="Q230" s="7">
        <v>12.553558000000001</v>
      </c>
      <c r="R230" s="7">
        <v>1.2502629999999999</v>
      </c>
      <c r="S230" s="7">
        <v>1.354441</v>
      </c>
      <c r="T230" s="7">
        <v>3.0987089999999999</v>
      </c>
      <c r="U230" s="7">
        <v>4.2029399999999999</v>
      </c>
      <c r="V230" s="7">
        <v>9.9063529999999993</v>
      </c>
      <c r="W230" s="7">
        <v>22.459911000000002</v>
      </c>
      <c r="X230" s="7">
        <v>0.87711929547525047</v>
      </c>
      <c r="Y230" s="7">
        <v>3.4567823880633091</v>
      </c>
      <c r="Z230" s="7">
        <v>26.793812683538562</v>
      </c>
      <c r="AA230" s="7">
        <v>5.0831616153778931</v>
      </c>
      <c r="AB230" s="7">
        <v>31.876974298916451</v>
      </c>
      <c r="AC230" s="7">
        <v>0</v>
      </c>
      <c r="AD230" s="7">
        <v>1.2689999999999999</v>
      </c>
      <c r="AE230" s="7">
        <v>0</v>
      </c>
      <c r="AF230" s="7">
        <v>0</v>
      </c>
      <c r="AG230" s="7">
        <v>33.14597429891645</v>
      </c>
      <c r="AH230" s="7">
        <v>2.8078099999999999</v>
      </c>
      <c r="AI230" s="7">
        <v>0</v>
      </c>
      <c r="AJ230" s="7">
        <v>1.2689999999999999</v>
      </c>
      <c r="AK230" s="7">
        <v>35.953784298916453</v>
      </c>
      <c r="AL230" s="7">
        <v>0</v>
      </c>
      <c r="AM230" s="7">
        <v>0</v>
      </c>
      <c r="AN230" s="7">
        <v>0</v>
      </c>
      <c r="AO230" s="7">
        <v>0</v>
      </c>
      <c r="AP230" s="7">
        <v>0</v>
      </c>
      <c r="AQ230" s="7">
        <v>35.953784298916453</v>
      </c>
      <c r="AR230" s="7">
        <v>52.157221405007007</v>
      </c>
      <c r="AS230" s="7">
        <v>25.363408721468449</v>
      </c>
      <c r="AT230" s="7">
        <v>20.280247106090549</v>
      </c>
    </row>
    <row r="231" spans="1:46" x14ac:dyDescent="0.35">
      <c r="A231" s="5">
        <v>46022</v>
      </c>
      <c r="B231" s="4" t="s">
        <v>523</v>
      </c>
      <c r="C231" s="4" t="s">
        <v>524</v>
      </c>
      <c r="D231" s="4" t="s">
        <v>61</v>
      </c>
      <c r="E231" s="6">
        <v>0</v>
      </c>
      <c r="F231" s="6">
        <v>0</v>
      </c>
      <c r="G231" s="6">
        <v>0</v>
      </c>
      <c r="H231" s="6">
        <v>0</v>
      </c>
      <c r="I231" s="6">
        <v>0</v>
      </c>
      <c r="J231" s="6">
        <v>9000</v>
      </c>
      <c r="K231" s="6">
        <v>9000</v>
      </c>
      <c r="L231" s="6">
        <v>9000</v>
      </c>
      <c r="M231" s="7">
        <v>2.4192840000000002</v>
      </c>
      <c r="N231" s="7">
        <v>0</v>
      </c>
      <c r="O231" s="7">
        <v>3.219624</v>
      </c>
      <c r="P231" s="7">
        <v>3.3775919999999999</v>
      </c>
      <c r="Q231" s="7">
        <v>9.0165000000000006</v>
      </c>
      <c r="R231" s="7">
        <v>1.9150799999999999</v>
      </c>
      <c r="S231" s="7">
        <v>0.93826500000000002</v>
      </c>
      <c r="T231" s="7">
        <v>2.9983110000000002</v>
      </c>
      <c r="U231" s="7">
        <v>2.9915280000000002</v>
      </c>
      <c r="V231" s="7">
        <v>8.8431840000000008</v>
      </c>
      <c r="W231" s="7">
        <v>17.859684000000001</v>
      </c>
      <c r="X231" s="7">
        <v>0.91924990007993335</v>
      </c>
      <c r="Y231" s="7">
        <v>3.0539586123051499</v>
      </c>
      <c r="Z231" s="7">
        <v>21.832892512385079</v>
      </c>
      <c r="AA231" s="7">
        <v>4.4931790761791657</v>
      </c>
      <c r="AB231" s="7">
        <v>26.32607158856425</v>
      </c>
      <c r="AC231" s="7">
        <v>0</v>
      </c>
      <c r="AD231" s="7">
        <v>1.2081200000000001</v>
      </c>
      <c r="AE231" s="7">
        <v>0</v>
      </c>
      <c r="AF231" s="7">
        <v>0</v>
      </c>
      <c r="AG231" s="7">
        <v>27.534191588564251</v>
      </c>
      <c r="AH231" s="7">
        <v>1.802346</v>
      </c>
      <c r="AI231" s="7">
        <v>0</v>
      </c>
      <c r="AJ231" s="7">
        <v>0.61108399999999996</v>
      </c>
      <c r="AK231" s="7">
        <v>28.739501588564249</v>
      </c>
      <c r="AL231" s="7">
        <v>0</v>
      </c>
      <c r="AM231" s="7">
        <v>0</v>
      </c>
      <c r="AN231" s="7">
        <v>0</v>
      </c>
      <c r="AO231" s="7">
        <v>0</v>
      </c>
      <c r="AP231" s="7">
        <v>0</v>
      </c>
      <c r="AQ231" s="7">
        <v>28.739501588564249</v>
      </c>
      <c r="AR231" s="7">
        <v>59.402027166439922</v>
      </c>
      <c r="AS231" s="7">
        <v>37.569134654054842</v>
      </c>
      <c r="AT231" s="7">
        <v>33.075955577875668</v>
      </c>
    </row>
    <row r="232" spans="1:46" x14ac:dyDescent="0.35">
      <c r="A232" s="5">
        <v>46022</v>
      </c>
      <c r="B232" s="4" t="s">
        <v>525</v>
      </c>
      <c r="C232" s="4" t="s">
        <v>526</v>
      </c>
      <c r="D232" s="4" t="s">
        <v>61</v>
      </c>
      <c r="E232" s="6">
        <v>0</v>
      </c>
      <c r="F232" s="6">
        <v>0</v>
      </c>
      <c r="G232" s="6">
        <v>0</v>
      </c>
      <c r="H232" s="6">
        <v>0</v>
      </c>
      <c r="I232" s="6">
        <v>0</v>
      </c>
      <c r="J232" s="6">
        <v>400</v>
      </c>
      <c r="K232" s="6">
        <v>400</v>
      </c>
      <c r="L232" s="6">
        <v>400</v>
      </c>
      <c r="M232" s="7">
        <v>7.3060869999999998</v>
      </c>
      <c r="N232" s="7">
        <v>0</v>
      </c>
      <c r="O232" s="7">
        <v>4.4091509999999996</v>
      </c>
      <c r="P232" s="7">
        <v>6.0556710000000002</v>
      </c>
      <c r="Q232" s="7">
        <v>17.770909</v>
      </c>
      <c r="R232" s="7">
        <v>0.83129299999999995</v>
      </c>
      <c r="S232" s="7">
        <v>1.651359</v>
      </c>
      <c r="T232" s="7">
        <v>3.3582800000000002</v>
      </c>
      <c r="U232" s="7">
        <v>2.9498030000000002</v>
      </c>
      <c r="V232" s="7">
        <v>8.7907349999999997</v>
      </c>
      <c r="W232" s="7">
        <v>26.561644000000001</v>
      </c>
      <c r="X232" s="7">
        <v>7.0635746324999998E-2</v>
      </c>
      <c r="Y232" s="7">
        <v>4.5993751944672487</v>
      </c>
      <c r="Z232" s="7">
        <v>31.23165494079225</v>
      </c>
      <c r="AA232" s="7">
        <v>6.3089746932293096</v>
      </c>
      <c r="AB232" s="7">
        <v>37.540629634021563</v>
      </c>
      <c r="AC232" s="7">
        <v>0</v>
      </c>
      <c r="AD232" s="7">
        <v>21.504722999999998</v>
      </c>
      <c r="AE232" s="7">
        <v>0</v>
      </c>
      <c r="AF232" s="7">
        <v>0</v>
      </c>
      <c r="AG232" s="7">
        <v>59.045352634021562</v>
      </c>
      <c r="AH232" s="7">
        <v>4.6414270000000002</v>
      </c>
      <c r="AI232" s="7">
        <v>0</v>
      </c>
      <c r="AJ232" s="7">
        <v>3.7142659999999998</v>
      </c>
      <c r="AK232" s="7">
        <v>45.896322634021558</v>
      </c>
      <c r="AL232" s="7">
        <v>0</v>
      </c>
      <c r="AM232" s="7">
        <v>0</v>
      </c>
      <c r="AN232" s="7">
        <v>0</v>
      </c>
      <c r="AO232" s="7">
        <v>0</v>
      </c>
      <c r="AP232" s="7">
        <v>0</v>
      </c>
      <c r="AQ232" s="7">
        <v>45.896322634021558</v>
      </c>
      <c r="AR232" s="7">
        <v>173.6028665916084</v>
      </c>
      <c r="AS232" s="7">
        <v>142.37121165081609</v>
      </c>
      <c r="AT232" s="7">
        <v>136.0622369575868</v>
      </c>
    </row>
    <row r="233" spans="1:46" x14ac:dyDescent="0.35">
      <c r="A233" s="5">
        <v>46022</v>
      </c>
      <c r="B233" s="4" t="s">
        <v>527</v>
      </c>
      <c r="C233" s="4" t="s">
        <v>528</v>
      </c>
      <c r="D233" s="4" t="s">
        <v>61</v>
      </c>
      <c r="E233" s="6">
        <v>0</v>
      </c>
      <c r="F233" s="6">
        <v>0</v>
      </c>
      <c r="G233" s="6">
        <v>0</v>
      </c>
      <c r="H233" s="6">
        <v>0</v>
      </c>
      <c r="I233" s="6">
        <v>0</v>
      </c>
      <c r="J233" s="6">
        <v>450</v>
      </c>
      <c r="K233" s="6">
        <v>450</v>
      </c>
      <c r="L233" s="6">
        <v>450</v>
      </c>
      <c r="M233" s="7">
        <v>9.8652429999999995</v>
      </c>
      <c r="N233" s="7">
        <v>0.56182299999999996</v>
      </c>
      <c r="O233" s="7">
        <v>3.4589240000000001</v>
      </c>
      <c r="P233" s="7">
        <v>5.7193120000000013</v>
      </c>
      <c r="Q233" s="7">
        <v>19.605301999999998</v>
      </c>
      <c r="R233" s="7">
        <v>1.9510700000000001</v>
      </c>
      <c r="S233" s="7">
        <v>1.2844390000000001</v>
      </c>
      <c r="T233" s="7">
        <v>1.5198719999999999</v>
      </c>
      <c r="U233" s="7">
        <v>4.7275229999999997</v>
      </c>
      <c r="V233" s="7">
        <v>9.4829039999999996</v>
      </c>
      <c r="W233" s="7">
        <v>29.088206</v>
      </c>
      <c r="X233" s="7">
        <v>0.40747481381066669</v>
      </c>
      <c r="Y233" s="7">
        <v>3.3043590162441232</v>
      </c>
      <c r="Z233" s="7">
        <v>32.800039830054793</v>
      </c>
      <c r="AA233" s="7">
        <v>3.100666533693861</v>
      </c>
      <c r="AB233" s="7">
        <v>35.900706363748647</v>
      </c>
      <c r="AC233" s="7">
        <v>0</v>
      </c>
      <c r="AD233" s="7">
        <v>5.5615649999999999</v>
      </c>
      <c r="AE233" s="7">
        <v>0</v>
      </c>
      <c r="AF233" s="7">
        <v>0</v>
      </c>
      <c r="AG233" s="7">
        <v>41.462271363748648</v>
      </c>
      <c r="AH233" s="7">
        <v>3.8069820000000001</v>
      </c>
      <c r="AI233" s="7">
        <v>0</v>
      </c>
      <c r="AJ233" s="7">
        <v>2.020089</v>
      </c>
      <c r="AK233" s="7">
        <v>41.72777736374865</v>
      </c>
      <c r="AL233" s="7">
        <v>19.555555999999999</v>
      </c>
      <c r="AM233" s="7">
        <v>0</v>
      </c>
      <c r="AN233" s="7">
        <v>0</v>
      </c>
      <c r="AO233" s="7">
        <v>0</v>
      </c>
      <c r="AP233" s="7">
        <v>0</v>
      </c>
      <c r="AQ233" s="7">
        <v>61.283333363748653</v>
      </c>
      <c r="AR233" s="7">
        <v>50.305287082749963</v>
      </c>
      <c r="AS233" s="7">
        <v>17.50524725269517</v>
      </c>
      <c r="AT233" s="7">
        <v>14.404580719001309</v>
      </c>
    </row>
    <row r="234" spans="1:46" x14ac:dyDescent="0.35">
      <c r="A234" s="5">
        <v>46022</v>
      </c>
      <c r="B234" s="4" t="s">
        <v>529</v>
      </c>
      <c r="C234" s="4" t="s">
        <v>530</v>
      </c>
      <c r="D234" s="4" t="s">
        <v>105</v>
      </c>
      <c r="E234" s="6">
        <v>0</v>
      </c>
      <c r="F234" s="6">
        <v>0</v>
      </c>
      <c r="G234" s="6">
        <v>0</v>
      </c>
      <c r="H234" s="6">
        <v>0</v>
      </c>
      <c r="I234" s="6">
        <v>0</v>
      </c>
      <c r="J234" s="6">
        <v>3238.355</v>
      </c>
      <c r="K234" s="6">
        <v>3238.355</v>
      </c>
      <c r="L234" s="6">
        <v>3238.355</v>
      </c>
      <c r="M234" s="7">
        <v>56.478964860883792</v>
      </c>
      <c r="N234" s="7">
        <v>0.41000900000000001</v>
      </c>
      <c r="O234" s="7">
        <v>5.379186579378068</v>
      </c>
      <c r="P234" s="7">
        <v>8.933706407528641</v>
      </c>
      <c r="Q234" s="7">
        <v>71.201866847790498</v>
      </c>
      <c r="R234" s="7">
        <v>3.2934357201309332</v>
      </c>
      <c r="S234" s="7">
        <v>1.3317779705400981</v>
      </c>
      <c r="T234" s="7">
        <v>4.3946279459901803</v>
      </c>
      <c r="U234" s="7">
        <v>1.080269140752864</v>
      </c>
      <c r="V234" s="7">
        <v>10.10011077741407</v>
      </c>
      <c r="W234" s="7">
        <v>81.301977625204586</v>
      </c>
      <c r="X234" s="7">
        <v>9.7499965260139793E-2</v>
      </c>
      <c r="Y234" s="7">
        <v>12.605350751138261</v>
      </c>
      <c r="Z234" s="7">
        <v>94.004828341602973</v>
      </c>
      <c r="AA234" s="7">
        <v>0.28767055344570042</v>
      </c>
      <c r="AB234" s="7">
        <v>94.292498895048666</v>
      </c>
      <c r="AC234" s="7">
        <v>0</v>
      </c>
      <c r="AD234" s="7">
        <v>4.5509516857610484</v>
      </c>
      <c r="AE234" s="7">
        <v>0</v>
      </c>
      <c r="AF234" s="7">
        <v>0</v>
      </c>
      <c r="AG234" s="7">
        <v>98.843450580809716</v>
      </c>
      <c r="AH234" s="7">
        <v>3.6010122176759412</v>
      </c>
      <c r="AI234" s="7">
        <v>0</v>
      </c>
      <c r="AJ234" s="7">
        <v>2.0326162684124389</v>
      </c>
      <c r="AK234" s="7">
        <v>99.92612738113705</v>
      </c>
      <c r="AL234" s="7">
        <v>1.618012</v>
      </c>
      <c r="AM234" s="7">
        <v>0</v>
      </c>
      <c r="AN234" s="7">
        <v>0</v>
      </c>
      <c r="AO234" s="7">
        <v>0</v>
      </c>
      <c r="AP234" s="7">
        <v>0</v>
      </c>
      <c r="AQ234" s="7">
        <v>101.5441393811371</v>
      </c>
      <c r="AR234" s="7">
        <v>169.611444001352</v>
      </c>
      <c r="AS234" s="7">
        <v>75.606615659749025</v>
      </c>
      <c r="AT234" s="7">
        <v>75.318945106303318</v>
      </c>
    </row>
    <row r="235" spans="1:46" x14ac:dyDescent="0.35">
      <c r="A235" s="5">
        <v>46022</v>
      </c>
      <c r="B235" s="4" t="s">
        <v>531</v>
      </c>
      <c r="C235" s="4" t="s">
        <v>532</v>
      </c>
      <c r="D235" s="4" t="s">
        <v>533</v>
      </c>
      <c r="E235" s="6">
        <v>0</v>
      </c>
      <c r="F235" s="6">
        <v>0</v>
      </c>
      <c r="G235" s="6">
        <v>0</v>
      </c>
      <c r="H235" s="6">
        <v>0</v>
      </c>
      <c r="I235" s="6">
        <v>0</v>
      </c>
      <c r="J235" s="6">
        <v>2150.8266050000002</v>
      </c>
      <c r="K235" s="6">
        <v>2150.8266050000002</v>
      </c>
      <c r="L235" s="6">
        <v>2150.8266050000002</v>
      </c>
      <c r="M235" s="7">
        <v>25.235330999999999</v>
      </c>
      <c r="N235" s="7">
        <v>2.9101810000000001</v>
      </c>
      <c r="O235" s="7">
        <v>9.1117709999999992</v>
      </c>
      <c r="P235" s="7">
        <v>17.62771</v>
      </c>
      <c r="Q235" s="7">
        <v>54.884993000000001</v>
      </c>
      <c r="R235" s="7">
        <v>6.4519019999999996</v>
      </c>
      <c r="S235" s="7">
        <v>5.0814630000000003</v>
      </c>
      <c r="T235" s="7">
        <v>18.678498999999999</v>
      </c>
      <c r="U235" s="7">
        <v>4.9751750000000001</v>
      </c>
      <c r="V235" s="7">
        <v>35.187038999999999</v>
      </c>
      <c r="W235" s="7">
        <v>90.072031999999993</v>
      </c>
      <c r="X235" s="7">
        <v>1.7367079607829199</v>
      </c>
      <c r="Y235" s="7">
        <v>20.85541344757096</v>
      </c>
      <c r="Z235" s="7">
        <v>112.6641534083539</v>
      </c>
      <c r="AA235" s="7">
        <v>3.7357009788744948</v>
      </c>
      <c r="AB235" s="7">
        <v>116.3998543872284</v>
      </c>
      <c r="AC235" s="7">
        <v>0</v>
      </c>
      <c r="AD235" s="7">
        <v>25.070404</v>
      </c>
      <c r="AE235" s="7">
        <v>0</v>
      </c>
      <c r="AF235" s="7">
        <v>0</v>
      </c>
      <c r="AG235" s="7">
        <v>141.4702583872284</v>
      </c>
      <c r="AH235" s="7">
        <v>3.8416049999999999</v>
      </c>
      <c r="AI235" s="7">
        <v>0</v>
      </c>
      <c r="AJ235" s="7">
        <v>16.555804999999999</v>
      </c>
      <c r="AK235" s="7">
        <v>136.79726438722841</v>
      </c>
      <c r="AL235" s="7">
        <v>3.030554</v>
      </c>
      <c r="AM235" s="7">
        <v>0</v>
      </c>
      <c r="AN235" s="7">
        <v>0</v>
      </c>
      <c r="AO235" s="7">
        <v>0</v>
      </c>
      <c r="AP235" s="7">
        <v>0</v>
      </c>
      <c r="AQ235" s="7">
        <v>139.8278183872284</v>
      </c>
      <c r="AR235" s="7">
        <v>154.97146086457099</v>
      </c>
      <c r="AS235" s="7">
        <v>42.307307456217117</v>
      </c>
      <c r="AT235" s="7">
        <v>38.57160647734262</v>
      </c>
    </row>
    <row r="236" spans="1:46" x14ac:dyDescent="0.35">
      <c r="A236" s="5">
        <v>46022</v>
      </c>
      <c r="B236" s="4" t="s">
        <v>534</v>
      </c>
      <c r="C236" s="4" t="s">
        <v>535</v>
      </c>
      <c r="D236" s="4" t="s">
        <v>536</v>
      </c>
      <c r="E236" s="6">
        <v>11823.077255</v>
      </c>
      <c r="F236" s="6">
        <v>0</v>
      </c>
      <c r="G236" s="6">
        <v>11823.077255</v>
      </c>
      <c r="H236" s="6">
        <v>10</v>
      </c>
      <c r="I236" s="6">
        <v>1182.307726</v>
      </c>
      <c r="J236" s="6">
        <v>0</v>
      </c>
      <c r="K236" s="6">
        <v>1182.307726</v>
      </c>
      <c r="L236" s="6">
        <v>1182.307726</v>
      </c>
      <c r="M236" s="7">
        <v>17.701245</v>
      </c>
      <c r="N236" s="7">
        <v>9.4802149999999994</v>
      </c>
      <c r="O236" s="7">
        <v>2.1738780000000002</v>
      </c>
      <c r="P236" s="7">
        <v>6.3965630000000013</v>
      </c>
      <c r="Q236" s="7">
        <v>35.751900999999997</v>
      </c>
      <c r="R236" s="7">
        <v>2.4584450000000002</v>
      </c>
      <c r="S236" s="7">
        <v>0.29343599999999997</v>
      </c>
      <c r="T236" s="7">
        <v>6.3846679999999996</v>
      </c>
      <c r="U236" s="7">
        <v>0.88764299999999996</v>
      </c>
      <c r="V236" s="7">
        <v>10.024191999999999</v>
      </c>
      <c r="W236" s="7">
        <v>45.776093000000003</v>
      </c>
      <c r="X236" s="7">
        <v>0</v>
      </c>
      <c r="Y236" s="7">
        <v>0</v>
      </c>
      <c r="Z236" s="7">
        <v>45.776093000000003</v>
      </c>
      <c r="AA236" s="7">
        <v>1.722969015884801</v>
      </c>
      <c r="AB236" s="7">
        <v>47.499062015884803</v>
      </c>
      <c r="AC236" s="7">
        <v>8.4580000000000016E-2</v>
      </c>
      <c r="AD236" s="7">
        <v>16.967517000000001</v>
      </c>
      <c r="AE236" s="7">
        <v>0</v>
      </c>
      <c r="AF236" s="7">
        <v>0</v>
      </c>
      <c r="AG236" s="7">
        <v>64.551159015884807</v>
      </c>
      <c r="AH236" s="7">
        <v>3.3832140000000002</v>
      </c>
      <c r="AI236" s="7">
        <v>0</v>
      </c>
      <c r="AJ236" s="7">
        <v>8.4580350000000006</v>
      </c>
      <c r="AK236" s="7">
        <v>59.424891015884803</v>
      </c>
      <c r="AL236" s="7">
        <v>0</v>
      </c>
      <c r="AM236" s="7">
        <v>0</v>
      </c>
      <c r="AN236" s="7">
        <v>0</v>
      </c>
      <c r="AO236" s="7">
        <v>0</v>
      </c>
      <c r="AP236" s="7">
        <v>0</v>
      </c>
      <c r="AQ236" s="7">
        <v>59.424891015884803</v>
      </c>
      <c r="AR236" s="7">
        <v>86.148101049597656</v>
      </c>
      <c r="AS236" s="7">
        <v>40.372008049597639</v>
      </c>
      <c r="AT236" s="7">
        <v>38.649039033712839</v>
      </c>
    </row>
    <row r="237" spans="1:46" x14ac:dyDescent="0.35">
      <c r="A237" s="5">
        <v>46022</v>
      </c>
      <c r="B237" s="4" t="s">
        <v>537</v>
      </c>
      <c r="C237" s="4" t="s">
        <v>538</v>
      </c>
      <c r="D237" s="4" t="s">
        <v>89</v>
      </c>
      <c r="E237" s="6">
        <v>0</v>
      </c>
      <c r="F237" s="6">
        <v>0</v>
      </c>
      <c r="G237" s="6">
        <v>0</v>
      </c>
      <c r="H237" s="6">
        <v>0</v>
      </c>
      <c r="I237" s="6">
        <v>0</v>
      </c>
      <c r="J237" s="6">
        <v>315.205333</v>
      </c>
      <c r="K237" s="6">
        <v>315.205333</v>
      </c>
      <c r="L237" s="6">
        <v>410.91066699999999</v>
      </c>
      <c r="M237" s="7">
        <v>23.728387000000001</v>
      </c>
      <c r="N237" s="7">
        <v>2.943298</v>
      </c>
      <c r="O237" s="7">
        <v>2.5951059999999999</v>
      </c>
      <c r="P237" s="7">
        <v>7.0822770000000004</v>
      </c>
      <c r="Q237" s="7">
        <v>36.349068000000003</v>
      </c>
      <c r="R237" s="7">
        <v>18.009875999999998</v>
      </c>
      <c r="S237" s="7">
        <v>1.3731610000000001</v>
      </c>
      <c r="T237" s="7">
        <v>6.5256109999999996</v>
      </c>
      <c r="U237" s="7">
        <v>6.65097</v>
      </c>
      <c r="V237" s="7">
        <v>32.559618</v>
      </c>
      <c r="W237" s="7">
        <v>68.908686000000003</v>
      </c>
      <c r="X237" s="7">
        <v>1.9193701888843879</v>
      </c>
      <c r="Y237" s="7">
        <v>7.8936329042243063</v>
      </c>
      <c r="Z237" s="7">
        <v>78.721689093108694</v>
      </c>
      <c r="AA237" s="7">
        <v>4.248050399133942</v>
      </c>
      <c r="AB237" s="7">
        <v>82.969739492242638</v>
      </c>
      <c r="AC237" s="7">
        <v>3.9181270000000001</v>
      </c>
      <c r="AD237" s="7">
        <v>18.562505000000002</v>
      </c>
      <c r="AE237" s="7">
        <v>0</v>
      </c>
      <c r="AF237" s="7">
        <v>0</v>
      </c>
      <c r="AG237" s="7">
        <v>105.4503714922426</v>
      </c>
      <c r="AH237" s="7">
        <v>3.3195299999999999</v>
      </c>
      <c r="AI237" s="7">
        <v>0</v>
      </c>
      <c r="AJ237" s="7">
        <v>18.562505000000002</v>
      </c>
      <c r="AK237" s="7">
        <v>108.7699014922426</v>
      </c>
      <c r="AL237" s="7">
        <v>74.281724999999994</v>
      </c>
      <c r="AM237" s="7">
        <v>0</v>
      </c>
      <c r="AN237" s="7">
        <v>0</v>
      </c>
      <c r="AO237" s="7">
        <v>0</v>
      </c>
      <c r="AP237" s="7">
        <v>0</v>
      </c>
      <c r="AQ237" s="7">
        <v>183.0516264922426</v>
      </c>
      <c r="AR237" s="7">
        <v>83.590920256380429</v>
      </c>
      <c r="AS237" s="7">
        <v>4.8692311632717331</v>
      </c>
      <c r="AT237" s="7">
        <v>0.62118076413779155</v>
      </c>
    </row>
    <row r="238" spans="1:46" x14ac:dyDescent="0.35">
      <c r="A238" s="5">
        <v>46022</v>
      </c>
      <c r="B238" s="4" t="s">
        <v>539</v>
      </c>
      <c r="C238" s="4" t="s">
        <v>540</v>
      </c>
      <c r="D238" s="4" t="s">
        <v>61</v>
      </c>
      <c r="E238" s="6">
        <v>0</v>
      </c>
      <c r="F238" s="6">
        <v>0</v>
      </c>
      <c r="G238" s="6">
        <v>0</v>
      </c>
      <c r="H238" s="6">
        <v>0</v>
      </c>
      <c r="I238" s="6">
        <v>0</v>
      </c>
      <c r="J238" s="6">
        <v>1500</v>
      </c>
      <c r="K238" s="6">
        <v>1500</v>
      </c>
      <c r="L238" s="6">
        <v>1500</v>
      </c>
      <c r="M238" s="7">
        <v>4.8247530000000003</v>
      </c>
      <c r="N238" s="7">
        <v>0.65649199999999996</v>
      </c>
      <c r="O238" s="7">
        <v>4.6000959999999997</v>
      </c>
      <c r="P238" s="7">
        <v>5.0172119999999998</v>
      </c>
      <c r="Q238" s="7">
        <v>15.098553000000001</v>
      </c>
      <c r="R238" s="7">
        <v>1.0538149999999999</v>
      </c>
      <c r="S238" s="7">
        <v>1.4942409999999999</v>
      </c>
      <c r="T238" s="7">
        <v>4.2657259999999999</v>
      </c>
      <c r="U238" s="7">
        <v>4.325888</v>
      </c>
      <c r="V238" s="7">
        <v>11.139670000000001</v>
      </c>
      <c r="W238" s="7">
        <v>26.238223000000001</v>
      </c>
      <c r="X238" s="7">
        <v>1.3770411327400001</v>
      </c>
      <c r="Y238" s="7">
        <v>4.9022323068917641</v>
      </c>
      <c r="Z238" s="7">
        <v>32.517496439631763</v>
      </c>
      <c r="AA238" s="7">
        <v>8.1466461102022407</v>
      </c>
      <c r="AB238" s="7">
        <v>40.664142549833997</v>
      </c>
      <c r="AC238" s="7">
        <v>0</v>
      </c>
      <c r="AD238" s="7">
        <v>1.2924070000000001</v>
      </c>
      <c r="AE238" s="7">
        <v>0</v>
      </c>
      <c r="AF238" s="7">
        <v>0</v>
      </c>
      <c r="AG238" s="7">
        <v>41.956549549834001</v>
      </c>
      <c r="AH238" s="7">
        <v>1.3485990000000001</v>
      </c>
      <c r="AI238" s="7">
        <v>0</v>
      </c>
      <c r="AJ238" s="7">
        <v>1.8669659999999999</v>
      </c>
      <c r="AK238" s="7">
        <v>43.879707549834002</v>
      </c>
      <c r="AL238" s="7">
        <v>0</v>
      </c>
      <c r="AM238" s="7">
        <v>0</v>
      </c>
      <c r="AN238" s="7">
        <v>0</v>
      </c>
      <c r="AO238" s="7">
        <v>0</v>
      </c>
      <c r="AP238" s="7">
        <v>0</v>
      </c>
      <c r="AQ238" s="7">
        <v>43.879707549834002</v>
      </c>
      <c r="AR238" s="7">
        <v>82.27115238118904</v>
      </c>
      <c r="AS238" s="7">
        <v>49.753655941557277</v>
      </c>
      <c r="AT238" s="7">
        <v>41.607009831355043</v>
      </c>
    </row>
    <row r="239" spans="1:46" x14ac:dyDescent="0.35">
      <c r="A239" s="5">
        <v>46022</v>
      </c>
      <c r="B239" s="4" t="s">
        <v>541</v>
      </c>
      <c r="C239" s="4" t="s">
        <v>542</v>
      </c>
      <c r="D239" s="4" t="s">
        <v>50</v>
      </c>
      <c r="E239" s="6">
        <v>0</v>
      </c>
      <c r="F239" s="6">
        <v>0</v>
      </c>
      <c r="G239" s="6">
        <v>0</v>
      </c>
      <c r="H239" s="6">
        <v>0</v>
      </c>
      <c r="I239" s="6">
        <v>0</v>
      </c>
      <c r="J239" s="6">
        <v>825</v>
      </c>
      <c r="K239" s="6">
        <v>825</v>
      </c>
      <c r="L239" s="6">
        <v>825</v>
      </c>
      <c r="M239" s="7">
        <v>28.186102999999999</v>
      </c>
      <c r="N239" s="7">
        <v>0.66329400000000005</v>
      </c>
      <c r="O239" s="7">
        <v>0.94249099999999997</v>
      </c>
      <c r="P239" s="7">
        <v>2.6575229999999999</v>
      </c>
      <c r="Q239" s="7">
        <v>32.449410999999998</v>
      </c>
      <c r="R239" s="7">
        <v>7.5072289999999997</v>
      </c>
      <c r="S239" s="7">
        <v>0.54794100000000001</v>
      </c>
      <c r="T239" s="7">
        <v>1.74678</v>
      </c>
      <c r="U239" s="7">
        <v>1.327029</v>
      </c>
      <c r="V239" s="7">
        <v>11.128978999999999</v>
      </c>
      <c r="W239" s="7">
        <v>43.578389999999999</v>
      </c>
      <c r="X239" s="7">
        <v>0.93357962602084854</v>
      </c>
      <c r="Y239" s="7">
        <v>8.3084912485293447</v>
      </c>
      <c r="Z239" s="7">
        <v>52.820460874550193</v>
      </c>
      <c r="AA239" s="7">
        <v>1.0360469964725141</v>
      </c>
      <c r="AB239" s="7">
        <v>53.856507871022707</v>
      </c>
      <c r="AC239" s="7">
        <v>0</v>
      </c>
      <c r="AD239" s="7">
        <v>18.667773</v>
      </c>
      <c r="AE239" s="7">
        <v>0</v>
      </c>
      <c r="AF239" s="7">
        <v>0</v>
      </c>
      <c r="AG239" s="7">
        <v>72.524280871022711</v>
      </c>
      <c r="AH239" s="7">
        <v>0.60606099999999996</v>
      </c>
      <c r="AI239" s="7">
        <v>0</v>
      </c>
      <c r="AJ239" s="7">
        <v>7.7652809999999999</v>
      </c>
      <c r="AK239" s="7">
        <v>62.227849871022713</v>
      </c>
      <c r="AL239" s="7">
        <v>0</v>
      </c>
      <c r="AM239" s="7">
        <v>0</v>
      </c>
      <c r="AN239" s="7">
        <v>0</v>
      </c>
      <c r="AO239" s="7">
        <v>0</v>
      </c>
      <c r="AP239" s="7">
        <v>0</v>
      </c>
      <c r="AQ239" s="7">
        <v>62.227849871022713</v>
      </c>
      <c r="AR239" s="7">
        <v>96.834022035764406</v>
      </c>
      <c r="AS239" s="7">
        <v>44.01356116121422</v>
      </c>
      <c r="AT239" s="7">
        <v>42.977514164741699</v>
      </c>
    </row>
    <row r="240" spans="1:46" x14ac:dyDescent="0.35">
      <c r="A240" s="5">
        <v>46022</v>
      </c>
      <c r="B240" s="4" t="s">
        <v>543</v>
      </c>
      <c r="C240" s="4" t="s">
        <v>544</v>
      </c>
      <c r="D240" s="4" t="s">
        <v>61</v>
      </c>
      <c r="E240" s="6">
        <v>315</v>
      </c>
      <c r="F240" s="6">
        <v>0</v>
      </c>
      <c r="G240" s="6">
        <v>315</v>
      </c>
      <c r="H240" s="6">
        <v>4.2839660000000004</v>
      </c>
      <c r="I240" s="6">
        <v>73.53</v>
      </c>
      <c r="J240" s="6">
        <v>0</v>
      </c>
      <c r="K240" s="6">
        <v>73.53</v>
      </c>
      <c r="L240" s="6">
        <v>73.53</v>
      </c>
      <c r="M240" s="7">
        <v>3.6678709999999999</v>
      </c>
      <c r="N240" s="7">
        <v>2.802451</v>
      </c>
      <c r="O240" s="7">
        <v>0.71285799999999999</v>
      </c>
      <c r="P240" s="7">
        <v>5.0659390000000002</v>
      </c>
      <c r="Q240" s="7">
        <v>12.249119</v>
      </c>
      <c r="R240" s="7">
        <v>3.1947199999999998</v>
      </c>
      <c r="S240" s="7">
        <v>1.902282</v>
      </c>
      <c r="T240" s="7">
        <v>2.2051769999999999</v>
      </c>
      <c r="U240" s="7">
        <v>4.7679520000000002</v>
      </c>
      <c r="V240" s="7">
        <v>12.070131</v>
      </c>
      <c r="W240" s="7">
        <v>24.31925</v>
      </c>
      <c r="X240" s="7">
        <v>0.80401471896232835</v>
      </c>
      <c r="Y240" s="7">
        <v>6.2968956236885267</v>
      </c>
      <c r="Z240" s="7">
        <v>31.42016034265086</v>
      </c>
      <c r="AA240" s="7">
        <v>7.6145615483435893</v>
      </c>
      <c r="AB240" s="7">
        <v>39.03472189099444</v>
      </c>
      <c r="AC240" s="7">
        <v>0</v>
      </c>
      <c r="AD240" s="7">
        <v>3.0062509999999998</v>
      </c>
      <c r="AE240" s="7">
        <v>0</v>
      </c>
      <c r="AF240" s="7">
        <v>0</v>
      </c>
      <c r="AG240" s="7">
        <v>42.040972890994439</v>
      </c>
      <c r="AH240" s="7">
        <v>3.3138999999999998</v>
      </c>
      <c r="AI240" s="7">
        <v>0</v>
      </c>
      <c r="AJ240" s="7">
        <v>1.7349159999999999</v>
      </c>
      <c r="AK240" s="7">
        <v>44.083537890994442</v>
      </c>
      <c r="AL240" s="7">
        <v>0</v>
      </c>
      <c r="AM240" s="7">
        <v>0</v>
      </c>
      <c r="AN240" s="7">
        <v>0</v>
      </c>
      <c r="AO240" s="7">
        <v>0</v>
      </c>
      <c r="AP240" s="7">
        <v>0</v>
      </c>
      <c r="AQ240" s="7">
        <v>44.083537890994442</v>
      </c>
      <c r="AR240" s="7">
        <v>110.6764676143594</v>
      </c>
      <c r="AS240" s="7">
        <v>79.256307271708536</v>
      </c>
      <c r="AT240" s="7">
        <v>71.641745723364949</v>
      </c>
    </row>
    <row r="241" spans="1:46" x14ac:dyDescent="0.35">
      <c r="A241" s="5">
        <v>46022</v>
      </c>
      <c r="B241" s="4" t="s">
        <v>545</v>
      </c>
      <c r="C241" s="4" t="s">
        <v>546</v>
      </c>
      <c r="D241" s="4" t="s">
        <v>89</v>
      </c>
      <c r="E241" s="6">
        <v>0</v>
      </c>
      <c r="F241" s="6">
        <v>0</v>
      </c>
      <c r="G241" s="6">
        <v>0</v>
      </c>
      <c r="H241" s="6">
        <v>0</v>
      </c>
      <c r="I241" s="6">
        <v>0</v>
      </c>
      <c r="J241" s="6">
        <v>1348.8</v>
      </c>
      <c r="K241" s="6">
        <v>1348.8</v>
      </c>
      <c r="L241" s="6">
        <v>1241.5999999999999</v>
      </c>
      <c r="M241" s="7">
        <v>54.878216000000002</v>
      </c>
      <c r="N241" s="7">
        <v>4.9860410000000002</v>
      </c>
      <c r="O241" s="7">
        <v>3.2165210000000002</v>
      </c>
      <c r="P241" s="7">
        <v>13.646725</v>
      </c>
      <c r="Q241" s="7">
        <v>76.727502999999999</v>
      </c>
      <c r="R241" s="7">
        <v>10.171521</v>
      </c>
      <c r="S241" s="7">
        <v>1.0272749999999999</v>
      </c>
      <c r="T241" s="7">
        <v>2.6653129999999998</v>
      </c>
      <c r="U241" s="7">
        <v>6.023631</v>
      </c>
      <c r="V241" s="7">
        <v>19.887740000000001</v>
      </c>
      <c r="W241" s="7">
        <v>96.615243000000007</v>
      </c>
      <c r="X241" s="7">
        <v>4.4555289123216006</v>
      </c>
      <c r="Y241" s="7">
        <v>12.340881808020219</v>
      </c>
      <c r="Z241" s="7">
        <v>113.4116537203418</v>
      </c>
      <c r="AA241" s="7">
        <v>4.8596891980356078</v>
      </c>
      <c r="AB241" s="7">
        <v>118.2713429183774</v>
      </c>
      <c r="AC241" s="7">
        <v>0</v>
      </c>
      <c r="AD241" s="7">
        <v>41.532105000000001</v>
      </c>
      <c r="AE241" s="7">
        <v>0</v>
      </c>
      <c r="AF241" s="7">
        <v>-1.3816790000000001</v>
      </c>
      <c r="AG241" s="7">
        <v>158.42176891837741</v>
      </c>
      <c r="AH241" s="7">
        <v>1.0628299999999999</v>
      </c>
      <c r="AI241" s="7">
        <v>1.1691130000000001</v>
      </c>
      <c r="AJ241" s="7">
        <v>27.846139000000001</v>
      </c>
      <c r="AK241" s="7">
        <v>148.34942491837739</v>
      </c>
      <c r="AL241" s="7">
        <v>13.444796</v>
      </c>
      <c r="AM241" s="7">
        <v>0</v>
      </c>
      <c r="AN241" s="7">
        <v>0</v>
      </c>
      <c r="AO241" s="7">
        <v>0</v>
      </c>
      <c r="AP241" s="7">
        <v>0</v>
      </c>
      <c r="AQ241" s="7">
        <v>161.79422091837739</v>
      </c>
      <c r="AR241" s="7">
        <v>160.03931250384849</v>
      </c>
      <c r="AS241" s="7">
        <v>46.627658783506647</v>
      </c>
      <c r="AT241" s="7">
        <v>41.767969585471043</v>
      </c>
    </row>
    <row r="242" spans="1:46" x14ac:dyDescent="0.35">
      <c r="A242" s="5">
        <v>46022</v>
      </c>
      <c r="B242" s="4" t="s">
        <v>547</v>
      </c>
      <c r="C242" s="4" t="s">
        <v>548</v>
      </c>
      <c r="D242" s="4" t="s">
        <v>441</v>
      </c>
      <c r="E242" s="6">
        <v>38512.529774000002</v>
      </c>
      <c r="F242" s="6">
        <v>0</v>
      </c>
      <c r="G242" s="6">
        <v>38512.529774000002</v>
      </c>
      <c r="H242" s="6">
        <v>6.1011340000000001</v>
      </c>
      <c r="I242" s="6">
        <v>6312.3558990000001</v>
      </c>
      <c r="J242" s="6">
        <v>0</v>
      </c>
      <c r="K242" s="6">
        <v>6312.3558990000001</v>
      </c>
      <c r="L242" s="6">
        <v>5553.4626669999998</v>
      </c>
      <c r="M242" s="7">
        <v>7.4894990000000012</v>
      </c>
      <c r="N242" s="7">
        <v>10.123941</v>
      </c>
      <c r="O242" s="7">
        <v>0.71211100000000005</v>
      </c>
      <c r="P242" s="7">
        <v>5.570989</v>
      </c>
      <c r="Q242" s="7">
        <v>23.896540000000002</v>
      </c>
      <c r="R242" s="7">
        <v>1.2975859999999999</v>
      </c>
      <c r="S242" s="7">
        <v>1.296068</v>
      </c>
      <c r="T242" s="7">
        <v>3.4013059999999999</v>
      </c>
      <c r="U242" s="7">
        <v>1.279434</v>
      </c>
      <c r="V242" s="7">
        <v>7.274394</v>
      </c>
      <c r="W242" s="7">
        <v>31.170933999999999</v>
      </c>
      <c r="X242" s="7">
        <v>5.8114157702149898</v>
      </c>
      <c r="Y242" s="7">
        <v>2.137212995217912</v>
      </c>
      <c r="Z242" s="7">
        <v>39.119562765432903</v>
      </c>
      <c r="AA242" s="7">
        <v>3.8735643829832802</v>
      </c>
      <c r="AB242" s="7">
        <v>42.993127148416178</v>
      </c>
      <c r="AC242" s="7">
        <v>0</v>
      </c>
      <c r="AD242" s="7">
        <v>15.329181999999999</v>
      </c>
      <c r="AE242" s="7">
        <v>0</v>
      </c>
      <c r="AF242" s="7">
        <v>0</v>
      </c>
      <c r="AG242" s="7">
        <v>58.322309148416181</v>
      </c>
      <c r="AH242" s="7">
        <v>0.86269300000000015</v>
      </c>
      <c r="AI242" s="7">
        <v>0</v>
      </c>
      <c r="AJ242" s="7">
        <v>6.382091</v>
      </c>
      <c r="AK242" s="7">
        <v>50.237911148416181</v>
      </c>
      <c r="AL242" s="7">
        <v>0</v>
      </c>
      <c r="AM242" s="7">
        <v>0</v>
      </c>
      <c r="AN242" s="7">
        <v>0</v>
      </c>
      <c r="AO242" s="7">
        <v>0</v>
      </c>
      <c r="AP242" s="7">
        <v>0</v>
      </c>
      <c r="AQ242" s="7">
        <v>50.237911148416181</v>
      </c>
      <c r="AR242" s="7">
        <v>97.135737678485555</v>
      </c>
      <c r="AS242" s="7">
        <v>58.016174913052652</v>
      </c>
      <c r="AT242" s="7">
        <v>54.142610530069369</v>
      </c>
    </row>
    <row r="243" spans="1:46" x14ac:dyDescent="0.35">
      <c r="A243" s="5">
        <v>46022</v>
      </c>
      <c r="B243" s="4" t="s">
        <v>549</v>
      </c>
      <c r="C243" s="4" t="s">
        <v>550</v>
      </c>
      <c r="D243" s="4" t="s">
        <v>86</v>
      </c>
      <c r="E243" s="6">
        <v>0</v>
      </c>
      <c r="F243" s="6">
        <v>0</v>
      </c>
      <c r="G243" s="6">
        <v>0</v>
      </c>
      <c r="H243" s="6">
        <v>0</v>
      </c>
      <c r="I243" s="6">
        <v>0</v>
      </c>
      <c r="J243" s="6">
        <v>6933</v>
      </c>
      <c r="K243" s="6">
        <v>6933</v>
      </c>
      <c r="L243" s="6">
        <v>6933</v>
      </c>
      <c r="M243" s="7">
        <v>7.7622569999999991</v>
      </c>
      <c r="N243" s="7">
        <v>4.7559019999999999</v>
      </c>
      <c r="O243" s="7">
        <v>1.3762030000000001</v>
      </c>
      <c r="P243" s="7">
        <v>8.5802990000000001</v>
      </c>
      <c r="Q243" s="7">
        <v>22.474661000000001</v>
      </c>
      <c r="R243" s="7">
        <v>1.445227</v>
      </c>
      <c r="S243" s="7">
        <v>2.2295090000000002</v>
      </c>
      <c r="T243" s="7">
        <v>4.4956310000000004</v>
      </c>
      <c r="U243" s="7">
        <v>5.888115</v>
      </c>
      <c r="V243" s="7">
        <v>14.058482</v>
      </c>
      <c r="W243" s="7">
        <v>36.533143000000003</v>
      </c>
      <c r="X243" s="7">
        <v>1.149783095822126</v>
      </c>
      <c r="Y243" s="7">
        <v>7.3817635785852156</v>
      </c>
      <c r="Z243" s="7">
        <v>45.06468967440734</v>
      </c>
      <c r="AA243" s="7">
        <v>6.0560719432781189</v>
      </c>
      <c r="AB243" s="7">
        <v>51.12076161768546</v>
      </c>
      <c r="AC243" s="7">
        <v>0</v>
      </c>
      <c r="AD243" s="7">
        <v>8.304138</v>
      </c>
      <c r="AE243" s="7">
        <v>0</v>
      </c>
      <c r="AF243" s="7">
        <v>0</v>
      </c>
      <c r="AG243" s="7">
        <v>59.424899617685462</v>
      </c>
      <c r="AH243" s="7">
        <v>6.2228180000000002</v>
      </c>
      <c r="AI243" s="7">
        <v>0</v>
      </c>
      <c r="AJ243" s="7">
        <v>6.0434539999999988</v>
      </c>
      <c r="AK243" s="7">
        <v>63.387033617685461</v>
      </c>
      <c r="AL243" s="7">
        <v>0</v>
      </c>
      <c r="AM243" s="7">
        <v>0</v>
      </c>
      <c r="AN243" s="7">
        <v>0</v>
      </c>
      <c r="AO243" s="7">
        <v>0</v>
      </c>
      <c r="AP243" s="7">
        <v>0</v>
      </c>
      <c r="AQ243" s="7">
        <v>63.387033617685461</v>
      </c>
      <c r="AR243" s="7">
        <v>100.9345323879686</v>
      </c>
      <c r="AS243" s="7">
        <v>55.869842713561312</v>
      </c>
      <c r="AT243" s="7">
        <v>49.813770770283192</v>
      </c>
    </row>
    <row r="244" spans="1:46" x14ac:dyDescent="0.35">
      <c r="A244" s="5">
        <v>46022</v>
      </c>
      <c r="B244" s="4" t="s">
        <v>551</v>
      </c>
      <c r="C244" s="4" t="s">
        <v>552</v>
      </c>
      <c r="D244" s="4" t="s">
        <v>222</v>
      </c>
      <c r="E244" s="6">
        <v>0</v>
      </c>
      <c r="F244" s="6">
        <v>0</v>
      </c>
      <c r="G244" s="6">
        <v>0</v>
      </c>
      <c r="H244" s="6">
        <v>0</v>
      </c>
      <c r="I244" s="6">
        <v>0</v>
      </c>
      <c r="J244" s="6">
        <v>1900</v>
      </c>
      <c r="K244" s="6">
        <v>1900</v>
      </c>
      <c r="L244" s="6">
        <v>2100</v>
      </c>
      <c r="M244" s="7">
        <v>57.065989927007301</v>
      </c>
      <c r="N244" s="7">
        <v>29.422446999999998</v>
      </c>
      <c r="O244" s="7">
        <v>17.599277591240881</v>
      </c>
      <c r="P244" s="7">
        <v>157.56700766423361</v>
      </c>
      <c r="Q244" s="7">
        <v>261.65472218248181</v>
      </c>
      <c r="R244" s="7">
        <v>17.135251605839422</v>
      </c>
      <c r="S244" s="7">
        <v>11.266532554744529</v>
      </c>
      <c r="T244" s="7">
        <v>11.30644255474453</v>
      </c>
      <c r="U244" s="7">
        <v>20.368299416058392</v>
      </c>
      <c r="V244" s="7">
        <v>60.076526131386863</v>
      </c>
      <c r="W244" s="7">
        <v>321.7312483138686</v>
      </c>
      <c r="X244" s="7">
        <v>0</v>
      </c>
      <c r="Y244" s="7">
        <v>48.86302245832163</v>
      </c>
      <c r="Z244" s="7">
        <v>370.59427077219033</v>
      </c>
      <c r="AA244" s="7">
        <v>7.6250884014860798</v>
      </c>
      <c r="AB244" s="7">
        <v>378.21935917367631</v>
      </c>
      <c r="AC244" s="7">
        <v>0</v>
      </c>
      <c r="AD244" s="7">
        <v>154.35380810218979</v>
      </c>
      <c r="AE244" s="7">
        <v>0</v>
      </c>
      <c r="AF244" s="7">
        <v>0</v>
      </c>
      <c r="AG244" s="7">
        <v>532.57316727586613</v>
      </c>
      <c r="AH244" s="7">
        <v>4.9128821897810218</v>
      </c>
      <c r="AI244" s="7">
        <v>0</v>
      </c>
      <c r="AJ244" s="7">
        <v>20.073877883211679</v>
      </c>
      <c r="AK244" s="7">
        <v>403.206119246669</v>
      </c>
      <c r="AL244" s="7">
        <v>24.761904999999999</v>
      </c>
      <c r="AM244" s="7">
        <v>0</v>
      </c>
      <c r="AN244" s="7">
        <v>0</v>
      </c>
      <c r="AO244" s="7">
        <v>0</v>
      </c>
      <c r="AP244" s="7">
        <v>0</v>
      </c>
      <c r="AQ244" s="7">
        <v>427.96802424666902</v>
      </c>
      <c r="AR244" s="7">
        <v>272.32199682709353</v>
      </c>
      <c r="AS244" s="7">
        <v>-98.272273945096742</v>
      </c>
      <c r="AT244" s="7">
        <v>-105.8973623465828</v>
      </c>
    </row>
    <row r="245" spans="1:46" x14ac:dyDescent="0.35">
      <c r="A245" s="5">
        <v>46022</v>
      </c>
      <c r="B245" s="4" t="s">
        <v>553</v>
      </c>
      <c r="C245" s="4" t="s">
        <v>554</v>
      </c>
      <c r="D245" s="4" t="s">
        <v>105</v>
      </c>
      <c r="E245" s="6">
        <v>0</v>
      </c>
      <c r="F245" s="6">
        <v>0</v>
      </c>
      <c r="G245" s="6">
        <v>0</v>
      </c>
      <c r="H245" s="6">
        <v>0</v>
      </c>
      <c r="I245" s="6">
        <v>5400</v>
      </c>
      <c r="J245" s="6">
        <v>0</v>
      </c>
      <c r="K245" s="6">
        <v>5400</v>
      </c>
      <c r="L245" s="6">
        <v>5400</v>
      </c>
      <c r="M245" s="7">
        <v>0.8983509999999999</v>
      </c>
      <c r="N245" s="7">
        <v>0.15484999999999999</v>
      </c>
      <c r="O245" s="7">
        <v>0.33235999999999999</v>
      </c>
      <c r="P245" s="7">
        <v>2.5954030000000001</v>
      </c>
      <c r="Q245" s="7">
        <v>3.9809640000000002</v>
      </c>
      <c r="R245" s="7">
        <v>1.867988</v>
      </c>
      <c r="S245" s="7">
        <v>0.84454599999999991</v>
      </c>
      <c r="T245" s="7">
        <v>2.529884</v>
      </c>
      <c r="U245" s="7">
        <v>1.726853</v>
      </c>
      <c r="V245" s="7">
        <v>6.9692709999999991</v>
      </c>
      <c r="W245" s="7">
        <v>10.950234999999999</v>
      </c>
      <c r="X245" s="7">
        <v>0.75</v>
      </c>
      <c r="Y245" s="7">
        <v>1.5262861113588979</v>
      </c>
      <c r="Z245" s="7">
        <v>13.226521111358901</v>
      </c>
      <c r="AA245" s="7">
        <v>8.2583975169060672E-2</v>
      </c>
      <c r="AB245" s="7">
        <v>13.309105086527961</v>
      </c>
      <c r="AC245" s="7">
        <v>0</v>
      </c>
      <c r="AD245" s="7">
        <v>1.3974610000000001</v>
      </c>
      <c r="AE245" s="7">
        <v>0</v>
      </c>
      <c r="AF245" s="7">
        <v>0</v>
      </c>
      <c r="AG245" s="7">
        <v>14.70656608652796</v>
      </c>
      <c r="AH245" s="7">
        <v>0.64814799999999995</v>
      </c>
      <c r="AI245" s="7">
        <v>2.2120000000000001E-2</v>
      </c>
      <c r="AJ245" s="7">
        <v>0.43800899999999993</v>
      </c>
      <c r="AK245" s="7">
        <v>14.41738208652796</v>
      </c>
      <c r="AL245" s="7">
        <v>0</v>
      </c>
      <c r="AM245" s="7">
        <v>0</v>
      </c>
      <c r="AN245" s="7">
        <v>0</v>
      </c>
      <c r="AO245" s="7">
        <v>0</v>
      </c>
      <c r="AP245" s="7">
        <v>0</v>
      </c>
      <c r="AQ245" s="7">
        <v>14.41738208652796</v>
      </c>
      <c r="AR245" s="7">
        <v>17.87164596193448</v>
      </c>
      <c r="AS245" s="7">
        <v>4.645124850575586</v>
      </c>
      <c r="AT245" s="7">
        <v>4.5625408754065253</v>
      </c>
    </row>
    <row r="246" spans="1:46" x14ac:dyDescent="0.35">
      <c r="A246" s="5">
        <v>46022</v>
      </c>
      <c r="B246" s="4" t="s">
        <v>555</v>
      </c>
      <c r="C246" s="4" t="s">
        <v>556</v>
      </c>
      <c r="D246" s="4" t="s">
        <v>61</v>
      </c>
      <c r="E246" s="6">
        <v>66924.326700000005</v>
      </c>
      <c r="F246" s="6">
        <v>0</v>
      </c>
      <c r="G246" s="6">
        <v>66924.326700000005</v>
      </c>
      <c r="H246" s="6">
        <v>2.31</v>
      </c>
      <c r="I246" s="6">
        <v>28971.57</v>
      </c>
      <c r="J246" s="6">
        <v>0</v>
      </c>
      <c r="K246" s="6">
        <v>28971.57</v>
      </c>
      <c r="L246" s="6">
        <v>28971.57</v>
      </c>
      <c r="M246" s="7">
        <v>0.72678699999999996</v>
      </c>
      <c r="N246" s="7">
        <v>1.115928</v>
      </c>
      <c r="O246" s="7">
        <v>0.36055799999999999</v>
      </c>
      <c r="P246" s="7">
        <v>2.4743919999999999</v>
      </c>
      <c r="Q246" s="7">
        <v>4.6776650000000002</v>
      </c>
      <c r="R246" s="7">
        <v>0.25141999999999998</v>
      </c>
      <c r="S246" s="7">
        <v>0.82471899999999998</v>
      </c>
      <c r="T246" s="7">
        <v>1.58734</v>
      </c>
      <c r="U246" s="7">
        <v>3.3126479999999998</v>
      </c>
      <c r="V246" s="7">
        <v>5.976127</v>
      </c>
      <c r="W246" s="7">
        <v>10.653791999999999</v>
      </c>
      <c r="X246" s="7">
        <v>0.42568833191911237</v>
      </c>
      <c r="Y246" s="7">
        <v>1.709741009068253</v>
      </c>
      <c r="Z246" s="7">
        <v>12.789221340987369</v>
      </c>
      <c r="AA246" s="7">
        <v>2.2815785595115838</v>
      </c>
      <c r="AB246" s="7">
        <v>15.070799900498949</v>
      </c>
      <c r="AC246" s="7">
        <v>0</v>
      </c>
      <c r="AD246" s="7">
        <v>0.94295200000000001</v>
      </c>
      <c r="AE246" s="7">
        <v>0</v>
      </c>
      <c r="AF246" s="7">
        <v>0</v>
      </c>
      <c r="AG246" s="7">
        <v>16.013751900498949</v>
      </c>
      <c r="AH246" s="7">
        <v>0.470333</v>
      </c>
      <c r="AI246" s="7">
        <v>0</v>
      </c>
      <c r="AJ246" s="7">
        <v>0.61395900000000003</v>
      </c>
      <c r="AK246" s="7">
        <v>16.155091900498949</v>
      </c>
      <c r="AL246" s="7">
        <v>0</v>
      </c>
      <c r="AM246" s="7">
        <v>0</v>
      </c>
      <c r="AN246" s="7">
        <v>0</v>
      </c>
      <c r="AO246" s="7">
        <v>0</v>
      </c>
      <c r="AP246" s="7">
        <v>0</v>
      </c>
      <c r="AQ246" s="7">
        <v>16.155091900498949</v>
      </c>
      <c r="AR246" s="7">
        <v>30.933064604720151</v>
      </c>
      <c r="AS246" s="7">
        <v>18.14384326373278</v>
      </c>
      <c r="AT246" s="7">
        <v>15.8622647042212</v>
      </c>
    </row>
    <row r="247" spans="1:46" x14ac:dyDescent="0.35">
      <c r="A247" s="5">
        <v>46022</v>
      </c>
      <c r="B247" s="4" t="s">
        <v>557</v>
      </c>
      <c r="C247" s="4" t="s">
        <v>558</v>
      </c>
      <c r="D247" s="4" t="s">
        <v>61</v>
      </c>
      <c r="E247" s="6">
        <v>0</v>
      </c>
      <c r="F247" s="6">
        <v>0</v>
      </c>
      <c r="G247" s="6">
        <v>0</v>
      </c>
      <c r="H247" s="6">
        <v>0</v>
      </c>
      <c r="I247" s="6">
        <v>0</v>
      </c>
      <c r="J247" s="6">
        <v>65</v>
      </c>
      <c r="K247" s="6">
        <v>65</v>
      </c>
      <c r="L247" s="6">
        <v>65</v>
      </c>
      <c r="M247" s="7">
        <v>4.9330309999999997</v>
      </c>
      <c r="N247" s="7">
        <v>0.321158</v>
      </c>
      <c r="O247" s="7">
        <v>3.5764710000000002</v>
      </c>
      <c r="P247" s="7">
        <v>8.3998360000000005</v>
      </c>
      <c r="Q247" s="7">
        <v>17.230495999999999</v>
      </c>
      <c r="R247" s="7">
        <v>2.0634510000000001</v>
      </c>
      <c r="S247" s="7">
        <v>2.388144</v>
      </c>
      <c r="T247" s="7">
        <v>3.6793450000000001</v>
      </c>
      <c r="U247" s="7">
        <v>5.9062520000000003</v>
      </c>
      <c r="V247" s="7">
        <v>14.037191999999999</v>
      </c>
      <c r="W247" s="7">
        <v>31.267688</v>
      </c>
      <c r="X247" s="7">
        <v>0.91510825988461542</v>
      </c>
      <c r="Y247" s="7">
        <v>4.0907896170363438</v>
      </c>
      <c r="Z247" s="7">
        <v>36.273585876920961</v>
      </c>
      <c r="AA247" s="7">
        <v>3.4956363695509021</v>
      </c>
      <c r="AB247" s="7">
        <v>39.769222246471863</v>
      </c>
      <c r="AC247" s="7">
        <v>0</v>
      </c>
      <c r="AD247" s="7">
        <v>4.2649429999999997</v>
      </c>
      <c r="AE247" s="7">
        <v>0</v>
      </c>
      <c r="AF247" s="7">
        <v>0</v>
      </c>
      <c r="AG247" s="7">
        <v>44.034165246471858</v>
      </c>
      <c r="AH247" s="7">
        <v>4.1609889999999998</v>
      </c>
      <c r="AI247" s="7">
        <v>0</v>
      </c>
      <c r="AJ247" s="7">
        <v>1.2586919999999999</v>
      </c>
      <c r="AK247" s="7">
        <v>45.18890324647186</v>
      </c>
      <c r="AL247" s="7">
        <v>0</v>
      </c>
      <c r="AM247" s="7">
        <v>0</v>
      </c>
      <c r="AN247" s="7">
        <v>0</v>
      </c>
      <c r="AO247" s="7">
        <v>0</v>
      </c>
      <c r="AP247" s="7">
        <v>0</v>
      </c>
      <c r="AQ247" s="7">
        <v>45.18890324647186</v>
      </c>
      <c r="AR247" s="7">
        <v>81.417625137990697</v>
      </c>
      <c r="AS247" s="7">
        <v>45.144039261069743</v>
      </c>
      <c r="AT247" s="7">
        <v>41.648402891518842</v>
      </c>
    </row>
    <row r="248" spans="1:46" x14ac:dyDescent="0.35">
      <c r="A248" s="5">
        <v>46022</v>
      </c>
      <c r="B248" s="4" t="s">
        <v>559</v>
      </c>
      <c r="C248" s="4" t="s">
        <v>560</v>
      </c>
      <c r="D248" s="4" t="s">
        <v>61</v>
      </c>
      <c r="E248" s="6">
        <v>0</v>
      </c>
      <c r="F248" s="6">
        <v>0</v>
      </c>
      <c r="G248" s="6">
        <v>0</v>
      </c>
      <c r="H248" s="6">
        <v>0</v>
      </c>
      <c r="I248" s="6">
        <v>0</v>
      </c>
      <c r="J248" s="6">
        <v>83.56</v>
      </c>
      <c r="K248" s="6">
        <v>83.56</v>
      </c>
      <c r="L248" s="6">
        <v>83.56</v>
      </c>
      <c r="M248" s="7">
        <v>4.3867589999999996</v>
      </c>
      <c r="N248" s="7">
        <v>0</v>
      </c>
      <c r="O248" s="7">
        <v>1.813526</v>
      </c>
      <c r="P248" s="7">
        <v>6.436083</v>
      </c>
      <c r="Q248" s="7">
        <v>12.636367999999999</v>
      </c>
      <c r="R248" s="7">
        <v>2.2643279999999999</v>
      </c>
      <c r="S248" s="7">
        <v>1.1890149999999999</v>
      </c>
      <c r="T248" s="7">
        <v>3.0884900000000002</v>
      </c>
      <c r="U248" s="7">
        <v>1.8771770000000001</v>
      </c>
      <c r="V248" s="7">
        <v>8.4190100000000001</v>
      </c>
      <c r="W248" s="7">
        <v>21.055378000000001</v>
      </c>
      <c r="X248" s="7">
        <v>0.682035574193394</v>
      </c>
      <c r="Y248" s="7">
        <v>4.0132892147535681</v>
      </c>
      <c r="Z248" s="7">
        <v>25.75070278894696</v>
      </c>
      <c r="AA248" s="7">
        <v>3.7731105949692392</v>
      </c>
      <c r="AB248" s="7">
        <v>29.523813383916199</v>
      </c>
      <c r="AC248" s="7">
        <v>0</v>
      </c>
      <c r="AD248" s="7">
        <v>0.68553799999999998</v>
      </c>
      <c r="AE248" s="7">
        <v>0</v>
      </c>
      <c r="AF248" s="7">
        <v>0</v>
      </c>
      <c r="AG248" s="7">
        <v>30.2093513839162</v>
      </c>
      <c r="AH248" s="7">
        <v>0.51415299999999997</v>
      </c>
      <c r="AI248" s="7">
        <v>0</v>
      </c>
      <c r="AJ248" s="7">
        <v>1.1968810000000001</v>
      </c>
      <c r="AK248" s="7">
        <v>31.2348473839162</v>
      </c>
      <c r="AL248" s="7">
        <v>0</v>
      </c>
      <c r="AM248" s="7">
        <v>0</v>
      </c>
      <c r="AN248" s="7">
        <v>0</v>
      </c>
      <c r="AO248" s="7">
        <v>0</v>
      </c>
      <c r="AP248" s="7">
        <v>0</v>
      </c>
      <c r="AQ248" s="7">
        <v>31.2348473839162</v>
      </c>
      <c r="AR248" s="7">
        <v>77.645270526193883</v>
      </c>
      <c r="AS248" s="7">
        <v>51.894567737246909</v>
      </c>
      <c r="AT248" s="7">
        <v>48.12145714227767</v>
      </c>
    </row>
    <row r="249" spans="1:46" x14ac:dyDescent="0.35">
      <c r="A249" s="5">
        <v>46022</v>
      </c>
      <c r="B249" s="4" t="s">
        <v>561</v>
      </c>
      <c r="C249" s="4" t="s">
        <v>562</v>
      </c>
      <c r="D249" s="4" t="s">
        <v>61</v>
      </c>
      <c r="E249" s="6">
        <v>24374.461414000001</v>
      </c>
      <c r="F249" s="6">
        <v>0</v>
      </c>
      <c r="G249" s="6">
        <v>24374.461414000001</v>
      </c>
      <c r="H249" s="6">
        <v>3.8999139999999999</v>
      </c>
      <c r="I249" s="6">
        <v>6250</v>
      </c>
      <c r="J249" s="6">
        <v>0</v>
      </c>
      <c r="K249" s="6">
        <v>6250</v>
      </c>
      <c r="L249" s="6">
        <v>6250</v>
      </c>
      <c r="M249" s="7">
        <v>1.689843</v>
      </c>
      <c r="N249" s="7">
        <v>0.46589199999999997</v>
      </c>
      <c r="O249" s="7">
        <v>0.30693399999999998</v>
      </c>
      <c r="P249" s="7">
        <v>1.6155090000000001</v>
      </c>
      <c r="Q249" s="7">
        <v>4.0781780000000003</v>
      </c>
      <c r="R249" s="7">
        <v>0.63563099999999995</v>
      </c>
      <c r="S249" s="7">
        <v>1.002208</v>
      </c>
      <c r="T249" s="7">
        <v>2.5224060000000001</v>
      </c>
      <c r="U249" s="7">
        <v>1.8310150000000001</v>
      </c>
      <c r="V249" s="7">
        <v>5.9912599999999996</v>
      </c>
      <c r="W249" s="7">
        <v>10.069438</v>
      </c>
      <c r="X249" s="7">
        <v>0.405881638881264</v>
      </c>
      <c r="Y249" s="7">
        <v>1.823909272728744</v>
      </c>
      <c r="Z249" s="7">
        <v>12.29922891161001</v>
      </c>
      <c r="AA249" s="7">
        <v>1.2948102004393449</v>
      </c>
      <c r="AB249" s="7">
        <v>13.59403911204935</v>
      </c>
      <c r="AC249" s="7">
        <v>0</v>
      </c>
      <c r="AD249" s="7">
        <v>0.70239499999999999</v>
      </c>
      <c r="AE249" s="7">
        <v>0</v>
      </c>
      <c r="AF249" s="7">
        <v>0</v>
      </c>
      <c r="AG249" s="7">
        <v>14.296434112049351</v>
      </c>
      <c r="AH249" s="7">
        <v>0.70239499999999999</v>
      </c>
      <c r="AI249" s="7">
        <v>0</v>
      </c>
      <c r="AJ249" s="7">
        <v>0.84287400000000001</v>
      </c>
      <c r="AK249" s="7">
        <v>15.139308112049349</v>
      </c>
      <c r="AL249" s="7">
        <v>20.386586999999999</v>
      </c>
      <c r="AM249" s="7">
        <v>0</v>
      </c>
      <c r="AN249" s="7">
        <v>0</v>
      </c>
      <c r="AO249" s="7">
        <v>0</v>
      </c>
      <c r="AP249" s="7">
        <v>0</v>
      </c>
      <c r="AQ249" s="7">
        <v>35.525895112049348</v>
      </c>
      <c r="AR249" s="7">
        <v>32.974044029872687</v>
      </c>
      <c r="AS249" s="7">
        <v>20.674815118262689</v>
      </c>
      <c r="AT249" s="7">
        <v>19.380004917823339</v>
      </c>
    </row>
    <row r="250" spans="1:46" x14ac:dyDescent="0.35">
      <c r="A250" s="5">
        <v>46022</v>
      </c>
      <c r="B250" s="4" t="s">
        <v>563</v>
      </c>
      <c r="C250" s="4" t="s">
        <v>564</v>
      </c>
      <c r="D250" s="4" t="s">
        <v>61</v>
      </c>
      <c r="E250" s="6">
        <v>232.65</v>
      </c>
      <c r="F250" s="6">
        <v>0</v>
      </c>
      <c r="G250" s="6">
        <v>232.65</v>
      </c>
      <c r="H250" s="6">
        <v>3</v>
      </c>
      <c r="I250" s="6">
        <v>77.55</v>
      </c>
      <c r="J250" s="6">
        <v>0</v>
      </c>
      <c r="K250" s="6">
        <v>77.55</v>
      </c>
      <c r="L250" s="6">
        <v>77.55</v>
      </c>
      <c r="M250" s="7">
        <v>2.7768470000000001</v>
      </c>
      <c r="N250" s="7">
        <v>9.8976050000000004</v>
      </c>
      <c r="O250" s="7">
        <v>0.495502</v>
      </c>
      <c r="P250" s="7">
        <v>7.5135899999999998</v>
      </c>
      <c r="Q250" s="7">
        <v>20.683544000000001</v>
      </c>
      <c r="R250" s="7">
        <v>2.2342900000000001</v>
      </c>
      <c r="S250" s="7">
        <v>0.61167199999999999</v>
      </c>
      <c r="T250" s="7">
        <v>3.0061309999999999</v>
      </c>
      <c r="U250" s="7">
        <v>4.821536</v>
      </c>
      <c r="V250" s="7">
        <v>10.673629</v>
      </c>
      <c r="W250" s="7">
        <v>31.357173</v>
      </c>
      <c r="X250" s="7">
        <v>0.86223150782591884</v>
      </c>
      <c r="Y250" s="7">
        <v>2.2676886974890151</v>
      </c>
      <c r="Z250" s="7">
        <v>34.487093205314928</v>
      </c>
      <c r="AA250" s="7">
        <v>6.4886629125764799</v>
      </c>
      <c r="AB250" s="7">
        <v>40.975756117891407</v>
      </c>
      <c r="AC250" s="7">
        <v>0</v>
      </c>
      <c r="AD250" s="7">
        <v>0.82882599999999995</v>
      </c>
      <c r="AE250" s="7">
        <v>0</v>
      </c>
      <c r="AF250" s="7">
        <v>0</v>
      </c>
      <c r="AG250" s="7">
        <v>41.804582117891407</v>
      </c>
      <c r="AH250" s="7">
        <v>3.0062509999999998</v>
      </c>
      <c r="AI250" s="7">
        <v>0</v>
      </c>
      <c r="AJ250" s="7">
        <v>0.82882599999999995</v>
      </c>
      <c r="AK250" s="7">
        <v>44.810833117891413</v>
      </c>
      <c r="AL250" s="7">
        <v>0</v>
      </c>
      <c r="AM250" s="7">
        <v>0</v>
      </c>
      <c r="AN250" s="7">
        <v>0</v>
      </c>
      <c r="AO250" s="7">
        <v>0</v>
      </c>
      <c r="AP250" s="7">
        <v>0</v>
      </c>
      <c r="AQ250" s="7">
        <v>44.810833117891413</v>
      </c>
      <c r="AR250" s="7">
        <v>47.663324611495568</v>
      </c>
      <c r="AS250" s="7">
        <v>13.17623140618063</v>
      </c>
      <c r="AT250" s="7">
        <v>6.6875684936041537</v>
      </c>
    </row>
    <row r="251" spans="1:46" x14ac:dyDescent="0.35">
      <c r="A251" s="5">
        <v>46022</v>
      </c>
      <c r="B251" s="4" t="s">
        <v>565</v>
      </c>
      <c r="C251" s="4" t="s">
        <v>566</v>
      </c>
      <c r="D251" s="4" t="s">
        <v>61</v>
      </c>
      <c r="E251" s="6">
        <v>0</v>
      </c>
      <c r="F251" s="6">
        <v>0</v>
      </c>
      <c r="G251" s="6">
        <v>0</v>
      </c>
      <c r="H251" s="6">
        <v>0</v>
      </c>
      <c r="I251" s="6">
        <v>0</v>
      </c>
      <c r="J251" s="6">
        <v>1000</v>
      </c>
      <c r="K251" s="6">
        <v>1000</v>
      </c>
      <c r="L251" s="6">
        <v>1000</v>
      </c>
      <c r="M251" s="7">
        <v>3.2994859999999999</v>
      </c>
      <c r="N251" s="7">
        <v>2.8019790000000002</v>
      </c>
      <c r="O251" s="7">
        <v>2.4837600000000002</v>
      </c>
      <c r="P251" s="7">
        <v>10.668882999999999</v>
      </c>
      <c r="Q251" s="7">
        <v>19.254107999999999</v>
      </c>
      <c r="R251" s="7">
        <v>0.46531899999999998</v>
      </c>
      <c r="S251" s="7">
        <v>1.909859</v>
      </c>
      <c r="T251" s="7">
        <v>4.6414049999999998</v>
      </c>
      <c r="U251" s="7">
        <v>8.5571599999999997</v>
      </c>
      <c r="V251" s="7">
        <v>15.573743</v>
      </c>
      <c r="W251" s="7">
        <v>34.827851000000003</v>
      </c>
      <c r="X251" s="7">
        <v>0.49922943079620002</v>
      </c>
      <c r="Y251" s="7">
        <v>5.4644290450972912</v>
      </c>
      <c r="Z251" s="7">
        <v>40.791509475893491</v>
      </c>
      <c r="AA251" s="7">
        <v>5.9436535035231461</v>
      </c>
      <c r="AB251" s="7">
        <v>46.735162979416643</v>
      </c>
      <c r="AC251" s="7">
        <v>0</v>
      </c>
      <c r="AD251" s="7">
        <v>6.4302330000000003</v>
      </c>
      <c r="AE251" s="7">
        <v>0</v>
      </c>
      <c r="AF251" s="7">
        <v>0</v>
      </c>
      <c r="AG251" s="7">
        <v>53.165395979416637</v>
      </c>
      <c r="AH251" s="7">
        <v>8.1924880000000009</v>
      </c>
      <c r="AI251" s="7">
        <v>0</v>
      </c>
      <c r="AJ251" s="7">
        <v>12.719593</v>
      </c>
      <c r="AK251" s="7">
        <v>67.647243979416643</v>
      </c>
      <c r="AL251" s="7">
        <v>0</v>
      </c>
      <c r="AM251" s="7">
        <v>0</v>
      </c>
      <c r="AN251" s="7">
        <v>0</v>
      </c>
      <c r="AO251" s="7">
        <v>0</v>
      </c>
      <c r="AP251" s="7">
        <v>0</v>
      </c>
      <c r="AQ251" s="7">
        <v>67.647243979416643</v>
      </c>
      <c r="AR251" s="7">
        <v>84.316757682135403</v>
      </c>
      <c r="AS251" s="7">
        <v>43.525248206241912</v>
      </c>
      <c r="AT251" s="7">
        <v>37.581594702718768</v>
      </c>
    </row>
    <row r="252" spans="1:46" x14ac:dyDescent="0.35">
      <c r="A252" s="5">
        <v>46022</v>
      </c>
      <c r="B252" s="4" t="s">
        <v>567</v>
      </c>
      <c r="C252" s="4" t="s">
        <v>568</v>
      </c>
      <c r="D252" s="4" t="s">
        <v>61</v>
      </c>
      <c r="E252" s="6">
        <v>0</v>
      </c>
      <c r="F252" s="6">
        <v>0</v>
      </c>
      <c r="G252" s="6">
        <v>0</v>
      </c>
      <c r="H252" s="6">
        <v>0</v>
      </c>
      <c r="I252" s="6">
        <v>0</v>
      </c>
      <c r="J252" s="6">
        <v>500</v>
      </c>
      <c r="K252" s="6">
        <v>500</v>
      </c>
      <c r="L252" s="6">
        <v>500</v>
      </c>
      <c r="M252" s="7">
        <v>10.385887</v>
      </c>
      <c r="N252" s="7">
        <v>1.9279440000000001</v>
      </c>
      <c r="O252" s="7">
        <v>5.7325689999999998</v>
      </c>
      <c r="P252" s="7">
        <v>5.3337260000000013</v>
      </c>
      <c r="Q252" s="7">
        <v>23.380126000000001</v>
      </c>
      <c r="R252" s="7">
        <v>4.6544920000000003</v>
      </c>
      <c r="S252" s="7">
        <v>0.89856000000000003</v>
      </c>
      <c r="T252" s="7">
        <v>4.2212569999999996</v>
      </c>
      <c r="U252" s="7">
        <v>2.9678339999999999</v>
      </c>
      <c r="V252" s="7">
        <v>12.742143</v>
      </c>
      <c r="W252" s="7">
        <v>36.122269000000003</v>
      </c>
      <c r="X252" s="7">
        <v>0.901240385122</v>
      </c>
      <c r="Y252" s="7">
        <v>1.71860778707698</v>
      </c>
      <c r="Z252" s="7">
        <v>38.742117172198981</v>
      </c>
      <c r="AA252" s="7">
        <v>2.6993299314122559</v>
      </c>
      <c r="AB252" s="7">
        <v>41.441447103611239</v>
      </c>
      <c r="AC252" s="7">
        <v>0</v>
      </c>
      <c r="AD252" s="7">
        <v>5.9329700000000001</v>
      </c>
      <c r="AE252" s="7">
        <v>0</v>
      </c>
      <c r="AF252" s="7">
        <v>0</v>
      </c>
      <c r="AG252" s="7">
        <v>47.374417103611243</v>
      </c>
      <c r="AH252" s="7">
        <v>0.89891799999999999</v>
      </c>
      <c r="AI252" s="7">
        <v>0</v>
      </c>
      <c r="AJ252" s="7">
        <v>2.3320639999999999</v>
      </c>
      <c r="AK252" s="7">
        <v>44.672429103611243</v>
      </c>
      <c r="AL252" s="7">
        <v>0</v>
      </c>
      <c r="AM252" s="7">
        <v>0</v>
      </c>
      <c r="AN252" s="7">
        <v>0</v>
      </c>
      <c r="AO252" s="7">
        <v>0</v>
      </c>
      <c r="AP252" s="7">
        <v>0</v>
      </c>
      <c r="AQ252" s="7">
        <v>44.672429103611243</v>
      </c>
      <c r="AR252" s="7">
        <v>67.482826753201223</v>
      </c>
      <c r="AS252" s="7">
        <v>28.74070958100225</v>
      </c>
      <c r="AT252" s="7">
        <v>26.041379649589999</v>
      </c>
    </row>
    <row r="253" spans="1:46" x14ac:dyDescent="0.35">
      <c r="A253" s="5">
        <v>46022</v>
      </c>
      <c r="B253" s="4" t="s">
        <v>569</v>
      </c>
      <c r="C253" s="4" t="s">
        <v>570</v>
      </c>
      <c r="D253" s="4" t="s">
        <v>61</v>
      </c>
      <c r="E253" s="6">
        <v>0</v>
      </c>
      <c r="F253" s="6">
        <v>0</v>
      </c>
      <c r="G253" s="6">
        <v>0</v>
      </c>
      <c r="H253" s="6">
        <v>0</v>
      </c>
      <c r="I253" s="6">
        <v>0</v>
      </c>
      <c r="J253" s="6">
        <v>140</v>
      </c>
      <c r="K253" s="6">
        <v>140</v>
      </c>
      <c r="L253" s="6">
        <v>140</v>
      </c>
      <c r="M253" s="7">
        <v>13.661697999999999</v>
      </c>
      <c r="N253" s="7">
        <v>0.48926700000000001</v>
      </c>
      <c r="O253" s="7">
        <v>3.898339</v>
      </c>
      <c r="P253" s="7">
        <v>4.4969970000000004</v>
      </c>
      <c r="Q253" s="7">
        <v>22.546301</v>
      </c>
      <c r="R253" s="7">
        <v>7.125292</v>
      </c>
      <c r="S253" s="7">
        <v>0.64663899999999996</v>
      </c>
      <c r="T253" s="7">
        <v>2.671808</v>
      </c>
      <c r="U253" s="7">
        <v>4.7676990000000004</v>
      </c>
      <c r="V253" s="7">
        <v>15.211437999999999</v>
      </c>
      <c r="W253" s="7">
        <v>37.757739000000001</v>
      </c>
      <c r="X253" s="7">
        <v>0.30793889375571432</v>
      </c>
      <c r="Y253" s="7">
        <v>2.7427874959788872</v>
      </c>
      <c r="Z253" s="7">
        <v>40.8084653897346</v>
      </c>
      <c r="AA253" s="7">
        <v>4.3362931787012213</v>
      </c>
      <c r="AB253" s="7">
        <v>45.144758568435819</v>
      </c>
      <c r="AC253" s="7">
        <v>0</v>
      </c>
      <c r="AD253" s="7">
        <v>0.28095799999999999</v>
      </c>
      <c r="AE253" s="7">
        <v>0</v>
      </c>
      <c r="AF253" s="7">
        <v>0</v>
      </c>
      <c r="AG253" s="7">
        <v>45.425716568435817</v>
      </c>
      <c r="AH253" s="7">
        <v>1.74194</v>
      </c>
      <c r="AI253" s="7">
        <v>0</v>
      </c>
      <c r="AJ253" s="7">
        <v>1.2081200000000001</v>
      </c>
      <c r="AK253" s="7">
        <v>48.094818568435819</v>
      </c>
      <c r="AL253" s="7">
        <v>0</v>
      </c>
      <c r="AM253" s="7">
        <v>0</v>
      </c>
      <c r="AN253" s="7">
        <v>0</v>
      </c>
      <c r="AO253" s="7">
        <v>0</v>
      </c>
      <c r="AP253" s="7">
        <v>0</v>
      </c>
      <c r="AQ253" s="7">
        <v>48.094818568435819</v>
      </c>
      <c r="AR253" s="7">
        <v>47.474340148602927</v>
      </c>
      <c r="AS253" s="7">
        <v>6.6658747588683287</v>
      </c>
      <c r="AT253" s="7">
        <v>2.3295815801671078</v>
      </c>
    </row>
    <row r="254" spans="1:46" x14ac:dyDescent="0.35">
      <c r="A254" s="5">
        <v>46022</v>
      </c>
      <c r="B254" s="4" t="s">
        <v>571</v>
      </c>
      <c r="C254" s="4" t="s">
        <v>572</v>
      </c>
      <c r="D254" s="4" t="s">
        <v>61</v>
      </c>
      <c r="E254" s="6">
        <v>0</v>
      </c>
      <c r="F254" s="6">
        <v>0</v>
      </c>
      <c r="G254" s="6">
        <v>0</v>
      </c>
      <c r="H254" s="6">
        <v>0</v>
      </c>
      <c r="I254" s="6">
        <v>0</v>
      </c>
      <c r="J254" s="6">
        <v>167.65</v>
      </c>
      <c r="K254" s="6">
        <v>167.65</v>
      </c>
      <c r="L254" s="6">
        <v>167.65</v>
      </c>
      <c r="M254" s="7">
        <v>4.4588049999999999</v>
      </c>
      <c r="N254" s="7">
        <v>0.65230999999999995</v>
      </c>
      <c r="O254" s="7">
        <v>2.9050189999999998</v>
      </c>
      <c r="P254" s="7">
        <v>3.3106909999999998</v>
      </c>
      <c r="Q254" s="7">
        <v>11.326824999999999</v>
      </c>
      <c r="R254" s="7">
        <v>1.458172</v>
      </c>
      <c r="S254" s="7">
        <v>1.2097770000000001</v>
      </c>
      <c r="T254" s="7">
        <v>3.7197469999999999</v>
      </c>
      <c r="U254" s="7">
        <v>4.3125910000000003</v>
      </c>
      <c r="V254" s="7">
        <v>10.700286999999999</v>
      </c>
      <c r="W254" s="7">
        <v>22.027111999999999</v>
      </c>
      <c r="X254" s="7">
        <v>0.32386303608708622</v>
      </c>
      <c r="Y254" s="7">
        <v>2.0132112604212051</v>
      </c>
      <c r="Z254" s="7">
        <v>24.36418629650829</v>
      </c>
      <c r="AA254" s="7">
        <v>4.7565702114485813</v>
      </c>
      <c r="AB254" s="7">
        <v>29.12075650795687</v>
      </c>
      <c r="AC254" s="7">
        <v>0</v>
      </c>
      <c r="AD254" s="7">
        <v>0.45234200000000002</v>
      </c>
      <c r="AE254" s="7">
        <v>0</v>
      </c>
      <c r="AF254" s="7">
        <v>0</v>
      </c>
      <c r="AG254" s="7">
        <v>29.573098507956871</v>
      </c>
      <c r="AH254" s="7">
        <v>2.7266979999999998</v>
      </c>
      <c r="AI254" s="7">
        <v>0</v>
      </c>
      <c r="AJ254" s="7">
        <v>1.4286719999999999</v>
      </c>
      <c r="AK254" s="7">
        <v>33.276126507956867</v>
      </c>
      <c r="AL254" s="7">
        <v>0</v>
      </c>
      <c r="AM254" s="7">
        <v>0</v>
      </c>
      <c r="AN254" s="7">
        <v>0</v>
      </c>
      <c r="AO254" s="7">
        <v>0</v>
      </c>
      <c r="AP254" s="7">
        <v>0</v>
      </c>
      <c r="AQ254" s="7">
        <v>33.276126507956867</v>
      </c>
      <c r="AR254" s="7">
        <v>37.49045964371166</v>
      </c>
      <c r="AS254" s="7">
        <v>13.126273347203369</v>
      </c>
      <c r="AT254" s="7">
        <v>8.36970313575479</v>
      </c>
    </row>
    <row r="255" spans="1:46" x14ac:dyDescent="0.35">
      <c r="A255" s="5">
        <v>46022</v>
      </c>
      <c r="B255" s="4" t="s">
        <v>573</v>
      </c>
      <c r="C255" s="4" t="s">
        <v>574</v>
      </c>
      <c r="D255" s="4" t="s">
        <v>533</v>
      </c>
      <c r="E255" s="6">
        <v>0</v>
      </c>
      <c r="F255" s="6">
        <v>0</v>
      </c>
      <c r="G255" s="6">
        <v>0</v>
      </c>
      <c r="H255" s="6">
        <v>0</v>
      </c>
      <c r="I255" s="6">
        <v>0</v>
      </c>
      <c r="J255" s="6">
        <v>7560</v>
      </c>
      <c r="K255" s="6">
        <v>7560</v>
      </c>
      <c r="L255" s="6">
        <v>7560</v>
      </c>
      <c r="M255" s="7">
        <v>10.507244999999999</v>
      </c>
      <c r="N255" s="7">
        <v>0.48755599999999999</v>
      </c>
      <c r="O255" s="7">
        <v>0.58813700000000002</v>
      </c>
      <c r="P255" s="7">
        <v>34.178694</v>
      </c>
      <c r="Q255" s="7">
        <v>45.761631999999999</v>
      </c>
      <c r="R255" s="7">
        <v>3.0943320000000001</v>
      </c>
      <c r="S255" s="7">
        <v>0.66054900000000005</v>
      </c>
      <c r="T255" s="7">
        <v>4.6249880000000001</v>
      </c>
      <c r="U255" s="7">
        <v>5.9076680000000001</v>
      </c>
      <c r="V255" s="7">
        <v>14.287537</v>
      </c>
      <c r="W255" s="7">
        <v>60.049168999999999</v>
      </c>
      <c r="X255" s="7">
        <v>0</v>
      </c>
      <c r="Y255" s="7">
        <v>14.516270165387841</v>
      </c>
      <c r="Z255" s="7">
        <v>74.565439165387843</v>
      </c>
      <c r="AA255" s="7">
        <v>4.0532799633628773</v>
      </c>
      <c r="AB255" s="7">
        <v>78.618719128750726</v>
      </c>
      <c r="AC255" s="7">
        <v>0</v>
      </c>
      <c r="AD255" s="7">
        <v>24.135255000000001</v>
      </c>
      <c r="AE255" s="7">
        <v>0</v>
      </c>
      <c r="AF255" s="7">
        <v>0</v>
      </c>
      <c r="AG255" s="7">
        <v>102.7539741287507</v>
      </c>
      <c r="AH255" s="7">
        <v>6.0363199999999999</v>
      </c>
      <c r="AI255" s="7">
        <v>0</v>
      </c>
      <c r="AJ255" s="7">
        <v>16.203382999999999</v>
      </c>
      <c r="AK255" s="7">
        <v>100.8584221287507</v>
      </c>
      <c r="AL255" s="7">
        <v>13.227513</v>
      </c>
      <c r="AM255" s="7">
        <v>0</v>
      </c>
      <c r="AN255" s="7">
        <v>0</v>
      </c>
      <c r="AO255" s="7">
        <v>0</v>
      </c>
      <c r="AP255" s="7">
        <v>0</v>
      </c>
      <c r="AQ255" s="7">
        <v>114.08593512875071</v>
      </c>
      <c r="AR255" s="7">
        <v>123.222615564905</v>
      </c>
      <c r="AS255" s="7">
        <v>48.65717639951712</v>
      </c>
      <c r="AT255" s="7">
        <v>44.603896436154237</v>
      </c>
    </row>
    <row r="256" spans="1:46" x14ac:dyDescent="0.35">
      <c r="A256" s="5">
        <v>46022</v>
      </c>
      <c r="B256" s="4" t="s">
        <v>575</v>
      </c>
      <c r="C256" s="4" t="s">
        <v>576</v>
      </c>
      <c r="D256" s="4" t="s">
        <v>58</v>
      </c>
      <c r="E256" s="6">
        <v>8510.392237</v>
      </c>
      <c r="F256" s="6">
        <v>0</v>
      </c>
      <c r="G256" s="6">
        <v>8510.392237</v>
      </c>
      <c r="H256" s="6">
        <v>0.16686999999999999</v>
      </c>
      <c r="I256" s="6">
        <v>51000</v>
      </c>
      <c r="J256" s="6">
        <v>0</v>
      </c>
      <c r="K256" s="6">
        <v>51000</v>
      </c>
      <c r="L256" s="6">
        <v>51000</v>
      </c>
      <c r="M256" s="7">
        <v>1.264699</v>
      </c>
      <c r="N256" s="7">
        <v>0.13829900000000001</v>
      </c>
      <c r="O256" s="7">
        <v>5.9192000000000008E-2</v>
      </c>
      <c r="P256" s="7">
        <v>0.513957</v>
      </c>
      <c r="Q256" s="7">
        <v>1.9761470000000001</v>
      </c>
      <c r="R256" s="7">
        <v>0.61946299999999999</v>
      </c>
      <c r="S256" s="7">
        <v>0.22500000000000001</v>
      </c>
      <c r="T256" s="7">
        <v>0.72775400000000012</v>
      </c>
      <c r="U256" s="7">
        <v>0.12718099999999999</v>
      </c>
      <c r="V256" s="7">
        <v>1.699398</v>
      </c>
      <c r="W256" s="7">
        <v>3.6755450000000001</v>
      </c>
      <c r="X256" s="7">
        <v>0.110334431372549</v>
      </c>
      <c r="Y256" s="7">
        <v>0</v>
      </c>
      <c r="Z256" s="7">
        <v>3.7858794313725488</v>
      </c>
      <c r="AA256" s="7">
        <v>0.18109291685002649</v>
      </c>
      <c r="AB256" s="7">
        <v>3.9669723482225758</v>
      </c>
      <c r="AC256" s="7">
        <v>0</v>
      </c>
      <c r="AD256" s="7">
        <v>5.1820370000000011</v>
      </c>
      <c r="AE256" s="7">
        <v>0</v>
      </c>
      <c r="AF256" s="7">
        <v>0</v>
      </c>
      <c r="AG256" s="7">
        <v>9.1490093482225756</v>
      </c>
      <c r="AH256" s="7">
        <v>0.10642</v>
      </c>
      <c r="AI256" s="7">
        <v>0</v>
      </c>
      <c r="AJ256" s="7">
        <v>4.6078429999999999</v>
      </c>
      <c r="AK256" s="7">
        <v>8.6812353482225753</v>
      </c>
      <c r="AL256" s="7">
        <v>0</v>
      </c>
      <c r="AM256" s="7">
        <v>0</v>
      </c>
      <c r="AN256" s="7">
        <v>0</v>
      </c>
      <c r="AO256" s="7">
        <v>0</v>
      </c>
      <c r="AP256" s="7">
        <v>0</v>
      </c>
      <c r="AQ256" s="7">
        <v>8.6812353482225753</v>
      </c>
      <c r="AR256" s="7">
        <v>12.770403618313511</v>
      </c>
      <c r="AS256" s="7">
        <v>8.9845241869409573</v>
      </c>
      <c r="AT256" s="7">
        <v>8.8034312700909307</v>
      </c>
    </row>
    <row r="257" spans="1:46" x14ac:dyDescent="0.35">
      <c r="A257" s="5">
        <v>46022</v>
      </c>
      <c r="B257" s="4" t="s">
        <v>577</v>
      </c>
      <c r="C257" s="4" t="s">
        <v>578</v>
      </c>
      <c r="D257" s="4" t="s">
        <v>213</v>
      </c>
      <c r="E257" s="6">
        <v>5678.9372270000003</v>
      </c>
      <c r="F257" s="6">
        <v>0</v>
      </c>
      <c r="G257" s="6">
        <v>5678.9372270000003</v>
      </c>
      <c r="H257" s="6">
        <v>3.5</v>
      </c>
      <c r="I257" s="6">
        <v>1622.553494</v>
      </c>
      <c r="J257" s="6">
        <v>0</v>
      </c>
      <c r="K257" s="6">
        <v>1622.553494</v>
      </c>
      <c r="L257" s="6">
        <v>1622.553494</v>
      </c>
      <c r="M257" s="7">
        <v>16.987341000000001</v>
      </c>
      <c r="N257" s="7">
        <v>15.310162</v>
      </c>
      <c r="O257" s="7">
        <v>0.34775699999999998</v>
      </c>
      <c r="P257" s="7">
        <v>5.1255470000000001</v>
      </c>
      <c r="Q257" s="7">
        <v>37.770806999999998</v>
      </c>
      <c r="R257" s="7">
        <v>9.2142429999999997</v>
      </c>
      <c r="S257" s="7">
        <v>21.19</v>
      </c>
      <c r="T257" s="7">
        <v>14.487705999999999</v>
      </c>
      <c r="U257" s="7">
        <v>3.300421</v>
      </c>
      <c r="V257" s="7">
        <v>48.192369999999997</v>
      </c>
      <c r="W257" s="7">
        <v>85.963177000000016</v>
      </c>
      <c r="X257" s="7">
        <v>2.106578430011381</v>
      </c>
      <c r="Y257" s="7">
        <v>0</v>
      </c>
      <c r="Z257" s="7">
        <v>88.069755430011384</v>
      </c>
      <c r="AA257" s="7">
        <v>4.5653455713222932</v>
      </c>
      <c r="AB257" s="7">
        <v>92.63510100133368</v>
      </c>
      <c r="AC257" s="7">
        <v>0.64472399999999996</v>
      </c>
      <c r="AD257" s="7">
        <v>4.6279950000000012</v>
      </c>
      <c r="AE257" s="7">
        <v>0</v>
      </c>
      <c r="AF257" s="7">
        <v>0</v>
      </c>
      <c r="AG257" s="7">
        <v>97.907820001333675</v>
      </c>
      <c r="AH257" s="7">
        <v>6.7826329999999997</v>
      </c>
      <c r="AI257" s="7">
        <v>0</v>
      </c>
      <c r="AJ257" s="7">
        <v>0.97514800000000013</v>
      </c>
      <c r="AK257" s="7">
        <v>101.0376060013337</v>
      </c>
      <c r="AL257" s="7">
        <v>0</v>
      </c>
      <c r="AM257" s="7">
        <v>0</v>
      </c>
      <c r="AN257" s="7">
        <v>0</v>
      </c>
      <c r="AO257" s="7">
        <v>0</v>
      </c>
      <c r="AP257" s="7">
        <v>0</v>
      </c>
      <c r="AQ257" s="7">
        <v>101.0376060013337</v>
      </c>
      <c r="AR257" s="7">
        <v>182.6141826594224</v>
      </c>
      <c r="AS257" s="7">
        <v>94.544427229411014</v>
      </c>
      <c r="AT257" s="7">
        <v>89.979081658088717</v>
      </c>
    </row>
    <row r="258" spans="1:46" x14ac:dyDescent="0.35">
      <c r="A258" s="5">
        <v>46022</v>
      </c>
      <c r="B258" s="4" t="s">
        <v>579</v>
      </c>
      <c r="C258" s="4" t="s">
        <v>580</v>
      </c>
      <c r="D258" s="4" t="s">
        <v>58</v>
      </c>
      <c r="E258" s="6">
        <v>0</v>
      </c>
      <c r="F258" s="6">
        <v>0</v>
      </c>
      <c r="G258" s="6">
        <v>0</v>
      </c>
      <c r="H258" s="6">
        <v>0</v>
      </c>
      <c r="I258" s="6">
        <v>0</v>
      </c>
      <c r="J258" s="6">
        <v>0</v>
      </c>
      <c r="K258" s="6">
        <v>0</v>
      </c>
      <c r="L258" s="6">
        <v>8592</v>
      </c>
      <c r="M258" s="7">
        <v>0</v>
      </c>
      <c r="N258" s="7">
        <v>0</v>
      </c>
      <c r="O258" s="7">
        <v>0</v>
      </c>
      <c r="P258" s="7">
        <v>0</v>
      </c>
      <c r="Q258" s="7">
        <v>0</v>
      </c>
      <c r="R258" s="7">
        <v>2.4603809999999999</v>
      </c>
      <c r="S258" s="7">
        <v>5.3959999999999998E-3</v>
      </c>
      <c r="T258" s="7">
        <v>3.8458939999999999</v>
      </c>
      <c r="U258" s="7">
        <v>1.3277270000000001</v>
      </c>
      <c r="V258" s="7">
        <v>7.6393979999999999</v>
      </c>
      <c r="W258" s="7">
        <v>7.6393979999999999</v>
      </c>
      <c r="X258" s="7">
        <v>5.6843563547486028E-2</v>
      </c>
      <c r="Y258" s="7">
        <v>0</v>
      </c>
      <c r="Z258" s="7">
        <v>7.6962415635474857</v>
      </c>
      <c r="AA258" s="7">
        <v>0</v>
      </c>
      <c r="AB258" s="7">
        <v>7.6962415635474857</v>
      </c>
      <c r="AC258" s="7">
        <v>0</v>
      </c>
      <c r="AD258" s="7">
        <v>4.8871460000000013</v>
      </c>
      <c r="AE258" s="7">
        <v>0</v>
      </c>
      <c r="AF258" s="7">
        <v>0</v>
      </c>
      <c r="AG258" s="7">
        <v>12.58338756354749</v>
      </c>
      <c r="AH258" s="7">
        <v>0.17852499999999999</v>
      </c>
      <c r="AI258" s="7">
        <v>0</v>
      </c>
      <c r="AJ258" s="7">
        <v>4.8045609999999996</v>
      </c>
      <c r="AK258" s="7">
        <v>12.67932756354749</v>
      </c>
      <c r="AL258" s="7">
        <v>0</v>
      </c>
      <c r="AM258" s="7">
        <v>0</v>
      </c>
      <c r="AN258" s="7">
        <v>0</v>
      </c>
      <c r="AO258" s="7">
        <v>0</v>
      </c>
      <c r="AP258" s="7">
        <v>0</v>
      </c>
      <c r="AQ258" s="7">
        <v>12.67932756354749</v>
      </c>
      <c r="AR258" s="7">
        <v>7.5437506047716374</v>
      </c>
      <c r="AS258" s="7">
        <v>-0.1524909587758497</v>
      </c>
      <c r="AT258" s="7">
        <v>-0.1524909587758497</v>
      </c>
    </row>
    <row r="259" spans="1:46" x14ac:dyDescent="0.35">
      <c r="A259" s="5">
        <v>46022</v>
      </c>
      <c r="B259" s="4" t="s">
        <v>581</v>
      </c>
      <c r="C259" s="4" t="s">
        <v>582</v>
      </c>
      <c r="D259" s="4" t="s">
        <v>58</v>
      </c>
      <c r="E259" s="6">
        <v>30165.137615</v>
      </c>
      <c r="F259" s="6">
        <v>0</v>
      </c>
      <c r="G259" s="6">
        <v>30165.137615</v>
      </c>
      <c r="H259" s="6">
        <v>2.5137610000000001</v>
      </c>
      <c r="I259" s="6">
        <v>12000</v>
      </c>
      <c r="J259" s="6">
        <v>0</v>
      </c>
      <c r="K259" s="6">
        <v>12000</v>
      </c>
      <c r="L259" s="6">
        <v>10127</v>
      </c>
      <c r="M259" s="7">
        <v>3.0909010000000001</v>
      </c>
      <c r="N259" s="7">
        <v>1.8448549999999999</v>
      </c>
      <c r="O259" s="7">
        <v>1.9786000000000002E-2</v>
      </c>
      <c r="P259" s="7">
        <v>0.63353000000000015</v>
      </c>
      <c r="Q259" s="7">
        <v>5.5890719999999998</v>
      </c>
      <c r="R259" s="7">
        <v>6.8991879999999997</v>
      </c>
      <c r="S259" s="7">
        <v>2.7111710000000002</v>
      </c>
      <c r="T259" s="7">
        <v>8.7184830000000009</v>
      </c>
      <c r="U259" s="7">
        <v>1.5907290000000001</v>
      </c>
      <c r="V259" s="7">
        <v>19.919571000000001</v>
      </c>
      <c r="W259" s="7">
        <v>25.508642999999999</v>
      </c>
      <c r="X259" s="7">
        <v>1.2644263693293369</v>
      </c>
      <c r="Y259" s="7">
        <v>6.7465404314403718E-2</v>
      </c>
      <c r="Z259" s="7">
        <v>26.840534773643739</v>
      </c>
      <c r="AA259" s="7">
        <v>6.6935924910916649</v>
      </c>
      <c r="AB259" s="7">
        <v>33.53412726473541</v>
      </c>
      <c r="AC259" s="7">
        <v>0</v>
      </c>
      <c r="AD259" s="7">
        <v>7.4468769999999997</v>
      </c>
      <c r="AE259" s="7">
        <v>0</v>
      </c>
      <c r="AF259" s="7">
        <v>0</v>
      </c>
      <c r="AG259" s="7">
        <v>40.981004264735411</v>
      </c>
      <c r="AH259" s="7">
        <v>1.04491</v>
      </c>
      <c r="AI259" s="7">
        <v>0</v>
      </c>
      <c r="AJ259" s="7">
        <v>0.96050400000000014</v>
      </c>
      <c r="AK259" s="7">
        <v>35.539541264735412</v>
      </c>
      <c r="AL259" s="7">
        <v>0</v>
      </c>
      <c r="AM259" s="7">
        <v>0</v>
      </c>
      <c r="AN259" s="7">
        <v>0</v>
      </c>
      <c r="AO259" s="7">
        <v>0</v>
      </c>
      <c r="AP259" s="7">
        <v>0</v>
      </c>
      <c r="AQ259" s="7">
        <v>35.539541264735412</v>
      </c>
      <c r="AR259" s="7">
        <v>69.823234845162261</v>
      </c>
      <c r="AS259" s="7">
        <v>42.982700071518522</v>
      </c>
      <c r="AT259" s="7">
        <v>36.289107580426851</v>
      </c>
    </row>
    <row r="260" spans="1:46" x14ac:dyDescent="0.35">
      <c r="A260" s="5">
        <v>46022</v>
      </c>
      <c r="B260" s="4" t="s">
        <v>583</v>
      </c>
      <c r="C260" s="4" t="s">
        <v>584</v>
      </c>
      <c r="D260" s="4" t="s">
        <v>61</v>
      </c>
      <c r="E260" s="6">
        <v>0</v>
      </c>
      <c r="F260" s="6">
        <v>0</v>
      </c>
      <c r="G260" s="6">
        <v>0</v>
      </c>
      <c r="H260" s="6">
        <v>0</v>
      </c>
      <c r="I260" s="6">
        <v>0</v>
      </c>
      <c r="J260" s="6">
        <v>720</v>
      </c>
      <c r="K260" s="6">
        <v>720</v>
      </c>
      <c r="L260" s="6">
        <v>720</v>
      </c>
      <c r="M260" s="7">
        <v>2.540279</v>
      </c>
      <c r="N260" s="7">
        <v>0.47859499999999999</v>
      </c>
      <c r="O260" s="7">
        <v>3.444814</v>
      </c>
      <c r="P260" s="7">
        <v>5.4200790000000003</v>
      </c>
      <c r="Q260" s="7">
        <v>11.883767000000001</v>
      </c>
      <c r="R260" s="7">
        <v>0.59066399999999997</v>
      </c>
      <c r="S260" s="7">
        <v>1.050962</v>
      </c>
      <c r="T260" s="7">
        <v>2.7766670000000002</v>
      </c>
      <c r="U260" s="7">
        <v>2.8586589999999998</v>
      </c>
      <c r="V260" s="7">
        <v>7.2769519999999996</v>
      </c>
      <c r="W260" s="7">
        <v>19.160719</v>
      </c>
      <c r="X260" s="7">
        <v>0.68501462812500002</v>
      </c>
      <c r="Y260" s="7">
        <v>1.3804820429632181</v>
      </c>
      <c r="Z260" s="7">
        <v>21.226215671088219</v>
      </c>
      <c r="AA260" s="7">
        <v>4.2262960734670552</v>
      </c>
      <c r="AB260" s="7">
        <v>25.45251174455527</v>
      </c>
      <c r="AC260" s="7">
        <v>0</v>
      </c>
      <c r="AD260" s="7">
        <v>2.9107440000000002</v>
      </c>
      <c r="AE260" s="7">
        <v>0</v>
      </c>
      <c r="AF260" s="7">
        <v>0</v>
      </c>
      <c r="AG260" s="7">
        <v>28.363255744555271</v>
      </c>
      <c r="AH260" s="7">
        <v>0.61883100000000002</v>
      </c>
      <c r="AI260" s="7">
        <v>0</v>
      </c>
      <c r="AJ260" s="7">
        <v>2.9107440000000002</v>
      </c>
      <c r="AK260" s="7">
        <v>28.982086744555271</v>
      </c>
      <c r="AL260" s="7">
        <v>0</v>
      </c>
      <c r="AM260" s="7">
        <v>0</v>
      </c>
      <c r="AN260" s="7">
        <v>0</v>
      </c>
      <c r="AO260" s="7">
        <v>0</v>
      </c>
      <c r="AP260" s="7">
        <v>0</v>
      </c>
      <c r="AQ260" s="7">
        <v>28.982086744555271</v>
      </c>
      <c r="AR260" s="7">
        <v>42.819276437876752</v>
      </c>
      <c r="AS260" s="7">
        <v>21.59306076678854</v>
      </c>
      <c r="AT260" s="7">
        <v>17.366764693321478</v>
      </c>
    </row>
    <row r="261" spans="1:46" x14ac:dyDescent="0.35">
      <c r="A261" s="5">
        <v>46022</v>
      </c>
      <c r="B261" s="4" t="s">
        <v>585</v>
      </c>
      <c r="C261" s="4" t="s">
        <v>586</v>
      </c>
      <c r="D261" s="4" t="s">
        <v>533</v>
      </c>
      <c r="E261" s="6">
        <v>0</v>
      </c>
      <c r="F261" s="6">
        <v>0</v>
      </c>
      <c r="G261" s="6">
        <v>0</v>
      </c>
      <c r="H261" s="6">
        <v>0</v>
      </c>
      <c r="I261" s="6">
        <v>0</v>
      </c>
      <c r="J261" s="6">
        <v>2770</v>
      </c>
      <c r="K261" s="6">
        <v>2770</v>
      </c>
      <c r="L261" s="6">
        <v>2780</v>
      </c>
      <c r="M261" s="7">
        <v>23.911916999999999</v>
      </c>
      <c r="N261" s="7">
        <v>4.504874</v>
      </c>
      <c r="O261" s="7">
        <v>12.308109</v>
      </c>
      <c r="P261" s="7">
        <v>27.052257999999998</v>
      </c>
      <c r="Q261" s="7">
        <v>67.777158</v>
      </c>
      <c r="R261" s="7">
        <v>0.87679200000000002</v>
      </c>
      <c r="S261" s="7">
        <v>2.4020549999999998</v>
      </c>
      <c r="T261" s="7">
        <v>22.311806000000001</v>
      </c>
      <c r="U261" s="7">
        <v>0.902563</v>
      </c>
      <c r="V261" s="7">
        <v>26.493216</v>
      </c>
      <c r="W261" s="7">
        <v>94.270374000000004</v>
      </c>
      <c r="X261" s="7">
        <v>1.274936676</v>
      </c>
      <c r="Y261" s="7">
        <v>11.641278576928149</v>
      </c>
      <c r="Z261" s="7">
        <v>107.1865892529282</v>
      </c>
      <c r="AA261" s="7">
        <v>4.8945439051000621</v>
      </c>
      <c r="AB261" s="7">
        <v>112.08113315802819</v>
      </c>
      <c r="AC261" s="7">
        <v>0</v>
      </c>
      <c r="AD261" s="7">
        <v>20.367115999999999</v>
      </c>
      <c r="AE261" s="7">
        <v>0</v>
      </c>
      <c r="AF261" s="7">
        <v>0</v>
      </c>
      <c r="AG261" s="7">
        <v>132.4482491580282</v>
      </c>
      <c r="AH261" s="7">
        <v>2.3896009999999999</v>
      </c>
      <c r="AI261" s="7">
        <v>0</v>
      </c>
      <c r="AJ261" s="7">
        <v>19.475429999999999</v>
      </c>
      <c r="AK261" s="7">
        <v>133.94616415802821</v>
      </c>
      <c r="AL261" s="7">
        <v>0</v>
      </c>
      <c r="AM261" s="7">
        <v>0</v>
      </c>
      <c r="AN261" s="7">
        <v>0</v>
      </c>
      <c r="AO261" s="7">
        <v>0</v>
      </c>
      <c r="AP261" s="7">
        <v>0</v>
      </c>
      <c r="AQ261" s="7">
        <v>133.94616415802821</v>
      </c>
      <c r="AR261" s="7">
        <v>129.32729930714879</v>
      </c>
      <c r="AS261" s="7">
        <v>22.14071005422069</v>
      </c>
      <c r="AT261" s="7">
        <v>17.246166149120629</v>
      </c>
    </row>
    <row r="262" spans="1:46" x14ac:dyDescent="0.35">
      <c r="A262" s="5">
        <v>46022</v>
      </c>
      <c r="B262" s="4" t="s">
        <v>587</v>
      </c>
      <c r="C262" s="4" t="s">
        <v>588</v>
      </c>
      <c r="D262" s="4" t="s">
        <v>79</v>
      </c>
      <c r="E262" s="6">
        <v>29386.074173000001</v>
      </c>
      <c r="F262" s="6">
        <v>0</v>
      </c>
      <c r="G262" s="6">
        <v>29386.074173000001</v>
      </c>
      <c r="H262" s="6">
        <v>1.8958759999999999</v>
      </c>
      <c r="I262" s="6">
        <v>15500</v>
      </c>
      <c r="J262" s="6">
        <v>0</v>
      </c>
      <c r="K262" s="6">
        <v>15500</v>
      </c>
      <c r="L262" s="6">
        <v>15500</v>
      </c>
      <c r="M262" s="7">
        <v>2.1196109999999999</v>
      </c>
      <c r="N262" s="7">
        <v>0.73648499999999995</v>
      </c>
      <c r="O262" s="7">
        <v>0.12704499999999999</v>
      </c>
      <c r="P262" s="7">
        <v>3.1064370000000001</v>
      </c>
      <c r="Q262" s="7">
        <v>6.0895780000000004</v>
      </c>
      <c r="R262" s="7">
        <v>2.7748089999999999</v>
      </c>
      <c r="S262" s="7">
        <v>2.4699589999999998</v>
      </c>
      <c r="T262" s="7">
        <v>2.7374209999999999</v>
      </c>
      <c r="U262" s="7">
        <v>6.188517</v>
      </c>
      <c r="V262" s="7">
        <v>14.170705999999999</v>
      </c>
      <c r="W262" s="7">
        <v>20.260283999999999</v>
      </c>
      <c r="X262" s="7">
        <v>0.78306767668870969</v>
      </c>
      <c r="Y262" s="7">
        <v>1.7862630664945871</v>
      </c>
      <c r="Z262" s="7">
        <v>22.829614743183299</v>
      </c>
      <c r="AA262" s="7">
        <v>0.81447570263185987</v>
      </c>
      <c r="AB262" s="7">
        <v>23.644090445815159</v>
      </c>
      <c r="AC262" s="7">
        <v>0</v>
      </c>
      <c r="AD262" s="7">
        <v>2.7875269999999999</v>
      </c>
      <c r="AE262" s="7">
        <v>0</v>
      </c>
      <c r="AF262" s="7">
        <v>0</v>
      </c>
      <c r="AG262" s="7">
        <v>26.43161744581516</v>
      </c>
      <c r="AH262" s="7">
        <v>0.96225000000000005</v>
      </c>
      <c r="AI262" s="7">
        <v>0</v>
      </c>
      <c r="AJ262" s="7">
        <v>2.758327</v>
      </c>
      <c r="AK262" s="7">
        <v>27.364667445815162</v>
      </c>
      <c r="AL262" s="7">
        <v>0</v>
      </c>
      <c r="AM262" s="7">
        <v>0</v>
      </c>
      <c r="AN262" s="7">
        <v>0</v>
      </c>
      <c r="AO262" s="7">
        <v>0</v>
      </c>
      <c r="AP262" s="7">
        <v>0</v>
      </c>
      <c r="AQ262" s="7">
        <v>27.364667445815162</v>
      </c>
      <c r="AR262" s="7">
        <v>32.578628392025003</v>
      </c>
      <c r="AS262" s="7">
        <v>9.7490136488416983</v>
      </c>
      <c r="AT262" s="7">
        <v>8.9345379462098382</v>
      </c>
    </row>
    <row r="263" spans="1:46" x14ac:dyDescent="0.35">
      <c r="A263" s="5">
        <v>46022</v>
      </c>
      <c r="B263" s="4" t="s">
        <v>589</v>
      </c>
      <c r="C263" s="4" t="s">
        <v>590</v>
      </c>
      <c r="D263" s="4" t="s">
        <v>105</v>
      </c>
      <c r="E263" s="6">
        <v>64666.666666999998</v>
      </c>
      <c r="F263" s="6">
        <v>0</v>
      </c>
      <c r="G263" s="6">
        <v>64666.666666999998</v>
      </c>
      <c r="H263" s="6">
        <v>3.88</v>
      </c>
      <c r="I263" s="6">
        <v>16666.666667000001</v>
      </c>
      <c r="J263" s="6">
        <v>0</v>
      </c>
      <c r="K263" s="6">
        <v>16666.666667000001</v>
      </c>
      <c r="L263" s="6">
        <v>15835.12</v>
      </c>
      <c r="M263" s="7">
        <v>6.9075350000000002</v>
      </c>
      <c r="N263" s="7">
        <v>3.6266090000000002</v>
      </c>
      <c r="O263" s="7">
        <v>2.7938000000000001E-2</v>
      </c>
      <c r="P263" s="7">
        <v>3.7392949999999989</v>
      </c>
      <c r="Q263" s="7">
        <v>14.301377</v>
      </c>
      <c r="R263" s="7">
        <v>2.5799020000000001</v>
      </c>
      <c r="S263" s="7">
        <v>2.0658409999999998</v>
      </c>
      <c r="T263" s="7">
        <v>3.2460810000000002</v>
      </c>
      <c r="U263" s="7">
        <v>3.0266320000000002</v>
      </c>
      <c r="V263" s="7">
        <v>10.918456000000001</v>
      </c>
      <c r="W263" s="7">
        <v>25.219833000000001</v>
      </c>
      <c r="X263" s="7">
        <v>0.47418297500000001</v>
      </c>
      <c r="Y263" s="7">
        <v>30.392108368724099</v>
      </c>
      <c r="Z263" s="7">
        <v>56.086124343724101</v>
      </c>
      <c r="AA263" s="7">
        <v>0.44392874682331401</v>
      </c>
      <c r="AB263" s="7">
        <v>56.530053090547412</v>
      </c>
      <c r="AC263" s="7">
        <v>0</v>
      </c>
      <c r="AD263" s="7">
        <v>31.573944000000001</v>
      </c>
      <c r="AE263" s="7">
        <v>0</v>
      </c>
      <c r="AF263" s="7">
        <v>0</v>
      </c>
      <c r="AG263" s="7">
        <v>88.103997090547409</v>
      </c>
      <c r="AH263" s="7">
        <v>2.3283209999999999</v>
      </c>
      <c r="AI263" s="7">
        <v>0</v>
      </c>
      <c r="AJ263" s="7">
        <v>28.557411999999999</v>
      </c>
      <c r="AK263" s="7">
        <v>87.415786090547414</v>
      </c>
      <c r="AL263" s="7">
        <v>0</v>
      </c>
      <c r="AM263" s="7">
        <v>0</v>
      </c>
      <c r="AN263" s="7">
        <v>0</v>
      </c>
      <c r="AO263" s="7">
        <v>0</v>
      </c>
      <c r="AP263" s="7">
        <v>0</v>
      </c>
      <c r="AQ263" s="7">
        <v>87.415786090547414</v>
      </c>
      <c r="AR263" s="7">
        <v>107.2235559883961</v>
      </c>
      <c r="AS263" s="7">
        <v>51.13743164467202</v>
      </c>
      <c r="AT263" s="7">
        <v>50.693502897848703</v>
      </c>
    </row>
    <row r="264" spans="1:46" x14ac:dyDescent="0.35">
      <c r="A264" s="5">
        <v>46022</v>
      </c>
      <c r="B264" s="4" t="s">
        <v>591</v>
      </c>
      <c r="C264" s="4" t="s">
        <v>592</v>
      </c>
      <c r="D264" s="4" t="s">
        <v>89</v>
      </c>
      <c r="E264" s="6">
        <v>0</v>
      </c>
      <c r="F264" s="6">
        <v>0</v>
      </c>
      <c r="G264" s="6">
        <v>0</v>
      </c>
      <c r="H264" s="6">
        <v>0</v>
      </c>
      <c r="I264" s="6">
        <v>0</v>
      </c>
      <c r="J264" s="6">
        <v>1417.769376</v>
      </c>
      <c r="K264" s="6">
        <v>1417.769376</v>
      </c>
      <c r="L264" s="6">
        <v>1417.769376</v>
      </c>
      <c r="M264" s="7">
        <v>25.889033999999999</v>
      </c>
      <c r="N264" s="7">
        <v>0.73804000000000003</v>
      </c>
      <c r="O264" s="7">
        <v>0.83677800000000002</v>
      </c>
      <c r="P264" s="7">
        <v>23.096204</v>
      </c>
      <c r="Q264" s="7">
        <v>50.560056000000003</v>
      </c>
      <c r="R264" s="7">
        <v>6.8192529999999998</v>
      </c>
      <c r="S264" s="7">
        <v>1.6189119999999999</v>
      </c>
      <c r="T264" s="7">
        <v>2.4993310000000002</v>
      </c>
      <c r="U264" s="7">
        <v>8.1577920000000006</v>
      </c>
      <c r="V264" s="7">
        <v>19.095288</v>
      </c>
      <c r="W264" s="7">
        <v>69.655343999999999</v>
      </c>
      <c r="X264" s="7">
        <v>3.6836954186983371</v>
      </c>
      <c r="Y264" s="7">
        <v>3.9616597184767199</v>
      </c>
      <c r="Z264" s="7">
        <v>77.300699137175059</v>
      </c>
      <c r="AA264" s="7">
        <v>3.4923168883606719</v>
      </c>
      <c r="AB264" s="7">
        <v>80.793016025535735</v>
      </c>
      <c r="AC264" s="7">
        <v>0</v>
      </c>
      <c r="AD264" s="7">
        <v>11.194772</v>
      </c>
      <c r="AE264" s="7">
        <v>0</v>
      </c>
      <c r="AF264" s="7">
        <v>0</v>
      </c>
      <c r="AG264" s="7">
        <v>91.987788025535735</v>
      </c>
      <c r="AH264" s="7">
        <v>1.0580000000000001</v>
      </c>
      <c r="AI264" s="7">
        <v>0</v>
      </c>
      <c r="AJ264" s="7">
        <v>6.3479999999999999</v>
      </c>
      <c r="AK264" s="7">
        <v>88.199016025535727</v>
      </c>
      <c r="AL264" s="7">
        <v>33.4328</v>
      </c>
      <c r="AM264" s="7">
        <v>0</v>
      </c>
      <c r="AN264" s="7">
        <v>0</v>
      </c>
      <c r="AO264" s="7">
        <v>0</v>
      </c>
      <c r="AP264" s="7">
        <v>0</v>
      </c>
      <c r="AQ264" s="7">
        <v>121.6318160255357</v>
      </c>
      <c r="AR264" s="7">
        <v>85.729019881076894</v>
      </c>
      <c r="AS264" s="7">
        <v>8.4283207439018373</v>
      </c>
      <c r="AT264" s="7">
        <v>4.9360038555411663</v>
      </c>
    </row>
    <row r="265" spans="1:46" x14ac:dyDescent="0.35">
      <c r="A265" s="5">
        <v>46022</v>
      </c>
      <c r="B265" s="4" t="s">
        <v>593</v>
      </c>
      <c r="C265" s="4" t="s">
        <v>594</v>
      </c>
      <c r="D265" s="4" t="s">
        <v>122</v>
      </c>
      <c r="E265" s="6">
        <v>0</v>
      </c>
      <c r="F265" s="6">
        <v>583.33333300000004</v>
      </c>
      <c r="G265" s="6">
        <v>583.33333300000004</v>
      </c>
      <c r="H265" s="6">
        <v>0</v>
      </c>
      <c r="I265" s="6">
        <v>0</v>
      </c>
      <c r="J265" s="6">
        <v>1250</v>
      </c>
      <c r="K265" s="6">
        <v>1250</v>
      </c>
      <c r="L265" s="6">
        <v>1250</v>
      </c>
      <c r="M265" s="7">
        <v>18.576359</v>
      </c>
      <c r="N265" s="7">
        <v>2.1583760000000001</v>
      </c>
      <c r="O265" s="7">
        <v>1.775131</v>
      </c>
      <c r="P265" s="7">
        <v>2.0704570000000002</v>
      </c>
      <c r="Q265" s="7">
        <v>24.580323</v>
      </c>
      <c r="R265" s="7">
        <v>9.7426019999999998</v>
      </c>
      <c r="S265" s="7">
        <v>0.67448399999999997</v>
      </c>
      <c r="T265" s="7">
        <v>1.63548</v>
      </c>
      <c r="U265" s="7">
        <v>1.5355829999999999</v>
      </c>
      <c r="V265" s="7">
        <v>13.588149</v>
      </c>
      <c r="W265" s="7">
        <v>38.168472000000001</v>
      </c>
      <c r="X265" s="7">
        <v>2.66</v>
      </c>
      <c r="Y265" s="7">
        <v>7.8965550648922962</v>
      </c>
      <c r="Z265" s="7">
        <v>48.725027064892302</v>
      </c>
      <c r="AA265" s="7">
        <v>10.30271197047324</v>
      </c>
      <c r="AB265" s="7">
        <v>59.027739035365542</v>
      </c>
      <c r="AC265" s="7">
        <v>0</v>
      </c>
      <c r="AD265" s="7">
        <v>22.397061999999998</v>
      </c>
      <c r="AE265" s="7">
        <v>0</v>
      </c>
      <c r="AF265" s="7">
        <v>0</v>
      </c>
      <c r="AG265" s="7">
        <v>81.424801035365533</v>
      </c>
      <c r="AH265" s="7">
        <v>1.5267390000000001</v>
      </c>
      <c r="AI265" s="7">
        <v>0</v>
      </c>
      <c r="AJ265" s="7">
        <v>10.885683999999999</v>
      </c>
      <c r="AK265" s="7">
        <v>71.440162035365546</v>
      </c>
      <c r="AL265" s="7">
        <v>0</v>
      </c>
      <c r="AM265" s="7">
        <v>0</v>
      </c>
      <c r="AN265" s="7">
        <v>0</v>
      </c>
      <c r="AO265" s="7">
        <v>0</v>
      </c>
      <c r="AP265" s="7">
        <v>0</v>
      </c>
      <c r="AQ265" s="7">
        <v>71.440162035365546</v>
      </c>
      <c r="AR265" s="7">
        <v>191.1291408793488</v>
      </c>
      <c r="AS265" s="7">
        <v>142.40411381445651</v>
      </c>
      <c r="AT265" s="7">
        <v>132.1014018439833</v>
      </c>
    </row>
    <row r="266" spans="1:46" x14ac:dyDescent="0.35">
      <c r="A266" s="5">
        <v>46022</v>
      </c>
      <c r="B266" s="4" t="s">
        <v>595</v>
      </c>
      <c r="C266" s="4" t="s">
        <v>596</v>
      </c>
      <c r="D266" s="4" t="s">
        <v>122</v>
      </c>
      <c r="E266" s="6">
        <v>0</v>
      </c>
      <c r="F266" s="6">
        <v>0</v>
      </c>
      <c r="G266" s="6">
        <v>0</v>
      </c>
      <c r="H266" s="6">
        <v>0</v>
      </c>
      <c r="I266" s="6">
        <v>0</v>
      </c>
      <c r="J266" s="6">
        <v>564.02439800000002</v>
      </c>
      <c r="K266" s="6">
        <v>564.02439800000002</v>
      </c>
      <c r="L266" s="6">
        <v>564.02439800000002</v>
      </c>
      <c r="M266" s="7">
        <v>4.7019219999999997</v>
      </c>
      <c r="N266" s="7">
        <v>5.4781959999999996</v>
      </c>
      <c r="O266" s="7">
        <v>2.9246669999999999</v>
      </c>
      <c r="P266" s="7">
        <v>11.113153000000001</v>
      </c>
      <c r="Q266" s="7">
        <v>24.217938</v>
      </c>
      <c r="R266" s="7">
        <v>0.88205699999999998</v>
      </c>
      <c r="S266" s="7">
        <v>1.747803</v>
      </c>
      <c r="T266" s="7">
        <v>4.533747</v>
      </c>
      <c r="U266" s="7">
        <v>6.2532269999999999</v>
      </c>
      <c r="V266" s="7">
        <v>13.416834</v>
      </c>
      <c r="W266" s="7">
        <v>37.634771999999998</v>
      </c>
      <c r="X266" s="7">
        <v>12.79491499986336</v>
      </c>
      <c r="Y266" s="7">
        <v>15.83811773068471</v>
      </c>
      <c r="Z266" s="7">
        <v>66.267804730548065</v>
      </c>
      <c r="AA266" s="7">
        <v>5.8518374749914237</v>
      </c>
      <c r="AB266" s="7">
        <v>72.119642205539492</v>
      </c>
      <c r="AC266" s="7">
        <v>0.53189200000000003</v>
      </c>
      <c r="AD266" s="7">
        <v>41.278582</v>
      </c>
      <c r="AE266" s="7">
        <v>0</v>
      </c>
      <c r="AF266" s="7">
        <v>0</v>
      </c>
      <c r="AG266" s="7">
        <v>113.93011620553951</v>
      </c>
      <c r="AH266" s="7">
        <v>7.6256779999999997</v>
      </c>
      <c r="AI266" s="7">
        <v>0</v>
      </c>
      <c r="AJ266" s="7">
        <v>8.5102700000000002</v>
      </c>
      <c r="AK266" s="7">
        <v>88.78748220553949</v>
      </c>
      <c r="AL266" s="7">
        <v>0</v>
      </c>
      <c r="AM266" s="7">
        <v>0</v>
      </c>
      <c r="AN266" s="7">
        <v>0</v>
      </c>
      <c r="AO266" s="7">
        <v>0</v>
      </c>
      <c r="AP266" s="7">
        <v>0</v>
      </c>
      <c r="AQ266" s="7">
        <v>88.78748220553949</v>
      </c>
      <c r="AR266" s="7">
        <v>117.03721040642471</v>
      </c>
      <c r="AS266" s="7">
        <v>50.769405675876641</v>
      </c>
      <c r="AT266" s="7">
        <v>44.917568200885221</v>
      </c>
    </row>
    <row r="267" spans="1:46" x14ac:dyDescent="0.35">
      <c r="A267" s="5">
        <v>46022</v>
      </c>
      <c r="B267" s="4" t="s">
        <v>597</v>
      </c>
      <c r="C267" s="4" t="s">
        <v>598</v>
      </c>
      <c r="D267" s="4" t="s">
        <v>213</v>
      </c>
      <c r="E267" s="6">
        <v>6750</v>
      </c>
      <c r="F267" s="6">
        <v>0</v>
      </c>
      <c r="G267" s="6">
        <v>6750</v>
      </c>
      <c r="H267" s="6">
        <v>3</v>
      </c>
      <c r="I267" s="6">
        <v>2250</v>
      </c>
      <c r="J267" s="6">
        <v>0</v>
      </c>
      <c r="K267" s="6">
        <v>2250</v>
      </c>
      <c r="L267" s="6">
        <v>2500</v>
      </c>
      <c r="M267" s="7">
        <v>12.28691797961674</v>
      </c>
      <c r="N267" s="7">
        <v>7.1170600000000004</v>
      </c>
      <c r="O267" s="7">
        <v>2.1311456519216359</v>
      </c>
      <c r="P267" s="7">
        <v>21.056125917717591</v>
      </c>
      <c r="Q267" s="7">
        <v>42.59124954925597</v>
      </c>
      <c r="R267" s="7">
        <v>13.42407264828177</v>
      </c>
      <c r="S267" s="7">
        <v>4.4578581469007599</v>
      </c>
      <c r="T267" s="7">
        <v>8.0442676829889734</v>
      </c>
      <c r="U267" s="7">
        <v>1.0868525222353069</v>
      </c>
      <c r="V267" s="7">
        <v>27.013051000406811</v>
      </c>
      <c r="W267" s="7">
        <v>69.604300549662767</v>
      </c>
      <c r="X267" s="7">
        <v>9.9553373673240007</v>
      </c>
      <c r="Y267" s="7">
        <v>26.464730877197081</v>
      </c>
      <c r="Z267" s="7">
        <v>106.0243687941838</v>
      </c>
      <c r="AA267" s="7">
        <v>25.08262352572423</v>
      </c>
      <c r="AB267" s="7">
        <v>131.1069923199081</v>
      </c>
      <c r="AC267" s="7">
        <v>0</v>
      </c>
      <c r="AD267" s="7">
        <v>44.042180593962101</v>
      </c>
      <c r="AE267" s="7">
        <v>0</v>
      </c>
      <c r="AF267" s="7">
        <v>0</v>
      </c>
      <c r="AG267" s="7">
        <v>175.14917291387019</v>
      </c>
      <c r="AH267" s="7">
        <v>0.4953916948078364</v>
      </c>
      <c r="AI267" s="7">
        <v>0</v>
      </c>
      <c r="AJ267" s="7">
        <v>21.847400472090779</v>
      </c>
      <c r="AK267" s="7">
        <v>153.44978448680669</v>
      </c>
      <c r="AL267" s="7">
        <v>0</v>
      </c>
      <c r="AM267" s="7">
        <v>0</v>
      </c>
      <c r="AN267" s="7">
        <v>0</v>
      </c>
      <c r="AO267" s="7">
        <v>0</v>
      </c>
      <c r="AP267" s="7">
        <v>0</v>
      </c>
      <c r="AQ267" s="7">
        <v>153.44978448680669</v>
      </c>
      <c r="AR267" s="7">
        <v>231.61254669459171</v>
      </c>
      <c r="AS267" s="7">
        <v>125.5881779004078</v>
      </c>
      <c r="AT267" s="7">
        <v>100.5055543746836</v>
      </c>
    </row>
    <row r="268" spans="1:46" x14ac:dyDescent="0.35">
      <c r="A268" s="5">
        <v>46022</v>
      </c>
      <c r="B268" s="4" t="s">
        <v>599</v>
      </c>
      <c r="C268" s="4" t="s">
        <v>600</v>
      </c>
      <c r="D268" s="4" t="s">
        <v>222</v>
      </c>
      <c r="E268" s="6">
        <v>0</v>
      </c>
      <c r="F268" s="6">
        <v>0</v>
      </c>
      <c r="G268" s="6">
        <v>0</v>
      </c>
      <c r="H268" s="6">
        <v>0</v>
      </c>
      <c r="I268" s="6">
        <v>0</v>
      </c>
      <c r="J268" s="6">
        <v>5300</v>
      </c>
      <c r="K268" s="6">
        <v>5300</v>
      </c>
      <c r="L268" s="6">
        <v>5102</v>
      </c>
      <c r="M268" s="7">
        <v>15.119776999999999</v>
      </c>
      <c r="N268" s="7">
        <v>1.1131249999999999</v>
      </c>
      <c r="O268" s="7">
        <v>0.37844899999999998</v>
      </c>
      <c r="P268" s="7">
        <v>9.4756479999999996</v>
      </c>
      <c r="Q268" s="7">
        <v>26.086998999999999</v>
      </c>
      <c r="R268" s="7">
        <v>3.9511759999999998</v>
      </c>
      <c r="S268" s="7">
        <v>1.982944</v>
      </c>
      <c r="T268" s="7">
        <v>2.2201209999999998</v>
      </c>
      <c r="U268" s="7">
        <v>5.3993650000000013</v>
      </c>
      <c r="V268" s="7">
        <v>13.553606</v>
      </c>
      <c r="W268" s="7">
        <v>39.640605000000001</v>
      </c>
      <c r="X268" s="7">
        <v>2.986251291114896</v>
      </c>
      <c r="Y268" s="7">
        <v>4.7395131110065343</v>
      </c>
      <c r="Z268" s="7">
        <v>47.366369402121428</v>
      </c>
      <c r="AA268" s="7">
        <v>1.9798327200146459</v>
      </c>
      <c r="AB268" s="7">
        <v>49.346202122136077</v>
      </c>
      <c r="AC268" s="7">
        <v>0.30029699999999998</v>
      </c>
      <c r="AD268" s="7">
        <v>22.843240999999999</v>
      </c>
      <c r="AE268" s="7">
        <v>0</v>
      </c>
      <c r="AF268" s="7">
        <v>0</v>
      </c>
      <c r="AG268" s="7">
        <v>72.489740122136084</v>
      </c>
      <c r="AH268" s="7">
        <v>1.973849</v>
      </c>
      <c r="AI268" s="7">
        <v>0</v>
      </c>
      <c r="AJ268" s="7">
        <v>1.4700120000000001</v>
      </c>
      <c r="AK268" s="7">
        <v>53.090360122136083</v>
      </c>
      <c r="AL268" s="7">
        <v>23.343786999999999</v>
      </c>
      <c r="AM268" s="7">
        <v>0</v>
      </c>
      <c r="AN268" s="7">
        <v>0</v>
      </c>
      <c r="AO268" s="7">
        <v>0</v>
      </c>
      <c r="AP268" s="7">
        <v>0</v>
      </c>
      <c r="AQ268" s="7">
        <v>76.434147122136082</v>
      </c>
      <c r="AR268" s="7">
        <v>78.762044020435525</v>
      </c>
      <c r="AS268" s="7">
        <v>31.3956746183141</v>
      </c>
      <c r="AT268" s="7">
        <v>29.415841898299451</v>
      </c>
    </row>
    <row r="269" spans="1:46" x14ac:dyDescent="0.35">
      <c r="A269" s="5">
        <v>46022</v>
      </c>
      <c r="B269" s="4" t="s">
        <v>601</v>
      </c>
      <c r="C269" s="4" t="s">
        <v>602</v>
      </c>
      <c r="D269" s="4" t="s">
        <v>61</v>
      </c>
      <c r="E269" s="6">
        <v>0</v>
      </c>
      <c r="F269" s="6">
        <v>0</v>
      </c>
      <c r="G269" s="6">
        <v>0</v>
      </c>
      <c r="H269" s="6">
        <v>0</v>
      </c>
      <c r="I269" s="6">
        <v>0</v>
      </c>
      <c r="J269" s="6">
        <v>55</v>
      </c>
      <c r="K269" s="6">
        <v>55</v>
      </c>
      <c r="L269" s="6">
        <v>55</v>
      </c>
      <c r="M269" s="7">
        <v>8.7065850000000005</v>
      </c>
      <c r="N269" s="7">
        <v>0</v>
      </c>
      <c r="O269" s="7">
        <v>2.827156</v>
      </c>
      <c r="P269" s="7">
        <v>6.9901220000000013</v>
      </c>
      <c r="Q269" s="7">
        <v>18.523862999999999</v>
      </c>
      <c r="R269" s="7">
        <v>4.0494899999999996</v>
      </c>
      <c r="S269" s="7">
        <v>1.2851300000000001</v>
      </c>
      <c r="T269" s="7">
        <v>3.2861530000000001</v>
      </c>
      <c r="U269" s="7">
        <v>7.7506529999999998</v>
      </c>
      <c r="V269" s="7">
        <v>16.371426</v>
      </c>
      <c r="W269" s="7">
        <v>34.895288999999998</v>
      </c>
      <c r="X269" s="7">
        <v>0.47716720120363643</v>
      </c>
      <c r="Y269" s="7">
        <v>4.2912298895303493</v>
      </c>
      <c r="Z269" s="7">
        <v>39.663686090733989</v>
      </c>
      <c r="AA269" s="7">
        <v>7.564236364022455</v>
      </c>
      <c r="AB269" s="7">
        <v>47.227922454756438</v>
      </c>
      <c r="AC269" s="7">
        <v>0</v>
      </c>
      <c r="AD269" s="7">
        <v>4.6920000000000002</v>
      </c>
      <c r="AE269" s="7">
        <v>0</v>
      </c>
      <c r="AF269" s="7">
        <v>0</v>
      </c>
      <c r="AG269" s="7">
        <v>51.919922454756438</v>
      </c>
      <c r="AH269" s="7">
        <v>3.5218090000000002</v>
      </c>
      <c r="AI269" s="7">
        <v>0</v>
      </c>
      <c r="AJ269" s="7">
        <v>1.746154</v>
      </c>
      <c r="AK269" s="7">
        <v>52.49588545475644</v>
      </c>
      <c r="AL269" s="7">
        <v>0</v>
      </c>
      <c r="AM269" s="7">
        <v>0</v>
      </c>
      <c r="AN269" s="7">
        <v>0</v>
      </c>
      <c r="AO269" s="7">
        <v>0</v>
      </c>
      <c r="AP269" s="7">
        <v>0</v>
      </c>
      <c r="AQ269" s="7">
        <v>52.49588545475644</v>
      </c>
      <c r="AR269" s="7">
        <v>71.485160104523516</v>
      </c>
      <c r="AS269" s="7">
        <v>31.82147401378953</v>
      </c>
      <c r="AT269" s="7">
        <v>24.257237649767081</v>
      </c>
    </row>
    <row r="270" spans="1:46" x14ac:dyDescent="0.35">
      <c r="A270" s="5">
        <v>46022</v>
      </c>
      <c r="B270" s="4" t="s">
        <v>603</v>
      </c>
      <c r="C270" s="4" t="s">
        <v>604</v>
      </c>
      <c r="D270" s="4" t="s">
        <v>122</v>
      </c>
      <c r="E270" s="6">
        <v>0</v>
      </c>
      <c r="F270" s="6">
        <v>0</v>
      </c>
      <c r="G270" s="6">
        <v>0</v>
      </c>
      <c r="H270" s="6">
        <v>0</v>
      </c>
      <c r="I270" s="6">
        <v>0</v>
      </c>
      <c r="J270" s="6">
        <v>2750</v>
      </c>
      <c r="K270" s="6">
        <v>2750</v>
      </c>
      <c r="L270" s="6">
        <v>2750</v>
      </c>
      <c r="M270" s="7">
        <v>36.186107</v>
      </c>
      <c r="N270" s="7">
        <v>4.1537369999999996</v>
      </c>
      <c r="O270" s="7">
        <v>1.0333270000000001</v>
      </c>
      <c r="P270" s="7">
        <v>1.2723869999999999</v>
      </c>
      <c r="Q270" s="7">
        <v>42.645558000000001</v>
      </c>
      <c r="R270" s="7">
        <v>3.9632179999999999</v>
      </c>
      <c r="S270" s="7">
        <v>0.67448399999999997</v>
      </c>
      <c r="T270" s="7">
        <v>1.448617</v>
      </c>
      <c r="U270" s="7">
        <v>1.201443</v>
      </c>
      <c r="V270" s="7">
        <v>7.2877619999999999</v>
      </c>
      <c r="W270" s="7">
        <v>49.933320000000002</v>
      </c>
      <c r="X270" s="7">
        <v>3.4580000000000002</v>
      </c>
      <c r="Y270" s="7">
        <v>8.4907525935868975</v>
      </c>
      <c r="Z270" s="7">
        <v>61.882072593586898</v>
      </c>
      <c r="AA270" s="7">
        <v>8.3709614278189637</v>
      </c>
      <c r="AB270" s="7">
        <v>70.253034021405867</v>
      </c>
      <c r="AC270" s="7">
        <v>0</v>
      </c>
      <c r="AD270" s="7">
        <v>11.150930000000001</v>
      </c>
      <c r="AE270" s="7">
        <v>0</v>
      </c>
      <c r="AF270" s="7">
        <v>0</v>
      </c>
      <c r="AG270" s="7">
        <v>81.403964021405855</v>
      </c>
      <c r="AH270" s="7">
        <v>1.997333</v>
      </c>
      <c r="AI270" s="7">
        <v>0</v>
      </c>
      <c r="AJ270" s="7">
        <v>6.0149059999999999</v>
      </c>
      <c r="AK270" s="7">
        <v>78.265273021405861</v>
      </c>
      <c r="AL270" s="7">
        <v>0</v>
      </c>
      <c r="AM270" s="7">
        <v>0</v>
      </c>
      <c r="AN270" s="7">
        <v>0</v>
      </c>
      <c r="AO270" s="7">
        <v>0</v>
      </c>
      <c r="AP270" s="7">
        <v>0</v>
      </c>
      <c r="AQ270" s="7">
        <v>78.265273021405861</v>
      </c>
      <c r="AR270" s="7">
        <v>155.2925108682434</v>
      </c>
      <c r="AS270" s="7">
        <v>93.410438274656528</v>
      </c>
      <c r="AT270" s="7">
        <v>85.039476846837573</v>
      </c>
    </row>
    <row r="271" spans="1:46" x14ac:dyDescent="0.35">
      <c r="A271" s="5">
        <v>46022</v>
      </c>
      <c r="B271" s="4" t="s">
        <v>605</v>
      </c>
      <c r="C271" s="4" t="s">
        <v>606</v>
      </c>
      <c r="D271" s="4" t="s">
        <v>86</v>
      </c>
      <c r="E271" s="6">
        <v>18000</v>
      </c>
      <c r="F271" s="6">
        <v>0</v>
      </c>
      <c r="G271" s="6">
        <v>18000</v>
      </c>
      <c r="H271" s="6">
        <v>3</v>
      </c>
      <c r="I271" s="6">
        <v>6000</v>
      </c>
      <c r="J271" s="6">
        <v>27740</v>
      </c>
      <c r="K271" s="6">
        <v>33740</v>
      </c>
      <c r="L271" s="6">
        <v>33740</v>
      </c>
      <c r="M271" s="7">
        <v>31.17626383622353</v>
      </c>
      <c r="N271" s="7">
        <v>2.860535</v>
      </c>
      <c r="O271" s="7">
        <v>1.798213454208456</v>
      </c>
      <c r="P271" s="7">
        <v>28.69123264730705</v>
      </c>
      <c r="Q271" s="7">
        <v>64.526244937739037</v>
      </c>
      <c r="R271" s="7">
        <v>1.962037422346276</v>
      </c>
      <c r="S271" s="7">
        <v>1.835029795462771</v>
      </c>
      <c r="T271" s="7">
        <v>2.0133684472504649</v>
      </c>
      <c r="U271" s="7">
        <v>2.8935857293140912</v>
      </c>
      <c r="V271" s="7">
        <v>8.7040213943736031</v>
      </c>
      <c r="W271" s="7">
        <v>73.230266332112635</v>
      </c>
      <c r="X271" s="7">
        <v>4.655598037192326</v>
      </c>
      <c r="Y271" s="7">
        <v>33.674814461964218</v>
      </c>
      <c r="Z271" s="7">
        <v>111.5606788312692</v>
      </c>
      <c r="AA271" s="7">
        <v>25.776469696234511</v>
      </c>
      <c r="AB271" s="7">
        <v>137.3371485275037</v>
      </c>
      <c r="AC271" s="7">
        <v>0</v>
      </c>
      <c r="AD271" s="7">
        <v>26.94366399898265</v>
      </c>
      <c r="AE271" s="7">
        <v>0</v>
      </c>
      <c r="AF271" s="7">
        <v>0</v>
      </c>
      <c r="AG271" s="7">
        <v>164.2808125264863</v>
      </c>
      <c r="AH271" s="7">
        <v>20.376122428467671</v>
      </c>
      <c r="AI271" s="7">
        <v>0</v>
      </c>
      <c r="AJ271" s="7">
        <v>27.299921281251759</v>
      </c>
      <c r="AK271" s="7">
        <v>185.01319223722311</v>
      </c>
      <c r="AL271" s="7">
        <v>0</v>
      </c>
      <c r="AM271" s="7">
        <v>4.5858405191194933</v>
      </c>
      <c r="AN271" s="7">
        <v>0</v>
      </c>
      <c r="AO271" s="7">
        <v>0</v>
      </c>
      <c r="AP271" s="7">
        <v>1.481921</v>
      </c>
      <c r="AQ271" s="7">
        <v>191.08095375634261</v>
      </c>
      <c r="AR271" s="7">
        <v>384.51395079116497</v>
      </c>
      <c r="AS271" s="7">
        <v>272.9532719598958</v>
      </c>
      <c r="AT271" s="7">
        <v>247.1768022636613</v>
      </c>
    </row>
    <row r="272" spans="1:46" x14ac:dyDescent="0.35">
      <c r="A272" s="5">
        <v>46022</v>
      </c>
      <c r="B272" s="4" t="s">
        <v>607</v>
      </c>
      <c r="C272" s="4" t="s">
        <v>608</v>
      </c>
      <c r="D272" s="4" t="s">
        <v>250</v>
      </c>
      <c r="E272" s="6">
        <v>71699.519807999997</v>
      </c>
      <c r="F272" s="6">
        <v>0</v>
      </c>
      <c r="G272" s="6">
        <v>71699.519807999997</v>
      </c>
      <c r="H272" s="6">
        <v>3.7539020000000001</v>
      </c>
      <c r="I272" s="6">
        <v>19100</v>
      </c>
      <c r="J272" s="6">
        <v>0</v>
      </c>
      <c r="K272" s="6">
        <v>19100</v>
      </c>
      <c r="L272" s="6">
        <v>19100</v>
      </c>
      <c r="M272" s="7">
        <v>2.6913369999999999</v>
      </c>
      <c r="N272" s="7">
        <v>2.788834</v>
      </c>
      <c r="O272" s="7">
        <v>0.46119700000000002</v>
      </c>
      <c r="P272" s="7">
        <v>8.3767479999999992</v>
      </c>
      <c r="Q272" s="7">
        <v>14.318116</v>
      </c>
      <c r="R272" s="7">
        <v>1.452296</v>
      </c>
      <c r="S272" s="7">
        <v>1.7753159999999999</v>
      </c>
      <c r="T272" s="7">
        <v>1.3998969999999999</v>
      </c>
      <c r="U272" s="7">
        <v>13.522594</v>
      </c>
      <c r="V272" s="7">
        <v>18.150103000000001</v>
      </c>
      <c r="W272" s="7">
        <v>32.468218999999998</v>
      </c>
      <c r="X272" s="7">
        <v>1.1204759294683191</v>
      </c>
      <c r="Y272" s="7">
        <v>1.297503517077226</v>
      </c>
      <c r="Z272" s="7">
        <v>34.886198446545549</v>
      </c>
      <c r="AA272" s="7">
        <v>1.5538707881235769</v>
      </c>
      <c r="AB272" s="7">
        <v>36.440069234669117</v>
      </c>
      <c r="AC272" s="7">
        <v>1.0567839999999999</v>
      </c>
      <c r="AD272" s="7">
        <v>24.284821999999998</v>
      </c>
      <c r="AE272" s="7">
        <v>0</v>
      </c>
      <c r="AF272" s="7">
        <v>0</v>
      </c>
      <c r="AG272" s="7">
        <v>61.781675234669123</v>
      </c>
      <c r="AH272" s="7">
        <v>2.051634</v>
      </c>
      <c r="AI272" s="7">
        <v>0</v>
      </c>
      <c r="AJ272" s="7">
        <v>18.691099000000001</v>
      </c>
      <c r="AK272" s="7">
        <v>58.239586234669119</v>
      </c>
      <c r="AL272" s="7">
        <v>0</v>
      </c>
      <c r="AM272" s="7">
        <v>0</v>
      </c>
      <c r="AN272" s="7">
        <v>0</v>
      </c>
      <c r="AO272" s="7">
        <v>0</v>
      </c>
      <c r="AP272" s="7">
        <v>0</v>
      </c>
      <c r="AQ272" s="7">
        <v>58.239586234669119</v>
      </c>
      <c r="AR272" s="7">
        <v>77.693489661970233</v>
      </c>
      <c r="AS272" s="7">
        <v>42.807291215424677</v>
      </c>
      <c r="AT272" s="7">
        <v>41.253420427301108</v>
      </c>
    </row>
    <row r="273" spans="1:46" x14ac:dyDescent="0.35">
      <c r="A273" s="5">
        <v>46022</v>
      </c>
      <c r="B273" s="4" t="s">
        <v>609</v>
      </c>
      <c r="C273" s="4" t="s">
        <v>610</v>
      </c>
      <c r="D273" s="4" t="s">
        <v>89</v>
      </c>
      <c r="E273" s="6">
        <v>0</v>
      </c>
      <c r="F273" s="6">
        <v>0</v>
      </c>
      <c r="G273" s="6">
        <v>0</v>
      </c>
      <c r="H273" s="6">
        <v>0</v>
      </c>
      <c r="I273" s="6">
        <v>0</v>
      </c>
      <c r="J273" s="6">
        <v>9962.2483219999995</v>
      </c>
      <c r="K273" s="6">
        <v>9962.2483219999995</v>
      </c>
      <c r="L273" s="6">
        <v>9962.2483219999995</v>
      </c>
      <c r="M273" s="7">
        <v>63.039293999999998</v>
      </c>
      <c r="N273" s="7">
        <v>2.182296</v>
      </c>
      <c r="O273" s="7">
        <v>5.3640420000000004</v>
      </c>
      <c r="P273" s="7">
        <v>44.773232999999998</v>
      </c>
      <c r="Q273" s="7">
        <v>115.35886499999999</v>
      </c>
      <c r="R273" s="7">
        <v>13.115767</v>
      </c>
      <c r="S273" s="7">
        <v>11.248671999999999</v>
      </c>
      <c r="T273" s="7">
        <v>7.4933800000000002</v>
      </c>
      <c r="U273" s="7">
        <v>17.860520999999999</v>
      </c>
      <c r="V273" s="7">
        <v>49.718339999999998</v>
      </c>
      <c r="W273" s="7">
        <v>165.07720499999999</v>
      </c>
      <c r="X273" s="7">
        <v>1.1327450526483669</v>
      </c>
      <c r="Y273" s="7">
        <v>14.411602095097811</v>
      </c>
      <c r="Z273" s="7">
        <v>180.6215521477462</v>
      </c>
      <c r="AA273" s="7">
        <v>21.477636278574959</v>
      </c>
      <c r="AB273" s="7">
        <v>202.09918842632109</v>
      </c>
      <c r="AC273" s="7">
        <v>0</v>
      </c>
      <c r="AD273" s="7">
        <v>26.869251999999999</v>
      </c>
      <c r="AE273" s="7">
        <v>0</v>
      </c>
      <c r="AF273" s="7">
        <v>0</v>
      </c>
      <c r="AG273" s="7">
        <v>228.96844042632111</v>
      </c>
      <c r="AH273" s="7">
        <v>1.1571849999999999</v>
      </c>
      <c r="AI273" s="7">
        <v>0</v>
      </c>
      <c r="AJ273" s="7">
        <v>21.04297</v>
      </c>
      <c r="AK273" s="7">
        <v>224.29934342632109</v>
      </c>
      <c r="AL273" s="7">
        <v>0</v>
      </c>
      <c r="AM273" s="7">
        <v>0</v>
      </c>
      <c r="AN273" s="7">
        <v>0</v>
      </c>
      <c r="AO273" s="7">
        <v>0</v>
      </c>
      <c r="AP273" s="7">
        <v>0</v>
      </c>
      <c r="AQ273" s="7">
        <v>224.29934342632109</v>
      </c>
      <c r="AR273" s="7">
        <v>291.31813357814951</v>
      </c>
      <c r="AS273" s="7">
        <v>110.6965814304033</v>
      </c>
      <c r="AT273" s="7">
        <v>89.218945151828351</v>
      </c>
    </row>
    <row r="274" spans="1:46" x14ac:dyDescent="0.35">
      <c r="A274" s="5">
        <v>46022</v>
      </c>
      <c r="B274" s="4" t="s">
        <v>611</v>
      </c>
      <c r="C274" s="4" t="s">
        <v>612</v>
      </c>
      <c r="D274" s="4" t="s">
        <v>222</v>
      </c>
      <c r="E274" s="6">
        <v>0</v>
      </c>
      <c r="F274" s="6">
        <v>0</v>
      </c>
      <c r="G274" s="6">
        <v>0</v>
      </c>
      <c r="H274" s="6">
        <v>0</v>
      </c>
      <c r="I274" s="6">
        <v>0</v>
      </c>
      <c r="J274" s="6">
        <v>3500</v>
      </c>
      <c r="K274" s="6">
        <v>3500</v>
      </c>
      <c r="L274" s="6">
        <v>4200</v>
      </c>
      <c r="M274" s="7">
        <v>43.224615693430657</v>
      </c>
      <c r="N274" s="7">
        <v>11.523400000000001</v>
      </c>
      <c r="O274" s="7">
        <v>9.8304775912408768</v>
      </c>
      <c r="P274" s="7">
        <v>86.032045255474458</v>
      </c>
      <c r="Q274" s="7">
        <v>150.610538540146</v>
      </c>
      <c r="R274" s="7">
        <v>15.32159408759124</v>
      </c>
      <c r="S274" s="7">
        <v>10.8076297080292</v>
      </c>
      <c r="T274" s="7">
        <v>11.712817810218979</v>
      </c>
      <c r="U274" s="7">
        <v>13.0195797080292</v>
      </c>
      <c r="V274" s="7">
        <v>50.861621313868611</v>
      </c>
      <c r="W274" s="7">
        <v>201.47215985401459</v>
      </c>
      <c r="X274" s="7">
        <v>2.5208646903092862</v>
      </c>
      <c r="Y274" s="7">
        <v>48.967267703951563</v>
      </c>
      <c r="Z274" s="7">
        <v>252.96029224827549</v>
      </c>
      <c r="AA274" s="7">
        <v>0</v>
      </c>
      <c r="AB274" s="7">
        <v>252.96029224827549</v>
      </c>
      <c r="AC274" s="7">
        <v>0</v>
      </c>
      <c r="AD274" s="7">
        <v>44.700288394160587</v>
      </c>
      <c r="AE274" s="7">
        <v>0</v>
      </c>
      <c r="AF274" s="7">
        <v>0</v>
      </c>
      <c r="AG274" s="7">
        <v>297.660580642436</v>
      </c>
      <c r="AH274" s="7">
        <v>4.9486682481751831</v>
      </c>
      <c r="AI274" s="7">
        <v>0</v>
      </c>
      <c r="AJ274" s="7">
        <v>38.435884452554752</v>
      </c>
      <c r="AK274" s="7">
        <v>296.34484494900539</v>
      </c>
      <c r="AL274" s="7">
        <v>0</v>
      </c>
      <c r="AM274" s="7">
        <v>0</v>
      </c>
      <c r="AN274" s="7">
        <v>0</v>
      </c>
      <c r="AO274" s="7">
        <v>0</v>
      </c>
      <c r="AP274" s="7">
        <v>0</v>
      </c>
      <c r="AQ274" s="7">
        <v>296.34484494900539</v>
      </c>
      <c r="AR274" s="7">
        <v>371.76362717175999</v>
      </c>
      <c r="AS274" s="7">
        <v>118.8033349234846</v>
      </c>
      <c r="AT274" s="7">
        <v>118.8033349234846</v>
      </c>
    </row>
    <row r="275" spans="1:46" x14ac:dyDescent="0.35">
      <c r="A275" s="5">
        <v>46022</v>
      </c>
      <c r="B275" s="4" t="s">
        <v>613</v>
      </c>
      <c r="C275" s="4" t="s">
        <v>614</v>
      </c>
      <c r="D275" s="4" t="s">
        <v>105</v>
      </c>
      <c r="E275" s="6">
        <v>0</v>
      </c>
      <c r="F275" s="6">
        <v>0</v>
      </c>
      <c r="G275" s="6">
        <v>0</v>
      </c>
      <c r="H275" s="6">
        <v>0</v>
      </c>
      <c r="I275" s="6">
        <v>0</v>
      </c>
      <c r="J275" s="6">
        <v>9000</v>
      </c>
      <c r="K275" s="6">
        <v>9000</v>
      </c>
      <c r="L275" s="6">
        <v>9000</v>
      </c>
      <c r="M275" s="7">
        <v>3.8202661424827302</v>
      </c>
      <c r="N275" s="7">
        <v>0.25132599999999999</v>
      </c>
      <c r="O275" s="7">
        <v>0.34432460283944372</v>
      </c>
      <c r="P275" s="7">
        <v>1.6533956274936861</v>
      </c>
      <c r="Q275" s="7">
        <v>6.0693123728158591</v>
      </c>
      <c r="R275" s="7">
        <v>0.75840606580069403</v>
      </c>
      <c r="S275" s="7">
        <v>0.97105114187270858</v>
      </c>
      <c r="T275" s="7">
        <v>1.5587953277221629</v>
      </c>
      <c r="U275" s="7">
        <v>1.5323830827836851</v>
      </c>
      <c r="V275" s="7">
        <v>4.8206356181792511</v>
      </c>
      <c r="W275" s="7">
        <v>10.889947990995109</v>
      </c>
      <c r="X275" s="7">
        <v>0</v>
      </c>
      <c r="Y275" s="7">
        <v>1.8718568010500021</v>
      </c>
      <c r="Z275" s="7">
        <v>12.76180479204511</v>
      </c>
      <c r="AA275" s="7">
        <v>2.986895417356938</v>
      </c>
      <c r="AB275" s="7">
        <v>15.748700209402051</v>
      </c>
      <c r="AC275" s="7">
        <v>0</v>
      </c>
      <c r="AD275" s="7">
        <v>12.24673680259011</v>
      </c>
      <c r="AE275" s="7">
        <v>0</v>
      </c>
      <c r="AF275" s="7">
        <v>0</v>
      </c>
      <c r="AG275" s="7">
        <v>27.995437011992159</v>
      </c>
      <c r="AH275" s="7">
        <v>0.3972912237938418</v>
      </c>
      <c r="AI275" s="7">
        <v>0</v>
      </c>
      <c r="AJ275" s="7">
        <v>2.0857807127299641</v>
      </c>
      <c r="AK275" s="7">
        <v>18.231772145925859</v>
      </c>
      <c r="AL275" s="7">
        <v>0</v>
      </c>
      <c r="AM275" s="7">
        <v>0</v>
      </c>
      <c r="AN275" s="7">
        <v>0</v>
      </c>
      <c r="AO275" s="7">
        <v>0</v>
      </c>
      <c r="AP275" s="7">
        <v>0</v>
      </c>
      <c r="AQ275" s="7">
        <v>18.231772145925859</v>
      </c>
      <c r="AR275" s="7">
        <v>59.737904189934113</v>
      </c>
      <c r="AS275" s="7">
        <v>46.976099397889001</v>
      </c>
      <c r="AT275" s="7">
        <v>43.989203980532061</v>
      </c>
    </row>
    <row r="276" spans="1:46" x14ac:dyDescent="0.35">
      <c r="A276" s="5">
        <v>46022</v>
      </c>
      <c r="B276" s="4" t="s">
        <v>615</v>
      </c>
      <c r="C276" s="4" t="s">
        <v>616</v>
      </c>
      <c r="D276" s="4" t="s">
        <v>79</v>
      </c>
      <c r="E276" s="6">
        <v>0</v>
      </c>
      <c r="F276" s="6">
        <v>0</v>
      </c>
      <c r="G276" s="6">
        <v>0</v>
      </c>
      <c r="H276" s="6">
        <v>0</v>
      </c>
      <c r="I276" s="6">
        <v>4583.6734690000003</v>
      </c>
      <c r="J276" s="6">
        <v>0</v>
      </c>
      <c r="K276" s="6">
        <v>4583.6734690000003</v>
      </c>
      <c r="L276" s="6">
        <v>4583.6734690000003</v>
      </c>
      <c r="M276" s="7">
        <v>1.6822569999999999</v>
      </c>
      <c r="N276" s="7">
        <v>0.32383400000000001</v>
      </c>
      <c r="O276" s="7">
        <v>8.0056000000000002E-2</v>
      </c>
      <c r="P276" s="7">
        <v>1.8217399999999999</v>
      </c>
      <c r="Q276" s="7">
        <v>3.9078870000000001</v>
      </c>
      <c r="R276" s="7">
        <v>1.4801960000000001</v>
      </c>
      <c r="S276" s="7">
        <v>0.513154</v>
      </c>
      <c r="T276" s="7">
        <v>0.36652400000000002</v>
      </c>
      <c r="U276" s="7">
        <v>1.1244810000000001</v>
      </c>
      <c r="V276" s="7">
        <v>3.4843549999999999</v>
      </c>
      <c r="W276" s="7">
        <v>7.3922420000000004</v>
      </c>
      <c r="X276" s="7">
        <v>4.0441881973421169E-2</v>
      </c>
      <c r="Y276" s="7">
        <v>0</v>
      </c>
      <c r="Z276" s="7">
        <v>7.4326838819734213</v>
      </c>
      <c r="AA276" s="7">
        <v>2.066585206081353E-2</v>
      </c>
      <c r="AB276" s="7">
        <v>7.4533497340342354</v>
      </c>
      <c r="AC276" s="7">
        <v>0</v>
      </c>
      <c r="AD276" s="7">
        <v>0.51250099999999998</v>
      </c>
      <c r="AE276" s="7">
        <v>0</v>
      </c>
      <c r="AF276" s="7">
        <v>0</v>
      </c>
      <c r="AG276" s="7">
        <v>7.9658507340342348</v>
      </c>
      <c r="AH276" s="7">
        <v>9.4237000000000001E-2</v>
      </c>
      <c r="AI276" s="7">
        <v>0</v>
      </c>
      <c r="AJ276" s="7">
        <v>0.51250099999999998</v>
      </c>
      <c r="AK276" s="7">
        <v>8.0600877340342354</v>
      </c>
      <c r="AL276" s="7">
        <v>0</v>
      </c>
      <c r="AM276" s="7">
        <v>0</v>
      </c>
      <c r="AN276" s="7">
        <v>0</v>
      </c>
      <c r="AO276" s="7">
        <v>0</v>
      </c>
      <c r="AP276" s="7">
        <v>0</v>
      </c>
      <c r="AQ276" s="7">
        <v>8.0600877340342354</v>
      </c>
      <c r="AR276" s="7">
        <v>4.5371134172877534</v>
      </c>
      <c r="AS276" s="7">
        <v>-2.8955704646856679</v>
      </c>
      <c r="AT276" s="7">
        <v>-2.9162363167464811</v>
      </c>
    </row>
    <row r="277" spans="1:46" x14ac:dyDescent="0.35">
      <c r="A277" s="5">
        <v>46022</v>
      </c>
      <c r="B277" s="4" t="s">
        <v>617</v>
      </c>
      <c r="C277" s="4" t="s">
        <v>618</v>
      </c>
      <c r="D277" s="4" t="s">
        <v>344</v>
      </c>
      <c r="E277" s="6">
        <v>29541.740399999999</v>
      </c>
      <c r="F277" s="6">
        <v>0</v>
      </c>
      <c r="G277" s="6">
        <v>29541.740399999999</v>
      </c>
      <c r="H277" s="6">
        <v>1.969449</v>
      </c>
      <c r="I277" s="6">
        <v>15000</v>
      </c>
      <c r="J277" s="6">
        <v>0</v>
      </c>
      <c r="K277" s="6">
        <v>15000</v>
      </c>
      <c r="L277" s="6">
        <v>15913.064</v>
      </c>
      <c r="M277" s="7">
        <v>1.776993</v>
      </c>
      <c r="N277" s="7">
        <v>1.4665170000000001</v>
      </c>
      <c r="O277" s="7">
        <v>0.140185</v>
      </c>
      <c r="P277" s="7">
        <v>3.5192619999999999</v>
      </c>
      <c r="Q277" s="7">
        <v>6.9029569999999998</v>
      </c>
      <c r="R277" s="7">
        <v>0.98485800000000001</v>
      </c>
      <c r="S277" s="7">
        <v>2.8129879999999998</v>
      </c>
      <c r="T277" s="7">
        <v>1.32698</v>
      </c>
      <c r="U277" s="7">
        <v>3.2068180000000002</v>
      </c>
      <c r="V277" s="7">
        <v>8.3316440000000007</v>
      </c>
      <c r="W277" s="7">
        <v>15.234601</v>
      </c>
      <c r="X277" s="7">
        <v>1.206526624231512</v>
      </c>
      <c r="Y277" s="7">
        <v>2.1801648984505801</v>
      </c>
      <c r="Z277" s="7">
        <v>18.62129252268209</v>
      </c>
      <c r="AA277" s="7">
        <v>0</v>
      </c>
      <c r="AB277" s="7">
        <v>18.62129252268209</v>
      </c>
      <c r="AC277" s="7">
        <v>0.13825100000000001</v>
      </c>
      <c r="AD277" s="7">
        <v>2.8754369999999998</v>
      </c>
      <c r="AE277" s="7">
        <v>0</v>
      </c>
      <c r="AF277" s="7">
        <v>0</v>
      </c>
      <c r="AG277" s="7">
        <v>21.634980522682088</v>
      </c>
      <c r="AH277" s="7">
        <v>0.84312900000000013</v>
      </c>
      <c r="AI277" s="7">
        <v>0</v>
      </c>
      <c r="AJ277" s="7">
        <v>0.31420700000000001</v>
      </c>
      <c r="AK277" s="7">
        <v>19.916879522682091</v>
      </c>
      <c r="AL277" s="7">
        <v>0</v>
      </c>
      <c r="AM277" s="7">
        <v>0</v>
      </c>
      <c r="AN277" s="7">
        <v>0</v>
      </c>
      <c r="AO277" s="7">
        <v>0</v>
      </c>
      <c r="AP277" s="7">
        <v>0</v>
      </c>
      <c r="AQ277" s="7">
        <v>19.916879522682091</v>
      </c>
      <c r="AR277" s="7">
        <v>27.3209072882633</v>
      </c>
      <c r="AS277" s="7">
        <v>8.6996147655812095</v>
      </c>
      <c r="AT277" s="7">
        <v>8.6996147655812095</v>
      </c>
    </row>
    <row r="278" spans="1:46" x14ac:dyDescent="0.35">
      <c r="A278" s="5">
        <v>46022</v>
      </c>
      <c r="B278" s="4" t="s">
        <v>619</v>
      </c>
      <c r="C278" s="4" t="s">
        <v>620</v>
      </c>
      <c r="D278" s="4" t="s">
        <v>61</v>
      </c>
      <c r="E278" s="6">
        <v>0</v>
      </c>
      <c r="F278" s="6">
        <v>0</v>
      </c>
      <c r="G278" s="6">
        <v>0</v>
      </c>
      <c r="H278" s="6">
        <v>0</v>
      </c>
      <c r="I278" s="6">
        <v>0</v>
      </c>
      <c r="J278" s="6">
        <v>10000</v>
      </c>
      <c r="K278" s="6">
        <v>10000</v>
      </c>
      <c r="L278" s="6">
        <v>10000</v>
      </c>
      <c r="M278" s="7">
        <v>1.826227</v>
      </c>
      <c r="N278" s="7">
        <v>0.31549500000000003</v>
      </c>
      <c r="O278" s="7">
        <v>6.3213030000000003</v>
      </c>
      <c r="P278" s="7">
        <v>3.76309</v>
      </c>
      <c r="Q278" s="7">
        <v>12.226115</v>
      </c>
      <c r="R278" s="7">
        <v>1.545269</v>
      </c>
      <c r="S278" s="7">
        <v>0.98289599999999999</v>
      </c>
      <c r="T278" s="7">
        <v>3.0909870000000002</v>
      </c>
      <c r="U278" s="7">
        <v>2.7393510000000001</v>
      </c>
      <c r="V278" s="7">
        <v>8.3585030000000007</v>
      </c>
      <c r="W278" s="7">
        <v>20.584617999999999</v>
      </c>
      <c r="X278" s="7">
        <v>1.04659157932665</v>
      </c>
      <c r="Y278" s="7">
        <v>2.6112868380040459</v>
      </c>
      <c r="Z278" s="7">
        <v>24.242496417330699</v>
      </c>
      <c r="AA278" s="7">
        <v>1.994130370793967</v>
      </c>
      <c r="AB278" s="7">
        <v>26.23662678812466</v>
      </c>
      <c r="AC278" s="7">
        <v>0</v>
      </c>
      <c r="AD278" s="7">
        <v>1.40479</v>
      </c>
      <c r="AE278" s="7">
        <v>0</v>
      </c>
      <c r="AF278" s="7">
        <v>0</v>
      </c>
      <c r="AG278" s="7">
        <v>27.641416788124658</v>
      </c>
      <c r="AH278" s="7">
        <v>1.376695</v>
      </c>
      <c r="AI278" s="7">
        <v>0</v>
      </c>
      <c r="AJ278" s="7">
        <v>0.84287400000000001</v>
      </c>
      <c r="AK278" s="7">
        <v>28.45619578812466</v>
      </c>
      <c r="AL278" s="7">
        <v>0</v>
      </c>
      <c r="AM278" s="7">
        <v>0</v>
      </c>
      <c r="AN278" s="7">
        <v>0</v>
      </c>
      <c r="AO278" s="7">
        <v>0</v>
      </c>
      <c r="AP278" s="7">
        <v>0</v>
      </c>
      <c r="AQ278" s="7">
        <v>28.45619578812466</v>
      </c>
      <c r="AR278" s="7">
        <v>49.852991887029923</v>
      </c>
      <c r="AS278" s="7">
        <v>25.61049546969922</v>
      </c>
      <c r="AT278" s="7">
        <v>23.616365098905248</v>
      </c>
    </row>
    <row r="279" spans="1:46" x14ac:dyDescent="0.35">
      <c r="A279" s="5">
        <v>46022</v>
      </c>
      <c r="B279" s="4" t="s">
        <v>621</v>
      </c>
      <c r="C279" s="4" t="s">
        <v>622</v>
      </c>
      <c r="D279" s="4" t="s">
        <v>58</v>
      </c>
      <c r="E279" s="6">
        <v>136597.612731</v>
      </c>
      <c r="F279" s="6">
        <v>0</v>
      </c>
      <c r="G279" s="6">
        <v>136597.612731</v>
      </c>
      <c r="H279" s="6">
        <v>2.276627</v>
      </c>
      <c r="I279" s="6">
        <v>60000</v>
      </c>
      <c r="J279" s="6">
        <v>0</v>
      </c>
      <c r="K279" s="6">
        <v>60000</v>
      </c>
      <c r="L279" s="6">
        <v>60000</v>
      </c>
      <c r="M279" s="7">
        <v>3.160984</v>
      </c>
      <c r="N279" s="7">
        <v>1.3810229999999999</v>
      </c>
      <c r="O279" s="7">
        <v>0.159743</v>
      </c>
      <c r="P279" s="7">
        <v>1.3642350000000001</v>
      </c>
      <c r="Q279" s="7">
        <v>6.0659850000000004</v>
      </c>
      <c r="R279" s="7">
        <v>1.029245</v>
      </c>
      <c r="S279" s="7">
        <v>2.9495E-2</v>
      </c>
      <c r="T279" s="7">
        <v>1.37233</v>
      </c>
      <c r="U279" s="7">
        <v>0.31795800000000002</v>
      </c>
      <c r="V279" s="7">
        <v>2.749028</v>
      </c>
      <c r="W279" s="7">
        <v>8.8150130000000004</v>
      </c>
      <c r="X279" s="7">
        <v>0.42225000000000001</v>
      </c>
      <c r="Y279" s="7">
        <v>0</v>
      </c>
      <c r="Z279" s="7">
        <v>9.2372630000000004</v>
      </c>
      <c r="AA279" s="7">
        <v>1.3542140160273219</v>
      </c>
      <c r="AB279" s="7">
        <v>10.591477016027319</v>
      </c>
      <c r="AC279" s="7">
        <v>0</v>
      </c>
      <c r="AD279" s="7">
        <v>2.5574270000000001</v>
      </c>
      <c r="AE279" s="7">
        <v>0</v>
      </c>
      <c r="AF279" s="7">
        <v>0</v>
      </c>
      <c r="AG279" s="7">
        <v>13.14890401602732</v>
      </c>
      <c r="AH279" s="7">
        <v>0.91666700000000012</v>
      </c>
      <c r="AI279" s="7">
        <v>0</v>
      </c>
      <c r="AJ279" s="7">
        <v>1.1109899999999999</v>
      </c>
      <c r="AK279" s="7">
        <v>12.619134016027321</v>
      </c>
      <c r="AL279" s="7">
        <v>0</v>
      </c>
      <c r="AM279" s="7">
        <v>0</v>
      </c>
      <c r="AN279" s="7">
        <v>0</v>
      </c>
      <c r="AO279" s="7">
        <v>0</v>
      </c>
      <c r="AP279" s="7">
        <v>4.18825</v>
      </c>
      <c r="AQ279" s="7">
        <v>16.807384016027321</v>
      </c>
      <c r="AR279" s="7">
        <v>26.065253229852001</v>
      </c>
      <c r="AS279" s="7">
        <v>16.827990229851999</v>
      </c>
      <c r="AT279" s="7">
        <v>15.47377621382468</v>
      </c>
    </row>
    <row r="280" spans="1:46" x14ac:dyDescent="0.35">
      <c r="A280" s="5">
        <v>46022</v>
      </c>
      <c r="B280" s="4" t="s">
        <v>623</v>
      </c>
      <c r="C280" s="4" t="s">
        <v>624</v>
      </c>
      <c r="D280" s="4" t="s">
        <v>79</v>
      </c>
      <c r="E280" s="6">
        <v>0</v>
      </c>
      <c r="F280" s="6">
        <v>0</v>
      </c>
      <c r="G280" s="6">
        <v>0</v>
      </c>
      <c r="H280" s="6">
        <v>0</v>
      </c>
      <c r="I280" s="6">
        <v>0</v>
      </c>
      <c r="J280" s="6">
        <v>0</v>
      </c>
      <c r="K280" s="6">
        <v>0</v>
      </c>
      <c r="L280" s="6">
        <v>5762.5176869999996</v>
      </c>
      <c r="M280" s="7">
        <v>0</v>
      </c>
      <c r="N280" s="7">
        <v>0</v>
      </c>
      <c r="O280" s="7">
        <v>0</v>
      </c>
      <c r="P280" s="7">
        <v>0</v>
      </c>
      <c r="Q280" s="7">
        <v>0</v>
      </c>
      <c r="R280" s="7">
        <v>2.3264040000000001</v>
      </c>
      <c r="S280" s="7">
        <v>0.61893200000000004</v>
      </c>
      <c r="T280" s="7">
        <v>0.54434400000000005</v>
      </c>
      <c r="U280" s="7">
        <v>2.7759779999999998</v>
      </c>
      <c r="V280" s="7">
        <v>6.2656580000000002</v>
      </c>
      <c r="W280" s="7">
        <v>6.2656580000000002</v>
      </c>
      <c r="X280" s="7">
        <v>0.1445889881916817</v>
      </c>
      <c r="Y280" s="7">
        <v>0</v>
      </c>
      <c r="Z280" s="7">
        <v>6.4102469881916821</v>
      </c>
      <c r="AA280" s="7">
        <v>0</v>
      </c>
      <c r="AB280" s="7">
        <v>6.4102469881916821</v>
      </c>
      <c r="AC280" s="7">
        <v>0</v>
      </c>
      <c r="AD280" s="7">
        <v>0.73870999999999998</v>
      </c>
      <c r="AE280" s="7">
        <v>0</v>
      </c>
      <c r="AF280" s="7">
        <v>0</v>
      </c>
      <c r="AG280" s="7">
        <v>7.1489569881916823</v>
      </c>
      <c r="AH280" s="7">
        <v>0.39494699999999999</v>
      </c>
      <c r="AI280" s="7">
        <v>0</v>
      </c>
      <c r="AJ280" s="7">
        <v>0.68145500000000003</v>
      </c>
      <c r="AK280" s="7">
        <v>7.486648988191682</v>
      </c>
      <c r="AL280" s="7">
        <v>0</v>
      </c>
      <c r="AM280" s="7">
        <v>0</v>
      </c>
      <c r="AN280" s="7">
        <v>0</v>
      </c>
      <c r="AO280" s="7">
        <v>0</v>
      </c>
      <c r="AP280" s="7">
        <v>0</v>
      </c>
      <c r="AQ280" s="7">
        <v>7.486648988191682</v>
      </c>
      <c r="AR280" s="7">
        <v>13.015363390643371</v>
      </c>
      <c r="AS280" s="7">
        <v>6.6051164024516869</v>
      </c>
      <c r="AT280" s="7">
        <v>6.6051164024516869</v>
      </c>
    </row>
    <row r="281" spans="1:46" x14ac:dyDescent="0.35">
      <c r="A281" s="5">
        <v>46022</v>
      </c>
      <c r="B281" s="4" t="s">
        <v>625</v>
      </c>
      <c r="C281" s="4" t="s">
        <v>626</v>
      </c>
      <c r="D281" s="4" t="s">
        <v>89</v>
      </c>
      <c r="E281" s="6">
        <v>0</v>
      </c>
      <c r="F281" s="6">
        <v>0</v>
      </c>
      <c r="G281" s="6">
        <v>0</v>
      </c>
      <c r="H281" s="6">
        <v>0</v>
      </c>
      <c r="I281" s="6">
        <v>0</v>
      </c>
      <c r="J281" s="6">
        <v>918</v>
      </c>
      <c r="K281" s="6">
        <v>918</v>
      </c>
      <c r="L281" s="6">
        <v>918</v>
      </c>
      <c r="M281" s="7">
        <v>79.005683000000005</v>
      </c>
      <c r="N281" s="7">
        <v>1.64706</v>
      </c>
      <c r="O281" s="7">
        <v>1.310519</v>
      </c>
      <c r="P281" s="7">
        <v>31.830259999999999</v>
      </c>
      <c r="Q281" s="7">
        <v>113.793522</v>
      </c>
      <c r="R281" s="7">
        <v>20.767880999999999</v>
      </c>
      <c r="S281" s="7">
        <v>4.8353460000000004</v>
      </c>
      <c r="T281" s="7">
        <v>3.4113280000000001</v>
      </c>
      <c r="U281" s="7">
        <v>18.645014</v>
      </c>
      <c r="V281" s="7">
        <v>47.659568999999998</v>
      </c>
      <c r="W281" s="7">
        <v>161.453091</v>
      </c>
      <c r="X281" s="7">
        <v>10.43551476616776</v>
      </c>
      <c r="Y281" s="7">
        <v>21.465124407463431</v>
      </c>
      <c r="Z281" s="7">
        <v>193.35373017363119</v>
      </c>
      <c r="AA281" s="7">
        <v>4.319151951179018</v>
      </c>
      <c r="AB281" s="7">
        <v>197.6728821248102</v>
      </c>
      <c r="AC281" s="7">
        <v>0</v>
      </c>
      <c r="AD281" s="7">
        <v>15.928305999999999</v>
      </c>
      <c r="AE281" s="7">
        <v>0</v>
      </c>
      <c r="AF281" s="7">
        <v>0</v>
      </c>
      <c r="AG281" s="7">
        <v>213.60118812481019</v>
      </c>
      <c r="AH281" s="7">
        <v>1.9021870000000001</v>
      </c>
      <c r="AI281" s="7">
        <v>0</v>
      </c>
      <c r="AJ281" s="7">
        <v>13.153992000000001</v>
      </c>
      <c r="AK281" s="7">
        <v>212.72906112481019</v>
      </c>
      <c r="AL281" s="7">
        <v>0</v>
      </c>
      <c r="AM281" s="7">
        <v>0</v>
      </c>
      <c r="AN281" s="7">
        <v>0</v>
      </c>
      <c r="AO281" s="7">
        <v>0</v>
      </c>
      <c r="AP281" s="7">
        <v>0</v>
      </c>
      <c r="AQ281" s="7">
        <v>212.72906112481019</v>
      </c>
      <c r="AR281" s="7">
        <v>332.74745070800992</v>
      </c>
      <c r="AS281" s="7">
        <v>139.3937205343787</v>
      </c>
      <c r="AT281" s="7">
        <v>135.07456858319969</v>
      </c>
    </row>
    <row r="282" spans="1:46" x14ac:dyDescent="0.35">
      <c r="A282" s="5">
        <v>46022</v>
      </c>
      <c r="B282" s="4" t="s">
        <v>627</v>
      </c>
      <c r="C282" s="4" t="s">
        <v>628</v>
      </c>
      <c r="D282" s="4" t="s">
        <v>213</v>
      </c>
      <c r="E282" s="6">
        <v>8000</v>
      </c>
      <c r="F282" s="6">
        <v>0</v>
      </c>
      <c r="G282" s="6">
        <v>8000</v>
      </c>
      <c r="H282" s="6">
        <v>4</v>
      </c>
      <c r="I282" s="6">
        <v>2000</v>
      </c>
      <c r="J282" s="6">
        <v>0</v>
      </c>
      <c r="K282" s="6">
        <v>2000</v>
      </c>
      <c r="L282" s="6">
        <v>1500</v>
      </c>
      <c r="M282" s="7">
        <v>11.330092</v>
      </c>
      <c r="N282" s="7">
        <v>8.4105100000000004</v>
      </c>
      <c r="O282" s="7">
        <v>0.41845399999999999</v>
      </c>
      <c r="P282" s="7">
        <v>5.568638</v>
      </c>
      <c r="Q282" s="7">
        <v>25.727694</v>
      </c>
      <c r="R282" s="7">
        <v>7.8801519999999998</v>
      </c>
      <c r="S282" s="7">
        <v>23.805702</v>
      </c>
      <c r="T282" s="7">
        <v>8.0439500000000006</v>
      </c>
      <c r="U282" s="7">
        <v>3.5759449999999999</v>
      </c>
      <c r="V282" s="7">
        <v>43.305748999999999</v>
      </c>
      <c r="W282" s="7">
        <v>69.033443000000005</v>
      </c>
      <c r="X282" s="7">
        <v>9.5528136161266666</v>
      </c>
      <c r="Y282" s="7">
        <v>0</v>
      </c>
      <c r="Z282" s="7">
        <v>78.586256616126676</v>
      </c>
      <c r="AA282" s="7">
        <v>12.57329747640331</v>
      </c>
      <c r="AB282" s="7">
        <v>91.159554092529973</v>
      </c>
      <c r="AC282" s="7">
        <v>0</v>
      </c>
      <c r="AD282" s="7">
        <v>15.524632</v>
      </c>
      <c r="AE282" s="7">
        <v>0</v>
      </c>
      <c r="AF282" s="7">
        <v>0</v>
      </c>
      <c r="AG282" s="7">
        <v>106.68418609253</v>
      </c>
      <c r="AH282" s="7">
        <v>4.3333329999999997</v>
      </c>
      <c r="AI282" s="7">
        <v>0</v>
      </c>
      <c r="AJ282" s="7">
        <v>0.73333300000000012</v>
      </c>
      <c r="AK282" s="7">
        <v>96.226220092529985</v>
      </c>
      <c r="AL282" s="7">
        <v>0</v>
      </c>
      <c r="AM282" s="7">
        <v>0</v>
      </c>
      <c r="AN282" s="7">
        <v>0</v>
      </c>
      <c r="AO282" s="7">
        <v>0</v>
      </c>
      <c r="AP282" s="7">
        <v>0</v>
      </c>
      <c r="AQ282" s="7">
        <v>96.226220092529985</v>
      </c>
      <c r="AR282" s="7">
        <v>188.40860122619119</v>
      </c>
      <c r="AS282" s="7">
        <v>109.8223446100645</v>
      </c>
      <c r="AT282" s="7">
        <v>97.249047133661165</v>
      </c>
    </row>
    <row r="283" spans="1:46" x14ac:dyDescent="0.35">
      <c r="A283" s="5">
        <v>46022</v>
      </c>
      <c r="B283" s="4" t="s">
        <v>629</v>
      </c>
      <c r="C283" s="4" t="s">
        <v>630</v>
      </c>
      <c r="D283" s="4" t="s">
        <v>58</v>
      </c>
      <c r="E283" s="6">
        <v>25000</v>
      </c>
      <c r="F283" s="6">
        <v>0</v>
      </c>
      <c r="G283" s="6">
        <v>25000</v>
      </c>
      <c r="H283" s="6">
        <v>2.5</v>
      </c>
      <c r="I283" s="6">
        <v>10000</v>
      </c>
      <c r="J283" s="6">
        <v>0</v>
      </c>
      <c r="K283" s="6">
        <v>10000</v>
      </c>
      <c r="L283" s="6">
        <v>10000</v>
      </c>
      <c r="M283" s="7">
        <v>5.2067610000000002</v>
      </c>
      <c r="N283" s="7">
        <v>1.696701</v>
      </c>
      <c r="O283" s="7">
        <v>9.8584000000000005E-2</v>
      </c>
      <c r="P283" s="7">
        <v>1.3058419999999999</v>
      </c>
      <c r="Q283" s="7">
        <v>8.3078880000000002</v>
      </c>
      <c r="R283" s="7">
        <v>3.825027</v>
      </c>
      <c r="S283" s="7">
        <v>2.0492669999999999</v>
      </c>
      <c r="T283" s="7">
        <v>3.847785</v>
      </c>
      <c r="U283" s="7">
        <v>1.0244930000000001</v>
      </c>
      <c r="V283" s="7">
        <v>10.746572</v>
      </c>
      <c r="W283" s="7">
        <v>19.054459999999999</v>
      </c>
      <c r="X283" s="7">
        <v>0.92279999999999995</v>
      </c>
      <c r="Y283" s="7">
        <v>1.54508920685769</v>
      </c>
      <c r="Z283" s="7">
        <v>21.52234920685769</v>
      </c>
      <c r="AA283" s="7">
        <v>0.8742249165618815</v>
      </c>
      <c r="AB283" s="7">
        <v>22.396574123419569</v>
      </c>
      <c r="AC283" s="7">
        <v>0</v>
      </c>
      <c r="AD283" s="7">
        <v>6.6271050000000011</v>
      </c>
      <c r="AE283" s="7">
        <v>0</v>
      </c>
      <c r="AF283" s="7">
        <v>0</v>
      </c>
      <c r="AG283" s="7">
        <v>29.023679123419569</v>
      </c>
      <c r="AH283" s="7">
        <v>1.023093</v>
      </c>
      <c r="AI283" s="7">
        <v>0</v>
      </c>
      <c r="AJ283" s="7">
        <v>2.173</v>
      </c>
      <c r="AK283" s="7">
        <v>25.59266712341957</v>
      </c>
      <c r="AL283" s="7">
        <v>3.6</v>
      </c>
      <c r="AM283" s="7">
        <v>0</v>
      </c>
      <c r="AN283" s="7">
        <v>0</v>
      </c>
      <c r="AO283" s="7">
        <v>0</v>
      </c>
      <c r="AP283" s="7">
        <v>14.49715</v>
      </c>
      <c r="AQ283" s="7">
        <v>43.689817123419573</v>
      </c>
      <c r="AR283" s="7">
        <v>37.686383809738189</v>
      </c>
      <c r="AS283" s="7">
        <v>16.164034602880498</v>
      </c>
      <c r="AT283" s="7">
        <v>15.28980968631862</v>
      </c>
    </row>
    <row r="284" spans="1:46" x14ac:dyDescent="0.35">
      <c r="A284" s="5">
        <v>46022</v>
      </c>
      <c r="B284" s="4" t="s">
        <v>631</v>
      </c>
      <c r="C284" s="4" t="s">
        <v>632</v>
      </c>
      <c r="D284" s="4" t="s">
        <v>111</v>
      </c>
      <c r="E284" s="6">
        <v>0</v>
      </c>
      <c r="F284" s="6">
        <v>0</v>
      </c>
      <c r="G284" s="6">
        <v>0</v>
      </c>
      <c r="H284" s="6">
        <v>0</v>
      </c>
      <c r="I284" s="6">
        <v>0</v>
      </c>
      <c r="J284" s="6">
        <v>1429.8</v>
      </c>
      <c r="K284" s="6">
        <v>1429.8</v>
      </c>
      <c r="L284" s="6">
        <v>1429.8</v>
      </c>
      <c r="M284" s="7">
        <v>14.109335</v>
      </c>
      <c r="N284" s="7">
        <v>2.702499</v>
      </c>
      <c r="O284" s="7">
        <v>2.3278219999999998</v>
      </c>
      <c r="P284" s="7">
        <v>10.081439</v>
      </c>
      <c r="Q284" s="7">
        <v>29.221094999999998</v>
      </c>
      <c r="R284" s="7">
        <v>6.6238590000000004</v>
      </c>
      <c r="S284" s="7">
        <v>6.7953469999999987</v>
      </c>
      <c r="T284" s="7">
        <v>7.7413939999999988</v>
      </c>
      <c r="U284" s="7">
        <v>6.3504060000000004</v>
      </c>
      <c r="V284" s="7">
        <v>27.511005999999998</v>
      </c>
      <c r="W284" s="7">
        <v>56.732100999999993</v>
      </c>
      <c r="X284" s="7">
        <v>2.1283153140096518</v>
      </c>
      <c r="Y284" s="7">
        <v>6.1052188436439812</v>
      </c>
      <c r="Z284" s="7">
        <v>64.965635157653637</v>
      </c>
      <c r="AA284" s="7">
        <v>1.1794091332000249</v>
      </c>
      <c r="AB284" s="7">
        <v>66.145044290853647</v>
      </c>
      <c r="AC284" s="7">
        <v>0</v>
      </c>
      <c r="AD284" s="7">
        <v>16.303958000000002</v>
      </c>
      <c r="AE284" s="7">
        <v>0</v>
      </c>
      <c r="AF284" s="7">
        <v>0</v>
      </c>
      <c r="AG284" s="7">
        <v>82.449002290853656</v>
      </c>
      <c r="AH284" s="7">
        <v>1.263196</v>
      </c>
      <c r="AI284" s="7">
        <v>0</v>
      </c>
      <c r="AJ284" s="7">
        <v>5.6732100000000001</v>
      </c>
      <c r="AK284" s="7">
        <v>73.081450290853653</v>
      </c>
      <c r="AL284" s="7">
        <v>0</v>
      </c>
      <c r="AM284" s="7">
        <v>0</v>
      </c>
      <c r="AN284" s="7">
        <v>0</v>
      </c>
      <c r="AO284" s="7">
        <v>0</v>
      </c>
      <c r="AP284" s="7">
        <v>0</v>
      </c>
      <c r="AQ284" s="7">
        <v>73.081450290853653</v>
      </c>
      <c r="AR284" s="7">
        <v>79.824729694852962</v>
      </c>
      <c r="AS284" s="7">
        <v>14.85909453719934</v>
      </c>
      <c r="AT284" s="7">
        <v>13.67968540399931</v>
      </c>
    </row>
    <row r="285" spans="1:46" x14ac:dyDescent="0.35">
      <c r="A285" s="5">
        <v>46022</v>
      </c>
      <c r="B285" s="4" t="s">
        <v>633</v>
      </c>
      <c r="C285" s="4" t="s">
        <v>634</v>
      </c>
      <c r="D285" s="4" t="s">
        <v>635</v>
      </c>
      <c r="E285" s="6">
        <v>0</v>
      </c>
      <c r="F285" s="6">
        <v>0</v>
      </c>
      <c r="G285" s="6">
        <v>0</v>
      </c>
      <c r="H285" s="6">
        <v>0</v>
      </c>
      <c r="I285" s="6">
        <v>0</v>
      </c>
      <c r="J285" s="6">
        <v>393.684211</v>
      </c>
      <c r="K285" s="6">
        <v>393.684211</v>
      </c>
      <c r="L285" s="6">
        <v>395.78947399999998</v>
      </c>
      <c r="M285" s="7">
        <v>17.248896999999999</v>
      </c>
      <c r="N285" s="7">
        <v>9.2381510000000002</v>
      </c>
      <c r="O285" s="7">
        <v>11.339738000000001</v>
      </c>
      <c r="P285" s="7">
        <v>49.851875999999997</v>
      </c>
      <c r="Q285" s="7">
        <v>87.678662000000003</v>
      </c>
      <c r="R285" s="7">
        <v>12.057547</v>
      </c>
      <c r="S285" s="7">
        <v>3.8988149999999999</v>
      </c>
      <c r="T285" s="7">
        <v>6.2564010000000003</v>
      </c>
      <c r="U285" s="7">
        <v>15.235687</v>
      </c>
      <c r="V285" s="7">
        <v>37.448450000000001</v>
      </c>
      <c r="W285" s="7">
        <v>125.127112</v>
      </c>
      <c r="X285" s="7">
        <v>3.729298654838153</v>
      </c>
      <c r="Y285" s="7">
        <v>7.7524180521231942</v>
      </c>
      <c r="Z285" s="7">
        <v>136.6088287069613</v>
      </c>
      <c r="AA285" s="7">
        <v>79.725318652330586</v>
      </c>
      <c r="AB285" s="7">
        <v>216.3341473592919</v>
      </c>
      <c r="AC285" s="7">
        <v>1.515957</v>
      </c>
      <c r="AD285" s="7">
        <v>32.523949000000002</v>
      </c>
      <c r="AE285" s="7">
        <v>0</v>
      </c>
      <c r="AF285" s="7">
        <v>0</v>
      </c>
      <c r="AG285" s="7">
        <v>250.37405335929191</v>
      </c>
      <c r="AH285" s="7">
        <v>6.607316</v>
      </c>
      <c r="AI285" s="7">
        <v>2.5265960000000001</v>
      </c>
      <c r="AJ285" s="7">
        <v>9.6010639999999992</v>
      </c>
      <c r="AK285" s="7">
        <v>236.58508035929191</v>
      </c>
      <c r="AL285" s="7">
        <v>0</v>
      </c>
      <c r="AM285" s="7">
        <v>0</v>
      </c>
      <c r="AN285" s="7">
        <v>0</v>
      </c>
      <c r="AO285" s="7">
        <v>0</v>
      </c>
      <c r="AP285" s="7">
        <v>0</v>
      </c>
      <c r="AQ285" s="7">
        <v>236.58508035929191</v>
      </c>
      <c r="AR285" s="7">
        <v>271.44508781170072</v>
      </c>
      <c r="AS285" s="7">
        <v>134.83625910473941</v>
      </c>
      <c r="AT285" s="7">
        <v>55.110940452408769</v>
      </c>
    </row>
    <row r="286" spans="1:46" x14ac:dyDescent="0.35">
      <c r="A286" s="5">
        <v>46022</v>
      </c>
      <c r="B286" s="4" t="s">
        <v>636</v>
      </c>
      <c r="C286" s="4" t="s">
        <v>637</v>
      </c>
      <c r="D286" s="4" t="s">
        <v>61</v>
      </c>
      <c r="E286" s="6">
        <v>0</v>
      </c>
      <c r="F286" s="6">
        <v>0</v>
      </c>
      <c r="G286" s="6">
        <v>0</v>
      </c>
      <c r="H286" s="6">
        <v>0</v>
      </c>
      <c r="I286" s="6">
        <v>0</v>
      </c>
      <c r="J286" s="6">
        <v>1527</v>
      </c>
      <c r="K286" s="6">
        <v>1527</v>
      </c>
      <c r="L286" s="6">
        <v>1527</v>
      </c>
      <c r="M286" s="7">
        <v>4.6595079999999998</v>
      </c>
      <c r="N286" s="7">
        <v>2.9055939999999998</v>
      </c>
      <c r="O286" s="7">
        <v>3.8782730000000001</v>
      </c>
      <c r="P286" s="7">
        <v>11.411835999999999</v>
      </c>
      <c r="Q286" s="7">
        <v>22.855211000000001</v>
      </c>
      <c r="R286" s="7">
        <v>3.0948410000000002</v>
      </c>
      <c r="S286" s="7">
        <v>1.8282890000000001</v>
      </c>
      <c r="T286" s="7">
        <v>4.709994</v>
      </c>
      <c r="U286" s="7">
        <v>3.607256</v>
      </c>
      <c r="V286" s="7">
        <v>13.24038</v>
      </c>
      <c r="W286" s="7">
        <v>36.095590999999999</v>
      </c>
      <c r="X286" s="7">
        <v>2.3808251674657499</v>
      </c>
      <c r="Y286" s="7">
        <v>13.371347347823709</v>
      </c>
      <c r="Z286" s="7">
        <v>51.847763515289458</v>
      </c>
      <c r="AA286" s="7">
        <v>4.8709262851943222</v>
      </c>
      <c r="AB286" s="7">
        <v>56.71868980048378</v>
      </c>
      <c r="AC286" s="7">
        <v>0</v>
      </c>
      <c r="AD286" s="7">
        <v>2.2456100000000001</v>
      </c>
      <c r="AE286" s="7">
        <v>0</v>
      </c>
      <c r="AF286" s="7">
        <v>0</v>
      </c>
      <c r="AG286" s="7">
        <v>58.964299800483779</v>
      </c>
      <c r="AH286" s="7">
        <v>2.0915210000000002</v>
      </c>
      <c r="AI286" s="7">
        <v>0</v>
      </c>
      <c r="AJ286" s="7">
        <v>2.2456100000000001</v>
      </c>
      <c r="AK286" s="7">
        <v>61.055820800483779</v>
      </c>
      <c r="AL286" s="7">
        <v>0</v>
      </c>
      <c r="AM286" s="7">
        <v>0</v>
      </c>
      <c r="AN286" s="7">
        <v>0</v>
      </c>
      <c r="AO286" s="7">
        <v>0</v>
      </c>
      <c r="AP286" s="7">
        <v>0</v>
      </c>
      <c r="AQ286" s="7">
        <v>61.055820800483779</v>
      </c>
      <c r="AR286" s="7">
        <v>63.297765912847872</v>
      </c>
      <c r="AS286" s="7">
        <v>11.450002397558411</v>
      </c>
      <c r="AT286" s="7">
        <v>6.5790761123640866</v>
      </c>
    </row>
    <row r="287" spans="1:46" x14ac:dyDescent="0.35">
      <c r="A287" s="5">
        <v>46022</v>
      </c>
      <c r="B287" s="4" t="s">
        <v>638</v>
      </c>
      <c r="C287" s="4" t="s">
        <v>639</v>
      </c>
      <c r="D287" s="4" t="s">
        <v>58</v>
      </c>
      <c r="E287" s="6">
        <v>135000</v>
      </c>
      <c r="F287" s="6">
        <v>0</v>
      </c>
      <c r="G287" s="6">
        <v>135000</v>
      </c>
      <c r="H287" s="6">
        <v>2.7</v>
      </c>
      <c r="I287" s="6">
        <v>50000</v>
      </c>
      <c r="J287" s="6">
        <v>0</v>
      </c>
      <c r="K287" s="6">
        <v>50000</v>
      </c>
      <c r="L287" s="6">
        <v>50000</v>
      </c>
      <c r="M287" s="7">
        <v>3.0939610000000002</v>
      </c>
      <c r="N287" s="7">
        <v>1.622377</v>
      </c>
      <c r="O287" s="7">
        <v>0.111487</v>
      </c>
      <c r="P287" s="7">
        <v>2.6459579999999998</v>
      </c>
      <c r="Q287" s="7">
        <v>7.4737830000000001</v>
      </c>
      <c r="R287" s="7">
        <v>1.7094990000000001</v>
      </c>
      <c r="S287" s="7">
        <v>1.9156219999999999</v>
      </c>
      <c r="T287" s="7">
        <v>2.7124380000000001</v>
      </c>
      <c r="U287" s="7">
        <v>1.4602409999999999</v>
      </c>
      <c r="V287" s="7">
        <v>7.7978000000000014</v>
      </c>
      <c r="W287" s="7">
        <v>15.271583</v>
      </c>
      <c r="X287" s="7">
        <v>1.72889593189908</v>
      </c>
      <c r="Y287" s="7">
        <v>1.8294301153620549</v>
      </c>
      <c r="Z287" s="7">
        <v>18.82990904726114</v>
      </c>
      <c r="AA287" s="7">
        <v>1.34787664113232</v>
      </c>
      <c r="AB287" s="7">
        <v>20.17778568839346</v>
      </c>
      <c r="AC287" s="7">
        <v>0</v>
      </c>
      <c r="AD287" s="7">
        <v>10.435225000000001</v>
      </c>
      <c r="AE287" s="7">
        <v>0</v>
      </c>
      <c r="AF287" s="7">
        <v>0</v>
      </c>
      <c r="AG287" s="7">
        <v>30.613010688393459</v>
      </c>
      <c r="AH287" s="7">
        <v>1.08</v>
      </c>
      <c r="AI287" s="7">
        <v>0</v>
      </c>
      <c r="AJ287" s="7">
        <v>7.9105740000000013</v>
      </c>
      <c r="AK287" s="7">
        <v>29.168359688393458</v>
      </c>
      <c r="AL287" s="7">
        <v>0</v>
      </c>
      <c r="AM287" s="7">
        <v>0</v>
      </c>
      <c r="AN287" s="7">
        <v>0</v>
      </c>
      <c r="AO287" s="7">
        <v>0</v>
      </c>
      <c r="AP287" s="7">
        <v>0</v>
      </c>
      <c r="AQ287" s="7">
        <v>29.168359688393458</v>
      </c>
      <c r="AR287" s="7">
        <v>38.164625752936303</v>
      </c>
      <c r="AS287" s="7">
        <v>19.334716705675159</v>
      </c>
      <c r="AT287" s="7">
        <v>17.986840064542839</v>
      </c>
    </row>
    <row r="288" spans="1:46" x14ac:dyDescent="0.35">
      <c r="A288" s="5">
        <v>46022</v>
      </c>
      <c r="B288" s="4" t="s">
        <v>640</v>
      </c>
      <c r="C288" s="4" t="s">
        <v>641</v>
      </c>
      <c r="D288" s="4" t="s">
        <v>74</v>
      </c>
      <c r="E288" s="6">
        <v>0</v>
      </c>
      <c r="F288" s="6">
        <v>0</v>
      </c>
      <c r="G288" s="6">
        <v>0</v>
      </c>
      <c r="H288" s="6">
        <v>0</v>
      </c>
      <c r="I288" s="6">
        <v>0</v>
      </c>
      <c r="J288" s="6">
        <v>2100</v>
      </c>
      <c r="K288" s="6">
        <v>2100</v>
      </c>
      <c r="L288" s="6">
        <v>2100</v>
      </c>
      <c r="M288" s="7">
        <v>25.951605000000001</v>
      </c>
      <c r="N288" s="7">
        <v>3.5162499999999999</v>
      </c>
      <c r="O288" s="7">
        <v>3.2818550000000002</v>
      </c>
      <c r="P288" s="7">
        <v>20.102043999999999</v>
      </c>
      <c r="Q288" s="7">
        <v>52.851754</v>
      </c>
      <c r="R288" s="7">
        <v>2.7697780000000001</v>
      </c>
      <c r="S288" s="7">
        <v>5.5732819999999998</v>
      </c>
      <c r="T288" s="7">
        <v>3.7434449999999999</v>
      </c>
      <c r="U288" s="7">
        <v>6.026993</v>
      </c>
      <c r="V288" s="7">
        <v>18.113498</v>
      </c>
      <c r="W288" s="7">
        <v>70.965252000000007</v>
      </c>
      <c r="X288" s="7">
        <v>3.2054306734664761</v>
      </c>
      <c r="Y288" s="7">
        <v>6.6826335035958886</v>
      </c>
      <c r="Z288" s="7">
        <v>80.853316177062368</v>
      </c>
      <c r="AA288" s="7">
        <v>0.57953464873249516</v>
      </c>
      <c r="AB288" s="7">
        <v>81.432850825794858</v>
      </c>
      <c r="AC288" s="7">
        <v>0</v>
      </c>
      <c r="AD288" s="7">
        <v>30.654903999999998</v>
      </c>
      <c r="AE288" s="7">
        <v>0</v>
      </c>
      <c r="AF288" s="7">
        <v>0</v>
      </c>
      <c r="AG288" s="7">
        <v>112.0877548257949</v>
      </c>
      <c r="AH288" s="7">
        <v>2.3222070000000001</v>
      </c>
      <c r="AI288" s="7">
        <v>0</v>
      </c>
      <c r="AJ288" s="7">
        <v>20.105741999999999</v>
      </c>
      <c r="AK288" s="7">
        <v>103.8607998257949</v>
      </c>
      <c r="AL288" s="7">
        <v>0</v>
      </c>
      <c r="AM288" s="7">
        <v>0</v>
      </c>
      <c r="AN288" s="7">
        <v>0</v>
      </c>
      <c r="AO288" s="7">
        <v>0</v>
      </c>
      <c r="AP288" s="7">
        <v>0</v>
      </c>
      <c r="AQ288" s="7">
        <v>103.8607998257949</v>
      </c>
      <c r="AR288" s="7">
        <v>89.57365050001853</v>
      </c>
      <c r="AS288" s="7">
        <v>8.7203343229561607</v>
      </c>
      <c r="AT288" s="7">
        <v>8.1407996742236648</v>
      </c>
    </row>
    <row r="289" spans="1:46" x14ac:dyDescent="0.35">
      <c r="A289" s="5">
        <v>46022</v>
      </c>
      <c r="B289" s="4" t="s">
        <v>642</v>
      </c>
      <c r="C289" s="4" t="s">
        <v>643</v>
      </c>
      <c r="D289" s="4" t="s">
        <v>58</v>
      </c>
      <c r="E289" s="6">
        <v>62180</v>
      </c>
      <c r="F289" s="6">
        <v>0</v>
      </c>
      <c r="G289" s="6">
        <v>62180</v>
      </c>
      <c r="H289" s="6">
        <v>2</v>
      </c>
      <c r="I289" s="6">
        <v>31090</v>
      </c>
      <c r="J289" s="6">
        <v>0</v>
      </c>
      <c r="K289" s="6">
        <v>31090</v>
      </c>
      <c r="L289" s="6">
        <v>31090</v>
      </c>
      <c r="M289" s="7">
        <v>5.2141999999999999</v>
      </c>
      <c r="N289" s="7">
        <v>3.4291589999999998</v>
      </c>
      <c r="O289" s="7">
        <v>8.2516000000000006E-2</v>
      </c>
      <c r="P289" s="7">
        <v>1.288959</v>
      </c>
      <c r="Q289" s="7">
        <v>10.014834</v>
      </c>
      <c r="R289" s="7">
        <v>2.6657489999999999</v>
      </c>
      <c r="S289" s="7">
        <v>2.4909539999999999</v>
      </c>
      <c r="T289" s="7">
        <v>5.2562670000000011</v>
      </c>
      <c r="U289" s="7">
        <v>2.2016689999999999</v>
      </c>
      <c r="V289" s="7">
        <v>12.614639</v>
      </c>
      <c r="W289" s="7">
        <v>22.629473000000001</v>
      </c>
      <c r="X289" s="7">
        <v>1.3667708146831461</v>
      </c>
      <c r="Y289" s="7">
        <v>2.4612896546197192</v>
      </c>
      <c r="Z289" s="7">
        <v>26.45753346930287</v>
      </c>
      <c r="AA289" s="7">
        <v>0.49993587922080779</v>
      </c>
      <c r="AB289" s="7">
        <v>26.95746934852367</v>
      </c>
      <c r="AC289" s="7">
        <v>0</v>
      </c>
      <c r="AD289" s="7">
        <v>15.014385000000001</v>
      </c>
      <c r="AE289" s="7">
        <v>0</v>
      </c>
      <c r="AF289" s="7">
        <v>0</v>
      </c>
      <c r="AG289" s="7">
        <v>41.971854348523678</v>
      </c>
      <c r="AH289" s="7">
        <v>1.471133</v>
      </c>
      <c r="AI289" s="7">
        <v>0</v>
      </c>
      <c r="AJ289" s="7">
        <v>12.206155000000001</v>
      </c>
      <c r="AK289" s="7">
        <v>40.634757348523671</v>
      </c>
      <c r="AL289" s="7">
        <v>0</v>
      </c>
      <c r="AM289" s="7">
        <v>0</v>
      </c>
      <c r="AN289" s="7">
        <v>0</v>
      </c>
      <c r="AO289" s="7">
        <v>0</v>
      </c>
      <c r="AP289" s="7">
        <v>0</v>
      </c>
      <c r="AQ289" s="7">
        <v>40.634757348523671</v>
      </c>
      <c r="AR289" s="7">
        <v>52.77495588066278</v>
      </c>
      <c r="AS289" s="7">
        <v>26.31742241135991</v>
      </c>
      <c r="AT289" s="7">
        <v>25.8174865321391</v>
      </c>
    </row>
    <row r="290" spans="1:46" x14ac:dyDescent="0.35">
      <c r="A290" s="5">
        <v>46022</v>
      </c>
      <c r="B290" s="4" t="s">
        <v>644</v>
      </c>
      <c r="C290" s="4" t="s">
        <v>645</v>
      </c>
      <c r="D290" s="4" t="s">
        <v>61</v>
      </c>
      <c r="E290" s="6">
        <v>832.14151500000003</v>
      </c>
      <c r="F290" s="6">
        <v>0</v>
      </c>
      <c r="G290" s="6">
        <v>832.14151500000003</v>
      </c>
      <c r="H290" s="6">
        <v>2.6536819999999999</v>
      </c>
      <c r="I290" s="6">
        <v>313.58</v>
      </c>
      <c r="J290" s="6">
        <v>0</v>
      </c>
      <c r="K290" s="6">
        <v>313.58</v>
      </c>
      <c r="L290" s="6">
        <v>313.58</v>
      </c>
      <c r="M290" s="7">
        <v>2.9998800000000001</v>
      </c>
      <c r="N290" s="7">
        <v>1.623183</v>
      </c>
      <c r="O290" s="7">
        <v>0.65614799999999995</v>
      </c>
      <c r="P290" s="7">
        <v>5.173908</v>
      </c>
      <c r="Q290" s="7">
        <v>10.453118999999999</v>
      </c>
      <c r="R290" s="7">
        <v>2.48</v>
      </c>
      <c r="S290" s="7">
        <v>2.83</v>
      </c>
      <c r="T290" s="7">
        <v>3.5085310000000001</v>
      </c>
      <c r="U290" s="7">
        <v>6.67</v>
      </c>
      <c r="V290" s="7">
        <v>15.488531</v>
      </c>
      <c r="W290" s="7">
        <v>25.941649999999999</v>
      </c>
      <c r="X290" s="7">
        <v>1.2524147908587919</v>
      </c>
      <c r="Y290" s="7">
        <v>4.9051501091339551</v>
      </c>
      <c r="Z290" s="7">
        <v>32.099214899992752</v>
      </c>
      <c r="AA290" s="7">
        <v>7.1233165859713097</v>
      </c>
      <c r="AB290" s="7">
        <v>39.222531485964062</v>
      </c>
      <c r="AC290" s="7">
        <v>0</v>
      </c>
      <c r="AD290" s="7">
        <v>4.6348370000000001</v>
      </c>
      <c r="AE290" s="7">
        <v>0</v>
      </c>
      <c r="AF290" s="7">
        <v>0</v>
      </c>
      <c r="AG290" s="7">
        <v>43.857368485964059</v>
      </c>
      <c r="AH290" s="7">
        <v>4.0805040000000004</v>
      </c>
      <c r="AI290" s="7">
        <v>0</v>
      </c>
      <c r="AJ290" s="7">
        <v>3.695551</v>
      </c>
      <c r="AK290" s="7">
        <v>46.998586485964061</v>
      </c>
      <c r="AL290" s="7">
        <v>0</v>
      </c>
      <c r="AM290" s="7">
        <v>0</v>
      </c>
      <c r="AN290" s="7">
        <v>0</v>
      </c>
      <c r="AO290" s="7">
        <v>0</v>
      </c>
      <c r="AP290" s="7">
        <v>0</v>
      </c>
      <c r="AQ290" s="7">
        <v>46.998586485964061</v>
      </c>
      <c r="AR290" s="7">
        <v>84.941150076709107</v>
      </c>
      <c r="AS290" s="7">
        <v>52.841935176716348</v>
      </c>
      <c r="AT290" s="7">
        <v>45.718618590745038</v>
      </c>
    </row>
    <row r="291" spans="1:46" x14ac:dyDescent="0.35">
      <c r="A291" s="5">
        <v>46022</v>
      </c>
      <c r="B291" s="4" t="s">
        <v>646</v>
      </c>
      <c r="C291" s="4" t="s">
        <v>647</v>
      </c>
      <c r="D291" s="4" t="s">
        <v>648</v>
      </c>
      <c r="E291" s="6">
        <v>27620</v>
      </c>
      <c r="F291" s="6">
        <v>0</v>
      </c>
      <c r="G291" s="6">
        <v>27620</v>
      </c>
      <c r="H291" s="6">
        <v>15.873563000000001</v>
      </c>
      <c r="I291" s="6">
        <v>1740</v>
      </c>
      <c r="J291" s="6">
        <v>0</v>
      </c>
      <c r="K291" s="6">
        <v>1740</v>
      </c>
      <c r="L291" s="6">
        <v>1740</v>
      </c>
      <c r="M291" s="7">
        <v>0.31725900000000001</v>
      </c>
      <c r="N291" s="7">
        <v>1.1703600000000001</v>
      </c>
      <c r="O291" s="7">
        <v>0.48348999999999998</v>
      </c>
      <c r="P291" s="7">
        <v>5.0328989999999996</v>
      </c>
      <c r="Q291" s="7">
        <v>7.0040079999999998</v>
      </c>
      <c r="R291" s="7">
        <v>0.74605699999999997</v>
      </c>
      <c r="S291" s="7">
        <v>0.83452999999999999</v>
      </c>
      <c r="T291" s="7">
        <v>1.2781260000000001</v>
      </c>
      <c r="U291" s="7">
        <v>6.2082899999999999</v>
      </c>
      <c r="V291" s="7">
        <v>9.0670029999999997</v>
      </c>
      <c r="W291" s="7">
        <v>16.071010999999999</v>
      </c>
      <c r="X291" s="7">
        <v>0.18965517241379309</v>
      </c>
      <c r="Y291" s="7">
        <v>6.0938160026131882</v>
      </c>
      <c r="Z291" s="7">
        <v>22.35448217502698</v>
      </c>
      <c r="AA291" s="7">
        <v>1.8616430406814199</v>
      </c>
      <c r="AB291" s="7">
        <v>24.216125215708399</v>
      </c>
      <c r="AC291" s="7">
        <v>3.28E-4</v>
      </c>
      <c r="AD291" s="7">
        <v>10.153327000000001</v>
      </c>
      <c r="AE291" s="7">
        <v>0</v>
      </c>
      <c r="AF291" s="7">
        <v>0</v>
      </c>
      <c r="AG291" s="7">
        <v>34.369780215708403</v>
      </c>
      <c r="AH291" s="7">
        <v>1.1494249999999999</v>
      </c>
      <c r="AI291" s="7">
        <v>0</v>
      </c>
      <c r="AJ291" s="7">
        <v>3.6810339999999999</v>
      </c>
      <c r="AK291" s="7">
        <v>29.046912215708399</v>
      </c>
      <c r="AL291" s="7">
        <v>1.1494249999999999</v>
      </c>
      <c r="AM291" s="7">
        <v>0</v>
      </c>
      <c r="AN291" s="7">
        <v>0</v>
      </c>
      <c r="AO291" s="7">
        <v>0</v>
      </c>
      <c r="AP291" s="7">
        <v>0</v>
      </c>
      <c r="AQ291" s="7">
        <v>30.1963372157084</v>
      </c>
      <c r="AR291" s="7">
        <v>29.271557551346572</v>
      </c>
      <c r="AS291" s="7">
        <v>6.9170753763195902</v>
      </c>
      <c r="AT291" s="7">
        <v>5.0554323356381703</v>
      </c>
    </row>
    <row r="292" spans="1:46" x14ac:dyDescent="0.35">
      <c r="A292" s="5">
        <v>46022</v>
      </c>
      <c r="B292" s="4" t="s">
        <v>649</v>
      </c>
      <c r="C292" s="4" t="s">
        <v>650</v>
      </c>
      <c r="D292" s="4" t="s">
        <v>61</v>
      </c>
      <c r="E292" s="6">
        <v>0</v>
      </c>
      <c r="F292" s="6">
        <v>0</v>
      </c>
      <c r="G292" s="6">
        <v>0</v>
      </c>
      <c r="H292" s="6">
        <v>0</v>
      </c>
      <c r="I292" s="6">
        <v>0</v>
      </c>
      <c r="J292" s="6">
        <v>200</v>
      </c>
      <c r="K292" s="6">
        <v>200</v>
      </c>
      <c r="L292" s="6">
        <v>200</v>
      </c>
      <c r="M292" s="7">
        <v>8.5715819999999994</v>
      </c>
      <c r="N292" s="7">
        <v>0.53396200000000005</v>
      </c>
      <c r="O292" s="7">
        <v>1.1466259999999999</v>
      </c>
      <c r="P292" s="7">
        <v>4.8458079999999999</v>
      </c>
      <c r="Q292" s="7">
        <v>15.097977999999999</v>
      </c>
      <c r="R292" s="7">
        <v>2.046802</v>
      </c>
      <c r="S292" s="7">
        <v>1.8981699999999999</v>
      </c>
      <c r="T292" s="7">
        <v>2.0365250000000001</v>
      </c>
      <c r="U292" s="7">
        <v>4.48794</v>
      </c>
      <c r="V292" s="7">
        <v>10.469436999999999</v>
      </c>
      <c r="W292" s="7">
        <v>25.567415</v>
      </c>
      <c r="X292" s="7">
        <v>2.5070975141740002</v>
      </c>
      <c r="Y292" s="7">
        <v>20.655500761810941</v>
      </c>
      <c r="Z292" s="7">
        <v>48.730013275984938</v>
      </c>
      <c r="AA292" s="7">
        <v>3.6360012920953722</v>
      </c>
      <c r="AB292" s="7">
        <v>52.36601456808031</v>
      </c>
      <c r="AC292" s="7">
        <v>0</v>
      </c>
      <c r="AD292" s="7">
        <v>5.6303999999999998</v>
      </c>
      <c r="AE292" s="7">
        <v>0</v>
      </c>
      <c r="AF292" s="7">
        <v>0</v>
      </c>
      <c r="AG292" s="7">
        <v>57.996414568080311</v>
      </c>
      <c r="AH292" s="7">
        <v>3.1720169999999999</v>
      </c>
      <c r="AI292" s="7">
        <v>0</v>
      </c>
      <c r="AJ292" s="7">
        <v>2.8938679999999999</v>
      </c>
      <c r="AK292" s="7">
        <v>58.431899568080311</v>
      </c>
      <c r="AL292" s="7">
        <v>0</v>
      </c>
      <c r="AM292" s="7">
        <v>0</v>
      </c>
      <c r="AN292" s="7">
        <v>0</v>
      </c>
      <c r="AO292" s="7">
        <v>0</v>
      </c>
      <c r="AP292" s="7">
        <v>0</v>
      </c>
      <c r="AQ292" s="7">
        <v>58.431899568080311</v>
      </c>
      <c r="AR292" s="7">
        <v>79.622475687212045</v>
      </c>
      <c r="AS292" s="7">
        <v>30.892462411227122</v>
      </c>
      <c r="AT292" s="7">
        <v>27.25646111913175</v>
      </c>
    </row>
    <row r="293" spans="1:46" x14ac:dyDescent="0.35">
      <c r="A293" s="5">
        <v>46022</v>
      </c>
      <c r="B293" s="4" t="s">
        <v>651</v>
      </c>
      <c r="C293" s="4" t="s">
        <v>652</v>
      </c>
      <c r="D293" s="4" t="s">
        <v>61</v>
      </c>
      <c r="E293" s="6">
        <v>0</v>
      </c>
      <c r="F293" s="6">
        <v>0</v>
      </c>
      <c r="G293" s="6">
        <v>0</v>
      </c>
      <c r="H293" s="6">
        <v>0</v>
      </c>
      <c r="I293" s="6">
        <v>0</v>
      </c>
      <c r="J293" s="6">
        <v>51.59</v>
      </c>
      <c r="K293" s="6">
        <v>51.59</v>
      </c>
      <c r="L293" s="6">
        <v>51.59</v>
      </c>
      <c r="M293" s="7">
        <v>8.4295410000000004</v>
      </c>
      <c r="N293" s="7">
        <v>3.133257</v>
      </c>
      <c r="O293" s="7">
        <v>3.9041109999999999</v>
      </c>
      <c r="P293" s="7">
        <v>6.7996340000000002</v>
      </c>
      <c r="Q293" s="7">
        <v>22.266542999999999</v>
      </c>
      <c r="R293" s="7">
        <v>5.2342430000000002</v>
      </c>
      <c r="S293" s="7">
        <v>1.5334890000000001</v>
      </c>
      <c r="T293" s="7">
        <v>4.6601119999999998</v>
      </c>
      <c r="U293" s="7">
        <v>7.2463559999999996</v>
      </c>
      <c r="V293" s="7">
        <v>18.674199999999999</v>
      </c>
      <c r="W293" s="7">
        <v>40.940742999999998</v>
      </c>
      <c r="X293" s="7">
        <v>0.52725175440976935</v>
      </c>
      <c r="Y293" s="7">
        <v>4.9166646451696758</v>
      </c>
      <c r="Z293" s="7">
        <v>46.384659399579448</v>
      </c>
      <c r="AA293" s="7">
        <v>7.5758890932741796</v>
      </c>
      <c r="AB293" s="7">
        <v>53.960548492853633</v>
      </c>
      <c r="AC293" s="7">
        <v>0</v>
      </c>
      <c r="AD293" s="7">
        <v>1.277193</v>
      </c>
      <c r="AE293" s="7">
        <v>0</v>
      </c>
      <c r="AF293" s="7">
        <v>0</v>
      </c>
      <c r="AG293" s="7">
        <v>55.23774149285363</v>
      </c>
      <c r="AH293" s="7">
        <v>2.5893329999999999</v>
      </c>
      <c r="AI293" s="7">
        <v>0</v>
      </c>
      <c r="AJ293" s="7">
        <v>1.277193</v>
      </c>
      <c r="AK293" s="7">
        <v>57.827074492853633</v>
      </c>
      <c r="AL293" s="7">
        <v>0</v>
      </c>
      <c r="AM293" s="7">
        <v>0</v>
      </c>
      <c r="AN293" s="7">
        <v>0</v>
      </c>
      <c r="AO293" s="7">
        <v>0</v>
      </c>
      <c r="AP293" s="7">
        <v>0</v>
      </c>
      <c r="AQ293" s="7">
        <v>57.827074492853633</v>
      </c>
      <c r="AR293" s="7">
        <v>82.999532473708854</v>
      </c>
      <c r="AS293" s="7">
        <v>36.61487307412942</v>
      </c>
      <c r="AT293" s="7">
        <v>29.038983980855239</v>
      </c>
    </row>
    <row r="294" spans="1:46" x14ac:dyDescent="0.35">
      <c r="A294" s="5">
        <v>46022</v>
      </c>
      <c r="B294" s="4" t="s">
        <v>653</v>
      </c>
      <c r="C294" s="4" t="s">
        <v>654</v>
      </c>
      <c r="D294" s="4" t="s">
        <v>50</v>
      </c>
      <c r="E294" s="6">
        <v>225500</v>
      </c>
      <c r="F294" s="6">
        <v>0</v>
      </c>
      <c r="G294" s="6">
        <v>225500</v>
      </c>
      <c r="H294" s="6">
        <v>4.2228459999999997</v>
      </c>
      <c r="I294" s="6">
        <v>53400</v>
      </c>
      <c r="J294" s="6">
        <v>0</v>
      </c>
      <c r="K294" s="6">
        <v>53400</v>
      </c>
      <c r="L294" s="6">
        <v>42400</v>
      </c>
      <c r="M294" s="7">
        <v>3.1270519999999999</v>
      </c>
      <c r="N294" s="7">
        <v>4.4085419999999997</v>
      </c>
      <c r="O294" s="7">
        <v>0.155416</v>
      </c>
      <c r="P294" s="7">
        <v>3.3020740000000002</v>
      </c>
      <c r="Q294" s="7">
        <v>10.993084</v>
      </c>
      <c r="R294" s="7">
        <v>0.90374900000000002</v>
      </c>
      <c r="S294" s="7">
        <v>2.1041110000000001</v>
      </c>
      <c r="T294" s="7">
        <v>4.4819360000000001</v>
      </c>
      <c r="U294" s="7">
        <v>2.2253349999999998</v>
      </c>
      <c r="V294" s="7">
        <v>9.7151309999999995</v>
      </c>
      <c r="W294" s="7">
        <v>20.708214999999999</v>
      </c>
      <c r="X294" s="7">
        <v>1.503239316795552</v>
      </c>
      <c r="Y294" s="7">
        <v>3.8497285546359499</v>
      </c>
      <c r="Z294" s="7">
        <v>26.061182871431502</v>
      </c>
      <c r="AA294" s="7">
        <v>2.7402003670506141</v>
      </c>
      <c r="AB294" s="7">
        <v>28.801383238482121</v>
      </c>
      <c r="AC294" s="7">
        <v>0</v>
      </c>
      <c r="AD294" s="7">
        <v>4.5105880000000003</v>
      </c>
      <c r="AE294" s="7">
        <v>0</v>
      </c>
      <c r="AF294" s="7">
        <v>0</v>
      </c>
      <c r="AG294" s="7">
        <v>33.311971238482123</v>
      </c>
      <c r="AH294" s="7">
        <v>0.56603800000000004</v>
      </c>
      <c r="AI294" s="7">
        <v>0</v>
      </c>
      <c r="AJ294" s="7">
        <v>3.278302</v>
      </c>
      <c r="AK294" s="7">
        <v>32.64572323848212</v>
      </c>
      <c r="AL294" s="7">
        <v>0</v>
      </c>
      <c r="AM294" s="7">
        <v>0</v>
      </c>
      <c r="AN294" s="7">
        <v>0</v>
      </c>
      <c r="AO294" s="7">
        <v>0</v>
      </c>
      <c r="AP294" s="7">
        <v>0</v>
      </c>
      <c r="AQ294" s="7">
        <v>32.64572323848212</v>
      </c>
      <c r="AR294" s="7">
        <v>78.803064202394921</v>
      </c>
      <c r="AS294" s="7">
        <v>52.741881330963423</v>
      </c>
      <c r="AT294" s="7">
        <v>50.001680963912811</v>
      </c>
    </row>
    <row r="295" spans="1:46" x14ac:dyDescent="0.35">
      <c r="A295" s="5">
        <v>46022</v>
      </c>
      <c r="B295" s="4" t="s">
        <v>655</v>
      </c>
      <c r="C295" s="4" t="s">
        <v>656</v>
      </c>
      <c r="D295" s="4" t="s">
        <v>50</v>
      </c>
      <c r="E295" s="6">
        <v>0</v>
      </c>
      <c r="F295" s="6">
        <v>0</v>
      </c>
      <c r="G295" s="6">
        <v>0</v>
      </c>
      <c r="H295" s="6">
        <v>0</v>
      </c>
      <c r="I295" s="6">
        <v>0</v>
      </c>
      <c r="J295" s="6">
        <v>0</v>
      </c>
      <c r="K295" s="6">
        <v>0</v>
      </c>
      <c r="L295" s="6">
        <v>12100</v>
      </c>
      <c r="M295" s="7">
        <v>0</v>
      </c>
      <c r="N295" s="7">
        <v>0</v>
      </c>
      <c r="O295" s="7">
        <v>0</v>
      </c>
      <c r="P295" s="7">
        <v>0</v>
      </c>
      <c r="Q295" s="7">
        <v>0</v>
      </c>
      <c r="R295" s="7">
        <v>0.48959999999999998</v>
      </c>
      <c r="S295" s="7">
        <v>1.1786E-2</v>
      </c>
      <c r="T295" s="7">
        <v>0.341254</v>
      </c>
      <c r="U295" s="7">
        <v>8.8731000000000004E-2</v>
      </c>
      <c r="V295" s="7">
        <v>0.93137099999999995</v>
      </c>
      <c r="W295" s="7">
        <v>0.93137099999999995</v>
      </c>
      <c r="X295" s="7">
        <v>4.2440864352413218E-2</v>
      </c>
      <c r="Y295" s="7">
        <v>0</v>
      </c>
      <c r="Z295" s="7">
        <v>0.97381186435241318</v>
      </c>
      <c r="AA295" s="7">
        <v>7.2195043925253652E-2</v>
      </c>
      <c r="AB295" s="7">
        <v>1.0460069082776671</v>
      </c>
      <c r="AC295" s="7">
        <v>0</v>
      </c>
      <c r="AD295" s="7">
        <v>0.54909600000000003</v>
      </c>
      <c r="AE295" s="7">
        <v>0</v>
      </c>
      <c r="AF295" s="7">
        <v>0</v>
      </c>
      <c r="AG295" s="7">
        <v>1.5951029082776671</v>
      </c>
      <c r="AH295" s="7">
        <v>9.5104999999999995E-2</v>
      </c>
      <c r="AI295" s="7">
        <v>0</v>
      </c>
      <c r="AJ295" s="7">
        <v>0.49586799999999998</v>
      </c>
      <c r="AK295" s="7">
        <v>1.636979908277667</v>
      </c>
      <c r="AL295" s="7">
        <v>0</v>
      </c>
      <c r="AM295" s="7">
        <v>0</v>
      </c>
      <c r="AN295" s="7">
        <v>0</v>
      </c>
      <c r="AO295" s="7">
        <v>0</v>
      </c>
      <c r="AP295" s="7">
        <v>0</v>
      </c>
      <c r="AQ295" s="7">
        <v>1.636979908277667</v>
      </c>
      <c r="AR295" s="7">
        <v>3.3201507253777192</v>
      </c>
      <c r="AS295" s="7">
        <v>2.346338861025306</v>
      </c>
      <c r="AT295" s="7">
        <v>2.2741438171000521</v>
      </c>
    </row>
    <row r="296" spans="1:46" x14ac:dyDescent="0.35">
      <c r="A296" s="5">
        <v>46022</v>
      </c>
      <c r="B296" s="4" t="s">
        <v>657</v>
      </c>
      <c r="C296" s="4" t="s">
        <v>658</v>
      </c>
      <c r="D296" s="4" t="s">
        <v>50</v>
      </c>
      <c r="E296" s="6">
        <v>34020</v>
      </c>
      <c r="F296" s="6">
        <v>0</v>
      </c>
      <c r="G296" s="6">
        <v>34020</v>
      </c>
      <c r="H296" s="6">
        <v>0.45</v>
      </c>
      <c r="I296" s="6">
        <v>75600</v>
      </c>
      <c r="J296" s="6">
        <v>0</v>
      </c>
      <c r="K296" s="6">
        <v>75600</v>
      </c>
      <c r="L296" s="6">
        <v>54000</v>
      </c>
      <c r="M296" s="7">
        <v>1.6111899999999999</v>
      </c>
      <c r="N296" s="7">
        <v>0.33207700000000001</v>
      </c>
      <c r="O296" s="7">
        <v>0.101248</v>
      </c>
      <c r="P296" s="7">
        <v>1.4150149999999999</v>
      </c>
      <c r="Q296" s="7">
        <v>3.45953</v>
      </c>
      <c r="R296" s="7">
        <v>1.826343</v>
      </c>
      <c r="S296" s="7">
        <v>1.4032640000000001</v>
      </c>
      <c r="T296" s="7">
        <v>2.2591619999999999</v>
      </c>
      <c r="U296" s="7">
        <v>2.359899</v>
      </c>
      <c r="V296" s="7">
        <v>7.848668</v>
      </c>
      <c r="W296" s="7">
        <v>11.308198000000001</v>
      </c>
      <c r="X296" s="7">
        <v>1.4824720188888889</v>
      </c>
      <c r="Y296" s="7">
        <v>2.4089431386615732</v>
      </c>
      <c r="Z296" s="7">
        <v>15.199613157550459</v>
      </c>
      <c r="AA296" s="7">
        <v>0.75270055065387143</v>
      </c>
      <c r="AB296" s="7">
        <v>15.952313708204329</v>
      </c>
      <c r="AC296" s="7">
        <v>0</v>
      </c>
      <c r="AD296" s="7">
        <v>4.9460170000000003</v>
      </c>
      <c r="AE296" s="7">
        <v>0</v>
      </c>
      <c r="AF296" s="7">
        <v>0</v>
      </c>
      <c r="AG296" s="7">
        <v>20.89833070820433</v>
      </c>
      <c r="AH296" s="7">
        <v>0.351852</v>
      </c>
      <c r="AI296" s="7">
        <v>0</v>
      </c>
      <c r="AJ296" s="7">
        <v>1.1090409999999999</v>
      </c>
      <c r="AK296" s="7">
        <v>17.413206708204331</v>
      </c>
      <c r="AL296" s="7">
        <v>0.92592600000000003</v>
      </c>
      <c r="AM296" s="7">
        <v>0</v>
      </c>
      <c r="AN296" s="7">
        <v>0</v>
      </c>
      <c r="AO296" s="7">
        <v>0</v>
      </c>
      <c r="AP296" s="7">
        <v>0</v>
      </c>
      <c r="AQ296" s="7">
        <v>18.339132708204328</v>
      </c>
      <c r="AR296" s="7">
        <v>38.239441948842142</v>
      </c>
      <c r="AS296" s="7">
        <v>23.039828791291679</v>
      </c>
      <c r="AT296" s="7">
        <v>22.287128240637809</v>
      </c>
    </row>
    <row r="297" spans="1:46" x14ac:dyDescent="0.35">
      <c r="A297" s="5">
        <v>46022</v>
      </c>
      <c r="B297" s="4" t="s">
        <v>659</v>
      </c>
      <c r="C297" s="4" t="s">
        <v>660</v>
      </c>
      <c r="D297" s="4" t="s">
        <v>55</v>
      </c>
      <c r="E297" s="6">
        <v>5718</v>
      </c>
      <c r="F297" s="6">
        <v>0</v>
      </c>
      <c r="G297" s="6">
        <v>5718</v>
      </c>
      <c r="H297" s="6">
        <v>2.5267339999999998</v>
      </c>
      <c r="I297" s="6">
        <v>2263</v>
      </c>
      <c r="J297" s="6">
        <v>0</v>
      </c>
      <c r="K297" s="6">
        <v>2263</v>
      </c>
      <c r="L297" s="6">
        <v>2182</v>
      </c>
      <c r="M297" s="7">
        <v>1.579189</v>
      </c>
      <c r="N297" s="7">
        <v>1.868409</v>
      </c>
      <c r="O297" s="7">
        <v>4.732299999999999E-2</v>
      </c>
      <c r="P297" s="7">
        <v>4.0775880000000004</v>
      </c>
      <c r="Q297" s="7">
        <v>7.5725090000000002</v>
      </c>
      <c r="R297" s="7">
        <v>0.54113800000000001</v>
      </c>
      <c r="S297" s="7">
        <v>0.91944999999999988</v>
      </c>
      <c r="T297" s="7">
        <v>2.4109850000000002</v>
      </c>
      <c r="U297" s="7">
        <v>1.8240590000000001</v>
      </c>
      <c r="V297" s="7">
        <v>5.6956319999999998</v>
      </c>
      <c r="W297" s="7">
        <v>13.268141</v>
      </c>
      <c r="X297" s="7">
        <v>7.7910188216463787</v>
      </c>
      <c r="Y297" s="7">
        <v>2.4723330950435631</v>
      </c>
      <c r="Z297" s="7">
        <v>23.531492916689938</v>
      </c>
      <c r="AA297" s="7">
        <v>1.831833415883348</v>
      </c>
      <c r="AB297" s="7">
        <v>25.363326332573291</v>
      </c>
      <c r="AC297" s="7">
        <v>0.55746499999999999</v>
      </c>
      <c r="AD297" s="7">
        <v>12.726323000000001</v>
      </c>
      <c r="AE297" s="7">
        <v>0</v>
      </c>
      <c r="AF297" s="7">
        <v>0</v>
      </c>
      <c r="AG297" s="7">
        <v>38.647114332573288</v>
      </c>
      <c r="AH297" s="7">
        <v>0.99999999999999989</v>
      </c>
      <c r="AI297" s="7">
        <v>0</v>
      </c>
      <c r="AJ297" s="7">
        <v>3.2080660000000001</v>
      </c>
      <c r="AK297" s="7">
        <v>30.12885733257329</v>
      </c>
      <c r="AL297" s="7">
        <v>16.040330000000001</v>
      </c>
      <c r="AM297" s="7">
        <v>0</v>
      </c>
      <c r="AN297" s="7">
        <v>0</v>
      </c>
      <c r="AO297" s="7">
        <v>0</v>
      </c>
      <c r="AP297" s="7">
        <v>0</v>
      </c>
      <c r="AQ297" s="7">
        <v>46.169187332573287</v>
      </c>
      <c r="AR297" s="7">
        <v>137.49085516281349</v>
      </c>
      <c r="AS297" s="7">
        <v>113.9593622461235</v>
      </c>
      <c r="AT297" s="7">
        <v>112.12752883024019</v>
      </c>
    </row>
    <row r="298" spans="1:46" x14ac:dyDescent="0.35">
      <c r="A298" s="5">
        <v>46022</v>
      </c>
      <c r="B298" s="4" t="s">
        <v>661</v>
      </c>
      <c r="C298" s="4" t="s">
        <v>662</v>
      </c>
      <c r="D298" s="4" t="s">
        <v>61</v>
      </c>
      <c r="E298" s="6">
        <v>0</v>
      </c>
      <c r="F298" s="6">
        <v>0</v>
      </c>
      <c r="G298" s="6">
        <v>0</v>
      </c>
      <c r="H298" s="6">
        <v>0</v>
      </c>
      <c r="I298" s="6">
        <v>0</v>
      </c>
      <c r="J298" s="6">
        <v>705</v>
      </c>
      <c r="K298" s="6">
        <v>705</v>
      </c>
      <c r="L298" s="6">
        <v>705</v>
      </c>
      <c r="M298" s="7">
        <v>5.7118830000000003</v>
      </c>
      <c r="N298" s="7">
        <v>1.158515</v>
      </c>
      <c r="O298" s="7">
        <v>0.68005899999999997</v>
      </c>
      <c r="P298" s="7">
        <v>3.6288689999999999</v>
      </c>
      <c r="Q298" s="7">
        <v>11.179326</v>
      </c>
      <c r="R298" s="7">
        <v>1.515506</v>
      </c>
      <c r="S298" s="7">
        <v>1.6082920000000001</v>
      </c>
      <c r="T298" s="7">
        <v>3.1755849999999999</v>
      </c>
      <c r="U298" s="7">
        <v>2.7208909999999999</v>
      </c>
      <c r="V298" s="7">
        <v>9.0202740000000006</v>
      </c>
      <c r="W298" s="7">
        <v>20.1996</v>
      </c>
      <c r="X298" s="7">
        <v>2.0462986226825528</v>
      </c>
      <c r="Y298" s="7">
        <v>15.431001278306059</v>
      </c>
      <c r="Z298" s="7">
        <v>37.676899900988609</v>
      </c>
      <c r="AA298" s="7">
        <v>1.4475184893998549</v>
      </c>
      <c r="AB298" s="7">
        <v>39.12441839038847</v>
      </c>
      <c r="AC298" s="7">
        <v>0</v>
      </c>
      <c r="AD298" s="7">
        <v>0.31045899999999998</v>
      </c>
      <c r="AE298" s="7">
        <v>0</v>
      </c>
      <c r="AF298" s="7">
        <v>0</v>
      </c>
      <c r="AG298" s="7">
        <v>39.434877390388472</v>
      </c>
      <c r="AH298" s="7">
        <v>3.2071360000000002</v>
      </c>
      <c r="AI298" s="7">
        <v>0</v>
      </c>
      <c r="AJ298" s="7">
        <v>2.4302869999999999</v>
      </c>
      <c r="AK298" s="7">
        <v>44.761841390388469</v>
      </c>
      <c r="AL298" s="7">
        <v>0</v>
      </c>
      <c r="AM298" s="7">
        <v>0</v>
      </c>
      <c r="AN298" s="7">
        <v>0</v>
      </c>
      <c r="AO298" s="7">
        <v>0</v>
      </c>
      <c r="AP298" s="7">
        <v>0</v>
      </c>
      <c r="AQ298" s="7">
        <v>44.761841390388469</v>
      </c>
      <c r="AR298" s="7">
        <v>69.967010102109683</v>
      </c>
      <c r="AS298" s="7">
        <v>32.290110201121067</v>
      </c>
      <c r="AT298" s="7">
        <v>30.842591711721209</v>
      </c>
    </row>
    <row r="299" spans="1:46" x14ac:dyDescent="0.35">
      <c r="A299" s="5">
        <v>46022</v>
      </c>
      <c r="B299" s="4" t="s">
        <v>663</v>
      </c>
      <c r="C299" s="4" t="s">
        <v>664</v>
      </c>
      <c r="D299" s="4" t="s">
        <v>61</v>
      </c>
      <c r="E299" s="6">
        <v>0</v>
      </c>
      <c r="F299" s="6">
        <v>0</v>
      </c>
      <c r="G299" s="6">
        <v>0</v>
      </c>
      <c r="H299" s="6">
        <v>0</v>
      </c>
      <c r="I299" s="6">
        <v>1487.5</v>
      </c>
      <c r="J299" s="6">
        <v>833.33333300000004</v>
      </c>
      <c r="K299" s="6">
        <v>2320.833333</v>
      </c>
      <c r="L299" s="6">
        <v>2320.833333</v>
      </c>
      <c r="M299" s="7">
        <v>4.3558279999999998</v>
      </c>
      <c r="N299" s="7">
        <v>0.52188699999999999</v>
      </c>
      <c r="O299" s="7">
        <v>1.462259</v>
      </c>
      <c r="P299" s="7">
        <v>3.3909120000000001</v>
      </c>
      <c r="Q299" s="7">
        <v>9.7308859999999999</v>
      </c>
      <c r="R299" s="7">
        <v>1.264915</v>
      </c>
      <c r="S299" s="7">
        <v>0.96479599999999999</v>
      </c>
      <c r="T299" s="7">
        <v>2.9513959999999999</v>
      </c>
      <c r="U299" s="7">
        <v>1.826392</v>
      </c>
      <c r="V299" s="7">
        <v>7.0074990000000001</v>
      </c>
      <c r="W299" s="7">
        <v>16.738385000000001</v>
      </c>
      <c r="X299" s="7">
        <v>1.577526948226575</v>
      </c>
      <c r="Y299" s="7">
        <v>3.3567464759066339</v>
      </c>
      <c r="Z299" s="7">
        <v>21.672658424133211</v>
      </c>
      <c r="AA299" s="7">
        <v>2.6865905236241878</v>
      </c>
      <c r="AB299" s="7">
        <v>24.359248947757401</v>
      </c>
      <c r="AC299" s="7">
        <v>0</v>
      </c>
      <c r="AD299" s="7">
        <v>1.594201</v>
      </c>
      <c r="AE299" s="7">
        <v>0</v>
      </c>
      <c r="AF299" s="7">
        <v>0</v>
      </c>
      <c r="AG299" s="7">
        <v>25.953449947757399</v>
      </c>
      <c r="AH299" s="7">
        <v>1.257166</v>
      </c>
      <c r="AI299" s="7">
        <v>0</v>
      </c>
      <c r="AJ299" s="7">
        <v>1.8897280000000001</v>
      </c>
      <c r="AK299" s="7">
        <v>27.5061429477574</v>
      </c>
      <c r="AL299" s="7">
        <v>0</v>
      </c>
      <c r="AM299" s="7">
        <v>0</v>
      </c>
      <c r="AN299" s="7">
        <v>0</v>
      </c>
      <c r="AO299" s="7">
        <v>0</v>
      </c>
      <c r="AP299" s="7">
        <v>0</v>
      </c>
      <c r="AQ299" s="7">
        <v>27.5061429477574</v>
      </c>
      <c r="AR299" s="7">
        <v>67.165112586447904</v>
      </c>
      <c r="AS299" s="7">
        <v>45.492454162314687</v>
      </c>
      <c r="AT299" s="7">
        <v>42.805863638690496</v>
      </c>
    </row>
    <row r="300" spans="1:46" x14ac:dyDescent="0.35">
      <c r="A300" s="5">
        <v>46022</v>
      </c>
      <c r="B300" s="4" t="s">
        <v>665</v>
      </c>
      <c r="C300" s="4" t="s">
        <v>666</v>
      </c>
      <c r="D300" s="4" t="s">
        <v>61</v>
      </c>
      <c r="E300" s="6">
        <v>0</v>
      </c>
      <c r="F300" s="6">
        <v>0</v>
      </c>
      <c r="G300" s="6">
        <v>0</v>
      </c>
      <c r="H300" s="6">
        <v>0</v>
      </c>
      <c r="I300" s="6">
        <v>0</v>
      </c>
      <c r="J300" s="6">
        <v>160</v>
      </c>
      <c r="K300" s="6">
        <v>160</v>
      </c>
      <c r="L300" s="6">
        <v>160</v>
      </c>
      <c r="M300" s="7">
        <v>8.6557440000000003</v>
      </c>
      <c r="N300" s="7">
        <v>0.34477799999999997</v>
      </c>
      <c r="O300" s="7">
        <v>2.697749</v>
      </c>
      <c r="P300" s="7">
        <v>4.7042479999999998</v>
      </c>
      <c r="Q300" s="7">
        <v>16.402519000000002</v>
      </c>
      <c r="R300" s="7">
        <v>1.731427</v>
      </c>
      <c r="S300" s="7">
        <v>1.1626050000000001</v>
      </c>
      <c r="T300" s="7">
        <v>2.3320569999999998</v>
      </c>
      <c r="U300" s="7">
        <v>3.1190730000000002</v>
      </c>
      <c r="V300" s="7">
        <v>8.3451620000000002</v>
      </c>
      <c r="W300" s="7">
        <v>24.747681</v>
      </c>
      <c r="X300" s="7">
        <v>1.0302848408337499</v>
      </c>
      <c r="Y300" s="7">
        <v>4.8951253477336314</v>
      </c>
      <c r="Z300" s="7">
        <v>30.67309118856738</v>
      </c>
      <c r="AA300" s="7">
        <v>9.0206322300561883</v>
      </c>
      <c r="AB300" s="7">
        <v>39.69372341862357</v>
      </c>
      <c r="AC300" s="7">
        <v>0</v>
      </c>
      <c r="AD300" s="7">
        <v>3.1748259999999999</v>
      </c>
      <c r="AE300" s="7">
        <v>0</v>
      </c>
      <c r="AF300" s="7">
        <v>0</v>
      </c>
      <c r="AG300" s="7">
        <v>42.868549418623573</v>
      </c>
      <c r="AH300" s="7">
        <v>5.0853409999999997</v>
      </c>
      <c r="AI300" s="7">
        <v>0</v>
      </c>
      <c r="AJ300" s="7">
        <v>1.3485990000000001</v>
      </c>
      <c r="AK300" s="7">
        <v>46.12766341862357</v>
      </c>
      <c r="AL300" s="7">
        <v>0</v>
      </c>
      <c r="AM300" s="7">
        <v>0</v>
      </c>
      <c r="AN300" s="7">
        <v>0</v>
      </c>
      <c r="AO300" s="7">
        <v>0</v>
      </c>
      <c r="AP300" s="7">
        <v>0</v>
      </c>
      <c r="AQ300" s="7">
        <v>46.12766341862357</v>
      </c>
      <c r="AR300" s="7">
        <v>85.354310590687533</v>
      </c>
      <c r="AS300" s="7">
        <v>54.681219402120149</v>
      </c>
      <c r="AT300" s="7">
        <v>45.660587172063963</v>
      </c>
    </row>
    <row r="301" spans="1:46" x14ac:dyDescent="0.35">
      <c r="A301" s="5">
        <v>46022</v>
      </c>
      <c r="B301" s="4" t="s">
        <v>667</v>
      </c>
      <c r="C301" s="4" t="s">
        <v>668</v>
      </c>
      <c r="D301" s="4" t="s">
        <v>61</v>
      </c>
      <c r="E301" s="6">
        <v>0</v>
      </c>
      <c r="F301" s="6">
        <v>0</v>
      </c>
      <c r="G301" s="6">
        <v>0</v>
      </c>
      <c r="H301" s="6">
        <v>0</v>
      </c>
      <c r="I301" s="6">
        <v>0</v>
      </c>
      <c r="J301" s="6">
        <v>1155</v>
      </c>
      <c r="K301" s="6">
        <v>1155</v>
      </c>
      <c r="L301" s="6">
        <v>1155</v>
      </c>
      <c r="M301" s="7">
        <v>10.943519999999999</v>
      </c>
      <c r="N301" s="7">
        <v>3.4003380000000001</v>
      </c>
      <c r="O301" s="7">
        <v>1.2883579999999999</v>
      </c>
      <c r="P301" s="7">
        <v>14.753765</v>
      </c>
      <c r="Q301" s="7">
        <v>30.385981000000001</v>
      </c>
      <c r="R301" s="7">
        <v>1.2584599999999999</v>
      </c>
      <c r="S301" s="7">
        <v>0.68436200000000003</v>
      </c>
      <c r="T301" s="7">
        <v>1.516346</v>
      </c>
      <c r="U301" s="7">
        <v>3.7177289999999998</v>
      </c>
      <c r="V301" s="7">
        <v>7.1768970000000003</v>
      </c>
      <c r="W301" s="7">
        <v>37.562877999999998</v>
      </c>
      <c r="X301" s="7">
        <v>0.82787450245844163</v>
      </c>
      <c r="Y301" s="7">
        <v>3.6273634673346469</v>
      </c>
      <c r="Z301" s="7">
        <v>42.018115969793087</v>
      </c>
      <c r="AA301" s="7">
        <v>8.1015621703704888</v>
      </c>
      <c r="AB301" s="7">
        <v>50.119678140163579</v>
      </c>
      <c r="AC301" s="7">
        <v>0</v>
      </c>
      <c r="AD301" s="7">
        <v>17.597145999999999</v>
      </c>
      <c r="AE301" s="7">
        <v>0</v>
      </c>
      <c r="AF301" s="7">
        <v>0</v>
      </c>
      <c r="AG301" s="7">
        <v>67.716824140163581</v>
      </c>
      <c r="AH301" s="7">
        <v>1.517304</v>
      </c>
      <c r="AI301" s="7">
        <v>0</v>
      </c>
      <c r="AJ301" s="7">
        <v>1.5664389999999999</v>
      </c>
      <c r="AK301" s="7">
        <v>53.203421140163577</v>
      </c>
      <c r="AL301" s="7">
        <v>0</v>
      </c>
      <c r="AM301" s="7">
        <v>0</v>
      </c>
      <c r="AN301" s="7">
        <v>0</v>
      </c>
      <c r="AO301" s="7">
        <v>0</v>
      </c>
      <c r="AP301" s="7">
        <v>0</v>
      </c>
      <c r="AQ301" s="7">
        <v>53.203421140163577</v>
      </c>
      <c r="AR301" s="7">
        <v>65.356679355143385</v>
      </c>
      <c r="AS301" s="7">
        <v>23.338563385350291</v>
      </c>
      <c r="AT301" s="7">
        <v>15.237001214979809</v>
      </c>
    </row>
    <row r="302" spans="1:46" x14ac:dyDescent="0.35">
      <c r="A302" s="5">
        <v>46022</v>
      </c>
      <c r="B302" s="4" t="s">
        <v>669</v>
      </c>
      <c r="C302" s="4" t="s">
        <v>670</v>
      </c>
      <c r="D302" s="4" t="s">
        <v>61</v>
      </c>
      <c r="E302" s="6">
        <v>0</v>
      </c>
      <c r="F302" s="6">
        <v>0</v>
      </c>
      <c r="G302" s="6">
        <v>0</v>
      </c>
      <c r="H302" s="6">
        <v>0</v>
      </c>
      <c r="I302" s="6">
        <v>0</v>
      </c>
      <c r="J302" s="6">
        <v>189.25</v>
      </c>
      <c r="K302" s="6">
        <v>189.25</v>
      </c>
      <c r="L302" s="6">
        <v>189.25</v>
      </c>
      <c r="M302" s="7">
        <v>10.379943000000001</v>
      </c>
      <c r="N302" s="7">
        <v>0</v>
      </c>
      <c r="O302" s="7">
        <v>3.3502930000000002</v>
      </c>
      <c r="P302" s="7">
        <v>2.9338069999999998</v>
      </c>
      <c r="Q302" s="7">
        <v>16.664042999999999</v>
      </c>
      <c r="R302" s="7">
        <v>3.5988910000000001</v>
      </c>
      <c r="S302" s="7">
        <v>1.5428820000000001</v>
      </c>
      <c r="T302" s="7">
        <v>3.1142859999999999</v>
      </c>
      <c r="U302" s="7">
        <v>3.1910229999999999</v>
      </c>
      <c r="V302" s="7">
        <v>11.447082</v>
      </c>
      <c r="W302" s="7">
        <v>28.111125000000001</v>
      </c>
      <c r="X302" s="7">
        <v>1.4065942170393659</v>
      </c>
      <c r="Y302" s="7">
        <v>3.655431885024583</v>
      </c>
      <c r="Z302" s="7">
        <v>33.173151102063947</v>
      </c>
      <c r="AA302" s="7">
        <v>8.2811630885726082</v>
      </c>
      <c r="AB302" s="7">
        <v>41.454314190636559</v>
      </c>
      <c r="AC302" s="7">
        <v>0</v>
      </c>
      <c r="AD302" s="7">
        <v>3.8350780000000002</v>
      </c>
      <c r="AE302" s="7">
        <v>0</v>
      </c>
      <c r="AF302" s="7">
        <v>0</v>
      </c>
      <c r="AG302" s="7">
        <v>45.289392190636562</v>
      </c>
      <c r="AH302" s="7">
        <v>1.2221679999999999</v>
      </c>
      <c r="AI302" s="7">
        <v>0</v>
      </c>
      <c r="AJ302" s="7">
        <v>1.1392850000000001</v>
      </c>
      <c r="AK302" s="7">
        <v>43.815767190636564</v>
      </c>
      <c r="AL302" s="7">
        <v>0</v>
      </c>
      <c r="AM302" s="7">
        <v>0</v>
      </c>
      <c r="AN302" s="7">
        <v>0</v>
      </c>
      <c r="AO302" s="7">
        <v>0</v>
      </c>
      <c r="AP302" s="7">
        <v>0</v>
      </c>
      <c r="AQ302" s="7">
        <v>43.815767190636564</v>
      </c>
      <c r="AR302" s="7">
        <v>62.645998639450468</v>
      </c>
      <c r="AS302" s="7">
        <v>29.472847537386521</v>
      </c>
      <c r="AT302" s="7">
        <v>21.191684448813909</v>
      </c>
    </row>
    <row r="303" spans="1:46" x14ac:dyDescent="0.35">
      <c r="A303" s="5">
        <v>46022</v>
      </c>
      <c r="B303" s="4" t="s">
        <v>671</v>
      </c>
      <c r="C303" s="4" t="s">
        <v>672</v>
      </c>
      <c r="D303" s="4" t="s">
        <v>50</v>
      </c>
      <c r="E303" s="6">
        <v>3332.7044030000002</v>
      </c>
      <c r="F303" s="6">
        <v>0</v>
      </c>
      <c r="G303" s="6">
        <v>3332.7044030000002</v>
      </c>
      <c r="H303" s="6">
        <v>3.4638550000000001</v>
      </c>
      <c r="I303" s="6">
        <v>962.13727100000006</v>
      </c>
      <c r="J303" s="6">
        <v>2506.3593110000002</v>
      </c>
      <c r="K303" s="6">
        <v>3468.4965820000002</v>
      </c>
      <c r="L303" s="6">
        <v>3068</v>
      </c>
      <c r="M303" s="7">
        <v>34.706516999999998</v>
      </c>
      <c r="N303" s="7">
        <v>9.1968829999999997</v>
      </c>
      <c r="O303" s="7">
        <v>4.4953380000000003</v>
      </c>
      <c r="P303" s="7">
        <v>14.801261</v>
      </c>
      <c r="Q303" s="7">
        <v>63.199998999999998</v>
      </c>
      <c r="R303" s="7">
        <v>7.6125480000000003</v>
      </c>
      <c r="S303" s="7">
        <v>7.9604629999999998</v>
      </c>
      <c r="T303" s="7">
        <v>1.249166</v>
      </c>
      <c r="U303" s="7">
        <v>7.4778219999999997</v>
      </c>
      <c r="V303" s="7">
        <v>24.299999</v>
      </c>
      <c r="W303" s="7">
        <v>87.499998000000005</v>
      </c>
      <c r="X303" s="7">
        <v>7.1877447159559322</v>
      </c>
      <c r="Y303" s="7">
        <v>22.158824144068461</v>
      </c>
      <c r="Z303" s="7">
        <v>116.8465668600244</v>
      </c>
      <c r="AA303" s="7">
        <v>1.9733916072867841</v>
      </c>
      <c r="AB303" s="7">
        <v>118.8199584673112</v>
      </c>
      <c r="AC303" s="7">
        <v>0</v>
      </c>
      <c r="AD303" s="7">
        <v>33.248565999999997</v>
      </c>
      <c r="AE303" s="7">
        <v>0</v>
      </c>
      <c r="AF303" s="7">
        <v>0</v>
      </c>
      <c r="AG303" s="7">
        <v>152.06852446731119</v>
      </c>
      <c r="AH303" s="7">
        <v>1.8942920000000001</v>
      </c>
      <c r="AI303" s="7">
        <v>0</v>
      </c>
      <c r="AJ303" s="7">
        <v>33.116036999999999</v>
      </c>
      <c r="AK303" s="7">
        <v>153.83028746731119</v>
      </c>
      <c r="AL303" s="7">
        <v>0</v>
      </c>
      <c r="AM303" s="7">
        <v>0</v>
      </c>
      <c r="AN303" s="7">
        <v>0</v>
      </c>
      <c r="AO303" s="7">
        <v>0</v>
      </c>
      <c r="AP303" s="7">
        <v>0</v>
      </c>
      <c r="AQ303" s="7">
        <v>153.83028746731119</v>
      </c>
      <c r="AR303" s="7">
        <v>197.33936011070739</v>
      </c>
      <c r="AS303" s="7">
        <v>80.492793250683036</v>
      </c>
      <c r="AT303" s="7">
        <v>78.519401643396236</v>
      </c>
    </row>
    <row r="304" spans="1:46" x14ac:dyDescent="0.35">
      <c r="A304" s="5">
        <v>46022</v>
      </c>
      <c r="B304" s="4" t="s">
        <v>673</v>
      </c>
      <c r="C304" s="4" t="s">
        <v>674</v>
      </c>
      <c r="D304" s="4" t="s">
        <v>58</v>
      </c>
      <c r="E304" s="6">
        <v>24805.333332999999</v>
      </c>
      <c r="F304" s="6">
        <v>0</v>
      </c>
      <c r="G304" s="6">
        <v>24805.333332999999</v>
      </c>
      <c r="H304" s="6">
        <v>0.66618900000000003</v>
      </c>
      <c r="I304" s="6">
        <v>37234.666666999998</v>
      </c>
      <c r="J304" s="6">
        <v>0</v>
      </c>
      <c r="K304" s="6">
        <v>37234.666666999998</v>
      </c>
      <c r="L304" s="6">
        <v>33876</v>
      </c>
      <c r="M304" s="7">
        <v>4.1288450000000001</v>
      </c>
      <c r="N304" s="7">
        <v>4.3036399999999997</v>
      </c>
      <c r="O304" s="7">
        <v>0.135436</v>
      </c>
      <c r="P304" s="7">
        <v>2.564343</v>
      </c>
      <c r="Q304" s="7">
        <v>11.132263999999999</v>
      </c>
      <c r="R304" s="7">
        <v>0.94733699999999998</v>
      </c>
      <c r="S304" s="7">
        <v>0.38830100000000001</v>
      </c>
      <c r="T304" s="7">
        <v>2.4520719999999998</v>
      </c>
      <c r="U304" s="7">
        <v>0.61450099999999996</v>
      </c>
      <c r="V304" s="7">
        <v>4.4022110000000003</v>
      </c>
      <c r="W304" s="7">
        <v>15.534475</v>
      </c>
      <c r="X304" s="7">
        <v>0.13993349469093461</v>
      </c>
      <c r="Y304" s="7">
        <v>0</v>
      </c>
      <c r="Z304" s="7">
        <v>15.67440849469093</v>
      </c>
      <c r="AA304" s="7">
        <v>0.54034830555512225</v>
      </c>
      <c r="AB304" s="7">
        <v>16.214756800246061</v>
      </c>
      <c r="AC304" s="7">
        <v>0</v>
      </c>
      <c r="AD304" s="7">
        <v>3.4682849999999998</v>
      </c>
      <c r="AE304" s="7">
        <v>0</v>
      </c>
      <c r="AF304" s="7">
        <v>0</v>
      </c>
      <c r="AG304" s="7">
        <v>19.683041800246059</v>
      </c>
      <c r="AH304" s="7">
        <v>1.1184499999999999</v>
      </c>
      <c r="AI304" s="7">
        <v>0</v>
      </c>
      <c r="AJ304" s="7">
        <v>2.4927489999999999</v>
      </c>
      <c r="AK304" s="7">
        <v>19.82595580024606</v>
      </c>
      <c r="AL304" s="7">
        <v>0</v>
      </c>
      <c r="AM304" s="7">
        <v>0</v>
      </c>
      <c r="AN304" s="7">
        <v>0</v>
      </c>
      <c r="AO304" s="7">
        <v>0</v>
      </c>
      <c r="AP304" s="7">
        <v>0</v>
      </c>
      <c r="AQ304" s="7">
        <v>19.82595580024606</v>
      </c>
      <c r="AR304" s="7">
        <v>23.213344659955109</v>
      </c>
      <c r="AS304" s="7">
        <v>7.5389361652641789</v>
      </c>
      <c r="AT304" s="7">
        <v>6.9985878597090574</v>
      </c>
    </row>
    <row r="305" spans="1:46" x14ac:dyDescent="0.35">
      <c r="A305" s="5">
        <v>46022</v>
      </c>
      <c r="B305" s="4" t="s">
        <v>675</v>
      </c>
      <c r="C305" s="4" t="s">
        <v>676</v>
      </c>
      <c r="D305" s="4" t="s">
        <v>69</v>
      </c>
      <c r="E305" s="6">
        <v>1450</v>
      </c>
      <c r="F305" s="6">
        <v>0</v>
      </c>
      <c r="G305" s="6">
        <v>1450</v>
      </c>
      <c r="H305" s="6">
        <v>1</v>
      </c>
      <c r="I305" s="6">
        <v>1450</v>
      </c>
      <c r="J305" s="6">
        <v>15900</v>
      </c>
      <c r="K305" s="6">
        <v>17350</v>
      </c>
      <c r="L305" s="6">
        <v>17570.833332999999</v>
      </c>
      <c r="M305" s="7">
        <v>0.88224800000000014</v>
      </c>
      <c r="N305" s="7">
        <v>3.270807</v>
      </c>
      <c r="O305" s="7">
        <v>0.241564</v>
      </c>
      <c r="P305" s="7">
        <v>0.54163399999999995</v>
      </c>
      <c r="Q305" s="7">
        <v>4.9362529999999998</v>
      </c>
      <c r="R305" s="7">
        <v>5.3226000000000009E-2</v>
      </c>
      <c r="S305" s="7">
        <v>0.144735</v>
      </c>
      <c r="T305" s="7">
        <v>0.84410600000000013</v>
      </c>
      <c r="U305" s="7">
        <v>0.14429</v>
      </c>
      <c r="V305" s="7">
        <v>1.1863570000000001</v>
      </c>
      <c r="W305" s="7">
        <v>6.1226099999999999</v>
      </c>
      <c r="X305" s="7">
        <v>1.2143927978809881</v>
      </c>
      <c r="Y305" s="7">
        <v>5.3237617939970159</v>
      </c>
      <c r="Z305" s="7">
        <v>12.660764591877999</v>
      </c>
      <c r="AA305" s="7">
        <v>6.462780408292832</v>
      </c>
      <c r="AB305" s="7">
        <v>19.123545000170839</v>
      </c>
      <c r="AC305" s="7">
        <v>0</v>
      </c>
      <c r="AD305" s="7">
        <v>3.0459710000000002</v>
      </c>
      <c r="AE305" s="7">
        <v>0</v>
      </c>
      <c r="AF305" s="7">
        <v>0</v>
      </c>
      <c r="AG305" s="7">
        <v>22.169516000170841</v>
      </c>
      <c r="AH305" s="7">
        <v>0.87277700000000014</v>
      </c>
      <c r="AI305" s="7">
        <v>0</v>
      </c>
      <c r="AJ305" s="7">
        <v>3.0177239999999999</v>
      </c>
      <c r="AK305" s="7">
        <v>23.01404600017084</v>
      </c>
      <c r="AL305" s="7">
        <v>0</v>
      </c>
      <c r="AM305" s="7">
        <v>0</v>
      </c>
      <c r="AN305" s="7">
        <v>0</v>
      </c>
      <c r="AO305" s="7">
        <v>0</v>
      </c>
      <c r="AP305" s="7">
        <v>0</v>
      </c>
      <c r="AQ305" s="7">
        <v>23.01404600017084</v>
      </c>
      <c r="AR305" s="7">
        <v>113.3816741440677</v>
      </c>
      <c r="AS305" s="7">
        <v>100.7209095521897</v>
      </c>
      <c r="AT305" s="7">
        <v>94.258129143896824</v>
      </c>
    </row>
    <row r="306" spans="1:46" x14ac:dyDescent="0.35">
      <c r="A306" s="5">
        <v>46022</v>
      </c>
      <c r="B306" s="4" t="s">
        <v>677</v>
      </c>
      <c r="C306" s="4" t="s">
        <v>678</v>
      </c>
      <c r="D306" s="4" t="s">
        <v>61</v>
      </c>
      <c r="E306" s="6">
        <v>11403.359006000001</v>
      </c>
      <c r="F306" s="6">
        <v>0</v>
      </c>
      <c r="G306" s="6">
        <v>11403.359006000001</v>
      </c>
      <c r="H306" s="6">
        <v>3.2309519999999998</v>
      </c>
      <c r="I306" s="6">
        <v>3529.4117649999998</v>
      </c>
      <c r="J306" s="6">
        <v>0</v>
      </c>
      <c r="K306" s="6">
        <v>3529.4117649999998</v>
      </c>
      <c r="L306" s="6">
        <v>3529.4117649999998</v>
      </c>
      <c r="M306" s="7">
        <v>2.886606</v>
      </c>
      <c r="N306" s="7">
        <v>0.47232600000000002</v>
      </c>
      <c r="O306" s="7">
        <v>0.26103300000000002</v>
      </c>
      <c r="P306" s="7">
        <v>2.6928559999999999</v>
      </c>
      <c r="Q306" s="7">
        <v>6.3128209999999996</v>
      </c>
      <c r="R306" s="7">
        <v>0.91445399999999999</v>
      </c>
      <c r="S306" s="7">
        <v>0.90542</v>
      </c>
      <c r="T306" s="7">
        <v>2.771274</v>
      </c>
      <c r="U306" s="7">
        <v>1.7511140000000001</v>
      </c>
      <c r="V306" s="7">
        <v>6.3422619999999998</v>
      </c>
      <c r="W306" s="7">
        <v>12.655082999999999</v>
      </c>
      <c r="X306" s="7">
        <v>1.2464076000923059</v>
      </c>
      <c r="Y306" s="7">
        <v>2.266639632359694</v>
      </c>
      <c r="Z306" s="7">
        <v>16.168130232452</v>
      </c>
      <c r="AA306" s="7">
        <v>1.649754073449861</v>
      </c>
      <c r="AB306" s="7">
        <v>17.81788430590186</v>
      </c>
      <c r="AC306" s="7">
        <v>0</v>
      </c>
      <c r="AD306" s="7">
        <v>1.0548869999999999</v>
      </c>
      <c r="AE306" s="7">
        <v>0</v>
      </c>
      <c r="AF306" s="7">
        <v>0</v>
      </c>
      <c r="AG306" s="7">
        <v>18.87277130590186</v>
      </c>
      <c r="AH306" s="7">
        <v>1.1105449999999999</v>
      </c>
      <c r="AI306" s="7">
        <v>0</v>
      </c>
      <c r="AJ306" s="7">
        <v>1.212615</v>
      </c>
      <c r="AK306" s="7">
        <v>20.141044305901861</v>
      </c>
      <c r="AL306" s="7">
        <v>0</v>
      </c>
      <c r="AM306" s="7">
        <v>0</v>
      </c>
      <c r="AN306" s="7">
        <v>0</v>
      </c>
      <c r="AO306" s="7">
        <v>0</v>
      </c>
      <c r="AP306" s="7">
        <v>0</v>
      </c>
      <c r="AQ306" s="7">
        <v>20.141044305901861</v>
      </c>
      <c r="AR306" s="7">
        <v>41.244001745385638</v>
      </c>
      <c r="AS306" s="7">
        <v>25.075871512933642</v>
      </c>
      <c r="AT306" s="7">
        <v>23.426117439483779</v>
      </c>
    </row>
    <row r="307" spans="1:46" x14ac:dyDescent="0.35">
      <c r="A307" s="5">
        <v>46022</v>
      </c>
      <c r="B307" s="4" t="s">
        <v>679</v>
      </c>
      <c r="C307" s="4" t="s">
        <v>680</v>
      </c>
      <c r="D307" s="4" t="s">
        <v>61</v>
      </c>
      <c r="E307" s="6">
        <v>0</v>
      </c>
      <c r="F307" s="6">
        <v>0</v>
      </c>
      <c r="G307" s="6">
        <v>0</v>
      </c>
      <c r="H307" s="6">
        <v>0</v>
      </c>
      <c r="I307" s="6">
        <v>0</v>
      </c>
      <c r="J307" s="6">
        <v>290</v>
      </c>
      <c r="K307" s="6">
        <v>290</v>
      </c>
      <c r="L307" s="6">
        <v>290</v>
      </c>
      <c r="M307" s="7">
        <v>9.4043690000000009</v>
      </c>
      <c r="N307" s="7">
        <v>0.96898600000000001</v>
      </c>
      <c r="O307" s="7">
        <v>1.794332</v>
      </c>
      <c r="P307" s="7">
        <v>3.8077000000000001</v>
      </c>
      <c r="Q307" s="7">
        <v>15.975387</v>
      </c>
      <c r="R307" s="7">
        <v>3.6472609999999999</v>
      </c>
      <c r="S307" s="7">
        <v>0.77868599999999999</v>
      </c>
      <c r="T307" s="7">
        <v>2.1877059999999999</v>
      </c>
      <c r="U307" s="7">
        <v>5.4323880000000013</v>
      </c>
      <c r="V307" s="7">
        <v>12.046041000000001</v>
      </c>
      <c r="W307" s="7">
        <v>28.021428</v>
      </c>
      <c r="X307" s="7">
        <v>0.78456156159103452</v>
      </c>
      <c r="Y307" s="7">
        <v>2.5529512809495332</v>
      </c>
      <c r="Z307" s="7">
        <v>31.358940842540569</v>
      </c>
      <c r="AA307" s="7">
        <v>4.4256998084827313</v>
      </c>
      <c r="AB307" s="7">
        <v>35.784640651023302</v>
      </c>
      <c r="AC307" s="7">
        <v>0</v>
      </c>
      <c r="AD307" s="7">
        <v>2.9697269999999998</v>
      </c>
      <c r="AE307" s="7">
        <v>0</v>
      </c>
      <c r="AF307" s="7">
        <v>0</v>
      </c>
      <c r="AG307" s="7">
        <v>38.754367651023301</v>
      </c>
      <c r="AH307" s="7">
        <v>3.044181</v>
      </c>
      <c r="AI307" s="7">
        <v>0</v>
      </c>
      <c r="AJ307" s="7">
        <v>3.1397059999999999</v>
      </c>
      <c r="AK307" s="7">
        <v>41.968527651023301</v>
      </c>
      <c r="AL307" s="7">
        <v>0</v>
      </c>
      <c r="AM307" s="7">
        <v>0</v>
      </c>
      <c r="AN307" s="7">
        <v>0</v>
      </c>
      <c r="AO307" s="7">
        <v>0</v>
      </c>
      <c r="AP307" s="7">
        <v>0</v>
      </c>
      <c r="AQ307" s="7">
        <v>41.968527651023301</v>
      </c>
      <c r="AR307" s="7">
        <v>46.699950728688513</v>
      </c>
      <c r="AS307" s="7">
        <v>15.34100988614794</v>
      </c>
      <c r="AT307" s="7">
        <v>10.915310077665209</v>
      </c>
    </row>
    <row r="308" spans="1:46" x14ac:dyDescent="0.35">
      <c r="A308" s="5">
        <v>46022</v>
      </c>
      <c r="B308" s="4" t="s">
        <v>681</v>
      </c>
      <c r="C308" s="4" t="s">
        <v>682</v>
      </c>
      <c r="D308" s="4" t="s">
        <v>105</v>
      </c>
      <c r="E308" s="6">
        <v>0</v>
      </c>
      <c r="F308" s="6">
        <v>0</v>
      </c>
      <c r="G308" s="6">
        <v>0</v>
      </c>
      <c r="H308" s="6">
        <v>0</v>
      </c>
      <c r="I308" s="6">
        <v>0</v>
      </c>
      <c r="J308" s="6">
        <v>2680.9628109999999</v>
      </c>
      <c r="K308" s="6">
        <v>2680.9628109999999</v>
      </c>
      <c r="L308" s="6">
        <v>2247.8809999999999</v>
      </c>
      <c r="M308" s="7">
        <v>17.349211</v>
      </c>
      <c r="N308" s="7">
        <v>0.67965799999999998</v>
      </c>
      <c r="O308" s="7">
        <v>4.6026470000000002</v>
      </c>
      <c r="P308" s="7">
        <v>2.7091289999999999</v>
      </c>
      <c r="Q308" s="7">
        <v>25.340644999999999</v>
      </c>
      <c r="R308" s="7">
        <v>3.9605610000000002</v>
      </c>
      <c r="S308" s="7">
        <v>0.92993199999999987</v>
      </c>
      <c r="T308" s="7">
        <v>7.0813240000000004</v>
      </c>
      <c r="U308" s="7">
        <v>1.2382629999999999</v>
      </c>
      <c r="V308" s="7">
        <v>13.21008</v>
      </c>
      <c r="W308" s="7">
        <v>38.550725</v>
      </c>
      <c r="X308" s="7">
        <v>0.53710209315350765</v>
      </c>
      <c r="Y308" s="7">
        <v>49.593522046844107</v>
      </c>
      <c r="Z308" s="7">
        <v>88.681349139997621</v>
      </c>
      <c r="AA308" s="7">
        <v>1.8180657667448661</v>
      </c>
      <c r="AB308" s="7">
        <v>90.499414906742487</v>
      </c>
      <c r="AC308" s="7">
        <v>0</v>
      </c>
      <c r="AD308" s="7">
        <v>5.5607930000000003</v>
      </c>
      <c r="AE308" s="7">
        <v>0</v>
      </c>
      <c r="AF308" s="7">
        <v>0</v>
      </c>
      <c r="AG308" s="7">
        <v>96.060207906742491</v>
      </c>
      <c r="AH308" s="7">
        <v>6.3949930000000004</v>
      </c>
      <c r="AI308" s="7">
        <v>0</v>
      </c>
      <c r="AJ308" s="7">
        <v>17.025590999999999</v>
      </c>
      <c r="AK308" s="7">
        <v>113.91999890674251</v>
      </c>
      <c r="AL308" s="7">
        <v>40.088985000000001</v>
      </c>
      <c r="AM308" s="7">
        <v>0</v>
      </c>
      <c r="AN308" s="7">
        <v>0</v>
      </c>
      <c r="AO308" s="7">
        <v>0</v>
      </c>
      <c r="AP308" s="7">
        <v>0</v>
      </c>
      <c r="AQ308" s="7">
        <v>154.00898390674249</v>
      </c>
      <c r="AR308" s="7">
        <v>252.387027977424</v>
      </c>
      <c r="AS308" s="7">
        <v>163.7056788374264</v>
      </c>
      <c r="AT308" s="7">
        <v>161.88761307068151</v>
      </c>
    </row>
    <row r="309" spans="1:46" x14ac:dyDescent="0.35">
      <c r="A309" s="5">
        <v>46022</v>
      </c>
      <c r="B309" s="4" t="s">
        <v>683</v>
      </c>
      <c r="C309" s="4" t="s">
        <v>684</v>
      </c>
      <c r="D309" s="4" t="s">
        <v>536</v>
      </c>
      <c r="E309" s="6">
        <v>293649.34298100002</v>
      </c>
      <c r="F309" s="6">
        <v>0</v>
      </c>
      <c r="G309" s="6">
        <v>293649.34298100002</v>
      </c>
      <c r="H309" s="6">
        <v>9.3870970000000007</v>
      </c>
      <c r="I309" s="6">
        <v>31282.232413999998</v>
      </c>
      <c r="J309" s="6">
        <v>0</v>
      </c>
      <c r="K309" s="6">
        <v>31282.232413999998</v>
      </c>
      <c r="L309" s="6">
        <v>31282.232413999998</v>
      </c>
      <c r="M309" s="7">
        <v>2.3467980000000002</v>
      </c>
      <c r="N309" s="7">
        <v>6.7935850000000002</v>
      </c>
      <c r="O309" s="7">
        <v>0.50916300000000014</v>
      </c>
      <c r="P309" s="7">
        <v>2.3750770000000001</v>
      </c>
      <c r="Q309" s="7">
        <v>12.024623</v>
      </c>
      <c r="R309" s="7">
        <v>0.73666200000000015</v>
      </c>
      <c r="S309" s="7">
        <v>1.1707369999999999</v>
      </c>
      <c r="T309" s="7">
        <v>7.6738600000000012</v>
      </c>
      <c r="U309" s="7">
        <v>0.68179100000000015</v>
      </c>
      <c r="V309" s="7">
        <v>10.26305</v>
      </c>
      <c r="W309" s="7">
        <v>22.287673000000002</v>
      </c>
      <c r="X309" s="7">
        <v>0</v>
      </c>
      <c r="Y309" s="7">
        <v>1.690890083851655</v>
      </c>
      <c r="Z309" s="7">
        <v>23.978563083851661</v>
      </c>
      <c r="AA309" s="7">
        <v>2.2109722896599582</v>
      </c>
      <c r="AB309" s="7">
        <v>26.18953537351161</v>
      </c>
      <c r="AC309" s="7">
        <v>0</v>
      </c>
      <c r="AD309" s="7">
        <v>4.2750000000000012</v>
      </c>
      <c r="AE309" s="7">
        <v>0</v>
      </c>
      <c r="AF309" s="7">
        <v>0</v>
      </c>
      <c r="AG309" s="7">
        <v>30.464535373511609</v>
      </c>
      <c r="AH309" s="7">
        <v>1.677217</v>
      </c>
      <c r="AI309" s="7">
        <v>0</v>
      </c>
      <c r="AJ309" s="7">
        <v>5.8179990000000013</v>
      </c>
      <c r="AK309" s="7">
        <v>33.68475137351161</v>
      </c>
      <c r="AL309" s="7">
        <v>27.076073000000001</v>
      </c>
      <c r="AM309" s="7">
        <v>0</v>
      </c>
      <c r="AN309" s="7">
        <v>0</v>
      </c>
      <c r="AO309" s="7">
        <v>0</v>
      </c>
      <c r="AP309" s="7">
        <v>0</v>
      </c>
      <c r="AQ309" s="7">
        <v>60.760824373511618</v>
      </c>
      <c r="AR309" s="7">
        <v>36.545466395106452</v>
      </c>
      <c r="AS309" s="7">
        <v>12.566903311254791</v>
      </c>
      <c r="AT309" s="7">
        <v>10.355931021594831</v>
      </c>
    </row>
    <row r="310" spans="1:46" x14ac:dyDescent="0.35">
      <c r="A310" s="5">
        <v>46022</v>
      </c>
      <c r="B310" s="4" t="s">
        <v>685</v>
      </c>
      <c r="C310" s="4" t="s">
        <v>686</v>
      </c>
      <c r="D310" s="4" t="s">
        <v>687</v>
      </c>
      <c r="E310" s="6">
        <v>6000</v>
      </c>
      <c r="F310" s="6">
        <v>0</v>
      </c>
      <c r="G310" s="6">
        <v>6000</v>
      </c>
      <c r="H310" s="6">
        <v>2.0689660000000001</v>
      </c>
      <c r="I310" s="6">
        <v>2900</v>
      </c>
      <c r="J310" s="6">
        <v>0</v>
      </c>
      <c r="K310" s="6">
        <v>2900</v>
      </c>
      <c r="L310" s="6">
        <v>2900</v>
      </c>
      <c r="M310" s="7">
        <v>9.6467620000000007</v>
      </c>
      <c r="N310" s="7">
        <v>5.7289580000000004</v>
      </c>
      <c r="O310" s="7">
        <v>0.31501299999999999</v>
      </c>
      <c r="P310" s="7">
        <v>6.2227110000000003</v>
      </c>
      <c r="Q310" s="7">
        <v>21.913443999999998</v>
      </c>
      <c r="R310" s="7">
        <v>10.135336000000001</v>
      </c>
      <c r="S310" s="7">
        <v>3.4256359999999999</v>
      </c>
      <c r="T310" s="7">
        <v>7.4209160000000001</v>
      </c>
      <c r="U310" s="7">
        <v>5.1459760000000001</v>
      </c>
      <c r="V310" s="7">
        <v>26.127863999999999</v>
      </c>
      <c r="W310" s="7">
        <v>48.041308000000001</v>
      </c>
      <c r="X310" s="7">
        <v>36.781930449408833</v>
      </c>
      <c r="Y310" s="7">
        <v>19.23545844237081</v>
      </c>
      <c r="Z310" s="7">
        <v>104.0586968917796</v>
      </c>
      <c r="AA310" s="7">
        <v>7.5836310780755323</v>
      </c>
      <c r="AB310" s="7">
        <v>111.6423279698552</v>
      </c>
      <c r="AC310" s="7">
        <v>1.297898</v>
      </c>
      <c r="AD310" s="7">
        <v>17.006262</v>
      </c>
      <c r="AE310" s="7">
        <v>0</v>
      </c>
      <c r="AF310" s="7">
        <v>0</v>
      </c>
      <c r="AG310" s="7">
        <v>129.94648796985521</v>
      </c>
      <c r="AH310" s="7">
        <v>7.2537799999999999</v>
      </c>
      <c r="AI310" s="7">
        <v>0</v>
      </c>
      <c r="AJ310" s="7">
        <v>0.96</v>
      </c>
      <c r="AK310" s="7">
        <v>121.15400596985521</v>
      </c>
      <c r="AL310" s="7">
        <v>0</v>
      </c>
      <c r="AM310" s="7">
        <v>0</v>
      </c>
      <c r="AN310" s="7">
        <v>0</v>
      </c>
      <c r="AO310" s="7">
        <v>0</v>
      </c>
      <c r="AP310" s="7">
        <v>0</v>
      </c>
      <c r="AQ310" s="7">
        <v>121.15400596985521</v>
      </c>
      <c r="AR310" s="7">
        <v>189.5906772423659</v>
      </c>
      <c r="AS310" s="7">
        <v>85.53198035058621</v>
      </c>
      <c r="AT310" s="7">
        <v>77.948349272510683</v>
      </c>
    </row>
    <row r="311" spans="1:46" x14ac:dyDescent="0.35">
      <c r="A311" s="5">
        <v>46022</v>
      </c>
      <c r="B311" s="4" t="s">
        <v>688</v>
      </c>
      <c r="C311" s="4" t="s">
        <v>689</v>
      </c>
      <c r="D311" s="4" t="s">
        <v>105</v>
      </c>
      <c r="E311" s="6">
        <v>0</v>
      </c>
      <c r="F311" s="6">
        <v>0</v>
      </c>
      <c r="G311" s="6">
        <v>0</v>
      </c>
      <c r="H311" s="6">
        <v>0</v>
      </c>
      <c r="I311" s="6">
        <v>0</v>
      </c>
      <c r="J311" s="6">
        <v>573.89358100000004</v>
      </c>
      <c r="K311" s="6">
        <v>573.89358100000004</v>
      </c>
      <c r="L311" s="6">
        <v>573.89358100000004</v>
      </c>
      <c r="M311" s="7">
        <v>12.963638</v>
      </c>
      <c r="N311" s="7">
        <v>2.7932540000000001</v>
      </c>
      <c r="O311" s="7">
        <v>8.2827300000000008</v>
      </c>
      <c r="P311" s="7">
        <v>3.5869580000000001</v>
      </c>
      <c r="Q311" s="7">
        <v>27.626580000000001</v>
      </c>
      <c r="R311" s="7">
        <v>7.2666959999999987</v>
      </c>
      <c r="S311" s="7">
        <v>1.4808140000000001</v>
      </c>
      <c r="T311" s="7">
        <v>8.3310060000000004</v>
      </c>
      <c r="U311" s="7">
        <v>2.6602190000000001</v>
      </c>
      <c r="V311" s="7">
        <v>19.738734999999998</v>
      </c>
      <c r="W311" s="7">
        <v>47.365315000000002</v>
      </c>
      <c r="X311" s="7">
        <v>5.6030492426739649</v>
      </c>
      <c r="Y311" s="7">
        <v>11.430597207116019</v>
      </c>
      <c r="Z311" s="7">
        <v>64.398961449789979</v>
      </c>
      <c r="AA311" s="7">
        <v>7.2861265368061998</v>
      </c>
      <c r="AB311" s="7">
        <v>71.685087986596173</v>
      </c>
      <c r="AC311" s="7">
        <v>0</v>
      </c>
      <c r="AD311" s="7">
        <v>5.9493510000000001</v>
      </c>
      <c r="AE311" s="7">
        <v>0</v>
      </c>
      <c r="AF311" s="7">
        <v>0</v>
      </c>
      <c r="AG311" s="7">
        <v>77.63443898659618</v>
      </c>
      <c r="AH311" s="7">
        <v>0.58944499999999989</v>
      </c>
      <c r="AI311" s="7">
        <v>0</v>
      </c>
      <c r="AJ311" s="7">
        <v>5.9493510000000001</v>
      </c>
      <c r="AK311" s="7">
        <v>78.223883986596178</v>
      </c>
      <c r="AL311" s="7">
        <v>0</v>
      </c>
      <c r="AM311" s="7">
        <v>0</v>
      </c>
      <c r="AN311" s="7">
        <v>0</v>
      </c>
      <c r="AO311" s="7">
        <v>0</v>
      </c>
      <c r="AP311" s="7">
        <v>0</v>
      </c>
      <c r="AQ311" s="7">
        <v>78.223883986596178</v>
      </c>
      <c r="AR311" s="7">
        <v>113.45246147591421</v>
      </c>
      <c r="AS311" s="7">
        <v>49.05350002612419</v>
      </c>
      <c r="AT311" s="7">
        <v>41.76737348931799</v>
      </c>
    </row>
    <row r="312" spans="1:46" x14ac:dyDescent="0.35">
      <c r="A312" s="5">
        <v>46022</v>
      </c>
      <c r="B312" s="4" t="s">
        <v>690</v>
      </c>
      <c r="C312" s="4" t="s">
        <v>691</v>
      </c>
      <c r="D312" s="4" t="s">
        <v>111</v>
      </c>
      <c r="E312" s="6">
        <v>0</v>
      </c>
      <c r="F312" s="6">
        <v>0</v>
      </c>
      <c r="G312" s="6">
        <v>0</v>
      </c>
      <c r="H312" s="6">
        <v>0</v>
      </c>
      <c r="I312" s="6">
        <v>0</v>
      </c>
      <c r="J312" s="6">
        <v>1750</v>
      </c>
      <c r="K312" s="6">
        <v>1750</v>
      </c>
      <c r="L312" s="6">
        <v>1750</v>
      </c>
      <c r="M312" s="7">
        <v>8.7177070000000008</v>
      </c>
      <c r="N312" s="7">
        <v>13.829288999999999</v>
      </c>
      <c r="O312" s="7">
        <v>0.72043500000000005</v>
      </c>
      <c r="P312" s="7">
        <v>8.0976779999999984</v>
      </c>
      <c r="Q312" s="7">
        <v>31.365109</v>
      </c>
      <c r="R312" s="7">
        <v>2.3250799999999998</v>
      </c>
      <c r="S312" s="7">
        <v>0.40897499999999992</v>
      </c>
      <c r="T312" s="7">
        <v>1.9622200000000001</v>
      </c>
      <c r="U312" s="7">
        <v>6.4337489999999988</v>
      </c>
      <c r="V312" s="7">
        <v>11.130024000000001</v>
      </c>
      <c r="W312" s="7">
        <v>42.495133000000003</v>
      </c>
      <c r="X312" s="7">
        <v>5.4636848281746291</v>
      </c>
      <c r="Y312" s="7">
        <v>5.2602624938873737</v>
      </c>
      <c r="Z312" s="7">
        <v>53.219080322061998</v>
      </c>
      <c r="AA312" s="7">
        <v>1.6468880254879359</v>
      </c>
      <c r="AB312" s="7">
        <v>54.865968347549938</v>
      </c>
      <c r="AC312" s="7">
        <v>0</v>
      </c>
      <c r="AD312" s="7">
        <v>21.052634999999999</v>
      </c>
      <c r="AE312" s="7">
        <v>0</v>
      </c>
      <c r="AF312" s="7">
        <v>0</v>
      </c>
      <c r="AG312" s="7">
        <v>75.918603347549933</v>
      </c>
      <c r="AH312" s="7">
        <v>3.9503970000000002</v>
      </c>
      <c r="AI312" s="7">
        <v>0</v>
      </c>
      <c r="AJ312" s="7">
        <v>15.533186000000001</v>
      </c>
      <c r="AK312" s="7">
        <v>74.349551347549934</v>
      </c>
      <c r="AL312" s="7">
        <v>0</v>
      </c>
      <c r="AM312" s="7">
        <v>0</v>
      </c>
      <c r="AN312" s="7">
        <v>0</v>
      </c>
      <c r="AO312" s="7">
        <v>0</v>
      </c>
      <c r="AP312" s="7">
        <v>0</v>
      </c>
      <c r="AQ312" s="7">
        <v>74.349551347549934</v>
      </c>
      <c r="AR312" s="7">
        <v>79.279331032832971</v>
      </c>
      <c r="AS312" s="7">
        <v>26.060250710770969</v>
      </c>
      <c r="AT312" s="7">
        <v>24.41336268528303</v>
      </c>
    </row>
    <row r="313" spans="1:46" x14ac:dyDescent="0.35">
      <c r="A313" s="5">
        <v>46022</v>
      </c>
      <c r="B313" s="4" t="s">
        <v>692</v>
      </c>
      <c r="C313" s="4" t="s">
        <v>693</v>
      </c>
      <c r="D313" s="4" t="s">
        <v>105</v>
      </c>
      <c r="E313" s="6">
        <v>0</v>
      </c>
      <c r="F313" s="6">
        <v>0</v>
      </c>
      <c r="G313" s="6">
        <v>0</v>
      </c>
      <c r="H313" s="6">
        <v>0</v>
      </c>
      <c r="I313" s="6">
        <v>0</v>
      </c>
      <c r="J313" s="6">
        <v>2008.8011080000001</v>
      </c>
      <c r="K313" s="6">
        <v>2008.8011080000001</v>
      </c>
      <c r="L313" s="6">
        <v>3539.702448</v>
      </c>
      <c r="M313" s="7">
        <v>14.52432420621931</v>
      </c>
      <c r="N313" s="7">
        <v>0.93886800000000004</v>
      </c>
      <c r="O313" s="7">
        <v>0.39584411456628482</v>
      </c>
      <c r="P313" s="7">
        <v>1.958750549918167</v>
      </c>
      <c r="Q313" s="7">
        <v>17.81778687070376</v>
      </c>
      <c r="R313" s="7">
        <v>5.087641774140752</v>
      </c>
      <c r="S313" s="7">
        <v>0.83646266612111286</v>
      </c>
      <c r="T313" s="7">
        <v>3.1492182635024548</v>
      </c>
      <c r="U313" s="7">
        <v>2.641648793780687</v>
      </c>
      <c r="V313" s="7">
        <v>11.71497149754501</v>
      </c>
      <c r="W313" s="7">
        <v>29.532758368248771</v>
      </c>
      <c r="X313" s="7">
        <v>0.60967567135804068</v>
      </c>
      <c r="Y313" s="7">
        <v>20.8223374059402</v>
      </c>
      <c r="Z313" s="7">
        <v>50.964771445547008</v>
      </c>
      <c r="AA313" s="7">
        <v>2.770932353799838</v>
      </c>
      <c r="AB313" s="7">
        <v>53.735703799346851</v>
      </c>
      <c r="AC313" s="7">
        <v>0</v>
      </c>
      <c r="AD313" s="7">
        <v>20.233690592471358</v>
      </c>
      <c r="AE313" s="7">
        <v>0</v>
      </c>
      <c r="AF313" s="7">
        <v>0</v>
      </c>
      <c r="AG313" s="7">
        <v>73.969394391818213</v>
      </c>
      <c r="AH313" s="7">
        <v>0.25846955155482809</v>
      </c>
      <c r="AI313" s="7">
        <v>0</v>
      </c>
      <c r="AJ313" s="7">
        <v>9.3638131129296234</v>
      </c>
      <c r="AK313" s="7">
        <v>63.357986463831303</v>
      </c>
      <c r="AL313" s="7">
        <v>0</v>
      </c>
      <c r="AM313" s="7">
        <v>0</v>
      </c>
      <c r="AN313" s="7">
        <v>0</v>
      </c>
      <c r="AO313" s="7">
        <v>0</v>
      </c>
      <c r="AP313" s="7">
        <v>0</v>
      </c>
      <c r="AQ313" s="7">
        <v>63.357986463831303</v>
      </c>
      <c r="AR313" s="7">
        <v>135.1294265030516</v>
      </c>
      <c r="AS313" s="7">
        <v>84.164655057504547</v>
      </c>
      <c r="AT313" s="7">
        <v>81.393722703704725</v>
      </c>
    </row>
    <row r="314" spans="1:46" x14ac:dyDescent="0.35">
      <c r="A314" s="5">
        <v>46022</v>
      </c>
      <c r="B314" s="4" t="s">
        <v>694</v>
      </c>
      <c r="C314" s="4" t="s">
        <v>695</v>
      </c>
      <c r="D314" s="4" t="s">
        <v>55</v>
      </c>
      <c r="E314" s="6">
        <v>2291.9549950000001</v>
      </c>
      <c r="F314" s="6">
        <v>0</v>
      </c>
      <c r="G314" s="6">
        <v>2291.9549950000001</v>
      </c>
      <c r="H314" s="6">
        <v>4.4590560000000004</v>
      </c>
      <c r="I314" s="6">
        <v>514</v>
      </c>
      <c r="J314" s="6">
        <v>2312</v>
      </c>
      <c r="K314" s="6">
        <v>2826</v>
      </c>
      <c r="L314" s="6">
        <v>3455</v>
      </c>
      <c r="M314" s="7">
        <v>15.070171999999999</v>
      </c>
      <c r="N314" s="7">
        <v>5.878755</v>
      </c>
      <c r="O314" s="7">
        <v>1.763611</v>
      </c>
      <c r="P314" s="7">
        <v>15.323062</v>
      </c>
      <c r="Q314" s="7">
        <v>38.035600000000002</v>
      </c>
      <c r="R314" s="7">
        <v>2.6485270000000001</v>
      </c>
      <c r="S314" s="7">
        <v>2.6352470000000001</v>
      </c>
      <c r="T314" s="7">
        <v>5.042548</v>
      </c>
      <c r="U314" s="7">
        <v>4.0593459999999988</v>
      </c>
      <c r="V314" s="7">
        <v>14.385668000000001</v>
      </c>
      <c r="W314" s="7">
        <v>52.421267999999998</v>
      </c>
      <c r="X314" s="7">
        <v>2.2793167984040519</v>
      </c>
      <c r="Y314" s="7">
        <v>4.6691003410184084</v>
      </c>
      <c r="Z314" s="7">
        <v>59.369685139422458</v>
      </c>
      <c r="AA314" s="7">
        <v>2.1520304387853759</v>
      </c>
      <c r="AB314" s="7">
        <v>61.521715578207832</v>
      </c>
      <c r="AC314" s="7">
        <v>0</v>
      </c>
      <c r="AD314" s="7">
        <v>26.94726</v>
      </c>
      <c r="AE314" s="7">
        <v>0</v>
      </c>
      <c r="AF314" s="7">
        <v>0</v>
      </c>
      <c r="AG314" s="7">
        <v>88.468975578207832</v>
      </c>
      <c r="AH314" s="7">
        <v>13.852194000000001</v>
      </c>
      <c r="AI314" s="7">
        <v>0</v>
      </c>
      <c r="AJ314" s="7">
        <v>19.211096999999999</v>
      </c>
      <c r="AK314" s="7">
        <v>94.585006578207825</v>
      </c>
      <c r="AL314" s="7">
        <v>49.927641000000001</v>
      </c>
      <c r="AM314" s="7">
        <v>0</v>
      </c>
      <c r="AN314" s="7">
        <v>0</v>
      </c>
      <c r="AO314" s="7">
        <v>0</v>
      </c>
      <c r="AP314" s="7">
        <v>0</v>
      </c>
      <c r="AQ314" s="7">
        <v>144.5126475782078</v>
      </c>
      <c r="AR314" s="7">
        <v>107.60102248224921</v>
      </c>
      <c r="AS314" s="7">
        <v>48.231337342826698</v>
      </c>
      <c r="AT314" s="7">
        <v>46.079306904041331</v>
      </c>
    </row>
    <row r="315" spans="1:46" x14ac:dyDescent="0.35">
      <c r="A315" s="5">
        <v>46022</v>
      </c>
      <c r="B315" s="4" t="s">
        <v>696</v>
      </c>
      <c r="C315" s="4" t="s">
        <v>697</v>
      </c>
      <c r="D315" s="4" t="s">
        <v>79</v>
      </c>
      <c r="E315" s="6">
        <v>2645.5026459999999</v>
      </c>
      <c r="F315" s="6">
        <v>0</v>
      </c>
      <c r="G315" s="6">
        <v>2645.5026459999999</v>
      </c>
      <c r="H315" s="6">
        <v>2.5</v>
      </c>
      <c r="I315" s="6">
        <v>1058.2010580000001</v>
      </c>
      <c r="J315" s="6">
        <v>0</v>
      </c>
      <c r="K315" s="6">
        <v>1058.2010580000001</v>
      </c>
      <c r="L315" s="6">
        <v>1058.2010580000001</v>
      </c>
      <c r="M315" s="7">
        <v>2.8022040000000001</v>
      </c>
      <c r="N315" s="7">
        <v>1.2467490000000001</v>
      </c>
      <c r="O315" s="7">
        <v>0.31024299999999999</v>
      </c>
      <c r="P315" s="7">
        <v>4.079097</v>
      </c>
      <c r="Q315" s="7">
        <v>8.4382929999999998</v>
      </c>
      <c r="R315" s="7">
        <v>1.195729</v>
      </c>
      <c r="S315" s="7">
        <v>3.003968</v>
      </c>
      <c r="T315" s="7">
        <v>1.912218</v>
      </c>
      <c r="U315" s="7">
        <v>1.103842</v>
      </c>
      <c r="V315" s="7">
        <v>7.215757</v>
      </c>
      <c r="W315" s="7">
        <v>15.65405</v>
      </c>
      <c r="X315" s="7">
        <v>0.14222228834702219</v>
      </c>
      <c r="Y315" s="7">
        <v>0</v>
      </c>
      <c r="Z315" s="7">
        <v>15.796272288347019</v>
      </c>
      <c r="AA315" s="7">
        <v>1.0500266618984879</v>
      </c>
      <c r="AB315" s="7">
        <v>16.846298950245512</v>
      </c>
      <c r="AC315" s="7">
        <v>0.94499999999999995</v>
      </c>
      <c r="AD315" s="7">
        <v>5.2687429999999997</v>
      </c>
      <c r="AE315" s="7">
        <v>0</v>
      </c>
      <c r="AF315" s="7">
        <v>0</v>
      </c>
      <c r="AG315" s="7">
        <v>23.060041950245509</v>
      </c>
      <c r="AH315" s="7">
        <v>0.23481099999999999</v>
      </c>
      <c r="AI315" s="7">
        <v>0</v>
      </c>
      <c r="AJ315" s="7">
        <v>0.78270300000000004</v>
      </c>
      <c r="AK315" s="7">
        <v>18.80881295024551</v>
      </c>
      <c r="AL315" s="7">
        <v>0</v>
      </c>
      <c r="AM315" s="7">
        <v>0</v>
      </c>
      <c r="AN315" s="7">
        <v>0</v>
      </c>
      <c r="AO315" s="7">
        <v>0</v>
      </c>
      <c r="AP315" s="7">
        <v>0</v>
      </c>
      <c r="AQ315" s="7">
        <v>18.80881295024551</v>
      </c>
      <c r="AR315" s="7">
        <v>35.000588947596952</v>
      </c>
      <c r="AS315" s="7">
        <v>19.20431665924993</v>
      </c>
      <c r="AT315" s="7">
        <v>18.154289997351441</v>
      </c>
    </row>
    <row r="316" spans="1:46" x14ac:dyDescent="0.35">
      <c r="A316" s="5">
        <v>46022</v>
      </c>
      <c r="B316" s="4" t="s">
        <v>698</v>
      </c>
      <c r="C316" s="4" t="s">
        <v>699</v>
      </c>
      <c r="D316" s="4" t="s">
        <v>58</v>
      </c>
      <c r="E316" s="6">
        <v>5800</v>
      </c>
      <c r="F316" s="6">
        <v>0</v>
      </c>
      <c r="G316" s="6">
        <v>5800</v>
      </c>
      <c r="H316" s="6">
        <v>0.4</v>
      </c>
      <c r="I316" s="6">
        <v>14500</v>
      </c>
      <c r="J316" s="6">
        <v>0</v>
      </c>
      <c r="K316" s="6">
        <v>14500</v>
      </c>
      <c r="L316" s="6">
        <v>14500</v>
      </c>
      <c r="M316" s="7">
        <v>1.9139699999999999</v>
      </c>
      <c r="N316" s="7">
        <v>1.441233</v>
      </c>
      <c r="O316" s="7">
        <v>2.0789999999999999E-2</v>
      </c>
      <c r="P316" s="7">
        <v>1.6352960000000001</v>
      </c>
      <c r="Q316" s="7">
        <v>5.0112889999999997</v>
      </c>
      <c r="R316" s="7">
        <v>1.259439</v>
      </c>
      <c r="S316" s="7">
        <v>1.9800519999999999</v>
      </c>
      <c r="T316" s="7">
        <v>3.2955489999999998</v>
      </c>
      <c r="U316" s="7">
        <v>3.002847</v>
      </c>
      <c r="V316" s="7">
        <v>9.5378869999999996</v>
      </c>
      <c r="W316" s="7">
        <v>14.549175999999999</v>
      </c>
      <c r="X316" s="7">
        <v>1.2760591941535311</v>
      </c>
      <c r="Y316" s="7">
        <v>1.6137361904348559</v>
      </c>
      <c r="Z316" s="7">
        <v>17.438971384588388</v>
      </c>
      <c r="AA316" s="7">
        <v>0.75113529681354974</v>
      </c>
      <c r="AB316" s="7">
        <v>18.190106681401939</v>
      </c>
      <c r="AC316" s="7">
        <v>0</v>
      </c>
      <c r="AD316" s="7">
        <v>5.6727030000000012</v>
      </c>
      <c r="AE316" s="7">
        <v>0</v>
      </c>
      <c r="AF316" s="7">
        <v>0</v>
      </c>
      <c r="AG316" s="7">
        <v>23.862809681401941</v>
      </c>
      <c r="AH316" s="7">
        <v>0.62051800000000013</v>
      </c>
      <c r="AI316" s="7">
        <v>0</v>
      </c>
      <c r="AJ316" s="7">
        <v>3.4451290000000001</v>
      </c>
      <c r="AK316" s="7">
        <v>22.255753681401941</v>
      </c>
      <c r="AL316" s="7">
        <v>0</v>
      </c>
      <c r="AM316" s="7">
        <v>0</v>
      </c>
      <c r="AN316" s="7">
        <v>0</v>
      </c>
      <c r="AO316" s="7">
        <v>0</v>
      </c>
      <c r="AP316" s="7">
        <v>0</v>
      </c>
      <c r="AQ316" s="7">
        <v>22.255753681401941</v>
      </c>
      <c r="AR316" s="7">
        <v>32.040442604163452</v>
      </c>
      <c r="AS316" s="7">
        <v>14.60147121957506</v>
      </c>
      <c r="AT316" s="7">
        <v>13.85033592276152</v>
      </c>
    </row>
    <row r="317" spans="1:46" x14ac:dyDescent="0.35">
      <c r="A317" s="5">
        <v>46022</v>
      </c>
      <c r="B317" s="4" t="s">
        <v>700</v>
      </c>
      <c r="C317" s="4" t="s">
        <v>701</v>
      </c>
      <c r="D317" s="4" t="s">
        <v>58</v>
      </c>
      <c r="E317" s="6">
        <v>9725.1676750000006</v>
      </c>
      <c r="F317" s="6">
        <v>0</v>
      </c>
      <c r="G317" s="6">
        <v>9725.1676750000006</v>
      </c>
      <c r="H317" s="6">
        <v>0.5</v>
      </c>
      <c r="I317" s="6">
        <v>19450.335351000002</v>
      </c>
      <c r="J317" s="6">
        <v>0</v>
      </c>
      <c r="K317" s="6">
        <v>19450.335351000002</v>
      </c>
      <c r="L317" s="6">
        <v>19450.335351000002</v>
      </c>
      <c r="M317" s="7">
        <v>1.008891</v>
      </c>
      <c r="N317" s="7">
        <v>4.2139040000000003</v>
      </c>
      <c r="O317" s="7">
        <v>1.7062999999999998E-2</v>
      </c>
      <c r="P317" s="7">
        <v>1.098902</v>
      </c>
      <c r="Q317" s="7">
        <v>6.3387599999999997</v>
      </c>
      <c r="R317" s="7">
        <v>0.35965399999999997</v>
      </c>
      <c r="S317" s="7">
        <v>0.33568300000000001</v>
      </c>
      <c r="T317" s="7">
        <v>0.60769899999999999</v>
      </c>
      <c r="U317" s="7">
        <v>1.5415E-2</v>
      </c>
      <c r="V317" s="7">
        <v>1.318451</v>
      </c>
      <c r="W317" s="7">
        <v>7.6572110000000011</v>
      </c>
      <c r="X317" s="7">
        <v>0.13168542117013499</v>
      </c>
      <c r="Y317" s="7">
        <v>0</v>
      </c>
      <c r="Z317" s="7">
        <v>7.7888964211701364</v>
      </c>
      <c r="AA317" s="7">
        <v>0.37862605689704371</v>
      </c>
      <c r="AB317" s="7">
        <v>8.1675224780671787</v>
      </c>
      <c r="AC317" s="7">
        <v>0</v>
      </c>
      <c r="AD317" s="7">
        <v>3.4260839999999999</v>
      </c>
      <c r="AE317" s="7">
        <v>0</v>
      </c>
      <c r="AF317" s="7">
        <v>0</v>
      </c>
      <c r="AG317" s="7">
        <v>11.59360647806718</v>
      </c>
      <c r="AH317" s="7">
        <v>1.1224590000000001</v>
      </c>
      <c r="AI317" s="7">
        <v>0</v>
      </c>
      <c r="AJ317" s="7">
        <v>2.1661069999999998</v>
      </c>
      <c r="AK317" s="7">
        <v>11.45608847806718</v>
      </c>
      <c r="AL317" s="7">
        <v>0</v>
      </c>
      <c r="AM317" s="7">
        <v>0</v>
      </c>
      <c r="AN317" s="7">
        <v>0</v>
      </c>
      <c r="AO317" s="7">
        <v>0</v>
      </c>
      <c r="AP317" s="7">
        <v>0</v>
      </c>
      <c r="AQ317" s="7">
        <v>11.45608847806718</v>
      </c>
      <c r="AR317" s="7">
        <v>11.681609839921141</v>
      </c>
      <c r="AS317" s="7">
        <v>3.8927134187510051</v>
      </c>
      <c r="AT317" s="7">
        <v>3.514087361853961</v>
      </c>
    </row>
    <row r="318" spans="1:46" x14ac:dyDescent="0.35">
      <c r="A318" s="5">
        <v>46022</v>
      </c>
      <c r="B318" s="4" t="s">
        <v>702</v>
      </c>
      <c r="C318" s="4" t="s">
        <v>703</v>
      </c>
      <c r="D318" s="4" t="s">
        <v>69</v>
      </c>
      <c r="E318" s="6">
        <v>3600</v>
      </c>
      <c r="F318" s="6">
        <v>0</v>
      </c>
      <c r="G318" s="6">
        <v>3600</v>
      </c>
      <c r="H318" s="6">
        <v>1</v>
      </c>
      <c r="I318" s="6">
        <v>3600</v>
      </c>
      <c r="J318" s="6">
        <v>1692</v>
      </c>
      <c r="K318" s="6">
        <v>5292</v>
      </c>
      <c r="L318" s="6">
        <v>5292</v>
      </c>
      <c r="M318" s="7">
        <v>9.0171000000000015E-2</v>
      </c>
      <c r="N318" s="7">
        <v>2.5028589999999999</v>
      </c>
      <c r="O318" s="7">
        <v>0.18168300000000001</v>
      </c>
      <c r="P318" s="7">
        <v>0.50095599999999996</v>
      </c>
      <c r="Q318" s="7">
        <v>3.2756690000000002</v>
      </c>
      <c r="R318" s="7">
        <v>1.338E-2</v>
      </c>
      <c r="S318" s="7">
        <v>6.0947000000000001E-2</v>
      </c>
      <c r="T318" s="7">
        <v>0.63981100000000013</v>
      </c>
      <c r="U318" s="7">
        <v>0.80324899999999999</v>
      </c>
      <c r="V318" s="7">
        <v>1.517387</v>
      </c>
      <c r="W318" s="7">
        <v>4.793056</v>
      </c>
      <c r="X318" s="7">
        <v>5.2703669027064812</v>
      </c>
      <c r="Y318" s="7">
        <v>5.6332124242286863</v>
      </c>
      <c r="Z318" s="7">
        <v>15.696635326935169</v>
      </c>
      <c r="AA318" s="7">
        <v>0</v>
      </c>
      <c r="AB318" s="7">
        <v>15.696635326935169</v>
      </c>
      <c r="AC318" s="7">
        <v>0</v>
      </c>
      <c r="AD318" s="7">
        <v>3.724234</v>
      </c>
      <c r="AE318" s="7">
        <v>0</v>
      </c>
      <c r="AF318" s="7">
        <v>0</v>
      </c>
      <c r="AG318" s="7">
        <v>19.420869326935168</v>
      </c>
      <c r="AH318" s="7">
        <v>2.4828220000000001</v>
      </c>
      <c r="AI318" s="7">
        <v>0</v>
      </c>
      <c r="AJ318" s="7">
        <v>3.724234</v>
      </c>
      <c r="AK318" s="7">
        <v>21.903691326935171</v>
      </c>
      <c r="AL318" s="7">
        <v>0</v>
      </c>
      <c r="AM318" s="7">
        <v>0</v>
      </c>
      <c r="AN318" s="7">
        <v>0</v>
      </c>
      <c r="AO318" s="7">
        <v>0</v>
      </c>
      <c r="AP318" s="7">
        <v>0</v>
      </c>
      <c r="AQ318" s="7">
        <v>21.903691326935171</v>
      </c>
      <c r="AR318" s="7">
        <v>80.696986689508847</v>
      </c>
      <c r="AS318" s="7">
        <v>65.000351362573696</v>
      </c>
      <c r="AT318" s="7">
        <v>65.000351362573696</v>
      </c>
    </row>
    <row r="319" spans="1:46" x14ac:dyDescent="0.35">
      <c r="A319" s="5">
        <v>46022</v>
      </c>
      <c r="B319" s="4" t="s">
        <v>704</v>
      </c>
      <c r="C319" s="4" t="s">
        <v>705</v>
      </c>
      <c r="D319" s="4" t="s">
        <v>61</v>
      </c>
      <c r="E319" s="6">
        <v>0</v>
      </c>
      <c r="F319" s="6">
        <v>0</v>
      </c>
      <c r="G319" s="6">
        <v>0</v>
      </c>
      <c r="H319" s="6">
        <v>0</v>
      </c>
      <c r="I319" s="6">
        <v>0</v>
      </c>
      <c r="J319" s="6">
        <v>85.78</v>
      </c>
      <c r="K319" s="6">
        <v>85.78</v>
      </c>
      <c r="L319" s="6">
        <v>85.78</v>
      </c>
      <c r="M319" s="7">
        <v>9.7339169999999999</v>
      </c>
      <c r="N319" s="7">
        <v>0.39274100000000001</v>
      </c>
      <c r="O319" s="7">
        <v>2.8679420000000002</v>
      </c>
      <c r="P319" s="7">
        <v>3.4747949999999999</v>
      </c>
      <c r="Q319" s="7">
        <v>16.469394999999999</v>
      </c>
      <c r="R319" s="7">
        <v>2.5131429999999999</v>
      </c>
      <c r="S319" s="7">
        <v>1.136312</v>
      </c>
      <c r="T319" s="7">
        <v>2.7727710000000001</v>
      </c>
      <c r="U319" s="7">
        <v>1.6127739999999999</v>
      </c>
      <c r="V319" s="7">
        <v>8.0350000000000001</v>
      </c>
      <c r="W319" s="7">
        <v>24.504394999999999</v>
      </c>
      <c r="X319" s="7">
        <v>1.0829491052692941</v>
      </c>
      <c r="Y319" s="7">
        <v>3.5930370621519758</v>
      </c>
      <c r="Z319" s="7">
        <v>29.18038116742127</v>
      </c>
      <c r="AA319" s="7">
        <v>8.2996086320615046</v>
      </c>
      <c r="AB319" s="7">
        <v>37.479989799482773</v>
      </c>
      <c r="AC319" s="7">
        <v>0</v>
      </c>
      <c r="AD319" s="7">
        <v>2.7507269999999999</v>
      </c>
      <c r="AE319" s="7">
        <v>0</v>
      </c>
      <c r="AF319" s="7">
        <v>0</v>
      </c>
      <c r="AG319" s="7">
        <v>40.230716799482771</v>
      </c>
      <c r="AH319" s="7">
        <v>0.56855299999999998</v>
      </c>
      <c r="AI319" s="7">
        <v>0</v>
      </c>
      <c r="AJ319" s="7">
        <v>2.7507269999999999</v>
      </c>
      <c r="AK319" s="7">
        <v>40.799269799482772</v>
      </c>
      <c r="AL319" s="7">
        <v>0</v>
      </c>
      <c r="AM319" s="7">
        <v>0</v>
      </c>
      <c r="AN319" s="7">
        <v>0</v>
      </c>
      <c r="AO319" s="7">
        <v>0</v>
      </c>
      <c r="AP319" s="7">
        <v>0</v>
      </c>
      <c r="AQ319" s="7">
        <v>40.799269799482772</v>
      </c>
      <c r="AR319" s="7">
        <v>73.766066074942316</v>
      </c>
      <c r="AS319" s="7">
        <v>44.585684907521049</v>
      </c>
      <c r="AT319" s="7">
        <v>36.28607627545955</v>
      </c>
    </row>
    <row r="320" spans="1:46" x14ac:dyDescent="0.35">
      <c r="A320" s="5">
        <v>46022</v>
      </c>
      <c r="B320" s="4" t="s">
        <v>706</v>
      </c>
      <c r="C320" s="4" t="s">
        <v>707</v>
      </c>
      <c r="D320" s="4" t="s">
        <v>111</v>
      </c>
      <c r="E320" s="6">
        <v>0</v>
      </c>
      <c r="F320" s="6">
        <v>0</v>
      </c>
      <c r="G320" s="6">
        <v>0</v>
      </c>
      <c r="H320" s="6">
        <v>0</v>
      </c>
      <c r="I320" s="6">
        <v>0</v>
      </c>
      <c r="J320" s="6">
        <v>1179.4308799999999</v>
      </c>
      <c r="K320" s="6">
        <v>1179.4308799999999</v>
      </c>
      <c r="L320" s="6">
        <v>1179.4308799999999</v>
      </c>
      <c r="M320" s="7">
        <v>25.290669999999999</v>
      </c>
      <c r="N320" s="7">
        <v>2.2747120000000001</v>
      </c>
      <c r="O320" s="7">
        <v>1.3500719999999999</v>
      </c>
      <c r="P320" s="7">
        <v>8.7617969999999996</v>
      </c>
      <c r="Q320" s="7">
        <v>37.677250999999998</v>
      </c>
      <c r="R320" s="7">
        <v>11.738928</v>
      </c>
      <c r="S320" s="7">
        <v>5.5555929999999991</v>
      </c>
      <c r="T320" s="7">
        <v>4.3267100000000003</v>
      </c>
      <c r="U320" s="7">
        <v>5.9832949999999991</v>
      </c>
      <c r="V320" s="7">
        <v>27.604526</v>
      </c>
      <c r="W320" s="7">
        <v>65.281776999999991</v>
      </c>
      <c r="X320" s="7">
        <v>3.2006491970707089</v>
      </c>
      <c r="Y320" s="7">
        <v>7.5152857068659307</v>
      </c>
      <c r="Z320" s="7">
        <v>75.997711903936633</v>
      </c>
      <c r="AA320" s="7">
        <v>1.6639577737131559</v>
      </c>
      <c r="AB320" s="7">
        <v>77.661669677649783</v>
      </c>
      <c r="AC320" s="7">
        <v>0</v>
      </c>
      <c r="AD320" s="7">
        <v>4.2631420000000002</v>
      </c>
      <c r="AE320" s="7">
        <v>0</v>
      </c>
      <c r="AF320" s="7">
        <v>0</v>
      </c>
      <c r="AG320" s="7">
        <v>81.924811677649785</v>
      </c>
      <c r="AH320" s="7">
        <v>1.5032000000000001</v>
      </c>
      <c r="AI320" s="7">
        <v>0</v>
      </c>
      <c r="AJ320" s="7">
        <v>4.1913260000000001</v>
      </c>
      <c r="AK320" s="7">
        <v>83.356195677649794</v>
      </c>
      <c r="AL320" s="7">
        <v>0</v>
      </c>
      <c r="AM320" s="7">
        <v>0</v>
      </c>
      <c r="AN320" s="7">
        <v>0</v>
      </c>
      <c r="AO320" s="7">
        <v>0</v>
      </c>
      <c r="AP320" s="7">
        <v>0</v>
      </c>
      <c r="AQ320" s="7">
        <v>83.356195677649794</v>
      </c>
      <c r="AR320" s="7">
        <v>95.791109080435248</v>
      </c>
      <c r="AS320" s="7">
        <v>19.793397176498608</v>
      </c>
      <c r="AT320" s="7">
        <v>18.129439402785462</v>
      </c>
    </row>
    <row r="321" spans="1:46" x14ac:dyDescent="0.35">
      <c r="A321" s="5">
        <v>46022</v>
      </c>
      <c r="B321" s="4" t="s">
        <v>708</v>
      </c>
      <c r="C321" s="4" t="s">
        <v>709</v>
      </c>
      <c r="D321" s="4" t="s">
        <v>50</v>
      </c>
      <c r="E321" s="6">
        <v>0</v>
      </c>
      <c r="F321" s="6">
        <v>0</v>
      </c>
      <c r="G321" s="6">
        <v>0</v>
      </c>
      <c r="H321" s="6">
        <v>0</v>
      </c>
      <c r="I321" s="6">
        <v>0</v>
      </c>
      <c r="J321" s="6">
        <v>1026</v>
      </c>
      <c r="K321" s="6">
        <v>1026</v>
      </c>
      <c r="L321" s="6">
        <v>1016</v>
      </c>
      <c r="M321" s="7">
        <v>31.696477000000002</v>
      </c>
      <c r="N321" s="7">
        <v>2.063361</v>
      </c>
      <c r="O321" s="7">
        <v>11.290997000000001</v>
      </c>
      <c r="P321" s="7">
        <v>45.772589000000004</v>
      </c>
      <c r="Q321" s="7">
        <v>90.823424000000017</v>
      </c>
      <c r="R321" s="7">
        <v>5.9009330000000002</v>
      </c>
      <c r="S321" s="7">
        <v>2.0854110000000001</v>
      </c>
      <c r="T321" s="7">
        <v>5.2309679999999998</v>
      </c>
      <c r="U321" s="7">
        <v>2.359264</v>
      </c>
      <c r="V321" s="7">
        <v>15.576575999999999</v>
      </c>
      <c r="W321" s="7">
        <v>106.4</v>
      </c>
      <c r="X321" s="7">
        <v>4.5750162881224412</v>
      </c>
      <c r="Y321" s="7">
        <v>14.71851129169722</v>
      </c>
      <c r="Z321" s="7">
        <v>125.6935275798197</v>
      </c>
      <c r="AA321" s="7">
        <v>1.8574337313818909</v>
      </c>
      <c r="AB321" s="7">
        <v>127.5509613112016</v>
      </c>
      <c r="AC321" s="7">
        <v>0</v>
      </c>
      <c r="AD321" s="7">
        <v>31.465779999999999</v>
      </c>
      <c r="AE321" s="7">
        <v>0</v>
      </c>
      <c r="AF321" s="7">
        <v>0</v>
      </c>
      <c r="AG321" s="7">
        <v>159.0167413112016</v>
      </c>
      <c r="AH321" s="7">
        <v>2.289787</v>
      </c>
      <c r="AI321" s="7">
        <v>0</v>
      </c>
      <c r="AJ321" s="7">
        <v>30.118110000000001</v>
      </c>
      <c r="AK321" s="7">
        <v>159.9588583112016</v>
      </c>
      <c r="AL321" s="7">
        <v>0</v>
      </c>
      <c r="AM321" s="7">
        <v>0</v>
      </c>
      <c r="AN321" s="7">
        <v>0</v>
      </c>
      <c r="AO321" s="7">
        <v>0</v>
      </c>
      <c r="AP321" s="7">
        <v>0</v>
      </c>
      <c r="AQ321" s="7">
        <v>159.9588583112016</v>
      </c>
      <c r="AR321" s="7">
        <v>183.99334810289861</v>
      </c>
      <c r="AS321" s="7">
        <v>58.299820523078978</v>
      </c>
      <c r="AT321" s="7">
        <v>56.442386791697089</v>
      </c>
    </row>
    <row r="322" spans="1:46" x14ac:dyDescent="0.35">
      <c r="A322" s="5">
        <v>46022</v>
      </c>
      <c r="B322" s="4" t="s">
        <v>710</v>
      </c>
      <c r="C322" s="4" t="s">
        <v>711</v>
      </c>
      <c r="D322" s="4" t="s">
        <v>50</v>
      </c>
      <c r="E322" s="6">
        <v>40600</v>
      </c>
      <c r="F322" s="6">
        <v>0</v>
      </c>
      <c r="G322" s="6">
        <v>40600</v>
      </c>
      <c r="H322" s="6">
        <v>1.02267</v>
      </c>
      <c r="I322" s="6">
        <v>39700</v>
      </c>
      <c r="J322" s="6">
        <v>0</v>
      </c>
      <c r="K322" s="6">
        <v>39700</v>
      </c>
      <c r="L322" s="6">
        <v>31350</v>
      </c>
      <c r="M322" s="7">
        <v>2.7198820000000001</v>
      </c>
      <c r="N322" s="7">
        <v>2.7005210000000002</v>
      </c>
      <c r="O322" s="7">
        <v>3.2238999999999997E-2</v>
      </c>
      <c r="P322" s="7">
        <v>1.7627379999999999</v>
      </c>
      <c r="Q322" s="7">
        <v>7.2153799999999997</v>
      </c>
      <c r="R322" s="7">
        <v>1.3681559999999999</v>
      </c>
      <c r="S322" s="7">
        <v>1.393027</v>
      </c>
      <c r="T322" s="7">
        <v>3.2054969999999998</v>
      </c>
      <c r="U322" s="7">
        <v>1.927287</v>
      </c>
      <c r="V322" s="7">
        <v>7.893967</v>
      </c>
      <c r="W322" s="7">
        <v>15.109347</v>
      </c>
      <c r="X322" s="7">
        <v>1.8092069870872629</v>
      </c>
      <c r="Y322" s="7">
        <v>1.5511434392278041</v>
      </c>
      <c r="Z322" s="7">
        <v>18.469697426315069</v>
      </c>
      <c r="AA322" s="7">
        <v>0.43242907425769539</v>
      </c>
      <c r="AB322" s="7">
        <v>18.902126500572759</v>
      </c>
      <c r="AC322" s="7">
        <v>0</v>
      </c>
      <c r="AD322" s="7">
        <v>8.2437419999999992</v>
      </c>
      <c r="AE322" s="7">
        <v>0</v>
      </c>
      <c r="AF322" s="7">
        <v>0</v>
      </c>
      <c r="AG322" s="7">
        <v>27.14586850057276</v>
      </c>
      <c r="AH322" s="7">
        <v>1.74207</v>
      </c>
      <c r="AI322" s="7">
        <v>0</v>
      </c>
      <c r="AJ322" s="7">
        <v>5.4226479999999997</v>
      </c>
      <c r="AK322" s="7">
        <v>26.06684450057276</v>
      </c>
      <c r="AL322" s="7">
        <v>0.79744800000000005</v>
      </c>
      <c r="AM322" s="7">
        <v>0</v>
      </c>
      <c r="AN322" s="7">
        <v>0</v>
      </c>
      <c r="AO322" s="7">
        <v>0</v>
      </c>
      <c r="AP322" s="7">
        <v>0</v>
      </c>
      <c r="AQ322" s="7">
        <v>26.864292500572759</v>
      </c>
      <c r="AR322" s="7">
        <v>34.351749083075219</v>
      </c>
      <c r="AS322" s="7">
        <v>15.882051656760151</v>
      </c>
      <c r="AT322" s="7">
        <v>15.44962258250245</v>
      </c>
    </row>
    <row r="323" spans="1:46" x14ac:dyDescent="0.35">
      <c r="A323" s="5">
        <v>46022</v>
      </c>
      <c r="B323" s="4" t="s">
        <v>712</v>
      </c>
      <c r="C323" s="4" t="s">
        <v>713</v>
      </c>
      <c r="D323" s="4" t="s">
        <v>50</v>
      </c>
      <c r="E323" s="6">
        <v>58900</v>
      </c>
      <c r="F323" s="6">
        <v>0</v>
      </c>
      <c r="G323" s="6">
        <v>58900</v>
      </c>
      <c r="H323" s="6">
        <v>1.1779999999999999</v>
      </c>
      <c r="I323" s="6">
        <v>50000</v>
      </c>
      <c r="J323" s="6">
        <v>0</v>
      </c>
      <c r="K323" s="6">
        <v>50000</v>
      </c>
      <c r="L323" s="6">
        <v>30800</v>
      </c>
      <c r="M323" s="7">
        <v>2.970596</v>
      </c>
      <c r="N323" s="7">
        <v>1.961157</v>
      </c>
      <c r="O323" s="7">
        <v>8.1702999999999998E-2</v>
      </c>
      <c r="P323" s="7">
        <v>2.2806060000000001</v>
      </c>
      <c r="Q323" s="7">
        <v>7.2940620000000003</v>
      </c>
      <c r="R323" s="7">
        <v>1.3507940000000001</v>
      </c>
      <c r="S323" s="7">
        <v>2.2465730000000002</v>
      </c>
      <c r="T323" s="7">
        <v>3.0493139999999999</v>
      </c>
      <c r="U323" s="7">
        <v>1.7309270000000001</v>
      </c>
      <c r="V323" s="7">
        <v>8.3776080000000004</v>
      </c>
      <c r="W323" s="7">
        <v>15.671670000000001</v>
      </c>
      <c r="X323" s="7">
        <v>1.2453124042036201</v>
      </c>
      <c r="Y323" s="7">
        <v>3.2397014676081279</v>
      </c>
      <c r="Z323" s="7">
        <v>20.156683871811751</v>
      </c>
      <c r="AA323" s="7">
        <v>1.6086095983151381</v>
      </c>
      <c r="AB323" s="7">
        <v>21.765293470126888</v>
      </c>
      <c r="AC323" s="7">
        <v>0</v>
      </c>
      <c r="AD323" s="7">
        <v>3.0927180000000001</v>
      </c>
      <c r="AE323" s="7">
        <v>0</v>
      </c>
      <c r="AF323" s="7">
        <v>0</v>
      </c>
      <c r="AG323" s="7">
        <v>24.85801147012689</v>
      </c>
      <c r="AH323" s="7">
        <v>0.42207800000000001</v>
      </c>
      <c r="AI323" s="7">
        <v>0</v>
      </c>
      <c r="AJ323" s="7">
        <v>2.4350649999999998</v>
      </c>
      <c r="AK323" s="7">
        <v>24.622436470126889</v>
      </c>
      <c r="AL323" s="7">
        <v>0</v>
      </c>
      <c r="AM323" s="7">
        <v>0</v>
      </c>
      <c r="AN323" s="7">
        <v>0</v>
      </c>
      <c r="AO323" s="7">
        <v>0</v>
      </c>
      <c r="AP323" s="7">
        <v>0</v>
      </c>
      <c r="AQ323" s="7">
        <v>24.622436470126889</v>
      </c>
      <c r="AR323" s="7">
        <v>55.073873402488672</v>
      </c>
      <c r="AS323" s="7">
        <v>34.917189530676922</v>
      </c>
      <c r="AT323" s="7">
        <v>33.308579932361781</v>
      </c>
    </row>
    <row r="324" spans="1:46" x14ac:dyDescent="0.35">
      <c r="A324" s="5">
        <v>46022</v>
      </c>
      <c r="B324" s="4" t="s">
        <v>714</v>
      </c>
      <c r="C324" s="4" t="s">
        <v>715</v>
      </c>
      <c r="D324" s="4" t="s">
        <v>61</v>
      </c>
      <c r="E324" s="6">
        <v>1428.0961150000001</v>
      </c>
      <c r="F324" s="6">
        <v>0</v>
      </c>
      <c r="G324" s="6">
        <v>1428.0961150000001</v>
      </c>
      <c r="H324" s="6">
        <v>1.9860720000000001</v>
      </c>
      <c r="I324" s="6">
        <v>719.05570799999998</v>
      </c>
      <c r="J324" s="6">
        <v>0</v>
      </c>
      <c r="K324" s="6">
        <v>719.05570799999998</v>
      </c>
      <c r="L324" s="6">
        <v>719.05570799999998</v>
      </c>
      <c r="M324" s="7">
        <v>8.0157150000000001</v>
      </c>
      <c r="N324" s="7">
        <v>0.89746499999999996</v>
      </c>
      <c r="O324" s="7">
        <v>9.3023999999999996E-2</v>
      </c>
      <c r="P324" s="7">
        <v>2.9356629999999999</v>
      </c>
      <c r="Q324" s="7">
        <v>11.941867</v>
      </c>
      <c r="R324" s="7">
        <v>3.2059989999999998</v>
      </c>
      <c r="S324" s="7">
        <v>0.52496900000000002</v>
      </c>
      <c r="T324" s="7">
        <v>4.3355969999999999</v>
      </c>
      <c r="U324" s="7">
        <v>4.5520810000000003</v>
      </c>
      <c r="V324" s="7">
        <v>12.618646</v>
      </c>
      <c r="W324" s="7">
        <v>24.560513</v>
      </c>
      <c r="X324" s="7">
        <v>1.8544912559502269</v>
      </c>
      <c r="Y324" s="7">
        <v>12.109377471011809</v>
      </c>
      <c r="Z324" s="7">
        <v>38.524381726962041</v>
      </c>
      <c r="AA324" s="7">
        <v>4.5308844130767829</v>
      </c>
      <c r="AB324" s="7">
        <v>43.055266140038817</v>
      </c>
      <c r="AC324" s="7">
        <v>0</v>
      </c>
      <c r="AD324" s="7">
        <v>2.1774249999999999</v>
      </c>
      <c r="AE324" s="7">
        <v>0</v>
      </c>
      <c r="AF324" s="7">
        <v>0</v>
      </c>
      <c r="AG324" s="7">
        <v>45.232691140038817</v>
      </c>
      <c r="AH324" s="7">
        <v>2.9346070000000002</v>
      </c>
      <c r="AI324" s="7">
        <v>0</v>
      </c>
      <c r="AJ324" s="7">
        <v>2.6311719999999998</v>
      </c>
      <c r="AK324" s="7">
        <v>48.621045140038817</v>
      </c>
      <c r="AL324" s="7">
        <v>0</v>
      </c>
      <c r="AM324" s="7">
        <v>0</v>
      </c>
      <c r="AN324" s="7">
        <v>0</v>
      </c>
      <c r="AO324" s="7">
        <v>0</v>
      </c>
      <c r="AP324" s="7">
        <v>0</v>
      </c>
      <c r="AQ324" s="7">
        <v>48.621045140038817</v>
      </c>
      <c r="AR324" s="7">
        <v>101.74007345579371</v>
      </c>
      <c r="AS324" s="7">
        <v>63.215691728831651</v>
      </c>
      <c r="AT324" s="7">
        <v>58.684807315754867</v>
      </c>
    </row>
    <row r="325" spans="1:46" x14ac:dyDescent="0.35">
      <c r="A325" s="5">
        <v>46022</v>
      </c>
      <c r="B325" s="4" t="s">
        <v>716</v>
      </c>
      <c r="C325" s="4" t="s">
        <v>717</v>
      </c>
      <c r="D325" s="4" t="s">
        <v>61</v>
      </c>
      <c r="E325" s="6">
        <v>39764.655214999999</v>
      </c>
      <c r="F325" s="6">
        <v>0</v>
      </c>
      <c r="G325" s="6">
        <v>39764.655214999999</v>
      </c>
      <c r="H325" s="6">
        <v>0.90374200000000005</v>
      </c>
      <c r="I325" s="6">
        <v>44000</v>
      </c>
      <c r="J325" s="6">
        <v>0</v>
      </c>
      <c r="K325" s="6">
        <v>44000</v>
      </c>
      <c r="L325" s="6">
        <v>46800</v>
      </c>
      <c r="M325" s="7">
        <v>0.82132000000000005</v>
      </c>
      <c r="N325" s="7">
        <v>0.78671800000000003</v>
      </c>
      <c r="O325" s="7">
        <v>7.392E-2</v>
      </c>
      <c r="P325" s="7">
        <v>1.133111</v>
      </c>
      <c r="Q325" s="7">
        <v>2.8150689999999998</v>
      </c>
      <c r="R325" s="7">
        <v>0.68889599999999995</v>
      </c>
      <c r="S325" s="7">
        <v>0.82503300000000002</v>
      </c>
      <c r="T325" s="7">
        <v>2.6172369999999998</v>
      </c>
      <c r="U325" s="7">
        <v>1.576648</v>
      </c>
      <c r="V325" s="7">
        <v>5.7078139999999999</v>
      </c>
      <c r="W325" s="7">
        <v>8.5228830000000002</v>
      </c>
      <c r="X325" s="7">
        <v>0.3921150412420833</v>
      </c>
      <c r="Y325" s="7">
        <v>2.062226249942495</v>
      </c>
      <c r="Z325" s="7">
        <v>10.97722429118458</v>
      </c>
      <c r="AA325" s="7">
        <v>2.9809517089165052</v>
      </c>
      <c r="AB325" s="7">
        <v>13.95817600010108</v>
      </c>
      <c r="AC325" s="7">
        <v>0</v>
      </c>
      <c r="AD325" s="7">
        <v>1.1238319999999999</v>
      </c>
      <c r="AE325" s="7">
        <v>0</v>
      </c>
      <c r="AF325" s="7">
        <v>0</v>
      </c>
      <c r="AG325" s="7">
        <v>15.08200800010108</v>
      </c>
      <c r="AH325" s="7">
        <v>0.72206199999999998</v>
      </c>
      <c r="AI325" s="7">
        <v>0</v>
      </c>
      <c r="AJ325" s="7">
        <v>1.784084</v>
      </c>
      <c r="AK325" s="7">
        <v>16.464322000101081</v>
      </c>
      <c r="AL325" s="7">
        <v>0</v>
      </c>
      <c r="AM325" s="7">
        <v>0</v>
      </c>
      <c r="AN325" s="7">
        <v>0</v>
      </c>
      <c r="AO325" s="7">
        <v>0</v>
      </c>
      <c r="AP325" s="7">
        <v>0</v>
      </c>
      <c r="AQ325" s="7">
        <v>16.464322000101081</v>
      </c>
      <c r="AR325" s="7">
        <v>45.861247522943628</v>
      </c>
      <c r="AS325" s="7">
        <v>34.884023231759052</v>
      </c>
      <c r="AT325" s="7">
        <v>31.903071522842541</v>
      </c>
    </row>
    <row r="326" spans="1:46" x14ac:dyDescent="0.35">
      <c r="A326" s="5">
        <v>46022</v>
      </c>
      <c r="B326" s="4" t="s">
        <v>718</v>
      </c>
      <c r="C326" s="4" t="s">
        <v>719</v>
      </c>
      <c r="D326" s="4" t="s">
        <v>79</v>
      </c>
      <c r="E326" s="6">
        <v>0</v>
      </c>
      <c r="F326" s="6">
        <v>0</v>
      </c>
      <c r="G326" s="6">
        <v>0</v>
      </c>
      <c r="H326" s="6">
        <v>0</v>
      </c>
      <c r="I326" s="6">
        <v>0</v>
      </c>
      <c r="J326" s="6">
        <v>4400</v>
      </c>
      <c r="K326" s="6">
        <v>4400</v>
      </c>
      <c r="L326" s="6">
        <v>4400</v>
      </c>
      <c r="M326" s="7">
        <v>11.970197000000001</v>
      </c>
      <c r="N326" s="7">
        <v>1.3926069999999999</v>
      </c>
      <c r="O326" s="7">
        <v>0.32984999999999998</v>
      </c>
      <c r="P326" s="7">
        <v>12.851993</v>
      </c>
      <c r="Q326" s="7">
        <v>26.544647000000001</v>
      </c>
      <c r="R326" s="7">
        <v>2.9976720000000001</v>
      </c>
      <c r="S326" s="7">
        <v>2.241438</v>
      </c>
      <c r="T326" s="7">
        <v>1.939789</v>
      </c>
      <c r="U326" s="7">
        <v>8.2585999999999995</v>
      </c>
      <c r="V326" s="7">
        <v>15.437499000000001</v>
      </c>
      <c r="W326" s="7">
        <v>41.982146</v>
      </c>
      <c r="X326" s="7">
        <v>3.6217073027297948</v>
      </c>
      <c r="Y326" s="7">
        <v>12.602567915853751</v>
      </c>
      <c r="Z326" s="7">
        <v>58.20642121858355</v>
      </c>
      <c r="AA326" s="7">
        <v>2.693616515326152</v>
      </c>
      <c r="AB326" s="7">
        <v>60.900037733909699</v>
      </c>
      <c r="AC326" s="7">
        <v>0</v>
      </c>
      <c r="AD326" s="7">
        <v>2.1786490000000001</v>
      </c>
      <c r="AE326" s="7">
        <v>0</v>
      </c>
      <c r="AF326" s="7">
        <v>0</v>
      </c>
      <c r="AG326" s="7">
        <v>63.078686733909699</v>
      </c>
      <c r="AH326" s="7">
        <v>1.3636360000000001</v>
      </c>
      <c r="AI326" s="7">
        <v>0.68181800000000004</v>
      </c>
      <c r="AJ326" s="7">
        <v>2.1786490000000001</v>
      </c>
      <c r="AK326" s="7">
        <v>65.124140733909698</v>
      </c>
      <c r="AL326" s="7">
        <v>0</v>
      </c>
      <c r="AM326" s="7">
        <v>0</v>
      </c>
      <c r="AN326" s="7">
        <v>0</v>
      </c>
      <c r="AO326" s="7">
        <v>0</v>
      </c>
      <c r="AP326" s="7">
        <v>0</v>
      </c>
      <c r="AQ326" s="7">
        <v>65.124140733909698</v>
      </c>
      <c r="AR326" s="7">
        <v>107.7444613814237</v>
      </c>
      <c r="AS326" s="7">
        <v>49.538040162840161</v>
      </c>
      <c r="AT326" s="7">
        <v>46.844423647513999</v>
      </c>
    </row>
    <row r="327" spans="1:46" x14ac:dyDescent="0.35">
      <c r="A327" s="5">
        <v>46022</v>
      </c>
      <c r="B327" s="4" t="s">
        <v>720</v>
      </c>
      <c r="C327" s="4" t="s">
        <v>721</v>
      </c>
      <c r="D327" s="4" t="s">
        <v>50</v>
      </c>
      <c r="E327" s="6">
        <v>0</v>
      </c>
      <c r="F327" s="6">
        <v>0</v>
      </c>
      <c r="G327" s="6">
        <v>0</v>
      </c>
      <c r="H327" s="6">
        <v>0</v>
      </c>
      <c r="I327" s="6">
        <v>0</v>
      </c>
      <c r="J327" s="6">
        <v>2200</v>
      </c>
      <c r="K327" s="6">
        <v>2200</v>
      </c>
      <c r="L327" s="6">
        <v>2200</v>
      </c>
      <c r="M327" s="7">
        <v>10.570798</v>
      </c>
      <c r="N327" s="7">
        <v>6.0400749999999999</v>
      </c>
      <c r="O327" s="7">
        <v>13.709384</v>
      </c>
      <c r="P327" s="7">
        <v>29.923307000000001</v>
      </c>
      <c r="Q327" s="7">
        <v>60.243563999999999</v>
      </c>
      <c r="R327" s="7">
        <v>0.85800399999999999</v>
      </c>
      <c r="S327" s="7">
        <v>2.0361479999999998</v>
      </c>
      <c r="T327" s="7">
        <v>13.557570999999999</v>
      </c>
      <c r="U327" s="7">
        <v>3.2383320000000002</v>
      </c>
      <c r="V327" s="7">
        <v>19.690055000000001</v>
      </c>
      <c r="W327" s="7">
        <v>79.933618999999993</v>
      </c>
      <c r="X327" s="7">
        <v>0.48665032459649998</v>
      </c>
      <c r="Y327" s="7">
        <v>9.7879135345701567</v>
      </c>
      <c r="Z327" s="7">
        <v>90.208182859166655</v>
      </c>
      <c r="AA327" s="7">
        <v>2.0708247655124739</v>
      </c>
      <c r="AB327" s="7">
        <v>92.279007624679124</v>
      </c>
      <c r="AC327" s="7">
        <v>7.5765010000000004</v>
      </c>
      <c r="AD327" s="7">
        <v>10.002995</v>
      </c>
      <c r="AE327" s="7">
        <v>0</v>
      </c>
      <c r="AF327" s="7">
        <v>0</v>
      </c>
      <c r="AG327" s="7">
        <v>109.8585036246791</v>
      </c>
      <c r="AH327" s="7">
        <v>5.806845</v>
      </c>
      <c r="AI327" s="7">
        <v>0</v>
      </c>
      <c r="AJ327" s="7">
        <v>47.182727</v>
      </c>
      <c r="AK327" s="7">
        <v>152.8450806246791</v>
      </c>
      <c r="AL327" s="7">
        <v>0</v>
      </c>
      <c r="AM327" s="7">
        <v>0</v>
      </c>
      <c r="AN327" s="7">
        <v>0</v>
      </c>
      <c r="AO327" s="7">
        <v>0</v>
      </c>
      <c r="AP327" s="7">
        <v>0</v>
      </c>
      <c r="AQ327" s="7">
        <v>152.8450806246791</v>
      </c>
      <c r="AR327" s="7">
        <v>144.957972829928</v>
      </c>
      <c r="AS327" s="7">
        <v>54.749789970761363</v>
      </c>
      <c r="AT327" s="7">
        <v>52.678965205248879</v>
      </c>
    </row>
    <row r="328" spans="1:46" x14ac:dyDescent="0.35">
      <c r="A328" s="5">
        <v>46022</v>
      </c>
      <c r="B328" s="4" t="s">
        <v>722</v>
      </c>
      <c r="C328" s="4" t="s">
        <v>723</v>
      </c>
      <c r="D328" s="4" t="s">
        <v>89</v>
      </c>
      <c r="E328" s="6">
        <v>0</v>
      </c>
      <c r="F328" s="6">
        <v>0</v>
      </c>
      <c r="G328" s="6">
        <v>0</v>
      </c>
      <c r="H328" s="6">
        <v>0</v>
      </c>
      <c r="I328" s="6">
        <v>0</v>
      </c>
      <c r="J328" s="6">
        <v>700</v>
      </c>
      <c r="K328" s="6">
        <v>700</v>
      </c>
      <c r="L328" s="6">
        <v>700</v>
      </c>
      <c r="M328" s="7">
        <v>42.529893999999999</v>
      </c>
      <c r="N328" s="7">
        <v>7.1398700000000002</v>
      </c>
      <c r="O328" s="7">
        <v>2.167386</v>
      </c>
      <c r="P328" s="7">
        <v>13.958154</v>
      </c>
      <c r="Q328" s="7">
        <v>65.795304000000002</v>
      </c>
      <c r="R328" s="7">
        <v>13.276664999999999</v>
      </c>
      <c r="S328" s="7">
        <v>4.2037800000000001</v>
      </c>
      <c r="T328" s="7">
        <v>11.122263</v>
      </c>
      <c r="U328" s="7">
        <v>6.9032260000000001</v>
      </c>
      <c r="V328" s="7">
        <v>35.505934000000003</v>
      </c>
      <c r="W328" s="7">
        <v>101.301238</v>
      </c>
      <c r="X328" s="7">
        <v>7.5599378232125707</v>
      </c>
      <c r="Y328" s="7">
        <v>9.9025424182880659</v>
      </c>
      <c r="Z328" s="7">
        <v>118.7637182415006</v>
      </c>
      <c r="AA328" s="7">
        <v>7.9210844494287462</v>
      </c>
      <c r="AB328" s="7">
        <v>126.6848026909294</v>
      </c>
      <c r="AC328" s="7">
        <v>2.996229</v>
      </c>
      <c r="AD328" s="7">
        <v>42.469970000000004</v>
      </c>
      <c r="AE328" s="7">
        <v>0</v>
      </c>
      <c r="AF328" s="7">
        <v>0</v>
      </c>
      <c r="AG328" s="7">
        <v>172.15100169092941</v>
      </c>
      <c r="AH328" s="7">
        <v>6.5980470000000002</v>
      </c>
      <c r="AI328" s="7">
        <v>0</v>
      </c>
      <c r="AJ328" s="7">
        <v>41.604064999999999</v>
      </c>
      <c r="AK328" s="7">
        <v>177.88314369092939</v>
      </c>
      <c r="AL328" s="7">
        <v>43.358593999999997</v>
      </c>
      <c r="AM328" s="7">
        <v>0</v>
      </c>
      <c r="AN328" s="7">
        <v>0</v>
      </c>
      <c r="AO328" s="7">
        <v>0</v>
      </c>
      <c r="AP328" s="7">
        <v>0</v>
      </c>
      <c r="AQ328" s="7">
        <v>221.2417376909294</v>
      </c>
      <c r="AR328" s="7">
        <v>177.30924659480149</v>
      </c>
      <c r="AS328" s="7">
        <v>58.545528353300902</v>
      </c>
      <c r="AT328" s="7">
        <v>50.624443903872162</v>
      </c>
    </row>
    <row r="329" spans="1:46" x14ac:dyDescent="0.35">
      <c r="A329" s="5">
        <v>46022</v>
      </c>
      <c r="B329" s="4" t="s">
        <v>724</v>
      </c>
      <c r="C329" s="4" t="s">
        <v>725</v>
      </c>
      <c r="D329" s="4" t="s">
        <v>58</v>
      </c>
      <c r="E329" s="6">
        <v>291362.19900000002</v>
      </c>
      <c r="F329" s="6">
        <v>0</v>
      </c>
      <c r="G329" s="6">
        <v>291362.19900000002</v>
      </c>
      <c r="H329" s="6">
        <v>2.158239</v>
      </c>
      <c r="I329" s="6">
        <v>135000</v>
      </c>
      <c r="J329" s="6">
        <v>0</v>
      </c>
      <c r="K329" s="6">
        <v>135000</v>
      </c>
      <c r="L329" s="6">
        <v>135000</v>
      </c>
      <c r="M329" s="7">
        <v>7.091978000000001</v>
      </c>
      <c r="N329" s="7">
        <v>1.0840799999999999</v>
      </c>
      <c r="O329" s="7">
        <v>0.48330400000000001</v>
      </c>
      <c r="P329" s="7">
        <v>1.3147070000000001</v>
      </c>
      <c r="Q329" s="7">
        <v>9.9740690000000019</v>
      </c>
      <c r="R329" s="7">
        <v>3.3699840000000001</v>
      </c>
      <c r="S329" s="7">
        <v>1.8433010000000001</v>
      </c>
      <c r="T329" s="7">
        <v>7.3589570000000011</v>
      </c>
      <c r="U329" s="7">
        <v>1.3494470000000001</v>
      </c>
      <c r="V329" s="7">
        <v>13.921689000000001</v>
      </c>
      <c r="W329" s="7">
        <v>23.895758000000001</v>
      </c>
      <c r="X329" s="7">
        <v>1.560520085237707</v>
      </c>
      <c r="Y329" s="7">
        <v>3.4154806117748131</v>
      </c>
      <c r="Z329" s="7">
        <v>28.87175869701252</v>
      </c>
      <c r="AA329" s="7">
        <v>2.9531450371238539</v>
      </c>
      <c r="AB329" s="7">
        <v>31.824903734136381</v>
      </c>
      <c r="AC329" s="7">
        <v>0</v>
      </c>
      <c r="AD329" s="7">
        <v>10.172693000000001</v>
      </c>
      <c r="AE329" s="7">
        <v>0</v>
      </c>
      <c r="AF329" s="7">
        <v>0</v>
      </c>
      <c r="AG329" s="7">
        <v>41.99759673413638</v>
      </c>
      <c r="AH329" s="7">
        <v>1.7795840000000001</v>
      </c>
      <c r="AI329" s="7">
        <v>0</v>
      </c>
      <c r="AJ329" s="7">
        <v>7.8310750000000011</v>
      </c>
      <c r="AK329" s="7">
        <v>41.435562734136383</v>
      </c>
      <c r="AL329" s="7">
        <v>0</v>
      </c>
      <c r="AM329" s="7">
        <v>0</v>
      </c>
      <c r="AN329" s="7">
        <v>0</v>
      </c>
      <c r="AO329" s="7">
        <v>0</v>
      </c>
      <c r="AP329" s="7">
        <v>0</v>
      </c>
      <c r="AQ329" s="7">
        <v>41.435562734136383</v>
      </c>
      <c r="AR329" s="7">
        <v>79.083388740275424</v>
      </c>
      <c r="AS329" s="7">
        <v>50.211630043262893</v>
      </c>
      <c r="AT329" s="7">
        <v>47.25848500613904</v>
      </c>
    </row>
    <row r="330" spans="1:46" x14ac:dyDescent="0.35">
      <c r="A330" s="5">
        <v>46022</v>
      </c>
      <c r="B330" s="4" t="s">
        <v>726</v>
      </c>
      <c r="C330" s="4" t="s">
        <v>727</v>
      </c>
      <c r="D330" s="4" t="s">
        <v>58</v>
      </c>
      <c r="E330" s="6">
        <v>0</v>
      </c>
      <c r="F330" s="6">
        <v>0</v>
      </c>
      <c r="G330" s="6">
        <v>0</v>
      </c>
      <c r="H330" s="6">
        <v>0</v>
      </c>
      <c r="I330" s="6">
        <v>104299.211503</v>
      </c>
      <c r="J330" s="6">
        <v>0</v>
      </c>
      <c r="K330" s="6">
        <v>104299.211503</v>
      </c>
      <c r="L330" s="6">
        <v>104299.211503</v>
      </c>
      <c r="M330" s="7">
        <v>0.59562199999999998</v>
      </c>
      <c r="N330" s="7">
        <v>9.11E-2</v>
      </c>
      <c r="O330" s="7">
        <v>0.36155100000000001</v>
      </c>
      <c r="P330" s="7">
        <v>0.80703000000000014</v>
      </c>
      <c r="Q330" s="7">
        <v>1.8553029999999999</v>
      </c>
      <c r="R330" s="7">
        <v>0.49608000000000008</v>
      </c>
      <c r="S330" s="7">
        <v>0.77311600000000014</v>
      </c>
      <c r="T330" s="7">
        <v>2.318797</v>
      </c>
      <c r="U330" s="7">
        <v>0.60700299999999996</v>
      </c>
      <c r="V330" s="7">
        <v>4.1949959999999997</v>
      </c>
      <c r="W330" s="7">
        <v>6.0502989999999999</v>
      </c>
      <c r="X330" s="7">
        <v>0.45468730037794808</v>
      </c>
      <c r="Y330" s="7">
        <v>0</v>
      </c>
      <c r="Z330" s="7">
        <v>6.504986300377948</v>
      </c>
      <c r="AA330" s="7">
        <v>2.0165141526248651</v>
      </c>
      <c r="AB330" s="7">
        <v>8.5215004530028136</v>
      </c>
      <c r="AC330" s="7">
        <v>0</v>
      </c>
      <c r="AD330" s="7">
        <v>2.4551470000000002</v>
      </c>
      <c r="AE330" s="7">
        <v>0</v>
      </c>
      <c r="AF330" s="7">
        <v>0</v>
      </c>
      <c r="AG330" s="7">
        <v>10.97664745300281</v>
      </c>
      <c r="AH330" s="7">
        <v>0.55550100000000013</v>
      </c>
      <c r="AI330" s="7">
        <v>0</v>
      </c>
      <c r="AJ330" s="7">
        <v>1.927084</v>
      </c>
      <c r="AK330" s="7">
        <v>11.00408545300281</v>
      </c>
      <c r="AL330" s="7">
        <v>0</v>
      </c>
      <c r="AM330" s="7">
        <v>0</v>
      </c>
      <c r="AN330" s="7">
        <v>0</v>
      </c>
      <c r="AO330" s="7">
        <v>0</v>
      </c>
      <c r="AP330" s="7">
        <v>0</v>
      </c>
      <c r="AQ330" s="7">
        <v>11.00408545300281</v>
      </c>
      <c r="AR330" s="7">
        <v>23.251223795102572</v>
      </c>
      <c r="AS330" s="7">
        <v>16.746237494724621</v>
      </c>
      <c r="AT330" s="7">
        <v>14.729723342099749</v>
      </c>
    </row>
    <row r="331" spans="1:46" x14ac:dyDescent="0.35">
      <c r="A331" s="5">
        <v>46022</v>
      </c>
      <c r="B331" s="4" t="s">
        <v>728</v>
      </c>
      <c r="C331" s="4" t="s">
        <v>729</v>
      </c>
      <c r="D331" s="4" t="s">
        <v>61</v>
      </c>
      <c r="E331" s="6">
        <v>0</v>
      </c>
      <c r="F331" s="6">
        <v>0</v>
      </c>
      <c r="G331" s="6">
        <v>0</v>
      </c>
      <c r="H331" s="6">
        <v>0</v>
      </c>
      <c r="I331" s="6">
        <v>0</v>
      </c>
      <c r="J331" s="6">
        <v>800</v>
      </c>
      <c r="K331" s="6">
        <v>800</v>
      </c>
      <c r="L331" s="6">
        <v>800</v>
      </c>
      <c r="M331" s="7">
        <v>5.116784</v>
      </c>
      <c r="N331" s="7">
        <v>0.146428</v>
      </c>
      <c r="O331" s="7">
        <v>5.8210249999999997</v>
      </c>
      <c r="P331" s="7">
        <v>5.1424580000000013</v>
      </c>
      <c r="Q331" s="7">
        <v>16.226694999999999</v>
      </c>
      <c r="R331" s="7">
        <v>0.68512499999999998</v>
      </c>
      <c r="S331" s="7">
        <v>1.167564</v>
      </c>
      <c r="T331" s="7">
        <v>4.2387600000000001</v>
      </c>
      <c r="U331" s="7">
        <v>4.401961</v>
      </c>
      <c r="V331" s="7">
        <v>10.493410000000001</v>
      </c>
      <c r="W331" s="7">
        <v>26.720105</v>
      </c>
      <c r="X331" s="7">
        <v>0.50745584785812503</v>
      </c>
      <c r="Y331" s="7">
        <v>3.2284441290492589</v>
      </c>
      <c r="Z331" s="7">
        <v>30.456004976907391</v>
      </c>
      <c r="AA331" s="7">
        <v>9.0459469860577055</v>
      </c>
      <c r="AB331" s="7">
        <v>39.501951962965087</v>
      </c>
      <c r="AC331" s="7">
        <v>0</v>
      </c>
      <c r="AD331" s="7">
        <v>6.0221479999999996</v>
      </c>
      <c r="AE331" s="7">
        <v>0</v>
      </c>
      <c r="AF331" s="7">
        <v>0</v>
      </c>
      <c r="AG331" s="7">
        <v>45.524099962965089</v>
      </c>
      <c r="AH331" s="7">
        <v>3.9896050000000001</v>
      </c>
      <c r="AI331" s="7">
        <v>0</v>
      </c>
      <c r="AJ331" s="7">
        <v>2.135281</v>
      </c>
      <c r="AK331" s="7">
        <v>45.626837962965091</v>
      </c>
      <c r="AL331" s="7">
        <v>0</v>
      </c>
      <c r="AM331" s="7">
        <v>0</v>
      </c>
      <c r="AN331" s="7">
        <v>0</v>
      </c>
      <c r="AO331" s="7">
        <v>0</v>
      </c>
      <c r="AP331" s="7">
        <v>0</v>
      </c>
      <c r="AQ331" s="7">
        <v>45.626837962965091</v>
      </c>
      <c r="AR331" s="7">
        <v>66.050923803985356</v>
      </c>
      <c r="AS331" s="7">
        <v>35.594918827077983</v>
      </c>
      <c r="AT331" s="7">
        <v>26.548971841020268</v>
      </c>
    </row>
    <row r="332" spans="1:46" x14ac:dyDescent="0.35">
      <c r="A332" s="5">
        <v>46022</v>
      </c>
      <c r="B332" s="4" t="s">
        <v>730</v>
      </c>
      <c r="C332" s="4" t="s">
        <v>731</v>
      </c>
      <c r="D332" s="4" t="s">
        <v>58</v>
      </c>
      <c r="E332" s="6">
        <v>30800</v>
      </c>
      <c r="F332" s="6">
        <v>0</v>
      </c>
      <c r="G332" s="6">
        <v>30800</v>
      </c>
      <c r="H332" s="6">
        <v>0.8</v>
      </c>
      <c r="I332" s="6">
        <v>38500</v>
      </c>
      <c r="J332" s="6">
        <v>0</v>
      </c>
      <c r="K332" s="6">
        <v>38500</v>
      </c>
      <c r="L332" s="6">
        <v>38500</v>
      </c>
      <c r="M332" s="7">
        <v>3.295293</v>
      </c>
      <c r="N332" s="7">
        <v>0.94371099999999997</v>
      </c>
      <c r="O332" s="7">
        <v>0.260546</v>
      </c>
      <c r="P332" s="7">
        <v>1.4955540000000001</v>
      </c>
      <c r="Q332" s="7">
        <v>5.9951040000000004</v>
      </c>
      <c r="R332" s="7">
        <v>1.2471220000000001</v>
      </c>
      <c r="S332" s="7">
        <v>0.35370099999999999</v>
      </c>
      <c r="T332" s="7">
        <v>1.5209630000000001</v>
      </c>
      <c r="U332" s="7">
        <v>0.51237999999999995</v>
      </c>
      <c r="V332" s="7">
        <v>3.634166</v>
      </c>
      <c r="W332" s="7">
        <v>9.6292700000000018</v>
      </c>
      <c r="X332" s="7">
        <v>0.40783533196883121</v>
      </c>
      <c r="Y332" s="7">
        <v>0</v>
      </c>
      <c r="Z332" s="7">
        <v>10.03710533196883</v>
      </c>
      <c r="AA332" s="7">
        <v>0.51179471714090219</v>
      </c>
      <c r="AB332" s="7">
        <v>10.548900049109729</v>
      </c>
      <c r="AC332" s="7">
        <v>0</v>
      </c>
      <c r="AD332" s="7">
        <v>3.6294620000000002</v>
      </c>
      <c r="AE332" s="7">
        <v>0</v>
      </c>
      <c r="AF332" s="7">
        <v>0</v>
      </c>
      <c r="AG332" s="7">
        <v>14.17836204910973</v>
      </c>
      <c r="AH332" s="7">
        <v>1.1943060000000001</v>
      </c>
      <c r="AI332" s="7">
        <v>0</v>
      </c>
      <c r="AJ332" s="7">
        <v>1.205727</v>
      </c>
      <c r="AK332" s="7">
        <v>12.94893304910973</v>
      </c>
      <c r="AL332" s="7">
        <v>0</v>
      </c>
      <c r="AM332" s="7">
        <v>0</v>
      </c>
      <c r="AN332" s="7">
        <v>0</v>
      </c>
      <c r="AO332" s="7">
        <v>0</v>
      </c>
      <c r="AP332" s="7">
        <v>2.6861619999999999</v>
      </c>
      <c r="AQ332" s="7">
        <v>15.635095049109729</v>
      </c>
      <c r="AR332" s="7">
        <v>18.66313258562138</v>
      </c>
      <c r="AS332" s="7">
        <v>8.6260272536525466</v>
      </c>
      <c r="AT332" s="7">
        <v>8.1142325365116434</v>
      </c>
    </row>
    <row r="333" spans="1:46" x14ac:dyDescent="0.35">
      <c r="A333" s="5">
        <v>46022</v>
      </c>
      <c r="B333" s="4" t="s">
        <v>732</v>
      </c>
      <c r="C333" s="4" t="s">
        <v>733</v>
      </c>
      <c r="D333" s="4" t="s">
        <v>536</v>
      </c>
      <c r="E333" s="6">
        <v>0</v>
      </c>
      <c r="F333" s="6">
        <v>0</v>
      </c>
      <c r="G333" s="6">
        <v>0</v>
      </c>
      <c r="H333" s="6">
        <v>0</v>
      </c>
      <c r="I333" s="6">
        <v>0</v>
      </c>
      <c r="J333" s="6">
        <v>76054.290800000002</v>
      </c>
      <c r="K333" s="6">
        <v>76054.290800000002</v>
      </c>
      <c r="L333" s="6">
        <v>76054.290800000002</v>
      </c>
      <c r="M333" s="7">
        <v>9.1572899999999997</v>
      </c>
      <c r="N333" s="7">
        <v>0.97382500000000005</v>
      </c>
      <c r="O333" s="7">
        <v>0.69066099999999997</v>
      </c>
      <c r="P333" s="7">
        <v>9.5944099999999999</v>
      </c>
      <c r="Q333" s="7">
        <v>20.416186</v>
      </c>
      <c r="R333" s="7">
        <v>1.7778240000000001</v>
      </c>
      <c r="S333" s="7">
        <v>1.9894510000000001</v>
      </c>
      <c r="T333" s="7">
        <v>3.3005390000000001</v>
      </c>
      <c r="U333" s="7">
        <v>7.700869</v>
      </c>
      <c r="V333" s="7">
        <v>14.768682999999999</v>
      </c>
      <c r="W333" s="7">
        <v>35.184868999999999</v>
      </c>
      <c r="X333" s="7">
        <v>2.5140250427785529</v>
      </c>
      <c r="Y333" s="7">
        <v>6.1151541813089629</v>
      </c>
      <c r="Z333" s="7">
        <v>43.814048224087522</v>
      </c>
      <c r="AA333" s="7">
        <v>10.71502208538109</v>
      </c>
      <c r="AB333" s="7">
        <v>54.529070309468601</v>
      </c>
      <c r="AC333" s="7">
        <v>0</v>
      </c>
      <c r="AD333" s="7">
        <v>12.644022</v>
      </c>
      <c r="AE333" s="7">
        <v>0</v>
      </c>
      <c r="AF333" s="7">
        <v>0</v>
      </c>
      <c r="AG333" s="7">
        <v>67.173092309468601</v>
      </c>
      <c r="AH333" s="7">
        <v>1.439481</v>
      </c>
      <c r="AI333" s="7">
        <v>0</v>
      </c>
      <c r="AJ333" s="7">
        <v>5.7853409999999998</v>
      </c>
      <c r="AK333" s="7">
        <v>61.753892309468597</v>
      </c>
      <c r="AL333" s="7">
        <v>11.833652000000001</v>
      </c>
      <c r="AM333" s="7">
        <v>0</v>
      </c>
      <c r="AN333" s="7">
        <v>0</v>
      </c>
      <c r="AO333" s="7">
        <v>0</v>
      </c>
      <c r="AP333" s="7">
        <v>0</v>
      </c>
      <c r="AQ333" s="7">
        <v>73.587544309468598</v>
      </c>
      <c r="AR333" s="7">
        <v>141.1879066622856</v>
      </c>
      <c r="AS333" s="7">
        <v>97.373858438198084</v>
      </c>
      <c r="AT333" s="7">
        <v>86.658836352816991</v>
      </c>
    </row>
    <row r="334" spans="1:46" x14ac:dyDescent="0.35">
      <c r="A334" s="5">
        <v>46022</v>
      </c>
      <c r="B334" s="4" t="s">
        <v>734</v>
      </c>
      <c r="C334" s="4" t="s">
        <v>735</v>
      </c>
      <c r="D334" s="4" t="s">
        <v>61</v>
      </c>
      <c r="E334" s="6">
        <v>0</v>
      </c>
      <c r="F334" s="6">
        <v>0</v>
      </c>
      <c r="G334" s="6">
        <v>0</v>
      </c>
      <c r="H334" s="6">
        <v>0</v>
      </c>
      <c r="I334" s="6">
        <v>0</v>
      </c>
      <c r="J334" s="6">
        <v>802.97</v>
      </c>
      <c r="K334" s="6">
        <v>802.97</v>
      </c>
      <c r="L334" s="6">
        <v>802.97</v>
      </c>
      <c r="M334" s="7">
        <v>2.1072259999999998</v>
      </c>
      <c r="N334" s="7">
        <v>0</v>
      </c>
      <c r="O334" s="7">
        <v>2.228513</v>
      </c>
      <c r="P334" s="7">
        <v>4.0851499999999996</v>
      </c>
      <c r="Q334" s="7">
        <v>8.4208890000000007</v>
      </c>
      <c r="R334" s="7">
        <v>0.40042</v>
      </c>
      <c r="S334" s="7">
        <v>1.254974</v>
      </c>
      <c r="T334" s="7">
        <v>2.530624</v>
      </c>
      <c r="U334" s="7">
        <v>2.4330639999999999</v>
      </c>
      <c r="V334" s="7">
        <v>6.6190819999999997</v>
      </c>
      <c r="W334" s="7">
        <v>15.039971</v>
      </c>
      <c r="X334" s="7">
        <v>1.093789001531813</v>
      </c>
      <c r="Y334" s="7">
        <v>1.4230925895137061</v>
      </c>
      <c r="Z334" s="7">
        <v>17.556852591045519</v>
      </c>
      <c r="AA334" s="7">
        <v>3.7668693543344558</v>
      </c>
      <c r="AB334" s="7">
        <v>21.323721945379969</v>
      </c>
      <c r="AC334" s="7">
        <v>0</v>
      </c>
      <c r="AD334" s="7">
        <v>0.850603</v>
      </c>
      <c r="AE334" s="7">
        <v>0</v>
      </c>
      <c r="AF334" s="7">
        <v>0</v>
      </c>
      <c r="AG334" s="7">
        <v>22.174324945379968</v>
      </c>
      <c r="AH334" s="7">
        <v>0.75114300000000001</v>
      </c>
      <c r="AI334" s="7">
        <v>0</v>
      </c>
      <c r="AJ334" s="7">
        <v>2.6928329999999998</v>
      </c>
      <c r="AK334" s="7">
        <v>24.767697945379972</v>
      </c>
      <c r="AL334" s="7">
        <v>0</v>
      </c>
      <c r="AM334" s="7">
        <v>0</v>
      </c>
      <c r="AN334" s="7">
        <v>0</v>
      </c>
      <c r="AO334" s="7">
        <v>0</v>
      </c>
      <c r="AP334" s="7">
        <v>0</v>
      </c>
      <c r="AQ334" s="7">
        <v>24.767697945379972</v>
      </c>
      <c r="AR334" s="7">
        <v>22.465475966974889</v>
      </c>
      <c r="AS334" s="7">
        <v>4.9086233759293734</v>
      </c>
      <c r="AT334" s="7">
        <v>1.1417540215949169</v>
      </c>
    </row>
    <row r="335" spans="1:46" x14ac:dyDescent="0.35">
      <c r="A335" s="5">
        <v>46022</v>
      </c>
      <c r="B335" s="4" t="s">
        <v>736</v>
      </c>
      <c r="C335" s="4" t="s">
        <v>737</v>
      </c>
      <c r="D335" s="4" t="s">
        <v>61</v>
      </c>
      <c r="E335" s="6">
        <v>0</v>
      </c>
      <c r="F335" s="6">
        <v>0</v>
      </c>
      <c r="G335" s="6">
        <v>0</v>
      </c>
      <c r="H335" s="6">
        <v>0</v>
      </c>
      <c r="I335" s="6">
        <v>0</v>
      </c>
      <c r="J335" s="6">
        <v>1099.29</v>
      </c>
      <c r="K335" s="6">
        <v>1099.29</v>
      </c>
      <c r="L335" s="6">
        <v>1099.29</v>
      </c>
      <c r="M335" s="7">
        <v>11.635812</v>
      </c>
      <c r="N335" s="7">
        <v>0</v>
      </c>
      <c r="O335" s="7">
        <v>1.691435</v>
      </c>
      <c r="P335" s="7">
        <v>6.7674149999999997</v>
      </c>
      <c r="Q335" s="7">
        <v>20.094662</v>
      </c>
      <c r="R335" s="7">
        <v>1.9414020000000001</v>
      </c>
      <c r="S335" s="7">
        <v>1.4836659999999999</v>
      </c>
      <c r="T335" s="7">
        <v>2.1001599999999998</v>
      </c>
      <c r="U335" s="7">
        <v>4.7707379999999997</v>
      </c>
      <c r="V335" s="7">
        <v>10.295966</v>
      </c>
      <c r="W335" s="7">
        <v>30.390628</v>
      </c>
      <c r="X335" s="7">
        <v>1.768909930955435</v>
      </c>
      <c r="Y335" s="7">
        <v>6.4417724819181164</v>
      </c>
      <c r="Z335" s="7">
        <v>38.601310412873552</v>
      </c>
      <c r="AA335" s="7">
        <v>8.3654674421553974</v>
      </c>
      <c r="AB335" s="7">
        <v>46.966777855028951</v>
      </c>
      <c r="AC335" s="7">
        <v>0</v>
      </c>
      <c r="AD335" s="7">
        <v>6.6000059999999996</v>
      </c>
      <c r="AE335" s="7">
        <v>0</v>
      </c>
      <c r="AF335" s="7">
        <v>0</v>
      </c>
      <c r="AG335" s="7">
        <v>53.566783855028952</v>
      </c>
      <c r="AH335" s="7">
        <v>1.7559880000000001</v>
      </c>
      <c r="AI335" s="7">
        <v>0</v>
      </c>
      <c r="AJ335" s="7">
        <v>1.994802</v>
      </c>
      <c r="AK335" s="7">
        <v>50.717567855028953</v>
      </c>
      <c r="AL335" s="7">
        <v>0</v>
      </c>
      <c r="AM335" s="7">
        <v>0</v>
      </c>
      <c r="AN335" s="7">
        <v>0</v>
      </c>
      <c r="AO335" s="7">
        <v>0</v>
      </c>
      <c r="AP335" s="7">
        <v>0</v>
      </c>
      <c r="AQ335" s="7">
        <v>50.717567855028953</v>
      </c>
      <c r="AR335" s="7">
        <v>101.3128869780376</v>
      </c>
      <c r="AS335" s="7">
        <v>62.711576565164101</v>
      </c>
      <c r="AT335" s="7">
        <v>54.346109123008702</v>
      </c>
    </row>
    <row r="336" spans="1:46" x14ac:dyDescent="0.35">
      <c r="A336" s="5">
        <v>46022</v>
      </c>
      <c r="B336" s="4" t="s">
        <v>738</v>
      </c>
      <c r="C336" s="4" t="s">
        <v>739</v>
      </c>
      <c r="D336" s="4" t="s">
        <v>222</v>
      </c>
      <c r="E336" s="6">
        <v>0</v>
      </c>
      <c r="F336" s="6">
        <v>0</v>
      </c>
      <c r="G336" s="6">
        <v>0</v>
      </c>
      <c r="H336" s="6">
        <v>0</v>
      </c>
      <c r="I336" s="6">
        <v>4320</v>
      </c>
      <c r="J336" s="6">
        <v>4320</v>
      </c>
      <c r="K336" s="6">
        <v>8640</v>
      </c>
      <c r="L336" s="6">
        <v>2914</v>
      </c>
      <c r="M336" s="7">
        <v>28.769500000000001</v>
      </c>
      <c r="N336" s="7">
        <v>0.90546899999999997</v>
      </c>
      <c r="O336" s="7">
        <v>1.066907</v>
      </c>
      <c r="P336" s="7">
        <v>26.048995999999999</v>
      </c>
      <c r="Q336" s="7">
        <v>56.790872</v>
      </c>
      <c r="R336" s="7">
        <v>0.65630699999999997</v>
      </c>
      <c r="S336" s="7">
        <v>2.732246</v>
      </c>
      <c r="T336" s="7">
        <v>9.5338460000000005</v>
      </c>
      <c r="U336" s="7">
        <v>5.0747600000000013</v>
      </c>
      <c r="V336" s="7">
        <v>17.997159</v>
      </c>
      <c r="W336" s="7">
        <v>74.788031000000004</v>
      </c>
      <c r="X336" s="7">
        <v>1.158560285285106</v>
      </c>
      <c r="Y336" s="7">
        <v>1.902232955160488</v>
      </c>
      <c r="Z336" s="7">
        <v>77.848824240445595</v>
      </c>
      <c r="AA336" s="7">
        <v>3.400386671074997</v>
      </c>
      <c r="AB336" s="7">
        <v>81.249210911520606</v>
      </c>
      <c r="AC336" s="7">
        <v>0</v>
      </c>
      <c r="AD336" s="7">
        <v>12.307339000000001</v>
      </c>
      <c r="AE336" s="7">
        <v>0</v>
      </c>
      <c r="AF336" s="7">
        <v>-0.33977299999999999</v>
      </c>
      <c r="AG336" s="7">
        <v>93.216776911520597</v>
      </c>
      <c r="AH336" s="7">
        <v>5.4158549999999996</v>
      </c>
      <c r="AI336" s="7">
        <v>0</v>
      </c>
      <c r="AJ336" s="7">
        <v>8.8763530000000017</v>
      </c>
      <c r="AK336" s="7">
        <v>95.541418911520594</v>
      </c>
      <c r="AL336" s="7">
        <v>2.586306</v>
      </c>
      <c r="AM336" s="7">
        <v>0</v>
      </c>
      <c r="AN336" s="7">
        <v>0</v>
      </c>
      <c r="AO336" s="7">
        <v>0</v>
      </c>
      <c r="AP336" s="7">
        <v>0</v>
      </c>
      <c r="AQ336" s="7">
        <v>98.127724911520602</v>
      </c>
      <c r="AR336" s="7">
        <v>86.221236513862905</v>
      </c>
      <c r="AS336" s="7">
        <v>8.3724122734172965</v>
      </c>
      <c r="AT336" s="7">
        <v>4.9720256023423</v>
      </c>
    </row>
    <row r="337" spans="1:46" x14ac:dyDescent="0.35">
      <c r="A337" s="5">
        <v>46022</v>
      </c>
      <c r="B337" s="4" t="s">
        <v>740</v>
      </c>
      <c r="C337" s="4" t="s">
        <v>741</v>
      </c>
      <c r="D337" s="4" t="s">
        <v>61</v>
      </c>
      <c r="E337" s="6">
        <v>0</v>
      </c>
      <c r="F337" s="6">
        <v>0</v>
      </c>
      <c r="G337" s="6">
        <v>0</v>
      </c>
      <c r="H337" s="6">
        <v>0</v>
      </c>
      <c r="I337" s="6">
        <v>0</v>
      </c>
      <c r="J337" s="6">
        <v>184.533333</v>
      </c>
      <c r="K337" s="6">
        <v>184.533333</v>
      </c>
      <c r="L337" s="6">
        <v>184.533333</v>
      </c>
      <c r="M337" s="7">
        <v>7.4563550000000003</v>
      </c>
      <c r="N337" s="7">
        <v>0.392073</v>
      </c>
      <c r="O337" s="7">
        <v>5.456982</v>
      </c>
      <c r="P337" s="7">
        <v>6.6273260000000001</v>
      </c>
      <c r="Q337" s="7">
        <v>19.932735999999998</v>
      </c>
      <c r="R337" s="7">
        <v>2.273819</v>
      </c>
      <c r="S337" s="7">
        <v>0.86978500000000003</v>
      </c>
      <c r="T337" s="7">
        <v>4.7251789999999998</v>
      </c>
      <c r="U337" s="7">
        <v>4.3493180000000002</v>
      </c>
      <c r="V337" s="7">
        <v>12.218101000000001</v>
      </c>
      <c r="W337" s="7">
        <v>32.150837000000003</v>
      </c>
      <c r="X337" s="7">
        <v>0.66841855282590057</v>
      </c>
      <c r="Y337" s="7">
        <v>6.6378483493960054</v>
      </c>
      <c r="Z337" s="7">
        <v>39.45710390222191</v>
      </c>
      <c r="AA337" s="7">
        <v>5.5855192410124257</v>
      </c>
      <c r="AB337" s="7">
        <v>45.04262314323433</v>
      </c>
      <c r="AC337" s="7">
        <v>0</v>
      </c>
      <c r="AD337" s="7">
        <v>3.3574489999999999</v>
      </c>
      <c r="AE337" s="7">
        <v>0</v>
      </c>
      <c r="AF337" s="7">
        <v>0</v>
      </c>
      <c r="AG337" s="7">
        <v>48.400072143234333</v>
      </c>
      <c r="AH337" s="7">
        <v>4.4672330000000002</v>
      </c>
      <c r="AI337" s="7">
        <v>0</v>
      </c>
      <c r="AJ337" s="7">
        <v>3.3574489999999999</v>
      </c>
      <c r="AK337" s="7">
        <v>52.867305143234333</v>
      </c>
      <c r="AL337" s="7">
        <v>0</v>
      </c>
      <c r="AM337" s="7">
        <v>0</v>
      </c>
      <c r="AN337" s="7">
        <v>0</v>
      </c>
      <c r="AO337" s="7">
        <v>0</v>
      </c>
      <c r="AP337" s="7">
        <v>0</v>
      </c>
      <c r="AQ337" s="7">
        <v>52.867305143234333</v>
      </c>
      <c r="AR337" s="7">
        <v>116.4190020522604</v>
      </c>
      <c r="AS337" s="7">
        <v>76.961898150038522</v>
      </c>
      <c r="AT337" s="7">
        <v>71.376378909026087</v>
      </c>
    </row>
    <row r="338" spans="1:46" x14ac:dyDescent="0.35">
      <c r="A338" s="5">
        <v>46022</v>
      </c>
      <c r="B338" s="4" t="s">
        <v>742</v>
      </c>
      <c r="C338" s="4" t="s">
        <v>743</v>
      </c>
      <c r="D338" s="4" t="s">
        <v>213</v>
      </c>
      <c r="E338" s="6">
        <v>0</v>
      </c>
      <c r="F338" s="6">
        <v>0</v>
      </c>
      <c r="G338" s="6">
        <v>0</v>
      </c>
      <c r="H338" s="6">
        <v>0</v>
      </c>
      <c r="I338" s="6">
        <v>0</v>
      </c>
      <c r="J338" s="6">
        <v>10439.549999999999</v>
      </c>
      <c r="K338" s="6">
        <v>10439.549999999999</v>
      </c>
      <c r="L338" s="6">
        <v>10989</v>
      </c>
      <c r="M338" s="7">
        <v>29.418301</v>
      </c>
      <c r="N338" s="7">
        <v>2.601359</v>
      </c>
      <c r="O338" s="7">
        <v>1.401057</v>
      </c>
      <c r="P338" s="7">
        <v>21.266231999999999</v>
      </c>
      <c r="Q338" s="7">
        <v>54.686948999999998</v>
      </c>
      <c r="R338" s="7">
        <v>6.8252660000000001</v>
      </c>
      <c r="S338" s="7">
        <v>8.9496730000000007</v>
      </c>
      <c r="T338" s="7">
        <v>11.374409999999999</v>
      </c>
      <c r="U338" s="7">
        <v>12.710689</v>
      </c>
      <c r="V338" s="7">
        <v>39.860038000000003</v>
      </c>
      <c r="W338" s="7">
        <v>94.546987000000001</v>
      </c>
      <c r="X338" s="7">
        <v>28.727700025764399</v>
      </c>
      <c r="Y338" s="7">
        <v>12.48130232986642</v>
      </c>
      <c r="Z338" s="7">
        <v>135.75598935563079</v>
      </c>
      <c r="AA338" s="7">
        <v>22.64391831007811</v>
      </c>
      <c r="AB338" s="7">
        <v>158.39990766570889</v>
      </c>
      <c r="AC338" s="7">
        <v>0.50561800000000001</v>
      </c>
      <c r="AD338" s="7">
        <v>44.759976999999999</v>
      </c>
      <c r="AE338" s="7">
        <v>0</v>
      </c>
      <c r="AF338" s="7">
        <v>0</v>
      </c>
      <c r="AG338" s="7">
        <v>203.66550266570891</v>
      </c>
      <c r="AH338" s="7">
        <v>14.459122000000001</v>
      </c>
      <c r="AI338" s="7">
        <v>0</v>
      </c>
      <c r="AJ338" s="7">
        <v>33.670034000000001</v>
      </c>
      <c r="AK338" s="7">
        <v>207.03468166570889</v>
      </c>
      <c r="AL338" s="7">
        <v>106.925107</v>
      </c>
      <c r="AM338" s="7">
        <v>0.66375300000000015</v>
      </c>
      <c r="AN338" s="7">
        <v>0</v>
      </c>
      <c r="AO338" s="7">
        <v>0</v>
      </c>
      <c r="AP338" s="7">
        <v>0</v>
      </c>
      <c r="AQ338" s="7">
        <v>314.6235416657089</v>
      </c>
      <c r="AR338" s="7">
        <v>332.54613063717738</v>
      </c>
      <c r="AS338" s="7">
        <v>196.7901412815466</v>
      </c>
      <c r="AT338" s="7">
        <v>174.14622297146849</v>
      </c>
    </row>
    <row r="339" spans="1:46" x14ac:dyDescent="0.35">
      <c r="A339" s="5">
        <v>46022</v>
      </c>
      <c r="B339" s="4" t="s">
        <v>744</v>
      </c>
      <c r="C339" s="4" t="s">
        <v>745</v>
      </c>
      <c r="D339" s="4" t="s">
        <v>122</v>
      </c>
      <c r="E339" s="6">
        <v>79575.90625</v>
      </c>
      <c r="F339" s="6">
        <v>0</v>
      </c>
      <c r="G339" s="6">
        <v>79575.90625</v>
      </c>
      <c r="H339" s="6">
        <v>2.5683950000000002</v>
      </c>
      <c r="I339" s="6">
        <v>30982.732422000001</v>
      </c>
      <c r="J339" s="6">
        <v>0</v>
      </c>
      <c r="K339" s="6">
        <v>30982.732422000001</v>
      </c>
      <c r="L339" s="6">
        <v>30023.808593999998</v>
      </c>
      <c r="M339" s="7">
        <v>0.57862395019706325</v>
      </c>
      <c r="N339" s="7">
        <v>0.56816100000000003</v>
      </c>
      <c r="O339" s="7">
        <v>0.14291134808391631</v>
      </c>
      <c r="P339" s="7">
        <v>5.6548697338078089</v>
      </c>
      <c r="Q339" s="7">
        <v>6.9445660320887894</v>
      </c>
      <c r="R339" s="7">
        <v>0.62448359648415896</v>
      </c>
      <c r="S339" s="7">
        <v>1.358050225149384</v>
      </c>
      <c r="T339" s="7">
        <v>3.2414389321231019</v>
      </c>
      <c r="U339" s="7">
        <v>2.3727915554449139</v>
      </c>
      <c r="V339" s="7">
        <v>7.5967643092015589</v>
      </c>
      <c r="W339" s="7">
        <v>14.541330341290349</v>
      </c>
      <c r="X339" s="7">
        <v>0.94814872123481675</v>
      </c>
      <c r="Y339" s="7">
        <v>3.5477417486426308</v>
      </c>
      <c r="Z339" s="7">
        <v>19.037220811167799</v>
      </c>
      <c r="AA339" s="7">
        <v>6.6610132608864889</v>
      </c>
      <c r="AB339" s="7">
        <v>25.69823407205428</v>
      </c>
      <c r="AC339" s="7">
        <v>0</v>
      </c>
      <c r="AD339" s="7">
        <v>5.6258021940948861</v>
      </c>
      <c r="AE339" s="7">
        <v>0</v>
      </c>
      <c r="AF339" s="7">
        <v>0</v>
      </c>
      <c r="AG339" s="7">
        <v>31.324036266149172</v>
      </c>
      <c r="AH339" s="7">
        <v>0.68576497502108336</v>
      </c>
      <c r="AI339" s="7">
        <v>0</v>
      </c>
      <c r="AJ339" s="7">
        <v>2.8610441855570641</v>
      </c>
      <c r="AK339" s="7">
        <v>29.24504323263243</v>
      </c>
      <c r="AL339" s="7">
        <v>0</v>
      </c>
      <c r="AM339" s="7">
        <v>0</v>
      </c>
      <c r="AN339" s="7">
        <v>0</v>
      </c>
      <c r="AO339" s="7">
        <v>0</v>
      </c>
      <c r="AP339" s="7">
        <v>0</v>
      </c>
      <c r="AQ339" s="7">
        <v>29.24504323263243</v>
      </c>
      <c r="AR339" s="7">
        <v>53.310395157401473</v>
      </c>
      <c r="AS339" s="7">
        <v>34.273174346233667</v>
      </c>
      <c r="AT339" s="7">
        <v>27.612161085347179</v>
      </c>
    </row>
    <row r="340" spans="1:46" x14ac:dyDescent="0.35">
      <c r="A340" s="5">
        <v>46022</v>
      </c>
      <c r="B340" s="4" t="s">
        <v>746</v>
      </c>
      <c r="C340" s="4" t="s">
        <v>747</v>
      </c>
      <c r="D340" s="4" t="s">
        <v>748</v>
      </c>
      <c r="E340" s="6">
        <v>0</v>
      </c>
      <c r="F340" s="6">
        <v>0</v>
      </c>
      <c r="G340" s="6">
        <v>0</v>
      </c>
      <c r="H340" s="6">
        <v>0</v>
      </c>
      <c r="I340" s="6">
        <v>0</v>
      </c>
      <c r="J340" s="6">
        <v>700</v>
      </c>
      <c r="K340" s="6">
        <v>700</v>
      </c>
      <c r="L340" s="6">
        <v>650</v>
      </c>
      <c r="M340" s="7">
        <v>13.83784</v>
      </c>
      <c r="N340" s="7">
        <v>2.179799</v>
      </c>
      <c r="O340" s="7">
        <v>4.569407</v>
      </c>
      <c r="P340" s="7">
        <v>26.422816999999998</v>
      </c>
      <c r="Q340" s="7">
        <v>47.009863000000003</v>
      </c>
      <c r="R340" s="7">
        <v>6.6804030000000001</v>
      </c>
      <c r="S340" s="7">
        <v>11.496373999999999</v>
      </c>
      <c r="T340" s="7">
        <v>2.8858809999999999</v>
      </c>
      <c r="U340" s="7">
        <v>14.638719999999999</v>
      </c>
      <c r="V340" s="7">
        <v>35.701377999999998</v>
      </c>
      <c r="W340" s="7">
        <v>82.711241000000001</v>
      </c>
      <c r="X340" s="7">
        <v>1.7648369142523079</v>
      </c>
      <c r="Y340" s="7">
        <v>4.6474020288529623</v>
      </c>
      <c r="Z340" s="7">
        <v>89.123479943105266</v>
      </c>
      <c r="AA340" s="7">
        <v>9.8379770932305348</v>
      </c>
      <c r="AB340" s="7">
        <v>98.961457036335801</v>
      </c>
      <c r="AC340" s="7">
        <v>0.85523199999999999</v>
      </c>
      <c r="AD340" s="7">
        <v>12.715476000000001</v>
      </c>
      <c r="AE340" s="7">
        <v>0</v>
      </c>
      <c r="AF340" s="7">
        <v>0</v>
      </c>
      <c r="AG340" s="7">
        <v>112.5321650363358</v>
      </c>
      <c r="AH340" s="7">
        <v>10.506876999999999</v>
      </c>
      <c r="AI340" s="7">
        <v>0</v>
      </c>
      <c r="AJ340" s="7">
        <v>10.566058999999999</v>
      </c>
      <c r="AK340" s="7">
        <v>120.8896250363358</v>
      </c>
      <c r="AL340" s="7">
        <v>0</v>
      </c>
      <c r="AM340" s="7">
        <v>0</v>
      </c>
      <c r="AN340" s="7">
        <v>0</v>
      </c>
      <c r="AO340" s="7">
        <v>0</v>
      </c>
      <c r="AP340" s="7">
        <v>0</v>
      </c>
      <c r="AQ340" s="7">
        <v>120.8896250363358</v>
      </c>
      <c r="AR340" s="7">
        <v>161.1460577226575</v>
      </c>
      <c r="AS340" s="7">
        <v>72.022577779552194</v>
      </c>
      <c r="AT340" s="7">
        <v>62.184600686321652</v>
      </c>
    </row>
    <row r="341" spans="1:46" x14ac:dyDescent="0.35">
      <c r="A341" s="5">
        <v>46022</v>
      </c>
      <c r="B341" s="4" t="s">
        <v>749</v>
      </c>
      <c r="C341" s="4" t="s">
        <v>750</v>
      </c>
      <c r="D341" s="4" t="s">
        <v>69</v>
      </c>
      <c r="E341" s="6">
        <v>91500</v>
      </c>
      <c r="F341" s="6">
        <v>0</v>
      </c>
      <c r="G341" s="6">
        <v>91500</v>
      </c>
      <c r="H341" s="6">
        <v>7.4209250000000004</v>
      </c>
      <c r="I341" s="6">
        <v>12330</v>
      </c>
      <c r="J341" s="6">
        <v>4670</v>
      </c>
      <c r="K341" s="6">
        <v>17000</v>
      </c>
      <c r="L341" s="6">
        <v>17000</v>
      </c>
      <c r="M341" s="7">
        <v>3.8721359999999998</v>
      </c>
      <c r="N341" s="7">
        <v>6.5430229999999998</v>
      </c>
      <c r="O341" s="7">
        <v>0.93395300000000014</v>
      </c>
      <c r="P341" s="7">
        <v>6.736333000000001</v>
      </c>
      <c r="Q341" s="7">
        <v>18.085445</v>
      </c>
      <c r="R341" s="7">
        <v>0.95297399999999999</v>
      </c>
      <c r="S341" s="7">
        <v>8.9094429999999996</v>
      </c>
      <c r="T341" s="7">
        <v>2.071491</v>
      </c>
      <c r="U341" s="7">
        <v>4.1360419999999998</v>
      </c>
      <c r="V341" s="7">
        <v>16.069949999999999</v>
      </c>
      <c r="W341" s="7">
        <v>34.155394999999999</v>
      </c>
      <c r="X341" s="7">
        <v>1.3309943313908821</v>
      </c>
      <c r="Y341" s="7">
        <v>5.5868976441373039</v>
      </c>
      <c r="Z341" s="7">
        <v>41.073286975528191</v>
      </c>
      <c r="AA341" s="7">
        <v>6.5235044459232823</v>
      </c>
      <c r="AB341" s="7">
        <v>47.596791421451471</v>
      </c>
      <c r="AC341" s="7">
        <v>0</v>
      </c>
      <c r="AD341" s="7">
        <v>26.955691000000002</v>
      </c>
      <c r="AE341" s="7">
        <v>0</v>
      </c>
      <c r="AF341" s="7">
        <v>0</v>
      </c>
      <c r="AG341" s="7">
        <v>74.552482421451472</v>
      </c>
      <c r="AH341" s="7">
        <v>1.0733740000000001</v>
      </c>
      <c r="AI341" s="7">
        <v>0</v>
      </c>
      <c r="AJ341" s="7">
        <v>16.474277000000001</v>
      </c>
      <c r="AK341" s="7">
        <v>65.144442421451473</v>
      </c>
      <c r="AL341" s="7">
        <v>0</v>
      </c>
      <c r="AM341" s="7">
        <v>0</v>
      </c>
      <c r="AN341" s="7">
        <v>0</v>
      </c>
      <c r="AO341" s="7">
        <v>0</v>
      </c>
      <c r="AP341" s="7">
        <v>0</v>
      </c>
      <c r="AQ341" s="7">
        <v>65.144442421451473</v>
      </c>
      <c r="AR341" s="7">
        <v>113.83252408597821</v>
      </c>
      <c r="AS341" s="7">
        <v>72.759237110449973</v>
      </c>
      <c r="AT341" s="7">
        <v>66.235732664526694</v>
      </c>
    </row>
    <row r="342" spans="1:46" x14ac:dyDescent="0.35">
      <c r="A342" s="5">
        <v>46022</v>
      </c>
      <c r="B342" s="4" t="s">
        <v>751</v>
      </c>
      <c r="C342" s="4" t="s">
        <v>752</v>
      </c>
      <c r="D342" s="4" t="s">
        <v>753</v>
      </c>
      <c r="E342" s="6">
        <v>0</v>
      </c>
      <c r="F342" s="6">
        <v>0</v>
      </c>
      <c r="G342" s="6">
        <v>0</v>
      </c>
      <c r="H342" s="6">
        <v>0</v>
      </c>
      <c r="I342" s="6">
        <v>0</v>
      </c>
      <c r="J342" s="6">
        <v>30500</v>
      </c>
      <c r="K342" s="6">
        <v>30500</v>
      </c>
      <c r="L342" s="6">
        <v>30500</v>
      </c>
      <c r="M342" s="7">
        <v>26.700661641791051</v>
      </c>
      <c r="N342" s="7">
        <v>0.663018</v>
      </c>
      <c r="O342" s="7">
        <v>2.8605121343283582</v>
      </c>
      <c r="P342" s="7">
        <v>28.335302094527361</v>
      </c>
      <c r="Q342" s="7">
        <v>58.559493870646769</v>
      </c>
      <c r="R342" s="7">
        <v>3.5042632736318411</v>
      </c>
      <c r="S342" s="7">
        <v>3.483018786069652</v>
      </c>
      <c r="T342" s="7">
        <v>5.1282309900497509</v>
      </c>
      <c r="U342" s="7">
        <v>8.0930201144278602</v>
      </c>
      <c r="V342" s="7">
        <v>20.208533164179102</v>
      </c>
      <c r="W342" s="7">
        <v>78.768027034825863</v>
      </c>
      <c r="X342" s="7">
        <v>0.48953239678890492</v>
      </c>
      <c r="Y342" s="7">
        <v>18.52667247966448</v>
      </c>
      <c r="Z342" s="7">
        <v>97.784231911279264</v>
      </c>
      <c r="AA342" s="7">
        <v>32.221064153249337</v>
      </c>
      <c r="AB342" s="7">
        <v>130.00529606452861</v>
      </c>
      <c r="AC342" s="7">
        <v>0</v>
      </c>
      <c r="AD342" s="7">
        <v>16.012282537313428</v>
      </c>
      <c r="AE342" s="7">
        <v>0</v>
      </c>
      <c r="AF342" s="7">
        <v>0</v>
      </c>
      <c r="AG342" s="7">
        <v>146.01757860184199</v>
      </c>
      <c r="AH342" s="7">
        <v>3.9380713930348259</v>
      </c>
      <c r="AI342" s="7">
        <v>0</v>
      </c>
      <c r="AJ342" s="7">
        <v>17.24135702985075</v>
      </c>
      <c r="AK342" s="7">
        <v>151.1847244874142</v>
      </c>
      <c r="AL342" s="7">
        <v>5.9016390000000003</v>
      </c>
      <c r="AM342" s="7">
        <v>0</v>
      </c>
      <c r="AN342" s="7">
        <v>0</v>
      </c>
      <c r="AO342" s="7">
        <v>0</v>
      </c>
      <c r="AP342" s="7">
        <v>0</v>
      </c>
      <c r="AQ342" s="7">
        <v>157.08636348741419</v>
      </c>
      <c r="AR342" s="7">
        <v>165.5334045066447</v>
      </c>
      <c r="AS342" s="7">
        <v>67.749172595365408</v>
      </c>
      <c r="AT342" s="7">
        <v>35.528108442116078</v>
      </c>
    </row>
    <row r="343" spans="1:46" x14ac:dyDescent="0.35">
      <c r="A343" s="5">
        <v>46022</v>
      </c>
      <c r="B343" s="4" t="s">
        <v>754</v>
      </c>
      <c r="C343" s="4" t="s">
        <v>755</v>
      </c>
      <c r="D343" s="4" t="s">
        <v>222</v>
      </c>
      <c r="E343" s="6">
        <v>0</v>
      </c>
      <c r="F343" s="6">
        <v>0</v>
      </c>
      <c r="G343" s="6">
        <v>0</v>
      </c>
      <c r="H343" s="6">
        <v>0</v>
      </c>
      <c r="I343" s="6">
        <v>0</v>
      </c>
      <c r="J343" s="6">
        <v>1350</v>
      </c>
      <c r="K343" s="6">
        <v>1350</v>
      </c>
      <c r="L343" s="6">
        <v>1350</v>
      </c>
      <c r="M343" s="7">
        <v>24.737957000000002</v>
      </c>
      <c r="N343" s="7">
        <v>4.5353999999999998E-2</v>
      </c>
      <c r="O343" s="7">
        <v>2.445646</v>
      </c>
      <c r="P343" s="7">
        <v>5.543018</v>
      </c>
      <c r="Q343" s="7">
        <v>32.771974999999998</v>
      </c>
      <c r="R343" s="7">
        <v>11.39592</v>
      </c>
      <c r="S343" s="7">
        <v>1.878252</v>
      </c>
      <c r="T343" s="7">
        <v>3.5987930000000001</v>
      </c>
      <c r="U343" s="7">
        <v>3.5941559999999999</v>
      </c>
      <c r="V343" s="7">
        <v>20.467120999999999</v>
      </c>
      <c r="W343" s="7">
        <v>53.239096000000011</v>
      </c>
      <c r="X343" s="7">
        <v>2.263313450030815</v>
      </c>
      <c r="Y343" s="7">
        <v>14.62264463637726</v>
      </c>
      <c r="Z343" s="7">
        <v>70.125054086408085</v>
      </c>
      <c r="AA343" s="7">
        <v>10.948111289582741</v>
      </c>
      <c r="AB343" s="7">
        <v>81.073165375990826</v>
      </c>
      <c r="AC343" s="7">
        <v>0</v>
      </c>
      <c r="AD343" s="7">
        <v>35.730927999999999</v>
      </c>
      <c r="AE343" s="7">
        <v>0</v>
      </c>
      <c r="AF343" s="7">
        <v>0</v>
      </c>
      <c r="AG343" s="7">
        <v>116.8040933759908</v>
      </c>
      <c r="AH343" s="7">
        <v>1.6296299999999999</v>
      </c>
      <c r="AI343" s="7">
        <v>0</v>
      </c>
      <c r="AJ343" s="7">
        <v>9.4269440000000007</v>
      </c>
      <c r="AK343" s="7">
        <v>92.129739375990823</v>
      </c>
      <c r="AL343" s="7">
        <v>0</v>
      </c>
      <c r="AM343" s="7">
        <v>0</v>
      </c>
      <c r="AN343" s="7">
        <v>0</v>
      </c>
      <c r="AO343" s="7">
        <v>0</v>
      </c>
      <c r="AP343" s="7">
        <v>0</v>
      </c>
      <c r="AQ343" s="7">
        <v>92.129739375990823</v>
      </c>
      <c r="AR343" s="7">
        <v>203.5598960631398</v>
      </c>
      <c r="AS343" s="7">
        <v>133.43484197673169</v>
      </c>
      <c r="AT343" s="7">
        <v>122.48673068714901</v>
      </c>
    </row>
    <row r="344" spans="1:46" x14ac:dyDescent="0.35">
      <c r="A344" s="5">
        <v>46022</v>
      </c>
      <c r="B344" s="4" t="s">
        <v>756</v>
      </c>
      <c r="C344" s="4" t="s">
        <v>757</v>
      </c>
      <c r="D344" s="4" t="s">
        <v>105</v>
      </c>
      <c r="E344" s="6">
        <v>0</v>
      </c>
      <c r="F344" s="6">
        <v>0</v>
      </c>
      <c r="G344" s="6">
        <v>0</v>
      </c>
      <c r="H344" s="6">
        <v>0</v>
      </c>
      <c r="I344" s="6">
        <v>0</v>
      </c>
      <c r="J344" s="6">
        <v>5000</v>
      </c>
      <c r="K344" s="6">
        <v>5000</v>
      </c>
      <c r="L344" s="6">
        <v>5400</v>
      </c>
      <c r="M344" s="7">
        <v>15.684112000000001</v>
      </c>
      <c r="N344" s="7">
        <v>1.687109</v>
      </c>
      <c r="O344" s="7">
        <v>5.9760419999999987</v>
      </c>
      <c r="P344" s="7">
        <v>27.034842999999999</v>
      </c>
      <c r="Q344" s="7">
        <v>50.382105999999993</v>
      </c>
      <c r="R344" s="7">
        <v>6.2456659999999991</v>
      </c>
      <c r="S344" s="7">
        <v>12.322779000000001</v>
      </c>
      <c r="T344" s="7">
        <v>15.240017</v>
      </c>
      <c r="U344" s="7">
        <v>20.12079</v>
      </c>
      <c r="V344" s="7">
        <v>53.929251999999998</v>
      </c>
      <c r="W344" s="7">
        <v>104.311358</v>
      </c>
      <c r="X344" s="7">
        <v>1.5551272814259261E-3</v>
      </c>
      <c r="Y344" s="7">
        <v>2.788791063603699</v>
      </c>
      <c r="Z344" s="7">
        <v>107.1017041908851</v>
      </c>
      <c r="AA344" s="7">
        <v>5.1103263738294737</v>
      </c>
      <c r="AB344" s="7">
        <v>112.2120305647146</v>
      </c>
      <c r="AC344" s="7">
        <v>0</v>
      </c>
      <c r="AD344" s="7">
        <v>16.252472000000001</v>
      </c>
      <c r="AE344" s="7">
        <v>0</v>
      </c>
      <c r="AF344" s="7">
        <v>0</v>
      </c>
      <c r="AG344" s="7">
        <v>128.46450256471459</v>
      </c>
      <c r="AH344" s="7">
        <v>4.0005030000000001</v>
      </c>
      <c r="AI344" s="7">
        <v>0</v>
      </c>
      <c r="AJ344" s="7">
        <v>1.111046</v>
      </c>
      <c r="AK344" s="7">
        <v>117.32357956471461</v>
      </c>
      <c r="AL344" s="7">
        <v>0</v>
      </c>
      <c r="AM344" s="7">
        <v>0</v>
      </c>
      <c r="AN344" s="7">
        <v>0</v>
      </c>
      <c r="AO344" s="7">
        <v>0</v>
      </c>
      <c r="AP344" s="7">
        <v>0</v>
      </c>
      <c r="AQ344" s="7">
        <v>117.32357956471461</v>
      </c>
      <c r="AR344" s="7">
        <v>102.2067302258167</v>
      </c>
      <c r="AS344" s="7">
        <v>-4.894973965068421</v>
      </c>
      <c r="AT344" s="7">
        <v>-10.0053003388979</v>
      </c>
    </row>
    <row r="345" spans="1:46" x14ac:dyDescent="0.35">
      <c r="A345" s="5">
        <v>46022</v>
      </c>
      <c r="B345" s="4" t="s">
        <v>758</v>
      </c>
      <c r="C345" s="4" t="s">
        <v>759</v>
      </c>
      <c r="D345" s="4" t="s">
        <v>86</v>
      </c>
      <c r="E345" s="6">
        <v>0</v>
      </c>
      <c r="F345" s="6">
        <v>0</v>
      </c>
      <c r="G345" s="6">
        <v>0</v>
      </c>
      <c r="H345" s="6">
        <v>0</v>
      </c>
      <c r="I345" s="6">
        <v>0</v>
      </c>
      <c r="J345" s="6">
        <v>800</v>
      </c>
      <c r="K345" s="6">
        <v>800</v>
      </c>
      <c r="L345" s="6">
        <v>1500</v>
      </c>
      <c r="M345" s="7">
        <v>66.872099000000006</v>
      </c>
      <c r="N345" s="7">
        <v>0.27103899999999997</v>
      </c>
      <c r="O345" s="7">
        <v>6.6718E-2</v>
      </c>
      <c r="P345" s="7">
        <v>1.6569290000000001</v>
      </c>
      <c r="Q345" s="7">
        <v>68.866784999999993</v>
      </c>
      <c r="R345" s="7">
        <v>1.9855</v>
      </c>
      <c r="S345" s="7">
        <v>0.17254</v>
      </c>
      <c r="T345" s="7">
        <v>1.9136390000000001</v>
      </c>
      <c r="U345" s="7">
        <v>0.89074699999999996</v>
      </c>
      <c r="V345" s="7">
        <v>4.9624259999999998</v>
      </c>
      <c r="W345" s="7">
        <v>73.829211000000001</v>
      </c>
      <c r="X345" s="7">
        <v>1.3213084284236001</v>
      </c>
      <c r="Y345" s="7">
        <v>16.823945297127089</v>
      </c>
      <c r="Z345" s="7">
        <v>91.974464725550689</v>
      </c>
      <c r="AA345" s="7">
        <v>11.569976714670441</v>
      </c>
      <c r="AB345" s="7">
        <v>103.54444144022111</v>
      </c>
      <c r="AC345" s="7">
        <v>0</v>
      </c>
      <c r="AD345" s="7">
        <v>55.803955000000002</v>
      </c>
      <c r="AE345" s="7">
        <v>0</v>
      </c>
      <c r="AF345" s="7">
        <v>0</v>
      </c>
      <c r="AG345" s="7">
        <v>159.34839644022111</v>
      </c>
      <c r="AH345" s="7">
        <v>1.98</v>
      </c>
      <c r="AI345" s="7">
        <v>0</v>
      </c>
      <c r="AJ345" s="7">
        <v>5.5099999999999989</v>
      </c>
      <c r="AK345" s="7">
        <v>111.0344414402211</v>
      </c>
      <c r="AL345" s="7">
        <v>0</v>
      </c>
      <c r="AM345" s="7">
        <v>0</v>
      </c>
      <c r="AN345" s="7">
        <v>0</v>
      </c>
      <c r="AO345" s="7">
        <v>0</v>
      </c>
      <c r="AP345" s="7">
        <v>0</v>
      </c>
      <c r="AQ345" s="7">
        <v>111.0344414402211</v>
      </c>
      <c r="AR345" s="7">
        <v>144.62514496555511</v>
      </c>
      <c r="AS345" s="7">
        <v>52.650680240004412</v>
      </c>
      <c r="AT345" s="7">
        <v>41.080703525333973</v>
      </c>
    </row>
    <row r="346" spans="1:46" x14ac:dyDescent="0.35">
      <c r="A346" s="5">
        <v>46022</v>
      </c>
      <c r="B346" s="4" t="s">
        <v>760</v>
      </c>
      <c r="C346" s="4" t="s">
        <v>761</v>
      </c>
      <c r="D346" s="4" t="s">
        <v>61</v>
      </c>
      <c r="E346" s="6">
        <v>0</v>
      </c>
      <c r="F346" s="6">
        <v>0</v>
      </c>
      <c r="G346" s="6">
        <v>0</v>
      </c>
      <c r="H346" s="6">
        <v>0</v>
      </c>
      <c r="I346" s="6">
        <v>0</v>
      </c>
      <c r="J346" s="6">
        <v>188.51</v>
      </c>
      <c r="K346" s="6">
        <v>188.51</v>
      </c>
      <c r="L346" s="6">
        <v>188.51</v>
      </c>
      <c r="M346" s="7">
        <v>11.552996</v>
      </c>
      <c r="N346" s="7">
        <v>0</v>
      </c>
      <c r="O346" s="7">
        <v>7.174264</v>
      </c>
      <c r="P346" s="7">
        <v>6.8300910000000004</v>
      </c>
      <c r="Q346" s="7">
        <v>25.557351000000001</v>
      </c>
      <c r="R346" s="7">
        <v>6.6474679999999999</v>
      </c>
      <c r="S346" s="7">
        <v>1.3222149999999999</v>
      </c>
      <c r="T346" s="7">
        <v>5.4370799999999999</v>
      </c>
      <c r="U346" s="7">
        <v>7.2085350000000004</v>
      </c>
      <c r="V346" s="7">
        <v>20.615297999999999</v>
      </c>
      <c r="W346" s="7">
        <v>46.172649</v>
      </c>
      <c r="X346" s="7">
        <v>0.854407051262002</v>
      </c>
      <c r="Y346" s="7">
        <v>7.69976256453955</v>
      </c>
      <c r="Z346" s="7">
        <v>54.726818615801548</v>
      </c>
      <c r="AA346" s="7">
        <v>8.6726676318083964</v>
      </c>
      <c r="AB346" s="7">
        <v>63.39948624760995</v>
      </c>
      <c r="AC346" s="7">
        <v>0</v>
      </c>
      <c r="AD346" s="7">
        <v>3.559739</v>
      </c>
      <c r="AE346" s="7">
        <v>0</v>
      </c>
      <c r="AF346" s="7">
        <v>0</v>
      </c>
      <c r="AG346" s="7">
        <v>66.95922524760995</v>
      </c>
      <c r="AH346" s="7">
        <v>12.446441999999999</v>
      </c>
      <c r="AI346" s="7">
        <v>0</v>
      </c>
      <c r="AJ346" s="7">
        <v>3.0399660000000002</v>
      </c>
      <c r="AK346" s="7">
        <v>78.885894247609954</v>
      </c>
      <c r="AL346" s="7">
        <v>0</v>
      </c>
      <c r="AM346" s="7">
        <v>0</v>
      </c>
      <c r="AN346" s="7">
        <v>0</v>
      </c>
      <c r="AO346" s="7">
        <v>0</v>
      </c>
      <c r="AP346" s="7">
        <v>0</v>
      </c>
      <c r="AQ346" s="7">
        <v>78.885894247609954</v>
      </c>
      <c r="AR346" s="7">
        <v>140.25230230641981</v>
      </c>
      <c r="AS346" s="7">
        <v>85.525483690618216</v>
      </c>
      <c r="AT346" s="7">
        <v>76.852816058809836</v>
      </c>
    </row>
    <row r="347" spans="1:46" x14ac:dyDescent="0.35">
      <c r="A347" s="5">
        <v>46022</v>
      </c>
      <c r="B347" s="4" t="s">
        <v>762</v>
      </c>
      <c r="C347" s="4" t="s">
        <v>763</v>
      </c>
      <c r="D347" s="4" t="s">
        <v>61</v>
      </c>
      <c r="E347" s="6">
        <v>0</v>
      </c>
      <c r="F347" s="6">
        <v>0</v>
      </c>
      <c r="G347" s="6">
        <v>0</v>
      </c>
      <c r="H347" s="6">
        <v>0</v>
      </c>
      <c r="I347" s="6">
        <v>0</v>
      </c>
      <c r="J347" s="6">
        <v>117.15</v>
      </c>
      <c r="K347" s="6">
        <v>117.15</v>
      </c>
      <c r="L347" s="6">
        <v>117.15</v>
      </c>
      <c r="M347" s="7">
        <v>2.7674370000000001</v>
      </c>
      <c r="N347" s="7">
        <v>0.587202</v>
      </c>
      <c r="O347" s="7">
        <v>3.8550710000000001</v>
      </c>
      <c r="P347" s="7">
        <v>5.9082220000000003</v>
      </c>
      <c r="Q347" s="7">
        <v>13.117932</v>
      </c>
      <c r="R347" s="7">
        <v>1.180024</v>
      </c>
      <c r="S347" s="7">
        <v>1.168482</v>
      </c>
      <c r="T347" s="7">
        <v>3.867388</v>
      </c>
      <c r="U347" s="7">
        <v>3.6940759999999999</v>
      </c>
      <c r="V347" s="7">
        <v>9.9099699999999995</v>
      </c>
      <c r="W347" s="7">
        <v>23.027902000000001</v>
      </c>
      <c r="X347" s="7">
        <v>0.36835579684165598</v>
      </c>
      <c r="Y347" s="7">
        <v>2.4295153153341569</v>
      </c>
      <c r="Z347" s="7">
        <v>25.82577311217581</v>
      </c>
      <c r="AA347" s="7">
        <v>3.968080791408195</v>
      </c>
      <c r="AB347" s="7">
        <v>29.793853903584012</v>
      </c>
      <c r="AC347" s="7">
        <v>0</v>
      </c>
      <c r="AD347" s="7">
        <v>0.814778</v>
      </c>
      <c r="AE347" s="7">
        <v>0</v>
      </c>
      <c r="AF347" s="7">
        <v>0</v>
      </c>
      <c r="AG347" s="7">
        <v>30.608631903584008</v>
      </c>
      <c r="AH347" s="7">
        <v>1.7953220000000001</v>
      </c>
      <c r="AI347" s="7">
        <v>0</v>
      </c>
      <c r="AJ347" s="7">
        <v>3.8069820000000001</v>
      </c>
      <c r="AK347" s="7">
        <v>35.396157903584012</v>
      </c>
      <c r="AL347" s="7">
        <v>0</v>
      </c>
      <c r="AM347" s="7">
        <v>0</v>
      </c>
      <c r="AN347" s="7">
        <v>0</v>
      </c>
      <c r="AO347" s="7">
        <v>0</v>
      </c>
      <c r="AP347" s="7">
        <v>0</v>
      </c>
      <c r="AQ347" s="7">
        <v>35.396157903584012</v>
      </c>
      <c r="AR347" s="7">
        <v>45.380077205017081</v>
      </c>
      <c r="AS347" s="7">
        <v>19.55430409284126</v>
      </c>
      <c r="AT347" s="7">
        <v>15.586223301433071</v>
      </c>
    </row>
    <row r="348" spans="1:46" x14ac:dyDescent="0.35">
      <c r="A348" s="5">
        <v>46022</v>
      </c>
      <c r="B348" s="4" t="s">
        <v>764</v>
      </c>
      <c r="C348" s="4" t="s">
        <v>765</v>
      </c>
      <c r="D348" s="4" t="s">
        <v>61</v>
      </c>
      <c r="E348" s="6">
        <v>0</v>
      </c>
      <c r="F348" s="6">
        <v>0</v>
      </c>
      <c r="G348" s="6">
        <v>0</v>
      </c>
      <c r="H348" s="6">
        <v>0</v>
      </c>
      <c r="I348" s="6">
        <v>0</v>
      </c>
      <c r="J348" s="6">
        <v>129</v>
      </c>
      <c r="K348" s="6">
        <v>129</v>
      </c>
      <c r="L348" s="6">
        <v>129</v>
      </c>
      <c r="M348" s="7">
        <v>10.050857000000001</v>
      </c>
      <c r="N348" s="7">
        <v>5.3651590000000002</v>
      </c>
      <c r="O348" s="7">
        <v>8.2273180000000004</v>
      </c>
      <c r="P348" s="7">
        <v>4.6053189999999997</v>
      </c>
      <c r="Q348" s="7">
        <v>28.248653000000001</v>
      </c>
      <c r="R348" s="7">
        <v>7.4048040000000013</v>
      </c>
      <c r="S348" s="7">
        <v>0.69567299999999999</v>
      </c>
      <c r="T348" s="7">
        <v>2.607809</v>
      </c>
      <c r="U348" s="7">
        <v>4.4165809999999999</v>
      </c>
      <c r="V348" s="7">
        <v>15.124867</v>
      </c>
      <c r="W348" s="7">
        <v>43.373519999999999</v>
      </c>
      <c r="X348" s="7">
        <v>2.1744870813953492</v>
      </c>
      <c r="Y348" s="7">
        <v>26.430278409549729</v>
      </c>
      <c r="Z348" s="7">
        <v>71.978285490945083</v>
      </c>
      <c r="AA348" s="7">
        <v>2.4860095414276739</v>
      </c>
      <c r="AB348" s="7">
        <v>74.46429503237276</v>
      </c>
      <c r="AC348" s="7">
        <v>0</v>
      </c>
      <c r="AD348" s="7">
        <v>1.727417</v>
      </c>
      <c r="AE348" s="7">
        <v>0</v>
      </c>
      <c r="AF348" s="7">
        <v>0</v>
      </c>
      <c r="AG348" s="7">
        <v>76.191712032372763</v>
      </c>
      <c r="AH348" s="7">
        <v>2.5690400000000002</v>
      </c>
      <c r="AI348" s="7">
        <v>0</v>
      </c>
      <c r="AJ348" s="7">
        <v>1.727417</v>
      </c>
      <c r="AK348" s="7">
        <v>78.760752032372764</v>
      </c>
      <c r="AL348" s="7">
        <v>0</v>
      </c>
      <c r="AM348" s="7">
        <v>0</v>
      </c>
      <c r="AN348" s="7">
        <v>0</v>
      </c>
      <c r="AO348" s="7">
        <v>0</v>
      </c>
      <c r="AP348" s="7">
        <v>0</v>
      </c>
      <c r="AQ348" s="7">
        <v>78.760752032372764</v>
      </c>
      <c r="AR348" s="7">
        <v>117.1482250857965</v>
      </c>
      <c r="AS348" s="7">
        <v>45.169939594851428</v>
      </c>
      <c r="AT348" s="7">
        <v>42.683930053423751</v>
      </c>
    </row>
    <row r="349" spans="1:46" x14ac:dyDescent="0.35">
      <c r="A349" s="5">
        <v>46022</v>
      </c>
      <c r="B349" s="4" t="s">
        <v>766</v>
      </c>
      <c r="C349" s="4" t="s">
        <v>767</v>
      </c>
      <c r="D349" s="4" t="s">
        <v>58</v>
      </c>
      <c r="E349" s="6">
        <v>121362.5</v>
      </c>
      <c r="F349" s="6">
        <v>0</v>
      </c>
      <c r="G349" s="6">
        <v>121362.5</v>
      </c>
      <c r="H349" s="6">
        <v>1.75</v>
      </c>
      <c r="I349" s="6">
        <v>69350</v>
      </c>
      <c r="J349" s="6">
        <v>0</v>
      </c>
      <c r="K349" s="6">
        <v>69350</v>
      </c>
      <c r="L349" s="6">
        <v>69350</v>
      </c>
      <c r="M349" s="7">
        <v>4.8455760000000012</v>
      </c>
      <c r="N349" s="7">
        <v>2.5792199999999998</v>
      </c>
      <c r="O349" s="7">
        <v>8.1341999999999998E-2</v>
      </c>
      <c r="P349" s="7">
        <v>1.3462780000000001</v>
      </c>
      <c r="Q349" s="7">
        <v>8.8524160000000016</v>
      </c>
      <c r="R349" s="7">
        <v>2.018205</v>
      </c>
      <c r="S349" s="7">
        <v>4.2467090000000001</v>
      </c>
      <c r="T349" s="7">
        <v>3.5892409999999999</v>
      </c>
      <c r="U349" s="7">
        <v>1.1243179999999999</v>
      </c>
      <c r="V349" s="7">
        <v>10.978472999999999</v>
      </c>
      <c r="W349" s="7">
        <v>19.830888999999999</v>
      </c>
      <c r="X349" s="7">
        <v>2.1304119125781229</v>
      </c>
      <c r="Y349" s="7">
        <v>2.7796757536936099</v>
      </c>
      <c r="Z349" s="7">
        <v>24.740976666271731</v>
      </c>
      <c r="AA349" s="7">
        <v>1.2909264075874369</v>
      </c>
      <c r="AB349" s="7">
        <v>26.031903073859169</v>
      </c>
      <c r="AC349" s="7">
        <v>0</v>
      </c>
      <c r="AD349" s="7">
        <v>13.700457999999999</v>
      </c>
      <c r="AE349" s="7">
        <v>0</v>
      </c>
      <c r="AF349" s="7">
        <v>0</v>
      </c>
      <c r="AG349" s="7">
        <v>39.732361073859167</v>
      </c>
      <c r="AH349" s="7">
        <v>0.36059999999999998</v>
      </c>
      <c r="AI349" s="7">
        <v>0</v>
      </c>
      <c r="AJ349" s="7">
        <v>8.8727350000000005</v>
      </c>
      <c r="AK349" s="7">
        <v>35.265238073859173</v>
      </c>
      <c r="AL349" s="7">
        <v>0</v>
      </c>
      <c r="AM349" s="7">
        <v>0</v>
      </c>
      <c r="AN349" s="7">
        <v>0</v>
      </c>
      <c r="AO349" s="7">
        <v>0</v>
      </c>
      <c r="AP349" s="7">
        <v>0</v>
      </c>
      <c r="AQ349" s="7">
        <v>35.265238073859173</v>
      </c>
      <c r="AR349" s="7">
        <v>59.813279148942357</v>
      </c>
      <c r="AS349" s="7">
        <v>35.072302482670629</v>
      </c>
      <c r="AT349" s="7">
        <v>33.781376075083188</v>
      </c>
    </row>
    <row r="350" spans="1:46" x14ac:dyDescent="0.35">
      <c r="A350" s="5">
        <v>46022</v>
      </c>
      <c r="B350" s="4" t="s">
        <v>768</v>
      </c>
      <c r="C350" s="4" t="s">
        <v>769</v>
      </c>
      <c r="D350" s="4" t="s">
        <v>122</v>
      </c>
      <c r="E350" s="6">
        <v>113788.373333</v>
      </c>
      <c r="F350" s="6">
        <v>0</v>
      </c>
      <c r="G350" s="6">
        <v>113788.373333</v>
      </c>
      <c r="H350" s="6">
        <v>3.53</v>
      </c>
      <c r="I350" s="6">
        <v>32234.666667000001</v>
      </c>
      <c r="J350" s="6">
        <v>0</v>
      </c>
      <c r="K350" s="6">
        <v>32234.666667000001</v>
      </c>
      <c r="L350" s="6">
        <v>24948</v>
      </c>
      <c r="M350" s="7">
        <v>4.3999199999999998</v>
      </c>
      <c r="N350" s="7">
        <v>2.2834319999999999</v>
      </c>
      <c r="O350" s="7">
        <v>5.9007999999999998E-2</v>
      </c>
      <c r="P350" s="7">
        <v>2.0308790000000001</v>
      </c>
      <c r="Q350" s="7">
        <v>8.7732390000000002</v>
      </c>
      <c r="R350" s="7">
        <v>1.573167</v>
      </c>
      <c r="S350" s="7">
        <v>1.583386</v>
      </c>
      <c r="T350" s="7">
        <v>1.744014</v>
      </c>
      <c r="U350" s="7">
        <v>1.227859</v>
      </c>
      <c r="V350" s="7">
        <v>6.1284260000000002</v>
      </c>
      <c r="W350" s="7">
        <v>14.901664999999999</v>
      </c>
      <c r="X350" s="7">
        <v>1.102933421516755</v>
      </c>
      <c r="Y350" s="7">
        <v>2.6281710222065349</v>
      </c>
      <c r="Z350" s="7">
        <v>18.632769443723291</v>
      </c>
      <c r="AA350" s="7">
        <v>3.2746304961051762</v>
      </c>
      <c r="AB350" s="7">
        <v>21.907399939828458</v>
      </c>
      <c r="AC350" s="7">
        <v>0</v>
      </c>
      <c r="AD350" s="7">
        <v>12.95576</v>
      </c>
      <c r="AE350" s="7">
        <v>0</v>
      </c>
      <c r="AF350" s="7">
        <v>0</v>
      </c>
      <c r="AG350" s="7">
        <v>34.863159939828464</v>
      </c>
      <c r="AH350" s="7">
        <v>0.397318</v>
      </c>
      <c r="AI350" s="7">
        <v>0</v>
      </c>
      <c r="AJ350" s="7">
        <v>10.942761000000001</v>
      </c>
      <c r="AK350" s="7">
        <v>33.247478939828468</v>
      </c>
      <c r="AL350" s="7">
        <v>21.604938000000001</v>
      </c>
      <c r="AM350" s="7">
        <v>0</v>
      </c>
      <c r="AN350" s="7">
        <v>0</v>
      </c>
      <c r="AO350" s="7">
        <v>0</v>
      </c>
      <c r="AP350" s="7">
        <v>0</v>
      </c>
      <c r="AQ350" s="7">
        <v>54.852416939828473</v>
      </c>
      <c r="AR350" s="7">
        <v>53.754971885171422</v>
      </c>
      <c r="AS350" s="7">
        <v>35.122202441448131</v>
      </c>
      <c r="AT350" s="7">
        <v>31.847571945342949</v>
      </c>
    </row>
    <row r="351" spans="1:46" x14ac:dyDescent="0.35">
      <c r="A351" s="5">
        <v>46022</v>
      </c>
      <c r="B351" s="4" t="s">
        <v>770</v>
      </c>
      <c r="C351" s="4" t="s">
        <v>771</v>
      </c>
      <c r="D351" s="4" t="s">
        <v>61</v>
      </c>
      <c r="E351" s="6">
        <v>0</v>
      </c>
      <c r="F351" s="6">
        <v>0</v>
      </c>
      <c r="G351" s="6">
        <v>0</v>
      </c>
      <c r="H351" s="6">
        <v>0</v>
      </c>
      <c r="I351" s="6">
        <v>0</v>
      </c>
      <c r="J351" s="6">
        <v>269.24</v>
      </c>
      <c r="K351" s="6">
        <v>269.24</v>
      </c>
      <c r="L351" s="6">
        <v>269.24</v>
      </c>
      <c r="M351" s="7">
        <v>2.5858829999999999</v>
      </c>
      <c r="N351" s="7">
        <v>0</v>
      </c>
      <c r="O351" s="7">
        <v>3.5762900000000002</v>
      </c>
      <c r="P351" s="7">
        <v>3.3957820000000001</v>
      </c>
      <c r="Q351" s="7">
        <v>9.5579549999999998</v>
      </c>
      <c r="R351" s="7">
        <v>1.820254</v>
      </c>
      <c r="S351" s="7">
        <v>0.82642700000000002</v>
      </c>
      <c r="T351" s="7">
        <v>2.0656050000000001</v>
      </c>
      <c r="U351" s="7">
        <v>4.0309860000000004</v>
      </c>
      <c r="V351" s="7">
        <v>8.743272000000001</v>
      </c>
      <c r="W351" s="7">
        <v>18.301227000000001</v>
      </c>
      <c r="X351" s="7">
        <v>1.760024300809687</v>
      </c>
      <c r="Y351" s="7">
        <v>2.9851587712217058</v>
      </c>
      <c r="Z351" s="7">
        <v>23.046410072031389</v>
      </c>
      <c r="AA351" s="7">
        <v>6.3980402674386934</v>
      </c>
      <c r="AB351" s="7">
        <v>29.444450339470091</v>
      </c>
      <c r="AC351" s="7">
        <v>0</v>
      </c>
      <c r="AD351" s="7">
        <v>0.238814</v>
      </c>
      <c r="AE351" s="7">
        <v>0</v>
      </c>
      <c r="AF351" s="7">
        <v>0</v>
      </c>
      <c r="AG351" s="7">
        <v>29.683264339470089</v>
      </c>
      <c r="AH351" s="7">
        <v>1.0254970000000001</v>
      </c>
      <c r="AI351" s="7">
        <v>0</v>
      </c>
      <c r="AJ351" s="7">
        <v>1.6717</v>
      </c>
      <c r="AK351" s="7">
        <v>32.14164733947009</v>
      </c>
      <c r="AL351" s="7">
        <v>0</v>
      </c>
      <c r="AM351" s="7">
        <v>0</v>
      </c>
      <c r="AN351" s="7">
        <v>0</v>
      </c>
      <c r="AO351" s="7">
        <v>0</v>
      </c>
      <c r="AP351" s="7">
        <v>0</v>
      </c>
      <c r="AQ351" s="7">
        <v>32.14164733947009</v>
      </c>
      <c r="AR351" s="7">
        <v>58.995372028772728</v>
      </c>
      <c r="AS351" s="7">
        <v>35.948961956741343</v>
      </c>
      <c r="AT351" s="7">
        <v>29.550921689302651</v>
      </c>
    </row>
    <row r="352" spans="1:46" x14ac:dyDescent="0.35">
      <c r="A352" s="5">
        <v>46022</v>
      </c>
      <c r="B352" s="4" t="s">
        <v>772</v>
      </c>
      <c r="C352" s="4" t="s">
        <v>773</v>
      </c>
      <c r="D352" s="4" t="s">
        <v>61</v>
      </c>
      <c r="E352" s="6">
        <v>0</v>
      </c>
      <c r="F352" s="6">
        <v>0</v>
      </c>
      <c r="G352" s="6">
        <v>0</v>
      </c>
      <c r="H352" s="6">
        <v>0</v>
      </c>
      <c r="I352" s="6">
        <v>0</v>
      </c>
      <c r="J352" s="6">
        <v>529.4</v>
      </c>
      <c r="K352" s="6">
        <v>529.4</v>
      </c>
      <c r="L352" s="6">
        <v>529.4</v>
      </c>
      <c r="M352" s="7">
        <v>3.729549</v>
      </c>
      <c r="N352" s="7">
        <v>3.465786</v>
      </c>
      <c r="O352" s="7">
        <v>1.6205320000000001</v>
      </c>
      <c r="P352" s="7">
        <v>2.6128680000000002</v>
      </c>
      <c r="Q352" s="7">
        <v>11.428735</v>
      </c>
      <c r="R352" s="7">
        <v>0.73368999999999995</v>
      </c>
      <c r="S352" s="7">
        <v>1.398361</v>
      </c>
      <c r="T352" s="7">
        <v>2.6879179999999998</v>
      </c>
      <c r="U352" s="7">
        <v>3.0846390000000001</v>
      </c>
      <c r="V352" s="7">
        <v>7.9046079999999996</v>
      </c>
      <c r="W352" s="7">
        <v>19.333342999999999</v>
      </c>
      <c r="X352" s="7">
        <v>1.191038567623725</v>
      </c>
      <c r="Y352" s="7">
        <v>2.0218190908701579</v>
      </c>
      <c r="Z352" s="7">
        <v>22.546200658493881</v>
      </c>
      <c r="AA352" s="7">
        <v>3.9962824069941321</v>
      </c>
      <c r="AB352" s="7">
        <v>26.542483065488021</v>
      </c>
      <c r="AC352" s="7">
        <v>0</v>
      </c>
      <c r="AD352" s="7">
        <v>0.62885999999999997</v>
      </c>
      <c r="AE352" s="7">
        <v>0</v>
      </c>
      <c r="AF352" s="7">
        <v>0</v>
      </c>
      <c r="AG352" s="7">
        <v>27.171343065488021</v>
      </c>
      <c r="AH352" s="7">
        <v>0.95740599999999998</v>
      </c>
      <c r="AI352" s="7">
        <v>0</v>
      </c>
      <c r="AJ352" s="7">
        <v>0.62885999999999997</v>
      </c>
      <c r="AK352" s="7">
        <v>28.128749065488019</v>
      </c>
      <c r="AL352" s="7">
        <v>0</v>
      </c>
      <c r="AM352" s="7">
        <v>0</v>
      </c>
      <c r="AN352" s="7">
        <v>0</v>
      </c>
      <c r="AO352" s="7">
        <v>0</v>
      </c>
      <c r="AP352" s="7">
        <v>0</v>
      </c>
      <c r="AQ352" s="7">
        <v>28.128749065488019</v>
      </c>
      <c r="AR352" s="7">
        <v>34.805052389623157</v>
      </c>
      <c r="AS352" s="7">
        <v>12.25885173112928</v>
      </c>
      <c r="AT352" s="7">
        <v>8.2625693241351463</v>
      </c>
    </row>
    <row r="353" spans="1:46" x14ac:dyDescent="0.35">
      <c r="A353" s="5">
        <v>46022</v>
      </c>
      <c r="B353" s="4" t="s">
        <v>774</v>
      </c>
      <c r="C353" s="4" t="s">
        <v>775</v>
      </c>
      <c r="D353" s="4" t="s">
        <v>58</v>
      </c>
      <c r="E353" s="6">
        <v>58588</v>
      </c>
      <c r="F353" s="6">
        <v>0</v>
      </c>
      <c r="G353" s="6">
        <v>58588</v>
      </c>
      <c r="H353" s="6">
        <v>5.7832319999999999</v>
      </c>
      <c r="I353" s="6">
        <v>10130.666667</v>
      </c>
      <c r="J353" s="6">
        <v>0</v>
      </c>
      <c r="K353" s="6">
        <v>10130.666667</v>
      </c>
      <c r="L353" s="6">
        <v>7100</v>
      </c>
      <c r="M353" s="7">
        <v>7.2899520000000013</v>
      </c>
      <c r="N353" s="7">
        <v>2.9544929999999998</v>
      </c>
      <c r="O353" s="7">
        <v>0.25226500000000002</v>
      </c>
      <c r="P353" s="7">
        <v>1.9248590000000001</v>
      </c>
      <c r="Q353" s="7">
        <v>12.421569</v>
      </c>
      <c r="R353" s="7">
        <v>4.9834800000000001</v>
      </c>
      <c r="S353" s="7">
        <v>2.0229210000000002</v>
      </c>
      <c r="T353" s="7">
        <v>8.3925169999999998</v>
      </c>
      <c r="U353" s="7">
        <v>1.9453419999999999</v>
      </c>
      <c r="V353" s="7">
        <v>17.344259999999998</v>
      </c>
      <c r="W353" s="7">
        <v>29.765829</v>
      </c>
      <c r="X353" s="7">
        <v>1.044895906163225</v>
      </c>
      <c r="Y353" s="7">
        <v>6.8560322004562169</v>
      </c>
      <c r="Z353" s="7">
        <v>37.666757106619443</v>
      </c>
      <c r="AA353" s="7">
        <v>0.47150613504435718</v>
      </c>
      <c r="AB353" s="7">
        <v>38.1382632416638</v>
      </c>
      <c r="AC353" s="7">
        <v>0</v>
      </c>
      <c r="AD353" s="7">
        <v>26.916184999999999</v>
      </c>
      <c r="AE353" s="7">
        <v>0</v>
      </c>
      <c r="AF353" s="7">
        <v>0</v>
      </c>
      <c r="AG353" s="7">
        <v>65.054448241663806</v>
      </c>
      <c r="AH353" s="7">
        <v>1.0458069999999999</v>
      </c>
      <c r="AI353" s="7">
        <v>0</v>
      </c>
      <c r="AJ353" s="7">
        <v>26.354344000000001</v>
      </c>
      <c r="AK353" s="7">
        <v>65.538414241663801</v>
      </c>
      <c r="AL353" s="7">
        <v>0</v>
      </c>
      <c r="AM353" s="7">
        <v>0</v>
      </c>
      <c r="AN353" s="7">
        <v>0</v>
      </c>
      <c r="AO353" s="7">
        <v>0</v>
      </c>
      <c r="AP353" s="7">
        <v>0</v>
      </c>
      <c r="AQ353" s="7">
        <v>65.538414241663801</v>
      </c>
      <c r="AR353" s="7">
        <v>69.455346873779988</v>
      </c>
      <c r="AS353" s="7">
        <v>31.788589767160548</v>
      </c>
      <c r="AT353" s="7">
        <v>31.317083632116191</v>
      </c>
    </row>
    <row r="354" spans="1:46" x14ac:dyDescent="0.35">
      <c r="A354" s="5">
        <v>46022</v>
      </c>
      <c r="B354" s="4" t="s">
        <v>776</v>
      </c>
      <c r="C354" s="4" t="s">
        <v>777</v>
      </c>
      <c r="D354" s="4" t="s">
        <v>105</v>
      </c>
      <c r="E354" s="6">
        <v>0</v>
      </c>
      <c r="F354" s="6">
        <v>0</v>
      </c>
      <c r="G354" s="6">
        <v>0</v>
      </c>
      <c r="H354" s="6">
        <v>0</v>
      </c>
      <c r="I354" s="6">
        <v>0</v>
      </c>
      <c r="J354" s="6">
        <v>9959.2000000000007</v>
      </c>
      <c r="K354" s="6">
        <v>9959.2000000000007</v>
      </c>
      <c r="L354" s="6">
        <v>9959</v>
      </c>
      <c r="M354" s="7">
        <v>52.93841299999999</v>
      </c>
      <c r="N354" s="7">
        <v>2.421754</v>
      </c>
      <c r="O354" s="7">
        <v>1.910566</v>
      </c>
      <c r="P354" s="7">
        <v>7.2502440000000004</v>
      </c>
      <c r="Q354" s="7">
        <v>64.520976999999988</v>
      </c>
      <c r="R354" s="7">
        <v>8.4615389999999984</v>
      </c>
      <c r="S354" s="7">
        <v>1.857658</v>
      </c>
      <c r="T354" s="7">
        <v>13.266638</v>
      </c>
      <c r="U354" s="7">
        <v>1.048125</v>
      </c>
      <c r="V354" s="7">
        <v>24.633959999999998</v>
      </c>
      <c r="W354" s="7">
        <v>89.15493699999999</v>
      </c>
      <c r="X354" s="7">
        <v>0</v>
      </c>
      <c r="Y354" s="7">
        <v>10.902754605175581</v>
      </c>
      <c r="Z354" s="7">
        <v>100.05769160517561</v>
      </c>
      <c r="AA354" s="7">
        <v>0.626018584795483</v>
      </c>
      <c r="AB354" s="7">
        <v>100.68371018997109</v>
      </c>
      <c r="AC354" s="7">
        <v>0</v>
      </c>
      <c r="AD354" s="7">
        <v>14.065863999999999</v>
      </c>
      <c r="AE354" s="7">
        <v>0</v>
      </c>
      <c r="AF354" s="7">
        <v>0</v>
      </c>
      <c r="AG354" s="7">
        <v>114.7495741899711</v>
      </c>
      <c r="AH354" s="7">
        <v>2.7475459999999998</v>
      </c>
      <c r="AI354" s="7">
        <v>0.205485</v>
      </c>
      <c r="AJ354" s="7">
        <v>12.829824</v>
      </c>
      <c r="AK354" s="7">
        <v>116.46656518997111</v>
      </c>
      <c r="AL354" s="7">
        <v>2.026373</v>
      </c>
      <c r="AM354" s="7">
        <v>0</v>
      </c>
      <c r="AN354" s="7">
        <v>0</v>
      </c>
      <c r="AO354" s="7">
        <v>0</v>
      </c>
      <c r="AP354" s="7">
        <v>0</v>
      </c>
      <c r="AQ354" s="7">
        <v>118.4929381899711</v>
      </c>
      <c r="AR354" s="7">
        <v>123.3308888711269</v>
      </c>
      <c r="AS354" s="7">
        <v>23.273197265951339</v>
      </c>
      <c r="AT354" s="7">
        <v>22.64717868115585</v>
      </c>
    </row>
    <row r="355" spans="1:46" x14ac:dyDescent="0.35">
      <c r="A355" s="5">
        <v>46022</v>
      </c>
      <c r="B355" s="4" t="s">
        <v>778</v>
      </c>
      <c r="C355" s="4" t="s">
        <v>779</v>
      </c>
      <c r="D355" s="4" t="s">
        <v>79</v>
      </c>
      <c r="E355" s="6">
        <v>0</v>
      </c>
      <c r="F355" s="6">
        <v>0</v>
      </c>
      <c r="G355" s="6">
        <v>0</v>
      </c>
      <c r="H355" s="6">
        <v>0</v>
      </c>
      <c r="I355" s="6">
        <v>0</v>
      </c>
      <c r="J355" s="6">
        <v>0</v>
      </c>
      <c r="K355" s="6">
        <v>0</v>
      </c>
      <c r="L355" s="6">
        <v>1095.9605650000001</v>
      </c>
      <c r="M355" s="7">
        <v>0</v>
      </c>
      <c r="N355" s="7">
        <v>0</v>
      </c>
      <c r="O355" s="7">
        <v>0</v>
      </c>
      <c r="P355" s="7">
        <v>0</v>
      </c>
      <c r="Q355" s="7">
        <v>0</v>
      </c>
      <c r="R355" s="7">
        <v>11.504104</v>
      </c>
      <c r="S355" s="7">
        <v>1.4104410000000001</v>
      </c>
      <c r="T355" s="7">
        <v>2.9604810000000001</v>
      </c>
      <c r="U355" s="7">
        <v>6.5034749999999999</v>
      </c>
      <c r="V355" s="7">
        <v>22.378501</v>
      </c>
      <c r="W355" s="7">
        <v>22.378501</v>
      </c>
      <c r="X355" s="7">
        <v>0.26679792078102738</v>
      </c>
      <c r="Y355" s="7">
        <v>0</v>
      </c>
      <c r="Z355" s="7">
        <v>22.64529892078103</v>
      </c>
      <c r="AA355" s="7">
        <v>0.77199477557044816</v>
      </c>
      <c r="AB355" s="7">
        <v>23.417293696351479</v>
      </c>
      <c r="AC355" s="7">
        <v>0</v>
      </c>
      <c r="AD355" s="7">
        <v>2.4405709999999998</v>
      </c>
      <c r="AE355" s="7">
        <v>0</v>
      </c>
      <c r="AF355" s="7">
        <v>0</v>
      </c>
      <c r="AG355" s="7">
        <v>25.857864696351481</v>
      </c>
      <c r="AH355" s="7">
        <v>1.9194789999999999</v>
      </c>
      <c r="AI355" s="7">
        <v>0</v>
      </c>
      <c r="AJ355" s="7">
        <v>2.4405709999999998</v>
      </c>
      <c r="AK355" s="7">
        <v>27.77734369635148</v>
      </c>
      <c r="AL355" s="7">
        <v>0</v>
      </c>
      <c r="AM355" s="7">
        <v>0</v>
      </c>
      <c r="AN355" s="7">
        <v>0</v>
      </c>
      <c r="AO355" s="7">
        <v>0</v>
      </c>
      <c r="AP355" s="7">
        <v>0</v>
      </c>
      <c r="AQ355" s="7">
        <v>27.77734369635148</v>
      </c>
      <c r="AR355" s="7">
        <v>30.879908503923129</v>
      </c>
      <c r="AS355" s="7">
        <v>8.234609583142106</v>
      </c>
      <c r="AT355" s="7">
        <v>7.4626148075716578</v>
      </c>
    </row>
    <row r="356" spans="1:46" x14ac:dyDescent="0.35">
      <c r="A356" s="5">
        <v>46022</v>
      </c>
      <c r="B356" s="4" t="s">
        <v>780</v>
      </c>
      <c r="C356" s="4" t="s">
        <v>781</v>
      </c>
      <c r="D356" s="4" t="s">
        <v>782</v>
      </c>
      <c r="E356" s="6">
        <v>32996.820983999998</v>
      </c>
      <c r="F356" s="6">
        <v>0</v>
      </c>
      <c r="G356" s="6">
        <v>32996.820983999998</v>
      </c>
      <c r="H356" s="6">
        <v>0.81</v>
      </c>
      <c r="I356" s="6">
        <v>40736.816030000002</v>
      </c>
      <c r="J356" s="6">
        <v>0</v>
      </c>
      <c r="K356" s="6">
        <v>40736.816030000002</v>
      </c>
      <c r="L356" s="6">
        <v>40736.816030000002</v>
      </c>
      <c r="M356" s="7">
        <v>0.60361399999999998</v>
      </c>
      <c r="N356" s="7">
        <v>0.43562899999999999</v>
      </c>
      <c r="O356" s="7">
        <v>0.13530900000000001</v>
      </c>
      <c r="P356" s="7">
        <v>2.4030990000000001</v>
      </c>
      <c r="Q356" s="7">
        <v>3.5776509999999999</v>
      </c>
      <c r="R356" s="7">
        <v>0.54725800000000002</v>
      </c>
      <c r="S356" s="7">
        <v>1.66561</v>
      </c>
      <c r="T356" s="7">
        <v>2.044222</v>
      </c>
      <c r="U356" s="7">
        <v>1.458683</v>
      </c>
      <c r="V356" s="7">
        <v>5.7157730000000004</v>
      </c>
      <c r="W356" s="7">
        <v>9.2934239999999999</v>
      </c>
      <c r="X356" s="7">
        <v>3.8505087542552352</v>
      </c>
      <c r="Y356" s="7">
        <v>2.412569777368093</v>
      </c>
      <c r="Z356" s="7">
        <v>15.55650253162333</v>
      </c>
      <c r="AA356" s="7">
        <v>3.0672969206983329</v>
      </c>
      <c r="AB356" s="7">
        <v>18.623799452321659</v>
      </c>
      <c r="AC356" s="7">
        <v>0</v>
      </c>
      <c r="AD356" s="7">
        <v>4.000915</v>
      </c>
      <c r="AE356" s="7">
        <v>0</v>
      </c>
      <c r="AF356" s="7">
        <v>0</v>
      </c>
      <c r="AG356" s="7">
        <v>22.624714452321658</v>
      </c>
      <c r="AH356" s="7">
        <v>0.33615200000000001</v>
      </c>
      <c r="AI356" s="7">
        <v>0</v>
      </c>
      <c r="AJ356" s="7">
        <v>1.3940140000000001</v>
      </c>
      <c r="AK356" s="7">
        <v>20.35396545232166</v>
      </c>
      <c r="AL356" s="7">
        <v>4.7749079999999999</v>
      </c>
      <c r="AM356" s="7">
        <v>0</v>
      </c>
      <c r="AN356" s="7">
        <v>0</v>
      </c>
      <c r="AO356" s="7">
        <v>0</v>
      </c>
      <c r="AP356" s="7">
        <v>0</v>
      </c>
      <c r="AQ356" s="7">
        <v>25.12887345232166</v>
      </c>
      <c r="AR356" s="7">
        <v>51.23990425993366</v>
      </c>
      <c r="AS356" s="7">
        <v>35.683401728310329</v>
      </c>
      <c r="AT356" s="7">
        <v>32.616104807611997</v>
      </c>
    </row>
    <row r="357" spans="1:46" x14ac:dyDescent="0.35">
      <c r="A357" s="5">
        <v>46022</v>
      </c>
      <c r="B357" s="4" t="s">
        <v>783</v>
      </c>
      <c r="C357" s="4" t="s">
        <v>784</v>
      </c>
      <c r="D357" s="4" t="s">
        <v>79</v>
      </c>
      <c r="E357" s="6">
        <v>86201.431041000003</v>
      </c>
      <c r="F357" s="6">
        <v>0</v>
      </c>
      <c r="G357" s="6">
        <v>86201.431041000003</v>
      </c>
      <c r="H357" s="6">
        <v>1.79416</v>
      </c>
      <c r="I357" s="6">
        <v>48045.562858999998</v>
      </c>
      <c r="J357" s="6">
        <v>0</v>
      </c>
      <c r="K357" s="6">
        <v>48045.562858999998</v>
      </c>
      <c r="L357" s="6">
        <v>48045.562858999998</v>
      </c>
      <c r="M357" s="7">
        <v>2.144377</v>
      </c>
      <c r="N357" s="7">
        <v>1.079715</v>
      </c>
      <c r="O357" s="7">
        <v>4.2488999999999999E-2</v>
      </c>
      <c r="P357" s="7">
        <v>3.3016380000000001</v>
      </c>
      <c r="Q357" s="7">
        <v>6.568219</v>
      </c>
      <c r="R357" s="7">
        <v>2.5498440000000002</v>
      </c>
      <c r="S357" s="7">
        <v>2.7391079999999999</v>
      </c>
      <c r="T357" s="7">
        <v>3.8617270000000001</v>
      </c>
      <c r="U357" s="7">
        <v>5.3852659999999997</v>
      </c>
      <c r="V357" s="7">
        <v>14.535945</v>
      </c>
      <c r="W357" s="7">
        <v>21.104164000000001</v>
      </c>
      <c r="X357" s="7">
        <v>0.27213019135091321</v>
      </c>
      <c r="Y357" s="7">
        <v>0.43392208498709861</v>
      </c>
      <c r="Z357" s="7">
        <v>21.810216276338011</v>
      </c>
      <c r="AA357" s="7">
        <v>0.57962578694081979</v>
      </c>
      <c r="AB357" s="7">
        <v>22.389842063278831</v>
      </c>
      <c r="AC357" s="7">
        <v>0</v>
      </c>
      <c r="AD357" s="7">
        <v>3.2126929999999998</v>
      </c>
      <c r="AE357" s="7">
        <v>0</v>
      </c>
      <c r="AF357" s="7">
        <v>0</v>
      </c>
      <c r="AG357" s="7">
        <v>25.602535063278829</v>
      </c>
      <c r="AH357" s="7">
        <v>0.80371400000000004</v>
      </c>
      <c r="AI357" s="7">
        <v>0</v>
      </c>
      <c r="AJ357" s="7">
        <v>1.675389</v>
      </c>
      <c r="AK357" s="7">
        <v>24.868945063278829</v>
      </c>
      <c r="AL357" s="7">
        <v>0</v>
      </c>
      <c r="AM357" s="7">
        <v>0</v>
      </c>
      <c r="AN357" s="7">
        <v>0</v>
      </c>
      <c r="AO357" s="7">
        <v>0</v>
      </c>
      <c r="AP357" s="7">
        <v>0</v>
      </c>
      <c r="AQ357" s="7">
        <v>24.868945063278829</v>
      </c>
      <c r="AR357" s="7">
        <v>23.185511136513298</v>
      </c>
      <c r="AS357" s="7">
        <v>1.3752948601752859</v>
      </c>
      <c r="AT357" s="7">
        <v>0.79566907323446567</v>
      </c>
    </row>
    <row r="358" spans="1:46" x14ac:dyDescent="0.35">
      <c r="A358" s="5">
        <v>46022</v>
      </c>
      <c r="B358" s="4" t="s">
        <v>785</v>
      </c>
      <c r="C358" s="4" t="s">
        <v>786</v>
      </c>
      <c r="D358" s="4" t="s">
        <v>222</v>
      </c>
      <c r="E358" s="6">
        <v>0</v>
      </c>
      <c r="F358" s="6">
        <v>0</v>
      </c>
      <c r="G358" s="6">
        <v>0</v>
      </c>
      <c r="H358" s="6">
        <v>0</v>
      </c>
      <c r="I358" s="6">
        <v>0</v>
      </c>
      <c r="J358" s="6">
        <v>600</v>
      </c>
      <c r="K358" s="6">
        <v>600</v>
      </c>
      <c r="L358" s="6">
        <v>600</v>
      </c>
      <c r="M358" s="7">
        <v>52.845072000000009</v>
      </c>
      <c r="N358" s="7">
        <v>2.48665</v>
      </c>
      <c r="O358" s="7">
        <v>0.73128199999999999</v>
      </c>
      <c r="P358" s="7">
        <v>18.078541999999999</v>
      </c>
      <c r="Q358" s="7">
        <v>74.141546000000005</v>
      </c>
      <c r="R358" s="7">
        <v>7.8125099999999996</v>
      </c>
      <c r="S358" s="7">
        <v>1.6121920000000001</v>
      </c>
      <c r="T358" s="7">
        <v>1.514211</v>
      </c>
      <c r="U358" s="7">
        <v>6.6638500000000009</v>
      </c>
      <c r="V358" s="7">
        <v>17.602762999999999</v>
      </c>
      <c r="W358" s="7">
        <v>91.744309000000015</v>
      </c>
      <c r="X358" s="7">
        <v>8.0126974686720001</v>
      </c>
      <c r="Y358" s="7">
        <v>18.463311700258831</v>
      </c>
      <c r="Z358" s="7">
        <v>118.2203181689308</v>
      </c>
      <c r="AA358" s="7">
        <v>1.2891259869735801</v>
      </c>
      <c r="AB358" s="7">
        <v>119.5094441559044</v>
      </c>
      <c r="AC358" s="7">
        <v>0</v>
      </c>
      <c r="AD358" s="7">
        <v>50.485920999999998</v>
      </c>
      <c r="AE358" s="7">
        <v>0</v>
      </c>
      <c r="AF358" s="7">
        <v>0</v>
      </c>
      <c r="AG358" s="7">
        <v>169.99536515590441</v>
      </c>
      <c r="AH358" s="7">
        <v>5.4680679999999997</v>
      </c>
      <c r="AI358" s="7">
        <v>0</v>
      </c>
      <c r="AJ358" s="7">
        <v>26.893176</v>
      </c>
      <c r="AK358" s="7">
        <v>151.87068815590439</v>
      </c>
      <c r="AL358" s="7">
        <v>0</v>
      </c>
      <c r="AM358" s="7">
        <v>0</v>
      </c>
      <c r="AN358" s="7">
        <v>0</v>
      </c>
      <c r="AO358" s="7">
        <v>0</v>
      </c>
      <c r="AP358" s="7">
        <v>0</v>
      </c>
      <c r="AQ358" s="7">
        <v>151.87068815590439</v>
      </c>
      <c r="AR358" s="7">
        <v>202.52910142885739</v>
      </c>
      <c r="AS358" s="7">
        <v>84.308783259926557</v>
      </c>
      <c r="AT358" s="7">
        <v>83.019657272952969</v>
      </c>
    </row>
    <row r="359" spans="1:46" x14ac:dyDescent="0.35">
      <c r="A359" s="5">
        <v>46022</v>
      </c>
      <c r="B359" s="4" t="s">
        <v>787</v>
      </c>
      <c r="C359" s="4" t="s">
        <v>788</v>
      </c>
      <c r="D359" s="4" t="s">
        <v>61</v>
      </c>
      <c r="E359" s="6">
        <v>0</v>
      </c>
      <c r="F359" s="6">
        <v>0</v>
      </c>
      <c r="G359" s="6">
        <v>0</v>
      </c>
      <c r="H359" s="6">
        <v>0</v>
      </c>
      <c r="I359" s="6">
        <v>0</v>
      </c>
      <c r="J359" s="6">
        <v>300</v>
      </c>
      <c r="K359" s="6">
        <v>300</v>
      </c>
      <c r="L359" s="6">
        <v>300</v>
      </c>
      <c r="M359" s="7">
        <v>3.5523880000000001</v>
      </c>
      <c r="N359" s="7">
        <v>0</v>
      </c>
      <c r="O359" s="7">
        <v>1.444377</v>
      </c>
      <c r="P359" s="7">
        <v>4.5431650000000001</v>
      </c>
      <c r="Q359" s="7">
        <v>9.53993</v>
      </c>
      <c r="R359" s="7">
        <v>0.50279099999999999</v>
      </c>
      <c r="S359" s="7">
        <v>2.197092</v>
      </c>
      <c r="T359" s="7">
        <v>2.1960470000000001</v>
      </c>
      <c r="U359" s="7">
        <v>3.7449349999999999</v>
      </c>
      <c r="V359" s="7">
        <v>8.6408649999999998</v>
      </c>
      <c r="W359" s="7">
        <v>18.180795</v>
      </c>
      <c r="X359" s="7">
        <v>0.91292302439999995</v>
      </c>
      <c r="Y359" s="7">
        <v>1.6787068342337339</v>
      </c>
      <c r="Z359" s="7">
        <v>20.77242485863373</v>
      </c>
      <c r="AA359" s="7">
        <v>3.6906302527860948</v>
      </c>
      <c r="AB359" s="7">
        <v>24.46305511141983</v>
      </c>
      <c r="AC359" s="7">
        <v>0</v>
      </c>
      <c r="AD359" s="7">
        <v>0.64198900000000003</v>
      </c>
      <c r="AE359" s="7">
        <v>0</v>
      </c>
      <c r="AF359" s="7">
        <v>0</v>
      </c>
      <c r="AG359" s="7">
        <v>25.105044111419829</v>
      </c>
      <c r="AH359" s="7">
        <v>0.74313399999999996</v>
      </c>
      <c r="AI359" s="7">
        <v>0</v>
      </c>
      <c r="AJ359" s="7">
        <v>1.257287</v>
      </c>
      <c r="AK359" s="7">
        <v>26.46347611141983</v>
      </c>
      <c r="AL359" s="7">
        <v>0</v>
      </c>
      <c r="AM359" s="7">
        <v>0</v>
      </c>
      <c r="AN359" s="7">
        <v>0</v>
      </c>
      <c r="AO359" s="7">
        <v>0</v>
      </c>
      <c r="AP359" s="7">
        <v>0</v>
      </c>
      <c r="AQ359" s="7">
        <v>26.46347611141983</v>
      </c>
      <c r="AR359" s="7">
        <v>30.895537988361209</v>
      </c>
      <c r="AS359" s="7">
        <v>10.12311312972748</v>
      </c>
      <c r="AT359" s="7">
        <v>6.4324828769413847</v>
      </c>
    </row>
    <row r="360" spans="1:46" x14ac:dyDescent="0.35">
      <c r="A360" s="5">
        <v>46022</v>
      </c>
      <c r="B360" s="4" t="s">
        <v>789</v>
      </c>
      <c r="C360" s="4" t="s">
        <v>790</v>
      </c>
      <c r="D360" s="4" t="s">
        <v>61</v>
      </c>
      <c r="E360" s="6">
        <v>0</v>
      </c>
      <c r="F360" s="6">
        <v>0</v>
      </c>
      <c r="G360" s="6">
        <v>0</v>
      </c>
      <c r="H360" s="6">
        <v>0</v>
      </c>
      <c r="I360" s="6">
        <v>0</v>
      </c>
      <c r="J360" s="6">
        <v>220</v>
      </c>
      <c r="K360" s="6">
        <v>220</v>
      </c>
      <c r="L360" s="6">
        <v>220</v>
      </c>
      <c r="M360" s="7">
        <v>7.7263469999999996</v>
      </c>
      <c r="N360" s="7">
        <v>0.157087</v>
      </c>
      <c r="O360" s="7">
        <v>2.7810649999999999</v>
      </c>
      <c r="P360" s="7">
        <v>2.54053</v>
      </c>
      <c r="Q360" s="7">
        <v>13.205029</v>
      </c>
      <c r="R360" s="7">
        <v>1.1477139999999999</v>
      </c>
      <c r="S360" s="7">
        <v>2.27576</v>
      </c>
      <c r="T360" s="7">
        <v>3.7923140000000002</v>
      </c>
      <c r="U360" s="7">
        <v>2.8804400000000001</v>
      </c>
      <c r="V360" s="7">
        <v>10.096228</v>
      </c>
      <c r="W360" s="7">
        <v>23.301257</v>
      </c>
      <c r="X360" s="7">
        <v>1.6587794545454551</v>
      </c>
      <c r="Y360" s="7">
        <v>5.2983360495951359</v>
      </c>
      <c r="Z360" s="7">
        <v>30.258372504140588</v>
      </c>
      <c r="AA360" s="7">
        <v>6.5976680741023568</v>
      </c>
      <c r="AB360" s="7">
        <v>36.856040578242947</v>
      </c>
      <c r="AC360" s="7">
        <v>0</v>
      </c>
      <c r="AD360" s="7">
        <v>0.98335300000000014</v>
      </c>
      <c r="AE360" s="7">
        <v>0</v>
      </c>
      <c r="AF360" s="7">
        <v>0</v>
      </c>
      <c r="AG360" s="7">
        <v>37.839393578242948</v>
      </c>
      <c r="AH360" s="7">
        <v>1.9667060000000001</v>
      </c>
      <c r="AI360" s="7">
        <v>0</v>
      </c>
      <c r="AJ360" s="7">
        <v>0.70239499999999999</v>
      </c>
      <c r="AK360" s="7">
        <v>39.525141578242952</v>
      </c>
      <c r="AL360" s="7">
        <v>0</v>
      </c>
      <c r="AM360" s="7">
        <v>0</v>
      </c>
      <c r="AN360" s="7">
        <v>0</v>
      </c>
      <c r="AO360" s="7">
        <v>0</v>
      </c>
      <c r="AP360" s="7">
        <v>0</v>
      </c>
      <c r="AQ360" s="7">
        <v>39.525141578242952</v>
      </c>
      <c r="AR360" s="7">
        <v>84.665800923215542</v>
      </c>
      <c r="AS360" s="7">
        <v>54.407428419074947</v>
      </c>
      <c r="AT360" s="7">
        <v>47.809760344972588</v>
      </c>
    </row>
    <row r="361" spans="1:46" x14ac:dyDescent="0.35">
      <c r="A361" s="5">
        <v>46022</v>
      </c>
      <c r="B361" s="4" t="s">
        <v>791</v>
      </c>
      <c r="C361" s="4" t="s">
        <v>792</v>
      </c>
      <c r="D361" s="4" t="s">
        <v>157</v>
      </c>
      <c r="E361" s="6">
        <v>0</v>
      </c>
      <c r="F361" s="6">
        <v>0</v>
      </c>
      <c r="G361" s="6">
        <v>0</v>
      </c>
      <c r="H361" s="6">
        <v>0</v>
      </c>
      <c r="I361" s="6">
        <v>0</v>
      </c>
      <c r="J361" s="6">
        <v>7000</v>
      </c>
      <c r="K361" s="6">
        <v>7000</v>
      </c>
      <c r="L361" s="6">
        <v>7000</v>
      </c>
      <c r="M361" s="7">
        <v>2.2869708401697308</v>
      </c>
      <c r="N361" s="7">
        <v>0.26699099999999998</v>
      </c>
      <c r="O361" s="7">
        <v>0.58933889108910886</v>
      </c>
      <c r="P361" s="7">
        <v>5.7380371654879783</v>
      </c>
      <c r="Q361" s="7">
        <v>8.8813378967468175</v>
      </c>
      <c r="R361" s="7">
        <v>0.46704973691654877</v>
      </c>
      <c r="S361" s="7">
        <v>1.340681137199434</v>
      </c>
      <c r="T361" s="7">
        <v>2.6279245714285722</v>
      </c>
      <c r="U361" s="7">
        <v>0.75977727298444131</v>
      </c>
      <c r="V361" s="7">
        <v>5.1954327185289957</v>
      </c>
      <c r="W361" s="7">
        <v>14.076770615275811</v>
      </c>
      <c r="X361" s="7">
        <v>0.104646325</v>
      </c>
      <c r="Y361" s="7">
        <v>1.7046096413231371</v>
      </c>
      <c r="Z361" s="7">
        <v>15.88602658159895</v>
      </c>
      <c r="AA361" s="7">
        <v>1.395462564539981</v>
      </c>
      <c r="AB361" s="7">
        <v>17.281489146138931</v>
      </c>
      <c r="AC361" s="7">
        <v>0</v>
      </c>
      <c r="AD361" s="7">
        <v>6.3352469929278641</v>
      </c>
      <c r="AE361" s="7">
        <v>0</v>
      </c>
      <c r="AF361" s="7">
        <v>0</v>
      </c>
      <c r="AG361" s="7">
        <v>23.616736139066798</v>
      </c>
      <c r="AH361" s="7">
        <v>0.67615819519094766</v>
      </c>
      <c r="AI361" s="7">
        <v>0</v>
      </c>
      <c r="AJ361" s="7">
        <v>1.8021061725601131</v>
      </c>
      <c r="AK361" s="7">
        <v>19.75975351388999</v>
      </c>
      <c r="AL361" s="7">
        <v>1.142857</v>
      </c>
      <c r="AM361" s="7">
        <v>0</v>
      </c>
      <c r="AN361" s="7">
        <v>0</v>
      </c>
      <c r="AO361" s="7">
        <v>0</v>
      </c>
      <c r="AP361" s="7">
        <v>0</v>
      </c>
      <c r="AQ361" s="7">
        <v>20.902610513889989</v>
      </c>
      <c r="AR361" s="7">
        <v>25.40257208986441</v>
      </c>
      <c r="AS361" s="7">
        <v>9.5165455082654624</v>
      </c>
      <c r="AT361" s="7">
        <v>8.1210829437254812</v>
      </c>
    </row>
    <row r="362" spans="1:46" x14ac:dyDescent="0.35">
      <c r="A362" s="5">
        <v>46022</v>
      </c>
      <c r="B362" s="4" t="s">
        <v>793</v>
      </c>
      <c r="C362" s="4" t="s">
        <v>794</v>
      </c>
      <c r="D362" s="4" t="s">
        <v>79</v>
      </c>
      <c r="E362" s="6">
        <v>19686</v>
      </c>
      <c r="F362" s="6">
        <v>0</v>
      </c>
      <c r="G362" s="6">
        <v>19686</v>
      </c>
      <c r="H362" s="6">
        <v>1.188768</v>
      </c>
      <c r="I362" s="6">
        <v>16560</v>
      </c>
      <c r="J362" s="6">
        <v>0</v>
      </c>
      <c r="K362" s="6">
        <v>16560</v>
      </c>
      <c r="L362" s="6">
        <v>15892</v>
      </c>
      <c r="M362" s="7">
        <v>1.771409</v>
      </c>
      <c r="N362" s="7">
        <v>0.49940699999999999</v>
      </c>
      <c r="O362" s="7">
        <v>5.7865E-2</v>
      </c>
      <c r="P362" s="7">
        <v>2.0968770000000001</v>
      </c>
      <c r="Q362" s="7">
        <v>4.4255579999999997</v>
      </c>
      <c r="R362" s="7">
        <v>1.4548289999999999</v>
      </c>
      <c r="S362" s="7">
        <v>2.323604</v>
      </c>
      <c r="T362" s="7">
        <v>1.875658</v>
      </c>
      <c r="U362" s="7">
        <v>3.6965050000000002</v>
      </c>
      <c r="V362" s="7">
        <v>9.3505959999999995</v>
      </c>
      <c r="W362" s="7">
        <v>13.776154</v>
      </c>
      <c r="X362" s="7">
        <v>0.65149884468975594</v>
      </c>
      <c r="Y362" s="7">
        <v>2.6165816000964082</v>
      </c>
      <c r="Z362" s="7">
        <v>17.044234444786159</v>
      </c>
      <c r="AA362" s="7">
        <v>0.1036109633721245</v>
      </c>
      <c r="AB362" s="7">
        <v>17.14784540815829</v>
      </c>
      <c r="AC362" s="7">
        <v>0.26239200000000001</v>
      </c>
      <c r="AD362" s="7">
        <v>2.03661</v>
      </c>
      <c r="AE362" s="7">
        <v>0</v>
      </c>
      <c r="AF362" s="7">
        <v>0</v>
      </c>
      <c r="AG362" s="7">
        <v>19.446847408158291</v>
      </c>
      <c r="AH362" s="7">
        <v>0.60357000000000005</v>
      </c>
      <c r="AI362" s="7">
        <v>0</v>
      </c>
      <c r="AJ362" s="7">
        <v>1.234739</v>
      </c>
      <c r="AK362" s="7">
        <v>19.24854640815829</v>
      </c>
      <c r="AL362" s="7">
        <v>0.19558200000000001</v>
      </c>
      <c r="AM362" s="7">
        <v>0</v>
      </c>
      <c r="AN362" s="7">
        <v>0</v>
      </c>
      <c r="AO362" s="7">
        <v>0</v>
      </c>
      <c r="AP362" s="7">
        <v>0</v>
      </c>
      <c r="AQ362" s="7">
        <v>19.444128408158289</v>
      </c>
      <c r="AR362" s="7">
        <v>22.74930504431401</v>
      </c>
      <c r="AS362" s="7">
        <v>5.7050705995278408</v>
      </c>
      <c r="AT362" s="7">
        <v>5.6014596361557167</v>
      </c>
    </row>
    <row r="363" spans="1:46" x14ac:dyDescent="0.35">
      <c r="A363" s="5">
        <v>46022</v>
      </c>
      <c r="B363" s="4" t="s">
        <v>795</v>
      </c>
      <c r="C363" s="4" t="s">
        <v>796</v>
      </c>
      <c r="D363" s="4" t="s">
        <v>89</v>
      </c>
      <c r="E363" s="6">
        <v>0</v>
      </c>
      <c r="F363" s="6">
        <v>0</v>
      </c>
      <c r="G363" s="6">
        <v>0</v>
      </c>
      <c r="H363" s="6">
        <v>0</v>
      </c>
      <c r="I363" s="6">
        <v>0</v>
      </c>
      <c r="J363" s="6">
        <v>5203.5</v>
      </c>
      <c r="K363" s="6">
        <v>5203.5</v>
      </c>
      <c r="L363" s="6">
        <v>6299.5729099999999</v>
      </c>
      <c r="M363" s="7">
        <v>32.117055000000001</v>
      </c>
      <c r="N363" s="7">
        <v>0.19975899999999999</v>
      </c>
      <c r="O363" s="7">
        <v>1.598857</v>
      </c>
      <c r="P363" s="7">
        <v>18.57751</v>
      </c>
      <c r="Q363" s="7">
        <v>52.493181</v>
      </c>
      <c r="R363" s="7">
        <v>7.7828910000000002</v>
      </c>
      <c r="S363" s="7">
        <v>2.2517070000000001</v>
      </c>
      <c r="T363" s="7">
        <v>3.6906970000000001</v>
      </c>
      <c r="U363" s="7">
        <v>7.7151370000000004</v>
      </c>
      <c r="V363" s="7">
        <v>21.440432000000001</v>
      </c>
      <c r="W363" s="7">
        <v>73.933612999999994</v>
      </c>
      <c r="X363" s="7">
        <v>0.95160729835038926</v>
      </c>
      <c r="Y363" s="7">
        <v>2.4754676653199938</v>
      </c>
      <c r="Z363" s="7">
        <v>77.360687963670387</v>
      </c>
      <c r="AA363" s="7">
        <v>5.0378570641028162</v>
      </c>
      <c r="AB363" s="7">
        <v>82.398545027773196</v>
      </c>
      <c r="AC363" s="7">
        <v>0</v>
      </c>
      <c r="AD363" s="7">
        <v>26.082238</v>
      </c>
      <c r="AE363" s="7">
        <v>0</v>
      </c>
      <c r="AF363" s="7">
        <v>0</v>
      </c>
      <c r="AG363" s="7">
        <v>108.4807830277732</v>
      </c>
      <c r="AH363" s="7">
        <v>1.1571849999999999</v>
      </c>
      <c r="AI363" s="7">
        <v>0</v>
      </c>
      <c r="AJ363" s="7">
        <v>5.5928899999999997</v>
      </c>
      <c r="AK363" s="7">
        <v>89.148620027773205</v>
      </c>
      <c r="AL363" s="7">
        <v>54.289394999999999</v>
      </c>
      <c r="AM363" s="7">
        <v>0</v>
      </c>
      <c r="AN363" s="7">
        <v>0</v>
      </c>
      <c r="AO363" s="7">
        <v>0</v>
      </c>
      <c r="AP363" s="7">
        <v>0</v>
      </c>
      <c r="AQ363" s="7">
        <v>143.43801502777319</v>
      </c>
      <c r="AR363" s="7">
        <v>100.7570417522175</v>
      </c>
      <c r="AS363" s="7">
        <v>23.396353788547099</v>
      </c>
      <c r="AT363" s="7">
        <v>18.35849672444429</v>
      </c>
    </row>
    <row r="364" spans="1:46" x14ac:dyDescent="0.35">
      <c r="A364" s="5">
        <v>46022</v>
      </c>
      <c r="B364" s="4" t="s">
        <v>797</v>
      </c>
      <c r="C364" s="4" t="s">
        <v>798</v>
      </c>
      <c r="D364" s="4" t="s">
        <v>79</v>
      </c>
      <c r="E364" s="6">
        <v>0</v>
      </c>
      <c r="F364" s="6">
        <v>0</v>
      </c>
      <c r="G364" s="6">
        <v>0</v>
      </c>
      <c r="H364" s="6">
        <v>0</v>
      </c>
      <c r="I364" s="6">
        <v>0</v>
      </c>
      <c r="J364" s="6">
        <v>827.76926000000003</v>
      </c>
      <c r="K364" s="6">
        <v>827.76926000000003</v>
      </c>
      <c r="L364" s="6">
        <v>827.76926000000003</v>
      </c>
      <c r="M364" s="7">
        <v>24.305536</v>
      </c>
      <c r="N364" s="7">
        <v>1.3403039999999999</v>
      </c>
      <c r="O364" s="7">
        <v>0.84908799999999995</v>
      </c>
      <c r="P364" s="7">
        <v>15.731973999999999</v>
      </c>
      <c r="Q364" s="7">
        <v>42.226902000000003</v>
      </c>
      <c r="R364" s="7">
        <v>6.1251850000000001</v>
      </c>
      <c r="S364" s="7">
        <v>2.2015899999999999</v>
      </c>
      <c r="T364" s="7">
        <v>1.6218520000000001</v>
      </c>
      <c r="U364" s="7">
        <v>7.9995779999999996</v>
      </c>
      <c r="V364" s="7">
        <v>17.948205000000002</v>
      </c>
      <c r="W364" s="7">
        <v>60.175106999999997</v>
      </c>
      <c r="X364" s="7">
        <v>3.5481994561530348</v>
      </c>
      <c r="Y364" s="7">
        <v>3.1816275434511061</v>
      </c>
      <c r="Z364" s="7">
        <v>66.90493399960414</v>
      </c>
      <c r="AA364" s="7">
        <v>4.3545066825959982</v>
      </c>
      <c r="AB364" s="7">
        <v>71.259440682200136</v>
      </c>
      <c r="AC364" s="7">
        <v>3.3327000000000002E-2</v>
      </c>
      <c r="AD364" s="7">
        <v>39.581189999999999</v>
      </c>
      <c r="AE364" s="7">
        <v>0</v>
      </c>
      <c r="AF364" s="7">
        <v>0</v>
      </c>
      <c r="AG364" s="7">
        <v>110.8739576822001</v>
      </c>
      <c r="AH364" s="7">
        <v>2.899359</v>
      </c>
      <c r="AI364" s="7">
        <v>0</v>
      </c>
      <c r="AJ364" s="7">
        <v>5.0991460000000002</v>
      </c>
      <c r="AK364" s="7">
        <v>79.291272682200145</v>
      </c>
      <c r="AL364" s="7">
        <v>0</v>
      </c>
      <c r="AM364" s="7">
        <v>0</v>
      </c>
      <c r="AN364" s="7">
        <v>0</v>
      </c>
      <c r="AO364" s="7">
        <v>0</v>
      </c>
      <c r="AP364" s="7">
        <v>0</v>
      </c>
      <c r="AQ364" s="7">
        <v>79.291272682200145</v>
      </c>
      <c r="AR364" s="7">
        <v>73.625512808778737</v>
      </c>
      <c r="AS364" s="7">
        <v>6.7205788091746026</v>
      </c>
      <c r="AT364" s="7">
        <v>2.366072126578604</v>
      </c>
    </row>
    <row r="365" spans="1:46" x14ac:dyDescent="0.35">
      <c r="A365" s="5">
        <v>46022</v>
      </c>
      <c r="B365" s="4" t="s">
        <v>799</v>
      </c>
      <c r="C365" s="4" t="s">
        <v>800</v>
      </c>
      <c r="D365" s="4" t="s">
        <v>58</v>
      </c>
      <c r="E365" s="6">
        <v>0</v>
      </c>
      <c r="F365" s="6">
        <v>0</v>
      </c>
      <c r="G365" s="6">
        <v>0</v>
      </c>
      <c r="H365" s="6">
        <v>0</v>
      </c>
      <c r="I365" s="6">
        <v>0</v>
      </c>
      <c r="J365" s="6">
        <v>1200</v>
      </c>
      <c r="K365" s="6">
        <v>1200</v>
      </c>
      <c r="L365" s="6">
        <v>1200</v>
      </c>
      <c r="M365" s="7">
        <v>12.208285</v>
      </c>
      <c r="N365" s="7">
        <v>8.7319429999999993</v>
      </c>
      <c r="O365" s="7">
        <v>1.830884</v>
      </c>
      <c r="P365" s="7">
        <v>4.399286</v>
      </c>
      <c r="Q365" s="7">
        <v>27.170397999999999</v>
      </c>
      <c r="R365" s="7">
        <v>5.1847399999999997</v>
      </c>
      <c r="S365" s="7">
        <v>3.7524790000000001</v>
      </c>
      <c r="T365" s="7">
        <v>3.6600570000000001</v>
      </c>
      <c r="U365" s="7">
        <v>4.4623299999999997</v>
      </c>
      <c r="V365" s="7">
        <v>17.059605999999999</v>
      </c>
      <c r="W365" s="7">
        <v>44.230004000000001</v>
      </c>
      <c r="X365" s="7">
        <v>2.0633128074080829</v>
      </c>
      <c r="Y365" s="7">
        <v>4.7280591481990202</v>
      </c>
      <c r="Z365" s="7">
        <v>51.021375955607098</v>
      </c>
      <c r="AA365" s="7">
        <v>0</v>
      </c>
      <c r="AB365" s="7">
        <v>51.021375955607098</v>
      </c>
      <c r="AC365" s="7">
        <v>0</v>
      </c>
      <c r="AD365" s="7">
        <v>20.158192</v>
      </c>
      <c r="AE365" s="7">
        <v>0</v>
      </c>
      <c r="AF365" s="7">
        <v>0</v>
      </c>
      <c r="AG365" s="7">
        <v>71.179567955607112</v>
      </c>
      <c r="AH365" s="7">
        <v>1.5</v>
      </c>
      <c r="AI365" s="7">
        <v>0</v>
      </c>
      <c r="AJ365" s="7">
        <v>10.544831</v>
      </c>
      <c r="AK365" s="7">
        <v>63.066206955607107</v>
      </c>
      <c r="AL365" s="7">
        <v>0</v>
      </c>
      <c r="AM365" s="7">
        <v>0</v>
      </c>
      <c r="AN365" s="7">
        <v>0</v>
      </c>
      <c r="AO365" s="7">
        <v>0</v>
      </c>
      <c r="AP365" s="7">
        <v>0</v>
      </c>
      <c r="AQ365" s="7">
        <v>63.066206955607107</v>
      </c>
      <c r="AR365" s="7">
        <v>92.574876161712993</v>
      </c>
      <c r="AS365" s="7">
        <v>41.553500206105888</v>
      </c>
      <c r="AT365" s="7">
        <v>41.553500206105888</v>
      </c>
    </row>
    <row r="366" spans="1:46" x14ac:dyDescent="0.35">
      <c r="A366" s="5">
        <v>46022</v>
      </c>
      <c r="B366" s="4" t="s">
        <v>801</v>
      </c>
      <c r="C366" s="4" t="s">
        <v>802</v>
      </c>
      <c r="D366" s="4" t="s">
        <v>58</v>
      </c>
      <c r="E366" s="6">
        <v>20000</v>
      </c>
      <c r="F366" s="6">
        <v>0</v>
      </c>
      <c r="G366" s="6">
        <v>20000</v>
      </c>
      <c r="H366" s="6">
        <v>0.47619</v>
      </c>
      <c r="I366" s="6">
        <v>42000</v>
      </c>
      <c r="J366" s="6">
        <v>0</v>
      </c>
      <c r="K366" s="6">
        <v>42000</v>
      </c>
      <c r="L366" s="6">
        <v>42000</v>
      </c>
      <c r="M366" s="7">
        <v>2.3691330000000002</v>
      </c>
      <c r="N366" s="7">
        <v>1.1243259999999999</v>
      </c>
      <c r="O366" s="7">
        <v>7.8962000000000004E-2</v>
      </c>
      <c r="P366" s="7">
        <v>2.7989519999999999</v>
      </c>
      <c r="Q366" s="7">
        <v>6.3713730000000002</v>
      </c>
      <c r="R366" s="7">
        <v>1.952483</v>
      </c>
      <c r="S366" s="7">
        <v>2.0715789999999998</v>
      </c>
      <c r="T366" s="7">
        <v>5.0625540000000013</v>
      </c>
      <c r="U366" s="7">
        <v>12.181929</v>
      </c>
      <c r="V366" s="7">
        <v>21.268545</v>
      </c>
      <c r="W366" s="7">
        <v>27.639918000000002</v>
      </c>
      <c r="X366" s="7">
        <v>2.1479161823631192</v>
      </c>
      <c r="Y366" s="7">
        <v>2.8672070189922518</v>
      </c>
      <c r="Z366" s="7">
        <v>32.655041201355367</v>
      </c>
      <c r="AA366" s="7">
        <v>0.43866740505196922</v>
      </c>
      <c r="AB366" s="7">
        <v>33.09370860640734</v>
      </c>
      <c r="AC366" s="7">
        <v>0</v>
      </c>
      <c r="AD366" s="7">
        <v>13.619691</v>
      </c>
      <c r="AE366" s="7">
        <v>0</v>
      </c>
      <c r="AF366" s="7">
        <v>0</v>
      </c>
      <c r="AG366" s="7">
        <v>46.713399606407343</v>
      </c>
      <c r="AH366" s="7">
        <v>1.2601560000000001</v>
      </c>
      <c r="AI366" s="7">
        <v>0</v>
      </c>
      <c r="AJ366" s="7">
        <v>6.6666670000000012</v>
      </c>
      <c r="AK366" s="7">
        <v>41.020531606407339</v>
      </c>
      <c r="AL366" s="7">
        <v>0</v>
      </c>
      <c r="AM366" s="7">
        <v>0</v>
      </c>
      <c r="AN366" s="7">
        <v>0</v>
      </c>
      <c r="AO366" s="7">
        <v>0</v>
      </c>
      <c r="AP366" s="7">
        <v>0</v>
      </c>
      <c r="AQ366" s="7">
        <v>41.020531606407339</v>
      </c>
      <c r="AR366" s="7">
        <v>48.945010147239742</v>
      </c>
      <c r="AS366" s="7">
        <v>16.289968945884372</v>
      </c>
      <c r="AT366" s="7">
        <v>15.851301540832401</v>
      </c>
    </row>
    <row r="367" spans="1:46" x14ac:dyDescent="0.35">
      <c r="A367" s="5">
        <v>46022</v>
      </c>
      <c r="B367" s="4" t="s">
        <v>803</v>
      </c>
      <c r="C367" s="4" t="s">
        <v>804</v>
      </c>
      <c r="D367" s="4" t="s">
        <v>50</v>
      </c>
      <c r="E367" s="6">
        <v>49275</v>
      </c>
      <c r="F367" s="6">
        <v>0</v>
      </c>
      <c r="G367" s="6">
        <v>49275</v>
      </c>
      <c r="H367" s="6">
        <v>0.9</v>
      </c>
      <c r="I367" s="6">
        <v>54750</v>
      </c>
      <c r="J367" s="6">
        <v>0</v>
      </c>
      <c r="K367" s="6">
        <v>54750</v>
      </c>
      <c r="L367" s="6">
        <v>39600</v>
      </c>
      <c r="M367" s="7">
        <v>2.623478</v>
      </c>
      <c r="N367" s="7">
        <v>0.80203999999999998</v>
      </c>
      <c r="O367" s="7">
        <v>0.28160099999999999</v>
      </c>
      <c r="P367" s="7">
        <v>2.670229</v>
      </c>
      <c r="Q367" s="7">
        <v>6.3773479999999996</v>
      </c>
      <c r="R367" s="7">
        <v>1.702088</v>
      </c>
      <c r="S367" s="7">
        <v>1.440912</v>
      </c>
      <c r="T367" s="7">
        <v>4.9336169999999999</v>
      </c>
      <c r="U367" s="7">
        <v>2.217749</v>
      </c>
      <c r="V367" s="7">
        <v>10.294366</v>
      </c>
      <c r="W367" s="7">
        <v>16.671714000000001</v>
      </c>
      <c r="X367" s="7">
        <v>2.7712855455800001</v>
      </c>
      <c r="Y367" s="7">
        <v>4.5113711979529629</v>
      </c>
      <c r="Z367" s="7">
        <v>23.954370743532959</v>
      </c>
      <c r="AA367" s="7">
        <v>1.282763297448333</v>
      </c>
      <c r="AB367" s="7">
        <v>25.237134040981299</v>
      </c>
      <c r="AC367" s="7">
        <v>0</v>
      </c>
      <c r="AD367" s="7">
        <v>16.733803999999999</v>
      </c>
      <c r="AE367" s="7">
        <v>0</v>
      </c>
      <c r="AF367" s="7">
        <v>0</v>
      </c>
      <c r="AG367" s="7">
        <v>41.970938040981302</v>
      </c>
      <c r="AH367" s="7">
        <v>1.6314390000000001</v>
      </c>
      <c r="AI367" s="7">
        <v>0</v>
      </c>
      <c r="AJ367" s="7">
        <v>8</v>
      </c>
      <c r="AK367" s="7">
        <v>34.868573040981303</v>
      </c>
      <c r="AL367" s="7">
        <v>0</v>
      </c>
      <c r="AM367" s="7">
        <v>0</v>
      </c>
      <c r="AN367" s="7">
        <v>0</v>
      </c>
      <c r="AO367" s="7">
        <v>0</v>
      </c>
      <c r="AP367" s="7">
        <v>0</v>
      </c>
      <c r="AQ367" s="7">
        <v>34.868573040981303</v>
      </c>
      <c r="AR367" s="7">
        <v>83.03834130129043</v>
      </c>
      <c r="AS367" s="7">
        <v>59.083970557757461</v>
      </c>
      <c r="AT367" s="7">
        <v>57.801207260309127</v>
      </c>
    </row>
    <row r="368" spans="1:46" x14ac:dyDescent="0.35">
      <c r="A368" s="5">
        <v>46022</v>
      </c>
      <c r="B368" s="4" t="s">
        <v>805</v>
      </c>
      <c r="C368" s="4" t="s">
        <v>806</v>
      </c>
      <c r="D368" s="4" t="s">
        <v>61</v>
      </c>
      <c r="E368" s="6">
        <v>62285.714286000002</v>
      </c>
      <c r="F368" s="6">
        <v>0</v>
      </c>
      <c r="G368" s="6">
        <v>62285.714286000002</v>
      </c>
      <c r="H368" s="6">
        <v>1.3080000000000001</v>
      </c>
      <c r="I368" s="6">
        <v>47619.047618999997</v>
      </c>
      <c r="J368" s="6">
        <v>0</v>
      </c>
      <c r="K368" s="6">
        <v>47619.047618999997</v>
      </c>
      <c r="L368" s="6">
        <v>47619.047618999997</v>
      </c>
      <c r="M368" s="7">
        <v>0.87379899999999999</v>
      </c>
      <c r="N368" s="7">
        <v>0.84617600000000004</v>
      </c>
      <c r="O368" s="7">
        <v>0.367954</v>
      </c>
      <c r="P368" s="7">
        <v>3.0549849999999998</v>
      </c>
      <c r="Q368" s="7">
        <v>5.1429140000000002</v>
      </c>
      <c r="R368" s="7">
        <v>1.2128000000000001</v>
      </c>
      <c r="S368" s="7">
        <v>0.71324100000000001</v>
      </c>
      <c r="T368" s="7">
        <v>5.8798529999999998</v>
      </c>
      <c r="U368" s="7">
        <v>1.6108100000000001</v>
      </c>
      <c r="V368" s="7">
        <v>9.4167039999999993</v>
      </c>
      <c r="W368" s="7">
        <v>14.559618</v>
      </c>
      <c r="X368" s="7">
        <v>0.30325683713225549</v>
      </c>
      <c r="Y368" s="7">
        <v>1.5948954453880031</v>
      </c>
      <c r="Z368" s="7">
        <v>16.457770282520261</v>
      </c>
      <c r="AA368" s="7">
        <v>1.5336632108987229</v>
      </c>
      <c r="AB368" s="7">
        <v>17.991433493418981</v>
      </c>
      <c r="AC368" s="7">
        <v>0</v>
      </c>
      <c r="AD368" s="7">
        <v>0.82120199999999999</v>
      </c>
      <c r="AE368" s="7">
        <v>0</v>
      </c>
      <c r="AF368" s="7">
        <v>0</v>
      </c>
      <c r="AG368" s="7">
        <v>18.812635493418981</v>
      </c>
      <c r="AH368" s="7">
        <v>0.91342599999999996</v>
      </c>
      <c r="AI368" s="7">
        <v>0</v>
      </c>
      <c r="AJ368" s="7">
        <v>1.0842069999999999</v>
      </c>
      <c r="AK368" s="7">
        <v>19.989066493418981</v>
      </c>
      <c r="AL368" s="7">
        <v>1.3859999999999999</v>
      </c>
      <c r="AM368" s="7">
        <v>0</v>
      </c>
      <c r="AN368" s="7">
        <v>0</v>
      </c>
      <c r="AO368" s="7">
        <v>0</v>
      </c>
      <c r="AP368" s="7">
        <v>0</v>
      </c>
      <c r="AQ368" s="7">
        <v>21.375066493418981</v>
      </c>
      <c r="AR368" s="7">
        <v>38.341280536073</v>
      </c>
      <c r="AS368" s="7">
        <v>21.883510253552739</v>
      </c>
      <c r="AT368" s="7">
        <v>20.349847042654019</v>
      </c>
    </row>
    <row r="369" spans="1:46" x14ac:dyDescent="0.35">
      <c r="A369" s="5">
        <v>46022</v>
      </c>
      <c r="B369" s="4" t="s">
        <v>807</v>
      </c>
      <c r="C369" s="4" t="s">
        <v>808</v>
      </c>
      <c r="D369" s="4" t="s">
        <v>79</v>
      </c>
      <c r="E369" s="6">
        <v>19560</v>
      </c>
      <c r="F369" s="6">
        <v>0</v>
      </c>
      <c r="G369" s="6">
        <v>19560</v>
      </c>
      <c r="H369" s="6">
        <v>2.4</v>
      </c>
      <c r="I369" s="6">
        <v>8150</v>
      </c>
      <c r="J369" s="6">
        <v>0</v>
      </c>
      <c r="K369" s="6">
        <v>8150</v>
      </c>
      <c r="L369" s="6">
        <v>8150</v>
      </c>
      <c r="M369" s="7">
        <v>3.3912399999999998</v>
      </c>
      <c r="N369" s="7">
        <v>1.1304190000000001</v>
      </c>
      <c r="O369" s="7">
        <v>0.10927000000000001</v>
      </c>
      <c r="P369" s="7">
        <v>4.5975859999999997</v>
      </c>
      <c r="Q369" s="7">
        <v>9.2285149999999998</v>
      </c>
      <c r="R369" s="7">
        <v>2.4512589999999999</v>
      </c>
      <c r="S369" s="7">
        <v>2.0588820000000001</v>
      </c>
      <c r="T369" s="7">
        <v>3.403969</v>
      </c>
      <c r="U369" s="7">
        <v>10.436399</v>
      </c>
      <c r="V369" s="7">
        <v>18.350508999999999</v>
      </c>
      <c r="W369" s="7">
        <v>27.579024</v>
      </c>
      <c r="X369" s="7">
        <v>1.2934491779652519</v>
      </c>
      <c r="Y369" s="7">
        <v>2.164602213986889</v>
      </c>
      <c r="Z369" s="7">
        <v>31.03707539195214</v>
      </c>
      <c r="AA369" s="7">
        <v>0</v>
      </c>
      <c r="AB369" s="7">
        <v>31.03707539195214</v>
      </c>
      <c r="AC369" s="7">
        <v>0</v>
      </c>
      <c r="AD369" s="7">
        <v>2.9510489999999998</v>
      </c>
      <c r="AE369" s="7">
        <v>0</v>
      </c>
      <c r="AF369" s="7">
        <v>0</v>
      </c>
      <c r="AG369" s="7">
        <v>33.988124391952141</v>
      </c>
      <c r="AH369" s="7">
        <v>1.179522</v>
      </c>
      <c r="AI369" s="7">
        <v>0</v>
      </c>
      <c r="AJ369" s="7">
        <v>2.9220799999999998</v>
      </c>
      <c r="AK369" s="7">
        <v>35.138677391952143</v>
      </c>
      <c r="AL369" s="7">
        <v>0</v>
      </c>
      <c r="AM369" s="7">
        <v>0</v>
      </c>
      <c r="AN369" s="7">
        <v>0</v>
      </c>
      <c r="AO369" s="7">
        <v>0</v>
      </c>
      <c r="AP369" s="7">
        <v>0</v>
      </c>
      <c r="AQ369" s="7">
        <v>35.138677391952143</v>
      </c>
      <c r="AR369" s="7">
        <v>38.511596620235643</v>
      </c>
      <c r="AS369" s="7">
        <v>7.4745212282835007</v>
      </c>
      <c r="AT369" s="7">
        <v>7.4745212282835007</v>
      </c>
    </row>
    <row r="370" spans="1:46" x14ac:dyDescent="0.35">
      <c r="A370" s="5">
        <v>46022</v>
      </c>
      <c r="B370" s="4" t="s">
        <v>809</v>
      </c>
      <c r="C370" s="4" t="s">
        <v>810</v>
      </c>
      <c r="D370" s="4" t="s">
        <v>79</v>
      </c>
      <c r="E370" s="6">
        <v>66782.16</v>
      </c>
      <c r="F370" s="6">
        <v>0</v>
      </c>
      <c r="G370" s="6">
        <v>66782.16</v>
      </c>
      <c r="H370" s="6">
        <v>4.7701539999999998</v>
      </c>
      <c r="I370" s="6">
        <v>14000</v>
      </c>
      <c r="J370" s="6">
        <v>0</v>
      </c>
      <c r="K370" s="6">
        <v>14000</v>
      </c>
      <c r="L370" s="6">
        <v>14000</v>
      </c>
      <c r="M370" s="7">
        <v>1.6898500000000001</v>
      </c>
      <c r="N370" s="7">
        <v>0.71719100000000002</v>
      </c>
      <c r="O370" s="7">
        <v>8.1767999999999993E-2</v>
      </c>
      <c r="P370" s="7">
        <v>3.4953020000000001</v>
      </c>
      <c r="Q370" s="7">
        <v>5.9841110000000004</v>
      </c>
      <c r="R370" s="7">
        <v>1.1155740000000001</v>
      </c>
      <c r="S370" s="7">
        <v>1.6761140000000001</v>
      </c>
      <c r="T370" s="7">
        <v>1.3745639999999999</v>
      </c>
      <c r="U370" s="7">
        <v>2.4693649999999998</v>
      </c>
      <c r="V370" s="7">
        <v>6.6356169999999999</v>
      </c>
      <c r="W370" s="7">
        <v>12.619728</v>
      </c>
      <c r="X370" s="7">
        <v>2.099161459349943</v>
      </c>
      <c r="Y370" s="7">
        <v>1.711057501460477</v>
      </c>
      <c r="Z370" s="7">
        <v>16.429946960810419</v>
      </c>
      <c r="AA370" s="7">
        <v>1.019142893420905</v>
      </c>
      <c r="AB370" s="7">
        <v>17.449089854231321</v>
      </c>
      <c r="AC370" s="7">
        <v>0</v>
      </c>
      <c r="AD370" s="7">
        <v>9.5109890000000004</v>
      </c>
      <c r="AE370" s="7">
        <v>0</v>
      </c>
      <c r="AF370" s="7">
        <v>0</v>
      </c>
      <c r="AG370" s="7">
        <v>26.96007885423132</v>
      </c>
      <c r="AH370" s="7">
        <v>0.345748</v>
      </c>
      <c r="AI370" s="7">
        <v>0</v>
      </c>
      <c r="AJ370" s="7">
        <v>7.1428570000000002</v>
      </c>
      <c r="AK370" s="7">
        <v>24.937694854231321</v>
      </c>
      <c r="AL370" s="7">
        <v>0</v>
      </c>
      <c r="AM370" s="7">
        <v>0</v>
      </c>
      <c r="AN370" s="7">
        <v>0</v>
      </c>
      <c r="AO370" s="7">
        <v>0</v>
      </c>
      <c r="AP370" s="7">
        <v>0</v>
      </c>
      <c r="AQ370" s="7">
        <v>24.937694854231321</v>
      </c>
      <c r="AR370" s="7">
        <v>36.465864398278597</v>
      </c>
      <c r="AS370" s="7">
        <v>20.035917437468179</v>
      </c>
      <c r="AT370" s="7">
        <v>19.01677454404728</v>
      </c>
    </row>
    <row r="371" spans="1:46" x14ac:dyDescent="0.35">
      <c r="A371" s="5">
        <v>46022</v>
      </c>
      <c r="B371" s="4" t="s">
        <v>811</v>
      </c>
      <c r="C371" s="4" t="s">
        <v>812</v>
      </c>
      <c r="D371" s="4" t="s">
        <v>86</v>
      </c>
      <c r="E371" s="6">
        <v>0</v>
      </c>
      <c r="F371" s="6">
        <v>0</v>
      </c>
      <c r="G371" s="6">
        <v>0</v>
      </c>
      <c r="H371" s="6">
        <v>0</v>
      </c>
      <c r="I371" s="6">
        <v>0</v>
      </c>
      <c r="J371" s="6">
        <v>1500</v>
      </c>
      <c r="K371" s="6">
        <v>1500</v>
      </c>
      <c r="L371" s="6">
        <v>1500</v>
      </c>
      <c r="M371" s="7">
        <v>17.050602000000001</v>
      </c>
      <c r="N371" s="7">
        <v>10.369534</v>
      </c>
      <c r="O371" s="7">
        <v>2.0284819999999999</v>
      </c>
      <c r="P371" s="7">
        <v>27.181417</v>
      </c>
      <c r="Q371" s="7">
        <v>56.630034999999999</v>
      </c>
      <c r="R371" s="7">
        <v>1.3856550000000001</v>
      </c>
      <c r="S371" s="7">
        <v>2.4348519999999998</v>
      </c>
      <c r="T371" s="7">
        <v>2.3851439999999999</v>
      </c>
      <c r="U371" s="7">
        <v>7.1571400000000001</v>
      </c>
      <c r="V371" s="7">
        <v>13.362791</v>
      </c>
      <c r="W371" s="7">
        <v>69.992825999999994</v>
      </c>
      <c r="X371" s="7">
        <v>24.294735377012469</v>
      </c>
      <c r="Y371" s="7">
        <v>55.894546790458648</v>
      </c>
      <c r="Z371" s="7">
        <v>150.18210816747111</v>
      </c>
      <c r="AA371" s="7">
        <v>32.988622622562751</v>
      </c>
      <c r="AB371" s="7">
        <v>183.1707307900339</v>
      </c>
      <c r="AC371" s="7">
        <v>0</v>
      </c>
      <c r="AD371" s="7">
        <v>46.52266199999999</v>
      </c>
      <c r="AE371" s="7">
        <v>0</v>
      </c>
      <c r="AF371" s="7">
        <v>0</v>
      </c>
      <c r="AG371" s="7">
        <v>229.6933927900339</v>
      </c>
      <c r="AH371" s="7">
        <v>13.591194</v>
      </c>
      <c r="AI371" s="7">
        <v>0</v>
      </c>
      <c r="AJ371" s="7">
        <v>24.708203999999999</v>
      </c>
      <c r="AK371" s="7">
        <v>221.4701287900339</v>
      </c>
      <c r="AL371" s="7">
        <v>18.890212999999999</v>
      </c>
      <c r="AM371" s="7">
        <v>0</v>
      </c>
      <c r="AN371" s="7">
        <v>0</v>
      </c>
      <c r="AO371" s="7">
        <v>0</v>
      </c>
      <c r="AP371" s="7">
        <v>0</v>
      </c>
      <c r="AQ371" s="7">
        <v>240.36034179003391</v>
      </c>
      <c r="AR371" s="7">
        <v>549.81046016642017</v>
      </c>
      <c r="AS371" s="7">
        <v>399.62835199894909</v>
      </c>
      <c r="AT371" s="7">
        <v>366.6397293763863</v>
      </c>
    </row>
    <row r="372" spans="1:46" x14ac:dyDescent="0.35">
      <c r="A372" s="5">
        <v>46022</v>
      </c>
      <c r="B372" s="4" t="s">
        <v>813</v>
      </c>
      <c r="C372" s="4" t="s">
        <v>814</v>
      </c>
      <c r="D372" s="4" t="s">
        <v>105</v>
      </c>
      <c r="E372" s="6">
        <v>0</v>
      </c>
      <c r="F372" s="6">
        <v>0</v>
      </c>
      <c r="G372" s="6">
        <v>0</v>
      </c>
      <c r="H372" s="6">
        <v>0</v>
      </c>
      <c r="I372" s="6">
        <v>0</v>
      </c>
      <c r="J372" s="6">
        <v>7200</v>
      </c>
      <c r="K372" s="6">
        <v>7200</v>
      </c>
      <c r="L372" s="6">
        <v>7200</v>
      </c>
      <c r="M372" s="7">
        <v>27.669705</v>
      </c>
      <c r="N372" s="7">
        <v>0.182666</v>
      </c>
      <c r="O372" s="7">
        <v>7.3021549999999991</v>
      </c>
      <c r="P372" s="7">
        <v>44.290429000000003</v>
      </c>
      <c r="Q372" s="7">
        <v>79.444954999999993</v>
      </c>
      <c r="R372" s="7">
        <v>11.102781999999999</v>
      </c>
      <c r="S372" s="7">
        <v>1.733889</v>
      </c>
      <c r="T372" s="7">
        <v>13.926551</v>
      </c>
      <c r="U372" s="7">
        <v>4.3861369999999988</v>
      </c>
      <c r="V372" s="7">
        <v>31.149359</v>
      </c>
      <c r="W372" s="7">
        <v>110.594314</v>
      </c>
      <c r="X372" s="7">
        <v>0.1173</v>
      </c>
      <c r="Y372" s="7">
        <v>10.19560079529176</v>
      </c>
      <c r="Z372" s="7">
        <v>120.90721479529179</v>
      </c>
      <c r="AA372" s="7">
        <v>0.61136465610485247</v>
      </c>
      <c r="AB372" s="7">
        <v>121.5185794513966</v>
      </c>
      <c r="AC372" s="7">
        <v>0</v>
      </c>
      <c r="AD372" s="7">
        <v>15.652734000000001</v>
      </c>
      <c r="AE372" s="7">
        <v>0</v>
      </c>
      <c r="AF372" s="7">
        <v>0</v>
      </c>
      <c r="AG372" s="7">
        <v>137.1713134513966</v>
      </c>
      <c r="AH372" s="7">
        <v>6.3148920000000004</v>
      </c>
      <c r="AI372" s="7">
        <v>0.117872</v>
      </c>
      <c r="AJ372" s="7">
        <v>14.629503</v>
      </c>
      <c r="AK372" s="7">
        <v>142.58084645139661</v>
      </c>
      <c r="AL372" s="7">
        <v>0</v>
      </c>
      <c r="AM372" s="7">
        <v>0</v>
      </c>
      <c r="AN372" s="7">
        <v>0</v>
      </c>
      <c r="AO372" s="7">
        <v>0</v>
      </c>
      <c r="AP372" s="7">
        <v>0</v>
      </c>
      <c r="AQ372" s="7">
        <v>142.58084645139661</v>
      </c>
      <c r="AR372" s="7">
        <v>121.7101295290405</v>
      </c>
      <c r="AS372" s="7">
        <v>0.80291473374876499</v>
      </c>
      <c r="AT372" s="7">
        <v>0.19155007764391199</v>
      </c>
    </row>
    <row r="373" spans="1:46" x14ac:dyDescent="0.35">
      <c r="A373" s="5">
        <v>46022</v>
      </c>
      <c r="B373" s="4" t="s">
        <v>815</v>
      </c>
      <c r="C373" s="4" t="s">
        <v>816</v>
      </c>
      <c r="D373" s="4" t="s">
        <v>79</v>
      </c>
      <c r="E373" s="6">
        <v>58649.618126000001</v>
      </c>
      <c r="F373" s="6">
        <v>0</v>
      </c>
      <c r="G373" s="6">
        <v>58649.618126000001</v>
      </c>
      <c r="H373" s="6">
        <v>0.83510300000000004</v>
      </c>
      <c r="I373" s="6">
        <v>70230.381873999999</v>
      </c>
      <c r="J373" s="6">
        <v>0</v>
      </c>
      <c r="K373" s="6">
        <v>70230.381873999999</v>
      </c>
      <c r="L373" s="6">
        <v>70230.381873999999</v>
      </c>
      <c r="M373" s="7">
        <v>2.329491</v>
      </c>
      <c r="N373" s="7">
        <v>0.99250400000000005</v>
      </c>
      <c r="O373" s="7">
        <v>5.2461000000000001E-2</v>
      </c>
      <c r="P373" s="7">
        <v>3.31236</v>
      </c>
      <c r="Q373" s="7">
        <v>6.6868160000000003</v>
      </c>
      <c r="R373" s="7">
        <v>1.066948</v>
      </c>
      <c r="S373" s="7">
        <v>3.3640000000000003E-2</v>
      </c>
      <c r="T373" s="7">
        <v>1.3695660000000001</v>
      </c>
      <c r="U373" s="7">
        <v>1.8627260000000001</v>
      </c>
      <c r="V373" s="7">
        <v>4.3328800000000003</v>
      </c>
      <c r="W373" s="7">
        <v>11.019696</v>
      </c>
      <c r="X373" s="7">
        <v>0.1455119526237876</v>
      </c>
      <c r="Y373" s="7">
        <v>0</v>
      </c>
      <c r="Z373" s="7">
        <v>11.16520795262379</v>
      </c>
      <c r="AA373" s="7">
        <v>0.42105660600749339</v>
      </c>
      <c r="AB373" s="7">
        <v>11.58626455863128</v>
      </c>
      <c r="AC373" s="7">
        <v>0</v>
      </c>
      <c r="AD373" s="7">
        <v>1.731338</v>
      </c>
      <c r="AE373" s="7">
        <v>0</v>
      </c>
      <c r="AF373" s="7">
        <v>0</v>
      </c>
      <c r="AG373" s="7">
        <v>13.317602558631281</v>
      </c>
      <c r="AH373" s="7">
        <v>0.38414100000000001</v>
      </c>
      <c r="AI373" s="7">
        <v>0</v>
      </c>
      <c r="AJ373" s="7">
        <v>1.0155130000000001</v>
      </c>
      <c r="AK373" s="7">
        <v>12.98591855863128</v>
      </c>
      <c r="AL373" s="7">
        <v>0</v>
      </c>
      <c r="AM373" s="7">
        <v>0</v>
      </c>
      <c r="AN373" s="7">
        <v>0</v>
      </c>
      <c r="AO373" s="7">
        <v>0</v>
      </c>
      <c r="AP373" s="7">
        <v>0</v>
      </c>
      <c r="AQ373" s="7">
        <v>12.98591855863128</v>
      </c>
      <c r="AR373" s="7">
        <v>16.841944469193159</v>
      </c>
      <c r="AS373" s="7">
        <v>5.6767365165693748</v>
      </c>
      <c r="AT373" s="7">
        <v>5.2556799105618817</v>
      </c>
    </row>
    <row r="374" spans="1:46" x14ac:dyDescent="0.35">
      <c r="A374" s="5">
        <v>46022</v>
      </c>
      <c r="B374" s="4" t="s">
        <v>817</v>
      </c>
      <c r="C374" s="4" t="s">
        <v>818</v>
      </c>
      <c r="D374" s="4" t="s">
        <v>61</v>
      </c>
      <c r="E374" s="6">
        <v>0</v>
      </c>
      <c r="F374" s="6">
        <v>0</v>
      </c>
      <c r="G374" s="6">
        <v>0</v>
      </c>
      <c r="H374" s="6">
        <v>0</v>
      </c>
      <c r="I374" s="6">
        <v>0</v>
      </c>
      <c r="J374" s="6">
        <v>900</v>
      </c>
      <c r="K374" s="6">
        <v>900</v>
      </c>
      <c r="L374" s="6">
        <v>900</v>
      </c>
      <c r="M374" s="7">
        <v>6.6755380000000013</v>
      </c>
      <c r="N374" s="7">
        <v>0</v>
      </c>
      <c r="O374" s="7">
        <v>5.6425320000000001</v>
      </c>
      <c r="P374" s="7">
        <v>6.8860219999999996</v>
      </c>
      <c r="Q374" s="7">
        <v>19.204091999999999</v>
      </c>
      <c r="R374" s="7">
        <v>1.868619</v>
      </c>
      <c r="S374" s="7">
        <v>1.4092089999999999</v>
      </c>
      <c r="T374" s="7">
        <v>3.7711480000000002</v>
      </c>
      <c r="U374" s="7">
        <v>4.2831669999999997</v>
      </c>
      <c r="V374" s="7">
        <v>11.332143</v>
      </c>
      <c r="W374" s="7">
        <v>30.536235000000001</v>
      </c>
      <c r="X374" s="7">
        <v>0.54291190893622221</v>
      </c>
      <c r="Y374" s="7">
        <v>7.9770280577443531</v>
      </c>
      <c r="Z374" s="7">
        <v>39.05617496668058</v>
      </c>
      <c r="AA374" s="7">
        <v>9.8676489088276202</v>
      </c>
      <c r="AB374" s="7">
        <v>48.923823875508198</v>
      </c>
      <c r="AC374" s="7">
        <v>0</v>
      </c>
      <c r="AD374" s="7">
        <v>5.0375779999999999</v>
      </c>
      <c r="AE374" s="7">
        <v>0</v>
      </c>
      <c r="AF374" s="7">
        <v>0</v>
      </c>
      <c r="AG374" s="7">
        <v>53.961401875508201</v>
      </c>
      <c r="AH374" s="7">
        <v>3.218375</v>
      </c>
      <c r="AI374" s="7">
        <v>0</v>
      </c>
      <c r="AJ374" s="7">
        <v>3.2239939999999998</v>
      </c>
      <c r="AK374" s="7">
        <v>55.366192875508197</v>
      </c>
      <c r="AL374" s="7">
        <v>0</v>
      </c>
      <c r="AM374" s="7">
        <v>0</v>
      </c>
      <c r="AN374" s="7">
        <v>0</v>
      </c>
      <c r="AO374" s="7">
        <v>0</v>
      </c>
      <c r="AP374" s="7">
        <v>0</v>
      </c>
      <c r="AQ374" s="7">
        <v>55.366192875508197</v>
      </c>
      <c r="AR374" s="7">
        <v>221.9735963962159</v>
      </c>
      <c r="AS374" s="7">
        <v>182.91742142953541</v>
      </c>
      <c r="AT374" s="7">
        <v>173.04977252070771</v>
      </c>
    </row>
    <row r="375" spans="1:46" x14ac:dyDescent="0.35">
      <c r="A375" s="5">
        <v>46022</v>
      </c>
      <c r="B375" s="4" t="s">
        <v>819</v>
      </c>
      <c r="C375" s="4" t="s">
        <v>820</v>
      </c>
      <c r="D375" s="4" t="s">
        <v>61</v>
      </c>
      <c r="E375" s="6">
        <v>0</v>
      </c>
      <c r="F375" s="6">
        <v>0</v>
      </c>
      <c r="G375" s="6">
        <v>0</v>
      </c>
      <c r="H375" s="6">
        <v>0</v>
      </c>
      <c r="I375" s="6">
        <v>0</v>
      </c>
      <c r="J375" s="6">
        <v>3500</v>
      </c>
      <c r="K375" s="6">
        <v>3500</v>
      </c>
      <c r="L375" s="6">
        <v>3500</v>
      </c>
      <c r="M375" s="7">
        <v>6.1676929999999999</v>
      </c>
      <c r="N375" s="7">
        <v>0</v>
      </c>
      <c r="O375" s="7">
        <v>3.0202230000000001</v>
      </c>
      <c r="P375" s="7">
        <v>6.0038099999999996</v>
      </c>
      <c r="Q375" s="7">
        <v>15.191725999999999</v>
      </c>
      <c r="R375" s="7">
        <v>2.536816</v>
      </c>
      <c r="S375" s="7">
        <v>1.0455239999999999</v>
      </c>
      <c r="T375" s="7">
        <v>4.903397</v>
      </c>
      <c r="U375" s="7">
        <v>9.2502750000000002</v>
      </c>
      <c r="V375" s="7">
        <v>17.736011999999999</v>
      </c>
      <c r="W375" s="7">
        <v>32.927737999999998</v>
      </c>
      <c r="X375" s="7">
        <v>0.32042899472645708</v>
      </c>
      <c r="Y375" s="7">
        <v>2.009503555395908</v>
      </c>
      <c r="Z375" s="7">
        <v>35.25767055012237</v>
      </c>
      <c r="AA375" s="7">
        <v>5.7848185044384941</v>
      </c>
      <c r="AB375" s="7">
        <v>41.04248905456086</v>
      </c>
      <c r="AC375" s="7">
        <v>0</v>
      </c>
      <c r="AD375" s="7">
        <v>4.6133309999999996</v>
      </c>
      <c r="AE375" s="7">
        <v>0</v>
      </c>
      <c r="AF375" s="7">
        <v>0</v>
      </c>
      <c r="AG375" s="7">
        <v>45.655820054560863</v>
      </c>
      <c r="AH375" s="7">
        <v>3.596263</v>
      </c>
      <c r="AI375" s="7">
        <v>0</v>
      </c>
      <c r="AJ375" s="7">
        <v>3.4698319999999998</v>
      </c>
      <c r="AK375" s="7">
        <v>48.108584054560858</v>
      </c>
      <c r="AL375" s="7">
        <v>0</v>
      </c>
      <c r="AM375" s="7">
        <v>0</v>
      </c>
      <c r="AN375" s="7">
        <v>0</v>
      </c>
      <c r="AO375" s="7">
        <v>0</v>
      </c>
      <c r="AP375" s="7">
        <v>0</v>
      </c>
      <c r="AQ375" s="7">
        <v>48.108584054560858</v>
      </c>
      <c r="AR375" s="7">
        <v>52.312143338509692</v>
      </c>
      <c r="AS375" s="7">
        <v>17.054472788387329</v>
      </c>
      <c r="AT375" s="7">
        <v>11.26965428394883</v>
      </c>
    </row>
    <row r="376" spans="1:46" x14ac:dyDescent="0.35">
      <c r="A376" s="5">
        <v>46022</v>
      </c>
      <c r="B376" s="4" t="s">
        <v>821</v>
      </c>
      <c r="C376" s="4" t="s">
        <v>822</v>
      </c>
      <c r="D376" s="4" t="s">
        <v>61</v>
      </c>
      <c r="E376" s="6">
        <v>0</v>
      </c>
      <c r="F376" s="6">
        <v>0</v>
      </c>
      <c r="G376" s="6">
        <v>0</v>
      </c>
      <c r="H376" s="6">
        <v>0</v>
      </c>
      <c r="I376" s="6">
        <v>0</v>
      </c>
      <c r="J376" s="6">
        <v>304.44</v>
      </c>
      <c r="K376" s="6">
        <v>304.44</v>
      </c>
      <c r="L376" s="6">
        <v>304.44</v>
      </c>
      <c r="M376" s="7">
        <v>3.9980329999999999</v>
      </c>
      <c r="N376" s="7">
        <v>0.52679399999999998</v>
      </c>
      <c r="O376" s="7">
        <v>4.0176999999999996</v>
      </c>
      <c r="P376" s="7">
        <v>5.6414049999999998</v>
      </c>
      <c r="Q376" s="7">
        <v>14.183932</v>
      </c>
      <c r="R376" s="7">
        <v>0.54647299999999999</v>
      </c>
      <c r="S376" s="7">
        <v>1.0306139999999999</v>
      </c>
      <c r="T376" s="7">
        <v>2.4597880000000001</v>
      </c>
      <c r="U376" s="7">
        <v>2.6851280000000002</v>
      </c>
      <c r="V376" s="7">
        <v>6.722003</v>
      </c>
      <c r="W376" s="7">
        <v>20.905934999999999</v>
      </c>
      <c r="X376" s="7">
        <v>0.4208954119038234</v>
      </c>
      <c r="Y376" s="7">
        <v>1.988823536820775</v>
      </c>
      <c r="Z376" s="7">
        <v>23.315653948724599</v>
      </c>
      <c r="AA376" s="7">
        <v>3.3251061635814518</v>
      </c>
      <c r="AB376" s="7">
        <v>26.640760112306051</v>
      </c>
      <c r="AC376" s="7">
        <v>0</v>
      </c>
      <c r="AD376" s="7">
        <v>0.56191599999999997</v>
      </c>
      <c r="AE376" s="7">
        <v>0</v>
      </c>
      <c r="AF376" s="7">
        <v>0</v>
      </c>
      <c r="AG376" s="7">
        <v>27.202676112306051</v>
      </c>
      <c r="AH376" s="7">
        <v>1.376695</v>
      </c>
      <c r="AI376" s="7">
        <v>0</v>
      </c>
      <c r="AJ376" s="7">
        <v>2.3694030000000001</v>
      </c>
      <c r="AK376" s="7">
        <v>30.386858112306051</v>
      </c>
      <c r="AL376" s="7">
        <v>0</v>
      </c>
      <c r="AM376" s="7">
        <v>0</v>
      </c>
      <c r="AN376" s="7">
        <v>0</v>
      </c>
      <c r="AO376" s="7">
        <v>0</v>
      </c>
      <c r="AP376" s="7">
        <v>0</v>
      </c>
      <c r="AQ376" s="7">
        <v>30.386858112306051</v>
      </c>
      <c r="AR376" s="7">
        <v>52.729441890889191</v>
      </c>
      <c r="AS376" s="7">
        <v>29.4137879421646</v>
      </c>
      <c r="AT376" s="7">
        <v>26.08868177858314</v>
      </c>
    </row>
    <row r="377" spans="1:46" x14ac:dyDescent="0.35">
      <c r="A377" s="5">
        <v>46022</v>
      </c>
      <c r="B377" s="4" t="s">
        <v>823</v>
      </c>
      <c r="C377" s="4" t="s">
        <v>824</v>
      </c>
      <c r="D377" s="4" t="s">
        <v>61</v>
      </c>
      <c r="E377" s="6">
        <v>0</v>
      </c>
      <c r="F377" s="6">
        <v>0</v>
      </c>
      <c r="G377" s="6">
        <v>0</v>
      </c>
      <c r="H377" s="6">
        <v>0</v>
      </c>
      <c r="I377" s="6">
        <v>0</v>
      </c>
      <c r="J377" s="6">
        <v>80</v>
      </c>
      <c r="K377" s="6">
        <v>80</v>
      </c>
      <c r="L377" s="6">
        <v>80</v>
      </c>
      <c r="M377" s="7">
        <v>5.9300470000000001</v>
      </c>
      <c r="N377" s="7">
        <v>1.298136</v>
      </c>
      <c r="O377" s="7">
        <v>2.4285329999999998</v>
      </c>
      <c r="P377" s="7">
        <v>4.5535360000000003</v>
      </c>
      <c r="Q377" s="7">
        <v>14.210252000000001</v>
      </c>
      <c r="R377" s="7">
        <v>2.756243</v>
      </c>
      <c r="S377" s="7">
        <v>0.96574400000000005</v>
      </c>
      <c r="T377" s="7">
        <v>4.3469449999999998</v>
      </c>
      <c r="U377" s="7">
        <v>4.2248469999999996</v>
      </c>
      <c r="V377" s="7">
        <v>12.293779000000001</v>
      </c>
      <c r="W377" s="7">
        <v>26.504031000000001</v>
      </c>
      <c r="X377" s="7">
        <v>0.43376703599999999</v>
      </c>
      <c r="Y377" s="7">
        <v>2.7669381058151399</v>
      </c>
      <c r="Z377" s="7">
        <v>29.70473614181514</v>
      </c>
      <c r="AA377" s="7">
        <v>5.5148052255168887</v>
      </c>
      <c r="AB377" s="7">
        <v>35.219541367332027</v>
      </c>
      <c r="AC377" s="7">
        <v>0</v>
      </c>
      <c r="AD377" s="7">
        <v>1.448339</v>
      </c>
      <c r="AE377" s="7">
        <v>0</v>
      </c>
      <c r="AF377" s="7">
        <v>0</v>
      </c>
      <c r="AG377" s="7">
        <v>36.667880367332032</v>
      </c>
      <c r="AH377" s="7">
        <v>1.7517739999999999</v>
      </c>
      <c r="AI377" s="7">
        <v>0</v>
      </c>
      <c r="AJ377" s="7">
        <v>1.3064549999999999</v>
      </c>
      <c r="AK377" s="7">
        <v>38.277770367332032</v>
      </c>
      <c r="AL377" s="7">
        <v>0</v>
      </c>
      <c r="AM377" s="7">
        <v>0</v>
      </c>
      <c r="AN377" s="7">
        <v>0</v>
      </c>
      <c r="AO377" s="7">
        <v>0</v>
      </c>
      <c r="AP377" s="7">
        <v>0</v>
      </c>
      <c r="AQ377" s="7">
        <v>38.277770367332032</v>
      </c>
      <c r="AR377" s="7">
        <v>49.133394049031629</v>
      </c>
      <c r="AS377" s="7">
        <v>19.42865790721649</v>
      </c>
      <c r="AT377" s="7">
        <v>13.9138526816996</v>
      </c>
    </row>
    <row r="378" spans="1:46" x14ac:dyDescent="0.35">
      <c r="A378" s="5">
        <v>46022</v>
      </c>
      <c r="B378" s="4" t="s">
        <v>825</v>
      </c>
      <c r="C378" s="4" t="s">
        <v>826</v>
      </c>
      <c r="D378" s="4" t="s">
        <v>58</v>
      </c>
      <c r="E378" s="6">
        <v>1186.5</v>
      </c>
      <c r="F378" s="6">
        <v>0</v>
      </c>
      <c r="G378" s="6">
        <v>1186.5</v>
      </c>
      <c r="H378" s="6">
        <v>0.75</v>
      </c>
      <c r="I378" s="6">
        <v>1582</v>
      </c>
      <c r="J378" s="6">
        <v>0</v>
      </c>
      <c r="K378" s="6">
        <v>1582</v>
      </c>
      <c r="L378" s="6">
        <v>1582</v>
      </c>
      <c r="M378" s="7">
        <v>7.1341950000000001</v>
      </c>
      <c r="N378" s="7">
        <v>1.7354830000000001</v>
      </c>
      <c r="O378" s="7">
        <v>0.92738299999999996</v>
      </c>
      <c r="P378" s="7">
        <v>3.0723750000000001</v>
      </c>
      <c r="Q378" s="7">
        <v>12.869436</v>
      </c>
      <c r="R378" s="7">
        <v>4.9843669999999998</v>
      </c>
      <c r="S378" s="7">
        <v>2.9987900000000001</v>
      </c>
      <c r="T378" s="7">
        <v>6.0722050000000012</v>
      </c>
      <c r="U378" s="7">
        <v>1.7340249999999999</v>
      </c>
      <c r="V378" s="7">
        <v>15.789387</v>
      </c>
      <c r="W378" s="7">
        <v>28.658823000000002</v>
      </c>
      <c r="X378" s="7">
        <v>1.2139749341999999</v>
      </c>
      <c r="Y378" s="7">
        <v>0</v>
      </c>
      <c r="Z378" s="7">
        <v>29.872797934200001</v>
      </c>
      <c r="AA378" s="7">
        <v>0</v>
      </c>
      <c r="AB378" s="7">
        <v>29.872797934200001</v>
      </c>
      <c r="AC378" s="7">
        <v>0</v>
      </c>
      <c r="AD378" s="7">
        <v>14.263437</v>
      </c>
      <c r="AE378" s="7">
        <v>0</v>
      </c>
      <c r="AF378" s="7">
        <v>0</v>
      </c>
      <c r="AG378" s="7">
        <v>44.136234934199997</v>
      </c>
      <c r="AH378" s="7">
        <v>1.8603719999999999</v>
      </c>
      <c r="AI378" s="7">
        <v>0</v>
      </c>
      <c r="AJ378" s="7">
        <v>10.030588</v>
      </c>
      <c r="AK378" s="7">
        <v>41.763757934200001</v>
      </c>
      <c r="AL378" s="7">
        <v>0</v>
      </c>
      <c r="AM378" s="7">
        <v>0</v>
      </c>
      <c r="AN378" s="7">
        <v>0</v>
      </c>
      <c r="AO378" s="7">
        <v>0</v>
      </c>
      <c r="AP378" s="7">
        <v>0</v>
      </c>
      <c r="AQ378" s="7">
        <v>41.763757934200001</v>
      </c>
      <c r="AR378" s="7">
        <v>58.334314273164672</v>
      </c>
      <c r="AS378" s="7">
        <v>28.461516338964671</v>
      </c>
      <c r="AT378" s="7">
        <v>28.461516338964671</v>
      </c>
    </row>
    <row r="379" spans="1:46" x14ac:dyDescent="0.35">
      <c r="A379" s="5">
        <v>46022</v>
      </c>
      <c r="B379" s="4" t="s">
        <v>827</v>
      </c>
      <c r="C379" s="4" t="s">
        <v>828</v>
      </c>
      <c r="D379" s="4" t="s">
        <v>61</v>
      </c>
      <c r="E379" s="6">
        <v>0</v>
      </c>
      <c r="F379" s="6">
        <v>0</v>
      </c>
      <c r="G379" s="6">
        <v>0</v>
      </c>
      <c r="H379" s="6">
        <v>0</v>
      </c>
      <c r="I379" s="6">
        <v>0</v>
      </c>
      <c r="J379" s="6">
        <v>49.38</v>
      </c>
      <c r="K379" s="6">
        <v>49.38</v>
      </c>
      <c r="L379" s="6">
        <v>49.38</v>
      </c>
      <c r="M379" s="7">
        <v>10.32002230337079</v>
      </c>
      <c r="N379" s="7">
        <v>0.33533600000000002</v>
      </c>
      <c r="O379" s="7">
        <v>0.88128552808988758</v>
      </c>
      <c r="P379" s="7">
        <v>2.9343440898876398</v>
      </c>
      <c r="Q379" s="7">
        <v>14.470987921348311</v>
      </c>
      <c r="R379" s="7">
        <v>1.856593415730337</v>
      </c>
      <c r="S379" s="7">
        <v>4.7684846741573033</v>
      </c>
      <c r="T379" s="7">
        <v>2.5216914943820221</v>
      </c>
      <c r="U379" s="7">
        <v>4.4177303370786518</v>
      </c>
      <c r="V379" s="7">
        <v>13.564499921348309</v>
      </c>
      <c r="W379" s="7">
        <v>28.035487842696629</v>
      </c>
      <c r="X379" s="7">
        <v>1.1552245512353181</v>
      </c>
      <c r="Y379" s="7">
        <v>5.7325497049355043</v>
      </c>
      <c r="Z379" s="7">
        <v>34.923262098867447</v>
      </c>
      <c r="AA379" s="7">
        <v>6.3445663404580879</v>
      </c>
      <c r="AB379" s="7">
        <v>41.267828439325541</v>
      </c>
      <c r="AC379" s="7">
        <v>0</v>
      </c>
      <c r="AD379" s="7">
        <v>2.5498416067415728</v>
      </c>
      <c r="AE379" s="7">
        <v>0</v>
      </c>
      <c r="AF379" s="7">
        <v>0</v>
      </c>
      <c r="AG379" s="7">
        <v>43.817670046067107</v>
      </c>
      <c r="AH379" s="7">
        <v>2.9258613258426971</v>
      </c>
      <c r="AI379" s="7">
        <v>0</v>
      </c>
      <c r="AJ379" s="7">
        <v>2.5498416067415728</v>
      </c>
      <c r="AK379" s="7">
        <v>46.74353137190981</v>
      </c>
      <c r="AL379" s="7">
        <v>0</v>
      </c>
      <c r="AM379" s="7">
        <v>0</v>
      </c>
      <c r="AN379" s="7">
        <v>0</v>
      </c>
      <c r="AO379" s="7">
        <v>0</v>
      </c>
      <c r="AP379" s="7">
        <v>0</v>
      </c>
      <c r="AQ379" s="7">
        <v>46.74353137190981</v>
      </c>
      <c r="AR379" s="7">
        <v>96.141239039266679</v>
      </c>
      <c r="AS379" s="7">
        <v>61.217976940399232</v>
      </c>
      <c r="AT379" s="7">
        <v>54.873410599941153</v>
      </c>
    </row>
    <row r="380" spans="1:46" x14ac:dyDescent="0.35">
      <c r="A380" s="5">
        <v>46022</v>
      </c>
      <c r="B380" s="4" t="s">
        <v>829</v>
      </c>
      <c r="C380" s="4" t="s">
        <v>830</v>
      </c>
      <c r="D380" s="4" t="s">
        <v>213</v>
      </c>
      <c r="E380" s="6">
        <v>46214</v>
      </c>
      <c r="F380" s="6">
        <v>0</v>
      </c>
      <c r="G380" s="6">
        <v>46214</v>
      </c>
      <c r="H380" s="6">
        <v>2.0107910000000002</v>
      </c>
      <c r="I380" s="6">
        <v>22983</v>
      </c>
      <c r="J380" s="6">
        <v>0</v>
      </c>
      <c r="K380" s="6">
        <v>22983</v>
      </c>
      <c r="L380" s="6">
        <v>20258.980785</v>
      </c>
      <c r="M380" s="7">
        <v>2.4694660000000002</v>
      </c>
      <c r="N380" s="7">
        <v>2.3432379999999999</v>
      </c>
      <c r="O380" s="7">
        <v>3.2708010000000001</v>
      </c>
      <c r="P380" s="7">
        <v>33.388720999999997</v>
      </c>
      <c r="Q380" s="7">
        <v>41.472225999999999</v>
      </c>
      <c r="R380" s="7">
        <v>3.1422319999999999</v>
      </c>
      <c r="S380" s="7">
        <v>19.829716000000001</v>
      </c>
      <c r="T380" s="7">
        <v>41.338574999999999</v>
      </c>
      <c r="U380" s="7">
        <v>21.32386</v>
      </c>
      <c r="V380" s="7">
        <v>85.634383</v>
      </c>
      <c r="W380" s="7">
        <v>127.10660900000001</v>
      </c>
      <c r="X380" s="7">
        <v>0</v>
      </c>
      <c r="Y380" s="7">
        <v>22.238458415047301</v>
      </c>
      <c r="Z380" s="7">
        <v>149.34506741504731</v>
      </c>
      <c r="AA380" s="7">
        <v>13.90697646992821</v>
      </c>
      <c r="AB380" s="7">
        <v>163.25204388497551</v>
      </c>
      <c r="AC380" s="7">
        <v>0</v>
      </c>
      <c r="AD380" s="7">
        <v>17.256067000000002</v>
      </c>
      <c r="AE380" s="7">
        <v>0</v>
      </c>
      <c r="AF380" s="7">
        <v>0</v>
      </c>
      <c r="AG380" s="7">
        <v>180.50811088497551</v>
      </c>
      <c r="AH380" s="7">
        <v>2.0364450000000001</v>
      </c>
      <c r="AI380" s="7">
        <v>0</v>
      </c>
      <c r="AJ380" s="7">
        <v>0.32807900000000001</v>
      </c>
      <c r="AK380" s="7">
        <v>165.6165678849755</v>
      </c>
      <c r="AL380" s="7">
        <v>2.5667629999999999</v>
      </c>
      <c r="AM380" s="7">
        <v>0</v>
      </c>
      <c r="AN380" s="7">
        <v>0</v>
      </c>
      <c r="AO380" s="7">
        <v>0</v>
      </c>
      <c r="AP380" s="7">
        <v>0</v>
      </c>
      <c r="AQ380" s="7">
        <v>168.1833308849755</v>
      </c>
      <c r="AR380" s="7">
        <v>286.36101250022602</v>
      </c>
      <c r="AS380" s="7">
        <v>137.0159450851786</v>
      </c>
      <c r="AT380" s="7">
        <v>123.1089686152504</v>
      </c>
    </row>
    <row r="381" spans="1:46" x14ac:dyDescent="0.35">
      <c r="A381" s="5">
        <v>46022</v>
      </c>
      <c r="B381" s="4" t="s">
        <v>831</v>
      </c>
      <c r="C381" s="4" t="s">
        <v>832</v>
      </c>
      <c r="D381" s="4" t="s">
        <v>61</v>
      </c>
      <c r="E381" s="6">
        <v>0</v>
      </c>
      <c r="F381" s="6">
        <v>0</v>
      </c>
      <c r="G381" s="6">
        <v>0</v>
      </c>
      <c r="H381" s="6">
        <v>0</v>
      </c>
      <c r="I381" s="6">
        <v>0</v>
      </c>
      <c r="J381" s="6">
        <v>160</v>
      </c>
      <c r="K381" s="6">
        <v>160</v>
      </c>
      <c r="L381" s="6">
        <v>160</v>
      </c>
      <c r="M381" s="7">
        <v>9.5815970000000004</v>
      </c>
      <c r="N381" s="7">
        <v>3.7702079999999998</v>
      </c>
      <c r="O381" s="7">
        <v>2.8359890000000001</v>
      </c>
      <c r="P381" s="7">
        <v>14.585238</v>
      </c>
      <c r="Q381" s="7">
        <v>30.773032000000001</v>
      </c>
      <c r="R381" s="7">
        <v>5.9834339999999999</v>
      </c>
      <c r="S381" s="7">
        <v>1.7048270000000001</v>
      </c>
      <c r="T381" s="7">
        <v>5.0121789999999997</v>
      </c>
      <c r="U381" s="7">
        <v>2.770667</v>
      </c>
      <c r="V381" s="7">
        <v>15.471107</v>
      </c>
      <c r="W381" s="7">
        <v>46.244138999999997</v>
      </c>
      <c r="X381" s="7">
        <v>2.8221158854750001</v>
      </c>
      <c r="Y381" s="7">
        <v>16.139164430233748</v>
      </c>
      <c r="Z381" s="7">
        <v>65.205419315708752</v>
      </c>
      <c r="AA381" s="7">
        <v>6.1372585952628542</v>
      </c>
      <c r="AB381" s="7">
        <v>71.342677910971616</v>
      </c>
      <c r="AC381" s="7">
        <v>0</v>
      </c>
      <c r="AD381" s="7">
        <v>2.3289469999999999</v>
      </c>
      <c r="AE381" s="7">
        <v>0</v>
      </c>
      <c r="AF381" s="7">
        <v>0</v>
      </c>
      <c r="AG381" s="7">
        <v>73.671624910971602</v>
      </c>
      <c r="AH381" s="7">
        <v>1.992386</v>
      </c>
      <c r="AI381" s="7">
        <v>0</v>
      </c>
      <c r="AJ381" s="7">
        <v>2.3289469999999999</v>
      </c>
      <c r="AK381" s="7">
        <v>75.664010910971598</v>
      </c>
      <c r="AL381" s="7">
        <v>0</v>
      </c>
      <c r="AM381" s="7">
        <v>0</v>
      </c>
      <c r="AN381" s="7">
        <v>0</v>
      </c>
      <c r="AO381" s="7">
        <v>0</v>
      </c>
      <c r="AP381" s="7">
        <v>0</v>
      </c>
      <c r="AQ381" s="7">
        <v>75.664010910971598</v>
      </c>
      <c r="AR381" s="7">
        <v>97.856463633739409</v>
      </c>
      <c r="AS381" s="7">
        <v>32.651044318030657</v>
      </c>
      <c r="AT381" s="7">
        <v>26.5137857227678</v>
      </c>
    </row>
    <row r="382" spans="1:46" x14ac:dyDescent="0.35">
      <c r="A382" s="5">
        <v>46022</v>
      </c>
      <c r="B382" s="4" t="s">
        <v>833</v>
      </c>
      <c r="C382" s="4" t="s">
        <v>834</v>
      </c>
      <c r="D382" s="4" t="s">
        <v>111</v>
      </c>
      <c r="E382" s="6">
        <v>0</v>
      </c>
      <c r="F382" s="6">
        <v>0</v>
      </c>
      <c r="G382" s="6">
        <v>0</v>
      </c>
      <c r="H382" s="6">
        <v>0</v>
      </c>
      <c r="I382" s="6">
        <v>0</v>
      </c>
      <c r="J382" s="6">
        <v>950</v>
      </c>
      <c r="K382" s="6">
        <v>950</v>
      </c>
      <c r="L382" s="6">
        <v>950</v>
      </c>
      <c r="M382" s="7">
        <v>37.148377000000004</v>
      </c>
      <c r="N382" s="7">
        <v>7.831842</v>
      </c>
      <c r="O382" s="7">
        <v>5.8994960000000001</v>
      </c>
      <c r="P382" s="7">
        <v>25.035602999999998</v>
      </c>
      <c r="Q382" s="7">
        <v>75.915317999999999</v>
      </c>
      <c r="R382" s="7">
        <v>17.794070999999999</v>
      </c>
      <c r="S382" s="7">
        <v>7.6566219999999987</v>
      </c>
      <c r="T382" s="7">
        <v>19.756710999999999</v>
      </c>
      <c r="U382" s="7">
        <v>10.818141000000001</v>
      </c>
      <c r="V382" s="7">
        <v>56.025544999999987</v>
      </c>
      <c r="W382" s="7">
        <v>131.94086300000001</v>
      </c>
      <c r="X382" s="7">
        <v>6.3110097078993679</v>
      </c>
      <c r="Y382" s="7">
        <v>17.048020784358069</v>
      </c>
      <c r="Z382" s="7">
        <v>155.29989349225741</v>
      </c>
      <c r="AA382" s="7">
        <v>14.53519172186428</v>
      </c>
      <c r="AB382" s="7">
        <v>169.8350852141217</v>
      </c>
      <c r="AC382" s="7">
        <v>0</v>
      </c>
      <c r="AD382" s="7">
        <v>15.932791999999999</v>
      </c>
      <c r="AE382" s="7">
        <v>0</v>
      </c>
      <c r="AF382" s="7">
        <v>0</v>
      </c>
      <c r="AG382" s="7">
        <v>185.76787721412171</v>
      </c>
      <c r="AH382" s="7">
        <v>5.5746589999999987</v>
      </c>
      <c r="AI382" s="7">
        <v>0</v>
      </c>
      <c r="AJ382" s="7">
        <v>9.5854669999999995</v>
      </c>
      <c r="AK382" s="7">
        <v>184.9952112141217</v>
      </c>
      <c r="AL382" s="7">
        <v>0</v>
      </c>
      <c r="AM382" s="7">
        <v>0</v>
      </c>
      <c r="AN382" s="7">
        <v>0</v>
      </c>
      <c r="AO382" s="7">
        <v>0</v>
      </c>
      <c r="AP382" s="7">
        <v>0</v>
      </c>
      <c r="AQ382" s="7">
        <v>184.9952112141217</v>
      </c>
      <c r="AR382" s="7">
        <v>362.15404831111738</v>
      </c>
      <c r="AS382" s="7">
        <v>206.85415481886</v>
      </c>
      <c r="AT382" s="7">
        <v>192.3189630969957</v>
      </c>
    </row>
    <row r="383" spans="1:46" x14ac:dyDescent="0.35">
      <c r="A383" s="5">
        <v>46022</v>
      </c>
      <c r="B383" s="4" t="s">
        <v>835</v>
      </c>
      <c r="C383" s="4" t="s">
        <v>836</v>
      </c>
      <c r="D383" s="4" t="s">
        <v>122</v>
      </c>
      <c r="E383" s="6">
        <v>106730.392924</v>
      </c>
      <c r="F383" s="6">
        <v>0</v>
      </c>
      <c r="G383" s="6">
        <v>106730.392924</v>
      </c>
      <c r="H383" s="6">
        <v>2.1346080000000001</v>
      </c>
      <c r="I383" s="6">
        <v>50000</v>
      </c>
      <c r="J383" s="6">
        <v>0</v>
      </c>
      <c r="K383" s="6">
        <v>50000</v>
      </c>
      <c r="L383" s="6">
        <v>50000</v>
      </c>
      <c r="M383" s="7">
        <v>1.033153</v>
      </c>
      <c r="N383" s="7">
        <v>0.75424000000000002</v>
      </c>
      <c r="O383" s="7">
        <v>0.44214599999999998</v>
      </c>
      <c r="P383" s="7">
        <v>4.9375330000000002</v>
      </c>
      <c r="Q383" s="7">
        <v>7.1670720000000001</v>
      </c>
      <c r="R383" s="7">
        <v>0.63872899999999999</v>
      </c>
      <c r="S383" s="7">
        <v>1.357361</v>
      </c>
      <c r="T383" s="7">
        <v>2.1552370000000001</v>
      </c>
      <c r="U383" s="7">
        <v>2.5142229999999999</v>
      </c>
      <c r="V383" s="7">
        <v>6.6655499999999996</v>
      </c>
      <c r="W383" s="7">
        <v>13.832622000000001</v>
      </c>
      <c r="X383" s="7">
        <v>1.3569907471865601</v>
      </c>
      <c r="Y383" s="7">
        <v>2.165552753539906</v>
      </c>
      <c r="Z383" s="7">
        <v>17.355165500726471</v>
      </c>
      <c r="AA383" s="7">
        <v>2.6099073474712138</v>
      </c>
      <c r="AB383" s="7">
        <v>19.965072848197678</v>
      </c>
      <c r="AC383" s="7">
        <v>6.6667000000000004E-2</v>
      </c>
      <c r="AD383" s="7">
        <v>3.369132</v>
      </c>
      <c r="AE383" s="7">
        <v>0</v>
      </c>
      <c r="AF383" s="7">
        <v>0</v>
      </c>
      <c r="AG383" s="7">
        <v>23.400871848197681</v>
      </c>
      <c r="AH383" s="7">
        <v>0.82497200000000004</v>
      </c>
      <c r="AI383" s="7">
        <v>0</v>
      </c>
      <c r="AJ383" s="7">
        <v>0.40919299999999997</v>
      </c>
      <c r="AK383" s="7">
        <v>21.265904848197678</v>
      </c>
      <c r="AL383" s="7">
        <v>5.9908070000000002</v>
      </c>
      <c r="AM383" s="7">
        <v>0</v>
      </c>
      <c r="AN383" s="7">
        <v>0</v>
      </c>
      <c r="AO383" s="7">
        <v>0</v>
      </c>
      <c r="AP383" s="7">
        <v>0</v>
      </c>
      <c r="AQ383" s="7">
        <v>27.256711848197678</v>
      </c>
      <c r="AR383" s="7">
        <v>39.985635521023113</v>
      </c>
      <c r="AS383" s="7">
        <v>22.630470020296642</v>
      </c>
      <c r="AT383" s="7">
        <v>20.02056267282542</v>
      </c>
    </row>
    <row r="384" spans="1:46" x14ac:dyDescent="0.35">
      <c r="A384" s="5">
        <v>46022</v>
      </c>
      <c r="B384" s="4" t="s">
        <v>837</v>
      </c>
      <c r="C384" s="4" t="s">
        <v>838</v>
      </c>
      <c r="D384" s="4" t="s">
        <v>61</v>
      </c>
      <c r="E384" s="6">
        <v>0</v>
      </c>
      <c r="F384" s="6">
        <v>0</v>
      </c>
      <c r="G384" s="6">
        <v>0</v>
      </c>
      <c r="H384" s="6">
        <v>0</v>
      </c>
      <c r="I384" s="6">
        <v>0</v>
      </c>
      <c r="J384" s="6">
        <v>50</v>
      </c>
      <c r="K384" s="6">
        <v>50</v>
      </c>
      <c r="L384" s="6">
        <v>50</v>
      </c>
      <c r="M384" s="7">
        <v>6.8497579999999996</v>
      </c>
      <c r="N384" s="7">
        <v>1.4440329999999999</v>
      </c>
      <c r="O384" s="7">
        <v>1.76461</v>
      </c>
      <c r="P384" s="7">
        <v>5.4828970000000004</v>
      </c>
      <c r="Q384" s="7">
        <v>15.541297999999999</v>
      </c>
      <c r="R384" s="7">
        <v>5.1583899999999998</v>
      </c>
      <c r="S384" s="7">
        <v>1.191262</v>
      </c>
      <c r="T384" s="7">
        <v>1.711106</v>
      </c>
      <c r="U384" s="7">
        <v>2.7871039999999998</v>
      </c>
      <c r="V384" s="7">
        <v>10.847861999999999</v>
      </c>
      <c r="W384" s="7">
        <v>26.38916</v>
      </c>
      <c r="X384" s="7">
        <v>2.5054801200000001</v>
      </c>
      <c r="Y384" s="7">
        <v>2.7935828618218599</v>
      </c>
      <c r="Z384" s="7">
        <v>31.688222981821859</v>
      </c>
      <c r="AA384" s="7">
        <v>7.1538402273802539</v>
      </c>
      <c r="AB384" s="7">
        <v>38.842063209202109</v>
      </c>
      <c r="AC384" s="7">
        <v>0</v>
      </c>
      <c r="AD384" s="7">
        <v>0</v>
      </c>
      <c r="AE384" s="7">
        <v>0</v>
      </c>
      <c r="AF384" s="7">
        <v>0</v>
      </c>
      <c r="AG384" s="7">
        <v>38.842063209202109</v>
      </c>
      <c r="AH384" s="7">
        <v>1.262907</v>
      </c>
      <c r="AI384" s="7">
        <v>0</v>
      </c>
      <c r="AJ384" s="7">
        <v>5.0010539999999999</v>
      </c>
      <c r="AK384" s="7">
        <v>45.106024209202111</v>
      </c>
      <c r="AL384" s="7">
        <v>0</v>
      </c>
      <c r="AM384" s="7">
        <v>0</v>
      </c>
      <c r="AN384" s="7">
        <v>0</v>
      </c>
      <c r="AO384" s="7">
        <v>0</v>
      </c>
      <c r="AP384" s="7">
        <v>0</v>
      </c>
      <c r="AQ384" s="7">
        <v>45.106024209202111</v>
      </c>
      <c r="AR384" s="7">
        <v>45.517756326754672</v>
      </c>
      <c r="AS384" s="7">
        <v>13.829533344932811</v>
      </c>
      <c r="AT384" s="7">
        <v>6.6756931175525596</v>
      </c>
    </row>
    <row r="385" spans="1:46" x14ac:dyDescent="0.35">
      <c r="A385" s="5">
        <v>46022</v>
      </c>
      <c r="B385" s="4" t="s">
        <v>839</v>
      </c>
      <c r="C385" s="4" t="s">
        <v>840</v>
      </c>
      <c r="D385" s="4" t="s">
        <v>105</v>
      </c>
      <c r="E385" s="6">
        <v>0</v>
      </c>
      <c r="F385" s="6">
        <v>0</v>
      </c>
      <c r="G385" s="6">
        <v>0</v>
      </c>
      <c r="H385" s="6">
        <v>0</v>
      </c>
      <c r="I385" s="6">
        <v>0</v>
      </c>
      <c r="J385" s="6">
        <v>5040</v>
      </c>
      <c r="K385" s="6">
        <v>5040</v>
      </c>
      <c r="L385" s="6">
        <v>5040</v>
      </c>
      <c r="M385" s="7">
        <v>29.178787</v>
      </c>
      <c r="N385" s="7">
        <v>5.6873699999999996</v>
      </c>
      <c r="O385" s="7">
        <v>4.9735620000000003</v>
      </c>
      <c r="P385" s="7">
        <v>23.031036</v>
      </c>
      <c r="Q385" s="7">
        <v>62.870754999999988</v>
      </c>
      <c r="R385" s="7">
        <v>3.1957580000000001</v>
      </c>
      <c r="S385" s="7">
        <v>1.315493</v>
      </c>
      <c r="T385" s="7">
        <v>3.8248570000000002</v>
      </c>
      <c r="U385" s="7">
        <v>2.2924709999999999</v>
      </c>
      <c r="V385" s="7">
        <v>10.628579</v>
      </c>
      <c r="W385" s="7">
        <v>73.49933399999999</v>
      </c>
      <c r="X385" s="7">
        <v>0.38293089899999999</v>
      </c>
      <c r="Y385" s="7">
        <v>6.9196192510786361</v>
      </c>
      <c r="Z385" s="7">
        <v>80.801884150078635</v>
      </c>
      <c r="AA385" s="7">
        <v>0</v>
      </c>
      <c r="AB385" s="7">
        <v>80.801884150078635</v>
      </c>
      <c r="AC385" s="7">
        <v>0</v>
      </c>
      <c r="AD385" s="7">
        <v>42.810437</v>
      </c>
      <c r="AE385" s="7">
        <v>0</v>
      </c>
      <c r="AF385" s="7">
        <v>0</v>
      </c>
      <c r="AG385" s="7">
        <v>123.6123211500786</v>
      </c>
      <c r="AH385" s="7">
        <v>1.388889</v>
      </c>
      <c r="AI385" s="7">
        <v>0.19045799999999999</v>
      </c>
      <c r="AJ385" s="7">
        <v>39.456507000000002</v>
      </c>
      <c r="AK385" s="7">
        <v>121.83773815007859</v>
      </c>
      <c r="AL385" s="7">
        <v>0</v>
      </c>
      <c r="AM385" s="7">
        <v>0</v>
      </c>
      <c r="AN385" s="7">
        <v>0</v>
      </c>
      <c r="AO385" s="7">
        <v>0</v>
      </c>
      <c r="AP385" s="7">
        <v>0</v>
      </c>
      <c r="AQ385" s="7">
        <v>121.83773815007859</v>
      </c>
      <c r="AR385" s="7">
        <v>131.14707202104731</v>
      </c>
      <c r="AS385" s="7">
        <v>50.345187870968651</v>
      </c>
      <c r="AT385" s="7">
        <v>50.345187870968651</v>
      </c>
    </row>
    <row r="386" spans="1:46" x14ac:dyDescent="0.35">
      <c r="A386" s="5">
        <v>46022</v>
      </c>
      <c r="B386" s="4" t="s">
        <v>841</v>
      </c>
      <c r="C386" s="4" t="s">
        <v>842</v>
      </c>
      <c r="D386" s="4" t="s">
        <v>69</v>
      </c>
      <c r="E386" s="6">
        <v>36296</v>
      </c>
      <c r="F386" s="6">
        <v>0</v>
      </c>
      <c r="G386" s="6">
        <v>36296</v>
      </c>
      <c r="H386" s="6">
        <v>13</v>
      </c>
      <c r="I386" s="6">
        <v>2792</v>
      </c>
      <c r="J386" s="6">
        <v>0</v>
      </c>
      <c r="K386" s="6">
        <v>2792</v>
      </c>
      <c r="L386" s="6">
        <v>3956</v>
      </c>
      <c r="M386" s="7">
        <v>5.472181</v>
      </c>
      <c r="N386" s="7">
        <v>5.0133359999999998</v>
      </c>
      <c r="O386" s="7">
        <v>0.60526100000000005</v>
      </c>
      <c r="P386" s="7">
        <v>28.865480000000002</v>
      </c>
      <c r="Q386" s="7">
        <v>39.956257999999998</v>
      </c>
      <c r="R386" s="7">
        <v>1.591504</v>
      </c>
      <c r="S386" s="7">
        <v>0.43930400000000003</v>
      </c>
      <c r="T386" s="7">
        <v>4.0611579999999998</v>
      </c>
      <c r="U386" s="7">
        <v>14.481662</v>
      </c>
      <c r="V386" s="7">
        <v>20.573627999999999</v>
      </c>
      <c r="W386" s="7">
        <v>60.529885999999998</v>
      </c>
      <c r="X386" s="7">
        <v>0.1482701097512639</v>
      </c>
      <c r="Y386" s="7">
        <v>0.41920558982406608</v>
      </c>
      <c r="Z386" s="7">
        <v>61.09736169957533</v>
      </c>
      <c r="AA386" s="7">
        <v>1.2984678808010639</v>
      </c>
      <c r="AB386" s="7">
        <v>62.3958295803764</v>
      </c>
      <c r="AC386" s="7">
        <v>0</v>
      </c>
      <c r="AD386" s="7">
        <v>13.728968</v>
      </c>
      <c r="AE386" s="7">
        <v>0</v>
      </c>
      <c r="AF386" s="7">
        <v>0</v>
      </c>
      <c r="AG386" s="7">
        <v>76.124797580376395</v>
      </c>
      <c r="AH386" s="7">
        <v>6.1859469999999996</v>
      </c>
      <c r="AI386" s="7">
        <v>0</v>
      </c>
      <c r="AJ386" s="7">
        <v>13.508554999999999</v>
      </c>
      <c r="AK386" s="7">
        <v>82.0903315803764</v>
      </c>
      <c r="AL386" s="7">
        <v>0</v>
      </c>
      <c r="AM386" s="7">
        <v>2.527806</v>
      </c>
      <c r="AN386" s="7">
        <v>0</v>
      </c>
      <c r="AO386" s="7">
        <v>0</v>
      </c>
      <c r="AP386" s="7">
        <v>0</v>
      </c>
      <c r="AQ386" s="7">
        <v>84.618137580376398</v>
      </c>
      <c r="AR386" s="7">
        <v>108.8082300347132</v>
      </c>
      <c r="AS386" s="7">
        <v>47.710868335137832</v>
      </c>
      <c r="AT386" s="7">
        <v>46.412400454336762</v>
      </c>
    </row>
    <row r="387" spans="1:46" x14ac:dyDescent="0.35">
      <c r="A387" s="5">
        <v>46022</v>
      </c>
      <c r="B387" s="4" t="s">
        <v>843</v>
      </c>
      <c r="C387" s="4" t="s">
        <v>844</v>
      </c>
      <c r="D387" s="4" t="s">
        <v>111</v>
      </c>
      <c r="E387" s="6">
        <v>0</v>
      </c>
      <c r="F387" s="6">
        <v>0</v>
      </c>
      <c r="G387" s="6">
        <v>0</v>
      </c>
      <c r="H387" s="6">
        <v>0</v>
      </c>
      <c r="I387" s="6">
        <v>0</v>
      </c>
      <c r="J387" s="6">
        <v>2677</v>
      </c>
      <c r="K387" s="6">
        <v>2677</v>
      </c>
      <c r="L387" s="6">
        <v>2677</v>
      </c>
      <c r="M387" s="7">
        <v>18.883984000000002</v>
      </c>
      <c r="N387" s="7">
        <v>2.6501229999999998</v>
      </c>
      <c r="O387" s="7">
        <v>3.190906</v>
      </c>
      <c r="P387" s="7">
        <v>14.910253000000001</v>
      </c>
      <c r="Q387" s="7">
        <v>39.635266000000001</v>
      </c>
      <c r="R387" s="7">
        <v>1.2546299999999999</v>
      </c>
      <c r="S387" s="7">
        <v>1.9913099999999999</v>
      </c>
      <c r="T387" s="7">
        <v>8.9227529999999984</v>
      </c>
      <c r="U387" s="7">
        <v>3.099532</v>
      </c>
      <c r="V387" s="7">
        <v>15.268224999999999</v>
      </c>
      <c r="W387" s="7">
        <v>54.903491000000002</v>
      </c>
      <c r="X387" s="7">
        <v>2.9842007223830409</v>
      </c>
      <c r="Y387" s="7">
        <v>7.3156909083823569</v>
      </c>
      <c r="Z387" s="7">
        <v>65.203382630765404</v>
      </c>
      <c r="AA387" s="7">
        <v>0.46055567144180221</v>
      </c>
      <c r="AB387" s="7">
        <v>65.6639383022072</v>
      </c>
      <c r="AC387" s="7">
        <v>0</v>
      </c>
      <c r="AD387" s="7">
        <v>9.3782929999999975</v>
      </c>
      <c r="AE387" s="7">
        <v>0</v>
      </c>
      <c r="AF387" s="7">
        <v>0</v>
      </c>
      <c r="AG387" s="7">
        <v>75.042231302207199</v>
      </c>
      <c r="AH387" s="7">
        <v>9.6684219999999996</v>
      </c>
      <c r="AI387" s="7">
        <v>0</v>
      </c>
      <c r="AJ387" s="7">
        <v>4.592384</v>
      </c>
      <c r="AK387" s="7">
        <v>79.924744302207202</v>
      </c>
      <c r="AL387" s="7">
        <v>0</v>
      </c>
      <c r="AM387" s="7">
        <v>0</v>
      </c>
      <c r="AN387" s="7">
        <v>0</v>
      </c>
      <c r="AO387" s="7">
        <v>0</v>
      </c>
      <c r="AP387" s="7">
        <v>0</v>
      </c>
      <c r="AQ387" s="7">
        <v>79.924744302207202</v>
      </c>
      <c r="AR387" s="7">
        <v>69.384195902916971</v>
      </c>
      <c r="AS387" s="7">
        <v>4.1808132721515729</v>
      </c>
      <c r="AT387" s="7">
        <v>3.720257600709771</v>
      </c>
    </row>
    <row r="388" spans="1:46" x14ac:dyDescent="0.35">
      <c r="A388" s="5">
        <v>46022</v>
      </c>
      <c r="B388" s="4" t="s">
        <v>845</v>
      </c>
      <c r="C388" s="4" t="s">
        <v>846</v>
      </c>
      <c r="D388" s="4" t="s">
        <v>61</v>
      </c>
      <c r="E388" s="6">
        <v>6967.04</v>
      </c>
      <c r="F388" s="6">
        <v>0</v>
      </c>
      <c r="G388" s="6">
        <v>6967.04</v>
      </c>
      <c r="H388" s="6">
        <v>2</v>
      </c>
      <c r="I388" s="6">
        <v>3483.52</v>
      </c>
      <c r="J388" s="6">
        <v>0</v>
      </c>
      <c r="K388" s="6">
        <v>3483.52</v>
      </c>
      <c r="L388" s="6">
        <v>3483.52</v>
      </c>
      <c r="M388" s="7">
        <v>1.0691489999999999</v>
      </c>
      <c r="N388" s="7">
        <v>1.2208209999999999</v>
      </c>
      <c r="O388" s="7">
        <v>8.3598000000000006E-2</v>
      </c>
      <c r="P388" s="7">
        <v>2.220297</v>
      </c>
      <c r="Q388" s="7">
        <v>4.5938650000000001</v>
      </c>
      <c r="R388" s="7">
        <v>1.7672410000000001</v>
      </c>
      <c r="S388" s="7">
        <v>1.897313</v>
      </c>
      <c r="T388" s="7">
        <v>1.431559</v>
      </c>
      <c r="U388" s="7">
        <v>2.8625769999999999</v>
      </c>
      <c r="V388" s="7">
        <v>7.9586899999999998</v>
      </c>
      <c r="W388" s="7">
        <v>12.552555</v>
      </c>
      <c r="X388" s="7">
        <v>0.79518225114189101</v>
      </c>
      <c r="Y388" s="7">
        <v>27.40751023332189</v>
      </c>
      <c r="Z388" s="7">
        <v>40.75524748446378</v>
      </c>
      <c r="AA388" s="7">
        <v>2.3309301561576898</v>
      </c>
      <c r="AB388" s="7">
        <v>43.086177640621472</v>
      </c>
      <c r="AC388" s="7">
        <v>0</v>
      </c>
      <c r="AD388" s="7">
        <v>2.0783619999999998</v>
      </c>
      <c r="AE388" s="7">
        <v>0</v>
      </c>
      <c r="AF388" s="7">
        <v>0</v>
      </c>
      <c r="AG388" s="7">
        <v>45.16453964062147</v>
      </c>
      <c r="AH388" s="7">
        <v>0.29763200000000001</v>
      </c>
      <c r="AI388" s="7">
        <v>0</v>
      </c>
      <c r="AJ388" s="7">
        <v>0.73478900000000003</v>
      </c>
      <c r="AK388" s="7">
        <v>44.118598640621471</v>
      </c>
      <c r="AL388" s="7">
        <v>0</v>
      </c>
      <c r="AM388" s="7">
        <v>0</v>
      </c>
      <c r="AN388" s="7">
        <v>0</v>
      </c>
      <c r="AO388" s="7">
        <v>0</v>
      </c>
      <c r="AP388" s="7">
        <v>0</v>
      </c>
      <c r="AQ388" s="7">
        <v>44.118598640621471</v>
      </c>
      <c r="AR388" s="7">
        <v>163.62463244808049</v>
      </c>
      <c r="AS388" s="7">
        <v>122.8693849636168</v>
      </c>
      <c r="AT388" s="7">
        <v>120.5384548074591</v>
      </c>
    </row>
    <row r="389" spans="1:46" x14ac:dyDescent="0.35">
      <c r="A389" s="5">
        <v>46022</v>
      </c>
      <c r="B389" s="4" t="s">
        <v>847</v>
      </c>
      <c r="C389" s="4" t="s">
        <v>848</v>
      </c>
      <c r="D389" s="4" t="s">
        <v>61</v>
      </c>
      <c r="E389" s="6">
        <v>0</v>
      </c>
      <c r="F389" s="6">
        <v>0</v>
      </c>
      <c r="G389" s="6">
        <v>0</v>
      </c>
      <c r="H389" s="6">
        <v>0</v>
      </c>
      <c r="I389" s="6">
        <v>0</v>
      </c>
      <c r="J389" s="6">
        <v>1261.673554</v>
      </c>
      <c r="K389" s="6">
        <v>1261.673554</v>
      </c>
      <c r="L389" s="6">
        <v>1261.673554</v>
      </c>
      <c r="M389" s="7">
        <v>8.6573100000000007</v>
      </c>
      <c r="N389" s="7">
        <v>0.48680600000000002</v>
      </c>
      <c r="O389" s="7">
        <v>3.1984949999999999</v>
      </c>
      <c r="P389" s="7">
        <v>2.8900860000000002</v>
      </c>
      <c r="Q389" s="7">
        <v>15.232697</v>
      </c>
      <c r="R389" s="7">
        <v>1.803258</v>
      </c>
      <c r="S389" s="7">
        <v>0.87772099999999997</v>
      </c>
      <c r="T389" s="7">
        <v>3.982729</v>
      </c>
      <c r="U389" s="7">
        <v>4.4076919999999999</v>
      </c>
      <c r="V389" s="7">
        <v>11.071400000000001</v>
      </c>
      <c r="W389" s="7">
        <v>26.304096999999999</v>
      </c>
      <c r="X389" s="7">
        <v>0.78785292374924432</v>
      </c>
      <c r="Y389" s="7">
        <v>5.3996644112582359</v>
      </c>
      <c r="Z389" s="7">
        <v>32.491614335007483</v>
      </c>
      <c r="AA389" s="7">
        <v>4.965164190309352</v>
      </c>
      <c r="AB389" s="7">
        <v>37.456778525316828</v>
      </c>
      <c r="AC389" s="7">
        <v>0</v>
      </c>
      <c r="AD389" s="7">
        <v>2.4724309999999998</v>
      </c>
      <c r="AE389" s="7">
        <v>0</v>
      </c>
      <c r="AF389" s="7">
        <v>0</v>
      </c>
      <c r="AG389" s="7">
        <v>39.929209525316828</v>
      </c>
      <c r="AH389" s="7">
        <v>2.2617120000000002</v>
      </c>
      <c r="AI389" s="7">
        <v>0</v>
      </c>
      <c r="AJ389" s="7">
        <v>1.4469339999999999</v>
      </c>
      <c r="AK389" s="7">
        <v>41.16542452531683</v>
      </c>
      <c r="AL389" s="7">
        <v>0</v>
      </c>
      <c r="AM389" s="7">
        <v>0</v>
      </c>
      <c r="AN389" s="7">
        <v>0</v>
      </c>
      <c r="AO389" s="7">
        <v>0</v>
      </c>
      <c r="AP389" s="7">
        <v>0</v>
      </c>
      <c r="AQ389" s="7">
        <v>41.16542452531683</v>
      </c>
      <c r="AR389" s="7">
        <v>100.8418941637734</v>
      </c>
      <c r="AS389" s="7">
        <v>68.350279828765935</v>
      </c>
      <c r="AT389" s="7">
        <v>63.38511563845659</v>
      </c>
    </row>
    <row r="390" spans="1:46" x14ac:dyDescent="0.35">
      <c r="A390" s="5">
        <v>46022</v>
      </c>
      <c r="B390" s="4" t="s">
        <v>849</v>
      </c>
      <c r="C390" s="4" t="s">
        <v>850</v>
      </c>
      <c r="D390" s="4" t="s">
        <v>61</v>
      </c>
      <c r="E390" s="6">
        <v>0</v>
      </c>
      <c r="F390" s="6">
        <v>0</v>
      </c>
      <c r="G390" s="6">
        <v>0</v>
      </c>
      <c r="H390" s="6">
        <v>0</v>
      </c>
      <c r="I390" s="6">
        <v>0</v>
      </c>
      <c r="J390" s="6">
        <v>55.52</v>
      </c>
      <c r="K390" s="6">
        <v>55.52</v>
      </c>
      <c r="L390" s="6">
        <v>55.52</v>
      </c>
      <c r="M390" s="7">
        <v>8.3177640000000004</v>
      </c>
      <c r="N390" s="7">
        <v>0.293601</v>
      </c>
      <c r="O390" s="7">
        <v>2.8851179999999998</v>
      </c>
      <c r="P390" s="7">
        <v>4.7976809999999999</v>
      </c>
      <c r="Q390" s="7">
        <v>16.294163999999999</v>
      </c>
      <c r="R390" s="7">
        <v>2.4527640000000002</v>
      </c>
      <c r="S390" s="7">
        <v>1.6070800000000001</v>
      </c>
      <c r="T390" s="7">
        <v>3.9948579999999998</v>
      </c>
      <c r="U390" s="7">
        <v>6.147729</v>
      </c>
      <c r="V390" s="7">
        <v>14.202431000000001</v>
      </c>
      <c r="W390" s="7">
        <v>30.496594999999999</v>
      </c>
      <c r="X390" s="7">
        <v>1.085993991534582</v>
      </c>
      <c r="Y390" s="7">
        <v>4.2149545407115179</v>
      </c>
      <c r="Z390" s="7">
        <v>35.797543532246102</v>
      </c>
      <c r="AA390" s="7">
        <v>5.2245436513668801</v>
      </c>
      <c r="AB390" s="7">
        <v>41.022087183612982</v>
      </c>
      <c r="AC390" s="7">
        <v>0</v>
      </c>
      <c r="AD390" s="7">
        <v>2.3516189999999999</v>
      </c>
      <c r="AE390" s="7">
        <v>0</v>
      </c>
      <c r="AF390" s="7">
        <v>0</v>
      </c>
      <c r="AG390" s="7">
        <v>43.373706183612981</v>
      </c>
      <c r="AH390" s="7">
        <v>3.991009</v>
      </c>
      <c r="AI390" s="7">
        <v>0</v>
      </c>
      <c r="AJ390" s="7">
        <v>4.0317480000000003</v>
      </c>
      <c r="AK390" s="7">
        <v>49.04484418361298</v>
      </c>
      <c r="AL390" s="7">
        <v>0</v>
      </c>
      <c r="AM390" s="7">
        <v>0</v>
      </c>
      <c r="AN390" s="7">
        <v>0</v>
      </c>
      <c r="AO390" s="7">
        <v>0</v>
      </c>
      <c r="AP390" s="7">
        <v>0</v>
      </c>
      <c r="AQ390" s="7">
        <v>49.04484418361298</v>
      </c>
      <c r="AR390" s="7">
        <v>92.331179183116035</v>
      </c>
      <c r="AS390" s="7">
        <v>56.533635650869932</v>
      </c>
      <c r="AT390" s="7">
        <v>51.309091999503053</v>
      </c>
    </row>
    <row r="391" spans="1:46" x14ac:dyDescent="0.35">
      <c r="A391" s="5">
        <v>46022</v>
      </c>
      <c r="B391" s="4" t="s">
        <v>851</v>
      </c>
      <c r="C391" s="4" t="s">
        <v>852</v>
      </c>
      <c r="D391" s="4" t="s">
        <v>61</v>
      </c>
      <c r="E391" s="6">
        <v>3432</v>
      </c>
      <c r="F391" s="6">
        <v>0</v>
      </c>
      <c r="G391" s="6">
        <v>3432</v>
      </c>
      <c r="H391" s="6">
        <v>3.8133330000000001</v>
      </c>
      <c r="I391" s="6">
        <v>900</v>
      </c>
      <c r="J391" s="6">
        <v>200</v>
      </c>
      <c r="K391" s="6">
        <v>1100</v>
      </c>
      <c r="L391" s="6">
        <v>1100</v>
      </c>
      <c r="M391" s="7">
        <v>10.592658999999999</v>
      </c>
      <c r="N391" s="7">
        <v>2.0945930000000001</v>
      </c>
      <c r="O391" s="7">
        <v>6.3531180000000003</v>
      </c>
      <c r="P391" s="7">
        <v>7.0908769999999999</v>
      </c>
      <c r="Q391" s="7">
        <v>26.131246999999998</v>
      </c>
      <c r="R391" s="7">
        <v>0.62990400000000002</v>
      </c>
      <c r="S391" s="7">
        <v>1.6990339999999999</v>
      </c>
      <c r="T391" s="7">
        <v>3.042268</v>
      </c>
      <c r="U391" s="7">
        <v>4.6618899999999996</v>
      </c>
      <c r="V391" s="7">
        <v>10.033096</v>
      </c>
      <c r="W391" s="7">
        <v>36.164343000000002</v>
      </c>
      <c r="X391" s="7">
        <v>0.29137750058181822</v>
      </c>
      <c r="Y391" s="7">
        <v>3.3761062087626081</v>
      </c>
      <c r="Z391" s="7">
        <v>39.831826709344433</v>
      </c>
      <c r="AA391" s="7">
        <v>1.828350939044231</v>
      </c>
      <c r="AB391" s="7">
        <v>41.660177648388661</v>
      </c>
      <c r="AC391" s="7">
        <v>0</v>
      </c>
      <c r="AD391" s="7">
        <v>1.945635</v>
      </c>
      <c r="AE391" s="7">
        <v>0</v>
      </c>
      <c r="AF391" s="7">
        <v>0</v>
      </c>
      <c r="AG391" s="7">
        <v>43.605812648388657</v>
      </c>
      <c r="AH391" s="7">
        <v>2.9008919999999998</v>
      </c>
      <c r="AI391" s="7">
        <v>0</v>
      </c>
      <c r="AJ391" s="7">
        <v>1.889443</v>
      </c>
      <c r="AK391" s="7">
        <v>46.45051264838866</v>
      </c>
      <c r="AL391" s="7">
        <v>0</v>
      </c>
      <c r="AM391" s="7">
        <v>0</v>
      </c>
      <c r="AN391" s="7">
        <v>0</v>
      </c>
      <c r="AO391" s="7">
        <v>0</v>
      </c>
      <c r="AP391" s="7">
        <v>0</v>
      </c>
      <c r="AQ391" s="7">
        <v>46.45051264838866</v>
      </c>
      <c r="AR391" s="7">
        <v>91.246162267280255</v>
      </c>
      <c r="AS391" s="7">
        <v>51.414335557935821</v>
      </c>
      <c r="AT391" s="7">
        <v>49.585984618891587</v>
      </c>
    </row>
    <row r="392" spans="1:46" x14ac:dyDescent="0.35">
      <c r="A392" s="5">
        <v>46022</v>
      </c>
      <c r="B392" s="4" t="s">
        <v>853</v>
      </c>
      <c r="C392" s="4" t="s">
        <v>854</v>
      </c>
      <c r="D392" s="4" t="s">
        <v>50</v>
      </c>
      <c r="E392" s="6">
        <v>0</v>
      </c>
      <c r="F392" s="6">
        <v>0</v>
      </c>
      <c r="G392" s="6">
        <v>0</v>
      </c>
      <c r="H392" s="6">
        <v>0</v>
      </c>
      <c r="I392" s="6">
        <v>0</v>
      </c>
      <c r="J392" s="6">
        <v>581</v>
      </c>
      <c r="K392" s="6">
        <v>581</v>
      </c>
      <c r="L392" s="6">
        <v>581</v>
      </c>
      <c r="M392" s="7">
        <v>19.292871999999999</v>
      </c>
      <c r="N392" s="7">
        <v>24.477630000000001</v>
      </c>
      <c r="O392" s="7">
        <v>5.0447319999999998</v>
      </c>
      <c r="P392" s="7">
        <v>30.873156999999999</v>
      </c>
      <c r="Q392" s="7">
        <v>79.688390999999996</v>
      </c>
      <c r="R392" s="7">
        <v>2.9668410000000001</v>
      </c>
      <c r="S392" s="7">
        <v>2.775013</v>
      </c>
      <c r="T392" s="7">
        <v>2.5185179999999998</v>
      </c>
      <c r="U392" s="7">
        <v>7.6310799999999999</v>
      </c>
      <c r="V392" s="7">
        <v>15.891451999999999</v>
      </c>
      <c r="W392" s="7">
        <v>95.579842999999997</v>
      </c>
      <c r="X392" s="7">
        <v>3.7280646080084341</v>
      </c>
      <c r="Y392" s="7">
        <v>33.32849844345003</v>
      </c>
      <c r="Z392" s="7">
        <v>132.63640605145849</v>
      </c>
      <c r="AA392" s="7">
        <v>1.3733446857287519</v>
      </c>
      <c r="AB392" s="7">
        <v>134.0097507371872</v>
      </c>
      <c r="AC392" s="7">
        <v>1.884846</v>
      </c>
      <c r="AD392" s="7">
        <v>31.611802000000001</v>
      </c>
      <c r="AE392" s="7">
        <v>0</v>
      </c>
      <c r="AF392" s="7">
        <v>0</v>
      </c>
      <c r="AG392" s="7">
        <v>167.5063987371872</v>
      </c>
      <c r="AH392" s="7">
        <v>10.748692</v>
      </c>
      <c r="AI392" s="7">
        <v>0</v>
      </c>
      <c r="AJ392" s="7">
        <v>16.715239</v>
      </c>
      <c r="AK392" s="7">
        <v>163.35852773718719</v>
      </c>
      <c r="AL392" s="7">
        <v>0</v>
      </c>
      <c r="AM392" s="7">
        <v>0</v>
      </c>
      <c r="AN392" s="7">
        <v>0</v>
      </c>
      <c r="AO392" s="7">
        <v>0</v>
      </c>
      <c r="AP392" s="7">
        <v>0</v>
      </c>
      <c r="AQ392" s="7">
        <v>163.35852773718719</v>
      </c>
      <c r="AR392" s="7">
        <v>162.90406978925449</v>
      </c>
      <c r="AS392" s="7">
        <v>30.26766373779607</v>
      </c>
      <c r="AT392" s="7">
        <v>28.894319052067321</v>
      </c>
    </row>
    <row r="393" spans="1:46" x14ac:dyDescent="0.35">
      <c r="A393" s="5">
        <v>46022</v>
      </c>
      <c r="B393" s="4" t="s">
        <v>855</v>
      </c>
      <c r="C393" s="4" t="s">
        <v>856</v>
      </c>
      <c r="D393" s="4" t="s">
        <v>61</v>
      </c>
      <c r="E393" s="6">
        <v>0</v>
      </c>
      <c r="F393" s="6">
        <v>0</v>
      </c>
      <c r="G393" s="6">
        <v>0</v>
      </c>
      <c r="H393" s="6">
        <v>0</v>
      </c>
      <c r="I393" s="6">
        <v>0</v>
      </c>
      <c r="J393" s="6">
        <v>1250</v>
      </c>
      <c r="K393" s="6">
        <v>1250</v>
      </c>
      <c r="L393" s="6">
        <v>1250</v>
      </c>
      <c r="M393" s="7">
        <v>3.3815390000000001</v>
      </c>
      <c r="N393" s="7">
        <v>0</v>
      </c>
      <c r="O393" s="7">
        <v>1.791371</v>
      </c>
      <c r="P393" s="7">
        <v>3.6779329999999999</v>
      </c>
      <c r="Q393" s="7">
        <v>8.8508429999999993</v>
      </c>
      <c r="R393" s="7">
        <v>0.81050599999999995</v>
      </c>
      <c r="S393" s="7">
        <v>0.88974399999999998</v>
      </c>
      <c r="T393" s="7">
        <v>3.3866860000000001</v>
      </c>
      <c r="U393" s="7">
        <v>2.8895759999999999</v>
      </c>
      <c r="V393" s="7">
        <v>7.9765119999999996</v>
      </c>
      <c r="W393" s="7">
        <v>16.827355000000001</v>
      </c>
      <c r="X393" s="7">
        <v>0.29208735188480001</v>
      </c>
      <c r="Y393" s="7">
        <v>1.9807849999138529</v>
      </c>
      <c r="Z393" s="7">
        <v>19.100227351798651</v>
      </c>
      <c r="AA393" s="7">
        <v>3.7473663983608199</v>
      </c>
      <c r="AB393" s="7">
        <v>22.847593750159469</v>
      </c>
      <c r="AC393" s="7">
        <v>0</v>
      </c>
      <c r="AD393" s="7">
        <v>0.44953300000000002</v>
      </c>
      <c r="AE393" s="7">
        <v>0</v>
      </c>
      <c r="AF393" s="7">
        <v>0</v>
      </c>
      <c r="AG393" s="7">
        <v>23.297126750159471</v>
      </c>
      <c r="AH393" s="7">
        <v>1.2193579999999999</v>
      </c>
      <c r="AI393" s="7">
        <v>0</v>
      </c>
      <c r="AJ393" s="7">
        <v>0.97070999999999996</v>
      </c>
      <c r="AK393" s="7">
        <v>25.037661750159469</v>
      </c>
      <c r="AL393" s="7">
        <v>0</v>
      </c>
      <c r="AM393" s="7">
        <v>0</v>
      </c>
      <c r="AN393" s="7">
        <v>0</v>
      </c>
      <c r="AO393" s="7">
        <v>0</v>
      </c>
      <c r="AP393" s="7">
        <v>0</v>
      </c>
      <c r="AQ393" s="7">
        <v>25.037661750159469</v>
      </c>
      <c r="AR393" s="7">
        <v>38.757753606083533</v>
      </c>
      <c r="AS393" s="7">
        <v>19.657526254284878</v>
      </c>
      <c r="AT393" s="7">
        <v>15.910159855924061</v>
      </c>
    </row>
    <row r="394" spans="1:46" x14ac:dyDescent="0.35">
      <c r="A394" s="5">
        <v>46022</v>
      </c>
      <c r="B394" s="4" t="s">
        <v>857</v>
      </c>
      <c r="C394" s="4" t="s">
        <v>858</v>
      </c>
      <c r="D394" s="4" t="s">
        <v>61</v>
      </c>
      <c r="E394" s="6">
        <v>7085.0466219999998</v>
      </c>
      <c r="F394" s="6">
        <v>0</v>
      </c>
      <c r="G394" s="6">
        <v>7085.0466219999998</v>
      </c>
      <c r="H394" s="6">
        <v>4.2</v>
      </c>
      <c r="I394" s="6">
        <v>1686.9158620000001</v>
      </c>
      <c r="J394" s="6">
        <v>1686.9158620000001</v>
      </c>
      <c r="K394" s="6">
        <v>3373.831725</v>
      </c>
      <c r="L394" s="6">
        <v>3373.831725</v>
      </c>
      <c r="M394" s="7">
        <v>4.0793299999999997</v>
      </c>
      <c r="N394" s="7">
        <v>2.1425480000000001</v>
      </c>
      <c r="O394" s="7">
        <v>0.10391300000000001</v>
      </c>
      <c r="P394" s="7">
        <v>2.908582</v>
      </c>
      <c r="Q394" s="7">
        <v>9.2343729999999997</v>
      </c>
      <c r="R394" s="7">
        <v>2.1079509999999999</v>
      </c>
      <c r="S394" s="7">
        <v>1.2312540000000001</v>
      </c>
      <c r="T394" s="7">
        <v>3.3700459999999999</v>
      </c>
      <c r="U394" s="7">
        <v>4.2277769999999997</v>
      </c>
      <c r="V394" s="7">
        <v>10.937028</v>
      </c>
      <c r="W394" s="7">
        <v>20.171400999999999</v>
      </c>
      <c r="X394" s="7">
        <v>1.286238499454504</v>
      </c>
      <c r="Y394" s="7">
        <v>16.374345297920531</v>
      </c>
      <c r="Z394" s="7">
        <v>37.831984797375029</v>
      </c>
      <c r="AA394" s="7">
        <v>4.0827987905145582</v>
      </c>
      <c r="AB394" s="7">
        <v>41.914783587889588</v>
      </c>
      <c r="AC394" s="7">
        <v>0</v>
      </c>
      <c r="AD394" s="7">
        <v>1.095736</v>
      </c>
      <c r="AE394" s="7">
        <v>0</v>
      </c>
      <c r="AF394" s="7">
        <v>0</v>
      </c>
      <c r="AG394" s="7">
        <v>43.01051958788959</v>
      </c>
      <c r="AH394" s="7">
        <v>1.947039</v>
      </c>
      <c r="AI394" s="7">
        <v>0</v>
      </c>
      <c r="AJ394" s="7">
        <v>1.715249</v>
      </c>
      <c r="AK394" s="7">
        <v>45.577071587889591</v>
      </c>
      <c r="AL394" s="7">
        <v>0</v>
      </c>
      <c r="AM394" s="7">
        <v>0</v>
      </c>
      <c r="AN394" s="7">
        <v>0</v>
      </c>
      <c r="AO394" s="7">
        <v>0</v>
      </c>
      <c r="AP394" s="7">
        <v>0</v>
      </c>
      <c r="AQ394" s="7">
        <v>45.577071587889591</v>
      </c>
      <c r="AR394" s="7">
        <v>119.1304145073459</v>
      </c>
      <c r="AS394" s="7">
        <v>81.298429709970819</v>
      </c>
      <c r="AT394" s="7">
        <v>77.215630919456274</v>
      </c>
    </row>
    <row r="395" spans="1:46" x14ac:dyDescent="0.35">
      <c r="A395" s="5">
        <v>46022</v>
      </c>
      <c r="B395" s="4" t="s">
        <v>859</v>
      </c>
      <c r="C395" s="4" t="s">
        <v>860</v>
      </c>
      <c r="D395" s="4" t="s">
        <v>61</v>
      </c>
      <c r="E395" s="6">
        <v>0</v>
      </c>
      <c r="F395" s="6">
        <v>0</v>
      </c>
      <c r="G395" s="6">
        <v>0</v>
      </c>
      <c r="H395" s="6">
        <v>0</v>
      </c>
      <c r="I395" s="6">
        <v>0</v>
      </c>
      <c r="J395" s="6">
        <v>1750</v>
      </c>
      <c r="K395" s="6">
        <v>1750</v>
      </c>
      <c r="L395" s="6">
        <v>1850</v>
      </c>
      <c r="M395" s="7">
        <v>10.670916</v>
      </c>
      <c r="N395" s="7">
        <v>0.29265000000000002</v>
      </c>
      <c r="O395" s="7">
        <v>5.790108</v>
      </c>
      <c r="P395" s="7">
        <v>4.9261720000000002</v>
      </c>
      <c r="Q395" s="7">
        <v>21.679846000000001</v>
      </c>
      <c r="R395" s="7">
        <v>5.2044940000000004</v>
      </c>
      <c r="S395" s="7">
        <v>0.89454400000000001</v>
      </c>
      <c r="T395" s="7">
        <v>3.3399209999999999</v>
      </c>
      <c r="U395" s="7">
        <v>2.5688240000000002</v>
      </c>
      <c r="V395" s="7">
        <v>12.007783</v>
      </c>
      <c r="W395" s="7">
        <v>33.687629000000001</v>
      </c>
      <c r="X395" s="7">
        <v>0.21362675040000001</v>
      </c>
      <c r="Y395" s="7">
        <v>2.622785223460526</v>
      </c>
      <c r="Z395" s="7">
        <v>36.524040973860529</v>
      </c>
      <c r="AA395" s="7">
        <v>4.6226234702755926</v>
      </c>
      <c r="AB395" s="7">
        <v>41.146664444136121</v>
      </c>
      <c r="AC395" s="7">
        <v>0</v>
      </c>
      <c r="AD395" s="7">
        <v>0.632656</v>
      </c>
      <c r="AE395" s="7">
        <v>0</v>
      </c>
      <c r="AF395" s="7">
        <v>0</v>
      </c>
      <c r="AG395" s="7">
        <v>41.779320444136118</v>
      </c>
      <c r="AH395" s="7">
        <v>1.4814909999999999</v>
      </c>
      <c r="AI395" s="7">
        <v>0</v>
      </c>
      <c r="AJ395" s="7">
        <v>2.8941180000000002</v>
      </c>
      <c r="AK395" s="7">
        <v>45.522273444136118</v>
      </c>
      <c r="AL395" s="7">
        <v>0</v>
      </c>
      <c r="AM395" s="7">
        <v>0</v>
      </c>
      <c r="AN395" s="7">
        <v>0</v>
      </c>
      <c r="AO395" s="7">
        <v>0</v>
      </c>
      <c r="AP395" s="7">
        <v>0</v>
      </c>
      <c r="AQ395" s="7">
        <v>45.522273444136118</v>
      </c>
      <c r="AR395" s="7">
        <v>48.662738859883909</v>
      </c>
      <c r="AS395" s="7">
        <v>12.13869788602338</v>
      </c>
      <c r="AT395" s="7">
        <v>7.5160744157477923</v>
      </c>
    </row>
    <row r="396" spans="1:46" x14ac:dyDescent="0.35">
      <c r="A396" s="5">
        <v>46022</v>
      </c>
      <c r="B396" s="4" t="s">
        <v>861</v>
      </c>
      <c r="C396" s="4" t="s">
        <v>862</v>
      </c>
      <c r="D396" s="4" t="s">
        <v>61</v>
      </c>
      <c r="E396" s="6">
        <v>45865.187102999997</v>
      </c>
      <c r="F396" s="6">
        <v>0</v>
      </c>
      <c r="G396" s="6">
        <v>45865.187102999997</v>
      </c>
      <c r="H396" s="6">
        <v>3.118833</v>
      </c>
      <c r="I396" s="6">
        <v>14705.882353000001</v>
      </c>
      <c r="J396" s="6">
        <v>0</v>
      </c>
      <c r="K396" s="6">
        <v>14705.882353000001</v>
      </c>
      <c r="L396" s="6">
        <v>14705.882353000001</v>
      </c>
      <c r="M396" s="7">
        <v>2.4507159999999999</v>
      </c>
      <c r="N396" s="7">
        <v>0.656281</v>
      </c>
      <c r="O396" s="7">
        <v>0.27179799999999998</v>
      </c>
      <c r="P396" s="7">
        <v>2.2548849999999998</v>
      </c>
      <c r="Q396" s="7">
        <v>5.63368</v>
      </c>
      <c r="R396" s="7">
        <v>0.50157200000000002</v>
      </c>
      <c r="S396" s="7">
        <v>0.93265500000000001</v>
      </c>
      <c r="T396" s="7">
        <v>2.64839</v>
      </c>
      <c r="U396" s="7">
        <v>1.8989720000000001</v>
      </c>
      <c r="V396" s="7">
        <v>5.9815889999999996</v>
      </c>
      <c r="W396" s="7">
        <v>11.615269</v>
      </c>
      <c r="X396" s="7">
        <v>2.743335294761827</v>
      </c>
      <c r="Y396" s="7">
        <v>3.5866876908363059</v>
      </c>
      <c r="Z396" s="7">
        <v>17.945291985598129</v>
      </c>
      <c r="AA396" s="7">
        <v>3.023302017622401</v>
      </c>
      <c r="AB396" s="7">
        <v>20.968594003220531</v>
      </c>
      <c r="AC396" s="7">
        <v>0</v>
      </c>
      <c r="AD396" s="7">
        <v>0.89988299999999999</v>
      </c>
      <c r="AE396" s="7">
        <v>0</v>
      </c>
      <c r="AF396" s="7">
        <v>0</v>
      </c>
      <c r="AG396" s="7">
        <v>21.86847700322053</v>
      </c>
      <c r="AH396" s="7">
        <v>0.98102400000000001</v>
      </c>
      <c r="AI396" s="7">
        <v>0</v>
      </c>
      <c r="AJ396" s="7">
        <v>1.1294660000000001</v>
      </c>
      <c r="AK396" s="7">
        <v>23.07908400322053</v>
      </c>
      <c r="AL396" s="7">
        <v>0</v>
      </c>
      <c r="AM396" s="7">
        <v>0</v>
      </c>
      <c r="AN396" s="7">
        <v>0</v>
      </c>
      <c r="AO396" s="7">
        <v>0</v>
      </c>
      <c r="AP396" s="7">
        <v>0</v>
      </c>
      <c r="AQ396" s="7">
        <v>23.07908400322053</v>
      </c>
      <c r="AR396" s="7">
        <v>75.582675073953396</v>
      </c>
      <c r="AS396" s="7">
        <v>57.637383088355271</v>
      </c>
      <c r="AT396" s="7">
        <v>54.614081070732858</v>
      </c>
    </row>
    <row r="397" spans="1:46" x14ac:dyDescent="0.35">
      <c r="A397" s="5">
        <v>46022</v>
      </c>
      <c r="B397" s="4" t="s">
        <v>863</v>
      </c>
      <c r="C397" s="4" t="s">
        <v>864</v>
      </c>
      <c r="D397" s="4" t="s">
        <v>748</v>
      </c>
      <c r="E397" s="6">
        <v>62400</v>
      </c>
      <c r="F397" s="6">
        <v>0</v>
      </c>
      <c r="G397" s="6">
        <v>62400</v>
      </c>
      <c r="H397" s="6">
        <v>1.56</v>
      </c>
      <c r="I397" s="6">
        <v>40000</v>
      </c>
      <c r="J397" s="6">
        <v>0</v>
      </c>
      <c r="K397" s="6">
        <v>40000</v>
      </c>
      <c r="L397" s="6">
        <v>40000</v>
      </c>
      <c r="M397" s="7">
        <v>1.586627</v>
      </c>
      <c r="N397" s="7">
        <v>0.69076599999999999</v>
      </c>
      <c r="O397" s="7">
        <v>2.1617000000000001E-2</v>
      </c>
      <c r="P397" s="7">
        <v>1.0982799999999999</v>
      </c>
      <c r="Q397" s="7">
        <v>3.3972899999999999</v>
      </c>
      <c r="R397" s="7">
        <v>1.1692560000000001</v>
      </c>
      <c r="S397" s="7">
        <v>0.767231</v>
      </c>
      <c r="T397" s="7">
        <v>1.970548</v>
      </c>
      <c r="U397" s="7">
        <v>1.476348</v>
      </c>
      <c r="V397" s="7">
        <v>5.3833830000000003</v>
      </c>
      <c r="W397" s="7">
        <v>8.7806730000000002</v>
      </c>
      <c r="X397" s="7">
        <v>0.50462181905554249</v>
      </c>
      <c r="Y397" s="7">
        <v>1.9325048436603549</v>
      </c>
      <c r="Z397" s="7">
        <v>11.217799662715899</v>
      </c>
      <c r="AA397" s="7">
        <v>5.0320914376302488</v>
      </c>
      <c r="AB397" s="7">
        <v>16.249891100346151</v>
      </c>
      <c r="AC397" s="7">
        <v>0</v>
      </c>
      <c r="AD397" s="7">
        <v>3.8441130000000001</v>
      </c>
      <c r="AE397" s="7">
        <v>0</v>
      </c>
      <c r="AF397" s="7">
        <v>0</v>
      </c>
      <c r="AG397" s="7">
        <v>20.094004100346151</v>
      </c>
      <c r="AH397" s="7">
        <v>1.070627</v>
      </c>
      <c r="AI397" s="7">
        <v>0</v>
      </c>
      <c r="AJ397" s="7">
        <v>3.0740189999999998</v>
      </c>
      <c r="AK397" s="7">
        <v>20.394537100346149</v>
      </c>
      <c r="AL397" s="7">
        <v>0</v>
      </c>
      <c r="AM397" s="7">
        <v>0</v>
      </c>
      <c r="AN397" s="7">
        <v>0</v>
      </c>
      <c r="AO397" s="7">
        <v>0</v>
      </c>
      <c r="AP397" s="7">
        <v>0</v>
      </c>
      <c r="AQ397" s="7">
        <v>20.394537100346149</v>
      </c>
      <c r="AR397" s="7">
        <v>38.927291641468869</v>
      </c>
      <c r="AS397" s="7">
        <v>27.709491978752968</v>
      </c>
      <c r="AT397" s="7">
        <v>22.677400541122719</v>
      </c>
    </row>
    <row r="398" spans="1:46" x14ac:dyDescent="0.35">
      <c r="A398" s="5">
        <v>46022</v>
      </c>
      <c r="B398" s="4" t="s">
        <v>865</v>
      </c>
      <c r="C398" s="4" t="s">
        <v>866</v>
      </c>
      <c r="D398" s="4" t="s">
        <v>61</v>
      </c>
      <c r="E398" s="6">
        <v>0</v>
      </c>
      <c r="F398" s="6">
        <v>0</v>
      </c>
      <c r="G398" s="6">
        <v>0</v>
      </c>
      <c r="H398" s="6">
        <v>0</v>
      </c>
      <c r="I398" s="6">
        <v>0</v>
      </c>
      <c r="J398" s="6">
        <v>295.24</v>
      </c>
      <c r="K398" s="6">
        <v>295.24</v>
      </c>
      <c r="L398" s="6">
        <v>295.24</v>
      </c>
      <c r="M398" s="7">
        <v>3.1466729999999998</v>
      </c>
      <c r="N398" s="7">
        <v>2.1175410000000001</v>
      </c>
      <c r="O398" s="7">
        <v>1.8538300000000001</v>
      </c>
      <c r="P398" s="7">
        <v>2.1662490000000001</v>
      </c>
      <c r="Q398" s="7">
        <v>9.2842929999999999</v>
      </c>
      <c r="R398" s="7">
        <v>0.724993</v>
      </c>
      <c r="S398" s="7">
        <v>1.116563</v>
      </c>
      <c r="T398" s="7">
        <v>2.1574650000000002</v>
      </c>
      <c r="U398" s="7">
        <v>4.0291969999999999</v>
      </c>
      <c r="V398" s="7">
        <v>8.0282180000000007</v>
      </c>
      <c r="W398" s="7">
        <v>17.312511000000001</v>
      </c>
      <c r="X398" s="7">
        <v>0.43363427719821163</v>
      </c>
      <c r="Y398" s="7">
        <v>2.4977415188299821</v>
      </c>
      <c r="Z398" s="7">
        <v>20.243886796028189</v>
      </c>
      <c r="AA398" s="7">
        <v>4.5080290465738138</v>
      </c>
      <c r="AB398" s="7">
        <v>24.75191584260201</v>
      </c>
      <c r="AC398" s="7">
        <v>0</v>
      </c>
      <c r="AD398" s="7">
        <v>1.271387</v>
      </c>
      <c r="AE398" s="7">
        <v>0</v>
      </c>
      <c r="AF398" s="7">
        <v>0</v>
      </c>
      <c r="AG398" s="7">
        <v>26.023302842602011</v>
      </c>
      <c r="AH398" s="7">
        <v>0.30390600000000001</v>
      </c>
      <c r="AI398" s="7">
        <v>0</v>
      </c>
      <c r="AJ398" s="7">
        <v>1.271387</v>
      </c>
      <c r="AK398" s="7">
        <v>26.327208842602008</v>
      </c>
      <c r="AL398" s="7">
        <v>0</v>
      </c>
      <c r="AM398" s="7">
        <v>0</v>
      </c>
      <c r="AN398" s="7">
        <v>0</v>
      </c>
      <c r="AO398" s="7">
        <v>0</v>
      </c>
      <c r="AP398" s="7">
        <v>0</v>
      </c>
      <c r="AQ398" s="7">
        <v>26.327208842602008</v>
      </c>
      <c r="AR398" s="7">
        <v>27.6760851419854</v>
      </c>
      <c r="AS398" s="7">
        <v>7.4321983459572056</v>
      </c>
      <c r="AT398" s="7">
        <v>2.9241692993833919</v>
      </c>
    </row>
    <row r="399" spans="1:46" x14ac:dyDescent="0.35">
      <c r="A399" s="5">
        <v>46022</v>
      </c>
      <c r="B399" s="4" t="s">
        <v>867</v>
      </c>
      <c r="C399" s="4" t="s">
        <v>868</v>
      </c>
      <c r="D399" s="4" t="s">
        <v>61</v>
      </c>
      <c r="E399" s="6">
        <v>39983.385573</v>
      </c>
      <c r="F399" s="6">
        <v>0</v>
      </c>
      <c r="G399" s="6">
        <v>39983.385573</v>
      </c>
      <c r="H399" s="6">
        <v>2.4989620000000001</v>
      </c>
      <c r="I399" s="6">
        <v>16000</v>
      </c>
      <c r="J399" s="6">
        <v>0</v>
      </c>
      <c r="K399" s="6">
        <v>16000</v>
      </c>
      <c r="L399" s="6">
        <v>16000</v>
      </c>
      <c r="M399" s="7">
        <v>2.2498339999999999</v>
      </c>
      <c r="N399" s="7">
        <v>0.63719899999999996</v>
      </c>
      <c r="O399" s="7">
        <v>8.9481000000000005E-2</v>
      </c>
      <c r="P399" s="7">
        <v>2.4657260000000001</v>
      </c>
      <c r="Q399" s="7">
        <v>5.44224</v>
      </c>
      <c r="R399" s="7">
        <v>1.859739</v>
      </c>
      <c r="S399" s="7">
        <v>0.32336100000000001</v>
      </c>
      <c r="T399" s="7">
        <v>1.2603359999999999</v>
      </c>
      <c r="U399" s="7">
        <v>2.2090800000000002</v>
      </c>
      <c r="V399" s="7">
        <v>5.6525160000000003</v>
      </c>
      <c r="W399" s="7">
        <v>11.094756</v>
      </c>
      <c r="X399" s="7">
        <v>0.85631185499999996</v>
      </c>
      <c r="Y399" s="7">
        <v>1.724143041686891</v>
      </c>
      <c r="Z399" s="7">
        <v>13.67521089668689</v>
      </c>
      <c r="AA399" s="7">
        <v>2.7794732626516461</v>
      </c>
      <c r="AB399" s="7">
        <v>16.454684159338541</v>
      </c>
      <c r="AC399" s="7">
        <v>0</v>
      </c>
      <c r="AD399" s="7">
        <v>2.9360119999999998</v>
      </c>
      <c r="AE399" s="7">
        <v>0</v>
      </c>
      <c r="AF399" s="7">
        <v>0</v>
      </c>
      <c r="AG399" s="7">
        <v>19.390696159338539</v>
      </c>
      <c r="AH399" s="7">
        <v>2.0509940000000002</v>
      </c>
      <c r="AI399" s="7">
        <v>0</v>
      </c>
      <c r="AJ399" s="7">
        <v>2.0088499999999998</v>
      </c>
      <c r="AK399" s="7">
        <v>20.514528159338539</v>
      </c>
      <c r="AL399" s="7">
        <v>0</v>
      </c>
      <c r="AM399" s="7">
        <v>0</v>
      </c>
      <c r="AN399" s="7">
        <v>0</v>
      </c>
      <c r="AO399" s="7">
        <v>0</v>
      </c>
      <c r="AP399" s="7">
        <v>0</v>
      </c>
      <c r="AQ399" s="7">
        <v>20.514528159338539</v>
      </c>
      <c r="AR399" s="7">
        <v>28.837128157657219</v>
      </c>
      <c r="AS399" s="7">
        <v>15.161917260970331</v>
      </c>
      <c r="AT399" s="7">
        <v>12.38244399831868</v>
      </c>
    </row>
    <row r="400" spans="1:46" x14ac:dyDescent="0.35">
      <c r="A400" s="5">
        <v>46022</v>
      </c>
      <c r="B400" s="4" t="s">
        <v>869</v>
      </c>
      <c r="C400" s="4" t="s">
        <v>870</v>
      </c>
      <c r="D400" s="4" t="s">
        <v>61</v>
      </c>
      <c r="E400" s="6">
        <v>45920</v>
      </c>
      <c r="F400" s="6">
        <v>0</v>
      </c>
      <c r="G400" s="6">
        <v>45920</v>
      </c>
      <c r="H400" s="6">
        <v>2.87</v>
      </c>
      <c r="I400" s="6">
        <v>16000</v>
      </c>
      <c r="J400" s="6">
        <v>0</v>
      </c>
      <c r="K400" s="6">
        <v>16000</v>
      </c>
      <c r="L400" s="6">
        <v>16000</v>
      </c>
      <c r="M400" s="7">
        <v>2.2097690000000001</v>
      </c>
      <c r="N400" s="7">
        <v>0.63298699999999997</v>
      </c>
      <c r="O400" s="7">
        <v>8.7244000000000002E-2</v>
      </c>
      <c r="P400" s="7">
        <v>2.4348459999999998</v>
      </c>
      <c r="Q400" s="7">
        <v>5.364846</v>
      </c>
      <c r="R400" s="7">
        <v>1.009002</v>
      </c>
      <c r="S400" s="7">
        <v>6.4728029999999999</v>
      </c>
      <c r="T400" s="7">
        <v>2.4175390000000001</v>
      </c>
      <c r="U400" s="7">
        <v>1.42089</v>
      </c>
      <c r="V400" s="7">
        <v>11.320233999999999</v>
      </c>
      <c r="W400" s="7">
        <v>16.685079999999999</v>
      </c>
      <c r="X400" s="7">
        <v>0</v>
      </c>
      <c r="Y400" s="7">
        <v>0</v>
      </c>
      <c r="Z400" s="7">
        <v>16.685079999999999</v>
      </c>
      <c r="AA400" s="7">
        <v>0.72652986019481181</v>
      </c>
      <c r="AB400" s="7">
        <v>17.411609860194812</v>
      </c>
      <c r="AC400" s="7">
        <v>0</v>
      </c>
      <c r="AD400" s="7">
        <v>0.76742100000000002</v>
      </c>
      <c r="AE400" s="7">
        <v>0</v>
      </c>
      <c r="AF400" s="7">
        <v>0</v>
      </c>
      <c r="AG400" s="7">
        <v>18.179030860194811</v>
      </c>
      <c r="AH400" s="7">
        <v>0.53609300000000015</v>
      </c>
      <c r="AI400" s="7">
        <v>0</v>
      </c>
      <c r="AJ400" s="7">
        <v>0.52507800000000004</v>
      </c>
      <c r="AK400" s="7">
        <v>18.47278086019481</v>
      </c>
      <c r="AL400" s="7">
        <v>0</v>
      </c>
      <c r="AM400" s="7">
        <v>0</v>
      </c>
      <c r="AN400" s="7">
        <v>0</v>
      </c>
      <c r="AO400" s="7">
        <v>0</v>
      </c>
      <c r="AP400" s="7">
        <v>0</v>
      </c>
      <c r="AQ400" s="7">
        <v>18.47278086019481</v>
      </c>
      <c r="AR400" s="7">
        <v>12.24856814217819</v>
      </c>
      <c r="AS400" s="7">
        <v>-4.4365118578218121</v>
      </c>
      <c r="AT400" s="7">
        <v>-5.1630417180166237</v>
      </c>
    </row>
    <row r="401" spans="1:46" x14ac:dyDescent="0.35">
      <c r="A401" s="5">
        <v>46022</v>
      </c>
      <c r="B401" s="4" t="s">
        <v>871</v>
      </c>
      <c r="C401" s="4" t="s">
        <v>872</v>
      </c>
      <c r="D401" s="4" t="s">
        <v>102</v>
      </c>
      <c r="E401" s="6">
        <v>0</v>
      </c>
      <c r="F401" s="6">
        <v>0</v>
      </c>
      <c r="G401" s="6">
        <v>0</v>
      </c>
      <c r="H401" s="6">
        <v>0</v>
      </c>
      <c r="I401" s="6">
        <v>0</v>
      </c>
      <c r="J401" s="6">
        <v>755</v>
      </c>
      <c r="K401" s="6">
        <v>755</v>
      </c>
      <c r="L401" s="6">
        <v>755</v>
      </c>
      <c r="M401" s="7">
        <v>23.824781999999999</v>
      </c>
      <c r="N401" s="7">
        <v>3.2748599999999999</v>
      </c>
      <c r="O401" s="7">
        <v>6.144412</v>
      </c>
      <c r="P401" s="7">
        <v>13.486255</v>
      </c>
      <c r="Q401" s="7">
        <v>46.730308999999998</v>
      </c>
      <c r="R401" s="7">
        <v>13.436170000000001</v>
      </c>
      <c r="S401" s="7">
        <v>4.7041110000000002</v>
      </c>
      <c r="T401" s="7">
        <v>18.51268</v>
      </c>
      <c r="U401" s="7">
        <v>9.1674310000000006</v>
      </c>
      <c r="V401" s="7">
        <v>45.820391999999998</v>
      </c>
      <c r="W401" s="7">
        <v>92.550701000000004</v>
      </c>
      <c r="X401" s="7">
        <v>11.224366978490069</v>
      </c>
      <c r="Y401" s="7">
        <v>26.310936319797879</v>
      </c>
      <c r="Z401" s="7">
        <v>130.08600429828789</v>
      </c>
      <c r="AA401" s="7">
        <v>0</v>
      </c>
      <c r="AB401" s="7">
        <v>130.08600429828789</v>
      </c>
      <c r="AC401" s="7">
        <v>0</v>
      </c>
      <c r="AD401" s="7">
        <v>55.216447000000002</v>
      </c>
      <c r="AE401" s="7">
        <v>0</v>
      </c>
      <c r="AF401" s="7">
        <v>0</v>
      </c>
      <c r="AG401" s="7">
        <v>185.30245129828799</v>
      </c>
      <c r="AH401" s="7">
        <v>3.4085459999999999</v>
      </c>
      <c r="AI401" s="7">
        <v>0</v>
      </c>
      <c r="AJ401" s="7">
        <v>52.565054000000011</v>
      </c>
      <c r="AK401" s="7">
        <v>186.05960429828801</v>
      </c>
      <c r="AL401" s="7">
        <v>0</v>
      </c>
      <c r="AM401" s="7">
        <v>0</v>
      </c>
      <c r="AN401" s="7">
        <v>0</v>
      </c>
      <c r="AO401" s="7">
        <v>0</v>
      </c>
      <c r="AP401" s="7">
        <v>0</v>
      </c>
      <c r="AQ401" s="7">
        <v>186.05960429828801</v>
      </c>
      <c r="AR401" s="7">
        <v>235.4058770724198</v>
      </c>
      <c r="AS401" s="7">
        <v>105.31987277413189</v>
      </c>
      <c r="AT401" s="7">
        <v>105.31987277413189</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400"/>
  <sheetViews>
    <sheetView workbookViewId="0">
      <selection activeCell="B22" sqref="B22"/>
    </sheetView>
  </sheetViews>
  <sheetFormatPr defaultRowHeight="14.5" x14ac:dyDescent="0.35"/>
  <cols>
    <col min="1" max="2" width="48.54296875" customWidth="1"/>
    <col min="3" max="3" width="16.1796875" customWidth="1"/>
    <col min="4" max="4" width="21.7265625" customWidth="1"/>
    <col min="5" max="5" width="25.54296875" customWidth="1"/>
    <col min="6" max="6" width="16.1796875" customWidth="1"/>
    <col min="7" max="7" width="17.54296875" customWidth="1"/>
    <col min="8" max="8" width="19.54296875" customWidth="1"/>
    <col min="9" max="9" width="17.54296875" customWidth="1"/>
    <col min="10" max="10" width="19.54296875" customWidth="1"/>
    <col min="11" max="12" width="22.453125" customWidth="1"/>
    <col min="13" max="13" width="23.81640625" customWidth="1"/>
    <col min="14" max="15" width="22.453125" customWidth="1"/>
    <col min="16" max="16" width="21.1796875" customWidth="1"/>
    <col min="17" max="17" width="23.81640625" customWidth="1"/>
    <col min="18" max="18" width="22.453125" customWidth="1"/>
    <col min="19" max="19" width="21.1796875" customWidth="1"/>
    <col min="20" max="20" width="23.26953125" customWidth="1"/>
    <col min="21" max="22" width="21.1796875" customWidth="1"/>
    <col min="23" max="23" width="25.1796875" customWidth="1"/>
    <col min="24" max="24" width="23.26953125" customWidth="1"/>
    <col min="25" max="25" width="21.1796875" customWidth="1"/>
    <col min="26" max="26" width="22.453125" customWidth="1"/>
    <col min="27" max="27" width="21.1796875" customWidth="1"/>
    <col min="28" max="28" width="25.1796875" customWidth="1"/>
    <col min="29" max="29" width="22.453125" customWidth="1"/>
    <col min="30" max="30" width="16.1796875" customWidth="1"/>
    <col min="31" max="31" width="23.26953125" customWidth="1"/>
    <col min="32" max="32" width="21.1796875" customWidth="1"/>
    <col min="33" max="35" width="22.453125" customWidth="1"/>
    <col min="36" max="36" width="21.1796875" customWidth="1"/>
    <col min="37" max="37" width="23.81640625" customWidth="1"/>
    <col min="38" max="38" width="22.453125" customWidth="1"/>
    <col min="39" max="40" width="16.1796875" customWidth="1"/>
    <col min="41" max="43" width="21.1796875" customWidth="1"/>
    <col min="44" max="44" width="23.54296875" customWidth="1"/>
    <col min="45" max="46" width="22" customWidth="1"/>
  </cols>
  <sheetData>
    <row r="1" spans="1:46" ht="40" customHeight="1" x14ac:dyDescent="0.35">
      <c r="A1" s="17"/>
      <c r="B1" s="17"/>
      <c r="C1" s="17"/>
      <c r="D1" s="17"/>
    </row>
    <row r="2" spans="1:46" ht="30" customHeight="1" x14ac:dyDescent="0.45">
      <c r="A2" s="1" t="s">
        <v>915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8" t="s">
        <v>2</v>
      </c>
      <c r="B6" s="18" t="s">
        <v>3</v>
      </c>
      <c r="C6" s="18" t="s">
        <v>4</v>
      </c>
      <c r="D6" s="18" t="s">
        <v>5</v>
      </c>
      <c r="E6" s="19" t="s">
        <v>13</v>
      </c>
      <c r="F6" s="19" t="s">
        <v>874</v>
      </c>
      <c r="G6" s="19" t="s">
        <v>875</v>
      </c>
      <c r="H6" s="19" t="s">
        <v>876</v>
      </c>
      <c r="I6" s="19" t="s">
        <v>877</v>
      </c>
      <c r="J6" s="19" t="s">
        <v>878</v>
      </c>
      <c r="K6" s="19" t="s">
        <v>879</v>
      </c>
      <c r="L6" s="19" t="s">
        <v>880</v>
      </c>
      <c r="M6" s="19" t="s">
        <v>881</v>
      </c>
      <c r="N6" s="19" t="s">
        <v>882</v>
      </c>
      <c r="O6" s="19" t="s">
        <v>883</v>
      </c>
      <c r="P6" s="19" t="s">
        <v>884</v>
      </c>
      <c r="Q6" s="19" t="s">
        <v>885</v>
      </c>
      <c r="R6" s="19" t="s">
        <v>886</v>
      </c>
      <c r="S6" s="19" t="s">
        <v>887</v>
      </c>
      <c r="T6" s="19" t="s">
        <v>888</v>
      </c>
      <c r="U6" s="19" t="s">
        <v>889</v>
      </c>
      <c r="V6" s="19" t="s">
        <v>890</v>
      </c>
      <c r="W6" s="19" t="s">
        <v>891</v>
      </c>
      <c r="X6" s="19" t="s">
        <v>892</v>
      </c>
      <c r="Y6" s="19" t="s">
        <v>893</v>
      </c>
      <c r="Z6" s="19" t="s">
        <v>894</v>
      </c>
      <c r="AA6" s="19" t="s">
        <v>895</v>
      </c>
      <c r="AB6" s="19" t="s">
        <v>896</v>
      </c>
      <c r="AC6" s="19" t="s">
        <v>897</v>
      </c>
      <c r="AD6" s="19" t="s">
        <v>898</v>
      </c>
      <c r="AE6" s="19" t="s">
        <v>899</v>
      </c>
      <c r="AF6" s="19" t="s">
        <v>900</v>
      </c>
      <c r="AG6" s="19" t="s">
        <v>901</v>
      </c>
      <c r="AH6" s="19" t="s">
        <v>902</v>
      </c>
      <c r="AI6" s="19" t="s">
        <v>903</v>
      </c>
      <c r="AJ6" s="19" t="s">
        <v>904</v>
      </c>
      <c r="AK6" s="19" t="s">
        <v>905</v>
      </c>
      <c r="AL6" s="19" t="s">
        <v>906</v>
      </c>
      <c r="AM6" s="19" t="s">
        <v>907</v>
      </c>
      <c r="AN6" s="19" t="s">
        <v>908</v>
      </c>
      <c r="AO6" s="19" t="s">
        <v>909</v>
      </c>
      <c r="AP6" s="19" t="s">
        <v>910</v>
      </c>
      <c r="AQ6" s="19" t="s">
        <v>911</v>
      </c>
      <c r="AR6" s="19" t="s">
        <v>912</v>
      </c>
      <c r="AS6" s="19" t="s">
        <v>913</v>
      </c>
      <c r="AT6" s="19" t="s">
        <v>914</v>
      </c>
    </row>
    <row r="7" spans="1:46" x14ac:dyDescent="0.35">
      <c r="A7" s="18"/>
      <c r="B7" s="18"/>
      <c r="C7" s="18"/>
      <c r="D7" s="18"/>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row>
    <row r="8" spans="1:46" x14ac:dyDescent="0.35">
      <c r="A8" s="18"/>
      <c r="B8" s="18"/>
      <c r="C8" s="18"/>
      <c r="D8" s="18"/>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row>
    <row r="9" spans="1:46" x14ac:dyDescent="0.35">
      <c r="A9" s="18"/>
      <c r="B9" s="18"/>
      <c r="C9" s="18"/>
      <c r="D9" s="18"/>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row>
    <row r="10" spans="1:46" x14ac:dyDescent="0.35">
      <c r="A10" s="5">
        <v>46022</v>
      </c>
      <c r="B10" s="4" t="s">
        <v>178</v>
      </c>
      <c r="C10" s="4" t="s">
        <v>179</v>
      </c>
      <c r="D10" s="4" t="s">
        <v>102</v>
      </c>
      <c r="E10" s="6">
        <v>39189.333333000002</v>
      </c>
      <c r="F10" s="7">
        <v>0.15340000000000001</v>
      </c>
      <c r="G10" s="6">
        <v>82.32</v>
      </c>
      <c r="H10" s="6">
        <v>49.484999999999999</v>
      </c>
      <c r="I10" s="6">
        <v>97</v>
      </c>
      <c r="J10" s="6">
        <v>48.000773000000002</v>
      </c>
      <c r="K10" s="8">
        <v>82.060070010090698</v>
      </c>
      <c r="L10" s="6">
        <v>23.054751610450861</v>
      </c>
      <c r="M10" s="6">
        <v>27.799942566617489</v>
      </c>
      <c r="N10" s="6">
        <v>4.0488560330833856</v>
      </c>
      <c r="O10" s="6">
        <v>78.95524532617425</v>
      </c>
      <c r="P10" s="6">
        <v>133.858795536326</v>
      </c>
      <c r="Q10" s="6">
        <v>16.940229606272929</v>
      </c>
      <c r="R10" s="6">
        <v>39.325479833707</v>
      </c>
      <c r="S10" s="6">
        <v>60.558042622567683</v>
      </c>
      <c r="T10" s="6">
        <v>43.983241463971972</v>
      </c>
      <c r="U10" s="6">
        <v>160.80699352651959</v>
      </c>
      <c r="V10" s="6">
        <v>294.66578906284559</v>
      </c>
      <c r="W10" s="6">
        <v>5.180879260810265</v>
      </c>
      <c r="X10" s="6">
        <v>22.510218201958871</v>
      </c>
      <c r="Y10" s="6">
        <v>322.3568865256147</v>
      </c>
      <c r="Z10" s="6">
        <v>0</v>
      </c>
      <c r="AA10" s="6">
        <v>322.3568865256147</v>
      </c>
      <c r="AB10" s="6">
        <v>0</v>
      </c>
      <c r="AC10" s="6">
        <v>26.126386637966132</v>
      </c>
      <c r="AD10" s="6">
        <v>0</v>
      </c>
      <c r="AE10" s="6">
        <v>0</v>
      </c>
      <c r="AF10" s="6">
        <v>348.4832731635808</v>
      </c>
      <c r="AG10" s="6">
        <v>13.95796880450558</v>
      </c>
      <c r="AH10" s="6">
        <v>0</v>
      </c>
      <c r="AI10" s="6">
        <v>136.40299803678209</v>
      </c>
      <c r="AJ10" s="6">
        <v>472.71785336690238</v>
      </c>
      <c r="AK10" s="6">
        <v>32.75682371542608</v>
      </c>
      <c r="AL10" s="6">
        <v>0</v>
      </c>
      <c r="AM10" s="6">
        <v>0</v>
      </c>
      <c r="AN10" s="6">
        <v>0</v>
      </c>
      <c r="AO10" s="6">
        <v>0</v>
      </c>
      <c r="AP10" s="6">
        <v>505.47467708232853</v>
      </c>
      <c r="AQ10" s="6">
        <v>420.00023589398722</v>
      </c>
      <c r="AR10" s="6">
        <v>540.39148899999998</v>
      </c>
      <c r="AS10" s="6">
        <v>97.643349368372469</v>
      </c>
      <c r="AT10" s="6">
        <v>97.643349368372469</v>
      </c>
    </row>
    <row r="11" spans="1:46" x14ac:dyDescent="0.35">
      <c r="A11" s="5">
        <v>46022</v>
      </c>
      <c r="B11" s="4" t="s">
        <v>180</v>
      </c>
      <c r="C11" s="4" t="s">
        <v>181</v>
      </c>
      <c r="D11" s="4" t="s">
        <v>69</v>
      </c>
      <c r="E11" s="6">
        <v>61742</v>
      </c>
      <c r="F11" s="7">
        <v>0.41</v>
      </c>
      <c r="G11" s="6">
        <v>88</v>
      </c>
      <c r="H11" s="6">
        <v>222.76499999999999</v>
      </c>
      <c r="I11" s="6">
        <v>97</v>
      </c>
      <c r="J11" s="6">
        <v>216.08218199999999</v>
      </c>
      <c r="K11" s="8">
        <v>92.399318192068691</v>
      </c>
      <c r="L11" s="6">
        <v>8.2262714712064202</v>
      </c>
      <c r="M11" s="6">
        <v>15.12036840599821</v>
      </c>
      <c r="N11" s="6">
        <v>0.73516835174043449</v>
      </c>
      <c r="O11" s="6">
        <v>12.956885630766109</v>
      </c>
      <c r="P11" s="6">
        <v>37.038693859711181</v>
      </c>
      <c r="Q11" s="6">
        <v>4.916738490021987</v>
      </c>
      <c r="R11" s="6">
        <v>50.61991392905157</v>
      </c>
      <c r="S11" s="6">
        <v>17.835158585500182</v>
      </c>
      <c r="T11" s="6">
        <v>17.561708388500051</v>
      </c>
      <c r="U11" s="6">
        <v>90.93351939307378</v>
      </c>
      <c r="V11" s="6">
        <v>127.972213252785</v>
      </c>
      <c r="W11" s="6">
        <v>39.929031219038571</v>
      </c>
      <c r="X11" s="6">
        <v>26.341292358892481</v>
      </c>
      <c r="Y11" s="6">
        <v>194.24253683071601</v>
      </c>
      <c r="Z11" s="6">
        <v>28.722660899712459</v>
      </c>
      <c r="AA11" s="6">
        <v>222.96519773042851</v>
      </c>
      <c r="AB11" s="6">
        <v>0</v>
      </c>
      <c r="AC11" s="6">
        <v>38.202623593741002</v>
      </c>
      <c r="AD11" s="6">
        <v>0</v>
      </c>
      <c r="AE11" s="6">
        <v>0</v>
      </c>
      <c r="AF11" s="6">
        <v>261.16782132416949</v>
      </c>
      <c r="AG11" s="6">
        <v>40.225117967060051</v>
      </c>
      <c r="AH11" s="6">
        <v>0</v>
      </c>
      <c r="AI11" s="6">
        <v>13.850814132354611</v>
      </c>
      <c r="AJ11" s="6">
        <v>277.0411298298431</v>
      </c>
      <c r="AK11" s="6">
        <v>0</v>
      </c>
      <c r="AL11" s="6">
        <v>1.1925154229252919</v>
      </c>
      <c r="AM11" s="6">
        <v>0</v>
      </c>
      <c r="AN11" s="6">
        <v>0</v>
      </c>
      <c r="AO11" s="6">
        <v>0</v>
      </c>
      <c r="AP11" s="6">
        <v>278.23364525276838</v>
      </c>
      <c r="AQ11" s="6">
        <v>420.00003463448053</v>
      </c>
      <c r="AR11" s="6">
        <v>2145.7393609999999</v>
      </c>
      <c r="AS11" s="6">
        <v>225.75749780376441</v>
      </c>
      <c r="AT11" s="6">
        <v>197.03483690405201</v>
      </c>
    </row>
    <row r="12" spans="1:46" x14ac:dyDescent="0.35">
      <c r="A12" s="5">
        <v>46022</v>
      </c>
      <c r="B12" s="4" t="s">
        <v>67</v>
      </c>
      <c r="C12" s="4" t="s">
        <v>68</v>
      </c>
      <c r="D12" s="4" t="s">
        <v>69</v>
      </c>
      <c r="E12" s="6">
        <v>7128</v>
      </c>
      <c r="F12" s="7">
        <v>0.23</v>
      </c>
      <c r="G12" s="6">
        <v>91.49</v>
      </c>
      <c r="H12" s="6">
        <v>15</v>
      </c>
      <c r="I12" s="6">
        <v>100</v>
      </c>
      <c r="J12" s="6">
        <v>15</v>
      </c>
      <c r="K12" s="8">
        <v>100</v>
      </c>
      <c r="L12" s="6">
        <v>14.257750532216081</v>
      </c>
      <c r="M12" s="6">
        <v>23.150038130880091</v>
      </c>
      <c r="N12" s="6">
        <v>0.31198286417981758</v>
      </c>
      <c r="O12" s="6">
        <v>8.4390782783486262</v>
      </c>
      <c r="P12" s="6">
        <v>46.158849805624619</v>
      </c>
      <c r="Q12" s="6">
        <v>14.003167859228119</v>
      </c>
      <c r="R12" s="6">
        <v>16.310405510511231</v>
      </c>
      <c r="S12" s="6">
        <v>25.58494432607208</v>
      </c>
      <c r="T12" s="6">
        <v>9.6546561162248725</v>
      </c>
      <c r="U12" s="6">
        <v>65.553173812036306</v>
      </c>
      <c r="V12" s="6">
        <v>111.7120236176609</v>
      </c>
      <c r="W12" s="6">
        <v>0</v>
      </c>
      <c r="X12" s="6">
        <v>0</v>
      </c>
      <c r="Y12" s="6">
        <v>111.7120236176609</v>
      </c>
      <c r="Z12" s="6">
        <v>28.985039901846388</v>
      </c>
      <c r="AA12" s="6">
        <v>140.69706351950731</v>
      </c>
      <c r="AB12" s="6">
        <v>0</v>
      </c>
      <c r="AC12" s="6">
        <v>58.593546124312951</v>
      </c>
      <c r="AD12" s="6">
        <v>0</v>
      </c>
      <c r="AE12" s="6">
        <v>0</v>
      </c>
      <c r="AF12" s="6">
        <v>199.29060964382029</v>
      </c>
      <c r="AG12" s="6">
        <v>23.422769869201719</v>
      </c>
      <c r="AH12" s="6">
        <v>0</v>
      </c>
      <c r="AI12" s="6">
        <v>21.204466948995421</v>
      </c>
      <c r="AJ12" s="6">
        <v>185.3243003377045</v>
      </c>
      <c r="AK12" s="6">
        <v>0</v>
      </c>
      <c r="AL12" s="6">
        <v>3.1752673544325889</v>
      </c>
      <c r="AM12" s="6">
        <v>0</v>
      </c>
      <c r="AN12" s="6">
        <v>0</v>
      </c>
      <c r="AO12" s="6">
        <v>0</v>
      </c>
      <c r="AP12" s="6">
        <v>188.49956769213699</v>
      </c>
      <c r="AQ12" s="6">
        <v>419.99999964779192</v>
      </c>
      <c r="AR12" s="6">
        <v>138.89122499999999</v>
      </c>
      <c r="AS12" s="6">
        <v>308.28797603013101</v>
      </c>
      <c r="AT12" s="6">
        <v>279.30293612828461</v>
      </c>
    </row>
    <row r="13" spans="1:46" x14ac:dyDescent="0.35">
      <c r="A13" s="5">
        <v>46022</v>
      </c>
      <c r="B13" s="4" t="s">
        <v>70</v>
      </c>
      <c r="C13" s="4" t="s">
        <v>71</v>
      </c>
      <c r="D13" s="4" t="s">
        <v>61</v>
      </c>
      <c r="E13" s="6">
        <v>165</v>
      </c>
      <c r="F13" s="7">
        <v>0.20699999999999999</v>
      </c>
      <c r="G13" s="6">
        <v>85</v>
      </c>
      <c r="H13" s="6">
        <v>0.28999999999999998</v>
      </c>
      <c r="I13" s="6">
        <v>97</v>
      </c>
      <c r="J13" s="6">
        <v>0.28160800000000002</v>
      </c>
      <c r="K13" s="8">
        <v>43.809097379498233</v>
      </c>
      <c r="L13" s="6">
        <v>37.363659908825269</v>
      </c>
      <c r="M13" s="6">
        <v>0</v>
      </c>
      <c r="N13" s="6">
        <v>9.8036965825550979</v>
      </c>
      <c r="O13" s="6">
        <v>62.771999786800443</v>
      </c>
      <c r="P13" s="6">
        <v>109.9393562781808</v>
      </c>
      <c r="Q13" s="6">
        <v>40.447162955011969</v>
      </c>
      <c r="R13" s="6">
        <v>20.763938214242149</v>
      </c>
      <c r="S13" s="6">
        <v>32.723566195805297</v>
      </c>
      <c r="T13" s="6">
        <v>29.087446218015319</v>
      </c>
      <c r="U13" s="6">
        <v>123.0221135830747</v>
      </c>
      <c r="V13" s="6">
        <v>232.96146986125561</v>
      </c>
      <c r="W13" s="6">
        <v>35.65280254570694</v>
      </c>
      <c r="X13" s="6">
        <v>26.704772145450409</v>
      </c>
      <c r="Y13" s="6">
        <v>295.31904455241289</v>
      </c>
      <c r="Z13" s="6">
        <v>87.037205815167169</v>
      </c>
      <c r="AA13" s="6">
        <v>382.35625036758012</v>
      </c>
      <c r="AB13" s="6">
        <v>0</v>
      </c>
      <c r="AC13" s="6">
        <v>45.633597963326231</v>
      </c>
      <c r="AD13" s="6">
        <v>0</v>
      </c>
      <c r="AE13" s="6">
        <v>0</v>
      </c>
      <c r="AF13" s="6">
        <v>427.98984833090628</v>
      </c>
      <c r="AG13" s="6">
        <v>26.169810917390858</v>
      </c>
      <c r="AH13" s="6">
        <v>0</v>
      </c>
      <c r="AI13" s="6">
        <v>12.594224050924669</v>
      </c>
      <c r="AJ13" s="6">
        <v>421.12028533589557</v>
      </c>
      <c r="AK13" s="6">
        <v>0</v>
      </c>
      <c r="AL13" s="6">
        <v>0</v>
      </c>
      <c r="AM13" s="6">
        <v>0</v>
      </c>
      <c r="AN13" s="6">
        <v>0</v>
      </c>
      <c r="AO13" s="6">
        <v>0</v>
      </c>
      <c r="AP13" s="6">
        <v>421.12028533589557</v>
      </c>
      <c r="AQ13" s="6">
        <v>419.98806816858257</v>
      </c>
      <c r="AR13" s="6">
        <v>8.148695</v>
      </c>
      <c r="AS13" s="6">
        <v>124.6690236161697</v>
      </c>
      <c r="AT13" s="6">
        <v>37.631817801002477</v>
      </c>
    </row>
    <row r="14" spans="1:46" x14ac:dyDescent="0.35">
      <c r="A14" s="5">
        <v>46022</v>
      </c>
      <c r="B14" s="4" t="s">
        <v>72</v>
      </c>
      <c r="C14" s="4" t="s">
        <v>73</v>
      </c>
      <c r="D14" s="4" t="s">
        <v>74</v>
      </c>
      <c r="E14" s="6">
        <v>500</v>
      </c>
      <c r="F14" s="7">
        <v>2.0768</v>
      </c>
      <c r="G14" s="6">
        <v>80</v>
      </c>
      <c r="H14" s="6">
        <v>8.3070000000000004</v>
      </c>
      <c r="I14" s="6">
        <v>95.416667000000004</v>
      </c>
      <c r="J14" s="6">
        <v>7.9265030000000003</v>
      </c>
      <c r="K14" s="8">
        <v>59.029611959050463</v>
      </c>
      <c r="L14" s="6">
        <v>20.005914725935</v>
      </c>
      <c r="M14" s="6">
        <v>2.1428640716177099</v>
      </c>
      <c r="N14" s="6">
        <v>1.2798350562977121</v>
      </c>
      <c r="O14" s="6">
        <v>10.423684366843871</v>
      </c>
      <c r="P14" s="6">
        <v>33.852298220694301</v>
      </c>
      <c r="Q14" s="6">
        <v>9.9846733294291106</v>
      </c>
      <c r="R14" s="6">
        <v>5.0222712698983969</v>
      </c>
      <c r="S14" s="6">
        <v>11.907514210520169</v>
      </c>
      <c r="T14" s="6">
        <v>9.8497577505600784</v>
      </c>
      <c r="U14" s="6">
        <v>36.764216560407753</v>
      </c>
      <c r="V14" s="6">
        <v>70.616514781102055</v>
      </c>
      <c r="W14" s="6">
        <v>13.984401216333399</v>
      </c>
      <c r="X14" s="6">
        <v>15.241432659378381</v>
      </c>
      <c r="Y14" s="6">
        <v>99.842348656813826</v>
      </c>
      <c r="Z14" s="6">
        <v>0</v>
      </c>
      <c r="AA14" s="6">
        <v>99.842348656813826</v>
      </c>
      <c r="AB14" s="6">
        <v>0</v>
      </c>
      <c r="AC14" s="6">
        <v>27.626239827074009</v>
      </c>
      <c r="AD14" s="6">
        <v>0</v>
      </c>
      <c r="AE14" s="6">
        <v>0</v>
      </c>
      <c r="AF14" s="6">
        <v>127.4685884838878</v>
      </c>
      <c r="AG14" s="6">
        <v>10.57755197013064</v>
      </c>
      <c r="AH14" s="6">
        <v>0</v>
      </c>
      <c r="AI14" s="6">
        <v>18.768118337114132</v>
      </c>
      <c r="AJ14" s="6">
        <v>129.18801896405861</v>
      </c>
      <c r="AK14" s="6">
        <v>0</v>
      </c>
      <c r="AL14" s="6">
        <v>0</v>
      </c>
      <c r="AM14" s="6">
        <v>0</v>
      </c>
      <c r="AN14" s="6">
        <v>0</v>
      </c>
      <c r="AO14" s="6">
        <v>0</v>
      </c>
      <c r="AP14" s="6">
        <v>129.18801896405861</v>
      </c>
      <c r="AQ14" s="6">
        <v>419.99984068740309</v>
      </c>
      <c r="AR14" s="6">
        <v>133.017865</v>
      </c>
      <c r="AS14" s="6">
        <v>320.15749203058931</v>
      </c>
      <c r="AT14" s="6">
        <v>320.15749203058931</v>
      </c>
    </row>
    <row r="15" spans="1:46" x14ac:dyDescent="0.35">
      <c r="A15" s="5">
        <v>46022</v>
      </c>
      <c r="B15" s="4" t="s">
        <v>164</v>
      </c>
      <c r="C15" s="4" t="s">
        <v>165</v>
      </c>
      <c r="D15" s="4" t="s">
        <v>105</v>
      </c>
      <c r="E15" s="6">
        <v>2893.0366789999998</v>
      </c>
      <c r="F15" s="7">
        <v>1.2999999999999999E-2</v>
      </c>
      <c r="G15" s="6">
        <v>47.25</v>
      </c>
      <c r="H15" s="6">
        <v>0.17799999999999999</v>
      </c>
      <c r="I15" s="6">
        <v>100</v>
      </c>
      <c r="J15" s="6">
        <v>0.177705</v>
      </c>
      <c r="K15" s="8">
        <v>0.244807655196006</v>
      </c>
      <c r="L15" s="6">
        <v>166.3609497908175</v>
      </c>
      <c r="M15" s="6">
        <v>13.413282160158641</v>
      </c>
      <c r="N15" s="6">
        <v>19.334612852735429</v>
      </c>
      <c r="O15" s="6">
        <v>18.544059005986892</v>
      </c>
      <c r="P15" s="6">
        <v>217.65290380969839</v>
      </c>
      <c r="Q15" s="6">
        <v>44.911445980348176</v>
      </c>
      <c r="R15" s="6">
        <v>8.8880349203033102</v>
      </c>
      <c r="S15" s="6">
        <v>38.937718658643213</v>
      </c>
      <c r="T15" s="6">
        <v>4.4643739410479411</v>
      </c>
      <c r="U15" s="6">
        <v>97.201573500342647</v>
      </c>
      <c r="V15" s="6">
        <v>314.85447731004109</v>
      </c>
      <c r="W15" s="6">
        <v>0.51194013710163988</v>
      </c>
      <c r="X15" s="6">
        <v>21.56429212307637</v>
      </c>
      <c r="Y15" s="6">
        <v>336.93070957021911</v>
      </c>
      <c r="Z15" s="6">
        <v>4.0283723497626909</v>
      </c>
      <c r="AA15" s="6">
        <v>340.95908191998183</v>
      </c>
      <c r="AB15" s="6">
        <v>0</v>
      </c>
      <c r="AC15" s="6">
        <v>54.867452699123511</v>
      </c>
      <c r="AD15" s="6">
        <v>0</v>
      </c>
      <c r="AE15" s="6">
        <v>0</v>
      </c>
      <c r="AF15" s="6">
        <v>395.8265346191053</v>
      </c>
      <c r="AG15" s="6">
        <v>8.0126492967651863</v>
      </c>
      <c r="AH15" s="6">
        <v>1.322380355510715</v>
      </c>
      <c r="AI15" s="6">
        <v>44.953852829854434</v>
      </c>
      <c r="AJ15" s="6">
        <v>395.24796440211207</v>
      </c>
      <c r="AK15" s="6">
        <v>0</v>
      </c>
      <c r="AL15" s="6">
        <v>0</v>
      </c>
      <c r="AM15" s="6">
        <v>0</v>
      </c>
      <c r="AN15" s="6">
        <v>0</v>
      </c>
      <c r="AO15" s="6">
        <v>0</v>
      </c>
      <c r="AP15" s="6">
        <v>395.24796440211207</v>
      </c>
      <c r="AQ15" s="6">
        <v>419.9881823100792</v>
      </c>
      <c r="AR15" s="6">
        <v>671.15455799999995</v>
      </c>
      <c r="AS15" s="6">
        <v>83.057472739860117</v>
      </c>
      <c r="AT15" s="6">
        <v>79.029100390097426</v>
      </c>
    </row>
    <row r="16" spans="1:46" x14ac:dyDescent="0.35">
      <c r="A16" s="5">
        <v>46022</v>
      </c>
      <c r="B16" s="4" t="s">
        <v>166</v>
      </c>
      <c r="C16" s="4" t="s">
        <v>167</v>
      </c>
      <c r="D16" s="4" t="s">
        <v>61</v>
      </c>
      <c r="E16" s="6">
        <v>200</v>
      </c>
      <c r="F16" s="7">
        <v>0.78</v>
      </c>
      <c r="G16" s="6">
        <v>89</v>
      </c>
      <c r="H16" s="6">
        <v>1.3879999999999999</v>
      </c>
      <c r="I16" s="6">
        <v>97</v>
      </c>
      <c r="J16" s="6">
        <v>1.346797</v>
      </c>
      <c r="K16" s="8">
        <v>77.288895102193393</v>
      </c>
      <c r="L16" s="6">
        <v>36.584970703760924</v>
      </c>
      <c r="M16" s="6">
        <v>2.3272731773413882</v>
      </c>
      <c r="N16" s="6">
        <v>5.4402476899944157</v>
      </c>
      <c r="O16" s="6">
        <v>26.693994624081419</v>
      </c>
      <c r="P16" s="6">
        <v>71.046486195178147</v>
      </c>
      <c r="Q16" s="6">
        <v>4.4958702945253188</v>
      </c>
      <c r="R16" s="6">
        <v>5.7270557489902654</v>
      </c>
      <c r="S16" s="6">
        <v>10.08529815787883</v>
      </c>
      <c r="T16" s="6">
        <v>24.994293360114511</v>
      </c>
      <c r="U16" s="6">
        <v>45.302517561508928</v>
      </c>
      <c r="V16" s="6">
        <v>116.3490037566871</v>
      </c>
      <c r="W16" s="6">
        <v>5.931249060392731</v>
      </c>
      <c r="X16" s="6">
        <v>21.14244983819054</v>
      </c>
      <c r="Y16" s="6">
        <v>143.42270265527031</v>
      </c>
      <c r="Z16" s="6">
        <v>44.625959749731557</v>
      </c>
      <c r="AA16" s="6">
        <v>188.04866240500189</v>
      </c>
      <c r="AB16" s="6">
        <v>0</v>
      </c>
      <c r="AC16" s="6">
        <v>10.668842267166839</v>
      </c>
      <c r="AD16" s="6">
        <v>0</v>
      </c>
      <c r="AE16" s="6">
        <v>0</v>
      </c>
      <c r="AF16" s="6">
        <v>198.7175046721687</v>
      </c>
      <c r="AG16" s="6">
        <v>14.89958781876822</v>
      </c>
      <c r="AH16" s="6">
        <v>0</v>
      </c>
      <c r="AI16" s="6">
        <v>10.668842267166839</v>
      </c>
      <c r="AJ16" s="6">
        <v>213.61709249093701</v>
      </c>
      <c r="AK16" s="6">
        <v>0</v>
      </c>
      <c r="AL16" s="6">
        <v>0</v>
      </c>
      <c r="AM16" s="6">
        <v>0</v>
      </c>
      <c r="AN16" s="6">
        <v>0</v>
      </c>
      <c r="AO16" s="6">
        <v>0</v>
      </c>
      <c r="AP16" s="6">
        <v>213.61709249093701</v>
      </c>
      <c r="AQ16" s="6">
        <v>420.0009352008106</v>
      </c>
      <c r="AR16" s="6">
        <v>16.110834000000001</v>
      </c>
      <c r="AS16" s="6">
        <v>276.57823254554029</v>
      </c>
      <c r="AT16" s="6">
        <v>231.95227279580871</v>
      </c>
    </row>
    <row r="17" spans="1:46" x14ac:dyDescent="0.35">
      <c r="A17" s="5">
        <v>46022</v>
      </c>
      <c r="B17" s="4" t="s">
        <v>168</v>
      </c>
      <c r="C17" s="4" t="s">
        <v>169</v>
      </c>
      <c r="D17" s="4" t="s">
        <v>58</v>
      </c>
      <c r="E17" s="6">
        <v>32000</v>
      </c>
      <c r="F17" s="7">
        <v>0.75</v>
      </c>
      <c r="G17" s="6">
        <v>70.33</v>
      </c>
      <c r="H17" s="6">
        <v>168.8</v>
      </c>
      <c r="I17" s="6">
        <v>98</v>
      </c>
      <c r="J17" s="6">
        <v>165.42400000000001</v>
      </c>
      <c r="K17" s="8">
        <v>91.677937075039893</v>
      </c>
      <c r="L17" s="6">
        <v>27.321799797057981</v>
      </c>
      <c r="M17" s="6">
        <v>32.924815759132912</v>
      </c>
      <c r="N17" s="6">
        <v>1.4482508790204081</v>
      </c>
      <c r="O17" s="6">
        <v>16.08747647535364</v>
      </c>
      <c r="P17" s="6">
        <v>77.782342910564935</v>
      </c>
      <c r="Q17" s="6">
        <v>10.40388191523971</v>
      </c>
      <c r="R17" s="6">
        <v>23.667825431874871</v>
      </c>
      <c r="S17" s="6">
        <v>37.930108577822807</v>
      </c>
      <c r="T17" s="6">
        <v>9.0715155608623927</v>
      </c>
      <c r="U17" s="6">
        <v>81.073331485799784</v>
      </c>
      <c r="V17" s="6">
        <v>158.85567439636469</v>
      </c>
      <c r="W17" s="6">
        <v>0.39141061121008769</v>
      </c>
      <c r="X17" s="6">
        <v>19.091646315580171</v>
      </c>
      <c r="Y17" s="6">
        <v>178.338731323155</v>
      </c>
      <c r="Z17" s="6">
        <v>17.327370372937821</v>
      </c>
      <c r="AA17" s="6">
        <v>195.6661016960928</v>
      </c>
      <c r="AB17" s="6">
        <v>0</v>
      </c>
      <c r="AC17" s="6">
        <v>42.822444955096749</v>
      </c>
      <c r="AD17" s="6">
        <v>0</v>
      </c>
      <c r="AE17" s="6">
        <v>0</v>
      </c>
      <c r="AF17" s="6">
        <v>238.48854665118961</v>
      </c>
      <c r="AG17" s="6">
        <v>16.562276432491899</v>
      </c>
      <c r="AH17" s="6">
        <v>0</v>
      </c>
      <c r="AI17" s="6">
        <v>18.869453175963969</v>
      </c>
      <c r="AJ17" s="6">
        <v>231.09783130454869</v>
      </c>
      <c r="AK17" s="6">
        <v>0</v>
      </c>
      <c r="AL17" s="6">
        <v>0</v>
      </c>
      <c r="AM17" s="6">
        <v>0</v>
      </c>
      <c r="AN17" s="6">
        <v>0</v>
      </c>
      <c r="AO17" s="6">
        <v>80.511525627055263</v>
      </c>
      <c r="AP17" s="6">
        <v>311.60935693160388</v>
      </c>
      <c r="AQ17" s="6">
        <v>419.99999964779192</v>
      </c>
      <c r="AR17" s="6">
        <v>1672.2048749999999</v>
      </c>
      <c r="AS17" s="6">
        <v>241.66126832463689</v>
      </c>
      <c r="AT17" s="6">
        <v>224.3338979516991</v>
      </c>
    </row>
    <row r="18" spans="1:46" x14ac:dyDescent="0.35">
      <c r="A18" s="5">
        <v>46022</v>
      </c>
      <c r="B18" s="4" t="s">
        <v>75</v>
      </c>
      <c r="C18" s="4" t="s">
        <v>76</v>
      </c>
      <c r="D18" s="4" t="s">
        <v>61</v>
      </c>
      <c r="E18" s="6">
        <v>1024.48</v>
      </c>
      <c r="F18" s="7">
        <v>0.63990000000000002</v>
      </c>
      <c r="G18" s="6">
        <v>90</v>
      </c>
      <c r="H18" s="6">
        <v>5.9</v>
      </c>
      <c r="I18" s="6">
        <v>97</v>
      </c>
      <c r="J18" s="6">
        <v>5.7229999999999999</v>
      </c>
      <c r="K18" s="8">
        <v>100</v>
      </c>
      <c r="L18" s="6">
        <v>73.952163108024664</v>
      </c>
      <c r="M18" s="6">
        <v>11.78961255710089</v>
      </c>
      <c r="N18" s="6">
        <v>31.962736519813369</v>
      </c>
      <c r="O18" s="6">
        <v>45.344666344480643</v>
      </c>
      <c r="P18" s="6">
        <v>163.04917852941961</v>
      </c>
      <c r="Q18" s="6">
        <v>10.27113376500343</v>
      </c>
      <c r="R18" s="6">
        <v>15.692006407523429</v>
      </c>
      <c r="S18" s="6">
        <v>22.856760829388751</v>
      </c>
      <c r="T18" s="6">
        <v>31.580251842904271</v>
      </c>
      <c r="U18" s="6">
        <v>80.400152844819871</v>
      </c>
      <c r="V18" s="6">
        <v>243.44933137423939</v>
      </c>
      <c r="W18" s="6">
        <v>2.9842543667796049</v>
      </c>
      <c r="X18" s="6">
        <v>25.817152677966099</v>
      </c>
      <c r="Y18" s="6">
        <v>272.25073841898518</v>
      </c>
      <c r="Z18" s="6">
        <v>43.101884137306669</v>
      </c>
      <c r="AA18" s="6">
        <v>315.35262255629181</v>
      </c>
      <c r="AB18" s="6">
        <v>0</v>
      </c>
      <c r="AC18" s="6">
        <v>9.7461616490661491</v>
      </c>
      <c r="AD18" s="6">
        <v>0</v>
      </c>
      <c r="AE18" s="6">
        <v>0</v>
      </c>
      <c r="AF18" s="6">
        <v>325.09878420535802</v>
      </c>
      <c r="AG18" s="6">
        <v>24.080102080421941</v>
      </c>
      <c r="AH18" s="6">
        <v>0</v>
      </c>
      <c r="AI18" s="6">
        <v>13.466598429176679</v>
      </c>
      <c r="AJ18" s="6">
        <v>352.89932306589043</v>
      </c>
      <c r="AK18" s="6">
        <v>0</v>
      </c>
      <c r="AL18" s="6">
        <v>0</v>
      </c>
      <c r="AM18" s="6">
        <v>0</v>
      </c>
      <c r="AN18" s="6">
        <v>0</v>
      </c>
      <c r="AO18" s="6">
        <v>0</v>
      </c>
      <c r="AP18" s="6">
        <v>352.89932306589043</v>
      </c>
      <c r="AQ18" s="6">
        <v>419.99999964779192</v>
      </c>
      <c r="AR18" s="6">
        <v>52.991632000000003</v>
      </c>
      <c r="AS18" s="6">
        <v>147.7492612288068</v>
      </c>
      <c r="AT18" s="6">
        <v>104.6473770915001</v>
      </c>
    </row>
    <row r="19" spans="1:46" x14ac:dyDescent="0.35">
      <c r="A19" s="5">
        <v>46022</v>
      </c>
      <c r="B19" s="4" t="s">
        <v>48</v>
      </c>
      <c r="C19" s="4" t="s">
        <v>49</v>
      </c>
      <c r="D19" s="4" t="s">
        <v>50</v>
      </c>
      <c r="E19" s="6">
        <v>49000</v>
      </c>
      <c r="F19" s="7">
        <v>0.91</v>
      </c>
      <c r="G19" s="6">
        <v>85</v>
      </c>
      <c r="H19" s="6">
        <v>379.01499999999999</v>
      </c>
      <c r="I19" s="6">
        <v>97</v>
      </c>
      <c r="J19" s="6">
        <v>367.64454999999998</v>
      </c>
      <c r="K19" s="8">
        <v>71.774707413819144</v>
      </c>
      <c r="L19" s="6">
        <v>2.3615805254785678</v>
      </c>
      <c r="M19" s="6">
        <v>22.910618874545762</v>
      </c>
      <c r="N19" s="6">
        <v>0.54432090355358209</v>
      </c>
      <c r="O19" s="6">
        <v>23.085521516206079</v>
      </c>
      <c r="P19" s="6">
        <v>48.902041819783989</v>
      </c>
      <c r="Q19" s="6">
        <v>0.82675213415368354</v>
      </c>
      <c r="R19" s="6">
        <v>15.185370355614211</v>
      </c>
      <c r="S19" s="6">
        <v>6.6894185618702213</v>
      </c>
      <c r="T19" s="6">
        <v>18.580303180905219</v>
      </c>
      <c r="U19" s="6">
        <v>41.281844232543328</v>
      </c>
      <c r="V19" s="6">
        <v>90.183886052327324</v>
      </c>
      <c r="W19" s="6">
        <v>7.4421655243249338</v>
      </c>
      <c r="X19" s="6">
        <v>20.48346467110732</v>
      </c>
      <c r="Y19" s="6">
        <v>118.1095162477596</v>
      </c>
      <c r="Z19" s="6">
        <v>9.4887366541296405</v>
      </c>
      <c r="AA19" s="6">
        <v>127.5982529018892</v>
      </c>
      <c r="AB19" s="6">
        <v>0</v>
      </c>
      <c r="AC19" s="6">
        <v>86.633858825903417</v>
      </c>
      <c r="AD19" s="6">
        <v>0</v>
      </c>
      <c r="AE19" s="6">
        <v>0</v>
      </c>
      <c r="AF19" s="6">
        <v>214.23211172779261</v>
      </c>
      <c r="AG19" s="6">
        <v>4.0011083769756759</v>
      </c>
      <c r="AH19" s="6">
        <v>0</v>
      </c>
      <c r="AI19" s="6">
        <v>67.572751285768916</v>
      </c>
      <c r="AJ19" s="6">
        <v>199.17211256463381</v>
      </c>
      <c r="AK19" s="6">
        <v>1.549698673972745</v>
      </c>
      <c r="AL19" s="6">
        <v>0</v>
      </c>
      <c r="AM19" s="6">
        <v>0</v>
      </c>
      <c r="AN19" s="6">
        <v>0</v>
      </c>
      <c r="AO19" s="6">
        <v>0</v>
      </c>
      <c r="AP19" s="6">
        <v>200.72181123860651</v>
      </c>
      <c r="AQ19" s="6">
        <v>420.00005676818171</v>
      </c>
      <c r="AR19" s="6">
        <v>4853.8184149999997</v>
      </c>
      <c r="AS19" s="6">
        <v>301.89054052042212</v>
      </c>
      <c r="AT19" s="6">
        <v>292.40180386629248</v>
      </c>
    </row>
    <row r="20" spans="1:46" x14ac:dyDescent="0.35">
      <c r="A20" s="5">
        <v>46022</v>
      </c>
      <c r="B20" s="4" t="s">
        <v>51</v>
      </c>
      <c r="C20" s="4" t="s">
        <v>52</v>
      </c>
      <c r="D20" s="4" t="s">
        <v>50</v>
      </c>
      <c r="E20" s="6">
        <v>42000</v>
      </c>
      <c r="F20" s="7">
        <v>0.38</v>
      </c>
      <c r="G20" s="6">
        <v>90</v>
      </c>
      <c r="H20" s="6">
        <v>143.63999999999999</v>
      </c>
      <c r="I20" s="6">
        <v>96.5</v>
      </c>
      <c r="J20" s="6">
        <v>138.61259999999999</v>
      </c>
      <c r="K20" s="8">
        <v>88.216429265182313</v>
      </c>
      <c r="L20" s="6">
        <v>18.027434185770112</v>
      </c>
      <c r="M20" s="6">
        <v>18.753955059042379</v>
      </c>
      <c r="N20" s="6">
        <v>10.852370686730881</v>
      </c>
      <c r="O20" s="6">
        <v>43.98218081189156</v>
      </c>
      <c r="P20" s="6">
        <v>91.615940743434933</v>
      </c>
      <c r="Q20" s="6">
        <v>4.9596125279510108</v>
      </c>
      <c r="R20" s="6">
        <v>11.435883754852339</v>
      </c>
      <c r="S20" s="6">
        <v>51.779688965515959</v>
      </c>
      <c r="T20" s="6">
        <v>17.123835822525191</v>
      </c>
      <c r="U20" s="6">
        <v>85.299021070844503</v>
      </c>
      <c r="V20" s="6">
        <v>176.91496181427939</v>
      </c>
      <c r="W20" s="6">
        <v>13.4086893360543</v>
      </c>
      <c r="X20" s="6">
        <v>19.84731286922689</v>
      </c>
      <c r="Y20" s="6">
        <v>210.17096401956061</v>
      </c>
      <c r="Z20" s="6">
        <v>4.5012937567680282</v>
      </c>
      <c r="AA20" s="6">
        <v>214.67225777632859</v>
      </c>
      <c r="AB20" s="6">
        <v>0</v>
      </c>
      <c r="AC20" s="6">
        <v>160.96531767380841</v>
      </c>
      <c r="AD20" s="6">
        <v>0</v>
      </c>
      <c r="AE20" s="6">
        <v>0</v>
      </c>
      <c r="AF20" s="6">
        <v>375.63757545013709</v>
      </c>
      <c r="AG20" s="6">
        <v>12.12444299710069</v>
      </c>
      <c r="AH20" s="6">
        <v>0</v>
      </c>
      <c r="AI20" s="6">
        <v>132.7915191170286</v>
      </c>
      <c r="AJ20" s="6">
        <v>359.58821989045799</v>
      </c>
      <c r="AK20" s="6">
        <v>14.43385840141644</v>
      </c>
      <c r="AL20" s="6">
        <v>0</v>
      </c>
      <c r="AM20" s="6">
        <v>0</v>
      </c>
      <c r="AN20" s="6">
        <v>0</v>
      </c>
      <c r="AO20" s="6">
        <v>0</v>
      </c>
      <c r="AP20" s="6">
        <v>374.02207829187438</v>
      </c>
      <c r="AQ20" s="6">
        <v>419.99999964779198</v>
      </c>
      <c r="AR20" s="6">
        <v>1453.046484</v>
      </c>
      <c r="AS20" s="6">
        <v>209.8290356282314</v>
      </c>
      <c r="AT20" s="6">
        <v>205.3277418714633</v>
      </c>
    </row>
    <row r="21" spans="1:46" x14ac:dyDescent="0.35">
      <c r="A21" s="5">
        <v>46022</v>
      </c>
      <c r="B21" s="4" t="s">
        <v>53</v>
      </c>
      <c r="C21" s="4" t="s">
        <v>54</v>
      </c>
      <c r="D21" s="4" t="s">
        <v>55</v>
      </c>
      <c r="E21" s="6">
        <v>950</v>
      </c>
      <c r="F21" s="7">
        <v>1.9317</v>
      </c>
      <c r="G21" s="6">
        <v>94</v>
      </c>
      <c r="H21" s="6">
        <v>17.25</v>
      </c>
      <c r="I21" s="6">
        <v>97</v>
      </c>
      <c r="J21" s="6">
        <v>16.732810000000001</v>
      </c>
      <c r="K21" s="8">
        <v>85.692493605783355</v>
      </c>
      <c r="L21" s="6">
        <v>27.969631837804009</v>
      </c>
      <c r="M21" s="6">
        <v>24.198217106253871</v>
      </c>
      <c r="N21" s="6">
        <v>3.6760720847201349</v>
      </c>
      <c r="O21" s="6">
        <v>23.163123539276889</v>
      </c>
      <c r="P21" s="6">
        <v>79.007044568054894</v>
      </c>
      <c r="Q21" s="6">
        <v>17.612437679319932</v>
      </c>
      <c r="R21" s="6">
        <v>6.0881324748913714</v>
      </c>
      <c r="S21" s="6">
        <v>8.1449728740979133</v>
      </c>
      <c r="T21" s="6">
        <v>14.880516876698881</v>
      </c>
      <c r="U21" s="6">
        <v>46.7260599050081</v>
      </c>
      <c r="V21" s="6">
        <v>125.73310447306299</v>
      </c>
      <c r="W21" s="6">
        <v>16.80655257622016</v>
      </c>
      <c r="X21" s="6">
        <v>21.082266904751162</v>
      </c>
      <c r="Y21" s="6">
        <v>163.62192395403429</v>
      </c>
      <c r="Z21" s="6">
        <v>34.76982338695737</v>
      </c>
      <c r="AA21" s="6">
        <v>198.39174734099171</v>
      </c>
      <c r="AB21" s="6">
        <v>2.8084460540821148</v>
      </c>
      <c r="AC21" s="6">
        <v>109.64422039861689</v>
      </c>
      <c r="AD21" s="6">
        <v>0</v>
      </c>
      <c r="AE21" s="6">
        <v>0</v>
      </c>
      <c r="AF21" s="6">
        <v>310.84441379369071</v>
      </c>
      <c r="AG21" s="6">
        <v>6.572556273063805</v>
      </c>
      <c r="AH21" s="6">
        <v>0</v>
      </c>
      <c r="AI21" s="6">
        <v>28.0674505157826</v>
      </c>
      <c r="AJ21" s="6">
        <v>235.84020018392019</v>
      </c>
      <c r="AK21" s="6">
        <v>13.93769188222929</v>
      </c>
      <c r="AL21" s="6">
        <v>0</v>
      </c>
      <c r="AM21" s="6">
        <v>0</v>
      </c>
      <c r="AN21" s="6">
        <v>0</v>
      </c>
      <c r="AO21" s="6">
        <v>0</v>
      </c>
      <c r="AP21" s="6">
        <v>249.77789206614949</v>
      </c>
      <c r="AQ21" s="6">
        <v>419.99974864392613</v>
      </c>
      <c r="AR21" s="6">
        <v>180.31735599999999</v>
      </c>
      <c r="AS21" s="6">
        <v>256.37782468989178</v>
      </c>
      <c r="AT21" s="6">
        <v>221.60800130293441</v>
      </c>
    </row>
    <row r="22" spans="1:46" x14ac:dyDescent="0.35">
      <c r="A22" s="5">
        <v>46022</v>
      </c>
      <c r="B22" s="4" t="s">
        <v>56</v>
      </c>
      <c r="C22" s="4" t="s">
        <v>57</v>
      </c>
      <c r="D22" s="4" t="s">
        <v>58</v>
      </c>
      <c r="E22" s="6">
        <v>32000</v>
      </c>
      <c r="F22" s="7">
        <v>0.35</v>
      </c>
      <c r="G22" s="6">
        <v>69</v>
      </c>
      <c r="H22" s="6">
        <v>77.28</v>
      </c>
      <c r="I22" s="6">
        <v>100</v>
      </c>
      <c r="J22" s="6">
        <v>77.28</v>
      </c>
      <c r="K22" s="8">
        <v>99.999999957755222</v>
      </c>
      <c r="L22" s="6">
        <v>76.928552192377069</v>
      </c>
      <c r="M22" s="6">
        <v>41.846704067588618</v>
      </c>
      <c r="N22" s="6">
        <v>3.0497560022884489</v>
      </c>
      <c r="O22" s="6">
        <v>35.250005991740601</v>
      </c>
      <c r="P22" s="6">
        <v>157.0750182539947</v>
      </c>
      <c r="Q22" s="6">
        <v>18.603485318749701</v>
      </c>
      <c r="R22" s="6">
        <v>19.556761804764381</v>
      </c>
      <c r="S22" s="6">
        <v>43.966811708136461</v>
      </c>
      <c r="T22" s="6">
        <v>7.7012659299292263</v>
      </c>
      <c r="U22" s="6">
        <v>89.828324761579765</v>
      </c>
      <c r="V22" s="6">
        <v>246.90334301557451</v>
      </c>
      <c r="W22" s="6">
        <v>7.4817716812539459</v>
      </c>
      <c r="X22" s="6">
        <v>0</v>
      </c>
      <c r="Y22" s="6">
        <v>254.3851146968284</v>
      </c>
      <c r="Z22" s="6">
        <v>1.963215656574659</v>
      </c>
      <c r="AA22" s="6">
        <v>256.34833035340313</v>
      </c>
      <c r="AB22" s="6">
        <v>0</v>
      </c>
      <c r="AC22" s="6">
        <v>87.900585363333263</v>
      </c>
      <c r="AD22" s="6">
        <v>0</v>
      </c>
      <c r="AE22" s="6">
        <v>0</v>
      </c>
      <c r="AF22" s="6">
        <v>344.24891571673641</v>
      </c>
      <c r="AG22" s="6">
        <v>5.2825198347249334</v>
      </c>
      <c r="AH22" s="6">
        <v>0</v>
      </c>
      <c r="AI22" s="6">
        <v>45.501813365070618</v>
      </c>
      <c r="AJ22" s="6">
        <v>307.1326635531986</v>
      </c>
      <c r="AK22" s="6">
        <v>0</v>
      </c>
      <c r="AL22" s="6">
        <v>0</v>
      </c>
      <c r="AM22" s="6">
        <v>0</v>
      </c>
      <c r="AN22" s="6">
        <v>0</v>
      </c>
      <c r="AO22" s="6">
        <v>0</v>
      </c>
      <c r="AP22" s="6">
        <v>307.1326635531986</v>
      </c>
      <c r="AQ22" s="6">
        <v>419.99999964779192</v>
      </c>
      <c r="AR22" s="6">
        <v>715.56759199999999</v>
      </c>
      <c r="AS22" s="6">
        <v>165.6148849509635</v>
      </c>
      <c r="AT22" s="6">
        <v>163.6516692943888</v>
      </c>
    </row>
    <row r="23" spans="1:46" x14ac:dyDescent="0.35">
      <c r="A23" s="5">
        <v>46022</v>
      </c>
      <c r="B23" s="4" t="s">
        <v>170</v>
      </c>
      <c r="C23" s="4" t="s">
        <v>171</v>
      </c>
      <c r="D23" s="4" t="s">
        <v>111</v>
      </c>
      <c r="E23" s="6">
        <v>1222</v>
      </c>
      <c r="F23" s="7">
        <v>1.35</v>
      </c>
      <c r="G23" s="6">
        <v>92.24</v>
      </c>
      <c r="H23" s="6">
        <v>15.215999999999999</v>
      </c>
      <c r="I23" s="6">
        <v>94.907096999999993</v>
      </c>
      <c r="J23" s="6">
        <v>14.441071000000001</v>
      </c>
      <c r="K23" s="8">
        <v>64.13497439301311</v>
      </c>
      <c r="L23" s="6">
        <v>54.016164317561049</v>
      </c>
      <c r="M23" s="6">
        <v>6.5133303367357183</v>
      </c>
      <c r="N23" s="6">
        <v>6.929746499669557</v>
      </c>
      <c r="O23" s="6">
        <v>21.392320307648308</v>
      </c>
      <c r="P23" s="6">
        <v>88.851561461614637</v>
      </c>
      <c r="Q23" s="6">
        <v>21.022991254265829</v>
      </c>
      <c r="R23" s="6">
        <v>6.4196706097856646</v>
      </c>
      <c r="S23" s="6">
        <v>11.77416029886286</v>
      </c>
      <c r="T23" s="6">
        <v>8.8177234567412697</v>
      </c>
      <c r="U23" s="6">
        <v>48.034545619655631</v>
      </c>
      <c r="V23" s="6">
        <v>136.8861070812703</v>
      </c>
      <c r="W23" s="6">
        <v>24.096951703862359</v>
      </c>
      <c r="X23" s="6">
        <v>27.400048460662809</v>
      </c>
      <c r="Y23" s="6">
        <v>188.3831072457954</v>
      </c>
      <c r="Z23" s="6">
        <v>14.978528220319321</v>
      </c>
      <c r="AA23" s="6">
        <v>203.36163546611479</v>
      </c>
      <c r="AB23" s="6">
        <v>2.6987648942927791</v>
      </c>
      <c r="AC23" s="6">
        <v>56.653288620931299</v>
      </c>
      <c r="AD23" s="6">
        <v>0</v>
      </c>
      <c r="AE23" s="6">
        <v>0</v>
      </c>
      <c r="AF23" s="6">
        <v>262.71368898133881</v>
      </c>
      <c r="AG23" s="6">
        <v>18.018334927520019</v>
      </c>
      <c r="AH23" s="6">
        <v>4.8478626197956372</v>
      </c>
      <c r="AI23" s="6">
        <v>29.301686944532161</v>
      </c>
      <c r="AJ23" s="6">
        <v>258.2282848522554</v>
      </c>
      <c r="AK23" s="6">
        <v>0</v>
      </c>
      <c r="AL23" s="6">
        <v>0</v>
      </c>
      <c r="AM23" s="6">
        <v>0</v>
      </c>
      <c r="AN23" s="6">
        <v>0</v>
      </c>
      <c r="AO23" s="6">
        <v>0</v>
      </c>
      <c r="AP23" s="6">
        <v>258.2282848522554</v>
      </c>
      <c r="AQ23" s="6">
        <v>420.00084307553971</v>
      </c>
      <c r="AR23" s="6">
        <v>207.41066799999999</v>
      </c>
      <c r="AS23" s="6">
        <v>231.6177358297443</v>
      </c>
      <c r="AT23" s="6">
        <v>216.639207609425</v>
      </c>
    </row>
    <row r="24" spans="1:46" x14ac:dyDescent="0.35">
      <c r="A24" s="5">
        <v>46022</v>
      </c>
      <c r="B24" s="4" t="s">
        <v>182</v>
      </c>
      <c r="C24" s="4" t="s">
        <v>183</v>
      </c>
      <c r="D24" s="4" t="s">
        <v>55</v>
      </c>
      <c r="E24" s="6">
        <v>1360.2258979999999</v>
      </c>
      <c r="F24" s="7">
        <v>0.2979</v>
      </c>
      <c r="G24" s="6">
        <v>77.8</v>
      </c>
      <c r="H24" s="6">
        <v>5</v>
      </c>
      <c r="I24" s="6">
        <v>96</v>
      </c>
      <c r="J24" s="6">
        <v>4.8</v>
      </c>
      <c r="K24" s="8">
        <v>19.447345672045287</v>
      </c>
      <c r="L24" s="6">
        <v>27.9402481064919</v>
      </c>
      <c r="M24" s="6">
        <v>3.3569038587550288</v>
      </c>
      <c r="N24" s="6">
        <v>2.2338629864088029</v>
      </c>
      <c r="O24" s="6">
        <v>22.762944243658669</v>
      </c>
      <c r="P24" s="6">
        <v>56.2939591953144</v>
      </c>
      <c r="Q24" s="6">
        <v>18.540993294255198</v>
      </c>
      <c r="R24" s="6">
        <v>9.0207082815644473</v>
      </c>
      <c r="S24" s="6">
        <v>9.4404206288109904</v>
      </c>
      <c r="T24" s="6">
        <v>16.325258465594558</v>
      </c>
      <c r="U24" s="6">
        <v>53.327380670225189</v>
      </c>
      <c r="V24" s="6">
        <v>109.6213398655396</v>
      </c>
      <c r="W24" s="6">
        <v>2.9618224419849701</v>
      </c>
      <c r="X24" s="6">
        <v>15.20837463245889</v>
      </c>
      <c r="Y24" s="6">
        <v>127.7915369399834</v>
      </c>
      <c r="Z24" s="6">
        <v>14.10702653475429</v>
      </c>
      <c r="AA24" s="6">
        <v>141.8985634747377</v>
      </c>
      <c r="AB24" s="6">
        <v>2.1555659432499592</v>
      </c>
      <c r="AC24" s="6">
        <v>168.1591335339227</v>
      </c>
      <c r="AD24" s="6">
        <v>0</v>
      </c>
      <c r="AE24" s="6">
        <v>0</v>
      </c>
      <c r="AF24" s="6">
        <v>312.21326295191039</v>
      </c>
      <c r="AG24" s="6">
        <v>9.0162112385709356</v>
      </c>
      <c r="AH24" s="6">
        <v>0</v>
      </c>
      <c r="AI24" s="6">
        <v>122.0925049986507</v>
      </c>
      <c r="AJ24" s="6">
        <v>275.16284565520942</v>
      </c>
      <c r="AK24" s="6">
        <v>16.539689174336299</v>
      </c>
      <c r="AL24" s="6">
        <v>0</v>
      </c>
      <c r="AM24" s="6">
        <v>0</v>
      </c>
      <c r="AN24" s="6">
        <v>0</v>
      </c>
      <c r="AO24" s="6">
        <v>0</v>
      </c>
      <c r="AP24" s="6">
        <v>291.7025348295457</v>
      </c>
      <c r="AQ24" s="6">
        <v>419.99999964779198</v>
      </c>
      <c r="AR24" s="6">
        <v>267.17487599999998</v>
      </c>
      <c r="AS24" s="6">
        <v>292.20846270780851</v>
      </c>
      <c r="AT24" s="6">
        <v>278.1014361730542</v>
      </c>
    </row>
    <row r="25" spans="1:46" x14ac:dyDescent="0.35">
      <c r="A25" s="5">
        <v>46022</v>
      </c>
      <c r="B25" s="4" t="s">
        <v>59</v>
      </c>
      <c r="C25" s="4" t="s">
        <v>60</v>
      </c>
      <c r="D25" s="4" t="s">
        <v>61</v>
      </c>
      <c r="E25" s="6">
        <v>2700</v>
      </c>
      <c r="F25" s="7">
        <v>1.73</v>
      </c>
      <c r="G25" s="6">
        <v>90</v>
      </c>
      <c r="H25" s="6">
        <v>42.039000000000001</v>
      </c>
      <c r="I25" s="6">
        <v>97</v>
      </c>
      <c r="J25" s="6">
        <v>40.777830000000002</v>
      </c>
      <c r="K25" s="8">
        <v>78.762730952322613</v>
      </c>
      <c r="L25" s="6">
        <v>11.719464278358201</v>
      </c>
      <c r="M25" s="6">
        <v>1.1408133793073261</v>
      </c>
      <c r="N25" s="6">
        <v>3.590231023116575</v>
      </c>
      <c r="O25" s="6">
        <v>18.386952033596121</v>
      </c>
      <c r="P25" s="6">
        <v>34.837460714378217</v>
      </c>
      <c r="Q25" s="6">
        <v>5.6514601535173661</v>
      </c>
      <c r="R25" s="6">
        <v>1.4567376995193471</v>
      </c>
      <c r="S25" s="6">
        <v>7.1400566423250558</v>
      </c>
      <c r="T25" s="6">
        <v>6.8393757166908573</v>
      </c>
      <c r="U25" s="6">
        <v>21.08763021205263</v>
      </c>
      <c r="V25" s="6">
        <v>55.92509092643084</v>
      </c>
      <c r="W25" s="6">
        <v>16.675520654071899</v>
      </c>
      <c r="X25" s="6">
        <v>22.054499834872981</v>
      </c>
      <c r="Y25" s="6">
        <v>94.655111415375728</v>
      </c>
      <c r="Z25" s="6">
        <v>16.932311959661281</v>
      </c>
      <c r="AA25" s="6">
        <v>111.58742337503701</v>
      </c>
      <c r="AB25" s="6">
        <v>0</v>
      </c>
      <c r="AC25" s="6">
        <v>18.886405026731818</v>
      </c>
      <c r="AD25" s="6">
        <v>0</v>
      </c>
      <c r="AE25" s="6">
        <v>0</v>
      </c>
      <c r="AF25" s="6">
        <v>130.4738284017688</v>
      </c>
      <c r="AG25" s="6">
        <v>4.8217549008527794</v>
      </c>
      <c r="AH25" s="6">
        <v>0</v>
      </c>
      <c r="AI25" s="6">
        <v>6.0213774099861759</v>
      </c>
      <c r="AJ25" s="6">
        <v>122.430555685876</v>
      </c>
      <c r="AK25" s="6">
        <v>0</v>
      </c>
      <c r="AL25" s="6">
        <v>0</v>
      </c>
      <c r="AM25" s="6">
        <v>0</v>
      </c>
      <c r="AN25" s="6">
        <v>0</v>
      </c>
      <c r="AO25" s="6">
        <v>0</v>
      </c>
      <c r="AP25" s="6">
        <v>122.430555685876</v>
      </c>
      <c r="AQ25" s="6">
        <v>419.9996906563623</v>
      </c>
      <c r="AR25" s="6">
        <v>483.162485</v>
      </c>
      <c r="AS25" s="6">
        <v>325.3445792409866</v>
      </c>
      <c r="AT25" s="6">
        <v>308.41226728132528</v>
      </c>
    </row>
    <row r="26" spans="1:46" x14ac:dyDescent="0.35">
      <c r="A26" s="5">
        <v>46022</v>
      </c>
      <c r="B26" s="4" t="s">
        <v>172</v>
      </c>
      <c r="C26" s="4" t="s">
        <v>173</v>
      </c>
      <c r="D26" s="4" t="s">
        <v>111</v>
      </c>
      <c r="E26" s="6">
        <v>533.97278600000004</v>
      </c>
      <c r="F26" s="7">
        <v>0.62109999999999999</v>
      </c>
      <c r="G26" s="6">
        <v>73.17</v>
      </c>
      <c r="H26" s="6">
        <v>2.427</v>
      </c>
      <c r="I26" s="6">
        <v>97</v>
      </c>
      <c r="J26" s="6">
        <v>2.3538760000000001</v>
      </c>
      <c r="K26" s="8">
        <v>8.7578079070102994</v>
      </c>
      <c r="L26" s="6">
        <v>5.6383255962390662</v>
      </c>
      <c r="M26" s="6">
        <v>2.1158253143085428</v>
      </c>
      <c r="N26" s="6">
        <v>3.4135080892207288</v>
      </c>
      <c r="O26" s="6">
        <v>2.9681187047080009</v>
      </c>
      <c r="P26" s="6">
        <v>14.13577770447634</v>
      </c>
      <c r="Q26" s="6">
        <v>6.9893780310137128</v>
      </c>
      <c r="R26" s="6">
        <v>2.1490669057749492</v>
      </c>
      <c r="S26" s="6">
        <v>4.1311896153264094</v>
      </c>
      <c r="T26" s="6">
        <v>3.9781132040486078</v>
      </c>
      <c r="U26" s="6">
        <v>17.24774775616368</v>
      </c>
      <c r="V26" s="6">
        <v>31.383525460640019</v>
      </c>
      <c r="W26" s="6">
        <v>2.8876738465465648</v>
      </c>
      <c r="X26" s="6">
        <v>4.654742718971363</v>
      </c>
      <c r="Y26" s="6">
        <v>38.925942026157948</v>
      </c>
      <c r="Z26" s="6">
        <v>12.87585319677633</v>
      </c>
      <c r="AA26" s="6">
        <v>51.801795222934281</v>
      </c>
      <c r="AB26" s="6">
        <v>0</v>
      </c>
      <c r="AC26" s="6">
        <v>4.5350071852238631</v>
      </c>
      <c r="AD26" s="6">
        <v>0</v>
      </c>
      <c r="AE26" s="6">
        <v>0</v>
      </c>
      <c r="AF26" s="6">
        <v>56.336802408158142</v>
      </c>
      <c r="AG26" s="6">
        <v>2.3065508377603572</v>
      </c>
      <c r="AH26" s="6">
        <v>0</v>
      </c>
      <c r="AI26" s="6">
        <v>1.7811493174660531</v>
      </c>
      <c r="AJ26" s="6">
        <v>55.889495378160689</v>
      </c>
      <c r="AK26" s="6">
        <v>0</v>
      </c>
      <c r="AL26" s="6">
        <v>0</v>
      </c>
      <c r="AM26" s="6">
        <v>0</v>
      </c>
      <c r="AN26" s="6">
        <v>0</v>
      </c>
      <c r="AO26" s="6">
        <v>0</v>
      </c>
      <c r="AP26" s="6">
        <v>55.889495378160689</v>
      </c>
      <c r="AQ26" s="6">
        <v>175.07464269758199</v>
      </c>
      <c r="AR26" s="6">
        <v>119.364446</v>
      </c>
      <c r="AS26" s="6">
        <v>136.148700671424</v>
      </c>
      <c r="AT26" s="6">
        <v>123.2728474746477</v>
      </c>
    </row>
    <row r="27" spans="1:46" x14ac:dyDescent="0.35">
      <c r="A27" s="5">
        <v>46022</v>
      </c>
      <c r="B27" s="4" t="s">
        <v>184</v>
      </c>
      <c r="C27" s="4" t="s">
        <v>185</v>
      </c>
      <c r="D27" s="4" t="s">
        <v>157</v>
      </c>
      <c r="E27" s="6">
        <v>18250</v>
      </c>
      <c r="F27" s="7">
        <v>0.3473</v>
      </c>
      <c r="G27" s="6">
        <v>86</v>
      </c>
      <c r="H27" s="6">
        <v>54.508000000000003</v>
      </c>
      <c r="I27" s="6">
        <v>95.6</v>
      </c>
      <c r="J27" s="6">
        <v>52.109524999999998</v>
      </c>
      <c r="K27" s="8">
        <v>90.4351343822903</v>
      </c>
      <c r="L27" s="6">
        <v>17.258620110184481</v>
      </c>
      <c r="M27" s="6">
        <v>26.174360492064711</v>
      </c>
      <c r="N27" s="6">
        <v>7.069609853415745</v>
      </c>
      <c r="O27" s="6">
        <v>41.711814066958283</v>
      </c>
      <c r="P27" s="6">
        <v>92.214404522623227</v>
      </c>
      <c r="Q27" s="6">
        <v>3.7559034623071379</v>
      </c>
      <c r="R27" s="6">
        <v>20.4386038256314</v>
      </c>
      <c r="S27" s="6">
        <v>41.340152033471398</v>
      </c>
      <c r="T27" s="6">
        <v>13.264588149068199</v>
      </c>
      <c r="U27" s="6">
        <v>78.799247470478136</v>
      </c>
      <c r="V27" s="6">
        <v>171.0136519931014</v>
      </c>
      <c r="W27" s="6">
        <v>0.65966177721895325</v>
      </c>
      <c r="X27" s="6">
        <v>2.3197114188153369</v>
      </c>
      <c r="Y27" s="6">
        <v>173.99302518913561</v>
      </c>
      <c r="Z27" s="6">
        <v>16.647269319757669</v>
      </c>
      <c r="AA27" s="6">
        <v>190.64029450889331</v>
      </c>
      <c r="AB27" s="6">
        <v>0</v>
      </c>
      <c r="AC27" s="6">
        <v>73.303901674504033</v>
      </c>
      <c r="AD27" s="6">
        <v>0</v>
      </c>
      <c r="AE27" s="6">
        <v>0</v>
      </c>
      <c r="AF27" s="6">
        <v>263.94419618339731</v>
      </c>
      <c r="AG27" s="6">
        <v>0.99364488459525846</v>
      </c>
      <c r="AH27" s="6">
        <v>0</v>
      </c>
      <c r="AI27" s="6">
        <v>51.390070920495198</v>
      </c>
      <c r="AJ27" s="6">
        <v>243.02401031398381</v>
      </c>
      <c r="AK27" s="6">
        <v>0</v>
      </c>
      <c r="AL27" s="6">
        <v>0</v>
      </c>
      <c r="AM27" s="6">
        <v>0</v>
      </c>
      <c r="AN27" s="6">
        <v>0</v>
      </c>
      <c r="AO27" s="6">
        <v>11.80802257568798</v>
      </c>
      <c r="AP27" s="6">
        <v>254.83203288967181</v>
      </c>
      <c r="AQ27" s="6">
        <v>419.99979814912177</v>
      </c>
      <c r="AR27" s="6">
        <v>533.55998099999999</v>
      </c>
      <c r="AS27" s="6">
        <v>246.00677295998611</v>
      </c>
      <c r="AT27" s="6">
        <v>229.3595036402285</v>
      </c>
    </row>
    <row r="28" spans="1:46" x14ac:dyDescent="0.35">
      <c r="A28" s="5">
        <v>46022</v>
      </c>
      <c r="B28" s="4" t="s">
        <v>186</v>
      </c>
      <c r="C28" s="4" t="s">
        <v>187</v>
      </c>
      <c r="D28" s="4" t="s">
        <v>111</v>
      </c>
      <c r="E28" s="6">
        <v>730.12933299999997</v>
      </c>
      <c r="F28" s="7">
        <v>0.41820000000000002</v>
      </c>
      <c r="G28" s="6">
        <v>86.61</v>
      </c>
      <c r="H28" s="6">
        <v>2.645</v>
      </c>
      <c r="I28" s="6">
        <v>97</v>
      </c>
      <c r="J28" s="6">
        <v>2.565258</v>
      </c>
      <c r="K28" s="8">
        <v>33.152828965543655</v>
      </c>
      <c r="L28" s="6">
        <v>28.004961941304231</v>
      </c>
      <c r="M28" s="6">
        <v>23.26147276524696</v>
      </c>
      <c r="N28" s="6">
        <v>21.667071321790129</v>
      </c>
      <c r="O28" s="6">
        <v>63.314717363452772</v>
      </c>
      <c r="P28" s="6">
        <v>136.24822339179411</v>
      </c>
      <c r="Q28" s="6">
        <v>12.72035431985781</v>
      </c>
      <c r="R28" s="6">
        <v>11.901470553431601</v>
      </c>
      <c r="S28" s="6">
        <v>18.97753915752795</v>
      </c>
      <c r="T28" s="6">
        <v>24.080574817358041</v>
      </c>
      <c r="U28" s="6">
        <v>67.679938848175411</v>
      </c>
      <c r="V28" s="6">
        <v>203.92816223996951</v>
      </c>
      <c r="W28" s="6">
        <v>11.79134766673617</v>
      </c>
      <c r="X28" s="6">
        <v>21.221813138245391</v>
      </c>
      <c r="Y28" s="6">
        <v>236.9413230449511</v>
      </c>
      <c r="Z28" s="6">
        <v>17.80192662498375</v>
      </c>
      <c r="AA28" s="6">
        <v>254.74324966993481</v>
      </c>
      <c r="AB28" s="6">
        <v>1.219322435165995</v>
      </c>
      <c r="AC28" s="6">
        <v>20.44710258979244</v>
      </c>
      <c r="AD28" s="6">
        <v>0</v>
      </c>
      <c r="AE28" s="6">
        <v>2.4210578923092481</v>
      </c>
      <c r="AF28" s="6">
        <v>278.83073258720248</v>
      </c>
      <c r="AG28" s="6">
        <v>67.297228401136806</v>
      </c>
      <c r="AH28" s="6">
        <v>7.4957078528823811</v>
      </c>
      <c r="AI28" s="6">
        <v>13.6939298749669</v>
      </c>
      <c r="AJ28" s="6">
        <v>344.44943823408693</v>
      </c>
      <c r="AK28" s="6">
        <v>157.22226762487981</v>
      </c>
      <c r="AL28" s="6">
        <v>0</v>
      </c>
      <c r="AM28" s="6">
        <v>0</v>
      </c>
      <c r="AN28" s="6">
        <v>0</v>
      </c>
      <c r="AO28" s="6">
        <v>0</v>
      </c>
      <c r="AP28" s="6">
        <v>501.67170585896667</v>
      </c>
      <c r="AQ28" s="6">
        <v>420.00687614909708</v>
      </c>
      <c r="AR28" s="6">
        <v>70.744361999999995</v>
      </c>
      <c r="AS28" s="6">
        <v>183.06555310414609</v>
      </c>
      <c r="AT28" s="6">
        <v>165.2636264791623</v>
      </c>
    </row>
    <row r="29" spans="1:46" x14ac:dyDescent="0.35">
      <c r="A29" s="5">
        <v>46022</v>
      </c>
      <c r="B29" s="4" t="s">
        <v>77</v>
      </c>
      <c r="C29" s="4" t="s">
        <v>78</v>
      </c>
      <c r="D29" s="4" t="s">
        <v>79</v>
      </c>
      <c r="E29" s="6">
        <v>31813.382954000001</v>
      </c>
      <c r="F29" s="7">
        <v>0.30620000000000003</v>
      </c>
      <c r="G29" s="6">
        <v>67.98</v>
      </c>
      <c r="H29" s="6">
        <v>66.224000000000004</v>
      </c>
      <c r="I29" s="6">
        <v>97</v>
      </c>
      <c r="J29" s="6">
        <v>64.237751000000003</v>
      </c>
      <c r="K29" s="8">
        <v>74.413609225549607</v>
      </c>
      <c r="L29" s="6">
        <v>39.967287864077683</v>
      </c>
      <c r="M29" s="6">
        <v>19.828375480826541</v>
      </c>
      <c r="N29" s="6">
        <v>1.8165330596748539</v>
      </c>
      <c r="O29" s="6">
        <v>52.970487824138729</v>
      </c>
      <c r="P29" s="6">
        <v>114.5826842287178</v>
      </c>
      <c r="Q29" s="6">
        <v>25.87644815829572</v>
      </c>
      <c r="R29" s="6">
        <v>48.839847207422878</v>
      </c>
      <c r="S29" s="6">
        <v>48.989557521150331</v>
      </c>
      <c r="T29" s="6">
        <v>41.758529308671058</v>
      </c>
      <c r="U29" s="6">
        <v>165.46438219554</v>
      </c>
      <c r="V29" s="6">
        <v>280.04706642425782</v>
      </c>
      <c r="W29" s="6">
        <v>13.20011501943859</v>
      </c>
      <c r="X29" s="6">
        <v>7.2674390895643173</v>
      </c>
      <c r="Y29" s="6">
        <v>300.51462053326071</v>
      </c>
      <c r="Z29" s="6">
        <v>10.387559912462841</v>
      </c>
      <c r="AA29" s="6">
        <v>310.9021804457235</v>
      </c>
      <c r="AB29" s="6">
        <v>0</v>
      </c>
      <c r="AC29" s="6">
        <v>40.55548089770069</v>
      </c>
      <c r="AD29" s="6">
        <v>0</v>
      </c>
      <c r="AE29" s="6">
        <v>0</v>
      </c>
      <c r="AF29" s="6">
        <v>351.45766134342421</v>
      </c>
      <c r="AG29" s="6">
        <v>11.35317699809044</v>
      </c>
      <c r="AH29" s="6">
        <v>0</v>
      </c>
      <c r="AI29" s="6">
        <v>40.55548089770069</v>
      </c>
      <c r="AJ29" s="6">
        <v>362.81083834151468</v>
      </c>
      <c r="AK29" s="6">
        <v>0</v>
      </c>
      <c r="AL29" s="6">
        <v>0</v>
      </c>
      <c r="AM29" s="6">
        <v>0</v>
      </c>
      <c r="AN29" s="6">
        <v>0</v>
      </c>
      <c r="AO29" s="6">
        <v>0</v>
      </c>
      <c r="AP29" s="6">
        <v>362.81083834151468</v>
      </c>
      <c r="AQ29" s="6">
        <v>420.00032002015342</v>
      </c>
      <c r="AR29" s="6">
        <v>790.75302399999998</v>
      </c>
      <c r="AS29" s="6">
        <v>119.4856994868927</v>
      </c>
      <c r="AT29" s="6">
        <v>109.09813957442979</v>
      </c>
    </row>
    <row r="30" spans="1:46" x14ac:dyDescent="0.35">
      <c r="A30" s="5">
        <v>46022</v>
      </c>
      <c r="B30" s="4" t="s">
        <v>62</v>
      </c>
      <c r="C30" s="4" t="s">
        <v>63</v>
      </c>
      <c r="D30" s="4" t="s">
        <v>61</v>
      </c>
      <c r="E30" s="6">
        <v>339.41</v>
      </c>
      <c r="F30" s="7">
        <v>0.31919999999999998</v>
      </c>
      <c r="G30" s="6">
        <v>70</v>
      </c>
      <c r="H30" s="6">
        <v>0.75800000000000001</v>
      </c>
      <c r="I30" s="6">
        <v>97</v>
      </c>
      <c r="J30" s="6">
        <v>0.73558299999999999</v>
      </c>
      <c r="K30" s="8">
        <v>49.529899096511635</v>
      </c>
      <c r="L30" s="6">
        <v>42.311029809345847</v>
      </c>
      <c r="M30" s="6">
        <v>3.1019144434597128</v>
      </c>
      <c r="N30" s="6">
        <v>25.841564093352169</v>
      </c>
      <c r="O30" s="6">
        <v>51.693567107546109</v>
      </c>
      <c r="P30" s="6">
        <v>122.94807545370379</v>
      </c>
      <c r="Q30" s="6">
        <v>13.720701934218971</v>
      </c>
      <c r="R30" s="6">
        <v>25.2889336364752</v>
      </c>
      <c r="S30" s="6">
        <v>30.867225482326791</v>
      </c>
      <c r="T30" s="6">
        <v>40.697361314892717</v>
      </c>
      <c r="U30" s="6">
        <v>110.57422236791371</v>
      </c>
      <c r="V30" s="6">
        <v>233.52229782161751</v>
      </c>
      <c r="W30" s="6">
        <v>4.9315464614978746</v>
      </c>
      <c r="X30" s="6">
        <v>18.92748088430427</v>
      </c>
      <c r="Y30" s="6">
        <v>257.38132516741967</v>
      </c>
      <c r="Z30" s="6">
        <v>73.985159610768761</v>
      </c>
      <c r="AA30" s="6">
        <v>331.36648477818841</v>
      </c>
      <c r="AB30" s="6">
        <v>0</v>
      </c>
      <c r="AC30" s="6">
        <v>5.4470848735632371</v>
      </c>
      <c r="AD30" s="6">
        <v>0</v>
      </c>
      <c r="AE30" s="6">
        <v>0</v>
      </c>
      <c r="AF30" s="6">
        <v>336.81356965175172</v>
      </c>
      <c r="AG30" s="6">
        <v>17.978444377694959</v>
      </c>
      <c r="AH30" s="6">
        <v>0</v>
      </c>
      <c r="AI30" s="6">
        <v>5.4470848735632371</v>
      </c>
      <c r="AJ30" s="6">
        <v>354.79201402944659</v>
      </c>
      <c r="AK30" s="6">
        <v>0</v>
      </c>
      <c r="AL30" s="6">
        <v>0</v>
      </c>
      <c r="AM30" s="6">
        <v>0</v>
      </c>
      <c r="AN30" s="6">
        <v>0</v>
      </c>
      <c r="AO30" s="6">
        <v>0</v>
      </c>
      <c r="AP30" s="6">
        <v>354.79201402944659</v>
      </c>
      <c r="AQ30" s="6">
        <v>420.00970623426008</v>
      </c>
      <c r="AR30" s="6">
        <v>14.00132</v>
      </c>
      <c r="AS30" s="6">
        <v>162.6283810668404</v>
      </c>
      <c r="AT30" s="6">
        <v>88.643221456071686</v>
      </c>
    </row>
    <row r="31" spans="1:46" x14ac:dyDescent="0.35">
      <c r="A31" s="5">
        <v>46022</v>
      </c>
      <c r="B31" s="4" t="s">
        <v>64</v>
      </c>
      <c r="C31" s="4" t="s">
        <v>65</v>
      </c>
      <c r="D31" s="4" t="s">
        <v>66</v>
      </c>
      <c r="E31" s="6">
        <v>87.127700000000004</v>
      </c>
      <c r="F31" s="7">
        <v>0.7722</v>
      </c>
      <c r="G31" s="6">
        <v>88</v>
      </c>
      <c r="H31" s="6">
        <v>0.59199999999999997</v>
      </c>
      <c r="I31" s="6">
        <v>97</v>
      </c>
      <c r="J31" s="6">
        <v>0.57427700000000004</v>
      </c>
      <c r="K31" s="8">
        <v>100</v>
      </c>
      <c r="L31" s="6">
        <v>212.92038744804901</v>
      </c>
      <c r="M31" s="6">
        <v>18.17192970293004</v>
      </c>
      <c r="N31" s="6">
        <v>38.381640258330087</v>
      </c>
      <c r="O31" s="6">
        <v>83.51202098898419</v>
      </c>
      <c r="P31" s="6">
        <v>352.9859783982933</v>
      </c>
      <c r="Q31" s="6">
        <v>221.80131630480309</v>
      </c>
      <c r="R31" s="6">
        <v>9.3239254943029444</v>
      </c>
      <c r="S31" s="6">
        <v>23.763147759153419</v>
      </c>
      <c r="T31" s="6">
        <v>102.08886398194871</v>
      </c>
      <c r="U31" s="6">
        <v>356.97725354020821</v>
      </c>
      <c r="V31" s="6">
        <v>709.96323193850151</v>
      </c>
      <c r="W31" s="6">
        <v>17.083849577532391</v>
      </c>
      <c r="X31" s="6">
        <v>25.68294464152315</v>
      </c>
      <c r="Y31" s="6">
        <v>752.73002615755695</v>
      </c>
      <c r="Z31" s="6">
        <v>21.000688184228441</v>
      </c>
      <c r="AA31" s="6">
        <v>773.73071434178541</v>
      </c>
      <c r="AB31" s="6">
        <v>0</v>
      </c>
      <c r="AC31" s="6">
        <v>144.91584679352499</v>
      </c>
      <c r="AD31" s="6">
        <v>0</v>
      </c>
      <c r="AE31" s="6">
        <v>0</v>
      </c>
      <c r="AF31" s="6">
        <v>918.64656113531044</v>
      </c>
      <c r="AG31" s="6">
        <v>540.20720573928588</v>
      </c>
      <c r="AH31" s="6">
        <v>0</v>
      </c>
      <c r="AI31" s="6">
        <v>23.54094865860035</v>
      </c>
      <c r="AJ31" s="6">
        <v>1337.478868739672</v>
      </c>
      <c r="AK31" s="6">
        <v>0</v>
      </c>
      <c r="AL31" s="6">
        <v>0</v>
      </c>
      <c r="AM31" s="6">
        <v>0</v>
      </c>
      <c r="AN31" s="6">
        <v>0</v>
      </c>
      <c r="AO31" s="6">
        <v>0</v>
      </c>
      <c r="AP31" s="6">
        <v>1337.478868739672</v>
      </c>
      <c r="AQ31" s="6">
        <v>420.01682079854652</v>
      </c>
      <c r="AR31" s="6">
        <v>5.3176819999999996</v>
      </c>
      <c r="AS31" s="6">
        <v>-332.71320535901049</v>
      </c>
      <c r="AT31" s="6">
        <v>-353.7138935432389</v>
      </c>
    </row>
    <row r="32" spans="1:46" x14ac:dyDescent="0.35">
      <c r="A32" s="5">
        <v>46022</v>
      </c>
      <c r="B32" s="4" t="s">
        <v>188</v>
      </c>
      <c r="C32" s="4" t="s">
        <v>189</v>
      </c>
      <c r="D32" s="4" t="s">
        <v>61</v>
      </c>
      <c r="E32" s="6">
        <v>250</v>
      </c>
      <c r="F32" s="7">
        <v>0.63</v>
      </c>
      <c r="G32" s="6">
        <v>65</v>
      </c>
      <c r="H32" s="6">
        <v>1.024</v>
      </c>
      <c r="I32" s="6">
        <v>97</v>
      </c>
      <c r="J32" s="6">
        <v>0.99303699999999995</v>
      </c>
      <c r="K32" s="8">
        <v>53.308669525433153</v>
      </c>
      <c r="L32" s="6">
        <v>29.016769361377619</v>
      </c>
      <c r="M32" s="6">
        <v>1.895643956631148</v>
      </c>
      <c r="N32" s="6">
        <v>11.11902929112763</v>
      </c>
      <c r="O32" s="6">
        <v>37.06117859963561</v>
      </c>
      <c r="P32" s="6">
        <v>79.092621208772016</v>
      </c>
      <c r="Q32" s="6">
        <v>9.1392927666836936</v>
      </c>
      <c r="R32" s="6">
        <v>14.06917846416029</v>
      </c>
      <c r="S32" s="6">
        <v>25.268611304996291</v>
      </c>
      <c r="T32" s="6">
        <v>19.637294731145818</v>
      </c>
      <c r="U32" s="6">
        <v>68.114377266986097</v>
      </c>
      <c r="V32" s="6">
        <v>147.2069984757581</v>
      </c>
      <c r="W32" s="6">
        <v>5.6510721553438739</v>
      </c>
      <c r="X32" s="6">
        <v>18.4746629196828</v>
      </c>
      <c r="Y32" s="6">
        <v>171.33273355078481</v>
      </c>
      <c r="Z32" s="6">
        <v>56.48733480708546</v>
      </c>
      <c r="AA32" s="6">
        <v>227.82006835787021</v>
      </c>
      <c r="AB32" s="6">
        <v>0</v>
      </c>
      <c r="AC32" s="6">
        <v>10.60403992875422</v>
      </c>
      <c r="AD32" s="6">
        <v>0</v>
      </c>
      <c r="AE32" s="6">
        <v>0</v>
      </c>
      <c r="AF32" s="6">
        <v>238.4241082866244</v>
      </c>
      <c r="AG32" s="6">
        <v>18.471552835169732</v>
      </c>
      <c r="AH32" s="6">
        <v>0</v>
      </c>
      <c r="AI32" s="6">
        <v>12.99849879049234</v>
      </c>
      <c r="AJ32" s="6">
        <v>259.29011998353229</v>
      </c>
      <c r="AK32" s="6">
        <v>0</v>
      </c>
      <c r="AL32" s="6">
        <v>0</v>
      </c>
      <c r="AM32" s="6">
        <v>0</v>
      </c>
      <c r="AN32" s="6">
        <v>0</v>
      </c>
      <c r="AO32" s="6">
        <v>0</v>
      </c>
      <c r="AP32" s="6">
        <v>259.29011998353229</v>
      </c>
      <c r="AQ32" s="6">
        <v>419.98435068407059</v>
      </c>
      <c r="AR32" s="6">
        <v>17.236985000000001</v>
      </c>
      <c r="AS32" s="6">
        <v>248.65161713328581</v>
      </c>
      <c r="AT32" s="6">
        <v>192.16428232620041</v>
      </c>
    </row>
    <row r="33" spans="1:46" x14ac:dyDescent="0.35">
      <c r="A33" s="5">
        <v>46022</v>
      </c>
      <c r="B33" s="4" t="s">
        <v>174</v>
      </c>
      <c r="C33" s="4" t="s">
        <v>175</v>
      </c>
      <c r="D33" s="4" t="s">
        <v>61</v>
      </c>
      <c r="E33" s="6">
        <v>780.06</v>
      </c>
      <c r="F33" s="7">
        <v>0.50060000000000004</v>
      </c>
      <c r="G33" s="6">
        <v>95</v>
      </c>
      <c r="H33" s="6">
        <v>3.71</v>
      </c>
      <c r="I33" s="6">
        <v>94.692722000000003</v>
      </c>
      <c r="J33" s="6">
        <v>3.5131000000000001</v>
      </c>
      <c r="K33" s="8">
        <v>99.999999334255179</v>
      </c>
      <c r="L33" s="6">
        <v>39.671057643698362</v>
      </c>
      <c r="M33" s="6">
        <v>9.3775279310927768</v>
      </c>
      <c r="N33" s="6">
        <v>30.184594091772588</v>
      </c>
      <c r="O33" s="6">
        <v>56.548202795196516</v>
      </c>
      <c r="P33" s="6">
        <v>135.7813824617603</v>
      </c>
      <c r="Q33" s="6">
        <v>34.504088863326672</v>
      </c>
      <c r="R33" s="6">
        <v>15.537104068673679</v>
      </c>
      <c r="S33" s="6">
        <v>31.790216108930029</v>
      </c>
      <c r="T33" s="6">
        <v>34.079999349050148</v>
      </c>
      <c r="U33" s="6">
        <v>115.91140838998049</v>
      </c>
      <c r="V33" s="6">
        <v>251.6927908517408</v>
      </c>
      <c r="W33" s="6">
        <v>9.7876701671904041</v>
      </c>
      <c r="X33" s="6">
        <v>26.489205369616581</v>
      </c>
      <c r="Y33" s="6">
        <v>287.96966638854781</v>
      </c>
      <c r="Z33" s="6">
        <v>61.863749553111887</v>
      </c>
      <c r="AA33" s="6">
        <v>349.83341594165972</v>
      </c>
      <c r="AB33" s="6">
        <v>0</v>
      </c>
      <c r="AC33" s="6">
        <v>10.2913845838555</v>
      </c>
      <c r="AD33" s="6">
        <v>0</v>
      </c>
      <c r="AE33" s="6">
        <v>0</v>
      </c>
      <c r="AF33" s="6">
        <v>360.12480052551518</v>
      </c>
      <c r="AG33" s="6">
        <v>27.06156816977985</v>
      </c>
      <c r="AH33" s="6">
        <v>0</v>
      </c>
      <c r="AI33" s="6">
        <v>10.2913845838555</v>
      </c>
      <c r="AJ33" s="6">
        <v>387.18636869529502</v>
      </c>
      <c r="AK33" s="6">
        <v>0</v>
      </c>
      <c r="AL33" s="6">
        <v>0</v>
      </c>
      <c r="AM33" s="6">
        <v>0</v>
      </c>
      <c r="AN33" s="6">
        <v>0</v>
      </c>
      <c r="AO33" s="6">
        <v>0</v>
      </c>
      <c r="AP33" s="6">
        <v>387.18636869529502</v>
      </c>
      <c r="AQ33" s="6">
        <v>419.99999964779192</v>
      </c>
      <c r="AR33" s="6">
        <v>32.529251000000002</v>
      </c>
      <c r="AS33" s="6">
        <v>132.0303332592442</v>
      </c>
      <c r="AT33" s="6">
        <v>70.166583706132272</v>
      </c>
    </row>
    <row r="34" spans="1:46" x14ac:dyDescent="0.35">
      <c r="A34" s="5">
        <v>46022</v>
      </c>
      <c r="B34" s="4" t="s">
        <v>176</v>
      </c>
      <c r="C34" s="4" t="s">
        <v>177</v>
      </c>
      <c r="D34" s="4" t="s">
        <v>61</v>
      </c>
      <c r="E34" s="6">
        <v>1400</v>
      </c>
      <c r="F34" s="7">
        <v>0.65</v>
      </c>
      <c r="G34" s="6">
        <v>89</v>
      </c>
      <c r="H34" s="6">
        <v>8.0990000000000002</v>
      </c>
      <c r="I34" s="6">
        <v>97</v>
      </c>
      <c r="J34" s="6">
        <v>7.8560299999999996</v>
      </c>
      <c r="K34" s="8">
        <v>99.999999824511733</v>
      </c>
      <c r="L34" s="6">
        <v>75.5219957845637</v>
      </c>
      <c r="M34" s="6">
        <v>0</v>
      </c>
      <c r="N34" s="6">
        <v>55.829073050289267</v>
      </c>
      <c r="O34" s="6">
        <v>49.701281793678959</v>
      </c>
      <c r="P34" s="6">
        <v>181.05235062853191</v>
      </c>
      <c r="Q34" s="6">
        <v>6.886743775779741</v>
      </c>
      <c r="R34" s="6">
        <v>12.431605242315371</v>
      </c>
      <c r="S34" s="6">
        <v>29.451465695230571</v>
      </c>
      <c r="T34" s="6">
        <v>29.644867597155649</v>
      </c>
      <c r="U34" s="6">
        <v>78.414682310481325</v>
      </c>
      <c r="V34" s="6">
        <v>259.46703293901322</v>
      </c>
      <c r="W34" s="6">
        <v>1.9086007229519999</v>
      </c>
      <c r="X34" s="6">
        <v>26.704809450218491</v>
      </c>
      <c r="Y34" s="6">
        <v>288.08044311218367</v>
      </c>
      <c r="Z34" s="6">
        <v>52.718736261501689</v>
      </c>
      <c r="AA34" s="6">
        <v>340.79917937368538</v>
      </c>
      <c r="AB34" s="6">
        <v>0</v>
      </c>
      <c r="AC34" s="6">
        <v>12.263827516144801</v>
      </c>
      <c r="AD34" s="6">
        <v>0</v>
      </c>
      <c r="AE34" s="6">
        <v>0</v>
      </c>
      <c r="AF34" s="6">
        <v>353.06300688983021</v>
      </c>
      <c r="AG34" s="6">
        <v>40.652302167709252</v>
      </c>
      <c r="AH34" s="6">
        <v>0</v>
      </c>
      <c r="AI34" s="6">
        <v>20.064982532895481</v>
      </c>
      <c r="AJ34" s="6">
        <v>401.51646407429018</v>
      </c>
      <c r="AK34" s="6">
        <v>0</v>
      </c>
      <c r="AL34" s="6">
        <v>0</v>
      </c>
      <c r="AM34" s="6">
        <v>0</v>
      </c>
      <c r="AN34" s="6">
        <v>0</v>
      </c>
      <c r="AO34" s="6">
        <v>0</v>
      </c>
      <c r="AP34" s="6">
        <v>401.51646407429018</v>
      </c>
      <c r="AQ34" s="6">
        <v>419.99839578426429</v>
      </c>
      <c r="AR34" s="6">
        <v>72.741963999999996</v>
      </c>
      <c r="AS34" s="6">
        <v>131.9179526720805</v>
      </c>
      <c r="AT34" s="6">
        <v>79.199216410578842</v>
      </c>
    </row>
    <row r="35" spans="1:46" x14ac:dyDescent="0.35">
      <c r="A35" s="5">
        <v>46022</v>
      </c>
      <c r="B35" s="4" t="s">
        <v>84</v>
      </c>
      <c r="C35" s="4" t="s">
        <v>85</v>
      </c>
      <c r="D35" s="4" t="s">
        <v>86</v>
      </c>
      <c r="E35" s="6">
        <v>2898.25</v>
      </c>
      <c r="F35" s="7">
        <v>1.1476999999999999</v>
      </c>
      <c r="G35" s="6">
        <v>88.12</v>
      </c>
      <c r="H35" s="6">
        <v>29.311</v>
      </c>
      <c r="I35" s="6">
        <v>97</v>
      </c>
      <c r="J35" s="6">
        <v>28.432003999999999</v>
      </c>
      <c r="K35" s="8">
        <v>91.400138255690536</v>
      </c>
      <c r="L35" s="6">
        <v>48.116415285445967</v>
      </c>
      <c r="M35" s="6">
        <v>0.84949070212761701</v>
      </c>
      <c r="N35" s="6">
        <v>7.5971245413603219</v>
      </c>
      <c r="O35" s="6">
        <v>57.361457124032981</v>
      </c>
      <c r="P35" s="6">
        <v>113.9244876529669</v>
      </c>
      <c r="Q35" s="6">
        <v>25.838848089273931</v>
      </c>
      <c r="R35" s="6">
        <v>4.5816037063289778</v>
      </c>
      <c r="S35" s="6">
        <v>11.494846182665681</v>
      </c>
      <c r="T35" s="6">
        <v>12.378116195186349</v>
      </c>
      <c r="U35" s="6">
        <v>54.293414173454941</v>
      </c>
      <c r="V35" s="6">
        <v>168.21790182642181</v>
      </c>
      <c r="W35" s="6">
        <v>9.0391286362636407</v>
      </c>
      <c r="X35" s="6">
        <v>28.783154196150509</v>
      </c>
      <c r="Y35" s="6">
        <v>206.04018465883601</v>
      </c>
      <c r="Z35" s="6">
        <v>25.475949076546769</v>
      </c>
      <c r="AA35" s="6">
        <v>231.51613373538271</v>
      </c>
      <c r="AB35" s="6">
        <v>0</v>
      </c>
      <c r="AC35" s="6">
        <v>75.016786550391856</v>
      </c>
      <c r="AD35" s="6">
        <v>0</v>
      </c>
      <c r="AE35" s="6">
        <v>0</v>
      </c>
      <c r="AF35" s="6">
        <v>306.53292028577459</v>
      </c>
      <c r="AG35" s="6">
        <v>5.1641943274015754</v>
      </c>
      <c r="AH35" s="6">
        <v>0</v>
      </c>
      <c r="AI35" s="6">
        <v>26.07355787791511</v>
      </c>
      <c r="AJ35" s="6">
        <v>262.75388594069938</v>
      </c>
      <c r="AK35" s="6">
        <v>98.419619364204863</v>
      </c>
      <c r="AL35" s="6">
        <v>0</v>
      </c>
      <c r="AM35" s="6">
        <v>0</v>
      </c>
      <c r="AN35" s="6">
        <v>0</v>
      </c>
      <c r="AO35" s="6">
        <v>0</v>
      </c>
      <c r="AP35" s="6">
        <v>361.17350530490432</v>
      </c>
      <c r="AQ35" s="6">
        <v>419.99994055944921</v>
      </c>
      <c r="AR35" s="6">
        <v>291.18931800000001</v>
      </c>
      <c r="AS35" s="6">
        <v>213.9597559006132</v>
      </c>
      <c r="AT35" s="6">
        <v>188.48380682406639</v>
      </c>
    </row>
    <row r="36" spans="1:46" x14ac:dyDescent="0.35">
      <c r="A36" s="5">
        <v>46022</v>
      </c>
      <c r="B36" s="4" t="s">
        <v>683</v>
      </c>
      <c r="C36" s="4" t="s">
        <v>684</v>
      </c>
      <c r="D36" s="4" t="s">
        <v>536</v>
      </c>
      <c r="E36" s="6">
        <v>31282.232413999998</v>
      </c>
      <c r="F36" s="7">
        <v>0.38</v>
      </c>
      <c r="G36" s="6">
        <v>87</v>
      </c>
      <c r="H36" s="6">
        <v>103.419</v>
      </c>
      <c r="I36" s="6">
        <v>97</v>
      </c>
      <c r="J36" s="6">
        <v>100.316489</v>
      </c>
      <c r="K36" s="8">
        <v>81.013234136807185</v>
      </c>
      <c r="L36" s="6">
        <v>26.891983404166279</v>
      </c>
      <c r="M36" s="6">
        <v>77.847763239440695</v>
      </c>
      <c r="N36" s="6">
        <v>5.8345042675234584</v>
      </c>
      <c r="O36" s="6">
        <v>27.216032767889281</v>
      </c>
      <c r="P36" s="6">
        <v>137.79028367901969</v>
      </c>
      <c r="Q36" s="6">
        <v>8.4414177438705593</v>
      </c>
      <c r="R36" s="6">
        <v>13.415487815586779</v>
      </c>
      <c r="S36" s="6">
        <v>87.934843887669686</v>
      </c>
      <c r="T36" s="6">
        <v>7.8126503674836663</v>
      </c>
      <c r="U36" s="6">
        <v>117.6043998146107</v>
      </c>
      <c r="V36" s="6">
        <v>255.3946834936304</v>
      </c>
      <c r="W36" s="6">
        <v>0</v>
      </c>
      <c r="X36" s="6">
        <v>20.601082637676551</v>
      </c>
      <c r="Y36" s="6">
        <v>275.99576613130699</v>
      </c>
      <c r="Z36" s="6">
        <v>25.335555135383231</v>
      </c>
      <c r="AA36" s="6">
        <v>301.33132126669022</v>
      </c>
      <c r="AB36" s="6">
        <v>0</v>
      </c>
      <c r="AC36" s="6">
        <v>48.987270763317021</v>
      </c>
      <c r="AD36" s="6">
        <v>0</v>
      </c>
      <c r="AE36" s="6">
        <v>0</v>
      </c>
      <c r="AF36" s="6">
        <v>350.31859203000721</v>
      </c>
      <c r="AG36" s="6">
        <v>19.219247557389071</v>
      </c>
      <c r="AH36" s="6">
        <v>0</v>
      </c>
      <c r="AI36" s="6">
        <v>66.668512821919904</v>
      </c>
      <c r="AJ36" s="6">
        <v>387.21908164599921</v>
      </c>
      <c r="AK36" s="6">
        <v>310.2650103528274</v>
      </c>
      <c r="AL36" s="6">
        <v>0</v>
      </c>
      <c r="AM36" s="6">
        <v>0</v>
      </c>
      <c r="AN36" s="6">
        <v>0</v>
      </c>
      <c r="AO36" s="6">
        <v>0</v>
      </c>
      <c r="AP36" s="6">
        <v>697.48409199882656</v>
      </c>
      <c r="AQ36" s="6">
        <v>420.00004570203532</v>
      </c>
      <c r="AR36" s="6">
        <v>1143.2237729999999</v>
      </c>
      <c r="AS36" s="6">
        <v>144.0042795707283</v>
      </c>
      <c r="AT36" s="6">
        <v>118.6687244353451</v>
      </c>
    </row>
    <row r="37" spans="1:46" x14ac:dyDescent="0.35">
      <c r="A37" s="5">
        <v>46022</v>
      </c>
      <c r="B37" s="4" t="s">
        <v>80</v>
      </c>
      <c r="C37" s="4" t="s">
        <v>81</v>
      </c>
      <c r="D37" s="4" t="s">
        <v>79</v>
      </c>
      <c r="E37" s="6">
        <v>38163.568978000003</v>
      </c>
      <c r="F37" s="7">
        <v>0.37409999999999999</v>
      </c>
      <c r="G37" s="6">
        <v>87</v>
      </c>
      <c r="H37" s="6">
        <v>124.224</v>
      </c>
      <c r="I37" s="6">
        <v>95.797420000000002</v>
      </c>
      <c r="J37" s="6">
        <v>119.003378</v>
      </c>
      <c r="K37" s="8">
        <v>71.437451408345751</v>
      </c>
      <c r="L37" s="6">
        <v>24.662263130540151</v>
      </c>
      <c r="M37" s="6">
        <v>28.59677329986631</v>
      </c>
      <c r="N37" s="6">
        <v>13.61009546915956</v>
      </c>
      <c r="O37" s="6">
        <v>81.032485225246106</v>
      </c>
      <c r="P37" s="6">
        <v>147.90161712481211</v>
      </c>
      <c r="Q37" s="6">
        <v>17.333480004652241</v>
      </c>
      <c r="R37" s="6">
        <v>73.929251239603104</v>
      </c>
      <c r="S37" s="6">
        <v>103.4624405576628</v>
      </c>
      <c r="T37" s="6">
        <v>146.72825240835269</v>
      </c>
      <c r="U37" s="6">
        <v>341.4534242102709</v>
      </c>
      <c r="V37" s="6">
        <v>489.355041335083</v>
      </c>
      <c r="W37" s="6">
        <v>0.89755698737462308</v>
      </c>
      <c r="X37" s="6">
        <v>19.841888188969431</v>
      </c>
      <c r="Y37" s="6">
        <v>510.09448651142702</v>
      </c>
      <c r="Z37" s="6">
        <v>0</v>
      </c>
      <c r="AA37" s="6">
        <v>510.09448651142702</v>
      </c>
      <c r="AB37" s="6">
        <v>5.4333494133880382</v>
      </c>
      <c r="AC37" s="6">
        <v>124.6933120249398</v>
      </c>
      <c r="AD37" s="6">
        <v>0</v>
      </c>
      <c r="AE37" s="6">
        <v>0</v>
      </c>
      <c r="AF37" s="6">
        <v>640.22114794975494</v>
      </c>
      <c r="AG37" s="6">
        <v>8.5994233780226672</v>
      </c>
      <c r="AH37" s="6">
        <v>0</v>
      </c>
      <c r="AI37" s="6">
        <v>82.844516154995205</v>
      </c>
      <c r="AJ37" s="6">
        <v>606.97177545783302</v>
      </c>
      <c r="AK37" s="6">
        <v>122.36732417616869</v>
      </c>
      <c r="AL37" s="6">
        <v>0</v>
      </c>
      <c r="AM37" s="6">
        <v>0</v>
      </c>
      <c r="AN37" s="6">
        <v>0</v>
      </c>
      <c r="AO37" s="6">
        <v>0</v>
      </c>
      <c r="AP37" s="6">
        <v>729.33909963400174</v>
      </c>
      <c r="AQ37" s="6">
        <v>420.00007729264661</v>
      </c>
      <c r="AR37" s="6">
        <v>1543.693534</v>
      </c>
      <c r="AS37" s="6">
        <v>-90.094409218780413</v>
      </c>
      <c r="AT37" s="6">
        <v>-90.094409218780413</v>
      </c>
    </row>
    <row r="38" spans="1:46" x14ac:dyDescent="0.35">
      <c r="A38" s="5">
        <v>46022</v>
      </c>
      <c r="B38" s="4" t="s">
        <v>685</v>
      </c>
      <c r="C38" s="4" t="s">
        <v>686</v>
      </c>
      <c r="D38" s="4" t="s">
        <v>687</v>
      </c>
      <c r="E38" s="6">
        <v>2900</v>
      </c>
      <c r="F38" s="7">
        <v>1.05</v>
      </c>
      <c r="G38" s="6">
        <v>80</v>
      </c>
      <c r="H38" s="6">
        <v>24.36</v>
      </c>
      <c r="I38" s="6">
        <v>95.416667000000004</v>
      </c>
      <c r="J38" s="6">
        <v>23.243500000000001</v>
      </c>
      <c r="K38" s="8">
        <v>46.496926237923603</v>
      </c>
      <c r="L38" s="6">
        <v>25.384465418891772</v>
      </c>
      <c r="M38" s="6">
        <v>15.07516576414794</v>
      </c>
      <c r="N38" s="6">
        <v>0.82892442096128738</v>
      </c>
      <c r="O38" s="6">
        <v>16.374426174425931</v>
      </c>
      <c r="P38" s="6">
        <v>57.662981778426918</v>
      </c>
      <c r="Q38" s="6">
        <v>26.670097821512421</v>
      </c>
      <c r="R38" s="6">
        <v>9.0142100095048168</v>
      </c>
      <c r="S38" s="6">
        <v>19.527379817030901</v>
      </c>
      <c r="T38" s="6">
        <v>13.541108386259239</v>
      </c>
      <c r="U38" s="6">
        <v>68.752796034307366</v>
      </c>
      <c r="V38" s="6">
        <v>126.41577781273431</v>
      </c>
      <c r="W38" s="6">
        <v>48.070984661021612</v>
      </c>
      <c r="X38" s="6">
        <v>20.444597829685499</v>
      </c>
      <c r="Y38" s="6">
        <v>194.93136030344141</v>
      </c>
      <c r="Z38" s="6">
        <v>19.95554786684291</v>
      </c>
      <c r="AA38" s="6">
        <v>214.8869081702843</v>
      </c>
      <c r="AB38" s="6">
        <v>3.4152855536654458</v>
      </c>
      <c r="AC38" s="6">
        <v>44.750235327005377</v>
      </c>
      <c r="AD38" s="6">
        <v>0</v>
      </c>
      <c r="AE38" s="6">
        <v>0</v>
      </c>
      <c r="AF38" s="6">
        <v>263.05242905095508</v>
      </c>
      <c r="AG38" s="6">
        <v>19.08757856431502</v>
      </c>
      <c r="AH38" s="6">
        <v>0</v>
      </c>
      <c r="AI38" s="6">
        <v>2.5261416008953148</v>
      </c>
      <c r="AJ38" s="6">
        <v>239.91591388916009</v>
      </c>
      <c r="AK38" s="6">
        <v>0</v>
      </c>
      <c r="AL38" s="6">
        <v>0</v>
      </c>
      <c r="AM38" s="6">
        <v>0</v>
      </c>
      <c r="AN38" s="6">
        <v>0</v>
      </c>
      <c r="AO38" s="6">
        <v>0</v>
      </c>
      <c r="AP38" s="6">
        <v>239.91591388916009</v>
      </c>
      <c r="AQ38" s="6">
        <v>419.99999964779192</v>
      </c>
      <c r="AR38" s="6">
        <v>549.81296399999997</v>
      </c>
      <c r="AS38" s="6">
        <v>225.06863934435049</v>
      </c>
      <c r="AT38" s="6">
        <v>205.1130914775076</v>
      </c>
    </row>
    <row r="39" spans="1:46" x14ac:dyDescent="0.35">
      <c r="A39" s="5">
        <v>46022</v>
      </c>
      <c r="B39" s="4" t="s">
        <v>82</v>
      </c>
      <c r="C39" s="4" t="s">
        <v>83</v>
      </c>
      <c r="D39" s="4" t="s">
        <v>61</v>
      </c>
      <c r="E39" s="6">
        <v>580.46</v>
      </c>
      <c r="F39" s="7">
        <v>0.50029999999999997</v>
      </c>
      <c r="G39" s="6">
        <v>94</v>
      </c>
      <c r="H39" s="6">
        <v>2.73</v>
      </c>
      <c r="I39" s="6">
        <v>97</v>
      </c>
      <c r="J39" s="6">
        <v>2.6480999999999999</v>
      </c>
      <c r="K39" s="8">
        <v>79.366783446345721</v>
      </c>
      <c r="L39" s="6">
        <v>52.11458689490162</v>
      </c>
      <c r="M39" s="6">
        <v>0</v>
      </c>
      <c r="N39" s="6">
        <v>25.675569024037511</v>
      </c>
      <c r="O39" s="6">
        <v>25.648352313723969</v>
      </c>
      <c r="P39" s="6">
        <v>103.4385082326631</v>
      </c>
      <c r="Q39" s="6">
        <v>39.550804187423957</v>
      </c>
      <c r="R39" s="6">
        <v>7.3520786020145428</v>
      </c>
      <c r="S39" s="6">
        <v>29.932896968659449</v>
      </c>
      <c r="T39" s="6">
        <v>19.107708877879801</v>
      </c>
      <c r="U39" s="6">
        <v>95.943488635977744</v>
      </c>
      <c r="V39" s="6">
        <v>199.3819968686409</v>
      </c>
      <c r="W39" s="6">
        <v>6.086284169304248</v>
      </c>
      <c r="X39" s="6">
        <v>21.485958037449869</v>
      </c>
      <c r="Y39" s="6">
        <v>226.95423907539501</v>
      </c>
      <c r="Z39" s="6">
        <v>40.241690079663442</v>
      </c>
      <c r="AA39" s="6">
        <v>267.19592915505842</v>
      </c>
      <c r="AB39" s="6">
        <v>0</v>
      </c>
      <c r="AC39" s="6">
        <v>4.1702723493250158</v>
      </c>
      <c r="AD39" s="6">
        <v>0</v>
      </c>
      <c r="AE39" s="6">
        <v>0</v>
      </c>
      <c r="AF39" s="6">
        <v>271.36620150438341</v>
      </c>
      <c r="AG39" s="6">
        <v>9.5822548275796429</v>
      </c>
      <c r="AH39" s="6">
        <v>0</v>
      </c>
      <c r="AI39" s="6">
        <v>4.1702723493250158</v>
      </c>
      <c r="AJ39" s="6">
        <v>280.94845633196309</v>
      </c>
      <c r="AK39" s="6">
        <v>0</v>
      </c>
      <c r="AL39" s="6">
        <v>0</v>
      </c>
      <c r="AM39" s="6">
        <v>0</v>
      </c>
      <c r="AN39" s="6">
        <v>0</v>
      </c>
      <c r="AO39" s="6">
        <v>0</v>
      </c>
      <c r="AP39" s="6">
        <v>280.94845633196309</v>
      </c>
      <c r="AQ39" s="6">
        <v>419.99999964779198</v>
      </c>
      <c r="AR39" s="6">
        <v>30.788691</v>
      </c>
      <c r="AS39" s="6">
        <v>193.045760572397</v>
      </c>
      <c r="AT39" s="6">
        <v>152.8040704927335</v>
      </c>
    </row>
    <row r="40" spans="1:46" x14ac:dyDescent="0.35">
      <c r="A40" s="5">
        <v>46022</v>
      </c>
      <c r="B40" s="4" t="s">
        <v>688</v>
      </c>
      <c r="C40" s="4" t="s">
        <v>689</v>
      </c>
      <c r="D40" s="4" t="s">
        <v>105</v>
      </c>
      <c r="E40" s="6">
        <v>573.89358100000004</v>
      </c>
      <c r="F40" s="7">
        <v>0.49</v>
      </c>
      <c r="G40" s="6">
        <v>75.5</v>
      </c>
      <c r="H40" s="6">
        <v>2.1230000000000002</v>
      </c>
      <c r="I40" s="6">
        <v>95.769231000000005</v>
      </c>
      <c r="J40" s="6">
        <v>2.0332949999999999</v>
      </c>
      <c r="K40" s="8">
        <v>31.076999197477026</v>
      </c>
      <c r="L40" s="6">
        <v>51.577784918584904</v>
      </c>
      <c r="M40" s="6">
        <v>11.11338144701179</v>
      </c>
      <c r="N40" s="6">
        <v>32.954087924910489</v>
      </c>
      <c r="O40" s="6">
        <v>14.27125227008016</v>
      </c>
      <c r="P40" s="6">
        <v>109.91650656058729</v>
      </c>
      <c r="Q40" s="6">
        <v>28.91164373432375</v>
      </c>
      <c r="R40" s="6">
        <v>5.8916413738511819</v>
      </c>
      <c r="S40" s="6">
        <v>33.146161256850917</v>
      </c>
      <c r="T40" s="6">
        <v>10.584081676635289</v>
      </c>
      <c r="U40" s="6">
        <v>78.533528041661143</v>
      </c>
      <c r="V40" s="6">
        <v>188.45003460224851</v>
      </c>
      <c r="W40" s="6">
        <v>14.38102049705269</v>
      </c>
      <c r="X40" s="6">
        <v>22.003244540243259</v>
      </c>
      <c r="Y40" s="6">
        <v>224.83429963954441</v>
      </c>
      <c r="Z40" s="6">
        <v>28.98895104946498</v>
      </c>
      <c r="AA40" s="6">
        <v>253.8232506890094</v>
      </c>
      <c r="AB40" s="6">
        <v>0</v>
      </c>
      <c r="AC40" s="6">
        <v>23.670388380419759</v>
      </c>
      <c r="AD40" s="6">
        <v>0</v>
      </c>
      <c r="AE40" s="6">
        <v>0</v>
      </c>
      <c r="AF40" s="6">
        <v>277.49363906942921</v>
      </c>
      <c r="AG40" s="6">
        <v>2.3451956488861598</v>
      </c>
      <c r="AH40" s="6">
        <v>0</v>
      </c>
      <c r="AI40" s="6">
        <v>23.670388380419759</v>
      </c>
      <c r="AJ40" s="6">
        <v>279.8388347183153</v>
      </c>
      <c r="AK40" s="6">
        <v>0</v>
      </c>
      <c r="AL40" s="6">
        <v>0</v>
      </c>
      <c r="AM40" s="6">
        <v>0</v>
      </c>
      <c r="AN40" s="6">
        <v>0</v>
      </c>
      <c r="AO40" s="6">
        <v>0</v>
      </c>
      <c r="AP40" s="6">
        <v>279.8388347183153</v>
      </c>
      <c r="AQ40" s="6">
        <v>420.00103245414732</v>
      </c>
      <c r="AR40" s="6">
        <v>65.109639000000001</v>
      </c>
      <c r="AS40" s="6">
        <v>195.16673281460291</v>
      </c>
      <c r="AT40" s="6">
        <v>166.17778176513789</v>
      </c>
    </row>
    <row r="41" spans="1:46" x14ac:dyDescent="0.35">
      <c r="A41" s="5">
        <v>46022</v>
      </c>
      <c r="B41" s="4" t="s">
        <v>87</v>
      </c>
      <c r="C41" s="4" t="s">
        <v>88</v>
      </c>
      <c r="D41" s="4" t="s">
        <v>89</v>
      </c>
      <c r="E41" s="6">
        <v>34936</v>
      </c>
      <c r="F41" s="7">
        <v>0.12</v>
      </c>
      <c r="G41" s="6">
        <v>81</v>
      </c>
      <c r="H41" s="6">
        <v>33.957999999999998</v>
      </c>
      <c r="I41" s="6">
        <v>97</v>
      </c>
      <c r="J41" s="6">
        <v>32.939058000000003</v>
      </c>
      <c r="K41" s="8">
        <v>15.875878478095075</v>
      </c>
      <c r="L41" s="6">
        <v>35.336292970762443</v>
      </c>
      <c r="M41" s="6">
        <v>7.2748129570697309</v>
      </c>
      <c r="N41" s="6">
        <v>1.2007461509540309</v>
      </c>
      <c r="O41" s="6">
        <v>26.53856587687633</v>
      </c>
      <c r="P41" s="6">
        <v>70.350417955662536</v>
      </c>
      <c r="Q41" s="6">
        <v>19.16495860726944</v>
      </c>
      <c r="R41" s="6">
        <v>10.00772256161498</v>
      </c>
      <c r="S41" s="6">
        <v>30.90144033988625</v>
      </c>
      <c r="T41" s="6">
        <v>71.097519870579134</v>
      </c>
      <c r="U41" s="6">
        <v>131.17164137934981</v>
      </c>
      <c r="V41" s="6">
        <v>201.5220593350123</v>
      </c>
      <c r="W41" s="6">
        <v>1.168541860765629</v>
      </c>
      <c r="X41" s="6">
        <v>9.717658674644575</v>
      </c>
      <c r="Y41" s="6">
        <v>212.40825987042251</v>
      </c>
      <c r="Z41" s="6">
        <v>12.20638285356012</v>
      </c>
      <c r="AA41" s="6">
        <v>224.61464272398271</v>
      </c>
      <c r="AB41" s="6">
        <v>4.1538062977931176</v>
      </c>
      <c r="AC41" s="6">
        <v>52.365850892241468</v>
      </c>
      <c r="AD41" s="6">
        <v>0</v>
      </c>
      <c r="AE41" s="6">
        <v>0</v>
      </c>
      <c r="AF41" s="6">
        <v>281.13429991401722</v>
      </c>
      <c r="AG41" s="6">
        <v>8.2541254235183832</v>
      </c>
      <c r="AH41" s="6">
        <v>0.87448433041677354</v>
      </c>
      <c r="AI41" s="6">
        <v>30.22831004591454</v>
      </c>
      <c r="AJ41" s="6">
        <v>268.1253688216255</v>
      </c>
      <c r="AK41" s="6">
        <v>0</v>
      </c>
      <c r="AL41" s="6">
        <v>0</v>
      </c>
      <c r="AM41" s="6">
        <v>0</v>
      </c>
      <c r="AN41" s="6">
        <v>0</v>
      </c>
      <c r="AO41" s="6">
        <v>0</v>
      </c>
      <c r="AP41" s="6">
        <v>268.1253688216255</v>
      </c>
      <c r="AQ41" s="6">
        <v>420.00053518223211</v>
      </c>
      <c r="AR41" s="6">
        <v>1893.1119650000001</v>
      </c>
      <c r="AS41" s="6">
        <v>207.59227531180949</v>
      </c>
      <c r="AT41" s="6">
        <v>195.3858924582494</v>
      </c>
    </row>
    <row r="42" spans="1:46" x14ac:dyDescent="0.35">
      <c r="A42" s="5">
        <v>46022</v>
      </c>
      <c r="B42" s="4" t="s">
        <v>100</v>
      </c>
      <c r="C42" s="4" t="s">
        <v>101</v>
      </c>
      <c r="D42" s="4" t="s">
        <v>102</v>
      </c>
      <c r="E42" s="6">
        <v>1796</v>
      </c>
      <c r="F42" s="7">
        <v>0.317</v>
      </c>
      <c r="G42" s="6">
        <v>70.27</v>
      </c>
      <c r="H42" s="6">
        <v>4.0010000000000003</v>
      </c>
      <c r="I42" s="6">
        <v>97</v>
      </c>
      <c r="J42" s="6">
        <v>3.8812929999999999</v>
      </c>
      <c r="K42" s="8">
        <v>8.086124623622247</v>
      </c>
      <c r="L42" s="6">
        <v>62.684175168784421</v>
      </c>
      <c r="M42" s="6">
        <v>11.07360855277588</v>
      </c>
      <c r="N42" s="6">
        <v>4.0749006023805068</v>
      </c>
      <c r="O42" s="6">
        <v>57.920159003326759</v>
      </c>
      <c r="P42" s="6">
        <v>135.75284332726761</v>
      </c>
      <c r="Q42" s="6">
        <v>6.6524852039593556</v>
      </c>
      <c r="R42" s="6">
        <v>8.6550272502968131</v>
      </c>
      <c r="S42" s="6">
        <v>7.8002451341062589</v>
      </c>
      <c r="T42" s="6">
        <v>18.36494638868319</v>
      </c>
      <c r="U42" s="6">
        <v>41.472703977045619</v>
      </c>
      <c r="V42" s="6">
        <v>177.22554730431321</v>
      </c>
      <c r="W42" s="6">
        <v>11.07048683179476</v>
      </c>
      <c r="X42" s="6">
        <v>26.048034975126068</v>
      </c>
      <c r="Y42" s="6">
        <v>214.34406911123401</v>
      </c>
      <c r="Z42" s="6">
        <v>0</v>
      </c>
      <c r="AA42" s="6">
        <v>214.34406911123401</v>
      </c>
      <c r="AB42" s="6">
        <v>0</v>
      </c>
      <c r="AC42" s="6">
        <v>6.6077229366758257</v>
      </c>
      <c r="AD42" s="6">
        <v>0</v>
      </c>
      <c r="AE42" s="6">
        <v>0</v>
      </c>
      <c r="AF42" s="6">
        <v>220.95179204790989</v>
      </c>
      <c r="AG42" s="6">
        <v>14.178043377014189</v>
      </c>
      <c r="AH42" s="6">
        <v>0</v>
      </c>
      <c r="AI42" s="6">
        <v>44.007785300411783</v>
      </c>
      <c r="AJ42" s="6">
        <v>272.52989778865998</v>
      </c>
      <c r="AK42" s="6">
        <v>37.050881376916401</v>
      </c>
      <c r="AL42" s="6">
        <v>0</v>
      </c>
      <c r="AM42" s="6">
        <v>0</v>
      </c>
      <c r="AN42" s="6">
        <v>0</v>
      </c>
      <c r="AO42" s="6">
        <v>0</v>
      </c>
      <c r="AP42" s="6">
        <v>309.58077916557642</v>
      </c>
      <c r="AQ42" s="6">
        <v>420.000757127322</v>
      </c>
      <c r="AR42" s="6">
        <v>430.62161600000002</v>
      </c>
      <c r="AS42" s="6">
        <v>205.65668801608791</v>
      </c>
      <c r="AT42" s="6">
        <v>205.65668801608791</v>
      </c>
    </row>
    <row r="43" spans="1:46" x14ac:dyDescent="0.35">
      <c r="A43" s="5">
        <v>46022</v>
      </c>
      <c r="B43" s="4" t="s">
        <v>690</v>
      </c>
      <c r="C43" s="4" t="s">
        <v>691</v>
      </c>
      <c r="D43" s="4" t="s">
        <v>111</v>
      </c>
      <c r="E43" s="6">
        <v>1750</v>
      </c>
      <c r="F43" s="7">
        <v>0.74470000000000003</v>
      </c>
      <c r="G43" s="6">
        <v>91.36</v>
      </c>
      <c r="H43" s="6">
        <v>11.907</v>
      </c>
      <c r="I43" s="6">
        <v>96</v>
      </c>
      <c r="J43" s="6">
        <v>11.430528000000001</v>
      </c>
      <c r="K43" s="8">
        <v>75.962575281746339</v>
      </c>
      <c r="L43" s="6">
        <v>45.987462380683617</v>
      </c>
      <c r="M43" s="6">
        <v>72.951970929867429</v>
      </c>
      <c r="N43" s="6">
        <v>3.8004233751177701</v>
      </c>
      <c r="O43" s="6">
        <v>42.71669859928641</v>
      </c>
      <c r="P43" s="6">
        <v>165.45655528495519</v>
      </c>
      <c r="Q43" s="6">
        <v>12.265212518851561</v>
      </c>
      <c r="R43" s="6">
        <v>2.157416213591496</v>
      </c>
      <c r="S43" s="6">
        <v>10.35106117154718</v>
      </c>
      <c r="T43" s="6">
        <v>33.93917576081197</v>
      </c>
      <c r="U43" s="6">
        <v>58.712865664802202</v>
      </c>
      <c r="V43" s="6">
        <v>224.16942094975741</v>
      </c>
      <c r="W43" s="6">
        <v>28.82191379928495</v>
      </c>
      <c r="X43" s="6">
        <v>29.535156305518662</v>
      </c>
      <c r="Y43" s="6">
        <v>282.52649105456112</v>
      </c>
      <c r="Z43" s="6">
        <v>8.6876286525028643</v>
      </c>
      <c r="AA43" s="6">
        <v>291.2141197070639</v>
      </c>
      <c r="AB43" s="6">
        <v>0</v>
      </c>
      <c r="AC43" s="6">
        <v>111.0564119758514</v>
      </c>
      <c r="AD43" s="6">
        <v>0</v>
      </c>
      <c r="AE43" s="6">
        <v>0</v>
      </c>
      <c r="AF43" s="6">
        <v>402.2705316829153</v>
      </c>
      <c r="AG43" s="6">
        <v>20.8390501569123</v>
      </c>
      <c r="AH43" s="6">
        <v>0</v>
      </c>
      <c r="AI43" s="6">
        <v>81.940332111088566</v>
      </c>
      <c r="AJ43" s="6">
        <v>393.99350197506482</v>
      </c>
      <c r="AK43" s="6">
        <v>0</v>
      </c>
      <c r="AL43" s="6">
        <v>0</v>
      </c>
      <c r="AM43" s="6">
        <v>0</v>
      </c>
      <c r="AN43" s="6">
        <v>0</v>
      </c>
      <c r="AO43" s="6">
        <v>0</v>
      </c>
      <c r="AP43" s="6">
        <v>393.99350197506482</v>
      </c>
      <c r="AQ43" s="6">
        <v>419.99897082392738</v>
      </c>
      <c r="AR43" s="6">
        <v>138.73882900000001</v>
      </c>
      <c r="AS43" s="6">
        <v>137.4724797693664</v>
      </c>
      <c r="AT43" s="6">
        <v>128.78485111686351</v>
      </c>
    </row>
    <row r="44" spans="1:46" x14ac:dyDescent="0.35">
      <c r="A44" s="5">
        <v>46022</v>
      </c>
      <c r="B44" s="4" t="s">
        <v>692</v>
      </c>
      <c r="C44" s="4" t="s">
        <v>693</v>
      </c>
      <c r="D44" s="4" t="s">
        <v>105</v>
      </c>
      <c r="E44" s="6">
        <v>3539.702448</v>
      </c>
      <c r="F44" s="7">
        <v>2.24E-2</v>
      </c>
      <c r="G44" s="6">
        <v>40</v>
      </c>
      <c r="H44" s="6">
        <v>0.317</v>
      </c>
      <c r="I44" s="6">
        <v>100</v>
      </c>
      <c r="J44" s="6">
        <v>0.31675300000000001</v>
      </c>
      <c r="K44" s="8">
        <v>0.71977833382253698</v>
      </c>
      <c r="L44" s="6">
        <v>52.991530646113077</v>
      </c>
      <c r="M44" s="6">
        <v>3.4254297610178019</v>
      </c>
      <c r="N44" s="6">
        <v>1.444224545685967</v>
      </c>
      <c r="O44" s="6">
        <v>7.1464385069037126</v>
      </c>
      <c r="P44" s="6">
        <v>65.007623459720563</v>
      </c>
      <c r="Q44" s="6">
        <v>18.56209770333971</v>
      </c>
      <c r="R44" s="6">
        <v>3.0518071874976651</v>
      </c>
      <c r="S44" s="6">
        <v>11.48982174676537</v>
      </c>
      <c r="T44" s="6">
        <v>9.6379708290975366</v>
      </c>
      <c r="U44" s="6">
        <v>42.74169746670028</v>
      </c>
      <c r="V44" s="6">
        <v>107.74932092642079</v>
      </c>
      <c r="W44" s="6">
        <v>2.3961770991042699</v>
      </c>
      <c r="X44" s="6">
        <v>2.8447791210697742</v>
      </c>
      <c r="Y44" s="6">
        <v>112.99027714659491</v>
      </c>
      <c r="Z44" s="6">
        <v>10.109657747918851</v>
      </c>
      <c r="AA44" s="6">
        <v>123.09993489451369</v>
      </c>
      <c r="AB44" s="6">
        <v>0</v>
      </c>
      <c r="AC44" s="6">
        <v>73.821970639831491</v>
      </c>
      <c r="AD44" s="6">
        <v>0</v>
      </c>
      <c r="AE44" s="6">
        <v>0</v>
      </c>
      <c r="AF44" s="6">
        <v>196.9219055343452</v>
      </c>
      <c r="AG44" s="6">
        <v>0.94301786216255457</v>
      </c>
      <c r="AH44" s="6">
        <v>0</v>
      </c>
      <c r="AI44" s="6">
        <v>34.163571570910797</v>
      </c>
      <c r="AJ44" s="6">
        <v>158.20652432758709</v>
      </c>
      <c r="AK44" s="6">
        <v>0</v>
      </c>
      <c r="AL44" s="6">
        <v>0</v>
      </c>
      <c r="AM44" s="6">
        <v>0</v>
      </c>
      <c r="AN44" s="6">
        <v>0</v>
      </c>
      <c r="AO44" s="6">
        <v>0</v>
      </c>
      <c r="AP44" s="6">
        <v>158.20652432758709</v>
      </c>
      <c r="AQ44" s="6">
        <v>420.0623194994854</v>
      </c>
      <c r="AR44" s="6">
        <v>478.31796200000002</v>
      </c>
      <c r="AS44" s="6">
        <v>307.07204235289049</v>
      </c>
      <c r="AT44" s="6">
        <v>296.96238460497159</v>
      </c>
    </row>
    <row r="45" spans="1:46" x14ac:dyDescent="0.35">
      <c r="A45" s="5">
        <v>46022</v>
      </c>
      <c r="B45" s="4" t="s">
        <v>103</v>
      </c>
      <c r="C45" s="4" t="s">
        <v>104</v>
      </c>
      <c r="D45" s="4" t="s">
        <v>105</v>
      </c>
      <c r="E45" s="6">
        <v>3321.8980000000001</v>
      </c>
      <c r="F45" s="7">
        <v>3.8800000000000001E-2</v>
      </c>
      <c r="G45" s="6">
        <v>35.56</v>
      </c>
      <c r="H45" s="6">
        <v>0.45900000000000002</v>
      </c>
      <c r="I45" s="6">
        <v>100</v>
      </c>
      <c r="J45" s="6">
        <v>0.45874500000000001</v>
      </c>
      <c r="K45" s="8">
        <v>0.97795052071078603</v>
      </c>
      <c r="L45" s="6">
        <v>59.921364928042401</v>
      </c>
      <c r="M45" s="6">
        <v>4.2464730316939878</v>
      </c>
      <c r="N45" s="6">
        <v>2.9201066950981072</v>
      </c>
      <c r="O45" s="6">
        <v>84.030048575903592</v>
      </c>
      <c r="P45" s="6">
        <v>151.11799323073811</v>
      </c>
      <c r="Q45" s="6">
        <v>21.362910674031291</v>
      </c>
      <c r="R45" s="6">
        <v>2.7178913991867431</v>
      </c>
      <c r="S45" s="6">
        <v>9.9369578690282836</v>
      </c>
      <c r="T45" s="6">
        <v>4.2616215922950387</v>
      </c>
      <c r="U45" s="6">
        <v>38.279381534541351</v>
      </c>
      <c r="V45" s="6">
        <v>189.39737476527941</v>
      </c>
      <c r="W45" s="6">
        <v>4.4541139164095283</v>
      </c>
      <c r="X45" s="6">
        <v>2.580351207028341</v>
      </c>
      <c r="Y45" s="6">
        <v>196.43183988871729</v>
      </c>
      <c r="Z45" s="6">
        <v>9.6657789960101983</v>
      </c>
      <c r="AA45" s="6">
        <v>206.0976188847275</v>
      </c>
      <c r="AB45" s="6">
        <v>0</v>
      </c>
      <c r="AC45" s="6">
        <v>33.687286190813452</v>
      </c>
      <c r="AD45" s="6">
        <v>0</v>
      </c>
      <c r="AE45" s="6">
        <v>0</v>
      </c>
      <c r="AF45" s="6">
        <v>239.78490507554099</v>
      </c>
      <c r="AG45" s="6">
        <v>0.19176612974613511</v>
      </c>
      <c r="AH45" s="6">
        <v>0</v>
      </c>
      <c r="AI45" s="6">
        <v>18.894189969158411</v>
      </c>
      <c r="AJ45" s="6">
        <v>225.18357498363201</v>
      </c>
      <c r="AK45" s="6">
        <v>0.37669677667652862</v>
      </c>
      <c r="AL45" s="6">
        <v>0</v>
      </c>
      <c r="AM45" s="6">
        <v>0</v>
      </c>
      <c r="AN45" s="6">
        <v>0</v>
      </c>
      <c r="AO45" s="6">
        <v>0</v>
      </c>
      <c r="AP45" s="6">
        <v>225.56027176030861</v>
      </c>
      <c r="AQ45" s="6">
        <v>419.95880028870539</v>
      </c>
      <c r="AR45" s="6">
        <v>503.95921600000003</v>
      </c>
      <c r="AS45" s="6">
        <v>223.5269603999881</v>
      </c>
      <c r="AT45" s="6">
        <v>213.86118140397789</v>
      </c>
    </row>
    <row r="46" spans="1:46" x14ac:dyDescent="0.35">
      <c r="A46" s="5">
        <v>46022</v>
      </c>
      <c r="B46" s="4" t="s">
        <v>190</v>
      </c>
      <c r="C46" s="4" t="s">
        <v>191</v>
      </c>
      <c r="D46" s="4" t="s">
        <v>192</v>
      </c>
      <c r="E46" s="6">
        <v>32200</v>
      </c>
      <c r="F46" s="7">
        <v>0.46</v>
      </c>
      <c r="G46" s="6">
        <v>80</v>
      </c>
      <c r="H46" s="6">
        <v>118.496</v>
      </c>
      <c r="I46" s="6">
        <v>97</v>
      </c>
      <c r="J46" s="6">
        <v>114.94112</v>
      </c>
      <c r="K46" s="8">
        <v>84.641254914872803</v>
      </c>
      <c r="L46" s="6">
        <v>34.197424062073289</v>
      </c>
      <c r="M46" s="6">
        <v>24.03157344382824</v>
      </c>
      <c r="N46" s="6">
        <v>0.92225768033381506</v>
      </c>
      <c r="O46" s="6">
        <v>29.278379429762431</v>
      </c>
      <c r="P46" s="6">
        <v>88.42963461599777</v>
      </c>
      <c r="Q46" s="6">
        <v>14.465586118082831</v>
      </c>
      <c r="R46" s="6">
        <v>5.0771066147499351</v>
      </c>
      <c r="S46" s="6">
        <v>62.382792406956263</v>
      </c>
      <c r="T46" s="6">
        <v>44.58752565567589</v>
      </c>
      <c r="U46" s="6">
        <v>126.51301079546489</v>
      </c>
      <c r="V46" s="6">
        <v>214.94264541146271</v>
      </c>
      <c r="W46" s="6">
        <v>28.334726106809601</v>
      </c>
      <c r="X46" s="6">
        <v>21.961874953891559</v>
      </c>
      <c r="Y46" s="6">
        <v>265.23924647216381</v>
      </c>
      <c r="Z46" s="6">
        <v>20.938529172188069</v>
      </c>
      <c r="AA46" s="6">
        <v>286.17777564435193</v>
      </c>
      <c r="AB46" s="6">
        <v>0</v>
      </c>
      <c r="AC46" s="6">
        <v>52.050737936327501</v>
      </c>
      <c r="AD46" s="6">
        <v>0</v>
      </c>
      <c r="AE46" s="6">
        <v>0</v>
      </c>
      <c r="AF46" s="6">
        <v>338.22851358067942</v>
      </c>
      <c r="AG46" s="6">
        <v>27.900230809741281</v>
      </c>
      <c r="AH46" s="6">
        <v>0</v>
      </c>
      <c r="AI46" s="6">
        <v>48.519554088582048</v>
      </c>
      <c r="AJ46" s="6">
        <v>362.59756054267518</v>
      </c>
      <c r="AK46" s="6">
        <v>8.3505040175375917</v>
      </c>
      <c r="AL46" s="6">
        <v>0</v>
      </c>
      <c r="AM46" s="6">
        <v>0</v>
      </c>
      <c r="AN46" s="6">
        <v>0</v>
      </c>
      <c r="AO46" s="6">
        <v>0</v>
      </c>
      <c r="AP46" s="6">
        <v>370.9480645602128</v>
      </c>
      <c r="AQ46" s="6">
        <v>419.99992656689631</v>
      </c>
      <c r="AR46" s="6">
        <v>1253.7311749999999</v>
      </c>
      <c r="AS46" s="6">
        <v>154.76068009473249</v>
      </c>
      <c r="AT46" s="6">
        <v>133.82215092254441</v>
      </c>
    </row>
    <row r="47" spans="1:46" x14ac:dyDescent="0.35">
      <c r="A47" s="5">
        <v>46022</v>
      </c>
      <c r="B47" s="4" t="s">
        <v>253</v>
      </c>
      <c r="C47" s="4" t="s">
        <v>254</v>
      </c>
      <c r="D47" s="4" t="s">
        <v>69</v>
      </c>
      <c r="E47" s="6">
        <v>35722.156940000001</v>
      </c>
      <c r="F47" s="7">
        <v>0.38</v>
      </c>
      <c r="G47" s="6">
        <v>73.37</v>
      </c>
      <c r="H47" s="6">
        <v>99.6</v>
      </c>
      <c r="I47" s="6">
        <v>95.529196999999996</v>
      </c>
      <c r="J47" s="6">
        <v>95.147080000000003</v>
      </c>
      <c r="K47" s="8">
        <v>77.101938122551033</v>
      </c>
      <c r="L47" s="6">
        <v>8.6626611648899576</v>
      </c>
      <c r="M47" s="6">
        <v>22.184646829239501</v>
      </c>
      <c r="N47" s="6">
        <v>0.65417569216905147</v>
      </c>
      <c r="O47" s="6">
        <v>12.885562080402011</v>
      </c>
      <c r="P47" s="6">
        <v>44.387045766700517</v>
      </c>
      <c r="Q47" s="6">
        <v>6.147271463548992</v>
      </c>
      <c r="R47" s="6">
        <v>47.309906750910137</v>
      </c>
      <c r="S47" s="6">
        <v>13.5011348153438</v>
      </c>
      <c r="T47" s="6">
        <v>15.79590992915667</v>
      </c>
      <c r="U47" s="6">
        <v>82.754222958959602</v>
      </c>
      <c r="V47" s="6">
        <v>127.1412687256601</v>
      </c>
      <c r="W47" s="6">
        <v>15.22547987979943</v>
      </c>
      <c r="X47" s="6">
        <v>20.516368940282181</v>
      </c>
      <c r="Y47" s="6">
        <v>162.8831175457417</v>
      </c>
      <c r="Z47" s="6">
        <v>29.20826390128984</v>
      </c>
      <c r="AA47" s="6">
        <v>192.09138144703161</v>
      </c>
      <c r="AB47" s="6">
        <v>0</v>
      </c>
      <c r="AC47" s="6">
        <v>58.034806168220143</v>
      </c>
      <c r="AD47" s="6">
        <v>0</v>
      </c>
      <c r="AE47" s="6">
        <v>0</v>
      </c>
      <c r="AF47" s="6">
        <v>250.12618761525169</v>
      </c>
      <c r="AG47" s="6">
        <v>27.152348474601769</v>
      </c>
      <c r="AH47" s="6">
        <v>0</v>
      </c>
      <c r="AI47" s="6">
        <v>34.718593742434358</v>
      </c>
      <c r="AJ47" s="6">
        <v>253.9623236640677</v>
      </c>
      <c r="AK47" s="6">
        <v>0</v>
      </c>
      <c r="AL47" s="6">
        <v>3.899673365150258</v>
      </c>
      <c r="AM47" s="6">
        <v>0</v>
      </c>
      <c r="AN47" s="6">
        <v>0</v>
      </c>
      <c r="AO47" s="6">
        <v>0</v>
      </c>
      <c r="AP47" s="6">
        <v>257.861997029218</v>
      </c>
      <c r="AQ47" s="6">
        <v>420.0000879321617</v>
      </c>
      <c r="AR47" s="6">
        <v>1138.1881000000001</v>
      </c>
      <c r="AS47" s="6">
        <v>257.11697038642001</v>
      </c>
      <c r="AT47" s="6">
        <v>227.9087064851301</v>
      </c>
    </row>
    <row r="48" spans="1:46" x14ac:dyDescent="0.35">
      <c r="A48" s="5">
        <v>46022</v>
      </c>
      <c r="B48" s="4" t="s">
        <v>106</v>
      </c>
      <c r="C48" s="4" t="s">
        <v>107</v>
      </c>
      <c r="D48" s="4" t="s">
        <v>108</v>
      </c>
      <c r="E48" s="6">
        <v>983.274181</v>
      </c>
      <c r="F48" s="7">
        <v>0.62</v>
      </c>
      <c r="G48" s="6">
        <v>88.58</v>
      </c>
      <c r="H48" s="6">
        <v>5.4</v>
      </c>
      <c r="I48" s="6">
        <v>94.444444000000004</v>
      </c>
      <c r="J48" s="6">
        <v>5.0999999999999996</v>
      </c>
      <c r="K48" s="8">
        <v>35.353670888400565</v>
      </c>
      <c r="L48" s="6">
        <v>14.949884568062039</v>
      </c>
      <c r="M48" s="6">
        <v>45.411474593792541</v>
      </c>
      <c r="N48" s="6">
        <v>3.0780188932993271</v>
      </c>
      <c r="O48" s="6">
        <v>36.53165854348989</v>
      </c>
      <c r="P48" s="6">
        <v>99.971036598643792</v>
      </c>
      <c r="Q48" s="6">
        <v>22.656912342084009</v>
      </c>
      <c r="R48" s="6">
        <v>7.3067540420837007</v>
      </c>
      <c r="S48" s="6">
        <v>31.42147404426791</v>
      </c>
      <c r="T48" s="6">
        <v>38.704248454289562</v>
      </c>
      <c r="U48" s="6">
        <v>100.0893888827252</v>
      </c>
      <c r="V48" s="6">
        <v>200.06042548136901</v>
      </c>
      <c r="W48" s="6">
        <v>5.9007169547825029</v>
      </c>
      <c r="X48" s="6">
        <v>13.43342676751033</v>
      </c>
      <c r="Y48" s="6">
        <v>219.3945692036618</v>
      </c>
      <c r="Z48" s="6">
        <v>32.512580863268568</v>
      </c>
      <c r="AA48" s="6">
        <v>251.9071500669304</v>
      </c>
      <c r="AB48" s="6">
        <v>0</v>
      </c>
      <c r="AC48" s="6">
        <v>92.034458571646212</v>
      </c>
      <c r="AD48" s="6">
        <v>0</v>
      </c>
      <c r="AE48" s="6">
        <v>0</v>
      </c>
      <c r="AF48" s="6">
        <v>343.94160863857661</v>
      </c>
      <c r="AG48" s="6">
        <v>27.013169912739361</v>
      </c>
      <c r="AH48" s="6">
        <v>0</v>
      </c>
      <c r="AI48" s="6">
        <v>19.00274537828922</v>
      </c>
      <c r="AJ48" s="6">
        <v>297.92306535795899</v>
      </c>
      <c r="AK48" s="6">
        <v>0</v>
      </c>
      <c r="AL48" s="6">
        <v>6.2079915948981217</v>
      </c>
      <c r="AM48" s="6">
        <v>0</v>
      </c>
      <c r="AN48" s="6">
        <v>0</v>
      </c>
      <c r="AO48" s="6">
        <v>0</v>
      </c>
      <c r="AP48" s="6">
        <v>304.13105695285708</v>
      </c>
      <c r="AQ48" s="6">
        <v>419.99999964779198</v>
      </c>
      <c r="AR48" s="6">
        <v>132.040638</v>
      </c>
      <c r="AS48" s="6">
        <v>200.60543044413021</v>
      </c>
      <c r="AT48" s="6">
        <v>168.09284958086161</v>
      </c>
    </row>
    <row r="49" spans="1:46" x14ac:dyDescent="0.35">
      <c r="A49" s="5">
        <v>46022</v>
      </c>
      <c r="B49" s="4" t="s">
        <v>109</v>
      </c>
      <c r="C49" s="4" t="s">
        <v>110</v>
      </c>
      <c r="D49" s="4" t="s">
        <v>111</v>
      </c>
      <c r="E49" s="6">
        <v>81000</v>
      </c>
      <c r="F49" s="7">
        <v>0.5</v>
      </c>
      <c r="G49" s="6">
        <v>74.91</v>
      </c>
      <c r="H49" s="6">
        <v>303.39999999999998</v>
      </c>
      <c r="I49" s="6">
        <v>97</v>
      </c>
      <c r="J49" s="6">
        <v>294.298</v>
      </c>
      <c r="K49" s="8">
        <v>78.852396758782561</v>
      </c>
      <c r="L49" s="6">
        <v>8.0506170880038876</v>
      </c>
      <c r="M49" s="6">
        <v>20.04922182165873</v>
      </c>
      <c r="N49" s="6">
        <v>0.6813335052095727</v>
      </c>
      <c r="O49" s="6">
        <v>11.59549651969156</v>
      </c>
      <c r="P49" s="6">
        <v>40.376668934563753</v>
      </c>
      <c r="Q49" s="6">
        <v>3.127999247924524</v>
      </c>
      <c r="R49" s="6">
        <v>21.944841421781121</v>
      </c>
      <c r="S49" s="6">
        <v>42.911695793021067</v>
      </c>
      <c r="T49" s="6">
        <v>16.942604073666519</v>
      </c>
      <c r="U49" s="6">
        <v>84.927140536393225</v>
      </c>
      <c r="V49" s="6">
        <v>125.30380947095701</v>
      </c>
      <c r="W49" s="6">
        <v>13.080410784035999</v>
      </c>
      <c r="X49" s="6">
        <v>23.063255231371329</v>
      </c>
      <c r="Y49" s="6">
        <v>161.44747548636431</v>
      </c>
      <c r="Z49" s="6">
        <v>19.277043328402758</v>
      </c>
      <c r="AA49" s="6">
        <v>180.72451881476709</v>
      </c>
      <c r="AB49" s="6">
        <v>0</v>
      </c>
      <c r="AC49" s="6">
        <v>34.571188092675229</v>
      </c>
      <c r="AD49" s="6">
        <v>0</v>
      </c>
      <c r="AE49" s="6">
        <v>0</v>
      </c>
      <c r="AF49" s="6">
        <v>215.29570690744231</v>
      </c>
      <c r="AG49" s="6">
        <v>4.1321126800588592</v>
      </c>
      <c r="AH49" s="6">
        <v>0</v>
      </c>
      <c r="AI49" s="6">
        <v>15.31313098927617</v>
      </c>
      <c r="AJ49" s="6">
        <v>200.16976248410211</v>
      </c>
      <c r="AK49" s="6">
        <v>31.817276496190761</v>
      </c>
      <c r="AL49" s="6">
        <v>0</v>
      </c>
      <c r="AM49" s="6">
        <v>0</v>
      </c>
      <c r="AN49" s="6">
        <v>0</v>
      </c>
      <c r="AO49" s="6">
        <v>0</v>
      </c>
      <c r="AP49" s="6">
        <v>231.98703898029279</v>
      </c>
      <c r="AQ49" s="6">
        <v>419.99999964779192</v>
      </c>
      <c r="AR49" s="6">
        <v>3481.1418370000001</v>
      </c>
      <c r="AS49" s="6">
        <v>258.55252416142758</v>
      </c>
      <c r="AT49" s="6">
        <v>239.27548083302489</v>
      </c>
    </row>
    <row r="50" spans="1:46" x14ac:dyDescent="0.35">
      <c r="A50" s="5">
        <v>46022</v>
      </c>
      <c r="B50" s="4" t="s">
        <v>112</v>
      </c>
      <c r="C50" s="4" t="s">
        <v>113</v>
      </c>
      <c r="D50" s="4" t="s">
        <v>111</v>
      </c>
      <c r="E50" s="6">
        <v>95000</v>
      </c>
      <c r="F50" s="7">
        <v>0.28989999999999999</v>
      </c>
      <c r="G50" s="6">
        <v>35</v>
      </c>
      <c r="H50" s="6">
        <v>96.39</v>
      </c>
      <c r="I50" s="6">
        <v>100</v>
      </c>
      <c r="J50" s="6">
        <v>96.39</v>
      </c>
      <c r="K50" s="8">
        <v>100</v>
      </c>
      <c r="L50" s="6">
        <v>0</v>
      </c>
      <c r="M50" s="6">
        <v>0</v>
      </c>
      <c r="N50" s="6">
        <v>0</v>
      </c>
      <c r="O50" s="6">
        <v>0</v>
      </c>
      <c r="P50" s="6">
        <v>0</v>
      </c>
      <c r="Q50" s="6">
        <v>36.685789957223307</v>
      </c>
      <c r="R50" s="6">
        <v>1.0095759588260711</v>
      </c>
      <c r="S50" s="6">
        <v>29.545888882960782</v>
      </c>
      <c r="T50" s="6">
        <v>20.746935716062449</v>
      </c>
      <c r="U50" s="6">
        <v>87.988190515072617</v>
      </c>
      <c r="V50" s="6">
        <v>87.988190515072617</v>
      </c>
      <c r="W50" s="6">
        <v>3.1510716306514062</v>
      </c>
      <c r="X50" s="6">
        <v>0</v>
      </c>
      <c r="Y50" s="6">
        <v>91.139262145724004</v>
      </c>
      <c r="Z50" s="6">
        <v>24.316356068228458</v>
      </c>
      <c r="AA50" s="6">
        <v>115.4556182139525</v>
      </c>
      <c r="AB50" s="6">
        <v>0</v>
      </c>
      <c r="AC50" s="6">
        <v>23.082197610460781</v>
      </c>
      <c r="AD50" s="6">
        <v>0</v>
      </c>
      <c r="AE50" s="6">
        <v>0</v>
      </c>
      <c r="AF50" s="6">
        <v>138.53781582441329</v>
      </c>
      <c r="AG50" s="6">
        <v>4.7057961366474208</v>
      </c>
      <c r="AH50" s="6">
        <v>0</v>
      </c>
      <c r="AI50" s="6">
        <v>7.5292827596619443</v>
      </c>
      <c r="AJ50" s="6">
        <v>127.69069711026179</v>
      </c>
      <c r="AK50" s="6">
        <v>0</v>
      </c>
      <c r="AL50" s="6">
        <v>0</v>
      </c>
      <c r="AM50" s="6">
        <v>0</v>
      </c>
      <c r="AN50" s="6">
        <v>0</v>
      </c>
      <c r="AO50" s="6">
        <v>0</v>
      </c>
      <c r="AP50" s="6">
        <v>127.69069711026179</v>
      </c>
      <c r="AQ50" s="6">
        <v>419.99999964779192</v>
      </c>
      <c r="AR50" s="6">
        <v>892.51501199999996</v>
      </c>
      <c r="AS50" s="6">
        <v>328.86073750206788</v>
      </c>
      <c r="AT50" s="6">
        <v>304.54438143383948</v>
      </c>
    </row>
    <row r="51" spans="1:46" x14ac:dyDescent="0.35">
      <c r="A51" s="5">
        <v>46022</v>
      </c>
      <c r="B51" s="4" t="s">
        <v>255</v>
      </c>
      <c r="C51" s="4" t="s">
        <v>256</v>
      </c>
      <c r="D51" s="4" t="s">
        <v>257</v>
      </c>
      <c r="E51" s="6">
        <v>1147.619048</v>
      </c>
      <c r="F51" s="7">
        <v>0.22589999999999999</v>
      </c>
      <c r="G51" s="6">
        <v>93</v>
      </c>
      <c r="H51" s="6">
        <v>2.411</v>
      </c>
      <c r="I51" s="6">
        <v>95.65</v>
      </c>
      <c r="J51" s="6">
        <v>2.3061630000000002</v>
      </c>
      <c r="K51" s="8">
        <v>4.5202450390448616</v>
      </c>
      <c r="L51" s="6">
        <v>34.03441870801867</v>
      </c>
      <c r="M51" s="6">
        <v>30.665874155020312</v>
      </c>
      <c r="N51" s="6">
        <v>7.7148617022395527</v>
      </c>
      <c r="O51" s="6">
        <v>20.13440575717993</v>
      </c>
      <c r="P51" s="6">
        <v>92.549560322458476</v>
      </c>
      <c r="Q51" s="6">
        <v>10.47798027738061</v>
      </c>
      <c r="R51" s="6">
        <v>2.715213633727811</v>
      </c>
      <c r="S51" s="6">
        <v>33.498780427607286</v>
      </c>
      <c r="T51" s="6">
        <v>15.38316120130146</v>
      </c>
      <c r="U51" s="6">
        <v>62.075135540017179</v>
      </c>
      <c r="V51" s="6">
        <v>154.62469586247559</v>
      </c>
      <c r="W51" s="6">
        <v>16.278707442398471</v>
      </c>
      <c r="X51" s="6">
        <v>9.8028782078910357</v>
      </c>
      <c r="Y51" s="6">
        <v>180.7062815127652</v>
      </c>
      <c r="Z51" s="6">
        <v>23.894334828002769</v>
      </c>
      <c r="AA51" s="6">
        <v>204.60061634076791</v>
      </c>
      <c r="AB51" s="6">
        <v>0.88999669583817975</v>
      </c>
      <c r="AC51" s="6">
        <v>50.275373334495598</v>
      </c>
      <c r="AD51" s="6">
        <v>0</v>
      </c>
      <c r="AE51" s="6">
        <v>0</v>
      </c>
      <c r="AF51" s="6">
        <v>255.76598637110169</v>
      </c>
      <c r="AG51" s="6">
        <v>5.2339365045862429</v>
      </c>
      <c r="AH51" s="6">
        <v>0</v>
      </c>
      <c r="AI51" s="6">
        <v>60.392642697775507</v>
      </c>
      <c r="AJ51" s="6">
        <v>271.1171922389679</v>
      </c>
      <c r="AK51" s="6">
        <v>0</v>
      </c>
      <c r="AL51" s="6">
        <v>0</v>
      </c>
      <c r="AM51" s="6">
        <v>0</v>
      </c>
      <c r="AN51" s="6">
        <v>0</v>
      </c>
      <c r="AO51" s="6">
        <v>0</v>
      </c>
      <c r="AP51" s="6">
        <v>271.1171922389679</v>
      </c>
      <c r="AQ51" s="6">
        <v>420.00673811336742</v>
      </c>
      <c r="AR51" s="6">
        <v>449.76005199999997</v>
      </c>
      <c r="AS51" s="6">
        <v>239.30045660060219</v>
      </c>
      <c r="AT51" s="6">
        <v>215.4061217725995</v>
      </c>
    </row>
    <row r="52" spans="1:46" x14ac:dyDescent="0.35">
      <c r="A52" s="5">
        <v>46022</v>
      </c>
      <c r="B52" s="4" t="s">
        <v>114</v>
      </c>
      <c r="C52" s="4" t="s">
        <v>115</v>
      </c>
      <c r="D52" s="4" t="s">
        <v>86</v>
      </c>
      <c r="E52" s="6">
        <v>367.7</v>
      </c>
      <c r="F52" s="7">
        <v>2.1917</v>
      </c>
      <c r="G52" s="6">
        <v>90.98</v>
      </c>
      <c r="H52" s="6">
        <v>7.3319999999999999</v>
      </c>
      <c r="I52" s="6">
        <v>97</v>
      </c>
      <c r="J52" s="6">
        <v>7.1119430000000001</v>
      </c>
      <c r="K52" s="8">
        <v>78.738141998509207</v>
      </c>
      <c r="L52" s="6">
        <v>21.1480224372898</v>
      </c>
      <c r="M52" s="6">
        <v>1.0197034821799109</v>
      </c>
      <c r="N52" s="6">
        <v>3.4966844041253928</v>
      </c>
      <c r="O52" s="6">
        <v>7.8520752241739142</v>
      </c>
      <c r="P52" s="6">
        <v>33.516485547769008</v>
      </c>
      <c r="Q52" s="6">
        <v>10.57150547802498</v>
      </c>
      <c r="R52" s="6">
        <v>2.7532882199578448</v>
      </c>
      <c r="S52" s="6">
        <v>6.1972061952292101</v>
      </c>
      <c r="T52" s="6">
        <v>6.4651431747226997</v>
      </c>
      <c r="U52" s="6">
        <v>25.987143067934731</v>
      </c>
      <c r="V52" s="6">
        <v>59.50362861570374</v>
      </c>
      <c r="W52" s="6">
        <v>6.6594343018779369</v>
      </c>
      <c r="X52" s="6">
        <v>24.640260391773591</v>
      </c>
      <c r="Y52" s="6">
        <v>90.803323309355264</v>
      </c>
      <c r="Z52" s="6">
        <v>25.338123497860071</v>
      </c>
      <c r="AA52" s="6">
        <v>116.1414468072153</v>
      </c>
      <c r="AB52" s="6">
        <v>0</v>
      </c>
      <c r="AC52" s="6">
        <v>65.083957292981509</v>
      </c>
      <c r="AD52" s="6">
        <v>0</v>
      </c>
      <c r="AE52" s="6">
        <v>0</v>
      </c>
      <c r="AF52" s="6">
        <v>181.2254041001969</v>
      </c>
      <c r="AG52" s="6">
        <v>13.49514712954627</v>
      </c>
      <c r="AH52" s="6">
        <v>0</v>
      </c>
      <c r="AI52" s="6">
        <v>51.216112175591931</v>
      </c>
      <c r="AJ52" s="6">
        <v>180.8527061123535</v>
      </c>
      <c r="AK52" s="6">
        <v>0</v>
      </c>
      <c r="AL52" s="6">
        <v>0</v>
      </c>
      <c r="AM52" s="6">
        <v>0</v>
      </c>
      <c r="AN52" s="6">
        <v>0</v>
      </c>
      <c r="AO52" s="6">
        <v>0</v>
      </c>
      <c r="AP52" s="6">
        <v>180.8527061123535</v>
      </c>
      <c r="AQ52" s="6">
        <v>419.99746025736312</v>
      </c>
      <c r="AR52" s="6">
        <v>84.093052999999998</v>
      </c>
      <c r="AS52" s="6">
        <v>329.19413694800778</v>
      </c>
      <c r="AT52" s="6">
        <v>303.85601345014771</v>
      </c>
    </row>
    <row r="53" spans="1:46" x14ac:dyDescent="0.35">
      <c r="A53" s="5">
        <v>46022</v>
      </c>
      <c r="B53" s="4" t="s">
        <v>90</v>
      </c>
      <c r="C53" s="4" t="s">
        <v>91</v>
      </c>
      <c r="D53" s="4" t="s">
        <v>86</v>
      </c>
      <c r="E53" s="6">
        <v>10500</v>
      </c>
      <c r="F53" s="7">
        <v>0.74299999999999999</v>
      </c>
      <c r="G53" s="6">
        <v>85</v>
      </c>
      <c r="H53" s="6">
        <v>66.316000000000003</v>
      </c>
      <c r="I53" s="6">
        <v>97</v>
      </c>
      <c r="J53" s="6">
        <v>64.326181000000005</v>
      </c>
      <c r="K53" s="8">
        <v>41.764103099585903</v>
      </c>
      <c r="L53" s="6">
        <v>18.310588838353642</v>
      </c>
      <c r="M53" s="6">
        <v>6.797519712522849</v>
      </c>
      <c r="N53" s="6">
        <v>5.0244745926470538</v>
      </c>
      <c r="O53" s="6">
        <v>61.363578606418479</v>
      </c>
      <c r="P53" s="6">
        <v>91.496161749942033</v>
      </c>
      <c r="Q53" s="6">
        <v>8.4809028118577565</v>
      </c>
      <c r="R53" s="6">
        <v>15.76973922736379</v>
      </c>
      <c r="S53" s="6">
        <v>9.2030321165526754</v>
      </c>
      <c r="T53" s="6">
        <v>15.93328057590726</v>
      </c>
      <c r="U53" s="6">
        <v>49.386954731681477</v>
      </c>
      <c r="V53" s="6">
        <v>140.88311648162349</v>
      </c>
      <c r="W53" s="6">
        <v>29.03984856451676</v>
      </c>
      <c r="X53" s="6">
        <v>16.933103431226581</v>
      </c>
      <c r="Y53" s="6">
        <v>186.85606847736679</v>
      </c>
      <c r="Z53" s="6">
        <v>39.294809304862817</v>
      </c>
      <c r="AA53" s="6">
        <v>226.15087778222971</v>
      </c>
      <c r="AB53" s="6">
        <v>0</v>
      </c>
      <c r="AC53" s="6">
        <v>44.508488598335688</v>
      </c>
      <c r="AD53" s="6">
        <v>0</v>
      </c>
      <c r="AE53" s="6">
        <v>0</v>
      </c>
      <c r="AF53" s="6">
        <v>270.65936638056542</v>
      </c>
      <c r="AG53" s="6">
        <v>6.6648758294658101</v>
      </c>
      <c r="AH53" s="6">
        <v>0</v>
      </c>
      <c r="AI53" s="6">
        <v>28.27172824308148</v>
      </c>
      <c r="AJ53" s="6">
        <v>261.08748185477702</v>
      </c>
      <c r="AK53" s="6">
        <v>0</v>
      </c>
      <c r="AL53" s="6">
        <v>1.4724843965155501</v>
      </c>
      <c r="AM53" s="6">
        <v>0</v>
      </c>
      <c r="AN53" s="6">
        <v>0</v>
      </c>
      <c r="AO53" s="6">
        <v>0</v>
      </c>
      <c r="AP53" s="6">
        <v>262.55996625129251</v>
      </c>
      <c r="AQ53" s="6">
        <v>420.0001237030346</v>
      </c>
      <c r="AR53" s="6">
        <v>1373.672687</v>
      </c>
      <c r="AS53" s="6">
        <v>233.1440552256677</v>
      </c>
      <c r="AT53" s="6">
        <v>193.84924592080489</v>
      </c>
    </row>
    <row r="54" spans="1:46" x14ac:dyDescent="0.35">
      <c r="A54" s="5">
        <v>46022</v>
      </c>
      <c r="B54" s="4" t="s">
        <v>258</v>
      </c>
      <c r="C54" s="4" t="s">
        <v>259</v>
      </c>
      <c r="D54" s="4" t="s">
        <v>111</v>
      </c>
      <c r="E54" s="6">
        <v>620</v>
      </c>
      <c r="F54" s="7">
        <v>0.8</v>
      </c>
      <c r="G54" s="6">
        <v>78</v>
      </c>
      <c r="H54" s="6">
        <v>3.8690000000000002</v>
      </c>
      <c r="I54" s="6">
        <v>97</v>
      </c>
      <c r="J54" s="6">
        <v>3.7527360000000001</v>
      </c>
      <c r="K54" s="8">
        <v>36.423895494651639</v>
      </c>
      <c r="L54" s="6">
        <v>44.461971037250997</v>
      </c>
      <c r="M54" s="6">
        <v>2.8950770349684798</v>
      </c>
      <c r="N54" s="6">
        <v>1.489840181634565</v>
      </c>
      <c r="O54" s="6">
        <v>57.065926222755181</v>
      </c>
      <c r="P54" s="6">
        <v>105.9128144766092</v>
      </c>
      <c r="Q54" s="6">
        <v>39.10095332690247</v>
      </c>
      <c r="R54" s="6">
        <v>7.8950532149305834</v>
      </c>
      <c r="S54" s="6">
        <v>20.03165246340269</v>
      </c>
      <c r="T54" s="6">
        <v>18.979055493592501</v>
      </c>
      <c r="U54" s="6">
        <v>86.006714498828245</v>
      </c>
      <c r="V54" s="6">
        <v>191.91952897543749</v>
      </c>
      <c r="W54" s="6">
        <v>30.387849206905749</v>
      </c>
      <c r="X54" s="6">
        <v>20.002713844876251</v>
      </c>
      <c r="Y54" s="6">
        <v>242.3100920272195</v>
      </c>
      <c r="Z54" s="6">
        <v>7.2041423623854532</v>
      </c>
      <c r="AA54" s="6">
        <v>249.51423438960489</v>
      </c>
      <c r="AB54" s="6">
        <v>1.205076760922662</v>
      </c>
      <c r="AC54" s="6">
        <v>36.741780168427738</v>
      </c>
      <c r="AD54" s="6">
        <v>0</v>
      </c>
      <c r="AE54" s="6">
        <v>0</v>
      </c>
      <c r="AF54" s="6">
        <v>287.46109131895531</v>
      </c>
      <c r="AG54" s="6">
        <v>6.4949042984881808</v>
      </c>
      <c r="AH54" s="6">
        <v>5.7233121178986828</v>
      </c>
      <c r="AI54" s="6">
        <v>57.233126638146587</v>
      </c>
      <c r="AJ54" s="6">
        <v>320.17065420506111</v>
      </c>
      <c r="AK54" s="6">
        <v>0</v>
      </c>
      <c r="AL54" s="6">
        <v>0</v>
      </c>
      <c r="AM54" s="6">
        <v>0</v>
      </c>
      <c r="AN54" s="6">
        <v>0</v>
      </c>
      <c r="AO54" s="6">
        <v>0</v>
      </c>
      <c r="AP54" s="6">
        <v>320.17065420506111</v>
      </c>
      <c r="AQ54" s="6">
        <v>419.99597058739778</v>
      </c>
      <c r="AR54" s="6">
        <v>101.823661</v>
      </c>
      <c r="AS54" s="6">
        <v>177.68587856017831</v>
      </c>
      <c r="AT54" s="6">
        <v>170.4817361977928</v>
      </c>
    </row>
    <row r="55" spans="1:46" x14ac:dyDescent="0.35">
      <c r="A55" s="5">
        <v>46022</v>
      </c>
      <c r="B55" s="4" t="s">
        <v>92</v>
      </c>
      <c r="C55" s="4" t="s">
        <v>93</v>
      </c>
      <c r="D55" s="4" t="s">
        <v>58</v>
      </c>
      <c r="E55" s="6">
        <v>31476</v>
      </c>
      <c r="F55" s="7">
        <v>0.51</v>
      </c>
      <c r="G55" s="6">
        <v>92.93</v>
      </c>
      <c r="H55" s="6">
        <v>149.17599999999999</v>
      </c>
      <c r="I55" s="6">
        <v>96.5</v>
      </c>
      <c r="J55" s="6">
        <v>143.95515</v>
      </c>
      <c r="K55" s="8">
        <v>86.594729763733767</v>
      </c>
      <c r="L55" s="6">
        <v>44.643862826297642</v>
      </c>
      <c r="M55" s="6">
        <v>11.076870769734001</v>
      </c>
      <c r="N55" s="6">
        <v>2.663160207812032</v>
      </c>
      <c r="O55" s="6">
        <v>27.941187427947831</v>
      </c>
      <c r="P55" s="6">
        <v>86.325081231791501</v>
      </c>
      <c r="Q55" s="6">
        <v>5.0276263304633222</v>
      </c>
      <c r="R55" s="6">
        <v>30.588510725755651</v>
      </c>
      <c r="S55" s="6">
        <v>52.987209069529541</v>
      </c>
      <c r="T55" s="6">
        <v>15.58061658319798</v>
      </c>
      <c r="U55" s="6">
        <v>104.1839627089465</v>
      </c>
      <c r="V55" s="6">
        <v>190.509043940738</v>
      </c>
      <c r="W55" s="6">
        <v>5.3858081227383199</v>
      </c>
      <c r="X55" s="6">
        <v>18.504085806642379</v>
      </c>
      <c r="Y55" s="6">
        <v>214.39893787011869</v>
      </c>
      <c r="Z55" s="6">
        <v>18.487337098827549</v>
      </c>
      <c r="AA55" s="6">
        <v>232.8862749689462</v>
      </c>
      <c r="AB55" s="6">
        <v>0</v>
      </c>
      <c r="AC55" s="6">
        <v>65.475093555224291</v>
      </c>
      <c r="AD55" s="6">
        <v>0</v>
      </c>
      <c r="AE55" s="6">
        <v>0</v>
      </c>
      <c r="AF55" s="6">
        <v>298.36136852417047</v>
      </c>
      <c r="AG55" s="6">
        <v>6.4935968724094009</v>
      </c>
      <c r="AH55" s="6">
        <v>0</v>
      </c>
      <c r="AI55" s="6">
        <v>55.935030005155852</v>
      </c>
      <c r="AJ55" s="6">
        <v>295.31490184651148</v>
      </c>
      <c r="AK55" s="6">
        <v>0</v>
      </c>
      <c r="AL55" s="6">
        <v>0</v>
      </c>
      <c r="AM55" s="6">
        <v>0</v>
      </c>
      <c r="AN55" s="6">
        <v>0</v>
      </c>
      <c r="AO55" s="6">
        <v>0</v>
      </c>
      <c r="AP55" s="6">
        <v>295.31490184651148</v>
      </c>
      <c r="AQ55" s="6">
        <v>420.00014552656029</v>
      </c>
      <c r="AR55" s="6">
        <v>1538.1356430000001</v>
      </c>
      <c r="AS55" s="6">
        <v>205.6012076564416</v>
      </c>
      <c r="AT55" s="6">
        <v>187.11387055761409</v>
      </c>
    </row>
    <row r="56" spans="1:46" x14ac:dyDescent="0.35">
      <c r="A56" s="5">
        <v>46022</v>
      </c>
      <c r="B56" s="4" t="s">
        <v>116</v>
      </c>
      <c r="C56" s="4" t="s">
        <v>117</v>
      </c>
      <c r="D56" s="4" t="s">
        <v>111</v>
      </c>
      <c r="E56" s="6">
        <v>1300</v>
      </c>
      <c r="F56" s="7">
        <v>0.77</v>
      </c>
      <c r="G56" s="6">
        <v>42</v>
      </c>
      <c r="H56" s="6">
        <v>4.2039999999999997</v>
      </c>
      <c r="I56" s="6">
        <v>97</v>
      </c>
      <c r="J56" s="6">
        <v>4.078074</v>
      </c>
      <c r="K56" s="8">
        <v>17.573841603789077</v>
      </c>
      <c r="L56" s="6">
        <v>65.477947328138299</v>
      </c>
      <c r="M56" s="6">
        <v>28.408940916385621</v>
      </c>
      <c r="N56" s="6">
        <v>14.958184293458061</v>
      </c>
      <c r="O56" s="6">
        <v>62.180784087962408</v>
      </c>
      <c r="P56" s="6">
        <v>171.02585662594441</v>
      </c>
      <c r="Q56" s="6">
        <v>31.368321638459818</v>
      </c>
      <c r="R56" s="6">
        <v>22.64661428942679</v>
      </c>
      <c r="S56" s="6">
        <v>35.570337891588508</v>
      </c>
      <c r="T56" s="6">
        <v>32.79878720073814</v>
      </c>
      <c r="U56" s="6">
        <v>122.3840610202133</v>
      </c>
      <c r="V56" s="6">
        <v>293.40991764615768</v>
      </c>
      <c r="W56" s="6">
        <v>3.4559672971990518</v>
      </c>
      <c r="X56" s="6">
        <v>11.97990441492303</v>
      </c>
      <c r="Y56" s="6">
        <v>308.84578935827972</v>
      </c>
      <c r="Z56" s="6">
        <v>0.65059073068857254</v>
      </c>
      <c r="AA56" s="6">
        <v>309.49638008896829</v>
      </c>
      <c r="AB56" s="6">
        <v>0</v>
      </c>
      <c r="AC56" s="6">
        <v>72.278892687352041</v>
      </c>
      <c r="AD56" s="6">
        <v>0</v>
      </c>
      <c r="AE56" s="6">
        <v>0</v>
      </c>
      <c r="AF56" s="6">
        <v>381.77527277632038</v>
      </c>
      <c r="AG56" s="6">
        <v>3.5918793003696168</v>
      </c>
      <c r="AH56" s="6">
        <v>0</v>
      </c>
      <c r="AI56" s="6">
        <v>15.4111749227605</v>
      </c>
      <c r="AJ56" s="6">
        <v>328.4994343120984</v>
      </c>
      <c r="AK56" s="6">
        <v>0</v>
      </c>
      <c r="AL56" s="6">
        <v>0</v>
      </c>
      <c r="AM56" s="6">
        <v>0</v>
      </c>
      <c r="AN56" s="6">
        <v>0</v>
      </c>
      <c r="AO56" s="6">
        <v>0</v>
      </c>
      <c r="AP56" s="6">
        <v>328.4994343120984</v>
      </c>
      <c r="AQ56" s="6">
        <v>420.00267738242621</v>
      </c>
      <c r="AR56" s="6">
        <v>224.73052300000001</v>
      </c>
      <c r="AS56" s="6">
        <v>111.1568880241465</v>
      </c>
      <c r="AT56" s="6">
        <v>110.50629729345791</v>
      </c>
    </row>
    <row r="57" spans="1:46" x14ac:dyDescent="0.35">
      <c r="A57" s="5">
        <v>46022</v>
      </c>
      <c r="B57" s="4" t="s">
        <v>694</v>
      </c>
      <c r="C57" s="4" t="s">
        <v>695</v>
      </c>
      <c r="D57" s="4" t="s">
        <v>55</v>
      </c>
      <c r="E57" s="6">
        <v>3455</v>
      </c>
      <c r="F57" s="7">
        <v>1.24</v>
      </c>
      <c r="G57" s="6">
        <v>93.37</v>
      </c>
      <c r="H57" s="6">
        <v>40</v>
      </c>
      <c r="I57" s="6">
        <v>97</v>
      </c>
      <c r="J57" s="6">
        <v>38.799999999999997</v>
      </c>
      <c r="K57" s="8">
        <v>96.579111743187781</v>
      </c>
      <c r="L57" s="6">
        <v>58.787295707487203</v>
      </c>
      <c r="M57" s="6">
        <v>22.93245946873526</v>
      </c>
      <c r="N57" s="6">
        <v>6.879677376607062</v>
      </c>
      <c r="O57" s="6">
        <v>59.773795344748571</v>
      </c>
      <c r="P57" s="6">
        <v>148.37322789757809</v>
      </c>
      <c r="Q57" s="6">
        <v>10.331649827106419</v>
      </c>
      <c r="R57" s="6">
        <v>10.279845820689269</v>
      </c>
      <c r="S57" s="6">
        <v>19.670496155929619</v>
      </c>
      <c r="T57" s="6">
        <v>15.83511944528605</v>
      </c>
      <c r="U57" s="6">
        <v>56.117111249011352</v>
      </c>
      <c r="V57" s="6">
        <v>204.49033914658941</v>
      </c>
      <c r="W57" s="6">
        <v>8.891396237734563</v>
      </c>
      <c r="X57" s="6">
        <v>18.472442786425539</v>
      </c>
      <c r="Y57" s="6">
        <v>231.85417817074949</v>
      </c>
      <c r="Z57" s="6">
        <v>8.3948643569820796</v>
      </c>
      <c r="AA57" s="6">
        <v>240.2490425277316</v>
      </c>
      <c r="AB57" s="6">
        <v>0</v>
      </c>
      <c r="AC57" s="6">
        <v>105.1186769551496</v>
      </c>
      <c r="AD57" s="6">
        <v>0</v>
      </c>
      <c r="AE57" s="6">
        <v>0</v>
      </c>
      <c r="AF57" s="6">
        <v>345.36771948288128</v>
      </c>
      <c r="AG57" s="6">
        <v>54.036080336407572</v>
      </c>
      <c r="AH57" s="6">
        <v>0</v>
      </c>
      <c r="AI57" s="6">
        <v>74.940647008157583</v>
      </c>
      <c r="AJ57" s="6">
        <v>369.22576987229678</v>
      </c>
      <c r="AK57" s="6">
        <v>194.76293936421311</v>
      </c>
      <c r="AL57" s="6">
        <v>0</v>
      </c>
      <c r="AM57" s="6">
        <v>0</v>
      </c>
      <c r="AN57" s="6">
        <v>0</v>
      </c>
      <c r="AO57" s="6">
        <v>0</v>
      </c>
      <c r="AP57" s="6">
        <v>563.98870923650986</v>
      </c>
      <c r="AQ57" s="6">
        <v>419.99999964779198</v>
      </c>
      <c r="AR57" s="6">
        <v>371.76153299999999</v>
      </c>
      <c r="AS57" s="6">
        <v>188.1458214770424</v>
      </c>
      <c r="AT57" s="6">
        <v>179.75095712006029</v>
      </c>
    </row>
    <row r="58" spans="1:46" x14ac:dyDescent="0.35">
      <c r="A58" s="5">
        <v>46022</v>
      </c>
      <c r="B58" s="4" t="s">
        <v>696</v>
      </c>
      <c r="C58" s="4" t="s">
        <v>697</v>
      </c>
      <c r="D58" s="4" t="s">
        <v>79</v>
      </c>
      <c r="E58" s="6">
        <v>1058.2010580000001</v>
      </c>
      <c r="F58" s="7">
        <v>0.54</v>
      </c>
      <c r="G58" s="6">
        <v>70</v>
      </c>
      <c r="H58" s="6">
        <v>4</v>
      </c>
      <c r="I58" s="6">
        <v>100</v>
      </c>
      <c r="J58" s="6">
        <v>4</v>
      </c>
      <c r="K58" s="8">
        <v>99.999999352158866</v>
      </c>
      <c r="L58" s="6">
        <v>33.625882145702121</v>
      </c>
      <c r="M58" s="6">
        <v>14.960736241641211</v>
      </c>
      <c r="N58" s="6">
        <v>3.7228533520504081</v>
      </c>
      <c r="O58" s="6">
        <v>48.948340300308992</v>
      </c>
      <c r="P58" s="6">
        <v>101.2578120397027</v>
      </c>
      <c r="Q58" s="6">
        <v>14.348506544205289</v>
      </c>
      <c r="R58" s="6">
        <v>36.047009403120001</v>
      </c>
      <c r="S58" s="6">
        <v>22.946229862240649</v>
      </c>
      <c r="T58" s="6">
        <v>13.24588109911916</v>
      </c>
      <c r="U58" s="6">
        <v>86.58762690868511</v>
      </c>
      <c r="V58" s="6">
        <v>187.84543894838779</v>
      </c>
      <c r="W58" s="6">
        <v>1.706638752007728</v>
      </c>
      <c r="X58" s="6">
        <v>0</v>
      </c>
      <c r="Y58" s="6">
        <v>189.55207770039561</v>
      </c>
      <c r="Z58" s="6">
        <v>12.60010790893296</v>
      </c>
      <c r="AA58" s="6">
        <v>202.15218560932851</v>
      </c>
      <c r="AB58" s="6">
        <v>11.339809174381489</v>
      </c>
      <c r="AC58" s="6">
        <v>63.223852072865853</v>
      </c>
      <c r="AD58" s="6">
        <v>0</v>
      </c>
      <c r="AE58" s="6">
        <v>0</v>
      </c>
      <c r="AF58" s="6">
        <v>276.71584685657592</v>
      </c>
      <c r="AG58" s="6">
        <v>2.8176845841753342</v>
      </c>
      <c r="AH58" s="6">
        <v>0</v>
      </c>
      <c r="AI58" s="6">
        <v>9.3922779473184264</v>
      </c>
      <c r="AJ58" s="6">
        <v>225.7019573152038</v>
      </c>
      <c r="AK58" s="6">
        <v>0</v>
      </c>
      <c r="AL58" s="6">
        <v>0</v>
      </c>
      <c r="AM58" s="6">
        <v>0</v>
      </c>
      <c r="AN58" s="6">
        <v>0</v>
      </c>
      <c r="AO58" s="6">
        <v>0</v>
      </c>
      <c r="AP58" s="6">
        <v>225.7019573152038</v>
      </c>
      <c r="AQ58" s="6">
        <v>419.99999964779192</v>
      </c>
      <c r="AR58" s="6">
        <v>37.037660000000002</v>
      </c>
      <c r="AS58" s="6">
        <v>230.4479219473964</v>
      </c>
      <c r="AT58" s="6">
        <v>217.84781403846341</v>
      </c>
    </row>
    <row r="59" spans="1:46" x14ac:dyDescent="0.35">
      <c r="A59" s="5">
        <v>46022</v>
      </c>
      <c r="B59" s="4" t="s">
        <v>698</v>
      </c>
      <c r="C59" s="4" t="s">
        <v>699</v>
      </c>
      <c r="D59" s="4" t="s">
        <v>58</v>
      </c>
      <c r="E59" s="6">
        <v>14500</v>
      </c>
      <c r="F59" s="7">
        <v>0.37</v>
      </c>
      <c r="G59" s="6">
        <v>86</v>
      </c>
      <c r="H59" s="6">
        <v>46.139000000000003</v>
      </c>
      <c r="I59" s="6">
        <v>97</v>
      </c>
      <c r="J59" s="6">
        <v>44.754829999999998</v>
      </c>
      <c r="K59" s="8">
        <v>89.0362102016108</v>
      </c>
      <c r="L59" s="6">
        <v>25.043534539084298</v>
      </c>
      <c r="M59" s="6">
        <v>18.85795932766349</v>
      </c>
      <c r="N59" s="6">
        <v>0.2720288630791301</v>
      </c>
      <c r="O59" s="6">
        <v>21.397196328900868</v>
      </c>
      <c r="P59" s="6">
        <v>65.570719058727789</v>
      </c>
      <c r="Q59" s="6">
        <v>16.479257300986848</v>
      </c>
      <c r="R59" s="6">
        <v>25.908191168713689</v>
      </c>
      <c r="S59" s="6">
        <v>43.120945054909292</v>
      </c>
      <c r="T59" s="6">
        <v>39.291056056304789</v>
      </c>
      <c r="U59" s="6">
        <v>124.7994495809146</v>
      </c>
      <c r="V59" s="6">
        <v>190.3701686396424</v>
      </c>
      <c r="W59" s="6">
        <v>16.696725934937891</v>
      </c>
      <c r="X59" s="6">
        <v>21.878392796512859</v>
      </c>
      <c r="Y59" s="6">
        <v>228.9452873710932</v>
      </c>
      <c r="Z59" s="6">
        <v>9.8283059553051864</v>
      </c>
      <c r="AA59" s="6">
        <v>238.7735933263983</v>
      </c>
      <c r="AB59" s="6">
        <v>0</v>
      </c>
      <c r="AC59" s="6">
        <v>74.225057608252555</v>
      </c>
      <c r="AD59" s="6">
        <v>0</v>
      </c>
      <c r="AE59" s="6">
        <v>0</v>
      </c>
      <c r="AF59" s="6">
        <v>312.99865093465093</v>
      </c>
      <c r="AG59" s="6">
        <v>8.1192306907232155</v>
      </c>
      <c r="AH59" s="6">
        <v>0</v>
      </c>
      <c r="AI59" s="6">
        <v>45.078139732127973</v>
      </c>
      <c r="AJ59" s="6">
        <v>291.97096374924951</v>
      </c>
      <c r="AK59" s="6">
        <v>0</v>
      </c>
      <c r="AL59" s="6">
        <v>0</v>
      </c>
      <c r="AM59" s="6">
        <v>0</v>
      </c>
      <c r="AN59" s="6">
        <v>0</v>
      </c>
      <c r="AO59" s="6">
        <v>0</v>
      </c>
      <c r="AP59" s="6">
        <v>291.97096374924951</v>
      </c>
      <c r="AQ59" s="6">
        <v>419.99971811393323</v>
      </c>
      <c r="AR59" s="6">
        <v>464.58641799999998</v>
      </c>
      <c r="AS59" s="6">
        <v>191.05443074284</v>
      </c>
      <c r="AT59" s="6">
        <v>181.22612478753479</v>
      </c>
    </row>
    <row r="60" spans="1:46" x14ac:dyDescent="0.35">
      <c r="A60" s="5">
        <v>46022</v>
      </c>
      <c r="B60" s="4" t="s">
        <v>133</v>
      </c>
      <c r="C60" s="4" t="s">
        <v>134</v>
      </c>
      <c r="D60" s="4" t="s">
        <v>89</v>
      </c>
      <c r="E60" s="6">
        <v>5291.9081759999999</v>
      </c>
      <c r="F60" s="7">
        <v>1.3784000000000001</v>
      </c>
      <c r="G60" s="6">
        <v>92</v>
      </c>
      <c r="H60" s="6">
        <v>67.105999999999995</v>
      </c>
      <c r="I60" s="6">
        <v>96.75</v>
      </c>
      <c r="J60" s="6">
        <v>64.925478999999996</v>
      </c>
      <c r="K60" s="8">
        <v>71.192366729313193</v>
      </c>
      <c r="L60" s="6">
        <v>75.967473278550671</v>
      </c>
      <c r="M60" s="6">
        <v>1.075355730394614</v>
      </c>
      <c r="N60" s="6">
        <v>2.7148889380229888</v>
      </c>
      <c r="O60" s="6">
        <v>67.310422726387131</v>
      </c>
      <c r="P60" s="6">
        <v>147.0681406733554</v>
      </c>
      <c r="Q60" s="6">
        <v>21.437238594747299</v>
      </c>
      <c r="R60" s="6">
        <v>3.9163178623919799</v>
      </c>
      <c r="S60" s="6">
        <v>7.0115767779513094</v>
      </c>
      <c r="T60" s="6">
        <v>22.411038799633921</v>
      </c>
      <c r="U60" s="6">
        <v>54.77617203472451</v>
      </c>
      <c r="V60" s="6">
        <v>201.84431270807991</v>
      </c>
      <c r="W60" s="6">
        <v>6.5638790319827791</v>
      </c>
      <c r="X60" s="6">
        <v>16.051136117040961</v>
      </c>
      <c r="Y60" s="6">
        <v>224.4593278571036</v>
      </c>
      <c r="Z60" s="6">
        <v>20.918432024863069</v>
      </c>
      <c r="AA60" s="6">
        <v>245.37775988196671</v>
      </c>
      <c r="AB60" s="6">
        <v>0.38462602368879822</v>
      </c>
      <c r="AC60" s="6">
        <v>42.982897135760552</v>
      </c>
      <c r="AD60" s="6">
        <v>0</v>
      </c>
      <c r="AE60" s="6">
        <v>0</v>
      </c>
      <c r="AF60" s="6">
        <v>288.74528304141609</v>
      </c>
      <c r="AG60" s="6">
        <v>3.0457840240764931</v>
      </c>
      <c r="AH60" s="6">
        <v>0</v>
      </c>
      <c r="AI60" s="6">
        <v>17.38238471925176</v>
      </c>
      <c r="AJ60" s="6">
        <v>266.19055464898378</v>
      </c>
      <c r="AK60" s="6">
        <v>135.78339353993599</v>
      </c>
      <c r="AL60" s="6">
        <v>0</v>
      </c>
      <c r="AM60" s="6">
        <v>0</v>
      </c>
      <c r="AN60" s="6">
        <v>0</v>
      </c>
      <c r="AO60" s="6">
        <v>0</v>
      </c>
      <c r="AP60" s="6">
        <v>401.97394818891979</v>
      </c>
      <c r="AQ60" s="6">
        <v>420.00013549584622</v>
      </c>
      <c r="AR60" s="6">
        <v>841.15396399999997</v>
      </c>
      <c r="AS60" s="6">
        <v>195.54080763874259</v>
      </c>
      <c r="AT60" s="6">
        <v>174.62237561387951</v>
      </c>
    </row>
    <row r="61" spans="1:46" x14ac:dyDescent="0.35">
      <c r="A61" s="5">
        <v>46022</v>
      </c>
      <c r="B61" s="4" t="s">
        <v>94</v>
      </c>
      <c r="C61" s="4" t="s">
        <v>95</v>
      </c>
      <c r="D61" s="4" t="s">
        <v>58</v>
      </c>
      <c r="E61" s="6">
        <v>33306.574250999998</v>
      </c>
      <c r="F61" s="7">
        <v>0.35</v>
      </c>
      <c r="G61" s="6">
        <v>78.459999999999994</v>
      </c>
      <c r="H61" s="6">
        <v>91.462000000000003</v>
      </c>
      <c r="I61" s="6">
        <v>96.529967999999997</v>
      </c>
      <c r="J61" s="6">
        <v>88.287830999999997</v>
      </c>
      <c r="K61" s="8">
        <v>90.108704113141485</v>
      </c>
      <c r="L61" s="6">
        <v>6.4503412252763193</v>
      </c>
      <c r="M61" s="6">
        <v>21.579806132702419</v>
      </c>
      <c r="N61" s="6">
        <v>1.0399165334143949</v>
      </c>
      <c r="O61" s="6">
        <v>15.50408958449913</v>
      </c>
      <c r="P61" s="6">
        <v>44.574153475892267</v>
      </c>
      <c r="Q61" s="6">
        <v>53.689038929476062</v>
      </c>
      <c r="R61" s="6">
        <v>43.640105111426813</v>
      </c>
      <c r="S61" s="6">
        <v>33.187142218083501</v>
      </c>
      <c r="T61" s="6">
        <v>36.141104671146522</v>
      </c>
      <c r="U61" s="6">
        <v>166.65739093013289</v>
      </c>
      <c r="V61" s="6">
        <v>211.23154440602519</v>
      </c>
      <c r="W61" s="6">
        <v>18.382419409916452</v>
      </c>
      <c r="X61" s="6">
        <v>23.638781352237</v>
      </c>
      <c r="Y61" s="6">
        <v>253.25274516817859</v>
      </c>
      <c r="Z61" s="6">
        <v>13.6156201777861</v>
      </c>
      <c r="AA61" s="6">
        <v>266.86836534596472</v>
      </c>
      <c r="AB61" s="6">
        <v>0</v>
      </c>
      <c r="AC61" s="6">
        <v>105.4709243179112</v>
      </c>
      <c r="AD61" s="6">
        <v>0</v>
      </c>
      <c r="AE61" s="6">
        <v>0</v>
      </c>
      <c r="AF61" s="6">
        <v>372.33928966387589</v>
      </c>
      <c r="AG61" s="6">
        <v>64.893178575904955</v>
      </c>
      <c r="AH61" s="6">
        <v>7.1295103539820976</v>
      </c>
      <c r="AI61" s="6">
        <v>73.084809099084495</v>
      </c>
      <c r="AJ61" s="6">
        <v>411.9758633749363</v>
      </c>
      <c r="AK61" s="6">
        <v>0</v>
      </c>
      <c r="AL61" s="6">
        <v>0</v>
      </c>
      <c r="AM61" s="6">
        <v>0</v>
      </c>
      <c r="AN61" s="6">
        <v>0</v>
      </c>
      <c r="AO61" s="6">
        <v>0</v>
      </c>
      <c r="AP61" s="6">
        <v>411.9758633749363</v>
      </c>
      <c r="AQ61" s="6">
        <v>419.9998521755997</v>
      </c>
      <c r="AR61" s="6">
        <v>907.41413899999998</v>
      </c>
      <c r="AS61" s="6">
        <v>166.74710700742111</v>
      </c>
      <c r="AT61" s="6">
        <v>153.13148682963501</v>
      </c>
    </row>
    <row r="62" spans="1:46" x14ac:dyDescent="0.35">
      <c r="A62" s="5">
        <v>46022</v>
      </c>
      <c r="B62" s="4" t="s">
        <v>700</v>
      </c>
      <c r="C62" s="4" t="s">
        <v>701</v>
      </c>
      <c r="D62" s="4" t="s">
        <v>58</v>
      </c>
      <c r="E62" s="6">
        <v>19450.335351000002</v>
      </c>
      <c r="F62" s="7">
        <v>0.19</v>
      </c>
      <c r="G62" s="6">
        <v>66.400000000000006</v>
      </c>
      <c r="H62" s="6">
        <v>24.538</v>
      </c>
      <c r="I62" s="6">
        <v>100</v>
      </c>
      <c r="J62" s="6">
        <v>24.538423000000002</v>
      </c>
      <c r="K62" s="8">
        <v>100</v>
      </c>
      <c r="L62" s="6">
        <v>36.27358109953915</v>
      </c>
      <c r="M62" s="6">
        <v>151.50634557119889</v>
      </c>
      <c r="N62" s="6">
        <v>0.61348164896052837</v>
      </c>
      <c r="O62" s="6">
        <v>39.509828928442978</v>
      </c>
      <c r="P62" s="6">
        <v>227.90323724814149</v>
      </c>
      <c r="Q62" s="6">
        <v>12.93096928882669</v>
      </c>
      <c r="R62" s="6">
        <v>12.069117996132981</v>
      </c>
      <c r="S62" s="6">
        <v>21.849158095977501</v>
      </c>
      <c r="T62" s="6">
        <v>0.55422959729980337</v>
      </c>
      <c r="U62" s="6">
        <v>47.403474978236979</v>
      </c>
      <c r="V62" s="6">
        <v>275.30671222637852</v>
      </c>
      <c r="W62" s="6">
        <v>4.7346064187725529</v>
      </c>
      <c r="X62" s="6">
        <v>0</v>
      </c>
      <c r="Y62" s="6">
        <v>280.04131864515108</v>
      </c>
      <c r="Z62" s="6">
        <v>13.61308900689335</v>
      </c>
      <c r="AA62" s="6">
        <v>293.65440765204443</v>
      </c>
      <c r="AB62" s="6">
        <v>0</v>
      </c>
      <c r="AC62" s="6">
        <v>123.1811323798443</v>
      </c>
      <c r="AD62" s="6">
        <v>0</v>
      </c>
      <c r="AE62" s="6">
        <v>0</v>
      </c>
      <c r="AF62" s="6">
        <v>416.83554003188868</v>
      </c>
      <c r="AG62" s="6">
        <v>40.35679530039183</v>
      </c>
      <c r="AH62" s="6">
        <v>0</v>
      </c>
      <c r="AI62" s="6">
        <v>77.880026618117753</v>
      </c>
      <c r="AJ62" s="6">
        <v>411.891229570554</v>
      </c>
      <c r="AK62" s="6">
        <v>0</v>
      </c>
      <c r="AL62" s="6">
        <v>0</v>
      </c>
      <c r="AM62" s="6">
        <v>0</v>
      </c>
      <c r="AN62" s="6">
        <v>0</v>
      </c>
      <c r="AO62" s="6">
        <v>0</v>
      </c>
      <c r="AP62" s="6">
        <v>411.891229570554</v>
      </c>
      <c r="AQ62" s="6">
        <v>419.99960597946239</v>
      </c>
      <c r="AR62" s="6">
        <v>227.211229</v>
      </c>
      <c r="AS62" s="6">
        <v>139.95828733431131</v>
      </c>
      <c r="AT62" s="6">
        <v>126.3451983274179</v>
      </c>
    </row>
    <row r="63" spans="1:46" x14ac:dyDescent="0.35">
      <c r="A63" s="5">
        <v>46022</v>
      </c>
      <c r="B63" s="4" t="s">
        <v>138</v>
      </c>
      <c r="C63" s="4" t="s">
        <v>139</v>
      </c>
      <c r="D63" s="4" t="s">
        <v>58</v>
      </c>
      <c r="E63" s="6">
        <v>21936.5</v>
      </c>
      <c r="F63" s="7">
        <v>0.57999999999999996</v>
      </c>
      <c r="G63" s="6">
        <v>70</v>
      </c>
      <c r="H63" s="6">
        <v>89.061999999999998</v>
      </c>
      <c r="I63" s="6">
        <v>100</v>
      </c>
      <c r="J63" s="6">
        <v>89.062190000000001</v>
      </c>
      <c r="K63" s="8">
        <v>100</v>
      </c>
      <c r="L63" s="6">
        <v>45.957476178236199</v>
      </c>
      <c r="M63" s="6">
        <v>32.507479251860339</v>
      </c>
      <c r="N63" s="6">
        <v>2.2679171610965518</v>
      </c>
      <c r="O63" s="6">
        <v>34.018567488608618</v>
      </c>
      <c r="P63" s="6">
        <v>114.7514400798017</v>
      </c>
      <c r="Q63" s="6">
        <v>9.5117426210931022</v>
      </c>
      <c r="R63" s="6">
        <v>11.96945355513448</v>
      </c>
      <c r="S63" s="6">
        <v>20.674293335565519</v>
      </c>
      <c r="T63" s="6">
        <v>4.1551183814913788</v>
      </c>
      <c r="U63" s="6">
        <v>46.310607893284477</v>
      </c>
      <c r="V63" s="6">
        <v>161.06204797308621</v>
      </c>
      <c r="W63" s="6">
        <v>6.1605621254036151</v>
      </c>
      <c r="X63" s="6">
        <v>0</v>
      </c>
      <c r="Y63" s="6">
        <v>167.22261009848981</v>
      </c>
      <c r="Z63" s="6">
        <v>5.3775322957026512</v>
      </c>
      <c r="AA63" s="6">
        <v>172.60014239419249</v>
      </c>
      <c r="AB63" s="6">
        <v>0</v>
      </c>
      <c r="AC63" s="6">
        <v>160.90788242841549</v>
      </c>
      <c r="AD63" s="6">
        <v>0</v>
      </c>
      <c r="AE63" s="6">
        <v>0</v>
      </c>
      <c r="AF63" s="6">
        <v>333.50802482260798</v>
      </c>
      <c r="AG63" s="6">
        <v>2.8589837703293099</v>
      </c>
      <c r="AH63" s="6">
        <v>0</v>
      </c>
      <c r="AI63" s="6">
        <v>129.81997971126719</v>
      </c>
      <c r="AJ63" s="6">
        <v>305.27910587578901</v>
      </c>
      <c r="AK63" s="6">
        <v>0</v>
      </c>
      <c r="AL63" s="6">
        <v>0</v>
      </c>
      <c r="AM63" s="6">
        <v>0</v>
      </c>
      <c r="AN63" s="6">
        <v>0</v>
      </c>
      <c r="AO63" s="6">
        <v>0</v>
      </c>
      <c r="AP63" s="6">
        <v>305.27910587578901</v>
      </c>
      <c r="AQ63" s="6">
        <v>420.00004680585079</v>
      </c>
      <c r="AR63" s="6">
        <v>824.66387099999997</v>
      </c>
      <c r="AS63" s="6">
        <v>252.77743670736101</v>
      </c>
      <c r="AT63" s="6">
        <v>247.3999044116583</v>
      </c>
    </row>
    <row r="64" spans="1:46" x14ac:dyDescent="0.35">
      <c r="A64" s="5">
        <v>46022</v>
      </c>
      <c r="B64" s="4" t="s">
        <v>96</v>
      </c>
      <c r="C64" s="4" t="s">
        <v>97</v>
      </c>
      <c r="D64" s="4" t="s">
        <v>58</v>
      </c>
      <c r="E64" s="6">
        <v>37296</v>
      </c>
      <c r="F64" s="7">
        <v>0.51</v>
      </c>
      <c r="G64" s="6">
        <v>83</v>
      </c>
      <c r="H64" s="6">
        <v>157.874</v>
      </c>
      <c r="I64" s="6">
        <v>97</v>
      </c>
      <c r="J64" s="6">
        <v>153.13774900000001</v>
      </c>
      <c r="K64" s="8">
        <v>75.983467007263883</v>
      </c>
      <c r="L64" s="6">
        <v>30.788673185917428</v>
      </c>
      <c r="M64" s="6">
        <v>14.55692132680041</v>
      </c>
      <c r="N64" s="6">
        <v>0.53324057769285005</v>
      </c>
      <c r="O64" s="6">
        <v>8.1247692881629678</v>
      </c>
      <c r="P64" s="6">
        <v>54.003604378573662</v>
      </c>
      <c r="Q64" s="6">
        <v>13.055702248958619</v>
      </c>
      <c r="R64" s="6">
        <v>33.781735332576773</v>
      </c>
      <c r="S64" s="6">
        <v>38.5735894271928</v>
      </c>
      <c r="T64" s="6">
        <v>14.73263965528157</v>
      </c>
      <c r="U64" s="6">
        <v>100.1436666640098</v>
      </c>
      <c r="V64" s="6">
        <v>154.14727104258341</v>
      </c>
      <c r="W64" s="6">
        <v>18.112448144475799</v>
      </c>
      <c r="X64" s="6">
        <v>12.900074160020919</v>
      </c>
      <c r="Y64" s="6">
        <v>185.15979334708021</v>
      </c>
      <c r="Z64" s="6">
        <v>5.4847668840490558</v>
      </c>
      <c r="AA64" s="6">
        <v>190.64456023112919</v>
      </c>
      <c r="AB64" s="6">
        <v>0</v>
      </c>
      <c r="AC64" s="6">
        <v>103.4050740501462</v>
      </c>
      <c r="AD64" s="6">
        <v>0</v>
      </c>
      <c r="AE64" s="6">
        <v>0</v>
      </c>
      <c r="AF64" s="6">
        <v>294.04963428127542</v>
      </c>
      <c r="AG64" s="6">
        <v>2.8296660932431719</v>
      </c>
      <c r="AH64" s="6">
        <v>0</v>
      </c>
      <c r="AI64" s="6">
        <v>84.369777977896547</v>
      </c>
      <c r="AJ64" s="6">
        <v>277.8440043022689</v>
      </c>
      <c r="AK64" s="6">
        <v>450.12443171832888</v>
      </c>
      <c r="AL64" s="6">
        <v>0</v>
      </c>
      <c r="AM64" s="6">
        <v>0</v>
      </c>
      <c r="AN64" s="6">
        <v>0</v>
      </c>
      <c r="AO64" s="6">
        <v>0</v>
      </c>
      <c r="AP64" s="6">
        <v>727.96843602059778</v>
      </c>
      <c r="AQ64" s="6">
        <v>419.99986525898112</v>
      </c>
      <c r="AR64" s="6">
        <v>1867.432198</v>
      </c>
      <c r="AS64" s="6">
        <v>234.84007191190091</v>
      </c>
      <c r="AT64" s="6">
        <v>229.3553050278519</v>
      </c>
    </row>
    <row r="65" spans="1:46" x14ac:dyDescent="0.35">
      <c r="A65" s="5">
        <v>46022</v>
      </c>
      <c r="B65" s="4" t="s">
        <v>702</v>
      </c>
      <c r="C65" s="4" t="s">
        <v>703</v>
      </c>
      <c r="D65" s="4" t="s">
        <v>69</v>
      </c>
      <c r="E65" s="6">
        <v>5292</v>
      </c>
      <c r="F65" s="7">
        <v>0.88859999999999995</v>
      </c>
      <c r="G65" s="6">
        <v>90</v>
      </c>
      <c r="H65" s="6">
        <v>42.32</v>
      </c>
      <c r="I65" s="6">
        <v>97</v>
      </c>
      <c r="J65" s="6">
        <v>41.050744999999999</v>
      </c>
      <c r="K65" s="8">
        <v>88.817996083435872</v>
      </c>
      <c r="L65" s="6">
        <v>0.46830887610590533</v>
      </c>
      <c r="M65" s="6">
        <v>12.998758861957279</v>
      </c>
      <c r="N65" s="6">
        <v>0.94358232178360235</v>
      </c>
      <c r="O65" s="6">
        <v>2.6017471397512488</v>
      </c>
      <c r="P65" s="6">
        <v>17.012397199598041</v>
      </c>
      <c r="Q65" s="6">
        <v>6.9489888792372417E-2</v>
      </c>
      <c r="R65" s="6">
        <v>0.3165321563698596</v>
      </c>
      <c r="S65" s="6">
        <v>3.3228994946290431</v>
      </c>
      <c r="T65" s="6">
        <v>4.1717252378613123</v>
      </c>
      <c r="U65" s="6">
        <v>7.8806467776525873</v>
      </c>
      <c r="V65" s="6">
        <v>24.89304397725062</v>
      </c>
      <c r="W65" s="6">
        <v>27.371988797007951</v>
      </c>
      <c r="X65" s="6">
        <v>30.151009632903989</v>
      </c>
      <c r="Y65" s="6">
        <v>82.416042407162564</v>
      </c>
      <c r="Z65" s="6">
        <v>0</v>
      </c>
      <c r="AA65" s="6">
        <v>82.416042407162564</v>
      </c>
      <c r="AB65" s="6">
        <v>0</v>
      </c>
      <c r="AC65" s="6">
        <v>19.342048318144421</v>
      </c>
      <c r="AD65" s="6">
        <v>0</v>
      </c>
      <c r="AE65" s="6">
        <v>0</v>
      </c>
      <c r="AF65" s="6">
        <v>101.758090725307</v>
      </c>
      <c r="AG65" s="6">
        <v>12.894695416386821</v>
      </c>
      <c r="AH65" s="6">
        <v>0</v>
      </c>
      <c r="AI65" s="6">
        <v>19.342048318144421</v>
      </c>
      <c r="AJ65" s="6">
        <v>114.6527861416938</v>
      </c>
      <c r="AK65" s="6">
        <v>0</v>
      </c>
      <c r="AL65" s="6">
        <v>0</v>
      </c>
      <c r="AM65" s="6">
        <v>0</v>
      </c>
      <c r="AN65" s="6">
        <v>0</v>
      </c>
      <c r="AO65" s="6">
        <v>0</v>
      </c>
      <c r="AP65" s="6">
        <v>114.6527861416938</v>
      </c>
      <c r="AQ65" s="6">
        <v>419.9995392420189</v>
      </c>
      <c r="AR65" s="6">
        <v>427.04845399999999</v>
      </c>
      <c r="AS65" s="6">
        <v>337.58349683485642</v>
      </c>
      <c r="AT65" s="6">
        <v>337.58349683485642</v>
      </c>
    </row>
    <row r="66" spans="1:46" x14ac:dyDescent="0.35">
      <c r="A66" s="5">
        <v>46022</v>
      </c>
      <c r="B66" s="4" t="s">
        <v>140</v>
      </c>
      <c r="C66" s="4" t="s">
        <v>141</v>
      </c>
      <c r="D66" s="4" t="s">
        <v>50</v>
      </c>
      <c r="E66" s="6">
        <v>6408</v>
      </c>
      <c r="F66" s="7">
        <v>0.38400000000000001</v>
      </c>
      <c r="G66" s="6">
        <v>89.4</v>
      </c>
      <c r="H66" s="6">
        <v>22</v>
      </c>
      <c r="I66" s="6">
        <v>94.245104999999995</v>
      </c>
      <c r="J66" s="6">
        <v>20.733923000000001</v>
      </c>
      <c r="K66" s="8">
        <v>46.915008346567802</v>
      </c>
      <c r="L66" s="6">
        <v>48.226860664760679</v>
      </c>
      <c r="M66" s="6">
        <v>19.05257645503054</v>
      </c>
      <c r="N66" s="6">
        <v>0.94364121548481383</v>
      </c>
      <c r="O66" s="6">
        <v>27.596489053393519</v>
      </c>
      <c r="P66" s="6">
        <v>95.819567388669554</v>
      </c>
      <c r="Q66" s="6">
        <v>26.8621103515469</v>
      </c>
      <c r="R66" s="6">
        <v>18.25498755711326</v>
      </c>
      <c r="S66" s="6">
        <v>16.669214670276819</v>
      </c>
      <c r="T66" s="6">
        <v>38.127020967696609</v>
      </c>
      <c r="U66" s="6">
        <v>99.913333546633595</v>
      </c>
      <c r="V66" s="6">
        <v>195.73290093530321</v>
      </c>
      <c r="W66" s="6">
        <v>8.9635527739194583</v>
      </c>
      <c r="X66" s="6">
        <v>17.45046192409232</v>
      </c>
      <c r="Y66" s="6">
        <v>222.1469156333149</v>
      </c>
      <c r="Z66" s="6">
        <v>7.5289443901504063</v>
      </c>
      <c r="AA66" s="6">
        <v>229.6758600234653</v>
      </c>
      <c r="AB66" s="6">
        <v>16.55325148464388</v>
      </c>
      <c r="AC66" s="6">
        <v>52.269110282737039</v>
      </c>
      <c r="AD66" s="6">
        <v>0</v>
      </c>
      <c r="AE66" s="6">
        <v>0</v>
      </c>
      <c r="AF66" s="6">
        <v>298.49822179084629</v>
      </c>
      <c r="AG66" s="6">
        <v>1.8547532841830741</v>
      </c>
      <c r="AH66" s="6">
        <v>14.202326770644561</v>
      </c>
      <c r="AI66" s="6">
        <v>9.2371596212764793</v>
      </c>
      <c r="AJ66" s="6">
        <v>271.52335118421331</v>
      </c>
      <c r="AK66" s="6">
        <v>2.0527035995857599</v>
      </c>
      <c r="AL66" s="6">
        <v>0</v>
      </c>
      <c r="AM66" s="6">
        <v>0</v>
      </c>
      <c r="AN66" s="6">
        <v>0</v>
      </c>
      <c r="AO66" s="6">
        <v>0</v>
      </c>
      <c r="AP66" s="6">
        <v>273.57605478379912</v>
      </c>
      <c r="AQ66" s="6">
        <v>419.99953374464411</v>
      </c>
      <c r="AR66" s="6">
        <v>405.18553700000001</v>
      </c>
      <c r="AS66" s="6">
        <v>197.85261811132921</v>
      </c>
      <c r="AT66" s="6">
        <v>190.32367372117881</v>
      </c>
    </row>
    <row r="67" spans="1:46" x14ac:dyDescent="0.35">
      <c r="A67" s="5">
        <v>46022</v>
      </c>
      <c r="B67" s="4" t="s">
        <v>260</v>
      </c>
      <c r="C67" s="4" t="s">
        <v>261</v>
      </c>
      <c r="D67" s="4" t="s">
        <v>262</v>
      </c>
      <c r="E67" s="6">
        <v>215.6</v>
      </c>
      <c r="F67" s="7">
        <v>4.7510000000000003</v>
      </c>
      <c r="G67" s="6">
        <v>85</v>
      </c>
      <c r="H67" s="6">
        <v>8.7070000000000007</v>
      </c>
      <c r="I67" s="6">
        <v>96.5</v>
      </c>
      <c r="J67" s="6">
        <v>8.4019329999999997</v>
      </c>
      <c r="K67" s="8">
        <v>78.035098767105069</v>
      </c>
      <c r="L67" s="6">
        <v>75.261529014133643</v>
      </c>
      <c r="M67" s="6">
        <v>4.0524362444315871</v>
      </c>
      <c r="N67" s="6">
        <v>69.514919238655636</v>
      </c>
      <c r="O67" s="6">
        <v>42.826124882668729</v>
      </c>
      <c r="P67" s="6">
        <v>191.65500937988961</v>
      </c>
      <c r="Q67" s="6">
        <v>3.9798755584496859</v>
      </c>
      <c r="R67" s="6">
        <v>0.37810450913454768</v>
      </c>
      <c r="S67" s="6">
        <v>3.3390731545255319</v>
      </c>
      <c r="T67" s="6">
        <v>5.8503312192050023</v>
      </c>
      <c r="U67" s="6">
        <v>13.547384441314771</v>
      </c>
      <c r="V67" s="6">
        <v>205.2023938212044</v>
      </c>
      <c r="W67" s="6">
        <v>6.5946286233770763</v>
      </c>
      <c r="X67" s="6">
        <v>15.25917141427462</v>
      </c>
      <c r="Y67" s="6">
        <v>227.05619385885609</v>
      </c>
      <c r="Z67" s="6">
        <v>8.8039806866672752</v>
      </c>
      <c r="AA67" s="6">
        <v>235.86017454552331</v>
      </c>
      <c r="AB67" s="6">
        <v>0</v>
      </c>
      <c r="AC67" s="6">
        <v>4.6985457958039136</v>
      </c>
      <c r="AD67" s="6">
        <v>0</v>
      </c>
      <c r="AE67" s="6">
        <v>0</v>
      </c>
      <c r="AF67" s="6">
        <v>240.55872034132719</v>
      </c>
      <c r="AG67" s="6">
        <v>2.5682615332230139</v>
      </c>
      <c r="AH67" s="6">
        <v>0</v>
      </c>
      <c r="AI67" s="6">
        <v>0.26969809766194491</v>
      </c>
      <c r="AJ67" s="6">
        <v>238.6981341764083</v>
      </c>
      <c r="AK67" s="6">
        <v>0</v>
      </c>
      <c r="AL67" s="6">
        <v>0</v>
      </c>
      <c r="AM67" s="6">
        <v>0</v>
      </c>
      <c r="AN67" s="6">
        <v>0</v>
      </c>
      <c r="AO67" s="6">
        <v>0</v>
      </c>
      <c r="AP67" s="6">
        <v>238.6981341764083</v>
      </c>
      <c r="AQ67" s="6">
        <v>419.99835002740241</v>
      </c>
      <c r="AR67" s="6">
        <v>104.489514</v>
      </c>
      <c r="AS67" s="6">
        <v>192.9421561685464</v>
      </c>
      <c r="AT67" s="6">
        <v>184.1381754818791</v>
      </c>
    </row>
    <row r="68" spans="1:46" x14ac:dyDescent="0.35">
      <c r="A68" s="5">
        <v>46022</v>
      </c>
      <c r="B68" s="4" t="s">
        <v>142</v>
      </c>
      <c r="C68" s="4" t="s">
        <v>143</v>
      </c>
      <c r="D68" s="4" t="s">
        <v>50</v>
      </c>
      <c r="E68" s="6">
        <v>6000</v>
      </c>
      <c r="F68" s="7">
        <v>0.47749999999999998</v>
      </c>
      <c r="G68" s="6">
        <v>89</v>
      </c>
      <c r="H68" s="6">
        <v>25.5</v>
      </c>
      <c r="I68" s="6">
        <v>97</v>
      </c>
      <c r="J68" s="6">
        <v>24.734999999999999</v>
      </c>
      <c r="K68" s="8">
        <v>42.461106450654505</v>
      </c>
      <c r="L68" s="6">
        <v>27.036826805806381</v>
      </c>
      <c r="M68" s="6">
        <v>35.170933628228752</v>
      </c>
      <c r="N68" s="6">
        <v>26.802697675605231</v>
      </c>
      <c r="O68" s="6">
        <v>58.456130081469531</v>
      </c>
      <c r="P68" s="6">
        <v>147.46658819110991</v>
      </c>
      <c r="Q68" s="6">
        <v>4.3910494625119094</v>
      </c>
      <c r="R68" s="6">
        <v>10.24397871398198</v>
      </c>
      <c r="S68" s="6">
        <v>51.678635107675433</v>
      </c>
      <c r="T68" s="6">
        <v>15.385877503234459</v>
      </c>
      <c r="U68" s="6">
        <v>81.699540787403791</v>
      </c>
      <c r="V68" s="6">
        <v>229.16612897851371</v>
      </c>
      <c r="W68" s="6">
        <v>10.38631852052001</v>
      </c>
      <c r="X68" s="6">
        <v>13.55042809389948</v>
      </c>
      <c r="Y68" s="6">
        <v>253.1028755929332</v>
      </c>
      <c r="Z68" s="6">
        <v>4.3363364358075982</v>
      </c>
      <c r="AA68" s="6">
        <v>257.43921202874083</v>
      </c>
      <c r="AB68" s="6">
        <v>4.0459619805073324</v>
      </c>
      <c r="AC68" s="6">
        <v>78.373826988192306</v>
      </c>
      <c r="AD68" s="6">
        <v>0</v>
      </c>
      <c r="AE68" s="6">
        <v>0</v>
      </c>
      <c r="AF68" s="6">
        <v>339.85900099744038</v>
      </c>
      <c r="AG68" s="6">
        <v>20.151620471977409</v>
      </c>
      <c r="AH68" s="6">
        <v>0</v>
      </c>
      <c r="AI68" s="6">
        <v>32.193045062354749</v>
      </c>
      <c r="AJ68" s="6">
        <v>313.82983954358031</v>
      </c>
      <c r="AK68" s="6">
        <v>7.3970677225420556E-2</v>
      </c>
      <c r="AL68" s="6">
        <v>0</v>
      </c>
      <c r="AM68" s="6">
        <v>0</v>
      </c>
      <c r="AN68" s="6">
        <v>0</v>
      </c>
      <c r="AO68" s="6">
        <v>0</v>
      </c>
      <c r="AP68" s="6">
        <v>313.90381022080572</v>
      </c>
      <c r="AQ68" s="6">
        <v>419.99999964779192</v>
      </c>
      <c r="AR68" s="6">
        <v>560.18791599999997</v>
      </c>
      <c r="AS68" s="6">
        <v>166.89712405485881</v>
      </c>
      <c r="AT68" s="6">
        <v>162.56078761905121</v>
      </c>
    </row>
    <row r="69" spans="1:46" x14ac:dyDescent="0.35">
      <c r="A69" s="5">
        <v>46022</v>
      </c>
      <c r="B69" s="4" t="s">
        <v>98</v>
      </c>
      <c r="C69" s="4" t="s">
        <v>99</v>
      </c>
      <c r="D69" s="4" t="s">
        <v>50</v>
      </c>
      <c r="E69" s="6">
        <v>163692.14859999999</v>
      </c>
      <c r="F69" s="7">
        <v>0.34</v>
      </c>
      <c r="G69" s="6">
        <v>89.18</v>
      </c>
      <c r="H69" s="6">
        <v>496.32100000000003</v>
      </c>
      <c r="I69" s="6">
        <v>95.416667000000004</v>
      </c>
      <c r="J69" s="6">
        <v>473.57279199999999</v>
      </c>
      <c r="K69" s="8">
        <v>88.896731232572876</v>
      </c>
      <c r="L69" s="6">
        <v>3.7285151070687359</v>
      </c>
      <c r="M69" s="6">
        <v>19.31967138114274</v>
      </c>
      <c r="N69" s="6">
        <v>0.90107547202366156</v>
      </c>
      <c r="O69" s="6">
        <v>24.153533609391811</v>
      </c>
      <c r="P69" s="6">
        <v>48.102795569626949</v>
      </c>
      <c r="Q69" s="6">
        <v>2.316760512153397</v>
      </c>
      <c r="R69" s="6">
        <v>44.361638924226803</v>
      </c>
      <c r="S69" s="6">
        <v>85.921623049034906</v>
      </c>
      <c r="T69" s="6">
        <v>41.292504783994382</v>
      </c>
      <c r="U69" s="6">
        <v>173.8925272694095</v>
      </c>
      <c r="V69" s="6">
        <v>221.99532283903639</v>
      </c>
      <c r="W69" s="6">
        <v>17.93473922132674</v>
      </c>
      <c r="X69" s="6">
        <v>14.11050153598323</v>
      </c>
      <c r="Y69" s="6">
        <v>254.0405635963464</v>
      </c>
      <c r="Z69" s="6">
        <v>16.714459888780208</v>
      </c>
      <c r="AA69" s="6">
        <v>270.75502348512663</v>
      </c>
      <c r="AB69" s="6">
        <v>0</v>
      </c>
      <c r="AC69" s="6">
        <v>31.612096975917879</v>
      </c>
      <c r="AD69" s="6">
        <v>0</v>
      </c>
      <c r="AE69" s="6">
        <v>0</v>
      </c>
      <c r="AF69" s="6">
        <v>302.36712046104452</v>
      </c>
      <c r="AG69" s="6">
        <v>10.29472803243714</v>
      </c>
      <c r="AH69" s="6">
        <v>0</v>
      </c>
      <c r="AI69" s="6">
        <v>15.73580223306336</v>
      </c>
      <c r="AJ69" s="6">
        <v>296.78555375062712</v>
      </c>
      <c r="AK69" s="6">
        <v>0</v>
      </c>
      <c r="AL69" s="6">
        <v>0</v>
      </c>
      <c r="AM69" s="6">
        <v>0</v>
      </c>
      <c r="AN69" s="6">
        <v>0</v>
      </c>
      <c r="AO69" s="6">
        <v>0</v>
      </c>
      <c r="AP69" s="6">
        <v>296.78555375062712</v>
      </c>
      <c r="AQ69" s="6">
        <v>420.00000674279408</v>
      </c>
      <c r="AR69" s="6">
        <v>4915.9983670000001</v>
      </c>
      <c r="AS69" s="6">
        <v>165.95944314644771</v>
      </c>
      <c r="AT69" s="6">
        <v>149.24498325766751</v>
      </c>
    </row>
    <row r="70" spans="1:46" x14ac:dyDescent="0.35">
      <c r="A70" s="5">
        <v>46022</v>
      </c>
      <c r="B70" s="4" t="s">
        <v>118</v>
      </c>
      <c r="C70" s="4" t="s">
        <v>119</v>
      </c>
      <c r="D70" s="4" t="s">
        <v>50</v>
      </c>
      <c r="E70" s="6">
        <v>23756.466002000001</v>
      </c>
      <c r="F70" s="7">
        <v>0.4</v>
      </c>
      <c r="G70" s="6">
        <v>42.92</v>
      </c>
      <c r="H70" s="6">
        <v>40.786999999999999</v>
      </c>
      <c r="I70" s="6">
        <v>100</v>
      </c>
      <c r="J70" s="6">
        <v>40.786892999999999</v>
      </c>
      <c r="K70" s="8">
        <v>99.999999985000983</v>
      </c>
      <c r="L70" s="6">
        <v>6.6460198339512226</v>
      </c>
      <c r="M70" s="6">
        <v>20.801744066688929</v>
      </c>
      <c r="N70" s="6">
        <v>0.96830635299554091</v>
      </c>
      <c r="O70" s="6">
        <v>51.26441200210138</v>
      </c>
      <c r="P70" s="6">
        <v>79.680482255737076</v>
      </c>
      <c r="Q70" s="6">
        <v>4.0724031041388127</v>
      </c>
      <c r="R70" s="6">
        <v>31.66032321341288</v>
      </c>
      <c r="S70" s="6">
        <v>69.142954616519106</v>
      </c>
      <c r="T70" s="6">
        <v>31.919737692692109</v>
      </c>
      <c r="U70" s="6">
        <v>136.79541862676291</v>
      </c>
      <c r="V70" s="6">
        <v>216.47590088250001</v>
      </c>
      <c r="W70" s="6">
        <v>16.695350783473241</v>
      </c>
      <c r="X70" s="6">
        <v>0</v>
      </c>
      <c r="Y70" s="6">
        <v>233.17125166597319</v>
      </c>
      <c r="Z70" s="6">
        <v>18.099101714370441</v>
      </c>
      <c r="AA70" s="6">
        <v>251.27035338034369</v>
      </c>
      <c r="AB70" s="6">
        <v>0</v>
      </c>
      <c r="AC70" s="6">
        <v>29.202609459524488</v>
      </c>
      <c r="AD70" s="6">
        <v>0</v>
      </c>
      <c r="AE70" s="6">
        <v>0</v>
      </c>
      <c r="AF70" s="6">
        <v>280.47296283986822</v>
      </c>
      <c r="AG70" s="6">
        <v>9.2486189126555072</v>
      </c>
      <c r="AH70" s="6">
        <v>0</v>
      </c>
      <c r="AI70" s="6">
        <v>17.701213967414759</v>
      </c>
      <c r="AJ70" s="6">
        <v>278.22018626041393</v>
      </c>
      <c r="AK70" s="6">
        <v>0</v>
      </c>
      <c r="AL70" s="6">
        <v>0</v>
      </c>
      <c r="AM70" s="6">
        <v>0</v>
      </c>
      <c r="AN70" s="6">
        <v>0</v>
      </c>
      <c r="AO70" s="6">
        <v>0</v>
      </c>
      <c r="AP70" s="6">
        <v>278.22018626041393</v>
      </c>
      <c r="AQ70" s="6">
        <v>420.00007172977178</v>
      </c>
      <c r="AR70" s="6">
        <v>377.66283399999998</v>
      </c>
      <c r="AS70" s="6">
        <v>186.8288200637985</v>
      </c>
      <c r="AT70" s="6">
        <v>168.72971834942811</v>
      </c>
    </row>
    <row r="71" spans="1:46" x14ac:dyDescent="0.35">
      <c r="A71" s="5">
        <v>46022</v>
      </c>
      <c r="B71" s="4" t="s">
        <v>120</v>
      </c>
      <c r="C71" s="4" t="s">
        <v>121</v>
      </c>
      <c r="D71" s="4" t="s">
        <v>122</v>
      </c>
      <c r="E71" s="6">
        <v>5600</v>
      </c>
      <c r="F71" s="7">
        <v>1.6</v>
      </c>
      <c r="G71" s="6">
        <v>85</v>
      </c>
      <c r="H71" s="6">
        <v>76.16</v>
      </c>
      <c r="I71" s="6">
        <v>97</v>
      </c>
      <c r="J71" s="6">
        <v>73.875200000000007</v>
      </c>
      <c r="K71" s="8">
        <v>84.3708432840467</v>
      </c>
      <c r="L71" s="6">
        <v>50.417344531568467</v>
      </c>
      <c r="M71" s="6">
        <v>3.2635593670608078</v>
      </c>
      <c r="N71" s="6">
        <v>4.1324025829423432</v>
      </c>
      <c r="O71" s="6">
        <v>39.812449014192822</v>
      </c>
      <c r="P71" s="6">
        <v>97.625755495764437</v>
      </c>
      <c r="Q71" s="6">
        <v>6.0693469901377668</v>
      </c>
      <c r="R71" s="6">
        <v>3.3679198831514738</v>
      </c>
      <c r="S71" s="6">
        <v>8.2604159553202461</v>
      </c>
      <c r="T71" s="6">
        <v>13.521524486947079</v>
      </c>
      <c r="U71" s="6">
        <v>31.21920731555657</v>
      </c>
      <c r="V71" s="6">
        <v>128.84496281132101</v>
      </c>
      <c r="W71" s="6">
        <v>2.8579131716299999</v>
      </c>
      <c r="X71" s="6">
        <v>24.564689999999999</v>
      </c>
      <c r="Y71" s="6">
        <v>156.267565982951</v>
      </c>
      <c r="Z71" s="6">
        <v>32.397632814036562</v>
      </c>
      <c r="AA71" s="6">
        <v>188.6651987969876</v>
      </c>
      <c r="AB71" s="6">
        <v>0</v>
      </c>
      <c r="AC71" s="6">
        <v>52.691611229584773</v>
      </c>
      <c r="AD71" s="6">
        <v>0</v>
      </c>
      <c r="AE71" s="6">
        <v>0</v>
      </c>
      <c r="AF71" s="6">
        <v>241.3568100265723</v>
      </c>
      <c r="AG71" s="6">
        <v>5.7415196670481539</v>
      </c>
      <c r="AH71" s="6">
        <v>0</v>
      </c>
      <c r="AI71" s="6">
        <v>12.628704519370171</v>
      </c>
      <c r="AJ71" s="6">
        <v>207.03542298340591</v>
      </c>
      <c r="AK71" s="6">
        <v>0</v>
      </c>
      <c r="AL71" s="6">
        <v>0</v>
      </c>
      <c r="AM71" s="6">
        <v>0</v>
      </c>
      <c r="AN71" s="6">
        <v>0</v>
      </c>
      <c r="AO71" s="6">
        <v>0</v>
      </c>
      <c r="AP71" s="6">
        <v>207.03542298340591</v>
      </c>
      <c r="AQ71" s="6">
        <v>419.99999964779192</v>
      </c>
      <c r="AR71" s="6">
        <v>833.86044100000004</v>
      </c>
      <c r="AS71" s="6">
        <v>263.73243366484093</v>
      </c>
      <c r="AT71" s="6">
        <v>231.3348008508043</v>
      </c>
    </row>
    <row r="72" spans="1:46" x14ac:dyDescent="0.35">
      <c r="A72" s="5">
        <v>46022</v>
      </c>
      <c r="B72" s="4" t="s">
        <v>704</v>
      </c>
      <c r="C72" s="4" t="s">
        <v>705</v>
      </c>
      <c r="D72" s="4" t="s">
        <v>61</v>
      </c>
      <c r="E72" s="6">
        <v>85.78</v>
      </c>
      <c r="F72" s="7">
        <v>0.75</v>
      </c>
      <c r="G72" s="6">
        <v>82.38</v>
      </c>
      <c r="H72" s="6">
        <v>0.53</v>
      </c>
      <c r="I72" s="6">
        <v>97</v>
      </c>
      <c r="J72" s="6">
        <v>0.5141</v>
      </c>
      <c r="K72" s="8">
        <v>74.916761525976511</v>
      </c>
      <c r="L72" s="6">
        <v>55.191324041660579</v>
      </c>
      <c r="M72" s="6">
        <v>2.2268420611605602</v>
      </c>
      <c r="N72" s="6">
        <v>16.261235456876008</v>
      </c>
      <c r="O72" s="6">
        <v>19.702092880321661</v>
      </c>
      <c r="P72" s="6">
        <v>93.381494440018812</v>
      </c>
      <c r="Q72" s="6">
        <v>14.2495245928264</v>
      </c>
      <c r="R72" s="6">
        <v>6.4428907503965176</v>
      </c>
      <c r="S72" s="6">
        <v>15.721615743622969</v>
      </c>
      <c r="T72" s="6">
        <v>9.1444310075753776</v>
      </c>
      <c r="U72" s="6">
        <v>45.558462094421273</v>
      </c>
      <c r="V72" s="6">
        <v>138.93995653444011</v>
      </c>
      <c r="W72" s="6">
        <v>6.1403231165855541</v>
      </c>
      <c r="X72" s="6">
        <v>22.118819459976219</v>
      </c>
      <c r="Y72" s="6">
        <v>167.19909911100191</v>
      </c>
      <c r="Z72" s="6">
        <v>47.058793436503493</v>
      </c>
      <c r="AA72" s="6">
        <v>214.25789254750541</v>
      </c>
      <c r="AB72" s="6">
        <v>0</v>
      </c>
      <c r="AC72" s="6">
        <v>15.596626230441959</v>
      </c>
      <c r="AD72" s="6">
        <v>0</v>
      </c>
      <c r="AE72" s="6">
        <v>0</v>
      </c>
      <c r="AF72" s="6">
        <v>229.85451877794731</v>
      </c>
      <c r="AG72" s="6">
        <v>3.22369636579583</v>
      </c>
      <c r="AH72" s="6">
        <v>0</v>
      </c>
      <c r="AI72" s="6">
        <v>15.596626230441959</v>
      </c>
      <c r="AJ72" s="6">
        <v>233.07821514374311</v>
      </c>
      <c r="AK72" s="6">
        <v>0</v>
      </c>
      <c r="AL72" s="6">
        <v>0</v>
      </c>
      <c r="AM72" s="6">
        <v>0</v>
      </c>
      <c r="AN72" s="6">
        <v>0</v>
      </c>
      <c r="AO72" s="6">
        <v>0</v>
      </c>
      <c r="AP72" s="6">
        <v>233.07821514374311</v>
      </c>
      <c r="AQ72" s="6">
        <v>419.99999964779192</v>
      </c>
      <c r="AR72" s="6">
        <v>6.3276529999999998</v>
      </c>
      <c r="AS72" s="6">
        <v>252.8009005367901</v>
      </c>
      <c r="AT72" s="6">
        <v>205.7421071002866</v>
      </c>
    </row>
    <row r="73" spans="1:46" x14ac:dyDescent="0.35">
      <c r="A73" s="5">
        <v>46022</v>
      </c>
      <c r="B73" s="4" t="s">
        <v>144</v>
      </c>
      <c r="C73" s="4" t="s">
        <v>145</v>
      </c>
      <c r="D73" s="4" t="s">
        <v>55</v>
      </c>
      <c r="E73" s="6">
        <v>23554.666667000001</v>
      </c>
      <c r="F73" s="7">
        <v>0.25</v>
      </c>
      <c r="G73" s="6">
        <v>75</v>
      </c>
      <c r="H73" s="6">
        <v>44.164999999999999</v>
      </c>
      <c r="I73" s="6">
        <v>96</v>
      </c>
      <c r="J73" s="6">
        <v>42.398400000000002</v>
      </c>
      <c r="K73" s="8">
        <v>72.9561894779781</v>
      </c>
      <c r="L73" s="6">
        <v>28.902012658458851</v>
      </c>
      <c r="M73" s="6">
        <v>12.262617034469789</v>
      </c>
      <c r="N73" s="6">
        <v>0.85683502099465703</v>
      </c>
      <c r="O73" s="6">
        <v>15.539460369492019</v>
      </c>
      <c r="P73" s="6">
        <v>57.56092508341532</v>
      </c>
      <c r="Q73" s="6">
        <v>16.960226159786551</v>
      </c>
      <c r="R73" s="6">
        <v>25.647690520293661</v>
      </c>
      <c r="S73" s="6">
        <v>31.543592780258539</v>
      </c>
      <c r="T73" s="6">
        <v>17.741059035632691</v>
      </c>
      <c r="U73" s="6">
        <v>91.892568495971432</v>
      </c>
      <c r="V73" s="6">
        <v>149.45349357938679</v>
      </c>
      <c r="W73" s="6">
        <v>13.3914674661559</v>
      </c>
      <c r="X73" s="6">
        <v>19.255908084741439</v>
      </c>
      <c r="Y73" s="6">
        <v>182.10086913028411</v>
      </c>
      <c r="Z73" s="6">
        <v>6.6856684167197864</v>
      </c>
      <c r="AA73" s="6">
        <v>188.78653754700389</v>
      </c>
      <c r="AB73" s="6">
        <v>0</v>
      </c>
      <c r="AC73" s="6">
        <v>75.908217969138093</v>
      </c>
      <c r="AD73" s="6">
        <v>0</v>
      </c>
      <c r="AE73" s="6">
        <v>0</v>
      </c>
      <c r="AF73" s="6">
        <v>264.69475551614198</v>
      </c>
      <c r="AG73" s="6">
        <v>5.0650999040719</v>
      </c>
      <c r="AH73" s="6">
        <v>0</v>
      </c>
      <c r="AI73" s="6">
        <v>66.343346163731823</v>
      </c>
      <c r="AJ73" s="6">
        <v>260.1949836148076</v>
      </c>
      <c r="AK73" s="6">
        <v>0</v>
      </c>
      <c r="AL73" s="6">
        <v>0</v>
      </c>
      <c r="AM73" s="6">
        <v>0</v>
      </c>
      <c r="AN73" s="6">
        <v>0</v>
      </c>
      <c r="AO73" s="6">
        <v>0</v>
      </c>
      <c r="AP73" s="6">
        <v>260.1949836148076</v>
      </c>
      <c r="AQ73" s="6">
        <v>419.99999964779192</v>
      </c>
      <c r="AR73" s="6">
        <v>535.90479000000005</v>
      </c>
      <c r="AS73" s="6">
        <v>237.89913051750781</v>
      </c>
      <c r="AT73" s="6">
        <v>231.21346210078801</v>
      </c>
    </row>
    <row r="74" spans="1:46" x14ac:dyDescent="0.35">
      <c r="A74" s="5">
        <v>46022</v>
      </c>
      <c r="B74" s="4" t="s">
        <v>706</v>
      </c>
      <c r="C74" s="4" t="s">
        <v>707</v>
      </c>
      <c r="D74" s="4" t="s">
        <v>111</v>
      </c>
      <c r="E74" s="6">
        <v>1179.4308799999999</v>
      </c>
      <c r="F74" s="7">
        <v>0.24</v>
      </c>
      <c r="G74" s="6">
        <v>55</v>
      </c>
      <c r="H74" s="6">
        <v>1.5569999999999999</v>
      </c>
      <c r="I74" s="6">
        <v>97</v>
      </c>
      <c r="J74" s="6">
        <v>1.510143</v>
      </c>
      <c r="K74" s="8">
        <v>13.320330552720545</v>
      </c>
      <c r="L74" s="6">
        <v>119.3426008068048</v>
      </c>
      <c r="M74" s="6">
        <v>10.733999778038649</v>
      </c>
      <c r="N74" s="6">
        <v>6.3707724531000807</v>
      </c>
      <c r="O74" s="6">
        <v>41.345509696708717</v>
      </c>
      <c r="P74" s="6">
        <v>177.7928827346523</v>
      </c>
      <c r="Q74" s="6">
        <v>55.394111670581438</v>
      </c>
      <c r="R74" s="6">
        <v>26.215949108666528</v>
      </c>
      <c r="S74" s="6">
        <v>20.417048039328758</v>
      </c>
      <c r="T74" s="6">
        <v>28.234206001436551</v>
      </c>
      <c r="U74" s="6">
        <v>130.2613148200133</v>
      </c>
      <c r="V74" s="6">
        <v>308.05419755466562</v>
      </c>
      <c r="W74" s="6">
        <v>4.8950874248820027</v>
      </c>
      <c r="X74" s="6">
        <v>13.636900312403469</v>
      </c>
      <c r="Y74" s="6">
        <v>326.58618529195098</v>
      </c>
      <c r="Z74" s="6">
        <v>7.8519488944985998</v>
      </c>
      <c r="AA74" s="6">
        <v>334.43813418644959</v>
      </c>
      <c r="AB74" s="6">
        <v>0</v>
      </c>
      <c r="AC74" s="6">
        <v>20.117080879578271</v>
      </c>
      <c r="AD74" s="6">
        <v>0</v>
      </c>
      <c r="AE74" s="6">
        <v>0</v>
      </c>
      <c r="AF74" s="6">
        <v>354.55521506602793</v>
      </c>
      <c r="AG74" s="6">
        <v>7.0933588367879947</v>
      </c>
      <c r="AH74" s="6">
        <v>0</v>
      </c>
      <c r="AI74" s="6">
        <v>19.778192735470519</v>
      </c>
      <c r="AJ74" s="6">
        <v>361.3096857587081</v>
      </c>
      <c r="AK74" s="6">
        <v>0</v>
      </c>
      <c r="AL74" s="6">
        <v>0</v>
      </c>
      <c r="AM74" s="6">
        <v>0</v>
      </c>
      <c r="AN74" s="6">
        <v>0</v>
      </c>
      <c r="AO74" s="6">
        <v>0</v>
      </c>
      <c r="AP74" s="6">
        <v>361.3096857587081</v>
      </c>
      <c r="AQ74" s="6">
        <v>419.98804051545488</v>
      </c>
      <c r="AR74" s="6">
        <v>112.97899200000001</v>
      </c>
      <c r="AS74" s="6">
        <v>93.401855223503858</v>
      </c>
      <c r="AT74" s="6">
        <v>85.549906329005253</v>
      </c>
    </row>
    <row r="75" spans="1:46" x14ac:dyDescent="0.35">
      <c r="A75" s="5">
        <v>46022</v>
      </c>
      <c r="B75" s="4" t="s">
        <v>146</v>
      </c>
      <c r="C75" s="4" t="s">
        <v>147</v>
      </c>
      <c r="D75" s="4" t="s">
        <v>148</v>
      </c>
      <c r="E75" s="6">
        <v>2145</v>
      </c>
      <c r="F75" s="7">
        <v>1.554</v>
      </c>
      <c r="G75" s="6">
        <v>81</v>
      </c>
      <c r="H75" s="6">
        <v>27</v>
      </c>
      <c r="I75" s="6">
        <v>94</v>
      </c>
      <c r="J75" s="6">
        <v>25.38</v>
      </c>
      <c r="K75" s="8">
        <v>41.813251990700067</v>
      </c>
      <c r="L75" s="6">
        <v>31.716855021602939</v>
      </c>
      <c r="M75" s="6">
        <v>0.84074636377389522</v>
      </c>
      <c r="N75" s="6">
        <v>2.0478735163323312</v>
      </c>
      <c r="O75" s="6">
        <v>7.8755736068211428</v>
      </c>
      <c r="P75" s="6">
        <v>42.481048508530307</v>
      </c>
      <c r="Q75" s="6">
        <v>9.3601828849771156</v>
      </c>
      <c r="R75" s="6">
        <v>3.3100213435011878</v>
      </c>
      <c r="S75" s="6">
        <v>7.1631853074544933</v>
      </c>
      <c r="T75" s="6">
        <v>7.5486938955143774</v>
      </c>
      <c r="U75" s="6">
        <v>27.382083431447171</v>
      </c>
      <c r="V75" s="6">
        <v>69.863131939977478</v>
      </c>
      <c r="W75" s="6">
        <v>7.8093388004127977</v>
      </c>
      <c r="X75" s="6">
        <v>78.483021845512226</v>
      </c>
      <c r="Y75" s="6">
        <v>156.15549258590249</v>
      </c>
      <c r="Z75" s="6">
        <v>12.3689402556462</v>
      </c>
      <c r="AA75" s="6">
        <v>168.5244328415487</v>
      </c>
      <c r="AB75" s="6">
        <v>1.8353823084938501</v>
      </c>
      <c r="AC75" s="6">
        <v>24.336852190191291</v>
      </c>
      <c r="AD75" s="6">
        <v>0</v>
      </c>
      <c r="AE75" s="6">
        <v>0</v>
      </c>
      <c r="AF75" s="6">
        <v>194.6966673402338</v>
      </c>
      <c r="AG75" s="6">
        <v>7.5379975237248553</v>
      </c>
      <c r="AH75" s="6">
        <v>0</v>
      </c>
      <c r="AI75" s="6">
        <v>10.08838892701108</v>
      </c>
      <c r="AJ75" s="6">
        <v>187.98620160077849</v>
      </c>
      <c r="AK75" s="6">
        <v>3.3627963090036932</v>
      </c>
      <c r="AL75" s="6">
        <v>0</v>
      </c>
      <c r="AM75" s="6">
        <v>0</v>
      </c>
      <c r="AN75" s="6">
        <v>0</v>
      </c>
      <c r="AO75" s="6">
        <v>0</v>
      </c>
      <c r="AP75" s="6">
        <v>191.34899790978221</v>
      </c>
      <c r="AQ75" s="6">
        <v>419.99999964779198</v>
      </c>
      <c r="AR75" s="6">
        <v>558.07437500000003</v>
      </c>
      <c r="AS75" s="6">
        <v>263.84450706188937</v>
      </c>
      <c r="AT75" s="6">
        <v>251.47556680624319</v>
      </c>
    </row>
    <row r="76" spans="1:46" x14ac:dyDescent="0.35">
      <c r="A76" s="5">
        <v>46022</v>
      </c>
      <c r="B76" s="4" t="s">
        <v>263</v>
      </c>
      <c r="C76" s="4" t="s">
        <v>264</v>
      </c>
      <c r="D76" s="4" t="s">
        <v>61</v>
      </c>
      <c r="E76" s="6">
        <v>2274.89</v>
      </c>
      <c r="F76" s="7">
        <v>0.58109999999999995</v>
      </c>
      <c r="G76" s="6">
        <v>87</v>
      </c>
      <c r="H76" s="6">
        <v>11.5</v>
      </c>
      <c r="I76" s="6">
        <v>97</v>
      </c>
      <c r="J76" s="6">
        <v>11.154999999999999</v>
      </c>
      <c r="K76" s="8">
        <v>77.746941839402353</v>
      </c>
      <c r="L76" s="6">
        <v>14.5836877566535</v>
      </c>
      <c r="M76" s="6">
        <v>8.2989708611778923</v>
      </c>
      <c r="N76" s="6">
        <v>0.82685278118631833</v>
      </c>
      <c r="O76" s="6">
        <v>21.85512479528488</v>
      </c>
      <c r="P76" s="6">
        <v>45.564636194302587</v>
      </c>
      <c r="Q76" s="6">
        <v>8.0312403162124415</v>
      </c>
      <c r="R76" s="6">
        <v>9.6622052875307158</v>
      </c>
      <c r="S76" s="6">
        <v>20.018077712435051</v>
      </c>
      <c r="T76" s="6">
        <v>31.554339280021711</v>
      </c>
      <c r="U76" s="6">
        <v>69.265862596199923</v>
      </c>
      <c r="V76" s="6">
        <v>114.8304987905025</v>
      </c>
      <c r="W76" s="6">
        <v>5.41769884180838</v>
      </c>
      <c r="X76" s="6">
        <v>21.88486986422577</v>
      </c>
      <c r="Y76" s="6">
        <v>142.13306749653671</v>
      </c>
      <c r="Z76" s="6">
        <v>34.277374561033888</v>
      </c>
      <c r="AA76" s="6">
        <v>176.41044205757049</v>
      </c>
      <c r="AB76" s="6">
        <v>0</v>
      </c>
      <c r="AC76" s="6">
        <v>10.05250632374838</v>
      </c>
      <c r="AD76" s="6">
        <v>0</v>
      </c>
      <c r="AE76" s="6">
        <v>0</v>
      </c>
      <c r="AF76" s="6">
        <v>186.46294838131891</v>
      </c>
      <c r="AG76" s="6">
        <v>5.9304757338773451</v>
      </c>
      <c r="AH76" s="6">
        <v>0</v>
      </c>
      <c r="AI76" s="6">
        <v>16.467927679003228</v>
      </c>
      <c r="AJ76" s="6">
        <v>198.8088454704511</v>
      </c>
      <c r="AK76" s="6">
        <v>0</v>
      </c>
      <c r="AL76" s="6">
        <v>0</v>
      </c>
      <c r="AM76" s="6">
        <v>0</v>
      </c>
      <c r="AN76" s="6">
        <v>0</v>
      </c>
      <c r="AO76" s="6">
        <v>0</v>
      </c>
      <c r="AP76" s="6">
        <v>198.8088454704511</v>
      </c>
      <c r="AQ76" s="6">
        <v>419.99999964779198</v>
      </c>
      <c r="AR76" s="6">
        <v>132.80541700000001</v>
      </c>
      <c r="AS76" s="6">
        <v>277.8669321512553</v>
      </c>
      <c r="AT76" s="6">
        <v>243.5895575902214</v>
      </c>
    </row>
    <row r="77" spans="1:46" x14ac:dyDescent="0.35">
      <c r="A77" s="5">
        <v>46022</v>
      </c>
      <c r="B77" s="4" t="s">
        <v>123</v>
      </c>
      <c r="C77" s="4" t="s">
        <v>124</v>
      </c>
      <c r="D77" s="4" t="s">
        <v>122</v>
      </c>
      <c r="E77" s="6">
        <v>117.02786399999999</v>
      </c>
      <c r="F77" s="7">
        <v>1.9</v>
      </c>
      <c r="G77" s="6">
        <v>85</v>
      </c>
      <c r="H77" s="6">
        <v>1.89</v>
      </c>
      <c r="I77" s="6">
        <v>97</v>
      </c>
      <c r="J77" s="6">
        <v>1.8332999999999999</v>
      </c>
      <c r="K77" s="8">
        <v>100</v>
      </c>
      <c r="L77" s="6">
        <v>34.490384415646439</v>
      </c>
      <c r="M77" s="6">
        <v>8.5312543763614634</v>
      </c>
      <c r="N77" s="6">
        <v>5.6677344689876348</v>
      </c>
      <c r="O77" s="6">
        <v>55.945038620537197</v>
      </c>
      <c r="P77" s="6">
        <v>104.6344118815327</v>
      </c>
      <c r="Q77" s="6">
        <v>8.0065083307241771</v>
      </c>
      <c r="R77" s="6">
        <v>3.663525336600435</v>
      </c>
      <c r="S77" s="6">
        <v>8.7147007920421533</v>
      </c>
      <c r="T77" s="6">
        <v>13.39196186239395</v>
      </c>
      <c r="U77" s="6">
        <v>33.77669632176071</v>
      </c>
      <c r="V77" s="6">
        <v>138.41110820329351</v>
      </c>
      <c r="W77" s="6">
        <v>2.7770275147037502</v>
      </c>
      <c r="X77" s="6">
        <v>22.02863</v>
      </c>
      <c r="Y77" s="6">
        <v>163.21676571799719</v>
      </c>
      <c r="Z77" s="6">
        <v>25.199974394705912</v>
      </c>
      <c r="AA77" s="6">
        <v>188.41674011270311</v>
      </c>
      <c r="AB77" s="6">
        <v>9.8967395493091352</v>
      </c>
      <c r="AC77" s="6">
        <v>34.703680397260143</v>
      </c>
      <c r="AD77" s="6">
        <v>0</v>
      </c>
      <c r="AE77" s="6">
        <v>0</v>
      </c>
      <c r="AF77" s="6">
        <v>233.01716005927241</v>
      </c>
      <c r="AG77" s="6">
        <v>12.370926608250979</v>
      </c>
      <c r="AH77" s="6">
        <v>2.474184163455766</v>
      </c>
      <c r="AI77" s="6">
        <v>24.741853216501951</v>
      </c>
      <c r="AJ77" s="6">
        <v>237.90044365022089</v>
      </c>
      <c r="AK77" s="6">
        <v>0</v>
      </c>
      <c r="AL77" s="6">
        <v>0</v>
      </c>
      <c r="AM77" s="6">
        <v>0</v>
      </c>
      <c r="AN77" s="6">
        <v>0</v>
      </c>
      <c r="AO77" s="6">
        <v>0</v>
      </c>
      <c r="AP77" s="6">
        <v>237.90044365022089</v>
      </c>
      <c r="AQ77" s="6">
        <v>419.99999964779198</v>
      </c>
      <c r="AR77" s="6">
        <v>16.975285</v>
      </c>
      <c r="AS77" s="6">
        <v>256.78323392979479</v>
      </c>
      <c r="AT77" s="6">
        <v>231.58325953508881</v>
      </c>
    </row>
    <row r="78" spans="1:46" x14ac:dyDescent="0.35">
      <c r="A78" s="5">
        <v>46022</v>
      </c>
      <c r="B78" s="4" t="s">
        <v>125</v>
      </c>
      <c r="C78" s="4" t="s">
        <v>126</v>
      </c>
      <c r="D78" s="4" t="s">
        <v>79</v>
      </c>
      <c r="E78" s="6">
        <v>12349.463502000001</v>
      </c>
      <c r="F78" s="7">
        <v>0.42870000000000003</v>
      </c>
      <c r="G78" s="6">
        <v>80</v>
      </c>
      <c r="H78" s="6">
        <v>42.353000000000002</v>
      </c>
      <c r="I78" s="6">
        <v>95.769231000000005</v>
      </c>
      <c r="J78" s="6">
        <v>40.560994000000001</v>
      </c>
      <c r="K78" s="8">
        <v>92.994430012084223</v>
      </c>
      <c r="L78" s="6">
        <v>50.287770806825193</v>
      </c>
      <c r="M78" s="6">
        <v>26.577785722748381</v>
      </c>
      <c r="N78" s="6">
        <v>2.1884640425239321</v>
      </c>
      <c r="O78" s="6">
        <v>66.336892404849394</v>
      </c>
      <c r="P78" s="6">
        <v>145.39091297694691</v>
      </c>
      <c r="Q78" s="6">
        <v>37.28940941244381</v>
      </c>
      <c r="R78" s="6">
        <v>27.388825978785121</v>
      </c>
      <c r="S78" s="6">
        <v>39.596554441904381</v>
      </c>
      <c r="T78" s="6">
        <v>61.28847471889447</v>
      </c>
      <c r="U78" s="6">
        <v>165.56326455202779</v>
      </c>
      <c r="V78" s="6">
        <v>310.9541775289747</v>
      </c>
      <c r="W78" s="6">
        <v>7.4436867841476992</v>
      </c>
      <c r="X78" s="6">
        <v>8.6618225332983538</v>
      </c>
      <c r="Y78" s="6">
        <v>327.05968684642068</v>
      </c>
      <c r="Z78" s="6">
        <v>2.098921435287985</v>
      </c>
      <c r="AA78" s="6">
        <v>329.15860828170872</v>
      </c>
      <c r="AB78" s="6">
        <v>0</v>
      </c>
      <c r="AC78" s="6">
        <v>41.391166106288949</v>
      </c>
      <c r="AD78" s="6">
        <v>0</v>
      </c>
      <c r="AE78" s="6">
        <v>0</v>
      </c>
      <c r="AF78" s="6">
        <v>370.54977438799762</v>
      </c>
      <c r="AG78" s="6">
        <v>12.6688518086403</v>
      </c>
      <c r="AH78" s="6">
        <v>0</v>
      </c>
      <c r="AI78" s="6">
        <v>36.043419585518301</v>
      </c>
      <c r="AJ78" s="6">
        <v>377.87087967586729</v>
      </c>
      <c r="AK78" s="6">
        <v>0</v>
      </c>
      <c r="AL78" s="6">
        <v>0</v>
      </c>
      <c r="AM78" s="6">
        <v>0</v>
      </c>
      <c r="AN78" s="6">
        <v>0</v>
      </c>
      <c r="AO78" s="6">
        <v>0</v>
      </c>
      <c r="AP78" s="6">
        <v>377.87087967586729</v>
      </c>
      <c r="AQ78" s="6">
        <v>420.00006177644678</v>
      </c>
      <c r="AR78" s="6">
        <v>403.65169800000001</v>
      </c>
      <c r="AS78" s="6">
        <v>92.940374930026096</v>
      </c>
      <c r="AT78" s="6">
        <v>90.841453494738104</v>
      </c>
    </row>
    <row r="79" spans="1:46" x14ac:dyDescent="0.35">
      <c r="A79" s="5">
        <v>46022</v>
      </c>
      <c r="B79" s="4" t="s">
        <v>265</v>
      </c>
      <c r="C79" s="4" t="s">
        <v>266</v>
      </c>
      <c r="D79" s="4" t="s">
        <v>79</v>
      </c>
      <c r="E79" s="6">
        <v>14343.854101999999</v>
      </c>
      <c r="F79" s="7">
        <v>0.34</v>
      </c>
      <c r="G79" s="6">
        <v>42.3</v>
      </c>
      <c r="H79" s="6">
        <v>20.629000000000001</v>
      </c>
      <c r="I79" s="6">
        <v>100</v>
      </c>
      <c r="J79" s="6">
        <v>20.629331000000001</v>
      </c>
      <c r="K79" s="8">
        <v>100</v>
      </c>
      <c r="L79" s="6">
        <v>51.514052040328437</v>
      </c>
      <c r="M79" s="6">
        <v>12.270868914429011</v>
      </c>
      <c r="N79" s="6">
        <v>2.2605502066247531</v>
      </c>
      <c r="O79" s="6">
        <v>58.791935613827157</v>
      </c>
      <c r="P79" s="6">
        <v>124.8374067752094</v>
      </c>
      <c r="Q79" s="6">
        <v>51.403413601195687</v>
      </c>
      <c r="R79" s="6">
        <v>19.870512281551541</v>
      </c>
      <c r="S79" s="6">
        <v>30.945615579880499</v>
      </c>
      <c r="T79" s="6">
        <v>56.943598747984908</v>
      </c>
      <c r="U79" s="6">
        <v>159.1631402106126</v>
      </c>
      <c r="V79" s="6">
        <v>284.00054698582198</v>
      </c>
      <c r="W79" s="6">
        <v>3.6287335070404358</v>
      </c>
      <c r="X79" s="6">
        <v>0</v>
      </c>
      <c r="Y79" s="6">
        <v>287.62928049286239</v>
      </c>
      <c r="Z79" s="6">
        <v>2.099933808108545</v>
      </c>
      <c r="AA79" s="6">
        <v>289.72921430097102</v>
      </c>
      <c r="AB79" s="6">
        <v>0</v>
      </c>
      <c r="AC79" s="6">
        <v>36.767884592007029</v>
      </c>
      <c r="AD79" s="6">
        <v>0</v>
      </c>
      <c r="AE79" s="6">
        <v>0</v>
      </c>
      <c r="AF79" s="6">
        <v>326.49709889297799</v>
      </c>
      <c r="AG79" s="6">
        <v>9.1942182941785564</v>
      </c>
      <c r="AH79" s="6">
        <v>0</v>
      </c>
      <c r="AI79" s="6">
        <v>36.767884592007029</v>
      </c>
      <c r="AJ79" s="6">
        <v>335.69131718715659</v>
      </c>
      <c r="AK79" s="6">
        <v>0</v>
      </c>
      <c r="AL79" s="6">
        <v>0</v>
      </c>
      <c r="AM79" s="6">
        <v>0</v>
      </c>
      <c r="AN79" s="6">
        <v>0</v>
      </c>
      <c r="AO79" s="6">
        <v>0</v>
      </c>
      <c r="AP79" s="6">
        <v>335.69131718715659</v>
      </c>
      <c r="AQ79" s="6">
        <v>419.99936850759701</v>
      </c>
      <c r="AR79" s="6">
        <v>191.01525000000001</v>
      </c>
      <c r="AS79" s="6">
        <v>132.37008801473451</v>
      </c>
      <c r="AT79" s="6">
        <v>130.27015420662599</v>
      </c>
    </row>
    <row r="80" spans="1:46" x14ac:dyDescent="0.35">
      <c r="A80" s="5">
        <v>46022</v>
      </c>
      <c r="B80" s="4" t="s">
        <v>708</v>
      </c>
      <c r="C80" s="4" t="s">
        <v>709</v>
      </c>
      <c r="D80" s="4" t="s">
        <v>50</v>
      </c>
      <c r="E80" s="6">
        <v>1016</v>
      </c>
      <c r="F80" s="7">
        <v>0.13800000000000001</v>
      </c>
      <c r="G80" s="6">
        <v>57.06</v>
      </c>
      <c r="H80" s="6">
        <v>0.8</v>
      </c>
      <c r="I80" s="6">
        <v>97</v>
      </c>
      <c r="J80" s="6">
        <v>0.77600000000000002</v>
      </c>
      <c r="K80" s="8">
        <v>4.1439634362651931</v>
      </c>
      <c r="L80" s="6">
        <v>78.005394218138775</v>
      </c>
      <c r="M80" s="6">
        <v>5.0779551373906013</v>
      </c>
      <c r="N80" s="6">
        <v>27.787273396372171</v>
      </c>
      <c r="O80" s="6">
        <v>112.6468676417837</v>
      </c>
      <c r="P80" s="6">
        <v>223.51749039368531</v>
      </c>
      <c r="Q80" s="6">
        <v>14.52226393866499</v>
      </c>
      <c r="R80" s="6">
        <v>5.1322204408345762</v>
      </c>
      <c r="S80" s="6">
        <v>12.87347237304855</v>
      </c>
      <c r="T80" s="6">
        <v>5.8061758215167867</v>
      </c>
      <c r="U80" s="6">
        <v>38.33413257406491</v>
      </c>
      <c r="V80" s="6">
        <v>261.85162296775019</v>
      </c>
      <c r="W80" s="6">
        <v>2.836920534182171</v>
      </c>
      <c r="X80" s="6">
        <v>11.83492773705524</v>
      </c>
      <c r="Y80" s="6">
        <v>276.52347123898761</v>
      </c>
      <c r="Z80" s="6">
        <v>4.5711657623815052</v>
      </c>
      <c r="AA80" s="6">
        <v>281.09463700136911</v>
      </c>
      <c r="AB80" s="6">
        <v>0</v>
      </c>
      <c r="AC80" s="6">
        <v>77.437646249494108</v>
      </c>
      <c r="AD80" s="6">
        <v>0</v>
      </c>
      <c r="AE80" s="6">
        <v>0</v>
      </c>
      <c r="AF80" s="6">
        <v>358.5322832508632</v>
      </c>
      <c r="AG80" s="6">
        <v>5.6351921259441333</v>
      </c>
      <c r="AH80" s="6">
        <v>0</v>
      </c>
      <c r="AI80" s="6">
        <v>74.121014889297243</v>
      </c>
      <c r="AJ80" s="6">
        <v>360.85084401661049</v>
      </c>
      <c r="AK80" s="6">
        <v>0</v>
      </c>
      <c r="AL80" s="6">
        <v>0</v>
      </c>
      <c r="AM80" s="6">
        <v>0</v>
      </c>
      <c r="AN80" s="6">
        <v>0</v>
      </c>
      <c r="AO80" s="6">
        <v>0</v>
      </c>
      <c r="AP80" s="6">
        <v>360.85084401661049</v>
      </c>
      <c r="AQ80" s="6">
        <v>419.99999964779192</v>
      </c>
      <c r="AR80" s="6">
        <v>186.937242</v>
      </c>
      <c r="AS80" s="6">
        <v>143.47652840880431</v>
      </c>
      <c r="AT80" s="6">
        <v>138.90536264642279</v>
      </c>
    </row>
    <row r="81" spans="1:46" x14ac:dyDescent="0.35">
      <c r="A81" s="5">
        <v>46022</v>
      </c>
      <c r="B81" s="4" t="s">
        <v>127</v>
      </c>
      <c r="C81" s="4" t="s">
        <v>128</v>
      </c>
      <c r="D81" s="4" t="s">
        <v>58</v>
      </c>
      <c r="E81" s="6">
        <v>73000</v>
      </c>
      <c r="F81" s="7">
        <v>0.60899999999999999</v>
      </c>
      <c r="G81" s="6">
        <v>69.92</v>
      </c>
      <c r="H81" s="6">
        <v>310.86</v>
      </c>
      <c r="I81" s="6">
        <v>98</v>
      </c>
      <c r="J81" s="6">
        <v>304.64280000000002</v>
      </c>
      <c r="K81" s="8">
        <v>70.715164708452548</v>
      </c>
      <c r="L81" s="6">
        <v>122.1437197470312</v>
      </c>
      <c r="M81" s="6">
        <v>17.644889449746579</v>
      </c>
      <c r="N81" s="6">
        <v>1.777804473663388</v>
      </c>
      <c r="O81" s="6">
        <v>45.763544410600993</v>
      </c>
      <c r="P81" s="6">
        <v>187.32995808104221</v>
      </c>
      <c r="Q81" s="6">
        <v>10.116166242900061</v>
      </c>
      <c r="R81" s="6">
        <v>15.420787254245811</v>
      </c>
      <c r="S81" s="6">
        <v>28.91174518956479</v>
      </c>
      <c r="T81" s="6">
        <v>9.4681525577129815</v>
      </c>
      <c r="U81" s="6">
        <v>63.916851244423647</v>
      </c>
      <c r="V81" s="6">
        <v>251.24680932546579</v>
      </c>
      <c r="W81" s="6">
        <v>10.807095860018579</v>
      </c>
      <c r="X81" s="6">
        <v>19.52756891735315</v>
      </c>
      <c r="Y81" s="6">
        <v>281.58147410283749</v>
      </c>
      <c r="Z81" s="6">
        <v>6.0480849343948933</v>
      </c>
      <c r="AA81" s="6">
        <v>287.62955903723241</v>
      </c>
      <c r="AB81" s="6">
        <v>0</v>
      </c>
      <c r="AC81" s="6">
        <v>44.834178308159842</v>
      </c>
      <c r="AD81" s="6">
        <v>0</v>
      </c>
      <c r="AE81" s="6">
        <v>0</v>
      </c>
      <c r="AF81" s="6">
        <v>332.4637373453923</v>
      </c>
      <c r="AG81" s="6">
        <v>12.04339763484883</v>
      </c>
      <c r="AH81" s="6">
        <v>0</v>
      </c>
      <c r="AI81" s="6">
        <v>23.056425148266321</v>
      </c>
      <c r="AJ81" s="6">
        <v>322.72938182034761</v>
      </c>
      <c r="AK81" s="6">
        <v>26.322518961029271</v>
      </c>
      <c r="AL81" s="6">
        <v>0</v>
      </c>
      <c r="AM81" s="6">
        <v>0</v>
      </c>
      <c r="AN81" s="6">
        <v>0</v>
      </c>
      <c r="AO81" s="6">
        <v>81.073345794643984</v>
      </c>
      <c r="AP81" s="6">
        <v>430.1252465760208</v>
      </c>
      <c r="AQ81" s="6">
        <v>419.99999964779192</v>
      </c>
      <c r="AR81" s="6">
        <v>3935.7198309999999</v>
      </c>
      <c r="AS81" s="6">
        <v>138.41852554495441</v>
      </c>
      <c r="AT81" s="6">
        <v>132.37044061055951</v>
      </c>
    </row>
    <row r="82" spans="1:46" x14ac:dyDescent="0.35">
      <c r="A82" s="5">
        <v>46022</v>
      </c>
      <c r="B82" s="4" t="s">
        <v>193</v>
      </c>
      <c r="C82" s="4" t="s">
        <v>194</v>
      </c>
      <c r="D82" s="4" t="s">
        <v>58</v>
      </c>
      <c r="E82" s="6">
        <v>8500</v>
      </c>
      <c r="F82" s="7">
        <v>0.43</v>
      </c>
      <c r="G82" s="6">
        <v>80</v>
      </c>
      <c r="H82" s="6">
        <v>29.24</v>
      </c>
      <c r="I82" s="6">
        <v>100</v>
      </c>
      <c r="J82" s="6">
        <v>29.24</v>
      </c>
      <c r="K82" s="8">
        <v>100</v>
      </c>
      <c r="L82" s="6">
        <v>74.869561017458736</v>
      </c>
      <c r="M82" s="6">
        <v>26.206417849172379</v>
      </c>
      <c r="N82" s="6">
        <v>6.8242049058770364</v>
      </c>
      <c r="O82" s="6">
        <v>19.48950599895494</v>
      </c>
      <c r="P82" s="6">
        <v>127.3896897714631</v>
      </c>
      <c r="Q82" s="6">
        <v>29.10607300352093</v>
      </c>
      <c r="R82" s="6">
        <v>18.214278519668898</v>
      </c>
      <c r="S82" s="6">
        <v>23.188920979396801</v>
      </c>
      <c r="T82" s="6">
        <v>3.9859429513750002</v>
      </c>
      <c r="U82" s="6">
        <v>74.495215453961634</v>
      </c>
      <c r="V82" s="6">
        <v>201.88490522542469</v>
      </c>
      <c r="W82" s="6">
        <v>3.4019427750000002</v>
      </c>
      <c r="X82" s="6">
        <v>0</v>
      </c>
      <c r="Y82" s="6">
        <v>205.2868480004247</v>
      </c>
      <c r="Z82" s="6">
        <v>4.1999736433842161</v>
      </c>
      <c r="AA82" s="6">
        <v>209.4868216438089</v>
      </c>
      <c r="AB82" s="6">
        <v>0</v>
      </c>
      <c r="AC82" s="6">
        <v>74.015462407738383</v>
      </c>
      <c r="AD82" s="6">
        <v>0</v>
      </c>
      <c r="AE82" s="6">
        <v>0</v>
      </c>
      <c r="AF82" s="6">
        <v>283.50228405154729</v>
      </c>
      <c r="AG82" s="6">
        <v>19.13148448644796</v>
      </c>
      <c r="AH82" s="6">
        <v>0</v>
      </c>
      <c r="AI82" s="6">
        <v>25.28814383059186</v>
      </c>
      <c r="AJ82" s="6">
        <v>253.90644996084879</v>
      </c>
      <c r="AK82" s="6">
        <v>0</v>
      </c>
      <c r="AL82" s="6">
        <v>0</v>
      </c>
      <c r="AM82" s="6">
        <v>0</v>
      </c>
      <c r="AN82" s="6">
        <v>0</v>
      </c>
      <c r="AO82" s="6">
        <v>0</v>
      </c>
      <c r="AP82" s="6">
        <v>253.90644996084879</v>
      </c>
      <c r="AQ82" s="6">
        <v>419.99999964779198</v>
      </c>
      <c r="AR82" s="6">
        <v>270.745295</v>
      </c>
      <c r="AS82" s="6">
        <v>214.7131516473672</v>
      </c>
      <c r="AT82" s="6">
        <v>210.513178003983</v>
      </c>
    </row>
    <row r="83" spans="1:46" x14ac:dyDescent="0.35">
      <c r="A83" s="5">
        <v>46022</v>
      </c>
      <c r="B83" s="4" t="s">
        <v>267</v>
      </c>
      <c r="C83" s="4" t="s">
        <v>268</v>
      </c>
      <c r="D83" s="4" t="s">
        <v>89</v>
      </c>
      <c r="E83" s="6">
        <v>1111</v>
      </c>
      <c r="F83" s="7">
        <v>3.9</v>
      </c>
      <c r="G83" s="6">
        <v>99.61</v>
      </c>
      <c r="H83" s="6">
        <v>43.16</v>
      </c>
      <c r="I83" s="6">
        <v>95.769231000000005</v>
      </c>
      <c r="J83" s="6">
        <v>41.334000000000003</v>
      </c>
      <c r="K83" s="8">
        <v>96.925290401841536</v>
      </c>
      <c r="L83" s="6">
        <v>140.93237696179321</v>
      </c>
      <c r="M83" s="6">
        <v>1.5945504804313191</v>
      </c>
      <c r="N83" s="6">
        <v>1.1380054211613091</v>
      </c>
      <c r="O83" s="6">
        <v>9.7554044952555898</v>
      </c>
      <c r="P83" s="6">
        <v>153.4203373586414</v>
      </c>
      <c r="Q83" s="6">
        <v>58.348701216532803</v>
      </c>
      <c r="R83" s="6">
        <v>0.99257639726244673</v>
      </c>
      <c r="S83" s="6">
        <v>2.7831530114293641</v>
      </c>
      <c r="T83" s="6">
        <v>6.5729648116461394</v>
      </c>
      <c r="U83" s="6">
        <v>68.69739543687075</v>
      </c>
      <c r="V83" s="6">
        <v>222.11773279551221</v>
      </c>
      <c r="W83" s="6">
        <v>14.266161476287239</v>
      </c>
      <c r="X83" s="6">
        <v>30.440541692973671</v>
      </c>
      <c r="Y83" s="6">
        <v>266.8244359647731</v>
      </c>
      <c r="Z83" s="6">
        <v>17.51847215456705</v>
      </c>
      <c r="AA83" s="6">
        <v>284.34290811934011</v>
      </c>
      <c r="AB83" s="6">
        <v>0</v>
      </c>
      <c r="AC83" s="6">
        <v>49.61291764421226</v>
      </c>
      <c r="AD83" s="6">
        <v>0</v>
      </c>
      <c r="AE83" s="6">
        <v>0</v>
      </c>
      <c r="AF83" s="6">
        <v>333.95582576355241</v>
      </c>
      <c r="AG83" s="6">
        <v>3.5897914998826712</v>
      </c>
      <c r="AH83" s="6">
        <v>0</v>
      </c>
      <c r="AI83" s="6">
        <v>47.863882726081968</v>
      </c>
      <c r="AJ83" s="6">
        <v>335.79658234530478</v>
      </c>
      <c r="AK83" s="6">
        <v>23.931941363040981</v>
      </c>
      <c r="AL83" s="6">
        <v>0</v>
      </c>
      <c r="AM83" s="6">
        <v>0</v>
      </c>
      <c r="AN83" s="6">
        <v>0</v>
      </c>
      <c r="AO83" s="6">
        <v>0</v>
      </c>
      <c r="AP83" s="6">
        <v>359.72852370834568</v>
      </c>
      <c r="AQ83" s="6">
        <v>419.99999964779192</v>
      </c>
      <c r="AR83" s="6">
        <v>394.94110799999999</v>
      </c>
      <c r="AS83" s="6">
        <v>153.17556368301879</v>
      </c>
      <c r="AT83" s="6">
        <v>135.65709152845179</v>
      </c>
    </row>
    <row r="84" spans="1:46" x14ac:dyDescent="0.35">
      <c r="A84" s="5">
        <v>46022</v>
      </c>
      <c r="B84" s="4" t="s">
        <v>298</v>
      </c>
      <c r="C84" s="4" t="s">
        <v>299</v>
      </c>
      <c r="D84" s="4" t="s">
        <v>58</v>
      </c>
      <c r="E84" s="6">
        <v>58945.333333000002</v>
      </c>
      <c r="F84" s="7">
        <v>0.92</v>
      </c>
      <c r="G84" s="6">
        <v>85</v>
      </c>
      <c r="H84" s="6">
        <v>460.95299999999997</v>
      </c>
      <c r="I84" s="6">
        <v>97</v>
      </c>
      <c r="J84" s="6">
        <v>447.12393100000003</v>
      </c>
      <c r="K84" s="8">
        <v>89.269371271424902</v>
      </c>
      <c r="L84" s="6">
        <v>26.003592885503199</v>
      </c>
      <c r="M84" s="6">
        <v>10.52881898634778</v>
      </c>
      <c r="N84" s="6">
        <v>0.37794545011040459</v>
      </c>
      <c r="O84" s="6">
        <v>8.2040175416410417</v>
      </c>
      <c r="P84" s="6">
        <v>45.114374863602428</v>
      </c>
      <c r="Q84" s="6">
        <v>15.748604321809241</v>
      </c>
      <c r="R84" s="6">
        <v>27.59948237527038</v>
      </c>
      <c r="S84" s="6">
        <v>34.774061515307046</v>
      </c>
      <c r="T84" s="6">
        <v>10.972466228805169</v>
      </c>
      <c r="U84" s="6">
        <v>89.094614441191851</v>
      </c>
      <c r="V84" s="6">
        <v>134.2089893047943</v>
      </c>
      <c r="W84" s="6">
        <v>9.2036621782513066</v>
      </c>
      <c r="X84" s="6">
        <v>21.191164255661839</v>
      </c>
      <c r="Y84" s="6">
        <v>164.6038157387074</v>
      </c>
      <c r="Z84" s="6">
        <v>31.210721191446002</v>
      </c>
      <c r="AA84" s="6">
        <v>195.81453693015339</v>
      </c>
      <c r="AB84" s="6">
        <v>0</v>
      </c>
      <c r="AC84" s="6">
        <v>59.602356739042662</v>
      </c>
      <c r="AD84" s="6">
        <v>0</v>
      </c>
      <c r="AE84" s="6">
        <v>0</v>
      </c>
      <c r="AF84" s="6">
        <v>255.4168936691961</v>
      </c>
      <c r="AG84" s="6">
        <v>6.2990018662204958</v>
      </c>
      <c r="AH84" s="6">
        <v>0</v>
      </c>
      <c r="AI84" s="6">
        <v>120.74918603058519</v>
      </c>
      <c r="AJ84" s="6">
        <v>322.8627248269591</v>
      </c>
      <c r="AK84" s="6">
        <v>0</v>
      </c>
      <c r="AL84" s="6">
        <v>0</v>
      </c>
      <c r="AM84" s="6">
        <v>0</v>
      </c>
      <c r="AN84" s="6">
        <v>0</v>
      </c>
      <c r="AO84" s="6">
        <v>0</v>
      </c>
      <c r="AP84" s="6">
        <v>322.8627248269591</v>
      </c>
      <c r="AQ84" s="6">
        <v>419.99997052834851</v>
      </c>
      <c r="AR84" s="6">
        <v>4662.366</v>
      </c>
      <c r="AS84" s="6">
        <v>255.39615478964109</v>
      </c>
      <c r="AT84" s="6">
        <v>224.18543359819509</v>
      </c>
    </row>
    <row r="85" spans="1:46" x14ac:dyDescent="0.35">
      <c r="A85" s="5">
        <v>46022</v>
      </c>
      <c r="B85" s="4" t="s">
        <v>710</v>
      </c>
      <c r="C85" s="4" t="s">
        <v>711</v>
      </c>
      <c r="D85" s="4" t="s">
        <v>50</v>
      </c>
      <c r="E85" s="6">
        <v>31350</v>
      </c>
      <c r="F85" s="7">
        <v>0.3327</v>
      </c>
      <c r="G85" s="6">
        <v>86.05</v>
      </c>
      <c r="H85" s="6">
        <v>89.756</v>
      </c>
      <c r="I85" s="6">
        <v>97</v>
      </c>
      <c r="J85" s="6">
        <v>87.063295999999994</v>
      </c>
      <c r="K85" s="8">
        <v>74.429811718774488</v>
      </c>
      <c r="L85" s="6">
        <v>33.06474399986211</v>
      </c>
      <c r="M85" s="6">
        <v>32.829378455113719</v>
      </c>
      <c r="N85" s="6">
        <v>0.39191931187145412</v>
      </c>
      <c r="O85" s="6">
        <v>21.429047550161709</v>
      </c>
      <c r="P85" s="6">
        <v>87.715089317008989</v>
      </c>
      <c r="Q85" s="6">
        <v>16.632239152976251</v>
      </c>
      <c r="R85" s="6">
        <v>16.93458802253036</v>
      </c>
      <c r="S85" s="6">
        <v>38.968211744967597</v>
      </c>
      <c r="T85" s="6">
        <v>23.429417625199271</v>
      </c>
      <c r="U85" s="6">
        <v>95.964456545673485</v>
      </c>
      <c r="V85" s="6">
        <v>183.67954586268249</v>
      </c>
      <c r="W85" s="6">
        <v>23.335670957417641</v>
      </c>
      <c r="X85" s="6">
        <v>19.911730489507729</v>
      </c>
      <c r="Y85" s="6">
        <v>226.92694730960781</v>
      </c>
      <c r="Z85" s="6">
        <v>5.2569032915501701</v>
      </c>
      <c r="AA85" s="6">
        <v>232.18385060115801</v>
      </c>
      <c r="AB85" s="6">
        <v>0</v>
      </c>
      <c r="AC85" s="6">
        <v>100.21656043567739</v>
      </c>
      <c r="AD85" s="6">
        <v>0</v>
      </c>
      <c r="AE85" s="6">
        <v>0</v>
      </c>
      <c r="AF85" s="6">
        <v>332.40041103683552</v>
      </c>
      <c r="AG85" s="6">
        <v>21.17779322038227</v>
      </c>
      <c r="AH85" s="6">
        <v>0</v>
      </c>
      <c r="AI85" s="6">
        <v>65.921414208912097</v>
      </c>
      <c r="AJ85" s="6">
        <v>319.28305803045242</v>
      </c>
      <c r="AK85" s="6">
        <v>9.694322758561599</v>
      </c>
      <c r="AL85" s="6">
        <v>0</v>
      </c>
      <c r="AM85" s="6">
        <v>0</v>
      </c>
      <c r="AN85" s="6">
        <v>0</v>
      </c>
      <c r="AO85" s="6">
        <v>0</v>
      </c>
      <c r="AP85" s="6">
        <v>328.97738078901398</v>
      </c>
      <c r="AQ85" s="6">
        <v>420.00001894409792</v>
      </c>
      <c r="AR85" s="6">
        <v>1076.927334</v>
      </c>
      <c r="AS85" s="6">
        <v>193.07307163449011</v>
      </c>
      <c r="AT85" s="6">
        <v>187.8161683429399</v>
      </c>
    </row>
    <row r="86" spans="1:46" x14ac:dyDescent="0.35">
      <c r="A86" s="5">
        <v>46022</v>
      </c>
      <c r="B86" s="4" t="s">
        <v>300</v>
      </c>
      <c r="C86" s="4" t="s">
        <v>301</v>
      </c>
      <c r="D86" s="4" t="s">
        <v>79</v>
      </c>
      <c r="E86" s="6">
        <v>15700</v>
      </c>
      <c r="F86" s="7">
        <v>0.35</v>
      </c>
      <c r="G86" s="6">
        <v>88</v>
      </c>
      <c r="H86" s="6">
        <v>48.356000000000002</v>
      </c>
      <c r="I86" s="6">
        <v>96.206896999999998</v>
      </c>
      <c r="J86" s="6">
        <v>46.521807000000003</v>
      </c>
      <c r="K86" s="8">
        <v>71.551814685727052</v>
      </c>
      <c r="L86" s="6">
        <v>6.5078021827811021</v>
      </c>
      <c r="M86" s="6">
        <v>11.932580746021751</v>
      </c>
      <c r="N86" s="6">
        <v>0.72234433362351291</v>
      </c>
      <c r="O86" s="6">
        <v>26.818460002140689</v>
      </c>
      <c r="P86" s="6">
        <v>45.981187264567062</v>
      </c>
      <c r="Q86" s="6">
        <v>19.79415150031965</v>
      </c>
      <c r="R86" s="6">
        <v>14.684685274855401</v>
      </c>
      <c r="S86" s="6">
        <v>37.060930254023802</v>
      </c>
      <c r="T86" s="6">
        <v>38.78775489837178</v>
      </c>
      <c r="U86" s="6">
        <v>110.3275219275706</v>
      </c>
      <c r="V86" s="6">
        <v>156.30870919213771</v>
      </c>
      <c r="W86" s="6">
        <v>3.118871389327706</v>
      </c>
      <c r="X86" s="6">
        <v>20.475484353574259</v>
      </c>
      <c r="Y86" s="6">
        <v>179.90306493503971</v>
      </c>
      <c r="Z86" s="6">
        <v>25.9712068361716</v>
      </c>
      <c r="AA86" s="6">
        <v>205.87427177121131</v>
      </c>
      <c r="AB86" s="6">
        <v>0</v>
      </c>
      <c r="AC86" s="6">
        <v>17.62255113649049</v>
      </c>
      <c r="AD86" s="6">
        <v>0</v>
      </c>
      <c r="AE86" s="6">
        <v>0</v>
      </c>
      <c r="AF86" s="6">
        <v>223.4968229077017</v>
      </c>
      <c r="AG86" s="6">
        <v>6.4177473668439911</v>
      </c>
      <c r="AH86" s="6">
        <v>0</v>
      </c>
      <c r="AI86" s="6">
        <v>17.62255113649049</v>
      </c>
      <c r="AJ86" s="6">
        <v>229.9145702745457</v>
      </c>
      <c r="AK86" s="6">
        <v>0</v>
      </c>
      <c r="AL86" s="6">
        <v>0</v>
      </c>
      <c r="AM86" s="6">
        <v>0</v>
      </c>
      <c r="AN86" s="6">
        <v>0</v>
      </c>
      <c r="AO86" s="6">
        <v>0</v>
      </c>
      <c r="AP86" s="6">
        <v>229.9145702745457</v>
      </c>
      <c r="AQ86" s="6">
        <v>419.99993645162249</v>
      </c>
      <c r="AR86" s="6">
        <v>601.03105800000003</v>
      </c>
      <c r="AS86" s="6">
        <v>240.09687151658281</v>
      </c>
      <c r="AT86" s="6">
        <v>214.12566468041121</v>
      </c>
    </row>
    <row r="87" spans="1:46" x14ac:dyDescent="0.35">
      <c r="A87" s="5">
        <v>46022</v>
      </c>
      <c r="B87" s="4" t="s">
        <v>302</v>
      </c>
      <c r="C87" s="4" t="s">
        <v>303</v>
      </c>
      <c r="D87" s="4" t="s">
        <v>222</v>
      </c>
      <c r="E87" s="6">
        <v>16425</v>
      </c>
      <c r="F87" s="7">
        <v>0.28999999999999998</v>
      </c>
      <c r="G87" s="6">
        <v>57.73</v>
      </c>
      <c r="H87" s="6">
        <v>27.5</v>
      </c>
      <c r="I87" s="6">
        <v>96</v>
      </c>
      <c r="J87" s="6">
        <v>26.4</v>
      </c>
      <c r="K87" s="8">
        <v>83.228884851329624</v>
      </c>
      <c r="L87" s="6">
        <v>79.638829831220946</v>
      </c>
      <c r="M87" s="6">
        <v>29.98867922330826</v>
      </c>
      <c r="N87" s="6">
        <v>0.86524143958100042</v>
      </c>
      <c r="O87" s="6">
        <v>59.183966009795661</v>
      </c>
      <c r="P87" s="6">
        <v>169.67671650390591</v>
      </c>
      <c r="Q87" s="6">
        <v>34.26410592302188</v>
      </c>
      <c r="R87" s="6">
        <v>15.214584168333401</v>
      </c>
      <c r="S87" s="6">
        <v>23.473508422515181</v>
      </c>
      <c r="T87" s="6">
        <v>49.469764749397498</v>
      </c>
      <c r="U87" s="6">
        <v>122.421963263268</v>
      </c>
      <c r="V87" s="6">
        <v>292.09867976717379</v>
      </c>
      <c r="W87" s="6">
        <v>5.135989983693964</v>
      </c>
      <c r="X87" s="6">
        <v>19.336955092519801</v>
      </c>
      <c r="Y87" s="6">
        <v>316.57162484338761</v>
      </c>
      <c r="Z87" s="6">
        <v>5.2888082714524796</v>
      </c>
      <c r="AA87" s="6">
        <v>321.86043311484008</v>
      </c>
      <c r="AB87" s="6">
        <v>0</v>
      </c>
      <c r="AC87" s="6">
        <v>222.34121345612351</v>
      </c>
      <c r="AD87" s="6">
        <v>0</v>
      </c>
      <c r="AE87" s="6">
        <v>0</v>
      </c>
      <c r="AF87" s="6">
        <v>544.20164657096359</v>
      </c>
      <c r="AG87" s="6">
        <v>10.60260161358541</v>
      </c>
      <c r="AH87" s="6">
        <v>1.4300041958306651</v>
      </c>
      <c r="AI87" s="6">
        <v>193.04993226810589</v>
      </c>
      <c r="AJ87" s="6">
        <v>526.94297119236205</v>
      </c>
      <c r="AK87" s="6">
        <v>107.24996237117</v>
      </c>
      <c r="AL87" s="6">
        <v>0</v>
      </c>
      <c r="AM87" s="6">
        <v>0</v>
      </c>
      <c r="AN87" s="6">
        <v>0</v>
      </c>
      <c r="AO87" s="6">
        <v>0</v>
      </c>
      <c r="AP87" s="6">
        <v>634.19293356353205</v>
      </c>
      <c r="AQ87" s="6">
        <v>419.99999964779198</v>
      </c>
      <c r="AR87" s="6">
        <v>293.14657</v>
      </c>
      <c r="AS87" s="6">
        <v>103.4283748044044</v>
      </c>
      <c r="AT87" s="6">
        <v>98.139566532951889</v>
      </c>
    </row>
    <row r="88" spans="1:46" x14ac:dyDescent="0.35">
      <c r="A88" s="5">
        <v>46022</v>
      </c>
      <c r="B88" s="4" t="s">
        <v>129</v>
      </c>
      <c r="C88" s="4" t="s">
        <v>130</v>
      </c>
      <c r="D88" s="4" t="s">
        <v>111</v>
      </c>
      <c r="E88" s="6">
        <v>604</v>
      </c>
      <c r="F88" s="7">
        <v>0.5</v>
      </c>
      <c r="G88" s="6">
        <v>87</v>
      </c>
      <c r="H88" s="6">
        <v>2.6269999999999998</v>
      </c>
      <c r="I88" s="6">
        <v>96.295235000000005</v>
      </c>
      <c r="J88" s="6">
        <v>2.5300609999999999</v>
      </c>
      <c r="K88" s="8">
        <v>26.300187637814513</v>
      </c>
      <c r="L88" s="6">
        <v>50.268849247820953</v>
      </c>
      <c r="M88" s="6">
        <v>32.230487688889461</v>
      </c>
      <c r="N88" s="6">
        <v>9.5569539200774951</v>
      </c>
      <c r="O88" s="6">
        <v>49.389276783391082</v>
      </c>
      <c r="P88" s="6">
        <v>141.44556764017901</v>
      </c>
      <c r="Q88" s="6">
        <v>18.691079556239291</v>
      </c>
      <c r="R88" s="6">
        <v>4.0037212915287812</v>
      </c>
      <c r="S88" s="6">
        <v>9.8281928922401036</v>
      </c>
      <c r="T88" s="6">
        <v>7.1680482596041823</v>
      </c>
      <c r="U88" s="6">
        <v>39.691041999612352</v>
      </c>
      <c r="V88" s="6">
        <v>181.13660963979129</v>
      </c>
      <c r="W88" s="6">
        <v>7.9476869543943751</v>
      </c>
      <c r="X88" s="6">
        <v>13.8206461948498</v>
      </c>
      <c r="Y88" s="6">
        <v>202.90494278903549</v>
      </c>
      <c r="Z88" s="6">
        <v>34.931077475801999</v>
      </c>
      <c r="AA88" s="6">
        <v>237.83602026483749</v>
      </c>
      <c r="AB88" s="6">
        <v>0.27380230282791052</v>
      </c>
      <c r="AC88" s="6">
        <v>64.175552049086988</v>
      </c>
      <c r="AD88" s="6">
        <v>0</v>
      </c>
      <c r="AE88" s="6">
        <v>0</v>
      </c>
      <c r="AF88" s="6">
        <v>302.28537461675239</v>
      </c>
      <c r="AG88" s="6">
        <v>23.450236444989379</v>
      </c>
      <c r="AH88" s="6">
        <v>0</v>
      </c>
      <c r="AI88" s="6">
        <v>14.0729141228895</v>
      </c>
      <c r="AJ88" s="6">
        <v>275.63297313554432</v>
      </c>
      <c r="AK88" s="6">
        <v>0</v>
      </c>
      <c r="AL88" s="6">
        <v>0</v>
      </c>
      <c r="AM88" s="6">
        <v>0</v>
      </c>
      <c r="AN88" s="6">
        <v>0</v>
      </c>
      <c r="AO88" s="6">
        <v>0</v>
      </c>
      <c r="AP88" s="6">
        <v>275.63297313554432</v>
      </c>
      <c r="AQ88" s="6">
        <v>420.00647379999077</v>
      </c>
      <c r="AR88" s="6">
        <v>90.939828000000006</v>
      </c>
      <c r="AS88" s="6">
        <v>217.10153101095531</v>
      </c>
      <c r="AT88" s="6">
        <v>182.1704535351532</v>
      </c>
    </row>
    <row r="89" spans="1:46" x14ac:dyDescent="0.35">
      <c r="A89" s="5">
        <v>46022</v>
      </c>
      <c r="B89" s="4" t="s">
        <v>131</v>
      </c>
      <c r="C89" s="4" t="s">
        <v>132</v>
      </c>
      <c r="D89" s="4" t="s">
        <v>111</v>
      </c>
      <c r="E89" s="6">
        <v>1356</v>
      </c>
      <c r="F89" s="7">
        <v>1.84</v>
      </c>
      <c r="G89" s="6">
        <v>95.55</v>
      </c>
      <c r="H89" s="6">
        <v>23.84</v>
      </c>
      <c r="I89" s="6">
        <v>95.851635000000002</v>
      </c>
      <c r="J89" s="6">
        <v>22.851030000000002</v>
      </c>
      <c r="K89" s="8">
        <v>78.932259652167744</v>
      </c>
      <c r="L89" s="6">
        <v>57.540117808875273</v>
      </c>
      <c r="M89" s="6">
        <v>12.161358206568689</v>
      </c>
      <c r="N89" s="6">
        <v>9.6829316478780942</v>
      </c>
      <c r="O89" s="6">
        <v>35.92908618160395</v>
      </c>
      <c r="P89" s="6">
        <v>115.313493844926</v>
      </c>
      <c r="Q89" s="6">
        <v>20.80515090346784</v>
      </c>
      <c r="R89" s="6">
        <v>5.6732802989950706</v>
      </c>
      <c r="S89" s="6">
        <v>8.3343043468431173</v>
      </c>
      <c r="T89" s="6">
        <v>9.7824536001103617</v>
      </c>
      <c r="U89" s="6">
        <v>44.595189149416392</v>
      </c>
      <c r="V89" s="6">
        <v>159.9086829943424</v>
      </c>
      <c r="W89" s="6">
        <v>9.7961266734173229</v>
      </c>
      <c r="X89" s="6">
        <v>24.971410689248629</v>
      </c>
      <c r="Y89" s="6">
        <v>194.6762203570083</v>
      </c>
      <c r="Z89" s="6">
        <v>15.07201136493777</v>
      </c>
      <c r="AA89" s="6">
        <v>209.7482317219461</v>
      </c>
      <c r="AB89" s="6">
        <v>0.61731952352769637</v>
      </c>
      <c r="AC89" s="6">
        <v>49.325399998447359</v>
      </c>
      <c r="AD89" s="6">
        <v>0</v>
      </c>
      <c r="AE89" s="6">
        <v>0</v>
      </c>
      <c r="AF89" s="6">
        <v>259.69095124392118</v>
      </c>
      <c r="AG89" s="6">
        <v>11.36858617446458</v>
      </c>
      <c r="AH89" s="6">
        <v>0</v>
      </c>
      <c r="AI89" s="6">
        <v>23.851447261325902</v>
      </c>
      <c r="AJ89" s="6">
        <v>245.58558468126429</v>
      </c>
      <c r="AK89" s="6">
        <v>0</v>
      </c>
      <c r="AL89" s="6">
        <v>0</v>
      </c>
      <c r="AM89" s="6">
        <v>0</v>
      </c>
      <c r="AN89" s="6">
        <v>0</v>
      </c>
      <c r="AO89" s="6">
        <v>0</v>
      </c>
      <c r="AP89" s="6">
        <v>245.58558468126429</v>
      </c>
      <c r="AQ89" s="6">
        <v>419.99944825032799</v>
      </c>
      <c r="AR89" s="6">
        <v>269.28147799999999</v>
      </c>
      <c r="AS89" s="6">
        <v>225.32322789331971</v>
      </c>
      <c r="AT89" s="6">
        <v>210.25121652838189</v>
      </c>
    </row>
    <row r="90" spans="1:46" x14ac:dyDescent="0.35">
      <c r="A90" s="5">
        <v>46022</v>
      </c>
      <c r="B90" s="4" t="s">
        <v>712</v>
      </c>
      <c r="C90" s="4" t="s">
        <v>713</v>
      </c>
      <c r="D90" s="4" t="s">
        <v>50</v>
      </c>
      <c r="E90" s="6">
        <v>30800</v>
      </c>
      <c r="F90" s="7">
        <v>0.61</v>
      </c>
      <c r="G90" s="6">
        <v>85.54</v>
      </c>
      <c r="H90" s="6">
        <v>160.708</v>
      </c>
      <c r="I90" s="6">
        <v>97</v>
      </c>
      <c r="J90" s="6">
        <v>155.88654299999999</v>
      </c>
      <c r="K90" s="8">
        <v>85.411395662969028</v>
      </c>
      <c r="L90" s="6">
        <v>22.73878427082316</v>
      </c>
      <c r="M90" s="6">
        <v>15.011912068896191</v>
      </c>
      <c r="N90" s="6">
        <v>0.62540543758864031</v>
      </c>
      <c r="O90" s="6">
        <v>17.457172850412821</v>
      </c>
      <c r="P90" s="6">
        <v>55.833274627720812</v>
      </c>
      <c r="Q90" s="6">
        <v>10.339815094453201</v>
      </c>
      <c r="R90" s="6">
        <v>17.19666315973495</v>
      </c>
      <c r="S90" s="6">
        <v>23.34134066699102</v>
      </c>
      <c r="T90" s="6">
        <v>13.24958885070307</v>
      </c>
      <c r="U90" s="6">
        <v>64.127407771882233</v>
      </c>
      <c r="V90" s="6">
        <v>119.960682399603</v>
      </c>
      <c r="W90" s="6">
        <v>10.528725835274029</v>
      </c>
      <c r="X90" s="6">
        <v>22.232649802739651</v>
      </c>
      <c r="Y90" s="6">
        <v>152.7220580376167</v>
      </c>
      <c r="Z90" s="6">
        <v>12.31329559188238</v>
      </c>
      <c r="AA90" s="6">
        <v>165.0353536294991</v>
      </c>
      <c r="AB90" s="6">
        <v>0</v>
      </c>
      <c r="AC90" s="6">
        <v>23.673581803951691</v>
      </c>
      <c r="AD90" s="6">
        <v>0</v>
      </c>
      <c r="AE90" s="6">
        <v>0</v>
      </c>
      <c r="AF90" s="6">
        <v>188.70893543345079</v>
      </c>
      <c r="AG90" s="6">
        <v>3.2308468022782288</v>
      </c>
      <c r="AH90" s="6">
        <v>0</v>
      </c>
      <c r="AI90" s="6">
        <v>18.639497838289689</v>
      </c>
      <c r="AJ90" s="6">
        <v>186.90569827006701</v>
      </c>
      <c r="AK90" s="6">
        <v>0</v>
      </c>
      <c r="AL90" s="6">
        <v>0</v>
      </c>
      <c r="AM90" s="6">
        <v>0</v>
      </c>
      <c r="AN90" s="6">
        <v>0</v>
      </c>
      <c r="AO90" s="6">
        <v>0</v>
      </c>
      <c r="AP90" s="6">
        <v>186.90569827006701</v>
      </c>
      <c r="AQ90" s="6">
        <v>419.99988379430238</v>
      </c>
      <c r="AR90" s="6">
        <v>1696.2753009999999</v>
      </c>
      <c r="AS90" s="6">
        <v>267.27782575668567</v>
      </c>
      <c r="AT90" s="6">
        <v>254.96453016480331</v>
      </c>
    </row>
    <row r="91" spans="1:46" x14ac:dyDescent="0.35">
      <c r="A91" s="5">
        <v>46022</v>
      </c>
      <c r="B91" s="4" t="s">
        <v>149</v>
      </c>
      <c r="C91" s="4" t="s">
        <v>150</v>
      </c>
      <c r="D91" s="4" t="s">
        <v>61</v>
      </c>
      <c r="E91" s="6">
        <v>5728.31</v>
      </c>
      <c r="F91" s="7">
        <v>0.34539999999999998</v>
      </c>
      <c r="G91" s="6">
        <v>94</v>
      </c>
      <c r="H91" s="6">
        <v>18.600000000000001</v>
      </c>
      <c r="I91" s="6">
        <v>97</v>
      </c>
      <c r="J91" s="6">
        <v>18.042000000000002</v>
      </c>
      <c r="K91" s="8">
        <v>85.086418132952531</v>
      </c>
      <c r="L91" s="6">
        <v>39.415536233531668</v>
      </c>
      <c r="M91" s="6">
        <v>0</v>
      </c>
      <c r="N91" s="6">
        <v>83.876601366145835</v>
      </c>
      <c r="O91" s="6">
        <v>52.160454863617801</v>
      </c>
      <c r="P91" s="6">
        <v>175.4525924632953</v>
      </c>
      <c r="Q91" s="6">
        <v>6.9411665359276151</v>
      </c>
      <c r="R91" s="6">
        <v>22.338377522265901</v>
      </c>
      <c r="S91" s="6">
        <v>24.507481342741642</v>
      </c>
      <c r="T91" s="6">
        <v>33.172561937192938</v>
      </c>
      <c r="U91" s="6">
        <v>86.959587338128102</v>
      </c>
      <c r="V91" s="6">
        <v>262.41217980142341</v>
      </c>
      <c r="W91" s="6">
        <v>3.8715510517960592</v>
      </c>
      <c r="X91" s="6">
        <v>25.11320258233367</v>
      </c>
      <c r="Y91" s="6">
        <v>291.39693343555308</v>
      </c>
      <c r="Z91" s="6">
        <v>49.515662204719412</v>
      </c>
      <c r="AA91" s="6">
        <v>340.91259564027251</v>
      </c>
      <c r="AB91" s="6">
        <v>0</v>
      </c>
      <c r="AC91" s="6">
        <v>5.18138585019208</v>
      </c>
      <c r="AD91" s="6">
        <v>0</v>
      </c>
      <c r="AE91" s="6">
        <v>0</v>
      </c>
      <c r="AF91" s="6">
        <v>346.09398149046461</v>
      </c>
      <c r="AG91" s="6">
        <v>14.029328650957829</v>
      </c>
      <c r="AH91" s="6">
        <v>0</v>
      </c>
      <c r="AI91" s="6">
        <v>18.177885526840029</v>
      </c>
      <c r="AJ91" s="6">
        <v>373.11980981807039</v>
      </c>
      <c r="AK91" s="6">
        <v>0</v>
      </c>
      <c r="AL91" s="6">
        <v>0</v>
      </c>
      <c r="AM91" s="6">
        <v>0</v>
      </c>
      <c r="AN91" s="6">
        <v>0</v>
      </c>
      <c r="AO91" s="6">
        <v>0</v>
      </c>
      <c r="AP91" s="6">
        <v>373.11980981807039</v>
      </c>
      <c r="AQ91" s="6">
        <v>419.99999964779192</v>
      </c>
      <c r="AR91" s="6">
        <v>196.17488700000001</v>
      </c>
      <c r="AS91" s="6">
        <v>128.60306621223879</v>
      </c>
      <c r="AT91" s="6">
        <v>79.087404007519353</v>
      </c>
    </row>
    <row r="92" spans="1:46" x14ac:dyDescent="0.35">
      <c r="A92" s="5">
        <v>46022</v>
      </c>
      <c r="B92" s="4" t="s">
        <v>195</v>
      </c>
      <c r="C92" s="4" t="s">
        <v>196</v>
      </c>
      <c r="D92" s="4" t="s">
        <v>61</v>
      </c>
      <c r="E92" s="6">
        <v>341.45807000000002</v>
      </c>
      <c r="F92" s="7">
        <v>0.88</v>
      </c>
      <c r="G92" s="6">
        <v>90</v>
      </c>
      <c r="H92" s="6">
        <v>2.7040000000000002</v>
      </c>
      <c r="I92" s="6">
        <v>97</v>
      </c>
      <c r="J92" s="6">
        <v>2.6232060000000001</v>
      </c>
      <c r="K92" s="8">
        <v>66.524573236921199</v>
      </c>
      <c r="L92" s="6">
        <v>35.755208985251592</v>
      </c>
      <c r="M92" s="6">
        <v>0.93661100269439279</v>
      </c>
      <c r="N92" s="6">
        <v>8.9205643438228641</v>
      </c>
      <c r="O92" s="6">
        <v>22.477010447705691</v>
      </c>
      <c r="P92" s="6">
        <v>68.089394779474532</v>
      </c>
      <c r="Q92" s="6">
        <v>9.7112917657532876</v>
      </c>
      <c r="R92" s="6">
        <v>4.5374974427024313</v>
      </c>
      <c r="S92" s="6">
        <v>11.4150435636721</v>
      </c>
      <c r="T92" s="6">
        <v>16.880412584519242</v>
      </c>
      <c r="U92" s="6">
        <v>42.54424535664706</v>
      </c>
      <c r="V92" s="6">
        <v>110.6336401361216</v>
      </c>
      <c r="W92" s="6">
        <v>5.9113205006280269</v>
      </c>
      <c r="X92" s="6">
        <v>20.583161973331261</v>
      </c>
      <c r="Y92" s="6">
        <v>137.12812261008091</v>
      </c>
      <c r="Z92" s="6">
        <v>31.721137218497521</v>
      </c>
      <c r="AA92" s="6">
        <v>168.8492598285784</v>
      </c>
      <c r="AB92" s="6">
        <v>0</v>
      </c>
      <c r="AC92" s="6">
        <v>17.502396447762472</v>
      </c>
      <c r="AD92" s="6">
        <v>0</v>
      </c>
      <c r="AE92" s="6">
        <v>0</v>
      </c>
      <c r="AF92" s="6">
        <v>186.35165627634089</v>
      </c>
      <c r="AG92" s="6">
        <v>13.226115495061039</v>
      </c>
      <c r="AH92" s="6">
        <v>0</v>
      </c>
      <c r="AI92" s="6">
        <v>8.6132547540058901</v>
      </c>
      <c r="AJ92" s="6">
        <v>190.68863007764531</v>
      </c>
      <c r="AK92" s="6">
        <v>0</v>
      </c>
      <c r="AL92" s="6">
        <v>0</v>
      </c>
      <c r="AM92" s="6">
        <v>0</v>
      </c>
      <c r="AN92" s="6">
        <v>0</v>
      </c>
      <c r="AO92" s="6">
        <v>0</v>
      </c>
      <c r="AP92" s="6">
        <v>190.68863007764531</v>
      </c>
      <c r="AQ92" s="6">
        <v>419.99903899125258</v>
      </c>
      <c r="AR92" s="6">
        <v>36.957278000000002</v>
      </c>
      <c r="AS92" s="6">
        <v>282.8709163811717</v>
      </c>
      <c r="AT92" s="6">
        <v>251.14977916267421</v>
      </c>
    </row>
    <row r="93" spans="1:46" x14ac:dyDescent="0.35">
      <c r="A93" s="5">
        <v>46022</v>
      </c>
      <c r="B93" s="4" t="s">
        <v>304</v>
      </c>
      <c r="C93" s="4" t="s">
        <v>305</v>
      </c>
      <c r="D93" s="4" t="s">
        <v>61</v>
      </c>
      <c r="E93" s="6">
        <v>84.5</v>
      </c>
      <c r="F93" s="7">
        <v>0.40129999999999999</v>
      </c>
      <c r="G93" s="6">
        <v>92</v>
      </c>
      <c r="H93" s="6">
        <v>0.312</v>
      </c>
      <c r="I93" s="6">
        <v>97</v>
      </c>
      <c r="J93" s="6">
        <v>0.302624</v>
      </c>
      <c r="K93" s="8">
        <v>58.391547197867943</v>
      </c>
      <c r="L93" s="6">
        <v>20.89260484887301</v>
      </c>
      <c r="M93" s="6">
        <v>20.210264043021748</v>
      </c>
      <c r="N93" s="6">
        <v>1.3185409253274989</v>
      </c>
      <c r="O93" s="6">
        <v>36.359607811646548</v>
      </c>
      <c r="P93" s="6">
        <v>78.78101762886881</v>
      </c>
      <c r="Q93" s="6">
        <v>15.081363262336589</v>
      </c>
      <c r="R93" s="6">
        <v>22.60939484637483</v>
      </c>
      <c r="S93" s="6">
        <v>29.38614453169626</v>
      </c>
      <c r="T93" s="6">
        <v>26.467123045414489</v>
      </c>
      <c r="U93" s="6">
        <v>93.544025685822163</v>
      </c>
      <c r="V93" s="6">
        <v>172.32504331469099</v>
      </c>
      <c r="W93" s="6">
        <v>5.010810336216851</v>
      </c>
      <c r="X93" s="6">
        <v>17.464938028984879</v>
      </c>
      <c r="Y93" s="6">
        <v>194.80079167989271</v>
      </c>
      <c r="Z93" s="6">
        <v>40.16185789550704</v>
      </c>
      <c r="AA93" s="6">
        <v>234.96264957539969</v>
      </c>
      <c r="AB93" s="6">
        <v>0</v>
      </c>
      <c r="AC93" s="6">
        <v>20.46665213650623</v>
      </c>
      <c r="AD93" s="6">
        <v>0</v>
      </c>
      <c r="AE93" s="6">
        <v>0</v>
      </c>
      <c r="AF93" s="6">
        <v>255.42930171190599</v>
      </c>
      <c r="AG93" s="6">
        <v>22.960053709088751</v>
      </c>
      <c r="AH93" s="6">
        <v>0</v>
      </c>
      <c r="AI93" s="6">
        <v>6.6490659298694448</v>
      </c>
      <c r="AJ93" s="6">
        <v>264.57176921435791</v>
      </c>
      <c r="AK93" s="6">
        <v>0</v>
      </c>
      <c r="AL93" s="6">
        <v>0</v>
      </c>
      <c r="AM93" s="6">
        <v>0</v>
      </c>
      <c r="AN93" s="6">
        <v>0</v>
      </c>
      <c r="AO93" s="6">
        <v>0</v>
      </c>
      <c r="AP93" s="6">
        <v>264.57176921435791</v>
      </c>
      <c r="AQ93" s="6">
        <v>419.9666909875682</v>
      </c>
      <c r="AR93" s="6">
        <v>4.765371</v>
      </c>
      <c r="AS93" s="6">
        <v>225.16589930767549</v>
      </c>
      <c r="AT93" s="6">
        <v>185.0040414121685</v>
      </c>
    </row>
    <row r="94" spans="1:46" x14ac:dyDescent="0.35">
      <c r="A94" s="5">
        <v>46022</v>
      </c>
      <c r="B94" s="4" t="s">
        <v>151</v>
      </c>
      <c r="C94" s="4" t="s">
        <v>152</v>
      </c>
      <c r="D94" s="4" t="s">
        <v>61</v>
      </c>
      <c r="E94" s="6">
        <v>2036.76</v>
      </c>
      <c r="F94" s="7">
        <v>0.57999999999999996</v>
      </c>
      <c r="G94" s="6">
        <v>91</v>
      </c>
      <c r="H94" s="6">
        <v>10.75</v>
      </c>
      <c r="I94" s="6">
        <v>93.963614000000007</v>
      </c>
      <c r="J94" s="6">
        <v>10.101089</v>
      </c>
      <c r="K94" s="8">
        <v>77.312245522533416</v>
      </c>
      <c r="L94" s="6">
        <v>24.268020815568871</v>
      </c>
      <c r="M94" s="6">
        <v>3.3528015923747581</v>
      </c>
      <c r="N94" s="6">
        <v>1.126917855851048</v>
      </c>
      <c r="O94" s="6">
        <v>18.79666739439433</v>
      </c>
      <c r="P94" s="6">
        <v>47.544407658189002</v>
      </c>
      <c r="Q94" s="6">
        <v>15.042030526169009</v>
      </c>
      <c r="R94" s="6">
        <v>14.09638685085757</v>
      </c>
      <c r="S94" s="6">
        <v>23.012769947445491</v>
      </c>
      <c r="T94" s="6">
        <v>22.490351561876491</v>
      </c>
      <c r="U94" s="6">
        <v>74.64153888634857</v>
      </c>
      <c r="V94" s="6">
        <v>122.1859465445376</v>
      </c>
      <c r="W94" s="6">
        <v>7.142125154247374</v>
      </c>
      <c r="X94" s="6">
        <v>24.422332700225041</v>
      </c>
      <c r="Y94" s="6">
        <v>153.75040439900999</v>
      </c>
      <c r="Z94" s="6">
        <v>40.30628580865806</v>
      </c>
      <c r="AA94" s="6">
        <v>194.056690207668</v>
      </c>
      <c r="AB94" s="6">
        <v>0</v>
      </c>
      <c r="AC94" s="6">
        <v>8.5228421963721299</v>
      </c>
      <c r="AD94" s="6">
        <v>0</v>
      </c>
      <c r="AE94" s="6">
        <v>0</v>
      </c>
      <c r="AF94" s="6">
        <v>202.57953240404021</v>
      </c>
      <c r="AG94" s="6">
        <v>7.7579706549932501</v>
      </c>
      <c r="AH94" s="6">
        <v>0</v>
      </c>
      <c r="AI94" s="6">
        <v>16.45961922534358</v>
      </c>
      <c r="AJ94" s="6">
        <v>218.2742800880049</v>
      </c>
      <c r="AK94" s="6">
        <v>0</v>
      </c>
      <c r="AL94" s="6">
        <v>0</v>
      </c>
      <c r="AM94" s="6">
        <v>0</v>
      </c>
      <c r="AN94" s="6">
        <v>0</v>
      </c>
      <c r="AO94" s="6">
        <v>0</v>
      </c>
      <c r="AP94" s="6">
        <v>218.2742800880049</v>
      </c>
      <c r="AQ94" s="6">
        <v>420.00045702421897</v>
      </c>
      <c r="AR94" s="6">
        <v>130.735071</v>
      </c>
      <c r="AS94" s="6">
        <v>266.25005262520898</v>
      </c>
      <c r="AT94" s="6">
        <v>225.94376681655089</v>
      </c>
    </row>
    <row r="95" spans="1:46" x14ac:dyDescent="0.35">
      <c r="A95" s="5">
        <v>46022</v>
      </c>
      <c r="B95" s="4" t="s">
        <v>153</v>
      </c>
      <c r="C95" s="4" t="s">
        <v>154</v>
      </c>
      <c r="D95" s="4" t="s">
        <v>61</v>
      </c>
      <c r="E95" s="6">
        <v>359.72222199999999</v>
      </c>
      <c r="F95" s="7">
        <v>0.36</v>
      </c>
      <c r="G95" s="6">
        <v>88</v>
      </c>
      <c r="H95" s="6">
        <v>1.1399999999999999</v>
      </c>
      <c r="I95" s="6">
        <v>97</v>
      </c>
      <c r="J95" s="6">
        <v>1.1054120000000001</v>
      </c>
      <c r="K95" s="8">
        <v>71.437711636078106</v>
      </c>
      <c r="L95" s="6">
        <v>19.775575056475841</v>
      </c>
      <c r="M95" s="6">
        <v>3.9847457642345212</v>
      </c>
      <c r="N95" s="6">
        <v>29.042925197944339</v>
      </c>
      <c r="O95" s="6">
        <v>58.991718400429939</v>
      </c>
      <c r="P95" s="6">
        <v>111.79496441908459</v>
      </c>
      <c r="Q95" s="6">
        <v>5.1848967057976569</v>
      </c>
      <c r="R95" s="6">
        <v>18.49136135248121</v>
      </c>
      <c r="S95" s="6">
        <v>25.987762585354499</v>
      </c>
      <c r="T95" s="6">
        <v>63.686326320224701</v>
      </c>
      <c r="U95" s="6">
        <v>113.3503469638581</v>
      </c>
      <c r="V95" s="6">
        <v>225.14531138294271</v>
      </c>
      <c r="W95" s="6">
        <v>13.15652434234927</v>
      </c>
      <c r="X95" s="6">
        <v>22.807969258313399</v>
      </c>
      <c r="Y95" s="6">
        <v>261.10980498360539</v>
      </c>
      <c r="Z95" s="6">
        <v>54.088177325844399</v>
      </c>
      <c r="AA95" s="6">
        <v>315.1979823094498</v>
      </c>
      <c r="AB95" s="6">
        <v>0</v>
      </c>
      <c r="AC95" s="6">
        <v>24.50097365192288</v>
      </c>
      <c r="AD95" s="6">
        <v>0</v>
      </c>
      <c r="AE95" s="6">
        <v>0</v>
      </c>
      <c r="AF95" s="6">
        <v>339.69895596137269</v>
      </c>
      <c r="AG95" s="6">
        <v>33.062985336411558</v>
      </c>
      <c r="AH95" s="6">
        <v>0</v>
      </c>
      <c r="AI95" s="6">
        <v>31.655735466831029</v>
      </c>
      <c r="AJ95" s="6">
        <v>379.9167031126924</v>
      </c>
      <c r="AK95" s="6">
        <v>0</v>
      </c>
      <c r="AL95" s="6">
        <v>0</v>
      </c>
      <c r="AM95" s="6">
        <v>0</v>
      </c>
      <c r="AN95" s="6">
        <v>0</v>
      </c>
      <c r="AO95" s="6">
        <v>0</v>
      </c>
      <c r="AP95" s="6">
        <v>379.9167031126924</v>
      </c>
      <c r="AQ95" s="6">
        <v>419.99544026179308</v>
      </c>
      <c r="AR95" s="6">
        <v>14.474822</v>
      </c>
      <c r="AS95" s="6">
        <v>158.88563527818769</v>
      </c>
      <c r="AT95" s="6">
        <v>104.79745795234329</v>
      </c>
    </row>
    <row r="96" spans="1:46" x14ac:dyDescent="0.35">
      <c r="A96" s="5">
        <v>46022</v>
      </c>
      <c r="B96" s="4" t="s">
        <v>714</v>
      </c>
      <c r="C96" s="4" t="s">
        <v>715</v>
      </c>
      <c r="D96" s="4" t="s">
        <v>61</v>
      </c>
      <c r="E96" s="6">
        <v>719.05570799999998</v>
      </c>
      <c r="F96" s="7">
        <v>0.87529999999999997</v>
      </c>
      <c r="G96" s="6">
        <v>90</v>
      </c>
      <c r="H96" s="6">
        <v>5.665</v>
      </c>
      <c r="I96" s="6">
        <v>97</v>
      </c>
      <c r="J96" s="6">
        <v>5.4947879999999998</v>
      </c>
      <c r="K96" s="8">
        <v>74.680801987380903</v>
      </c>
      <c r="L96" s="6">
        <v>35.532730183020533</v>
      </c>
      <c r="M96" s="6">
        <v>3.9783577252565139</v>
      </c>
      <c r="N96" s="6">
        <v>0.41236454795926519</v>
      </c>
      <c r="O96" s="6">
        <v>13.013451861409321</v>
      </c>
      <c r="P96" s="6">
        <v>52.936904317645627</v>
      </c>
      <c r="Q96" s="6">
        <v>14.211819835664519</v>
      </c>
      <c r="R96" s="6">
        <v>2.3271263800484552</v>
      </c>
      <c r="S96" s="6">
        <v>19.219196089595659</v>
      </c>
      <c r="T96" s="6">
        <v>20.178844425513422</v>
      </c>
      <c r="U96" s="6">
        <v>55.936986730822049</v>
      </c>
      <c r="V96" s="6">
        <v>108.8738910484677</v>
      </c>
      <c r="W96" s="6">
        <v>8.4735476753003418</v>
      </c>
      <c r="X96" s="6">
        <v>22.425685934512298</v>
      </c>
      <c r="Y96" s="6">
        <v>139.7731246582803</v>
      </c>
      <c r="Z96" s="6">
        <v>20.084882426622041</v>
      </c>
      <c r="AA96" s="6">
        <v>159.8580070849024</v>
      </c>
      <c r="AB96" s="6">
        <v>0</v>
      </c>
      <c r="AC96" s="6">
        <v>9.6522711971126061</v>
      </c>
      <c r="AD96" s="6">
        <v>0</v>
      </c>
      <c r="AE96" s="6">
        <v>0</v>
      </c>
      <c r="AF96" s="6">
        <v>169.51027828201501</v>
      </c>
      <c r="AG96" s="6">
        <v>13.00877073650989</v>
      </c>
      <c r="AH96" s="6">
        <v>0</v>
      </c>
      <c r="AI96" s="6">
        <v>11.66367875368803</v>
      </c>
      <c r="AJ96" s="6">
        <v>184.53045657510029</v>
      </c>
      <c r="AK96" s="6">
        <v>0</v>
      </c>
      <c r="AL96" s="6">
        <v>0</v>
      </c>
      <c r="AM96" s="6">
        <v>0</v>
      </c>
      <c r="AN96" s="6">
        <v>0</v>
      </c>
      <c r="AO96" s="6">
        <v>0</v>
      </c>
      <c r="AP96" s="6">
        <v>184.53045657510029</v>
      </c>
      <c r="AQ96" s="6">
        <v>420.00091688063071</v>
      </c>
      <c r="AR96" s="6">
        <v>73.156780999999995</v>
      </c>
      <c r="AS96" s="6">
        <v>280.22779222235039</v>
      </c>
      <c r="AT96" s="6">
        <v>260.14290979572843</v>
      </c>
    </row>
    <row r="97" spans="1:46" x14ac:dyDescent="0.35">
      <c r="A97" s="5">
        <v>46022</v>
      </c>
      <c r="B97" s="4" t="s">
        <v>197</v>
      </c>
      <c r="C97" s="4" t="s">
        <v>198</v>
      </c>
      <c r="D97" s="4" t="s">
        <v>89</v>
      </c>
      <c r="E97" s="6">
        <v>775</v>
      </c>
      <c r="F97" s="7">
        <v>4.4999999999999998E-2</v>
      </c>
      <c r="G97" s="6">
        <v>80</v>
      </c>
      <c r="H97" s="6">
        <v>0.27900000000000003</v>
      </c>
      <c r="I97" s="6">
        <v>96.5</v>
      </c>
      <c r="J97" s="6">
        <v>0.268984</v>
      </c>
      <c r="K97" s="8">
        <v>1.0670058641303879</v>
      </c>
      <c r="L97" s="6">
        <v>50.581858889885993</v>
      </c>
      <c r="M97" s="6">
        <v>5.8471866511214952</v>
      </c>
      <c r="N97" s="6">
        <v>10.205372707518711</v>
      </c>
      <c r="O97" s="6">
        <v>85.174138064995446</v>
      </c>
      <c r="P97" s="6">
        <v>151.80855631352171</v>
      </c>
      <c r="Q97" s="6">
        <v>19.38986970748709</v>
      </c>
      <c r="R97" s="6">
        <v>3.8481895509809818</v>
      </c>
      <c r="S97" s="6">
        <v>10.31645025847976</v>
      </c>
      <c r="T97" s="6">
        <v>26.280189131425679</v>
      </c>
      <c r="U97" s="6">
        <v>59.834698648373518</v>
      </c>
      <c r="V97" s="6">
        <v>211.6432549618952</v>
      </c>
      <c r="W97" s="6">
        <v>7.1939698906664526</v>
      </c>
      <c r="X97" s="6">
        <v>11.44653073574449</v>
      </c>
      <c r="Y97" s="6">
        <v>230.28375558830609</v>
      </c>
      <c r="Z97" s="6">
        <v>11.711707594781069</v>
      </c>
      <c r="AA97" s="6">
        <v>241.9954631830872</v>
      </c>
      <c r="AB97" s="6">
        <v>0</v>
      </c>
      <c r="AC97" s="6">
        <v>121.6680931923203</v>
      </c>
      <c r="AD97" s="6">
        <v>0</v>
      </c>
      <c r="AE97" s="6">
        <v>0</v>
      </c>
      <c r="AF97" s="6">
        <v>363.6635563754075</v>
      </c>
      <c r="AG97" s="6">
        <v>9.2685358631578296</v>
      </c>
      <c r="AH97" s="6">
        <v>0</v>
      </c>
      <c r="AI97" s="6">
        <v>39.767273450290418</v>
      </c>
      <c r="AJ97" s="6">
        <v>291.03127249653539</v>
      </c>
      <c r="AK97" s="6">
        <v>0</v>
      </c>
      <c r="AL97" s="6">
        <v>0</v>
      </c>
      <c r="AM97" s="6">
        <v>0</v>
      </c>
      <c r="AN97" s="6">
        <v>0</v>
      </c>
      <c r="AO97" s="6">
        <v>0</v>
      </c>
      <c r="AP97" s="6">
        <v>291.03127249653539</v>
      </c>
      <c r="AQ97" s="6">
        <v>420.02498254638209</v>
      </c>
      <c r="AR97" s="6">
        <v>223.809054</v>
      </c>
      <c r="AS97" s="6">
        <v>189.74122695807591</v>
      </c>
      <c r="AT97" s="6">
        <v>178.0295193632949</v>
      </c>
    </row>
    <row r="98" spans="1:46" x14ac:dyDescent="0.35">
      <c r="A98" s="5">
        <v>46022</v>
      </c>
      <c r="B98" s="4" t="s">
        <v>716</v>
      </c>
      <c r="C98" s="4" t="s">
        <v>717</v>
      </c>
      <c r="D98" s="4" t="s">
        <v>61</v>
      </c>
      <c r="E98" s="6">
        <v>46800</v>
      </c>
      <c r="F98" s="7">
        <v>0.47</v>
      </c>
      <c r="G98" s="6">
        <v>85.7</v>
      </c>
      <c r="H98" s="6">
        <v>188.506</v>
      </c>
      <c r="I98" s="6">
        <v>97</v>
      </c>
      <c r="J98" s="6">
        <v>182.850548</v>
      </c>
      <c r="K98" s="8">
        <v>78.614797623010531</v>
      </c>
      <c r="L98" s="6">
        <v>7.4960422659500292</v>
      </c>
      <c r="M98" s="6">
        <v>7.1802359365213011</v>
      </c>
      <c r="N98" s="6">
        <v>0.674654756123102</v>
      </c>
      <c r="O98" s="6">
        <v>10.34170353578739</v>
      </c>
      <c r="P98" s="6">
        <v>25.69263649438183</v>
      </c>
      <c r="Q98" s="6">
        <v>6.2874318570641288</v>
      </c>
      <c r="R98" s="6">
        <v>7.5299301597471748</v>
      </c>
      <c r="S98" s="6">
        <v>23.887058846744569</v>
      </c>
      <c r="T98" s="6">
        <v>14.389787228516999</v>
      </c>
      <c r="U98" s="6">
        <v>52.094208092072883</v>
      </c>
      <c r="V98" s="6">
        <v>77.786844586454706</v>
      </c>
      <c r="W98" s="6">
        <v>3.5787645762425271</v>
      </c>
      <c r="X98" s="6">
        <v>20.253974684378381</v>
      </c>
      <c r="Y98" s="6">
        <v>101.6195838470756</v>
      </c>
      <c r="Z98" s="6">
        <v>27.206618617340482</v>
      </c>
      <c r="AA98" s="6">
        <v>128.8262024644161</v>
      </c>
      <c r="AB98" s="6">
        <v>0</v>
      </c>
      <c r="AC98" s="6">
        <v>10.25701574517503</v>
      </c>
      <c r="AD98" s="6">
        <v>0</v>
      </c>
      <c r="AE98" s="6">
        <v>0</v>
      </c>
      <c r="AF98" s="6">
        <v>139.08321820959111</v>
      </c>
      <c r="AG98" s="6">
        <v>6.5901320686655742</v>
      </c>
      <c r="AH98" s="6">
        <v>0</v>
      </c>
      <c r="AI98" s="6">
        <v>16.28301888424145</v>
      </c>
      <c r="AJ98" s="6">
        <v>151.6993534173231</v>
      </c>
      <c r="AK98" s="6">
        <v>0</v>
      </c>
      <c r="AL98" s="6">
        <v>0</v>
      </c>
      <c r="AM98" s="6">
        <v>0</v>
      </c>
      <c r="AN98" s="6">
        <v>0</v>
      </c>
      <c r="AO98" s="6">
        <v>0</v>
      </c>
      <c r="AP98" s="6">
        <v>151.6993534173231</v>
      </c>
      <c r="AQ98" s="6">
        <v>419.99988939381558</v>
      </c>
      <c r="AR98" s="6">
        <v>2146.306384</v>
      </c>
      <c r="AS98" s="6">
        <v>318.38030554673998</v>
      </c>
      <c r="AT98" s="6">
        <v>291.17368692939959</v>
      </c>
    </row>
    <row r="99" spans="1:46" x14ac:dyDescent="0.35">
      <c r="A99" s="5">
        <v>46022</v>
      </c>
      <c r="B99" s="4" t="s">
        <v>306</v>
      </c>
      <c r="C99" s="4" t="s">
        <v>307</v>
      </c>
      <c r="D99" s="4" t="s">
        <v>213</v>
      </c>
      <c r="E99" s="6">
        <v>4500</v>
      </c>
      <c r="F99" s="7">
        <v>1.9753000000000001</v>
      </c>
      <c r="G99" s="6">
        <v>90</v>
      </c>
      <c r="H99" s="6">
        <v>80</v>
      </c>
      <c r="I99" s="6">
        <v>100</v>
      </c>
      <c r="J99" s="6">
        <v>80</v>
      </c>
      <c r="K99" s="8">
        <v>100</v>
      </c>
      <c r="L99" s="6">
        <v>24.175772804283579</v>
      </c>
      <c r="M99" s="6">
        <v>13.579418458427449</v>
      </c>
      <c r="N99" s="6">
        <v>1.814624342212894</v>
      </c>
      <c r="O99" s="6">
        <v>21.574003540848409</v>
      </c>
      <c r="P99" s="6">
        <v>61.143819145772341</v>
      </c>
      <c r="Q99" s="6">
        <v>12.63185322467867</v>
      </c>
      <c r="R99" s="6">
        <v>52.832845730905149</v>
      </c>
      <c r="S99" s="6">
        <v>11.778033627009171</v>
      </c>
      <c r="T99" s="6">
        <v>5.3878532349627557</v>
      </c>
      <c r="U99" s="6">
        <v>82.63058581755574</v>
      </c>
      <c r="V99" s="6">
        <v>143.7744049633281</v>
      </c>
      <c r="W99" s="6">
        <v>15.312847952040871</v>
      </c>
      <c r="X99" s="6">
        <v>0</v>
      </c>
      <c r="Y99" s="6">
        <v>159.08725291536899</v>
      </c>
      <c r="Z99" s="6">
        <v>10.4999999911948</v>
      </c>
      <c r="AA99" s="6">
        <v>169.5872529065638</v>
      </c>
      <c r="AB99" s="6">
        <v>1.0783069975062001</v>
      </c>
      <c r="AC99" s="6">
        <v>44.605427432534718</v>
      </c>
      <c r="AD99" s="6">
        <v>0</v>
      </c>
      <c r="AE99" s="6">
        <v>0</v>
      </c>
      <c r="AF99" s="6">
        <v>215.27098733660469</v>
      </c>
      <c r="AG99" s="6">
        <v>10.000214053193311</v>
      </c>
      <c r="AH99" s="6">
        <v>0</v>
      </c>
      <c r="AI99" s="6">
        <v>14.377440241187101</v>
      </c>
      <c r="AJ99" s="6">
        <v>195.04321419845041</v>
      </c>
      <c r="AK99" s="6">
        <v>0</v>
      </c>
      <c r="AL99" s="6">
        <v>0</v>
      </c>
      <c r="AM99" s="6">
        <v>0</v>
      </c>
      <c r="AN99" s="6">
        <v>0</v>
      </c>
      <c r="AO99" s="6">
        <v>0</v>
      </c>
      <c r="AP99" s="6">
        <v>195.04321419845041</v>
      </c>
      <c r="AQ99" s="6">
        <v>419.99999964779192</v>
      </c>
      <c r="AR99" s="6">
        <v>740.75319999999999</v>
      </c>
      <c r="AS99" s="6">
        <v>260.91274673242299</v>
      </c>
      <c r="AT99" s="6">
        <v>250.4127467412282</v>
      </c>
    </row>
    <row r="100" spans="1:46" x14ac:dyDescent="0.35">
      <c r="A100" s="5">
        <v>46022</v>
      </c>
      <c r="B100" s="4" t="s">
        <v>155</v>
      </c>
      <c r="C100" s="4" t="s">
        <v>156</v>
      </c>
      <c r="D100" s="4" t="s">
        <v>157</v>
      </c>
      <c r="E100" s="6">
        <v>4044</v>
      </c>
      <c r="F100" s="7">
        <v>0.4</v>
      </c>
      <c r="G100" s="6">
        <v>87.78</v>
      </c>
      <c r="H100" s="6">
        <v>14.2</v>
      </c>
      <c r="I100" s="6">
        <v>97</v>
      </c>
      <c r="J100" s="6">
        <v>13.773999999999999</v>
      </c>
      <c r="K100" s="8">
        <v>36.63483663777486</v>
      </c>
      <c r="L100" s="6">
        <v>12.79123774205862</v>
      </c>
      <c r="M100" s="6">
        <v>3.5130276146486579</v>
      </c>
      <c r="N100" s="6">
        <v>19.301480185962589</v>
      </c>
      <c r="O100" s="6">
        <v>64.737574726044201</v>
      </c>
      <c r="P100" s="6">
        <v>100.34332026871409</v>
      </c>
      <c r="Q100" s="6">
        <v>6.4750633483021129</v>
      </c>
      <c r="R100" s="6">
        <v>19.439721185378961</v>
      </c>
      <c r="S100" s="6">
        <v>15.69845401342608</v>
      </c>
      <c r="T100" s="6">
        <v>23.536524503584491</v>
      </c>
      <c r="U100" s="6">
        <v>65.149763050691647</v>
      </c>
      <c r="V100" s="6">
        <v>165.49308331940571</v>
      </c>
      <c r="W100" s="6">
        <v>24.72743664326293</v>
      </c>
      <c r="X100" s="6">
        <v>15.039997976114741</v>
      </c>
      <c r="Y100" s="6">
        <v>205.26051793878341</v>
      </c>
      <c r="Z100" s="6">
        <v>10.61640394685033</v>
      </c>
      <c r="AA100" s="6">
        <v>215.87692188563369</v>
      </c>
      <c r="AB100" s="6">
        <v>0.77217126669247149</v>
      </c>
      <c r="AC100" s="6">
        <v>70.859518020474169</v>
      </c>
      <c r="AD100" s="6">
        <v>0</v>
      </c>
      <c r="AE100" s="6">
        <v>9.285537106764453</v>
      </c>
      <c r="AF100" s="6">
        <v>296.79414827956481</v>
      </c>
      <c r="AG100" s="6">
        <v>18.934184735281232</v>
      </c>
      <c r="AH100" s="6">
        <v>3.909701914799439</v>
      </c>
      <c r="AI100" s="6">
        <v>35.454920463095583</v>
      </c>
      <c r="AJ100" s="6">
        <v>274.94790026550243</v>
      </c>
      <c r="AK100" s="6">
        <v>2.4128485106173212</v>
      </c>
      <c r="AL100" s="6">
        <v>0</v>
      </c>
      <c r="AM100" s="6">
        <v>0</v>
      </c>
      <c r="AN100" s="6">
        <v>0</v>
      </c>
      <c r="AO100" s="6">
        <v>0</v>
      </c>
      <c r="AP100" s="6">
        <v>277.36074877611981</v>
      </c>
      <c r="AQ100" s="6">
        <v>419.99999964779198</v>
      </c>
      <c r="AR100" s="6">
        <v>338.456344</v>
      </c>
      <c r="AS100" s="6">
        <v>214.7394817090086</v>
      </c>
      <c r="AT100" s="6">
        <v>204.12307776215829</v>
      </c>
    </row>
    <row r="101" spans="1:46" x14ac:dyDescent="0.35">
      <c r="A101" s="5">
        <v>46022</v>
      </c>
      <c r="B101" s="4" t="s">
        <v>718</v>
      </c>
      <c r="C101" s="4" t="s">
        <v>719</v>
      </c>
      <c r="D101" s="4" t="s">
        <v>79</v>
      </c>
      <c r="E101" s="6">
        <v>4400</v>
      </c>
      <c r="F101" s="7">
        <v>0.2</v>
      </c>
      <c r="G101" s="6">
        <v>51</v>
      </c>
      <c r="H101" s="6">
        <v>4.4880000000000004</v>
      </c>
      <c r="I101" s="6">
        <v>97</v>
      </c>
      <c r="J101" s="6">
        <v>4.3533600000000003</v>
      </c>
      <c r="K101" s="8">
        <v>9.2802896714186272</v>
      </c>
      <c r="L101" s="6">
        <v>50.928005097902478</v>
      </c>
      <c r="M101" s="6">
        <v>5.9249397813064117</v>
      </c>
      <c r="N101" s="6">
        <v>1.403368923798257</v>
      </c>
      <c r="O101" s="6">
        <v>54.679665257155492</v>
      </c>
      <c r="P101" s="6">
        <v>112.93597906016259</v>
      </c>
      <c r="Q101" s="6">
        <v>12.753796357556981</v>
      </c>
      <c r="R101" s="6">
        <v>9.5363481395195357</v>
      </c>
      <c r="S101" s="6">
        <v>8.2529622595898076</v>
      </c>
      <c r="T101" s="6">
        <v>35.13676699736331</v>
      </c>
      <c r="U101" s="6">
        <v>65.679873754029643</v>
      </c>
      <c r="V101" s="6">
        <v>178.61585281419229</v>
      </c>
      <c r="W101" s="6">
        <v>8.6127125565903278</v>
      </c>
      <c r="X101" s="6">
        <v>22.01238261663708</v>
      </c>
      <c r="Y101" s="6">
        <v>209.2409479874197</v>
      </c>
      <c r="Z101" s="6">
        <v>11.460171927356299</v>
      </c>
      <c r="AA101" s="6">
        <v>220.701119914776</v>
      </c>
      <c r="AB101" s="6">
        <v>0</v>
      </c>
      <c r="AC101" s="6">
        <v>9.2692081323757769</v>
      </c>
      <c r="AD101" s="6">
        <v>0</v>
      </c>
      <c r="AE101" s="6">
        <v>0</v>
      </c>
      <c r="AF101" s="6">
        <v>229.97032804715181</v>
      </c>
      <c r="AG101" s="6">
        <v>5.8016807208505714</v>
      </c>
      <c r="AH101" s="6">
        <v>2.9008403604252848</v>
      </c>
      <c r="AI101" s="6">
        <v>9.2692081323757769</v>
      </c>
      <c r="AJ101" s="6">
        <v>238.6728491284276</v>
      </c>
      <c r="AK101" s="6">
        <v>0</v>
      </c>
      <c r="AL101" s="6">
        <v>0</v>
      </c>
      <c r="AM101" s="6">
        <v>0</v>
      </c>
      <c r="AN101" s="6">
        <v>0</v>
      </c>
      <c r="AO101" s="6">
        <v>0</v>
      </c>
      <c r="AP101" s="6">
        <v>238.6728491284276</v>
      </c>
      <c r="AQ101" s="6">
        <v>420.00385873594132</v>
      </c>
      <c r="AR101" s="6">
        <v>474.07562999999999</v>
      </c>
      <c r="AS101" s="6">
        <v>210.76291074852159</v>
      </c>
      <c r="AT101" s="6">
        <v>199.30273882116529</v>
      </c>
    </row>
    <row r="102" spans="1:46" x14ac:dyDescent="0.35">
      <c r="A102" s="5">
        <v>46022</v>
      </c>
      <c r="B102" s="4" t="s">
        <v>308</v>
      </c>
      <c r="C102" s="4" t="s">
        <v>309</v>
      </c>
      <c r="D102" s="4" t="s">
        <v>61</v>
      </c>
      <c r="E102" s="6">
        <v>4200</v>
      </c>
      <c r="F102" s="7">
        <v>0.85</v>
      </c>
      <c r="G102" s="6">
        <v>88</v>
      </c>
      <c r="H102" s="6">
        <v>31.416</v>
      </c>
      <c r="I102" s="6">
        <v>97</v>
      </c>
      <c r="J102" s="6">
        <v>30.473520000000001</v>
      </c>
      <c r="K102" s="8">
        <v>87.089899559996709</v>
      </c>
      <c r="L102" s="6">
        <v>37.986392351321427</v>
      </c>
      <c r="M102" s="6">
        <v>3.1230572144205091</v>
      </c>
      <c r="N102" s="6">
        <v>21.766927059248228</v>
      </c>
      <c r="O102" s="6">
        <v>28.2141405569262</v>
      </c>
      <c r="P102" s="6">
        <v>91.090517181916368</v>
      </c>
      <c r="Q102" s="6">
        <v>9.7277645599500637</v>
      </c>
      <c r="R102" s="6">
        <v>7.5651111127133204</v>
      </c>
      <c r="S102" s="6">
        <v>14.452160766877981</v>
      </c>
      <c r="T102" s="6">
        <v>22.659100007429821</v>
      </c>
      <c r="U102" s="6">
        <v>54.404136446971179</v>
      </c>
      <c r="V102" s="6">
        <v>145.49465362888751</v>
      </c>
      <c r="W102" s="6">
        <v>2.614242253282526</v>
      </c>
      <c r="X102" s="6">
        <v>23.605671211000011</v>
      </c>
      <c r="Y102" s="6">
        <v>171.7145670931701</v>
      </c>
      <c r="Z102" s="6">
        <v>54.87618642410515</v>
      </c>
      <c r="AA102" s="6">
        <v>226.5907535172752</v>
      </c>
      <c r="AB102" s="6">
        <v>0</v>
      </c>
      <c r="AC102" s="6">
        <v>13.38473392204293</v>
      </c>
      <c r="AD102" s="6">
        <v>0</v>
      </c>
      <c r="AE102" s="6">
        <v>0</v>
      </c>
      <c r="AF102" s="6">
        <v>239.97548743931819</v>
      </c>
      <c r="AG102" s="6">
        <v>10.325366790664839</v>
      </c>
      <c r="AH102" s="6">
        <v>0</v>
      </c>
      <c r="AI102" s="6">
        <v>19.702329552821361</v>
      </c>
      <c r="AJ102" s="6">
        <v>256.61844986076142</v>
      </c>
      <c r="AK102" s="6">
        <v>0</v>
      </c>
      <c r="AL102" s="6">
        <v>0</v>
      </c>
      <c r="AM102" s="6">
        <v>0</v>
      </c>
      <c r="AN102" s="6">
        <v>0</v>
      </c>
      <c r="AO102" s="6">
        <v>0</v>
      </c>
      <c r="AP102" s="6">
        <v>256.61844986076142</v>
      </c>
      <c r="AQ102" s="6">
        <v>419.99972399863839</v>
      </c>
      <c r="AR102" s="6">
        <v>323.45357100000001</v>
      </c>
      <c r="AS102" s="6">
        <v>248.28515690546831</v>
      </c>
      <c r="AT102" s="6">
        <v>193.40897048136321</v>
      </c>
    </row>
    <row r="103" spans="1:46" x14ac:dyDescent="0.35">
      <c r="A103" s="5">
        <v>46022</v>
      </c>
      <c r="B103" s="4" t="s">
        <v>199</v>
      </c>
      <c r="C103" s="4" t="s">
        <v>200</v>
      </c>
      <c r="D103" s="4" t="s">
        <v>61</v>
      </c>
      <c r="E103" s="6">
        <v>50</v>
      </c>
      <c r="F103" s="7">
        <v>0.42220000000000002</v>
      </c>
      <c r="G103" s="6">
        <v>81</v>
      </c>
      <c r="H103" s="6">
        <v>0.17100000000000001</v>
      </c>
      <c r="I103" s="6">
        <v>94.241175999999996</v>
      </c>
      <c r="J103" s="6">
        <v>0.16114500000000001</v>
      </c>
      <c r="K103" s="8">
        <v>98.825184672238791</v>
      </c>
      <c r="L103" s="6">
        <v>69.423524329970306</v>
      </c>
      <c r="M103" s="6">
        <v>7.9673068013762451</v>
      </c>
      <c r="N103" s="6">
        <v>40.185990098288222</v>
      </c>
      <c r="O103" s="6">
        <v>35.59684229938054</v>
      </c>
      <c r="P103" s="6">
        <v>153.1736635290153</v>
      </c>
      <c r="Q103" s="6">
        <v>39.569556507396349</v>
      </c>
      <c r="R103" s="6">
        <v>10.5078699717803</v>
      </c>
      <c r="S103" s="6">
        <v>57.498844616849738</v>
      </c>
      <c r="T103" s="6">
        <v>32.844602621309889</v>
      </c>
      <c r="U103" s="6">
        <v>140.42087371733629</v>
      </c>
      <c r="V103" s="6">
        <v>293.59453724635159</v>
      </c>
      <c r="W103" s="6">
        <v>4.0111261686836164</v>
      </c>
      <c r="X103" s="6">
        <v>27.91947068055801</v>
      </c>
      <c r="Y103" s="6">
        <v>325.52513409559322</v>
      </c>
      <c r="Z103" s="6">
        <v>76.502001678281772</v>
      </c>
      <c r="AA103" s="6">
        <v>402.02713577387499</v>
      </c>
      <c r="AB103" s="6">
        <v>0</v>
      </c>
      <c r="AC103" s="6">
        <v>14.566331316254789</v>
      </c>
      <c r="AD103" s="6">
        <v>0</v>
      </c>
      <c r="AE103" s="6">
        <v>0</v>
      </c>
      <c r="AF103" s="6">
        <v>416.59346709012982</v>
      </c>
      <c r="AG103" s="6">
        <v>10.84227684961904</v>
      </c>
      <c r="AH103" s="6">
        <v>0</v>
      </c>
      <c r="AI103" s="6">
        <v>14.566331316254789</v>
      </c>
      <c r="AJ103" s="6">
        <v>427.43574393974882</v>
      </c>
      <c r="AK103" s="6">
        <v>0</v>
      </c>
      <c r="AL103" s="6">
        <v>0</v>
      </c>
      <c r="AM103" s="6">
        <v>0</v>
      </c>
      <c r="AN103" s="6">
        <v>0</v>
      </c>
      <c r="AO103" s="6">
        <v>0</v>
      </c>
      <c r="AP103" s="6">
        <v>427.43574393974882</v>
      </c>
      <c r="AQ103" s="6">
        <v>419.88271397349757</v>
      </c>
      <c r="AR103" s="6">
        <v>1.510062</v>
      </c>
      <c r="AS103" s="6">
        <v>94.357579877904428</v>
      </c>
      <c r="AT103" s="6">
        <v>17.855578199622659</v>
      </c>
    </row>
    <row r="104" spans="1:46" x14ac:dyDescent="0.35">
      <c r="A104" s="5">
        <v>46022</v>
      </c>
      <c r="B104" s="4" t="s">
        <v>201</v>
      </c>
      <c r="C104" s="4" t="s">
        <v>202</v>
      </c>
      <c r="D104" s="4" t="s">
        <v>61</v>
      </c>
      <c r="E104" s="6">
        <v>1800</v>
      </c>
      <c r="F104" s="7">
        <v>0.9</v>
      </c>
      <c r="G104" s="6">
        <v>67</v>
      </c>
      <c r="H104" s="6">
        <v>10.853999999999999</v>
      </c>
      <c r="I104" s="6">
        <v>97</v>
      </c>
      <c r="J104" s="6">
        <v>10.52838</v>
      </c>
      <c r="K104" s="8">
        <v>46.546660413370802</v>
      </c>
      <c r="L104" s="6">
        <v>3.3290909309578498</v>
      </c>
      <c r="M104" s="6">
        <v>10.368394190346381</v>
      </c>
      <c r="N104" s="6">
        <v>12.905105349662289</v>
      </c>
      <c r="O104" s="6">
        <v>37.732548841859362</v>
      </c>
      <c r="P104" s="6">
        <v>64.335139312825874</v>
      </c>
      <c r="Q104" s="6">
        <v>5.958562903202389</v>
      </c>
      <c r="R104" s="6">
        <v>9.4638264637732377</v>
      </c>
      <c r="S104" s="6">
        <v>17.807025927152171</v>
      </c>
      <c r="T104" s="6">
        <v>9.0970353810068723</v>
      </c>
      <c r="U104" s="6">
        <v>42.326450675134673</v>
      </c>
      <c r="V104" s="6">
        <v>106.6615899879605</v>
      </c>
      <c r="W104" s="6">
        <v>20.60935453374875</v>
      </c>
      <c r="X104" s="6">
        <v>31.381065197019861</v>
      </c>
      <c r="Y104" s="6">
        <v>158.6520097187292</v>
      </c>
      <c r="Z104" s="6">
        <v>13.86434338004435</v>
      </c>
      <c r="AA104" s="6">
        <v>172.51635309877349</v>
      </c>
      <c r="AB104" s="6">
        <v>0</v>
      </c>
      <c r="AC104" s="6">
        <v>4.552315043418095</v>
      </c>
      <c r="AD104" s="6">
        <v>0</v>
      </c>
      <c r="AE104" s="6">
        <v>0</v>
      </c>
      <c r="AF104" s="6">
        <v>177.0686681421916</v>
      </c>
      <c r="AG104" s="6">
        <v>3.4499348291298779</v>
      </c>
      <c r="AH104" s="6">
        <v>0</v>
      </c>
      <c r="AI104" s="6">
        <v>4.552315043418095</v>
      </c>
      <c r="AJ104" s="6">
        <v>180.51860297132151</v>
      </c>
      <c r="AK104" s="6">
        <v>0</v>
      </c>
      <c r="AL104" s="6">
        <v>0</v>
      </c>
      <c r="AM104" s="6">
        <v>0</v>
      </c>
      <c r="AN104" s="6">
        <v>0</v>
      </c>
      <c r="AO104" s="6">
        <v>0</v>
      </c>
      <c r="AP104" s="6">
        <v>180.51860297132151</v>
      </c>
      <c r="AQ104" s="6">
        <v>420.00079749133408</v>
      </c>
      <c r="AR104" s="6">
        <v>256.432841</v>
      </c>
      <c r="AS104" s="6">
        <v>261.34878777260502</v>
      </c>
      <c r="AT104" s="6">
        <v>247.48444439256059</v>
      </c>
    </row>
    <row r="105" spans="1:46" x14ac:dyDescent="0.35">
      <c r="A105" s="5">
        <v>46022</v>
      </c>
      <c r="B105" s="4" t="s">
        <v>203</v>
      </c>
      <c r="C105" s="4" t="s">
        <v>204</v>
      </c>
      <c r="D105" s="4" t="s">
        <v>61</v>
      </c>
      <c r="E105" s="6">
        <v>28000</v>
      </c>
      <c r="F105" s="7">
        <v>0.41</v>
      </c>
      <c r="G105" s="6">
        <v>89</v>
      </c>
      <c r="H105" s="6">
        <v>102.172</v>
      </c>
      <c r="I105" s="6">
        <v>97</v>
      </c>
      <c r="J105" s="6">
        <v>99.106840000000005</v>
      </c>
      <c r="K105" s="8">
        <v>76.226722782201008</v>
      </c>
      <c r="L105" s="6">
        <v>9.3667208088596734</v>
      </c>
      <c r="M105" s="6">
        <v>16.279792552548571</v>
      </c>
      <c r="N105" s="6">
        <v>8.2980481130650894</v>
      </c>
      <c r="O105" s="6">
        <v>26.393109206626558</v>
      </c>
      <c r="P105" s="6">
        <v>60.337670681099887</v>
      </c>
      <c r="Q105" s="6">
        <v>4.6204366825837599</v>
      </c>
      <c r="R105" s="6">
        <v>6.7776902547399231</v>
      </c>
      <c r="S105" s="6">
        <v>24.220763318976768</v>
      </c>
      <c r="T105" s="6">
        <v>36.94219815466613</v>
      </c>
      <c r="U105" s="6">
        <v>72.561088410966576</v>
      </c>
      <c r="V105" s="6">
        <v>132.89875909206651</v>
      </c>
      <c r="W105" s="6">
        <v>14.074584115713421</v>
      </c>
      <c r="X105" s="6">
        <v>21.95102119761259</v>
      </c>
      <c r="Y105" s="6">
        <v>168.92436440539251</v>
      </c>
      <c r="Z105" s="6">
        <v>9.3324726032938887</v>
      </c>
      <c r="AA105" s="6">
        <v>178.2568370086864</v>
      </c>
      <c r="AB105" s="6">
        <v>0</v>
      </c>
      <c r="AC105" s="6">
        <v>23.191330643465609</v>
      </c>
      <c r="AD105" s="6">
        <v>0</v>
      </c>
      <c r="AE105" s="6">
        <v>0</v>
      </c>
      <c r="AF105" s="6">
        <v>201.44816765215199</v>
      </c>
      <c r="AG105" s="6">
        <v>9.1530253436567275</v>
      </c>
      <c r="AH105" s="6">
        <v>0</v>
      </c>
      <c r="AI105" s="6">
        <v>7.0534546990020903</v>
      </c>
      <c r="AJ105" s="6">
        <v>194.4633170513452</v>
      </c>
      <c r="AK105" s="6">
        <v>0</v>
      </c>
      <c r="AL105" s="6">
        <v>0</v>
      </c>
      <c r="AM105" s="6">
        <v>0</v>
      </c>
      <c r="AN105" s="6">
        <v>0</v>
      </c>
      <c r="AO105" s="6">
        <v>0</v>
      </c>
      <c r="AP105" s="6">
        <v>194.4633170513452</v>
      </c>
      <c r="AQ105" s="6">
        <v>419.9998301337605</v>
      </c>
      <c r="AR105" s="6">
        <v>1198.0591549999999</v>
      </c>
      <c r="AS105" s="6">
        <v>251.0754657283681</v>
      </c>
      <c r="AT105" s="6">
        <v>241.74299312507421</v>
      </c>
    </row>
    <row r="106" spans="1:46" x14ac:dyDescent="0.35">
      <c r="A106" s="5">
        <v>46022</v>
      </c>
      <c r="B106" s="4" t="s">
        <v>158</v>
      </c>
      <c r="C106" s="4" t="s">
        <v>159</v>
      </c>
      <c r="D106" s="4" t="s">
        <v>79</v>
      </c>
      <c r="E106" s="6">
        <v>684</v>
      </c>
      <c r="F106" s="7">
        <v>1.6</v>
      </c>
      <c r="G106" s="6">
        <v>83.9</v>
      </c>
      <c r="H106" s="6">
        <v>9.1820000000000004</v>
      </c>
      <c r="I106" s="6">
        <v>95.289364000000006</v>
      </c>
      <c r="J106" s="6">
        <v>8.749485</v>
      </c>
      <c r="K106" s="8">
        <v>36.025994121261228</v>
      </c>
      <c r="L106" s="6">
        <v>36.949250206841697</v>
      </c>
      <c r="M106" s="6">
        <v>35.859683187806027</v>
      </c>
      <c r="N106" s="6">
        <v>10.19354988745374</v>
      </c>
      <c r="O106" s="6">
        <v>32.414186068749949</v>
      </c>
      <c r="P106" s="6">
        <v>115.41666935085139</v>
      </c>
      <c r="Q106" s="6">
        <v>16.872515066604269</v>
      </c>
      <c r="R106" s="6">
        <v>8.6142531523286063</v>
      </c>
      <c r="S106" s="6">
        <v>14.86040434112935</v>
      </c>
      <c r="T106" s="6">
        <v>23.677234451444381</v>
      </c>
      <c r="U106" s="6">
        <v>64.024407011506597</v>
      </c>
      <c r="V106" s="6">
        <v>179.44107636235799</v>
      </c>
      <c r="W106" s="6">
        <v>6.5568689330736776</v>
      </c>
      <c r="X106" s="6">
        <v>32.550605062880713</v>
      </c>
      <c r="Y106" s="6">
        <v>218.54855035831241</v>
      </c>
      <c r="Z106" s="6">
        <v>18.419910383477959</v>
      </c>
      <c r="AA106" s="6">
        <v>236.96846074179041</v>
      </c>
      <c r="AB106" s="6">
        <v>0</v>
      </c>
      <c r="AC106" s="6">
        <v>113.4314317698709</v>
      </c>
      <c r="AD106" s="6">
        <v>0</v>
      </c>
      <c r="AE106" s="6">
        <v>0</v>
      </c>
      <c r="AF106" s="6">
        <v>350.39989251166128</v>
      </c>
      <c r="AG106" s="6">
        <v>17.412278704412142</v>
      </c>
      <c r="AH106" s="6">
        <v>0</v>
      </c>
      <c r="AI106" s="6">
        <v>46.691651659669937</v>
      </c>
      <c r="AJ106" s="6">
        <v>301.0723911058725</v>
      </c>
      <c r="AK106" s="6">
        <v>0</v>
      </c>
      <c r="AL106" s="6">
        <v>0</v>
      </c>
      <c r="AM106" s="6">
        <v>0</v>
      </c>
      <c r="AN106" s="6">
        <v>0</v>
      </c>
      <c r="AO106" s="6">
        <v>0</v>
      </c>
      <c r="AP106" s="6">
        <v>301.0723911058725</v>
      </c>
      <c r="AQ106" s="6">
        <v>420.00071969017102</v>
      </c>
      <c r="AR106" s="6">
        <v>249.118461</v>
      </c>
      <c r="AS106" s="6">
        <v>201.45216933185861</v>
      </c>
      <c r="AT106" s="6">
        <v>183.03225894838059</v>
      </c>
    </row>
    <row r="107" spans="1:46" x14ac:dyDescent="0.35">
      <c r="A107" s="5">
        <v>46022</v>
      </c>
      <c r="B107" s="4" t="s">
        <v>160</v>
      </c>
      <c r="C107" s="4" t="s">
        <v>161</v>
      </c>
      <c r="D107" s="4" t="s">
        <v>69</v>
      </c>
      <c r="E107" s="6">
        <v>1940.2915</v>
      </c>
      <c r="F107" s="7">
        <v>2.2450000000000001</v>
      </c>
      <c r="G107" s="6">
        <v>92.29</v>
      </c>
      <c r="H107" s="6">
        <v>40.200000000000003</v>
      </c>
      <c r="I107" s="6">
        <v>97</v>
      </c>
      <c r="J107" s="6">
        <v>38.994</v>
      </c>
      <c r="K107" s="8">
        <v>63.556419541992049</v>
      </c>
      <c r="L107" s="6">
        <v>62.85921935427006</v>
      </c>
      <c r="M107" s="6">
        <v>15.19724488211749</v>
      </c>
      <c r="N107" s="6">
        <v>10.58705477429605</v>
      </c>
      <c r="O107" s="6">
        <v>26.232147879907892</v>
      </c>
      <c r="P107" s="6">
        <v>114.8756668905915</v>
      </c>
      <c r="Q107" s="6">
        <v>14.010449194583099</v>
      </c>
      <c r="R107" s="6">
        <v>5.5442996843087231</v>
      </c>
      <c r="S107" s="6">
        <v>9.5541834315167211</v>
      </c>
      <c r="T107" s="6">
        <v>4.5730804709171968</v>
      </c>
      <c r="U107" s="6">
        <v>33.682012781325739</v>
      </c>
      <c r="V107" s="6">
        <v>148.55767967191721</v>
      </c>
      <c r="W107" s="6">
        <v>25.20544927542004</v>
      </c>
      <c r="X107" s="6">
        <v>23.275935250871289</v>
      </c>
      <c r="Y107" s="6">
        <v>197.03906419820859</v>
      </c>
      <c r="Z107" s="6">
        <v>10.41843221144037</v>
      </c>
      <c r="AA107" s="6">
        <v>207.45749640964891</v>
      </c>
      <c r="AB107" s="6">
        <v>0</v>
      </c>
      <c r="AC107" s="6">
        <v>88.484235552906782</v>
      </c>
      <c r="AD107" s="6">
        <v>0</v>
      </c>
      <c r="AE107" s="6">
        <v>0</v>
      </c>
      <c r="AF107" s="6">
        <v>295.94173196255571</v>
      </c>
      <c r="AG107" s="6">
        <v>20.565525045275191</v>
      </c>
      <c r="AH107" s="6">
        <v>0</v>
      </c>
      <c r="AI107" s="6">
        <v>36.451081831293763</v>
      </c>
      <c r="AJ107" s="6">
        <v>264.47410328621788</v>
      </c>
      <c r="AK107" s="6">
        <v>0</v>
      </c>
      <c r="AL107" s="6">
        <v>0</v>
      </c>
      <c r="AM107" s="6">
        <v>0</v>
      </c>
      <c r="AN107" s="6">
        <v>0</v>
      </c>
      <c r="AO107" s="6">
        <v>0</v>
      </c>
      <c r="AP107" s="6">
        <v>264.47410328621788</v>
      </c>
      <c r="AQ107" s="6">
        <v>419.99999964779192</v>
      </c>
      <c r="AR107" s="6">
        <v>579.78637600000002</v>
      </c>
      <c r="AS107" s="6">
        <v>222.96093544958339</v>
      </c>
      <c r="AT107" s="6">
        <v>212.54250323814301</v>
      </c>
    </row>
    <row r="108" spans="1:46" x14ac:dyDescent="0.35">
      <c r="A108" s="5">
        <v>46022</v>
      </c>
      <c r="B108" s="4" t="s">
        <v>205</v>
      </c>
      <c r="C108" s="4" t="s">
        <v>206</v>
      </c>
      <c r="D108" s="4" t="s">
        <v>61</v>
      </c>
      <c r="E108" s="6">
        <v>1500</v>
      </c>
      <c r="F108" s="7">
        <v>0.30209999999999998</v>
      </c>
      <c r="G108" s="6">
        <v>85</v>
      </c>
      <c r="H108" s="6">
        <v>3.8519999999999999</v>
      </c>
      <c r="I108" s="6">
        <v>94.75</v>
      </c>
      <c r="J108" s="6">
        <v>3.649473</v>
      </c>
      <c r="K108" s="8">
        <v>25.030755397289003</v>
      </c>
      <c r="L108" s="6">
        <v>60.027164784742602</v>
      </c>
      <c r="M108" s="6">
        <v>11.1375466407082</v>
      </c>
      <c r="N108" s="6">
        <v>3.5554470430027241</v>
      </c>
      <c r="O108" s="6">
        <v>20.13898869467025</v>
      </c>
      <c r="P108" s="6">
        <v>94.859147163123765</v>
      </c>
      <c r="Q108" s="6">
        <v>16.037889831728251</v>
      </c>
      <c r="R108" s="6">
        <v>8.5387950910811057</v>
      </c>
      <c r="S108" s="6">
        <v>11.225316098826671</v>
      </c>
      <c r="T108" s="6">
        <v>14.92690712948869</v>
      </c>
      <c r="U108" s="6">
        <v>50.728908151124699</v>
      </c>
      <c r="V108" s="6">
        <v>145.58805531424849</v>
      </c>
      <c r="W108" s="6">
        <v>34.44396193561662</v>
      </c>
      <c r="X108" s="6">
        <v>31.698437452997599</v>
      </c>
      <c r="Y108" s="6">
        <v>211.73045470286269</v>
      </c>
      <c r="Z108" s="6">
        <v>28.01203156111087</v>
      </c>
      <c r="AA108" s="6">
        <v>239.7424862639736</v>
      </c>
      <c r="AB108" s="6">
        <v>0</v>
      </c>
      <c r="AC108" s="6">
        <v>19.18168187637897</v>
      </c>
      <c r="AD108" s="6">
        <v>0</v>
      </c>
      <c r="AE108" s="6">
        <v>0</v>
      </c>
      <c r="AF108" s="6">
        <v>258.92416814035249</v>
      </c>
      <c r="AG108" s="6">
        <v>10.488958904819469</v>
      </c>
      <c r="AH108" s="6">
        <v>6.5704688607648416</v>
      </c>
      <c r="AI108" s="6">
        <v>5.0478124937636482</v>
      </c>
      <c r="AJ108" s="6">
        <v>261.84972652332152</v>
      </c>
      <c r="AK108" s="6">
        <v>0</v>
      </c>
      <c r="AL108" s="6">
        <v>0</v>
      </c>
      <c r="AM108" s="6">
        <v>0</v>
      </c>
      <c r="AN108" s="6">
        <v>0</v>
      </c>
      <c r="AO108" s="6">
        <v>0</v>
      </c>
      <c r="AP108" s="6">
        <v>261.84972652332152</v>
      </c>
      <c r="AQ108" s="6">
        <v>420.00310694574722</v>
      </c>
      <c r="AR108" s="6">
        <v>150.065946</v>
      </c>
      <c r="AS108" s="6">
        <v>208.2726522428845</v>
      </c>
      <c r="AT108" s="6">
        <v>180.26062068177359</v>
      </c>
    </row>
    <row r="109" spans="1:46" x14ac:dyDescent="0.35">
      <c r="A109" s="5">
        <v>46022</v>
      </c>
      <c r="B109" s="4" t="s">
        <v>310</v>
      </c>
      <c r="C109" s="4" t="s">
        <v>311</v>
      </c>
      <c r="D109" s="4" t="s">
        <v>58</v>
      </c>
      <c r="E109" s="6">
        <v>36213.033997999999</v>
      </c>
      <c r="F109" s="7">
        <v>0.32</v>
      </c>
      <c r="G109" s="6">
        <v>80.650000000000006</v>
      </c>
      <c r="H109" s="6">
        <v>93.462999999999994</v>
      </c>
      <c r="I109" s="6">
        <v>100</v>
      </c>
      <c r="J109" s="6">
        <v>93.462536</v>
      </c>
      <c r="K109" s="8">
        <v>100</v>
      </c>
      <c r="L109" s="6">
        <v>90.620327219505555</v>
      </c>
      <c r="M109" s="6">
        <v>31.177238797256781</v>
      </c>
      <c r="N109" s="6">
        <v>1.6907238479804261</v>
      </c>
      <c r="O109" s="6">
        <v>26.931808560919869</v>
      </c>
      <c r="P109" s="6">
        <v>150.42009842566259</v>
      </c>
      <c r="Q109" s="6">
        <v>35.833359513730151</v>
      </c>
      <c r="R109" s="6">
        <v>10.079157749350109</v>
      </c>
      <c r="S109" s="6">
        <v>32.375162188928329</v>
      </c>
      <c r="T109" s="6">
        <v>6.6240711834914636</v>
      </c>
      <c r="U109" s="6">
        <v>84.911750635500056</v>
      </c>
      <c r="V109" s="6">
        <v>235.3318490611627</v>
      </c>
      <c r="W109" s="6">
        <v>10.529692305768361</v>
      </c>
      <c r="X109" s="6">
        <v>0</v>
      </c>
      <c r="Y109" s="6">
        <v>245.86154136693099</v>
      </c>
      <c r="Z109" s="6">
        <v>3.135729502269669</v>
      </c>
      <c r="AA109" s="6">
        <v>248.99727086920069</v>
      </c>
      <c r="AB109" s="6">
        <v>0</v>
      </c>
      <c r="AC109" s="6">
        <v>33.411519439556798</v>
      </c>
      <c r="AD109" s="6">
        <v>0</v>
      </c>
      <c r="AE109" s="6">
        <v>0</v>
      </c>
      <c r="AF109" s="6">
        <v>282.40879030875749</v>
      </c>
      <c r="AG109" s="6">
        <v>10.67449022641884</v>
      </c>
      <c r="AH109" s="6">
        <v>0</v>
      </c>
      <c r="AI109" s="6">
        <v>23.634755579338311</v>
      </c>
      <c r="AJ109" s="6">
        <v>283.30651667495789</v>
      </c>
      <c r="AK109" s="6">
        <v>0</v>
      </c>
      <c r="AL109" s="6">
        <v>0</v>
      </c>
      <c r="AM109" s="6">
        <v>0</v>
      </c>
      <c r="AN109" s="6">
        <v>0</v>
      </c>
      <c r="AO109" s="6">
        <v>0</v>
      </c>
      <c r="AP109" s="6">
        <v>283.30651667495789</v>
      </c>
      <c r="AQ109" s="6">
        <v>419.99983787174102</v>
      </c>
      <c r="AR109" s="6">
        <v>865.40807500000005</v>
      </c>
      <c r="AS109" s="6">
        <v>174.13829650480989</v>
      </c>
      <c r="AT109" s="6">
        <v>171.0025670025403</v>
      </c>
    </row>
    <row r="110" spans="1:46" x14ac:dyDescent="0.35">
      <c r="A110" s="5">
        <v>46022</v>
      </c>
      <c r="B110" s="4" t="s">
        <v>207</v>
      </c>
      <c r="C110" s="4" t="s">
        <v>208</v>
      </c>
      <c r="D110" s="4" t="s">
        <v>50</v>
      </c>
      <c r="E110" s="6">
        <v>4200</v>
      </c>
      <c r="F110" s="7">
        <v>1.6</v>
      </c>
      <c r="G110" s="6">
        <v>82</v>
      </c>
      <c r="H110" s="6">
        <v>55.103999999999999</v>
      </c>
      <c r="I110" s="6">
        <v>95.217391000000006</v>
      </c>
      <c r="J110" s="6">
        <v>52.468591000000004</v>
      </c>
      <c r="K110" s="8">
        <v>88.185772467685439</v>
      </c>
      <c r="L110" s="6">
        <v>40.463383344220063</v>
      </c>
      <c r="M110" s="6">
        <v>9.4222224443423386</v>
      </c>
      <c r="N110" s="6">
        <v>5.6725726859560552</v>
      </c>
      <c r="O110" s="6">
        <v>34.141026725283723</v>
      </c>
      <c r="P110" s="6">
        <v>89.699205199802179</v>
      </c>
      <c r="Q110" s="6">
        <v>10.684333933116219</v>
      </c>
      <c r="R110" s="6">
        <v>6.4518529655392838</v>
      </c>
      <c r="S110" s="6">
        <v>15.15160407576311</v>
      </c>
      <c r="T110" s="6">
        <v>25.03708422666811</v>
      </c>
      <c r="U110" s="6">
        <v>57.324875201086719</v>
      </c>
      <c r="V110" s="6">
        <v>147.02408040088889</v>
      </c>
      <c r="W110" s="6">
        <v>8.9632943038044033</v>
      </c>
      <c r="X110" s="6">
        <v>22.612016831580991</v>
      </c>
      <c r="Y110" s="6">
        <v>178.59939153627431</v>
      </c>
      <c r="Z110" s="6">
        <v>1.5448939612319881</v>
      </c>
      <c r="AA110" s="6">
        <v>180.1442854975063</v>
      </c>
      <c r="AB110" s="6">
        <v>3.0436428362607542</v>
      </c>
      <c r="AC110" s="6">
        <v>61.128461758388177</v>
      </c>
      <c r="AD110" s="6">
        <v>0</v>
      </c>
      <c r="AE110" s="6">
        <v>0</v>
      </c>
      <c r="AF110" s="6">
        <v>244.31639009215519</v>
      </c>
      <c r="AG110" s="6">
        <v>6.8297787818621423</v>
      </c>
      <c r="AH110" s="6">
        <v>0</v>
      </c>
      <c r="AI110" s="6">
        <v>45.742100527026132</v>
      </c>
      <c r="AJ110" s="6">
        <v>235.75980764265529</v>
      </c>
      <c r="AK110" s="6">
        <v>0</v>
      </c>
      <c r="AL110" s="6">
        <v>0</v>
      </c>
      <c r="AM110" s="6">
        <v>0</v>
      </c>
      <c r="AN110" s="6">
        <v>0</v>
      </c>
      <c r="AO110" s="6">
        <v>0</v>
      </c>
      <c r="AP110" s="6">
        <v>235.75980764265529</v>
      </c>
      <c r="AQ110" s="6">
        <v>420.00007169089281</v>
      </c>
      <c r="AR110" s="6">
        <v>551.92306099999996</v>
      </c>
      <c r="AS110" s="6">
        <v>241.4006801546185</v>
      </c>
      <c r="AT110" s="6">
        <v>239.85578619338659</v>
      </c>
    </row>
    <row r="111" spans="1:46" x14ac:dyDescent="0.35">
      <c r="A111" s="5">
        <v>46022</v>
      </c>
      <c r="B111" s="4" t="s">
        <v>720</v>
      </c>
      <c r="C111" s="4" t="s">
        <v>721</v>
      </c>
      <c r="D111" s="4" t="s">
        <v>50</v>
      </c>
      <c r="E111" s="6">
        <v>2200</v>
      </c>
      <c r="F111" s="7">
        <v>0.14810000000000001</v>
      </c>
      <c r="G111" s="6">
        <v>12.27</v>
      </c>
      <c r="H111" s="6">
        <v>0.4</v>
      </c>
      <c r="I111" s="6">
        <v>97</v>
      </c>
      <c r="J111" s="6">
        <v>0.38800000000000001</v>
      </c>
      <c r="K111" s="8">
        <v>1.1798014780271051</v>
      </c>
      <c r="L111" s="6">
        <v>32.075497827384062</v>
      </c>
      <c r="M111" s="6">
        <v>18.32769981412347</v>
      </c>
      <c r="N111" s="6">
        <v>41.599065340835558</v>
      </c>
      <c r="O111" s="6">
        <v>90.797777865648968</v>
      </c>
      <c r="P111" s="6">
        <v>182.80004084799211</v>
      </c>
      <c r="Q111" s="6">
        <v>2.6034841870866172</v>
      </c>
      <c r="R111" s="6">
        <v>6.178385089775853</v>
      </c>
      <c r="S111" s="6">
        <v>41.13841160857536</v>
      </c>
      <c r="T111" s="6">
        <v>9.8262317594516801</v>
      </c>
      <c r="U111" s="6">
        <v>59.746512644889513</v>
      </c>
      <c r="V111" s="6">
        <v>242.5465534928816</v>
      </c>
      <c r="W111" s="6">
        <v>0.75471193239215428</v>
      </c>
      <c r="X111" s="6">
        <v>10.56872499739727</v>
      </c>
      <c r="Y111" s="6">
        <v>253.86999042267101</v>
      </c>
      <c r="Z111" s="6">
        <v>6.2836065230920566</v>
      </c>
      <c r="AA111" s="6">
        <v>260.15359694576313</v>
      </c>
      <c r="AB111" s="6">
        <v>22.989753598987821</v>
      </c>
      <c r="AC111" s="6">
        <v>30.352584959984451</v>
      </c>
      <c r="AD111" s="6">
        <v>0</v>
      </c>
      <c r="AE111" s="6">
        <v>0</v>
      </c>
      <c r="AF111" s="6">
        <v>313.49593550473531</v>
      </c>
      <c r="AG111" s="6">
        <v>17.619998431665799</v>
      </c>
      <c r="AH111" s="6">
        <v>0</v>
      </c>
      <c r="AI111" s="6">
        <v>143.16889390739991</v>
      </c>
      <c r="AJ111" s="6">
        <v>443.93224288381663</v>
      </c>
      <c r="AK111" s="6">
        <v>0</v>
      </c>
      <c r="AL111" s="6">
        <v>0</v>
      </c>
      <c r="AM111" s="6">
        <v>0</v>
      </c>
      <c r="AN111" s="6">
        <v>0</v>
      </c>
      <c r="AO111" s="6">
        <v>0</v>
      </c>
      <c r="AP111" s="6">
        <v>443.93224288381663</v>
      </c>
      <c r="AQ111" s="6">
        <v>419.99999964779192</v>
      </c>
      <c r="AR111" s="6">
        <v>318.90753999999998</v>
      </c>
      <c r="AS111" s="6">
        <v>166.13000922512089</v>
      </c>
      <c r="AT111" s="6">
        <v>159.84640270202891</v>
      </c>
    </row>
    <row r="112" spans="1:46" x14ac:dyDescent="0.35">
      <c r="A112" s="5">
        <v>46022</v>
      </c>
      <c r="B112" s="4" t="s">
        <v>162</v>
      </c>
      <c r="C112" s="4" t="s">
        <v>163</v>
      </c>
      <c r="D112" s="4" t="s">
        <v>58</v>
      </c>
      <c r="E112" s="6">
        <v>6407.6</v>
      </c>
      <c r="F112" s="7">
        <v>0.86</v>
      </c>
      <c r="G112" s="6">
        <v>80</v>
      </c>
      <c r="H112" s="6">
        <v>44.084000000000003</v>
      </c>
      <c r="I112" s="6">
        <v>97</v>
      </c>
      <c r="J112" s="6">
        <v>42.761758999999998</v>
      </c>
      <c r="K112" s="8">
        <v>97.217748657547247</v>
      </c>
      <c r="L112" s="6">
        <v>36.936907408434919</v>
      </c>
      <c r="M112" s="6">
        <v>14.24983571895134</v>
      </c>
      <c r="N112" s="6">
        <v>1.403881181613617</v>
      </c>
      <c r="O112" s="6">
        <v>21.219723430385631</v>
      </c>
      <c r="P112" s="6">
        <v>73.810347739385506</v>
      </c>
      <c r="Q112" s="6">
        <v>34.2497424039965</v>
      </c>
      <c r="R112" s="6">
        <v>33.789330220242903</v>
      </c>
      <c r="S112" s="6">
        <v>56.218073393927419</v>
      </c>
      <c r="T112" s="6">
        <v>20.234156696903259</v>
      </c>
      <c r="U112" s="6">
        <v>144.49130271507011</v>
      </c>
      <c r="V112" s="6">
        <v>218.3016504544556</v>
      </c>
      <c r="W112" s="6">
        <v>9.327046530621379</v>
      </c>
      <c r="X112" s="6">
        <v>21.368013318163879</v>
      </c>
      <c r="Y112" s="6">
        <v>248.9967103032408</v>
      </c>
      <c r="Z112" s="6">
        <v>0.87068318834192771</v>
      </c>
      <c r="AA112" s="6">
        <v>249.86739349158279</v>
      </c>
      <c r="AB112" s="6">
        <v>0</v>
      </c>
      <c r="AC112" s="6">
        <v>46.320295108056612</v>
      </c>
      <c r="AD112" s="6">
        <v>0</v>
      </c>
      <c r="AE112" s="6">
        <v>0</v>
      </c>
      <c r="AF112" s="6">
        <v>296.18768859963939</v>
      </c>
      <c r="AG112" s="6">
        <v>6.7928472734293246</v>
      </c>
      <c r="AH112" s="6">
        <v>0</v>
      </c>
      <c r="AI112" s="6">
        <v>46.320295108056612</v>
      </c>
      <c r="AJ112" s="6">
        <v>302.98053587306867</v>
      </c>
      <c r="AK112" s="6">
        <v>0</v>
      </c>
      <c r="AL112" s="6">
        <v>0</v>
      </c>
      <c r="AM112" s="6">
        <v>0</v>
      </c>
      <c r="AN112" s="6">
        <v>0</v>
      </c>
      <c r="AO112" s="6">
        <v>0</v>
      </c>
      <c r="AP112" s="6">
        <v>302.98053587306867</v>
      </c>
      <c r="AQ112" s="6">
        <v>420.00040234404179</v>
      </c>
      <c r="AR112" s="6">
        <v>407.18429900000001</v>
      </c>
      <c r="AS112" s="6">
        <v>171.00369204080101</v>
      </c>
      <c r="AT112" s="6">
        <v>170.133008852459</v>
      </c>
    </row>
    <row r="113" spans="1:46" x14ac:dyDescent="0.35">
      <c r="A113" s="5">
        <v>46022</v>
      </c>
      <c r="B113" s="4" t="s">
        <v>340</v>
      </c>
      <c r="C113" s="4" t="s">
        <v>341</v>
      </c>
      <c r="D113" s="4" t="s">
        <v>58</v>
      </c>
      <c r="E113" s="6">
        <v>50000</v>
      </c>
      <c r="F113" s="7">
        <v>0.85</v>
      </c>
      <c r="G113" s="6">
        <v>80.47</v>
      </c>
      <c r="H113" s="6">
        <v>342</v>
      </c>
      <c r="I113" s="6">
        <v>96.153846000000001</v>
      </c>
      <c r="J113" s="6">
        <v>328.84615400000001</v>
      </c>
      <c r="K113" s="8">
        <v>89.729593198278991</v>
      </c>
      <c r="L113" s="6">
        <v>85.952628109568906</v>
      </c>
      <c r="M113" s="6">
        <v>1.5037636711487421</v>
      </c>
      <c r="N113" s="6">
        <v>3.2877382874104502</v>
      </c>
      <c r="O113" s="6">
        <v>33.175311220627769</v>
      </c>
      <c r="P113" s="6">
        <v>123.91944128875591</v>
      </c>
      <c r="Q113" s="6">
        <v>10.90743382107568</v>
      </c>
      <c r="R113" s="6">
        <v>9.9278218027565135</v>
      </c>
      <c r="S113" s="6">
        <v>14.972454249365629</v>
      </c>
      <c r="T113" s="6">
        <v>7.302886365729873</v>
      </c>
      <c r="U113" s="6">
        <v>43.110596238927698</v>
      </c>
      <c r="V113" s="6">
        <v>167.03003752768359</v>
      </c>
      <c r="W113" s="6">
        <v>8.7389777483166036</v>
      </c>
      <c r="X113" s="6">
        <v>20.802048966040282</v>
      </c>
      <c r="Y113" s="6">
        <v>196.57106424204039</v>
      </c>
      <c r="Z113" s="6">
        <v>11.985297592951619</v>
      </c>
      <c r="AA113" s="6">
        <v>208.55636183499209</v>
      </c>
      <c r="AB113" s="6">
        <v>0</v>
      </c>
      <c r="AC113" s="6">
        <v>57.066784551513379</v>
      </c>
      <c r="AD113" s="6">
        <v>0</v>
      </c>
      <c r="AE113" s="6">
        <v>0</v>
      </c>
      <c r="AF113" s="6">
        <v>265.62314638650548</v>
      </c>
      <c r="AG113" s="6">
        <v>23.614102863330221</v>
      </c>
      <c r="AH113" s="6">
        <v>0</v>
      </c>
      <c r="AI113" s="6">
        <v>20.917821313533992</v>
      </c>
      <c r="AJ113" s="6">
        <v>253.0882860118563</v>
      </c>
      <c r="AK113" s="6">
        <v>0</v>
      </c>
      <c r="AL113" s="6">
        <v>0</v>
      </c>
      <c r="AM113" s="6">
        <v>0</v>
      </c>
      <c r="AN113" s="6">
        <v>0</v>
      </c>
      <c r="AO113" s="6">
        <v>66.602428610792771</v>
      </c>
      <c r="AP113" s="6">
        <v>319.69071462264912</v>
      </c>
      <c r="AQ113" s="6">
        <v>420.00005839866901</v>
      </c>
      <c r="AR113" s="6">
        <v>3389.2238630000002</v>
      </c>
      <c r="AS113" s="6">
        <v>223.42899415662859</v>
      </c>
      <c r="AT113" s="6">
        <v>211.44369656367701</v>
      </c>
    </row>
    <row r="114" spans="1:46" x14ac:dyDescent="0.35">
      <c r="A114" s="5">
        <v>46022</v>
      </c>
      <c r="B114" s="4" t="s">
        <v>209</v>
      </c>
      <c r="C114" s="4" t="s">
        <v>210</v>
      </c>
      <c r="D114" s="4" t="s">
        <v>58</v>
      </c>
      <c r="E114" s="6">
        <v>26666.666667000001</v>
      </c>
      <c r="F114" s="7">
        <v>0.03</v>
      </c>
      <c r="G114" s="6">
        <v>25</v>
      </c>
      <c r="H114" s="6">
        <v>2</v>
      </c>
      <c r="I114" s="6">
        <v>100</v>
      </c>
      <c r="J114" s="6">
        <v>2</v>
      </c>
      <c r="K114" s="8">
        <v>100</v>
      </c>
      <c r="L114" s="6">
        <v>0</v>
      </c>
      <c r="M114" s="6">
        <v>0</v>
      </c>
      <c r="N114" s="6">
        <v>0</v>
      </c>
      <c r="O114" s="6">
        <v>0</v>
      </c>
      <c r="P114" s="6">
        <v>0</v>
      </c>
      <c r="Q114" s="6">
        <v>156.97985220138889</v>
      </c>
      <c r="R114" s="6">
        <v>12.75985576317283</v>
      </c>
      <c r="S114" s="6">
        <v>16.383151614778122</v>
      </c>
      <c r="T114" s="6">
        <v>19.12889742787911</v>
      </c>
      <c r="U114" s="6">
        <v>205.251757007219</v>
      </c>
      <c r="V114" s="6">
        <v>205.251757007219</v>
      </c>
      <c r="W114" s="6">
        <v>3.2665315272692408</v>
      </c>
      <c r="X114" s="6">
        <v>0</v>
      </c>
      <c r="Y114" s="6">
        <v>208.51828853448819</v>
      </c>
      <c r="Z114" s="6">
        <v>16.172114762056012</v>
      </c>
      <c r="AA114" s="6">
        <v>224.69040329654419</v>
      </c>
      <c r="AB114" s="6">
        <v>0</v>
      </c>
      <c r="AC114" s="6">
        <v>66.156749560240286</v>
      </c>
      <c r="AD114" s="6">
        <v>0</v>
      </c>
      <c r="AE114" s="6">
        <v>0</v>
      </c>
      <c r="AF114" s="6">
        <v>290.84715285678448</v>
      </c>
      <c r="AG114" s="6">
        <v>8.7313507276958084</v>
      </c>
      <c r="AH114" s="6">
        <v>0</v>
      </c>
      <c r="AI114" s="6">
        <v>22.679618500283489</v>
      </c>
      <c r="AJ114" s="6">
        <v>256.10137252452353</v>
      </c>
      <c r="AK114" s="6">
        <v>0</v>
      </c>
      <c r="AL114" s="6">
        <v>0</v>
      </c>
      <c r="AM114" s="6">
        <v>0</v>
      </c>
      <c r="AN114" s="6">
        <v>0</v>
      </c>
      <c r="AO114" s="6">
        <v>0</v>
      </c>
      <c r="AP114" s="6">
        <v>256.10137252452353</v>
      </c>
      <c r="AQ114" s="6">
        <v>419.99999964779192</v>
      </c>
      <c r="AR114" s="6">
        <v>18.518830000000001</v>
      </c>
      <c r="AS114" s="6">
        <v>211.4817111133037</v>
      </c>
      <c r="AT114" s="6">
        <v>195.30959635124771</v>
      </c>
    </row>
    <row r="115" spans="1:46" x14ac:dyDescent="0.35">
      <c r="A115" s="5">
        <v>46022</v>
      </c>
      <c r="B115" s="4" t="s">
        <v>223</v>
      </c>
      <c r="C115" s="4" t="s">
        <v>224</v>
      </c>
      <c r="D115" s="4" t="s">
        <v>58</v>
      </c>
      <c r="E115" s="6">
        <v>66937.5</v>
      </c>
      <c r="F115" s="7">
        <v>0.159</v>
      </c>
      <c r="G115" s="6">
        <v>26.81</v>
      </c>
      <c r="H115" s="6">
        <v>28.530999999999999</v>
      </c>
      <c r="I115" s="6">
        <v>95.925926000000004</v>
      </c>
      <c r="J115" s="6">
        <v>27.368587999999999</v>
      </c>
      <c r="K115" s="8">
        <v>90.608792332488662</v>
      </c>
      <c r="L115" s="6">
        <v>8.2708994311516371</v>
      </c>
      <c r="M115" s="6">
        <v>1.441760680363728</v>
      </c>
      <c r="N115" s="6">
        <v>4.7632483859524237</v>
      </c>
      <c r="O115" s="6">
        <v>2.1140395223265398</v>
      </c>
      <c r="P115" s="6">
        <v>16.589948019794331</v>
      </c>
      <c r="Q115" s="6">
        <v>11.634605604686559</v>
      </c>
      <c r="R115" s="6">
        <v>62.58867768996128</v>
      </c>
      <c r="S115" s="6">
        <v>44.227463899499078</v>
      </c>
      <c r="T115" s="6">
        <v>38.828526010470583</v>
      </c>
      <c r="U115" s="6">
        <v>157.27927320461751</v>
      </c>
      <c r="V115" s="6">
        <v>173.8692212244118</v>
      </c>
      <c r="W115" s="6">
        <v>2.597836750406489</v>
      </c>
      <c r="X115" s="6">
        <v>16.035581120523769</v>
      </c>
      <c r="Y115" s="6">
        <v>192.50263909534209</v>
      </c>
      <c r="Z115" s="6">
        <v>122.84104037448451</v>
      </c>
      <c r="AA115" s="6">
        <v>315.34367946982661</v>
      </c>
      <c r="AB115" s="6">
        <v>0</v>
      </c>
      <c r="AC115" s="6">
        <v>23.890526329315129</v>
      </c>
      <c r="AD115" s="6">
        <v>0</v>
      </c>
      <c r="AE115" s="6">
        <v>0</v>
      </c>
      <c r="AF115" s="6">
        <v>339.23420579914171</v>
      </c>
      <c r="AG115" s="6">
        <v>6.9088512390768599</v>
      </c>
      <c r="AH115" s="6">
        <v>0</v>
      </c>
      <c r="AI115" s="6">
        <v>6.3071375506813157</v>
      </c>
      <c r="AJ115" s="6">
        <v>328.55966825958473</v>
      </c>
      <c r="AK115" s="6">
        <v>13.214983588140409</v>
      </c>
      <c r="AL115" s="6">
        <v>0</v>
      </c>
      <c r="AM115" s="6">
        <v>0</v>
      </c>
      <c r="AN115" s="6">
        <v>0</v>
      </c>
      <c r="AO115" s="6">
        <v>0</v>
      </c>
      <c r="AP115" s="6">
        <v>341.77465184772518</v>
      </c>
      <c r="AQ115" s="6">
        <v>420.00018380051461</v>
      </c>
      <c r="AR115" s="6">
        <v>279.72335600000002</v>
      </c>
      <c r="AS115" s="6">
        <v>227.49754470517249</v>
      </c>
      <c r="AT115" s="6">
        <v>104.65650433068809</v>
      </c>
    </row>
    <row r="116" spans="1:46" x14ac:dyDescent="0.35">
      <c r="A116" s="5">
        <v>46022</v>
      </c>
      <c r="B116" s="4" t="s">
        <v>342</v>
      </c>
      <c r="C116" s="4" t="s">
        <v>343</v>
      </c>
      <c r="D116" s="4" t="s">
        <v>344</v>
      </c>
      <c r="E116" s="6">
        <v>667</v>
      </c>
      <c r="F116" s="7">
        <v>0.28599999999999998</v>
      </c>
      <c r="G116" s="6">
        <v>78.7</v>
      </c>
      <c r="H116" s="6">
        <v>1.5009999999999999</v>
      </c>
      <c r="I116" s="6">
        <v>95.510204000000002</v>
      </c>
      <c r="J116" s="6">
        <v>1.4336930000000001</v>
      </c>
      <c r="K116" s="8">
        <v>14.680056757014404</v>
      </c>
      <c r="L116" s="6">
        <v>121.7559500521733</v>
      </c>
      <c r="M116" s="6">
        <v>13.58406252165739</v>
      </c>
      <c r="N116" s="6">
        <v>19.599363368180668</v>
      </c>
      <c r="O116" s="6">
        <v>90.331094942591974</v>
      </c>
      <c r="P116" s="6">
        <v>245.2704708846033</v>
      </c>
      <c r="Q116" s="6">
        <v>25.194091230934792</v>
      </c>
      <c r="R116" s="6">
        <v>12.307641080839099</v>
      </c>
      <c r="S116" s="6">
        <v>48.312451783568527</v>
      </c>
      <c r="T116" s="6">
        <v>24.961785081350481</v>
      </c>
      <c r="U116" s="6">
        <v>110.7759691766929</v>
      </c>
      <c r="V116" s="6">
        <v>356.04644006129621</v>
      </c>
      <c r="W116" s="6">
        <v>7.6227591097360472</v>
      </c>
      <c r="X116" s="6">
        <v>12.491456651736749</v>
      </c>
      <c r="Y116" s="6">
        <v>376.160655822769</v>
      </c>
      <c r="Z116" s="6">
        <v>11.992051393784781</v>
      </c>
      <c r="AA116" s="6">
        <v>388.15270721655378</v>
      </c>
      <c r="AB116" s="6">
        <v>2.7216674856971261</v>
      </c>
      <c r="AC116" s="6">
        <v>68.617200078343075</v>
      </c>
      <c r="AD116" s="6">
        <v>0</v>
      </c>
      <c r="AE116" s="6">
        <v>0</v>
      </c>
      <c r="AF116" s="6">
        <v>459.49157478059402</v>
      </c>
      <c r="AG116" s="6">
        <v>6.9667247790018099</v>
      </c>
      <c r="AH116" s="6">
        <v>0</v>
      </c>
      <c r="AI116" s="6">
        <v>20.31496506898581</v>
      </c>
      <c r="AJ116" s="6">
        <v>418.15606455023851</v>
      </c>
      <c r="AK116" s="6">
        <v>40.230506310521548</v>
      </c>
      <c r="AL116" s="6">
        <v>0</v>
      </c>
      <c r="AM116" s="6">
        <v>0</v>
      </c>
      <c r="AN116" s="6">
        <v>0</v>
      </c>
      <c r="AO116" s="6">
        <v>0</v>
      </c>
      <c r="AP116" s="6">
        <v>458.38657086076</v>
      </c>
      <c r="AQ116" s="6">
        <v>420.00205029601119</v>
      </c>
      <c r="AR116" s="6">
        <v>88.121030000000005</v>
      </c>
      <c r="AS116" s="6">
        <v>43.841394473242268</v>
      </c>
      <c r="AT116" s="6">
        <v>31.849343079457491</v>
      </c>
    </row>
    <row r="117" spans="1:46" x14ac:dyDescent="0.35">
      <c r="A117" s="5">
        <v>46022</v>
      </c>
      <c r="B117" s="4" t="s">
        <v>345</v>
      </c>
      <c r="C117" s="4" t="s">
        <v>346</v>
      </c>
      <c r="D117" s="4" t="s">
        <v>105</v>
      </c>
      <c r="E117" s="6">
        <v>2590.2488560000002</v>
      </c>
      <c r="F117" s="7">
        <v>6.7000000000000002E-3</v>
      </c>
      <c r="G117" s="6">
        <v>40</v>
      </c>
      <c r="H117" s="6">
        <v>7.0000000000000007E-2</v>
      </c>
      <c r="I117" s="6">
        <v>100</v>
      </c>
      <c r="J117" s="6">
        <v>6.9726999999999997E-2</v>
      </c>
      <c r="K117" s="8">
        <v>0.45596308468518598</v>
      </c>
      <c r="L117" s="6">
        <v>129.38273255098269</v>
      </c>
      <c r="M117" s="6">
        <v>129.25409457110109</v>
      </c>
      <c r="N117" s="6">
        <v>54.697240907265119</v>
      </c>
      <c r="O117" s="6">
        <v>94.784017774379123</v>
      </c>
      <c r="P117" s="6">
        <v>408.11808580372798</v>
      </c>
      <c r="Q117" s="6">
        <v>38.628257431478701</v>
      </c>
      <c r="R117" s="6">
        <v>11.52298349500512</v>
      </c>
      <c r="S117" s="6">
        <v>56.583938961953592</v>
      </c>
      <c r="T117" s="6">
        <v>7.9274509246750462</v>
      </c>
      <c r="U117" s="6">
        <v>114.6626308131125</v>
      </c>
      <c r="V117" s="6">
        <v>522.78071661684055</v>
      </c>
      <c r="W117" s="6">
        <v>1.4099590869672221</v>
      </c>
      <c r="X117" s="6">
        <v>31.269761123798109</v>
      </c>
      <c r="Y117" s="6">
        <v>555.4604368276058</v>
      </c>
      <c r="Z117" s="6">
        <v>2.6188563123049269</v>
      </c>
      <c r="AA117" s="6">
        <v>558.07929313991076</v>
      </c>
      <c r="AB117" s="6">
        <v>0</v>
      </c>
      <c r="AC117" s="6">
        <v>91.699333874080338</v>
      </c>
      <c r="AD117" s="6">
        <v>0</v>
      </c>
      <c r="AE117" s="6">
        <v>0</v>
      </c>
      <c r="AF117" s="6">
        <v>649.77862701399113</v>
      </c>
      <c r="AG117" s="6">
        <v>5.6654723272331058</v>
      </c>
      <c r="AH117" s="6">
        <v>0</v>
      </c>
      <c r="AI117" s="6">
        <v>16.656278893701788</v>
      </c>
      <c r="AJ117" s="6">
        <v>580.40104436084562</v>
      </c>
      <c r="AK117" s="6">
        <v>268.48844653254582</v>
      </c>
      <c r="AL117" s="6">
        <v>0</v>
      </c>
      <c r="AM117" s="6">
        <v>0</v>
      </c>
      <c r="AN117" s="6">
        <v>0</v>
      </c>
      <c r="AO117" s="6">
        <v>0</v>
      </c>
      <c r="AP117" s="6">
        <v>848.88949089339155</v>
      </c>
      <c r="AQ117" s="6">
        <v>419.83736537426103</v>
      </c>
      <c r="AR117" s="6">
        <v>162.19894600000001</v>
      </c>
      <c r="AS117" s="6">
        <v>-135.62307145334481</v>
      </c>
      <c r="AT117" s="6">
        <v>-138.24192776564971</v>
      </c>
    </row>
    <row r="118" spans="1:46" x14ac:dyDescent="0.35">
      <c r="A118" s="5">
        <v>46022</v>
      </c>
      <c r="B118" s="4" t="s">
        <v>347</v>
      </c>
      <c r="C118" s="4" t="s">
        <v>348</v>
      </c>
      <c r="D118" s="4" t="s">
        <v>148</v>
      </c>
      <c r="E118" s="6">
        <v>13500</v>
      </c>
      <c r="F118" s="7">
        <v>0.3</v>
      </c>
      <c r="G118" s="6">
        <v>92.5</v>
      </c>
      <c r="H118" s="6">
        <v>37.462000000000003</v>
      </c>
      <c r="I118" s="6">
        <v>95.416667000000004</v>
      </c>
      <c r="J118" s="6">
        <v>35.745469</v>
      </c>
      <c r="K118" s="8">
        <v>85.180287999460603</v>
      </c>
      <c r="L118" s="6">
        <v>71.931668160069563</v>
      </c>
      <c r="M118" s="6">
        <v>39.572401398635833</v>
      </c>
      <c r="N118" s="6">
        <v>6.7013169461613966</v>
      </c>
      <c r="O118" s="6">
        <v>29.841736589454211</v>
      </c>
      <c r="P118" s="6">
        <v>148.04712309432099</v>
      </c>
      <c r="Q118" s="6">
        <v>43.966255955575292</v>
      </c>
      <c r="R118" s="6">
        <v>29.06783030115669</v>
      </c>
      <c r="S118" s="6">
        <v>23.80635902935197</v>
      </c>
      <c r="T118" s="6">
        <v>17.839899928402559</v>
      </c>
      <c r="U118" s="6">
        <v>114.68034521448649</v>
      </c>
      <c r="V118" s="6">
        <v>262.72746830880749</v>
      </c>
      <c r="W118" s="6">
        <v>1.383098286368053</v>
      </c>
      <c r="X118" s="6">
        <v>21.497698063504831</v>
      </c>
      <c r="Y118" s="6">
        <v>285.60826465868041</v>
      </c>
      <c r="Z118" s="6">
        <v>8.319021802058419</v>
      </c>
      <c r="AA118" s="6">
        <v>293.9272864607388</v>
      </c>
      <c r="AB118" s="6">
        <v>0</v>
      </c>
      <c r="AC118" s="6">
        <v>35.271308782165249</v>
      </c>
      <c r="AD118" s="6">
        <v>0</v>
      </c>
      <c r="AE118" s="6">
        <v>0</v>
      </c>
      <c r="AF118" s="6">
        <v>329.1985952429041</v>
      </c>
      <c r="AG118" s="6">
        <v>6.5681932741624109</v>
      </c>
      <c r="AH118" s="6">
        <v>0</v>
      </c>
      <c r="AI118" s="6">
        <v>26.272743912461991</v>
      </c>
      <c r="AJ118" s="6">
        <v>326.76822364736319</v>
      </c>
      <c r="AK118" s="6">
        <v>0</v>
      </c>
      <c r="AL118" s="6">
        <v>0</v>
      </c>
      <c r="AM118" s="6">
        <v>0</v>
      </c>
      <c r="AN118" s="6">
        <v>0</v>
      </c>
      <c r="AO118" s="6">
        <v>0</v>
      </c>
      <c r="AP118" s="6">
        <v>326.76822364736319</v>
      </c>
      <c r="AQ118" s="6">
        <v>420.00036388976031</v>
      </c>
      <c r="AR118" s="6">
        <v>387.64829500000002</v>
      </c>
      <c r="AS118" s="6">
        <v>134.3920992310799</v>
      </c>
      <c r="AT118" s="6">
        <v>126.0730774290215</v>
      </c>
    </row>
    <row r="119" spans="1:46" x14ac:dyDescent="0.35">
      <c r="A119" s="5">
        <v>46022</v>
      </c>
      <c r="B119" s="4" t="s">
        <v>722</v>
      </c>
      <c r="C119" s="4" t="s">
        <v>723</v>
      </c>
      <c r="D119" s="4" t="s">
        <v>89</v>
      </c>
      <c r="E119" s="6">
        <v>700</v>
      </c>
      <c r="F119" s="7">
        <v>1.9255</v>
      </c>
      <c r="G119" s="6">
        <v>95</v>
      </c>
      <c r="H119" s="6">
        <v>12.805</v>
      </c>
      <c r="I119" s="6">
        <v>97</v>
      </c>
      <c r="J119" s="6">
        <v>12.420527999999999</v>
      </c>
      <c r="K119" s="8">
        <v>92.557995884375202</v>
      </c>
      <c r="L119" s="6">
        <v>100.6310409446574</v>
      </c>
      <c r="M119" s="6">
        <v>16.893824148951119</v>
      </c>
      <c r="N119" s="6">
        <v>5.128305970122506</v>
      </c>
      <c r="O119" s="6">
        <v>33.026735657649041</v>
      </c>
      <c r="P119" s="6">
        <v>155.67990672138009</v>
      </c>
      <c r="Q119" s="6">
        <v>31.414247569568371</v>
      </c>
      <c r="R119" s="6">
        <v>9.9466685080929675</v>
      </c>
      <c r="S119" s="6">
        <v>26.31666336507325</v>
      </c>
      <c r="T119" s="6">
        <v>16.333894889468191</v>
      </c>
      <c r="U119" s="6">
        <v>84.011474332202781</v>
      </c>
      <c r="V119" s="6">
        <v>239.69138105358289</v>
      </c>
      <c r="W119" s="6">
        <v>17.887757110055261</v>
      </c>
      <c r="X119" s="6">
        <v>23.89388257875061</v>
      </c>
      <c r="Y119" s="6">
        <v>281.47302074238883</v>
      </c>
      <c r="Z119" s="6">
        <v>18.7422751055188</v>
      </c>
      <c r="AA119" s="6">
        <v>300.21529584790761</v>
      </c>
      <c r="AB119" s="6">
        <v>7.0894520258754952</v>
      </c>
      <c r="AC119" s="6">
        <v>100.48925327649241</v>
      </c>
      <c r="AD119" s="6">
        <v>0</v>
      </c>
      <c r="AE119" s="6">
        <v>0</v>
      </c>
      <c r="AF119" s="6">
        <v>407.79400115027539</v>
      </c>
      <c r="AG119" s="6">
        <v>15.61180326035551</v>
      </c>
      <c r="AH119" s="6">
        <v>0</v>
      </c>
      <c r="AI119" s="6">
        <v>98.440413899907426</v>
      </c>
      <c r="AJ119" s="6">
        <v>421.35696503404603</v>
      </c>
      <c r="AK119" s="6">
        <v>102.5918486445505</v>
      </c>
      <c r="AL119" s="6">
        <v>0</v>
      </c>
      <c r="AM119" s="6">
        <v>0</v>
      </c>
      <c r="AN119" s="6">
        <v>0</v>
      </c>
      <c r="AO119" s="6">
        <v>0</v>
      </c>
      <c r="AP119" s="6">
        <v>523.94881367859659</v>
      </c>
      <c r="AQ119" s="6">
        <v>419.99905282814069</v>
      </c>
      <c r="AR119" s="6">
        <v>124.116473</v>
      </c>
      <c r="AS119" s="6">
        <v>138.52603208575189</v>
      </c>
      <c r="AT119" s="6">
        <v>119.78375698023309</v>
      </c>
    </row>
    <row r="120" spans="1:46" x14ac:dyDescent="0.35">
      <c r="A120" s="5">
        <v>46022</v>
      </c>
      <c r="B120" s="4" t="s">
        <v>349</v>
      </c>
      <c r="C120" s="4" t="s">
        <v>350</v>
      </c>
      <c r="D120" s="4" t="s">
        <v>351</v>
      </c>
      <c r="E120" s="6">
        <v>38000</v>
      </c>
      <c r="F120" s="7">
        <v>0.48</v>
      </c>
      <c r="G120" s="6">
        <v>89</v>
      </c>
      <c r="H120" s="6">
        <v>162.33600000000001</v>
      </c>
      <c r="I120" s="6">
        <v>95.416667000000004</v>
      </c>
      <c r="J120" s="6">
        <v>154.8956</v>
      </c>
      <c r="K120" s="8">
        <v>91.825583304962876</v>
      </c>
      <c r="L120" s="6">
        <v>16.14979738201988</v>
      </c>
      <c r="M120" s="6">
        <v>5.9370541971219426</v>
      </c>
      <c r="N120" s="6">
        <v>1.116837891962575</v>
      </c>
      <c r="O120" s="6">
        <v>23.387657754500349</v>
      </c>
      <c r="P120" s="6">
        <v>46.591347225604743</v>
      </c>
      <c r="Q120" s="6">
        <v>13.4196912985932</v>
      </c>
      <c r="R120" s="6">
        <v>8.7816040027233999</v>
      </c>
      <c r="S120" s="6">
        <v>37.156381969347649</v>
      </c>
      <c r="T120" s="6">
        <v>32.05149712346801</v>
      </c>
      <c r="U120" s="6">
        <v>91.409174394132265</v>
      </c>
      <c r="V120" s="6">
        <v>138.00052161973699</v>
      </c>
      <c r="W120" s="6">
        <v>43.952307950505499</v>
      </c>
      <c r="X120" s="6">
        <v>24.187791990699569</v>
      </c>
      <c r="Y120" s="6">
        <v>206.14062156094209</v>
      </c>
      <c r="Z120" s="6">
        <v>66.973137183492511</v>
      </c>
      <c r="AA120" s="6">
        <v>273.11375874443462</v>
      </c>
      <c r="AB120" s="6">
        <v>0</v>
      </c>
      <c r="AC120" s="6">
        <v>24.804471035024079</v>
      </c>
      <c r="AD120" s="6">
        <v>0</v>
      </c>
      <c r="AE120" s="6">
        <v>0</v>
      </c>
      <c r="AF120" s="6">
        <v>297.91822977945873</v>
      </c>
      <c r="AG120" s="6">
        <v>8.2800339539134846</v>
      </c>
      <c r="AH120" s="6">
        <v>0</v>
      </c>
      <c r="AI120" s="6">
        <v>20.70007977568897</v>
      </c>
      <c r="AJ120" s="6">
        <v>302.09387247403703</v>
      </c>
      <c r="AK120" s="6">
        <v>0</v>
      </c>
      <c r="AL120" s="6">
        <v>0</v>
      </c>
      <c r="AM120" s="6">
        <v>0</v>
      </c>
      <c r="AN120" s="6">
        <v>0</v>
      </c>
      <c r="AO120" s="6">
        <v>0</v>
      </c>
      <c r="AP120" s="6">
        <v>302.09387247403703</v>
      </c>
      <c r="AQ120" s="6">
        <v>419.99999964779192</v>
      </c>
      <c r="AR120" s="6">
        <v>1556.64807</v>
      </c>
      <c r="AS120" s="6">
        <v>213.85937808684989</v>
      </c>
      <c r="AT120" s="6">
        <v>146.88624090335739</v>
      </c>
    </row>
    <row r="121" spans="1:46" x14ac:dyDescent="0.35">
      <c r="A121" s="5">
        <v>46022</v>
      </c>
      <c r="B121" s="4" t="s">
        <v>225</v>
      </c>
      <c r="C121" s="4" t="s">
        <v>226</v>
      </c>
      <c r="D121" s="4" t="s">
        <v>89</v>
      </c>
      <c r="E121" s="6">
        <v>6500</v>
      </c>
      <c r="F121" s="7">
        <v>0.85</v>
      </c>
      <c r="G121" s="6">
        <v>94</v>
      </c>
      <c r="H121" s="6">
        <v>51.935000000000002</v>
      </c>
      <c r="I121" s="6">
        <v>97</v>
      </c>
      <c r="J121" s="6">
        <v>50.376950000000001</v>
      </c>
      <c r="K121" s="8">
        <v>72.039536656543461</v>
      </c>
      <c r="L121" s="6">
        <v>68.826462018891448</v>
      </c>
      <c r="M121" s="6">
        <v>2.1656948671551328</v>
      </c>
      <c r="N121" s="6">
        <v>8.4188360750427673</v>
      </c>
      <c r="O121" s="6">
        <v>32.503822374228832</v>
      </c>
      <c r="P121" s="6">
        <v>111.9148153353182</v>
      </c>
      <c r="Q121" s="6">
        <v>6.6731223572519216</v>
      </c>
      <c r="R121" s="6">
        <v>6.599107488791395</v>
      </c>
      <c r="S121" s="6">
        <v>21.843235937177081</v>
      </c>
      <c r="T121" s="6">
        <v>19.298600121716891</v>
      </c>
      <c r="U121" s="6">
        <v>54.414065904937281</v>
      </c>
      <c r="V121" s="6">
        <v>166.3288812402555</v>
      </c>
      <c r="W121" s="6">
        <v>4.2782907596799014</v>
      </c>
      <c r="X121" s="6">
        <v>17.62492005451071</v>
      </c>
      <c r="Y121" s="6">
        <v>188.2320920544461</v>
      </c>
      <c r="Z121" s="6">
        <v>17.697926661437322</v>
      </c>
      <c r="AA121" s="6">
        <v>205.93001871588339</v>
      </c>
      <c r="AB121" s="6">
        <v>3.139828351245106</v>
      </c>
      <c r="AC121" s="6">
        <v>48.438938962289591</v>
      </c>
      <c r="AD121" s="6">
        <v>0</v>
      </c>
      <c r="AE121" s="6">
        <v>0</v>
      </c>
      <c r="AF121" s="6">
        <v>257.5087860294181</v>
      </c>
      <c r="AG121" s="6">
        <v>4.1535558900039948</v>
      </c>
      <c r="AH121" s="6">
        <v>0.5072094953386449</v>
      </c>
      <c r="AI121" s="6">
        <v>23.257862238820479</v>
      </c>
      <c r="AJ121" s="6">
        <v>236.9884746912916</v>
      </c>
      <c r="AK121" s="6">
        <v>40.657790202821751</v>
      </c>
      <c r="AL121" s="6">
        <v>0</v>
      </c>
      <c r="AM121" s="6">
        <v>0</v>
      </c>
      <c r="AN121" s="6">
        <v>0</v>
      </c>
      <c r="AO121" s="6">
        <v>0</v>
      </c>
      <c r="AP121" s="6">
        <v>277.64626489411341</v>
      </c>
      <c r="AQ121" s="6">
        <v>420.00041650510428</v>
      </c>
      <c r="AR121" s="6">
        <v>644.66406099999995</v>
      </c>
      <c r="AS121" s="6">
        <v>231.76832445065821</v>
      </c>
      <c r="AT121" s="6">
        <v>214.07039778922089</v>
      </c>
    </row>
    <row r="122" spans="1:46" x14ac:dyDescent="0.35">
      <c r="A122" s="5">
        <v>46022</v>
      </c>
      <c r="B122" s="4" t="s">
        <v>227</v>
      </c>
      <c r="C122" s="4" t="s">
        <v>228</v>
      </c>
      <c r="D122" s="4" t="s">
        <v>61</v>
      </c>
      <c r="E122" s="6">
        <v>261.56</v>
      </c>
      <c r="F122" s="7">
        <v>0.58220000000000005</v>
      </c>
      <c r="G122" s="6">
        <v>89</v>
      </c>
      <c r="H122" s="6">
        <v>1.355</v>
      </c>
      <c r="I122" s="6">
        <v>95.616417999999996</v>
      </c>
      <c r="J122" s="6">
        <v>1.29582</v>
      </c>
      <c r="K122" s="8">
        <v>79.956647426132903</v>
      </c>
      <c r="L122" s="6">
        <v>57.112482207207208</v>
      </c>
      <c r="M122" s="6">
        <v>27.38253950551513</v>
      </c>
      <c r="N122" s="6">
        <v>10.32859016850928</v>
      </c>
      <c r="O122" s="6">
        <v>16.809741279108259</v>
      </c>
      <c r="P122" s="6">
        <v>111.63335316033989</v>
      </c>
      <c r="Q122" s="6">
        <v>15.899694925757659</v>
      </c>
      <c r="R122" s="6">
        <v>13.96690150706468</v>
      </c>
      <c r="S122" s="6">
        <v>19.16473594253662</v>
      </c>
      <c r="T122" s="6">
        <v>25.891024827851819</v>
      </c>
      <c r="U122" s="6">
        <v>74.92235720321078</v>
      </c>
      <c r="V122" s="6">
        <v>186.5557103635507</v>
      </c>
      <c r="W122" s="6">
        <v>5.457404053036317</v>
      </c>
      <c r="X122" s="6">
        <v>20.09236514561033</v>
      </c>
      <c r="Y122" s="6">
        <v>212.1054795621973</v>
      </c>
      <c r="Z122" s="6">
        <v>50.909629959108948</v>
      </c>
      <c r="AA122" s="6">
        <v>263.01510952130627</v>
      </c>
      <c r="AB122" s="6">
        <v>0</v>
      </c>
      <c r="AC122" s="6">
        <v>8.4061480851041495</v>
      </c>
      <c r="AD122" s="6">
        <v>0</v>
      </c>
      <c r="AE122" s="6">
        <v>0</v>
      </c>
      <c r="AF122" s="6">
        <v>271.42125760641039</v>
      </c>
      <c r="AG122" s="6">
        <v>12.57668935960872</v>
      </c>
      <c r="AH122" s="6">
        <v>0</v>
      </c>
      <c r="AI122" s="6">
        <v>8.4061480851041495</v>
      </c>
      <c r="AJ122" s="6">
        <v>283.99794696601907</v>
      </c>
      <c r="AK122" s="6">
        <v>0</v>
      </c>
      <c r="AL122" s="6">
        <v>0</v>
      </c>
      <c r="AM122" s="6">
        <v>0</v>
      </c>
      <c r="AN122" s="6">
        <v>0</v>
      </c>
      <c r="AO122" s="6">
        <v>0</v>
      </c>
      <c r="AP122" s="6">
        <v>283.99794696601907</v>
      </c>
      <c r="AQ122" s="6">
        <v>419.99351726598508</v>
      </c>
      <c r="AR122" s="6">
        <v>14.956213</v>
      </c>
      <c r="AS122" s="6">
        <v>207.8880377037878</v>
      </c>
      <c r="AT122" s="6">
        <v>156.9784077446788</v>
      </c>
    </row>
    <row r="123" spans="1:46" x14ac:dyDescent="0.35">
      <c r="A123" s="5">
        <v>46022</v>
      </c>
      <c r="B123" s="4" t="s">
        <v>724</v>
      </c>
      <c r="C123" s="4" t="s">
        <v>725</v>
      </c>
      <c r="D123" s="4" t="s">
        <v>58</v>
      </c>
      <c r="E123" s="6">
        <v>135000</v>
      </c>
      <c r="F123" s="7">
        <v>0.98470000000000002</v>
      </c>
      <c r="G123" s="6">
        <v>85</v>
      </c>
      <c r="H123" s="6">
        <v>1130</v>
      </c>
      <c r="I123" s="6">
        <v>96.5</v>
      </c>
      <c r="J123" s="6">
        <v>1090.45</v>
      </c>
      <c r="K123" s="8">
        <v>94.568680830771939</v>
      </c>
      <c r="L123" s="6">
        <v>37.66244087524808</v>
      </c>
      <c r="M123" s="6">
        <v>5.7570820022339229</v>
      </c>
      <c r="N123" s="6">
        <v>2.5666194007893002</v>
      </c>
      <c r="O123" s="6">
        <v>6.9818426757351437</v>
      </c>
      <c r="P123" s="6">
        <v>52.96798495400644</v>
      </c>
      <c r="Q123" s="6">
        <v>17.896533682215601</v>
      </c>
      <c r="R123" s="6">
        <v>9.7889777616041194</v>
      </c>
      <c r="S123" s="6">
        <v>39.080251365132973</v>
      </c>
      <c r="T123" s="6">
        <v>7.1663318543544401</v>
      </c>
      <c r="U123" s="6">
        <v>73.932094663307126</v>
      </c>
      <c r="V123" s="6">
        <v>126.90007961731359</v>
      </c>
      <c r="W123" s="6">
        <v>8.2872501076974494</v>
      </c>
      <c r="X123" s="6">
        <v>18.160327268274809</v>
      </c>
      <c r="Y123" s="6">
        <v>153.3476569932858</v>
      </c>
      <c r="Z123" s="6">
        <v>15.68288146927549</v>
      </c>
      <c r="AA123" s="6">
        <v>169.03053846256131</v>
      </c>
      <c r="AB123" s="6">
        <v>0</v>
      </c>
      <c r="AC123" s="6">
        <v>54.022791477152069</v>
      </c>
      <c r="AD123" s="6">
        <v>0</v>
      </c>
      <c r="AE123" s="6">
        <v>0</v>
      </c>
      <c r="AF123" s="6">
        <v>223.05332993971339</v>
      </c>
      <c r="AG123" s="6">
        <v>9.4506042154300935</v>
      </c>
      <c r="AH123" s="6">
        <v>0</v>
      </c>
      <c r="AI123" s="6">
        <v>41.58746673736627</v>
      </c>
      <c r="AJ123" s="6">
        <v>220.06860941535771</v>
      </c>
      <c r="AK123" s="6">
        <v>0</v>
      </c>
      <c r="AL123" s="6">
        <v>0</v>
      </c>
      <c r="AM123" s="6">
        <v>0</v>
      </c>
      <c r="AN123" s="6">
        <v>0</v>
      </c>
      <c r="AO123" s="6">
        <v>0</v>
      </c>
      <c r="AP123" s="6">
        <v>220.06860941535771</v>
      </c>
      <c r="AQ123" s="6">
        <v>419.99999964779192</v>
      </c>
      <c r="AR123" s="6">
        <v>10676.25748</v>
      </c>
      <c r="AS123" s="6">
        <v>266.65234265450613</v>
      </c>
      <c r="AT123" s="6">
        <v>250.96946118523061</v>
      </c>
    </row>
    <row r="124" spans="1:46" x14ac:dyDescent="0.35">
      <c r="A124" s="5">
        <v>46022</v>
      </c>
      <c r="B124" s="4" t="s">
        <v>726</v>
      </c>
      <c r="C124" s="4" t="s">
        <v>727</v>
      </c>
      <c r="D124" s="4" t="s">
        <v>58</v>
      </c>
      <c r="E124" s="6">
        <v>104299.211503</v>
      </c>
      <c r="F124" s="7">
        <v>0.46389999999999998</v>
      </c>
      <c r="G124" s="6">
        <v>54.14</v>
      </c>
      <c r="H124" s="6">
        <v>261.90499999999997</v>
      </c>
      <c r="I124" s="6">
        <v>100</v>
      </c>
      <c r="J124" s="6">
        <v>261.904718</v>
      </c>
      <c r="K124" s="8">
        <v>100</v>
      </c>
      <c r="L124" s="6">
        <v>10.759056157704251</v>
      </c>
      <c r="M124" s="6">
        <v>1.645590686655056</v>
      </c>
      <c r="N124" s="6">
        <v>6.5308996525886069</v>
      </c>
      <c r="O124" s="6">
        <v>14.577838110331831</v>
      </c>
      <c r="P124" s="6">
        <v>33.513384607279747</v>
      </c>
      <c r="Q124" s="6">
        <v>8.9609728631815599</v>
      </c>
      <c r="R124" s="6">
        <v>13.96523039850725</v>
      </c>
      <c r="S124" s="6">
        <v>41.885738171719908</v>
      </c>
      <c r="T124" s="6">
        <v>10.96463758036969</v>
      </c>
      <c r="U124" s="6">
        <v>75.776579013778402</v>
      </c>
      <c r="V124" s="6">
        <v>109.28996362105821</v>
      </c>
      <c r="W124" s="6">
        <v>8.2132731815837676</v>
      </c>
      <c r="X124" s="6">
        <v>0</v>
      </c>
      <c r="Y124" s="6">
        <v>117.50323680264189</v>
      </c>
      <c r="Z124" s="6">
        <v>36.42543259130175</v>
      </c>
      <c r="AA124" s="6">
        <v>153.92866939394369</v>
      </c>
      <c r="AB124" s="6">
        <v>0</v>
      </c>
      <c r="AC124" s="6">
        <v>44.348705132481889</v>
      </c>
      <c r="AD124" s="6">
        <v>0</v>
      </c>
      <c r="AE124" s="6">
        <v>0</v>
      </c>
      <c r="AF124" s="6">
        <v>198.2773745264256</v>
      </c>
      <c r="AG124" s="6">
        <v>10.03432790370549</v>
      </c>
      <c r="AH124" s="6">
        <v>0</v>
      </c>
      <c r="AI124" s="6">
        <v>34.810005299692328</v>
      </c>
      <c r="AJ124" s="6">
        <v>198.7730025973415</v>
      </c>
      <c r="AK124" s="6">
        <v>0</v>
      </c>
      <c r="AL124" s="6">
        <v>0</v>
      </c>
      <c r="AM124" s="6">
        <v>0</v>
      </c>
      <c r="AN124" s="6">
        <v>0</v>
      </c>
      <c r="AO124" s="6">
        <v>0</v>
      </c>
      <c r="AP124" s="6">
        <v>198.7730025973415</v>
      </c>
      <c r="AQ124" s="6">
        <v>419.99997078233258</v>
      </c>
      <c r="AR124" s="6">
        <v>2425.084308</v>
      </c>
      <c r="AS124" s="6">
        <v>302.4967339796907</v>
      </c>
      <c r="AT124" s="6">
        <v>266.07130138838892</v>
      </c>
    </row>
    <row r="125" spans="1:46" x14ac:dyDescent="0.35">
      <c r="A125" s="5">
        <v>46022</v>
      </c>
      <c r="B125" s="4" t="s">
        <v>211</v>
      </c>
      <c r="C125" s="4" t="s">
        <v>212</v>
      </c>
      <c r="D125" s="4" t="s">
        <v>213</v>
      </c>
      <c r="E125" s="6">
        <v>1434.2857140000001</v>
      </c>
      <c r="F125" s="7">
        <v>2.2000000000000002</v>
      </c>
      <c r="G125" s="6">
        <v>79.099999999999994</v>
      </c>
      <c r="H125" s="6">
        <v>24.96</v>
      </c>
      <c r="I125" s="6">
        <v>100</v>
      </c>
      <c r="J125" s="6">
        <v>24.960146999999999</v>
      </c>
      <c r="K125" s="8">
        <v>76.749650518760774</v>
      </c>
      <c r="L125" s="6">
        <v>19.272113467231652</v>
      </c>
      <c r="M125" s="6">
        <v>14.292009029581459</v>
      </c>
      <c r="N125" s="6">
        <v>4.4563250203812883</v>
      </c>
      <c r="O125" s="6">
        <v>42.314758981224877</v>
      </c>
      <c r="P125" s="6">
        <v>80.335206498419282</v>
      </c>
      <c r="Q125" s="6">
        <v>15.262706046786951</v>
      </c>
      <c r="R125" s="6">
        <v>31.300699812964162</v>
      </c>
      <c r="S125" s="6">
        <v>51.818790109994779</v>
      </c>
      <c r="T125" s="6">
        <v>25.30753853868179</v>
      </c>
      <c r="U125" s="6">
        <v>123.6897345084277</v>
      </c>
      <c r="V125" s="6">
        <v>204.024941006847</v>
      </c>
      <c r="W125" s="6">
        <v>2.47228726709859</v>
      </c>
      <c r="X125" s="6">
        <v>0</v>
      </c>
      <c r="Y125" s="6">
        <v>206.4972282739455</v>
      </c>
      <c r="Z125" s="6">
        <v>21.064585197524341</v>
      </c>
      <c r="AA125" s="6">
        <v>227.56181347146989</v>
      </c>
      <c r="AB125" s="6">
        <v>0</v>
      </c>
      <c r="AC125" s="6">
        <v>25.762872089519341</v>
      </c>
      <c r="AD125" s="6">
        <v>0</v>
      </c>
      <c r="AE125" s="6">
        <v>0</v>
      </c>
      <c r="AF125" s="6">
        <v>253.3246855609892</v>
      </c>
      <c r="AG125" s="6">
        <v>3.7160054069451389</v>
      </c>
      <c r="AH125" s="6">
        <v>0</v>
      </c>
      <c r="AI125" s="6">
        <v>14.75570651926307</v>
      </c>
      <c r="AJ125" s="6">
        <v>246.03352539767809</v>
      </c>
      <c r="AK125" s="6">
        <v>0</v>
      </c>
      <c r="AL125" s="6">
        <v>0</v>
      </c>
      <c r="AM125" s="6">
        <v>0</v>
      </c>
      <c r="AN125" s="6">
        <v>0</v>
      </c>
      <c r="AO125" s="6">
        <v>0</v>
      </c>
      <c r="AP125" s="6">
        <v>246.03352539767809</v>
      </c>
      <c r="AQ125" s="6">
        <v>419.9992087870657</v>
      </c>
      <c r="AR125" s="6">
        <v>301.31555700000001</v>
      </c>
      <c r="AS125" s="6">
        <v>213.5019805131202</v>
      </c>
      <c r="AT125" s="6">
        <v>192.43739531559581</v>
      </c>
    </row>
    <row r="126" spans="1:46" x14ac:dyDescent="0.35">
      <c r="A126" s="5">
        <v>46022</v>
      </c>
      <c r="B126" s="4" t="s">
        <v>214</v>
      </c>
      <c r="C126" s="4" t="s">
        <v>215</v>
      </c>
      <c r="D126" s="4" t="s">
        <v>61</v>
      </c>
      <c r="E126" s="6">
        <v>140.85</v>
      </c>
      <c r="F126" s="7">
        <v>0.82</v>
      </c>
      <c r="G126" s="6">
        <v>90.05</v>
      </c>
      <c r="H126" s="6">
        <v>1.04</v>
      </c>
      <c r="I126" s="6">
        <v>97</v>
      </c>
      <c r="J126" s="6">
        <v>1.0087999999999999</v>
      </c>
      <c r="K126" s="8">
        <v>89.706273511522369</v>
      </c>
      <c r="L126" s="6">
        <v>3.528913547074747</v>
      </c>
      <c r="M126" s="6">
        <v>2.0798885458468801E-2</v>
      </c>
      <c r="N126" s="6">
        <v>19.327777619825731</v>
      </c>
      <c r="O126" s="6">
        <v>2.830557306676817</v>
      </c>
      <c r="P126" s="6">
        <v>25.70804735903576</v>
      </c>
      <c r="Q126" s="6">
        <v>17.589681629824899</v>
      </c>
      <c r="R126" s="6">
        <v>6.0266943676194122</v>
      </c>
      <c r="S126" s="6">
        <v>13.970965301422099</v>
      </c>
      <c r="T126" s="6">
        <v>24.15659026143636</v>
      </c>
      <c r="U126" s="6">
        <v>61.743931560302769</v>
      </c>
      <c r="V126" s="6">
        <v>87.451978919338544</v>
      </c>
      <c r="W126" s="6">
        <v>2.6766199777906068</v>
      </c>
      <c r="X126" s="6">
        <v>23.98045640347101</v>
      </c>
      <c r="Y126" s="6">
        <v>114.1090553006002</v>
      </c>
      <c r="Z126" s="6">
        <v>29.335040012450222</v>
      </c>
      <c r="AA126" s="6">
        <v>143.44409531305041</v>
      </c>
      <c r="AB126" s="6">
        <v>0</v>
      </c>
      <c r="AC126" s="6">
        <v>4.309687004447821</v>
      </c>
      <c r="AD126" s="6">
        <v>0</v>
      </c>
      <c r="AE126" s="6">
        <v>0</v>
      </c>
      <c r="AF126" s="6">
        <v>147.75378231749821</v>
      </c>
      <c r="AG126" s="6">
        <v>12.370394200875831</v>
      </c>
      <c r="AH126" s="6">
        <v>0</v>
      </c>
      <c r="AI126" s="6">
        <v>15.682467578549099</v>
      </c>
      <c r="AJ126" s="6">
        <v>171.4969570924753</v>
      </c>
      <c r="AK126" s="6">
        <v>0</v>
      </c>
      <c r="AL126" s="6">
        <v>0</v>
      </c>
      <c r="AM126" s="6">
        <v>0</v>
      </c>
      <c r="AN126" s="6">
        <v>0</v>
      </c>
      <c r="AO126" s="6">
        <v>0</v>
      </c>
      <c r="AP126" s="6">
        <v>171.4969570924753</v>
      </c>
      <c r="AQ126" s="6">
        <v>419.99999964779198</v>
      </c>
      <c r="AR126" s="6">
        <v>10.414761</v>
      </c>
      <c r="AS126" s="6">
        <v>305.89094434719181</v>
      </c>
      <c r="AT126" s="6">
        <v>276.55590433474163</v>
      </c>
    </row>
    <row r="127" spans="1:46" x14ac:dyDescent="0.35">
      <c r="A127" s="5">
        <v>46022</v>
      </c>
      <c r="B127" s="4" t="s">
        <v>229</v>
      </c>
      <c r="C127" s="4" t="s">
        <v>230</v>
      </c>
      <c r="D127" s="4" t="s">
        <v>61</v>
      </c>
      <c r="E127" s="6">
        <v>137.11397199999999</v>
      </c>
      <c r="F127" s="7">
        <v>0.81269999999999998</v>
      </c>
      <c r="G127" s="6">
        <v>95</v>
      </c>
      <c r="H127" s="6">
        <v>1.0589999999999999</v>
      </c>
      <c r="I127" s="6">
        <v>97</v>
      </c>
      <c r="J127" s="6">
        <v>1.0268139999999999</v>
      </c>
      <c r="K127" s="8">
        <v>99.999995088207058</v>
      </c>
      <c r="L127" s="6">
        <v>76.076976093288366</v>
      </c>
      <c r="M127" s="6">
        <v>0</v>
      </c>
      <c r="N127" s="6">
        <v>35.313728382175761</v>
      </c>
      <c r="O127" s="6">
        <v>39.486934439108389</v>
      </c>
      <c r="P127" s="6">
        <v>150.87763891457249</v>
      </c>
      <c r="Q127" s="6">
        <v>10.261584630759071</v>
      </c>
      <c r="R127" s="6">
        <v>6.2071618746231199</v>
      </c>
      <c r="S127" s="6">
        <v>23.486464643286801</v>
      </c>
      <c r="T127" s="6">
        <v>26.99184095266753</v>
      </c>
      <c r="U127" s="6">
        <v>66.94705210133651</v>
      </c>
      <c r="V127" s="6">
        <v>217.824691015909</v>
      </c>
      <c r="W127" s="6">
        <v>1.908616708287433</v>
      </c>
      <c r="X127" s="6">
        <v>26.70488758566206</v>
      </c>
      <c r="Y127" s="6">
        <v>246.43819530985849</v>
      </c>
      <c r="Z127" s="6">
        <v>27.888123213981022</v>
      </c>
      <c r="AA127" s="6">
        <v>274.32631852383952</v>
      </c>
      <c r="AB127" s="6">
        <v>0</v>
      </c>
      <c r="AC127" s="6">
        <v>6.5517612490673329</v>
      </c>
      <c r="AD127" s="6">
        <v>0</v>
      </c>
      <c r="AE127" s="6">
        <v>0</v>
      </c>
      <c r="AF127" s="6">
        <v>280.87807977290691</v>
      </c>
      <c r="AG127" s="6">
        <v>9.6149179474559912</v>
      </c>
      <c r="AH127" s="6">
        <v>0</v>
      </c>
      <c r="AI127" s="6">
        <v>8.9427271792231675</v>
      </c>
      <c r="AJ127" s="6">
        <v>292.88396365051869</v>
      </c>
      <c r="AK127" s="6">
        <v>0</v>
      </c>
      <c r="AL127" s="6">
        <v>0</v>
      </c>
      <c r="AM127" s="6">
        <v>0</v>
      </c>
      <c r="AN127" s="6">
        <v>0</v>
      </c>
      <c r="AO127" s="6">
        <v>0</v>
      </c>
      <c r="AP127" s="6">
        <v>292.88396365051869</v>
      </c>
      <c r="AQ127" s="6">
        <v>419.99427319685242</v>
      </c>
      <c r="AR127" s="6">
        <v>9.5075679999999991</v>
      </c>
      <c r="AS127" s="6">
        <v>173.5560778869939</v>
      </c>
      <c r="AT127" s="6">
        <v>145.6679546730129</v>
      </c>
    </row>
    <row r="128" spans="1:46" x14ac:dyDescent="0.35">
      <c r="A128" s="5">
        <v>46022</v>
      </c>
      <c r="B128" s="4" t="s">
        <v>728</v>
      </c>
      <c r="C128" s="4" t="s">
        <v>729</v>
      </c>
      <c r="D128" s="4" t="s">
        <v>61</v>
      </c>
      <c r="E128" s="6">
        <v>800</v>
      </c>
      <c r="F128" s="7">
        <v>0.5988</v>
      </c>
      <c r="G128" s="6">
        <v>92.5</v>
      </c>
      <c r="H128" s="6">
        <v>4.431</v>
      </c>
      <c r="I128" s="6">
        <v>97</v>
      </c>
      <c r="J128" s="6">
        <v>4.2983000000000002</v>
      </c>
      <c r="K128" s="8">
        <v>74.877646526490892</v>
      </c>
      <c r="L128" s="6">
        <v>32.345083263891908</v>
      </c>
      <c r="M128" s="6">
        <v>0.92562552028093525</v>
      </c>
      <c r="N128" s="6">
        <v>36.796850972446052</v>
      </c>
      <c r="O128" s="6">
        <v>32.507378109192622</v>
      </c>
      <c r="P128" s="6">
        <v>102.57493786581151</v>
      </c>
      <c r="Q128" s="6">
        <v>4.3309284056497104</v>
      </c>
      <c r="R128" s="6">
        <v>7.3806036752621749</v>
      </c>
      <c r="S128" s="6">
        <v>26.794768967315111</v>
      </c>
      <c r="T128" s="6">
        <v>27.826422821327789</v>
      </c>
      <c r="U128" s="6">
        <v>66.332723869554783</v>
      </c>
      <c r="V128" s="6">
        <v>168.9076617353663</v>
      </c>
      <c r="W128" s="6">
        <v>3.4761383045280341</v>
      </c>
      <c r="X128" s="6">
        <v>22.607558783248571</v>
      </c>
      <c r="Y128" s="6">
        <v>194.99135882314289</v>
      </c>
      <c r="Z128" s="6">
        <v>57.182775052608932</v>
      </c>
      <c r="AA128" s="6">
        <v>252.17413387575181</v>
      </c>
      <c r="AB128" s="6">
        <v>0</v>
      </c>
      <c r="AC128" s="6">
        <v>38.068223807665149</v>
      </c>
      <c r="AD128" s="6">
        <v>0</v>
      </c>
      <c r="AE128" s="6">
        <v>0</v>
      </c>
      <c r="AF128" s="6">
        <v>290.24235768341703</v>
      </c>
      <c r="AG128" s="6">
        <v>25.219768103371081</v>
      </c>
      <c r="AH128" s="6">
        <v>0</v>
      </c>
      <c r="AI128" s="6">
        <v>13.497900583023711</v>
      </c>
      <c r="AJ128" s="6">
        <v>290.89180256214661</v>
      </c>
      <c r="AK128" s="6">
        <v>0</v>
      </c>
      <c r="AL128" s="6">
        <v>0</v>
      </c>
      <c r="AM128" s="6">
        <v>0</v>
      </c>
      <c r="AN128" s="6">
        <v>0</v>
      </c>
      <c r="AO128" s="6">
        <v>0</v>
      </c>
      <c r="AP128" s="6">
        <v>290.89180256214661</v>
      </c>
      <c r="AQ128" s="6">
        <v>419.99999964779192</v>
      </c>
      <c r="AR128" s="6">
        <v>52.840738999999999</v>
      </c>
      <c r="AS128" s="6">
        <v>225.00864082464901</v>
      </c>
      <c r="AT128" s="6">
        <v>167.82586577204009</v>
      </c>
    </row>
    <row r="129" spans="1:46" x14ac:dyDescent="0.35">
      <c r="A129" s="5">
        <v>46022</v>
      </c>
      <c r="B129" s="4" t="s">
        <v>352</v>
      </c>
      <c r="C129" s="4" t="s">
        <v>353</v>
      </c>
      <c r="D129" s="4" t="s">
        <v>58</v>
      </c>
      <c r="E129" s="6">
        <v>3390.461538</v>
      </c>
      <c r="F129" s="7">
        <v>0.65</v>
      </c>
      <c r="G129" s="6">
        <v>60</v>
      </c>
      <c r="H129" s="6">
        <v>13.223000000000001</v>
      </c>
      <c r="I129" s="6">
        <v>100</v>
      </c>
      <c r="J129" s="6">
        <v>13.222799999999999</v>
      </c>
      <c r="K129" s="8">
        <v>100</v>
      </c>
      <c r="L129" s="6">
        <v>75.424967553635085</v>
      </c>
      <c r="M129" s="6">
        <v>23.8556323147059</v>
      </c>
      <c r="N129" s="6">
        <v>0.23928742100281081</v>
      </c>
      <c r="O129" s="6">
        <v>24.54106853855054</v>
      </c>
      <c r="P129" s="6">
        <v>124.0609558278943</v>
      </c>
      <c r="Q129" s="6">
        <v>11.599298975781769</v>
      </c>
      <c r="R129" s="6">
        <v>33.369197267775711</v>
      </c>
      <c r="S129" s="6">
        <v>22.79269093333675</v>
      </c>
      <c r="T129" s="6">
        <v>5.269940829104919</v>
      </c>
      <c r="U129" s="6">
        <v>73.03112800599915</v>
      </c>
      <c r="V129" s="6">
        <v>197.0920838338935</v>
      </c>
      <c r="W129" s="6">
        <v>4.155944109979508</v>
      </c>
      <c r="X129" s="6">
        <v>0</v>
      </c>
      <c r="Y129" s="6">
        <v>201.24802794387301</v>
      </c>
      <c r="Z129" s="6">
        <v>0.99250539384677916</v>
      </c>
      <c r="AA129" s="6">
        <v>202.2405333377198</v>
      </c>
      <c r="AB129" s="6">
        <v>0</v>
      </c>
      <c r="AC129" s="6">
        <v>27.783951588695761</v>
      </c>
      <c r="AD129" s="6">
        <v>0</v>
      </c>
      <c r="AE129" s="6">
        <v>0</v>
      </c>
      <c r="AF129" s="6">
        <v>230.02448492641551</v>
      </c>
      <c r="AG129" s="6">
        <v>9.8546082623954305</v>
      </c>
      <c r="AH129" s="6">
        <v>0</v>
      </c>
      <c r="AI129" s="6">
        <v>19.709204894217269</v>
      </c>
      <c r="AJ129" s="6">
        <v>231.80434649433249</v>
      </c>
      <c r="AK129" s="6">
        <v>0</v>
      </c>
      <c r="AL129" s="6">
        <v>0</v>
      </c>
      <c r="AM129" s="6">
        <v>0</v>
      </c>
      <c r="AN129" s="6">
        <v>0</v>
      </c>
      <c r="AO129" s="6">
        <v>0</v>
      </c>
      <c r="AP129" s="6">
        <v>231.80434649433249</v>
      </c>
      <c r="AQ129" s="6">
        <v>419.99999964779198</v>
      </c>
      <c r="AR129" s="6">
        <v>122.435393</v>
      </c>
      <c r="AS129" s="6">
        <v>218.751971703919</v>
      </c>
      <c r="AT129" s="6">
        <v>217.75946631007221</v>
      </c>
    </row>
    <row r="130" spans="1:46" x14ac:dyDescent="0.35">
      <c r="A130" s="5">
        <v>46022</v>
      </c>
      <c r="B130" s="4" t="s">
        <v>216</v>
      </c>
      <c r="C130" s="4" t="s">
        <v>217</v>
      </c>
      <c r="D130" s="4" t="s">
        <v>213</v>
      </c>
      <c r="E130" s="6">
        <v>9000</v>
      </c>
      <c r="F130" s="7">
        <v>0.62</v>
      </c>
      <c r="G130" s="6">
        <v>90</v>
      </c>
      <c r="H130" s="6">
        <v>50.22</v>
      </c>
      <c r="I130" s="6">
        <v>97</v>
      </c>
      <c r="J130" s="6">
        <v>48.7134</v>
      </c>
      <c r="K130" s="8">
        <v>100</v>
      </c>
      <c r="L130" s="6">
        <v>7.922865729659498</v>
      </c>
      <c r="M130" s="6">
        <v>1.452591727849462</v>
      </c>
      <c r="N130" s="6">
        <v>9.8558835630286747</v>
      </c>
      <c r="O130" s="6">
        <v>10.027487061541221</v>
      </c>
      <c r="P130" s="6">
        <v>29.25882808207885</v>
      </c>
      <c r="Q130" s="6">
        <v>6.1411291560035854</v>
      </c>
      <c r="R130" s="6">
        <v>43.894996648673832</v>
      </c>
      <c r="S130" s="6">
        <v>71.648613069946236</v>
      </c>
      <c r="T130" s="6">
        <v>13.47770039137993</v>
      </c>
      <c r="U130" s="6">
        <v>135.16243926600359</v>
      </c>
      <c r="V130" s="6">
        <v>164.42126734808241</v>
      </c>
      <c r="W130" s="6">
        <v>20.067151426458889</v>
      </c>
      <c r="X130" s="6">
        <v>21.855437037037039</v>
      </c>
      <c r="Y130" s="6">
        <v>206.34385581157841</v>
      </c>
      <c r="Z130" s="6">
        <v>13.863399908432459</v>
      </c>
      <c r="AA130" s="6">
        <v>220.20725572001081</v>
      </c>
      <c r="AB130" s="6">
        <v>0</v>
      </c>
      <c r="AC130" s="6">
        <v>47.584677184157712</v>
      </c>
      <c r="AD130" s="6">
        <v>0</v>
      </c>
      <c r="AE130" s="6">
        <v>0</v>
      </c>
      <c r="AF130" s="6">
        <v>267.7919329041685</v>
      </c>
      <c r="AG130" s="6">
        <v>3.7245761240860218</v>
      </c>
      <c r="AH130" s="6">
        <v>0</v>
      </c>
      <c r="AI130" s="6">
        <v>18.520858791505379</v>
      </c>
      <c r="AJ130" s="6">
        <v>242.45269063560221</v>
      </c>
      <c r="AK130" s="6">
        <v>9.3114486905197111</v>
      </c>
      <c r="AL130" s="6">
        <v>0</v>
      </c>
      <c r="AM130" s="6">
        <v>0</v>
      </c>
      <c r="AN130" s="6">
        <v>0</v>
      </c>
      <c r="AO130" s="6">
        <v>0</v>
      </c>
      <c r="AP130" s="6">
        <v>251.76413932612189</v>
      </c>
      <c r="AQ130" s="6">
        <v>419.99999964779192</v>
      </c>
      <c r="AR130" s="6">
        <v>451.05758700000001</v>
      </c>
      <c r="AS130" s="6">
        <v>213.6561438362136</v>
      </c>
      <c r="AT130" s="6">
        <v>199.79274392778109</v>
      </c>
    </row>
    <row r="131" spans="1:46" x14ac:dyDescent="0.35">
      <c r="A131" s="5">
        <v>46022</v>
      </c>
      <c r="B131" s="4" t="s">
        <v>218</v>
      </c>
      <c r="C131" s="4" t="s">
        <v>219</v>
      </c>
      <c r="D131" s="4" t="s">
        <v>61</v>
      </c>
      <c r="E131" s="6">
        <v>90.41</v>
      </c>
      <c r="F131" s="7">
        <v>1.21</v>
      </c>
      <c r="G131" s="6">
        <v>95</v>
      </c>
      <c r="H131" s="6">
        <v>1.0389999999999999</v>
      </c>
      <c r="I131" s="6">
        <v>97</v>
      </c>
      <c r="J131" s="6">
        <v>1.0080849999999999</v>
      </c>
      <c r="K131" s="8">
        <v>77.036146992402109</v>
      </c>
      <c r="L131" s="6">
        <v>35.210645411387688</v>
      </c>
      <c r="M131" s="6">
        <v>0.50496515181389157</v>
      </c>
      <c r="N131" s="6">
        <v>7.4213443354076531</v>
      </c>
      <c r="O131" s="6">
        <v>12.540251028744141</v>
      </c>
      <c r="P131" s="6">
        <v>55.677205927353377</v>
      </c>
      <c r="Q131" s="6">
        <v>17.10327047687856</v>
      </c>
      <c r="R131" s="6">
        <v>4.3423831589534663</v>
      </c>
      <c r="S131" s="6">
        <v>11.956983247513239</v>
      </c>
      <c r="T131" s="6">
        <v>18.083438510772361</v>
      </c>
      <c r="U131" s="6">
        <v>51.48607539411762</v>
      </c>
      <c r="V131" s="6">
        <v>107.163281321471</v>
      </c>
      <c r="W131" s="6">
        <v>6.8407088717270828</v>
      </c>
      <c r="X131" s="6">
        <v>22.592353351353179</v>
      </c>
      <c r="Y131" s="6">
        <v>136.5963435445513</v>
      </c>
      <c r="Z131" s="6">
        <v>55.756186911575568</v>
      </c>
      <c r="AA131" s="6">
        <v>192.3525304561268</v>
      </c>
      <c r="AB131" s="6">
        <v>0</v>
      </c>
      <c r="AC131" s="6">
        <v>13.422968547775559</v>
      </c>
      <c r="AD131" s="6">
        <v>0</v>
      </c>
      <c r="AE131" s="6">
        <v>0</v>
      </c>
      <c r="AF131" s="6">
        <v>205.77549900390241</v>
      </c>
      <c r="AG131" s="6">
        <v>13.88522231976377</v>
      </c>
      <c r="AH131" s="6">
        <v>0</v>
      </c>
      <c r="AI131" s="6">
        <v>13.422968547775559</v>
      </c>
      <c r="AJ131" s="6">
        <v>219.66072132366619</v>
      </c>
      <c r="AK131" s="6">
        <v>0</v>
      </c>
      <c r="AL131" s="6">
        <v>0</v>
      </c>
      <c r="AM131" s="6">
        <v>0</v>
      </c>
      <c r="AN131" s="6">
        <v>0</v>
      </c>
      <c r="AO131" s="6">
        <v>0</v>
      </c>
      <c r="AP131" s="6">
        <v>219.66072132366619</v>
      </c>
      <c r="AQ131" s="6">
        <v>420.00624912079741</v>
      </c>
      <c r="AR131" s="6">
        <v>12.165437000000001</v>
      </c>
      <c r="AS131" s="6">
        <v>283.40990557624622</v>
      </c>
      <c r="AT131" s="6">
        <v>227.65371866467061</v>
      </c>
    </row>
    <row r="132" spans="1:46" x14ac:dyDescent="0.35">
      <c r="A132" s="5">
        <v>46022</v>
      </c>
      <c r="B132" s="4" t="s">
        <v>730</v>
      </c>
      <c r="C132" s="4" t="s">
        <v>731</v>
      </c>
      <c r="D132" s="4" t="s">
        <v>58</v>
      </c>
      <c r="E132" s="6">
        <v>38500</v>
      </c>
      <c r="F132" s="7">
        <v>0.39</v>
      </c>
      <c r="G132" s="6">
        <v>51.68</v>
      </c>
      <c r="H132" s="6">
        <v>77.599999999999994</v>
      </c>
      <c r="I132" s="6">
        <v>100</v>
      </c>
      <c r="J132" s="6">
        <v>77.599999999999994</v>
      </c>
      <c r="K132" s="8">
        <v>99.999999966418144</v>
      </c>
      <c r="L132" s="6">
        <v>74.158132482834446</v>
      </c>
      <c r="M132" s="6">
        <v>21.237518291547421</v>
      </c>
      <c r="N132" s="6">
        <v>5.8633950868322131</v>
      </c>
      <c r="O132" s="6">
        <v>33.656336983458829</v>
      </c>
      <c r="P132" s="6">
        <v>134.91538284467291</v>
      </c>
      <c r="Q132" s="6">
        <v>28.065558509746321</v>
      </c>
      <c r="R132" s="6">
        <v>7.9597794846500838</v>
      </c>
      <c r="S132" s="6">
        <v>34.228147741487433</v>
      </c>
      <c r="T132" s="6">
        <v>11.530733055165269</v>
      </c>
      <c r="U132" s="6">
        <v>81.784218791049099</v>
      </c>
      <c r="V132" s="6">
        <v>216.69960163572199</v>
      </c>
      <c r="W132" s="6">
        <v>9.1780326027099708</v>
      </c>
      <c r="X132" s="6">
        <v>0</v>
      </c>
      <c r="Y132" s="6">
        <v>225.87763423843199</v>
      </c>
      <c r="Z132" s="6">
        <v>11.51756169716921</v>
      </c>
      <c r="AA132" s="6">
        <v>237.39519593560121</v>
      </c>
      <c r="AB132" s="6">
        <v>0</v>
      </c>
      <c r="AC132" s="6">
        <v>81.678358749104646</v>
      </c>
      <c r="AD132" s="6">
        <v>0</v>
      </c>
      <c r="AE132" s="6">
        <v>0</v>
      </c>
      <c r="AF132" s="6">
        <v>319.07355468470581</v>
      </c>
      <c r="AG132" s="6">
        <v>26.876973480975469</v>
      </c>
      <c r="AH132" s="6">
        <v>0</v>
      </c>
      <c r="AI132" s="6">
        <v>27.133994641487281</v>
      </c>
      <c r="AJ132" s="6">
        <v>291.40616405806389</v>
      </c>
      <c r="AK132" s="6">
        <v>0</v>
      </c>
      <c r="AL132" s="6">
        <v>0</v>
      </c>
      <c r="AM132" s="6">
        <v>0</v>
      </c>
      <c r="AN132" s="6">
        <v>0</v>
      </c>
      <c r="AO132" s="6">
        <v>60.450089708670987</v>
      </c>
      <c r="AP132" s="6">
        <v>351.85625376673488</v>
      </c>
      <c r="AQ132" s="6">
        <v>419.99999964779198</v>
      </c>
      <c r="AR132" s="6">
        <v>718.53060500000004</v>
      </c>
      <c r="AS132" s="6">
        <v>194.12236540935999</v>
      </c>
      <c r="AT132" s="6">
        <v>182.6048037121908</v>
      </c>
    </row>
    <row r="133" spans="1:46" x14ac:dyDescent="0.35">
      <c r="A133" s="5">
        <v>46022</v>
      </c>
      <c r="B133" s="4" t="s">
        <v>354</v>
      </c>
      <c r="C133" s="4" t="s">
        <v>355</v>
      </c>
      <c r="D133" s="4" t="s">
        <v>86</v>
      </c>
      <c r="E133" s="6">
        <v>10000</v>
      </c>
      <c r="F133" s="7">
        <v>1.1362000000000001</v>
      </c>
      <c r="G133" s="6">
        <v>88</v>
      </c>
      <c r="H133" s="6">
        <v>99.99</v>
      </c>
      <c r="I133" s="6">
        <v>94.210526000000002</v>
      </c>
      <c r="J133" s="6">
        <v>94.200800999999998</v>
      </c>
      <c r="K133" s="8">
        <v>77.848131991501745</v>
      </c>
      <c r="L133" s="6">
        <v>18.09530757673669</v>
      </c>
      <c r="M133" s="6">
        <v>0.23384365848910241</v>
      </c>
      <c r="N133" s="6">
        <v>1.3768035980545641</v>
      </c>
      <c r="O133" s="6">
        <v>10.45860636497212</v>
      </c>
      <c r="P133" s="6">
        <v>30.164561198252471</v>
      </c>
      <c r="Q133" s="6">
        <v>6.7484979000983101</v>
      </c>
      <c r="R133" s="6">
        <v>3.490138063202564</v>
      </c>
      <c r="S133" s="6">
        <v>9.9079606457685934</v>
      </c>
      <c r="T133" s="6">
        <v>8.7760738217502663</v>
      </c>
      <c r="U133" s="6">
        <v>28.922670430819728</v>
      </c>
      <c r="V133" s="6">
        <v>59.087231629072207</v>
      </c>
      <c r="W133" s="6">
        <v>2.1804058542784732</v>
      </c>
      <c r="X133" s="6">
        <v>26.78871611040876</v>
      </c>
      <c r="Y133" s="6">
        <v>88.056353593759439</v>
      </c>
      <c r="Z133" s="6">
        <v>24.965295470979282</v>
      </c>
      <c r="AA133" s="6">
        <v>113.0216490647387</v>
      </c>
      <c r="AB133" s="6">
        <v>0</v>
      </c>
      <c r="AC133" s="6">
        <v>44.433158978968052</v>
      </c>
      <c r="AD133" s="6">
        <v>0</v>
      </c>
      <c r="AE133" s="6">
        <v>0</v>
      </c>
      <c r="AF133" s="6">
        <v>157.45480804370681</v>
      </c>
      <c r="AG133" s="6">
        <v>10.07589415169668</v>
      </c>
      <c r="AH133" s="6">
        <v>0</v>
      </c>
      <c r="AI133" s="6">
        <v>31.380474751486961</v>
      </c>
      <c r="AJ133" s="6">
        <v>154.4780179679224</v>
      </c>
      <c r="AK133" s="6">
        <v>0</v>
      </c>
      <c r="AL133" s="6">
        <v>0</v>
      </c>
      <c r="AM133" s="6">
        <v>0</v>
      </c>
      <c r="AN133" s="6">
        <v>0</v>
      </c>
      <c r="AO133" s="6">
        <v>0</v>
      </c>
      <c r="AP133" s="6">
        <v>154.4780179679224</v>
      </c>
      <c r="AQ133" s="6">
        <v>419.99999518923107</v>
      </c>
      <c r="AR133" s="6">
        <v>1110.0083589999999</v>
      </c>
      <c r="AS133" s="6">
        <v>331.94364159547172</v>
      </c>
      <c r="AT133" s="6">
        <v>306.97834612449242</v>
      </c>
    </row>
    <row r="134" spans="1:46" x14ac:dyDescent="0.35">
      <c r="A134" s="5">
        <v>46022</v>
      </c>
      <c r="B134" s="4" t="s">
        <v>231</v>
      </c>
      <c r="C134" s="4" t="s">
        <v>232</v>
      </c>
      <c r="D134" s="4" t="s">
        <v>102</v>
      </c>
      <c r="E134" s="6">
        <v>2306.666667</v>
      </c>
      <c r="F134" s="7">
        <v>5.3900000000000003E-2</v>
      </c>
      <c r="G134" s="6">
        <v>37.979999999999997</v>
      </c>
      <c r="H134" s="6">
        <v>0.47199999999999998</v>
      </c>
      <c r="I134" s="6">
        <v>97</v>
      </c>
      <c r="J134" s="6">
        <v>0.45784000000000002</v>
      </c>
      <c r="K134" s="8">
        <v>1.24374119978458</v>
      </c>
      <c r="L134" s="6">
        <v>22.3731837160224</v>
      </c>
      <c r="M134" s="6">
        <v>3.158875951657715</v>
      </c>
      <c r="N134" s="6">
        <v>4.2093002358231848</v>
      </c>
      <c r="O134" s="6">
        <v>19.054509094814449</v>
      </c>
      <c r="P134" s="6">
        <v>48.795868998317758</v>
      </c>
      <c r="Q134" s="6">
        <v>8.4394088039678348</v>
      </c>
      <c r="R134" s="6">
        <v>6.7047937059667868</v>
      </c>
      <c r="S134" s="6">
        <v>7.8275767559073977</v>
      </c>
      <c r="T134" s="6">
        <v>10.180737367471311</v>
      </c>
      <c r="U134" s="6">
        <v>33.152516633313333</v>
      </c>
      <c r="V134" s="6">
        <v>81.948385631631083</v>
      </c>
      <c r="W134" s="6">
        <v>7.8722186368765916</v>
      </c>
      <c r="X134" s="6">
        <v>12.595281441733709</v>
      </c>
      <c r="Y134" s="6">
        <v>102.4158857102414</v>
      </c>
      <c r="Z134" s="6">
        <v>0</v>
      </c>
      <c r="AA134" s="6">
        <v>102.4158857102414</v>
      </c>
      <c r="AB134" s="6">
        <v>0</v>
      </c>
      <c r="AC134" s="6">
        <v>63.668954940140459</v>
      </c>
      <c r="AD134" s="6">
        <v>0</v>
      </c>
      <c r="AE134" s="6">
        <v>0</v>
      </c>
      <c r="AF134" s="6">
        <v>166.08484065038181</v>
      </c>
      <c r="AG134" s="6">
        <v>8.4396759782935007</v>
      </c>
      <c r="AH134" s="6">
        <v>0</v>
      </c>
      <c r="AI134" s="6">
        <v>49.016708474443021</v>
      </c>
      <c r="AJ134" s="6">
        <v>159.87227016297791</v>
      </c>
      <c r="AK134" s="6">
        <v>0.85021976127799403</v>
      </c>
      <c r="AL134" s="6">
        <v>0</v>
      </c>
      <c r="AM134" s="6">
        <v>0</v>
      </c>
      <c r="AN134" s="6">
        <v>0</v>
      </c>
      <c r="AO134" s="6">
        <v>0</v>
      </c>
      <c r="AP134" s="6">
        <v>160.72248992425591</v>
      </c>
      <c r="AQ134" s="6">
        <v>419.96330560623608</v>
      </c>
      <c r="AR134" s="6">
        <v>384.00615399999998</v>
      </c>
      <c r="AS134" s="6">
        <v>317.54741989599472</v>
      </c>
      <c r="AT134" s="6">
        <v>317.54741989599472</v>
      </c>
    </row>
    <row r="135" spans="1:46" x14ac:dyDescent="0.35">
      <c r="A135" s="5">
        <v>46022</v>
      </c>
      <c r="B135" s="4" t="s">
        <v>220</v>
      </c>
      <c r="C135" s="4" t="s">
        <v>221</v>
      </c>
      <c r="D135" s="4" t="s">
        <v>222</v>
      </c>
      <c r="E135" s="6">
        <v>28145.406558999999</v>
      </c>
      <c r="F135" s="7">
        <v>0.2427</v>
      </c>
      <c r="G135" s="6">
        <v>85</v>
      </c>
      <c r="H135" s="6">
        <v>58.06</v>
      </c>
      <c r="I135" s="6">
        <v>97</v>
      </c>
      <c r="J135" s="6">
        <v>56.318607</v>
      </c>
      <c r="K135" s="8">
        <v>90.102511142433102</v>
      </c>
      <c r="L135" s="6">
        <v>25.647508909194919</v>
      </c>
      <c r="M135" s="6">
        <v>43.75137573264557</v>
      </c>
      <c r="N135" s="6">
        <v>1.449978462241992</v>
      </c>
      <c r="O135" s="6">
        <v>41.399682276234472</v>
      </c>
      <c r="P135" s="6">
        <v>112.2485453803169</v>
      </c>
      <c r="Q135" s="6">
        <v>13.965185359545449</v>
      </c>
      <c r="R135" s="6">
        <v>23.66879310768374</v>
      </c>
      <c r="S135" s="6">
        <v>39.148540213234043</v>
      </c>
      <c r="T135" s="6">
        <v>33.226220412466319</v>
      </c>
      <c r="U135" s="6">
        <v>110.0087390929295</v>
      </c>
      <c r="V135" s="6">
        <v>222.2572844732465</v>
      </c>
      <c r="W135" s="6">
        <v>25.60771844475375</v>
      </c>
      <c r="X135" s="6">
        <v>0</v>
      </c>
      <c r="Y135" s="6">
        <v>247.86500291800019</v>
      </c>
      <c r="Z135" s="6">
        <v>3.2776745186473861</v>
      </c>
      <c r="AA135" s="6">
        <v>251.1426774366476</v>
      </c>
      <c r="AB135" s="6">
        <v>0</v>
      </c>
      <c r="AC135" s="6">
        <v>36.64317040418797</v>
      </c>
      <c r="AD135" s="6">
        <v>0</v>
      </c>
      <c r="AE135" s="6">
        <v>0</v>
      </c>
      <c r="AF135" s="6">
        <v>287.78584784083557</v>
      </c>
      <c r="AG135" s="6">
        <v>6.7331443418233841</v>
      </c>
      <c r="AH135" s="6">
        <v>0</v>
      </c>
      <c r="AI135" s="6">
        <v>21.913341023696859</v>
      </c>
      <c r="AJ135" s="6">
        <v>279.78916280216788</v>
      </c>
      <c r="AK135" s="6">
        <v>0</v>
      </c>
      <c r="AL135" s="6">
        <v>0</v>
      </c>
      <c r="AM135" s="6">
        <v>0</v>
      </c>
      <c r="AN135" s="6">
        <v>0</v>
      </c>
      <c r="AO135" s="6">
        <v>0</v>
      </c>
      <c r="AP135" s="6">
        <v>279.78916280216788</v>
      </c>
      <c r="AQ135" s="6">
        <v>419.99994744479631</v>
      </c>
      <c r="AR135" s="6">
        <v>576.03638000000001</v>
      </c>
      <c r="AS135" s="6">
        <v>172.134944526796</v>
      </c>
      <c r="AT135" s="6">
        <v>168.85727000814859</v>
      </c>
    </row>
    <row r="136" spans="1:46" x14ac:dyDescent="0.35">
      <c r="A136" s="5">
        <v>46022</v>
      </c>
      <c r="B136" s="4" t="s">
        <v>384</v>
      </c>
      <c r="C136" s="4" t="s">
        <v>385</v>
      </c>
      <c r="D136" s="4" t="s">
        <v>89</v>
      </c>
      <c r="E136" s="6">
        <v>1453.1558</v>
      </c>
      <c r="F136" s="7">
        <v>1.7644</v>
      </c>
      <c r="G136" s="6">
        <v>86.99</v>
      </c>
      <c r="H136" s="6">
        <v>22.303000000000001</v>
      </c>
      <c r="I136" s="6">
        <v>94.82938</v>
      </c>
      <c r="J136" s="6">
        <v>21.150037999999999</v>
      </c>
      <c r="K136" s="8">
        <v>63.343485301360886</v>
      </c>
      <c r="L136" s="6">
        <v>86.479620106516776</v>
      </c>
      <c r="M136" s="6">
        <v>33.811573936132064</v>
      </c>
      <c r="N136" s="6">
        <v>19.67550973041584</v>
      </c>
      <c r="O136" s="6">
        <v>109.09773621179841</v>
      </c>
      <c r="P136" s="6">
        <v>249.0644399848631</v>
      </c>
      <c r="Q136" s="6">
        <v>41.393326566610121</v>
      </c>
      <c r="R136" s="6">
        <v>7.6318098352210031</v>
      </c>
      <c r="S136" s="6">
        <v>14.34581212557811</v>
      </c>
      <c r="T136" s="6">
        <v>45.549391283686802</v>
      </c>
      <c r="U136" s="6">
        <v>108.920339811096</v>
      </c>
      <c r="V136" s="6">
        <v>357.98477979595913</v>
      </c>
      <c r="W136" s="6">
        <v>17.571910797530471</v>
      </c>
      <c r="X136" s="6">
        <v>23.79387480564996</v>
      </c>
      <c r="Y136" s="6">
        <v>399.35056539913961</v>
      </c>
      <c r="Z136" s="6">
        <v>24.282453323847061</v>
      </c>
      <c r="AA136" s="6">
        <v>423.63301872298661</v>
      </c>
      <c r="AB136" s="6">
        <v>0</v>
      </c>
      <c r="AC136" s="6">
        <v>46.566746671890712</v>
      </c>
      <c r="AD136" s="6">
        <v>0</v>
      </c>
      <c r="AE136" s="6">
        <v>-9.7879059278112877</v>
      </c>
      <c r="AF136" s="6">
        <v>460.41185946706599</v>
      </c>
      <c r="AG136" s="6">
        <v>27.78648646770101</v>
      </c>
      <c r="AH136" s="6">
        <v>0</v>
      </c>
      <c r="AI136" s="6">
        <v>20.615780537210181</v>
      </c>
      <c r="AJ136" s="6">
        <v>472.03528572789781</v>
      </c>
      <c r="AK136" s="6">
        <v>104.4234095544934</v>
      </c>
      <c r="AL136" s="6">
        <v>0</v>
      </c>
      <c r="AM136" s="6">
        <v>0</v>
      </c>
      <c r="AN136" s="6">
        <v>0</v>
      </c>
      <c r="AO136" s="6">
        <v>0</v>
      </c>
      <c r="AP136" s="6">
        <v>576.4586952823912</v>
      </c>
      <c r="AQ136" s="6">
        <v>419.99924503921932</v>
      </c>
      <c r="AR136" s="6">
        <v>323.67664500000001</v>
      </c>
      <c r="AS136" s="6">
        <v>20.648679640079759</v>
      </c>
      <c r="AT136" s="6">
        <v>-3.6337736837673038</v>
      </c>
    </row>
    <row r="137" spans="1:46" x14ac:dyDescent="0.35">
      <c r="A137" s="5">
        <v>46022</v>
      </c>
      <c r="B137" s="4" t="s">
        <v>386</v>
      </c>
      <c r="C137" s="4" t="s">
        <v>387</v>
      </c>
      <c r="D137" s="4" t="s">
        <v>222</v>
      </c>
      <c r="E137" s="6">
        <v>3205</v>
      </c>
      <c r="F137" s="7">
        <v>0.08</v>
      </c>
      <c r="G137" s="6">
        <v>85.4</v>
      </c>
      <c r="H137" s="6">
        <v>2.19</v>
      </c>
      <c r="I137" s="6">
        <v>76.519008999999997</v>
      </c>
      <c r="J137" s="6">
        <v>1.675503</v>
      </c>
      <c r="K137" s="8">
        <v>4.3406557311984661</v>
      </c>
      <c r="L137" s="6">
        <v>67.752110871545867</v>
      </c>
      <c r="M137" s="6">
        <v>4.2913603768245911</v>
      </c>
      <c r="N137" s="6">
        <v>2.2840222980308971</v>
      </c>
      <c r="O137" s="6">
        <v>25.162009011631788</v>
      </c>
      <c r="P137" s="6">
        <v>99.489502558033124</v>
      </c>
      <c r="Q137" s="6">
        <v>24.04645168356403</v>
      </c>
      <c r="R137" s="6">
        <v>4.4460986580684452</v>
      </c>
      <c r="S137" s="6">
        <v>5.4992575087071947</v>
      </c>
      <c r="T137" s="6">
        <v>27.334084644820841</v>
      </c>
      <c r="U137" s="6">
        <v>61.32589249516051</v>
      </c>
      <c r="V137" s="6">
        <v>160.81539505319361</v>
      </c>
      <c r="W137" s="6">
        <v>6.9925259737537262</v>
      </c>
      <c r="X137" s="6">
        <v>32.959297682260193</v>
      </c>
      <c r="Y137" s="6">
        <v>200.76721870920761</v>
      </c>
      <c r="Z137" s="6">
        <v>17.58087603446079</v>
      </c>
      <c r="AA137" s="6">
        <v>218.3480947436683</v>
      </c>
      <c r="AB137" s="6">
        <v>2.570103197687303</v>
      </c>
      <c r="AC137" s="6">
        <v>52.791672924051809</v>
      </c>
      <c r="AD137" s="6">
        <v>0</v>
      </c>
      <c r="AE137" s="6">
        <v>0</v>
      </c>
      <c r="AF137" s="6">
        <v>273.70987086540748</v>
      </c>
      <c r="AG137" s="6">
        <v>10.571175082694619</v>
      </c>
      <c r="AH137" s="6">
        <v>2.5852245090632961</v>
      </c>
      <c r="AI137" s="6">
        <v>53.114647563742892</v>
      </c>
      <c r="AJ137" s="6">
        <v>287.1892450968565</v>
      </c>
      <c r="AK137" s="6">
        <v>14.453766679567821</v>
      </c>
      <c r="AL137" s="6">
        <v>0</v>
      </c>
      <c r="AM137" s="6">
        <v>0</v>
      </c>
      <c r="AN137" s="6">
        <v>0</v>
      </c>
      <c r="AO137" s="6">
        <v>0</v>
      </c>
      <c r="AP137" s="6">
        <v>301.64301177642432</v>
      </c>
      <c r="AQ137" s="6">
        <v>419.99924763481499</v>
      </c>
      <c r="AR137" s="6">
        <v>325.976291</v>
      </c>
      <c r="AS137" s="6">
        <v>219.23202892560741</v>
      </c>
      <c r="AT137" s="6">
        <v>201.65115289114661</v>
      </c>
    </row>
    <row r="138" spans="1:46" x14ac:dyDescent="0.35">
      <c r="A138" s="5">
        <v>46022</v>
      </c>
      <c r="B138" s="4" t="s">
        <v>732</v>
      </c>
      <c r="C138" s="4" t="s">
        <v>733</v>
      </c>
      <c r="D138" s="4" t="s">
        <v>536</v>
      </c>
      <c r="E138" s="6">
        <v>76054.290800000002</v>
      </c>
      <c r="F138" s="7">
        <v>1.2</v>
      </c>
      <c r="G138" s="6">
        <v>88.73</v>
      </c>
      <c r="H138" s="6">
        <v>809.83900000000006</v>
      </c>
      <c r="I138" s="6">
        <v>97</v>
      </c>
      <c r="J138" s="6">
        <v>785.54357700000003</v>
      </c>
      <c r="K138" s="8">
        <v>67.688629229270077</v>
      </c>
      <c r="L138" s="6">
        <v>27.220861554755391</v>
      </c>
      <c r="M138" s="6">
        <v>2.894781698904334</v>
      </c>
      <c r="N138" s="6">
        <v>2.0530514445069352</v>
      </c>
      <c r="O138" s="6">
        <v>28.520239755381851</v>
      </c>
      <c r="P138" s="6">
        <v>60.688934453548512</v>
      </c>
      <c r="Q138" s="6">
        <v>5.2847404606298856</v>
      </c>
      <c r="R138" s="6">
        <v>5.9138205998684841</v>
      </c>
      <c r="S138" s="6">
        <v>9.8111466574795383</v>
      </c>
      <c r="T138" s="6">
        <v>22.89152018777472</v>
      </c>
      <c r="U138" s="6">
        <v>43.901227905752627</v>
      </c>
      <c r="V138" s="6">
        <v>104.5901623593011</v>
      </c>
      <c r="W138" s="6">
        <v>7.473163745492303</v>
      </c>
      <c r="X138" s="6">
        <v>18.48420376325409</v>
      </c>
      <c r="Y138" s="6">
        <v>130.54752986804749</v>
      </c>
      <c r="Z138" s="6">
        <v>31.851359162187169</v>
      </c>
      <c r="AA138" s="6">
        <v>162.3988890302347</v>
      </c>
      <c r="AB138" s="6">
        <v>0</v>
      </c>
      <c r="AC138" s="6">
        <v>37.585483517206661</v>
      </c>
      <c r="AD138" s="6">
        <v>0</v>
      </c>
      <c r="AE138" s="6">
        <v>0</v>
      </c>
      <c r="AF138" s="6">
        <v>199.98437254744141</v>
      </c>
      <c r="AG138" s="6">
        <v>4.2789857055636382</v>
      </c>
      <c r="AH138" s="6">
        <v>0</v>
      </c>
      <c r="AI138" s="6">
        <v>17.197442300948222</v>
      </c>
      <c r="AJ138" s="6">
        <v>183.87531703674659</v>
      </c>
      <c r="AK138" s="6">
        <v>35.176586389549122</v>
      </c>
      <c r="AL138" s="6">
        <v>0</v>
      </c>
      <c r="AM138" s="6">
        <v>0</v>
      </c>
      <c r="AN138" s="6">
        <v>0</v>
      </c>
      <c r="AO138" s="6">
        <v>0</v>
      </c>
      <c r="AP138" s="6">
        <v>219.05190342629569</v>
      </c>
      <c r="AQ138" s="6">
        <v>420.00001194500908</v>
      </c>
      <c r="AR138" s="6">
        <v>10737.946110999999</v>
      </c>
      <c r="AS138" s="6">
        <v>289.45248207696159</v>
      </c>
      <c r="AT138" s="6">
        <v>257.60112291477441</v>
      </c>
    </row>
    <row r="139" spans="1:46" x14ac:dyDescent="0.35">
      <c r="A139" s="5">
        <v>46022</v>
      </c>
      <c r="B139" s="4" t="s">
        <v>233</v>
      </c>
      <c r="C139" s="4" t="s">
        <v>234</v>
      </c>
      <c r="D139" s="4" t="s">
        <v>235</v>
      </c>
      <c r="E139" s="6">
        <v>3000</v>
      </c>
      <c r="F139" s="7">
        <v>0.47</v>
      </c>
      <c r="G139" s="6">
        <v>85.7</v>
      </c>
      <c r="H139" s="6">
        <v>12.084</v>
      </c>
      <c r="I139" s="6">
        <v>97</v>
      </c>
      <c r="J139" s="6">
        <v>11.721189000000001</v>
      </c>
      <c r="K139" s="8">
        <v>44.264864655495302</v>
      </c>
      <c r="L139" s="6">
        <v>2.7068139056046219</v>
      </c>
      <c r="M139" s="6">
        <v>9.2718236628971464</v>
      </c>
      <c r="N139" s="6">
        <v>1.3459066539837059</v>
      </c>
      <c r="O139" s="6">
        <v>26.753696929213181</v>
      </c>
      <c r="P139" s="6">
        <v>40.078241151698663</v>
      </c>
      <c r="Q139" s="6">
        <v>6.2971368033914441</v>
      </c>
      <c r="R139" s="6">
        <v>19.940203479713709</v>
      </c>
      <c r="S139" s="6">
        <v>39.51416420766013</v>
      </c>
      <c r="T139" s="6">
        <v>102.28399800466519</v>
      </c>
      <c r="U139" s="6">
        <v>168.03550249543051</v>
      </c>
      <c r="V139" s="6">
        <v>208.1137436471291</v>
      </c>
      <c r="W139" s="6">
        <v>8.3265622166733948</v>
      </c>
      <c r="X139" s="6">
        <v>13.933799854277281</v>
      </c>
      <c r="Y139" s="6">
        <v>230.37410571807979</v>
      </c>
      <c r="Z139" s="6">
        <v>9.6224847815313854</v>
      </c>
      <c r="AA139" s="6">
        <v>239.99659049961119</v>
      </c>
      <c r="AB139" s="6">
        <v>2.6737447566510588</v>
      </c>
      <c r="AC139" s="6">
        <v>46.21881467738703</v>
      </c>
      <c r="AD139" s="6">
        <v>0</v>
      </c>
      <c r="AE139" s="6">
        <v>0</v>
      </c>
      <c r="AF139" s="6">
        <v>288.88914993364932</v>
      </c>
      <c r="AG139" s="6">
        <v>6.851932802129248</v>
      </c>
      <c r="AH139" s="6">
        <v>0</v>
      </c>
      <c r="AI139" s="6">
        <v>6.851932802129248</v>
      </c>
      <c r="AJ139" s="6">
        <v>256.37420086052077</v>
      </c>
      <c r="AK139" s="6">
        <v>0</v>
      </c>
      <c r="AL139" s="6">
        <v>0</v>
      </c>
      <c r="AM139" s="6">
        <v>0</v>
      </c>
      <c r="AN139" s="6">
        <v>0</v>
      </c>
      <c r="AO139" s="6">
        <v>0</v>
      </c>
      <c r="AP139" s="6">
        <v>256.37420086052077</v>
      </c>
      <c r="AQ139" s="6">
        <v>420.00039380575629</v>
      </c>
      <c r="AR139" s="6">
        <v>241.01496900000001</v>
      </c>
      <c r="AS139" s="6">
        <v>189.62628808767639</v>
      </c>
      <c r="AT139" s="6">
        <v>180.0038033061451</v>
      </c>
    </row>
    <row r="140" spans="1:46" x14ac:dyDescent="0.35">
      <c r="A140" s="5">
        <v>46022</v>
      </c>
      <c r="B140" s="4" t="s">
        <v>734</v>
      </c>
      <c r="C140" s="4" t="s">
        <v>735</v>
      </c>
      <c r="D140" s="4" t="s">
        <v>61</v>
      </c>
      <c r="E140" s="6">
        <v>802.97</v>
      </c>
      <c r="F140" s="7">
        <v>0.30070000000000002</v>
      </c>
      <c r="G140" s="6">
        <v>82</v>
      </c>
      <c r="H140" s="6">
        <v>1.98</v>
      </c>
      <c r="I140" s="6">
        <v>97</v>
      </c>
      <c r="J140" s="6">
        <v>1.9206000000000001</v>
      </c>
      <c r="K140" s="8">
        <v>98.632279590392258</v>
      </c>
      <c r="L140" s="6">
        <v>39.414708832964983</v>
      </c>
      <c r="M140" s="6">
        <v>0</v>
      </c>
      <c r="N140" s="6">
        <v>41.683327286905772</v>
      </c>
      <c r="O140" s="6">
        <v>76.410882263690226</v>
      </c>
      <c r="P140" s="6">
        <v>157.508918383561</v>
      </c>
      <c r="Q140" s="6">
        <v>7.4896749142692043</v>
      </c>
      <c r="R140" s="6">
        <v>23.47372080780201</v>
      </c>
      <c r="S140" s="6">
        <v>47.334176839937037</v>
      </c>
      <c r="T140" s="6">
        <v>45.509361184784687</v>
      </c>
      <c r="U140" s="6">
        <v>123.80693374679289</v>
      </c>
      <c r="V140" s="6">
        <v>281.3158521303539</v>
      </c>
      <c r="W140" s="6">
        <v>20.45882869624997</v>
      </c>
      <c r="X140" s="6">
        <v>26.411739673558959</v>
      </c>
      <c r="Y140" s="6">
        <v>328.1864205001628</v>
      </c>
      <c r="Z140" s="6">
        <v>70.457586805075195</v>
      </c>
      <c r="AA140" s="6">
        <v>398.64400730523801</v>
      </c>
      <c r="AB140" s="6">
        <v>0</v>
      </c>
      <c r="AC140" s="6">
        <v>15.910144226317691</v>
      </c>
      <c r="AD140" s="6">
        <v>0</v>
      </c>
      <c r="AE140" s="6">
        <v>0</v>
      </c>
      <c r="AF140" s="6">
        <v>414.5541515315557</v>
      </c>
      <c r="AG140" s="6">
        <v>14.049789930894841</v>
      </c>
      <c r="AH140" s="6">
        <v>0</v>
      </c>
      <c r="AI140" s="6">
        <v>50.368222787114242</v>
      </c>
      <c r="AJ140" s="6">
        <v>463.0620200232471</v>
      </c>
      <c r="AK140" s="6">
        <v>0</v>
      </c>
      <c r="AL140" s="6">
        <v>0</v>
      </c>
      <c r="AM140" s="6">
        <v>0</v>
      </c>
      <c r="AN140" s="6">
        <v>0</v>
      </c>
      <c r="AO140" s="6">
        <v>0</v>
      </c>
      <c r="AP140" s="6">
        <v>463.0620200232471</v>
      </c>
      <c r="AQ140" s="6">
        <v>419.99999964779192</v>
      </c>
      <c r="AR140" s="6">
        <v>18.039103000000001</v>
      </c>
      <c r="AS140" s="6">
        <v>91.813579147629085</v>
      </c>
      <c r="AT140" s="6">
        <v>21.35599234255389</v>
      </c>
    </row>
    <row r="141" spans="1:46" x14ac:dyDescent="0.35">
      <c r="A141" s="5">
        <v>46022</v>
      </c>
      <c r="B141" s="4" t="s">
        <v>388</v>
      </c>
      <c r="C141" s="4" t="s">
        <v>389</v>
      </c>
      <c r="D141" s="4" t="s">
        <v>61</v>
      </c>
      <c r="E141" s="6">
        <v>495</v>
      </c>
      <c r="F141" s="7">
        <v>2.2999999999999998</v>
      </c>
      <c r="G141" s="6">
        <v>80</v>
      </c>
      <c r="H141" s="6">
        <v>9.1080000000000005</v>
      </c>
      <c r="I141" s="6">
        <v>97</v>
      </c>
      <c r="J141" s="6">
        <v>8.8347599999999993</v>
      </c>
      <c r="K141" s="8">
        <v>86.837176255116887</v>
      </c>
      <c r="L141" s="6">
        <v>7.3153881079436882</v>
      </c>
      <c r="M141" s="6">
        <v>0.87617303954565129</v>
      </c>
      <c r="N141" s="6">
        <v>5.5323529324735956</v>
      </c>
      <c r="O141" s="6">
        <v>10.768478622840741</v>
      </c>
      <c r="P141" s="6">
        <v>24.492392702803681</v>
      </c>
      <c r="Q141" s="6">
        <v>1.913189076522555</v>
      </c>
      <c r="R141" s="6">
        <v>2.8357576915875011</v>
      </c>
      <c r="S141" s="6">
        <v>5.7133007528597428</v>
      </c>
      <c r="T141" s="6">
        <v>7.9075005232698663</v>
      </c>
      <c r="U141" s="6">
        <v>18.369748044239671</v>
      </c>
      <c r="V141" s="6">
        <v>42.862140747043341</v>
      </c>
      <c r="W141" s="6">
        <v>6.5725507842199304</v>
      </c>
      <c r="X141" s="6">
        <v>20.97306323436823</v>
      </c>
      <c r="Y141" s="6">
        <v>70.407754765631495</v>
      </c>
      <c r="Z141" s="6">
        <v>11.181345560756361</v>
      </c>
      <c r="AA141" s="6">
        <v>81.589100326387864</v>
      </c>
      <c r="AB141" s="6">
        <v>0</v>
      </c>
      <c r="AC141" s="6">
        <v>2.756799364948614</v>
      </c>
      <c r="AD141" s="6">
        <v>0</v>
      </c>
      <c r="AE141" s="6">
        <v>0</v>
      </c>
      <c r="AF141" s="6">
        <v>84.345899691336484</v>
      </c>
      <c r="AG141" s="6">
        <v>2.828086520940825</v>
      </c>
      <c r="AH141" s="6">
        <v>0</v>
      </c>
      <c r="AI141" s="6">
        <v>4.929283278292198</v>
      </c>
      <c r="AJ141" s="6">
        <v>89.346470125620897</v>
      </c>
      <c r="AK141" s="6">
        <v>0</v>
      </c>
      <c r="AL141" s="6">
        <v>0</v>
      </c>
      <c r="AM141" s="6">
        <v>0</v>
      </c>
      <c r="AN141" s="6">
        <v>0</v>
      </c>
      <c r="AO141" s="6">
        <v>0</v>
      </c>
      <c r="AP141" s="6">
        <v>89.346470125620897</v>
      </c>
      <c r="AQ141" s="6">
        <v>420.00190122745983</v>
      </c>
      <c r="AR141" s="6">
        <v>97.115018000000006</v>
      </c>
      <c r="AS141" s="6">
        <v>349.5941464618283</v>
      </c>
      <c r="AT141" s="6">
        <v>338.41280090107188</v>
      </c>
    </row>
    <row r="142" spans="1:46" x14ac:dyDescent="0.35">
      <c r="A142" s="5">
        <v>46022</v>
      </c>
      <c r="B142" s="4" t="s">
        <v>284</v>
      </c>
      <c r="C142" s="4" t="s">
        <v>285</v>
      </c>
      <c r="D142" s="4" t="s">
        <v>61</v>
      </c>
      <c r="E142" s="6">
        <v>134.13733199999999</v>
      </c>
      <c r="F142" s="7">
        <v>0.47</v>
      </c>
      <c r="G142" s="6">
        <v>85</v>
      </c>
      <c r="H142" s="6">
        <v>0.53600000000000003</v>
      </c>
      <c r="I142" s="6">
        <v>97</v>
      </c>
      <c r="J142" s="6">
        <v>0.51977899999999999</v>
      </c>
      <c r="K142" s="8">
        <v>99.999989211042816</v>
      </c>
      <c r="L142" s="6">
        <v>51.230971476722573</v>
      </c>
      <c r="M142" s="6">
        <v>0</v>
      </c>
      <c r="N142" s="6">
        <v>15.924359546744819</v>
      </c>
      <c r="O142" s="6">
        <v>55.171512889677651</v>
      </c>
      <c r="P142" s="6">
        <v>122.326843913145</v>
      </c>
      <c r="Q142" s="6">
        <v>27.888336553809889</v>
      </c>
      <c r="R142" s="6">
        <v>9.1425102584197564</v>
      </c>
      <c r="S142" s="6">
        <v>9.2619784232291789</v>
      </c>
      <c r="T142" s="6">
        <v>34.69528281894776</v>
      </c>
      <c r="U142" s="6">
        <v>80.988108054406595</v>
      </c>
      <c r="V142" s="6">
        <v>203.31495196755159</v>
      </c>
      <c r="W142" s="6">
        <v>4.1865965818274073</v>
      </c>
      <c r="X142" s="6">
        <v>26.705350342218519</v>
      </c>
      <c r="Y142" s="6">
        <v>234.2068988915976</v>
      </c>
      <c r="Z142" s="6">
        <v>43.044018449135237</v>
      </c>
      <c r="AA142" s="6">
        <v>277.25091734073283</v>
      </c>
      <c r="AB142" s="6">
        <v>0</v>
      </c>
      <c r="AC142" s="6">
        <v>8.0246881018147302</v>
      </c>
      <c r="AD142" s="6">
        <v>0</v>
      </c>
      <c r="AE142" s="6">
        <v>0</v>
      </c>
      <c r="AF142" s="6">
        <v>285.27560544254749</v>
      </c>
      <c r="AG142" s="6">
        <v>6.0842844365395452</v>
      </c>
      <c r="AH142" s="6">
        <v>0</v>
      </c>
      <c r="AI142" s="6">
        <v>8.0246881018147302</v>
      </c>
      <c r="AJ142" s="6">
        <v>291.35988987908712</v>
      </c>
      <c r="AK142" s="6">
        <v>0</v>
      </c>
      <c r="AL142" s="6">
        <v>0</v>
      </c>
      <c r="AM142" s="6">
        <v>0</v>
      </c>
      <c r="AN142" s="6">
        <v>0</v>
      </c>
      <c r="AO142" s="6">
        <v>0</v>
      </c>
      <c r="AP142" s="6">
        <v>291.35988987908712</v>
      </c>
      <c r="AQ142" s="6">
        <v>420.01696839795812</v>
      </c>
      <c r="AR142" s="6">
        <v>4.8130439999999997</v>
      </c>
      <c r="AS142" s="6">
        <v>185.81006950636049</v>
      </c>
      <c r="AT142" s="6">
        <v>142.7660510572253</v>
      </c>
    </row>
    <row r="143" spans="1:46" x14ac:dyDescent="0.35">
      <c r="A143" s="5">
        <v>46022</v>
      </c>
      <c r="B143" s="4" t="s">
        <v>236</v>
      </c>
      <c r="C143" s="4" t="s">
        <v>237</v>
      </c>
      <c r="D143" s="4" t="s">
        <v>222</v>
      </c>
      <c r="E143" s="6">
        <v>44000</v>
      </c>
      <c r="F143" s="7">
        <v>0.35</v>
      </c>
      <c r="G143" s="6">
        <v>85</v>
      </c>
      <c r="H143" s="6">
        <v>130.9</v>
      </c>
      <c r="I143" s="6">
        <v>97</v>
      </c>
      <c r="J143" s="6">
        <v>126.973</v>
      </c>
      <c r="K143" s="8">
        <v>90.904894476414043</v>
      </c>
      <c r="L143" s="6">
        <v>40.797402328107019</v>
      </c>
      <c r="M143" s="6">
        <v>14.590059071290989</v>
      </c>
      <c r="N143" s="6">
        <v>1.3703056203789461</v>
      </c>
      <c r="O143" s="6">
        <v>33.320855629465477</v>
      </c>
      <c r="P143" s="6">
        <v>90.078622649242433</v>
      </c>
      <c r="Q143" s="6">
        <v>29.880667083218039</v>
      </c>
      <c r="R143" s="6">
        <v>16.320098315914311</v>
      </c>
      <c r="S143" s="6">
        <v>18.443006801028559</v>
      </c>
      <c r="T143" s="6">
        <v>46.232143498863863</v>
      </c>
      <c r="U143" s="6">
        <v>110.8759156990248</v>
      </c>
      <c r="V143" s="6">
        <v>200.95453834826719</v>
      </c>
      <c r="W143" s="6">
        <v>13.442758109318</v>
      </c>
      <c r="X143" s="6">
        <v>17.23813043506464</v>
      </c>
      <c r="Y143" s="6">
        <v>231.6354268926498</v>
      </c>
      <c r="Z143" s="6">
        <v>3.0932835707696462</v>
      </c>
      <c r="AA143" s="6">
        <v>234.7287104634195</v>
      </c>
      <c r="AB143" s="6">
        <v>0</v>
      </c>
      <c r="AC143" s="6">
        <v>37.735051255083839</v>
      </c>
      <c r="AD143" s="6">
        <v>0</v>
      </c>
      <c r="AE143" s="6">
        <v>0</v>
      </c>
      <c r="AF143" s="6">
        <v>272.46376171850329</v>
      </c>
      <c r="AG143" s="6">
        <v>7.372253096665065</v>
      </c>
      <c r="AH143" s="6">
        <v>0</v>
      </c>
      <c r="AI143" s="6">
        <v>22.732104401533341</v>
      </c>
      <c r="AJ143" s="6">
        <v>264.83306796161793</v>
      </c>
      <c r="AK143" s="6">
        <v>25.979551969967289</v>
      </c>
      <c r="AL143" s="6">
        <v>0</v>
      </c>
      <c r="AM143" s="6">
        <v>0</v>
      </c>
      <c r="AN143" s="6">
        <v>0</v>
      </c>
      <c r="AO143" s="6">
        <v>0</v>
      </c>
      <c r="AP143" s="6">
        <v>290.81261993158517</v>
      </c>
      <c r="AQ143" s="6">
        <v>419.99999964779192</v>
      </c>
      <c r="AR143" s="6">
        <v>1293.508754</v>
      </c>
      <c r="AS143" s="6">
        <v>188.36457275514209</v>
      </c>
      <c r="AT143" s="6">
        <v>185.27128918437251</v>
      </c>
    </row>
    <row r="144" spans="1:46" x14ac:dyDescent="0.35">
      <c r="A144" s="5">
        <v>46022</v>
      </c>
      <c r="B144" s="4" t="s">
        <v>286</v>
      </c>
      <c r="C144" s="4" t="s">
        <v>287</v>
      </c>
      <c r="D144" s="4" t="s">
        <v>61</v>
      </c>
      <c r="E144" s="6">
        <v>67.75</v>
      </c>
      <c r="F144" s="7">
        <v>0.1968</v>
      </c>
      <c r="G144" s="6">
        <v>90</v>
      </c>
      <c r="H144" s="6">
        <v>0.12</v>
      </c>
      <c r="I144" s="6">
        <v>97</v>
      </c>
      <c r="J144" s="6">
        <v>0.116399</v>
      </c>
      <c r="K144" s="8">
        <v>43.843334725034332</v>
      </c>
      <c r="L144" s="6">
        <v>113.21205979092581</v>
      </c>
      <c r="M144" s="6">
        <v>0</v>
      </c>
      <c r="N144" s="6">
        <v>63.54799792734601</v>
      </c>
      <c r="O144" s="6">
        <v>56.027031448772917</v>
      </c>
      <c r="P144" s="6">
        <v>232.78708916704471</v>
      </c>
      <c r="Q144" s="6">
        <v>24.668768197684081</v>
      </c>
      <c r="R144" s="6">
        <v>14.714504621533431</v>
      </c>
      <c r="S144" s="6">
        <v>38.592303099649222</v>
      </c>
      <c r="T144" s="6">
        <v>51.106774519361757</v>
      </c>
      <c r="U144" s="6">
        <v>129.0823504382285</v>
      </c>
      <c r="V144" s="6">
        <v>361.86943960527321</v>
      </c>
      <c r="W144" s="6">
        <v>2.049964628888052</v>
      </c>
      <c r="X144" s="6">
        <v>28.090315959923849</v>
      </c>
      <c r="Y144" s="6">
        <v>392.00972019408511</v>
      </c>
      <c r="Z144" s="6">
        <v>83.852878363765043</v>
      </c>
      <c r="AA144" s="6">
        <v>475.86259855785022</v>
      </c>
      <c r="AB144" s="6">
        <v>0</v>
      </c>
      <c r="AC144" s="6">
        <v>14.407031970531831</v>
      </c>
      <c r="AD144" s="6">
        <v>0</v>
      </c>
      <c r="AE144" s="6">
        <v>0</v>
      </c>
      <c r="AF144" s="6">
        <v>490.26963052838198</v>
      </c>
      <c r="AG144" s="6">
        <v>42.765807661704798</v>
      </c>
      <c r="AH144" s="6">
        <v>0</v>
      </c>
      <c r="AI144" s="6">
        <v>14.407031970531831</v>
      </c>
      <c r="AJ144" s="6">
        <v>533.03543819008678</v>
      </c>
      <c r="AK144" s="6">
        <v>0</v>
      </c>
      <c r="AL144" s="6">
        <v>0</v>
      </c>
      <c r="AM144" s="6">
        <v>0</v>
      </c>
      <c r="AN144" s="6">
        <v>0</v>
      </c>
      <c r="AO144" s="6">
        <v>0</v>
      </c>
      <c r="AP144" s="6">
        <v>533.03543819008678</v>
      </c>
      <c r="AQ144" s="6">
        <v>420.00360792621052</v>
      </c>
      <c r="AR144" s="6">
        <v>2.371048</v>
      </c>
      <c r="AS144" s="6">
        <v>27.99388773212544</v>
      </c>
      <c r="AT144" s="6">
        <v>-55.858990631639607</v>
      </c>
    </row>
    <row r="145" spans="1:46" x14ac:dyDescent="0.35">
      <c r="A145" s="5">
        <v>46022</v>
      </c>
      <c r="B145" s="4" t="s">
        <v>390</v>
      </c>
      <c r="C145" s="4" t="s">
        <v>391</v>
      </c>
      <c r="D145" s="4" t="s">
        <v>213</v>
      </c>
      <c r="E145" s="6">
        <v>733.88704299999995</v>
      </c>
      <c r="F145" s="7">
        <v>3.5</v>
      </c>
      <c r="G145" s="6">
        <v>86</v>
      </c>
      <c r="H145" s="6">
        <v>22.09</v>
      </c>
      <c r="I145" s="6">
        <v>100</v>
      </c>
      <c r="J145" s="6">
        <v>22.09</v>
      </c>
      <c r="K145" s="8">
        <v>100</v>
      </c>
      <c r="L145" s="6">
        <v>32.58553184293806</v>
      </c>
      <c r="M145" s="6">
        <v>29.033938246636591</v>
      </c>
      <c r="N145" s="6">
        <v>0.90933515940652232</v>
      </c>
      <c r="O145" s="6">
        <v>13.96099899651594</v>
      </c>
      <c r="P145" s="6">
        <v>76.489804245497112</v>
      </c>
      <c r="Q145" s="6">
        <v>23.111287735136941</v>
      </c>
      <c r="R145" s="6">
        <v>34.461330689134037</v>
      </c>
      <c r="S145" s="6">
        <v>40.597811575772937</v>
      </c>
      <c r="T145" s="6">
        <v>12.5242082446025</v>
      </c>
      <c r="U145" s="6">
        <v>110.6946382446464</v>
      </c>
      <c r="V145" s="6">
        <v>187.18444249014351</v>
      </c>
      <c r="W145" s="6">
        <v>7.9529612126073328</v>
      </c>
      <c r="X145" s="6">
        <v>0</v>
      </c>
      <c r="Y145" s="6">
        <v>195.1374037027509</v>
      </c>
      <c r="Z145" s="6">
        <v>10.50002201860398</v>
      </c>
      <c r="AA145" s="6">
        <v>205.63742572135479</v>
      </c>
      <c r="AB145" s="6">
        <v>1.403883454301702</v>
      </c>
      <c r="AC145" s="6">
        <v>14.13512120239799</v>
      </c>
      <c r="AD145" s="6">
        <v>0</v>
      </c>
      <c r="AE145" s="6">
        <v>0</v>
      </c>
      <c r="AF145" s="6">
        <v>221.1764303780545</v>
      </c>
      <c r="AG145" s="6">
        <v>13.801738345290991</v>
      </c>
      <c r="AH145" s="6">
        <v>0</v>
      </c>
      <c r="AI145" s="6">
        <v>4.1067665458158897</v>
      </c>
      <c r="AJ145" s="6">
        <v>224.94981406676339</v>
      </c>
      <c r="AK145" s="6">
        <v>0</v>
      </c>
      <c r="AL145" s="6">
        <v>0</v>
      </c>
      <c r="AM145" s="6">
        <v>0</v>
      </c>
      <c r="AN145" s="6">
        <v>0</v>
      </c>
      <c r="AO145" s="6">
        <v>0</v>
      </c>
      <c r="AP145" s="6">
        <v>224.94981406676339</v>
      </c>
      <c r="AQ145" s="6">
        <v>419.99999964779192</v>
      </c>
      <c r="AR145" s="6">
        <v>204.54047700000001</v>
      </c>
      <c r="AS145" s="6">
        <v>224.86259594504111</v>
      </c>
      <c r="AT145" s="6">
        <v>214.36257392643711</v>
      </c>
    </row>
    <row r="146" spans="1:46" x14ac:dyDescent="0.35">
      <c r="A146" s="5">
        <v>46022</v>
      </c>
      <c r="B146" s="4" t="s">
        <v>392</v>
      </c>
      <c r="C146" s="4" t="s">
        <v>393</v>
      </c>
      <c r="D146" s="4" t="s">
        <v>50</v>
      </c>
      <c r="E146" s="6">
        <v>1056</v>
      </c>
      <c r="F146" s="7">
        <v>0.26</v>
      </c>
      <c r="G146" s="6">
        <v>50.99</v>
      </c>
      <c r="H146" s="6">
        <v>1.4</v>
      </c>
      <c r="I146" s="6">
        <v>97</v>
      </c>
      <c r="J146" s="6">
        <v>1.3580000000000001</v>
      </c>
      <c r="K146" s="8">
        <v>7.2525741753866324</v>
      </c>
      <c r="L146" s="6">
        <v>150.2938584781717</v>
      </c>
      <c r="M146" s="6">
        <v>31.643023205942871</v>
      </c>
      <c r="N146" s="6">
        <v>25.488280118025791</v>
      </c>
      <c r="O146" s="6">
        <v>64.973368944079155</v>
      </c>
      <c r="P146" s="6">
        <v>272.39853074621948</v>
      </c>
      <c r="Q146" s="6">
        <v>24.857121166368501</v>
      </c>
      <c r="R146" s="6">
        <v>4.2315203344830579</v>
      </c>
      <c r="S146" s="6">
        <v>8.7616073224932016</v>
      </c>
      <c r="T146" s="6">
        <v>9.0325794621992337</v>
      </c>
      <c r="U146" s="6">
        <v>46.882828285543987</v>
      </c>
      <c r="V146" s="6">
        <v>319.28135903176349</v>
      </c>
      <c r="W146" s="6">
        <v>0.97907494168421538</v>
      </c>
      <c r="X146" s="6">
        <v>10.52360205556587</v>
      </c>
      <c r="Y146" s="6">
        <v>330.78403602901358</v>
      </c>
      <c r="Z146" s="6">
        <v>4.5766758979220361</v>
      </c>
      <c r="AA146" s="6">
        <v>335.36071192693561</v>
      </c>
      <c r="AB146" s="6">
        <v>2.4644763386093431</v>
      </c>
      <c r="AC146" s="6">
        <v>85.073103323507695</v>
      </c>
      <c r="AD146" s="6">
        <v>0</v>
      </c>
      <c r="AE146" s="6">
        <v>0</v>
      </c>
      <c r="AF146" s="6">
        <v>422.89829158905269</v>
      </c>
      <c r="AG146" s="6">
        <v>12.44446062032662</v>
      </c>
      <c r="AH146" s="6">
        <v>0</v>
      </c>
      <c r="AI146" s="6">
        <v>42.150953697207669</v>
      </c>
      <c r="AJ146" s="6">
        <v>392.4206025830793</v>
      </c>
      <c r="AK146" s="6">
        <v>29.069621828073259</v>
      </c>
      <c r="AL146" s="6">
        <v>0</v>
      </c>
      <c r="AM146" s="6">
        <v>0</v>
      </c>
      <c r="AN146" s="6">
        <v>0</v>
      </c>
      <c r="AO146" s="6">
        <v>0</v>
      </c>
      <c r="AP146" s="6">
        <v>421.4902244111525</v>
      </c>
      <c r="AQ146" s="6">
        <v>419.99999964779192</v>
      </c>
      <c r="AR146" s="6">
        <v>188.926016</v>
      </c>
      <c r="AS146" s="6">
        <v>89.215963618778304</v>
      </c>
      <c r="AT146" s="6">
        <v>84.639287720856274</v>
      </c>
    </row>
    <row r="147" spans="1:46" x14ac:dyDescent="0.35">
      <c r="A147" s="5">
        <v>46022</v>
      </c>
      <c r="B147" s="4" t="s">
        <v>394</v>
      </c>
      <c r="C147" s="4" t="s">
        <v>395</v>
      </c>
      <c r="D147" s="4" t="s">
        <v>61</v>
      </c>
      <c r="E147" s="6">
        <v>600</v>
      </c>
      <c r="F147" s="7">
        <v>0.13980000000000001</v>
      </c>
      <c r="G147" s="6">
        <v>15</v>
      </c>
      <c r="H147" s="6">
        <v>0.126</v>
      </c>
      <c r="I147" s="6">
        <v>97</v>
      </c>
      <c r="J147" s="6">
        <v>0.12206500000000001</v>
      </c>
      <c r="K147" s="8">
        <v>1.2503939142003371</v>
      </c>
      <c r="L147" s="6">
        <v>36.323007817483933</v>
      </c>
      <c r="M147" s="6">
        <v>15.134326156994909</v>
      </c>
      <c r="N147" s="6">
        <v>17.512962853327149</v>
      </c>
      <c r="O147" s="6">
        <v>15.32267751503368</v>
      </c>
      <c r="P147" s="6">
        <v>84.292974342839656</v>
      </c>
      <c r="Q147" s="6">
        <v>8.4848967835945839</v>
      </c>
      <c r="R147" s="6">
        <v>4.5034126399868581</v>
      </c>
      <c r="S147" s="6">
        <v>9.9803442853825022</v>
      </c>
      <c r="T147" s="6">
        <v>17.437576031451709</v>
      </c>
      <c r="U147" s="6">
        <v>40.406229740415661</v>
      </c>
      <c r="V147" s="6">
        <v>124.6992040832553</v>
      </c>
      <c r="W147" s="6">
        <v>33.936636897415099</v>
      </c>
      <c r="X147" s="6">
        <v>26.707103212485151</v>
      </c>
      <c r="Y147" s="6">
        <v>185.3429441931556</v>
      </c>
      <c r="Z147" s="6">
        <v>16.195245114086269</v>
      </c>
      <c r="AA147" s="6">
        <v>201.53818930724179</v>
      </c>
      <c r="AB147" s="6">
        <v>0</v>
      </c>
      <c r="AC147" s="6">
        <v>9.9273886742170898</v>
      </c>
      <c r="AD147" s="6">
        <v>0</v>
      </c>
      <c r="AE147" s="6">
        <v>0</v>
      </c>
      <c r="AF147" s="6">
        <v>211.46557798145889</v>
      </c>
      <c r="AG147" s="6">
        <v>4.2185423972859253</v>
      </c>
      <c r="AH147" s="6">
        <v>0</v>
      </c>
      <c r="AI147" s="6">
        <v>9.8522081548015752</v>
      </c>
      <c r="AJ147" s="6">
        <v>215.6089398593293</v>
      </c>
      <c r="AK147" s="6">
        <v>0</v>
      </c>
      <c r="AL147" s="6">
        <v>0</v>
      </c>
      <c r="AM147" s="6">
        <v>0</v>
      </c>
      <c r="AN147" s="6">
        <v>0</v>
      </c>
      <c r="AO147" s="6">
        <v>0</v>
      </c>
      <c r="AP147" s="6">
        <v>215.6089398593293</v>
      </c>
      <c r="AQ147" s="6">
        <v>420.12042728870188</v>
      </c>
      <c r="AR147" s="6">
        <v>134.69087300000001</v>
      </c>
      <c r="AS147" s="6">
        <v>234.7774830955463</v>
      </c>
      <c r="AT147" s="6">
        <v>218.58223798146</v>
      </c>
    </row>
    <row r="148" spans="1:46" x14ac:dyDescent="0.35">
      <c r="A148" s="5">
        <v>46022</v>
      </c>
      <c r="B148" s="4" t="s">
        <v>238</v>
      </c>
      <c r="C148" s="4" t="s">
        <v>239</v>
      </c>
      <c r="D148" s="4" t="s">
        <v>61</v>
      </c>
      <c r="E148" s="6">
        <v>2670.8752720000002</v>
      </c>
      <c r="F148" s="7">
        <v>0.3427</v>
      </c>
      <c r="G148" s="6">
        <v>85</v>
      </c>
      <c r="H148" s="6">
        <v>7.78</v>
      </c>
      <c r="I148" s="6">
        <v>97</v>
      </c>
      <c r="J148" s="6">
        <v>7.5465999999999998</v>
      </c>
      <c r="K148" s="8">
        <v>40.89303761384128</v>
      </c>
      <c r="L148" s="6">
        <v>15.14616318390549</v>
      </c>
      <c r="M148" s="6">
        <v>0</v>
      </c>
      <c r="N148" s="6">
        <v>18.206250088614969</v>
      </c>
      <c r="O148" s="6">
        <v>20.227237461613068</v>
      </c>
      <c r="P148" s="6">
        <v>53.57965073413353</v>
      </c>
      <c r="Q148" s="6">
        <v>12.24410264889217</v>
      </c>
      <c r="R148" s="6">
        <v>9.9239076538430755</v>
      </c>
      <c r="S148" s="6">
        <v>18.450615890607729</v>
      </c>
      <c r="T148" s="6">
        <v>27.651417669491028</v>
      </c>
      <c r="U148" s="6">
        <v>68.270043862834015</v>
      </c>
      <c r="V148" s="6">
        <v>121.8496945969675</v>
      </c>
      <c r="W148" s="6">
        <v>3.9568468362715321</v>
      </c>
      <c r="X148" s="6">
        <v>16.49885925465971</v>
      </c>
      <c r="Y148" s="6">
        <v>142.30540068789881</v>
      </c>
      <c r="Z148" s="6">
        <v>29.02016657531076</v>
      </c>
      <c r="AA148" s="6">
        <v>171.32556726320951</v>
      </c>
      <c r="AB148" s="6">
        <v>0</v>
      </c>
      <c r="AC148" s="6">
        <v>14.99510200107572</v>
      </c>
      <c r="AD148" s="6">
        <v>0</v>
      </c>
      <c r="AE148" s="6">
        <v>0</v>
      </c>
      <c r="AF148" s="6">
        <v>186.3206692642853</v>
      </c>
      <c r="AG148" s="6">
        <v>14.340335047208381</v>
      </c>
      <c r="AH148" s="6">
        <v>0</v>
      </c>
      <c r="AI148" s="6">
        <v>8.8808627146795853</v>
      </c>
      <c r="AJ148" s="6">
        <v>194.5467650250975</v>
      </c>
      <c r="AK148" s="6">
        <v>0</v>
      </c>
      <c r="AL148" s="6">
        <v>0</v>
      </c>
      <c r="AM148" s="6">
        <v>0</v>
      </c>
      <c r="AN148" s="6">
        <v>0</v>
      </c>
      <c r="AO148" s="6">
        <v>0</v>
      </c>
      <c r="AP148" s="6">
        <v>194.5467650250975</v>
      </c>
      <c r="AQ148" s="6">
        <v>419.99999964779198</v>
      </c>
      <c r="AR148" s="6">
        <v>169.82570899999999</v>
      </c>
      <c r="AS148" s="6">
        <v>277.6945989598932</v>
      </c>
      <c r="AT148" s="6">
        <v>248.67443238458239</v>
      </c>
    </row>
    <row r="149" spans="1:46" x14ac:dyDescent="0.35">
      <c r="A149" s="5">
        <v>46022</v>
      </c>
      <c r="B149" s="4" t="s">
        <v>736</v>
      </c>
      <c r="C149" s="4" t="s">
        <v>737</v>
      </c>
      <c r="D149" s="4" t="s">
        <v>61</v>
      </c>
      <c r="E149" s="6">
        <v>1099.29</v>
      </c>
      <c r="F149" s="7">
        <v>1.2</v>
      </c>
      <c r="G149" s="6">
        <v>94</v>
      </c>
      <c r="H149" s="6">
        <v>12.4</v>
      </c>
      <c r="I149" s="6">
        <v>97</v>
      </c>
      <c r="J149" s="6">
        <v>12.027991</v>
      </c>
      <c r="K149" s="8">
        <v>100</v>
      </c>
      <c r="L149" s="6">
        <v>48.237147634339728</v>
      </c>
      <c r="M149" s="6">
        <v>0</v>
      </c>
      <c r="N149" s="6">
        <v>7.0119730199224106</v>
      </c>
      <c r="O149" s="6">
        <v>28.054835920161409</v>
      </c>
      <c r="P149" s="6">
        <v>83.303956574423566</v>
      </c>
      <c r="Q149" s="6">
        <v>8.04823031616551</v>
      </c>
      <c r="R149" s="6">
        <v>6.150650756651129</v>
      </c>
      <c r="S149" s="6">
        <v>8.7063737344445684</v>
      </c>
      <c r="T149" s="6">
        <v>19.777458868427459</v>
      </c>
      <c r="U149" s="6">
        <v>42.682713675688667</v>
      </c>
      <c r="V149" s="6">
        <v>125.9866702501122</v>
      </c>
      <c r="W149" s="6">
        <v>7.3331512653648083</v>
      </c>
      <c r="X149" s="6">
        <v>26.70485998202027</v>
      </c>
      <c r="Y149" s="6">
        <v>160.02468149749731</v>
      </c>
      <c r="Z149" s="6">
        <v>34.679684412012868</v>
      </c>
      <c r="AA149" s="6">
        <v>194.70436590951019</v>
      </c>
      <c r="AB149" s="6">
        <v>0</v>
      </c>
      <c r="AC149" s="6">
        <v>27.360829120436811</v>
      </c>
      <c r="AD149" s="6">
        <v>0</v>
      </c>
      <c r="AE149" s="6">
        <v>0</v>
      </c>
      <c r="AF149" s="6">
        <v>222.06519502994701</v>
      </c>
      <c r="AG149" s="6">
        <v>7.279582413339865</v>
      </c>
      <c r="AH149" s="6">
        <v>0</v>
      </c>
      <c r="AI149" s="6">
        <v>8.2696040959819719</v>
      </c>
      <c r="AJ149" s="6">
        <v>210.25355241883199</v>
      </c>
      <c r="AK149" s="6">
        <v>0</v>
      </c>
      <c r="AL149" s="6">
        <v>0</v>
      </c>
      <c r="AM149" s="6">
        <v>0</v>
      </c>
      <c r="AN149" s="6">
        <v>0</v>
      </c>
      <c r="AO149" s="6">
        <v>0</v>
      </c>
      <c r="AP149" s="6">
        <v>210.25355241883199</v>
      </c>
      <c r="AQ149" s="6">
        <v>420.00031391473777</v>
      </c>
      <c r="AR149" s="6">
        <v>111.37224399999999</v>
      </c>
      <c r="AS149" s="6">
        <v>259.97563241724049</v>
      </c>
      <c r="AT149" s="6">
        <v>225.2959480052277</v>
      </c>
    </row>
    <row r="150" spans="1:46" x14ac:dyDescent="0.35">
      <c r="A150" s="5">
        <v>46022</v>
      </c>
      <c r="B150" s="4" t="s">
        <v>288</v>
      </c>
      <c r="C150" s="4" t="s">
        <v>289</v>
      </c>
      <c r="D150" s="4" t="s">
        <v>61</v>
      </c>
      <c r="E150" s="6">
        <v>23.91</v>
      </c>
      <c r="F150" s="7">
        <v>0.75190000000000001</v>
      </c>
      <c r="G150" s="6">
        <v>89</v>
      </c>
      <c r="H150" s="6">
        <v>0.16</v>
      </c>
      <c r="I150" s="6">
        <v>97</v>
      </c>
      <c r="J150" s="6">
        <v>0.1552</v>
      </c>
      <c r="K150" s="8">
        <v>91.83910832640899</v>
      </c>
      <c r="L150" s="6">
        <v>39.149015666458077</v>
      </c>
      <c r="M150" s="6">
        <v>0.9552658709010885</v>
      </c>
      <c r="N150" s="6">
        <v>29.182099078934929</v>
      </c>
      <c r="O150" s="6">
        <v>52.18139178024466</v>
      </c>
      <c r="P150" s="6">
        <v>121.46777239653881</v>
      </c>
      <c r="Q150" s="6">
        <v>11.547038057790131</v>
      </c>
      <c r="R150" s="6">
        <v>8.2149476337487197</v>
      </c>
      <c r="S150" s="6">
        <v>16.331736128675072</v>
      </c>
      <c r="T150" s="6">
        <v>17.555378519175619</v>
      </c>
      <c r="U150" s="6">
        <v>53.649100339389541</v>
      </c>
      <c r="V150" s="6">
        <v>175.1168727359283</v>
      </c>
      <c r="W150" s="6">
        <v>0.7745430389625142</v>
      </c>
      <c r="X150" s="6">
        <v>22.93872548531311</v>
      </c>
      <c r="Y150" s="6">
        <v>198.8301412602039</v>
      </c>
      <c r="Z150" s="6">
        <v>35.442070872384612</v>
      </c>
      <c r="AA150" s="6">
        <v>234.27221213258849</v>
      </c>
      <c r="AB150" s="6">
        <v>0</v>
      </c>
      <c r="AC150" s="6">
        <v>22.51185347856789</v>
      </c>
      <c r="AD150" s="6">
        <v>0</v>
      </c>
      <c r="AE150" s="6">
        <v>0</v>
      </c>
      <c r="AF150" s="6">
        <v>256.78406561115639</v>
      </c>
      <c r="AG150" s="6">
        <v>13.10862513165835</v>
      </c>
      <c r="AH150" s="6">
        <v>0</v>
      </c>
      <c r="AI150" s="6">
        <v>10.277739955384879</v>
      </c>
      <c r="AJ150" s="6">
        <v>257.65857721963181</v>
      </c>
      <c r="AK150" s="6">
        <v>0</v>
      </c>
      <c r="AL150" s="6">
        <v>0</v>
      </c>
      <c r="AM150" s="6">
        <v>0</v>
      </c>
      <c r="AN150" s="6">
        <v>0</v>
      </c>
      <c r="AO150" s="6">
        <v>0</v>
      </c>
      <c r="AP150" s="6">
        <v>257.65857721963181</v>
      </c>
      <c r="AQ150" s="6">
        <v>419.99999964779192</v>
      </c>
      <c r="AR150" s="6">
        <v>1.562643</v>
      </c>
      <c r="AS150" s="6">
        <v>221.16985838758799</v>
      </c>
      <c r="AT150" s="6">
        <v>185.7277875152034</v>
      </c>
    </row>
    <row r="151" spans="1:46" x14ac:dyDescent="0.35">
      <c r="A151" s="5">
        <v>46022</v>
      </c>
      <c r="B151" s="4" t="s">
        <v>290</v>
      </c>
      <c r="C151" s="4" t="s">
        <v>291</v>
      </c>
      <c r="D151" s="4" t="s">
        <v>111</v>
      </c>
      <c r="E151" s="6">
        <v>1701</v>
      </c>
      <c r="F151" s="7">
        <v>0.45</v>
      </c>
      <c r="G151" s="6">
        <v>57</v>
      </c>
      <c r="H151" s="6">
        <v>4.3630000000000004</v>
      </c>
      <c r="I151" s="6">
        <v>59.075713999999998</v>
      </c>
      <c r="J151" s="6">
        <v>2.577512</v>
      </c>
      <c r="K151" s="8">
        <v>10.940933683696343</v>
      </c>
      <c r="L151" s="6">
        <v>57.55853569092482</v>
      </c>
      <c r="M151" s="6">
        <v>6.9950829091616438</v>
      </c>
      <c r="N151" s="6">
        <v>7.8620591918396006</v>
      </c>
      <c r="O151" s="6">
        <v>31.076644623897661</v>
      </c>
      <c r="P151" s="6">
        <v>103.49232241582369</v>
      </c>
      <c r="Q151" s="6">
        <v>26.959805855872261</v>
      </c>
      <c r="R151" s="6">
        <v>14.35295450962801</v>
      </c>
      <c r="S151" s="6">
        <v>29.11589181233466</v>
      </c>
      <c r="T151" s="6">
        <v>18.355941191604359</v>
      </c>
      <c r="U151" s="6">
        <v>88.784593369439278</v>
      </c>
      <c r="V151" s="6">
        <v>192.27691578526299</v>
      </c>
      <c r="W151" s="6">
        <v>4.0762920190319392</v>
      </c>
      <c r="X151" s="6">
        <v>12.69417519918014</v>
      </c>
      <c r="Y151" s="6">
        <v>209.04738300347509</v>
      </c>
      <c r="Z151" s="6">
        <v>16.386657856927378</v>
      </c>
      <c r="AA151" s="6">
        <v>225.43404086040249</v>
      </c>
      <c r="AB151" s="6">
        <v>0</v>
      </c>
      <c r="AC151" s="6">
        <v>21.207827377773452</v>
      </c>
      <c r="AD151" s="6">
        <v>0</v>
      </c>
      <c r="AE151" s="6">
        <v>0</v>
      </c>
      <c r="AF151" s="6">
        <v>246.6418682381759</v>
      </c>
      <c r="AG151" s="6">
        <v>7.1267875315583513</v>
      </c>
      <c r="AH151" s="6">
        <v>0</v>
      </c>
      <c r="AI151" s="6">
        <v>19.253932612644501</v>
      </c>
      <c r="AJ151" s="6">
        <v>251.81476100460529</v>
      </c>
      <c r="AK151" s="6">
        <v>0</v>
      </c>
      <c r="AL151" s="6">
        <v>0</v>
      </c>
      <c r="AM151" s="6">
        <v>0</v>
      </c>
      <c r="AN151" s="6">
        <v>0</v>
      </c>
      <c r="AO151" s="6">
        <v>0</v>
      </c>
      <c r="AP151" s="6">
        <v>251.81476100460529</v>
      </c>
      <c r="AQ151" s="6">
        <v>419.99804427377398</v>
      </c>
      <c r="AR151" s="6">
        <v>236.27872400000001</v>
      </c>
      <c r="AS151" s="6">
        <v>210.95066127029889</v>
      </c>
      <c r="AT151" s="6">
        <v>194.56400341337149</v>
      </c>
    </row>
    <row r="152" spans="1:46" x14ac:dyDescent="0.35">
      <c r="A152" s="5">
        <v>46022</v>
      </c>
      <c r="B152" s="4" t="s">
        <v>240</v>
      </c>
      <c r="C152" s="4" t="s">
        <v>241</v>
      </c>
      <c r="D152" s="4" t="s">
        <v>105</v>
      </c>
      <c r="E152" s="6">
        <v>4540</v>
      </c>
      <c r="F152" s="7">
        <v>7.22E-2</v>
      </c>
      <c r="G152" s="6">
        <v>60</v>
      </c>
      <c r="H152" s="6">
        <v>1.9670000000000001</v>
      </c>
      <c r="I152" s="6">
        <v>95</v>
      </c>
      <c r="J152" s="6">
        <v>1.8683350000000001</v>
      </c>
      <c r="K152" s="8">
        <v>2.7596274953983828</v>
      </c>
      <c r="L152" s="6">
        <v>188.9710691575356</v>
      </c>
      <c r="M152" s="6">
        <v>2.1532118710249502</v>
      </c>
      <c r="N152" s="6">
        <v>53.159512280860028</v>
      </c>
      <c r="O152" s="6">
        <v>78.436519211086051</v>
      </c>
      <c r="P152" s="6">
        <v>322.72031252050658</v>
      </c>
      <c r="Q152" s="6">
        <v>10.756219434567541</v>
      </c>
      <c r="R152" s="6">
        <v>5.6213169654918094</v>
      </c>
      <c r="S152" s="6">
        <v>20.163289946986751</v>
      </c>
      <c r="T152" s="6">
        <v>24.474623003342469</v>
      </c>
      <c r="U152" s="6">
        <v>61.015449350388572</v>
      </c>
      <c r="V152" s="6">
        <v>383.7357618708952</v>
      </c>
      <c r="W152" s="6">
        <v>0.32333422909070969</v>
      </c>
      <c r="X152" s="6">
        <v>0</v>
      </c>
      <c r="Y152" s="6">
        <v>384.05909609998588</v>
      </c>
      <c r="Z152" s="6">
        <v>5.9974127020834693</v>
      </c>
      <c r="AA152" s="6">
        <v>390.05650880206929</v>
      </c>
      <c r="AB152" s="6">
        <v>0</v>
      </c>
      <c r="AC152" s="6">
        <v>94.159611163749005</v>
      </c>
      <c r="AD152" s="6">
        <v>0</v>
      </c>
      <c r="AE152" s="6">
        <v>0</v>
      </c>
      <c r="AF152" s="6">
        <v>484.21611996581828</v>
      </c>
      <c r="AG152" s="6">
        <v>2.1925320110691651</v>
      </c>
      <c r="AH152" s="6">
        <v>0</v>
      </c>
      <c r="AI152" s="6">
        <v>57.560365801487528</v>
      </c>
      <c r="AJ152" s="6">
        <v>449.80940661462603</v>
      </c>
      <c r="AK152" s="6">
        <v>0</v>
      </c>
      <c r="AL152" s="6">
        <v>0</v>
      </c>
      <c r="AM152" s="6">
        <v>0</v>
      </c>
      <c r="AN152" s="6">
        <v>0</v>
      </c>
      <c r="AO152" s="6">
        <v>0</v>
      </c>
      <c r="AP152" s="6">
        <v>449.80940661462603</v>
      </c>
      <c r="AQ152" s="6">
        <v>419.99213167979491</v>
      </c>
      <c r="AR152" s="6">
        <v>653.03340300000002</v>
      </c>
      <c r="AS152" s="6">
        <v>35.933035579809051</v>
      </c>
      <c r="AT152" s="6">
        <v>29.935622877725582</v>
      </c>
    </row>
    <row r="153" spans="1:46" x14ac:dyDescent="0.35">
      <c r="A153" s="5">
        <v>46022</v>
      </c>
      <c r="B153" s="4" t="s">
        <v>738</v>
      </c>
      <c r="C153" s="4" t="s">
        <v>739</v>
      </c>
      <c r="D153" s="4" t="s">
        <v>222</v>
      </c>
      <c r="E153" s="6">
        <v>2914</v>
      </c>
      <c r="F153" s="7">
        <v>0.06</v>
      </c>
      <c r="G153" s="6">
        <v>84</v>
      </c>
      <c r="H153" s="6">
        <v>1.4690000000000001</v>
      </c>
      <c r="I153" s="6">
        <v>96.5</v>
      </c>
      <c r="J153" s="6">
        <v>1.4172530000000001</v>
      </c>
      <c r="K153" s="8">
        <v>4.0048411725599671</v>
      </c>
      <c r="L153" s="6">
        <v>107.45472431876679</v>
      </c>
      <c r="M153" s="6">
        <v>3.3819469151076471</v>
      </c>
      <c r="N153" s="6">
        <v>3.9849214466279408</v>
      </c>
      <c r="O153" s="6">
        <v>97.293581187043884</v>
      </c>
      <c r="P153" s="6">
        <v>212.1151738675463</v>
      </c>
      <c r="Q153" s="6">
        <v>2.4513212865526639</v>
      </c>
      <c r="R153" s="6">
        <v>10.20499976367519</v>
      </c>
      <c r="S153" s="6">
        <v>35.609127500567531</v>
      </c>
      <c r="T153" s="6">
        <v>18.954341812819312</v>
      </c>
      <c r="U153" s="6">
        <v>67.219790363614692</v>
      </c>
      <c r="V153" s="6">
        <v>279.334964231161</v>
      </c>
      <c r="W153" s="6">
        <v>4.3272485036564294</v>
      </c>
      <c r="X153" s="6">
        <v>105.08056864455391</v>
      </c>
      <c r="Y153" s="6">
        <v>388.74278137937131</v>
      </c>
      <c r="Z153" s="6">
        <v>12.70052007569033</v>
      </c>
      <c r="AA153" s="6">
        <v>401.44330145506171</v>
      </c>
      <c r="AB153" s="6">
        <v>0</v>
      </c>
      <c r="AC153" s="6">
        <v>45.968185729422032</v>
      </c>
      <c r="AD153" s="6">
        <v>0</v>
      </c>
      <c r="AE153" s="6">
        <v>-1.269059734995754</v>
      </c>
      <c r="AF153" s="6">
        <v>446.14242744948791</v>
      </c>
      <c r="AG153" s="6">
        <v>20.228339247307559</v>
      </c>
      <c r="AH153" s="6">
        <v>0</v>
      </c>
      <c r="AI153" s="6">
        <v>33.153376477556392</v>
      </c>
      <c r="AJ153" s="6">
        <v>454.82501717992562</v>
      </c>
      <c r="AK153" s="6">
        <v>9.6599106078997714</v>
      </c>
      <c r="AL153" s="6">
        <v>0</v>
      </c>
      <c r="AM153" s="6">
        <v>0</v>
      </c>
      <c r="AN153" s="6">
        <v>0</v>
      </c>
      <c r="AO153" s="6">
        <v>0</v>
      </c>
      <c r="AP153" s="6">
        <v>464.48492778782543</v>
      </c>
      <c r="AQ153" s="6">
        <v>420.01392800072779</v>
      </c>
      <c r="AR153" s="6">
        <v>251.248683</v>
      </c>
      <c r="AS153" s="6">
        <v>31.271146621356479</v>
      </c>
      <c r="AT153" s="6">
        <v>18.570626545666151</v>
      </c>
    </row>
    <row r="154" spans="1:46" x14ac:dyDescent="0.35">
      <c r="A154" s="5">
        <v>46022</v>
      </c>
      <c r="B154" s="4" t="s">
        <v>396</v>
      </c>
      <c r="C154" s="4" t="s">
        <v>397</v>
      </c>
      <c r="D154" s="4" t="s">
        <v>398</v>
      </c>
      <c r="E154" s="6">
        <v>3008</v>
      </c>
      <c r="F154" s="7">
        <v>2.35</v>
      </c>
      <c r="G154" s="6">
        <v>91</v>
      </c>
      <c r="H154" s="6">
        <v>64.325999999999993</v>
      </c>
      <c r="I154" s="6">
        <v>96.5</v>
      </c>
      <c r="J154" s="6">
        <v>62.074666999999998</v>
      </c>
      <c r="K154" s="8">
        <v>92.172811790693956</v>
      </c>
      <c r="L154" s="6">
        <v>44.589971470971832</v>
      </c>
      <c r="M154" s="6">
        <v>7.3192191474329054</v>
      </c>
      <c r="N154" s="6">
        <v>10.771263507667509</v>
      </c>
      <c r="O154" s="6">
        <v>41.946068475137331</v>
      </c>
      <c r="P154" s="6">
        <v>104.6265226012096</v>
      </c>
      <c r="Q154" s="6">
        <v>12.261982982901779</v>
      </c>
      <c r="R154" s="6">
        <v>18.942538844101509</v>
      </c>
      <c r="S154" s="6">
        <v>23.841306816355988</v>
      </c>
      <c r="T154" s="6">
        <v>14.535118114712599</v>
      </c>
      <c r="U154" s="6">
        <v>69.580946758071875</v>
      </c>
      <c r="V154" s="6">
        <v>174.20746935928139</v>
      </c>
      <c r="W154" s="6">
        <v>4.4294200199133931</v>
      </c>
      <c r="X154" s="6">
        <v>21.864089149228018</v>
      </c>
      <c r="Y154" s="6">
        <v>200.50097852842291</v>
      </c>
      <c r="Z154" s="6">
        <v>0</v>
      </c>
      <c r="AA154" s="6">
        <v>200.50097852842291</v>
      </c>
      <c r="AB154" s="6">
        <v>0</v>
      </c>
      <c r="AC154" s="6">
        <v>34.656126552760199</v>
      </c>
      <c r="AD154" s="6">
        <v>0</v>
      </c>
      <c r="AE154" s="6">
        <v>0</v>
      </c>
      <c r="AF154" s="6">
        <v>235.15710508118309</v>
      </c>
      <c r="AG154" s="6">
        <v>5.3955508801138068</v>
      </c>
      <c r="AH154" s="6">
        <v>0</v>
      </c>
      <c r="AI154" s="6">
        <v>22.821990981229771</v>
      </c>
      <c r="AJ154" s="6">
        <v>228.71852038976641</v>
      </c>
      <c r="AK154" s="6">
        <v>0</v>
      </c>
      <c r="AL154" s="6">
        <v>0</v>
      </c>
      <c r="AM154" s="6">
        <v>0</v>
      </c>
      <c r="AN154" s="6">
        <v>0</v>
      </c>
      <c r="AO154" s="6">
        <v>0</v>
      </c>
      <c r="AP154" s="6">
        <v>228.71852038976641</v>
      </c>
      <c r="AQ154" s="6">
        <v>420.00022292728192</v>
      </c>
      <c r="AR154" s="6">
        <v>622.97429</v>
      </c>
      <c r="AS154" s="6">
        <v>219.4992443988591</v>
      </c>
      <c r="AT154" s="6">
        <v>219.4992443988591</v>
      </c>
    </row>
    <row r="155" spans="1:46" x14ac:dyDescent="0.35">
      <c r="A155" s="5">
        <v>46022</v>
      </c>
      <c r="B155" s="4" t="s">
        <v>292</v>
      </c>
      <c r="C155" s="4" t="s">
        <v>293</v>
      </c>
      <c r="D155" s="4" t="s">
        <v>61</v>
      </c>
      <c r="E155" s="6">
        <v>11500</v>
      </c>
      <c r="F155" s="7">
        <v>0.68</v>
      </c>
      <c r="G155" s="6">
        <v>82</v>
      </c>
      <c r="H155" s="6">
        <v>64.123999999999995</v>
      </c>
      <c r="I155" s="6">
        <v>96.5</v>
      </c>
      <c r="J155" s="6">
        <v>61.879660000000001</v>
      </c>
      <c r="K155" s="8">
        <v>59.706991224436351</v>
      </c>
      <c r="L155" s="6">
        <v>21.667623505600641</v>
      </c>
      <c r="M155" s="6">
        <v>15.290291048027299</v>
      </c>
      <c r="N155" s="6">
        <v>11.29821902946617</v>
      </c>
      <c r="O155" s="6">
        <v>89.618607856548223</v>
      </c>
      <c r="P155" s="6">
        <v>137.87474143964229</v>
      </c>
      <c r="Q155" s="6">
        <v>5.0453415513835269</v>
      </c>
      <c r="R155" s="6">
        <v>5.7766447889400121</v>
      </c>
      <c r="S155" s="6">
        <v>26.125338441927031</v>
      </c>
      <c r="T155" s="6">
        <v>16.349761435572571</v>
      </c>
      <c r="U155" s="6">
        <v>53.297086217823143</v>
      </c>
      <c r="V155" s="6">
        <v>191.17182765746551</v>
      </c>
      <c r="W155" s="6">
        <v>0</v>
      </c>
      <c r="X155" s="6">
        <v>15.93663063889724</v>
      </c>
      <c r="Y155" s="6">
        <v>207.1084582963627</v>
      </c>
      <c r="Z155" s="6">
        <v>15.68126479501572</v>
      </c>
      <c r="AA155" s="6">
        <v>222.78972309137839</v>
      </c>
      <c r="AB155" s="6">
        <v>0</v>
      </c>
      <c r="AC155" s="6">
        <v>26.41688934345078</v>
      </c>
      <c r="AD155" s="6">
        <v>0</v>
      </c>
      <c r="AE155" s="6">
        <v>0</v>
      </c>
      <c r="AF155" s="6">
        <v>249.2066124348292</v>
      </c>
      <c r="AG155" s="6">
        <v>16.741889999374909</v>
      </c>
      <c r="AH155" s="6">
        <v>0</v>
      </c>
      <c r="AI155" s="6">
        <v>7.7441578731276124</v>
      </c>
      <c r="AJ155" s="6">
        <v>247.275770963881</v>
      </c>
      <c r="AK155" s="6">
        <v>0</v>
      </c>
      <c r="AL155" s="6">
        <v>0</v>
      </c>
      <c r="AM155" s="6">
        <v>0</v>
      </c>
      <c r="AN155" s="6">
        <v>0</v>
      </c>
      <c r="AO155" s="6">
        <v>0</v>
      </c>
      <c r="AP155" s="6">
        <v>247.275770963881</v>
      </c>
      <c r="AQ155" s="6">
        <v>420.0002711424961</v>
      </c>
      <c r="AR155" s="6">
        <v>949.88513999999998</v>
      </c>
      <c r="AS155" s="6">
        <v>212.8918128461334</v>
      </c>
      <c r="AT155" s="6">
        <v>197.21054805111771</v>
      </c>
    </row>
    <row r="156" spans="1:46" x14ac:dyDescent="0.35">
      <c r="A156" s="5">
        <v>46022</v>
      </c>
      <c r="B156" s="4" t="s">
        <v>294</v>
      </c>
      <c r="C156" s="4" t="s">
        <v>295</v>
      </c>
      <c r="D156" s="4" t="s">
        <v>61</v>
      </c>
      <c r="E156" s="6">
        <v>250</v>
      </c>
      <c r="F156" s="7">
        <v>0.43330000000000002</v>
      </c>
      <c r="G156" s="6">
        <v>95</v>
      </c>
      <c r="H156" s="6">
        <v>1.0289999999999999</v>
      </c>
      <c r="I156" s="6">
        <v>97</v>
      </c>
      <c r="J156" s="6">
        <v>0.99812999999999996</v>
      </c>
      <c r="K156" s="8">
        <v>61.460392558570923</v>
      </c>
      <c r="L156" s="6">
        <v>66.593104097076335</v>
      </c>
      <c r="M156" s="6">
        <v>3.4308682948658542</v>
      </c>
      <c r="N156" s="6">
        <v>87.993610211323812</v>
      </c>
      <c r="O156" s="6">
        <v>43.179606016103413</v>
      </c>
      <c r="P156" s="6">
        <v>201.1971886193694</v>
      </c>
      <c r="Q156" s="6">
        <v>6.7632337759767749</v>
      </c>
      <c r="R156" s="6">
        <v>10.772969318727471</v>
      </c>
      <c r="S156" s="6">
        <v>25.18874823138534</v>
      </c>
      <c r="T156" s="6">
        <v>27.958718296868302</v>
      </c>
      <c r="U156" s="6">
        <v>70.683669622957893</v>
      </c>
      <c r="V156" s="6">
        <v>271.88085824232729</v>
      </c>
      <c r="W156" s="6">
        <v>4.1994112502123873</v>
      </c>
      <c r="X156" s="6">
        <v>19.326011972637161</v>
      </c>
      <c r="Y156" s="6">
        <v>295.40628146517679</v>
      </c>
      <c r="Z156" s="6">
        <v>35.720089637267918</v>
      </c>
      <c r="AA156" s="6">
        <v>331.12637110244469</v>
      </c>
      <c r="AB156" s="6">
        <v>0</v>
      </c>
      <c r="AC156" s="6">
        <v>9.3381812577654557</v>
      </c>
      <c r="AD156" s="6">
        <v>0</v>
      </c>
      <c r="AE156" s="6">
        <v>0</v>
      </c>
      <c r="AF156" s="6">
        <v>340.46455236021018</v>
      </c>
      <c r="AG156" s="6">
        <v>35.214368385938691</v>
      </c>
      <c r="AH156" s="6">
        <v>0</v>
      </c>
      <c r="AI156" s="6">
        <v>17.3325361157857</v>
      </c>
      <c r="AJ156" s="6">
        <v>383.67327560416908</v>
      </c>
      <c r="AK156" s="6">
        <v>0</v>
      </c>
      <c r="AL156" s="6">
        <v>0</v>
      </c>
      <c r="AM156" s="6">
        <v>0</v>
      </c>
      <c r="AN156" s="6">
        <v>0</v>
      </c>
      <c r="AO156" s="6">
        <v>0</v>
      </c>
      <c r="AP156" s="6">
        <v>383.67327560416908</v>
      </c>
      <c r="AQ156" s="6">
        <v>419.9873760416591</v>
      </c>
      <c r="AR156" s="6">
        <v>14.977897</v>
      </c>
      <c r="AS156" s="6">
        <v>124.5810945764822</v>
      </c>
      <c r="AT156" s="6">
        <v>88.861004939214311</v>
      </c>
    </row>
    <row r="157" spans="1:46" x14ac:dyDescent="0.35">
      <c r="A157" s="5">
        <v>46022</v>
      </c>
      <c r="B157" s="4" t="s">
        <v>242</v>
      </c>
      <c r="C157" s="4" t="s">
        <v>243</v>
      </c>
      <c r="D157" s="4" t="s">
        <v>61</v>
      </c>
      <c r="E157" s="6">
        <v>13500</v>
      </c>
      <c r="F157" s="7">
        <v>0.8</v>
      </c>
      <c r="G157" s="6">
        <v>90</v>
      </c>
      <c r="H157" s="6">
        <v>97.2</v>
      </c>
      <c r="I157" s="6">
        <v>95</v>
      </c>
      <c r="J157" s="6">
        <v>92.34</v>
      </c>
      <c r="K157" s="8">
        <v>28.633910356045273</v>
      </c>
      <c r="L157" s="6">
        <v>63.541415658960098</v>
      </c>
      <c r="M157" s="6">
        <v>1.6387479697007159</v>
      </c>
      <c r="N157" s="6">
        <v>3.415413098564585</v>
      </c>
      <c r="O157" s="6">
        <v>13.27814577456091</v>
      </c>
      <c r="P157" s="6">
        <v>81.873722501786304</v>
      </c>
      <c r="Q157" s="6">
        <v>2.1539397280142452</v>
      </c>
      <c r="R157" s="6">
        <v>1.3359898794863401</v>
      </c>
      <c r="S157" s="6">
        <v>4.5066034384635021</v>
      </c>
      <c r="T157" s="6">
        <v>3.4891131026757121</v>
      </c>
      <c r="U157" s="6">
        <v>11.4856461486398</v>
      </c>
      <c r="V157" s="6">
        <v>93.359368650426106</v>
      </c>
      <c r="W157" s="6">
        <v>2.280137780971788</v>
      </c>
      <c r="X157" s="6">
        <v>8.23</v>
      </c>
      <c r="Y157" s="6">
        <v>103.86950643139789</v>
      </c>
      <c r="Z157" s="6">
        <v>6.8522539421517061</v>
      </c>
      <c r="AA157" s="6">
        <v>110.7217603735496</v>
      </c>
      <c r="AB157" s="6">
        <v>0</v>
      </c>
      <c r="AC157" s="6">
        <v>33.889469491481293</v>
      </c>
      <c r="AD157" s="6">
        <v>0</v>
      </c>
      <c r="AE157" s="6">
        <v>0</v>
      </c>
      <c r="AF157" s="6">
        <v>144.61122986503091</v>
      </c>
      <c r="AG157" s="6">
        <v>4.9229411475145337</v>
      </c>
      <c r="AH157" s="6">
        <v>0</v>
      </c>
      <c r="AI157" s="6">
        <v>25.317978432871421</v>
      </c>
      <c r="AJ157" s="6">
        <v>140.96267995393561</v>
      </c>
      <c r="AK157" s="6">
        <v>0</v>
      </c>
      <c r="AL157" s="6">
        <v>0</v>
      </c>
      <c r="AM157" s="6">
        <v>0</v>
      </c>
      <c r="AN157" s="6">
        <v>0</v>
      </c>
      <c r="AO157" s="6">
        <v>0</v>
      </c>
      <c r="AP157" s="6">
        <v>140.96267995393561</v>
      </c>
      <c r="AQ157" s="6">
        <v>419.99999964779192</v>
      </c>
      <c r="AR157" s="6">
        <v>3184.5192280000001</v>
      </c>
      <c r="AS157" s="6">
        <v>316.13049321639397</v>
      </c>
      <c r="AT157" s="6">
        <v>309.27823927424231</v>
      </c>
    </row>
    <row r="158" spans="1:46" x14ac:dyDescent="0.35">
      <c r="A158" s="5">
        <v>46022</v>
      </c>
      <c r="B158" s="4" t="s">
        <v>244</v>
      </c>
      <c r="C158" s="4" t="s">
        <v>245</v>
      </c>
      <c r="D158" s="4" t="s">
        <v>61</v>
      </c>
      <c r="E158" s="6">
        <v>33.74</v>
      </c>
      <c r="F158" s="7">
        <v>0.74</v>
      </c>
      <c r="G158" s="6">
        <v>89</v>
      </c>
      <c r="H158" s="6">
        <v>0.222</v>
      </c>
      <c r="I158" s="6">
        <v>97</v>
      </c>
      <c r="J158" s="6">
        <v>0.21554499999999999</v>
      </c>
      <c r="K158" s="8">
        <v>91.380173906711576</v>
      </c>
      <c r="L158" s="6">
        <v>47.753219892641937</v>
      </c>
      <c r="M158" s="6">
        <v>0</v>
      </c>
      <c r="N158" s="6">
        <v>34.26577062040171</v>
      </c>
      <c r="O158" s="6">
        <v>47.363927339169308</v>
      </c>
      <c r="P158" s="6">
        <v>129.38291785221301</v>
      </c>
      <c r="Q158" s="6">
        <v>19.789038134858409</v>
      </c>
      <c r="R158" s="6">
        <v>0.1049792252531177</v>
      </c>
      <c r="S158" s="6">
        <v>2.122598183181811</v>
      </c>
      <c r="T158" s="6">
        <v>31.900403112665149</v>
      </c>
      <c r="U158" s="6">
        <v>53.917018655958493</v>
      </c>
      <c r="V158" s="6">
        <v>183.2999365081715</v>
      </c>
      <c r="W158" s="6">
        <v>2.8482603367272659</v>
      </c>
      <c r="X158" s="6">
        <v>25.003545540355841</v>
      </c>
      <c r="Y158" s="6">
        <v>211.15174238525461</v>
      </c>
      <c r="Z158" s="6">
        <v>48.272650928935157</v>
      </c>
      <c r="AA158" s="6">
        <v>259.42439331418967</v>
      </c>
      <c r="AB158" s="6">
        <v>0</v>
      </c>
      <c r="AC158" s="6">
        <v>15.76821053168873</v>
      </c>
      <c r="AD158" s="6">
        <v>0</v>
      </c>
      <c r="AE158" s="6">
        <v>0</v>
      </c>
      <c r="AF158" s="6">
        <v>275.19260384587852</v>
      </c>
      <c r="AG158" s="6">
        <v>16.132795984434299</v>
      </c>
      <c r="AH158" s="6">
        <v>0</v>
      </c>
      <c r="AI158" s="6">
        <v>15.76821053168873</v>
      </c>
      <c r="AJ158" s="6">
        <v>291.32539983031279</v>
      </c>
      <c r="AK158" s="6">
        <v>0</v>
      </c>
      <c r="AL158" s="6">
        <v>0</v>
      </c>
      <c r="AM158" s="6">
        <v>0</v>
      </c>
      <c r="AN158" s="6">
        <v>0</v>
      </c>
      <c r="AO158" s="6">
        <v>0</v>
      </c>
      <c r="AP158" s="6">
        <v>291.32539983031279</v>
      </c>
      <c r="AQ158" s="6">
        <v>419.91231494165572</v>
      </c>
      <c r="AR158" s="6">
        <v>2.171144</v>
      </c>
      <c r="AS158" s="6">
        <v>208.76057255640109</v>
      </c>
      <c r="AT158" s="6">
        <v>160.48792162746591</v>
      </c>
    </row>
    <row r="159" spans="1:46" x14ac:dyDescent="0.35">
      <c r="A159" s="5">
        <v>46022</v>
      </c>
      <c r="B159" s="4" t="s">
        <v>740</v>
      </c>
      <c r="C159" s="4" t="s">
        <v>741</v>
      </c>
      <c r="D159" s="4" t="s">
        <v>61</v>
      </c>
      <c r="E159" s="6">
        <v>184.533333</v>
      </c>
      <c r="F159" s="7">
        <v>1.1345000000000001</v>
      </c>
      <c r="G159" s="6">
        <v>87</v>
      </c>
      <c r="H159" s="6">
        <v>1.821</v>
      </c>
      <c r="I159" s="6">
        <v>97</v>
      </c>
      <c r="J159" s="6">
        <v>1.766805</v>
      </c>
      <c r="K159" s="8">
        <v>76.453072787287795</v>
      </c>
      <c r="L159" s="6">
        <v>27.00682117856271</v>
      </c>
      <c r="M159" s="6">
        <v>1.420083324887645</v>
      </c>
      <c r="N159" s="6">
        <v>19.765118083652869</v>
      </c>
      <c r="O159" s="6">
        <v>24.004088884453498</v>
      </c>
      <c r="P159" s="6">
        <v>72.196111471556733</v>
      </c>
      <c r="Q159" s="6">
        <v>8.2357429501972863</v>
      </c>
      <c r="R159" s="6">
        <v>3.1503499979274281</v>
      </c>
      <c r="S159" s="6">
        <v>17.114537101532822</v>
      </c>
      <c r="T159" s="6">
        <v>15.75317343054401</v>
      </c>
      <c r="U159" s="6">
        <v>44.253803480201547</v>
      </c>
      <c r="V159" s="6">
        <v>116.4499149517583</v>
      </c>
      <c r="W159" s="6">
        <v>2.431508815212271</v>
      </c>
      <c r="X159" s="6">
        <v>22.36238959123073</v>
      </c>
      <c r="Y159" s="6">
        <v>141.24381335820129</v>
      </c>
      <c r="Z159" s="6">
        <v>20.230678304807629</v>
      </c>
      <c r="AA159" s="6">
        <v>161.47449166300891</v>
      </c>
      <c r="AB159" s="6">
        <v>0</v>
      </c>
      <c r="AC159" s="6">
        <v>12.16063676677736</v>
      </c>
      <c r="AD159" s="6">
        <v>0</v>
      </c>
      <c r="AE159" s="6">
        <v>0</v>
      </c>
      <c r="AF159" s="6">
        <v>173.63512842978631</v>
      </c>
      <c r="AG159" s="6">
        <v>16.180260032411852</v>
      </c>
      <c r="AH159" s="6">
        <v>0</v>
      </c>
      <c r="AI159" s="6">
        <v>12.16063676677736</v>
      </c>
      <c r="AJ159" s="6">
        <v>189.81538846219809</v>
      </c>
      <c r="AK159" s="6">
        <v>0</v>
      </c>
      <c r="AL159" s="6">
        <v>0</v>
      </c>
      <c r="AM159" s="6">
        <v>0</v>
      </c>
      <c r="AN159" s="6">
        <v>0</v>
      </c>
      <c r="AO159" s="6">
        <v>0</v>
      </c>
      <c r="AP159" s="6">
        <v>189.81538846219809</v>
      </c>
      <c r="AQ159" s="6">
        <v>419.99881106161621</v>
      </c>
      <c r="AR159" s="6">
        <v>21.483186</v>
      </c>
      <c r="AS159" s="6">
        <v>278.75499770341492</v>
      </c>
      <c r="AT159" s="6">
        <v>258.5243193986073</v>
      </c>
    </row>
    <row r="160" spans="1:46" x14ac:dyDescent="0.35">
      <c r="A160" s="5">
        <v>46022</v>
      </c>
      <c r="B160" s="4" t="s">
        <v>428</v>
      </c>
      <c r="C160" s="4" t="s">
        <v>429</v>
      </c>
      <c r="D160" s="4" t="s">
        <v>61</v>
      </c>
      <c r="E160" s="6">
        <v>350</v>
      </c>
      <c r="F160" s="7">
        <v>0.5</v>
      </c>
      <c r="G160" s="6">
        <v>65</v>
      </c>
      <c r="H160" s="6">
        <v>1.1379999999999999</v>
      </c>
      <c r="I160" s="6">
        <v>68.184614999999994</v>
      </c>
      <c r="J160" s="6">
        <v>0.77559999999999996</v>
      </c>
      <c r="K160" s="8">
        <v>6.7865622934746783</v>
      </c>
      <c r="L160" s="6">
        <v>35.877516796935417</v>
      </c>
      <c r="M160" s="6">
        <v>0.71122269491363133</v>
      </c>
      <c r="N160" s="6">
        <v>2.5310966950729821</v>
      </c>
      <c r="O160" s="6">
        <v>74.564002618195616</v>
      </c>
      <c r="P160" s="6">
        <v>113.6838388051176</v>
      </c>
      <c r="Q160" s="6">
        <v>5.6386820670701736</v>
      </c>
      <c r="R160" s="6">
        <v>1.004229697753634</v>
      </c>
      <c r="S160" s="6">
        <v>5.6098643705499764</v>
      </c>
      <c r="T160" s="6">
        <v>17.7900732536452</v>
      </c>
      <c r="U160" s="6">
        <v>30.04284938901899</v>
      </c>
      <c r="V160" s="6">
        <v>143.72668819413661</v>
      </c>
      <c r="W160" s="6">
        <v>0</v>
      </c>
      <c r="X160" s="6">
        <v>1.9790546718188931</v>
      </c>
      <c r="Y160" s="6">
        <v>145.7057428659555</v>
      </c>
      <c r="Z160" s="6">
        <v>17.16308307923952</v>
      </c>
      <c r="AA160" s="6">
        <v>162.868825945195</v>
      </c>
      <c r="AB160" s="6">
        <v>0</v>
      </c>
      <c r="AC160" s="6">
        <v>166.23745020091511</v>
      </c>
      <c r="AD160" s="6">
        <v>0</v>
      </c>
      <c r="AE160" s="6">
        <v>0</v>
      </c>
      <c r="AF160" s="6">
        <v>329.10627614611008</v>
      </c>
      <c r="AG160" s="6">
        <v>26.88901678865108</v>
      </c>
      <c r="AH160" s="6">
        <v>0</v>
      </c>
      <c r="AI160" s="6">
        <v>160.12102087347179</v>
      </c>
      <c r="AJ160" s="6">
        <v>349.8788636073179</v>
      </c>
      <c r="AK160" s="6">
        <v>0</v>
      </c>
      <c r="AL160" s="6">
        <v>0</v>
      </c>
      <c r="AM160" s="6">
        <v>0</v>
      </c>
      <c r="AN160" s="6">
        <v>0</v>
      </c>
      <c r="AO160" s="6">
        <v>0</v>
      </c>
      <c r="AP160" s="6">
        <v>349.8788636073179</v>
      </c>
      <c r="AQ160" s="6">
        <v>419.99999964779198</v>
      </c>
      <c r="AR160" s="6">
        <v>107.63423</v>
      </c>
      <c r="AS160" s="6">
        <v>274.2942567818364</v>
      </c>
      <c r="AT160" s="6">
        <v>257.13117370259693</v>
      </c>
    </row>
    <row r="161" spans="1:46" x14ac:dyDescent="0.35">
      <c r="A161" s="5">
        <v>46022</v>
      </c>
      <c r="B161" s="4" t="s">
        <v>430</v>
      </c>
      <c r="C161" s="4" t="s">
        <v>431</v>
      </c>
      <c r="D161" s="4" t="s">
        <v>61</v>
      </c>
      <c r="E161" s="6">
        <v>68.61</v>
      </c>
      <c r="F161" s="7">
        <v>0.48</v>
      </c>
      <c r="G161" s="6">
        <v>75</v>
      </c>
      <c r="H161" s="6">
        <v>0.247</v>
      </c>
      <c r="I161" s="6">
        <v>97</v>
      </c>
      <c r="J161" s="6">
        <v>0.23958599999999999</v>
      </c>
      <c r="K161" s="8">
        <v>68.705334779803167</v>
      </c>
      <c r="L161" s="6">
        <v>52.11887470267321</v>
      </c>
      <c r="M161" s="6">
        <v>3.2128073446853351</v>
      </c>
      <c r="N161" s="6">
        <v>27.049356841023229</v>
      </c>
      <c r="O161" s="6">
        <v>37.30426305773527</v>
      </c>
      <c r="P161" s="6">
        <v>119.68530194611699</v>
      </c>
      <c r="Q161" s="6">
        <v>12.67274008181438</v>
      </c>
      <c r="R161" s="6">
        <v>14.993100941864901</v>
      </c>
      <c r="S161" s="6">
        <v>21.87334571943823</v>
      </c>
      <c r="T161" s="6">
        <v>52.029630054209733</v>
      </c>
      <c r="U161" s="6">
        <v>101.5688167973272</v>
      </c>
      <c r="V161" s="6">
        <v>221.25411874344431</v>
      </c>
      <c r="W161" s="6">
        <v>5.9233601148694817</v>
      </c>
      <c r="X161" s="6">
        <v>34.183167961238262</v>
      </c>
      <c r="Y161" s="6">
        <v>261.36064681955202</v>
      </c>
      <c r="Z161" s="6">
        <v>66.681415286903402</v>
      </c>
      <c r="AA161" s="6">
        <v>328.04206210645538</v>
      </c>
      <c r="AB161" s="6">
        <v>0</v>
      </c>
      <c r="AC161" s="6">
        <v>23.857914665180051</v>
      </c>
      <c r="AD161" s="6">
        <v>0</v>
      </c>
      <c r="AE161" s="6">
        <v>0</v>
      </c>
      <c r="AF161" s="6">
        <v>351.89997677163552</v>
      </c>
      <c r="AG161" s="6">
        <v>19.933836396705619</v>
      </c>
      <c r="AH161" s="6">
        <v>0</v>
      </c>
      <c r="AI161" s="6">
        <v>23.857914665180051</v>
      </c>
      <c r="AJ161" s="6">
        <v>371.83381316834112</v>
      </c>
      <c r="AK161" s="6">
        <v>0</v>
      </c>
      <c r="AL161" s="6">
        <v>0</v>
      </c>
      <c r="AM161" s="6">
        <v>0</v>
      </c>
      <c r="AN161" s="6">
        <v>0</v>
      </c>
      <c r="AO161" s="6">
        <v>0</v>
      </c>
      <c r="AP161" s="6">
        <v>371.83381316834112</v>
      </c>
      <c r="AQ161" s="6">
        <v>420.0245419833002</v>
      </c>
      <c r="AR161" s="6">
        <v>3.1476350000000002</v>
      </c>
      <c r="AS161" s="6">
        <v>158.66389516374809</v>
      </c>
      <c r="AT161" s="6">
        <v>91.982479876844735</v>
      </c>
    </row>
    <row r="162" spans="1:46" x14ac:dyDescent="0.35">
      <c r="A162" s="5">
        <v>46022</v>
      </c>
      <c r="B162" s="4" t="s">
        <v>432</v>
      </c>
      <c r="C162" s="4" t="s">
        <v>433</v>
      </c>
      <c r="D162" s="4" t="s">
        <v>61</v>
      </c>
      <c r="E162" s="6">
        <v>18</v>
      </c>
      <c r="F162" s="7">
        <v>1.02</v>
      </c>
      <c r="G162" s="6">
        <v>82</v>
      </c>
      <c r="H162" s="6">
        <v>0.151</v>
      </c>
      <c r="I162" s="6">
        <v>97</v>
      </c>
      <c r="J162" s="6">
        <v>0.146035</v>
      </c>
      <c r="K162" s="8">
        <v>100</v>
      </c>
      <c r="L162" s="6">
        <v>33.363936379648948</v>
      </c>
      <c r="M162" s="6">
        <v>2.5839772174808502</v>
      </c>
      <c r="N162" s="6">
        <v>21.331560053585282</v>
      </c>
      <c r="O162" s="6">
        <v>33.89014577116231</v>
      </c>
      <c r="P162" s="6">
        <v>91.169619421877385</v>
      </c>
      <c r="Q162" s="6">
        <v>19.140348759703329</v>
      </c>
      <c r="R162" s="6">
        <v>0.44439783352809942</v>
      </c>
      <c r="S162" s="6">
        <v>4.3289848189384186</v>
      </c>
      <c r="T162" s="6">
        <v>46.403439653077569</v>
      </c>
      <c r="U162" s="6">
        <v>70.317171065247422</v>
      </c>
      <c r="V162" s="6">
        <v>161.48679048712481</v>
      </c>
      <c r="W162" s="6">
        <v>9.6447977209108888</v>
      </c>
      <c r="X162" s="6">
        <v>25.765161396581298</v>
      </c>
      <c r="Y162" s="6">
        <v>196.89674960461701</v>
      </c>
      <c r="Z162" s="6">
        <v>45.430168913367282</v>
      </c>
      <c r="AA162" s="6">
        <v>242.3269185179843</v>
      </c>
      <c r="AB162" s="6">
        <v>0</v>
      </c>
      <c r="AC162" s="6">
        <v>10.288783220893279</v>
      </c>
      <c r="AD162" s="6">
        <v>0</v>
      </c>
      <c r="AE162" s="6">
        <v>0</v>
      </c>
      <c r="AF162" s="6">
        <v>252.6157017388775</v>
      </c>
      <c r="AG162" s="6">
        <v>16.100769556285272</v>
      </c>
      <c r="AH162" s="6">
        <v>0</v>
      </c>
      <c r="AI162" s="6">
        <v>10.288783220893279</v>
      </c>
      <c r="AJ162" s="6">
        <v>268.71647129516282</v>
      </c>
      <c r="AK162" s="6">
        <v>0</v>
      </c>
      <c r="AL162" s="6">
        <v>0</v>
      </c>
      <c r="AM162" s="6">
        <v>0</v>
      </c>
      <c r="AN162" s="6">
        <v>0</v>
      </c>
      <c r="AO162" s="6">
        <v>0</v>
      </c>
      <c r="AP162" s="6">
        <v>268.71647129516282</v>
      </c>
      <c r="AQ162" s="6">
        <v>419.89933884738332</v>
      </c>
      <c r="AR162" s="6">
        <v>1.351874</v>
      </c>
      <c r="AS162" s="6">
        <v>223.00258924276631</v>
      </c>
      <c r="AT162" s="6">
        <v>177.57242032939911</v>
      </c>
    </row>
    <row r="163" spans="1:46" x14ac:dyDescent="0.35">
      <c r="A163" s="5">
        <v>46022</v>
      </c>
      <c r="B163" s="4" t="s">
        <v>246</v>
      </c>
      <c r="C163" s="4" t="s">
        <v>247</v>
      </c>
      <c r="D163" s="4" t="s">
        <v>61</v>
      </c>
      <c r="E163" s="6">
        <v>46.9</v>
      </c>
      <c r="F163" s="7">
        <v>0.33</v>
      </c>
      <c r="G163" s="6">
        <v>84</v>
      </c>
      <c r="H163" s="6">
        <v>0.13</v>
      </c>
      <c r="I163" s="6">
        <v>97</v>
      </c>
      <c r="J163" s="6">
        <v>0.12609999999999999</v>
      </c>
      <c r="K163" s="8">
        <v>63.262313716220262</v>
      </c>
      <c r="L163" s="6">
        <v>51.42498958962301</v>
      </c>
      <c r="M163" s="6">
        <v>0</v>
      </c>
      <c r="N163" s="6">
        <v>17.481694486807189</v>
      </c>
      <c r="O163" s="6">
        <v>67.032198487332195</v>
      </c>
      <c r="P163" s="6">
        <v>135.93888256376241</v>
      </c>
      <c r="Q163" s="6">
        <v>12.893732093084941</v>
      </c>
      <c r="R163" s="6">
        <v>30.450187856348158</v>
      </c>
      <c r="S163" s="6">
        <v>38.070608500907063</v>
      </c>
      <c r="T163" s="6">
        <v>54.809226060769049</v>
      </c>
      <c r="U163" s="6">
        <v>136.22375451110921</v>
      </c>
      <c r="V163" s="6">
        <v>272.16263707487161</v>
      </c>
      <c r="W163" s="6">
        <v>5.3978457824214292</v>
      </c>
      <c r="X163" s="6">
        <v>19.833116249486459</v>
      </c>
      <c r="Y163" s="6">
        <v>297.3935991067795</v>
      </c>
      <c r="Z163" s="6">
        <v>33.320496604330017</v>
      </c>
      <c r="AA163" s="6">
        <v>330.71409571110951</v>
      </c>
      <c r="AB163" s="6">
        <v>0</v>
      </c>
      <c r="AC163" s="6">
        <v>36.927043793945792</v>
      </c>
      <c r="AD163" s="6">
        <v>0</v>
      </c>
      <c r="AE163" s="6">
        <v>0</v>
      </c>
      <c r="AF163" s="6">
        <v>367.64113950505532</v>
      </c>
      <c r="AG163" s="6">
        <v>26.147278843477309</v>
      </c>
      <c r="AH163" s="6">
        <v>0</v>
      </c>
      <c r="AI163" s="6">
        <v>7.0015936505903076</v>
      </c>
      <c r="AJ163" s="6">
        <v>363.86296820517708</v>
      </c>
      <c r="AK163" s="6">
        <v>0</v>
      </c>
      <c r="AL163" s="6">
        <v>0</v>
      </c>
      <c r="AM163" s="6">
        <v>0</v>
      </c>
      <c r="AN163" s="6">
        <v>0</v>
      </c>
      <c r="AO163" s="6">
        <v>0</v>
      </c>
      <c r="AP163" s="6">
        <v>363.86296820517708</v>
      </c>
      <c r="AQ163" s="6">
        <v>419.99999964779198</v>
      </c>
      <c r="AR163" s="6">
        <v>1.8571610000000001</v>
      </c>
      <c r="AS163" s="6">
        <v>122.6064005410125</v>
      </c>
      <c r="AT163" s="6">
        <v>89.285903936682459</v>
      </c>
    </row>
    <row r="164" spans="1:46" x14ac:dyDescent="0.35">
      <c r="A164" s="5">
        <v>46022</v>
      </c>
      <c r="B164" s="4" t="s">
        <v>296</v>
      </c>
      <c r="C164" s="4" t="s">
        <v>297</v>
      </c>
      <c r="D164" s="4" t="s">
        <v>50</v>
      </c>
      <c r="E164" s="6">
        <v>103</v>
      </c>
      <c r="F164" s="7">
        <v>1.49</v>
      </c>
      <c r="G164" s="6">
        <v>95.72</v>
      </c>
      <c r="H164" s="6">
        <v>1.4690000000000001</v>
      </c>
      <c r="I164" s="6">
        <v>96.5</v>
      </c>
      <c r="J164" s="6">
        <v>1.4175990000000001</v>
      </c>
      <c r="K164" s="8">
        <v>26.304119571436189</v>
      </c>
      <c r="L164" s="6">
        <v>83.872826874122524</v>
      </c>
      <c r="M164" s="6">
        <v>14.99623144555877</v>
      </c>
      <c r="N164" s="6">
        <v>43.433265161348999</v>
      </c>
      <c r="O164" s="6">
        <v>76.37263577203133</v>
      </c>
      <c r="P164" s="6">
        <v>218.67495925306159</v>
      </c>
      <c r="Q164" s="6">
        <v>34.815402544251803</v>
      </c>
      <c r="R164" s="6">
        <v>1.5737174802403939</v>
      </c>
      <c r="S164" s="6">
        <v>11.62722416973696</v>
      </c>
      <c r="T164" s="6">
        <v>13.717216960686841</v>
      </c>
      <c r="U164" s="6">
        <v>61.733561154916003</v>
      </c>
      <c r="V164" s="6">
        <v>280.40852040797762</v>
      </c>
      <c r="W164" s="6">
        <v>1.8074958043649549</v>
      </c>
      <c r="X164" s="6">
        <v>14.229995792065161</v>
      </c>
      <c r="Y164" s="6">
        <v>296.44601200440769</v>
      </c>
      <c r="Z164" s="6">
        <v>2.3104642277457761</v>
      </c>
      <c r="AA164" s="6">
        <v>298.75647623215349</v>
      </c>
      <c r="AB164" s="6">
        <v>0</v>
      </c>
      <c r="AC164" s="6">
        <v>15.364584399236961</v>
      </c>
      <c r="AD164" s="6">
        <v>0</v>
      </c>
      <c r="AE164" s="6">
        <v>0</v>
      </c>
      <c r="AF164" s="6">
        <v>314.12106063139049</v>
      </c>
      <c r="AG164" s="6">
        <v>19.776638826430691</v>
      </c>
      <c r="AH164" s="6">
        <v>0</v>
      </c>
      <c r="AI164" s="6">
        <v>15.364584399236961</v>
      </c>
      <c r="AJ164" s="6">
        <v>333.8976994578212</v>
      </c>
      <c r="AK164" s="6">
        <v>0</v>
      </c>
      <c r="AL164" s="6">
        <v>0</v>
      </c>
      <c r="AM164" s="6">
        <v>0</v>
      </c>
      <c r="AN164" s="6">
        <v>0</v>
      </c>
      <c r="AO164" s="6">
        <v>0</v>
      </c>
      <c r="AP164" s="6">
        <v>333.8976994578212</v>
      </c>
      <c r="AQ164" s="6">
        <v>420.0002959233957</v>
      </c>
      <c r="AR164" s="6">
        <v>51.257992999999999</v>
      </c>
      <c r="AS164" s="6">
        <v>123.55428391898801</v>
      </c>
      <c r="AT164" s="6">
        <v>121.24381969124219</v>
      </c>
    </row>
    <row r="165" spans="1:46" x14ac:dyDescent="0.35">
      <c r="A165" s="5">
        <v>46022</v>
      </c>
      <c r="B165" s="4" t="s">
        <v>248</v>
      </c>
      <c r="C165" s="4" t="s">
        <v>249</v>
      </c>
      <c r="D165" s="4" t="s">
        <v>250</v>
      </c>
      <c r="E165" s="6">
        <v>789.30200000000002</v>
      </c>
      <c r="F165" s="7">
        <v>0.50649999999999995</v>
      </c>
      <c r="G165" s="6">
        <v>60.54</v>
      </c>
      <c r="H165" s="6">
        <v>2.42</v>
      </c>
      <c r="I165" s="6">
        <v>97</v>
      </c>
      <c r="J165" s="6">
        <v>2.3473999999999999</v>
      </c>
      <c r="K165" s="8">
        <v>5.471033887311286</v>
      </c>
      <c r="L165" s="6">
        <v>26.114977529523632</v>
      </c>
      <c r="M165" s="6">
        <v>2.024494464982959</v>
      </c>
      <c r="N165" s="6">
        <v>8.1850684218965011</v>
      </c>
      <c r="O165" s="6">
        <v>53.89911308873539</v>
      </c>
      <c r="P165" s="6">
        <v>90.223653505138472</v>
      </c>
      <c r="Q165" s="6">
        <v>17.29256283372818</v>
      </c>
      <c r="R165" s="6">
        <v>6.332029824062956</v>
      </c>
      <c r="S165" s="6">
        <v>10.28675374081077</v>
      </c>
      <c r="T165" s="6">
        <v>12.46193921839073</v>
      </c>
      <c r="U165" s="6">
        <v>46.373285616992639</v>
      </c>
      <c r="V165" s="6">
        <v>136.59693912213109</v>
      </c>
      <c r="W165" s="6">
        <v>0.85304859575760783</v>
      </c>
      <c r="X165" s="6">
        <v>8.0766103391483597</v>
      </c>
      <c r="Y165" s="6">
        <v>145.52659805703709</v>
      </c>
      <c r="Z165" s="6">
        <v>10.56439558558024</v>
      </c>
      <c r="AA165" s="6">
        <v>156.09099364261729</v>
      </c>
      <c r="AB165" s="6">
        <v>0.55358593232884379</v>
      </c>
      <c r="AC165" s="6">
        <v>95.567872037362562</v>
      </c>
      <c r="AD165" s="6">
        <v>0</v>
      </c>
      <c r="AE165" s="6">
        <v>0</v>
      </c>
      <c r="AF165" s="6">
        <v>252.21245161230871</v>
      </c>
      <c r="AG165" s="6">
        <v>13.43288662795093</v>
      </c>
      <c r="AH165" s="6">
        <v>0</v>
      </c>
      <c r="AI165" s="6">
        <v>46.76331108316765</v>
      </c>
      <c r="AJ165" s="6">
        <v>216.84077728606471</v>
      </c>
      <c r="AK165" s="6">
        <v>26.26636112115532</v>
      </c>
      <c r="AL165" s="6">
        <v>0</v>
      </c>
      <c r="AM165" s="6">
        <v>0</v>
      </c>
      <c r="AN165" s="6">
        <v>0</v>
      </c>
      <c r="AO165" s="6">
        <v>0</v>
      </c>
      <c r="AP165" s="6">
        <v>243.10713840722011</v>
      </c>
      <c r="AQ165" s="6">
        <v>419.99999964779198</v>
      </c>
      <c r="AR165" s="6">
        <v>399.07567</v>
      </c>
      <c r="AS165" s="6">
        <v>274.47340159075492</v>
      </c>
      <c r="AT165" s="6">
        <v>263.9090060051746</v>
      </c>
    </row>
    <row r="166" spans="1:46" x14ac:dyDescent="0.35">
      <c r="A166" s="5">
        <v>46022</v>
      </c>
      <c r="B166" s="4" t="s">
        <v>434</v>
      </c>
      <c r="C166" s="4" t="s">
        <v>435</v>
      </c>
      <c r="D166" s="4" t="s">
        <v>61</v>
      </c>
      <c r="E166" s="6">
        <v>1000</v>
      </c>
      <c r="F166" s="7">
        <v>0.83</v>
      </c>
      <c r="G166" s="6">
        <v>91</v>
      </c>
      <c r="H166" s="6">
        <v>7.5529999999999999</v>
      </c>
      <c r="I166" s="6">
        <v>33.814511000000003</v>
      </c>
      <c r="J166" s="6">
        <v>2.5540099999999999</v>
      </c>
      <c r="K166" s="8">
        <v>20.594804250285627</v>
      </c>
      <c r="L166" s="6">
        <v>37.333142486751328</v>
      </c>
      <c r="M166" s="6">
        <v>2.1452344168477011</v>
      </c>
      <c r="N166" s="6">
        <v>5.0425561812279867</v>
      </c>
      <c r="O166" s="6">
        <v>18.815669402567309</v>
      </c>
      <c r="P166" s="6">
        <v>63.33660248739433</v>
      </c>
      <c r="Q166" s="6">
        <v>12.03743193611688</v>
      </c>
      <c r="R166" s="6">
        <v>5.4168387019124591</v>
      </c>
      <c r="S166" s="6">
        <v>13.2377190268272</v>
      </c>
      <c r="T166" s="6">
        <v>30.849180349891441</v>
      </c>
      <c r="U166" s="6">
        <v>61.541170014747983</v>
      </c>
      <c r="V166" s="6">
        <v>124.87777250214231</v>
      </c>
      <c r="W166" s="6">
        <v>0.50143490832049997</v>
      </c>
      <c r="X166" s="6">
        <v>26.704808676708389</v>
      </c>
      <c r="Y166" s="6">
        <v>152.08401608717119</v>
      </c>
      <c r="Z166" s="6">
        <v>11.324649608338319</v>
      </c>
      <c r="AA166" s="6">
        <v>163.40866569550951</v>
      </c>
      <c r="AB166" s="6">
        <v>0</v>
      </c>
      <c r="AC166" s="6">
        <v>15.414646883870059</v>
      </c>
      <c r="AD166" s="6">
        <v>0</v>
      </c>
      <c r="AE166" s="6">
        <v>0</v>
      </c>
      <c r="AF166" s="6">
        <v>178.8233125793796</v>
      </c>
      <c r="AG166" s="6">
        <v>10.41843664386688</v>
      </c>
      <c r="AH166" s="6">
        <v>5.5831698263065839</v>
      </c>
      <c r="AI166" s="6">
        <v>6.2817020265411188</v>
      </c>
      <c r="AJ166" s="6">
        <v>185.69197419222411</v>
      </c>
      <c r="AK166" s="6">
        <v>0</v>
      </c>
      <c r="AL166" s="6">
        <v>0</v>
      </c>
      <c r="AM166" s="6">
        <v>0</v>
      </c>
      <c r="AN166" s="6">
        <v>0</v>
      </c>
      <c r="AO166" s="6">
        <v>0</v>
      </c>
      <c r="AP166" s="6">
        <v>185.69197419222411</v>
      </c>
      <c r="AQ166" s="6">
        <v>419.99835517498389</v>
      </c>
      <c r="AR166" s="6">
        <v>126.216853</v>
      </c>
      <c r="AS166" s="6">
        <v>267.91433908781272</v>
      </c>
      <c r="AT166" s="6">
        <v>256.58968947947437</v>
      </c>
    </row>
    <row r="167" spans="1:46" x14ac:dyDescent="0.35">
      <c r="A167" s="5">
        <v>46022</v>
      </c>
      <c r="B167" s="4" t="s">
        <v>251</v>
      </c>
      <c r="C167" s="4" t="s">
        <v>252</v>
      </c>
      <c r="D167" s="4" t="s">
        <v>213</v>
      </c>
      <c r="E167" s="6">
        <v>2100</v>
      </c>
      <c r="F167" s="7">
        <v>2.97</v>
      </c>
      <c r="G167" s="6">
        <v>82</v>
      </c>
      <c r="H167" s="6">
        <v>51.143000000000001</v>
      </c>
      <c r="I167" s="6">
        <v>100</v>
      </c>
      <c r="J167" s="6">
        <v>51.1434</v>
      </c>
      <c r="K167" s="8">
        <v>78.248878632876554</v>
      </c>
      <c r="L167" s="6">
        <v>4.5764770152000187</v>
      </c>
      <c r="M167" s="6">
        <v>6.7678586080745511</v>
      </c>
      <c r="N167" s="6">
        <v>2.1432063557276191</v>
      </c>
      <c r="O167" s="6">
        <v>23.36827641387465</v>
      </c>
      <c r="P167" s="6">
        <v>36.855818392876841</v>
      </c>
      <c r="Q167" s="6">
        <v>6.7755375566626173</v>
      </c>
      <c r="R167" s="6">
        <v>3.0439897264160338</v>
      </c>
      <c r="S167" s="6">
        <v>8.5072155184720373</v>
      </c>
      <c r="T167" s="6">
        <v>8.2964765462224932</v>
      </c>
      <c r="U167" s="6">
        <v>26.62321934777318</v>
      </c>
      <c r="V167" s="6">
        <v>63.479037740650021</v>
      </c>
      <c r="W167" s="6">
        <v>3.4431813766913368</v>
      </c>
      <c r="X167" s="6">
        <v>20.966787928907799</v>
      </c>
      <c r="Y167" s="6">
        <v>87.889007046249162</v>
      </c>
      <c r="Z167" s="6">
        <v>39.737617219329252</v>
      </c>
      <c r="AA167" s="6">
        <v>127.6266242655784</v>
      </c>
      <c r="AB167" s="6">
        <v>2.151388101290989E-2</v>
      </c>
      <c r="AC167" s="6">
        <v>17.153749520579701</v>
      </c>
      <c r="AD167" s="6">
        <v>0</v>
      </c>
      <c r="AE167" s="6">
        <v>0</v>
      </c>
      <c r="AF167" s="6">
        <v>144.801887667171</v>
      </c>
      <c r="AG167" s="6">
        <v>0.5456527661915419</v>
      </c>
      <c r="AH167" s="6">
        <v>1.485142759683227</v>
      </c>
      <c r="AI167" s="6">
        <v>0.34699549517469053</v>
      </c>
      <c r="AJ167" s="6">
        <v>130.02592916764081</v>
      </c>
      <c r="AK167" s="6">
        <v>0</v>
      </c>
      <c r="AL167" s="6">
        <v>0</v>
      </c>
      <c r="AM167" s="6">
        <v>0</v>
      </c>
      <c r="AN167" s="6">
        <v>0</v>
      </c>
      <c r="AO167" s="6">
        <v>0</v>
      </c>
      <c r="AP167" s="6">
        <v>130.02592916764081</v>
      </c>
      <c r="AQ167" s="6">
        <v>419.99999964779192</v>
      </c>
      <c r="AR167" s="6">
        <v>682.37814400000002</v>
      </c>
      <c r="AS167" s="6">
        <v>332.11099260154282</v>
      </c>
      <c r="AT167" s="6">
        <v>292.37337538221351</v>
      </c>
    </row>
    <row r="168" spans="1:46" x14ac:dyDescent="0.35">
      <c r="A168" s="5">
        <v>46022</v>
      </c>
      <c r="B168" s="4" t="s">
        <v>742</v>
      </c>
      <c r="C168" s="4" t="s">
        <v>743</v>
      </c>
      <c r="D168" s="4" t="s">
        <v>213</v>
      </c>
      <c r="E168" s="6">
        <v>10989</v>
      </c>
      <c r="F168" s="7">
        <v>4.46</v>
      </c>
      <c r="G168" s="6">
        <v>81.61</v>
      </c>
      <c r="H168" s="6">
        <v>400</v>
      </c>
      <c r="I168" s="6">
        <v>98.665762999999998</v>
      </c>
      <c r="J168" s="6">
        <v>394.66305299999999</v>
      </c>
      <c r="K168" s="8">
        <v>100</v>
      </c>
      <c r="L168" s="6">
        <v>37.154808739090527</v>
      </c>
      <c r="M168" s="6">
        <v>3.2854717241050659</v>
      </c>
      <c r="N168" s="6">
        <v>1.769510920007378</v>
      </c>
      <c r="O168" s="6">
        <v>26.858885649484879</v>
      </c>
      <c r="P168" s="6">
        <v>69.068677032687845</v>
      </c>
      <c r="Q168" s="6">
        <v>8.6201936958703858</v>
      </c>
      <c r="R168" s="6">
        <v>11.30328323829451</v>
      </c>
      <c r="S168" s="6">
        <v>14.365684410870591</v>
      </c>
      <c r="T168" s="6">
        <v>16.053381829802539</v>
      </c>
      <c r="U168" s="6">
        <v>50.342543174838021</v>
      </c>
      <c r="V168" s="6">
        <v>119.4112202075259</v>
      </c>
      <c r="W168" s="6">
        <v>36.282591573566478</v>
      </c>
      <c r="X168" s="6">
        <v>15.763670406423261</v>
      </c>
      <c r="Y168" s="6">
        <v>171.45748218751561</v>
      </c>
      <c r="Z168" s="6">
        <v>28.598879789643259</v>
      </c>
      <c r="AA168" s="6">
        <v>200.0563619771589</v>
      </c>
      <c r="AB168" s="6">
        <v>0.63858684718201353</v>
      </c>
      <c r="AC168" s="6">
        <v>56.531081947971472</v>
      </c>
      <c r="AD168" s="6">
        <v>0</v>
      </c>
      <c r="AE168" s="6">
        <v>0</v>
      </c>
      <c r="AF168" s="6">
        <v>257.2260307723123</v>
      </c>
      <c r="AG168" s="6">
        <v>18.261622669683611</v>
      </c>
      <c r="AH168" s="6">
        <v>0</v>
      </c>
      <c r="AI168" s="6">
        <v>42.524674470788611</v>
      </c>
      <c r="AJ168" s="6">
        <v>261.48124596481313</v>
      </c>
      <c r="AK168" s="6">
        <v>135.04457310406161</v>
      </c>
      <c r="AL168" s="6">
        <v>0.8383086353286533</v>
      </c>
      <c r="AM168" s="6">
        <v>0</v>
      </c>
      <c r="AN168" s="6">
        <v>0</v>
      </c>
      <c r="AO168" s="6">
        <v>0</v>
      </c>
      <c r="AP168" s="6">
        <v>397.36412770420338</v>
      </c>
      <c r="AQ168" s="6">
        <v>420.00004966514177</v>
      </c>
      <c r="AR168" s="6">
        <v>3654.3494300000002</v>
      </c>
      <c r="AS168" s="6">
        <v>248.54256747762619</v>
      </c>
      <c r="AT168" s="6">
        <v>219.9436876879829</v>
      </c>
    </row>
    <row r="169" spans="1:46" x14ac:dyDescent="0.35">
      <c r="A169" s="5">
        <v>46022</v>
      </c>
      <c r="B169" s="4" t="s">
        <v>326</v>
      </c>
      <c r="C169" s="4" t="s">
        <v>327</v>
      </c>
      <c r="D169" s="4" t="s">
        <v>213</v>
      </c>
      <c r="E169" s="6">
        <v>8450</v>
      </c>
      <c r="F169" s="7">
        <v>2.2757999999999998</v>
      </c>
      <c r="G169" s="6">
        <v>78</v>
      </c>
      <c r="H169" s="6">
        <v>150</v>
      </c>
      <c r="I169" s="6">
        <v>100</v>
      </c>
      <c r="J169" s="6">
        <v>150</v>
      </c>
      <c r="K169" s="8">
        <v>73.754712788792602</v>
      </c>
      <c r="L169" s="6">
        <v>18.132523289060391</v>
      </c>
      <c r="M169" s="6">
        <v>20.10263754953413</v>
      </c>
      <c r="N169" s="6">
        <v>4.7496694227782568</v>
      </c>
      <c r="O169" s="6">
        <v>36.01963107576502</v>
      </c>
      <c r="P169" s="6">
        <v>79.004461337137798</v>
      </c>
      <c r="Q169" s="6">
        <v>4.0961383486933052</v>
      </c>
      <c r="R169" s="6">
        <v>24.982669057759079</v>
      </c>
      <c r="S169" s="6">
        <v>62.485825641271788</v>
      </c>
      <c r="T169" s="6">
        <v>44.846402424621978</v>
      </c>
      <c r="U169" s="6">
        <v>136.41103547234621</v>
      </c>
      <c r="V169" s="6">
        <v>215.41549680948401</v>
      </c>
      <c r="W169" s="6">
        <v>11.793401619999999</v>
      </c>
      <c r="X169" s="6">
        <v>0</v>
      </c>
      <c r="Y169" s="6">
        <v>227.20889842948401</v>
      </c>
      <c r="Z169" s="6">
        <v>30.315814725640749</v>
      </c>
      <c r="AA169" s="6">
        <v>257.52471315512469</v>
      </c>
      <c r="AB169" s="6">
        <v>1.049423080119823</v>
      </c>
      <c r="AC169" s="6">
        <v>121.55474251885229</v>
      </c>
      <c r="AD169" s="6">
        <v>0</v>
      </c>
      <c r="AE169" s="6">
        <v>0</v>
      </c>
      <c r="AF169" s="6">
        <v>380.12887875409677</v>
      </c>
      <c r="AG169" s="6">
        <v>2.1471920021693842</v>
      </c>
      <c r="AH169" s="6">
        <v>0</v>
      </c>
      <c r="AI169" s="6">
        <v>73.124620931720656</v>
      </c>
      <c r="AJ169" s="6">
        <v>333.8459491691346</v>
      </c>
      <c r="AK169" s="6">
        <v>0</v>
      </c>
      <c r="AL169" s="6">
        <v>0</v>
      </c>
      <c r="AM169" s="6">
        <v>0</v>
      </c>
      <c r="AN169" s="6">
        <v>0</v>
      </c>
      <c r="AO169" s="6">
        <v>0</v>
      </c>
      <c r="AP169" s="6">
        <v>333.8459491691346</v>
      </c>
      <c r="AQ169" s="6">
        <v>419.99999964779192</v>
      </c>
      <c r="AR169" s="6">
        <v>1977.91065</v>
      </c>
      <c r="AS169" s="6">
        <v>192.791101218308</v>
      </c>
      <c r="AT169" s="6">
        <v>162.47528649266721</v>
      </c>
    </row>
    <row r="170" spans="1:46" x14ac:dyDescent="0.35">
      <c r="A170" s="5">
        <v>46022</v>
      </c>
      <c r="B170" s="4" t="s">
        <v>328</v>
      </c>
      <c r="C170" s="4" t="s">
        <v>329</v>
      </c>
      <c r="D170" s="4" t="s">
        <v>89</v>
      </c>
      <c r="E170" s="6">
        <v>1184.6844000000001</v>
      </c>
      <c r="F170" s="7">
        <v>1.02</v>
      </c>
      <c r="G170" s="6">
        <v>93.1</v>
      </c>
      <c r="H170" s="6">
        <v>11.25</v>
      </c>
      <c r="I170" s="6">
        <v>97</v>
      </c>
      <c r="J170" s="6">
        <v>10.9125</v>
      </c>
      <c r="K170" s="8">
        <v>89.423246090609709</v>
      </c>
      <c r="L170" s="6">
        <v>118.34010638579311</v>
      </c>
      <c r="M170" s="6">
        <v>11.45140542275205</v>
      </c>
      <c r="N170" s="6">
        <v>8.4845045840580955</v>
      </c>
      <c r="O170" s="6">
        <v>50.2981163142829</v>
      </c>
      <c r="P170" s="6">
        <v>188.57413270688619</v>
      </c>
      <c r="Q170" s="6">
        <v>71.060151650467091</v>
      </c>
      <c r="R170" s="6">
        <v>16.266057571809249</v>
      </c>
      <c r="S170" s="6">
        <v>24.015852767379648</v>
      </c>
      <c r="T170" s="6">
        <v>53.040339139882263</v>
      </c>
      <c r="U170" s="6">
        <v>164.38240112953821</v>
      </c>
      <c r="V170" s="6">
        <v>352.9565338364244</v>
      </c>
      <c r="W170" s="6">
        <v>21.498673113914609</v>
      </c>
      <c r="X170" s="6">
        <v>23.457766852811169</v>
      </c>
      <c r="Y170" s="6">
        <v>397.91297380315018</v>
      </c>
      <c r="Z170" s="6">
        <v>20.569890980253149</v>
      </c>
      <c r="AA170" s="6">
        <v>418.48286478340339</v>
      </c>
      <c r="AB170" s="6">
        <v>0</v>
      </c>
      <c r="AC170" s="6">
        <v>59.425148142969597</v>
      </c>
      <c r="AD170" s="6">
        <v>0</v>
      </c>
      <c r="AE170" s="6">
        <v>0</v>
      </c>
      <c r="AF170" s="6">
        <v>477.90801292637292</v>
      </c>
      <c r="AG170" s="6">
        <v>5.1053733356302793</v>
      </c>
      <c r="AH170" s="6">
        <v>0</v>
      </c>
      <c r="AI170" s="6">
        <v>9.4823430451692658</v>
      </c>
      <c r="AJ170" s="6">
        <v>433.07058116420291</v>
      </c>
      <c r="AK170" s="6">
        <v>0</v>
      </c>
      <c r="AL170" s="6">
        <v>0</v>
      </c>
      <c r="AM170" s="6">
        <v>0</v>
      </c>
      <c r="AN170" s="6">
        <v>0</v>
      </c>
      <c r="AO170" s="6">
        <v>0</v>
      </c>
      <c r="AP170" s="6">
        <v>433.07058116420291</v>
      </c>
      <c r="AQ170" s="6">
        <v>419.99999964779198</v>
      </c>
      <c r="AR170" s="6">
        <v>112.797556</v>
      </c>
      <c r="AS170" s="6">
        <v>22.087025844641751</v>
      </c>
      <c r="AT170" s="6">
        <v>1.517134864388604</v>
      </c>
    </row>
    <row r="171" spans="1:46" x14ac:dyDescent="0.35">
      <c r="A171" s="5">
        <v>46022</v>
      </c>
      <c r="B171" s="4" t="s">
        <v>744</v>
      </c>
      <c r="C171" s="4" t="s">
        <v>745</v>
      </c>
      <c r="D171" s="4" t="s">
        <v>122</v>
      </c>
      <c r="E171" s="6">
        <v>30023.808593999998</v>
      </c>
      <c r="F171" s="7">
        <v>0.65410000000000001</v>
      </c>
      <c r="G171" s="6">
        <v>78.926308000000006</v>
      </c>
      <c r="H171" s="6">
        <v>155</v>
      </c>
      <c r="I171" s="6">
        <v>97</v>
      </c>
      <c r="J171" s="6">
        <v>150.35000600000001</v>
      </c>
      <c r="K171" s="8">
        <v>86.745905983941753</v>
      </c>
      <c r="L171" s="6">
        <v>4.5464609638985003</v>
      </c>
      <c r="M171" s="6">
        <v>4.4642497200985138</v>
      </c>
      <c r="N171" s="6">
        <v>1.1229069677125401</v>
      </c>
      <c r="O171" s="6">
        <v>44.432389105104129</v>
      </c>
      <c r="P171" s="6">
        <v>54.566006756813678</v>
      </c>
      <c r="Q171" s="6">
        <v>4.9067970536705623</v>
      </c>
      <c r="R171" s="6">
        <v>10.67069956843722</v>
      </c>
      <c r="S171" s="6">
        <v>25.46917659861726</v>
      </c>
      <c r="T171" s="6">
        <v>18.643895017868299</v>
      </c>
      <c r="U171" s="6">
        <v>59.69056823859335</v>
      </c>
      <c r="V171" s="6">
        <v>114.25657499540699</v>
      </c>
      <c r="W171" s="6">
        <v>7.4499529963208664</v>
      </c>
      <c r="X171" s="6">
        <v>28.996548808383132</v>
      </c>
      <c r="Y171" s="6">
        <v>150.70307680011101</v>
      </c>
      <c r="Z171" s="6">
        <v>52.338028455816207</v>
      </c>
      <c r="AA171" s="6">
        <v>203.04110525592719</v>
      </c>
      <c r="AB171" s="6">
        <v>0</v>
      </c>
      <c r="AC171" s="6">
        <v>44.20399476612738</v>
      </c>
      <c r="AD171" s="6">
        <v>0</v>
      </c>
      <c r="AE171" s="6">
        <v>0</v>
      </c>
      <c r="AF171" s="6">
        <v>247.2451000220546</v>
      </c>
      <c r="AG171" s="6">
        <v>5.3883073596942337</v>
      </c>
      <c r="AH171" s="6">
        <v>0</v>
      </c>
      <c r="AI171" s="6">
        <v>22.480275317317808</v>
      </c>
      <c r="AJ171" s="6">
        <v>230.90968793293931</v>
      </c>
      <c r="AK171" s="6">
        <v>0</v>
      </c>
      <c r="AL171" s="6">
        <v>0</v>
      </c>
      <c r="AM171" s="6">
        <v>0</v>
      </c>
      <c r="AN171" s="6">
        <v>0</v>
      </c>
      <c r="AO171" s="6">
        <v>0</v>
      </c>
      <c r="AP171" s="6">
        <v>230.90968793293931</v>
      </c>
      <c r="AQ171" s="6">
        <v>419.99999964779192</v>
      </c>
      <c r="AR171" s="6">
        <v>1600.5811000000001</v>
      </c>
      <c r="AS171" s="6">
        <v>269.29692284768089</v>
      </c>
      <c r="AT171" s="6">
        <v>216.9588943918647</v>
      </c>
    </row>
    <row r="172" spans="1:46" x14ac:dyDescent="0.35">
      <c r="A172" s="5">
        <v>46022</v>
      </c>
      <c r="B172" s="4" t="s">
        <v>330</v>
      </c>
      <c r="C172" s="4" t="s">
        <v>331</v>
      </c>
      <c r="D172" s="4" t="s">
        <v>122</v>
      </c>
      <c r="E172" s="6">
        <v>2976.1904300000001</v>
      </c>
      <c r="F172" s="7">
        <v>1.2</v>
      </c>
      <c r="G172" s="6">
        <v>70</v>
      </c>
      <c r="H172" s="6">
        <v>25</v>
      </c>
      <c r="I172" s="6">
        <v>100</v>
      </c>
      <c r="J172" s="6">
        <v>25</v>
      </c>
      <c r="K172" s="8">
        <v>100</v>
      </c>
      <c r="L172" s="6">
        <v>0</v>
      </c>
      <c r="M172" s="6">
        <v>0</v>
      </c>
      <c r="N172" s="6">
        <v>0</v>
      </c>
      <c r="O172" s="6">
        <v>0</v>
      </c>
      <c r="P172" s="6">
        <v>0</v>
      </c>
      <c r="Q172" s="6">
        <v>35.83473004340037</v>
      </c>
      <c r="R172" s="6">
        <v>30.580261073358091</v>
      </c>
      <c r="S172" s="6">
        <v>9.1371622643217822</v>
      </c>
      <c r="T172" s="6">
        <v>34.331537373582648</v>
      </c>
      <c r="U172" s="6">
        <v>109.88369075466289</v>
      </c>
      <c r="V172" s="6">
        <v>109.88369075466289</v>
      </c>
      <c r="W172" s="6">
        <v>1.1339809249999999</v>
      </c>
      <c r="X172" s="6">
        <v>0</v>
      </c>
      <c r="Y172" s="6">
        <v>111.0176716796629</v>
      </c>
      <c r="Z172" s="6">
        <v>52.478053377640229</v>
      </c>
      <c r="AA172" s="6">
        <v>163.4957250573031</v>
      </c>
      <c r="AB172" s="6">
        <v>0</v>
      </c>
      <c r="AC172" s="6">
        <v>49.974785644422191</v>
      </c>
      <c r="AD172" s="6">
        <v>0</v>
      </c>
      <c r="AE172" s="6">
        <v>0</v>
      </c>
      <c r="AF172" s="6">
        <v>213.47051070172529</v>
      </c>
      <c r="AG172" s="6">
        <v>6.0917501861883903</v>
      </c>
      <c r="AH172" s="6">
        <v>0</v>
      </c>
      <c r="AI172" s="6">
        <v>21.023382004027329</v>
      </c>
      <c r="AJ172" s="6">
        <v>190.61085724751879</v>
      </c>
      <c r="AK172" s="6">
        <v>0</v>
      </c>
      <c r="AL172" s="6">
        <v>0</v>
      </c>
      <c r="AM172" s="6">
        <v>0</v>
      </c>
      <c r="AN172" s="6">
        <v>0</v>
      </c>
      <c r="AO172" s="6">
        <v>0</v>
      </c>
      <c r="AP172" s="6">
        <v>190.61085724751879</v>
      </c>
      <c r="AQ172" s="6">
        <v>419.99999964779192</v>
      </c>
      <c r="AR172" s="6">
        <v>231.48537099999999</v>
      </c>
      <c r="AS172" s="6">
        <v>308.98232796812908</v>
      </c>
      <c r="AT172" s="6">
        <v>256.50427459048882</v>
      </c>
    </row>
    <row r="173" spans="1:46" x14ac:dyDescent="0.35">
      <c r="A173" s="5">
        <v>46022</v>
      </c>
      <c r="B173" s="4" t="s">
        <v>746</v>
      </c>
      <c r="C173" s="4" t="s">
        <v>747</v>
      </c>
      <c r="D173" s="4" t="s">
        <v>748</v>
      </c>
      <c r="E173" s="6">
        <v>650</v>
      </c>
      <c r="F173" s="7">
        <v>0.36</v>
      </c>
      <c r="G173" s="6">
        <v>79.099999999999994</v>
      </c>
      <c r="H173" s="6">
        <v>1.851</v>
      </c>
      <c r="I173" s="6">
        <v>94.634146000000001</v>
      </c>
      <c r="J173" s="6">
        <v>1.7516210000000001</v>
      </c>
      <c r="K173" s="8">
        <v>15.574983223307953</v>
      </c>
      <c r="L173" s="6">
        <v>36.277290791086763</v>
      </c>
      <c r="M173" s="6">
        <v>5.7145625465477368</v>
      </c>
      <c r="N173" s="6">
        <v>11.97916051073198</v>
      </c>
      <c r="O173" s="6">
        <v>69.270075086044557</v>
      </c>
      <c r="P173" s="6">
        <v>123.241088934411</v>
      </c>
      <c r="Q173" s="6">
        <v>17.513349065507938</v>
      </c>
      <c r="R173" s="6">
        <v>30.138901926969041</v>
      </c>
      <c r="S173" s="6">
        <v>7.5656275997895808</v>
      </c>
      <c r="T173" s="6">
        <v>38.376878345847153</v>
      </c>
      <c r="U173" s="6">
        <v>93.594756938113704</v>
      </c>
      <c r="V173" s="6">
        <v>216.83584587252469</v>
      </c>
      <c r="W173" s="6">
        <v>2.7329008523928899</v>
      </c>
      <c r="X173" s="6">
        <v>11.61177851038469</v>
      </c>
      <c r="Y173" s="6">
        <v>231.1805252353023</v>
      </c>
      <c r="Z173" s="6">
        <v>25.791247463995429</v>
      </c>
      <c r="AA173" s="6">
        <v>256.97177269929779</v>
      </c>
      <c r="AB173" s="6">
        <v>2.2420767950664779</v>
      </c>
      <c r="AC173" s="6">
        <v>33.334900562449398</v>
      </c>
      <c r="AD173" s="6">
        <v>0</v>
      </c>
      <c r="AE173" s="6">
        <v>0</v>
      </c>
      <c r="AF173" s="6">
        <v>292.54875005681362</v>
      </c>
      <c r="AG173" s="6">
        <v>27.544835916239911</v>
      </c>
      <c r="AH173" s="6">
        <v>0</v>
      </c>
      <c r="AI173" s="6">
        <v>27.69998748784343</v>
      </c>
      <c r="AJ173" s="6">
        <v>314.45867289844762</v>
      </c>
      <c r="AK173" s="6">
        <v>0</v>
      </c>
      <c r="AL173" s="6">
        <v>0</v>
      </c>
      <c r="AM173" s="6">
        <v>0</v>
      </c>
      <c r="AN173" s="6">
        <v>0</v>
      </c>
      <c r="AO173" s="6">
        <v>0</v>
      </c>
      <c r="AP173" s="6">
        <v>314.45867289844762</v>
      </c>
      <c r="AQ173" s="6">
        <v>419.99496431195581</v>
      </c>
      <c r="AR173" s="6">
        <v>104.744938</v>
      </c>
      <c r="AS173" s="6">
        <v>188.81443907665351</v>
      </c>
      <c r="AT173" s="6">
        <v>163.023191612658</v>
      </c>
    </row>
    <row r="174" spans="1:46" x14ac:dyDescent="0.35">
      <c r="A174" s="5">
        <v>46022</v>
      </c>
      <c r="B174" s="4" t="s">
        <v>332</v>
      </c>
      <c r="C174" s="4" t="s">
        <v>333</v>
      </c>
      <c r="D174" s="4" t="s">
        <v>69</v>
      </c>
      <c r="E174" s="6">
        <v>5033.2</v>
      </c>
      <c r="F174" s="7">
        <v>0.88859999999999995</v>
      </c>
      <c r="G174" s="6">
        <v>85</v>
      </c>
      <c r="H174" s="6">
        <v>38.015000000000001</v>
      </c>
      <c r="I174" s="6">
        <v>97</v>
      </c>
      <c r="J174" s="6">
        <v>36.874133</v>
      </c>
      <c r="K174" s="8">
        <v>78.74528510777246</v>
      </c>
      <c r="L174" s="6">
        <v>0.1103650441363659</v>
      </c>
      <c r="M174" s="6">
        <v>26.4119537143911</v>
      </c>
      <c r="N174" s="6">
        <v>0.31727329647118202</v>
      </c>
      <c r="O174" s="6">
        <v>6.257030556556674</v>
      </c>
      <c r="P174" s="6">
        <v>33.096622611555333</v>
      </c>
      <c r="Q174" s="6">
        <v>9.4085992920598535E-2</v>
      </c>
      <c r="R174" s="6">
        <v>0.2593044677932923</v>
      </c>
      <c r="S174" s="6">
        <v>2.3086463866572839</v>
      </c>
      <c r="T174" s="6">
        <v>4.3239773258024403</v>
      </c>
      <c r="U174" s="6">
        <v>6.9860141731736149</v>
      </c>
      <c r="V174" s="6">
        <v>40.08263678472894</v>
      </c>
      <c r="W174" s="6">
        <v>29.565063033861112</v>
      </c>
      <c r="X174" s="6">
        <v>34.08269353617905</v>
      </c>
      <c r="Y174" s="6">
        <v>103.73039335476911</v>
      </c>
      <c r="Z174" s="6">
        <v>0</v>
      </c>
      <c r="AA174" s="6">
        <v>103.73039335476911</v>
      </c>
      <c r="AB174" s="6">
        <v>0</v>
      </c>
      <c r="AC174" s="6">
        <v>36.865834834111368</v>
      </c>
      <c r="AD174" s="6">
        <v>0</v>
      </c>
      <c r="AE174" s="6">
        <v>0</v>
      </c>
      <c r="AF174" s="6">
        <v>140.5962281888805</v>
      </c>
      <c r="AG174" s="6">
        <v>4.5402268965348043</v>
      </c>
      <c r="AH174" s="6">
        <v>0</v>
      </c>
      <c r="AI174" s="6">
        <v>26.935759855307431</v>
      </c>
      <c r="AJ174" s="6">
        <v>135.20638010661131</v>
      </c>
      <c r="AK174" s="6">
        <v>0</v>
      </c>
      <c r="AL174" s="6">
        <v>0</v>
      </c>
      <c r="AM174" s="6">
        <v>0</v>
      </c>
      <c r="AN174" s="6">
        <v>0</v>
      </c>
      <c r="AO174" s="6">
        <v>0</v>
      </c>
      <c r="AP174" s="6">
        <v>135.20638010661131</v>
      </c>
      <c r="AQ174" s="6">
        <v>419.99962377454801</v>
      </c>
      <c r="AR174" s="6">
        <v>433.38461799999999</v>
      </c>
      <c r="AS174" s="6">
        <v>316.26923041977892</v>
      </c>
      <c r="AT174" s="6">
        <v>316.26923041977892</v>
      </c>
    </row>
    <row r="175" spans="1:46" x14ac:dyDescent="0.35">
      <c r="A175" s="5">
        <v>46022</v>
      </c>
      <c r="B175" s="4" t="s">
        <v>749</v>
      </c>
      <c r="C175" s="4" t="s">
        <v>750</v>
      </c>
      <c r="D175" s="4" t="s">
        <v>69</v>
      </c>
      <c r="E175" s="6">
        <v>17000</v>
      </c>
      <c r="F175" s="7">
        <v>0.1454</v>
      </c>
      <c r="G175" s="6">
        <v>91.87</v>
      </c>
      <c r="H175" s="6">
        <v>22.71</v>
      </c>
      <c r="I175" s="6">
        <v>86.326150999999996</v>
      </c>
      <c r="J175" s="6">
        <v>19.604866999999999</v>
      </c>
      <c r="K175" s="8">
        <v>9.4453610810967863</v>
      </c>
      <c r="L175" s="6">
        <v>14.38533331109919</v>
      </c>
      <c r="M175" s="6">
        <v>24.307918605438481</v>
      </c>
      <c r="N175" s="6">
        <v>3.4697193491915108</v>
      </c>
      <c r="O175" s="6">
        <v>25.026082632313731</v>
      </c>
      <c r="P175" s="6">
        <v>67.189053898042914</v>
      </c>
      <c r="Q175" s="6">
        <v>3.5403840740127519</v>
      </c>
      <c r="R175" s="6">
        <v>33.099381625862179</v>
      </c>
      <c r="S175" s="6">
        <v>7.6957752738907343</v>
      </c>
      <c r="T175" s="6">
        <v>15.365767823936279</v>
      </c>
      <c r="U175" s="6">
        <v>59.701308797701948</v>
      </c>
      <c r="V175" s="6">
        <v>126.8903626957449</v>
      </c>
      <c r="W175" s="6">
        <v>4.9236925785832719</v>
      </c>
      <c r="X175" s="6">
        <v>17.877402732372278</v>
      </c>
      <c r="Y175" s="6">
        <v>149.6914580067004</v>
      </c>
      <c r="Z175" s="6">
        <v>24.235405422496481</v>
      </c>
      <c r="AA175" s="6">
        <v>173.92686342919691</v>
      </c>
      <c r="AB175" s="6">
        <v>0</v>
      </c>
      <c r="AC175" s="6">
        <v>100.14281514543821</v>
      </c>
      <c r="AD175" s="6">
        <v>0</v>
      </c>
      <c r="AE175" s="6">
        <v>0</v>
      </c>
      <c r="AF175" s="6">
        <v>274.06967857463508</v>
      </c>
      <c r="AG175" s="6">
        <v>3.987680896917821</v>
      </c>
      <c r="AH175" s="6">
        <v>0</v>
      </c>
      <c r="AI175" s="6">
        <v>61.203419948156579</v>
      </c>
      <c r="AJ175" s="6">
        <v>239.11796427427129</v>
      </c>
      <c r="AK175" s="6">
        <v>0</v>
      </c>
      <c r="AL175" s="6">
        <v>0</v>
      </c>
      <c r="AM175" s="6">
        <v>0</v>
      </c>
      <c r="AN175" s="6">
        <v>0</v>
      </c>
      <c r="AO175" s="6">
        <v>0</v>
      </c>
      <c r="AP175" s="6">
        <v>239.11796427427129</v>
      </c>
      <c r="AQ175" s="6">
        <v>419.99856428993019</v>
      </c>
      <c r="AR175" s="6">
        <v>1935.1529089999999</v>
      </c>
      <c r="AS175" s="6">
        <v>270.30710628322981</v>
      </c>
      <c r="AT175" s="6">
        <v>246.07170086073339</v>
      </c>
    </row>
    <row r="176" spans="1:46" x14ac:dyDescent="0.35">
      <c r="A176" s="5">
        <v>46022</v>
      </c>
      <c r="B176" s="4" t="s">
        <v>436</v>
      </c>
      <c r="C176" s="4" t="s">
        <v>437</v>
      </c>
      <c r="D176" s="4" t="s">
        <v>438</v>
      </c>
      <c r="E176" s="6">
        <v>10033.333333</v>
      </c>
      <c r="F176" s="7">
        <v>0.26</v>
      </c>
      <c r="G176" s="6">
        <v>89.45</v>
      </c>
      <c r="H176" s="6">
        <v>23.332999999999998</v>
      </c>
      <c r="I176" s="6">
        <v>97</v>
      </c>
      <c r="J176" s="6">
        <v>22.633333</v>
      </c>
      <c r="K176" s="8">
        <v>51.585732433039283</v>
      </c>
      <c r="L176" s="6">
        <v>8.1835982783483914</v>
      </c>
      <c r="M176" s="6">
        <v>4.343933690765799</v>
      </c>
      <c r="N176" s="6">
        <v>0.45191805589809653</v>
      </c>
      <c r="O176" s="6">
        <v>11.3038845852961</v>
      </c>
      <c r="P176" s="6">
        <v>24.28333461030839</v>
      </c>
      <c r="Q176" s="6">
        <v>3.5072712231579111</v>
      </c>
      <c r="R176" s="6">
        <v>9.1795025287819207</v>
      </c>
      <c r="S176" s="6">
        <v>12.074120243549149</v>
      </c>
      <c r="T176" s="6">
        <v>5.6255645012380961</v>
      </c>
      <c r="U176" s="6">
        <v>30.38645849672708</v>
      </c>
      <c r="V176" s="6">
        <v>54.669793107035467</v>
      </c>
      <c r="W176" s="6">
        <v>15.440667014689691</v>
      </c>
      <c r="X176" s="6">
        <v>22.162475643216471</v>
      </c>
      <c r="Y176" s="6">
        <v>92.272935764941636</v>
      </c>
      <c r="Z176" s="6">
        <v>0</v>
      </c>
      <c r="AA176" s="6">
        <v>92.272935764941636</v>
      </c>
      <c r="AB176" s="6">
        <v>0</v>
      </c>
      <c r="AC176" s="6">
        <v>8.7738882325590257</v>
      </c>
      <c r="AD176" s="6">
        <v>0</v>
      </c>
      <c r="AE176" s="6">
        <v>0</v>
      </c>
      <c r="AF176" s="6">
        <v>101.0468239975007</v>
      </c>
      <c r="AG176" s="6">
        <v>6.7198642409814253</v>
      </c>
      <c r="AH176" s="6">
        <v>0</v>
      </c>
      <c r="AI176" s="6">
        <v>115.8205151718718</v>
      </c>
      <c r="AJ176" s="6">
        <v>214.81331517779481</v>
      </c>
      <c r="AK176" s="6">
        <v>11.00054517043464</v>
      </c>
      <c r="AL176" s="6">
        <v>0</v>
      </c>
      <c r="AM176" s="6">
        <v>0</v>
      </c>
      <c r="AN176" s="6">
        <v>0</v>
      </c>
      <c r="AO176" s="6">
        <v>0</v>
      </c>
      <c r="AP176" s="6">
        <v>225.81386034822941</v>
      </c>
      <c r="AQ176" s="6">
        <v>419.99938727664937</v>
      </c>
      <c r="AR176" s="6">
        <v>456.94987500000002</v>
      </c>
      <c r="AS176" s="6">
        <v>327.72645151170781</v>
      </c>
      <c r="AT176" s="6">
        <v>327.72645151170781</v>
      </c>
    </row>
    <row r="177" spans="1:46" x14ac:dyDescent="0.35">
      <c r="A177" s="5">
        <v>46022</v>
      </c>
      <c r="B177" s="4" t="s">
        <v>751</v>
      </c>
      <c r="C177" s="4" t="s">
        <v>752</v>
      </c>
      <c r="D177" s="4" t="s">
        <v>753</v>
      </c>
      <c r="E177" s="6">
        <v>30500</v>
      </c>
      <c r="F177" s="7">
        <v>1.52</v>
      </c>
      <c r="G177" s="6">
        <v>89</v>
      </c>
      <c r="H177" s="6">
        <v>412.60399999999998</v>
      </c>
      <c r="I177" s="6">
        <v>95.111110999999994</v>
      </c>
      <c r="J177" s="6">
        <v>392.43224900000001</v>
      </c>
      <c r="K177" s="8">
        <v>71.74022508445853</v>
      </c>
      <c r="L177" s="6">
        <v>67.528273908758777</v>
      </c>
      <c r="M177" s="6">
        <v>1.6768296498076649</v>
      </c>
      <c r="N177" s="6">
        <v>7.2344816588333902</v>
      </c>
      <c r="O177" s="6">
        <v>71.662420459717097</v>
      </c>
      <c r="P177" s="6">
        <v>148.10200567711689</v>
      </c>
      <c r="Q177" s="6">
        <v>8.8625837578435895</v>
      </c>
      <c r="R177" s="6">
        <v>8.8088546183040162</v>
      </c>
      <c r="S177" s="6">
        <v>12.969738039054651</v>
      </c>
      <c r="T177" s="6">
        <v>20.46794519057169</v>
      </c>
      <c r="U177" s="6">
        <v>51.109121605773943</v>
      </c>
      <c r="V177" s="6">
        <v>199.21112728289091</v>
      </c>
      <c r="W177" s="6">
        <v>1.2419786228917371</v>
      </c>
      <c r="X177" s="6">
        <v>48.203346315015708</v>
      </c>
      <c r="Y177" s="6">
        <v>248.65645222079829</v>
      </c>
      <c r="Z177" s="6">
        <v>81.489847516241468</v>
      </c>
      <c r="AA177" s="6">
        <v>330.14629973703978</v>
      </c>
      <c r="AB177" s="6">
        <v>0</v>
      </c>
      <c r="AC177" s="6">
        <v>40.496442207699751</v>
      </c>
      <c r="AD177" s="6">
        <v>0</v>
      </c>
      <c r="AE177" s="6">
        <v>0</v>
      </c>
      <c r="AF177" s="6">
        <v>370.6427419447395</v>
      </c>
      <c r="AG177" s="6">
        <v>9.9597218701455628</v>
      </c>
      <c r="AH177" s="6">
        <v>0</v>
      </c>
      <c r="AI177" s="6">
        <v>43.604877500420123</v>
      </c>
      <c r="AJ177" s="6">
        <v>383.71089910760548</v>
      </c>
      <c r="AK177" s="6">
        <v>14.925753535592181</v>
      </c>
      <c r="AL177" s="6">
        <v>0</v>
      </c>
      <c r="AM177" s="6">
        <v>0</v>
      </c>
      <c r="AN177" s="6">
        <v>0</v>
      </c>
      <c r="AO177" s="6">
        <v>0</v>
      </c>
      <c r="AP177" s="6">
        <v>398.63665264319769</v>
      </c>
      <c r="AQ177" s="6">
        <v>419.9999472056187</v>
      </c>
      <c r="AR177" s="6">
        <v>5048.7688369999996</v>
      </c>
      <c r="AS177" s="6">
        <v>171.34349498482041</v>
      </c>
      <c r="AT177" s="6">
        <v>89.853647468578899</v>
      </c>
    </row>
    <row r="178" spans="1:46" x14ac:dyDescent="0.35">
      <c r="A178" s="5">
        <v>46022</v>
      </c>
      <c r="B178" s="4" t="s">
        <v>439</v>
      </c>
      <c r="C178" s="4" t="s">
        <v>440</v>
      </c>
      <c r="D178" s="4" t="s">
        <v>441</v>
      </c>
      <c r="E178" s="6">
        <v>3295.5065970000001</v>
      </c>
      <c r="F178" s="7">
        <v>1.5218</v>
      </c>
      <c r="G178" s="6">
        <v>86.5</v>
      </c>
      <c r="H178" s="6">
        <v>43.377000000000002</v>
      </c>
      <c r="I178" s="6">
        <v>98.107014000000007</v>
      </c>
      <c r="J178" s="6">
        <v>42.555880000000002</v>
      </c>
      <c r="K178" s="8">
        <v>92.066584691410895</v>
      </c>
      <c r="L178" s="6">
        <v>36.975361447980561</v>
      </c>
      <c r="M178" s="6">
        <v>77.367662403305332</v>
      </c>
      <c r="N178" s="6">
        <v>23.218541033979658</v>
      </c>
      <c r="O178" s="6">
        <v>20.917384394918368</v>
      </c>
      <c r="P178" s="6">
        <v>158.47894928018391</v>
      </c>
      <c r="Q178" s="6">
        <v>6.8622146942118851</v>
      </c>
      <c r="R178" s="6">
        <v>6.4367461549717859</v>
      </c>
      <c r="S178" s="6">
        <v>13.52629630495395</v>
      </c>
      <c r="T178" s="6">
        <v>10.26981138277692</v>
      </c>
      <c r="U178" s="6">
        <v>37.095068536914553</v>
      </c>
      <c r="V178" s="6">
        <v>195.57401781709851</v>
      </c>
      <c r="W178" s="6">
        <v>0.40688456634826559</v>
      </c>
      <c r="X178" s="6">
        <v>21.30785065477923</v>
      </c>
      <c r="Y178" s="6">
        <v>217.28875303822599</v>
      </c>
      <c r="Z178" s="6">
        <v>12.82953346988012</v>
      </c>
      <c r="AA178" s="6">
        <v>230.11828650810611</v>
      </c>
      <c r="AB178" s="6">
        <v>2.8824390763975791</v>
      </c>
      <c r="AC178" s="6">
        <v>38.93172312248695</v>
      </c>
      <c r="AD178" s="6">
        <v>0</v>
      </c>
      <c r="AE178" s="6">
        <v>0</v>
      </c>
      <c r="AF178" s="6">
        <v>271.93244870699061</v>
      </c>
      <c r="AG178" s="6">
        <v>2.605831489467846</v>
      </c>
      <c r="AH178" s="6">
        <v>0</v>
      </c>
      <c r="AI178" s="6">
        <v>157.01031249809111</v>
      </c>
      <c r="AJ178" s="6">
        <v>392.61686957206263</v>
      </c>
      <c r="AK178" s="6">
        <v>186.44974791056779</v>
      </c>
      <c r="AL178" s="6">
        <v>0</v>
      </c>
      <c r="AM178" s="6">
        <v>0</v>
      </c>
      <c r="AN178" s="6">
        <v>0</v>
      </c>
      <c r="AO178" s="6">
        <v>0</v>
      </c>
      <c r="AP178" s="6">
        <v>579.06661748263036</v>
      </c>
      <c r="AQ178" s="6">
        <v>420.00019703532081</v>
      </c>
      <c r="AR178" s="6">
        <v>429.46698800000001</v>
      </c>
      <c r="AS178" s="6">
        <v>202.71144399709479</v>
      </c>
      <c r="AT178" s="6">
        <v>189.8819105272147</v>
      </c>
    </row>
    <row r="179" spans="1:46" x14ac:dyDescent="0.35">
      <c r="A179" s="5">
        <v>46022</v>
      </c>
      <c r="B179" s="4" t="s">
        <v>754</v>
      </c>
      <c r="C179" s="4" t="s">
        <v>755</v>
      </c>
      <c r="D179" s="4" t="s">
        <v>222</v>
      </c>
      <c r="E179" s="6">
        <v>1350</v>
      </c>
      <c r="F179" s="7">
        <v>1.5591999999999999</v>
      </c>
      <c r="G179" s="6">
        <v>95.01</v>
      </c>
      <c r="H179" s="6">
        <v>20</v>
      </c>
      <c r="I179" s="6">
        <v>97</v>
      </c>
      <c r="J179" s="6">
        <v>19.399999999999999</v>
      </c>
      <c r="K179" s="8">
        <v>66.930170925330401</v>
      </c>
      <c r="L179" s="6">
        <v>52.26170131161777</v>
      </c>
      <c r="M179" s="6">
        <v>9.5815398227392504E-2</v>
      </c>
      <c r="N179" s="6">
        <v>5.1667007411304322</v>
      </c>
      <c r="O179" s="6">
        <v>11.710245558310289</v>
      </c>
      <c r="P179" s="6">
        <v>69.234463009285875</v>
      </c>
      <c r="Q179" s="6">
        <v>24.075155729759381</v>
      </c>
      <c r="R179" s="6">
        <v>3.9680174483264201</v>
      </c>
      <c r="S179" s="6">
        <v>7.6028527678474358</v>
      </c>
      <c r="T179" s="6">
        <v>7.5930565866598787</v>
      </c>
      <c r="U179" s="6">
        <v>43.239082532593123</v>
      </c>
      <c r="V179" s="6">
        <v>112.47354554187901</v>
      </c>
      <c r="W179" s="6">
        <v>4.0268995163507517</v>
      </c>
      <c r="X179" s="6">
        <v>21.603525101319999</v>
      </c>
      <c r="Y179" s="6">
        <v>138.10397015954979</v>
      </c>
      <c r="Z179" s="6">
        <v>23.12910973782207</v>
      </c>
      <c r="AA179" s="6">
        <v>161.23307989737179</v>
      </c>
      <c r="AB179" s="6">
        <v>0</v>
      </c>
      <c r="AC179" s="6">
        <v>75.485582205633236</v>
      </c>
      <c r="AD179" s="6">
        <v>0</v>
      </c>
      <c r="AE179" s="6">
        <v>0</v>
      </c>
      <c r="AF179" s="6">
        <v>236.71866210300499</v>
      </c>
      <c r="AG179" s="6">
        <v>3.4427756628589679</v>
      </c>
      <c r="AH179" s="6">
        <v>0</v>
      </c>
      <c r="AI179" s="6">
        <v>19.915473683188441</v>
      </c>
      <c r="AJ179" s="6">
        <v>184.59132924341921</v>
      </c>
      <c r="AK179" s="6">
        <v>0</v>
      </c>
      <c r="AL179" s="6">
        <v>0</v>
      </c>
      <c r="AM179" s="6">
        <v>0</v>
      </c>
      <c r="AN179" s="6">
        <v>0</v>
      </c>
      <c r="AO179" s="6">
        <v>0</v>
      </c>
      <c r="AP179" s="6">
        <v>184.59132924341921</v>
      </c>
      <c r="AQ179" s="6">
        <v>419.99999964779198</v>
      </c>
      <c r="AR179" s="6">
        <v>274.80586</v>
      </c>
      <c r="AS179" s="6">
        <v>281.89602948824222</v>
      </c>
      <c r="AT179" s="6">
        <v>258.76691975042007</v>
      </c>
    </row>
    <row r="180" spans="1:46" x14ac:dyDescent="0.35">
      <c r="A180" s="5">
        <v>46022</v>
      </c>
      <c r="B180" s="4" t="s">
        <v>334</v>
      </c>
      <c r="C180" s="4" t="s">
        <v>335</v>
      </c>
      <c r="D180" s="4" t="s">
        <v>213</v>
      </c>
      <c r="E180" s="6">
        <v>4040</v>
      </c>
      <c r="F180" s="7">
        <v>2.5</v>
      </c>
      <c r="G180" s="6">
        <v>65.349999999999994</v>
      </c>
      <c r="H180" s="6">
        <v>66</v>
      </c>
      <c r="I180" s="6">
        <v>100</v>
      </c>
      <c r="J180" s="6">
        <v>66</v>
      </c>
      <c r="K180" s="8">
        <v>99.999999926256208</v>
      </c>
      <c r="L180" s="6">
        <v>28.4443139028315</v>
      </c>
      <c r="M180" s="6">
        <v>5.6828177083220082</v>
      </c>
      <c r="N180" s="6">
        <v>0.1497801865783131</v>
      </c>
      <c r="O180" s="6">
        <v>3.9786776357436722</v>
      </c>
      <c r="P180" s="6">
        <v>38.255589433475492</v>
      </c>
      <c r="Q180" s="6">
        <v>22.48241832086882</v>
      </c>
      <c r="R180" s="6">
        <v>110.71623393600269</v>
      </c>
      <c r="S180" s="6">
        <v>16.175868659007119</v>
      </c>
      <c r="T180" s="6">
        <v>48.080569941428799</v>
      </c>
      <c r="U180" s="6">
        <v>197.45509085730751</v>
      </c>
      <c r="V180" s="6">
        <v>235.71068029078299</v>
      </c>
      <c r="W180" s="6">
        <v>7.1341996331374222</v>
      </c>
      <c r="X180" s="6">
        <v>0</v>
      </c>
      <c r="Y180" s="6">
        <v>242.84487992392039</v>
      </c>
      <c r="Z180" s="6">
        <v>19.739963914787911</v>
      </c>
      <c r="AA180" s="6">
        <v>262.58484383870831</v>
      </c>
      <c r="AB180" s="6">
        <v>0</v>
      </c>
      <c r="AC180" s="6">
        <v>213.1332655976166</v>
      </c>
      <c r="AD180" s="6">
        <v>0</v>
      </c>
      <c r="AE180" s="6">
        <v>0</v>
      </c>
      <c r="AF180" s="6">
        <v>475.71810943632488</v>
      </c>
      <c r="AG180" s="6">
        <v>1.645782857609331</v>
      </c>
      <c r="AH180" s="6">
        <v>0</v>
      </c>
      <c r="AI180" s="6">
        <v>173.49774931997251</v>
      </c>
      <c r="AJ180" s="6">
        <v>437.7283760162901</v>
      </c>
      <c r="AK180" s="6">
        <v>0</v>
      </c>
      <c r="AL180" s="6">
        <v>0</v>
      </c>
      <c r="AM180" s="6">
        <v>0</v>
      </c>
      <c r="AN180" s="6">
        <v>0</v>
      </c>
      <c r="AO180" s="6">
        <v>0</v>
      </c>
      <c r="AP180" s="6">
        <v>437.7283760162901</v>
      </c>
      <c r="AQ180" s="6">
        <v>419.99999964779192</v>
      </c>
      <c r="AR180" s="6">
        <v>611.12139100000002</v>
      </c>
      <c r="AS180" s="6">
        <v>177.15511972387159</v>
      </c>
      <c r="AT180" s="6">
        <v>157.41515580908359</v>
      </c>
    </row>
    <row r="181" spans="1:46" x14ac:dyDescent="0.35">
      <c r="A181" s="5">
        <v>46022</v>
      </c>
      <c r="B181" s="4" t="s">
        <v>336</v>
      </c>
      <c r="C181" s="4" t="s">
        <v>337</v>
      </c>
      <c r="D181" s="4" t="s">
        <v>213</v>
      </c>
      <c r="E181" s="6">
        <v>2374.7782809999999</v>
      </c>
      <c r="F181" s="7">
        <v>1.3</v>
      </c>
      <c r="G181" s="6">
        <v>85</v>
      </c>
      <c r="H181" s="6">
        <v>26.241</v>
      </c>
      <c r="I181" s="6">
        <v>100</v>
      </c>
      <c r="J181" s="6">
        <v>26.241299999999999</v>
      </c>
      <c r="K181" s="8">
        <v>100</v>
      </c>
      <c r="L181" s="6">
        <v>31.952503791404752</v>
      </c>
      <c r="M181" s="6">
        <v>23.15272150372811</v>
      </c>
      <c r="N181" s="6">
        <v>0.9052225939944768</v>
      </c>
      <c r="O181" s="6">
        <v>16.88717825981664</v>
      </c>
      <c r="P181" s="6">
        <v>72.897626148943971</v>
      </c>
      <c r="Q181" s="6">
        <v>64.30669338710716</v>
      </c>
      <c r="R181" s="6">
        <v>47.557616558121723</v>
      </c>
      <c r="S181" s="6">
        <v>79.076264378673386</v>
      </c>
      <c r="T181" s="6">
        <v>34.214566888575909</v>
      </c>
      <c r="U181" s="6">
        <v>225.15514121247821</v>
      </c>
      <c r="V181" s="6">
        <v>298.05276736142213</v>
      </c>
      <c r="W181" s="6">
        <v>11.106717429700581</v>
      </c>
      <c r="X181" s="6">
        <v>0</v>
      </c>
      <c r="Y181" s="6">
        <v>309.15948479112268</v>
      </c>
      <c r="Z181" s="6">
        <v>22.798450048645591</v>
      </c>
      <c r="AA181" s="6">
        <v>331.95793483976831</v>
      </c>
      <c r="AB181" s="6">
        <v>0</v>
      </c>
      <c r="AC181" s="6">
        <v>84.779102684268693</v>
      </c>
      <c r="AD181" s="6">
        <v>0</v>
      </c>
      <c r="AE181" s="6">
        <v>0</v>
      </c>
      <c r="AF181" s="6">
        <v>416.73703752403702</v>
      </c>
      <c r="AG181" s="6">
        <v>17.285436465661601</v>
      </c>
      <c r="AH181" s="6">
        <v>0</v>
      </c>
      <c r="AI181" s="6">
        <v>34.570877036231543</v>
      </c>
      <c r="AJ181" s="6">
        <v>383.81424834166148</v>
      </c>
      <c r="AK181" s="6">
        <v>0</v>
      </c>
      <c r="AL181" s="6">
        <v>0</v>
      </c>
      <c r="AM181" s="6">
        <v>0</v>
      </c>
      <c r="AN181" s="6">
        <v>0</v>
      </c>
      <c r="AO181" s="6">
        <v>0</v>
      </c>
      <c r="AP181" s="6">
        <v>383.81424834166148</v>
      </c>
      <c r="AQ181" s="6">
        <v>419.99999964779198</v>
      </c>
      <c r="AR181" s="6">
        <v>242.97908699999999</v>
      </c>
      <c r="AS181" s="6">
        <v>110.8405148566692</v>
      </c>
      <c r="AT181" s="6">
        <v>88.042064808023639</v>
      </c>
    </row>
    <row r="182" spans="1:46" x14ac:dyDescent="0.35">
      <c r="A182" s="5">
        <v>46022</v>
      </c>
      <c r="B182" s="4" t="s">
        <v>269</v>
      </c>
      <c r="C182" s="4" t="s">
        <v>270</v>
      </c>
      <c r="D182" s="4" t="s">
        <v>213</v>
      </c>
      <c r="E182" s="6">
        <v>7673.1501129999997</v>
      </c>
      <c r="F182" s="7">
        <v>2.68</v>
      </c>
      <c r="G182" s="6">
        <v>85.1</v>
      </c>
      <c r="H182" s="6">
        <v>175</v>
      </c>
      <c r="I182" s="6">
        <v>100</v>
      </c>
      <c r="J182" s="6">
        <v>175</v>
      </c>
      <c r="K182" s="8">
        <v>70.457564290865463</v>
      </c>
      <c r="L182" s="6">
        <v>5.9102651242188609</v>
      </c>
      <c r="M182" s="6">
        <v>6.0355043019579178</v>
      </c>
      <c r="N182" s="6">
        <v>0.7515079336803322</v>
      </c>
      <c r="O182" s="6">
        <v>10.9112801414306</v>
      </c>
      <c r="P182" s="6">
        <v>23.60855750128772</v>
      </c>
      <c r="Q182" s="6">
        <v>3.688391454550747</v>
      </c>
      <c r="R182" s="6">
        <v>61.78065565489505</v>
      </c>
      <c r="S182" s="6">
        <v>7.2254838818713853</v>
      </c>
      <c r="T182" s="6">
        <v>4.829718134839041</v>
      </c>
      <c r="U182" s="6">
        <v>77.524249126156221</v>
      </c>
      <c r="V182" s="6">
        <v>101.1328066274439</v>
      </c>
      <c r="W182" s="6">
        <v>0</v>
      </c>
      <c r="X182" s="6">
        <v>0</v>
      </c>
      <c r="Y182" s="6">
        <v>101.1328066274439</v>
      </c>
      <c r="Z182" s="6">
        <v>42.892599268612543</v>
      </c>
      <c r="AA182" s="6">
        <v>144.0254058960565</v>
      </c>
      <c r="AB182" s="6">
        <v>2.7848390056621768</v>
      </c>
      <c r="AC182" s="6">
        <v>14.96969847754594</v>
      </c>
      <c r="AD182" s="6">
        <v>0</v>
      </c>
      <c r="AE182" s="6">
        <v>0</v>
      </c>
      <c r="AF182" s="6">
        <v>161.77994337926461</v>
      </c>
      <c r="AG182" s="6">
        <v>1.138884226254691</v>
      </c>
      <c r="AH182" s="6">
        <v>0</v>
      </c>
      <c r="AI182" s="6">
        <v>0.39850115922540269</v>
      </c>
      <c r="AJ182" s="6">
        <v>148.3476302871988</v>
      </c>
      <c r="AK182" s="6">
        <v>16.983932725907628</v>
      </c>
      <c r="AL182" s="6">
        <v>0</v>
      </c>
      <c r="AM182" s="6">
        <v>0</v>
      </c>
      <c r="AN182" s="6">
        <v>0</v>
      </c>
      <c r="AO182" s="6">
        <v>0</v>
      </c>
      <c r="AP182" s="6">
        <v>165.3315630131064</v>
      </c>
      <c r="AQ182" s="6">
        <v>419.99999964779192</v>
      </c>
      <c r="AR182" s="6">
        <v>2656.8439079999998</v>
      </c>
      <c r="AS182" s="6">
        <v>318.867193020348</v>
      </c>
      <c r="AT182" s="6">
        <v>275.97459375173548</v>
      </c>
    </row>
    <row r="183" spans="1:46" x14ac:dyDescent="0.35">
      <c r="A183" s="5">
        <v>46022</v>
      </c>
      <c r="B183" s="4" t="s">
        <v>338</v>
      </c>
      <c r="C183" s="4" t="s">
        <v>339</v>
      </c>
      <c r="D183" s="4" t="s">
        <v>213</v>
      </c>
      <c r="E183" s="6">
        <v>4039.5137890000001</v>
      </c>
      <c r="F183" s="7">
        <v>3.13</v>
      </c>
      <c r="G183" s="6">
        <v>87</v>
      </c>
      <c r="H183" s="6">
        <v>110</v>
      </c>
      <c r="I183" s="6">
        <v>97</v>
      </c>
      <c r="J183" s="6">
        <v>106.7</v>
      </c>
      <c r="K183" s="8">
        <v>99.616130914319598</v>
      </c>
      <c r="L183" s="6">
        <v>10.37529919530936</v>
      </c>
      <c r="M183" s="6">
        <v>25.527400484930251</v>
      </c>
      <c r="N183" s="6">
        <v>3.7916121189070271</v>
      </c>
      <c r="O183" s="6">
        <v>45.93287267174216</v>
      </c>
      <c r="P183" s="6">
        <v>85.627184470888807</v>
      </c>
      <c r="Q183" s="6">
        <v>6.0593980993417063</v>
      </c>
      <c r="R183" s="6">
        <v>5.637799187383397</v>
      </c>
      <c r="S183" s="6">
        <v>15.54466370041234</v>
      </c>
      <c r="T183" s="6">
        <v>20.18433187720051</v>
      </c>
      <c r="U183" s="6">
        <v>47.426192864337949</v>
      </c>
      <c r="V183" s="6">
        <v>133.05337733522671</v>
      </c>
      <c r="W183" s="6">
        <v>9.4487171162622037</v>
      </c>
      <c r="X183" s="6">
        <v>20.46989446696</v>
      </c>
      <c r="Y183" s="6">
        <v>162.97198891844889</v>
      </c>
      <c r="Z183" s="6">
        <v>14.710593403918031</v>
      </c>
      <c r="AA183" s="6">
        <v>177.68258232236701</v>
      </c>
      <c r="AB183" s="6">
        <v>0</v>
      </c>
      <c r="AC183" s="6">
        <v>22.3899837822621</v>
      </c>
      <c r="AD183" s="6">
        <v>0</v>
      </c>
      <c r="AE183" s="6">
        <v>0</v>
      </c>
      <c r="AF183" s="6">
        <v>200.07256610462909</v>
      </c>
      <c r="AG183" s="6">
        <v>2.0698813722106681</v>
      </c>
      <c r="AH183" s="6">
        <v>0</v>
      </c>
      <c r="AI183" s="6">
        <v>5.0464049983648529</v>
      </c>
      <c r="AJ183" s="6">
        <v>184.79886869294251</v>
      </c>
      <c r="AK183" s="6">
        <v>0</v>
      </c>
      <c r="AL183" s="6">
        <v>0</v>
      </c>
      <c r="AM183" s="6">
        <v>0</v>
      </c>
      <c r="AN183" s="6">
        <v>0</v>
      </c>
      <c r="AO183" s="6">
        <v>0</v>
      </c>
      <c r="AP183" s="6">
        <v>184.79886869294251</v>
      </c>
      <c r="AQ183" s="6">
        <v>419.99999964779192</v>
      </c>
      <c r="AR183" s="6">
        <v>992.50215700000001</v>
      </c>
      <c r="AS183" s="6">
        <v>257.02801072934301</v>
      </c>
      <c r="AT183" s="6">
        <v>242.317417325425</v>
      </c>
    </row>
    <row r="184" spans="1:46" x14ac:dyDescent="0.35">
      <c r="A184" s="5">
        <v>46022</v>
      </c>
      <c r="B184" s="4" t="s">
        <v>271</v>
      </c>
      <c r="C184" s="4" t="s">
        <v>272</v>
      </c>
      <c r="D184" s="4" t="s">
        <v>122</v>
      </c>
      <c r="E184" s="6">
        <v>1472.9825960000001</v>
      </c>
      <c r="F184" s="7">
        <v>3.1185999999999998</v>
      </c>
      <c r="G184" s="6">
        <v>76.900000000000006</v>
      </c>
      <c r="H184" s="6">
        <v>35.325000000000003</v>
      </c>
      <c r="I184" s="6">
        <v>97</v>
      </c>
      <c r="J184" s="6">
        <v>34.265250000000002</v>
      </c>
      <c r="K184" s="8">
        <v>100</v>
      </c>
      <c r="L184" s="6">
        <v>109.1133697189458</v>
      </c>
      <c r="M184" s="6">
        <v>3.9325867656585518</v>
      </c>
      <c r="N184" s="6">
        <v>149.41432128406319</v>
      </c>
      <c r="O184" s="6">
        <v>11.419850741158781</v>
      </c>
      <c r="P184" s="6">
        <v>273.88012850982631</v>
      </c>
      <c r="Q184" s="6">
        <v>14.48798823866967</v>
      </c>
      <c r="R184" s="6">
        <v>1.505928954033934</v>
      </c>
      <c r="S184" s="6">
        <v>13.82035471800533</v>
      </c>
      <c r="T184" s="6">
        <v>6.0306964117150592</v>
      </c>
      <c r="U184" s="6">
        <v>35.844968322423988</v>
      </c>
      <c r="V184" s="6">
        <v>309.7250968322503</v>
      </c>
      <c r="W184" s="6">
        <v>4.0461260510358308</v>
      </c>
      <c r="X184" s="6">
        <v>18.688471352120761</v>
      </c>
      <c r="Y184" s="6">
        <v>332.45969423540691</v>
      </c>
      <c r="Z184" s="6">
        <v>41.999981493281624</v>
      </c>
      <c r="AA184" s="6">
        <v>374.45967572868852</v>
      </c>
      <c r="AB184" s="6">
        <v>0</v>
      </c>
      <c r="AC184" s="6">
        <v>46.229674734650288</v>
      </c>
      <c r="AD184" s="6">
        <v>0</v>
      </c>
      <c r="AE184" s="6">
        <v>0</v>
      </c>
      <c r="AF184" s="6">
        <v>420.68935046333883</v>
      </c>
      <c r="AG184" s="6">
        <v>1.449612316737273</v>
      </c>
      <c r="AH184" s="6">
        <v>0</v>
      </c>
      <c r="AI184" s="6">
        <v>18.048530708707599</v>
      </c>
      <c r="AJ184" s="6">
        <v>393.95781875413343</v>
      </c>
      <c r="AK184" s="6">
        <v>0</v>
      </c>
      <c r="AL184" s="6">
        <v>0</v>
      </c>
      <c r="AM184" s="6">
        <v>0</v>
      </c>
      <c r="AN184" s="6">
        <v>0</v>
      </c>
      <c r="AO184" s="6">
        <v>0</v>
      </c>
      <c r="AP184" s="6">
        <v>393.95781875413343</v>
      </c>
      <c r="AQ184" s="6">
        <v>419.99938678198822</v>
      </c>
      <c r="AR184" s="6">
        <v>317.27570700000001</v>
      </c>
      <c r="AS184" s="6">
        <v>87.539692546581264</v>
      </c>
      <c r="AT184" s="6">
        <v>45.539711053299648</v>
      </c>
    </row>
    <row r="185" spans="1:46" x14ac:dyDescent="0.35">
      <c r="A185" s="5">
        <v>46022</v>
      </c>
      <c r="B185" s="4" t="s">
        <v>370</v>
      </c>
      <c r="C185" s="4" t="s">
        <v>371</v>
      </c>
      <c r="D185" s="4" t="s">
        <v>69</v>
      </c>
      <c r="E185" s="6">
        <v>29609.523809999999</v>
      </c>
      <c r="F185" s="7">
        <v>0.1</v>
      </c>
      <c r="G185" s="6">
        <v>42</v>
      </c>
      <c r="H185" s="6">
        <v>12.436</v>
      </c>
      <c r="I185" s="6">
        <v>100</v>
      </c>
      <c r="J185" s="6">
        <v>12.436</v>
      </c>
      <c r="K185" s="8">
        <v>100</v>
      </c>
      <c r="L185" s="6">
        <v>0</v>
      </c>
      <c r="M185" s="6">
        <v>0</v>
      </c>
      <c r="N185" s="6">
        <v>0</v>
      </c>
      <c r="O185" s="6">
        <v>0</v>
      </c>
      <c r="P185" s="6">
        <v>0</v>
      </c>
      <c r="Q185" s="6">
        <v>23.33160353315856</v>
      </c>
      <c r="R185" s="6">
        <v>43.94143684990668</v>
      </c>
      <c r="S185" s="6">
        <v>7.7180901720407924</v>
      </c>
      <c r="T185" s="6">
        <v>4.0088925653978063</v>
      </c>
      <c r="U185" s="6">
        <v>79.00002312050384</v>
      </c>
      <c r="V185" s="6">
        <v>79.00002312050384</v>
      </c>
      <c r="W185" s="6">
        <v>0</v>
      </c>
      <c r="X185" s="6">
        <v>0</v>
      </c>
      <c r="Y185" s="6">
        <v>79.00002312050384</v>
      </c>
      <c r="Z185" s="6">
        <v>35.711525649810959</v>
      </c>
      <c r="AA185" s="6">
        <v>114.71154877031481</v>
      </c>
      <c r="AB185" s="6">
        <v>0</v>
      </c>
      <c r="AC185" s="6">
        <v>16.479010802365021</v>
      </c>
      <c r="AD185" s="6">
        <v>0</v>
      </c>
      <c r="AE185" s="6">
        <v>0</v>
      </c>
      <c r="AF185" s="6">
        <v>131.1905595726798</v>
      </c>
      <c r="AG185" s="6">
        <v>74.817901469036585</v>
      </c>
      <c r="AH185" s="6">
        <v>0</v>
      </c>
      <c r="AI185" s="6">
        <v>7.6595551566731839</v>
      </c>
      <c r="AJ185" s="6">
        <v>197.18900539602461</v>
      </c>
      <c r="AK185" s="6">
        <v>0</v>
      </c>
      <c r="AL185" s="6">
        <v>0</v>
      </c>
      <c r="AM185" s="6">
        <v>0</v>
      </c>
      <c r="AN185" s="6">
        <v>0</v>
      </c>
      <c r="AO185" s="6">
        <v>0</v>
      </c>
      <c r="AP185" s="6">
        <v>197.18900539602461</v>
      </c>
      <c r="AQ185" s="6">
        <v>419.99999964779192</v>
      </c>
      <c r="AR185" s="6">
        <v>115.150085</v>
      </c>
      <c r="AS185" s="6">
        <v>340.99997652728808</v>
      </c>
      <c r="AT185" s="6">
        <v>305.28845087747709</v>
      </c>
    </row>
    <row r="186" spans="1:46" x14ac:dyDescent="0.35">
      <c r="A186" s="5">
        <v>46022</v>
      </c>
      <c r="B186" s="4" t="s">
        <v>756</v>
      </c>
      <c r="C186" s="4" t="s">
        <v>757</v>
      </c>
      <c r="D186" s="4" t="s">
        <v>105</v>
      </c>
      <c r="E186" s="6">
        <v>5400</v>
      </c>
      <c r="F186" s="7">
        <v>1.26E-2</v>
      </c>
      <c r="G186" s="6">
        <v>36.340000000000003</v>
      </c>
      <c r="H186" s="6">
        <v>0.247</v>
      </c>
      <c r="I186" s="6">
        <v>98.950500000000005</v>
      </c>
      <c r="J186" s="6">
        <v>0.24399699999999999</v>
      </c>
      <c r="K186" s="8">
        <v>0.30684999124203299</v>
      </c>
      <c r="L186" s="6">
        <v>48.312672723430673</v>
      </c>
      <c r="M186" s="6">
        <v>5.1968989360541666</v>
      </c>
      <c r="N186" s="6">
        <v>18.40834605921432</v>
      </c>
      <c r="O186" s="6">
        <v>83.276982591576143</v>
      </c>
      <c r="P186" s="6">
        <v>155.1949003102753</v>
      </c>
      <c r="Q186" s="6">
        <v>19.238884381714328</v>
      </c>
      <c r="R186" s="6">
        <v>37.958565258279478</v>
      </c>
      <c r="S186" s="6">
        <v>46.944701339834843</v>
      </c>
      <c r="T186" s="6">
        <v>61.979227271960092</v>
      </c>
      <c r="U186" s="6">
        <v>166.12137825178871</v>
      </c>
      <c r="V186" s="6">
        <v>321.31627856206399</v>
      </c>
      <c r="W186" s="6">
        <v>4.7903480514224937E-3</v>
      </c>
      <c r="X186" s="6">
        <v>113.762364717599</v>
      </c>
      <c r="Y186" s="6">
        <v>435.08343362771438</v>
      </c>
      <c r="Z186" s="6">
        <v>15.74163239899968</v>
      </c>
      <c r="AA186" s="6">
        <v>450.82506602671413</v>
      </c>
      <c r="AB186" s="6">
        <v>0</v>
      </c>
      <c r="AC186" s="6">
        <v>50.063424737257719</v>
      </c>
      <c r="AD186" s="6">
        <v>0</v>
      </c>
      <c r="AE186" s="6">
        <v>0</v>
      </c>
      <c r="AF186" s="6">
        <v>500.88849076397179</v>
      </c>
      <c r="AG186" s="6">
        <v>12.322979596683741</v>
      </c>
      <c r="AH186" s="6">
        <v>0</v>
      </c>
      <c r="AI186" s="6">
        <v>3.422418928064066</v>
      </c>
      <c r="AJ186" s="6">
        <v>466.5704645514619</v>
      </c>
      <c r="AK186" s="6">
        <v>0</v>
      </c>
      <c r="AL186" s="6">
        <v>0</v>
      </c>
      <c r="AM186" s="6">
        <v>0</v>
      </c>
      <c r="AN186" s="6">
        <v>0</v>
      </c>
      <c r="AO186" s="6">
        <v>0</v>
      </c>
      <c r="AP186" s="6">
        <v>466.5704645514619</v>
      </c>
      <c r="AQ186" s="6">
        <v>420.00516364570558</v>
      </c>
      <c r="AR186" s="6">
        <v>551.91634299999998</v>
      </c>
      <c r="AS186" s="6">
        <v>-15.07826998200882</v>
      </c>
      <c r="AT186" s="6">
        <v>-30.8199023810085</v>
      </c>
    </row>
    <row r="187" spans="1:46" x14ac:dyDescent="0.35">
      <c r="A187" s="5">
        <v>46022</v>
      </c>
      <c r="B187" s="4" t="s">
        <v>758</v>
      </c>
      <c r="C187" s="4" t="s">
        <v>759</v>
      </c>
      <c r="D187" s="4" t="s">
        <v>86</v>
      </c>
      <c r="E187" s="6">
        <v>1500</v>
      </c>
      <c r="F187" s="7">
        <v>0.62</v>
      </c>
      <c r="G187" s="6">
        <v>45</v>
      </c>
      <c r="H187" s="6">
        <v>4.1849999999999996</v>
      </c>
      <c r="I187" s="6">
        <v>97</v>
      </c>
      <c r="J187" s="6">
        <v>4.05945</v>
      </c>
      <c r="K187" s="8">
        <v>18.583731565811455</v>
      </c>
      <c r="L187" s="6">
        <v>208.28964598006141</v>
      </c>
      <c r="M187" s="6">
        <v>0.84421781581567912</v>
      </c>
      <c r="N187" s="6">
        <v>0.20780966663686951</v>
      </c>
      <c r="O187" s="6">
        <v>5.1609140431511982</v>
      </c>
      <c r="P187" s="6">
        <v>214.50258750566519</v>
      </c>
      <c r="Q187" s="6">
        <v>6.1843294629261143</v>
      </c>
      <c r="R187" s="6">
        <v>0.53741838606561154</v>
      </c>
      <c r="S187" s="6">
        <v>5.9605006542958776</v>
      </c>
      <c r="T187" s="6">
        <v>2.774451229470182</v>
      </c>
      <c r="U187" s="6">
        <v>15.456699732757791</v>
      </c>
      <c r="V187" s="6">
        <v>229.95928723842289</v>
      </c>
      <c r="W187" s="6">
        <v>2.5603388319229068</v>
      </c>
      <c r="X187" s="6">
        <v>23.481670847473818</v>
      </c>
      <c r="Y187" s="6">
        <v>256.00129691781967</v>
      </c>
      <c r="Z187" s="6">
        <v>36.037546150544181</v>
      </c>
      <c r="AA187" s="6">
        <v>292.03884306836392</v>
      </c>
      <c r="AB187" s="6">
        <v>0</v>
      </c>
      <c r="AC187" s="6">
        <v>173.81518159370589</v>
      </c>
      <c r="AD187" s="6">
        <v>0</v>
      </c>
      <c r="AE187" s="6">
        <v>0</v>
      </c>
      <c r="AF187" s="6">
        <v>465.85402466206972</v>
      </c>
      <c r="AG187" s="6">
        <v>6.1671983563806121</v>
      </c>
      <c r="AH187" s="6">
        <v>0</v>
      </c>
      <c r="AI187" s="6">
        <v>17.162254011948072</v>
      </c>
      <c r="AJ187" s="6">
        <v>315.36829543669251</v>
      </c>
      <c r="AK187" s="6">
        <v>0</v>
      </c>
      <c r="AL187" s="6">
        <v>0</v>
      </c>
      <c r="AM187" s="6">
        <v>0</v>
      </c>
      <c r="AN187" s="6">
        <v>0</v>
      </c>
      <c r="AO187" s="6">
        <v>0</v>
      </c>
      <c r="AP187" s="6">
        <v>315.36829543669251</v>
      </c>
      <c r="AQ187" s="6">
        <v>419.99482653321178</v>
      </c>
      <c r="AR187" s="6">
        <v>216.93771699999999</v>
      </c>
      <c r="AS187" s="6">
        <v>163.99352961539211</v>
      </c>
      <c r="AT187" s="6">
        <v>127.9559834648479</v>
      </c>
    </row>
    <row r="188" spans="1:46" x14ac:dyDescent="0.35">
      <c r="A188" s="5">
        <v>46022</v>
      </c>
      <c r="B188" s="4" t="s">
        <v>273</v>
      </c>
      <c r="C188" s="4" t="s">
        <v>274</v>
      </c>
      <c r="D188" s="4" t="s">
        <v>111</v>
      </c>
      <c r="E188" s="6">
        <v>34000</v>
      </c>
      <c r="F188" s="7">
        <v>0.29699999999999999</v>
      </c>
      <c r="G188" s="6">
        <v>86</v>
      </c>
      <c r="H188" s="6">
        <v>86.843000000000004</v>
      </c>
      <c r="I188" s="6">
        <v>97</v>
      </c>
      <c r="J188" s="6">
        <v>84.237515999999999</v>
      </c>
      <c r="K188" s="8">
        <v>63.274717480819362</v>
      </c>
      <c r="L188" s="6">
        <v>20.718799056536071</v>
      </c>
      <c r="M188" s="6">
        <v>11.269391634106659</v>
      </c>
      <c r="N188" s="6">
        <v>0.21632498134315881</v>
      </c>
      <c r="O188" s="6">
        <v>8.5490071064886131</v>
      </c>
      <c r="P188" s="6">
        <v>40.753522778474498</v>
      </c>
      <c r="Q188" s="6">
        <v>21.63632094913023</v>
      </c>
      <c r="R188" s="6">
        <v>23.629235401864079</v>
      </c>
      <c r="S188" s="6">
        <v>34.991521435959527</v>
      </c>
      <c r="T188" s="6">
        <v>37.407343465746742</v>
      </c>
      <c r="U188" s="6">
        <v>117.66442125270061</v>
      </c>
      <c r="V188" s="6">
        <v>158.4179440311751</v>
      </c>
      <c r="W188" s="6">
        <v>17.42613139289174</v>
      </c>
      <c r="X188" s="6">
        <v>23.885048316154521</v>
      </c>
      <c r="Y188" s="6">
        <v>199.7291237402213</v>
      </c>
      <c r="Z188" s="6">
        <v>16.317447681275731</v>
      </c>
      <c r="AA188" s="6">
        <v>216.04657142149711</v>
      </c>
      <c r="AB188" s="6">
        <v>0</v>
      </c>
      <c r="AC188" s="6">
        <v>18.115983460890369</v>
      </c>
      <c r="AD188" s="6">
        <v>0</v>
      </c>
      <c r="AE188" s="6">
        <v>0</v>
      </c>
      <c r="AF188" s="6">
        <v>234.16255488238741</v>
      </c>
      <c r="AG188" s="6">
        <v>4.0885699496752608</v>
      </c>
      <c r="AH188" s="6">
        <v>0</v>
      </c>
      <c r="AI188" s="6">
        <v>17.077938643058211</v>
      </c>
      <c r="AJ188" s="6">
        <v>237.21308001423051</v>
      </c>
      <c r="AK188" s="6">
        <v>0</v>
      </c>
      <c r="AL188" s="6">
        <v>0</v>
      </c>
      <c r="AM188" s="6">
        <v>0</v>
      </c>
      <c r="AN188" s="6">
        <v>0</v>
      </c>
      <c r="AO188" s="6">
        <v>0</v>
      </c>
      <c r="AP188" s="6">
        <v>237.21308001423051</v>
      </c>
      <c r="AQ188" s="6">
        <v>419.99991987335989</v>
      </c>
      <c r="AR188" s="6">
        <v>1196.7811850000001</v>
      </c>
      <c r="AS188" s="6">
        <v>220.27079613313859</v>
      </c>
      <c r="AT188" s="6">
        <v>203.95334845186281</v>
      </c>
    </row>
    <row r="189" spans="1:46" x14ac:dyDescent="0.35">
      <c r="A189" s="5">
        <v>46022</v>
      </c>
      <c r="B189" s="4" t="s">
        <v>372</v>
      </c>
      <c r="C189" s="4" t="s">
        <v>373</v>
      </c>
      <c r="D189" s="4" t="s">
        <v>111</v>
      </c>
      <c r="E189" s="6">
        <v>12400</v>
      </c>
      <c r="F189" s="7">
        <v>0.17100000000000001</v>
      </c>
      <c r="G189" s="6">
        <v>38</v>
      </c>
      <c r="H189" s="6">
        <v>8.0579999999999998</v>
      </c>
      <c r="I189" s="6">
        <v>100</v>
      </c>
      <c r="J189" s="6">
        <v>8.0575200000000002</v>
      </c>
      <c r="K189" s="8">
        <v>100</v>
      </c>
      <c r="L189" s="6">
        <v>0</v>
      </c>
      <c r="M189" s="6">
        <v>0</v>
      </c>
      <c r="N189" s="6">
        <v>0</v>
      </c>
      <c r="O189" s="6">
        <v>0</v>
      </c>
      <c r="P189" s="6">
        <v>0</v>
      </c>
      <c r="Q189" s="6">
        <v>11.38930093826254</v>
      </c>
      <c r="R189" s="6">
        <v>0.51920899477685434</v>
      </c>
      <c r="S189" s="6">
        <v>22.745095514936899</v>
      </c>
      <c r="T189" s="6">
        <v>16.235298092793158</v>
      </c>
      <c r="U189" s="6">
        <v>50.888903540769462</v>
      </c>
      <c r="V189" s="6">
        <v>50.888903540769462</v>
      </c>
      <c r="W189" s="6">
        <v>3.9807696924443539</v>
      </c>
      <c r="X189" s="6">
        <v>0</v>
      </c>
      <c r="Y189" s="6">
        <v>54.86967323321381</v>
      </c>
      <c r="Z189" s="6">
        <v>27.04999758064568</v>
      </c>
      <c r="AA189" s="6">
        <v>81.919670813859483</v>
      </c>
      <c r="AB189" s="6">
        <v>0</v>
      </c>
      <c r="AC189" s="6">
        <v>60.636253151371179</v>
      </c>
      <c r="AD189" s="6">
        <v>0</v>
      </c>
      <c r="AE189" s="6">
        <v>0</v>
      </c>
      <c r="AF189" s="6">
        <v>142.5559239652307</v>
      </c>
      <c r="AG189" s="6">
        <v>4.5177046158864256</v>
      </c>
      <c r="AH189" s="6">
        <v>0</v>
      </c>
      <c r="AI189" s="6">
        <v>46.602462624761458</v>
      </c>
      <c r="AJ189" s="6">
        <v>133.03983805450741</v>
      </c>
      <c r="AK189" s="6">
        <v>0</v>
      </c>
      <c r="AL189" s="6">
        <v>0</v>
      </c>
      <c r="AM189" s="6">
        <v>0</v>
      </c>
      <c r="AN189" s="6">
        <v>0</v>
      </c>
      <c r="AO189" s="6">
        <v>0</v>
      </c>
      <c r="AP189" s="6">
        <v>133.03983805450741</v>
      </c>
      <c r="AQ189" s="6">
        <v>419.99895714339942</v>
      </c>
      <c r="AR189" s="6">
        <v>74.607736000000003</v>
      </c>
      <c r="AS189" s="6">
        <v>365.12928391018562</v>
      </c>
      <c r="AT189" s="6">
        <v>338.07928632953991</v>
      </c>
    </row>
    <row r="190" spans="1:46" x14ac:dyDescent="0.35">
      <c r="A190" s="5">
        <v>46022</v>
      </c>
      <c r="B190" s="4" t="s">
        <v>442</v>
      </c>
      <c r="C190" s="4" t="s">
        <v>443</v>
      </c>
      <c r="D190" s="4" t="s">
        <v>222</v>
      </c>
      <c r="E190" s="6">
        <v>1855</v>
      </c>
      <c r="F190" s="7">
        <v>0.90790000000000004</v>
      </c>
      <c r="G190" s="6">
        <v>92.42</v>
      </c>
      <c r="H190" s="6">
        <v>15.564</v>
      </c>
      <c r="I190" s="6">
        <v>97</v>
      </c>
      <c r="J190" s="6">
        <v>15.097158</v>
      </c>
      <c r="K190" s="8">
        <v>23.465953574473527</v>
      </c>
      <c r="L190" s="6">
        <v>47.411654610539408</v>
      </c>
      <c r="M190" s="6">
        <v>47.276486031365287</v>
      </c>
      <c r="N190" s="6">
        <v>8.5918083642744225</v>
      </c>
      <c r="O190" s="6">
        <v>31.50483578453554</v>
      </c>
      <c r="P190" s="6">
        <v>134.7847847907147</v>
      </c>
      <c r="Q190" s="6">
        <v>10.951330741700129</v>
      </c>
      <c r="R190" s="6">
        <v>10.34711138107741</v>
      </c>
      <c r="S190" s="6">
        <v>15.76549165598739</v>
      </c>
      <c r="T190" s="6">
        <v>7.8887298229818539</v>
      </c>
      <c r="U190" s="6">
        <v>44.952663601746778</v>
      </c>
      <c r="V190" s="6">
        <v>179.7374483924614</v>
      </c>
      <c r="W190" s="6">
        <v>7.0897648920753973</v>
      </c>
      <c r="X190" s="6">
        <v>15.028353296976549</v>
      </c>
      <c r="Y190" s="6">
        <v>201.85556658151339</v>
      </c>
      <c r="Z190" s="6">
        <v>6.8069517196081302</v>
      </c>
      <c r="AA190" s="6">
        <v>208.66251830112151</v>
      </c>
      <c r="AB190" s="6">
        <v>0</v>
      </c>
      <c r="AC190" s="6">
        <v>83.048647206981059</v>
      </c>
      <c r="AD190" s="6">
        <v>0</v>
      </c>
      <c r="AE190" s="6">
        <v>0</v>
      </c>
      <c r="AF190" s="6">
        <v>291.71116550810262</v>
      </c>
      <c r="AG190" s="6">
        <v>1.576366461173027</v>
      </c>
      <c r="AH190" s="6">
        <v>0</v>
      </c>
      <c r="AI190" s="6">
        <v>42.301911416003271</v>
      </c>
      <c r="AJ190" s="6">
        <v>252.5407961782978</v>
      </c>
      <c r="AK190" s="6">
        <v>10.57547752704229</v>
      </c>
      <c r="AL190" s="6">
        <v>0</v>
      </c>
      <c r="AM190" s="6">
        <v>0</v>
      </c>
      <c r="AN190" s="6">
        <v>0</v>
      </c>
      <c r="AO190" s="6">
        <v>0</v>
      </c>
      <c r="AP190" s="6">
        <v>263.11627370534012</v>
      </c>
      <c r="AQ190" s="6">
        <v>420.00116807962428</v>
      </c>
      <c r="AR190" s="6">
        <v>586.81877799999995</v>
      </c>
      <c r="AS190" s="6">
        <v>218.14560149811089</v>
      </c>
      <c r="AT190" s="6">
        <v>211.3386497785028</v>
      </c>
    </row>
    <row r="191" spans="1:46" x14ac:dyDescent="0.35">
      <c r="A191" s="5">
        <v>46022</v>
      </c>
      <c r="B191" s="4" t="s">
        <v>374</v>
      </c>
      <c r="C191" s="4" t="s">
        <v>375</v>
      </c>
      <c r="D191" s="4" t="s">
        <v>61</v>
      </c>
      <c r="E191" s="6">
        <v>125.26</v>
      </c>
      <c r="F191" s="7">
        <v>0.5917</v>
      </c>
      <c r="G191" s="6">
        <v>85</v>
      </c>
      <c r="H191" s="6">
        <v>0.63</v>
      </c>
      <c r="I191" s="6">
        <v>97</v>
      </c>
      <c r="J191" s="6">
        <v>0.61109999999999998</v>
      </c>
      <c r="K191" s="8">
        <v>99.999991798114564</v>
      </c>
      <c r="L191" s="6">
        <v>41.343224209889677</v>
      </c>
      <c r="M191" s="6">
        <v>16.941937004480401</v>
      </c>
      <c r="N191" s="6">
        <v>2.659659249851511</v>
      </c>
      <c r="O191" s="6">
        <v>33.821208910681413</v>
      </c>
      <c r="P191" s="6">
        <v>94.766029374902999</v>
      </c>
      <c r="Q191" s="6">
        <v>21.79579514585091</v>
      </c>
      <c r="R191" s="6">
        <v>18.99248963955776</v>
      </c>
      <c r="S191" s="6">
        <v>26.969208098477001</v>
      </c>
      <c r="T191" s="6">
        <v>37.028369591152881</v>
      </c>
      <c r="U191" s="6">
        <v>104.7858624750385</v>
      </c>
      <c r="V191" s="6">
        <v>199.55189184994151</v>
      </c>
      <c r="W191" s="6">
        <v>6.6144572188994442</v>
      </c>
      <c r="X191" s="6">
        <v>28.78315555555556</v>
      </c>
      <c r="Y191" s="6">
        <v>234.9495046243965</v>
      </c>
      <c r="Z191" s="6">
        <v>50.56758338931629</v>
      </c>
      <c r="AA191" s="6">
        <v>285.51708801371279</v>
      </c>
      <c r="AB191" s="6">
        <v>0</v>
      </c>
      <c r="AC191" s="6">
        <v>15.92138846178965</v>
      </c>
      <c r="AD191" s="6">
        <v>0</v>
      </c>
      <c r="AE191" s="6">
        <v>0</v>
      </c>
      <c r="AF191" s="6">
        <v>301.43847647550251</v>
      </c>
      <c r="AG191" s="6">
        <v>41.560190490816673</v>
      </c>
      <c r="AH191" s="6">
        <v>0</v>
      </c>
      <c r="AI191" s="6">
        <v>15.92138846178965</v>
      </c>
      <c r="AJ191" s="6">
        <v>342.99866696631909</v>
      </c>
      <c r="AK191" s="6">
        <v>0</v>
      </c>
      <c r="AL191" s="6">
        <v>0</v>
      </c>
      <c r="AM191" s="6">
        <v>0</v>
      </c>
      <c r="AN191" s="6">
        <v>0</v>
      </c>
      <c r="AO191" s="6">
        <v>0</v>
      </c>
      <c r="AP191" s="6">
        <v>342.99866696631909</v>
      </c>
      <c r="AQ191" s="6">
        <v>419.99999964779198</v>
      </c>
      <c r="AR191" s="6">
        <v>5.6584289999999999</v>
      </c>
      <c r="AS191" s="6">
        <v>185.0504950233954</v>
      </c>
      <c r="AT191" s="6">
        <v>134.4829116340791</v>
      </c>
    </row>
    <row r="192" spans="1:46" x14ac:dyDescent="0.35">
      <c r="A192" s="5">
        <v>46022</v>
      </c>
      <c r="B192" s="4" t="s">
        <v>760</v>
      </c>
      <c r="C192" s="4" t="s">
        <v>761</v>
      </c>
      <c r="D192" s="4" t="s">
        <v>61</v>
      </c>
      <c r="E192" s="6">
        <v>188.51</v>
      </c>
      <c r="F192" s="7">
        <v>1.22</v>
      </c>
      <c r="G192" s="6">
        <v>94</v>
      </c>
      <c r="H192" s="6">
        <v>2.1619999999999999</v>
      </c>
      <c r="I192" s="6">
        <v>97</v>
      </c>
      <c r="J192" s="6">
        <v>2.096978</v>
      </c>
      <c r="K192" s="8">
        <v>73.335461841631385</v>
      </c>
      <c r="L192" s="6">
        <v>34.547363864572183</v>
      </c>
      <c r="M192" s="6">
        <v>0</v>
      </c>
      <c r="N192" s="6">
        <v>21.453474827525351</v>
      </c>
      <c r="O192" s="6">
        <v>20.424281199884401</v>
      </c>
      <c r="P192" s="6">
        <v>76.425119891981922</v>
      </c>
      <c r="Q192" s="6">
        <v>19.87817668889523</v>
      </c>
      <c r="R192" s="6">
        <v>3.9538698630377169</v>
      </c>
      <c r="S192" s="6">
        <v>16.258707362210469</v>
      </c>
      <c r="T192" s="6">
        <v>21.5559567038285</v>
      </c>
      <c r="U192" s="6">
        <v>61.646710617971912</v>
      </c>
      <c r="V192" s="6">
        <v>138.0718305099538</v>
      </c>
      <c r="W192" s="6">
        <v>2.6085182425046489</v>
      </c>
      <c r="X192" s="6">
        <v>23.573946636959821</v>
      </c>
      <c r="Y192" s="6">
        <v>164.2542953894183</v>
      </c>
      <c r="Z192" s="6">
        <v>25.934208265334991</v>
      </c>
      <c r="AA192" s="6">
        <v>190.1885036547533</v>
      </c>
      <c r="AB192" s="6">
        <v>0</v>
      </c>
      <c r="AC192" s="6">
        <v>10.64482308276644</v>
      </c>
      <c r="AD192" s="6">
        <v>0</v>
      </c>
      <c r="AE192" s="6">
        <v>0</v>
      </c>
      <c r="AF192" s="6">
        <v>200.83332673751971</v>
      </c>
      <c r="AG192" s="6">
        <v>37.219069459843439</v>
      </c>
      <c r="AH192" s="6">
        <v>0</v>
      </c>
      <c r="AI192" s="6">
        <v>9.0905260884646744</v>
      </c>
      <c r="AJ192" s="6">
        <v>236.4980992030614</v>
      </c>
      <c r="AK192" s="6">
        <v>0</v>
      </c>
      <c r="AL192" s="6">
        <v>0</v>
      </c>
      <c r="AM192" s="6">
        <v>0</v>
      </c>
      <c r="AN192" s="6">
        <v>0</v>
      </c>
      <c r="AO192" s="6">
        <v>0</v>
      </c>
      <c r="AP192" s="6">
        <v>236.4980992030614</v>
      </c>
      <c r="AQ192" s="6">
        <v>420.00440598872268</v>
      </c>
      <c r="AR192" s="6">
        <v>26.438962</v>
      </c>
      <c r="AS192" s="6">
        <v>255.75011059930441</v>
      </c>
      <c r="AT192" s="6">
        <v>229.8159023339694</v>
      </c>
    </row>
    <row r="193" spans="1:46" x14ac:dyDescent="0.35">
      <c r="A193" s="5">
        <v>46022</v>
      </c>
      <c r="B193" s="4" t="s">
        <v>275</v>
      </c>
      <c r="C193" s="4" t="s">
        <v>276</v>
      </c>
      <c r="D193" s="4" t="s">
        <v>61</v>
      </c>
      <c r="E193" s="6">
        <v>800</v>
      </c>
      <c r="F193" s="7">
        <v>0.6</v>
      </c>
      <c r="G193" s="6">
        <v>86</v>
      </c>
      <c r="H193" s="6">
        <v>4.1280000000000001</v>
      </c>
      <c r="I193" s="6">
        <v>97</v>
      </c>
      <c r="J193" s="6">
        <v>4.0041599999999997</v>
      </c>
      <c r="K193" s="8">
        <v>93.894919321849017</v>
      </c>
      <c r="L193" s="6">
        <v>66.856935701943797</v>
      </c>
      <c r="M193" s="6">
        <v>4.6247423677403328</v>
      </c>
      <c r="N193" s="6">
        <v>10.15340368514909</v>
      </c>
      <c r="O193" s="6">
        <v>35.313773090844577</v>
      </c>
      <c r="P193" s="6">
        <v>116.9488548456778</v>
      </c>
      <c r="Q193" s="6">
        <v>3.439885180469628</v>
      </c>
      <c r="R193" s="6">
        <v>12.26866881935185</v>
      </c>
      <c r="S193" s="6">
        <v>22.283909366508801</v>
      </c>
      <c r="T193" s="6">
        <v>23.389461235919889</v>
      </c>
      <c r="U193" s="6">
        <v>61.381924602250159</v>
      </c>
      <c r="V193" s="6">
        <v>178.33077944792799</v>
      </c>
      <c r="W193" s="6">
        <v>5.3329287490324999</v>
      </c>
      <c r="X193" s="6">
        <v>31.38112991688644</v>
      </c>
      <c r="Y193" s="6">
        <v>215.04483811384691</v>
      </c>
      <c r="Z193" s="6">
        <v>65.115261310293945</v>
      </c>
      <c r="AA193" s="6">
        <v>280.16009942414092</v>
      </c>
      <c r="AB193" s="6">
        <v>0</v>
      </c>
      <c r="AC193" s="6">
        <v>27.517132847427639</v>
      </c>
      <c r="AD193" s="6">
        <v>0</v>
      </c>
      <c r="AE193" s="6">
        <v>0</v>
      </c>
      <c r="AF193" s="6">
        <v>307.67723227156853</v>
      </c>
      <c r="AG193" s="6">
        <v>17.942317616482711</v>
      </c>
      <c r="AH193" s="6">
        <v>0</v>
      </c>
      <c r="AI193" s="6">
        <v>17.810834164597861</v>
      </c>
      <c r="AJ193" s="6">
        <v>315.9132512052214</v>
      </c>
      <c r="AK193" s="6">
        <v>0</v>
      </c>
      <c r="AL193" s="6">
        <v>0</v>
      </c>
      <c r="AM193" s="6">
        <v>0</v>
      </c>
      <c r="AN193" s="6">
        <v>0</v>
      </c>
      <c r="AO193" s="6">
        <v>0</v>
      </c>
      <c r="AP193" s="6">
        <v>315.9132512052214</v>
      </c>
      <c r="AQ193" s="6">
        <v>420.00419528432639</v>
      </c>
      <c r="AR193" s="6">
        <v>39.276549000000003</v>
      </c>
      <c r="AS193" s="6">
        <v>204.95935717047951</v>
      </c>
      <c r="AT193" s="6">
        <v>139.8440958601856</v>
      </c>
    </row>
    <row r="194" spans="1:46" x14ac:dyDescent="0.35">
      <c r="A194" s="5">
        <v>46022</v>
      </c>
      <c r="B194" s="4" t="s">
        <v>376</v>
      </c>
      <c r="C194" s="4" t="s">
        <v>377</v>
      </c>
      <c r="D194" s="4" t="s">
        <v>61</v>
      </c>
      <c r="E194" s="6">
        <v>65</v>
      </c>
      <c r="F194" s="7">
        <v>0.39</v>
      </c>
      <c r="G194" s="6">
        <v>82</v>
      </c>
      <c r="H194" s="6">
        <v>0.20799999999999999</v>
      </c>
      <c r="I194" s="6">
        <v>97</v>
      </c>
      <c r="J194" s="6">
        <v>0.20163400000000001</v>
      </c>
      <c r="K194" s="8">
        <v>99.999976796171907</v>
      </c>
      <c r="L194" s="6">
        <v>77.197210688941823</v>
      </c>
      <c r="M194" s="6">
        <v>0</v>
      </c>
      <c r="N194" s="6">
        <v>36.036093845749079</v>
      </c>
      <c r="O194" s="6">
        <v>79.101748627948027</v>
      </c>
      <c r="P194" s="6">
        <v>192.3350531626389</v>
      </c>
      <c r="Q194" s="6">
        <v>39.179738798930622</v>
      </c>
      <c r="R194" s="6">
        <v>12.305617510903661</v>
      </c>
      <c r="S194" s="6">
        <v>58.78513706457705</v>
      </c>
      <c r="T194" s="6">
        <v>35.983190420284593</v>
      </c>
      <c r="U194" s="6">
        <v>146.25368379469589</v>
      </c>
      <c r="V194" s="6">
        <v>338.58873695733479</v>
      </c>
      <c r="W194" s="6">
        <v>4.9399991685424043</v>
      </c>
      <c r="X194" s="6">
        <v>30.069757384885481</v>
      </c>
      <c r="Y194" s="6">
        <v>373.59849351076269</v>
      </c>
      <c r="Z194" s="6">
        <v>50.740209341956493</v>
      </c>
      <c r="AA194" s="6">
        <v>424.33870285271922</v>
      </c>
      <c r="AB194" s="6">
        <v>0</v>
      </c>
      <c r="AC194" s="6">
        <v>6.100753422490639</v>
      </c>
      <c r="AD194" s="6">
        <v>0</v>
      </c>
      <c r="AE194" s="6">
        <v>0</v>
      </c>
      <c r="AF194" s="6">
        <v>430.43945627520992</v>
      </c>
      <c r="AG194" s="6">
        <v>2.3417003798884188</v>
      </c>
      <c r="AH194" s="6">
        <v>0</v>
      </c>
      <c r="AI194" s="6">
        <v>11.95500437221169</v>
      </c>
      <c r="AJ194" s="6">
        <v>438.63540760481931</v>
      </c>
      <c r="AK194" s="6">
        <v>0</v>
      </c>
      <c r="AL194" s="6">
        <v>0</v>
      </c>
      <c r="AM194" s="6">
        <v>0</v>
      </c>
      <c r="AN194" s="6">
        <v>0</v>
      </c>
      <c r="AO194" s="6">
        <v>0</v>
      </c>
      <c r="AP194" s="6">
        <v>438.63540760481931</v>
      </c>
      <c r="AQ194" s="6">
        <v>419.9291782586015</v>
      </c>
      <c r="AR194" s="6">
        <v>1.866698</v>
      </c>
      <c r="AS194" s="6">
        <v>46.330684747838752</v>
      </c>
      <c r="AT194" s="6">
        <v>-4.409524594117733</v>
      </c>
    </row>
    <row r="195" spans="1:46" x14ac:dyDescent="0.35">
      <c r="A195" s="5">
        <v>46022</v>
      </c>
      <c r="B195" s="4" t="s">
        <v>762</v>
      </c>
      <c r="C195" s="4" t="s">
        <v>763</v>
      </c>
      <c r="D195" s="4" t="s">
        <v>61</v>
      </c>
      <c r="E195" s="6">
        <v>117.15</v>
      </c>
      <c r="F195" s="7">
        <v>0.52</v>
      </c>
      <c r="G195" s="6">
        <v>87</v>
      </c>
      <c r="H195" s="6">
        <v>0.53</v>
      </c>
      <c r="I195" s="6">
        <v>97</v>
      </c>
      <c r="J195" s="6">
        <v>0.5141</v>
      </c>
      <c r="K195" s="8">
        <v>89.296978886383087</v>
      </c>
      <c r="L195" s="6">
        <v>25.543178521916051</v>
      </c>
      <c r="M195" s="6">
        <v>5.4198182341372707</v>
      </c>
      <c r="N195" s="6">
        <v>35.581936198605938</v>
      </c>
      <c r="O195" s="6">
        <v>54.532323334952849</v>
      </c>
      <c r="P195" s="6">
        <v>121.07725628961209</v>
      </c>
      <c r="Q195" s="6">
        <v>10.89150853014738</v>
      </c>
      <c r="R195" s="6">
        <v>10.784976975318861</v>
      </c>
      <c r="S195" s="6">
        <v>35.695620929226529</v>
      </c>
      <c r="T195" s="6">
        <v>34.095967764225733</v>
      </c>
      <c r="U195" s="6">
        <v>91.468074198918487</v>
      </c>
      <c r="V195" s="6">
        <v>212.5453304885306</v>
      </c>
      <c r="W195" s="6">
        <v>3.469437375545434</v>
      </c>
      <c r="X195" s="6">
        <v>23.500877373740892</v>
      </c>
      <c r="Y195" s="6">
        <v>239.5156452378169</v>
      </c>
      <c r="Z195" s="6">
        <v>36.625005752371401</v>
      </c>
      <c r="AA195" s="6">
        <v>276.14065099018831</v>
      </c>
      <c r="AB195" s="6">
        <v>0</v>
      </c>
      <c r="AC195" s="6">
        <v>7.5203229232425937</v>
      </c>
      <c r="AD195" s="6">
        <v>0</v>
      </c>
      <c r="AE195" s="6">
        <v>0</v>
      </c>
      <c r="AF195" s="6">
        <v>283.66097391343089</v>
      </c>
      <c r="AG195" s="6">
        <v>16.570650154031821</v>
      </c>
      <c r="AH195" s="6">
        <v>0</v>
      </c>
      <c r="AI195" s="6">
        <v>35.138079333231801</v>
      </c>
      <c r="AJ195" s="6">
        <v>327.84938047745197</v>
      </c>
      <c r="AK195" s="6">
        <v>0</v>
      </c>
      <c r="AL195" s="6">
        <v>0</v>
      </c>
      <c r="AM195" s="6">
        <v>0</v>
      </c>
      <c r="AN195" s="6">
        <v>0</v>
      </c>
      <c r="AO195" s="6">
        <v>0</v>
      </c>
      <c r="AP195" s="6">
        <v>327.84938047745197</v>
      </c>
      <c r="AQ195" s="6">
        <v>419.99999964779192</v>
      </c>
      <c r="AR195" s="6">
        <v>5.3162760000000002</v>
      </c>
      <c r="AS195" s="6">
        <v>180.484354409975</v>
      </c>
      <c r="AT195" s="6">
        <v>143.85934865760359</v>
      </c>
    </row>
    <row r="196" spans="1:46" x14ac:dyDescent="0.35">
      <c r="A196" s="5">
        <v>46022</v>
      </c>
      <c r="B196" s="4" t="s">
        <v>277</v>
      </c>
      <c r="C196" s="4" t="s">
        <v>278</v>
      </c>
      <c r="D196" s="4" t="s">
        <v>222</v>
      </c>
      <c r="E196" s="6">
        <v>2789</v>
      </c>
      <c r="F196" s="7">
        <v>0.12</v>
      </c>
      <c r="G196" s="6">
        <v>81.099999999999994</v>
      </c>
      <c r="H196" s="6">
        <v>2.714</v>
      </c>
      <c r="I196" s="6">
        <v>93.915929000000006</v>
      </c>
      <c r="J196" s="6">
        <v>2.549118</v>
      </c>
      <c r="K196" s="8">
        <v>2.9420020513090961</v>
      </c>
      <c r="L196" s="6">
        <v>63.350672760274108</v>
      </c>
      <c r="M196" s="6">
        <v>7.8974447493279518</v>
      </c>
      <c r="N196" s="6">
        <v>2.4173804225843591</v>
      </c>
      <c r="O196" s="6">
        <v>42.985288277242411</v>
      </c>
      <c r="P196" s="6">
        <v>116.6507862094288</v>
      </c>
      <c r="Q196" s="6">
        <v>24.79148942974269</v>
      </c>
      <c r="R196" s="6">
        <v>7.1312550910538279</v>
      </c>
      <c r="S196" s="6">
        <v>2.5242107122469908</v>
      </c>
      <c r="T196" s="6">
        <v>20.06386986456992</v>
      </c>
      <c r="U196" s="6">
        <v>54.510825097613427</v>
      </c>
      <c r="V196" s="6">
        <v>171.16161130704231</v>
      </c>
      <c r="W196" s="6">
        <v>4.7696795845346731</v>
      </c>
      <c r="X196" s="6">
        <v>9.0245447391191593</v>
      </c>
      <c r="Y196" s="6">
        <v>184.9558356306961</v>
      </c>
      <c r="Z196" s="6">
        <v>20.792452541376939</v>
      </c>
      <c r="AA196" s="6">
        <v>205.74828817207299</v>
      </c>
      <c r="AB196" s="6">
        <v>2.5033728998665419</v>
      </c>
      <c r="AC196" s="6">
        <v>59.546068124227233</v>
      </c>
      <c r="AD196" s="6">
        <v>0</v>
      </c>
      <c r="AE196" s="6">
        <v>5.2350258448210596</v>
      </c>
      <c r="AF196" s="6">
        <v>273.03275504098792</v>
      </c>
      <c r="AG196" s="6">
        <v>11.363115183568141</v>
      </c>
      <c r="AH196" s="6">
        <v>2.8792638496394551</v>
      </c>
      <c r="AI196" s="6">
        <v>57.951728728924138</v>
      </c>
      <c r="AJ196" s="6">
        <v>280.44576883407132</v>
      </c>
      <c r="AK196" s="6">
        <v>31.148399031527639</v>
      </c>
      <c r="AL196" s="6">
        <v>0</v>
      </c>
      <c r="AM196" s="6">
        <v>0</v>
      </c>
      <c r="AN196" s="6">
        <v>0</v>
      </c>
      <c r="AO196" s="6">
        <v>0</v>
      </c>
      <c r="AP196" s="6">
        <v>311.59416786559899</v>
      </c>
      <c r="AQ196" s="6">
        <v>419.9970339161178</v>
      </c>
      <c r="AR196" s="6">
        <v>792.70473800000002</v>
      </c>
      <c r="AS196" s="6">
        <v>235.0411982854217</v>
      </c>
      <c r="AT196" s="6">
        <v>214.24874574404481</v>
      </c>
    </row>
    <row r="197" spans="1:46" x14ac:dyDescent="0.35">
      <c r="A197" s="5">
        <v>46022</v>
      </c>
      <c r="B197" s="4" t="s">
        <v>279</v>
      </c>
      <c r="C197" s="4" t="s">
        <v>280</v>
      </c>
      <c r="D197" s="4" t="s">
        <v>50</v>
      </c>
      <c r="E197" s="6">
        <v>51100</v>
      </c>
      <c r="F197" s="7">
        <v>0.8548</v>
      </c>
      <c r="G197" s="6">
        <v>87</v>
      </c>
      <c r="H197" s="6">
        <v>380</v>
      </c>
      <c r="I197" s="6">
        <v>97</v>
      </c>
      <c r="J197" s="6">
        <v>368.6</v>
      </c>
      <c r="K197" s="8">
        <v>90.24378941232527</v>
      </c>
      <c r="L197" s="6">
        <v>5.9201237120680323</v>
      </c>
      <c r="M197" s="6">
        <v>22.190962928508359</v>
      </c>
      <c r="N197" s="6">
        <v>0.5272660278682072</v>
      </c>
      <c r="O197" s="6">
        <v>17.167050729400682</v>
      </c>
      <c r="P197" s="6">
        <v>45.805403397845282</v>
      </c>
      <c r="Q197" s="6">
        <v>5.9291352544863409</v>
      </c>
      <c r="R197" s="6">
        <v>15.282747424327059</v>
      </c>
      <c r="S197" s="6">
        <v>16.301437602283858</v>
      </c>
      <c r="T197" s="6">
        <v>16.908258298390269</v>
      </c>
      <c r="U197" s="6">
        <v>54.42157857948753</v>
      </c>
      <c r="V197" s="6">
        <v>100.2269819773328</v>
      </c>
      <c r="W197" s="6">
        <v>11.54237341613735</v>
      </c>
      <c r="X197" s="6">
        <v>20.361936092815139</v>
      </c>
      <c r="Y197" s="6">
        <v>132.13129148628531</v>
      </c>
      <c r="Z197" s="6">
        <v>5.1483405603108752</v>
      </c>
      <c r="AA197" s="6">
        <v>137.27963204659619</v>
      </c>
      <c r="AB197" s="6">
        <v>0</v>
      </c>
      <c r="AC197" s="6">
        <v>49.755965987904759</v>
      </c>
      <c r="AD197" s="6">
        <v>0</v>
      </c>
      <c r="AE197" s="6">
        <v>0</v>
      </c>
      <c r="AF197" s="6">
        <v>187.03559803450091</v>
      </c>
      <c r="AG197" s="6">
        <v>1.3972487315984441</v>
      </c>
      <c r="AH197" s="6">
        <v>0</v>
      </c>
      <c r="AI197" s="6">
        <v>6.9609852352567732</v>
      </c>
      <c r="AJ197" s="6">
        <v>145.6378660134514</v>
      </c>
      <c r="AK197" s="6">
        <v>63.85509725360545</v>
      </c>
      <c r="AL197" s="6">
        <v>0</v>
      </c>
      <c r="AM197" s="6">
        <v>0</v>
      </c>
      <c r="AN197" s="6">
        <v>0</v>
      </c>
      <c r="AO197" s="6">
        <v>0</v>
      </c>
      <c r="AP197" s="6">
        <v>209.49296326705689</v>
      </c>
      <c r="AQ197" s="6">
        <v>419.99999964779192</v>
      </c>
      <c r="AR197" s="6">
        <v>3790.4801130000001</v>
      </c>
      <c r="AS197" s="6">
        <v>287.86870816150662</v>
      </c>
      <c r="AT197" s="6">
        <v>282.72036760119568</v>
      </c>
    </row>
    <row r="198" spans="1:46" x14ac:dyDescent="0.35">
      <c r="A198" s="5">
        <v>46022</v>
      </c>
      <c r="B198" s="4" t="s">
        <v>281</v>
      </c>
      <c r="C198" s="4" t="s">
        <v>282</v>
      </c>
      <c r="D198" s="4" t="s">
        <v>283</v>
      </c>
      <c r="E198" s="6">
        <v>6750</v>
      </c>
      <c r="F198" s="7">
        <v>0.1</v>
      </c>
      <c r="G198" s="6">
        <v>11.19</v>
      </c>
      <c r="H198" s="6">
        <v>0.755</v>
      </c>
      <c r="I198" s="6">
        <v>97</v>
      </c>
      <c r="J198" s="6">
        <v>0.73234999999999995</v>
      </c>
      <c r="K198" s="8">
        <v>2.5252137598122641</v>
      </c>
      <c r="L198" s="6">
        <v>36.4279542328836</v>
      </c>
      <c r="M198" s="6">
        <v>6.9040956692678774</v>
      </c>
      <c r="N198" s="6">
        <v>1.6907047863758931</v>
      </c>
      <c r="O198" s="6">
        <v>7.518905087735825</v>
      </c>
      <c r="P198" s="6">
        <v>52.541659776263188</v>
      </c>
      <c r="Q198" s="6">
        <v>23.488832049651808</v>
      </c>
      <c r="R198" s="6">
        <v>43.871955947722419</v>
      </c>
      <c r="S198" s="6">
        <v>19.318830898987731</v>
      </c>
      <c r="T198" s="6">
        <v>14.91734190371298</v>
      </c>
      <c r="U198" s="6">
        <v>101.5969608000749</v>
      </c>
      <c r="V198" s="6">
        <v>154.1386205763381</v>
      </c>
      <c r="W198" s="6">
        <v>14.599156698603929</v>
      </c>
      <c r="X198" s="6">
        <v>18.29394270226004</v>
      </c>
      <c r="Y198" s="6">
        <v>187.0317199772021</v>
      </c>
      <c r="Z198" s="6">
        <v>23.293511593086361</v>
      </c>
      <c r="AA198" s="6">
        <v>210.32523157028851</v>
      </c>
      <c r="AB198" s="6">
        <v>3.6974711904812558</v>
      </c>
      <c r="AC198" s="6">
        <v>78.075602000332125</v>
      </c>
      <c r="AD198" s="6">
        <v>0</v>
      </c>
      <c r="AE198" s="6">
        <v>0</v>
      </c>
      <c r="AF198" s="6">
        <v>292.09830476110182</v>
      </c>
      <c r="AG198" s="6">
        <v>15.66891991920429</v>
      </c>
      <c r="AH198" s="6">
        <v>5.3177066302627143</v>
      </c>
      <c r="AI198" s="6">
        <v>29.090970910018981</v>
      </c>
      <c r="AJ198" s="6">
        <v>264.10030022025569</v>
      </c>
      <c r="AK198" s="6">
        <v>0</v>
      </c>
      <c r="AL198" s="6">
        <v>0</v>
      </c>
      <c r="AM198" s="6">
        <v>0</v>
      </c>
      <c r="AN198" s="6">
        <v>0</v>
      </c>
      <c r="AO198" s="6">
        <v>0</v>
      </c>
      <c r="AP198" s="6">
        <v>264.10030022025569</v>
      </c>
      <c r="AQ198" s="6">
        <v>419.97132483386088</v>
      </c>
      <c r="AR198" s="6">
        <v>249.25282300000001</v>
      </c>
      <c r="AS198" s="6">
        <v>232.9396048566588</v>
      </c>
      <c r="AT198" s="6">
        <v>209.64609326357251</v>
      </c>
    </row>
    <row r="199" spans="1:46" x14ac:dyDescent="0.35">
      <c r="A199" s="5">
        <v>46022</v>
      </c>
      <c r="B199" s="4" t="s">
        <v>312</v>
      </c>
      <c r="C199" s="4" t="s">
        <v>313</v>
      </c>
      <c r="D199" s="4" t="s">
        <v>61</v>
      </c>
      <c r="E199" s="6">
        <v>60</v>
      </c>
      <c r="F199" s="7">
        <v>0.49</v>
      </c>
      <c r="G199" s="6">
        <v>82</v>
      </c>
      <c r="H199" s="6">
        <v>0.24099999999999999</v>
      </c>
      <c r="I199" s="6">
        <v>97</v>
      </c>
      <c r="J199" s="6">
        <v>0.233848</v>
      </c>
      <c r="K199" s="8">
        <v>89.219795542286377</v>
      </c>
      <c r="L199" s="6">
        <v>78.550333491971955</v>
      </c>
      <c r="M199" s="6">
        <v>2.8817172130198578</v>
      </c>
      <c r="N199" s="6">
        <v>24.7824066855156</v>
      </c>
      <c r="O199" s="6">
        <v>73.123086254994035</v>
      </c>
      <c r="P199" s="6">
        <v>179.33754364550151</v>
      </c>
      <c r="Q199" s="6">
        <v>25.11697404564039</v>
      </c>
      <c r="R199" s="6">
        <v>19.993340899163979</v>
      </c>
      <c r="S199" s="6">
        <v>30.359706153062501</v>
      </c>
      <c r="T199" s="6">
        <v>51.050144588677171</v>
      </c>
      <c r="U199" s="6">
        <v>126.5201656865441</v>
      </c>
      <c r="V199" s="6">
        <v>305.85770933204549</v>
      </c>
      <c r="W199" s="6">
        <v>2.589276341581821</v>
      </c>
      <c r="X199" s="6">
        <v>23.45733902437841</v>
      </c>
      <c r="Y199" s="6">
        <v>331.90432469800572</v>
      </c>
      <c r="Z199" s="6">
        <v>41.653315953370971</v>
      </c>
      <c r="AA199" s="6">
        <v>373.55764065137669</v>
      </c>
      <c r="AB199" s="6">
        <v>0</v>
      </c>
      <c r="AC199" s="6">
        <v>30.6028258628779</v>
      </c>
      <c r="AD199" s="6">
        <v>0</v>
      </c>
      <c r="AE199" s="6">
        <v>0</v>
      </c>
      <c r="AF199" s="6">
        <v>404.16046651425461</v>
      </c>
      <c r="AG199" s="6">
        <v>18.977251280829002</v>
      </c>
      <c r="AH199" s="6">
        <v>0</v>
      </c>
      <c r="AI199" s="6">
        <v>22.50722195773734</v>
      </c>
      <c r="AJ199" s="6">
        <v>415.04211388994298</v>
      </c>
      <c r="AK199" s="6">
        <v>0</v>
      </c>
      <c r="AL199" s="6">
        <v>0</v>
      </c>
      <c r="AM199" s="6">
        <v>0</v>
      </c>
      <c r="AN199" s="6">
        <v>0</v>
      </c>
      <c r="AO199" s="6">
        <v>0</v>
      </c>
      <c r="AP199" s="6">
        <v>415.04211388994298</v>
      </c>
      <c r="AQ199" s="6">
        <v>419.91378980215251</v>
      </c>
      <c r="AR199" s="6">
        <v>2.4358309999999999</v>
      </c>
      <c r="AS199" s="6">
        <v>88.009465104146756</v>
      </c>
      <c r="AT199" s="6">
        <v>46.356149150775778</v>
      </c>
    </row>
    <row r="200" spans="1:46" x14ac:dyDescent="0.35">
      <c r="A200" s="5">
        <v>46022</v>
      </c>
      <c r="B200" s="4" t="s">
        <v>378</v>
      </c>
      <c r="C200" s="4" t="s">
        <v>379</v>
      </c>
      <c r="D200" s="4" t="s">
        <v>61</v>
      </c>
      <c r="E200" s="6">
        <v>420</v>
      </c>
      <c r="F200" s="7">
        <v>1.86</v>
      </c>
      <c r="G200" s="6">
        <v>90</v>
      </c>
      <c r="H200" s="6">
        <v>7.0309999999999997</v>
      </c>
      <c r="I200" s="6">
        <v>97</v>
      </c>
      <c r="J200" s="6">
        <v>6.8198759999999998</v>
      </c>
      <c r="K200" s="8">
        <v>80.476514783077022</v>
      </c>
      <c r="L200" s="6">
        <v>7.9765540913250357</v>
      </c>
      <c r="M200" s="6">
        <v>0</v>
      </c>
      <c r="N200" s="6">
        <v>3.9916266536312079</v>
      </c>
      <c r="O200" s="6">
        <v>19.207805346756189</v>
      </c>
      <c r="P200" s="6">
        <v>31.175986091712431</v>
      </c>
      <c r="Q200" s="6">
        <v>3.6256920993174928</v>
      </c>
      <c r="R200" s="6">
        <v>3.5826057997685572</v>
      </c>
      <c r="S200" s="6">
        <v>5.8774761725350828</v>
      </c>
      <c r="T200" s="6">
        <v>15.44159831718166</v>
      </c>
      <c r="U200" s="6">
        <v>28.527372388802799</v>
      </c>
      <c r="V200" s="6">
        <v>59.703358480515227</v>
      </c>
      <c r="W200" s="6">
        <v>11.63443730692142</v>
      </c>
      <c r="X200" s="6">
        <v>22.282834248683461</v>
      </c>
      <c r="Y200" s="6">
        <v>93.620630036120104</v>
      </c>
      <c r="Z200" s="6">
        <v>27.392807876081751</v>
      </c>
      <c r="AA200" s="6">
        <v>121.01343791220189</v>
      </c>
      <c r="AB200" s="6">
        <v>0</v>
      </c>
      <c r="AC200" s="6">
        <v>6.2339936075327973</v>
      </c>
      <c r="AD200" s="6">
        <v>0</v>
      </c>
      <c r="AE200" s="6">
        <v>0</v>
      </c>
      <c r="AF200" s="6">
        <v>127.2474315197346</v>
      </c>
      <c r="AG200" s="6">
        <v>5.5865930692513812</v>
      </c>
      <c r="AH200" s="6">
        <v>0</v>
      </c>
      <c r="AI200" s="6">
        <v>7.0235074460482476</v>
      </c>
      <c r="AJ200" s="6">
        <v>133.6235384275015</v>
      </c>
      <c r="AK200" s="6">
        <v>0</v>
      </c>
      <c r="AL200" s="6">
        <v>0</v>
      </c>
      <c r="AM200" s="6">
        <v>0</v>
      </c>
      <c r="AN200" s="6">
        <v>0</v>
      </c>
      <c r="AO200" s="6">
        <v>0</v>
      </c>
      <c r="AP200" s="6">
        <v>133.6235384275015</v>
      </c>
      <c r="AQ200" s="6">
        <v>420.00147768052909</v>
      </c>
      <c r="AR200" s="6">
        <v>79.824939000000001</v>
      </c>
      <c r="AS200" s="6">
        <v>326.38084764440902</v>
      </c>
      <c r="AT200" s="6">
        <v>298.98803976832733</v>
      </c>
    </row>
    <row r="201" spans="1:46" x14ac:dyDescent="0.35">
      <c r="A201" s="5">
        <v>46022</v>
      </c>
      <c r="B201" s="4" t="s">
        <v>575</v>
      </c>
      <c r="C201" s="4" t="s">
        <v>576</v>
      </c>
      <c r="D201" s="4" t="s">
        <v>58</v>
      </c>
      <c r="E201" s="6">
        <v>51000</v>
      </c>
      <c r="F201" s="7">
        <v>0.2898</v>
      </c>
      <c r="G201" s="6">
        <v>47.59</v>
      </c>
      <c r="H201" s="6">
        <v>70.337999999999994</v>
      </c>
      <c r="I201" s="6">
        <v>100</v>
      </c>
      <c r="J201" s="6">
        <v>70.338187000000005</v>
      </c>
      <c r="K201" s="8">
        <v>99.999999984568433</v>
      </c>
      <c r="L201" s="6">
        <v>41.594118212861218</v>
      </c>
      <c r="M201" s="6">
        <v>4.5484537860158767</v>
      </c>
      <c r="N201" s="6">
        <v>1.9467391412942381</v>
      </c>
      <c r="O201" s="6">
        <v>16.903301271154248</v>
      </c>
      <c r="P201" s="6">
        <v>64.992612411325595</v>
      </c>
      <c r="Q201" s="6">
        <v>20.373240787328569</v>
      </c>
      <c r="R201" s="6">
        <v>7.3999240909447819</v>
      </c>
      <c r="S201" s="6">
        <v>23.934774919473021</v>
      </c>
      <c r="T201" s="6">
        <v>4.1827988702686589</v>
      </c>
      <c r="U201" s="6">
        <v>55.890738668015018</v>
      </c>
      <c r="V201" s="6">
        <v>120.8833510793406</v>
      </c>
      <c r="W201" s="6">
        <v>3.6287396306685009</v>
      </c>
      <c r="X201" s="6">
        <v>0</v>
      </c>
      <c r="Y201" s="6">
        <v>124.5120907100091</v>
      </c>
      <c r="Z201" s="6">
        <v>5.9558837248798717</v>
      </c>
      <c r="AA201" s="6">
        <v>130.46797443488899</v>
      </c>
      <c r="AB201" s="6">
        <v>0</v>
      </c>
      <c r="AC201" s="6">
        <v>170.42969082874319</v>
      </c>
      <c r="AD201" s="6">
        <v>0</v>
      </c>
      <c r="AE201" s="6">
        <v>0</v>
      </c>
      <c r="AF201" s="6">
        <v>300.89766526363218</v>
      </c>
      <c r="AG201" s="6">
        <v>3.4999996522593051</v>
      </c>
      <c r="AH201" s="6">
        <v>0</v>
      </c>
      <c r="AI201" s="6">
        <v>151.54528187996121</v>
      </c>
      <c r="AJ201" s="6">
        <v>285.5132559671095</v>
      </c>
      <c r="AK201" s="6">
        <v>0</v>
      </c>
      <c r="AL201" s="6">
        <v>0</v>
      </c>
      <c r="AM201" s="6">
        <v>0</v>
      </c>
      <c r="AN201" s="6">
        <v>0</v>
      </c>
      <c r="AO201" s="6">
        <v>0</v>
      </c>
      <c r="AP201" s="6">
        <v>285.5132559671095</v>
      </c>
      <c r="AQ201" s="6">
        <v>420.0000772727667</v>
      </c>
      <c r="AR201" s="6">
        <v>651.29058499999996</v>
      </c>
      <c r="AS201" s="6">
        <v>295.48798656275761</v>
      </c>
      <c r="AT201" s="6">
        <v>289.53210283787769</v>
      </c>
    </row>
    <row r="202" spans="1:46" x14ac:dyDescent="0.35">
      <c r="A202" s="5">
        <v>46022</v>
      </c>
      <c r="B202" s="4" t="s">
        <v>764</v>
      </c>
      <c r="C202" s="4" t="s">
        <v>765</v>
      </c>
      <c r="D202" s="4" t="s">
        <v>61</v>
      </c>
      <c r="E202" s="6">
        <v>129</v>
      </c>
      <c r="F202" s="7">
        <v>0.09</v>
      </c>
      <c r="G202" s="6">
        <v>57</v>
      </c>
      <c r="H202" s="6">
        <v>6.6000000000000003E-2</v>
      </c>
      <c r="I202" s="6">
        <v>97</v>
      </c>
      <c r="J202" s="6">
        <v>6.4191999999999999E-2</v>
      </c>
      <c r="K202" s="8">
        <v>4.8689218167065853</v>
      </c>
      <c r="L202" s="6">
        <v>44.60776239156381</v>
      </c>
      <c r="M202" s="6">
        <v>23.811674752208699</v>
      </c>
      <c r="N202" s="6">
        <v>36.51452273809447</v>
      </c>
      <c r="O202" s="6">
        <v>20.439349170857191</v>
      </c>
      <c r="P202" s="6">
        <v>125.3733090527242</v>
      </c>
      <c r="Q202" s="6">
        <v>32.86403710530368</v>
      </c>
      <c r="R202" s="6">
        <v>3.087539290055203</v>
      </c>
      <c r="S202" s="6">
        <v>11.573990579567649</v>
      </c>
      <c r="T202" s="6">
        <v>19.601691261859091</v>
      </c>
      <c r="U202" s="6">
        <v>67.127258236785636</v>
      </c>
      <c r="V202" s="6">
        <v>192.5005672895098</v>
      </c>
      <c r="W202" s="6">
        <v>4.113985353246985</v>
      </c>
      <c r="X202" s="6">
        <v>22.964344508848448</v>
      </c>
      <c r="Y202" s="6">
        <v>219.57889715160519</v>
      </c>
      <c r="Z202" s="6">
        <v>11.03341963050177</v>
      </c>
      <c r="AA202" s="6">
        <v>230.612316782107</v>
      </c>
      <c r="AB202" s="6">
        <v>0</v>
      </c>
      <c r="AC202" s="6">
        <v>7.6666305258494853</v>
      </c>
      <c r="AD202" s="6">
        <v>0</v>
      </c>
      <c r="AE202" s="6">
        <v>0</v>
      </c>
      <c r="AF202" s="6">
        <v>238.27894730795651</v>
      </c>
      <c r="AG202" s="6">
        <v>11.40192581532332</v>
      </c>
      <c r="AH202" s="6">
        <v>0</v>
      </c>
      <c r="AI202" s="6">
        <v>7.6666305258494853</v>
      </c>
      <c r="AJ202" s="6">
        <v>249.68087312327981</v>
      </c>
      <c r="AK202" s="6">
        <v>0</v>
      </c>
      <c r="AL202" s="6">
        <v>0</v>
      </c>
      <c r="AM202" s="6">
        <v>0</v>
      </c>
      <c r="AN202" s="6">
        <v>0</v>
      </c>
      <c r="AO202" s="6">
        <v>0</v>
      </c>
      <c r="AP202" s="6">
        <v>249.68087312327981</v>
      </c>
      <c r="AQ202" s="6">
        <v>420.05234261883481</v>
      </c>
      <c r="AR202" s="6">
        <v>15.112121</v>
      </c>
      <c r="AS202" s="6">
        <v>200.47344546722951</v>
      </c>
      <c r="AT202" s="6">
        <v>189.44002583672781</v>
      </c>
    </row>
    <row r="203" spans="1:46" x14ac:dyDescent="0.35">
      <c r="A203" s="5">
        <v>46022</v>
      </c>
      <c r="B203" s="4" t="s">
        <v>314</v>
      </c>
      <c r="C203" s="4" t="s">
        <v>315</v>
      </c>
      <c r="D203" s="4" t="s">
        <v>58</v>
      </c>
      <c r="E203" s="6">
        <v>30672.799999999999</v>
      </c>
      <c r="F203" s="7">
        <v>0.52</v>
      </c>
      <c r="G203" s="6">
        <v>85</v>
      </c>
      <c r="H203" s="6">
        <v>135.57400000000001</v>
      </c>
      <c r="I203" s="6">
        <v>97</v>
      </c>
      <c r="J203" s="6">
        <v>131.506563</v>
      </c>
      <c r="K203" s="8">
        <v>94.021017855855376</v>
      </c>
      <c r="L203" s="6">
        <v>44.746244292170672</v>
      </c>
      <c r="M203" s="6">
        <v>18.482307211326098</v>
      </c>
      <c r="N203" s="6">
        <v>3.235017249657786</v>
      </c>
      <c r="O203" s="6">
        <v>23.34826167701214</v>
      </c>
      <c r="P203" s="6">
        <v>89.811830430166694</v>
      </c>
      <c r="Q203" s="6">
        <v>26.02570392586334</v>
      </c>
      <c r="R203" s="6">
        <v>46.194224413436089</v>
      </c>
      <c r="S203" s="6">
        <v>85.090964432061284</v>
      </c>
      <c r="T203" s="6">
        <v>23.75448153434505</v>
      </c>
      <c r="U203" s="6">
        <v>181.0653743057058</v>
      </c>
      <c r="V203" s="6">
        <v>270.87720473587251</v>
      </c>
      <c r="W203" s="6">
        <v>17.062867137896909</v>
      </c>
      <c r="X203" s="6">
        <v>20.899892449446561</v>
      </c>
      <c r="Y203" s="6">
        <v>308.8399643232159</v>
      </c>
      <c r="Z203" s="6">
        <v>4.8517247417379199</v>
      </c>
      <c r="AA203" s="6">
        <v>313.69168906495378</v>
      </c>
      <c r="AB203" s="6">
        <v>0</v>
      </c>
      <c r="AC203" s="6">
        <v>86.261151763382642</v>
      </c>
      <c r="AD203" s="6">
        <v>0</v>
      </c>
      <c r="AE203" s="6">
        <v>0</v>
      </c>
      <c r="AF203" s="6">
        <v>399.95284082833649</v>
      </c>
      <c r="AG203" s="6">
        <v>9.5937337014829662</v>
      </c>
      <c r="AH203" s="6">
        <v>0</v>
      </c>
      <c r="AI203" s="6">
        <v>69.053794788942071</v>
      </c>
      <c r="AJ203" s="6">
        <v>392.33921755537892</v>
      </c>
      <c r="AK203" s="6">
        <v>0</v>
      </c>
      <c r="AL203" s="6">
        <v>0</v>
      </c>
      <c r="AM203" s="6">
        <v>0</v>
      </c>
      <c r="AN203" s="6">
        <v>0</v>
      </c>
      <c r="AO203" s="6">
        <v>0</v>
      </c>
      <c r="AP203" s="6">
        <v>392.33921755537892</v>
      </c>
      <c r="AQ203" s="6">
        <v>420.0001178167991</v>
      </c>
      <c r="AR203" s="6">
        <v>1291.5633250000001</v>
      </c>
      <c r="AS203" s="6">
        <v>111.16015349358319</v>
      </c>
      <c r="AT203" s="6">
        <v>106.3084287518453</v>
      </c>
    </row>
    <row r="204" spans="1:46" x14ac:dyDescent="0.35">
      <c r="A204" s="5">
        <v>46022</v>
      </c>
      <c r="B204" s="4" t="s">
        <v>316</v>
      </c>
      <c r="C204" s="4" t="s">
        <v>317</v>
      </c>
      <c r="D204" s="4" t="s">
        <v>58</v>
      </c>
      <c r="E204" s="6">
        <v>28266.666667000001</v>
      </c>
      <c r="F204" s="7">
        <v>0.25</v>
      </c>
      <c r="G204" s="6">
        <v>30</v>
      </c>
      <c r="H204" s="6">
        <v>21.2</v>
      </c>
      <c r="I204" s="6">
        <v>100</v>
      </c>
      <c r="J204" s="6">
        <v>21.2</v>
      </c>
      <c r="K204" s="8">
        <v>100</v>
      </c>
      <c r="L204" s="6">
        <v>66.98984754643665</v>
      </c>
      <c r="M204" s="6">
        <v>72.468940981187913</v>
      </c>
      <c r="N204" s="6">
        <v>19.714213022120479</v>
      </c>
      <c r="O204" s="6">
        <v>46.514083174568512</v>
      </c>
      <c r="P204" s="6">
        <v>205.68708472431359</v>
      </c>
      <c r="Q204" s="6">
        <v>11.940184111072799</v>
      </c>
      <c r="R204" s="6">
        <v>2.42502576801393</v>
      </c>
      <c r="S204" s="6">
        <v>11.11960527424179</v>
      </c>
      <c r="T204" s="6">
        <v>2.8993019500915231</v>
      </c>
      <c r="U204" s="6">
        <v>28.384117103420049</v>
      </c>
      <c r="V204" s="6">
        <v>234.0712018277336</v>
      </c>
      <c r="W204" s="6">
        <v>4.7997843236890469</v>
      </c>
      <c r="X204" s="6">
        <v>0</v>
      </c>
      <c r="Y204" s="6">
        <v>238.8709861514227</v>
      </c>
      <c r="Z204" s="6">
        <v>0.47064172614381139</v>
      </c>
      <c r="AA204" s="6">
        <v>239.34162787756651</v>
      </c>
      <c r="AB204" s="6">
        <v>0</v>
      </c>
      <c r="AC204" s="6">
        <v>44.047266429531433</v>
      </c>
      <c r="AD204" s="6">
        <v>0</v>
      </c>
      <c r="AE204" s="6">
        <v>0</v>
      </c>
      <c r="AF204" s="6">
        <v>283.38889430709793</v>
      </c>
      <c r="AG204" s="6">
        <v>3.2093776942271801</v>
      </c>
      <c r="AH204" s="6">
        <v>0</v>
      </c>
      <c r="AI204" s="6">
        <v>42.791722749356623</v>
      </c>
      <c r="AJ204" s="6">
        <v>285.34272832115028</v>
      </c>
      <c r="AK204" s="6">
        <v>0</v>
      </c>
      <c r="AL204" s="6">
        <v>0</v>
      </c>
      <c r="AM204" s="6">
        <v>0</v>
      </c>
      <c r="AN204" s="6">
        <v>0</v>
      </c>
      <c r="AO204" s="6">
        <v>0</v>
      </c>
      <c r="AP204" s="6">
        <v>285.34272832115028</v>
      </c>
      <c r="AQ204" s="6">
        <v>419.99999964779198</v>
      </c>
      <c r="AR204" s="6">
        <v>196.299598</v>
      </c>
      <c r="AS204" s="6">
        <v>181.12901349636931</v>
      </c>
      <c r="AT204" s="6">
        <v>180.6583717702255</v>
      </c>
    </row>
    <row r="205" spans="1:46" x14ac:dyDescent="0.35">
      <c r="A205" s="5">
        <v>46022</v>
      </c>
      <c r="B205" s="4" t="s">
        <v>766</v>
      </c>
      <c r="C205" s="4" t="s">
        <v>767</v>
      </c>
      <c r="D205" s="4" t="s">
        <v>58</v>
      </c>
      <c r="E205" s="6">
        <v>69350</v>
      </c>
      <c r="F205" s="7">
        <v>0.6</v>
      </c>
      <c r="G205" s="6">
        <v>89.3</v>
      </c>
      <c r="H205" s="6">
        <v>371.577</v>
      </c>
      <c r="I205" s="6">
        <v>97</v>
      </c>
      <c r="J205" s="6">
        <v>360.429981</v>
      </c>
      <c r="K205" s="8">
        <v>79.882395693859905</v>
      </c>
      <c r="L205" s="6">
        <v>33.78218902398109</v>
      </c>
      <c r="M205" s="6">
        <v>17.98170074608932</v>
      </c>
      <c r="N205" s="6">
        <v>0.56709683628709351</v>
      </c>
      <c r="O205" s="6">
        <v>9.3859260230006107</v>
      </c>
      <c r="P205" s="6">
        <v>61.716912629358113</v>
      </c>
      <c r="Q205" s="6">
        <v>14.07043926235885</v>
      </c>
      <c r="R205" s="6">
        <v>29.607032511272489</v>
      </c>
      <c r="S205" s="6">
        <v>25.023323938087628</v>
      </c>
      <c r="T205" s="6">
        <v>7.8384743524948037</v>
      </c>
      <c r="U205" s="6">
        <v>76.539270064213767</v>
      </c>
      <c r="V205" s="6">
        <v>138.2561826935719</v>
      </c>
      <c r="W205" s="6">
        <v>16.779910177844862</v>
      </c>
      <c r="X205" s="6">
        <v>20.44828165901264</v>
      </c>
      <c r="Y205" s="6">
        <v>175.48437453042939</v>
      </c>
      <c r="Z205" s="6">
        <v>9.0000280497442713</v>
      </c>
      <c r="AA205" s="6">
        <v>184.48440258017371</v>
      </c>
      <c r="AB205" s="6">
        <v>0</v>
      </c>
      <c r="AC205" s="6">
        <v>95.51629401150943</v>
      </c>
      <c r="AD205" s="6">
        <v>0</v>
      </c>
      <c r="AE205" s="6">
        <v>0</v>
      </c>
      <c r="AF205" s="6">
        <v>280.00069659168309</v>
      </c>
      <c r="AG205" s="6">
        <v>2.514016365040519</v>
      </c>
      <c r="AH205" s="6">
        <v>0</v>
      </c>
      <c r="AI205" s="6">
        <v>61.858571804403198</v>
      </c>
      <c r="AJ205" s="6">
        <v>248.85699074961741</v>
      </c>
      <c r="AK205" s="6">
        <v>0</v>
      </c>
      <c r="AL205" s="6">
        <v>0</v>
      </c>
      <c r="AM205" s="6">
        <v>0</v>
      </c>
      <c r="AN205" s="6">
        <v>0</v>
      </c>
      <c r="AO205" s="6">
        <v>0</v>
      </c>
      <c r="AP205" s="6">
        <v>248.85699074961741</v>
      </c>
      <c r="AQ205" s="6">
        <v>420.00002178801452</v>
      </c>
      <c r="AR205" s="6">
        <v>4148.0509089999996</v>
      </c>
      <c r="AS205" s="6">
        <v>244.5156472575851</v>
      </c>
      <c r="AT205" s="6">
        <v>235.51561920784081</v>
      </c>
    </row>
    <row r="206" spans="1:46" x14ac:dyDescent="0.35">
      <c r="A206" s="5">
        <v>46022</v>
      </c>
      <c r="B206" s="4" t="s">
        <v>318</v>
      </c>
      <c r="C206" s="4" t="s">
        <v>319</v>
      </c>
      <c r="D206" s="4" t="s">
        <v>122</v>
      </c>
      <c r="E206" s="6">
        <v>634.50912500000004</v>
      </c>
      <c r="F206" s="7">
        <v>2.052</v>
      </c>
      <c r="G206" s="6">
        <v>67.17</v>
      </c>
      <c r="H206" s="6">
        <v>8.7449999999999992</v>
      </c>
      <c r="I206" s="6">
        <v>97</v>
      </c>
      <c r="J206" s="6">
        <v>8.4826499999999996</v>
      </c>
      <c r="K206" s="8">
        <v>100</v>
      </c>
      <c r="L206" s="6">
        <v>75.700826188373469</v>
      </c>
      <c r="M206" s="6">
        <v>19.20266413126329</v>
      </c>
      <c r="N206" s="6">
        <v>7.662868809120571</v>
      </c>
      <c r="O206" s="6">
        <v>44.01647855108051</v>
      </c>
      <c r="P206" s="6">
        <v>146.58283767983781</v>
      </c>
      <c r="Q206" s="6">
        <v>45.962555492808498</v>
      </c>
      <c r="R206" s="6">
        <v>12.48315602803685</v>
      </c>
      <c r="S206" s="6">
        <v>12.736053200502701</v>
      </c>
      <c r="T206" s="6">
        <v>29.689209248044179</v>
      </c>
      <c r="U206" s="6">
        <v>100.8709739693922</v>
      </c>
      <c r="V206" s="6">
        <v>247.45381164923009</v>
      </c>
      <c r="W206" s="6">
        <v>8.4369325882082897</v>
      </c>
      <c r="X206" s="6">
        <v>17.124278603918349</v>
      </c>
      <c r="Y206" s="6">
        <v>273.01502284135671</v>
      </c>
      <c r="Z206" s="6">
        <v>41.999582840194869</v>
      </c>
      <c r="AA206" s="6">
        <v>315.01460568155159</v>
      </c>
      <c r="AB206" s="6">
        <v>0</v>
      </c>
      <c r="AC206" s="6">
        <v>153.3913010410933</v>
      </c>
      <c r="AD206" s="6">
        <v>0</v>
      </c>
      <c r="AE206" s="6">
        <v>0</v>
      </c>
      <c r="AF206" s="6">
        <v>468.40590672264489</v>
      </c>
      <c r="AG206" s="6">
        <v>17.111346983171408</v>
      </c>
      <c r="AH206" s="6">
        <v>0</v>
      </c>
      <c r="AI206" s="6">
        <v>24.597560652138672</v>
      </c>
      <c r="AJ206" s="6">
        <v>356.72351331686173</v>
      </c>
      <c r="AK206" s="6">
        <v>61.012643098537161</v>
      </c>
      <c r="AL206" s="6">
        <v>0</v>
      </c>
      <c r="AM206" s="6">
        <v>0</v>
      </c>
      <c r="AN206" s="6">
        <v>0</v>
      </c>
      <c r="AO206" s="6">
        <v>0</v>
      </c>
      <c r="AP206" s="6">
        <v>417.7361564153988</v>
      </c>
      <c r="AQ206" s="6">
        <v>419.9975240063377</v>
      </c>
      <c r="AR206" s="6">
        <v>78.543914000000001</v>
      </c>
      <c r="AS206" s="6">
        <v>146.9825011649809</v>
      </c>
      <c r="AT206" s="6">
        <v>104.9829183247861</v>
      </c>
    </row>
    <row r="207" spans="1:46" x14ac:dyDescent="0.35">
      <c r="A207" s="5">
        <v>46022</v>
      </c>
      <c r="B207" s="4" t="s">
        <v>768</v>
      </c>
      <c r="C207" s="4" t="s">
        <v>769</v>
      </c>
      <c r="D207" s="4" t="s">
        <v>122</v>
      </c>
      <c r="E207" s="6">
        <v>24948</v>
      </c>
      <c r="F207" s="7">
        <v>0.64</v>
      </c>
      <c r="G207" s="6">
        <v>94</v>
      </c>
      <c r="H207" s="6">
        <v>150.08699999999999</v>
      </c>
      <c r="I207" s="6">
        <v>96.5</v>
      </c>
      <c r="J207" s="6">
        <v>144.83411699999999</v>
      </c>
      <c r="K207" s="8">
        <v>100</v>
      </c>
      <c r="L207" s="6">
        <v>34.377586234014359</v>
      </c>
      <c r="M207" s="6">
        <v>17.840979038143391</v>
      </c>
      <c r="N207" s="6">
        <v>0.46104306635046077</v>
      </c>
      <c r="O207" s="6">
        <v>15.86772440256842</v>
      </c>
      <c r="P207" s="6">
        <v>68.547332741076644</v>
      </c>
      <c r="Q207" s="6">
        <v>12.291515346416681</v>
      </c>
      <c r="R207" s="6">
        <v>12.371358742143279</v>
      </c>
      <c r="S207" s="6">
        <v>13.626382224751429</v>
      </c>
      <c r="T207" s="6">
        <v>9.5935445771083678</v>
      </c>
      <c r="U207" s="6">
        <v>47.882800890419759</v>
      </c>
      <c r="V207" s="6">
        <v>116.4301336314964</v>
      </c>
      <c r="W207" s="6">
        <v>8.6174723196259837</v>
      </c>
      <c r="X207" s="6">
        <v>20.534504253177971</v>
      </c>
      <c r="Y207" s="6">
        <v>145.58211020430039</v>
      </c>
      <c r="Z207" s="6">
        <v>25.58544070446483</v>
      </c>
      <c r="AA207" s="6">
        <v>171.16755090876521</v>
      </c>
      <c r="AB207" s="6">
        <v>0</v>
      </c>
      <c r="AC207" s="6">
        <v>101.2263306212826</v>
      </c>
      <c r="AD207" s="6">
        <v>0</v>
      </c>
      <c r="AE207" s="6">
        <v>0</v>
      </c>
      <c r="AF207" s="6">
        <v>272.39388153004779</v>
      </c>
      <c r="AG207" s="6">
        <v>3.1043368532441771</v>
      </c>
      <c r="AH207" s="6">
        <v>0</v>
      </c>
      <c r="AI207" s="6">
        <v>85.498306768238805</v>
      </c>
      <c r="AJ207" s="6">
        <v>259.7701945302482</v>
      </c>
      <c r="AK207" s="6">
        <v>168.80434625528051</v>
      </c>
      <c r="AL207" s="6">
        <v>0</v>
      </c>
      <c r="AM207" s="6">
        <v>0</v>
      </c>
      <c r="AN207" s="6">
        <v>0</v>
      </c>
      <c r="AO207" s="6">
        <v>0</v>
      </c>
      <c r="AP207" s="6">
        <v>428.57454078552871</v>
      </c>
      <c r="AQ207" s="6">
        <v>419.99995035001501</v>
      </c>
      <c r="AR207" s="6">
        <v>1341.079039</v>
      </c>
      <c r="AS207" s="6">
        <v>274.41784014571471</v>
      </c>
      <c r="AT207" s="6">
        <v>248.83239944124981</v>
      </c>
    </row>
    <row r="208" spans="1:46" x14ac:dyDescent="0.35">
      <c r="A208" s="5">
        <v>46022</v>
      </c>
      <c r="B208" s="4" t="s">
        <v>770</v>
      </c>
      <c r="C208" s="4" t="s">
        <v>771</v>
      </c>
      <c r="D208" s="4" t="s">
        <v>61</v>
      </c>
      <c r="E208" s="6">
        <v>269.24</v>
      </c>
      <c r="F208" s="7">
        <v>0.62039999999999995</v>
      </c>
      <c r="G208" s="6">
        <v>88</v>
      </c>
      <c r="H208" s="6">
        <v>1.47</v>
      </c>
      <c r="I208" s="6">
        <v>97</v>
      </c>
      <c r="J208" s="6">
        <v>1.4258999999999999</v>
      </c>
      <c r="K208" s="8">
        <v>82.899958292723298</v>
      </c>
      <c r="L208" s="6">
        <v>18.360285770275471</v>
      </c>
      <c r="M208" s="6">
        <v>0</v>
      </c>
      <c r="N208" s="6">
        <v>25.392373281149411</v>
      </c>
      <c r="O208" s="6">
        <v>24.110730428854509</v>
      </c>
      <c r="P208" s="6">
        <v>67.863389480279395</v>
      </c>
      <c r="Q208" s="6">
        <v>12.924166953604249</v>
      </c>
      <c r="R208" s="6">
        <v>5.8677967596644738</v>
      </c>
      <c r="S208" s="6">
        <v>14.66620805678752</v>
      </c>
      <c r="T208" s="6">
        <v>28.62080569615085</v>
      </c>
      <c r="U208" s="6">
        <v>62.078977466207093</v>
      </c>
      <c r="V208" s="6">
        <v>129.94236694648649</v>
      </c>
      <c r="W208" s="6">
        <v>12.496524466231021</v>
      </c>
      <c r="X208" s="6">
        <v>22.316298369147681</v>
      </c>
      <c r="Y208" s="6">
        <v>164.7551897818652</v>
      </c>
      <c r="Z208" s="6">
        <v>45.427363759266797</v>
      </c>
      <c r="AA208" s="6">
        <v>210.18255354113199</v>
      </c>
      <c r="AB208" s="6">
        <v>0</v>
      </c>
      <c r="AC208" s="6">
        <v>1.695627097568825</v>
      </c>
      <c r="AD208" s="6">
        <v>0</v>
      </c>
      <c r="AE208" s="6">
        <v>0</v>
      </c>
      <c r="AF208" s="6">
        <v>211.8781806387008</v>
      </c>
      <c r="AG208" s="6">
        <v>7.2812335192892288</v>
      </c>
      <c r="AH208" s="6">
        <v>0</v>
      </c>
      <c r="AI208" s="6">
        <v>11.86940388338123</v>
      </c>
      <c r="AJ208" s="6">
        <v>229.33319094380241</v>
      </c>
      <c r="AK208" s="6">
        <v>0</v>
      </c>
      <c r="AL208" s="6">
        <v>0</v>
      </c>
      <c r="AM208" s="6">
        <v>0</v>
      </c>
      <c r="AN208" s="6">
        <v>0</v>
      </c>
      <c r="AO208" s="6">
        <v>0</v>
      </c>
      <c r="AP208" s="6">
        <v>229.33319094380241</v>
      </c>
      <c r="AQ208" s="6">
        <v>419.99999964779198</v>
      </c>
      <c r="AR208" s="6">
        <v>15.883914000000001</v>
      </c>
      <c r="AS208" s="6">
        <v>255.24480986592681</v>
      </c>
      <c r="AT208" s="6">
        <v>209.81744610665999</v>
      </c>
    </row>
    <row r="209" spans="1:46" x14ac:dyDescent="0.35">
      <c r="A209" s="5">
        <v>46022</v>
      </c>
      <c r="B209" s="4" t="s">
        <v>320</v>
      </c>
      <c r="C209" s="4" t="s">
        <v>321</v>
      </c>
      <c r="D209" s="4" t="s">
        <v>61</v>
      </c>
      <c r="E209" s="6">
        <v>264.27999999999997</v>
      </c>
      <c r="F209" s="7">
        <v>0.54</v>
      </c>
      <c r="G209" s="6">
        <v>95</v>
      </c>
      <c r="H209" s="6">
        <v>1.3560000000000001</v>
      </c>
      <c r="I209" s="6">
        <v>97</v>
      </c>
      <c r="J209" s="6">
        <v>1.3150839999999999</v>
      </c>
      <c r="K209" s="8">
        <v>95.010988803005631</v>
      </c>
      <c r="L209" s="6">
        <v>73.442294197037995</v>
      </c>
      <c r="M209" s="6">
        <v>0</v>
      </c>
      <c r="N209" s="6">
        <v>7.1703669130993726</v>
      </c>
      <c r="O209" s="6">
        <v>20.52573552440802</v>
      </c>
      <c r="P209" s="6">
        <v>101.1383966345454</v>
      </c>
      <c r="Q209" s="6">
        <v>18.142870842982258</v>
      </c>
      <c r="R209" s="6">
        <v>3.48319133654834</v>
      </c>
      <c r="S209" s="6">
        <v>18.865740480653251</v>
      </c>
      <c r="T209" s="6">
        <v>27.494283359479851</v>
      </c>
      <c r="U209" s="6">
        <v>67.986086019663716</v>
      </c>
      <c r="V209" s="6">
        <v>169.12448265420909</v>
      </c>
      <c r="W209" s="6">
        <v>6.8774278896863681</v>
      </c>
      <c r="X209" s="6">
        <v>0</v>
      </c>
      <c r="Y209" s="6">
        <v>176.00191054389549</v>
      </c>
      <c r="Z209" s="6">
        <v>0</v>
      </c>
      <c r="AA209" s="6">
        <v>176.00191054389549</v>
      </c>
      <c r="AB209" s="6">
        <v>0</v>
      </c>
      <c r="AC209" s="6">
        <v>15.816309033558269</v>
      </c>
      <c r="AD209" s="6">
        <v>0</v>
      </c>
      <c r="AE209" s="6">
        <v>0</v>
      </c>
      <c r="AF209" s="6">
        <v>191.8182195774537</v>
      </c>
      <c r="AG209" s="6">
        <v>15.816309033558269</v>
      </c>
      <c r="AH209" s="6">
        <v>0</v>
      </c>
      <c r="AI209" s="6">
        <v>15.816309033558269</v>
      </c>
      <c r="AJ209" s="6">
        <v>207.634528611012</v>
      </c>
      <c r="AK209" s="6">
        <v>0</v>
      </c>
      <c r="AL209" s="6">
        <v>0</v>
      </c>
      <c r="AM209" s="6">
        <v>0</v>
      </c>
      <c r="AN209" s="6">
        <v>0</v>
      </c>
      <c r="AO209" s="6">
        <v>0</v>
      </c>
      <c r="AP209" s="6">
        <v>207.634528611012</v>
      </c>
      <c r="AQ209" s="6">
        <v>420.00510958753301</v>
      </c>
      <c r="AR209" s="6">
        <v>12.815600999999999</v>
      </c>
      <c r="AS209" s="6">
        <v>244.00319904363749</v>
      </c>
      <c r="AT209" s="6">
        <v>244.00319904363749</v>
      </c>
    </row>
    <row r="210" spans="1:46" x14ac:dyDescent="0.35">
      <c r="A210" s="5">
        <v>46022</v>
      </c>
      <c r="B210" s="4" t="s">
        <v>772</v>
      </c>
      <c r="C210" s="4" t="s">
        <v>773</v>
      </c>
      <c r="D210" s="4" t="s">
        <v>61</v>
      </c>
      <c r="E210" s="6">
        <v>529.4</v>
      </c>
      <c r="F210" s="7">
        <v>0.39040000000000002</v>
      </c>
      <c r="G210" s="6">
        <v>90</v>
      </c>
      <c r="H210" s="6">
        <v>1.86</v>
      </c>
      <c r="I210" s="6">
        <v>94.216128999999995</v>
      </c>
      <c r="J210" s="6">
        <v>1.7524200000000001</v>
      </c>
      <c r="K210" s="8">
        <v>87.890615717598436</v>
      </c>
      <c r="L210" s="6">
        <v>44.916954363206898</v>
      </c>
      <c r="M210" s="6">
        <v>41.74031540935416</v>
      </c>
      <c r="N210" s="6">
        <v>19.516934055060389</v>
      </c>
      <c r="O210" s="6">
        <v>31.46816752188635</v>
      </c>
      <c r="P210" s="6">
        <v>137.64237134950781</v>
      </c>
      <c r="Q210" s="6">
        <v>8.8362212821821817</v>
      </c>
      <c r="R210" s="6">
        <v>16.841209813918081</v>
      </c>
      <c r="S210" s="6">
        <v>32.372034832641262</v>
      </c>
      <c r="T210" s="6">
        <v>37.14995812897704</v>
      </c>
      <c r="U210" s="6">
        <v>95.199424057718559</v>
      </c>
      <c r="V210" s="6">
        <v>232.84179540722641</v>
      </c>
      <c r="W210" s="6">
        <v>14.344315187538511</v>
      </c>
      <c r="X210" s="6">
        <v>25.169184327028169</v>
      </c>
      <c r="Y210" s="6">
        <v>272.35529492179302</v>
      </c>
      <c r="Z210" s="6">
        <v>48.129367518014128</v>
      </c>
      <c r="AA210" s="6">
        <v>320.48466243980721</v>
      </c>
      <c r="AB210" s="6">
        <v>0</v>
      </c>
      <c r="AC210" s="6">
        <v>7.5736974955540992</v>
      </c>
      <c r="AD210" s="6">
        <v>0</v>
      </c>
      <c r="AE210" s="6">
        <v>0</v>
      </c>
      <c r="AF210" s="6">
        <v>328.0583599353613</v>
      </c>
      <c r="AG210" s="6">
        <v>11.530552785084859</v>
      </c>
      <c r="AH210" s="6">
        <v>0</v>
      </c>
      <c r="AI210" s="6">
        <v>7.5736974955540992</v>
      </c>
      <c r="AJ210" s="6">
        <v>339.5889127204461</v>
      </c>
      <c r="AK210" s="6">
        <v>0</v>
      </c>
      <c r="AL210" s="6">
        <v>0</v>
      </c>
      <c r="AM210" s="6">
        <v>0</v>
      </c>
      <c r="AN210" s="6">
        <v>0</v>
      </c>
      <c r="AO210" s="6">
        <v>0</v>
      </c>
      <c r="AP210" s="6">
        <v>339.5889127204461</v>
      </c>
      <c r="AQ210" s="6">
        <v>419.99520627634388</v>
      </c>
      <c r="AR210" s="6">
        <v>18.425795000000001</v>
      </c>
      <c r="AS210" s="6">
        <v>147.6399113545508</v>
      </c>
      <c r="AT210" s="6">
        <v>99.510543836536726</v>
      </c>
    </row>
    <row r="211" spans="1:46" x14ac:dyDescent="0.35">
      <c r="A211" s="5">
        <v>46022</v>
      </c>
      <c r="B211" s="4" t="s">
        <v>577</v>
      </c>
      <c r="C211" s="4" t="s">
        <v>578</v>
      </c>
      <c r="D211" s="4" t="s">
        <v>213</v>
      </c>
      <c r="E211" s="6">
        <v>1622.553494</v>
      </c>
      <c r="F211" s="7">
        <v>2.4</v>
      </c>
      <c r="G211" s="6">
        <v>82.18</v>
      </c>
      <c r="H211" s="6">
        <v>32</v>
      </c>
      <c r="I211" s="6">
        <v>100</v>
      </c>
      <c r="J211" s="6">
        <v>32</v>
      </c>
      <c r="K211" s="8">
        <v>100</v>
      </c>
      <c r="L211" s="6">
        <v>39.069710304610851</v>
      </c>
      <c r="M211" s="6">
        <v>35.212314514476482</v>
      </c>
      <c r="N211" s="6">
        <v>0.79981706650855788</v>
      </c>
      <c r="O211" s="6">
        <v>11.7884038733706</v>
      </c>
      <c r="P211" s="6">
        <v>86.870245758966476</v>
      </c>
      <c r="Q211" s="6">
        <v>21.192122103529229</v>
      </c>
      <c r="R211" s="6">
        <v>48.735535558784854</v>
      </c>
      <c r="S211" s="6">
        <v>33.320722554422872</v>
      </c>
      <c r="T211" s="6">
        <v>7.5907402078556041</v>
      </c>
      <c r="U211" s="6">
        <v>110.83912042459259</v>
      </c>
      <c r="V211" s="6">
        <v>197.70936618355901</v>
      </c>
      <c r="W211" s="6">
        <v>4.8449848033595471</v>
      </c>
      <c r="X211" s="6">
        <v>0</v>
      </c>
      <c r="Y211" s="6">
        <v>202.55435098691859</v>
      </c>
      <c r="Z211" s="6">
        <v>10.49997930294094</v>
      </c>
      <c r="AA211" s="6">
        <v>213.05433028985951</v>
      </c>
      <c r="AB211" s="6">
        <v>1.482820643114771</v>
      </c>
      <c r="AC211" s="6">
        <v>10.644068659196719</v>
      </c>
      <c r="AD211" s="6">
        <v>0</v>
      </c>
      <c r="AE211" s="6">
        <v>0</v>
      </c>
      <c r="AF211" s="6">
        <v>225.181219592171</v>
      </c>
      <c r="AG211" s="6">
        <v>15.599587152132489</v>
      </c>
      <c r="AH211" s="6">
        <v>0</v>
      </c>
      <c r="AI211" s="6">
        <v>2.2427730075072172</v>
      </c>
      <c r="AJ211" s="6">
        <v>232.379511092614</v>
      </c>
      <c r="AK211" s="6">
        <v>0</v>
      </c>
      <c r="AL211" s="6">
        <v>0</v>
      </c>
      <c r="AM211" s="6">
        <v>0</v>
      </c>
      <c r="AN211" s="6">
        <v>0</v>
      </c>
      <c r="AO211" s="6">
        <v>0</v>
      </c>
      <c r="AP211" s="6">
        <v>232.379511092614</v>
      </c>
      <c r="AQ211" s="6">
        <v>419.99999964779192</v>
      </c>
      <c r="AR211" s="6">
        <v>296.30128000000002</v>
      </c>
      <c r="AS211" s="6">
        <v>217.44564866087339</v>
      </c>
      <c r="AT211" s="6">
        <v>206.94566935793239</v>
      </c>
    </row>
    <row r="212" spans="1:46" x14ac:dyDescent="0.35">
      <c r="A212" s="5">
        <v>46022</v>
      </c>
      <c r="B212" s="4" t="s">
        <v>322</v>
      </c>
      <c r="C212" s="4" t="s">
        <v>323</v>
      </c>
      <c r="D212" s="4" t="s">
        <v>222</v>
      </c>
      <c r="E212" s="6">
        <v>880</v>
      </c>
      <c r="F212" s="7">
        <v>1</v>
      </c>
      <c r="G212" s="6">
        <v>88</v>
      </c>
      <c r="H212" s="6">
        <v>7.7439999999999998</v>
      </c>
      <c r="I212" s="6">
        <v>97</v>
      </c>
      <c r="J212" s="6">
        <v>7.5116800000000001</v>
      </c>
      <c r="K212" s="8">
        <v>24.684164823656399</v>
      </c>
      <c r="L212" s="6">
        <v>49.068299131934168</v>
      </c>
      <c r="M212" s="6">
        <v>3.698259689419058</v>
      </c>
      <c r="N212" s="6">
        <v>10.32800677887019</v>
      </c>
      <c r="O212" s="6">
        <v>124.852774797652</v>
      </c>
      <c r="P212" s="6">
        <v>187.94734039787539</v>
      </c>
      <c r="Q212" s="6">
        <v>21.179904354260209</v>
      </c>
      <c r="R212" s="6">
        <v>14.47918188653542</v>
      </c>
      <c r="S212" s="6">
        <v>14.86203219806101</v>
      </c>
      <c r="T212" s="6">
        <v>27.004942600712631</v>
      </c>
      <c r="U212" s="6">
        <v>77.526061039569271</v>
      </c>
      <c r="V212" s="6">
        <v>265.47340143744469</v>
      </c>
      <c r="W212" s="6">
        <v>112.6976322739999</v>
      </c>
      <c r="X212" s="6">
        <v>36.776683359252793</v>
      </c>
      <c r="Y212" s="6">
        <v>414.94771707069742</v>
      </c>
      <c r="Z212" s="6">
        <v>0</v>
      </c>
      <c r="AA212" s="6">
        <v>414.94771707069742</v>
      </c>
      <c r="AB212" s="6">
        <v>0</v>
      </c>
      <c r="AC212" s="6">
        <v>51.103533394404593</v>
      </c>
      <c r="AD212" s="6">
        <v>0</v>
      </c>
      <c r="AE212" s="6">
        <v>0</v>
      </c>
      <c r="AF212" s="6">
        <v>466.05125046510199</v>
      </c>
      <c r="AG212" s="6">
        <v>2.2630279138674569</v>
      </c>
      <c r="AH212" s="6">
        <v>0</v>
      </c>
      <c r="AI212" s="6">
        <v>28.97939986009197</v>
      </c>
      <c r="AJ212" s="6">
        <v>446.19014484465691</v>
      </c>
      <c r="AK212" s="6">
        <v>0</v>
      </c>
      <c r="AL212" s="6">
        <v>0</v>
      </c>
      <c r="AM212" s="6">
        <v>0</v>
      </c>
      <c r="AN212" s="6">
        <v>0</v>
      </c>
      <c r="AO212" s="6">
        <v>0</v>
      </c>
      <c r="AP212" s="6">
        <v>446.19014484465691</v>
      </c>
      <c r="AQ212" s="6">
        <v>420.00111790628978</v>
      </c>
      <c r="AR212" s="6">
        <v>277.34097500000001</v>
      </c>
      <c r="AS212" s="6">
        <v>5.0534008355923312</v>
      </c>
      <c r="AT212" s="6">
        <v>5.0534008355923312</v>
      </c>
    </row>
    <row r="213" spans="1:46" x14ac:dyDescent="0.35">
      <c r="A213" s="5">
        <v>46022</v>
      </c>
      <c r="B213" s="4" t="s">
        <v>774</v>
      </c>
      <c r="C213" s="4" t="s">
        <v>775</v>
      </c>
      <c r="D213" s="4" t="s">
        <v>58</v>
      </c>
      <c r="E213" s="6">
        <v>7100</v>
      </c>
      <c r="F213" s="7">
        <v>0.85199999999999998</v>
      </c>
      <c r="G213" s="6">
        <v>82</v>
      </c>
      <c r="H213" s="6">
        <v>49.603000000000002</v>
      </c>
      <c r="I213" s="6">
        <v>97</v>
      </c>
      <c r="J213" s="6">
        <v>48.114657999999999</v>
      </c>
      <c r="K213" s="8">
        <v>90.063284175358717</v>
      </c>
      <c r="L213" s="6">
        <v>43.945978046053682</v>
      </c>
      <c r="M213" s="6">
        <v>17.810554104501549</v>
      </c>
      <c r="N213" s="6">
        <v>1.5207277293167001</v>
      </c>
      <c r="O213" s="6">
        <v>11.603617054782919</v>
      </c>
      <c r="P213" s="6">
        <v>74.88087693465485</v>
      </c>
      <c r="Q213" s="6">
        <v>30.04188541611078</v>
      </c>
      <c r="R213" s="6">
        <v>12.19476367675685</v>
      </c>
      <c r="S213" s="6">
        <v>50.59256464694586</v>
      </c>
      <c r="T213" s="6">
        <v>11.727094612429021</v>
      </c>
      <c r="U213" s="6">
        <v>104.5563083522425</v>
      </c>
      <c r="V213" s="6">
        <v>179.4371852868974</v>
      </c>
      <c r="W213" s="6">
        <v>6.2989403086655047</v>
      </c>
      <c r="X213" s="6">
        <v>42.633257643571973</v>
      </c>
      <c r="Y213" s="6">
        <v>228.36938323913481</v>
      </c>
      <c r="Z213" s="6">
        <v>2.8423778728911988</v>
      </c>
      <c r="AA213" s="6">
        <v>231.21176111202601</v>
      </c>
      <c r="AB213" s="6">
        <v>0</v>
      </c>
      <c r="AC213" s="6">
        <v>162.258691839606</v>
      </c>
      <c r="AD213" s="6">
        <v>0</v>
      </c>
      <c r="AE213" s="6">
        <v>0</v>
      </c>
      <c r="AF213" s="6">
        <v>393.47045295163201</v>
      </c>
      <c r="AG213" s="6">
        <v>6.3044326577745986</v>
      </c>
      <c r="AH213" s="6">
        <v>0</v>
      </c>
      <c r="AI213" s="6">
        <v>158.87174879095861</v>
      </c>
      <c r="AJ213" s="6">
        <v>396.38794256075931</v>
      </c>
      <c r="AK213" s="6">
        <v>0</v>
      </c>
      <c r="AL213" s="6">
        <v>0</v>
      </c>
      <c r="AM213" s="6">
        <v>0</v>
      </c>
      <c r="AN213" s="6">
        <v>0</v>
      </c>
      <c r="AO213" s="6">
        <v>0</v>
      </c>
      <c r="AP213" s="6">
        <v>396.38794256075931</v>
      </c>
      <c r="AQ213" s="6">
        <v>420.00036627203332</v>
      </c>
      <c r="AR213" s="6">
        <v>493.13296300000002</v>
      </c>
      <c r="AS213" s="6">
        <v>191.6309830328984</v>
      </c>
      <c r="AT213" s="6">
        <v>188.78860516000719</v>
      </c>
    </row>
    <row r="214" spans="1:46" x14ac:dyDescent="0.35">
      <c r="A214" s="5">
        <v>46022</v>
      </c>
      <c r="B214" s="4" t="s">
        <v>579</v>
      </c>
      <c r="C214" s="4" t="s">
        <v>580</v>
      </c>
      <c r="D214" s="4" t="s">
        <v>58</v>
      </c>
      <c r="E214" s="6">
        <v>8592</v>
      </c>
      <c r="F214" s="7">
        <v>0.1328</v>
      </c>
      <c r="G214" s="6">
        <v>61.33</v>
      </c>
      <c r="H214" s="6">
        <v>7</v>
      </c>
      <c r="I214" s="6">
        <v>100</v>
      </c>
      <c r="J214" s="6">
        <v>7</v>
      </c>
      <c r="K214" s="8">
        <v>99.9999997385288</v>
      </c>
      <c r="L214" s="6">
        <v>0</v>
      </c>
      <c r="M214" s="6">
        <v>0</v>
      </c>
      <c r="N214" s="6">
        <v>0</v>
      </c>
      <c r="O214" s="6">
        <v>0</v>
      </c>
      <c r="P214" s="6">
        <v>0</v>
      </c>
      <c r="Q214" s="6">
        <v>136.98226164309369</v>
      </c>
      <c r="R214" s="6">
        <v>0.30042350506939097</v>
      </c>
      <c r="S214" s="6">
        <v>214.12100733975919</v>
      </c>
      <c r="T214" s="6">
        <v>73.921497241524719</v>
      </c>
      <c r="U214" s="6">
        <v>425.325189729447</v>
      </c>
      <c r="V214" s="6">
        <v>425.325189729447</v>
      </c>
      <c r="W214" s="6">
        <v>3.164778103451118</v>
      </c>
      <c r="X214" s="6">
        <v>0</v>
      </c>
      <c r="Y214" s="6">
        <v>428.48996783289812</v>
      </c>
      <c r="Z214" s="6">
        <v>0</v>
      </c>
      <c r="AA214" s="6">
        <v>428.48996783289812</v>
      </c>
      <c r="AB214" s="6">
        <v>0</v>
      </c>
      <c r="AC214" s="6">
        <v>272.09294497884622</v>
      </c>
      <c r="AD214" s="6">
        <v>0</v>
      </c>
      <c r="AE214" s="6">
        <v>0</v>
      </c>
      <c r="AF214" s="6">
        <v>700.58291281174434</v>
      </c>
      <c r="AG214" s="6">
        <v>9.9394192443500806</v>
      </c>
      <c r="AH214" s="6">
        <v>0</v>
      </c>
      <c r="AI214" s="6">
        <v>267.49500666043338</v>
      </c>
      <c r="AJ214" s="6">
        <v>705.9243937376815</v>
      </c>
      <c r="AK214" s="6">
        <v>0</v>
      </c>
      <c r="AL214" s="6">
        <v>0</v>
      </c>
      <c r="AM214" s="6">
        <v>0</v>
      </c>
      <c r="AN214" s="6">
        <v>0</v>
      </c>
      <c r="AO214" s="6">
        <v>0</v>
      </c>
      <c r="AP214" s="6">
        <v>705.9243937376815</v>
      </c>
      <c r="AQ214" s="6">
        <v>419.99999964779192</v>
      </c>
      <c r="AR214" s="6">
        <v>64.815905000000001</v>
      </c>
      <c r="AS214" s="6">
        <v>-8.4899681851061484</v>
      </c>
      <c r="AT214" s="6">
        <v>-8.4899681851061484</v>
      </c>
    </row>
    <row r="215" spans="1:46" x14ac:dyDescent="0.35">
      <c r="A215" s="5">
        <v>46022</v>
      </c>
      <c r="B215" s="4" t="s">
        <v>581</v>
      </c>
      <c r="C215" s="4" t="s">
        <v>582</v>
      </c>
      <c r="D215" s="4" t="s">
        <v>58</v>
      </c>
      <c r="E215" s="6">
        <v>10127</v>
      </c>
      <c r="F215" s="7">
        <v>0.78490000000000004</v>
      </c>
      <c r="G215" s="6">
        <v>88.94</v>
      </c>
      <c r="H215" s="6">
        <v>70.69</v>
      </c>
      <c r="I215" s="6">
        <v>97</v>
      </c>
      <c r="J215" s="6">
        <v>68.568917999999996</v>
      </c>
      <c r="K215" s="8">
        <v>89.8106801157832</v>
      </c>
      <c r="L215" s="6">
        <v>18.5965479540586</v>
      </c>
      <c r="M215" s="6">
        <v>11.09965491479176</v>
      </c>
      <c r="N215" s="6">
        <v>0.119043378554992</v>
      </c>
      <c r="O215" s="6">
        <v>3.8116623681362629</v>
      </c>
      <c r="P215" s="6">
        <v>33.626908615541609</v>
      </c>
      <c r="Q215" s="6">
        <v>41.509281755082291</v>
      </c>
      <c r="R215" s="6">
        <v>16.311884953013049</v>
      </c>
      <c r="S215" s="6">
        <v>52.455153754890453</v>
      </c>
      <c r="T215" s="6">
        <v>9.5706941537149444</v>
      </c>
      <c r="U215" s="6">
        <v>119.8470146167007</v>
      </c>
      <c r="V215" s="6">
        <v>153.47392323224241</v>
      </c>
      <c r="W215" s="6">
        <v>7.6074793780781631</v>
      </c>
      <c r="X215" s="6">
        <v>0.31109590455783792</v>
      </c>
      <c r="Y215" s="6">
        <v>161.39249851487841</v>
      </c>
      <c r="Z215" s="6">
        <v>40.272306924586928</v>
      </c>
      <c r="AA215" s="6">
        <v>201.66480543946531</v>
      </c>
      <c r="AB215" s="6">
        <v>0</v>
      </c>
      <c r="AC215" s="6">
        <v>44.804477800640008</v>
      </c>
      <c r="AD215" s="6">
        <v>0</v>
      </c>
      <c r="AE215" s="6">
        <v>0</v>
      </c>
      <c r="AF215" s="6">
        <v>246.46928324010531</v>
      </c>
      <c r="AG215" s="6">
        <v>6.2867490491204236</v>
      </c>
      <c r="AH215" s="6">
        <v>0</v>
      </c>
      <c r="AI215" s="6">
        <v>5.7789164700082907</v>
      </c>
      <c r="AJ215" s="6">
        <v>213.730470958594</v>
      </c>
      <c r="AK215" s="6">
        <v>0</v>
      </c>
      <c r="AL215" s="6">
        <v>0</v>
      </c>
      <c r="AM215" s="6">
        <v>0</v>
      </c>
      <c r="AN215" s="6">
        <v>0</v>
      </c>
      <c r="AO215" s="6">
        <v>0</v>
      </c>
      <c r="AP215" s="6">
        <v>213.730470958594</v>
      </c>
      <c r="AQ215" s="6">
        <v>419.99988939375538</v>
      </c>
      <c r="AR215" s="6">
        <v>707.09989900000005</v>
      </c>
      <c r="AS215" s="6">
        <v>258.60739087887703</v>
      </c>
      <c r="AT215" s="6">
        <v>218.3350839542901</v>
      </c>
    </row>
    <row r="216" spans="1:46" x14ac:dyDescent="0.35">
      <c r="A216" s="5">
        <v>46022</v>
      </c>
      <c r="B216" s="4" t="s">
        <v>380</v>
      </c>
      <c r="C216" s="4" t="s">
        <v>381</v>
      </c>
      <c r="D216" s="4" t="s">
        <v>58</v>
      </c>
      <c r="E216" s="6">
        <v>24102.3</v>
      </c>
      <c r="F216" s="7">
        <v>0.28499999999999998</v>
      </c>
      <c r="G216" s="6">
        <v>46.58</v>
      </c>
      <c r="H216" s="6">
        <v>32</v>
      </c>
      <c r="I216" s="6">
        <v>100</v>
      </c>
      <c r="J216" s="6">
        <v>32</v>
      </c>
      <c r="K216" s="8">
        <v>100</v>
      </c>
      <c r="L216" s="6">
        <v>112.5896148437117</v>
      </c>
      <c r="M216" s="6">
        <v>58.74116891240358</v>
      </c>
      <c r="N216" s="6">
        <v>0.29941711325471421</v>
      </c>
      <c r="O216" s="6">
        <v>34.140178811536217</v>
      </c>
      <c r="P216" s="6">
        <v>205.77037968090619</v>
      </c>
      <c r="Q216" s="6">
        <v>78.568874898895956</v>
      </c>
      <c r="R216" s="6">
        <v>48.098537261992519</v>
      </c>
      <c r="S216" s="6">
        <v>56.864721453663073</v>
      </c>
      <c r="T216" s="6">
        <v>20.623566512880849</v>
      </c>
      <c r="U216" s="6">
        <v>204.1557001274324</v>
      </c>
      <c r="V216" s="6">
        <v>409.92607980833861</v>
      </c>
      <c r="W216" s="6">
        <v>2.5318224736890471</v>
      </c>
      <c r="X216" s="6">
        <v>0</v>
      </c>
      <c r="Y216" s="6">
        <v>412.45790228202759</v>
      </c>
      <c r="Z216" s="6">
        <v>0.61253840457092623</v>
      </c>
      <c r="AA216" s="6">
        <v>413.0704406865986</v>
      </c>
      <c r="AB216" s="6">
        <v>0</v>
      </c>
      <c r="AC216" s="6">
        <v>10.17317814137032</v>
      </c>
      <c r="AD216" s="6">
        <v>0</v>
      </c>
      <c r="AE216" s="6">
        <v>0</v>
      </c>
      <c r="AF216" s="6">
        <v>423.24361882796887</v>
      </c>
      <c r="AG216" s="6">
        <v>10.44136896052248</v>
      </c>
      <c r="AH216" s="6">
        <v>0</v>
      </c>
      <c r="AI216" s="6">
        <v>0.79343485146365644</v>
      </c>
      <c r="AJ216" s="6">
        <v>424.30524449858473</v>
      </c>
      <c r="AK216" s="6">
        <v>0</v>
      </c>
      <c r="AL216" s="6">
        <v>0</v>
      </c>
      <c r="AM216" s="6">
        <v>0</v>
      </c>
      <c r="AN216" s="6">
        <v>0</v>
      </c>
      <c r="AO216" s="6">
        <v>0</v>
      </c>
      <c r="AP216" s="6">
        <v>424.30524449858473</v>
      </c>
      <c r="AQ216" s="6">
        <v>419.99999964779192</v>
      </c>
      <c r="AR216" s="6">
        <v>296.30128000000002</v>
      </c>
      <c r="AS216" s="6">
        <v>7.5420973657642962</v>
      </c>
      <c r="AT216" s="6">
        <v>6.9295589611933703</v>
      </c>
    </row>
    <row r="217" spans="1:46" x14ac:dyDescent="0.35">
      <c r="A217" s="5">
        <v>46022</v>
      </c>
      <c r="B217" s="4" t="s">
        <v>583</v>
      </c>
      <c r="C217" s="4" t="s">
        <v>584</v>
      </c>
      <c r="D217" s="4" t="s">
        <v>61</v>
      </c>
      <c r="E217" s="6">
        <v>720</v>
      </c>
      <c r="F217" s="7">
        <v>0.25</v>
      </c>
      <c r="G217" s="6">
        <v>85</v>
      </c>
      <c r="H217" s="6">
        <v>1.53</v>
      </c>
      <c r="I217" s="6">
        <v>94.5</v>
      </c>
      <c r="J217" s="6">
        <v>1.4458500000000001</v>
      </c>
      <c r="K217" s="8">
        <v>43.130242019188529</v>
      </c>
      <c r="L217" s="6">
        <v>24.747897625061089</v>
      </c>
      <c r="M217" s="6">
        <v>4.6625666172361822</v>
      </c>
      <c r="N217" s="6">
        <v>33.560055493659227</v>
      </c>
      <c r="O217" s="6">
        <v>52.803475607105938</v>
      </c>
      <c r="P217" s="6">
        <v>115.7739953430624</v>
      </c>
      <c r="Q217" s="6">
        <v>5.7543648563047922</v>
      </c>
      <c r="R217" s="6">
        <v>10.23867850099515</v>
      </c>
      <c r="S217" s="6">
        <v>27.05083601245591</v>
      </c>
      <c r="T217" s="6">
        <v>27.84961820215791</v>
      </c>
      <c r="U217" s="6">
        <v>70.893497571913755</v>
      </c>
      <c r="V217" s="6">
        <v>186.66749291497621</v>
      </c>
      <c r="W217" s="6">
        <v>6.6735471729235307</v>
      </c>
      <c r="X217" s="6">
        <v>16.280590446020479</v>
      </c>
      <c r="Y217" s="6">
        <v>209.62163053392021</v>
      </c>
      <c r="Z217" s="6">
        <v>41.173407550651064</v>
      </c>
      <c r="AA217" s="6">
        <v>250.7950380845713</v>
      </c>
      <c r="AB217" s="6">
        <v>0</v>
      </c>
      <c r="AC217" s="6">
        <v>28.357040515927899</v>
      </c>
      <c r="AD217" s="6">
        <v>0</v>
      </c>
      <c r="AE217" s="6">
        <v>0</v>
      </c>
      <c r="AF217" s="6">
        <v>279.15207860049918</v>
      </c>
      <c r="AG217" s="6">
        <v>6.0287733100238903</v>
      </c>
      <c r="AH217" s="6">
        <v>0</v>
      </c>
      <c r="AI217" s="6">
        <v>28.357040515927899</v>
      </c>
      <c r="AJ217" s="6">
        <v>285.18085191052307</v>
      </c>
      <c r="AK217" s="6">
        <v>0</v>
      </c>
      <c r="AL217" s="6">
        <v>0</v>
      </c>
      <c r="AM217" s="6">
        <v>0</v>
      </c>
      <c r="AN217" s="6">
        <v>0</v>
      </c>
      <c r="AO217" s="6">
        <v>0</v>
      </c>
      <c r="AP217" s="6">
        <v>285.18085191052307</v>
      </c>
      <c r="AQ217" s="6">
        <v>419.98547531955433</v>
      </c>
      <c r="AR217" s="6">
        <v>30.829878999999998</v>
      </c>
      <c r="AS217" s="6">
        <v>210.36384478563409</v>
      </c>
      <c r="AT217" s="6">
        <v>169.19043723498299</v>
      </c>
    </row>
    <row r="218" spans="1:46" x14ac:dyDescent="0.35">
      <c r="A218" s="5">
        <v>46022</v>
      </c>
      <c r="B218" s="4" t="s">
        <v>324</v>
      </c>
      <c r="C218" s="4" t="s">
        <v>325</v>
      </c>
      <c r="D218" s="4" t="s">
        <v>111</v>
      </c>
      <c r="E218" s="6">
        <v>500</v>
      </c>
      <c r="F218" s="7">
        <v>0.3</v>
      </c>
      <c r="G218" s="6">
        <v>55</v>
      </c>
      <c r="H218" s="6">
        <v>0.82499999999999996</v>
      </c>
      <c r="I218" s="6">
        <v>100</v>
      </c>
      <c r="J218" s="6">
        <v>0.82499999999999996</v>
      </c>
      <c r="K218" s="8">
        <v>100</v>
      </c>
      <c r="L218" s="6">
        <v>261.43241590186</v>
      </c>
      <c r="M218" s="6">
        <v>296.13597090760669</v>
      </c>
      <c r="N218" s="6">
        <v>33.862594751766657</v>
      </c>
      <c r="O218" s="6">
        <v>240.32120985553331</v>
      </c>
      <c r="P218" s="6">
        <v>831.75219141676655</v>
      </c>
      <c r="Q218" s="6">
        <v>127.1411165976</v>
      </c>
      <c r="R218" s="6">
        <v>14.46874439915333</v>
      </c>
      <c r="S218" s="6">
        <v>89.856813439679996</v>
      </c>
      <c r="T218" s="6">
        <v>76.209923434073318</v>
      </c>
      <c r="U218" s="6">
        <v>307.67659787050661</v>
      </c>
      <c r="V218" s="6">
        <v>1139.428789287273</v>
      </c>
      <c r="W218" s="6">
        <v>10.23083110754143</v>
      </c>
      <c r="X218" s="6">
        <v>0</v>
      </c>
      <c r="Y218" s="6">
        <v>1149.659620394815</v>
      </c>
      <c r="Z218" s="6">
        <v>25.83462720875049</v>
      </c>
      <c r="AA218" s="6">
        <v>1175.4942476035651</v>
      </c>
      <c r="AB218" s="6">
        <v>0</v>
      </c>
      <c r="AC218" s="6">
        <v>68.187633797359993</v>
      </c>
      <c r="AD218" s="6">
        <v>0</v>
      </c>
      <c r="AE218" s="6">
        <v>0</v>
      </c>
      <c r="AF218" s="6">
        <v>1243.681881400925</v>
      </c>
      <c r="AG218" s="6">
        <v>100.38876093348669</v>
      </c>
      <c r="AH218" s="6">
        <v>0</v>
      </c>
      <c r="AI218" s="6">
        <v>42.212900398106662</v>
      </c>
      <c r="AJ218" s="6">
        <v>1318.0959089351579</v>
      </c>
      <c r="AK218" s="6">
        <v>0</v>
      </c>
      <c r="AL218" s="6">
        <v>0</v>
      </c>
      <c r="AM218" s="6">
        <v>0</v>
      </c>
      <c r="AN218" s="6">
        <v>0</v>
      </c>
      <c r="AO218" s="6">
        <v>0</v>
      </c>
      <c r="AP218" s="6">
        <v>1318.0959089351579</v>
      </c>
      <c r="AQ218" s="6">
        <v>419.99999964779198</v>
      </c>
      <c r="AR218" s="6">
        <v>7.6390169999999999</v>
      </c>
      <c r="AS218" s="6">
        <v>-729.6596207470227</v>
      </c>
      <c r="AT218" s="6">
        <v>-755.49424795577318</v>
      </c>
    </row>
    <row r="219" spans="1:46" x14ac:dyDescent="0.35">
      <c r="A219" s="5">
        <v>46022</v>
      </c>
      <c r="B219" s="4" t="s">
        <v>776</v>
      </c>
      <c r="C219" s="4" t="s">
        <v>777</v>
      </c>
      <c r="D219" s="4" t="s">
        <v>105</v>
      </c>
      <c r="E219" s="6">
        <v>9959</v>
      </c>
      <c r="F219" s="7">
        <v>4.3799999999999999E-2</v>
      </c>
      <c r="G219" s="6">
        <v>44.06</v>
      </c>
      <c r="H219" s="6">
        <v>1.92</v>
      </c>
      <c r="I219" s="6">
        <v>98.462010000000006</v>
      </c>
      <c r="J219" s="6">
        <v>1.890471</v>
      </c>
      <c r="K219" s="8">
        <v>1.5544777683627531</v>
      </c>
      <c r="L219" s="6">
        <v>196.63774553923099</v>
      </c>
      <c r="M219" s="6">
        <v>8.9955142178254341</v>
      </c>
      <c r="N219" s="6">
        <v>7.0967256034650381</v>
      </c>
      <c r="O219" s="6">
        <v>26.930758856887842</v>
      </c>
      <c r="P219" s="6">
        <v>239.6607442174093</v>
      </c>
      <c r="Q219" s="6">
        <v>31.430068611091141</v>
      </c>
      <c r="R219" s="6">
        <v>6.9002008258713161</v>
      </c>
      <c r="S219" s="6">
        <v>49.278428259741993</v>
      </c>
      <c r="T219" s="6">
        <v>3.8932209215132021</v>
      </c>
      <c r="U219" s="6">
        <v>91.501918618217644</v>
      </c>
      <c r="V219" s="6">
        <v>331.16266283562692</v>
      </c>
      <c r="W219" s="6">
        <v>0</v>
      </c>
      <c r="X219" s="6">
        <v>2.3963630677703689</v>
      </c>
      <c r="Y219" s="6">
        <v>333.5590259033973</v>
      </c>
      <c r="Z219" s="6">
        <v>2.3253225059815019</v>
      </c>
      <c r="AA219" s="6">
        <v>335.88434840937879</v>
      </c>
      <c r="AB219" s="6">
        <v>0</v>
      </c>
      <c r="AC219" s="6">
        <v>52.247123199961237</v>
      </c>
      <c r="AD219" s="6">
        <v>0</v>
      </c>
      <c r="AE219" s="6">
        <v>0</v>
      </c>
      <c r="AF219" s="6">
        <v>388.13147160934011</v>
      </c>
      <c r="AG219" s="6">
        <v>10.20565635780075</v>
      </c>
      <c r="AH219" s="6">
        <v>0.76326630989351496</v>
      </c>
      <c r="AI219" s="6">
        <v>47.655899073232867</v>
      </c>
      <c r="AJ219" s="6">
        <v>394.50917015030598</v>
      </c>
      <c r="AK219" s="6">
        <v>7.5268863526673568</v>
      </c>
      <c r="AL219" s="6">
        <v>0</v>
      </c>
      <c r="AM219" s="6">
        <v>0</v>
      </c>
      <c r="AN219" s="6">
        <v>0</v>
      </c>
      <c r="AO219" s="6">
        <v>0</v>
      </c>
      <c r="AP219" s="6">
        <v>402.03605650297328</v>
      </c>
      <c r="AQ219" s="6">
        <v>420.00644248663463</v>
      </c>
      <c r="AR219" s="6">
        <v>1228.252322</v>
      </c>
      <c r="AS219" s="6">
        <v>86.447416583237313</v>
      </c>
      <c r="AT219" s="6">
        <v>84.122094077255809</v>
      </c>
    </row>
    <row r="220" spans="1:46" x14ac:dyDescent="0.35">
      <c r="A220" s="5">
        <v>46022</v>
      </c>
      <c r="B220" s="4" t="s">
        <v>382</v>
      </c>
      <c r="C220" s="4" t="s">
        <v>383</v>
      </c>
      <c r="D220" s="4" t="s">
        <v>344</v>
      </c>
      <c r="E220" s="6">
        <v>4693.59</v>
      </c>
      <c r="F220" s="7">
        <v>1.7</v>
      </c>
      <c r="G220" s="6">
        <v>70.180000000000007</v>
      </c>
      <c r="H220" s="6">
        <v>56</v>
      </c>
      <c r="I220" s="6">
        <v>95.160957999999994</v>
      </c>
      <c r="J220" s="6">
        <v>53.290135999999997</v>
      </c>
      <c r="K220" s="8">
        <v>73.049079441694161</v>
      </c>
      <c r="L220" s="6">
        <v>40.658767322591338</v>
      </c>
      <c r="M220" s="6">
        <v>68.802557936386236</v>
      </c>
      <c r="N220" s="6">
        <v>3.4648866762599582</v>
      </c>
      <c r="O220" s="6">
        <v>7.0248418358715359</v>
      </c>
      <c r="P220" s="6">
        <v>119.9510537711091</v>
      </c>
      <c r="Q220" s="6">
        <v>16.620171916697132</v>
      </c>
      <c r="R220" s="6">
        <v>8.6673909422763202</v>
      </c>
      <c r="S220" s="6">
        <v>18.761211868456069</v>
      </c>
      <c r="T220" s="6">
        <v>15.783101741989929</v>
      </c>
      <c r="U220" s="6">
        <v>59.831876469419448</v>
      </c>
      <c r="V220" s="6">
        <v>179.78293024052849</v>
      </c>
      <c r="W220" s="6">
        <v>49.112987405143812</v>
      </c>
      <c r="X220" s="6">
        <v>27.39166432205214</v>
      </c>
      <c r="Y220" s="6">
        <v>256.28758196772452</v>
      </c>
      <c r="Z220" s="6">
        <v>0</v>
      </c>
      <c r="AA220" s="6">
        <v>256.28758196772452</v>
      </c>
      <c r="AB220" s="6">
        <v>0</v>
      </c>
      <c r="AC220" s="6">
        <v>55.990013606136458</v>
      </c>
      <c r="AD220" s="6">
        <v>0</v>
      </c>
      <c r="AE220" s="6">
        <v>0</v>
      </c>
      <c r="AF220" s="6">
        <v>312.27759557386088</v>
      </c>
      <c r="AG220" s="6">
        <v>5.0233169846500356</v>
      </c>
      <c r="AH220" s="6">
        <v>0</v>
      </c>
      <c r="AI220" s="6">
        <v>9.1017391612925174</v>
      </c>
      <c r="AJ220" s="6">
        <v>270.41263811366701</v>
      </c>
      <c r="AK220" s="6">
        <v>0</v>
      </c>
      <c r="AL220" s="6">
        <v>0</v>
      </c>
      <c r="AM220" s="6">
        <v>0</v>
      </c>
      <c r="AN220" s="6">
        <v>0</v>
      </c>
      <c r="AO220" s="6">
        <v>0</v>
      </c>
      <c r="AP220" s="6">
        <v>270.41263811366701</v>
      </c>
      <c r="AQ220" s="6">
        <v>419.99971591798521</v>
      </c>
      <c r="AR220" s="6">
        <v>715.13547100000005</v>
      </c>
      <c r="AS220" s="6">
        <v>163.71213395026081</v>
      </c>
      <c r="AT220" s="6">
        <v>163.71213395026081</v>
      </c>
    </row>
    <row r="221" spans="1:46" x14ac:dyDescent="0.35">
      <c r="A221" s="5">
        <v>46022</v>
      </c>
      <c r="B221" s="4" t="s">
        <v>356</v>
      </c>
      <c r="C221" s="4" t="s">
        <v>357</v>
      </c>
      <c r="D221" s="4" t="s">
        <v>213</v>
      </c>
      <c r="E221" s="6">
        <v>8200</v>
      </c>
      <c r="F221" s="7">
        <v>1.486</v>
      </c>
      <c r="G221" s="6">
        <v>85</v>
      </c>
      <c r="H221" s="6">
        <v>103.574</v>
      </c>
      <c r="I221" s="6">
        <v>100</v>
      </c>
      <c r="J221" s="6">
        <v>103.5742</v>
      </c>
      <c r="K221" s="8">
        <v>69.859128420144245</v>
      </c>
      <c r="L221" s="6">
        <v>1.239994655090938</v>
      </c>
      <c r="M221" s="6">
        <v>0.20925184195262789</v>
      </c>
      <c r="N221" s="6">
        <v>2.1823705232473589</v>
      </c>
      <c r="O221" s="6">
        <v>0.1541654980418761</v>
      </c>
      <c r="P221" s="6">
        <v>3.7857825183328022</v>
      </c>
      <c r="Q221" s="6">
        <v>1.3215905807534389</v>
      </c>
      <c r="R221" s="6">
        <v>10.241120309363559</v>
      </c>
      <c r="S221" s="6">
        <v>20.874611027993598</v>
      </c>
      <c r="T221" s="6">
        <v>1.4575954975233449</v>
      </c>
      <c r="U221" s="6">
        <v>33.894917415633948</v>
      </c>
      <c r="V221" s="6">
        <v>37.68069993396675</v>
      </c>
      <c r="W221" s="6">
        <v>8.2435127989204755</v>
      </c>
      <c r="X221" s="6">
        <v>0</v>
      </c>
      <c r="Y221" s="6">
        <v>45.92421273288722</v>
      </c>
      <c r="Z221" s="6">
        <v>29.567989123618421</v>
      </c>
      <c r="AA221" s="6">
        <v>75.492201856505645</v>
      </c>
      <c r="AB221" s="6">
        <v>0</v>
      </c>
      <c r="AC221" s="6">
        <v>18.80270922082995</v>
      </c>
      <c r="AD221" s="6">
        <v>0</v>
      </c>
      <c r="AE221" s="6">
        <v>0</v>
      </c>
      <c r="AF221" s="6">
        <v>94.294911077335584</v>
      </c>
      <c r="AG221" s="6">
        <v>8.4074459918512883</v>
      </c>
      <c r="AH221" s="6">
        <v>0</v>
      </c>
      <c r="AI221" s="6">
        <v>3.768070996882309</v>
      </c>
      <c r="AJ221" s="6">
        <v>87.667718845239236</v>
      </c>
      <c r="AK221" s="6">
        <v>0</v>
      </c>
      <c r="AL221" s="6">
        <v>0</v>
      </c>
      <c r="AM221" s="6">
        <v>0</v>
      </c>
      <c r="AN221" s="6">
        <v>0</v>
      </c>
      <c r="AO221" s="6">
        <v>0</v>
      </c>
      <c r="AP221" s="6">
        <v>87.667718845239236</v>
      </c>
      <c r="AQ221" s="6">
        <v>419.99999964779192</v>
      </c>
      <c r="AR221" s="6">
        <v>1373.7575240000001</v>
      </c>
      <c r="AS221" s="6">
        <v>374.07578691490471</v>
      </c>
      <c r="AT221" s="6">
        <v>344.50779779128629</v>
      </c>
    </row>
    <row r="222" spans="1:46" x14ac:dyDescent="0.35">
      <c r="A222" s="5">
        <v>46022</v>
      </c>
      <c r="B222" s="4" t="s">
        <v>778</v>
      </c>
      <c r="C222" s="4" t="s">
        <v>779</v>
      </c>
      <c r="D222" s="4" t="s">
        <v>79</v>
      </c>
      <c r="E222" s="6">
        <v>1095.9605650000001</v>
      </c>
      <c r="F222" s="7">
        <v>0.57999999999999996</v>
      </c>
      <c r="G222" s="6">
        <v>57.5</v>
      </c>
      <c r="H222" s="6">
        <v>3.6549999999999998</v>
      </c>
      <c r="I222" s="6">
        <v>100</v>
      </c>
      <c r="J222" s="6">
        <v>3.6550280000000002</v>
      </c>
      <c r="K222" s="8">
        <v>99.999999608092651</v>
      </c>
      <c r="L222" s="6">
        <v>0</v>
      </c>
      <c r="M222" s="6">
        <v>0</v>
      </c>
      <c r="N222" s="6">
        <v>0</v>
      </c>
      <c r="O222" s="6">
        <v>0</v>
      </c>
      <c r="P222" s="6">
        <v>0</v>
      </c>
      <c r="Q222" s="6">
        <v>156.46700057034349</v>
      </c>
      <c r="R222" s="6">
        <v>19.183369061287681</v>
      </c>
      <c r="S222" s="6">
        <v>40.265420263541699</v>
      </c>
      <c r="T222" s="6">
        <v>88.453583741438251</v>
      </c>
      <c r="U222" s="6">
        <v>304.3693736366111</v>
      </c>
      <c r="V222" s="6">
        <v>304.3693736366111</v>
      </c>
      <c r="W222" s="6">
        <v>3.628711161391923</v>
      </c>
      <c r="X222" s="6">
        <v>0</v>
      </c>
      <c r="Y222" s="6">
        <v>307.99808479800311</v>
      </c>
      <c r="Z222" s="6">
        <v>10.49987960726742</v>
      </c>
      <c r="AA222" s="6">
        <v>318.49796440527052</v>
      </c>
      <c r="AB222" s="6">
        <v>0</v>
      </c>
      <c r="AC222" s="6">
        <v>33.194138722056387</v>
      </c>
      <c r="AD222" s="6">
        <v>0</v>
      </c>
      <c r="AE222" s="6">
        <v>0</v>
      </c>
      <c r="AF222" s="6">
        <v>351.6921031273269</v>
      </c>
      <c r="AG222" s="6">
        <v>26.106780831237479</v>
      </c>
      <c r="AH222" s="6">
        <v>0</v>
      </c>
      <c r="AI222" s="6">
        <v>33.194138722056387</v>
      </c>
      <c r="AJ222" s="6">
        <v>377.79888395856437</v>
      </c>
      <c r="AK222" s="6">
        <v>0</v>
      </c>
      <c r="AL222" s="6">
        <v>0</v>
      </c>
      <c r="AM222" s="6">
        <v>0</v>
      </c>
      <c r="AN222" s="6">
        <v>0</v>
      </c>
      <c r="AO222" s="6">
        <v>0</v>
      </c>
      <c r="AP222" s="6">
        <v>377.79888395856437</v>
      </c>
      <c r="AQ222" s="6">
        <v>419.99678216218302</v>
      </c>
      <c r="AR222" s="6">
        <v>33.843162</v>
      </c>
      <c r="AS222" s="6">
        <v>111.9986973641799</v>
      </c>
      <c r="AT222" s="6">
        <v>101.4988177569125</v>
      </c>
    </row>
    <row r="223" spans="1:46" x14ac:dyDescent="0.35">
      <c r="A223" s="5">
        <v>46022</v>
      </c>
      <c r="B223" s="4" t="s">
        <v>414</v>
      </c>
      <c r="C223" s="4" t="s">
        <v>415</v>
      </c>
      <c r="D223" s="4" t="s">
        <v>111</v>
      </c>
      <c r="E223" s="6">
        <v>2000</v>
      </c>
      <c r="F223" s="7">
        <v>0.81</v>
      </c>
      <c r="G223" s="6">
        <v>80</v>
      </c>
      <c r="H223" s="6">
        <v>12.96</v>
      </c>
      <c r="I223" s="6">
        <v>100</v>
      </c>
      <c r="J223" s="6">
        <v>12.96</v>
      </c>
      <c r="K223" s="8">
        <v>100</v>
      </c>
      <c r="L223" s="6">
        <v>128.08002353126511</v>
      </c>
      <c r="M223" s="6">
        <v>33.249391702984717</v>
      </c>
      <c r="N223" s="6">
        <v>22.200238563779621</v>
      </c>
      <c r="O223" s="6">
        <v>77.661418636261558</v>
      </c>
      <c r="P223" s="6">
        <v>261.19107243429102</v>
      </c>
      <c r="Q223" s="6">
        <v>8.0576064608212938</v>
      </c>
      <c r="R223" s="6">
        <v>69.944888438104144</v>
      </c>
      <c r="S223" s="6">
        <v>81.124498382860011</v>
      </c>
      <c r="T223" s="6">
        <v>24.297830279621749</v>
      </c>
      <c r="U223" s="6">
        <v>183.42482356140721</v>
      </c>
      <c r="V223" s="6">
        <v>444.61589599569822</v>
      </c>
      <c r="W223" s="6">
        <v>5.987036089165823</v>
      </c>
      <c r="X223" s="6">
        <v>0</v>
      </c>
      <c r="Y223" s="6">
        <v>450.60293208486399</v>
      </c>
      <c r="Z223" s="6">
        <v>0</v>
      </c>
      <c r="AA223" s="6">
        <v>450.60293208486399</v>
      </c>
      <c r="AB223" s="6">
        <v>0</v>
      </c>
      <c r="AC223" s="6">
        <v>57.839222070793973</v>
      </c>
      <c r="AD223" s="6">
        <v>0</v>
      </c>
      <c r="AE223" s="6">
        <v>0</v>
      </c>
      <c r="AF223" s="6">
        <v>508.44215415565799</v>
      </c>
      <c r="AG223" s="6">
        <v>33.654810883318973</v>
      </c>
      <c r="AH223" s="6">
        <v>0</v>
      </c>
      <c r="AI223" s="6">
        <v>4.4538150811712951</v>
      </c>
      <c r="AJ223" s="6">
        <v>488.71155804935432</v>
      </c>
      <c r="AK223" s="6">
        <v>0</v>
      </c>
      <c r="AL223" s="6">
        <v>0</v>
      </c>
      <c r="AM223" s="6">
        <v>0</v>
      </c>
      <c r="AN223" s="6">
        <v>0</v>
      </c>
      <c r="AO223" s="6">
        <v>0</v>
      </c>
      <c r="AP223" s="6">
        <v>488.71155804935432</v>
      </c>
      <c r="AQ223" s="6">
        <v>419.99999964779192</v>
      </c>
      <c r="AR223" s="6">
        <v>120.00201800000001</v>
      </c>
      <c r="AS223" s="6">
        <v>-30.602932437072109</v>
      </c>
      <c r="AT223" s="6">
        <v>-30.602932437072109</v>
      </c>
    </row>
    <row r="224" spans="1:46" x14ac:dyDescent="0.35">
      <c r="A224" s="5">
        <v>46022</v>
      </c>
      <c r="B224" s="4" t="s">
        <v>585</v>
      </c>
      <c r="C224" s="4" t="s">
        <v>586</v>
      </c>
      <c r="D224" s="4" t="s">
        <v>533</v>
      </c>
      <c r="E224" s="6">
        <v>2780</v>
      </c>
      <c r="F224" s="7">
        <v>0.16</v>
      </c>
      <c r="G224" s="6">
        <v>60</v>
      </c>
      <c r="H224" s="6">
        <v>2.669</v>
      </c>
      <c r="I224" s="6">
        <v>90</v>
      </c>
      <c r="J224" s="6">
        <v>2.4019200000000001</v>
      </c>
      <c r="K224" s="8">
        <v>5.097107238139718</v>
      </c>
      <c r="L224" s="6">
        <v>63.98676640099773</v>
      </c>
      <c r="M224" s="6">
        <v>12.054755806651899</v>
      </c>
      <c r="N224" s="6">
        <v>32.935715502066088</v>
      </c>
      <c r="O224" s="6">
        <v>72.390118837629032</v>
      </c>
      <c r="P224" s="6">
        <v>181.3673565473448</v>
      </c>
      <c r="Q224" s="6">
        <v>2.3462395292800489</v>
      </c>
      <c r="R224" s="6">
        <v>6.4277461387704129</v>
      </c>
      <c r="S224" s="6">
        <v>59.704971312269933</v>
      </c>
      <c r="T224" s="6">
        <v>2.415201083341989</v>
      </c>
      <c r="U224" s="6">
        <v>70.894158063662374</v>
      </c>
      <c r="V224" s="6">
        <v>252.2615146110071</v>
      </c>
      <c r="W224" s="6">
        <v>3.411649314625925</v>
      </c>
      <c r="X224" s="6">
        <v>105.07620905758731</v>
      </c>
      <c r="Y224" s="6">
        <v>360.74937298322033</v>
      </c>
      <c r="Z224" s="6">
        <v>13.097487645807099</v>
      </c>
      <c r="AA224" s="6">
        <v>373.84686062902739</v>
      </c>
      <c r="AB224" s="6">
        <v>0</v>
      </c>
      <c r="AC224" s="6">
        <v>54.501104773574752</v>
      </c>
      <c r="AD224" s="6">
        <v>0</v>
      </c>
      <c r="AE224" s="6">
        <v>0</v>
      </c>
      <c r="AF224" s="6">
        <v>428.3479654026022</v>
      </c>
      <c r="AG224" s="6">
        <v>6.3944200282474446</v>
      </c>
      <c r="AH224" s="6">
        <v>0</v>
      </c>
      <c r="AI224" s="6">
        <v>52.115009849230539</v>
      </c>
      <c r="AJ224" s="6">
        <v>432.35629050650539</v>
      </c>
      <c r="AK224" s="6">
        <v>0</v>
      </c>
      <c r="AL224" s="6">
        <v>0</v>
      </c>
      <c r="AM224" s="6">
        <v>0</v>
      </c>
      <c r="AN224" s="6">
        <v>0</v>
      </c>
      <c r="AO224" s="6">
        <v>0</v>
      </c>
      <c r="AP224" s="6">
        <v>432.35629050650539</v>
      </c>
      <c r="AQ224" s="6">
        <v>419.9965024455567</v>
      </c>
      <c r="AR224" s="6">
        <v>359.52989200000002</v>
      </c>
      <c r="AS224" s="6">
        <v>59.247129462336339</v>
      </c>
      <c r="AT224" s="6">
        <v>46.149641816529233</v>
      </c>
    </row>
    <row r="225" spans="1:46" x14ac:dyDescent="0.35">
      <c r="A225" s="5">
        <v>46022</v>
      </c>
      <c r="B225" s="4" t="s">
        <v>416</v>
      </c>
      <c r="C225" s="4" t="s">
        <v>417</v>
      </c>
      <c r="D225" s="4" t="s">
        <v>213</v>
      </c>
      <c r="E225" s="6">
        <v>700</v>
      </c>
      <c r="F225" s="7">
        <v>4.66</v>
      </c>
      <c r="G225" s="6">
        <v>93.5</v>
      </c>
      <c r="H225" s="6">
        <v>30.5</v>
      </c>
      <c r="I225" s="6">
        <v>95.841665000000006</v>
      </c>
      <c r="J225" s="6">
        <v>29.23142</v>
      </c>
      <c r="K225" s="8">
        <v>99.999999842866487</v>
      </c>
      <c r="L225" s="6">
        <v>24.249642169407331</v>
      </c>
      <c r="M225" s="6">
        <v>2.6253786840132078</v>
      </c>
      <c r="N225" s="6">
        <v>3.5839950088818999</v>
      </c>
      <c r="O225" s="6">
        <v>5.9451280848557699</v>
      </c>
      <c r="P225" s="6">
        <v>36.404143947158211</v>
      </c>
      <c r="Q225" s="6">
        <v>3.636227597594119</v>
      </c>
      <c r="R225" s="6">
        <v>0.96063233095453415</v>
      </c>
      <c r="S225" s="6">
        <v>5.8694235804598449</v>
      </c>
      <c r="T225" s="6">
        <v>1.759741950172568</v>
      </c>
      <c r="U225" s="6">
        <v>12.22602545918107</v>
      </c>
      <c r="V225" s="6">
        <v>48.63016940633927</v>
      </c>
      <c r="W225" s="6">
        <v>29.22100386935378</v>
      </c>
      <c r="X225" s="6">
        <v>-0.80852695117026518</v>
      </c>
      <c r="Y225" s="6">
        <v>77.042646324522792</v>
      </c>
      <c r="Z225" s="6">
        <v>10.500002574750599</v>
      </c>
      <c r="AA225" s="6">
        <v>87.542648899273388</v>
      </c>
      <c r="AB225" s="6">
        <v>1.955178316010445</v>
      </c>
      <c r="AC225" s="6">
        <v>65.090058560338846</v>
      </c>
      <c r="AD225" s="6">
        <v>0</v>
      </c>
      <c r="AE225" s="6">
        <v>0</v>
      </c>
      <c r="AF225" s="6">
        <v>154.58788577562271</v>
      </c>
      <c r="AG225" s="6">
        <v>11.809691960990151</v>
      </c>
      <c r="AH225" s="6">
        <v>0</v>
      </c>
      <c r="AI225" s="6">
        <v>20.857174255941459</v>
      </c>
      <c r="AJ225" s="6">
        <v>122.1646934322154</v>
      </c>
      <c r="AK225" s="6">
        <v>0</v>
      </c>
      <c r="AL225" s="6">
        <v>0</v>
      </c>
      <c r="AM225" s="6">
        <v>0</v>
      </c>
      <c r="AN225" s="6">
        <v>0</v>
      </c>
      <c r="AO225" s="6">
        <v>0</v>
      </c>
      <c r="AP225" s="6">
        <v>122.1646934322154</v>
      </c>
      <c r="AQ225" s="6">
        <v>419.99971228576868</v>
      </c>
      <c r="AR225" s="6">
        <v>270.66566399999999</v>
      </c>
      <c r="AS225" s="6">
        <v>342.95706596124592</v>
      </c>
      <c r="AT225" s="6">
        <v>332.45706338649529</v>
      </c>
    </row>
    <row r="226" spans="1:46" x14ac:dyDescent="0.35">
      <c r="A226" s="5">
        <v>46022</v>
      </c>
      <c r="B226" s="4" t="s">
        <v>358</v>
      </c>
      <c r="C226" s="4" t="s">
        <v>359</v>
      </c>
      <c r="D226" s="4" t="s">
        <v>58</v>
      </c>
      <c r="E226" s="6">
        <v>18500</v>
      </c>
      <c r="F226" s="7">
        <v>0.86</v>
      </c>
      <c r="G226" s="6">
        <v>83.97</v>
      </c>
      <c r="H226" s="6">
        <v>133.6</v>
      </c>
      <c r="I226" s="6">
        <v>97</v>
      </c>
      <c r="J226" s="6">
        <v>129.59200000000001</v>
      </c>
      <c r="K226" s="8">
        <v>83.509058179552355</v>
      </c>
      <c r="L226" s="6">
        <v>24.040146943403681</v>
      </c>
      <c r="M226" s="6">
        <v>11.526967708981241</v>
      </c>
      <c r="N226" s="6">
        <v>1.681967047605988</v>
      </c>
      <c r="O226" s="6">
        <v>11.14153517739666</v>
      </c>
      <c r="P226" s="6">
        <v>48.390616877387572</v>
      </c>
      <c r="Q226" s="6">
        <v>11.79352276400426</v>
      </c>
      <c r="R226" s="6">
        <v>13.51072478419373</v>
      </c>
      <c r="S226" s="6">
        <v>11.839972796922019</v>
      </c>
      <c r="T226" s="6">
        <v>10.04740167791909</v>
      </c>
      <c r="U226" s="6">
        <v>47.191622023039102</v>
      </c>
      <c r="V226" s="6">
        <v>95.582238900426674</v>
      </c>
      <c r="W226" s="6">
        <v>17.063751427102179</v>
      </c>
      <c r="X226" s="6">
        <v>16.565525000000001</v>
      </c>
      <c r="Y226" s="6">
        <v>129.21151532752879</v>
      </c>
      <c r="Z226" s="6">
        <v>22.164746655721618</v>
      </c>
      <c r="AA226" s="6">
        <v>151.37626198325049</v>
      </c>
      <c r="AB226" s="6">
        <v>0</v>
      </c>
      <c r="AC226" s="6">
        <v>41.074601506482551</v>
      </c>
      <c r="AD226" s="6">
        <v>0</v>
      </c>
      <c r="AE226" s="6">
        <v>0</v>
      </c>
      <c r="AF226" s="6">
        <v>192.450863489733</v>
      </c>
      <c r="AG226" s="6">
        <v>12.895621443748171</v>
      </c>
      <c r="AH226" s="6">
        <v>0</v>
      </c>
      <c r="AI226" s="6">
        <v>12.04384464105067</v>
      </c>
      <c r="AJ226" s="6">
        <v>176.31572806804931</v>
      </c>
      <c r="AK226" s="6">
        <v>0</v>
      </c>
      <c r="AL226" s="6">
        <v>0</v>
      </c>
      <c r="AM226" s="6">
        <v>0</v>
      </c>
      <c r="AN226" s="6">
        <v>0</v>
      </c>
      <c r="AO226" s="6">
        <v>41.038852825735262</v>
      </c>
      <c r="AP226" s="6">
        <v>217.3545808937846</v>
      </c>
      <c r="AQ226" s="6">
        <v>419.99999964779192</v>
      </c>
      <c r="AR226" s="6">
        <v>1417.9320760000001</v>
      </c>
      <c r="AS226" s="6">
        <v>290.78848432026302</v>
      </c>
      <c r="AT226" s="6">
        <v>268.62373766454141</v>
      </c>
    </row>
    <row r="227" spans="1:46" x14ac:dyDescent="0.35">
      <c r="A227" s="5">
        <v>46022</v>
      </c>
      <c r="B227" s="4" t="s">
        <v>780</v>
      </c>
      <c r="C227" s="4" t="s">
        <v>781</v>
      </c>
      <c r="D227" s="4" t="s">
        <v>782</v>
      </c>
      <c r="E227" s="6">
        <v>40736.816030000002</v>
      </c>
      <c r="F227" s="7">
        <v>0.53510000000000002</v>
      </c>
      <c r="G227" s="6">
        <v>90.83</v>
      </c>
      <c r="H227" s="6">
        <v>198</v>
      </c>
      <c r="I227" s="6">
        <v>97</v>
      </c>
      <c r="J227" s="6">
        <v>192.06</v>
      </c>
      <c r="K227" s="8">
        <v>84.99629898751914</v>
      </c>
      <c r="L227" s="6">
        <v>4.9360007544773641</v>
      </c>
      <c r="M227" s="6">
        <v>3.562318091814006</v>
      </c>
      <c r="N227" s="6">
        <v>1.106477527173952</v>
      </c>
      <c r="O227" s="6">
        <v>19.651132142534468</v>
      </c>
      <c r="P227" s="6">
        <v>29.255928515999791</v>
      </c>
      <c r="Q227" s="6">
        <v>4.4751544876258231</v>
      </c>
      <c r="R227" s="6">
        <v>13.620380270611751</v>
      </c>
      <c r="S227" s="6">
        <v>16.716446825817869</v>
      </c>
      <c r="T227" s="6">
        <v>11.92825280484433</v>
      </c>
      <c r="U227" s="6">
        <v>46.740234388899772</v>
      </c>
      <c r="V227" s="6">
        <v>75.996162904899563</v>
      </c>
      <c r="W227" s="6">
        <v>31.487198958373781</v>
      </c>
      <c r="X227" s="6">
        <v>20.71873738250892</v>
      </c>
      <c r="Y227" s="6">
        <v>128.20209924578231</v>
      </c>
      <c r="Z227" s="6">
        <v>25.082552616031212</v>
      </c>
      <c r="AA227" s="6">
        <v>153.2846518618135</v>
      </c>
      <c r="AB227" s="6">
        <v>0</v>
      </c>
      <c r="AC227" s="6">
        <v>32.717132900495692</v>
      </c>
      <c r="AD227" s="6">
        <v>0</v>
      </c>
      <c r="AE227" s="6">
        <v>0</v>
      </c>
      <c r="AF227" s="6">
        <v>186.0017847623092</v>
      </c>
      <c r="AG227" s="6">
        <v>2.7488536144275559</v>
      </c>
      <c r="AH227" s="6">
        <v>0</v>
      </c>
      <c r="AI227" s="6">
        <v>11.39942770669999</v>
      </c>
      <c r="AJ227" s="6">
        <v>167.43293318294101</v>
      </c>
      <c r="AK227" s="6">
        <v>39.046393043501311</v>
      </c>
      <c r="AL227" s="6">
        <v>0</v>
      </c>
      <c r="AM227" s="6">
        <v>0</v>
      </c>
      <c r="AN227" s="6">
        <v>0</v>
      </c>
      <c r="AO227" s="6">
        <v>0</v>
      </c>
      <c r="AP227" s="6">
        <v>206.47932622644231</v>
      </c>
      <c r="AQ227" s="6">
        <v>419.99999964779192</v>
      </c>
      <c r="AR227" s="6">
        <v>2087.3505530000002</v>
      </c>
      <c r="AS227" s="6">
        <v>291.7979004020097</v>
      </c>
      <c r="AT227" s="6">
        <v>266.71534778597851</v>
      </c>
    </row>
    <row r="228" spans="1:46" x14ac:dyDescent="0.35">
      <c r="A228" s="5">
        <v>46022</v>
      </c>
      <c r="B228" s="4" t="s">
        <v>587</v>
      </c>
      <c r="C228" s="4" t="s">
        <v>588</v>
      </c>
      <c r="D228" s="4" t="s">
        <v>79</v>
      </c>
      <c r="E228" s="6">
        <v>15500</v>
      </c>
      <c r="F228" s="7">
        <v>0.40899999999999997</v>
      </c>
      <c r="G228" s="6">
        <v>83</v>
      </c>
      <c r="H228" s="6">
        <v>52.618000000000002</v>
      </c>
      <c r="I228" s="6">
        <v>97</v>
      </c>
      <c r="J228" s="6">
        <v>51.039313999999997</v>
      </c>
      <c r="K228" s="8">
        <v>93.688894050114754</v>
      </c>
      <c r="L228" s="6">
        <v>27.355010587088469</v>
      </c>
      <c r="M228" s="6">
        <v>9.5048360157745204</v>
      </c>
      <c r="N228" s="6">
        <v>1.6396014740613509</v>
      </c>
      <c r="O228" s="6">
        <v>40.090666175597001</v>
      </c>
      <c r="P228" s="6">
        <v>78.590114252521346</v>
      </c>
      <c r="Q228" s="6">
        <v>35.81078300317764</v>
      </c>
      <c r="R228" s="6">
        <v>31.876487994577509</v>
      </c>
      <c r="S228" s="6">
        <v>35.328265628135682</v>
      </c>
      <c r="T228" s="6">
        <v>79.866988826429449</v>
      </c>
      <c r="U228" s="6">
        <v>182.88252545232029</v>
      </c>
      <c r="V228" s="6">
        <v>261.47263970484158</v>
      </c>
      <c r="W228" s="6">
        <v>10.10601689345533</v>
      </c>
      <c r="X228" s="6">
        <v>22.6036266061584</v>
      </c>
      <c r="Y228" s="6">
        <v>294.18228320445542</v>
      </c>
      <c r="Z228" s="6">
        <v>10.511358673087109</v>
      </c>
      <c r="AA228" s="6">
        <v>304.69364187754252</v>
      </c>
      <c r="AB228" s="6">
        <v>0</v>
      </c>
      <c r="AC228" s="6">
        <v>35.974917377195602</v>
      </c>
      <c r="AD228" s="6">
        <v>0</v>
      </c>
      <c r="AE228" s="6">
        <v>0</v>
      </c>
      <c r="AF228" s="6">
        <v>340.66855925473811</v>
      </c>
      <c r="AG228" s="6">
        <v>12.418485720929869</v>
      </c>
      <c r="AH228" s="6">
        <v>0</v>
      </c>
      <c r="AI228" s="6">
        <v>35.598071668646732</v>
      </c>
      <c r="AJ228" s="6">
        <v>352.71019926711909</v>
      </c>
      <c r="AK228" s="6">
        <v>0</v>
      </c>
      <c r="AL228" s="6">
        <v>0</v>
      </c>
      <c r="AM228" s="6">
        <v>0</v>
      </c>
      <c r="AN228" s="6">
        <v>0</v>
      </c>
      <c r="AO228" s="6">
        <v>0</v>
      </c>
      <c r="AP228" s="6">
        <v>352.71019926711909</v>
      </c>
      <c r="AQ228" s="6">
        <v>419.99988444248191</v>
      </c>
      <c r="AR228" s="6">
        <v>504.96874000000003</v>
      </c>
      <c r="AS228" s="6">
        <v>125.8176012380265</v>
      </c>
      <c r="AT228" s="6">
        <v>115.3062425649394</v>
      </c>
    </row>
    <row r="229" spans="1:46" x14ac:dyDescent="0.35">
      <c r="A229" s="5">
        <v>46022</v>
      </c>
      <c r="B229" s="4" t="s">
        <v>360</v>
      </c>
      <c r="C229" s="4" t="s">
        <v>361</v>
      </c>
      <c r="D229" s="4" t="s">
        <v>105</v>
      </c>
      <c r="E229" s="6">
        <v>2803.9772950000001</v>
      </c>
      <c r="F229" s="7">
        <v>0.05</v>
      </c>
      <c r="G229" s="6">
        <v>30</v>
      </c>
      <c r="H229" s="6">
        <v>0.42099999999999999</v>
      </c>
      <c r="I229" s="6">
        <v>100</v>
      </c>
      <c r="J229" s="6">
        <v>0.420597</v>
      </c>
      <c r="K229" s="8">
        <v>0.82551265157988296</v>
      </c>
      <c r="L229" s="6">
        <v>128.97672660588299</v>
      </c>
      <c r="M229" s="6">
        <v>3.2150721977374048</v>
      </c>
      <c r="N229" s="6">
        <v>30.800439700408621</v>
      </c>
      <c r="O229" s="6">
        <v>111.146697970058</v>
      </c>
      <c r="P229" s="6">
        <v>274.13893647408702</v>
      </c>
      <c r="Q229" s="6">
        <v>8.4612300372812541</v>
      </c>
      <c r="R229" s="6">
        <v>11.291642902538859</v>
      </c>
      <c r="S229" s="6">
        <v>53.440418388785801</v>
      </c>
      <c r="T229" s="6">
        <v>16.383306055732358</v>
      </c>
      <c r="U229" s="6">
        <v>89.576597384338285</v>
      </c>
      <c r="V229" s="6">
        <v>363.71553385842532</v>
      </c>
      <c r="W229" s="6">
        <v>1.652921715006345E-2</v>
      </c>
      <c r="X229" s="6">
        <v>22.110965878486759</v>
      </c>
      <c r="Y229" s="6">
        <v>385.84302895406222</v>
      </c>
      <c r="Z229" s="6">
        <v>0.93358854909593669</v>
      </c>
      <c r="AA229" s="6">
        <v>386.77661750315809</v>
      </c>
      <c r="AB229" s="6">
        <v>0</v>
      </c>
      <c r="AC229" s="6">
        <v>48.094201350285168</v>
      </c>
      <c r="AD229" s="6">
        <v>0</v>
      </c>
      <c r="AE229" s="6">
        <v>0</v>
      </c>
      <c r="AF229" s="6">
        <v>434.87081885344332</v>
      </c>
      <c r="AG229" s="6">
        <v>10.72018376468283</v>
      </c>
      <c r="AH229" s="6">
        <v>0</v>
      </c>
      <c r="AI229" s="6">
        <v>32.57842731801027</v>
      </c>
      <c r="AJ229" s="6">
        <v>430.07522858585122</v>
      </c>
      <c r="AK229" s="6">
        <v>0</v>
      </c>
      <c r="AL229" s="6">
        <v>0</v>
      </c>
      <c r="AM229" s="6">
        <v>0</v>
      </c>
      <c r="AN229" s="6">
        <v>0</v>
      </c>
      <c r="AO229" s="6">
        <v>0</v>
      </c>
      <c r="AP229" s="6">
        <v>430.07522858585122</v>
      </c>
      <c r="AQ229" s="6">
        <v>420.00299538955647</v>
      </c>
      <c r="AR229" s="6">
        <v>465.29565300000002</v>
      </c>
      <c r="AS229" s="6">
        <v>34.15996643549434</v>
      </c>
      <c r="AT229" s="6">
        <v>33.226377886398403</v>
      </c>
    </row>
    <row r="230" spans="1:46" x14ac:dyDescent="0.35">
      <c r="A230" s="5">
        <v>46022</v>
      </c>
      <c r="B230" s="4" t="s">
        <v>589</v>
      </c>
      <c r="C230" s="4" t="s">
        <v>590</v>
      </c>
      <c r="D230" s="4" t="s">
        <v>105</v>
      </c>
      <c r="E230" s="6">
        <v>15835.12</v>
      </c>
      <c r="F230" s="7">
        <v>0.1</v>
      </c>
      <c r="G230" s="6">
        <v>70.099999999999994</v>
      </c>
      <c r="H230" s="6">
        <v>11.1</v>
      </c>
      <c r="I230" s="6">
        <v>100</v>
      </c>
      <c r="J230" s="6">
        <v>11.1</v>
      </c>
      <c r="K230" s="8">
        <v>7.8126323407497091</v>
      </c>
      <c r="L230" s="6">
        <v>34.920833564943813</v>
      </c>
      <c r="M230" s="6">
        <v>18.334211740386021</v>
      </c>
      <c r="N230" s="6">
        <v>0.1412397111469432</v>
      </c>
      <c r="O230" s="6">
        <v>18.903892393629071</v>
      </c>
      <c r="P230" s="6">
        <v>72.300177410105846</v>
      </c>
      <c r="Q230" s="6">
        <v>13.04261626699911</v>
      </c>
      <c r="R230" s="6">
        <v>10.443796482049979</v>
      </c>
      <c r="S230" s="6">
        <v>16.410463984522181</v>
      </c>
      <c r="T230" s="6">
        <v>15.30104622478685</v>
      </c>
      <c r="U230" s="6">
        <v>55.197922958358113</v>
      </c>
      <c r="V230" s="6">
        <v>127.49810036846389</v>
      </c>
      <c r="W230" s="6">
        <v>2.39721763903639</v>
      </c>
      <c r="X230" s="6">
        <v>31.580947862282159</v>
      </c>
      <c r="Y230" s="6">
        <v>161.47626586978251</v>
      </c>
      <c r="Z230" s="6">
        <v>2.2442683073644978</v>
      </c>
      <c r="AA230" s="6">
        <v>163.72053417714699</v>
      </c>
      <c r="AB230" s="6">
        <v>0</v>
      </c>
      <c r="AC230" s="6">
        <v>159.62111569653379</v>
      </c>
      <c r="AD230" s="6">
        <v>0</v>
      </c>
      <c r="AE230" s="6">
        <v>0</v>
      </c>
      <c r="AF230" s="6">
        <v>323.34164987368081</v>
      </c>
      <c r="AG230" s="6">
        <v>11.77075615639494</v>
      </c>
      <c r="AH230" s="6">
        <v>0</v>
      </c>
      <c r="AI230" s="6">
        <v>144.3711297152355</v>
      </c>
      <c r="AJ230" s="6">
        <v>319.86242004877738</v>
      </c>
      <c r="AK230" s="6">
        <v>0</v>
      </c>
      <c r="AL230" s="6">
        <v>0</v>
      </c>
      <c r="AM230" s="6">
        <v>0</v>
      </c>
      <c r="AN230" s="6">
        <v>0</v>
      </c>
      <c r="AO230" s="6">
        <v>0</v>
      </c>
      <c r="AP230" s="6">
        <v>319.86242004877738</v>
      </c>
      <c r="AQ230" s="6">
        <v>419.99999964779198</v>
      </c>
      <c r="AR230" s="6">
        <v>1697.897876</v>
      </c>
      <c r="AS230" s="6">
        <v>258.5237337780095</v>
      </c>
      <c r="AT230" s="6">
        <v>256.27946547064499</v>
      </c>
    </row>
    <row r="231" spans="1:46" x14ac:dyDescent="0.35">
      <c r="A231" s="5">
        <v>46022</v>
      </c>
      <c r="B231" s="4" t="s">
        <v>783</v>
      </c>
      <c r="C231" s="4" t="s">
        <v>784</v>
      </c>
      <c r="D231" s="4" t="s">
        <v>79</v>
      </c>
      <c r="E231" s="6">
        <v>48045.562858999998</v>
      </c>
      <c r="F231" s="7">
        <v>0.28870000000000001</v>
      </c>
      <c r="G231" s="6">
        <v>81.599999999999994</v>
      </c>
      <c r="H231" s="6">
        <v>113.18899999999999</v>
      </c>
      <c r="I231" s="6">
        <v>97</v>
      </c>
      <c r="J231" s="6">
        <v>109.793734</v>
      </c>
      <c r="K231" s="8">
        <v>91.005461758660886</v>
      </c>
      <c r="L231" s="6">
        <v>38.735580503247967</v>
      </c>
      <c r="M231" s="6">
        <v>19.50374738353581</v>
      </c>
      <c r="N231" s="6">
        <v>0.76751246632588532</v>
      </c>
      <c r="O231" s="6">
        <v>59.640102715885597</v>
      </c>
      <c r="P231" s="6">
        <v>118.6469430689953</v>
      </c>
      <c r="Q231" s="6">
        <v>46.059852130816473</v>
      </c>
      <c r="R231" s="6">
        <v>49.478677695708612</v>
      </c>
      <c r="S231" s="6">
        <v>69.757434019328826</v>
      </c>
      <c r="T231" s="6">
        <v>97.278325907433327</v>
      </c>
      <c r="U231" s="6">
        <v>262.57428975328719</v>
      </c>
      <c r="V231" s="6">
        <v>381.2212328222825</v>
      </c>
      <c r="W231" s="6">
        <v>5.3240039077665351</v>
      </c>
      <c r="X231" s="6">
        <v>8.6115923026281287</v>
      </c>
      <c r="Y231" s="6">
        <v>395.15682903267719</v>
      </c>
      <c r="Z231" s="6">
        <v>10.470239762786379</v>
      </c>
      <c r="AA231" s="6">
        <v>405.62706879546352</v>
      </c>
      <c r="AB231" s="6">
        <v>0</v>
      </c>
      <c r="AC231" s="6">
        <v>58.03341871961937</v>
      </c>
      <c r="AD231" s="6">
        <v>0</v>
      </c>
      <c r="AE231" s="6">
        <v>0</v>
      </c>
      <c r="AF231" s="6">
        <v>463.66048751508288</v>
      </c>
      <c r="AG231" s="6">
        <v>14.51812267553114</v>
      </c>
      <c r="AH231" s="6">
        <v>0</v>
      </c>
      <c r="AI231" s="6">
        <v>30.26387873203085</v>
      </c>
      <c r="AJ231" s="6">
        <v>450.40907020302552</v>
      </c>
      <c r="AK231" s="6">
        <v>0</v>
      </c>
      <c r="AL231" s="6">
        <v>0</v>
      </c>
      <c r="AM231" s="6">
        <v>0</v>
      </c>
      <c r="AN231" s="6">
        <v>0</v>
      </c>
      <c r="AO231" s="6">
        <v>0</v>
      </c>
      <c r="AP231" s="6">
        <v>450.40907020302552</v>
      </c>
      <c r="AQ231" s="6">
        <v>419.99986958572492</v>
      </c>
      <c r="AR231" s="6">
        <v>1113.9609330000001</v>
      </c>
      <c r="AS231" s="6">
        <v>24.843040553047771</v>
      </c>
      <c r="AT231" s="6">
        <v>14.37280079026139</v>
      </c>
    </row>
    <row r="232" spans="1:46" x14ac:dyDescent="0.35">
      <c r="A232" s="5">
        <v>46022</v>
      </c>
      <c r="B232" s="4" t="s">
        <v>418</v>
      </c>
      <c r="C232" s="4" t="s">
        <v>419</v>
      </c>
      <c r="D232" s="4" t="s">
        <v>79</v>
      </c>
      <c r="E232" s="6">
        <v>179425.139131</v>
      </c>
      <c r="F232" s="7">
        <v>0.17649999999999999</v>
      </c>
      <c r="G232" s="6">
        <v>46.07</v>
      </c>
      <c r="H232" s="6">
        <v>145.89599999999999</v>
      </c>
      <c r="I232" s="6">
        <v>100</v>
      </c>
      <c r="J232" s="6">
        <v>145.89592999999999</v>
      </c>
      <c r="K232" s="8">
        <v>100</v>
      </c>
      <c r="L232" s="6">
        <v>64.935355359262886</v>
      </c>
      <c r="M232" s="6">
        <v>18.30167785826195</v>
      </c>
      <c r="N232" s="6">
        <v>3.6964944443426928</v>
      </c>
      <c r="O232" s="6">
        <v>131.8468974262189</v>
      </c>
      <c r="P232" s="6">
        <v>218.78042508808639</v>
      </c>
      <c r="Q232" s="6">
        <v>39.831491791369857</v>
      </c>
      <c r="R232" s="6">
        <v>54.157144025018972</v>
      </c>
      <c r="S232" s="6">
        <v>43.029058501460668</v>
      </c>
      <c r="T232" s="6">
        <v>30.551848732276049</v>
      </c>
      <c r="U232" s="6">
        <v>167.5695430501255</v>
      </c>
      <c r="V232" s="6">
        <v>386.34996813821198</v>
      </c>
      <c r="W232" s="6">
        <v>8.4500081259955415</v>
      </c>
      <c r="X232" s="6">
        <v>0</v>
      </c>
      <c r="Y232" s="6">
        <v>394.79997626420749</v>
      </c>
      <c r="Z232" s="6">
        <v>10.499496172182321</v>
      </c>
      <c r="AA232" s="6">
        <v>405.29947243638981</v>
      </c>
      <c r="AB232" s="6">
        <v>0</v>
      </c>
      <c r="AC232" s="6">
        <v>23.490939092472761</v>
      </c>
      <c r="AD232" s="6">
        <v>0</v>
      </c>
      <c r="AE232" s="6">
        <v>0</v>
      </c>
      <c r="AF232" s="6">
        <v>428.79041152886259</v>
      </c>
      <c r="AG232" s="6">
        <v>15.5571848352903</v>
      </c>
      <c r="AH232" s="6">
        <v>0</v>
      </c>
      <c r="AI232" s="6">
        <v>22.137407949372609</v>
      </c>
      <c r="AJ232" s="6">
        <v>442.99406522105272</v>
      </c>
      <c r="AK232" s="6">
        <v>0</v>
      </c>
      <c r="AL232" s="6">
        <v>0</v>
      </c>
      <c r="AM232" s="6">
        <v>0</v>
      </c>
      <c r="AN232" s="6">
        <v>0</v>
      </c>
      <c r="AO232" s="6">
        <v>0</v>
      </c>
      <c r="AP232" s="6">
        <v>442.99406522105272</v>
      </c>
      <c r="AQ232" s="6">
        <v>419.99991328486198</v>
      </c>
      <c r="AR232" s="6">
        <v>1350.9106850000001</v>
      </c>
      <c r="AS232" s="6">
        <v>25.19993702065446</v>
      </c>
      <c r="AT232" s="6">
        <v>14.700440848472139</v>
      </c>
    </row>
    <row r="233" spans="1:46" x14ac:dyDescent="0.35">
      <c r="A233" s="5">
        <v>46022</v>
      </c>
      <c r="B233" s="4" t="s">
        <v>362</v>
      </c>
      <c r="C233" s="4" t="s">
        <v>363</v>
      </c>
      <c r="D233" s="4" t="s">
        <v>105</v>
      </c>
      <c r="E233" s="6">
        <v>2430</v>
      </c>
      <c r="F233" s="7">
        <v>1.4999999999999999E-2</v>
      </c>
      <c r="G233" s="6">
        <v>50</v>
      </c>
      <c r="H233" s="6">
        <v>0.182</v>
      </c>
      <c r="I233" s="6">
        <v>100</v>
      </c>
      <c r="J233" s="6">
        <v>0.18225</v>
      </c>
      <c r="K233" s="8">
        <v>0.401619425867631</v>
      </c>
      <c r="L233" s="6">
        <v>62.716128923784133</v>
      </c>
      <c r="M233" s="6">
        <v>1.9240590249280829</v>
      </c>
      <c r="N233" s="6">
        <v>49.020943799196559</v>
      </c>
      <c r="O233" s="6">
        <v>41.850843301862199</v>
      </c>
      <c r="P233" s="6">
        <v>155.511975049771</v>
      </c>
      <c r="Q233" s="6">
        <v>4.1184654244735537</v>
      </c>
      <c r="R233" s="6">
        <v>6.5595757659530332</v>
      </c>
      <c r="S233" s="6">
        <v>46.524110837089438</v>
      </c>
      <c r="T233" s="6">
        <v>-0.43328642857943528</v>
      </c>
      <c r="U233" s="6">
        <v>56.768865598936593</v>
      </c>
      <c r="V233" s="6">
        <v>212.2808406487076</v>
      </c>
      <c r="W233" s="6">
        <v>2.27659805575635E-2</v>
      </c>
      <c r="X233" s="6">
        <v>22.06121136172268</v>
      </c>
      <c r="Y233" s="6">
        <v>234.3648179909878</v>
      </c>
      <c r="Z233" s="6">
        <v>11.963276558293121</v>
      </c>
      <c r="AA233" s="6">
        <v>246.32809454928091</v>
      </c>
      <c r="AB233" s="6">
        <v>0</v>
      </c>
      <c r="AC233" s="6">
        <v>142.5785072917414</v>
      </c>
      <c r="AD233" s="6">
        <v>0</v>
      </c>
      <c r="AE233" s="6">
        <v>0</v>
      </c>
      <c r="AF233" s="6">
        <v>388.90660184102228</v>
      </c>
      <c r="AG233" s="6">
        <v>10.447771547397011</v>
      </c>
      <c r="AH233" s="6">
        <v>0</v>
      </c>
      <c r="AI233" s="6">
        <v>139.59758148216861</v>
      </c>
      <c r="AJ233" s="6">
        <v>396.37344757884659</v>
      </c>
      <c r="AK233" s="6">
        <v>23.715674616283039</v>
      </c>
      <c r="AL233" s="6">
        <v>0</v>
      </c>
      <c r="AM233" s="6">
        <v>0</v>
      </c>
      <c r="AN233" s="6">
        <v>0</v>
      </c>
      <c r="AO233" s="6">
        <v>0</v>
      </c>
      <c r="AP233" s="6">
        <v>420.08912219512962</v>
      </c>
      <c r="AQ233" s="6">
        <v>419.88477331043998</v>
      </c>
      <c r="AR233" s="6">
        <v>415.16993000000002</v>
      </c>
      <c r="AS233" s="6">
        <v>185.51995531945221</v>
      </c>
      <c r="AT233" s="6">
        <v>173.55667876115911</v>
      </c>
    </row>
    <row r="234" spans="1:46" x14ac:dyDescent="0.35">
      <c r="A234" s="5">
        <v>46022</v>
      </c>
      <c r="B234" s="4" t="s">
        <v>591</v>
      </c>
      <c r="C234" s="4" t="s">
        <v>592</v>
      </c>
      <c r="D234" s="4" t="s">
        <v>89</v>
      </c>
      <c r="E234" s="6">
        <v>1417.769376</v>
      </c>
      <c r="F234" s="7">
        <v>0.92</v>
      </c>
      <c r="G234" s="6">
        <v>92</v>
      </c>
      <c r="H234" s="6">
        <v>12</v>
      </c>
      <c r="I234" s="6">
        <v>95.925926000000004</v>
      </c>
      <c r="J234" s="6">
        <v>11.511111</v>
      </c>
      <c r="K234" s="8">
        <v>87.507015008121627</v>
      </c>
      <c r="L234" s="6">
        <v>126.5647616597082</v>
      </c>
      <c r="M234" s="6">
        <v>3.608085828746296</v>
      </c>
      <c r="N234" s="6">
        <v>4.0907902601575374</v>
      </c>
      <c r="O234" s="6">
        <v>112.9113413232799</v>
      </c>
      <c r="P234" s="6">
        <v>247.17497907189201</v>
      </c>
      <c r="Q234" s="6">
        <v>33.337556381680763</v>
      </c>
      <c r="R234" s="6">
        <v>7.9144401999719847</v>
      </c>
      <c r="S234" s="6">
        <v>12.21857997187999</v>
      </c>
      <c r="T234" s="6">
        <v>39.881325821174883</v>
      </c>
      <c r="U234" s="6">
        <v>93.35190237470762</v>
      </c>
      <c r="V234" s="6">
        <v>340.52688144659959</v>
      </c>
      <c r="W234" s="6">
        <v>18.00862996158552</v>
      </c>
      <c r="X234" s="6">
        <v>20.260216317279301</v>
      </c>
      <c r="Y234" s="6">
        <v>378.79572772546442</v>
      </c>
      <c r="Z234" s="6">
        <v>17.07303001786557</v>
      </c>
      <c r="AA234" s="6">
        <v>395.86875774332998</v>
      </c>
      <c r="AB234" s="6">
        <v>0</v>
      </c>
      <c r="AC234" s="6">
        <v>54.728332081250123</v>
      </c>
      <c r="AD234" s="6">
        <v>0</v>
      </c>
      <c r="AE234" s="6">
        <v>0</v>
      </c>
      <c r="AF234" s="6">
        <v>450.59708982458011</v>
      </c>
      <c r="AG234" s="6">
        <v>5.1722871481404553</v>
      </c>
      <c r="AH234" s="6">
        <v>0</v>
      </c>
      <c r="AI234" s="6">
        <v>31.033722888842728</v>
      </c>
      <c r="AJ234" s="6">
        <v>432.07476778031321</v>
      </c>
      <c r="AK234" s="6">
        <v>163.44427388123839</v>
      </c>
      <c r="AL234" s="6">
        <v>0</v>
      </c>
      <c r="AM234" s="6">
        <v>0</v>
      </c>
      <c r="AN234" s="6">
        <v>0</v>
      </c>
      <c r="AO234" s="6">
        <v>0</v>
      </c>
      <c r="AP234" s="6">
        <v>595.51904166155146</v>
      </c>
      <c r="AQ234" s="6">
        <v>419.99959829643711</v>
      </c>
      <c r="AR234" s="6">
        <v>121.54397899999999</v>
      </c>
      <c r="AS234" s="6">
        <v>41.203870570972661</v>
      </c>
      <c r="AT234" s="6">
        <v>24.130840553107099</v>
      </c>
    </row>
    <row r="235" spans="1:46" x14ac:dyDescent="0.35">
      <c r="A235" s="5">
        <v>46022</v>
      </c>
      <c r="B235" s="4" t="s">
        <v>364</v>
      </c>
      <c r="C235" s="4" t="s">
        <v>365</v>
      </c>
      <c r="D235" s="4" t="s">
        <v>222</v>
      </c>
      <c r="E235" s="6">
        <v>21900</v>
      </c>
      <c r="F235" s="7">
        <v>0.126</v>
      </c>
      <c r="G235" s="6">
        <v>78.8</v>
      </c>
      <c r="H235" s="6">
        <v>21.744</v>
      </c>
      <c r="I235" s="6">
        <v>95</v>
      </c>
      <c r="J235" s="6">
        <v>20.656867999999999</v>
      </c>
      <c r="K235" s="8">
        <v>32.111755309559591</v>
      </c>
      <c r="L235" s="6">
        <v>32.968081653651588</v>
      </c>
      <c r="M235" s="6">
        <v>31.14200955129165</v>
      </c>
      <c r="N235" s="6">
        <v>0.87486291045479025</v>
      </c>
      <c r="O235" s="6">
        <v>36.449048971260368</v>
      </c>
      <c r="P235" s="6">
        <v>101.43400308665839</v>
      </c>
      <c r="Q235" s="6">
        <v>29.15269785726267</v>
      </c>
      <c r="R235" s="6">
        <v>20.567277459965741</v>
      </c>
      <c r="S235" s="6">
        <v>22.506618165569691</v>
      </c>
      <c r="T235" s="6">
        <v>31.91390381192625</v>
      </c>
      <c r="U235" s="6">
        <v>104.1404972947244</v>
      </c>
      <c r="V235" s="6">
        <v>205.57450038138271</v>
      </c>
      <c r="W235" s="6">
        <v>8.4992232444520166</v>
      </c>
      <c r="X235" s="6">
        <v>13.705038503371711</v>
      </c>
      <c r="Y235" s="6">
        <v>227.77876212920651</v>
      </c>
      <c r="Z235" s="6">
        <v>2.2094975000851131</v>
      </c>
      <c r="AA235" s="6">
        <v>229.9882596292916</v>
      </c>
      <c r="AB235" s="6">
        <v>1.7287553010451819</v>
      </c>
      <c r="AC235" s="6">
        <v>62.743131419290528</v>
      </c>
      <c r="AD235" s="6">
        <v>0</v>
      </c>
      <c r="AE235" s="6">
        <v>0</v>
      </c>
      <c r="AF235" s="6">
        <v>294.46014634962728</v>
      </c>
      <c r="AG235" s="6">
        <v>14.724763999630399</v>
      </c>
      <c r="AH235" s="6">
        <v>0</v>
      </c>
      <c r="AI235" s="6">
        <v>30.32031416653135</v>
      </c>
      <c r="AJ235" s="6">
        <v>276.76209309649852</v>
      </c>
      <c r="AK235" s="6">
        <v>7.4037980044369336</v>
      </c>
      <c r="AL235" s="6">
        <v>0</v>
      </c>
      <c r="AM235" s="6">
        <v>0</v>
      </c>
      <c r="AN235" s="6">
        <v>0</v>
      </c>
      <c r="AO235" s="6">
        <v>0</v>
      </c>
      <c r="AP235" s="6">
        <v>284.16589110093543</v>
      </c>
      <c r="AQ235" s="6">
        <v>420.00065027885512</v>
      </c>
      <c r="AR235" s="6">
        <v>589.29431799999998</v>
      </c>
      <c r="AS235" s="6">
        <v>192.22188814964869</v>
      </c>
      <c r="AT235" s="6">
        <v>190.01239064956351</v>
      </c>
    </row>
    <row r="236" spans="1:46" x14ac:dyDescent="0.35">
      <c r="A236" s="5">
        <v>46022</v>
      </c>
      <c r="B236" s="4" t="s">
        <v>366</v>
      </c>
      <c r="C236" s="4" t="s">
        <v>367</v>
      </c>
      <c r="D236" s="4" t="s">
        <v>89</v>
      </c>
      <c r="E236" s="6">
        <v>3000</v>
      </c>
      <c r="F236" s="7">
        <v>1.85</v>
      </c>
      <c r="G236" s="6">
        <v>81</v>
      </c>
      <c r="H236" s="6">
        <v>44.954999999999998</v>
      </c>
      <c r="I236" s="6">
        <v>97</v>
      </c>
      <c r="J236" s="6">
        <v>43.606349999999999</v>
      </c>
      <c r="K236" s="8">
        <v>99.511543620510551</v>
      </c>
      <c r="L236" s="6">
        <v>82.263380074573504</v>
      </c>
      <c r="M236" s="6">
        <v>13.57447132998562</v>
      </c>
      <c r="N236" s="6">
        <v>5.3651245620838548</v>
      </c>
      <c r="O236" s="6">
        <v>24.06359925052509</v>
      </c>
      <c r="P236" s="6">
        <v>125.2665752171681</v>
      </c>
      <c r="Q236" s="6">
        <v>20.119110749536301</v>
      </c>
      <c r="R236" s="6">
        <v>5.0169277441716691</v>
      </c>
      <c r="S236" s="6">
        <v>18.456052342665579</v>
      </c>
      <c r="T236" s="6">
        <v>16.277890702276011</v>
      </c>
      <c r="U236" s="6">
        <v>59.869981538649547</v>
      </c>
      <c r="V236" s="6">
        <v>185.13655675581759</v>
      </c>
      <c r="W236" s="6">
        <v>7.3509065062044883</v>
      </c>
      <c r="X236" s="6">
        <v>19.454457236807361</v>
      </c>
      <c r="Y236" s="6">
        <v>211.94192049882949</v>
      </c>
      <c r="Z236" s="6">
        <v>17.760793861029558</v>
      </c>
      <c r="AA236" s="6">
        <v>229.70271435985899</v>
      </c>
      <c r="AB236" s="6">
        <v>0</v>
      </c>
      <c r="AC236" s="6">
        <v>106.29719900721391</v>
      </c>
      <c r="AD236" s="6">
        <v>0</v>
      </c>
      <c r="AE236" s="6">
        <v>0</v>
      </c>
      <c r="AF236" s="6">
        <v>335.99991336707291</v>
      </c>
      <c r="AG236" s="6">
        <v>7.9460626728508714</v>
      </c>
      <c r="AH236" s="6">
        <v>0</v>
      </c>
      <c r="AI236" s="6">
        <v>98.181845009044594</v>
      </c>
      <c r="AJ236" s="6">
        <v>335.83062204175451</v>
      </c>
      <c r="AK236" s="6">
        <v>0</v>
      </c>
      <c r="AL236" s="6">
        <v>0</v>
      </c>
      <c r="AM236" s="6">
        <v>0</v>
      </c>
      <c r="AN236" s="6">
        <v>0</v>
      </c>
      <c r="AO236" s="6">
        <v>0</v>
      </c>
      <c r="AP236" s="6">
        <v>335.83062204175451</v>
      </c>
      <c r="AQ236" s="6">
        <v>420.00048122902911</v>
      </c>
      <c r="AR236" s="6">
        <v>405.82294200000001</v>
      </c>
      <c r="AS236" s="6">
        <v>208.0585607301997</v>
      </c>
      <c r="AT236" s="6">
        <v>190.29776686917009</v>
      </c>
    </row>
    <row r="237" spans="1:46" x14ac:dyDescent="0.35">
      <c r="A237" s="5">
        <v>46022</v>
      </c>
      <c r="B237" s="4" t="s">
        <v>593</v>
      </c>
      <c r="C237" s="4" t="s">
        <v>594</v>
      </c>
      <c r="D237" s="4" t="s">
        <v>122</v>
      </c>
      <c r="E237" s="6">
        <v>1250</v>
      </c>
      <c r="F237" s="7">
        <v>2.2400000000000002</v>
      </c>
      <c r="G237" s="6">
        <v>95</v>
      </c>
      <c r="H237" s="6">
        <v>26.6</v>
      </c>
      <c r="I237" s="6">
        <v>97</v>
      </c>
      <c r="J237" s="6">
        <v>25.802</v>
      </c>
      <c r="K237" s="8">
        <v>99.999999926465918</v>
      </c>
      <c r="L237" s="6">
        <v>40.820937808041897</v>
      </c>
      <c r="M237" s="6">
        <v>4.7429602573017808</v>
      </c>
      <c r="N237" s="6">
        <v>3.900791977164483</v>
      </c>
      <c r="O237" s="6">
        <v>4.5497611470162171</v>
      </c>
      <c r="P237" s="6">
        <v>54.014451189524387</v>
      </c>
      <c r="Q237" s="6">
        <v>21.409047398928099</v>
      </c>
      <c r="R237" s="6">
        <v>1.4821564019364251</v>
      </c>
      <c r="S237" s="6">
        <v>3.5939134986730381</v>
      </c>
      <c r="T237" s="6">
        <v>3.3743931274199861</v>
      </c>
      <c r="U237" s="6">
        <v>29.859510426957549</v>
      </c>
      <c r="V237" s="6">
        <v>83.873961616481935</v>
      </c>
      <c r="W237" s="6">
        <v>5.8452624999999996</v>
      </c>
      <c r="X237" s="6">
        <v>17.352419999999999</v>
      </c>
      <c r="Y237" s="6">
        <v>107.07164411648191</v>
      </c>
      <c r="Z237" s="6">
        <v>22.639870633467901</v>
      </c>
      <c r="AA237" s="6">
        <v>129.7115147499498</v>
      </c>
      <c r="AB237" s="6">
        <v>0</v>
      </c>
      <c r="AC237" s="6">
        <v>49.21680696334834</v>
      </c>
      <c r="AD237" s="6">
        <v>0</v>
      </c>
      <c r="AE237" s="6">
        <v>0</v>
      </c>
      <c r="AF237" s="6">
        <v>178.9283217132982</v>
      </c>
      <c r="AG237" s="6">
        <v>3.3549587283553302</v>
      </c>
      <c r="AH237" s="6">
        <v>0</v>
      </c>
      <c r="AI237" s="6">
        <v>23.920932490699428</v>
      </c>
      <c r="AJ237" s="6">
        <v>156.98740596900461</v>
      </c>
      <c r="AK237" s="6">
        <v>0</v>
      </c>
      <c r="AL237" s="6">
        <v>0</v>
      </c>
      <c r="AM237" s="6">
        <v>0</v>
      </c>
      <c r="AN237" s="6">
        <v>0</v>
      </c>
      <c r="AO237" s="6">
        <v>0</v>
      </c>
      <c r="AP237" s="6">
        <v>156.98740596900461</v>
      </c>
      <c r="AQ237" s="6">
        <v>419.99999964779192</v>
      </c>
      <c r="AR237" s="6">
        <v>238.91142600000001</v>
      </c>
      <c r="AS237" s="6">
        <v>312.92835553130999</v>
      </c>
      <c r="AT237" s="6">
        <v>290.28848489784212</v>
      </c>
    </row>
    <row r="238" spans="1:46" x14ac:dyDescent="0.35">
      <c r="A238" s="5">
        <v>46022</v>
      </c>
      <c r="B238" s="4" t="s">
        <v>420</v>
      </c>
      <c r="C238" s="4" t="s">
        <v>421</v>
      </c>
      <c r="D238" s="4" t="s">
        <v>122</v>
      </c>
      <c r="E238" s="6">
        <v>892.85714299999995</v>
      </c>
      <c r="F238" s="7">
        <v>0.56000000000000005</v>
      </c>
      <c r="G238" s="6">
        <v>40</v>
      </c>
      <c r="H238" s="6">
        <v>2</v>
      </c>
      <c r="I238" s="6">
        <v>100</v>
      </c>
      <c r="J238" s="6">
        <v>2</v>
      </c>
      <c r="K238" s="8">
        <v>100</v>
      </c>
      <c r="L238" s="6">
        <v>0</v>
      </c>
      <c r="M238" s="6">
        <v>0</v>
      </c>
      <c r="N238" s="6">
        <v>0</v>
      </c>
      <c r="O238" s="6">
        <v>0</v>
      </c>
      <c r="P238" s="6">
        <v>0</v>
      </c>
      <c r="Q238" s="6">
        <v>66.792023233989852</v>
      </c>
      <c r="R238" s="6">
        <v>407.7170907457222</v>
      </c>
      <c r="S238" s="6">
        <v>7.0937391754287482</v>
      </c>
      <c r="T238" s="6">
        <v>14.93809272469009</v>
      </c>
      <c r="U238" s="6">
        <v>496.54094587983087</v>
      </c>
      <c r="V238" s="6">
        <v>496.54094587983087</v>
      </c>
      <c r="W238" s="6">
        <v>0</v>
      </c>
      <c r="X238" s="6">
        <v>0</v>
      </c>
      <c r="Y238" s="6">
        <v>496.54094587983087</v>
      </c>
      <c r="Z238" s="6">
        <v>22.6401565788344</v>
      </c>
      <c r="AA238" s="6">
        <v>519.18110245866535</v>
      </c>
      <c r="AB238" s="6">
        <v>0</v>
      </c>
      <c r="AC238" s="6">
        <v>34.149349570013889</v>
      </c>
      <c r="AD238" s="6">
        <v>0</v>
      </c>
      <c r="AE238" s="6">
        <v>0</v>
      </c>
      <c r="AF238" s="6">
        <v>553.33045202867925</v>
      </c>
      <c r="AG238" s="6">
        <v>19.861635405234111</v>
      </c>
      <c r="AH238" s="6">
        <v>0</v>
      </c>
      <c r="AI238" s="6">
        <v>28.058819019501911</v>
      </c>
      <c r="AJ238" s="6">
        <v>567.10155688340126</v>
      </c>
      <c r="AK238" s="6">
        <v>0</v>
      </c>
      <c r="AL238" s="6">
        <v>0</v>
      </c>
      <c r="AM238" s="6">
        <v>0</v>
      </c>
      <c r="AN238" s="6">
        <v>0</v>
      </c>
      <c r="AO238" s="6">
        <v>0</v>
      </c>
      <c r="AP238" s="6">
        <v>567.10155688340126</v>
      </c>
      <c r="AQ238" s="6">
        <v>419.99999964779192</v>
      </c>
      <c r="AR238" s="6">
        <v>18.518830000000001</v>
      </c>
      <c r="AS238" s="6">
        <v>-76.540946232038991</v>
      </c>
      <c r="AT238" s="6">
        <v>-99.181102810873384</v>
      </c>
    </row>
    <row r="239" spans="1:46" x14ac:dyDescent="0.35">
      <c r="A239" s="5">
        <v>46022</v>
      </c>
      <c r="B239" s="4" t="s">
        <v>595</v>
      </c>
      <c r="C239" s="4" t="s">
        <v>596</v>
      </c>
      <c r="D239" s="4" t="s">
        <v>122</v>
      </c>
      <c r="E239" s="6">
        <v>564.02439800000002</v>
      </c>
      <c r="F239" s="7">
        <v>0.2</v>
      </c>
      <c r="G239" s="6">
        <v>65</v>
      </c>
      <c r="H239" s="6">
        <v>0.73299999999999998</v>
      </c>
      <c r="I239" s="6">
        <v>97</v>
      </c>
      <c r="J239" s="6">
        <v>0.71123499999999995</v>
      </c>
      <c r="K239" s="8">
        <v>12.669695951087586</v>
      </c>
      <c r="L239" s="6">
        <v>21.428517404963991</v>
      </c>
      <c r="M239" s="6">
        <v>24.966304913991362</v>
      </c>
      <c r="N239" s="6">
        <v>13.32886375257263</v>
      </c>
      <c r="O239" s="6">
        <v>50.64703167864711</v>
      </c>
      <c r="P239" s="6">
        <v>110.3707177501751</v>
      </c>
      <c r="Q239" s="6">
        <v>4.0198824601238208</v>
      </c>
      <c r="R239" s="6">
        <v>7.9654292448807684</v>
      </c>
      <c r="S239" s="6">
        <v>20.662077443905549</v>
      </c>
      <c r="T239" s="6">
        <v>28.49842758061294</v>
      </c>
      <c r="U239" s="6">
        <v>61.145816729523069</v>
      </c>
      <c r="V239" s="6">
        <v>171.51653447969821</v>
      </c>
      <c r="W239" s="6">
        <v>17.08654412638419</v>
      </c>
      <c r="X239" s="6">
        <v>0</v>
      </c>
      <c r="Y239" s="6">
        <v>188.60307860608231</v>
      </c>
      <c r="Z239" s="6">
        <v>26.669136830401321</v>
      </c>
      <c r="AA239" s="6">
        <v>215.27221543648369</v>
      </c>
      <c r="AB239" s="6">
        <v>2.4240421214050558</v>
      </c>
      <c r="AC239" s="6">
        <v>188.1228171882122</v>
      </c>
      <c r="AD239" s="6">
        <v>0</v>
      </c>
      <c r="AE239" s="6">
        <v>0</v>
      </c>
      <c r="AF239" s="6">
        <v>405.81907474610091</v>
      </c>
      <c r="AG239" s="6">
        <v>34.75322937038321</v>
      </c>
      <c r="AH239" s="6">
        <v>0</v>
      </c>
      <c r="AI239" s="6">
        <v>38.784664827690222</v>
      </c>
      <c r="AJ239" s="6">
        <v>291.2341517559621</v>
      </c>
      <c r="AK239" s="6">
        <v>0</v>
      </c>
      <c r="AL239" s="6">
        <v>0</v>
      </c>
      <c r="AM239" s="6">
        <v>0</v>
      </c>
      <c r="AN239" s="6">
        <v>0</v>
      </c>
      <c r="AO239" s="6">
        <v>0</v>
      </c>
      <c r="AP239" s="6">
        <v>291.2341517559621</v>
      </c>
      <c r="AQ239" s="6">
        <v>419.97933137361019</v>
      </c>
      <c r="AR239" s="6">
        <v>66.011842000000001</v>
      </c>
      <c r="AS239" s="6">
        <v>231.37625276752789</v>
      </c>
      <c r="AT239" s="6">
        <v>204.7071159371265</v>
      </c>
    </row>
    <row r="240" spans="1:46" x14ac:dyDescent="0.35">
      <c r="A240" s="5">
        <v>46022</v>
      </c>
      <c r="B240" s="4" t="s">
        <v>422</v>
      </c>
      <c r="C240" s="4" t="s">
        <v>423</v>
      </c>
      <c r="D240" s="4" t="s">
        <v>213</v>
      </c>
      <c r="E240" s="6">
        <v>1230.1587300000001</v>
      </c>
      <c r="F240" s="7">
        <v>2.8</v>
      </c>
      <c r="G240" s="6">
        <v>90</v>
      </c>
      <c r="H240" s="6">
        <v>31</v>
      </c>
      <c r="I240" s="6">
        <v>96.75</v>
      </c>
      <c r="J240" s="6">
        <v>29.9925</v>
      </c>
      <c r="K240" s="8">
        <v>67.842921626252746</v>
      </c>
      <c r="L240" s="6">
        <v>38.919915621149727</v>
      </c>
      <c r="M240" s="6">
        <v>5.159042392435822</v>
      </c>
      <c r="N240" s="6">
        <v>9.4851568522962406</v>
      </c>
      <c r="O240" s="6">
        <v>37.837114105057807</v>
      </c>
      <c r="P240" s="6">
        <v>91.401228970939613</v>
      </c>
      <c r="Q240" s="6">
        <v>12.25227350867992</v>
      </c>
      <c r="R240" s="6">
        <v>1.504639813562537</v>
      </c>
      <c r="S240" s="6">
        <v>11.2645703915962</v>
      </c>
      <c r="T240" s="6">
        <v>12.45426909671461</v>
      </c>
      <c r="U240" s="6">
        <v>37.47575281055326</v>
      </c>
      <c r="V240" s="6">
        <v>128.8769817814929</v>
      </c>
      <c r="W240" s="6">
        <v>26.839440684485361</v>
      </c>
      <c r="X240" s="6">
        <v>16.2</v>
      </c>
      <c r="Y240" s="6">
        <v>171.9164224659782</v>
      </c>
      <c r="Z240" s="6">
        <v>46.030952693510173</v>
      </c>
      <c r="AA240" s="6">
        <v>217.94737515948839</v>
      </c>
      <c r="AB240" s="6">
        <v>0</v>
      </c>
      <c r="AC240" s="6">
        <v>47.742786497877823</v>
      </c>
      <c r="AD240" s="6">
        <v>0</v>
      </c>
      <c r="AE240" s="6">
        <v>0</v>
      </c>
      <c r="AF240" s="6">
        <v>265.69016165736622</v>
      </c>
      <c r="AG240" s="6">
        <v>7.9003867452910823</v>
      </c>
      <c r="AH240" s="6">
        <v>0</v>
      </c>
      <c r="AI240" s="6">
        <v>8.2081940538653484</v>
      </c>
      <c r="AJ240" s="6">
        <v>234.0559559586448</v>
      </c>
      <c r="AK240" s="6">
        <v>0</v>
      </c>
      <c r="AL240" s="6">
        <v>0</v>
      </c>
      <c r="AM240" s="6">
        <v>0</v>
      </c>
      <c r="AN240" s="6">
        <v>0</v>
      </c>
      <c r="AO240" s="6">
        <v>0</v>
      </c>
      <c r="AP240" s="6">
        <v>234.0559559586448</v>
      </c>
      <c r="AQ240" s="6">
        <v>419.99999964779192</v>
      </c>
      <c r="AR240" s="6">
        <v>439.05278199999998</v>
      </c>
      <c r="AS240" s="6">
        <v>248.08357718181369</v>
      </c>
      <c r="AT240" s="6">
        <v>202.05262448830351</v>
      </c>
    </row>
    <row r="241" spans="1:46" x14ac:dyDescent="0.35">
      <c r="A241" s="5">
        <v>46022</v>
      </c>
      <c r="B241" s="4" t="s">
        <v>368</v>
      </c>
      <c r="C241" s="4" t="s">
        <v>369</v>
      </c>
      <c r="D241" s="4" t="s">
        <v>213</v>
      </c>
      <c r="E241" s="6">
        <v>182.5</v>
      </c>
      <c r="F241" s="7">
        <v>1.6</v>
      </c>
      <c r="G241" s="6">
        <v>90</v>
      </c>
      <c r="H241" s="6">
        <v>2.6280000000000001</v>
      </c>
      <c r="I241" s="6">
        <v>97</v>
      </c>
      <c r="J241" s="6">
        <v>2.5491600000000001</v>
      </c>
      <c r="K241" s="8">
        <v>99.999998762369913</v>
      </c>
      <c r="L241" s="6">
        <v>46.567267237768867</v>
      </c>
      <c r="M241" s="6">
        <v>14.49518568388099</v>
      </c>
      <c r="N241" s="6">
        <v>7.812450225518603</v>
      </c>
      <c r="O241" s="6">
        <v>69.188892476486487</v>
      </c>
      <c r="P241" s="6">
        <v>138.06379562365501</v>
      </c>
      <c r="Q241" s="6">
        <v>96.747843727135404</v>
      </c>
      <c r="R241" s="6">
        <v>1.797082802731919</v>
      </c>
      <c r="S241" s="6">
        <v>6.6052971155830864</v>
      </c>
      <c r="T241" s="6">
        <v>13.158871854661429</v>
      </c>
      <c r="U241" s="6">
        <v>118.30909550011179</v>
      </c>
      <c r="V241" s="6">
        <v>256.37289112376681</v>
      </c>
      <c r="W241" s="6">
        <v>19.56497713140055</v>
      </c>
      <c r="X241" s="6">
        <v>28.783281087103202</v>
      </c>
      <c r="Y241" s="6">
        <v>304.72114934227051</v>
      </c>
      <c r="Z241" s="6">
        <v>29.541961588970771</v>
      </c>
      <c r="AA241" s="6">
        <v>334.26311093124127</v>
      </c>
      <c r="AB241" s="6">
        <v>0</v>
      </c>
      <c r="AC241" s="6">
        <v>77.506523451784588</v>
      </c>
      <c r="AD241" s="6">
        <v>0</v>
      </c>
      <c r="AE241" s="6">
        <v>0</v>
      </c>
      <c r="AF241" s="6">
        <v>411.7696343830259</v>
      </c>
      <c r="AG241" s="6">
        <v>1.712921981876399</v>
      </c>
      <c r="AH241" s="6">
        <v>0</v>
      </c>
      <c r="AI241" s="6">
        <v>77.506523451784588</v>
      </c>
      <c r="AJ241" s="6">
        <v>413.48255636490228</v>
      </c>
      <c r="AK241" s="6">
        <v>0</v>
      </c>
      <c r="AL241" s="6">
        <v>0</v>
      </c>
      <c r="AM241" s="6">
        <v>0</v>
      </c>
      <c r="AN241" s="6">
        <v>0</v>
      </c>
      <c r="AO241" s="6">
        <v>0</v>
      </c>
      <c r="AP241" s="6">
        <v>413.48255636490228</v>
      </c>
      <c r="AQ241" s="6">
        <v>420.00659005403787</v>
      </c>
      <c r="AR241" s="6">
        <v>23.604101</v>
      </c>
      <c r="AS241" s="6">
        <v>115.28544071176729</v>
      </c>
      <c r="AT241" s="6">
        <v>85.743479122796558</v>
      </c>
    </row>
    <row r="242" spans="1:46" x14ac:dyDescent="0.35">
      <c r="A242" s="5">
        <v>46022</v>
      </c>
      <c r="B242" s="4" t="s">
        <v>597</v>
      </c>
      <c r="C242" s="4" t="s">
        <v>598</v>
      </c>
      <c r="D242" s="4" t="s">
        <v>213</v>
      </c>
      <c r="E242" s="6">
        <v>2500</v>
      </c>
      <c r="F242" s="7">
        <v>1.82</v>
      </c>
      <c r="G242" s="6">
        <v>74.31</v>
      </c>
      <c r="H242" s="6">
        <v>33.81</v>
      </c>
      <c r="I242" s="6">
        <v>100</v>
      </c>
      <c r="J242" s="6">
        <v>33.81</v>
      </c>
      <c r="K242" s="8">
        <v>61.286731253608266</v>
      </c>
      <c r="L242" s="6">
        <v>25.25631563382467</v>
      </c>
      <c r="M242" s="6">
        <v>14.62943872849675</v>
      </c>
      <c r="N242" s="6">
        <v>4.3806662774080634</v>
      </c>
      <c r="O242" s="6">
        <v>43.281819174316617</v>
      </c>
      <c r="P242" s="6">
        <v>87.548239814046113</v>
      </c>
      <c r="Q242" s="6">
        <v>27.59378848779232</v>
      </c>
      <c r="R242" s="6">
        <v>9.1633290460407437</v>
      </c>
      <c r="S242" s="6">
        <v>16.53535605768586</v>
      </c>
      <c r="T242" s="6">
        <v>2.2340745168585872</v>
      </c>
      <c r="U242" s="6">
        <v>55.526548108377511</v>
      </c>
      <c r="V242" s="6">
        <v>143.07478792242361</v>
      </c>
      <c r="W242" s="6">
        <v>18.77303180591192</v>
      </c>
      <c r="X242" s="6">
        <v>0</v>
      </c>
      <c r="Y242" s="6">
        <v>161.84781972833551</v>
      </c>
      <c r="Z242" s="6">
        <v>51.558467122594692</v>
      </c>
      <c r="AA242" s="6">
        <v>213.4062868509302</v>
      </c>
      <c r="AB242" s="6">
        <v>0</v>
      </c>
      <c r="AC242" s="6">
        <v>90.530694200801619</v>
      </c>
      <c r="AD242" s="6">
        <v>0</v>
      </c>
      <c r="AE242" s="6">
        <v>0</v>
      </c>
      <c r="AF242" s="6">
        <v>303.93698105173178</v>
      </c>
      <c r="AG242" s="6">
        <v>1.018300034817383</v>
      </c>
      <c r="AH242" s="6">
        <v>0</v>
      </c>
      <c r="AI242" s="6">
        <v>44.908319809497613</v>
      </c>
      <c r="AJ242" s="6">
        <v>259.33290669524519</v>
      </c>
      <c r="AK242" s="6">
        <v>0</v>
      </c>
      <c r="AL242" s="6">
        <v>0</v>
      </c>
      <c r="AM242" s="6">
        <v>0</v>
      </c>
      <c r="AN242" s="6">
        <v>0</v>
      </c>
      <c r="AO242" s="6">
        <v>0</v>
      </c>
      <c r="AP242" s="6">
        <v>259.33290669524519</v>
      </c>
      <c r="AQ242" s="6">
        <v>419.99999964779192</v>
      </c>
      <c r="AR242" s="6">
        <v>579.03136700000005</v>
      </c>
      <c r="AS242" s="6">
        <v>258.15217991945639</v>
      </c>
      <c r="AT242" s="6">
        <v>206.59371279686169</v>
      </c>
    </row>
    <row r="243" spans="1:46" x14ac:dyDescent="0.35">
      <c r="A243" s="5">
        <v>46022</v>
      </c>
      <c r="B243" s="4" t="s">
        <v>785</v>
      </c>
      <c r="C243" s="4" t="s">
        <v>786</v>
      </c>
      <c r="D243" s="4" t="s">
        <v>222</v>
      </c>
      <c r="E243" s="6">
        <v>600</v>
      </c>
      <c r="F243" s="7">
        <v>0.69899999999999995</v>
      </c>
      <c r="G243" s="6">
        <v>53.6</v>
      </c>
      <c r="H243" s="6">
        <v>2.2480000000000002</v>
      </c>
      <c r="I243" s="6">
        <v>97</v>
      </c>
      <c r="J243" s="6">
        <v>2.180504</v>
      </c>
      <c r="K243" s="8">
        <v>17.956982611922115</v>
      </c>
      <c r="L243" s="6">
        <v>118.4398801671541</v>
      </c>
      <c r="M243" s="6">
        <v>5.5732449000666264</v>
      </c>
      <c r="N243" s="6">
        <v>1.6389977186216489</v>
      </c>
      <c r="O243" s="6">
        <v>40.518827338845561</v>
      </c>
      <c r="P243" s="6">
        <v>166.17095012468789</v>
      </c>
      <c r="Q243" s="6">
        <v>17.509915554750169</v>
      </c>
      <c r="R243" s="6">
        <v>3.6133516344995131</v>
      </c>
      <c r="S243" s="6">
        <v>3.3937501189852961</v>
      </c>
      <c r="T243" s="6">
        <v>14.935462581106711</v>
      </c>
      <c r="U243" s="6">
        <v>39.452479889341689</v>
      </c>
      <c r="V243" s="6">
        <v>205.62343001402959</v>
      </c>
      <c r="W243" s="6">
        <v>8.4090947744774294</v>
      </c>
      <c r="X243" s="6">
        <v>17.008267810161929</v>
      </c>
      <c r="Y243" s="6">
        <v>231.04079259866899</v>
      </c>
      <c r="Z243" s="6">
        <v>2.8892746596601291</v>
      </c>
      <c r="AA243" s="6">
        <v>233.9300672583291</v>
      </c>
      <c r="AB243" s="6">
        <v>0</v>
      </c>
      <c r="AC243" s="6">
        <v>113.1523944819</v>
      </c>
      <c r="AD243" s="6">
        <v>0</v>
      </c>
      <c r="AE243" s="6">
        <v>0</v>
      </c>
      <c r="AF243" s="6">
        <v>347.08246174022912</v>
      </c>
      <c r="AG243" s="6">
        <v>12.255396655829131</v>
      </c>
      <c r="AH243" s="6">
        <v>0</v>
      </c>
      <c r="AI243" s="6">
        <v>60.274769665451188</v>
      </c>
      <c r="AJ243" s="6">
        <v>306.46023357960939</v>
      </c>
      <c r="AK243" s="6">
        <v>0</v>
      </c>
      <c r="AL243" s="6">
        <v>0</v>
      </c>
      <c r="AM243" s="6">
        <v>0</v>
      </c>
      <c r="AN243" s="6">
        <v>0</v>
      </c>
      <c r="AO243" s="6">
        <v>0</v>
      </c>
      <c r="AP243" s="6">
        <v>306.46023357960939</v>
      </c>
      <c r="AQ243" s="6">
        <v>419.99922918371641</v>
      </c>
      <c r="AR243" s="6">
        <v>121.517461</v>
      </c>
      <c r="AS243" s="6">
        <v>188.95843658504739</v>
      </c>
      <c r="AT243" s="6">
        <v>186.06916192538731</v>
      </c>
    </row>
    <row r="244" spans="1:46" x14ac:dyDescent="0.35">
      <c r="A244" s="5">
        <v>46022</v>
      </c>
      <c r="B244" s="4" t="s">
        <v>787</v>
      </c>
      <c r="C244" s="4" t="s">
        <v>788</v>
      </c>
      <c r="D244" s="4" t="s">
        <v>61</v>
      </c>
      <c r="E244" s="6">
        <v>300</v>
      </c>
      <c r="F244" s="7">
        <v>0.4</v>
      </c>
      <c r="G244" s="6">
        <v>78</v>
      </c>
      <c r="H244" s="6">
        <v>0.93600000000000005</v>
      </c>
      <c r="I244" s="6">
        <v>97</v>
      </c>
      <c r="J244" s="6">
        <v>0.90791999999999995</v>
      </c>
      <c r="K244" s="8">
        <v>89.94730479462136</v>
      </c>
      <c r="L244" s="6">
        <v>47.890344502000481</v>
      </c>
      <c r="M244" s="6">
        <v>0</v>
      </c>
      <c r="N244" s="6">
        <v>19.471891054908959</v>
      </c>
      <c r="O244" s="6">
        <v>61.247177104367829</v>
      </c>
      <c r="P244" s="6">
        <v>128.6094126612773</v>
      </c>
      <c r="Q244" s="6">
        <v>6.7782106578744559</v>
      </c>
      <c r="R244" s="6">
        <v>29.619369500907339</v>
      </c>
      <c r="S244" s="6">
        <v>29.605281678855079</v>
      </c>
      <c r="T244" s="6">
        <v>50.486103231853939</v>
      </c>
      <c r="U244" s="6">
        <v>116.4889650694908</v>
      </c>
      <c r="V244" s="6">
        <v>245.09837773076811</v>
      </c>
      <c r="W244" s="6">
        <v>13.575719454696211</v>
      </c>
      <c r="X244" s="6">
        <v>24.845247305181221</v>
      </c>
      <c r="Y244" s="6">
        <v>283.51934449064549</v>
      </c>
      <c r="Z244" s="6">
        <v>49.754011733918482</v>
      </c>
      <c r="AA244" s="6">
        <v>333.273356224564</v>
      </c>
      <c r="AB244" s="6">
        <v>0</v>
      </c>
      <c r="AC244" s="6">
        <v>8.6547624799134528</v>
      </c>
      <c r="AD244" s="6">
        <v>0</v>
      </c>
      <c r="AE244" s="6">
        <v>0</v>
      </c>
      <c r="AF244" s="6">
        <v>341.92811870447753</v>
      </c>
      <c r="AG244" s="6">
        <v>10.018315361708691</v>
      </c>
      <c r="AH244" s="6">
        <v>0</v>
      </c>
      <c r="AI244" s="6">
        <v>16.94969906662411</v>
      </c>
      <c r="AJ244" s="6">
        <v>360.24137065289682</v>
      </c>
      <c r="AK244" s="6">
        <v>0</v>
      </c>
      <c r="AL244" s="6">
        <v>0</v>
      </c>
      <c r="AM244" s="6">
        <v>0</v>
      </c>
      <c r="AN244" s="6">
        <v>0</v>
      </c>
      <c r="AO244" s="6">
        <v>0</v>
      </c>
      <c r="AP244" s="6">
        <v>360.24137065289682</v>
      </c>
      <c r="AQ244" s="6">
        <v>419.99074773133128</v>
      </c>
      <c r="AR244" s="6">
        <v>9.2686609999999998</v>
      </c>
      <c r="AS244" s="6">
        <v>136.47140324068579</v>
      </c>
      <c r="AT244" s="6">
        <v>86.717391506767299</v>
      </c>
    </row>
    <row r="245" spans="1:46" x14ac:dyDescent="0.35">
      <c r="A245" s="5">
        <v>46022</v>
      </c>
      <c r="B245" s="4" t="s">
        <v>424</v>
      </c>
      <c r="C245" s="4" t="s">
        <v>425</v>
      </c>
      <c r="D245" s="4" t="s">
        <v>122</v>
      </c>
      <c r="E245" s="6">
        <v>1955.4754399999999</v>
      </c>
      <c r="F245" s="7">
        <v>0.6653</v>
      </c>
      <c r="G245" s="6">
        <v>80</v>
      </c>
      <c r="H245" s="6">
        <v>10.407999999999999</v>
      </c>
      <c r="I245" s="6">
        <v>86.595872999999997</v>
      </c>
      <c r="J245" s="6">
        <v>9.0124659999999999</v>
      </c>
      <c r="K245" s="8">
        <v>97.512076813762775</v>
      </c>
      <c r="L245" s="6">
        <v>204.88195878823751</v>
      </c>
      <c r="M245" s="6">
        <v>132.6304591325779</v>
      </c>
      <c r="N245" s="6">
        <v>24.152710471765971</v>
      </c>
      <c r="O245" s="6">
        <v>44.445828349505518</v>
      </c>
      <c r="P245" s="6">
        <v>406.11095674208701</v>
      </c>
      <c r="Q245" s="6">
        <v>102.3014254610557</v>
      </c>
      <c r="R245" s="6">
        <v>15.18627790189738</v>
      </c>
      <c r="S245" s="6">
        <v>81.860351527473725</v>
      </c>
      <c r="T245" s="6">
        <v>35.104625594989862</v>
      </c>
      <c r="U245" s="6">
        <v>234.45268048541669</v>
      </c>
      <c r="V245" s="6">
        <v>640.56363722750359</v>
      </c>
      <c r="W245" s="6">
        <v>1.189586988884141</v>
      </c>
      <c r="X245" s="6">
        <v>21.938385608315411</v>
      </c>
      <c r="Y245" s="6">
        <v>663.69160982470316</v>
      </c>
      <c r="Z245" s="6">
        <v>42.654502330546812</v>
      </c>
      <c r="AA245" s="6">
        <v>706.34611215525001</v>
      </c>
      <c r="AB245" s="6">
        <v>0</v>
      </c>
      <c r="AC245" s="6">
        <v>24.167384196185971</v>
      </c>
      <c r="AD245" s="6">
        <v>0</v>
      </c>
      <c r="AE245" s="6">
        <v>0</v>
      </c>
      <c r="AF245" s="6">
        <v>730.51349635143595</v>
      </c>
      <c r="AG245" s="6">
        <v>6.6890014419019357</v>
      </c>
      <c r="AH245" s="6">
        <v>0</v>
      </c>
      <c r="AI245" s="6">
        <v>19.71400000566604</v>
      </c>
      <c r="AJ245" s="6">
        <v>732.74911360281806</v>
      </c>
      <c r="AK245" s="6">
        <v>0</v>
      </c>
      <c r="AL245" s="6">
        <v>0</v>
      </c>
      <c r="AM245" s="6">
        <v>0</v>
      </c>
      <c r="AN245" s="6">
        <v>0</v>
      </c>
      <c r="AO245" s="6">
        <v>0</v>
      </c>
      <c r="AP245" s="6">
        <v>732.74911360281806</v>
      </c>
      <c r="AQ245" s="6">
        <v>420.00158411978748</v>
      </c>
      <c r="AR245" s="6">
        <v>86.912203000000005</v>
      </c>
      <c r="AS245" s="6">
        <v>-243.69002570491571</v>
      </c>
      <c r="AT245" s="6">
        <v>-286.34452803546247</v>
      </c>
    </row>
    <row r="246" spans="1:46" x14ac:dyDescent="0.35">
      <c r="A246" s="5">
        <v>46022</v>
      </c>
      <c r="B246" s="4" t="s">
        <v>399</v>
      </c>
      <c r="C246" s="4" t="s">
        <v>400</v>
      </c>
      <c r="D246" s="4" t="s">
        <v>122</v>
      </c>
      <c r="E246" s="6">
        <v>24039.0625</v>
      </c>
      <c r="F246" s="7">
        <v>0.8</v>
      </c>
      <c r="G246" s="6">
        <v>40</v>
      </c>
      <c r="H246" s="6">
        <v>76.924999999999997</v>
      </c>
      <c r="I246" s="6">
        <v>100</v>
      </c>
      <c r="J246" s="6">
        <v>76.924999999999997</v>
      </c>
      <c r="K246" s="8">
        <v>100</v>
      </c>
      <c r="L246" s="6">
        <v>66.962494980751572</v>
      </c>
      <c r="M246" s="6">
        <v>12.794706776775</v>
      </c>
      <c r="N246" s="6">
        <v>5.4208257148237502</v>
      </c>
      <c r="O246" s="6">
        <v>4.5678736125618746</v>
      </c>
      <c r="P246" s="6">
        <v>89.745901084912191</v>
      </c>
      <c r="Q246" s="6">
        <v>98.353184849462806</v>
      </c>
      <c r="R246" s="6">
        <v>8.8729754952781246</v>
      </c>
      <c r="S246" s="6">
        <v>181.05941740054439</v>
      </c>
      <c r="T246" s="6">
        <v>23.559020707337499</v>
      </c>
      <c r="U246" s="6">
        <v>311.84459845262279</v>
      </c>
      <c r="V246" s="6">
        <v>401.59049953753498</v>
      </c>
      <c r="W246" s="6">
        <v>46.017777688828872</v>
      </c>
      <c r="X246" s="6">
        <v>0</v>
      </c>
      <c r="Y246" s="6">
        <v>447.60827722636378</v>
      </c>
      <c r="Z246" s="6">
        <v>41.999829981429642</v>
      </c>
      <c r="AA246" s="6">
        <v>489.60810720779352</v>
      </c>
      <c r="AB246" s="6">
        <v>0</v>
      </c>
      <c r="AC246" s="6">
        <v>18.061707979122499</v>
      </c>
      <c r="AD246" s="6">
        <v>0</v>
      </c>
      <c r="AE246" s="6">
        <v>0</v>
      </c>
      <c r="AF246" s="6">
        <v>507.66981518691603</v>
      </c>
      <c r="AG246" s="6">
        <v>8.1142430331221878</v>
      </c>
      <c r="AH246" s="6">
        <v>0</v>
      </c>
      <c r="AI246" s="6">
        <v>17.507077908705</v>
      </c>
      <c r="AJ246" s="6">
        <v>515.22942814962073</v>
      </c>
      <c r="AK246" s="6">
        <v>0</v>
      </c>
      <c r="AL246" s="6">
        <v>0</v>
      </c>
      <c r="AM246" s="6">
        <v>0</v>
      </c>
      <c r="AN246" s="6">
        <v>0</v>
      </c>
      <c r="AO246" s="6">
        <v>0</v>
      </c>
      <c r="AP246" s="6">
        <v>515.22942814962073</v>
      </c>
      <c r="AQ246" s="6">
        <v>419.99999964779198</v>
      </c>
      <c r="AR246" s="6">
        <v>712.28049899999996</v>
      </c>
      <c r="AS246" s="6">
        <v>-27.608277578571901</v>
      </c>
      <c r="AT246" s="6">
        <v>-69.608107560001528</v>
      </c>
    </row>
    <row r="247" spans="1:46" x14ac:dyDescent="0.35">
      <c r="A247" s="5">
        <v>46022</v>
      </c>
      <c r="B247" s="4" t="s">
        <v>426</v>
      </c>
      <c r="C247" s="4" t="s">
        <v>427</v>
      </c>
      <c r="D247" s="4" t="s">
        <v>79</v>
      </c>
      <c r="E247" s="6">
        <v>39297.560976000001</v>
      </c>
      <c r="F247" s="7">
        <v>3.5000000000000003E-2</v>
      </c>
      <c r="G247" s="6">
        <v>71.680000000000007</v>
      </c>
      <c r="H247" s="6">
        <v>9.86</v>
      </c>
      <c r="I247" s="6">
        <v>95.6</v>
      </c>
      <c r="J247" s="6">
        <v>9.4257580000000001</v>
      </c>
      <c r="K247" s="8">
        <v>1.3472773725540279</v>
      </c>
      <c r="L247" s="6">
        <v>60.901417947392417</v>
      </c>
      <c r="M247" s="6">
        <v>30.892439374370841</v>
      </c>
      <c r="N247" s="6">
        <v>4.8676015177645402</v>
      </c>
      <c r="O247" s="6">
        <v>52.081977222487339</v>
      </c>
      <c r="P247" s="6">
        <v>148.74343606201509</v>
      </c>
      <c r="Q247" s="6">
        <v>8.2841906011918134</v>
      </c>
      <c r="R247" s="6">
        <v>4.5570300731712772</v>
      </c>
      <c r="S247" s="6">
        <v>14.58730859340965</v>
      </c>
      <c r="T247" s="6">
        <v>39.97132914415333</v>
      </c>
      <c r="U247" s="6">
        <v>67.399858411926076</v>
      </c>
      <c r="V247" s="6">
        <v>216.14329447394121</v>
      </c>
      <c r="W247" s="6">
        <v>2.1313432072793659</v>
      </c>
      <c r="X247" s="6">
        <v>11.999441757233489</v>
      </c>
      <c r="Y247" s="6">
        <v>230.27407943845409</v>
      </c>
      <c r="Z247" s="6">
        <v>8.292749984831433</v>
      </c>
      <c r="AA247" s="6">
        <v>238.5668294232855</v>
      </c>
      <c r="AB247" s="6">
        <v>7.2862171531827444</v>
      </c>
      <c r="AC247" s="6">
        <v>80.861187552635684</v>
      </c>
      <c r="AD247" s="6">
        <v>0</v>
      </c>
      <c r="AE247" s="6">
        <v>0</v>
      </c>
      <c r="AF247" s="6">
        <v>326.71423412910389</v>
      </c>
      <c r="AG247" s="6">
        <v>3.6779286252191681</v>
      </c>
      <c r="AH247" s="6">
        <v>0</v>
      </c>
      <c r="AI247" s="6">
        <v>75.903858770939266</v>
      </c>
      <c r="AJ247" s="6">
        <v>325.43483397262668</v>
      </c>
      <c r="AK247" s="6">
        <v>20.241028156303969</v>
      </c>
      <c r="AL247" s="6">
        <v>0</v>
      </c>
      <c r="AM247" s="6">
        <v>0</v>
      </c>
      <c r="AN247" s="6">
        <v>0</v>
      </c>
      <c r="AO247" s="6">
        <v>0</v>
      </c>
      <c r="AP247" s="6">
        <v>345.67586212893059</v>
      </c>
      <c r="AQ247" s="6">
        <v>420.00187111531579</v>
      </c>
      <c r="AR247" s="6">
        <v>6269.2109600000003</v>
      </c>
      <c r="AS247" s="6">
        <v>189.72779167686181</v>
      </c>
      <c r="AT247" s="6">
        <v>181.4350416920303</v>
      </c>
    </row>
    <row r="248" spans="1:46" x14ac:dyDescent="0.35">
      <c r="A248" s="5">
        <v>46022</v>
      </c>
      <c r="B248" s="4" t="s">
        <v>599</v>
      </c>
      <c r="C248" s="4" t="s">
        <v>600</v>
      </c>
      <c r="D248" s="4" t="s">
        <v>222</v>
      </c>
      <c r="E248" s="6">
        <v>5102</v>
      </c>
      <c r="F248" s="7">
        <v>0.64</v>
      </c>
      <c r="G248" s="6">
        <v>87.5</v>
      </c>
      <c r="H248" s="6">
        <v>28.571000000000002</v>
      </c>
      <c r="I248" s="6">
        <v>95.510204000000002</v>
      </c>
      <c r="J248" s="6">
        <v>27.288411</v>
      </c>
      <c r="K248" s="8">
        <v>62.301994827979094</v>
      </c>
      <c r="L248" s="6">
        <v>79.886847915666436</v>
      </c>
      <c r="M248" s="6">
        <v>5.8813068199435872</v>
      </c>
      <c r="N248" s="6">
        <v>1.999572990186036</v>
      </c>
      <c r="O248" s="6">
        <v>50.065530111878559</v>
      </c>
      <c r="P248" s="6">
        <v>137.83325783767461</v>
      </c>
      <c r="Q248" s="6">
        <v>20.876431987061132</v>
      </c>
      <c r="R248" s="6">
        <v>10.47708215228857</v>
      </c>
      <c r="S248" s="6">
        <v>11.73023045785512</v>
      </c>
      <c r="T248" s="6">
        <v>28.528082827952581</v>
      </c>
      <c r="U248" s="6">
        <v>71.611827425157401</v>
      </c>
      <c r="V248" s="6">
        <v>209.44508526283201</v>
      </c>
      <c r="W248" s="6">
        <v>15.778156156784689</v>
      </c>
      <c r="X248" s="6">
        <v>28.894414641946799</v>
      </c>
      <c r="Y248" s="6">
        <v>254.11765606156351</v>
      </c>
      <c r="Z248" s="6">
        <v>10.46064339456</v>
      </c>
      <c r="AA248" s="6">
        <v>264.57829945612349</v>
      </c>
      <c r="AB248" s="6">
        <v>1.586649113180101</v>
      </c>
      <c r="AC248" s="6">
        <v>120.6945393221022</v>
      </c>
      <c r="AD248" s="6">
        <v>0</v>
      </c>
      <c r="AE248" s="6">
        <v>0</v>
      </c>
      <c r="AF248" s="6">
        <v>386.85948789140582</v>
      </c>
      <c r="AG248" s="6">
        <v>10.429027813802429</v>
      </c>
      <c r="AH248" s="6">
        <v>0</v>
      </c>
      <c r="AI248" s="6">
        <v>7.7669548352601137</v>
      </c>
      <c r="AJ248" s="6">
        <v>284.3609312183662</v>
      </c>
      <c r="AK248" s="6">
        <v>123.339223974316</v>
      </c>
      <c r="AL248" s="6">
        <v>0</v>
      </c>
      <c r="AM248" s="6">
        <v>0</v>
      </c>
      <c r="AN248" s="6">
        <v>0</v>
      </c>
      <c r="AO248" s="6">
        <v>0</v>
      </c>
      <c r="AP248" s="6">
        <v>407.70015519268208</v>
      </c>
      <c r="AQ248" s="6">
        <v>419.99983034515299</v>
      </c>
      <c r="AR248" s="6">
        <v>401.84394900000001</v>
      </c>
      <c r="AS248" s="6">
        <v>165.88217428358939</v>
      </c>
      <c r="AT248" s="6">
        <v>155.42153088902941</v>
      </c>
    </row>
    <row r="249" spans="1:46" x14ac:dyDescent="0.35">
      <c r="A249" s="5">
        <v>46022</v>
      </c>
      <c r="B249" s="4" t="s">
        <v>601</v>
      </c>
      <c r="C249" s="4" t="s">
        <v>602</v>
      </c>
      <c r="D249" s="4" t="s">
        <v>61</v>
      </c>
      <c r="E249" s="6">
        <v>55</v>
      </c>
      <c r="F249" s="7">
        <v>0.8</v>
      </c>
      <c r="G249" s="6">
        <v>90</v>
      </c>
      <c r="H249" s="6">
        <v>0.39600000000000002</v>
      </c>
      <c r="I249" s="6">
        <v>97</v>
      </c>
      <c r="J249" s="6">
        <v>0.38412000000000002</v>
      </c>
      <c r="K249" s="8">
        <v>90.562745102765192</v>
      </c>
      <c r="L249" s="6">
        <v>51.210490119276777</v>
      </c>
      <c r="M249" s="6">
        <v>0</v>
      </c>
      <c r="N249" s="6">
        <v>16.628798134245979</v>
      </c>
      <c r="O249" s="6">
        <v>41.114578633705321</v>
      </c>
      <c r="P249" s="6">
        <v>108.9538668872281</v>
      </c>
      <c r="Q249" s="6">
        <v>23.818336079313539</v>
      </c>
      <c r="R249" s="6">
        <v>7.5588921680528207</v>
      </c>
      <c r="S249" s="6">
        <v>19.328531879827938</v>
      </c>
      <c r="T249" s="6">
        <v>45.58787847065674</v>
      </c>
      <c r="U249" s="6">
        <v>96.293638597851043</v>
      </c>
      <c r="V249" s="6">
        <v>205.2475054850791</v>
      </c>
      <c r="W249" s="6">
        <v>2.8066070861622552</v>
      </c>
      <c r="X249" s="6">
        <v>24.75611317419623</v>
      </c>
      <c r="Y249" s="6">
        <v>232.81022574543761</v>
      </c>
      <c r="Z249" s="6">
        <v>44.491410992903191</v>
      </c>
      <c r="AA249" s="6">
        <v>277.30163673834079</v>
      </c>
      <c r="AB249" s="6">
        <v>0</v>
      </c>
      <c r="AC249" s="6">
        <v>27.597458663717941</v>
      </c>
      <c r="AD249" s="6">
        <v>0</v>
      </c>
      <c r="AE249" s="6">
        <v>0</v>
      </c>
      <c r="AF249" s="6">
        <v>304.89909540205872</v>
      </c>
      <c r="AG249" s="6">
        <v>20.714616005756572</v>
      </c>
      <c r="AH249" s="6">
        <v>0</v>
      </c>
      <c r="AI249" s="6">
        <v>10.270548345158939</v>
      </c>
      <c r="AJ249" s="6">
        <v>308.2868010892563</v>
      </c>
      <c r="AK249" s="6">
        <v>0</v>
      </c>
      <c r="AL249" s="6">
        <v>0</v>
      </c>
      <c r="AM249" s="6">
        <v>0</v>
      </c>
      <c r="AN249" s="6">
        <v>0</v>
      </c>
      <c r="AO249" s="6">
        <v>0</v>
      </c>
      <c r="AP249" s="6">
        <v>308.2868010892563</v>
      </c>
      <c r="AQ249" s="6">
        <v>419.97813148161219</v>
      </c>
      <c r="AR249" s="6">
        <v>3.9316840000000002</v>
      </c>
      <c r="AS249" s="6">
        <v>187.16790573617459</v>
      </c>
      <c r="AT249" s="6">
        <v>142.67649474327141</v>
      </c>
    </row>
    <row r="250" spans="1:46" x14ac:dyDescent="0.35">
      <c r="A250" s="5">
        <v>46022</v>
      </c>
      <c r="B250" s="4" t="s">
        <v>603</v>
      </c>
      <c r="C250" s="4" t="s">
        <v>604</v>
      </c>
      <c r="D250" s="4" t="s">
        <v>122</v>
      </c>
      <c r="E250" s="6">
        <v>2750</v>
      </c>
      <c r="F250" s="7">
        <v>1.82</v>
      </c>
      <c r="G250" s="6">
        <v>95</v>
      </c>
      <c r="H250" s="6">
        <v>47.548000000000002</v>
      </c>
      <c r="I250" s="6">
        <v>97</v>
      </c>
      <c r="J250" s="6">
        <v>46.121074999999998</v>
      </c>
      <c r="K250" s="8">
        <v>100</v>
      </c>
      <c r="L250" s="6">
        <v>97.868036676963555</v>
      </c>
      <c r="M250" s="6">
        <v>11.234092826356269</v>
      </c>
      <c r="N250" s="6">
        <v>2.7947102664372472</v>
      </c>
      <c r="O250" s="6">
        <v>3.4412659417408902</v>
      </c>
      <c r="P250" s="6">
        <v>115.338105711498</v>
      </c>
      <c r="Q250" s="6">
        <v>10.718819921214569</v>
      </c>
      <c r="R250" s="6">
        <v>1.824192496032389</v>
      </c>
      <c r="S250" s="6">
        <v>3.917893176153846</v>
      </c>
      <c r="T250" s="6">
        <v>3.2493925801214578</v>
      </c>
      <c r="U250" s="6">
        <v>19.710298173522268</v>
      </c>
      <c r="V250" s="6">
        <v>135.04840388502021</v>
      </c>
      <c r="W250" s="6">
        <v>9.3524200000000004</v>
      </c>
      <c r="X250" s="6">
        <v>22.963876336412369</v>
      </c>
      <c r="Y250" s="6">
        <v>167.3647002214326</v>
      </c>
      <c r="Z250" s="6">
        <v>22.639892156380171</v>
      </c>
      <c r="AA250" s="6">
        <v>190.0045923778128</v>
      </c>
      <c r="AB250" s="6">
        <v>0</v>
      </c>
      <c r="AC250" s="6">
        <v>30.15852537611336</v>
      </c>
      <c r="AD250" s="6">
        <v>0</v>
      </c>
      <c r="AE250" s="6">
        <v>0</v>
      </c>
      <c r="AF250" s="6">
        <v>220.16311775392609</v>
      </c>
      <c r="AG250" s="6">
        <v>5.4019366963157891</v>
      </c>
      <c r="AH250" s="6">
        <v>0</v>
      </c>
      <c r="AI250" s="6">
        <v>16.26776378615385</v>
      </c>
      <c r="AJ250" s="6">
        <v>211.67429286028241</v>
      </c>
      <c r="AK250" s="6">
        <v>0</v>
      </c>
      <c r="AL250" s="6">
        <v>0</v>
      </c>
      <c r="AM250" s="6">
        <v>0</v>
      </c>
      <c r="AN250" s="6">
        <v>0</v>
      </c>
      <c r="AO250" s="6">
        <v>0</v>
      </c>
      <c r="AP250" s="6">
        <v>211.67429286028241</v>
      </c>
      <c r="AQ250" s="6">
        <v>420.00022730944102</v>
      </c>
      <c r="AR250" s="6">
        <v>427.05440499999997</v>
      </c>
      <c r="AS250" s="6">
        <v>252.63552708800839</v>
      </c>
      <c r="AT250" s="6">
        <v>229.9956349316283</v>
      </c>
    </row>
    <row r="251" spans="1:46" x14ac:dyDescent="0.35">
      <c r="A251" s="5">
        <v>46022</v>
      </c>
      <c r="B251" s="4" t="s">
        <v>605</v>
      </c>
      <c r="C251" s="4" t="s">
        <v>606</v>
      </c>
      <c r="D251" s="4" t="s">
        <v>86</v>
      </c>
      <c r="E251" s="6">
        <v>33740</v>
      </c>
      <c r="F251" s="7">
        <v>1.5</v>
      </c>
      <c r="G251" s="6">
        <v>94</v>
      </c>
      <c r="H251" s="6">
        <v>475.73400900000001</v>
      </c>
      <c r="I251" s="6">
        <v>92.189010999999994</v>
      </c>
      <c r="J251" s="6">
        <v>438.57446299999998</v>
      </c>
      <c r="K251" s="8">
        <v>32.021836501134906</v>
      </c>
      <c r="L251" s="6">
        <v>34.836762071346321</v>
      </c>
      <c r="M251" s="6">
        <v>3.196398956438578</v>
      </c>
      <c r="N251" s="6">
        <v>2.0093470656662902</v>
      </c>
      <c r="O251" s="6">
        <v>32.059955949774668</v>
      </c>
      <c r="P251" s="6">
        <v>72.102464043225865</v>
      </c>
      <c r="Q251" s="6">
        <v>2.1924060951119539</v>
      </c>
      <c r="R251" s="6">
        <v>2.050486123487703</v>
      </c>
      <c r="S251" s="6">
        <v>2.249764048934114</v>
      </c>
      <c r="T251" s="6">
        <v>3.2333302705770501</v>
      </c>
      <c r="U251" s="6">
        <v>9.7259865381108224</v>
      </c>
      <c r="V251" s="6">
        <v>81.828450581336682</v>
      </c>
      <c r="W251" s="6">
        <v>7.3924309170575029</v>
      </c>
      <c r="X251" s="6">
        <v>25.777587439545819</v>
      </c>
      <c r="Y251" s="6">
        <v>114.99846893794</v>
      </c>
      <c r="Z251" s="6">
        <v>28.802961976593402</v>
      </c>
      <c r="AA251" s="6">
        <v>143.8014309145334</v>
      </c>
      <c r="AB251" s="6">
        <v>0</v>
      </c>
      <c r="AC251" s="6">
        <v>30.107200047886089</v>
      </c>
      <c r="AD251" s="6">
        <v>0</v>
      </c>
      <c r="AE251" s="6">
        <v>0</v>
      </c>
      <c r="AF251" s="6">
        <v>173.90863096241949</v>
      </c>
      <c r="AG251" s="6">
        <v>22.768543809678519</v>
      </c>
      <c r="AH251" s="6">
        <v>0</v>
      </c>
      <c r="AI251" s="6">
        <v>30.505286561516801</v>
      </c>
      <c r="AJ251" s="6">
        <v>197.07526128572869</v>
      </c>
      <c r="AK251" s="6">
        <v>0</v>
      </c>
      <c r="AL251" s="6">
        <v>5.1242777486404787</v>
      </c>
      <c r="AM251" s="6">
        <v>0</v>
      </c>
      <c r="AN251" s="6">
        <v>0</v>
      </c>
      <c r="AO251" s="6">
        <v>1.6559177699012291</v>
      </c>
      <c r="AP251" s="6">
        <v>203.8554568042704</v>
      </c>
      <c r="AQ251" s="6">
        <v>419.99999964779198</v>
      </c>
      <c r="AR251" s="6">
        <v>12973.500700000001</v>
      </c>
      <c r="AS251" s="6">
        <v>305.00153070985198</v>
      </c>
      <c r="AT251" s="6">
        <v>276.19856873325858</v>
      </c>
    </row>
    <row r="252" spans="1:46" x14ac:dyDescent="0.35">
      <c r="A252" s="5">
        <v>46022</v>
      </c>
      <c r="B252" s="4" t="s">
        <v>401</v>
      </c>
      <c r="C252" s="4" t="s">
        <v>402</v>
      </c>
      <c r="D252" s="4" t="s">
        <v>89</v>
      </c>
      <c r="E252" s="6">
        <v>7800</v>
      </c>
      <c r="F252" s="7">
        <v>0.5151</v>
      </c>
      <c r="G252" s="6">
        <v>88</v>
      </c>
      <c r="H252" s="6">
        <v>35.356000000000002</v>
      </c>
      <c r="I252" s="6">
        <v>97</v>
      </c>
      <c r="J252" s="6">
        <v>34.295769999999997</v>
      </c>
      <c r="K252" s="8">
        <v>75.882719681725447</v>
      </c>
      <c r="L252" s="6">
        <v>39.11598693263273</v>
      </c>
      <c r="M252" s="6">
        <v>2.6533808638180938</v>
      </c>
      <c r="N252" s="6">
        <v>9.8362757728440275</v>
      </c>
      <c r="O252" s="6">
        <v>35.884249812011312</v>
      </c>
      <c r="P252" s="6">
        <v>87.489893381306146</v>
      </c>
      <c r="Q252" s="6">
        <v>9.6451186223604068</v>
      </c>
      <c r="R252" s="6">
        <v>19.596555247031478</v>
      </c>
      <c r="S252" s="6">
        <v>20.284976188539321</v>
      </c>
      <c r="T252" s="6">
        <v>30.72068176948288</v>
      </c>
      <c r="U252" s="6">
        <v>80.247331827414087</v>
      </c>
      <c r="V252" s="6">
        <v>167.73722520872019</v>
      </c>
      <c r="W252" s="6">
        <v>11.49115789153065</v>
      </c>
      <c r="X252" s="6">
        <v>18.45283207334969</v>
      </c>
      <c r="Y252" s="6">
        <v>197.68121517360061</v>
      </c>
      <c r="Z252" s="6">
        <v>15.48092319171475</v>
      </c>
      <c r="AA252" s="6">
        <v>213.16213836531529</v>
      </c>
      <c r="AB252" s="6">
        <v>0</v>
      </c>
      <c r="AC252" s="6">
        <v>36.143324544607047</v>
      </c>
      <c r="AD252" s="6">
        <v>0</v>
      </c>
      <c r="AE252" s="6">
        <v>0</v>
      </c>
      <c r="AF252" s="6">
        <v>249.3054629099224</v>
      </c>
      <c r="AG252" s="6">
        <v>4.9837070044223752</v>
      </c>
      <c r="AH252" s="6">
        <v>0</v>
      </c>
      <c r="AI252" s="6">
        <v>13.954808598493729</v>
      </c>
      <c r="AJ252" s="6">
        <v>232.1006539682314</v>
      </c>
      <c r="AK252" s="6">
        <v>45.162773186525861</v>
      </c>
      <c r="AL252" s="6">
        <v>0</v>
      </c>
      <c r="AM252" s="6">
        <v>0</v>
      </c>
      <c r="AN252" s="6">
        <v>0</v>
      </c>
      <c r="AO252" s="6">
        <v>0</v>
      </c>
      <c r="AP252" s="6">
        <v>277.26342715475732</v>
      </c>
      <c r="AQ252" s="6">
        <v>420.00036704003861</v>
      </c>
      <c r="AR252" s="6">
        <v>416.89344499999999</v>
      </c>
      <c r="AS252" s="6">
        <v>222.31915186643801</v>
      </c>
      <c r="AT252" s="6">
        <v>206.83822867472321</v>
      </c>
    </row>
    <row r="253" spans="1:46" x14ac:dyDescent="0.35">
      <c r="A253" s="5">
        <v>46022</v>
      </c>
      <c r="B253" s="4" t="s">
        <v>444</v>
      </c>
      <c r="C253" s="4" t="s">
        <v>445</v>
      </c>
      <c r="D253" s="4" t="s">
        <v>89</v>
      </c>
      <c r="E253" s="6">
        <v>763.72900000000004</v>
      </c>
      <c r="F253" s="7">
        <v>0.68689999999999996</v>
      </c>
      <c r="G253" s="6">
        <v>80.67</v>
      </c>
      <c r="H253" s="6">
        <v>4.2320000000000002</v>
      </c>
      <c r="I253" s="6">
        <v>96.502836000000002</v>
      </c>
      <c r="J253" s="6">
        <v>4.0839999999999996</v>
      </c>
      <c r="K253" s="8">
        <v>22.973477308301735</v>
      </c>
      <c r="L253" s="6">
        <v>87.119160985405145</v>
      </c>
      <c r="M253" s="6">
        <v>7.8944130560278722</v>
      </c>
      <c r="N253" s="6">
        <v>13.567758791407501</v>
      </c>
      <c r="O253" s="6">
        <v>57.629536065791243</v>
      </c>
      <c r="P253" s="6">
        <v>166.21086889863179</v>
      </c>
      <c r="Q253" s="6">
        <v>38.500269648404917</v>
      </c>
      <c r="R253" s="6">
        <v>8.0001380788961196</v>
      </c>
      <c r="S253" s="6">
        <v>29.928508286745188</v>
      </c>
      <c r="T253" s="6">
        <v>11.99128399968539</v>
      </c>
      <c r="U253" s="6">
        <v>88.420200013731616</v>
      </c>
      <c r="V253" s="6">
        <v>254.63106891236339</v>
      </c>
      <c r="W253" s="6">
        <v>8.2007037675932448</v>
      </c>
      <c r="X253" s="6">
        <v>0</v>
      </c>
      <c r="Y253" s="6">
        <v>262.8317726799566</v>
      </c>
      <c r="Z253" s="6">
        <v>21.003701318451789</v>
      </c>
      <c r="AA253" s="6">
        <v>283.83547399840842</v>
      </c>
      <c r="AB253" s="6">
        <v>4.9117646706243869</v>
      </c>
      <c r="AC253" s="6">
        <v>179.58766632514539</v>
      </c>
      <c r="AD253" s="6">
        <v>0</v>
      </c>
      <c r="AE253" s="6">
        <v>0</v>
      </c>
      <c r="AF253" s="6">
        <v>468.3349049941782</v>
      </c>
      <c r="AG253" s="6">
        <v>10.20626273217691</v>
      </c>
      <c r="AH253" s="6">
        <v>0</v>
      </c>
      <c r="AI253" s="6">
        <v>13.77871776356854</v>
      </c>
      <c r="AJ253" s="6">
        <v>312.7322191647782</v>
      </c>
      <c r="AK253" s="6">
        <v>0</v>
      </c>
      <c r="AL253" s="6">
        <v>0</v>
      </c>
      <c r="AM253" s="6">
        <v>0</v>
      </c>
      <c r="AN253" s="6">
        <v>0</v>
      </c>
      <c r="AO253" s="6">
        <v>0</v>
      </c>
      <c r="AP253" s="6">
        <v>312.7322191647782</v>
      </c>
      <c r="AQ253" s="6">
        <v>419.99999964779198</v>
      </c>
      <c r="AR253" s="6">
        <v>166.715238</v>
      </c>
      <c r="AS253" s="6">
        <v>157.16822696783541</v>
      </c>
      <c r="AT253" s="6">
        <v>136.16452564938359</v>
      </c>
    </row>
    <row r="254" spans="1:46" x14ac:dyDescent="0.35">
      <c r="A254" s="5">
        <v>46022</v>
      </c>
      <c r="B254" s="4" t="s">
        <v>789</v>
      </c>
      <c r="C254" s="4" t="s">
        <v>790</v>
      </c>
      <c r="D254" s="4" t="s">
        <v>61</v>
      </c>
      <c r="E254" s="6">
        <v>220</v>
      </c>
      <c r="F254" s="7">
        <v>0.98809999999999998</v>
      </c>
      <c r="G254" s="6">
        <v>92</v>
      </c>
      <c r="H254" s="6">
        <v>2</v>
      </c>
      <c r="I254" s="6">
        <v>97</v>
      </c>
      <c r="J254" s="6">
        <v>1.94</v>
      </c>
      <c r="K254" s="8">
        <v>96.49668637553934</v>
      </c>
      <c r="L254" s="6">
        <v>38.350700468280827</v>
      </c>
      <c r="M254" s="6">
        <v>0.77972119094066461</v>
      </c>
      <c r="N254" s="6">
        <v>13.80416784255476</v>
      </c>
      <c r="O254" s="6">
        <v>12.610241950132639</v>
      </c>
      <c r="P254" s="6">
        <v>65.544831451908905</v>
      </c>
      <c r="Q254" s="6">
        <v>5.6968235878161391</v>
      </c>
      <c r="R254" s="6">
        <v>11.296022570264419</v>
      </c>
      <c r="S254" s="6">
        <v>18.823630144448341</v>
      </c>
      <c r="T254" s="6">
        <v>14.29742822278819</v>
      </c>
      <c r="U254" s="6">
        <v>50.113904525317082</v>
      </c>
      <c r="V254" s="6">
        <v>115.658735977226</v>
      </c>
      <c r="W254" s="6">
        <v>8.2335614576482765</v>
      </c>
      <c r="X254" s="6">
        <v>26.049550469361041</v>
      </c>
      <c r="Y254" s="6">
        <v>149.94184790423529</v>
      </c>
      <c r="Z254" s="6">
        <v>32.748359878094881</v>
      </c>
      <c r="AA254" s="6">
        <v>182.69020778233019</v>
      </c>
      <c r="AB254" s="6">
        <v>0</v>
      </c>
      <c r="AC254" s="6">
        <v>4.880996977949005</v>
      </c>
      <c r="AD254" s="6">
        <v>0</v>
      </c>
      <c r="AE254" s="6">
        <v>0</v>
      </c>
      <c r="AF254" s="6">
        <v>187.57120476027919</v>
      </c>
      <c r="AG254" s="6">
        <v>9.7619939558980118</v>
      </c>
      <c r="AH254" s="6">
        <v>0</v>
      </c>
      <c r="AI254" s="6">
        <v>3.4864264128207179</v>
      </c>
      <c r="AJ254" s="6">
        <v>195.9386281510489</v>
      </c>
      <c r="AK254" s="6">
        <v>0</v>
      </c>
      <c r="AL254" s="6">
        <v>0</v>
      </c>
      <c r="AM254" s="6">
        <v>0</v>
      </c>
      <c r="AN254" s="6">
        <v>0</v>
      </c>
      <c r="AO254" s="6">
        <v>0</v>
      </c>
      <c r="AP254" s="6">
        <v>195.9386281510489</v>
      </c>
      <c r="AQ254" s="6">
        <v>419.99999964779192</v>
      </c>
      <c r="AR254" s="6">
        <v>18.626476</v>
      </c>
      <c r="AS254" s="6">
        <v>270.05815174355661</v>
      </c>
      <c r="AT254" s="6">
        <v>237.30979186546179</v>
      </c>
    </row>
    <row r="255" spans="1:46" x14ac:dyDescent="0.35">
      <c r="A255" s="5">
        <v>46022</v>
      </c>
      <c r="B255" s="4" t="s">
        <v>607</v>
      </c>
      <c r="C255" s="4" t="s">
        <v>608</v>
      </c>
      <c r="D255" s="4" t="s">
        <v>250</v>
      </c>
      <c r="E255" s="6">
        <v>19100</v>
      </c>
      <c r="F255" s="7">
        <v>0.61</v>
      </c>
      <c r="G255" s="6">
        <v>87.3</v>
      </c>
      <c r="H255" s="6">
        <v>101.71299999999999</v>
      </c>
      <c r="I255" s="6">
        <v>95.499797999999998</v>
      </c>
      <c r="J255" s="6">
        <v>97.135929000000004</v>
      </c>
      <c r="K255" s="8">
        <v>60.351445713238959</v>
      </c>
      <c r="L255" s="6">
        <v>14.48688357189639</v>
      </c>
      <c r="M255" s="6">
        <v>15.01168878492218</v>
      </c>
      <c r="N255" s="6">
        <v>2.4825234605357491</v>
      </c>
      <c r="O255" s="6">
        <v>45.090218351368087</v>
      </c>
      <c r="P255" s="6">
        <v>77.071314168722409</v>
      </c>
      <c r="Q255" s="6">
        <v>7.817394500923089</v>
      </c>
      <c r="R255" s="6">
        <v>9.5561411281176643</v>
      </c>
      <c r="S255" s="6">
        <v>7.5353420443619816</v>
      </c>
      <c r="T255" s="6">
        <v>72.789191716988512</v>
      </c>
      <c r="U255" s="6">
        <v>97.698069390391254</v>
      </c>
      <c r="V255" s="6">
        <v>174.76938355911369</v>
      </c>
      <c r="W255" s="6">
        <v>6.0312790000680474</v>
      </c>
      <c r="X255" s="6">
        <v>8.7768439796632585</v>
      </c>
      <c r="Y255" s="6">
        <v>189.577506538845</v>
      </c>
      <c r="Z255" s="6">
        <v>8.3641495633274996</v>
      </c>
      <c r="AA255" s="6">
        <v>197.94165610217249</v>
      </c>
      <c r="AB255" s="6">
        <v>5.6884391544585302</v>
      </c>
      <c r="AC255" s="6">
        <v>130.71993172101011</v>
      </c>
      <c r="AD255" s="6">
        <v>0</v>
      </c>
      <c r="AE255" s="6">
        <v>0</v>
      </c>
      <c r="AF255" s="6">
        <v>334.35002697764111</v>
      </c>
      <c r="AG255" s="6">
        <v>11.04350101460504</v>
      </c>
      <c r="AH255" s="6">
        <v>0</v>
      </c>
      <c r="AI255" s="6">
        <v>100.6101335669926</v>
      </c>
      <c r="AJ255" s="6">
        <v>315.28372983822862</v>
      </c>
      <c r="AK255" s="6">
        <v>0</v>
      </c>
      <c r="AL255" s="6">
        <v>0</v>
      </c>
      <c r="AM255" s="6">
        <v>0</v>
      </c>
      <c r="AN255" s="6">
        <v>0</v>
      </c>
      <c r="AO255" s="6">
        <v>0</v>
      </c>
      <c r="AP255" s="6">
        <v>315.28372983822862</v>
      </c>
      <c r="AQ255" s="6">
        <v>419.9998742564963</v>
      </c>
      <c r="AR255" s="6">
        <v>1483.945653</v>
      </c>
      <c r="AS255" s="6">
        <v>230.4223677176513</v>
      </c>
      <c r="AT255" s="6">
        <v>222.05821815432381</v>
      </c>
    </row>
    <row r="256" spans="1:46" x14ac:dyDescent="0.35">
      <c r="A256" s="5">
        <v>46022</v>
      </c>
      <c r="B256" s="4" t="s">
        <v>609</v>
      </c>
      <c r="C256" s="4" t="s">
        <v>610</v>
      </c>
      <c r="D256" s="4" t="s">
        <v>89</v>
      </c>
      <c r="E256" s="6">
        <v>9962.2483219999995</v>
      </c>
      <c r="F256" s="7">
        <v>2.0571000000000002</v>
      </c>
      <c r="G256" s="6">
        <v>98.39</v>
      </c>
      <c r="H256" s="6">
        <v>201.626</v>
      </c>
      <c r="I256" s="6">
        <v>98.5</v>
      </c>
      <c r="J256" s="6">
        <v>198.60171299999999</v>
      </c>
      <c r="K256" s="8">
        <v>61.954592977441365</v>
      </c>
      <c r="L256" s="6">
        <v>88.863816685845606</v>
      </c>
      <c r="M256" s="6">
        <v>3.0762900310757622</v>
      </c>
      <c r="N256" s="6">
        <v>7.5614622997392171</v>
      </c>
      <c r="O256" s="6">
        <v>63.114925902321382</v>
      </c>
      <c r="P256" s="6">
        <v>162.616494918982</v>
      </c>
      <c r="Q256" s="6">
        <v>18.488739965619899</v>
      </c>
      <c r="R256" s="6">
        <v>15.85677540372207</v>
      </c>
      <c r="S256" s="6">
        <v>10.563099686322341</v>
      </c>
      <c r="T256" s="6">
        <v>25.177218261005521</v>
      </c>
      <c r="U256" s="6">
        <v>70.085833316669834</v>
      </c>
      <c r="V256" s="6">
        <v>232.70232823565181</v>
      </c>
      <c r="W256" s="6">
        <v>2.0612666593039282</v>
      </c>
      <c r="X256" s="6">
        <v>29.19210557222285</v>
      </c>
      <c r="Y256" s="6">
        <v>263.95570046717859</v>
      </c>
      <c r="Z256" s="6">
        <v>30.27611211991924</v>
      </c>
      <c r="AA256" s="6">
        <v>294.23181258709781</v>
      </c>
      <c r="AB256" s="6">
        <v>0</v>
      </c>
      <c r="AC256" s="6">
        <v>37.876443924225903</v>
      </c>
      <c r="AD256" s="6">
        <v>0</v>
      </c>
      <c r="AE256" s="6">
        <v>0</v>
      </c>
      <c r="AF256" s="6">
        <v>332.1082565113237</v>
      </c>
      <c r="AG256" s="6">
        <v>1.631234571117028</v>
      </c>
      <c r="AH256" s="6">
        <v>0</v>
      </c>
      <c r="AI256" s="6">
        <v>29.663381518926091</v>
      </c>
      <c r="AJ256" s="6">
        <v>325.52642867714093</v>
      </c>
      <c r="AK256" s="6">
        <v>0</v>
      </c>
      <c r="AL256" s="6">
        <v>0</v>
      </c>
      <c r="AM256" s="6">
        <v>0</v>
      </c>
      <c r="AN256" s="6">
        <v>0</v>
      </c>
      <c r="AO256" s="6">
        <v>0</v>
      </c>
      <c r="AP256" s="6">
        <v>325.52642867714093</v>
      </c>
      <c r="AQ256" s="6">
        <v>419.99997215558199</v>
      </c>
      <c r="AR256" s="6">
        <v>2902.183587</v>
      </c>
      <c r="AS256" s="6">
        <v>156.0442716884034</v>
      </c>
      <c r="AT256" s="6">
        <v>125.76815956848419</v>
      </c>
    </row>
    <row r="257" spans="1:46" x14ac:dyDescent="0.35">
      <c r="A257" s="5">
        <v>46022</v>
      </c>
      <c r="B257" s="4" t="s">
        <v>611</v>
      </c>
      <c r="C257" s="4" t="s">
        <v>612</v>
      </c>
      <c r="D257" s="4" t="s">
        <v>222</v>
      </c>
      <c r="E257" s="6">
        <v>4200</v>
      </c>
      <c r="F257" s="7">
        <v>1.5053000000000001</v>
      </c>
      <c r="G257" s="6">
        <v>94.9</v>
      </c>
      <c r="H257" s="6">
        <v>60</v>
      </c>
      <c r="I257" s="6">
        <v>97</v>
      </c>
      <c r="J257" s="6">
        <v>58.2</v>
      </c>
      <c r="K257" s="8">
        <v>37.943314541765773</v>
      </c>
      <c r="L257" s="6">
        <v>53.68567933821366</v>
      </c>
      <c r="M257" s="6">
        <v>14.31225118746385</v>
      </c>
      <c r="N257" s="6">
        <v>12.209613879460401</v>
      </c>
      <c r="O257" s="6">
        <v>106.85320668098019</v>
      </c>
      <c r="P257" s="6">
        <v>187.0607510861181</v>
      </c>
      <c r="Q257" s="6">
        <v>19.02967033809178</v>
      </c>
      <c r="R257" s="6">
        <v>13.42325278324196</v>
      </c>
      <c r="S257" s="6">
        <v>14.54751120440619</v>
      </c>
      <c r="T257" s="6">
        <v>16.170530844761188</v>
      </c>
      <c r="U257" s="6">
        <v>63.170965170501113</v>
      </c>
      <c r="V257" s="6">
        <v>250.23171625661931</v>
      </c>
      <c r="W257" s="6">
        <v>2.8365097064810332</v>
      </c>
      <c r="X257" s="6">
        <v>19.376089482693331</v>
      </c>
      <c r="Y257" s="6">
        <v>272.44431544579362</v>
      </c>
      <c r="Z257" s="6">
        <v>0</v>
      </c>
      <c r="AA257" s="6">
        <v>272.44431544579362</v>
      </c>
      <c r="AB257" s="6">
        <v>0</v>
      </c>
      <c r="AC257" s="6">
        <v>55.518488957191558</v>
      </c>
      <c r="AD257" s="6">
        <v>0</v>
      </c>
      <c r="AE257" s="6">
        <v>0</v>
      </c>
      <c r="AF257" s="6">
        <v>327.96280440298523</v>
      </c>
      <c r="AG257" s="6">
        <v>6.1463268663163548</v>
      </c>
      <c r="AH257" s="6">
        <v>0</v>
      </c>
      <c r="AI257" s="6">
        <v>47.73799684965374</v>
      </c>
      <c r="AJ257" s="6">
        <v>326.3286391617637</v>
      </c>
      <c r="AK257" s="6">
        <v>0</v>
      </c>
      <c r="AL257" s="6">
        <v>0</v>
      </c>
      <c r="AM257" s="6">
        <v>0</v>
      </c>
      <c r="AN257" s="6">
        <v>0</v>
      </c>
      <c r="AO257" s="6">
        <v>0</v>
      </c>
      <c r="AP257" s="6">
        <v>326.3286391617637</v>
      </c>
      <c r="AQ257" s="6">
        <v>419.99999964779192</v>
      </c>
      <c r="AR257" s="6">
        <v>1561.407234</v>
      </c>
      <c r="AS257" s="6">
        <v>147.5556842019983</v>
      </c>
      <c r="AT257" s="6">
        <v>147.5556842019983</v>
      </c>
    </row>
    <row r="258" spans="1:46" x14ac:dyDescent="0.35">
      <c r="A258" s="5">
        <v>46022</v>
      </c>
      <c r="B258" s="4" t="s">
        <v>446</v>
      </c>
      <c r="C258" s="4" t="s">
        <v>447</v>
      </c>
      <c r="D258" s="4" t="s">
        <v>351</v>
      </c>
      <c r="E258" s="6">
        <v>36000</v>
      </c>
      <c r="F258" s="7">
        <v>0.98</v>
      </c>
      <c r="G258" s="6">
        <v>91</v>
      </c>
      <c r="H258" s="6">
        <v>321.048</v>
      </c>
      <c r="I258" s="6">
        <v>96.5</v>
      </c>
      <c r="J258" s="6">
        <v>309.81132000000002</v>
      </c>
      <c r="K258" s="8">
        <v>81.190474212003195</v>
      </c>
      <c r="L258" s="6">
        <v>9.5302233673467551</v>
      </c>
      <c r="M258" s="6">
        <v>7.1969686459950886</v>
      </c>
      <c r="N258" s="6">
        <v>3.8176567585873382</v>
      </c>
      <c r="O258" s="6">
        <v>32.444504338012358</v>
      </c>
      <c r="P258" s="6">
        <v>52.98935310994154</v>
      </c>
      <c r="Q258" s="6">
        <v>2.3409789166059229</v>
      </c>
      <c r="R258" s="6">
        <v>3.8793048233146532</v>
      </c>
      <c r="S258" s="6">
        <v>20.36671727516816</v>
      </c>
      <c r="T258" s="6">
        <v>18.197981493733309</v>
      </c>
      <c r="U258" s="6">
        <v>44.784982508822047</v>
      </c>
      <c r="V258" s="6">
        <v>97.774335618763587</v>
      </c>
      <c r="W258" s="6">
        <v>5.5674207729835912</v>
      </c>
      <c r="X258" s="6">
        <v>16.950237778274602</v>
      </c>
      <c r="Y258" s="6">
        <v>120.29199417002179</v>
      </c>
      <c r="Z258" s="6">
        <v>20.936288351907351</v>
      </c>
      <c r="AA258" s="6">
        <v>141.22828252192909</v>
      </c>
      <c r="AB258" s="6">
        <v>3.779472274236245</v>
      </c>
      <c r="AC258" s="6">
        <v>70.415993470052115</v>
      </c>
      <c r="AD258" s="6">
        <v>0</v>
      </c>
      <c r="AE258" s="6">
        <v>0</v>
      </c>
      <c r="AF258" s="6">
        <v>215.4237482662175</v>
      </c>
      <c r="AG258" s="6">
        <v>2.9286981698049241</v>
      </c>
      <c r="AH258" s="6">
        <v>0</v>
      </c>
      <c r="AI258" s="6">
        <v>28.059463714507579</v>
      </c>
      <c r="AJ258" s="6">
        <v>175.9959166804779</v>
      </c>
      <c r="AK258" s="6">
        <v>55.155842241787212</v>
      </c>
      <c r="AL258" s="6">
        <v>0</v>
      </c>
      <c r="AM258" s="6">
        <v>0</v>
      </c>
      <c r="AN258" s="6">
        <v>0</v>
      </c>
      <c r="AO258" s="6">
        <v>0</v>
      </c>
      <c r="AP258" s="6">
        <v>231.15175892226509</v>
      </c>
      <c r="AQ258" s="6">
        <v>419.99997253451539</v>
      </c>
      <c r="AR258" s="6">
        <v>3522.5410419999998</v>
      </c>
      <c r="AS258" s="6">
        <v>299.70797836449361</v>
      </c>
      <c r="AT258" s="6">
        <v>278.77169001258619</v>
      </c>
    </row>
    <row r="259" spans="1:46" x14ac:dyDescent="0.35">
      <c r="A259" s="5">
        <v>46022</v>
      </c>
      <c r="B259" s="4" t="s">
        <v>791</v>
      </c>
      <c r="C259" s="4" t="s">
        <v>792</v>
      </c>
      <c r="D259" s="4" t="s">
        <v>157</v>
      </c>
      <c r="E259" s="6">
        <v>7000</v>
      </c>
      <c r="F259" s="7">
        <v>0.17499999999999999</v>
      </c>
      <c r="G259" s="6">
        <v>78</v>
      </c>
      <c r="H259" s="6">
        <v>9.5549999999999997</v>
      </c>
      <c r="I259" s="6">
        <v>97</v>
      </c>
      <c r="J259" s="6">
        <v>9.2683499999999999</v>
      </c>
      <c r="K259" s="8">
        <v>47.964666775066782</v>
      </c>
      <c r="L259" s="6">
        <v>37.578843788828728</v>
      </c>
      <c r="M259" s="6">
        <v>4.3871189373269566</v>
      </c>
      <c r="N259" s="6">
        <v>9.6838463079291035</v>
      </c>
      <c r="O259" s="6">
        <v>94.285768103787035</v>
      </c>
      <c r="P259" s="6">
        <v>145.9355771378718</v>
      </c>
      <c r="Q259" s="6">
        <v>7.6744262746690524</v>
      </c>
      <c r="R259" s="6">
        <v>22.029684917936109</v>
      </c>
      <c r="S259" s="6">
        <v>43.18129694701738</v>
      </c>
      <c r="T259" s="6">
        <v>12.484440533428749</v>
      </c>
      <c r="U259" s="6">
        <v>85.369848673051294</v>
      </c>
      <c r="V259" s="6">
        <v>231.30542581092311</v>
      </c>
      <c r="W259" s="6">
        <v>1.7195181595078239</v>
      </c>
      <c r="X259" s="6">
        <v>30.60419645143417</v>
      </c>
      <c r="Y259" s="6">
        <v>263.62914042186509</v>
      </c>
      <c r="Z259" s="6">
        <v>22.929837497234711</v>
      </c>
      <c r="AA259" s="6">
        <v>286.55897791909979</v>
      </c>
      <c r="AB259" s="6">
        <v>0</v>
      </c>
      <c r="AC259" s="6">
        <v>104.0989473627107</v>
      </c>
      <c r="AD259" s="6">
        <v>0</v>
      </c>
      <c r="AE259" s="6">
        <v>0</v>
      </c>
      <c r="AF259" s="6">
        <v>390.65792528181049</v>
      </c>
      <c r="AG259" s="6">
        <v>11.11043601751004</v>
      </c>
      <c r="AH259" s="6">
        <v>0</v>
      </c>
      <c r="AI259" s="6">
        <v>29.611687722478571</v>
      </c>
      <c r="AJ259" s="6">
        <v>327.28110165908839</v>
      </c>
      <c r="AK259" s="6">
        <v>18.779095877226851</v>
      </c>
      <c r="AL259" s="6">
        <v>0</v>
      </c>
      <c r="AM259" s="6">
        <v>0</v>
      </c>
      <c r="AN259" s="6">
        <v>0</v>
      </c>
      <c r="AO259" s="6">
        <v>0</v>
      </c>
      <c r="AP259" s="6">
        <v>346.06019753631529</v>
      </c>
      <c r="AQ259" s="6">
        <v>420.00226542325169</v>
      </c>
      <c r="AR259" s="6">
        <v>177.818005</v>
      </c>
      <c r="AS259" s="6">
        <v>156.3731250013866</v>
      </c>
      <c r="AT259" s="6">
        <v>133.4432875041519</v>
      </c>
    </row>
    <row r="260" spans="1:46" x14ac:dyDescent="0.35">
      <c r="A260" s="5">
        <v>46022</v>
      </c>
      <c r="B260" s="4" t="s">
        <v>613</v>
      </c>
      <c r="C260" s="4" t="s">
        <v>614</v>
      </c>
      <c r="D260" s="4" t="s">
        <v>105</v>
      </c>
      <c r="E260" s="6">
        <v>9000</v>
      </c>
      <c r="F260" s="7">
        <v>0.6</v>
      </c>
      <c r="G260" s="6">
        <v>82</v>
      </c>
      <c r="H260" s="6">
        <v>44.279998999999997</v>
      </c>
      <c r="I260" s="6">
        <v>97.5</v>
      </c>
      <c r="J260" s="6">
        <v>43.173000000000002</v>
      </c>
      <c r="K260" s="8">
        <v>73.524214790780519</v>
      </c>
      <c r="L260" s="6">
        <v>26.559508672952521</v>
      </c>
      <c r="M260" s="6">
        <v>1.747285353370807</v>
      </c>
      <c r="N260" s="6">
        <v>2.3938364329459749</v>
      </c>
      <c r="O260" s="6">
        <v>11.49484718352678</v>
      </c>
      <c r="P260" s="6">
        <v>42.195477642796092</v>
      </c>
      <c r="Q260" s="6">
        <v>5.2726411540434697</v>
      </c>
      <c r="R260" s="6">
        <v>6.751006412262087</v>
      </c>
      <c r="S260" s="6">
        <v>10.837160679881039</v>
      </c>
      <c r="T260" s="6">
        <v>10.653535711789219</v>
      </c>
      <c r="U260" s="6">
        <v>33.514343957975818</v>
      </c>
      <c r="V260" s="6">
        <v>75.709821600771903</v>
      </c>
      <c r="W260" s="6">
        <v>0</v>
      </c>
      <c r="X260" s="6">
        <v>17.699811604938269</v>
      </c>
      <c r="Y260" s="6">
        <v>93.409633205710165</v>
      </c>
      <c r="Z260" s="6">
        <v>20.765693222341351</v>
      </c>
      <c r="AA260" s="6">
        <v>114.17532642805151</v>
      </c>
      <c r="AB260" s="6">
        <v>0</v>
      </c>
      <c r="AC260" s="6">
        <v>85.142579127320374</v>
      </c>
      <c r="AD260" s="6">
        <v>0</v>
      </c>
      <c r="AE260" s="6">
        <v>0</v>
      </c>
      <c r="AF260" s="6">
        <v>199.31790555537191</v>
      </c>
      <c r="AG260" s="6">
        <v>2.7620745022709281</v>
      </c>
      <c r="AH260" s="6">
        <v>0</v>
      </c>
      <c r="AI260" s="6">
        <v>14.500903566270059</v>
      </c>
      <c r="AJ260" s="6">
        <v>131.43830449659251</v>
      </c>
      <c r="AK260" s="6">
        <v>0</v>
      </c>
      <c r="AL260" s="6">
        <v>0</v>
      </c>
      <c r="AM260" s="6">
        <v>0</v>
      </c>
      <c r="AN260" s="6">
        <v>0</v>
      </c>
      <c r="AO260" s="6">
        <v>0</v>
      </c>
      <c r="AP260" s="6">
        <v>131.43830449659251</v>
      </c>
      <c r="AQ260" s="6">
        <v>419.99999964779192</v>
      </c>
      <c r="AR260" s="6">
        <v>537.64113799999996</v>
      </c>
      <c r="AS260" s="6">
        <v>326.59036644208169</v>
      </c>
      <c r="AT260" s="6">
        <v>305.82467321974042</v>
      </c>
    </row>
    <row r="261" spans="1:46" x14ac:dyDescent="0.35">
      <c r="A261" s="5">
        <v>46022</v>
      </c>
      <c r="B261" s="4" t="s">
        <v>448</v>
      </c>
      <c r="C261" s="4" t="s">
        <v>449</v>
      </c>
      <c r="D261" s="4" t="s">
        <v>148</v>
      </c>
      <c r="E261" s="6">
        <v>15000</v>
      </c>
      <c r="F261" s="7">
        <v>0.45</v>
      </c>
      <c r="G261" s="6">
        <v>92</v>
      </c>
      <c r="H261" s="6">
        <v>62.1</v>
      </c>
      <c r="I261" s="6">
        <v>97</v>
      </c>
      <c r="J261" s="6">
        <v>60.237000000000002</v>
      </c>
      <c r="K261" s="8">
        <v>89.217941160594577</v>
      </c>
      <c r="L261" s="6">
        <v>20.583992501755031</v>
      </c>
      <c r="M261" s="6">
        <v>21.442914324460631</v>
      </c>
      <c r="N261" s="6">
        <v>1.41665214168581</v>
      </c>
      <c r="O261" s="6">
        <v>27.035817234811759</v>
      </c>
      <c r="P261" s="6">
        <v>70.479376202713226</v>
      </c>
      <c r="Q261" s="6">
        <v>36.275195132834277</v>
      </c>
      <c r="R261" s="6">
        <v>19.84532356361699</v>
      </c>
      <c r="S261" s="6">
        <v>61.912962993488222</v>
      </c>
      <c r="T261" s="6">
        <v>25.728645302456531</v>
      </c>
      <c r="U261" s="6">
        <v>143.76212699239599</v>
      </c>
      <c r="V261" s="6">
        <v>214.2415031951092</v>
      </c>
      <c r="W261" s="6">
        <v>3.1714771844594658</v>
      </c>
      <c r="X261" s="6">
        <v>21.350458516553921</v>
      </c>
      <c r="Y261" s="6">
        <v>238.76343889612261</v>
      </c>
      <c r="Z261" s="6">
        <v>10.43885739936187</v>
      </c>
      <c r="AA261" s="6">
        <v>249.2022962954845</v>
      </c>
      <c r="AB261" s="6">
        <v>0</v>
      </c>
      <c r="AC261" s="6">
        <v>15.869420368745971</v>
      </c>
      <c r="AD261" s="6">
        <v>0</v>
      </c>
      <c r="AE261" s="6">
        <v>0</v>
      </c>
      <c r="AF261" s="6">
        <v>265.07171666423051</v>
      </c>
      <c r="AG261" s="6">
        <v>8.6665114160807288</v>
      </c>
      <c r="AH261" s="6">
        <v>0</v>
      </c>
      <c r="AI261" s="6">
        <v>14.196954980202941</v>
      </c>
      <c r="AJ261" s="6">
        <v>272.06576269176821</v>
      </c>
      <c r="AK261" s="6">
        <v>0</v>
      </c>
      <c r="AL261" s="6">
        <v>0</v>
      </c>
      <c r="AM261" s="6">
        <v>0</v>
      </c>
      <c r="AN261" s="6">
        <v>0</v>
      </c>
      <c r="AO261" s="6">
        <v>0</v>
      </c>
      <c r="AP261" s="6">
        <v>272.06576269176821</v>
      </c>
      <c r="AQ261" s="6">
        <v>419.99999964779192</v>
      </c>
      <c r="AR261" s="6">
        <v>624.22618499999999</v>
      </c>
      <c r="AS261" s="6">
        <v>181.23656075166929</v>
      </c>
      <c r="AT261" s="6">
        <v>170.79770335230739</v>
      </c>
    </row>
    <row r="262" spans="1:46" x14ac:dyDescent="0.35">
      <c r="A262" s="5">
        <v>46022</v>
      </c>
      <c r="B262" s="4" t="s">
        <v>450</v>
      </c>
      <c r="C262" s="4" t="s">
        <v>451</v>
      </c>
      <c r="D262" s="4" t="s">
        <v>148</v>
      </c>
      <c r="E262" s="6">
        <v>420</v>
      </c>
      <c r="F262" s="7">
        <v>0.59519999999999995</v>
      </c>
      <c r="G262" s="6">
        <v>60</v>
      </c>
      <c r="H262" s="6">
        <v>1.5</v>
      </c>
      <c r="I262" s="6">
        <v>100</v>
      </c>
      <c r="J262" s="6">
        <v>1.5</v>
      </c>
      <c r="K262" s="8">
        <v>100</v>
      </c>
      <c r="L262" s="6">
        <v>22.769916040280641</v>
      </c>
      <c r="M262" s="6">
        <v>27.287158992114559</v>
      </c>
      <c r="N262" s="6">
        <v>2.0322970269817602</v>
      </c>
      <c r="O262" s="6">
        <v>37.017205208374158</v>
      </c>
      <c r="P262" s="6">
        <v>89.106577267751121</v>
      </c>
      <c r="Q262" s="6">
        <v>15.017351120273039</v>
      </c>
      <c r="R262" s="6">
        <v>153.07894814078941</v>
      </c>
      <c r="S262" s="6">
        <v>9.0352225376767183</v>
      </c>
      <c r="T262" s="6">
        <v>20.31258119017512</v>
      </c>
      <c r="U262" s="6">
        <v>197.4441029889143</v>
      </c>
      <c r="V262" s="6">
        <v>286.55068025666537</v>
      </c>
      <c r="W262" s="6">
        <v>0.17367398674287199</v>
      </c>
      <c r="X262" s="6">
        <v>0</v>
      </c>
      <c r="Y262" s="6">
        <v>286.7243542434083</v>
      </c>
      <c r="Z262" s="6">
        <v>7.8729630482169801</v>
      </c>
      <c r="AA262" s="6">
        <v>294.5973172916253</v>
      </c>
      <c r="AB262" s="6">
        <v>0</v>
      </c>
      <c r="AC262" s="6">
        <v>46.518551966049237</v>
      </c>
      <c r="AD262" s="6">
        <v>0</v>
      </c>
      <c r="AE262" s="6">
        <v>0</v>
      </c>
      <c r="AF262" s="6">
        <v>341.11586925767449</v>
      </c>
      <c r="AG262" s="6">
        <v>10.922504269599999</v>
      </c>
      <c r="AH262" s="6">
        <v>0</v>
      </c>
      <c r="AI262" s="6">
        <v>17.892586063968</v>
      </c>
      <c r="AJ262" s="6">
        <v>323.41240762519328</v>
      </c>
      <c r="AK262" s="6">
        <v>0</v>
      </c>
      <c r="AL262" s="6">
        <v>0</v>
      </c>
      <c r="AM262" s="6">
        <v>0</v>
      </c>
      <c r="AN262" s="6">
        <v>0</v>
      </c>
      <c r="AO262" s="6">
        <v>0</v>
      </c>
      <c r="AP262" s="6">
        <v>323.41240762519328</v>
      </c>
      <c r="AQ262" s="6">
        <v>419.99999964779192</v>
      </c>
      <c r="AR262" s="6">
        <v>13.889122</v>
      </c>
      <c r="AS262" s="6">
        <v>133.2756454043836</v>
      </c>
      <c r="AT262" s="6">
        <v>125.40268235616669</v>
      </c>
    </row>
    <row r="263" spans="1:46" x14ac:dyDescent="0.35">
      <c r="A263" s="5">
        <v>46022</v>
      </c>
      <c r="B263" s="4" t="s">
        <v>452</v>
      </c>
      <c r="C263" s="4" t="s">
        <v>453</v>
      </c>
      <c r="D263" s="4" t="s">
        <v>89</v>
      </c>
      <c r="E263" s="6">
        <v>690.81061299999999</v>
      </c>
      <c r="F263" s="7">
        <v>0.61670000000000003</v>
      </c>
      <c r="G263" s="6">
        <v>52.23</v>
      </c>
      <c r="H263" s="6">
        <v>2.2250000000000001</v>
      </c>
      <c r="I263" s="6">
        <v>95.439682000000005</v>
      </c>
      <c r="J263" s="6">
        <v>2.1235330000000001</v>
      </c>
      <c r="K263" s="8">
        <v>10.392485851314328</v>
      </c>
      <c r="L263" s="6">
        <v>110.8369836652177</v>
      </c>
      <c r="M263" s="6">
        <v>8.4892285869053516</v>
      </c>
      <c r="N263" s="6">
        <v>10.33462538584352</v>
      </c>
      <c r="O263" s="6">
        <v>61.87866800625936</v>
      </c>
      <c r="P263" s="6">
        <v>191.5395056442259</v>
      </c>
      <c r="Q263" s="6">
        <v>40.675456961008102</v>
      </c>
      <c r="R263" s="6">
        <v>6.4090874577727197</v>
      </c>
      <c r="S263" s="6">
        <v>6.4692023835156656</v>
      </c>
      <c r="T263" s="6">
        <v>36.341301316209012</v>
      </c>
      <c r="U263" s="6">
        <v>89.8950481185055</v>
      </c>
      <c r="V263" s="6">
        <v>281.43455376273141</v>
      </c>
      <c r="W263" s="6">
        <v>10.945146374259069</v>
      </c>
      <c r="X263" s="6">
        <v>12.87830510317708</v>
      </c>
      <c r="Y263" s="6">
        <v>305.25800524016751</v>
      </c>
      <c r="Z263" s="6">
        <v>26.281204179972448</v>
      </c>
      <c r="AA263" s="6">
        <v>331.53920942014003</v>
      </c>
      <c r="AB263" s="6">
        <v>0</v>
      </c>
      <c r="AC263" s="6">
        <v>109.2938314818347</v>
      </c>
      <c r="AD263" s="6">
        <v>0</v>
      </c>
      <c r="AE263" s="6">
        <v>-0.60637544214240158</v>
      </c>
      <c r="AF263" s="6">
        <v>440.2266654598323</v>
      </c>
      <c r="AG263" s="6">
        <v>14.975517282061739</v>
      </c>
      <c r="AH263" s="6">
        <v>0</v>
      </c>
      <c r="AI263" s="6">
        <v>59.350137710712382</v>
      </c>
      <c r="AJ263" s="6">
        <v>405.86486441291407</v>
      </c>
      <c r="AK263" s="6">
        <v>89.766575678160436</v>
      </c>
      <c r="AL263" s="6">
        <v>0</v>
      </c>
      <c r="AM263" s="6">
        <v>0</v>
      </c>
      <c r="AN263" s="6">
        <v>0</v>
      </c>
      <c r="AO263" s="6">
        <v>0</v>
      </c>
      <c r="AP263" s="6">
        <v>495.63144009107458</v>
      </c>
      <c r="AQ263" s="6">
        <v>419.99347278902007</v>
      </c>
      <c r="AR263" s="6">
        <v>204.62679600000001</v>
      </c>
      <c r="AS263" s="6">
        <v>114.7354675488525</v>
      </c>
      <c r="AT263" s="6">
        <v>88.454263368880063</v>
      </c>
    </row>
    <row r="264" spans="1:46" x14ac:dyDescent="0.35">
      <c r="A264" s="5">
        <v>46022</v>
      </c>
      <c r="B264" s="4" t="s">
        <v>403</v>
      </c>
      <c r="C264" s="4" t="s">
        <v>404</v>
      </c>
      <c r="D264" s="4" t="s">
        <v>79</v>
      </c>
      <c r="E264" s="6">
        <v>7184.9052000000001</v>
      </c>
      <c r="F264" s="7">
        <v>0.18</v>
      </c>
      <c r="G264" s="6">
        <v>49</v>
      </c>
      <c r="H264" s="6">
        <v>6.3369999999999997</v>
      </c>
      <c r="I264" s="6">
        <v>100</v>
      </c>
      <c r="J264" s="6">
        <v>6.3370860000000002</v>
      </c>
      <c r="K264" s="8">
        <v>100</v>
      </c>
      <c r="L264" s="6">
        <v>0</v>
      </c>
      <c r="M264" s="6">
        <v>0</v>
      </c>
      <c r="N264" s="6">
        <v>0</v>
      </c>
      <c r="O264" s="6">
        <v>0</v>
      </c>
      <c r="P264" s="6">
        <v>0</v>
      </c>
      <c r="Q264" s="6">
        <v>57.292216908389932</v>
      </c>
      <c r="R264" s="6">
        <v>105.48162638251949</v>
      </c>
      <c r="S264" s="6">
        <v>27.20510403442583</v>
      </c>
      <c r="T264" s="6">
        <v>87.319313645385066</v>
      </c>
      <c r="U264" s="6">
        <v>277.29826097072032</v>
      </c>
      <c r="V264" s="6">
        <v>277.29826097072032</v>
      </c>
      <c r="W264" s="6">
        <v>4.0083989138307849</v>
      </c>
      <c r="X264" s="6">
        <v>0</v>
      </c>
      <c r="Y264" s="6">
        <v>281.3066598845511</v>
      </c>
      <c r="Z264" s="6">
        <v>0</v>
      </c>
      <c r="AA264" s="6">
        <v>281.3066598845511</v>
      </c>
      <c r="AB264" s="6">
        <v>0</v>
      </c>
      <c r="AC264" s="6">
        <v>95.468497062665463</v>
      </c>
      <c r="AD264" s="6">
        <v>0</v>
      </c>
      <c r="AE264" s="6">
        <v>0</v>
      </c>
      <c r="AF264" s="6">
        <v>376.77515694721649</v>
      </c>
      <c r="AG264" s="6">
        <v>19.279271159438689</v>
      </c>
      <c r="AH264" s="6">
        <v>0</v>
      </c>
      <c r="AI264" s="6">
        <v>38.36923692026317</v>
      </c>
      <c r="AJ264" s="6">
        <v>338.95516796425289</v>
      </c>
      <c r="AK264" s="6">
        <v>0</v>
      </c>
      <c r="AL264" s="6">
        <v>0</v>
      </c>
      <c r="AM264" s="6">
        <v>0</v>
      </c>
      <c r="AN264" s="6">
        <v>0</v>
      </c>
      <c r="AO264" s="6">
        <v>0</v>
      </c>
      <c r="AP264" s="6">
        <v>338.95516796425289</v>
      </c>
      <c r="AQ264" s="6">
        <v>420.00092751905561</v>
      </c>
      <c r="AR264" s="6">
        <v>58.677838999999999</v>
      </c>
      <c r="AS264" s="6">
        <v>138.6942676345046</v>
      </c>
      <c r="AT264" s="6">
        <v>138.6942676345046</v>
      </c>
    </row>
    <row r="265" spans="1:46" x14ac:dyDescent="0.35">
      <c r="A265" s="5">
        <v>46022</v>
      </c>
      <c r="B265" s="4" t="s">
        <v>405</v>
      </c>
      <c r="C265" s="4" t="s">
        <v>406</v>
      </c>
      <c r="D265" s="4" t="s">
        <v>407</v>
      </c>
      <c r="E265" s="6">
        <v>11050</v>
      </c>
      <c r="F265" s="7">
        <v>0.54</v>
      </c>
      <c r="G265" s="6">
        <v>84</v>
      </c>
      <c r="H265" s="6">
        <v>50.12</v>
      </c>
      <c r="I265" s="6">
        <v>95.218753000000007</v>
      </c>
      <c r="J265" s="6">
        <v>47.723638999999999</v>
      </c>
      <c r="K265" s="8">
        <v>82.760177816104814</v>
      </c>
      <c r="L265" s="6">
        <v>17.31487604854966</v>
      </c>
      <c r="M265" s="6">
        <v>26.219403720436471</v>
      </c>
      <c r="N265" s="6">
        <v>0.80081296292090187</v>
      </c>
      <c r="O265" s="6">
        <v>20.466080663933901</v>
      </c>
      <c r="P265" s="6">
        <v>64.801173395840934</v>
      </c>
      <c r="Q265" s="6">
        <v>8.4005525791829996</v>
      </c>
      <c r="R265" s="6">
        <v>8.7527666922964418</v>
      </c>
      <c r="S265" s="6">
        <v>18.402661548821971</v>
      </c>
      <c r="T265" s="6">
        <v>19.62243390333709</v>
      </c>
      <c r="U265" s="6">
        <v>55.178414723638497</v>
      </c>
      <c r="V265" s="6">
        <v>119.9795881194794</v>
      </c>
      <c r="W265" s="6">
        <v>26.8611740931374</v>
      </c>
      <c r="X265" s="6">
        <v>21.708910509722418</v>
      </c>
      <c r="Y265" s="6">
        <v>168.5496727223393</v>
      </c>
      <c r="Z265" s="6">
        <v>21.431517757909681</v>
      </c>
      <c r="AA265" s="6">
        <v>189.9811904802489</v>
      </c>
      <c r="AB265" s="6">
        <v>0</v>
      </c>
      <c r="AC265" s="6">
        <v>53.417465844996499</v>
      </c>
      <c r="AD265" s="6">
        <v>0</v>
      </c>
      <c r="AE265" s="6">
        <v>0</v>
      </c>
      <c r="AF265" s="6">
        <v>243.39865632524541</v>
      </c>
      <c r="AG265" s="6">
        <v>13.87785492160358</v>
      </c>
      <c r="AH265" s="6">
        <v>0</v>
      </c>
      <c r="AI265" s="6">
        <v>25.261944917070121</v>
      </c>
      <c r="AJ265" s="6">
        <v>229.12099031892259</v>
      </c>
      <c r="AK265" s="6">
        <v>0</v>
      </c>
      <c r="AL265" s="6">
        <v>0</v>
      </c>
      <c r="AM265" s="6">
        <v>0</v>
      </c>
      <c r="AN265" s="6">
        <v>0</v>
      </c>
      <c r="AO265" s="6">
        <v>0</v>
      </c>
      <c r="AP265" s="6">
        <v>229.12099031892259</v>
      </c>
      <c r="AQ265" s="6">
        <v>419.99965642166057</v>
      </c>
      <c r="AR265" s="6">
        <v>532.41768100000002</v>
      </c>
      <c r="AS265" s="6">
        <v>251.44998369932139</v>
      </c>
      <c r="AT265" s="6">
        <v>230.0184659414117</v>
      </c>
    </row>
    <row r="266" spans="1:46" x14ac:dyDescent="0.35">
      <c r="A266" s="5">
        <v>46022</v>
      </c>
      <c r="B266" s="4" t="s">
        <v>454</v>
      </c>
      <c r="C266" s="4" t="s">
        <v>455</v>
      </c>
      <c r="D266" s="4" t="s">
        <v>105</v>
      </c>
      <c r="E266" s="6">
        <v>5600</v>
      </c>
      <c r="F266" s="7">
        <v>7.0000000000000007E-2</v>
      </c>
      <c r="G266" s="6">
        <v>19.899999999999999</v>
      </c>
      <c r="H266" s="6">
        <v>0.78</v>
      </c>
      <c r="I266" s="6">
        <v>95</v>
      </c>
      <c r="J266" s="6">
        <v>0.74099999999999999</v>
      </c>
      <c r="K266" s="8">
        <v>1.9936027285252691</v>
      </c>
      <c r="L266" s="6">
        <v>3.140730524104355</v>
      </c>
      <c r="M266" s="6">
        <v>49.568571866602667</v>
      </c>
      <c r="N266" s="6">
        <v>3.5588126828313822</v>
      </c>
      <c r="O266" s="6">
        <v>51.928158014334741</v>
      </c>
      <c r="P266" s="6">
        <v>108.19627308787319</v>
      </c>
      <c r="Q266" s="6">
        <v>1.3713568062675869</v>
      </c>
      <c r="R266" s="6">
        <v>20.064215348770631</v>
      </c>
      <c r="S266" s="6">
        <v>119.9691428562318</v>
      </c>
      <c r="T266" s="6">
        <v>40.871312595829203</v>
      </c>
      <c r="U266" s="6">
        <v>182.27602760709919</v>
      </c>
      <c r="V266" s="6">
        <v>290.47230069497238</v>
      </c>
      <c r="W266" s="6">
        <v>1.3114176353808209</v>
      </c>
      <c r="X266" s="6">
        <v>96.648539999999997</v>
      </c>
      <c r="Y266" s="6">
        <v>388.43225833035319</v>
      </c>
      <c r="Z266" s="6">
        <v>0.95582115511441701</v>
      </c>
      <c r="AA266" s="6">
        <v>389.38807948546759</v>
      </c>
      <c r="AB266" s="6">
        <v>0</v>
      </c>
      <c r="AC266" s="6">
        <v>67.949291408707481</v>
      </c>
      <c r="AD266" s="6">
        <v>0</v>
      </c>
      <c r="AE266" s="6">
        <v>0</v>
      </c>
      <c r="AF266" s="6">
        <v>457.33737089417508</v>
      </c>
      <c r="AG266" s="6">
        <v>23.84147577037189</v>
      </c>
      <c r="AH266" s="6">
        <v>0</v>
      </c>
      <c r="AI266" s="6">
        <v>5.8582060866490808</v>
      </c>
      <c r="AJ266" s="6">
        <v>419.08776134248859</v>
      </c>
      <c r="AK266" s="6">
        <v>0</v>
      </c>
      <c r="AL266" s="6">
        <v>0</v>
      </c>
      <c r="AM266" s="6">
        <v>0</v>
      </c>
      <c r="AN266" s="6">
        <v>0</v>
      </c>
      <c r="AO266" s="6">
        <v>0</v>
      </c>
      <c r="AP266" s="6">
        <v>419.08776134248859</v>
      </c>
      <c r="AQ266" s="6">
        <v>419.99999964779192</v>
      </c>
      <c r="AR266" s="6">
        <v>291.53248200000002</v>
      </c>
      <c r="AS266" s="6">
        <v>31.567741317438731</v>
      </c>
      <c r="AT266" s="6">
        <v>30.61192016232431</v>
      </c>
    </row>
    <row r="267" spans="1:46" x14ac:dyDescent="0.35">
      <c r="A267" s="5">
        <v>46022</v>
      </c>
      <c r="B267" s="4" t="s">
        <v>793</v>
      </c>
      <c r="C267" s="4" t="s">
        <v>794</v>
      </c>
      <c r="D267" s="4" t="s">
        <v>79</v>
      </c>
      <c r="E267" s="6">
        <v>15892</v>
      </c>
      <c r="F267" s="7">
        <v>0.2923</v>
      </c>
      <c r="G267" s="6">
        <v>85.1</v>
      </c>
      <c r="H267" s="6">
        <v>39.530999999999999</v>
      </c>
      <c r="I267" s="6">
        <v>97</v>
      </c>
      <c r="J267" s="6">
        <v>38.344993000000002</v>
      </c>
      <c r="K267" s="8">
        <v>98.149509692627831</v>
      </c>
      <c r="L267" s="6">
        <v>32.68455793357662</v>
      </c>
      <c r="M267" s="6">
        <v>9.2146404494578587</v>
      </c>
      <c r="N267" s="6">
        <v>1.0676766036677079</v>
      </c>
      <c r="O267" s="6">
        <v>38.689821371622443</v>
      </c>
      <c r="P267" s="6">
        <v>81.656696358324623</v>
      </c>
      <c r="Q267" s="6">
        <v>26.843288440979659</v>
      </c>
      <c r="R267" s="6">
        <v>42.873198427178792</v>
      </c>
      <c r="S267" s="6">
        <v>34.608073327264592</v>
      </c>
      <c r="T267" s="6">
        <v>68.20481990565456</v>
      </c>
      <c r="U267" s="6">
        <v>172.52938010107761</v>
      </c>
      <c r="V267" s="6">
        <v>254.18607645940219</v>
      </c>
      <c r="W267" s="6">
        <v>12.10010121966882</v>
      </c>
      <c r="X267" s="6">
        <v>48.448705495136778</v>
      </c>
      <c r="Y267" s="6">
        <v>314.73488317420782</v>
      </c>
      <c r="Z267" s="6">
        <v>1.911742875242187</v>
      </c>
      <c r="AA267" s="6">
        <v>316.64662604944999</v>
      </c>
      <c r="AB267" s="6">
        <v>4.8414378188814871</v>
      </c>
      <c r="AC267" s="6">
        <v>37.577825072076223</v>
      </c>
      <c r="AD267" s="6">
        <v>0</v>
      </c>
      <c r="AE267" s="6">
        <v>0</v>
      </c>
      <c r="AF267" s="6">
        <v>359.06588894040772</v>
      </c>
      <c r="AG267" s="6">
        <v>11.136569043043609</v>
      </c>
      <c r="AH267" s="6">
        <v>0</v>
      </c>
      <c r="AI267" s="6">
        <v>22.78237176075455</v>
      </c>
      <c r="AJ267" s="6">
        <v>355.40700467212969</v>
      </c>
      <c r="AK267" s="6">
        <v>3.6087155534180879</v>
      </c>
      <c r="AL267" s="6">
        <v>0</v>
      </c>
      <c r="AM267" s="6">
        <v>0</v>
      </c>
      <c r="AN267" s="6">
        <v>0</v>
      </c>
      <c r="AO267" s="6">
        <v>0</v>
      </c>
      <c r="AP267" s="6">
        <v>359.01572022554768</v>
      </c>
      <c r="AQ267" s="6">
        <v>420.00007632012301</v>
      </c>
      <c r="AR267" s="6">
        <v>361.53195599999998</v>
      </c>
      <c r="AS267" s="6">
        <v>105.26519314591511</v>
      </c>
      <c r="AT267" s="6">
        <v>103.35345027067299</v>
      </c>
    </row>
    <row r="268" spans="1:46" x14ac:dyDescent="0.35">
      <c r="A268" s="5">
        <v>46022</v>
      </c>
      <c r="B268" s="4" t="s">
        <v>615</v>
      </c>
      <c r="C268" s="4" t="s">
        <v>616</v>
      </c>
      <c r="D268" s="4" t="s">
        <v>79</v>
      </c>
      <c r="E268" s="6">
        <v>4583.6734690000003</v>
      </c>
      <c r="F268" s="7">
        <v>0.14000000000000001</v>
      </c>
      <c r="G268" s="6">
        <v>35</v>
      </c>
      <c r="H268" s="6">
        <v>2.246</v>
      </c>
      <c r="I268" s="6">
        <v>100</v>
      </c>
      <c r="J268" s="6">
        <v>2.246</v>
      </c>
      <c r="K268" s="8">
        <v>99.999998555733143</v>
      </c>
      <c r="L268" s="6">
        <v>155.7263119375371</v>
      </c>
      <c r="M268" s="6">
        <v>29.977271308712279</v>
      </c>
      <c r="N268" s="6">
        <v>7.4107735194274529</v>
      </c>
      <c r="O268" s="6">
        <v>168.63823512643361</v>
      </c>
      <c r="P268" s="6">
        <v>361.75259189211039</v>
      </c>
      <c r="Q268" s="6">
        <v>137.02155141853751</v>
      </c>
      <c r="R268" s="6">
        <v>47.502599112974359</v>
      </c>
      <c r="S268" s="6">
        <v>33.929079062589039</v>
      </c>
      <c r="T268" s="6">
        <v>104.0930600816841</v>
      </c>
      <c r="U268" s="6">
        <v>322.54628967578498</v>
      </c>
      <c r="V268" s="6">
        <v>684.29888156789536</v>
      </c>
      <c r="W268" s="6">
        <v>3.743699814292361</v>
      </c>
      <c r="X268" s="6">
        <v>0</v>
      </c>
      <c r="Y268" s="6">
        <v>688.04258138218779</v>
      </c>
      <c r="Z268" s="6">
        <v>1.9130352404402191</v>
      </c>
      <c r="AA268" s="6">
        <v>689.95561662262799</v>
      </c>
      <c r="AB268" s="6">
        <v>0</v>
      </c>
      <c r="AC268" s="6">
        <v>47.442150987809647</v>
      </c>
      <c r="AD268" s="6">
        <v>0</v>
      </c>
      <c r="AE268" s="6">
        <v>0</v>
      </c>
      <c r="AF268" s="6">
        <v>737.39776761043765</v>
      </c>
      <c r="AG268" s="6">
        <v>8.7235068470856003</v>
      </c>
      <c r="AH268" s="6">
        <v>0</v>
      </c>
      <c r="AI268" s="6">
        <v>47.442150987809647</v>
      </c>
      <c r="AJ268" s="6">
        <v>746.12127445752321</v>
      </c>
      <c r="AK268" s="6">
        <v>0</v>
      </c>
      <c r="AL268" s="6">
        <v>0</v>
      </c>
      <c r="AM268" s="6">
        <v>0</v>
      </c>
      <c r="AN268" s="6">
        <v>0</v>
      </c>
      <c r="AO268" s="6">
        <v>0</v>
      </c>
      <c r="AP268" s="6">
        <v>746.12127445752321</v>
      </c>
      <c r="AQ268" s="6">
        <v>419.99999964779192</v>
      </c>
      <c r="AR268" s="6">
        <v>20.796645999999999</v>
      </c>
      <c r="AS268" s="6">
        <v>-268.04258173439581</v>
      </c>
      <c r="AT268" s="6">
        <v>-269.955616974836</v>
      </c>
    </row>
    <row r="269" spans="1:46" x14ac:dyDescent="0.35">
      <c r="A269" s="5">
        <v>46022</v>
      </c>
      <c r="B269" s="4" t="s">
        <v>456</v>
      </c>
      <c r="C269" s="4" t="s">
        <v>457</v>
      </c>
      <c r="D269" s="4" t="s">
        <v>105</v>
      </c>
      <c r="E269" s="6">
        <v>8488</v>
      </c>
      <c r="F269" s="7">
        <v>4.1000000000000003E-3</v>
      </c>
      <c r="G269" s="6">
        <v>13</v>
      </c>
      <c r="H269" s="6">
        <v>4.4999999999999998E-2</v>
      </c>
      <c r="I269" s="6">
        <v>98</v>
      </c>
      <c r="J269" s="6">
        <v>4.4336E-2</v>
      </c>
      <c r="K269" s="8">
        <v>0.75392553080038305</v>
      </c>
      <c r="L269" s="6">
        <v>0</v>
      </c>
      <c r="M269" s="6">
        <v>0</v>
      </c>
      <c r="N269" s="6">
        <v>0</v>
      </c>
      <c r="O269" s="6">
        <v>0</v>
      </c>
      <c r="P269" s="6">
        <v>0</v>
      </c>
      <c r="Q269" s="6">
        <v>14.87723079836706</v>
      </c>
      <c r="R269" s="6">
        <v>37.043314125208802</v>
      </c>
      <c r="S269" s="6">
        <v>151.2345732533924</v>
      </c>
      <c r="T269" s="6">
        <v>21.5059482337894</v>
      </c>
      <c r="U269" s="6">
        <v>224.66106641075771</v>
      </c>
      <c r="V269" s="6">
        <v>224.66106641075771</v>
      </c>
      <c r="W269" s="6">
        <v>0.1004584843489434</v>
      </c>
      <c r="X269" s="6">
        <v>65.895511612308482</v>
      </c>
      <c r="Y269" s="6">
        <v>290.65703650741511</v>
      </c>
      <c r="Z269" s="6">
        <v>0</v>
      </c>
      <c r="AA269" s="6">
        <v>290.65703650741511</v>
      </c>
      <c r="AB269" s="6">
        <v>0</v>
      </c>
      <c r="AC269" s="6">
        <v>22.987340354239201</v>
      </c>
      <c r="AD269" s="6">
        <v>0</v>
      </c>
      <c r="AE269" s="6">
        <v>0</v>
      </c>
      <c r="AF269" s="6">
        <v>313.64437686165428</v>
      </c>
      <c r="AG269" s="6">
        <v>3.3345889809020068</v>
      </c>
      <c r="AH269" s="6">
        <v>0</v>
      </c>
      <c r="AI269" s="6">
        <v>9.9123706727564951</v>
      </c>
      <c r="AJ269" s="6">
        <v>303.90399616107362</v>
      </c>
      <c r="AK269" s="6">
        <v>0</v>
      </c>
      <c r="AL269" s="6">
        <v>0</v>
      </c>
      <c r="AM269" s="6">
        <v>0</v>
      </c>
      <c r="AN269" s="6">
        <v>0</v>
      </c>
      <c r="AO269" s="6">
        <v>0</v>
      </c>
      <c r="AP269" s="6">
        <v>303.90399616107362</v>
      </c>
      <c r="AQ269" s="6">
        <v>419.65896752970912</v>
      </c>
      <c r="AR269" s="6">
        <v>50.636485999999998</v>
      </c>
      <c r="AS269" s="6">
        <v>129.001931022294</v>
      </c>
      <c r="AT269" s="6">
        <v>129.001931022294</v>
      </c>
    </row>
    <row r="270" spans="1:46" x14ac:dyDescent="0.35">
      <c r="A270" s="5">
        <v>46022</v>
      </c>
      <c r="B270" s="4" t="s">
        <v>473</v>
      </c>
      <c r="C270" s="4" t="s">
        <v>474</v>
      </c>
      <c r="D270" s="4" t="s">
        <v>105</v>
      </c>
      <c r="E270" s="6">
        <v>445</v>
      </c>
      <c r="F270" s="7">
        <v>0.16</v>
      </c>
      <c r="G270" s="6">
        <v>87.41</v>
      </c>
      <c r="H270" s="6">
        <v>0.622</v>
      </c>
      <c r="I270" s="6">
        <v>82</v>
      </c>
      <c r="J270" s="6">
        <v>0.51033499999999998</v>
      </c>
      <c r="K270" s="8">
        <v>6.2790461579855767</v>
      </c>
      <c r="L270" s="6">
        <v>63.068610774279321</v>
      </c>
      <c r="M270" s="6">
        <v>2.0211116102586781</v>
      </c>
      <c r="N270" s="6">
        <v>17.66001080296974</v>
      </c>
      <c r="O270" s="6">
        <v>222.92116557680041</v>
      </c>
      <c r="P270" s="6">
        <v>305.67089876430811</v>
      </c>
      <c r="Q270" s="6">
        <v>20.056975224056099</v>
      </c>
      <c r="R270" s="6">
        <v>4.2824148724216773</v>
      </c>
      <c r="S270" s="6">
        <v>14.79234624253499</v>
      </c>
      <c r="T270" s="6">
        <v>24.902096440945311</v>
      </c>
      <c r="U270" s="6">
        <v>64.03383277995809</v>
      </c>
      <c r="V270" s="6">
        <v>369.70473154426622</v>
      </c>
      <c r="W270" s="6">
        <v>3.879776675949401</v>
      </c>
      <c r="X270" s="6">
        <v>33.316564255408707</v>
      </c>
      <c r="Y270" s="6">
        <v>406.90107247562429</v>
      </c>
      <c r="Z270" s="6">
        <v>22.740674936948171</v>
      </c>
      <c r="AA270" s="6">
        <v>429.6417474125725</v>
      </c>
      <c r="AB270" s="6">
        <v>0.61294505538489463</v>
      </c>
      <c r="AC270" s="6">
        <v>146.97039218261139</v>
      </c>
      <c r="AD270" s="6">
        <v>0</v>
      </c>
      <c r="AE270" s="6">
        <v>0</v>
      </c>
      <c r="AF270" s="6">
        <v>577.22508465056876</v>
      </c>
      <c r="AG270" s="6">
        <v>18.485235459638549</v>
      </c>
      <c r="AH270" s="6">
        <v>0</v>
      </c>
      <c r="AI270" s="6">
        <v>122.7797488038006</v>
      </c>
      <c r="AJ270" s="6">
        <v>571.51967673139654</v>
      </c>
      <c r="AK270" s="6">
        <v>1785.8872652620059</v>
      </c>
      <c r="AL270" s="6">
        <v>0</v>
      </c>
      <c r="AM270" s="6">
        <v>0</v>
      </c>
      <c r="AN270" s="6">
        <v>0</v>
      </c>
      <c r="AO270" s="6">
        <v>0</v>
      </c>
      <c r="AP270" s="6">
        <v>2357.4069419934031</v>
      </c>
      <c r="AQ270" s="6">
        <v>419.97119503907868</v>
      </c>
      <c r="AR270" s="6">
        <v>81.494870000000006</v>
      </c>
      <c r="AS270" s="6">
        <v>13.07012256345438</v>
      </c>
      <c r="AT270" s="6">
        <v>-9.6705523734937895</v>
      </c>
    </row>
    <row r="271" spans="1:46" x14ac:dyDescent="0.35">
      <c r="A271" s="5">
        <v>46022</v>
      </c>
      <c r="B271" s="4" t="s">
        <v>795</v>
      </c>
      <c r="C271" s="4" t="s">
        <v>796</v>
      </c>
      <c r="D271" s="4" t="s">
        <v>89</v>
      </c>
      <c r="E271" s="6">
        <v>6299.5729099999999</v>
      </c>
      <c r="F271" s="7">
        <v>0.81499999999999995</v>
      </c>
      <c r="G271" s="6">
        <v>86.5</v>
      </c>
      <c r="H271" s="6">
        <v>44.408000000000001</v>
      </c>
      <c r="I271" s="6">
        <v>98.5</v>
      </c>
      <c r="J271" s="6">
        <v>43.741809000000003</v>
      </c>
      <c r="K271" s="8">
        <v>63.454609541305096</v>
      </c>
      <c r="L271" s="6">
        <v>133.1309401482041</v>
      </c>
      <c r="M271" s="6">
        <v>0.82803680079213693</v>
      </c>
      <c r="N271" s="6">
        <v>6.6275483718085981</v>
      </c>
      <c r="O271" s="6">
        <v>77.007103294890001</v>
      </c>
      <c r="P271" s="6">
        <v>217.59362861569491</v>
      </c>
      <c r="Q271" s="6">
        <v>32.261475901230561</v>
      </c>
      <c r="R271" s="6">
        <v>9.3337284457834713</v>
      </c>
      <c r="S271" s="6">
        <v>15.29859949525747</v>
      </c>
      <c r="T271" s="6">
        <v>31.980623447018878</v>
      </c>
      <c r="U271" s="6">
        <v>88.874427289290395</v>
      </c>
      <c r="V271" s="6">
        <v>306.46805590498519</v>
      </c>
      <c r="W271" s="6">
        <v>3.944582537757376</v>
      </c>
      <c r="X271" s="6">
        <v>12.60520168443173</v>
      </c>
      <c r="Y271" s="6">
        <v>323.0178401271744</v>
      </c>
      <c r="Z271" s="6">
        <v>20.882819027967521</v>
      </c>
      <c r="AA271" s="6">
        <v>343.90065915514191</v>
      </c>
      <c r="AB271" s="6">
        <v>0</v>
      </c>
      <c r="AC271" s="6">
        <v>108.11554378535691</v>
      </c>
      <c r="AD271" s="6">
        <v>0</v>
      </c>
      <c r="AE271" s="6">
        <v>0</v>
      </c>
      <c r="AF271" s="6">
        <v>452.01620294049877</v>
      </c>
      <c r="AG271" s="6">
        <v>4.7967388969941229</v>
      </c>
      <c r="AH271" s="6">
        <v>0</v>
      </c>
      <c r="AI271" s="6">
        <v>23.183529867401891</v>
      </c>
      <c r="AJ271" s="6">
        <v>371.8809279195379</v>
      </c>
      <c r="AK271" s="6">
        <v>225.0392570684707</v>
      </c>
      <c r="AL271" s="6">
        <v>0</v>
      </c>
      <c r="AM271" s="6">
        <v>0</v>
      </c>
      <c r="AN271" s="6">
        <v>0</v>
      </c>
      <c r="AO271" s="6">
        <v>0</v>
      </c>
      <c r="AP271" s="6">
        <v>596.9201849880086</v>
      </c>
      <c r="AQ271" s="6">
        <v>419.99991323161288</v>
      </c>
      <c r="AR271" s="6">
        <v>634.72633099999996</v>
      </c>
      <c r="AS271" s="6">
        <v>96.982073104438527</v>
      </c>
      <c r="AT271" s="6">
        <v>76.099254076471013</v>
      </c>
    </row>
    <row r="272" spans="1:46" x14ac:dyDescent="0.35">
      <c r="A272" s="5">
        <v>46022</v>
      </c>
      <c r="B272" s="4" t="s">
        <v>617</v>
      </c>
      <c r="C272" s="4" t="s">
        <v>618</v>
      </c>
      <c r="D272" s="4" t="s">
        <v>344</v>
      </c>
      <c r="E272" s="6">
        <v>15913.064</v>
      </c>
      <c r="F272" s="7">
        <v>0.35</v>
      </c>
      <c r="G272" s="6">
        <v>85</v>
      </c>
      <c r="H272" s="6">
        <v>47.341000000000001</v>
      </c>
      <c r="I272" s="6">
        <v>93.789152999999999</v>
      </c>
      <c r="J272" s="6">
        <v>44.401065000000003</v>
      </c>
      <c r="K272" s="8">
        <v>94.743299660199142</v>
      </c>
      <c r="L272" s="6">
        <v>27.369091772208311</v>
      </c>
      <c r="M272" s="6">
        <v>22.587167399367139</v>
      </c>
      <c r="N272" s="6">
        <v>2.159117188467834</v>
      </c>
      <c r="O272" s="6">
        <v>54.203367513797389</v>
      </c>
      <c r="P272" s="6">
        <v>106.3187438738407</v>
      </c>
      <c r="Q272" s="6">
        <v>15.168697335663969</v>
      </c>
      <c r="R272" s="6">
        <v>43.325396738265553</v>
      </c>
      <c r="S272" s="6">
        <v>20.438030650590619</v>
      </c>
      <c r="T272" s="6">
        <v>49.391132175967783</v>
      </c>
      <c r="U272" s="6">
        <v>128.32325690048791</v>
      </c>
      <c r="V272" s="6">
        <v>234.64200077432861</v>
      </c>
      <c r="W272" s="6">
        <v>18.582818216868169</v>
      </c>
      <c r="X272" s="6">
        <v>32.784801072995663</v>
      </c>
      <c r="Y272" s="6">
        <v>286.0096200641924</v>
      </c>
      <c r="Z272" s="6">
        <v>0</v>
      </c>
      <c r="AA272" s="6">
        <v>286.0096200641924</v>
      </c>
      <c r="AB272" s="6">
        <v>2.129329888524925</v>
      </c>
      <c r="AC272" s="6">
        <v>44.28723080968993</v>
      </c>
      <c r="AD272" s="6">
        <v>0</v>
      </c>
      <c r="AE272" s="6">
        <v>0</v>
      </c>
      <c r="AF272" s="6">
        <v>332.42618076240728</v>
      </c>
      <c r="AG272" s="6">
        <v>12.985799593363749</v>
      </c>
      <c r="AH272" s="6">
        <v>0</v>
      </c>
      <c r="AI272" s="6">
        <v>4.8393889106317571</v>
      </c>
      <c r="AJ272" s="6">
        <v>305.96413845671287</v>
      </c>
      <c r="AK272" s="6">
        <v>0</v>
      </c>
      <c r="AL272" s="6">
        <v>0</v>
      </c>
      <c r="AM272" s="6">
        <v>0</v>
      </c>
      <c r="AN272" s="6">
        <v>0</v>
      </c>
      <c r="AO272" s="6">
        <v>0</v>
      </c>
      <c r="AP272" s="6">
        <v>305.96413845671287</v>
      </c>
      <c r="AQ272" s="6">
        <v>420.0003307209314</v>
      </c>
      <c r="AR272" s="6">
        <v>434.75934599999999</v>
      </c>
      <c r="AS272" s="6">
        <v>133.990710656739</v>
      </c>
      <c r="AT272" s="6">
        <v>133.990710656739</v>
      </c>
    </row>
    <row r="273" spans="1:46" x14ac:dyDescent="0.35">
      <c r="A273" s="5">
        <v>46022</v>
      </c>
      <c r="B273" s="4" t="s">
        <v>619</v>
      </c>
      <c r="C273" s="4" t="s">
        <v>620</v>
      </c>
      <c r="D273" s="4" t="s">
        <v>61</v>
      </c>
      <c r="E273" s="6">
        <v>10000</v>
      </c>
      <c r="F273" s="7">
        <v>0.47060000000000002</v>
      </c>
      <c r="G273" s="6">
        <v>85</v>
      </c>
      <c r="H273" s="6">
        <v>40</v>
      </c>
      <c r="I273" s="6">
        <v>97</v>
      </c>
      <c r="J273" s="6">
        <v>38.799999999999997</v>
      </c>
      <c r="K273" s="8">
        <v>71.244852727602719</v>
      </c>
      <c r="L273" s="6">
        <v>15.210457164794599</v>
      </c>
      <c r="M273" s="6">
        <v>2.627725459763147</v>
      </c>
      <c r="N273" s="6">
        <v>52.649483611395297</v>
      </c>
      <c r="O273" s="6">
        <v>31.34239021341099</v>
      </c>
      <c r="P273" s="6">
        <v>101.83005644936399</v>
      </c>
      <c r="Q273" s="6">
        <v>12.870386831749281</v>
      </c>
      <c r="R273" s="6">
        <v>8.1864398595836967</v>
      </c>
      <c r="S273" s="6">
        <v>25.744513338394938</v>
      </c>
      <c r="T273" s="6">
        <v>22.815773200613759</v>
      </c>
      <c r="U273" s="6">
        <v>69.617113230341673</v>
      </c>
      <c r="V273" s="6">
        <v>171.44716967970569</v>
      </c>
      <c r="W273" s="6">
        <v>10.40814321061767</v>
      </c>
      <c r="X273" s="6">
        <v>24.837499693086009</v>
      </c>
      <c r="Y273" s="6">
        <v>206.69281258340939</v>
      </c>
      <c r="Z273" s="6">
        <v>16.608907099707551</v>
      </c>
      <c r="AA273" s="6">
        <v>223.30171968311689</v>
      </c>
      <c r="AB273" s="6">
        <v>0</v>
      </c>
      <c r="AC273" s="6">
        <v>11.70035166522662</v>
      </c>
      <c r="AD273" s="6">
        <v>0</v>
      </c>
      <c r="AE273" s="6">
        <v>0</v>
      </c>
      <c r="AF273" s="6">
        <v>235.00207134834361</v>
      </c>
      <c r="AG273" s="6">
        <v>11.46635129503994</v>
      </c>
      <c r="AH273" s="6">
        <v>0</v>
      </c>
      <c r="AI273" s="6">
        <v>7.02021099913597</v>
      </c>
      <c r="AJ273" s="6">
        <v>241.78828197729291</v>
      </c>
      <c r="AK273" s="6">
        <v>0</v>
      </c>
      <c r="AL273" s="6">
        <v>0</v>
      </c>
      <c r="AM273" s="6">
        <v>0</v>
      </c>
      <c r="AN273" s="6">
        <v>0</v>
      </c>
      <c r="AO273" s="6">
        <v>0</v>
      </c>
      <c r="AP273" s="6">
        <v>241.78828197729291</v>
      </c>
      <c r="AQ273" s="6">
        <v>419.99999964779198</v>
      </c>
      <c r="AR273" s="6">
        <v>498.52991900000001</v>
      </c>
      <c r="AS273" s="6">
        <v>213.30718706438259</v>
      </c>
      <c r="AT273" s="6">
        <v>196.69827996467501</v>
      </c>
    </row>
    <row r="274" spans="1:46" x14ac:dyDescent="0.35">
      <c r="A274" s="5">
        <v>46022</v>
      </c>
      <c r="B274" s="4" t="s">
        <v>797</v>
      </c>
      <c r="C274" s="4" t="s">
        <v>798</v>
      </c>
      <c r="D274" s="4" t="s">
        <v>79</v>
      </c>
      <c r="E274" s="6">
        <v>827.76926000000003</v>
      </c>
      <c r="F274" s="7">
        <v>0.7</v>
      </c>
      <c r="G274" s="6">
        <v>92</v>
      </c>
      <c r="H274" s="6">
        <v>5.3310000000000004</v>
      </c>
      <c r="I274" s="6">
        <v>96.5</v>
      </c>
      <c r="J274" s="6">
        <v>5.1442930000000002</v>
      </c>
      <c r="K274" s="8">
        <v>77.912052727376278</v>
      </c>
      <c r="L274" s="6">
        <v>138.216276206353</v>
      </c>
      <c r="M274" s="6">
        <v>7.6217956215604437</v>
      </c>
      <c r="N274" s="6">
        <v>4.8284383249766574</v>
      </c>
      <c r="O274" s="6">
        <v>89.461712083007086</v>
      </c>
      <c r="P274" s="6">
        <v>240.1282222358972</v>
      </c>
      <c r="Q274" s="6">
        <v>34.831581651810119</v>
      </c>
      <c r="R274" s="6">
        <v>12.51959930170413</v>
      </c>
      <c r="S274" s="6">
        <v>9.2228512877817632</v>
      </c>
      <c r="T274" s="6">
        <v>45.490536904113732</v>
      </c>
      <c r="U274" s="6">
        <v>102.06456914540971</v>
      </c>
      <c r="V274" s="6">
        <v>342.1927913813069</v>
      </c>
      <c r="W274" s="6">
        <v>20.177251585509339</v>
      </c>
      <c r="X274" s="6">
        <v>19.413169930461869</v>
      </c>
      <c r="Y274" s="6">
        <v>381.78321289727819</v>
      </c>
      <c r="Z274" s="6">
        <v>24.762412085217889</v>
      </c>
      <c r="AA274" s="6">
        <v>406.54562498249601</v>
      </c>
      <c r="AB274" s="6">
        <v>0.18951788749399009</v>
      </c>
      <c r="AC274" s="6">
        <v>225.08307118247211</v>
      </c>
      <c r="AD274" s="6">
        <v>0</v>
      </c>
      <c r="AE274" s="6">
        <v>0</v>
      </c>
      <c r="AF274" s="6">
        <v>631.81821405246205</v>
      </c>
      <c r="AG274" s="6">
        <v>16.48754441643975</v>
      </c>
      <c r="AH274" s="6">
        <v>0</v>
      </c>
      <c r="AI274" s="6">
        <v>28.996890747544931</v>
      </c>
      <c r="AJ274" s="6">
        <v>452.2195780339747</v>
      </c>
      <c r="AK274" s="6">
        <v>0</v>
      </c>
      <c r="AL274" s="6">
        <v>0</v>
      </c>
      <c r="AM274" s="6">
        <v>0</v>
      </c>
      <c r="AN274" s="6">
        <v>0</v>
      </c>
      <c r="AO274" s="6">
        <v>0</v>
      </c>
      <c r="AP274" s="6">
        <v>452.2195780339747</v>
      </c>
      <c r="AQ274" s="6">
        <v>420.00057115489648</v>
      </c>
      <c r="AR274" s="6">
        <v>60.944935999999998</v>
      </c>
      <c r="AS274" s="6">
        <v>38.217358257618343</v>
      </c>
      <c r="AT274" s="6">
        <v>13.45494617240046</v>
      </c>
    </row>
    <row r="275" spans="1:46" x14ac:dyDescent="0.35">
      <c r="A275" s="5">
        <v>46022</v>
      </c>
      <c r="B275" s="4" t="s">
        <v>799</v>
      </c>
      <c r="C275" s="4" t="s">
        <v>800</v>
      </c>
      <c r="D275" s="4" t="s">
        <v>58</v>
      </c>
      <c r="E275" s="6">
        <v>1200</v>
      </c>
      <c r="F275" s="7">
        <v>1.1399999999999999</v>
      </c>
      <c r="G275" s="6">
        <v>89.02</v>
      </c>
      <c r="H275" s="6">
        <v>12.179</v>
      </c>
      <c r="I275" s="6">
        <v>95.993407000000005</v>
      </c>
      <c r="J275" s="6">
        <v>11.690633999999999</v>
      </c>
      <c r="K275" s="8">
        <v>97.449978038710384</v>
      </c>
      <c r="L275" s="6">
        <v>55.391780754002127</v>
      </c>
      <c r="M275" s="6">
        <v>39.61882215335271</v>
      </c>
      <c r="N275" s="6">
        <v>8.3071393823137676</v>
      </c>
      <c r="O275" s="6">
        <v>19.960566581313511</v>
      </c>
      <c r="P275" s="6">
        <v>123.2783088709821</v>
      </c>
      <c r="Q275" s="6">
        <v>23.524350991683519</v>
      </c>
      <c r="R275" s="6">
        <v>17.02585531481262</v>
      </c>
      <c r="S275" s="6">
        <v>16.606515566367491</v>
      </c>
      <c r="T275" s="6">
        <v>20.246611625793982</v>
      </c>
      <c r="U275" s="6">
        <v>77.403333498657616</v>
      </c>
      <c r="V275" s="6">
        <v>200.68164236963969</v>
      </c>
      <c r="W275" s="6">
        <v>9.3617220483933661</v>
      </c>
      <c r="X275" s="6">
        <v>21.417681127373601</v>
      </c>
      <c r="Y275" s="6">
        <v>231.46104554540671</v>
      </c>
      <c r="Z275" s="6">
        <v>0</v>
      </c>
      <c r="AA275" s="6">
        <v>231.46104554540671</v>
      </c>
      <c r="AB275" s="6">
        <v>0</v>
      </c>
      <c r="AC275" s="6">
        <v>91.462326744590229</v>
      </c>
      <c r="AD275" s="6">
        <v>0</v>
      </c>
      <c r="AE275" s="6">
        <v>0</v>
      </c>
      <c r="AF275" s="6">
        <v>322.92337228999691</v>
      </c>
      <c r="AG275" s="6">
        <v>6.8058430099725884</v>
      </c>
      <c r="AH275" s="6">
        <v>0</v>
      </c>
      <c r="AI275" s="6">
        <v>47.844309568461497</v>
      </c>
      <c r="AJ275" s="6">
        <v>286.11119812384078</v>
      </c>
      <c r="AK275" s="6">
        <v>0</v>
      </c>
      <c r="AL275" s="6">
        <v>0</v>
      </c>
      <c r="AM275" s="6">
        <v>0</v>
      </c>
      <c r="AN275" s="6">
        <v>0</v>
      </c>
      <c r="AO275" s="6">
        <v>0</v>
      </c>
      <c r="AP275" s="6">
        <v>286.11119812384078</v>
      </c>
      <c r="AQ275" s="6">
        <v>419.99877815715359</v>
      </c>
      <c r="AR275" s="6">
        <v>111.089851</v>
      </c>
      <c r="AS275" s="6">
        <v>188.53773261174689</v>
      </c>
      <c r="AT275" s="6">
        <v>188.53773261174689</v>
      </c>
    </row>
    <row r="276" spans="1:46" x14ac:dyDescent="0.35">
      <c r="A276" s="5">
        <v>46022</v>
      </c>
      <c r="B276" s="4" t="s">
        <v>408</v>
      </c>
      <c r="C276" s="4" t="s">
        <v>409</v>
      </c>
      <c r="D276" s="4" t="s">
        <v>61</v>
      </c>
      <c r="E276" s="6">
        <v>300</v>
      </c>
      <c r="F276" s="7">
        <v>0.4</v>
      </c>
      <c r="G276" s="6">
        <v>90</v>
      </c>
      <c r="H276" s="6">
        <v>1.08</v>
      </c>
      <c r="I276" s="6">
        <v>97</v>
      </c>
      <c r="J276" s="6">
        <v>1.0476000000000001</v>
      </c>
      <c r="K276" s="8">
        <v>98.832260070882526</v>
      </c>
      <c r="L276" s="6">
        <v>54.463896051832542</v>
      </c>
      <c r="M276" s="6">
        <v>8.1154853231721678</v>
      </c>
      <c r="N276" s="6">
        <v>15.519872677590049</v>
      </c>
      <c r="O276" s="6">
        <v>42.911593406113809</v>
      </c>
      <c r="P276" s="6">
        <v>121.0108474587086</v>
      </c>
      <c r="Q276" s="6">
        <v>16.23095780855536</v>
      </c>
      <c r="R276" s="6">
        <v>23.42846419374585</v>
      </c>
      <c r="S276" s="6">
        <v>30.649938730940519</v>
      </c>
      <c r="T276" s="6">
        <v>26.715708437020389</v>
      </c>
      <c r="U276" s="6">
        <v>97.025069170262128</v>
      </c>
      <c r="V276" s="6">
        <v>218.03591662897071</v>
      </c>
      <c r="W276" s="6">
        <v>31.947701003772821</v>
      </c>
      <c r="X276" s="6">
        <v>24.761017878720779</v>
      </c>
      <c r="Y276" s="6">
        <v>274.74463551146431</v>
      </c>
      <c r="Z276" s="6">
        <v>45.052490887986423</v>
      </c>
      <c r="AA276" s="6">
        <v>319.79712639945069</v>
      </c>
      <c r="AB276" s="6">
        <v>0</v>
      </c>
      <c r="AC276" s="6">
        <v>9.0171987825307571</v>
      </c>
      <c r="AD276" s="6">
        <v>0</v>
      </c>
      <c r="AE276" s="6">
        <v>0</v>
      </c>
      <c r="AF276" s="6">
        <v>328.81432518198147</v>
      </c>
      <c r="AG276" s="6">
        <v>24.346443131727529</v>
      </c>
      <c r="AH276" s="6">
        <v>0</v>
      </c>
      <c r="AI276" s="6">
        <v>12.624078295543059</v>
      </c>
      <c r="AJ276" s="6">
        <v>356.76764782672132</v>
      </c>
      <c r="AK276" s="6">
        <v>0</v>
      </c>
      <c r="AL276" s="6">
        <v>0</v>
      </c>
      <c r="AM276" s="6">
        <v>0</v>
      </c>
      <c r="AN276" s="6">
        <v>0</v>
      </c>
      <c r="AO276" s="6">
        <v>0</v>
      </c>
      <c r="AP276" s="6">
        <v>356.76764782672132</v>
      </c>
      <c r="AQ276" s="6">
        <v>419.99999964779192</v>
      </c>
      <c r="AR276" s="6">
        <v>9.8188949999999995</v>
      </c>
      <c r="AS276" s="6">
        <v>145.25536413632761</v>
      </c>
      <c r="AT276" s="6">
        <v>100.20287324834121</v>
      </c>
    </row>
    <row r="277" spans="1:46" x14ac:dyDescent="0.35">
      <c r="A277" s="5">
        <v>46022</v>
      </c>
      <c r="B277" s="4" t="s">
        <v>410</v>
      </c>
      <c r="C277" s="4" t="s">
        <v>411</v>
      </c>
      <c r="D277" s="4" t="s">
        <v>61</v>
      </c>
      <c r="E277" s="6">
        <v>98.2</v>
      </c>
      <c r="F277" s="7">
        <v>1.3519000000000001</v>
      </c>
      <c r="G277" s="6">
        <v>90.22</v>
      </c>
      <c r="H277" s="6">
        <v>1.198</v>
      </c>
      <c r="I277" s="6">
        <v>94.004999999999995</v>
      </c>
      <c r="J277" s="6">
        <v>1.125896</v>
      </c>
      <c r="K277" s="8">
        <v>99.999999135023302</v>
      </c>
      <c r="L277" s="6">
        <v>16.43550984892563</v>
      </c>
      <c r="M277" s="6">
        <v>3.5389414135289621</v>
      </c>
      <c r="N277" s="6">
        <v>7.8686533316224301</v>
      </c>
      <c r="O277" s="6">
        <v>21.827122969295338</v>
      </c>
      <c r="P277" s="6">
        <v>49.670227563372357</v>
      </c>
      <c r="Q277" s="6">
        <v>4.0877345058272532</v>
      </c>
      <c r="R277" s="6">
        <v>4.5303153231417106</v>
      </c>
      <c r="S277" s="6">
        <v>10.660374161360981</v>
      </c>
      <c r="T277" s="6">
        <v>19.84723153113805</v>
      </c>
      <c r="U277" s="6">
        <v>39.125655521467998</v>
      </c>
      <c r="V277" s="6">
        <v>88.795883084840355</v>
      </c>
      <c r="W277" s="6">
        <v>9.4945580383297177</v>
      </c>
      <c r="X277" s="6">
        <v>29.038022660529919</v>
      </c>
      <c r="Y277" s="6">
        <v>127.3284637837</v>
      </c>
      <c r="Z277" s="6">
        <v>27.04144260015461</v>
      </c>
      <c r="AA277" s="6">
        <v>154.36990638385461</v>
      </c>
      <c r="AB277" s="6">
        <v>0</v>
      </c>
      <c r="AC277" s="6">
        <v>11.592879718764561</v>
      </c>
      <c r="AD277" s="6">
        <v>0</v>
      </c>
      <c r="AE277" s="6">
        <v>0</v>
      </c>
      <c r="AF277" s="6">
        <v>165.96278610261919</v>
      </c>
      <c r="AG277" s="6">
        <v>11.592879718764561</v>
      </c>
      <c r="AH277" s="6">
        <v>0</v>
      </c>
      <c r="AI277" s="6">
        <v>11.592879718764561</v>
      </c>
      <c r="AJ277" s="6">
        <v>177.55566582138371</v>
      </c>
      <c r="AK277" s="6">
        <v>0</v>
      </c>
      <c r="AL277" s="6">
        <v>0</v>
      </c>
      <c r="AM277" s="6">
        <v>0</v>
      </c>
      <c r="AN277" s="6">
        <v>0</v>
      </c>
      <c r="AO277" s="6">
        <v>0</v>
      </c>
      <c r="AP277" s="6">
        <v>177.55566582138371</v>
      </c>
      <c r="AQ277" s="6">
        <v>420.00149179271352</v>
      </c>
      <c r="AR277" s="6">
        <v>10.425174999999999</v>
      </c>
      <c r="AS277" s="6">
        <v>292.67302800901348</v>
      </c>
      <c r="AT277" s="6">
        <v>265.63158540885888</v>
      </c>
    </row>
    <row r="278" spans="1:46" x14ac:dyDescent="0.35">
      <c r="A278" s="5">
        <v>46022</v>
      </c>
      <c r="B278" s="4" t="s">
        <v>801</v>
      </c>
      <c r="C278" s="4" t="s">
        <v>802</v>
      </c>
      <c r="D278" s="4" t="s">
        <v>58</v>
      </c>
      <c r="E278" s="6">
        <v>42000</v>
      </c>
      <c r="F278" s="7">
        <v>0.61</v>
      </c>
      <c r="G278" s="6">
        <v>84</v>
      </c>
      <c r="H278" s="6">
        <v>215.208</v>
      </c>
      <c r="I278" s="6">
        <v>97</v>
      </c>
      <c r="J278" s="6">
        <v>208.75175999999999</v>
      </c>
      <c r="K278" s="8">
        <v>94.315347151200797</v>
      </c>
      <c r="L278" s="6">
        <v>20.391853150920848</v>
      </c>
      <c r="M278" s="6">
        <v>9.6774181465380948</v>
      </c>
      <c r="N278" s="6">
        <v>0.67965011187764146</v>
      </c>
      <c r="O278" s="6">
        <v>24.091436892937718</v>
      </c>
      <c r="P278" s="6">
        <v>54.840358302274311</v>
      </c>
      <c r="Q278" s="6">
        <v>16.80561902420396</v>
      </c>
      <c r="R278" s="6">
        <v>17.83071476296665</v>
      </c>
      <c r="S278" s="6">
        <v>43.574952413649619</v>
      </c>
      <c r="T278" s="6">
        <v>104.85359296541991</v>
      </c>
      <c r="U278" s="6">
        <v>183.0648791662401</v>
      </c>
      <c r="V278" s="6">
        <v>237.9052374685144</v>
      </c>
      <c r="W278" s="6">
        <v>19.179212442856429</v>
      </c>
      <c r="X278" s="6">
        <v>22.702879568225129</v>
      </c>
      <c r="Y278" s="6">
        <v>279.787329479596</v>
      </c>
      <c r="Z278" s="6">
        <v>3.77574467364866</v>
      </c>
      <c r="AA278" s="6">
        <v>283.5630741532446</v>
      </c>
      <c r="AB278" s="6">
        <v>0</v>
      </c>
      <c r="AC278" s="6">
        <v>117.22885073692289</v>
      </c>
      <c r="AD278" s="6">
        <v>0</v>
      </c>
      <c r="AE278" s="6">
        <v>0</v>
      </c>
      <c r="AF278" s="6">
        <v>400.79192489016748</v>
      </c>
      <c r="AG278" s="6">
        <v>10.846548547190819</v>
      </c>
      <c r="AH278" s="6">
        <v>0</v>
      </c>
      <c r="AI278" s="6">
        <v>57.382044178224717</v>
      </c>
      <c r="AJ278" s="6">
        <v>351.79166687866018</v>
      </c>
      <c r="AK278" s="6">
        <v>0</v>
      </c>
      <c r="AL278" s="6">
        <v>0</v>
      </c>
      <c r="AM278" s="6">
        <v>0</v>
      </c>
      <c r="AN278" s="6">
        <v>0</v>
      </c>
      <c r="AO278" s="6">
        <v>0</v>
      </c>
      <c r="AP278" s="6">
        <v>351.79166687866018</v>
      </c>
      <c r="AQ278" s="6">
        <v>420.0000801261553</v>
      </c>
      <c r="AR278" s="6">
        <v>2055.6904260000001</v>
      </c>
      <c r="AS278" s="6">
        <v>140.2127506465593</v>
      </c>
      <c r="AT278" s="6">
        <v>136.43700597291061</v>
      </c>
    </row>
    <row r="279" spans="1:46" x14ac:dyDescent="0.35">
      <c r="A279" s="5">
        <v>46022</v>
      </c>
      <c r="B279" s="4" t="s">
        <v>803</v>
      </c>
      <c r="C279" s="4" t="s">
        <v>804</v>
      </c>
      <c r="D279" s="4" t="s">
        <v>50</v>
      </c>
      <c r="E279" s="6">
        <v>39600</v>
      </c>
      <c r="F279" s="7">
        <v>1</v>
      </c>
      <c r="G279" s="6">
        <v>84</v>
      </c>
      <c r="H279" s="6">
        <v>332.64</v>
      </c>
      <c r="I279" s="6">
        <v>96.5</v>
      </c>
      <c r="J279" s="6">
        <v>320.99759999999998</v>
      </c>
      <c r="K279" s="8">
        <v>90.128683065348042</v>
      </c>
      <c r="L279" s="6">
        <v>13.231210935059099</v>
      </c>
      <c r="M279" s="6">
        <v>4.0449969156801773</v>
      </c>
      <c r="N279" s="6">
        <v>1.4202224034368029</v>
      </c>
      <c r="O279" s="6">
        <v>13.466994251109369</v>
      </c>
      <c r="P279" s="6">
        <v>32.163424505285448</v>
      </c>
      <c r="Q279" s="6">
        <v>8.5842859585759328</v>
      </c>
      <c r="R279" s="6">
        <v>7.2670747042124511</v>
      </c>
      <c r="S279" s="6">
        <v>24.882132497315951</v>
      </c>
      <c r="T279" s="6">
        <v>11.184963174845141</v>
      </c>
      <c r="U279" s="6">
        <v>51.918456334949482</v>
      </c>
      <c r="V279" s="6">
        <v>84.08188084023493</v>
      </c>
      <c r="W279" s="6">
        <v>15.08269786873282</v>
      </c>
      <c r="X279" s="6">
        <v>22.852179863232848</v>
      </c>
      <c r="Y279" s="6">
        <v>122.0167585722006</v>
      </c>
      <c r="Z279" s="6">
        <v>6.4694698290936099</v>
      </c>
      <c r="AA279" s="6">
        <v>128.4862284012942</v>
      </c>
      <c r="AB279" s="6">
        <v>0</v>
      </c>
      <c r="AC279" s="6">
        <v>84.395024646646803</v>
      </c>
      <c r="AD279" s="6">
        <v>0</v>
      </c>
      <c r="AE279" s="6">
        <v>0</v>
      </c>
      <c r="AF279" s="6">
        <v>212.88125304794099</v>
      </c>
      <c r="AG279" s="6">
        <v>8.2279758155707352</v>
      </c>
      <c r="AH279" s="6">
        <v>0</v>
      </c>
      <c r="AI279" s="6">
        <v>40.347084092366231</v>
      </c>
      <c r="AJ279" s="6">
        <v>177.0612883092312</v>
      </c>
      <c r="AK279" s="6">
        <v>0</v>
      </c>
      <c r="AL279" s="6">
        <v>0</v>
      </c>
      <c r="AM279" s="6">
        <v>0</v>
      </c>
      <c r="AN279" s="6">
        <v>0</v>
      </c>
      <c r="AO279" s="6">
        <v>0</v>
      </c>
      <c r="AP279" s="6">
        <v>177.0612883092312</v>
      </c>
      <c r="AQ279" s="6">
        <v>419.99999964779198</v>
      </c>
      <c r="AR279" s="6">
        <v>3288.3183159999999</v>
      </c>
      <c r="AS279" s="6">
        <v>297.98324107559142</v>
      </c>
      <c r="AT279" s="6">
        <v>291.51377124649781</v>
      </c>
    </row>
    <row r="280" spans="1:46" x14ac:dyDescent="0.35">
      <c r="A280" s="5">
        <v>46022</v>
      </c>
      <c r="B280" s="4" t="s">
        <v>805</v>
      </c>
      <c r="C280" s="4" t="s">
        <v>806</v>
      </c>
      <c r="D280" s="4" t="s">
        <v>61</v>
      </c>
      <c r="E280" s="6">
        <v>47619.047618999997</v>
      </c>
      <c r="F280" s="7">
        <v>0.42</v>
      </c>
      <c r="G280" s="6">
        <v>85</v>
      </c>
      <c r="H280" s="6">
        <v>170</v>
      </c>
      <c r="I280" s="6">
        <v>97</v>
      </c>
      <c r="J280" s="6">
        <v>164.9</v>
      </c>
      <c r="K280" s="8">
        <v>83.655457273242106</v>
      </c>
      <c r="L280" s="6">
        <v>9.5748418865515266</v>
      </c>
      <c r="M280" s="6">
        <v>9.2721568784063884</v>
      </c>
      <c r="N280" s="6">
        <v>4.03193568718227</v>
      </c>
      <c r="O280" s="6">
        <v>33.475660124109332</v>
      </c>
      <c r="P280" s="6">
        <v>56.354594576249518</v>
      </c>
      <c r="Q280" s="6">
        <v>13.289518802390131</v>
      </c>
      <c r="R280" s="6">
        <v>7.8154928101381396</v>
      </c>
      <c r="S280" s="6">
        <v>64.429763356522088</v>
      </c>
      <c r="T280" s="6">
        <v>17.650799622425829</v>
      </c>
      <c r="U280" s="6">
        <v>103.1855745914762</v>
      </c>
      <c r="V280" s="6">
        <v>159.54016916772571</v>
      </c>
      <c r="W280" s="6">
        <v>3.653636727953518</v>
      </c>
      <c r="X280" s="6">
        <v>17.012888197292259</v>
      </c>
      <c r="Y280" s="6">
        <v>180.2066940929715</v>
      </c>
      <c r="Z280" s="6">
        <v>16.805446963862622</v>
      </c>
      <c r="AA280" s="6">
        <v>197.01214105683411</v>
      </c>
      <c r="AB280" s="6">
        <v>0</v>
      </c>
      <c r="AC280" s="6">
        <v>8.998498861774717</v>
      </c>
      <c r="AD280" s="6">
        <v>0</v>
      </c>
      <c r="AE280" s="6">
        <v>0</v>
      </c>
      <c r="AF280" s="6">
        <v>206.0106399186088</v>
      </c>
      <c r="AG280" s="6">
        <v>10.00906332585093</v>
      </c>
      <c r="AH280" s="6">
        <v>0</v>
      </c>
      <c r="AI280" s="6">
        <v>11.88043313999257</v>
      </c>
      <c r="AJ280" s="6">
        <v>218.90163752267759</v>
      </c>
      <c r="AK280" s="6">
        <v>15.187395333206389</v>
      </c>
      <c r="AL280" s="6">
        <v>0</v>
      </c>
      <c r="AM280" s="6">
        <v>0</v>
      </c>
      <c r="AN280" s="6">
        <v>0</v>
      </c>
      <c r="AO280" s="6">
        <v>0</v>
      </c>
      <c r="AP280" s="6">
        <v>234.089032855884</v>
      </c>
      <c r="AQ280" s="6">
        <v>419.99999964779192</v>
      </c>
      <c r="AR280" s="6">
        <v>1825.7752640000001</v>
      </c>
      <c r="AS280" s="6">
        <v>239.79330555482039</v>
      </c>
      <c r="AT280" s="6">
        <v>222.98785859095781</v>
      </c>
    </row>
    <row r="281" spans="1:46" x14ac:dyDescent="0.35">
      <c r="A281" s="5">
        <v>46022</v>
      </c>
      <c r="B281" s="4" t="s">
        <v>621</v>
      </c>
      <c r="C281" s="4" t="s">
        <v>622</v>
      </c>
      <c r="D281" s="4" t="s">
        <v>58</v>
      </c>
      <c r="E281" s="6">
        <v>60000</v>
      </c>
      <c r="F281" s="7">
        <v>0.47</v>
      </c>
      <c r="G281" s="6">
        <v>59.89</v>
      </c>
      <c r="H281" s="6">
        <v>168.9</v>
      </c>
      <c r="I281" s="6">
        <v>100</v>
      </c>
      <c r="J281" s="6">
        <v>168.9</v>
      </c>
      <c r="K281" s="8">
        <v>100</v>
      </c>
      <c r="L281" s="6">
        <v>50.934217552116522</v>
      </c>
      <c r="M281" s="6">
        <v>22.252983857709051</v>
      </c>
      <c r="N281" s="6">
        <v>2.5740037641531082</v>
      </c>
      <c r="O281" s="6">
        <v>21.982472003088809</v>
      </c>
      <c r="P281" s="6">
        <v>97.743677177067497</v>
      </c>
      <c r="Q281" s="6">
        <v>16.584642233060389</v>
      </c>
      <c r="R281" s="6">
        <v>0.47526490064476018</v>
      </c>
      <c r="S281" s="6">
        <v>22.11291002209947</v>
      </c>
      <c r="T281" s="6">
        <v>5.1233862444213143</v>
      </c>
      <c r="U281" s="6">
        <v>44.296203400225927</v>
      </c>
      <c r="V281" s="6">
        <v>142.03988057729339</v>
      </c>
      <c r="W281" s="6">
        <v>6.8038855499999986</v>
      </c>
      <c r="X281" s="6">
        <v>0</v>
      </c>
      <c r="Y281" s="6">
        <v>148.84376612729341</v>
      </c>
      <c r="Z281" s="6">
        <v>21.820999822985829</v>
      </c>
      <c r="AA281" s="6">
        <v>170.66476595027919</v>
      </c>
      <c r="AB281" s="6">
        <v>0</v>
      </c>
      <c r="AC281" s="6">
        <v>41.208858757797159</v>
      </c>
      <c r="AD281" s="6">
        <v>0</v>
      </c>
      <c r="AE281" s="6">
        <v>0</v>
      </c>
      <c r="AF281" s="6">
        <v>211.87362470807639</v>
      </c>
      <c r="AG281" s="6">
        <v>14.770627247985431</v>
      </c>
      <c r="AH281" s="6">
        <v>0</v>
      </c>
      <c r="AI281" s="6">
        <v>17.90183258068561</v>
      </c>
      <c r="AJ281" s="6">
        <v>203.33722577895031</v>
      </c>
      <c r="AK281" s="6">
        <v>0</v>
      </c>
      <c r="AL281" s="6">
        <v>0</v>
      </c>
      <c r="AM281" s="6">
        <v>0</v>
      </c>
      <c r="AN281" s="6">
        <v>0</v>
      </c>
      <c r="AO281" s="6">
        <v>67.486971355328592</v>
      </c>
      <c r="AP281" s="6">
        <v>270.8241971342789</v>
      </c>
      <c r="AQ281" s="6">
        <v>419.99999964779192</v>
      </c>
      <c r="AR281" s="6">
        <v>1563.9151939999999</v>
      </c>
      <c r="AS281" s="6">
        <v>271.15623352049852</v>
      </c>
      <c r="AT281" s="6">
        <v>249.33523369751271</v>
      </c>
    </row>
    <row r="282" spans="1:46" x14ac:dyDescent="0.35">
      <c r="A282" s="5">
        <v>46022</v>
      </c>
      <c r="B282" s="4" t="s">
        <v>412</v>
      </c>
      <c r="C282" s="4" t="s">
        <v>413</v>
      </c>
      <c r="D282" s="4" t="s">
        <v>222</v>
      </c>
      <c r="E282" s="6">
        <v>1350</v>
      </c>
      <c r="F282" s="7">
        <v>0.69</v>
      </c>
      <c r="G282" s="6">
        <v>82</v>
      </c>
      <c r="H282" s="6">
        <v>7.6379999999999999</v>
      </c>
      <c r="I282" s="6">
        <v>98</v>
      </c>
      <c r="J282" s="6">
        <v>7.4855340000000004</v>
      </c>
      <c r="K282" s="8">
        <v>9.0125896164849326</v>
      </c>
      <c r="L282" s="6">
        <v>64.055344729427887</v>
      </c>
      <c r="M282" s="6">
        <v>5.1217498742041982</v>
      </c>
      <c r="N282" s="6">
        <v>8.7371864717346934</v>
      </c>
      <c r="O282" s="6">
        <v>122.4222645973533</v>
      </c>
      <c r="P282" s="6">
        <v>200.33654567272009</v>
      </c>
      <c r="Q282" s="6">
        <v>7.5511261454503718</v>
      </c>
      <c r="R282" s="6">
        <v>6.9657569505627359</v>
      </c>
      <c r="S282" s="6">
        <v>4.7816879646133357</v>
      </c>
      <c r="T282" s="6">
        <v>20.149052076394831</v>
      </c>
      <c r="U282" s="6">
        <v>39.447623137021267</v>
      </c>
      <c r="V282" s="6">
        <v>239.7841688097414</v>
      </c>
      <c r="W282" s="6">
        <v>22.174750497508992</v>
      </c>
      <c r="X282" s="6">
        <v>36.400050137851991</v>
      </c>
      <c r="Y282" s="6">
        <v>298.35896944510239</v>
      </c>
      <c r="Z282" s="6">
        <v>17.39009826098739</v>
      </c>
      <c r="AA282" s="6">
        <v>315.74906770608982</v>
      </c>
      <c r="AB282" s="6">
        <v>0</v>
      </c>
      <c r="AC282" s="6">
        <v>94.201919090881844</v>
      </c>
      <c r="AD282" s="6">
        <v>0</v>
      </c>
      <c r="AE282" s="6">
        <v>0</v>
      </c>
      <c r="AF282" s="6">
        <v>409.95098679697162</v>
      </c>
      <c r="AG282" s="6">
        <v>1.1807822133275181</v>
      </c>
      <c r="AH282" s="6">
        <v>0</v>
      </c>
      <c r="AI282" s="6">
        <v>24.816006148238529</v>
      </c>
      <c r="AJ282" s="6">
        <v>341.74585606765578</v>
      </c>
      <c r="AK282" s="6">
        <v>0</v>
      </c>
      <c r="AL282" s="6">
        <v>0</v>
      </c>
      <c r="AM282" s="6">
        <v>0</v>
      </c>
      <c r="AN282" s="6">
        <v>0</v>
      </c>
      <c r="AO282" s="6">
        <v>0</v>
      </c>
      <c r="AP282" s="6">
        <v>341.74585606765578</v>
      </c>
      <c r="AQ282" s="6">
        <v>419.99809196826118</v>
      </c>
      <c r="AR282" s="6">
        <v>800.76637200000005</v>
      </c>
      <c r="AS282" s="6">
        <v>121.6391225231589</v>
      </c>
      <c r="AT282" s="6">
        <v>104.2490242621715</v>
      </c>
    </row>
    <row r="283" spans="1:46" x14ac:dyDescent="0.35">
      <c r="A283" s="5">
        <v>46022</v>
      </c>
      <c r="B283" s="4" t="s">
        <v>807</v>
      </c>
      <c r="C283" s="4" t="s">
        <v>808</v>
      </c>
      <c r="D283" s="4" t="s">
        <v>79</v>
      </c>
      <c r="E283" s="6">
        <v>8150</v>
      </c>
      <c r="F283" s="7">
        <v>0.46800000000000003</v>
      </c>
      <c r="G283" s="6">
        <v>90</v>
      </c>
      <c r="H283" s="6">
        <v>34.328000000000003</v>
      </c>
      <c r="I283" s="6">
        <v>97</v>
      </c>
      <c r="J283" s="6">
        <v>33.297966000000002</v>
      </c>
      <c r="K283" s="8">
        <v>98.260866372666129</v>
      </c>
      <c r="L283" s="6">
        <v>36.995147137021512</v>
      </c>
      <c r="M283" s="6">
        <v>12.331777530190941</v>
      </c>
      <c r="N283" s="6">
        <v>1.192029973597369</v>
      </c>
      <c r="O283" s="6">
        <v>50.155214772505097</v>
      </c>
      <c r="P283" s="6">
        <v>100.6741694133149</v>
      </c>
      <c r="Q283" s="6">
        <v>26.740863924684842</v>
      </c>
      <c r="R283" s="6">
        <v>22.4604105070019</v>
      </c>
      <c r="S283" s="6">
        <v>37.134008210819637</v>
      </c>
      <c r="T283" s="6">
        <v>113.8510151406754</v>
      </c>
      <c r="U283" s="6">
        <v>200.1862977831818</v>
      </c>
      <c r="V283" s="6">
        <v>300.8604671964967</v>
      </c>
      <c r="W283" s="6">
        <v>14.11027904069009</v>
      </c>
      <c r="X283" s="6">
        <v>23.489887789525671</v>
      </c>
      <c r="Y283" s="6">
        <v>338.46063402671251</v>
      </c>
      <c r="Z283" s="6">
        <v>0</v>
      </c>
      <c r="AA283" s="6">
        <v>338.46063402671251</v>
      </c>
      <c r="AB283" s="6">
        <v>0</v>
      </c>
      <c r="AC283" s="6">
        <v>32.19308924274312</v>
      </c>
      <c r="AD283" s="6">
        <v>0</v>
      </c>
      <c r="AE283" s="6">
        <v>0</v>
      </c>
      <c r="AF283" s="6">
        <v>370.65372326945561</v>
      </c>
      <c r="AG283" s="6">
        <v>12.86744374958832</v>
      </c>
      <c r="AH283" s="6">
        <v>0</v>
      </c>
      <c r="AI283" s="6">
        <v>31.877065482286071</v>
      </c>
      <c r="AJ283" s="6">
        <v>383.20514325858687</v>
      </c>
      <c r="AK283" s="6">
        <v>0</v>
      </c>
      <c r="AL283" s="6">
        <v>0</v>
      </c>
      <c r="AM283" s="6">
        <v>0</v>
      </c>
      <c r="AN283" s="6">
        <v>0</v>
      </c>
      <c r="AO283" s="6">
        <v>0</v>
      </c>
      <c r="AP283" s="6">
        <v>383.20514325858687</v>
      </c>
      <c r="AQ283" s="6">
        <v>420.00042850281528</v>
      </c>
      <c r="AR283" s="6">
        <v>313.86951199999999</v>
      </c>
      <c r="AS283" s="6">
        <v>81.539794476102813</v>
      </c>
      <c r="AT283" s="6">
        <v>81.539794476102813</v>
      </c>
    </row>
    <row r="284" spans="1:46" x14ac:dyDescent="0.35">
      <c r="A284" s="5">
        <v>46022</v>
      </c>
      <c r="B284" s="4" t="s">
        <v>623</v>
      </c>
      <c r="C284" s="4" t="s">
        <v>624</v>
      </c>
      <c r="D284" s="4" t="s">
        <v>79</v>
      </c>
      <c r="E284" s="6">
        <v>5762.5176869999996</v>
      </c>
      <c r="F284" s="7">
        <v>0.22020000000000001</v>
      </c>
      <c r="G284" s="6">
        <v>63.84</v>
      </c>
      <c r="H284" s="6">
        <v>8.1</v>
      </c>
      <c r="I284" s="6">
        <v>100</v>
      </c>
      <c r="J284" s="6">
        <v>8.1</v>
      </c>
      <c r="K284" s="8">
        <v>99.99999971832257</v>
      </c>
      <c r="L284" s="6">
        <v>0</v>
      </c>
      <c r="M284" s="6">
        <v>0</v>
      </c>
      <c r="N284" s="6">
        <v>0</v>
      </c>
      <c r="O284" s="6">
        <v>0</v>
      </c>
      <c r="P284" s="6">
        <v>0</v>
      </c>
      <c r="Q284" s="6">
        <v>75.072024485499057</v>
      </c>
      <c r="R284" s="6">
        <v>19.97266092168811</v>
      </c>
      <c r="S284" s="6">
        <v>17.565739268215879</v>
      </c>
      <c r="T284" s="6">
        <v>89.579577918197643</v>
      </c>
      <c r="U284" s="6">
        <v>202.1900025936007</v>
      </c>
      <c r="V284" s="6">
        <v>202.1900025936007</v>
      </c>
      <c r="W284" s="6">
        <v>4.6658224850173857</v>
      </c>
      <c r="X284" s="6">
        <v>0</v>
      </c>
      <c r="Y284" s="6">
        <v>206.8558250786181</v>
      </c>
      <c r="Z284" s="6">
        <v>0</v>
      </c>
      <c r="AA284" s="6">
        <v>206.8558250786181</v>
      </c>
      <c r="AB284" s="6">
        <v>0</v>
      </c>
      <c r="AC284" s="6">
        <v>23.83784381718867</v>
      </c>
      <c r="AD284" s="6">
        <v>0</v>
      </c>
      <c r="AE284" s="6">
        <v>0</v>
      </c>
      <c r="AF284" s="6">
        <v>230.6936688958067</v>
      </c>
      <c r="AG284" s="6">
        <v>12.74476438936418</v>
      </c>
      <c r="AH284" s="6">
        <v>0</v>
      </c>
      <c r="AI284" s="6">
        <v>21.990250380314752</v>
      </c>
      <c r="AJ284" s="6">
        <v>241.59083984829701</v>
      </c>
      <c r="AK284" s="6">
        <v>0</v>
      </c>
      <c r="AL284" s="6">
        <v>0</v>
      </c>
      <c r="AM284" s="6">
        <v>0</v>
      </c>
      <c r="AN284" s="6">
        <v>0</v>
      </c>
      <c r="AO284" s="6">
        <v>0</v>
      </c>
      <c r="AP284" s="6">
        <v>241.59083984829701</v>
      </c>
      <c r="AQ284" s="6">
        <v>419.99999964779198</v>
      </c>
      <c r="AR284" s="6">
        <v>75.001261999999997</v>
      </c>
      <c r="AS284" s="6">
        <v>213.14417456917391</v>
      </c>
      <c r="AT284" s="6">
        <v>213.14417456917391</v>
      </c>
    </row>
    <row r="285" spans="1:46" x14ac:dyDescent="0.35">
      <c r="A285" s="5">
        <v>46022</v>
      </c>
      <c r="B285" s="4" t="s">
        <v>458</v>
      </c>
      <c r="C285" s="4" t="s">
        <v>459</v>
      </c>
      <c r="D285" s="4" t="s">
        <v>222</v>
      </c>
      <c r="E285" s="6">
        <v>9000</v>
      </c>
      <c r="F285" s="7">
        <v>0.55530000000000002</v>
      </c>
      <c r="G285" s="6">
        <v>80.03</v>
      </c>
      <c r="H285" s="6">
        <v>40</v>
      </c>
      <c r="I285" s="6">
        <v>95.361780999999993</v>
      </c>
      <c r="J285" s="6">
        <v>38.144711999999998</v>
      </c>
      <c r="K285" s="8">
        <v>63.449608487532203</v>
      </c>
      <c r="L285" s="6">
        <v>57.54760327857128</v>
      </c>
      <c r="M285" s="6">
        <v>20.402428214024479</v>
      </c>
      <c r="N285" s="6">
        <v>2.9339719951145198</v>
      </c>
      <c r="O285" s="6">
        <v>39.655758309495511</v>
      </c>
      <c r="P285" s="6">
        <v>120.5397617972058</v>
      </c>
      <c r="Q285" s="6">
        <v>40.309196202854856</v>
      </c>
      <c r="R285" s="6">
        <v>14.710820375588639</v>
      </c>
      <c r="S285" s="6">
        <v>17.697805938827369</v>
      </c>
      <c r="T285" s="6">
        <v>46.370085950056009</v>
      </c>
      <c r="U285" s="6">
        <v>119.0879084673269</v>
      </c>
      <c r="V285" s="6">
        <v>239.6276702645327</v>
      </c>
      <c r="W285" s="6">
        <v>33.613504471005157</v>
      </c>
      <c r="X285" s="6">
        <v>3.7635768899153161</v>
      </c>
      <c r="Y285" s="6">
        <v>277.0047516254532</v>
      </c>
      <c r="Z285" s="6">
        <v>7.9581506084602838</v>
      </c>
      <c r="AA285" s="6">
        <v>284.9629022339135</v>
      </c>
      <c r="AB285" s="6">
        <v>1.904353027469921</v>
      </c>
      <c r="AC285" s="6">
        <v>97.498144732147765</v>
      </c>
      <c r="AD285" s="6">
        <v>0</v>
      </c>
      <c r="AE285" s="6">
        <v>0</v>
      </c>
      <c r="AF285" s="6">
        <v>384.36539999353113</v>
      </c>
      <c r="AG285" s="6">
        <v>4.2390482947635446</v>
      </c>
      <c r="AH285" s="6">
        <v>0</v>
      </c>
      <c r="AI285" s="6">
        <v>75.450190845927125</v>
      </c>
      <c r="AJ285" s="6">
        <v>366.55649440207401</v>
      </c>
      <c r="AK285" s="6">
        <v>129.3431852773775</v>
      </c>
      <c r="AL285" s="6">
        <v>0</v>
      </c>
      <c r="AM285" s="6">
        <v>0</v>
      </c>
      <c r="AN285" s="6">
        <v>0</v>
      </c>
      <c r="AO285" s="6">
        <v>0</v>
      </c>
      <c r="AP285" s="6">
        <v>495.89967967945159</v>
      </c>
      <c r="AQ285" s="6">
        <v>419.99986751938587</v>
      </c>
      <c r="AR285" s="6">
        <v>556.02358400000003</v>
      </c>
      <c r="AS285" s="6">
        <v>142.99511589393271</v>
      </c>
      <c r="AT285" s="6">
        <v>135.03696528547249</v>
      </c>
    </row>
    <row r="286" spans="1:46" x14ac:dyDescent="0.35">
      <c r="A286" s="5">
        <v>46022</v>
      </c>
      <c r="B286" s="4" t="s">
        <v>809</v>
      </c>
      <c r="C286" s="4" t="s">
        <v>810</v>
      </c>
      <c r="D286" s="4" t="s">
        <v>79</v>
      </c>
      <c r="E286" s="6">
        <v>14000</v>
      </c>
      <c r="F286" s="7">
        <v>0.41139999999999999</v>
      </c>
      <c r="G286" s="6">
        <v>80</v>
      </c>
      <c r="H286" s="6">
        <v>46.073</v>
      </c>
      <c r="I286" s="6">
        <v>95</v>
      </c>
      <c r="J286" s="6">
        <v>43.769230999999998</v>
      </c>
      <c r="K286" s="8">
        <v>79.045148800169983</v>
      </c>
      <c r="L286" s="6">
        <v>19.379752986761162</v>
      </c>
      <c r="M286" s="6">
        <v>8.2249811665699468</v>
      </c>
      <c r="N286" s="6">
        <v>0.93774219144982485</v>
      </c>
      <c r="O286" s="6">
        <v>40.085267552819637</v>
      </c>
      <c r="P286" s="6">
        <v>68.627743897600567</v>
      </c>
      <c r="Q286" s="6">
        <v>12.793767824631241</v>
      </c>
      <c r="R286" s="6">
        <v>19.222224042164811</v>
      </c>
      <c r="S286" s="6">
        <v>15.76394992720914</v>
      </c>
      <c r="T286" s="6">
        <v>28.31948618762226</v>
      </c>
      <c r="U286" s="6">
        <v>76.099427981627443</v>
      </c>
      <c r="V286" s="6">
        <v>144.727171879228</v>
      </c>
      <c r="W286" s="6">
        <v>24.250420413798931</v>
      </c>
      <c r="X286" s="6">
        <v>21.243649784759771</v>
      </c>
      <c r="Y286" s="6">
        <v>190.22124207778671</v>
      </c>
      <c r="Z286" s="6">
        <v>11.687864326839771</v>
      </c>
      <c r="AA286" s="6">
        <v>201.9091064046265</v>
      </c>
      <c r="AB286" s="6">
        <v>0</v>
      </c>
      <c r="AC286" s="6">
        <v>109.0751353550922</v>
      </c>
      <c r="AD286" s="6">
        <v>0</v>
      </c>
      <c r="AE286" s="6">
        <v>0</v>
      </c>
      <c r="AF286" s="6">
        <v>310.98424175971871</v>
      </c>
      <c r="AG286" s="6">
        <v>3.9651512475466451</v>
      </c>
      <c r="AH286" s="6">
        <v>0</v>
      </c>
      <c r="AI286" s="6">
        <v>81.916622350952963</v>
      </c>
      <c r="AJ286" s="6">
        <v>287.79088000312612</v>
      </c>
      <c r="AK286" s="6">
        <v>0</v>
      </c>
      <c r="AL286" s="6">
        <v>0</v>
      </c>
      <c r="AM286" s="6">
        <v>0</v>
      </c>
      <c r="AN286" s="6">
        <v>0</v>
      </c>
      <c r="AO286" s="6">
        <v>0</v>
      </c>
      <c r="AP286" s="6">
        <v>287.79088000312612</v>
      </c>
      <c r="AQ286" s="6">
        <v>419.99970217854951</v>
      </c>
      <c r="AR286" s="6">
        <v>510.52210200000002</v>
      </c>
      <c r="AS286" s="6">
        <v>229.7784601007628</v>
      </c>
      <c r="AT286" s="6">
        <v>218.09059577392301</v>
      </c>
    </row>
    <row r="287" spans="1:46" x14ac:dyDescent="0.35">
      <c r="A287" s="5">
        <v>46022</v>
      </c>
      <c r="B287" s="4" t="s">
        <v>625</v>
      </c>
      <c r="C287" s="4" t="s">
        <v>626</v>
      </c>
      <c r="D287" s="4" t="s">
        <v>89</v>
      </c>
      <c r="E287" s="6">
        <v>918</v>
      </c>
      <c r="F287" s="7">
        <v>0.18</v>
      </c>
      <c r="G287" s="6">
        <v>68.2</v>
      </c>
      <c r="H287" s="6">
        <v>1.127</v>
      </c>
      <c r="I287" s="6">
        <v>97</v>
      </c>
      <c r="J287" s="6">
        <v>1.093129</v>
      </c>
      <c r="K287" s="8">
        <v>3.556140853364445</v>
      </c>
      <c r="L287" s="6">
        <v>107.02230294030321</v>
      </c>
      <c r="M287" s="6">
        <v>2.2311325918270439</v>
      </c>
      <c r="N287" s="6">
        <v>1.77524902135234</v>
      </c>
      <c r="O287" s="6">
        <v>43.117755571945573</v>
      </c>
      <c r="P287" s="6">
        <v>154.1464401254282</v>
      </c>
      <c r="Q287" s="6">
        <v>28.13248828961034</v>
      </c>
      <c r="R287" s="6">
        <v>6.5500334252307324</v>
      </c>
      <c r="S287" s="6">
        <v>4.621036927745295</v>
      </c>
      <c r="T287" s="6">
        <v>25.2568202800575</v>
      </c>
      <c r="U287" s="6">
        <v>64.560378922643864</v>
      </c>
      <c r="V287" s="6">
        <v>218.70681904807199</v>
      </c>
      <c r="W287" s="6">
        <v>2.1406185044721751</v>
      </c>
      <c r="X287" s="6">
        <v>10.31656033440464</v>
      </c>
      <c r="Y287" s="6">
        <v>231.16399788694889</v>
      </c>
      <c r="Z287" s="6">
        <v>5.8507890953146058</v>
      </c>
      <c r="AA287" s="6">
        <v>237.0147869822635</v>
      </c>
      <c r="AB287" s="6">
        <v>0</v>
      </c>
      <c r="AC287" s="6">
        <v>21.576726196492078</v>
      </c>
      <c r="AD287" s="6">
        <v>0</v>
      </c>
      <c r="AE287" s="6">
        <v>0</v>
      </c>
      <c r="AF287" s="6">
        <v>258.59151317875552</v>
      </c>
      <c r="AG287" s="6">
        <v>2.5767315164290969</v>
      </c>
      <c r="AH287" s="6">
        <v>0</v>
      </c>
      <c r="AI287" s="6">
        <v>17.81859814689944</v>
      </c>
      <c r="AJ287" s="6">
        <v>257.41011664559198</v>
      </c>
      <c r="AK287" s="6">
        <v>0</v>
      </c>
      <c r="AL287" s="6">
        <v>0</v>
      </c>
      <c r="AM287" s="6">
        <v>0</v>
      </c>
      <c r="AN287" s="6">
        <v>0</v>
      </c>
      <c r="AO287" s="6">
        <v>0</v>
      </c>
      <c r="AP287" s="6">
        <v>257.41011664559198</v>
      </c>
      <c r="AQ287" s="6">
        <v>419.98885732150683</v>
      </c>
      <c r="AR287" s="6">
        <v>305.46215999999998</v>
      </c>
      <c r="AS287" s="6">
        <v>188.82485943455791</v>
      </c>
      <c r="AT287" s="6">
        <v>182.9740703392433</v>
      </c>
    </row>
    <row r="288" spans="1:46" x14ac:dyDescent="0.35">
      <c r="A288" s="5">
        <v>46022</v>
      </c>
      <c r="B288" s="4" t="s">
        <v>627</v>
      </c>
      <c r="C288" s="4" t="s">
        <v>628</v>
      </c>
      <c r="D288" s="4" t="s">
        <v>213</v>
      </c>
      <c r="E288" s="6">
        <v>1500</v>
      </c>
      <c r="F288" s="7">
        <v>2.15</v>
      </c>
      <c r="G288" s="6">
        <v>82.5</v>
      </c>
      <c r="H288" s="6">
        <v>26.606000000000002</v>
      </c>
      <c r="I288" s="6">
        <v>100</v>
      </c>
      <c r="J288" s="6">
        <v>26.606249999999999</v>
      </c>
      <c r="K288" s="8">
        <v>87.2383147207196</v>
      </c>
      <c r="L288" s="6">
        <v>25.276331101543729</v>
      </c>
      <c r="M288" s="6">
        <v>18.763028181310851</v>
      </c>
      <c r="N288" s="6">
        <v>0.93353009443924906</v>
      </c>
      <c r="O288" s="6">
        <v>12.42308869801219</v>
      </c>
      <c r="P288" s="6">
        <v>57.395978075306012</v>
      </c>
      <c r="Q288" s="6">
        <v>17.579851168242239</v>
      </c>
      <c r="R288" s="6">
        <v>53.108201227022853</v>
      </c>
      <c r="S288" s="6">
        <v>17.94526854365019</v>
      </c>
      <c r="T288" s="6">
        <v>7.9775848087473422</v>
      </c>
      <c r="U288" s="6">
        <v>96.610905747662628</v>
      </c>
      <c r="V288" s="6">
        <v>154.0068838229686</v>
      </c>
      <c r="W288" s="6">
        <v>20.989378218801029</v>
      </c>
      <c r="X288" s="6">
        <v>0</v>
      </c>
      <c r="Y288" s="6">
        <v>174.99626204176971</v>
      </c>
      <c r="Z288" s="6">
        <v>28.049801365405891</v>
      </c>
      <c r="AA288" s="6">
        <v>203.04606340717561</v>
      </c>
      <c r="AB288" s="6">
        <v>0</v>
      </c>
      <c r="AC288" s="6">
        <v>34.633941071407101</v>
      </c>
      <c r="AD288" s="6">
        <v>0</v>
      </c>
      <c r="AE288" s="6">
        <v>0</v>
      </c>
      <c r="AF288" s="6">
        <v>237.6800044785827</v>
      </c>
      <c r="AG288" s="6">
        <v>9.6672436270813868</v>
      </c>
      <c r="AH288" s="6">
        <v>0</v>
      </c>
      <c r="AI288" s="6">
        <v>1.635994457563837</v>
      </c>
      <c r="AJ288" s="6">
        <v>214.3493014918208</v>
      </c>
      <c r="AK288" s="6">
        <v>0</v>
      </c>
      <c r="AL288" s="6">
        <v>0</v>
      </c>
      <c r="AM288" s="6">
        <v>0</v>
      </c>
      <c r="AN288" s="6">
        <v>0</v>
      </c>
      <c r="AO288" s="6">
        <v>0</v>
      </c>
      <c r="AP288" s="6">
        <v>214.3493014918208</v>
      </c>
      <c r="AQ288" s="6">
        <v>419.99921035956152</v>
      </c>
      <c r="AR288" s="6">
        <v>282.61290200000002</v>
      </c>
      <c r="AS288" s="6">
        <v>245.00294831779181</v>
      </c>
      <c r="AT288" s="6">
        <v>216.95314695238591</v>
      </c>
    </row>
    <row r="289" spans="1:46" x14ac:dyDescent="0.35">
      <c r="A289" s="5">
        <v>46022</v>
      </c>
      <c r="B289" s="4" t="s">
        <v>811</v>
      </c>
      <c r="C289" s="4" t="s">
        <v>812</v>
      </c>
      <c r="D289" s="4" t="s">
        <v>86</v>
      </c>
      <c r="E289" s="6">
        <v>1500</v>
      </c>
      <c r="F289" s="7">
        <v>1.5829</v>
      </c>
      <c r="G289" s="6">
        <v>67.39</v>
      </c>
      <c r="H289" s="6">
        <v>16</v>
      </c>
      <c r="I289" s="6">
        <v>94.358974000000003</v>
      </c>
      <c r="J289" s="6">
        <v>15.097436</v>
      </c>
      <c r="K289" s="8">
        <v>17.918764780816321</v>
      </c>
      <c r="L289" s="6">
        <v>13.76897425781687</v>
      </c>
      <c r="M289" s="6">
        <v>8.3737715953698793</v>
      </c>
      <c r="N289" s="6">
        <v>1.638072159589725</v>
      </c>
      <c r="O289" s="6">
        <v>21.94997167630714</v>
      </c>
      <c r="P289" s="6">
        <v>45.730789689083622</v>
      </c>
      <c r="Q289" s="6">
        <v>1.1189662409113319</v>
      </c>
      <c r="R289" s="6">
        <v>1.9662305477304509</v>
      </c>
      <c r="S289" s="6">
        <v>1.9260895502215329</v>
      </c>
      <c r="T289" s="6">
        <v>5.779647922084596</v>
      </c>
      <c r="U289" s="6">
        <v>10.79093426094791</v>
      </c>
      <c r="V289" s="6">
        <v>56.521723950031529</v>
      </c>
      <c r="W289" s="6">
        <v>16.191763132316812</v>
      </c>
      <c r="X289" s="6">
        <v>24.57124612192348</v>
      </c>
      <c r="Y289" s="6">
        <v>97.284733204271816</v>
      </c>
      <c r="Z289" s="6">
        <v>26.639499044720051</v>
      </c>
      <c r="AA289" s="6">
        <v>123.9242322489919</v>
      </c>
      <c r="AB289" s="6">
        <v>0</v>
      </c>
      <c r="AC289" s="6">
        <v>37.568722528572017</v>
      </c>
      <c r="AD289" s="6">
        <v>0</v>
      </c>
      <c r="AE289" s="6">
        <v>0</v>
      </c>
      <c r="AF289" s="6">
        <v>161.49295477756391</v>
      </c>
      <c r="AG289" s="6">
        <v>10.97537789686224</v>
      </c>
      <c r="AH289" s="6">
        <v>0</v>
      </c>
      <c r="AI289" s="6">
        <v>19.952763241608</v>
      </c>
      <c r="AJ289" s="6">
        <v>154.85237338746211</v>
      </c>
      <c r="AK289" s="6">
        <v>15.25452629307034</v>
      </c>
      <c r="AL289" s="6">
        <v>0</v>
      </c>
      <c r="AM289" s="6">
        <v>0</v>
      </c>
      <c r="AN289" s="6">
        <v>0</v>
      </c>
      <c r="AO289" s="6">
        <v>0</v>
      </c>
      <c r="AP289" s="6">
        <v>170.10689968053251</v>
      </c>
      <c r="AQ289" s="6">
        <v>419.99899815323442</v>
      </c>
      <c r="AR289" s="6">
        <v>824.71569</v>
      </c>
      <c r="AS289" s="6">
        <v>322.71426494896252</v>
      </c>
      <c r="AT289" s="6">
        <v>296.0747659042425</v>
      </c>
    </row>
    <row r="290" spans="1:46" x14ac:dyDescent="0.35">
      <c r="A290" s="5">
        <v>46022</v>
      </c>
      <c r="B290" s="4" t="s">
        <v>813</v>
      </c>
      <c r="C290" s="4" t="s">
        <v>814</v>
      </c>
      <c r="D290" s="4" t="s">
        <v>105</v>
      </c>
      <c r="E290" s="6">
        <v>7200</v>
      </c>
      <c r="F290" s="7">
        <v>3.3000000000000002E-2</v>
      </c>
      <c r="G290" s="6">
        <v>58.92</v>
      </c>
      <c r="H290" s="6">
        <v>1.4</v>
      </c>
      <c r="I290" s="6">
        <v>100</v>
      </c>
      <c r="J290" s="6">
        <v>1.4</v>
      </c>
      <c r="K290" s="8">
        <v>1.129819359078241</v>
      </c>
      <c r="L290" s="6">
        <v>72.926226539375065</v>
      </c>
      <c r="M290" s="6">
        <v>0.48143419299343759</v>
      </c>
      <c r="N290" s="6">
        <v>19.24554706151115</v>
      </c>
      <c r="O290" s="6">
        <v>116.73177790583991</v>
      </c>
      <c r="P290" s="6">
        <v>209.38498569971949</v>
      </c>
      <c r="Q290" s="6">
        <v>29.262472995259461</v>
      </c>
      <c r="R290" s="6">
        <v>4.5698348431300762</v>
      </c>
      <c r="S290" s="6">
        <v>36.70479367735075</v>
      </c>
      <c r="T290" s="6">
        <v>11.56009507491081</v>
      </c>
      <c r="U290" s="6">
        <v>82.097196590651095</v>
      </c>
      <c r="V290" s="6">
        <v>291.48218229037059</v>
      </c>
      <c r="W290" s="6">
        <v>0.30915567680820721</v>
      </c>
      <c r="X290" s="6">
        <v>126.092501</v>
      </c>
      <c r="Y290" s="6">
        <v>417.8838389671788</v>
      </c>
      <c r="Z290" s="6">
        <v>1.611311627979757</v>
      </c>
      <c r="AA290" s="6">
        <v>419.49515059515858</v>
      </c>
      <c r="AB290" s="6">
        <v>0</v>
      </c>
      <c r="AC290" s="6">
        <v>41.254318600237283</v>
      </c>
      <c r="AD290" s="6">
        <v>0</v>
      </c>
      <c r="AE290" s="6">
        <v>0</v>
      </c>
      <c r="AF290" s="6">
        <v>460.74946919539587</v>
      </c>
      <c r="AG290" s="6">
        <v>16.643518409888621</v>
      </c>
      <c r="AH290" s="6">
        <v>0.31066323889789282</v>
      </c>
      <c r="AI290" s="6">
        <v>38.557492750156428</v>
      </c>
      <c r="AJ290" s="6">
        <v>475.00682499410152</v>
      </c>
      <c r="AK290" s="6">
        <v>0</v>
      </c>
      <c r="AL290" s="6">
        <v>0</v>
      </c>
      <c r="AM290" s="6">
        <v>0</v>
      </c>
      <c r="AN290" s="6">
        <v>0</v>
      </c>
      <c r="AO290" s="6">
        <v>0</v>
      </c>
      <c r="AP290" s="6">
        <v>475.00682499410152</v>
      </c>
      <c r="AQ290" s="6">
        <v>419.99999964779198</v>
      </c>
      <c r="AR290" s="6">
        <v>876.31293300000004</v>
      </c>
      <c r="AS290" s="6">
        <v>2.116160680613127</v>
      </c>
      <c r="AT290" s="6">
        <v>0.50484905263336999</v>
      </c>
    </row>
    <row r="291" spans="1:46" x14ac:dyDescent="0.35">
      <c r="A291" s="5">
        <v>46022</v>
      </c>
      <c r="B291" s="4" t="s">
        <v>475</v>
      </c>
      <c r="C291" s="4" t="s">
        <v>476</v>
      </c>
      <c r="D291" s="4" t="s">
        <v>111</v>
      </c>
      <c r="E291" s="6">
        <v>1250</v>
      </c>
      <c r="F291" s="7">
        <v>0.28000000000000003</v>
      </c>
      <c r="G291" s="6">
        <v>60</v>
      </c>
      <c r="H291" s="6">
        <v>2.1</v>
      </c>
      <c r="I291" s="6">
        <v>97</v>
      </c>
      <c r="J291" s="6">
        <v>2.0369999999999999</v>
      </c>
      <c r="K291" s="8">
        <v>14.656534612045085</v>
      </c>
      <c r="L291" s="6">
        <v>144.78461427641011</v>
      </c>
      <c r="M291" s="6">
        <v>31.522760104931312</v>
      </c>
      <c r="N291" s="6">
        <v>13.56874979708982</v>
      </c>
      <c r="O291" s="6">
        <v>64.742619552285248</v>
      </c>
      <c r="P291" s="6">
        <v>254.61874373071649</v>
      </c>
      <c r="Q291" s="6">
        <v>12.71995943034343</v>
      </c>
      <c r="R291" s="6">
        <v>9.3032087977366125</v>
      </c>
      <c r="S291" s="6">
        <v>26.19730203829695</v>
      </c>
      <c r="T291" s="6">
        <v>19.59501535183405</v>
      </c>
      <c r="U291" s="6">
        <v>67.815485618211042</v>
      </c>
      <c r="V291" s="6">
        <v>322.43422934892749</v>
      </c>
      <c r="W291" s="6">
        <v>8.089558735171309</v>
      </c>
      <c r="X291" s="6">
        <v>17.315845652628362</v>
      </c>
      <c r="Y291" s="6">
        <v>347.83963373672719</v>
      </c>
      <c r="Z291" s="6">
        <v>5.7720055958701009</v>
      </c>
      <c r="AA291" s="6">
        <v>353.61163933259729</v>
      </c>
      <c r="AB291" s="6">
        <v>0</v>
      </c>
      <c r="AC291" s="6">
        <v>40.930320616089212</v>
      </c>
      <c r="AD291" s="6">
        <v>0</v>
      </c>
      <c r="AE291" s="6">
        <v>0</v>
      </c>
      <c r="AF291" s="6">
        <v>394.5419599486865</v>
      </c>
      <c r="AG291" s="6">
        <v>11.34572663092824</v>
      </c>
      <c r="AH291" s="6">
        <v>0</v>
      </c>
      <c r="AI291" s="6">
        <v>35.172936451543329</v>
      </c>
      <c r="AJ291" s="6">
        <v>400.13030241506891</v>
      </c>
      <c r="AK291" s="6">
        <v>0</v>
      </c>
      <c r="AL291" s="6">
        <v>0</v>
      </c>
      <c r="AM291" s="6">
        <v>0</v>
      </c>
      <c r="AN291" s="6">
        <v>0</v>
      </c>
      <c r="AO291" s="6">
        <v>0</v>
      </c>
      <c r="AP291" s="6">
        <v>400.13030241506891</v>
      </c>
      <c r="AQ291" s="6">
        <v>419.99999964779198</v>
      </c>
      <c r="AR291" s="6">
        <v>135.73931099999999</v>
      </c>
      <c r="AS291" s="6">
        <v>72.160365911064744</v>
      </c>
      <c r="AT291" s="6">
        <v>66.388360315194646</v>
      </c>
    </row>
    <row r="292" spans="1:46" x14ac:dyDescent="0.35">
      <c r="A292" s="5">
        <v>46022</v>
      </c>
      <c r="B292" s="4" t="s">
        <v>815</v>
      </c>
      <c r="C292" s="4" t="s">
        <v>816</v>
      </c>
      <c r="D292" s="4" t="s">
        <v>79</v>
      </c>
      <c r="E292" s="6">
        <v>70230.381873999999</v>
      </c>
      <c r="F292" s="7">
        <v>0.43</v>
      </c>
      <c r="G292" s="6">
        <v>42.3</v>
      </c>
      <c r="H292" s="6">
        <v>127.742</v>
      </c>
      <c r="I292" s="6">
        <v>100</v>
      </c>
      <c r="J292" s="6">
        <v>127.742042</v>
      </c>
      <c r="K292" s="8">
        <v>99.999999988813713</v>
      </c>
      <c r="L292" s="6">
        <v>58.092217278531287</v>
      </c>
      <c r="M292" s="6">
        <v>24.750796640901989</v>
      </c>
      <c r="N292" s="6">
        <v>1.3082582463933241</v>
      </c>
      <c r="O292" s="6">
        <v>82.602738892193997</v>
      </c>
      <c r="P292" s="6">
        <v>166.75401105802061</v>
      </c>
      <c r="Q292" s="6">
        <v>26.607261002894798</v>
      </c>
      <c r="R292" s="6">
        <v>0.83890523262369021</v>
      </c>
      <c r="S292" s="6">
        <v>34.153866938867331</v>
      </c>
      <c r="T292" s="6">
        <v>46.452157798578952</v>
      </c>
      <c r="U292" s="6">
        <v>108.05219097296479</v>
      </c>
      <c r="V292" s="6">
        <v>274.80620203098539</v>
      </c>
      <c r="W292" s="6">
        <v>3.6287377669156089</v>
      </c>
      <c r="X292" s="6">
        <v>0</v>
      </c>
      <c r="Y292" s="6">
        <v>278.434939797901</v>
      </c>
      <c r="Z292" s="6">
        <v>10.500195898051651</v>
      </c>
      <c r="AA292" s="6">
        <v>288.93513569595262</v>
      </c>
      <c r="AB292" s="6">
        <v>0</v>
      </c>
      <c r="AC292" s="6">
        <v>43.17563934721268</v>
      </c>
      <c r="AD292" s="6">
        <v>0</v>
      </c>
      <c r="AE292" s="6">
        <v>0</v>
      </c>
      <c r="AF292" s="6">
        <v>332.11077504316529</v>
      </c>
      <c r="AG292" s="6">
        <v>9.5796044876723236</v>
      </c>
      <c r="AH292" s="6">
        <v>0</v>
      </c>
      <c r="AI292" s="6">
        <v>25.324588867341902</v>
      </c>
      <c r="AJ292" s="6">
        <v>323.8393290509668</v>
      </c>
      <c r="AK292" s="6">
        <v>0</v>
      </c>
      <c r="AL292" s="6">
        <v>0</v>
      </c>
      <c r="AM292" s="6">
        <v>0</v>
      </c>
      <c r="AN292" s="6">
        <v>0</v>
      </c>
      <c r="AO292" s="6">
        <v>0</v>
      </c>
      <c r="AP292" s="6">
        <v>323.8393290509668</v>
      </c>
      <c r="AQ292" s="6">
        <v>419.9998615569981</v>
      </c>
      <c r="AR292" s="6">
        <v>1182.816192</v>
      </c>
      <c r="AS292" s="6">
        <v>141.5649217590971</v>
      </c>
      <c r="AT292" s="6">
        <v>131.0647258610455</v>
      </c>
    </row>
    <row r="293" spans="1:46" x14ac:dyDescent="0.35">
      <c r="A293" s="5">
        <v>46022</v>
      </c>
      <c r="B293" s="4" t="s">
        <v>477</v>
      </c>
      <c r="C293" s="4" t="s">
        <v>478</v>
      </c>
      <c r="D293" s="4" t="s">
        <v>55</v>
      </c>
      <c r="E293" s="6">
        <v>30000</v>
      </c>
      <c r="F293" s="7">
        <v>0.83</v>
      </c>
      <c r="G293" s="6">
        <v>86</v>
      </c>
      <c r="H293" s="6">
        <v>214.14</v>
      </c>
      <c r="I293" s="6">
        <v>96.7</v>
      </c>
      <c r="J293" s="6">
        <v>207.07337999999999</v>
      </c>
      <c r="K293" s="8">
        <v>67.282199243270369</v>
      </c>
      <c r="L293" s="6">
        <v>7.9735786280836702</v>
      </c>
      <c r="M293" s="6">
        <v>18.48963512227866</v>
      </c>
      <c r="N293" s="6">
        <v>1.6457231280437279</v>
      </c>
      <c r="O293" s="6">
        <v>51.63903044622996</v>
      </c>
      <c r="P293" s="6">
        <v>79.747967324636022</v>
      </c>
      <c r="Q293" s="6">
        <v>3.557603168460274</v>
      </c>
      <c r="R293" s="6">
        <v>6.3638105810475629</v>
      </c>
      <c r="S293" s="6">
        <v>20.50867297667709</v>
      </c>
      <c r="T293" s="6">
        <v>34.011030631565923</v>
      </c>
      <c r="U293" s="6">
        <v>64.441117357750855</v>
      </c>
      <c r="V293" s="6">
        <v>144.18908468238689</v>
      </c>
      <c r="W293" s="6">
        <v>6.374718171352284</v>
      </c>
      <c r="X293" s="6">
        <v>14.732838765166941</v>
      </c>
      <c r="Y293" s="6">
        <v>165.29664161890611</v>
      </c>
      <c r="Z293" s="6">
        <v>7.6650384969627003</v>
      </c>
      <c r="AA293" s="6">
        <v>172.9616801158688</v>
      </c>
      <c r="AB293" s="6">
        <v>0</v>
      </c>
      <c r="AC293" s="6">
        <v>38.04919919042441</v>
      </c>
      <c r="AD293" s="6">
        <v>0</v>
      </c>
      <c r="AE293" s="6">
        <v>0</v>
      </c>
      <c r="AF293" s="6">
        <v>211.01087930629319</v>
      </c>
      <c r="AG293" s="6">
        <v>5.6833345865324523</v>
      </c>
      <c r="AH293" s="6">
        <v>0</v>
      </c>
      <c r="AI293" s="6">
        <v>16.908420679908961</v>
      </c>
      <c r="AJ293" s="6">
        <v>195.5534353823102</v>
      </c>
      <c r="AK293" s="6">
        <v>0</v>
      </c>
      <c r="AL293" s="6">
        <v>0</v>
      </c>
      <c r="AM293" s="6">
        <v>0</v>
      </c>
      <c r="AN293" s="6">
        <v>0</v>
      </c>
      <c r="AO293" s="6">
        <v>0</v>
      </c>
      <c r="AP293" s="6">
        <v>195.5534353823102</v>
      </c>
      <c r="AQ293" s="6">
        <v>420.00004021312202</v>
      </c>
      <c r="AR293" s="6">
        <v>2832.4174280000002</v>
      </c>
      <c r="AS293" s="6">
        <v>254.70339859421591</v>
      </c>
      <c r="AT293" s="6">
        <v>247.03836009725319</v>
      </c>
    </row>
    <row r="294" spans="1:46" x14ac:dyDescent="0.35">
      <c r="A294" s="5">
        <v>46022</v>
      </c>
      <c r="B294" s="4" t="s">
        <v>629</v>
      </c>
      <c r="C294" s="4" t="s">
        <v>630</v>
      </c>
      <c r="D294" s="4" t="s">
        <v>58</v>
      </c>
      <c r="E294" s="6">
        <v>10000</v>
      </c>
      <c r="F294" s="7">
        <v>0.65</v>
      </c>
      <c r="G294" s="6">
        <v>52.62</v>
      </c>
      <c r="H294" s="6">
        <v>34.200000000000003</v>
      </c>
      <c r="I294" s="6">
        <v>97</v>
      </c>
      <c r="J294" s="6">
        <v>33.173999999999999</v>
      </c>
      <c r="K294" s="8">
        <v>80.211532167821318</v>
      </c>
      <c r="L294" s="6">
        <v>57.104765912147762</v>
      </c>
      <c r="M294" s="6">
        <v>18.60844264369096</v>
      </c>
      <c r="N294" s="6">
        <v>1.0812127237419149</v>
      </c>
      <c r="O294" s="6">
        <v>14.32172548888855</v>
      </c>
      <c r="P294" s="6">
        <v>91.116146768469193</v>
      </c>
      <c r="Q294" s="6">
        <v>41.950700530069419</v>
      </c>
      <c r="R294" s="6">
        <v>22.47518415508015</v>
      </c>
      <c r="S294" s="6">
        <v>42.200297210736863</v>
      </c>
      <c r="T294" s="6">
        <v>11.23605115418856</v>
      </c>
      <c r="U294" s="6">
        <v>117.86223305007501</v>
      </c>
      <c r="V294" s="6">
        <v>208.9783798185442</v>
      </c>
      <c r="W294" s="6">
        <v>12.61756312280702</v>
      </c>
      <c r="X294" s="6">
        <v>21.12620350877193</v>
      </c>
      <c r="Y294" s="6">
        <v>242.72214645012309</v>
      </c>
      <c r="Z294" s="6">
        <v>9.5879970705075852</v>
      </c>
      <c r="AA294" s="6">
        <v>252.3101435206307</v>
      </c>
      <c r="AB294" s="6">
        <v>0</v>
      </c>
      <c r="AC294" s="6">
        <v>72.682283611677974</v>
      </c>
      <c r="AD294" s="6">
        <v>0</v>
      </c>
      <c r="AE294" s="6">
        <v>0</v>
      </c>
      <c r="AF294" s="6">
        <v>324.99242713230871</v>
      </c>
      <c r="AG294" s="6">
        <v>11.22069675780336</v>
      </c>
      <c r="AH294" s="6">
        <v>0</v>
      </c>
      <c r="AI294" s="6">
        <v>23.832216675030232</v>
      </c>
      <c r="AJ294" s="6">
        <v>287.36305695346431</v>
      </c>
      <c r="AK294" s="6">
        <v>39.482733561946077</v>
      </c>
      <c r="AL294" s="6">
        <v>0</v>
      </c>
      <c r="AM294" s="6">
        <v>0</v>
      </c>
      <c r="AN294" s="6">
        <v>0</v>
      </c>
      <c r="AO294" s="6">
        <v>158.9964196826574</v>
      </c>
      <c r="AP294" s="6">
        <v>485.84221019806779</v>
      </c>
      <c r="AQ294" s="6">
        <v>419.99999964779192</v>
      </c>
      <c r="AR294" s="6">
        <v>376.86383799999999</v>
      </c>
      <c r="AS294" s="6">
        <v>177.2778531976688</v>
      </c>
      <c r="AT294" s="6">
        <v>167.68985612716119</v>
      </c>
    </row>
    <row r="295" spans="1:46" x14ac:dyDescent="0.35">
      <c r="A295" s="5">
        <v>46022</v>
      </c>
      <c r="B295" s="4" t="s">
        <v>460</v>
      </c>
      <c r="C295" s="4" t="s">
        <v>461</v>
      </c>
      <c r="D295" s="4" t="s">
        <v>111</v>
      </c>
      <c r="E295" s="6">
        <v>1291.6536779999999</v>
      </c>
      <c r="F295" s="7">
        <v>0.1037</v>
      </c>
      <c r="G295" s="6">
        <v>65.81</v>
      </c>
      <c r="H295" s="6">
        <v>0.88200000000000001</v>
      </c>
      <c r="I295" s="6">
        <v>97</v>
      </c>
      <c r="J295" s="6">
        <v>0.85539500000000002</v>
      </c>
      <c r="K295" s="8">
        <v>16.312183202195655</v>
      </c>
      <c r="L295" s="6">
        <v>81.584612630238951</v>
      </c>
      <c r="M295" s="6">
        <v>65.074469843757456</v>
      </c>
      <c r="N295" s="6">
        <v>33.096483223949363</v>
      </c>
      <c r="O295" s="6">
        <v>49.295567535194657</v>
      </c>
      <c r="P295" s="6">
        <v>229.0511332331404</v>
      </c>
      <c r="Q295" s="6">
        <v>34.418691231380102</v>
      </c>
      <c r="R295" s="6">
        <v>35.817387379375717</v>
      </c>
      <c r="S295" s="6">
        <v>84.395199856701595</v>
      </c>
      <c r="T295" s="6">
        <v>45.338429114909403</v>
      </c>
      <c r="U295" s="6">
        <v>199.96970758236679</v>
      </c>
      <c r="V295" s="6">
        <v>429.0208408155072</v>
      </c>
      <c r="W295" s="6">
        <v>11.79816694070117</v>
      </c>
      <c r="X295" s="6">
        <v>12.511092400503699</v>
      </c>
      <c r="Y295" s="6">
        <v>453.33010015671209</v>
      </c>
      <c r="Z295" s="6">
        <v>19.218953867689368</v>
      </c>
      <c r="AA295" s="6">
        <v>472.54905402440153</v>
      </c>
      <c r="AB295" s="6">
        <v>0</v>
      </c>
      <c r="AC295" s="6">
        <v>155.28548334368239</v>
      </c>
      <c r="AD295" s="6">
        <v>0</v>
      </c>
      <c r="AE295" s="6">
        <v>0</v>
      </c>
      <c r="AF295" s="6">
        <v>627.83453736808394</v>
      </c>
      <c r="AG295" s="6">
        <v>21.690823311578651</v>
      </c>
      <c r="AH295" s="6">
        <v>0</v>
      </c>
      <c r="AI295" s="6">
        <v>20.409183291058689</v>
      </c>
      <c r="AJ295" s="6">
        <v>514.64906062703881</v>
      </c>
      <c r="AK295" s="6">
        <v>0</v>
      </c>
      <c r="AL295" s="6">
        <v>0</v>
      </c>
      <c r="AM295" s="6">
        <v>0</v>
      </c>
      <c r="AN295" s="6">
        <v>0</v>
      </c>
      <c r="AO295" s="6">
        <v>0</v>
      </c>
      <c r="AP295" s="6">
        <v>514.64906062703881</v>
      </c>
      <c r="AQ295" s="6">
        <v>420.00245465395659</v>
      </c>
      <c r="AR295" s="6">
        <v>53.397832000000001</v>
      </c>
      <c r="AS295" s="6">
        <v>-33.327645502755487</v>
      </c>
      <c r="AT295" s="6">
        <v>-52.546599370444859</v>
      </c>
    </row>
    <row r="296" spans="1:46" x14ac:dyDescent="0.35">
      <c r="A296" s="5">
        <v>46022</v>
      </c>
      <c r="B296" s="4" t="s">
        <v>631</v>
      </c>
      <c r="C296" s="4" t="s">
        <v>632</v>
      </c>
      <c r="D296" s="4" t="s">
        <v>111</v>
      </c>
      <c r="E296" s="6">
        <v>1429.8</v>
      </c>
      <c r="F296" s="7">
        <v>0.4</v>
      </c>
      <c r="G296" s="6">
        <v>80</v>
      </c>
      <c r="H296" s="6">
        <v>4.5750000000000002</v>
      </c>
      <c r="I296" s="6">
        <v>97</v>
      </c>
      <c r="J296" s="6">
        <v>4.4380990000000002</v>
      </c>
      <c r="K296" s="8">
        <v>37.823703427677316</v>
      </c>
      <c r="L296" s="6">
        <v>77.985640298724874</v>
      </c>
      <c r="M296" s="6">
        <v>14.937352817950931</v>
      </c>
      <c r="N296" s="6">
        <v>12.86642419160494</v>
      </c>
      <c r="O296" s="6">
        <v>55.722503969714843</v>
      </c>
      <c r="P296" s="6">
        <v>161.51192127799561</v>
      </c>
      <c r="Q296" s="6">
        <v>36.611639412025553</v>
      </c>
      <c r="R296" s="6">
        <v>37.55949425306148</v>
      </c>
      <c r="S296" s="6">
        <v>42.788520358663753</v>
      </c>
      <c r="T296" s="6">
        <v>35.100199836977737</v>
      </c>
      <c r="U296" s="6">
        <v>152.05985386072851</v>
      </c>
      <c r="V296" s="6">
        <v>313.57177513872409</v>
      </c>
      <c r="W296" s="6">
        <v>7.5751360576574287</v>
      </c>
      <c r="X296" s="6">
        <v>16.723444034840391</v>
      </c>
      <c r="Y296" s="6">
        <v>337.87035523122188</v>
      </c>
      <c r="Z296" s="6">
        <v>6.5188739530791544</v>
      </c>
      <c r="AA296" s="6">
        <v>344.38922918430109</v>
      </c>
      <c r="AB296" s="6">
        <v>0</v>
      </c>
      <c r="AC296" s="6">
        <v>90.115842031783785</v>
      </c>
      <c r="AD296" s="6">
        <v>0</v>
      </c>
      <c r="AE296" s="6">
        <v>0</v>
      </c>
      <c r="AF296" s="6">
        <v>434.50507121608479</v>
      </c>
      <c r="AG296" s="6">
        <v>6.9819838343045983</v>
      </c>
      <c r="AH296" s="6">
        <v>0</v>
      </c>
      <c r="AI296" s="6">
        <v>31.357176961148699</v>
      </c>
      <c r="AJ296" s="6">
        <v>382.72838997975441</v>
      </c>
      <c r="AK296" s="6">
        <v>0</v>
      </c>
      <c r="AL296" s="6">
        <v>0</v>
      </c>
      <c r="AM296" s="6">
        <v>0</v>
      </c>
      <c r="AN296" s="6">
        <v>0</v>
      </c>
      <c r="AO296" s="6">
        <v>0</v>
      </c>
      <c r="AP296" s="6">
        <v>382.72838997975441</v>
      </c>
      <c r="AQ296" s="6">
        <v>420.0000942829048</v>
      </c>
      <c r="AR296" s="6">
        <v>114.133399</v>
      </c>
      <c r="AS296" s="6">
        <v>82.129739051682833</v>
      </c>
      <c r="AT296" s="6">
        <v>75.610865098603682</v>
      </c>
    </row>
    <row r="297" spans="1:46" x14ac:dyDescent="0.35">
      <c r="A297" s="5">
        <v>46022</v>
      </c>
      <c r="B297" s="4" t="s">
        <v>633</v>
      </c>
      <c r="C297" s="4" t="s">
        <v>634</v>
      </c>
      <c r="D297" s="4" t="s">
        <v>635</v>
      </c>
      <c r="E297" s="6">
        <v>395.78947399999998</v>
      </c>
      <c r="F297" s="7">
        <v>0.23</v>
      </c>
      <c r="G297" s="6">
        <v>69.38</v>
      </c>
      <c r="H297" s="6">
        <v>0.63200000000000001</v>
      </c>
      <c r="I297" s="6">
        <v>97</v>
      </c>
      <c r="J297" s="6">
        <v>0.61263199999999995</v>
      </c>
      <c r="K297" s="8">
        <v>5.4280406489693274</v>
      </c>
      <c r="L297" s="6">
        <v>27.43687993989635</v>
      </c>
      <c r="M297" s="6">
        <v>14.694623073790369</v>
      </c>
      <c r="N297" s="6">
        <v>18.03750292299156</v>
      </c>
      <c r="O297" s="6">
        <v>79.296660916382095</v>
      </c>
      <c r="P297" s="6">
        <v>139.46566685306041</v>
      </c>
      <c r="Q297" s="6">
        <v>19.17928255984469</v>
      </c>
      <c r="R297" s="6">
        <v>6.2016324326632022</v>
      </c>
      <c r="S297" s="6">
        <v>9.9517159324939737</v>
      </c>
      <c r="T297" s="6">
        <v>24.23457656572705</v>
      </c>
      <c r="U297" s="6">
        <v>59.567207490728919</v>
      </c>
      <c r="V297" s="6">
        <v>199.0328743437893</v>
      </c>
      <c r="W297" s="6">
        <v>1.020481923964818</v>
      </c>
      <c r="X297" s="6">
        <v>5.4480200110760082</v>
      </c>
      <c r="Y297" s="6">
        <v>205.50137627883009</v>
      </c>
      <c r="Z297" s="6">
        <v>126.8147172560642</v>
      </c>
      <c r="AA297" s="6">
        <v>332.31609353489432</v>
      </c>
      <c r="AB297" s="6">
        <v>2.4113501404203102</v>
      </c>
      <c r="AC297" s="6">
        <v>51.73407226469682</v>
      </c>
      <c r="AD297" s="6">
        <v>0</v>
      </c>
      <c r="AE297" s="6">
        <v>0</v>
      </c>
      <c r="AF297" s="6">
        <v>386.4615159400114</v>
      </c>
      <c r="AG297" s="6">
        <v>10.509897288908171</v>
      </c>
      <c r="AH297" s="6">
        <v>4.0189184913459899</v>
      </c>
      <c r="AI297" s="6">
        <v>15.271888994598379</v>
      </c>
      <c r="AJ297" s="6">
        <v>364.52814845016718</v>
      </c>
      <c r="AK297" s="6">
        <v>0</v>
      </c>
      <c r="AL297" s="6">
        <v>0</v>
      </c>
      <c r="AM297" s="6">
        <v>0</v>
      </c>
      <c r="AN297" s="6">
        <v>0</v>
      </c>
      <c r="AO297" s="6">
        <v>0</v>
      </c>
      <c r="AP297" s="6">
        <v>364.52814845016718</v>
      </c>
      <c r="AQ297" s="6">
        <v>419.97806151855821</v>
      </c>
      <c r="AR297" s="6">
        <v>107.435109</v>
      </c>
      <c r="AS297" s="6">
        <v>214.47668523972811</v>
      </c>
      <c r="AT297" s="6">
        <v>87.661967983663914</v>
      </c>
    </row>
    <row r="298" spans="1:46" x14ac:dyDescent="0.35">
      <c r="A298" s="5">
        <v>46022</v>
      </c>
      <c r="B298" s="4" t="s">
        <v>462</v>
      </c>
      <c r="C298" s="4" t="s">
        <v>463</v>
      </c>
      <c r="D298" s="4" t="s">
        <v>55</v>
      </c>
      <c r="E298" s="6">
        <v>6600</v>
      </c>
      <c r="F298" s="7">
        <v>0.1</v>
      </c>
      <c r="G298" s="6">
        <v>75</v>
      </c>
      <c r="H298" s="6">
        <v>4.95</v>
      </c>
      <c r="I298" s="6">
        <v>100</v>
      </c>
      <c r="J298" s="6">
        <v>4.95</v>
      </c>
      <c r="K298" s="8">
        <v>18.540771401632124</v>
      </c>
      <c r="L298" s="6">
        <v>15.54621197945947</v>
      </c>
      <c r="M298" s="6">
        <v>22.20082793425361</v>
      </c>
      <c r="N298" s="6">
        <v>1.2537781365476659</v>
      </c>
      <c r="O298" s="6">
        <v>34.2533101907648</v>
      </c>
      <c r="P298" s="6">
        <v>73.254128241025555</v>
      </c>
      <c r="Q298" s="6">
        <v>7.0174997960182877</v>
      </c>
      <c r="R298" s="6">
        <v>18.230388467100308</v>
      </c>
      <c r="S298" s="6">
        <v>19.19979807841948</v>
      </c>
      <c r="T298" s="6">
        <v>36.101784097639488</v>
      </c>
      <c r="U298" s="6">
        <v>80.549470439177583</v>
      </c>
      <c r="V298" s="6">
        <v>153.80359868020309</v>
      </c>
      <c r="W298" s="6">
        <v>4.9574051465123361</v>
      </c>
      <c r="X298" s="6">
        <v>2.125</v>
      </c>
      <c r="Y298" s="6">
        <v>160.88600382671549</v>
      </c>
      <c r="Z298" s="6">
        <v>25.730222479006699</v>
      </c>
      <c r="AA298" s="6">
        <v>186.61622630572219</v>
      </c>
      <c r="AB298" s="6">
        <v>1.69897859227113</v>
      </c>
      <c r="AC298" s="6">
        <v>120.36910388570151</v>
      </c>
      <c r="AD298" s="6">
        <v>0</v>
      </c>
      <c r="AE298" s="6">
        <v>0</v>
      </c>
      <c r="AF298" s="6">
        <v>308.6843087836948</v>
      </c>
      <c r="AG298" s="6">
        <v>12.74235626193836</v>
      </c>
      <c r="AH298" s="6">
        <v>0</v>
      </c>
      <c r="AI298" s="6">
        <v>61.521437229427271</v>
      </c>
      <c r="AJ298" s="6">
        <v>262.5789983893589</v>
      </c>
      <c r="AK298" s="6">
        <v>0</v>
      </c>
      <c r="AL298" s="6">
        <v>0</v>
      </c>
      <c r="AM298" s="6">
        <v>0</v>
      </c>
      <c r="AN298" s="6">
        <v>0</v>
      </c>
      <c r="AO298" s="6">
        <v>0</v>
      </c>
      <c r="AP298" s="6">
        <v>262.5789983893589</v>
      </c>
      <c r="AQ298" s="6">
        <v>419.99999964779192</v>
      </c>
      <c r="AR298" s="6">
        <v>285.59869200000003</v>
      </c>
      <c r="AS298" s="6">
        <v>259.11399582107651</v>
      </c>
      <c r="AT298" s="6">
        <v>233.38377334206979</v>
      </c>
    </row>
    <row r="299" spans="1:46" x14ac:dyDescent="0.35">
      <c r="A299" s="5">
        <v>46022</v>
      </c>
      <c r="B299" s="4" t="s">
        <v>817</v>
      </c>
      <c r="C299" s="4" t="s">
        <v>818</v>
      </c>
      <c r="D299" s="4" t="s">
        <v>61</v>
      </c>
      <c r="E299" s="6">
        <v>900</v>
      </c>
      <c r="F299" s="7">
        <v>1.47</v>
      </c>
      <c r="G299" s="6">
        <v>94</v>
      </c>
      <c r="H299" s="6">
        <v>12.436</v>
      </c>
      <c r="I299" s="6">
        <v>97</v>
      </c>
      <c r="J299" s="6">
        <v>12.063148</v>
      </c>
      <c r="K299" s="8">
        <v>55.524840925562451</v>
      </c>
      <c r="L299" s="6">
        <v>12.543570911683201</v>
      </c>
      <c r="M299" s="6">
        <v>0</v>
      </c>
      <c r="N299" s="6">
        <v>10.60251627111427</v>
      </c>
      <c r="O299" s="6">
        <v>12.93907775768943</v>
      </c>
      <c r="P299" s="6">
        <v>36.085164940486898</v>
      </c>
      <c r="Q299" s="6">
        <v>3.51120088499512</v>
      </c>
      <c r="R299" s="6">
        <v>2.64795332164721</v>
      </c>
      <c r="S299" s="6">
        <v>7.0861198537784187</v>
      </c>
      <c r="T299" s="6">
        <v>8.0482215802054302</v>
      </c>
      <c r="U299" s="6">
        <v>21.29349564062618</v>
      </c>
      <c r="V299" s="6">
        <v>57.378660581113081</v>
      </c>
      <c r="W299" s="6">
        <v>1.020150588002849</v>
      </c>
      <c r="X299" s="6">
        <v>17.891242871322049</v>
      </c>
      <c r="Y299" s="6">
        <v>76.29005404043798</v>
      </c>
      <c r="Z299" s="6">
        <v>18.541659686376232</v>
      </c>
      <c r="AA299" s="6">
        <v>94.831713726814215</v>
      </c>
      <c r="AB299" s="6">
        <v>0</v>
      </c>
      <c r="AC299" s="6">
        <v>9.4657864079472294</v>
      </c>
      <c r="AD299" s="6">
        <v>0</v>
      </c>
      <c r="AE299" s="6">
        <v>0</v>
      </c>
      <c r="AF299" s="6">
        <v>104.29750013476141</v>
      </c>
      <c r="AG299" s="6">
        <v>6.0474399266229062</v>
      </c>
      <c r="AH299" s="6">
        <v>0</v>
      </c>
      <c r="AI299" s="6">
        <v>6.0579982254375846</v>
      </c>
      <c r="AJ299" s="6">
        <v>106.9371518788747</v>
      </c>
      <c r="AK299" s="6">
        <v>0</v>
      </c>
      <c r="AL299" s="6">
        <v>0</v>
      </c>
      <c r="AM299" s="6">
        <v>0</v>
      </c>
      <c r="AN299" s="6">
        <v>0</v>
      </c>
      <c r="AO299" s="6">
        <v>0</v>
      </c>
      <c r="AP299" s="6">
        <v>106.9371518788747</v>
      </c>
      <c r="AQ299" s="6">
        <v>419.99832844223408</v>
      </c>
      <c r="AR299" s="6">
        <v>199.77623700000001</v>
      </c>
      <c r="AS299" s="6">
        <v>343.70827440179607</v>
      </c>
      <c r="AT299" s="6">
        <v>325.16661471541988</v>
      </c>
    </row>
    <row r="300" spans="1:46" x14ac:dyDescent="0.35">
      <c r="A300" s="5">
        <v>46022</v>
      </c>
      <c r="B300" s="4" t="s">
        <v>464</v>
      </c>
      <c r="C300" s="4" t="s">
        <v>465</v>
      </c>
      <c r="D300" s="4" t="s">
        <v>466</v>
      </c>
      <c r="E300" s="6">
        <v>32146.957461999998</v>
      </c>
      <c r="F300" s="7">
        <v>0.67490000000000006</v>
      </c>
      <c r="G300" s="6">
        <v>86</v>
      </c>
      <c r="H300" s="6">
        <v>186.58</v>
      </c>
      <c r="I300" s="6">
        <v>99.8</v>
      </c>
      <c r="J300" s="6">
        <v>186.20647500000001</v>
      </c>
      <c r="K300" s="8">
        <v>89.25045660902623</v>
      </c>
      <c r="L300" s="6">
        <v>83.463698114276724</v>
      </c>
      <c r="M300" s="6">
        <v>4.0252605941182162</v>
      </c>
      <c r="N300" s="6">
        <v>3.740042392752486</v>
      </c>
      <c r="O300" s="6">
        <v>7.0230115925103886</v>
      </c>
      <c r="P300" s="6">
        <v>98.252012693657832</v>
      </c>
      <c r="Q300" s="6">
        <v>52.952752025548783</v>
      </c>
      <c r="R300" s="6">
        <v>18.418481323534721</v>
      </c>
      <c r="S300" s="6">
        <v>151.50723900964999</v>
      </c>
      <c r="T300" s="6">
        <v>9.4107329339689176</v>
      </c>
      <c r="U300" s="6">
        <v>232.28920529270241</v>
      </c>
      <c r="V300" s="6">
        <v>330.54121798636032</v>
      </c>
      <c r="W300" s="6">
        <v>4.6946299307981978E-5</v>
      </c>
      <c r="X300" s="6">
        <v>21.509727493639659</v>
      </c>
      <c r="Y300" s="6">
        <v>352.05099242629922</v>
      </c>
      <c r="Z300" s="6">
        <v>0</v>
      </c>
      <c r="AA300" s="6">
        <v>352.05099242629922</v>
      </c>
      <c r="AB300" s="6">
        <v>0</v>
      </c>
      <c r="AC300" s="6">
        <v>40.069575377890587</v>
      </c>
      <c r="AD300" s="6">
        <v>0</v>
      </c>
      <c r="AE300" s="6">
        <v>0</v>
      </c>
      <c r="AF300" s="6">
        <v>392.12056780418982</v>
      </c>
      <c r="AG300" s="6">
        <v>49.581181999043991</v>
      </c>
      <c r="AH300" s="6">
        <v>0</v>
      </c>
      <c r="AI300" s="6">
        <v>33.054125992096317</v>
      </c>
      <c r="AJ300" s="6">
        <v>434.68630041743961</v>
      </c>
      <c r="AK300" s="6">
        <v>0</v>
      </c>
      <c r="AL300" s="6">
        <v>0</v>
      </c>
      <c r="AM300" s="6">
        <v>0</v>
      </c>
      <c r="AN300" s="6">
        <v>0</v>
      </c>
      <c r="AO300" s="6">
        <v>0</v>
      </c>
      <c r="AP300" s="6">
        <v>434.68630041743961</v>
      </c>
      <c r="AQ300" s="6">
        <v>420.00005603680842</v>
      </c>
      <c r="AR300" s="6">
        <v>1958.1051</v>
      </c>
      <c r="AS300" s="6">
        <v>67.949063610509157</v>
      </c>
      <c r="AT300" s="6">
        <v>67.949063610509157</v>
      </c>
    </row>
    <row r="301" spans="1:46" x14ac:dyDescent="0.35">
      <c r="A301" s="5">
        <v>46022</v>
      </c>
      <c r="B301" s="4" t="s">
        <v>467</v>
      </c>
      <c r="C301" s="4" t="s">
        <v>468</v>
      </c>
      <c r="D301" s="4" t="s">
        <v>61</v>
      </c>
      <c r="E301" s="6">
        <v>331.76</v>
      </c>
      <c r="F301" s="7">
        <v>0.41</v>
      </c>
      <c r="G301" s="6">
        <v>88</v>
      </c>
      <c r="H301" s="6">
        <v>1.1970000000000001</v>
      </c>
      <c r="I301" s="6">
        <v>97</v>
      </c>
      <c r="J301" s="6">
        <v>1.1610799999999999</v>
      </c>
      <c r="K301" s="8">
        <v>68.545491825887567</v>
      </c>
      <c r="L301" s="6">
        <v>55.931314269126922</v>
      </c>
      <c r="M301" s="6">
        <v>0</v>
      </c>
      <c r="N301" s="6">
        <v>34.291812851877701</v>
      </c>
      <c r="O301" s="6">
        <v>42.387728593363967</v>
      </c>
      <c r="P301" s="6">
        <v>132.6108557143686</v>
      </c>
      <c r="Q301" s="6">
        <v>12.083382739577949</v>
      </c>
      <c r="R301" s="6">
        <v>11.54013756822183</v>
      </c>
      <c r="S301" s="6">
        <v>30.100165838196599</v>
      </c>
      <c r="T301" s="6">
        <v>36.34154638261078</v>
      </c>
      <c r="U301" s="6">
        <v>90.065232528607154</v>
      </c>
      <c r="V301" s="6">
        <v>222.67608824297579</v>
      </c>
      <c r="W301" s="6">
        <v>0</v>
      </c>
      <c r="X301" s="6">
        <v>19.655967944905619</v>
      </c>
      <c r="Y301" s="6">
        <v>242.33205618788139</v>
      </c>
      <c r="Z301" s="6">
        <v>48.554481990111398</v>
      </c>
      <c r="AA301" s="6">
        <v>290.8865381779928</v>
      </c>
      <c r="AB301" s="6">
        <v>0</v>
      </c>
      <c r="AC301" s="6">
        <v>13.041704214652849</v>
      </c>
      <c r="AD301" s="6">
        <v>0</v>
      </c>
      <c r="AE301" s="6">
        <v>0</v>
      </c>
      <c r="AF301" s="6">
        <v>303.92824239264559</v>
      </c>
      <c r="AG301" s="6">
        <v>23.21298370681631</v>
      </c>
      <c r="AH301" s="6">
        <v>0</v>
      </c>
      <c r="AI301" s="6">
        <v>13.041704214652849</v>
      </c>
      <c r="AJ301" s="6">
        <v>327.1412260994619</v>
      </c>
      <c r="AK301" s="6">
        <v>0</v>
      </c>
      <c r="AL301" s="6">
        <v>0</v>
      </c>
      <c r="AM301" s="6">
        <v>0</v>
      </c>
      <c r="AN301" s="6">
        <v>0</v>
      </c>
      <c r="AO301" s="6">
        <v>0</v>
      </c>
      <c r="AP301" s="6">
        <v>327.1412260994619</v>
      </c>
      <c r="AQ301" s="6">
        <v>420.00723429139362</v>
      </c>
      <c r="AR301" s="6">
        <v>15.739633</v>
      </c>
      <c r="AS301" s="6">
        <v>177.6751781035122</v>
      </c>
      <c r="AT301" s="6">
        <v>129.12069611340081</v>
      </c>
    </row>
    <row r="302" spans="1:46" x14ac:dyDescent="0.35">
      <c r="A302" s="5">
        <v>46022</v>
      </c>
      <c r="B302" s="4" t="s">
        <v>636</v>
      </c>
      <c r="C302" s="4" t="s">
        <v>637</v>
      </c>
      <c r="D302" s="4" t="s">
        <v>61</v>
      </c>
      <c r="E302" s="6">
        <v>1527</v>
      </c>
      <c r="F302" s="7">
        <v>0.08</v>
      </c>
      <c r="G302" s="6">
        <v>40</v>
      </c>
      <c r="H302" s="6">
        <v>0.48899999999999999</v>
      </c>
      <c r="I302" s="6">
        <v>97</v>
      </c>
      <c r="J302" s="6">
        <v>0.47398099999999999</v>
      </c>
      <c r="K302" s="8">
        <v>5.4903707750058999</v>
      </c>
      <c r="L302" s="6">
        <v>37.383983867151883</v>
      </c>
      <c r="M302" s="6">
        <v>23.312049087691939</v>
      </c>
      <c r="N302" s="6">
        <v>31.11600951525585</v>
      </c>
      <c r="O302" s="6">
        <v>91.558999988535916</v>
      </c>
      <c r="P302" s="6">
        <v>183.3710424586356</v>
      </c>
      <c r="Q302" s="6">
        <v>24.830408278170189</v>
      </c>
      <c r="R302" s="6">
        <v>14.668657394834661</v>
      </c>
      <c r="S302" s="6">
        <v>37.789041184258551</v>
      </c>
      <c r="T302" s="6">
        <v>28.941596432217061</v>
      </c>
      <c r="U302" s="6">
        <v>106.2297032894804</v>
      </c>
      <c r="V302" s="6">
        <v>289.60074574811603</v>
      </c>
      <c r="W302" s="6">
        <v>14.285649214815621</v>
      </c>
      <c r="X302" s="6">
        <v>24.265225653602151</v>
      </c>
      <c r="Y302" s="6">
        <v>328.15162061653382</v>
      </c>
      <c r="Z302" s="6">
        <v>39.080226853090622</v>
      </c>
      <c r="AA302" s="6">
        <v>367.23184746962443</v>
      </c>
      <c r="AB302" s="6">
        <v>0</v>
      </c>
      <c r="AC302" s="6">
        <v>18.016891056290699</v>
      </c>
      <c r="AD302" s="6">
        <v>0</v>
      </c>
      <c r="AE302" s="6">
        <v>0</v>
      </c>
      <c r="AF302" s="6">
        <v>385.24873852591509</v>
      </c>
      <c r="AG302" s="6">
        <v>16.78061016781372</v>
      </c>
      <c r="AH302" s="6">
        <v>0</v>
      </c>
      <c r="AI302" s="6">
        <v>18.016891056290699</v>
      </c>
      <c r="AJ302" s="6">
        <v>402.02934869372882</v>
      </c>
      <c r="AK302" s="6">
        <v>0</v>
      </c>
      <c r="AL302" s="6">
        <v>0</v>
      </c>
      <c r="AM302" s="6">
        <v>0</v>
      </c>
      <c r="AN302" s="6">
        <v>0</v>
      </c>
      <c r="AO302" s="6">
        <v>0</v>
      </c>
      <c r="AP302" s="6">
        <v>402.02934869372882</v>
      </c>
      <c r="AQ302" s="6">
        <v>420.01683576568132</v>
      </c>
      <c r="AR302" s="6">
        <v>96.655688999999995</v>
      </c>
      <c r="AS302" s="6">
        <v>91.865215149147488</v>
      </c>
      <c r="AT302" s="6">
        <v>52.784988296056873</v>
      </c>
    </row>
    <row r="303" spans="1:46" x14ac:dyDescent="0.35">
      <c r="A303" s="5">
        <v>46022</v>
      </c>
      <c r="B303" s="4" t="s">
        <v>819</v>
      </c>
      <c r="C303" s="4" t="s">
        <v>820</v>
      </c>
      <c r="D303" s="4" t="s">
        <v>61</v>
      </c>
      <c r="E303" s="6">
        <v>3500</v>
      </c>
      <c r="F303" s="7">
        <v>0.4</v>
      </c>
      <c r="G303" s="6">
        <v>91</v>
      </c>
      <c r="H303" s="6">
        <v>12.74</v>
      </c>
      <c r="I303" s="6">
        <v>97</v>
      </c>
      <c r="J303" s="6">
        <v>12.357799999999999</v>
      </c>
      <c r="K303" s="8">
        <v>62.190036321447835</v>
      </c>
      <c r="L303" s="6">
        <v>49.276083384646753</v>
      </c>
      <c r="M303" s="6">
        <v>0</v>
      </c>
      <c r="N303" s="6">
        <v>24.12972895833628</v>
      </c>
      <c r="O303" s="6">
        <v>47.966758751704397</v>
      </c>
      <c r="P303" s="6">
        <v>121.3725710946874</v>
      </c>
      <c r="Q303" s="6">
        <v>20.267603583301899</v>
      </c>
      <c r="R303" s="6">
        <v>8.3530953639633818</v>
      </c>
      <c r="S303" s="6">
        <v>39.17513395041334</v>
      </c>
      <c r="T303" s="6">
        <v>73.904022497701035</v>
      </c>
      <c r="U303" s="6">
        <v>141.6998553953797</v>
      </c>
      <c r="V303" s="6">
        <v>263.07242649006707</v>
      </c>
      <c r="W303" s="6">
        <v>2.560031100779335</v>
      </c>
      <c r="X303" s="6">
        <v>18.112766859515499</v>
      </c>
      <c r="Y303" s="6">
        <v>283.74522445036189</v>
      </c>
      <c r="Z303" s="6">
        <v>46.217151046551557</v>
      </c>
      <c r="AA303" s="6">
        <v>329.96237549691352</v>
      </c>
      <c r="AB303" s="6">
        <v>0</v>
      </c>
      <c r="AC303" s="6">
        <v>36.857684556766323</v>
      </c>
      <c r="AD303" s="6">
        <v>0</v>
      </c>
      <c r="AE303" s="6">
        <v>0</v>
      </c>
      <c r="AF303" s="6">
        <v>366.82006005367981</v>
      </c>
      <c r="AG303" s="6">
        <v>28.731935175943399</v>
      </c>
      <c r="AH303" s="6">
        <v>0</v>
      </c>
      <c r="AI303" s="6">
        <v>27.721829047378911</v>
      </c>
      <c r="AJ303" s="6">
        <v>386.41613972023578</v>
      </c>
      <c r="AK303" s="6">
        <v>0</v>
      </c>
      <c r="AL303" s="6">
        <v>0</v>
      </c>
      <c r="AM303" s="6">
        <v>0</v>
      </c>
      <c r="AN303" s="6">
        <v>0</v>
      </c>
      <c r="AO303" s="6">
        <v>0</v>
      </c>
      <c r="AP303" s="6">
        <v>386.41613972023578</v>
      </c>
      <c r="AQ303" s="6">
        <v>419.99999964779198</v>
      </c>
      <c r="AR303" s="6">
        <v>183.092502</v>
      </c>
      <c r="AS303" s="6">
        <v>136.25477519743001</v>
      </c>
      <c r="AT303" s="6">
        <v>90.037624150878472</v>
      </c>
    </row>
    <row r="304" spans="1:46" x14ac:dyDescent="0.35">
      <c r="A304" s="5">
        <v>46022</v>
      </c>
      <c r="B304" s="4" t="s">
        <v>479</v>
      </c>
      <c r="C304" s="4" t="s">
        <v>480</v>
      </c>
      <c r="D304" s="4" t="s">
        <v>61</v>
      </c>
      <c r="E304" s="6">
        <v>20</v>
      </c>
      <c r="F304" s="7">
        <v>0.5</v>
      </c>
      <c r="G304" s="6">
        <v>96</v>
      </c>
      <c r="H304" s="6">
        <v>9.6000000000000002E-2</v>
      </c>
      <c r="I304" s="6">
        <v>93.125</v>
      </c>
      <c r="J304" s="6">
        <v>8.9399999999999993E-2</v>
      </c>
      <c r="K304" s="8">
        <v>68.554777800285152</v>
      </c>
      <c r="L304" s="6">
        <v>83.944574174897255</v>
      </c>
      <c r="M304" s="6">
        <v>11.150121866214331</v>
      </c>
      <c r="N304" s="6">
        <v>20.298556660559839</v>
      </c>
      <c r="O304" s="6">
        <v>37.539284838379729</v>
      </c>
      <c r="P304" s="6">
        <v>152.93253754005119</v>
      </c>
      <c r="Q304" s="6">
        <v>17.009498329408661</v>
      </c>
      <c r="R304" s="6">
        <v>10.639035657150391</v>
      </c>
      <c r="S304" s="6">
        <v>29.67118819832714</v>
      </c>
      <c r="T304" s="6">
        <v>29.814173796697862</v>
      </c>
      <c r="U304" s="6">
        <v>87.133895981584047</v>
      </c>
      <c r="V304" s="6">
        <v>240.06643352163519</v>
      </c>
      <c r="W304" s="6">
        <v>2.3748585434729299</v>
      </c>
      <c r="X304" s="6">
        <v>24.695801123047069</v>
      </c>
      <c r="Y304" s="6">
        <v>267.13709318815518</v>
      </c>
      <c r="Z304" s="6">
        <v>53.383279552673841</v>
      </c>
      <c r="AA304" s="6">
        <v>320.52037274082909</v>
      </c>
      <c r="AB304" s="6">
        <v>0</v>
      </c>
      <c r="AC304" s="6">
        <v>4.7005906763399476</v>
      </c>
      <c r="AD304" s="6">
        <v>0</v>
      </c>
      <c r="AE304" s="6">
        <v>0</v>
      </c>
      <c r="AF304" s="6">
        <v>325.220963417169</v>
      </c>
      <c r="AG304" s="6">
        <v>13.68155270162946</v>
      </c>
      <c r="AH304" s="6">
        <v>0</v>
      </c>
      <c r="AI304" s="6">
        <v>4.5344605277221</v>
      </c>
      <c r="AJ304" s="6">
        <v>338.73638597018061</v>
      </c>
      <c r="AK304" s="6">
        <v>0</v>
      </c>
      <c r="AL304" s="6">
        <v>0</v>
      </c>
      <c r="AM304" s="6">
        <v>0</v>
      </c>
      <c r="AN304" s="6">
        <v>0</v>
      </c>
      <c r="AO304" s="6">
        <v>0</v>
      </c>
      <c r="AP304" s="6">
        <v>338.73638597018061</v>
      </c>
      <c r="AQ304" s="6">
        <v>419.99999964779198</v>
      </c>
      <c r="AR304" s="6">
        <v>1.201195</v>
      </c>
      <c r="AS304" s="6">
        <v>152.86290645963669</v>
      </c>
      <c r="AT304" s="6">
        <v>99.479626906962906</v>
      </c>
    </row>
    <row r="305" spans="1:46" x14ac:dyDescent="0.35">
      <c r="A305" s="5">
        <v>46022</v>
      </c>
      <c r="B305" s="4" t="s">
        <v>469</v>
      </c>
      <c r="C305" s="4" t="s">
        <v>470</v>
      </c>
      <c r="D305" s="4" t="s">
        <v>61</v>
      </c>
      <c r="E305" s="6">
        <v>150</v>
      </c>
      <c r="F305" s="7">
        <v>0.56999999999999995</v>
      </c>
      <c r="G305" s="6">
        <v>86</v>
      </c>
      <c r="H305" s="6">
        <v>0.73499999999999999</v>
      </c>
      <c r="I305" s="6">
        <v>97</v>
      </c>
      <c r="J305" s="6">
        <v>0.71324100000000001</v>
      </c>
      <c r="K305" s="8">
        <v>99.999996819456769</v>
      </c>
      <c r="L305" s="6">
        <v>60.047208792294079</v>
      </c>
      <c r="M305" s="6">
        <v>8.175773883866416</v>
      </c>
      <c r="N305" s="6">
        <v>27.983376518279311</v>
      </c>
      <c r="O305" s="6">
        <v>42.880529536227371</v>
      </c>
      <c r="P305" s="6">
        <v>139.0868887306672</v>
      </c>
      <c r="Q305" s="6">
        <v>13.4474802670951</v>
      </c>
      <c r="R305" s="6">
        <v>14.08832706758173</v>
      </c>
      <c r="S305" s="6">
        <v>21.712943512490799</v>
      </c>
      <c r="T305" s="6">
        <v>20.82711559166453</v>
      </c>
      <c r="U305" s="6">
        <v>70.075866438832151</v>
      </c>
      <c r="V305" s="6">
        <v>209.16275516949929</v>
      </c>
      <c r="W305" s="6">
        <v>4.1865546984800002</v>
      </c>
      <c r="X305" s="6">
        <v>26.704380127390319</v>
      </c>
      <c r="Y305" s="6">
        <v>240.05368999536969</v>
      </c>
      <c r="Z305" s="6">
        <v>51.441103902253133</v>
      </c>
      <c r="AA305" s="6">
        <v>291.4947938976228</v>
      </c>
      <c r="AB305" s="6">
        <v>0</v>
      </c>
      <c r="AC305" s="6">
        <v>32.631054048732089</v>
      </c>
      <c r="AD305" s="6">
        <v>0</v>
      </c>
      <c r="AE305" s="6">
        <v>0</v>
      </c>
      <c r="AF305" s="6">
        <v>324.1258479463549</v>
      </c>
      <c r="AG305" s="6">
        <v>16.295427525882509</v>
      </c>
      <c r="AH305" s="6">
        <v>0</v>
      </c>
      <c r="AI305" s="6">
        <v>18.144743556027901</v>
      </c>
      <c r="AJ305" s="6">
        <v>325.93496497953322</v>
      </c>
      <c r="AK305" s="6">
        <v>0</v>
      </c>
      <c r="AL305" s="6">
        <v>0</v>
      </c>
      <c r="AM305" s="6">
        <v>0</v>
      </c>
      <c r="AN305" s="6">
        <v>0</v>
      </c>
      <c r="AO305" s="6">
        <v>0</v>
      </c>
      <c r="AP305" s="6">
        <v>325.93496497953322</v>
      </c>
      <c r="AQ305" s="6">
        <v>419.975856335804</v>
      </c>
      <c r="AR305" s="6">
        <v>6.603815</v>
      </c>
      <c r="AS305" s="6">
        <v>179.92216634043439</v>
      </c>
      <c r="AT305" s="6">
        <v>128.4810624381812</v>
      </c>
    </row>
    <row r="306" spans="1:46" x14ac:dyDescent="0.35">
      <c r="A306" s="5">
        <v>46022</v>
      </c>
      <c r="B306" s="4" t="s">
        <v>821</v>
      </c>
      <c r="C306" s="4" t="s">
        <v>822</v>
      </c>
      <c r="D306" s="4" t="s">
        <v>61</v>
      </c>
      <c r="E306" s="6">
        <v>304.44</v>
      </c>
      <c r="F306" s="7">
        <v>0.33</v>
      </c>
      <c r="G306" s="6">
        <v>86</v>
      </c>
      <c r="H306" s="6">
        <v>0.86399999999999999</v>
      </c>
      <c r="I306" s="6">
        <v>97</v>
      </c>
      <c r="J306" s="6">
        <v>0.83808099999999996</v>
      </c>
      <c r="K306" s="8">
        <v>48.201510708108351</v>
      </c>
      <c r="L306" s="6">
        <v>31.753271976527738</v>
      </c>
      <c r="M306" s="6">
        <v>4.1839157299609466</v>
      </c>
      <c r="N306" s="6">
        <v>31.90947168772632</v>
      </c>
      <c r="O306" s="6">
        <v>44.805299829877207</v>
      </c>
      <c r="P306" s="6">
        <v>112.6519592240922</v>
      </c>
      <c r="Q306" s="6">
        <v>4.3402107478425132</v>
      </c>
      <c r="R306" s="6">
        <v>8.1853668153357315</v>
      </c>
      <c r="S306" s="6">
        <v>19.536186261744021</v>
      </c>
      <c r="T306" s="6">
        <v>21.325886923842301</v>
      </c>
      <c r="U306" s="6">
        <v>53.387650748764557</v>
      </c>
      <c r="V306" s="6">
        <v>166.03960997285679</v>
      </c>
      <c r="W306" s="6">
        <v>3.342845371505657</v>
      </c>
      <c r="X306" s="6">
        <v>17.016185808864471</v>
      </c>
      <c r="Y306" s="6">
        <v>186.39864115322689</v>
      </c>
      <c r="Z306" s="6">
        <v>26.408736586974289</v>
      </c>
      <c r="AA306" s="6">
        <v>212.80737774020119</v>
      </c>
      <c r="AB306" s="6">
        <v>0</v>
      </c>
      <c r="AC306" s="6">
        <v>4.4628625066282748</v>
      </c>
      <c r="AD306" s="6">
        <v>0</v>
      </c>
      <c r="AE306" s="6">
        <v>0</v>
      </c>
      <c r="AF306" s="6">
        <v>217.2702402468295</v>
      </c>
      <c r="AG306" s="6">
        <v>10.93401949501814</v>
      </c>
      <c r="AH306" s="6">
        <v>0</v>
      </c>
      <c r="AI306" s="6">
        <v>18.81832838323265</v>
      </c>
      <c r="AJ306" s="6">
        <v>242.55972561845201</v>
      </c>
      <c r="AK306" s="6">
        <v>0</v>
      </c>
      <c r="AL306" s="6">
        <v>0</v>
      </c>
      <c r="AM306" s="6">
        <v>0</v>
      </c>
      <c r="AN306" s="6">
        <v>0</v>
      </c>
      <c r="AO306" s="6">
        <v>0</v>
      </c>
      <c r="AP306" s="6">
        <v>242.55972561845201</v>
      </c>
      <c r="AQ306" s="6">
        <v>420.00952140045467</v>
      </c>
      <c r="AR306" s="6">
        <v>16.052951</v>
      </c>
      <c r="AS306" s="6">
        <v>233.6108802472277</v>
      </c>
      <c r="AT306" s="6">
        <v>207.20214366025351</v>
      </c>
    </row>
    <row r="307" spans="1:46" x14ac:dyDescent="0.35">
      <c r="A307" s="5">
        <v>46022</v>
      </c>
      <c r="B307" s="4" t="s">
        <v>471</v>
      </c>
      <c r="C307" s="4" t="s">
        <v>472</v>
      </c>
      <c r="D307" s="4" t="s">
        <v>61</v>
      </c>
      <c r="E307" s="6">
        <v>500</v>
      </c>
      <c r="F307" s="7">
        <v>0.88</v>
      </c>
      <c r="G307" s="6">
        <v>95</v>
      </c>
      <c r="H307" s="6">
        <v>4.18</v>
      </c>
      <c r="I307" s="6">
        <v>97</v>
      </c>
      <c r="J307" s="6">
        <v>4.0545999999999998</v>
      </c>
      <c r="K307" s="8">
        <v>82.064253793208991</v>
      </c>
      <c r="L307" s="6">
        <v>34.321676647652382</v>
      </c>
      <c r="M307" s="6">
        <v>0</v>
      </c>
      <c r="N307" s="6">
        <v>25.016811756343401</v>
      </c>
      <c r="O307" s="6">
        <v>22.904655330462489</v>
      </c>
      <c r="P307" s="6">
        <v>82.243143734458272</v>
      </c>
      <c r="Q307" s="6">
        <v>6.0920629596144966</v>
      </c>
      <c r="R307" s="6">
        <v>9.6036158566051881</v>
      </c>
      <c r="S307" s="6">
        <v>16.148283108864561</v>
      </c>
      <c r="T307" s="6">
        <v>13.090183711355859</v>
      </c>
      <c r="U307" s="6">
        <v>44.934145636440107</v>
      </c>
      <c r="V307" s="6">
        <v>127.17728937089839</v>
      </c>
      <c r="W307" s="6">
        <v>1.45289517663418</v>
      </c>
      <c r="X307" s="6">
        <v>22.61906367483347</v>
      </c>
      <c r="Y307" s="6">
        <v>151.24924822236599</v>
      </c>
      <c r="Z307" s="6">
        <v>30.0901892862198</v>
      </c>
      <c r="AA307" s="6">
        <v>181.3394375085858</v>
      </c>
      <c r="AB307" s="6">
        <v>0</v>
      </c>
      <c r="AC307" s="6">
        <v>10.96231466383475</v>
      </c>
      <c r="AD307" s="6">
        <v>0</v>
      </c>
      <c r="AE307" s="6">
        <v>0</v>
      </c>
      <c r="AF307" s="6">
        <v>192.30175217242061</v>
      </c>
      <c r="AG307" s="6">
        <v>5.1587341522482468</v>
      </c>
      <c r="AH307" s="6">
        <v>0</v>
      </c>
      <c r="AI307" s="6">
        <v>5.8422676209010191</v>
      </c>
      <c r="AJ307" s="6">
        <v>192.34043928173509</v>
      </c>
      <c r="AK307" s="6">
        <v>0</v>
      </c>
      <c r="AL307" s="6">
        <v>0</v>
      </c>
      <c r="AM307" s="6">
        <v>0</v>
      </c>
      <c r="AN307" s="6">
        <v>0</v>
      </c>
      <c r="AO307" s="6">
        <v>0</v>
      </c>
      <c r="AP307" s="6">
        <v>192.34043928173509</v>
      </c>
      <c r="AQ307" s="6">
        <v>419.99999964779198</v>
      </c>
      <c r="AR307" s="6">
        <v>45.702786000000003</v>
      </c>
      <c r="AS307" s="6">
        <v>268.7507514254259</v>
      </c>
      <c r="AT307" s="6">
        <v>238.66056213920609</v>
      </c>
    </row>
    <row r="308" spans="1:46" x14ac:dyDescent="0.35">
      <c r="A308" s="5">
        <v>46022</v>
      </c>
      <c r="B308" s="4" t="s">
        <v>481</v>
      </c>
      <c r="C308" s="4" t="s">
        <v>482</v>
      </c>
      <c r="D308" s="4" t="s">
        <v>61</v>
      </c>
      <c r="E308" s="6">
        <v>83.59</v>
      </c>
      <c r="F308" s="7">
        <v>0.45710000000000001</v>
      </c>
      <c r="G308" s="6">
        <v>83.75</v>
      </c>
      <c r="H308" s="6">
        <v>0.32</v>
      </c>
      <c r="I308" s="6">
        <v>97</v>
      </c>
      <c r="J308" s="6">
        <v>0.31040000000000001</v>
      </c>
      <c r="K308" s="8">
        <v>100</v>
      </c>
      <c r="L308" s="6">
        <v>68.620805850953602</v>
      </c>
      <c r="M308" s="6">
        <v>22.829273217022141</v>
      </c>
      <c r="N308" s="6">
        <v>13.547918726063591</v>
      </c>
      <c r="O308" s="6">
        <v>75.938149489624294</v>
      </c>
      <c r="P308" s="6">
        <v>180.93614728366359</v>
      </c>
      <c r="Q308" s="6">
        <v>35.063050825931249</v>
      </c>
      <c r="R308" s="6">
        <v>12.84438789273014</v>
      </c>
      <c r="S308" s="6">
        <v>46.925818069342711</v>
      </c>
      <c r="T308" s="6">
        <v>29.454348378958631</v>
      </c>
      <c r="U308" s="6">
        <v>124.28760516696271</v>
      </c>
      <c r="V308" s="6">
        <v>305.22375245062642</v>
      </c>
      <c r="W308" s="6">
        <v>4.1865546984800002</v>
      </c>
      <c r="X308" s="6">
        <v>26.704840000000001</v>
      </c>
      <c r="Y308" s="6">
        <v>336.11514714910641</v>
      </c>
      <c r="Z308" s="6">
        <v>91.769479989249916</v>
      </c>
      <c r="AA308" s="6">
        <v>427.88462713835628</v>
      </c>
      <c r="AB308" s="6">
        <v>0</v>
      </c>
      <c r="AC308" s="6">
        <v>27.84847313744433</v>
      </c>
      <c r="AD308" s="6">
        <v>0</v>
      </c>
      <c r="AE308" s="6">
        <v>0</v>
      </c>
      <c r="AF308" s="6">
        <v>455.73310027580061</v>
      </c>
      <c r="AG308" s="6">
        <v>16.095800926602269</v>
      </c>
      <c r="AH308" s="6">
        <v>0</v>
      </c>
      <c r="AI308" s="6">
        <v>12.715347182193909</v>
      </c>
      <c r="AJ308" s="6">
        <v>456.69577524715243</v>
      </c>
      <c r="AK308" s="6">
        <v>0</v>
      </c>
      <c r="AL308" s="6">
        <v>0</v>
      </c>
      <c r="AM308" s="6">
        <v>0</v>
      </c>
      <c r="AN308" s="6">
        <v>0</v>
      </c>
      <c r="AO308" s="6">
        <v>0</v>
      </c>
      <c r="AP308" s="6">
        <v>456.69577524715243</v>
      </c>
      <c r="AQ308" s="6">
        <v>419.99999964779192</v>
      </c>
      <c r="AR308" s="6">
        <v>2.8741219999999998</v>
      </c>
      <c r="AS308" s="6">
        <v>83.884852498685575</v>
      </c>
      <c r="AT308" s="6">
        <v>-7.8846274905643412</v>
      </c>
    </row>
    <row r="309" spans="1:46" x14ac:dyDescent="0.35">
      <c r="A309" s="5">
        <v>46022</v>
      </c>
      <c r="B309" s="4" t="s">
        <v>487</v>
      </c>
      <c r="C309" s="4" t="s">
        <v>488</v>
      </c>
      <c r="D309" s="4" t="s">
        <v>61</v>
      </c>
      <c r="E309" s="6">
        <v>40.65</v>
      </c>
      <c r="F309" s="7">
        <v>0.45</v>
      </c>
      <c r="G309" s="6">
        <v>82</v>
      </c>
      <c r="H309" s="6">
        <v>0.15</v>
      </c>
      <c r="I309" s="6">
        <v>97</v>
      </c>
      <c r="J309" s="6">
        <v>0.14549999999999999</v>
      </c>
      <c r="K309" s="8">
        <v>99.999995724130017</v>
      </c>
      <c r="L309" s="6">
        <v>40.059104680076501</v>
      </c>
      <c r="M309" s="6">
        <v>23.822351429789379</v>
      </c>
      <c r="N309" s="6">
        <v>14.820370078401019</v>
      </c>
      <c r="O309" s="6">
        <v>82.452704553547704</v>
      </c>
      <c r="P309" s="6">
        <v>161.1545307418146</v>
      </c>
      <c r="Q309" s="6">
        <v>26.042603778232479</v>
      </c>
      <c r="R309" s="6">
        <v>12.9443289506541</v>
      </c>
      <c r="S309" s="6">
        <v>49.198342188278069</v>
      </c>
      <c r="T309" s="6">
        <v>47.093384504656917</v>
      </c>
      <c r="U309" s="6">
        <v>135.2786594218216</v>
      </c>
      <c r="V309" s="6">
        <v>296.4331901636362</v>
      </c>
      <c r="W309" s="6">
        <v>2.7421933742664999</v>
      </c>
      <c r="X309" s="6">
        <v>26.704840000000001</v>
      </c>
      <c r="Y309" s="6">
        <v>325.88022353790268</v>
      </c>
      <c r="Z309" s="6">
        <v>74.759746449398847</v>
      </c>
      <c r="AA309" s="6">
        <v>400.63996998730153</v>
      </c>
      <c r="AB309" s="6">
        <v>0</v>
      </c>
      <c r="AC309" s="6">
        <v>15.683774794124149</v>
      </c>
      <c r="AD309" s="6">
        <v>0</v>
      </c>
      <c r="AE309" s="6">
        <v>0</v>
      </c>
      <c r="AF309" s="6">
        <v>416.32374478142572</v>
      </c>
      <c r="AG309" s="6">
        <v>15.50575111293942</v>
      </c>
      <c r="AH309" s="6">
        <v>0</v>
      </c>
      <c r="AI309" s="6">
        <v>11.78508405574121</v>
      </c>
      <c r="AJ309" s="6">
        <v>427.93080515598211</v>
      </c>
      <c r="AK309" s="6">
        <v>0</v>
      </c>
      <c r="AL309" s="6">
        <v>0</v>
      </c>
      <c r="AM309" s="6">
        <v>0</v>
      </c>
      <c r="AN309" s="6">
        <v>0</v>
      </c>
      <c r="AO309" s="6">
        <v>0</v>
      </c>
      <c r="AP309" s="6">
        <v>427.93080515598211</v>
      </c>
      <c r="AQ309" s="6">
        <v>419.99999964779198</v>
      </c>
      <c r="AR309" s="6">
        <v>1.347245</v>
      </c>
      <c r="AS309" s="6">
        <v>94.119776109889287</v>
      </c>
      <c r="AT309" s="6">
        <v>19.360029660490451</v>
      </c>
    </row>
    <row r="310" spans="1:46" x14ac:dyDescent="0.35">
      <c r="A310" s="5">
        <v>46022</v>
      </c>
      <c r="B310" s="4" t="s">
        <v>823</v>
      </c>
      <c r="C310" s="4" t="s">
        <v>824</v>
      </c>
      <c r="D310" s="4" t="s">
        <v>61</v>
      </c>
      <c r="E310" s="6">
        <v>80</v>
      </c>
      <c r="F310" s="7">
        <v>0.56999999999999995</v>
      </c>
      <c r="G310" s="6">
        <v>85</v>
      </c>
      <c r="H310" s="6">
        <v>0.38800000000000001</v>
      </c>
      <c r="I310" s="6">
        <v>97</v>
      </c>
      <c r="J310" s="6">
        <v>0.37597199999999997</v>
      </c>
      <c r="K310" s="8">
        <v>87.777455089615742</v>
      </c>
      <c r="L310" s="6">
        <v>50.239041580028328</v>
      </c>
      <c r="M310" s="6">
        <v>10.997738884789889</v>
      </c>
      <c r="N310" s="6">
        <v>20.57440191712999</v>
      </c>
      <c r="O310" s="6">
        <v>38.577313879663329</v>
      </c>
      <c r="P310" s="6">
        <v>120.38849626161149</v>
      </c>
      <c r="Q310" s="6">
        <v>23.350743540761489</v>
      </c>
      <c r="R310" s="6">
        <v>8.1817316071294002</v>
      </c>
      <c r="S310" s="6">
        <v>36.827085957513702</v>
      </c>
      <c r="T310" s="6">
        <v>35.792678220300438</v>
      </c>
      <c r="U310" s="6">
        <v>104.152239325705</v>
      </c>
      <c r="V310" s="6">
        <v>224.54073558731659</v>
      </c>
      <c r="W310" s="6">
        <v>4.1865546984800002</v>
      </c>
      <c r="X310" s="6">
        <v>26.705435789048121</v>
      </c>
      <c r="Y310" s="6">
        <v>255.43272607484471</v>
      </c>
      <c r="Z310" s="6">
        <v>46.721135436279091</v>
      </c>
      <c r="AA310" s="6">
        <v>302.15386151112381</v>
      </c>
      <c r="AB310" s="6">
        <v>0</v>
      </c>
      <c r="AC310" s="6">
        <v>12.27025068148307</v>
      </c>
      <c r="AD310" s="6">
        <v>0</v>
      </c>
      <c r="AE310" s="6">
        <v>0</v>
      </c>
      <c r="AF310" s="6">
        <v>314.42411219260691</v>
      </c>
      <c r="AG310" s="6">
        <v>14.840935801151749</v>
      </c>
      <c r="AH310" s="6">
        <v>0</v>
      </c>
      <c r="AI310" s="6">
        <v>11.06821700864022</v>
      </c>
      <c r="AJ310" s="6">
        <v>328.06301432091578</v>
      </c>
      <c r="AK310" s="6">
        <v>0</v>
      </c>
      <c r="AL310" s="6">
        <v>0</v>
      </c>
      <c r="AM310" s="6">
        <v>0</v>
      </c>
      <c r="AN310" s="6">
        <v>0</v>
      </c>
      <c r="AO310" s="6">
        <v>0</v>
      </c>
      <c r="AP310" s="6">
        <v>328.06301432091578</v>
      </c>
      <c r="AQ310" s="6">
        <v>420.03127857279208</v>
      </c>
      <c r="AR310" s="6">
        <v>3.9306719999999999</v>
      </c>
      <c r="AS310" s="6">
        <v>164.5985524979474</v>
      </c>
      <c r="AT310" s="6">
        <v>117.8774170616683</v>
      </c>
    </row>
    <row r="311" spans="1:46" x14ac:dyDescent="0.35">
      <c r="A311" s="5">
        <v>46022</v>
      </c>
      <c r="B311" s="4" t="s">
        <v>489</v>
      </c>
      <c r="C311" s="4" t="s">
        <v>490</v>
      </c>
      <c r="D311" s="4" t="s">
        <v>61</v>
      </c>
      <c r="E311" s="6">
        <v>1750</v>
      </c>
      <c r="F311" s="7">
        <v>0.8</v>
      </c>
      <c r="G311" s="6">
        <v>92.5</v>
      </c>
      <c r="H311" s="6">
        <v>12.95</v>
      </c>
      <c r="I311" s="6">
        <v>97</v>
      </c>
      <c r="J311" s="6">
        <v>12.561500000000001</v>
      </c>
      <c r="K311" s="8">
        <v>81.754882207052589</v>
      </c>
      <c r="L311" s="6">
        <v>8.4836289937012825</v>
      </c>
      <c r="M311" s="6">
        <v>1.937263612149688</v>
      </c>
      <c r="N311" s="6">
        <v>5.0517518119439817</v>
      </c>
      <c r="O311" s="6">
        <v>13.590918065449969</v>
      </c>
      <c r="P311" s="6">
        <v>29.06356248324493</v>
      </c>
      <c r="Q311" s="6">
        <v>3.6536852480322208</v>
      </c>
      <c r="R311" s="6">
        <v>5.3083907810657252</v>
      </c>
      <c r="S311" s="6">
        <v>21.19222273794129</v>
      </c>
      <c r="T311" s="6">
        <v>15.928618236433429</v>
      </c>
      <c r="U311" s="6">
        <v>46.082917003472673</v>
      </c>
      <c r="V311" s="6">
        <v>75.146479486717595</v>
      </c>
      <c r="W311" s="6">
        <v>8.5605096547312947</v>
      </c>
      <c r="X311" s="6">
        <v>20.929655296588571</v>
      </c>
      <c r="Y311" s="6">
        <v>104.63664443803749</v>
      </c>
      <c r="Z311" s="6">
        <v>36.458189474674022</v>
      </c>
      <c r="AA311" s="6">
        <v>141.09483391271149</v>
      </c>
      <c r="AB311" s="6">
        <v>0</v>
      </c>
      <c r="AC311" s="6">
        <v>12.67886710303849</v>
      </c>
      <c r="AD311" s="6">
        <v>0</v>
      </c>
      <c r="AE311" s="6">
        <v>0</v>
      </c>
      <c r="AF311" s="6">
        <v>153.77370101574999</v>
      </c>
      <c r="AG311" s="6">
        <v>4.1948403075693097</v>
      </c>
      <c r="AH311" s="6">
        <v>0</v>
      </c>
      <c r="AI311" s="6">
        <v>14.46421176990285</v>
      </c>
      <c r="AJ311" s="6">
        <v>159.75388599018359</v>
      </c>
      <c r="AK311" s="6">
        <v>0</v>
      </c>
      <c r="AL311" s="6">
        <v>0</v>
      </c>
      <c r="AM311" s="6">
        <v>0</v>
      </c>
      <c r="AN311" s="6">
        <v>0</v>
      </c>
      <c r="AO311" s="6">
        <v>0</v>
      </c>
      <c r="AP311" s="6">
        <v>159.75388599018359</v>
      </c>
      <c r="AQ311" s="6">
        <v>419.99999964779192</v>
      </c>
      <c r="AR311" s="6">
        <v>143.792968</v>
      </c>
      <c r="AS311" s="6">
        <v>315.3633552097545</v>
      </c>
      <c r="AT311" s="6">
        <v>278.9051657350804</v>
      </c>
    </row>
    <row r="312" spans="1:46" x14ac:dyDescent="0.35">
      <c r="A312" s="5">
        <v>46022</v>
      </c>
      <c r="B312" s="4" t="s">
        <v>638</v>
      </c>
      <c r="C312" s="4" t="s">
        <v>639</v>
      </c>
      <c r="D312" s="4" t="s">
        <v>58</v>
      </c>
      <c r="E312" s="6">
        <v>50000</v>
      </c>
      <c r="F312" s="7">
        <v>0.39</v>
      </c>
      <c r="G312" s="6">
        <v>86</v>
      </c>
      <c r="H312" s="6">
        <v>167.7</v>
      </c>
      <c r="I312" s="6">
        <v>97</v>
      </c>
      <c r="J312" s="6">
        <v>162.66900000000001</v>
      </c>
      <c r="K312" s="8">
        <v>78.681032805134052</v>
      </c>
      <c r="L312" s="6">
        <v>33.940312374946657</v>
      </c>
      <c r="M312" s="6">
        <v>17.797245075141159</v>
      </c>
      <c r="N312" s="6">
        <v>1.2229965425374389</v>
      </c>
      <c r="O312" s="6">
        <v>29.025783146907511</v>
      </c>
      <c r="P312" s="6">
        <v>81.986337139532765</v>
      </c>
      <c r="Q312" s="6">
        <v>18.752961031072768</v>
      </c>
      <c r="R312" s="6">
        <v>21.014101041454651</v>
      </c>
      <c r="S312" s="6">
        <v>29.755059297022669</v>
      </c>
      <c r="T312" s="6">
        <v>16.018636202170772</v>
      </c>
      <c r="U312" s="6">
        <v>85.54075757172086</v>
      </c>
      <c r="V312" s="6">
        <v>167.5270947112536</v>
      </c>
      <c r="W312" s="6">
        <v>21.378694207249801</v>
      </c>
      <c r="X312" s="6">
        <v>18.995116826128609</v>
      </c>
      <c r="Y312" s="6">
        <v>207.90090574463201</v>
      </c>
      <c r="Z312" s="6">
        <v>14.78601515756818</v>
      </c>
      <c r="AA312" s="6">
        <v>222.6869209022002</v>
      </c>
      <c r="AB312" s="6">
        <v>0</v>
      </c>
      <c r="AC312" s="6">
        <v>114.4729349215626</v>
      </c>
      <c r="AD312" s="6">
        <v>0</v>
      </c>
      <c r="AE312" s="6">
        <v>0</v>
      </c>
      <c r="AF312" s="6">
        <v>337.15985582376283</v>
      </c>
      <c r="AG312" s="6">
        <v>11.847446482015251</v>
      </c>
      <c r="AH312" s="6">
        <v>0</v>
      </c>
      <c r="AI312" s="6">
        <v>86.777872321316025</v>
      </c>
      <c r="AJ312" s="6">
        <v>321.31223970553151</v>
      </c>
      <c r="AK312" s="6">
        <v>0</v>
      </c>
      <c r="AL312" s="6">
        <v>0</v>
      </c>
      <c r="AM312" s="6">
        <v>0</v>
      </c>
      <c r="AN312" s="6">
        <v>0</v>
      </c>
      <c r="AO312" s="6">
        <v>0</v>
      </c>
      <c r="AP312" s="6">
        <v>321.31223970553151</v>
      </c>
      <c r="AQ312" s="6">
        <v>419.99999964779192</v>
      </c>
      <c r="AR312" s="6">
        <v>1908.2312879999999</v>
      </c>
      <c r="AS312" s="6">
        <v>212.09909390315991</v>
      </c>
      <c r="AT312" s="6">
        <v>197.3130787455917</v>
      </c>
    </row>
    <row r="313" spans="1:46" x14ac:dyDescent="0.35">
      <c r="A313" s="5">
        <v>46022</v>
      </c>
      <c r="B313" s="4" t="s">
        <v>491</v>
      </c>
      <c r="C313" s="4" t="s">
        <v>492</v>
      </c>
      <c r="D313" s="4" t="s">
        <v>79</v>
      </c>
      <c r="E313" s="6">
        <v>34304.065282000003</v>
      </c>
      <c r="F313" s="7">
        <v>0.20119999999999999</v>
      </c>
      <c r="G313" s="6">
        <v>82.1</v>
      </c>
      <c r="H313" s="6">
        <v>56.671999999999997</v>
      </c>
      <c r="I313" s="6">
        <v>96.206896999999998</v>
      </c>
      <c r="J313" s="6">
        <v>54.521931000000002</v>
      </c>
      <c r="K313" s="8">
        <v>53.754449632681236</v>
      </c>
      <c r="L313" s="6">
        <v>23.003445061216429</v>
      </c>
      <c r="M313" s="6">
        <v>7.0371145916167244</v>
      </c>
      <c r="N313" s="6">
        <v>0.40468103257001681</v>
      </c>
      <c r="O313" s="6">
        <v>32.911173202039024</v>
      </c>
      <c r="P313" s="6">
        <v>63.356413887442187</v>
      </c>
      <c r="Q313" s="6">
        <v>49.507636482314403</v>
      </c>
      <c r="R313" s="6">
        <v>52.724512421532687</v>
      </c>
      <c r="S313" s="6">
        <v>58.396582156328463</v>
      </c>
      <c r="T313" s="6">
        <v>83.314557089893071</v>
      </c>
      <c r="U313" s="6">
        <v>243.94328815006861</v>
      </c>
      <c r="V313" s="6">
        <v>307.29970203751083</v>
      </c>
      <c r="W313" s="6">
        <v>8.2658244236864</v>
      </c>
      <c r="X313" s="6">
        <v>8.4931112225894623</v>
      </c>
      <c r="Y313" s="6">
        <v>324.05863768378669</v>
      </c>
      <c r="Z313" s="6">
        <v>10.32041605619527</v>
      </c>
      <c r="AA313" s="6">
        <v>334.37905373998188</v>
      </c>
      <c r="AB313" s="6">
        <v>0</v>
      </c>
      <c r="AC313" s="6">
        <v>24.59217747768345</v>
      </c>
      <c r="AD313" s="6">
        <v>0</v>
      </c>
      <c r="AE313" s="6">
        <v>0</v>
      </c>
      <c r="AF313" s="6">
        <v>358.97123121766538</v>
      </c>
      <c r="AG313" s="6">
        <v>8.8390106210925907</v>
      </c>
      <c r="AH313" s="6">
        <v>0</v>
      </c>
      <c r="AI313" s="6">
        <v>24.59217747768345</v>
      </c>
      <c r="AJ313" s="6">
        <v>367.81024183875797</v>
      </c>
      <c r="AK313" s="6">
        <v>0</v>
      </c>
      <c r="AL313" s="6">
        <v>0</v>
      </c>
      <c r="AM313" s="6">
        <v>0</v>
      </c>
      <c r="AN313" s="6">
        <v>0</v>
      </c>
      <c r="AO313" s="6">
        <v>0</v>
      </c>
      <c r="AP313" s="6">
        <v>367.81024183875797</v>
      </c>
      <c r="AQ313" s="6">
        <v>419.99976084480483</v>
      </c>
      <c r="AR313" s="6">
        <v>923.10846100000003</v>
      </c>
      <c r="AS313" s="6">
        <v>95.941123161018083</v>
      </c>
      <c r="AT313" s="6">
        <v>85.620707104822813</v>
      </c>
    </row>
    <row r="314" spans="1:46" x14ac:dyDescent="0.35">
      <c r="A314" s="5">
        <v>46022</v>
      </c>
      <c r="B314" s="4" t="s">
        <v>493</v>
      </c>
      <c r="C314" s="4" t="s">
        <v>494</v>
      </c>
      <c r="D314" s="4" t="s">
        <v>79</v>
      </c>
      <c r="E314" s="6">
        <v>19661.484979000001</v>
      </c>
      <c r="F314" s="7">
        <v>0.18</v>
      </c>
      <c r="G314" s="6">
        <v>53.1</v>
      </c>
      <c r="H314" s="6">
        <v>18.792000000000002</v>
      </c>
      <c r="I314" s="6">
        <v>100</v>
      </c>
      <c r="J314" s="6">
        <v>18.792446999999999</v>
      </c>
      <c r="K314" s="8">
        <v>100</v>
      </c>
      <c r="L314" s="6">
        <v>0</v>
      </c>
      <c r="M314" s="6">
        <v>0</v>
      </c>
      <c r="N314" s="6">
        <v>0</v>
      </c>
      <c r="O314" s="6">
        <v>0</v>
      </c>
      <c r="P314" s="6">
        <v>0</v>
      </c>
      <c r="Q314" s="6">
        <v>91.854354874329346</v>
      </c>
      <c r="R314" s="6">
        <v>78.204631688556887</v>
      </c>
      <c r="S314" s="6">
        <v>53.190753692217037</v>
      </c>
      <c r="T314" s="6">
        <v>83.134067503205713</v>
      </c>
      <c r="U314" s="6">
        <v>306.38380775830899</v>
      </c>
      <c r="V314" s="6">
        <v>306.38380775830899</v>
      </c>
      <c r="W314" s="6">
        <v>8.9946349134724404</v>
      </c>
      <c r="X314" s="6">
        <v>0</v>
      </c>
      <c r="Y314" s="6">
        <v>315.37844267178139</v>
      </c>
      <c r="Z314" s="6">
        <v>10.4995469473673</v>
      </c>
      <c r="AA314" s="6">
        <v>325.87798961914871</v>
      </c>
      <c r="AB314" s="6">
        <v>0</v>
      </c>
      <c r="AC314" s="6">
        <v>30.9327412534141</v>
      </c>
      <c r="AD314" s="6">
        <v>0</v>
      </c>
      <c r="AE314" s="6">
        <v>0</v>
      </c>
      <c r="AF314" s="6">
        <v>356.81073087256277</v>
      </c>
      <c r="AG314" s="6">
        <v>11.99718146194216</v>
      </c>
      <c r="AH314" s="6">
        <v>0</v>
      </c>
      <c r="AI314" s="6">
        <v>30.9327412534141</v>
      </c>
      <c r="AJ314" s="6">
        <v>368.80791233450498</v>
      </c>
      <c r="AK314" s="6">
        <v>0</v>
      </c>
      <c r="AL314" s="6">
        <v>0</v>
      </c>
      <c r="AM314" s="6">
        <v>0</v>
      </c>
      <c r="AN314" s="6">
        <v>0</v>
      </c>
      <c r="AO314" s="6">
        <v>0</v>
      </c>
      <c r="AP314" s="6">
        <v>368.80791233450498</v>
      </c>
      <c r="AQ314" s="6">
        <v>419.99894922578022</v>
      </c>
      <c r="AR314" s="6">
        <v>174.00663</v>
      </c>
      <c r="AS314" s="6">
        <v>104.62050655399879</v>
      </c>
      <c r="AT314" s="6">
        <v>94.120959606631473</v>
      </c>
    </row>
    <row r="315" spans="1:46" x14ac:dyDescent="0.35">
      <c r="A315" s="5">
        <v>46022</v>
      </c>
      <c r="B315" s="4" t="s">
        <v>483</v>
      </c>
      <c r="C315" s="4" t="s">
        <v>484</v>
      </c>
      <c r="D315" s="4" t="s">
        <v>79</v>
      </c>
      <c r="E315" s="6">
        <v>25469.311331000001</v>
      </c>
      <c r="F315" s="7">
        <v>0.315</v>
      </c>
      <c r="G315" s="6">
        <v>24.93</v>
      </c>
      <c r="H315" s="6">
        <v>20</v>
      </c>
      <c r="I315" s="6">
        <v>100</v>
      </c>
      <c r="J315" s="6">
        <v>20</v>
      </c>
      <c r="K315" s="8">
        <v>99.999999894095978</v>
      </c>
      <c r="L315" s="6">
        <v>35.694967096990901</v>
      </c>
      <c r="M315" s="6">
        <v>23.099998554669121</v>
      </c>
      <c r="N315" s="6">
        <v>1.6816666322972149</v>
      </c>
      <c r="O315" s="6">
        <v>61.859546475000002</v>
      </c>
      <c r="P315" s="6">
        <v>122.3361787589572</v>
      </c>
      <c r="Q315" s="6">
        <v>19.39591883783957</v>
      </c>
      <c r="R315" s="6">
        <v>27.306851134738981</v>
      </c>
      <c r="S315" s="6">
        <v>14.62593061395885</v>
      </c>
      <c r="T315" s="6">
        <v>26.485455211568361</v>
      </c>
      <c r="U315" s="6">
        <v>87.814155798105759</v>
      </c>
      <c r="V315" s="6">
        <v>210.15033455706299</v>
      </c>
      <c r="W315" s="6">
        <v>2.7215542199999998</v>
      </c>
      <c r="X315" s="6">
        <v>0</v>
      </c>
      <c r="Y315" s="6">
        <v>212.87188877706299</v>
      </c>
      <c r="Z315" s="6">
        <v>10.50051950734</v>
      </c>
      <c r="AA315" s="6">
        <v>223.37240828440301</v>
      </c>
      <c r="AB315" s="6">
        <v>0</v>
      </c>
      <c r="AC315" s="6">
        <v>26.755441466483941</v>
      </c>
      <c r="AD315" s="6">
        <v>0</v>
      </c>
      <c r="AE315" s="6">
        <v>0</v>
      </c>
      <c r="AF315" s="6">
        <v>250.1278497508869</v>
      </c>
      <c r="AG315" s="6">
        <v>10.485794791361711</v>
      </c>
      <c r="AH315" s="6">
        <v>0</v>
      </c>
      <c r="AI315" s="6">
        <v>22.85600584162604</v>
      </c>
      <c r="AJ315" s="6">
        <v>256.71420891739069</v>
      </c>
      <c r="AK315" s="6">
        <v>0</v>
      </c>
      <c r="AL315" s="6">
        <v>0</v>
      </c>
      <c r="AM315" s="6">
        <v>0</v>
      </c>
      <c r="AN315" s="6">
        <v>0</v>
      </c>
      <c r="AO315" s="6">
        <v>0</v>
      </c>
      <c r="AP315" s="6">
        <v>256.71420891739069</v>
      </c>
      <c r="AQ315" s="6">
        <v>419.99999964779192</v>
      </c>
      <c r="AR315" s="6">
        <v>185.1883</v>
      </c>
      <c r="AS315" s="6">
        <v>207.1281108707289</v>
      </c>
      <c r="AT315" s="6">
        <v>196.62759136338889</v>
      </c>
    </row>
    <row r="316" spans="1:46" x14ac:dyDescent="0.35">
      <c r="A316" s="5">
        <v>46022</v>
      </c>
      <c r="B316" s="4" t="s">
        <v>495</v>
      </c>
      <c r="C316" s="4" t="s">
        <v>496</v>
      </c>
      <c r="D316" s="4" t="s">
        <v>61</v>
      </c>
      <c r="E316" s="6">
        <v>1482</v>
      </c>
      <c r="F316" s="7">
        <v>0.45008999999999999</v>
      </c>
      <c r="G316" s="6">
        <v>91</v>
      </c>
      <c r="H316" s="6">
        <v>6.07</v>
      </c>
      <c r="I316" s="6">
        <v>97</v>
      </c>
      <c r="J316" s="6">
        <v>5.8879000000000001</v>
      </c>
      <c r="K316" s="8">
        <v>87.930263749212898</v>
      </c>
      <c r="L316" s="6">
        <v>20.822801832290381</v>
      </c>
      <c r="M316" s="6">
        <v>31.151060087746899</v>
      </c>
      <c r="N316" s="6">
        <v>6.3649777942802697</v>
      </c>
      <c r="O316" s="6">
        <v>36.399338912105868</v>
      </c>
      <c r="P316" s="6">
        <v>94.738178626423405</v>
      </c>
      <c r="Q316" s="6">
        <v>18.543507830930899</v>
      </c>
      <c r="R316" s="6">
        <v>14.8476477857965</v>
      </c>
      <c r="S316" s="6">
        <v>49.39340051720918</v>
      </c>
      <c r="T316" s="6">
        <v>26.80190711603095</v>
      </c>
      <c r="U316" s="6">
        <v>109.58646324996749</v>
      </c>
      <c r="V316" s="6">
        <v>204.3246418763909</v>
      </c>
      <c r="W316" s="6">
        <v>40.12744686855914</v>
      </c>
      <c r="X316" s="6">
        <v>21.34817944771542</v>
      </c>
      <c r="Y316" s="6">
        <v>265.8002681926655</v>
      </c>
      <c r="Z316" s="6">
        <v>47.219805813948923</v>
      </c>
      <c r="AA316" s="6">
        <v>313.02007400661438</v>
      </c>
      <c r="AB316" s="6">
        <v>0</v>
      </c>
      <c r="AC316" s="6">
        <v>14.381762721011089</v>
      </c>
      <c r="AD316" s="6">
        <v>0</v>
      </c>
      <c r="AE316" s="6">
        <v>0</v>
      </c>
      <c r="AF316" s="6">
        <v>327.40183672762549</v>
      </c>
      <c r="AG316" s="6">
        <v>14.66375378499507</v>
      </c>
      <c r="AH316" s="6">
        <v>0</v>
      </c>
      <c r="AI316" s="6">
        <v>4.3709232298335392</v>
      </c>
      <c r="AJ316" s="6">
        <v>332.054751021443</v>
      </c>
      <c r="AK316" s="6">
        <v>0</v>
      </c>
      <c r="AL316" s="6">
        <v>0</v>
      </c>
      <c r="AM316" s="6">
        <v>0</v>
      </c>
      <c r="AN316" s="6">
        <v>0</v>
      </c>
      <c r="AO316" s="6">
        <v>0</v>
      </c>
      <c r="AP316" s="6">
        <v>332.054751021443</v>
      </c>
      <c r="AQ316" s="6">
        <v>419.99999964779192</v>
      </c>
      <c r="AR316" s="6">
        <v>62.031427000000001</v>
      </c>
      <c r="AS316" s="6">
        <v>154.1997314551264</v>
      </c>
      <c r="AT316" s="6">
        <v>106.9799256411775</v>
      </c>
    </row>
    <row r="317" spans="1:46" x14ac:dyDescent="0.35">
      <c r="A317" s="5">
        <v>46022</v>
      </c>
      <c r="B317" s="4" t="s">
        <v>640</v>
      </c>
      <c r="C317" s="4" t="s">
        <v>641</v>
      </c>
      <c r="D317" s="4" t="s">
        <v>74</v>
      </c>
      <c r="E317" s="6">
        <v>2100</v>
      </c>
      <c r="F317" s="7">
        <v>1.7009000000000001</v>
      </c>
      <c r="G317" s="6">
        <v>39.119999999999997</v>
      </c>
      <c r="H317" s="6">
        <v>13.972</v>
      </c>
      <c r="I317" s="6">
        <v>97</v>
      </c>
      <c r="J317" s="6">
        <v>13.55284</v>
      </c>
      <c r="K317" s="8">
        <v>69.046529166173912</v>
      </c>
      <c r="L317" s="6">
        <v>125.9391618718586</v>
      </c>
      <c r="M317" s="6">
        <v>17.063822369827331</v>
      </c>
      <c r="N317" s="6">
        <v>15.92633935685167</v>
      </c>
      <c r="O317" s="6">
        <v>97.552138808802937</v>
      </c>
      <c r="P317" s="6">
        <v>256.48146240734059</v>
      </c>
      <c r="Q317" s="6">
        <v>13.44130815381603</v>
      </c>
      <c r="R317" s="6">
        <v>27.046283416980032</v>
      </c>
      <c r="S317" s="6">
        <v>18.166364886233431</v>
      </c>
      <c r="T317" s="6">
        <v>29.24807336685183</v>
      </c>
      <c r="U317" s="6">
        <v>87.902029823881321</v>
      </c>
      <c r="V317" s="6">
        <v>344.38349223122191</v>
      </c>
      <c r="W317" s="6">
        <v>12.07231193147633</v>
      </c>
      <c r="X317" s="6">
        <v>21.224509851289639</v>
      </c>
      <c r="Y317" s="6">
        <v>377.68031401398792</v>
      </c>
      <c r="Z317" s="6">
        <v>2.8123928341646862</v>
      </c>
      <c r="AA317" s="6">
        <v>380.49270684815252</v>
      </c>
      <c r="AB317" s="6">
        <v>0</v>
      </c>
      <c r="AC317" s="6">
        <v>148.76355111841011</v>
      </c>
      <c r="AD317" s="6">
        <v>0</v>
      </c>
      <c r="AE317" s="6">
        <v>0</v>
      </c>
      <c r="AF317" s="6">
        <v>529.25625796656254</v>
      </c>
      <c r="AG317" s="6">
        <v>11.26931468296328</v>
      </c>
      <c r="AH317" s="6">
        <v>0</v>
      </c>
      <c r="AI317" s="6">
        <v>97.570084636068813</v>
      </c>
      <c r="AJ317" s="6">
        <v>489.33210616718458</v>
      </c>
      <c r="AK317" s="6">
        <v>0</v>
      </c>
      <c r="AL317" s="6">
        <v>0</v>
      </c>
      <c r="AM317" s="6">
        <v>0</v>
      </c>
      <c r="AN317" s="6">
        <v>0</v>
      </c>
      <c r="AO317" s="6">
        <v>0</v>
      </c>
      <c r="AP317" s="6">
        <v>489.33210616718458</v>
      </c>
      <c r="AQ317" s="6">
        <v>419.99876005520571</v>
      </c>
      <c r="AR317" s="6">
        <v>188.10466600000001</v>
      </c>
      <c r="AS317" s="6">
        <v>42.318446041217904</v>
      </c>
      <c r="AT317" s="6">
        <v>39.506053207053213</v>
      </c>
    </row>
    <row r="318" spans="1:46" x14ac:dyDescent="0.35">
      <c r="A318" s="5">
        <v>46022</v>
      </c>
      <c r="B318" s="4" t="s">
        <v>485</v>
      </c>
      <c r="C318" s="4" t="s">
        <v>486</v>
      </c>
      <c r="D318" s="4" t="s">
        <v>61</v>
      </c>
      <c r="E318" s="6">
        <v>300</v>
      </c>
      <c r="F318" s="7">
        <v>0.5</v>
      </c>
      <c r="G318" s="6">
        <v>91</v>
      </c>
      <c r="H318" s="6">
        <v>1.365</v>
      </c>
      <c r="I318" s="6">
        <v>95</v>
      </c>
      <c r="J318" s="6">
        <v>1.296794</v>
      </c>
      <c r="K318" s="8">
        <v>58.643523358247279</v>
      </c>
      <c r="L318" s="6">
        <v>32.47106766569663</v>
      </c>
      <c r="M318" s="6">
        <v>2.6795285892892342</v>
      </c>
      <c r="N318" s="6">
        <v>8.8052009439827366</v>
      </c>
      <c r="O318" s="6">
        <v>17.146923944673269</v>
      </c>
      <c r="P318" s="6">
        <v>61.102721143641872</v>
      </c>
      <c r="Q318" s="6">
        <v>6.0895747722705158</v>
      </c>
      <c r="R318" s="6">
        <v>5.607906502752205</v>
      </c>
      <c r="S318" s="6">
        <v>18.17149591546767</v>
      </c>
      <c r="T318" s="6">
        <v>12.13217838077788</v>
      </c>
      <c r="U318" s="6">
        <v>42.001155571268271</v>
      </c>
      <c r="V318" s="6">
        <v>103.1038767149101</v>
      </c>
      <c r="W318" s="6">
        <v>1.841280135339604</v>
      </c>
      <c r="X318" s="6">
        <v>20.452712408620101</v>
      </c>
      <c r="Y318" s="6">
        <v>125.3978692588698</v>
      </c>
      <c r="Z318" s="6">
        <v>33.803682293725011</v>
      </c>
      <c r="AA318" s="6">
        <v>159.20155155259491</v>
      </c>
      <c r="AB318" s="6">
        <v>0</v>
      </c>
      <c r="AC318" s="6">
        <v>13.399162909429201</v>
      </c>
      <c r="AD318" s="6">
        <v>0</v>
      </c>
      <c r="AE318" s="6">
        <v>0</v>
      </c>
      <c r="AF318" s="6">
        <v>172.60071446202409</v>
      </c>
      <c r="AG318" s="6">
        <v>14.95524808967137</v>
      </c>
      <c r="AH318" s="6">
        <v>0</v>
      </c>
      <c r="AI318" s="6">
        <v>9.4226689831755195</v>
      </c>
      <c r="AJ318" s="6">
        <v>183.57946862544171</v>
      </c>
      <c r="AK318" s="6">
        <v>0</v>
      </c>
      <c r="AL318" s="6">
        <v>0</v>
      </c>
      <c r="AM318" s="6">
        <v>0</v>
      </c>
      <c r="AN318" s="6">
        <v>0</v>
      </c>
      <c r="AO318" s="6">
        <v>0</v>
      </c>
      <c r="AP318" s="6">
        <v>183.57946862544171</v>
      </c>
      <c r="AQ318" s="6">
        <v>420.0019429016919</v>
      </c>
      <c r="AR318" s="6">
        <v>22.167285</v>
      </c>
      <c r="AS318" s="6">
        <v>294.60407364282202</v>
      </c>
      <c r="AT318" s="6">
        <v>260.80039134909703</v>
      </c>
    </row>
    <row r="319" spans="1:46" x14ac:dyDescent="0.35">
      <c r="A319" s="5">
        <v>46022</v>
      </c>
      <c r="B319" s="4" t="s">
        <v>497</v>
      </c>
      <c r="C319" s="4" t="s">
        <v>498</v>
      </c>
      <c r="D319" s="4" t="s">
        <v>55</v>
      </c>
      <c r="E319" s="6">
        <v>13580.463576</v>
      </c>
      <c r="F319" s="7">
        <v>0.57840000000000003</v>
      </c>
      <c r="G319" s="6">
        <v>70</v>
      </c>
      <c r="H319" s="6">
        <v>54.981999999999999</v>
      </c>
      <c r="I319" s="6">
        <v>97.5</v>
      </c>
      <c r="J319" s="6">
        <v>53.607019999999999</v>
      </c>
      <c r="K319" s="8">
        <v>84.127459980651309</v>
      </c>
      <c r="L319" s="6">
        <v>54.074035899178178</v>
      </c>
      <c r="M319" s="6">
        <v>21.933743424074621</v>
      </c>
      <c r="N319" s="6">
        <v>4.4685227280755466</v>
      </c>
      <c r="O319" s="6">
        <v>66.689656578375619</v>
      </c>
      <c r="P319" s="6">
        <v>147.16595862970399</v>
      </c>
      <c r="Q319" s="6">
        <v>24.580780514934169</v>
      </c>
      <c r="R319" s="6">
        <v>22.521464754500538</v>
      </c>
      <c r="S319" s="6">
        <v>20.101430628985121</v>
      </c>
      <c r="T319" s="6">
        <v>25.06454179556405</v>
      </c>
      <c r="U319" s="6">
        <v>92.268217693983885</v>
      </c>
      <c r="V319" s="6">
        <v>239.43417632368781</v>
      </c>
      <c r="W319" s="6">
        <v>20.140047666022831</v>
      </c>
      <c r="X319" s="6">
        <v>18.436805658747129</v>
      </c>
      <c r="Y319" s="6">
        <v>278.01102964845779</v>
      </c>
      <c r="Z319" s="6">
        <v>7.1037289104815482</v>
      </c>
      <c r="AA319" s="6">
        <v>285.1147585589394</v>
      </c>
      <c r="AB319" s="6">
        <v>0</v>
      </c>
      <c r="AC319" s="6">
        <v>56.217068791026499</v>
      </c>
      <c r="AD319" s="6">
        <v>0</v>
      </c>
      <c r="AE319" s="6">
        <v>0</v>
      </c>
      <c r="AF319" s="6">
        <v>341.33182734996592</v>
      </c>
      <c r="AG319" s="6">
        <v>8.3996994111526533</v>
      </c>
      <c r="AH319" s="6">
        <v>0</v>
      </c>
      <c r="AI319" s="6">
        <v>44.615546786155342</v>
      </c>
      <c r="AJ319" s="6">
        <v>338.13000475624739</v>
      </c>
      <c r="AK319" s="6">
        <v>0</v>
      </c>
      <c r="AL319" s="6">
        <v>0</v>
      </c>
      <c r="AM319" s="6">
        <v>0</v>
      </c>
      <c r="AN319" s="6">
        <v>0</v>
      </c>
      <c r="AO319" s="6">
        <v>0</v>
      </c>
      <c r="AP319" s="6">
        <v>338.13000475624739</v>
      </c>
      <c r="AQ319" s="6">
        <v>419.99984295189671</v>
      </c>
      <c r="AR319" s="6">
        <v>588.46835799999997</v>
      </c>
      <c r="AS319" s="6">
        <v>141.9888133034388</v>
      </c>
      <c r="AT319" s="6">
        <v>134.88508439295731</v>
      </c>
    </row>
    <row r="320" spans="1:46" x14ac:dyDescent="0.35">
      <c r="A320" s="5">
        <v>46022</v>
      </c>
      <c r="B320" s="4" t="s">
        <v>642</v>
      </c>
      <c r="C320" s="4" t="s">
        <v>643</v>
      </c>
      <c r="D320" s="4" t="s">
        <v>58</v>
      </c>
      <c r="E320" s="6">
        <v>31090</v>
      </c>
      <c r="F320" s="7">
        <v>0.64639999999999997</v>
      </c>
      <c r="G320" s="6">
        <v>80</v>
      </c>
      <c r="H320" s="6">
        <v>160.78200000000001</v>
      </c>
      <c r="I320" s="6">
        <v>96.333332999999996</v>
      </c>
      <c r="J320" s="6">
        <v>154.886425</v>
      </c>
      <c r="K320" s="8">
        <v>87.172649980389522</v>
      </c>
      <c r="L320" s="6">
        <v>41.384817135972462</v>
      </c>
      <c r="M320" s="6">
        <v>27.217045403930449</v>
      </c>
      <c r="N320" s="6">
        <v>0.65492493015072373</v>
      </c>
      <c r="O320" s="6">
        <v>10.230396323648099</v>
      </c>
      <c r="P320" s="6">
        <v>79.487183793701746</v>
      </c>
      <c r="Q320" s="6">
        <v>21.157902438610229</v>
      </c>
      <c r="R320" s="6">
        <v>19.770564187050581</v>
      </c>
      <c r="S320" s="6">
        <v>41.718700589322729</v>
      </c>
      <c r="T320" s="6">
        <v>17.474525135004289</v>
      </c>
      <c r="U320" s="6">
        <v>100.1216923499878</v>
      </c>
      <c r="V320" s="6">
        <v>179.6088761436896</v>
      </c>
      <c r="W320" s="6">
        <v>11.64235848932621</v>
      </c>
      <c r="X320" s="6">
        <v>19.868770487661401</v>
      </c>
      <c r="Y320" s="6">
        <v>211.12000512067721</v>
      </c>
      <c r="Z320" s="6">
        <v>3.967963434709973</v>
      </c>
      <c r="AA320" s="6">
        <v>215.08796855538711</v>
      </c>
      <c r="AB320" s="6">
        <v>0</v>
      </c>
      <c r="AC320" s="6">
        <v>119.16834368341991</v>
      </c>
      <c r="AD320" s="6">
        <v>0</v>
      </c>
      <c r="AE320" s="6">
        <v>0</v>
      </c>
      <c r="AF320" s="6">
        <v>334.25631223880703</v>
      </c>
      <c r="AG320" s="6">
        <v>11.676301290264</v>
      </c>
      <c r="AH320" s="6">
        <v>0</v>
      </c>
      <c r="AI320" s="6">
        <v>96.879577424789218</v>
      </c>
      <c r="AJ320" s="6">
        <v>323.6438472704404</v>
      </c>
      <c r="AK320" s="6">
        <v>0</v>
      </c>
      <c r="AL320" s="6">
        <v>0</v>
      </c>
      <c r="AM320" s="6">
        <v>0</v>
      </c>
      <c r="AN320" s="6">
        <v>0</v>
      </c>
      <c r="AO320" s="6">
        <v>0</v>
      </c>
      <c r="AP320" s="6">
        <v>323.6438472704404</v>
      </c>
      <c r="AQ320" s="6">
        <v>419.99993185618268</v>
      </c>
      <c r="AR320" s="6">
        <v>1640.7733780000001</v>
      </c>
      <c r="AS320" s="6">
        <v>208.87992673550559</v>
      </c>
      <c r="AT320" s="6">
        <v>204.91196330079561</v>
      </c>
    </row>
    <row r="321" spans="1:46" x14ac:dyDescent="0.35">
      <c r="A321" s="5">
        <v>46022</v>
      </c>
      <c r="B321" s="4" t="s">
        <v>825</v>
      </c>
      <c r="C321" s="4" t="s">
        <v>826</v>
      </c>
      <c r="D321" s="4" t="s">
        <v>58</v>
      </c>
      <c r="E321" s="6">
        <v>1582</v>
      </c>
      <c r="F321" s="7">
        <v>0.71589999999999998</v>
      </c>
      <c r="G321" s="6">
        <v>88</v>
      </c>
      <c r="H321" s="6">
        <v>9.9670000000000005</v>
      </c>
      <c r="I321" s="6">
        <v>100</v>
      </c>
      <c r="J321" s="6">
        <v>9.9665999999999997</v>
      </c>
      <c r="K321" s="8">
        <v>100</v>
      </c>
      <c r="L321" s="6">
        <v>51.365339969716672</v>
      </c>
      <c r="M321" s="6">
        <v>12.495267413725561</v>
      </c>
      <c r="N321" s="6">
        <v>6.6770452836144436</v>
      </c>
      <c r="O321" s="6">
        <v>22.12072790125</v>
      </c>
      <c r="P321" s="6">
        <v>92.658380568306669</v>
      </c>
      <c r="Q321" s="6">
        <v>35.88683873777444</v>
      </c>
      <c r="R321" s="6">
        <v>21.59092481321111</v>
      </c>
      <c r="S321" s="6">
        <v>43.71914058850556</v>
      </c>
      <c r="T321" s="6">
        <v>12.48476999030556</v>
      </c>
      <c r="U321" s="6">
        <v>113.6816741297967</v>
      </c>
      <c r="V321" s="6">
        <v>206.3400546981033</v>
      </c>
      <c r="W321" s="6">
        <v>8.7404725003868577</v>
      </c>
      <c r="X321" s="6">
        <v>0</v>
      </c>
      <c r="Y321" s="6">
        <v>215.08052719849019</v>
      </c>
      <c r="Z321" s="6">
        <v>0</v>
      </c>
      <c r="AA321" s="6">
        <v>215.08052719849019</v>
      </c>
      <c r="AB321" s="6">
        <v>0</v>
      </c>
      <c r="AC321" s="6">
        <v>102.6950189392967</v>
      </c>
      <c r="AD321" s="6">
        <v>0</v>
      </c>
      <c r="AE321" s="6">
        <v>0</v>
      </c>
      <c r="AF321" s="6">
        <v>317.77554613778688</v>
      </c>
      <c r="AG321" s="6">
        <v>13.394453088280001</v>
      </c>
      <c r="AH321" s="6">
        <v>0</v>
      </c>
      <c r="AI321" s="6">
        <v>72.219018784342225</v>
      </c>
      <c r="AJ321" s="6">
        <v>300.69399907111239</v>
      </c>
      <c r="AK321" s="6">
        <v>0</v>
      </c>
      <c r="AL321" s="6">
        <v>0</v>
      </c>
      <c r="AM321" s="6">
        <v>0</v>
      </c>
      <c r="AN321" s="6">
        <v>0</v>
      </c>
      <c r="AO321" s="6">
        <v>0</v>
      </c>
      <c r="AP321" s="6">
        <v>300.69399907111239</v>
      </c>
      <c r="AQ321" s="6">
        <v>419.99999964779198</v>
      </c>
      <c r="AR321" s="6">
        <v>92.284885000000003</v>
      </c>
      <c r="AS321" s="6">
        <v>204.91947244930179</v>
      </c>
      <c r="AT321" s="6">
        <v>204.91947244930179</v>
      </c>
    </row>
    <row r="322" spans="1:46" x14ac:dyDescent="0.35">
      <c r="A322" s="5">
        <v>46022</v>
      </c>
      <c r="B322" s="4" t="s">
        <v>501</v>
      </c>
      <c r="C322" s="4" t="s">
        <v>502</v>
      </c>
      <c r="D322" s="4" t="s">
        <v>79</v>
      </c>
      <c r="E322" s="6">
        <v>713.73717699999997</v>
      </c>
      <c r="F322" s="7">
        <v>0.04</v>
      </c>
      <c r="G322" s="6">
        <v>92</v>
      </c>
      <c r="H322" s="6">
        <v>0.26300000000000001</v>
      </c>
      <c r="I322" s="6">
        <v>100</v>
      </c>
      <c r="J322" s="6">
        <v>0.26265500000000003</v>
      </c>
      <c r="K322" s="8">
        <v>0.59948717060843404</v>
      </c>
      <c r="L322" s="6">
        <v>85.543985780432706</v>
      </c>
      <c r="M322" s="6">
        <v>11.09912128012683</v>
      </c>
      <c r="N322" s="6">
        <v>14.17981933370832</v>
      </c>
      <c r="O322" s="6">
        <v>92.468778643892307</v>
      </c>
      <c r="P322" s="6">
        <v>203.29170503816019</v>
      </c>
      <c r="Q322" s="6">
        <v>17.870263553959099</v>
      </c>
      <c r="R322" s="6">
        <v>14.440779792473389</v>
      </c>
      <c r="S322" s="6">
        <v>16.867534570053621</v>
      </c>
      <c r="T322" s="6">
        <v>20.783732597150468</v>
      </c>
      <c r="U322" s="6">
        <v>69.962310513636567</v>
      </c>
      <c r="V322" s="6">
        <v>273.25401555179673</v>
      </c>
      <c r="W322" s="6">
        <v>0</v>
      </c>
      <c r="X322" s="6">
        <v>127.091042712518</v>
      </c>
      <c r="Y322" s="6">
        <v>400.34505826431467</v>
      </c>
      <c r="Z322" s="6">
        <v>0</v>
      </c>
      <c r="AA322" s="6">
        <v>400.34505826431467</v>
      </c>
      <c r="AB322" s="6">
        <v>0</v>
      </c>
      <c r="AC322" s="6">
        <v>32.87622885441111</v>
      </c>
      <c r="AD322" s="6">
        <v>0</v>
      </c>
      <c r="AE322" s="6">
        <v>0</v>
      </c>
      <c r="AF322" s="6">
        <v>433.22128711872591</v>
      </c>
      <c r="AG322" s="6">
        <v>20.04997471956607</v>
      </c>
      <c r="AH322" s="6">
        <v>3.9715861019519032</v>
      </c>
      <c r="AI322" s="6">
        <v>74.718702143367466</v>
      </c>
      <c r="AJ322" s="6">
        <v>499.08532122920019</v>
      </c>
      <c r="AK322" s="6">
        <v>14.13907742112683</v>
      </c>
      <c r="AL322" s="6">
        <v>0</v>
      </c>
      <c r="AM322" s="6">
        <v>0</v>
      </c>
      <c r="AN322" s="6">
        <v>0</v>
      </c>
      <c r="AO322" s="6">
        <v>0</v>
      </c>
      <c r="AP322" s="6">
        <v>513.22439865032698</v>
      </c>
      <c r="AQ322" s="6">
        <v>420.0719571585347</v>
      </c>
      <c r="AR322" s="6">
        <v>299.036406</v>
      </c>
      <c r="AS322" s="6">
        <v>19.72689889421995</v>
      </c>
      <c r="AT322" s="6">
        <v>19.72689889421995</v>
      </c>
    </row>
    <row r="323" spans="1:46" x14ac:dyDescent="0.35">
      <c r="A323" s="5">
        <v>46022</v>
      </c>
      <c r="B323" s="4" t="s">
        <v>499</v>
      </c>
      <c r="C323" s="4" t="s">
        <v>500</v>
      </c>
      <c r="D323" s="4" t="s">
        <v>222</v>
      </c>
      <c r="E323" s="6">
        <v>1000</v>
      </c>
      <c r="F323" s="7">
        <v>0.85</v>
      </c>
      <c r="G323" s="6">
        <v>85</v>
      </c>
      <c r="H323" s="6">
        <v>7.2249999999999996</v>
      </c>
      <c r="I323" s="6">
        <v>95.453287000000003</v>
      </c>
      <c r="J323" s="6">
        <v>6.8964999999999996</v>
      </c>
      <c r="K323" s="8">
        <v>26.039577346232377</v>
      </c>
      <c r="L323" s="6">
        <v>116.6091499554186</v>
      </c>
      <c r="M323" s="6">
        <v>17.116680014422119</v>
      </c>
      <c r="N323" s="6">
        <v>16.51984742725735</v>
      </c>
      <c r="O323" s="6">
        <v>198.3552259524356</v>
      </c>
      <c r="P323" s="6">
        <v>348.60090334953361</v>
      </c>
      <c r="Q323" s="6">
        <v>7.4184566108116821</v>
      </c>
      <c r="R323" s="6">
        <v>13.36587776527403</v>
      </c>
      <c r="S323" s="6">
        <v>5.3919664115708947</v>
      </c>
      <c r="T323" s="6">
        <v>20.88530076902633</v>
      </c>
      <c r="U323" s="6">
        <v>47.061601556682938</v>
      </c>
      <c r="V323" s="6">
        <v>395.6625049062165</v>
      </c>
      <c r="W323" s="6">
        <v>16.369538747698162</v>
      </c>
      <c r="X323" s="6">
        <v>21.715505304768691</v>
      </c>
      <c r="Y323" s="6">
        <v>433.74754895868341</v>
      </c>
      <c r="Z323" s="6">
        <v>0</v>
      </c>
      <c r="AA323" s="6">
        <v>433.74754895868341</v>
      </c>
      <c r="AB323" s="6">
        <v>0</v>
      </c>
      <c r="AC323" s="6">
        <v>189.22462059676741</v>
      </c>
      <c r="AD323" s="6">
        <v>0</v>
      </c>
      <c r="AE323" s="6">
        <v>0</v>
      </c>
      <c r="AF323" s="6">
        <v>622.97216955545082</v>
      </c>
      <c r="AG323" s="6">
        <v>1.776671464440589</v>
      </c>
      <c r="AH323" s="6">
        <v>0</v>
      </c>
      <c r="AI323" s="6">
        <v>71.133957136520081</v>
      </c>
      <c r="AJ323" s="6">
        <v>506.658177559644</v>
      </c>
      <c r="AK323" s="6">
        <v>342.5318234546757</v>
      </c>
      <c r="AL323" s="6">
        <v>0</v>
      </c>
      <c r="AM323" s="6">
        <v>0</v>
      </c>
      <c r="AN323" s="6">
        <v>0</v>
      </c>
      <c r="AO323" s="6">
        <v>0</v>
      </c>
      <c r="AP323" s="6">
        <v>849.19000101431971</v>
      </c>
      <c r="AQ323" s="6">
        <v>419.99999964779198</v>
      </c>
      <c r="AR323" s="6">
        <v>268.049848</v>
      </c>
      <c r="AS323" s="6">
        <v>-13.74754931089142</v>
      </c>
      <c r="AT323" s="6">
        <v>-13.74754931089142</v>
      </c>
    </row>
    <row r="324" spans="1:46" x14ac:dyDescent="0.35">
      <c r="A324" s="5">
        <v>46022</v>
      </c>
      <c r="B324" s="4" t="s">
        <v>503</v>
      </c>
      <c r="C324" s="4" t="s">
        <v>504</v>
      </c>
      <c r="D324" s="4" t="s">
        <v>61</v>
      </c>
      <c r="E324" s="6">
        <v>121.03</v>
      </c>
      <c r="F324" s="7">
        <v>1.0911</v>
      </c>
      <c r="G324" s="6">
        <v>78</v>
      </c>
      <c r="H324" s="6">
        <v>1.03</v>
      </c>
      <c r="I324" s="6">
        <v>97</v>
      </c>
      <c r="J324" s="6">
        <v>0.99909999999999999</v>
      </c>
      <c r="K324" s="8">
        <v>100</v>
      </c>
      <c r="L324" s="6">
        <v>54.519331974624023</v>
      </c>
      <c r="M324" s="6">
        <v>9.0852677204551391</v>
      </c>
      <c r="N324" s="6">
        <v>15.349546071279811</v>
      </c>
      <c r="O324" s="6">
        <v>23.932470585918072</v>
      </c>
      <c r="P324" s="6">
        <v>102.886616352277</v>
      </c>
      <c r="Q324" s="6">
        <v>14.766457165199551</v>
      </c>
      <c r="R324" s="6">
        <v>10.49784767190868</v>
      </c>
      <c r="S324" s="6">
        <v>19.775580832522081</v>
      </c>
      <c r="T324" s="6">
        <v>19.051017986688059</v>
      </c>
      <c r="U324" s="6">
        <v>64.090903656318375</v>
      </c>
      <c r="V324" s="6">
        <v>166.97752000859541</v>
      </c>
      <c r="W324" s="6">
        <v>9.5225848393747761</v>
      </c>
      <c r="X324" s="6">
        <v>25.79683805825243</v>
      </c>
      <c r="Y324" s="6">
        <v>202.2969429062226</v>
      </c>
      <c r="Z324" s="6">
        <v>34.10085669017208</v>
      </c>
      <c r="AA324" s="6">
        <v>236.39779959639469</v>
      </c>
      <c r="AB324" s="6">
        <v>0</v>
      </c>
      <c r="AC324" s="6">
        <v>18.07018988267891</v>
      </c>
      <c r="AD324" s="6">
        <v>0</v>
      </c>
      <c r="AE324" s="6">
        <v>0</v>
      </c>
      <c r="AF324" s="6">
        <v>254.46798947907359</v>
      </c>
      <c r="AG324" s="6">
        <v>14.434539862027719</v>
      </c>
      <c r="AH324" s="6">
        <v>0</v>
      </c>
      <c r="AI324" s="6">
        <v>5.3955820947416742</v>
      </c>
      <c r="AJ324" s="6">
        <v>256.22792155316409</v>
      </c>
      <c r="AK324" s="6">
        <v>0</v>
      </c>
      <c r="AL324" s="6">
        <v>0</v>
      </c>
      <c r="AM324" s="6">
        <v>0</v>
      </c>
      <c r="AN324" s="6">
        <v>0</v>
      </c>
      <c r="AO324" s="6">
        <v>0</v>
      </c>
      <c r="AP324" s="6">
        <v>256.22792155316409</v>
      </c>
      <c r="AQ324" s="6">
        <v>419.99999964779192</v>
      </c>
      <c r="AR324" s="6">
        <v>9.2510809999999992</v>
      </c>
      <c r="AS324" s="6">
        <v>217.7030567415693</v>
      </c>
      <c r="AT324" s="6">
        <v>183.60220005139729</v>
      </c>
    </row>
    <row r="325" spans="1:46" x14ac:dyDescent="0.35">
      <c r="A325" s="5">
        <v>46022</v>
      </c>
      <c r="B325" s="4" t="s">
        <v>515</v>
      </c>
      <c r="C325" s="4" t="s">
        <v>516</v>
      </c>
      <c r="D325" s="4" t="s">
        <v>61</v>
      </c>
      <c r="E325" s="6">
        <v>273.22000000000003</v>
      </c>
      <c r="F325" s="7">
        <v>1.83</v>
      </c>
      <c r="G325" s="6">
        <v>95</v>
      </c>
      <c r="H325" s="6">
        <v>4.75</v>
      </c>
      <c r="I325" s="6">
        <v>97</v>
      </c>
      <c r="J325" s="6">
        <v>4.6074999999999999</v>
      </c>
      <c r="K325" s="8">
        <v>92.087714327723774</v>
      </c>
      <c r="L325" s="6">
        <v>7.9299489149954141</v>
      </c>
      <c r="M325" s="6">
        <v>4.735701209632194</v>
      </c>
      <c r="N325" s="6">
        <v>1.07170777065861</v>
      </c>
      <c r="O325" s="6">
        <v>11.7157258079702</v>
      </c>
      <c r="P325" s="6">
        <v>25.453083703256421</v>
      </c>
      <c r="Q325" s="6">
        <v>5.0105864814231484</v>
      </c>
      <c r="R325" s="6">
        <v>4.8428930406439736</v>
      </c>
      <c r="S325" s="6">
        <v>4.5941939237069001</v>
      </c>
      <c r="T325" s="6">
        <v>9.2064719484910018</v>
      </c>
      <c r="U325" s="6">
        <v>23.654145394265019</v>
      </c>
      <c r="V325" s="6">
        <v>49.107229097521447</v>
      </c>
      <c r="W325" s="6">
        <v>9.5982744047343367</v>
      </c>
      <c r="X325" s="6">
        <v>26.131431038405069</v>
      </c>
      <c r="Y325" s="6">
        <v>84.836934540660849</v>
      </c>
      <c r="Z325" s="6">
        <v>35.195813770024337</v>
      </c>
      <c r="AA325" s="6">
        <v>120.03274831068521</v>
      </c>
      <c r="AB325" s="6">
        <v>0</v>
      </c>
      <c r="AC325" s="6">
        <v>11.58698216714159</v>
      </c>
      <c r="AD325" s="6">
        <v>0</v>
      </c>
      <c r="AE325" s="6">
        <v>0</v>
      </c>
      <c r="AF325" s="6">
        <v>131.61973047782681</v>
      </c>
      <c r="AG325" s="6">
        <v>4.9757905011557133</v>
      </c>
      <c r="AH325" s="6">
        <v>0</v>
      </c>
      <c r="AI325" s="6">
        <v>4.2450798694092207</v>
      </c>
      <c r="AJ325" s="6">
        <v>129.25361868125009</v>
      </c>
      <c r="AK325" s="6">
        <v>0</v>
      </c>
      <c r="AL325" s="6">
        <v>0</v>
      </c>
      <c r="AM325" s="6">
        <v>0</v>
      </c>
      <c r="AN325" s="6">
        <v>0</v>
      </c>
      <c r="AO325" s="6">
        <v>0</v>
      </c>
      <c r="AP325" s="6">
        <v>129.25361868125009</v>
      </c>
      <c r="AQ325" s="6">
        <v>419.99999964779192</v>
      </c>
      <c r="AR325" s="6">
        <v>46.267626999999997</v>
      </c>
      <c r="AS325" s="6">
        <v>335.1630651071311</v>
      </c>
      <c r="AT325" s="6">
        <v>299.9672513371068</v>
      </c>
    </row>
    <row r="326" spans="1:46" x14ac:dyDescent="0.35">
      <c r="A326" s="5">
        <v>46022</v>
      </c>
      <c r="B326" s="4" t="s">
        <v>827</v>
      </c>
      <c r="C326" s="4" t="s">
        <v>828</v>
      </c>
      <c r="D326" s="4" t="s">
        <v>61</v>
      </c>
      <c r="E326" s="6">
        <v>49.38</v>
      </c>
      <c r="F326" s="7">
        <v>0.81</v>
      </c>
      <c r="G326" s="6">
        <v>80</v>
      </c>
      <c r="H326" s="6">
        <v>0.32</v>
      </c>
      <c r="I326" s="6">
        <v>94.568749999999994</v>
      </c>
      <c r="J326" s="6">
        <v>0.30262</v>
      </c>
      <c r="K326" s="8">
        <v>59.870628459489794</v>
      </c>
      <c r="L326" s="6">
        <v>45.731311038763351</v>
      </c>
      <c r="M326" s="6">
        <v>1.4859807922591239</v>
      </c>
      <c r="N326" s="6">
        <v>3.9052573157594508</v>
      </c>
      <c r="O326" s="6">
        <v>13.003014753716011</v>
      </c>
      <c r="P326" s="6">
        <v>64.125563900497923</v>
      </c>
      <c r="Q326" s="6">
        <v>8.2271577009627315</v>
      </c>
      <c r="R326" s="6">
        <v>21.130676795750411</v>
      </c>
      <c r="S326" s="6">
        <v>11.17441946183795</v>
      </c>
      <c r="T326" s="6">
        <v>19.576372433258879</v>
      </c>
      <c r="U326" s="6">
        <v>60.10862639180997</v>
      </c>
      <c r="V326" s="6">
        <v>124.2341902923079</v>
      </c>
      <c r="W326" s="6">
        <v>5.1191681623471146</v>
      </c>
      <c r="X326" s="6">
        <v>19.342498507895939</v>
      </c>
      <c r="Y326" s="6">
        <v>148.69585696255101</v>
      </c>
      <c r="Z326" s="6">
        <v>28.114797448333839</v>
      </c>
      <c r="AA326" s="6">
        <v>176.81065441088481</v>
      </c>
      <c r="AB326" s="6">
        <v>0</v>
      </c>
      <c r="AC326" s="6">
        <v>11.29916158993105</v>
      </c>
      <c r="AD326" s="6">
        <v>0</v>
      </c>
      <c r="AE326" s="6">
        <v>0</v>
      </c>
      <c r="AF326" s="6">
        <v>188.10981600081581</v>
      </c>
      <c r="AG326" s="6">
        <v>12.965424920128051</v>
      </c>
      <c r="AH326" s="6">
        <v>0</v>
      </c>
      <c r="AI326" s="6">
        <v>11.29916158993105</v>
      </c>
      <c r="AJ326" s="6">
        <v>201.07524092094391</v>
      </c>
      <c r="AK326" s="6">
        <v>0</v>
      </c>
      <c r="AL326" s="6">
        <v>0</v>
      </c>
      <c r="AM326" s="6">
        <v>0</v>
      </c>
      <c r="AN326" s="6">
        <v>0</v>
      </c>
      <c r="AO326" s="6">
        <v>0</v>
      </c>
      <c r="AP326" s="6">
        <v>201.07524092094391</v>
      </c>
      <c r="AQ326" s="6">
        <v>419.97224206404678</v>
      </c>
      <c r="AR326" s="6">
        <v>4.7474540000000003</v>
      </c>
      <c r="AS326" s="6">
        <v>271.2763851014958</v>
      </c>
      <c r="AT326" s="6">
        <v>243.161587653162</v>
      </c>
    </row>
    <row r="327" spans="1:46" x14ac:dyDescent="0.35">
      <c r="A327" s="5">
        <v>46022</v>
      </c>
      <c r="B327" s="4" t="s">
        <v>644</v>
      </c>
      <c r="C327" s="4" t="s">
        <v>645</v>
      </c>
      <c r="D327" s="4" t="s">
        <v>61</v>
      </c>
      <c r="E327" s="6">
        <v>313.58</v>
      </c>
      <c r="F327" s="7">
        <v>1.02</v>
      </c>
      <c r="G327" s="6">
        <v>87</v>
      </c>
      <c r="H327" s="6">
        <v>2.7829999999999999</v>
      </c>
      <c r="I327" s="6">
        <v>97</v>
      </c>
      <c r="J327" s="6">
        <v>2.6992280000000002</v>
      </c>
      <c r="K327" s="8">
        <v>93.734894718564334</v>
      </c>
      <c r="L327" s="6">
        <v>14.817662698640021</v>
      </c>
      <c r="M327" s="6">
        <v>8.0175801005928893</v>
      </c>
      <c r="N327" s="6">
        <v>3.2409895543779248</v>
      </c>
      <c r="O327" s="6">
        <v>25.556096769802512</v>
      </c>
      <c r="P327" s="6">
        <v>51.632329123413349</v>
      </c>
      <c r="Q327" s="6">
        <v>12.24975782118859</v>
      </c>
      <c r="R327" s="6">
        <v>13.978554287888601</v>
      </c>
      <c r="S327" s="6">
        <v>17.33010284602123</v>
      </c>
      <c r="T327" s="6">
        <v>32.945921236825782</v>
      </c>
      <c r="U327" s="6">
        <v>76.504336191924196</v>
      </c>
      <c r="V327" s="6">
        <v>128.1366653153375</v>
      </c>
      <c r="W327" s="6">
        <v>6.1862008355891556</v>
      </c>
      <c r="X327" s="6">
        <v>24.66434576102564</v>
      </c>
      <c r="Y327" s="6">
        <v>158.9872119119523</v>
      </c>
      <c r="Z327" s="6">
        <v>35.185041557179233</v>
      </c>
      <c r="AA327" s="6">
        <v>194.17225346913159</v>
      </c>
      <c r="AB327" s="6">
        <v>0</v>
      </c>
      <c r="AC327" s="6">
        <v>22.893399512372689</v>
      </c>
      <c r="AD327" s="6">
        <v>0</v>
      </c>
      <c r="AE327" s="6">
        <v>0</v>
      </c>
      <c r="AF327" s="6">
        <v>217.06565298150429</v>
      </c>
      <c r="AG327" s="6">
        <v>20.155316850157799</v>
      </c>
      <c r="AH327" s="6">
        <v>0</v>
      </c>
      <c r="AI327" s="6">
        <v>18.253872889456179</v>
      </c>
      <c r="AJ327" s="6">
        <v>232.58144320874561</v>
      </c>
      <c r="AK327" s="6">
        <v>0</v>
      </c>
      <c r="AL327" s="6">
        <v>0</v>
      </c>
      <c r="AM327" s="6">
        <v>0</v>
      </c>
      <c r="AN327" s="6">
        <v>0</v>
      </c>
      <c r="AO327" s="6">
        <v>0</v>
      </c>
      <c r="AP327" s="6">
        <v>232.58144320874561</v>
      </c>
      <c r="AQ327" s="6">
        <v>419.99564284651763</v>
      </c>
      <c r="AR327" s="6">
        <v>26.635846000000001</v>
      </c>
      <c r="AS327" s="6">
        <v>261.00843093456518</v>
      </c>
      <c r="AT327" s="6">
        <v>225.82338937738601</v>
      </c>
    </row>
    <row r="328" spans="1:46" x14ac:dyDescent="0.35">
      <c r="A328" s="5">
        <v>46022</v>
      </c>
      <c r="B328" s="4" t="s">
        <v>646</v>
      </c>
      <c r="C328" s="4" t="s">
        <v>647</v>
      </c>
      <c r="D328" s="4" t="s">
        <v>648</v>
      </c>
      <c r="E328" s="6">
        <v>1740</v>
      </c>
      <c r="F328" s="7">
        <v>0.1701</v>
      </c>
      <c r="G328" s="6">
        <v>42</v>
      </c>
      <c r="H328" s="6">
        <v>1.2430000000000001</v>
      </c>
      <c r="I328" s="6">
        <v>50</v>
      </c>
      <c r="J328" s="6">
        <v>0.62150000000000005</v>
      </c>
      <c r="K328" s="8">
        <v>12.410033279533444</v>
      </c>
      <c r="L328" s="6">
        <v>4.9998934912039754</v>
      </c>
      <c r="M328" s="6">
        <v>18.44447390417761</v>
      </c>
      <c r="N328" s="6">
        <v>7.6196372807775647</v>
      </c>
      <c r="O328" s="6">
        <v>79.316769428091845</v>
      </c>
      <c r="P328" s="6">
        <v>110.380774104251</v>
      </c>
      <c r="Q328" s="6">
        <v>11.757603530135199</v>
      </c>
      <c r="R328" s="6">
        <v>13.151907795253891</v>
      </c>
      <c r="S328" s="6">
        <v>20.14282926044201</v>
      </c>
      <c r="T328" s="6">
        <v>97.840530174106092</v>
      </c>
      <c r="U328" s="6">
        <v>142.89287075993721</v>
      </c>
      <c r="V328" s="6">
        <v>253.27364486418821</v>
      </c>
      <c r="W328" s="6">
        <v>2.9889007476832572</v>
      </c>
      <c r="X328" s="6">
        <v>54.726708392053467</v>
      </c>
      <c r="Y328" s="6">
        <v>310.98925400392488</v>
      </c>
      <c r="Z328" s="6">
        <v>29.338858541596011</v>
      </c>
      <c r="AA328" s="6">
        <v>340.32811254552092</v>
      </c>
      <c r="AB328" s="6">
        <v>5.1691679829883588E-3</v>
      </c>
      <c r="AC328" s="6">
        <v>160.01296600369281</v>
      </c>
      <c r="AD328" s="6">
        <v>0</v>
      </c>
      <c r="AE328" s="6">
        <v>0</v>
      </c>
      <c r="AF328" s="6">
        <v>500.34624771719672</v>
      </c>
      <c r="AG328" s="6">
        <v>18.11454545379998</v>
      </c>
      <c r="AH328" s="6">
        <v>0</v>
      </c>
      <c r="AI328" s="6">
        <v>58.01183871064503</v>
      </c>
      <c r="AJ328" s="6">
        <v>416.45966587794891</v>
      </c>
      <c r="AK328" s="6">
        <v>18.11454545379998</v>
      </c>
      <c r="AL328" s="6">
        <v>0</v>
      </c>
      <c r="AM328" s="6">
        <v>0</v>
      </c>
      <c r="AN328" s="6">
        <v>0</v>
      </c>
      <c r="AO328" s="6">
        <v>0</v>
      </c>
      <c r="AP328" s="6">
        <v>434.57421133174893</v>
      </c>
      <c r="AQ328" s="6">
        <v>419.99999964779192</v>
      </c>
      <c r="AR328" s="6">
        <v>50.932510000000001</v>
      </c>
      <c r="AS328" s="6">
        <v>109.010745643867</v>
      </c>
      <c r="AT328" s="6">
        <v>79.671887102270986</v>
      </c>
    </row>
    <row r="329" spans="1:46" x14ac:dyDescent="0.35">
      <c r="A329" s="5">
        <v>46022</v>
      </c>
      <c r="B329" s="4" t="s">
        <v>505</v>
      </c>
      <c r="C329" s="4" t="s">
        <v>506</v>
      </c>
      <c r="D329" s="4" t="s">
        <v>61</v>
      </c>
      <c r="E329" s="6">
        <v>160.87</v>
      </c>
      <c r="F329" s="7">
        <v>0.65</v>
      </c>
      <c r="G329" s="6">
        <v>85</v>
      </c>
      <c r="H329" s="6">
        <v>0.88900000000000001</v>
      </c>
      <c r="I329" s="6">
        <v>97</v>
      </c>
      <c r="J329" s="6">
        <v>0.86214299999999999</v>
      </c>
      <c r="K329" s="8">
        <v>75.871151396613683</v>
      </c>
      <c r="L329" s="6">
        <v>43.409508315970633</v>
      </c>
      <c r="M329" s="6">
        <v>4.4308521801804339</v>
      </c>
      <c r="N329" s="6">
        <v>21.44789316203283</v>
      </c>
      <c r="O329" s="6">
        <v>27.419911317928189</v>
      </c>
      <c r="P329" s="6">
        <v>96.708164976112087</v>
      </c>
      <c r="Q329" s="6">
        <v>11.36609907089764</v>
      </c>
      <c r="R329" s="6">
        <v>10.46708558506392</v>
      </c>
      <c r="S329" s="6">
        <v>16.165013793703292</v>
      </c>
      <c r="T329" s="6">
        <v>24.466009864474572</v>
      </c>
      <c r="U329" s="6">
        <v>62.464208314139427</v>
      </c>
      <c r="V329" s="6">
        <v>159.1723732902515</v>
      </c>
      <c r="W329" s="6">
        <v>6.4909275162297604</v>
      </c>
      <c r="X329" s="6">
        <v>22.90563793127448</v>
      </c>
      <c r="Y329" s="6">
        <v>188.56893873775579</v>
      </c>
      <c r="Z329" s="6">
        <v>49.469939762244898</v>
      </c>
      <c r="AA329" s="6">
        <v>238.03887850000069</v>
      </c>
      <c r="AB329" s="6">
        <v>0</v>
      </c>
      <c r="AC329" s="6">
        <v>32.276767459895837</v>
      </c>
      <c r="AD329" s="6">
        <v>0</v>
      </c>
      <c r="AE329" s="6">
        <v>0</v>
      </c>
      <c r="AF329" s="6">
        <v>270.31564595989653</v>
      </c>
      <c r="AG329" s="6">
        <v>10.13046924986819</v>
      </c>
      <c r="AH329" s="6">
        <v>0</v>
      </c>
      <c r="AI329" s="6">
        <v>15.281399124576931</v>
      </c>
      <c r="AJ329" s="6">
        <v>263.45074687444583</v>
      </c>
      <c r="AK329" s="6">
        <v>0</v>
      </c>
      <c r="AL329" s="6">
        <v>0</v>
      </c>
      <c r="AM329" s="6">
        <v>0</v>
      </c>
      <c r="AN329" s="6">
        <v>0</v>
      </c>
      <c r="AO329" s="6">
        <v>0</v>
      </c>
      <c r="AP329" s="6">
        <v>263.45074687444583</v>
      </c>
      <c r="AQ329" s="6">
        <v>419.97905184680673</v>
      </c>
      <c r="AR329" s="6">
        <v>10.479141</v>
      </c>
      <c r="AS329" s="6">
        <v>231.41011310905091</v>
      </c>
      <c r="AT329" s="6">
        <v>181.94017334680601</v>
      </c>
    </row>
    <row r="330" spans="1:46" x14ac:dyDescent="0.35">
      <c r="A330" s="5">
        <v>46022</v>
      </c>
      <c r="B330" s="4" t="s">
        <v>649</v>
      </c>
      <c r="C330" s="4" t="s">
        <v>650</v>
      </c>
      <c r="D330" s="4" t="s">
        <v>61</v>
      </c>
      <c r="E330" s="6">
        <v>200</v>
      </c>
      <c r="F330" s="7">
        <v>0.48</v>
      </c>
      <c r="G330" s="6">
        <v>80</v>
      </c>
      <c r="H330" s="6">
        <v>0.76800000000000002</v>
      </c>
      <c r="I330" s="6">
        <v>97</v>
      </c>
      <c r="J330" s="6">
        <v>0.74497500000000005</v>
      </c>
      <c r="K330" s="8">
        <v>55.964727713227091</v>
      </c>
      <c r="L330" s="6">
        <v>58.41567732252409</v>
      </c>
      <c r="M330" s="6">
        <v>3.638972583414545</v>
      </c>
      <c r="N330" s="6">
        <v>7.8143024736409812</v>
      </c>
      <c r="O330" s="6">
        <v>33.02437712138854</v>
      </c>
      <c r="P330" s="6">
        <v>102.89332950096821</v>
      </c>
      <c r="Q330" s="6">
        <v>13.94903824930998</v>
      </c>
      <c r="R330" s="6">
        <v>12.936105169768609</v>
      </c>
      <c r="S330" s="6">
        <v>13.879000079478139</v>
      </c>
      <c r="T330" s="6">
        <v>30.585492256020981</v>
      </c>
      <c r="U330" s="6">
        <v>71.349635754577704</v>
      </c>
      <c r="V330" s="6">
        <v>174.2429652555459</v>
      </c>
      <c r="W330" s="6">
        <v>8.5325315753225421</v>
      </c>
      <c r="X330" s="6">
        <v>26.705218940630221</v>
      </c>
      <c r="Y330" s="6">
        <v>209.48071577149861</v>
      </c>
      <c r="Z330" s="6">
        <v>24.7794955730837</v>
      </c>
      <c r="AA330" s="6">
        <v>234.2602113445823</v>
      </c>
      <c r="AB330" s="6">
        <v>0</v>
      </c>
      <c r="AC330" s="6">
        <v>38.371403271501073</v>
      </c>
      <c r="AD330" s="6">
        <v>0</v>
      </c>
      <c r="AE330" s="6">
        <v>0</v>
      </c>
      <c r="AF330" s="6">
        <v>272.63161461608343</v>
      </c>
      <c r="AG330" s="6">
        <v>21.617423893694411</v>
      </c>
      <c r="AH330" s="6">
        <v>0</v>
      </c>
      <c r="AI330" s="6">
        <v>19.721827231190009</v>
      </c>
      <c r="AJ330" s="6">
        <v>275.5994624694668</v>
      </c>
      <c r="AK330" s="6">
        <v>0</v>
      </c>
      <c r="AL330" s="6">
        <v>0</v>
      </c>
      <c r="AM330" s="6">
        <v>0</v>
      </c>
      <c r="AN330" s="6">
        <v>0</v>
      </c>
      <c r="AO330" s="6">
        <v>0</v>
      </c>
      <c r="AP330" s="6">
        <v>275.5994624694668</v>
      </c>
      <c r="AQ330" s="6">
        <v>420.0140940804792</v>
      </c>
      <c r="AR330" s="6">
        <v>15.924495</v>
      </c>
      <c r="AS330" s="6">
        <v>210.5333783089805</v>
      </c>
      <c r="AT330" s="6">
        <v>185.75388273589681</v>
      </c>
    </row>
    <row r="331" spans="1:46" x14ac:dyDescent="0.35">
      <c r="A331" s="5">
        <v>46022</v>
      </c>
      <c r="B331" s="4" t="s">
        <v>507</v>
      </c>
      <c r="C331" s="4" t="s">
        <v>508</v>
      </c>
      <c r="D331" s="4" t="s">
        <v>111</v>
      </c>
      <c r="E331" s="6">
        <v>3024.47</v>
      </c>
      <c r="F331" s="7">
        <v>0.93510000000000004</v>
      </c>
      <c r="G331" s="6">
        <v>70.900000000000006</v>
      </c>
      <c r="H331" s="6">
        <v>20.052</v>
      </c>
      <c r="I331" s="6">
        <v>97</v>
      </c>
      <c r="J331" s="6">
        <v>19.45044</v>
      </c>
      <c r="K331" s="8">
        <v>57.949148334163461</v>
      </c>
      <c r="L331" s="6">
        <v>35.217571771150368</v>
      </c>
      <c r="M331" s="6">
        <v>9.2853269467797475</v>
      </c>
      <c r="N331" s="6">
        <v>9.9800268813960926</v>
      </c>
      <c r="O331" s="6">
        <v>74.605762810058081</v>
      </c>
      <c r="P331" s="6">
        <v>129.0886884093843</v>
      </c>
      <c r="Q331" s="6">
        <v>8.5142197061703655</v>
      </c>
      <c r="R331" s="6">
        <v>5.1095454650783969</v>
      </c>
      <c r="S331" s="6">
        <v>17.816831690772119</v>
      </c>
      <c r="T331" s="6">
        <v>4.7622874612015309</v>
      </c>
      <c r="U331" s="6">
        <v>36.202884323222413</v>
      </c>
      <c r="V331" s="6">
        <v>165.29157273260671</v>
      </c>
      <c r="W331" s="6">
        <v>8.7680514961374438</v>
      </c>
      <c r="X331" s="6">
        <v>19.83228486761244</v>
      </c>
      <c r="Y331" s="6">
        <v>193.89190909635661</v>
      </c>
      <c r="Z331" s="6">
        <v>27.5936142191389</v>
      </c>
      <c r="AA331" s="6">
        <v>221.4855233154955</v>
      </c>
      <c r="AB331" s="6">
        <v>0</v>
      </c>
      <c r="AC331" s="6">
        <v>12.231406123159809</v>
      </c>
      <c r="AD331" s="6">
        <v>0</v>
      </c>
      <c r="AE331" s="6">
        <v>0</v>
      </c>
      <c r="AF331" s="6">
        <v>233.71692943865531</v>
      </c>
      <c r="AG331" s="6">
        <v>10.46162097846185</v>
      </c>
      <c r="AH331" s="6">
        <v>0</v>
      </c>
      <c r="AI331" s="6">
        <v>6.3995349087005966</v>
      </c>
      <c r="AJ331" s="6">
        <v>238.3466792026579</v>
      </c>
      <c r="AK331" s="6">
        <v>0</v>
      </c>
      <c r="AL331" s="6">
        <v>0</v>
      </c>
      <c r="AM331" s="6">
        <v>0</v>
      </c>
      <c r="AN331" s="6">
        <v>0</v>
      </c>
      <c r="AO331" s="6">
        <v>0</v>
      </c>
      <c r="AP331" s="6">
        <v>238.3466792026579</v>
      </c>
      <c r="AQ331" s="6">
        <v>419.99913591411882</v>
      </c>
      <c r="AR331" s="6">
        <v>322.99</v>
      </c>
      <c r="AS331" s="6">
        <v>226.10722681776221</v>
      </c>
      <c r="AT331" s="6">
        <v>198.5136125986233</v>
      </c>
    </row>
    <row r="332" spans="1:46" x14ac:dyDescent="0.35">
      <c r="A332" s="5">
        <v>46022</v>
      </c>
      <c r="B332" s="4" t="s">
        <v>517</v>
      </c>
      <c r="C332" s="4" t="s">
        <v>518</v>
      </c>
      <c r="D332" s="4" t="s">
        <v>89</v>
      </c>
      <c r="E332" s="6">
        <v>13248.688527</v>
      </c>
      <c r="F332" s="7">
        <v>0.1007</v>
      </c>
      <c r="G332" s="6">
        <v>67.47</v>
      </c>
      <c r="H332" s="6">
        <v>9</v>
      </c>
      <c r="I332" s="6">
        <v>97</v>
      </c>
      <c r="J332" s="6">
        <v>8.73</v>
      </c>
      <c r="K332" s="8">
        <v>9.9580090698724995</v>
      </c>
      <c r="L332" s="6">
        <v>70.568501431367423</v>
      </c>
      <c r="M332" s="6">
        <v>9.4416967247862402</v>
      </c>
      <c r="N332" s="6">
        <v>3.6820531986344749</v>
      </c>
      <c r="O332" s="6">
        <v>48.798578764232921</v>
      </c>
      <c r="P332" s="6">
        <v>132.4908301190211</v>
      </c>
      <c r="Q332" s="6">
        <v>32.640427157052017</v>
      </c>
      <c r="R332" s="6">
        <v>3.0367186174508412</v>
      </c>
      <c r="S332" s="6">
        <v>23.91439560417782</v>
      </c>
      <c r="T332" s="6">
        <v>46.133967923302613</v>
      </c>
      <c r="U332" s="6">
        <v>105.72550930198329</v>
      </c>
      <c r="V332" s="6">
        <v>238.21633942100431</v>
      </c>
      <c r="W332" s="6">
        <v>6.4071878480836748</v>
      </c>
      <c r="X332" s="6">
        <v>15.924517692101229</v>
      </c>
      <c r="Y332" s="6">
        <v>260.54804496118931</v>
      </c>
      <c r="Z332" s="6">
        <v>12.2394268179997</v>
      </c>
      <c r="AA332" s="6">
        <v>272.78747177918888</v>
      </c>
      <c r="AB332" s="6">
        <v>0</v>
      </c>
      <c r="AC332" s="6">
        <v>123.9498447938967</v>
      </c>
      <c r="AD332" s="6">
        <v>0</v>
      </c>
      <c r="AE332" s="6">
        <v>0</v>
      </c>
      <c r="AF332" s="6">
        <v>396.73731657308559</v>
      </c>
      <c r="AG332" s="6">
        <v>9.5286502865201399</v>
      </c>
      <c r="AH332" s="6">
        <v>0</v>
      </c>
      <c r="AI332" s="6">
        <v>19.057307427873681</v>
      </c>
      <c r="AJ332" s="6">
        <v>301.37342949358282</v>
      </c>
      <c r="AK332" s="6">
        <v>0</v>
      </c>
      <c r="AL332" s="6">
        <v>0</v>
      </c>
      <c r="AM332" s="6">
        <v>0</v>
      </c>
      <c r="AN332" s="6">
        <v>0</v>
      </c>
      <c r="AO332" s="6">
        <v>0</v>
      </c>
      <c r="AP332" s="6">
        <v>301.37342949358282</v>
      </c>
      <c r="AQ332" s="6">
        <v>419.99999964779192</v>
      </c>
      <c r="AR332" s="6">
        <v>788.52780800000005</v>
      </c>
      <c r="AS332" s="6">
        <v>159.4519546866027</v>
      </c>
      <c r="AT332" s="6">
        <v>147.21252786860299</v>
      </c>
    </row>
    <row r="333" spans="1:46" x14ac:dyDescent="0.35">
      <c r="A333" s="5">
        <v>46022</v>
      </c>
      <c r="B333" s="4" t="s">
        <v>829</v>
      </c>
      <c r="C333" s="4" t="s">
        <v>830</v>
      </c>
      <c r="D333" s="4" t="s">
        <v>213</v>
      </c>
      <c r="E333" s="6">
        <v>20258.980785</v>
      </c>
      <c r="F333" s="7">
        <v>2.85</v>
      </c>
      <c r="G333" s="6">
        <v>84</v>
      </c>
      <c r="H333" s="6">
        <v>485</v>
      </c>
      <c r="I333" s="6">
        <v>100</v>
      </c>
      <c r="J333" s="6">
        <v>485</v>
      </c>
      <c r="K333" s="8">
        <v>83.927098148353167</v>
      </c>
      <c r="L333" s="6">
        <v>3.926872972747903</v>
      </c>
      <c r="M333" s="6">
        <v>3.7261488803311522</v>
      </c>
      <c r="N333" s="6">
        <v>5.2011325712266592</v>
      </c>
      <c r="O333" s="6">
        <v>53.09377253605448</v>
      </c>
      <c r="P333" s="6">
        <v>65.947926960360206</v>
      </c>
      <c r="Q333" s="6">
        <v>4.9966858887320527</v>
      </c>
      <c r="R333" s="6">
        <v>31.532637346562641</v>
      </c>
      <c r="S333" s="6">
        <v>65.735399029349722</v>
      </c>
      <c r="T333" s="6">
        <v>33.908581656382431</v>
      </c>
      <c r="U333" s="6">
        <v>136.17330392102679</v>
      </c>
      <c r="V333" s="6">
        <v>202.12123088138699</v>
      </c>
      <c r="W333" s="6">
        <v>0</v>
      </c>
      <c r="X333" s="6">
        <v>0</v>
      </c>
      <c r="Y333" s="6">
        <v>202.12123088138699</v>
      </c>
      <c r="Z333" s="6">
        <v>22.114469295144019</v>
      </c>
      <c r="AA333" s="6">
        <v>224.23570017653111</v>
      </c>
      <c r="AB333" s="6">
        <v>0</v>
      </c>
      <c r="AC333" s="6">
        <v>27.440095598897489</v>
      </c>
      <c r="AD333" s="6">
        <v>0</v>
      </c>
      <c r="AE333" s="6">
        <v>0</v>
      </c>
      <c r="AF333" s="6">
        <v>251.6757957754285</v>
      </c>
      <c r="AG333" s="6">
        <v>3.2382955792821622</v>
      </c>
      <c r="AH333" s="6">
        <v>0</v>
      </c>
      <c r="AI333" s="6">
        <v>0.52170167883508389</v>
      </c>
      <c r="AJ333" s="6">
        <v>227.99569743464829</v>
      </c>
      <c r="AK333" s="6">
        <v>4.0815918308449373</v>
      </c>
      <c r="AL333" s="6">
        <v>0</v>
      </c>
      <c r="AM333" s="6">
        <v>0</v>
      </c>
      <c r="AN333" s="6">
        <v>0</v>
      </c>
      <c r="AO333" s="6">
        <v>0</v>
      </c>
      <c r="AP333" s="6">
        <v>232.07728926549319</v>
      </c>
      <c r="AQ333" s="6">
        <v>419.99999964779192</v>
      </c>
      <c r="AR333" s="6">
        <v>5801.3822499999997</v>
      </c>
      <c r="AS333" s="6">
        <v>217.8787687664049</v>
      </c>
      <c r="AT333" s="6">
        <v>195.7642994712609</v>
      </c>
    </row>
    <row r="334" spans="1:46" x14ac:dyDescent="0.35">
      <c r="A334" s="5">
        <v>46022</v>
      </c>
      <c r="B334" s="4" t="s">
        <v>831</v>
      </c>
      <c r="C334" s="4" t="s">
        <v>832</v>
      </c>
      <c r="D334" s="4" t="s">
        <v>61</v>
      </c>
      <c r="E334" s="6">
        <v>160</v>
      </c>
      <c r="F334" s="7">
        <v>0.16</v>
      </c>
      <c r="G334" s="6">
        <v>84</v>
      </c>
      <c r="H334" s="6">
        <v>0.215</v>
      </c>
      <c r="I334" s="6">
        <v>97</v>
      </c>
      <c r="J334" s="6">
        <v>0.208589</v>
      </c>
      <c r="K334" s="8">
        <v>14.17044322689973</v>
      </c>
      <c r="L334" s="6">
        <v>47.240627329745678</v>
      </c>
      <c r="M334" s="6">
        <v>18.588445233464292</v>
      </c>
      <c r="N334" s="6">
        <v>13.98241853213594</v>
      </c>
      <c r="O334" s="6">
        <v>71.910329026950848</v>
      </c>
      <c r="P334" s="6">
        <v>151.7218201222968</v>
      </c>
      <c r="Q334" s="6">
        <v>29.5004241721009</v>
      </c>
      <c r="R334" s="6">
        <v>8.4053938992308215</v>
      </c>
      <c r="S334" s="6">
        <v>24.711797026004891</v>
      </c>
      <c r="T334" s="6">
        <v>13.66035820561274</v>
      </c>
      <c r="U334" s="6">
        <v>76.277973302949349</v>
      </c>
      <c r="V334" s="6">
        <v>227.99979342524611</v>
      </c>
      <c r="W334" s="6">
        <v>13.209763926450639</v>
      </c>
      <c r="X334" s="6">
        <v>17.831512850629711</v>
      </c>
      <c r="Y334" s="6">
        <v>259.04107020232641</v>
      </c>
      <c r="Z334" s="6">
        <v>30.258833274358221</v>
      </c>
      <c r="AA334" s="6">
        <v>289.29990347668468</v>
      </c>
      <c r="AB334" s="6">
        <v>0</v>
      </c>
      <c r="AC334" s="6">
        <v>11.48252397775957</v>
      </c>
      <c r="AD334" s="6">
        <v>0</v>
      </c>
      <c r="AE334" s="6">
        <v>0</v>
      </c>
      <c r="AF334" s="6">
        <v>300.78242745444419</v>
      </c>
      <c r="AG334" s="6">
        <v>9.8231604317111927</v>
      </c>
      <c r="AH334" s="6">
        <v>0</v>
      </c>
      <c r="AI334" s="6">
        <v>11.48252397775957</v>
      </c>
      <c r="AJ334" s="6">
        <v>310.60558788615538</v>
      </c>
      <c r="AK334" s="6">
        <v>0</v>
      </c>
      <c r="AL334" s="6">
        <v>0</v>
      </c>
      <c r="AM334" s="6">
        <v>0</v>
      </c>
      <c r="AN334" s="6">
        <v>0</v>
      </c>
      <c r="AO334" s="6">
        <v>0</v>
      </c>
      <c r="AP334" s="6">
        <v>310.60558788615538</v>
      </c>
      <c r="AQ334" s="6">
        <v>420.02214846674269</v>
      </c>
      <c r="AR334" s="6">
        <v>15.657033999999999</v>
      </c>
      <c r="AS334" s="6">
        <v>160.98107826441631</v>
      </c>
      <c r="AT334" s="6">
        <v>130.7222449900581</v>
      </c>
    </row>
    <row r="335" spans="1:46" x14ac:dyDescent="0.35">
      <c r="A335" s="5">
        <v>46022</v>
      </c>
      <c r="B335" s="4" t="s">
        <v>519</v>
      </c>
      <c r="C335" s="4" t="s">
        <v>520</v>
      </c>
      <c r="D335" s="4" t="s">
        <v>192</v>
      </c>
      <c r="E335" s="6">
        <v>4688.3468830000002</v>
      </c>
      <c r="F335" s="7">
        <v>4.0999999999999996</v>
      </c>
      <c r="G335" s="6">
        <v>90</v>
      </c>
      <c r="H335" s="6">
        <v>173</v>
      </c>
      <c r="I335" s="6">
        <v>96.482814000000005</v>
      </c>
      <c r="J335" s="6">
        <v>166.915268</v>
      </c>
      <c r="K335" s="8">
        <v>79.368996741255302</v>
      </c>
      <c r="L335" s="6">
        <v>4.4104242054623422</v>
      </c>
      <c r="M335" s="6">
        <v>3.0558368612139062</v>
      </c>
      <c r="N335" s="6">
        <v>0.83330277312994705</v>
      </c>
      <c r="O335" s="6">
        <v>17.221325708307148</v>
      </c>
      <c r="P335" s="6">
        <v>25.520889548113342</v>
      </c>
      <c r="Q335" s="6">
        <v>1.188693689429309</v>
      </c>
      <c r="R335" s="6">
        <v>1.314064212839934</v>
      </c>
      <c r="S335" s="6">
        <v>7.6324722406664653</v>
      </c>
      <c r="T335" s="6">
        <v>9.6424727480453285</v>
      </c>
      <c r="U335" s="6">
        <v>19.77770289098104</v>
      </c>
      <c r="V335" s="6">
        <v>45.298592439094378</v>
      </c>
      <c r="W335" s="6">
        <v>26.150501490382279</v>
      </c>
      <c r="X335" s="6">
        <v>16.779661881651219</v>
      </c>
      <c r="Y335" s="6">
        <v>88.228755811127883</v>
      </c>
      <c r="Z335" s="6">
        <v>23.02099821393729</v>
      </c>
      <c r="AA335" s="6">
        <v>111.2497540250652</v>
      </c>
      <c r="AB335" s="6">
        <v>0.78006471797211951</v>
      </c>
      <c r="AC335" s="6">
        <v>14.307842601326991</v>
      </c>
      <c r="AD335" s="6">
        <v>0</v>
      </c>
      <c r="AE335" s="6">
        <v>0</v>
      </c>
      <c r="AF335" s="6">
        <v>126.33766134436431</v>
      </c>
      <c r="AG335" s="6">
        <v>5.3136358014399043</v>
      </c>
      <c r="AH335" s="6">
        <v>0</v>
      </c>
      <c r="AI335" s="6">
        <v>7.9803569633129507</v>
      </c>
      <c r="AJ335" s="6">
        <v>125.3238115077901</v>
      </c>
      <c r="AK335" s="6">
        <v>0</v>
      </c>
      <c r="AL335" s="6">
        <v>0</v>
      </c>
      <c r="AM335" s="6">
        <v>0</v>
      </c>
      <c r="AN335" s="6">
        <v>0</v>
      </c>
      <c r="AO335" s="6">
        <v>0</v>
      </c>
      <c r="AP335" s="6">
        <v>125.3238115077901</v>
      </c>
      <c r="AQ335" s="6">
        <v>420.00008016768783</v>
      </c>
      <c r="AR335" s="6">
        <v>1940.6224299999999</v>
      </c>
      <c r="AS335" s="6">
        <v>331.77132435655989</v>
      </c>
      <c r="AT335" s="6">
        <v>308.75032614262261</v>
      </c>
    </row>
    <row r="336" spans="1:46" x14ac:dyDescent="0.35">
      <c r="A336" s="5">
        <v>46022</v>
      </c>
      <c r="B336" s="4" t="s">
        <v>833</v>
      </c>
      <c r="C336" s="4" t="s">
        <v>834</v>
      </c>
      <c r="D336" s="4" t="s">
        <v>111</v>
      </c>
      <c r="E336" s="6">
        <v>950</v>
      </c>
      <c r="F336" s="7">
        <v>0.25</v>
      </c>
      <c r="G336" s="6">
        <v>45.6</v>
      </c>
      <c r="H336" s="6">
        <v>1.083</v>
      </c>
      <c r="I336" s="6">
        <v>97</v>
      </c>
      <c r="J336" s="6">
        <v>1.0505100000000001</v>
      </c>
      <c r="K336" s="8">
        <v>2.949986803869161</v>
      </c>
      <c r="L336" s="6">
        <v>44.952005533806911</v>
      </c>
      <c r="M336" s="6">
        <v>9.477049425978997</v>
      </c>
      <c r="N336" s="6">
        <v>7.1387823171567284</v>
      </c>
      <c r="O336" s="6">
        <v>30.294743821464738</v>
      </c>
      <c r="P336" s="6">
        <v>91.862581098407375</v>
      </c>
      <c r="Q336" s="6">
        <v>21.532008735158279</v>
      </c>
      <c r="R336" s="6">
        <v>9.2650215785811501</v>
      </c>
      <c r="S336" s="6">
        <v>23.906933597713401</v>
      </c>
      <c r="T336" s="6">
        <v>13.090669724211731</v>
      </c>
      <c r="U336" s="6">
        <v>67.794633635664553</v>
      </c>
      <c r="V336" s="6">
        <v>159.65721473407191</v>
      </c>
      <c r="W336" s="6">
        <v>0.94422568797406248</v>
      </c>
      <c r="X336" s="6">
        <v>9.0872836220427153</v>
      </c>
      <c r="Y336" s="6">
        <v>169.6887240440887</v>
      </c>
      <c r="Z336" s="6">
        <v>17.58854818115438</v>
      </c>
      <c r="AA336" s="6">
        <v>187.27727222524311</v>
      </c>
      <c r="AB336" s="6">
        <v>0</v>
      </c>
      <c r="AC336" s="6">
        <v>19.279737420372211</v>
      </c>
      <c r="AD336" s="6">
        <v>0</v>
      </c>
      <c r="AE336" s="6">
        <v>0</v>
      </c>
      <c r="AF336" s="6">
        <v>206.5570096456153</v>
      </c>
      <c r="AG336" s="6">
        <v>6.7457079542690783</v>
      </c>
      <c r="AH336" s="6">
        <v>0</v>
      </c>
      <c r="AI336" s="6">
        <v>11.59905224468147</v>
      </c>
      <c r="AJ336" s="6">
        <v>205.62203242419361</v>
      </c>
      <c r="AK336" s="6">
        <v>0</v>
      </c>
      <c r="AL336" s="6">
        <v>0</v>
      </c>
      <c r="AM336" s="6">
        <v>0</v>
      </c>
      <c r="AN336" s="6">
        <v>0</v>
      </c>
      <c r="AO336" s="6">
        <v>0</v>
      </c>
      <c r="AP336" s="6">
        <v>205.62203242419361</v>
      </c>
      <c r="AQ336" s="6">
        <v>419.99600158970918</v>
      </c>
      <c r="AR336" s="6">
        <v>344.04634600000003</v>
      </c>
      <c r="AS336" s="6">
        <v>250.30727754562051</v>
      </c>
      <c r="AT336" s="6">
        <v>232.7187293644661</v>
      </c>
    </row>
    <row r="337" spans="1:46" x14ac:dyDescent="0.35">
      <c r="A337" s="5">
        <v>46022</v>
      </c>
      <c r="B337" s="4" t="s">
        <v>509</v>
      </c>
      <c r="C337" s="4" t="s">
        <v>510</v>
      </c>
      <c r="D337" s="4" t="s">
        <v>61</v>
      </c>
      <c r="E337" s="6">
        <v>700</v>
      </c>
      <c r="F337" s="7">
        <v>0.62</v>
      </c>
      <c r="G337" s="6">
        <v>88</v>
      </c>
      <c r="H337" s="6">
        <v>3.819</v>
      </c>
      <c r="I337" s="6">
        <v>97</v>
      </c>
      <c r="J337" s="6">
        <v>3.7046239999999999</v>
      </c>
      <c r="K337" s="8">
        <v>75.982455704554397</v>
      </c>
      <c r="L337" s="6">
        <v>56.725235110993097</v>
      </c>
      <c r="M337" s="6">
        <v>5.0253625713176913</v>
      </c>
      <c r="N337" s="6">
        <v>12.000481811912991</v>
      </c>
      <c r="O337" s="6">
        <v>40.22075723840112</v>
      </c>
      <c r="P337" s="6">
        <v>113.97183673262489</v>
      </c>
      <c r="Q337" s="6">
        <v>6.7491106125620259</v>
      </c>
      <c r="R337" s="6">
        <v>10.33753891574708</v>
      </c>
      <c r="S337" s="6">
        <v>19.367750931611599</v>
      </c>
      <c r="T337" s="6">
        <v>25.728078513094911</v>
      </c>
      <c r="U337" s="6">
        <v>62.18247897301562</v>
      </c>
      <c r="V337" s="6">
        <v>176.1543157056405</v>
      </c>
      <c r="W337" s="6">
        <v>1.9722913328572069</v>
      </c>
      <c r="X337" s="6">
        <v>30.672514156748971</v>
      </c>
      <c r="Y337" s="6">
        <v>208.7991211952467</v>
      </c>
      <c r="Z337" s="6">
        <v>31.855779539075531</v>
      </c>
      <c r="AA337" s="6">
        <v>240.65490073432221</v>
      </c>
      <c r="AB337" s="6">
        <v>0</v>
      </c>
      <c r="AC337" s="6">
        <v>0.91483838229324244</v>
      </c>
      <c r="AD337" s="6">
        <v>0</v>
      </c>
      <c r="AE337" s="6">
        <v>0</v>
      </c>
      <c r="AF337" s="6">
        <v>241.56973911661549</v>
      </c>
      <c r="AG337" s="6">
        <v>9.4136875399025364</v>
      </c>
      <c r="AH337" s="6">
        <v>0</v>
      </c>
      <c r="AI337" s="6">
        <v>9.3953945493782474</v>
      </c>
      <c r="AJ337" s="6">
        <v>259.46398282360298</v>
      </c>
      <c r="AK337" s="6">
        <v>0</v>
      </c>
      <c r="AL337" s="6">
        <v>0</v>
      </c>
      <c r="AM337" s="6">
        <v>0</v>
      </c>
      <c r="AN337" s="6">
        <v>0</v>
      </c>
      <c r="AO337" s="6">
        <v>0</v>
      </c>
      <c r="AP337" s="6">
        <v>259.46398282360298</v>
      </c>
      <c r="AQ337" s="6">
        <v>419.99727872388939</v>
      </c>
      <c r="AR337" s="6">
        <v>44.302428999999997</v>
      </c>
      <c r="AS337" s="6">
        <v>211.1981575286427</v>
      </c>
      <c r="AT337" s="6">
        <v>179.34237798956721</v>
      </c>
    </row>
    <row r="338" spans="1:46" x14ac:dyDescent="0.35">
      <c r="A338" s="5">
        <v>46022</v>
      </c>
      <c r="B338" s="4" t="s">
        <v>521</v>
      </c>
      <c r="C338" s="4" t="s">
        <v>522</v>
      </c>
      <c r="D338" s="4" t="s">
        <v>61</v>
      </c>
      <c r="E338" s="6">
        <v>65.86</v>
      </c>
      <c r="F338" s="7">
        <v>0.49440000000000001</v>
      </c>
      <c r="G338" s="6">
        <v>86</v>
      </c>
      <c r="H338" s="6">
        <v>0.28000000000000003</v>
      </c>
      <c r="I338" s="6">
        <v>93.714286000000001</v>
      </c>
      <c r="J338" s="6">
        <v>0.26240000000000002</v>
      </c>
      <c r="K338" s="8">
        <v>71.45719395716543</v>
      </c>
      <c r="L338" s="6">
        <v>53.941507372735622</v>
      </c>
      <c r="M338" s="6">
        <v>7.829105073561399</v>
      </c>
      <c r="N338" s="6">
        <v>19.095814752492199</v>
      </c>
      <c r="O338" s="6">
        <v>21.259597618092521</v>
      </c>
      <c r="P338" s="6">
        <v>102.1260248168817</v>
      </c>
      <c r="Q338" s="6">
        <v>10.171171405399891</v>
      </c>
      <c r="R338" s="6">
        <v>11.01868292471362</v>
      </c>
      <c r="S338" s="6">
        <v>25.208696389843801</v>
      </c>
      <c r="T338" s="6">
        <v>34.191864548988022</v>
      </c>
      <c r="U338" s="6">
        <v>80.590415268945335</v>
      </c>
      <c r="V338" s="6">
        <v>182.71644008582709</v>
      </c>
      <c r="W338" s="6">
        <v>7.1355639412169971</v>
      </c>
      <c r="X338" s="6">
        <v>23.81094691078043</v>
      </c>
      <c r="Y338" s="6">
        <v>213.66295093782449</v>
      </c>
      <c r="Z338" s="6">
        <v>41.3526658561902</v>
      </c>
      <c r="AA338" s="6">
        <v>255.0156167940147</v>
      </c>
      <c r="AB338" s="6">
        <v>0</v>
      </c>
      <c r="AC338" s="6">
        <v>10.323601125085251</v>
      </c>
      <c r="AD338" s="6">
        <v>0</v>
      </c>
      <c r="AE338" s="6">
        <v>0</v>
      </c>
      <c r="AF338" s="6">
        <v>265.33921791909989</v>
      </c>
      <c r="AG338" s="6">
        <v>22.84216743500836</v>
      </c>
      <c r="AH338" s="6">
        <v>0</v>
      </c>
      <c r="AI338" s="6">
        <v>10.323601125085251</v>
      </c>
      <c r="AJ338" s="6">
        <v>288.18138535410827</v>
      </c>
      <c r="AK338" s="6">
        <v>0</v>
      </c>
      <c r="AL338" s="6">
        <v>0</v>
      </c>
      <c r="AM338" s="6">
        <v>0</v>
      </c>
      <c r="AN338" s="6">
        <v>0</v>
      </c>
      <c r="AO338" s="6">
        <v>0</v>
      </c>
      <c r="AP338" s="6">
        <v>288.18138535410827</v>
      </c>
      <c r="AQ338" s="6">
        <v>419.99999964779192</v>
      </c>
      <c r="AR338" s="6">
        <v>3.4350749999999999</v>
      </c>
      <c r="AS338" s="6">
        <v>206.33704870996741</v>
      </c>
      <c r="AT338" s="6">
        <v>164.98438285377719</v>
      </c>
    </row>
    <row r="339" spans="1:46" x14ac:dyDescent="0.35">
      <c r="A339" s="5">
        <v>46022</v>
      </c>
      <c r="B339" s="4" t="s">
        <v>523</v>
      </c>
      <c r="C339" s="4" t="s">
        <v>524</v>
      </c>
      <c r="D339" s="4" t="s">
        <v>61</v>
      </c>
      <c r="E339" s="6">
        <v>9000</v>
      </c>
      <c r="F339" s="7">
        <v>0.61</v>
      </c>
      <c r="G339" s="6">
        <v>96</v>
      </c>
      <c r="H339" s="6">
        <v>52.704000000000001</v>
      </c>
      <c r="I339" s="6">
        <v>97</v>
      </c>
      <c r="J339" s="6">
        <v>51.122880000000002</v>
      </c>
      <c r="K339" s="8">
        <v>88.370229567657063</v>
      </c>
      <c r="L339" s="6">
        <v>17.072053956455669</v>
      </c>
      <c r="M339" s="6">
        <v>0</v>
      </c>
      <c r="N339" s="6">
        <v>22.7197776893906</v>
      </c>
      <c r="O339" s="6">
        <v>23.834503459243741</v>
      </c>
      <c r="P339" s="6">
        <v>63.626335105090007</v>
      </c>
      <c r="Q339" s="6">
        <v>13.514059982593659</v>
      </c>
      <c r="R339" s="6">
        <v>6.6210129548469219</v>
      </c>
      <c r="S339" s="6">
        <v>21.158048071344481</v>
      </c>
      <c r="T339" s="6">
        <v>21.11018277649417</v>
      </c>
      <c r="U339" s="6">
        <v>62.403303785279242</v>
      </c>
      <c r="V339" s="6">
        <v>126.0296388903692</v>
      </c>
      <c r="W339" s="6">
        <v>6.4868299452754199</v>
      </c>
      <c r="X339" s="6">
        <v>22.371251146412021</v>
      </c>
      <c r="Y339" s="6">
        <v>154.88771998205669</v>
      </c>
      <c r="Z339" s="6">
        <v>31.70681723375527</v>
      </c>
      <c r="AA339" s="6">
        <v>186.59453721581201</v>
      </c>
      <c r="AB339" s="6">
        <v>0</v>
      </c>
      <c r="AC339" s="6">
        <v>8.5252867484235946</v>
      </c>
      <c r="AD339" s="6">
        <v>0</v>
      </c>
      <c r="AE339" s="6">
        <v>0</v>
      </c>
      <c r="AF339" s="6">
        <v>195.11982396423559</v>
      </c>
      <c r="AG339" s="6">
        <v>12.718534971587481</v>
      </c>
      <c r="AH339" s="6">
        <v>0</v>
      </c>
      <c r="AI339" s="6">
        <v>4.3122093230587062</v>
      </c>
      <c r="AJ339" s="6">
        <v>203.62528151045811</v>
      </c>
      <c r="AK339" s="6">
        <v>0</v>
      </c>
      <c r="AL339" s="6">
        <v>0</v>
      </c>
      <c r="AM339" s="6">
        <v>0</v>
      </c>
      <c r="AN339" s="6">
        <v>0</v>
      </c>
      <c r="AO339" s="6">
        <v>0</v>
      </c>
      <c r="AP339" s="6">
        <v>203.62528151045811</v>
      </c>
      <c r="AQ339" s="6">
        <v>420.00016395778368</v>
      </c>
      <c r="AR339" s="6">
        <v>534.618244</v>
      </c>
      <c r="AS339" s="6">
        <v>265.11244397572699</v>
      </c>
      <c r="AT339" s="6">
        <v>233.40562674197179</v>
      </c>
    </row>
    <row r="340" spans="1:46" x14ac:dyDescent="0.35">
      <c r="A340" s="5">
        <v>46022</v>
      </c>
      <c r="B340" s="4" t="s">
        <v>525</v>
      </c>
      <c r="C340" s="4" t="s">
        <v>526</v>
      </c>
      <c r="D340" s="4" t="s">
        <v>61</v>
      </c>
      <c r="E340" s="6">
        <v>400</v>
      </c>
      <c r="F340" s="7">
        <v>0.86</v>
      </c>
      <c r="G340" s="6">
        <v>92.5</v>
      </c>
      <c r="H340" s="6">
        <v>3.1819999999999999</v>
      </c>
      <c r="I340" s="6">
        <v>97</v>
      </c>
      <c r="J340" s="6">
        <v>3.0865399999999998</v>
      </c>
      <c r="K340" s="8">
        <v>40.389046629392041</v>
      </c>
      <c r="L340" s="6">
        <v>17.346116690919331</v>
      </c>
      <c r="M340" s="6">
        <v>0</v>
      </c>
      <c r="N340" s="6">
        <v>10.468209282736931</v>
      </c>
      <c r="O340" s="6">
        <v>14.377378179019241</v>
      </c>
      <c r="P340" s="6">
        <v>42.191704152675499</v>
      </c>
      <c r="Q340" s="6">
        <v>1.973656402167727</v>
      </c>
      <c r="R340" s="6">
        <v>3.9206576533512192</v>
      </c>
      <c r="S340" s="6">
        <v>7.9732306446365291</v>
      </c>
      <c r="T340" s="6">
        <v>7.0034242752959157</v>
      </c>
      <c r="U340" s="6">
        <v>20.87096897545139</v>
      </c>
      <c r="V340" s="6">
        <v>63.062673128126889</v>
      </c>
      <c r="W340" s="6">
        <v>0.23701696731933411</v>
      </c>
      <c r="X340" s="6">
        <v>18.677039686269001</v>
      </c>
      <c r="Y340" s="6">
        <v>81.976729781715235</v>
      </c>
      <c r="Z340" s="6">
        <v>14.978771978599839</v>
      </c>
      <c r="AA340" s="6">
        <v>96.955501760315073</v>
      </c>
      <c r="AB340" s="6">
        <v>0</v>
      </c>
      <c r="AC340" s="6">
        <v>51.05652787379848</v>
      </c>
      <c r="AD340" s="6">
        <v>0</v>
      </c>
      <c r="AE340" s="6">
        <v>0</v>
      </c>
      <c r="AF340" s="6">
        <v>148.01202963411359</v>
      </c>
      <c r="AG340" s="6">
        <v>11.019679118847559</v>
      </c>
      <c r="AH340" s="6">
        <v>0</v>
      </c>
      <c r="AI340" s="6">
        <v>8.8184128463176208</v>
      </c>
      <c r="AJ340" s="6">
        <v>116.79359372548031</v>
      </c>
      <c r="AK340" s="6">
        <v>0</v>
      </c>
      <c r="AL340" s="6">
        <v>0</v>
      </c>
      <c r="AM340" s="6">
        <v>0</v>
      </c>
      <c r="AN340" s="6">
        <v>0</v>
      </c>
      <c r="AO340" s="6">
        <v>0</v>
      </c>
      <c r="AP340" s="6">
        <v>116.79359372548031</v>
      </c>
      <c r="AQ340" s="6">
        <v>419.99455665985528</v>
      </c>
      <c r="AR340" s="6">
        <v>69.441147000000001</v>
      </c>
      <c r="AS340" s="6">
        <v>338.01782687814011</v>
      </c>
      <c r="AT340" s="6">
        <v>323.0390548995403</v>
      </c>
    </row>
    <row r="341" spans="1:46" x14ac:dyDescent="0.35">
      <c r="A341" s="5">
        <v>46022</v>
      </c>
      <c r="B341" s="4" t="s">
        <v>527</v>
      </c>
      <c r="C341" s="4" t="s">
        <v>528</v>
      </c>
      <c r="D341" s="4" t="s">
        <v>61</v>
      </c>
      <c r="E341" s="6">
        <v>450</v>
      </c>
      <c r="F341" s="7">
        <v>0.61950000000000005</v>
      </c>
      <c r="G341" s="6">
        <v>81</v>
      </c>
      <c r="H341" s="6">
        <v>2.258</v>
      </c>
      <c r="I341" s="6">
        <v>97</v>
      </c>
      <c r="J341" s="6">
        <v>2.1901839999999999</v>
      </c>
      <c r="K341" s="8">
        <v>89.429237556612108</v>
      </c>
      <c r="L341" s="6">
        <v>82.221419005662383</v>
      </c>
      <c r="M341" s="6">
        <v>4.6824882357199167</v>
      </c>
      <c r="N341" s="6">
        <v>28.828244728765611</v>
      </c>
      <c r="O341" s="6">
        <v>47.667345687897701</v>
      </c>
      <c r="P341" s="6">
        <v>163.39949765804559</v>
      </c>
      <c r="Q341" s="6">
        <v>16.261104159256671</v>
      </c>
      <c r="R341" s="6">
        <v>10.705098415336961</v>
      </c>
      <c r="S341" s="6">
        <v>12.667304043800449</v>
      </c>
      <c r="T341" s="6">
        <v>39.401325384676902</v>
      </c>
      <c r="U341" s="6">
        <v>79.034832003070974</v>
      </c>
      <c r="V341" s="6">
        <v>242.43432966111661</v>
      </c>
      <c r="W341" s="6">
        <v>3.3960802732956932</v>
      </c>
      <c r="X341" s="6">
        <v>28.27597104892719</v>
      </c>
      <c r="Y341" s="6">
        <v>274.10638098333948</v>
      </c>
      <c r="Z341" s="6">
        <v>25.842364173257341</v>
      </c>
      <c r="AA341" s="6">
        <v>299.94874515659677</v>
      </c>
      <c r="AB341" s="6">
        <v>0</v>
      </c>
      <c r="AC341" s="6">
        <v>46.352610492435588</v>
      </c>
      <c r="AD341" s="6">
        <v>0</v>
      </c>
      <c r="AE341" s="6">
        <v>0</v>
      </c>
      <c r="AF341" s="6">
        <v>346.30135564903242</v>
      </c>
      <c r="AG341" s="6">
        <v>31.729118296327279</v>
      </c>
      <c r="AH341" s="6">
        <v>0</v>
      </c>
      <c r="AI341" s="6">
        <v>16.836339875026852</v>
      </c>
      <c r="AJ341" s="6">
        <v>348.5142033279509</v>
      </c>
      <c r="AK341" s="6">
        <v>162.9848918840311</v>
      </c>
      <c r="AL341" s="6">
        <v>0</v>
      </c>
      <c r="AM341" s="6">
        <v>0</v>
      </c>
      <c r="AN341" s="6">
        <v>0</v>
      </c>
      <c r="AO341" s="6">
        <v>0</v>
      </c>
      <c r="AP341" s="6">
        <v>511.49909521198208</v>
      </c>
      <c r="AQ341" s="6">
        <v>420.00306788315231</v>
      </c>
      <c r="AR341" s="6">
        <v>22.637378999999999</v>
      </c>
      <c r="AS341" s="6">
        <v>145.89668689981281</v>
      </c>
      <c r="AT341" s="6">
        <v>120.0543227265554</v>
      </c>
    </row>
    <row r="342" spans="1:46" x14ac:dyDescent="0.35">
      <c r="A342" s="5">
        <v>46022</v>
      </c>
      <c r="B342" s="4" t="s">
        <v>511</v>
      </c>
      <c r="C342" s="4" t="s">
        <v>512</v>
      </c>
      <c r="D342" s="4" t="s">
        <v>61</v>
      </c>
      <c r="E342" s="6">
        <v>1078</v>
      </c>
      <c r="F342" s="7">
        <v>0.52</v>
      </c>
      <c r="G342" s="6">
        <v>87</v>
      </c>
      <c r="H342" s="6">
        <v>4.8769999999999998</v>
      </c>
      <c r="I342" s="6">
        <v>97</v>
      </c>
      <c r="J342" s="6">
        <v>4.7305659999999996</v>
      </c>
      <c r="K342" s="8">
        <v>93.910485025669658</v>
      </c>
      <c r="L342" s="6">
        <v>47.87523561955269</v>
      </c>
      <c r="M342" s="6">
        <v>52.268269205478241</v>
      </c>
      <c r="N342" s="6">
        <v>35.654012905773342</v>
      </c>
      <c r="O342" s="6">
        <v>41.131736914893182</v>
      </c>
      <c r="P342" s="6">
        <v>176.9292546456974</v>
      </c>
      <c r="Q342" s="6">
        <v>10.53732826766317</v>
      </c>
      <c r="R342" s="6">
        <v>18.0249954832213</v>
      </c>
      <c r="S342" s="6">
        <v>27.213243495158888</v>
      </c>
      <c r="T342" s="6">
        <v>34.711617542794052</v>
      </c>
      <c r="U342" s="6">
        <v>90.487184788837411</v>
      </c>
      <c r="V342" s="6">
        <v>267.41643943453488</v>
      </c>
      <c r="W342" s="6">
        <v>1.634114940531723</v>
      </c>
      <c r="X342" s="6">
        <v>24.244519863723902</v>
      </c>
      <c r="Y342" s="6">
        <v>293.29507423879051</v>
      </c>
      <c r="Z342" s="6">
        <v>24.898736089601311</v>
      </c>
      <c r="AA342" s="6">
        <v>318.19381032839181</v>
      </c>
      <c r="AB342" s="6">
        <v>0</v>
      </c>
      <c r="AC342" s="6">
        <v>119.9337492055357</v>
      </c>
      <c r="AD342" s="6">
        <v>0</v>
      </c>
      <c r="AE342" s="6">
        <v>0</v>
      </c>
      <c r="AF342" s="6">
        <v>438.12755953392752</v>
      </c>
      <c r="AG342" s="6">
        <v>70.902583416085847</v>
      </c>
      <c r="AH342" s="6">
        <v>0</v>
      </c>
      <c r="AI342" s="6">
        <v>111.41143120355309</v>
      </c>
      <c r="AJ342" s="6">
        <v>500.5078249480307</v>
      </c>
      <c r="AK342" s="6">
        <v>0</v>
      </c>
      <c r="AL342" s="6">
        <v>0</v>
      </c>
      <c r="AM342" s="6">
        <v>0</v>
      </c>
      <c r="AN342" s="6">
        <v>0</v>
      </c>
      <c r="AO342" s="6">
        <v>0</v>
      </c>
      <c r="AP342" s="6">
        <v>500.5078249480307</v>
      </c>
      <c r="AQ342" s="6">
        <v>420.00301831405471</v>
      </c>
      <c r="AR342" s="6">
        <v>46.628900999999999</v>
      </c>
      <c r="AS342" s="6">
        <v>126.70794407526429</v>
      </c>
      <c r="AT342" s="6">
        <v>101.80920798566299</v>
      </c>
    </row>
    <row r="343" spans="1:46" x14ac:dyDescent="0.35">
      <c r="A343" s="5">
        <v>46022</v>
      </c>
      <c r="B343" s="4" t="s">
        <v>651</v>
      </c>
      <c r="C343" s="4" t="s">
        <v>652</v>
      </c>
      <c r="D343" s="4" t="s">
        <v>61</v>
      </c>
      <c r="E343" s="6">
        <v>51.59</v>
      </c>
      <c r="F343" s="7">
        <v>0.84940000000000004</v>
      </c>
      <c r="G343" s="6">
        <v>89</v>
      </c>
      <c r="H343" s="6">
        <v>0.39</v>
      </c>
      <c r="I343" s="6">
        <v>94.274359000000004</v>
      </c>
      <c r="J343" s="6">
        <v>0.36767</v>
      </c>
      <c r="K343" s="8">
        <v>79.696460953855976</v>
      </c>
      <c r="L343" s="6">
        <v>42.757867484707297</v>
      </c>
      <c r="M343" s="6">
        <v>15.893082150206221</v>
      </c>
      <c r="N343" s="6">
        <v>19.803149517107521</v>
      </c>
      <c r="O343" s="6">
        <v>34.490353569252491</v>
      </c>
      <c r="P343" s="6">
        <v>112.94445272127351</v>
      </c>
      <c r="Q343" s="6">
        <v>26.55008956914223</v>
      </c>
      <c r="R343" s="6">
        <v>7.7784448110823963</v>
      </c>
      <c r="S343" s="6">
        <v>23.637876766943101</v>
      </c>
      <c r="T343" s="6">
        <v>36.756299019722853</v>
      </c>
      <c r="U343" s="6">
        <v>94.722710166890579</v>
      </c>
      <c r="V343" s="6">
        <v>207.66716288816411</v>
      </c>
      <c r="W343" s="6">
        <v>2.6744231508181948</v>
      </c>
      <c r="X343" s="6">
        <v>23.967993256129049</v>
      </c>
      <c r="Y343" s="6">
        <v>234.3095792951114</v>
      </c>
      <c r="Z343" s="6">
        <v>38.427817354356151</v>
      </c>
      <c r="AA343" s="6">
        <v>272.73739664946748</v>
      </c>
      <c r="AB343" s="6">
        <v>0</v>
      </c>
      <c r="AC343" s="6">
        <v>6.4784131243202649</v>
      </c>
      <c r="AD343" s="6">
        <v>0</v>
      </c>
      <c r="AE343" s="6">
        <v>0</v>
      </c>
      <c r="AF343" s="6">
        <v>279.21580977378778</v>
      </c>
      <c r="AG343" s="6">
        <v>13.13409084643868</v>
      </c>
      <c r="AH343" s="6">
        <v>0</v>
      </c>
      <c r="AI343" s="6">
        <v>6.4784131243202649</v>
      </c>
      <c r="AJ343" s="6">
        <v>292.34990062022649</v>
      </c>
      <c r="AK343" s="6">
        <v>0</v>
      </c>
      <c r="AL343" s="6">
        <v>0</v>
      </c>
      <c r="AM343" s="6">
        <v>0</v>
      </c>
      <c r="AN343" s="6">
        <v>0</v>
      </c>
      <c r="AO343" s="6">
        <v>0</v>
      </c>
      <c r="AP343" s="6">
        <v>292.34990062022649</v>
      </c>
      <c r="AQ343" s="6">
        <v>420.03426950932379</v>
      </c>
      <c r="AR343" s="6">
        <v>4.2819459999999996</v>
      </c>
      <c r="AS343" s="6">
        <v>185.7246902142125</v>
      </c>
      <c r="AT343" s="6">
        <v>147.29687285985631</v>
      </c>
    </row>
    <row r="344" spans="1:46" x14ac:dyDescent="0.35">
      <c r="A344" s="5">
        <v>46022</v>
      </c>
      <c r="B344" s="4" t="s">
        <v>653</v>
      </c>
      <c r="C344" s="4" t="s">
        <v>654</v>
      </c>
      <c r="D344" s="4" t="s">
        <v>50</v>
      </c>
      <c r="E344" s="6">
        <v>42400</v>
      </c>
      <c r="F344" s="7">
        <v>0.74</v>
      </c>
      <c r="G344" s="6">
        <v>89.73</v>
      </c>
      <c r="H344" s="6">
        <v>281.54500000000002</v>
      </c>
      <c r="I344" s="6">
        <v>97</v>
      </c>
      <c r="J344" s="6">
        <v>273.09844099999998</v>
      </c>
      <c r="K344" s="8">
        <v>75.132380067156106</v>
      </c>
      <c r="L344" s="6">
        <v>16.54529923767377</v>
      </c>
      <c r="M344" s="6">
        <v>23.32569032809586</v>
      </c>
      <c r="N344" s="6">
        <v>0.82230939118451085</v>
      </c>
      <c r="O344" s="6">
        <v>17.47134439559764</v>
      </c>
      <c r="P344" s="6">
        <v>58.164643352551778</v>
      </c>
      <c r="Q344" s="6">
        <v>4.7817553532043711</v>
      </c>
      <c r="R344" s="6">
        <v>11.132896454641941</v>
      </c>
      <c r="S344" s="6">
        <v>23.71401955711087</v>
      </c>
      <c r="T344" s="6">
        <v>11.77429524007556</v>
      </c>
      <c r="U344" s="6">
        <v>51.402966605032738</v>
      </c>
      <c r="V344" s="6">
        <v>109.56760995758449</v>
      </c>
      <c r="W344" s="6">
        <v>9.9387605257539917</v>
      </c>
      <c r="X344" s="6">
        <v>21.43514016190753</v>
      </c>
      <c r="Y344" s="6">
        <v>140.94151064524601</v>
      </c>
      <c r="Z344" s="6">
        <v>14.49845894600919</v>
      </c>
      <c r="AA344" s="6">
        <v>155.43996959125519</v>
      </c>
      <c r="AB344" s="6">
        <v>0</v>
      </c>
      <c r="AC344" s="6">
        <v>23.86561790397489</v>
      </c>
      <c r="AD344" s="6">
        <v>0</v>
      </c>
      <c r="AE344" s="6">
        <v>0</v>
      </c>
      <c r="AF344" s="6">
        <v>179.3055874952301</v>
      </c>
      <c r="AG344" s="6">
        <v>2.99491920501942</v>
      </c>
      <c r="AH344" s="6">
        <v>0</v>
      </c>
      <c r="AI344" s="6">
        <v>17.34556623345707</v>
      </c>
      <c r="AJ344" s="6">
        <v>175.78045502973171</v>
      </c>
      <c r="AK344" s="6">
        <v>0</v>
      </c>
      <c r="AL344" s="6">
        <v>0</v>
      </c>
      <c r="AM344" s="6">
        <v>0</v>
      </c>
      <c r="AN344" s="6">
        <v>0</v>
      </c>
      <c r="AO344" s="6">
        <v>0</v>
      </c>
      <c r="AP344" s="6">
        <v>175.78045502973171</v>
      </c>
      <c r="AQ344" s="6">
        <v>419.99993659360558</v>
      </c>
      <c r="AR344" s="6">
        <v>3341.249922</v>
      </c>
      <c r="AS344" s="6">
        <v>279.05842594835963</v>
      </c>
      <c r="AT344" s="6">
        <v>264.55996700235039</v>
      </c>
    </row>
    <row r="345" spans="1:46" x14ac:dyDescent="0.35">
      <c r="A345" s="5">
        <v>46022</v>
      </c>
      <c r="B345" s="4" t="s">
        <v>655</v>
      </c>
      <c r="C345" s="4" t="s">
        <v>656</v>
      </c>
      <c r="D345" s="4" t="s">
        <v>50</v>
      </c>
      <c r="E345" s="6">
        <v>12100</v>
      </c>
      <c r="F345" s="7">
        <v>0.22270000000000001</v>
      </c>
      <c r="G345" s="6">
        <v>16.100000000000001</v>
      </c>
      <c r="H345" s="6">
        <v>4.3390000000000004</v>
      </c>
      <c r="I345" s="6">
        <v>100</v>
      </c>
      <c r="J345" s="6">
        <v>4.3387089999999997</v>
      </c>
      <c r="K345" s="8">
        <v>100</v>
      </c>
      <c r="L345" s="6">
        <v>0</v>
      </c>
      <c r="M345" s="6">
        <v>0</v>
      </c>
      <c r="N345" s="6">
        <v>0</v>
      </c>
      <c r="O345" s="6">
        <v>0</v>
      </c>
      <c r="P345" s="6">
        <v>0</v>
      </c>
      <c r="Q345" s="6">
        <v>61.934408937294478</v>
      </c>
      <c r="R345" s="6">
        <v>1.4909292151449201</v>
      </c>
      <c r="S345" s="6">
        <v>43.168637229345372</v>
      </c>
      <c r="T345" s="6">
        <v>11.22447311972034</v>
      </c>
      <c r="U345" s="6">
        <v>117.8184485015051</v>
      </c>
      <c r="V345" s="6">
        <v>117.8184485015051</v>
      </c>
      <c r="W345" s="6">
        <v>5.3687701153076066</v>
      </c>
      <c r="X345" s="6">
        <v>0</v>
      </c>
      <c r="Y345" s="6">
        <v>123.1872186168127</v>
      </c>
      <c r="Z345" s="6">
        <v>9.1326743744129839</v>
      </c>
      <c r="AA345" s="6">
        <v>132.31989299122569</v>
      </c>
      <c r="AB345" s="6">
        <v>0</v>
      </c>
      <c r="AC345" s="6">
        <v>69.460654023350997</v>
      </c>
      <c r="AD345" s="6">
        <v>0</v>
      </c>
      <c r="AE345" s="6">
        <v>0</v>
      </c>
      <c r="AF345" s="6">
        <v>201.78054701457671</v>
      </c>
      <c r="AG345" s="6">
        <v>12.030784236073099</v>
      </c>
      <c r="AH345" s="6">
        <v>0</v>
      </c>
      <c r="AI345" s="6">
        <v>62.727311051712292</v>
      </c>
      <c r="AJ345" s="6">
        <v>207.07798827901109</v>
      </c>
      <c r="AK345" s="6">
        <v>0</v>
      </c>
      <c r="AL345" s="6">
        <v>0</v>
      </c>
      <c r="AM345" s="6">
        <v>0</v>
      </c>
      <c r="AN345" s="6">
        <v>0</v>
      </c>
      <c r="AO345" s="6">
        <v>0</v>
      </c>
      <c r="AP345" s="6">
        <v>207.07798827901109</v>
      </c>
      <c r="AQ345" s="6">
        <v>419.99912842089088</v>
      </c>
      <c r="AR345" s="6">
        <v>40.173824000000003</v>
      </c>
      <c r="AS345" s="6">
        <v>296.8119098040782</v>
      </c>
      <c r="AT345" s="6">
        <v>287.6792354296652</v>
      </c>
    </row>
    <row r="346" spans="1:46" x14ac:dyDescent="0.35">
      <c r="A346" s="5">
        <v>46022</v>
      </c>
      <c r="B346" s="4" t="s">
        <v>657</v>
      </c>
      <c r="C346" s="4" t="s">
        <v>658</v>
      </c>
      <c r="D346" s="4" t="s">
        <v>50</v>
      </c>
      <c r="E346" s="6">
        <v>54000</v>
      </c>
      <c r="F346" s="7">
        <v>0.47</v>
      </c>
      <c r="G346" s="6">
        <v>82</v>
      </c>
      <c r="H346" s="6">
        <v>208.11600000000001</v>
      </c>
      <c r="I346" s="6">
        <v>95.8</v>
      </c>
      <c r="J346" s="6">
        <v>199.37512799999999</v>
      </c>
      <c r="K346" s="8">
        <v>89.520740474567148</v>
      </c>
      <c r="L346" s="6">
        <v>17.719805260629119</v>
      </c>
      <c r="M346" s="6">
        <v>3.6521699933179441</v>
      </c>
      <c r="N346" s="6">
        <v>1.1135215853053819</v>
      </c>
      <c r="O346" s="6">
        <v>15.56228020337088</v>
      </c>
      <c r="P346" s="6">
        <v>38.047777042623331</v>
      </c>
      <c r="Q346" s="6">
        <v>20.086049627364361</v>
      </c>
      <c r="R346" s="6">
        <v>15.433043160180659</v>
      </c>
      <c r="S346" s="6">
        <v>24.846176237571871</v>
      </c>
      <c r="T346" s="6">
        <v>25.954077864654948</v>
      </c>
      <c r="U346" s="6">
        <v>86.319346889771836</v>
      </c>
      <c r="V346" s="6">
        <v>124.3671239323952</v>
      </c>
      <c r="W346" s="6">
        <v>16.730695326769801</v>
      </c>
      <c r="X346" s="6">
        <v>25.510976089432109</v>
      </c>
      <c r="Y346" s="6">
        <v>166.60879534859711</v>
      </c>
      <c r="Z346" s="6">
        <v>8.2781715236284423</v>
      </c>
      <c r="AA346" s="6">
        <v>174.88696687222551</v>
      </c>
      <c r="AB346" s="6">
        <v>0</v>
      </c>
      <c r="AC346" s="6">
        <v>54.39610353574755</v>
      </c>
      <c r="AD346" s="6">
        <v>0</v>
      </c>
      <c r="AE346" s="6">
        <v>0</v>
      </c>
      <c r="AF346" s="6">
        <v>229.2830704079731</v>
      </c>
      <c r="AG346" s="6">
        <v>3.8696546779479011</v>
      </c>
      <c r="AH346" s="6">
        <v>0</v>
      </c>
      <c r="AI346" s="6">
        <v>12.19718999376448</v>
      </c>
      <c r="AJ346" s="6">
        <v>190.95381154393789</v>
      </c>
      <c r="AK346" s="6">
        <v>10.18329831103302</v>
      </c>
      <c r="AL346" s="6">
        <v>0</v>
      </c>
      <c r="AM346" s="6">
        <v>0</v>
      </c>
      <c r="AN346" s="6">
        <v>0</v>
      </c>
      <c r="AO346" s="6">
        <v>0</v>
      </c>
      <c r="AP346" s="6">
        <v>201.1371098549709</v>
      </c>
      <c r="AQ346" s="6">
        <v>419.99994066350388</v>
      </c>
      <c r="AR346" s="6">
        <v>2064.9298650000001</v>
      </c>
      <c r="AS346" s="6">
        <v>253.39114531490679</v>
      </c>
      <c r="AT346" s="6">
        <v>245.11297379127831</v>
      </c>
    </row>
    <row r="347" spans="1:46" x14ac:dyDescent="0.35">
      <c r="A347" s="5">
        <v>46022</v>
      </c>
      <c r="B347" s="4" t="s">
        <v>835</v>
      </c>
      <c r="C347" s="4" t="s">
        <v>836</v>
      </c>
      <c r="D347" s="4" t="s">
        <v>122</v>
      </c>
      <c r="E347" s="6">
        <v>50000</v>
      </c>
      <c r="F347" s="7">
        <v>0.5</v>
      </c>
      <c r="G347" s="6">
        <v>89.5</v>
      </c>
      <c r="H347" s="6">
        <v>223.75</v>
      </c>
      <c r="I347" s="6">
        <v>96.5</v>
      </c>
      <c r="J347" s="6">
        <v>215.91874999999999</v>
      </c>
      <c r="K347" s="8">
        <v>100</v>
      </c>
      <c r="L347" s="6">
        <v>10.852006086609199</v>
      </c>
      <c r="M347" s="6">
        <v>7.9223668428239788</v>
      </c>
      <c r="N347" s="6">
        <v>4.6442018589404581</v>
      </c>
      <c r="O347" s="6">
        <v>51.862732982272497</v>
      </c>
      <c r="P347" s="6">
        <v>75.281307770646137</v>
      </c>
      <c r="Q347" s="6">
        <v>6.7090653520764167</v>
      </c>
      <c r="R347" s="6">
        <v>14.25741379420662</v>
      </c>
      <c r="S347" s="6">
        <v>22.638123339026599</v>
      </c>
      <c r="T347" s="6">
        <v>26.40883131452247</v>
      </c>
      <c r="U347" s="6">
        <v>70.013433799832114</v>
      </c>
      <c r="V347" s="6">
        <v>145.29474157047821</v>
      </c>
      <c r="W347" s="6">
        <v>14.25352474216395</v>
      </c>
      <c r="X347" s="6">
        <v>22.746477687514219</v>
      </c>
      <c r="Y347" s="6">
        <v>182.29474400015641</v>
      </c>
      <c r="Z347" s="6">
        <v>27.41387811896562</v>
      </c>
      <c r="AA347" s="6">
        <v>209.708622119122</v>
      </c>
      <c r="AB347" s="6">
        <v>0.70025513140452145</v>
      </c>
      <c r="AC347" s="6">
        <v>35.38860262767453</v>
      </c>
      <c r="AD347" s="6">
        <v>0</v>
      </c>
      <c r="AE347" s="6">
        <v>0</v>
      </c>
      <c r="AF347" s="6">
        <v>245.7974798782011</v>
      </c>
      <c r="AG347" s="6">
        <v>8.6653198173766768</v>
      </c>
      <c r="AH347" s="6">
        <v>0</v>
      </c>
      <c r="AI347" s="6">
        <v>4.2980709794172567</v>
      </c>
      <c r="AJ347" s="6">
        <v>223.37226804732049</v>
      </c>
      <c r="AK347" s="6">
        <v>62.92608551463433</v>
      </c>
      <c r="AL347" s="6">
        <v>0</v>
      </c>
      <c r="AM347" s="6">
        <v>0</v>
      </c>
      <c r="AN347" s="6">
        <v>0</v>
      </c>
      <c r="AO347" s="6">
        <v>0</v>
      </c>
      <c r="AP347" s="6">
        <v>286.2983535619548</v>
      </c>
      <c r="AQ347" s="6">
        <v>420.00009690659869</v>
      </c>
      <c r="AR347" s="6">
        <v>1999.281776</v>
      </c>
      <c r="AS347" s="6">
        <v>237.7053529064423</v>
      </c>
      <c r="AT347" s="6">
        <v>210.29147478747669</v>
      </c>
    </row>
    <row r="348" spans="1:46" x14ac:dyDescent="0.35">
      <c r="A348" s="5">
        <v>46022</v>
      </c>
      <c r="B348" s="4" t="s">
        <v>545</v>
      </c>
      <c r="C348" s="4" t="s">
        <v>546</v>
      </c>
      <c r="D348" s="4" t="s">
        <v>89</v>
      </c>
      <c r="E348" s="6">
        <v>1241.5999999999999</v>
      </c>
      <c r="F348" s="7">
        <v>1.7768999999999999</v>
      </c>
      <c r="G348" s="6">
        <v>95.19</v>
      </c>
      <c r="H348" s="6">
        <v>21</v>
      </c>
      <c r="I348" s="6">
        <v>95</v>
      </c>
      <c r="J348" s="6">
        <v>19.95</v>
      </c>
      <c r="K348" s="8">
        <v>93.143532114779376</v>
      </c>
      <c r="L348" s="6">
        <v>144.2969767605484</v>
      </c>
      <c r="M348" s="6">
        <v>13.11031397784763</v>
      </c>
      <c r="N348" s="6">
        <v>8.4575317824984673</v>
      </c>
      <c r="O348" s="6">
        <v>35.882747357942449</v>
      </c>
      <c r="P348" s="6">
        <v>201.747569878837</v>
      </c>
      <c r="Q348" s="6">
        <v>26.745033573183761</v>
      </c>
      <c r="R348" s="6">
        <v>2.701120546660853</v>
      </c>
      <c r="S348" s="6">
        <v>7.0081835025502199</v>
      </c>
      <c r="T348" s="6">
        <v>15.83855682227569</v>
      </c>
      <c r="U348" s="6">
        <v>52.292894444670523</v>
      </c>
      <c r="V348" s="6">
        <v>254.04046432350751</v>
      </c>
      <c r="W348" s="6">
        <v>11.71538360205516</v>
      </c>
      <c r="X348" s="6">
        <v>31.64121951535072</v>
      </c>
      <c r="Y348" s="6">
        <v>297.39706744091342</v>
      </c>
      <c r="Z348" s="6">
        <v>12.77808409938895</v>
      </c>
      <c r="AA348" s="6">
        <v>310.17515154030229</v>
      </c>
      <c r="AB348" s="6">
        <v>0</v>
      </c>
      <c r="AC348" s="6">
        <v>109.2046649257268</v>
      </c>
      <c r="AD348" s="6">
        <v>0</v>
      </c>
      <c r="AE348" s="6">
        <v>-3.6329916875129058</v>
      </c>
      <c r="AF348" s="6">
        <v>415.74682477851621</v>
      </c>
      <c r="AG348" s="6">
        <v>2.794608990394543</v>
      </c>
      <c r="AH348" s="6">
        <v>3.0740698894339982</v>
      </c>
      <c r="AI348" s="6">
        <v>73.218737142512083</v>
      </c>
      <c r="AJ348" s="6">
        <v>389.26256756264291</v>
      </c>
      <c r="AK348" s="6">
        <v>35.351794525578498</v>
      </c>
      <c r="AL348" s="6">
        <v>0</v>
      </c>
      <c r="AM348" s="6">
        <v>0</v>
      </c>
      <c r="AN348" s="6">
        <v>0</v>
      </c>
      <c r="AO348" s="6">
        <v>0</v>
      </c>
      <c r="AP348" s="6">
        <v>424.61436208822141</v>
      </c>
      <c r="AQ348" s="6">
        <v>419.99999964779198</v>
      </c>
      <c r="AR348" s="6">
        <v>198.70481000000001</v>
      </c>
      <c r="AS348" s="6">
        <v>122.60293220687861</v>
      </c>
      <c r="AT348" s="6">
        <v>109.8248481074896</v>
      </c>
    </row>
    <row r="349" spans="1:46" x14ac:dyDescent="0.35">
      <c r="A349" s="5">
        <v>46022</v>
      </c>
      <c r="B349" s="4" t="s">
        <v>547</v>
      </c>
      <c r="C349" s="4" t="s">
        <v>548</v>
      </c>
      <c r="D349" s="4" t="s">
        <v>441</v>
      </c>
      <c r="E349" s="6">
        <v>5553.4626669999998</v>
      </c>
      <c r="F349" s="7">
        <v>1.0305</v>
      </c>
      <c r="G349" s="6">
        <v>90.97</v>
      </c>
      <c r="H349" s="6">
        <v>52.061</v>
      </c>
      <c r="I349" s="6">
        <v>96.5</v>
      </c>
      <c r="J349" s="6">
        <v>50.239187000000001</v>
      </c>
      <c r="K349" s="8">
        <v>86.414378352242423</v>
      </c>
      <c r="L349" s="6">
        <v>32.450827187256607</v>
      </c>
      <c r="M349" s="6">
        <v>43.865452127703307</v>
      </c>
      <c r="N349" s="6">
        <v>3.0854655296895679</v>
      </c>
      <c r="O349" s="6">
        <v>24.138223571577679</v>
      </c>
      <c r="P349" s="6">
        <v>103.5399684162272</v>
      </c>
      <c r="Q349" s="6">
        <v>5.6222370877682932</v>
      </c>
      <c r="R349" s="6">
        <v>5.6156598313095829</v>
      </c>
      <c r="S349" s="6">
        <v>14.73732665121913</v>
      </c>
      <c r="T349" s="6">
        <v>5.5435873122488522</v>
      </c>
      <c r="U349" s="6">
        <v>31.518810882545861</v>
      </c>
      <c r="V349" s="6">
        <v>135.058779298773</v>
      </c>
      <c r="W349" s="6">
        <v>25.179955129290029</v>
      </c>
      <c r="X349" s="6">
        <v>8.3863665503246754</v>
      </c>
      <c r="Y349" s="6">
        <v>168.62510097838771</v>
      </c>
      <c r="Z349" s="6">
        <v>16.783548324247409</v>
      </c>
      <c r="AA349" s="6">
        <v>185.4086493026351</v>
      </c>
      <c r="AB349" s="6">
        <v>0</v>
      </c>
      <c r="AC349" s="6">
        <v>66.418946848648289</v>
      </c>
      <c r="AD349" s="6">
        <v>0</v>
      </c>
      <c r="AE349" s="6">
        <v>0</v>
      </c>
      <c r="AF349" s="6">
        <v>251.82759615128339</v>
      </c>
      <c r="AG349" s="6">
        <v>3.7379137721569839</v>
      </c>
      <c r="AH349" s="6">
        <v>0</v>
      </c>
      <c r="AI349" s="6">
        <v>27.652601613852369</v>
      </c>
      <c r="AJ349" s="6">
        <v>216.79916468864451</v>
      </c>
      <c r="AK349" s="6">
        <v>0</v>
      </c>
      <c r="AL349" s="6">
        <v>0</v>
      </c>
      <c r="AM349" s="6">
        <v>0</v>
      </c>
      <c r="AN349" s="6">
        <v>0</v>
      </c>
      <c r="AO349" s="6">
        <v>0</v>
      </c>
      <c r="AP349" s="6">
        <v>216.79916468864451</v>
      </c>
      <c r="AQ349" s="6">
        <v>420.00010832789451</v>
      </c>
      <c r="AR349" s="6">
        <v>539.43969300000003</v>
      </c>
      <c r="AS349" s="6">
        <v>251.3750073495068</v>
      </c>
      <c r="AT349" s="6">
        <v>234.5914590252593</v>
      </c>
    </row>
    <row r="350" spans="1:46" x14ac:dyDescent="0.35">
      <c r="A350" s="5">
        <v>46022</v>
      </c>
      <c r="B350" s="4" t="s">
        <v>659</v>
      </c>
      <c r="C350" s="4" t="s">
        <v>660</v>
      </c>
      <c r="D350" s="4" t="s">
        <v>55</v>
      </c>
      <c r="E350" s="6">
        <v>2182</v>
      </c>
      <c r="F350" s="7">
        <v>1.6596</v>
      </c>
      <c r="G350" s="6">
        <v>93.2</v>
      </c>
      <c r="H350" s="6">
        <v>33.75</v>
      </c>
      <c r="I350" s="6">
        <v>96</v>
      </c>
      <c r="J350" s="6">
        <v>32.4</v>
      </c>
      <c r="K350" s="8">
        <v>100</v>
      </c>
      <c r="L350" s="6">
        <v>4.8240254109631584</v>
      </c>
      <c r="M350" s="6">
        <v>5.7075198054648704</v>
      </c>
      <c r="N350" s="6">
        <v>0.14455986871932969</v>
      </c>
      <c r="O350" s="6">
        <v>12.456006296547431</v>
      </c>
      <c r="P350" s="6">
        <v>23.132111381694791</v>
      </c>
      <c r="Q350" s="6">
        <v>1.6530405561574839</v>
      </c>
      <c r="R350" s="6">
        <v>2.8086886142887741</v>
      </c>
      <c r="S350" s="6">
        <v>7.3649530901310802</v>
      </c>
      <c r="T350" s="6">
        <v>5.5720417043786696</v>
      </c>
      <c r="U350" s="6">
        <v>17.398723964956009</v>
      </c>
      <c r="V350" s="6">
        <v>40.530835346650797</v>
      </c>
      <c r="W350" s="6">
        <v>23.799603956786921</v>
      </c>
      <c r="X350" s="6">
        <v>7.5523560985134406</v>
      </c>
      <c r="Y350" s="6">
        <v>71.882795401951157</v>
      </c>
      <c r="Z350" s="6">
        <v>5.5957905905326788</v>
      </c>
      <c r="AA350" s="6">
        <v>77.478585992483843</v>
      </c>
      <c r="AB350" s="6">
        <v>1.7029154367986199</v>
      </c>
      <c r="AC350" s="6">
        <v>38.875717561434953</v>
      </c>
      <c r="AD350" s="6">
        <v>0</v>
      </c>
      <c r="AE350" s="6">
        <v>0</v>
      </c>
      <c r="AF350" s="6">
        <v>118.0572189907174</v>
      </c>
      <c r="AG350" s="6">
        <v>3.054748615246913</v>
      </c>
      <c r="AH350" s="6">
        <v>0</v>
      </c>
      <c r="AI350" s="6">
        <v>9.7998351711207032</v>
      </c>
      <c r="AJ350" s="6">
        <v>92.036085215650075</v>
      </c>
      <c r="AK350" s="6">
        <v>48.999175855603532</v>
      </c>
      <c r="AL350" s="6">
        <v>0</v>
      </c>
      <c r="AM350" s="6">
        <v>0</v>
      </c>
      <c r="AN350" s="6">
        <v>0</v>
      </c>
      <c r="AO350" s="6">
        <v>0</v>
      </c>
      <c r="AP350" s="6">
        <v>141.03526107125359</v>
      </c>
      <c r="AQ350" s="6">
        <v>419.99999964779198</v>
      </c>
      <c r="AR350" s="6">
        <v>300.00504599999999</v>
      </c>
      <c r="AS350" s="6">
        <v>348.11720424584081</v>
      </c>
      <c r="AT350" s="6">
        <v>342.52141365530809</v>
      </c>
    </row>
    <row r="351" spans="1:46" x14ac:dyDescent="0.35">
      <c r="A351" s="5">
        <v>46022</v>
      </c>
      <c r="B351" s="4" t="s">
        <v>837</v>
      </c>
      <c r="C351" s="4" t="s">
        <v>838</v>
      </c>
      <c r="D351" s="4" t="s">
        <v>61</v>
      </c>
      <c r="E351" s="6">
        <v>50</v>
      </c>
      <c r="F351" s="7">
        <v>0.5</v>
      </c>
      <c r="G351" s="6">
        <v>80</v>
      </c>
      <c r="H351" s="6">
        <v>0.2</v>
      </c>
      <c r="I351" s="6">
        <v>97</v>
      </c>
      <c r="J351" s="6">
        <v>0.19400000000000001</v>
      </c>
      <c r="K351" s="8">
        <v>79.510145231048824</v>
      </c>
      <c r="L351" s="6">
        <v>63.66955140241447</v>
      </c>
      <c r="M351" s="6">
        <v>13.42250825799726</v>
      </c>
      <c r="N351" s="6">
        <v>16.402320651359449</v>
      </c>
      <c r="O351" s="6">
        <v>50.964368723047457</v>
      </c>
      <c r="P351" s="6">
        <v>144.4587490348186</v>
      </c>
      <c r="Q351" s="6">
        <v>47.948026376800577</v>
      </c>
      <c r="R351" s="6">
        <v>11.072963036466851</v>
      </c>
      <c r="S351" s="6">
        <v>15.90499276353702</v>
      </c>
      <c r="T351" s="6">
        <v>25.906559237840959</v>
      </c>
      <c r="U351" s="6">
        <v>100.83254141464541</v>
      </c>
      <c r="V351" s="6">
        <v>245.29129044946399</v>
      </c>
      <c r="W351" s="6">
        <v>23.288826774032881</v>
      </c>
      <c r="X351" s="6">
        <v>22.872248452904351</v>
      </c>
      <c r="Y351" s="6">
        <v>291.45236567640131</v>
      </c>
      <c r="Z351" s="6">
        <v>66.4960423538828</v>
      </c>
      <c r="AA351" s="6">
        <v>357.9484080302841</v>
      </c>
      <c r="AB351" s="6">
        <v>0</v>
      </c>
      <c r="AC351" s="6">
        <v>0</v>
      </c>
      <c r="AD351" s="6">
        <v>0</v>
      </c>
      <c r="AE351" s="6">
        <v>0</v>
      </c>
      <c r="AF351" s="6">
        <v>357.9484080302841</v>
      </c>
      <c r="AG351" s="6">
        <v>11.738914302223391</v>
      </c>
      <c r="AH351" s="6">
        <v>0</v>
      </c>
      <c r="AI351" s="6">
        <v>46.485564120550031</v>
      </c>
      <c r="AJ351" s="6">
        <v>416.17288645305752</v>
      </c>
      <c r="AK351" s="6">
        <v>0</v>
      </c>
      <c r="AL351" s="6">
        <v>0</v>
      </c>
      <c r="AM351" s="6">
        <v>0</v>
      </c>
      <c r="AN351" s="6">
        <v>0</v>
      </c>
      <c r="AO351" s="6">
        <v>0</v>
      </c>
      <c r="AP351" s="6">
        <v>416.17288645305752</v>
      </c>
      <c r="AQ351" s="6">
        <v>419.99999964779192</v>
      </c>
      <c r="AR351" s="6">
        <v>2.2758880000000001</v>
      </c>
      <c r="AS351" s="6">
        <v>128.54763397139061</v>
      </c>
      <c r="AT351" s="6">
        <v>62.051591617507839</v>
      </c>
    </row>
    <row r="352" spans="1:46" x14ac:dyDescent="0.35">
      <c r="A352" s="5">
        <v>46022</v>
      </c>
      <c r="B352" s="4" t="s">
        <v>661</v>
      </c>
      <c r="C352" s="4" t="s">
        <v>662</v>
      </c>
      <c r="D352" s="4" t="s">
        <v>61</v>
      </c>
      <c r="E352" s="6">
        <v>705</v>
      </c>
      <c r="F352" s="7">
        <v>0.2301</v>
      </c>
      <c r="G352" s="6">
        <v>80</v>
      </c>
      <c r="H352" s="6">
        <v>1.298</v>
      </c>
      <c r="I352" s="6">
        <v>97</v>
      </c>
      <c r="J352" s="6">
        <v>1.259058</v>
      </c>
      <c r="K352" s="8">
        <v>28.816615928361134</v>
      </c>
      <c r="L352" s="6">
        <v>41.805305536603981</v>
      </c>
      <c r="M352" s="6">
        <v>8.4791781525879912</v>
      </c>
      <c r="N352" s="6">
        <v>4.977355852337551</v>
      </c>
      <c r="O352" s="6">
        <v>26.55971372265688</v>
      </c>
      <c r="P352" s="6">
        <v>81.821553264186406</v>
      </c>
      <c r="Q352" s="6">
        <v>11.09199739780324</v>
      </c>
      <c r="R352" s="6">
        <v>11.77109868183152</v>
      </c>
      <c r="S352" s="6">
        <v>23.242125439624122</v>
      </c>
      <c r="T352" s="6">
        <v>19.914217358232989</v>
      </c>
      <c r="U352" s="6">
        <v>66.019438877491879</v>
      </c>
      <c r="V352" s="6">
        <v>147.8409921416783</v>
      </c>
      <c r="W352" s="6">
        <v>13.802802942331921</v>
      </c>
      <c r="X352" s="6">
        <v>22.03870706296782</v>
      </c>
      <c r="Y352" s="6">
        <v>183.68250214697801</v>
      </c>
      <c r="Z352" s="6">
        <v>10.594396404696029</v>
      </c>
      <c r="AA352" s="6">
        <v>194.27689855167409</v>
      </c>
      <c r="AB352" s="6">
        <v>0</v>
      </c>
      <c r="AC352" s="6">
        <v>2.2722512613771211</v>
      </c>
      <c r="AD352" s="6">
        <v>0</v>
      </c>
      <c r="AE352" s="6">
        <v>0</v>
      </c>
      <c r="AF352" s="6">
        <v>196.5491498130512</v>
      </c>
      <c r="AG352" s="6">
        <v>23.473047395656032</v>
      </c>
      <c r="AH352" s="6">
        <v>0</v>
      </c>
      <c r="AI352" s="6">
        <v>17.787284959554789</v>
      </c>
      <c r="AJ352" s="6">
        <v>235.5372309068849</v>
      </c>
      <c r="AK352" s="6">
        <v>0</v>
      </c>
      <c r="AL352" s="6">
        <v>0</v>
      </c>
      <c r="AM352" s="6">
        <v>0</v>
      </c>
      <c r="AN352" s="6">
        <v>0</v>
      </c>
      <c r="AO352" s="6">
        <v>0</v>
      </c>
      <c r="AP352" s="6">
        <v>235.5372309068849</v>
      </c>
      <c r="AQ352" s="6">
        <v>420.0140101222778</v>
      </c>
      <c r="AR352" s="6">
        <v>49.326742000000003</v>
      </c>
      <c r="AS352" s="6">
        <v>236.33150797529979</v>
      </c>
      <c r="AT352" s="6">
        <v>225.7371115706037</v>
      </c>
    </row>
    <row r="353" spans="1:46" x14ac:dyDescent="0.35">
      <c r="A353" s="5">
        <v>46022</v>
      </c>
      <c r="B353" s="4" t="s">
        <v>663</v>
      </c>
      <c r="C353" s="4" t="s">
        <v>664</v>
      </c>
      <c r="D353" s="4" t="s">
        <v>61</v>
      </c>
      <c r="E353" s="6">
        <v>2320.833333</v>
      </c>
      <c r="F353" s="7">
        <v>0.75</v>
      </c>
      <c r="G353" s="6">
        <v>90</v>
      </c>
      <c r="H353" s="6">
        <v>15.666</v>
      </c>
      <c r="I353" s="6">
        <v>97</v>
      </c>
      <c r="J353" s="6">
        <v>15.195656</v>
      </c>
      <c r="K353" s="8">
        <v>90.151876344367011</v>
      </c>
      <c r="L353" s="6">
        <v>27.20418584302351</v>
      </c>
      <c r="M353" s="6">
        <v>3.2594287325068869</v>
      </c>
      <c r="N353" s="6">
        <v>9.1324922808324178</v>
      </c>
      <c r="O353" s="6">
        <v>21.177833519904489</v>
      </c>
      <c r="P353" s="6">
        <v>60.773940376267298</v>
      </c>
      <c r="Q353" s="6">
        <v>7.8999865778970344</v>
      </c>
      <c r="R353" s="6">
        <v>6.0256028669189208</v>
      </c>
      <c r="S353" s="6">
        <v>18.432850259550239</v>
      </c>
      <c r="T353" s="6">
        <v>11.4066734017531</v>
      </c>
      <c r="U353" s="6">
        <v>43.765113106119287</v>
      </c>
      <c r="V353" s="6">
        <v>104.53905348238661</v>
      </c>
      <c r="W353" s="6">
        <v>9.8523946193857928</v>
      </c>
      <c r="X353" s="6">
        <v>21.488085769340131</v>
      </c>
      <c r="Y353" s="6">
        <v>135.8795338711125</v>
      </c>
      <c r="Z353" s="6">
        <v>16.779016042134408</v>
      </c>
      <c r="AA353" s="6">
        <v>152.6585499132469</v>
      </c>
      <c r="AB353" s="6">
        <v>0</v>
      </c>
      <c r="AC353" s="6">
        <v>9.9565318637774318</v>
      </c>
      <c r="AD353" s="6">
        <v>0</v>
      </c>
      <c r="AE353" s="6">
        <v>0</v>
      </c>
      <c r="AF353" s="6">
        <v>162.61508177702439</v>
      </c>
      <c r="AG353" s="6">
        <v>7.8515904437756712</v>
      </c>
      <c r="AH353" s="6">
        <v>0</v>
      </c>
      <c r="AI353" s="6">
        <v>11.802236384165109</v>
      </c>
      <c r="AJ353" s="6">
        <v>172.31237674118771</v>
      </c>
      <c r="AK353" s="6">
        <v>0</v>
      </c>
      <c r="AL353" s="6">
        <v>0</v>
      </c>
      <c r="AM353" s="6">
        <v>0</v>
      </c>
      <c r="AN353" s="6">
        <v>0</v>
      </c>
      <c r="AO353" s="6">
        <v>0</v>
      </c>
      <c r="AP353" s="6">
        <v>172.31237674118771</v>
      </c>
      <c r="AQ353" s="6">
        <v>420.00121578482378</v>
      </c>
      <c r="AR353" s="6">
        <v>155.879032</v>
      </c>
      <c r="AS353" s="6">
        <v>284.12168191371131</v>
      </c>
      <c r="AT353" s="6">
        <v>267.3426658715768</v>
      </c>
    </row>
    <row r="354" spans="1:46" x14ac:dyDescent="0.35">
      <c r="A354" s="5">
        <v>46022</v>
      </c>
      <c r="B354" s="4" t="s">
        <v>839</v>
      </c>
      <c r="C354" s="4" t="s">
        <v>840</v>
      </c>
      <c r="D354" s="4" t="s">
        <v>105</v>
      </c>
      <c r="E354" s="6">
        <v>5040</v>
      </c>
      <c r="F354" s="7">
        <v>0.01</v>
      </c>
      <c r="G354" s="6">
        <v>69.44</v>
      </c>
      <c r="H354" s="6">
        <v>0.35</v>
      </c>
      <c r="I354" s="6">
        <v>90</v>
      </c>
      <c r="J354" s="6">
        <v>0.315</v>
      </c>
      <c r="K354" s="8">
        <v>0.377418356850791</v>
      </c>
      <c r="L354" s="6">
        <v>79.923772787592284</v>
      </c>
      <c r="M354" s="6">
        <v>15.57830583015561</v>
      </c>
      <c r="N354" s="6">
        <v>13.6231104888974</v>
      </c>
      <c r="O354" s="6">
        <v>63.084434878216783</v>
      </c>
      <c r="P354" s="6">
        <v>172.20962398486211</v>
      </c>
      <c r="Q354" s="6">
        <v>8.7535179675608283</v>
      </c>
      <c r="R354" s="6">
        <v>3.6032739687111781</v>
      </c>
      <c r="S354" s="6">
        <v>10.476686430214929</v>
      </c>
      <c r="T354" s="6">
        <v>6.2793196758365752</v>
      </c>
      <c r="U354" s="6">
        <v>29.112798042323512</v>
      </c>
      <c r="V354" s="6">
        <v>201.32242202718561</v>
      </c>
      <c r="W354" s="6">
        <v>1.048888089809088</v>
      </c>
      <c r="X354" s="6">
        <v>79.727913999999998</v>
      </c>
      <c r="Y354" s="6">
        <v>282.09922411699472</v>
      </c>
      <c r="Z354" s="6">
        <v>0</v>
      </c>
      <c r="AA354" s="6">
        <v>282.09922411699472</v>
      </c>
      <c r="AB354" s="6">
        <v>0</v>
      </c>
      <c r="AC354" s="6">
        <v>117.26229879691481</v>
      </c>
      <c r="AD354" s="6">
        <v>0</v>
      </c>
      <c r="AE354" s="6">
        <v>0</v>
      </c>
      <c r="AF354" s="6">
        <v>399.36152291390948</v>
      </c>
      <c r="AG354" s="6">
        <v>3.8043133480218438</v>
      </c>
      <c r="AH354" s="6">
        <v>0.52168453464426912</v>
      </c>
      <c r="AI354" s="6">
        <v>108.07553105137799</v>
      </c>
      <c r="AJ354" s="6">
        <v>394.50075305103883</v>
      </c>
      <c r="AK354" s="6">
        <v>0</v>
      </c>
      <c r="AL354" s="6">
        <v>0</v>
      </c>
      <c r="AM354" s="6">
        <v>0</v>
      </c>
      <c r="AN354" s="6">
        <v>0</v>
      </c>
      <c r="AO354" s="6">
        <v>0</v>
      </c>
      <c r="AP354" s="6">
        <v>394.50075305103883</v>
      </c>
      <c r="AQ354" s="6">
        <v>419.99999964779192</v>
      </c>
      <c r="AR354" s="6">
        <v>660.98124299999995</v>
      </c>
      <c r="AS354" s="6">
        <v>137.90077553079729</v>
      </c>
      <c r="AT354" s="6">
        <v>137.90077553079729</v>
      </c>
    </row>
    <row r="355" spans="1:46" x14ac:dyDescent="0.35">
      <c r="A355" s="5">
        <v>46022</v>
      </c>
      <c r="B355" s="4" t="s">
        <v>513</v>
      </c>
      <c r="C355" s="4" t="s">
        <v>514</v>
      </c>
      <c r="D355" s="4" t="s">
        <v>79</v>
      </c>
      <c r="E355" s="6">
        <v>17760.400573999999</v>
      </c>
      <c r="F355" s="7">
        <v>0.19</v>
      </c>
      <c r="G355" s="6">
        <v>57.6</v>
      </c>
      <c r="H355" s="6">
        <v>19.437000000000001</v>
      </c>
      <c r="I355" s="6">
        <v>100</v>
      </c>
      <c r="J355" s="6">
        <v>19.436982</v>
      </c>
      <c r="K355" s="8">
        <v>99.999999923505044</v>
      </c>
      <c r="L355" s="6">
        <v>83.018637352406031</v>
      </c>
      <c r="M355" s="6">
        <v>32.313607722598242</v>
      </c>
      <c r="N355" s="6">
        <v>3.3782767906096249</v>
      </c>
      <c r="O355" s="6">
        <v>113.65908437176761</v>
      </c>
      <c r="P355" s="6">
        <v>232.3696062373815</v>
      </c>
      <c r="Q355" s="6">
        <v>29.08379291120519</v>
      </c>
      <c r="R355" s="6">
        <v>0</v>
      </c>
      <c r="S355" s="6">
        <v>5.5333793962277609</v>
      </c>
      <c r="T355" s="6">
        <v>28.16114854511358</v>
      </c>
      <c r="U355" s="6">
        <v>62.778320852546528</v>
      </c>
      <c r="V355" s="6">
        <v>295.14792708992798</v>
      </c>
      <c r="W355" s="6">
        <v>0</v>
      </c>
      <c r="X355" s="6">
        <v>0</v>
      </c>
      <c r="Y355" s="6">
        <v>295.14792708992798</v>
      </c>
      <c r="Z355" s="6">
        <v>2.1000019429853181</v>
      </c>
      <c r="AA355" s="6">
        <v>297.24792903291331</v>
      </c>
      <c r="AB355" s="6">
        <v>0</v>
      </c>
      <c r="AC355" s="6">
        <v>27.676015248985721</v>
      </c>
      <c r="AD355" s="6">
        <v>0</v>
      </c>
      <c r="AE355" s="6">
        <v>0</v>
      </c>
      <c r="AF355" s="6">
        <v>324.92394428189903</v>
      </c>
      <c r="AG355" s="6">
        <v>12.040424011817819</v>
      </c>
      <c r="AH355" s="6">
        <v>0</v>
      </c>
      <c r="AI355" s="6">
        <v>27.676015248985721</v>
      </c>
      <c r="AJ355" s="6">
        <v>336.9643682937168</v>
      </c>
      <c r="AK355" s="6">
        <v>0</v>
      </c>
      <c r="AL355" s="6">
        <v>0</v>
      </c>
      <c r="AM355" s="6">
        <v>0</v>
      </c>
      <c r="AN355" s="6">
        <v>0</v>
      </c>
      <c r="AO355" s="6">
        <v>0</v>
      </c>
      <c r="AP355" s="6">
        <v>336.9643682937168</v>
      </c>
      <c r="AQ355" s="6">
        <v>420.0003885970637</v>
      </c>
      <c r="AR355" s="6">
        <v>179.97524999999999</v>
      </c>
      <c r="AS355" s="6">
        <v>124.8524615071357</v>
      </c>
      <c r="AT355" s="6">
        <v>122.7524595641504</v>
      </c>
    </row>
    <row r="356" spans="1:46" x14ac:dyDescent="0.35">
      <c r="A356" s="5">
        <v>46022</v>
      </c>
      <c r="B356" s="4" t="s">
        <v>549</v>
      </c>
      <c r="C356" s="4" t="s">
        <v>550</v>
      </c>
      <c r="D356" s="4" t="s">
        <v>86</v>
      </c>
      <c r="E356" s="6">
        <v>6933</v>
      </c>
      <c r="F356" s="7">
        <v>0.91700000000000004</v>
      </c>
      <c r="G356" s="6">
        <v>80</v>
      </c>
      <c r="H356" s="6">
        <v>50.859000000000002</v>
      </c>
      <c r="I356" s="6">
        <v>97</v>
      </c>
      <c r="J356" s="6">
        <v>49.332782000000002</v>
      </c>
      <c r="K356" s="8">
        <v>66.523031388993118</v>
      </c>
      <c r="L356" s="6">
        <v>32.916328107031511</v>
      </c>
      <c r="M356" s="6">
        <v>20.167694869789472</v>
      </c>
      <c r="N356" s="6">
        <v>5.8358734437523889</v>
      </c>
      <c r="O356" s="6">
        <v>36.385285509154663</v>
      </c>
      <c r="P356" s="6">
        <v>95.305181929728036</v>
      </c>
      <c r="Q356" s="6">
        <v>6.1285739600145721</v>
      </c>
      <c r="R356" s="6">
        <v>9.4543700062468581</v>
      </c>
      <c r="S356" s="6">
        <v>19.063999690314581</v>
      </c>
      <c r="T356" s="6">
        <v>24.968913715680099</v>
      </c>
      <c r="U356" s="6">
        <v>59.615857372256109</v>
      </c>
      <c r="V356" s="6">
        <v>154.92103930198411</v>
      </c>
      <c r="W356" s="6">
        <v>4.1073377364365538</v>
      </c>
      <c r="X356" s="6">
        <v>24.05227240992571</v>
      </c>
      <c r="Y356" s="6">
        <v>183.08064944834641</v>
      </c>
      <c r="Z356" s="6">
        <v>25.681145461266031</v>
      </c>
      <c r="AA356" s="6">
        <v>208.76179490961241</v>
      </c>
      <c r="AB356" s="6">
        <v>0</v>
      </c>
      <c r="AC356" s="6">
        <v>35.2142078076091</v>
      </c>
      <c r="AD356" s="6">
        <v>0</v>
      </c>
      <c r="AE356" s="6">
        <v>0</v>
      </c>
      <c r="AF356" s="6">
        <v>243.97600271722149</v>
      </c>
      <c r="AG356" s="6">
        <v>26.388242367953239</v>
      </c>
      <c r="AH356" s="6">
        <v>0</v>
      </c>
      <c r="AI356" s="6">
        <v>25.627638296922139</v>
      </c>
      <c r="AJ356" s="6">
        <v>260.77767557448777</v>
      </c>
      <c r="AK356" s="6">
        <v>0</v>
      </c>
      <c r="AL356" s="6">
        <v>0</v>
      </c>
      <c r="AM356" s="6">
        <v>0</v>
      </c>
      <c r="AN356" s="6">
        <v>0</v>
      </c>
      <c r="AO356" s="6">
        <v>0</v>
      </c>
      <c r="AP356" s="6">
        <v>260.77767557448777</v>
      </c>
      <c r="AQ356" s="6">
        <v>420.00015289274768</v>
      </c>
      <c r="AR356" s="6">
        <v>699.77911300000005</v>
      </c>
      <c r="AS356" s="6">
        <v>236.9195034444013</v>
      </c>
      <c r="AT356" s="6">
        <v>211.23835798313519</v>
      </c>
    </row>
    <row r="357" spans="1:46" x14ac:dyDescent="0.35">
      <c r="A357" s="5">
        <v>46022</v>
      </c>
      <c r="B357" s="4" t="s">
        <v>529</v>
      </c>
      <c r="C357" s="4" t="s">
        <v>530</v>
      </c>
      <c r="D357" s="4" t="s">
        <v>105</v>
      </c>
      <c r="E357" s="6">
        <v>3238.355</v>
      </c>
      <c r="F357" s="7">
        <v>0.01</v>
      </c>
      <c r="G357" s="6">
        <v>50</v>
      </c>
      <c r="H357" s="6">
        <v>0.16200000000000001</v>
      </c>
      <c r="I357" s="6">
        <v>98</v>
      </c>
      <c r="J357" s="6">
        <v>0.15867899999999999</v>
      </c>
      <c r="K357" s="8">
        <v>0.28901442077386402</v>
      </c>
      <c r="L357" s="6">
        <v>151.10435558589739</v>
      </c>
      <c r="M357" s="6">
        <v>1.096941947891938</v>
      </c>
      <c r="N357" s="6">
        <v>14.391526538337329</v>
      </c>
      <c r="O357" s="6">
        <v>23.90132243089581</v>
      </c>
      <c r="P357" s="6">
        <v>190.49414650302251</v>
      </c>
      <c r="Q357" s="6">
        <v>8.8112890060884386</v>
      </c>
      <c r="R357" s="6">
        <v>3.5630513504918859</v>
      </c>
      <c r="S357" s="6">
        <v>11.757429079202691</v>
      </c>
      <c r="T357" s="6">
        <v>2.8901622537675942</v>
      </c>
      <c r="U357" s="6">
        <v>27.021931689550609</v>
      </c>
      <c r="V357" s="6">
        <v>217.5160781925731</v>
      </c>
      <c r="W357" s="6">
        <v>0.26085232731958402</v>
      </c>
      <c r="X357" s="6">
        <v>0</v>
      </c>
      <c r="Y357" s="6">
        <v>217.77693051989269</v>
      </c>
      <c r="Z357" s="6">
        <v>0.76963651346160356</v>
      </c>
      <c r="AA357" s="6">
        <v>218.54656703335431</v>
      </c>
      <c r="AB357" s="6">
        <v>0</v>
      </c>
      <c r="AC357" s="6">
        <v>12.17565908782691</v>
      </c>
      <c r="AD357" s="6">
        <v>0</v>
      </c>
      <c r="AE357" s="6">
        <v>0</v>
      </c>
      <c r="AF357" s="6">
        <v>230.72222612118119</v>
      </c>
      <c r="AG357" s="6">
        <v>9.6341820702475207</v>
      </c>
      <c r="AH357" s="6">
        <v>0</v>
      </c>
      <c r="AI357" s="6">
        <v>5.4380807464938172</v>
      </c>
      <c r="AJ357" s="6">
        <v>233.61882985009561</v>
      </c>
      <c r="AK357" s="6">
        <v>4.3288445741252781</v>
      </c>
      <c r="AL357" s="6">
        <v>0</v>
      </c>
      <c r="AM357" s="6">
        <v>0</v>
      </c>
      <c r="AN357" s="6">
        <v>0</v>
      </c>
      <c r="AO357" s="6">
        <v>0</v>
      </c>
      <c r="AP357" s="6">
        <v>237.94767442422091</v>
      </c>
      <c r="AQ357" s="6">
        <v>420.05558356244109</v>
      </c>
      <c r="AR357" s="6">
        <v>549.262068</v>
      </c>
      <c r="AS357" s="6">
        <v>202.2786530425484</v>
      </c>
      <c r="AT357" s="6">
        <v>201.50901652908681</v>
      </c>
    </row>
    <row r="358" spans="1:46" x14ac:dyDescent="0.35">
      <c r="A358" s="5">
        <v>46022</v>
      </c>
      <c r="B358" s="4" t="s">
        <v>531</v>
      </c>
      <c r="C358" s="4" t="s">
        <v>532</v>
      </c>
      <c r="D358" s="4" t="s">
        <v>533</v>
      </c>
      <c r="E358" s="6">
        <v>2150.8266050000002</v>
      </c>
      <c r="F358" s="7">
        <v>0.29110000000000003</v>
      </c>
      <c r="G358" s="6">
        <v>40</v>
      </c>
      <c r="H358" s="6">
        <v>2.504</v>
      </c>
      <c r="I358" s="6">
        <v>100</v>
      </c>
      <c r="J358" s="6">
        <v>2.5042490000000002</v>
      </c>
      <c r="K358" s="8">
        <v>5.8458245627450509</v>
      </c>
      <c r="L358" s="6">
        <v>57.470955109967761</v>
      </c>
      <c r="M358" s="6">
        <v>6.6276476267690372</v>
      </c>
      <c r="N358" s="6">
        <v>20.75115171317967</v>
      </c>
      <c r="O358" s="6">
        <v>40.145355339366461</v>
      </c>
      <c r="P358" s="6">
        <v>124.99510978928291</v>
      </c>
      <c r="Q358" s="6">
        <v>14.69356475712212</v>
      </c>
      <c r="R358" s="6">
        <v>11.57252631106611</v>
      </c>
      <c r="S358" s="6">
        <v>42.538422719740737</v>
      </c>
      <c r="T358" s="6">
        <v>11.3304659680998</v>
      </c>
      <c r="U358" s="6">
        <v>80.134979756028756</v>
      </c>
      <c r="V358" s="6">
        <v>205.13008954531171</v>
      </c>
      <c r="W358" s="6">
        <v>3.9551795552627058</v>
      </c>
      <c r="X358" s="6">
        <v>114.555829908533</v>
      </c>
      <c r="Y358" s="6">
        <v>323.64109900910739</v>
      </c>
      <c r="Z358" s="6">
        <v>8.5076872287174972</v>
      </c>
      <c r="AA358" s="6">
        <v>332.14878623782488</v>
      </c>
      <c r="AB358" s="6">
        <v>0</v>
      </c>
      <c r="AC358" s="6">
        <v>57.09535027984203</v>
      </c>
      <c r="AD358" s="6">
        <v>0</v>
      </c>
      <c r="AE358" s="6">
        <v>0</v>
      </c>
      <c r="AF358" s="6">
        <v>389.2441365176669</v>
      </c>
      <c r="AG358" s="6">
        <v>8.7488730980080156</v>
      </c>
      <c r="AH358" s="6">
        <v>0</v>
      </c>
      <c r="AI358" s="6">
        <v>37.704198370307878</v>
      </c>
      <c r="AJ358" s="6">
        <v>378.60185770614078</v>
      </c>
      <c r="AK358" s="6">
        <v>6.9017851555952747</v>
      </c>
      <c r="AL358" s="6">
        <v>0</v>
      </c>
      <c r="AM358" s="6">
        <v>0</v>
      </c>
      <c r="AN358" s="6">
        <v>0</v>
      </c>
      <c r="AO358" s="6">
        <v>0</v>
      </c>
      <c r="AP358" s="6">
        <v>385.50364286173601</v>
      </c>
      <c r="AQ358" s="6">
        <v>419.9917816151671</v>
      </c>
      <c r="AR358" s="6">
        <v>333.31674099999998</v>
      </c>
      <c r="AS358" s="6">
        <v>96.350682606059678</v>
      </c>
      <c r="AT358" s="6">
        <v>87.842995377342177</v>
      </c>
    </row>
    <row r="359" spans="1:46" x14ac:dyDescent="0.35">
      <c r="A359" s="5">
        <v>46022</v>
      </c>
      <c r="B359" s="4" t="s">
        <v>841</v>
      </c>
      <c r="C359" s="4" t="s">
        <v>842</v>
      </c>
      <c r="D359" s="4" t="s">
        <v>69</v>
      </c>
      <c r="E359" s="6">
        <v>3956</v>
      </c>
      <c r="F359" s="7">
        <v>5.4699999999999999E-2</v>
      </c>
      <c r="G359" s="6">
        <v>90</v>
      </c>
      <c r="H359" s="6">
        <v>1.9470000000000001</v>
      </c>
      <c r="I359" s="6">
        <v>94.117647000000005</v>
      </c>
      <c r="J359" s="6">
        <v>1.8326370000000001</v>
      </c>
      <c r="K359" s="8">
        <v>3.837384012121535</v>
      </c>
      <c r="L359" s="6">
        <v>20.560860599930841</v>
      </c>
      <c r="M359" s="6">
        <v>18.836822582552529</v>
      </c>
      <c r="N359" s="6">
        <v>2.2741731400285818</v>
      </c>
      <c r="O359" s="6">
        <v>108.4575072407312</v>
      </c>
      <c r="P359" s="6">
        <v>150.1293635632432</v>
      </c>
      <c r="Q359" s="6">
        <v>5.9798263047644689</v>
      </c>
      <c r="R359" s="6">
        <v>1.6506157791549689</v>
      </c>
      <c r="S359" s="6">
        <v>15.259163304776269</v>
      </c>
      <c r="T359" s="6">
        <v>54.412570351257699</v>
      </c>
      <c r="U359" s="6">
        <v>77.302175739953412</v>
      </c>
      <c r="V359" s="6">
        <v>227.43153930319659</v>
      </c>
      <c r="W359" s="6">
        <v>2.1874604215715858</v>
      </c>
      <c r="X359" s="6">
        <v>11.10642644662021</v>
      </c>
      <c r="Y359" s="6">
        <v>240.72542617138839</v>
      </c>
      <c r="Z359" s="6">
        <v>4.8787891136346353</v>
      </c>
      <c r="AA359" s="6">
        <v>245.604215285023</v>
      </c>
      <c r="AB359" s="6">
        <v>0</v>
      </c>
      <c r="AC359" s="6">
        <v>51.584440870817573</v>
      </c>
      <c r="AD359" s="6">
        <v>0</v>
      </c>
      <c r="AE359" s="6">
        <v>0</v>
      </c>
      <c r="AF359" s="6">
        <v>297.18865615584059</v>
      </c>
      <c r="AG359" s="6">
        <v>23.242724234735729</v>
      </c>
      <c r="AH359" s="6">
        <v>0</v>
      </c>
      <c r="AI359" s="6">
        <v>50.756273643269253</v>
      </c>
      <c r="AJ359" s="6">
        <v>319.60321316302799</v>
      </c>
      <c r="AK359" s="6">
        <v>0</v>
      </c>
      <c r="AL359" s="6">
        <v>9.4978340061611242</v>
      </c>
      <c r="AM359" s="6">
        <v>0</v>
      </c>
      <c r="AN359" s="6">
        <v>0</v>
      </c>
      <c r="AO359" s="6">
        <v>0</v>
      </c>
      <c r="AP359" s="6">
        <v>329.10104716918909</v>
      </c>
      <c r="AQ359" s="6">
        <v>419.99152006346242</v>
      </c>
      <c r="AR359" s="6">
        <v>430.445358</v>
      </c>
      <c r="AS359" s="6">
        <v>179.266093892074</v>
      </c>
      <c r="AT359" s="6">
        <v>174.38730477843939</v>
      </c>
    </row>
    <row r="360" spans="1:46" x14ac:dyDescent="0.35">
      <c r="A360" s="5">
        <v>46022</v>
      </c>
      <c r="B360" s="4" t="s">
        <v>843</v>
      </c>
      <c r="C360" s="4" t="s">
        <v>844</v>
      </c>
      <c r="D360" s="4" t="s">
        <v>111</v>
      </c>
      <c r="E360" s="6">
        <v>2677</v>
      </c>
      <c r="F360" s="7">
        <v>0.16</v>
      </c>
      <c r="G360" s="6">
        <v>60</v>
      </c>
      <c r="H360" s="6">
        <v>2.57</v>
      </c>
      <c r="I360" s="6">
        <v>97</v>
      </c>
      <c r="J360" s="6">
        <v>2.4928219999999999</v>
      </c>
      <c r="K360" s="8">
        <v>13.447884380133887</v>
      </c>
      <c r="L360" s="6">
        <v>123.7002089657698</v>
      </c>
      <c r="M360" s="6">
        <v>17.35972498626311</v>
      </c>
      <c r="N360" s="6">
        <v>20.902143265432159</v>
      </c>
      <c r="O360" s="6">
        <v>97.670142689831565</v>
      </c>
      <c r="P360" s="6">
        <v>259.6322199072967</v>
      </c>
      <c r="Q360" s="6">
        <v>8.2184984468703082</v>
      </c>
      <c r="R360" s="6">
        <v>13.044146993326571</v>
      </c>
      <c r="S360" s="6">
        <v>58.448810942116317</v>
      </c>
      <c r="T360" s="6">
        <v>20.303594627918049</v>
      </c>
      <c r="U360" s="6">
        <v>100.0150510102313</v>
      </c>
      <c r="V360" s="6">
        <v>359.64727091752792</v>
      </c>
      <c r="W360" s="6">
        <v>11.60190368490321</v>
      </c>
      <c r="X360" s="6">
        <v>21.360552336495751</v>
      </c>
      <c r="Y360" s="6">
        <v>392.60972693892688</v>
      </c>
      <c r="Z360" s="6">
        <v>3.0168863094631599</v>
      </c>
      <c r="AA360" s="6">
        <v>395.62661324839002</v>
      </c>
      <c r="AB360" s="6">
        <v>0</v>
      </c>
      <c r="AC360" s="6">
        <v>61.4328419173738</v>
      </c>
      <c r="AD360" s="6">
        <v>0</v>
      </c>
      <c r="AE360" s="6">
        <v>0</v>
      </c>
      <c r="AF360" s="6">
        <v>457.05945516576378</v>
      </c>
      <c r="AG360" s="6">
        <v>63.333342252844851</v>
      </c>
      <c r="AH360" s="6">
        <v>0</v>
      </c>
      <c r="AI360" s="6">
        <v>30.08257476023374</v>
      </c>
      <c r="AJ360" s="6">
        <v>489.04253026146858</v>
      </c>
      <c r="AK360" s="6">
        <v>0</v>
      </c>
      <c r="AL360" s="6">
        <v>0</v>
      </c>
      <c r="AM360" s="6">
        <v>0</v>
      </c>
      <c r="AN360" s="6">
        <v>0</v>
      </c>
      <c r="AO360" s="6">
        <v>0</v>
      </c>
      <c r="AP360" s="6">
        <v>489.04253026146858</v>
      </c>
      <c r="AQ360" s="6">
        <v>419.99629300528312</v>
      </c>
      <c r="AR360" s="6">
        <v>185.74149199999999</v>
      </c>
      <c r="AS360" s="6">
        <v>27.38656606635621</v>
      </c>
      <c r="AT360" s="6">
        <v>24.369679756893049</v>
      </c>
    </row>
    <row r="361" spans="1:46" x14ac:dyDescent="0.35">
      <c r="A361" s="5">
        <v>46022</v>
      </c>
      <c r="B361" s="4" t="s">
        <v>551</v>
      </c>
      <c r="C361" s="4" t="s">
        <v>552</v>
      </c>
      <c r="D361" s="4" t="s">
        <v>222</v>
      </c>
      <c r="E361" s="6">
        <v>2100</v>
      </c>
      <c r="F361" s="7">
        <v>1.05</v>
      </c>
      <c r="G361" s="6">
        <v>85.46</v>
      </c>
      <c r="H361" s="6">
        <v>18.844999999999999</v>
      </c>
      <c r="I361" s="6">
        <v>89</v>
      </c>
      <c r="J361" s="6">
        <v>16.77205</v>
      </c>
      <c r="K361" s="8">
        <v>29.251099379809489</v>
      </c>
      <c r="L361" s="6">
        <v>94.802204327275604</v>
      </c>
      <c r="M361" s="6">
        <v>48.878725066720598</v>
      </c>
      <c r="N361" s="6">
        <v>29.237209629612369</v>
      </c>
      <c r="O361" s="6">
        <v>261.7618598210384</v>
      </c>
      <c r="P361" s="6">
        <v>434.679998844647</v>
      </c>
      <c r="Q361" s="6">
        <v>28.466335658312431</v>
      </c>
      <c r="R361" s="6">
        <v>18.716789504238552</v>
      </c>
      <c r="S361" s="6">
        <v>18.783090920888661</v>
      </c>
      <c r="T361" s="6">
        <v>33.837311602062329</v>
      </c>
      <c r="U361" s="6">
        <v>99.803527685501976</v>
      </c>
      <c r="V361" s="6">
        <v>534.48352653014899</v>
      </c>
      <c r="W361" s="6">
        <v>0</v>
      </c>
      <c r="X361" s="6">
        <v>48.772324015967037</v>
      </c>
      <c r="Y361" s="6">
        <v>583.25585054611599</v>
      </c>
      <c r="Z361" s="6">
        <v>12.667355627683801</v>
      </c>
      <c r="AA361" s="6">
        <v>595.92320617379983</v>
      </c>
      <c r="AB361" s="6">
        <v>0</v>
      </c>
      <c r="AC361" s="6">
        <v>256.42385724165928</v>
      </c>
      <c r="AD361" s="6">
        <v>0</v>
      </c>
      <c r="AE361" s="6">
        <v>0</v>
      </c>
      <c r="AF361" s="6">
        <v>852.34706341545905</v>
      </c>
      <c r="AG361" s="6">
        <v>8.1616399152488874</v>
      </c>
      <c r="AH361" s="6">
        <v>0</v>
      </c>
      <c r="AI361" s="6">
        <v>33.348196976153183</v>
      </c>
      <c r="AJ361" s="6">
        <v>637.4330430652019</v>
      </c>
      <c r="AK361" s="6">
        <v>41.136291166511548</v>
      </c>
      <c r="AL361" s="6">
        <v>0</v>
      </c>
      <c r="AM361" s="6">
        <v>0</v>
      </c>
      <c r="AN361" s="6">
        <v>0</v>
      </c>
      <c r="AO361" s="6">
        <v>0</v>
      </c>
      <c r="AP361" s="6">
        <v>678.56933423171336</v>
      </c>
      <c r="AQ361" s="6">
        <v>419.99874756471428</v>
      </c>
      <c r="AR361" s="6">
        <v>571.87619299999994</v>
      </c>
      <c r="AS361" s="6">
        <v>-163.25710298140169</v>
      </c>
      <c r="AT361" s="6">
        <v>-175.92445860908549</v>
      </c>
    </row>
    <row r="362" spans="1:46" x14ac:dyDescent="0.35">
      <c r="A362" s="5">
        <v>46022</v>
      </c>
      <c r="B362" s="4" t="s">
        <v>665</v>
      </c>
      <c r="C362" s="4" t="s">
        <v>666</v>
      </c>
      <c r="D362" s="4" t="s">
        <v>61</v>
      </c>
      <c r="E362" s="6">
        <v>160</v>
      </c>
      <c r="F362" s="7">
        <v>0.73</v>
      </c>
      <c r="G362" s="6">
        <v>86</v>
      </c>
      <c r="H362" s="6">
        <v>1.004</v>
      </c>
      <c r="I362" s="6">
        <v>97</v>
      </c>
      <c r="J362" s="6">
        <v>0.97434600000000005</v>
      </c>
      <c r="K362" s="8">
        <v>66.84635545968878</v>
      </c>
      <c r="L362" s="6">
        <v>43.097755600647581</v>
      </c>
      <c r="M362" s="6">
        <v>1.716681775764171</v>
      </c>
      <c r="N362" s="6">
        <v>13.432343548271691</v>
      </c>
      <c r="O362" s="6">
        <v>23.422888961230271</v>
      </c>
      <c r="P362" s="6">
        <v>81.669669885913706</v>
      </c>
      <c r="Q362" s="6">
        <v>8.6209363038419848</v>
      </c>
      <c r="R362" s="6">
        <v>5.7887185838780439</v>
      </c>
      <c r="S362" s="6">
        <v>11.61152901850833</v>
      </c>
      <c r="T362" s="6">
        <v>15.53015498778368</v>
      </c>
      <c r="U362" s="6">
        <v>41.551338894012041</v>
      </c>
      <c r="V362" s="6">
        <v>123.2210087799257</v>
      </c>
      <c r="W362" s="6">
        <v>5.1298839862623922</v>
      </c>
      <c r="X362" s="6">
        <v>19.366393603601331</v>
      </c>
      <c r="Y362" s="6">
        <v>147.71728636978949</v>
      </c>
      <c r="Z362" s="6">
        <v>44.914568084994897</v>
      </c>
      <c r="AA362" s="6">
        <v>192.63185445478439</v>
      </c>
      <c r="AB362" s="6">
        <v>0</v>
      </c>
      <c r="AC362" s="6">
        <v>15.807754367802641</v>
      </c>
      <c r="AD362" s="6">
        <v>0</v>
      </c>
      <c r="AE362" s="6">
        <v>0</v>
      </c>
      <c r="AF362" s="6">
        <v>208.43960882258699</v>
      </c>
      <c r="AG362" s="6">
        <v>25.320386504493751</v>
      </c>
      <c r="AH362" s="6">
        <v>0</v>
      </c>
      <c r="AI362" s="6">
        <v>6.7148000339748641</v>
      </c>
      <c r="AJ362" s="6">
        <v>224.66704099325301</v>
      </c>
      <c r="AK362" s="6">
        <v>0</v>
      </c>
      <c r="AL362" s="6">
        <v>0</v>
      </c>
      <c r="AM362" s="6">
        <v>0</v>
      </c>
      <c r="AN362" s="6">
        <v>0</v>
      </c>
      <c r="AO362" s="6">
        <v>0</v>
      </c>
      <c r="AP362" s="6">
        <v>224.66704099325301</v>
      </c>
      <c r="AQ362" s="6">
        <v>419.98017096272127</v>
      </c>
      <c r="AR362" s="6">
        <v>13.656689999999999</v>
      </c>
      <c r="AS362" s="6">
        <v>272.26288459293193</v>
      </c>
      <c r="AT362" s="6">
        <v>227.348316507937</v>
      </c>
    </row>
    <row r="363" spans="1:46" x14ac:dyDescent="0.35">
      <c r="A363" s="5">
        <v>46022</v>
      </c>
      <c r="B363" s="4" t="s">
        <v>845</v>
      </c>
      <c r="C363" s="4" t="s">
        <v>846</v>
      </c>
      <c r="D363" s="4" t="s">
        <v>61</v>
      </c>
      <c r="E363" s="6">
        <v>3483.52</v>
      </c>
      <c r="F363" s="7">
        <v>0.39</v>
      </c>
      <c r="G363" s="6">
        <v>70</v>
      </c>
      <c r="H363" s="6">
        <v>9.51</v>
      </c>
      <c r="I363" s="6">
        <v>97</v>
      </c>
      <c r="J363" s="6">
        <v>9.2247000000000003</v>
      </c>
      <c r="K363" s="8">
        <v>16.635549443607349</v>
      </c>
      <c r="L363" s="6">
        <v>3.0465420802996399</v>
      </c>
      <c r="M363" s="6">
        <v>3.4787317287052479</v>
      </c>
      <c r="N363" s="6">
        <v>0.2382126577576085</v>
      </c>
      <c r="O363" s="6">
        <v>6.3267404648585472</v>
      </c>
      <c r="P363" s="6">
        <v>13.090226931621039</v>
      </c>
      <c r="Q363" s="6">
        <v>5.0357565433169906</v>
      </c>
      <c r="R363" s="6">
        <v>5.406396951219663</v>
      </c>
      <c r="S363" s="6">
        <v>4.0792300548676312</v>
      </c>
      <c r="T363" s="6">
        <v>8.156918529220814</v>
      </c>
      <c r="U363" s="6">
        <v>22.678302078625102</v>
      </c>
      <c r="V363" s="6">
        <v>35.768529010246141</v>
      </c>
      <c r="W363" s="6">
        <v>2.7338777869287498</v>
      </c>
      <c r="X363" s="6">
        <v>31.381049999999998</v>
      </c>
      <c r="Y363" s="6">
        <v>69.883456797174887</v>
      </c>
      <c r="Z363" s="6">
        <v>6.6419898507820854</v>
      </c>
      <c r="AA363" s="6">
        <v>76.525446647956969</v>
      </c>
      <c r="AB363" s="6">
        <v>0</v>
      </c>
      <c r="AC363" s="6">
        <v>5.9222964162111369</v>
      </c>
      <c r="AD363" s="6">
        <v>0</v>
      </c>
      <c r="AE363" s="6">
        <v>0</v>
      </c>
      <c r="AF363" s="6">
        <v>82.447743064168108</v>
      </c>
      <c r="AG363" s="6">
        <v>0.84810294210043935</v>
      </c>
      <c r="AH363" s="6">
        <v>0</v>
      </c>
      <c r="AI363" s="6">
        <v>2.0937826333292109</v>
      </c>
      <c r="AJ363" s="6">
        <v>79.46733222338662</v>
      </c>
      <c r="AK363" s="6">
        <v>0</v>
      </c>
      <c r="AL363" s="6">
        <v>0</v>
      </c>
      <c r="AM363" s="6">
        <v>0</v>
      </c>
      <c r="AN363" s="6">
        <v>0</v>
      </c>
      <c r="AO363" s="6">
        <v>0</v>
      </c>
      <c r="AP363" s="6">
        <v>79.46733222338662</v>
      </c>
      <c r="AQ363" s="6">
        <v>419.99999964779192</v>
      </c>
      <c r="AR363" s="6">
        <v>569.98968000000002</v>
      </c>
      <c r="AS363" s="6">
        <v>350.11654285061701</v>
      </c>
      <c r="AT363" s="6">
        <v>343.47455299983488</v>
      </c>
    </row>
    <row r="364" spans="1:46" x14ac:dyDescent="0.35">
      <c r="A364" s="5">
        <v>46022</v>
      </c>
      <c r="B364" s="4" t="s">
        <v>553</v>
      </c>
      <c r="C364" s="4" t="s">
        <v>554</v>
      </c>
      <c r="D364" s="4" t="s">
        <v>105</v>
      </c>
      <c r="E364" s="6">
        <v>5400</v>
      </c>
      <c r="F364" s="7">
        <v>5.8900000000000001E-2</v>
      </c>
      <c r="G364" s="6">
        <v>10</v>
      </c>
      <c r="H364" s="6">
        <v>0.318</v>
      </c>
      <c r="I364" s="6">
        <v>100</v>
      </c>
      <c r="J364" s="6">
        <v>0.31827699999999998</v>
      </c>
      <c r="K364" s="8">
        <v>2.3366481336220248</v>
      </c>
      <c r="L364" s="6">
        <v>16.154503649579919</v>
      </c>
      <c r="M364" s="6">
        <v>2.7845740586223542</v>
      </c>
      <c r="N364" s="6">
        <v>5.9766292161687149</v>
      </c>
      <c r="O364" s="6">
        <v>46.671565162871381</v>
      </c>
      <c r="P364" s="6">
        <v>71.587272087242368</v>
      </c>
      <c r="Q364" s="6">
        <v>33.590900397919619</v>
      </c>
      <c r="R364" s="6">
        <v>15.186960819588471</v>
      </c>
      <c r="S364" s="6">
        <v>45.493376543259643</v>
      </c>
      <c r="T364" s="6">
        <v>31.052954903804888</v>
      </c>
      <c r="U364" s="6">
        <v>125.32419266457261</v>
      </c>
      <c r="V364" s="6">
        <v>196.911464751815</v>
      </c>
      <c r="W364" s="6">
        <v>13.48679718289795</v>
      </c>
      <c r="X364" s="6">
        <v>126.1016129607229</v>
      </c>
      <c r="Y364" s="6">
        <v>336.49987489543582</v>
      </c>
      <c r="Z364" s="6">
        <v>1.4850577650221439</v>
      </c>
      <c r="AA364" s="6">
        <v>337.98493266045801</v>
      </c>
      <c r="AB364" s="6">
        <v>0</v>
      </c>
      <c r="AC364" s="6">
        <v>25.129697439692951</v>
      </c>
      <c r="AD364" s="6">
        <v>0</v>
      </c>
      <c r="AE364" s="6">
        <v>0</v>
      </c>
      <c r="AF364" s="6">
        <v>363.11463010015092</v>
      </c>
      <c r="AG364" s="6">
        <v>11.655254161756289</v>
      </c>
      <c r="AH364" s="6">
        <v>0.39777060495141409</v>
      </c>
      <c r="AI364" s="6">
        <v>7.876451397114101</v>
      </c>
      <c r="AJ364" s="6">
        <v>357.9144088242798</v>
      </c>
      <c r="AK364" s="6">
        <v>0</v>
      </c>
      <c r="AL364" s="6">
        <v>0</v>
      </c>
      <c r="AM364" s="6">
        <v>0</v>
      </c>
      <c r="AN364" s="6">
        <v>0</v>
      </c>
      <c r="AO364" s="6">
        <v>0</v>
      </c>
      <c r="AP364" s="6">
        <v>357.9144088242798</v>
      </c>
      <c r="AQ364" s="6">
        <v>420.03035056850541</v>
      </c>
      <c r="AR364" s="6">
        <v>96.506888000000004</v>
      </c>
      <c r="AS364" s="6">
        <v>83.530475673069517</v>
      </c>
      <c r="AT364" s="6">
        <v>82.045417908047384</v>
      </c>
    </row>
    <row r="365" spans="1:46" x14ac:dyDescent="0.35">
      <c r="A365" s="5">
        <v>46022</v>
      </c>
      <c r="B365" s="4" t="s">
        <v>534</v>
      </c>
      <c r="C365" s="4" t="s">
        <v>535</v>
      </c>
      <c r="D365" s="4" t="s">
        <v>536</v>
      </c>
      <c r="E365" s="6">
        <v>1182.307726</v>
      </c>
      <c r="F365" s="7">
        <v>1.81</v>
      </c>
      <c r="G365" s="6">
        <v>51.4</v>
      </c>
      <c r="H365" s="6">
        <v>11</v>
      </c>
      <c r="I365" s="6">
        <v>100</v>
      </c>
      <c r="J365" s="6">
        <v>11</v>
      </c>
      <c r="K365" s="8">
        <v>99.999999600241779</v>
      </c>
      <c r="L365" s="6">
        <v>86.299324107971174</v>
      </c>
      <c r="M365" s="6">
        <v>46.219130174078138</v>
      </c>
      <c r="N365" s="6">
        <v>10.598361984887971</v>
      </c>
      <c r="O365" s="6">
        <v>31.185324168670419</v>
      </c>
      <c r="P365" s="6">
        <v>174.3021404356077</v>
      </c>
      <c r="Q365" s="6">
        <v>11.985718623555639</v>
      </c>
      <c r="R365" s="6">
        <v>1.4305958970087489</v>
      </c>
      <c r="S365" s="6">
        <v>31.127332176566789</v>
      </c>
      <c r="T365" s="6">
        <v>4.3275482006588719</v>
      </c>
      <c r="U365" s="6">
        <v>48.871194897790062</v>
      </c>
      <c r="V365" s="6">
        <v>223.1733353333978</v>
      </c>
      <c r="W365" s="6">
        <v>0</v>
      </c>
      <c r="X365" s="6">
        <v>0</v>
      </c>
      <c r="Y365" s="6">
        <v>223.1733353333978</v>
      </c>
      <c r="Z365" s="6">
        <v>8.4000340953325363</v>
      </c>
      <c r="AA365" s="6">
        <v>231.5733694287303</v>
      </c>
      <c r="AB365" s="6">
        <v>0.41235499723619451</v>
      </c>
      <c r="AC365" s="6">
        <v>82.722161570585058</v>
      </c>
      <c r="AD365" s="6">
        <v>0</v>
      </c>
      <c r="AE365" s="6">
        <v>0</v>
      </c>
      <c r="AF365" s="6">
        <v>314.70788599655162</v>
      </c>
      <c r="AG365" s="6">
        <v>16.494268143999228</v>
      </c>
      <c r="AH365" s="6">
        <v>0</v>
      </c>
      <c r="AI365" s="6">
        <v>41.235670359998068</v>
      </c>
      <c r="AJ365" s="6">
        <v>289.7156629299638</v>
      </c>
      <c r="AK365" s="6">
        <v>0</v>
      </c>
      <c r="AL365" s="6">
        <v>0</v>
      </c>
      <c r="AM365" s="6">
        <v>0</v>
      </c>
      <c r="AN365" s="6">
        <v>0</v>
      </c>
      <c r="AO365" s="6">
        <v>0</v>
      </c>
      <c r="AP365" s="6">
        <v>289.7156629299638</v>
      </c>
      <c r="AQ365" s="6">
        <v>419.99999964779192</v>
      </c>
      <c r="AR365" s="6">
        <v>101.853565</v>
      </c>
      <c r="AS365" s="6">
        <v>196.82666431439421</v>
      </c>
      <c r="AT365" s="6">
        <v>188.42663021906159</v>
      </c>
    </row>
    <row r="366" spans="1:46" x14ac:dyDescent="0.35">
      <c r="A366" s="5">
        <v>46022</v>
      </c>
      <c r="B366" s="4" t="s">
        <v>537</v>
      </c>
      <c r="C366" s="4" t="s">
        <v>538</v>
      </c>
      <c r="D366" s="4" t="s">
        <v>89</v>
      </c>
      <c r="E366" s="6">
        <v>410.91066699999999</v>
      </c>
      <c r="F366" s="7">
        <v>1.6883999999999999</v>
      </c>
      <c r="G366" s="6">
        <v>28.17</v>
      </c>
      <c r="H366" s="6">
        <v>1.9550000000000001</v>
      </c>
      <c r="I366" s="6">
        <v>76.845709999999997</v>
      </c>
      <c r="J366" s="6">
        <v>1.5020770000000001</v>
      </c>
      <c r="K366" s="8">
        <v>42.20276316357743</v>
      </c>
      <c r="L366" s="6">
        <v>124.2596320831375</v>
      </c>
      <c r="M366" s="6">
        <v>15.413315982710261</v>
      </c>
      <c r="N366" s="6">
        <v>13.5899215052731</v>
      </c>
      <c r="O366" s="6">
        <v>37.088114515785108</v>
      </c>
      <c r="P366" s="6">
        <v>190.35098408690601</v>
      </c>
      <c r="Q366" s="6">
        <v>94.313219251815454</v>
      </c>
      <c r="R366" s="6">
        <v>7.1909009512915123</v>
      </c>
      <c r="S366" s="6">
        <v>34.172993806012812</v>
      </c>
      <c r="T366" s="6">
        <v>34.829467556980802</v>
      </c>
      <c r="U366" s="6">
        <v>170.50658156610061</v>
      </c>
      <c r="V366" s="6">
        <v>360.85756565300647</v>
      </c>
      <c r="W366" s="6">
        <v>8.2123201376998995</v>
      </c>
      <c r="X366" s="6">
        <v>25.437598358109518</v>
      </c>
      <c r="Y366" s="6">
        <v>394.50748414881588</v>
      </c>
      <c r="Z366" s="6">
        <v>22.24597818920472</v>
      </c>
      <c r="AA366" s="6">
        <v>416.75346233802071</v>
      </c>
      <c r="AB366" s="6">
        <v>20.51825180847764</v>
      </c>
      <c r="AC366" s="6">
        <v>97.207199201589219</v>
      </c>
      <c r="AD366" s="6">
        <v>0</v>
      </c>
      <c r="AE366" s="6">
        <v>0</v>
      </c>
      <c r="AF366" s="6">
        <v>534.47891334808753</v>
      </c>
      <c r="AG366" s="6">
        <v>17.383548931873769</v>
      </c>
      <c r="AH366" s="6">
        <v>0</v>
      </c>
      <c r="AI366" s="6">
        <v>97.207199201589219</v>
      </c>
      <c r="AJ366" s="6">
        <v>551.86246227996128</v>
      </c>
      <c r="AK366" s="6">
        <v>388.99482796705882</v>
      </c>
      <c r="AL366" s="6">
        <v>0</v>
      </c>
      <c r="AM366" s="6">
        <v>0</v>
      </c>
      <c r="AN366" s="6">
        <v>0</v>
      </c>
      <c r="AO366" s="6">
        <v>0</v>
      </c>
      <c r="AP366" s="6">
        <v>940.85729024702005</v>
      </c>
      <c r="AQ366" s="6">
        <v>420.00643074286347</v>
      </c>
      <c r="AR366" s="6">
        <v>34.348401000000003</v>
      </c>
      <c r="AS366" s="6">
        <v>25.498946594047592</v>
      </c>
      <c r="AT366" s="6">
        <v>3.2529684048428651</v>
      </c>
    </row>
    <row r="367" spans="1:46" x14ac:dyDescent="0.35">
      <c r="A367" s="5">
        <v>46022</v>
      </c>
      <c r="B367" s="4" t="s">
        <v>555</v>
      </c>
      <c r="C367" s="4" t="s">
        <v>556</v>
      </c>
      <c r="D367" s="4" t="s">
        <v>61</v>
      </c>
      <c r="E367" s="6">
        <v>28971.57</v>
      </c>
      <c r="F367" s="7">
        <v>0.26</v>
      </c>
      <c r="G367" s="6">
        <v>92</v>
      </c>
      <c r="H367" s="6">
        <v>69.3</v>
      </c>
      <c r="I367" s="6">
        <v>94.761904999999999</v>
      </c>
      <c r="J367" s="6">
        <v>65.67</v>
      </c>
      <c r="K367" s="8">
        <v>67.221323470642247</v>
      </c>
      <c r="L367" s="6">
        <v>9.7765351086715881</v>
      </c>
      <c r="M367" s="6">
        <v>15.011150819634461</v>
      </c>
      <c r="N367" s="6">
        <v>4.8501252027243336</v>
      </c>
      <c r="O367" s="6">
        <v>33.284827962822817</v>
      </c>
      <c r="P367" s="6">
        <v>62.922639093853199</v>
      </c>
      <c r="Q367" s="6">
        <v>3.38203140262857</v>
      </c>
      <c r="R367" s="6">
        <v>11.093888936220001</v>
      </c>
      <c r="S367" s="6">
        <v>21.352452973703109</v>
      </c>
      <c r="T367" s="6">
        <v>44.560812830541437</v>
      </c>
      <c r="U367" s="6">
        <v>80.389186143093113</v>
      </c>
      <c r="V367" s="6">
        <v>143.31182523694631</v>
      </c>
      <c r="W367" s="6">
        <v>7.6566690243438398</v>
      </c>
      <c r="X367" s="6">
        <v>24.965608949006249</v>
      </c>
      <c r="Y367" s="6">
        <v>175.9341032102964</v>
      </c>
      <c r="Z367" s="6">
        <v>30.691155579636611</v>
      </c>
      <c r="AA367" s="6">
        <v>206.62525878993301</v>
      </c>
      <c r="AB367" s="6">
        <v>0</v>
      </c>
      <c r="AC367" s="6">
        <v>12.68432612827705</v>
      </c>
      <c r="AD367" s="6">
        <v>0</v>
      </c>
      <c r="AE367" s="6">
        <v>0</v>
      </c>
      <c r="AF367" s="6">
        <v>219.30958491821011</v>
      </c>
      <c r="AG367" s="6">
        <v>6.3267877483593331</v>
      </c>
      <c r="AH367" s="6">
        <v>0</v>
      </c>
      <c r="AI367" s="6">
        <v>8.2588044623595369</v>
      </c>
      <c r="AJ367" s="6">
        <v>221.2108510006519</v>
      </c>
      <c r="AK367" s="6">
        <v>0</v>
      </c>
      <c r="AL367" s="6">
        <v>0</v>
      </c>
      <c r="AM367" s="6">
        <v>0</v>
      </c>
      <c r="AN367" s="6">
        <v>0</v>
      </c>
      <c r="AO367" s="6">
        <v>0</v>
      </c>
      <c r="AP367" s="6">
        <v>221.2108510006519</v>
      </c>
      <c r="AQ367" s="6">
        <v>419.99999964779192</v>
      </c>
      <c r="AR367" s="6">
        <v>896.17944699999998</v>
      </c>
      <c r="AS367" s="6">
        <v>244.0658964374955</v>
      </c>
      <c r="AT367" s="6">
        <v>213.37474085785891</v>
      </c>
    </row>
    <row r="368" spans="1:46" x14ac:dyDescent="0.35">
      <c r="A368" s="5">
        <v>46022</v>
      </c>
      <c r="B368" s="4" t="s">
        <v>847</v>
      </c>
      <c r="C368" s="4" t="s">
        <v>848</v>
      </c>
      <c r="D368" s="4" t="s">
        <v>61</v>
      </c>
      <c r="E368" s="6">
        <v>1261.673554</v>
      </c>
      <c r="F368" s="7">
        <v>1.0923</v>
      </c>
      <c r="G368" s="6">
        <v>88.62</v>
      </c>
      <c r="H368" s="6">
        <v>12.212999999999999</v>
      </c>
      <c r="I368" s="6">
        <v>97</v>
      </c>
      <c r="J368" s="6">
        <v>11.84661</v>
      </c>
      <c r="K368" s="8">
        <v>86.180446166706673</v>
      </c>
      <c r="L368" s="6">
        <v>36.042122316403002</v>
      </c>
      <c r="M368" s="6">
        <v>2.0266712635170601</v>
      </c>
      <c r="N368" s="6">
        <v>13.3159778289565</v>
      </c>
      <c r="O368" s="6">
        <v>12.03200914798291</v>
      </c>
      <c r="P368" s="6">
        <v>63.416780556859472</v>
      </c>
      <c r="Q368" s="6">
        <v>7.5073256478088739</v>
      </c>
      <c r="R368" s="6">
        <v>3.6541290125541952</v>
      </c>
      <c r="S368" s="6">
        <v>16.580901662420011</v>
      </c>
      <c r="T368" s="6">
        <v>18.350108081728731</v>
      </c>
      <c r="U368" s="6">
        <v>46.092464404511809</v>
      </c>
      <c r="V368" s="6">
        <v>109.50924496137129</v>
      </c>
      <c r="W368" s="6">
        <v>3.279990136693768</v>
      </c>
      <c r="X368" s="6">
        <v>22.654451417764001</v>
      </c>
      <c r="Y368" s="6">
        <v>135.44368651582911</v>
      </c>
      <c r="Z368" s="6">
        <v>20.670976904853092</v>
      </c>
      <c r="AA368" s="6">
        <v>156.11466342068221</v>
      </c>
      <c r="AB368" s="6">
        <v>0</v>
      </c>
      <c r="AC368" s="6">
        <v>10.293227402145311</v>
      </c>
      <c r="AD368" s="6">
        <v>0</v>
      </c>
      <c r="AE368" s="6">
        <v>0</v>
      </c>
      <c r="AF368" s="6">
        <v>166.40789082282751</v>
      </c>
      <c r="AG368" s="6">
        <v>9.4159618343892575</v>
      </c>
      <c r="AH368" s="6">
        <v>0</v>
      </c>
      <c r="AI368" s="6">
        <v>6.0238771872281642</v>
      </c>
      <c r="AJ368" s="6">
        <v>171.55450244229959</v>
      </c>
      <c r="AK368" s="6">
        <v>0</v>
      </c>
      <c r="AL368" s="6">
        <v>0</v>
      </c>
      <c r="AM368" s="6">
        <v>0</v>
      </c>
      <c r="AN368" s="6">
        <v>0</v>
      </c>
      <c r="AO368" s="6">
        <v>0</v>
      </c>
      <c r="AP368" s="6">
        <v>171.55450244229959</v>
      </c>
      <c r="AQ368" s="6">
        <v>419.99964511598949</v>
      </c>
      <c r="AR368" s="6">
        <v>127.229551</v>
      </c>
      <c r="AS368" s="6">
        <v>284.55595860016041</v>
      </c>
      <c r="AT368" s="6">
        <v>263.88498169530732</v>
      </c>
    </row>
    <row r="369" spans="1:46" x14ac:dyDescent="0.35">
      <c r="A369" s="5">
        <v>46022</v>
      </c>
      <c r="B369" s="4" t="s">
        <v>557</v>
      </c>
      <c r="C369" s="4" t="s">
        <v>558</v>
      </c>
      <c r="D369" s="4" t="s">
        <v>61</v>
      </c>
      <c r="E369" s="6">
        <v>65</v>
      </c>
      <c r="F369" s="7">
        <v>0.68</v>
      </c>
      <c r="G369" s="6">
        <v>82</v>
      </c>
      <c r="H369" s="6">
        <v>0.36199999999999999</v>
      </c>
      <c r="I369" s="6">
        <v>97</v>
      </c>
      <c r="J369" s="6">
        <v>0.35156700000000002</v>
      </c>
      <c r="K369" s="8">
        <v>61.914913645878407</v>
      </c>
      <c r="L369" s="6">
        <v>25.61415954572087</v>
      </c>
      <c r="M369" s="6">
        <v>1.6675735975274879</v>
      </c>
      <c r="N369" s="6">
        <v>18.570387821330112</v>
      </c>
      <c r="O369" s="6">
        <v>43.615120087810077</v>
      </c>
      <c r="P369" s="6">
        <v>89.467241052388545</v>
      </c>
      <c r="Q369" s="6">
        <v>10.714216701410811</v>
      </c>
      <c r="R369" s="6">
        <v>12.400145353669179</v>
      </c>
      <c r="S369" s="6">
        <v>19.104548472075361</v>
      </c>
      <c r="T369" s="6">
        <v>30.66749044253584</v>
      </c>
      <c r="U369" s="6">
        <v>72.886400969691195</v>
      </c>
      <c r="V369" s="6">
        <v>162.3536420220797</v>
      </c>
      <c r="W369" s="6">
        <v>4.7515880354894424</v>
      </c>
      <c r="X369" s="6">
        <v>18.529295939914</v>
      </c>
      <c r="Y369" s="6">
        <v>185.63452599748319</v>
      </c>
      <c r="Z369" s="6">
        <v>18.150663898828391</v>
      </c>
      <c r="AA369" s="6">
        <v>203.78518989631161</v>
      </c>
      <c r="AB369" s="6">
        <v>0</v>
      </c>
      <c r="AC369" s="6">
        <v>22.145194395779271</v>
      </c>
      <c r="AD369" s="6">
        <v>0</v>
      </c>
      <c r="AE369" s="6">
        <v>0</v>
      </c>
      <c r="AF369" s="6">
        <v>225.93038429209079</v>
      </c>
      <c r="AG369" s="6">
        <v>21.605425977252029</v>
      </c>
      <c r="AH369" s="6">
        <v>0</v>
      </c>
      <c r="AI369" s="6">
        <v>6.5356041157905747</v>
      </c>
      <c r="AJ369" s="6">
        <v>231.92621998935419</v>
      </c>
      <c r="AK369" s="6">
        <v>0</v>
      </c>
      <c r="AL369" s="6">
        <v>0</v>
      </c>
      <c r="AM369" s="6">
        <v>0</v>
      </c>
      <c r="AN369" s="6">
        <v>0</v>
      </c>
      <c r="AO369" s="6">
        <v>0</v>
      </c>
      <c r="AP369" s="6">
        <v>231.92621998935419</v>
      </c>
      <c r="AQ369" s="6">
        <v>420.03942314313809</v>
      </c>
      <c r="AR369" s="6">
        <v>5.2921459999999998</v>
      </c>
      <c r="AS369" s="6">
        <v>234.4048971456549</v>
      </c>
      <c r="AT369" s="6">
        <v>216.2542332468266</v>
      </c>
    </row>
    <row r="370" spans="1:46" x14ac:dyDescent="0.35">
      <c r="A370" s="5">
        <v>46022</v>
      </c>
      <c r="B370" s="4" t="s">
        <v>563</v>
      </c>
      <c r="C370" s="4" t="s">
        <v>564</v>
      </c>
      <c r="D370" s="4" t="s">
        <v>61</v>
      </c>
      <c r="E370" s="6">
        <v>77.55</v>
      </c>
      <c r="F370" s="7">
        <v>0.50680000000000003</v>
      </c>
      <c r="G370" s="6">
        <v>76.34</v>
      </c>
      <c r="H370" s="6">
        <v>0.3</v>
      </c>
      <c r="I370" s="6">
        <v>97</v>
      </c>
      <c r="J370" s="6">
        <v>0.29099999999999998</v>
      </c>
      <c r="K370" s="8">
        <v>72.519368537386285</v>
      </c>
      <c r="L370" s="6">
        <v>24.342238823034339</v>
      </c>
      <c r="M370" s="6">
        <v>86.763824109163679</v>
      </c>
      <c r="N370" s="6">
        <v>4.3436415550770944</v>
      </c>
      <c r="O370" s="6">
        <v>65.865206904940251</v>
      </c>
      <c r="P370" s="6">
        <v>181.31491139221541</v>
      </c>
      <c r="Q370" s="6">
        <v>19.586106393300529</v>
      </c>
      <c r="R370" s="6">
        <v>5.3620044263738924</v>
      </c>
      <c r="S370" s="6">
        <v>26.352175231594341</v>
      </c>
      <c r="T370" s="6">
        <v>42.266275673761541</v>
      </c>
      <c r="U370" s="6">
        <v>93.566561725030311</v>
      </c>
      <c r="V370" s="6">
        <v>274.88147311724572</v>
      </c>
      <c r="W370" s="6">
        <v>7.5584443729647308</v>
      </c>
      <c r="X370" s="6">
        <v>22.05534902795122</v>
      </c>
      <c r="Y370" s="6">
        <v>304.4952665181616</v>
      </c>
      <c r="Z370" s="6">
        <v>56.880549148045347</v>
      </c>
      <c r="AA370" s="6">
        <v>361.37581566620702</v>
      </c>
      <c r="AB370" s="6">
        <v>0</v>
      </c>
      <c r="AC370" s="6">
        <v>7.2656075162730467</v>
      </c>
      <c r="AD370" s="6">
        <v>0</v>
      </c>
      <c r="AE370" s="6">
        <v>0</v>
      </c>
      <c r="AF370" s="6">
        <v>368.64142318248003</v>
      </c>
      <c r="AG370" s="6">
        <v>26.353227168794611</v>
      </c>
      <c r="AH370" s="6">
        <v>0</v>
      </c>
      <c r="AI370" s="6">
        <v>7.2656075162730467</v>
      </c>
      <c r="AJ370" s="6">
        <v>394.99465035127457</v>
      </c>
      <c r="AK370" s="6">
        <v>0</v>
      </c>
      <c r="AL370" s="6">
        <v>0</v>
      </c>
      <c r="AM370" s="6">
        <v>0</v>
      </c>
      <c r="AN370" s="6">
        <v>0</v>
      </c>
      <c r="AO370" s="6">
        <v>0</v>
      </c>
      <c r="AP370" s="6">
        <v>394.99465035127457</v>
      </c>
      <c r="AQ370" s="6">
        <v>419.99999964779198</v>
      </c>
      <c r="AR370" s="6">
        <v>3.696291</v>
      </c>
      <c r="AS370" s="6">
        <v>115.5047331296303</v>
      </c>
      <c r="AT370" s="6">
        <v>58.624183981584991</v>
      </c>
    </row>
    <row r="371" spans="1:46" x14ac:dyDescent="0.35">
      <c r="A371" s="5">
        <v>46022</v>
      </c>
      <c r="B371" s="4" t="s">
        <v>849</v>
      </c>
      <c r="C371" s="4" t="s">
        <v>850</v>
      </c>
      <c r="D371" s="4" t="s">
        <v>61</v>
      </c>
      <c r="E371" s="6">
        <v>55.52</v>
      </c>
      <c r="F371" s="7">
        <v>0.63229999999999997</v>
      </c>
      <c r="G371" s="6">
        <v>94</v>
      </c>
      <c r="H371" s="6">
        <v>0.33</v>
      </c>
      <c r="I371" s="6">
        <v>97</v>
      </c>
      <c r="J371" s="6">
        <v>0.3201</v>
      </c>
      <c r="K371" s="8">
        <v>57.85099636977025</v>
      </c>
      <c r="L371" s="6">
        <v>37.857066769324199</v>
      </c>
      <c r="M371" s="6">
        <v>1.3362813203813371</v>
      </c>
      <c r="N371" s="6">
        <v>13.13118582871299</v>
      </c>
      <c r="O371" s="6">
        <v>21.835932103257331</v>
      </c>
      <c r="P371" s="6">
        <v>74.160466021675845</v>
      </c>
      <c r="Q371" s="6">
        <v>11.163390848477389</v>
      </c>
      <c r="R371" s="6">
        <v>7.314385796909546</v>
      </c>
      <c r="S371" s="6">
        <v>18.182002523751439</v>
      </c>
      <c r="T371" s="6">
        <v>27.980474948881781</v>
      </c>
      <c r="U371" s="6">
        <v>64.640254118020167</v>
      </c>
      <c r="V371" s="6">
        <v>138.80072013969601</v>
      </c>
      <c r="W371" s="6">
        <v>4.9427398584679203</v>
      </c>
      <c r="X371" s="6">
        <v>18.95209826999406</v>
      </c>
      <c r="Y371" s="6">
        <v>162.69555826815801</v>
      </c>
      <c r="Z371" s="6">
        <v>23.778734026241288</v>
      </c>
      <c r="AA371" s="6">
        <v>186.47429229439931</v>
      </c>
      <c r="AB371" s="6">
        <v>0</v>
      </c>
      <c r="AC371" s="6">
        <v>10.703044411816849</v>
      </c>
      <c r="AD371" s="6">
        <v>0</v>
      </c>
      <c r="AE371" s="6">
        <v>0</v>
      </c>
      <c r="AF371" s="6">
        <v>197.1773367062161</v>
      </c>
      <c r="AG371" s="6">
        <v>18.164484372239201</v>
      </c>
      <c r="AH371" s="6">
        <v>0</v>
      </c>
      <c r="AI371" s="6">
        <v>18.349901876644889</v>
      </c>
      <c r="AJ371" s="6">
        <v>222.98867854328341</v>
      </c>
      <c r="AK371" s="6">
        <v>0</v>
      </c>
      <c r="AL371" s="6">
        <v>0</v>
      </c>
      <c r="AM371" s="6">
        <v>0</v>
      </c>
      <c r="AN371" s="6">
        <v>0</v>
      </c>
      <c r="AO371" s="6">
        <v>0</v>
      </c>
      <c r="AP371" s="6">
        <v>222.98867854328341</v>
      </c>
      <c r="AQ371" s="6">
        <v>419.99999964779192</v>
      </c>
      <c r="AR371" s="6">
        <v>5.1262270000000001</v>
      </c>
      <c r="AS371" s="6">
        <v>257.304441379634</v>
      </c>
      <c r="AT371" s="6">
        <v>233.5257073533927</v>
      </c>
    </row>
    <row r="372" spans="1:46" x14ac:dyDescent="0.35">
      <c r="A372" s="5">
        <v>46022</v>
      </c>
      <c r="B372" s="4" t="s">
        <v>667</v>
      </c>
      <c r="C372" s="4" t="s">
        <v>668</v>
      </c>
      <c r="D372" s="4" t="s">
        <v>61</v>
      </c>
      <c r="E372" s="6">
        <v>1155</v>
      </c>
      <c r="F372" s="7">
        <v>0.80900000000000005</v>
      </c>
      <c r="G372" s="6">
        <v>83</v>
      </c>
      <c r="H372" s="6">
        <v>7.7549999999999999</v>
      </c>
      <c r="I372" s="6">
        <v>97</v>
      </c>
      <c r="J372" s="6">
        <v>7.5228140000000003</v>
      </c>
      <c r="K372" s="8">
        <v>92.524546210777288</v>
      </c>
      <c r="L372" s="6">
        <v>70.51498216422624</v>
      </c>
      <c r="M372" s="6">
        <v>21.910205621439971</v>
      </c>
      <c r="N372" s="6">
        <v>8.3015831643875266</v>
      </c>
      <c r="O372" s="6">
        <v>95.066438936483436</v>
      </c>
      <c r="P372" s="6">
        <v>195.7932098865372</v>
      </c>
      <c r="Q372" s="6">
        <v>8.1089342784033054</v>
      </c>
      <c r="R372" s="6">
        <v>4.4097122519878607</v>
      </c>
      <c r="S372" s="6">
        <v>9.7706324057337852</v>
      </c>
      <c r="T372" s="6">
        <v>23.955326451308778</v>
      </c>
      <c r="U372" s="6">
        <v>46.24460538743373</v>
      </c>
      <c r="V372" s="6">
        <v>242.03781527397089</v>
      </c>
      <c r="W372" s="6">
        <v>5.334440454910335</v>
      </c>
      <c r="X372" s="6">
        <v>22.244052514582268</v>
      </c>
      <c r="Y372" s="6">
        <v>269.61630824346349</v>
      </c>
      <c r="Z372" s="6">
        <v>52.202720143614222</v>
      </c>
      <c r="AA372" s="6">
        <v>321.81902838707771</v>
      </c>
      <c r="AB372" s="6">
        <v>0</v>
      </c>
      <c r="AC372" s="6">
        <v>113.38787120883271</v>
      </c>
      <c r="AD372" s="6">
        <v>0</v>
      </c>
      <c r="AE372" s="6">
        <v>0</v>
      </c>
      <c r="AF372" s="6">
        <v>435.20689959591039</v>
      </c>
      <c r="AG372" s="6">
        <v>9.7768053147167571</v>
      </c>
      <c r="AH372" s="6">
        <v>0</v>
      </c>
      <c r="AI372" s="6">
        <v>10.093408532752569</v>
      </c>
      <c r="AJ372" s="6">
        <v>341.68924223454712</v>
      </c>
      <c r="AK372" s="6">
        <v>0</v>
      </c>
      <c r="AL372" s="6">
        <v>0</v>
      </c>
      <c r="AM372" s="6">
        <v>0</v>
      </c>
      <c r="AN372" s="6">
        <v>0</v>
      </c>
      <c r="AO372" s="6">
        <v>0</v>
      </c>
      <c r="AP372" s="6">
        <v>341.68924223454712</v>
      </c>
      <c r="AQ372" s="6">
        <v>419.9992180253837</v>
      </c>
      <c r="AR372" s="6">
        <v>75.486964999999998</v>
      </c>
      <c r="AS372" s="6">
        <v>150.3829097819202</v>
      </c>
      <c r="AT372" s="6">
        <v>98.180189638306004</v>
      </c>
    </row>
    <row r="373" spans="1:46" x14ac:dyDescent="0.35">
      <c r="A373" s="5">
        <v>46022</v>
      </c>
      <c r="B373" s="4" t="s">
        <v>851</v>
      </c>
      <c r="C373" s="4" t="s">
        <v>852</v>
      </c>
      <c r="D373" s="4" t="s">
        <v>61</v>
      </c>
      <c r="E373" s="6">
        <v>1100</v>
      </c>
      <c r="F373" s="7">
        <v>0.46</v>
      </c>
      <c r="G373" s="6">
        <v>78</v>
      </c>
      <c r="H373" s="6">
        <v>3.9470000000000001</v>
      </c>
      <c r="I373" s="6">
        <v>97</v>
      </c>
      <c r="J373" s="6">
        <v>3.8283960000000001</v>
      </c>
      <c r="K373" s="8">
        <v>35.140605671823749</v>
      </c>
      <c r="L373" s="6">
        <v>48.512740210134332</v>
      </c>
      <c r="M373" s="6">
        <v>9.5929120398349372</v>
      </c>
      <c r="N373" s="6">
        <v>29.096298017176629</v>
      </c>
      <c r="O373" s="6">
        <v>32.475120152835721</v>
      </c>
      <c r="P373" s="6">
        <v>119.6770704199816</v>
      </c>
      <c r="Q373" s="6">
        <v>2.8848629139599851</v>
      </c>
      <c r="R373" s="6">
        <v>7.7813129876252392</v>
      </c>
      <c r="S373" s="6">
        <v>13.93311699485511</v>
      </c>
      <c r="T373" s="6">
        <v>21.35073530246024</v>
      </c>
      <c r="U373" s="6">
        <v>45.950028198900569</v>
      </c>
      <c r="V373" s="6">
        <v>165.6270986188822</v>
      </c>
      <c r="W373" s="6">
        <v>1.564278365512813</v>
      </c>
      <c r="X373" s="6">
        <v>17.339355158059799</v>
      </c>
      <c r="Y373" s="6">
        <v>184.53073214245481</v>
      </c>
      <c r="Z373" s="6">
        <v>8.3735645713515297</v>
      </c>
      <c r="AA373" s="6">
        <v>192.9042967138063</v>
      </c>
      <c r="AB373" s="6">
        <v>0</v>
      </c>
      <c r="AC373" s="6">
        <v>8.9107074341527195</v>
      </c>
      <c r="AD373" s="6">
        <v>0</v>
      </c>
      <c r="AE373" s="6">
        <v>0</v>
      </c>
      <c r="AF373" s="6">
        <v>201.81500414795909</v>
      </c>
      <c r="AG373" s="6">
        <v>13.285636776720271</v>
      </c>
      <c r="AH373" s="6">
        <v>0</v>
      </c>
      <c r="AI373" s="6">
        <v>8.6533567634771256</v>
      </c>
      <c r="AJ373" s="6">
        <v>214.8432902540037</v>
      </c>
      <c r="AK373" s="6">
        <v>0</v>
      </c>
      <c r="AL373" s="6">
        <v>0</v>
      </c>
      <c r="AM373" s="6">
        <v>0</v>
      </c>
      <c r="AN373" s="6">
        <v>0</v>
      </c>
      <c r="AO373" s="6">
        <v>0</v>
      </c>
      <c r="AP373" s="6">
        <v>214.8432902540037</v>
      </c>
      <c r="AQ373" s="6">
        <v>420.00043847386911</v>
      </c>
      <c r="AR373" s="6">
        <v>100.370778</v>
      </c>
      <c r="AS373" s="6">
        <v>235.4697063314143</v>
      </c>
      <c r="AT373" s="6">
        <v>227.09614176006281</v>
      </c>
    </row>
    <row r="374" spans="1:46" x14ac:dyDescent="0.35">
      <c r="A374" s="5">
        <v>46022</v>
      </c>
      <c r="B374" s="4" t="s">
        <v>565</v>
      </c>
      <c r="C374" s="4" t="s">
        <v>566</v>
      </c>
      <c r="D374" s="4" t="s">
        <v>61</v>
      </c>
      <c r="E374" s="6">
        <v>1000</v>
      </c>
      <c r="F374" s="7">
        <v>0.54</v>
      </c>
      <c r="G374" s="6">
        <v>87</v>
      </c>
      <c r="H374" s="6">
        <v>4.6980000000000004</v>
      </c>
      <c r="I374" s="6">
        <v>96.990585999999993</v>
      </c>
      <c r="J374" s="6">
        <v>4.5566180000000003</v>
      </c>
      <c r="K374" s="8">
        <v>50.523437649463233</v>
      </c>
      <c r="L374" s="6">
        <v>16.594428555902301</v>
      </c>
      <c r="M374" s="6">
        <v>14.09226780493646</v>
      </c>
      <c r="N374" s="6">
        <v>12.49181777707434</v>
      </c>
      <c r="O374" s="6">
        <v>53.658059684078239</v>
      </c>
      <c r="P374" s="6">
        <v>96.836573821991337</v>
      </c>
      <c r="Q374" s="6">
        <v>2.3402744855422641</v>
      </c>
      <c r="R374" s="6">
        <v>9.6054411891267328</v>
      </c>
      <c r="S374" s="6">
        <v>23.34347339904085</v>
      </c>
      <c r="T374" s="6">
        <v>43.037364080776491</v>
      </c>
      <c r="U374" s="6">
        <v>78.326553154486348</v>
      </c>
      <c r="V374" s="6">
        <v>175.16312697647771</v>
      </c>
      <c r="W374" s="6">
        <v>2.5641849952662898</v>
      </c>
      <c r="X374" s="6">
        <v>23.365228757615871</v>
      </c>
      <c r="Y374" s="6">
        <v>201.0925407293598</v>
      </c>
      <c r="Z374" s="6">
        <v>29.892999523335831</v>
      </c>
      <c r="AA374" s="6">
        <v>230.9855402526957</v>
      </c>
      <c r="AB374" s="6">
        <v>0</v>
      </c>
      <c r="AC374" s="6">
        <v>32.340201509054843</v>
      </c>
      <c r="AD374" s="6">
        <v>0</v>
      </c>
      <c r="AE374" s="6">
        <v>0</v>
      </c>
      <c r="AF374" s="6">
        <v>263.32574176175052</v>
      </c>
      <c r="AG374" s="6">
        <v>41.203283423868733</v>
      </c>
      <c r="AH374" s="6">
        <v>0</v>
      </c>
      <c r="AI374" s="6">
        <v>63.971896622278443</v>
      </c>
      <c r="AJ374" s="6">
        <v>336.16072029884282</v>
      </c>
      <c r="AK374" s="6">
        <v>0</v>
      </c>
      <c r="AL374" s="6">
        <v>0</v>
      </c>
      <c r="AM374" s="6">
        <v>0</v>
      </c>
      <c r="AN374" s="6">
        <v>0</v>
      </c>
      <c r="AO374" s="6">
        <v>0</v>
      </c>
      <c r="AP374" s="6">
        <v>336.16072029884282</v>
      </c>
      <c r="AQ374" s="6">
        <v>419.99834052253863</v>
      </c>
      <c r="AR374" s="6">
        <v>84.316757999999993</v>
      </c>
      <c r="AS374" s="6">
        <v>218.90579979317869</v>
      </c>
      <c r="AT374" s="6">
        <v>189.0128002698429</v>
      </c>
    </row>
    <row r="375" spans="1:46" x14ac:dyDescent="0.35">
      <c r="A375" s="5">
        <v>46022</v>
      </c>
      <c r="B375" s="4" t="s">
        <v>539</v>
      </c>
      <c r="C375" s="4" t="s">
        <v>540</v>
      </c>
      <c r="D375" s="4" t="s">
        <v>61</v>
      </c>
      <c r="E375" s="6">
        <v>1500</v>
      </c>
      <c r="F375" s="7">
        <v>0.94</v>
      </c>
      <c r="G375" s="6">
        <v>80</v>
      </c>
      <c r="H375" s="6">
        <v>11.28</v>
      </c>
      <c r="I375" s="6">
        <v>97</v>
      </c>
      <c r="J375" s="6">
        <v>10.941599999999999</v>
      </c>
      <c r="K375" s="8">
        <v>82.268792116398458</v>
      </c>
      <c r="L375" s="6">
        <v>24.682342334142401</v>
      </c>
      <c r="M375" s="6">
        <v>3.3584642122873052</v>
      </c>
      <c r="N375" s="6">
        <v>23.533048063169058</v>
      </c>
      <c r="O375" s="6">
        <v>25.66691893801968</v>
      </c>
      <c r="P375" s="6">
        <v>77.240773547618446</v>
      </c>
      <c r="Q375" s="6">
        <v>5.3910785872052456</v>
      </c>
      <c r="R375" s="6">
        <v>7.6441981365079767</v>
      </c>
      <c r="S375" s="6">
        <v>21.822486961643818</v>
      </c>
      <c r="T375" s="6">
        <v>22.130262111896421</v>
      </c>
      <c r="U375" s="6">
        <v>56.988025797253471</v>
      </c>
      <c r="V375" s="6">
        <v>134.2287993448719</v>
      </c>
      <c r="W375" s="6">
        <v>7.044630219831804</v>
      </c>
      <c r="X375" s="6">
        <v>24.198147939062459</v>
      </c>
      <c r="Y375" s="6">
        <v>165.47157750376621</v>
      </c>
      <c r="Z375" s="6">
        <v>41.676394245906728</v>
      </c>
      <c r="AA375" s="6">
        <v>207.14797174967291</v>
      </c>
      <c r="AB375" s="6">
        <v>0</v>
      </c>
      <c r="AC375" s="6">
        <v>6.6116611584141163</v>
      </c>
      <c r="AD375" s="6">
        <v>0</v>
      </c>
      <c r="AE375" s="6">
        <v>0</v>
      </c>
      <c r="AF375" s="6">
        <v>213.75963290808701</v>
      </c>
      <c r="AG375" s="6">
        <v>6.8991266888651319</v>
      </c>
      <c r="AH375" s="6">
        <v>0</v>
      </c>
      <c r="AI375" s="6">
        <v>9.5509747210281013</v>
      </c>
      <c r="AJ375" s="6">
        <v>223.5980731595661</v>
      </c>
      <c r="AK375" s="6">
        <v>0</v>
      </c>
      <c r="AL375" s="6">
        <v>0</v>
      </c>
      <c r="AM375" s="6">
        <v>0</v>
      </c>
      <c r="AN375" s="6">
        <v>0</v>
      </c>
      <c r="AO375" s="6">
        <v>0</v>
      </c>
      <c r="AP375" s="6">
        <v>223.5980731595661</v>
      </c>
      <c r="AQ375" s="6">
        <v>419.99999964779198</v>
      </c>
      <c r="AR375" s="6">
        <v>123.406729</v>
      </c>
      <c r="AS375" s="6">
        <v>254.5284221440258</v>
      </c>
      <c r="AT375" s="6">
        <v>212.85202789811899</v>
      </c>
    </row>
    <row r="376" spans="1:46" x14ac:dyDescent="0.35">
      <c r="A376" s="5">
        <v>46022</v>
      </c>
      <c r="B376" s="4" t="s">
        <v>669</v>
      </c>
      <c r="C376" s="4" t="s">
        <v>670</v>
      </c>
      <c r="D376" s="4" t="s">
        <v>61</v>
      </c>
      <c r="E376" s="6">
        <v>189.25</v>
      </c>
      <c r="F376" s="7">
        <v>0.75</v>
      </c>
      <c r="G376" s="6">
        <v>93</v>
      </c>
      <c r="H376" s="6">
        <v>1.32</v>
      </c>
      <c r="I376" s="6">
        <v>97</v>
      </c>
      <c r="J376" s="6">
        <v>1.2804</v>
      </c>
      <c r="K376" s="8">
        <v>99.999997509632891</v>
      </c>
      <c r="L376" s="6">
        <v>69.590654507116554</v>
      </c>
      <c r="M376" s="6">
        <v>0</v>
      </c>
      <c r="N376" s="6">
        <v>22.46149932235765</v>
      </c>
      <c r="O376" s="6">
        <v>19.66923607649484</v>
      </c>
      <c r="P376" s="6">
        <v>111.7213899059691</v>
      </c>
      <c r="Q376" s="6">
        <v>24.128184537214821</v>
      </c>
      <c r="R376" s="6">
        <v>10.34400364310758</v>
      </c>
      <c r="S376" s="6">
        <v>20.879228437222629</v>
      </c>
      <c r="T376" s="6">
        <v>21.393699283056041</v>
      </c>
      <c r="U376" s="6">
        <v>76.745115900601078</v>
      </c>
      <c r="V376" s="6">
        <v>188.4665058065701</v>
      </c>
      <c r="W376" s="6">
        <v>9.4302844078633932</v>
      </c>
      <c r="X376" s="6">
        <v>24.50725439630417</v>
      </c>
      <c r="Y376" s="6">
        <v>222.40404461073771</v>
      </c>
      <c r="Z376" s="6">
        <v>55.519722932384383</v>
      </c>
      <c r="AA376" s="6">
        <v>277.9237675431221</v>
      </c>
      <c r="AB376" s="6">
        <v>0</v>
      </c>
      <c r="AC376" s="6">
        <v>25.711662203332288</v>
      </c>
      <c r="AD376" s="6">
        <v>0</v>
      </c>
      <c r="AE376" s="6">
        <v>0</v>
      </c>
      <c r="AF376" s="6">
        <v>303.63542974645441</v>
      </c>
      <c r="AG376" s="6">
        <v>8.1938283319719218</v>
      </c>
      <c r="AH376" s="6">
        <v>0</v>
      </c>
      <c r="AI376" s="6">
        <v>7.6381526199267471</v>
      </c>
      <c r="AJ376" s="6">
        <v>293.75574849502073</v>
      </c>
      <c r="AK376" s="6">
        <v>0</v>
      </c>
      <c r="AL376" s="6">
        <v>0</v>
      </c>
      <c r="AM376" s="6">
        <v>0</v>
      </c>
      <c r="AN376" s="6">
        <v>0</v>
      </c>
      <c r="AO376" s="6">
        <v>0</v>
      </c>
      <c r="AP376" s="6">
        <v>293.75574849502073</v>
      </c>
      <c r="AQ376" s="6">
        <v>419.99999964779192</v>
      </c>
      <c r="AR376" s="6">
        <v>11.855755</v>
      </c>
      <c r="AS376" s="6">
        <v>197.59595503705421</v>
      </c>
      <c r="AT376" s="6">
        <v>142.07623210466991</v>
      </c>
    </row>
    <row r="377" spans="1:46" x14ac:dyDescent="0.35">
      <c r="A377" s="5">
        <v>46022</v>
      </c>
      <c r="B377" s="4" t="s">
        <v>671</v>
      </c>
      <c r="C377" s="4" t="s">
        <v>672</v>
      </c>
      <c r="D377" s="4" t="s">
        <v>50</v>
      </c>
      <c r="E377" s="6">
        <v>3068</v>
      </c>
      <c r="F377" s="7">
        <v>0.13</v>
      </c>
      <c r="G377" s="6">
        <v>55.16</v>
      </c>
      <c r="H377" s="6">
        <v>2.2000000000000002</v>
      </c>
      <c r="I377" s="6">
        <v>97</v>
      </c>
      <c r="J377" s="6">
        <v>2.1339999999999999</v>
      </c>
      <c r="K377" s="8">
        <v>3.580822107156147</v>
      </c>
      <c r="L377" s="6">
        <v>81.043923648558405</v>
      </c>
      <c r="M377" s="6">
        <v>21.475836473499339</v>
      </c>
      <c r="N377" s="6">
        <v>10.497159068035071</v>
      </c>
      <c r="O377" s="6">
        <v>34.562738357939679</v>
      </c>
      <c r="P377" s="6">
        <v>147.57965754803249</v>
      </c>
      <c r="Q377" s="6">
        <v>17.776222226015541</v>
      </c>
      <c r="R377" s="6">
        <v>18.588645918551101</v>
      </c>
      <c r="S377" s="6">
        <v>2.9169540097721449</v>
      </c>
      <c r="T377" s="6">
        <v>17.461620687132339</v>
      </c>
      <c r="U377" s="6">
        <v>56.743442841471122</v>
      </c>
      <c r="V377" s="6">
        <v>204.32310038950359</v>
      </c>
      <c r="W377" s="6">
        <v>8.3835932470770889</v>
      </c>
      <c r="X377" s="6">
        <v>19.33287798936297</v>
      </c>
      <c r="Y377" s="6">
        <v>232.03957162594369</v>
      </c>
      <c r="Z377" s="6">
        <v>4.6081085794248988</v>
      </c>
      <c r="AA377" s="6">
        <v>236.6476802053686</v>
      </c>
      <c r="AB377" s="6">
        <v>0</v>
      </c>
      <c r="AC377" s="6">
        <v>77.639431358901703</v>
      </c>
      <c r="AD377" s="6">
        <v>0</v>
      </c>
      <c r="AE377" s="6">
        <v>0</v>
      </c>
      <c r="AF377" s="6">
        <v>314.28711156427028</v>
      </c>
      <c r="AG377" s="6">
        <v>4.4234014094838452</v>
      </c>
      <c r="AH377" s="6">
        <v>0</v>
      </c>
      <c r="AI377" s="6">
        <v>77.32996008129642</v>
      </c>
      <c r="AJ377" s="6">
        <v>318.40104169614881</v>
      </c>
      <c r="AK377" s="6">
        <v>0</v>
      </c>
      <c r="AL377" s="6">
        <v>0</v>
      </c>
      <c r="AM377" s="6">
        <v>0</v>
      </c>
      <c r="AN377" s="6">
        <v>0</v>
      </c>
      <c r="AO377" s="6">
        <v>0</v>
      </c>
      <c r="AP377" s="6">
        <v>318.40104169614881</v>
      </c>
      <c r="AQ377" s="6">
        <v>419.99999964779198</v>
      </c>
      <c r="AR377" s="6">
        <v>605.43715699999996</v>
      </c>
      <c r="AS377" s="6">
        <v>187.96042802184829</v>
      </c>
      <c r="AT377" s="6">
        <v>183.35231944242341</v>
      </c>
    </row>
    <row r="378" spans="1:46" x14ac:dyDescent="0.35">
      <c r="A378" s="5">
        <v>46022</v>
      </c>
      <c r="B378" s="4" t="s">
        <v>541</v>
      </c>
      <c r="C378" s="4" t="s">
        <v>542</v>
      </c>
      <c r="D378" s="4" t="s">
        <v>50</v>
      </c>
      <c r="E378" s="6">
        <v>825</v>
      </c>
      <c r="F378" s="7">
        <v>0.2</v>
      </c>
      <c r="G378" s="6">
        <v>66</v>
      </c>
      <c r="H378" s="6">
        <v>1.089</v>
      </c>
      <c r="I378" s="6">
        <v>97</v>
      </c>
      <c r="J378" s="6">
        <v>1.05633</v>
      </c>
      <c r="K378" s="8">
        <v>13.065414530945075</v>
      </c>
      <c r="L378" s="6">
        <v>130.46027901550539</v>
      </c>
      <c r="M378" s="6">
        <v>3.0700774885166151</v>
      </c>
      <c r="N378" s="6">
        <v>4.362349730631534</v>
      </c>
      <c r="O378" s="6">
        <v>12.300430182566309</v>
      </c>
      <c r="P378" s="6">
        <v>150.19313641721979</v>
      </c>
      <c r="Q378" s="6">
        <v>34.747449477967677</v>
      </c>
      <c r="R378" s="6">
        <v>2.5361624394842752</v>
      </c>
      <c r="S378" s="6">
        <v>8.0850270851101502</v>
      </c>
      <c r="T378" s="6">
        <v>6.1421961596346639</v>
      </c>
      <c r="U378" s="6">
        <v>51.51083516219677</v>
      </c>
      <c r="V378" s="6">
        <v>201.70397157941659</v>
      </c>
      <c r="W378" s="6">
        <v>1.6012195126056319</v>
      </c>
      <c r="X378" s="6">
        <v>12.964705250978399</v>
      </c>
      <c r="Y378" s="6">
        <v>216.2698963430006</v>
      </c>
      <c r="Z378" s="6">
        <v>4.7953766518550127</v>
      </c>
      <c r="AA378" s="6">
        <v>221.06527299485569</v>
      </c>
      <c r="AB378" s="6">
        <v>0</v>
      </c>
      <c r="AC378" s="6">
        <v>86.404384251988219</v>
      </c>
      <c r="AD378" s="6">
        <v>0</v>
      </c>
      <c r="AE378" s="6">
        <v>0</v>
      </c>
      <c r="AF378" s="6">
        <v>307.46965724684389</v>
      </c>
      <c r="AG378" s="6">
        <v>2.8051727179318191</v>
      </c>
      <c r="AH378" s="6">
        <v>0</v>
      </c>
      <c r="AI378" s="6">
        <v>35.9418514114492</v>
      </c>
      <c r="AJ378" s="6">
        <v>259.81229712423669</v>
      </c>
      <c r="AK378" s="6">
        <v>0</v>
      </c>
      <c r="AL378" s="6">
        <v>0</v>
      </c>
      <c r="AM378" s="6">
        <v>0</v>
      </c>
      <c r="AN378" s="6">
        <v>0</v>
      </c>
      <c r="AO378" s="6">
        <v>0</v>
      </c>
      <c r="AP378" s="6">
        <v>259.81229712423669</v>
      </c>
      <c r="AQ378" s="6">
        <v>419.98807155714849</v>
      </c>
      <c r="AR378" s="6">
        <v>79.888068000000004</v>
      </c>
      <c r="AS378" s="6">
        <v>203.71817521414781</v>
      </c>
      <c r="AT378" s="6">
        <v>198.9227985622928</v>
      </c>
    </row>
    <row r="379" spans="1:46" x14ac:dyDescent="0.35">
      <c r="A379" s="5">
        <v>46022</v>
      </c>
      <c r="B379" s="4" t="s">
        <v>853</v>
      </c>
      <c r="C379" s="4" t="s">
        <v>854</v>
      </c>
      <c r="D379" s="4" t="s">
        <v>50</v>
      </c>
      <c r="E379" s="6">
        <v>581</v>
      </c>
      <c r="F379" s="7">
        <v>0.63</v>
      </c>
      <c r="G379" s="6">
        <v>61.76</v>
      </c>
      <c r="H379" s="6">
        <v>2.2610000000000001</v>
      </c>
      <c r="I379" s="6">
        <v>96.632997000000003</v>
      </c>
      <c r="J379" s="6">
        <v>2.1845859999999999</v>
      </c>
      <c r="K379" s="8">
        <v>24.646047173734541</v>
      </c>
      <c r="L379" s="6">
        <v>57.361022611974668</v>
      </c>
      <c r="M379" s="6">
        <v>72.776198790804699</v>
      </c>
      <c r="N379" s="6">
        <v>14.998854826971961</v>
      </c>
      <c r="O379" s="6">
        <v>91.791199194191734</v>
      </c>
      <c r="P379" s="6">
        <v>236.92727542394309</v>
      </c>
      <c r="Q379" s="6">
        <v>8.8209279410102113</v>
      </c>
      <c r="R379" s="6">
        <v>8.2505903445336539</v>
      </c>
      <c r="S379" s="6">
        <v>7.4879866484712707</v>
      </c>
      <c r="T379" s="6">
        <v>22.68851171737353</v>
      </c>
      <c r="U379" s="6">
        <v>47.248016651388667</v>
      </c>
      <c r="V379" s="6">
        <v>284.1752920753317</v>
      </c>
      <c r="W379" s="6">
        <v>5.6001850374133122</v>
      </c>
      <c r="X379" s="6">
        <v>40.236250407346539</v>
      </c>
      <c r="Y379" s="6">
        <v>330.0117275200916</v>
      </c>
      <c r="Z379" s="6">
        <v>4.083189665702557</v>
      </c>
      <c r="AA379" s="6">
        <v>334.09491718579409</v>
      </c>
      <c r="AB379" s="6">
        <v>5.603970939427267</v>
      </c>
      <c r="AC379" s="6">
        <v>93.987317664641452</v>
      </c>
      <c r="AD379" s="6">
        <v>0</v>
      </c>
      <c r="AE379" s="6">
        <v>0</v>
      </c>
      <c r="AF379" s="6">
        <v>433.68620578986292</v>
      </c>
      <c r="AG379" s="6">
        <v>31.95770774103261</v>
      </c>
      <c r="AH379" s="6">
        <v>0</v>
      </c>
      <c r="AI379" s="6">
        <v>49.697276913647748</v>
      </c>
      <c r="AJ379" s="6">
        <v>421.35387277990179</v>
      </c>
      <c r="AK379" s="6">
        <v>0</v>
      </c>
      <c r="AL379" s="6">
        <v>0</v>
      </c>
      <c r="AM379" s="6">
        <v>0</v>
      </c>
      <c r="AN379" s="6">
        <v>0</v>
      </c>
      <c r="AO379" s="6">
        <v>0</v>
      </c>
      <c r="AP379" s="6">
        <v>421.35387277990179</v>
      </c>
      <c r="AQ379" s="6">
        <v>420.00269123328923</v>
      </c>
      <c r="AR379" s="6">
        <v>94.647265000000004</v>
      </c>
      <c r="AS379" s="6">
        <v>89.990963713197615</v>
      </c>
      <c r="AT379" s="6">
        <v>85.907774047495053</v>
      </c>
    </row>
    <row r="380" spans="1:46" x14ac:dyDescent="0.35">
      <c r="A380" s="5">
        <v>46022</v>
      </c>
      <c r="B380" s="4" t="s">
        <v>567</v>
      </c>
      <c r="C380" s="4" t="s">
        <v>568</v>
      </c>
      <c r="D380" s="4" t="s">
        <v>61</v>
      </c>
      <c r="E380" s="6">
        <v>500</v>
      </c>
      <c r="F380" s="7">
        <v>0.28999999999999998</v>
      </c>
      <c r="G380" s="6">
        <v>87.6</v>
      </c>
      <c r="H380" s="6">
        <v>1.27</v>
      </c>
      <c r="I380" s="6">
        <v>97</v>
      </c>
      <c r="J380" s="6">
        <v>1.232094</v>
      </c>
      <c r="K380" s="8">
        <v>31.489566328964006</v>
      </c>
      <c r="L380" s="6">
        <v>60.200787852747929</v>
      </c>
      <c r="M380" s="6">
        <v>11.175140624578169</v>
      </c>
      <c r="N380" s="6">
        <v>33.228280860386732</v>
      </c>
      <c r="O380" s="6">
        <v>30.91642604918442</v>
      </c>
      <c r="P380" s="6">
        <v>135.5206353868972</v>
      </c>
      <c r="Q380" s="6">
        <v>26.979311969628831</v>
      </c>
      <c r="R380" s="6">
        <v>5.2084159911392431</v>
      </c>
      <c r="S380" s="6">
        <v>24.468107262184461</v>
      </c>
      <c r="T380" s="6">
        <v>17.202762269238271</v>
      </c>
      <c r="U380" s="6">
        <v>73.858597492190796</v>
      </c>
      <c r="V380" s="6">
        <v>209.37923287908799</v>
      </c>
      <c r="W380" s="6">
        <v>14.024236241433581</v>
      </c>
      <c r="X380" s="6">
        <v>30.00583702325309</v>
      </c>
      <c r="Y380" s="6">
        <v>253.4093061437747</v>
      </c>
      <c r="Z380" s="6">
        <v>15.64640444725827</v>
      </c>
      <c r="AA380" s="6">
        <v>269.05571059103301</v>
      </c>
      <c r="AB380" s="6">
        <v>0</v>
      </c>
      <c r="AC380" s="6">
        <v>34.389885842847882</v>
      </c>
      <c r="AD380" s="6">
        <v>0</v>
      </c>
      <c r="AE380" s="6">
        <v>0</v>
      </c>
      <c r="AF380" s="6">
        <v>303.44559643388089</v>
      </c>
      <c r="AG380" s="6">
        <v>5.2104911034576498</v>
      </c>
      <c r="AH380" s="6">
        <v>0</v>
      </c>
      <c r="AI380" s="6">
        <v>13.51758305506605</v>
      </c>
      <c r="AJ380" s="6">
        <v>287.78378474955667</v>
      </c>
      <c r="AK380" s="6">
        <v>0</v>
      </c>
      <c r="AL380" s="6">
        <v>0</v>
      </c>
      <c r="AM380" s="6">
        <v>0</v>
      </c>
      <c r="AN380" s="6">
        <v>0</v>
      </c>
      <c r="AO380" s="6">
        <v>0</v>
      </c>
      <c r="AP380" s="6">
        <v>287.78378474955667</v>
      </c>
      <c r="AQ380" s="6">
        <v>420.00204494628213</v>
      </c>
      <c r="AR380" s="6">
        <v>33.741413000000001</v>
      </c>
      <c r="AS380" s="6">
        <v>166.59273880250731</v>
      </c>
      <c r="AT380" s="6">
        <v>150.94633435524909</v>
      </c>
    </row>
    <row r="381" spans="1:46" x14ac:dyDescent="0.35">
      <c r="A381" s="5">
        <v>46022</v>
      </c>
      <c r="B381" s="4" t="s">
        <v>543</v>
      </c>
      <c r="C381" s="4" t="s">
        <v>544</v>
      </c>
      <c r="D381" s="4" t="s">
        <v>61</v>
      </c>
      <c r="E381" s="6">
        <v>73.53</v>
      </c>
      <c r="F381" s="7">
        <v>1.1806000000000001</v>
      </c>
      <c r="G381" s="6">
        <v>91</v>
      </c>
      <c r="H381" s="6">
        <v>0.79</v>
      </c>
      <c r="I381" s="6">
        <v>97</v>
      </c>
      <c r="J381" s="6">
        <v>0.76629999999999998</v>
      </c>
      <c r="K381" s="8">
        <v>87.416146493117225</v>
      </c>
      <c r="L381" s="6">
        <v>13.955236209561789</v>
      </c>
      <c r="M381" s="6">
        <v>10.662552110126731</v>
      </c>
      <c r="N381" s="6">
        <v>2.7122278220460312</v>
      </c>
      <c r="O381" s="6">
        <v>19.274498849122899</v>
      </c>
      <c r="P381" s="6">
        <v>46.604514990857453</v>
      </c>
      <c r="Q381" s="6">
        <v>12.15502732331951</v>
      </c>
      <c r="R381" s="6">
        <v>7.2376576622235689</v>
      </c>
      <c r="S381" s="6">
        <v>8.3900894875781731</v>
      </c>
      <c r="T381" s="6">
        <v>18.140740608339978</v>
      </c>
      <c r="U381" s="6">
        <v>45.923515081461233</v>
      </c>
      <c r="V381" s="6">
        <v>92.528030072318685</v>
      </c>
      <c r="W381" s="6">
        <v>3.0590541080391338</v>
      </c>
      <c r="X381" s="6">
        <v>22.864554286165109</v>
      </c>
      <c r="Y381" s="6">
        <v>118.45163846652289</v>
      </c>
      <c r="Z381" s="6">
        <v>28.97130379977413</v>
      </c>
      <c r="AA381" s="6">
        <v>147.4229422662971</v>
      </c>
      <c r="AB381" s="6">
        <v>0</v>
      </c>
      <c r="AC381" s="6">
        <v>11.437954827263921</v>
      </c>
      <c r="AD381" s="6">
        <v>0</v>
      </c>
      <c r="AE381" s="6">
        <v>0</v>
      </c>
      <c r="AF381" s="6">
        <v>158.86089709356099</v>
      </c>
      <c r="AG381" s="6">
        <v>12.60847430971995</v>
      </c>
      <c r="AH381" s="6">
        <v>0</v>
      </c>
      <c r="AI381" s="6">
        <v>6.6008762532128591</v>
      </c>
      <c r="AJ381" s="6">
        <v>166.6322928292299</v>
      </c>
      <c r="AK381" s="6">
        <v>0</v>
      </c>
      <c r="AL381" s="6">
        <v>0</v>
      </c>
      <c r="AM381" s="6">
        <v>0</v>
      </c>
      <c r="AN381" s="6">
        <v>0</v>
      </c>
      <c r="AO381" s="6">
        <v>0</v>
      </c>
      <c r="AP381" s="6">
        <v>166.6322928292299</v>
      </c>
      <c r="AQ381" s="6">
        <v>419.99999964779192</v>
      </c>
      <c r="AR381" s="6">
        <v>8.1380409999999994</v>
      </c>
      <c r="AS381" s="6">
        <v>301.548361181269</v>
      </c>
      <c r="AT381" s="6">
        <v>272.57705738149491</v>
      </c>
    </row>
    <row r="382" spans="1:46" x14ac:dyDescent="0.35">
      <c r="A382" s="5">
        <v>46022</v>
      </c>
      <c r="B382" s="4" t="s">
        <v>559</v>
      </c>
      <c r="C382" s="4" t="s">
        <v>560</v>
      </c>
      <c r="D382" s="4" t="s">
        <v>61</v>
      </c>
      <c r="E382" s="6">
        <v>83.56</v>
      </c>
      <c r="F382" s="7">
        <v>0.66449999999999998</v>
      </c>
      <c r="G382" s="6">
        <v>90</v>
      </c>
      <c r="H382" s="6">
        <v>0.5</v>
      </c>
      <c r="I382" s="6">
        <v>97</v>
      </c>
      <c r="J382" s="6">
        <v>0.484732</v>
      </c>
      <c r="K382" s="8">
        <v>67.189966957028901</v>
      </c>
      <c r="L382" s="6">
        <v>23.046802712973339</v>
      </c>
      <c r="M382" s="6">
        <v>0</v>
      </c>
      <c r="N382" s="6">
        <v>9.5277574940514622</v>
      </c>
      <c r="O382" s="6">
        <v>33.813376833630848</v>
      </c>
      <c r="P382" s="6">
        <v>66.387937040655657</v>
      </c>
      <c r="Q382" s="6">
        <v>11.89614489728328</v>
      </c>
      <c r="R382" s="6">
        <v>6.2467516742465223</v>
      </c>
      <c r="S382" s="6">
        <v>16.226061133285661</v>
      </c>
      <c r="T382" s="6">
        <v>9.8621620144464668</v>
      </c>
      <c r="U382" s="6">
        <v>44.231119719261933</v>
      </c>
      <c r="V382" s="6">
        <v>110.6190567599176</v>
      </c>
      <c r="W382" s="6">
        <v>5.3329745165568143</v>
      </c>
      <c r="X382" s="6">
        <v>31.380722530734509</v>
      </c>
      <c r="Y382" s="6">
        <v>147.33275380720889</v>
      </c>
      <c r="Z382" s="6">
        <v>19.82286592367749</v>
      </c>
      <c r="AA382" s="6">
        <v>167.1556197308864</v>
      </c>
      <c r="AB382" s="6">
        <v>0</v>
      </c>
      <c r="AC382" s="6">
        <v>3.6016245793868138</v>
      </c>
      <c r="AD382" s="6">
        <v>0</v>
      </c>
      <c r="AE382" s="6">
        <v>0</v>
      </c>
      <c r="AF382" s="6">
        <v>170.75724431027319</v>
      </c>
      <c r="AG382" s="6">
        <v>2.7012158076801991</v>
      </c>
      <c r="AH382" s="6">
        <v>0</v>
      </c>
      <c r="AI382" s="6">
        <v>6.2880774343669792</v>
      </c>
      <c r="AJ382" s="6">
        <v>176.14491297293361</v>
      </c>
      <c r="AK382" s="6">
        <v>0</v>
      </c>
      <c r="AL382" s="6">
        <v>0</v>
      </c>
      <c r="AM382" s="6">
        <v>0</v>
      </c>
      <c r="AN382" s="6">
        <v>0</v>
      </c>
      <c r="AO382" s="6">
        <v>0</v>
      </c>
      <c r="AP382" s="6">
        <v>176.14491297293361</v>
      </c>
      <c r="AQ382" s="6">
        <v>419.97227298648482</v>
      </c>
      <c r="AR382" s="6">
        <v>6.4880389999999997</v>
      </c>
      <c r="AS382" s="6">
        <v>272.63951917927591</v>
      </c>
      <c r="AT382" s="6">
        <v>252.8166532555984</v>
      </c>
    </row>
    <row r="383" spans="1:46" x14ac:dyDescent="0.35">
      <c r="A383" s="5">
        <v>46022</v>
      </c>
      <c r="B383" s="4" t="s">
        <v>855</v>
      </c>
      <c r="C383" s="4" t="s">
        <v>856</v>
      </c>
      <c r="D383" s="4" t="s">
        <v>61</v>
      </c>
      <c r="E383" s="6">
        <v>1250</v>
      </c>
      <c r="F383" s="7">
        <v>0.45</v>
      </c>
      <c r="G383" s="6">
        <v>87</v>
      </c>
      <c r="H383" s="6">
        <v>4.8940000000000001</v>
      </c>
      <c r="I383" s="6">
        <v>97</v>
      </c>
      <c r="J383" s="6">
        <v>4.7469380000000001</v>
      </c>
      <c r="K383" s="8">
        <v>90.44679726308091</v>
      </c>
      <c r="L383" s="6">
        <v>36.531692028738348</v>
      </c>
      <c r="M383" s="6">
        <v>0</v>
      </c>
      <c r="N383" s="6">
        <v>19.352671573864161</v>
      </c>
      <c r="O383" s="6">
        <v>39.73371759377423</v>
      </c>
      <c r="P383" s="6">
        <v>95.61808119637675</v>
      </c>
      <c r="Q383" s="6">
        <v>8.7561183175603183</v>
      </c>
      <c r="R383" s="6">
        <v>9.6121481350408136</v>
      </c>
      <c r="S383" s="6">
        <v>36.587296479514137</v>
      </c>
      <c r="T383" s="6">
        <v>31.21688098987876</v>
      </c>
      <c r="U383" s="6">
        <v>86.172443921994045</v>
      </c>
      <c r="V383" s="6">
        <v>181.79052511837079</v>
      </c>
      <c r="W383" s="6">
        <v>3.2628147363246942</v>
      </c>
      <c r="X383" s="6">
        <v>22.57765725655495</v>
      </c>
      <c r="Y383" s="6">
        <v>207.63099711125039</v>
      </c>
      <c r="Z383" s="6">
        <v>40.483825614242477</v>
      </c>
      <c r="AA383" s="6">
        <v>248.1148227254929</v>
      </c>
      <c r="AB383" s="6">
        <v>0</v>
      </c>
      <c r="AC383" s="6">
        <v>4.8564281271796181</v>
      </c>
      <c r="AD383" s="6">
        <v>0</v>
      </c>
      <c r="AE383" s="6">
        <v>0</v>
      </c>
      <c r="AF383" s="6">
        <v>252.97125085267251</v>
      </c>
      <c r="AG383" s="6">
        <v>13.17305845911531</v>
      </c>
      <c r="AH383" s="6">
        <v>0</v>
      </c>
      <c r="AI383" s="6">
        <v>10.486846009824699</v>
      </c>
      <c r="AJ383" s="6">
        <v>271.7747271944329</v>
      </c>
      <c r="AK383" s="6">
        <v>0</v>
      </c>
      <c r="AL383" s="6">
        <v>0</v>
      </c>
      <c r="AM383" s="6">
        <v>0</v>
      </c>
      <c r="AN383" s="6">
        <v>0</v>
      </c>
      <c r="AO383" s="6">
        <v>0</v>
      </c>
      <c r="AP383" s="6">
        <v>271.7747271944329</v>
      </c>
      <c r="AQ383" s="6">
        <v>419.99663748043548</v>
      </c>
      <c r="AR383" s="6">
        <v>48.447192000000001</v>
      </c>
      <c r="AS383" s="6">
        <v>212.36564036918509</v>
      </c>
      <c r="AT383" s="6">
        <v>171.88181475494261</v>
      </c>
    </row>
    <row r="384" spans="1:46" x14ac:dyDescent="0.35">
      <c r="A384" s="5">
        <v>46022</v>
      </c>
      <c r="B384" s="4" t="s">
        <v>857</v>
      </c>
      <c r="C384" s="4" t="s">
        <v>858</v>
      </c>
      <c r="D384" s="4" t="s">
        <v>61</v>
      </c>
      <c r="E384" s="6">
        <v>3373.831725</v>
      </c>
      <c r="F384" s="7">
        <v>0.5998</v>
      </c>
      <c r="G384" s="6">
        <v>88</v>
      </c>
      <c r="H384" s="6">
        <v>17.808</v>
      </c>
      <c r="I384" s="6">
        <v>97</v>
      </c>
      <c r="J384" s="6">
        <v>17.273595</v>
      </c>
      <c r="K384" s="8">
        <v>44.061764494365079</v>
      </c>
      <c r="L384" s="6">
        <v>15.924182624114939</v>
      </c>
      <c r="M384" s="6">
        <v>8.3637081660302588</v>
      </c>
      <c r="N384" s="6">
        <v>0.40563758975607661</v>
      </c>
      <c r="O384" s="6">
        <v>11.35401915148161</v>
      </c>
      <c r="P384" s="6">
        <v>36.047547531382882</v>
      </c>
      <c r="Q384" s="6">
        <v>8.2286543836085109</v>
      </c>
      <c r="R384" s="6">
        <v>4.8063563263261413</v>
      </c>
      <c r="S384" s="6">
        <v>13.15540246944181</v>
      </c>
      <c r="T384" s="6">
        <v>16.503664337534051</v>
      </c>
      <c r="U384" s="6">
        <v>42.694077516910511</v>
      </c>
      <c r="V384" s="6">
        <v>78.7416250482934</v>
      </c>
      <c r="W384" s="6">
        <v>2.9078689542320548</v>
      </c>
      <c r="X384" s="6">
        <v>20.991884053089731</v>
      </c>
      <c r="Y384" s="6">
        <v>102.64137805561521</v>
      </c>
      <c r="Z384" s="6">
        <v>15.937723488334949</v>
      </c>
      <c r="AA384" s="6">
        <v>118.5791015439501</v>
      </c>
      <c r="AB384" s="6">
        <v>0</v>
      </c>
      <c r="AC384" s="6">
        <v>4.2773446060547222</v>
      </c>
      <c r="AD384" s="6">
        <v>0</v>
      </c>
      <c r="AE384" s="6">
        <v>0</v>
      </c>
      <c r="AF384" s="6">
        <v>122.8564461500048</v>
      </c>
      <c r="AG384" s="6">
        <v>7.600513959957671</v>
      </c>
      <c r="AH384" s="6">
        <v>0</v>
      </c>
      <c r="AI384" s="6">
        <v>6.6956922636390113</v>
      </c>
      <c r="AJ384" s="6">
        <v>132.87530776754679</v>
      </c>
      <c r="AK384" s="6">
        <v>0</v>
      </c>
      <c r="AL384" s="6">
        <v>0</v>
      </c>
      <c r="AM384" s="6">
        <v>0</v>
      </c>
      <c r="AN384" s="6">
        <v>0</v>
      </c>
      <c r="AO384" s="6">
        <v>0</v>
      </c>
      <c r="AP384" s="6">
        <v>132.87530776754679</v>
      </c>
      <c r="AQ384" s="6">
        <v>420.0001212206318</v>
      </c>
      <c r="AR384" s="6">
        <v>401.925972</v>
      </c>
      <c r="AS384" s="6">
        <v>317.35874316501662</v>
      </c>
      <c r="AT384" s="6">
        <v>301.42101967668162</v>
      </c>
    </row>
    <row r="385" spans="1:46" x14ac:dyDescent="0.35">
      <c r="A385" s="5">
        <v>46022</v>
      </c>
      <c r="B385" s="4" t="s">
        <v>859</v>
      </c>
      <c r="C385" s="4" t="s">
        <v>860</v>
      </c>
      <c r="D385" s="4" t="s">
        <v>61</v>
      </c>
      <c r="E385" s="6">
        <v>1850</v>
      </c>
      <c r="F385" s="7">
        <v>0.63</v>
      </c>
      <c r="G385" s="6">
        <v>70</v>
      </c>
      <c r="H385" s="6">
        <v>8.1579999999999995</v>
      </c>
      <c r="I385" s="6">
        <v>97</v>
      </c>
      <c r="J385" s="6">
        <v>7.9137449999999996</v>
      </c>
      <c r="K385" s="8">
        <v>81.882658518563247</v>
      </c>
      <c r="L385" s="6">
        <v>92.650774199341825</v>
      </c>
      <c r="M385" s="6">
        <v>2.5409485998612849</v>
      </c>
      <c r="N385" s="6">
        <v>50.272908989050492</v>
      </c>
      <c r="O385" s="6">
        <v>42.771740461561137</v>
      </c>
      <c r="P385" s="6">
        <v>188.23637224981471</v>
      </c>
      <c r="Q385" s="6">
        <v>45.188285468260581</v>
      </c>
      <c r="R385" s="6">
        <v>7.766924053696612</v>
      </c>
      <c r="S385" s="6">
        <v>28.99903498581002</v>
      </c>
      <c r="T385" s="6">
        <v>22.303945826379859</v>
      </c>
      <c r="U385" s="6">
        <v>104.2581903341471</v>
      </c>
      <c r="V385" s="6">
        <v>292.49456258396179</v>
      </c>
      <c r="W385" s="6">
        <v>1.854902417166401</v>
      </c>
      <c r="X385" s="6">
        <v>20.253280865912529</v>
      </c>
      <c r="Y385" s="6">
        <v>314.60274586704082</v>
      </c>
      <c r="Z385" s="6">
        <v>40.136164819691381</v>
      </c>
      <c r="AA385" s="6">
        <v>354.73891068673208</v>
      </c>
      <c r="AB385" s="6">
        <v>0</v>
      </c>
      <c r="AC385" s="6">
        <v>5.4930680929227442</v>
      </c>
      <c r="AD385" s="6">
        <v>0</v>
      </c>
      <c r="AE385" s="6">
        <v>0</v>
      </c>
      <c r="AF385" s="6">
        <v>360.23197877965492</v>
      </c>
      <c r="AG385" s="6">
        <v>12.86312141519595</v>
      </c>
      <c r="AH385" s="6">
        <v>0</v>
      </c>
      <c r="AI385" s="6">
        <v>25.128327626630249</v>
      </c>
      <c r="AJ385" s="6">
        <v>392.73035972855831</v>
      </c>
      <c r="AK385" s="6">
        <v>0</v>
      </c>
      <c r="AL385" s="6">
        <v>0</v>
      </c>
      <c r="AM385" s="6">
        <v>0</v>
      </c>
      <c r="AN385" s="6">
        <v>0</v>
      </c>
      <c r="AO385" s="6">
        <v>0</v>
      </c>
      <c r="AP385" s="6">
        <v>392.73035972855831</v>
      </c>
      <c r="AQ385" s="6">
        <v>419.99761139798301</v>
      </c>
      <c r="AR385" s="6">
        <v>90.026066999999998</v>
      </c>
      <c r="AS385" s="6">
        <v>105.3948655309423</v>
      </c>
      <c r="AT385" s="6">
        <v>65.258700711250896</v>
      </c>
    </row>
    <row r="386" spans="1:46" x14ac:dyDescent="0.35">
      <c r="A386" s="5">
        <v>46022</v>
      </c>
      <c r="B386" s="4" t="s">
        <v>561</v>
      </c>
      <c r="C386" s="4" t="s">
        <v>562</v>
      </c>
      <c r="D386" s="4" t="s">
        <v>61</v>
      </c>
      <c r="E386" s="6">
        <v>6250</v>
      </c>
      <c r="F386" s="7">
        <v>0.2</v>
      </c>
      <c r="G386" s="6">
        <v>80</v>
      </c>
      <c r="H386" s="6">
        <v>10</v>
      </c>
      <c r="I386" s="6">
        <v>97</v>
      </c>
      <c r="J386" s="6">
        <v>9.6999999999999993</v>
      </c>
      <c r="K386" s="8">
        <v>42.407484367988957</v>
      </c>
      <c r="L386" s="6">
        <v>20.944157318480251</v>
      </c>
      <c r="M386" s="6">
        <v>5.7743324920844126</v>
      </c>
      <c r="N386" s="6">
        <v>3.8041841652688548</v>
      </c>
      <c r="O386" s="6">
        <v>20.02285102546255</v>
      </c>
      <c r="P386" s="6">
        <v>50.545525001296078</v>
      </c>
      <c r="Q386" s="6">
        <v>7.8781020843373737</v>
      </c>
      <c r="R386" s="6">
        <v>12.421510174518851</v>
      </c>
      <c r="S386" s="6">
        <v>31.263062950273191</v>
      </c>
      <c r="T386" s="6">
        <v>22.693863401805451</v>
      </c>
      <c r="U386" s="6">
        <v>74.256538610934868</v>
      </c>
      <c r="V386" s="6">
        <v>124.8020636122309</v>
      </c>
      <c r="W386" s="6">
        <v>10.25443979329712</v>
      </c>
      <c r="X386" s="6">
        <v>28.696862461854959</v>
      </c>
      <c r="Y386" s="6">
        <v>163.753365867383</v>
      </c>
      <c r="Z386" s="6">
        <v>16.04806395361852</v>
      </c>
      <c r="AA386" s="6">
        <v>179.80142982100151</v>
      </c>
      <c r="AB386" s="6">
        <v>0</v>
      </c>
      <c r="AC386" s="6">
        <v>8.7055847079959126</v>
      </c>
      <c r="AD386" s="6">
        <v>0</v>
      </c>
      <c r="AE386" s="6">
        <v>0</v>
      </c>
      <c r="AF386" s="6">
        <v>188.5070145289975</v>
      </c>
      <c r="AG386" s="6">
        <v>8.7055847079959126</v>
      </c>
      <c r="AH386" s="6">
        <v>0</v>
      </c>
      <c r="AI386" s="6">
        <v>10.4467016495951</v>
      </c>
      <c r="AJ386" s="6">
        <v>198.9537161785926</v>
      </c>
      <c r="AK386" s="6">
        <v>252.67429300525811</v>
      </c>
      <c r="AL386" s="6">
        <v>0</v>
      </c>
      <c r="AM386" s="6">
        <v>0</v>
      </c>
      <c r="AN386" s="6">
        <v>0</v>
      </c>
      <c r="AO386" s="6">
        <v>0</v>
      </c>
      <c r="AP386" s="6">
        <v>451.62800918385062</v>
      </c>
      <c r="AQ386" s="6">
        <v>419.99999964779198</v>
      </c>
      <c r="AR386" s="6">
        <v>206.08777499999999</v>
      </c>
      <c r="AS386" s="6">
        <v>256.24663378040901</v>
      </c>
      <c r="AT386" s="6">
        <v>240.19856982679039</v>
      </c>
    </row>
    <row r="387" spans="1:46" x14ac:dyDescent="0.35">
      <c r="A387" s="5">
        <v>46022</v>
      </c>
      <c r="B387" s="4" t="s">
        <v>569</v>
      </c>
      <c r="C387" s="4" t="s">
        <v>570</v>
      </c>
      <c r="D387" s="4" t="s">
        <v>61</v>
      </c>
      <c r="E387" s="6">
        <v>140</v>
      </c>
      <c r="F387" s="7">
        <v>0.58730000000000004</v>
      </c>
      <c r="G387" s="6">
        <v>90</v>
      </c>
      <c r="H387" s="6">
        <v>0.74</v>
      </c>
      <c r="I387" s="6">
        <v>97</v>
      </c>
      <c r="J387" s="6">
        <v>0.71779999999999999</v>
      </c>
      <c r="K387" s="8">
        <v>100</v>
      </c>
      <c r="L387" s="6">
        <v>120.8634544951513</v>
      </c>
      <c r="M387" s="6">
        <v>4.32848828824054</v>
      </c>
      <c r="N387" s="6">
        <v>34.488152082791892</v>
      </c>
      <c r="O387" s="6">
        <v>39.784409835024327</v>
      </c>
      <c r="P387" s="6">
        <v>199.46450470120811</v>
      </c>
      <c r="Q387" s="6">
        <v>63.036630249524322</v>
      </c>
      <c r="R387" s="6">
        <v>5.7207400830621618</v>
      </c>
      <c r="S387" s="6">
        <v>23.637174868583781</v>
      </c>
      <c r="T387" s="6">
        <v>42.17927896906216</v>
      </c>
      <c r="U387" s="6">
        <v>134.5738241702324</v>
      </c>
      <c r="V387" s="6">
        <v>334.03832887144051</v>
      </c>
      <c r="W387" s="6">
        <v>2.7242996055637461</v>
      </c>
      <c r="X387" s="6">
        <v>24.26512222054054</v>
      </c>
      <c r="Y387" s="6">
        <v>361.02775069754477</v>
      </c>
      <c r="Z387" s="6">
        <v>38.362681804384067</v>
      </c>
      <c r="AA387" s="6">
        <v>399.3904325019289</v>
      </c>
      <c r="AB387" s="6">
        <v>0</v>
      </c>
      <c r="AC387" s="6">
        <v>2.4856027741243238</v>
      </c>
      <c r="AD387" s="6">
        <v>0</v>
      </c>
      <c r="AE387" s="6">
        <v>0</v>
      </c>
      <c r="AF387" s="6">
        <v>401.87603527605319</v>
      </c>
      <c r="AG387" s="6">
        <v>15.41074073832432</v>
      </c>
      <c r="AH387" s="6">
        <v>0</v>
      </c>
      <c r="AI387" s="6">
        <v>10.68809723686487</v>
      </c>
      <c r="AJ387" s="6">
        <v>425.48927047711811</v>
      </c>
      <c r="AK387" s="6">
        <v>0</v>
      </c>
      <c r="AL387" s="6">
        <v>0</v>
      </c>
      <c r="AM387" s="6">
        <v>0</v>
      </c>
      <c r="AN387" s="6">
        <v>0</v>
      </c>
      <c r="AO387" s="6">
        <v>0</v>
      </c>
      <c r="AP387" s="6">
        <v>425.48927047711811</v>
      </c>
      <c r="AQ387" s="6">
        <v>419.99999964779192</v>
      </c>
      <c r="AR387" s="6">
        <v>6.6464080000000001</v>
      </c>
      <c r="AS387" s="6">
        <v>58.972248950247128</v>
      </c>
      <c r="AT387" s="6">
        <v>20.60956714586306</v>
      </c>
    </row>
    <row r="388" spans="1:46" x14ac:dyDescent="0.35">
      <c r="A388" s="5">
        <v>46022</v>
      </c>
      <c r="B388" s="4" t="s">
        <v>861</v>
      </c>
      <c r="C388" s="4" t="s">
        <v>862</v>
      </c>
      <c r="D388" s="4" t="s">
        <v>61</v>
      </c>
      <c r="E388" s="6">
        <v>14705.882353000001</v>
      </c>
      <c r="F388" s="7">
        <v>0.8</v>
      </c>
      <c r="G388" s="6">
        <v>85</v>
      </c>
      <c r="H388" s="6">
        <v>100</v>
      </c>
      <c r="I388" s="6">
        <v>97</v>
      </c>
      <c r="J388" s="6">
        <v>97</v>
      </c>
      <c r="K388" s="8">
        <v>80.507642966755029</v>
      </c>
      <c r="L388" s="6">
        <v>13.56797990475941</v>
      </c>
      <c r="M388" s="6">
        <v>3.6333901683734111</v>
      </c>
      <c r="N388" s="6">
        <v>1.504764241206977</v>
      </c>
      <c r="O388" s="6">
        <v>12.48379427381362</v>
      </c>
      <c r="P388" s="6">
        <v>31.189928588153421</v>
      </c>
      <c r="Q388" s="6">
        <v>2.7768696237303661</v>
      </c>
      <c r="R388" s="6">
        <v>5.1634886694636952</v>
      </c>
      <c r="S388" s="6">
        <v>14.66236899745453</v>
      </c>
      <c r="T388" s="6">
        <v>10.51334138092737</v>
      </c>
      <c r="U388" s="6">
        <v>33.11606867157596</v>
      </c>
      <c r="V388" s="6">
        <v>64.305997259729381</v>
      </c>
      <c r="W388" s="6">
        <v>15.1880177609954</v>
      </c>
      <c r="X388" s="6">
        <v>21.406237652826089</v>
      </c>
      <c r="Y388" s="6">
        <v>100.9002526735509</v>
      </c>
      <c r="Z388" s="6">
        <v>16.738006778883939</v>
      </c>
      <c r="AA388" s="6">
        <v>117.6382594524348</v>
      </c>
      <c r="AB388" s="6">
        <v>0</v>
      </c>
      <c r="AC388" s="6">
        <v>4.9820519638483658</v>
      </c>
      <c r="AD388" s="6">
        <v>0</v>
      </c>
      <c r="AE388" s="6">
        <v>0</v>
      </c>
      <c r="AF388" s="6">
        <v>122.6203114162832</v>
      </c>
      <c r="AG388" s="6">
        <v>5.4312755611367027</v>
      </c>
      <c r="AH388" s="6">
        <v>0</v>
      </c>
      <c r="AI388" s="6">
        <v>6.2530999067656117</v>
      </c>
      <c r="AJ388" s="6">
        <v>129.32263492033709</v>
      </c>
      <c r="AK388" s="6">
        <v>0</v>
      </c>
      <c r="AL388" s="6">
        <v>0</v>
      </c>
      <c r="AM388" s="6">
        <v>0</v>
      </c>
      <c r="AN388" s="6">
        <v>0</v>
      </c>
      <c r="AO388" s="6">
        <v>0</v>
      </c>
      <c r="AP388" s="6">
        <v>129.32263492033709</v>
      </c>
      <c r="AQ388" s="6">
        <v>419.99999964779192</v>
      </c>
      <c r="AR388" s="6">
        <v>1111.5099279999999</v>
      </c>
      <c r="AS388" s="6">
        <v>319.0997469742411</v>
      </c>
      <c r="AT388" s="6">
        <v>302.36174019535707</v>
      </c>
    </row>
    <row r="389" spans="1:46" x14ac:dyDescent="0.35">
      <c r="A389" s="5">
        <v>46022</v>
      </c>
      <c r="B389" s="4" t="s">
        <v>673</v>
      </c>
      <c r="C389" s="4" t="s">
        <v>674</v>
      </c>
      <c r="D389" s="4" t="s">
        <v>58</v>
      </c>
      <c r="E389" s="6">
        <v>33876</v>
      </c>
      <c r="F389" s="7">
        <v>0.46</v>
      </c>
      <c r="G389" s="6">
        <v>54.5</v>
      </c>
      <c r="H389" s="6">
        <v>84.927000000000007</v>
      </c>
      <c r="I389" s="6">
        <v>100</v>
      </c>
      <c r="J389" s="6">
        <v>84.927132</v>
      </c>
      <c r="K389" s="8">
        <v>100</v>
      </c>
      <c r="L389" s="6">
        <v>74.703334220688063</v>
      </c>
      <c r="M389" s="6">
        <v>77.865906151846815</v>
      </c>
      <c r="N389" s="6">
        <v>2.450448193989629</v>
      </c>
      <c r="O389" s="6">
        <v>46.396745866091337</v>
      </c>
      <c r="P389" s="6">
        <v>201.41643443261589</v>
      </c>
      <c r="Q389" s="6">
        <v>17.14020083840008</v>
      </c>
      <c r="R389" s="6">
        <v>7.0255433132576783</v>
      </c>
      <c r="S389" s="6">
        <v>44.365422811752687</v>
      </c>
      <c r="T389" s="6">
        <v>11.118187672810929</v>
      </c>
      <c r="U389" s="6">
        <v>79.649354636221375</v>
      </c>
      <c r="V389" s="6">
        <v>281.0657890688372</v>
      </c>
      <c r="W389" s="6">
        <v>2.5318215197145371</v>
      </c>
      <c r="X389" s="6">
        <v>0</v>
      </c>
      <c r="Y389" s="6">
        <v>283.59761058855179</v>
      </c>
      <c r="Z389" s="6">
        <v>9.7765404284895094</v>
      </c>
      <c r="AA389" s="6">
        <v>293.3741510170413</v>
      </c>
      <c r="AB389" s="6">
        <v>0</v>
      </c>
      <c r="AC389" s="6">
        <v>62.751799480871561</v>
      </c>
      <c r="AD389" s="6">
        <v>0</v>
      </c>
      <c r="AE389" s="6">
        <v>0</v>
      </c>
      <c r="AF389" s="6">
        <v>356.12595049791281</v>
      </c>
      <c r="AG389" s="6">
        <v>20.236154217251691</v>
      </c>
      <c r="AH389" s="6">
        <v>0</v>
      </c>
      <c r="AI389" s="6">
        <v>45.101393168134422</v>
      </c>
      <c r="AJ389" s="6">
        <v>358.71169840242737</v>
      </c>
      <c r="AK389" s="6">
        <v>0</v>
      </c>
      <c r="AL389" s="6">
        <v>0</v>
      </c>
      <c r="AM389" s="6">
        <v>0</v>
      </c>
      <c r="AN389" s="6">
        <v>0</v>
      </c>
      <c r="AO389" s="6">
        <v>0</v>
      </c>
      <c r="AP389" s="6">
        <v>358.71169840242737</v>
      </c>
      <c r="AQ389" s="6">
        <v>419.99984139447912</v>
      </c>
      <c r="AR389" s="6">
        <v>786.37526400000002</v>
      </c>
      <c r="AS389" s="6">
        <v>136.4022308059273</v>
      </c>
      <c r="AT389" s="6">
        <v>126.62569037743781</v>
      </c>
    </row>
    <row r="390" spans="1:46" x14ac:dyDescent="0.35">
      <c r="A390" s="5">
        <v>46022</v>
      </c>
      <c r="B390" s="4" t="s">
        <v>863</v>
      </c>
      <c r="C390" s="4" t="s">
        <v>864</v>
      </c>
      <c r="D390" s="4" t="s">
        <v>748</v>
      </c>
      <c r="E390" s="6">
        <v>40000</v>
      </c>
      <c r="F390" s="7">
        <v>0.32</v>
      </c>
      <c r="G390" s="6">
        <v>88</v>
      </c>
      <c r="H390" s="6">
        <v>112.64</v>
      </c>
      <c r="I390" s="6">
        <v>97</v>
      </c>
      <c r="J390" s="6">
        <v>109.2608</v>
      </c>
      <c r="K390" s="8">
        <v>64.308356354033762</v>
      </c>
      <c r="L390" s="6">
        <v>16.94351868784873</v>
      </c>
      <c r="M390" s="6">
        <v>7.3766591832425128</v>
      </c>
      <c r="N390" s="6">
        <v>0.23084697504531701</v>
      </c>
      <c r="O390" s="6">
        <v>11.72848294179445</v>
      </c>
      <c r="P390" s="6">
        <v>36.279507787931017</v>
      </c>
      <c r="Q390" s="6">
        <v>12.48643246766837</v>
      </c>
      <c r="R390" s="6">
        <v>8.1932254943328662</v>
      </c>
      <c r="S390" s="6">
        <v>21.043393855835649</v>
      </c>
      <c r="T390" s="6">
        <v>15.76585418486393</v>
      </c>
      <c r="U390" s="6">
        <v>57.488906002700809</v>
      </c>
      <c r="V390" s="6">
        <v>93.768413790631826</v>
      </c>
      <c r="W390" s="6">
        <v>7.6107157688212288</v>
      </c>
      <c r="X390" s="6">
        <v>22.712446008327898</v>
      </c>
      <c r="Y390" s="6">
        <v>124.09157556778101</v>
      </c>
      <c r="Z390" s="6">
        <v>53.737479138103488</v>
      </c>
      <c r="AA390" s="6">
        <v>177.8290547058844</v>
      </c>
      <c r="AB390" s="6">
        <v>0</v>
      </c>
      <c r="AC390" s="6">
        <v>41.051110597325177</v>
      </c>
      <c r="AD390" s="6">
        <v>0</v>
      </c>
      <c r="AE390" s="6">
        <v>0</v>
      </c>
      <c r="AF390" s="6">
        <v>218.88016530320959</v>
      </c>
      <c r="AG390" s="6">
        <v>11.43317779302598</v>
      </c>
      <c r="AH390" s="6">
        <v>0</v>
      </c>
      <c r="AI390" s="6">
        <v>32.827311254190228</v>
      </c>
      <c r="AJ390" s="6">
        <v>222.0895437531006</v>
      </c>
      <c r="AK390" s="6">
        <v>0</v>
      </c>
      <c r="AL390" s="6">
        <v>0</v>
      </c>
      <c r="AM390" s="6">
        <v>0</v>
      </c>
      <c r="AN390" s="6">
        <v>0</v>
      </c>
      <c r="AO390" s="6">
        <v>0</v>
      </c>
      <c r="AP390" s="6">
        <v>222.0895437531006</v>
      </c>
      <c r="AQ390" s="6">
        <v>419.99999964779192</v>
      </c>
      <c r="AR390" s="6">
        <v>1557.091666</v>
      </c>
      <c r="AS390" s="6">
        <v>295.908424080011</v>
      </c>
      <c r="AT390" s="6">
        <v>242.17094494190749</v>
      </c>
    </row>
    <row r="391" spans="1:46" x14ac:dyDescent="0.35">
      <c r="A391" s="5">
        <v>46022</v>
      </c>
      <c r="B391" s="4" t="s">
        <v>675</v>
      </c>
      <c r="C391" s="4" t="s">
        <v>676</v>
      </c>
      <c r="D391" s="4" t="s">
        <v>69</v>
      </c>
      <c r="E391" s="6">
        <v>17570.833332999999</v>
      </c>
      <c r="F391" s="7">
        <v>1.27</v>
      </c>
      <c r="G391" s="6">
        <v>79.989999999999995</v>
      </c>
      <c r="H391" s="6">
        <v>178.499</v>
      </c>
      <c r="I391" s="6">
        <v>97</v>
      </c>
      <c r="J391" s="6">
        <v>173.144443</v>
      </c>
      <c r="K391" s="8">
        <v>81.023361001887167</v>
      </c>
      <c r="L391" s="6">
        <v>3.2904135075873548</v>
      </c>
      <c r="M391" s="6">
        <v>12.19873270725609</v>
      </c>
      <c r="N391" s="6">
        <v>0.90093199253138767</v>
      </c>
      <c r="O391" s="6">
        <v>2.02006672700711</v>
      </c>
      <c r="P391" s="6">
        <v>18.41014493438194</v>
      </c>
      <c r="Q391" s="6">
        <v>0.19851056545874241</v>
      </c>
      <c r="R391" s="6">
        <v>0.53980059917467171</v>
      </c>
      <c r="S391" s="6">
        <v>3.1481599099522262</v>
      </c>
      <c r="T391" s="6">
        <v>0.53814093657313966</v>
      </c>
      <c r="U391" s="6">
        <v>4.4246120111587803</v>
      </c>
      <c r="V391" s="6">
        <v>22.834756945540722</v>
      </c>
      <c r="W391" s="6">
        <v>4.5291737302631736</v>
      </c>
      <c r="X391" s="6">
        <v>16.989387641175082</v>
      </c>
      <c r="Y391" s="6">
        <v>44.353318316978978</v>
      </c>
      <c r="Z391" s="6">
        <v>24.10344931585864</v>
      </c>
      <c r="AA391" s="6">
        <v>68.456767632837611</v>
      </c>
      <c r="AB391" s="6">
        <v>0</v>
      </c>
      <c r="AC391" s="6">
        <v>11.36018911022679</v>
      </c>
      <c r="AD391" s="6">
        <v>0</v>
      </c>
      <c r="AE391" s="6">
        <v>0</v>
      </c>
      <c r="AF391" s="6">
        <v>79.816956743064395</v>
      </c>
      <c r="AG391" s="6">
        <v>3.255090666016323</v>
      </c>
      <c r="AH391" s="6">
        <v>0</v>
      </c>
      <c r="AI391" s="6">
        <v>11.254839695607741</v>
      </c>
      <c r="AJ391" s="6">
        <v>82.966697994461683</v>
      </c>
      <c r="AK391" s="6">
        <v>0</v>
      </c>
      <c r="AL391" s="6">
        <v>0</v>
      </c>
      <c r="AM391" s="6">
        <v>0</v>
      </c>
      <c r="AN391" s="6">
        <v>0</v>
      </c>
      <c r="AO391" s="6">
        <v>0</v>
      </c>
      <c r="AP391" s="6">
        <v>82.966697994461683</v>
      </c>
      <c r="AQ391" s="6">
        <v>419.99989534181668</v>
      </c>
      <c r="AR391" s="6">
        <v>1992.210499</v>
      </c>
      <c r="AS391" s="6">
        <v>375.64657702483771</v>
      </c>
      <c r="AT391" s="6">
        <v>351.54312770897911</v>
      </c>
    </row>
    <row r="392" spans="1:46" x14ac:dyDescent="0.35">
      <c r="A392" s="5">
        <v>46022</v>
      </c>
      <c r="B392" s="4" t="s">
        <v>677</v>
      </c>
      <c r="C392" s="4" t="s">
        <v>678</v>
      </c>
      <c r="D392" s="4" t="s">
        <v>61</v>
      </c>
      <c r="E392" s="6">
        <v>3529.4117649999998</v>
      </c>
      <c r="F392" s="7">
        <v>0.4</v>
      </c>
      <c r="G392" s="6">
        <v>85</v>
      </c>
      <c r="H392" s="6">
        <v>12</v>
      </c>
      <c r="I392" s="6">
        <v>97</v>
      </c>
      <c r="J392" s="6">
        <v>11.64</v>
      </c>
      <c r="K392" s="8">
        <v>73.009394566466781</v>
      </c>
      <c r="L392" s="6">
        <v>28.985536706739961</v>
      </c>
      <c r="M392" s="6">
        <v>4.7428095869500932</v>
      </c>
      <c r="N392" s="6">
        <v>2.621134163502207</v>
      </c>
      <c r="O392" s="6">
        <v>27.040017388575009</v>
      </c>
      <c r="P392" s="6">
        <v>63.389497845767274</v>
      </c>
      <c r="Q392" s="6">
        <v>9.1823892777972418</v>
      </c>
      <c r="R392" s="6">
        <v>9.0916753602731024</v>
      </c>
      <c r="S392" s="6">
        <v>27.827443111887831</v>
      </c>
      <c r="T392" s="6">
        <v>17.583618659659908</v>
      </c>
      <c r="U392" s="6">
        <v>63.685126409618078</v>
      </c>
      <c r="V392" s="6">
        <v>127.0746242553854</v>
      </c>
      <c r="W392" s="6">
        <v>16.556280967969592</v>
      </c>
      <c r="X392" s="6">
        <v>24.572488239999998</v>
      </c>
      <c r="Y392" s="6">
        <v>168.2033934633549</v>
      </c>
      <c r="Z392" s="6">
        <v>16.565824103834998</v>
      </c>
      <c r="AA392" s="6">
        <v>184.76921756718991</v>
      </c>
      <c r="AB392" s="6">
        <v>0</v>
      </c>
      <c r="AC392" s="6">
        <v>10.592531803773291</v>
      </c>
      <c r="AD392" s="6">
        <v>0</v>
      </c>
      <c r="AE392" s="6">
        <v>0</v>
      </c>
      <c r="AF392" s="6">
        <v>195.3617493709632</v>
      </c>
      <c r="AG392" s="6">
        <v>11.151415490020639</v>
      </c>
      <c r="AH392" s="6">
        <v>0</v>
      </c>
      <c r="AI392" s="6">
        <v>12.17634017030502</v>
      </c>
      <c r="AJ392" s="6">
        <v>208.0969732275156</v>
      </c>
      <c r="AK392" s="6">
        <v>0</v>
      </c>
      <c r="AL392" s="6">
        <v>0</v>
      </c>
      <c r="AM392" s="6">
        <v>0</v>
      </c>
      <c r="AN392" s="6">
        <v>0</v>
      </c>
      <c r="AO392" s="6">
        <v>0</v>
      </c>
      <c r="AP392" s="6">
        <v>208.0969732275156</v>
      </c>
      <c r="AQ392" s="6">
        <v>419.99999964779192</v>
      </c>
      <c r="AR392" s="6">
        <v>145.56706500000001</v>
      </c>
      <c r="AS392" s="6">
        <v>251.796606184437</v>
      </c>
      <c r="AT392" s="6">
        <v>235.23078208060201</v>
      </c>
    </row>
    <row r="393" spans="1:46" x14ac:dyDescent="0.35">
      <c r="A393" s="5">
        <v>46022</v>
      </c>
      <c r="B393" s="4" t="s">
        <v>571</v>
      </c>
      <c r="C393" s="4" t="s">
        <v>572</v>
      </c>
      <c r="D393" s="4" t="s">
        <v>61</v>
      </c>
      <c r="E393" s="6">
        <v>167.65</v>
      </c>
      <c r="F393" s="7">
        <v>0.4</v>
      </c>
      <c r="G393" s="6">
        <v>85</v>
      </c>
      <c r="H393" s="6">
        <v>0.56999999999999995</v>
      </c>
      <c r="I393" s="6">
        <v>97</v>
      </c>
      <c r="J393" s="6">
        <v>0.55289999999999995</v>
      </c>
      <c r="K393" s="8">
        <v>80.219701092949904</v>
      </c>
      <c r="L393" s="6">
        <v>49.19514299566557</v>
      </c>
      <c r="M393" s="6">
        <v>7.1971040957168126</v>
      </c>
      <c r="N393" s="6">
        <v>32.051822205753652</v>
      </c>
      <c r="O393" s="6">
        <v>36.527705777548697</v>
      </c>
      <c r="P393" s="6">
        <v>124.9717750746847</v>
      </c>
      <c r="Q393" s="6">
        <v>16.088386922566841</v>
      </c>
      <c r="R393" s="6">
        <v>13.347780965498</v>
      </c>
      <c r="S393" s="6">
        <v>41.040925892183672</v>
      </c>
      <c r="T393" s="6">
        <v>47.581926306896221</v>
      </c>
      <c r="U393" s="6">
        <v>118.0590200871447</v>
      </c>
      <c r="V393" s="6">
        <v>243.03079516182939</v>
      </c>
      <c r="W393" s="6">
        <v>4.4543474626663162</v>
      </c>
      <c r="X393" s="6">
        <v>27.689305263157902</v>
      </c>
      <c r="Y393" s="6">
        <v>275.17444788765368</v>
      </c>
      <c r="Z393" s="6">
        <v>52.480463200596603</v>
      </c>
      <c r="AA393" s="6">
        <v>327.65491108825029</v>
      </c>
      <c r="AB393" s="6">
        <v>0</v>
      </c>
      <c r="AC393" s="6">
        <v>4.9908056918715564</v>
      </c>
      <c r="AD393" s="6">
        <v>0</v>
      </c>
      <c r="AE393" s="6">
        <v>0</v>
      </c>
      <c r="AF393" s="6">
        <v>332.6457167801218</v>
      </c>
      <c r="AG393" s="6">
        <v>30.084360723556038</v>
      </c>
      <c r="AH393" s="6">
        <v>0</v>
      </c>
      <c r="AI393" s="6">
        <v>15.762905831025019</v>
      </c>
      <c r="AJ393" s="6">
        <v>373.50217764283133</v>
      </c>
      <c r="AK393" s="6">
        <v>0</v>
      </c>
      <c r="AL393" s="6">
        <v>0</v>
      </c>
      <c r="AM393" s="6">
        <v>0</v>
      </c>
      <c r="AN393" s="6">
        <v>0</v>
      </c>
      <c r="AO393" s="6">
        <v>0</v>
      </c>
      <c r="AP393" s="6">
        <v>373.50217764283133</v>
      </c>
      <c r="AQ393" s="6">
        <v>419.99999964779198</v>
      </c>
      <c r="AR393" s="6">
        <v>6.2852759999999996</v>
      </c>
      <c r="AS393" s="6">
        <v>144.8255517601383</v>
      </c>
      <c r="AT393" s="6">
        <v>92.345088559541722</v>
      </c>
    </row>
    <row r="394" spans="1:46" x14ac:dyDescent="0.35">
      <c r="A394" s="5">
        <v>46022</v>
      </c>
      <c r="B394" s="4" t="s">
        <v>679</v>
      </c>
      <c r="C394" s="4" t="s">
        <v>680</v>
      </c>
      <c r="D394" s="4" t="s">
        <v>61</v>
      </c>
      <c r="E394" s="6">
        <v>290</v>
      </c>
      <c r="F394" s="7">
        <v>0.45</v>
      </c>
      <c r="G394" s="6">
        <v>87</v>
      </c>
      <c r="H394" s="6">
        <v>1.135</v>
      </c>
      <c r="I394" s="6">
        <v>97</v>
      </c>
      <c r="J394" s="6">
        <v>1.101289</v>
      </c>
      <c r="K394" s="8">
        <v>74.455155322492942</v>
      </c>
      <c r="L394" s="6">
        <v>83.634771031870159</v>
      </c>
      <c r="M394" s="6">
        <v>8.6173694633938478</v>
      </c>
      <c r="N394" s="6">
        <v>15.95732217389148</v>
      </c>
      <c r="O394" s="6">
        <v>33.862571498210251</v>
      </c>
      <c r="P394" s="6">
        <v>142.0720341673657</v>
      </c>
      <c r="Q394" s="6">
        <v>32.435758170321662</v>
      </c>
      <c r="R394" s="6">
        <v>6.9249968090068386</v>
      </c>
      <c r="S394" s="6">
        <v>19.455668997574271</v>
      </c>
      <c r="T394" s="6">
        <v>48.31121859810893</v>
      </c>
      <c r="U394" s="6">
        <v>107.12764257501171</v>
      </c>
      <c r="V394" s="6">
        <v>249.19967674237739</v>
      </c>
      <c r="W394" s="6">
        <v>8.2014044540928115</v>
      </c>
      <c r="X394" s="6">
        <v>26.17271089751527</v>
      </c>
      <c r="Y394" s="6">
        <v>283.5737920939855</v>
      </c>
      <c r="Z394" s="6">
        <v>39.35855666002098</v>
      </c>
      <c r="AA394" s="6">
        <v>322.93234875400651</v>
      </c>
      <c r="AB394" s="6">
        <v>0</v>
      </c>
      <c r="AC394" s="6">
        <v>26.410324570650371</v>
      </c>
      <c r="AD394" s="6">
        <v>0</v>
      </c>
      <c r="AE394" s="6">
        <v>0</v>
      </c>
      <c r="AF394" s="6">
        <v>349.34267332465691</v>
      </c>
      <c r="AG394" s="6">
        <v>27.072457590144491</v>
      </c>
      <c r="AH394" s="6">
        <v>0</v>
      </c>
      <c r="AI394" s="6">
        <v>27.921978860824041</v>
      </c>
      <c r="AJ394" s="6">
        <v>377.92678520497498</v>
      </c>
      <c r="AK394" s="6">
        <v>0</v>
      </c>
      <c r="AL394" s="6">
        <v>0</v>
      </c>
      <c r="AM394" s="6">
        <v>0</v>
      </c>
      <c r="AN394" s="6">
        <v>0</v>
      </c>
      <c r="AO394" s="6">
        <v>0</v>
      </c>
      <c r="AP394" s="6">
        <v>377.92678520497498</v>
      </c>
      <c r="AQ394" s="6">
        <v>420.00419473191261</v>
      </c>
      <c r="AR394" s="6">
        <v>13.542986000000001</v>
      </c>
      <c r="AS394" s="6">
        <v>136.4304026379271</v>
      </c>
      <c r="AT394" s="6">
        <v>97.071845977906094</v>
      </c>
    </row>
    <row r="395" spans="1:46" x14ac:dyDescent="0.35">
      <c r="A395" s="5">
        <v>46022</v>
      </c>
      <c r="B395" s="4" t="s">
        <v>865</v>
      </c>
      <c r="C395" s="4" t="s">
        <v>866</v>
      </c>
      <c r="D395" s="4" t="s">
        <v>61</v>
      </c>
      <c r="E395" s="6">
        <v>295.24</v>
      </c>
      <c r="F395" s="7">
        <v>0.42</v>
      </c>
      <c r="G395" s="6">
        <v>75</v>
      </c>
      <c r="H395" s="6">
        <v>0.93</v>
      </c>
      <c r="I395" s="6">
        <v>91.543011000000007</v>
      </c>
      <c r="J395" s="6">
        <v>0.85135000000000005</v>
      </c>
      <c r="K395" s="8">
        <v>96.598036214083308</v>
      </c>
      <c r="L395" s="6">
        <v>47.813739168553049</v>
      </c>
      <c r="M395" s="6">
        <v>32.176064386962679</v>
      </c>
      <c r="N395" s="6">
        <v>28.168972143860739</v>
      </c>
      <c r="O395" s="6">
        <v>32.916183111540001</v>
      </c>
      <c r="P395" s="6">
        <v>141.07495881091651</v>
      </c>
      <c r="Q395" s="6">
        <v>11.01627852688436</v>
      </c>
      <c r="R395" s="6">
        <v>16.966190019508581</v>
      </c>
      <c r="S395" s="6">
        <v>32.782710111690129</v>
      </c>
      <c r="T395" s="6">
        <v>61.223703389807731</v>
      </c>
      <c r="U395" s="6">
        <v>121.9888820478908</v>
      </c>
      <c r="V395" s="6">
        <v>263.06384085880728</v>
      </c>
      <c r="W395" s="6">
        <v>6.5890783962869239</v>
      </c>
      <c r="X395" s="6">
        <v>37.439391825944469</v>
      </c>
      <c r="Y395" s="6">
        <v>307.0923110810387</v>
      </c>
      <c r="Z395" s="6">
        <v>68.499562870734025</v>
      </c>
      <c r="AA395" s="6">
        <v>375.5918739517727</v>
      </c>
      <c r="AB395" s="6">
        <v>0</v>
      </c>
      <c r="AC395" s="6">
        <v>19.31874281194429</v>
      </c>
      <c r="AD395" s="6">
        <v>0</v>
      </c>
      <c r="AE395" s="6">
        <v>0</v>
      </c>
      <c r="AF395" s="6">
        <v>394.91061676371697</v>
      </c>
      <c r="AG395" s="6">
        <v>4.6178558165269434</v>
      </c>
      <c r="AH395" s="6">
        <v>0</v>
      </c>
      <c r="AI395" s="6">
        <v>19.31874281194429</v>
      </c>
      <c r="AJ395" s="6">
        <v>399.52847258024389</v>
      </c>
      <c r="AK395" s="6">
        <v>0</v>
      </c>
      <c r="AL395" s="6">
        <v>0</v>
      </c>
      <c r="AM395" s="6">
        <v>0</v>
      </c>
      <c r="AN395" s="6">
        <v>0</v>
      </c>
      <c r="AO395" s="6">
        <v>0</v>
      </c>
      <c r="AP395" s="6">
        <v>399.52847258024389</v>
      </c>
      <c r="AQ395" s="6">
        <v>420.02466635359139</v>
      </c>
      <c r="AR395" s="6">
        <v>8.171087</v>
      </c>
      <c r="AS395" s="6">
        <v>112.9323552725527</v>
      </c>
      <c r="AT395" s="6">
        <v>44.432792401818702</v>
      </c>
    </row>
    <row r="396" spans="1:46" x14ac:dyDescent="0.35">
      <c r="A396" s="5">
        <v>46022</v>
      </c>
      <c r="B396" s="4" t="s">
        <v>867</v>
      </c>
      <c r="C396" s="4" t="s">
        <v>868</v>
      </c>
      <c r="D396" s="4" t="s">
        <v>61</v>
      </c>
      <c r="E396" s="6">
        <v>16000</v>
      </c>
      <c r="F396" s="7">
        <v>0.35</v>
      </c>
      <c r="G396" s="6">
        <v>87</v>
      </c>
      <c r="H396" s="6">
        <v>48.72</v>
      </c>
      <c r="I396" s="6">
        <v>97</v>
      </c>
      <c r="J396" s="6">
        <v>47.258400000000002</v>
      </c>
      <c r="K396" s="8">
        <v>94.711616068898891</v>
      </c>
      <c r="L396" s="6">
        <v>32.723551524665091</v>
      </c>
      <c r="M396" s="6">
        <v>9.2679790188809807</v>
      </c>
      <c r="N396" s="6">
        <v>1.3014898494638081</v>
      </c>
      <c r="O396" s="6">
        <v>35.863673411774549</v>
      </c>
      <c r="P396" s="6">
        <v>79.156693804784425</v>
      </c>
      <c r="Q396" s="6">
        <v>27.049668992880871</v>
      </c>
      <c r="R396" s="6">
        <v>4.7032449258777449</v>
      </c>
      <c r="S396" s="6">
        <v>18.331428022863161</v>
      </c>
      <c r="T396" s="6">
        <v>32.130789739201731</v>
      </c>
      <c r="U396" s="6">
        <v>82.215131680823504</v>
      </c>
      <c r="V396" s="6">
        <v>161.3718254856079</v>
      </c>
      <c r="W396" s="6">
        <v>12.78323494372564</v>
      </c>
      <c r="X396" s="6">
        <v>25.316766605691502</v>
      </c>
      <c r="Y396" s="6">
        <v>199.47182703502509</v>
      </c>
      <c r="Z396" s="6">
        <v>40.427087741500102</v>
      </c>
      <c r="AA396" s="6">
        <v>239.8989147765252</v>
      </c>
      <c r="AB396" s="6">
        <v>0</v>
      </c>
      <c r="AC396" s="6">
        <v>42.703923915735572</v>
      </c>
      <c r="AD396" s="6">
        <v>0</v>
      </c>
      <c r="AE396" s="6">
        <v>0</v>
      </c>
      <c r="AF396" s="6">
        <v>282.60283869226072</v>
      </c>
      <c r="AG396" s="6">
        <v>29.83144882501508</v>
      </c>
      <c r="AH396" s="6">
        <v>0</v>
      </c>
      <c r="AI396" s="6">
        <v>29.21846966501683</v>
      </c>
      <c r="AJ396" s="6">
        <v>298.94883326655707</v>
      </c>
      <c r="AK396" s="6">
        <v>0</v>
      </c>
      <c r="AL396" s="6">
        <v>0</v>
      </c>
      <c r="AM396" s="6">
        <v>0</v>
      </c>
      <c r="AN396" s="6">
        <v>0</v>
      </c>
      <c r="AO396" s="6">
        <v>0</v>
      </c>
      <c r="AP396" s="6">
        <v>298.94883326655707</v>
      </c>
      <c r="AQ396" s="6">
        <v>419.99999964779192</v>
      </c>
      <c r="AR396" s="6">
        <v>461.39405099999999</v>
      </c>
      <c r="AS396" s="6">
        <v>220.52817261276689</v>
      </c>
      <c r="AT396" s="6">
        <v>180.10108487126681</v>
      </c>
    </row>
    <row r="397" spans="1:46" x14ac:dyDescent="0.35">
      <c r="A397" s="5">
        <v>46022</v>
      </c>
      <c r="B397" s="4" t="s">
        <v>869</v>
      </c>
      <c r="C397" s="4" t="s">
        <v>870</v>
      </c>
      <c r="D397" s="4" t="s">
        <v>61</v>
      </c>
      <c r="E397" s="6">
        <v>16000</v>
      </c>
      <c r="F397" s="7">
        <v>0.25</v>
      </c>
      <c r="G397" s="6">
        <v>50</v>
      </c>
      <c r="H397" s="6">
        <v>20</v>
      </c>
      <c r="I397" s="6">
        <v>100</v>
      </c>
      <c r="J397" s="6">
        <v>20</v>
      </c>
      <c r="K397" s="8">
        <v>94.494871732343768</v>
      </c>
      <c r="L397" s="6">
        <v>75.772365263312736</v>
      </c>
      <c r="M397" s="6">
        <v>21.704948422630839</v>
      </c>
      <c r="N397" s="6">
        <v>2.9915725286364578</v>
      </c>
      <c r="O397" s="6">
        <v>83.490193079872128</v>
      </c>
      <c r="P397" s="6">
        <v>183.95907929445221</v>
      </c>
      <c r="Q397" s="6">
        <v>34.598398337298192</v>
      </c>
      <c r="R397" s="6">
        <v>221.95061709774481</v>
      </c>
      <c r="S397" s="6">
        <v>82.896740856760957</v>
      </c>
      <c r="T397" s="6">
        <v>48.721923458510112</v>
      </c>
      <c r="U397" s="6">
        <v>388.16767975031411</v>
      </c>
      <c r="V397" s="6">
        <v>572.12675904476623</v>
      </c>
      <c r="W397" s="6">
        <v>0</v>
      </c>
      <c r="X397" s="6">
        <v>0</v>
      </c>
      <c r="Y397" s="6">
        <v>572.12675904476623</v>
      </c>
      <c r="Z397" s="6">
        <v>24.912507117886449</v>
      </c>
      <c r="AA397" s="6">
        <v>597.03926616265267</v>
      </c>
      <c r="AB397" s="6">
        <v>0</v>
      </c>
      <c r="AC397" s="6">
        <v>26.314652944600422</v>
      </c>
      <c r="AD397" s="6">
        <v>0</v>
      </c>
      <c r="AE397" s="6">
        <v>0</v>
      </c>
      <c r="AF397" s="6">
        <v>623.35391910725309</v>
      </c>
      <c r="AG397" s="6">
        <v>18.38248007420917</v>
      </c>
      <c r="AH397" s="6">
        <v>0</v>
      </c>
      <c r="AI397" s="6">
        <v>18.00477878354241</v>
      </c>
      <c r="AJ397" s="6">
        <v>633.42652502040426</v>
      </c>
      <c r="AK397" s="6">
        <v>0</v>
      </c>
      <c r="AL397" s="6">
        <v>0</v>
      </c>
      <c r="AM397" s="6">
        <v>0</v>
      </c>
      <c r="AN397" s="6">
        <v>0</v>
      </c>
      <c r="AO397" s="6">
        <v>0</v>
      </c>
      <c r="AP397" s="6">
        <v>633.42652502040426</v>
      </c>
      <c r="AQ397" s="6">
        <v>419.99999964779192</v>
      </c>
      <c r="AR397" s="6">
        <v>195.97709</v>
      </c>
      <c r="AS397" s="6">
        <v>-152.12675939697431</v>
      </c>
      <c r="AT397" s="6">
        <v>-177.0392665148608</v>
      </c>
    </row>
    <row r="398" spans="1:46" x14ac:dyDescent="0.35">
      <c r="A398" s="5">
        <v>46022</v>
      </c>
      <c r="B398" s="4" t="s">
        <v>573</v>
      </c>
      <c r="C398" s="4" t="s">
        <v>574</v>
      </c>
      <c r="D398" s="4" t="s">
        <v>533</v>
      </c>
      <c r="E398" s="6">
        <v>7560</v>
      </c>
      <c r="F398" s="7">
        <v>7.9399999999999998E-2</v>
      </c>
      <c r="G398" s="6">
        <v>70</v>
      </c>
      <c r="H398" s="6">
        <v>4.2039999999999997</v>
      </c>
      <c r="I398" s="6">
        <v>100</v>
      </c>
      <c r="J398" s="6">
        <v>4.2043010000000001</v>
      </c>
      <c r="K398" s="8">
        <v>3.5062669265120561</v>
      </c>
      <c r="L398" s="6">
        <v>30.048830164523661</v>
      </c>
      <c r="M398" s="6">
        <v>1.3943224355855881</v>
      </c>
      <c r="N398" s="6">
        <v>1.681965998363268</v>
      </c>
      <c r="O398" s="6">
        <v>97.744915175312244</v>
      </c>
      <c r="P398" s="6">
        <v>130.8700337737848</v>
      </c>
      <c r="Q398" s="6">
        <v>8.8492327665958896</v>
      </c>
      <c r="R398" s="6">
        <v>1.889051289500334</v>
      </c>
      <c r="S398" s="6">
        <v>13.2266335204861</v>
      </c>
      <c r="T398" s="6">
        <v>16.894867531916422</v>
      </c>
      <c r="U398" s="6">
        <v>40.859785108498741</v>
      </c>
      <c r="V398" s="6">
        <v>171.7298188822835</v>
      </c>
      <c r="W398" s="6">
        <v>0</v>
      </c>
      <c r="X398" s="6">
        <v>109.1193110975825</v>
      </c>
      <c r="Y398" s="6">
        <v>280.84912997986601</v>
      </c>
      <c r="Z398" s="6">
        <v>11.591651401329059</v>
      </c>
      <c r="AA398" s="6">
        <v>292.44078138119499</v>
      </c>
      <c r="AB398" s="6">
        <v>0</v>
      </c>
      <c r="AC398" s="6">
        <v>69.022486719636831</v>
      </c>
      <c r="AD398" s="6">
        <v>0</v>
      </c>
      <c r="AE398" s="6">
        <v>0</v>
      </c>
      <c r="AF398" s="6">
        <v>361.4632681008319</v>
      </c>
      <c r="AG398" s="6">
        <v>17.262789103967538</v>
      </c>
      <c r="AH398" s="6">
        <v>0</v>
      </c>
      <c r="AI398" s="6">
        <v>46.338759956366282</v>
      </c>
      <c r="AJ398" s="6">
        <v>356.04233044152892</v>
      </c>
      <c r="AK398" s="6">
        <v>37.828307195276103</v>
      </c>
      <c r="AL398" s="6">
        <v>0</v>
      </c>
      <c r="AM398" s="6">
        <v>0</v>
      </c>
      <c r="AN398" s="6">
        <v>0</v>
      </c>
      <c r="AO398" s="6">
        <v>0</v>
      </c>
      <c r="AP398" s="6">
        <v>393.87063763680499</v>
      </c>
      <c r="AQ398" s="6">
        <v>419.99989975009203</v>
      </c>
      <c r="AR398" s="6">
        <v>931.56297400000005</v>
      </c>
      <c r="AS398" s="6">
        <v>139.15076977022599</v>
      </c>
      <c r="AT398" s="6">
        <v>127.559118368897</v>
      </c>
    </row>
    <row r="399" spans="1:46" x14ac:dyDescent="0.35">
      <c r="A399" s="5">
        <v>46022</v>
      </c>
      <c r="B399" s="4" t="s">
        <v>871</v>
      </c>
      <c r="C399" s="4" t="s">
        <v>872</v>
      </c>
      <c r="D399" s="4" t="s">
        <v>102</v>
      </c>
      <c r="E399" s="6">
        <v>755</v>
      </c>
      <c r="F399" s="7">
        <v>2.1486000000000001</v>
      </c>
      <c r="G399" s="6">
        <v>8.64</v>
      </c>
      <c r="H399" s="6">
        <v>1.401</v>
      </c>
      <c r="I399" s="6">
        <v>97</v>
      </c>
      <c r="J399" s="6">
        <v>1.35897</v>
      </c>
      <c r="K399" s="8">
        <v>7.7109503866819971</v>
      </c>
      <c r="L399" s="6">
        <v>46.295594662102047</v>
      </c>
      <c r="M399" s="6">
        <v>6.363608747191539</v>
      </c>
      <c r="N399" s="6">
        <v>11.93963526671328</v>
      </c>
      <c r="O399" s="6">
        <v>26.206082179041431</v>
      </c>
      <c r="P399" s="6">
        <v>90.804920855048309</v>
      </c>
      <c r="Q399" s="6">
        <v>26.108758524258299</v>
      </c>
      <c r="R399" s="6">
        <v>9.1408859943203495</v>
      </c>
      <c r="S399" s="6">
        <v>35.973278974355502</v>
      </c>
      <c r="T399" s="6">
        <v>17.813874211683821</v>
      </c>
      <c r="U399" s="6">
        <v>89.036797704617982</v>
      </c>
      <c r="V399" s="6">
        <v>179.8417185596663</v>
      </c>
      <c r="W399" s="6">
        <v>13.56328012327152</v>
      </c>
      <c r="X399" s="6">
        <v>21.949886356011209</v>
      </c>
      <c r="Y399" s="6">
        <v>215.35488503894899</v>
      </c>
      <c r="Z399" s="6">
        <v>0</v>
      </c>
      <c r="AA399" s="6">
        <v>215.35488503894899</v>
      </c>
      <c r="AB399" s="6">
        <v>0</v>
      </c>
      <c r="AC399" s="6">
        <v>107.29492714743169</v>
      </c>
      <c r="AD399" s="6">
        <v>0</v>
      </c>
      <c r="AE399" s="6">
        <v>0</v>
      </c>
      <c r="AF399" s="6">
        <v>322.6498121863807</v>
      </c>
      <c r="AG399" s="6">
        <v>6.6233833326629927</v>
      </c>
      <c r="AH399" s="6">
        <v>0</v>
      </c>
      <c r="AI399" s="6">
        <v>102.14282058805431</v>
      </c>
      <c r="AJ399" s="6">
        <v>324.12108895966628</v>
      </c>
      <c r="AK399" s="6">
        <v>0</v>
      </c>
      <c r="AL399" s="6">
        <v>0</v>
      </c>
      <c r="AM399" s="6">
        <v>0</v>
      </c>
      <c r="AN399" s="6">
        <v>0</v>
      </c>
      <c r="AO399" s="6">
        <v>0</v>
      </c>
      <c r="AP399" s="6">
        <v>324.12108895966628</v>
      </c>
      <c r="AQ399" s="6">
        <v>420.0092713756369</v>
      </c>
      <c r="AR399" s="6">
        <v>177.731437</v>
      </c>
      <c r="AS399" s="6">
        <v>204.65438633668791</v>
      </c>
      <c r="AT399" s="6">
        <v>204.65438633668791</v>
      </c>
    </row>
    <row r="400" spans="1:46" x14ac:dyDescent="0.35">
      <c r="A400" s="5">
        <v>46022</v>
      </c>
      <c r="B400" s="4" t="s">
        <v>681</v>
      </c>
      <c r="C400" s="4" t="s">
        <v>682</v>
      </c>
      <c r="D400" s="4" t="s">
        <v>105</v>
      </c>
      <c r="E400" s="6">
        <v>2247.8809999999999</v>
      </c>
      <c r="F400" s="7">
        <v>4.9200000000000001E-2</v>
      </c>
      <c r="G400" s="6">
        <v>95.03</v>
      </c>
      <c r="H400" s="6">
        <v>1.0509999999999999</v>
      </c>
      <c r="I400" s="6">
        <v>90</v>
      </c>
      <c r="J400" s="6">
        <v>0.94545100000000004</v>
      </c>
      <c r="K400" s="8">
        <v>1.8181384141059489</v>
      </c>
      <c r="L400" s="6">
        <v>34.017837579376</v>
      </c>
      <c r="M400" s="6">
        <v>1.332654001010394</v>
      </c>
      <c r="N400" s="6">
        <v>9.0247388242152464</v>
      </c>
      <c r="O400" s="6">
        <v>5.3119827929683563</v>
      </c>
      <c r="P400" s="6">
        <v>49.687213197570003</v>
      </c>
      <c r="Q400" s="6">
        <v>7.7657549280604758</v>
      </c>
      <c r="R400" s="6">
        <v>1.8233841144628591</v>
      </c>
      <c r="S400" s="6">
        <v>13.88485791537939</v>
      </c>
      <c r="T400" s="6">
        <v>2.4279507358894228</v>
      </c>
      <c r="U400" s="6">
        <v>25.901947693792149</v>
      </c>
      <c r="V400" s="6">
        <v>75.589160891362155</v>
      </c>
      <c r="W400" s="6">
        <v>1.0531344492042281</v>
      </c>
      <c r="X400" s="6">
        <v>22.390050707119592</v>
      </c>
      <c r="Y400" s="6">
        <v>99.032346047685976</v>
      </c>
      <c r="Z400" s="6">
        <v>3.5648114465695619</v>
      </c>
      <c r="AA400" s="6">
        <v>102.5971574942555</v>
      </c>
      <c r="AB400" s="6">
        <v>0</v>
      </c>
      <c r="AC400" s="6">
        <v>10.90344414432051</v>
      </c>
      <c r="AD400" s="6">
        <v>0</v>
      </c>
      <c r="AE400" s="6">
        <v>0</v>
      </c>
      <c r="AF400" s="6">
        <v>113.500601638576</v>
      </c>
      <c r="AG400" s="6">
        <v>12.53911968649448</v>
      </c>
      <c r="AH400" s="6">
        <v>0</v>
      </c>
      <c r="AI400" s="6">
        <v>33.383292723276341</v>
      </c>
      <c r="AJ400" s="6">
        <v>148.5195699040263</v>
      </c>
      <c r="AK400" s="6">
        <v>78.605337179427991</v>
      </c>
      <c r="AL400" s="6">
        <v>0</v>
      </c>
      <c r="AM400" s="6">
        <v>0</v>
      </c>
      <c r="AN400" s="6">
        <v>0</v>
      </c>
      <c r="AO400" s="6">
        <v>0</v>
      </c>
      <c r="AP400" s="6">
        <v>227.1249070834543</v>
      </c>
      <c r="AQ400" s="6">
        <v>420.0217670370937</v>
      </c>
      <c r="AR400" s="6">
        <v>567.336005</v>
      </c>
      <c r="AS400" s="6">
        <v>320.98942098940768</v>
      </c>
      <c r="AT400" s="6">
        <v>317.4246095428382</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401"/>
  <sheetViews>
    <sheetView workbookViewId="0">
      <selection sqref="A1:D1"/>
    </sheetView>
  </sheetViews>
  <sheetFormatPr defaultRowHeight="14.5" x14ac:dyDescent="0.35"/>
  <cols>
    <col min="1" max="2" width="48.54296875" customWidth="1"/>
    <col min="3" max="3" width="16.1796875" customWidth="1"/>
    <col min="4" max="4" width="21.7265625" customWidth="1"/>
    <col min="5" max="5" width="25.54296875" customWidth="1"/>
    <col min="6" max="6" width="16.1796875" customWidth="1"/>
    <col min="7" max="7" width="17.54296875" customWidth="1"/>
    <col min="8" max="8" width="19.54296875" customWidth="1"/>
    <col min="9" max="9" width="17.54296875" customWidth="1"/>
    <col min="10" max="10" width="19.54296875" customWidth="1"/>
    <col min="11" max="11" width="21.1796875" customWidth="1"/>
    <col min="12" max="12" width="22.453125" customWidth="1"/>
    <col min="13" max="13" width="23.81640625" customWidth="1"/>
    <col min="14" max="15" width="22.453125" customWidth="1"/>
    <col min="16" max="16" width="21.1796875" customWidth="1"/>
    <col min="17" max="17" width="23.81640625" customWidth="1"/>
    <col min="18" max="18" width="22.453125" customWidth="1"/>
    <col min="19" max="19" width="21.1796875" customWidth="1"/>
    <col min="20" max="20" width="22.453125" customWidth="1"/>
    <col min="21" max="22" width="21.1796875" customWidth="1"/>
    <col min="23" max="23" width="25.81640625" customWidth="1"/>
    <col min="24" max="24" width="23.26953125" customWidth="1"/>
    <col min="25" max="25" width="22" customWidth="1"/>
    <col min="26" max="26" width="23.26953125" customWidth="1"/>
    <col min="27" max="27" width="22.453125" customWidth="1"/>
    <col min="28" max="28" width="22" customWidth="1"/>
    <col min="29" max="29" width="23.81640625" customWidth="1"/>
    <col min="30" max="30" width="21.1796875" customWidth="1"/>
    <col min="31" max="31" width="16.1796875" customWidth="1"/>
    <col min="32" max="32" width="22" customWidth="1"/>
    <col min="33" max="33" width="23.26953125" customWidth="1"/>
    <col min="34" max="36" width="22.453125" customWidth="1"/>
    <col min="37" max="37" width="22" customWidth="1"/>
    <col min="38" max="39" width="22.453125" customWidth="1"/>
    <col min="40" max="41" width="16.1796875" customWidth="1"/>
    <col min="42" max="42" width="21.1796875" customWidth="1"/>
    <col min="43" max="43" width="22" customWidth="1"/>
    <col min="44" max="44" width="21.1796875" customWidth="1"/>
    <col min="45" max="45" width="23.54296875" customWidth="1"/>
    <col min="46" max="47" width="22" customWidth="1"/>
  </cols>
  <sheetData>
    <row r="1" spans="1:47" ht="40" customHeight="1" x14ac:dyDescent="0.35">
      <c r="A1" s="17"/>
      <c r="B1" s="17"/>
      <c r="C1" s="17"/>
      <c r="D1" s="17"/>
    </row>
    <row r="2" spans="1:47" ht="30" customHeight="1" x14ac:dyDescent="0.45">
      <c r="A2" s="1" t="s">
        <v>917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18" t="s">
        <v>2</v>
      </c>
      <c r="B6" s="18" t="s">
        <v>3</v>
      </c>
      <c r="C6" s="18" t="s">
        <v>4</v>
      </c>
      <c r="D6" s="18" t="s">
        <v>5</v>
      </c>
      <c r="E6" s="19" t="s">
        <v>13</v>
      </c>
      <c r="F6" s="19" t="s">
        <v>874</v>
      </c>
      <c r="G6" s="19" t="s">
        <v>875</v>
      </c>
      <c r="H6" s="19" t="s">
        <v>876</v>
      </c>
      <c r="I6" s="19" t="s">
        <v>877</v>
      </c>
      <c r="J6" s="19" t="s">
        <v>878</v>
      </c>
      <c r="K6" s="19" t="s">
        <v>879</v>
      </c>
      <c r="L6" s="19" t="s">
        <v>880</v>
      </c>
      <c r="M6" s="19" t="s">
        <v>881</v>
      </c>
      <c r="N6" s="19" t="s">
        <v>882</v>
      </c>
      <c r="O6" s="19" t="s">
        <v>883</v>
      </c>
      <c r="P6" s="19" t="s">
        <v>884</v>
      </c>
      <c r="Q6" s="19" t="s">
        <v>885</v>
      </c>
      <c r="R6" s="19" t="s">
        <v>886</v>
      </c>
      <c r="S6" s="19" t="s">
        <v>887</v>
      </c>
      <c r="T6" s="19" t="s">
        <v>888</v>
      </c>
      <c r="U6" s="19" t="s">
        <v>889</v>
      </c>
      <c r="V6" s="19" t="s">
        <v>890</v>
      </c>
      <c r="W6" s="19" t="s">
        <v>891</v>
      </c>
      <c r="X6" s="19" t="s">
        <v>892</v>
      </c>
      <c r="Y6" s="19" t="s">
        <v>916</v>
      </c>
      <c r="Z6" s="19" t="s">
        <v>893</v>
      </c>
      <c r="AA6" s="19" t="s">
        <v>894</v>
      </c>
      <c r="AB6" s="19" t="s">
        <v>895</v>
      </c>
      <c r="AC6" s="19" t="s">
        <v>896</v>
      </c>
      <c r="AD6" s="19" t="s">
        <v>897</v>
      </c>
      <c r="AE6" s="19" t="s">
        <v>898</v>
      </c>
      <c r="AF6" s="19" t="s">
        <v>899</v>
      </c>
      <c r="AG6" s="19" t="s">
        <v>900</v>
      </c>
      <c r="AH6" s="19" t="s">
        <v>901</v>
      </c>
      <c r="AI6" s="19" t="s">
        <v>902</v>
      </c>
      <c r="AJ6" s="19" t="s">
        <v>903</v>
      </c>
      <c r="AK6" s="19" t="s">
        <v>904</v>
      </c>
      <c r="AL6" s="19" t="s">
        <v>905</v>
      </c>
      <c r="AM6" s="19" t="s">
        <v>906</v>
      </c>
      <c r="AN6" s="19" t="s">
        <v>907</v>
      </c>
      <c r="AO6" s="19" t="s">
        <v>908</v>
      </c>
      <c r="AP6" s="19" t="s">
        <v>909</v>
      </c>
      <c r="AQ6" s="19" t="s">
        <v>910</v>
      </c>
      <c r="AR6" s="19" t="s">
        <v>911</v>
      </c>
      <c r="AS6" s="19" t="s">
        <v>912</v>
      </c>
      <c r="AT6" s="19" t="s">
        <v>913</v>
      </c>
      <c r="AU6" s="19" t="s">
        <v>914</v>
      </c>
    </row>
    <row r="7" spans="1:47" x14ac:dyDescent="0.35">
      <c r="A7" s="18"/>
      <c r="B7" s="18"/>
      <c r="C7" s="18"/>
      <c r="D7" s="18"/>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row>
    <row r="8" spans="1:47" x14ac:dyDescent="0.35">
      <c r="A8" s="18"/>
      <c r="B8" s="18"/>
      <c r="C8" s="18"/>
      <c r="D8" s="18"/>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row>
    <row r="9" spans="1:47" x14ac:dyDescent="0.35">
      <c r="A9" s="18"/>
      <c r="B9" s="18"/>
      <c r="C9" s="18"/>
      <c r="D9" s="18"/>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row>
    <row r="10" spans="1:47" x14ac:dyDescent="0.35">
      <c r="A10" s="5">
        <v>46022</v>
      </c>
      <c r="B10" s="4" t="s">
        <v>178</v>
      </c>
      <c r="C10" s="4" t="s">
        <v>179</v>
      </c>
      <c r="D10" s="4" t="s">
        <v>102</v>
      </c>
      <c r="E10" s="6">
        <v>39189.333333000002</v>
      </c>
      <c r="F10" s="7">
        <v>0.15340000000000001</v>
      </c>
      <c r="G10" s="6">
        <v>82.32</v>
      </c>
      <c r="H10" s="6">
        <v>49.484999999999999</v>
      </c>
      <c r="I10" s="6">
        <v>97</v>
      </c>
      <c r="J10" s="6">
        <v>48.000773000000002</v>
      </c>
      <c r="K10" s="8">
        <v>81.91</v>
      </c>
      <c r="L10" s="6">
        <v>28.094969462755621</v>
      </c>
      <c r="M10" s="6">
        <v>33.877551607254297</v>
      </c>
      <c r="N10" s="6">
        <v>4.9340148413052889</v>
      </c>
      <c r="O10" s="6">
        <v>96.216400152309575</v>
      </c>
      <c r="P10" s="6">
        <v>163.12293606362479</v>
      </c>
      <c r="Q10" s="6">
        <v>20.643693825986059</v>
      </c>
      <c r="R10" s="6">
        <v>47.922795860241472</v>
      </c>
      <c r="S10" s="6">
        <v>73.797210525315208</v>
      </c>
      <c r="T10" s="6">
        <v>53.598834924907422</v>
      </c>
      <c r="U10" s="6">
        <v>195.96253513645021</v>
      </c>
      <c r="V10" s="6">
        <v>359.08547120007501</v>
      </c>
      <c r="W10" s="6">
        <v>6.3135204031296439</v>
      </c>
      <c r="X10" s="6">
        <v>25.507537926565359</v>
      </c>
      <c r="Y10" s="6">
        <v>-89.896381647319174</v>
      </c>
      <c r="Z10" s="6">
        <v>301.01014788245078</v>
      </c>
      <c r="AA10" s="6">
        <v>0</v>
      </c>
      <c r="AB10" s="6">
        <v>301.01014788245078</v>
      </c>
      <c r="AC10" s="6">
        <v>0</v>
      </c>
      <c r="AD10" s="6">
        <v>31.83812374855815</v>
      </c>
      <c r="AE10" s="6">
        <v>0</v>
      </c>
      <c r="AF10" s="6">
        <v>0</v>
      </c>
      <c r="AG10" s="6">
        <v>332.84827163100891</v>
      </c>
      <c r="AH10" s="6">
        <v>17.009452712859272</v>
      </c>
      <c r="AI10" s="6">
        <v>0</v>
      </c>
      <c r="AJ10" s="6">
        <v>166.2233507965677</v>
      </c>
      <c r="AK10" s="6">
        <v>484.2429513918778</v>
      </c>
      <c r="AL10" s="6">
        <v>39.918103544632679</v>
      </c>
      <c r="AM10" s="6">
        <v>0</v>
      </c>
      <c r="AN10" s="6">
        <v>0</v>
      </c>
      <c r="AO10" s="6">
        <v>0</v>
      </c>
      <c r="AP10" s="6">
        <v>0</v>
      </c>
      <c r="AQ10" s="6">
        <v>524.16105493651037</v>
      </c>
      <c r="AR10" s="6">
        <v>420.00023589398722</v>
      </c>
      <c r="AS10" s="6">
        <v>540.39148899999998</v>
      </c>
      <c r="AT10" s="6">
        <v>118.9900880115364</v>
      </c>
      <c r="AU10" s="6">
        <v>118.9900880115364</v>
      </c>
    </row>
    <row r="11" spans="1:47" x14ac:dyDescent="0.35">
      <c r="A11" s="5">
        <v>46022</v>
      </c>
      <c r="B11" s="4" t="s">
        <v>180</v>
      </c>
      <c r="C11" s="4" t="s">
        <v>181</v>
      </c>
      <c r="D11" s="4" t="s">
        <v>69</v>
      </c>
      <c r="E11" s="6">
        <v>61742</v>
      </c>
      <c r="F11" s="7">
        <v>0.41</v>
      </c>
      <c r="G11" s="6">
        <v>88</v>
      </c>
      <c r="H11" s="6">
        <v>222.76499999999999</v>
      </c>
      <c r="I11" s="6">
        <v>97</v>
      </c>
      <c r="J11" s="6">
        <v>216.08218199999999</v>
      </c>
      <c r="K11" s="8">
        <v>92.403000000000006</v>
      </c>
      <c r="L11" s="6">
        <v>8.9029568963989849</v>
      </c>
      <c r="M11" s="6">
        <v>16.3641558204659</v>
      </c>
      <c r="N11" s="6">
        <v>0.79564261525421009</v>
      </c>
      <c r="O11" s="6">
        <v>14.022706968283989</v>
      </c>
      <c r="P11" s="6">
        <v>40.08546230040308</v>
      </c>
      <c r="Q11" s="6">
        <v>5.3211848163226234</v>
      </c>
      <c r="R11" s="6">
        <v>54.783860876363747</v>
      </c>
      <c r="S11" s="6">
        <v>19.30226211023178</v>
      </c>
      <c r="T11" s="6">
        <v>19.006318154853538</v>
      </c>
      <c r="U11" s="6">
        <v>98.4136259577717</v>
      </c>
      <c r="V11" s="6">
        <v>138.49908825817479</v>
      </c>
      <c r="W11" s="6">
        <v>40.720477377701798</v>
      </c>
      <c r="X11" s="6">
        <v>26.704840995354591</v>
      </c>
      <c r="Y11" s="6">
        <v>-30.25247121857706</v>
      </c>
      <c r="Z11" s="6">
        <v>175.67193541265411</v>
      </c>
      <c r="AA11" s="6">
        <v>31.085360218792111</v>
      </c>
      <c r="AB11" s="6">
        <v>206.7572956314462</v>
      </c>
      <c r="AC11" s="6">
        <v>0</v>
      </c>
      <c r="AD11" s="6">
        <v>41.345135809692813</v>
      </c>
      <c r="AE11" s="6">
        <v>0</v>
      </c>
      <c r="AF11" s="6">
        <v>0</v>
      </c>
      <c r="AG11" s="6">
        <v>248.102431441139</v>
      </c>
      <c r="AH11" s="6">
        <v>43.533998685406821</v>
      </c>
      <c r="AI11" s="6">
        <v>0</v>
      </c>
      <c r="AJ11" s="6">
        <v>14.99016919536483</v>
      </c>
      <c r="AK11" s="6">
        <v>265.2814635122179</v>
      </c>
      <c r="AL11" s="6">
        <v>0</v>
      </c>
      <c r="AM11" s="6">
        <v>1.290610630314861</v>
      </c>
      <c r="AN11" s="6">
        <v>0</v>
      </c>
      <c r="AO11" s="6">
        <v>0</v>
      </c>
      <c r="AP11" s="6">
        <v>0</v>
      </c>
      <c r="AQ11" s="6">
        <v>266.5720741425327</v>
      </c>
      <c r="AR11" s="6">
        <v>420.00003463448053</v>
      </c>
      <c r="AS11" s="6">
        <v>2145.7393609999999</v>
      </c>
      <c r="AT11" s="6">
        <v>244.32809922182639</v>
      </c>
      <c r="AU11" s="6">
        <v>213.24273900303419</v>
      </c>
    </row>
    <row r="12" spans="1:47" x14ac:dyDescent="0.35">
      <c r="A12" s="5">
        <v>46022</v>
      </c>
      <c r="B12" s="4" t="s">
        <v>67</v>
      </c>
      <c r="C12" s="4" t="s">
        <v>68</v>
      </c>
      <c r="D12" s="4" t="s">
        <v>69</v>
      </c>
      <c r="E12" s="6">
        <v>7128</v>
      </c>
      <c r="F12" s="7">
        <v>0.23</v>
      </c>
      <c r="G12" s="6">
        <v>91.49</v>
      </c>
      <c r="H12" s="6">
        <v>15</v>
      </c>
      <c r="I12" s="6">
        <v>100</v>
      </c>
      <c r="J12" s="6">
        <v>15</v>
      </c>
      <c r="K12" s="8">
        <v>100</v>
      </c>
      <c r="L12" s="6">
        <v>14.257750532216081</v>
      </c>
      <c r="M12" s="6">
        <v>23.150038130880091</v>
      </c>
      <c r="N12" s="6">
        <v>0.31198286417981758</v>
      </c>
      <c r="O12" s="6">
        <v>8.4390782783486262</v>
      </c>
      <c r="P12" s="6">
        <v>46.158849805624619</v>
      </c>
      <c r="Q12" s="6">
        <v>14.003167859228119</v>
      </c>
      <c r="R12" s="6">
        <v>16.310405510511231</v>
      </c>
      <c r="S12" s="6">
        <v>25.58494432607208</v>
      </c>
      <c r="T12" s="6">
        <v>9.6546561162248725</v>
      </c>
      <c r="U12" s="6">
        <v>65.553173812036306</v>
      </c>
      <c r="V12" s="6">
        <v>111.7120236176609</v>
      </c>
      <c r="W12" s="6">
        <v>0</v>
      </c>
      <c r="X12" s="6">
        <v>0</v>
      </c>
      <c r="Y12" s="6">
        <v>0</v>
      </c>
      <c r="Z12" s="6">
        <v>111.7120236176609</v>
      </c>
      <c r="AA12" s="6">
        <v>28.985039901846388</v>
      </c>
      <c r="AB12" s="6">
        <v>140.69706351950731</v>
      </c>
      <c r="AC12" s="6">
        <v>0</v>
      </c>
      <c r="AD12" s="6">
        <v>58.593546124312951</v>
      </c>
      <c r="AE12" s="6">
        <v>0</v>
      </c>
      <c r="AF12" s="6">
        <v>0</v>
      </c>
      <c r="AG12" s="6">
        <v>199.29060964382029</v>
      </c>
      <c r="AH12" s="6">
        <v>23.422769869201719</v>
      </c>
      <c r="AI12" s="6">
        <v>0</v>
      </c>
      <c r="AJ12" s="6">
        <v>21.204466948995421</v>
      </c>
      <c r="AK12" s="6">
        <v>185.3243003377045</v>
      </c>
      <c r="AL12" s="6">
        <v>0</v>
      </c>
      <c r="AM12" s="6">
        <v>3.1752673544325889</v>
      </c>
      <c r="AN12" s="6">
        <v>0</v>
      </c>
      <c r="AO12" s="6">
        <v>0</v>
      </c>
      <c r="AP12" s="6">
        <v>0</v>
      </c>
      <c r="AQ12" s="6">
        <v>188.49956769213699</v>
      </c>
      <c r="AR12" s="6">
        <v>419.99999964779192</v>
      </c>
      <c r="AS12" s="6">
        <v>138.89122499999999</v>
      </c>
      <c r="AT12" s="6">
        <v>308.28797603013101</v>
      </c>
      <c r="AU12" s="6">
        <v>279.30293612828461</v>
      </c>
    </row>
    <row r="13" spans="1:47" x14ac:dyDescent="0.35">
      <c r="A13" s="5">
        <v>46022</v>
      </c>
      <c r="B13" s="4" t="s">
        <v>70</v>
      </c>
      <c r="C13" s="4" t="s">
        <v>71</v>
      </c>
      <c r="D13" s="4" t="s">
        <v>61</v>
      </c>
      <c r="E13" s="6">
        <v>165</v>
      </c>
      <c r="F13" s="7">
        <v>0.20699999999999999</v>
      </c>
      <c r="G13" s="6">
        <v>85</v>
      </c>
      <c r="H13" s="6">
        <v>0.28999999999999998</v>
      </c>
      <c r="I13" s="6">
        <v>97</v>
      </c>
      <c r="J13" s="6">
        <v>0.28160800000000002</v>
      </c>
      <c r="K13" s="8">
        <v>43.88</v>
      </c>
      <c r="L13" s="6">
        <v>85.287445174140259</v>
      </c>
      <c r="M13" s="6">
        <v>0</v>
      </c>
      <c r="N13" s="6">
        <v>22.37822089240996</v>
      </c>
      <c r="O13" s="6">
        <v>143.28530725715541</v>
      </c>
      <c r="P13" s="6">
        <v>250.9509733237056</v>
      </c>
      <c r="Q13" s="6">
        <v>92.325944551280386</v>
      </c>
      <c r="R13" s="6">
        <v>47.39640726759017</v>
      </c>
      <c r="S13" s="6">
        <v>74.695823820189617</v>
      </c>
      <c r="T13" s="6">
        <v>66.395903951282165</v>
      </c>
      <c r="U13" s="6">
        <v>280.81407959034232</v>
      </c>
      <c r="V13" s="6">
        <v>531.76505291404794</v>
      </c>
      <c r="W13" s="6">
        <v>35.65280254570694</v>
      </c>
      <c r="X13" s="6">
        <v>26.704772145450409</v>
      </c>
      <c r="Y13" s="6">
        <v>-458.70793555109708</v>
      </c>
      <c r="Z13" s="6">
        <v>135.4146920541082</v>
      </c>
      <c r="AA13" s="6">
        <v>198.67381667602859</v>
      </c>
      <c r="AB13" s="6">
        <v>334.08850873013682</v>
      </c>
      <c r="AC13" s="6">
        <v>0</v>
      </c>
      <c r="AD13" s="6">
        <v>104.1646614355534</v>
      </c>
      <c r="AE13" s="6">
        <v>0</v>
      </c>
      <c r="AF13" s="6">
        <v>0</v>
      </c>
      <c r="AG13" s="6">
        <v>438.25317016569022</v>
      </c>
      <c r="AH13" s="6">
        <v>59.736019417824863</v>
      </c>
      <c r="AI13" s="6">
        <v>0</v>
      </c>
      <c r="AJ13" s="6">
        <v>28.7479651585301</v>
      </c>
      <c r="AK13" s="6">
        <v>422.57249330649182</v>
      </c>
      <c r="AL13" s="6">
        <v>0</v>
      </c>
      <c r="AM13" s="6">
        <v>0</v>
      </c>
      <c r="AN13" s="6">
        <v>0</v>
      </c>
      <c r="AO13" s="6">
        <v>0</v>
      </c>
      <c r="AP13" s="6">
        <v>0</v>
      </c>
      <c r="AQ13" s="6">
        <v>422.57249330649182</v>
      </c>
      <c r="AR13" s="6">
        <v>419.98806816858257</v>
      </c>
      <c r="AS13" s="6">
        <v>8.148695</v>
      </c>
      <c r="AT13" s="6">
        <v>284.57337611447429</v>
      </c>
      <c r="AU13" s="6">
        <v>85.899559438445721</v>
      </c>
    </row>
    <row r="14" spans="1:47" x14ac:dyDescent="0.35">
      <c r="A14" s="5">
        <v>46022</v>
      </c>
      <c r="B14" s="4" t="s">
        <v>72</v>
      </c>
      <c r="C14" s="4" t="s">
        <v>73</v>
      </c>
      <c r="D14" s="4" t="s">
        <v>74</v>
      </c>
      <c r="E14" s="6">
        <v>500</v>
      </c>
      <c r="F14" s="7">
        <v>2.0768</v>
      </c>
      <c r="G14" s="6">
        <v>80</v>
      </c>
      <c r="H14" s="6">
        <v>8.3070000000000004</v>
      </c>
      <c r="I14" s="6">
        <v>95.416667000000004</v>
      </c>
      <c r="J14" s="6">
        <v>7.9265030000000003</v>
      </c>
      <c r="K14" s="8">
        <v>59.055999999999997</v>
      </c>
      <c r="L14" s="6">
        <v>33.891320071379333</v>
      </c>
      <c r="M14" s="6">
        <v>3.6301510386079459</v>
      </c>
      <c r="N14" s="6">
        <v>2.1681237836791958</v>
      </c>
      <c r="O14" s="6">
        <v>17.65839893048069</v>
      </c>
      <c r="P14" s="6">
        <v>57.347993824147167</v>
      </c>
      <c r="Q14" s="6">
        <v>16.914685694284412</v>
      </c>
      <c r="R14" s="6">
        <v>8.5080540142842302</v>
      </c>
      <c r="S14" s="6">
        <v>20.172103145080051</v>
      </c>
      <c r="T14" s="6">
        <v>16.686129933215501</v>
      </c>
      <c r="U14" s="6">
        <v>62.280972786864197</v>
      </c>
      <c r="V14" s="6">
        <v>119.62896661101141</v>
      </c>
      <c r="W14" s="6">
        <v>14.53910587150242</v>
      </c>
      <c r="X14" s="6">
        <v>15.84599866952173</v>
      </c>
      <c r="Y14" s="6">
        <v>-272.38183413756661</v>
      </c>
      <c r="Z14" s="6">
        <v>-122.3677629855311</v>
      </c>
      <c r="AA14" s="6">
        <v>0</v>
      </c>
      <c r="AB14" s="6">
        <v>-122.3677629855311</v>
      </c>
      <c r="AC14" s="6">
        <v>0</v>
      </c>
      <c r="AD14" s="6">
        <v>46.800646167619497</v>
      </c>
      <c r="AE14" s="6">
        <v>0</v>
      </c>
      <c r="AF14" s="6">
        <v>0</v>
      </c>
      <c r="AG14" s="6">
        <v>-75.567116817911568</v>
      </c>
      <c r="AH14" s="6">
        <v>17.9190606529286</v>
      </c>
      <c r="AI14" s="6">
        <v>0</v>
      </c>
      <c r="AJ14" s="6">
        <v>31.794412523215971</v>
      </c>
      <c r="AK14" s="6">
        <v>-72.654289809386512</v>
      </c>
      <c r="AL14" s="6">
        <v>0</v>
      </c>
      <c r="AM14" s="6">
        <v>0</v>
      </c>
      <c r="AN14" s="6">
        <v>0</v>
      </c>
      <c r="AO14" s="6">
        <v>0</v>
      </c>
      <c r="AP14" s="6">
        <v>0</v>
      </c>
      <c r="AQ14" s="6">
        <v>-72.654289809386512</v>
      </c>
      <c r="AR14" s="6">
        <v>419.99984068740309</v>
      </c>
      <c r="AS14" s="6">
        <v>133.017865</v>
      </c>
      <c r="AT14" s="6">
        <v>542.36760367293425</v>
      </c>
      <c r="AU14" s="6">
        <v>542.36760367293425</v>
      </c>
    </row>
    <row r="15" spans="1:47" x14ac:dyDescent="0.35">
      <c r="A15" s="5">
        <v>46022</v>
      </c>
      <c r="B15" s="4" t="s">
        <v>164</v>
      </c>
      <c r="C15" s="4" t="s">
        <v>165</v>
      </c>
      <c r="D15" s="4" t="s">
        <v>105</v>
      </c>
      <c r="E15" s="6">
        <v>2893.0366789999998</v>
      </c>
      <c r="F15" s="7">
        <v>1.2999999999999999E-2</v>
      </c>
      <c r="G15" s="6">
        <v>47.25</v>
      </c>
      <c r="H15" s="6">
        <v>0.17799999999999999</v>
      </c>
      <c r="I15" s="6">
        <v>100</v>
      </c>
      <c r="J15" s="6">
        <v>0.177705</v>
      </c>
      <c r="K15" s="8">
        <v>0.23899999999999999</v>
      </c>
      <c r="L15" s="6">
        <v>67955.779265815916</v>
      </c>
      <c r="M15" s="6">
        <v>5479.1105896665131</v>
      </c>
      <c r="N15" s="6">
        <v>7897.8791889718977</v>
      </c>
      <c r="O15" s="6">
        <v>7574.9506244563872</v>
      </c>
      <c r="P15" s="6">
        <v>88907.719668910708</v>
      </c>
      <c r="Q15" s="6">
        <v>18345.60522398277</v>
      </c>
      <c r="R15" s="6">
        <v>3630.6196851512191</v>
      </c>
      <c r="S15" s="6">
        <v>15905.43344221308</v>
      </c>
      <c r="T15" s="6">
        <v>1823.6251384678019</v>
      </c>
      <c r="U15" s="6">
        <v>39705.283489814872</v>
      </c>
      <c r="V15" s="6">
        <v>128613.00315872559</v>
      </c>
      <c r="W15" s="6">
        <v>160.94205676534079</v>
      </c>
      <c r="X15" s="6">
        <v>511.95336000438931</v>
      </c>
      <c r="Y15" s="6">
        <v>-125347.1575409639</v>
      </c>
      <c r="Z15" s="6">
        <v>3938.7410345313729</v>
      </c>
      <c r="AA15" s="6">
        <v>1645.5254826640789</v>
      </c>
      <c r="AB15" s="6">
        <v>5584.2665171954523</v>
      </c>
      <c r="AC15" s="6">
        <v>0</v>
      </c>
      <c r="AD15" s="6">
        <v>22412.474256654161</v>
      </c>
      <c r="AE15" s="6">
        <v>0</v>
      </c>
      <c r="AF15" s="6">
        <v>0</v>
      </c>
      <c r="AG15" s="6">
        <v>27996.740773849619</v>
      </c>
      <c r="AH15" s="6">
        <v>3273.038700668832</v>
      </c>
      <c r="AI15" s="6">
        <v>540.17116190747674</v>
      </c>
      <c r="AJ15" s="6">
        <v>18362.927741725242</v>
      </c>
      <c r="AK15" s="6">
        <v>27760.404121496998</v>
      </c>
      <c r="AL15" s="6">
        <v>0</v>
      </c>
      <c r="AM15" s="6">
        <v>0</v>
      </c>
      <c r="AN15" s="6">
        <v>0</v>
      </c>
      <c r="AO15" s="6">
        <v>0</v>
      </c>
      <c r="AP15" s="6">
        <v>0</v>
      </c>
      <c r="AQ15" s="6">
        <v>27760.404121496998</v>
      </c>
      <c r="AR15" s="6">
        <v>419.9881823100792</v>
      </c>
      <c r="AS15" s="6">
        <v>671.15455799999995</v>
      </c>
      <c r="AT15" s="6">
        <v>-3518.7528522212938</v>
      </c>
      <c r="AU15" s="6">
        <v>-5164.2783348853727</v>
      </c>
    </row>
    <row r="16" spans="1:47" x14ac:dyDescent="0.35">
      <c r="A16" s="5">
        <v>46022</v>
      </c>
      <c r="B16" s="4" t="s">
        <v>166</v>
      </c>
      <c r="C16" s="4" t="s">
        <v>167</v>
      </c>
      <c r="D16" s="4" t="s">
        <v>61</v>
      </c>
      <c r="E16" s="6">
        <v>200</v>
      </c>
      <c r="F16" s="7">
        <v>0.78</v>
      </c>
      <c r="G16" s="6">
        <v>89</v>
      </c>
      <c r="H16" s="6">
        <v>1.3879999999999999</v>
      </c>
      <c r="I16" s="6">
        <v>97</v>
      </c>
      <c r="J16" s="6">
        <v>1.346797</v>
      </c>
      <c r="K16" s="8">
        <v>77.126000000000005</v>
      </c>
      <c r="L16" s="6">
        <v>47.335352194370643</v>
      </c>
      <c r="M16" s="6">
        <v>3.011135266281407</v>
      </c>
      <c r="N16" s="6">
        <v>7.0388477966998728</v>
      </c>
      <c r="O16" s="6">
        <v>34.537943114319233</v>
      </c>
      <c r="P16" s="6">
        <v>91.923278371671145</v>
      </c>
      <c r="Q16" s="6">
        <v>5.81696799854722</v>
      </c>
      <c r="R16" s="6">
        <v>7.4099335246257603</v>
      </c>
      <c r="S16" s="6">
        <v>13.04883210523813</v>
      </c>
      <c r="T16" s="6">
        <v>32.338789844344909</v>
      </c>
      <c r="U16" s="6">
        <v>58.614523472756019</v>
      </c>
      <c r="V16" s="6">
        <v>150.53780184442721</v>
      </c>
      <c r="W16" s="6">
        <v>7.6741285645102408</v>
      </c>
      <c r="X16" s="6">
        <v>25.004313530885501</v>
      </c>
      <c r="Y16" s="6">
        <v>-121.0652170005115</v>
      </c>
      <c r="Z16" s="6">
        <v>62.151026939311407</v>
      </c>
      <c r="AA16" s="6">
        <v>57.739161221965908</v>
      </c>
      <c r="AB16" s="6">
        <v>119.89018816127729</v>
      </c>
      <c r="AC16" s="6">
        <v>0</v>
      </c>
      <c r="AD16" s="6">
        <v>13.803848862194521</v>
      </c>
      <c r="AE16" s="6">
        <v>0</v>
      </c>
      <c r="AF16" s="6">
        <v>0</v>
      </c>
      <c r="AG16" s="6">
        <v>133.69403702347179</v>
      </c>
      <c r="AH16" s="6">
        <v>19.277786024845611</v>
      </c>
      <c r="AI16" s="6">
        <v>0</v>
      </c>
      <c r="AJ16" s="6">
        <v>13.803848862194521</v>
      </c>
      <c r="AK16" s="6">
        <v>152.9718230483175</v>
      </c>
      <c r="AL16" s="6">
        <v>0</v>
      </c>
      <c r="AM16" s="6">
        <v>0</v>
      </c>
      <c r="AN16" s="6">
        <v>0</v>
      </c>
      <c r="AO16" s="6">
        <v>0</v>
      </c>
      <c r="AP16" s="6">
        <v>0</v>
      </c>
      <c r="AQ16" s="6">
        <v>152.9718230483175</v>
      </c>
      <c r="AR16" s="6">
        <v>420.0009352008106</v>
      </c>
      <c r="AS16" s="6">
        <v>16.110834000000001</v>
      </c>
      <c r="AT16" s="6">
        <v>357.84990826149919</v>
      </c>
      <c r="AU16" s="6">
        <v>300.11074703953329</v>
      </c>
    </row>
    <row r="17" spans="1:47" x14ac:dyDescent="0.35">
      <c r="A17" s="5">
        <v>46022</v>
      </c>
      <c r="B17" s="4" t="s">
        <v>168</v>
      </c>
      <c r="C17" s="4" t="s">
        <v>169</v>
      </c>
      <c r="D17" s="4" t="s">
        <v>58</v>
      </c>
      <c r="E17" s="6">
        <v>32000</v>
      </c>
      <c r="F17" s="7">
        <v>0.75</v>
      </c>
      <c r="G17" s="6">
        <v>70.33</v>
      </c>
      <c r="H17" s="6">
        <v>168.8</v>
      </c>
      <c r="I17" s="6">
        <v>98</v>
      </c>
      <c r="J17" s="6">
        <v>165.42400000000001</v>
      </c>
      <c r="K17" s="8">
        <v>91.680999999999997</v>
      </c>
      <c r="L17" s="6">
        <v>29.801935633318891</v>
      </c>
      <c r="M17" s="6">
        <v>35.913565258545702</v>
      </c>
      <c r="N17" s="6">
        <v>1.579715823922816</v>
      </c>
      <c r="O17" s="6">
        <v>17.547816834257279</v>
      </c>
      <c r="P17" s="6">
        <v>84.84303355004468</v>
      </c>
      <c r="Q17" s="6">
        <v>11.348294090348</v>
      </c>
      <c r="R17" s="6">
        <v>25.816271817397428</v>
      </c>
      <c r="S17" s="6">
        <v>41.373213433867292</v>
      </c>
      <c r="T17" s="6">
        <v>9.8949822065010142</v>
      </c>
      <c r="U17" s="6">
        <v>88.432761548113746</v>
      </c>
      <c r="V17" s="6">
        <v>173.2757950981584</v>
      </c>
      <c r="W17" s="6">
        <v>0.40264825227137829</v>
      </c>
      <c r="X17" s="6">
        <v>19.410094350721391</v>
      </c>
      <c r="Y17" s="6">
        <v>-36.686603185351899</v>
      </c>
      <c r="Z17" s="6">
        <v>156.4019345157993</v>
      </c>
      <c r="AA17" s="6">
        <v>18.900262075874458</v>
      </c>
      <c r="AB17" s="6">
        <v>175.30219659167381</v>
      </c>
      <c r="AC17" s="6">
        <v>0</v>
      </c>
      <c r="AD17" s="6">
        <v>46.70965154903724</v>
      </c>
      <c r="AE17" s="6">
        <v>0</v>
      </c>
      <c r="AF17" s="6">
        <v>0</v>
      </c>
      <c r="AG17" s="6">
        <v>222.01184814071101</v>
      </c>
      <c r="AH17" s="6">
        <v>18.065716748115101</v>
      </c>
      <c r="AI17" s="6">
        <v>0</v>
      </c>
      <c r="AJ17" s="6">
        <v>20.582327414849019</v>
      </c>
      <c r="AK17" s="6">
        <v>213.95024075463789</v>
      </c>
      <c r="AL17" s="6">
        <v>0</v>
      </c>
      <c r="AM17" s="6">
        <v>0</v>
      </c>
      <c r="AN17" s="6">
        <v>0</v>
      </c>
      <c r="AO17" s="6">
        <v>0</v>
      </c>
      <c r="AP17" s="6">
        <v>87.819957773651979</v>
      </c>
      <c r="AQ17" s="6">
        <v>301.77019852828982</v>
      </c>
      <c r="AR17" s="6">
        <v>419.99999964779192</v>
      </c>
      <c r="AS17" s="6">
        <v>1672.2048749999999</v>
      </c>
      <c r="AT17" s="6">
        <v>263.5980651319926</v>
      </c>
      <c r="AU17" s="6">
        <v>244.6978030561182</v>
      </c>
    </row>
    <row r="18" spans="1:47" x14ac:dyDescent="0.35">
      <c r="A18" s="5">
        <v>46022</v>
      </c>
      <c r="B18" s="4" t="s">
        <v>75</v>
      </c>
      <c r="C18" s="4" t="s">
        <v>76</v>
      </c>
      <c r="D18" s="4" t="s">
        <v>61</v>
      </c>
      <c r="E18" s="6">
        <v>1024.48</v>
      </c>
      <c r="F18" s="7">
        <v>0.63990000000000002</v>
      </c>
      <c r="G18" s="6">
        <v>90</v>
      </c>
      <c r="H18" s="6">
        <v>5.9</v>
      </c>
      <c r="I18" s="6">
        <v>97</v>
      </c>
      <c r="J18" s="6">
        <v>5.7229999999999999</v>
      </c>
      <c r="K18" s="8">
        <v>100</v>
      </c>
      <c r="L18" s="6">
        <v>73.952163108024664</v>
      </c>
      <c r="M18" s="6">
        <v>11.78961255710089</v>
      </c>
      <c r="N18" s="6">
        <v>31.962736519813369</v>
      </c>
      <c r="O18" s="6">
        <v>45.344666344480643</v>
      </c>
      <c r="P18" s="6">
        <v>163.04917852941961</v>
      </c>
      <c r="Q18" s="6">
        <v>10.27113376500343</v>
      </c>
      <c r="R18" s="6">
        <v>15.692006407523429</v>
      </c>
      <c r="S18" s="6">
        <v>22.856760829388751</v>
      </c>
      <c r="T18" s="6">
        <v>31.580251842904271</v>
      </c>
      <c r="U18" s="6">
        <v>80.400152844819871</v>
      </c>
      <c r="V18" s="6">
        <v>243.44933137423939</v>
      </c>
      <c r="W18" s="6">
        <v>2.9842543667796049</v>
      </c>
      <c r="X18" s="6">
        <v>25.817152677966099</v>
      </c>
      <c r="Y18" s="6">
        <v>3.2205058270000001E-15</v>
      </c>
      <c r="Z18" s="6">
        <v>272.25073841898518</v>
      </c>
      <c r="AA18" s="6">
        <v>43.101884137306669</v>
      </c>
      <c r="AB18" s="6">
        <v>315.35262255629181</v>
      </c>
      <c r="AC18" s="6">
        <v>0</v>
      </c>
      <c r="AD18" s="6">
        <v>9.7461616490661491</v>
      </c>
      <c r="AE18" s="6">
        <v>0</v>
      </c>
      <c r="AF18" s="6">
        <v>0</v>
      </c>
      <c r="AG18" s="6">
        <v>325.09878420535802</v>
      </c>
      <c r="AH18" s="6">
        <v>24.080102080421941</v>
      </c>
      <c r="AI18" s="6">
        <v>0</v>
      </c>
      <c r="AJ18" s="6">
        <v>13.466598429176679</v>
      </c>
      <c r="AK18" s="6">
        <v>352.89932306589043</v>
      </c>
      <c r="AL18" s="6">
        <v>0</v>
      </c>
      <c r="AM18" s="6">
        <v>0</v>
      </c>
      <c r="AN18" s="6">
        <v>0</v>
      </c>
      <c r="AO18" s="6">
        <v>0</v>
      </c>
      <c r="AP18" s="6">
        <v>0</v>
      </c>
      <c r="AQ18" s="6">
        <v>352.89932306589043</v>
      </c>
      <c r="AR18" s="6">
        <v>419.99999964779192</v>
      </c>
      <c r="AS18" s="6">
        <v>52.991632000000003</v>
      </c>
      <c r="AT18" s="6">
        <v>147.7492612288068</v>
      </c>
      <c r="AU18" s="6">
        <v>104.6473770915001</v>
      </c>
    </row>
    <row r="19" spans="1:47" x14ac:dyDescent="0.35">
      <c r="A19" s="5">
        <v>46022</v>
      </c>
      <c r="B19" s="4" t="s">
        <v>48</v>
      </c>
      <c r="C19" s="4" t="s">
        <v>49</v>
      </c>
      <c r="D19" s="4" t="s">
        <v>50</v>
      </c>
      <c r="E19" s="6">
        <v>49000</v>
      </c>
      <c r="F19" s="7">
        <v>0.91</v>
      </c>
      <c r="G19" s="6">
        <v>85</v>
      </c>
      <c r="H19" s="6">
        <v>379.01499999999999</v>
      </c>
      <c r="I19" s="6">
        <v>97</v>
      </c>
      <c r="J19" s="6">
        <v>367.64454999999998</v>
      </c>
      <c r="K19" s="8">
        <v>71.721000000000004</v>
      </c>
      <c r="L19" s="6">
        <v>3.2902684114932121</v>
      </c>
      <c r="M19" s="6">
        <v>31.92018428226244</v>
      </c>
      <c r="N19" s="6">
        <v>0.75837425628959265</v>
      </c>
      <c r="O19" s="6">
        <v>32.163867117013567</v>
      </c>
      <c r="P19" s="6">
        <v>68.132694067058821</v>
      </c>
      <c r="Q19" s="6">
        <v>1.151871131131222</v>
      </c>
      <c r="R19" s="6">
        <v>21.156993741628959</v>
      </c>
      <c r="S19" s="6">
        <v>9.3200220563800915</v>
      </c>
      <c r="T19" s="6">
        <v>25.88697864524887</v>
      </c>
      <c r="U19" s="6">
        <v>57.515865574389139</v>
      </c>
      <c r="V19" s="6">
        <v>125.648559641448</v>
      </c>
      <c r="W19" s="6">
        <v>7.9650808481475002</v>
      </c>
      <c r="X19" s="6">
        <v>21.360601088007421</v>
      </c>
      <c r="Y19" s="6">
        <v>-155.58271305654949</v>
      </c>
      <c r="Z19" s="6">
        <v>-0.60847147894660403</v>
      </c>
      <c r="AA19" s="6">
        <v>13.22016765519092</v>
      </c>
      <c r="AB19" s="6">
        <v>12.611696176244321</v>
      </c>
      <c r="AC19" s="6">
        <v>0</v>
      </c>
      <c r="AD19" s="6">
        <v>120.70248970352939</v>
      </c>
      <c r="AE19" s="6">
        <v>0</v>
      </c>
      <c r="AF19" s="6">
        <v>0</v>
      </c>
      <c r="AG19" s="6">
        <v>133.3141858797737</v>
      </c>
      <c r="AH19" s="6">
        <v>5.5745380526696833</v>
      </c>
      <c r="AI19" s="6">
        <v>0</v>
      </c>
      <c r="AJ19" s="6">
        <v>94.145631129049775</v>
      </c>
      <c r="AK19" s="6">
        <v>112.33186535796381</v>
      </c>
      <c r="AL19" s="6">
        <v>2.1591152786425338</v>
      </c>
      <c r="AM19" s="6">
        <v>0</v>
      </c>
      <c r="AN19" s="6">
        <v>0</v>
      </c>
      <c r="AO19" s="6">
        <v>0</v>
      </c>
      <c r="AP19" s="6">
        <v>0</v>
      </c>
      <c r="AQ19" s="6">
        <v>114.4909806366063</v>
      </c>
      <c r="AR19" s="6">
        <v>420.00005676818171</v>
      </c>
      <c r="AS19" s="6">
        <v>4853.8184149999997</v>
      </c>
      <c r="AT19" s="6">
        <v>420.60852824712828</v>
      </c>
      <c r="AU19" s="6">
        <v>407.38836059193738</v>
      </c>
    </row>
    <row r="20" spans="1:47" x14ac:dyDescent="0.35">
      <c r="A20" s="5">
        <v>46022</v>
      </c>
      <c r="B20" s="4" t="s">
        <v>51</v>
      </c>
      <c r="C20" s="4" t="s">
        <v>52</v>
      </c>
      <c r="D20" s="4" t="s">
        <v>50</v>
      </c>
      <c r="E20" s="6">
        <v>42000</v>
      </c>
      <c r="F20" s="7">
        <v>0.38</v>
      </c>
      <c r="G20" s="6">
        <v>90</v>
      </c>
      <c r="H20" s="6">
        <v>143.63999999999999</v>
      </c>
      <c r="I20" s="6">
        <v>96.5</v>
      </c>
      <c r="J20" s="6">
        <v>138.61259999999999</v>
      </c>
      <c r="K20" s="8">
        <v>92.986000000000004</v>
      </c>
      <c r="L20" s="6">
        <v>20.435461212762171</v>
      </c>
      <c r="M20" s="6">
        <v>21.259027615669179</v>
      </c>
      <c r="N20" s="6">
        <v>12.30198362949853</v>
      </c>
      <c r="O20" s="6">
        <v>49.857131124270822</v>
      </c>
      <c r="P20" s="6">
        <v>103.85360358220071</v>
      </c>
      <c r="Q20" s="6">
        <v>5.6220962118543767</v>
      </c>
      <c r="R20" s="6">
        <v>12.96343986047723</v>
      </c>
      <c r="S20" s="6">
        <v>58.696196838645577</v>
      </c>
      <c r="T20" s="6">
        <v>19.41116407132079</v>
      </c>
      <c r="U20" s="6">
        <v>96.692896982297981</v>
      </c>
      <c r="V20" s="6">
        <v>200.5465005644987</v>
      </c>
      <c r="W20" s="6">
        <v>15.19976431857873</v>
      </c>
      <c r="X20" s="6">
        <v>21.429825906735751</v>
      </c>
      <c r="Y20" s="6">
        <v>-55.033185845021393</v>
      </c>
      <c r="Z20" s="6">
        <v>182.14290494479181</v>
      </c>
      <c r="AA20" s="6">
        <v>5.10255719287498</v>
      </c>
      <c r="AB20" s="6">
        <v>187.24546213766681</v>
      </c>
      <c r="AC20" s="6">
        <v>0</v>
      </c>
      <c r="AD20" s="6">
        <v>182.46637164369909</v>
      </c>
      <c r="AE20" s="6">
        <v>0</v>
      </c>
      <c r="AF20" s="6">
        <v>0</v>
      </c>
      <c r="AG20" s="6">
        <v>369.71183378136578</v>
      </c>
      <c r="AH20" s="6">
        <v>13.74397388116232</v>
      </c>
      <c r="AI20" s="6">
        <v>0</v>
      </c>
      <c r="AJ20" s="6">
        <v>150.5292384005385</v>
      </c>
      <c r="AK20" s="6">
        <v>351.51867441936753</v>
      </c>
      <c r="AL20" s="6">
        <v>16.36187105015059</v>
      </c>
      <c r="AM20" s="6">
        <v>0</v>
      </c>
      <c r="AN20" s="6">
        <v>0</v>
      </c>
      <c r="AO20" s="6">
        <v>0</v>
      </c>
      <c r="AP20" s="6">
        <v>0</v>
      </c>
      <c r="AQ20" s="6">
        <v>367.8805454695181</v>
      </c>
      <c r="AR20" s="6">
        <v>419.99999964779198</v>
      </c>
      <c r="AS20" s="6">
        <v>1453.046484</v>
      </c>
      <c r="AT20" s="6">
        <v>237.8570947030002</v>
      </c>
      <c r="AU20" s="6">
        <v>232.7545375101252</v>
      </c>
    </row>
    <row r="21" spans="1:47" x14ac:dyDescent="0.35">
      <c r="A21" s="5">
        <v>46022</v>
      </c>
      <c r="B21" s="4" t="s">
        <v>53</v>
      </c>
      <c r="C21" s="4" t="s">
        <v>54</v>
      </c>
      <c r="D21" s="4" t="s">
        <v>55</v>
      </c>
      <c r="E21" s="6">
        <v>950</v>
      </c>
      <c r="F21" s="7">
        <v>1.9317</v>
      </c>
      <c r="G21" s="6">
        <v>94</v>
      </c>
      <c r="H21" s="6">
        <v>17.25</v>
      </c>
      <c r="I21" s="6">
        <v>97</v>
      </c>
      <c r="J21" s="6">
        <v>16.732810000000001</v>
      </c>
      <c r="K21" s="8">
        <v>85.552000000000007</v>
      </c>
      <c r="L21" s="6">
        <v>32.639535460917372</v>
      </c>
      <c r="M21" s="6">
        <v>28.238432665496319</v>
      </c>
      <c r="N21" s="6">
        <v>4.2898414202198429</v>
      </c>
      <c r="O21" s="6">
        <v>27.030516401863249</v>
      </c>
      <c r="P21" s="6">
        <v>92.198325948496773</v>
      </c>
      <c r="Q21" s="6">
        <v>20.553069397587549</v>
      </c>
      <c r="R21" s="6">
        <v>7.1046275101982621</v>
      </c>
      <c r="S21" s="6">
        <v>9.5048848870797844</v>
      </c>
      <c r="T21" s="6">
        <v>17.36501792695481</v>
      </c>
      <c r="U21" s="6">
        <v>54.527599721820408</v>
      </c>
      <c r="V21" s="6">
        <v>146.7259256703172</v>
      </c>
      <c r="W21" s="6">
        <v>19.612630988777209</v>
      </c>
      <c r="X21" s="6">
        <v>23.26652688300554</v>
      </c>
      <c r="Y21" s="6">
        <v>-68.788861298085351</v>
      </c>
      <c r="Z21" s="6">
        <v>120.8162222440146</v>
      </c>
      <c r="AA21" s="6">
        <v>40.575109818733019</v>
      </c>
      <c r="AB21" s="6">
        <v>161.39133206274761</v>
      </c>
      <c r="AC21" s="6">
        <v>3.2773536349659609</v>
      </c>
      <c r="AD21" s="6">
        <v>127.9507875019021</v>
      </c>
      <c r="AE21" s="6">
        <v>0</v>
      </c>
      <c r="AF21" s="6">
        <v>0</v>
      </c>
      <c r="AG21" s="6">
        <v>292.61947319961558</v>
      </c>
      <c r="AH21" s="6">
        <v>7.6699323318795631</v>
      </c>
      <c r="AI21" s="6">
        <v>0</v>
      </c>
      <c r="AJ21" s="6">
        <v>32.75368627373954</v>
      </c>
      <c r="AK21" s="6">
        <v>205.0923043033327</v>
      </c>
      <c r="AL21" s="6">
        <v>16.264775706432051</v>
      </c>
      <c r="AM21" s="6">
        <v>0</v>
      </c>
      <c r="AN21" s="6">
        <v>0</v>
      </c>
      <c r="AO21" s="6">
        <v>0</v>
      </c>
      <c r="AP21" s="6">
        <v>0</v>
      </c>
      <c r="AQ21" s="6">
        <v>221.3570800097647</v>
      </c>
      <c r="AR21" s="6">
        <v>419.99974864392613</v>
      </c>
      <c r="AS21" s="6">
        <v>180.31735599999999</v>
      </c>
      <c r="AT21" s="6">
        <v>299.1835263999115</v>
      </c>
      <c r="AU21" s="6">
        <v>258.60841658117852</v>
      </c>
    </row>
    <row r="22" spans="1:47" x14ac:dyDescent="0.35">
      <c r="A22" s="5">
        <v>46022</v>
      </c>
      <c r="B22" s="4" t="s">
        <v>56</v>
      </c>
      <c r="C22" s="4" t="s">
        <v>57</v>
      </c>
      <c r="D22" s="4" t="s">
        <v>58</v>
      </c>
      <c r="E22" s="6">
        <v>32000</v>
      </c>
      <c r="F22" s="7">
        <v>0.35</v>
      </c>
      <c r="G22" s="6">
        <v>69</v>
      </c>
      <c r="H22" s="6">
        <v>77.28</v>
      </c>
      <c r="I22" s="6">
        <v>100</v>
      </c>
      <c r="J22" s="6">
        <v>77.28</v>
      </c>
      <c r="K22" s="8">
        <v>100</v>
      </c>
      <c r="L22" s="6">
        <v>76.928552224875361</v>
      </c>
      <c r="M22" s="6">
        <v>41.846704085266673</v>
      </c>
      <c r="N22" s="6">
        <v>3.0497560035768112</v>
      </c>
      <c r="O22" s="6">
        <v>35.250006006631878</v>
      </c>
      <c r="P22" s="6">
        <v>157.07501832035069</v>
      </c>
      <c r="Q22" s="6">
        <v>18.603485326608698</v>
      </c>
      <c r="R22" s="6">
        <v>19.556761813026089</v>
      </c>
      <c r="S22" s="6">
        <v>43.966811726710141</v>
      </c>
      <c r="T22" s="6">
        <v>7.7012659331826088</v>
      </c>
      <c r="U22" s="6">
        <v>89.828324799527536</v>
      </c>
      <c r="V22" s="6">
        <v>246.90334311987829</v>
      </c>
      <c r="W22" s="6">
        <v>7.4817716812539459</v>
      </c>
      <c r="X22" s="6">
        <v>0</v>
      </c>
      <c r="Y22" s="6">
        <v>2.3133210869999999E-15</v>
      </c>
      <c r="Z22" s="6">
        <v>254.3851148011322</v>
      </c>
      <c r="AA22" s="6">
        <v>1.9632156574040149</v>
      </c>
      <c r="AB22" s="6">
        <v>256.34833045853622</v>
      </c>
      <c r="AC22" s="6">
        <v>0</v>
      </c>
      <c r="AD22" s="6">
        <v>87.900585400466667</v>
      </c>
      <c r="AE22" s="6">
        <v>0</v>
      </c>
      <c r="AF22" s="6">
        <v>0</v>
      </c>
      <c r="AG22" s="6">
        <v>344.24891585900292</v>
      </c>
      <c r="AH22" s="6">
        <v>5.2825198369565216</v>
      </c>
      <c r="AI22" s="6">
        <v>0</v>
      </c>
      <c r="AJ22" s="6">
        <v>45.50181338429276</v>
      </c>
      <c r="AK22" s="6">
        <v>307.13266367978548</v>
      </c>
      <c r="AL22" s="6">
        <v>0</v>
      </c>
      <c r="AM22" s="6">
        <v>0</v>
      </c>
      <c r="AN22" s="6">
        <v>0</v>
      </c>
      <c r="AO22" s="6">
        <v>0</v>
      </c>
      <c r="AP22" s="6">
        <v>0</v>
      </c>
      <c r="AQ22" s="6">
        <v>307.13266367978548</v>
      </c>
      <c r="AR22" s="6">
        <v>419.99999964779192</v>
      </c>
      <c r="AS22" s="6">
        <v>715.56759199999999</v>
      </c>
      <c r="AT22" s="6">
        <v>165.61488484665969</v>
      </c>
      <c r="AU22" s="6">
        <v>163.6516691892557</v>
      </c>
    </row>
    <row r="23" spans="1:47" x14ac:dyDescent="0.35">
      <c r="A23" s="5">
        <v>46022</v>
      </c>
      <c r="B23" s="4" t="s">
        <v>170</v>
      </c>
      <c r="C23" s="4" t="s">
        <v>171</v>
      </c>
      <c r="D23" s="4" t="s">
        <v>111</v>
      </c>
      <c r="E23" s="6">
        <v>1222</v>
      </c>
      <c r="F23" s="7">
        <v>1.35</v>
      </c>
      <c r="G23" s="6">
        <v>92.24</v>
      </c>
      <c r="H23" s="6">
        <v>15.215999999999999</v>
      </c>
      <c r="I23" s="6">
        <v>94.907096999999993</v>
      </c>
      <c r="J23" s="6">
        <v>14.441071000000001</v>
      </c>
      <c r="K23" s="8">
        <v>63.914000000000001</v>
      </c>
      <c r="L23" s="6">
        <v>84.222633327262358</v>
      </c>
      <c r="M23" s="6">
        <v>10.1556606179066</v>
      </c>
      <c r="N23" s="6">
        <v>10.804941555296679</v>
      </c>
      <c r="O23" s="6">
        <v>33.355155295702119</v>
      </c>
      <c r="P23" s="6">
        <v>138.53839079616779</v>
      </c>
      <c r="Q23" s="6">
        <v>32.779293128642898</v>
      </c>
      <c r="R23" s="6">
        <v>10.00962527940921</v>
      </c>
      <c r="S23" s="6">
        <v>18.358408045369931</v>
      </c>
      <c r="T23" s="6">
        <v>13.74869724388925</v>
      </c>
      <c r="U23" s="6">
        <v>74.896023697311279</v>
      </c>
      <c r="V23" s="6">
        <v>213.43441449347901</v>
      </c>
      <c r="W23" s="6">
        <v>37.572248196582073</v>
      </c>
      <c r="X23" s="6">
        <v>38.248772884761173</v>
      </c>
      <c r="Y23" s="6">
        <v>-230.3956686072855</v>
      </c>
      <c r="Z23" s="6">
        <v>58.859766967536807</v>
      </c>
      <c r="AA23" s="6">
        <v>23.35469587706125</v>
      </c>
      <c r="AB23" s="6">
        <v>82.21446284459806</v>
      </c>
      <c r="AC23" s="6">
        <v>4.2079456955186432</v>
      </c>
      <c r="AD23" s="6">
        <v>88.334468294577078</v>
      </c>
      <c r="AE23" s="6">
        <v>0</v>
      </c>
      <c r="AF23" s="6">
        <v>0</v>
      </c>
      <c r="AG23" s="6">
        <v>174.7568768346938</v>
      </c>
      <c r="AH23" s="6">
        <v>28.09439794441229</v>
      </c>
      <c r="AI23" s="6">
        <v>7.5588439313757103</v>
      </c>
      <c r="AJ23" s="6">
        <v>45.687531993034213</v>
      </c>
      <c r="AK23" s="6">
        <v>167.76318240893889</v>
      </c>
      <c r="AL23" s="6">
        <v>0</v>
      </c>
      <c r="AM23" s="6">
        <v>0</v>
      </c>
      <c r="AN23" s="6">
        <v>0</v>
      </c>
      <c r="AO23" s="6">
        <v>0</v>
      </c>
      <c r="AP23" s="6">
        <v>0</v>
      </c>
      <c r="AQ23" s="6">
        <v>167.76318240893889</v>
      </c>
      <c r="AR23" s="6">
        <v>420.00084307553971</v>
      </c>
      <c r="AS23" s="6">
        <v>207.41066799999999</v>
      </c>
      <c r="AT23" s="6">
        <v>361.14107610800289</v>
      </c>
      <c r="AU23" s="6">
        <v>337.78638023094169</v>
      </c>
    </row>
    <row r="24" spans="1:47" x14ac:dyDescent="0.35">
      <c r="A24" s="5">
        <v>46022</v>
      </c>
      <c r="B24" s="4" t="s">
        <v>182</v>
      </c>
      <c r="C24" s="4" t="s">
        <v>183</v>
      </c>
      <c r="D24" s="4" t="s">
        <v>55</v>
      </c>
      <c r="E24" s="6">
        <v>1360.2258979999999</v>
      </c>
      <c r="F24" s="7">
        <v>0.2979</v>
      </c>
      <c r="G24" s="6">
        <v>77.8</v>
      </c>
      <c r="H24" s="6">
        <v>5</v>
      </c>
      <c r="I24" s="6">
        <v>96</v>
      </c>
      <c r="J24" s="6">
        <v>4.8</v>
      </c>
      <c r="K24" s="8">
        <v>25.094999999999999</v>
      </c>
      <c r="L24" s="6">
        <v>143.67126793377659</v>
      </c>
      <c r="M24" s="6">
        <v>17.261501468451971</v>
      </c>
      <c r="N24" s="6">
        <v>11.48672432773118</v>
      </c>
      <c r="O24" s="6">
        <v>117.04910596811889</v>
      </c>
      <c r="P24" s="6">
        <v>289.46859969807861</v>
      </c>
      <c r="Q24" s="6">
        <v>95.339454581234023</v>
      </c>
      <c r="R24" s="6">
        <v>46.385293055860693</v>
      </c>
      <c r="S24" s="6">
        <v>48.54349168267823</v>
      </c>
      <c r="T24" s="6">
        <v>83.945946870587093</v>
      </c>
      <c r="U24" s="6">
        <v>274.21418619036001</v>
      </c>
      <c r="V24" s="6">
        <v>563.68278588843873</v>
      </c>
      <c r="W24" s="6">
        <v>6.4057195442870967</v>
      </c>
      <c r="X24" s="6">
        <v>22.659794580644832</v>
      </c>
      <c r="Y24" s="6">
        <v>-2358.6079911010061</v>
      </c>
      <c r="Z24" s="6">
        <v>-1765.8596910876361</v>
      </c>
      <c r="AA24" s="6">
        <v>72.539598836012487</v>
      </c>
      <c r="AB24" s="6">
        <v>-1693.320092251623</v>
      </c>
      <c r="AC24" s="6">
        <v>11.08411389194614</v>
      </c>
      <c r="AD24" s="6">
        <v>864.68938419521226</v>
      </c>
      <c r="AE24" s="6">
        <v>0</v>
      </c>
      <c r="AF24" s="6">
        <v>0</v>
      </c>
      <c r="AG24" s="6">
        <v>-817.54659416446464</v>
      </c>
      <c r="AH24" s="6">
        <v>46.362168856448861</v>
      </c>
      <c r="AI24" s="6">
        <v>0</v>
      </c>
      <c r="AJ24" s="6">
        <v>627.81063831324479</v>
      </c>
      <c r="AK24" s="6">
        <v>-1008.063171189983</v>
      </c>
      <c r="AL24" s="6">
        <v>85.048568854881736</v>
      </c>
      <c r="AM24" s="6">
        <v>0</v>
      </c>
      <c r="AN24" s="6">
        <v>0</v>
      </c>
      <c r="AO24" s="6">
        <v>0</v>
      </c>
      <c r="AP24" s="6">
        <v>0</v>
      </c>
      <c r="AQ24" s="6">
        <v>-923.01460233510147</v>
      </c>
      <c r="AR24" s="6">
        <v>419.99999964779198</v>
      </c>
      <c r="AS24" s="6">
        <v>267.17487599999998</v>
      </c>
      <c r="AT24" s="6">
        <v>2185.8596907354281</v>
      </c>
      <c r="AU24" s="6">
        <v>2113.3200918994148</v>
      </c>
    </row>
    <row r="25" spans="1:47" x14ac:dyDescent="0.35">
      <c r="A25" s="5">
        <v>46022</v>
      </c>
      <c r="B25" s="4" t="s">
        <v>59</v>
      </c>
      <c r="C25" s="4" t="s">
        <v>60</v>
      </c>
      <c r="D25" s="4" t="s">
        <v>61</v>
      </c>
      <c r="E25" s="6">
        <v>2700</v>
      </c>
      <c r="F25" s="7">
        <v>1.73</v>
      </c>
      <c r="G25" s="6">
        <v>90</v>
      </c>
      <c r="H25" s="6">
        <v>42.039000000000001</v>
      </c>
      <c r="I25" s="6">
        <v>97</v>
      </c>
      <c r="J25" s="6">
        <v>40.777830000000002</v>
      </c>
      <c r="K25" s="8">
        <v>78.852000000000004</v>
      </c>
      <c r="L25" s="6">
        <v>14.87945394561336</v>
      </c>
      <c r="M25" s="6">
        <v>1.4484177548362229</v>
      </c>
      <c r="N25" s="6">
        <v>4.5582866156454722</v>
      </c>
      <c r="O25" s="6">
        <v>23.344736541355172</v>
      </c>
      <c r="P25" s="6">
        <v>44.230894857450217</v>
      </c>
      <c r="Q25" s="6">
        <v>7.1752973585163771</v>
      </c>
      <c r="R25" s="6">
        <v>1.8495266503660881</v>
      </c>
      <c r="S25" s="6">
        <v>9.0652730752151562</v>
      </c>
      <c r="T25" s="6">
        <v>8.6835177424598591</v>
      </c>
      <c r="U25" s="6">
        <v>26.77361482655748</v>
      </c>
      <c r="V25" s="6">
        <v>71.004509684007701</v>
      </c>
      <c r="W25" s="6">
        <v>20.175542492314591</v>
      </c>
      <c r="X25" s="6">
        <v>25.004397350377491</v>
      </c>
      <c r="Y25" s="6">
        <v>-109.25395470614799</v>
      </c>
      <c r="Z25" s="6">
        <v>6.9304948205517771</v>
      </c>
      <c r="AA25" s="6">
        <v>21.497873111980969</v>
      </c>
      <c r="AB25" s="6">
        <v>28.428367932532751</v>
      </c>
      <c r="AC25" s="6">
        <v>0</v>
      </c>
      <c r="AD25" s="6">
        <v>23.97886005014772</v>
      </c>
      <c r="AE25" s="6">
        <v>0</v>
      </c>
      <c r="AF25" s="6">
        <v>0</v>
      </c>
      <c r="AG25" s="6">
        <v>52.407227982680467</v>
      </c>
      <c r="AH25" s="6">
        <v>6.1218736863904937</v>
      </c>
      <c r="AI25" s="6">
        <v>0</v>
      </c>
      <c r="AJ25" s="6">
        <v>7.6449576305716107</v>
      </c>
      <c r="AK25" s="6">
        <v>42.195199249494863</v>
      </c>
      <c r="AL25" s="6">
        <v>0</v>
      </c>
      <c r="AM25" s="6">
        <v>0</v>
      </c>
      <c r="AN25" s="6">
        <v>0</v>
      </c>
      <c r="AO25" s="6">
        <v>0</v>
      </c>
      <c r="AP25" s="6">
        <v>0</v>
      </c>
      <c r="AQ25" s="6">
        <v>42.195199249494863</v>
      </c>
      <c r="AR25" s="6">
        <v>419.9996906563623</v>
      </c>
      <c r="AS25" s="6">
        <v>483.162485</v>
      </c>
      <c r="AT25" s="6">
        <v>413.06919583581049</v>
      </c>
      <c r="AU25" s="6">
        <v>391.5713227238295</v>
      </c>
    </row>
    <row r="26" spans="1:47" x14ac:dyDescent="0.35">
      <c r="A26" s="5">
        <v>46022</v>
      </c>
      <c r="B26" s="4" t="s">
        <v>172</v>
      </c>
      <c r="C26" s="4" t="s">
        <v>173</v>
      </c>
      <c r="D26" s="4" t="s">
        <v>111</v>
      </c>
      <c r="E26" s="6">
        <v>533.97278600000004</v>
      </c>
      <c r="F26" s="7">
        <v>0.62109999999999999</v>
      </c>
      <c r="G26" s="6">
        <v>73.17</v>
      </c>
      <c r="H26" s="6">
        <v>2.427</v>
      </c>
      <c r="I26" s="6">
        <v>97</v>
      </c>
      <c r="J26" s="6">
        <v>2.3538760000000001</v>
      </c>
      <c r="K26" s="8">
        <v>23.498999999999999</v>
      </c>
      <c r="L26" s="6">
        <v>64.380557967317316</v>
      </c>
      <c r="M26" s="6">
        <v>24.159302610587101</v>
      </c>
      <c r="N26" s="6">
        <v>38.976740817623352</v>
      </c>
      <c r="O26" s="6">
        <v>33.891114491471448</v>
      </c>
      <c r="P26" s="6">
        <v>161.4077158869992</v>
      </c>
      <c r="Q26" s="6">
        <v>79.807391361244356</v>
      </c>
      <c r="R26" s="6">
        <v>24.53886781479531</v>
      </c>
      <c r="S26" s="6">
        <v>47.171502951321251</v>
      </c>
      <c r="T26" s="6">
        <v>45.423617945128441</v>
      </c>
      <c r="U26" s="6">
        <v>196.9413800724893</v>
      </c>
      <c r="V26" s="6">
        <v>358.34909595948858</v>
      </c>
      <c r="W26" s="6">
        <v>19.311994731876659</v>
      </c>
      <c r="X26" s="6">
        <v>10.265761228524189</v>
      </c>
      <c r="Y26" s="6">
        <v>-2437.7744044232459</v>
      </c>
      <c r="Z26" s="6">
        <v>-2049.8475525033568</v>
      </c>
      <c r="AA26" s="6">
        <v>147.02141601518451</v>
      </c>
      <c r="AB26" s="6">
        <v>-1902.8261364881721</v>
      </c>
      <c r="AC26" s="6">
        <v>0</v>
      </c>
      <c r="AD26" s="6">
        <v>51.782446399558019</v>
      </c>
      <c r="AE26" s="6">
        <v>0</v>
      </c>
      <c r="AF26" s="6">
        <v>0</v>
      </c>
      <c r="AG26" s="6">
        <v>-1851.0436900886141</v>
      </c>
      <c r="AH26" s="6">
        <v>26.337079578030568</v>
      </c>
      <c r="AI26" s="6">
        <v>0</v>
      </c>
      <c r="AJ26" s="6">
        <v>20.33784408585063</v>
      </c>
      <c r="AK26" s="6">
        <v>-1856.151212824291</v>
      </c>
      <c r="AL26" s="6">
        <v>0</v>
      </c>
      <c r="AM26" s="6">
        <v>0</v>
      </c>
      <c r="AN26" s="6">
        <v>0</v>
      </c>
      <c r="AO26" s="6">
        <v>0</v>
      </c>
      <c r="AP26" s="6">
        <v>0</v>
      </c>
      <c r="AQ26" s="6">
        <v>-1856.151212824291</v>
      </c>
      <c r="AR26" s="6">
        <v>175.07464269758199</v>
      </c>
      <c r="AS26" s="6">
        <v>119.364446</v>
      </c>
      <c r="AT26" s="6">
        <v>2224.9221952009389</v>
      </c>
      <c r="AU26" s="6">
        <v>2077.9007791857539</v>
      </c>
    </row>
    <row r="27" spans="1:47" x14ac:dyDescent="0.35">
      <c r="A27" s="5">
        <v>46022</v>
      </c>
      <c r="B27" s="4" t="s">
        <v>184</v>
      </c>
      <c r="C27" s="4" t="s">
        <v>185</v>
      </c>
      <c r="D27" s="4" t="s">
        <v>157</v>
      </c>
      <c r="E27" s="6">
        <v>18250</v>
      </c>
      <c r="F27" s="7">
        <v>0.3473</v>
      </c>
      <c r="G27" s="6">
        <v>86</v>
      </c>
      <c r="H27" s="6">
        <v>54.508000000000003</v>
      </c>
      <c r="I27" s="6">
        <v>95.6</v>
      </c>
      <c r="J27" s="6">
        <v>52.109524999999998</v>
      </c>
      <c r="K27" s="8">
        <v>90.335999999999999</v>
      </c>
      <c r="L27" s="6">
        <v>19.083976850444309</v>
      </c>
      <c r="M27" s="6">
        <v>28.94268988579109</v>
      </c>
      <c r="N27" s="6">
        <v>7.8173266415803218</v>
      </c>
      <c r="O27" s="6">
        <v>46.123461143578069</v>
      </c>
      <c r="P27" s="6">
        <v>101.9674545213938</v>
      </c>
      <c r="Q27" s="6">
        <v>4.1531463274329452</v>
      </c>
      <c r="R27" s="6">
        <v>22.600291319558039</v>
      </c>
      <c r="S27" s="6">
        <v>45.712490301299262</v>
      </c>
      <c r="T27" s="6">
        <v>14.6675163802994</v>
      </c>
      <c r="U27" s="6">
        <v>87.133444328589647</v>
      </c>
      <c r="V27" s="6">
        <v>189.10089884998339</v>
      </c>
      <c r="W27" s="6">
        <v>0.72943085920743078</v>
      </c>
      <c r="X27" s="6">
        <v>2.4747342321881858</v>
      </c>
      <c r="Y27" s="6">
        <v>-44.330928137001621</v>
      </c>
      <c r="Z27" s="6">
        <v>147.9741358043774</v>
      </c>
      <c r="AA27" s="6">
        <v>18.40796658673144</v>
      </c>
      <c r="AB27" s="6">
        <v>166.3821023911089</v>
      </c>
      <c r="AC27" s="6">
        <v>0</v>
      </c>
      <c r="AD27" s="6">
        <v>81.056883671595415</v>
      </c>
      <c r="AE27" s="6">
        <v>0</v>
      </c>
      <c r="AF27" s="6">
        <v>0</v>
      </c>
      <c r="AG27" s="6">
        <v>247.43898606270429</v>
      </c>
      <c r="AH27" s="6">
        <v>1.098737665822324</v>
      </c>
      <c r="AI27" s="6">
        <v>0</v>
      </c>
      <c r="AJ27" s="6">
        <v>56.825338151494798</v>
      </c>
      <c r="AK27" s="6">
        <v>224.30617820842599</v>
      </c>
      <c r="AL27" s="6">
        <v>0</v>
      </c>
      <c r="AM27" s="6">
        <v>0</v>
      </c>
      <c r="AN27" s="6">
        <v>0</v>
      </c>
      <c r="AO27" s="6">
        <v>0</v>
      </c>
      <c r="AP27" s="6">
        <v>13.05689725165082</v>
      </c>
      <c r="AQ27" s="6">
        <v>237.3630754600768</v>
      </c>
      <c r="AR27" s="6">
        <v>419.99979814912177</v>
      </c>
      <c r="AS27" s="6">
        <v>533.55998099999999</v>
      </c>
      <c r="AT27" s="6">
        <v>272.02566234474438</v>
      </c>
      <c r="AU27" s="6">
        <v>253.6176957580129</v>
      </c>
    </row>
    <row r="28" spans="1:47" x14ac:dyDescent="0.35">
      <c r="A28" s="5">
        <v>46022</v>
      </c>
      <c r="B28" s="4" t="s">
        <v>186</v>
      </c>
      <c r="C28" s="4" t="s">
        <v>187</v>
      </c>
      <c r="D28" s="4" t="s">
        <v>111</v>
      </c>
      <c r="E28" s="6">
        <v>730.12933299999997</v>
      </c>
      <c r="F28" s="7">
        <v>0.41820000000000002</v>
      </c>
      <c r="G28" s="6">
        <v>86.61</v>
      </c>
      <c r="H28" s="6">
        <v>2.645</v>
      </c>
      <c r="I28" s="6">
        <v>97</v>
      </c>
      <c r="J28" s="6">
        <v>2.565258</v>
      </c>
      <c r="K28" s="8">
        <v>33.015000000000001</v>
      </c>
      <c r="L28" s="6">
        <v>84.472314475516711</v>
      </c>
      <c r="M28" s="6">
        <v>70.164367539865253</v>
      </c>
      <c r="N28" s="6">
        <v>65.355120506636439</v>
      </c>
      <c r="O28" s="6">
        <v>190.97832474343869</v>
      </c>
      <c r="P28" s="6">
        <v>410.97012726545711</v>
      </c>
      <c r="Q28" s="6">
        <v>38.368835229953703</v>
      </c>
      <c r="R28" s="6">
        <v>35.898808411798043</v>
      </c>
      <c r="S28" s="6">
        <v>57.242593617732147</v>
      </c>
      <c r="T28" s="6">
        <v>72.635052780519644</v>
      </c>
      <c r="U28" s="6">
        <v>204.14529004000349</v>
      </c>
      <c r="V28" s="6">
        <v>615.1154173054606</v>
      </c>
      <c r="W28" s="6">
        <v>35.566641049597621</v>
      </c>
      <c r="X28" s="6">
        <v>48.042447713196474</v>
      </c>
      <c r="Y28" s="6">
        <v>-830.90445414824728</v>
      </c>
      <c r="Z28" s="6">
        <v>-132.17994807999261</v>
      </c>
      <c r="AA28" s="6">
        <v>53.696553749562732</v>
      </c>
      <c r="AB28" s="6">
        <v>-78.483394330429846</v>
      </c>
      <c r="AC28" s="6">
        <v>3.6778835267218359</v>
      </c>
      <c r="AD28" s="6">
        <v>61.675287532908541</v>
      </c>
      <c r="AE28" s="6">
        <v>0</v>
      </c>
      <c r="AF28" s="6">
        <v>7.3027188564375534</v>
      </c>
      <c r="AG28" s="6">
        <v>-5.8275044143619263</v>
      </c>
      <c r="AH28" s="6">
        <v>202.99090756653089</v>
      </c>
      <c r="AI28" s="6">
        <v>22.609557273899028</v>
      </c>
      <c r="AJ28" s="6">
        <v>41.305464125547942</v>
      </c>
      <c r="AK28" s="6">
        <v>192.1004181622699</v>
      </c>
      <c r="AL28" s="6">
        <v>474.23484671031781</v>
      </c>
      <c r="AM28" s="6">
        <v>0</v>
      </c>
      <c r="AN28" s="6">
        <v>0</v>
      </c>
      <c r="AO28" s="6">
        <v>0</v>
      </c>
      <c r="AP28" s="6">
        <v>0</v>
      </c>
      <c r="AQ28" s="6">
        <v>666.33526487258757</v>
      </c>
      <c r="AR28" s="6">
        <v>420.00687614909708</v>
      </c>
      <c r="AS28" s="6">
        <v>70.744361999999995</v>
      </c>
      <c r="AT28" s="6">
        <v>552.18682422908967</v>
      </c>
      <c r="AU28" s="6">
        <v>498.490270479527</v>
      </c>
    </row>
    <row r="29" spans="1:47" x14ac:dyDescent="0.35">
      <c r="A29" s="5">
        <v>46022</v>
      </c>
      <c r="B29" s="4" t="s">
        <v>77</v>
      </c>
      <c r="C29" s="4" t="s">
        <v>78</v>
      </c>
      <c r="D29" s="4" t="s">
        <v>79</v>
      </c>
      <c r="E29" s="6">
        <v>31813.382954000001</v>
      </c>
      <c r="F29" s="7">
        <v>0.30620000000000003</v>
      </c>
      <c r="G29" s="6">
        <v>67.98</v>
      </c>
      <c r="H29" s="6">
        <v>66.224000000000004</v>
      </c>
      <c r="I29" s="6">
        <v>97</v>
      </c>
      <c r="J29" s="6">
        <v>64.237751000000003</v>
      </c>
      <c r="K29" s="8">
        <v>74.510999999999996</v>
      </c>
      <c r="L29" s="6">
        <v>53.709648382913102</v>
      </c>
      <c r="M29" s="6">
        <v>26.646168203891591</v>
      </c>
      <c r="N29" s="6">
        <v>2.4411301623186881</v>
      </c>
      <c r="O29" s="6">
        <v>71.183871304486516</v>
      </c>
      <c r="P29" s="6">
        <v>153.98081805360991</v>
      </c>
      <c r="Q29" s="6">
        <v>34.77381144067818</v>
      </c>
      <c r="R29" s="6">
        <v>65.632950364479726</v>
      </c>
      <c r="S29" s="6">
        <v>65.834137103418399</v>
      </c>
      <c r="T29" s="6">
        <v>56.116790655993938</v>
      </c>
      <c r="U29" s="6">
        <v>222.35768956457019</v>
      </c>
      <c r="V29" s="6">
        <v>376.33850761818007</v>
      </c>
      <c r="W29" s="6">
        <v>13.50515422126016</v>
      </c>
      <c r="X29" s="6">
        <v>7.3476266195092581</v>
      </c>
      <c r="Y29" s="6">
        <v>-137.76065527240979</v>
      </c>
      <c r="Z29" s="6">
        <v>259.43063318653981</v>
      </c>
      <c r="AA29" s="6">
        <v>13.95922065946012</v>
      </c>
      <c r="AB29" s="6">
        <v>273.38985384599988</v>
      </c>
      <c r="AC29" s="6">
        <v>0</v>
      </c>
      <c r="AD29" s="6">
        <v>54.500085830773187</v>
      </c>
      <c r="AE29" s="6">
        <v>0</v>
      </c>
      <c r="AF29" s="6">
        <v>0</v>
      </c>
      <c r="AG29" s="6">
        <v>327.88993967677311</v>
      </c>
      <c r="AH29" s="6">
        <v>15.2568557233646</v>
      </c>
      <c r="AI29" s="6">
        <v>0</v>
      </c>
      <c r="AJ29" s="6">
        <v>54.500085830773187</v>
      </c>
      <c r="AK29" s="6">
        <v>343.14679540013771</v>
      </c>
      <c r="AL29" s="6">
        <v>0</v>
      </c>
      <c r="AM29" s="6">
        <v>0</v>
      </c>
      <c r="AN29" s="6">
        <v>0</v>
      </c>
      <c r="AO29" s="6">
        <v>0</v>
      </c>
      <c r="AP29" s="6">
        <v>0</v>
      </c>
      <c r="AQ29" s="6">
        <v>343.14679540013771</v>
      </c>
      <c r="AR29" s="6">
        <v>420.00032002015342</v>
      </c>
      <c r="AS29" s="6">
        <v>790.75302399999998</v>
      </c>
      <c r="AT29" s="6">
        <v>160.56968683361359</v>
      </c>
      <c r="AU29" s="6">
        <v>146.61046617415349</v>
      </c>
    </row>
    <row r="30" spans="1:47" x14ac:dyDescent="0.35">
      <c r="A30" s="5">
        <v>46022</v>
      </c>
      <c r="B30" s="4" t="s">
        <v>62</v>
      </c>
      <c r="C30" s="4" t="s">
        <v>63</v>
      </c>
      <c r="D30" s="4" t="s">
        <v>61</v>
      </c>
      <c r="E30" s="6">
        <v>339.41</v>
      </c>
      <c r="F30" s="7">
        <v>0.31919999999999998</v>
      </c>
      <c r="G30" s="6">
        <v>70</v>
      </c>
      <c r="H30" s="6">
        <v>0.75800000000000001</v>
      </c>
      <c r="I30" s="6">
        <v>97</v>
      </c>
      <c r="J30" s="6">
        <v>0.73558299999999999</v>
      </c>
      <c r="K30" s="8">
        <v>49.53</v>
      </c>
      <c r="L30" s="6">
        <v>85.425229166933207</v>
      </c>
      <c r="M30" s="6">
        <v>6.2627110089916957</v>
      </c>
      <c r="N30" s="6">
        <v>52.173665936606312</v>
      </c>
      <c r="O30" s="6">
        <v>104.3684078718159</v>
      </c>
      <c r="P30" s="6">
        <v>248.2300139843471</v>
      </c>
      <c r="Q30" s="6">
        <v>27.701857230686961</v>
      </c>
      <c r="R30" s="6">
        <v>51.057914709655222</v>
      </c>
      <c r="S30" s="6">
        <v>62.320388382339239</v>
      </c>
      <c r="T30" s="6">
        <v>82.167260699626624</v>
      </c>
      <c r="U30" s="6">
        <v>223.247421022308</v>
      </c>
      <c r="V30" s="6">
        <v>471.47743500665513</v>
      </c>
      <c r="W30" s="6">
        <v>9.9567059839754357</v>
      </c>
      <c r="X30" s="6">
        <v>30.062204233800941</v>
      </c>
      <c r="Y30" s="6">
        <v>-419.83049043786878</v>
      </c>
      <c r="Z30" s="6">
        <v>91.66585478656269</v>
      </c>
      <c r="AA30" s="6">
        <v>149.37474325680481</v>
      </c>
      <c r="AB30" s="6">
        <v>241.04059804336751</v>
      </c>
      <c r="AC30" s="6">
        <v>0</v>
      </c>
      <c r="AD30" s="6">
        <v>10.99756909043829</v>
      </c>
      <c r="AE30" s="6">
        <v>0</v>
      </c>
      <c r="AF30" s="6">
        <v>0</v>
      </c>
      <c r="AG30" s="6">
        <v>252.03816713380581</v>
      </c>
      <c r="AH30" s="6">
        <v>36.298164756328298</v>
      </c>
      <c r="AI30" s="6">
        <v>0</v>
      </c>
      <c r="AJ30" s="6">
        <v>10.99756909043829</v>
      </c>
      <c r="AK30" s="6">
        <v>288.33633189013409</v>
      </c>
      <c r="AL30" s="6">
        <v>0</v>
      </c>
      <c r="AM30" s="6">
        <v>0</v>
      </c>
      <c r="AN30" s="6">
        <v>0</v>
      </c>
      <c r="AO30" s="6">
        <v>0</v>
      </c>
      <c r="AP30" s="6">
        <v>0</v>
      </c>
      <c r="AQ30" s="6">
        <v>288.33633189013409</v>
      </c>
      <c r="AR30" s="6">
        <v>420.00970623426008</v>
      </c>
      <c r="AS30" s="6">
        <v>14.00132</v>
      </c>
      <c r="AT30" s="6">
        <v>328.34385144769738</v>
      </c>
      <c r="AU30" s="6">
        <v>178.9691081908926</v>
      </c>
    </row>
    <row r="31" spans="1:47" x14ac:dyDescent="0.35">
      <c r="A31" s="5">
        <v>46022</v>
      </c>
      <c r="B31" s="4" t="s">
        <v>64</v>
      </c>
      <c r="C31" s="4" t="s">
        <v>65</v>
      </c>
      <c r="D31" s="4" t="s">
        <v>66</v>
      </c>
      <c r="E31" s="6">
        <v>87.127700000000004</v>
      </c>
      <c r="F31" s="7">
        <v>0.7722</v>
      </c>
      <c r="G31" s="6">
        <v>88</v>
      </c>
      <c r="H31" s="6">
        <v>0.59199999999999997</v>
      </c>
      <c r="I31" s="6">
        <v>97</v>
      </c>
      <c r="J31" s="6">
        <v>0.57427700000000004</v>
      </c>
      <c r="K31" s="8">
        <v>100</v>
      </c>
      <c r="L31" s="6">
        <v>212.92038744804901</v>
      </c>
      <c r="M31" s="6">
        <v>18.17192970293004</v>
      </c>
      <c r="N31" s="6">
        <v>38.381640258330087</v>
      </c>
      <c r="O31" s="6">
        <v>83.51202098898419</v>
      </c>
      <c r="P31" s="6">
        <v>352.9859783982933</v>
      </c>
      <c r="Q31" s="6">
        <v>221.80131630480309</v>
      </c>
      <c r="R31" s="6">
        <v>9.3239254943029444</v>
      </c>
      <c r="S31" s="6">
        <v>23.763147759153419</v>
      </c>
      <c r="T31" s="6">
        <v>102.08886398194871</v>
      </c>
      <c r="U31" s="6">
        <v>356.97725354020821</v>
      </c>
      <c r="V31" s="6">
        <v>709.96323193850151</v>
      </c>
      <c r="W31" s="6">
        <v>17.083849577532391</v>
      </c>
      <c r="X31" s="6">
        <v>25.68294464152315</v>
      </c>
      <c r="Y31" s="6">
        <v>3.0844281160000002E-15</v>
      </c>
      <c r="Z31" s="6">
        <v>752.73002615755695</v>
      </c>
      <c r="AA31" s="6">
        <v>21.000688184228441</v>
      </c>
      <c r="AB31" s="6">
        <v>773.73071434178541</v>
      </c>
      <c r="AC31" s="6">
        <v>0</v>
      </c>
      <c r="AD31" s="6">
        <v>144.91584679352499</v>
      </c>
      <c r="AE31" s="6">
        <v>0</v>
      </c>
      <c r="AF31" s="6">
        <v>0</v>
      </c>
      <c r="AG31" s="6">
        <v>918.64656113531044</v>
      </c>
      <c r="AH31" s="6">
        <v>540.20720573928588</v>
      </c>
      <c r="AI31" s="6">
        <v>0</v>
      </c>
      <c r="AJ31" s="6">
        <v>23.54094865860035</v>
      </c>
      <c r="AK31" s="6">
        <v>1337.478868739672</v>
      </c>
      <c r="AL31" s="6">
        <v>0</v>
      </c>
      <c r="AM31" s="6">
        <v>0</v>
      </c>
      <c r="AN31" s="6">
        <v>0</v>
      </c>
      <c r="AO31" s="6">
        <v>0</v>
      </c>
      <c r="AP31" s="6">
        <v>0</v>
      </c>
      <c r="AQ31" s="6">
        <v>1337.478868739672</v>
      </c>
      <c r="AR31" s="6">
        <v>420.01682079854652</v>
      </c>
      <c r="AS31" s="6">
        <v>5.3176819999999996</v>
      </c>
      <c r="AT31" s="6">
        <v>-332.71320535901049</v>
      </c>
      <c r="AU31" s="6">
        <v>-353.7138935432389</v>
      </c>
    </row>
    <row r="32" spans="1:47" x14ac:dyDescent="0.35">
      <c r="A32" s="5">
        <v>46022</v>
      </c>
      <c r="B32" s="4" t="s">
        <v>188</v>
      </c>
      <c r="C32" s="4" t="s">
        <v>189</v>
      </c>
      <c r="D32" s="4" t="s">
        <v>61</v>
      </c>
      <c r="E32" s="6">
        <v>250</v>
      </c>
      <c r="F32" s="7">
        <v>0.63</v>
      </c>
      <c r="G32" s="6">
        <v>65</v>
      </c>
      <c r="H32" s="6">
        <v>1.024</v>
      </c>
      <c r="I32" s="6">
        <v>97</v>
      </c>
      <c r="J32" s="6">
        <v>0.99303699999999995</v>
      </c>
      <c r="K32" s="8">
        <v>53.154000000000003</v>
      </c>
      <c r="L32" s="6">
        <v>54.431614256540293</v>
      </c>
      <c r="M32" s="6">
        <v>3.55597686737755</v>
      </c>
      <c r="N32" s="6">
        <v>20.857825547161379</v>
      </c>
      <c r="O32" s="6">
        <v>69.521860008068685</v>
      </c>
      <c r="P32" s="6">
        <v>148.36727667914789</v>
      </c>
      <c r="Q32" s="6">
        <v>17.144102165827661</v>
      </c>
      <c r="R32" s="6">
        <v>26.391914466085101</v>
      </c>
      <c r="S32" s="6">
        <v>47.400566418077332</v>
      </c>
      <c r="T32" s="6">
        <v>36.836962741636263</v>
      </c>
      <c r="U32" s="6">
        <v>127.7735457916264</v>
      </c>
      <c r="V32" s="6">
        <v>276.14082247077431</v>
      </c>
      <c r="W32" s="6">
        <v>10.600662352220951</v>
      </c>
      <c r="X32" s="6">
        <v>27.6493403665805</v>
      </c>
      <c r="Y32" s="6">
        <v>-360.84394654842799</v>
      </c>
      <c r="Z32" s="6">
        <v>-46.453121358852258</v>
      </c>
      <c r="AA32" s="6">
        <v>105.96275485760491</v>
      </c>
      <c r="AB32" s="6">
        <v>59.509633498752649</v>
      </c>
      <c r="AC32" s="6">
        <v>0</v>
      </c>
      <c r="AD32" s="6">
        <v>19.891773745535161</v>
      </c>
      <c r="AE32" s="6">
        <v>0</v>
      </c>
      <c r="AF32" s="6">
        <v>0</v>
      </c>
      <c r="AG32" s="6">
        <v>79.40140724428781</v>
      </c>
      <c r="AH32" s="6">
        <v>34.650185419384933</v>
      </c>
      <c r="AI32" s="6">
        <v>0</v>
      </c>
      <c r="AJ32" s="6">
        <v>24.383461276014138</v>
      </c>
      <c r="AK32" s="6">
        <v>118.54328019415171</v>
      </c>
      <c r="AL32" s="6">
        <v>0</v>
      </c>
      <c r="AM32" s="6">
        <v>0</v>
      </c>
      <c r="AN32" s="6">
        <v>0</v>
      </c>
      <c r="AO32" s="6">
        <v>0</v>
      </c>
      <c r="AP32" s="6">
        <v>0</v>
      </c>
      <c r="AQ32" s="6">
        <v>118.54328019415171</v>
      </c>
      <c r="AR32" s="6">
        <v>419.98435068407059</v>
      </c>
      <c r="AS32" s="6">
        <v>17.236985000000001</v>
      </c>
      <c r="AT32" s="6">
        <v>466.43747204292288</v>
      </c>
      <c r="AU32" s="6">
        <v>360.4747171853179</v>
      </c>
    </row>
    <row r="33" spans="1:47" x14ac:dyDescent="0.35">
      <c r="A33" s="5">
        <v>46022</v>
      </c>
      <c r="B33" s="4" t="s">
        <v>174</v>
      </c>
      <c r="C33" s="4" t="s">
        <v>175</v>
      </c>
      <c r="D33" s="4" t="s">
        <v>61</v>
      </c>
      <c r="E33" s="6">
        <v>780.06</v>
      </c>
      <c r="F33" s="7">
        <v>0.50060000000000004</v>
      </c>
      <c r="G33" s="6">
        <v>95</v>
      </c>
      <c r="H33" s="6">
        <v>3.71</v>
      </c>
      <c r="I33" s="6">
        <v>94.692722000000003</v>
      </c>
      <c r="J33" s="6">
        <v>3.5131000000000001</v>
      </c>
      <c r="K33" s="8">
        <v>100</v>
      </c>
      <c r="L33" s="6">
        <v>39.671057907806379</v>
      </c>
      <c r="M33" s="6">
        <v>9.3775279935231843</v>
      </c>
      <c r="N33" s="6">
        <v>30.18459429272496</v>
      </c>
      <c r="O33" s="6">
        <v>56.54820317166326</v>
      </c>
      <c r="P33" s="6">
        <v>135.7813833657178</v>
      </c>
      <c r="Q33" s="6">
        <v>34.504089093035851</v>
      </c>
      <c r="R33" s="6">
        <v>15.537104172111141</v>
      </c>
      <c r="S33" s="6">
        <v>31.790216320571751</v>
      </c>
      <c r="T33" s="6">
        <v>34.079999575935979</v>
      </c>
      <c r="U33" s="6">
        <v>115.9114091616547</v>
      </c>
      <c r="V33" s="6">
        <v>251.69279252737249</v>
      </c>
      <c r="W33" s="6">
        <v>9.7876701671904041</v>
      </c>
      <c r="X33" s="6">
        <v>26.489205369616581</v>
      </c>
      <c r="Y33" s="6">
        <v>1.36077711E-16</v>
      </c>
      <c r="Z33" s="6">
        <v>287.96966806417947</v>
      </c>
      <c r="AA33" s="6">
        <v>61.863749964966601</v>
      </c>
      <c r="AB33" s="6">
        <v>349.83341802914612</v>
      </c>
      <c r="AC33" s="6">
        <v>0</v>
      </c>
      <c r="AD33" s="6">
        <v>10.29138465236986</v>
      </c>
      <c r="AE33" s="6">
        <v>0</v>
      </c>
      <c r="AF33" s="6">
        <v>0</v>
      </c>
      <c r="AG33" s="6">
        <v>360.12480268151597</v>
      </c>
      <c r="AH33" s="6">
        <v>27.061568349940838</v>
      </c>
      <c r="AI33" s="6">
        <v>0</v>
      </c>
      <c r="AJ33" s="6">
        <v>10.29138465236986</v>
      </c>
      <c r="AK33" s="6">
        <v>387.18637103145682</v>
      </c>
      <c r="AL33" s="6">
        <v>0</v>
      </c>
      <c r="AM33" s="6">
        <v>0</v>
      </c>
      <c r="AN33" s="6">
        <v>0</v>
      </c>
      <c r="AO33" s="6">
        <v>0</v>
      </c>
      <c r="AP33" s="6">
        <v>0</v>
      </c>
      <c r="AQ33" s="6">
        <v>387.18637103145682</v>
      </c>
      <c r="AR33" s="6">
        <v>419.99999964779192</v>
      </c>
      <c r="AS33" s="6">
        <v>32.529251000000002</v>
      </c>
      <c r="AT33" s="6">
        <v>132.03033158361239</v>
      </c>
      <c r="AU33" s="6">
        <v>70.166581618645836</v>
      </c>
    </row>
    <row r="34" spans="1:47" x14ac:dyDescent="0.35">
      <c r="A34" s="5">
        <v>46022</v>
      </c>
      <c r="B34" s="4" t="s">
        <v>176</v>
      </c>
      <c r="C34" s="4" t="s">
        <v>177</v>
      </c>
      <c r="D34" s="4" t="s">
        <v>61</v>
      </c>
      <c r="E34" s="6">
        <v>1400</v>
      </c>
      <c r="F34" s="7">
        <v>0.65</v>
      </c>
      <c r="G34" s="6">
        <v>89</v>
      </c>
      <c r="H34" s="6">
        <v>8.0990000000000002</v>
      </c>
      <c r="I34" s="6">
        <v>97</v>
      </c>
      <c r="J34" s="6">
        <v>7.8560299999999996</v>
      </c>
      <c r="K34" s="8">
        <v>100</v>
      </c>
      <c r="L34" s="6">
        <v>75.521995917095936</v>
      </c>
      <c r="M34" s="6">
        <v>0</v>
      </c>
      <c r="N34" s="6">
        <v>55.829073148262751</v>
      </c>
      <c r="O34" s="6">
        <v>49.701281880898868</v>
      </c>
      <c r="P34" s="6">
        <v>181.0523509462576</v>
      </c>
      <c r="Q34" s="6">
        <v>6.8867437878651678</v>
      </c>
      <c r="R34" s="6">
        <v>12.43160526413137</v>
      </c>
      <c r="S34" s="6">
        <v>29.45146574691443</v>
      </c>
      <c r="T34" s="6">
        <v>29.644867649178909</v>
      </c>
      <c r="U34" s="6">
        <v>78.414682448089891</v>
      </c>
      <c r="V34" s="6">
        <v>259.46703339434742</v>
      </c>
      <c r="W34" s="6">
        <v>1.9086007229519999</v>
      </c>
      <c r="X34" s="6">
        <v>26.704809450218491</v>
      </c>
      <c r="Y34" s="6">
        <v>2.177243376E-15</v>
      </c>
      <c r="Z34" s="6">
        <v>288.08044356751788</v>
      </c>
      <c r="AA34" s="6">
        <v>52.718736354016883</v>
      </c>
      <c r="AB34" s="6">
        <v>340.7991799215348</v>
      </c>
      <c r="AC34" s="6">
        <v>0</v>
      </c>
      <c r="AD34" s="6">
        <v>12.26382753766638</v>
      </c>
      <c r="AE34" s="6">
        <v>0</v>
      </c>
      <c r="AF34" s="6">
        <v>0</v>
      </c>
      <c r="AG34" s="6">
        <v>353.06300745920117</v>
      </c>
      <c r="AH34" s="6">
        <v>40.65230223904927</v>
      </c>
      <c r="AI34" s="6">
        <v>0</v>
      </c>
      <c r="AJ34" s="6">
        <v>20.064982568107169</v>
      </c>
      <c r="AK34" s="6">
        <v>401.51646472869129</v>
      </c>
      <c r="AL34" s="6">
        <v>0</v>
      </c>
      <c r="AM34" s="6">
        <v>0</v>
      </c>
      <c r="AN34" s="6">
        <v>0</v>
      </c>
      <c r="AO34" s="6">
        <v>0</v>
      </c>
      <c r="AP34" s="6">
        <v>0</v>
      </c>
      <c r="AQ34" s="6">
        <v>401.51646472869129</v>
      </c>
      <c r="AR34" s="6">
        <v>419.99839578426429</v>
      </c>
      <c r="AS34" s="6">
        <v>72.741963999999996</v>
      </c>
      <c r="AT34" s="6">
        <v>131.9179522167463</v>
      </c>
      <c r="AU34" s="6">
        <v>79.199215862729446</v>
      </c>
    </row>
    <row r="35" spans="1:47" x14ac:dyDescent="0.35">
      <c r="A35" s="5">
        <v>46022</v>
      </c>
      <c r="B35" s="4" t="s">
        <v>84</v>
      </c>
      <c r="C35" s="4" t="s">
        <v>85</v>
      </c>
      <c r="D35" s="4" t="s">
        <v>86</v>
      </c>
      <c r="E35" s="6">
        <v>2898.25</v>
      </c>
      <c r="F35" s="7">
        <v>1.1476999999999999</v>
      </c>
      <c r="G35" s="6">
        <v>88.12</v>
      </c>
      <c r="H35" s="6">
        <v>29.311</v>
      </c>
      <c r="I35" s="6">
        <v>97</v>
      </c>
      <c r="J35" s="6">
        <v>28.432003999999999</v>
      </c>
      <c r="K35" s="8">
        <v>91.367000000000004</v>
      </c>
      <c r="L35" s="6">
        <v>52.643700768636712</v>
      </c>
      <c r="M35" s="6">
        <v>0.92941949360205489</v>
      </c>
      <c r="N35" s="6">
        <v>8.3119398792455641</v>
      </c>
      <c r="O35" s="6">
        <v>62.758610893525301</v>
      </c>
      <c r="P35" s="6">
        <v>124.6436710350096</v>
      </c>
      <c r="Q35" s="6">
        <v>28.27003173342051</v>
      </c>
      <c r="R35" s="6">
        <v>5.0126879387337571</v>
      </c>
      <c r="S35" s="6">
        <v>12.57639911934162</v>
      </c>
      <c r="T35" s="6">
        <v>13.542776227054221</v>
      </c>
      <c r="U35" s="6">
        <v>59.4018950185501</v>
      </c>
      <c r="V35" s="6">
        <v>184.0455660535597</v>
      </c>
      <c r="W35" s="6">
        <v>9.0391286362636407</v>
      </c>
      <c r="X35" s="6">
        <v>28.783154196150509</v>
      </c>
      <c r="Y35" s="6">
        <v>-35.959190791347083</v>
      </c>
      <c r="Z35" s="6">
        <v>185.90865809462679</v>
      </c>
      <c r="AA35" s="6">
        <v>27.872987462314541</v>
      </c>
      <c r="AB35" s="6">
        <v>213.7816455569413</v>
      </c>
      <c r="AC35" s="6">
        <v>0</v>
      </c>
      <c r="AD35" s="6">
        <v>82.075134657382577</v>
      </c>
      <c r="AE35" s="6">
        <v>0</v>
      </c>
      <c r="AF35" s="6">
        <v>0</v>
      </c>
      <c r="AG35" s="6">
        <v>295.85678021432392</v>
      </c>
      <c r="AH35" s="6">
        <v>5.6500946562627918</v>
      </c>
      <c r="AI35" s="6">
        <v>0</v>
      </c>
      <c r="AJ35" s="6">
        <v>28.526825424459119</v>
      </c>
      <c r="AK35" s="6">
        <v>247.95856563766321</v>
      </c>
      <c r="AL35" s="6">
        <v>107.679945832114</v>
      </c>
      <c r="AM35" s="6">
        <v>0</v>
      </c>
      <c r="AN35" s="6">
        <v>0</v>
      </c>
      <c r="AO35" s="6">
        <v>0</v>
      </c>
      <c r="AP35" s="6">
        <v>0</v>
      </c>
      <c r="AQ35" s="6">
        <v>355.6385114697772</v>
      </c>
      <c r="AR35" s="6">
        <v>419.99994055944921</v>
      </c>
      <c r="AS35" s="6">
        <v>291.18931800000001</v>
      </c>
      <c r="AT35" s="6">
        <v>234.0912824648224</v>
      </c>
      <c r="AU35" s="6">
        <v>206.2182950025078</v>
      </c>
    </row>
    <row r="36" spans="1:47" x14ac:dyDescent="0.35">
      <c r="A36" s="5">
        <v>46022</v>
      </c>
      <c r="B36" s="4" t="s">
        <v>683</v>
      </c>
      <c r="C36" s="4" t="s">
        <v>684</v>
      </c>
      <c r="D36" s="4" t="s">
        <v>536</v>
      </c>
      <c r="E36" s="6">
        <v>31282.232413999998</v>
      </c>
      <c r="F36" s="7">
        <v>0.38</v>
      </c>
      <c r="G36" s="6">
        <v>87</v>
      </c>
      <c r="H36" s="6">
        <v>103.419</v>
      </c>
      <c r="I36" s="6">
        <v>97</v>
      </c>
      <c r="J36" s="6">
        <v>100.316489</v>
      </c>
      <c r="K36" s="8">
        <v>80.863</v>
      </c>
      <c r="L36" s="6">
        <v>33.194556038527899</v>
      </c>
      <c r="M36" s="6">
        <v>96.092649637933292</v>
      </c>
      <c r="N36" s="6">
        <v>7.2019150077019756</v>
      </c>
      <c r="O36" s="6">
        <v>33.594551628354353</v>
      </c>
      <c r="P36" s="6">
        <v>170.08367231251751</v>
      </c>
      <c r="Q36" s="6">
        <v>10.419800954515059</v>
      </c>
      <c r="R36" s="6">
        <v>16.559625052040278</v>
      </c>
      <c r="S36" s="6">
        <v>108.5438012993951</v>
      </c>
      <c r="T36" s="6">
        <v>9.6436717416939928</v>
      </c>
      <c r="U36" s="6">
        <v>145.16689904764439</v>
      </c>
      <c r="V36" s="6">
        <v>315.25057136016193</v>
      </c>
      <c r="W36" s="6">
        <v>0</v>
      </c>
      <c r="X36" s="6">
        <v>23.554350599331681</v>
      </c>
      <c r="Y36" s="6">
        <v>-96.558895157733232</v>
      </c>
      <c r="Z36" s="6">
        <v>242.24602680176039</v>
      </c>
      <c r="AA36" s="6">
        <v>31.273353551839492</v>
      </c>
      <c r="AB36" s="6">
        <v>273.5193803535999</v>
      </c>
      <c r="AC36" s="6">
        <v>0</v>
      </c>
      <c r="AD36" s="6">
        <v>60.468232487289818</v>
      </c>
      <c r="AE36" s="6">
        <v>0</v>
      </c>
      <c r="AF36" s="6">
        <v>0</v>
      </c>
      <c r="AG36" s="6">
        <v>333.98761284088971</v>
      </c>
      <c r="AH36" s="6">
        <v>23.723590055587081</v>
      </c>
      <c r="AI36" s="6">
        <v>0</v>
      </c>
      <c r="AJ36" s="6">
        <v>82.293360501244365</v>
      </c>
      <c r="AK36" s="6">
        <v>379.53633091043127</v>
      </c>
      <c r="AL36" s="6">
        <v>382.98064959224109</v>
      </c>
      <c r="AM36" s="6">
        <v>0</v>
      </c>
      <c r="AN36" s="6">
        <v>0</v>
      </c>
      <c r="AO36" s="6">
        <v>0</v>
      </c>
      <c r="AP36" s="6">
        <v>0</v>
      </c>
      <c r="AQ36" s="6">
        <v>762.51698050267237</v>
      </c>
      <c r="AR36" s="6">
        <v>420.00004570203532</v>
      </c>
      <c r="AS36" s="6">
        <v>1143.2237729999999</v>
      </c>
      <c r="AT36" s="6">
        <v>177.7540189002749</v>
      </c>
      <c r="AU36" s="6">
        <v>146.48066534843539</v>
      </c>
    </row>
    <row r="37" spans="1:47" x14ac:dyDescent="0.35">
      <c r="A37" s="5">
        <v>46022</v>
      </c>
      <c r="B37" s="4" t="s">
        <v>80</v>
      </c>
      <c r="C37" s="4" t="s">
        <v>81</v>
      </c>
      <c r="D37" s="4" t="s">
        <v>79</v>
      </c>
      <c r="E37" s="6">
        <v>38163.568978000003</v>
      </c>
      <c r="F37" s="7">
        <v>0.37409999999999999</v>
      </c>
      <c r="G37" s="6">
        <v>87</v>
      </c>
      <c r="H37" s="6">
        <v>124.224</v>
      </c>
      <c r="I37" s="6">
        <v>95.797420000000002</v>
      </c>
      <c r="J37" s="6">
        <v>119.003378</v>
      </c>
      <c r="K37" s="8">
        <v>71.331000000000003</v>
      </c>
      <c r="L37" s="6">
        <v>34.522876508524149</v>
      </c>
      <c r="M37" s="6">
        <v>40.030506038637121</v>
      </c>
      <c r="N37" s="6">
        <v>19.051765146775018</v>
      </c>
      <c r="O37" s="6">
        <v>113.4313775586056</v>
      </c>
      <c r="P37" s="6">
        <v>207.03652525254191</v>
      </c>
      <c r="Q37" s="6">
        <v>24.263855530864081</v>
      </c>
      <c r="R37" s="6">
        <v>103.4880861258808</v>
      </c>
      <c r="S37" s="6">
        <v>144.8294116292841</v>
      </c>
      <c r="T37" s="6">
        <v>205.39401884543011</v>
      </c>
      <c r="U37" s="6">
        <v>477.9753721314591</v>
      </c>
      <c r="V37" s="6">
        <v>685.01189738400114</v>
      </c>
      <c r="W37" s="6">
        <v>1.0968983935959411</v>
      </c>
      <c r="X37" s="6">
        <v>22.471892057574632</v>
      </c>
      <c r="Y37" s="6">
        <v>-162.4641163548097</v>
      </c>
      <c r="Z37" s="6">
        <v>546.11657148036193</v>
      </c>
      <c r="AA37" s="6">
        <v>0</v>
      </c>
      <c r="AB37" s="6">
        <v>546.11657148036193</v>
      </c>
      <c r="AC37" s="6">
        <v>7.6057436348482081</v>
      </c>
      <c r="AD37" s="6">
        <v>174.548936960498</v>
      </c>
      <c r="AE37" s="6">
        <v>0</v>
      </c>
      <c r="AF37" s="6">
        <v>0</v>
      </c>
      <c r="AG37" s="6">
        <v>728.27125207570805</v>
      </c>
      <c r="AH37" s="6">
        <v>12.03769620624796</v>
      </c>
      <c r="AI37" s="6">
        <v>0</v>
      </c>
      <c r="AJ37" s="6">
        <v>115.9679055198165</v>
      </c>
      <c r="AK37" s="6">
        <v>681.72791684127458</v>
      </c>
      <c r="AL37" s="6">
        <v>171.29295875450711</v>
      </c>
      <c r="AM37" s="6">
        <v>0</v>
      </c>
      <c r="AN37" s="6">
        <v>0</v>
      </c>
      <c r="AO37" s="6">
        <v>0</v>
      </c>
      <c r="AP37" s="6">
        <v>0</v>
      </c>
      <c r="AQ37" s="6">
        <v>853.02087559578172</v>
      </c>
      <c r="AR37" s="6">
        <v>420.00007729264661</v>
      </c>
      <c r="AS37" s="6">
        <v>1543.693534</v>
      </c>
      <c r="AT37" s="6">
        <v>-126.1164941877153</v>
      </c>
      <c r="AU37" s="6">
        <v>-126.1164941877153</v>
      </c>
    </row>
    <row r="38" spans="1:47" x14ac:dyDescent="0.35">
      <c r="A38" s="5">
        <v>46022</v>
      </c>
      <c r="B38" s="4" t="s">
        <v>685</v>
      </c>
      <c r="C38" s="4" t="s">
        <v>686</v>
      </c>
      <c r="D38" s="4" t="s">
        <v>687</v>
      </c>
      <c r="E38" s="6">
        <v>2900</v>
      </c>
      <c r="F38" s="7">
        <v>1.05</v>
      </c>
      <c r="G38" s="6">
        <v>80</v>
      </c>
      <c r="H38" s="6">
        <v>24.36</v>
      </c>
      <c r="I38" s="6">
        <v>95.416667000000004</v>
      </c>
      <c r="J38" s="6">
        <v>23.243500000000001</v>
      </c>
      <c r="K38" s="8">
        <v>46.354999999999997</v>
      </c>
      <c r="L38" s="6">
        <v>54.593856998202618</v>
      </c>
      <c r="M38" s="6">
        <v>32.421854483474227</v>
      </c>
      <c r="N38" s="6">
        <v>1.78275100749607</v>
      </c>
      <c r="O38" s="6">
        <v>35.216147602184279</v>
      </c>
      <c r="P38" s="6">
        <v>124.0146100913572</v>
      </c>
      <c r="Q38" s="6">
        <v>57.358840636136243</v>
      </c>
      <c r="R38" s="6">
        <v>19.386679376136239</v>
      </c>
      <c r="S38" s="6">
        <v>41.997141310179913</v>
      </c>
      <c r="T38" s="6">
        <v>29.122588269533619</v>
      </c>
      <c r="U38" s="6">
        <v>147.86524959198599</v>
      </c>
      <c r="V38" s="6">
        <v>271.87985968334323</v>
      </c>
      <c r="W38" s="6">
        <v>61.975127519871229</v>
      </c>
      <c r="X38" s="6">
        <v>24.044096930131001</v>
      </c>
      <c r="Y38" s="6">
        <v>-421.9496597441335</v>
      </c>
      <c r="Z38" s="6">
        <v>-64.050575610788101</v>
      </c>
      <c r="AA38" s="6">
        <v>42.917993685713483</v>
      </c>
      <c r="AB38" s="6">
        <v>-21.132581925074629</v>
      </c>
      <c r="AC38" s="6">
        <v>7.3451856498847148</v>
      </c>
      <c r="AD38" s="6">
        <v>96.243427141870725</v>
      </c>
      <c r="AE38" s="6">
        <v>0</v>
      </c>
      <c r="AF38" s="6">
        <v>0</v>
      </c>
      <c r="AG38" s="6">
        <v>82.45603086668082</v>
      </c>
      <c r="AH38" s="6">
        <v>41.051269640157201</v>
      </c>
      <c r="AI38" s="6">
        <v>0</v>
      </c>
      <c r="AJ38" s="6">
        <v>5.4329217117903923</v>
      </c>
      <c r="AK38" s="6">
        <v>32.696795076757681</v>
      </c>
      <c r="AL38" s="6">
        <v>0</v>
      </c>
      <c r="AM38" s="6">
        <v>0</v>
      </c>
      <c r="AN38" s="6">
        <v>0</v>
      </c>
      <c r="AO38" s="6">
        <v>0</v>
      </c>
      <c r="AP38" s="6">
        <v>0</v>
      </c>
      <c r="AQ38" s="6">
        <v>32.696795076757681</v>
      </c>
      <c r="AR38" s="6">
        <v>419.99999964779192</v>
      </c>
      <c r="AS38" s="6">
        <v>549.81296399999997</v>
      </c>
      <c r="AT38" s="6">
        <v>484.05057525858001</v>
      </c>
      <c r="AU38" s="6">
        <v>441.13258157286651</v>
      </c>
    </row>
    <row r="39" spans="1:47" x14ac:dyDescent="0.35">
      <c r="A39" s="5">
        <v>46022</v>
      </c>
      <c r="B39" s="4" t="s">
        <v>82</v>
      </c>
      <c r="C39" s="4" t="s">
        <v>83</v>
      </c>
      <c r="D39" s="4" t="s">
        <v>61</v>
      </c>
      <c r="E39" s="6">
        <v>580.46</v>
      </c>
      <c r="F39" s="7">
        <v>0.50029999999999997</v>
      </c>
      <c r="G39" s="6">
        <v>94</v>
      </c>
      <c r="H39" s="6">
        <v>2.73</v>
      </c>
      <c r="I39" s="6">
        <v>97</v>
      </c>
      <c r="J39" s="6">
        <v>2.6480999999999999</v>
      </c>
      <c r="K39" s="8">
        <v>79.179000000000002</v>
      </c>
      <c r="L39" s="6">
        <v>65.662969610117329</v>
      </c>
      <c r="M39" s="6">
        <v>0</v>
      </c>
      <c r="N39" s="6">
        <v>32.35052235850651</v>
      </c>
      <c r="O39" s="6">
        <v>32.316230039816347</v>
      </c>
      <c r="P39" s="6">
        <v>130.3297220084402</v>
      </c>
      <c r="Q39" s="6">
        <v>49.832943291901792</v>
      </c>
      <c r="R39" s="6">
        <v>9.2634201397172191</v>
      </c>
      <c r="S39" s="6">
        <v>37.714640393477673</v>
      </c>
      <c r="T39" s="6">
        <v>24.075196257382881</v>
      </c>
      <c r="U39" s="6">
        <v>120.8862000824796</v>
      </c>
      <c r="V39" s="6">
        <v>251.21592209091969</v>
      </c>
      <c r="W39" s="6">
        <v>7.6685535240757954</v>
      </c>
      <c r="X39" s="6">
        <v>24.991942564102558</v>
      </c>
      <c r="Y39" s="6">
        <v>-107.1088623985676</v>
      </c>
      <c r="Z39" s="6">
        <v>176.7675557805305</v>
      </c>
      <c r="AA39" s="6">
        <v>50.703440825301954</v>
      </c>
      <c r="AB39" s="6">
        <v>227.4709966058324</v>
      </c>
      <c r="AC39" s="6">
        <v>0</v>
      </c>
      <c r="AD39" s="6">
        <v>5.2544303400480414</v>
      </c>
      <c r="AE39" s="6">
        <v>0</v>
      </c>
      <c r="AF39" s="6">
        <v>0</v>
      </c>
      <c r="AG39" s="6">
        <v>232.72542694588051</v>
      </c>
      <c r="AH39" s="6">
        <v>12.07338185005006</v>
      </c>
      <c r="AI39" s="6">
        <v>0</v>
      </c>
      <c r="AJ39" s="6">
        <v>5.2544303400480414</v>
      </c>
      <c r="AK39" s="6">
        <v>244.79880879593051</v>
      </c>
      <c r="AL39" s="6">
        <v>0</v>
      </c>
      <c r="AM39" s="6">
        <v>0</v>
      </c>
      <c r="AN39" s="6">
        <v>0</v>
      </c>
      <c r="AO39" s="6">
        <v>0</v>
      </c>
      <c r="AP39" s="6">
        <v>0</v>
      </c>
      <c r="AQ39" s="6">
        <v>244.79880879593051</v>
      </c>
      <c r="AR39" s="6">
        <v>419.99999964779198</v>
      </c>
      <c r="AS39" s="6">
        <v>30.788691</v>
      </c>
      <c r="AT39" s="6">
        <v>243.23244386726151</v>
      </c>
      <c r="AU39" s="6">
        <v>192.5290030419595</v>
      </c>
    </row>
    <row r="40" spans="1:47" x14ac:dyDescent="0.35">
      <c r="A40" s="5">
        <v>46022</v>
      </c>
      <c r="B40" s="4" t="s">
        <v>688</v>
      </c>
      <c r="C40" s="4" t="s">
        <v>689</v>
      </c>
      <c r="D40" s="4" t="s">
        <v>105</v>
      </c>
      <c r="E40" s="6">
        <v>573.89358100000004</v>
      </c>
      <c r="F40" s="7">
        <v>0.49</v>
      </c>
      <c r="G40" s="6">
        <v>75.5</v>
      </c>
      <c r="H40" s="6">
        <v>2.1230000000000002</v>
      </c>
      <c r="I40" s="6">
        <v>95.769231000000005</v>
      </c>
      <c r="J40" s="6">
        <v>2.0332949999999999</v>
      </c>
      <c r="K40" s="8">
        <v>30.998000000000001</v>
      </c>
      <c r="L40" s="6">
        <v>165.96771326226451</v>
      </c>
      <c r="M40" s="6">
        <v>35.760793300512809</v>
      </c>
      <c r="N40" s="6">
        <v>106.0401221993977</v>
      </c>
      <c r="O40" s="6">
        <v>45.922233930613118</v>
      </c>
      <c r="P40" s="6">
        <v>353.69086269278807</v>
      </c>
      <c r="Q40" s="6">
        <v>93.032289091383461</v>
      </c>
      <c r="R40" s="6">
        <v>18.958205508881601</v>
      </c>
      <c r="S40" s="6">
        <v>106.65817843680961</v>
      </c>
      <c r="T40" s="6">
        <v>34.05760514192297</v>
      </c>
      <c r="U40" s="6">
        <v>252.70627817899759</v>
      </c>
      <c r="V40" s="6">
        <v>606.39714087178572</v>
      </c>
      <c r="W40" s="6">
        <v>14.966343752866459</v>
      </c>
      <c r="X40" s="6">
        <v>22.57319110093125</v>
      </c>
      <c r="Y40" s="6">
        <v>-851.94585950983844</v>
      </c>
      <c r="Z40" s="6">
        <v>-208.00918378425499</v>
      </c>
      <c r="AA40" s="6">
        <v>93.281049644646629</v>
      </c>
      <c r="AB40" s="6">
        <v>-114.7281341396084</v>
      </c>
      <c r="AC40" s="6">
        <v>0</v>
      </c>
      <c r="AD40" s="6">
        <v>76.166904758106199</v>
      </c>
      <c r="AE40" s="6">
        <v>0</v>
      </c>
      <c r="AF40" s="6">
        <v>0</v>
      </c>
      <c r="AG40" s="6">
        <v>-38.56122938150218</v>
      </c>
      <c r="AH40" s="6">
        <v>7.546403158116223</v>
      </c>
      <c r="AI40" s="6">
        <v>0</v>
      </c>
      <c r="AJ40" s="6">
        <v>76.166904758106199</v>
      </c>
      <c r="AK40" s="6">
        <v>-31.01482622338596</v>
      </c>
      <c r="AL40" s="6">
        <v>0</v>
      </c>
      <c r="AM40" s="6">
        <v>0</v>
      </c>
      <c r="AN40" s="6">
        <v>0</v>
      </c>
      <c r="AO40" s="6">
        <v>0</v>
      </c>
      <c r="AP40" s="6">
        <v>0</v>
      </c>
      <c r="AQ40" s="6">
        <v>-31.01482622338596</v>
      </c>
      <c r="AR40" s="6">
        <v>420.00103245414732</v>
      </c>
      <c r="AS40" s="6">
        <v>65.109639000000001</v>
      </c>
      <c r="AT40" s="6">
        <v>628.01021623840234</v>
      </c>
      <c r="AU40" s="6">
        <v>534.72916659375574</v>
      </c>
    </row>
    <row r="41" spans="1:47" x14ac:dyDescent="0.35">
      <c r="A41" s="5">
        <v>46022</v>
      </c>
      <c r="B41" s="4" t="s">
        <v>87</v>
      </c>
      <c r="C41" s="4" t="s">
        <v>88</v>
      </c>
      <c r="D41" s="4" t="s">
        <v>89</v>
      </c>
      <c r="E41" s="6">
        <v>34936</v>
      </c>
      <c r="F41" s="7">
        <v>0.12</v>
      </c>
      <c r="G41" s="6">
        <v>81</v>
      </c>
      <c r="H41" s="6">
        <v>33.957999999999998</v>
      </c>
      <c r="I41" s="6">
        <v>97</v>
      </c>
      <c r="J41" s="6">
        <v>32.939058000000003</v>
      </c>
      <c r="K41" s="8">
        <v>15.148</v>
      </c>
      <c r="L41" s="6">
        <v>222.57850499119209</v>
      </c>
      <c r="M41" s="6">
        <v>45.823057710521262</v>
      </c>
      <c r="N41" s="6">
        <v>7.5633367477004452</v>
      </c>
      <c r="O41" s="6">
        <v>167.16281819297879</v>
      </c>
      <c r="P41" s="6">
        <v>443.12771764239261</v>
      </c>
      <c r="Q41" s="6">
        <v>120.71746854016619</v>
      </c>
      <c r="R41" s="6">
        <v>63.037283734712688</v>
      </c>
      <c r="S41" s="6">
        <v>194.6439712455778</v>
      </c>
      <c r="T41" s="6">
        <v>447.83361102616618</v>
      </c>
      <c r="U41" s="6">
        <v>826.23233454662295</v>
      </c>
      <c r="V41" s="6">
        <v>1269.360052189016</v>
      </c>
      <c r="W41" s="6">
        <v>5.6242043254384244</v>
      </c>
      <c r="X41" s="6">
        <v>22.706773080464242</v>
      </c>
      <c r="Y41" s="6">
        <v>-2185.2860123258129</v>
      </c>
      <c r="Z41" s="6">
        <v>-887.59498273089434</v>
      </c>
      <c r="AA41" s="6">
        <v>76.886345977024334</v>
      </c>
      <c r="AB41" s="6">
        <v>-810.70863675387</v>
      </c>
      <c r="AC41" s="6">
        <v>26.1642611054524</v>
      </c>
      <c r="AD41" s="6">
        <v>329.84537494724373</v>
      </c>
      <c r="AE41" s="6">
        <v>0</v>
      </c>
      <c r="AF41" s="6">
        <v>0</v>
      </c>
      <c r="AG41" s="6">
        <v>-454.69900070117387</v>
      </c>
      <c r="AH41" s="6">
        <v>51.991613786330682</v>
      </c>
      <c r="AI41" s="6">
        <v>5.5082578997020741</v>
      </c>
      <c r="AJ41" s="6">
        <v>190.40401504472581</v>
      </c>
      <c r="AK41" s="6">
        <v>-536.64048891765901</v>
      </c>
      <c r="AL41" s="6">
        <v>0</v>
      </c>
      <c r="AM41" s="6">
        <v>0</v>
      </c>
      <c r="AN41" s="6">
        <v>0</v>
      </c>
      <c r="AO41" s="6">
        <v>0</v>
      </c>
      <c r="AP41" s="6">
        <v>0</v>
      </c>
      <c r="AQ41" s="6">
        <v>-536.64048891765901</v>
      </c>
      <c r="AR41" s="6">
        <v>420.00053518223211</v>
      </c>
      <c r="AS41" s="6">
        <v>1893.1119650000001</v>
      </c>
      <c r="AT41" s="6">
        <v>1307.5955179131261</v>
      </c>
      <c r="AU41" s="6">
        <v>1230.7091719361019</v>
      </c>
    </row>
    <row r="42" spans="1:47" x14ac:dyDescent="0.35">
      <c r="A42" s="5">
        <v>46022</v>
      </c>
      <c r="B42" s="4" t="s">
        <v>100</v>
      </c>
      <c r="C42" s="4" t="s">
        <v>101</v>
      </c>
      <c r="D42" s="4" t="s">
        <v>102</v>
      </c>
      <c r="E42" s="6">
        <v>1796</v>
      </c>
      <c r="F42" s="7">
        <v>0.317</v>
      </c>
      <c r="G42" s="6">
        <v>70.27</v>
      </c>
      <c r="H42" s="6">
        <v>4.0010000000000003</v>
      </c>
      <c r="I42" s="6">
        <v>97</v>
      </c>
      <c r="J42" s="6">
        <v>3.8812929999999999</v>
      </c>
      <c r="K42" s="8">
        <v>8.0129999999999999</v>
      </c>
      <c r="L42" s="6">
        <v>775.20664207503296</v>
      </c>
      <c r="M42" s="6">
        <v>136.94580615819609</v>
      </c>
      <c r="N42" s="6">
        <v>50.393739795654071</v>
      </c>
      <c r="O42" s="6">
        <v>716.2907041294269</v>
      </c>
      <c r="P42" s="6">
        <v>1678.8368921583101</v>
      </c>
      <c r="Q42" s="6">
        <v>82.270376893836684</v>
      </c>
      <c r="R42" s="6">
        <v>107.03554116656341</v>
      </c>
      <c r="S42" s="6">
        <v>96.464567356767674</v>
      </c>
      <c r="T42" s="6">
        <v>227.11678639027039</v>
      </c>
      <c r="U42" s="6">
        <v>512.8872718074382</v>
      </c>
      <c r="V42" s="6">
        <v>2191.7241639657482</v>
      </c>
      <c r="W42" s="6">
        <v>11.07048683179476</v>
      </c>
      <c r="X42" s="6">
        <v>26.048034975126068</v>
      </c>
      <c r="Y42" s="6">
        <v>-4331.6852557140073</v>
      </c>
      <c r="Z42" s="6">
        <v>-2102.8425699413378</v>
      </c>
      <c r="AA42" s="6">
        <v>0</v>
      </c>
      <c r="AB42" s="6">
        <v>-2102.8425699413378</v>
      </c>
      <c r="AC42" s="6">
        <v>0</v>
      </c>
      <c r="AD42" s="6">
        <v>81.716808041425423</v>
      </c>
      <c r="AE42" s="6">
        <v>0</v>
      </c>
      <c r="AF42" s="6">
        <v>0</v>
      </c>
      <c r="AG42" s="6">
        <v>-2021.125761899913</v>
      </c>
      <c r="AH42" s="6">
        <v>175.33792807985469</v>
      </c>
      <c r="AI42" s="6">
        <v>0</v>
      </c>
      <c r="AJ42" s="6">
        <v>544.23827666284626</v>
      </c>
      <c r="AK42" s="6">
        <v>-1383.266365198637</v>
      </c>
      <c r="AL42" s="6">
        <v>458.20319499749621</v>
      </c>
      <c r="AM42" s="6">
        <v>0</v>
      </c>
      <c r="AN42" s="6">
        <v>0</v>
      </c>
      <c r="AO42" s="6">
        <v>0</v>
      </c>
      <c r="AP42" s="6">
        <v>0</v>
      </c>
      <c r="AQ42" s="6">
        <v>-925.06317020114113</v>
      </c>
      <c r="AR42" s="6">
        <v>420.000757127322</v>
      </c>
      <c r="AS42" s="6">
        <v>430.62161600000002</v>
      </c>
      <c r="AT42" s="6">
        <v>2522.8433270686601</v>
      </c>
      <c r="AU42" s="6">
        <v>2522.8433270686601</v>
      </c>
    </row>
    <row r="43" spans="1:47" x14ac:dyDescent="0.35">
      <c r="A43" s="5">
        <v>46022</v>
      </c>
      <c r="B43" s="4" t="s">
        <v>690</v>
      </c>
      <c r="C43" s="4" t="s">
        <v>691</v>
      </c>
      <c r="D43" s="4" t="s">
        <v>111</v>
      </c>
      <c r="E43" s="6">
        <v>1750</v>
      </c>
      <c r="F43" s="7">
        <v>0.74470000000000003</v>
      </c>
      <c r="G43" s="6">
        <v>91.36</v>
      </c>
      <c r="H43" s="6">
        <v>11.907</v>
      </c>
      <c r="I43" s="6">
        <v>96</v>
      </c>
      <c r="J43" s="6">
        <v>11.430528000000001</v>
      </c>
      <c r="K43" s="8">
        <v>75.867999999999995</v>
      </c>
      <c r="L43" s="6">
        <v>60.539630482662581</v>
      </c>
      <c r="M43" s="6">
        <v>96.036726847776634</v>
      </c>
      <c r="N43" s="6">
        <v>5.0030207125310611</v>
      </c>
      <c r="O43" s="6">
        <v>56.233873642184371</v>
      </c>
      <c r="P43" s="6">
        <v>217.8132516851546</v>
      </c>
      <c r="Q43" s="6">
        <v>16.14638849902034</v>
      </c>
      <c r="R43" s="6">
        <v>2.8401040980898911</v>
      </c>
      <c r="S43" s="6">
        <v>13.62652744875346</v>
      </c>
      <c r="T43" s="6">
        <v>44.678811421191362</v>
      </c>
      <c r="U43" s="6">
        <v>77.291831467055033</v>
      </c>
      <c r="V43" s="6">
        <v>295.10508315220972</v>
      </c>
      <c r="W43" s="6">
        <v>37.942254835064062</v>
      </c>
      <c r="X43" s="6">
        <v>35.137304185522602</v>
      </c>
      <c r="Y43" s="6">
        <v>-129.15963179099381</v>
      </c>
      <c r="Z43" s="6">
        <v>239.02501038180259</v>
      </c>
      <c r="AA43" s="6">
        <v>11.43672212307221</v>
      </c>
      <c r="AB43" s="6">
        <v>250.46173250487479</v>
      </c>
      <c r="AC43" s="6">
        <v>0</v>
      </c>
      <c r="AD43" s="6">
        <v>146.19885063656861</v>
      </c>
      <c r="AE43" s="6">
        <v>0</v>
      </c>
      <c r="AF43" s="6">
        <v>0</v>
      </c>
      <c r="AG43" s="6">
        <v>396.6605831414434</v>
      </c>
      <c r="AH43" s="6">
        <v>27.4333118375989</v>
      </c>
      <c r="AI43" s="6">
        <v>0</v>
      </c>
      <c r="AJ43" s="6">
        <v>107.8693446176234</v>
      </c>
      <c r="AK43" s="6">
        <v>385.76438896009711</v>
      </c>
      <c r="AL43" s="6">
        <v>0</v>
      </c>
      <c r="AM43" s="6">
        <v>0</v>
      </c>
      <c r="AN43" s="6">
        <v>0</v>
      </c>
      <c r="AO43" s="6">
        <v>0</v>
      </c>
      <c r="AP43" s="6">
        <v>0</v>
      </c>
      <c r="AQ43" s="6">
        <v>385.76438896009711</v>
      </c>
      <c r="AR43" s="6">
        <v>419.99897082392738</v>
      </c>
      <c r="AS43" s="6">
        <v>138.73882900000001</v>
      </c>
      <c r="AT43" s="6">
        <v>180.97396044212479</v>
      </c>
      <c r="AU43" s="6">
        <v>169.53723831905259</v>
      </c>
    </row>
    <row r="44" spans="1:47" x14ac:dyDescent="0.35">
      <c r="A44" s="5">
        <v>46022</v>
      </c>
      <c r="B44" s="4" t="s">
        <v>692</v>
      </c>
      <c r="C44" s="4" t="s">
        <v>693</v>
      </c>
      <c r="D44" s="4" t="s">
        <v>105</v>
      </c>
      <c r="E44" s="6">
        <v>3539.702448</v>
      </c>
      <c r="F44" s="7">
        <v>2.24E-2</v>
      </c>
      <c r="G44" s="6">
        <v>40</v>
      </c>
      <c r="H44" s="6">
        <v>0.317</v>
      </c>
      <c r="I44" s="6">
        <v>100</v>
      </c>
      <c r="J44" s="6">
        <v>0.31675300000000001</v>
      </c>
      <c r="K44" s="8">
        <v>0.69399999999999995</v>
      </c>
      <c r="L44" s="6">
        <v>7362.2014106329416</v>
      </c>
      <c r="M44" s="6">
        <v>475.90064886036862</v>
      </c>
      <c r="N44" s="6">
        <v>200.6485160530053</v>
      </c>
      <c r="O44" s="6">
        <v>992.86657726289479</v>
      </c>
      <c r="P44" s="6">
        <v>9031.6171528092109</v>
      </c>
      <c r="Q44" s="6">
        <v>2578.8630792429831</v>
      </c>
      <c r="R44" s="6">
        <v>423.99264385889342</v>
      </c>
      <c r="S44" s="6">
        <v>1596.300028335977</v>
      </c>
      <c r="T44" s="6">
        <v>1339.0193030558489</v>
      </c>
      <c r="U44" s="6">
        <v>5938.1750544937031</v>
      </c>
      <c r="V44" s="6">
        <v>14969.792207302909</v>
      </c>
      <c r="W44" s="6">
        <v>309.0371038246829</v>
      </c>
      <c r="X44" s="6">
        <v>366.89370786698839</v>
      </c>
      <c r="Y44" s="6">
        <v>-53755.75076732388</v>
      </c>
      <c r="Z44" s="6">
        <v>-38110.027748329303</v>
      </c>
      <c r="AA44" s="6">
        <v>1404.551550507133</v>
      </c>
      <c r="AB44" s="6">
        <v>-36705.476197822158</v>
      </c>
      <c r="AC44" s="6">
        <v>0</v>
      </c>
      <c r="AD44" s="6">
        <v>10256.209053665751</v>
      </c>
      <c r="AE44" s="6">
        <v>0</v>
      </c>
      <c r="AF44" s="6">
        <v>0</v>
      </c>
      <c r="AG44" s="6">
        <v>-26449.267144156409</v>
      </c>
      <c r="AH44" s="6">
        <v>131.01503863758401</v>
      </c>
      <c r="AI44" s="6">
        <v>0</v>
      </c>
      <c r="AJ44" s="6">
        <v>4746.4017692055068</v>
      </c>
      <c r="AK44" s="6">
        <v>-31828.059389979069</v>
      </c>
      <c r="AL44" s="6">
        <v>0</v>
      </c>
      <c r="AM44" s="6">
        <v>0</v>
      </c>
      <c r="AN44" s="6">
        <v>0</v>
      </c>
      <c r="AO44" s="6">
        <v>0</v>
      </c>
      <c r="AP44" s="6">
        <v>0</v>
      </c>
      <c r="AQ44" s="6">
        <v>-31828.059389979069</v>
      </c>
      <c r="AR44" s="6">
        <v>420.0623194994854</v>
      </c>
      <c r="AS44" s="6">
        <v>478.31796200000002</v>
      </c>
      <c r="AT44" s="6">
        <v>38530.09006782878</v>
      </c>
      <c r="AU44" s="6">
        <v>37125.538517321649</v>
      </c>
    </row>
    <row r="45" spans="1:47" x14ac:dyDescent="0.35">
      <c r="A45" s="5">
        <v>46022</v>
      </c>
      <c r="B45" s="4" t="s">
        <v>103</v>
      </c>
      <c r="C45" s="4" t="s">
        <v>104</v>
      </c>
      <c r="D45" s="4" t="s">
        <v>105</v>
      </c>
      <c r="E45" s="6">
        <v>3321.8980000000001</v>
      </c>
      <c r="F45" s="7">
        <v>3.8800000000000001E-2</v>
      </c>
      <c r="G45" s="6">
        <v>35.56</v>
      </c>
      <c r="H45" s="6">
        <v>0.45900000000000002</v>
      </c>
      <c r="I45" s="6">
        <v>100</v>
      </c>
      <c r="J45" s="6">
        <v>0.45874500000000001</v>
      </c>
      <c r="K45" s="8">
        <v>0.95699999999999996</v>
      </c>
      <c r="L45" s="6">
        <v>6127.2389204814617</v>
      </c>
      <c r="M45" s="6">
        <v>434.22166477375578</v>
      </c>
      <c r="N45" s="6">
        <v>298.59452326644703</v>
      </c>
      <c r="O45" s="6">
        <v>8592.4642194402186</v>
      </c>
      <c r="P45" s="6">
        <v>15452.51932796188</v>
      </c>
      <c r="Q45" s="6">
        <v>2184.4572114450611</v>
      </c>
      <c r="R45" s="6">
        <v>277.91706652104932</v>
      </c>
      <c r="S45" s="6">
        <v>1016.100268734044</v>
      </c>
      <c r="T45" s="6">
        <v>435.77067571860817</v>
      </c>
      <c r="U45" s="6">
        <v>3914.2452224187632</v>
      </c>
      <c r="V45" s="6">
        <v>19366.764550380649</v>
      </c>
      <c r="W45" s="6">
        <v>349.00286860894067</v>
      </c>
      <c r="X45" s="6">
        <v>202.18386645965469</v>
      </c>
      <c r="Y45" s="6">
        <v>-32485.98584974738</v>
      </c>
      <c r="Z45" s="6">
        <v>-12568.034564298139</v>
      </c>
      <c r="AA45" s="6">
        <v>988.37096471762152</v>
      </c>
      <c r="AB45" s="6">
        <v>-11579.663599580521</v>
      </c>
      <c r="AC45" s="6">
        <v>0</v>
      </c>
      <c r="AD45" s="6">
        <v>3444.6820649299452</v>
      </c>
      <c r="AE45" s="6">
        <v>0</v>
      </c>
      <c r="AF45" s="6">
        <v>0</v>
      </c>
      <c r="AG45" s="6">
        <v>-8134.9815346505738</v>
      </c>
      <c r="AH45" s="6">
        <v>19.608980790434799</v>
      </c>
      <c r="AI45" s="6">
        <v>0</v>
      </c>
      <c r="AJ45" s="6">
        <v>1932.0190100646289</v>
      </c>
      <c r="AK45" s="6">
        <v>-9628.0356087254568</v>
      </c>
      <c r="AL45" s="6">
        <v>38.519001595575709</v>
      </c>
      <c r="AM45" s="6">
        <v>0</v>
      </c>
      <c r="AN45" s="6">
        <v>0</v>
      </c>
      <c r="AO45" s="6">
        <v>0</v>
      </c>
      <c r="AP45" s="6">
        <v>0</v>
      </c>
      <c r="AQ45" s="6">
        <v>-9589.5166071298809</v>
      </c>
      <c r="AR45" s="6">
        <v>419.95880028870539</v>
      </c>
      <c r="AS45" s="6">
        <v>503.95921600000003</v>
      </c>
      <c r="AT45" s="6">
        <v>12987.99336458685</v>
      </c>
      <c r="AU45" s="6">
        <v>11999.62239986922</v>
      </c>
    </row>
    <row r="46" spans="1:47" x14ac:dyDescent="0.35">
      <c r="A46" s="5">
        <v>46022</v>
      </c>
      <c r="B46" s="4" t="s">
        <v>190</v>
      </c>
      <c r="C46" s="4" t="s">
        <v>191</v>
      </c>
      <c r="D46" s="4" t="s">
        <v>192</v>
      </c>
      <c r="E46" s="6">
        <v>32200</v>
      </c>
      <c r="F46" s="7">
        <v>0.46</v>
      </c>
      <c r="G46" s="6">
        <v>80</v>
      </c>
      <c r="H46" s="6">
        <v>118.496</v>
      </c>
      <c r="I46" s="6">
        <v>97</v>
      </c>
      <c r="J46" s="6">
        <v>114.94112</v>
      </c>
      <c r="K46" s="8">
        <v>84.492000000000004</v>
      </c>
      <c r="L46" s="6">
        <v>40.402784784402179</v>
      </c>
      <c r="M46" s="6">
        <v>28.392269783804341</v>
      </c>
      <c r="N46" s="6">
        <v>1.0896077583695649</v>
      </c>
      <c r="O46" s="6">
        <v>34.591145250869573</v>
      </c>
      <c r="P46" s="6">
        <v>104.47580757744571</v>
      </c>
      <c r="Q46" s="6">
        <v>17.090467447146739</v>
      </c>
      <c r="R46" s="6">
        <v>5.9983829633152181</v>
      </c>
      <c r="S46" s="6">
        <v>73.702584478097819</v>
      </c>
      <c r="T46" s="6">
        <v>52.678242661358702</v>
      </c>
      <c r="U46" s="6">
        <v>149.46967754991849</v>
      </c>
      <c r="V46" s="6">
        <v>253.94548512736409</v>
      </c>
      <c r="W46" s="6">
        <v>33.476259465590097</v>
      </c>
      <c r="X46" s="6">
        <v>24.495354639315639</v>
      </c>
      <c r="Y46" s="6">
        <v>-74.760255858158033</v>
      </c>
      <c r="Z46" s="6">
        <v>237.15684337411179</v>
      </c>
      <c r="AA46" s="6">
        <v>24.73797109133934</v>
      </c>
      <c r="AB46" s="6">
        <v>261.89481446545119</v>
      </c>
      <c r="AC46" s="6">
        <v>0</v>
      </c>
      <c r="AD46" s="6">
        <v>61.495706778777169</v>
      </c>
      <c r="AE46" s="6">
        <v>0</v>
      </c>
      <c r="AF46" s="6">
        <v>0</v>
      </c>
      <c r="AG46" s="6">
        <v>323.3905212442283</v>
      </c>
      <c r="AH46" s="6">
        <v>32.962921967309782</v>
      </c>
      <c r="AI46" s="6">
        <v>0</v>
      </c>
      <c r="AJ46" s="6">
        <v>57.323765033233691</v>
      </c>
      <c r="AK46" s="6">
        <v>352.18150146599459</v>
      </c>
      <c r="AL46" s="6">
        <v>9.8657611184239133</v>
      </c>
      <c r="AM46" s="6">
        <v>0</v>
      </c>
      <c r="AN46" s="6">
        <v>0</v>
      </c>
      <c r="AO46" s="6">
        <v>0</v>
      </c>
      <c r="AP46" s="6">
        <v>0</v>
      </c>
      <c r="AQ46" s="6">
        <v>362.0472625844186</v>
      </c>
      <c r="AR46" s="6">
        <v>419.99992656689631</v>
      </c>
      <c r="AS46" s="6">
        <v>1253.7311749999999</v>
      </c>
      <c r="AT46" s="6">
        <v>182.84308319278449</v>
      </c>
      <c r="AU46" s="6">
        <v>158.1051121014452</v>
      </c>
    </row>
    <row r="47" spans="1:47" x14ac:dyDescent="0.35">
      <c r="A47" s="5">
        <v>46022</v>
      </c>
      <c r="B47" s="4" t="s">
        <v>253</v>
      </c>
      <c r="C47" s="4" t="s">
        <v>254</v>
      </c>
      <c r="D47" s="4" t="s">
        <v>69</v>
      </c>
      <c r="E47" s="6">
        <v>35722.156940000001</v>
      </c>
      <c r="F47" s="7">
        <v>0.38</v>
      </c>
      <c r="G47" s="6">
        <v>73.37</v>
      </c>
      <c r="H47" s="6">
        <v>99.6</v>
      </c>
      <c r="I47" s="6">
        <v>95.529196999999996</v>
      </c>
      <c r="J47" s="6">
        <v>95.147080000000003</v>
      </c>
      <c r="K47" s="8">
        <v>76.915000000000006</v>
      </c>
      <c r="L47" s="6">
        <v>11.235335162549269</v>
      </c>
      <c r="M47" s="6">
        <v>28.773137705018161</v>
      </c>
      <c r="N47" s="6">
        <v>0.8484555746565805</v>
      </c>
      <c r="O47" s="6">
        <v>16.712371172720498</v>
      </c>
      <c r="P47" s="6">
        <v>57.569299614944498</v>
      </c>
      <c r="Q47" s="6">
        <v>7.9729143173782511</v>
      </c>
      <c r="R47" s="6">
        <v>61.360204299550261</v>
      </c>
      <c r="S47" s="6">
        <v>17.510759319544182</v>
      </c>
      <c r="T47" s="6">
        <v>20.487046517623959</v>
      </c>
      <c r="U47" s="6">
        <v>107.3309244540967</v>
      </c>
      <c r="V47" s="6">
        <v>164.9002240690412</v>
      </c>
      <c r="W47" s="6">
        <v>19.74720772125151</v>
      </c>
      <c r="X47" s="6">
        <v>24.233532980706251</v>
      </c>
      <c r="Y47" s="6">
        <v>-122.3575398205663</v>
      </c>
      <c r="Z47" s="6">
        <v>86.52342495043257</v>
      </c>
      <c r="AA47" s="6">
        <v>37.882658481119179</v>
      </c>
      <c r="AB47" s="6">
        <v>124.40608343155171</v>
      </c>
      <c r="AC47" s="6">
        <v>0</v>
      </c>
      <c r="AD47" s="6">
        <v>75.270230011566881</v>
      </c>
      <c r="AE47" s="6">
        <v>0</v>
      </c>
      <c r="AF47" s="6">
        <v>0</v>
      </c>
      <c r="AG47" s="6">
        <v>199.6763134431186</v>
      </c>
      <c r="AH47" s="6">
        <v>35.216168537091747</v>
      </c>
      <c r="AI47" s="6">
        <v>0</v>
      </c>
      <c r="AJ47" s="6">
        <v>45.029469541025378</v>
      </c>
      <c r="AK47" s="6">
        <v>204.6517215096689</v>
      </c>
      <c r="AL47" s="6">
        <v>0</v>
      </c>
      <c r="AM47" s="6">
        <v>5.0578149656262248</v>
      </c>
      <c r="AN47" s="6">
        <v>0</v>
      </c>
      <c r="AO47" s="6">
        <v>0</v>
      </c>
      <c r="AP47" s="6">
        <v>0</v>
      </c>
      <c r="AQ47" s="6">
        <v>209.7095364752951</v>
      </c>
      <c r="AR47" s="6">
        <v>420.0000879321617</v>
      </c>
      <c r="AS47" s="6">
        <v>1138.1881000000001</v>
      </c>
      <c r="AT47" s="6">
        <v>333.47666298172908</v>
      </c>
      <c r="AU47" s="6">
        <v>295.59400450060991</v>
      </c>
    </row>
    <row r="48" spans="1:47" x14ac:dyDescent="0.35">
      <c r="A48" s="5">
        <v>46022</v>
      </c>
      <c r="B48" s="4" t="s">
        <v>106</v>
      </c>
      <c r="C48" s="4" t="s">
        <v>107</v>
      </c>
      <c r="D48" s="4" t="s">
        <v>108</v>
      </c>
      <c r="E48" s="6">
        <v>983.274181</v>
      </c>
      <c r="F48" s="7">
        <v>0.62</v>
      </c>
      <c r="G48" s="6">
        <v>88.58</v>
      </c>
      <c r="H48" s="6">
        <v>5.4</v>
      </c>
      <c r="I48" s="6">
        <v>94.444444000000004</v>
      </c>
      <c r="J48" s="6">
        <v>5.0999999999999996</v>
      </c>
      <c r="K48" s="8">
        <v>35.106000000000002</v>
      </c>
      <c r="L48" s="6">
        <v>42.286654235294861</v>
      </c>
      <c r="M48" s="6">
        <v>128.44910712989611</v>
      </c>
      <c r="N48" s="6">
        <v>8.7063629206018778</v>
      </c>
      <c r="O48" s="6">
        <v>103.3320094504693</v>
      </c>
      <c r="P48" s="6">
        <v>282.77413373626217</v>
      </c>
      <c r="Q48" s="6">
        <v>64.086449222215506</v>
      </c>
      <c r="R48" s="6">
        <v>20.66759648566233</v>
      </c>
      <c r="S48" s="6">
        <v>88.877542995336313</v>
      </c>
      <c r="T48" s="6">
        <v>109.4773116389119</v>
      </c>
      <c r="U48" s="6">
        <v>283.10890034212611</v>
      </c>
      <c r="V48" s="6">
        <v>565.88303407838816</v>
      </c>
      <c r="W48" s="6">
        <v>16.690535375150269</v>
      </c>
      <c r="X48" s="6">
        <v>23.368776771764711</v>
      </c>
      <c r="Y48" s="6">
        <v>-753.36695853345066</v>
      </c>
      <c r="Z48" s="6">
        <v>-147.42461230814749</v>
      </c>
      <c r="AA48" s="6">
        <v>91.963804737277954</v>
      </c>
      <c r="AB48" s="6">
        <v>-55.460807570869527</v>
      </c>
      <c r="AC48" s="6">
        <v>0</v>
      </c>
      <c r="AD48" s="6">
        <v>260.32504195156281</v>
      </c>
      <c r="AE48" s="6">
        <v>0</v>
      </c>
      <c r="AF48" s="6">
        <v>0</v>
      </c>
      <c r="AG48" s="6">
        <v>204.86423438069329</v>
      </c>
      <c r="AH48" s="6">
        <v>76.408387683447899</v>
      </c>
      <c r="AI48" s="6">
        <v>0</v>
      </c>
      <c r="AJ48" s="6">
        <v>53.750416578449169</v>
      </c>
      <c r="AK48" s="6">
        <v>74.697996691027541</v>
      </c>
      <c r="AL48" s="6">
        <v>0</v>
      </c>
      <c r="AM48" s="6">
        <v>17.55968033558559</v>
      </c>
      <c r="AN48" s="6">
        <v>0</v>
      </c>
      <c r="AO48" s="6">
        <v>0</v>
      </c>
      <c r="AP48" s="6">
        <v>0</v>
      </c>
      <c r="AQ48" s="6">
        <v>92.257677026613123</v>
      </c>
      <c r="AR48" s="6">
        <v>419.99999964779198</v>
      </c>
      <c r="AS48" s="6">
        <v>132.040638</v>
      </c>
      <c r="AT48" s="6">
        <v>567.42461195593944</v>
      </c>
      <c r="AU48" s="6">
        <v>475.4608072186615</v>
      </c>
    </row>
    <row r="49" spans="1:47" x14ac:dyDescent="0.35">
      <c r="A49" s="5">
        <v>46022</v>
      </c>
      <c r="B49" s="4" t="s">
        <v>109</v>
      </c>
      <c r="C49" s="4" t="s">
        <v>110</v>
      </c>
      <c r="D49" s="4" t="s">
        <v>111</v>
      </c>
      <c r="E49" s="6">
        <v>81000</v>
      </c>
      <c r="F49" s="7">
        <v>0.5</v>
      </c>
      <c r="G49" s="6">
        <v>74.91</v>
      </c>
      <c r="H49" s="6">
        <v>303.39999999999998</v>
      </c>
      <c r="I49" s="6">
        <v>97</v>
      </c>
      <c r="J49" s="6">
        <v>294.298</v>
      </c>
      <c r="K49" s="8">
        <v>78.805999999999997</v>
      </c>
      <c r="L49" s="6">
        <v>10.209730355605471</v>
      </c>
      <c r="M49" s="6">
        <v>25.42626812345517</v>
      </c>
      <c r="N49" s="6">
        <v>0.86406188424917585</v>
      </c>
      <c r="O49" s="6">
        <v>14.7053190471348</v>
      </c>
      <c r="P49" s="6">
        <v>51.205379410444621</v>
      </c>
      <c r="Q49" s="6">
        <v>3.9669044651786409</v>
      </c>
      <c r="R49" s="6">
        <v>27.830278246218189</v>
      </c>
      <c r="S49" s="6">
        <v>54.42028087528179</v>
      </c>
      <c r="T49" s="6">
        <v>21.48647951120072</v>
      </c>
      <c r="U49" s="6">
        <v>107.7039430978793</v>
      </c>
      <c r="V49" s="6">
        <v>158.90932250832401</v>
      </c>
      <c r="W49" s="6">
        <v>14.47005588817828</v>
      </c>
      <c r="X49" s="6">
        <v>24.66355504078312</v>
      </c>
      <c r="Y49" s="6">
        <v>-105.9372461481253</v>
      </c>
      <c r="Z49" s="6">
        <v>92.105687289160102</v>
      </c>
      <c r="AA49" s="6">
        <v>24.446997327643931</v>
      </c>
      <c r="AB49" s="6">
        <v>116.552684616804</v>
      </c>
      <c r="AC49" s="6">
        <v>0</v>
      </c>
      <c r="AD49" s="6">
        <v>43.842913486107442</v>
      </c>
      <c r="AE49" s="6">
        <v>0</v>
      </c>
      <c r="AF49" s="6">
        <v>0</v>
      </c>
      <c r="AG49" s="6">
        <v>160.39559810291149</v>
      </c>
      <c r="AH49" s="6">
        <v>5.2403133574993399</v>
      </c>
      <c r="AI49" s="6">
        <v>0</v>
      </c>
      <c r="AJ49" s="6">
        <v>19.419994342239939</v>
      </c>
      <c r="AK49" s="6">
        <v>141.21299231654331</v>
      </c>
      <c r="AL49" s="6">
        <v>40.350424088595581</v>
      </c>
      <c r="AM49" s="6">
        <v>0</v>
      </c>
      <c r="AN49" s="6">
        <v>0</v>
      </c>
      <c r="AO49" s="6">
        <v>0</v>
      </c>
      <c r="AP49" s="6">
        <v>0</v>
      </c>
      <c r="AQ49" s="6">
        <v>181.5634164051389</v>
      </c>
      <c r="AR49" s="6">
        <v>419.99999964779192</v>
      </c>
      <c r="AS49" s="6">
        <v>3481.1418370000001</v>
      </c>
      <c r="AT49" s="6">
        <v>327.89431235863179</v>
      </c>
      <c r="AU49" s="6">
        <v>303.44731503098791</v>
      </c>
    </row>
    <row r="50" spans="1:47" x14ac:dyDescent="0.35">
      <c r="A50" s="5">
        <v>46022</v>
      </c>
      <c r="B50" s="4" t="s">
        <v>112</v>
      </c>
      <c r="C50" s="4" t="s">
        <v>113</v>
      </c>
      <c r="D50" s="4" t="s">
        <v>111</v>
      </c>
      <c r="E50" s="6">
        <v>95000</v>
      </c>
      <c r="F50" s="7">
        <v>0.28989999999999999</v>
      </c>
      <c r="G50" s="6">
        <v>35</v>
      </c>
      <c r="H50" s="6">
        <v>96.39</v>
      </c>
      <c r="I50" s="6">
        <v>100</v>
      </c>
      <c r="J50" s="6">
        <v>96.39</v>
      </c>
      <c r="K50" s="8">
        <v>100</v>
      </c>
      <c r="L50" s="6">
        <v>0</v>
      </c>
      <c r="M50" s="6">
        <v>0</v>
      </c>
      <c r="N50" s="6">
        <v>0</v>
      </c>
      <c r="O50" s="6">
        <v>0</v>
      </c>
      <c r="P50" s="6">
        <v>0</v>
      </c>
      <c r="Q50" s="6">
        <v>36.685789957223307</v>
      </c>
      <c r="R50" s="6">
        <v>1.0095759588260711</v>
      </c>
      <c r="S50" s="6">
        <v>29.545888882960782</v>
      </c>
      <c r="T50" s="6">
        <v>20.746935716062449</v>
      </c>
      <c r="U50" s="6">
        <v>87.988190515072617</v>
      </c>
      <c r="V50" s="6">
        <v>87.988190515072617</v>
      </c>
      <c r="W50" s="6">
        <v>3.1510716306514062</v>
      </c>
      <c r="X50" s="6">
        <v>0</v>
      </c>
      <c r="Y50" s="6">
        <v>-1.8824083354999998E-15</v>
      </c>
      <c r="Z50" s="6">
        <v>91.139262145724004</v>
      </c>
      <c r="AA50" s="6">
        <v>24.316356068228458</v>
      </c>
      <c r="AB50" s="6">
        <v>115.4556182139525</v>
      </c>
      <c r="AC50" s="6">
        <v>0</v>
      </c>
      <c r="AD50" s="6">
        <v>23.082197610460781</v>
      </c>
      <c r="AE50" s="6">
        <v>0</v>
      </c>
      <c r="AF50" s="6">
        <v>0</v>
      </c>
      <c r="AG50" s="6">
        <v>138.53781582441329</v>
      </c>
      <c r="AH50" s="6">
        <v>4.7057961366474208</v>
      </c>
      <c r="AI50" s="6">
        <v>0</v>
      </c>
      <c r="AJ50" s="6">
        <v>7.5292827596619443</v>
      </c>
      <c r="AK50" s="6">
        <v>127.69069711026179</v>
      </c>
      <c r="AL50" s="6">
        <v>0</v>
      </c>
      <c r="AM50" s="6">
        <v>0</v>
      </c>
      <c r="AN50" s="6">
        <v>0</v>
      </c>
      <c r="AO50" s="6">
        <v>0</v>
      </c>
      <c r="AP50" s="6">
        <v>0</v>
      </c>
      <c r="AQ50" s="6">
        <v>127.69069711026179</v>
      </c>
      <c r="AR50" s="6">
        <v>419.99999964779192</v>
      </c>
      <c r="AS50" s="6">
        <v>892.51501199999996</v>
      </c>
      <c r="AT50" s="6">
        <v>328.86073750206788</v>
      </c>
      <c r="AU50" s="6">
        <v>304.54438143383948</v>
      </c>
    </row>
    <row r="51" spans="1:47" x14ac:dyDescent="0.35">
      <c r="A51" s="5">
        <v>46022</v>
      </c>
      <c r="B51" s="4" t="s">
        <v>255</v>
      </c>
      <c r="C51" s="4" t="s">
        <v>256</v>
      </c>
      <c r="D51" s="4" t="s">
        <v>257</v>
      </c>
      <c r="E51" s="6">
        <v>1147.619048</v>
      </c>
      <c r="F51" s="7">
        <v>0.22589999999999999</v>
      </c>
      <c r="G51" s="6">
        <v>93</v>
      </c>
      <c r="H51" s="6">
        <v>2.411</v>
      </c>
      <c r="I51" s="6">
        <v>95.65</v>
      </c>
      <c r="J51" s="6">
        <v>2.3061630000000002</v>
      </c>
      <c r="K51" s="8">
        <v>4.4729999999999999</v>
      </c>
      <c r="L51" s="6">
        <v>752.93304708123128</v>
      </c>
      <c r="M51" s="6">
        <v>678.41176507325099</v>
      </c>
      <c r="N51" s="6">
        <v>170.6735284392839</v>
      </c>
      <c r="O51" s="6">
        <v>445.42730722037089</v>
      </c>
      <c r="P51" s="6">
        <v>2047.4456478141369</v>
      </c>
      <c r="Q51" s="6">
        <v>231.80115650532591</v>
      </c>
      <c r="R51" s="6">
        <v>60.067841682793862</v>
      </c>
      <c r="S51" s="6">
        <v>741.08328504876044</v>
      </c>
      <c r="T51" s="6">
        <v>340.31697548308051</v>
      </c>
      <c r="U51" s="6">
        <v>1373.269258719961</v>
      </c>
      <c r="V51" s="6">
        <v>3420.7149065340982</v>
      </c>
      <c r="W51" s="6">
        <v>99.084839237088516</v>
      </c>
      <c r="X51" s="6">
        <v>18.973062186608662</v>
      </c>
      <c r="Y51" s="6">
        <v>-8412.7369693865221</v>
      </c>
      <c r="Z51" s="6">
        <v>-4873.9641614287266</v>
      </c>
      <c r="AA51" s="6">
        <v>528.60706934267648</v>
      </c>
      <c r="AB51" s="6">
        <v>-4345.3570920860511</v>
      </c>
      <c r="AC51" s="6">
        <v>19.689124995450211</v>
      </c>
      <c r="AD51" s="6">
        <v>1112.226724441445</v>
      </c>
      <c r="AE51" s="6">
        <v>0</v>
      </c>
      <c r="AF51" s="6">
        <v>0</v>
      </c>
      <c r="AG51" s="6">
        <v>-3213.4412426491549</v>
      </c>
      <c r="AH51" s="6">
        <v>115.78877824933549</v>
      </c>
      <c r="AI51" s="6">
        <v>0</v>
      </c>
      <c r="AJ51" s="6">
        <v>1336.047983596407</v>
      </c>
      <c r="AK51" s="6">
        <v>-2873.8312052448582</v>
      </c>
      <c r="AL51" s="6">
        <v>0</v>
      </c>
      <c r="AM51" s="6">
        <v>0</v>
      </c>
      <c r="AN51" s="6">
        <v>0</v>
      </c>
      <c r="AO51" s="6">
        <v>0</v>
      </c>
      <c r="AP51" s="6">
        <v>0</v>
      </c>
      <c r="AQ51" s="6">
        <v>-2873.8312052448582</v>
      </c>
      <c r="AR51" s="6">
        <v>420.00673811336742</v>
      </c>
      <c r="AS51" s="6">
        <v>449.76005199999997</v>
      </c>
      <c r="AT51" s="6">
        <v>5293.9708995420942</v>
      </c>
      <c r="AU51" s="6">
        <v>4765.3638301994179</v>
      </c>
    </row>
    <row r="52" spans="1:47" x14ac:dyDescent="0.35">
      <c r="A52" s="5">
        <v>46022</v>
      </c>
      <c r="B52" s="4" t="s">
        <v>114</v>
      </c>
      <c r="C52" s="4" t="s">
        <v>115</v>
      </c>
      <c r="D52" s="4" t="s">
        <v>86</v>
      </c>
      <c r="E52" s="6">
        <v>367.7</v>
      </c>
      <c r="F52" s="7">
        <v>2.1917</v>
      </c>
      <c r="G52" s="6">
        <v>90.98</v>
      </c>
      <c r="H52" s="6">
        <v>7.3319999999999999</v>
      </c>
      <c r="I52" s="6">
        <v>97</v>
      </c>
      <c r="J52" s="6">
        <v>7.1119430000000001</v>
      </c>
      <c r="K52" s="8">
        <v>78.605999999999995</v>
      </c>
      <c r="L52" s="6">
        <v>26.858675986652319</v>
      </c>
      <c r="M52" s="6">
        <v>1.2950565714380431</v>
      </c>
      <c r="N52" s="6">
        <v>4.4409028653376108</v>
      </c>
      <c r="O52" s="6">
        <v>9.9723907941878807</v>
      </c>
      <c r="P52" s="6">
        <v>42.567026217615847</v>
      </c>
      <c r="Q52" s="6">
        <v>13.426155621280889</v>
      </c>
      <c r="R52" s="6">
        <v>3.4967655447216091</v>
      </c>
      <c r="S52" s="6">
        <v>7.8706533300551396</v>
      </c>
      <c r="T52" s="6">
        <v>8.2109420042513932</v>
      </c>
      <c r="U52" s="6">
        <v>33.004516500309037</v>
      </c>
      <c r="V52" s="6">
        <v>75.571542717924885</v>
      </c>
      <c r="W52" s="6">
        <v>7.8754847238855357</v>
      </c>
      <c r="X52" s="6">
        <v>27.678875020884728</v>
      </c>
      <c r="Y52" s="6">
        <v>-109.2156995024629</v>
      </c>
      <c r="Z52" s="6">
        <v>1.9102029602322821</v>
      </c>
      <c r="AA52" s="6">
        <v>32.180240547636757</v>
      </c>
      <c r="AB52" s="6">
        <v>34.090443507869047</v>
      </c>
      <c r="AC52" s="6">
        <v>0</v>
      </c>
      <c r="AD52" s="6">
        <v>82.658741546395376</v>
      </c>
      <c r="AE52" s="6">
        <v>0</v>
      </c>
      <c r="AF52" s="6">
        <v>0</v>
      </c>
      <c r="AG52" s="6">
        <v>116.7491850542644</v>
      </c>
      <c r="AH52" s="6">
        <v>17.139275562029109</v>
      </c>
      <c r="AI52" s="6">
        <v>0</v>
      </c>
      <c r="AJ52" s="6">
        <v>65.046127423938486</v>
      </c>
      <c r="AK52" s="6">
        <v>116.2758464938367</v>
      </c>
      <c r="AL52" s="6">
        <v>0</v>
      </c>
      <c r="AM52" s="6">
        <v>0</v>
      </c>
      <c r="AN52" s="6">
        <v>0</v>
      </c>
      <c r="AO52" s="6">
        <v>0</v>
      </c>
      <c r="AP52" s="6">
        <v>0</v>
      </c>
      <c r="AQ52" s="6">
        <v>116.2758464938367</v>
      </c>
      <c r="AR52" s="6">
        <v>419.99746025736312</v>
      </c>
      <c r="AS52" s="6">
        <v>84.093052999999998</v>
      </c>
      <c r="AT52" s="6">
        <v>418.0872572971308</v>
      </c>
      <c r="AU52" s="6">
        <v>385.90701674949401</v>
      </c>
    </row>
    <row r="53" spans="1:47" x14ac:dyDescent="0.35">
      <c r="A53" s="5">
        <v>46022</v>
      </c>
      <c r="B53" s="4" t="s">
        <v>90</v>
      </c>
      <c r="C53" s="4" t="s">
        <v>91</v>
      </c>
      <c r="D53" s="4" t="s">
        <v>86</v>
      </c>
      <c r="E53" s="6">
        <v>10500</v>
      </c>
      <c r="F53" s="7">
        <v>0.74299999999999999</v>
      </c>
      <c r="G53" s="6">
        <v>85</v>
      </c>
      <c r="H53" s="6">
        <v>66.316000000000003</v>
      </c>
      <c r="I53" s="6">
        <v>97</v>
      </c>
      <c r="J53" s="6">
        <v>64.326181000000005</v>
      </c>
      <c r="K53" s="8">
        <v>41.593000000000004</v>
      </c>
      <c r="L53" s="6">
        <v>43.842887741878023</v>
      </c>
      <c r="M53" s="6">
        <v>16.275986332842489</v>
      </c>
      <c r="N53" s="6">
        <v>12.030605758888839</v>
      </c>
      <c r="O53" s="6">
        <v>146.92899895419259</v>
      </c>
      <c r="P53" s="6">
        <v>219.07847878780191</v>
      </c>
      <c r="Q53" s="6">
        <v>20.306680097104358</v>
      </c>
      <c r="R53" s="6">
        <v>37.759075514589817</v>
      </c>
      <c r="S53" s="6">
        <v>22.03574704958509</v>
      </c>
      <c r="T53" s="6">
        <v>38.150659043041287</v>
      </c>
      <c r="U53" s="6">
        <v>118.2521617043206</v>
      </c>
      <c r="V53" s="6">
        <v>337.33064049212248</v>
      </c>
      <c r="W53" s="6">
        <v>48.644761782068663</v>
      </c>
      <c r="X53" s="6">
        <v>22.963874246644551</v>
      </c>
      <c r="Y53" s="6">
        <v>-381.25019685349929</v>
      </c>
      <c r="Z53" s="6">
        <v>27.68907966733634</v>
      </c>
      <c r="AA53" s="6">
        <v>94.087521073216664</v>
      </c>
      <c r="AB53" s="6">
        <v>121.77660074055299</v>
      </c>
      <c r="AC53" s="6">
        <v>0</v>
      </c>
      <c r="AD53" s="6">
        <v>106.5711587106416</v>
      </c>
      <c r="AE53" s="6">
        <v>0</v>
      </c>
      <c r="AF53" s="6">
        <v>0</v>
      </c>
      <c r="AG53" s="6">
        <v>228.34775945119461</v>
      </c>
      <c r="AH53" s="6">
        <v>15.95838371908409</v>
      </c>
      <c r="AI53" s="6">
        <v>0</v>
      </c>
      <c r="AJ53" s="6">
        <v>67.693847454757858</v>
      </c>
      <c r="AK53" s="6">
        <v>205.428831914395</v>
      </c>
      <c r="AL53" s="6">
        <v>0</v>
      </c>
      <c r="AM53" s="6">
        <v>3.5257177509700899</v>
      </c>
      <c r="AN53" s="6">
        <v>0</v>
      </c>
      <c r="AO53" s="6">
        <v>0</v>
      </c>
      <c r="AP53" s="6">
        <v>0</v>
      </c>
      <c r="AQ53" s="6">
        <v>208.95454966536511</v>
      </c>
      <c r="AR53" s="6">
        <v>420.0001237030346</v>
      </c>
      <c r="AS53" s="6">
        <v>1373.672687</v>
      </c>
      <c r="AT53" s="6">
        <v>392.31104403569822</v>
      </c>
      <c r="AU53" s="6">
        <v>298.22352296248152</v>
      </c>
    </row>
    <row r="54" spans="1:47" x14ac:dyDescent="0.35">
      <c r="A54" s="5">
        <v>46022</v>
      </c>
      <c r="B54" s="4" t="s">
        <v>258</v>
      </c>
      <c r="C54" s="4" t="s">
        <v>259</v>
      </c>
      <c r="D54" s="4" t="s">
        <v>111</v>
      </c>
      <c r="E54" s="6">
        <v>620</v>
      </c>
      <c r="F54" s="7">
        <v>0.8</v>
      </c>
      <c r="G54" s="6">
        <v>78</v>
      </c>
      <c r="H54" s="6">
        <v>3.8690000000000002</v>
      </c>
      <c r="I54" s="6">
        <v>97</v>
      </c>
      <c r="J54" s="6">
        <v>3.7527360000000001</v>
      </c>
      <c r="K54" s="8">
        <v>35.723999999999997</v>
      </c>
      <c r="L54" s="6">
        <v>122.0681380545352</v>
      </c>
      <c r="M54" s="6">
        <v>7.948290526458333</v>
      </c>
      <c r="N54" s="6">
        <v>4.0902823857852564</v>
      </c>
      <c r="O54" s="6">
        <v>156.6716723946634</v>
      </c>
      <c r="P54" s="6">
        <v>290.7783833614422</v>
      </c>
      <c r="Q54" s="6">
        <v>107.3497296099038</v>
      </c>
      <c r="R54" s="6">
        <v>21.675477341762821</v>
      </c>
      <c r="S54" s="6">
        <v>54.99590911780448</v>
      </c>
      <c r="T54" s="6">
        <v>52.106056301362173</v>
      </c>
      <c r="U54" s="6">
        <v>236.12717237083331</v>
      </c>
      <c r="V54" s="6">
        <v>526.9055557322755</v>
      </c>
      <c r="W54" s="6">
        <v>59.68909441956999</v>
      </c>
      <c r="X54" s="6">
        <v>31.597874767870479</v>
      </c>
      <c r="Y54" s="6">
        <v>-686.02432223858511</v>
      </c>
      <c r="Z54" s="6">
        <v>-67.831797318869121</v>
      </c>
      <c r="AA54" s="6">
        <v>19.77861583597857</v>
      </c>
      <c r="AB54" s="6">
        <v>-48.053181482890551</v>
      </c>
      <c r="AC54" s="6">
        <v>3.3084785264102559</v>
      </c>
      <c r="AD54" s="6">
        <v>100.8727366182532</v>
      </c>
      <c r="AE54" s="6">
        <v>0</v>
      </c>
      <c r="AF54" s="6">
        <v>0</v>
      </c>
      <c r="AG54" s="6">
        <v>56.128033661772903</v>
      </c>
      <c r="AH54" s="6">
        <v>17.831437879679481</v>
      </c>
      <c r="AI54" s="6">
        <v>15.713069786121791</v>
      </c>
      <c r="AJ54" s="6">
        <v>157.13071284907051</v>
      </c>
      <c r="AK54" s="6">
        <v>145.9305175583915</v>
      </c>
      <c r="AL54" s="6">
        <v>0</v>
      </c>
      <c r="AM54" s="6">
        <v>0</v>
      </c>
      <c r="AN54" s="6">
        <v>0</v>
      </c>
      <c r="AO54" s="6">
        <v>0</v>
      </c>
      <c r="AP54" s="6">
        <v>0</v>
      </c>
      <c r="AQ54" s="6">
        <v>145.9305175583915</v>
      </c>
      <c r="AR54" s="6">
        <v>419.99597058739778</v>
      </c>
      <c r="AS54" s="6">
        <v>101.823661</v>
      </c>
      <c r="AT54" s="6">
        <v>487.8277679062669</v>
      </c>
      <c r="AU54" s="6">
        <v>468.0491520702883</v>
      </c>
    </row>
    <row r="55" spans="1:47" x14ac:dyDescent="0.35">
      <c r="A55" s="5">
        <v>46022</v>
      </c>
      <c r="B55" s="4" t="s">
        <v>92</v>
      </c>
      <c r="C55" s="4" t="s">
        <v>93</v>
      </c>
      <c r="D55" s="4" t="s">
        <v>58</v>
      </c>
      <c r="E55" s="6">
        <v>31476</v>
      </c>
      <c r="F55" s="7">
        <v>0.51</v>
      </c>
      <c r="G55" s="6">
        <v>92.93</v>
      </c>
      <c r="H55" s="6">
        <v>149.17599999999999</v>
      </c>
      <c r="I55" s="6">
        <v>96.5</v>
      </c>
      <c r="J55" s="6">
        <v>143.95515</v>
      </c>
      <c r="K55" s="8">
        <v>86.489000000000004</v>
      </c>
      <c r="L55" s="6">
        <v>51.554942140364162</v>
      </c>
      <c r="M55" s="6">
        <v>12.79162230768117</v>
      </c>
      <c r="N55" s="6">
        <v>3.0754298963438478</v>
      </c>
      <c r="O55" s="6">
        <v>32.266614266460493</v>
      </c>
      <c r="P55" s="6">
        <v>99.68860861084967</v>
      </c>
      <c r="Q55" s="6">
        <v>5.8059264624772959</v>
      </c>
      <c r="R55" s="6">
        <v>35.323755624867417</v>
      </c>
      <c r="S55" s="6">
        <v>61.189877506518648</v>
      </c>
      <c r="T55" s="6">
        <v>17.992569092493671</v>
      </c>
      <c r="U55" s="6">
        <v>120.312128686357</v>
      </c>
      <c r="V55" s="6">
        <v>220.00073729720671</v>
      </c>
      <c r="W55" s="6">
        <v>6.2195564768403173</v>
      </c>
      <c r="X55" s="6">
        <v>20.130167118186069</v>
      </c>
      <c r="Y55" s="6">
        <v>-63.779554168597961</v>
      </c>
      <c r="Z55" s="6">
        <v>182.57090672363509</v>
      </c>
      <c r="AA55" s="6">
        <v>21.34926357443306</v>
      </c>
      <c r="AB55" s="6">
        <v>203.9201702980682</v>
      </c>
      <c r="AC55" s="6">
        <v>0</v>
      </c>
      <c r="AD55" s="6">
        <v>75.610945070060765</v>
      </c>
      <c r="AE55" s="6">
        <v>0</v>
      </c>
      <c r="AF55" s="6">
        <v>0</v>
      </c>
      <c r="AG55" s="6">
        <v>279.53111536812901</v>
      </c>
      <c r="AH55" s="6">
        <v>7.4988361186952348</v>
      </c>
      <c r="AI55" s="6">
        <v>0</v>
      </c>
      <c r="AJ55" s="6">
        <v>64.594034946202555</v>
      </c>
      <c r="AK55" s="6">
        <v>276.01304136296602</v>
      </c>
      <c r="AL55" s="6">
        <v>0</v>
      </c>
      <c r="AM55" s="6">
        <v>0</v>
      </c>
      <c r="AN55" s="6">
        <v>0</v>
      </c>
      <c r="AO55" s="6">
        <v>0</v>
      </c>
      <c r="AP55" s="6">
        <v>0</v>
      </c>
      <c r="AQ55" s="6">
        <v>276.01304136296602</v>
      </c>
      <c r="AR55" s="6">
        <v>420.00014552656029</v>
      </c>
      <c r="AS55" s="6">
        <v>1538.1356430000001</v>
      </c>
      <c r="AT55" s="6">
        <v>237.4292388029252</v>
      </c>
      <c r="AU55" s="6">
        <v>216.07997522849209</v>
      </c>
    </row>
    <row r="56" spans="1:47" x14ac:dyDescent="0.35">
      <c r="A56" s="5">
        <v>46022</v>
      </c>
      <c r="B56" s="4" t="s">
        <v>116</v>
      </c>
      <c r="C56" s="4" t="s">
        <v>117</v>
      </c>
      <c r="D56" s="4" t="s">
        <v>111</v>
      </c>
      <c r="E56" s="6">
        <v>1300</v>
      </c>
      <c r="F56" s="7">
        <v>0.77</v>
      </c>
      <c r="G56" s="6">
        <v>42</v>
      </c>
      <c r="H56" s="6">
        <v>4.2039999999999997</v>
      </c>
      <c r="I56" s="6">
        <v>97</v>
      </c>
      <c r="J56" s="6">
        <v>4.078074</v>
      </c>
      <c r="K56" s="8">
        <v>17.521999999999998</v>
      </c>
      <c r="L56" s="6">
        <v>372.58755828333329</v>
      </c>
      <c r="M56" s="6">
        <v>161.6546999619047</v>
      </c>
      <c r="N56" s="6">
        <v>85.116189338095225</v>
      </c>
      <c r="O56" s="6">
        <v>353.82579113809521</v>
      </c>
      <c r="P56" s="6">
        <v>973.18423872142841</v>
      </c>
      <c r="Q56" s="6">
        <v>178.49439152619041</v>
      </c>
      <c r="R56" s="6">
        <v>128.86547403809519</v>
      </c>
      <c r="S56" s="6">
        <v>202.40502158571431</v>
      </c>
      <c r="T56" s="6">
        <v>186.63413464285711</v>
      </c>
      <c r="U56" s="6">
        <v>696.39902179285696</v>
      </c>
      <c r="V56" s="6">
        <v>1669.583260514285</v>
      </c>
      <c r="W56" s="6">
        <v>12.994109817119201</v>
      </c>
      <c r="X56" s="6">
        <v>22.963923004469269</v>
      </c>
      <c r="Y56" s="6">
        <v>-1918.051928212014</v>
      </c>
      <c r="Z56" s="6">
        <v>-212.51063487613999</v>
      </c>
      <c r="AA56" s="6">
        <v>3.7020404835576719</v>
      </c>
      <c r="AB56" s="6">
        <v>-208.80859439258231</v>
      </c>
      <c r="AC56" s="6">
        <v>0</v>
      </c>
      <c r="AD56" s="6">
        <v>411.2868109142857</v>
      </c>
      <c r="AE56" s="6">
        <v>0</v>
      </c>
      <c r="AF56" s="6">
        <v>0</v>
      </c>
      <c r="AG56" s="6">
        <v>202.47821652170339</v>
      </c>
      <c r="AH56" s="6">
        <v>20.438782716666658</v>
      </c>
      <c r="AI56" s="6">
        <v>0</v>
      </c>
      <c r="AJ56" s="6">
        <v>87.693830809523789</v>
      </c>
      <c r="AK56" s="6">
        <v>-100.6759808663918</v>
      </c>
      <c r="AL56" s="6">
        <v>0</v>
      </c>
      <c r="AM56" s="6">
        <v>0</v>
      </c>
      <c r="AN56" s="6">
        <v>0</v>
      </c>
      <c r="AO56" s="6">
        <v>0</v>
      </c>
      <c r="AP56" s="6">
        <v>0</v>
      </c>
      <c r="AQ56" s="6">
        <v>-100.6759808663918</v>
      </c>
      <c r="AR56" s="6">
        <v>420.00267738242621</v>
      </c>
      <c r="AS56" s="6">
        <v>224.73052300000001</v>
      </c>
      <c r="AT56" s="6">
        <v>632.5133122585662</v>
      </c>
      <c r="AU56" s="6">
        <v>628.81127177500855</v>
      </c>
    </row>
    <row r="57" spans="1:47" x14ac:dyDescent="0.35">
      <c r="A57" s="5">
        <v>46022</v>
      </c>
      <c r="B57" s="4" t="s">
        <v>694</v>
      </c>
      <c r="C57" s="4" t="s">
        <v>695</v>
      </c>
      <c r="D57" s="4" t="s">
        <v>55</v>
      </c>
      <c r="E57" s="6">
        <v>3455</v>
      </c>
      <c r="F57" s="7">
        <v>1.24</v>
      </c>
      <c r="G57" s="6">
        <v>93.37</v>
      </c>
      <c r="H57" s="6">
        <v>40</v>
      </c>
      <c r="I57" s="6">
        <v>97</v>
      </c>
      <c r="J57" s="6">
        <v>38.799999999999997</v>
      </c>
      <c r="K57" s="8">
        <v>96.543999999999997</v>
      </c>
      <c r="L57" s="6">
        <v>60.869575880763641</v>
      </c>
      <c r="M57" s="6">
        <v>23.744740508397559</v>
      </c>
      <c r="N57" s="6">
        <v>7.1233595468352622</v>
      </c>
      <c r="O57" s="6">
        <v>61.891017908398517</v>
      </c>
      <c r="P57" s="6">
        <v>153.628693844395</v>
      </c>
      <c r="Q57" s="6">
        <v>10.69760286735621</v>
      </c>
      <c r="R57" s="6">
        <v>10.643963932930211</v>
      </c>
      <c r="S57" s="6">
        <v>20.367236559635352</v>
      </c>
      <c r="T57" s="6">
        <v>16.396008577292569</v>
      </c>
      <c r="U57" s="6">
        <v>58.10481193721435</v>
      </c>
      <c r="V57" s="6">
        <v>211.7335057816093</v>
      </c>
      <c r="W57" s="6">
        <v>9.2063346600659042</v>
      </c>
      <c r="X57" s="6">
        <v>18.8433827964</v>
      </c>
      <c r="Y57" s="6">
        <v>-14.593279437814029</v>
      </c>
      <c r="Z57" s="6">
        <v>225.1899438002612</v>
      </c>
      <c r="AA57" s="6">
        <v>8.6922153304792769</v>
      </c>
      <c r="AB57" s="6">
        <v>233.88215913074049</v>
      </c>
      <c r="AC57" s="6">
        <v>0</v>
      </c>
      <c r="AD57" s="6">
        <v>108.8420415738232</v>
      </c>
      <c r="AE57" s="6">
        <v>0</v>
      </c>
      <c r="AF57" s="6">
        <v>0</v>
      </c>
      <c r="AG57" s="6">
        <v>342.72420070456371</v>
      </c>
      <c r="AH57" s="6">
        <v>55.950069700469179</v>
      </c>
      <c r="AI57" s="6">
        <v>0</v>
      </c>
      <c r="AJ57" s="6">
        <v>77.595088270672079</v>
      </c>
      <c r="AK57" s="6">
        <v>367.42731710188173</v>
      </c>
      <c r="AL57" s="6">
        <v>201.66155584667689</v>
      </c>
      <c r="AM57" s="6">
        <v>0</v>
      </c>
      <c r="AN57" s="6">
        <v>0</v>
      </c>
      <c r="AO57" s="6">
        <v>0</v>
      </c>
      <c r="AP57" s="6">
        <v>0</v>
      </c>
      <c r="AQ57" s="6">
        <v>569.08887294855856</v>
      </c>
      <c r="AR57" s="6">
        <v>419.99999964779198</v>
      </c>
      <c r="AS57" s="6">
        <v>371.76153299999999</v>
      </c>
      <c r="AT57" s="6">
        <v>194.8100558475308</v>
      </c>
      <c r="AU57" s="6">
        <v>186.11784051705149</v>
      </c>
    </row>
    <row r="58" spans="1:47" x14ac:dyDescent="0.35">
      <c r="A58" s="5">
        <v>46022</v>
      </c>
      <c r="B58" s="4" t="s">
        <v>696</v>
      </c>
      <c r="C58" s="4" t="s">
        <v>697</v>
      </c>
      <c r="D58" s="4" t="s">
        <v>79</v>
      </c>
      <c r="E58" s="6">
        <v>1058.2010580000001</v>
      </c>
      <c r="F58" s="7">
        <v>0.54</v>
      </c>
      <c r="G58" s="6">
        <v>70</v>
      </c>
      <c r="H58" s="6">
        <v>4</v>
      </c>
      <c r="I58" s="6">
        <v>100</v>
      </c>
      <c r="J58" s="6">
        <v>4</v>
      </c>
      <c r="K58" s="8">
        <v>100</v>
      </c>
      <c r="L58" s="6">
        <v>33.62588236354442</v>
      </c>
      <c r="M58" s="6">
        <v>14.96073633856302</v>
      </c>
      <c r="N58" s="6">
        <v>3.7228533761685831</v>
      </c>
      <c r="O58" s="6">
        <v>48.948340617416477</v>
      </c>
      <c r="P58" s="6">
        <v>101.25781269569249</v>
      </c>
      <c r="Q58" s="6">
        <v>14.348506637160821</v>
      </c>
      <c r="R58" s="6">
        <v>36.04700963664736</v>
      </c>
      <c r="S58" s="6">
        <v>22.946230010895771</v>
      </c>
      <c r="T58" s="6">
        <v>13.245881184931431</v>
      </c>
      <c r="U58" s="6">
        <v>86.587627469635379</v>
      </c>
      <c r="V58" s="6">
        <v>187.84544016532789</v>
      </c>
      <c r="W58" s="6">
        <v>1.706638752007728</v>
      </c>
      <c r="X58" s="6">
        <v>0</v>
      </c>
      <c r="Y58" s="6">
        <v>0</v>
      </c>
      <c r="Z58" s="6">
        <v>189.55207891733559</v>
      </c>
      <c r="AA58" s="6">
        <v>12.600107990561639</v>
      </c>
      <c r="AB58" s="6">
        <v>202.1521869078972</v>
      </c>
      <c r="AC58" s="6">
        <v>11.33980924784543</v>
      </c>
      <c r="AD58" s="6">
        <v>63.223852482455982</v>
      </c>
      <c r="AE58" s="6">
        <v>0</v>
      </c>
      <c r="AF58" s="6">
        <v>0</v>
      </c>
      <c r="AG58" s="6">
        <v>276.71584863819868</v>
      </c>
      <c r="AH58" s="6">
        <v>2.8176846024294542</v>
      </c>
      <c r="AI58" s="6">
        <v>0</v>
      </c>
      <c r="AJ58" s="6">
        <v>9.3922780081654675</v>
      </c>
      <c r="AK58" s="6">
        <v>225.70195876633761</v>
      </c>
      <c r="AL58" s="6">
        <v>0</v>
      </c>
      <c r="AM58" s="6">
        <v>0</v>
      </c>
      <c r="AN58" s="6">
        <v>0</v>
      </c>
      <c r="AO58" s="6">
        <v>0</v>
      </c>
      <c r="AP58" s="6">
        <v>0</v>
      </c>
      <c r="AQ58" s="6">
        <v>225.70195876633761</v>
      </c>
      <c r="AR58" s="6">
        <v>419.99999964779192</v>
      </c>
      <c r="AS58" s="6">
        <v>37.037660000000002</v>
      </c>
      <c r="AT58" s="6">
        <v>230.4479207304563</v>
      </c>
      <c r="AU58" s="6">
        <v>217.84781273989469</v>
      </c>
    </row>
    <row r="59" spans="1:47" x14ac:dyDescent="0.35">
      <c r="A59" s="5">
        <v>46022</v>
      </c>
      <c r="B59" s="4" t="s">
        <v>698</v>
      </c>
      <c r="C59" s="4" t="s">
        <v>699</v>
      </c>
      <c r="D59" s="4" t="s">
        <v>58</v>
      </c>
      <c r="E59" s="6">
        <v>14500</v>
      </c>
      <c r="F59" s="7">
        <v>0.37</v>
      </c>
      <c r="G59" s="6">
        <v>86</v>
      </c>
      <c r="H59" s="6">
        <v>46.139000000000003</v>
      </c>
      <c r="I59" s="6">
        <v>97</v>
      </c>
      <c r="J59" s="6">
        <v>44.754829999999998</v>
      </c>
      <c r="K59" s="8">
        <v>98.191000000000003</v>
      </c>
      <c r="L59" s="6">
        <v>28.127359062539281</v>
      </c>
      <c r="M59" s="6">
        <v>21.180101090289131</v>
      </c>
      <c r="N59" s="6">
        <v>0.30552610276555631</v>
      </c>
      <c r="O59" s="6">
        <v>24.032016053299809</v>
      </c>
      <c r="P59" s="6">
        <v>73.64500230889378</v>
      </c>
      <c r="Q59" s="6">
        <v>18.508489145788811</v>
      </c>
      <c r="R59" s="6">
        <v>29.09848825556254</v>
      </c>
      <c r="S59" s="6">
        <v>48.430795692300443</v>
      </c>
      <c r="T59" s="6">
        <v>44.129299716750467</v>
      </c>
      <c r="U59" s="6">
        <v>140.16707281040229</v>
      </c>
      <c r="V59" s="6">
        <v>213.812075119296</v>
      </c>
      <c r="W59" s="6">
        <v>18.75273653140378</v>
      </c>
      <c r="X59" s="6">
        <v>23.587358601437391</v>
      </c>
      <c r="Y59" s="6">
        <v>-50.733047934634833</v>
      </c>
      <c r="Z59" s="6">
        <v>205.4191223175024</v>
      </c>
      <c r="AA59" s="6">
        <v>11.03854929702228</v>
      </c>
      <c r="AB59" s="6">
        <v>216.45767161452471</v>
      </c>
      <c r="AC59" s="6">
        <v>0</v>
      </c>
      <c r="AD59" s="6">
        <v>83.365023556348206</v>
      </c>
      <c r="AE59" s="6">
        <v>0</v>
      </c>
      <c r="AF59" s="6">
        <v>0</v>
      </c>
      <c r="AG59" s="6">
        <v>299.82269517087292</v>
      </c>
      <c r="AH59" s="6">
        <v>9.1190209829666884</v>
      </c>
      <c r="AI59" s="6">
        <v>0</v>
      </c>
      <c r="AJ59" s="6">
        <v>50.628996483626651</v>
      </c>
      <c r="AK59" s="6">
        <v>276.20568908111801</v>
      </c>
      <c r="AL59" s="6">
        <v>0</v>
      </c>
      <c r="AM59" s="6">
        <v>0</v>
      </c>
      <c r="AN59" s="6">
        <v>0</v>
      </c>
      <c r="AO59" s="6">
        <v>0</v>
      </c>
      <c r="AP59" s="6">
        <v>0</v>
      </c>
      <c r="AQ59" s="6">
        <v>276.20568908111801</v>
      </c>
      <c r="AR59" s="6">
        <v>419.99971811393323</v>
      </c>
      <c r="AS59" s="6">
        <v>464.58641799999998</v>
      </c>
      <c r="AT59" s="6">
        <v>214.5805957964308</v>
      </c>
      <c r="AU59" s="6">
        <v>203.54204649940851</v>
      </c>
    </row>
    <row r="60" spans="1:47" x14ac:dyDescent="0.35">
      <c r="A60" s="5">
        <v>46022</v>
      </c>
      <c r="B60" s="4" t="s">
        <v>133</v>
      </c>
      <c r="C60" s="4" t="s">
        <v>134</v>
      </c>
      <c r="D60" s="4" t="s">
        <v>89</v>
      </c>
      <c r="E60" s="6">
        <v>5291.9081759999999</v>
      </c>
      <c r="F60" s="7">
        <v>1.3784000000000001</v>
      </c>
      <c r="G60" s="6">
        <v>92</v>
      </c>
      <c r="H60" s="6">
        <v>67.105999999999995</v>
      </c>
      <c r="I60" s="6">
        <v>96.75</v>
      </c>
      <c r="J60" s="6">
        <v>64.925478999999996</v>
      </c>
      <c r="K60" s="8">
        <v>70.978999999999999</v>
      </c>
      <c r="L60" s="6">
        <v>106.70732940708839</v>
      </c>
      <c r="M60" s="6">
        <v>1.5104930202465661</v>
      </c>
      <c r="N60" s="6">
        <v>3.8134550974341228</v>
      </c>
      <c r="O60" s="6">
        <v>94.547246873129041</v>
      </c>
      <c r="P60" s="6">
        <v>206.57852439789821</v>
      </c>
      <c r="Q60" s="6">
        <v>30.111709414375461</v>
      </c>
      <c r="R60" s="6">
        <v>5.50103619575194</v>
      </c>
      <c r="S60" s="6">
        <v>9.8487760697865916</v>
      </c>
      <c r="T60" s="6">
        <v>31.479552976297189</v>
      </c>
      <c r="U60" s="6">
        <v>76.941074656211185</v>
      </c>
      <c r="V60" s="6">
        <v>283.51959905410939</v>
      </c>
      <c r="W60" s="6">
        <v>9.2199196816659583</v>
      </c>
      <c r="X60" s="6">
        <v>19.308986821795742</v>
      </c>
      <c r="Y60" s="6">
        <v>-166.71378240629551</v>
      </c>
      <c r="Z60" s="6">
        <v>145.3347231512756</v>
      </c>
      <c r="AA60" s="6">
        <v>29.38297037433647</v>
      </c>
      <c r="AB60" s="6">
        <v>174.71769352561199</v>
      </c>
      <c r="AC60" s="6">
        <v>0.54026301043090608</v>
      </c>
      <c r="AD60" s="6">
        <v>60.375710361181881</v>
      </c>
      <c r="AE60" s="6">
        <v>0</v>
      </c>
      <c r="AF60" s="6">
        <v>0</v>
      </c>
      <c r="AG60" s="6">
        <v>235.6336668972248</v>
      </c>
      <c r="AH60" s="6">
        <v>4.2782452164529632</v>
      </c>
      <c r="AI60" s="6">
        <v>0</v>
      </c>
      <c r="AJ60" s="6">
        <v>24.416079304320458</v>
      </c>
      <c r="AK60" s="6">
        <v>203.95228105681639</v>
      </c>
      <c r="AL60" s="6">
        <v>190.72746107206979</v>
      </c>
      <c r="AM60" s="6">
        <v>0</v>
      </c>
      <c r="AN60" s="6">
        <v>0</v>
      </c>
      <c r="AO60" s="6">
        <v>0</v>
      </c>
      <c r="AP60" s="6">
        <v>0</v>
      </c>
      <c r="AQ60" s="6">
        <v>394.67974212888618</v>
      </c>
      <c r="AR60" s="6">
        <v>420.00013549584622</v>
      </c>
      <c r="AS60" s="6">
        <v>841.15396399999997</v>
      </c>
      <c r="AT60" s="6">
        <v>274.6654123445706</v>
      </c>
      <c r="AU60" s="6">
        <v>245.2824419702342</v>
      </c>
    </row>
    <row r="61" spans="1:47" x14ac:dyDescent="0.35">
      <c r="A61" s="5">
        <v>46022</v>
      </c>
      <c r="B61" s="4" t="s">
        <v>94</v>
      </c>
      <c r="C61" s="4" t="s">
        <v>95</v>
      </c>
      <c r="D61" s="4" t="s">
        <v>58</v>
      </c>
      <c r="E61" s="6">
        <v>33306.574250999998</v>
      </c>
      <c r="F61" s="7">
        <v>0.35</v>
      </c>
      <c r="G61" s="6">
        <v>78.459999999999994</v>
      </c>
      <c r="H61" s="6">
        <v>91.462000000000003</v>
      </c>
      <c r="I61" s="6">
        <v>96.529967999999997</v>
      </c>
      <c r="J61" s="6">
        <v>88.287830999999997</v>
      </c>
      <c r="K61" s="8">
        <v>89.983999999999995</v>
      </c>
      <c r="L61" s="6">
        <v>7.1583997226030451</v>
      </c>
      <c r="M61" s="6">
        <v>23.94863664403228</v>
      </c>
      <c r="N61" s="6">
        <v>1.1540689033865861</v>
      </c>
      <c r="O61" s="6">
        <v>17.205984413039641</v>
      </c>
      <c r="P61" s="6">
        <v>49.467089683061552</v>
      </c>
      <c r="Q61" s="6">
        <v>59.582522529747528</v>
      </c>
      <c r="R61" s="6">
        <v>48.430510172060423</v>
      </c>
      <c r="S61" s="6">
        <v>36.830118183048498</v>
      </c>
      <c r="T61" s="6">
        <v>40.108339174168293</v>
      </c>
      <c r="U61" s="6">
        <v>184.95149005902471</v>
      </c>
      <c r="V61" s="6">
        <v>234.41857974208631</v>
      </c>
      <c r="W61" s="6">
        <v>18.382419409916452</v>
      </c>
      <c r="X61" s="6">
        <v>23.638781352237</v>
      </c>
      <c r="Y61" s="6">
        <v>-41.490982657792721</v>
      </c>
      <c r="Z61" s="6">
        <v>234.94879784644701</v>
      </c>
      <c r="AA61" s="6">
        <v>15.110216390072789</v>
      </c>
      <c r="AB61" s="6">
        <v>250.0590142365198</v>
      </c>
      <c r="AC61" s="6">
        <v>0</v>
      </c>
      <c r="AD61" s="6">
        <v>117.0485419316215</v>
      </c>
      <c r="AE61" s="6">
        <v>0</v>
      </c>
      <c r="AF61" s="6">
        <v>0</v>
      </c>
      <c r="AG61" s="6">
        <v>367.10755616814129</v>
      </c>
      <c r="AH61" s="6">
        <v>72.016548472858247</v>
      </c>
      <c r="AI61" s="6">
        <v>7.9121217247006532</v>
      </c>
      <c r="AJ61" s="6">
        <v>81.107380045459763</v>
      </c>
      <c r="AK61" s="6">
        <v>411.09506447953851</v>
      </c>
      <c r="AL61" s="6">
        <v>0</v>
      </c>
      <c r="AM61" s="6">
        <v>0</v>
      </c>
      <c r="AN61" s="6">
        <v>0</v>
      </c>
      <c r="AO61" s="6">
        <v>0</v>
      </c>
      <c r="AP61" s="6">
        <v>0</v>
      </c>
      <c r="AQ61" s="6">
        <v>411.09506447953851</v>
      </c>
      <c r="AR61" s="6">
        <v>419.9998521755997</v>
      </c>
      <c r="AS61" s="6">
        <v>907.41413899999998</v>
      </c>
      <c r="AT61" s="6">
        <v>185.05105432915261</v>
      </c>
      <c r="AU61" s="6">
        <v>169.94083793907981</v>
      </c>
    </row>
    <row r="62" spans="1:47" x14ac:dyDescent="0.35">
      <c r="A62" s="5">
        <v>46022</v>
      </c>
      <c r="B62" s="4" t="s">
        <v>700</v>
      </c>
      <c r="C62" s="4" t="s">
        <v>701</v>
      </c>
      <c r="D62" s="4" t="s">
        <v>58</v>
      </c>
      <c r="E62" s="6">
        <v>19450.335351000002</v>
      </c>
      <c r="F62" s="7">
        <v>0.19</v>
      </c>
      <c r="G62" s="6">
        <v>66.400000000000006</v>
      </c>
      <c r="H62" s="6">
        <v>24.538</v>
      </c>
      <c r="I62" s="6">
        <v>100</v>
      </c>
      <c r="J62" s="6">
        <v>24.538423000000002</v>
      </c>
      <c r="K62" s="8">
        <v>100</v>
      </c>
      <c r="L62" s="6">
        <v>36.27358109953915</v>
      </c>
      <c r="M62" s="6">
        <v>151.50634557119889</v>
      </c>
      <c r="N62" s="6">
        <v>0.61348164896052837</v>
      </c>
      <c r="O62" s="6">
        <v>39.509828928442978</v>
      </c>
      <c r="P62" s="6">
        <v>227.90323724814149</v>
      </c>
      <c r="Q62" s="6">
        <v>12.93096928882669</v>
      </c>
      <c r="R62" s="6">
        <v>12.069117996132981</v>
      </c>
      <c r="S62" s="6">
        <v>21.849158095977501</v>
      </c>
      <c r="T62" s="6">
        <v>0.55422959729980337</v>
      </c>
      <c r="U62" s="6">
        <v>47.403474978236979</v>
      </c>
      <c r="V62" s="6">
        <v>275.30671222637852</v>
      </c>
      <c r="W62" s="6">
        <v>4.7346064187725529</v>
      </c>
      <c r="X62" s="6">
        <v>0</v>
      </c>
      <c r="Y62" s="6">
        <v>0</v>
      </c>
      <c r="Z62" s="6">
        <v>280.04131864515108</v>
      </c>
      <c r="AA62" s="6">
        <v>13.61308900689335</v>
      </c>
      <c r="AB62" s="6">
        <v>293.65440765204443</v>
      </c>
      <c r="AC62" s="6">
        <v>0</v>
      </c>
      <c r="AD62" s="6">
        <v>123.1811323798443</v>
      </c>
      <c r="AE62" s="6">
        <v>0</v>
      </c>
      <c r="AF62" s="6">
        <v>0</v>
      </c>
      <c r="AG62" s="6">
        <v>416.83554003188868</v>
      </c>
      <c r="AH62" s="6">
        <v>40.35679530039183</v>
      </c>
      <c r="AI62" s="6">
        <v>0</v>
      </c>
      <c r="AJ62" s="6">
        <v>77.880026618117753</v>
      </c>
      <c r="AK62" s="6">
        <v>411.891229570554</v>
      </c>
      <c r="AL62" s="6">
        <v>0</v>
      </c>
      <c r="AM62" s="6">
        <v>0</v>
      </c>
      <c r="AN62" s="6">
        <v>0</v>
      </c>
      <c r="AO62" s="6">
        <v>0</v>
      </c>
      <c r="AP62" s="6">
        <v>0</v>
      </c>
      <c r="AQ62" s="6">
        <v>411.891229570554</v>
      </c>
      <c r="AR62" s="6">
        <v>419.99960597946239</v>
      </c>
      <c r="AS62" s="6">
        <v>227.211229</v>
      </c>
      <c r="AT62" s="6">
        <v>139.95828733431131</v>
      </c>
      <c r="AU62" s="6">
        <v>126.3451983274179</v>
      </c>
    </row>
    <row r="63" spans="1:47" x14ac:dyDescent="0.35">
      <c r="A63" s="5">
        <v>46022</v>
      </c>
      <c r="B63" s="4" t="s">
        <v>135</v>
      </c>
      <c r="C63" s="4" t="s">
        <v>136</v>
      </c>
      <c r="D63" s="4" t="s">
        <v>137</v>
      </c>
      <c r="E63" s="6">
        <v>800</v>
      </c>
      <c r="F63" s="7">
        <v>1.35</v>
      </c>
      <c r="G63" s="6">
        <v>87.3</v>
      </c>
      <c r="H63" s="6">
        <v>9.4280000000000008</v>
      </c>
      <c r="I63" s="6">
        <v>97</v>
      </c>
      <c r="J63" s="6">
        <v>9.1455479999999998</v>
      </c>
      <c r="K63" s="8">
        <v>78.418000000000006</v>
      </c>
      <c r="L63" s="6">
        <v>74.893993668575789</v>
      </c>
      <c r="M63" s="6">
        <v>7.7361785083110597</v>
      </c>
      <c r="N63" s="6">
        <v>7.9886037800347882</v>
      </c>
      <c r="O63" s="6">
        <v>79.644658787705225</v>
      </c>
      <c r="P63" s="6">
        <v>170.26343474462689</v>
      </c>
      <c r="Q63" s="6">
        <v>42.043323811989303</v>
      </c>
      <c r="R63" s="6">
        <v>14.29606136074837</v>
      </c>
      <c r="S63" s="6">
        <v>19.755575717432439</v>
      </c>
      <c r="T63" s="6">
        <v>46.589855332985437</v>
      </c>
      <c r="U63" s="6">
        <v>122.68481622315559</v>
      </c>
      <c r="V63" s="6">
        <v>292.94825096778243</v>
      </c>
      <c r="W63" s="6">
        <v>14.637544438728749</v>
      </c>
      <c r="X63" s="6">
        <v>23.58732467902415</v>
      </c>
      <c r="Y63" s="6">
        <v>-110.52895679113389</v>
      </c>
      <c r="Z63" s="6">
        <v>220.64416329440141</v>
      </c>
      <c r="AA63" s="6">
        <v>35.243817879774127</v>
      </c>
      <c r="AB63" s="6">
        <v>255.88798117417551</v>
      </c>
      <c r="AC63" s="6">
        <v>0</v>
      </c>
      <c r="AD63" s="6">
        <v>56.55201375675194</v>
      </c>
      <c r="AE63" s="6">
        <v>0</v>
      </c>
      <c r="AF63" s="6">
        <v>0</v>
      </c>
      <c r="AG63" s="6">
        <v>312.43999493092753</v>
      </c>
      <c r="AH63" s="6">
        <v>4.9597068431547244</v>
      </c>
      <c r="AI63" s="6">
        <v>0</v>
      </c>
      <c r="AJ63" s="6">
        <v>13.575443730796319</v>
      </c>
      <c r="AK63" s="6">
        <v>274.42313174812659</v>
      </c>
      <c r="AL63" s="6">
        <v>0</v>
      </c>
      <c r="AM63" s="6">
        <v>0</v>
      </c>
      <c r="AN63" s="6">
        <v>0</v>
      </c>
      <c r="AO63" s="6">
        <v>0</v>
      </c>
      <c r="AP63" s="6">
        <v>0</v>
      </c>
      <c r="AQ63" s="6">
        <v>274.42313174812659</v>
      </c>
      <c r="AR63" s="6">
        <v>419.99779529656189</v>
      </c>
      <c r="AS63" s="6">
        <v>108.79818899999999</v>
      </c>
      <c r="AT63" s="6">
        <v>199.35363200216051</v>
      </c>
      <c r="AU63" s="6">
        <v>164.10981412238641</v>
      </c>
    </row>
    <row r="64" spans="1:47" x14ac:dyDescent="0.35">
      <c r="A64" s="5">
        <v>46022</v>
      </c>
      <c r="B64" s="4" t="s">
        <v>138</v>
      </c>
      <c r="C64" s="4" t="s">
        <v>139</v>
      </c>
      <c r="D64" s="4" t="s">
        <v>58</v>
      </c>
      <c r="E64" s="6">
        <v>21936.5</v>
      </c>
      <c r="F64" s="7">
        <v>0.57999999999999996</v>
      </c>
      <c r="G64" s="6">
        <v>70</v>
      </c>
      <c r="H64" s="6">
        <v>89.061999999999998</v>
      </c>
      <c r="I64" s="6">
        <v>100</v>
      </c>
      <c r="J64" s="6">
        <v>89.062190000000001</v>
      </c>
      <c r="K64" s="8">
        <v>100</v>
      </c>
      <c r="L64" s="6">
        <v>45.957476178236199</v>
      </c>
      <c r="M64" s="6">
        <v>32.507479251860339</v>
      </c>
      <c r="N64" s="6">
        <v>2.2679171610965518</v>
      </c>
      <c r="O64" s="6">
        <v>34.018567488608618</v>
      </c>
      <c r="P64" s="6">
        <v>114.7514400798017</v>
      </c>
      <c r="Q64" s="6">
        <v>9.5117426210931022</v>
      </c>
      <c r="R64" s="6">
        <v>11.96945355513448</v>
      </c>
      <c r="S64" s="6">
        <v>20.674293335565519</v>
      </c>
      <c r="T64" s="6">
        <v>4.1551183814913788</v>
      </c>
      <c r="U64" s="6">
        <v>46.310607893284477</v>
      </c>
      <c r="V64" s="6">
        <v>161.06204797308621</v>
      </c>
      <c r="W64" s="6">
        <v>6.1605621254036151</v>
      </c>
      <c r="X64" s="6">
        <v>0</v>
      </c>
      <c r="Y64" s="6">
        <v>-4.98951607E-16</v>
      </c>
      <c r="Z64" s="6">
        <v>167.22261009848981</v>
      </c>
      <c r="AA64" s="6">
        <v>5.3775322957026512</v>
      </c>
      <c r="AB64" s="6">
        <v>172.60014239419249</v>
      </c>
      <c r="AC64" s="6">
        <v>0</v>
      </c>
      <c r="AD64" s="6">
        <v>160.90788242841549</v>
      </c>
      <c r="AE64" s="6">
        <v>0</v>
      </c>
      <c r="AF64" s="6">
        <v>0</v>
      </c>
      <c r="AG64" s="6">
        <v>333.50802482260798</v>
      </c>
      <c r="AH64" s="6">
        <v>2.8589837703293099</v>
      </c>
      <c r="AI64" s="6">
        <v>0</v>
      </c>
      <c r="AJ64" s="6">
        <v>129.81997971126719</v>
      </c>
      <c r="AK64" s="6">
        <v>305.27910587578901</v>
      </c>
      <c r="AL64" s="6">
        <v>0</v>
      </c>
      <c r="AM64" s="6">
        <v>0</v>
      </c>
      <c r="AN64" s="6">
        <v>0</v>
      </c>
      <c r="AO64" s="6">
        <v>0</v>
      </c>
      <c r="AP64" s="6">
        <v>0</v>
      </c>
      <c r="AQ64" s="6">
        <v>305.27910587578901</v>
      </c>
      <c r="AR64" s="6">
        <v>420.00004680585079</v>
      </c>
      <c r="AS64" s="6">
        <v>824.66387099999997</v>
      </c>
      <c r="AT64" s="6">
        <v>252.77743670736101</v>
      </c>
      <c r="AU64" s="6">
        <v>247.3999044116583</v>
      </c>
    </row>
    <row r="65" spans="1:47" x14ac:dyDescent="0.35">
      <c r="A65" s="5">
        <v>46022</v>
      </c>
      <c r="B65" s="4" t="s">
        <v>96</v>
      </c>
      <c r="C65" s="4" t="s">
        <v>97</v>
      </c>
      <c r="D65" s="4" t="s">
        <v>58</v>
      </c>
      <c r="E65" s="6">
        <v>37296</v>
      </c>
      <c r="F65" s="7">
        <v>0.51</v>
      </c>
      <c r="G65" s="6">
        <v>83</v>
      </c>
      <c r="H65" s="6">
        <v>157.874</v>
      </c>
      <c r="I65" s="6">
        <v>97</v>
      </c>
      <c r="J65" s="6">
        <v>153.13774900000001</v>
      </c>
      <c r="K65" s="8">
        <v>75.94</v>
      </c>
      <c r="L65" s="6">
        <v>40.520226831679167</v>
      </c>
      <c r="M65" s="6">
        <v>19.158011472954769</v>
      </c>
      <c r="N65" s="6">
        <v>0.70178500494307972</v>
      </c>
      <c r="O65" s="6">
        <v>10.692812013153141</v>
      </c>
      <c r="P65" s="6">
        <v>71.072835322730157</v>
      </c>
      <c r="Q65" s="6">
        <v>17.182293416159229</v>
      </c>
      <c r="R65" s="6">
        <v>44.459323406955491</v>
      </c>
      <c r="S65" s="6">
        <v>50.765766483786848</v>
      </c>
      <c r="T65" s="6">
        <v>19.389270107763249</v>
      </c>
      <c r="U65" s="6">
        <v>131.7966534146648</v>
      </c>
      <c r="V65" s="6">
        <v>202.86948873739499</v>
      </c>
      <c r="W65" s="6">
        <v>22.5986520422429</v>
      </c>
      <c r="X65" s="6">
        <v>14.522107865068561</v>
      </c>
      <c r="Y65" s="6">
        <v>-129.05771233058351</v>
      </c>
      <c r="Z65" s="6">
        <v>110.932536314123</v>
      </c>
      <c r="AA65" s="6">
        <v>7.2183688111056092</v>
      </c>
      <c r="AB65" s="6">
        <v>118.1509051252286</v>
      </c>
      <c r="AC65" s="6">
        <v>0</v>
      </c>
      <c r="AD65" s="6">
        <v>136.0889126581456</v>
      </c>
      <c r="AE65" s="6">
        <v>0</v>
      </c>
      <c r="AF65" s="6">
        <v>0</v>
      </c>
      <c r="AG65" s="6">
        <v>254.23981778337421</v>
      </c>
      <c r="AH65" s="6">
        <v>3.7240549881366452</v>
      </c>
      <c r="AI65" s="6">
        <v>0</v>
      </c>
      <c r="AJ65" s="6">
        <v>111.0370206848168</v>
      </c>
      <c r="AK65" s="6">
        <v>232.91198079818199</v>
      </c>
      <c r="AL65" s="6">
        <v>592.39785896489536</v>
      </c>
      <c r="AM65" s="6">
        <v>0</v>
      </c>
      <c r="AN65" s="6">
        <v>0</v>
      </c>
      <c r="AO65" s="6">
        <v>0</v>
      </c>
      <c r="AP65" s="6">
        <v>0</v>
      </c>
      <c r="AQ65" s="6">
        <v>825.30983976307743</v>
      </c>
      <c r="AR65" s="6">
        <v>419.99986525898112</v>
      </c>
      <c r="AS65" s="6">
        <v>1867.432198</v>
      </c>
      <c r="AT65" s="6">
        <v>309.0673289448581</v>
      </c>
      <c r="AU65" s="6">
        <v>301.84896013375248</v>
      </c>
    </row>
    <row r="66" spans="1:47" x14ac:dyDescent="0.35">
      <c r="A66" s="5">
        <v>46022</v>
      </c>
      <c r="B66" s="4" t="s">
        <v>702</v>
      </c>
      <c r="C66" s="4" t="s">
        <v>703</v>
      </c>
      <c r="D66" s="4" t="s">
        <v>69</v>
      </c>
      <c r="E66" s="6">
        <v>5292</v>
      </c>
      <c r="F66" s="7">
        <v>0.88859999999999995</v>
      </c>
      <c r="G66" s="6">
        <v>90</v>
      </c>
      <c r="H66" s="6">
        <v>42.32</v>
      </c>
      <c r="I66" s="6">
        <v>97</v>
      </c>
      <c r="J66" s="6">
        <v>41.050744999999999</v>
      </c>
      <c r="K66" s="8">
        <v>88.727999999999994</v>
      </c>
      <c r="L66" s="6">
        <v>0.52726800508533733</v>
      </c>
      <c r="M66" s="6">
        <v>14.63527599715964</v>
      </c>
      <c r="N66" s="6">
        <v>1.062377404796657</v>
      </c>
      <c r="O66" s="6">
        <v>2.9293017794582541</v>
      </c>
      <c r="P66" s="6">
        <v>19.154223186499891</v>
      </c>
      <c r="Q66" s="6">
        <v>7.8238523561253756E-2</v>
      </c>
      <c r="R66" s="6">
        <v>0.35638290698712499</v>
      </c>
      <c r="S66" s="6">
        <v>3.7412457397794721</v>
      </c>
      <c r="T66" s="6">
        <v>4.6969369067304578</v>
      </c>
      <c r="U66" s="6">
        <v>8.8728040770583085</v>
      </c>
      <c r="V66" s="6">
        <v>28.0270272635582</v>
      </c>
      <c r="W66" s="6">
        <v>30.81806615051218</v>
      </c>
      <c r="X66" s="6">
        <v>32.939777502134781</v>
      </c>
      <c r="Y66" s="6">
        <v>-51.86989964763297</v>
      </c>
      <c r="Z66" s="6">
        <v>39.914971268572188</v>
      </c>
      <c r="AA66" s="6">
        <v>0</v>
      </c>
      <c r="AB66" s="6">
        <v>39.914971268572188</v>
      </c>
      <c r="AC66" s="6">
        <v>0</v>
      </c>
      <c r="AD66" s="6">
        <v>21.77717261260257</v>
      </c>
      <c r="AE66" s="6">
        <v>0</v>
      </c>
      <c r="AF66" s="6">
        <v>0</v>
      </c>
      <c r="AG66" s="6">
        <v>61.692143881174758</v>
      </c>
      <c r="AH66" s="6">
        <v>14.51811117678619</v>
      </c>
      <c r="AI66" s="6">
        <v>0</v>
      </c>
      <c r="AJ66" s="6">
        <v>21.77717261260257</v>
      </c>
      <c r="AK66" s="6">
        <v>76.21025505796095</v>
      </c>
      <c r="AL66" s="6">
        <v>0</v>
      </c>
      <c r="AM66" s="6">
        <v>0</v>
      </c>
      <c r="AN66" s="6">
        <v>0</v>
      </c>
      <c r="AO66" s="6">
        <v>0</v>
      </c>
      <c r="AP66" s="6">
        <v>0</v>
      </c>
      <c r="AQ66" s="6">
        <v>76.21025505796095</v>
      </c>
      <c r="AR66" s="6">
        <v>419.9995392420189</v>
      </c>
      <c r="AS66" s="6">
        <v>427.04845399999999</v>
      </c>
      <c r="AT66" s="6">
        <v>380.08456797344678</v>
      </c>
      <c r="AU66" s="6">
        <v>380.08456797344678</v>
      </c>
    </row>
    <row r="67" spans="1:47" x14ac:dyDescent="0.35">
      <c r="A67" s="5">
        <v>46022</v>
      </c>
      <c r="B67" s="4" t="s">
        <v>140</v>
      </c>
      <c r="C67" s="4" t="s">
        <v>141</v>
      </c>
      <c r="D67" s="4" t="s">
        <v>50</v>
      </c>
      <c r="E67" s="6">
        <v>6408</v>
      </c>
      <c r="F67" s="7">
        <v>0.38400000000000001</v>
      </c>
      <c r="G67" s="6">
        <v>89.4</v>
      </c>
      <c r="H67" s="6">
        <v>22</v>
      </c>
      <c r="I67" s="6">
        <v>94.245104999999995</v>
      </c>
      <c r="J67" s="6">
        <v>20.733923000000001</v>
      </c>
      <c r="K67" s="8">
        <v>46.631</v>
      </c>
      <c r="L67" s="6">
        <v>102.7962316632282</v>
      </c>
      <c r="M67" s="6">
        <v>40.610834627346691</v>
      </c>
      <c r="N67" s="6">
        <v>2.0113845200964322</v>
      </c>
      <c r="O67" s="6">
        <v>58.822304473515921</v>
      </c>
      <c r="P67" s="6">
        <v>204.2407552841872</v>
      </c>
      <c r="Q67" s="6">
        <v>57.256965943846147</v>
      </c>
      <c r="R67" s="6">
        <v>38.910762675903378</v>
      </c>
      <c r="S67" s="6">
        <v>35.530665468796201</v>
      </c>
      <c r="T67" s="6">
        <v>81.26828132704766</v>
      </c>
      <c r="U67" s="6">
        <v>212.96667541559339</v>
      </c>
      <c r="V67" s="6">
        <v>417.20743069978062</v>
      </c>
      <c r="W67" s="6">
        <v>19.105938758509069</v>
      </c>
      <c r="X67" s="6">
        <v>28.143802499130722</v>
      </c>
      <c r="Y67" s="6">
        <v>-466.1832748811928</v>
      </c>
      <c r="Z67" s="6">
        <v>-1.726102923772336</v>
      </c>
      <c r="AA67" s="6">
        <v>16.048050838087949</v>
      </c>
      <c r="AB67" s="6">
        <v>14.32194791431562</v>
      </c>
      <c r="AC67" s="6">
        <v>35.283488307968902</v>
      </c>
      <c r="AD67" s="6">
        <v>111.4123435652355</v>
      </c>
      <c r="AE67" s="6">
        <v>0</v>
      </c>
      <c r="AF67" s="6">
        <v>0</v>
      </c>
      <c r="AG67" s="6">
        <v>161.01777978752</v>
      </c>
      <c r="AH67" s="6">
        <v>3.9534327063990902</v>
      </c>
      <c r="AI67" s="6">
        <v>30.272459221854898</v>
      </c>
      <c r="AJ67" s="6">
        <v>19.68913562380779</v>
      </c>
      <c r="AK67" s="6">
        <v>103.5204637743463</v>
      </c>
      <c r="AL67" s="6">
        <v>4.3753665872169272</v>
      </c>
      <c r="AM67" s="6">
        <v>0</v>
      </c>
      <c r="AN67" s="6">
        <v>0</v>
      </c>
      <c r="AO67" s="6">
        <v>0</v>
      </c>
      <c r="AP67" s="6">
        <v>0</v>
      </c>
      <c r="AQ67" s="6">
        <v>107.8958303615632</v>
      </c>
      <c r="AR67" s="6">
        <v>419.99953374464411</v>
      </c>
      <c r="AS67" s="6">
        <v>405.18553700000001</v>
      </c>
      <c r="AT67" s="6">
        <v>421.72563666841648</v>
      </c>
      <c r="AU67" s="6">
        <v>405.6775858303285</v>
      </c>
    </row>
    <row r="68" spans="1:47" x14ac:dyDescent="0.35">
      <c r="A68" s="5">
        <v>46022</v>
      </c>
      <c r="B68" s="4" t="s">
        <v>260</v>
      </c>
      <c r="C68" s="4" t="s">
        <v>261</v>
      </c>
      <c r="D68" s="4" t="s">
        <v>262</v>
      </c>
      <c r="E68" s="6">
        <v>215.6</v>
      </c>
      <c r="F68" s="7">
        <v>4.7510000000000003</v>
      </c>
      <c r="G68" s="6">
        <v>85</v>
      </c>
      <c r="H68" s="6">
        <v>8.7070000000000007</v>
      </c>
      <c r="I68" s="6">
        <v>96.5</v>
      </c>
      <c r="J68" s="6">
        <v>8.4019329999999997</v>
      </c>
      <c r="K68" s="8">
        <v>77.887</v>
      </c>
      <c r="L68" s="6">
        <v>96.445740702848184</v>
      </c>
      <c r="M68" s="6">
        <v>5.1930942722659186</v>
      </c>
      <c r="N68" s="6">
        <v>89.081606016956769</v>
      </c>
      <c r="O68" s="6">
        <v>54.880592911765063</v>
      </c>
      <c r="P68" s="6">
        <v>245.60103390383591</v>
      </c>
      <c r="Q68" s="6">
        <v>5.1001095934120393</v>
      </c>
      <c r="R68" s="6">
        <v>0.48453133924132852</v>
      </c>
      <c r="S68" s="6">
        <v>4.2789375643528818</v>
      </c>
      <c r="T68" s="6">
        <v>7.4970510855189056</v>
      </c>
      <c r="U68" s="6">
        <v>17.36062958252516</v>
      </c>
      <c r="V68" s="6">
        <v>262.96166348636109</v>
      </c>
      <c r="W68" s="6">
        <v>8.3151552722247057</v>
      </c>
      <c r="X68" s="6">
        <v>17.153084269926929</v>
      </c>
      <c r="Y68" s="6">
        <v>-115.68203216867239</v>
      </c>
      <c r="Z68" s="6">
        <v>172.7478708598403</v>
      </c>
      <c r="AA68" s="6">
        <v>11.282077969738539</v>
      </c>
      <c r="AB68" s="6">
        <v>184.0299488295789</v>
      </c>
      <c r="AC68" s="6">
        <v>0</v>
      </c>
      <c r="AD68" s="6">
        <v>6.0210672761838548</v>
      </c>
      <c r="AE68" s="6">
        <v>0</v>
      </c>
      <c r="AF68" s="6">
        <v>0</v>
      </c>
      <c r="AG68" s="6">
        <v>190.0510161057627</v>
      </c>
      <c r="AH68" s="6">
        <v>3.2911620204236089</v>
      </c>
      <c r="AI68" s="6">
        <v>0</v>
      </c>
      <c r="AJ68" s="6">
        <v>0.34561127226462041</v>
      </c>
      <c r="AK68" s="6">
        <v>187.66672212226709</v>
      </c>
      <c r="AL68" s="6">
        <v>0</v>
      </c>
      <c r="AM68" s="6">
        <v>0</v>
      </c>
      <c r="AN68" s="6">
        <v>0</v>
      </c>
      <c r="AO68" s="6">
        <v>0</v>
      </c>
      <c r="AP68" s="6">
        <v>0</v>
      </c>
      <c r="AQ68" s="6">
        <v>187.66672212226709</v>
      </c>
      <c r="AR68" s="6">
        <v>419.99835002740241</v>
      </c>
      <c r="AS68" s="6">
        <v>104.489514</v>
      </c>
      <c r="AT68" s="6">
        <v>247.2504791675621</v>
      </c>
      <c r="AU68" s="6">
        <v>235.96840119782351</v>
      </c>
    </row>
    <row r="69" spans="1:47" x14ac:dyDescent="0.35">
      <c r="A69" s="5">
        <v>46022</v>
      </c>
      <c r="B69" s="4" t="s">
        <v>142</v>
      </c>
      <c r="C69" s="4" t="s">
        <v>143</v>
      </c>
      <c r="D69" s="4" t="s">
        <v>50</v>
      </c>
      <c r="E69" s="6">
        <v>6000</v>
      </c>
      <c r="F69" s="7">
        <v>0.47749999999999998</v>
      </c>
      <c r="G69" s="6">
        <v>89</v>
      </c>
      <c r="H69" s="6">
        <v>25.5</v>
      </c>
      <c r="I69" s="6">
        <v>97</v>
      </c>
      <c r="J69" s="6">
        <v>24.734999999999999</v>
      </c>
      <c r="K69" s="8">
        <v>42.396999999999998</v>
      </c>
      <c r="L69" s="6">
        <v>63.674334151482348</v>
      </c>
      <c r="M69" s="6">
        <v>82.830940048870588</v>
      </c>
      <c r="N69" s="6">
        <v>63.122937473976471</v>
      </c>
      <c r="O69" s="6">
        <v>137.6698229694118</v>
      </c>
      <c r="P69" s="6">
        <v>347.29803464374118</v>
      </c>
      <c r="Q69" s="6">
        <v>10.3413448908</v>
      </c>
      <c r="R69" s="6">
        <v>24.12555764623529</v>
      </c>
      <c r="S69" s="6">
        <v>121.7081687867294</v>
      </c>
      <c r="T69" s="6">
        <v>36.23522510209412</v>
      </c>
      <c r="U69" s="6">
        <v>192.4102964258588</v>
      </c>
      <c r="V69" s="6">
        <v>539.70833106960004</v>
      </c>
      <c r="W69" s="6">
        <v>13.213201734898339</v>
      </c>
      <c r="X69" s="6">
        <v>15.7140074437922</v>
      </c>
      <c r="Y69" s="6">
        <v>-541.69436136604259</v>
      </c>
      <c r="Z69" s="6">
        <v>26.94117888224789</v>
      </c>
      <c r="AA69" s="6">
        <v>10.21249043721223</v>
      </c>
      <c r="AB69" s="6">
        <v>37.153669319460121</v>
      </c>
      <c r="AC69" s="6">
        <v>9.5286305956470585</v>
      </c>
      <c r="AD69" s="6">
        <v>184.57791974703531</v>
      </c>
      <c r="AE69" s="6">
        <v>0</v>
      </c>
      <c r="AF69" s="6">
        <v>0</v>
      </c>
      <c r="AG69" s="6">
        <v>231.2602196621425</v>
      </c>
      <c r="AH69" s="6">
        <v>47.459009329858823</v>
      </c>
      <c r="AI69" s="6">
        <v>0</v>
      </c>
      <c r="AJ69" s="6">
        <v>75.817725333576462</v>
      </c>
      <c r="AK69" s="6">
        <v>169.95903457854249</v>
      </c>
      <c r="AL69" s="6">
        <v>0.1742080774823529</v>
      </c>
      <c r="AM69" s="6">
        <v>0</v>
      </c>
      <c r="AN69" s="6">
        <v>0</v>
      </c>
      <c r="AO69" s="6">
        <v>0</v>
      </c>
      <c r="AP69" s="6">
        <v>0</v>
      </c>
      <c r="AQ69" s="6">
        <v>170.13324265602481</v>
      </c>
      <c r="AR69" s="6">
        <v>419.99999964779192</v>
      </c>
      <c r="AS69" s="6">
        <v>560.18791599999997</v>
      </c>
      <c r="AT69" s="6">
        <v>393.05882076554411</v>
      </c>
      <c r="AU69" s="6">
        <v>382.84633032833182</v>
      </c>
    </row>
    <row r="70" spans="1:47" x14ac:dyDescent="0.35">
      <c r="A70" s="5">
        <v>46022</v>
      </c>
      <c r="B70" s="4" t="s">
        <v>98</v>
      </c>
      <c r="C70" s="4" t="s">
        <v>99</v>
      </c>
      <c r="D70" s="4" t="s">
        <v>50</v>
      </c>
      <c r="E70" s="6">
        <v>163692.14859999999</v>
      </c>
      <c r="F70" s="7">
        <v>0.34</v>
      </c>
      <c r="G70" s="6">
        <v>89.18</v>
      </c>
      <c r="H70" s="6">
        <v>496.32100000000003</v>
      </c>
      <c r="I70" s="6">
        <v>95.416667000000004</v>
      </c>
      <c r="J70" s="6">
        <v>473.57279199999999</v>
      </c>
      <c r="K70" s="8">
        <v>88.951999999999998</v>
      </c>
      <c r="L70" s="6">
        <v>4.1942094555919534</v>
      </c>
      <c r="M70" s="6">
        <v>21.732712905492939</v>
      </c>
      <c r="N70" s="6">
        <v>1.0136204779748941</v>
      </c>
      <c r="O70" s="6">
        <v>27.170328171236129</v>
      </c>
      <c r="P70" s="6">
        <v>54.110871010295917</v>
      </c>
      <c r="Q70" s="6">
        <v>2.606125647176222</v>
      </c>
      <c r="R70" s="6">
        <v>49.902441078702061</v>
      </c>
      <c r="S70" s="6">
        <v>96.653298560827324</v>
      </c>
      <c r="T70" s="6">
        <v>46.449969769939408</v>
      </c>
      <c r="U70" s="6">
        <v>195.61183505664499</v>
      </c>
      <c r="V70" s="6">
        <v>249.7227060669409</v>
      </c>
      <c r="W70" s="6">
        <v>18.12295707885529</v>
      </c>
      <c r="X70" s="6">
        <v>14.19466892269266</v>
      </c>
      <c r="Y70" s="6">
        <v>-48.728228043134493</v>
      </c>
      <c r="Z70" s="6">
        <v>233.31210402535439</v>
      </c>
      <c r="AA70" s="6">
        <v>18.802108533160361</v>
      </c>
      <c r="AB70" s="6">
        <v>252.11421255851479</v>
      </c>
      <c r="AC70" s="6">
        <v>0</v>
      </c>
      <c r="AD70" s="6">
        <v>35.560471726698097</v>
      </c>
      <c r="AE70" s="6">
        <v>0</v>
      </c>
      <c r="AF70" s="6">
        <v>0</v>
      </c>
      <c r="AG70" s="6">
        <v>287.67468428521289</v>
      </c>
      <c r="AH70" s="6">
        <v>11.580547326879691</v>
      </c>
      <c r="AI70" s="6">
        <v>0</v>
      </c>
      <c r="AJ70" s="6">
        <v>17.701215798244739</v>
      </c>
      <c r="AK70" s="6">
        <v>281.39597568363922</v>
      </c>
      <c r="AL70" s="6">
        <v>0</v>
      </c>
      <c r="AM70" s="6">
        <v>0</v>
      </c>
      <c r="AN70" s="6">
        <v>0</v>
      </c>
      <c r="AO70" s="6">
        <v>0</v>
      </c>
      <c r="AP70" s="6">
        <v>0</v>
      </c>
      <c r="AQ70" s="6">
        <v>281.39597568363922</v>
      </c>
      <c r="AR70" s="6">
        <v>420.00000674279408</v>
      </c>
      <c r="AS70" s="6">
        <v>4915.9983670000001</v>
      </c>
      <c r="AT70" s="6">
        <v>186.6879027174397</v>
      </c>
      <c r="AU70" s="6">
        <v>167.8857941842794</v>
      </c>
    </row>
    <row r="71" spans="1:47" x14ac:dyDescent="0.35">
      <c r="A71" s="5">
        <v>46022</v>
      </c>
      <c r="B71" s="4" t="s">
        <v>118</v>
      </c>
      <c r="C71" s="4" t="s">
        <v>119</v>
      </c>
      <c r="D71" s="4" t="s">
        <v>50</v>
      </c>
      <c r="E71" s="6">
        <v>23756.466002000001</v>
      </c>
      <c r="F71" s="7">
        <v>0.4</v>
      </c>
      <c r="G71" s="6">
        <v>42.92</v>
      </c>
      <c r="H71" s="6">
        <v>40.786999999999999</v>
      </c>
      <c r="I71" s="6">
        <v>100</v>
      </c>
      <c r="J71" s="6">
        <v>40.786892999999999</v>
      </c>
      <c r="K71" s="8">
        <v>100</v>
      </c>
      <c r="L71" s="6">
        <v>6.6460198349480608</v>
      </c>
      <c r="M71" s="6">
        <v>20.80174406980899</v>
      </c>
      <c r="N71" s="6">
        <v>0.96830635314077729</v>
      </c>
      <c r="O71" s="6">
        <v>51.264412009790533</v>
      </c>
      <c r="P71" s="6">
        <v>79.680482267688362</v>
      </c>
      <c r="Q71" s="6">
        <v>4.0724031047496343</v>
      </c>
      <c r="R71" s="6">
        <v>31.660323218161611</v>
      </c>
      <c r="S71" s="6">
        <v>69.142954626889875</v>
      </c>
      <c r="T71" s="6">
        <v>31.919737697479761</v>
      </c>
      <c r="U71" s="6">
        <v>136.79541864728091</v>
      </c>
      <c r="V71" s="6">
        <v>216.4759009149692</v>
      </c>
      <c r="W71" s="6">
        <v>16.695350783473241</v>
      </c>
      <c r="X71" s="6">
        <v>0</v>
      </c>
      <c r="Y71" s="6">
        <v>0</v>
      </c>
      <c r="Z71" s="6">
        <v>233.17125169844249</v>
      </c>
      <c r="AA71" s="6">
        <v>18.09910171708513</v>
      </c>
      <c r="AB71" s="6">
        <v>251.27035341552761</v>
      </c>
      <c r="AC71" s="6">
        <v>0</v>
      </c>
      <c r="AD71" s="6">
        <v>29.202609463904601</v>
      </c>
      <c r="AE71" s="6">
        <v>0</v>
      </c>
      <c r="AF71" s="6">
        <v>0</v>
      </c>
      <c r="AG71" s="6">
        <v>280.4729628794322</v>
      </c>
      <c r="AH71" s="6">
        <v>9.2486189140427086</v>
      </c>
      <c r="AI71" s="6">
        <v>0</v>
      </c>
      <c r="AJ71" s="6">
        <v>17.701213970069769</v>
      </c>
      <c r="AK71" s="6">
        <v>278.22018629964009</v>
      </c>
      <c r="AL71" s="6">
        <v>0</v>
      </c>
      <c r="AM71" s="6">
        <v>0</v>
      </c>
      <c r="AN71" s="6">
        <v>0</v>
      </c>
      <c r="AO71" s="6">
        <v>0</v>
      </c>
      <c r="AP71" s="6">
        <v>0</v>
      </c>
      <c r="AQ71" s="6">
        <v>278.22018629964009</v>
      </c>
      <c r="AR71" s="6">
        <v>420.00007172977178</v>
      </c>
      <c r="AS71" s="6">
        <v>377.66283399999998</v>
      </c>
      <c r="AT71" s="6">
        <v>186.82882003132929</v>
      </c>
      <c r="AU71" s="6">
        <v>168.72971831424411</v>
      </c>
    </row>
    <row r="72" spans="1:47" x14ac:dyDescent="0.35">
      <c r="A72" s="5">
        <v>46022</v>
      </c>
      <c r="B72" s="4" t="s">
        <v>120</v>
      </c>
      <c r="C72" s="4" t="s">
        <v>121</v>
      </c>
      <c r="D72" s="4" t="s">
        <v>122</v>
      </c>
      <c r="E72" s="6">
        <v>5600</v>
      </c>
      <c r="F72" s="7">
        <v>1.6</v>
      </c>
      <c r="G72" s="6">
        <v>85</v>
      </c>
      <c r="H72" s="6">
        <v>76.16</v>
      </c>
      <c r="I72" s="6">
        <v>97</v>
      </c>
      <c r="J72" s="6">
        <v>73.875200000000007</v>
      </c>
      <c r="K72" s="8">
        <v>84.397999999999996</v>
      </c>
      <c r="L72" s="6">
        <v>59.756833722558817</v>
      </c>
      <c r="M72" s="6">
        <v>3.8681127745441168</v>
      </c>
      <c r="N72" s="6">
        <v>4.8979036146764701</v>
      </c>
      <c r="O72" s="6">
        <v>47.187449436955873</v>
      </c>
      <c r="P72" s="6">
        <v>115.71029954873531</v>
      </c>
      <c r="Q72" s="6">
        <v>7.1936545302794102</v>
      </c>
      <c r="R72" s="6">
        <v>3.9918054058235288</v>
      </c>
      <c r="S72" s="6">
        <v>9.7906049457279405</v>
      </c>
      <c r="T72" s="6">
        <v>16.02630003522059</v>
      </c>
      <c r="U72" s="6">
        <v>37.002364917051459</v>
      </c>
      <c r="V72" s="6">
        <v>152.7126644657867</v>
      </c>
      <c r="W72" s="6">
        <v>2.8579131716299999</v>
      </c>
      <c r="X72" s="6">
        <v>24.564689999999999</v>
      </c>
      <c r="Y72" s="6">
        <v>-72.72244077268823</v>
      </c>
      <c r="Z72" s="6">
        <v>107.4128268647285</v>
      </c>
      <c r="AA72" s="6">
        <v>38.399086168861942</v>
      </c>
      <c r="AB72" s="6">
        <v>145.8119130335904</v>
      </c>
      <c r="AC72" s="6">
        <v>0</v>
      </c>
      <c r="AD72" s="6">
        <v>62.452393716382339</v>
      </c>
      <c r="AE72" s="6">
        <v>0</v>
      </c>
      <c r="AF72" s="6">
        <v>0</v>
      </c>
      <c r="AG72" s="6">
        <v>208.2643067499728</v>
      </c>
      <c r="AH72" s="6">
        <v>6.8050993015661749</v>
      </c>
      <c r="AI72" s="6">
        <v>0</v>
      </c>
      <c r="AJ72" s="6">
        <v>14.96809090416912</v>
      </c>
      <c r="AK72" s="6">
        <v>167.58510323932569</v>
      </c>
      <c r="AL72" s="6">
        <v>0</v>
      </c>
      <c r="AM72" s="6">
        <v>0</v>
      </c>
      <c r="AN72" s="6">
        <v>0</v>
      </c>
      <c r="AO72" s="6">
        <v>0</v>
      </c>
      <c r="AP72" s="6">
        <v>0</v>
      </c>
      <c r="AQ72" s="6">
        <v>167.58510323932569</v>
      </c>
      <c r="AR72" s="6">
        <v>419.99999964779192</v>
      </c>
      <c r="AS72" s="6">
        <v>833.86044100000004</v>
      </c>
      <c r="AT72" s="6">
        <v>312.58717278306341</v>
      </c>
      <c r="AU72" s="6">
        <v>274.1880866142015</v>
      </c>
    </row>
    <row r="73" spans="1:47" x14ac:dyDescent="0.35">
      <c r="A73" s="5">
        <v>46022</v>
      </c>
      <c r="B73" s="4" t="s">
        <v>704</v>
      </c>
      <c r="C73" s="4" t="s">
        <v>705</v>
      </c>
      <c r="D73" s="4" t="s">
        <v>61</v>
      </c>
      <c r="E73" s="6">
        <v>85.78</v>
      </c>
      <c r="F73" s="7">
        <v>0.75</v>
      </c>
      <c r="G73" s="6">
        <v>82.38</v>
      </c>
      <c r="H73" s="6">
        <v>0.53</v>
      </c>
      <c r="I73" s="6">
        <v>97</v>
      </c>
      <c r="J73" s="6">
        <v>0.5141</v>
      </c>
      <c r="K73" s="8">
        <v>74.701999999999998</v>
      </c>
      <c r="L73" s="6">
        <v>73.670194649996503</v>
      </c>
      <c r="M73" s="6">
        <v>2.9724216794774678</v>
      </c>
      <c r="N73" s="6">
        <v>21.70573730851622</v>
      </c>
      <c r="O73" s="6">
        <v>26.29864462773153</v>
      </c>
      <c r="P73" s="6">
        <v>124.64699826572171</v>
      </c>
      <c r="Q73" s="6">
        <v>19.02047592898893</v>
      </c>
      <c r="R73" s="6">
        <v>8.6000657518578407</v>
      </c>
      <c r="S73" s="6">
        <v>20.985444943681511</v>
      </c>
      <c r="T73" s="6">
        <v>12.20612159590568</v>
      </c>
      <c r="U73" s="6">
        <v>60.812108220433963</v>
      </c>
      <c r="V73" s="6">
        <v>185.45910648615569</v>
      </c>
      <c r="W73" s="6">
        <v>8.1961939249357076</v>
      </c>
      <c r="X73" s="6">
        <v>26.84600860377358</v>
      </c>
      <c r="Y73" s="6">
        <v>-137.9436808509794</v>
      </c>
      <c r="Z73" s="6">
        <v>82.557628163885553</v>
      </c>
      <c r="AA73" s="6">
        <v>62.814772659635601</v>
      </c>
      <c r="AB73" s="6">
        <v>145.3724008235211</v>
      </c>
      <c r="AC73" s="6">
        <v>0</v>
      </c>
      <c r="AD73" s="6">
        <v>20.81860709506778</v>
      </c>
      <c r="AE73" s="6">
        <v>0</v>
      </c>
      <c r="AF73" s="6">
        <v>0</v>
      </c>
      <c r="AG73" s="6">
        <v>166.19100791858889</v>
      </c>
      <c r="AH73" s="6">
        <v>4.303037531431535</v>
      </c>
      <c r="AI73" s="6">
        <v>0</v>
      </c>
      <c r="AJ73" s="6">
        <v>20.81860709506778</v>
      </c>
      <c r="AK73" s="6">
        <v>170.49404545002051</v>
      </c>
      <c r="AL73" s="6">
        <v>0</v>
      </c>
      <c r="AM73" s="6">
        <v>0</v>
      </c>
      <c r="AN73" s="6">
        <v>0</v>
      </c>
      <c r="AO73" s="6">
        <v>0</v>
      </c>
      <c r="AP73" s="6">
        <v>0</v>
      </c>
      <c r="AQ73" s="6">
        <v>170.49404545002051</v>
      </c>
      <c r="AR73" s="6">
        <v>419.99999964779192</v>
      </c>
      <c r="AS73" s="6">
        <v>6.3276529999999998</v>
      </c>
      <c r="AT73" s="6">
        <v>337.44237148390641</v>
      </c>
      <c r="AU73" s="6">
        <v>274.62759882427082</v>
      </c>
    </row>
    <row r="74" spans="1:47" x14ac:dyDescent="0.35">
      <c r="A74" s="5">
        <v>46022</v>
      </c>
      <c r="B74" s="4" t="s">
        <v>144</v>
      </c>
      <c r="C74" s="4" t="s">
        <v>145</v>
      </c>
      <c r="D74" s="4" t="s">
        <v>55</v>
      </c>
      <c r="E74" s="6">
        <v>23554.666667000001</v>
      </c>
      <c r="F74" s="7">
        <v>0.25</v>
      </c>
      <c r="G74" s="6">
        <v>75</v>
      </c>
      <c r="H74" s="6">
        <v>44.164999999999999</v>
      </c>
      <c r="I74" s="6">
        <v>96</v>
      </c>
      <c r="J74" s="6">
        <v>42.398400000000002</v>
      </c>
      <c r="K74" s="8">
        <v>72.738</v>
      </c>
      <c r="L74" s="6">
        <v>39.615573216283387</v>
      </c>
      <c r="M74" s="6">
        <v>16.808192865077299</v>
      </c>
      <c r="N74" s="6">
        <v>1.1744514442510641</v>
      </c>
      <c r="O74" s="6">
        <v>21.299714912033089</v>
      </c>
      <c r="P74" s="6">
        <v>78.89793243764484</v>
      </c>
      <c r="Q74" s="6">
        <v>23.24713815392731</v>
      </c>
      <c r="R74" s="6">
        <v>35.154920650064149</v>
      </c>
      <c r="S74" s="6">
        <v>43.23634911028352</v>
      </c>
      <c r="T74" s="6">
        <v>24.31741455053357</v>
      </c>
      <c r="U74" s="6">
        <v>125.95582246480851</v>
      </c>
      <c r="V74" s="6">
        <v>204.8537549024534</v>
      </c>
      <c r="W74" s="6">
        <v>18.355491921018071</v>
      </c>
      <c r="X74" s="6">
        <v>23.42831138076172</v>
      </c>
      <c r="Y74" s="6">
        <v>-152.72247636964349</v>
      </c>
      <c r="Z74" s="6">
        <v>93.915081834589657</v>
      </c>
      <c r="AA74" s="6">
        <v>9.1639495765302552</v>
      </c>
      <c r="AB74" s="6">
        <v>103.0790314111199</v>
      </c>
      <c r="AC74" s="6">
        <v>0</v>
      </c>
      <c r="AD74" s="6">
        <v>104.0463030104541</v>
      </c>
      <c r="AE74" s="6">
        <v>0</v>
      </c>
      <c r="AF74" s="6">
        <v>0</v>
      </c>
      <c r="AG74" s="6">
        <v>207.125334421574</v>
      </c>
      <c r="AH74" s="6">
        <v>6.9426596157421372</v>
      </c>
      <c r="AI74" s="6">
        <v>0</v>
      </c>
      <c r="AJ74" s="6">
        <v>90.935870744397405</v>
      </c>
      <c r="AK74" s="6">
        <v>200.95756177125949</v>
      </c>
      <c r="AL74" s="6">
        <v>0</v>
      </c>
      <c r="AM74" s="6">
        <v>0</v>
      </c>
      <c r="AN74" s="6">
        <v>0</v>
      </c>
      <c r="AO74" s="6">
        <v>0</v>
      </c>
      <c r="AP74" s="6">
        <v>0</v>
      </c>
      <c r="AQ74" s="6">
        <v>200.95756177125949</v>
      </c>
      <c r="AR74" s="6">
        <v>419.99999964779192</v>
      </c>
      <c r="AS74" s="6">
        <v>535.90479000000005</v>
      </c>
      <c r="AT74" s="6">
        <v>326.08491781320231</v>
      </c>
      <c r="AU74" s="6">
        <v>316.92096823667202</v>
      </c>
    </row>
    <row r="75" spans="1:47" x14ac:dyDescent="0.35">
      <c r="A75" s="5">
        <v>46022</v>
      </c>
      <c r="B75" s="4" t="s">
        <v>706</v>
      </c>
      <c r="C75" s="4" t="s">
        <v>707</v>
      </c>
      <c r="D75" s="4" t="s">
        <v>111</v>
      </c>
      <c r="E75" s="6">
        <v>1179.4308799999999</v>
      </c>
      <c r="F75" s="7">
        <v>0.24</v>
      </c>
      <c r="G75" s="6">
        <v>55</v>
      </c>
      <c r="H75" s="6">
        <v>1.5569999999999999</v>
      </c>
      <c r="I75" s="6">
        <v>97</v>
      </c>
      <c r="J75" s="6">
        <v>1.510143</v>
      </c>
      <c r="K75" s="8">
        <v>13.29</v>
      </c>
      <c r="L75" s="6">
        <v>895.94323755299217</v>
      </c>
      <c r="M75" s="6">
        <v>80.583584135202514</v>
      </c>
      <c r="N75" s="6">
        <v>47.827435121712597</v>
      </c>
      <c r="O75" s="6">
        <v>310.39402162782142</v>
      </c>
      <c r="P75" s="6">
        <v>1334.7482784377289</v>
      </c>
      <c r="Q75" s="6">
        <v>415.86138910995521</v>
      </c>
      <c r="R75" s="6">
        <v>196.8115506211081</v>
      </c>
      <c r="S75" s="6">
        <v>153.27733766455799</v>
      </c>
      <c r="T75" s="6">
        <v>211.9632533869063</v>
      </c>
      <c r="U75" s="6">
        <v>977.91353078252769</v>
      </c>
      <c r="V75" s="6">
        <v>2312.6618092202561</v>
      </c>
      <c r="W75" s="6">
        <v>12.799651156706251</v>
      </c>
      <c r="X75" s="6">
        <v>22.739707781602139</v>
      </c>
      <c r="Y75" s="6">
        <v>-2629.4108437931518</v>
      </c>
      <c r="Z75" s="6">
        <v>-281.20967563458709</v>
      </c>
      <c r="AA75" s="6">
        <v>58.947102426785619</v>
      </c>
      <c r="AB75" s="6">
        <v>-222.26257320780149</v>
      </c>
      <c r="AC75" s="6">
        <v>0</v>
      </c>
      <c r="AD75" s="6">
        <v>151.0253878457209</v>
      </c>
      <c r="AE75" s="6">
        <v>0</v>
      </c>
      <c r="AF75" s="6">
        <v>0</v>
      </c>
      <c r="AG75" s="6">
        <v>-71.237185362080595</v>
      </c>
      <c r="AH75" s="6">
        <v>53.252123201546581</v>
      </c>
      <c r="AI75" s="6">
        <v>0</v>
      </c>
      <c r="AJ75" s="6">
        <v>148.481245695746</v>
      </c>
      <c r="AK75" s="6">
        <v>-20.52920431050892</v>
      </c>
      <c r="AL75" s="6">
        <v>0</v>
      </c>
      <c r="AM75" s="6">
        <v>0</v>
      </c>
      <c r="AN75" s="6">
        <v>0</v>
      </c>
      <c r="AO75" s="6">
        <v>0</v>
      </c>
      <c r="AP75" s="6">
        <v>0</v>
      </c>
      <c r="AQ75" s="6">
        <v>-20.52920431050892</v>
      </c>
      <c r="AR75" s="6">
        <v>419.98804051545488</v>
      </c>
      <c r="AS75" s="6">
        <v>112.97899200000001</v>
      </c>
      <c r="AT75" s="6">
        <v>701.19771615004197</v>
      </c>
      <c r="AU75" s="6">
        <v>642.25061372325638</v>
      </c>
    </row>
    <row r="76" spans="1:47" x14ac:dyDescent="0.35">
      <c r="A76" s="5">
        <v>46022</v>
      </c>
      <c r="B76" s="4" t="s">
        <v>146</v>
      </c>
      <c r="C76" s="4" t="s">
        <v>147</v>
      </c>
      <c r="D76" s="4" t="s">
        <v>148</v>
      </c>
      <c r="E76" s="6">
        <v>2145</v>
      </c>
      <c r="F76" s="7">
        <v>1.554</v>
      </c>
      <c r="G76" s="6">
        <v>81</v>
      </c>
      <c r="H76" s="6">
        <v>27</v>
      </c>
      <c r="I76" s="6">
        <v>94</v>
      </c>
      <c r="J76" s="6">
        <v>25.38</v>
      </c>
      <c r="K76" s="8">
        <v>41.512999999999998</v>
      </c>
      <c r="L76" s="6">
        <v>75.853595478910066</v>
      </c>
      <c r="M76" s="6">
        <v>2.010717472921959</v>
      </c>
      <c r="N76" s="6">
        <v>4.8976662154567903</v>
      </c>
      <c r="O76" s="6">
        <v>18.835113826049209</v>
      </c>
      <c r="P76" s="6">
        <v>101.59709299333799</v>
      </c>
      <c r="Q76" s="6">
        <v>22.385685014547459</v>
      </c>
      <c r="R76" s="6">
        <v>7.9162016487916063</v>
      </c>
      <c r="S76" s="6">
        <v>17.131375739556681</v>
      </c>
      <c r="T76" s="6">
        <v>18.05335279158226</v>
      </c>
      <c r="U76" s="6">
        <v>65.48661519447802</v>
      </c>
      <c r="V76" s="6">
        <v>167.083708187816</v>
      </c>
      <c r="W76" s="6">
        <v>17.51459899921198</v>
      </c>
      <c r="X76" s="6">
        <v>129.91665831397529</v>
      </c>
      <c r="Y76" s="6">
        <v>-525.52187028299397</v>
      </c>
      <c r="Z76" s="6">
        <v>-211.0069047819907</v>
      </c>
      <c r="AA76" s="6">
        <v>29.581387877693061</v>
      </c>
      <c r="AB76" s="6">
        <v>-181.42551690429769</v>
      </c>
      <c r="AC76" s="6">
        <v>4.3894751570675909</v>
      </c>
      <c r="AD76" s="6">
        <v>58.203681922669382</v>
      </c>
      <c r="AE76" s="6">
        <v>0</v>
      </c>
      <c r="AF76" s="6">
        <v>0</v>
      </c>
      <c r="AG76" s="6">
        <v>-118.8323598245607</v>
      </c>
      <c r="AH76" s="6">
        <v>18.027771495509189</v>
      </c>
      <c r="AI76" s="6">
        <v>0</v>
      </c>
      <c r="AJ76" s="6">
        <v>24.127252597465748</v>
      </c>
      <c r="AK76" s="6">
        <v>-134.8810176542552</v>
      </c>
      <c r="AL76" s="6">
        <v>8.0424175324885816</v>
      </c>
      <c r="AM76" s="6">
        <v>0</v>
      </c>
      <c r="AN76" s="6">
        <v>0</v>
      </c>
      <c r="AO76" s="6">
        <v>0</v>
      </c>
      <c r="AP76" s="6">
        <v>0</v>
      </c>
      <c r="AQ76" s="6">
        <v>-126.8386001217666</v>
      </c>
      <c r="AR76" s="6">
        <v>419.99999964779198</v>
      </c>
      <c r="AS76" s="6">
        <v>558.07437500000003</v>
      </c>
      <c r="AT76" s="6">
        <v>631.00690442978271</v>
      </c>
      <c r="AU76" s="6">
        <v>601.42551655208956</v>
      </c>
    </row>
    <row r="77" spans="1:47" x14ac:dyDescent="0.35">
      <c r="A77" s="5">
        <v>46022</v>
      </c>
      <c r="B77" s="4" t="s">
        <v>263</v>
      </c>
      <c r="C77" s="4" t="s">
        <v>264</v>
      </c>
      <c r="D77" s="4" t="s">
        <v>61</v>
      </c>
      <c r="E77" s="6">
        <v>2274.89</v>
      </c>
      <c r="F77" s="7">
        <v>0.58109999999999995</v>
      </c>
      <c r="G77" s="6">
        <v>87</v>
      </c>
      <c r="H77" s="6">
        <v>11.5</v>
      </c>
      <c r="I77" s="6">
        <v>97</v>
      </c>
      <c r="J77" s="6">
        <v>11.154999999999999</v>
      </c>
      <c r="K77" s="8">
        <v>77.637</v>
      </c>
      <c r="L77" s="6">
        <v>18.757892479910311</v>
      </c>
      <c r="M77" s="6">
        <v>10.67433736277451</v>
      </c>
      <c r="N77" s="6">
        <v>1.0635180775268349</v>
      </c>
      <c r="O77" s="6">
        <v>28.110590948297141</v>
      </c>
      <c r="P77" s="6">
        <v>58.606338868508793</v>
      </c>
      <c r="Q77" s="6">
        <v>10.329975850114</v>
      </c>
      <c r="R77" s="6">
        <v>12.42776250606668</v>
      </c>
      <c r="S77" s="6">
        <v>25.747736488189219</v>
      </c>
      <c r="T77" s="6">
        <v>40.585955580351701</v>
      </c>
      <c r="U77" s="6">
        <v>89.091430424721594</v>
      </c>
      <c r="V77" s="6">
        <v>147.69776929323041</v>
      </c>
      <c r="W77" s="6">
        <v>6.968375474616141</v>
      </c>
      <c r="X77" s="6">
        <v>25.859055930434781</v>
      </c>
      <c r="Y77" s="6">
        <v>-117.9243791183831</v>
      </c>
      <c r="Z77" s="6">
        <v>62.600821579898202</v>
      </c>
      <c r="AA77" s="6">
        <v>44.088389523846232</v>
      </c>
      <c r="AB77" s="6">
        <v>106.6892111037444</v>
      </c>
      <c r="AC77" s="6">
        <v>0</v>
      </c>
      <c r="AD77" s="6">
        <v>12.92977715382465</v>
      </c>
      <c r="AE77" s="6">
        <v>0</v>
      </c>
      <c r="AF77" s="6">
        <v>0</v>
      </c>
      <c r="AG77" s="6">
        <v>119.6189882575691</v>
      </c>
      <c r="AH77" s="6">
        <v>7.627921553657516</v>
      </c>
      <c r="AI77" s="6">
        <v>0</v>
      </c>
      <c r="AJ77" s="6">
        <v>21.18144751342135</v>
      </c>
      <c r="AK77" s="6">
        <v>135.49858017082329</v>
      </c>
      <c r="AL77" s="6">
        <v>0</v>
      </c>
      <c r="AM77" s="6">
        <v>0</v>
      </c>
      <c r="AN77" s="6">
        <v>0</v>
      </c>
      <c r="AO77" s="6">
        <v>0</v>
      </c>
      <c r="AP77" s="6">
        <v>0</v>
      </c>
      <c r="AQ77" s="6">
        <v>135.49858017082329</v>
      </c>
      <c r="AR77" s="6">
        <v>419.99999964779198</v>
      </c>
      <c r="AS77" s="6">
        <v>132.80541700000001</v>
      </c>
      <c r="AT77" s="6">
        <v>357.39917806789379</v>
      </c>
      <c r="AU77" s="6">
        <v>313.31078854404751</v>
      </c>
    </row>
    <row r="78" spans="1:47" x14ac:dyDescent="0.35">
      <c r="A78" s="5">
        <v>46022</v>
      </c>
      <c r="B78" s="4" t="s">
        <v>123</v>
      </c>
      <c r="C78" s="4" t="s">
        <v>124</v>
      </c>
      <c r="D78" s="4" t="s">
        <v>122</v>
      </c>
      <c r="E78" s="6">
        <v>117.02786399999999</v>
      </c>
      <c r="F78" s="7">
        <v>1.9</v>
      </c>
      <c r="G78" s="6">
        <v>85</v>
      </c>
      <c r="H78" s="6">
        <v>1.89</v>
      </c>
      <c r="I78" s="6">
        <v>97</v>
      </c>
      <c r="J78" s="6">
        <v>1.8332999999999999</v>
      </c>
      <c r="K78" s="8">
        <v>100</v>
      </c>
      <c r="L78" s="6">
        <v>34.490384415646439</v>
      </c>
      <c r="M78" s="6">
        <v>8.5312543763614634</v>
      </c>
      <c r="N78" s="6">
        <v>5.6677344689876348</v>
      </c>
      <c r="O78" s="6">
        <v>55.945038620537197</v>
      </c>
      <c r="P78" s="6">
        <v>104.6344118815327</v>
      </c>
      <c r="Q78" s="6">
        <v>8.0065083307241771</v>
      </c>
      <c r="R78" s="6">
        <v>3.663525336600435</v>
      </c>
      <c r="S78" s="6">
        <v>8.7147007920421533</v>
      </c>
      <c r="T78" s="6">
        <v>13.39196186239395</v>
      </c>
      <c r="U78" s="6">
        <v>33.77669632176071</v>
      </c>
      <c r="V78" s="6">
        <v>138.41110820329351</v>
      </c>
      <c r="W78" s="6">
        <v>2.7770275147037502</v>
      </c>
      <c r="X78" s="6">
        <v>22.02863</v>
      </c>
      <c r="Y78" s="6">
        <v>4.98951607E-16</v>
      </c>
      <c r="Z78" s="6">
        <v>163.21676571799719</v>
      </c>
      <c r="AA78" s="6">
        <v>25.199974394705912</v>
      </c>
      <c r="AB78" s="6">
        <v>188.41674011270311</v>
      </c>
      <c r="AC78" s="6">
        <v>9.8967395493091352</v>
      </c>
      <c r="AD78" s="6">
        <v>34.703680397260143</v>
      </c>
      <c r="AE78" s="6">
        <v>0</v>
      </c>
      <c r="AF78" s="6">
        <v>0</v>
      </c>
      <c r="AG78" s="6">
        <v>233.01716005927241</v>
      </c>
      <c r="AH78" s="6">
        <v>12.370926608250979</v>
      </c>
      <c r="AI78" s="6">
        <v>2.474184163455766</v>
      </c>
      <c r="AJ78" s="6">
        <v>24.741853216501951</v>
      </c>
      <c r="AK78" s="6">
        <v>237.90044365022089</v>
      </c>
      <c r="AL78" s="6">
        <v>0</v>
      </c>
      <c r="AM78" s="6">
        <v>0</v>
      </c>
      <c r="AN78" s="6">
        <v>0</v>
      </c>
      <c r="AO78" s="6">
        <v>0</v>
      </c>
      <c r="AP78" s="6">
        <v>0</v>
      </c>
      <c r="AQ78" s="6">
        <v>237.90044365022089</v>
      </c>
      <c r="AR78" s="6">
        <v>419.99999964779198</v>
      </c>
      <c r="AS78" s="6">
        <v>16.975285</v>
      </c>
      <c r="AT78" s="6">
        <v>256.78323392979479</v>
      </c>
      <c r="AU78" s="6">
        <v>231.58325953508881</v>
      </c>
    </row>
    <row r="79" spans="1:47" x14ac:dyDescent="0.35">
      <c r="A79" s="5">
        <v>46022</v>
      </c>
      <c r="B79" s="4" t="s">
        <v>125</v>
      </c>
      <c r="C79" s="4" t="s">
        <v>126</v>
      </c>
      <c r="D79" s="4" t="s">
        <v>79</v>
      </c>
      <c r="E79" s="6">
        <v>12349.463502000001</v>
      </c>
      <c r="F79" s="7">
        <v>0.42870000000000003</v>
      </c>
      <c r="G79" s="6">
        <v>80</v>
      </c>
      <c r="H79" s="6">
        <v>42.353000000000002</v>
      </c>
      <c r="I79" s="6">
        <v>95.769231000000005</v>
      </c>
      <c r="J79" s="6">
        <v>40.560994000000001</v>
      </c>
      <c r="K79" s="8">
        <v>92.956999999999994</v>
      </c>
      <c r="L79" s="6">
        <v>54.07611058026864</v>
      </c>
      <c r="M79" s="6">
        <v>28.57997593973608</v>
      </c>
      <c r="N79" s="6">
        <v>2.353328088832364</v>
      </c>
      <c r="O79" s="6">
        <v>71.334264209403941</v>
      </c>
      <c r="P79" s="6">
        <v>156.34367881824099</v>
      </c>
      <c r="Q79" s="6">
        <v>40.098540748728936</v>
      </c>
      <c r="R79" s="6">
        <v>29.452114470969988</v>
      </c>
      <c r="S79" s="6">
        <v>42.579490445566449</v>
      </c>
      <c r="T79" s="6">
        <v>65.905532956038655</v>
      </c>
      <c r="U79" s="6">
        <v>178.0356786213041</v>
      </c>
      <c r="V79" s="6">
        <v>334.37935743954512</v>
      </c>
      <c r="W79" s="6">
        <v>8.0044436821907325</v>
      </c>
      <c r="X79" s="6">
        <v>8.9895377244054551</v>
      </c>
      <c r="Y79" s="6">
        <v>-31.315149479139389</v>
      </c>
      <c r="Z79" s="6">
        <v>320.05818936700189</v>
      </c>
      <c r="AA79" s="6">
        <v>2.2570399485380359</v>
      </c>
      <c r="AB79" s="6">
        <v>322.31522931553991</v>
      </c>
      <c r="AC79" s="6">
        <v>0</v>
      </c>
      <c r="AD79" s="6">
        <v>44.509295987846102</v>
      </c>
      <c r="AE79" s="6">
        <v>0</v>
      </c>
      <c r="AF79" s="6">
        <v>0</v>
      </c>
      <c r="AG79" s="6">
        <v>366.824525303386</v>
      </c>
      <c r="AH79" s="6">
        <v>13.623237227212471</v>
      </c>
      <c r="AI79" s="6">
        <v>0</v>
      </c>
      <c r="AJ79" s="6">
        <v>38.758686494271352</v>
      </c>
      <c r="AK79" s="6">
        <v>374.69715303702372</v>
      </c>
      <c r="AL79" s="6">
        <v>0</v>
      </c>
      <c r="AM79" s="6">
        <v>0</v>
      </c>
      <c r="AN79" s="6">
        <v>0</v>
      </c>
      <c r="AO79" s="6">
        <v>0</v>
      </c>
      <c r="AP79" s="6">
        <v>0</v>
      </c>
      <c r="AQ79" s="6">
        <v>374.69715303702372</v>
      </c>
      <c r="AR79" s="6">
        <v>420.00006177644678</v>
      </c>
      <c r="AS79" s="6">
        <v>403.65169800000001</v>
      </c>
      <c r="AT79" s="6">
        <v>99.94187240944494</v>
      </c>
      <c r="AU79" s="6">
        <v>97.684832460906904</v>
      </c>
    </row>
    <row r="80" spans="1:47" x14ac:dyDescent="0.35">
      <c r="A80" s="5">
        <v>46022</v>
      </c>
      <c r="B80" s="4" t="s">
        <v>265</v>
      </c>
      <c r="C80" s="4" t="s">
        <v>266</v>
      </c>
      <c r="D80" s="4" t="s">
        <v>79</v>
      </c>
      <c r="E80" s="6">
        <v>14343.854101999999</v>
      </c>
      <c r="F80" s="7">
        <v>0.34</v>
      </c>
      <c r="G80" s="6">
        <v>42.3</v>
      </c>
      <c r="H80" s="6">
        <v>20.629000000000001</v>
      </c>
      <c r="I80" s="6">
        <v>100</v>
      </c>
      <c r="J80" s="6">
        <v>20.629331000000001</v>
      </c>
      <c r="K80" s="8">
        <v>100</v>
      </c>
      <c r="L80" s="6">
        <v>51.514052040328437</v>
      </c>
      <c r="M80" s="6">
        <v>12.270868914429011</v>
      </c>
      <c r="N80" s="6">
        <v>2.2605502066247531</v>
      </c>
      <c r="O80" s="6">
        <v>58.791935613827157</v>
      </c>
      <c r="P80" s="6">
        <v>124.8374067752094</v>
      </c>
      <c r="Q80" s="6">
        <v>51.403413601195687</v>
      </c>
      <c r="R80" s="6">
        <v>19.870512281551541</v>
      </c>
      <c r="S80" s="6">
        <v>30.945615579880499</v>
      </c>
      <c r="T80" s="6">
        <v>56.943598747984908</v>
      </c>
      <c r="U80" s="6">
        <v>159.1631402106126</v>
      </c>
      <c r="V80" s="6">
        <v>284.00054698582198</v>
      </c>
      <c r="W80" s="6">
        <v>3.6287335070404358</v>
      </c>
      <c r="X80" s="6">
        <v>0</v>
      </c>
      <c r="Y80" s="6">
        <v>0</v>
      </c>
      <c r="Z80" s="6">
        <v>287.62928049286239</v>
      </c>
      <c r="AA80" s="6">
        <v>2.099933808108545</v>
      </c>
      <c r="AB80" s="6">
        <v>289.72921430097102</v>
      </c>
      <c r="AC80" s="6">
        <v>0</v>
      </c>
      <c r="AD80" s="6">
        <v>36.767884592007029</v>
      </c>
      <c r="AE80" s="6">
        <v>0</v>
      </c>
      <c r="AF80" s="6">
        <v>0</v>
      </c>
      <c r="AG80" s="6">
        <v>326.49709889297799</v>
      </c>
      <c r="AH80" s="6">
        <v>9.1942182941785564</v>
      </c>
      <c r="AI80" s="6">
        <v>0</v>
      </c>
      <c r="AJ80" s="6">
        <v>36.767884592007029</v>
      </c>
      <c r="AK80" s="6">
        <v>335.69131718715659</v>
      </c>
      <c r="AL80" s="6">
        <v>0</v>
      </c>
      <c r="AM80" s="6">
        <v>0</v>
      </c>
      <c r="AN80" s="6">
        <v>0</v>
      </c>
      <c r="AO80" s="6">
        <v>0</v>
      </c>
      <c r="AP80" s="6">
        <v>0</v>
      </c>
      <c r="AQ80" s="6">
        <v>335.69131718715659</v>
      </c>
      <c r="AR80" s="6">
        <v>419.99936850759701</v>
      </c>
      <c r="AS80" s="6">
        <v>191.01525000000001</v>
      </c>
      <c r="AT80" s="6">
        <v>132.37008801473451</v>
      </c>
      <c r="AU80" s="6">
        <v>130.27015420662599</v>
      </c>
    </row>
    <row r="81" spans="1:47" x14ac:dyDescent="0.35">
      <c r="A81" s="5">
        <v>46022</v>
      </c>
      <c r="B81" s="4" t="s">
        <v>708</v>
      </c>
      <c r="C81" s="4" t="s">
        <v>709</v>
      </c>
      <c r="D81" s="4" t="s">
        <v>50</v>
      </c>
      <c r="E81" s="6">
        <v>1016</v>
      </c>
      <c r="F81" s="7">
        <v>0.13800000000000001</v>
      </c>
      <c r="G81" s="6">
        <v>57.06</v>
      </c>
      <c r="H81" s="6">
        <v>0.8</v>
      </c>
      <c r="I81" s="6">
        <v>97</v>
      </c>
      <c r="J81" s="6">
        <v>0.77600000000000002</v>
      </c>
      <c r="K81" s="8">
        <v>4.1319999999999997</v>
      </c>
      <c r="L81" s="6">
        <v>1882.386160444559</v>
      </c>
      <c r="M81" s="6">
        <v>122.53860864098699</v>
      </c>
      <c r="N81" s="6">
        <v>670.54822813339899</v>
      </c>
      <c r="O81" s="6">
        <v>2718.3364277776632</v>
      </c>
      <c r="P81" s="6">
        <v>5393.809424996608</v>
      </c>
      <c r="Q81" s="6">
        <v>350.44382417991102</v>
      </c>
      <c r="R81" s="6">
        <v>123.84811110833699</v>
      </c>
      <c r="S81" s="6">
        <v>310.65603186525601</v>
      </c>
      <c r="T81" s="6">
        <v>140.111656649888</v>
      </c>
      <c r="U81" s="6">
        <v>925.0596238033919</v>
      </c>
      <c r="V81" s="6">
        <v>6318.8690488000002</v>
      </c>
      <c r="W81" s="6">
        <v>8.3022390495428997</v>
      </c>
      <c r="X81" s="6">
        <v>19.222904</v>
      </c>
      <c r="Y81" s="6">
        <v>-9388.6961556217811</v>
      </c>
      <c r="Z81" s="6">
        <v>-3042.3019637722391</v>
      </c>
      <c r="AA81" s="6">
        <v>110.3090274006214</v>
      </c>
      <c r="AB81" s="6">
        <v>-2931.9929363716178</v>
      </c>
      <c r="AC81" s="6">
        <v>0</v>
      </c>
      <c r="AD81" s="6">
        <v>1868.6855576912601</v>
      </c>
      <c r="AE81" s="6">
        <v>0</v>
      </c>
      <c r="AF81" s="6">
        <v>0</v>
      </c>
      <c r="AG81" s="6">
        <v>-1063.3073786803579</v>
      </c>
      <c r="AH81" s="6">
        <v>135.98556581432899</v>
      </c>
      <c r="AI81" s="6">
        <v>0</v>
      </c>
      <c r="AJ81" s="6">
        <v>1788.6503109713699</v>
      </c>
      <c r="AK81" s="6">
        <v>-1007.357059585919</v>
      </c>
      <c r="AL81" s="6">
        <v>0</v>
      </c>
      <c r="AM81" s="6">
        <v>0</v>
      </c>
      <c r="AN81" s="6">
        <v>0</v>
      </c>
      <c r="AO81" s="6">
        <v>0</v>
      </c>
      <c r="AP81" s="6">
        <v>0</v>
      </c>
      <c r="AQ81" s="6">
        <v>-1007.357059585919</v>
      </c>
      <c r="AR81" s="6">
        <v>419.99999964779192</v>
      </c>
      <c r="AS81" s="6">
        <v>186.937242</v>
      </c>
      <c r="AT81" s="6">
        <v>3462.3019634200309</v>
      </c>
      <c r="AU81" s="6">
        <v>3351.9929360194101</v>
      </c>
    </row>
    <row r="82" spans="1:47" x14ac:dyDescent="0.35">
      <c r="A82" s="5">
        <v>46022</v>
      </c>
      <c r="B82" s="4" t="s">
        <v>127</v>
      </c>
      <c r="C82" s="4" t="s">
        <v>128</v>
      </c>
      <c r="D82" s="4" t="s">
        <v>58</v>
      </c>
      <c r="E82" s="6">
        <v>73000</v>
      </c>
      <c r="F82" s="7">
        <v>0.60899999999999999</v>
      </c>
      <c r="G82" s="6">
        <v>69.92</v>
      </c>
      <c r="H82" s="6">
        <v>310.86</v>
      </c>
      <c r="I82" s="6">
        <v>98</v>
      </c>
      <c r="J82" s="6">
        <v>304.64280000000002</v>
      </c>
      <c r="K82" s="8">
        <v>70.695999999999998</v>
      </c>
      <c r="L82" s="6">
        <v>172.72634554499089</v>
      </c>
      <c r="M82" s="6">
        <v>24.95205875924022</v>
      </c>
      <c r="N82" s="6">
        <v>2.5140356824352952</v>
      </c>
      <c r="O82" s="6">
        <v>64.71531898324335</v>
      </c>
      <c r="P82" s="6">
        <v>264.90775896990971</v>
      </c>
      <c r="Q82" s="6">
        <v>14.305511815757511</v>
      </c>
      <c r="R82" s="6">
        <v>21.806902830281569</v>
      </c>
      <c r="S82" s="6">
        <v>40.884788020735513</v>
      </c>
      <c r="T82" s="6">
        <v>13.38914021730513</v>
      </c>
      <c r="U82" s="6">
        <v>90.38634288407971</v>
      </c>
      <c r="V82" s="6">
        <v>355.2941018539895</v>
      </c>
      <c r="W82" s="6">
        <v>10.807095860018579</v>
      </c>
      <c r="X82" s="6">
        <v>19.52756891735315</v>
      </c>
      <c r="Y82" s="6">
        <v>-161.36970330433991</v>
      </c>
      <c r="Z82" s="6">
        <v>224.25906332702129</v>
      </c>
      <c r="AA82" s="6">
        <v>8.5527410695148518</v>
      </c>
      <c r="AB82" s="6">
        <v>232.8118043965361</v>
      </c>
      <c r="AC82" s="6">
        <v>0</v>
      </c>
      <c r="AD82" s="6">
        <v>63.401080225159738</v>
      </c>
      <c r="AE82" s="6">
        <v>0</v>
      </c>
      <c r="AF82" s="6">
        <v>0</v>
      </c>
      <c r="AG82" s="6">
        <v>296.21288462169582</v>
      </c>
      <c r="AH82" s="6">
        <v>17.030855665120558</v>
      </c>
      <c r="AI82" s="6">
        <v>0</v>
      </c>
      <c r="AJ82" s="6">
        <v>32.604640381344403</v>
      </c>
      <c r="AK82" s="6">
        <v>282.4473004430011</v>
      </c>
      <c r="AL82" s="6">
        <v>37.223301493467289</v>
      </c>
      <c r="AM82" s="6">
        <v>0</v>
      </c>
      <c r="AN82" s="6">
        <v>0</v>
      </c>
      <c r="AO82" s="6">
        <v>0</v>
      </c>
      <c r="AP82" s="6">
        <v>114.64775077438711</v>
      </c>
      <c r="AQ82" s="6">
        <v>434.31835271085538</v>
      </c>
      <c r="AR82" s="6">
        <v>419.99999964779192</v>
      </c>
      <c r="AS82" s="6">
        <v>3935.7198309999999</v>
      </c>
      <c r="AT82" s="6">
        <v>195.74093632077069</v>
      </c>
      <c r="AU82" s="6">
        <v>187.18819525125579</v>
      </c>
    </row>
    <row r="83" spans="1:47" x14ac:dyDescent="0.35">
      <c r="A83" s="5">
        <v>46022</v>
      </c>
      <c r="B83" s="4" t="s">
        <v>193</v>
      </c>
      <c r="C83" s="4" t="s">
        <v>194</v>
      </c>
      <c r="D83" s="4" t="s">
        <v>58</v>
      </c>
      <c r="E83" s="6">
        <v>8500</v>
      </c>
      <c r="F83" s="7">
        <v>0.43</v>
      </c>
      <c r="G83" s="6">
        <v>80</v>
      </c>
      <c r="H83" s="6">
        <v>29.24</v>
      </c>
      <c r="I83" s="6">
        <v>100</v>
      </c>
      <c r="J83" s="6">
        <v>29.24</v>
      </c>
      <c r="K83" s="8">
        <v>100</v>
      </c>
      <c r="L83" s="6">
        <v>74.869561017458736</v>
      </c>
      <c r="M83" s="6">
        <v>26.206417849172379</v>
      </c>
      <c r="N83" s="6">
        <v>6.8242049058770364</v>
      </c>
      <c r="O83" s="6">
        <v>19.48950599895494</v>
      </c>
      <c r="P83" s="6">
        <v>127.3896897714631</v>
      </c>
      <c r="Q83" s="6">
        <v>29.10607300352093</v>
      </c>
      <c r="R83" s="6">
        <v>18.214278519668898</v>
      </c>
      <c r="S83" s="6">
        <v>23.188920979396801</v>
      </c>
      <c r="T83" s="6">
        <v>3.9859429513750002</v>
      </c>
      <c r="U83" s="6">
        <v>74.495215453961634</v>
      </c>
      <c r="V83" s="6">
        <v>201.88490522542469</v>
      </c>
      <c r="W83" s="6">
        <v>3.4019427750000002</v>
      </c>
      <c r="X83" s="6">
        <v>0</v>
      </c>
      <c r="Y83" s="6">
        <v>0</v>
      </c>
      <c r="Z83" s="6">
        <v>205.2868480004247</v>
      </c>
      <c r="AA83" s="6">
        <v>4.1999736433842161</v>
      </c>
      <c r="AB83" s="6">
        <v>209.4868216438089</v>
      </c>
      <c r="AC83" s="6">
        <v>0</v>
      </c>
      <c r="AD83" s="6">
        <v>74.015462407738383</v>
      </c>
      <c r="AE83" s="6">
        <v>0</v>
      </c>
      <c r="AF83" s="6">
        <v>0</v>
      </c>
      <c r="AG83" s="6">
        <v>283.50228405154729</v>
      </c>
      <c r="AH83" s="6">
        <v>19.13148448644796</v>
      </c>
      <c r="AI83" s="6">
        <v>0</v>
      </c>
      <c r="AJ83" s="6">
        <v>25.28814383059186</v>
      </c>
      <c r="AK83" s="6">
        <v>253.90644996084879</v>
      </c>
      <c r="AL83" s="6">
        <v>0</v>
      </c>
      <c r="AM83" s="6">
        <v>0</v>
      </c>
      <c r="AN83" s="6">
        <v>0</v>
      </c>
      <c r="AO83" s="6">
        <v>0</v>
      </c>
      <c r="AP83" s="6">
        <v>0</v>
      </c>
      <c r="AQ83" s="6">
        <v>253.90644996084879</v>
      </c>
      <c r="AR83" s="6">
        <v>419.99999964779198</v>
      </c>
      <c r="AS83" s="6">
        <v>270.745295</v>
      </c>
      <c r="AT83" s="6">
        <v>214.7131516473672</v>
      </c>
      <c r="AU83" s="6">
        <v>210.513178003983</v>
      </c>
    </row>
    <row r="84" spans="1:47" x14ac:dyDescent="0.35">
      <c r="A84" s="5">
        <v>46022</v>
      </c>
      <c r="B84" s="4" t="s">
        <v>267</v>
      </c>
      <c r="C84" s="4" t="s">
        <v>268</v>
      </c>
      <c r="D84" s="4" t="s">
        <v>89</v>
      </c>
      <c r="E84" s="6">
        <v>1111</v>
      </c>
      <c r="F84" s="7">
        <v>3.9</v>
      </c>
      <c r="G84" s="6">
        <v>99.61</v>
      </c>
      <c r="H84" s="6">
        <v>43.16</v>
      </c>
      <c r="I84" s="6">
        <v>95.769231000000005</v>
      </c>
      <c r="J84" s="6">
        <v>41.334000000000003</v>
      </c>
      <c r="K84" s="8">
        <v>99.948999999999998</v>
      </c>
      <c r="L84" s="6">
        <v>145.40310003457631</v>
      </c>
      <c r="M84" s="6">
        <v>1.6451335599000929</v>
      </c>
      <c r="N84" s="6">
        <v>1.174105763772556</v>
      </c>
      <c r="O84" s="6">
        <v>10.06487001979645</v>
      </c>
      <c r="P84" s="6">
        <v>158.28720937804539</v>
      </c>
      <c r="Q84" s="6">
        <v>60.199666129062429</v>
      </c>
      <c r="R84" s="6">
        <v>1.0240633720542229</v>
      </c>
      <c r="S84" s="6">
        <v>2.8714414987984238</v>
      </c>
      <c r="T84" s="6">
        <v>6.7814754894159757</v>
      </c>
      <c r="U84" s="6">
        <v>70.876646489331051</v>
      </c>
      <c r="V84" s="6">
        <v>229.16385586737641</v>
      </c>
      <c r="W84" s="6">
        <v>14.71871936954696</v>
      </c>
      <c r="X84" s="6">
        <v>31.15241112534056</v>
      </c>
      <c r="Y84" s="6">
        <v>-13.06965802774112</v>
      </c>
      <c r="Z84" s="6">
        <v>261.96532833452278</v>
      </c>
      <c r="AA84" s="6">
        <v>18.07420135852821</v>
      </c>
      <c r="AB84" s="6">
        <v>280.03952969305101</v>
      </c>
      <c r="AC84" s="6">
        <v>0</v>
      </c>
      <c r="AD84" s="6">
        <v>51.186761926141862</v>
      </c>
      <c r="AE84" s="6">
        <v>0</v>
      </c>
      <c r="AF84" s="6">
        <v>0</v>
      </c>
      <c r="AG84" s="6">
        <v>331.22629161919292</v>
      </c>
      <c r="AH84" s="6">
        <v>3.703668552345619</v>
      </c>
      <c r="AI84" s="6">
        <v>0</v>
      </c>
      <c r="AJ84" s="6">
        <v>49.382243300632481</v>
      </c>
      <c r="AK84" s="6">
        <v>333.12544154602909</v>
      </c>
      <c r="AL84" s="6">
        <v>24.691121650316241</v>
      </c>
      <c r="AM84" s="6">
        <v>0</v>
      </c>
      <c r="AN84" s="6">
        <v>0</v>
      </c>
      <c r="AO84" s="6">
        <v>0</v>
      </c>
      <c r="AP84" s="6">
        <v>0</v>
      </c>
      <c r="AQ84" s="6">
        <v>357.81656319634538</v>
      </c>
      <c r="AR84" s="6">
        <v>419.99999964779192</v>
      </c>
      <c r="AS84" s="6">
        <v>394.94110799999999</v>
      </c>
      <c r="AT84" s="6">
        <v>158.03467131326909</v>
      </c>
      <c r="AU84" s="6">
        <v>139.96046995474089</v>
      </c>
    </row>
    <row r="85" spans="1:47" x14ac:dyDescent="0.35">
      <c r="A85" s="5">
        <v>46022</v>
      </c>
      <c r="B85" s="4" t="s">
        <v>298</v>
      </c>
      <c r="C85" s="4" t="s">
        <v>299</v>
      </c>
      <c r="D85" s="4" t="s">
        <v>58</v>
      </c>
      <c r="E85" s="6">
        <v>58945.333333000002</v>
      </c>
      <c r="F85" s="7">
        <v>0.92</v>
      </c>
      <c r="G85" s="6">
        <v>85</v>
      </c>
      <c r="H85" s="6">
        <v>460.95299999999997</v>
      </c>
      <c r="I85" s="6">
        <v>97</v>
      </c>
      <c r="J85" s="6">
        <v>447.12393100000003</v>
      </c>
      <c r="K85" s="8">
        <v>89.272999999999996</v>
      </c>
      <c r="L85" s="6">
        <v>29.1293559203401</v>
      </c>
      <c r="M85" s="6">
        <v>11.794436139059099</v>
      </c>
      <c r="N85" s="6">
        <v>0.42337639968501128</v>
      </c>
      <c r="O85" s="6">
        <v>9.1901818336959025</v>
      </c>
      <c r="P85" s="6">
        <v>50.537350292780118</v>
      </c>
      <c r="Q85" s="6">
        <v>17.64166600202142</v>
      </c>
      <c r="R85" s="6">
        <v>30.917079376927308</v>
      </c>
      <c r="S85" s="6">
        <v>38.954079120346869</v>
      </c>
      <c r="T85" s="6">
        <v>12.29141201795095</v>
      </c>
      <c r="U85" s="6">
        <v>99.804236517246551</v>
      </c>
      <c r="V85" s="6">
        <v>150.34158681002671</v>
      </c>
      <c r="W85" s="6">
        <v>9.6671342771180413</v>
      </c>
      <c r="X85" s="6">
        <v>21.855436446744871</v>
      </c>
      <c r="Y85" s="6">
        <v>-47.960247876465779</v>
      </c>
      <c r="Z85" s="6">
        <v>133.90390965742381</v>
      </c>
      <c r="AA85" s="6">
        <v>34.962407314989733</v>
      </c>
      <c r="AB85" s="6">
        <v>168.8663169724135</v>
      </c>
      <c r="AC85" s="6">
        <v>0</v>
      </c>
      <c r="AD85" s="6">
        <v>66.76686067141749</v>
      </c>
      <c r="AE85" s="6">
        <v>0</v>
      </c>
      <c r="AF85" s="6">
        <v>0</v>
      </c>
      <c r="AG85" s="6">
        <v>235.633177643831</v>
      </c>
      <c r="AH85" s="6">
        <v>7.0561736646136817</v>
      </c>
      <c r="AI85" s="6">
        <v>0</v>
      </c>
      <c r="AJ85" s="6">
        <v>135.2638472869327</v>
      </c>
      <c r="AK85" s="6">
        <v>311.18633792395991</v>
      </c>
      <c r="AL85" s="6">
        <v>0</v>
      </c>
      <c r="AM85" s="6">
        <v>0</v>
      </c>
      <c r="AN85" s="6">
        <v>0</v>
      </c>
      <c r="AO85" s="6">
        <v>0</v>
      </c>
      <c r="AP85" s="6">
        <v>0</v>
      </c>
      <c r="AQ85" s="6">
        <v>311.18633792395991</v>
      </c>
      <c r="AR85" s="6">
        <v>419.99997052834851</v>
      </c>
      <c r="AS85" s="6">
        <v>4662.366</v>
      </c>
      <c r="AT85" s="6">
        <v>286.0960608709247</v>
      </c>
      <c r="AU85" s="6">
        <v>251.13365355593501</v>
      </c>
    </row>
    <row r="86" spans="1:47" x14ac:dyDescent="0.35">
      <c r="A86" s="5">
        <v>46022</v>
      </c>
      <c r="B86" s="4" t="s">
        <v>710</v>
      </c>
      <c r="C86" s="4" t="s">
        <v>711</v>
      </c>
      <c r="D86" s="4" t="s">
        <v>50</v>
      </c>
      <c r="E86" s="6">
        <v>31350</v>
      </c>
      <c r="F86" s="7">
        <v>0.3327</v>
      </c>
      <c r="G86" s="6">
        <v>86.05</v>
      </c>
      <c r="H86" s="6">
        <v>89.756</v>
      </c>
      <c r="I86" s="6">
        <v>97</v>
      </c>
      <c r="J86" s="6">
        <v>87.063295999999994</v>
      </c>
      <c r="K86" s="8">
        <v>74.369</v>
      </c>
      <c r="L86" s="6">
        <v>44.424059709829571</v>
      </c>
      <c r="M86" s="6">
        <v>44.107834880942868</v>
      </c>
      <c r="N86" s="6">
        <v>0.52656227769631014</v>
      </c>
      <c r="O86" s="6">
        <v>28.79094687371936</v>
      </c>
      <c r="P86" s="6">
        <v>117.8494037421881</v>
      </c>
      <c r="Q86" s="6">
        <v>22.346206135546169</v>
      </c>
      <c r="R86" s="6">
        <v>22.752426254302492</v>
      </c>
      <c r="S86" s="6">
        <v>52.35565003469987</v>
      </c>
      <c r="T86" s="6">
        <v>31.478539424128801</v>
      </c>
      <c r="U86" s="6">
        <v>128.93282184867729</v>
      </c>
      <c r="V86" s="6">
        <v>246.78222559086541</v>
      </c>
      <c r="W86" s="6">
        <v>29.349599580003499</v>
      </c>
      <c r="X86" s="6">
        <v>23.009223494947619</v>
      </c>
      <c r="Y86" s="6">
        <v>-138.5439047112045</v>
      </c>
      <c r="Z86" s="6">
        <v>160.59714395461211</v>
      </c>
      <c r="AA86" s="6">
        <v>7.0629001607754258</v>
      </c>
      <c r="AB86" s="6">
        <v>167.66004411538751</v>
      </c>
      <c r="AC86" s="6">
        <v>0</v>
      </c>
      <c r="AD86" s="6">
        <v>134.6457261162175</v>
      </c>
      <c r="AE86" s="6">
        <v>0</v>
      </c>
      <c r="AF86" s="6">
        <v>0</v>
      </c>
      <c r="AG86" s="6">
        <v>302.30577023160498</v>
      </c>
      <c r="AH86" s="6">
        <v>28.453374704749251</v>
      </c>
      <c r="AI86" s="6">
        <v>0</v>
      </c>
      <c r="AJ86" s="6">
        <v>88.568562363142178</v>
      </c>
      <c r="AK86" s="6">
        <v>284.68198118327888</v>
      </c>
      <c r="AL86" s="6">
        <v>13.024784739736569</v>
      </c>
      <c r="AM86" s="6">
        <v>0</v>
      </c>
      <c r="AN86" s="6">
        <v>0</v>
      </c>
      <c r="AO86" s="6">
        <v>0</v>
      </c>
      <c r="AP86" s="6">
        <v>0</v>
      </c>
      <c r="AQ86" s="6">
        <v>297.7067659230155</v>
      </c>
      <c r="AR86" s="6">
        <v>420.00001894409792</v>
      </c>
      <c r="AS86" s="6">
        <v>1076.927334</v>
      </c>
      <c r="AT86" s="6">
        <v>259.40287498948589</v>
      </c>
      <c r="AU86" s="6">
        <v>252.3399748287105</v>
      </c>
    </row>
    <row r="87" spans="1:47" x14ac:dyDescent="0.35">
      <c r="A87" s="5">
        <v>46022</v>
      </c>
      <c r="B87" s="4" t="s">
        <v>300</v>
      </c>
      <c r="C87" s="4" t="s">
        <v>301</v>
      </c>
      <c r="D87" s="4" t="s">
        <v>79</v>
      </c>
      <c r="E87" s="6">
        <v>15700</v>
      </c>
      <c r="F87" s="7">
        <v>0.35</v>
      </c>
      <c r="G87" s="6">
        <v>88</v>
      </c>
      <c r="H87" s="6">
        <v>48.356000000000002</v>
      </c>
      <c r="I87" s="6">
        <v>96.206896999999998</v>
      </c>
      <c r="J87" s="6">
        <v>46.521807000000003</v>
      </c>
      <c r="K87" s="8">
        <v>71.561999999999998</v>
      </c>
      <c r="L87" s="6">
        <v>9.0952300949527984</v>
      </c>
      <c r="M87" s="6">
        <v>16.67683873348642</v>
      </c>
      <c r="N87" s="6">
        <v>1.009540200756927</v>
      </c>
      <c r="O87" s="6">
        <v>37.481173775862821</v>
      </c>
      <c r="P87" s="6">
        <v>64.262782805058961</v>
      </c>
      <c r="Q87" s="6">
        <v>27.664080341302832</v>
      </c>
      <c r="R87" s="6">
        <v>20.52314862921941</v>
      </c>
      <c r="S87" s="6">
        <v>51.795933362143792</v>
      </c>
      <c r="T87" s="6">
        <v>54.209323786876709</v>
      </c>
      <c r="U87" s="6">
        <v>154.19248611954271</v>
      </c>
      <c r="V87" s="6">
        <v>218.45526892460171</v>
      </c>
      <c r="W87" s="6">
        <v>3.2515576627183029</v>
      </c>
      <c r="X87" s="6">
        <v>21.006229447136651</v>
      </c>
      <c r="Y87" s="6">
        <v>-158.2697688435687</v>
      </c>
      <c r="Z87" s="6">
        <v>84.443287190887943</v>
      </c>
      <c r="AA87" s="6">
        <v>36.297062415877839</v>
      </c>
      <c r="AB87" s="6">
        <v>120.7403496067658</v>
      </c>
      <c r="AC87" s="6">
        <v>0</v>
      </c>
      <c r="AD87" s="6">
        <v>24.62907644466183</v>
      </c>
      <c r="AE87" s="6">
        <v>0</v>
      </c>
      <c r="AF87" s="6">
        <v>0</v>
      </c>
      <c r="AG87" s="6">
        <v>145.36942605142761</v>
      </c>
      <c r="AH87" s="6">
        <v>8.9693705114710163</v>
      </c>
      <c r="AI87" s="6">
        <v>0</v>
      </c>
      <c r="AJ87" s="6">
        <v>24.62907644466183</v>
      </c>
      <c r="AK87" s="6">
        <v>154.33879656289861</v>
      </c>
      <c r="AL87" s="6">
        <v>0</v>
      </c>
      <c r="AM87" s="6">
        <v>0</v>
      </c>
      <c r="AN87" s="6">
        <v>0</v>
      </c>
      <c r="AO87" s="6">
        <v>0</v>
      </c>
      <c r="AP87" s="6">
        <v>0</v>
      </c>
      <c r="AQ87" s="6">
        <v>154.33879656289861</v>
      </c>
      <c r="AR87" s="6">
        <v>419.99993645162249</v>
      </c>
      <c r="AS87" s="6">
        <v>601.03105800000003</v>
      </c>
      <c r="AT87" s="6">
        <v>335.5566492607345</v>
      </c>
      <c r="AU87" s="6">
        <v>299.2595868448567</v>
      </c>
    </row>
    <row r="88" spans="1:47" x14ac:dyDescent="0.35">
      <c r="A88" s="5">
        <v>46022</v>
      </c>
      <c r="B88" s="4" t="s">
        <v>302</v>
      </c>
      <c r="C88" s="4" t="s">
        <v>303</v>
      </c>
      <c r="D88" s="4" t="s">
        <v>222</v>
      </c>
      <c r="E88" s="6">
        <v>16425</v>
      </c>
      <c r="F88" s="7">
        <v>0.28999999999999998</v>
      </c>
      <c r="G88" s="6">
        <v>57.73</v>
      </c>
      <c r="H88" s="6">
        <v>27.5</v>
      </c>
      <c r="I88" s="6">
        <v>96</v>
      </c>
      <c r="J88" s="6">
        <v>26.4</v>
      </c>
      <c r="K88" s="8">
        <v>83.85</v>
      </c>
      <c r="L88" s="6">
        <v>95.686527548072362</v>
      </c>
      <c r="M88" s="6">
        <v>36.031576389466878</v>
      </c>
      <c r="N88" s="6">
        <v>1.0395927340929381</v>
      </c>
      <c r="O88" s="6">
        <v>71.109887048847284</v>
      </c>
      <c r="P88" s="6">
        <v>203.8675837204795</v>
      </c>
      <c r="Q88" s="6">
        <v>41.168526989430759</v>
      </c>
      <c r="R88" s="6">
        <v>18.280413339084092</v>
      </c>
      <c r="S88" s="6">
        <v>28.203559935286311</v>
      </c>
      <c r="T88" s="6">
        <v>59.438216477085469</v>
      </c>
      <c r="U88" s="6">
        <v>147.09071674088659</v>
      </c>
      <c r="V88" s="6">
        <v>350.95830046136609</v>
      </c>
      <c r="W88" s="6">
        <v>6.1709224981884496</v>
      </c>
      <c r="X88" s="6">
        <v>21.711818764966491</v>
      </c>
      <c r="Y88" s="6">
        <v>-83.110849039063041</v>
      </c>
      <c r="Z88" s="6">
        <v>295.73019268545801</v>
      </c>
      <c r="AA88" s="6">
        <v>6.3545345836361866</v>
      </c>
      <c r="AB88" s="6">
        <v>302.08472726909417</v>
      </c>
      <c r="AC88" s="6">
        <v>0</v>
      </c>
      <c r="AD88" s="6">
        <v>267.14428993406312</v>
      </c>
      <c r="AE88" s="6">
        <v>0</v>
      </c>
      <c r="AF88" s="6">
        <v>0</v>
      </c>
      <c r="AG88" s="6">
        <v>569.22901720315724</v>
      </c>
      <c r="AH88" s="6">
        <v>12.739088878247809</v>
      </c>
      <c r="AI88" s="6">
        <v>1.7181585436174689</v>
      </c>
      <c r="AJ88" s="6">
        <v>231.95064143049359</v>
      </c>
      <c r="AK88" s="6">
        <v>548.49261612145301</v>
      </c>
      <c r="AL88" s="6">
        <v>128.8614674613853</v>
      </c>
      <c r="AM88" s="6">
        <v>0</v>
      </c>
      <c r="AN88" s="6">
        <v>0</v>
      </c>
      <c r="AO88" s="6">
        <v>0</v>
      </c>
      <c r="AP88" s="6">
        <v>0</v>
      </c>
      <c r="AQ88" s="6">
        <v>677.35408358283826</v>
      </c>
      <c r="AR88" s="6">
        <v>419.99999964779198</v>
      </c>
      <c r="AS88" s="6">
        <v>293.14657</v>
      </c>
      <c r="AT88" s="6">
        <v>124.269806962334</v>
      </c>
      <c r="AU88" s="6">
        <v>117.91527237869779</v>
      </c>
    </row>
    <row r="89" spans="1:47" x14ac:dyDescent="0.35">
      <c r="A89" s="5">
        <v>46022</v>
      </c>
      <c r="B89" s="4" t="s">
        <v>129</v>
      </c>
      <c r="C89" s="4" t="s">
        <v>130</v>
      </c>
      <c r="D89" s="4" t="s">
        <v>111</v>
      </c>
      <c r="E89" s="6">
        <v>604</v>
      </c>
      <c r="F89" s="7">
        <v>0.5</v>
      </c>
      <c r="G89" s="6">
        <v>87</v>
      </c>
      <c r="H89" s="6">
        <v>2.6269999999999998</v>
      </c>
      <c r="I89" s="6">
        <v>96.295235000000005</v>
      </c>
      <c r="J89" s="6">
        <v>2.5300609999999999</v>
      </c>
      <c r="K89" s="8">
        <v>28.613</v>
      </c>
      <c r="L89" s="6">
        <v>191.134945271433</v>
      </c>
      <c r="M89" s="6">
        <v>122.54850852298991</v>
      </c>
      <c r="N89" s="6">
        <v>36.337968579115653</v>
      </c>
      <c r="O89" s="6">
        <v>187.7905871377852</v>
      </c>
      <c r="P89" s="6">
        <v>537.81200951132371</v>
      </c>
      <c r="Q89" s="6">
        <v>71.068236522256512</v>
      </c>
      <c r="R89" s="6">
        <v>15.22316626278443</v>
      </c>
      <c r="S89" s="6">
        <v>37.369288111500339</v>
      </c>
      <c r="T89" s="6">
        <v>27.254741898867419</v>
      </c>
      <c r="U89" s="6">
        <v>150.91543279540869</v>
      </c>
      <c r="V89" s="6">
        <v>688.72744230673254</v>
      </c>
      <c r="W89" s="6">
        <v>30.21912625748266</v>
      </c>
      <c r="X89" s="6">
        <v>30.131230988388619</v>
      </c>
      <c r="Y89" s="6">
        <v>-1154.54653409458</v>
      </c>
      <c r="Z89" s="6">
        <v>-405.468734541976</v>
      </c>
      <c r="AA89" s="6">
        <v>132.8168374950221</v>
      </c>
      <c r="AB89" s="6">
        <v>-272.65189704695388</v>
      </c>
      <c r="AC89" s="6">
        <v>1.0410659672793989</v>
      </c>
      <c r="AD89" s="6">
        <v>244.0117649838175</v>
      </c>
      <c r="AE89" s="6">
        <v>0</v>
      </c>
      <c r="AF89" s="6">
        <v>0</v>
      </c>
      <c r="AG89" s="6">
        <v>-27.599066095856951</v>
      </c>
      <c r="AH89" s="6">
        <v>89.163760988809585</v>
      </c>
      <c r="AI89" s="6">
        <v>0</v>
      </c>
      <c r="AJ89" s="6">
        <v>53.50879741502456</v>
      </c>
      <c r="AK89" s="6">
        <v>-128.93827267584041</v>
      </c>
      <c r="AL89" s="6">
        <v>0</v>
      </c>
      <c r="AM89" s="6">
        <v>0</v>
      </c>
      <c r="AN89" s="6">
        <v>0</v>
      </c>
      <c r="AO89" s="6">
        <v>0</v>
      </c>
      <c r="AP89" s="6">
        <v>0</v>
      </c>
      <c r="AQ89" s="6">
        <v>-128.93827267584041</v>
      </c>
      <c r="AR89" s="6">
        <v>420.00647379999077</v>
      </c>
      <c r="AS89" s="6">
        <v>90.939828000000006</v>
      </c>
      <c r="AT89" s="6">
        <v>825.47520834196678</v>
      </c>
      <c r="AU89" s="6">
        <v>692.65837084694465</v>
      </c>
    </row>
    <row r="90" spans="1:47" x14ac:dyDescent="0.35">
      <c r="A90" s="5">
        <v>46022</v>
      </c>
      <c r="B90" s="4" t="s">
        <v>131</v>
      </c>
      <c r="C90" s="4" t="s">
        <v>132</v>
      </c>
      <c r="D90" s="4" t="s">
        <v>111</v>
      </c>
      <c r="E90" s="6">
        <v>1356</v>
      </c>
      <c r="F90" s="7">
        <v>1.84</v>
      </c>
      <c r="G90" s="6">
        <v>95.55</v>
      </c>
      <c r="H90" s="6">
        <v>23.84</v>
      </c>
      <c r="I90" s="6">
        <v>95.851635000000002</v>
      </c>
      <c r="J90" s="6">
        <v>22.851030000000002</v>
      </c>
      <c r="K90" s="8">
        <v>79.134</v>
      </c>
      <c r="L90" s="6">
        <v>72.898100298203005</v>
      </c>
      <c r="M90" s="6">
        <v>15.407335682723859</v>
      </c>
      <c r="N90" s="6">
        <v>12.267394460196691</v>
      </c>
      <c r="O90" s="6">
        <v>45.51888713174224</v>
      </c>
      <c r="P90" s="6">
        <v>146.0917175728658</v>
      </c>
      <c r="Q90" s="6">
        <v>26.358235523916679</v>
      </c>
      <c r="R90" s="6">
        <v>7.1875305787464097</v>
      </c>
      <c r="S90" s="6">
        <v>10.55880622646564</v>
      </c>
      <c r="T90" s="6">
        <v>12.393479729604699</v>
      </c>
      <c r="U90" s="6">
        <v>56.498052058733442</v>
      </c>
      <c r="V90" s="6">
        <v>202.58976963159921</v>
      </c>
      <c r="W90" s="6">
        <v>11.39977133574631</v>
      </c>
      <c r="X90" s="6">
        <v>28.496592713763501</v>
      </c>
      <c r="Y90" s="6">
        <v>-107.9507396296746</v>
      </c>
      <c r="Z90" s="6">
        <v>134.53539405143451</v>
      </c>
      <c r="AA90" s="6">
        <v>19.094868728395571</v>
      </c>
      <c r="AB90" s="6">
        <v>153.63026277982999</v>
      </c>
      <c r="AC90" s="6">
        <v>0.78208773731811276</v>
      </c>
      <c r="AD90" s="6">
        <v>62.490799345933482</v>
      </c>
      <c r="AE90" s="6">
        <v>0</v>
      </c>
      <c r="AF90" s="6">
        <v>0</v>
      </c>
      <c r="AG90" s="6">
        <v>216.90314986308161</v>
      </c>
      <c r="AH90" s="6">
        <v>14.40296556130882</v>
      </c>
      <c r="AI90" s="6">
        <v>0</v>
      </c>
      <c r="AJ90" s="6">
        <v>30.217616176747661</v>
      </c>
      <c r="AK90" s="6">
        <v>199.0329322552046</v>
      </c>
      <c r="AL90" s="6">
        <v>0</v>
      </c>
      <c r="AM90" s="6">
        <v>0</v>
      </c>
      <c r="AN90" s="6">
        <v>0</v>
      </c>
      <c r="AO90" s="6">
        <v>0</v>
      </c>
      <c r="AP90" s="6">
        <v>0</v>
      </c>
      <c r="AQ90" s="6">
        <v>199.0329322552046</v>
      </c>
      <c r="AR90" s="6">
        <v>419.99944825032799</v>
      </c>
      <c r="AS90" s="6">
        <v>269.28147799999999</v>
      </c>
      <c r="AT90" s="6">
        <v>285.46405419889362</v>
      </c>
      <c r="AU90" s="6">
        <v>266.369185470498</v>
      </c>
    </row>
    <row r="91" spans="1:47" x14ac:dyDescent="0.35">
      <c r="A91" s="5">
        <v>46022</v>
      </c>
      <c r="B91" s="4" t="s">
        <v>712</v>
      </c>
      <c r="C91" s="4" t="s">
        <v>713</v>
      </c>
      <c r="D91" s="4" t="s">
        <v>50</v>
      </c>
      <c r="E91" s="6">
        <v>30800</v>
      </c>
      <c r="F91" s="7">
        <v>0.61</v>
      </c>
      <c r="G91" s="6">
        <v>85.54</v>
      </c>
      <c r="H91" s="6">
        <v>160.708</v>
      </c>
      <c r="I91" s="6">
        <v>97</v>
      </c>
      <c r="J91" s="6">
        <v>155.88654299999999</v>
      </c>
      <c r="K91" s="8">
        <v>85.415999999999997</v>
      </c>
      <c r="L91" s="6">
        <v>26.62265859762995</v>
      </c>
      <c r="M91" s="6">
        <v>17.576006049746301</v>
      </c>
      <c r="N91" s="6">
        <v>0.73222716094755402</v>
      </c>
      <c r="O91" s="6">
        <v>20.43892704821068</v>
      </c>
      <c r="P91" s="6">
        <v>65.369818856534494</v>
      </c>
      <c r="Q91" s="6">
        <v>12.10589642540654</v>
      </c>
      <c r="R91" s="6">
        <v>20.133921271574231</v>
      </c>
      <c r="S91" s="6">
        <v>27.328134010472439</v>
      </c>
      <c r="T91" s="6">
        <v>15.51267105268432</v>
      </c>
      <c r="U91" s="6">
        <v>75.08062276013753</v>
      </c>
      <c r="V91" s="6">
        <v>140.45044161667201</v>
      </c>
      <c r="W91" s="6">
        <v>11.034342046925421</v>
      </c>
      <c r="X91" s="6">
        <v>22.916137976272761</v>
      </c>
      <c r="Y91" s="6">
        <v>-67.330973741042868</v>
      </c>
      <c r="Z91" s="6">
        <v>107.06994789882729</v>
      </c>
      <c r="AA91" s="6">
        <v>14.41645520051013</v>
      </c>
      <c r="AB91" s="6">
        <v>121.48640309933749</v>
      </c>
      <c r="AC91" s="6">
        <v>0</v>
      </c>
      <c r="AD91" s="6">
        <v>27.717123248245439</v>
      </c>
      <c r="AE91" s="6">
        <v>0</v>
      </c>
      <c r="AF91" s="6">
        <v>0</v>
      </c>
      <c r="AG91" s="6">
        <v>149.20352634758291</v>
      </c>
      <c r="AH91" s="6">
        <v>3.782688219997083</v>
      </c>
      <c r="AI91" s="6">
        <v>0</v>
      </c>
      <c r="AJ91" s="6">
        <v>21.823197822267922</v>
      </c>
      <c r="AK91" s="6">
        <v>147.09228914160249</v>
      </c>
      <c r="AL91" s="6">
        <v>0</v>
      </c>
      <c r="AM91" s="6">
        <v>0</v>
      </c>
      <c r="AN91" s="6">
        <v>0</v>
      </c>
      <c r="AO91" s="6">
        <v>0</v>
      </c>
      <c r="AP91" s="6">
        <v>0</v>
      </c>
      <c r="AQ91" s="6">
        <v>147.09228914160249</v>
      </c>
      <c r="AR91" s="6">
        <v>419.99988379430238</v>
      </c>
      <c r="AS91" s="6">
        <v>1696.2753009999999</v>
      </c>
      <c r="AT91" s="6">
        <v>312.92993589547513</v>
      </c>
      <c r="AU91" s="6">
        <v>298.51348069496493</v>
      </c>
    </row>
    <row r="92" spans="1:47" x14ac:dyDescent="0.35">
      <c r="A92" s="5">
        <v>46022</v>
      </c>
      <c r="B92" s="4" t="s">
        <v>149</v>
      </c>
      <c r="C92" s="4" t="s">
        <v>150</v>
      </c>
      <c r="D92" s="4" t="s">
        <v>61</v>
      </c>
      <c r="E92" s="6">
        <v>5728.31</v>
      </c>
      <c r="F92" s="7">
        <v>0.34539999999999998</v>
      </c>
      <c r="G92" s="6">
        <v>94</v>
      </c>
      <c r="H92" s="6">
        <v>18.600000000000001</v>
      </c>
      <c r="I92" s="6">
        <v>97</v>
      </c>
      <c r="J92" s="6">
        <v>18.042000000000002</v>
      </c>
      <c r="K92" s="8">
        <v>84.971000000000004</v>
      </c>
      <c r="L92" s="6">
        <v>46.324122108351752</v>
      </c>
      <c r="M92" s="6">
        <v>0</v>
      </c>
      <c r="N92" s="6">
        <v>98.578131747282754</v>
      </c>
      <c r="O92" s="6">
        <v>61.30291532793639</v>
      </c>
      <c r="P92" s="6">
        <v>206.20516918357089</v>
      </c>
      <c r="Q92" s="6">
        <v>8.1577843893741466</v>
      </c>
      <c r="R92" s="6">
        <v>26.2537523760383</v>
      </c>
      <c r="S92" s="6">
        <v>28.803047396409688</v>
      </c>
      <c r="T92" s="6">
        <v>38.986906095117163</v>
      </c>
      <c r="U92" s="6">
        <v>102.20149025693929</v>
      </c>
      <c r="V92" s="6">
        <v>308.40665944051023</v>
      </c>
      <c r="W92" s="6">
        <v>4.5501398812182794</v>
      </c>
      <c r="X92" s="6">
        <v>28.112731182795699</v>
      </c>
      <c r="Y92" s="6">
        <v>-72.213589267601265</v>
      </c>
      <c r="Z92" s="6">
        <v>268.85594123692289</v>
      </c>
      <c r="AA92" s="6">
        <v>58.194554772946582</v>
      </c>
      <c r="AB92" s="6">
        <v>327.05049600986951</v>
      </c>
      <c r="AC92" s="6">
        <v>0</v>
      </c>
      <c r="AD92" s="6">
        <v>6.0895569044825226</v>
      </c>
      <c r="AE92" s="6">
        <v>0</v>
      </c>
      <c r="AF92" s="6">
        <v>0</v>
      </c>
      <c r="AG92" s="6">
        <v>333.140052914352</v>
      </c>
      <c r="AH92" s="6">
        <v>16.488329111511291</v>
      </c>
      <c r="AI92" s="6">
        <v>0</v>
      </c>
      <c r="AJ92" s="6">
        <v>21.364027215760832</v>
      </c>
      <c r="AK92" s="6">
        <v>364.90285233714161</v>
      </c>
      <c r="AL92" s="6">
        <v>0</v>
      </c>
      <c r="AM92" s="6">
        <v>0</v>
      </c>
      <c r="AN92" s="6">
        <v>0</v>
      </c>
      <c r="AO92" s="6">
        <v>0</v>
      </c>
      <c r="AP92" s="6">
        <v>0</v>
      </c>
      <c r="AQ92" s="6">
        <v>364.90285233714161</v>
      </c>
      <c r="AR92" s="6">
        <v>419.99999964779192</v>
      </c>
      <c r="AS92" s="6">
        <v>196.17488700000001</v>
      </c>
      <c r="AT92" s="6">
        <v>151.14405841086901</v>
      </c>
      <c r="AU92" s="6">
        <v>92.949503637922433</v>
      </c>
    </row>
    <row r="93" spans="1:47" x14ac:dyDescent="0.35">
      <c r="A93" s="5">
        <v>46022</v>
      </c>
      <c r="B93" s="4" t="s">
        <v>195</v>
      </c>
      <c r="C93" s="4" t="s">
        <v>196</v>
      </c>
      <c r="D93" s="4" t="s">
        <v>61</v>
      </c>
      <c r="E93" s="6">
        <v>341.45807000000002</v>
      </c>
      <c r="F93" s="7">
        <v>0.88</v>
      </c>
      <c r="G93" s="6">
        <v>90</v>
      </c>
      <c r="H93" s="6">
        <v>2.7040000000000002</v>
      </c>
      <c r="I93" s="6">
        <v>97</v>
      </c>
      <c r="J93" s="6">
        <v>2.6232060000000001</v>
      </c>
      <c r="K93" s="8">
        <v>66.447000000000003</v>
      </c>
      <c r="L93" s="6">
        <v>53.747370701519081</v>
      </c>
      <c r="M93" s="6">
        <v>1.4079173410985111</v>
      </c>
      <c r="N93" s="6">
        <v>13.40942738866296</v>
      </c>
      <c r="O93" s="6">
        <v>33.787530462849972</v>
      </c>
      <c r="P93" s="6">
        <v>102.3522458941305</v>
      </c>
      <c r="Q93" s="6">
        <v>14.59805195768398</v>
      </c>
      <c r="R93" s="6">
        <v>6.8207839929202523</v>
      </c>
      <c r="S93" s="6">
        <v>17.159138357819241</v>
      </c>
      <c r="T93" s="6">
        <v>25.374702554499962</v>
      </c>
      <c r="U93" s="6">
        <v>63.952676862923433</v>
      </c>
      <c r="V93" s="6">
        <v>166.30492275705399</v>
      </c>
      <c r="W93" s="6">
        <v>8.8859201593978412</v>
      </c>
      <c r="X93" s="6">
        <v>27.013349425518221</v>
      </c>
      <c r="Y93" s="6">
        <v>-207.4178231857814</v>
      </c>
      <c r="Z93" s="6">
        <v>-5.2136308438114058</v>
      </c>
      <c r="AA93" s="6">
        <v>47.683338163667102</v>
      </c>
      <c r="AB93" s="6">
        <v>42.469707319855701</v>
      </c>
      <c r="AC93" s="6">
        <v>0</v>
      </c>
      <c r="AD93" s="6">
        <v>26.309671142765971</v>
      </c>
      <c r="AE93" s="6">
        <v>0</v>
      </c>
      <c r="AF93" s="6">
        <v>0</v>
      </c>
      <c r="AG93" s="6">
        <v>68.779378462621665</v>
      </c>
      <c r="AH93" s="6">
        <v>19.88154880446573</v>
      </c>
      <c r="AI93" s="6">
        <v>0</v>
      </c>
      <c r="AJ93" s="6">
        <v>12.9474784052061</v>
      </c>
      <c r="AK93" s="6">
        <v>75.298734529527536</v>
      </c>
      <c r="AL93" s="6">
        <v>0</v>
      </c>
      <c r="AM93" s="6">
        <v>0</v>
      </c>
      <c r="AN93" s="6">
        <v>0</v>
      </c>
      <c r="AO93" s="6">
        <v>0</v>
      </c>
      <c r="AP93" s="6">
        <v>0</v>
      </c>
      <c r="AQ93" s="6">
        <v>75.298734529527536</v>
      </c>
      <c r="AR93" s="6">
        <v>419.99903899125258</v>
      </c>
      <c r="AS93" s="6">
        <v>36.957278000000002</v>
      </c>
      <c r="AT93" s="6">
        <v>425.21266983506399</v>
      </c>
      <c r="AU93" s="6">
        <v>377.5293316713969</v>
      </c>
    </row>
    <row r="94" spans="1:47" x14ac:dyDescent="0.35">
      <c r="A94" s="5">
        <v>46022</v>
      </c>
      <c r="B94" s="4" t="s">
        <v>304</v>
      </c>
      <c r="C94" s="4" t="s">
        <v>305</v>
      </c>
      <c r="D94" s="4" t="s">
        <v>61</v>
      </c>
      <c r="E94" s="6">
        <v>84.5</v>
      </c>
      <c r="F94" s="7">
        <v>0.40129999999999999</v>
      </c>
      <c r="G94" s="6">
        <v>92</v>
      </c>
      <c r="H94" s="6">
        <v>0.312</v>
      </c>
      <c r="I94" s="6">
        <v>97</v>
      </c>
      <c r="J94" s="6">
        <v>0.302624</v>
      </c>
      <c r="K94" s="8">
        <v>58.116</v>
      </c>
      <c r="L94" s="6">
        <v>35.780187118651767</v>
      </c>
      <c r="M94" s="6">
        <v>34.611626190579322</v>
      </c>
      <c r="N94" s="6">
        <v>2.2581023942719631</v>
      </c>
      <c r="O94" s="6">
        <v>62.26861516177491</v>
      </c>
      <c r="P94" s="6">
        <v>134.918530865278</v>
      </c>
      <c r="Q94" s="6">
        <v>25.827990498746821</v>
      </c>
      <c r="R94" s="6">
        <v>38.720321572846359</v>
      </c>
      <c r="S94" s="6">
        <v>50.326024813347018</v>
      </c>
      <c r="T94" s="6">
        <v>45.32697678951191</v>
      </c>
      <c r="U94" s="6">
        <v>160.20131367445211</v>
      </c>
      <c r="V94" s="6">
        <v>295.11984453973008</v>
      </c>
      <c r="W94" s="6">
        <v>8.5813972647370402</v>
      </c>
      <c r="X94" s="6">
        <v>24.209884873717879</v>
      </c>
      <c r="Y94" s="6">
        <v>-293.5583365739156</v>
      </c>
      <c r="Z94" s="6">
        <v>34.352790104269403</v>
      </c>
      <c r="AA94" s="6">
        <v>68.780259854072625</v>
      </c>
      <c r="AB94" s="6">
        <v>103.133049958342</v>
      </c>
      <c r="AC94" s="6">
        <v>0</v>
      </c>
      <c r="AD94" s="6">
        <v>35.050710451552362</v>
      </c>
      <c r="AE94" s="6">
        <v>0</v>
      </c>
      <c r="AF94" s="6">
        <v>0</v>
      </c>
      <c r="AG94" s="6">
        <v>138.1837604098944</v>
      </c>
      <c r="AH94" s="6">
        <v>39.320851751513608</v>
      </c>
      <c r="AI94" s="6">
        <v>0</v>
      </c>
      <c r="AJ94" s="6">
        <v>11.38703502296001</v>
      </c>
      <c r="AK94" s="6">
        <v>153.84093673281561</v>
      </c>
      <c r="AL94" s="6">
        <v>0</v>
      </c>
      <c r="AM94" s="6">
        <v>0</v>
      </c>
      <c r="AN94" s="6">
        <v>0</v>
      </c>
      <c r="AO94" s="6">
        <v>0</v>
      </c>
      <c r="AP94" s="6">
        <v>0</v>
      </c>
      <c r="AQ94" s="6">
        <v>153.84093673281561</v>
      </c>
      <c r="AR94" s="6">
        <v>419.9666909875682</v>
      </c>
      <c r="AS94" s="6">
        <v>4.765371</v>
      </c>
      <c r="AT94" s="6">
        <v>385.61390088329881</v>
      </c>
      <c r="AU94" s="6">
        <v>316.83364102922621</v>
      </c>
    </row>
    <row r="95" spans="1:47" x14ac:dyDescent="0.35">
      <c r="A95" s="5">
        <v>46022</v>
      </c>
      <c r="B95" s="4" t="s">
        <v>151</v>
      </c>
      <c r="C95" s="4" t="s">
        <v>152</v>
      </c>
      <c r="D95" s="4" t="s">
        <v>61</v>
      </c>
      <c r="E95" s="6">
        <v>2036.76</v>
      </c>
      <c r="F95" s="7">
        <v>0.57999999999999996</v>
      </c>
      <c r="G95" s="6">
        <v>91</v>
      </c>
      <c r="H95" s="6">
        <v>10.75</v>
      </c>
      <c r="I95" s="6">
        <v>93.963614000000007</v>
      </c>
      <c r="J95" s="6">
        <v>10.101089</v>
      </c>
      <c r="K95" s="8">
        <v>77.227999999999994</v>
      </c>
      <c r="L95" s="6">
        <v>31.389620947558321</v>
      </c>
      <c r="M95" s="6">
        <v>4.3367018636104051</v>
      </c>
      <c r="N95" s="6">
        <v>1.457618839337161</v>
      </c>
      <c r="O95" s="6">
        <v>24.312665176586879</v>
      </c>
      <c r="P95" s="6">
        <v>61.496606827092762</v>
      </c>
      <c r="Q95" s="6">
        <v>19.45620700123742</v>
      </c>
      <c r="R95" s="6">
        <v>18.233058366865109</v>
      </c>
      <c r="S95" s="6">
        <v>29.766008983322301</v>
      </c>
      <c r="T95" s="6">
        <v>29.090283705860621</v>
      </c>
      <c r="U95" s="6">
        <v>96.545558057285447</v>
      </c>
      <c r="V95" s="6">
        <v>158.0421648843782</v>
      </c>
      <c r="W95" s="6">
        <v>8.1348040459204896</v>
      </c>
      <c r="X95" s="6">
        <v>26.70485982252012</v>
      </c>
      <c r="Y95" s="6">
        <v>-117.2641432009309</v>
      </c>
      <c r="Z95" s="6">
        <v>75.617685551887917</v>
      </c>
      <c r="AA95" s="6">
        <v>52.134413554073269</v>
      </c>
      <c r="AB95" s="6">
        <v>127.75209910596119</v>
      </c>
      <c r="AC95" s="6">
        <v>0</v>
      </c>
      <c r="AD95" s="6">
        <v>11.02392271595328</v>
      </c>
      <c r="AE95" s="6">
        <v>0</v>
      </c>
      <c r="AF95" s="6">
        <v>0</v>
      </c>
      <c r="AG95" s="6">
        <v>138.77602182191441</v>
      </c>
      <c r="AH95" s="6">
        <v>10.0345949112707</v>
      </c>
      <c r="AI95" s="6">
        <v>0</v>
      </c>
      <c r="AJ95" s="6">
        <v>21.289795832597129</v>
      </c>
      <c r="AK95" s="6">
        <v>159.07648984982899</v>
      </c>
      <c r="AL95" s="6">
        <v>0</v>
      </c>
      <c r="AM95" s="6">
        <v>0</v>
      </c>
      <c r="AN95" s="6">
        <v>0</v>
      </c>
      <c r="AO95" s="6">
        <v>0</v>
      </c>
      <c r="AP95" s="6">
        <v>0</v>
      </c>
      <c r="AQ95" s="6">
        <v>159.07648984982899</v>
      </c>
      <c r="AR95" s="6">
        <v>420.00045702421897</v>
      </c>
      <c r="AS95" s="6">
        <v>130.735071</v>
      </c>
      <c r="AT95" s="6">
        <v>344.38277147233111</v>
      </c>
      <c r="AU95" s="6">
        <v>292.2483579182578</v>
      </c>
    </row>
    <row r="96" spans="1:47" x14ac:dyDescent="0.35">
      <c r="A96" s="5">
        <v>46022</v>
      </c>
      <c r="B96" s="4" t="s">
        <v>153</v>
      </c>
      <c r="C96" s="4" t="s">
        <v>154</v>
      </c>
      <c r="D96" s="4" t="s">
        <v>61</v>
      </c>
      <c r="E96" s="6">
        <v>359.72222199999999</v>
      </c>
      <c r="F96" s="7">
        <v>0.36</v>
      </c>
      <c r="G96" s="6">
        <v>88</v>
      </c>
      <c r="H96" s="6">
        <v>1.1399999999999999</v>
      </c>
      <c r="I96" s="6">
        <v>97</v>
      </c>
      <c r="J96" s="6">
        <v>1.1054120000000001</v>
      </c>
      <c r="K96" s="8">
        <v>71.438999999999993</v>
      </c>
      <c r="L96" s="6">
        <v>27.682262776301759</v>
      </c>
      <c r="M96" s="6">
        <v>5.5779303017625068</v>
      </c>
      <c r="N96" s="6">
        <v>40.654892958912782</v>
      </c>
      <c r="O96" s="6">
        <v>82.577838860444984</v>
      </c>
      <c r="P96" s="6">
        <v>156.492924897422</v>
      </c>
      <c r="Q96" s="6">
        <v>7.2579266427385596</v>
      </c>
      <c r="R96" s="6">
        <v>25.884593625676182</v>
      </c>
      <c r="S96" s="6">
        <v>36.378212557735303</v>
      </c>
      <c r="T96" s="6">
        <v>89.149449025829753</v>
      </c>
      <c r="U96" s="6">
        <v>158.67018185197981</v>
      </c>
      <c r="V96" s="6">
        <v>315.16310674940178</v>
      </c>
      <c r="W96" s="6">
        <v>18.416777562575628</v>
      </c>
      <c r="X96" s="6">
        <v>28.728539370768541</v>
      </c>
      <c r="Y96" s="6">
        <v>-164.72441670698379</v>
      </c>
      <c r="Z96" s="6">
        <v>197.58400697576221</v>
      </c>
      <c r="AA96" s="6">
        <v>75.713759703534947</v>
      </c>
      <c r="AB96" s="6">
        <v>273.29776667929713</v>
      </c>
      <c r="AC96" s="6">
        <v>0</v>
      </c>
      <c r="AD96" s="6">
        <v>34.296974372215452</v>
      </c>
      <c r="AE96" s="6">
        <v>0</v>
      </c>
      <c r="AF96" s="6">
        <v>0</v>
      </c>
      <c r="AG96" s="6">
        <v>307.59474105151259</v>
      </c>
      <c r="AH96" s="6">
        <v>46.282257058908641</v>
      </c>
      <c r="AI96" s="6">
        <v>0</v>
      </c>
      <c r="AJ96" s="6">
        <v>44.3123593153339</v>
      </c>
      <c r="AK96" s="6">
        <v>363.89238305353967</v>
      </c>
      <c r="AL96" s="6">
        <v>0</v>
      </c>
      <c r="AM96" s="6">
        <v>0</v>
      </c>
      <c r="AN96" s="6">
        <v>0</v>
      </c>
      <c r="AO96" s="6">
        <v>0</v>
      </c>
      <c r="AP96" s="6">
        <v>0</v>
      </c>
      <c r="AQ96" s="6">
        <v>363.89238305353967</v>
      </c>
      <c r="AR96" s="6">
        <v>419.99544026179308</v>
      </c>
      <c r="AS96" s="6">
        <v>14.474822</v>
      </c>
      <c r="AT96" s="6">
        <v>222.4114332860309</v>
      </c>
      <c r="AU96" s="6">
        <v>146.6976735824959</v>
      </c>
    </row>
    <row r="97" spans="1:47" x14ac:dyDescent="0.35">
      <c r="A97" s="5">
        <v>46022</v>
      </c>
      <c r="B97" s="4" t="s">
        <v>714</v>
      </c>
      <c r="C97" s="4" t="s">
        <v>715</v>
      </c>
      <c r="D97" s="4" t="s">
        <v>61</v>
      </c>
      <c r="E97" s="6">
        <v>719.05570799999998</v>
      </c>
      <c r="F97" s="7">
        <v>0.87529999999999997</v>
      </c>
      <c r="G97" s="6">
        <v>90</v>
      </c>
      <c r="H97" s="6">
        <v>5.665</v>
      </c>
      <c r="I97" s="6">
        <v>97</v>
      </c>
      <c r="J97" s="6">
        <v>5.4947879999999998</v>
      </c>
      <c r="K97" s="8">
        <v>74.658000000000001</v>
      </c>
      <c r="L97" s="6">
        <v>47.579470543212203</v>
      </c>
      <c r="M97" s="6">
        <v>5.3271491727268172</v>
      </c>
      <c r="N97" s="6">
        <v>0.55216941568054401</v>
      </c>
      <c r="O97" s="6">
        <v>17.425431322508089</v>
      </c>
      <c r="P97" s="6">
        <v>70.884220454127643</v>
      </c>
      <c r="Q97" s="6">
        <v>19.030084650223689</v>
      </c>
      <c r="R97" s="6">
        <v>3.1160972005116911</v>
      </c>
      <c r="S97" s="6">
        <v>25.735122786768141</v>
      </c>
      <c r="T97" s="6">
        <v>27.020122827447828</v>
      </c>
      <c r="U97" s="6">
        <v>74.90142746495134</v>
      </c>
      <c r="V97" s="6">
        <v>145.785647919079</v>
      </c>
      <c r="W97" s="6">
        <v>10.463909147572879</v>
      </c>
      <c r="X97" s="6">
        <v>25.814147983890191</v>
      </c>
      <c r="Y97" s="6">
        <v>-137.2968269939069</v>
      </c>
      <c r="Z97" s="6">
        <v>44.766878056635171</v>
      </c>
      <c r="AA97" s="6">
        <v>26.894304683572969</v>
      </c>
      <c r="AB97" s="6">
        <v>71.661182740208133</v>
      </c>
      <c r="AC97" s="6">
        <v>0</v>
      </c>
      <c r="AD97" s="6">
        <v>12.924702119218789</v>
      </c>
      <c r="AE97" s="6">
        <v>0</v>
      </c>
      <c r="AF97" s="6">
        <v>0</v>
      </c>
      <c r="AG97" s="6">
        <v>84.585884859426926</v>
      </c>
      <c r="AH97" s="6">
        <v>17.419163145446699</v>
      </c>
      <c r="AI97" s="6">
        <v>0</v>
      </c>
      <c r="AJ97" s="6">
        <v>15.61804164296319</v>
      </c>
      <c r="AK97" s="6">
        <v>104.698387528618</v>
      </c>
      <c r="AL97" s="6">
        <v>0</v>
      </c>
      <c r="AM97" s="6">
        <v>0</v>
      </c>
      <c r="AN97" s="6">
        <v>0</v>
      </c>
      <c r="AO97" s="6">
        <v>0</v>
      </c>
      <c r="AP97" s="6">
        <v>0</v>
      </c>
      <c r="AQ97" s="6">
        <v>104.698387528618</v>
      </c>
      <c r="AR97" s="6">
        <v>420.00091688063071</v>
      </c>
      <c r="AS97" s="6">
        <v>73.156780999999995</v>
      </c>
      <c r="AT97" s="6">
        <v>375.2340388239956</v>
      </c>
      <c r="AU97" s="6">
        <v>348.33973414042259</v>
      </c>
    </row>
    <row r="98" spans="1:47" x14ac:dyDescent="0.35">
      <c r="A98" s="5">
        <v>46022</v>
      </c>
      <c r="B98" s="4" t="s">
        <v>197</v>
      </c>
      <c r="C98" s="4" t="s">
        <v>198</v>
      </c>
      <c r="D98" s="4" t="s">
        <v>89</v>
      </c>
      <c r="E98" s="6">
        <v>775</v>
      </c>
      <c r="F98" s="7">
        <v>4.4999999999999998E-2</v>
      </c>
      <c r="G98" s="6">
        <v>80</v>
      </c>
      <c r="H98" s="6">
        <v>0.27900000000000003</v>
      </c>
      <c r="I98" s="6">
        <v>96.5</v>
      </c>
      <c r="J98" s="6">
        <v>0.268984</v>
      </c>
      <c r="K98" s="8">
        <v>1.0549999999999999</v>
      </c>
      <c r="L98" s="6">
        <v>4740.5417899094991</v>
      </c>
      <c r="M98" s="6">
        <v>547.99948600910147</v>
      </c>
      <c r="N98" s="6">
        <v>956.4495426495256</v>
      </c>
      <c r="O98" s="6">
        <v>7982.5370158028691</v>
      </c>
      <c r="P98" s="6">
        <v>14227.527834371</v>
      </c>
      <c r="Q98" s="6">
        <v>1817.2224126706069</v>
      </c>
      <c r="R98" s="6">
        <v>360.65308358143528</v>
      </c>
      <c r="S98" s="6">
        <v>966.85975263010357</v>
      </c>
      <c r="T98" s="6">
        <v>2462.9845078540502</v>
      </c>
      <c r="U98" s="6">
        <v>5607.7197567361964</v>
      </c>
      <c r="V98" s="6">
        <v>19835.247591107189</v>
      </c>
      <c r="W98" s="6">
        <v>57.316914245566657</v>
      </c>
      <c r="X98" s="6">
        <v>35.456419457633167</v>
      </c>
      <c r="Y98" s="6">
        <v>-37290.581141873023</v>
      </c>
      <c r="Z98" s="6">
        <v>-17362.56021706263</v>
      </c>
      <c r="AA98" s="6">
        <v>1097.6235453331969</v>
      </c>
      <c r="AB98" s="6">
        <v>-16264.936671729431</v>
      </c>
      <c r="AC98" s="6">
        <v>0</v>
      </c>
      <c r="AD98" s="6">
        <v>11402.75768694862</v>
      </c>
      <c r="AE98" s="6">
        <v>0</v>
      </c>
      <c r="AF98" s="6">
        <v>0</v>
      </c>
      <c r="AG98" s="6">
        <v>-4862.1789847808132</v>
      </c>
      <c r="AH98" s="6">
        <v>868.64900885167197</v>
      </c>
      <c r="AI98" s="6">
        <v>0</v>
      </c>
      <c r="AJ98" s="6">
        <v>3726.9967098728971</v>
      </c>
      <c r="AK98" s="6">
        <v>-11669.29095300486</v>
      </c>
      <c r="AL98" s="6">
        <v>0</v>
      </c>
      <c r="AM98" s="6">
        <v>0</v>
      </c>
      <c r="AN98" s="6">
        <v>0</v>
      </c>
      <c r="AO98" s="6">
        <v>0</v>
      </c>
      <c r="AP98" s="6">
        <v>0</v>
      </c>
      <c r="AQ98" s="6">
        <v>-11669.29095300486</v>
      </c>
      <c r="AR98" s="6">
        <v>420.02498254638209</v>
      </c>
      <c r="AS98" s="6">
        <v>223.809054</v>
      </c>
      <c r="AT98" s="6">
        <v>17782.58519960901</v>
      </c>
      <c r="AU98" s="6">
        <v>16684.961654275819</v>
      </c>
    </row>
    <row r="99" spans="1:47" x14ac:dyDescent="0.35">
      <c r="A99" s="5">
        <v>46022</v>
      </c>
      <c r="B99" s="4" t="s">
        <v>716</v>
      </c>
      <c r="C99" s="4" t="s">
        <v>717</v>
      </c>
      <c r="D99" s="4" t="s">
        <v>61</v>
      </c>
      <c r="E99" s="6">
        <v>46800</v>
      </c>
      <c r="F99" s="7">
        <v>0.47</v>
      </c>
      <c r="G99" s="6">
        <v>85.7</v>
      </c>
      <c r="H99" s="6">
        <v>188.506</v>
      </c>
      <c r="I99" s="6">
        <v>97</v>
      </c>
      <c r="J99" s="6">
        <v>182.850548</v>
      </c>
      <c r="K99" s="8">
        <v>82.617000000000004</v>
      </c>
      <c r="L99" s="6">
        <v>9.5351543126734946</v>
      </c>
      <c r="M99" s="6">
        <v>9.1334407180610064</v>
      </c>
      <c r="N99" s="6">
        <v>0.85817781959872486</v>
      </c>
      <c r="O99" s="6">
        <v>13.154907025748519</v>
      </c>
      <c r="P99" s="6">
        <v>32.681679876081752</v>
      </c>
      <c r="Q99" s="6">
        <v>7.9977714720005837</v>
      </c>
      <c r="R99" s="6">
        <v>9.5782605659766613</v>
      </c>
      <c r="S99" s="6">
        <v>30.384939692006331</v>
      </c>
      <c r="T99" s="6">
        <v>18.304171305664099</v>
      </c>
      <c r="U99" s="6">
        <v>66.265143035647682</v>
      </c>
      <c r="V99" s="6">
        <v>98.946822911729427</v>
      </c>
      <c r="W99" s="6">
        <v>4.5522785595913851</v>
      </c>
      <c r="X99" s="6">
        <v>23.587364600689519</v>
      </c>
      <c r="Y99" s="6">
        <v>-112.0743337435825</v>
      </c>
      <c r="Z99" s="6">
        <v>15.012132328427841</v>
      </c>
      <c r="AA99" s="6">
        <v>34.607503218169093</v>
      </c>
      <c r="AB99" s="6">
        <v>49.619635546596932</v>
      </c>
      <c r="AC99" s="6">
        <v>0</v>
      </c>
      <c r="AD99" s="6">
        <v>13.047182025910089</v>
      </c>
      <c r="AE99" s="6">
        <v>0</v>
      </c>
      <c r="AF99" s="6">
        <v>0</v>
      </c>
      <c r="AG99" s="6">
        <v>62.666817572507028</v>
      </c>
      <c r="AH99" s="6">
        <v>8.3828137550743307</v>
      </c>
      <c r="AI99" s="6">
        <v>0</v>
      </c>
      <c r="AJ99" s="6">
        <v>20.712409592816169</v>
      </c>
      <c r="AK99" s="6">
        <v>78.714858894487435</v>
      </c>
      <c r="AL99" s="6">
        <v>0</v>
      </c>
      <c r="AM99" s="6">
        <v>0</v>
      </c>
      <c r="AN99" s="6">
        <v>0</v>
      </c>
      <c r="AO99" s="6">
        <v>0</v>
      </c>
      <c r="AP99" s="6">
        <v>0</v>
      </c>
      <c r="AQ99" s="6">
        <v>78.714858894487435</v>
      </c>
      <c r="AR99" s="6">
        <v>419.99988939381558</v>
      </c>
      <c r="AS99" s="6">
        <v>2146.306384</v>
      </c>
      <c r="AT99" s="6">
        <v>404.98775706538783</v>
      </c>
      <c r="AU99" s="6">
        <v>370.38025384721868</v>
      </c>
    </row>
    <row r="100" spans="1:47" x14ac:dyDescent="0.35">
      <c r="A100" s="5">
        <v>46022</v>
      </c>
      <c r="B100" s="4" t="s">
        <v>306</v>
      </c>
      <c r="C100" s="4" t="s">
        <v>307</v>
      </c>
      <c r="D100" s="4" t="s">
        <v>213</v>
      </c>
      <c r="E100" s="6">
        <v>4500</v>
      </c>
      <c r="F100" s="7">
        <v>1.9753000000000001</v>
      </c>
      <c r="G100" s="6">
        <v>90</v>
      </c>
      <c r="H100" s="6">
        <v>80</v>
      </c>
      <c r="I100" s="6">
        <v>100</v>
      </c>
      <c r="J100" s="6">
        <v>80</v>
      </c>
      <c r="K100" s="8">
        <v>100</v>
      </c>
      <c r="L100" s="6">
        <v>24.175772804283579</v>
      </c>
      <c r="M100" s="6">
        <v>13.579418458427449</v>
      </c>
      <c r="N100" s="6">
        <v>1.814624342212894</v>
      </c>
      <c r="O100" s="6">
        <v>21.574003540848409</v>
      </c>
      <c r="P100" s="6">
        <v>61.143819145772341</v>
      </c>
      <c r="Q100" s="6">
        <v>12.63185322467867</v>
      </c>
      <c r="R100" s="6">
        <v>52.832845730905149</v>
      </c>
      <c r="S100" s="6">
        <v>11.778033627009171</v>
      </c>
      <c r="T100" s="6">
        <v>5.3878532349627557</v>
      </c>
      <c r="U100" s="6">
        <v>82.63058581755574</v>
      </c>
      <c r="V100" s="6">
        <v>143.7744049633281</v>
      </c>
      <c r="W100" s="6">
        <v>15.312847952040871</v>
      </c>
      <c r="X100" s="6">
        <v>0</v>
      </c>
      <c r="Y100" s="6">
        <v>1.723651006E-15</v>
      </c>
      <c r="Z100" s="6">
        <v>159.08725291536899</v>
      </c>
      <c r="AA100" s="6">
        <v>10.4999999911948</v>
      </c>
      <c r="AB100" s="6">
        <v>169.5872529065638</v>
      </c>
      <c r="AC100" s="6">
        <v>1.0783069975062001</v>
      </c>
      <c r="AD100" s="6">
        <v>44.605427432534718</v>
      </c>
      <c r="AE100" s="6">
        <v>0</v>
      </c>
      <c r="AF100" s="6">
        <v>0</v>
      </c>
      <c r="AG100" s="6">
        <v>215.27098733660469</v>
      </c>
      <c r="AH100" s="6">
        <v>10.000214053193311</v>
      </c>
      <c r="AI100" s="6">
        <v>0</v>
      </c>
      <c r="AJ100" s="6">
        <v>14.377440241187101</v>
      </c>
      <c r="AK100" s="6">
        <v>195.04321419845041</v>
      </c>
      <c r="AL100" s="6">
        <v>0</v>
      </c>
      <c r="AM100" s="6">
        <v>0</v>
      </c>
      <c r="AN100" s="6">
        <v>0</v>
      </c>
      <c r="AO100" s="6">
        <v>0</v>
      </c>
      <c r="AP100" s="6">
        <v>0</v>
      </c>
      <c r="AQ100" s="6">
        <v>195.04321419845041</v>
      </c>
      <c r="AR100" s="6">
        <v>419.99999964779192</v>
      </c>
      <c r="AS100" s="6">
        <v>740.75319999999999</v>
      </c>
      <c r="AT100" s="6">
        <v>260.91274673242299</v>
      </c>
      <c r="AU100" s="6">
        <v>250.4127467412282</v>
      </c>
    </row>
    <row r="101" spans="1:47" x14ac:dyDescent="0.35">
      <c r="A101" s="5">
        <v>46022</v>
      </c>
      <c r="B101" s="4" t="s">
        <v>155</v>
      </c>
      <c r="C101" s="4" t="s">
        <v>156</v>
      </c>
      <c r="D101" s="4" t="s">
        <v>157</v>
      </c>
      <c r="E101" s="6">
        <v>4044</v>
      </c>
      <c r="F101" s="7">
        <v>0.4</v>
      </c>
      <c r="G101" s="6">
        <v>87.78</v>
      </c>
      <c r="H101" s="6">
        <v>14.2</v>
      </c>
      <c r="I101" s="6">
        <v>97</v>
      </c>
      <c r="J101" s="6">
        <v>13.773999999999999</v>
      </c>
      <c r="K101" s="8">
        <v>31.632000000000001</v>
      </c>
      <c r="L101" s="6">
        <v>34.915503700839039</v>
      </c>
      <c r="M101" s="6">
        <v>9.5893088029395201</v>
      </c>
      <c r="N101" s="6">
        <v>52.686136905167679</v>
      </c>
      <c r="O101" s="6">
        <v>176.7104228309621</v>
      </c>
      <c r="P101" s="6">
        <v>273.90137223990843</v>
      </c>
      <c r="Q101" s="6">
        <v>17.674606856648449</v>
      </c>
      <c r="R101" s="6">
        <v>53.06348538574975</v>
      </c>
      <c r="S101" s="6">
        <v>42.851164231039903</v>
      </c>
      <c r="T101" s="6">
        <v>64.246293046972511</v>
      </c>
      <c r="U101" s="6">
        <v>177.83554952041061</v>
      </c>
      <c r="V101" s="6">
        <v>451.73692176031898</v>
      </c>
      <c r="W101" s="6">
        <v>52.749298218249542</v>
      </c>
      <c r="X101" s="6">
        <v>23.017931622084511</v>
      </c>
      <c r="Y101" s="6">
        <v>-693.66612669862263</v>
      </c>
      <c r="Z101" s="6">
        <v>-166.1619750979695</v>
      </c>
      <c r="AA101" s="6">
        <v>28.978985362537578</v>
      </c>
      <c r="AB101" s="6">
        <v>-137.18298973543199</v>
      </c>
      <c r="AC101" s="6">
        <v>2.1077513578872389</v>
      </c>
      <c r="AD101" s="6">
        <v>193.42113824907739</v>
      </c>
      <c r="AE101" s="6">
        <v>0</v>
      </c>
      <c r="AF101" s="6">
        <v>25.34619493072876</v>
      </c>
      <c r="AG101" s="6">
        <v>83.692094802261437</v>
      </c>
      <c r="AH101" s="6">
        <v>51.683551703784147</v>
      </c>
      <c r="AI101" s="6">
        <v>10.67208775476856</v>
      </c>
      <c r="AJ101" s="6">
        <v>96.779250890769234</v>
      </c>
      <c r="AK101" s="6">
        <v>24.059651971777232</v>
      </c>
      <c r="AL101" s="6">
        <v>6.586213375193239</v>
      </c>
      <c r="AM101" s="6">
        <v>0</v>
      </c>
      <c r="AN101" s="6">
        <v>0</v>
      </c>
      <c r="AO101" s="6">
        <v>0</v>
      </c>
      <c r="AP101" s="6">
        <v>0</v>
      </c>
      <c r="AQ101" s="6">
        <v>30.645865346970471</v>
      </c>
      <c r="AR101" s="6">
        <v>419.99999964779198</v>
      </c>
      <c r="AS101" s="6">
        <v>338.456344</v>
      </c>
      <c r="AT101" s="6">
        <v>586.16197474576154</v>
      </c>
      <c r="AU101" s="6">
        <v>557.18298938322391</v>
      </c>
    </row>
    <row r="102" spans="1:47" x14ac:dyDescent="0.35">
      <c r="A102" s="5">
        <v>46022</v>
      </c>
      <c r="B102" s="4" t="s">
        <v>718</v>
      </c>
      <c r="C102" s="4" t="s">
        <v>719</v>
      </c>
      <c r="D102" s="4" t="s">
        <v>79</v>
      </c>
      <c r="E102" s="6">
        <v>4400</v>
      </c>
      <c r="F102" s="7">
        <v>0.2</v>
      </c>
      <c r="G102" s="6">
        <v>51</v>
      </c>
      <c r="H102" s="6">
        <v>4.4880000000000004</v>
      </c>
      <c r="I102" s="6">
        <v>97</v>
      </c>
      <c r="J102" s="6">
        <v>4.3533600000000003</v>
      </c>
      <c r="K102" s="8">
        <v>9.2460000000000004</v>
      </c>
      <c r="L102" s="6">
        <v>548.77602856245085</v>
      </c>
      <c r="M102" s="6">
        <v>63.844340975196069</v>
      </c>
      <c r="N102" s="6">
        <v>15.122037926470581</v>
      </c>
      <c r="O102" s="6">
        <v>589.20213908362734</v>
      </c>
      <c r="P102" s="6">
        <v>1216.9445465477449</v>
      </c>
      <c r="Q102" s="6">
        <v>137.42886061882351</v>
      </c>
      <c r="R102" s="6">
        <v>102.75916460764699</v>
      </c>
      <c r="S102" s="6">
        <v>88.930007055784301</v>
      </c>
      <c r="T102" s="6">
        <v>378.61713633333329</v>
      </c>
      <c r="U102" s="6">
        <v>707.73516861558812</v>
      </c>
      <c r="V102" s="6">
        <v>1924.679715163333</v>
      </c>
      <c r="W102" s="6">
        <v>8.6127125565903278</v>
      </c>
      <c r="X102" s="6">
        <v>22.01238261663708</v>
      </c>
      <c r="Y102" s="6">
        <v>-3806.3821211052609</v>
      </c>
      <c r="Z102" s="6">
        <v>-1851.0773107687</v>
      </c>
      <c r="AA102" s="6">
        <v>123.4893773052285</v>
      </c>
      <c r="AB102" s="6">
        <v>-1727.5879334634719</v>
      </c>
      <c r="AC102" s="6">
        <v>0</v>
      </c>
      <c r="AD102" s="6">
        <v>99.880590591078416</v>
      </c>
      <c r="AE102" s="6">
        <v>0</v>
      </c>
      <c r="AF102" s="6">
        <v>0</v>
      </c>
      <c r="AG102" s="6">
        <v>-1627.7073428723941</v>
      </c>
      <c r="AH102" s="6">
        <v>62.516159799607841</v>
      </c>
      <c r="AI102" s="6">
        <v>31.258079899803921</v>
      </c>
      <c r="AJ102" s="6">
        <v>99.880590591078416</v>
      </c>
      <c r="AK102" s="6">
        <v>-1533.9331031729821</v>
      </c>
      <c r="AL102" s="6">
        <v>0</v>
      </c>
      <c r="AM102" s="6">
        <v>0</v>
      </c>
      <c r="AN102" s="6">
        <v>0</v>
      </c>
      <c r="AO102" s="6">
        <v>0</v>
      </c>
      <c r="AP102" s="6">
        <v>0</v>
      </c>
      <c r="AQ102" s="6">
        <v>-1533.9331031729821</v>
      </c>
      <c r="AR102" s="6">
        <v>420.00385873594132</v>
      </c>
      <c r="AS102" s="6">
        <v>474.07562999999999</v>
      </c>
      <c r="AT102" s="6">
        <v>2271.0811695046418</v>
      </c>
      <c r="AU102" s="6">
        <v>2147.5917921994128</v>
      </c>
    </row>
    <row r="103" spans="1:47" x14ac:dyDescent="0.35">
      <c r="A103" s="5">
        <v>46022</v>
      </c>
      <c r="B103" s="4" t="s">
        <v>308</v>
      </c>
      <c r="C103" s="4" t="s">
        <v>309</v>
      </c>
      <c r="D103" s="4" t="s">
        <v>61</v>
      </c>
      <c r="E103" s="6">
        <v>4200</v>
      </c>
      <c r="F103" s="7">
        <v>0.85</v>
      </c>
      <c r="G103" s="6">
        <v>88</v>
      </c>
      <c r="H103" s="6">
        <v>31.416</v>
      </c>
      <c r="I103" s="6">
        <v>97</v>
      </c>
      <c r="J103" s="6">
        <v>30.473520000000001</v>
      </c>
      <c r="K103" s="8">
        <v>86.986999999999995</v>
      </c>
      <c r="L103" s="6">
        <v>43.61744880088235</v>
      </c>
      <c r="M103" s="6">
        <v>3.586015404999999</v>
      </c>
      <c r="N103" s="6">
        <v>24.993629765588231</v>
      </c>
      <c r="O103" s="6">
        <v>32.396570324999999</v>
      </c>
      <c r="P103" s="6">
        <v>104.59366429647061</v>
      </c>
      <c r="Q103" s="6">
        <v>11.169796508088231</v>
      </c>
      <c r="R103" s="6">
        <v>8.6865539527941174</v>
      </c>
      <c r="S103" s="6">
        <v>16.594531443823531</v>
      </c>
      <c r="T103" s="6">
        <v>26.01805734294118</v>
      </c>
      <c r="U103" s="6">
        <v>62.468939247647057</v>
      </c>
      <c r="V103" s="6">
        <v>167.06260354411759</v>
      </c>
      <c r="W103" s="6">
        <v>2.9837486466700001</v>
      </c>
      <c r="X103" s="6">
        <v>25.81154667006497</v>
      </c>
      <c r="Y103" s="6">
        <v>-58.233635174864631</v>
      </c>
      <c r="Z103" s="6">
        <v>137.62426368598801</v>
      </c>
      <c r="AA103" s="6">
        <v>63.010965337376057</v>
      </c>
      <c r="AB103" s="6">
        <v>200.63522902336399</v>
      </c>
      <c r="AC103" s="6">
        <v>0</v>
      </c>
      <c r="AD103" s="6">
        <v>15.368870546029409</v>
      </c>
      <c r="AE103" s="6">
        <v>0</v>
      </c>
      <c r="AF103" s="6">
        <v>0</v>
      </c>
      <c r="AG103" s="6">
        <v>216.00409956939339</v>
      </c>
      <c r="AH103" s="6">
        <v>11.8559865642647</v>
      </c>
      <c r="AI103" s="6">
        <v>0</v>
      </c>
      <c r="AJ103" s="6">
        <v>22.62297884411764</v>
      </c>
      <c r="AK103" s="6">
        <v>235.1141944317464</v>
      </c>
      <c r="AL103" s="6">
        <v>0</v>
      </c>
      <c r="AM103" s="6">
        <v>0</v>
      </c>
      <c r="AN103" s="6">
        <v>0</v>
      </c>
      <c r="AO103" s="6">
        <v>0</v>
      </c>
      <c r="AP103" s="6">
        <v>0</v>
      </c>
      <c r="AQ103" s="6">
        <v>235.1141944317464</v>
      </c>
      <c r="AR103" s="6">
        <v>419.99972399863839</v>
      </c>
      <c r="AS103" s="6">
        <v>323.45357100000001</v>
      </c>
      <c r="AT103" s="6">
        <v>282.37546031265038</v>
      </c>
      <c r="AU103" s="6">
        <v>219.3644949752744</v>
      </c>
    </row>
    <row r="104" spans="1:47" x14ac:dyDescent="0.35">
      <c r="A104" s="5">
        <v>46022</v>
      </c>
      <c r="B104" s="4" t="s">
        <v>199</v>
      </c>
      <c r="C104" s="4" t="s">
        <v>200</v>
      </c>
      <c r="D104" s="4" t="s">
        <v>61</v>
      </c>
      <c r="E104" s="6">
        <v>50</v>
      </c>
      <c r="F104" s="7">
        <v>0.42220000000000002</v>
      </c>
      <c r="G104" s="6">
        <v>81</v>
      </c>
      <c r="H104" s="6">
        <v>0.17100000000000001</v>
      </c>
      <c r="I104" s="6">
        <v>94.241175999999996</v>
      </c>
      <c r="J104" s="6">
        <v>0.16114500000000001</v>
      </c>
      <c r="K104" s="8">
        <v>98.825999999999993</v>
      </c>
      <c r="L104" s="6">
        <v>70.248818213918526</v>
      </c>
      <c r="M104" s="6">
        <v>8.0620206557674763</v>
      </c>
      <c r="N104" s="6">
        <v>40.663713638955592</v>
      </c>
      <c r="O104" s="6">
        <v>36.020010908595978</v>
      </c>
      <c r="P104" s="6">
        <v>154.9945634172376</v>
      </c>
      <c r="Q104" s="6">
        <v>40.039952000729151</v>
      </c>
      <c r="R104" s="6">
        <v>10.63278556638214</v>
      </c>
      <c r="S104" s="6">
        <v>58.182380136752599</v>
      </c>
      <c r="T104" s="6">
        <v>33.235053119547921</v>
      </c>
      <c r="U104" s="6">
        <v>142.0901708234118</v>
      </c>
      <c r="V104" s="6">
        <v>297.08473424064942</v>
      </c>
      <c r="W104" s="6">
        <v>4.0588106472951289</v>
      </c>
      <c r="X104" s="6">
        <v>28.156300952508609</v>
      </c>
      <c r="Y104" s="6">
        <v>-4.8965098993893212</v>
      </c>
      <c r="Z104" s="6">
        <v>324.4033359410638</v>
      </c>
      <c r="AA104" s="6">
        <v>77.411443178180193</v>
      </c>
      <c r="AB104" s="6">
        <v>401.81477911924401</v>
      </c>
      <c r="AC104" s="6">
        <v>0</v>
      </c>
      <c r="AD104" s="6">
        <v>14.7394931409085</v>
      </c>
      <c r="AE104" s="6">
        <v>0</v>
      </c>
      <c r="AF104" s="6">
        <v>0</v>
      </c>
      <c r="AG104" s="6">
        <v>416.55427226015252</v>
      </c>
      <c r="AH104" s="6">
        <v>10.971167810693469</v>
      </c>
      <c r="AI104" s="6">
        <v>0</v>
      </c>
      <c r="AJ104" s="6">
        <v>14.7394931409085</v>
      </c>
      <c r="AK104" s="6">
        <v>427.52544007084589</v>
      </c>
      <c r="AL104" s="6">
        <v>0</v>
      </c>
      <c r="AM104" s="6">
        <v>0</v>
      </c>
      <c r="AN104" s="6">
        <v>0</v>
      </c>
      <c r="AO104" s="6">
        <v>0</v>
      </c>
      <c r="AP104" s="6">
        <v>0</v>
      </c>
      <c r="AQ104" s="6">
        <v>427.52544007084589</v>
      </c>
      <c r="AR104" s="6">
        <v>419.88271397349757</v>
      </c>
      <c r="AS104" s="6">
        <v>1.510062</v>
      </c>
      <c r="AT104" s="6">
        <v>95.479378032433857</v>
      </c>
      <c r="AU104" s="6">
        <v>18.067934854253661</v>
      </c>
    </row>
    <row r="105" spans="1:47" x14ac:dyDescent="0.35">
      <c r="A105" s="5">
        <v>46022</v>
      </c>
      <c r="B105" s="4" t="s">
        <v>201</v>
      </c>
      <c r="C105" s="4" t="s">
        <v>202</v>
      </c>
      <c r="D105" s="4" t="s">
        <v>61</v>
      </c>
      <c r="E105" s="6">
        <v>1800</v>
      </c>
      <c r="F105" s="7">
        <v>0.9</v>
      </c>
      <c r="G105" s="6">
        <v>67</v>
      </c>
      <c r="H105" s="6">
        <v>10.853999999999999</v>
      </c>
      <c r="I105" s="6">
        <v>97</v>
      </c>
      <c r="J105" s="6">
        <v>10.52838</v>
      </c>
      <c r="K105" s="8">
        <v>46.411000000000001</v>
      </c>
      <c r="L105" s="6">
        <v>7.152158503731342</v>
      </c>
      <c r="M105" s="6">
        <v>22.275269800812602</v>
      </c>
      <c r="N105" s="6">
        <v>27.72509399182421</v>
      </c>
      <c r="O105" s="6">
        <v>81.063922753565492</v>
      </c>
      <c r="P105" s="6">
        <v>138.21644504993361</v>
      </c>
      <c r="Q105" s="6">
        <v>12.8012683408126</v>
      </c>
      <c r="R105" s="6">
        <v>20.33191292291874</v>
      </c>
      <c r="S105" s="6">
        <v>38.256291147446099</v>
      </c>
      <c r="T105" s="6">
        <v>19.543905621194028</v>
      </c>
      <c r="U105" s="6">
        <v>90.933378032371465</v>
      </c>
      <c r="V105" s="6">
        <v>229.14982308230509</v>
      </c>
      <c r="W105" s="6">
        <v>20.60935453374875</v>
      </c>
      <c r="X105" s="6">
        <v>31.381065197019861</v>
      </c>
      <c r="Y105" s="6">
        <v>-422.6164366538689</v>
      </c>
      <c r="Z105" s="6">
        <v>-141.47619384079519</v>
      </c>
      <c r="AA105" s="6">
        <v>29.785903557673361</v>
      </c>
      <c r="AB105" s="6">
        <v>-111.6902902831218</v>
      </c>
      <c r="AC105" s="6">
        <v>0</v>
      </c>
      <c r="AD105" s="6">
        <v>9.7801109746434474</v>
      </c>
      <c r="AE105" s="6">
        <v>0</v>
      </c>
      <c r="AF105" s="6">
        <v>0</v>
      </c>
      <c r="AG105" s="6">
        <v>-101.9101793084784</v>
      </c>
      <c r="AH105" s="6">
        <v>7.4117773401824198</v>
      </c>
      <c r="AI105" s="6">
        <v>0</v>
      </c>
      <c r="AJ105" s="6">
        <v>9.7801109746434474</v>
      </c>
      <c r="AK105" s="6">
        <v>-94.498401968295937</v>
      </c>
      <c r="AL105" s="6">
        <v>0</v>
      </c>
      <c r="AM105" s="6">
        <v>0</v>
      </c>
      <c r="AN105" s="6">
        <v>0</v>
      </c>
      <c r="AO105" s="6">
        <v>0</v>
      </c>
      <c r="AP105" s="6">
        <v>0</v>
      </c>
      <c r="AQ105" s="6">
        <v>-94.498401968295937</v>
      </c>
      <c r="AR105" s="6">
        <v>420.00079749133408</v>
      </c>
      <c r="AS105" s="6">
        <v>256.432841</v>
      </c>
      <c r="AT105" s="6">
        <v>561.47699133212927</v>
      </c>
      <c r="AU105" s="6">
        <v>531.69108777445592</v>
      </c>
    </row>
    <row r="106" spans="1:47" x14ac:dyDescent="0.35">
      <c r="A106" s="5">
        <v>46022</v>
      </c>
      <c r="B106" s="4" t="s">
        <v>203</v>
      </c>
      <c r="C106" s="4" t="s">
        <v>204</v>
      </c>
      <c r="D106" s="4" t="s">
        <v>61</v>
      </c>
      <c r="E106" s="6">
        <v>28000</v>
      </c>
      <c r="F106" s="7">
        <v>0.41</v>
      </c>
      <c r="G106" s="6">
        <v>89</v>
      </c>
      <c r="H106" s="6">
        <v>102.172</v>
      </c>
      <c r="I106" s="6">
        <v>97</v>
      </c>
      <c r="J106" s="6">
        <v>99.106840000000005</v>
      </c>
      <c r="K106" s="8">
        <v>76.102999999999994</v>
      </c>
      <c r="L106" s="6">
        <v>12.287975223102221</v>
      </c>
      <c r="M106" s="6">
        <v>21.357067388380379</v>
      </c>
      <c r="N106" s="6">
        <v>10.886009276267471</v>
      </c>
      <c r="O106" s="6">
        <v>34.624483702439022</v>
      </c>
      <c r="P106" s="6">
        <v>79.155535590189089</v>
      </c>
      <c r="Q106" s="6">
        <v>6.0614394977802126</v>
      </c>
      <c r="R106" s="6">
        <v>8.891488453603726</v>
      </c>
      <c r="S106" s="6">
        <v>31.774635501753899</v>
      </c>
      <c r="T106" s="6">
        <v>48.463579183666752</v>
      </c>
      <c r="U106" s="6">
        <v>95.191142636804599</v>
      </c>
      <c r="V106" s="6">
        <v>174.3466782269937</v>
      </c>
      <c r="W106" s="6">
        <v>17.155003115982669</v>
      </c>
      <c r="X106" s="6">
        <v>25.004397436877941</v>
      </c>
      <c r="Y106" s="6">
        <v>-125.8860992031599</v>
      </c>
      <c r="Z106" s="6">
        <v>90.619979576694362</v>
      </c>
      <c r="AA106" s="6">
        <v>12.243045827851111</v>
      </c>
      <c r="AB106" s="6">
        <v>102.8630254045455</v>
      </c>
      <c r="AC106" s="6">
        <v>0</v>
      </c>
      <c r="AD106" s="6">
        <v>30.424147591559329</v>
      </c>
      <c r="AE106" s="6">
        <v>0</v>
      </c>
      <c r="AF106" s="6">
        <v>0</v>
      </c>
      <c r="AG106" s="6">
        <v>133.2871729961048</v>
      </c>
      <c r="AH106" s="6">
        <v>12.00763329391614</v>
      </c>
      <c r="AI106" s="6">
        <v>0</v>
      </c>
      <c r="AJ106" s="6">
        <v>9.2532571801041374</v>
      </c>
      <c r="AK106" s="6">
        <v>124.1239158785657</v>
      </c>
      <c r="AL106" s="6">
        <v>0</v>
      </c>
      <c r="AM106" s="6">
        <v>0</v>
      </c>
      <c r="AN106" s="6">
        <v>0</v>
      </c>
      <c r="AO106" s="6">
        <v>0</v>
      </c>
      <c r="AP106" s="6">
        <v>0</v>
      </c>
      <c r="AQ106" s="6">
        <v>124.1239158785657</v>
      </c>
      <c r="AR106" s="6">
        <v>419.9998301337605</v>
      </c>
      <c r="AS106" s="6">
        <v>1198.0591549999999</v>
      </c>
      <c r="AT106" s="6">
        <v>329.37985055706622</v>
      </c>
      <c r="AU106" s="6">
        <v>317.1368047292151</v>
      </c>
    </row>
    <row r="107" spans="1:47" x14ac:dyDescent="0.35">
      <c r="A107" s="5">
        <v>46022</v>
      </c>
      <c r="B107" s="4" t="s">
        <v>158</v>
      </c>
      <c r="C107" s="4" t="s">
        <v>159</v>
      </c>
      <c r="D107" s="4" t="s">
        <v>79</v>
      </c>
      <c r="E107" s="6">
        <v>684</v>
      </c>
      <c r="F107" s="7">
        <v>1.6</v>
      </c>
      <c r="G107" s="6">
        <v>83.9</v>
      </c>
      <c r="H107" s="6">
        <v>9.1820000000000004</v>
      </c>
      <c r="I107" s="6">
        <v>95.289364000000006</v>
      </c>
      <c r="J107" s="6">
        <v>8.749485</v>
      </c>
      <c r="K107" s="8">
        <v>36.067</v>
      </c>
      <c r="L107" s="6">
        <v>102.56274978137409</v>
      </c>
      <c r="M107" s="6">
        <v>99.538358517198986</v>
      </c>
      <c r="N107" s="6">
        <v>28.294985707106068</v>
      </c>
      <c r="O107" s="6">
        <v>89.974438899994951</v>
      </c>
      <c r="P107" s="6">
        <v>320.37053290567411</v>
      </c>
      <c r="Q107" s="6">
        <v>46.834280297199967</v>
      </c>
      <c r="R107" s="6">
        <v>23.911215672032728</v>
      </c>
      <c r="S107" s="6">
        <v>41.249116654796993</v>
      </c>
      <c r="T107" s="6">
        <v>65.722640079683302</v>
      </c>
      <c r="U107" s="6">
        <v>177.717252703713</v>
      </c>
      <c r="V107" s="6">
        <v>498.08778560938708</v>
      </c>
      <c r="W107" s="6">
        <v>21.374143475766552</v>
      </c>
      <c r="X107" s="6">
        <v>128.74469608855611</v>
      </c>
      <c r="Y107" s="6">
        <v>-787.39149900067275</v>
      </c>
      <c r="Z107" s="6">
        <v>-139.18487382696301</v>
      </c>
      <c r="AA107" s="6">
        <v>51.129499220695209</v>
      </c>
      <c r="AB107" s="6">
        <v>-88.05537460626779</v>
      </c>
      <c r="AC107" s="6">
        <v>0</v>
      </c>
      <c r="AD107" s="6">
        <v>314.85996302577479</v>
      </c>
      <c r="AE107" s="6">
        <v>0</v>
      </c>
      <c r="AF107" s="6">
        <v>0</v>
      </c>
      <c r="AG107" s="6">
        <v>226.80458841950701</v>
      </c>
      <c r="AH107" s="6">
        <v>48.332541902392769</v>
      </c>
      <c r="AI107" s="6">
        <v>0</v>
      </c>
      <c r="AJ107" s="6">
        <v>129.60544961648739</v>
      </c>
      <c r="AK107" s="6">
        <v>89.882616912612406</v>
      </c>
      <c r="AL107" s="6">
        <v>0</v>
      </c>
      <c r="AM107" s="6">
        <v>0</v>
      </c>
      <c r="AN107" s="6">
        <v>0</v>
      </c>
      <c r="AO107" s="6">
        <v>0</v>
      </c>
      <c r="AP107" s="6">
        <v>0</v>
      </c>
      <c r="AQ107" s="6">
        <v>89.882616912612406</v>
      </c>
      <c r="AR107" s="6">
        <v>420.00071969017102</v>
      </c>
      <c r="AS107" s="6">
        <v>249.118461</v>
      </c>
      <c r="AT107" s="6">
        <v>559.18559351713395</v>
      </c>
      <c r="AU107" s="6">
        <v>508.0560942964388</v>
      </c>
    </row>
    <row r="108" spans="1:47" x14ac:dyDescent="0.35">
      <c r="A108" s="5">
        <v>46022</v>
      </c>
      <c r="B108" s="4" t="s">
        <v>160</v>
      </c>
      <c r="C108" s="4" t="s">
        <v>161</v>
      </c>
      <c r="D108" s="4" t="s">
        <v>69</v>
      </c>
      <c r="E108" s="6">
        <v>1940.2915</v>
      </c>
      <c r="F108" s="7">
        <v>2.2450000000000001</v>
      </c>
      <c r="G108" s="6">
        <v>92.29</v>
      </c>
      <c r="H108" s="6">
        <v>40.200000000000003</v>
      </c>
      <c r="I108" s="6">
        <v>97</v>
      </c>
      <c r="J108" s="6">
        <v>38.994</v>
      </c>
      <c r="K108" s="8">
        <v>67.409000000000006</v>
      </c>
      <c r="L108" s="6">
        <v>98.903021610175287</v>
      </c>
      <c r="M108" s="6">
        <v>23.911423883903019</v>
      </c>
      <c r="N108" s="6">
        <v>16.657726867859711</v>
      </c>
      <c r="O108" s="6">
        <v>41.273797468367732</v>
      </c>
      <c r="P108" s="6">
        <v>180.74596983030571</v>
      </c>
      <c r="Q108" s="6">
        <v>22.044113396485969</v>
      </c>
      <c r="R108" s="6">
        <v>8.7234298663498127</v>
      </c>
      <c r="S108" s="6">
        <v>15.0326017424632</v>
      </c>
      <c r="T108" s="6">
        <v>7.1953085209523797</v>
      </c>
      <c r="U108" s="6">
        <v>52.995453526251367</v>
      </c>
      <c r="V108" s="6">
        <v>233.74142335655711</v>
      </c>
      <c r="W108" s="6">
        <v>31.972839077283581</v>
      </c>
      <c r="X108" s="6">
        <v>27.398837345545068</v>
      </c>
      <c r="Y108" s="6">
        <v>-223.9209914136118</v>
      </c>
      <c r="Z108" s="6">
        <v>69.19210836577399</v>
      </c>
      <c r="AA108" s="6">
        <v>16.392415253280369</v>
      </c>
      <c r="AB108" s="6">
        <v>85.584523619054366</v>
      </c>
      <c r="AC108" s="6">
        <v>0</v>
      </c>
      <c r="AD108" s="6">
        <v>139.221554943706</v>
      </c>
      <c r="AE108" s="6">
        <v>0</v>
      </c>
      <c r="AF108" s="6">
        <v>0</v>
      </c>
      <c r="AG108" s="6">
        <v>224.8060785627604</v>
      </c>
      <c r="AH108" s="6">
        <v>32.357903723143892</v>
      </c>
      <c r="AI108" s="6">
        <v>0</v>
      </c>
      <c r="AJ108" s="6">
        <v>57.352321125028688</v>
      </c>
      <c r="AK108" s="6">
        <v>175.2947484672269</v>
      </c>
      <c r="AL108" s="6">
        <v>0</v>
      </c>
      <c r="AM108" s="6">
        <v>0</v>
      </c>
      <c r="AN108" s="6">
        <v>0</v>
      </c>
      <c r="AO108" s="6">
        <v>0</v>
      </c>
      <c r="AP108" s="6">
        <v>0</v>
      </c>
      <c r="AQ108" s="6">
        <v>175.2947484672269</v>
      </c>
      <c r="AR108" s="6">
        <v>419.99999964779192</v>
      </c>
      <c r="AS108" s="6">
        <v>579.78637600000002</v>
      </c>
      <c r="AT108" s="6">
        <v>350.80789128201792</v>
      </c>
      <c r="AU108" s="6">
        <v>334.4154760287376</v>
      </c>
    </row>
    <row r="109" spans="1:47" x14ac:dyDescent="0.35">
      <c r="A109" s="5">
        <v>46022</v>
      </c>
      <c r="B109" s="4" t="s">
        <v>205</v>
      </c>
      <c r="C109" s="4" t="s">
        <v>206</v>
      </c>
      <c r="D109" s="4" t="s">
        <v>61</v>
      </c>
      <c r="E109" s="6">
        <v>1500</v>
      </c>
      <c r="F109" s="7">
        <v>0.30209999999999998</v>
      </c>
      <c r="G109" s="6">
        <v>85</v>
      </c>
      <c r="H109" s="6">
        <v>3.8519999999999999</v>
      </c>
      <c r="I109" s="6">
        <v>94.75</v>
      </c>
      <c r="J109" s="6">
        <v>3.649473</v>
      </c>
      <c r="K109" s="8">
        <v>25.065999999999999</v>
      </c>
      <c r="L109" s="6">
        <v>239.8136365922218</v>
      </c>
      <c r="M109" s="6">
        <v>44.495447556147141</v>
      </c>
      <c r="N109" s="6">
        <v>14.20431379944611</v>
      </c>
      <c r="O109" s="6">
        <v>80.456975329044354</v>
      </c>
      <c r="P109" s="6">
        <v>378.97037327685939</v>
      </c>
      <c r="Q109" s="6">
        <v>64.072736028834569</v>
      </c>
      <c r="R109" s="6">
        <v>34.113213746661089</v>
      </c>
      <c r="S109" s="6">
        <v>44.846094017771598</v>
      </c>
      <c r="T109" s="6">
        <v>59.634265496858987</v>
      </c>
      <c r="U109" s="6">
        <v>202.66630929012629</v>
      </c>
      <c r="V109" s="6">
        <v>581.63668256698566</v>
      </c>
      <c r="W109" s="6">
        <v>134.9611910245433</v>
      </c>
      <c r="X109" s="6">
        <v>116.1728196681528</v>
      </c>
      <c r="Y109" s="6">
        <v>-1244.834576432828</v>
      </c>
      <c r="Z109" s="6">
        <v>-412.06388317314628</v>
      </c>
      <c r="AA109" s="6">
        <v>111.9104522276813</v>
      </c>
      <c r="AB109" s="6">
        <v>-300.153430945465</v>
      </c>
      <c r="AC109" s="6">
        <v>0</v>
      </c>
      <c r="AD109" s="6">
        <v>76.632453043971964</v>
      </c>
      <c r="AE109" s="6">
        <v>0</v>
      </c>
      <c r="AF109" s="6">
        <v>0</v>
      </c>
      <c r="AG109" s="6">
        <v>-223.52097790149301</v>
      </c>
      <c r="AH109" s="6">
        <v>41.904284302804129</v>
      </c>
      <c r="AI109" s="6">
        <v>26.249582789165309</v>
      </c>
      <c r="AJ109" s="6">
        <v>20.166440898984451</v>
      </c>
      <c r="AK109" s="6">
        <v>-211.83312295451111</v>
      </c>
      <c r="AL109" s="6">
        <v>0</v>
      </c>
      <c r="AM109" s="6">
        <v>0</v>
      </c>
      <c r="AN109" s="6">
        <v>0</v>
      </c>
      <c r="AO109" s="6">
        <v>0</v>
      </c>
      <c r="AP109" s="6">
        <v>0</v>
      </c>
      <c r="AQ109" s="6">
        <v>-211.83312295451111</v>
      </c>
      <c r="AR109" s="6">
        <v>420.00310694574722</v>
      </c>
      <c r="AS109" s="6">
        <v>150.065946</v>
      </c>
      <c r="AT109" s="6">
        <v>832.06699011889339</v>
      </c>
      <c r="AU109" s="6">
        <v>720.15653789121211</v>
      </c>
    </row>
    <row r="110" spans="1:47" x14ac:dyDescent="0.35">
      <c r="A110" s="5">
        <v>46022</v>
      </c>
      <c r="B110" s="4" t="s">
        <v>310</v>
      </c>
      <c r="C110" s="4" t="s">
        <v>311</v>
      </c>
      <c r="D110" s="4" t="s">
        <v>58</v>
      </c>
      <c r="E110" s="6">
        <v>36213.033997999999</v>
      </c>
      <c r="F110" s="7">
        <v>0.32</v>
      </c>
      <c r="G110" s="6">
        <v>80.650000000000006</v>
      </c>
      <c r="H110" s="6">
        <v>93.462999999999994</v>
      </c>
      <c r="I110" s="6">
        <v>100</v>
      </c>
      <c r="J110" s="6">
        <v>93.462536</v>
      </c>
      <c r="K110" s="8">
        <v>100</v>
      </c>
      <c r="L110" s="6">
        <v>90.620327219505555</v>
      </c>
      <c r="M110" s="6">
        <v>31.177238797256781</v>
      </c>
      <c r="N110" s="6">
        <v>1.6907238479804261</v>
      </c>
      <c r="O110" s="6">
        <v>26.931808560919869</v>
      </c>
      <c r="P110" s="6">
        <v>150.42009842566259</v>
      </c>
      <c r="Q110" s="6">
        <v>35.833359513730151</v>
      </c>
      <c r="R110" s="6">
        <v>10.079157749350109</v>
      </c>
      <c r="S110" s="6">
        <v>32.375162188928329</v>
      </c>
      <c r="T110" s="6">
        <v>6.6240711834914636</v>
      </c>
      <c r="U110" s="6">
        <v>84.911750635500056</v>
      </c>
      <c r="V110" s="6">
        <v>235.3318490611627</v>
      </c>
      <c r="W110" s="6">
        <v>10.529692305768361</v>
      </c>
      <c r="X110" s="6">
        <v>0</v>
      </c>
      <c r="Y110" s="6">
        <v>-1.4514955839999999E-15</v>
      </c>
      <c r="Z110" s="6">
        <v>245.86154136693099</v>
      </c>
      <c r="AA110" s="6">
        <v>3.135729502269669</v>
      </c>
      <c r="AB110" s="6">
        <v>248.99727086920069</v>
      </c>
      <c r="AC110" s="6">
        <v>0</v>
      </c>
      <c r="AD110" s="6">
        <v>33.411519439556798</v>
      </c>
      <c r="AE110" s="6">
        <v>0</v>
      </c>
      <c r="AF110" s="6">
        <v>0</v>
      </c>
      <c r="AG110" s="6">
        <v>282.40879030875749</v>
      </c>
      <c r="AH110" s="6">
        <v>10.67449022641884</v>
      </c>
      <c r="AI110" s="6">
        <v>0</v>
      </c>
      <c r="AJ110" s="6">
        <v>23.634755579338311</v>
      </c>
      <c r="AK110" s="6">
        <v>283.30651667495789</v>
      </c>
      <c r="AL110" s="6">
        <v>0</v>
      </c>
      <c r="AM110" s="6">
        <v>0</v>
      </c>
      <c r="AN110" s="6">
        <v>0</v>
      </c>
      <c r="AO110" s="6">
        <v>0</v>
      </c>
      <c r="AP110" s="6">
        <v>0</v>
      </c>
      <c r="AQ110" s="6">
        <v>283.30651667495789</v>
      </c>
      <c r="AR110" s="6">
        <v>419.99983787174102</v>
      </c>
      <c r="AS110" s="6">
        <v>865.40807500000005</v>
      </c>
      <c r="AT110" s="6">
        <v>174.13829650480989</v>
      </c>
      <c r="AU110" s="6">
        <v>171.0025670025403</v>
      </c>
    </row>
    <row r="111" spans="1:47" x14ac:dyDescent="0.35">
      <c r="A111" s="5">
        <v>46022</v>
      </c>
      <c r="B111" s="4" t="s">
        <v>207</v>
      </c>
      <c r="C111" s="4" t="s">
        <v>208</v>
      </c>
      <c r="D111" s="4" t="s">
        <v>50</v>
      </c>
      <c r="E111" s="6">
        <v>4200</v>
      </c>
      <c r="F111" s="7">
        <v>1.6</v>
      </c>
      <c r="G111" s="6">
        <v>82</v>
      </c>
      <c r="H111" s="6">
        <v>55.103999999999999</v>
      </c>
      <c r="I111" s="6">
        <v>95.217391000000006</v>
      </c>
      <c r="J111" s="6">
        <v>52.468591000000004</v>
      </c>
      <c r="K111" s="8">
        <v>88.138999999999996</v>
      </c>
      <c r="L111" s="6">
        <v>45.884253448080138</v>
      </c>
      <c r="M111" s="6">
        <v>10.68451540501615</v>
      </c>
      <c r="N111" s="6">
        <v>6.4325259361250113</v>
      </c>
      <c r="O111" s="6">
        <v>38.714892175826058</v>
      </c>
      <c r="P111" s="6">
        <v>101.7161869650474</v>
      </c>
      <c r="Q111" s="6">
        <v>12.115711677902871</v>
      </c>
      <c r="R111" s="6">
        <v>7.3162062144474431</v>
      </c>
      <c r="S111" s="6">
        <v>17.181460967884838</v>
      </c>
      <c r="T111" s="6">
        <v>28.391296607219299</v>
      </c>
      <c r="U111" s="6">
        <v>65.004675467454447</v>
      </c>
      <c r="V111" s="6">
        <v>166.7208624325018</v>
      </c>
      <c r="W111" s="6">
        <v>10.16410476620449</v>
      </c>
      <c r="X111" s="6">
        <v>24.569585159206881</v>
      </c>
      <c r="Y111" s="6">
        <v>-55.195554020602977</v>
      </c>
      <c r="Z111" s="6">
        <v>146.2589983373102</v>
      </c>
      <c r="AA111" s="6">
        <v>1.7518630477474071</v>
      </c>
      <c r="AB111" s="6">
        <v>148.01086138505761</v>
      </c>
      <c r="AC111" s="6">
        <v>3.4513989627703929</v>
      </c>
      <c r="AD111" s="6">
        <v>69.317827635731078</v>
      </c>
      <c r="AE111" s="6">
        <v>0</v>
      </c>
      <c r="AF111" s="6">
        <v>0</v>
      </c>
      <c r="AG111" s="6">
        <v>220.7800879835591</v>
      </c>
      <c r="AH111" s="6">
        <v>7.7447626649353527</v>
      </c>
      <c r="AI111" s="6">
        <v>0</v>
      </c>
      <c r="AJ111" s="6">
        <v>51.870159150431832</v>
      </c>
      <c r="AK111" s="6">
        <v>211.0771821631952</v>
      </c>
      <c r="AL111" s="6">
        <v>0</v>
      </c>
      <c r="AM111" s="6">
        <v>0</v>
      </c>
      <c r="AN111" s="6">
        <v>0</v>
      </c>
      <c r="AO111" s="6">
        <v>0</v>
      </c>
      <c r="AP111" s="6">
        <v>0</v>
      </c>
      <c r="AQ111" s="6">
        <v>211.0771821631952</v>
      </c>
      <c r="AR111" s="6">
        <v>420.00007169089281</v>
      </c>
      <c r="AS111" s="6">
        <v>551.92306099999996</v>
      </c>
      <c r="AT111" s="6">
        <v>273.74107335358258</v>
      </c>
      <c r="AU111" s="6">
        <v>271.98921030583517</v>
      </c>
    </row>
    <row r="112" spans="1:47" x14ac:dyDescent="0.35">
      <c r="A112" s="5">
        <v>46022</v>
      </c>
      <c r="B112" s="4" t="s">
        <v>720</v>
      </c>
      <c r="C112" s="4" t="s">
        <v>721</v>
      </c>
      <c r="D112" s="4" t="s">
        <v>50</v>
      </c>
      <c r="E112" s="6">
        <v>2200</v>
      </c>
      <c r="F112" s="7">
        <v>0.14810000000000001</v>
      </c>
      <c r="G112" s="6">
        <v>12.27</v>
      </c>
      <c r="H112" s="6">
        <v>0.4</v>
      </c>
      <c r="I112" s="6">
        <v>97</v>
      </c>
      <c r="J112" s="6">
        <v>0.38800000000000001</v>
      </c>
      <c r="K112" s="8">
        <v>1.167</v>
      </c>
      <c r="L112" s="6">
        <v>2718.7199223569</v>
      </c>
      <c r="M112" s="6">
        <v>1553.4562513662499</v>
      </c>
      <c r="N112" s="6">
        <v>3525.9377205052001</v>
      </c>
      <c r="O112" s="6">
        <v>7696.0217084558499</v>
      </c>
      <c r="P112" s="6">
        <v>15494.1356026842</v>
      </c>
      <c r="Q112" s="6">
        <v>220.67137866620001</v>
      </c>
      <c r="R112" s="6">
        <v>523.68006014939988</v>
      </c>
      <c r="S112" s="6">
        <v>3486.8926997250492</v>
      </c>
      <c r="T112" s="6">
        <v>832.87162649460004</v>
      </c>
      <c r="U112" s="6">
        <v>5064.1157650352488</v>
      </c>
      <c r="V112" s="6">
        <v>20558.251367719451</v>
      </c>
      <c r="W112" s="6">
        <v>1.535646698401766</v>
      </c>
      <c r="X112" s="6">
        <v>16.443359487906669</v>
      </c>
      <c r="Y112" s="6">
        <v>-34237.413715305061</v>
      </c>
      <c r="Z112" s="6">
        <v>-13661.183341399301</v>
      </c>
      <c r="AA112" s="6">
        <v>532.59863122053957</v>
      </c>
      <c r="AB112" s="6">
        <v>-13128.58471017876</v>
      </c>
      <c r="AC112" s="6">
        <v>1948.61203576655</v>
      </c>
      <c r="AD112" s="6">
        <v>2572.6857886922498</v>
      </c>
      <c r="AE112" s="6">
        <v>0</v>
      </c>
      <c r="AF112" s="6">
        <v>0</v>
      </c>
      <c r="AG112" s="6">
        <v>-8607.2868857199628</v>
      </c>
      <c r="AH112" s="6">
        <v>1493.47146615975</v>
      </c>
      <c r="AI112" s="6">
        <v>0</v>
      </c>
      <c r="AJ112" s="6">
        <v>12134.99869035685</v>
      </c>
      <c r="AK112" s="6">
        <v>2448.4974821043852</v>
      </c>
      <c r="AL112" s="6">
        <v>0</v>
      </c>
      <c r="AM112" s="6">
        <v>0</v>
      </c>
      <c r="AN112" s="6">
        <v>0</v>
      </c>
      <c r="AO112" s="6">
        <v>0</v>
      </c>
      <c r="AP112" s="6">
        <v>0</v>
      </c>
      <c r="AQ112" s="6">
        <v>2448.4974821043852</v>
      </c>
      <c r="AR112" s="6">
        <v>419.99999964779192</v>
      </c>
      <c r="AS112" s="6">
        <v>318.90753999999998</v>
      </c>
      <c r="AT112" s="6">
        <v>14081.18334104709</v>
      </c>
      <c r="AU112" s="6">
        <v>13548.58470982656</v>
      </c>
    </row>
    <row r="113" spans="1:47" x14ac:dyDescent="0.35">
      <c r="A113" s="5">
        <v>46022</v>
      </c>
      <c r="B113" s="4" t="s">
        <v>162</v>
      </c>
      <c r="C113" s="4" t="s">
        <v>163</v>
      </c>
      <c r="D113" s="4" t="s">
        <v>58</v>
      </c>
      <c r="E113" s="6">
        <v>6407.6</v>
      </c>
      <c r="F113" s="7">
        <v>0.86</v>
      </c>
      <c r="G113" s="6">
        <v>80</v>
      </c>
      <c r="H113" s="6">
        <v>44.084000000000003</v>
      </c>
      <c r="I113" s="6">
        <v>97</v>
      </c>
      <c r="J113" s="6">
        <v>42.761758999999998</v>
      </c>
      <c r="K113" s="8">
        <v>97.218000000000004</v>
      </c>
      <c r="L113" s="6">
        <v>37.993995868538782</v>
      </c>
      <c r="M113" s="6">
        <v>14.65764833656749</v>
      </c>
      <c r="N113" s="6">
        <v>1.4440585191484281</v>
      </c>
      <c r="O113" s="6">
        <v>21.82700558632849</v>
      </c>
      <c r="P113" s="6">
        <v>75.922708310583189</v>
      </c>
      <c r="Q113" s="6">
        <v>35.22992753580661</v>
      </c>
      <c r="R113" s="6">
        <v>34.756338926616102</v>
      </c>
      <c r="S113" s="6">
        <v>57.826964901190472</v>
      </c>
      <c r="T113" s="6">
        <v>20.813233155787991</v>
      </c>
      <c r="U113" s="6">
        <v>148.6264645194012</v>
      </c>
      <c r="V113" s="6">
        <v>224.5491728299844</v>
      </c>
      <c r="W113" s="6">
        <v>9.5939750215919855</v>
      </c>
      <c r="X113" s="6">
        <v>21.750589041693068</v>
      </c>
      <c r="Y113" s="6">
        <v>-11.79093974373062</v>
      </c>
      <c r="Z113" s="6">
        <v>244.10279714953879</v>
      </c>
      <c r="AA113" s="6">
        <v>0.8956010608813193</v>
      </c>
      <c r="AB113" s="6">
        <v>244.99839821042011</v>
      </c>
      <c r="AC113" s="6">
        <v>0</v>
      </c>
      <c r="AD113" s="6">
        <v>47.645924481569089</v>
      </c>
      <c r="AE113" s="6">
        <v>0</v>
      </c>
      <c r="AF113" s="6">
        <v>0</v>
      </c>
      <c r="AG113" s="6">
        <v>292.6443226919892</v>
      </c>
      <c r="AH113" s="6">
        <v>6.9872501340854489</v>
      </c>
      <c r="AI113" s="6">
        <v>0</v>
      </c>
      <c r="AJ113" s="6">
        <v>47.645924481569089</v>
      </c>
      <c r="AK113" s="6">
        <v>299.63157282607472</v>
      </c>
      <c r="AL113" s="6">
        <v>0</v>
      </c>
      <c r="AM113" s="6">
        <v>0</v>
      </c>
      <c r="AN113" s="6">
        <v>0</v>
      </c>
      <c r="AO113" s="6">
        <v>0</v>
      </c>
      <c r="AP113" s="6">
        <v>0</v>
      </c>
      <c r="AQ113" s="6">
        <v>299.63157282607472</v>
      </c>
      <c r="AR113" s="6">
        <v>420.00040234404179</v>
      </c>
      <c r="AS113" s="6">
        <v>407.18429900000001</v>
      </c>
      <c r="AT113" s="6">
        <v>175.897605194503</v>
      </c>
      <c r="AU113" s="6">
        <v>175.00200413362171</v>
      </c>
    </row>
    <row r="114" spans="1:47" x14ac:dyDescent="0.35">
      <c r="A114" s="5">
        <v>46022</v>
      </c>
      <c r="B114" s="4" t="s">
        <v>340</v>
      </c>
      <c r="C114" s="4" t="s">
        <v>341</v>
      </c>
      <c r="D114" s="4" t="s">
        <v>58</v>
      </c>
      <c r="E114" s="6">
        <v>50000</v>
      </c>
      <c r="F114" s="7">
        <v>0.85</v>
      </c>
      <c r="G114" s="6">
        <v>80.47</v>
      </c>
      <c r="H114" s="6">
        <v>342</v>
      </c>
      <c r="I114" s="6">
        <v>96.153846000000001</v>
      </c>
      <c r="J114" s="6">
        <v>328.84615400000001</v>
      </c>
      <c r="K114" s="8">
        <v>89.724000000000004</v>
      </c>
      <c r="L114" s="6">
        <v>95.790725273473612</v>
      </c>
      <c r="M114" s="6">
        <v>1.675883749774522</v>
      </c>
      <c r="N114" s="6">
        <v>3.6640512569196719</v>
      </c>
      <c r="O114" s="6">
        <v>36.97254165336399</v>
      </c>
      <c r="P114" s="6">
        <v>138.10320193353181</v>
      </c>
      <c r="Q114" s="6">
        <v>12.155893537790931</v>
      </c>
      <c r="R114" s="6">
        <v>11.064155591142169</v>
      </c>
      <c r="S114" s="6">
        <v>16.686194281835661</v>
      </c>
      <c r="T114" s="6">
        <v>8.1387712854023526</v>
      </c>
      <c r="U114" s="6">
        <v>48.045014696171108</v>
      </c>
      <c r="V114" s="6">
        <v>186.14821662970289</v>
      </c>
      <c r="W114" s="6">
        <v>9.0074989994135439</v>
      </c>
      <c r="X114" s="6">
        <v>21.195415559190732</v>
      </c>
      <c r="Y114" s="6">
        <v>-45.353643898972841</v>
      </c>
      <c r="Z114" s="6">
        <v>170.9974872893344</v>
      </c>
      <c r="AA114" s="6">
        <v>13.35712908724242</v>
      </c>
      <c r="AB114" s="6">
        <v>184.35461637657681</v>
      </c>
      <c r="AC114" s="6">
        <v>0</v>
      </c>
      <c r="AD114" s="6">
        <v>63.598621722724943</v>
      </c>
      <c r="AE114" s="6">
        <v>0</v>
      </c>
      <c r="AF114" s="6">
        <v>0</v>
      </c>
      <c r="AG114" s="6">
        <v>247.9532380993017</v>
      </c>
      <c r="AH114" s="6">
        <v>26.316961909265778</v>
      </c>
      <c r="AI114" s="6">
        <v>0</v>
      </c>
      <c r="AJ114" s="6">
        <v>23.312065248430429</v>
      </c>
      <c r="AK114" s="6">
        <v>233.983643534273</v>
      </c>
      <c r="AL114" s="6">
        <v>0</v>
      </c>
      <c r="AM114" s="6">
        <v>0</v>
      </c>
      <c r="AN114" s="6">
        <v>0</v>
      </c>
      <c r="AO114" s="6">
        <v>0</v>
      </c>
      <c r="AP114" s="6">
        <v>74.225711091343939</v>
      </c>
      <c r="AQ114" s="6">
        <v>308.20935462561692</v>
      </c>
      <c r="AR114" s="6">
        <v>420.00005839866901</v>
      </c>
      <c r="AS114" s="6">
        <v>3389.2238630000002</v>
      </c>
      <c r="AT114" s="6">
        <v>249.0025711093347</v>
      </c>
      <c r="AU114" s="6">
        <v>235.64544202209231</v>
      </c>
    </row>
    <row r="115" spans="1:47" x14ac:dyDescent="0.35">
      <c r="A115" s="5">
        <v>46022</v>
      </c>
      <c r="B115" s="4" t="s">
        <v>209</v>
      </c>
      <c r="C115" s="4" t="s">
        <v>210</v>
      </c>
      <c r="D115" s="4" t="s">
        <v>58</v>
      </c>
      <c r="E115" s="6">
        <v>26666.666667000001</v>
      </c>
      <c r="F115" s="7">
        <v>0.03</v>
      </c>
      <c r="G115" s="6">
        <v>25</v>
      </c>
      <c r="H115" s="6">
        <v>2</v>
      </c>
      <c r="I115" s="6">
        <v>100</v>
      </c>
      <c r="J115" s="6">
        <v>2</v>
      </c>
      <c r="K115" s="8">
        <v>100</v>
      </c>
      <c r="L115" s="6">
        <v>0</v>
      </c>
      <c r="M115" s="6">
        <v>0</v>
      </c>
      <c r="N115" s="6">
        <v>0</v>
      </c>
      <c r="O115" s="6">
        <v>0</v>
      </c>
      <c r="P115" s="6">
        <v>0</v>
      </c>
      <c r="Q115" s="6">
        <v>156.97985220138889</v>
      </c>
      <c r="R115" s="6">
        <v>12.75985576317283</v>
      </c>
      <c r="S115" s="6">
        <v>16.383151614778122</v>
      </c>
      <c r="T115" s="6">
        <v>19.12889742787911</v>
      </c>
      <c r="U115" s="6">
        <v>205.251757007219</v>
      </c>
      <c r="V115" s="6">
        <v>205.251757007219</v>
      </c>
      <c r="W115" s="6">
        <v>3.2665315272692408</v>
      </c>
      <c r="X115" s="6">
        <v>0</v>
      </c>
      <c r="Y115" s="6">
        <v>0</v>
      </c>
      <c r="Z115" s="6">
        <v>208.51828853448819</v>
      </c>
      <c r="AA115" s="6">
        <v>16.172114762056012</v>
      </c>
      <c r="AB115" s="6">
        <v>224.69040329654419</v>
      </c>
      <c r="AC115" s="6">
        <v>0</v>
      </c>
      <c r="AD115" s="6">
        <v>66.156749560240286</v>
      </c>
      <c r="AE115" s="6">
        <v>0</v>
      </c>
      <c r="AF115" s="6">
        <v>0</v>
      </c>
      <c r="AG115" s="6">
        <v>290.84715285678448</v>
      </c>
      <c r="AH115" s="6">
        <v>8.7313507276958084</v>
      </c>
      <c r="AI115" s="6">
        <v>0</v>
      </c>
      <c r="AJ115" s="6">
        <v>22.679618500283489</v>
      </c>
      <c r="AK115" s="6">
        <v>256.10137252452353</v>
      </c>
      <c r="AL115" s="6">
        <v>0</v>
      </c>
      <c r="AM115" s="6">
        <v>0</v>
      </c>
      <c r="AN115" s="6">
        <v>0</v>
      </c>
      <c r="AO115" s="6">
        <v>0</v>
      </c>
      <c r="AP115" s="6">
        <v>0</v>
      </c>
      <c r="AQ115" s="6">
        <v>256.10137252452353</v>
      </c>
      <c r="AR115" s="6">
        <v>419.99999964779192</v>
      </c>
      <c r="AS115" s="6">
        <v>18.518830000000001</v>
      </c>
      <c r="AT115" s="6">
        <v>211.4817111133037</v>
      </c>
      <c r="AU115" s="6">
        <v>195.30959635124771</v>
      </c>
    </row>
    <row r="116" spans="1:47" x14ac:dyDescent="0.35">
      <c r="A116" s="5">
        <v>46022</v>
      </c>
      <c r="B116" s="4" t="s">
        <v>223</v>
      </c>
      <c r="C116" s="4" t="s">
        <v>224</v>
      </c>
      <c r="D116" s="4" t="s">
        <v>58</v>
      </c>
      <c r="E116" s="6">
        <v>66937.5</v>
      </c>
      <c r="F116" s="7">
        <v>0.159</v>
      </c>
      <c r="G116" s="6">
        <v>26.81</v>
      </c>
      <c r="H116" s="6">
        <v>28.530999999999999</v>
      </c>
      <c r="I116" s="6">
        <v>95.925926000000004</v>
      </c>
      <c r="J116" s="6">
        <v>27.368587999999999</v>
      </c>
      <c r="K116" s="8">
        <v>90.757999999999996</v>
      </c>
      <c r="L116" s="6">
        <v>9.1281422235511105</v>
      </c>
      <c r="M116" s="6">
        <v>1.5911929110291989</v>
      </c>
      <c r="N116" s="6">
        <v>5.2569383868109627</v>
      </c>
      <c r="O116" s="6">
        <v>2.3331505341877641</v>
      </c>
      <c r="P116" s="6">
        <v>18.30942405557904</v>
      </c>
      <c r="Q116" s="6">
        <v>12.84048192805994</v>
      </c>
      <c r="R116" s="6">
        <v>69.075722210591152</v>
      </c>
      <c r="S116" s="6">
        <v>48.811448382632179</v>
      </c>
      <c r="T116" s="6">
        <v>42.852934037559443</v>
      </c>
      <c r="U116" s="6">
        <v>173.5805865588427</v>
      </c>
      <c r="V116" s="6">
        <v>191.8900106144217</v>
      </c>
      <c r="W116" s="6">
        <v>2.597836750406489</v>
      </c>
      <c r="X116" s="6">
        <v>16.035581120523769</v>
      </c>
      <c r="Y116" s="6">
        <v>-41.599920990826561</v>
      </c>
      <c r="Z116" s="6">
        <v>168.92350749452541</v>
      </c>
      <c r="AA116" s="6">
        <v>135.57298051575361</v>
      </c>
      <c r="AB116" s="6">
        <v>304.49648801027899</v>
      </c>
      <c r="AC116" s="6">
        <v>0</v>
      </c>
      <c r="AD116" s="6">
        <v>26.36667558888648</v>
      </c>
      <c r="AE116" s="6">
        <v>0</v>
      </c>
      <c r="AF116" s="6">
        <v>0</v>
      </c>
      <c r="AG116" s="6">
        <v>330.86316359916549</v>
      </c>
      <c r="AH116" s="6">
        <v>7.6249236539041974</v>
      </c>
      <c r="AI116" s="6">
        <v>0</v>
      </c>
      <c r="AJ116" s="6">
        <v>6.960844955903724</v>
      </c>
      <c r="AK116" s="6">
        <v>319.08225662008698</v>
      </c>
      <c r="AL116" s="6">
        <v>14.584659223409661</v>
      </c>
      <c r="AM116" s="6">
        <v>0</v>
      </c>
      <c r="AN116" s="6">
        <v>0</v>
      </c>
      <c r="AO116" s="6">
        <v>0</v>
      </c>
      <c r="AP116" s="6">
        <v>0</v>
      </c>
      <c r="AQ116" s="6">
        <v>333.66691584349661</v>
      </c>
      <c r="AR116" s="6">
        <v>420.00018380051461</v>
      </c>
      <c r="AS116" s="6">
        <v>279.72335600000002</v>
      </c>
      <c r="AT116" s="6">
        <v>251.0766763059892</v>
      </c>
      <c r="AU116" s="6">
        <v>115.5036957902356</v>
      </c>
    </row>
    <row r="117" spans="1:47" x14ac:dyDescent="0.35">
      <c r="A117" s="5">
        <v>46022</v>
      </c>
      <c r="B117" s="4" t="s">
        <v>342</v>
      </c>
      <c r="C117" s="4" t="s">
        <v>343</v>
      </c>
      <c r="D117" s="4" t="s">
        <v>344</v>
      </c>
      <c r="E117" s="6">
        <v>667</v>
      </c>
      <c r="F117" s="7">
        <v>0.28599999999999998</v>
      </c>
      <c r="G117" s="6">
        <v>78.7</v>
      </c>
      <c r="H117" s="6">
        <v>1.5009999999999999</v>
      </c>
      <c r="I117" s="6">
        <v>95.510204000000002</v>
      </c>
      <c r="J117" s="6">
        <v>1.4336930000000001</v>
      </c>
      <c r="K117" s="8">
        <v>14.544</v>
      </c>
      <c r="L117" s="6">
        <v>829.39699803269502</v>
      </c>
      <c r="M117" s="6">
        <v>92.534128079352783</v>
      </c>
      <c r="N117" s="6">
        <v>133.51013345923019</v>
      </c>
      <c r="O117" s="6">
        <v>615.33205516681744</v>
      </c>
      <c r="P117" s="6">
        <v>1670.773314738095</v>
      </c>
      <c r="Q117" s="6">
        <v>171.62121133419041</v>
      </c>
      <c r="R117" s="6">
        <v>83.839192753517665</v>
      </c>
      <c r="S117" s="6">
        <v>329.10262258001109</v>
      </c>
      <c r="T117" s="6">
        <v>170.03875049340849</v>
      </c>
      <c r="U117" s="6">
        <v>754.60177716112776</v>
      </c>
      <c r="V117" s="6">
        <v>2425.3750918992232</v>
      </c>
      <c r="W117" s="6">
        <v>32.898729600170761</v>
      </c>
      <c r="X117" s="6">
        <v>27.384350009053541</v>
      </c>
      <c r="Y117" s="6">
        <v>-2364.302063074851</v>
      </c>
      <c r="Z117" s="6">
        <v>121.35610843359611</v>
      </c>
      <c r="AA117" s="6">
        <v>81.689407556648291</v>
      </c>
      <c r="AB117" s="6">
        <v>203.04551599024441</v>
      </c>
      <c r="AC117" s="6">
        <v>18.53989756815254</v>
      </c>
      <c r="AD117" s="6">
        <v>467.41781189338047</v>
      </c>
      <c r="AE117" s="6">
        <v>0</v>
      </c>
      <c r="AF117" s="6">
        <v>0</v>
      </c>
      <c r="AG117" s="6">
        <v>689.00322545177744</v>
      </c>
      <c r="AH117" s="6">
        <v>47.457069780557759</v>
      </c>
      <c r="AI117" s="6">
        <v>0</v>
      </c>
      <c r="AJ117" s="6">
        <v>138.3847855988632</v>
      </c>
      <c r="AK117" s="6">
        <v>407.42726893781781</v>
      </c>
      <c r="AL117" s="6">
        <v>274.04871095814173</v>
      </c>
      <c r="AM117" s="6">
        <v>0</v>
      </c>
      <c r="AN117" s="6">
        <v>0</v>
      </c>
      <c r="AO117" s="6">
        <v>0</v>
      </c>
      <c r="AP117" s="6">
        <v>0</v>
      </c>
      <c r="AQ117" s="6">
        <v>681.47597989595954</v>
      </c>
      <c r="AR117" s="6">
        <v>420.00205029601119</v>
      </c>
      <c r="AS117" s="6">
        <v>88.121030000000005</v>
      </c>
      <c r="AT117" s="6">
        <v>298.64594186241521</v>
      </c>
      <c r="AU117" s="6">
        <v>216.95653430576689</v>
      </c>
    </row>
    <row r="118" spans="1:47" x14ac:dyDescent="0.35">
      <c r="A118" s="5">
        <v>46022</v>
      </c>
      <c r="B118" s="4" t="s">
        <v>345</v>
      </c>
      <c r="C118" s="4" t="s">
        <v>346</v>
      </c>
      <c r="D118" s="4" t="s">
        <v>105</v>
      </c>
      <c r="E118" s="6">
        <v>2590.2488560000002</v>
      </c>
      <c r="F118" s="7">
        <v>6.7000000000000002E-3</v>
      </c>
      <c r="G118" s="6">
        <v>40</v>
      </c>
      <c r="H118" s="6">
        <v>7.0000000000000007E-2</v>
      </c>
      <c r="I118" s="6">
        <v>100</v>
      </c>
      <c r="J118" s="6">
        <v>6.9726999999999997E-2</v>
      </c>
      <c r="K118" s="8">
        <v>0.24199999999999999</v>
      </c>
      <c r="L118" s="6">
        <v>28375.70340597054</v>
      </c>
      <c r="M118" s="6">
        <v>28347.491038741191</v>
      </c>
      <c r="N118" s="6">
        <v>11995.98010111501</v>
      </c>
      <c r="O118" s="6">
        <v>20787.65166698123</v>
      </c>
      <c r="P118" s="6">
        <v>89506.826212807966</v>
      </c>
      <c r="Q118" s="6">
        <v>8471.7949169391795</v>
      </c>
      <c r="R118" s="6">
        <v>2527.1746512025238</v>
      </c>
      <c r="S118" s="6">
        <v>12409.763172170229</v>
      </c>
      <c r="T118" s="6">
        <v>1738.6168290681801</v>
      </c>
      <c r="U118" s="6">
        <v>25147.349569380109</v>
      </c>
      <c r="V118" s="6">
        <v>114654.1757821881</v>
      </c>
      <c r="W118" s="6">
        <v>241.6927459860205</v>
      </c>
      <c r="X118" s="6">
        <v>5360.2083224939488</v>
      </c>
      <c r="Y118" s="6">
        <v>-71547.95704992587</v>
      </c>
      <c r="Z118" s="6">
        <v>48708.11980074217</v>
      </c>
      <c r="AA118" s="6">
        <v>574.35709167400751</v>
      </c>
      <c r="AB118" s="6">
        <v>49282.476892416184</v>
      </c>
      <c r="AC118" s="6">
        <v>0</v>
      </c>
      <c r="AD118" s="6">
        <v>20111.131131896989</v>
      </c>
      <c r="AE118" s="6">
        <v>0</v>
      </c>
      <c r="AF118" s="6">
        <v>0</v>
      </c>
      <c r="AG118" s="6">
        <v>69393.608024313173</v>
      </c>
      <c r="AH118" s="6">
        <v>1242.528730400348</v>
      </c>
      <c r="AI118" s="6">
        <v>0</v>
      </c>
      <c r="AJ118" s="6">
        <v>3652.9884662048689</v>
      </c>
      <c r="AK118" s="6">
        <v>54177.994089021398</v>
      </c>
      <c r="AL118" s="6">
        <v>58883.812209911732</v>
      </c>
      <c r="AM118" s="6">
        <v>0</v>
      </c>
      <c r="AN118" s="6">
        <v>0</v>
      </c>
      <c r="AO118" s="6">
        <v>0</v>
      </c>
      <c r="AP118" s="6">
        <v>0</v>
      </c>
      <c r="AQ118" s="6">
        <v>113061.80629893309</v>
      </c>
      <c r="AR118" s="6">
        <v>419.83736537426103</v>
      </c>
      <c r="AS118" s="6">
        <v>162.19894600000001</v>
      </c>
      <c r="AT118" s="6">
        <v>-48288.28243536791</v>
      </c>
      <c r="AU118" s="6">
        <v>-48862.639527041923</v>
      </c>
    </row>
    <row r="119" spans="1:47" x14ac:dyDescent="0.35">
      <c r="A119" s="5">
        <v>46022</v>
      </c>
      <c r="B119" s="4" t="s">
        <v>347</v>
      </c>
      <c r="C119" s="4" t="s">
        <v>348</v>
      </c>
      <c r="D119" s="4" t="s">
        <v>148</v>
      </c>
      <c r="E119" s="6">
        <v>13500</v>
      </c>
      <c r="F119" s="7">
        <v>0.3</v>
      </c>
      <c r="G119" s="6">
        <v>92.5</v>
      </c>
      <c r="H119" s="6">
        <v>37.462000000000003</v>
      </c>
      <c r="I119" s="6">
        <v>95.416667000000004</v>
      </c>
      <c r="J119" s="6">
        <v>35.745469</v>
      </c>
      <c r="K119" s="8">
        <v>85.037000000000006</v>
      </c>
      <c r="L119" s="6">
        <v>84.446378204925836</v>
      </c>
      <c r="M119" s="6">
        <v>46.457228929404913</v>
      </c>
      <c r="N119" s="6">
        <v>7.8672156475965807</v>
      </c>
      <c r="O119" s="6">
        <v>35.033617859619334</v>
      </c>
      <c r="P119" s="6">
        <v>173.80444064154671</v>
      </c>
      <c r="Q119" s="6">
        <v>51.615528648897858</v>
      </c>
      <c r="R119" s="6">
        <v>34.125066941944077</v>
      </c>
      <c r="S119" s="6">
        <v>27.948202088143589</v>
      </c>
      <c r="T119" s="6">
        <v>20.943695246153109</v>
      </c>
      <c r="U119" s="6">
        <v>134.63249292513859</v>
      </c>
      <c r="V119" s="6">
        <v>308.4369335666853</v>
      </c>
      <c r="W119" s="6">
        <v>1.623730463678811</v>
      </c>
      <c r="X119" s="6">
        <v>23.846033562308222</v>
      </c>
      <c r="Y119" s="6">
        <v>-71.680041775240696</v>
      </c>
      <c r="Z119" s="6">
        <v>262.22665581743161</v>
      </c>
      <c r="AA119" s="6">
        <v>9.7663696583311594</v>
      </c>
      <c r="AB119" s="6">
        <v>271.99302547576281</v>
      </c>
      <c r="AC119" s="6">
        <v>0</v>
      </c>
      <c r="AD119" s="6">
        <v>41.407829922327331</v>
      </c>
      <c r="AE119" s="6">
        <v>0</v>
      </c>
      <c r="AF119" s="6">
        <v>0</v>
      </c>
      <c r="AG119" s="6">
        <v>313.40085539809007</v>
      </c>
      <c r="AH119" s="6">
        <v>7.7109310480424806</v>
      </c>
      <c r="AI119" s="6">
        <v>0</v>
      </c>
      <c r="AJ119" s="6">
        <v>30.843689930501711</v>
      </c>
      <c r="AK119" s="6">
        <v>310.54764645430703</v>
      </c>
      <c r="AL119" s="6">
        <v>0</v>
      </c>
      <c r="AM119" s="6">
        <v>0</v>
      </c>
      <c r="AN119" s="6">
        <v>0</v>
      </c>
      <c r="AO119" s="6">
        <v>0</v>
      </c>
      <c r="AP119" s="6">
        <v>0</v>
      </c>
      <c r="AQ119" s="6">
        <v>310.54764645430703</v>
      </c>
      <c r="AR119" s="6">
        <v>420.00036388976031</v>
      </c>
      <c r="AS119" s="6">
        <v>387.64829500000002</v>
      </c>
      <c r="AT119" s="6">
        <v>157.7737080723287</v>
      </c>
      <c r="AU119" s="6">
        <v>148.0073384139975</v>
      </c>
    </row>
    <row r="120" spans="1:47" x14ac:dyDescent="0.35">
      <c r="A120" s="5">
        <v>46022</v>
      </c>
      <c r="B120" s="4" t="s">
        <v>722</v>
      </c>
      <c r="C120" s="4" t="s">
        <v>723</v>
      </c>
      <c r="D120" s="4" t="s">
        <v>89</v>
      </c>
      <c r="E120" s="6">
        <v>700</v>
      </c>
      <c r="F120" s="7">
        <v>1.9255</v>
      </c>
      <c r="G120" s="6">
        <v>95</v>
      </c>
      <c r="H120" s="6">
        <v>12.805</v>
      </c>
      <c r="I120" s="6">
        <v>97</v>
      </c>
      <c r="J120" s="6">
        <v>12.420527999999999</v>
      </c>
      <c r="K120" s="8">
        <v>92.486999999999995</v>
      </c>
      <c r="L120" s="6">
        <v>108.7221476471543</v>
      </c>
      <c r="M120" s="6">
        <v>18.25214989535332</v>
      </c>
      <c r="N120" s="6">
        <v>5.5406406773639088</v>
      </c>
      <c r="O120" s="6">
        <v>35.682206968813936</v>
      </c>
      <c r="P120" s="6">
        <v>168.19714518868551</v>
      </c>
      <c r="Q120" s="6">
        <v>33.940068893465998</v>
      </c>
      <c r="R120" s="6">
        <v>10.746417327918911</v>
      </c>
      <c r="S120" s="6">
        <v>28.432620124952152</v>
      </c>
      <c r="T120" s="6">
        <v>17.647200259038382</v>
      </c>
      <c r="U120" s="6">
        <v>90.766306605375433</v>
      </c>
      <c r="V120" s="6">
        <v>258.96345179406092</v>
      </c>
      <c r="W120" s="6">
        <v>19.32599870149274</v>
      </c>
      <c r="X120" s="6">
        <v>25.076996375366541</v>
      </c>
      <c r="Y120" s="6">
        <v>-33.031429207599082</v>
      </c>
      <c r="Z120" s="6">
        <v>270.33501766332108</v>
      </c>
      <c r="AA120" s="6">
        <v>20.249223123771959</v>
      </c>
      <c r="AB120" s="6">
        <v>290.58424078709311</v>
      </c>
      <c r="AC120" s="6">
        <v>7.6594701064311517</v>
      </c>
      <c r="AD120" s="6">
        <v>108.5689597277204</v>
      </c>
      <c r="AE120" s="6">
        <v>0</v>
      </c>
      <c r="AF120" s="6">
        <v>0</v>
      </c>
      <c r="AG120" s="6">
        <v>406.81267062124459</v>
      </c>
      <c r="AH120" s="6">
        <v>16.867049800708742</v>
      </c>
      <c r="AI120" s="6">
        <v>0</v>
      </c>
      <c r="AJ120" s="6">
        <v>106.355386111515</v>
      </c>
      <c r="AK120" s="6">
        <v>421.466146805748</v>
      </c>
      <c r="AL120" s="6">
        <v>110.8406115153031</v>
      </c>
      <c r="AM120" s="6">
        <v>0</v>
      </c>
      <c r="AN120" s="6">
        <v>0</v>
      </c>
      <c r="AO120" s="6">
        <v>0</v>
      </c>
      <c r="AP120" s="6">
        <v>0</v>
      </c>
      <c r="AQ120" s="6">
        <v>532.30675832105112</v>
      </c>
      <c r="AR120" s="6">
        <v>419.99905282814069</v>
      </c>
      <c r="AS120" s="6">
        <v>124.116473</v>
      </c>
      <c r="AT120" s="6">
        <v>149.6640351648195</v>
      </c>
      <c r="AU120" s="6">
        <v>129.41481204104761</v>
      </c>
    </row>
    <row r="121" spans="1:47" x14ac:dyDescent="0.35">
      <c r="A121" s="5">
        <v>46022</v>
      </c>
      <c r="B121" s="4" t="s">
        <v>349</v>
      </c>
      <c r="C121" s="4" t="s">
        <v>350</v>
      </c>
      <c r="D121" s="4" t="s">
        <v>351</v>
      </c>
      <c r="E121" s="6">
        <v>38000</v>
      </c>
      <c r="F121" s="7">
        <v>0.48</v>
      </c>
      <c r="G121" s="6">
        <v>89</v>
      </c>
      <c r="H121" s="6">
        <v>162.33600000000001</v>
      </c>
      <c r="I121" s="6">
        <v>95.416667000000004</v>
      </c>
      <c r="J121" s="6">
        <v>154.8956</v>
      </c>
      <c r="K121" s="8">
        <v>91.83</v>
      </c>
      <c r="L121" s="6">
        <v>17.58747050741254</v>
      </c>
      <c r="M121" s="6">
        <v>6.4655774387017306</v>
      </c>
      <c r="N121" s="6">
        <v>1.2162600571274711</v>
      </c>
      <c r="O121" s="6">
        <v>25.469653350120701</v>
      </c>
      <c r="P121" s="6">
        <v>50.738961353362441</v>
      </c>
      <c r="Q121" s="6">
        <v>14.614327310097149</v>
      </c>
      <c r="R121" s="6">
        <v>9.5633522670460227</v>
      </c>
      <c r="S121" s="6">
        <v>40.46408487920759</v>
      </c>
      <c r="T121" s="6">
        <v>34.904757443273141</v>
      </c>
      <c r="U121" s="6">
        <v>99.546521899623912</v>
      </c>
      <c r="V121" s="6">
        <v>150.2854832529863</v>
      </c>
      <c r="W121" s="6">
        <v>44.368860646288212</v>
      </c>
      <c r="X121" s="6">
        <v>24.341209836244541</v>
      </c>
      <c r="Y121" s="6">
        <v>-31.89293460620263</v>
      </c>
      <c r="Z121" s="6">
        <v>187.10261912931651</v>
      </c>
      <c r="AA121" s="6">
        <v>72.935161175145879</v>
      </c>
      <c r="AB121" s="6">
        <v>260.03778030446227</v>
      </c>
      <c r="AC121" s="6">
        <v>0</v>
      </c>
      <c r="AD121" s="6">
        <v>27.012592942258468</v>
      </c>
      <c r="AE121" s="6">
        <v>0</v>
      </c>
      <c r="AF121" s="6">
        <v>0</v>
      </c>
      <c r="AG121" s="6">
        <v>287.05037324672082</v>
      </c>
      <c r="AH121" s="6">
        <v>9.0171318884134735</v>
      </c>
      <c r="AI121" s="6">
        <v>0</v>
      </c>
      <c r="AJ121" s="6">
        <v>22.542824157121579</v>
      </c>
      <c r="AK121" s="6">
        <v>291.59773634999738</v>
      </c>
      <c r="AL121" s="6">
        <v>0</v>
      </c>
      <c r="AM121" s="6">
        <v>0</v>
      </c>
      <c r="AN121" s="6">
        <v>0</v>
      </c>
      <c r="AO121" s="6">
        <v>0</v>
      </c>
      <c r="AP121" s="6">
        <v>0</v>
      </c>
      <c r="AQ121" s="6">
        <v>291.59773634999738</v>
      </c>
      <c r="AR121" s="6">
        <v>419.99999964779192</v>
      </c>
      <c r="AS121" s="6">
        <v>1556.64807</v>
      </c>
      <c r="AT121" s="6">
        <v>232.8973805184755</v>
      </c>
      <c r="AU121" s="6">
        <v>159.96221934332959</v>
      </c>
    </row>
    <row r="122" spans="1:47" x14ac:dyDescent="0.35">
      <c r="A122" s="5">
        <v>46022</v>
      </c>
      <c r="B122" s="4" t="s">
        <v>225</v>
      </c>
      <c r="C122" s="4" t="s">
        <v>226</v>
      </c>
      <c r="D122" s="4" t="s">
        <v>89</v>
      </c>
      <c r="E122" s="6">
        <v>6500</v>
      </c>
      <c r="F122" s="7">
        <v>0.85</v>
      </c>
      <c r="G122" s="6">
        <v>94</v>
      </c>
      <c r="H122" s="6">
        <v>51.935000000000002</v>
      </c>
      <c r="I122" s="6">
        <v>97</v>
      </c>
      <c r="J122" s="6">
        <v>50.376950000000001</v>
      </c>
      <c r="K122" s="8">
        <v>71.814999999999998</v>
      </c>
      <c r="L122" s="6">
        <v>95.53984549765957</v>
      </c>
      <c r="M122" s="6">
        <v>3.0062587402252809</v>
      </c>
      <c r="N122" s="6">
        <v>11.68641063750939</v>
      </c>
      <c r="O122" s="6">
        <v>45.119421754743421</v>
      </c>
      <c r="P122" s="6">
        <v>155.35193663013769</v>
      </c>
      <c r="Q122" s="6">
        <v>9.2631389192115137</v>
      </c>
      <c r="R122" s="6">
        <v>9.1603969085106378</v>
      </c>
      <c r="S122" s="6">
        <v>30.321177718448059</v>
      </c>
      <c r="T122" s="6">
        <v>26.788900952715888</v>
      </c>
      <c r="U122" s="6">
        <v>75.533614498886109</v>
      </c>
      <c r="V122" s="6">
        <v>230.88555112902381</v>
      </c>
      <c r="W122" s="6">
        <v>5.9388093768699486</v>
      </c>
      <c r="X122" s="6">
        <v>21.360604853065059</v>
      </c>
      <c r="Y122" s="6">
        <v>-159.90833422532901</v>
      </c>
      <c r="Z122" s="6">
        <v>98.276631133629735</v>
      </c>
      <c r="AA122" s="6">
        <v>24.566963479809939</v>
      </c>
      <c r="AB122" s="6">
        <v>122.84359461343971</v>
      </c>
      <c r="AC122" s="6">
        <v>4.3584793808635789</v>
      </c>
      <c r="AD122" s="6">
        <v>67.23938160961201</v>
      </c>
      <c r="AE122" s="6">
        <v>0</v>
      </c>
      <c r="AF122" s="6">
        <v>0</v>
      </c>
      <c r="AG122" s="6">
        <v>194.4414556039153</v>
      </c>
      <c r="AH122" s="6">
        <v>5.7656615835919904</v>
      </c>
      <c r="AI122" s="6">
        <v>0.70407101277847306</v>
      </c>
      <c r="AJ122" s="6">
        <v>32.28485817406758</v>
      </c>
      <c r="AK122" s="6">
        <v>165.9566647647413</v>
      </c>
      <c r="AL122" s="6">
        <v>56.438161723141427</v>
      </c>
      <c r="AM122" s="6">
        <v>0</v>
      </c>
      <c r="AN122" s="6">
        <v>0</v>
      </c>
      <c r="AO122" s="6">
        <v>0</v>
      </c>
      <c r="AP122" s="6">
        <v>0</v>
      </c>
      <c r="AQ122" s="6">
        <v>222.39482648788271</v>
      </c>
      <c r="AR122" s="6">
        <v>420.00041650510428</v>
      </c>
      <c r="AS122" s="6">
        <v>644.66406099999995</v>
      </c>
      <c r="AT122" s="6">
        <v>321.72378537147461</v>
      </c>
      <c r="AU122" s="6">
        <v>297.15682189166461</v>
      </c>
    </row>
    <row r="123" spans="1:47" x14ac:dyDescent="0.35">
      <c r="A123" s="5">
        <v>46022</v>
      </c>
      <c r="B123" s="4" t="s">
        <v>227</v>
      </c>
      <c r="C123" s="4" t="s">
        <v>228</v>
      </c>
      <c r="D123" s="4" t="s">
        <v>61</v>
      </c>
      <c r="E123" s="6">
        <v>261.56</v>
      </c>
      <c r="F123" s="7">
        <v>0.58220000000000005</v>
      </c>
      <c r="G123" s="6">
        <v>89</v>
      </c>
      <c r="H123" s="6">
        <v>1.355</v>
      </c>
      <c r="I123" s="6">
        <v>95.616417999999996</v>
      </c>
      <c r="J123" s="6">
        <v>1.29582</v>
      </c>
      <c r="K123" s="8">
        <v>79.772999999999996</v>
      </c>
      <c r="L123" s="6">
        <v>71.429310814926268</v>
      </c>
      <c r="M123" s="6">
        <v>34.246732932133263</v>
      </c>
      <c r="N123" s="6">
        <v>12.917737925481729</v>
      </c>
      <c r="O123" s="6">
        <v>21.023569421964272</v>
      </c>
      <c r="P123" s="6">
        <v>139.61735109450549</v>
      </c>
      <c r="Q123" s="6">
        <v>19.885394695227092</v>
      </c>
      <c r="R123" s="6">
        <v>17.468092968715151</v>
      </c>
      <c r="S123" s="6">
        <v>23.968908851814671</v>
      </c>
      <c r="T123" s="6">
        <v>32.381328709124489</v>
      </c>
      <c r="U123" s="6">
        <v>93.703725224881396</v>
      </c>
      <c r="V123" s="6">
        <v>233.32107631938689</v>
      </c>
      <c r="W123" s="6">
        <v>6.8254536881851484</v>
      </c>
      <c r="X123" s="6">
        <v>23.123682688391909</v>
      </c>
      <c r="Y123" s="6">
        <v>-103.2776287810884</v>
      </c>
      <c r="Z123" s="6">
        <v>159.99258391487561</v>
      </c>
      <c r="AA123" s="6">
        <v>63.671541513970148</v>
      </c>
      <c r="AB123" s="6">
        <v>223.66412542884569</v>
      </c>
      <c r="AC123" s="6">
        <v>0</v>
      </c>
      <c r="AD123" s="6">
        <v>10.51338238370997</v>
      </c>
      <c r="AE123" s="6">
        <v>0</v>
      </c>
      <c r="AF123" s="6">
        <v>0</v>
      </c>
      <c r="AG123" s="6">
        <v>234.17750781255569</v>
      </c>
      <c r="AH123" s="6">
        <v>15.729385566381531</v>
      </c>
      <c r="AI123" s="6">
        <v>0</v>
      </c>
      <c r="AJ123" s="6">
        <v>10.51338238370997</v>
      </c>
      <c r="AK123" s="6">
        <v>249.90689337893721</v>
      </c>
      <c r="AL123" s="6">
        <v>0</v>
      </c>
      <c r="AM123" s="6">
        <v>0</v>
      </c>
      <c r="AN123" s="6">
        <v>0</v>
      </c>
      <c r="AO123" s="6">
        <v>0</v>
      </c>
      <c r="AP123" s="6">
        <v>0</v>
      </c>
      <c r="AQ123" s="6">
        <v>249.90689337893721</v>
      </c>
      <c r="AR123" s="6">
        <v>419.99351726598508</v>
      </c>
      <c r="AS123" s="6">
        <v>14.956213</v>
      </c>
      <c r="AT123" s="6">
        <v>260.0009333511095</v>
      </c>
      <c r="AU123" s="6">
        <v>196.32939183713941</v>
      </c>
    </row>
    <row r="124" spans="1:47" x14ac:dyDescent="0.35">
      <c r="A124" s="5">
        <v>46022</v>
      </c>
      <c r="B124" s="4" t="s">
        <v>724</v>
      </c>
      <c r="C124" s="4" t="s">
        <v>725</v>
      </c>
      <c r="D124" s="4" t="s">
        <v>58</v>
      </c>
      <c r="E124" s="6">
        <v>135000</v>
      </c>
      <c r="F124" s="7">
        <v>0.98470000000000002</v>
      </c>
      <c r="G124" s="6">
        <v>85</v>
      </c>
      <c r="H124" s="6">
        <v>1130</v>
      </c>
      <c r="I124" s="6">
        <v>96.5</v>
      </c>
      <c r="J124" s="6">
        <v>1090.45</v>
      </c>
      <c r="K124" s="8">
        <v>94.527000000000001</v>
      </c>
      <c r="L124" s="6">
        <v>39.8254903678354</v>
      </c>
      <c r="M124" s="6">
        <v>6.08772582176129</v>
      </c>
      <c r="N124" s="6">
        <v>2.714026862003283</v>
      </c>
      <c r="O124" s="6">
        <v>7.3828276067728602</v>
      </c>
      <c r="P124" s="6">
        <v>56.010070658372832</v>
      </c>
      <c r="Q124" s="6">
        <v>18.924376997751459</v>
      </c>
      <c r="R124" s="6">
        <v>10.3511835796052</v>
      </c>
      <c r="S124" s="6">
        <v>41.324729309765893</v>
      </c>
      <c r="T124" s="6">
        <v>7.5779124667905586</v>
      </c>
      <c r="U124" s="6">
        <v>78.178202353913107</v>
      </c>
      <c r="V124" s="6">
        <v>134.18827301228589</v>
      </c>
      <c r="W124" s="6">
        <v>8.7632078981982104</v>
      </c>
      <c r="X124" s="6">
        <v>18.743860630310191</v>
      </c>
      <c r="Y124" s="6">
        <v>-23.662204829143398</v>
      </c>
      <c r="Z124" s="6">
        <v>138.03313671165091</v>
      </c>
      <c r="AA124" s="6">
        <v>16.583589124331311</v>
      </c>
      <c r="AB124" s="6">
        <v>154.61672583598229</v>
      </c>
      <c r="AC124" s="6">
        <v>0</v>
      </c>
      <c r="AD124" s="6">
        <v>57.125457395164872</v>
      </c>
      <c r="AE124" s="6">
        <v>0</v>
      </c>
      <c r="AF124" s="6">
        <v>0</v>
      </c>
      <c r="AG124" s="6">
        <v>211.7421832311471</v>
      </c>
      <c r="AH124" s="6">
        <v>9.9933763825485613</v>
      </c>
      <c r="AI124" s="6">
        <v>0</v>
      </c>
      <c r="AJ124" s="6">
        <v>43.975940419202743</v>
      </c>
      <c r="AK124" s="6">
        <v>208.58604263773361</v>
      </c>
      <c r="AL124" s="6">
        <v>0</v>
      </c>
      <c r="AM124" s="6">
        <v>0</v>
      </c>
      <c r="AN124" s="6">
        <v>0</v>
      </c>
      <c r="AO124" s="6">
        <v>0</v>
      </c>
      <c r="AP124" s="6">
        <v>0</v>
      </c>
      <c r="AQ124" s="6">
        <v>208.58604263773361</v>
      </c>
      <c r="AR124" s="6">
        <v>419.99999964779192</v>
      </c>
      <c r="AS124" s="6">
        <v>10676.25748</v>
      </c>
      <c r="AT124" s="6">
        <v>281.96686293614101</v>
      </c>
      <c r="AU124" s="6">
        <v>265.38327381180972</v>
      </c>
    </row>
    <row r="125" spans="1:47" x14ac:dyDescent="0.35">
      <c r="A125" s="5">
        <v>46022</v>
      </c>
      <c r="B125" s="4" t="s">
        <v>726</v>
      </c>
      <c r="C125" s="4" t="s">
        <v>727</v>
      </c>
      <c r="D125" s="4" t="s">
        <v>58</v>
      </c>
      <c r="E125" s="6">
        <v>104299.211503</v>
      </c>
      <c r="F125" s="7">
        <v>0.46389999999999998</v>
      </c>
      <c r="G125" s="6">
        <v>54.14</v>
      </c>
      <c r="H125" s="6">
        <v>261.90499999999997</v>
      </c>
      <c r="I125" s="6">
        <v>100</v>
      </c>
      <c r="J125" s="6">
        <v>261.904718</v>
      </c>
      <c r="K125" s="8">
        <v>100</v>
      </c>
      <c r="L125" s="6">
        <v>10.759056157704251</v>
      </c>
      <c r="M125" s="6">
        <v>1.645590686655056</v>
      </c>
      <c r="N125" s="6">
        <v>6.5308996525886069</v>
      </c>
      <c r="O125" s="6">
        <v>14.577838110331831</v>
      </c>
      <c r="P125" s="6">
        <v>33.513384607279747</v>
      </c>
      <c r="Q125" s="6">
        <v>8.9609728631815599</v>
      </c>
      <c r="R125" s="6">
        <v>13.96523039850725</v>
      </c>
      <c r="S125" s="6">
        <v>41.885738171719908</v>
      </c>
      <c r="T125" s="6">
        <v>10.96463758036969</v>
      </c>
      <c r="U125" s="6">
        <v>75.776579013778402</v>
      </c>
      <c r="V125" s="6">
        <v>109.28996362105821</v>
      </c>
      <c r="W125" s="6">
        <v>8.2132731815837676</v>
      </c>
      <c r="X125" s="6">
        <v>0</v>
      </c>
      <c r="Y125" s="6">
        <v>0</v>
      </c>
      <c r="Z125" s="6">
        <v>117.50323680264189</v>
      </c>
      <c r="AA125" s="6">
        <v>36.42543259130175</v>
      </c>
      <c r="AB125" s="6">
        <v>153.92866939394369</v>
      </c>
      <c r="AC125" s="6">
        <v>0</v>
      </c>
      <c r="AD125" s="6">
        <v>44.348705132481889</v>
      </c>
      <c r="AE125" s="6">
        <v>0</v>
      </c>
      <c r="AF125" s="6">
        <v>0</v>
      </c>
      <c r="AG125" s="6">
        <v>198.2773745264256</v>
      </c>
      <c r="AH125" s="6">
        <v>10.03432790370549</v>
      </c>
      <c r="AI125" s="6">
        <v>0</v>
      </c>
      <c r="AJ125" s="6">
        <v>34.810005299692328</v>
      </c>
      <c r="AK125" s="6">
        <v>198.7730025973415</v>
      </c>
      <c r="AL125" s="6">
        <v>0</v>
      </c>
      <c r="AM125" s="6">
        <v>0</v>
      </c>
      <c r="AN125" s="6">
        <v>0</v>
      </c>
      <c r="AO125" s="6">
        <v>0</v>
      </c>
      <c r="AP125" s="6">
        <v>0</v>
      </c>
      <c r="AQ125" s="6">
        <v>198.7730025973415</v>
      </c>
      <c r="AR125" s="6">
        <v>419.99997078233258</v>
      </c>
      <c r="AS125" s="6">
        <v>2425.084308</v>
      </c>
      <c r="AT125" s="6">
        <v>302.4967339796907</v>
      </c>
      <c r="AU125" s="6">
        <v>266.07130138838892</v>
      </c>
    </row>
    <row r="126" spans="1:47" x14ac:dyDescent="0.35">
      <c r="A126" s="5">
        <v>46022</v>
      </c>
      <c r="B126" s="4" t="s">
        <v>211</v>
      </c>
      <c r="C126" s="4" t="s">
        <v>212</v>
      </c>
      <c r="D126" s="4" t="s">
        <v>213</v>
      </c>
      <c r="E126" s="6">
        <v>1434.2857140000001</v>
      </c>
      <c r="F126" s="7">
        <v>2.2000000000000002</v>
      </c>
      <c r="G126" s="6">
        <v>79.099999999999994</v>
      </c>
      <c r="H126" s="6">
        <v>24.96</v>
      </c>
      <c r="I126" s="6">
        <v>100</v>
      </c>
      <c r="J126" s="6">
        <v>24.960146999999999</v>
      </c>
      <c r="K126" s="8">
        <v>76.781999999999996</v>
      </c>
      <c r="L126" s="6">
        <v>25.110359899972121</v>
      </c>
      <c r="M126" s="6">
        <v>18.621594929722711</v>
      </c>
      <c r="N126" s="6">
        <v>5.8063131105619554</v>
      </c>
      <c r="O126" s="6">
        <v>55.133487508039423</v>
      </c>
      <c r="P126" s="6">
        <v>104.6717554482962</v>
      </c>
      <c r="Q126" s="6">
        <v>19.886352502746721</v>
      </c>
      <c r="R126" s="6">
        <v>40.782856470874712</v>
      </c>
      <c r="S126" s="6">
        <v>67.516646342680261</v>
      </c>
      <c r="T126" s="6">
        <v>32.974141729147789</v>
      </c>
      <c r="U126" s="6">
        <v>161.1599970454495</v>
      </c>
      <c r="V126" s="6">
        <v>265.83175249374568</v>
      </c>
      <c r="W126" s="6">
        <v>2.47228726709859</v>
      </c>
      <c r="X126" s="6">
        <v>0</v>
      </c>
      <c r="Y126" s="6">
        <v>-126.4845742565163</v>
      </c>
      <c r="Z126" s="6">
        <v>141.81946550432801</v>
      </c>
      <c r="AA126" s="6">
        <v>27.44583858707642</v>
      </c>
      <c r="AB126" s="6">
        <v>169.2653040914044</v>
      </c>
      <c r="AC126" s="6">
        <v>0</v>
      </c>
      <c r="AD126" s="6">
        <v>33.567412900755599</v>
      </c>
      <c r="AE126" s="6">
        <v>0</v>
      </c>
      <c r="AF126" s="6">
        <v>0</v>
      </c>
      <c r="AG126" s="6">
        <v>202.83271699215999</v>
      </c>
      <c r="AH126" s="6">
        <v>4.841722902747021</v>
      </c>
      <c r="AI126" s="6">
        <v>0</v>
      </c>
      <c r="AJ126" s="6">
        <v>19.225763791140871</v>
      </c>
      <c r="AK126" s="6">
        <v>193.3327907852923</v>
      </c>
      <c r="AL126" s="6">
        <v>0</v>
      </c>
      <c r="AM126" s="6">
        <v>0</v>
      </c>
      <c r="AN126" s="6">
        <v>0</v>
      </c>
      <c r="AO126" s="6">
        <v>0</v>
      </c>
      <c r="AP126" s="6">
        <v>0</v>
      </c>
      <c r="AQ126" s="6">
        <v>193.3327907852923</v>
      </c>
      <c r="AR126" s="6">
        <v>419.9992087870657</v>
      </c>
      <c r="AS126" s="6">
        <v>301.31555700000001</v>
      </c>
      <c r="AT126" s="6">
        <v>278.17974328273777</v>
      </c>
      <c r="AU126" s="6">
        <v>250.73390469566129</v>
      </c>
    </row>
    <row r="127" spans="1:47" x14ac:dyDescent="0.35">
      <c r="A127" s="5">
        <v>46022</v>
      </c>
      <c r="B127" s="4" t="s">
        <v>214</v>
      </c>
      <c r="C127" s="4" t="s">
        <v>215</v>
      </c>
      <c r="D127" s="4" t="s">
        <v>61</v>
      </c>
      <c r="E127" s="6">
        <v>140.85</v>
      </c>
      <c r="F127" s="7">
        <v>0.82</v>
      </c>
      <c r="G127" s="6">
        <v>90.05</v>
      </c>
      <c r="H127" s="6">
        <v>1.04</v>
      </c>
      <c r="I127" s="6">
        <v>97</v>
      </c>
      <c r="J127" s="6">
        <v>1.0087999999999999</v>
      </c>
      <c r="K127" s="8">
        <v>89.637</v>
      </c>
      <c r="L127" s="6">
        <v>3.9338536859648658</v>
      </c>
      <c r="M127" s="6">
        <v>2.318554170662019E-2</v>
      </c>
      <c r="N127" s="6">
        <v>21.545625365145909</v>
      </c>
      <c r="O127" s="6">
        <v>3.1553615994462691</v>
      </c>
      <c r="P127" s="6">
        <v>28.658026192263669</v>
      </c>
      <c r="Q127" s="6">
        <v>19.608084185511942</v>
      </c>
      <c r="R127" s="6">
        <v>6.718252951222313</v>
      </c>
      <c r="S127" s="6">
        <v>15.57412291753217</v>
      </c>
      <c r="T127" s="6">
        <v>26.928540575630478</v>
      </c>
      <c r="U127" s="6">
        <v>68.829000629896896</v>
      </c>
      <c r="V127" s="6">
        <v>97.487026822160573</v>
      </c>
      <c r="W127" s="6">
        <v>2.9837601226263328</v>
      </c>
      <c r="X127" s="6">
        <v>25.81420184923077</v>
      </c>
      <c r="Y127" s="6">
        <v>-47.276692475632998</v>
      </c>
      <c r="Z127" s="6">
        <v>79.00829631838468</v>
      </c>
      <c r="AA127" s="6">
        <v>32.701213487239841</v>
      </c>
      <c r="AB127" s="6">
        <v>111.70950980562451</v>
      </c>
      <c r="AC127" s="6">
        <v>0</v>
      </c>
      <c r="AD127" s="6">
        <v>4.8042203022671108</v>
      </c>
      <c r="AE127" s="6">
        <v>0</v>
      </c>
      <c r="AF127" s="6">
        <v>0</v>
      </c>
      <c r="AG127" s="6">
        <v>116.5137301078916</v>
      </c>
      <c r="AH127" s="6">
        <v>13.789887503561181</v>
      </c>
      <c r="AI127" s="6">
        <v>0</v>
      </c>
      <c r="AJ127" s="6">
        <v>17.482018776016542</v>
      </c>
      <c r="AK127" s="6">
        <v>142.9814160852022</v>
      </c>
      <c r="AL127" s="6">
        <v>0</v>
      </c>
      <c r="AM127" s="6">
        <v>0</v>
      </c>
      <c r="AN127" s="6">
        <v>0</v>
      </c>
      <c r="AO127" s="6">
        <v>0</v>
      </c>
      <c r="AP127" s="6">
        <v>0</v>
      </c>
      <c r="AQ127" s="6">
        <v>142.9814160852022</v>
      </c>
      <c r="AR127" s="6">
        <v>419.99999964779198</v>
      </c>
      <c r="AS127" s="6">
        <v>10.414761</v>
      </c>
      <c r="AT127" s="6">
        <v>340.9917033294073</v>
      </c>
      <c r="AU127" s="6">
        <v>308.29048984216752</v>
      </c>
    </row>
    <row r="128" spans="1:47" x14ac:dyDescent="0.35">
      <c r="A128" s="5">
        <v>46022</v>
      </c>
      <c r="B128" s="4" t="s">
        <v>229</v>
      </c>
      <c r="C128" s="4" t="s">
        <v>230</v>
      </c>
      <c r="D128" s="4" t="s">
        <v>61</v>
      </c>
      <c r="E128" s="6">
        <v>137.11397199999999</v>
      </c>
      <c r="F128" s="7">
        <v>0.81269999999999998</v>
      </c>
      <c r="G128" s="6">
        <v>95</v>
      </c>
      <c r="H128" s="6">
        <v>1.0589999999999999</v>
      </c>
      <c r="I128" s="6">
        <v>97</v>
      </c>
      <c r="J128" s="6">
        <v>1.0268139999999999</v>
      </c>
      <c r="K128" s="8">
        <v>100</v>
      </c>
      <c r="L128" s="6">
        <v>76.076979830032087</v>
      </c>
      <c r="M128" s="6">
        <v>0</v>
      </c>
      <c r="N128" s="6">
        <v>35.31373011671306</v>
      </c>
      <c r="O128" s="6">
        <v>39.486936378624939</v>
      </c>
      <c r="P128" s="6">
        <v>150.87764632537011</v>
      </c>
      <c r="Q128" s="6">
        <v>10.261585134786881</v>
      </c>
      <c r="R128" s="6">
        <v>6.2071621795060734</v>
      </c>
      <c r="S128" s="6">
        <v>23.486465796893359</v>
      </c>
      <c r="T128" s="6">
        <v>26.991842278450932</v>
      </c>
      <c r="U128" s="6">
        <v>66.947055389637256</v>
      </c>
      <c r="V128" s="6">
        <v>217.82470171500731</v>
      </c>
      <c r="W128" s="6">
        <v>1.908616708287433</v>
      </c>
      <c r="X128" s="6">
        <v>26.70488758566206</v>
      </c>
      <c r="Y128" s="6">
        <v>1.179340162E-15</v>
      </c>
      <c r="Z128" s="6">
        <v>246.4382060089568</v>
      </c>
      <c r="AA128" s="6">
        <v>27.888124583787949</v>
      </c>
      <c r="AB128" s="6">
        <v>274.3263305927448</v>
      </c>
      <c r="AC128" s="6">
        <v>0</v>
      </c>
      <c r="AD128" s="6">
        <v>6.5517615708762946</v>
      </c>
      <c r="AE128" s="6">
        <v>0</v>
      </c>
      <c r="AF128" s="6">
        <v>0</v>
      </c>
      <c r="AG128" s="6">
        <v>280.87809216362109</v>
      </c>
      <c r="AH128" s="6">
        <v>9.6149184197208744</v>
      </c>
      <c r="AI128" s="6">
        <v>0</v>
      </c>
      <c r="AJ128" s="6">
        <v>8.9427276184714302</v>
      </c>
      <c r="AK128" s="6">
        <v>292.88397663093713</v>
      </c>
      <c r="AL128" s="6">
        <v>0</v>
      </c>
      <c r="AM128" s="6">
        <v>0</v>
      </c>
      <c r="AN128" s="6">
        <v>0</v>
      </c>
      <c r="AO128" s="6">
        <v>0</v>
      </c>
      <c r="AP128" s="6">
        <v>0</v>
      </c>
      <c r="AQ128" s="6">
        <v>292.88397663093713</v>
      </c>
      <c r="AR128" s="6">
        <v>419.99427319685242</v>
      </c>
      <c r="AS128" s="6">
        <v>9.5075679999999991</v>
      </c>
      <c r="AT128" s="6">
        <v>173.55606718789559</v>
      </c>
      <c r="AU128" s="6">
        <v>145.66794260410759</v>
      </c>
    </row>
    <row r="129" spans="1:47" x14ac:dyDescent="0.35">
      <c r="A129" s="5">
        <v>46022</v>
      </c>
      <c r="B129" s="4" t="s">
        <v>728</v>
      </c>
      <c r="C129" s="4" t="s">
        <v>729</v>
      </c>
      <c r="D129" s="4" t="s">
        <v>61</v>
      </c>
      <c r="E129" s="6">
        <v>800</v>
      </c>
      <c r="F129" s="7">
        <v>0.5988</v>
      </c>
      <c r="G129" s="6">
        <v>92.5</v>
      </c>
      <c r="H129" s="6">
        <v>4.431</v>
      </c>
      <c r="I129" s="6">
        <v>97</v>
      </c>
      <c r="J129" s="6">
        <v>4.2983000000000002</v>
      </c>
      <c r="K129" s="8">
        <v>74.772999999999996</v>
      </c>
      <c r="L129" s="6">
        <v>43.19724879767498</v>
      </c>
      <c r="M129" s="6">
        <v>1.2361840458666911</v>
      </c>
      <c r="N129" s="6">
        <v>49.142638263113319</v>
      </c>
      <c r="O129" s="6">
        <v>43.413995520935437</v>
      </c>
      <c r="P129" s="6">
        <v>136.99006662759041</v>
      </c>
      <c r="Q129" s="6">
        <v>5.7840071190237987</v>
      </c>
      <c r="R129" s="6">
        <v>9.8568852222819245</v>
      </c>
      <c r="S129" s="6">
        <v>35.784737114881693</v>
      </c>
      <c r="T129" s="6">
        <v>37.162523279204699</v>
      </c>
      <c r="U129" s="6">
        <v>88.588152735392114</v>
      </c>
      <c r="V129" s="6">
        <v>225.57821936298259</v>
      </c>
      <c r="W129" s="6">
        <v>4.2391960716359423</v>
      </c>
      <c r="X129" s="6">
        <v>25.81410875668427</v>
      </c>
      <c r="Y129" s="6">
        <v>-136.13328144198269</v>
      </c>
      <c r="Z129" s="6">
        <v>119.49824274932</v>
      </c>
      <c r="AA129" s="6">
        <v>76.368285737156938</v>
      </c>
      <c r="AB129" s="6">
        <v>195.86652848647699</v>
      </c>
      <c r="AC129" s="6">
        <v>0</v>
      </c>
      <c r="AD129" s="6">
        <v>50.840572017974729</v>
      </c>
      <c r="AE129" s="6">
        <v>0</v>
      </c>
      <c r="AF129" s="6">
        <v>0</v>
      </c>
      <c r="AG129" s="6">
        <v>246.70710050445169</v>
      </c>
      <c r="AH129" s="6">
        <v>33.681304465744127</v>
      </c>
      <c r="AI129" s="6">
        <v>0</v>
      </c>
      <c r="AJ129" s="6">
        <v>18.026609020421471</v>
      </c>
      <c r="AK129" s="6">
        <v>247.5744419726426</v>
      </c>
      <c r="AL129" s="6">
        <v>0</v>
      </c>
      <c r="AM129" s="6">
        <v>0</v>
      </c>
      <c r="AN129" s="6">
        <v>0</v>
      </c>
      <c r="AO129" s="6">
        <v>0</v>
      </c>
      <c r="AP129" s="6">
        <v>0</v>
      </c>
      <c r="AQ129" s="6">
        <v>247.5744419726426</v>
      </c>
      <c r="AR129" s="6">
        <v>419.99999964779192</v>
      </c>
      <c r="AS129" s="6">
        <v>52.840738999999999</v>
      </c>
      <c r="AT129" s="6">
        <v>300.50175689847191</v>
      </c>
      <c r="AU129" s="6">
        <v>224.1334711613149</v>
      </c>
    </row>
    <row r="130" spans="1:47" x14ac:dyDescent="0.35">
      <c r="A130" s="5">
        <v>46022</v>
      </c>
      <c r="B130" s="4" t="s">
        <v>352</v>
      </c>
      <c r="C130" s="4" t="s">
        <v>353</v>
      </c>
      <c r="D130" s="4" t="s">
        <v>58</v>
      </c>
      <c r="E130" s="6">
        <v>3390.461538</v>
      </c>
      <c r="F130" s="7">
        <v>0.65</v>
      </c>
      <c r="G130" s="6">
        <v>60</v>
      </c>
      <c r="H130" s="6">
        <v>13.223000000000001</v>
      </c>
      <c r="I130" s="6">
        <v>100</v>
      </c>
      <c r="J130" s="6">
        <v>13.222799999999999</v>
      </c>
      <c r="K130" s="8">
        <v>100</v>
      </c>
      <c r="L130" s="6">
        <v>75.424967553635085</v>
      </c>
      <c r="M130" s="6">
        <v>23.8556323147059</v>
      </c>
      <c r="N130" s="6">
        <v>0.23928742100281081</v>
      </c>
      <c r="O130" s="6">
        <v>24.54106853855054</v>
      </c>
      <c r="P130" s="6">
        <v>124.0609558278943</v>
      </c>
      <c r="Q130" s="6">
        <v>11.599298975781769</v>
      </c>
      <c r="R130" s="6">
        <v>33.369197267775711</v>
      </c>
      <c r="S130" s="6">
        <v>22.79269093333675</v>
      </c>
      <c r="T130" s="6">
        <v>5.269940829104919</v>
      </c>
      <c r="U130" s="6">
        <v>73.03112800599915</v>
      </c>
      <c r="V130" s="6">
        <v>197.0920838338935</v>
      </c>
      <c r="W130" s="6">
        <v>4.155944109979508</v>
      </c>
      <c r="X130" s="6">
        <v>0</v>
      </c>
      <c r="Y130" s="6">
        <v>0</v>
      </c>
      <c r="Z130" s="6">
        <v>201.24802794387301</v>
      </c>
      <c r="AA130" s="6">
        <v>0.99250539384677916</v>
      </c>
      <c r="AB130" s="6">
        <v>202.2405333377198</v>
      </c>
      <c r="AC130" s="6">
        <v>0</v>
      </c>
      <c r="AD130" s="6">
        <v>27.783951588695761</v>
      </c>
      <c r="AE130" s="6">
        <v>0</v>
      </c>
      <c r="AF130" s="6">
        <v>0</v>
      </c>
      <c r="AG130" s="6">
        <v>230.02448492641551</v>
      </c>
      <c r="AH130" s="6">
        <v>9.8546082623954305</v>
      </c>
      <c r="AI130" s="6">
        <v>0</v>
      </c>
      <c r="AJ130" s="6">
        <v>19.709204894217269</v>
      </c>
      <c r="AK130" s="6">
        <v>231.80434649433249</v>
      </c>
      <c r="AL130" s="6">
        <v>0</v>
      </c>
      <c r="AM130" s="6">
        <v>0</v>
      </c>
      <c r="AN130" s="6">
        <v>0</v>
      </c>
      <c r="AO130" s="6">
        <v>0</v>
      </c>
      <c r="AP130" s="6">
        <v>0</v>
      </c>
      <c r="AQ130" s="6">
        <v>231.80434649433249</v>
      </c>
      <c r="AR130" s="6">
        <v>419.99999964779198</v>
      </c>
      <c r="AS130" s="6">
        <v>122.435393</v>
      </c>
      <c r="AT130" s="6">
        <v>218.751971703919</v>
      </c>
      <c r="AU130" s="6">
        <v>217.75946631007221</v>
      </c>
    </row>
    <row r="131" spans="1:47" x14ac:dyDescent="0.35">
      <c r="A131" s="5">
        <v>46022</v>
      </c>
      <c r="B131" s="4" t="s">
        <v>216</v>
      </c>
      <c r="C131" s="4" t="s">
        <v>217</v>
      </c>
      <c r="D131" s="4" t="s">
        <v>213</v>
      </c>
      <c r="E131" s="6">
        <v>9000</v>
      </c>
      <c r="F131" s="7">
        <v>0.62</v>
      </c>
      <c r="G131" s="6">
        <v>90</v>
      </c>
      <c r="H131" s="6">
        <v>50.22</v>
      </c>
      <c r="I131" s="6">
        <v>97</v>
      </c>
      <c r="J131" s="6">
        <v>48.7134</v>
      </c>
      <c r="K131" s="8">
        <v>100</v>
      </c>
      <c r="L131" s="6">
        <v>7.922865729659498</v>
      </c>
      <c r="M131" s="6">
        <v>1.452591727849462</v>
      </c>
      <c r="N131" s="6">
        <v>9.8558835630286747</v>
      </c>
      <c r="O131" s="6">
        <v>10.027487061541221</v>
      </c>
      <c r="P131" s="6">
        <v>29.25882808207885</v>
      </c>
      <c r="Q131" s="6">
        <v>6.1411291560035854</v>
      </c>
      <c r="R131" s="6">
        <v>43.894996648673832</v>
      </c>
      <c r="S131" s="6">
        <v>71.648613069946236</v>
      </c>
      <c r="T131" s="6">
        <v>13.47770039137993</v>
      </c>
      <c r="U131" s="6">
        <v>135.16243926600359</v>
      </c>
      <c r="V131" s="6">
        <v>164.42126734808241</v>
      </c>
      <c r="W131" s="6">
        <v>20.067151426458889</v>
      </c>
      <c r="X131" s="6">
        <v>21.855437037037039</v>
      </c>
      <c r="Y131" s="6">
        <v>-9.0718473999999994E-17</v>
      </c>
      <c r="Z131" s="6">
        <v>206.34385581157841</v>
      </c>
      <c r="AA131" s="6">
        <v>13.863399908432459</v>
      </c>
      <c r="AB131" s="6">
        <v>220.20725572001081</v>
      </c>
      <c r="AC131" s="6">
        <v>0</v>
      </c>
      <c r="AD131" s="6">
        <v>47.584677184157712</v>
      </c>
      <c r="AE131" s="6">
        <v>0</v>
      </c>
      <c r="AF131" s="6">
        <v>0</v>
      </c>
      <c r="AG131" s="6">
        <v>267.7919329041685</v>
      </c>
      <c r="AH131" s="6">
        <v>3.7245761240860218</v>
      </c>
      <c r="AI131" s="6">
        <v>0</v>
      </c>
      <c r="AJ131" s="6">
        <v>18.520858791505379</v>
      </c>
      <c r="AK131" s="6">
        <v>242.45269063560221</v>
      </c>
      <c r="AL131" s="6">
        <v>9.3114486905197111</v>
      </c>
      <c r="AM131" s="6">
        <v>0</v>
      </c>
      <c r="AN131" s="6">
        <v>0</v>
      </c>
      <c r="AO131" s="6">
        <v>0</v>
      </c>
      <c r="AP131" s="6">
        <v>0</v>
      </c>
      <c r="AQ131" s="6">
        <v>251.76413932612189</v>
      </c>
      <c r="AR131" s="6">
        <v>419.99999964779192</v>
      </c>
      <c r="AS131" s="6">
        <v>451.05758700000001</v>
      </c>
      <c r="AT131" s="6">
        <v>213.6561438362136</v>
      </c>
      <c r="AU131" s="6">
        <v>199.79274392778109</v>
      </c>
    </row>
    <row r="132" spans="1:47" x14ac:dyDescent="0.35">
      <c r="A132" s="5">
        <v>46022</v>
      </c>
      <c r="B132" s="4" t="s">
        <v>218</v>
      </c>
      <c r="C132" s="4" t="s">
        <v>219</v>
      </c>
      <c r="D132" s="4" t="s">
        <v>61</v>
      </c>
      <c r="E132" s="6">
        <v>90.41</v>
      </c>
      <c r="F132" s="7">
        <v>1.21</v>
      </c>
      <c r="G132" s="6">
        <v>95</v>
      </c>
      <c r="H132" s="6">
        <v>1.0389999999999999</v>
      </c>
      <c r="I132" s="6">
        <v>97</v>
      </c>
      <c r="J132" s="6">
        <v>1.0080849999999999</v>
      </c>
      <c r="K132" s="8">
        <v>76.974999999999994</v>
      </c>
      <c r="L132" s="6">
        <v>45.706654325352531</v>
      </c>
      <c r="M132" s="6">
        <v>0.65549118372144854</v>
      </c>
      <c r="N132" s="6">
        <v>9.6335871213024227</v>
      </c>
      <c r="O132" s="6">
        <v>16.27839854189612</v>
      </c>
      <c r="P132" s="6">
        <v>72.274131172272533</v>
      </c>
      <c r="Q132" s="6">
        <v>22.201617220764451</v>
      </c>
      <c r="R132" s="6">
        <v>5.6368124945056577</v>
      </c>
      <c r="S132" s="6">
        <v>15.521263347571789</v>
      </c>
      <c r="T132" s="6">
        <v>23.473965426328871</v>
      </c>
      <c r="U132" s="6">
        <v>66.833658489170773</v>
      </c>
      <c r="V132" s="6">
        <v>139.10778966144329</v>
      </c>
      <c r="W132" s="6">
        <v>8.8798692134396031</v>
      </c>
      <c r="X132" s="6">
        <v>27.000403087935162</v>
      </c>
      <c r="Y132" s="6">
        <v>-122.87393838854609</v>
      </c>
      <c r="Z132" s="6">
        <v>52.114123574271943</v>
      </c>
      <c r="AA132" s="6">
        <v>72.376655749767266</v>
      </c>
      <c r="AB132" s="6">
        <v>124.4907793240392</v>
      </c>
      <c r="AC132" s="6">
        <v>0</v>
      </c>
      <c r="AD132" s="6">
        <v>17.4242470214657</v>
      </c>
      <c r="AE132" s="6">
        <v>0</v>
      </c>
      <c r="AF132" s="6">
        <v>0</v>
      </c>
      <c r="AG132" s="6">
        <v>141.91502634550491</v>
      </c>
      <c r="AH132" s="6">
        <v>18.02429490812052</v>
      </c>
      <c r="AI132" s="6">
        <v>0</v>
      </c>
      <c r="AJ132" s="6">
        <v>17.4242470214657</v>
      </c>
      <c r="AK132" s="6">
        <v>159.93932125362539</v>
      </c>
      <c r="AL132" s="6">
        <v>0</v>
      </c>
      <c r="AM132" s="6">
        <v>0</v>
      </c>
      <c r="AN132" s="6">
        <v>0</v>
      </c>
      <c r="AO132" s="6">
        <v>0</v>
      </c>
      <c r="AP132" s="6">
        <v>0</v>
      </c>
      <c r="AQ132" s="6">
        <v>159.93932125362539</v>
      </c>
      <c r="AR132" s="6">
        <v>420.00624912079741</v>
      </c>
      <c r="AS132" s="6">
        <v>12.165437000000001</v>
      </c>
      <c r="AT132" s="6">
        <v>367.89212554652551</v>
      </c>
      <c r="AU132" s="6">
        <v>295.51546979675823</v>
      </c>
    </row>
    <row r="133" spans="1:47" x14ac:dyDescent="0.35">
      <c r="A133" s="5">
        <v>46022</v>
      </c>
      <c r="B133" s="4" t="s">
        <v>730</v>
      </c>
      <c r="C133" s="4" t="s">
        <v>731</v>
      </c>
      <c r="D133" s="4" t="s">
        <v>58</v>
      </c>
      <c r="E133" s="6">
        <v>38500</v>
      </c>
      <c r="F133" s="7">
        <v>0.39</v>
      </c>
      <c r="G133" s="6">
        <v>51.68</v>
      </c>
      <c r="H133" s="6">
        <v>77.599999999999994</v>
      </c>
      <c r="I133" s="6">
        <v>100</v>
      </c>
      <c r="J133" s="6">
        <v>77.599999999999994</v>
      </c>
      <c r="K133" s="8">
        <v>100</v>
      </c>
      <c r="L133" s="6">
        <v>74.158132507738131</v>
      </c>
      <c r="M133" s="6">
        <v>21.237518298679369</v>
      </c>
      <c r="N133" s="6">
        <v>5.8633950888012496</v>
      </c>
      <c r="O133" s="6">
        <v>33.656336994761247</v>
      </c>
      <c r="P133" s="6">
        <v>134.91538288998001</v>
      </c>
      <c r="Q133" s="6">
        <v>28.065558519171251</v>
      </c>
      <c r="R133" s="6">
        <v>7.9597794873231251</v>
      </c>
      <c r="S133" s="6">
        <v>34.228147752981883</v>
      </c>
      <c r="T133" s="6">
        <v>11.5307330590375</v>
      </c>
      <c r="U133" s="6">
        <v>81.784218818513764</v>
      </c>
      <c r="V133" s="6">
        <v>216.69960170849379</v>
      </c>
      <c r="W133" s="6">
        <v>9.1780326027099708</v>
      </c>
      <c r="X133" s="6">
        <v>0</v>
      </c>
      <c r="Y133" s="6">
        <v>2.3133210869999999E-15</v>
      </c>
      <c r="Z133" s="6">
        <v>225.87763431120371</v>
      </c>
      <c r="AA133" s="6">
        <v>11.517561701037019</v>
      </c>
      <c r="AB133" s="6">
        <v>237.3951960122408</v>
      </c>
      <c r="AC133" s="6">
        <v>0</v>
      </c>
      <c r="AD133" s="6">
        <v>81.678358776533756</v>
      </c>
      <c r="AE133" s="6">
        <v>0</v>
      </c>
      <c r="AF133" s="6">
        <v>0</v>
      </c>
      <c r="AG133" s="6">
        <v>319.07355478877452</v>
      </c>
      <c r="AH133" s="6">
        <v>26.876973490001252</v>
      </c>
      <c r="AI133" s="6">
        <v>0</v>
      </c>
      <c r="AJ133" s="6">
        <v>27.13399465059938</v>
      </c>
      <c r="AK133" s="6">
        <v>291.40616415284143</v>
      </c>
      <c r="AL133" s="6">
        <v>0</v>
      </c>
      <c r="AM133" s="6">
        <v>0</v>
      </c>
      <c r="AN133" s="6">
        <v>0</v>
      </c>
      <c r="AO133" s="6">
        <v>0</v>
      </c>
      <c r="AP133" s="6">
        <v>60.45008972897125</v>
      </c>
      <c r="AQ133" s="6">
        <v>351.85625388181262</v>
      </c>
      <c r="AR133" s="6">
        <v>419.99999964779198</v>
      </c>
      <c r="AS133" s="6">
        <v>718.53060500000004</v>
      </c>
      <c r="AT133" s="6">
        <v>194.12236533658819</v>
      </c>
      <c r="AU133" s="6">
        <v>182.60480363555121</v>
      </c>
    </row>
    <row r="134" spans="1:47" x14ac:dyDescent="0.35">
      <c r="A134" s="5">
        <v>46022</v>
      </c>
      <c r="B134" s="4" t="s">
        <v>354</v>
      </c>
      <c r="C134" s="4" t="s">
        <v>355</v>
      </c>
      <c r="D134" s="4" t="s">
        <v>86</v>
      </c>
      <c r="E134" s="6">
        <v>10000</v>
      </c>
      <c r="F134" s="7">
        <v>1.1362000000000001</v>
      </c>
      <c r="G134" s="6">
        <v>88</v>
      </c>
      <c r="H134" s="6">
        <v>99.99</v>
      </c>
      <c r="I134" s="6">
        <v>94.210526000000002</v>
      </c>
      <c r="J134" s="6">
        <v>94.200800999999998</v>
      </c>
      <c r="K134" s="8">
        <v>77.677999999999997</v>
      </c>
      <c r="L134" s="6">
        <v>23.244369664145641</v>
      </c>
      <c r="M134" s="6">
        <v>0.30038441836296059</v>
      </c>
      <c r="N134" s="6">
        <v>1.768576281579707</v>
      </c>
      <c r="O134" s="6">
        <v>13.43462726390638</v>
      </c>
      <c r="P134" s="6">
        <v>38.747957627994687</v>
      </c>
      <c r="Q134" s="6">
        <v>8.6687987591468545</v>
      </c>
      <c r="R134" s="6">
        <v>4.4832650108849919</v>
      </c>
      <c r="S134" s="6">
        <v>12.72729401760108</v>
      </c>
      <c r="T134" s="6">
        <v>11.27332615085524</v>
      </c>
      <c r="U134" s="6">
        <v>37.15268393848816</v>
      </c>
      <c r="V134" s="6">
        <v>75.900641566482847</v>
      </c>
      <c r="W134" s="6">
        <v>2.3525722185236169</v>
      </c>
      <c r="X134" s="6">
        <v>28.27228622183414</v>
      </c>
      <c r="Y134" s="6">
        <v>-112.9244859917701</v>
      </c>
      <c r="Z134" s="6">
        <v>-6.3989859849294763</v>
      </c>
      <c r="AA134" s="6">
        <v>32.069228679378718</v>
      </c>
      <c r="AB134" s="6">
        <v>25.670242694449239</v>
      </c>
      <c r="AC134" s="6">
        <v>0</v>
      </c>
      <c r="AD134" s="6">
        <v>57.07671827477963</v>
      </c>
      <c r="AE134" s="6">
        <v>0</v>
      </c>
      <c r="AF134" s="6">
        <v>0</v>
      </c>
      <c r="AG134" s="6">
        <v>82.746960969228866</v>
      </c>
      <c r="AH134" s="6">
        <v>12.943013395358809</v>
      </c>
      <c r="AI134" s="6">
        <v>0</v>
      </c>
      <c r="AJ134" s="6">
        <v>40.30986222625431</v>
      </c>
      <c r="AK134" s="6">
        <v>78.923118316062371</v>
      </c>
      <c r="AL134" s="6">
        <v>0</v>
      </c>
      <c r="AM134" s="6">
        <v>0</v>
      </c>
      <c r="AN134" s="6">
        <v>0</v>
      </c>
      <c r="AO134" s="6">
        <v>0</v>
      </c>
      <c r="AP134" s="6">
        <v>0</v>
      </c>
      <c r="AQ134" s="6">
        <v>78.923118316062371</v>
      </c>
      <c r="AR134" s="6">
        <v>419.99999518923107</v>
      </c>
      <c r="AS134" s="6">
        <v>1110.0083589999999</v>
      </c>
      <c r="AT134" s="6">
        <v>426.39898117416061</v>
      </c>
      <c r="AU134" s="6">
        <v>394.32975249478193</v>
      </c>
    </row>
    <row r="135" spans="1:47" x14ac:dyDescent="0.35">
      <c r="A135" s="5">
        <v>46022</v>
      </c>
      <c r="B135" s="4" t="s">
        <v>231</v>
      </c>
      <c r="C135" s="4" t="s">
        <v>232</v>
      </c>
      <c r="D135" s="4" t="s">
        <v>102</v>
      </c>
      <c r="E135" s="6">
        <v>2306.666667</v>
      </c>
      <c r="F135" s="7">
        <v>5.3900000000000003E-2</v>
      </c>
      <c r="G135" s="6">
        <v>37.979999999999997</v>
      </c>
      <c r="H135" s="6">
        <v>0.47199999999999998</v>
      </c>
      <c r="I135" s="6">
        <v>97</v>
      </c>
      <c r="J135" s="6">
        <v>0.45784000000000002</v>
      </c>
      <c r="K135" s="8">
        <v>1.24</v>
      </c>
      <c r="L135" s="6">
        <v>1798.8616699275949</v>
      </c>
      <c r="M135" s="6">
        <v>253.98177307343701</v>
      </c>
      <c r="N135" s="6">
        <v>338.43859450440732</v>
      </c>
      <c r="O135" s="6">
        <v>1532.0316717107021</v>
      </c>
      <c r="P135" s="6">
        <v>3923.3137092161419</v>
      </c>
      <c r="Q135" s="6">
        <v>678.55023259095742</v>
      </c>
      <c r="R135" s="6">
        <v>539.08270523868464</v>
      </c>
      <c r="S135" s="6">
        <v>629.35735804708884</v>
      </c>
      <c r="T135" s="6">
        <v>818.55753988326876</v>
      </c>
      <c r="U135" s="6">
        <v>2665.54783576</v>
      </c>
      <c r="V135" s="6">
        <v>6588.861544976141</v>
      </c>
      <c r="W135" s="6">
        <v>76.881839993500591</v>
      </c>
      <c r="X135" s="6">
        <v>45.872303310258602</v>
      </c>
      <c r="Y135" s="6">
        <v>-31823.283863588971</v>
      </c>
      <c r="Z135" s="6">
        <v>-25111.668175309071</v>
      </c>
      <c r="AA135" s="6">
        <v>0</v>
      </c>
      <c r="AB135" s="6">
        <v>-25111.668175309071</v>
      </c>
      <c r="AC135" s="6">
        <v>0</v>
      </c>
      <c r="AD135" s="6">
        <v>5119.1481757754837</v>
      </c>
      <c r="AE135" s="6">
        <v>0</v>
      </c>
      <c r="AF135" s="6">
        <v>0</v>
      </c>
      <c r="AG135" s="6">
        <v>-19992.519999533579</v>
      </c>
      <c r="AH135" s="6">
        <v>678.57171409576836</v>
      </c>
      <c r="AI135" s="6">
        <v>0</v>
      </c>
      <c r="AJ135" s="6">
        <v>3941.0697726289732</v>
      </c>
      <c r="AK135" s="6">
        <v>-20492.02668858433</v>
      </c>
      <c r="AL135" s="6">
        <v>68.359861474819255</v>
      </c>
      <c r="AM135" s="6">
        <v>0</v>
      </c>
      <c r="AN135" s="6">
        <v>0</v>
      </c>
      <c r="AO135" s="6">
        <v>0</v>
      </c>
      <c r="AP135" s="6">
        <v>0</v>
      </c>
      <c r="AQ135" s="6">
        <v>-20423.666827109511</v>
      </c>
      <c r="AR135" s="6">
        <v>419.96330560623608</v>
      </c>
      <c r="AS135" s="6">
        <v>384.00615399999998</v>
      </c>
      <c r="AT135" s="6">
        <v>25531.631480915301</v>
      </c>
      <c r="AU135" s="6">
        <v>25531.631480915301</v>
      </c>
    </row>
    <row r="136" spans="1:47" x14ac:dyDescent="0.35">
      <c r="A136" s="5">
        <v>46022</v>
      </c>
      <c r="B136" s="4" t="s">
        <v>220</v>
      </c>
      <c r="C136" s="4" t="s">
        <v>221</v>
      </c>
      <c r="D136" s="4" t="s">
        <v>222</v>
      </c>
      <c r="E136" s="6">
        <v>28145.406558999999</v>
      </c>
      <c r="F136" s="7">
        <v>0.2427</v>
      </c>
      <c r="G136" s="6">
        <v>85</v>
      </c>
      <c r="H136" s="6">
        <v>58.06</v>
      </c>
      <c r="I136" s="6">
        <v>97</v>
      </c>
      <c r="J136" s="6">
        <v>56.318607</v>
      </c>
      <c r="K136" s="8">
        <v>90.703999999999994</v>
      </c>
      <c r="L136" s="6">
        <v>28.464810341025458</v>
      </c>
      <c r="M136" s="6">
        <v>48.557332285094532</v>
      </c>
      <c r="N136" s="6">
        <v>1.609254219285722</v>
      </c>
      <c r="O136" s="6">
        <v>45.947312401527071</v>
      </c>
      <c r="P136" s="6">
        <v>124.5787092469328</v>
      </c>
      <c r="Q136" s="6">
        <v>15.499218814744721</v>
      </c>
      <c r="R136" s="6">
        <v>26.268738581845248</v>
      </c>
      <c r="S136" s="6">
        <v>43.448889178403078</v>
      </c>
      <c r="T136" s="6">
        <v>36.876020425160689</v>
      </c>
      <c r="U136" s="6">
        <v>122.0928670001537</v>
      </c>
      <c r="V136" s="6">
        <v>246.67157624708651</v>
      </c>
      <c r="W136" s="6">
        <v>25.898966246411241</v>
      </c>
      <c r="X136" s="6">
        <v>0</v>
      </c>
      <c r="Y136" s="6">
        <v>-43.614043973795461</v>
      </c>
      <c r="Z136" s="6">
        <v>228.95649851970231</v>
      </c>
      <c r="AA136" s="6">
        <v>3.6377171702418729</v>
      </c>
      <c r="AB136" s="6">
        <v>232.59421568994421</v>
      </c>
      <c r="AC136" s="6">
        <v>0</v>
      </c>
      <c r="AD136" s="6">
        <v>40.668312058764748</v>
      </c>
      <c r="AE136" s="6">
        <v>0</v>
      </c>
      <c r="AF136" s="6">
        <v>0</v>
      </c>
      <c r="AG136" s="6">
        <v>273.26252774870892</v>
      </c>
      <c r="AH136" s="6">
        <v>7.4727599225061558</v>
      </c>
      <c r="AI136" s="6">
        <v>0</v>
      </c>
      <c r="AJ136" s="6">
        <v>24.320455385595729</v>
      </c>
      <c r="AK136" s="6">
        <v>264.38743099804611</v>
      </c>
      <c r="AL136" s="6">
        <v>0</v>
      </c>
      <c r="AM136" s="6">
        <v>0</v>
      </c>
      <c r="AN136" s="6">
        <v>0</v>
      </c>
      <c r="AO136" s="6">
        <v>0</v>
      </c>
      <c r="AP136" s="6">
        <v>0</v>
      </c>
      <c r="AQ136" s="6">
        <v>264.38743099804611</v>
      </c>
      <c r="AR136" s="6">
        <v>419.99994744479631</v>
      </c>
      <c r="AS136" s="6">
        <v>576.03638000000001</v>
      </c>
      <c r="AT136" s="6">
        <v>191.043448925094</v>
      </c>
      <c r="AU136" s="6">
        <v>187.4057317548521</v>
      </c>
    </row>
    <row r="137" spans="1:47" x14ac:dyDescent="0.35">
      <c r="A137" s="5">
        <v>46022</v>
      </c>
      <c r="B137" s="4" t="s">
        <v>384</v>
      </c>
      <c r="C137" s="4" t="s">
        <v>385</v>
      </c>
      <c r="D137" s="4" t="s">
        <v>89</v>
      </c>
      <c r="E137" s="6">
        <v>1453.1558</v>
      </c>
      <c r="F137" s="7">
        <v>1.7644</v>
      </c>
      <c r="G137" s="6">
        <v>86.99</v>
      </c>
      <c r="H137" s="6">
        <v>22.303000000000001</v>
      </c>
      <c r="I137" s="6">
        <v>94.82938</v>
      </c>
      <c r="J137" s="6">
        <v>21.150037999999999</v>
      </c>
      <c r="K137" s="8">
        <v>63.207000000000001</v>
      </c>
      <c r="L137" s="6">
        <v>136.5248844377353</v>
      </c>
      <c r="M137" s="6">
        <v>53.378139480755173</v>
      </c>
      <c r="N137" s="6">
        <v>31.061615313411131</v>
      </c>
      <c r="O137" s="6">
        <v>172.23197570004021</v>
      </c>
      <c r="P137" s="6">
        <v>393.19661493194178</v>
      </c>
      <c r="Q137" s="6">
        <v>65.347409239764104</v>
      </c>
      <c r="R137" s="6">
        <v>12.04829478345272</v>
      </c>
      <c r="S137" s="6">
        <v>22.647652015557629</v>
      </c>
      <c r="T137" s="6">
        <v>71.908564972360637</v>
      </c>
      <c r="U137" s="6">
        <v>171.95192101113511</v>
      </c>
      <c r="V137" s="6">
        <v>565.14853594307692</v>
      </c>
      <c r="W137" s="6">
        <v>21.671906790930439</v>
      </c>
      <c r="X137" s="6">
        <v>27.262864144303851</v>
      </c>
      <c r="Y137" s="6">
        <v>-226.68201404401131</v>
      </c>
      <c r="Z137" s="6">
        <v>387.40129283429991</v>
      </c>
      <c r="AA137" s="6">
        <v>38.334570963883117</v>
      </c>
      <c r="AB137" s="6">
        <v>425.735863798183</v>
      </c>
      <c r="AC137" s="6">
        <v>0</v>
      </c>
      <c r="AD137" s="6">
        <v>73.514658137843668</v>
      </c>
      <c r="AE137" s="6">
        <v>0</v>
      </c>
      <c r="AF137" s="6">
        <v>-15.45211142273695</v>
      </c>
      <c r="AG137" s="6">
        <v>483.7984105132897</v>
      </c>
      <c r="AH137" s="6">
        <v>43.866368160048239</v>
      </c>
      <c r="AI137" s="6">
        <v>0</v>
      </c>
      <c r="AJ137" s="6">
        <v>32.546015488616099</v>
      </c>
      <c r="AK137" s="6">
        <v>502.14824744684728</v>
      </c>
      <c r="AL137" s="6">
        <v>164.85264278984971</v>
      </c>
      <c r="AM137" s="6">
        <v>0</v>
      </c>
      <c r="AN137" s="6">
        <v>0</v>
      </c>
      <c r="AO137" s="6">
        <v>0</v>
      </c>
      <c r="AP137" s="6">
        <v>0</v>
      </c>
      <c r="AQ137" s="6">
        <v>667.00089023669705</v>
      </c>
      <c r="AR137" s="6">
        <v>419.99924503921932</v>
      </c>
      <c r="AS137" s="6">
        <v>323.67664500000001</v>
      </c>
      <c r="AT137" s="6">
        <v>32.597952204919437</v>
      </c>
      <c r="AU137" s="6">
        <v>-5.7366187589636732</v>
      </c>
    </row>
    <row r="138" spans="1:47" x14ac:dyDescent="0.35">
      <c r="A138" s="5">
        <v>46022</v>
      </c>
      <c r="B138" s="4" t="s">
        <v>386</v>
      </c>
      <c r="C138" s="4" t="s">
        <v>387</v>
      </c>
      <c r="D138" s="4" t="s">
        <v>222</v>
      </c>
      <c r="E138" s="6">
        <v>3205</v>
      </c>
      <c r="F138" s="7">
        <v>0.08</v>
      </c>
      <c r="G138" s="6">
        <v>85.4</v>
      </c>
      <c r="H138" s="6">
        <v>2.19</v>
      </c>
      <c r="I138" s="6">
        <v>76.519008999999997</v>
      </c>
      <c r="J138" s="6">
        <v>1.675503</v>
      </c>
      <c r="K138" s="8">
        <v>4.2939999999999996</v>
      </c>
      <c r="L138" s="6">
        <v>1560.8727129538861</v>
      </c>
      <c r="M138" s="6">
        <v>98.864333929558967</v>
      </c>
      <c r="N138" s="6">
        <v>52.619291634083872</v>
      </c>
      <c r="O138" s="6">
        <v>579.68220862990415</v>
      </c>
      <c r="P138" s="6">
        <v>2292.0385471474328</v>
      </c>
      <c r="Q138" s="6">
        <v>553.98200577691853</v>
      </c>
      <c r="R138" s="6">
        <v>102.4291934997772</v>
      </c>
      <c r="S138" s="6">
        <v>126.69186061408369</v>
      </c>
      <c r="T138" s="6">
        <v>629.72247368887327</v>
      </c>
      <c r="U138" s="6">
        <v>1412.825533579653</v>
      </c>
      <c r="V138" s="6">
        <v>3704.8640807270858</v>
      </c>
      <c r="W138" s="6">
        <v>6.9925259737537262</v>
      </c>
      <c r="X138" s="6">
        <v>32.959297682260193</v>
      </c>
      <c r="Y138" s="6">
        <v>-8375.4827863361006</v>
      </c>
      <c r="Z138" s="6">
        <v>-4630.6668819529996</v>
      </c>
      <c r="AA138" s="6">
        <v>405.02811379622273</v>
      </c>
      <c r="AB138" s="6">
        <v>-4225.6387681567767</v>
      </c>
      <c r="AC138" s="6">
        <v>59.210021638313407</v>
      </c>
      <c r="AD138" s="6">
        <v>1216.21423566517</v>
      </c>
      <c r="AE138" s="6">
        <v>0</v>
      </c>
      <c r="AF138" s="6">
        <v>0</v>
      </c>
      <c r="AG138" s="6">
        <v>-2950.2145108532941</v>
      </c>
      <c r="AH138" s="6">
        <v>243.53866644420319</v>
      </c>
      <c r="AI138" s="6">
        <v>59.558386316657028</v>
      </c>
      <c r="AJ138" s="6">
        <v>1223.654923425079</v>
      </c>
      <c r="AK138" s="6">
        <v>-2639.6767703325249</v>
      </c>
      <c r="AL138" s="6">
        <v>332.98578773896679</v>
      </c>
      <c r="AM138" s="6">
        <v>0</v>
      </c>
      <c r="AN138" s="6">
        <v>0</v>
      </c>
      <c r="AO138" s="6">
        <v>0</v>
      </c>
      <c r="AP138" s="6">
        <v>0</v>
      </c>
      <c r="AQ138" s="6">
        <v>-2306.6909825935581</v>
      </c>
      <c r="AR138" s="6">
        <v>419.99924763481499</v>
      </c>
      <c r="AS138" s="6">
        <v>325.976291</v>
      </c>
      <c r="AT138" s="6">
        <v>5050.6661295878148</v>
      </c>
      <c r="AU138" s="6">
        <v>4645.6380157915919</v>
      </c>
    </row>
    <row r="139" spans="1:47" x14ac:dyDescent="0.35">
      <c r="A139" s="5">
        <v>46022</v>
      </c>
      <c r="B139" s="4" t="s">
        <v>732</v>
      </c>
      <c r="C139" s="4" t="s">
        <v>733</v>
      </c>
      <c r="D139" s="4" t="s">
        <v>536</v>
      </c>
      <c r="E139" s="6">
        <v>76054.290800000002</v>
      </c>
      <c r="F139" s="7">
        <v>1.2</v>
      </c>
      <c r="G139" s="6">
        <v>88.73</v>
      </c>
      <c r="H139" s="6">
        <v>809.83900000000006</v>
      </c>
      <c r="I139" s="6">
        <v>97</v>
      </c>
      <c r="J139" s="6">
        <v>785.54357700000003</v>
      </c>
      <c r="K139" s="8">
        <v>66.959000000000003</v>
      </c>
      <c r="L139" s="6">
        <v>40.214821698567469</v>
      </c>
      <c r="M139" s="6">
        <v>4.2766144504113628</v>
      </c>
      <c r="N139" s="6">
        <v>3.0330817271435442</v>
      </c>
      <c r="O139" s="6">
        <v>42.13446199180683</v>
      </c>
      <c r="P139" s="6">
        <v>89.658979867929204</v>
      </c>
      <c r="Q139" s="6">
        <v>7.8074272160687297</v>
      </c>
      <c r="R139" s="6">
        <v>8.7368006520528194</v>
      </c>
      <c r="S139" s="6">
        <v>14.49452702646396</v>
      </c>
      <c r="T139" s="6">
        <v>33.818856207352347</v>
      </c>
      <c r="U139" s="6">
        <v>64.857611101937863</v>
      </c>
      <c r="V139" s="6">
        <v>154.51659096986711</v>
      </c>
      <c r="W139" s="6">
        <v>11.040500938713629</v>
      </c>
      <c r="X139" s="6">
        <v>25.248258273216749</v>
      </c>
      <c r="Y139" s="6">
        <v>-198.42883330690299</v>
      </c>
      <c r="Z139" s="6">
        <v>-7.6234831251055049</v>
      </c>
      <c r="AA139" s="6">
        <v>47.055701267494307</v>
      </c>
      <c r="AB139" s="6">
        <v>39.432218142388813</v>
      </c>
      <c r="AC139" s="6">
        <v>0</v>
      </c>
      <c r="AD139" s="6">
        <v>55.527027131691199</v>
      </c>
      <c r="AE139" s="6">
        <v>0</v>
      </c>
      <c r="AF139" s="6">
        <v>0</v>
      </c>
      <c r="AG139" s="6">
        <v>94.959245274080004</v>
      </c>
      <c r="AH139" s="6">
        <v>6.3215724033502934</v>
      </c>
      <c r="AI139" s="6">
        <v>0</v>
      </c>
      <c r="AJ139" s="6">
        <v>25.406693113400578</v>
      </c>
      <c r="AK139" s="6">
        <v>71.160483659139686</v>
      </c>
      <c r="AL139" s="6">
        <v>51.968235714157387</v>
      </c>
      <c r="AM139" s="6">
        <v>0</v>
      </c>
      <c r="AN139" s="6">
        <v>0</v>
      </c>
      <c r="AO139" s="6">
        <v>0</v>
      </c>
      <c r="AP139" s="6">
        <v>0</v>
      </c>
      <c r="AQ139" s="6">
        <v>123.1287193732971</v>
      </c>
      <c r="AR139" s="6">
        <v>420.00001194500908</v>
      </c>
      <c r="AS139" s="6">
        <v>10737.946110999999</v>
      </c>
      <c r="AT139" s="6">
        <v>427.62349507011459</v>
      </c>
      <c r="AU139" s="6">
        <v>380.56779380262032</v>
      </c>
    </row>
    <row r="140" spans="1:47" x14ac:dyDescent="0.35">
      <c r="A140" s="5">
        <v>46022</v>
      </c>
      <c r="B140" s="4" t="s">
        <v>233</v>
      </c>
      <c r="C140" s="4" t="s">
        <v>234</v>
      </c>
      <c r="D140" s="4" t="s">
        <v>235</v>
      </c>
      <c r="E140" s="6">
        <v>3000</v>
      </c>
      <c r="F140" s="7">
        <v>0.47</v>
      </c>
      <c r="G140" s="6">
        <v>85.7</v>
      </c>
      <c r="H140" s="6">
        <v>12.084</v>
      </c>
      <c r="I140" s="6">
        <v>97</v>
      </c>
      <c r="J140" s="6">
        <v>11.721189000000001</v>
      </c>
      <c r="K140" s="8">
        <v>44.216999999999999</v>
      </c>
      <c r="L140" s="6">
        <v>6.1150393809429229</v>
      </c>
      <c r="M140" s="6">
        <v>20.946237461828741</v>
      </c>
      <c r="N140" s="6">
        <v>3.0405755545817921</v>
      </c>
      <c r="O140" s="6">
        <v>60.440028761935501</v>
      </c>
      <c r="P140" s="6">
        <v>90.541881159288948</v>
      </c>
      <c r="Q140" s="6">
        <v>14.226038760992081</v>
      </c>
      <c r="R140" s="6">
        <v>45.04747418726879</v>
      </c>
      <c r="S140" s="6">
        <v>89.267559079172756</v>
      </c>
      <c r="T140" s="6">
        <v>231.07265502949431</v>
      </c>
      <c r="U140" s="6">
        <v>379.61372705692793</v>
      </c>
      <c r="V140" s="6">
        <v>470.15560821621688</v>
      </c>
      <c r="W140" s="6">
        <v>14.436010461684729</v>
      </c>
      <c r="X140" s="6">
        <v>18.946677793055692</v>
      </c>
      <c r="Y140" s="6">
        <v>-302.95610771575298</v>
      </c>
      <c r="Z140" s="6">
        <v>200.5821887552043</v>
      </c>
      <c r="AA140" s="6">
        <v>21.738425851793028</v>
      </c>
      <c r="AB140" s="6">
        <v>222.3206146069974</v>
      </c>
      <c r="AC140" s="6">
        <v>6.0403319369894977</v>
      </c>
      <c r="AD140" s="6">
        <v>104.41422341872941</v>
      </c>
      <c r="AE140" s="6">
        <v>0</v>
      </c>
      <c r="AF140" s="6">
        <v>0</v>
      </c>
      <c r="AG140" s="6">
        <v>332.77516996271618</v>
      </c>
      <c r="AH140" s="6">
        <v>15.479393996698031</v>
      </c>
      <c r="AI140" s="6">
        <v>0</v>
      </c>
      <c r="AJ140" s="6">
        <v>15.479393996698031</v>
      </c>
      <c r="AK140" s="6">
        <v>259.31973453738289</v>
      </c>
      <c r="AL140" s="6">
        <v>0</v>
      </c>
      <c r="AM140" s="6">
        <v>0</v>
      </c>
      <c r="AN140" s="6">
        <v>0</v>
      </c>
      <c r="AO140" s="6">
        <v>0</v>
      </c>
      <c r="AP140" s="6">
        <v>0</v>
      </c>
      <c r="AQ140" s="6">
        <v>259.31973453738289</v>
      </c>
      <c r="AR140" s="6">
        <v>420.00039380575629</v>
      </c>
      <c r="AS140" s="6">
        <v>241.01496900000001</v>
      </c>
      <c r="AT140" s="6">
        <v>219.4182050505519</v>
      </c>
      <c r="AU140" s="6">
        <v>197.67977919875889</v>
      </c>
    </row>
    <row r="141" spans="1:47" x14ac:dyDescent="0.35">
      <c r="A141" s="5">
        <v>46022</v>
      </c>
      <c r="B141" s="4" t="s">
        <v>734</v>
      </c>
      <c r="C141" s="4" t="s">
        <v>735</v>
      </c>
      <c r="D141" s="4" t="s">
        <v>61</v>
      </c>
      <c r="E141" s="6">
        <v>802.97</v>
      </c>
      <c r="F141" s="7">
        <v>0.30070000000000002</v>
      </c>
      <c r="G141" s="6">
        <v>82</v>
      </c>
      <c r="H141" s="6">
        <v>1.98</v>
      </c>
      <c r="I141" s="6">
        <v>97</v>
      </c>
      <c r="J141" s="6">
        <v>1.9206000000000001</v>
      </c>
      <c r="K141" s="8">
        <v>98.632000000000005</v>
      </c>
      <c r="L141" s="6">
        <v>39.961267240957447</v>
      </c>
      <c r="M141" s="6">
        <v>0</v>
      </c>
      <c r="N141" s="6">
        <v>42.261344318524827</v>
      </c>
      <c r="O141" s="6">
        <v>77.470461578111369</v>
      </c>
      <c r="P141" s="6">
        <v>159.6930731375937</v>
      </c>
      <c r="Q141" s="6">
        <v>7.5935332179007773</v>
      </c>
      <c r="R141" s="6">
        <v>23.799227702416989</v>
      </c>
      <c r="S141" s="6">
        <v>47.990553433936711</v>
      </c>
      <c r="T141" s="6">
        <v>46.140433308222697</v>
      </c>
      <c r="U141" s="6">
        <v>125.52374766247721</v>
      </c>
      <c r="V141" s="6">
        <v>285.21682080007082</v>
      </c>
      <c r="W141" s="6">
        <v>20.74252813672231</v>
      </c>
      <c r="X141" s="6">
        <v>26.66705244444444</v>
      </c>
      <c r="Y141" s="6">
        <v>-5.713140821014119</v>
      </c>
      <c r="Z141" s="6">
        <v>326.91326056022348</v>
      </c>
      <c r="AA141" s="6">
        <v>71.434612580867935</v>
      </c>
      <c r="AB141" s="6">
        <v>398.34787314109138</v>
      </c>
      <c r="AC141" s="6">
        <v>0</v>
      </c>
      <c r="AD141" s="6">
        <v>16.130768032930561</v>
      </c>
      <c r="AE141" s="6">
        <v>0</v>
      </c>
      <c r="AF141" s="6">
        <v>0</v>
      </c>
      <c r="AG141" s="6">
        <v>414.47864117402202</v>
      </c>
      <c r="AH141" s="6">
        <v>14.24461645745378</v>
      </c>
      <c r="AI141" s="6">
        <v>0</v>
      </c>
      <c r="AJ141" s="6">
        <v>51.066672083710607</v>
      </c>
      <c r="AK141" s="6">
        <v>463.65916168225579</v>
      </c>
      <c r="AL141" s="6">
        <v>0</v>
      </c>
      <c r="AM141" s="6">
        <v>0</v>
      </c>
      <c r="AN141" s="6">
        <v>0</v>
      </c>
      <c r="AO141" s="6">
        <v>0</v>
      </c>
      <c r="AP141" s="6">
        <v>0</v>
      </c>
      <c r="AQ141" s="6">
        <v>463.65916168225579</v>
      </c>
      <c r="AR141" s="6">
        <v>419.99999964779192</v>
      </c>
      <c r="AS141" s="6">
        <v>18.039103000000001</v>
      </c>
      <c r="AT141" s="6">
        <v>93.086739087568461</v>
      </c>
      <c r="AU141" s="6">
        <v>21.652126506700519</v>
      </c>
    </row>
    <row r="142" spans="1:47" x14ac:dyDescent="0.35">
      <c r="A142" s="5">
        <v>46022</v>
      </c>
      <c r="B142" s="4" t="s">
        <v>388</v>
      </c>
      <c r="C142" s="4" t="s">
        <v>389</v>
      </c>
      <c r="D142" s="4" t="s">
        <v>61</v>
      </c>
      <c r="E142" s="6">
        <v>495</v>
      </c>
      <c r="F142" s="7">
        <v>2.2999999999999998</v>
      </c>
      <c r="G142" s="6">
        <v>80</v>
      </c>
      <c r="H142" s="6">
        <v>9.1080000000000005</v>
      </c>
      <c r="I142" s="6">
        <v>97</v>
      </c>
      <c r="J142" s="6">
        <v>8.8347599999999993</v>
      </c>
      <c r="K142" s="8">
        <v>86.784999999999997</v>
      </c>
      <c r="L142" s="6">
        <v>8.4242583918804339</v>
      </c>
      <c r="M142" s="6">
        <v>1.008983798565217</v>
      </c>
      <c r="N142" s="6">
        <v>6.3709498293913054</v>
      </c>
      <c r="O142" s="6">
        <v>12.40077013928261</v>
      </c>
      <c r="P142" s="6">
        <v>28.204962159119571</v>
      </c>
      <c r="Q142" s="6">
        <v>2.2031912586630429</v>
      </c>
      <c r="R142" s="6">
        <v>3.2656032978967389</v>
      </c>
      <c r="S142" s="6">
        <v>6.5793258132608692</v>
      </c>
      <c r="T142" s="6">
        <v>9.1061235110163032</v>
      </c>
      <c r="U142" s="6">
        <v>21.154243880836962</v>
      </c>
      <c r="V142" s="6">
        <v>49.359206039956518</v>
      </c>
      <c r="W142" s="6">
        <v>6.7473553690709149</v>
      </c>
      <c r="X142" s="6">
        <v>21.318095882400879</v>
      </c>
      <c r="Y142" s="6">
        <v>-45.060050059667212</v>
      </c>
      <c r="Z142" s="6">
        <v>32.364607231761099</v>
      </c>
      <c r="AA142" s="6">
        <v>12.87621965954645</v>
      </c>
      <c r="AB142" s="6">
        <v>45.240826891307563</v>
      </c>
      <c r="AC142" s="6">
        <v>0</v>
      </c>
      <c r="AD142" s="6">
        <v>3.174676427581522</v>
      </c>
      <c r="AE142" s="6">
        <v>0</v>
      </c>
      <c r="AF142" s="6">
        <v>0</v>
      </c>
      <c r="AG142" s="6">
        <v>48.41550331888908</v>
      </c>
      <c r="AH142" s="6">
        <v>3.2567693272663041</v>
      </c>
      <c r="AI142" s="6">
        <v>0</v>
      </c>
      <c r="AJ142" s="6">
        <v>5.6764665675108699</v>
      </c>
      <c r="AK142" s="6">
        <v>54.174062786084733</v>
      </c>
      <c r="AL142" s="6">
        <v>0</v>
      </c>
      <c r="AM142" s="6">
        <v>0</v>
      </c>
      <c r="AN142" s="6">
        <v>0</v>
      </c>
      <c r="AO142" s="6">
        <v>0</v>
      </c>
      <c r="AP142" s="6">
        <v>0</v>
      </c>
      <c r="AQ142" s="6">
        <v>54.174062786084733</v>
      </c>
      <c r="AR142" s="6">
        <v>420.00190122745983</v>
      </c>
      <c r="AS142" s="6">
        <v>97.115018000000006</v>
      </c>
      <c r="AT142" s="6">
        <v>387.63729399569871</v>
      </c>
      <c r="AU142" s="6">
        <v>374.76107433615221</v>
      </c>
    </row>
    <row r="143" spans="1:47" x14ac:dyDescent="0.35">
      <c r="A143" s="5">
        <v>46022</v>
      </c>
      <c r="B143" s="4" t="s">
        <v>284</v>
      </c>
      <c r="C143" s="4" t="s">
        <v>285</v>
      </c>
      <c r="D143" s="4" t="s">
        <v>61</v>
      </c>
      <c r="E143" s="6">
        <v>134.13733199999999</v>
      </c>
      <c r="F143" s="7">
        <v>0.47</v>
      </c>
      <c r="G143" s="6">
        <v>85</v>
      </c>
      <c r="H143" s="6">
        <v>0.53600000000000003</v>
      </c>
      <c r="I143" s="6">
        <v>97</v>
      </c>
      <c r="J143" s="6">
        <v>0.51977899999999999</v>
      </c>
      <c r="K143" s="8">
        <v>100</v>
      </c>
      <c r="L143" s="6">
        <v>51.230977004010747</v>
      </c>
      <c r="M143" s="6">
        <v>0</v>
      </c>
      <c r="N143" s="6">
        <v>15.924361264817341</v>
      </c>
      <c r="O143" s="6">
        <v>55.171518842109187</v>
      </c>
      <c r="P143" s="6">
        <v>122.3268571109373</v>
      </c>
      <c r="Q143" s="6">
        <v>27.888339562670911</v>
      </c>
      <c r="R143" s="6">
        <v>9.1425112448013799</v>
      </c>
      <c r="S143" s="6">
        <v>9.2619794225001719</v>
      </c>
      <c r="T143" s="6">
        <v>34.695286562207372</v>
      </c>
      <c r="U143" s="6">
        <v>80.988116792179824</v>
      </c>
      <c r="V143" s="6">
        <v>203.31497390311711</v>
      </c>
      <c r="W143" s="6">
        <v>4.1865965818274073</v>
      </c>
      <c r="X143" s="6">
        <v>26.705350342218519</v>
      </c>
      <c r="Y143" s="6">
        <v>0</v>
      </c>
      <c r="Z143" s="6">
        <v>234.206920827163</v>
      </c>
      <c r="AA143" s="6">
        <v>43.04402309313646</v>
      </c>
      <c r="AB143" s="6">
        <v>277.25094392029951</v>
      </c>
      <c r="AC143" s="6">
        <v>0</v>
      </c>
      <c r="AD143" s="6">
        <v>8.0246889675949884</v>
      </c>
      <c r="AE143" s="6">
        <v>0</v>
      </c>
      <c r="AF143" s="6">
        <v>0</v>
      </c>
      <c r="AG143" s="6">
        <v>285.27563288789452</v>
      </c>
      <c r="AH143" s="6">
        <v>6.0842850929704584</v>
      </c>
      <c r="AI143" s="6">
        <v>0</v>
      </c>
      <c r="AJ143" s="6">
        <v>8.0246889675949884</v>
      </c>
      <c r="AK143" s="6">
        <v>291.35991798086491</v>
      </c>
      <c r="AL143" s="6">
        <v>0</v>
      </c>
      <c r="AM143" s="6">
        <v>0</v>
      </c>
      <c r="AN143" s="6">
        <v>0</v>
      </c>
      <c r="AO143" s="6">
        <v>0</v>
      </c>
      <c r="AP143" s="6">
        <v>0</v>
      </c>
      <c r="AQ143" s="6">
        <v>291.35991798086491</v>
      </c>
      <c r="AR143" s="6">
        <v>420.01696839795812</v>
      </c>
      <c r="AS143" s="6">
        <v>4.8130439999999997</v>
      </c>
      <c r="AT143" s="6">
        <v>185.81004757079501</v>
      </c>
      <c r="AU143" s="6">
        <v>142.76602447765859</v>
      </c>
    </row>
    <row r="144" spans="1:47" x14ac:dyDescent="0.35">
      <c r="A144" s="5">
        <v>46022</v>
      </c>
      <c r="B144" s="4" t="s">
        <v>236</v>
      </c>
      <c r="C144" s="4" t="s">
        <v>237</v>
      </c>
      <c r="D144" s="4" t="s">
        <v>222</v>
      </c>
      <c r="E144" s="6">
        <v>44000</v>
      </c>
      <c r="F144" s="7">
        <v>0.35</v>
      </c>
      <c r="G144" s="6">
        <v>85</v>
      </c>
      <c r="H144" s="6">
        <v>130.9</v>
      </c>
      <c r="I144" s="6">
        <v>97</v>
      </c>
      <c r="J144" s="6">
        <v>126.973</v>
      </c>
      <c r="K144" s="8">
        <v>90.908000000000001</v>
      </c>
      <c r="L144" s="6">
        <v>44.879214219529423</v>
      </c>
      <c r="M144" s="6">
        <v>16.049805849647061</v>
      </c>
      <c r="N144" s="6">
        <v>1.507405765411765</v>
      </c>
      <c r="O144" s="6">
        <v>36.654633198117651</v>
      </c>
      <c r="P144" s="6">
        <v>99.091059032705886</v>
      </c>
      <c r="Q144" s="6">
        <v>32.870251107294123</v>
      </c>
      <c r="R144" s="6">
        <v>17.95293686870588</v>
      </c>
      <c r="S144" s="6">
        <v>20.288244001882351</v>
      </c>
      <c r="T144" s="6">
        <v>50.857705479058822</v>
      </c>
      <c r="U144" s="6">
        <v>121.9691374569412</v>
      </c>
      <c r="V144" s="6">
        <v>221.0601964896471</v>
      </c>
      <c r="W144" s="6">
        <v>13.95801456560403</v>
      </c>
      <c r="X144" s="6">
        <v>17.592224908235291</v>
      </c>
      <c r="Y144" s="6">
        <v>-39.82103136227002</v>
      </c>
      <c r="Z144" s="6">
        <v>212.7894046012164</v>
      </c>
      <c r="AA144" s="6">
        <v>3.4027690022479722</v>
      </c>
      <c r="AB144" s="6">
        <v>216.19217360346431</v>
      </c>
      <c r="AC144" s="6">
        <v>0</v>
      </c>
      <c r="AD144" s="6">
        <v>41.510472535529409</v>
      </c>
      <c r="AE144" s="6">
        <v>0</v>
      </c>
      <c r="AF144" s="6">
        <v>0</v>
      </c>
      <c r="AG144" s="6">
        <v>257.70264613899383</v>
      </c>
      <c r="AH144" s="6">
        <v>8.1098527632941178</v>
      </c>
      <c r="AI144" s="6">
        <v>0</v>
      </c>
      <c r="AJ144" s="6">
        <v>25.00646915929412</v>
      </c>
      <c r="AK144" s="6">
        <v>249.30849552605261</v>
      </c>
      <c r="AL144" s="6">
        <v>28.578826387294122</v>
      </c>
      <c r="AM144" s="6">
        <v>0</v>
      </c>
      <c r="AN144" s="6">
        <v>0</v>
      </c>
      <c r="AO144" s="6">
        <v>0</v>
      </c>
      <c r="AP144" s="6">
        <v>0</v>
      </c>
      <c r="AQ144" s="6">
        <v>277.88732191334668</v>
      </c>
      <c r="AR144" s="6">
        <v>419.99999964779192</v>
      </c>
      <c r="AS144" s="6">
        <v>1293.508754</v>
      </c>
      <c r="AT144" s="6">
        <v>207.21059504657561</v>
      </c>
      <c r="AU144" s="6">
        <v>203.80782604432761</v>
      </c>
    </row>
    <row r="145" spans="1:47" x14ac:dyDescent="0.35">
      <c r="A145" s="5">
        <v>46022</v>
      </c>
      <c r="B145" s="4" t="s">
        <v>286</v>
      </c>
      <c r="C145" s="4" t="s">
        <v>287</v>
      </c>
      <c r="D145" s="4" t="s">
        <v>61</v>
      </c>
      <c r="E145" s="6">
        <v>67.75</v>
      </c>
      <c r="F145" s="7">
        <v>0.1968</v>
      </c>
      <c r="G145" s="6">
        <v>90</v>
      </c>
      <c r="H145" s="6">
        <v>0.12</v>
      </c>
      <c r="I145" s="6">
        <v>97</v>
      </c>
      <c r="J145" s="6">
        <v>0.116399</v>
      </c>
      <c r="K145" s="8">
        <v>43.832999999999998</v>
      </c>
      <c r="L145" s="6">
        <v>258.21954580084042</v>
      </c>
      <c r="M145" s="6">
        <v>0</v>
      </c>
      <c r="N145" s="6">
        <v>144.94334960123459</v>
      </c>
      <c r="O145" s="6">
        <v>127.78916521781299</v>
      </c>
      <c r="P145" s="6">
        <v>530.95206061988813</v>
      </c>
      <c r="Q145" s="6">
        <v>56.265720553410233</v>
      </c>
      <c r="R145" s="6">
        <v>33.561554370387611</v>
      </c>
      <c r="S145" s="6">
        <v>88.023192901914925</v>
      </c>
      <c r="T145" s="6">
        <v>116.56680505687</v>
      </c>
      <c r="U145" s="6">
        <v>294.41727288258278</v>
      </c>
      <c r="V145" s="6">
        <v>825.36933350247079</v>
      </c>
      <c r="W145" s="6">
        <v>2.3857714000078691</v>
      </c>
      <c r="X145" s="6">
        <v>31.381319598965622</v>
      </c>
      <c r="Y145" s="6">
        <v>-67.490714833826445</v>
      </c>
      <c r="Z145" s="6">
        <v>791.64570966761789</v>
      </c>
      <c r="AA145" s="6">
        <v>191.25570372247591</v>
      </c>
      <c r="AB145" s="6">
        <v>982.90141339009381</v>
      </c>
      <c r="AC145" s="6">
        <v>0</v>
      </c>
      <c r="AD145" s="6">
        <v>32.860255865312823</v>
      </c>
      <c r="AE145" s="6">
        <v>0</v>
      </c>
      <c r="AF145" s="6">
        <v>0</v>
      </c>
      <c r="AG145" s="6">
        <v>1015.761669255407</v>
      </c>
      <c r="AH145" s="6">
        <v>97.542324118164615</v>
      </c>
      <c r="AI145" s="6">
        <v>0</v>
      </c>
      <c r="AJ145" s="6">
        <v>32.860255865312823</v>
      </c>
      <c r="AK145" s="6">
        <v>1113.3039933735711</v>
      </c>
      <c r="AL145" s="6">
        <v>0</v>
      </c>
      <c r="AM145" s="6">
        <v>0</v>
      </c>
      <c r="AN145" s="6">
        <v>0</v>
      </c>
      <c r="AO145" s="6">
        <v>0</v>
      </c>
      <c r="AP145" s="6">
        <v>0</v>
      </c>
      <c r="AQ145" s="6">
        <v>1113.3039933735711</v>
      </c>
      <c r="AR145" s="6">
        <v>420.00360792621052</v>
      </c>
      <c r="AS145" s="6">
        <v>2.371048</v>
      </c>
      <c r="AT145" s="6">
        <v>-371.64210174140737</v>
      </c>
      <c r="AU145" s="6">
        <v>-562.89780546388329</v>
      </c>
    </row>
    <row r="146" spans="1:47" x14ac:dyDescent="0.35">
      <c r="A146" s="5">
        <v>46022</v>
      </c>
      <c r="B146" s="4" t="s">
        <v>390</v>
      </c>
      <c r="C146" s="4" t="s">
        <v>391</v>
      </c>
      <c r="D146" s="4" t="s">
        <v>213</v>
      </c>
      <c r="E146" s="6">
        <v>733.88704299999995</v>
      </c>
      <c r="F146" s="7">
        <v>3.5</v>
      </c>
      <c r="G146" s="6">
        <v>86</v>
      </c>
      <c r="H146" s="6">
        <v>22.09</v>
      </c>
      <c r="I146" s="6">
        <v>100</v>
      </c>
      <c r="J146" s="6">
        <v>22.09</v>
      </c>
      <c r="K146" s="8">
        <v>100</v>
      </c>
      <c r="L146" s="6">
        <v>32.58553184293806</v>
      </c>
      <c r="M146" s="6">
        <v>29.033938246636591</v>
      </c>
      <c r="N146" s="6">
        <v>0.90933515940652232</v>
      </c>
      <c r="O146" s="6">
        <v>13.96099899651594</v>
      </c>
      <c r="P146" s="6">
        <v>76.489804245497112</v>
      </c>
      <c r="Q146" s="6">
        <v>23.111287735136941</v>
      </c>
      <c r="R146" s="6">
        <v>34.461330689134037</v>
      </c>
      <c r="S146" s="6">
        <v>40.597811575772937</v>
      </c>
      <c r="T146" s="6">
        <v>12.5242082446025</v>
      </c>
      <c r="U146" s="6">
        <v>110.6946382446464</v>
      </c>
      <c r="V146" s="6">
        <v>187.18444249014351</v>
      </c>
      <c r="W146" s="6">
        <v>7.9529612126073328</v>
      </c>
      <c r="X146" s="6">
        <v>0</v>
      </c>
      <c r="Y146" s="6">
        <v>0</v>
      </c>
      <c r="Z146" s="6">
        <v>195.1374037027509</v>
      </c>
      <c r="AA146" s="6">
        <v>10.50002201860398</v>
      </c>
      <c r="AB146" s="6">
        <v>205.63742572135479</v>
      </c>
      <c r="AC146" s="6">
        <v>1.403883454301702</v>
      </c>
      <c r="AD146" s="6">
        <v>14.13512120239799</v>
      </c>
      <c r="AE146" s="6">
        <v>0</v>
      </c>
      <c r="AF146" s="6">
        <v>0</v>
      </c>
      <c r="AG146" s="6">
        <v>221.1764303780545</v>
      </c>
      <c r="AH146" s="6">
        <v>13.801738345290991</v>
      </c>
      <c r="AI146" s="6">
        <v>0</v>
      </c>
      <c r="AJ146" s="6">
        <v>4.1067665458158897</v>
      </c>
      <c r="AK146" s="6">
        <v>224.94981406676339</v>
      </c>
      <c r="AL146" s="6">
        <v>0</v>
      </c>
      <c r="AM146" s="6">
        <v>0</v>
      </c>
      <c r="AN146" s="6">
        <v>0</v>
      </c>
      <c r="AO146" s="6">
        <v>0</v>
      </c>
      <c r="AP146" s="6">
        <v>0</v>
      </c>
      <c r="AQ146" s="6">
        <v>224.94981406676339</v>
      </c>
      <c r="AR146" s="6">
        <v>419.99999964779192</v>
      </c>
      <c r="AS146" s="6">
        <v>204.54047700000001</v>
      </c>
      <c r="AT146" s="6">
        <v>224.86259594504111</v>
      </c>
      <c r="AU146" s="6">
        <v>214.36257392643711</v>
      </c>
    </row>
    <row r="147" spans="1:47" x14ac:dyDescent="0.35">
      <c r="A147" s="5">
        <v>46022</v>
      </c>
      <c r="B147" s="4" t="s">
        <v>392</v>
      </c>
      <c r="C147" s="4" t="s">
        <v>393</v>
      </c>
      <c r="D147" s="4" t="s">
        <v>50</v>
      </c>
      <c r="E147" s="6">
        <v>1056</v>
      </c>
      <c r="F147" s="7">
        <v>0.26</v>
      </c>
      <c r="G147" s="6">
        <v>50.99</v>
      </c>
      <c r="H147" s="6">
        <v>1.4</v>
      </c>
      <c r="I147" s="6">
        <v>97</v>
      </c>
      <c r="J147" s="6">
        <v>1.3580000000000001</v>
      </c>
      <c r="K147" s="8">
        <v>7.24</v>
      </c>
      <c r="L147" s="6">
        <v>2072.2829555915519</v>
      </c>
      <c r="M147" s="6">
        <v>436.30058019028792</v>
      </c>
      <c r="N147" s="6">
        <v>351.43770338159987</v>
      </c>
      <c r="O147" s="6">
        <v>895.86631412308793</v>
      </c>
      <c r="P147" s="6">
        <v>3755.8875532865281</v>
      </c>
      <c r="Q147" s="6">
        <v>342.7351525852319</v>
      </c>
      <c r="R147" s="6">
        <v>58.34508178963199</v>
      </c>
      <c r="S147" s="6">
        <v>120.80686264785599</v>
      </c>
      <c r="T147" s="6">
        <v>124.54308282504</v>
      </c>
      <c r="U147" s="6">
        <v>646.43017984775986</v>
      </c>
      <c r="V147" s="6">
        <v>4402.3177331342868</v>
      </c>
      <c r="W147" s="6">
        <v>5.8536559389059599</v>
      </c>
      <c r="X147" s="6">
        <v>22.505331351999999</v>
      </c>
      <c r="Y147" s="6">
        <v>-5240.8049540634247</v>
      </c>
      <c r="Z147" s="6">
        <v>-810.12823363823179</v>
      </c>
      <c r="AA147" s="6">
        <v>63.104158430452117</v>
      </c>
      <c r="AB147" s="6">
        <v>-747.02407520777967</v>
      </c>
      <c r="AC147" s="6">
        <v>33.980711937743997</v>
      </c>
      <c r="AD147" s="6">
        <v>1173.0056289837601</v>
      </c>
      <c r="AE147" s="6">
        <v>0</v>
      </c>
      <c r="AF147" s="6">
        <v>0</v>
      </c>
      <c r="AG147" s="6">
        <v>459.96226571372398</v>
      </c>
      <c r="AH147" s="6">
        <v>171.58680930916799</v>
      </c>
      <c r="AI147" s="6">
        <v>0</v>
      </c>
      <c r="AJ147" s="6">
        <v>581.18610961963191</v>
      </c>
      <c r="AK147" s="6">
        <v>39.729555658764198</v>
      </c>
      <c r="AL147" s="6">
        <v>400.81798717382389</v>
      </c>
      <c r="AM147" s="6">
        <v>0</v>
      </c>
      <c r="AN147" s="6">
        <v>0</v>
      </c>
      <c r="AO147" s="6">
        <v>0</v>
      </c>
      <c r="AP147" s="6">
        <v>0</v>
      </c>
      <c r="AQ147" s="6">
        <v>440.54754283258808</v>
      </c>
      <c r="AR147" s="6">
        <v>419.99999964779192</v>
      </c>
      <c r="AS147" s="6">
        <v>188.926016</v>
      </c>
      <c r="AT147" s="6">
        <v>1230.1282332860239</v>
      </c>
      <c r="AU147" s="6">
        <v>1167.0240748555721</v>
      </c>
    </row>
    <row r="148" spans="1:47" x14ac:dyDescent="0.35">
      <c r="A148" s="5">
        <v>46022</v>
      </c>
      <c r="B148" s="4" t="s">
        <v>394</v>
      </c>
      <c r="C148" s="4" t="s">
        <v>395</v>
      </c>
      <c r="D148" s="4" t="s">
        <v>61</v>
      </c>
      <c r="E148" s="6">
        <v>600</v>
      </c>
      <c r="F148" s="7">
        <v>0.13980000000000001</v>
      </c>
      <c r="G148" s="6">
        <v>15</v>
      </c>
      <c r="H148" s="6">
        <v>0.126</v>
      </c>
      <c r="I148" s="6">
        <v>97</v>
      </c>
      <c r="J148" s="6">
        <v>0.12206500000000001</v>
      </c>
      <c r="K148" s="8">
        <v>1.2450000000000001</v>
      </c>
      <c r="L148" s="6">
        <v>2904.9251923713609</v>
      </c>
      <c r="M148" s="6">
        <v>1210.3646686951249</v>
      </c>
      <c r="N148" s="6">
        <v>1400.5956566517029</v>
      </c>
      <c r="O148" s="6">
        <v>1225.428030400562</v>
      </c>
      <c r="P148" s="6">
        <v>6741.313548118751</v>
      </c>
      <c r="Q148" s="6">
        <v>678.5779015104149</v>
      </c>
      <c r="R148" s="6">
        <v>360.15951364150078</v>
      </c>
      <c r="S148" s="6">
        <v>798.17601253803446</v>
      </c>
      <c r="T148" s="6">
        <v>1394.5666108430751</v>
      </c>
      <c r="U148" s="6">
        <v>3231.4800385330259</v>
      </c>
      <c r="V148" s="6">
        <v>9972.7935866517764</v>
      </c>
      <c r="W148" s="6">
        <v>33.936636897415099</v>
      </c>
      <c r="X148" s="6">
        <v>26.707103212485151</v>
      </c>
      <c r="Y148" s="6">
        <v>-28389.598502344881</v>
      </c>
      <c r="Z148" s="6">
        <v>-18356.161175583209</v>
      </c>
      <c r="AA148" s="6">
        <v>1295.2114473816509</v>
      </c>
      <c r="AB148" s="6">
        <v>-17060.949728201551</v>
      </c>
      <c r="AC148" s="6">
        <v>0</v>
      </c>
      <c r="AD148" s="6">
        <v>793.94089826212416</v>
      </c>
      <c r="AE148" s="6">
        <v>0</v>
      </c>
      <c r="AF148" s="6">
        <v>0</v>
      </c>
      <c r="AG148" s="6">
        <v>-16267.00882993943</v>
      </c>
      <c r="AH148" s="6">
        <v>337.37707368671931</v>
      </c>
      <c r="AI148" s="6">
        <v>0</v>
      </c>
      <c r="AJ148" s="6">
        <v>787.92835145093841</v>
      </c>
      <c r="AK148" s="6">
        <v>-15935.6443030639</v>
      </c>
      <c r="AL148" s="6">
        <v>0</v>
      </c>
      <c r="AM148" s="6">
        <v>0</v>
      </c>
      <c r="AN148" s="6">
        <v>0</v>
      </c>
      <c r="AO148" s="6">
        <v>0</v>
      </c>
      <c r="AP148" s="6">
        <v>0</v>
      </c>
      <c r="AQ148" s="6">
        <v>-15935.6443030639</v>
      </c>
      <c r="AR148" s="6">
        <v>420.12042728870188</v>
      </c>
      <c r="AS148" s="6">
        <v>134.69087300000001</v>
      </c>
      <c r="AT148" s="6">
        <v>18776.28160287191</v>
      </c>
      <c r="AU148" s="6">
        <v>17481.070155490259</v>
      </c>
    </row>
    <row r="149" spans="1:47" x14ac:dyDescent="0.35">
      <c r="A149" s="5">
        <v>46022</v>
      </c>
      <c r="B149" s="4" t="s">
        <v>238</v>
      </c>
      <c r="C149" s="4" t="s">
        <v>239</v>
      </c>
      <c r="D149" s="4" t="s">
        <v>61</v>
      </c>
      <c r="E149" s="6">
        <v>2670.8752720000002</v>
      </c>
      <c r="F149" s="7">
        <v>0.3427</v>
      </c>
      <c r="G149" s="6">
        <v>85</v>
      </c>
      <c r="H149" s="6">
        <v>7.78</v>
      </c>
      <c r="I149" s="6">
        <v>97</v>
      </c>
      <c r="J149" s="6">
        <v>7.5465999999999998</v>
      </c>
      <c r="K149" s="8">
        <v>40.649000000000001</v>
      </c>
      <c r="L149" s="6">
        <v>37.038488866816017</v>
      </c>
      <c r="M149" s="6">
        <v>0</v>
      </c>
      <c r="N149" s="6">
        <v>44.521637792083723</v>
      </c>
      <c r="O149" s="6">
        <v>49.463768509010571</v>
      </c>
      <c r="P149" s="6">
        <v>131.0238951679103</v>
      </c>
      <c r="Q149" s="6">
        <v>29.941778266791911</v>
      </c>
      <c r="R149" s="6">
        <v>24.267964017630419</v>
      </c>
      <c r="S149" s="6">
        <v>45.119210915167258</v>
      </c>
      <c r="T149" s="6">
        <v>67.618888894014844</v>
      </c>
      <c r="U149" s="6">
        <v>166.94784209360441</v>
      </c>
      <c r="V149" s="6">
        <v>297.97173726151482</v>
      </c>
      <c r="W149" s="6">
        <v>9.6760892918721133</v>
      </c>
      <c r="X149" s="6">
        <v>28.783144870128531</v>
      </c>
      <c r="Y149" s="6">
        <v>-595.50646946784593</v>
      </c>
      <c r="Z149" s="6">
        <v>-259.07549804433052</v>
      </c>
      <c r="AA149" s="6">
        <v>70.966033018511069</v>
      </c>
      <c r="AB149" s="6">
        <v>-188.1094650258195</v>
      </c>
      <c r="AC149" s="6">
        <v>0</v>
      </c>
      <c r="AD149" s="6">
        <v>36.669083237778963</v>
      </c>
      <c r="AE149" s="6">
        <v>0</v>
      </c>
      <c r="AF149" s="6">
        <v>0</v>
      </c>
      <c r="AG149" s="6">
        <v>-151.4403817880405</v>
      </c>
      <c r="AH149" s="6">
        <v>35.067913473746273</v>
      </c>
      <c r="AI149" s="6">
        <v>0</v>
      </c>
      <c r="AJ149" s="6">
        <v>21.71729769390776</v>
      </c>
      <c r="AK149" s="6">
        <v>-131.32425385816541</v>
      </c>
      <c r="AL149" s="6">
        <v>0</v>
      </c>
      <c r="AM149" s="6">
        <v>0</v>
      </c>
      <c r="AN149" s="6">
        <v>0</v>
      </c>
      <c r="AO149" s="6">
        <v>0</v>
      </c>
      <c r="AP149" s="6">
        <v>0</v>
      </c>
      <c r="AQ149" s="6">
        <v>-131.32425385816541</v>
      </c>
      <c r="AR149" s="6">
        <v>419.99999964779198</v>
      </c>
      <c r="AS149" s="6">
        <v>169.82570899999999</v>
      </c>
      <c r="AT149" s="6">
        <v>679.07549769212255</v>
      </c>
      <c r="AU149" s="6">
        <v>608.10946467361146</v>
      </c>
    </row>
    <row r="150" spans="1:47" x14ac:dyDescent="0.35">
      <c r="A150" s="5">
        <v>46022</v>
      </c>
      <c r="B150" s="4" t="s">
        <v>736</v>
      </c>
      <c r="C150" s="4" t="s">
        <v>737</v>
      </c>
      <c r="D150" s="4" t="s">
        <v>61</v>
      </c>
      <c r="E150" s="6">
        <v>1099.29</v>
      </c>
      <c r="F150" s="7">
        <v>1.2</v>
      </c>
      <c r="G150" s="6">
        <v>94</v>
      </c>
      <c r="H150" s="6">
        <v>12.4</v>
      </c>
      <c r="I150" s="6">
        <v>97</v>
      </c>
      <c r="J150" s="6">
        <v>12.027991</v>
      </c>
      <c r="K150" s="8">
        <v>100</v>
      </c>
      <c r="L150" s="6">
        <v>48.237147634339728</v>
      </c>
      <c r="M150" s="6">
        <v>0</v>
      </c>
      <c r="N150" s="6">
        <v>7.0119730199224106</v>
      </c>
      <c r="O150" s="6">
        <v>28.054835920161409</v>
      </c>
      <c r="P150" s="6">
        <v>83.303956574423566</v>
      </c>
      <c r="Q150" s="6">
        <v>8.04823031616551</v>
      </c>
      <c r="R150" s="6">
        <v>6.150650756651129</v>
      </c>
      <c r="S150" s="6">
        <v>8.7063737344445684</v>
      </c>
      <c r="T150" s="6">
        <v>19.777458868427459</v>
      </c>
      <c r="U150" s="6">
        <v>42.682713675688667</v>
      </c>
      <c r="V150" s="6">
        <v>125.9866702501122</v>
      </c>
      <c r="W150" s="6">
        <v>7.3331512653648083</v>
      </c>
      <c r="X150" s="6">
        <v>26.70485998202027</v>
      </c>
      <c r="Y150" s="6">
        <v>-7.2574779199999985E-16</v>
      </c>
      <c r="Z150" s="6">
        <v>160.02468149749731</v>
      </c>
      <c r="AA150" s="6">
        <v>34.679684412012868</v>
      </c>
      <c r="AB150" s="6">
        <v>194.70436590951019</v>
      </c>
      <c r="AC150" s="6">
        <v>0</v>
      </c>
      <c r="AD150" s="6">
        <v>27.360829120436811</v>
      </c>
      <c r="AE150" s="6">
        <v>0</v>
      </c>
      <c r="AF150" s="6">
        <v>0</v>
      </c>
      <c r="AG150" s="6">
        <v>222.06519502994701</v>
      </c>
      <c r="AH150" s="6">
        <v>7.279582413339865</v>
      </c>
      <c r="AI150" s="6">
        <v>0</v>
      </c>
      <c r="AJ150" s="6">
        <v>8.2696040959819719</v>
      </c>
      <c r="AK150" s="6">
        <v>210.25355241883199</v>
      </c>
      <c r="AL150" s="6">
        <v>0</v>
      </c>
      <c r="AM150" s="6">
        <v>0</v>
      </c>
      <c r="AN150" s="6">
        <v>0</v>
      </c>
      <c r="AO150" s="6">
        <v>0</v>
      </c>
      <c r="AP150" s="6">
        <v>0</v>
      </c>
      <c r="AQ150" s="6">
        <v>210.25355241883199</v>
      </c>
      <c r="AR150" s="6">
        <v>420.00031391473777</v>
      </c>
      <c r="AS150" s="6">
        <v>111.37224399999999</v>
      </c>
      <c r="AT150" s="6">
        <v>259.97563241724049</v>
      </c>
      <c r="AU150" s="6">
        <v>225.2959480052277</v>
      </c>
    </row>
    <row r="151" spans="1:47" x14ac:dyDescent="0.35">
      <c r="A151" s="5">
        <v>46022</v>
      </c>
      <c r="B151" s="4" t="s">
        <v>288</v>
      </c>
      <c r="C151" s="4" t="s">
        <v>289</v>
      </c>
      <c r="D151" s="4" t="s">
        <v>61</v>
      </c>
      <c r="E151" s="6">
        <v>23.91</v>
      </c>
      <c r="F151" s="7">
        <v>0.75190000000000001</v>
      </c>
      <c r="G151" s="6">
        <v>89</v>
      </c>
      <c r="H151" s="6">
        <v>0.16</v>
      </c>
      <c r="I151" s="6">
        <v>97</v>
      </c>
      <c r="J151" s="6">
        <v>0.1552</v>
      </c>
      <c r="K151" s="8">
        <v>91.748000000000005</v>
      </c>
      <c r="L151" s="6">
        <v>42.627826401925667</v>
      </c>
      <c r="M151" s="6">
        <v>1.0401515087733</v>
      </c>
      <c r="N151" s="6">
        <v>31.775242171578672</v>
      </c>
      <c r="O151" s="6">
        <v>56.818269178730183</v>
      </c>
      <c r="P151" s="6">
        <v>132.2614892610078</v>
      </c>
      <c r="Q151" s="6">
        <v>12.57311647315907</v>
      </c>
      <c r="R151" s="6">
        <v>8.9449340084527496</v>
      </c>
      <c r="S151" s="6">
        <v>17.782986383785222</v>
      </c>
      <c r="T151" s="6">
        <v>19.115362549886001</v>
      </c>
      <c r="U151" s="6">
        <v>58.416399415283038</v>
      </c>
      <c r="V151" s="6">
        <v>190.67788867629091</v>
      </c>
      <c r="W151" s="6">
        <v>0.84336975535427994</v>
      </c>
      <c r="X151" s="6">
        <v>24.266196484999998</v>
      </c>
      <c r="Y151" s="6">
        <v>-36.610757185487472</v>
      </c>
      <c r="Z151" s="6">
        <v>179.1766977311577</v>
      </c>
      <c r="AA151" s="6">
        <v>38.591479728242298</v>
      </c>
      <c r="AB151" s="6">
        <v>217.76817745939999</v>
      </c>
      <c r="AC151" s="6">
        <v>0</v>
      </c>
      <c r="AD151" s="6">
        <v>24.512273571469819</v>
      </c>
      <c r="AE151" s="6">
        <v>0</v>
      </c>
      <c r="AF151" s="6">
        <v>0</v>
      </c>
      <c r="AG151" s="6">
        <v>242.28045103086981</v>
      </c>
      <c r="AH151" s="6">
        <v>14.27346733928259</v>
      </c>
      <c r="AI151" s="6">
        <v>0</v>
      </c>
      <c r="AJ151" s="6">
        <v>11.19102759453669</v>
      </c>
      <c r="AK151" s="6">
        <v>243.2326723932193</v>
      </c>
      <c r="AL151" s="6">
        <v>0</v>
      </c>
      <c r="AM151" s="6">
        <v>0</v>
      </c>
      <c r="AN151" s="6">
        <v>0</v>
      </c>
      <c r="AO151" s="6">
        <v>0</v>
      </c>
      <c r="AP151" s="6">
        <v>0</v>
      </c>
      <c r="AQ151" s="6">
        <v>243.2326723932193</v>
      </c>
      <c r="AR151" s="6">
        <v>419.99999964779192</v>
      </c>
      <c r="AS151" s="6">
        <v>1.562643</v>
      </c>
      <c r="AT151" s="6">
        <v>240.82330191663431</v>
      </c>
      <c r="AU151" s="6">
        <v>202.23182218839199</v>
      </c>
    </row>
    <row r="152" spans="1:47" x14ac:dyDescent="0.35">
      <c r="A152" s="5">
        <v>46022</v>
      </c>
      <c r="B152" s="4" t="s">
        <v>290</v>
      </c>
      <c r="C152" s="4" t="s">
        <v>291</v>
      </c>
      <c r="D152" s="4" t="s">
        <v>111</v>
      </c>
      <c r="E152" s="6">
        <v>1701</v>
      </c>
      <c r="F152" s="7">
        <v>0.45</v>
      </c>
      <c r="G152" s="6">
        <v>57</v>
      </c>
      <c r="H152" s="6">
        <v>4.3630000000000004</v>
      </c>
      <c r="I152" s="6">
        <v>59.075713999999998</v>
      </c>
      <c r="J152" s="6">
        <v>2.577512</v>
      </c>
      <c r="K152" s="8">
        <v>10.912000000000001</v>
      </c>
      <c r="L152" s="6">
        <v>526.08431195132641</v>
      </c>
      <c r="M152" s="6">
        <v>63.934972200639351</v>
      </c>
      <c r="N152" s="6">
        <v>71.859124816333235</v>
      </c>
      <c r="O152" s="6">
        <v>284.0401516207578</v>
      </c>
      <c r="P152" s="6">
        <v>945.91856058905682</v>
      </c>
      <c r="Q152" s="6">
        <v>246.41229565303431</v>
      </c>
      <c r="R152" s="6">
        <v>131.18582860086329</v>
      </c>
      <c r="S152" s="6">
        <v>266.11889491407629</v>
      </c>
      <c r="T152" s="6">
        <v>167.77307789514799</v>
      </c>
      <c r="U152" s="6">
        <v>811.49009706312199</v>
      </c>
      <c r="V152" s="6">
        <v>1757.408657652179</v>
      </c>
      <c r="W152" s="6">
        <v>12.336250465789179</v>
      </c>
      <c r="X152" s="6">
        <v>22.206251259962318</v>
      </c>
      <c r="Y152" s="6">
        <v>-3300.0395732160669</v>
      </c>
      <c r="Z152" s="6">
        <v>-1508.0884138381371</v>
      </c>
      <c r="AA152" s="6">
        <v>149.77385231158101</v>
      </c>
      <c r="AB152" s="6">
        <v>-1358.314561526556</v>
      </c>
      <c r="AC152" s="6">
        <v>0</v>
      </c>
      <c r="AD152" s="6">
        <v>193.83928274216979</v>
      </c>
      <c r="AE152" s="6">
        <v>0</v>
      </c>
      <c r="AF152" s="6">
        <v>0</v>
      </c>
      <c r="AG152" s="6">
        <v>-1164.4752787843861</v>
      </c>
      <c r="AH152" s="6">
        <v>65.138750837859007</v>
      </c>
      <c r="AI152" s="6">
        <v>0</v>
      </c>
      <c r="AJ152" s="6">
        <v>175.98070849598321</v>
      </c>
      <c r="AK152" s="6">
        <v>-1117.1951021927141</v>
      </c>
      <c r="AL152" s="6">
        <v>0</v>
      </c>
      <c r="AM152" s="6">
        <v>0</v>
      </c>
      <c r="AN152" s="6">
        <v>0</v>
      </c>
      <c r="AO152" s="6">
        <v>0</v>
      </c>
      <c r="AP152" s="6">
        <v>0</v>
      </c>
      <c r="AQ152" s="6">
        <v>-1117.1951021927141</v>
      </c>
      <c r="AR152" s="6">
        <v>419.99804427377398</v>
      </c>
      <c r="AS152" s="6">
        <v>236.27872400000001</v>
      </c>
      <c r="AT152" s="6">
        <v>1928.086458111911</v>
      </c>
      <c r="AU152" s="6">
        <v>1778.3126058003299</v>
      </c>
    </row>
    <row r="153" spans="1:47" x14ac:dyDescent="0.35">
      <c r="A153" s="5">
        <v>46022</v>
      </c>
      <c r="B153" s="4" t="s">
        <v>240</v>
      </c>
      <c r="C153" s="4" t="s">
        <v>241</v>
      </c>
      <c r="D153" s="4" t="s">
        <v>105</v>
      </c>
      <c r="E153" s="6">
        <v>4540</v>
      </c>
      <c r="F153" s="7">
        <v>7.22E-2</v>
      </c>
      <c r="G153" s="6">
        <v>60</v>
      </c>
      <c r="H153" s="6">
        <v>1.9670000000000001</v>
      </c>
      <c r="I153" s="6">
        <v>95</v>
      </c>
      <c r="J153" s="6">
        <v>1.8683350000000001</v>
      </c>
      <c r="K153" s="8">
        <v>3.1840000000000002</v>
      </c>
      <c r="L153" s="6">
        <v>6847.7020711179521</v>
      </c>
      <c r="M153" s="6">
        <v>78.025453602538121</v>
      </c>
      <c r="N153" s="6">
        <v>1926.329273407455</v>
      </c>
      <c r="O153" s="6">
        <v>2842.2864803991552</v>
      </c>
      <c r="P153" s="6">
        <v>11694.3432785271</v>
      </c>
      <c r="Q153" s="6">
        <v>389.77070102770381</v>
      </c>
      <c r="R153" s="6">
        <v>203.69839678961119</v>
      </c>
      <c r="S153" s="6">
        <v>730.65259643225704</v>
      </c>
      <c r="T153" s="6">
        <v>886.88140135410868</v>
      </c>
      <c r="U153" s="6">
        <v>2211.0030956036808</v>
      </c>
      <c r="V153" s="6">
        <v>13905.346374130781</v>
      </c>
      <c r="W153" s="6">
        <v>11.716589641519629</v>
      </c>
      <c r="X153" s="6">
        <v>0</v>
      </c>
      <c r="Y153" s="6">
        <v>-14799.16815765261</v>
      </c>
      <c r="Z153" s="6">
        <v>-882.10519388030787</v>
      </c>
      <c r="AA153" s="6">
        <v>217.32689328846081</v>
      </c>
      <c r="AB153" s="6">
        <v>-664.77830059184714</v>
      </c>
      <c r="AC153" s="6">
        <v>0</v>
      </c>
      <c r="AD153" s="6">
        <v>3412.0406221766539</v>
      </c>
      <c r="AE153" s="6">
        <v>0</v>
      </c>
      <c r="AF153" s="6">
        <v>0</v>
      </c>
      <c r="AG153" s="6">
        <v>2747.2623215848071</v>
      </c>
      <c r="AH153" s="6">
        <v>79.450288661247313</v>
      </c>
      <c r="AI153" s="6">
        <v>0</v>
      </c>
      <c r="AJ153" s="6">
        <v>2085.8020112304339</v>
      </c>
      <c r="AK153" s="6">
        <v>1500.4739992998341</v>
      </c>
      <c r="AL153" s="6">
        <v>0</v>
      </c>
      <c r="AM153" s="6">
        <v>0</v>
      </c>
      <c r="AN153" s="6">
        <v>0</v>
      </c>
      <c r="AO153" s="6">
        <v>0</v>
      </c>
      <c r="AP153" s="6">
        <v>0</v>
      </c>
      <c r="AQ153" s="6">
        <v>1500.4739992998341</v>
      </c>
      <c r="AR153" s="6">
        <v>419.99213167979491</v>
      </c>
      <c r="AS153" s="6">
        <v>653.03340300000002</v>
      </c>
      <c r="AT153" s="6">
        <v>1302.0973255601029</v>
      </c>
      <c r="AU153" s="6">
        <v>1084.770432271642</v>
      </c>
    </row>
    <row r="154" spans="1:47" x14ac:dyDescent="0.35">
      <c r="A154" s="5">
        <v>46022</v>
      </c>
      <c r="B154" s="4" t="s">
        <v>738</v>
      </c>
      <c r="C154" s="4" t="s">
        <v>739</v>
      </c>
      <c r="D154" s="4" t="s">
        <v>222</v>
      </c>
      <c r="E154" s="6">
        <v>2914</v>
      </c>
      <c r="F154" s="7">
        <v>0.06</v>
      </c>
      <c r="G154" s="6">
        <v>84</v>
      </c>
      <c r="H154" s="6">
        <v>1.4690000000000001</v>
      </c>
      <c r="I154" s="6">
        <v>96.5</v>
      </c>
      <c r="J154" s="6">
        <v>1.4172530000000001</v>
      </c>
      <c r="K154" s="8">
        <v>4.1349999999999998</v>
      </c>
      <c r="L154" s="6">
        <v>2683.120745337319</v>
      </c>
      <c r="M154" s="6">
        <v>84.446467896899023</v>
      </c>
      <c r="N154" s="6">
        <v>99.502608840807198</v>
      </c>
      <c r="O154" s="6">
        <v>2429.3992444362548</v>
      </c>
      <c r="P154" s="6">
        <v>5296.4690665112794</v>
      </c>
      <c r="Q154" s="6">
        <v>61.208951389843392</v>
      </c>
      <c r="R154" s="6">
        <v>254.81659131944971</v>
      </c>
      <c r="S154" s="6">
        <v>889.15205288417303</v>
      </c>
      <c r="T154" s="6">
        <v>473.28573084718232</v>
      </c>
      <c r="U154" s="6">
        <v>1678.463326440648</v>
      </c>
      <c r="V154" s="6">
        <v>6974.9323929519278</v>
      </c>
      <c r="W154" s="6">
        <v>108.05044009010901</v>
      </c>
      <c r="X154" s="6">
        <v>105.08056864455391</v>
      </c>
      <c r="Y154" s="6">
        <v>-7548.8831163413852</v>
      </c>
      <c r="Z154" s="6">
        <v>-360.8197146547941</v>
      </c>
      <c r="AA154" s="6">
        <v>317.12918261804441</v>
      </c>
      <c r="AB154" s="6">
        <v>-43.690532036749708</v>
      </c>
      <c r="AC154" s="6">
        <v>0</v>
      </c>
      <c r="AD154" s="6">
        <v>1147.815450070354</v>
      </c>
      <c r="AE154" s="6">
        <v>0</v>
      </c>
      <c r="AF154" s="6">
        <v>-31.688141434696352</v>
      </c>
      <c r="AG154" s="6">
        <v>1072.436776598908</v>
      </c>
      <c r="AH154" s="6">
        <v>505.09716554819659</v>
      </c>
      <c r="AI154" s="6">
        <v>0</v>
      </c>
      <c r="AJ154" s="6">
        <v>827.83249195283702</v>
      </c>
      <c r="AK154" s="6">
        <v>1289.2391254642839</v>
      </c>
      <c r="AL154" s="6">
        <v>241.2058354295479</v>
      </c>
      <c r="AM154" s="6">
        <v>0</v>
      </c>
      <c r="AN154" s="6">
        <v>0</v>
      </c>
      <c r="AO154" s="6">
        <v>0</v>
      </c>
      <c r="AP154" s="6">
        <v>0</v>
      </c>
      <c r="AQ154" s="6">
        <v>1530.4449608938321</v>
      </c>
      <c r="AR154" s="6">
        <v>420.01392800072779</v>
      </c>
      <c r="AS154" s="6">
        <v>251.248683</v>
      </c>
      <c r="AT154" s="6">
        <v>780.83364265552188</v>
      </c>
      <c r="AU154" s="6">
        <v>463.70446003747747</v>
      </c>
    </row>
    <row r="155" spans="1:47" x14ac:dyDescent="0.35">
      <c r="A155" s="5">
        <v>46022</v>
      </c>
      <c r="B155" s="4" t="s">
        <v>396</v>
      </c>
      <c r="C155" s="4" t="s">
        <v>397</v>
      </c>
      <c r="D155" s="4" t="s">
        <v>398</v>
      </c>
      <c r="E155" s="6">
        <v>3008</v>
      </c>
      <c r="F155" s="7">
        <v>2.35</v>
      </c>
      <c r="G155" s="6">
        <v>91</v>
      </c>
      <c r="H155" s="6">
        <v>64.325999999999993</v>
      </c>
      <c r="I155" s="6">
        <v>96.5</v>
      </c>
      <c r="J155" s="6">
        <v>62.074666999999998</v>
      </c>
      <c r="K155" s="8">
        <v>92.119</v>
      </c>
      <c r="L155" s="6">
        <v>48.376490425643887</v>
      </c>
      <c r="M155" s="6">
        <v>7.9407571552155636</v>
      </c>
      <c r="N155" s="6">
        <v>11.6859443673335</v>
      </c>
      <c r="O155" s="6">
        <v>45.508070829376969</v>
      </c>
      <c r="P155" s="6">
        <v>113.5112627775699</v>
      </c>
      <c r="Q155" s="6">
        <v>13.303253686940019</v>
      </c>
      <c r="R155" s="6">
        <v>20.551113149413549</v>
      </c>
      <c r="S155" s="6">
        <v>25.86587774982371</v>
      </c>
      <c r="T155" s="6">
        <v>15.76942032290275</v>
      </c>
      <c r="U155" s="6">
        <v>75.48966490908002</v>
      </c>
      <c r="V155" s="6">
        <v>189.0009276866499</v>
      </c>
      <c r="W155" s="6">
        <v>4.8055602686995877</v>
      </c>
      <c r="X155" s="6">
        <v>23.041408147796069</v>
      </c>
      <c r="Y155" s="6">
        <v>-34.986491246130029</v>
      </c>
      <c r="Z155" s="6">
        <v>181.8614048570156</v>
      </c>
      <c r="AA155" s="6">
        <v>0</v>
      </c>
      <c r="AB155" s="6">
        <v>181.8614048570156</v>
      </c>
      <c r="AC155" s="6">
        <v>0</v>
      </c>
      <c r="AD155" s="6">
        <v>37.599077080839557</v>
      </c>
      <c r="AE155" s="6">
        <v>0</v>
      </c>
      <c r="AF155" s="6">
        <v>0</v>
      </c>
      <c r="AG155" s="6">
        <v>219.46048193785509</v>
      </c>
      <c r="AH155" s="6">
        <v>5.8537336284869177</v>
      </c>
      <c r="AI155" s="6">
        <v>0</v>
      </c>
      <c r="AJ155" s="6">
        <v>24.760003018085161</v>
      </c>
      <c r="AK155" s="6">
        <v>212.47514150358771</v>
      </c>
      <c r="AL155" s="6">
        <v>0</v>
      </c>
      <c r="AM155" s="6">
        <v>0</v>
      </c>
      <c r="AN155" s="6">
        <v>0</v>
      </c>
      <c r="AO155" s="6">
        <v>0</v>
      </c>
      <c r="AP155" s="6">
        <v>0</v>
      </c>
      <c r="AQ155" s="6">
        <v>212.47514150358771</v>
      </c>
      <c r="AR155" s="6">
        <v>420.00022292728192</v>
      </c>
      <c r="AS155" s="6">
        <v>622.97429</v>
      </c>
      <c r="AT155" s="6">
        <v>238.13881807026641</v>
      </c>
      <c r="AU155" s="6">
        <v>238.13881807026641</v>
      </c>
    </row>
    <row r="156" spans="1:47" x14ac:dyDescent="0.35">
      <c r="A156" s="5">
        <v>46022</v>
      </c>
      <c r="B156" s="4" t="s">
        <v>292</v>
      </c>
      <c r="C156" s="4" t="s">
        <v>293</v>
      </c>
      <c r="D156" s="4" t="s">
        <v>61</v>
      </c>
      <c r="E156" s="6">
        <v>11500</v>
      </c>
      <c r="F156" s="7">
        <v>0.68</v>
      </c>
      <c r="G156" s="6">
        <v>82</v>
      </c>
      <c r="H156" s="6">
        <v>64.123999999999995</v>
      </c>
      <c r="I156" s="6">
        <v>96.5</v>
      </c>
      <c r="J156" s="6">
        <v>61.879660000000001</v>
      </c>
      <c r="K156" s="8">
        <v>59.576000000000001</v>
      </c>
      <c r="L156" s="6">
        <v>36.289926960400422</v>
      </c>
      <c r="M156" s="6">
        <v>25.608878850638561</v>
      </c>
      <c r="N156" s="6">
        <v>18.922774029923211</v>
      </c>
      <c r="O156" s="6">
        <v>150.09734374267029</v>
      </c>
      <c r="P156" s="6">
        <v>230.91892358363251</v>
      </c>
      <c r="Q156" s="6">
        <v>8.4501688125905989</v>
      </c>
      <c r="R156" s="6">
        <v>9.6749889258794166</v>
      </c>
      <c r="S156" s="6">
        <v>43.75591183907234</v>
      </c>
      <c r="T156" s="6">
        <v>27.383328317641109</v>
      </c>
      <c r="U156" s="6">
        <v>89.264397895183464</v>
      </c>
      <c r="V156" s="6">
        <v>320.18332147881591</v>
      </c>
      <c r="W156" s="6">
        <v>0</v>
      </c>
      <c r="X156" s="6">
        <v>19.285574356954129</v>
      </c>
      <c r="Y156" s="6">
        <v>-276.02957074144649</v>
      </c>
      <c r="Z156" s="6">
        <v>63.43932509432355</v>
      </c>
      <c r="AA156" s="6">
        <v>26.26369956588572</v>
      </c>
      <c r="AB156" s="6">
        <v>89.703024660209266</v>
      </c>
      <c r="AC156" s="6">
        <v>0</v>
      </c>
      <c r="AD156" s="6">
        <v>44.244214624968592</v>
      </c>
      <c r="AE156" s="6">
        <v>0</v>
      </c>
      <c r="AF156" s="6">
        <v>0</v>
      </c>
      <c r="AG156" s="6">
        <v>133.94723928517789</v>
      </c>
      <c r="AH156" s="6">
        <v>28.04008317291148</v>
      </c>
      <c r="AI156" s="6">
        <v>0</v>
      </c>
      <c r="AJ156" s="6">
        <v>12.970269836605249</v>
      </c>
      <c r="AK156" s="6">
        <v>130.71337766972599</v>
      </c>
      <c r="AL156" s="6">
        <v>0</v>
      </c>
      <c r="AM156" s="6">
        <v>0</v>
      </c>
      <c r="AN156" s="6">
        <v>0</v>
      </c>
      <c r="AO156" s="6">
        <v>0</v>
      </c>
      <c r="AP156" s="6">
        <v>0</v>
      </c>
      <c r="AQ156" s="6">
        <v>130.71337766972599</v>
      </c>
      <c r="AR156" s="6">
        <v>420.0002711424961</v>
      </c>
      <c r="AS156" s="6">
        <v>949.88513999999998</v>
      </c>
      <c r="AT156" s="6">
        <v>356.56094604817258</v>
      </c>
      <c r="AU156" s="6">
        <v>330.29724648228682</v>
      </c>
    </row>
    <row r="157" spans="1:47" x14ac:dyDescent="0.35">
      <c r="A157" s="5">
        <v>46022</v>
      </c>
      <c r="B157" s="4" t="s">
        <v>294</v>
      </c>
      <c r="C157" s="4" t="s">
        <v>295</v>
      </c>
      <c r="D157" s="4" t="s">
        <v>61</v>
      </c>
      <c r="E157" s="6">
        <v>250</v>
      </c>
      <c r="F157" s="7">
        <v>0.43330000000000002</v>
      </c>
      <c r="G157" s="6">
        <v>95</v>
      </c>
      <c r="H157" s="6">
        <v>1.0289999999999999</v>
      </c>
      <c r="I157" s="6">
        <v>97</v>
      </c>
      <c r="J157" s="6">
        <v>0.99812999999999996</v>
      </c>
      <c r="K157" s="8">
        <v>61.222999999999999</v>
      </c>
      <c r="L157" s="6">
        <v>108.3512508215986</v>
      </c>
      <c r="M157" s="6">
        <v>5.5822427290816323</v>
      </c>
      <c r="N157" s="6">
        <v>143.17124663248299</v>
      </c>
      <c r="O157" s="6">
        <v>70.255987992517007</v>
      </c>
      <c r="P157" s="6">
        <v>327.36072817568032</v>
      </c>
      <c r="Q157" s="6">
        <v>11.004215063435369</v>
      </c>
      <c r="R157" s="6">
        <v>17.528311926190479</v>
      </c>
      <c r="S157" s="6">
        <v>40.983708666326528</v>
      </c>
      <c r="T157" s="6">
        <v>45.490627594387753</v>
      </c>
      <c r="U157" s="6">
        <v>115.0068632503401</v>
      </c>
      <c r="V157" s="6">
        <v>442.3675914260204</v>
      </c>
      <c r="W157" s="6">
        <v>6.8327114541796217</v>
      </c>
      <c r="X157" s="6">
        <v>26.42829870682176</v>
      </c>
      <c r="Y157" s="6">
        <v>-258.34266041070549</v>
      </c>
      <c r="Z157" s="6">
        <v>217.2859411763163</v>
      </c>
      <c r="AA157" s="6">
        <v>58.118876483301271</v>
      </c>
      <c r="AB157" s="6">
        <v>275.40481765961761</v>
      </c>
      <c r="AC157" s="6">
        <v>0</v>
      </c>
      <c r="AD157" s="6">
        <v>15.193819741496601</v>
      </c>
      <c r="AE157" s="6">
        <v>0</v>
      </c>
      <c r="AF157" s="6">
        <v>0</v>
      </c>
      <c r="AG157" s="6">
        <v>290.59863740111422</v>
      </c>
      <c r="AH157" s="6">
        <v>57.296035576700682</v>
      </c>
      <c r="AI157" s="6">
        <v>0</v>
      </c>
      <c r="AJ157" s="6">
        <v>28.2011477542517</v>
      </c>
      <c r="AK157" s="6">
        <v>360.90200099057</v>
      </c>
      <c r="AL157" s="6">
        <v>0</v>
      </c>
      <c r="AM157" s="6">
        <v>0</v>
      </c>
      <c r="AN157" s="6">
        <v>0</v>
      </c>
      <c r="AO157" s="6">
        <v>0</v>
      </c>
      <c r="AP157" s="6">
        <v>0</v>
      </c>
      <c r="AQ157" s="6">
        <v>360.90200099057</v>
      </c>
      <c r="AR157" s="6">
        <v>419.9873760416591</v>
      </c>
      <c r="AS157" s="6">
        <v>14.977897</v>
      </c>
      <c r="AT157" s="6">
        <v>202.70143486534269</v>
      </c>
      <c r="AU157" s="6">
        <v>144.5825583820415</v>
      </c>
    </row>
    <row r="158" spans="1:47" x14ac:dyDescent="0.35">
      <c r="A158" s="5">
        <v>46022</v>
      </c>
      <c r="B158" s="4" t="s">
        <v>242</v>
      </c>
      <c r="C158" s="4" t="s">
        <v>243</v>
      </c>
      <c r="D158" s="4" t="s">
        <v>61</v>
      </c>
      <c r="E158" s="6">
        <v>13500</v>
      </c>
      <c r="F158" s="7">
        <v>0.8</v>
      </c>
      <c r="G158" s="6">
        <v>90</v>
      </c>
      <c r="H158" s="6">
        <v>97.2</v>
      </c>
      <c r="I158" s="6">
        <v>95</v>
      </c>
      <c r="J158" s="6">
        <v>92.34</v>
      </c>
      <c r="K158" s="8">
        <v>24.073</v>
      </c>
      <c r="L158" s="6">
        <v>221.90966888162049</v>
      </c>
      <c r="M158" s="6">
        <v>5.7231022564640339</v>
      </c>
      <c r="N158" s="6">
        <v>11.927861252954971</v>
      </c>
      <c r="O158" s="6">
        <v>46.372100804449119</v>
      </c>
      <c r="P158" s="6">
        <v>285.93273319548859</v>
      </c>
      <c r="Q158" s="6">
        <v>7.5223387278625724</v>
      </c>
      <c r="R158" s="6">
        <v>4.6657612001787996</v>
      </c>
      <c r="S158" s="6">
        <v>15.73869367622734</v>
      </c>
      <c r="T158" s="6">
        <v>12.185248397060381</v>
      </c>
      <c r="U158" s="6">
        <v>40.112042001329087</v>
      </c>
      <c r="V158" s="6">
        <v>326.04477519681768</v>
      </c>
      <c r="W158" s="6">
        <v>7.9630680989082432</v>
      </c>
      <c r="X158" s="6">
        <v>8.23</v>
      </c>
      <c r="Y158" s="6">
        <v>-1026.2801811993099</v>
      </c>
      <c r="Z158" s="6">
        <v>-684.04233790358444</v>
      </c>
      <c r="AA158" s="6">
        <v>23.930555963010612</v>
      </c>
      <c r="AB158" s="6">
        <v>-660.11178194057379</v>
      </c>
      <c r="AC158" s="6">
        <v>0</v>
      </c>
      <c r="AD158" s="6">
        <v>118.3543186036637</v>
      </c>
      <c r="AE158" s="6">
        <v>0</v>
      </c>
      <c r="AF158" s="6">
        <v>0</v>
      </c>
      <c r="AG158" s="6">
        <v>-541.75746333690995</v>
      </c>
      <c r="AH158" s="6">
        <v>17.192695954903652</v>
      </c>
      <c r="AI158" s="6">
        <v>0</v>
      </c>
      <c r="AJ158" s="6">
        <v>88.419563091655107</v>
      </c>
      <c r="AK158" s="6">
        <v>-554.49952289401494</v>
      </c>
      <c r="AL158" s="6">
        <v>0</v>
      </c>
      <c r="AM158" s="6">
        <v>0</v>
      </c>
      <c r="AN158" s="6">
        <v>0</v>
      </c>
      <c r="AO158" s="6">
        <v>0</v>
      </c>
      <c r="AP158" s="6">
        <v>0</v>
      </c>
      <c r="AQ158" s="6">
        <v>-554.49952289401494</v>
      </c>
      <c r="AR158" s="6">
        <v>419.99999964779192</v>
      </c>
      <c r="AS158" s="6">
        <v>3184.5192280000001</v>
      </c>
      <c r="AT158" s="6">
        <v>1104.042337551376</v>
      </c>
      <c r="AU158" s="6">
        <v>1080.1117815883661</v>
      </c>
    </row>
    <row r="159" spans="1:47" x14ac:dyDescent="0.35">
      <c r="A159" s="5">
        <v>46022</v>
      </c>
      <c r="B159" s="4" t="s">
        <v>244</v>
      </c>
      <c r="C159" s="4" t="s">
        <v>245</v>
      </c>
      <c r="D159" s="4" t="s">
        <v>61</v>
      </c>
      <c r="E159" s="6">
        <v>33.74</v>
      </c>
      <c r="F159" s="7">
        <v>0.74</v>
      </c>
      <c r="G159" s="6">
        <v>89</v>
      </c>
      <c r="H159" s="6">
        <v>0.222</v>
      </c>
      <c r="I159" s="6">
        <v>97</v>
      </c>
      <c r="J159" s="6">
        <v>0.21554499999999999</v>
      </c>
      <c r="K159" s="8">
        <v>91.388000000000005</v>
      </c>
      <c r="L159" s="6">
        <v>52.257746785853541</v>
      </c>
      <c r="M159" s="6">
        <v>0</v>
      </c>
      <c r="N159" s="6">
        <v>37.498036122565317</v>
      </c>
      <c r="O159" s="6">
        <v>51.831732545751471</v>
      </c>
      <c r="P159" s="6">
        <v>141.5875154541703</v>
      </c>
      <c r="Q159" s="6">
        <v>21.655723871855059</v>
      </c>
      <c r="R159" s="6">
        <v>0.1148818400808574</v>
      </c>
      <c r="S159" s="6">
        <v>2.3228213434445149</v>
      </c>
      <c r="T159" s="6">
        <v>34.909545198755822</v>
      </c>
      <c r="U159" s="6">
        <v>59.00297225413626</v>
      </c>
      <c r="V159" s="6">
        <v>200.5904877083066</v>
      </c>
      <c r="W159" s="6">
        <v>2.8482603367272659</v>
      </c>
      <c r="X159" s="6">
        <v>25.003545540355841</v>
      </c>
      <c r="Y159" s="6">
        <v>4.5359237000000001E-16</v>
      </c>
      <c r="Z159" s="6">
        <v>228.44229358538971</v>
      </c>
      <c r="AA159" s="6">
        <v>52.8261753782783</v>
      </c>
      <c r="AB159" s="6">
        <v>281.268468963668</v>
      </c>
      <c r="AC159" s="6">
        <v>0</v>
      </c>
      <c r="AD159" s="6">
        <v>17.25561449224886</v>
      </c>
      <c r="AE159" s="6">
        <v>0</v>
      </c>
      <c r="AF159" s="6">
        <v>0</v>
      </c>
      <c r="AG159" s="6">
        <v>298.52408345591692</v>
      </c>
      <c r="AH159" s="6">
        <v>17.654591028579119</v>
      </c>
      <c r="AI159" s="6">
        <v>0</v>
      </c>
      <c r="AJ159" s="6">
        <v>17.25561449224886</v>
      </c>
      <c r="AK159" s="6">
        <v>316.17867448449601</v>
      </c>
      <c r="AL159" s="6">
        <v>0</v>
      </c>
      <c r="AM159" s="6">
        <v>0</v>
      </c>
      <c r="AN159" s="6">
        <v>0</v>
      </c>
      <c r="AO159" s="6">
        <v>0</v>
      </c>
      <c r="AP159" s="6">
        <v>0</v>
      </c>
      <c r="AQ159" s="6">
        <v>316.17867448449601</v>
      </c>
      <c r="AR159" s="6">
        <v>419.91231494165572</v>
      </c>
      <c r="AS159" s="6">
        <v>2.171144</v>
      </c>
      <c r="AT159" s="6">
        <v>191.47002135626599</v>
      </c>
      <c r="AU159" s="6">
        <v>138.6438459779877</v>
      </c>
    </row>
    <row r="160" spans="1:47" x14ac:dyDescent="0.35">
      <c r="A160" s="5">
        <v>46022</v>
      </c>
      <c r="B160" s="4" t="s">
        <v>740</v>
      </c>
      <c r="C160" s="4" t="s">
        <v>741</v>
      </c>
      <c r="D160" s="4" t="s">
        <v>61</v>
      </c>
      <c r="E160" s="6">
        <v>184.533333</v>
      </c>
      <c r="F160" s="7">
        <v>1.1345000000000001</v>
      </c>
      <c r="G160" s="6">
        <v>87</v>
      </c>
      <c r="H160" s="6">
        <v>1.821</v>
      </c>
      <c r="I160" s="6">
        <v>97</v>
      </c>
      <c r="J160" s="6">
        <v>1.766805</v>
      </c>
      <c r="K160" s="8">
        <v>76.385000000000005</v>
      </c>
      <c r="L160" s="6">
        <v>35.324703368957671</v>
      </c>
      <c r="M160" s="6">
        <v>1.857457487469057</v>
      </c>
      <c r="N160" s="6">
        <v>25.852614372537431</v>
      </c>
      <c r="O160" s="6">
        <v>31.397153847876169</v>
      </c>
      <c r="P160" s="6">
        <v>94.431929076840333</v>
      </c>
      <c r="Q160" s="6">
        <v>10.77228507624703</v>
      </c>
      <c r="R160" s="6">
        <v>4.1206322820961239</v>
      </c>
      <c r="S160" s="6">
        <v>22.385675915407461</v>
      </c>
      <c r="T160" s="6">
        <v>20.60502325965814</v>
      </c>
      <c r="U160" s="6">
        <v>57.883616533408762</v>
      </c>
      <c r="V160" s="6">
        <v>152.3155456102491</v>
      </c>
      <c r="W160" s="6">
        <v>3.1666527552514458</v>
      </c>
      <c r="X160" s="6">
        <v>26.704730548369511</v>
      </c>
      <c r="Y160" s="6">
        <v>-124.5639925316562</v>
      </c>
      <c r="Z160" s="6">
        <v>57.622936382213872</v>
      </c>
      <c r="AA160" s="6">
        <v>26.461563371160508</v>
      </c>
      <c r="AB160" s="6">
        <v>84.084499753374374</v>
      </c>
      <c r="AC160" s="6">
        <v>0</v>
      </c>
      <c r="AD160" s="6">
        <v>15.906014399985461</v>
      </c>
      <c r="AE160" s="6">
        <v>0</v>
      </c>
      <c r="AF160" s="6">
        <v>0</v>
      </c>
      <c r="AG160" s="6">
        <v>99.99051415335984</v>
      </c>
      <c r="AH160" s="6">
        <v>21.163649075857961</v>
      </c>
      <c r="AI160" s="6">
        <v>0</v>
      </c>
      <c r="AJ160" s="6">
        <v>15.906014399985461</v>
      </c>
      <c r="AK160" s="6">
        <v>121.1541632292178</v>
      </c>
      <c r="AL160" s="6">
        <v>0</v>
      </c>
      <c r="AM160" s="6">
        <v>0</v>
      </c>
      <c r="AN160" s="6">
        <v>0</v>
      </c>
      <c r="AO160" s="6">
        <v>0</v>
      </c>
      <c r="AP160" s="6">
        <v>0</v>
      </c>
      <c r="AQ160" s="6">
        <v>121.1541632292178</v>
      </c>
      <c r="AR160" s="6">
        <v>419.99881106161621</v>
      </c>
      <c r="AS160" s="6">
        <v>21.483186</v>
      </c>
      <c r="AT160" s="6">
        <v>362.37587467940227</v>
      </c>
      <c r="AU160" s="6">
        <v>335.91431130824179</v>
      </c>
    </row>
    <row r="161" spans="1:47" x14ac:dyDescent="0.35">
      <c r="A161" s="5">
        <v>46022</v>
      </c>
      <c r="B161" s="4" t="s">
        <v>428</v>
      </c>
      <c r="C161" s="4" t="s">
        <v>429</v>
      </c>
      <c r="D161" s="4" t="s">
        <v>61</v>
      </c>
      <c r="E161" s="6">
        <v>350</v>
      </c>
      <c r="F161" s="7">
        <v>0.5</v>
      </c>
      <c r="G161" s="6">
        <v>65</v>
      </c>
      <c r="H161" s="6">
        <v>1.1379999999999999</v>
      </c>
      <c r="I161" s="6">
        <v>68.184614999999994</v>
      </c>
      <c r="J161" s="6">
        <v>0.77559999999999996</v>
      </c>
      <c r="K161" s="8">
        <v>6.718</v>
      </c>
      <c r="L161" s="6">
        <v>528.65523435085652</v>
      </c>
      <c r="M161" s="6">
        <v>10.479866892218411</v>
      </c>
      <c r="N161" s="6">
        <v>37.295711519610563</v>
      </c>
      <c r="O161" s="6">
        <v>1098.700629181425</v>
      </c>
      <c r="P161" s="6">
        <v>1675.1314419441101</v>
      </c>
      <c r="Q161" s="6">
        <v>83.085984084929152</v>
      </c>
      <c r="R161" s="6">
        <v>14.797325277912909</v>
      </c>
      <c r="S161" s="6">
        <v>82.661355307147105</v>
      </c>
      <c r="T161" s="6">
        <v>262.13674146556451</v>
      </c>
      <c r="U161" s="6">
        <v>442.68140613555369</v>
      </c>
      <c r="V161" s="6">
        <v>2117.812848079664</v>
      </c>
      <c r="W161" s="6">
        <v>0</v>
      </c>
      <c r="X161" s="6">
        <v>27.029333566706239</v>
      </c>
      <c r="Y161" s="6">
        <v>-5766.5682149939639</v>
      </c>
      <c r="Z161" s="6">
        <v>-3621.7260333475938</v>
      </c>
      <c r="AA161" s="6">
        <v>252.8980408201945</v>
      </c>
      <c r="AB161" s="6">
        <v>-3368.8279925274001</v>
      </c>
      <c r="AC161" s="6">
        <v>0</v>
      </c>
      <c r="AD161" s="6">
        <v>2449.5089415263069</v>
      </c>
      <c r="AE161" s="6">
        <v>0</v>
      </c>
      <c r="AF161" s="6">
        <v>0</v>
      </c>
      <c r="AG161" s="6">
        <v>-919.31905100109236</v>
      </c>
      <c r="AH161" s="6">
        <v>396.20968062880729</v>
      </c>
      <c r="AI161" s="6">
        <v>0</v>
      </c>
      <c r="AJ161" s="6">
        <v>2359.38335123556</v>
      </c>
      <c r="AK161" s="6">
        <v>-613.23496066303198</v>
      </c>
      <c r="AL161" s="6">
        <v>0</v>
      </c>
      <c r="AM161" s="6">
        <v>0</v>
      </c>
      <c r="AN161" s="6">
        <v>0</v>
      </c>
      <c r="AO161" s="6">
        <v>0</v>
      </c>
      <c r="AP161" s="6">
        <v>0</v>
      </c>
      <c r="AQ161" s="6">
        <v>-613.23496066303198</v>
      </c>
      <c r="AR161" s="6">
        <v>419.99999964779198</v>
      </c>
      <c r="AS161" s="6">
        <v>107.63423</v>
      </c>
      <c r="AT161" s="6">
        <v>4041.726032995386</v>
      </c>
      <c r="AU161" s="6">
        <v>3788.8279921751919</v>
      </c>
    </row>
    <row r="162" spans="1:47" x14ac:dyDescent="0.35">
      <c r="A162" s="5">
        <v>46022</v>
      </c>
      <c r="B162" s="4" t="s">
        <v>430</v>
      </c>
      <c r="C162" s="4" t="s">
        <v>431</v>
      </c>
      <c r="D162" s="4" t="s">
        <v>61</v>
      </c>
      <c r="E162" s="6">
        <v>68.61</v>
      </c>
      <c r="F162" s="7">
        <v>0.48</v>
      </c>
      <c r="G162" s="6">
        <v>75</v>
      </c>
      <c r="H162" s="6">
        <v>0.247</v>
      </c>
      <c r="I162" s="6">
        <v>97</v>
      </c>
      <c r="J162" s="6">
        <v>0.23958599999999999</v>
      </c>
      <c r="K162" s="8">
        <v>68.674999999999997</v>
      </c>
      <c r="L162" s="6">
        <v>75.858555772577688</v>
      </c>
      <c r="M162" s="6">
        <v>4.6762123421451998</v>
      </c>
      <c r="N162" s="6">
        <v>39.370096845776153</v>
      </c>
      <c r="O162" s="6">
        <v>54.296021083797051</v>
      </c>
      <c r="P162" s="6">
        <v>174.20088604429611</v>
      </c>
      <c r="Q162" s="6">
        <v>18.44505979401718</v>
      </c>
      <c r="R162" s="6">
        <v>21.822324263344271</v>
      </c>
      <c r="S162" s="6">
        <v>31.836458973005669</v>
      </c>
      <c r="T162" s="6">
        <v>75.728660985295875</v>
      </c>
      <c r="U162" s="6">
        <v>147.83250401566301</v>
      </c>
      <c r="V162" s="6">
        <v>322.03339005995912</v>
      </c>
      <c r="W162" s="6">
        <v>6.4321851226275379</v>
      </c>
      <c r="X162" s="6">
        <v>36.432298947818317</v>
      </c>
      <c r="Y162" s="6">
        <v>-35.393450481407967</v>
      </c>
      <c r="Z162" s="6">
        <v>329.50442364899698</v>
      </c>
      <c r="AA162" s="6">
        <v>97.054203288017845</v>
      </c>
      <c r="AB162" s="6">
        <v>426.55862693701482</v>
      </c>
      <c r="AC162" s="6">
        <v>0</v>
      </c>
      <c r="AD162" s="6">
        <v>34.724981315706223</v>
      </c>
      <c r="AE162" s="6">
        <v>0</v>
      </c>
      <c r="AF162" s="6">
        <v>0</v>
      </c>
      <c r="AG162" s="6">
        <v>461.28360825272102</v>
      </c>
      <c r="AH162" s="6">
        <v>29.013520508403712</v>
      </c>
      <c r="AI162" s="6">
        <v>0</v>
      </c>
      <c r="AJ162" s="6">
        <v>34.724981315706223</v>
      </c>
      <c r="AK162" s="6">
        <v>490.29712876112472</v>
      </c>
      <c r="AL162" s="6">
        <v>0</v>
      </c>
      <c r="AM162" s="6">
        <v>0</v>
      </c>
      <c r="AN162" s="6">
        <v>0</v>
      </c>
      <c r="AO162" s="6">
        <v>0</v>
      </c>
      <c r="AP162" s="6">
        <v>0</v>
      </c>
      <c r="AQ162" s="6">
        <v>490.29712876112472</v>
      </c>
      <c r="AR162" s="6">
        <v>420.0245419833002</v>
      </c>
      <c r="AS162" s="6">
        <v>3.1476350000000002</v>
      </c>
      <c r="AT162" s="6">
        <v>90.520118334303177</v>
      </c>
      <c r="AU162" s="6">
        <v>-6.5340849537146628</v>
      </c>
    </row>
    <row r="163" spans="1:47" x14ac:dyDescent="0.35">
      <c r="A163" s="5">
        <v>46022</v>
      </c>
      <c r="B163" s="4" t="s">
        <v>432</v>
      </c>
      <c r="C163" s="4" t="s">
        <v>433</v>
      </c>
      <c r="D163" s="4" t="s">
        <v>61</v>
      </c>
      <c r="E163" s="6">
        <v>18</v>
      </c>
      <c r="F163" s="7">
        <v>1.02</v>
      </c>
      <c r="G163" s="6">
        <v>82</v>
      </c>
      <c r="H163" s="6">
        <v>0.151</v>
      </c>
      <c r="I163" s="6">
        <v>97</v>
      </c>
      <c r="J163" s="6">
        <v>0.146035</v>
      </c>
      <c r="K163" s="8">
        <v>100</v>
      </c>
      <c r="L163" s="6">
        <v>33.363936379648948</v>
      </c>
      <c r="M163" s="6">
        <v>2.5839772174808502</v>
      </c>
      <c r="N163" s="6">
        <v>21.331560053585282</v>
      </c>
      <c r="O163" s="6">
        <v>33.89014577116231</v>
      </c>
      <c r="P163" s="6">
        <v>91.169619421877385</v>
      </c>
      <c r="Q163" s="6">
        <v>19.140348759703329</v>
      </c>
      <c r="R163" s="6">
        <v>0.44439783352809942</v>
      </c>
      <c r="S163" s="6">
        <v>4.3289848189384186</v>
      </c>
      <c r="T163" s="6">
        <v>46.403439653077569</v>
      </c>
      <c r="U163" s="6">
        <v>70.317171065247422</v>
      </c>
      <c r="V163" s="6">
        <v>161.48679048712481</v>
      </c>
      <c r="W163" s="6">
        <v>9.6447977209108888</v>
      </c>
      <c r="X163" s="6">
        <v>25.765161396581298</v>
      </c>
      <c r="Y163" s="6">
        <v>1.36077711E-16</v>
      </c>
      <c r="Z163" s="6">
        <v>196.89674960461701</v>
      </c>
      <c r="AA163" s="6">
        <v>45.430168913367282</v>
      </c>
      <c r="AB163" s="6">
        <v>242.3269185179843</v>
      </c>
      <c r="AC163" s="6">
        <v>0</v>
      </c>
      <c r="AD163" s="6">
        <v>10.288783220893279</v>
      </c>
      <c r="AE163" s="6">
        <v>0</v>
      </c>
      <c r="AF163" s="6">
        <v>0</v>
      </c>
      <c r="AG163" s="6">
        <v>252.6157017388775</v>
      </c>
      <c r="AH163" s="6">
        <v>16.100769556285272</v>
      </c>
      <c r="AI163" s="6">
        <v>0</v>
      </c>
      <c r="AJ163" s="6">
        <v>10.288783220893279</v>
      </c>
      <c r="AK163" s="6">
        <v>268.71647129516282</v>
      </c>
      <c r="AL163" s="6">
        <v>0</v>
      </c>
      <c r="AM163" s="6">
        <v>0</v>
      </c>
      <c r="AN163" s="6">
        <v>0</v>
      </c>
      <c r="AO163" s="6">
        <v>0</v>
      </c>
      <c r="AP163" s="6">
        <v>0</v>
      </c>
      <c r="AQ163" s="6">
        <v>268.71647129516282</v>
      </c>
      <c r="AR163" s="6">
        <v>419.89933884738332</v>
      </c>
      <c r="AS163" s="6">
        <v>1.351874</v>
      </c>
      <c r="AT163" s="6">
        <v>223.00258924276631</v>
      </c>
      <c r="AU163" s="6">
        <v>177.57242032939911</v>
      </c>
    </row>
    <row r="164" spans="1:47" x14ac:dyDescent="0.35">
      <c r="A164" s="5">
        <v>46022</v>
      </c>
      <c r="B164" s="4" t="s">
        <v>246</v>
      </c>
      <c r="C164" s="4" t="s">
        <v>247</v>
      </c>
      <c r="D164" s="4" t="s">
        <v>61</v>
      </c>
      <c r="E164" s="6">
        <v>46.9</v>
      </c>
      <c r="F164" s="7">
        <v>0.33</v>
      </c>
      <c r="G164" s="6">
        <v>84</v>
      </c>
      <c r="H164" s="6">
        <v>0.13</v>
      </c>
      <c r="I164" s="6">
        <v>97</v>
      </c>
      <c r="J164" s="6">
        <v>0.12609999999999999</v>
      </c>
      <c r="K164" s="8">
        <v>63.264000000000003</v>
      </c>
      <c r="L164" s="6">
        <v>81.288505855639926</v>
      </c>
      <c r="M164" s="6">
        <v>0</v>
      </c>
      <c r="N164" s="6">
        <v>27.633662855307389</v>
      </c>
      <c r="O164" s="6">
        <v>105.9591319849962</v>
      </c>
      <c r="P164" s="6">
        <v>214.88130069594359</v>
      </c>
      <c r="Q164" s="6">
        <v>20.38137926937539</v>
      </c>
      <c r="R164" s="6">
        <v>48.133218764240077</v>
      </c>
      <c r="S164" s="6">
        <v>60.178969538930851</v>
      </c>
      <c r="T164" s="6">
        <v>86.638035887574773</v>
      </c>
      <c r="U164" s="6">
        <v>215.3316034601211</v>
      </c>
      <c r="V164" s="6">
        <v>430.21290415606461</v>
      </c>
      <c r="W164" s="6">
        <v>8.5324811804540008</v>
      </c>
      <c r="X164" s="6">
        <v>26.704840000000001</v>
      </c>
      <c r="Y164" s="6">
        <v>-239.25651731125089</v>
      </c>
      <c r="Z164" s="6">
        <v>226.19370802526771</v>
      </c>
      <c r="AA164" s="6">
        <v>52.670373002476431</v>
      </c>
      <c r="AB164" s="6">
        <v>278.86408102774408</v>
      </c>
      <c r="AC164" s="6">
        <v>0</v>
      </c>
      <c r="AD164" s="6">
        <v>58.371314017365457</v>
      </c>
      <c r="AE164" s="6">
        <v>0</v>
      </c>
      <c r="AF164" s="6">
        <v>0</v>
      </c>
      <c r="AG164" s="6">
        <v>337.23539504510961</v>
      </c>
      <c r="AH164" s="6">
        <v>41.331524738041999</v>
      </c>
      <c r="AI164" s="6">
        <v>0</v>
      </c>
      <c r="AJ164" s="6">
        <v>11.067558613170229</v>
      </c>
      <c r="AK164" s="6">
        <v>331.26316437895639</v>
      </c>
      <c r="AL164" s="6">
        <v>0</v>
      </c>
      <c r="AM164" s="6">
        <v>0</v>
      </c>
      <c r="AN164" s="6">
        <v>0</v>
      </c>
      <c r="AO164" s="6">
        <v>0</v>
      </c>
      <c r="AP164" s="6">
        <v>0</v>
      </c>
      <c r="AQ164" s="6">
        <v>331.26316437895639</v>
      </c>
      <c r="AR164" s="6">
        <v>419.99999964779198</v>
      </c>
      <c r="AS164" s="6">
        <v>1.8571610000000001</v>
      </c>
      <c r="AT164" s="6">
        <v>193.8062916225243</v>
      </c>
      <c r="AU164" s="6">
        <v>141.13591862004779</v>
      </c>
    </row>
    <row r="165" spans="1:47" x14ac:dyDescent="0.35">
      <c r="A165" s="5">
        <v>46022</v>
      </c>
      <c r="B165" s="4" t="s">
        <v>296</v>
      </c>
      <c r="C165" s="4" t="s">
        <v>297</v>
      </c>
      <c r="D165" s="4" t="s">
        <v>50</v>
      </c>
      <c r="E165" s="6">
        <v>103</v>
      </c>
      <c r="F165" s="7">
        <v>1.49</v>
      </c>
      <c r="G165" s="6">
        <v>95.72</v>
      </c>
      <c r="H165" s="6">
        <v>1.4690000000000001</v>
      </c>
      <c r="I165" s="6">
        <v>96.5</v>
      </c>
      <c r="J165" s="6">
        <v>1.4175990000000001</v>
      </c>
      <c r="K165" s="8">
        <v>26.006</v>
      </c>
      <c r="L165" s="6">
        <v>318.85814176879182</v>
      </c>
      <c r="M165" s="6">
        <v>57.01096136227752</v>
      </c>
      <c r="N165" s="6">
        <v>165.11963095131861</v>
      </c>
      <c r="O165" s="6">
        <v>290.34477114742458</v>
      </c>
      <c r="P165" s="6">
        <v>831.33350522981254</v>
      </c>
      <c r="Q165" s="6">
        <v>132.35722431119899</v>
      </c>
      <c r="R165" s="6">
        <v>5.9827795260986569</v>
      </c>
      <c r="S165" s="6">
        <v>44.20305396711715</v>
      </c>
      <c r="T165" s="6">
        <v>52.148550052906728</v>
      </c>
      <c r="U165" s="6">
        <v>234.6916078573216</v>
      </c>
      <c r="V165" s="6">
        <v>1066.0251130871341</v>
      </c>
      <c r="W165" s="6">
        <v>6.8715313359040708</v>
      </c>
      <c r="X165" s="6">
        <v>54.09797453406177</v>
      </c>
      <c r="Y165" s="6">
        <v>-1176.7089122291391</v>
      </c>
      <c r="Z165" s="6">
        <v>-49.71429327203947</v>
      </c>
      <c r="AA165" s="6">
        <v>8.7836592343304432</v>
      </c>
      <c r="AB165" s="6">
        <v>-40.930634037709027</v>
      </c>
      <c r="AC165" s="6">
        <v>0</v>
      </c>
      <c r="AD165" s="6">
        <v>58.411323585684521</v>
      </c>
      <c r="AE165" s="6">
        <v>0</v>
      </c>
      <c r="AF165" s="6">
        <v>0</v>
      </c>
      <c r="AG165" s="6">
        <v>17.480689547975491</v>
      </c>
      <c r="AH165" s="6">
        <v>75.184568609953672</v>
      </c>
      <c r="AI165" s="6">
        <v>0</v>
      </c>
      <c r="AJ165" s="6">
        <v>58.411323585684521</v>
      </c>
      <c r="AK165" s="6">
        <v>92.665258157929159</v>
      </c>
      <c r="AL165" s="6">
        <v>0</v>
      </c>
      <c r="AM165" s="6">
        <v>0</v>
      </c>
      <c r="AN165" s="6">
        <v>0</v>
      </c>
      <c r="AO165" s="6">
        <v>0</v>
      </c>
      <c r="AP165" s="6">
        <v>0</v>
      </c>
      <c r="AQ165" s="6">
        <v>92.665258157929159</v>
      </c>
      <c r="AR165" s="6">
        <v>420.0002959233957</v>
      </c>
      <c r="AS165" s="6">
        <v>51.257992999999999</v>
      </c>
      <c r="AT165" s="6">
        <v>469.71458919543522</v>
      </c>
      <c r="AU165" s="6">
        <v>460.93092996110471</v>
      </c>
    </row>
    <row r="166" spans="1:47" x14ac:dyDescent="0.35">
      <c r="A166" s="5">
        <v>46022</v>
      </c>
      <c r="B166" s="4" t="s">
        <v>248</v>
      </c>
      <c r="C166" s="4" t="s">
        <v>249</v>
      </c>
      <c r="D166" s="4" t="s">
        <v>250</v>
      </c>
      <c r="E166" s="6">
        <v>789.30200000000002</v>
      </c>
      <c r="F166" s="7">
        <v>0.50649999999999995</v>
      </c>
      <c r="G166" s="6">
        <v>60.54</v>
      </c>
      <c r="H166" s="6">
        <v>2.42</v>
      </c>
      <c r="I166" s="6">
        <v>97</v>
      </c>
      <c r="J166" s="6">
        <v>2.3473999999999999</v>
      </c>
      <c r="K166" s="8">
        <v>5.4119999999999999</v>
      </c>
      <c r="L166" s="6">
        <v>477.33167199148369</v>
      </c>
      <c r="M166" s="6">
        <v>37.003873612961428</v>
      </c>
      <c r="N166" s="6">
        <v>149.60734278907961</v>
      </c>
      <c r="O166" s="6">
        <v>985.17234948482201</v>
      </c>
      <c r="P166" s="6">
        <v>1649.115237878347</v>
      </c>
      <c r="Q166" s="6">
        <v>316.07486244663949</v>
      </c>
      <c r="R166" s="6">
        <v>115.7373533866887</v>
      </c>
      <c r="S166" s="6">
        <v>188.02211707495289</v>
      </c>
      <c r="T166" s="6">
        <v>227.780333207095</v>
      </c>
      <c r="U166" s="6">
        <v>847.61466611537605</v>
      </c>
      <c r="V166" s="6">
        <v>2496.7299039937229</v>
      </c>
      <c r="W166" s="6">
        <v>15.592091249031821</v>
      </c>
      <c r="X166" s="6">
        <v>147.6249372159545</v>
      </c>
      <c r="Y166" s="6">
        <v>-7256.793973954268</v>
      </c>
      <c r="Z166" s="6">
        <v>-4596.8470414955591</v>
      </c>
      <c r="AA166" s="6">
        <v>193.0968771749294</v>
      </c>
      <c r="AB166" s="6">
        <v>-4403.7501643206288</v>
      </c>
      <c r="AC166" s="6">
        <v>10.118488456318101</v>
      </c>
      <c r="AD166" s="6">
        <v>1746.797296558676</v>
      </c>
      <c r="AE166" s="6">
        <v>0</v>
      </c>
      <c r="AF166" s="6">
        <v>0</v>
      </c>
      <c r="AG166" s="6">
        <v>-2646.8343793056351</v>
      </c>
      <c r="AH166" s="6">
        <v>245.527388508874</v>
      </c>
      <c r="AI166" s="6">
        <v>0</v>
      </c>
      <c r="AJ166" s="6">
        <v>854.74358313926029</v>
      </c>
      <c r="AK166" s="6">
        <v>-3293.3607042161771</v>
      </c>
      <c r="AL166" s="6">
        <v>480.09867352629033</v>
      </c>
      <c r="AM166" s="6">
        <v>0</v>
      </c>
      <c r="AN166" s="6">
        <v>0</v>
      </c>
      <c r="AO166" s="6">
        <v>0</v>
      </c>
      <c r="AP166" s="6">
        <v>0</v>
      </c>
      <c r="AQ166" s="6">
        <v>-2813.2620306898862</v>
      </c>
      <c r="AR166" s="6">
        <v>419.99999964779198</v>
      </c>
      <c r="AS166" s="6">
        <v>399.07567</v>
      </c>
      <c r="AT166" s="6">
        <v>5016.8470411433509</v>
      </c>
      <c r="AU166" s="6">
        <v>4823.7501639684206</v>
      </c>
    </row>
    <row r="167" spans="1:47" x14ac:dyDescent="0.35">
      <c r="A167" s="5">
        <v>46022</v>
      </c>
      <c r="B167" s="4" t="s">
        <v>434</v>
      </c>
      <c r="C167" s="4" t="s">
        <v>435</v>
      </c>
      <c r="D167" s="4" t="s">
        <v>61</v>
      </c>
      <c r="E167" s="6">
        <v>1000</v>
      </c>
      <c r="F167" s="7">
        <v>0.83</v>
      </c>
      <c r="G167" s="6">
        <v>91</v>
      </c>
      <c r="H167" s="6">
        <v>7.5529999999999999</v>
      </c>
      <c r="I167" s="6">
        <v>33.814511000000003</v>
      </c>
      <c r="J167" s="6">
        <v>2.5540099999999999</v>
      </c>
      <c r="K167" s="8">
        <v>20.605</v>
      </c>
      <c r="L167" s="6">
        <v>181.27456825055069</v>
      </c>
      <c r="M167" s="6">
        <v>10.41638653505507</v>
      </c>
      <c r="N167" s="6">
        <v>24.484603591986328</v>
      </c>
      <c r="O167" s="6">
        <v>91.361244194910739</v>
      </c>
      <c r="P167" s="6">
        <v>307.53680257250278</v>
      </c>
      <c r="Q167" s="6">
        <v>58.448877638397271</v>
      </c>
      <c r="R167" s="6">
        <v>26.301967409267</v>
      </c>
      <c r="S167" s="6">
        <v>64.276983971059636</v>
      </c>
      <c r="T167" s="6">
        <v>149.7910831051652</v>
      </c>
      <c r="U167" s="6">
        <v>298.81891212388911</v>
      </c>
      <c r="V167" s="6">
        <v>606.35571469639194</v>
      </c>
      <c r="W167" s="6">
        <v>0.50143490832049997</v>
      </c>
      <c r="X167" s="6">
        <v>26.704808676708389</v>
      </c>
      <c r="Y167" s="6">
        <v>-1514.446764849584</v>
      </c>
      <c r="Z167" s="6">
        <v>-880.8848065681633</v>
      </c>
      <c r="AA167" s="6">
        <v>54.987896319438221</v>
      </c>
      <c r="AB167" s="6">
        <v>-825.89691024872513</v>
      </c>
      <c r="AC167" s="6">
        <v>0</v>
      </c>
      <c r="AD167" s="6">
        <v>74.847260971933153</v>
      </c>
      <c r="AE167" s="6">
        <v>0</v>
      </c>
      <c r="AF167" s="6">
        <v>0</v>
      </c>
      <c r="AG167" s="6">
        <v>-751.04964927679191</v>
      </c>
      <c r="AH167" s="6">
        <v>50.587694436194461</v>
      </c>
      <c r="AI167" s="6">
        <v>27.109603754690468</v>
      </c>
      <c r="AJ167" s="6">
        <v>30.50139224534751</v>
      </c>
      <c r="AK167" s="6">
        <v>-717.69821981249265</v>
      </c>
      <c r="AL167" s="6">
        <v>0</v>
      </c>
      <c r="AM167" s="6">
        <v>0</v>
      </c>
      <c r="AN167" s="6">
        <v>0</v>
      </c>
      <c r="AO167" s="6">
        <v>0</v>
      </c>
      <c r="AP167" s="6">
        <v>0</v>
      </c>
      <c r="AQ167" s="6">
        <v>-717.69821981249265</v>
      </c>
      <c r="AR167" s="6">
        <v>419.99835517498389</v>
      </c>
      <c r="AS167" s="6">
        <v>126.216853</v>
      </c>
      <c r="AT167" s="6">
        <v>1300.883161743147</v>
      </c>
      <c r="AU167" s="6">
        <v>1245.8952654237089</v>
      </c>
    </row>
    <row r="168" spans="1:47" x14ac:dyDescent="0.35">
      <c r="A168" s="5">
        <v>46022</v>
      </c>
      <c r="B168" s="4" t="s">
        <v>251</v>
      </c>
      <c r="C168" s="4" t="s">
        <v>252</v>
      </c>
      <c r="D168" s="4" t="s">
        <v>213</v>
      </c>
      <c r="E168" s="6">
        <v>2100</v>
      </c>
      <c r="F168" s="7">
        <v>2.97</v>
      </c>
      <c r="G168" s="6">
        <v>82</v>
      </c>
      <c r="H168" s="6">
        <v>51.143000000000001</v>
      </c>
      <c r="I168" s="6">
        <v>100</v>
      </c>
      <c r="J168" s="6">
        <v>51.1434</v>
      </c>
      <c r="K168" s="8">
        <v>66.457999999999998</v>
      </c>
      <c r="L168" s="6">
        <v>5.8486167407863601</v>
      </c>
      <c r="M168" s="6">
        <v>8.6491445325722651</v>
      </c>
      <c r="N168" s="6">
        <v>2.738961111229449</v>
      </c>
      <c r="O168" s="6">
        <v>29.864039999234421</v>
      </c>
      <c r="P168" s="6">
        <v>47.100762383822492</v>
      </c>
      <c r="Q168" s="6">
        <v>8.6589580260334245</v>
      </c>
      <c r="R168" s="6">
        <v>3.8901384653672082</v>
      </c>
      <c r="S168" s="6">
        <v>10.871996720088079</v>
      </c>
      <c r="T168" s="6">
        <v>10.60267788008491</v>
      </c>
      <c r="U168" s="6">
        <v>34.023771091573622</v>
      </c>
      <c r="V168" s="6">
        <v>81.124533475396106</v>
      </c>
      <c r="W168" s="6">
        <v>4.4002948516008686</v>
      </c>
      <c r="X168" s="6">
        <v>26.795001158735321</v>
      </c>
      <c r="Y168" s="6">
        <v>-116.74890606871919</v>
      </c>
      <c r="Z168" s="6">
        <v>-4.4290765829869008</v>
      </c>
      <c r="AA168" s="6">
        <v>50.783625163202458</v>
      </c>
      <c r="AB168" s="6">
        <v>46.354548580215557</v>
      </c>
      <c r="AC168" s="6">
        <v>2.7494171659439931E-2</v>
      </c>
      <c r="AD168" s="6">
        <v>21.922038782256099</v>
      </c>
      <c r="AE168" s="6">
        <v>0</v>
      </c>
      <c r="AF168" s="6">
        <v>0</v>
      </c>
      <c r="AG168" s="6">
        <v>68.3040815341311</v>
      </c>
      <c r="AH168" s="6">
        <v>0.69732982213279138</v>
      </c>
      <c r="AI168" s="6">
        <v>1.897973217803071</v>
      </c>
      <c r="AJ168" s="6">
        <v>0.4434510771747967</v>
      </c>
      <c r="AK168" s="6">
        <v>49.420796868985661</v>
      </c>
      <c r="AL168" s="6">
        <v>0</v>
      </c>
      <c r="AM168" s="6">
        <v>0</v>
      </c>
      <c r="AN168" s="6">
        <v>0</v>
      </c>
      <c r="AO168" s="6">
        <v>0</v>
      </c>
      <c r="AP168" s="6">
        <v>0</v>
      </c>
      <c r="AQ168" s="6">
        <v>49.420796868985661</v>
      </c>
      <c r="AR168" s="6">
        <v>419.99999964779192</v>
      </c>
      <c r="AS168" s="6">
        <v>682.37814400000002</v>
      </c>
      <c r="AT168" s="6">
        <v>424.42907623077878</v>
      </c>
      <c r="AU168" s="6">
        <v>373.6454510675764</v>
      </c>
    </row>
    <row r="169" spans="1:47" x14ac:dyDescent="0.35">
      <c r="A169" s="5">
        <v>46022</v>
      </c>
      <c r="B169" s="4" t="s">
        <v>742</v>
      </c>
      <c r="C169" s="4" t="s">
        <v>743</v>
      </c>
      <c r="D169" s="4" t="s">
        <v>213</v>
      </c>
      <c r="E169" s="6">
        <v>10989</v>
      </c>
      <c r="F169" s="7">
        <v>4.46</v>
      </c>
      <c r="G169" s="6">
        <v>81.61</v>
      </c>
      <c r="H169" s="6">
        <v>400</v>
      </c>
      <c r="I169" s="6">
        <v>98.665762999999998</v>
      </c>
      <c r="J169" s="6">
        <v>394.66305299999999</v>
      </c>
      <c r="K169" s="8">
        <v>100</v>
      </c>
      <c r="L169" s="6">
        <v>37.154808739090527</v>
      </c>
      <c r="M169" s="6">
        <v>3.2854717241050659</v>
      </c>
      <c r="N169" s="6">
        <v>1.769510920007378</v>
      </c>
      <c r="O169" s="6">
        <v>26.858885649484879</v>
      </c>
      <c r="P169" s="6">
        <v>69.068677032687845</v>
      </c>
      <c r="Q169" s="6">
        <v>8.6201936958703858</v>
      </c>
      <c r="R169" s="6">
        <v>11.30328323829451</v>
      </c>
      <c r="S169" s="6">
        <v>14.365684410870591</v>
      </c>
      <c r="T169" s="6">
        <v>16.053381829802539</v>
      </c>
      <c r="U169" s="6">
        <v>50.342543174838021</v>
      </c>
      <c r="V169" s="6">
        <v>119.4112202075259</v>
      </c>
      <c r="W169" s="6">
        <v>36.282591573566478</v>
      </c>
      <c r="X169" s="6">
        <v>15.763670406423261</v>
      </c>
      <c r="Y169" s="6">
        <v>0</v>
      </c>
      <c r="Z169" s="6">
        <v>171.45748218751561</v>
      </c>
      <c r="AA169" s="6">
        <v>28.598879789643259</v>
      </c>
      <c r="AB169" s="6">
        <v>200.0563619771589</v>
      </c>
      <c r="AC169" s="6">
        <v>0.63858684718201353</v>
      </c>
      <c r="AD169" s="6">
        <v>56.531081947971472</v>
      </c>
      <c r="AE169" s="6">
        <v>0</v>
      </c>
      <c r="AF169" s="6">
        <v>0</v>
      </c>
      <c r="AG169" s="6">
        <v>257.2260307723123</v>
      </c>
      <c r="AH169" s="6">
        <v>18.261622669683611</v>
      </c>
      <c r="AI169" s="6">
        <v>0</v>
      </c>
      <c r="AJ169" s="6">
        <v>42.524674470788611</v>
      </c>
      <c r="AK169" s="6">
        <v>261.48124596481313</v>
      </c>
      <c r="AL169" s="6">
        <v>135.04457310406161</v>
      </c>
      <c r="AM169" s="6">
        <v>0.8383086353286533</v>
      </c>
      <c r="AN169" s="6">
        <v>0</v>
      </c>
      <c r="AO169" s="6">
        <v>0</v>
      </c>
      <c r="AP169" s="6">
        <v>0</v>
      </c>
      <c r="AQ169" s="6">
        <v>397.36412770420338</v>
      </c>
      <c r="AR169" s="6">
        <v>420.00004966514177</v>
      </c>
      <c r="AS169" s="6">
        <v>3654.3494300000002</v>
      </c>
      <c r="AT169" s="6">
        <v>248.54256747762619</v>
      </c>
      <c r="AU169" s="6">
        <v>219.9436876879829</v>
      </c>
    </row>
    <row r="170" spans="1:47" x14ac:dyDescent="0.35">
      <c r="A170" s="5">
        <v>46022</v>
      </c>
      <c r="B170" s="4" t="s">
        <v>326</v>
      </c>
      <c r="C170" s="4" t="s">
        <v>327</v>
      </c>
      <c r="D170" s="4" t="s">
        <v>213</v>
      </c>
      <c r="E170" s="6">
        <v>8450</v>
      </c>
      <c r="F170" s="7">
        <v>2.2757999999999998</v>
      </c>
      <c r="G170" s="6">
        <v>78</v>
      </c>
      <c r="H170" s="6">
        <v>150</v>
      </c>
      <c r="I170" s="6">
        <v>100</v>
      </c>
      <c r="J170" s="6">
        <v>150</v>
      </c>
      <c r="K170" s="8">
        <v>73.793999999999997</v>
      </c>
      <c r="L170" s="6">
        <v>24.58490122656368</v>
      </c>
      <c r="M170" s="6">
        <v>27.256071902958901</v>
      </c>
      <c r="N170" s="6">
        <v>6.4398182071152918</v>
      </c>
      <c r="O170" s="6">
        <v>48.837056933449787</v>
      </c>
      <c r="P170" s="6">
        <v>107.11784827008771</v>
      </c>
      <c r="Q170" s="6">
        <v>5.5537310007879697</v>
      </c>
      <c r="R170" s="6">
        <v>33.872640965060228</v>
      </c>
      <c r="S170" s="6">
        <v>84.721129374076867</v>
      </c>
      <c r="T170" s="6">
        <v>60.804795692237597</v>
      </c>
      <c r="U170" s="6">
        <v>184.9522970321627</v>
      </c>
      <c r="V170" s="6">
        <v>292.0701453022503</v>
      </c>
      <c r="W170" s="6">
        <v>11.793401619999999</v>
      </c>
      <c r="X170" s="6">
        <v>0</v>
      </c>
      <c r="Y170" s="6">
        <v>-145.25850622650509</v>
      </c>
      <c r="Z170" s="6">
        <v>158.6050406957452</v>
      </c>
      <c r="AA170" s="6">
        <v>41.10356284954225</v>
      </c>
      <c r="AB170" s="6">
        <v>199.7086035452875</v>
      </c>
      <c r="AC170" s="6">
        <v>1.422855625680489</v>
      </c>
      <c r="AD170" s="6">
        <v>164.809458165666</v>
      </c>
      <c r="AE170" s="6">
        <v>0</v>
      </c>
      <c r="AF170" s="6">
        <v>0</v>
      </c>
      <c r="AG170" s="6">
        <v>365.9409173366339</v>
      </c>
      <c r="AH170" s="6">
        <v>2.9112607465751812</v>
      </c>
      <c r="AI170" s="6">
        <v>0</v>
      </c>
      <c r="AJ170" s="6">
        <v>99.145692752032929</v>
      </c>
      <c r="AK170" s="6">
        <v>303.18841266957611</v>
      </c>
      <c r="AL170" s="6">
        <v>0</v>
      </c>
      <c r="AM170" s="6">
        <v>0</v>
      </c>
      <c r="AN170" s="6">
        <v>0</v>
      </c>
      <c r="AO170" s="6">
        <v>0</v>
      </c>
      <c r="AP170" s="6">
        <v>0</v>
      </c>
      <c r="AQ170" s="6">
        <v>303.18841266957611</v>
      </c>
      <c r="AR170" s="6">
        <v>419.99999964779192</v>
      </c>
      <c r="AS170" s="6">
        <v>1977.91065</v>
      </c>
      <c r="AT170" s="6">
        <v>261.39495895204669</v>
      </c>
      <c r="AU170" s="6">
        <v>220.29139610250451</v>
      </c>
    </row>
    <row r="171" spans="1:47" x14ac:dyDescent="0.35">
      <c r="A171" s="5">
        <v>46022</v>
      </c>
      <c r="B171" s="4" t="s">
        <v>328</v>
      </c>
      <c r="C171" s="4" t="s">
        <v>329</v>
      </c>
      <c r="D171" s="4" t="s">
        <v>89</v>
      </c>
      <c r="E171" s="6">
        <v>1184.6844000000001</v>
      </c>
      <c r="F171" s="7">
        <v>1.02</v>
      </c>
      <c r="G171" s="6">
        <v>93.1</v>
      </c>
      <c r="H171" s="6">
        <v>11.25</v>
      </c>
      <c r="I171" s="6">
        <v>97</v>
      </c>
      <c r="J171" s="6">
        <v>10.9125</v>
      </c>
      <c r="K171" s="8">
        <v>89.346999999999994</v>
      </c>
      <c r="L171" s="6">
        <v>132.33707291936469</v>
      </c>
      <c r="M171" s="6">
        <v>12.805848505151239</v>
      </c>
      <c r="N171" s="6">
        <v>9.488030187878687</v>
      </c>
      <c r="O171" s="6">
        <v>56.247249471706091</v>
      </c>
      <c r="P171" s="6">
        <v>210.87820108410071</v>
      </c>
      <c r="Q171" s="6">
        <v>79.464965495061676</v>
      </c>
      <c r="R171" s="6">
        <v>18.189965454091631</v>
      </c>
      <c r="S171" s="6">
        <v>26.856386697308171</v>
      </c>
      <c r="T171" s="6">
        <v>59.313815432441558</v>
      </c>
      <c r="U171" s="6">
        <v>183.82513307890301</v>
      </c>
      <c r="V171" s="6">
        <v>394.70333416300377</v>
      </c>
      <c r="W171" s="6">
        <v>24.04148146493042</v>
      </c>
      <c r="X171" s="6">
        <v>25.22055593466667</v>
      </c>
      <c r="Y171" s="6">
        <v>-48.664795347019322</v>
      </c>
      <c r="Z171" s="6">
        <v>395.30057621558149</v>
      </c>
      <c r="AA171" s="6">
        <v>23.002845322132831</v>
      </c>
      <c r="AB171" s="6">
        <v>418.30342153771443</v>
      </c>
      <c r="AC171" s="6">
        <v>0</v>
      </c>
      <c r="AD171" s="6">
        <v>66.453803391073507</v>
      </c>
      <c r="AE171" s="6">
        <v>0</v>
      </c>
      <c r="AF171" s="6">
        <v>0</v>
      </c>
      <c r="AG171" s="6">
        <v>484.75722492878788</v>
      </c>
      <c r="AH171" s="6">
        <v>5.7092238973937128</v>
      </c>
      <c r="AI171" s="6">
        <v>0</v>
      </c>
      <c r="AJ171" s="6">
        <v>10.60389044204581</v>
      </c>
      <c r="AK171" s="6">
        <v>434.61653587715392</v>
      </c>
      <c r="AL171" s="6">
        <v>0</v>
      </c>
      <c r="AM171" s="6">
        <v>0</v>
      </c>
      <c r="AN171" s="6">
        <v>0</v>
      </c>
      <c r="AO171" s="6">
        <v>0</v>
      </c>
      <c r="AP171" s="6">
        <v>0</v>
      </c>
      <c r="AQ171" s="6">
        <v>434.61653587715392</v>
      </c>
      <c r="AR171" s="6">
        <v>419.99999964779198</v>
      </c>
      <c r="AS171" s="6">
        <v>112.797556</v>
      </c>
      <c r="AT171" s="6">
        <v>24.69942343221043</v>
      </c>
      <c r="AU171" s="6">
        <v>1.6965781100775981</v>
      </c>
    </row>
    <row r="172" spans="1:47" x14ac:dyDescent="0.35">
      <c r="A172" s="5">
        <v>46022</v>
      </c>
      <c r="B172" s="4" t="s">
        <v>744</v>
      </c>
      <c r="C172" s="4" t="s">
        <v>745</v>
      </c>
      <c r="D172" s="4" t="s">
        <v>122</v>
      </c>
      <c r="E172" s="6">
        <v>30023.808593999998</v>
      </c>
      <c r="F172" s="7">
        <v>0.65410000000000001</v>
      </c>
      <c r="G172" s="6">
        <v>78.926308000000006</v>
      </c>
      <c r="H172" s="6">
        <v>155</v>
      </c>
      <c r="I172" s="6">
        <v>97</v>
      </c>
      <c r="J172" s="6">
        <v>150.35000600000001</v>
      </c>
      <c r="K172" s="8">
        <v>89.172897338867202</v>
      </c>
      <c r="L172" s="6">
        <v>5.2411245376123379</v>
      </c>
      <c r="M172" s="6">
        <v>5.1463520606089777</v>
      </c>
      <c r="N172" s="6">
        <v>1.294478344511625</v>
      </c>
      <c r="O172" s="6">
        <v>51.221309641205863</v>
      </c>
      <c r="P172" s="6">
        <v>62.9032645839388</v>
      </c>
      <c r="Q172" s="6">
        <v>5.6565171554942308</v>
      </c>
      <c r="R172" s="6">
        <v>12.30109876356881</v>
      </c>
      <c r="S172" s="6">
        <v>29.360667007538169</v>
      </c>
      <c r="T172" s="6">
        <v>21.492535937453489</v>
      </c>
      <c r="U172" s="6">
        <v>68.810818864054696</v>
      </c>
      <c r="V172" s="6">
        <v>131.71408344799349</v>
      </c>
      <c r="W172" s="6">
        <v>8.5882472138893142</v>
      </c>
      <c r="X172" s="6">
        <v>31.963936275695229</v>
      </c>
      <c r="Y172" s="6">
        <v>-62.709639178109157</v>
      </c>
      <c r="Z172" s="6">
        <v>109.5566277594689</v>
      </c>
      <c r="AA172" s="6">
        <v>60.334868674384388</v>
      </c>
      <c r="AB172" s="6">
        <v>169.89149643385329</v>
      </c>
      <c r="AC172" s="6">
        <v>0</v>
      </c>
      <c r="AD172" s="6">
        <v>50.958018438714952</v>
      </c>
      <c r="AE172" s="6">
        <v>0</v>
      </c>
      <c r="AF172" s="6">
        <v>0</v>
      </c>
      <c r="AG172" s="6">
        <v>220.84951487256819</v>
      </c>
      <c r="AH172" s="6">
        <v>6.2115984594036151</v>
      </c>
      <c r="AI172" s="6">
        <v>0</v>
      </c>
      <c r="AJ172" s="6">
        <v>25.915085054825891</v>
      </c>
      <c r="AK172" s="6">
        <v>202.0181799480828</v>
      </c>
      <c r="AL172" s="6">
        <v>0</v>
      </c>
      <c r="AM172" s="6">
        <v>0</v>
      </c>
      <c r="AN172" s="6">
        <v>0</v>
      </c>
      <c r="AO172" s="6">
        <v>0</v>
      </c>
      <c r="AP172" s="6">
        <v>0</v>
      </c>
      <c r="AQ172" s="6">
        <v>202.0181799480828</v>
      </c>
      <c r="AR172" s="6">
        <v>419.99999964779192</v>
      </c>
      <c r="AS172" s="6">
        <v>1600.5811000000001</v>
      </c>
      <c r="AT172" s="6">
        <v>310.44337188832299</v>
      </c>
      <c r="AU172" s="6">
        <v>250.1085032139386</v>
      </c>
    </row>
    <row r="173" spans="1:47" x14ac:dyDescent="0.35">
      <c r="A173" s="5">
        <v>46022</v>
      </c>
      <c r="B173" s="4" t="s">
        <v>330</v>
      </c>
      <c r="C173" s="4" t="s">
        <v>331</v>
      </c>
      <c r="D173" s="4" t="s">
        <v>122</v>
      </c>
      <c r="E173" s="6">
        <v>2976.1904300000001</v>
      </c>
      <c r="F173" s="7">
        <v>1.2</v>
      </c>
      <c r="G173" s="6">
        <v>70</v>
      </c>
      <c r="H173" s="6">
        <v>25</v>
      </c>
      <c r="I173" s="6">
        <v>100</v>
      </c>
      <c r="J173" s="6">
        <v>25</v>
      </c>
      <c r="K173" s="8">
        <v>100</v>
      </c>
      <c r="L173" s="6">
        <v>0</v>
      </c>
      <c r="M173" s="6">
        <v>0</v>
      </c>
      <c r="N173" s="6">
        <v>0</v>
      </c>
      <c r="O173" s="6">
        <v>0</v>
      </c>
      <c r="P173" s="6">
        <v>0</v>
      </c>
      <c r="Q173" s="6">
        <v>35.83473004340037</v>
      </c>
      <c r="R173" s="6">
        <v>30.580261073358091</v>
      </c>
      <c r="S173" s="6">
        <v>9.1371622643217822</v>
      </c>
      <c r="T173" s="6">
        <v>34.331537373582648</v>
      </c>
      <c r="U173" s="6">
        <v>109.88369075466289</v>
      </c>
      <c r="V173" s="6">
        <v>109.88369075466289</v>
      </c>
      <c r="W173" s="6">
        <v>1.1339809249999999</v>
      </c>
      <c r="X173" s="6">
        <v>0</v>
      </c>
      <c r="Y173" s="6">
        <v>0</v>
      </c>
      <c r="Z173" s="6">
        <v>111.0176716796629</v>
      </c>
      <c r="AA173" s="6">
        <v>52.478053377640229</v>
      </c>
      <c r="AB173" s="6">
        <v>163.4957250573031</v>
      </c>
      <c r="AC173" s="6">
        <v>0</v>
      </c>
      <c r="AD173" s="6">
        <v>49.974785644422191</v>
      </c>
      <c r="AE173" s="6">
        <v>0</v>
      </c>
      <c r="AF173" s="6">
        <v>0</v>
      </c>
      <c r="AG173" s="6">
        <v>213.47051070172529</v>
      </c>
      <c r="AH173" s="6">
        <v>6.0917501861883903</v>
      </c>
      <c r="AI173" s="6">
        <v>0</v>
      </c>
      <c r="AJ173" s="6">
        <v>21.023382004027329</v>
      </c>
      <c r="AK173" s="6">
        <v>190.61085724751879</v>
      </c>
      <c r="AL173" s="6">
        <v>0</v>
      </c>
      <c r="AM173" s="6">
        <v>0</v>
      </c>
      <c r="AN173" s="6">
        <v>0</v>
      </c>
      <c r="AO173" s="6">
        <v>0</v>
      </c>
      <c r="AP173" s="6">
        <v>0</v>
      </c>
      <c r="AQ173" s="6">
        <v>190.61085724751879</v>
      </c>
      <c r="AR173" s="6">
        <v>419.99999964779192</v>
      </c>
      <c r="AS173" s="6">
        <v>231.48537099999999</v>
      </c>
      <c r="AT173" s="6">
        <v>308.98232796812908</v>
      </c>
      <c r="AU173" s="6">
        <v>256.50427459048882</v>
      </c>
    </row>
    <row r="174" spans="1:47" x14ac:dyDescent="0.35">
      <c r="A174" s="5">
        <v>46022</v>
      </c>
      <c r="B174" s="4" t="s">
        <v>746</v>
      </c>
      <c r="C174" s="4" t="s">
        <v>747</v>
      </c>
      <c r="D174" s="4" t="s">
        <v>748</v>
      </c>
      <c r="E174" s="6">
        <v>650</v>
      </c>
      <c r="F174" s="7">
        <v>0.36</v>
      </c>
      <c r="G174" s="6">
        <v>79.099999999999994</v>
      </c>
      <c r="H174" s="6">
        <v>1.851</v>
      </c>
      <c r="I174" s="6">
        <v>94.634146000000001</v>
      </c>
      <c r="J174" s="6">
        <v>1.7516210000000001</v>
      </c>
      <c r="K174" s="8">
        <v>15.462</v>
      </c>
      <c r="L174" s="6">
        <v>232.92025597047081</v>
      </c>
      <c r="M174" s="6">
        <v>36.690649772231517</v>
      </c>
      <c r="N174" s="6">
        <v>76.912830909539409</v>
      </c>
      <c r="O174" s="6">
        <v>444.75216501281312</v>
      </c>
      <c r="P174" s="6">
        <v>791.27590166505479</v>
      </c>
      <c r="Q174" s="6">
        <v>112.4453799686874</v>
      </c>
      <c r="R174" s="6">
        <v>193.50840700660399</v>
      </c>
      <c r="S174" s="6">
        <v>48.575510427951052</v>
      </c>
      <c r="T174" s="6">
        <v>246.40076843496161</v>
      </c>
      <c r="U174" s="6">
        <v>600.93006583820397</v>
      </c>
      <c r="V174" s="6">
        <v>1392.205967503259</v>
      </c>
      <c r="W174" s="6">
        <v>14.152933665851499</v>
      </c>
      <c r="X174" s="6">
        <v>26.704797481784009</v>
      </c>
      <c r="Y174" s="6">
        <v>-2225.3617959875469</v>
      </c>
      <c r="Z174" s="6">
        <v>-792.29809733665275</v>
      </c>
      <c r="AA174" s="6">
        <v>165.5940625695111</v>
      </c>
      <c r="AB174" s="6">
        <v>-626.70403476714148</v>
      </c>
      <c r="AC174" s="6">
        <v>14.39537213569008</v>
      </c>
      <c r="AD174" s="6">
        <v>214.02848455440861</v>
      </c>
      <c r="AE174" s="6">
        <v>0</v>
      </c>
      <c r="AF174" s="6">
        <v>0</v>
      </c>
      <c r="AG174" s="6">
        <v>-398.28017807704282</v>
      </c>
      <c r="AH174" s="6">
        <v>176.8530695751831</v>
      </c>
      <c r="AI174" s="6">
        <v>0</v>
      </c>
      <c r="AJ174" s="6">
        <v>177.84922841130521</v>
      </c>
      <c r="AK174" s="6">
        <v>-257.60636464496309</v>
      </c>
      <c r="AL174" s="6">
        <v>0</v>
      </c>
      <c r="AM174" s="6">
        <v>0</v>
      </c>
      <c r="AN174" s="6">
        <v>0</v>
      </c>
      <c r="AO174" s="6">
        <v>0</v>
      </c>
      <c r="AP174" s="6">
        <v>0</v>
      </c>
      <c r="AQ174" s="6">
        <v>-257.60636464496309</v>
      </c>
      <c r="AR174" s="6">
        <v>419.99496431195581</v>
      </c>
      <c r="AS174" s="6">
        <v>104.744938</v>
      </c>
      <c r="AT174" s="6">
        <v>1212.293061648608</v>
      </c>
      <c r="AU174" s="6">
        <v>1046.6989990790969</v>
      </c>
    </row>
    <row r="175" spans="1:47" x14ac:dyDescent="0.35">
      <c r="A175" s="5">
        <v>46022</v>
      </c>
      <c r="B175" s="4" t="s">
        <v>332</v>
      </c>
      <c r="C175" s="4" t="s">
        <v>333</v>
      </c>
      <c r="D175" s="4" t="s">
        <v>69</v>
      </c>
      <c r="E175" s="6">
        <v>5033.2</v>
      </c>
      <c r="F175" s="7">
        <v>0.88859999999999995</v>
      </c>
      <c r="G175" s="6">
        <v>85</v>
      </c>
      <c r="H175" s="6">
        <v>38.015000000000001</v>
      </c>
      <c r="I175" s="6">
        <v>97</v>
      </c>
      <c r="J175" s="6">
        <v>36.874133</v>
      </c>
      <c r="K175" s="8">
        <v>78.58</v>
      </c>
      <c r="L175" s="6">
        <v>0.14015447907175391</v>
      </c>
      <c r="M175" s="6">
        <v>33.540996998414762</v>
      </c>
      <c r="N175" s="6">
        <v>0.40291084861392662</v>
      </c>
      <c r="O175" s="6">
        <v>7.9459113621763766</v>
      </c>
      <c r="P175" s="6">
        <v>42.029973688276819</v>
      </c>
      <c r="Q175" s="6">
        <v>0.1194814302746259</v>
      </c>
      <c r="R175" s="6">
        <v>0.32929523010603451</v>
      </c>
      <c r="S175" s="6">
        <v>2.9317899903437041</v>
      </c>
      <c r="T175" s="6">
        <v>5.491093618982462</v>
      </c>
      <c r="U175" s="6">
        <v>8.8716602697068243</v>
      </c>
      <c r="V175" s="6">
        <v>50.901633957983641</v>
      </c>
      <c r="W175" s="6">
        <v>37.19677945240413</v>
      </c>
      <c r="X175" s="6">
        <v>40.815497552564992</v>
      </c>
      <c r="Y175" s="6">
        <v>-110.55005479571361</v>
      </c>
      <c r="Z175" s="6">
        <v>18.36385616723917</v>
      </c>
      <c r="AA175" s="6">
        <v>0</v>
      </c>
      <c r="AB175" s="6">
        <v>18.36385616723917</v>
      </c>
      <c r="AC175" s="6">
        <v>0</v>
      </c>
      <c r="AD175" s="6">
        <v>46.816561504166259</v>
      </c>
      <c r="AE175" s="6">
        <v>0</v>
      </c>
      <c r="AF175" s="6">
        <v>0</v>
      </c>
      <c r="AG175" s="6">
        <v>65.180417671405436</v>
      </c>
      <c r="AH175" s="6">
        <v>5.7657126903800693</v>
      </c>
      <c r="AI175" s="6">
        <v>0</v>
      </c>
      <c r="AJ175" s="6">
        <v>34.206187479596501</v>
      </c>
      <c r="AK175" s="6">
        <v>58.335756337215741</v>
      </c>
      <c r="AL175" s="6">
        <v>0</v>
      </c>
      <c r="AM175" s="6">
        <v>0</v>
      </c>
      <c r="AN175" s="6">
        <v>0</v>
      </c>
      <c r="AO175" s="6">
        <v>0</v>
      </c>
      <c r="AP175" s="6">
        <v>0</v>
      </c>
      <c r="AQ175" s="6">
        <v>58.335756337215741</v>
      </c>
      <c r="AR175" s="6">
        <v>419.99962377454801</v>
      </c>
      <c r="AS175" s="6">
        <v>433.38461799999999</v>
      </c>
      <c r="AT175" s="6">
        <v>401.63576760730882</v>
      </c>
      <c r="AU175" s="6">
        <v>401.63576760730882</v>
      </c>
    </row>
    <row r="176" spans="1:47" x14ac:dyDescent="0.35">
      <c r="A176" s="5">
        <v>46022</v>
      </c>
      <c r="B176" s="4" t="s">
        <v>749</v>
      </c>
      <c r="C176" s="4" t="s">
        <v>750</v>
      </c>
      <c r="D176" s="4" t="s">
        <v>69</v>
      </c>
      <c r="E176" s="6">
        <v>17000</v>
      </c>
      <c r="F176" s="7">
        <v>0.1454</v>
      </c>
      <c r="G176" s="6">
        <v>91.87</v>
      </c>
      <c r="H176" s="6">
        <v>22.71</v>
      </c>
      <c r="I176" s="6">
        <v>86.326150999999996</v>
      </c>
      <c r="J176" s="6">
        <v>19.604866999999999</v>
      </c>
      <c r="K176" s="8">
        <v>9.3729999999999993</v>
      </c>
      <c r="L176" s="6">
        <v>152.30051225769321</v>
      </c>
      <c r="M176" s="6">
        <v>257.35298414463438</v>
      </c>
      <c r="N176" s="6">
        <v>36.734639569635291</v>
      </c>
      <c r="O176" s="6">
        <v>264.95633589274831</v>
      </c>
      <c r="P176" s="6">
        <v>711.34447186471118</v>
      </c>
      <c r="Q176" s="6">
        <v>37.482781691620048</v>
      </c>
      <c r="R176" s="6">
        <v>350.43002953168963</v>
      </c>
      <c r="S176" s="6">
        <v>81.476771589944434</v>
      </c>
      <c r="T176" s="6">
        <v>162.6805761262863</v>
      </c>
      <c r="U176" s="6">
        <v>632.07015893954042</v>
      </c>
      <c r="V176" s="6">
        <v>1343.4146308042521</v>
      </c>
      <c r="W176" s="6">
        <v>10.30123457747057</v>
      </c>
      <c r="X176" s="6">
        <v>28.526872154994059</v>
      </c>
      <c r="Y176" s="6">
        <v>-3824.0416627517352</v>
      </c>
      <c r="Z176" s="6">
        <v>-2441.7989252150192</v>
      </c>
      <c r="AA176" s="6">
        <v>256.5852720125157</v>
      </c>
      <c r="AB176" s="6">
        <v>-2185.2136532025029</v>
      </c>
      <c r="AC176" s="6">
        <v>0</v>
      </c>
      <c r="AD176" s="6">
        <v>1060.232788197545</v>
      </c>
      <c r="AE176" s="6">
        <v>0</v>
      </c>
      <c r="AF176" s="6">
        <v>0</v>
      </c>
      <c r="AG176" s="6">
        <v>-1124.9808650049581</v>
      </c>
      <c r="AH176" s="6">
        <v>42.218406079768158</v>
      </c>
      <c r="AI176" s="6">
        <v>0</v>
      </c>
      <c r="AJ176" s="6">
        <v>647.97332174673943</v>
      </c>
      <c r="AK176" s="6">
        <v>-1495.021925375996</v>
      </c>
      <c r="AL176" s="6">
        <v>0</v>
      </c>
      <c r="AM176" s="6">
        <v>0</v>
      </c>
      <c r="AN176" s="6">
        <v>0</v>
      </c>
      <c r="AO176" s="6">
        <v>0</v>
      </c>
      <c r="AP176" s="6">
        <v>0</v>
      </c>
      <c r="AQ176" s="6">
        <v>-1495.021925375996</v>
      </c>
      <c r="AR176" s="6">
        <v>419.99856428993019</v>
      </c>
      <c r="AS176" s="6">
        <v>1935.1529089999999</v>
      </c>
      <c r="AT176" s="6">
        <v>2861.7974895049492</v>
      </c>
      <c r="AU176" s="6">
        <v>2605.2122174924339</v>
      </c>
    </row>
    <row r="177" spans="1:47" x14ac:dyDescent="0.35">
      <c r="A177" s="5">
        <v>46022</v>
      </c>
      <c r="B177" s="4" t="s">
        <v>436</v>
      </c>
      <c r="C177" s="4" t="s">
        <v>437</v>
      </c>
      <c r="D177" s="4" t="s">
        <v>438</v>
      </c>
      <c r="E177" s="6">
        <v>10033.333333</v>
      </c>
      <c r="F177" s="7">
        <v>0.26</v>
      </c>
      <c r="G177" s="6">
        <v>89.45</v>
      </c>
      <c r="H177" s="6">
        <v>23.332999999999998</v>
      </c>
      <c r="I177" s="6">
        <v>97</v>
      </c>
      <c r="J177" s="6">
        <v>22.633333</v>
      </c>
      <c r="K177" s="8">
        <v>51.588000000000001</v>
      </c>
      <c r="L177" s="6">
        <v>15.86407305347673</v>
      </c>
      <c r="M177" s="6">
        <v>8.4208045245929775</v>
      </c>
      <c r="N177" s="6">
        <v>0.87605241717699267</v>
      </c>
      <c r="O177" s="6">
        <v>21.91281203570982</v>
      </c>
      <c r="P177" s="6">
        <v>47.073742030956531</v>
      </c>
      <c r="Q177" s="6">
        <v>6.7989171767804502</v>
      </c>
      <c r="R177" s="6">
        <v>17.794653862281301</v>
      </c>
      <c r="S177" s="6">
        <v>23.40592965161817</v>
      </c>
      <c r="T177" s="6">
        <v>10.90527212837454</v>
      </c>
      <c r="U177" s="6">
        <v>58.904772819054457</v>
      </c>
      <c r="V177" s="6">
        <v>105.978514850011</v>
      </c>
      <c r="W177" s="6">
        <v>17.563987013864882</v>
      </c>
      <c r="X177" s="6">
        <v>24.12102820195134</v>
      </c>
      <c r="Y177" s="6">
        <v>-362.96858853375358</v>
      </c>
      <c r="Z177" s="6">
        <v>-215.30505846792639</v>
      </c>
      <c r="AA177" s="6">
        <v>0</v>
      </c>
      <c r="AB177" s="6">
        <v>-215.30505846792639</v>
      </c>
      <c r="AC177" s="6">
        <v>0</v>
      </c>
      <c r="AD177" s="6">
        <v>17.00836223261528</v>
      </c>
      <c r="AE177" s="6">
        <v>0</v>
      </c>
      <c r="AF177" s="6">
        <v>0</v>
      </c>
      <c r="AG177" s="6">
        <v>-198.29669623531109</v>
      </c>
      <c r="AH177" s="6">
        <v>13.02659461063992</v>
      </c>
      <c r="AI177" s="6">
        <v>0</v>
      </c>
      <c r="AJ177" s="6">
        <v>224.5204433652508</v>
      </c>
      <c r="AK177" s="6">
        <v>22.24197950796427</v>
      </c>
      <c r="AL177" s="6">
        <v>21.324782360537132</v>
      </c>
      <c r="AM177" s="6">
        <v>0</v>
      </c>
      <c r="AN177" s="6">
        <v>0</v>
      </c>
      <c r="AO177" s="6">
        <v>0</v>
      </c>
      <c r="AP177" s="6">
        <v>0</v>
      </c>
      <c r="AQ177" s="6">
        <v>43.566761868501402</v>
      </c>
      <c r="AR177" s="6">
        <v>419.99938727664937</v>
      </c>
      <c r="AS177" s="6">
        <v>456.94987500000002</v>
      </c>
      <c r="AT177" s="6">
        <v>635.30444574457579</v>
      </c>
      <c r="AU177" s="6">
        <v>635.30444574457579</v>
      </c>
    </row>
    <row r="178" spans="1:47" x14ac:dyDescent="0.35">
      <c r="A178" s="5">
        <v>46022</v>
      </c>
      <c r="B178" s="4" t="s">
        <v>751</v>
      </c>
      <c r="C178" s="4" t="s">
        <v>752</v>
      </c>
      <c r="D178" s="4" t="s">
        <v>753</v>
      </c>
      <c r="E178" s="6">
        <v>30500</v>
      </c>
      <c r="F178" s="7">
        <v>1.52</v>
      </c>
      <c r="G178" s="6">
        <v>89</v>
      </c>
      <c r="H178" s="6">
        <v>412.60399999999998</v>
      </c>
      <c r="I178" s="6">
        <v>95.111110999999994</v>
      </c>
      <c r="J178" s="6">
        <v>392.43224900000001</v>
      </c>
      <c r="K178" s="8">
        <v>71.703999999999994</v>
      </c>
      <c r="L178" s="6">
        <v>94.128884916738016</v>
      </c>
      <c r="M178" s="6">
        <v>2.3373632405440081</v>
      </c>
      <c r="N178" s="6">
        <v>10.084275105516269</v>
      </c>
      <c r="O178" s="6">
        <v>99.891546723404019</v>
      </c>
      <c r="P178" s="6">
        <v>206.44206998620231</v>
      </c>
      <c r="Q178" s="6">
        <v>12.35371612984183</v>
      </c>
      <c r="R178" s="6">
        <v>12.27882210842453</v>
      </c>
      <c r="S178" s="6">
        <v>18.0787529224861</v>
      </c>
      <c r="T178" s="6">
        <v>28.530639772143349</v>
      </c>
      <c r="U178" s="6">
        <v>71.241930932895826</v>
      </c>
      <c r="V178" s="6">
        <v>277.68400091909808</v>
      </c>
      <c r="W178" s="6">
        <v>1.7257676704249201</v>
      </c>
      <c r="X178" s="6">
        <v>63.863792272900611</v>
      </c>
      <c r="Y178" s="6">
        <v>-160.48670955503169</v>
      </c>
      <c r="Z178" s="6">
        <v>182.78685130739191</v>
      </c>
      <c r="AA178" s="6">
        <v>113.5901754145668</v>
      </c>
      <c r="AB178" s="6">
        <v>296.37702672195871</v>
      </c>
      <c r="AC178" s="6">
        <v>0</v>
      </c>
      <c r="AD178" s="6">
        <v>56.448724770550953</v>
      </c>
      <c r="AE178" s="6">
        <v>0</v>
      </c>
      <c r="AF178" s="6">
        <v>0</v>
      </c>
      <c r="AG178" s="6">
        <v>352.8257514925096</v>
      </c>
      <c r="AH178" s="6">
        <v>13.883036829644951</v>
      </c>
      <c r="AI178" s="6">
        <v>0</v>
      </c>
      <c r="AJ178" s="6">
        <v>60.78162906386877</v>
      </c>
      <c r="AK178" s="6">
        <v>371.04169261547241</v>
      </c>
      <c r="AL178" s="6">
        <v>20.805278374887099</v>
      </c>
      <c r="AM178" s="6">
        <v>0</v>
      </c>
      <c r="AN178" s="6">
        <v>0</v>
      </c>
      <c r="AO178" s="6">
        <v>0</v>
      </c>
      <c r="AP178" s="6">
        <v>0</v>
      </c>
      <c r="AQ178" s="6">
        <v>391.84697099035952</v>
      </c>
      <c r="AR178" s="6">
        <v>419.9999472056187</v>
      </c>
      <c r="AS178" s="6">
        <v>5048.7688369999996</v>
      </c>
      <c r="AT178" s="6">
        <v>237.21309589822681</v>
      </c>
      <c r="AU178" s="6">
        <v>123.62292048366</v>
      </c>
    </row>
    <row r="179" spans="1:47" x14ac:dyDescent="0.35">
      <c r="A179" s="5">
        <v>46022</v>
      </c>
      <c r="B179" s="4" t="s">
        <v>439</v>
      </c>
      <c r="C179" s="4" t="s">
        <v>440</v>
      </c>
      <c r="D179" s="4" t="s">
        <v>441</v>
      </c>
      <c r="E179" s="6">
        <v>3295.5065970000001</v>
      </c>
      <c r="F179" s="7">
        <v>1.5218</v>
      </c>
      <c r="G179" s="6">
        <v>86.5</v>
      </c>
      <c r="H179" s="6">
        <v>43.377000000000002</v>
      </c>
      <c r="I179" s="6">
        <v>98.107014000000007</v>
      </c>
      <c r="J179" s="6">
        <v>42.555880000000002</v>
      </c>
      <c r="K179" s="8">
        <v>98.757000000000005</v>
      </c>
      <c r="L179" s="6">
        <v>40.16154348715628</v>
      </c>
      <c r="M179" s="6">
        <v>84.034465558407035</v>
      </c>
      <c r="N179" s="6">
        <v>25.219292223995978</v>
      </c>
      <c r="O179" s="6">
        <v>22.719843974911569</v>
      </c>
      <c r="P179" s="6">
        <v>172.13514524447089</v>
      </c>
      <c r="Q179" s="6">
        <v>7.4535345448217516</v>
      </c>
      <c r="R179" s="6">
        <v>6.9914032073053383</v>
      </c>
      <c r="S179" s="6">
        <v>14.691862797225991</v>
      </c>
      <c r="T179" s="6">
        <v>11.1547652356165</v>
      </c>
      <c r="U179" s="6">
        <v>40.291565784969578</v>
      </c>
      <c r="V179" s="6">
        <v>212.42671102944041</v>
      </c>
      <c r="W179" s="6">
        <v>0.441945975945644</v>
      </c>
      <c r="X179" s="6">
        <v>22.323190828854951</v>
      </c>
      <c r="Y179" s="6">
        <v>-35.370822824216837</v>
      </c>
      <c r="Z179" s="6">
        <v>199.82102501002419</v>
      </c>
      <c r="AA179" s="6">
        <v>13.935059623295681</v>
      </c>
      <c r="AB179" s="6">
        <v>213.75608463331989</v>
      </c>
      <c r="AC179" s="6">
        <v>3.1308200321093129</v>
      </c>
      <c r="AD179" s="6">
        <v>42.286485648379852</v>
      </c>
      <c r="AE179" s="6">
        <v>0</v>
      </c>
      <c r="AF179" s="6">
        <v>0</v>
      </c>
      <c r="AG179" s="6">
        <v>259.17339031380902</v>
      </c>
      <c r="AH179" s="6">
        <v>2.8303770561296271</v>
      </c>
      <c r="AI179" s="6">
        <v>0</v>
      </c>
      <c r="AJ179" s="6">
        <v>170.53995542938711</v>
      </c>
      <c r="AK179" s="6">
        <v>390.25723715094591</v>
      </c>
      <c r="AL179" s="6">
        <v>202.51619904823309</v>
      </c>
      <c r="AM179" s="6">
        <v>0</v>
      </c>
      <c r="AN179" s="6">
        <v>0</v>
      </c>
      <c r="AO179" s="6">
        <v>0</v>
      </c>
      <c r="AP179" s="6">
        <v>0</v>
      </c>
      <c r="AQ179" s="6">
        <v>592.77343619917906</v>
      </c>
      <c r="AR179" s="6">
        <v>420.00019703532081</v>
      </c>
      <c r="AS179" s="6">
        <v>429.46698800000001</v>
      </c>
      <c r="AT179" s="6">
        <v>220.17917202529659</v>
      </c>
      <c r="AU179" s="6">
        <v>206.24411240200089</v>
      </c>
    </row>
    <row r="180" spans="1:47" x14ac:dyDescent="0.35">
      <c r="A180" s="5">
        <v>46022</v>
      </c>
      <c r="B180" s="4" t="s">
        <v>754</v>
      </c>
      <c r="C180" s="4" t="s">
        <v>755</v>
      </c>
      <c r="D180" s="4" t="s">
        <v>222</v>
      </c>
      <c r="E180" s="6">
        <v>1350</v>
      </c>
      <c r="F180" s="7">
        <v>1.5591999999999999</v>
      </c>
      <c r="G180" s="6">
        <v>95.01</v>
      </c>
      <c r="H180" s="6">
        <v>20</v>
      </c>
      <c r="I180" s="6">
        <v>97</v>
      </c>
      <c r="J180" s="6">
        <v>19.399999999999999</v>
      </c>
      <c r="K180" s="8">
        <v>66.864999999999995</v>
      </c>
      <c r="L180" s="6">
        <v>78.083920284504757</v>
      </c>
      <c r="M180" s="6">
        <v>0.1431572591295</v>
      </c>
      <c r="N180" s="6">
        <v>7.7195391401205011</v>
      </c>
      <c r="O180" s="6">
        <v>17.496213436201501</v>
      </c>
      <c r="P180" s="6">
        <v>103.4428301199563</v>
      </c>
      <c r="Q180" s="6">
        <v>35.970557667660003</v>
      </c>
      <c r="R180" s="6">
        <v>5.928593029821001</v>
      </c>
      <c r="S180" s="6">
        <v>11.35938047480775</v>
      </c>
      <c r="T180" s="6">
        <v>11.344744054413001</v>
      </c>
      <c r="U180" s="6">
        <v>64.603275226701754</v>
      </c>
      <c r="V180" s="6">
        <v>168.04610534665801</v>
      </c>
      <c r="W180" s="6">
        <v>4.0268995163507517</v>
      </c>
      <c r="X180" s="6">
        <v>21.603525101319999</v>
      </c>
      <c r="Y180" s="6">
        <v>-194.85583633108831</v>
      </c>
      <c r="Z180" s="6">
        <v>-1.17930636675953</v>
      </c>
      <c r="AA180" s="6">
        <v>34.557075558085302</v>
      </c>
      <c r="AB180" s="6">
        <v>33.377769191325768</v>
      </c>
      <c r="AC180" s="6">
        <v>0</v>
      </c>
      <c r="AD180" s="6">
        <v>112.78259290544401</v>
      </c>
      <c r="AE180" s="6">
        <v>0</v>
      </c>
      <c r="AF180" s="6">
        <v>0</v>
      </c>
      <c r="AG180" s="6">
        <v>146.1603620967698</v>
      </c>
      <c r="AH180" s="6">
        <v>5.1438321690524997</v>
      </c>
      <c r="AI180" s="6">
        <v>0</v>
      </c>
      <c r="AJ180" s="6">
        <v>29.755599616512001</v>
      </c>
      <c r="AK180" s="6">
        <v>68.277200976890285</v>
      </c>
      <c r="AL180" s="6">
        <v>0</v>
      </c>
      <c r="AM180" s="6">
        <v>0</v>
      </c>
      <c r="AN180" s="6">
        <v>0</v>
      </c>
      <c r="AO180" s="6">
        <v>0</v>
      </c>
      <c r="AP180" s="6">
        <v>0</v>
      </c>
      <c r="AQ180" s="6">
        <v>68.277200976890285</v>
      </c>
      <c r="AR180" s="6">
        <v>419.99999964779198</v>
      </c>
      <c r="AS180" s="6">
        <v>274.80586</v>
      </c>
      <c r="AT180" s="6">
        <v>421.17930601455151</v>
      </c>
      <c r="AU180" s="6">
        <v>386.62223045646618</v>
      </c>
    </row>
    <row r="181" spans="1:47" x14ac:dyDescent="0.35">
      <c r="A181" s="5">
        <v>46022</v>
      </c>
      <c r="B181" s="4" t="s">
        <v>334</v>
      </c>
      <c r="C181" s="4" t="s">
        <v>335</v>
      </c>
      <c r="D181" s="4" t="s">
        <v>213</v>
      </c>
      <c r="E181" s="6">
        <v>4040</v>
      </c>
      <c r="F181" s="7">
        <v>2.5</v>
      </c>
      <c r="G181" s="6">
        <v>65.349999999999994</v>
      </c>
      <c r="H181" s="6">
        <v>66</v>
      </c>
      <c r="I181" s="6">
        <v>100</v>
      </c>
      <c r="J181" s="6">
        <v>66</v>
      </c>
      <c r="K181" s="8">
        <v>100</v>
      </c>
      <c r="L181" s="6">
        <v>28.44431392380741</v>
      </c>
      <c r="M181" s="6">
        <v>5.6828177125127333</v>
      </c>
      <c r="N181" s="6">
        <v>0.14978018668876669</v>
      </c>
      <c r="O181" s="6">
        <v>3.9786776386776999</v>
      </c>
      <c r="P181" s="6">
        <v>38.255589461686611</v>
      </c>
      <c r="Q181" s="6">
        <v>22.482418337448209</v>
      </c>
      <c r="R181" s="6">
        <v>110.7162340176491</v>
      </c>
      <c r="S181" s="6">
        <v>16.17586867093582</v>
      </c>
      <c r="T181" s="6">
        <v>48.080569976885229</v>
      </c>
      <c r="U181" s="6">
        <v>197.45509100291829</v>
      </c>
      <c r="V181" s="6">
        <v>235.71068046460491</v>
      </c>
      <c r="W181" s="6">
        <v>7.1341996331374222</v>
      </c>
      <c r="X181" s="6">
        <v>0</v>
      </c>
      <c r="Y181" s="6">
        <v>0</v>
      </c>
      <c r="Z181" s="6">
        <v>242.84488009774239</v>
      </c>
      <c r="AA181" s="6">
        <v>19.73996392934491</v>
      </c>
      <c r="AB181" s="6">
        <v>262.58484402708729</v>
      </c>
      <c r="AC181" s="6">
        <v>0</v>
      </c>
      <c r="AD181" s="6">
        <v>213.13326575478911</v>
      </c>
      <c r="AE181" s="6">
        <v>0</v>
      </c>
      <c r="AF181" s="6">
        <v>0</v>
      </c>
      <c r="AG181" s="6">
        <v>475.71810978187642</v>
      </c>
      <c r="AH181" s="6">
        <v>1.645782858822993</v>
      </c>
      <c r="AI181" s="6">
        <v>0</v>
      </c>
      <c r="AJ181" s="6">
        <v>173.49774944791631</v>
      </c>
      <c r="AK181" s="6">
        <v>437.72837633382659</v>
      </c>
      <c r="AL181" s="6">
        <v>0</v>
      </c>
      <c r="AM181" s="6">
        <v>0</v>
      </c>
      <c r="AN181" s="6">
        <v>0</v>
      </c>
      <c r="AO181" s="6">
        <v>0</v>
      </c>
      <c r="AP181" s="6">
        <v>0</v>
      </c>
      <c r="AQ181" s="6">
        <v>437.72837633382659</v>
      </c>
      <c r="AR181" s="6">
        <v>419.99999964779192</v>
      </c>
      <c r="AS181" s="6">
        <v>611.12139100000002</v>
      </c>
      <c r="AT181" s="6">
        <v>177.15511955004959</v>
      </c>
      <c r="AU181" s="6">
        <v>157.4151556207047</v>
      </c>
    </row>
    <row r="182" spans="1:47" x14ac:dyDescent="0.35">
      <c r="A182" s="5">
        <v>46022</v>
      </c>
      <c r="B182" s="4" t="s">
        <v>336</v>
      </c>
      <c r="C182" s="4" t="s">
        <v>337</v>
      </c>
      <c r="D182" s="4" t="s">
        <v>213</v>
      </c>
      <c r="E182" s="6">
        <v>2374.7782809999999</v>
      </c>
      <c r="F182" s="7">
        <v>1.3</v>
      </c>
      <c r="G182" s="6">
        <v>85</v>
      </c>
      <c r="H182" s="6">
        <v>26.241</v>
      </c>
      <c r="I182" s="6">
        <v>100</v>
      </c>
      <c r="J182" s="6">
        <v>26.241299999999999</v>
      </c>
      <c r="K182" s="8">
        <v>100</v>
      </c>
      <c r="L182" s="6">
        <v>31.952503791404752</v>
      </c>
      <c r="M182" s="6">
        <v>23.15272150372811</v>
      </c>
      <c r="N182" s="6">
        <v>0.9052225939944768</v>
      </c>
      <c r="O182" s="6">
        <v>16.88717825981664</v>
      </c>
      <c r="P182" s="6">
        <v>72.897626148943971</v>
      </c>
      <c r="Q182" s="6">
        <v>64.30669338710716</v>
      </c>
      <c r="R182" s="6">
        <v>47.557616558121723</v>
      </c>
      <c r="S182" s="6">
        <v>79.076264378673386</v>
      </c>
      <c r="T182" s="6">
        <v>34.214566888575909</v>
      </c>
      <c r="U182" s="6">
        <v>225.15514121247821</v>
      </c>
      <c r="V182" s="6">
        <v>298.05276736142213</v>
      </c>
      <c r="W182" s="6">
        <v>11.106717429700581</v>
      </c>
      <c r="X182" s="6">
        <v>0</v>
      </c>
      <c r="Y182" s="6">
        <v>0</v>
      </c>
      <c r="Z182" s="6">
        <v>309.15948479112268</v>
      </c>
      <c r="AA182" s="6">
        <v>22.798450048645591</v>
      </c>
      <c r="AB182" s="6">
        <v>331.95793483976831</v>
      </c>
      <c r="AC182" s="6">
        <v>0</v>
      </c>
      <c r="AD182" s="6">
        <v>84.779102684268693</v>
      </c>
      <c r="AE182" s="6">
        <v>0</v>
      </c>
      <c r="AF182" s="6">
        <v>0</v>
      </c>
      <c r="AG182" s="6">
        <v>416.73703752403702</v>
      </c>
      <c r="AH182" s="6">
        <v>17.285436465661601</v>
      </c>
      <c r="AI182" s="6">
        <v>0</v>
      </c>
      <c r="AJ182" s="6">
        <v>34.570877036231543</v>
      </c>
      <c r="AK182" s="6">
        <v>383.81424834166148</v>
      </c>
      <c r="AL182" s="6">
        <v>0</v>
      </c>
      <c r="AM182" s="6">
        <v>0</v>
      </c>
      <c r="AN182" s="6">
        <v>0</v>
      </c>
      <c r="AO182" s="6">
        <v>0</v>
      </c>
      <c r="AP182" s="6">
        <v>0</v>
      </c>
      <c r="AQ182" s="6">
        <v>383.81424834166148</v>
      </c>
      <c r="AR182" s="6">
        <v>419.99999964779198</v>
      </c>
      <c r="AS182" s="6">
        <v>242.97908699999999</v>
      </c>
      <c r="AT182" s="6">
        <v>110.8405148566692</v>
      </c>
      <c r="AU182" s="6">
        <v>88.042064808023639</v>
      </c>
    </row>
    <row r="183" spans="1:47" x14ac:dyDescent="0.35">
      <c r="A183" s="5">
        <v>46022</v>
      </c>
      <c r="B183" s="4" t="s">
        <v>269</v>
      </c>
      <c r="C183" s="4" t="s">
        <v>270</v>
      </c>
      <c r="D183" s="4" t="s">
        <v>213</v>
      </c>
      <c r="E183" s="6">
        <v>7673.1501129999997</v>
      </c>
      <c r="F183" s="7">
        <v>2.68</v>
      </c>
      <c r="G183" s="6">
        <v>85.1</v>
      </c>
      <c r="H183" s="6">
        <v>175</v>
      </c>
      <c r="I183" s="6">
        <v>100</v>
      </c>
      <c r="J183" s="6">
        <v>175</v>
      </c>
      <c r="K183" s="8">
        <v>71.313999999999993</v>
      </c>
      <c r="L183" s="6">
        <v>8.3884039757887319</v>
      </c>
      <c r="M183" s="6">
        <v>8.5661551924246648</v>
      </c>
      <c r="N183" s="6">
        <v>1.0666107198624271</v>
      </c>
      <c r="O183" s="6">
        <v>15.486314707653341</v>
      </c>
      <c r="P183" s="6">
        <v>33.50748459572916</v>
      </c>
      <c r="Q183" s="6">
        <v>5.2349119525679262</v>
      </c>
      <c r="R183" s="6">
        <v>87.684915419230094</v>
      </c>
      <c r="S183" s="6">
        <v>10.255086099830081</v>
      </c>
      <c r="T183" s="6">
        <v>6.8547900902461283</v>
      </c>
      <c r="U183" s="6">
        <v>110.0297035618742</v>
      </c>
      <c r="V183" s="6">
        <v>143.5371881576034</v>
      </c>
      <c r="W183" s="6">
        <v>0</v>
      </c>
      <c r="X183" s="6">
        <v>0</v>
      </c>
      <c r="Y183" s="6">
        <v>-176.10349021662319</v>
      </c>
      <c r="Z183" s="6">
        <v>-32.566302059019812</v>
      </c>
      <c r="AA183" s="6">
        <v>60.877209850090424</v>
      </c>
      <c r="AB183" s="6">
        <v>28.310907791070608</v>
      </c>
      <c r="AC183" s="6">
        <v>3.952505360766807</v>
      </c>
      <c r="AD183" s="6">
        <v>21.24640360224133</v>
      </c>
      <c r="AE183" s="6">
        <v>0</v>
      </c>
      <c r="AF183" s="6">
        <v>0</v>
      </c>
      <c r="AG183" s="6">
        <v>53.509816754078741</v>
      </c>
      <c r="AH183" s="6">
        <v>1.616411577262461</v>
      </c>
      <c r="AI183" s="6">
        <v>0</v>
      </c>
      <c r="AJ183" s="6">
        <v>0.56559031416455985</v>
      </c>
      <c r="AK183" s="6">
        <v>34.44541504326444</v>
      </c>
      <c r="AL183" s="6">
        <v>24.105194235488948</v>
      </c>
      <c r="AM183" s="6">
        <v>0</v>
      </c>
      <c r="AN183" s="6">
        <v>0</v>
      </c>
      <c r="AO183" s="6">
        <v>0</v>
      </c>
      <c r="AP183" s="6">
        <v>0</v>
      </c>
      <c r="AQ183" s="6">
        <v>58.550609278753392</v>
      </c>
      <c r="AR183" s="6">
        <v>419.99999964779192</v>
      </c>
      <c r="AS183" s="6">
        <v>2656.8439079999998</v>
      </c>
      <c r="AT183" s="6">
        <v>452.56630170681171</v>
      </c>
      <c r="AU183" s="6">
        <v>391.68909185672129</v>
      </c>
    </row>
    <row r="184" spans="1:47" x14ac:dyDescent="0.35">
      <c r="A184" s="5">
        <v>46022</v>
      </c>
      <c r="B184" s="4" t="s">
        <v>338</v>
      </c>
      <c r="C184" s="4" t="s">
        <v>339</v>
      </c>
      <c r="D184" s="4" t="s">
        <v>213</v>
      </c>
      <c r="E184" s="6">
        <v>4039.5137890000001</v>
      </c>
      <c r="F184" s="7">
        <v>3.13</v>
      </c>
      <c r="G184" s="6">
        <v>87</v>
      </c>
      <c r="H184" s="6">
        <v>110</v>
      </c>
      <c r="I184" s="6">
        <v>97</v>
      </c>
      <c r="J184" s="6">
        <v>106.7</v>
      </c>
      <c r="K184" s="8">
        <v>99.617000000000004</v>
      </c>
      <c r="L184" s="6">
        <v>10.415280236323589</v>
      </c>
      <c r="M184" s="6">
        <v>25.62576989351907</v>
      </c>
      <c r="N184" s="6">
        <v>3.8062230324606898</v>
      </c>
      <c r="O184" s="6">
        <v>46.109874224335499</v>
      </c>
      <c r="P184" s="6">
        <v>85.957147386638837</v>
      </c>
      <c r="Q184" s="6">
        <v>6.0827478880437829</v>
      </c>
      <c r="R184" s="6">
        <v>5.6595243517663834</v>
      </c>
      <c r="S184" s="6">
        <v>15.60456480063695</v>
      </c>
      <c r="T184" s="6">
        <v>20.262111860739871</v>
      </c>
      <c r="U184" s="6">
        <v>47.608948901186977</v>
      </c>
      <c r="V184" s="6">
        <v>133.56609628782579</v>
      </c>
      <c r="W184" s="6">
        <v>9.4487171162622037</v>
      </c>
      <c r="X184" s="6">
        <v>20.46989446696</v>
      </c>
      <c r="Y184" s="6">
        <v>-1.5031719111430699</v>
      </c>
      <c r="Z184" s="6">
        <v>161.98153595990499</v>
      </c>
      <c r="AA184" s="6">
        <v>14.767280428277919</v>
      </c>
      <c r="AB184" s="6">
        <v>176.74881638818289</v>
      </c>
      <c r="AC184" s="6">
        <v>0</v>
      </c>
      <c r="AD184" s="6">
        <v>22.476263208335059</v>
      </c>
      <c r="AE184" s="6">
        <v>0</v>
      </c>
      <c r="AF184" s="6">
        <v>0</v>
      </c>
      <c r="AG184" s="6">
        <v>199.2250795965179</v>
      </c>
      <c r="AH184" s="6">
        <v>2.0778576252785661</v>
      </c>
      <c r="AI184" s="6">
        <v>0</v>
      </c>
      <c r="AJ184" s="6">
        <v>5.0658512351832812</v>
      </c>
      <c r="AK184" s="6">
        <v>183.89252524864469</v>
      </c>
      <c r="AL184" s="6">
        <v>0</v>
      </c>
      <c r="AM184" s="6">
        <v>0</v>
      </c>
      <c r="AN184" s="6">
        <v>0</v>
      </c>
      <c r="AO184" s="6">
        <v>0</v>
      </c>
      <c r="AP184" s="6">
        <v>0</v>
      </c>
      <c r="AQ184" s="6">
        <v>183.89252524864469</v>
      </c>
      <c r="AR184" s="6">
        <v>419.99999964779192</v>
      </c>
      <c r="AS184" s="6">
        <v>992.50215700000001</v>
      </c>
      <c r="AT184" s="6">
        <v>258.01846368788699</v>
      </c>
      <c r="AU184" s="6">
        <v>243.25118325960909</v>
      </c>
    </row>
    <row r="185" spans="1:47" x14ac:dyDescent="0.35">
      <c r="A185" s="5">
        <v>46022</v>
      </c>
      <c r="B185" s="4" t="s">
        <v>271</v>
      </c>
      <c r="C185" s="4" t="s">
        <v>272</v>
      </c>
      <c r="D185" s="4" t="s">
        <v>122</v>
      </c>
      <c r="E185" s="6">
        <v>1472.9825960000001</v>
      </c>
      <c r="F185" s="7">
        <v>3.1185999999999998</v>
      </c>
      <c r="G185" s="6">
        <v>76.900000000000006</v>
      </c>
      <c r="H185" s="6">
        <v>35.325000000000003</v>
      </c>
      <c r="I185" s="6">
        <v>97</v>
      </c>
      <c r="J185" s="6">
        <v>34.265250000000002</v>
      </c>
      <c r="K185" s="8">
        <v>100</v>
      </c>
      <c r="L185" s="6">
        <v>109.1133697189458</v>
      </c>
      <c r="M185" s="6">
        <v>3.9325867656585518</v>
      </c>
      <c r="N185" s="6">
        <v>149.41432128406319</v>
      </c>
      <c r="O185" s="6">
        <v>11.419850741158781</v>
      </c>
      <c r="P185" s="6">
        <v>273.88012850982631</v>
      </c>
      <c r="Q185" s="6">
        <v>14.48798823866967</v>
      </c>
      <c r="R185" s="6">
        <v>1.505928954033934</v>
      </c>
      <c r="S185" s="6">
        <v>13.82035471800533</v>
      </c>
      <c r="T185" s="6">
        <v>6.0306964117150592</v>
      </c>
      <c r="U185" s="6">
        <v>35.844968322423988</v>
      </c>
      <c r="V185" s="6">
        <v>309.7250968322503</v>
      </c>
      <c r="W185" s="6">
        <v>4.0461260510358308</v>
      </c>
      <c r="X185" s="6">
        <v>18.688471352120761</v>
      </c>
      <c r="Y185" s="6">
        <v>-4.0823313300000002E-16</v>
      </c>
      <c r="Z185" s="6">
        <v>332.45969423540691</v>
      </c>
      <c r="AA185" s="6">
        <v>41.999981493281624</v>
      </c>
      <c r="AB185" s="6">
        <v>374.45967572868852</v>
      </c>
      <c r="AC185" s="6">
        <v>0</v>
      </c>
      <c r="AD185" s="6">
        <v>46.229674734650288</v>
      </c>
      <c r="AE185" s="6">
        <v>0</v>
      </c>
      <c r="AF185" s="6">
        <v>0</v>
      </c>
      <c r="AG185" s="6">
        <v>420.68935046333883</v>
      </c>
      <c r="AH185" s="6">
        <v>1.449612316737273</v>
      </c>
      <c r="AI185" s="6">
        <v>0</v>
      </c>
      <c r="AJ185" s="6">
        <v>18.048530708707599</v>
      </c>
      <c r="AK185" s="6">
        <v>393.95781875413343</v>
      </c>
      <c r="AL185" s="6">
        <v>0</v>
      </c>
      <c r="AM185" s="6">
        <v>0</v>
      </c>
      <c r="AN185" s="6">
        <v>0</v>
      </c>
      <c r="AO185" s="6">
        <v>0</v>
      </c>
      <c r="AP185" s="6">
        <v>0</v>
      </c>
      <c r="AQ185" s="6">
        <v>393.95781875413343</v>
      </c>
      <c r="AR185" s="6">
        <v>419.99938678198822</v>
      </c>
      <c r="AS185" s="6">
        <v>317.27570700000001</v>
      </c>
      <c r="AT185" s="6">
        <v>87.539692546581264</v>
      </c>
      <c r="AU185" s="6">
        <v>45.539711053299648</v>
      </c>
    </row>
    <row r="186" spans="1:47" x14ac:dyDescent="0.35">
      <c r="A186" s="5">
        <v>46022</v>
      </c>
      <c r="B186" s="4" t="s">
        <v>370</v>
      </c>
      <c r="C186" s="4" t="s">
        <v>371</v>
      </c>
      <c r="D186" s="4" t="s">
        <v>69</v>
      </c>
      <c r="E186" s="6">
        <v>29609.523809999999</v>
      </c>
      <c r="F186" s="7">
        <v>0.1</v>
      </c>
      <c r="G186" s="6">
        <v>42</v>
      </c>
      <c r="H186" s="6">
        <v>12.436</v>
      </c>
      <c r="I186" s="6">
        <v>100</v>
      </c>
      <c r="J186" s="6">
        <v>12.436</v>
      </c>
      <c r="K186" s="8">
        <v>100</v>
      </c>
      <c r="L186" s="6">
        <v>0</v>
      </c>
      <c r="M186" s="6">
        <v>0</v>
      </c>
      <c r="N186" s="6">
        <v>0</v>
      </c>
      <c r="O186" s="6">
        <v>0</v>
      </c>
      <c r="P186" s="6">
        <v>0</v>
      </c>
      <c r="Q186" s="6">
        <v>23.33160353315856</v>
      </c>
      <c r="R186" s="6">
        <v>43.94143684990668</v>
      </c>
      <c r="S186" s="6">
        <v>7.7180901720407924</v>
      </c>
      <c r="T186" s="6">
        <v>4.0088925653978063</v>
      </c>
      <c r="U186" s="6">
        <v>79.00002312050384</v>
      </c>
      <c r="V186" s="6">
        <v>79.00002312050384</v>
      </c>
      <c r="W186" s="6">
        <v>0</v>
      </c>
      <c r="X186" s="6">
        <v>0</v>
      </c>
      <c r="Y186" s="6">
        <v>0</v>
      </c>
      <c r="Z186" s="6">
        <v>79.00002312050384</v>
      </c>
      <c r="AA186" s="6">
        <v>35.711525649810959</v>
      </c>
      <c r="AB186" s="6">
        <v>114.71154877031481</v>
      </c>
      <c r="AC186" s="6">
        <v>0</v>
      </c>
      <c r="AD186" s="6">
        <v>16.479010802365021</v>
      </c>
      <c r="AE186" s="6">
        <v>0</v>
      </c>
      <c r="AF186" s="6">
        <v>0</v>
      </c>
      <c r="AG186" s="6">
        <v>131.1905595726798</v>
      </c>
      <c r="AH186" s="6">
        <v>74.817901469036585</v>
      </c>
      <c r="AI186" s="6">
        <v>0</v>
      </c>
      <c r="AJ186" s="6">
        <v>7.6595551566731839</v>
      </c>
      <c r="AK186" s="6">
        <v>197.18900539602461</v>
      </c>
      <c r="AL186" s="6">
        <v>0</v>
      </c>
      <c r="AM186" s="6">
        <v>0</v>
      </c>
      <c r="AN186" s="6">
        <v>0</v>
      </c>
      <c r="AO186" s="6">
        <v>0</v>
      </c>
      <c r="AP186" s="6">
        <v>0</v>
      </c>
      <c r="AQ186" s="6">
        <v>197.18900539602461</v>
      </c>
      <c r="AR186" s="6">
        <v>419.99999964779192</v>
      </c>
      <c r="AS186" s="6">
        <v>115.150085</v>
      </c>
      <c r="AT186" s="6">
        <v>340.99997652728808</v>
      </c>
      <c r="AU186" s="6">
        <v>305.28845087747709</v>
      </c>
    </row>
    <row r="187" spans="1:47" x14ac:dyDescent="0.35">
      <c r="A187" s="5">
        <v>46022</v>
      </c>
      <c r="B187" s="4" t="s">
        <v>756</v>
      </c>
      <c r="C187" s="4" t="s">
        <v>757</v>
      </c>
      <c r="D187" s="4" t="s">
        <v>105</v>
      </c>
      <c r="E187" s="6">
        <v>5400</v>
      </c>
      <c r="F187" s="7">
        <v>1.26E-2</v>
      </c>
      <c r="G187" s="6">
        <v>36.340000000000003</v>
      </c>
      <c r="H187" s="6">
        <v>0.247</v>
      </c>
      <c r="I187" s="6">
        <v>98.950500000000005</v>
      </c>
      <c r="J187" s="6">
        <v>0.24399699999999999</v>
      </c>
      <c r="K187" s="8">
        <v>0.224</v>
      </c>
      <c r="L187" s="6">
        <v>15744.72025496107</v>
      </c>
      <c r="M187" s="6">
        <v>1693.6285104714329</v>
      </c>
      <c r="N187" s="6">
        <v>5999.1352728097118</v>
      </c>
      <c r="O187" s="6">
        <v>27139.31398677799</v>
      </c>
      <c r="P187" s="6">
        <v>50576.798025020209</v>
      </c>
      <c r="Q187" s="6">
        <v>6269.8011832561333</v>
      </c>
      <c r="R187" s="6">
        <v>12370.39802563951</v>
      </c>
      <c r="S187" s="6">
        <v>15298.90913466131</v>
      </c>
      <c r="T187" s="6">
        <v>20198.542949630701</v>
      </c>
      <c r="U187" s="6">
        <v>54137.65129318765</v>
      </c>
      <c r="V187" s="6">
        <v>104714.4493182079</v>
      </c>
      <c r="W187" s="6">
        <v>1.5611367737560999</v>
      </c>
      <c r="X187" s="6">
        <v>113.762364717599</v>
      </c>
      <c r="Y187" s="6">
        <v>-99495.878043354824</v>
      </c>
      <c r="Z187" s="6">
        <v>5333.8947763443857</v>
      </c>
      <c r="AA187" s="6">
        <v>5130.0742539644389</v>
      </c>
      <c r="AB187" s="6">
        <v>10463.96903030883</v>
      </c>
      <c r="AC187" s="6">
        <v>0</v>
      </c>
      <c r="AD187" s="6">
        <v>16315.27657361716</v>
      </c>
      <c r="AE187" s="6">
        <v>0</v>
      </c>
      <c r="AF187" s="6">
        <v>0</v>
      </c>
      <c r="AG187" s="6">
        <v>26779.245603925981</v>
      </c>
      <c r="AH187" s="6">
        <v>4015.9621796970432</v>
      </c>
      <c r="AI187" s="6">
        <v>0</v>
      </c>
      <c r="AJ187" s="6">
        <v>1115.3394250432209</v>
      </c>
      <c r="AK187" s="6">
        <v>15595.27063504909</v>
      </c>
      <c r="AL187" s="6">
        <v>0</v>
      </c>
      <c r="AM187" s="6">
        <v>0</v>
      </c>
      <c r="AN187" s="6">
        <v>0</v>
      </c>
      <c r="AO187" s="6">
        <v>0</v>
      </c>
      <c r="AP187" s="6">
        <v>0</v>
      </c>
      <c r="AQ187" s="6">
        <v>15595.27063504909</v>
      </c>
      <c r="AR187" s="6">
        <v>420.00516364570558</v>
      </c>
      <c r="AS187" s="6">
        <v>551.91634299999998</v>
      </c>
      <c r="AT187" s="6">
        <v>-4913.889612698681</v>
      </c>
      <c r="AU187" s="6">
        <v>-10043.96386666312</v>
      </c>
    </row>
    <row r="188" spans="1:47" x14ac:dyDescent="0.35">
      <c r="A188" s="5">
        <v>46022</v>
      </c>
      <c r="B188" s="4" t="s">
        <v>758</v>
      </c>
      <c r="C188" s="4" t="s">
        <v>759</v>
      </c>
      <c r="D188" s="4" t="s">
        <v>86</v>
      </c>
      <c r="E188" s="6">
        <v>1500</v>
      </c>
      <c r="F188" s="7">
        <v>0.62</v>
      </c>
      <c r="G188" s="6">
        <v>45</v>
      </c>
      <c r="H188" s="6">
        <v>4.1849999999999996</v>
      </c>
      <c r="I188" s="6">
        <v>97</v>
      </c>
      <c r="J188" s="6">
        <v>4.05945</v>
      </c>
      <c r="K188" s="8">
        <v>18.529</v>
      </c>
      <c r="L188" s="6">
        <v>1120.8171256802509</v>
      </c>
      <c r="M188" s="6">
        <v>4.5427787892114688</v>
      </c>
      <c r="N188" s="6">
        <v>1.118234332544803</v>
      </c>
      <c r="O188" s="6">
        <v>27.771139638315411</v>
      </c>
      <c r="P188" s="6">
        <v>1154.249278440323</v>
      </c>
      <c r="Q188" s="6">
        <v>33.278189802867381</v>
      </c>
      <c r="R188" s="6">
        <v>2.891875531899641</v>
      </c>
      <c r="S188" s="6">
        <v>32.073755656594983</v>
      </c>
      <c r="T188" s="6">
        <v>14.929462469068101</v>
      </c>
      <c r="U188" s="6">
        <v>83.173283460430099</v>
      </c>
      <c r="V188" s="6">
        <v>1237.422561900753</v>
      </c>
      <c r="W188" s="6">
        <v>3.0933627166364999</v>
      </c>
      <c r="X188" s="6">
        <v>26.704741464484101</v>
      </c>
      <c r="Y188" s="6">
        <v>-1729.683324210404</v>
      </c>
      <c r="Z188" s="6">
        <v>-462.46265812853062</v>
      </c>
      <c r="AA188" s="6">
        <v>193.91985954447691</v>
      </c>
      <c r="AB188" s="6">
        <v>-268.54279858405368</v>
      </c>
      <c r="AC188" s="6">
        <v>0</v>
      </c>
      <c r="AD188" s="6">
        <v>935.30828820985653</v>
      </c>
      <c r="AE188" s="6">
        <v>0</v>
      </c>
      <c r="AF188" s="6">
        <v>0</v>
      </c>
      <c r="AG188" s="6">
        <v>666.76548962580284</v>
      </c>
      <c r="AH188" s="6">
        <v>33.186006451612897</v>
      </c>
      <c r="AI188" s="6">
        <v>0</v>
      </c>
      <c r="AJ188" s="6">
        <v>92.350957347670246</v>
      </c>
      <c r="AK188" s="6">
        <v>-143.0058347847706</v>
      </c>
      <c r="AL188" s="6">
        <v>0</v>
      </c>
      <c r="AM188" s="6">
        <v>0</v>
      </c>
      <c r="AN188" s="6">
        <v>0</v>
      </c>
      <c r="AO188" s="6">
        <v>0</v>
      </c>
      <c r="AP188" s="6">
        <v>0</v>
      </c>
      <c r="AQ188" s="6">
        <v>-143.0058347847706</v>
      </c>
      <c r="AR188" s="6">
        <v>419.99482653321178</v>
      </c>
      <c r="AS188" s="6">
        <v>216.93771699999999</v>
      </c>
      <c r="AT188" s="6">
        <v>882.45748466174246</v>
      </c>
      <c r="AU188" s="6">
        <v>688.53762511726552</v>
      </c>
    </row>
    <row r="189" spans="1:47" x14ac:dyDescent="0.35">
      <c r="A189" s="5">
        <v>46022</v>
      </c>
      <c r="B189" s="4" t="s">
        <v>273</v>
      </c>
      <c r="C189" s="4" t="s">
        <v>274</v>
      </c>
      <c r="D189" s="4" t="s">
        <v>111</v>
      </c>
      <c r="E189" s="6">
        <v>34000</v>
      </c>
      <c r="F189" s="7">
        <v>0.29699999999999999</v>
      </c>
      <c r="G189" s="6">
        <v>86</v>
      </c>
      <c r="H189" s="6">
        <v>86.843000000000004</v>
      </c>
      <c r="I189" s="6">
        <v>97</v>
      </c>
      <c r="J189" s="6">
        <v>84.237515999999999</v>
      </c>
      <c r="K189" s="8">
        <v>63.286999999999999</v>
      </c>
      <c r="L189" s="6">
        <v>32.744198443583109</v>
      </c>
      <c r="M189" s="6">
        <v>17.81025989965547</v>
      </c>
      <c r="N189" s="6">
        <v>0.34188217657192072</v>
      </c>
      <c r="O189" s="6">
        <v>13.51093682730405</v>
      </c>
      <c r="P189" s="6">
        <v>64.407277347114544</v>
      </c>
      <c r="Q189" s="6">
        <v>34.194259272179153</v>
      </c>
      <c r="R189" s="6">
        <v>37.343881320413431</v>
      </c>
      <c r="S189" s="6">
        <v>55.300952464254941</v>
      </c>
      <c r="T189" s="6">
        <v>59.118941901378108</v>
      </c>
      <c r="U189" s="6">
        <v>185.9580349582256</v>
      </c>
      <c r="V189" s="6">
        <v>250.36531230534021</v>
      </c>
      <c r="W189" s="6">
        <v>18.636155144577131</v>
      </c>
      <c r="X189" s="6">
        <v>24.988063504350819</v>
      </c>
      <c r="Y189" s="6">
        <v>-222.10779286006951</v>
      </c>
      <c r="Z189" s="6">
        <v>71.881738094198624</v>
      </c>
      <c r="AA189" s="6">
        <v>25.7882584560288</v>
      </c>
      <c r="AB189" s="6">
        <v>97.669996550227424</v>
      </c>
      <c r="AC189" s="6">
        <v>0</v>
      </c>
      <c r="AD189" s="6">
        <v>28.63068249397071</v>
      </c>
      <c r="AE189" s="6">
        <v>0</v>
      </c>
      <c r="AF189" s="6">
        <v>0</v>
      </c>
      <c r="AG189" s="6">
        <v>126.30067904419811</v>
      </c>
      <c r="AH189" s="6">
        <v>6.4616170762273892</v>
      </c>
      <c r="AI189" s="6">
        <v>0</v>
      </c>
      <c r="AJ189" s="6">
        <v>26.99014602196382</v>
      </c>
      <c r="AK189" s="6">
        <v>131.12175964841859</v>
      </c>
      <c r="AL189" s="6">
        <v>0</v>
      </c>
      <c r="AM189" s="6">
        <v>0</v>
      </c>
      <c r="AN189" s="6">
        <v>0</v>
      </c>
      <c r="AO189" s="6">
        <v>0</v>
      </c>
      <c r="AP189" s="6">
        <v>0</v>
      </c>
      <c r="AQ189" s="6">
        <v>131.12175964841859</v>
      </c>
      <c r="AR189" s="6">
        <v>419.99991987335989</v>
      </c>
      <c r="AS189" s="6">
        <v>1196.7811850000001</v>
      </c>
      <c r="AT189" s="6">
        <v>348.11818177916132</v>
      </c>
      <c r="AU189" s="6">
        <v>322.3299233231325</v>
      </c>
    </row>
    <row r="190" spans="1:47" x14ac:dyDescent="0.35">
      <c r="A190" s="5">
        <v>46022</v>
      </c>
      <c r="B190" s="4" t="s">
        <v>372</v>
      </c>
      <c r="C190" s="4" t="s">
        <v>373</v>
      </c>
      <c r="D190" s="4" t="s">
        <v>111</v>
      </c>
      <c r="E190" s="6">
        <v>12400</v>
      </c>
      <c r="F190" s="7">
        <v>0.17100000000000001</v>
      </c>
      <c r="G190" s="6">
        <v>38</v>
      </c>
      <c r="H190" s="6">
        <v>8.0579999999999998</v>
      </c>
      <c r="I190" s="6">
        <v>100</v>
      </c>
      <c r="J190" s="6">
        <v>8.0575200000000002</v>
      </c>
      <c r="K190" s="8">
        <v>100</v>
      </c>
      <c r="L190" s="6">
        <v>0</v>
      </c>
      <c r="M190" s="6">
        <v>0</v>
      </c>
      <c r="N190" s="6">
        <v>0</v>
      </c>
      <c r="O190" s="6">
        <v>0</v>
      </c>
      <c r="P190" s="6">
        <v>0</v>
      </c>
      <c r="Q190" s="6">
        <v>11.38930093826254</v>
      </c>
      <c r="R190" s="6">
        <v>0.51920899477685434</v>
      </c>
      <c r="S190" s="6">
        <v>22.745095514936899</v>
      </c>
      <c r="T190" s="6">
        <v>16.235298092793158</v>
      </c>
      <c r="U190" s="6">
        <v>50.888903540769462</v>
      </c>
      <c r="V190" s="6">
        <v>50.888903540769462</v>
      </c>
      <c r="W190" s="6">
        <v>3.9807696924443539</v>
      </c>
      <c r="X190" s="6">
        <v>0</v>
      </c>
      <c r="Y190" s="6">
        <v>1.6918995401E-15</v>
      </c>
      <c r="Z190" s="6">
        <v>54.86967323321381</v>
      </c>
      <c r="AA190" s="6">
        <v>27.04999758064568</v>
      </c>
      <c r="AB190" s="6">
        <v>81.919670813859483</v>
      </c>
      <c r="AC190" s="6">
        <v>0</v>
      </c>
      <c r="AD190" s="6">
        <v>60.636253151371179</v>
      </c>
      <c r="AE190" s="6">
        <v>0</v>
      </c>
      <c r="AF190" s="6">
        <v>0</v>
      </c>
      <c r="AG190" s="6">
        <v>142.5559239652307</v>
      </c>
      <c r="AH190" s="6">
        <v>4.5177046158864256</v>
      </c>
      <c r="AI190" s="6">
        <v>0</v>
      </c>
      <c r="AJ190" s="6">
        <v>46.602462624761458</v>
      </c>
      <c r="AK190" s="6">
        <v>133.03983805450741</v>
      </c>
      <c r="AL190" s="6">
        <v>0</v>
      </c>
      <c r="AM190" s="6">
        <v>0</v>
      </c>
      <c r="AN190" s="6">
        <v>0</v>
      </c>
      <c r="AO190" s="6">
        <v>0</v>
      </c>
      <c r="AP190" s="6">
        <v>0</v>
      </c>
      <c r="AQ190" s="6">
        <v>133.03983805450741</v>
      </c>
      <c r="AR190" s="6">
        <v>419.99895714339942</v>
      </c>
      <c r="AS190" s="6">
        <v>74.607736000000003</v>
      </c>
      <c r="AT190" s="6">
        <v>365.12928391018562</v>
      </c>
      <c r="AU190" s="6">
        <v>338.07928632953991</v>
      </c>
    </row>
    <row r="191" spans="1:47" x14ac:dyDescent="0.35">
      <c r="A191" s="5">
        <v>46022</v>
      </c>
      <c r="B191" s="4" t="s">
        <v>442</v>
      </c>
      <c r="C191" s="4" t="s">
        <v>443</v>
      </c>
      <c r="D191" s="4" t="s">
        <v>222</v>
      </c>
      <c r="E191" s="6">
        <v>1855</v>
      </c>
      <c r="F191" s="7">
        <v>0.90790000000000004</v>
      </c>
      <c r="G191" s="6">
        <v>92.42</v>
      </c>
      <c r="H191" s="6">
        <v>15.564</v>
      </c>
      <c r="I191" s="6">
        <v>97</v>
      </c>
      <c r="J191" s="6">
        <v>15.097158</v>
      </c>
      <c r="K191" s="8">
        <v>23.292000000000002</v>
      </c>
      <c r="L191" s="6">
        <v>202.04444051280419</v>
      </c>
      <c r="M191" s="6">
        <v>201.4684205409537</v>
      </c>
      <c r="N191" s="6">
        <v>36.6139323382139</v>
      </c>
      <c r="O191" s="6">
        <v>134.25764132938019</v>
      </c>
      <c r="P191" s="6">
        <v>574.38443472135202</v>
      </c>
      <c r="Q191" s="6">
        <v>46.669020745072473</v>
      </c>
      <c r="R191" s="6">
        <v>44.094144089388656</v>
      </c>
      <c r="S191" s="6">
        <v>67.184534418994303</v>
      </c>
      <c r="T191" s="6">
        <v>33.61776796304278</v>
      </c>
      <c r="U191" s="6">
        <v>191.56546721649821</v>
      </c>
      <c r="V191" s="6">
        <v>765.9499019378502</v>
      </c>
      <c r="W191" s="6">
        <v>22.043253491482321</v>
      </c>
      <c r="X191" s="6">
        <v>29.85226772803199</v>
      </c>
      <c r="Y191" s="6">
        <v>-1327.4702382957539</v>
      </c>
      <c r="Z191" s="6">
        <v>-509.62481513838941</v>
      </c>
      <c r="AA191" s="6">
        <v>29.00777800486571</v>
      </c>
      <c r="AB191" s="6">
        <v>-480.6170371335237</v>
      </c>
      <c r="AC191" s="6">
        <v>0</v>
      </c>
      <c r="AD191" s="6">
        <v>353.91123971762272</v>
      </c>
      <c r="AE191" s="6">
        <v>0</v>
      </c>
      <c r="AF191" s="6">
        <v>0</v>
      </c>
      <c r="AG191" s="6">
        <v>-126.7057974159009</v>
      </c>
      <c r="AH191" s="6">
        <v>6.7176748482440214</v>
      </c>
      <c r="AI191" s="6">
        <v>0</v>
      </c>
      <c r="AJ191" s="6">
        <v>180.2693049815783</v>
      </c>
      <c r="AK191" s="6">
        <v>-293.63005730370128</v>
      </c>
      <c r="AL191" s="6">
        <v>45.067324852063052</v>
      </c>
      <c r="AM191" s="6">
        <v>0</v>
      </c>
      <c r="AN191" s="6">
        <v>0</v>
      </c>
      <c r="AO191" s="6">
        <v>0</v>
      </c>
      <c r="AP191" s="6">
        <v>0</v>
      </c>
      <c r="AQ191" s="6">
        <v>-248.5627324516382</v>
      </c>
      <c r="AR191" s="6">
        <v>420.00116807962428</v>
      </c>
      <c r="AS191" s="6">
        <v>586.81877799999995</v>
      </c>
      <c r="AT191" s="6">
        <v>929.62598321801363</v>
      </c>
      <c r="AU191" s="6">
        <v>900.61820521314792</v>
      </c>
    </row>
    <row r="192" spans="1:47" x14ac:dyDescent="0.35">
      <c r="A192" s="5">
        <v>46022</v>
      </c>
      <c r="B192" s="4" t="s">
        <v>374</v>
      </c>
      <c r="C192" s="4" t="s">
        <v>375</v>
      </c>
      <c r="D192" s="4" t="s">
        <v>61</v>
      </c>
      <c r="E192" s="6">
        <v>125.26</v>
      </c>
      <c r="F192" s="7">
        <v>0.5917</v>
      </c>
      <c r="G192" s="6">
        <v>85</v>
      </c>
      <c r="H192" s="6">
        <v>0.63</v>
      </c>
      <c r="I192" s="6">
        <v>97</v>
      </c>
      <c r="J192" s="6">
        <v>0.61109999999999998</v>
      </c>
      <c r="K192" s="8">
        <v>100</v>
      </c>
      <c r="L192" s="6">
        <v>41.34322760081384</v>
      </c>
      <c r="M192" s="6">
        <v>16.941938394038779</v>
      </c>
      <c r="N192" s="6">
        <v>2.6596594679937331</v>
      </c>
      <c r="O192" s="6">
        <v>33.821211684658437</v>
      </c>
      <c r="P192" s="6">
        <v>94.766037147504804</v>
      </c>
      <c r="Q192" s="6">
        <v>21.795796933517199</v>
      </c>
      <c r="R192" s="6">
        <v>18.992491197300129</v>
      </c>
      <c r="S192" s="6">
        <v>26.969210310460731</v>
      </c>
      <c r="T192" s="6">
        <v>37.028372628177578</v>
      </c>
      <c r="U192" s="6">
        <v>104.7858710694556</v>
      </c>
      <c r="V192" s="6">
        <v>199.55190821696041</v>
      </c>
      <c r="W192" s="6">
        <v>6.6144572188994442</v>
      </c>
      <c r="X192" s="6">
        <v>28.78315555555556</v>
      </c>
      <c r="Y192" s="6">
        <v>1.4968548210000001E-15</v>
      </c>
      <c r="Z192" s="6">
        <v>234.9495209914154</v>
      </c>
      <c r="AA192" s="6">
        <v>50.567587536811878</v>
      </c>
      <c r="AB192" s="6">
        <v>285.51710852822731</v>
      </c>
      <c r="AC192" s="6">
        <v>0</v>
      </c>
      <c r="AD192" s="6">
        <v>15.921389767643801</v>
      </c>
      <c r="AE192" s="6">
        <v>0</v>
      </c>
      <c r="AF192" s="6">
        <v>0</v>
      </c>
      <c r="AG192" s="6">
        <v>301.43849829587111</v>
      </c>
      <c r="AH192" s="6">
        <v>41.560193899536159</v>
      </c>
      <c r="AI192" s="6">
        <v>0</v>
      </c>
      <c r="AJ192" s="6">
        <v>15.921389767643801</v>
      </c>
      <c r="AK192" s="6">
        <v>342.99869219540727</v>
      </c>
      <c r="AL192" s="6">
        <v>0</v>
      </c>
      <c r="AM192" s="6">
        <v>0</v>
      </c>
      <c r="AN192" s="6">
        <v>0</v>
      </c>
      <c r="AO192" s="6">
        <v>0</v>
      </c>
      <c r="AP192" s="6">
        <v>0</v>
      </c>
      <c r="AQ192" s="6">
        <v>342.99869219540727</v>
      </c>
      <c r="AR192" s="6">
        <v>419.99999964779198</v>
      </c>
      <c r="AS192" s="6">
        <v>5.6584289999999999</v>
      </c>
      <c r="AT192" s="6">
        <v>185.0504786563765</v>
      </c>
      <c r="AU192" s="6">
        <v>134.48289111956461</v>
      </c>
    </row>
    <row r="193" spans="1:47" x14ac:dyDescent="0.35">
      <c r="A193" s="5">
        <v>46022</v>
      </c>
      <c r="B193" s="4" t="s">
        <v>760</v>
      </c>
      <c r="C193" s="4" t="s">
        <v>761</v>
      </c>
      <c r="D193" s="4" t="s">
        <v>61</v>
      </c>
      <c r="E193" s="6">
        <v>188.51</v>
      </c>
      <c r="F193" s="7">
        <v>1.22</v>
      </c>
      <c r="G193" s="6">
        <v>94</v>
      </c>
      <c r="H193" s="6">
        <v>2.1619999999999999</v>
      </c>
      <c r="I193" s="6">
        <v>97</v>
      </c>
      <c r="J193" s="6">
        <v>2.096978</v>
      </c>
      <c r="K193" s="8">
        <v>73.191999999999993</v>
      </c>
      <c r="L193" s="6">
        <v>47.108674298905399</v>
      </c>
      <c r="M193" s="6">
        <v>0</v>
      </c>
      <c r="N193" s="6">
        <v>29.25388930372366</v>
      </c>
      <c r="O193" s="6">
        <v>27.850484181842099</v>
      </c>
      <c r="P193" s="6">
        <v>104.2130477844712</v>
      </c>
      <c r="Q193" s="6">
        <v>27.105817826336651</v>
      </c>
      <c r="R193" s="6">
        <v>5.3914842338841966</v>
      </c>
      <c r="S193" s="6">
        <v>22.170321088754172</v>
      </c>
      <c r="T193" s="6">
        <v>29.393633260780149</v>
      </c>
      <c r="U193" s="6">
        <v>84.061256409755174</v>
      </c>
      <c r="V193" s="6">
        <v>188.27430419422629</v>
      </c>
      <c r="W193" s="6">
        <v>3.4839433421936459</v>
      </c>
      <c r="X193" s="6">
        <v>28.800573037481559</v>
      </c>
      <c r="Y193" s="6">
        <v>-138.2696577824091</v>
      </c>
      <c r="Z193" s="6">
        <v>82.289162791492373</v>
      </c>
      <c r="AA193" s="6">
        <v>35.36380301434545</v>
      </c>
      <c r="AB193" s="6">
        <v>117.65296580583779</v>
      </c>
      <c r="AC193" s="6">
        <v>0</v>
      </c>
      <c r="AD193" s="6">
        <v>14.515246533462941</v>
      </c>
      <c r="AE193" s="6">
        <v>0</v>
      </c>
      <c r="AF193" s="6">
        <v>0</v>
      </c>
      <c r="AG193" s="6">
        <v>132.16821233930079</v>
      </c>
      <c r="AH193" s="6">
        <v>50.751803459311908</v>
      </c>
      <c r="AI193" s="6">
        <v>0</v>
      </c>
      <c r="AJ193" s="6">
        <v>12.39581214896519</v>
      </c>
      <c r="AK193" s="6">
        <v>180.8005814141149</v>
      </c>
      <c r="AL193" s="6">
        <v>0</v>
      </c>
      <c r="AM193" s="6">
        <v>0</v>
      </c>
      <c r="AN193" s="6">
        <v>0</v>
      </c>
      <c r="AO193" s="6">
        <v>0</v>
      </c>
      <c r="AP193" s="6">
        <v>0</v>
      </c>
      <c r="AQ193" s="6">
        <v>180.8005814141149</v>
      </c>
      <c r="AR193" s="6">
        <v>420.00440598872268</v>
      </c>
      <c r="AS193" s="6">
        <v>26.438962</v>
      </c>
      <c r="AT193" s="6">
        <v>337.71524319723028</v>
      </c>
      <c r="AU193" s="6">
        <v>302.3514401828848</v>
      </c>
    </row>
    <row r="194" spans="1:47" x14ac:dyDescent="0.35">
      <c r="A194" s="5">
        <v>46022</v>
      </c>
      <c r="B194" s="4" t="s">
        <v>275</v>
      </c>
      <c r="C194" s="4" t="s">
        <v>276</v>
      </c>
      <c r="D194" s="4" t="s">
        <v>61</v>
      </c>
      <c r="E194" s="6">
        <v>800</v>
      </c>
      <c r="F194" s="7">
        <v>0.6</v>
      </c>
      <c r="G194" s="6">
        <v>86</v>
      </c>
      <c r="H194" s="6">
        <v>4.1280000000000001</v>
      </c>
      <c r="I194" s="6">
        <v>97</v>
      </c>
      <c r="J194" s="6">
        <v>4.0041599999999997</v>
      </c>
      <c r="K194" s="8">
        <v>93.899000000000001</v>
      </c>
      <c r="L194" s="6">
        <v>71.203997175581392</v>
      </c>
      <c r="M194" s="6">
        <v>4.9254447430620161</v>
      </c>
      <c r="N194" s="6">
        <v>10.813581563817831</v>
      </c>
      <c r="O194" s="6">
        <v>37.609887037441858</v>
      </c>
      <c r="P194" s="6">
        <v>124.55291051990309</v>
      </c>
      <c r="Q194" s="6">
        <v>3.6635477247480619</v>
      </c>
      <c r="R194" s="6">
        <v>13.06638198100775</v>
      </c>
      <c r="S194" s="6">
        <v>23.732816991007748</v>
      </c>
      <c r="T194" s="6">
        <v>24.910252231802321</v>
      </c>
      <c r="U194" s="6">
        <v>65.372998928565892</v>
      </c>
      <c r="V194" s="6">
        <v>189.92590944846901</v>
      </c>
      <c r="W194" s="6">
        <v>5.3329287490324999</v>
      </c>
      <c r="X194" s="6">
        <v>31.38112991688644</v>
      </c>
      <c r="Y194" s="6">
        <v>0</v>
      </c>
      <c r="Z194" s="6">
        <v>226.6399681143879</v>
      </c>
      <c r="AA194" s="6">
        <v>69.349078502421008</v>
      </c>
      <c r="AB194" s="6">
        <v>295.98904661680888</v>
      </c>
      <c r="AC194" s="6">
        <v>0</v>
      </c>
      <c r="AD194" s="6">
        <v>29.306306503236431</v>
      </c>
      <c r="AE194" s="6">
        <v>0</v>
      </c>
      <c r="AF194" s="6">
        <v>0</v>
      </c>
      <c r="AG194" s="6">
        <v>325.29535312004538</v>
      </c>
      <c r="AH194" s="6">
        <v>19.108933418410849</v>
      </c>
      <c r="AI194" s="6">
        <v>0</v>
      </c>
      <c r="AJ194" s="6">
        <v>18.968900866240311</v>
      </c>
      <c r="AK194" s="6">
        <v>334.06688090146008</v>
      </c>
      <c r="AL194" s="6">
        <v>0</v>
      </c>
      <c r="AM194" s="6">
        <v>0</v>
      </c>
      <c r="AN194" s="6">
        <v>0</v>
      </c>
      <c r="AO194" s="6">
        <v>0</v>
      </c>
      <c r="AP194" s="6">
        <v>0</v>
      </c>
      <c r="AQ194" s="6">
        <v>334.06688090146008</v>
      </c>
      <c r="AR194" s="6">
        <v>420.00419528432639</v>
      </c>
      <c r="AS194" s="6">
        <v>39.276549000000003</v>
      </c>
      <c r="AT194" s="6">
        <v>193.36422716993849</v>
      </c>
      <c r="AU194" s="6">
        <v>124.01514866751749</v>
      </c>
    </row>
    <row r="195" spans="1:47" x14ac:dyDescent="0.35">
      <c r="A195" s="5">
        <v>46022</v>
      </c>
      <c r="B195" s="4" t="s">
        <v>376</v>
      </c>
      <c r="C195" s="4" t="s">
        <v>377</v>
      </c>
      <c r="D195" s="4" t="s">
        <v>61</v>
      </c>
      <c r="E195" s="6">
        <v>65</v>
      </c>
      <c r="F195" s="7">
        <v>0.39</v>
      </c>
      <c r="G195" s="6">
        <v>82</v>
      </c>
      <c r="H195" s="6">
        <v>0.20799999999999999</v>
      </c>
      <c r="I195" s="6">
        <v>97</v>
      </c>
      <c r="J195" s="6">
        <v>0.20163400000000001</v>
      </c>
      <c r="K195" s="8">
        <v>100</v>
      </c>
      <c r="L195" s="6">
        <v>77.197228601654032</v>
      </c>
      <c r="M195" s="6">
        <v>0</v>
      </c>
      <c r="N195" s="6">
        <v>36.036102207504292</v>
      </c>
      <c r="O195" s="6">
        <v>79.101766982586042</v>
      </c>
      <c r="P195" s="6">
        <v>192.3350977917444</v>
      </c>
      <c r="Q195" s="6">
        <v>39.179747890131956</v>
      </c>
      <c r="R195" s="6">
        <v>12.305620366278649</v>
      </c>
      <c r="S195" s="6">
        <v>58.785150704982357</v>
      </c>
      <c r="T195" s="6">
        <v>35.983198769764172</v>
      </c>
      <c r="U195" s="6">
        <v>146.2537177311572</v>
      </c>
      <c r="V195" s="6">
        <v>338.58881552290148</v>
      </c>
      <c r="W195" s="6">
        <v>4.9399991685424043</v>
      </c>
      <c r="X195" s="6">
        <v>30.069757384885481</v>
      </c>
      <c r="Y195" s="6">
        <v>1.8143694799999999E-16</v>
      </c>
      <c r="Z195" s="6">
        <v>373.59857207632939</v>
      </c>
      <c r="AA195" s="6">
        <v>50.74022111563017</v>
      </c>
      <c r="AB195" s="6">
        <v>424.33879319195961</v>
      </c>
      <c r="AC195" s="6">
        <v>0</v>
      </c>
      <c r="AD195" s="6">
        <v>6.1007548380993031</v>
      </c>
      <c r="AE195" s="6">
        <v>0</v>
      </c>
      <c r="AF195" s="6">
        <v>0</v>
      </c>
      <c r="AG195" s="6">
        <v>430.43954803005892</v>
      </c>
      <c r="AH195" s="6">
        <v>2.341700923252676</v>
      </c>
      <c r="AI195" s="6">
        <v>0</v>
      </c>
      <c r="AJ195" s="6">
        <v>11.95500714623099</v>
      </c>
      <c r="AK195" s="6">
        <v>438.63550126144321</v>
      </c>
      <c r="AL195" s="6">
        <v>0</v>
      </c>
      <c r="AM195" s="6">
        <v>0</v>
      </c>
      <c r="AN195" s="6">
        <v>0</v>
      </c>
      <c r="AO195" s="6">
        <v>0</v>
      </c>
      <c r="AP195" s="6">
        <v>0</v>
      </c>
      <c r="AQ195" s="6">
        <v>438.63550126144321</v>
      </c>
      <c r="AR195" s="6">
        <v>419.9291782586015</v>
      </c>
      <c r="AS195" s="6">
        <v>1.866698</v>
      </c>
      <c r="AT195" s="6">
        <v>46.330606182272078</v>
      </c>
      <c r="AU195" s="6">
        <v>-4.409614933358089</v>
      </c>
    </row>
    <row r="196" spans="1:47" x14ac:dyDescent="0.35">
      <c r="A196" s="5">
        <v>46022</v>
      </c>
      <c r="B196" s="4" t="s">
        <v>762</v>
      </c>
      <c r="C196" s="4" t="s">
        <v>763</v>
      </c>
      <c r="D196" s="4" t="s">
        <v>61</v>
      </c>
      <c r="E196" s="6">
        <v>117.15</v>
      </c>
      <c r="F196" s="7">
        <v>0.52</v>
      </c>
      <c r="G196" s="6">
        <v>87</v>
      </c>
      <c r="H196" s="6">
        <v>0.53</v>
      </c>
      <c r="I196" s="6">
        <v>97</v>
      </c>
      <c r="J196" s="6">
        <v>0.5141</v>
      </c>
      <c r="K196" s="8">
        <v>89.210999999999999</v>
      </c>
      <c r="L196" s="6">
        <v>28.60475106824822</v>
      </c>
      <c r="M196" s="6">
        <v>6.0694306814491128</v>
      </c>
      <c r="N196" s="6">
        <v>39.846741336992572</v>
      </c>
      <c r="O196" s="6">
        <v>61.068497518081749</v>
      </c>
      <c r="P196" s="6">
        <v>135.5894206047717</v>
      </c>
      <c r="Q196" s="6">
        <v>12.196950743434639</v>
      </c>
      <c r="R196" s="6">
        <v>12.077650453372129</v>
      </c>
      <c r="S196" s="6">
        <v>39.974052173303427</v>
      </c>
      <c r="T196" s="6">
        <v>38.182666636021018</v>
      </c>
      <c r="U196" s="6">
        <v>102.4313200061312</v>
      </c>
      <c r="V196" s="6">
        <v>238.02074061090289</v>
      </c>
      <c r="W196" s="6">
        <v>3.8073950276742639</v>
      </c>
      <c r="X196" s="6">
        <v>25.010816754716981</v>
      </c>
      <c r="Y196" s="6">
        <v>-40.132891153902612</v>
      </c>
      <c r="Z196" s="6">
        <v>226.70606123939149</v>
      </c>
      <c r="AA196" s="6">
        <v>41.014831866788221</v>
      </c>
      <c r="AB196" s="6">
        <v>267.72089310617969</v>
      </c>
      <c r="AC196" s="6">
        <v>0</v>
      </c>
      <c r="AD196" s="6">
        <v>8.4216991627578661</v>
      </c>
      <c r="AE196" s="6">
        <v>0</v>
      </c>
      <c r="AF196" s="6">
        <v>0</v>
      </c>
      <c r="AG196" s="6">
        <v>276.14259226893762</v>
      </c>
      <c r="AH196" s="6">
        <v>18.556786982811001</v>
      </c>
      <c r="AI196" s="6">
        <v>0</v>
      </c>
      <c r="AJ196" s="6">
        <v>39.349684358235343</v>
      </c>
      <c r="AK196" s="6">
        <v>325.62736444722611</v>
      </c>
      <c r="AL196" s="6">
        <v>0</v>
      </c>
      <c r="AM196" s="6">
        <v>0</v>
      </c>
      <c r="AN196" s="6">
        <v>0</v>
      </c>
      <c r="AO196" s="6">
        <v>0</v>
      </c>
      <c r="AP196" s="6">
        <v>0</v>
      </c>
      <c r="AQ196" s="6">
        <v>325.62736444722611</v>
      </c>
      <c r="AR196" s="6">
        <v>419.99999964779192</v>
      </c>
      <c r="AS196" s="6">
        <v>5.3162760000000002</v>
      </c>
      <c r="AT196" s="6">
        <v>193.29393840840041</v>
      </c>
      <c r="AU196" s="6">
        <v>152.27910654161221</v>
      </c>
    </row>
    <row r="197" spans="1:47" x14ac:dyDescent="0.35">
      <c r="A197" s="5">
        <v>46022</v>
      </c>
      <c r="B197" s="4" t="s">
        <v>277</v>
      </c>
      <c r="C197" s="4" t="s">
        <v>278</v>
      </c>
      <c r="D197" s="4" t="s">
        <v>222</v>
      </c>
      <c r="E197" s="6">
        <v>2789</v>
      </c>
      <c r="F197" s="7">
        <v>0.12</v>
      </c>
      <c r="G197" s="6">
        <v>81.099999999999994</v>
      </c>
      <c r="H197" s="6">
        <v>2.714</v>
      </c>
      <c r="I197" s="6">
        <v>93.915929000000006</v>
      </c>
      <c r="J197" s="6">
        <v>2.549118</v>
      </c>
      <c r="K197" s="8">
        <v>2.911</v>
      </c>
      <c r="L197" s="6">
        <v>2153.318442863937</v>
      </c>
      <c r="M197" s="6">
        <v>268.4377716804733</v>
      </c>
      <c r="N197" s="6">
        <v>82.167870056674587</v>
      </c>
      <c r="O197" s="6">
        <v>1461.0896772867759</v>
      </c>
      <c r="P197" s="6">
        <v>3965.0137618878612</v>
      </c>
      <c r="Q197" s="6">
        <v>842.67410414317283</v>
      </c>
      <c r="R197" s="6">
        <v>242.39463354149089</v>
      </c>
      <c r="S197" s="6">
        <v>85.799080633672503</v>
      </c>
      <c r="T197" s="6">
        <v>681.98014531098465</v>
      </c>
      <c r="U197" s="6">
        <v>1852.8479636293209</v>
      </c>
      <c r="V197" s="6">
        <v>5817.8617255171821</v>
      </c>
      <c r="W197" s="6">
        <v>99.483977568667285</v>
      </c>
      <c r="X197" s="6">
        <v>29.370646489099371</v>
      </c>
      <c r="Y197" s="6">
        <v>-13515.87752105147</v>
      </c>
      <c r="Z197" s="6">
        <v>-7569.1611714765177</v>
      </c>
      <c r="AA197" s="6">
        <v>706.74500488961144</v>
      </c>
      <c r="AB197" s="6">
        <v>-6862.416166586906</v>
      </c>
      <c r="AC197" s="6">
        <v>85.090793827034275</v>
      </c>
      <c r="AD197" s="6">
        <v>2023.9981851042951</v>
      </c>
      <c r="AE197" s="6">
        <v>0</v>
      </c>
      <c r="AF197" s="6">
        <v>177.94093115916229</v>
      </c>
      <c r="AG197" s="6">
        <v>-4575.3862564964147</v>
      </c>
      <c r="AH197" s="6">
        <v>386.23750036176631</v>
      </c>
      <c r="AI197" s="6">
        <v>97.867499730609467</v>
      </c>
      <c r="AJ197" s="6">
        <v>1969.8058573119449</v>
      </c>
      <c r="AK197" s="6">
        <v>-4323.414515355551</v>
      </c>
      <c r="AL197" s="6">
        <v>1058.748379106928</v>
      </c>
      <c r="AM197" s="6">
        <v>0</v>
      </c>
      <c r="AN197" s="6">
        <v>0</v>
      </c>
      <c r="AO197" s="6">
        <v>0</v>
      </c>
      <c r="AP197" s="6">
        <v>0</v>
      </c>
      <c r="AQ197" s="6">
        <v>-3264.6661362486229</v>
      </c>
      <c r="AR197" s="6">
        <v>419.9970339161178</v>
      </c>
      <c r="AS197" s="6">
        <v>792.70473800000002</v>
      </c>
      <c r="AT197" s="6">
        <v>7989.1582053926359</v>
      </c>
      <c r="AU197" s="6">
        <v>7282.4132005030242</v>
      </c>
    </row>
    <row r="198" spans="1:47" x14ac:dyDescent="0.35">
      <c r="A198" s="5">
        <v>46022</v>
      </c>
      <c r="B198" s="4" t="s">
        <v>279</v>
      </c>
      <c r="C198" s="4" t="s">
        <v>280</v>
      </c>
      <c r="D198" s="4" t="s">
        <v>50</v>
      </c>
      <c r="E198" s="6">
        <v>51100</v>
      </c>
      <c r="F198" s="7">
        <v>0.8548</v>
      </c>
      <c r="G198" s="6">
        <v>87</v>
      </c>
      <c r="H198" s="6">
        <v>380</v>
      </c>
      <c r="I198" s="6">
        <v>97</v>
      </c>
      <c r="J198" s="6">
        <v>368.6</v>
      </c>
      <c r="K198" s="8">
        <v>90.210999999999999</v>
      </c>
      <c r="L198" s="6">
        <v>6.5601453026522352</v>
      </c>
      <c r="M198" s="6">
        <v>24.590016745770178</v>
      </c>
      <c r="N198" s="6">
        <v>0.58426849238247358</v>
      </c>
      <c r="O198" s="6">
        <v>19.022971931025811</v>
      </c>
      <c r="P198" s="6">
        <v>50.757402471830702</v>
      </c>
      <c r="Q198" s="6">
        <v>6.5701310783792888</v>
      </c>
      <c r="R198" s="6">
        <v>16.934957545388471</v>
      </c>
      <c r="S198" s="6">
        <v>18.063777805032469</v>
      </c>
      <c r="T198" s="6">
        <v>18.736201580738339</v>
      </c>
      <c r="U198" s="6">
        <v>60.305068009538573</v>
      </c>
      <c r="V198" s="6">
        <v>111.0624704813693</v>
      </c>
      <c r="W198" s="6">
        <v>12.26448988557452</v>
      </c>
      <c r="X198" s="6">
        <v>21.135326220210519</v>
      </c>
      <c r="Y198" s="6">
        <v>-43.452335991696351</v>
      </c>
      <c r="Z198" s="6">
        <v>101.00995059545799</v>
      </c>
      <c r="AA198" s="6">
        <v>5.7049250633614541</v>
      </c>
      <c r="AB198" s="6">
        <v>106.71487565881939</v>
      </c>
      <c r="AC198" s="6">
        <v>0</v>
      </c>
      <c r="AD198" s="6">
        <v>55.135058392294432</v>
      </c>
      <c r="AE198" s="6">
        <v>0</v>
      </c>
      <c r="AF198" s="6">
        <v>0</v>
      </c>
      <c r="AG198" s="6">
        <v>161.84993405111391</v>
      </c>
      <c r="AH198" s="6">
        <v>1.5483045877145001</v>
      </c>
      <c r="AI198" s="6">
        <v>0</v>
      </c>
      <c r="AJ198" s="6">
        <v>7.7135338404861562</v>
      </c>
      <c r="AK198" s="6">
        <v>115.9767140870201</v>
      </c>
      <c r="AL198" s="6">
        <v>70.758439632727004</v>
      </c>
      <c r="AM198" s="6">
        <v>0</v>
      </c>
      <c r="AN198" s="6">
        <v>0</v>
      </c>
      <c r="AO198" s="6">
        <v>0</v>
      </c>
      <c r="AP198" s="6">
        <v>0</v>
      </c>
      <c r="AQ198" s="6">
        <v>186.7351537197471</v>
      </c>
      <c r="AR198" s="6">
        <v>419.99999964779192</v>
      </c>
      <c r="AS198" s="6">
        <v>3790.4801130000001</v>
      </c>
      <c r="AT198" s="6">
        <v>318.99004905233392</v>
      </c>
      <c r="AU198" s="6">
        <v>313.28512398897249</v>
      </c>
    </row>
    <row r="199" spans="1:47" x14ac:dyDescent="0.35">
      <c r="A199" s="5">
        <v>46022</v>
      </c>
      <c r="B199" s="4" t="s">
        <v>281</v>
      </c>
      <c r="C199" s="4" t="s">
        <v>282</v>
      </c>
      <c r="D199" s="4" t="s">
        <v>283</v>
      </c>
      <c r="E199" s="6">
        <v>6750</v>
      </c>
      <c r="F199" s="7">
        <v>0.1</v>
      </c>
      <c r="G199" s="6">
        <v>11.19</v>
      </c>
      <c r="H199" s="6">
        <v>0.755</v>
      </c>
      <c r="I199" s="6">
        <v>97</v>
      </c>
      <c r="J199" s="6">
        <v>0.73234999999999995</v>
      </c>
      <c r="K199" s="8">
        <v>2.4980000000000002</v>
      </c>
      <c r="L199" s="6">
        <v>1442.5691326658939</v>
      </c>
      <c r="M199" s="6">
        <v>273.40638559569538</v>
      </c>
      <c r="N199" s="6">
        <v>66.952937342682134</v>
      </c>
      <c r="O199" s="6">
        <v>297.75321231794697</v>
      </c>
      <c r="P199" s="6">
        <v>2080.6816679222188</v>
      </c>
      <c r="Q199" s="6">
        <v>930.17202834337752</v>
      </c>
      <c r="R199" s="6">
        <v>1737.3561258823511</v>
      </c>
      <c r="S199" s="6">
        <v>765.03744777725171</v>
      </c>
      <c r="T199" s="6">
        <v>590.73580783996692</v>
      </c>
      <c r="U199" s="6">
        <v>4023.3014098429471</v>
      </c>
      <c r="V199" s="6">
        <v>6103.9830777651659</v>
      </c>
      <c r="W199" s="6">
        <v>34.69642448528441</v>
      </c>
      <c r="X199" s="6">
        <v>32.465384533067521</v>
      </c>
      <c r="Y199" s="6">
        <v>-14975.72349729823</v>
      </c>
      <c r="Z199" s="6">
        <v>-8804.5786105147072</v>
      </c>
      <c r="AA199" s="6">
        <v>922.43721952545116</v>
      </c>
      <c r="AB199" s="6">
        <v>-7882.1413909892572</v>
      </c>
      <c r="AC199" s="6">
        <v>146.4221068855629</v>
      </c>
      <c r="AD199" s="6">
        <v>3091.8413024225169</v>
      </c>
      <c r="AE199" s="6">
        <v>0</v>
      </c>
      <c r="AF199" s="6">
        <v>0</v>
      </c>
      <c r="AG199" s="6">
        <v>-4643.8779816811784</v>
      </c>
      <c r="AH199" s="6">
        <v>620.49875414781457</v>
      </c>
      <c r="AI199" s="6">
        <v>210.58441526384109</v>
      </c>
      <c r="AJ199" s="6">
        <v>1152.0201328295359</v>
      </c>
      <c r="AK199" s="6">
        <v>-5752.6159818625019</v>
      </c>
      <c r="AL199" s="6">
        <v>0</v>
      </c>
      <c r="AM199" s="6">
        <v>0</v>
      </c>
      <c r="AN199" s="6">
        <v>0</v>
      </c>
      <c r="AO199" s="6">
        <v>0</v>
      </c>
      <c r="AP199" s="6">
        <v>0</v>
      </c>
      <c r="AQ199" s="6">
        <v>-5752.6159818625019</v>
      </c>
      <c r="AR199" s="6">
        <v>419.97132483386088</v>
      </c>
      <c r="AS199" s="6">
        <v>249.25282300000001</v>
      </c>
      <c r="AT199" s="6">
        <v>9224.5499353485684</v>
      </c>
      <c r="AU199" s="6">
        <v>8302.1127158231175</v>
      </c>
    </row>
    <row r="200" spans="1:47" x14ac:dyDescent="0.35">
      <c r="A200" s="5">
        <v>46022</v>
      </c>
      <c r="B200" s="4" t="s">
        <v>312</v>
      </c>
      <c r="C200" s="4" t="s">
        <v>313</v>
      </c>
      <c r="D200" s="4" t="s">
        <v>61</v>
      </c>
      <c r="E200" s="6">
        <v>60</v>
      </c>
      <c r="F200" s="7">
        <v>0.49</v>
      </c>
      <c r="G200" s="6">
        <v>82</v>
      </c>
      <c r="H200" s="6">
        <v>0.24099999999999999</v>
      </c>
      <c r="I200" s="6">
        <v>97</v>
      </c>
      <c r="J200" s="6">
        <v>0.233848</v>
      </c>
      <c r="K200" s="8">
        <v>89.221999999999994</v>
      </c>
      <c r="L200" s="6">
        <v>88.041373570221253</v>
      </c>
      <c r="M200" s="6">
        <v>3.2299078870384181</v>
      </c>
      <c r="N200" s="6">
        <v>27.77680282148798</v>
      </c>
      <c r="O200" s="6">
        <v>81.95836564132992</v>
      </c>
      <c r="P200" s="6">
        <v>201.00644992007761</v>
      </c>
      <c r="Q200" s="6">
        <v>28.15179511786263</v>
      </c>
      <c r="R200" s="6">
        <v>22.409086209671919</v>
      </c>
      <c r="S200" s="6">
        <v>34.027993416184529</v>
      </c>
      <c r="T200" s="6">
        <v>57.218405711859752</v>
      </c>
      <c r="U200" s="6">
        <v>141.80728045557879</v>
      </c>
      <c r="V200" s="6">
        <v>342.81373037565641</v>
      </c>
      <c r="W200" s="6">
        <v>2.9021324390551539</v>
      </c>
      <c r="X200" s="6">
        <v>25.325210917929589</v>
      </c>
      <c r="Y200" s="6">
        <v>-49.77076121307784</v>
      </c>
      <c r="Z200" s="6">
        <v>321.27031251956328</v>
      </c>
      <c r="AA200" s="6">
        <v>46.686181805504233</v>
      </c>
      <c r="AB200" s="6">
        <v>367.95649432506752</v>
      </c>
      <c r="AC200" s="6">
        <v>0</v>
      </c>
      <c r="AD200" s="6">
        <v>34.300488671679886</v>
      </c>
      <c r="AE200" s="6">
        <v>0</v>
      </c>
      <c r="AF200" s="6">
        <v>0</v>
      </c>
      <c r="AG200" s="6">
        <v>402.25698299674741</v>
      </c>
      <c r="AH200" s="6">
        <v>21.270225027398311</v>
      </c>
      <c r="AI200" s="6">
        <v>0</v>
      </c>
      <c r="AJ200" s="6">
        <v>25.22671322091281</v>
      </c>
      <c r="AK200" s="6">
        <v>414.45343257337868</v>
      </c>
      <c r="AL200" s="6">
        <v>0</v>
      </c>
      <c r="AM200" s="6">
        <v>0</v>
      </c>
      <c r="AN200" s="6">
        <v>0</v>
      </c>
      <c r="AO200" s="6">
        <v>0</v>
      </c>
      <c r="AP200" s="6">
        <v>0</v>
      </c>
      <c r="AQ200" s="6">
        <v>414.45343257337868</v>
      </c>
      <c r="AR200" s="6">
        <v>419.91378980215251</v>
      </c>
      <c r="AS200" s="6">
        <v>2.4358309999999999</v>
      </c>
      <c r="AT200" s="6">
        <v>98.643477282589174</v>
      </c>
      <c r="AU200" s="6">
        <v>51.957295477084948</v>
      </c>
    </row>
    <row r="201" spans="1:47" x14ac:dyDescent="0.35">
      <c r="A201" s="5">
        <v>46022</v>
      </c>
      <c r="B201" s="4" t="s">
        <v>378</v>
      </c>
      <c r="C201" s="4" t="s">
        <v>379</v>
      </c>
      <c r="D201" s="4" t="s">
        <v>61</v>
      </c>
      <c r="E201" s="6">
        <v>420</v>
      </c>
      <c r="F201" s="7">
        <v>1.86</v>
      </c>
      <c r="G201" s="6">
        <v>90</v>
      </c>
      <c r="H201" s="6">
        <v>7.0309999999999997</v>
      </c>
      <c r="I201" s="6">
        <v>97</v>
      </c>
      <c r="J201" s="6">
        <v>6.8198759999999998</v>
      </c>
      <c r="K201" s="8">
        <v>80.322000000000003</v>
      </c>
      <c r="L201" s="6">
        <v>9.911654490537634</v>
      </c>
      <c r="M201" s="6">
        <v>0</v>
      </c>
      <c r="N201" s="6">
        <v>4.959989463249701</v>
      </c>
      <c r="O201" s="6">
        <v>23.867590934486259</v>
      </c>
      <c r="P201" s="6">
        <v>38.7392348882736</v>
      </c>
      <c r="Q201" s="6">
        <v>4.5052797192951024</v>
      </c>
      <c r="R201" s="6">
        <v>4.4517407462604544</v>
      </c>
      <c r="S201" s="6">
        <v>7.303343327401433</v>
      </c>
      <c r="T201" s="6">
        <v>19.187707567610509</v>
      </c>
      <c r="U201" s="6">
        <v>35.448071360567504</v>
      </c>
      <c r="V201" s="6">
        <v>74.187306248841097</v>
      </c>
      <c r="W201" s="6">
        <v>13.85139145422756</v>
      </c>
      <c r="X201" s="6">
        <v>25.004437827237911</v>
      </c>
      <c r="Y201" s="6">
        <v>-98.602022459208257</v>
      </c>
      <c r="Z201" s="6">
        <v>14.441113071098311</v>
      </c>
      <c r="AA201" s="6">
        <v>34.038263150334679</v>
      </c>
      <c r="AB201" s="6">
        <v>48.479376221433</v>
      </c>
      <c r="AC201" s="6">
        <v>0</v>
      </c>
      <c r="AD201" s="6">
        <v>7.7463513726164868</v>
      </c>
      <c r="AE201" s="6">
        <v>0</v>
      </c>
      <c r="AF201" s="6">
        <v>0</v>
      </c>
      <c r="AG201" s="6">
        <v>56.225727594049488</v>
      </c>
      <c r="AH201" s="6">
        <v>6.9418924071326158</v>
      </c>
      <c r="AI201" s="6">
        <v>0</v>
      </c>
      <c r="AJ201" s="6">
        <v>8.7274001178853045</v>
      </c>
      <c r="AK201" s="6">
        <v>64.148668746450923</v>
      </c>
      <c r="AL201" s="6">
        <v>0</v>
      </c>
      <c r="AM201" s="6">
        <v>0</v>
      </c>
      <c r="AN201" s="6">
        <v>0</v>
      </c>
      <c r="AO201" s="6">
        <v>0</v>
      </c>
      <c r="AP201" s="6">
        <v>0</v>
      </c>
      <c r="AQ201" s="6">
        <v>64.148668746450923</v>
      </c>
      <c r="AR201" s="6">
        <v>420.00147768052909</v>
      </c>
      <c r="AS201" s="6">
        <v>79.824939000000001</v>
      </c>
      <c r="AT201" s="6">
        <v>405.56036460943079</v>
      </c>
      <c r="AU201" s="6">
        <v>371.52210145909612</v>
      </c>
    </row>
    <row r="202" spans="1:47" x14ac:dyDescent="0.35">
      <c r="A202" s="5">
        <v>46022</v>
      </c>
      <c r="B202" s="4" t="s">
        <v>575</v>
      </c>
      <c r="C202" s="4" t="s">
        <v>576</v>
      </c>
      <c r="D202" s="4" t="s">
        <v>58</v>
      </c>
      <c r="E202" s="6">
        <v>51000</v>
      </c>
      <c r="F202" s="7">
        <v>0.2898</v>
      </c>
      <c r="G202" s="6">
        <v>47.59</v>
      </c>
      <c r="H202" s="6">
        <v>70.337999999999994</v>
      </c>
      <c r="I202" s="6">
        <v>100</v>
      </c>
      <c r="J202" s="6">
        <v>70.338187000000005</v>
      </c>
      <c r="K202" s="8">
        <v>100</v>
      </c>
      <c r="L202" s="6">
        <v>41.594118219279849</v>
      </c>
      <c r="M202" s="6">
        <v>4.5484537867177748</v>
      </c>
      <c r="N202" s="6">
        <v>1.94673914159465</v>
      </c>
      <c r="O202" s="6">
        <v>16.9033012737627</v>
      </c>
      <c r="P202" s="6">
        <v>64.992612421354977</v>
      </c>
      <c r="Q202" s="6">
        <v>20.373240790472479</v>
      </c>
      <c r="R202" s="6">
        <v>7.3999240920867058</v>
      </c>
      <c r="S202" s="6">
        <v>23.934774923166529</v>
      </c>
      <c r="T202" s="6">
        <v>4.1827988709141302</v>
      </c>
      <c r="U202" s="6">
        <v>55.890738676639842</v>
      </c>
      <c r="V202" s="6">
        <v>120.8833510979948</v>
      </c>
      <c r="W202" s="6">
        <v>3.6287396306685009</v>
      </c>
      <c r="X202" s="6">
        <v>0</v>
      </c>
      <c r="Y202" s="6">
        <v>-1.2882023308000001E-15</v>
      </c>
      <c r="Z202" s="6">
        <v>124.5120907286633</v>
      </c>
      <c r="AA202" s="6">
        <v>5.9558837257989579</v>
      </c>
      <c r="AB202" s="6">
        <v>130.46797445446231</v>
      </c>
      <c r="AC202" s="6">
        <v>0</v>
      </c>
      <c r="AD202" s="6">
        <v>170.42969085504319</v>
      </c>
      <c r="AE202" s="6">
        <v>0</v>
      </c>
      <c r="AF202" s="6">
        <v>0</v>
      </c>
      <c r="AG202" s="6">
        <v>300.8976653095055</v>
      </c>
      <c r="AH202" s="6">
        <v>3.4999996527994099</v>
      </c>
      <c r="AI202" s="6">
        <v>0</v>
      </c>
      <c r="AJ202" s="6">
        <v>151.54528190334699</v>
      </c>
      <c r="AK202" s="6">
        <v>285.5132560106087</v>
      </c>
      <c r="AL202" s="6">
        <v>0</v>
      </c>
      <c r="AM202" s="6">
        <v>0</v>
      </c>
      <c r="AN202" s="6">
        <v>0</v>
      </c>
      <c r="AO202" s="6">
        <v>0</v>
      </c>
      <c r="AP202" s="6">
        <v>0</v>
      </c>
      <c r="AQ202" s="6">
        <v>285.5132560106087</v>
      </c>
      <c r="AR202" s="6">
        <v>420.0000772727667</v>
      </c>
      <c r="AS202" s="6">
        <v>651.29058499999996</v>
      </c>
      <c r="AT202" s="6">
        <v>295.48798654410342</v>
      </c>
      <c r="AU202" s="6">
        <v>289.53210281830451</v>
      </c>
    </row>
    <row r="203" spans="1:47" x14ac:dyDescent="0.35">
      <c r="A203" s="5">
        <v>46022</v>
      </c>
      <c r="B203" s="4" t="s">
        <v>764</v>
      </c>
      <c r="C203" s="4" t="s">
        <v>765</v>
      </c>
      <c r="D203" s="4" t="s">
        <v>61</v>
      </c>
      <c r="E203" s="6">
        <v>129</v>
      </c>
      <c r="F203" s="7">
        <v>0.09</v>
      </c>
      <c r="G203" s="6">
        <v>57</v>
      </c>
      <c r="H203" s="6">
        <v>6.6000000000000003E-2</v>
      </c>
      <c r="I203" s="6">
        <v>97</v>
      </c>
      <c r="J203" s="6">
        <v>6.4191999999999999E-2</v>
      </c>
      <c r="K203" s="8">
        <v>4.8470000000000004</v>
      </c>
      <c r="L203" s="6">
        <v>916.17331456222064</v>
      </c>
      <c r="M203" s="6">
        <v>489.05436662598311</v>
      </c>
      <c r="N203" s="6">
        <v>749.95089493536909</v>
      </c>
      <c r="O203" s="6">
        <v>419.7921005986226</v>
      </c>
      <c r="P203" s="6">
        <v>2574.9706767221951</v>
      </c>
      <c r="Q203" s="6">
        <v>674.97565872876203</v>
      </c>
      <c r="R203" s="6">
        <v>63.413203298131059</v>
      </c>
      <c r="S203" s="6">
        <v>237.71157178688239</v>
      </c>
      <c r="T203" s="6">
        <v>402.58792397529152</v>
      </c>
      <c r="U203" s="6">
        <v>1378.6883577890669</v>
      </c>
      <c r="V203" s="6">
        <v>3953.6590345112618</v>
      </c>
      <c r="W203" s="6">
        <v>4.113985353246985</v>
      </c>
      <c r="X203" s="6">
        <v>22.964344508848448</v>
      </c>
      <c r="Y203" s="6">
        <v>-7678.0947484920916</v>
      </c>
      <c r="Z203" s="6">
        <v>-3697.357384118734</v>
      </c>
      <c r="AA203" s="6">
        <v>226.6090942894817</v>
      </c>
      <c r="AB203" s="6">
        <v>-3470.7482898292528</v>
      </c>
      <c r="AC203" s="6">
        <v>0</v>
      </c>
      <c r="AD203" s="6">
        <v>157.4605387899885</v>
      </c>
      <c r="AE203" s="6">
        <v>0</v>
      </c>
      <c r="AF203" s="6">
        <v>0</v>
      </c>
      <c r="AG203" s="6">
        <v>-3313.2877510392641</v>
      </c>
      <c r="AH203" s="6">
        <v>234.17763202112289</v>
      </c>
      <c r="AI203" s="6">
        <v>0</v>
      </c>
      <c r="AJ203" s="6">
        <v>157.4605387899885</v>
      </c>
      <c r="AK203" s="6">
        <v>-3079.1101190181412</v>
      </c>
      <c r="AL203" s="6">
        <v>0</v>
      </c>
      <c r="AM203" s="6">
        <v>0</v>
      </c>
      <c r="AN203" s="6">
        <v>0</v>
      </c>
      <c r="AO203" s="6">
        <v>0</v>
      </c>
      <c r="AP203" s="6">
        <v>0</v>
      </c>
      <c r="AQ203" s="6">
        <v>-3079.1101190181412</v>
      </c>
      <c r="AR203" s="6">
        <v>420.05234261883481</v>
      </c>
      <c r="AS203" s="6">
        <v>15.112121</v>
      </c>
      <c r="AT203" s="6">
        <v>4117.4097267375691</v>
      </c>
      <c r="AU203" s="6">
        <v>3890.8006324480871</v>
      </c>
    </row>
    <row r="204" spans="1:47" x14ac:dyDescent="0.35">
      <c r="A204" s="5">
        <v>46022</v>
      </c>
      <c r="B204" s="4" t="s">
        <v>314</v>
      </c>
      <c r="C204" s="4" t="s">
        <v>315</v>
      </c>
      <c r="D204" s="4" t="s">
        <v>58</v>
      </c>
      <c r="E204" s="6">
        <v>30672.799999999999</v>
      </c>
      <c r="F204" s="7">
        <v>0.52</v>
      </c>
      <c r="G204" s="6">
        <v>85</v>
      </c>
      <c r="H204" s="6">
        <v>135.57400000000001</v>
      </c>
      <c r="I204" s="6">
        <v>97</v>
      </c>
      <c r="J204" s="6">
        <v>131.506563</v>
      </c>
      <c r="K204" s="8">
        <v>94.024000000000001</v>
      </c>
      <c r="L204" s="6">
        <v>47.591746305886211</v>
      </c>
      <c r="M204" s="6">
        <v>19.657633615136479</v>
      </c>
      <c r="N204" s="6">
        <v>3.4407383832170648</v>
      </c>
      <c r="O204" s="6">
        <v>24.83302373178687</v>
      </c>
      <c r="P204" s="6">
        <v>95.523142036026627</v>
      </c>
      <c r="Q204" s="6">
        <v>27.680729819117278</v>
      </c>
      <c r="R204" s="6">
        <v>49.13180634170218</v>
      </c>
      <c r="S204" s="6">
        <v>90.502066849047665</v>
      </c>
      <c r="T204" s="6">
        <v>25.265075911817181</v>
      </c>
      <c r="U204" s="6">
        <v>192.57967892168429</v>
      </c>
      <c r="V204" s="6">
        <v>288.102820957711</v>
      </c>
      <c r="W204" s="6">
        <v>17.062867137896909</v>
      </c>
      <c r="X204" s="6">
        <v>20.899892449446561</v>
      </c>
      <c r="Y204" s="6">
        <v>-24.29450971898893</v>
      </c>
      <c r="Z204" s="6">
        <v>301.77107082606551</v>
      </c>
      <c r="AA204" s="6">
        <v>5.1602554964637273</v>
      </c>
      <c r="AB204" s="6">
        <v>306.93132632252917</v>
      </c>
      <c r="AC204" s="6">
        <v>0</v>
      </c>
      <c r="AD204" s="6">
        <v>91.746668702981424</v>
      </c>
      <c r="AE204" s="6">
        <v>0</v>
      </c>
      <c r="AF204" s="6">
        <v>0</v>
      </c>
      <c r="AG204" s="6">
        <v>398.6779950255106</v>
      </c>
      <c r="AH204" s="6">
        <v>10.20381816775396</v>
      </c>
      <c r="AI204" s="6">
        <v>0</v>
      </c>
      <c r="AJ204" s="6">
        <v>73.445061927333285</v>
      </c>
      <c r="AK204" s="6">
        <v>390.58020641761652</v>
      </c>
      <c r="AL204" s="6">
        <v>0</v>
      </c>
      <c r="AM204" s="6">
        <v>0</v>
      </c>
      <c r="AN204" s="6">
        <v>0</v>
      </c>
      <c r="AO204" s="6">
        <v>0</v>
      </c>
      <c r="AP204" s="6">
        <v>0</v>
      </c>
      <c r="AQ204" s="6">
        <v>390.58020641761652</v>
      </c>
      <c r="AR204" s="6">
        <v>420.0001178167991</v>
      </c>
      <c r="AS204" s="6">
        <v>1291.5633250000001</v>
      </c>
      <c r="AT204" s="6">
        <v>118.22904699073359</v>
      </c>
      <c r="AU204" s="6">
        <v>113.0687914942699</v>
      </c>
    </row>
    <row r="205" spans="1:47" x14ac:dyDescent="0.35">
      <c r="A205" s="5">
        <v>46022</v>
      </c>
      <c r="B205" s="4" t="s">
        <v>316</v>
      </c>
      <c r="C205" s="4" t="s">
        <v>317</v>
      </c>
      <c r="D205" s="4" t="s">
        <v>58</v>
      </c>
      <c r="E205" s="6">
        <v>28266.666667000001</v>
      </c>
      <c r="F205" s="7">
        <v>0.25</v>
      </c>
      <c r="G205" s="6">
        <v>30</v>
      </c>
      <c r="H205" s="6">
        <v>21.2</v>
      </c>
      <c r="I205" s="6">
        <v>100</v>
      </c>
      <c r="J205" s="6">
        <v>21.2</v>
      </c>
      <c r="K205" s="8">
        <v>100</v>
      </c>
      <c r="L205" s="6">
        <v>66.98984754643665</v>
      </c>
      <c r="M205" s="6">
        <v>72.468940981187913</v>
      </c>
      <c r="N205" s="6">
        <v>19.714213022120479</v>
      </c>
      <c r="O205" s="6">
        <v>46.514083174568512</v>
      </c>
      <c r="P205" s="6">
        <v>205.68708472431359</v>
      </c>
      <c r="Q205" s="6">
        <v>11.940184111072799</v>
      </c>
      <c r="R205" s="6">
        <v>2.42502576801393</v>
      </c>
      <c r="S205" s="6">
        <v>11.11960527424179</v>
      </c>
      <c r="T205" s="6">
        <v>2.8993019500915231</v>
      </c>
      <c r="U205" s="6">
        <v>28.384117103420049</v>
      </c>
      <c r="V205" s="6">
        <v>234.0712018277336</v>
      </c>
      <c r="W205" s="6">
        <v>4.7997843236890469</v>
      </c>
      <c r="X205" s="6">
        <v>0</v>
      </c>
      <c r="Y205" s="6">
        <v>0</v>
      </c>
      <c r="Z205" s="6">
        <v>238.8709861514227</v>
      </c>
      <c r="AA205" s="6">
        <v>0.47064172614381139</v>
      </c>
      <c r="AB205" s="6">
        <v>239.34162787756651</v>
      </c>
      <c r="AC205" s="6">
        <v>0</v>
      </c>
      <c r="AD205" s="6">
        <v>44.047266429531433</v>
      </c>
      <c r="AE205" s="6">
        <v>0</v>
      </c>
      <c r="AF205" s="6">
        <v>0</v>
      </c>
      <c r="AG205" s="6">
        <v>283.38889430709793</v>
      </c>
      <c r="AH205" s="6">
        <v>3.2093776942271801</v>
      </c>
      <c r="AI205" s="6">
        <v>0</v>
      </c>
      <c r="AJ205" s="6">
        <v>42.791722749356623</v>
      </c>
      <c r="AK205" s="6">
        <v>285.34272832115028</v>
      </c>
      <c r="AL205" s="6">
        <v>0</v>
      </c>
      <c r="AM205" s="6">
        <v>0</v>
      </c>
      <c r="AN205" s="6">
        <v>0</v>
      </c>
      <c r="AO205" s="6">
        <v>0</v>
      </c>
      <c r="AP205" s="6">
        <v>0</v>
      </c>
      <c r="AQ205" s="6">
        <v>285.34272832115028</v>
      </c>
      <c r="AR205" s="6">
        <v>419.99999964779198</v>
      </c>
      <c r="AS205" s="6">
        <v>196.299598</v>
      </c>
      <c r="AT205" s="6">
        <v>181.12901349636931</v>
      </c>
      <c r="AU205" s="6">
        <v>180.6583717702255</v>
      </c>
    </row>
    <row r="206" spans="1:47" x14ac:dyDescent="0.35">
      <c r="A206" s="5">
        <v>46022</v>
      </c>
      <c r="B206" s="4" t="s">
        <v>766</v>
      </c>
      <c r="C206" s="4" t="s">
        <v>767</v>
      </c>
      <c r="D206" s="4" t="s">
        <v>58</v>
      </c>
      <c r="E206" s="6">
        <v>69350</v>
      </c>
      <c r="F206" s="7">
        <v>0.6</v>
      </c>
      <c r="G206" s="6">
        <v>89.3</v>
      </c>
      <c r="H206" s="6">
        <v>371.577</v>
      </c>
      <c r="I206" s="6">
        <v>97</v>
      </c>
      <c r="J206" s="6">
        <v>360.429981</v>
      </c>
      <c r="K206" s="8">
        <v>79.763999999999996</v>
      </c>
      <c r="L206" s="6">
        <v>42.289904716237402</v>
      </c>
      <c r="M206" s="6">
        <v>22.510217163493841</v>
      </c>
      <c r="N206" s="6">
        <v>0.70991465811870103</v>
      </c>
      <c r="O206" s="6">
        <v>11.74968019107876</v>
      </c>
      <c r="P206" s="6">
        <v>77.259716728928709</v>
      </c>
      <c r="Q206" s="6">
        <v>17.613942521556549</v>
      </c>
      <c r="R206" s="6">
        <v>37.06327564929078</v>
      </c>
      <c r="S206" s="6">
        <v>31.32520465959313</v>
      </c>
      <c r="T206" s="6">
        <v>9.8125178700634557</v>
      </c>
      <c r="U206" s="6">
        <v>95.814940700503925</v>
      </c>
      <c r="V206" s="6">
        <v>173.07465742943259</v>
      </c>
      <c r="W206" s="6">
        <v>18.229406774453651</v>
      </c>
      <c r="X206" s="6">
        <v>21.55684689647973</v>
      </c>
      <c r="Y206" s="6">
        <v>-98.955423854229792</v>
      </c>
      <c r="Z206" s="6">
        <v>113.9054872461362</v>
      </c>
      <c r="AA206" s="6">
        <v>11.26659756704824</v>
      </c>
      <c r="AB206" s="6">
        <v>125.1720848131845</v>
      </c>
      <c r="AC206" s="6">
        <v>0</v>
      </c>
      <c r="AD206" s="6">
        <v>119.5711435315043</v>
      </c>
      <c r="AE206" s="6">
        <v>0</v>
      </c>
      <c r="AF206" s="6">
        <v>0</v>
      </c>
      <c r="AG206" s="6">
        <v>244.7432283446887</v>
      </c>
      <c r="AH206" s="6">
        <v>3.1471469316909291</v>
      </c>
      <c r="AI206" s="6">
        <v>0</v>
      </c>
      <c r="AJ206" s="6">
        <v>77.437051389231058</v>
      </c>
      <c r="AK206" s="6">
        <v>205.75628313410641</v>
      </c>
      <c r="AL206" s="6">
        <v>0</v>
      </c>
      <c r="AM206" s="6">
        <v>0</v>
      </c>
      <c r="AN206" s="6">
        <v>0</v>
      </c>
      <c r="AO206" s="6">
        <v>0</v>
      </c>
      <c r="AP206" s="6">
        <v>0</v>
      </c>
      <c r="AQ206" s="6">
        <v>205.75628313410641</v>
      </c>
      <c r="AR206" s="6">
        <v>420.00002178801452</v>
      </c>
      <c r="AS206" s="6">
        <v>4148.0509089999996</v>
      </c>
      <c r="AT206" s="6">
        <v>306.09453454187832</v>
      </c>
      <c r="AU206" s="6">
        <v>294.82793697482998</v>
      </c>
    </row>
    <row r="207" spans="1:47" x14ac:dyDescent="0.35">
      <c r="A207" s="5">
        <v>46022</v>
      </c>
      <c r="B207" s="4" t="s">
        <v>318</v>
      </c>
      <c r="C207" s="4" t="s">
        <v>319</v>
      </c>
      <c r="D207" s="4" t="s">
        <v>122</v>
      </c>
      <c r="E207" s="6">
        <v>634.50912500000004</v>
      </c>
      <c r="F207" s="7">
        <v>2.052</v>
      </c>
      <c r="G207" s="6">
        <v>67.17</v>
      </c>
      <c r="H207" s="6">
        <v>8.7449999999999992</v>
      </c>
      <c r="I207" s="6">
        <v>97</v>
      </c>
      <c r="J207" s="6">
        <v>8.4826499999999996</v>
      </c>
      <c r="K207" s="8">
        <v>100</v>
      </c>
      <c r="L207" s="6">
        <v>75.700826188373469</v>
      </c>
      <c r="M207" s="6">
        <v>19.20266413126329</v>
      </c>
      <c r="N207" s="6">
        <v>7.662868809120571</v>
      </c>
      <c r="O207" s="6">
        <v>44.01647855108051</v>
      </c>
      <c r="P207" s="6">
        <v>146.58283767983781</v>
      </c>
      <c r="Q207" s="6">
        <v>45.962555492808498</v>
      </c>
      <c r="R207" s="6">
        <v>12.48315602803685</v>
      </c>
      <c r="S207" s="6">
        <v>12.736053200502701</v>
      </c>
      <c r="T207" s="6">
        <v>29.689209248044179</v>
      </c>
      <c r="U207" s="6">
        <v>100.8709739693922</v>
      </c>
      <c r="V207" s="6">
        <v>247.45381164923009</v>
      </c>
      <c r="W207" s="6">
        <v>8.4369325882082897</v>
      </c>
      <c r="X207" s="6">
        <v>17.124278603918349</v>
      </c>
      <c r="Y207" s="6">
        <v>7.7110702899999994E-16</v>
      </c>
      <c r="Z207" s="6">
        <v>273.01502284135671</v>
      </c>
      <c r="AA207" s="6">
        <v>41.999582840194869</v>
      </c>
      <c r="AB207" s="6">
        <v>315.01460568155159</v>
      </c>
      <c r="AC207" s="6">
        <v>0</v>
      </c>
      <c r="AD207" s="6">
        <v>153.3913010410933</v>
      </c>
      <c r="AE207" s="6">
        <v>0</v>
      </c>
      <c r="AF207" s="6">
        <v>0</v>
      </c>
      <c r="AG207" s="6">
        <v>468.40590672264489</v>
      </c>
      <c r="AH207" s="6">
        <v>17.111346983171408</v>
      </c>
      <c r="AI207" s="6">
        <v>0</v>
      </c>
      <c r="AJ207" s="6">
        <v>24.597560652138672</v>
      </c>
      <c r="AK207" s="6">
        <v>356.72351331686173</v>
      </c>
      <c r="AL207" s="6">
        <v>61.012643098537161</v>
      </c>
      <c r="AM207" s="6">
        <v>0</v>
      </c>
      <c r="AN207" s="6">
        <v>0</v>
      </c>
      <c r="AO207" s="6">
        <v>0</v>
      </c>
      <c r="AP207" s="6">
        <v>0</v>
      </c>
      <c r="AQ207" s="6">
        <v>417.7361564153988</v>
      </c>
      <c r="AR207" s="6">
        <v>419.9975240063377</v>
      </c>
      <c r="AS207" s="6">
        <v>78.543914000000001</v>
      </c>
      <c r="AT207" s="6">
        <v>146.9825011649809</v>
      </c>
      <c r="AU207" s="6">
        <v>104.9829183247861</v>
      </c>
    </row>
    <row r="208" spans="1:47" x14ac:dyDescent="0.35">
      <c r="A208" s="5">
        <v>46022</v>
      </c>
      <c r="B208" s="4" t="s">
        <v>768</v>
      </c>
      <c r="C208" s="4" t="s">
        <v>769</v>
      </c>
      <c r="D208" s="4" t="s">
        <v>122</v>
      </c>
      <c r="E208" s="6">
        <v>24948</v>
      </c>
      <c r="F208" s="7">
        <v>0.64</v>
      </c>
      <c r="G208" s="6">
        <v>94</v>
      </c>
      <c r="H208" s="6">
        <v>150.08699999999999</v>
      </c>
      <c r="I208" s="6">
        <v>96.5</v>
      </c>
      <c r="J208" s="6">
        <v>144.83411699999999</v>
      </c>
      <c r="K208" s="8">
        <v>100</v>
      </c>
      <c r="L208" s="6">
        <v>34.377586234014359</v>
      </c>
      <c r="M208" s="6">
        <v>17.840979038143391</v>
      </c>
      <c r="N208" s="6">
        <v>0.46104306635046077</v>
      </c>
      <c r="O208" s="6">
        <v>15.86772440256842</v>
      </c>
      <c r="P208" s="6">
        <v>68.547332741076644</v>
      </c>
      <c r="Q208" s="6">
        <v>12.291515346416681</v>
      </c>
      <c r="R208" s="6">
        <v>12.371358742143279</v>
      </c>
      <c r="S208" s="6">
        <v>13.626382224751429</v>
      </c>
      <c r="T208" s="6">
        <v>9.5935445771083678</v>
      </c>
      <c r="U208" s="6">
        <v>47.882800890419759</v>
      </c>
      <c r="V208" s="6">
        <v>116.4301336314964</v>
      </c>
      <c r="W208" s="6">
        <v>8.6174723196259837</v>
      </c>
      <c r="X208" s="6">
        <v>20.534504253177971</v>
      </c>
      <c r="Y208" s="6">
        <v>-1.3607771099999999E-15</v>
      </c>
      <c r="Z208" s="6">
        <v>145.58211020430039</v>
      </c>
      <c r="AA208" s="6">
        <v>25.58544070446483</v>
      </c>
      <c r="AB208" s="6">
        <v>171.16755090876521</v>
      </c>
      <c r="AC208" s="6">
        <v>0</v>
      </c>
      <c r="AD208" s="6">
        <v>101.2263306212826</v>
      </c>
      <c r="AE208" s="6">
        <v>0</v>
      </c>
      <c r="AF208" s="6">
        <v>0</v>
      </c>
      <c r="AG208" s="6">
        <v>272.39388153004779</v>
      </c>
      <c r="AH208" s="6">
        <v>3.1043368532441771</v>
      </c>
      <c r="AI208" s="6">
        <v>0</v>
      </c>
      <c r="AJ208" s="6">
        <v>85.498306768238805</v>
      </c>
      <c r="AK208" s="6">
        <v>259.7701945302482</v>
      </c>
      <c r="AL208" s="6">
        <v>168.80434625528051</v>
      </c>
      <c r="AM208" s="6">
        <v>0</v>
      </c>
      <c r="AN208" s="6">
        <v>0</v>
      </c>
      <c r="AO208" s="6">
        <v>0</v>
      </c>
      <c r="AP208" s="6">
        <v>0</v>
      </c>
      <c r="AQ208" s="6">
        <v>428.57454078552871</v>
      </c>
      <c r="AR208" s="6">
        <v>419.99995035001501</v>
      </c>
      <c r="AS208" s="6">
        <v>1341.079039</v>
      </c>
      <c r="AT208" s="6">
        <v>274.41784014571471</v>
      </c>
      <c r="AU208" s="6">
        <v>248.83239944124981</v>
      </c>
    </row>
    <row r="209" spans="1:47" x14ac:dyDescent="0.35">
      <c r="A209" s="5">
        <v>46022</v>
      </c>
      <c r="B209" s="4" t="s">
        <v>770</v>
      </c>
      <c r="C209" s="4" t="s">
        <v>771</v>
      </c>
      <c r="D209" s="4" t="s">
        <v>61</v>
      </c>
      <c r="E209" s="6">
        <v>269.24</v>
      </c>
      <c r="F209" s="7">
        <v>0.62039999999999995</v>
      </c>
      <c r="G209" s="6">
        <v>88</v>
      </c>
      <c r="H209" s="6">
        <v>1.47</v>
      </c>
      <c r="I209" s="6">
        <v>97</v>
      </c>
      <c r="J209" s="6">
        <v>1.4258999999999999</v>
      </c>
      <c r="K209" s="8">
        <v>82.784999999999997</v>
      </c>
      <c r="L209" s="6">
        <v>22.147521118701309</v>
      </c>
      <c r="M209" s="6">
        <v>0</v>
      </c>
      <c r="N209" s="6">
        <v>30.630139995351811</v>
      </c>
      <c r="O209" s="6">
        <v>29.084128539267159</v>
      </c>
      <c r="P209" s="6">
        <v>81.861789653320287</v>
      </c>
      <c r="Q209" s="6">
        <v>15.5900765449947</v>
      </c>
      <c r="R209" s="6">
        <v>7.0781661179430673</v>
      </c>
      <c r="S209" s="6">
        <v>17.691454083728861</v>
      </c>
      <c r="T209" s="6">
        <v>34.524511574649487</v>
      </c>
      <c r="U209" s="6">
        <v>74.884208321316123</v>
      </c>
      <c r="V209" s="6">
        <v>156.7459979746364</v>
      </c>
      <c r="W209" s="6">
        <v>15.0742223726325</v>
      </c>
      <c r="X209" s="6">
        <v>25.352907474999999</v>
      </c>
      <c r="Y209" s="6">
        <v>-85.068092896891201</v>
      </c>
      <c r="Z209" s="6">
        <v>112.10503492537769</v>
      </c>
      <c r="AA209" s="6">
        <v>54.79781256205321</v>
      </c>
      <c r="AB209" s="6">
        <v>166.9028474874309</v>
      </c>
      <c r="AC209" s="6">
        <v>0</v>
      </c>
      <c r="AD209" s="6">
        <v>2.0453895665200381</v>
      </c>
      <c r="AE209" s="6">
        <v>0</v>
      </c>
      <c r="AF209" s="6">
        <v>0</v>
      </c>
      <c r="AG209" s="6">
        <v>168.948237053951</v>
      </c>
      <c r="AH209" s="6">
        <v>8.783157035590877</v>
      </c>
      <c r="AI209" s="6">
        <v>0</v>
      </c>
      <c r="AJ209" s="6">
        <v>14.317744095201901</v>
      </c>
      <c r="AK209" s="6">
        <v>190.00374861822371</v>
      </c>
      <c r="AL209" s="6">
        <v>0</v>
      </c>
      <c r="AM209" s="6">
        <v>0</v>
      </c>
      <c r="AN209" s="6">
        <v>0</v>
      </c>
      <c r="AO209" s="6">
        <v>0</v>
      </c>
      <c r="AP209" s="6">
        <v>0</v>
      </c>
      <c r="AQ209" s="6">
        <v>190.00374861822371</v>
      </c>
      <c r="AR209" s="6">
        <v>419.99999964779198</v>
      </c>
      <c r="AS209" s="6">
        <v>15.883914000000001</v>
      </c>
      <c r="AT209" s="6">
        <v>307.89496472241422</v>
      </c>
      <c r="AU209" s="6">
        <v>253.09715216036099</v>
      </c>
    </row>
    <row r="210" spans="1:47" x14ac:dyDescent="0.35">
      <c r="A210" s="5">
        <v>46022</v>
      </c>
      <c r="B210" s="4" t="s">
        <v>320</v>
      </c>
      <c r="C210" s="4" t="s">
        <v>321</v>
      </c>
      <c r="D210" s="4" t="s">
        <v>61</v>
      </c>
      <c r="E210" s="6">
        <v>264.27999999999997</v>
      </c>
      <c r="F210" s="7">
        <v>0.54</v>
      </c>
      <c r="G210" s="6">
        <v>95</v>
      </c>
      <c r="H210" s="6">
        <v>1.3560000000000001</v>
      </c>
      <c r="I210" s="6">
        <v>97</v>
      </c>
      <c r="J210" s="6">
        <v>1.3150839999999999</v>
      </c>
      <c r="K210" s="8">
        <v>0</v>
      </c>
      <c r="L210" s="6">
        <v>77.298736832759573</v>
      </c>
      <c r="M210" s="6">
        <v>0</v>
      </c>
      <c r="N210" s="6">
        <v>7.5468816854083114</v>
      </c>
      <c r="O210" s="6">
        <v>21.603538478023609</v>
      </c>
      <c r="P210" s="6">
        <v>106.4491569961915</v>
      </c>
      <c r="Q210" s="6">
        <v>19.09554996906666</v>
      </c>
      <c r="R210" s="6">
        <v>3.666093133469368</v>
      </c>
      <c r="S210" s="6">
        <v>19.856377371010421</v>
      </c>
      <c r="T210" s="6">
        <v>28.938003599232179</v>
      </c>
      <c r="U210" s="6">
        <v>71.556024072778627</v>
      </c>
      <c r="V210" s="6">
        <v>178.0051810689701</v>
      </c>
      <c r="W210" s="6">
        <v>7.2085063423814582</v>
      </c>
      <c r="X210" s="6">
        <v>0</v>
      </c>
      <c r="Y210" s="6">
        <v>-20.218989429871481</v>
      </c>
      <c r="Z210" s="6">
        <v>164.9946979814801</v>
      </c>
      <c r="AA210" s="6">
        <v>0</v>
      </c>
      <c r="AB210" s="6">
        <v>164.9946979814801</v>
      </c>
      <c r="AC210" s="6">
        <v>0</v>
      </c>
      <c r="AD210" s="6">
        <v>16.64682078654246</v>
      </c>
      <c r="AE210" s="6">
        <v>0</v>
      </c>
      <c r="AF210" s="6">
        <v>0</v>
      </c>
      <c r="AG210" s="6">
        <v>181.64151876802259</v>
      </c>
      <c r="AH210" s="6">
        <v>16.64682078654246</v>
      </c>
      <c r="AI210" s="6">
        <v>0</v>
      </c>
      <c r="AJ210" s="6">
        <v>16.64682078654246</v>
      </c>
      <c r="AK210" s="6">
        <v>198.288339554565</v>
      </c>
      <c r="AL210" s="6">
        <v>0</v>
      </c>
      <c r="AM210" s="6">
        <v>0</v>
      </c>
      <c r="AN210" s="6">
        <v>0</v>
      </c>
      <c r="AO210" s="6">
        <v>0</v>
      </c>
      <c r="AP210" s="6">
        <v>0</v>
      </c>
      <c r="AQ210" s="6">
        <v>198.288339554565</v>
      </c>
      <c r="AR210" s="6">
        <v>420.00510958753301</v>
      </c>
      <c r="AS210" s="6">
        <v>12.815600999999999</v>
      </c>
      <c r="AT210" s="6">
        <v>255.01041160605291</v>
      </c>
      <c r="AU210" s="6">
        <v>255.01041160605291</v>
      </c>
    </row>
    <row r="211" spans="1:47" x14ac:dyDescent="0.35">
      <c r="A211" s="5">
        <v>46022</v>
      </c>
      <c r="B211" s="4" t="s">
        <v>772</v>
      </c>
      <c r="C211" s="4" t="s">
        <v>773</v>
      </c>
      <c r="D211" s="4" t="s">
        <v>61</v>
      </c>
      <c r="E211" s="6">
        <v>529.4</v>
      </c>
      <c r="F211" s="7">
        <v>0.39040000000000002</v>
      </c>
      <c r="G211" s="6">
        <v>90</v>
      </c>
      <c r="H211" s="6">
        <v>1.86</v>
      </c>
      <c r="I211" s="6">
        <v>94.216128999999995</v>
      </c>
      <c r="J211" s="6">
        <v>1.7524200000000001</v>
      </c>
      <c r="K211" s="8">
        <v>87.730999999999995</v>
      </c>
      <c r="L211" s="6">
        <v>51.105517917327703</v>
      </c>
      <c r="M211" s="6">
        <v>47.491208325892359</v>
      </c>
      <c r="N211" s="6">
        <v>22.205936203439851</v>
      </c>
      <c r="O211" s="6">
        <v>35.80378549513955</v>
      </c>
      <c r="P211" s="6">
        <v>156.6064479417995</v>
      </c>
      <c r="Q211" s="6">
        <v>10.053657276191879</v>
      </c>
      <c r="R211" s="6">
        <v>19.16155630088042</v>
      </c>
      <c r="S211" s="6">
        <v>36.832185743988788</v>
      </c>
      <c r="T211" s="6">
        <v>42.268401268621972</v>
      </c>
      <c r="U211" s="6">
        <v>108.31580058968311</v>
      </c>
      <c r="V211" s="6">
        <v>264.92224853148252</v>
      </c>
      <c r="W211" s="6">
        <v>16.3206443615361</v>
      </c>
      <c r="X211" s="6">
        <v>27.561639962618649</v>
      </c>
      <c r="Y211" s="6">
        <v>-56.790743433235022</v>
      </c>
      <c r="Z211" s="6">
        <v>252.01378942240231</v>
      </c>
      <c r="AA211" s="6">
        <v>54.760530603925588</v>
      </c>
      <c r="AB211" s="6">
        <v>306.77432002632793</v>
      </c>
      <c r="AC211" s="6">
        <v>0</v>
      </c>
      <c r="AD211" s="6">
        <v>8.6171856161403682</v>
      </c>
      <c r="AE211" s="6">
        <v>0</v>
      </c>
      <c r="AF211" s="6">
        <v>0</v>
      </c>
      <c r="AG211" s="6">
        <v>315.39150564246819</v>
      </c>
      <c r="AH211" s="6">
        <v>13.119208109923489</v>
      </c>
      <c r="AI211" s="6">
        <v>0</v>
      </c>
      <c r="AJ211" s="6">
        <v>8.6171856161403682</v>
      </c>
      <c r="AK211" s="6">
        <v>328.51071375239172</v>
      </c>
      <c r="AL211" s="6">
        <v>0</v>
      </c>
      <c r="AM211" s="6">
        <v>0</v>
      </c>
      <c r="AN211" s="6">
        <v>0</v>
      </c>
      <c r="AO211" s="6">
        <v>0</v>
      </c>
      <c r="AP211" s="6">
        <v>0</v>
      </c>
      <c r="AQ211" s="6">
        <v>328.51071375239172</v>
      </c>
      <c r="AR211" s="6">
        <v>419.99520627634388</v>
      </c>
      <c r="AS211" s="6">
        <v>18.425795000000001</v>
      </c>
      <c r="AT211" s="6">
        <v>167.9814168539416</v>
      </c>
      <c r="AU211" s="6">
        <v>113.22088625001599</v>
      </c>
    </row>
    <row r="212" spans="1:47" x14ac:dyDescent="0.35">
      <c r="A212" s="5">
        <v>46022</v>
      </c>
      <c r="B212" s="4" t="s">
        <v>577</v>
      </c>
      <c r="C212" s="4" t="s">
        <v>578</v>
      </c>
      <c r="D212" s="4" t="s">
        <v>213</v>
      </c>
      <c r="E212" s="6">
        <v>1622.553494</v>
      </c>
      <c r="F212" s="7">
        <v>2.4</v>
      </c>
      <c r="G212" s="6">
        <v>82.18</v>
      </c>
      <c r="H212" s="6">
        <v>32</v>
      </c>
      <c r="I212" s="6">
        <v>100</v>
      </c>
      <c r="J212" s="6">
        <v>32</v>
      </c>
      <c r="K212" s="8">
        <v>100</v>
      </c>
      <c r="L212" s="6">
        <v>39.069710304610851</v>
      </c>
      <c r="M212" s="6">
        <v>35.212314514476482</v>
      </c>
      <c r="N212" s="6">
        <v>0.79981706650855788</v>
      </c>
      <c r="O212" s="6">
        <v>11.7884038733706</v>
      </c>
      <c r="P212" s="6">
        <v>86.870245758966476</v>
      </c>
      <c r="Q212" s="6">
        <v>21.192122103529229</v>
      </c>
      <c r="R212" s="6">
        <v>48.735535558784854</v>
      </c>
      <c r="S212" s="6">
        <v>33.320722554422872</v>
      </c>
      <c r="T212" s="6">
        <v>7.5907402078556041</v>
      </c>
      <c r="U212" s="6">
        <v>110.83912042459259</v>
      </c>
      <c r="V212" s="6">
        <v>197.70936618355901</v>
      </c>
      <c r="W212" s="6">
        <v>4.8449848033595471</v>
      </c>
      <c r="X212" s="6">
        <v>0</v>
      </c>
      <c r="Y212" s="6">
        <v>0</v>
      </c>
      <c r="Z212" s="6">
        <v>202.55435098691859</v>
      </c>
      <c r="AA212" s="6">
        <v>10.49997930294094</v>
      </c>
      <c r="AB212" s="6">
        <v>213.05433028985951</v>
      </c>
      <c r="AC212" s="6">
        <v>1.482820643114771</v>
      </c>
      <c r="AD212" s="6">
        <v>10.644068659196719</v>
      </c>
      <c r="AE212" s="6">
        <v>0</v>
      </c>
      <c r="AF212" s="6">
        <v>0</v>
      </c>
      <c r="AG212" s="6">
        <v>225.181219592171</v>
      </c>
      <c r="AH212" s="6">
        <v>15.599587152132489</v>
      </c>
      <c r="AI212" s="6">
        <v>0</v>
      </c>
      <c r="AJ212" s="6">
        <v>2.2427730075072172</v>
      </c>
      <c r="AK212" s="6">
        <v>232.379511092614</v>
      </c>
      <c r="AL212" s="6">
        <v>0</v>
      </c>
      <c r="AM212" s="6">
        <v>0</v>
      </c>
      <c r="AN212" s="6">
        <v>0</v>
      </c>
      <c r="AO212" s="6">
        <v>0</v>
      </c>
      <c r="AP212" s="6">
        <v>0</v>
      </c>
      <c r="AQ212" s="6">
        <v>232.379511092614</v>
      </c>
      <c r="AR212" s="6">
        <v>419.99999964779192</v>
      </c>
      <c r="AS212" s="6">
        <v>296.30128000000002</v>
      </c>
      <c r="AT212" s="6">
        <v>217.44564866087339</v>
      </c>
      <c r="AU212" s="6">
        <v>206.94566935793239</v>
      </c>
    </row>
    <row r="213" spans="1:47" x14ac:dyDescent="0.35">
      <c r="A213" s="5">
        <v>46022</v>
      </c>
      <c r="B213" s="4" t="s">
        <v>322</v>
      </c>
      <c r="C213" s="4" t="s">
        <v>323</v>
      </c>
      <c r="D213" s="4" t="s">
        <v>222</v>
      </c>
      <c r="E213" s="6">
        <v>880</v>
      </c>
      <c r="F213" s="7">
        <v>1</v>
      </c>
      <c r="G213" s="6">
        <v>88</v>
      </c>
      <c r="H213" s="6">
        <v>7.7439999999999998</v>
      </c>
      <c r="I213" s="6">
        <v>97</v>
      </c>
      <c r="J213" s="6">
        <v>7.5116800000000001</v>
      </c>
      <c r="K213" s="8">
        <v>23.238</v>
      </c>
      <c r="L213" s="6">
        <v>198.78452231411489</v>
      </c>
      <c r="M213" s="6">
        <v>14.982316460125</v>
      </c>
      <c r="N213" s="6">
        <v>41.84061665708942</v>
      </c>
      <c r="O213" s="6">
        <v>505.80109025198902</v>
      </c>
      <c r="P213" s="6">
        <v>761.40854568331838</v>
      </c>
      <c r="Q213" s="6">
        <v>85.803609340520055</v>
      </c>
      <c r="R213" s="6">
        <v>58.657775095793802</v>
      </c>
      <c r="S213" s="6">
        <v>60.208770700711668</v>
      </c>
      <c r="T213" s="6">
        <v>109.4018889990237</v>
      </c>
      <c r="U213" s="6">
        <v>314.07204413604921</v>
      </c>
      <c r="V213" s="6">
        <v>1075.4805898193681</v>
      </c>
      <c r="W213" s="6">
        <v>112.6976322739999</v>
      </c>
      <c r="X213" s="6">
        <v>36.776683359252793</v>
      </c>
      <c r="Y213" s="6">
        <v>-825.42602397059488</v>
      </c>
      <c r="Z213" s="6">
        <v>399.5288814820255</v>
      </c>
      <c r="AA213" s="6">
        <v>0</v>
      </c>
      <c r="AB213" s="6">
        <v>399.5288814820255</v>
      </c>
      <c r="AC213" s="6">
        <v>0</v>
      </c>
      <c r="AD213" s="6">
        <v>207.02962307814781</v>
      </c>
      <c r="AE213" s="6">
        <v>0</v>
      </c>
      <c r="AF213" s="6">
        <v>0</v>
      </c>
      <c r="AG213" s="6">
        <v>606.55850456017333</v>
      </c>
      <c r="AH213" s="6">
        <v>9.1679338962226264</v>
      </c>
      <c r="AI213" s="6">
        <v>0</v>
      </c>
      <c r="AJ213" s="6">
        <v>117.4007711709945</v>
      </c>
      <c r="AK213" s="6">
        <v>526.09758654924258</v>
      </c>
      <c r="AL213" s="6">
        <v>0</v>
      </c>
      <c r="AM213" s="6">
        <v>0</v>
      </c>
      <c r="AN213" s="6">
        <v>0</v>
      </c>
      <c r="AO213" s="6">
        <v>0</v>
      </c>
      <c r="AP213" s="6">
        <v>0</v>
      </c>
      <c r="AQ213" s="6">
        <v>526.09758654924258</v>
      </c>
      <c r="AR213" s="6">
        <v>420.00111790628978</v>
      </c>
      <c r="AS213" s="6">
        <v>277.34097500000001</v>
      </c>
      <c r="AT213" s="6">
        <v>20.472236424264281</v>
      </c>
      <c r="AU213" s="6">
        <v>20.472236424264281</v>
      </c>
    </row>
    <row r="214" spans="1:47" x14ac:dyDescent="0.35">
      <c r="A214" s="5">
        <v>46022</v>
      </c>
      <c r="B214" s="4" t="s">
        <v>774</v>
      </c>
      <c r="C214" s="4" t="s">
        <v>775</v>
      </c>
      <c r="D214" s="4" t="s">
        <v>58</v>
      </c>
      <c r="E214" s="6">
        <v>7100</v>
      </c>
      <c r="F214" s="7">
        <v>0.85199999999999998</v>
      </c>
      <c r="G214" s="6">
        <v>82</v>
      </c>
      <c r="H214" s="6">
        <v>49.603000000000002</v>
      </c>
      <c r="I214" s="6">
        <v>97</v>
      </c>
      <c r="J214" s="6">
        <v>48.114657999999999</v>
      </c>
      <c r="K214" s="8">
        <v>90.006</v>
      </c>
      <c r="L214" s="6">
        <v>48.794554238648658</v>
      </c>
      <c r="M214" s="6">
        <v>19.775599199584271</v>
      </c>
      <c r="N214" s="6">
        <v>1.688510188409019</v>
      </c>
      <c r="O214" s="6">
        <v>12.883848463920071</v>
      </c>
      <c r="P214" s="6">
        <v>83.142512090562022</v>
      </c>
      <c r="Q214" s="6">
        <v>33.356417869036832</v>
      </c>
      <c r="R214" s="6">
        <v>13.540216513771471</v>
      </c>
      <c r="S214" s="6">
        <v>56.174461224886102</v>
      </c>
      <c r="T214" s="6">
        <v>13.020949346679</v>
      </c>
      <c r="U214" s="6">
        <v>116.09204495437341</v>
      </c>
      <c r="V214" s="6">
        <v>199.2345570449354</v>
      </c>
      <c r="W214" s="6">
        <v>6.9939047564405676</v>
      </c>
      <c r="X214" s="6">
        <v>45.127109194243182</v>
      </c>
      <c r="Y214" s="6">
        <v>-44.128906243229913</v>
      </c>
      <c r="Z214" s="6">
        <v>207.2266647523893</v>
      </c>
      <c r="AA214" s="6">
        <v>3.1559784865905129</v>
      </c>
      <c r="AB214" s="6">
        <v>210.3826432389798</v>
      </c>
      <c r="AC214" s="6">
        <v>0</v>
      </c>
      <c r="AD214" s="6">
        <v>180.1607539912473</v>
      </c>
      <c r="AE214" s="6">
        <v>0</v>
      </c>
      <c r="AF214" s="6">
        <v>0</v>
      </c>
      <c r="AG214" s="6">
        <v>390.54339723022707</v>
      </c>
      <c r="AH214" s="6">
        <v>7.0000030706180816</v>
      </c>
      <c r="AI214" s="6">
        <v>0</v>
      </c>
      <c r="AJ214" s="6">
        <v>176.40012824940479</v>
      </c>
      <c r="AK214" s="6">
        <v>393.78277455900258</v>
      </c>
      <c r="AL214" s="6">
        <v>0</v>
      </c>
      <c r="AM214" s="6">
        <v>0</v>
      </c>
      <c r="AN214" s="6">
        <v>0</v>
      </c>
      <c r="AO214" s="6">
        <v>0</v>
      </c>
      <c r="AP214" s="6">
        <v>0</v>
      </c>
      <c r="AQ214" s="6">
        <v>393.78277455900258</v>
      </c>
      <c r="AR214" s="6">
        <v>420.00036627203332</v>
      </c>
      <c r="AS214" s="6">
        <v>493.13296300000002</v>
      </c>
      <c r="AT214" s="6">
        <v>212.77370151964399</v>
      </c>
      <c r="AU214" s="6">
        <v>209.61772303305349</v>
      </c>
    </row>
    <row r="215" spans="1:47" x14ac:dyDescent="0.35">
      <c r="A215" s="5">
        <v>46022</v>
      </c>
      <c r="B215" s="4" t="s">
        <v>579</v>
      </c>
      <c r="C215" s="4" t="s">
        <v>580</v>
      </c>
      <c r="D215" s="4" t="s">
        <v>58</v>
      </c>
      <c r="E215" s="6">
        <v>8592</v>
      </c>
      <c r="F215" s="7">
        <v>0.1328</v>
      </c>
      <c r="G215" s="6">
        <v>61.33</v>
      </c>
      <c r="H215" s="6">
        <v>7</v>
      </c>
      <c r="I215" s="6">
        <v>100</v>
      </c>
      <c r="J215" s="6">
        <v>7</v>
      </c>
      <c r="K215" s="8">
        <v>100</v>
      </c>
      <c r="L215" s="6">
        <v>0</v>
      </c>
      <c r="M215" s="6">
        <v>0</v>
      </c>
      <c r="N215" s="6">
        <v>0</v>
      </c>
      <c r="O215" s="6">
        <v>0</v>
      </c>
      <c r="P215" s="6">
        <v>0</v>
      </c>
      <c r="Q215" s="6">
        <v>136.9822620012628</v>
      </c>
      <c r="R215" s="6">
        <v>0.30042350585491201</v>
      </c>
      <c r="S215" s="6">
        <v>214.121007899624</v>
      </c>
      <c r="T215" s="6">
        <v>73.921497434808145</v>
      </c>
      <c r="U215" s="6">
        <v>425.32519084154978</v>
      </c>
      <c r="V215" s="6">
        <v>425.32519084154978</v>
      </c>
      <c r="W215" s="6">
        <v>3.164778103451118</v>
      </c>
      <c r="X215" s="6">
        <v>0</v>
      </c>
      <c r="Y215" s="6">
        <v>-1.2972741782E-15</v>
      </c>
      <c r="Z215" s="6">
        <v>428.48996894500101</v>
      </c>
      <c r="AA215" s="6">
        <v>0</v>
      </c>
      <c r="AB215" s="6">
        <v>428.48996894500101</v>
      </c>
      <c r="AC215" s="6">
        <v>0</v>
      </c>
      <c r="AD215" s="6">
        <v>272.09294569029089</v>
      </c>
      <c r="AE215" s="6">
        <v>0</v>
      </c>
      <c r="AF215" s="6">
        <v>0</v>
      </c>
      <c r="AG215" s="6">
        <v>700.5829146352919</v>
      </c>
      <c r="AH215" s="6">
        <v>9.9394192703387994</v>
      </c>
      <c r="AI215" s="6">
        <v>0</v>
      </c>
      <c r="AJ215" s="6">
        <v>267.49500735985578</v>
      </c>
      <c r="AK215" s="6">
        <v>705.92439557519549</v>
      </c>
      <c r="AL215" s="6">
        <v>0</v>
      </c>
      <c r="AM215" s="6">
        <v>0</v>
      </c>
      <c r="AN215" s="6">
        <v>0</v>
      </c>
      <c r="AO215" s="6">
        <v>0</v>
      </c>
      <c r="AP215" s="6">
        <v>0</v>
      </c>
      <c r="AQ215" s="6">
        <v>705.92439557519549</v>
      </c>
      <c r="AR215" s="6">
        <v>419.99999964779192</v>
      </c>
      <c r="AS215" s="6">
        <v>64.815905000000001</v>
      </c>
      <c r="AT215" s="6">
        <v>-8.4899692972090275</v>
      </c>
      <c r="AU215" s="6">
        <v>-8.4899692972090275</v>
      </c>
    </row>
    <row r="216" spans="1:47" x14ac:dyDescent="0.35">
      <c r="A216" s="5">
        <v>46022</v>
      </c>
      <c r="B216" s="4" t="s">
        <v>581</v>
      </c>
      <c r="C216" s="4" t="s">
        <v>582</v>
      </c>
      <c r="D216" s="4" t="s">
        <v>58</v>
      </c>
      <c r="E216" s="6">
        <v>10127</v>
      </c>
      <c r="F216" s="7">
        <v>0.78490000000000004</v>
      </c>
      <c r="G216" s="6">
        <v>88.94</v>
      </c>
      <c r="H216" s="6">
        <v>70.69</v>
      </c>
      <c r="I216" s="6">
        <v>97</v>
      </c>
      <c r="J216" s="6">
        <v>68.568917999999996</v>
      </c>
      <c r="K216" s="8">
        <v>89.704999999999998</v>
      </c>
      <c r="L216" s="6">
        <v>20.706388071089179</v>
      </c>
      <c r="M216" s="6">
        <v>12.358947622356469</v>
      </c>
      <c r="N216" s="6">
        <v>0.1325492451471498</v>
      </c>
      <c r="O216" s="6">
        <v>4.244108120796211</v>
      </c>
      <c r="P216" s="6">
        <v>37.441993059389013</v>
      </c>
      <c r="Q216" s="6">
        <v>46.218647605795731</v>
      </c>
      <c r="R216" s="6">
        <v>18.162522466129762</v>
      </c>
      <c r="S216" s="6">
        <v>58.40636513081261</v>
      </c>
      <c r="T216" s="6">
        <v>10.65652118587286</v>
      </c>
      <c r="U216" s="6">
        <v>133.44405638861099</v>
      </c>
      <c r="V216" s="6">
        <v>170.88604944799999</v>
      </c>
      <c r="W216" s="6">
        <v>8.4705731728876454</v>
      </c>
      <c r="X216" s="6">
        <v>0.33194498729276051</v>
      </c>
      <c r="Y216" s="6">
        <v>-47.635936210728289</v>
      </c>
      <c r="Z216" s="6">
        <v>132.0526313974521</v>
      </c>
      <c r="AA216" s="6">
        <v>44.841333873285677</v>
      </c>
      <c r="AB216" s="6">
        <v>176.89396527073779</v>
      </c>
      <c r="AC216" s="6">
        <v>0</v>
      </c>
      <c r="AD216" s="6">
        <v>49.887694584740302</v>
      </c>
      <c r="AE216" s="6">
        <v>0</v>
      </c>
      <c r="AF216" s="6">
        <v>0</v>
      </c>
      <c r="AG216" s="6">
        <v>226.7816598554781</v>
      </c>
      <c r="AH216" s="6">
        <v>7.0000016045036046</v>
      </c>
      <c r="AI216" s="6">
        <v>0</v>
      </c>
      <c r="AJ216" s="6">
        <v>6.4345537329838267</v>
      </c>
      <c r="AK216" s="6">
        <v>190.3285206082252</v>
      </c>
      <c r="AL216" s="6">
        <v>0</v>
      </c>
      <c r="AM216" s="6">
        <v>0</v>
      </c>
      <c r="AN216" s="6">
        <v>0</v>
      </c>
      <c r="AO216" s="6">
        <v>0</v>
      </c>
      <c r="AP216" s="6">
        <v>0</v>
      </c>
      <c r="AQ216" s="6">
        <v>190.3285206082252</v>
      </c>
      <c r="AR216" s="6">
        <v>419.99988939375538</v>
      </c>
      <c r="AS216" s="6">
        <v>707.09989900000005</v>
      </c>
      <c r="AT216" s="6">
        <v>287.94725799630328</v>
      </c>
      <c r="AU216" s="6">
        <v>243.10592412301759</v>
      </c>
    </row>
    <row r="217" spans="1:47" x14ac:dyDescent="0.35">
      <c r="A217" s="5">
        <v>46022</v>
      </c>
      <c r="B217" s="4" t="s">
        <v>380</v>
      </c>
      <c r="C217" s="4" t="s">
        <v>381</v>
      </c>
      <c r="D217" s="4" t="s">
        <v>58</v>
      </c>
      <c r="E217" s="6">
        <v>24102.3</v>
      </c>
      <c r="F217" s="7">
        <v>0.28499999999999998</v>
      </c>
      <c r="G217" s="6">
        <v>46.58</v>
      </c>
      <c r="H217" s="6">
        <v>32</v>
      </c>
      <c r="I217" s="6">
        <v>100</v>
      </c>
      <c r="J217" s="6">
        <v>32</v>
      </c>
      <c r="K217" s="8">
        <v>100</v>
      </c>
      <c r="L217" s="6">
        <v>112.5896148437117</v>
      </c>
      <c r="M217" s="6">
        <v>58.74116891240358</v>
      </c>
      <c r="N217" s="6">
        <v>0.29941711325471421</v>
      </c>
      <c r="O217" s="6">
        <v>34.140178811536217</v>
      </c>
      <c r="P217" s="6">
        <v>205.77037968090619</v>
      </c>
      <c r="Q217" s="6">
        <v>78.568874898895956</v>
      </c>
      <c r="R217" s="6">
        <v>48.098537261992519</v>
      </c>
      <c r="S217" s="6">
        <v>56.864721453663073</v>
      </c>
      <c r="T217" s="6">
        <v>20.623566512880849</v>
      </c>
      <c r="U217" s="6">
        <v>204.1557001274324</v>
      </c>
      <c r="V217" s="6">
        <v>409.92607980833861</v>
      </c>
      <c r="W217" s="6">
        <v>2.5318224736890471</v>
      </c>
      <c r="X217" s="6">
        <v>0</v>
      </c>
      <c r="Y217" s="6">
        <v>0</v>
      </c>
      <c r="Z217" s="6">
        <v>412.45790228202759</v>
      </c>
      <c r="AA217" s="6">
        <v>0.61253840457092623</v>
      </c>
      <c r="AB217" s="6">
        <v>413.0704406865986</v>
      </c>
      <c r="AC217" s="6">
        <v>0</v>
      </c>
      <c r="AD217" s="6">
        <v>10.17317814137032</v>
      </c>
      <c r="AE217" s="6">
        <v>0</v>
      </c>
      <c r="AF217" s="6">
        <v>0</v>
      </c>
      <c r="AG217" s="6">
        <v>423.24361882796887</v>
      </c>
      <c r="AH217" s="6">
        <v>10.44136896052248</v>
      </c>
      <c r="AI217" s="6">
        <v>0</v>
      </c>
      <c r="AJ217" s="6">
        <v>0.79343485146365644</v>
      </c>
      <c r="AK217" s="6">
        <v>424.30524449858473</v>
      </c>
      <c r="AL217" s="6">
        <v>0</v>
      </c>
      <c r="AM217" s="6">
        <v>0</v>
      </c>
      <c r="AN217" s="6">
        <v>0</v>
      </c>
      <c r="AO217" s="6">
        <v>0</v>
      </c>
      <c r="AP217" s="6">
        <v>0</v>
      </c>
      <c r="AQ217" s="6">
        <v>424.30524449858473</v>
      </c>
      <c r="AR217" s="6">
        <v>419.99999964779192</v>
      </c>
      <c r="AS217" s="6">
        <v>296.30128000000002</v>
      </c>
      <c r="AT217" s="6">
        <v>7.5420973657642971</v>
      </c>
      <c r="AU217" s="6">
        <v>6.9295589611933712</v>
      </c>
    </row>
    <row r="218" spans="1:47" x14ac:dyDescent="0.35">
      <c r="A218" s="5">
        <v>46022</v>
      </c>
      <c r="B218" s="4" t="s">
        <v>583</v>
      </c>
      <c r="C218" s="4" t="s">
        <v>584</v>
      </c>
      <c r="D218" s="4" t="s">
        <v>61</v>
      </c>
      <c r="E218" s="6">
        <v>720</v>
      </c>
      <c r="F218" s="7">
        <v>0.25</v>
      </c>
      <c r="G218" s="6">
        <v>85</v>
      </c>
      <c r="H218" s="6">
        <v>1.53</v>
      </c>
      <c r="I218" s="6">
        <v>94.5</v>
      </c>
      <c r="J218" s="6">
        <v>1.4458500000000001</v>
      </c>
      <c r="K218" s="8">
        <v>42.89</v>
      </c>
      <c r="L218" s="6">
        <v>57.379454569373408</v>
      </c>
      <c r="M218" s="6">
        <v>10.810434625342049</v>
      </c>
      <c r="N218" s="6">
        <v>77.810960297251412</v>
      </c>
      <c r="O218" s="6">
        <v>122.4279603708549</v>
      </c>
      <c r="P218" s="6">
        <v>268.42880986282182</v>
      </c>
      <c r="Q218" s="6">
        <v>13.3418329851817</v>
      </c>
      <c r="R218" s="6">
        <v>23.738977621410019</v>
      </c>
      <c r="S218" s="6">
        <v>62.718952516939432</v>
      </c>
      <c r="T218" s="6">
        <v>64.570975951787347</v>
      </c>
      <c r="U218" s="6">
        <v>164.37073907531851</v>
      </c>
      <c r="V218" s="6">
        <v>432.79954893814028</v>
      </c>
      <c r="W218" s="6">
        <v>15.473011324289439</v>
      </c>
      <c r="X218" s="6">
        <v>27.19940038316561</v>
      </c>
      <c r="Y218" s="6">
        <v>-543.22742634866916</v>
      </c>
      <c r="Z218" s="6">
        <v>-67.755465703073867</v>
      </c>
      <c r="AA218" s="6">
        <v>95.462964321723774</v>
      </c>
      <c r="AB218" s="6">
        <v>27.707498618649911</v>
      </c>
      <c r="AC218" s="6">
        <v>0</v>
      </c>
      <c r="AD218" s="6">
        <v>65.747464397050976</v>
      </c>
      <c r="AE218" s="6">
        <v>0</v>
      </c>
      <c r="AF218" s="6">
        <v>0</v>
      </c>
      <c r="AG218" s="6">
        <v>93.454963015700883</v>
      </c>
      <c r="AH218" s="6">
        <v>13.97806510647843</v>
      </c>
      <c r="AI218" s="6">
        <v>0</v>
      </c>
      <c r="AJ218" s="6">
        <v>65.747464397050976</v>
      </c>
      <c r="AK218" s="6">
        <v>107.43302812217929</v>
      </c>
      <c r="AL218" s="6">
        <v>0</v>
      </c>
      <c r="AM218" s="6">
        <v>0</v>
      </c>
      <c r="AN218" s="6">
        <v>0</v>
      </c>
      <c r="AO218" s="6">
        <v>0</v>
      </c>
      <c r="AP218" s="6">
        <v>0</v>
      </c>
      <c r="AQ218" s="6">
        <v>107.43302812217929</v>
      </c>
      <c r="AR218" s="6">
        <v>419.98547531955433</v>
      </c>
      <c r="AS218" s="6">
        <v>30.829878999999998</v>
      </c>
      <c r="AT218" s="6">
        <v>487.74094102262808</v>
      </c>
      <c r="AU218" s="6">
        <v>392.27797670090439</v>
      </c>
    </row>
    <row r="219" spans="1:47" x14ac:dyDescent="0.35">
      <c r="A219" s="5">
        <v>46022</v>
      </c>
      <c r="B219" s="4" t="s">
        <v>324</v>
      </c>
      <c r="C219" s="4" t="s">
        <v>325</v>
      </c>
      <c r="D219" s="4" t="s">
        <v>111</v>
      </c>
      <c r="E219" s="6">
        <v>500</v>
      </c>
      <c r="F219" s="7">
        <v>0.3</v>
      </c>
      <c r="G219" s="6">
        <v>55</v>
      </c>
      <c r="H219" s="6">
        <v>0.82499999999999996</v>
      </c>
      <c r="I219" s="6">
        <v>100</v>
      </c>
      <c r="J219" s="6">
        <v>0.82499999999999996</v>
      </c>
      <c r="K219" s="8">
        <v>100</v>
      </c>
      <c r="L219" s="6">
        <v>261.43241590186</v>
      </c>
      <c r="M219" s="6">
        <v>296.13597090760669</v>
      </c>
      <c r="N219" s="6">
        <v>33.862594751766657</v>
      </c>
      <c r="O219" s="6">
        <v>240.32120985553331</v>
      </c>
      <c r="P219" s="6">
        <v>831.75219141676655</v>
      </c>
      <c r="Q219" s="6">
        <v>127.1411165976</v>
      </c>
      <c r="R219" s="6">
        <v>14.46874439915333</v>
      </c>
      <c r="S219" s="6">
        <v>89.856813439679996</v>
      </c>
      <c r="T219" s="6">
        <v>76.209923434073318</v>
      </c>
      <c r="U219" s="6">
        <v>307.67659787050661</v>
      </c>
      <c r="V219" s="6">
        <v>1139.428789287273</v>
      </c>
      <c r="W219" s="6">
        <v>10.23083110754143</v>
      </c>
      <c r="X219" s="6">
        <v>0</v>
      </c>
      <c r="Y219" s="6">
        <v>1.088621688E-15</v>
      </c>
      <c r="Z219" s="6">
        <v>1149.659620394815</v>
      </c>
      <c r="AA219" s="6">
        <v>25.83462720875049</v>
      </c>
      <c r="AB219" s="6">
        <v>1175.4942476035651</v>
      </c>
      <c r="AC219" s="6">
        <v>0</v>
      </c>
      <c r="AD219" s="6">
        <v>68.187633797359993</v>
      </c>
      <c r="AE219" s="6">
        <v>0</v>
      </c>
      <c r="AF219" s="6">
        <v>0</v>
      </c>
      <c r="AG219" s="6">
        <v>1243.681881400925</v>
      </c>
      <c r="AH219" s="6">
        <v>100.38876093348669</v>
      </c>
      <c r="AI219" s="6">
        <v>0</v>
      </c>
      <c r="AJ219" s="6">
        <v>42.212900398106662</v>
      </c>
      <c r="AK219" s="6">
        <v>1318.0959089351579</v>
      </c>
      <c r="AL219" s="6">
        <v>0</v>
      </c>
      <c r="AM219" s="6">
        <v>0</v>
      </c>
      <c r="AN219" s="6">
        <v>0</v>
      </c>
      <c r="AO219" s="6">
        <v>0</v>
      </c>
      <c r="AP219" s="6">
        <v>0</v>
      </c>
      <c r="AQ219" s="6">
        <v>1318.0959089351579</v>
      </c>
      <c r="AR219" s="6">
        <v>419.99999964779198</v>
      </c>
      <c r="AS219" s="6">
        <v>7.6390169999999999</v>
      </c>
      <c r="AT219" s="6">
        <v>-729.6596207470227</v>
      </c>
      <c r="AU219" s="6">
        <v>-755.49424795577318</v>
      </c>
    </row>
    <row r="220" spans="1:47" x14ac:dyDescent="0.35">
      <c r="A220" s="5">
        <v>46022</v>
      </c>
      <c r="B220" s="4" t="s">
        <v>776</v>
      </c>
      <c r="C220" s="4" t="s">
        <v>777</v>
      </c>
      <c r="D220" s="4" t="s">
        <v>105</v>
      </c>
      <c r="E220" s="6">
        <v>9959</v>
      </c>
      <c r="F220" s="7">
        <v>4.3799999999999999E-2</v>
      </c>
      <c r="G220" s="6">
        <v>44.06</v>
      </c>
      <c r="H220" s="6">
        <v>1.92</v>
      </c>
      <c r="I220" s="6">
        <v>98.462010000000006</v>
      </c>
      <c r="J220" s="6">
        <v>1.890471</v>
      </c>
      <c r="K220" s="8">
        <v>1.5649999999999999</v>
      </c>
      <c r="L220" s="6">
        <v>12649.76248237624</v>
      </c>
      <c r="M220" s="6">
        <v>578.68400570951383</v>
      </c>
      <c r="N220" s="6">
        <v>456.53439038498658</v>
      </c>
      <c r="O220" s="6">
        <v>1732.4634295190051</v>
      </c>
      <c r="P220" s="6">
        <v>15417.44430798975</v>
      </c>
      <c r="Q220" s="6">
        <v>2021.905314489941</v>
      </c>
      <c r="R220" s="6">
        <v>443.89189516289599</v>
      </c>
      <c r="S220" s="6">
        <v>3170.095401984699</v>
      </c>
      <c r="T220" s="6">
        <v>250.45201679620811</v>
      </c>
      <c r="U220" s="6">
        <v>5886.3446284337442</v>
      </c>
      <c r="V220" s="6">
        <v>21303.788936423491</v>
      </c>
      <c r="W220" s="6">
        <v>0</v>
      </c>
      <c r="X220" s="6">
        <v>154.15872239945861</v>
      </c>
      <c r="Y220" s="6">
        <v>-26599.128280501729</v>
      </c>
      <c r="Z220" s="6">
        <v>-5141.1806216787754</v>
      </c>
      <c r="AA220" s="6">
        <v>149.5886627205121</v>
      </c>
      <c r="AB220" s="6">
        <v>-4991.5919589582627</v>
      </c>
      <c r="AC220" s="6">
        <v>0</v>
      </c>
      <c r="AD220" s="6">
        <v>3361.0723976445352</v>
      </c>
      <c r="AE220" s="6">
        <v>0</v>
      </c>
      <c r="AF220" s="6">
        <v>0</v>
      </c>
      <c r="AG220" s="6">
        <v>-1630.519561313728</v>
      </c>
      <c r="AH220" s="6">
        <v>656.53279612675419</v>
      </c>
      <c r="AI220" s="6">
        <v>49.101140294687013</v>
      </c>
      <c r="AJ220" s="6">
        <v>3065.7176347672212</v>
      </c>
      <c r="AK220" s="6">
        <v>-1220.2403877696011</v>
      </c>
      <c r="AL220" s="6">
        <v>484.20675456780691</v>
      </c>
      <c r="AM220" s="6">
        <v>0</v>
      </c>
      <c r="AN220" s="6">
        <v>0</v>
      </c>
      <c r="AO220" s="6">
        <v>0</v>
      </c>
      <c r="AP220" s="6">
        <v>0</v>
      </c>
      <c r="AQ220" s="6">
        <v>-736.0336332017938</v>
      </c>
      <c r="AR220" s="6">
        <v>420.00644248663463</v>
      </c>
      <c r="AS220" s="6">
        <v>1228.252322</v>
      </c>
      <c r="AT220" s="6">
        <v>5561.1870641654104</v>
      </c>
      <c r="AU220" s="6">
        <v>5411.5984014448977</v>
      </c>
    </row>
    <row r="221" spans="1:47" x14ac:dyDescent="0.35">
      <c r="A221" s="5">
        <v>46022</v>
      </c>
      <c r="B221" s="4" t="s">
        <v>382</v>
      </c>
      <c r="C221" s="4" t="s">
        <v>383</v>
      </c>
      <c r="D221" s="4" t="s">
        <v>344</v>
      </c>
      <c r="E221" s="6">
        <v>4693.59</v>
      </c>
      <c r="F221" s="7">
        <v>1.7</v>
      </c>
      <c r="G221" s="6">
        <v>70.180000000000007</v>
      </c>
      <c r="H221" s="6">
        <v>56</v>
      </c>
      <c r="I221" s="6">
        <v>95.160957999999994</v>
      </c>
      <c r="J221" s="6">
        <v>53.290135999999997</v>
      </c>
      <c r="K221" s="8">
        <v>72.364999999999995</v>
      </c>
      <c r="L221" s="6">
        <v>55.659520466707711</v>
      </c>
      <c r="M221" s="6">
        <v>94.186755619970015</v>
      </c>
      <c r="N221" s="6">
        <v>4.7432311300042311</v>
      </c>
      <c r="O221" s="6">
        <v>9.6166055610304824</v>
      </c>
      <c r="P221" s="6">
        <v>164.20611277771241</v>
      </c>
      <c r="Q221" s="6">
        <v>22.75206209814446</v>
      </c>
      <c r="R221" s="6">
        <v>11.865161078716129</v>
      </c>
      <c r="S221" s="6">
        <v>25.683022992001931</v>
      </c>
      <c r="T221" s="6">
        <v>21.60616103942499</v>
      </c>
      <c r="U221" s="6">
        <v>81.906407208287504</v>
      </c>
      <c r="V221" s="6">
        <v>246.11251998599991</v>
      </c>
      <c r="W221" s="6">
        <v>50.076401716596301</v>
      </c>
      <c r="X221" s="6">
        <v>27.772056823597371</v>
      </c>
      <c r="Y221" s="6">
        <v>-128.07378407535049</v>
      </c>
      <c r="Z221" s="6">
        <v>195.88719445084311</v>
      </c>
      <c r="AA221" s="6">
        <v>0</v>
      </c>
      <c r="AB221" s="6">
        <v>195.88719445084311</v>
      </c>
      <c r="AC221" s="6">
        <v>0</v>
      </c>
      <c r="AD221" s="6">
        <v>76.64711729985072</v>
      </c>
      <c r="AE221" s="6">
        <v>0</v>
      </c>
      <c r="AF221" s="6">
        <v>0</v>
      </c>
      <c r="AG221" s="6">
        <v>272.5343117506938</v>
      </c>
      <c r="AH221" s="6">
        <v>6.8766328378710293</v>
      </c>
      <c r="AI221" s="6">
        <v>0</v>
      </c>
      <c r="AJ221" s="6">
        <v>12.45975887835422</v>
      </c>
      <c r="AK221" s="6">
        <v>215.22358616706831</v>
      </c>
      <c r="AL221" s="6">
        <v>0</v>
      </c>
      <c r="AM221" s="6">
        <v>0</v>
      </c>
      <c r="AN221" s="6">
        <v>0</v>
      </c>
      <c r="AO221" s="6">
        <v>0</v>
      </c>
      <c r="AP221" s="6">
        <v>0</v>
      </c>
      <c r="AQ221" s="6">
        <v>215.22358616706831</v>
      </c>
      <c r="AR221" s="6">
        <v>419.99971591798521</v>
      </c>
      <c r="AS221" s="6">
        <v>715.13547100000005</v>
      </c>
      <c r="AT221" s="6">
        <v>224.11252146714219</v>
      </c>
      <c r="AU221" s="6">
        <v>224.11252146714219</v>
      </c>
    </row>
    <row r="222" spans="1:47" x14ac:dyDescent="0.35">
      <c r="A222" s="5">
        <v>46022</v>
      </c>
      <c r="B222" s="4" t="s">
        <v>356</v>
      </c>
      <c r="C222" s="4" t="s">
        <v>357</v>
      </c>
      <c r="D222" s="4" t="s">
        <v>213</v>
      </c>
      <c r="E222" s="6">
        <v>8200</v>
      </c>
      <c r="F222" s="7">
        <v>1.486</v>
      </c>
      <c r="G222" s="6">
        <v>85</v>
      </c>
      <c r="H222" s="6">
        <v>103.574</v>
      </c>
      <c r="I222" s="6">
        <v>100</v>
      </c>
      <c r="J222" s="6">
        <v>103.5742</v>
      </c>
      <c r="K222" s="8">
        <v>69.897000000000006</v>
      </c>
      <c r="L222" s="6">
        <v>1.7749930225773889</v>
      </c>
      <c r="M222" s="6">
        <v>0.2995340003301401</v>
      </c>
      <c r="N222" s="6">
        <v>3.1239589909026999</v>
      </c>
      <c r="O222" s="6">
        <v>0.22068053456765099</v>
      </c>
      <c r="P222" s="6">
        <v>5.4191665483778797</v>
      </c>
      <c r="Q222" s="6">
        <v>1.8917936862956219</v>
      </c>
      <c r="R222" s="6">
        <v>14.659673747676591</v>
      </c>
      <c r="S222" s="6">
        <v>29.88100696368593</v>
      </c>
      <c r="T222" s="6">
        <v>2.0864782176455541</v>
      </c>
      <c r="U222" s="6">
        <v>48.518952615303689</v>
      </c>
      <c r="V222" s="6">
        <v>53.93811916368157</v>
      </c>
      <c r="W222" s="6">
        <v>8.2435127989204755</v>
      </c>
      <c r="X222" s="6">
        <v>0</v>
      </c>
      <c r="Y222" s="6">
        <v>-177.65322424106569</v>
      </c>
      <c r="Z222" s="6">
        <v>-115.4715922784637</v>
      </c>
      <c r="AA222" s="6">
        <v>42.325161782425461</v>
      </c>
      <c r="AB222" s="6">
        <v>-73.146430496038235</v>
      </c>
      <c r="AC222" s="6">
        <v>0</v>
      </c>
      <c r="AD222" s="6">
        <v>26.9151786546024</v>
      </c>
      <c r="AE222" s="6">
        <v>0</v>
      </c>
      <c r="AF222" s="6">
        <v>0</v>
      </c>
      <c r="AG222" s="6">
        <v>-46.231251841435828</v>
      </c>
      <c r="AH222" s="6">
        <v>12.034856692295859</v>
      </c>
      <c r="AI222" s="6">
        <v>0</v>
      </c>
      <c r="AJ222" s="6">
        <v>5.3938133528098318</v>
      </c>
      <c r="AK222" s="6">
        <v>-55.717760450932538</v>
      </c>
      <c r="AL222" s="6">
        <v>0</v>
      </c>
      <c r="AM222" s="6">
        <v>0</v>
      </c>
      <c r="AN222" s="6">
        <v>0</v>
      </c>
      <c r="AO222" s="6">
        <v>0</v>
      </c>
      <c r="AP222" s="6">
        <v>0</v>
      </c>
      <c r="AQ222" s="6">
        <v>-55.717760450932538</v>
      </c>
      <c r="AR222" s="6">
        <v>419.99999964779192</v>
      </c>
      <c r="AS222" s="6">
        <v>1373.7575240000001</v>
      </c>
      <c r="AT222" s="6">
        <v>535.47159192625566</v>
      </c>
      <c r="AU222" s="6">
        <v>493.14643014383012</v>
      </c>
    </row>
    <row r="223" spans="1:47" x14ac:dyDescent="0.35">
      <c r="A223" s="5">
        <v>46022</v>
      </c>
      <c r="B223" s="4" t="s">
        <v>778</v>
      </c>
      <c r="C223" s="4" t="s">
        <v>779</v>
      </c>
      <c r="D223" s="4" t="s">
        <v>79</v>
      </c>
      <c r="E223" s="6">
        <v>1095.9605650000001</v>
      </c>
      <c r="F223" s="7">
        <v>0.57999999999999996</v>
      </c>
      <c r="G223" s="6">
        <v>57.5</v>
      </c>
      <c r="H223" s="6">
        <v>3.6549999999999998</v>
      </c>
      <c r="I223" s="6">
        <v>100</v>
      </c>
      <c r="J223" s="6">
        <v>3.6550280000000002</v>
      </c>
      <c r="K223" s="8">
        <v>100</v>
      </c>
      <c r="L223" s="6">
        <v>0</v>
      </c>
      <c r="M223" s="6">
        <v>0</v>
      </c>
      <c r="N223" s="6">
        <v>0</v>
      </c>
      <c r="O223" s="6">
        <v>0</v>
      </c>
      <c r="P223" s="6">
        <v>0</v>
      </c>
      <c r="Q223" s="6">
        <v>156.4670011835492</v>
      </c>
      <c r="R223" s="6">
        <v>19.18336913646872</v>
      </c>
      <c r="S223" s="6">
        <v>40.265420421344842</v>
      </c>
      <c r="T223" s="6">
        <v>88.453584088094345</v>
      </c>
      <c r="U223" s="6">
        <v>304.36937482945712</v>
      </c>
      <c r="V223" s="6">
        <v>304.36937482945712</v>
      </c>
      <c r="W223" s="6">
        <v>3.628711161391923</v>
      </c>
      <c r="X223" s="6">
        <v>0</v>
      </c>
      <c r="Y223" s="6">
        <v>0</v>
      </c>
      <c r="Z223" s="6">
        <v>307.99808599084901</v>
      </c>
      <c r="AA223" s="6">
        <v>10.49987964841722</v>
      </c>
      <c r="AB223" s="6">
        <v>318.49796563926623</v>
      </c>
      <c r="AC223" s="6">
        <v>0</v>
      </c>
      <c r="AD223" s="6">
        <v>33.194138852146658</v>
      </c>
      <c r="AE223" s="6">
        <v>0</v>
      </c>
      <c r="AF223" s="6">
        <v>0</v>
      </c>
      <c r="AG223" s="6">
        <v>351.69210449141292</v>
      </c>
      <c r="AH223" s="6">
        <v>26.106780933551871</v>
      </c>
      <c r="AI223" s="6">
        <v>0</v>
      </c>
      <c r="AJ223" s="6">
        <v>33.194138852146658</v>
      </c>
      <c r="AK223" s="6">
        <v>377.79888542496468</v>
      </c>
      <c r="AL223" s="6">
        <v>0</v>
      </c>
      <c r="AM223" s="6">
        <v>0</v>
      </c>
      <c r="AN223" s="6">
        <v>0</v>
      </c>
      <c r="AO223" s="6">
        <v>0</v>
      </c>
      <c r="AP223" s="6">
        <v>0</v>
      </c>
      <c r="AQ223" s="6">
        <v>377.79888542496468</v>
      </c>
      <c r="AR223" s="6">
        <v>419.99678216218302</v>
      </c>
      <c r="AS223" s="6">
        <v>33.843162</v>
      </c>
      <c r="AT223" s="6">
        <v>111.998696171334</v>
      </c>
      <c r="AU223" s="6">
        <v>101.4988165229168</v>
      </c>
    </row>
    <row r="224" spans="1:47" x14ac:dyDescent="0.35">
      <c r="A224" s="5">
        <v>46022</v>
      </c>
      <c r="B224" s="4" t="s">
        <v>414</v>
      </c>
      <c r="C224" s="4" t="s">
        <v>415</v>
      </c>
      <c r="D224" s="4" t="s">
        <v>111</v>
      </c>
      <c r="E224" s="6">
        <v>2000</v>
      </c>
      <c r="F224" s="7">
        <v>0.81</v>
      </c>
      <c r="G224" s="6">
        <v>80</v>
      </c>
      <c r="H224" s="6">
        <v>12.96</v>
      </c>
      <c r="I224" s="6">
        <v>100</v>
      </c>
      <c r="J224" s="6">
        <v>12.96</v>
      </c>
      <c r="K224" s="8">
        <v>100</v>
      </c>
      <c r="L224" s="6">
        <v>128.08002353126511</v>
      </c>
      <c r="M224" s="6">
        <v>33.249391702984717</v>
      </c>
      <c r="N224" s="6">
        <v>22.200238563779621</v>
      </c>
      <c r="O224" s="6">
        <v>77.661418636261558</v>
      </c>
      <c r="P224" s="6">
        <v>261.19107243429102</v>
      </c>
      <c r="Q224" s="6">
        <v>8.0576064608212938</v>
      </c>
      <c r="R224" s="6">
        <v>69.944888438104144</v>
      </c>
      <c r="S224" s="6">
        <v>81.124498382860011</v>
      </c>
      <c r="T224" s="6">
        <v>24.297830279621749</v>
      </c>
      <c r="U224" s="6">
        <v>183.42482356140721</v>
      </c>
      <c r="V224" s="6">
        <v>444.61589599569822</v>
      </c>
      <c r="W224" s="6">
        <v>5.987036089165823</v>
      </c>
      <c r="X224" s="6">
        <v>0</v>
      </c>
      <c r="Y224" s="6">
        <v>0</v>
      </c>
      <c r="Z224" s="6">
        <v>450.60293208486399</v>
      </c>
      <c r="AA224" s="6">
        <v>0</v>
      </c>
      <c r="AB224" s="6">
        <v>450.60293208486399</v>
      </c>
      <c r="AC224" s="6">
        <v>0</v>
      </c>
      <c r="AD224" s="6">
        <v>57.839222070793973</v>
      </c>
      <c r="AE224" s="6">
        <v>0</v>
      </c>
      <c r="AF224" s="6">
        <v>0</v>
      </c>
      <c r="AG224" s="6">
        <v>508.44215415565799</v>
      </c>
      <c r="AH224" s="6">
        <v>33.654810883318973</v>
      </c>
      <c r="AI224" s="6">
        <v>0</v>
      </c>
      <c r="AJ224" s="6">
        <v>4.4538150811712951</v>
      </c>
      <c r="AK224" s="6">
        <v>488.71155804935432</v>
      </c>
      <c r="AL224" s="6">
        <v>0</v>
      </c>
      <c r="AM224" s="6">
        <v>0</v>
      </c>
      <c r="AN224" s="6">
        <v>0</v>
      </c>
      <c r="AO224" s="6">
        <v>0</v>
      </c>
      <c r="AP224" s="6">
        <v>0</v>
      </c>
      <c r="AQ224" s="6">
        <v>488.71155804935432</v>
      </c>
      <c r="AR224" s="6">
        <v>419.99999964779192</v>
      </c>
      <c r="AS224" s="6">
        <v>120.00201800000001</v>
      </c>
      <c r="AT224" s="6">
        <v>-30.602932437072109</v>
      </c>
      <c r="AU224" s="6">
        <v>-30.602932437072109</v>
      </c>
    </row>
    <row r="225" spans="1:47" x14ac:dyDescent="0.35">
      <c r="A225" s="5">
        <v>46022</v>
      </c>
      <c r="B225" s="4" t="s">
        <v>585</v>
      </c>
      <c r="C225" s="4" t="s">
        <v>586</v>
      </c>
      <c r="D225" s="4" t="s">
        <v>533</v>
      </c>
      <c r="E225" s="6">
        <v>2780</v>
      </c>
      <c r="F225" s="7">
        <v>0.16</v>
      </c>
      <c r="G225" s="6">
        <v>60</v>
      </c>
      <c r="H225" s="6">
        <v>2.669</v>
      </c>
      <c r="I225" s="6">
        <v>90</v>
      </c>
      <c r="J225" s="6">
        <v>2.4019200000000001</v>
      </c>
      <c r="K225" s="8">
        <v>5.4850000000000003</v>
      </c>
      <c r="L225" s="6">
        <v>1255.354525841816</v>
      </c>
      <c r="M225" s="6">
        <v>236.50190673742819</v>
      </c>
      <c r="N225" s="6">
        <v>646.16485318614923</v>
      </c>
      <c r="O225" s="6">
        <v>1420.2196551008631</v>
      </c>
      <c r="P225" s="6">
        <v>3558.2409408662561</v>
      </c>
      <c r="Q225" s="6">
        <v>46.030805703361111</v>
      </c>
      <c r="R225" s="6">
        <v>126.10576624078119</v>
      </c>
      <c r="S225" s="6">
        <v>1171.3501114028029</v>
      </c>
      <c r="T225" s="6">
        <v>47.383760444943277</v>
      </c>
      <c r="U225" s="6">
        <v>1390.8704437918891</v>
      </c>
      <c r="V225" s="6">
        <v>4949.1113846581447</v>
      </c>
      <c r="W225" s="6">
        <v>66.933049591060424</v>
      </c>
      <c r="X225" s="6">
        <v>105.07620905758731</v>
      </c>
      <c r="Y225" s="6">
        <v>-5863.4918676167572</v>
      </c>
      <c r="Z225" s="6">
        <v>-742.37122430996442</v>
      </c>
      <c r="AA225" s="6">
        <v>256.9592326369667</v>
      </c>
      <c r="AB225" s="6">
        <v>-485.41199167299771</v>
      </c>
      <c r="AC225" s="6">
        <v>0</v>
      </c>
      <c r="AD225" s="6">
        <v>1069.255603762143</v>
      </c>
      <c r="AE225" s="6">
        <v>0</v>
      </c>
      <c r="AF225" s="6">
        <v>0</v>
      </c>
      <c r="AG225" s="6">
        <v>583.84361208914561</v>
      </c>
      <c r="AH225" s="6">
        <v>125.45194223893169</v>
      </c>
      <c r="AI225" s="6">
        <v>0</v>
      </c>
      <c r="AJ225" s="6">
        <v>1022.442876211701</v>
      </c>
      <c r="AK225" s="6">
        <v>662.48282677763518</v>
      </c>
      <c r="AL225" s="6">
        <v>0</v>
      </c>
      <c r="AM225" s="6">
        <v>0</v>
      </c>
      <c r="AN225" s="6">
        <v>0</v>
      </c>
      <c r="AO225" s="6">
        <v>0</v>
      </c>
      <c r="AP225" s="6">
        <v>0</v>
      </c>
      <c r="AQ225" s="6">
        <v>662.48282677763518</v>
      </c>
      <c r="AR225" s="6">
        <v>419.9965024455567</v>
      </c>
      <c r="AS225" s="6">
        <v>359.52989200000002</v>
      </c>
      <c r="AT225" s="6">
        <v>1162.3677267555211</v>
      </c>
      <c r="AU225" s="6">
        <v>905.40849411855436</v>
      </c>
    </row>
    <row r="226" spans="1:47" x14ac:dyDescent="0.35">
      <c r="A226" s="5">
        <v>46022</v>
      </c>
      <c r="B226" s="4" t="s">
        <v>416</v>
      </c>
      <c r="C226" s="4" t="s">
        <v>417</v>
      </c>
      <c r="D226" s="4" t="s">
        <v>213</v>
      </c>
      <c r="E226" s="6">
        <v>700</v>
      </c>
      <c r="F226" s="7">
        <v>4.66</v>
      </c>
      <c r="G226" s="6">
        <v>93.5</v>
      </c>
      <c r="H226" s="6">
        <v>30.5</v>
      </c>
      <c r="I226" s="6">
        <v>95.841665000000006</v>
      </c>
      <c r="J226" s="6">
        <v>29.23142</v>
      </c>
      <c r="K226" s="8">
        <v>100</v>
      </c>
      <c r="L226" s="6">
        <v>24.249642207511641</v>
      </c>
      <c r="M226" s="6">
        <v>2.6253786881385581</v>
      </c>
      <c r="N226" s="6">
        <v>3.5839950145135582</v>
      </c>
      <c r="O226" s="6">
        <v>5.9451280941975586</v>
      </c>
      <c r="P226" s="6">
        <v>36.404144004361321</v>
      </c>
      <c r="Q226" s="6">
        <v>3.6362276033078511</v>
      </c>
      <c r="R226" s="6">
        <v>0.96063233246400959</v>
      </c>
      <c r="S226" s="6">
        <v>5.8694235896826772</v>
      </c>
      <c r="T226" s="6">
        <v>1.7597419529377121</v>
      </c>
      <c r="U226" s="6">
        <v>12.22602547839225</v>
      </c>
      <c r="V226" s="6">
        <v>48.630169482753573</v>
      </c>
      <c r="W226" s="6">
        <v>29.22100386935378</v>
      </c>
      <c r="X226" s="6">
        <v>-0.80852695117026518</v>
      </c>
      <c r="Y226" s="6">
        <v>-4.2184090409999998E-16</v>
      </c>
      <c r="Z226" s="6">
        <v>77.042646400937073</v>
      </c>
      <c r="AA226" s="6">
        <v>10.50000259124962</v>
      </c>
      <c r="AB226" s="6">
        <v>87.542648992186713</v>
      </c>
      <c r="AC226" s="6">
        <v>1.9551783190826859</v>
      </c>
      <c r="AD226" s="6">
        <v>65.090058662617139</v>
      </c>
      <c r="AE226" s="6">
        <v>0</v>
      </c>
      <c r="AF226" s="6">
        <v>0</v>
      </c>
      <c r="AG226" s="6">
        <v>154.5878859738865</v>
      </c>
      <c r="AH226" s="6">
        <v>11.809691979547139</v>
      </c>
      <c r="AI226" s="6">
        <v>0</v>
      </c>
      <c r="AJ226" s="6">
        <v>20.857174288715068</v>
      </c>
      <c r="AK226" s="6">
        <v>122.1646935795316</v>
      </c>
      <c r="AL226" s="6">
        <v>0</v>
      </c>
      <c r="AM226" s="6">
        <v>0</v>
      </c>
      <c r="AN226" s="6">
        <v>0</v>
      </c>
      <c r="AO226" s="6">
        <v>0</v>
      </c>
      <c r="AP226" s="6">
        <v>0</v>
      </c>
      <c r="AQ226" s="6">
        <v>122.1646935795316</v>
      </c>
      <c r="AR226" s="6">
        <v>419.99971228576868</v>
      </c>
      <c r="AS226" s="6">
        <v>270.66566399999999</v>
      </c>
      <c r="AT226" s="6">
        <v>342.95706588483159</v>
      </c>
      <c r="AU226" s="6">
        <v>332.457063293582</v>
      </c>
    </row>
    <row r="227" spans="1:47" x14ac:dyDescent="0.35">
      <c r="A227" s="5">
        <v>46022</v>
      </c>
      <c r="B227" s="4" t="s">
        <v>358</v>
      </c>
      <c r="C227" s="4" t="s">
        <v>359</v>
      </c>
      <c r="D227" s="4" t="s">
        <v>58</v>
      </c>
      <c r="E227" s="6">
        <v>18500</v>
      </c>
      <c r="F227" s="7">
        <v>0.86</v>
      </c>
      <c r="G227" s="6">
        <v>83.97</v>
      </c>
      <c r="H227" s="6">
        <v>133.6</v>
      </c>
      <c r="I227" s="6">
        <v>97</v>
      </c>
      <c r="J227" s="6">
        <v>129.59200000000001</v>
      </c>
      <c r="K227" s="8">
        <v>83.576999999999998</v>
      </c>
      <c r="L227" s="6">
        <v>28.787472242490271</v>
      </c>
      <c r="M227" s="6">
        <v>13.803254353793781</v>
      </c>
      <c r="N227" s="6">
        <v>2.0141133001279941</v>
      </c>
      <c r="O227" s="6">
        <v>13.34170857662088</v>
      </c>
      <c r="P227" s="6">
        <v>57.946548473032927</v>
      </c>
      <c r="Q227" s="6">
        <v>14.122447338164299</v>
      </c>
      <c r="R227" s="6">
        <v>16.178753633102168</v>
      </c>
      <c r="S227" s="6">
        <v>14.17807008607971</v>
      </c>
      <c r="T227" s="6">
        <v>12.03151118806325</v>
      </c>
      <c r="U227" s="6">
        <v>56.510782245409423</v>
      </c>
      <c r="V227" s="6">
        <v>114.45733071844241</v>
      </c>
      <c r="W227" s="6">
        <v>17.063751427102179</v>
      </c>
      <c r="X227" s="6">
        <v>16.565525000000001</v>
      </c>
      <c r="Y227" s="6">
        <v>-76.298514805704656</v>
      </c>
      <c r="Z227" s="6">
        <v>71.788092339839878</v>
      </c>
      <c r="AA227" s="6">
        <v>26.54172749507644</v>
      </c>
      <c r="AB227" s="6">
        <v>98.329819834916321</v>
      </c>
      <c r="AC227" s="6">
        <v>0</v>
      </c>
      <c r="AD227" s="6">
        <v>49.18580379408457</v>
      </c>
      <c r="AE227" s="6">
        <v>0</v>
      </c>
      <c r="AF227" s="6">
        <v>0</v>
      </c>
      <c r="AG227" s="6">
        <v>147.51562362900091</v>
      </c>
      <c r="AH227" s="6">
        <v>15.442182830060631</v>
      </c>
      <c r="AI227" s="6">
        <v>0</v>
      </c>
      <c r="AJ227" s="6">
        <v>14.42220149957298</v>
      </c>
      <c r="AK227" s="6">
        <v>128.19420416454989</v>
      </c>
      <c r="AL227" s="6">
        <v>0</v>
      </c>
      <c r="AM227" s="6">
        <v>0</v>
      </c>
      <c r="AN227" s="6">
        <v>0</v>
      </c>
      <c r="AO227" s="6">
        <v>0</v>
      </c>
      <c r="AP227" s="6">
        <v>49.142995646649318</v>
      </c>
      <c r="AQ227" s="6">
        <v>177.33719981119921</v>
      </c>
      <c r="AR227" s="6">
        <v>419.99999964779192</v>
      </c>
      <c r="AS227" s="6">
        <v>1417.9320760000001</v>
      </c>
      <c r="AT227" s="6">
        <v>348.211907307952</v>
      </c>
      <c r="AU227" s="6">
        <v>321.67017981287557</v>
      </c>
    </row>
    <row r="228" spans="1:47" x14ac:dyDescent="0.35">
      <c r="A228" s="5">
        <v>46022</v>
      </c>
      <c r="B228" s="4" t="s">
        <v>780</v>
      </c>
      <c r="C228" s="4" t="s">
        <v>781</v>
      </c>
      <c r="D228" s="4" t="s">
        <v>782</v>
      </c>
      <c r="E228" s="6">
        <v>40736.816030000002</v>
      </c>
      <c r="F228" s="7">
        <v>0.53510000000000002</v>
      </c>
      <c r="G228" s="6">
        <v>90.83</v>
      </c>
      <c r="H228" s="6">
        <v>198</v>
      </c>
      <c r="I228" s="6">
        <v>97</v>
      </c>
      <c r="J228" s="6">
        <v>192.06</v>
      </c>
      <c r="K228" s="8">
        <v>84.869</v>
      </c>
      <c r="L228" s="6">
        <v>5.8073125692239458</v>
      </c>
      <c r="M228" s="6">
        <v>4.191144948954892</v>
      </c>
      <c r="N228" s="6">
        <v>1.301794949138229</v>
      </c>
      <c r="O228" s="6">
        <v>23.119985665987691</v>
      </c>
      <c r="P228" s="6">
        <v>34.420238133304757</v>
      </c>
      <c r="Q228" s="6">
        <v>5.2651168826573906</v>
      </c>
      <c r="R228" s="6">
        <v>16.024674524489321</v>
      </c>
      <c r="S228" s="6">
        <v>19.667264369090368</v>
      </c>
      <c r="T228" s="6">
        <v>14.03384964631916</v>
      </c>
      <c r="U228" s="6">
        <v>54.990905422556239</v>
      </c>
      <c r="V228" s="6">
        <v>89.411143555860988</v>
      </c>
      <c r="W228" s="6">
        <v>37.045376493078798</v>
      </c>
      <c r="X228" s="6">
        <v>22.963871999999999</v>
      </c>
      <c r="Y228" s="6">
        <v>-72.726988048958617</v>
      </c>
      <c r="Z228" s="6">
        <v>76.693403999981172</v>
      </c>
      <c r="AA228" s="6">
        <v>29.5101703424926</v>
      </c>
      <c r="AB228" s="6">
        <v>106.2035743424738</v>
      </c>
      <c r="AC228" s="6">
        <v>0</v>
      </c>
      <c r="AD228" s="6">
        <v>38.492420599748549</v>
      </c>
      <c r="AE228" s="6">
        <v>0</v>
      </c>
      <c r="AF228" s="6">
        <v>0</v>
      </c>
      <c r="AG228" s="6">
        <v>144.69599494222231</v>
      </c>
      <c r="AH228" s="6">
        <v>3.2340862451330952</v>
      </c>
      <c r="AI228" s="6">
        <v>0</v>
      </c>
      <c r="AJ228" s="6">
        <v>13.411675381740899</v>
      </c>
      <c r="AK228" s="6">
        <v>122.84933596934781</v>
      </c>
      <c r="AL228" s="6">
        <v>45.938933234298688</v>
      </c>
      <c r="AM228" s="6">
        <v>0</v>
      </c>
      <c r="AN228" s="6">
        <v>0</v>
      </c>
      <c r="AO228" s="6">
        <v>0</v>
      </c>
      <c r="AP228" s="6">
        <v>0</v>
      </c>
      <c r="AQ228" s="6">
        <v>168.78826920364651</v>
      </c>
      <c r="AR228" s="6">
        <v>419.99999964779192</v>
      </c>
      <c r="AS228" s="6">
        <v>2087.3505530000002</v>
      </c>
      <c r="AT228" s="6">
        <v>343.30659564781081</v>
      </c>
      <c r="AU228" s="6">
        <v>313.79642530531822</v>
      </c>
    </row>
    <row r="229" spans="1:47" x14ac:dyDescent="0.35">
      <c r="A229" s="5">
        <v>46022</v>
      </c>
      <c r="B229" s="4" t="s">
        <v>587</v>
      </c>
      <c r="C229" s="4" t="s">
        <v>588</v>
      </c>
      <c r="D229" s="4" t="s">
        <v>79</v>
      </c>
      <c r="E229" s="6">
        <v>15500</v>
      </c>
      <c r="F229" s="7">
        <v>0.40899999999999997</v>
      </c>
      <c r="G229" s="6">
        <v>83</v>
      </c>
      <c r="H229" s="6">
        <v>52.618000000000002</v>
      </c>
      <c r="I229" s="6">
        <v>97</v>
      </c>
      <c r="J229" s="6">
        <v>51.039313999999997</v>
      </c>
      <c r="K229" s="8">
        <v>93.688999999999993</v>
      </c>
      <c r="L229" s="6">
        <v>29.197708932775011</v>
      </c>
      <c r="M229" s="6">
        <v>10.1451042966633</v>
      </c>
      <c r="N229" s="6">
        <v>1.7500489152794549</v>
      </c>
      <c r="O229" s="6">
        <v>42.791268465771687</v>
      </c>
      <c r="P229" s="6">
        <v>83.88413061048945</v>
      </c>
      <c r="Q229" s="6">
        <v>38.22308221935274</v>
      </c>
      <c r="R229" s="6">
        <v>34.023763774526557</v>
      </c>
      <c r="S229" s="6">
        <v>37.708061330341224</v>
      </c>
      <c r="T229" s="6">
        <v>85.247018481943144</v>
      </c>
      <c r="U229" s="6">
        <v>195.2019258061637</v>
      </c>
      <c r="V229" s="6">
        <v>279.08605641665309</v>
      </c>
      <c r="W229" s="6">
        <v>10.786782149470501</v>
      </c>
      <c r="X229" s="6">
        <v>23.587361662606991</v>
      </c>
      <c r="Y229" s="6">
        <v>-27.753289081300061</v>
      </c>
      <c r="Z229" s="6">
        <v>285.7069111474305</v>
      </c>
      <c r="AA229" s="6">
        <v>11.219428705674041</v>
      </c>
      <c r="AB229" s="6">
        <v>296.92633985310459</v>
      </c>
      <c r="AC229" s="6">
        <v>0</v>
      </c>
      <c r="AD229" s="6">
        <v>38.39827307381001</v>
      </c>
      <c r="AE229" s="6">
        <v>0</v>
      </c>
      <c r="AF229" s="6">
        <v>0</v>
      </c>
      <c r="AG229" s="6">
        <v>335.3246129269146</v>
      </c>
      <c r="AH229" s="6">
        <v>13.255024351431819</v>
      </c>
      <c r="AI229" s="6">
        <v>0</v>
      </c>
      <c r="AJ229" s="6">
        <v>37.996042145192909</v>
      </c>
      <c r="AK229" s="6">
        <v>348.17740634972932</v>
      </c>
      <c r="AL229" s="6">
        <v>0</v>
      </c>
      <c r="AM229" s="6">
        <v>0</v>
      </c>
      <c r="AN229" s="6">
        <v>0</v>
      </c>
      <c r="AO229" s="6">
        <v>0</v>
      </c>
      <c r="AP229" s="6">
        <v>0</v>
      </c>
      <c r="AQ229" s="6">
        <v>348.17740634972932</v>
      </c>
      <c r="AR229" s="6">
        <v>419.99988444248191</v>
      </c>
      <c r="AS229" s="6">
        <v>504.96874000000003</v>
      </c>
      <c r="AT229" s="6">
        <v>134.2929732950513</v>
      </c>
      <c r="AU229" s="6">
        <v>123.07354458937731</v>
      </c>
    </row>
    <row r="230" spans="1:47" x14ac:dyDescent="0.35">
      <c r="A230" s="5">
        <v>46022</v>
      </c>
      <c r="B230" s="4" t="s">
        <v>360</v>
      </c>
      <c r="C230" s="4" t="s">
        <v>361</v>
      </c>
      <c r="D230" s="4" t="s">
        <v>105</v>
      </c>
      <c r="E230" s="6">
        <v>2803.9772950000001</v>
      </c>
      <c r="F230" s="7">
        <v>0.05</v>
      </c>
      <c r="G230" s="6">
        <v>30</v>
      </c>
      <c r="H230" s="6">
        <v>0.42099999999999999</v>
      </c>
      <c r="I230" s="6">
        <v>100</v>
      </c>
      <c r="J230" s="6">
        <v>0.420597</v>
      </c>
      <c r="K230" s="8">
        <v>0.80300000000000005</v>
      </c>
      <c r="L230" s="6">
        <v>15623.834033196779</v>
      </c>
      <c r="M230" s="6">
        <v>389.4637098031547</v>
      </c>
      <c r="N230" s="6">
        <v>3731.0681600653961</v>
      </c>
      <c r="O230" s="6">
        <v>13463.96057738705</v>
      </c>
      <c r="P230" s="6">
        <v>33208.326480452379</v>
      </c>
      <c r="Q230" s="6">
        <v>1024.9667308051521</v>
      </c>
      <c r="R230" s="6">
        <v>1367.8340217958721</v>
      </c>
      <c r="S230" s="6">
        <v>6473.6038008031019</v>
      </c>
      <c r="T230" s="6">
        <v>1984.622043572276</v>
      </c>
      <c r="U230" s="6">
        <v>10851.0265969764</v>
      </c>
      <c r="V230" s="6">
        <v>44059.353077428786</v>
      </c>
      <c r="W230" s="6">
        <v>2.0022972543731972</v>
      </c>
      <c r="X230" s="6">
        <v>275.69861329248039</v>
      </c>
      <c r="Y230" s="6">
        <v>-48055.081650164917</v>
      </c>
      <c r="Z230" s="6">
        <v>-3718.027662189284</v>
      </c>
      <c r="AA230" s="6">
        <v>113.0919734917709</v>
      </c>
      <c r="AB230" s="6">
        <v>-3604.9356886975129</v>
      </c>
      <c r="AC230" s="6">
        <v>0</v>
      </c>
      <c r="AD230" s="6">
        <v>5825.9799238983778</v>
      </c>
      <c r="AE230" s="6">
        <v>0</v>
      </c>
      <c r="AF230" s="6">
        <v>0</v>
      </c>
      <c r="AG230" s="6">
        <v>2221.0442352008649</v>
      </c>
      <c r="AH230" s="6">
        <v>1298.609263488127</v>
      </c>
      <c r="AI230" s="6">
        <v>0</v>
      </c>
      <c r="AJ230" s="6">
        <v>3946.4479745599292</v>
      </c>
      <c r="AK230" s="6">
        <v>1640.121549350542</v>
      </c>
      <c r="AL230" s="6">
        <v>0</v>
      </c>
      <c r="AM230" s="6">
        <v>0</v>
      </c>
      <c r="AN230" s="6">
        <v>0</v>
      </c>
      <c r="AO230" s="6">
        <v>0</v>
      </c>
      <c r="AP230" s="6">
        <v>0</v>
      </c>
      <c r="AQ230" s="6">
        <v>1640.121549350542</v>
      </c>
      <c r="AR230" s="6">
        <v>420.00299538955647</v>
      </c>
      <c r="AS230" s="6">
        <v>465.29565300000002</v>
      </c>
      <c r="AT230" s="6">
        <v>4138.0306575788409</v>
      </c>
      <c r="AU230" s="6">
        <v>4024.9386840870702</v>
      </c>
    </row>
    <row r="231" spans="1:47" x14ac:dyDescent="0.35">
      <c r="A231" s="5">
        <v>46022</v>
      </c>
      <c r="B231" s="4" t="s">
        <v>589</v>
      </c>
      <c r="C231" s="4" t="s">
        <v>590</v>
      </c>
      <c r="D231" s="4" t="s">
        <v>105</v>
      </c>
      <c r="E231" s="6">
        <v>15835.12</v>
      </c>
      <c r="F231" s="7">
        <v>0.1</v>
      </c>
      <c r="G231" s="6">
        <v>70.099999999999994</v>
      </c>
      <c r="H231" s="6">
        <v>11.1</v>
      </c>
      <c r="I231" s="6">
        <v>100</v>
      </c>
      <c r="J231" s="6">
        <v>11.1</v>
      </c>
      <c r="K231" s="8">
        <v>7.5759999999999996</v>
      </c>
      <c r="L231" s="6">
        <v>446.97909797701772</v>
      </c>
      <c r="M231" s="6">
        <v>234.6739349906058</v>
      </c>
      <c r="N231" s="6">
        <v>1.807837678604874</v>
      </c>
      <c r="O231" s="6">
        <v>241.96572383201419</v>
      </c>
      <c r="P231" s="6">
        <v>925.42659447824258</v>
      </c>
      <c r="Q231" s="6">
        <v>166.9426602730357</v>
      </c>
      <c r="R231" s="6">
        <v>133.6783305106583</v>
      </c>
      <c r="S231" s="6">
        <v>210.05038082909979</v>
      </c>
      <c r="T231" s="6">
        <v>195.85007405223089</v>
      </c>
      <c r="U231" s="6">
        <v>706.52144566502477</v>
      </c>
      <c r="V231" s="6">
        <v>1631.948040143267</v>
      </c>
      <c r="W231" s="6">
        <v>30.683866016105419</v>
      </c>
      <c r="X231" s="6">
        <v>168.23362166173931</v>
      </c>
      <c r="Y231" s="6">
        <v>-4719.9132680389339</v>
      </c>
      <c r="Z231" s="6">
        <v>-2889.0477402178221</v>
      </c>
      <c r="AA231" s="6">
        <v>28.726147724355041</v>
      </c>
      <c r="AB231" s="6">
        <v>-2860.3215924934671</v>
      </c>
      <c r="AC231" s="6">
        <v>0</v>
      </c>
      <c r="AD231" s="6">
        <v>2043.115671320792</v>
      </c>
      <c r="AE231" s="6">
        <v>0</v>
      </c>
      <c r="AF231" s="6">
        <v>0</v>
      </c>
      <c r="AG231" s="6">
        <v>-817.20592117267483</v>
      </c>
      <c r="AH231" s="6">
        <v>150.6631266263505</v>
      </c>
      <c r="AI231" s="6">
        <v>0</v>
      </c>
      <c r="AJ231" s="6">
        <v>1847.9191573141591</v>
      </c>
      <c r="AK231" s="6">
        <v>-861.73930855295771</v>
      </c>
      <c r="AL231" s="6">
        <v>0</v>
      </c>
      <c r="AM231" s="6">
        <v>0</v>
      </c>
      <c r="AN231" s="6">
        <v>0</v>
      </c>
      <c r="AO231" s="6">
        <v>0</v>
      </c>
      <c r="AP231" s="6">
        <v>0</v>
      </c>
      <c r="AQ231" s="6">
        <v>-861.73930855295771</v>
      </c>
      <c r="AR231" s="6">
        <v>419.99999964779198</v>
      </c>
      <c r="AS231" s="6">
        <v>1697.897876</v>
      </c>
      <c r="AT231" s="6">
        <v>3309.0477398656139</v>
      </c>
      <c r="AU231" s="6">
        <v>3280.3215921412589</v>
      </c>
    </row>
    <row r="232" spans="1:47" x14ac:dyDescent="0.35">
      <c r="A232" s="5">
        <v>46022</v>
      </c>
      <c r="B232" s="4" t="s">
        <v>783</v>
      </c>
      <c r="C232" s="4" t="s">
        <v>784</v>
      </c>
      <c r="D232" s="4" t="s">
        <v>79</v>
      </c>
      <c r="E232" s="6">
        <v>48045.562858999998</v>
      </c>
      <c r="F232" s="7">
        <v>0.28870000000000001</v>
      </c>
      <c r="G232" s="6">
        <v>81.599999999999994</v>
      </c>
      <c r="H232" s="6">
        <v>113.18899999999999</v>
      </c>
      <c r="I232" s="6">
        <v>97</v>
      </c>
      <c r="J232" s="6">
        <v>109.793734</v>
      </c>
      <c r="K232" s="8">
        <v>91.046999999999997</v>
      </c>
      <c r="L232" s="6">
        <v>42.564017317962289</v>
      </c>
      <c r="M232" s="6">
        <v>21.4314031340868</v>
      </c>
      <c r="N232" s="6">
        <v>0.84336967418644182</v>
      </c>
      <c r="O232" s="6">
        <v>65.534641068078216</v>
      </c>
      <c r="P232" s="6">
        <v>130.37343119431381</v>
      </c>
      <c r="Q232" s="6">
        <v>50.612184412583353</v>
      </c>
      <c r="R232" s="6">
        <v>54.368910106650581</v>
      </c>
      <c r="S232" s="6">
        <v>76.6519203037724</v>
      </c>
      <c r="T232" s="6">
        <v>106.89284360251651</v>
      </c>
      <c r="U232" s="6">
        <v>288.52585842552281</v>
      </c>
      <c r="V232" s="6">
        <v>418.89928961983662</v>
      </c>
      <c r="W232" s="6">
        <v>5.3240039077665351</v>
      </c>
      <c r="X232" s="6">
        <v>8.6115923026281287</v>
      </c>
      <c r="Y232" s="6">
        <v>-40.133422388240312</v>
      </c>
      <c r="Z232" s="6">
        <v>392.70146344199088</v>
      </c>
      <c r="AA232" s="6">
        <v>11.505067454690369</v>
      </c>
      <c r="AB232" s="6">
        <v>404.20653089668127</v>
      </c>
      <c r="AC232" s="6">
        <v>0</v>
      </c>
      <c r="AD232" s="6">
        <v>63.769160221964803</v>
      </c>
      <c r="AE232" s="6">
        <v>0</v>
      </c>
      <c r="AF232" s="6">
        <v>0</v>
      </c>
      <c r="AG232" s="6">
        <v>467.97569111864613</v>
      </c>
      <c r="AH232" s="6">
        <v>15.953023472406549</v>
      </c>
      <c r="AI232" s="6">
        <v>0</v>
      </c>
      <c r="AJ232" s="6">
        <v>33.255013652134643</v>
      </c>
      <c r="AK232" s="6">
        <v>453.41456802122252</v>
      </c>
      <c r="AL232" s="6">
        <v>0</v>
      </c>
      <c r="AM232" s="6">
        <v>0</v>
      </c>
      <c r="AN232" s="6">
        <v>0</v>
      </c>
      <c r="AO232" s="6">
        <v>0</v>
      </c>
      <c r="AP232" s="6">
        <v>0</v>
      </c>
      <c r="AQ232" s="6">
        <v>453.41456802122252</v>
      </c>
      <c r="AR232" s="6">
        <v>419.99986958572492</v>
      </c>
      <c r="AS232" s="6">
        <v>1113.9609330000001</v>
      </c>
      <c r="AT232" s="6">
        <v>27.29840614373401</v>
      </c>
      <c r="AU232" s="6">
        <v>15.79333868904364</v>
      </c>
    </row>
    <row r="233" spans="1:47" x14ac:dyDescent="0.35">
      <c r="A233" s="5">
        <v>46022</v>
      </c>
      <c r="B233" s="4" t="s">
        <v>418</v>
      </c>
      <c r="C233" s="4" t="s">
        <v>419</v>
      </c>
      <c r="D233" s="4" t="s">
        <v>79</v>
      </c>
      <c r="E233" s="6">
        <v>179425.139131</v>
      </c>
      <c r="F233" s="7">
        <v>0.17649999999999999</v>
      </c>
      <c r="G233" s="6">
        <v>46.07</v>
      </c>
      <c r="H233" s="6">
        <v>145.89599999999999</v>
      </c>
      <c r="I233" s="6">
        <v>100</v>
      </c>
      <c r="J233" s="6">
        <v>145.89592999999999</v>
      </c>
      <c r="K233" s="8">
        <v>100</v>
      </c>
      <c r="L233" s="6">
        <v>64.935355359262886</v>
      </c>
      <c r="M233" s="6">
        <v>18.30167785826195</v>
      </c>
      <c r="N233" s="6">
        <v>3.6964944443426928</v>
      </c>
      <c r="O233" s="6">
        <v>131.8468974262189</v>
      </c>
      <c r="P233" s="6">
        <v>218.78042508808639</v>
      </c>
      <c r="Q233" s="6">
        <v>39.831491791369857</v>
      </c>
      <c r="R233" s="6">
        <v>54.157144025018972</v>
      </c>
      <c r="S233" s="6">
        <v>43.029058501460668</v>
      </c>
      <c r="T233" s="6">
        <v>30.551848732276049</v>
      </c>
      <c r="U233" s="6">
        <v>167.5695430501255</v>
      </c>
      <c r="V233" s="6">
        <v>386.34996813821198</v>
      </c>
      <c r="W233" s="6">
        <v>8.4500081259955415</v>
      </c>
      <c r="X233" s="6">
        <v>0</v>
      </c>
      <c r="Y233" s="6">
        <v>0</v>
      </c>
      <c r="Z233" s="6">
        <v>394.79997626420749</v>
      </c>
      <c r="AA233" s="6">
        <v>10.499496172182321</v>
      </c>
      <c r="AB233" s="6">
        <v>405.29947243638981</v>
      </c>
      <c r="AC233" s="6">
        <v>0</v>
      </c>
      <c r="AD233" s="6">
        <v>23.490939092472761</v>
      </c>
      <c r="AE233" s="6">
        <v>0</v>
      </c>
      <c r="AF233" s="6">
        <v>0</v>
      </c>
      <c r="AG233" s="6">
        <v>428.79041152886259</v>
      </c>
      <c r="AH233" s="6">
        <v>15.5571848352903</v>
      </c>
      <c r="AI233" s="6">
        <v>0</v>
      </c>
      <c r="AJ233" s="6">
        <v>22.137407949372609</v>
      </c>
      <c r="AK233" s="6">
        <v>442.99406522105272</v>
      </c>
      <c r="AL233" s="6">
        <v>0</v>
      </c>
      <c r="AM233" s="6">
        <v>0</v>
      </c>
      <c r="AN233" s="6">
        <v>0</v>
      </c>
      <c r="AO233" s="6">
        <v>0</v>
      </c>
      <c r="AP233" s="6">
        <v>0</v>
      </c>
      <c r="AQ233" s="6">
        <v>442.99406522105272</v>
      </c>
      <c r="AR233" s="6">
        <v>419.99991328486198</v>
      </c>
      <c r="AS233" s="6">
        <v>1350.9106850000001</v>
      </c>
      <c r="AT233" s="6">
        <v>25.19993702065446</v>
      </c>
      <c r="AU233" s="6">
        <v>14.700440848472139</v>
      </c>
    </row>
    <row r="234" spans="1:47" x14ac:dyDescent="0.35">
      <c r="A234" s="5">
        <v>46022</v>
      </c>
      <c r="B234" s="4" t="s">
        <v>362</v>
      </c>
      <c r="C234" s="4" t="s">
        <v>363</v>
      </c>
      <c r="D234" s="4" t="s">
        <v>105</v>
      </c>
      <c r="E234" s="6">
        <v>2430</v>
      </c>
      <c r="F234" s="7">
        <v>1.4999999999999999E-2</v>
      </c>
      <c r="G234" s="6">
        <v>50</v>
      </c>
      <c r="H234" s="6">
        <v>0.182</v>
      </c>
      <c r="I234" s="6">
        <v>100</v>
      </c>
      <c r="J234" s="6">
        <v>0.18225</v>
      </c>
      <c r="K234" s="8">
        <v>0.40500000000000003</v>
      </c>
      <c r="L234" s="6">
        <v>15615.810611823979</v>
      </c>
      <c r="M234" s="6">
        <v>479.07518934659998</v>
      </c>
      <c r="N234" s="6">
        <v>12205.81989860053</v>
      </c>
      <c r="O234" s="6">
        <v>10420.5226655684</v>
      </c>
      <c r="P234" s="6">
        <v>38721.228365339521</v>
      </c>
      <c r="Q234" s="6">
        <v>1025.4646959808531</v>
      </c>
      <c r="R234" s="6">
        <v>1633.2814957299861</v>
      </c>
      <c r="S234" s="6">
        <v>11584.128615437839</v>
      </c>
      <c r="T234" s="6">
        <v>-107.8848284401066</v>
      </c>
      <c r="U234" s="6">
        <v>14134.989978708571</v>
      </c>
      <c r="V234" s="6">
        <v>52856.218344048088</v>
      </c>
      <c r="W234" s="6">
        <v>5.6685456622594801</v>
      </c>
      <c r="X234" s="6">
        <v>534.58573940448036</v>
      </c>
      <c r="Y234" s="6">
        <v>-99169.561385001682</v>
      </c>
      <c r="Z234" s="6">
        <v>-45773.088755886849</v>
      </c>
      <c r="AA234" s="6">
        <v>2978.7594393494469</v>
      </c>
      <c r="AB234" s="6">
        <v>-42794.329316537398</v>
      </c>
      <c r="AC234" s="6">
        <v>0</v>
      </c>
      <c r="AD234" s="6">
        <v>35500.899136968903</v>
      </c>
      <c r="AE234" s="6">
        <v>0</v>
      </c>
      <c r="AF234" s="6">
        <v>0</v>
      </c>
      <c r="AG234" s="6">
        <v>-7293.4301795684978</v>
      </c>
      <c r="AH234" s="6">
        <v>2601.410906563186</v>
      </c>
      <c r="AI234" s="6">
        <v>0</v>
      </c>
      <c r="AJ234" s="6">
        <v>34758.672636561707</v>
      </c>
      <c r="AK234" s="6">
        <v>-5434.245773412501</v>
      </c>
      <c r="AL234" s="6">
        <v>5905.0118317980532</v>
      </c>
      <c r="AM234" s="6">
        <v>0</v>
      </c>
      <c r="AN234" s="6">
        <v>0</v>
      </c>
      <c r="AO234" s="6">
        <v>0</v>
      </c>
      <c r="AP234" s="6">
        <v>0</v>
      </c>
      <c r="AQ234" s="6">
        <v>470.76605838555213</v>
      </c>
      <c r="AR234" s="6">
        <v>419.88477331043998</v>
      </c>
      <c r="AS234" s="6">
        <v>415.16993000000002</v>
      </c>
      <c r="AT234" s="6">
        <v>46192.97352919729</v>
      </c>
      <c r="AU234" s="6">
        <v>43214.214089847839</v>
      </c>
    </row>
    <row r="235" spans="1:47" x14ac:dyDescent="0.35">
      <c r="A235" s="5">
        <v>46022</v>
      </c>
      <c r="B235" s="4" t="s">
        <v>591</v>
      </c>
      <c r="C235" s="4" t="s">
        <v>592</v>
      </c>
      <c r="D235" s="4" t="s">
        <v>89</v>
      </c>
      <c r="E235" s="6">
        <v>1417.769376</v>
      </c>
      <c r="F235" s="7">
        <v>0.92</v>
      </c>
      <c r="G235" s="6">
        <v>92</v>
      </c>
      <c r="H235" s="6">
        <v>12</v>
      </c>
      <c r="I235" s="6">
        <v>95.925926000000004</v>
      </c>
      <c r="J235" s="6">
        <v>11.511111</v>
      </c>
      <c r="K235" s="8">
        <v>87.391999999999996</v>
      </c>
      <c r="L235" s="6">
        <v>144.63384638130049</v>
      </c>
      <c r="M235" s="6">
        <v>4.1231960985201308</v>
      </c>
      <c r="N235" s="6">
        <v>4.6748140817943176</v>
      </c>
      <c r="O235" s="6">
        <v>129.03118831421739</v>
      </c>
      <c r="P235" s="6">
        <v>282.4630448758324</v>
      </c>
      <c r="Q235" s="6">
        <v>38.097010140943169</v>
      </c>
      <c r="R235" s="6">
        <v>9.044349415001113</v>
      </c>
      <c r="S235" s="6">
        <v>13.962971963728821</v>
      </c>
      <c r="T235" s="6">
        <v>45.575004263913527</v>
      </c>
      <c r="U235" s="6">
        <v>106.67933578358659</v>
      </c>
      <c r="V235" s="6">
        <v>389.14238065941902</v>
      </c>
      <c r="W235" s="6">
        <v>20.57964145373349</v>
      </c>
      <c r="X235" s="6">
        <v>22.010553615009361</v>
      </c>
      <c r="Y235" s="6">
        <v>-58.819339610777639</v>
      </c>
      <c r="Z235" s="6">
        <v>372.9132361173842</v>
      </c>
      <c r="AA235" s="6">
        <v>19.510470122059349</v>
      </c>
      <c r="AB235" s="6">
        <v>392.42370623944362</v>
      </c>
      <c r="AC235" s="6">
        <v>0</v>
      </c>
      <c r="AD235" s="6">
        <v>62.541651176389358</v>
      </c>
      <c r="AE235" s="6">
        <v>0</v>
      </c>
      <c r="AF235" s="6">
        <v>0</v>
      </c>
      <c r="AG235" s="6">
        <v>454.9653574158329</v>
      </c>
      <c r="AH235" s="6">
        <v>5.9107114414317632</v>
      </c>
      <c r="AI235" s="6">
        <v>0</v>
      </c>
      <c r="AJ235" s="6">
        <v>35.464268648590583</v>
      </c>
      <c r="AK235" s="6">
        <v>433.79868632946591</v>
      </c>
      <c r="AL235" s="6">
        <v>186.77848154924371</v>
      </c>
      <c r="AM235" s="6">
        <v>0</v>
      </c>
      <c r="AN235" s="6">
        <v>0</v>
      </c>
      <c r="AO235" s="6">
        <v>0</v>
      </c>
      <c r="AP235" s="6">
        <v>0</v>
      </c>
      <c r="AQ235" s="6">
        <v>620.57716787870959</v>
      </c>
      <c r="AR235" s="6">
        <v>419.99959829643711</v>
      </c>
      <c r="AS235" s="6">
        <v>121.54397899999999</v>
      </c>
      <c r="AT235" s="6">
        <v>47.086362179052848</v>
      </c>
      <c r="AU235" s="6">
        <v>27.575892056993499</v>
      </c>
    </row>
    <row r="236" spans="1:47" x14ac:dyDescent="0.35">
      <c r="A236" s="5">
        <v>46022</v>
      </c>
      <c r="B236" s="4" t="s">
        <v>364</v>
      </c>
      <c r="C236" s="4" t="s">
        <v>365</v>
      </c>
      <c r="D236" s="4" t="s">
        <v>222</v>
      </c>
      <c r="E236" s="6">
        <v>21900</v>
      </c>
      <c r="F236" s="7">
        <v>0.126</v>
      </c>
      <c r="G236" s="6">
        <v>78.8</v>
      </c>
      <c r="H236" s="6">
        <v>21.744</v>
      </c>
      <c r="I236" s="6">
        <v>95</v>
      </c>
      <c r="J236" s="6">
        <v>20.656867999999999</v>
      </c>
      <c r="K236" s="8">
        <v>35.259</v>
      </c>
      <c r="L236" s="6">
        <v>102.66670674286389</v>
      </c>
      <c r="M236" s="6">
        <v>96.980091094617748</v>
      </c>
      <c r="N236" s="6">
        <v>2.7244319160414929</v>
      </c>
      <c r="O236" s="6">
        <v>113.5068719224127</v>
      </c>
      <c r="P236" s="6">
        <v>315.87810167593591</v>
      </c>
      <c r="Q236" s="6">
        <v>90.785127054652108</v>
      </c>
      <c r="R236" s="6">
        <v>64.049060108037494</v>
      </c>
      <c r="S236" s="6">
        <v>70.088408274802461</v>
      </c>
      <c r="T236" s="6">
        <v>99.383865828180234</v>
      </c>
      <c r="U236" s="6">
        <v>324.30646126567228</v>
      </c>
      <c r="V236" s="6">
        <v>640.18456294160819</v>
      </c>
      <c r="W236" s="6">
        <v>26.467638310222849</v>
      </c>
      <c r="X236" s="6">
        <v>25.766173287615139</v>
      </c>
      <c r="Y236" s="6">
        <v>-871.02059282044286</v>
      </c>
      <c r="Z236" s="6">
        <v>-178.60221828099679</v>
      </c>
      <c r="AA236" s="6">
        <v>6.8806500260898238</v>
      </c>
      <c r="AB236" s="6">
        <v>-171.72156825490691</v>
      </c>
      <c r="AC236" s="6">
        <v>5.3835590249734366</v>
      </c>
      <c r="AD236" s="6">
        <v>195.3899150465065</v>
      </c>
      <c r="AE236" s="6">
        <v>0</v>
      </c>
      <c r="AF236" s="6">
        <v>0</v>
      </c>
      <c r="AG236" s="6">
        <v>29.05190581657298</v>
      </c>
      <c r="AH236" s="6">
        <v>45.854746517848788</v>
      </c>
      <c r="AI236" s="6">
        <v>0</v>
      </c>
      <c r="AJ236" s="6">
        <v>94.421229466409969</v>
      </c>
      <c r="AK236" s="6">
        <v>-26.062033245674751</v>
      </c>
      <c r="AL236" s="6">
        <v>23.05634784851777</v>
      </c>
      <c r="AM236" s="6">
        <v>0</v>
      </c>
      <c r="AN236" s="6">
        <v>0</v>
      </c>
      <c r="AO236" s="6">
        <v>0</v>
      </c>
      <c r="AP236" s="6">
        <v>0</v>
      </c>
      <c r="AQ236" s="6">
        <v>-3.0056853971569821</v>
      </c>
      <c r="AR236" s="6">
        <v>420.00065027885512</v>
      </c>
      <c r="AS236" s="6">
        <v>589.29431799999998</v>
      </c>
      <c r="AT236" s="6">
        <v>598.60286855985191</v>
      </c>
      <c r="AU236" s="6">
        <v>591.72221853376209</v>
      </c>
    </row>
    <row r="237" spans="1:47" x14ac:dyDescent="0.35">
      <c r="A237" s="5">
        <v>46022</v>
      </c>
      <c r="B237" s="4" t="s">
        <v>366</v>
      </c>
      <c r="C237" s="4" t="s">
        <v>367</v>
      </c>
      <c r="D237" s="4" t="s">
        <v>89</v>
      </c>
      <c r="E237" s="6">
        <v>3000</v>
      </c>
      <c r="F237" s="7">
        <v>1.85</v>
      </c>
      <c r="G237" s="6">
        <v>81</v>
      </c>
      <c r="H237" s="6">
        <v>44.954999999999998</v>
      </c>
      <c r="I237" s="6">
        <v>97</v>
      </c>
      <c r="J237" s="6">
        <v>43.606349999999999</v>
      </c>
      <c r="K237" s="8">
        <v>99.512</v>
      </c>
      <c r="L237" s="6">
        <v>82.667173155595606</v>
      </c>
      <c r="M237" s="6">
        <v>13.64110216373707</v>
      </c>
      <c r="N237" s="6">
        <v>5.3914594899099102</v>
      </c>
      <c r="O237" s="6">
        <v>24.18171638688689</v>
      </c>
      <c r="P237" s="6">
        <v>125.8814511961295</v>
      </c>
      <c r="Q237" s="6">
        <v>20.217866206820151</v>
      </c>
      <c r="R237" s="6">
        <v>5.0415535340340343</v>
      </c>
      <c r="S237" s="6">
        <v>18.546644611451448</v>
      </c>
      <c r="T237" s="6">
        <v>16.357791377804471</v>
      </c>
      <c r="U237" s="6">
        <v>60.163855730110107</v>
      </c>
      <c r="V237" s="6">
        <v>186.04530692623959</v>
      </c>
      <c r="W237" s="6">
        <v>7.3869887307726723</v>
      </c>
      <c r="X237" s="6">
        <v>19.51068186257222</v>
      </c>
      <c r="Y237" s="6">
        <v>-2.022321130377168</v>
      </c>
      <c r="Z237" s="6">
        <v>210.92065638920729</v>
      </c>
      <c r="AA237" s="6">
        <v>17.84797342583764</v>
      </c>
      <c r="AB237" s="6">
        <v>228.7686298150449</v>
      </c>
      <c r="AC237" s="6">
        <v>0</v>
      </c>
      <c r="AD237" s="6">
        <v>106.81896304672</v>
      </c>
      <c r="AE237" s="6">
        <v>0</v>
      </c>
      <c r="AF237" s="6">
        <v>0</v>
      </c>
      <c r="AG237" s="6">
        <v>335.58759286176502</v>
      </c>
      <c r="AH237" s="6">
        <v>7.9850662382982973</v>
      </c>
      <c r="AI237" s="6">
        <v>0</v>
      </c>
      <c r="AJ237" s="6">
        <v>98.663774509883211</v>
      </c>
      <c r="AK237" s="6">
        <v>335.4174705632264</v>
      </c>
      <c r="AL237" s="6">
        <v>0</v>
      </c>
      <c r="AM237" s="6">
        <v>0</v>
      </c>
      <c r="AN237" s="6">
        <v>0</v>
      </c>
      <c r="AO237" s="6">
        <v>0</v>
      </c>
      <c r="AP237" s="6">
        <v>0</v>
      </c>
      <c r="AQ237" s="6">
        <v>335.4174705632264</v>
      </c>
      <c r="AR237" s="6">
        <v>420.00048122902911</v>
      </c>
      <c r="AS237" s="6">
        <v>405.82294200000001</v>
      </c>
      <c r="AT237" s="6">
        <v>209.07982483982181</v>
      </c>
      <c r="AU237" s="6">
        <v>191.2318514139842</v>
      </c>
    </row>
    <row r="238" spans="1:47" x14ac:dyDescent="0.35">
      <c r="A238" s="5">
        <v>46022</v>
      </c>
      <c r="B238" s="4" t="s">
        <v>593</v>
      </c>
      <c r="C238" s="4" t="s">
        <v>594</v>
      </c>
      <c r="D238" s="4" t="s">
        <v>122</v>
      </c>
      <c r="E238" s="6">
        <v>1250</v>
      </c>
      <c r="F238" s="7">
        <v>2.2400000000000002</v>
      </c>
      <c r="G238" s="6">
        <v>95</v>
      </c>
      <c r="H238" s="6">
        <v>26.6</v>
      </c>
      <c r="I238" s="6">
        <v>97</v>
      </c>
      <c r="J238" s="6">
        <v>25.802</v>
      </c>
      <c r="K238" s="8">
        <v>100</v>
      </c>
      <c r="L238" s="6">
        <v>40.820937838059209</v>
      </c>
      <c r="M238" s="6">
        <v>4.7429602607894736</v>
      </c>
      <c r="N238" s="6">
        <v>3.9007919800328952</v>
      </c>
      <c r="O238" s="6">
        <v>4.5497611503618423</v>
      </c>
      <c r="P238" s="6">
        <v>54.01445122924342</v>
      </c>
      <c r="Q238" s="6">
        <v>21.409047414671051</v>
      </c>
      <c r="R238" s="6">
        <v>1.4821564030263159</v>
      </c>
      <c r="S238" s="6">
        <v>3.593913501315789</v>
      </c>
      <c r="T238" s="6">
        <v>3.374393129901315</v>
      </c>
      <c r="U238" s="6">
        <v>29.85951044891447</v>
      </c>
      <c r="V238" s="6">
        <v>83.873961678157883</v>
      </c>
      <c r="W238" s="6">
        <v>5.8452624999999996</v>
      </c>
      <c r="X238" s="6">
        <v>17.352419999999999</v>
      </c>
      <c r="Y238" s="6">
        <v>-7.2574779199999985E-16</v>
      </c>
      <c r="Z238" s="6">
        <v>107.0716441781579</v>
      </c>
      <c r="AA238" s="6">
        <v>22.63987065011592</v>
      </c>
      <c r="AB238" s="6">
        <v>129.71151482827381</v>
      </c>
      <c r="AC238" s="6">
        <v>0</v>
      </c>
      <c r="AD238" s="6">
        <v>49.216806999539472</v>
      </c>
      <c r="AE238" s="6">
        <v>0</v>
      </c>
      <c r="AF238" s="6">
        <v>0</v>
      </c>
      <c r="AG238" s="6">
        <v>178.92832182781331</v>
      </c>
      <c r="AH238" s="6">
        <v>3.3549587308223678</v>
      </c>
      <c r="AI238" s="6">
        <v>0</v>
      </c>
      <c r="AJ238" s="6">
        <v>23.920932508289471</v>
      </c>
      <c r="AK238" s="6">
        <v>156.98740606738559</v>
      </c>
      <c r="AL238" s="6">
        <v>0</v>
      </c>
      <c r="AM238" s="6">
        <v>0</v>
      </c>
      <c r="AN238" s="6">
        <v>0</v>
      </c>
      <c r="AO238" s="6">
        <v>0</v>
      </c>
      <c r="AP238" s="6">
        <v>0</v>
      </c>
      <c r="AQ238" s="6">
        <v>156.98740606738559</v>
      </c>
      <c r="AR238" s="6">
        <v>419.99999964779192</v>
      </c>
      <c r="AS238" s="6">
        <v>238.91142600000001</v>
      </c>
      <c r="AT238" s="6">
        <v>312.92835546963408</v>
      </c>
      <c r="AU238" s="6">
        <v>290.28848481951809</v>
      </c>
    </row>
    <row r="239" spans="1:47" x14ac:dyDescent="0.35">
      <c r="A239" s="5">
        <v>46022</v>
      </c>
      <c r="B239" s="4" t="s">
        <v>420</v>
      </c>
      <c r="C239" s="4" t="s">
        <v>421</v>
      </c>
      <c r="D239" s="4" t="s">
        <v>122</v>
      </c>
      <c r="E239" s="6">
        <v>892.85714299999995</v>
      </c>
      <c r="F239" s="7">
        <v>0.56000000000000005</v>
      </c>
      <c r="G239" s="6">
        <v>40</v>
      </c>
      <c r="H239" s="6">
        <v>2</v>
      </c>
      <c r="I239" s="6">
        <v>100</v>
      </c>
      <c r="J239" s="6">
        <v>2</v>
      </c>
      <c r="K239" s="8">
        <v>100</v>
      </c>
      <c r="L239" s="6">
        <v>0</v>
      </c>
      <c r="M239" s="6">
        <v>0</v>
      </c>
      <c r="N239" s="6">
        <v>0</v>
      </c>
      <c r="O239" s="6">
        <v>0</v>
      </c>
      <c r="P239" s="6">
        <v>0</v>
      </c>
      <c r="Q239" s="6">
        <v>66.792023233989852</v>
      </c>
      <c r="R239" s="6">
        <v>407.7170907457222</v>
      </c>
      <c r="S239" s="6">
        <v>7.0937391754287482</v>
      </c>
      <c r="T239" s="6">
        <v>14.93809272469009</v>
      </c>
      <c r="U239" s="6">
        <v>496.54094587983087</v>
      </c>
      <c r="V239" s="6">
        <v>496.54094587983087</v>
      </c>
      <c r="W239" s="6">
        <v>0</v>
      </c>
      <c r="X239" s="6">
        <v>0</v>
      </c>
      <c r="Y239" s="6">
        <v>0</v>
      </c>
      <c r="Z239" s="6">
        <v>496.54094587983087</v>
      </c>
      <c r="AA239" s="6">
        <v>22.6401565788344</v>
      </c>
      <c r="AB239" s="6">
        <v>519.18110245866535</v>
      </c>
      <c r="AC239" s="6">
        <v>0</v>
      </c>
      <c r="AD239" s="6">
        <v>34.149349570013889</v>
      </c>
      <c r="AE239" s="6">
        <v>0</v>
      </c>
      <c r="AF239" s="6">
        <v>0</v>
      </c>
      <c r="AG239" s="6">
        <v>553.33045202867925</v>
      </c>
      <c r="AH239" s="6">
        <v>19.861635405234111</v>
      </c>
      <c r="AI239" s="6">
        <v>0</v>
      </c>
      <c r="AJ239" s="6">
        <v>28.058819019501911</v>
      </c>
      <c r="AK239" s="6">
        <v>567.10155688340126</v>
      </c>
      <c r="AL239" s="6">
        <v>0</v>
      </c>
      <c r="AM239" s="6">
        <v>0</v>
      </c>
      <c r="AN239" s="6">
        <v>0</v>
      </c>
      <c r="AO239" s="6">
        <v>0</v>
      </c>
      <c r="AP239" s="6">
        <v>0</v>
      </c>
      <c r="AQ239" s="6">
        <v>567.10155688340126</v>
      </c>
      <c r="AR239" s="6">
        <v>419.99999964779192</v>
      </c>
      <c r="AS239" s="6">
        <v>18.518830000000001</v>
      </c>
      <c r="AT239" s="6">
        <v>-76.540946232038991</v>
      </c>
      <c r="AU239" s="6">
        <v>-99.181102810873384</v>
      </c>
    </row>
    <row r="240" spans="1:47" x14ac:dyDescent="0.35">
      <c r="A240" s="5">
        <v>46022</v>
      </c>
      <c r="B240" s="4" t="s">
        <v>595</v>
      </c>
      <c r="C240" s="4" t="s">
        <v>596</v>
      </c>
      <c r="D240" s="4" t="s">
        <v>122</v>
      </c>
      <c r="E240" s="6">
        <v>564.02439800000002</v>
      </c>
      <c r="F240" s="7">
        <v>0.2</v>
      </c>
      <c r="G240" s="6">
        <v>65</v>
      </c>
      <c r="H240" s="6">
        <v>0.73299999999999998</v>
      </c>
      <c r="I240" s="6">
        <v>97</v>
      </c>
      <c r="J240" s="6">
        <v>0.71123499999999995</v>
      </c>
      <c r="K240" s="8">
        <v>12.709</v>
      </c>
      <c r="L240" s="6">
        <v>169.13205721503149</v>
      </c>
      <c r="M240" s="6">
        <v>197.05528065058431</v>
      </c>
      <c r="N240" s="6">
        <v>105.2027120779363</v>
      </c>
      <c r="O240" s="6">
        <v>399.74938525892162</v>
      </c>
      <c r="P240" s="6">
        <v>871.13943520247369</v>
      </c>
      <c r="Q240" s="6">
        <v>31.728326201693491</v>
      </c>
      <c r="R240" s="6">
        <v>62.869932124906313</v>
      </c>
      <c r="S240" s="6">
        <v>163.0826621544291</v>
      </c>
      <c r="T240" s="6">
        <v>224.93379233908601</v>
      </c>
      <c r="U240" s="6">
        <v>482.61471282011479</v>
      </c>
      <c r="V240" s="6">
        <v>1353.7541480225891</v>
      </c>
      <c r="W240" s="6">
        <v>40.765786300867163</v>
      </c>
      <c r="X240" s="6">
        <v>0</v>
      </c>
      <c r="Y240" s="6">
        <v>-2800.7584944951009</v>
      </c>
      <c r="Z240" s="6">
        <v>-1406.2385601716451</v>
      </c>
      <c r="AA240" s="6">
        <v>210.49547623999609</v>
      </c>
      <c r="AB240" s="6">
        <v>-1195.7430839316489</v>
      </c>
      <c r="AC240" s="6">
        <v>19.1325990044534</v>
      </c>
      <c r="AD240" s="6">
        <v>1484.825033800937</v>
      </c>
      <c r="AE240" s="6">
        <v>0</v>
      </c>
      <c r="AF240" s="6">
        <v>0</v>
      </c>
      <c r="AG240" s="6">
        <v>308.21454887374119</v>
      </c>
      <c r="AH240" s="6">
        <v>274.30199986290859</v>
      </c>
      <c r="AI240" s="6">
        <v>0</v>
      </c>
      <c r="AJ240" s="6">
        <v>306.12151212958582</v>
      </c>
      <c r="AK240" s="6">
        <v>-596.18697293470154</v>
      </c>
      <c r="AL240" s="6">
        <v>0</v>
      </c>
      <c r="AM240" s="6">
        <v>0</v>
      </c>
      <c r="AN240" s="6">
        <v>0</v>
      </c>
      <c r="AO240" s="6">
        <v>0</v>
      </c>
      <c r="AP240" s="6">
        <v>0</v>
      </c>
      <c r="AQ240" s="6">
        <v>-596.18697293470154</v>
      </c>
      <c r="AR240" s="6">
        <v>419.97933137361019</v>
      </c>
      <c r="AS240" s="6">
        <v>66.011842000000001</v>
      </c>
      <c r="AT240" s="6">
        <v>1826.217891545256</v>
      </c>
      <c r="AU240" s="6">
        <v>1615.7224153052589</v>
      </c>
    </row>
    <row r="241" spans="1:47" x14ac:dyDescent="0.35">
      <c r="A241" s="5">
        <v>46022</v>
      </c>
      <c r="B241" s="4" t="s">
        <v>422</v>
      </c>
      <c r="C241" s="4" t="s">
        <v>423</v>
      </c>
      <c r="D241" s="4" t="s">
        <v>213</v>
      </c>
      <c r="E241" s="6">
        <v>1230.1587300000001</v>
      </c>
      <c r="F241" s="7">
        <v>2.8</v>
      </c>
      <c r="G241" s="6">
        <v>90</v>
      </c>
      <c r="H241" s="6">
        <v>31</v>
      </c>
      <c r="I241" s="6">
        <v>96.75</v>
      </c>
      <c r="J241" s="6">
        <v>29.9925</v>
      </c>
      <c r="K241" s="8">
        <v>67.888000000000005</v>
      </c>
      <c r="L241" s="6">
        <v>57.367688018449279</v>
      </c>
      <c r="M241" s="6">
        <v>7.6043930136986617</v>
      </c>
      <c r="N241" s="6">
        <v>13.981055981860649</v>
      </c>
      <c r="O241" s="6">
        <v>55.771646028900129</v>
      </c>
      <c r="P241" s="6">
        <v>134.72478304290871</v>
      </c>
      <c r="Q241" s="6">
        <v>18.059766907117879</v>
      </c>
      <c r="R241" s="6">
        <v>2.2178287395280689</v>
      </c>
      <c r="S241" s="6">
        <v>16.603899303825411</v>
      </c>
      <c r="T241" s="6">
        <v>18.357507014991612</v>
      </c>
      <c r="U241" s="6">
        <v>55.239001965462968</v>
      </c>
      <c r="V241" s="6">
        <v>189.9637850083717</v>
      </c>
      <c r="W241" s="6">
        <v>39.561150983063882</v>
      </c>
      <c r="X241" s="6">
        <v>16.2</v>
      </c>
      <c r="Y241" s="6">
        <v>-191.39842273444981</v>
      </c>
      <c r="Z241" s="6">
        <v>54.326513256985798</v>
      </c>
      <c r="AA241" s="6">
        <v>67.849307768753093</v>
      </c>
      <c r="AB241" s="6">
        <v>122.1758210257389</v>
      </c>
      <c r="AC241" s="6">
        <v>0</v>
      </c>
      <c r="AD241" s="6">
        <v>70.372539026095097</v>
      </c>
      <c r="AE241" s="6">
        <v>0</v>
      </c>
      <c r="AF241" s="6">
        <v>0</v>
      </c>
      <c r="AG241" s="6">
        <v>192.54836005183401</v>
      </c>
      <c r="AH241" s="6">
        <v>11.645115740761261</v>
      </c>
      <c r="AI241" s="6">
        <v>0</v>
      </c>
      <c r="AJ241" s="6">
        <v>12.09882159716582</v>
      </c>
      <c r="AK241" s="6">
        <v>145.91975836366601</v>
      </c>
      <c r="AL241" s="6">
        <v>0</v>
      </c>
      <c r="AM241" s="6">
        <v>0</v>
      </c>
      <c r="AN241" s="6">
        <v>0</v>
      </c>
      <c r="AO241" s="6">
        <v>0</v>
      </c>
      <c r="AP241" s="6">
        <v>0</v>
      </c>
      <c r="AQ241" s="6">
        <v>145.91975836366601</v>
      </c>
      <c r="AR241" s="6">
        <v>419.99999964779192</v>
      </c>
      <c r="AS241" s="6">
        <v>439.05278199999998</v>
      </c>
      <c r="AT241" s="6">
        <v>365.67348639080609</v>
      </c>
      <c r="AU241" s="6">
        <v>297.82417862205313</v>
      </c>
    </row>
    <row r="242" spans="1:47" x14ac:dyDescent="0.35">
      <c r="A242" s="5">
        <v>46022</v>
      </c>
      <c r="B242" s="4" t="s">
        <v>368</v>
      </c>
      <c r="C242" s="4" t="s">
        <v>369</v>
      </c>
      <c r="D242" s="4" t="s">
        <v>213</v>
      </c>
      <c r="E242" s="6">
        <v>182.5</v>
      </c>
      <c r="F242" s="7">
        <v>1.6</v>
      </c>
      <c r="G242" s="6">
        <v>90</v>
      </c>
      <c r="H242" s="6">
        <v>2.6280000000000001</v>
      </c>
      <c r="I242" s="6">
        <v>97</v>
      </c>
      <c r="J242" s="6">
        <v>2.5491600000000001</v>
      </c>
      <c r="K242" s="8">
        <v>100</v>
      </c>
      <c r="L242" s="6">
        <v>46.567267814099381</v>
      </c>
      <c r="M242" s="6">
        <v>14.495185863277779</v>
      </c>
      <c r="N242" s="6">
        <v>7.8124503222078392</v>
      </c>
      <c r="O242" s="6">
        <v>69.18889333278905</v>
      </c>
      <c r="P242" s="6">
        <v>138.06379733237401</v>
      </c>
      <c r="Q242" s="6">
        <v>96.747844924515846</v>
      </c>
      <c r="R242" s="6">
        <v>1.797082824973157</v>
      </c>
      <c r="S242" s="6">
        <v>6.6052971973322308</v>
      </c>
      <c r="T242" s="6">
        <v>13.158872017519579</v>
      </c>
      <c r="U242" s="6">
        <v>118.3090969643408</v>
      </c>
      <c r="V242" s="6">
        <v>256.37289429671489</v>
      </c>
      <c r="W242" s="6">
        <v>19.56497713140055</v>
      </c>
      <c r="X242" s="6">
        <v>28.783281087103202</v>
      </c>
      <c r="Y242" s="6">
        <v>1.8143694799999999E-16</v>
      </c>
      <c r="Z242" s="6">
        <v>304.72115251521859</v>
      </c>
      <c r="AA242" s="6">
        <v>29.541961954590981</v>
      </c>
      <c r="AB242" s="6">
        <v>334.26311446980958</v>
      </c>
      <c r="AC242" s="6">
        <v>0</v>
      </c>
      <c r="AD242" s="6">
        <v>77.50652441102865</v>
      </c>
      <c r="AE242" s="6">
        <v>0</v>
      </c>
      <c r="AF242" s="6">
        <v>0</v>
      </c>
      <c r="AG242" s="6">
        <v>411.76963888083822</v>
      </c>
      <c r="AH242" s="6">
        <v>1.712922003076037</v>
      </c>
      <c r="AI242" s="6">
        <v>0</v>
      </c>
      <c r="AJ242" s="6">
        <v>77.50652441102865</v>
      </c>
      <c r="AK242" s="6">
        <v>413.48256088391429</v>
      </c>
      <c r="AL242" s="6">
        <v>0</v>
      </c>
      <c r="AM242" s="6">
        <v>0</v>
      </c>
      <c r="AN242" s="6">
        <v>0</v>
      </c>
      <c r="AO242" s="6">
        <v>0</v>
      </c>
      <c r="AP242" s="6">
        <v>0</v>
      </c>
      <c r="AQ242" s="6">
        <v>413.48256088391429</v>
      </c>
      <c r="AR242" s="6">
        <v>420.00659005403787</v>
      </c>
      <c r="AS242" s="6">
        <v>23.604101</v>
      </c>
      <c r="AT242" s="6">
        <v>115.28543753881929</v>
      </c>
      <c r="AU242" s="6">
        <v>85.743475584228264</v>
      </c>
    </row>
    <row r="243" spans="1:47" x14ac:dyDescent="0.35">
      <c r="A243" s="5">
        <v>46022</v>
      </c>
      <c r="B243" s="4" t="s">
        <v>597</v>
      </c>
      <c r="C243" s="4" t="s">
        <v>598</v>
      </c>
      <c r="D243" s="4" t="s">
        <v>213</v>
      </c>
      <c r="E243" s="6">
        <v>2500</v>
      </c>
      <c r="F243" s="7">
        <v>1.82</v>
      </c>
      <c r="G243" s="6">
        <v>74.31</v>
      </c>
      <c r="H243" s="6">
        <v>33.81</v>
      </c>
      <c r="I243" s="6">
        <v>100</v>
      </c>
      <c r="J243" s="6">
        <v>33.81</v>
      </c>
      <c r="K243" s="8">
        <v>61.34</v>
      </c>
      <c r="L243" s="6">
        <v>41.210087595163927</v>
      </c>
      <c r="M243" s="6">
        <v>23.870482940196691</v>
      </c>
      <c r="N243" s="6">
        <v>7.1478217026791597</v>
      </c>
      <c r="O243" s="6">
        <v>70.621843079236498</v>
      </c>
      <c r="P243" s="6">
        <v>142.85023531727629</v>
      </c>
      <c r="Q243" s="6">
        <v>45.024082576059619</v>
      </c>
      <c r="R243" s="6">
        <v>14.9515708516454</v>
      </c>
      <c r="S243" s="6">
        <v>26.98031975185874</v>
      </c>
      <c r="T243" s="6">
        <v>3.6452825451138011</v>
      </c>
      <c r="U243" s="6">
        <v>90.601255724677557</v>
      </c>
      <c r="V243" s="6">
        <v>233.4514910419538</v>
      </c>
      <c r="W243" s="6">
        <v>18.77303180591192</v>
      </c>
      <c r="X243" s="6">
        <v>0</v>
      </c>
      <c r="Y243" s="6">
        <v>-253.44486624053309</v>
      </c>
      <c r="Z243" s="6">
        <v>-1.2203433926673899</v>
      </c>
      <c r="AA243" s="6">
        <v>84.126638944476539</v>
      </c>
      <c r="AB243" s="6">
        <v>82.906295551809151</v>
      </c>
      <c r="AC243" s="6">
        <v>0</v>
      </c>
      <c r="AD243" s="6">
        <v>147.71663025423891</v>
      </c>
      <c r="AE243" s="6">
        <v>0</v>
      </c>
      <c r="AF243" s="6">
        <v>0</v>
      </c>
      <c r="AG243" s="6">
        <v>230.6229258060481</v>
      </c>
      <c r="AH243" s="6">
        <v>1.661534257070417</v>
      </c>
      <c r="AI243" s="6">
        <v>0</v>
      </c>
      <c r="AJ243" s="6">
        <v>73.275762780795446</v>
      </c>
      <c r="AK243" s="6">
        <v>157.84359258967501</v>
      </c>
      <c r="AL243" s="6">
        <v>0</v>
      </c>
      <c r="AM243" s="6">
        <v>0</v>
      </c>
      <c r="AN243" s="6">
        <v>0</v>
      </c>
      <c r="AO243" s="6">
        <v>0</v>
      </c>
      <c r="AP243" s="6">
        <v>0</v>
      </c>
      <c r="AQ243" s="6">
        <v>157.84359258967501</v>
      </c>
      <c r="AR243" s="6">
        <v>419.99999964779192</v>
      </c>
      <c r="AS243" s="6">
        <v>579.03136700000005</v>
      </c>
      <c r="AT243" s="6">
        <v>421.22034304045928</v>
      </c>
      <c r="AU243" s="6">
        <v>337.09370409598279</v>
      </c>
    </row>
    <row r="244" spans="1:47" x14ac:dyDescent="0.35">
      <c r="A244" s="5">
        <v>46022</v>
      </c>
      <c r="B244" s="4" t="s">
        <v>785</v>
      </c>
      <c r="C244" s="4" t="s">
        <v>786</v>
      </c>
      <c r="D244" s="4" t="s">
        <v>222</v>
      </c>
      <c r="E244" s="6">
        <v>600</v>
      </c>
      <c r="F244" s="7">
        <v>0.69899999999999995</v>
      </c>
      <c r="G244" s="6">
        <v>53.6</v>
      </c>
      <c r="H244" s="6">
        <v>2.2480000000000002</v>
      </c>
      <c r="I244" s="6">
        <v>97</v>
      </c>
      <c r="J244" s="6">
        <v>2.180504</v>
      </c>
      <c r="K244" s="8">
        <v>17.882000000000001</v>
      </c>
      <c r="L244" s="6">
        <v>659.57562429513473</v>
      </c>
      <c r="M244" s="6">
        <v>31.036644744348092</v>
      </c>
      <c r="N244" s="6">
        <v>9.1273559374806918</v>
      </c>
      <c r="O244" s="6">
        <v>225.64385239168209</v>
      </c>
      <c r="P244" s="6">
        <v>925.38347736864557</v>
      </c>
      <c r="Q244" s="6">
        <v>97.510344210752194</v>
      </c>
      <c r="R244" s="6">
        <v>20.122265040789841</v>
      </c>
      <c r="S244" s="6">
        <v>18.899333993519019</v>
      </c>
      <c r="T244" s="6">
        <v>83.173564868246061</v>
      </c>
      <c r="U244" s="6">
        <v>219.7055081133071</v>
      </c>
      <c r="V244" s="6">
        <v>1145.0889854819529</v>
      </c>
      <c r="W244" s="6">
        <v>15.87331879528738</v>
      </c>
      <c r="X244" s="6">
        <v>25.004353039198278</v>
      </c>
      <c r="Y244" s="6">
        <v>-1818.2513342770219</v>
      </c>
      <c r="Z244" s="6">
        <v>-632.28467696058317</v>
      </c>
      <c r="AA244" s="6">
        <v>16.08997860109227</v>
      </c>
      <c r="AB244" s="6">
        <v>-616.19469835949087</v>
      </c>
      <c r="AC244" s="6">
        <v>0</v>
      </c>
      <c r="AD244" s="6">
        <v>630.13033385004849</v>
      </c>
      <c r="AE244" s="6">
        <v>0</v>
      </c>
      <c r="AF244" s="6">
        <v>0</v>
      </c>
      <c r="AG244" s="6">
        <v>13.93563549055758</v>
      </c>
      <c r="AH244" s="6">
        <v>68.248641326257413</v>
      </c>
      <c r="AI244" s="6">
        <v>0</v>
      </c>
      <c r="AJ244" s="6">
        <v>335.6620149837043</v>
      </c>
      <c r="AK244" s="6">
        <v>-212.28404204952921</v>
      </c>
      <c r="AL244" s="6">
        <v>0</v>
      </c>
      <c r="AM244" s="6">
        <v>0</v>
      </c>
      <c r="AN244" s="6">
        <v>0</v>
      </c>
      <c r="AO244" s="6">
        <v>0</v>
      </c>
      <c r="AP244" s="6">
        <v>0</v>
      </c>
      <c r="AQ244" s="6">
        <v>-212.28404204952921</v>
      </c>
      <c r="AR244" s="6">
        <v>419.99922918371641</v>
      </c>
      <c r="AS244" s="6">
        <v>121.517461</v>
      </c>
      <c r="AT244" s="6">
        <v>1052.2839061443001</v>
      </c>
      <c r="AU244" s="6">
        <v>1036.1939275432071</v>
      </c>
    </row>
    <row r="245" spans="1:47" x14ac:dyDescent="0.35">
      <c r="A245" s="5">
        <v>46022</v>
      </c>
      <c r="B245" s="4" t="s">
        <v>787</v>
      </c>
      <c r="C245" s="4" t="s">
        <v>788</v>
      </c>
      <c r="D245" s="4" t="s">
        <v>61</v>
      </c>
      <c r="E245" s="6">
        <v>300</v>
      </c>
      <c r="F245" s="7">
        <v>0.4</v>
      </c>
      <c r="G245" s="6">
        <v>78</v>
      </c>
      <c r="H245" s="6">
        <v>0.93600000000000005</v>
      </c>
      <c r="I245" s="6">
        <v>97</v>
      </c>
      <c r="J245" s="6">
        <v>0.90791999999999995</v>
      </c>
      <c r="K245" s="8">
        <v>89.953999999999994</v>
      </c>
      <c r="L245" s="6">
        <v>53.24266759448718</v>
      </c>
      <c r="M245" s="6">
        <v>0</v>
      </c>
      <c r="N245" s="6">
        <v>21.648109522980771</v>
      </c>
      <c r="O245" s="6">
        <v>68.092287194391034</v>
      </c>
      <c r="P245" s="6">
        <v>142.98306431185901</v>
      </c>
      <c r="Q245" s="6">
        <v>7.5357573785576921</v>
      </c>
      <c r="R245" s="6">
        <v>32.929690965769232</v>
      </c>
      <c r="S245" s="6">
        <v>32.914028659839737</v>
      </c>
      <c r="T245" s="6">
        <v>56.128533642147431</v>
      </c>
      <c r="U245" s="6">
        <v>129.50801064631409</v>
      </c>
      <c r="V245" s="6">
        <v>272.4910749581731</v>
      </c>
      <c r="W245" s="6">
        <v>13.682755692081811</v>
      </c>
      <c r="X245" s="6">
        <v>24.978063157635031</v>
      </c>
      <c r="Y245" s="6">
        <v>-3.2482962309786161</v>
      </c>
      <c r="Z245" s="6">
        <v>307.9035975769113</v>
      </c>
      <c r="AA245" s="6">
        <v>55.314622097374567</v>
      </c>
      <c r="AB245" s="6">
        <v>363.21821967428588</v>
      </c>
      <c r="AC245" s="6">
        <v>0</v>
      </c>
      <c r="AD245" s="6">
        <v>9.6220364797756428</v>
      </c>
      <c r="AE245" s="6">
        <v>0</v>
      </c>
      <c r="AF245" s="6">
        <v>0</v>
      </c>
      <c r="AG245" s="6">
        <v>372.84025615406148</v>
      </c>
      <c r="AH245" s="6">
        <v>11.13798282737179</v>
      </c>
      <c r="AI245" s="6">
        <v>0</v>
      </c>
      <c r="AJ245" s="6">
        <v>18.844032186762821</v>
      </c>
      <c r="AK245" s="6">
        <v>393.20023468842049</v>
      </c>
      <c r="AL245" s="6">
        <v>0</v>
      </c>
      <c r="AM245" s="6">
        <v>0</v>
      </c>
      <c r="AN245" s="6">
        <v>0</v>
      </c>
      <c r="AO245" s="6">
        <v>0</v>
      </c>
      <c r="AP245" s="6">
        <v>0</v>
      </c>
      <c r="AQ245" s="6">
        <v>393.20023468842049</v>
      </c>
      <c r="AR245" s="6">
        <v>419.99074773133128</v>
      </c>
      <c r="AS245" s="6">
        <v>9.2686609999999998</v>
      </c>
      <c r="AT245" s="6">
        <v>112.08715015442</v>
      </c>
      <c r="AU245" s="6">
        <v>56.772528057045427</v>
      </c>
    </row>
    <row r="246" spans="1:47" x14ac:dyDescent="0.35">
      <c r="A246" s="5">
        <v>46022</v>
      </c>
      <c r="B246" s="4" t="s">
        <v>424</v>
      </c>
      <c r="C246" s="4" t="s">
        <v>425</v>
      </c>
      <c r="D246" s="4" t="s">
        <v>122</v>
      </c>
      <c r="E246" s="6">
        <v>1955.4754399999999</v>
      </c>
      <c r="F246" s="7">
        <v>0.6653</v>
      </c>
      <c r="G246" s="6">
        <v>80</v>
      </c>
      <c r="H246" s="6">
        <v>10.407999999999999</v>
      </c>
      <c r="I246" s="6">
        <v>86.595872999999997</v>
      </c>
      <c r="J246" s="6">
        <v>9.0124659999999999</v>
      </c>
      <c r="K246" s="8">
        <v>97.518000000000001</v>
      </c>
      <c r="L246" s="6">
        <v>210.10931720748729</v>
      </c>
      <c r="M246" s="6">
        <v>136.0143927463337</v>
      </c>
      <c r="N246" s="6">
        <v>24.76894274121037</v>
      </c>
      <c r="O246" s="6">
        <v>45.579819240638379</v>
      </c>
      <c r="P246" s="6">
        <v>416.47247193566977</v>
      </c>
      <c r="Q246" s="6">
        <v>104.9115440915489</v>
      </c>
      <c r="R246" s="6">
        <v>15.573740605383151</v>
      </c>
      <c r="S246" s="6">
        <v>83.948936585381006</v>
      </c>
      <c r="T246" s="6">
        <v>36.00028503344852</v>
      </c>
      <c r="U246" s="6">
        <v>240.4345063157615</v>
      </c>
      <c r="V246" s="6">
        <v>656.90697825143138</v>
      </c>
      <c r="W246" s="6">
        <v>1.2630953163455481</v>
      </c>
      <c r="X246" s="6">
        <v>21.938385608315411</v>
      </c>
      <c r="Y246" s="6">
        <v>-10.19933943366039</v>
      </c>
      <c r="Z246" s="6">
        <v>669.90911974243193</v>
      </c>
      <c r="AA246" s="6">
        <v>43.742789328558928</v>
      </c>
      <c r="AB246" s="6">
        <v>713.65190907099088</v>
      </c>
      <c r="AC246" s="6">
        <v>0</v>
      </c>
      <c r="AD246" s="6">
        <v>24.78399085104401</v>
      </c>
      <c r="AE246" s="6">
        <v>0</v>
      </c>
      <c r="AF246" s="6">
        <v>0</v>
      </c>
      <c r="AG246" s="6">
        <v>738.43589992203488</v>
      </c>
      <c r="AH246" s="6">
        <v>6.8596646286974128</v>
      </c>
      <c r="AI246" s="6">
        <v>0</v>
      </c>
      <c r="AJ246" s="6">
        <v>20.216983013619519</v>
      </c>
      <c r="AK246" s="6">
        <v>740.72855671330785</v>
      </c>
      <c r="AL246" s="6">
        <v>0</v>
      </c>
      <c r="AM246" s="6">
        <v>0</v>
      </c>
      <c r="AN246" s="6">
        <v>0</v>
      </c>
      <c r="AO246" s="6">
        <v>0</v>
      </c>
      <c r="AP246" s="6">
        <v>0</v>
      </c>
      <c r="AQ246" s="6">
        <v>740.72855671330785</v>
      </c>
      <c r="AR246" s="6">
        <v>420.00158411978748</v>
      </c>
      <c r="AS246" s="6">
        <v>86.912203000000005</v>
      </c>
      <c r="AT246" s="6">
        <v>-249.90753562264439</v>
      </c>
      <c r="AU246" s="6">
        <v>-293.6503249512034</v>
      </c>
    </row>
    <row r="247" spans="1:47" x14ac:dyDescent="0.35">
      <c r="A247" s="5">
        <v>46022</v>
      </c>
      <c r="B247" s="4" t="s">
        <v>399</v>
      </c>
      <c r="C247" s="4" t="s">
        <v>400</v>
      </c>
      <c r="D247" s="4" t="s">
        <v>122</v>
      </c>
      <c r="E247" s="6">
        <v>24039.0625</v>
      </c>
      <c r="F247" s="7">
        <v>0.8</v>
      </c>
      <c r="G247" s="6">
        <v>40</v>
      </c>
      <c r="H247" s="6">
        <v>76.924999999999997</v>
      </c>
      <c r="I247" s="6">
        <v>100</v>
      </c>
      <c r="J247" s="6">
        <v>76.924999999999997</v>
      </c>
      <c r="K247" s="8">
        <v>100</v>
      </c>
      <c r="L247" s="6">
        <v>66.962494980751572</v>
      </c>
      <c r="M247" s="6">
        <v>12.794706776775</v>
      </c>
      <c r="N247" s="6">
        <v>5.4208257148237502</v>
      </c>
      <c r="O247" s="6">
        <v>4.5678736125618746</v>
      </c>
      <c r="P247" s="6">
        <v>89.745901084912191</v>
      </c>
      <c r="Q247" s="6">
        <v>98.353184849462806</v>
      </c>
      <c r="R247" s="6">
        <v>8.8729754952781246</v>
      </c>
      <c r="S247" s="6">
        <v>181.05941740054439</v>
      </c>
      <c r="T247" s="6">
        <v>23.559020707337499</v>
      </c>
      <c r="U247" s="6">
        <v>311.84459845262279</v>
      </c>
      <c r="V247" s="6">
        <v>401.59049953753498</v>
      </c>
      <c r="W247" s="6">
        <v>46.017777688828872</v>
      </c>
      <c r="X247" s="6">
        <v>0</v>
      </c>
      <c r="Y247" s="6">
        <v>2.7215542199999998E-15</v>
      </c>
      <c r="Z247" s="6">
        <v>447.6082772263639</v>
      </c>
      <c r="AA247" s="6">
        <v>41.999829981429642</v>
      </c>
      <c r="AB247" s="6">
        <v>489.60810720779352</v>
      </c>
      <c r="AC247" s="6">
        <v>0</v>
      </c>
      <c r="AD247" s="6">
        <v>18.061707979122499</v>
      </c>
      <c r="AE247" s="6">
        <v>0</v>
      </c>
      <c r="AF247" s="6">
        <v>0</v>
      </c>
      <c r="AG247" s="6">
        <v>507.66981518691603</v>
      </c>
      <c r="AH247" s="6">
        <v>8.1142430331221878</v>
      </c>
      <c r="AI247" s="6">
        <v>0</v>
      </c>
      <c r="AJ247" s="6">
        <v>17.507077908705</v>
      </c>
      <c r="AK247" s="6">
        <v>515.22942814962073</v>
      </c>
      <c r="AL247" s="6">
        <v>0</v>
      </c>
      <c r="AM247" s="6">
        <v>0</v>
      </c>
      <c r="AN247" s="6">
        <v>0</v>
      </c>
      <c r="AO247" s="6">
        <v>0</v>
      </c>
      <c r="AP247" s="6">
        <v>0</v>
      </c>
      <c r="AQ247" s="6">
        <v>515.22942814962073</v>
      </c>
      <c r="AR247" s="6">
        <v>419.99999964779198</v>
      </c>
      <c r="AS247" s="6">
        <v>712.28049899999996</v>
      </c>
      <c r="AT247" s="6">
        <v>-27.608277578571901</v>
      </c>
      <c r="AU247" s="6">
        <v>-69.608107560001542</v>
      </c>
    </row>
    <row r="248" spans="1:47" x14ac:dyDescent="0.35">
      <c r="A248" s="5">
        <v>46022</v>
      </c>
      <c r="B248" s="4" t="s">
        <v>426</v>
      </c>
      <c r="C248" s="4" t="s">
        <v>427</v>
      </c>
      <c r="D248" s="4" t="s">
        <v>79</v>
      </c>
      <c r="E248" s="6">
        <v>39297.560976000001</v>
      </c>
      <c r="F248" s="7">
        <v>3.5000000000000003E-2</v>
      </c>
      <c r="G248" s="6">
        <v>71.680000000000007</v>
      </c>
      <c r="H248" s="6">
        <v>9.86</v>
      </c>
      <c r="I248" s="6">
        <v>95.6</v>
      </c>
      <c r="J248" s="6">
        <v>9.4257580000000001</v>
      </c>
      <c r="K248" s="8">
        <v>1.3320000000000001</v>
      </c>
      <c r="L248" s="6">
        <v>4520.3325750169679</v>
      </c>
      <c r="M248" s="6">
        <v>2292.9531812597861</v>
      </c>
      <c r="N248" s="6">
        <v>361.29171445498639</v>
      </c>
      <c r="O248" s="6">
        <v>3865.7204732649652</v>
      </c>
      <c r="P248" s="6">
        <v>11040.297943996709</v>
      </c>
      <c r="Q248" s="6">
        <v>614.88382199186731</v>
      </c>
      <c r="R248" s="6">
        <v>338.23993232607597</v>
      </c>
      <c r="S248" s="6">
        <v>1082.724974869619</v>
      </c>
      <c r="T248" s="6">
        <v>2966.8225681234339</v>
      </c>
      <c r="U248" s="6">
        <v>5002.6712973109961</v>
      </c>
      <c r="V248" s="6">
        <v>16042.969241307699</v>
      </c>
      <c r="W248" s="6">
        <v>8.0912479854207628</v>
      </c>
      <c r="X248" s="6">
        <v>23.183036921398571</v>
      </c>
      <c r="Y248" s="6">
        <v>-29736.55280507178</v>
      </c>
      <c r="Z248" s="6">
        <v>-13662.309278857259</v>
      </c>
      <c r="AA248" s="6">
        <v>615.51913167745886</v>
      </c>
      <c r="AB248" s="6">
        <v>-13046.7901471798</v>
      </c>
      <c r="AC248" s="6">
        <v>540.81047463673315</v>
      </c>
      <c r="AD248" s="6">
        <v>6001.8218371282737</v>
      </c>
      <c r="AE248" s="6">
        <v>0</v>
      </c>
      <c r="AF248" s="6">
        <v>0</v>
      </c>
      <c r="AG248" s="6">
        <v>-6504.157835414796</v>
      </c>
      <c r="AH248" s="6">
        <v>272.98971244851651</v>
      </c>
      <c r="AI248" s="6">
        <v>0</v>
      </c>
      <c r="AJ248" s="6">
        <v>5633.8702272605278</v>
      </c>
      <c r="AK248" s="6">
        <v>-6599.1197328340259</v>
      </c>
      <c r="AL248" s="6">
        <v>1502.365330899393</v>
      </c>
      <c r="AM248" s="6">
        <v>0</v>
      </c>
      <c r="AN248" s="6">
        <v>0</v>
      </c>
      <c r="AO248" s="6">
        <v>0</v>
      </c>
      <c r="AP248" s="6">
        <v>0</v>
      </c>
      <c r="AQ248" s="6">
        <v>-5096.7544019346333</v>
      </c>
      <c r="AR248" s="6">
        <v>420.00187111531579</v>
      </c>
      <c r="AS248" s="6">
        <v>6269.2109600000003</v>
      </c>
      <c r="AT248" s="6">
        <v>14082.31114997258</v>
      </c>
      <c r="AU248" s="6">
        <v>13466.79201829512</v>
      </c>
    </row>
    <row r="249" spans="1:47" x14ac:dyDescent="0.35">
      <c r="A249" s="5">
        <v>46022</v>
      </c>
      <c r="B249" s="4" t="s">
        <v>599</v>
      </c>
      <c r="C249" s="4" t="s">
        <v>600</v>
      </c>
      <c r="D249" s="4" t="s">
        <v>222</v>
      </c>
      <c r="E249" s="6">
        <v>5102</v>
      </c>
      <c r="F249" s="7">
        <v>0.64</v>
      </c>
      <c r="G249" s="6">
        <v>87.5</v>
      </c>
      <c r="H249" s="6">
        <v>28.571000000000002</v>
      </c>
      <c r="I249" s="6">
        <v>95.510204000000002</v>
      </c>
      <c r="J249" s="6">
        <v>27.288411</v>
      </c>
      <c r="K249" s="8">
        <v>61.96</v>
      </c>
      <c r="L249" s="6">
        <v>128.2251846610057</v>
      </c>
      <c r="M249" s="6">
        <v>9.4399976055058215</v>
      </c>
      <c r="N249" s="6">
        <v>3.2094846974114071</v>
      </c>
      <c r="O249" s="6">
        <v>80.359433514309742</v>
      </c>
      <c r="P249" s="6">
        <v>221.2341004782327</v>
      </c>
      <c r="Q249" s="6">
        <v>33.50844871773797</v>
      </c>
      <c r="R249" s="6">
        <v>16.81660784894072</v>
      </c>
      <c r="S249" s="6">
        <v>18.828017449911911</v>
      </c>
      <c r="T249" s="6">
        <v>45.78999903088328</v>
      </c>
      <c r="U249" s="6">
        <v>114.9430730474739</v>
      </c>
      <c r="V249" s="6">
        <v>336.17717352570662</v>
      </c>
      <c r="W249" s="6">
        <v>25.325282459349388</v>
      </c>
      <c r="X249" s="6">
        <v>39.187909117048697</v>
      </c>
      <c r="Y249" s="6">
        <v>-246.9455319015392</v>
      </c>
      <c r="Z249" s="6">
        <v>153.74483320056549</v>
      </c>
      <c r="AA249" s="6">
        <v>16.790222244797611</v>
      </c>
      <c r="AB249" s="6">
        <v>170.5350554453631</v>
      </c>
      <c r="AC249" s="6">
        <v>2.5467067588461152</v>
      </c>
      <c r="AD249" s="6">
        <v>193.72499974575399</v>
      </c>
      <c r="AE249" s="6">
        <v>0</v>
      </c>
      <c r="AF249" s="6">
        <v>0</v>
      </c>
      <c r="AG249" s="6">
        <v>366.80676194996317</v>
      </c>
      <c r="AH249" s="6">
        <v>16.739476549021951</v>
      </c>
      <c r="AI249" s="6">
        <v>0</v>
      </c>
      <c r="AJ249" s="6">
        <v>12.4666230298168</v>
      </c>
      <c r="AK249" s="6">
        <v>202.2878617830479</v>
      </c>
      <c r="AL249" s="6">
        <v>197.96994352245969</v>
      </c>
      <c r="AM249" s="6">
        <v>0</v>
      </c>
      <c r="AN249" s="6">
        <v>0</v>
      </c>
      <c r="AO249" s="6">
        <v>0</v>
      </c>
      <c r="AP249" s="6">
        <v>0</v>
      </c>
      <c r="AQ249" s="6">
        <v>400.25780530550759</v>
      </c>
      <c r="AR249" s="6">
        <v>419.99983034515299</v>
      </c>
      <c r="AS249" s="6">
        <v>401.84394900000001</v>
      </c>
      <c r="AT249" s="6">
        <v>266.25499714458749</v>
      </c>
      <c r="AU249" s="6">
        <v>249.46477489978989</v>
      </c>
    </row>
    <row r="250" spans="1:47" x14ac:dyDescent="0.35">
      <c r="A250" s="5">
        <v>46022</v>
      </c>
      <c r="B250" s="4" t="s">
        <v>601</v>
      </c>
      <c r="C250" s="4" t="s">
        <v>602</v>
      </c>
      <c r="D250" s="4" t="s">
        <v>61</v>
      </c>
      <c r="E250" s="6">
        <v>55</v>
      </c>
      <c r="F250" s="7">
        <v>0.8</v>
      </c>
      <c r="G250" s="6">
        <v>90</v>
      </c>
      <c r="H250" s="6">
        <v>0.39600000000000002</v>
      </c>
      <c r="I250" s="6">
        <v>97</v>
      </c>
      <c r="J250" s="6">
        <v>0.38412000000000002</v>
      </c>
      <c r="K250" s="8">
        <v>90.521000000000001</v>
      </c>
      <c r="L250" s="6">
        <v>56.546972003958331</v>
      </c>
      <c r="M250" s="6">
        <v>0</v>
      </c>
      <c r="N250" s="6">
        <v>18.361632164944439</v>
      </c>
      <c r="O250" s="6">
        <v>45.398997774472221</v>
      </c>
      <c r="P250" s="6">
        <v>120.307601943375</v>
      </c>
      <c r="Q250" s="6">
        <v>26.300368934583329</v>
      </c>
      <c r="R250" s="6">
        <v>8.3465802184722229</v>
      </c>
      <c r="S250" s="6">
        <v>21.342696555736111</v>
      </c>
      <c r="T250" s="6">
        <v>50.33844592379166</v>
      </c>
      <c r="U250" s="6">
        <v>106.32809163258329</v>
      </c>
      <c r="V250" s="6">
        <v>226.6356935759583</v>
      </c>
      <c r="W250" s="6">
        <v>3.0990750526950781</v>
      </c>
      <c r="X250" s="6">
        <v>26.50226004127876</v>
      </c>
      <c r="Y250" s="6">
        <v>-42.931028282537511</v>
      </c>
      <c r="Z250" s="6">
        <v>213.30600038739459</v>
      </c>
      <c r="AA250" s="6">
        <v>49.127719066396438</v>
      </c>
      <c r="AB250" s="6">
        <v>262.43371945379113</v>
      </c>
      <c r="AC250" s="6">
        <v>0</v>
      </c>
      <c r="AD250" s="6">
        <v>30.473301833333331</v>
      </c>
      <c r="AE250" s="6">
        <v>0</v>
      </c>
      <c r="AF250" s="6">
        <v>0</v>
      </c>
      <c r="AG250" s="6">
        <v>292.90702128712439</v>
      </c>
      <c r="AH250" s="6">
        <v>22.873220088736112</v>
      </c>
      <c r="AI250" s="6">
        <v>0</v>
      </c>
      <c r="AJ250" s="6">
        <v>11.340809439361109</v>
      </c>
      <c r="AK250" s="6">
        <v>296.6477489818883</v>
      </c>
      <c r="AL250" s="6">
        <v>0</v>
      </c>
      <c r="AM250" s="6">
        <v>0</v>
      </c>
      <c r="AN250" s="6">
        <v>0</v>
      </c>
      <c r="AO250" s="6">
        <v>0</v>
      </c>
      <c r="AP250" s="6">
        <v>0</v>
      </c>
      <c r="AQ250" s="6">
        <v>296.6477489818883</v>
      </c>
      <c r="AR250" s="6">
        <v>419.97813148161219</v>
      </c>
      <c r="AS250" s="6">
        <v>3.9316840000000002</v>
      </c>
      <c r="AT250" s="6">
        <v>206.6721310942176</v>
      </c>
      <c r="AU250" s="6">
        <v>157.5444120278211</v>
      </c>
    </row>
    <row r="251" spans="1:47" x14ac:dyDescent="0.35">
      <c r="A251" s="5">
        <v>46022</v>
      </c>
      <c r="B251" s="4" t="s">
        <v>603</v>
      </c>
      <c r="C251" s="4" t="s">
        <v>604</v>
      </c>
      <c r="D251" s="4" t="s">
        <v>122</v>
      </c>
      <c r="E251" s="6">
        <v>2750</v>
      </c>
      <c r="F251" s="7">
        <v>1.82</v>
      </c>
      <c r="G251" s="6">
        <v>95</v>
      </c>
      <c r="H251" s="6">
        <v>47.548000000000002</v>
      </c>
      <c r="I251" s="6">
        <v>97</v>
      </c>
      <c r="J251" s="6">
        <v>46.121074999999998</v>
      </c>
      <c r="K251" s="8">
        <v>100</v>
      </c>
      <c r="L251" s="6">
        <v>97.868036676963555</v>
      </c>
      <c r="M251" s="6">
        <v>11.234092826356269</v>
      </c>
      <c r="N251" s="6">
        <v>2.7947102664372472</v>
      </c>
      <c r="O251" s="6">
        <v>3.4412659417408902</v>
      </c>
      <c r="P251" s="6">
        <v>115.338105711498</v>
      </c>
      <c r="Q251" s="6">
        <v>10.718819921214569</v>
      </c>
      <c r="R251" s="6">
        <v>1.824192496032389</v>
      </c>
      <c r="S251" s="6">
        <v>3.917893176153846</v>
      </c>
      <c r="T251" s="6">
        <v>3.2493925801214578</v>
      </c>
      <c r="U251" s="6">
        <v>19.710298173522268</v>
      </c>
      <c r="V251" s="6">
        <v>135.04840388502021</v>
      </c>
      <c r="W251" s="6">
        <v>9.3524200000000004</v>
      </c>
      <c r="X251" s="6">
        <v>22.963876336412369</v>
      </c>
      <c r="Y251" s="6">
        <v>4.98951607E-16</v>
      </c>
      <c r="Z251" s="6">
        <v>167.3647002214326</v>
      </c>
      <c r="AA251" s="6">
        <v>22.639892156380171</v>
      </c>
      <c r="AB251" s="6">
        <v>190.0045923778128</v>
      </c>
      <c r="AC251" s="6">
        <v>0</v>
      </c>
      <c r="AD251" s="6">
        <v>30.15852537611336</v>
      </c>
      <c r="AE251" s="6">
        <v>0</v>
      </c>
      <c r="AF251" s="6">
        <v>0</v>
      </c>
      <c r="AG251" s="6">
        <v>220.16311775392609</v>
      </c>
      <c r="AH251" s="6">
        <v>5.4019366963157891</v>
      </c>
      <c r="AI251" s="6">
        <v>0</v>
      </c>
      <c r="AJ251" s="6">
        <v>16.26776378615385</v>
      </c>
      <c r="AK251" s="6">
        <v>211.67429286028241</v>
      </c>
      <c r="AL251" s="6">
        <v>0</v>
      </c>
      <c r="AM251" s="6">
        <v>0</v>
      </c>
      <c r="AN251" s="6">
        <v>0</v>
      </c>
      <c r="AO251" s="6">
        <v>0</v>
      </c>
      <c r="AP251" s="6">
        <v>0</v>
      </c>
      <c r="AQ251" s="6">
        <v>211.67429286028241</v>
      </c>
      <c r="AR251" s="6">
        <v>420.00022730944102</v>
      </c>
      <c r="AS251" s="6">
        <v>427.05440499999997</v>
      </c>
      <c r="AT251" s="6">
        <v>252.63552708800839</v>
      </c>
      <c r="AU251" s="6">
        <v>229.9956349316283</v>
      </c>
    </row>
    <row r="252" spans="1:47" x14ac:dyDescent="0.35">
      <c r="A252" s="5">
        <v>46022</v>
      </c>
      <c r="B252" s="4" t="s">
        <v>605</v>
      </c>
      <c r="C252" s="4" t="s">
        <v>606</v>
      </c>
      <c r="D252" s="4" t="s">
        <v>86</v>
      </c>
      <c r="E252" s="6">
        <v>33740</v>
      </c>
      <c r="F252" s="7">
        <v>1.5</v>
      </c>
      <c r="G252" s="6">
        <v>94</v>
      </c>
      <c r="H252" s="6">
        <v>475.73400900000001</v>
      </c>
      <c r="I252" s="6">
        <v>92.189010999999994</v>
      </c>
      <c r="J252" s="6">
        <v>438.57446299999998</v>
      </c>
      <c r="K252" s="8">
        <v>24.974554061889599</v>
      </c>
      <c r="L252" s="6">
        <v>108.7906437537136</v>
      </c>
      <c r="M252" s="6">
        <v>9.9819351595443067</v>
      </c>
      <c r="N252" s="6">
        <v>6.2749276281985731</v>
      </c>
      <c r="O252" s="6">
        <v>100.1190420438204</v>
      </c>
      <c r="P252" s="6">
        <v>225.1665485852769</v>
      </c>
      <c r="Q252" s="6">
        <v>6.846596993380599</v>
      </c>
      <c r="R252" s="6">
        <v>6.4033995158742094</v>
      </c>
      <c r="S252" s="6">
        <v>7.0257183683214999</v>
      </c>
      <c r="T252" s="6">
        <v>10.097266814982509</v>
      </c>
      <c r="U252" s="6">
        <v>30.37298169255881</v>
      </c>
      <c r="V252" s="6">
        <v>255.53953027783569</v>
      </c>
      <c r="W252" s="6">
        <v>7.3924309170575029</v>
      </c>
      <c r="X252" s="6">
        <v>25.777587439545819</v>
      </c>
      <c r="Y252" s="6">
        <v>-821.18938124498379</v>
      </c>
      <c r="Z252" s="6">
        <v>-532.4798326105448</v>
      </c>
      <c r="AA252" s="6">
        <v>89.947876585943376</v>
      </c>
      <c r="AB252" s="6">
        <v>-442.53195602460141</v>
      </c>
      <c r="AC252" s="6">
        <v>0</v>
      </c>
      <c r="AD252" s="6">
        <v>94.020841205716096</v>
      </c>
      <c r="AE252" s="6">
        <v>0</v>
      </c>
      <c r="AF252" s="6">
        <v>0</v>
      </c>
      <c r="AG252" s="6">
        <v>-348.51111481888529</v>
      </c>
      <c r="AH252" s="6">
        <v>71.103179259789073</v>
      </c>
      <c r="AI252" s="6">
        <v>0</v>
      </c>
      <c r="AJ252" s="6">
        <v>95.264013231832095</v>
      </c>
      <c r="AK252" s="6">
        <v>-276.1647635329802</v>
      </c>
      <c r="AL252" s="6">
        <v>0</v>
      </c>
      <c r="AM252" s="6">
        <v>16.00244804341208</v>
      </c>
      <c r="AN252" s="6">
        <v>0</v>
      </c>
      <c r="AO252" s="6">
        <v>0</v>
      </c>
      <c r="AP252" s="6">
        <v>5.1712142426388974</v>
      </c>
      <c r="AQ252" s="6">
        <v>-254.9911012469293</v>
      </c>
      <c r="AR252" s="6">
        <v>419.99999964779198</v>
      </c>
      <c r="AS252" s="6">
        <v>12973.500700000001</v>
      </c>
      <c r="AT252" s="6">
        <v>952.47983225833673</v>
      </c>
      <c r="AU252" s="6">
        <v>862.53195567239345</v>
      </c>
    </row>
    <row r="253" spans="1:47" x14ac:dyDescent="0.35">
      <c r="A253" s="5">
        <v>46022</v>
      </c>
      <c r="B253" s="4" t="s">
        <v>401</v>
      </c>
      <c r="C253" s="4" t="s">
        <v>402</v>
      </c>
      <c r="D253" s="4" t="s">
        <v>89</v>
      </c>
      <c r="E253" s="6">
        <v>7800</v>
      </c>
      <c r="F253" s="7">
        <v>0.5151</v>
      </c>
      <c r="G253" s="6">
        <v>88</v>
      </c>
      <c r="H253" s="6">
        <v>35.356000000000002</v>
      </c>
      <c r="I253" s="6">
        <v>97</v>
      </c>
      <c r="J253" s="6">
        <v>34.295769999999997</v>
      </c>
      <c r="K253" s="8">
        <v>86.418000000000006</v>
      </c>
      <c r="L253" s="6">
        <v>51.547950701683781</v>
      </c>
      <c r="M253" s="6">
        <v>3.496686564407756</v>
      </c>
      <c r="N253" s="6">
        <v>12.962471316394931</v>
      </c>
      <c r="O253" s="6">
        <v>47.289092908794593</v>
      </c>
      <c r="P253" s="6">
        <v>115.2962014912811</v>
      </c>
      <c r="Q253" s="6">
        <v>12.7105600099929</v>
      </c>
      <c r="R253" s="6">
        <v>25.82479295579444</v>
      </c>
      <c r="S253" s="6">
        <v>26.732009966986571</v>
      </c>
      <c r="T253" s="6">
        <v>40.48442372431365</v>
      </c>
      <c r="U253" s="6">
        <v>105.75178665708761</v>
      </c>
      <c r="V253" s="6">
        <v>221.0479881483686</v>
      </c>
      <c r="W253" s="6">
        <v>15.143313189549151</v>
      </c>
      <c r="X253" s="6">
        <v>21.774981228268789</v>
      </c>
      <c r="Y253" s="6">
        <v>-130.94322712441851</v>
      </c>
      <c r="Z253" s="6">
        <v>127.02305544176809</v>
      </c>
      <c r="AA253" s="6">
        <v>20.401118010327409</v>
      </c>
      <c r="AB253" s="6">
        <v>147.42417345209549</v>
      </c>
      <c r="AC253" s="6">
        <v>0</v>
      </c>
      <c r="AD253" s="6">
        <v>47.630507573005872</v>
      </c>
      <c r="AE253" s="6">
        <v>0</v>
      </c>
      <c r="AF253" s="6">
        <v>0</v>
      </c>
      <c r="AG253" s="6">
        <v>195.05468102510139</v>
      </c>
      <c r="AH253" s="6">
        <v>6.567644155778174</v>
      </c>
      <c r="AI253" s="6">
        <v>0</v>
      </c>
      <c r="AJ253" s="6">
        <v>18.389968963980628</v>
      </c>
      <c r="AK253" s="6">
        <v>172.38178657185429</v>
      </c>
      <c r="AL253" s="6">
        <v>59.516545237113107</v>
      </c>
      <c r="AM253" s="6">
        <v>0</v>
      </c>
      <c r="AN253" s="6">
        <v>0</v>
      </c>
      <c r="AO253" s="6">
        <v>0</v>
      </c>
      <c r="AP253" s="6">
        <v>0</v>
      </c>
      <c r="AQ253" s="6">
        <v>231.89833180896741</v>
      </c>
      <c r="AR253" s="6">
        <v>420.00036704003861</v>
      </c>
      <c r="AS253" s="6">
        <v>416.89344499999999</v>
      </c>
      <c r="AT253" s="6">
        <v>292.97731159827049</v>
      </c>
      <c r="AU253" s="6">
        <v>272.57619358794312</v>
      </c>
    </row>
    <row r="254" spans="1:47" x14ac:dyDescent="0.35">
      <c r="A254" s="5">
        <v>46022</v>
      </c>
      <c r="B254" s="4" t="s">
        <v>444</v>
      </c>
      <c r="C254" s="4" t="s">
        <v>445</v>
      </c>
      <c r="D254" s="4" t="s">
        <v>89</v>
      </c>
      <c r="E254" s="6">
        <v>763.72900000000004</v>
      </c>
      <c r="F254" s="7">
        <v>0.68689999999999996</v>
      </c>
      <c r="G254" s="6">
        <v>80.67</v>
      </c>
      <c r="H254" s="6">
        <v>4.2320000000000002</v>
      </c>
      <c r="I254" s="6">
        <v>96.502836000000002</v>
      </c>
      <c r="J254" s="6">
        <v>4.0839999999999996</v>
      </c>
      <c r="K254" s="8">
        <v>22.998999999999999</v>
      </c>
      <c r="L254" s="6">
        <v>379.21625801908363</v>
      </c>
      <c r="M254" s="6">
        <v>34.363161266732277</v>
      </c>
      <c r="N254" s="6">
        <v>59.058359382559082</v>
      </c>
      <c r="O254" s="6">
        <v>250.85247345192329</v>
      </c>
      <c r="P254" s="6">
        <v>723.49025212029835</v>
      </c>
      <c r="Q254" s="6">
        <v>167.585729977814</v>
      </c>
      <c r="R254" s="6">
        <v>34.823365969091562</v>
      </c>
      <c r="S254" s="6">
        <v>130.27417610798591</v>
      </c>
      <c r="T254" s="6">
        <v>52.196207995696838</v>
      </c>
      <c r="U254" s="6">
        <v>384.87948005058831</v>
      </c>
      <c r="V254" s="6">
        <v>1108.3697321708869</v>
      </c>
      <c r="W254" s="6">
        <v>8.2007037675932448</v>
      </c>
      <c r="X254" s="6">
        <v>0</v>
      </c>
      <c r="Y254" s="6">
        <v>-1380.699467509136</v>
      </c>
      <c r="Z254" s="6">
        <v>-264.1290315706562</v>
      </c>
      <c r="AA254" s="6">
        <v>91.425869216854935</v>
      </c>
      <c r="AB254" s="6">
        <v>-172.7031623538013</v>
      </c>
      <c r="AC254" s="6">
        <v>21.38015331640484</v>
      </c>
      <c r="AD254" s="6">
        <v>781.71738616273501</v>
      </c>
      <c r="AE254" s="6">
        <v>0</v>
      </c>
      <c r="AF254" s="6">
        <v>0</v>
      </c>
      <c r="AG254" s="6">
        <v>630.39437712533856</v>
      </c>
      <c r="AH254" s="6">
        <v>44.42628599584598</v>
      </c>
      <c r="AI254" s="6">
        <v>0</v>
      </c>
      <c r="AJ254" s="6">
        <v>59.976631219817278</v>
      </c>
      <c r="AK254" s="6">
        <v>-46.920091821733173</v>
      </c>
      <c r="AL254" s="6">
        <v>0</v>
      </c>
      <c r="AM254" s="6">
        <v>0</v>
      </c>
      <c r="AN254" s="6">
        <v>0</v>
      </c>
      <c r="AO254" s="6">
        <v>0</v>
      </c>
      <c r="AP254" s="6">
        <v>0</v>
      </c>
      <c r="AQ254" s="6">
        <v>-46.920091821733173</v>
      </c>
      <c r="AR254" s="6">
        <v>419.99999964779198</v>
      </c>
      <c r="AS254" s="6">
        <v>166.715238</v>
      </c>
      <c r="AT254" s="6">
        <v>684.12903121844818</v>
      </c>
      <c r="AU254" s="6">
        <v>592.70316200159323</v>
      </c>
    </row>
    <row r="255" spans="1:47" x14ac:dyDescent="0.35">
      <c r="A255" s="5">
        <v>46022</v>
      </c>
      <c r="B255" s="4" t="s">
        <v>789</v>
      </c>
      <c r="C255" s="4" t="s">
        <v>790</v>
      </c>
      <c r="D255" s="4" t="s">
        <v>61</v>
      </c>
      <c r="E255" s="6">
        <v>220</v>
      </c>
      <c r="F255" s="7">
        <v>0.98809999999999998</v>
      </c>
      <c r="G255" s="6">
        <v>92</v>
      </c>
      <c r="H255" s="6">
        <v>2</v>
      </c>
      <c r="I255" s="6">
        <v>97</v>
      </c>
      <c r="J255" s="6">
        <v>1.94</v>
      </c>
      <c r="K255" s="8">
        <v>96.497</v>
      </c>
      <c r="L255" s="6">
        <v>39.743023215356999</v>
      </c>
      <c r="M255" s="6">
        <v>0.80802898029699999</v>
      </c>
      <c r="N255" s="6">
        <v>14.305328360015</v>
      </c>
      <c r="O255" s="6">
        <v>13.06805697043</v>
      </c>
      <c r="P255" s="6">
        <v>67.924437526098998</v>
      </c>
      <c r="Q255" s="6">
        <v>5.9036468523339991</v>
      </c>
      <c r="R255" s="6">
        <v>11.706124836560001</v>
      </c>
      <c r="S255" s="6">
        <v>19.507022314934002</v>
      </c>
      <c r="T255" s="6">
        <v>14.81649656564</v>
      </c>
      <c r="U255" s="6">
        <v>51.933290569467999</v>
      </c>
      <c r="V255" s="6">
        <v>119.857728095567</v>
      </c>
      <c r="W255" s="6">
        <v>8.5324811804540008</v>
      </c>
      <c r="X255" s="6">
        <v>26.704840000000001</v>
      </c>
      <c r="Y255" s="6">
        <v>-14.957673702219809</v>
      </c>
      <c r="Z255" s="6">
        <v>140.13737557380119</v>
      </c>
      <c r="AA255" s="6">
        <v>33.937289567278</v>
      </c>
      <c r="AB255" s="6">
        <v>174.07466514107921</v>
      </c>
      <c r="AC255" s="6">
        <v>0</v>
      </c>
      <c r="AD255" s="6">
        <v>5.0582016453429999</v>
      </c>
      <c r="AE255" s="6">
        <v>0</v>
      </c>
      <c r="AF255" s="6">
        <v>0</v>
      </c>
      <c r="AG255" s="6">
        <v>179.1328667864222</v>
      </c>
      <c r="AH255" s="6">
        <v>10.116403290686</v>
      </c>
      <c r="AI255" s="6">
        <v>0</v>
      </c>
      <c r="AJ255" s="6">
        <v>3.613001175245</v>
      </c>
      <c r="AK255" s="6">
        <v>187.80406960701021</v>
      </c>
      <c r="AL255" s="6">
        <v>0</v>
      </c>
      <c r="AM255" s="6">
        <v>0</v>
      </c>
      <c r="AN255" s="6">
        <v>0</v>
      </c>
      <c r="AO255" s="6">
        <v>0</v>
      </c>
      <c r="AP255" s="6">
        <v>0</v>
      </c>
      <c r="AQ255" s="6">
        <v>187.80406960701021</v>
      </c>
      <c r="AR255" s="6">
        <v>419.99999964779192</v>
      </c>
      <c r="AS255" s="6">
        <v>18.626476</v>
      </c>
      <c r="AT255" s="6">
        <v>279.86262407399079</v>
      </c>
      <c r="AU255" s="6">
        <v>245.9253345067128</v>
      </c>
    </row>
    <row r="256" spans="1:47" x14ac:dyDescent="0.35">
      <c r="A256" s="5">
        <v>46022</v>
      </c>
      <c r="B256" s="4" t="s">
        <v>607</v>
      </c>
      <c r="C256" s="4" t="s">
        <v>608</v>
      </c>
      <c r="D256" s="4" t="s">
        <v>250</v>
      </c>
      <c r="E256" s="6">
        <v>19100</v>
      </c>
      <c r="F256" s="7">
        <v>0.61</v>
      </c>
      <c r="G256" s="6">
        <v>87.3</v>
      </c>
      <c r="H256" s="6">
        <v>101.71299999999999</v>
      </c>
      <c r="I256" s="6">
        <v>95.499797999999998</v>
      </c>
      <c r="J256" s="6">
        <v>97.135929000000004</v>
      </c>
      <c r="K256" s="8">
        <v>60.195</v>
      </c>
      <c r="L256" s="6">
        <v>24.004203048806971</v>
      </c>
      <c r="M256" s="6">
        <v>24.873784890341319</v>
      </c>
      <c r="N256" s="6">
        <v>4.1134448913311967</v>
      </c>
      <c r="O256" s="6">
        <v>74.712739385921466</v>
      </c>
      <c r="P256" s="6">
        <v>127.70417221640091</v>
      </c>
      <c r="Q256" s="6">
        <v>12.9531188665597</v>
      </c>
      <c r="R256" s="6">
        <v>15.834154451782069</v>
      </c>
      <c r="S256" s="6">
        <v>12.48576890795011</v>
      </c>
      <c r="T256" s="6">
        <v>120.60886173770839</v>
      </c>
      <c r="U256" s="6">
        <v>161.88190396400029</v>
      </c>
      <c r="V256" s="6">
        <v>289.58607618040122</v>
      </c>
      <c r="W256" s="6">
        <v>9.9935949018120951</v>
      </c>
      <c r="X256" s="6">
        <v>11.21115133326726</v>
      </c>
      <c r="Y256" s="6">
        <v>-272.59185635952571</v>
      </c>
      <c r="Z256" s="6">
        <v>38.19896605595487</v>
      </c>
      <c r="AA256" s="6">
        <v>13.85907075543793</v>
      </c>
      <c r="AB256" s="6">
        <v>52.058036811392803</v>
      </c>
      <c r="AC256" s="6">
        <v>9.4255225988905984</v>
      </c>
      <c r="AD256" s="6">
        <v>216.59784645777719</v>
      </c>
      <c r="AE256" s="6">
        <v>0</v>
      </c>
      <c r="AF256" s="6">
        <v>0</v>
      </c>
      <c r="AG256" s="6">
        <v>278.08140586806059</v>
      </c>
      <c r="AH256" s="6">
        <v>18.29865197774788</v>
      </c>
      <c r="AI256" s="6">
        <v>0</v>
      </c>
      <c r="AJ256" s="6">
        <v>166.70708112783831</v>
      </c>
      <c r="AK256" s="6">
        <v>246.48929251586961</v>
      </c>
      <c r="AL256" s="6">
        <v>0</v>
      </c>
      <c r="AM256" s="6">
        <v>0</v>
      </c>
      <c r="AN256" s="6">
        <v>0</v>
      </c>
      <c r="AO256" s="6">
        <v>0</v>
      </c>
      <c r="AP256" s="6">
        <v>0</v>
      </c>
      <c r="AQ256" s="6">
        <v>246.48929251586961</v>
      </c>
      <c r="AR256" s="6">
        <v>419.9998742564963</v>
      </c>
      <c r="AS256" s="6">
        <v>1483.945653</v>
      </c>
      <c r="AT256" s="6">
        <v>381.80090820054141</v>
      </c>
      <c r="AU256" s="6">
        <v>367.94183744510349</v>
      </c>
    </row>
    <row r="257" spans="1:47" x14ac:dyDescent="0.35">
      <c r="A257" s="5">
        <v>46022</v>
      </c>
      <c r="B257" s="4" t="s">
        <v>609</v>
      </c>
      <c r="C257" s="4" t="s">
        <v>610</v>
      </c>
      <c r="D257" s="4" t="s">
        <v>89</v>
      </c>
      <c r="E257" s="6">
        <v>9962.2483219999995</v>
      </c>
      <c r="F257" s="7">
        <v>2.0571000000000002</v>
      </c>
      <c r="G257" s="6">
        <v>98.39</v>
      </c>
      <c r="H257" s="6">
        <v>201.626</v>
      </c>
      <c r="I257" s="6">
        <v>98.5</v>
      </c>
      <c r="J257" s="6">
        <v>198.60171299999999</v>
      </c>
      <c r="K257" s="8">
        <v>61.908000000000001</v>
      </c>
      <c r="L257" s="6">
        <v>143.43378338100339</v>
      </c>
      <c r="M257" s="6">
        <v>4.9653946273134064</v>
      </c>
      <c r="N257" s="6">
        <v>12.204845413950929</v>
      </c>
      <c r="O257" s="6">
        <v>101.872876358501</v>
      </c>
      <c r="P257" s="6">
        <v>262.47689978076869</v>
      </c>
      <c r="Q257" s="6">
        <v>29.842404052839061</v>
      </c>
      <c r="R257" s="6">
        <v>25.594188649574001</v>
      </c>
      <c r="S257" s="6">
        <v>17.049744302522541</v>
      </c>
      <c r="T257" s="6">
        <v>40.638178787120651</v>
      </c>
      <c r="U257" s="6">
        <v>113.1245157920562</v>
      </c>
      <c r="V257" s="6">
        <v>375.60141557282498</v>
      </c>
      <c r="W257" s="6">
        <v>2.5583325421450418</v>
      </c>
      <c r="X257" s="6">
        <v>32.373327222405983</v>
      </c>
      <c r="Y257" s="6">
        <v>-242.4018738604388</v>
      </c>
      <c r="Z257" s="6">
        <v>168.13120147693721</v>
      </c>
      <c r="AA257" s="6">
        <v>48.868228592742497</v>
      </c>
      <c r="AB257" s="6">
        <v>216.9994300696797</v>
      </c>
      <c r="AC257" s="6">
        <v>0</v>
      </c>
      <c r="AD257" s="6">
        <v>61.13581270401906</v>
      </c>
      <c r="AE257" s="6">
        <v>0</v>
      </c>
      <c r="AF257" s="6">
        <v>0</v>
      </c>
      <c r="AG257" s="6">
        <v>278.13524277369879</v>
      </c>
      <c r="AH257" s="6">
        <v>2.6329518002175978</v>
      </c>
      <c r="AI257" s="6">
        <v>0</v>
      </c>
      <c r="AJ257" s="6">
        <v>47.879229114985861</v>
      </c>
      <c r="AK257" s="6">
        <v>267.51161098488319</v>
      </c>
      <c r="AL257" s="6">
        <v>0</v>
      </c>
      <c r="AM257" s="6">
        <v>0</v>
      </c>
      <c r="AN257" s="6">
        <v>0</v>
      </c>
      <c r="AO257" s="6">
        <v>0</v>
      </c>
      <c r="AP257" s="6">
        <v>0</v>
      </c>
      <c r="AQ257" s="6">
        <v>267.51161098488319</v>
      </c>
      <c r="AR257" s="6">
        <v>419.99997215558199</v>
      </c>
      <c r="AS257" s="6">
        <v>2902.183587</v>
      </c>
      <c r="AT257" s="6">
        <v>251.86877067864481</v>
      </c>
      <c r="AU257" s="6">
        <v>203.00054208590231</v>
      </c>
    </row>
    <row r="258" spans="1:47" x14ac:dyDescent="0.35">
      <c r="A258" s="5">
        <v>46022</v>
      </c>
      <c r="B258" s="4" t="s">
        <v>611</v>
      </c>
      <c r="C258" s="4" t="s">
        <v>612</v>
      </c>
      <c r="D258" s="4" t="s">
        <v>222</v>
      </c>
      <c r="E258" s="6">
        <v>4200</v>
      </c>
      <c r="F258" s="7">
        <v>1.5053000000000001</v>
      </c>
      <c r="G258" s="6">
        <v>94.9</v>
      </c>
      <c r="H258" s="6">
        <v>60</v>
      </c>
      <c r="I258" s="6">
        <v>97</v>
      </c>
      <c r="J258" s="6">
        <v>58.2</v>
      </c>
      <c r="K258" s="8">
        <v>38.640999999999998</v>
      </c>
      <c r="L258" s="6">
        <v>141.4891661062442</v>
      </c>
      <c r="M258" s="6">
        <v>37.720086819800002</v>
      </c>
      <c r="N258" s="6">
        <v>32.178564331855547</v>
      </c>
      <c r="O258" s="6">
        <v>281.61273724087152</v>
      </c>
      <c r="P258" s="6">
        <v>493.00055449877118</v>
      </c>
      <c r="Q258" s="6">
        <v>50.152894041834521</v>
      </c>
      <c r="R258" s="6">
        <v>35.377122281888241</v>
      </c>
      <c r="S258" s="6">
        <v>38.340117040626858</v>
      </c>
      <c r="T258" s="6">
        <v>42.617602178538249</v>
      </c>
      <c r="U258" s="6">
        <v>166.48773554288789</v>
      </c>
      <c r="V258" s="6">
        <v>659.48829004165907</v>
      </c>
      <c r="W258" s="6">
        <v>2.8365097064810332</v>
      </c>
      <c r="X258" s="6">
        <v>19.376089482693331</v>
      </c>
      <c r="Y258" s="6">
        <v>-650.58542991070999</v>
      </c>
      <c r="Z258" s="6">
        <v>31.115459320123389</v>
      </c>
      <c r="AA258" s="6">
        <v>0</v>
      </c>
      <c r="AB258" s="6">
        <v>31.115459320123389</v>
      </c>
      <c r="AC258" s="6">
        <v>0</v>
      </c>
      <c r="AD258" s="6">
        <v>146.31955491416039</v>
      </c>
      <c r="AE258" s="6">
        <v>0</v>
      </c>
      <c r="AF258" s="6">
        <v>0</v>
      </c>
      <c r="AG258" s="6">
        <v>177.4350142342837</v>
      </c>
      <c r="AH258" s="6">
        <v>16.19870836415949</v>
      </c>
      <c r="AI258" s="6">
        <v>0</v>
      </c>
      <c r="AJ258" s="6">
        <v>125.81398706511671</v>
      </c>
      <c r="AK258" s="6">
        <v>173.12815474939961</v>
      </c>
      <c r="AL258" s="6">
        <v>0</v>
      </c>
      <c r="AM258" s="6">
        <v>0</v>
      </c>
      <c r="AN258" s="6">
        <v>0</v>
      </c>
      <c r="AO258" s="6">
        <v>0</v>
      </c>
      <c r="AP258" s="6">
        <v>0</v>
      </c>
      <c r="AQ258" s="6">
        <v>173.12815474939961</v>
      </c>
      <c r="AR258" s="6">
        <v>419.99999964779192</v>
      </c>
      <c r="AS258" s="6">
        <v>1561.407234</v>
      </c>
      <c r="AT258" s="6">
        <v>388.8845403276685</v>
      </c>
      <c r="AU258" s="6">
        <v>388.8845403276685</v>
      </c>
    </row>
    <row r="259" spans="1:47" x14ac:dyDescent="0.35">
      <c r="A259" s="5">
        <v>46022</v>
      </c>
      <c r="B259" s="4" t="s">
        <v>446</v>
      </c>
      <c r="C259" s="4" t="s">
        <v>447</v>
      </c>
      <c r="D259" s="4" t="s">
        <v>351</v>
      </c>
      <c r="E259" s="6">
        <v>36000</v>
      </c>
      <c r="F259" s="7">
        <v>0.98</v>
      </c>
      <c r="G259" s="6">
        <v>91</v>
      </c>
      <c r="H259" s="6">
        <v>321.048</v>
      </c>
      <c r="I259" s="6">
        <v>96.5</v>
      </c>
      <c r="J259" s="6">
        <v>309.81132000000002</v>
      </c>
      <c r="K259" s="8">
        <v>81.022999999999996</v>
      </c>
      <c r="L259" s="6">
        <v>11.73810531326815</v>
      </c>
      <c r="M259" s="6">
        <v>8.8643017741249857</v>
      </c>
      <c r="N259" s="6">
        <v>4.7020993480327951</v>
      </c>
      <c r="O259" s="6">
        <v>39.960974058722471</v>
      </c>
      <c r="P259" s="6">
        <v>65.265480494148406</v>
      </c>
      <c r="Q259" s="6">
        <v>2.8833172109491541</v>
      </c>
      <c r="R259" s="6">
        <v>4.778029517582417</v>
      </c>
      <c r="S259" s="6">
        <v>25.085106932602631</v>
      </c>
      <c r="T259" s="6">
        <v>22.413936696828561</v>
      </c>
      <c r="U259" s="6">
        <v>55.160390357962747</v>
      </c>
      <c r="V259" s="6">
        <v>120.4258708521112</v>
      </c>
      <c r="W259" s="6">
        <v>6.8572339635774018</v>
      </c>
      <c r="X259" s="6">
        <v>19.023753663314949</v>
      </c>
      <c r="Y259" s="6">
        <v>-95.448686462518154</v>
      </c>
      <c r="Z259" s="6">
        <v>50.858172016485341</v>
      </c>
      <c r="AA259" s="6">
        <v>25.78663144304203</v>
      </c>
      <c r="AB259" s="6">
        <v>76.644803459527367</v>
      </c>
      <c r="AC259" s="6">
        <v>4.6550686036977078</v>
      </c>
      <c r="AD259" s="6">
        <v>86.729378234918357</v>
      </c>
      <c r="AE259" s="6">
        <v>0</v>
      </c>
      <c r="AF259" s="6">
        <v>0</v>
      </c>
      <c r="AG259" s="6">
        <v>168.02925029814341</v>
      </c>
      <c r="AH259" s="6">
        <v>3.6071943146403558</v>
      </c>
      <c r="AI259" s="6">
        <v>0</v>
      </c>
      <c r="AJ259" s="6">
        <v>34.560044126899889</v>
      </c>
      <c r="AK259" s="6">
        <v>119.4671105047653</v>
      </c>
      <c r="AL259" s="6">
        <v>67.933883595463669</v>
      </c>
      <c r="AM259" s="6">
        <v>0</v>
      </c>
      <c r="AN259" s="6">
        <v>0</v>
      </c>
      <c r="AO259" s="6">
        <v>0</v>
      </c>
      <c r="AP259" s="6">
        <v>0</v>
      </c>
      <c r="AQ259" s="6">
        <v>187.40099410022901</v>
      </c>
      <c r="AR259" s="6">
        <v>419.99997253451539</v>
      </c>
      <c r="AS259" s="6">
        <v>3522.5410419999998</v>
      </c>
      <c r="AT259" s="6">
        <v>369.14180051802998</v>
      </c>
      <c r="AU259" s="6">
        <v>343.355169074988</v>
      </c>
    </row>
    <row r="260" spans="1:47" x14ac:dyDescent="0.35">
      <c r="A260" s="5">
        <v>46022</v>
      </c>
      <c r="B260" s="4" t="s">
        <v>791</v>
      </c>
      <c r="C260" s="4" t="s">
        <v>792</v>
      </c>
      <c r="D260" s="4" t="s">
        <v>157</v>
      </c>
      <c r="E260" s="6">
        <v>7000</v>
      </c>
      <c r="F260" s="7">
        <v>0.17499999999999999</v>
      </c>
      <c r="G260" s="6">
        <v>78</v>
      </c>
      <c r="H260" s="6">
        <v>9.5549999999999997</v>
      </c>
      <c r="I260" s="6">
        <v>97</v>
      </c>
      <c r="J260" s="6">
        <v>9.2683499999999999</v>
      </c>
      <c r="K260" s="8">
        <v>46.401000000000003</v>
      </c>
      <c r="L260" s="6">
        <v>78.346929761978743</v>
      </c>
      <c r="M260" s="6">
        <v>9.1465639861538452</v>
      </c>
      <c r="N260" s="6">
        <v>20.18954150842346</v>
      </c>
      <c r="O260" s="6">
        <v>196.57338295697099</v>
      </c>
      <c r="P260" s="6">
        <v>304.25641821352701</v>
      </c>
      <c r="Q260" s="6">
        <v>16.000165936018568</v>
      </c>
      <c r="R260" s="6">
        <v>45.928985645299377</v>
      </c>
      <c r="S260" s="6">
        <v>90.027305202637365</v>
      </c>
      <c r="T260" s="6">
        <v>26.028410854963909</v>
      </c>
      <c r="U260" s="6">
        <v>177.98486763891921</v>
      </c>
      <c r="V260" s="6">
        <v>482.2412858524462</v>
      </c>
      <c r="W260" s="6">
        <v>3.584968435371795</v>
      </c>
      <c r="X260" s="6">
        <v>55.126719673679119</v>
      </c>
      <c r="Y260" s="6">
        <v>-446.96803865215588</v>
      </c>
      <c r="Z260" s="6">
        <v>93.984935309341239</v>
      </c>
      <c r="AA260" s="6">
        <v>47.80568497382788</v>
      </c>
      <c r="AB260" s="6">
        <v>141.79062028316909</v>
      </c>
      <c r="AC260" s="6">
        <v>0</v>
      </c>
      <c r="AD260" s="6">
        <v>217.0325665992616</v>
      </c>
      <c r="AE260" s="6">
        <v>0</v>
      </c>
      <c r="AF260" s="6">
        <v>0</v>
      </c>
      <c r="AG260" s="6">
        <v>358.82318688243072</v>
      </c>
      <c r="AH260" s="6">
        <v>23.163792776072238</v>
      </c>
      <c r="AI260" s="6">
        <v>0</v>
      </c>
      <c r="AJ260" s="6">
        <v>61.736460843863199</v>
      </c>
      <c r="AK260" s="6">
        <v>226.6908739031046</v>
      </c>
      <c r="AL260" s="6">
        <v>39.151936497948718</v>
      </c>
      <c r="AM260" s="6">
        <v>0</v>
      </c>
      <c r="AN260" s="6">
        <v>0</v>
      </c>
      <c r="AO260" s="6">
        <v>0</v>
      </c>
      <c r="AP260" s="6">
        <v>0</v>
      </c>
      <c r="AQ260" s="6">
        <v>265.84281040105333</v>
      </c>
      <c r="AR260" s="6">
        <v>420.00226542325169</v>
      </c>
      <c r="AS260" s="6">
        <v>177.818005</v>
      </c>
      <c r="AT260" s="6">
        <v>326.01733011391048</v>
      </c>
      <c r="AU260" s="6">
        <v>278.21164514008262</v>
      </c>
    </row>
    <row r="261" spans="1:47" x14ac:dyDescent="0.35">
      <c r="A261" s="5">
        <v>46022</v>
      </c>
      <c r="B261" s="4" t="s">
        <v>613</v>
      </c>
      <c r="C261" s="4" t="s">
        <v>614</v>
      </c>
      <c r="D261" s="4" t="s">
        <v>105</v>
      </c>
      <c r="E261" s="6">
        <v>9000</v>
      </c>
      <c r="F261" s="7">
        <v>0.6</v>
      </c>
      <c r="G261" s="6">
        <v>82</v>
      </c>
      <c r="H261" s="6">
        <v>44.279998999999997</v>
      </c>
      <c r="I261" s="6">
        <v>97.5</v>
      </c>
      <c r="J261" s="6">
        <v>43.173000000000002</v>
      </c>
      <c r="K261" s="8">
        <v>74.198394775390597</v>
      </c>
      <c r="L261" s="6">
        <v>36.123484961423777</v>
      </c>
      <c r="M261" s="6">
        <v>2.376476047167396</v>
      </c>
      <c r="N261" s="6">
        <v>3.2558476683604751</v>
      </c>
      <c r="O261" s="6">
        <v>15.634097169533</v>
      </c>
      <c r="P261" s="6">
        <v>57.389905846484652</v>
      </c>
      <c r="Q261" s="6">
        <v>7.1712988286202357</v>
      </c>
      <c r="R261" s="6">
        <v>9.1820176950854293</v>
      </c>
      <c r="S261" s="6">
        <v>14.73958030115536</v>
      </c>
      <c r="T261" s="6">
        <v>14.489832692677879</v>
      </c>
      <c r="U261" s="6">
        <v>45.582729517538901</v>
      </c>
      <c r="V261" s="6">
        <v>102.9726353640236</v>
      </c>
      <c r="W261" s="6">
        <v>0</v>
      </c>
      <c r="X261" s="6">
        <v>17.699811604938269</v>
      </c>
      <c r="Y261" s="6">
        <v>-3.1751465899999999E-16</v>
      </c>
      <c r="Z261" s="6">
        <v>120.67244696896179</v>
      </c>
      <c r="AA261" s="6">
        <v>28.24333898897379</v>
      </c>
      <c r="AB261" s="6">
        <v>148.91578595793561</v>
      </c>
      <c r="AC261" s="6">
        <v>0</v>
      </c>
      <c r="AD261" s="6">
        <v>115.80209237133769</v>
      </c>
      <c r="AE261" s="6">
        <v>0</v>
      </c>
      <c r="AF261" s="6">
        <v>0</v>
      </c>
      <c r="AG261" s="6">
        <v>264.71787832927328</v>
      </c>
      <c r="AH261" s="6">
        <v>3.756686841376883</v>
      </c>
      <c r="AI261" s="6">
        <v>0</v>
      </c>
      <c r="AJ261" s="6">
        <v>19.72262282233633</v>
      </c>
      <c r="AK261" s="6">
        <v>172.39509562164881</v>
      </c>
      <c r="AL261" s="6">
        <v>0</v>
      </c>
      <c r="AM261" s="6">
        <v>0</v>
      </c>
      <c r="AN261" s="6">
        <v>0</v>
      </c>
      <c r="AO261" s="6">
        <v>0</v>
      </c>
      <c r="AP261" s="6">
        <v>0</v>
      </c>
      <c r="AQ261" s="6">
        <v>172.39509562164881</v>
      </c>
      <c r="AR261" s="6">
        <v>419.99999964779192</v>
      </c>
      <c r="AS261" s="6">
        <v>537.64113799999996</v>
      </c>
      <c r="AT261" s="6">
        <v>299.3275526788301</v>
      </c>
      <c r="AU261" s="6">
        <v>271.08421368985631</v>
      </c>
    </row>
    <row r="262" spans="1:47" x14ac:dyDescent="0.35">
      <c r="A262" s="5">
        <v>46022</v>
      </c>
      <c r="B262" s="4" t="s">
        <v>448</v>
      </c>
      <c r="C262" s="4" t="s">
        <v>449</v>
      </c>
      <c r="D262" s="4" t="s">
        <v>148</v>
      </c>
      <c r="E262" s="6">
        <v>15000</v>
      </c>
      <c r="F262" s="7">
        <v>0.45</v>
      </c>
      <c r="G262" s="6">
        <v>92</v>
      </c>
      <c r="H262" s="6">
        <v>62.1</v>
      </c>
      <c r="I262" s="6">
        <v>97</v>
      </c>
      <c r="J262" s="6">
        <v>60.237000000000002</v>
      </c>
      <c r="K262" s="8">
        <v>89.114000000000004</v>
      </c>
      <c r="L262" s="6">
        <v>23.071584295700479</v>
      </c>
      <c r="M262" s="6">
        <v>24.034307500845411</v>
      </c>
      <c r="N262" s="6">
        <v>1.5878556748309181</v>
      </c>
      <c r="O262" s="6">
        <v>30.30311715683575</v>
      </c>
      <c r="P262" s="6">
        <v>78.996864628212563</v>
      </c>
      <c r="Q262" s="6">
        <v>40.659081190338163</v>
      </c>
      <c r="R262" s="6">
        <v>22.24364663144928</v>
      </c>
      <c r="S262" s="6">
        <v>69.395193599057961</v>
      </c>
      <c r="T262" s="6">
        <v>28.837972461328501</v>
      </c>
      <c r="U262" s="6">
        <v>161.13589388217389</v>
      </c>
      <c r="V262" s="6">
        <v>240.13275851038651</v>
      </c>
      <c r="W262" s="6">
        <v>3.5547527135735999</v>
      </c>
      <c r="X262" s="6">
        <v>22.963871999999999</v>
      </c>
      <c r="Y262" s="6">
        <v>-49.790526204571677</v>
      </c>
      <c r="Z262" s="6">
        <v>216.86085701938839</v>
      </c>
      <c r="AA262" s="6">
        <v>11.700401582425741</v>
      </c>
      <c r="AB262" s="6">
        <v>228.5612586018141</v>
      </c>
      <c r="AC262" s="6">
        <v>0</v>
      </c>
      <c r="AD262" s="6">
        <v>17.787252387028978</v>
      </c>
      <c r="AE262" s="6">
        <v>0</v>
      </c>
      <c r="AF262" s="6">
        <v>0</v>
      </c>
      <c r="AG262" s="6">
        <v>246.34851098884309</v>
      </c>
      <c r="AH262" s="6">
        <v>9.7138661835748774</v>
      </c>
      <c r="AI262" s="6">
        <v>0</v>
      </c>
      <c r="AJ262" s="6">
        <v>15.91266823188406</v>
      </c>
      <c r="AK262" s="6">
        <v>254.18779301727301</v>
      </c>
      <c r="AL262" s="6">
        <v>0</v>
      </c>
      <c r="AM262" s="6">
        <v>0</v>
      </c>
      <c r="AN262" s="6">
        <v>0</v>
      </c>
      <c r="AO262" s="6">
        <v>0</v>
      </c>
      <c r="AP262" s="6">
        <v>0</v>
      </c>
      <c r="AQ262" s="6">
        <v>254.18779301727301</v>
      </c>
      <c r="AR262" s="6">
        <v>419.99999964779192</v>
      </c>
      <c r="AS262" s="6">
        <v>624.22618499999999</v>
      </c>
      <c r="AT262" s="6">
        <v>203.13914262840359</v>
      </c>
      <c r="AU262" s="6">
        <v>191.43874104597779</v>
      </c>
    </row>
    <row r="263" spans="1:47" x14ac:dyDescent="0.35">
      <c r="A263" s="5">
        <v>46022</v>
      </c>
      <c r="B263" s="4" t="s">
        <v>450</v>
      </c>
      <c r="C263" s="4" t="s">
        <v>451</v>
      </c>
      <c r="D263" s="4" t="s">
        <v>148</v>
      </c>
      <c r="E263" s="6">
        <v>420</v>
      </c>
      <c r="F263" s="7">
        <v>0.59519999999999995</v>
      </c>
      <c r="G263" s="6">
        <v>60</v>
      </c>
      <c r="H263" s="6">
        <v>1.5</v>
      </c>
      <c r="I263" s="6">
        <v>100</v>
      </c>
      <c r="J263" s="6">
        <v>1.5</v>
      </c>
      <c r="K263" s="8">
        <v>100</v>
      </c>
      <c r="L263" s="6">
        <v>22.769916040280641</v>
      </c>
      <c r="M263" s="6">
        <v>27.287158992114559</v>
      </c>
      <c r="N263" s="6">
        <v>2.0322970269817602</v>
      </c>
      <c r="O263" s="6">
        <v>37.017205208374158</v>
      </c>
      <c r="P263" s="6">
        <v>89.106577267751121</v>
      </c>
      <c r="Q263" s="6">
        <v>15.017351120273039</v>
      </c>
      <c r="R263" s="6">
        <v>153.07894814078941</v>
      </c>
      <c r="S263" s="6">
        <v>9.0352225376767183</v>
      </c>
      <c r="T263" s="6">
        <v>20.31258119017512</v>
      </c>
      <c r="U263" s="6">
        <v>197.4441029889143</v>
      </c>
      <c r="V263" s="6">
        <v>286.55068025666537</v>
      </c>
      <c r="W263" s="6">
        <v>0.17367398674287199</v>
      </c>
      <c r="X263" s="6">
        <v>0</v>
      </c>
      <c r="Y263" s="6">
        <v>0</v>
      </c>
      <c r="Z263" s="6">
        <v>286.7243542434083</v>
      </c>
      <c r="AA263" s="6">
        <v>7.8729630482169801</v>
      </c>
      <c r="AB263" s="6">
        <v>294.5973172916253</v>
      </c>
      <c r="AC263" s="6">
        <v>0</v>
      </c>
      <c r="AD263" s="6">
        <v>46.518551966049237</v>
      </c>
      <c r="AE263" s="6">
        <v>0</v>
      </c>
      <c r="AF263" s="6">
        <v>0</v>
      </c>
      <c r="AG263" s="6">
        <v>341.11586925767449</v>
      </c>
      <c r="AH263" s="6">
        <v>10.922504269599999</v>
      </c>
      <c r="AI263" s="6">
        <v>0</v>
      </c>
      <c r="AJ263" s="6">
        <v>17.892586063968</v>
      </c>
      <c r="AK263" s="6">
        <v>323.41240762519328</v>
      </c>
      <c r="AL263" s="6">
        <v>0</v>
      </c>
      <c r="AM263" s="6">
        <v>0</v>
      </c>
      <c r="AN263" s="6">
        <v>0</v>
      </c>
      <c r="AO263" s="6">
        <v>0</v>
      </c>
      <c r="AP263" s="6">
        <v>0</v>
      </c>
      <c r="AQ263" s="6">
        <v>323.41240762519328</v>
      </c>
      <c r="AR263" s="6">
        <v>419.99999964779192</v>
      </c>
      <c r="AS263" s="6">
        <v>13.889122</v>
      </c>
      <c r="AT263" s="6">
        <v>133.2756454043836</v>
      </c>
      <c r="AU263" s="6">
        <v>125.40268235616669</v>
      </c>
    </row>
    <row r="264" spans="1:47" x14ac:dyDescent="0.35">
      <c r="A264" s="5">
        <v>46022</v>
      </c>
      <c r="B264" s="4" t="s">
        <v>452</v>
      </c>
      <c r="C264" s="4" t="s">
        <v>453</v>
      </c>
      <c r="D264" s="4" t="s">
        <v>89</v>
      </c>
      <c r="E264" s="6">
        <v>690.81061299999999</v>
      </c>
      <c r="F264" s="7">
        <v>0.61670000000000003</v>
      </c>
      <c r="G264" s="6">
        <v>52.23</v>
      </c>
      <c r="H264" s="6">
        <v>2.2250000000000001</v>
      </c>
      <c r="I264" s="6">
        <v>95.439682000000005</v>
      </c>
      <c r="J264" s="6">
        <v>2.1235330000000001</v>
      </c>
      <c r="K264" s="8">
        <v>9.36</v>
      </c>
      <c r="L264" s="6">
        <v>1066.510796848477</v>
      </c>
      <c r="M264" s="6">
        <v>81.686217410935654</v>
      </c>
      <c r="N264" s="6">
        <v>99.443247108549215</v>
      </c>
      <c r="O264" s="6">
        <v>595.41738994461673</v>
      </c>
      <c r="P264" s="6">
        <v>1843.0576513125779</v>
      </c>
      <c r="Q264" s="6">
        <v>391.39295008868271</v>
      </c>
      <c r="R264" s="6">
        <v>61.67039868485525</v>
      </c>
      <c r="S264" s="6">
        <v>62.248844752552749</v>
      </c>
      <c r="T264" s="6">
        <v>349.68824433485241</v>
      </c>
      <c r="U264" s="6">
        <v>865.00043786094307</v>
      </c>
      <c r="V264" s="6">
        <v>2708.0580891735221</v>
      </c>
      <c r="W264" s="6">
        <v>28.906249587016699</v>
      </c>
      <c r="X264" s="6">
        <v>21.33887097535235</v>
      </c>
      <c r="Y264" s="6">
        <v>-3442.3330524128919</v>
      </c>
      <c r="Z264" s="6">
        <v>-684.0298426770014</v>
      </c>
      <c r="AA264" s="6">
        <v>252.88660053021559</v>
      </c>
      <c r="AB264" s="6">
        <v>-431.14324214678578</v>
      </c>
      <c r="AC264" s="6">
        <v>0</v>
      </c>
      <c r="AD264" s="6">
        <v>1051.6620666653339</v>
      </c>
      <c r="AE264" s="6">
        <v>0</v>
      </c>
      <c r="AF264" s="6">
        <v>-5.8347487869393042</v>
      </c>
      <c r="AG264" s="6">
        <v>614.68407573160891</v>
      </c>
      <c r="AH264" s="6">
        <v>144.09947241032609</v>
      </c>
      <c r="AI264" s="6">
        <v>0</v>
      </c>
      <c r="AJ264" s="6">
        <v>571.08701960086307</v>
      </c>
      <c r="AK264" s="6">
        <v>284.04324986440338</v>
      </c>
      <c r="AL264" s="6">
        <v>863.76423275868819</v>
      </c>
      <c r="AM264" s="6">
        <v>0</v>
      </c>
      <c r="AN264" s="6">
        <v>0</v>
      </c>
      <c r="AO264" s="6">
        <v>0</v>
      </c>
      <c r="AP264" s="6">
        <v>0</v>
      </c>
      <c r="AQ264" s="6">
        <v>1147.807482623092</v>
      </c>
      <c r="AR264" s="6">
        <v>419.99347278902007</v>
      </c>
      <c r="AS264" s="6">
        <v>204.62679600000001</v>
      </c>
      <c r="AT264" s="6">
        <v>1104.023315466022</v>
      </c>
      <c r="AU264" s="6">
        <v>851.13671493580591</v>
      </c>
    </row>
    <row r="265" spans="1:47" x14ac:dyDescent="0.35">
      <c r="A265" s="5">
        <v>46022</v>
      </c>
      <c r="B265" s="4" t="s">
        <v>403</v>
      </c>
      <c r="C265" s="4" t="s">
        <v>404</v>
      </c>
      <c r="D265" s="4" t="s">
        <v>79</v>
      </c>
      <c r="E265" s="6">
        <v>7184.9052000000001</v>
      </c>
      <c r="F265" s="7">
        <v>0.18</v>
      </c>
      <c r="G265" s="6">
        <v>49</v>
      </c>
      <c r="H265" s="6">
        <v>6.3369999999999997</v>
      </c>
      <c r="I265" s="6">
        <v>100</v>
      </c>
      <c r="J265" s="6">
        <v>6.3370860000000002</v>
      </c>
      <c r="K265" s="8">
        <v>100</v>
      </c>
      <c r="L265" s="6">
        <v>0</v>
      </c>
      <c r="M265" s="6">
        <v>0</v>
      </c>
      <c r="N265" s="6">
        <v>0</v>
      </c>
      <c r="O265" s="6">
        <v>0</v>
      </c>
      <c r="P265" s="6">
        <v>0</v>
      </c>
      <c r="Q265" s="6">
        <v>57.292216908389932</v>
      </c>
      <c r="R265" s="6">
        <v>105.48162638251949</v>
      </c>
      <c r="S265" s="6">
        <v>27.20510403442583</v>
      </c>
      <c r="T265" s="6">
        <v>87.319313645385066</v>
      </c>
      <c r="U265" s="6">
        <v>277.29826097072032</v>
      </c>
      <c r="V265" s="6">
        <v>277.29826097072032</v>
      </c>
      <c r="W265" s="6">
        <v>4.0083989138307849</v>
      </c>
      <c r="X265" s="6">
        <v>0</v>
      </c>
      <c r="Y265" s="6">
        <v>7.1667594459999988E-16</v>
      </c>
      <c r="Z265" s="6">
        <v>281.3066598845511</v>
      </c>
      <c r="AA265" s="6">
        <v>0</v>
      </c>
      <c r="AB265" s="6">
        <v>281.3066598845511</v>
      </c>
      <c r="AC265" s="6">
        <v>0</v>
      </c>
      <c r="AD265" s="6">
        <v>95.468497062665463</v>
      </c>
      <c r="AE265" s="6">
        <v>0</v>
      </c>
      <c r="AF265" s="6">
        <v>0</v>
      </c>
      <c r="AG265" s="6">
        <v>376.77515694721649</v>
      </c>
      <c r="AH265" s="6">
        <v>19.279271159438689</v>
      </c>
      <c r="AI265" s="6">
        <v>0</v>
      </c>
      <c r="AJ265" s="6">
        <v>38.36923692026317</v>
      </c>
      <c r="AK265" s="6">
        <v>338.95516796425289</v>
      </c>
      <c r="AL265" s="6">
        <v>0</v>
      </c>
      <c r="AM265" s="6">
        <v>0</v>
      </c>
      <c r="AN265" s="6">
        <v>0</v>
      </c>
      <c r="AO265" s="6">
        <v>0</v>
      </c>
      <c r="AP265" s="6">
        <v>0</v>
      </c>
      <c r="AQ265" s="6">
        <v>338.95516796425289</v>
      </c>
      <c r="AR265" s="6">
        <v>420.00092751905561</v>
      </c>
      <c r="AS265" s="6">
        <v>58.677838999999999</v>
      </c>
      <c r="AT265" s="6">
        <v>138.6942676345046</v>
      </c>
      <c r="AU265" s="6">
        <v>138.6942676345046</v>
      </c>
    </row>
    <row r="266" spans="1:47" x14ac:dyDescent="0.35">
      <c r="A266" s="5">
        <v>46022</v>
      </c>
      <c r="B266" s="4" t="s">
        <v>405</v>
      </c>
      <c r="C266" s="4" t="s">
        <v>406</v>
      </c>
      <c r="D266" s="4" t="s">
        <v>407</v>
      </c>
      <c r="E266" s="6">
        <v>11050</v>
      </c>
      <c r="F266" s="7">
        <v>0.54</v>
      </c>
      <c r="G266" s="6">
        <v>84</v>
      </c>
      <c r="H266" s="6">
        <v>50.12</v>
      </c>
      <c r="I266" s="6">
        <v>95.218753000000007</v>
      </c>
      <c r="J266" s="6">
        <v>47.723638999999999</v>
      </c>
      <c r="K266" s="8">
        <v>82.596000000000004</v>
      </c>
      <c r="L266" s="6">
        <v>20.921748243489461</v>
      </c>
      <c r="M266" s="6">
        <v>31.68118340525638</v>
      </c>
      <c r="N266" s="6">
        <v>0.96763079062049429</v>
      </c>
      <c r="O266" s="6">
        <v>24.72938217872132</v>
      </c>
      <c r="P266" s="6">
        <v>78.299944618087665</v>
      </c>
      <c r="Q266" s="6">
        <v>10.15047671580556</v>
      </c>
      <c r="R266" s="6">
        <v>10.57606076166887</v>
      </c>
      <c r="S266" s="6">
        <v>22.236130992508429</v>
      </c>
      <c r="T266" s="6">
        <v>23.709994856389301</v>
      </c>
      <c r="U266" s="6">
        <v>66.67266332637216</v>
      </c>
      <c r="V266" s="6">
        <v>144.97260794445981</v>
      </c>
      <c r="W266" s="6">
        <v>32.456641354374248</v>
      </c>
      <c r="X266" s="6">
        <v>24.564623229485079</v>
      </c>
      <c r="Y266" s="6">
        <v>-85.823896518297161</v>
      </c>
      <c r="Z266" s="6">
        <v>116.169976010022</v>
      </c>
      <c r="AA266" s="6">
        <v>25.895930051686271</v>
      </c>
      <c r="AB266" s="6">
        <v>142.06590606170829</v>
      </c>
      <c r="AC266" s="6">
        <v>0</v>
      </c>
      <c r="AD266" s="6">
        <v>64.544890132657102</v>
      </c>
      <c r="AE266" s="6">
        <v>0</v>
      </c>
      <c r="AF266" s="6">
        <v>0</v>
      </c>
      <c r="AG266" s="6">
        <v>206.61079619436541</v>
      </c>
      <c r="AH266" s="6">
        <v>16.768759188072941</v>
      </c>
      <c r="AI266" s="6">
        <v>0</v>
      </c>
      <c r="AJ266" s="6">
        <v>30.52427578539379</v>
      </c>
      <c r="AK266" s="6">
        <v>189.35894103517501</v>
      </c>
      <c r="AL266" s="6">
        <v>0</v>
      </c>
      <c r="AM266" s="6">
        <v>0</v>
      </c>
      <c r="AN266" s="6">
        <v>0</v>
      </c>
      <c r="AO266" s="6">
        <v>0</v>
      </c>
      <c r="AP266" s="6">
        <v>0</v>
      </c>
      <c r="AQ266" s="6">
        <v>189.35894103517501</v>
      </c>
      <c r="AR266" s="6">
        <v>419.99965642166057</v>
      </c>
      <c r="AS266" s="6">
        <v>532.41768100000002</v>
      </c>
      <c r="AT266" s="6">
        <v>303.82968041163861</v>
      </c>
      <c r="AU266" s="6">
        <v>277.9337503599524</v>
      </c>
    </row>
    <row r="267" spans="1:47" x14ac:dyDescent="0.35">
      <c r="A267" s="5">
        <v>46022</v>
      </c>
      <c r="B267" s="4" t="s">
        <v>454</v>
      </c>
      <c r="C267" s="4" t="s">
        <v>455</v>
      </c>
      <c r="D267" s="4" t="s">
        <v>105</v>
      </c>
      <c r="E267" s="6">
        <v>5600</v>
      </c>
      <c r="F267" s="7">
        <v>7.0000000000000007E-2</v>
      </c>
      <c r="G267" s="6">
        <v>19.899999999999999</v>
      </c>
      <c r="H267" s="6">
        <v>0.78</v>
      </c>
      <c r="I267" s="6">
        <v>95</v>
      </c>
      <c r="J267" s="6">
        <v>0.74099999999999999</v>
      </c>
      <c r="K267" s="8">
        <v>1.655</v>
      </c>
      <c r="L267" s="6">
        <v>157.5404406888855</v>
      </c>
      <c r="M267" s="6">
        <v>2486.3816224444122</v>
      </c>
      <c r="N267" s="6">
        <v>178.5116278138297</v>
      </c>
      <c r="O267" s="6">
        <v>2604.7395136115019</v>
      </c>
      <c r="P267" s="6">
        <v>5427.1732045586295</v>
      </c>
      <c r="Q267" s="6">
        <v>68.787867645126212</v>
      </c>
      <c r="R267" s="6">
        <v>1006.429970308717</v>
      </c>
      <c r="S267" s="6">
        <v>6017.7055909718156</v>
      </c>
      <c r="T267" s="6">
        <v>2050.1232272120228</v>
      </c>
      <c r="U267" s="6">
        <v>9143.0466561376816</v>
      </c>
      <c r="V267" s="6">
        <v>14570.21986069631</v>
      </c>
      <c r="W267" s="6">
        <v>65.781292215293433</v>
      </c>
      <c r="X267" s="6">
        <v>96.648539999999997</v>
      </c>
      <c r="Y267" s="6">
        <v>-15896.101658470719</v>
      </c>
      <c r="Z267" s="6">
        <v>-1163.4519655591121</v>
      </c>
      <c r="AA267" s="6">
        <v>47.944414473262079</v>
      </c>
      <c r="AB267" s="6">
        <v>-1115.5075510858501</v>
      </c>
      <c r="AC267" s="6">
        <v>0</v>
      </c>
      <c r="AD267" s="6">
        <v>3408.3666939486839</v>
      </c>
      <c r="AE267" s="6">
        <v>0</v>
      </c>
      <c r="AF267" s="6">
        <v>0</v>
      </c>
      <c r="AG267" s="6">
        <v>2292.8591428628329</v>
      </c>
      <c r="AH267" s="6">
        <v>1195.8990339067291</v>
      </c>
      <c r="AI267" s="6">
        <v>0</v>
      </c>
      <c r="AJ267" s="6">
        <v>293.85022416088782</v>
      </c>
      <c r="AK267" s="6">
        <v>374.2417069817667</v>
      </c>
      <c r="AL267" s="6">
        <v>0</v>
      </c>
      <c r="AM267" s="6">
        <v>0</v>
      </c>
      <c r="AN267" s="6">
        <v>0</v>
      </c>
      <c r="AO267" s="6">
        <v>0</v>
      </c>
      <c r="AP267" s="6">
        <v>0</v>
      </c>
      <c r="AQ267" s="6">
        <v>374.2417069817667</v>
      </c>
      <c r="AR267" s="6">
        <v>419.99999964779192</v>
      </c>
      <c r="AS267" s="6">
        <v>291.53248200000002</v>
      </c>
      <c r="AT267" s="6">
        <v>1583.4519652069041</v>
      </c>
      <c r="AU267" s="6">
        <v>1535.5075507336419</v>
      </c>
    </row>
    <row r="268" spans="1:47" x14ac:dyDescent="0.35">
      <c r="A268" s="5">
        <v>46022</v>
      </c>
      <c r="B268" s="4" t="s">
        <v>793</v>
      </c>
      <c r="C268" s="4" t="s">
        <v>794</v>
      </c>
      <c r="D268" s="4" t="s">
        <v>79</v>
      </c>
      <c r="E268" s="6">
        <v>15892</v>
      </c>
      <c r="F268" s="7">
        <v>0.2923</v>
      </c>
      <c r="G268" s="6">
        <v>85.1</v>
      </c>
      <c r="H268" s="6">
        <v>39.530999999999999</v>
      </c>
      <c r="I268" s="6">
        <v>97</v>
      </c>
      <c r="J268" s="6">
        <v>38.344993000000002</v>
      </c>
      <c r="K268" s="8">
        <v>98.149000000000001</v>
      </c>
      <c r="L268" s="6">
        <v>33.300785746086717</v>
      </c>
      <c r="M268" s="6">
        <v>9.3883713513344063</v>
      </c>
      <c r="N268" s="6">
        <v>1.0878063548267549</v>
      </c>
      <c r="O268" s="6">
        <v>39.419271163744277</v>
      </c>
      <c r="P268" s="6">
        <v>83.196234615992154</v>
      </c>
      <c r="Q268" s="6">
        <v>27.349386181392099</v>
      </c>
      <c r="R268" s="6">
        <v>43.681520734483158</v>
      </c>
      <c r="S268" s="6">
        <v>35.260566696304203</v>
      </c>
      <c r="T268" s="6">
        <v>69.490739300939694</v>
      </c>
      <c r="U268" s="6">
        <v>175.7822129131192</v>
      </c>
      <c r="V268" s="6">
        <v>258.97844752911129</v>
      </c>
      <c r="W268" s="6">
        <v>12.23874774564106</v>
      </c>
      <c r="X268" s="6">
        <v>48.806137252017422</v>
      </c>
      <c r="Y268" s="6">
        <v>-7.2730973973464854</v>
      </c>
      <c r="Z268" s="6">
        <v>312.75023512942329</v>
      </c>
      <c r="AA268" s="6">
        <v>1.9477864751735801</v>
      </c>
      <c r="AB268" s="6">
        <v>314.69802160459687</v>
      </c>
      <c r="AC268" s="6">
        <v>4.9327172739255509</v>
      </c>
      <c r="AD268" s="6">
        <v>38.286309518771603</v>
      </c>
      <c r="AE268" s="6">
        <v>0</v>
      </c>
      <c r="AF268" s="6">
        <v>0</v>
      </c>
      <c r="AG268" s="6">
        <v>357.91704839729402</v>
      </c>
      <c r="AH268" s="6">
        <v>11.34653558425274</v>
      </c>
      <c r="AI268" s="6">
        <v>0</v>
      </c>
      <c r="AJ268" s="6">
        <v>23.21190582826291</v>
      </c>
      <c r="AK268" s="6">
        <v>354.1891802910381</v>
      </c>
      <c r="AL268" s="6">
        <v>3.6767535209492181</v>
      </c>
      <c r="AM268" s="6">
        <v>0</v>
      </c>
      <c r="AN268" s="6">
        <v>0</v>
      </c>
      <c r="AO268" s="6">
        <v>0</v>
      </c>
      <c r="AP268" s="6">
        <v>0</v>
      </c>
      <c r="AQ268" s="6">
        <v>357.8659338119873</v>
      </c>
      <c r="AR268" s="6">
        <v>420.00007632012301</v>
      </c>
      <c r="AS268" s="6">
        <v>361.53195599999998</v>
      </c>
      <c r="AT268" s="6">
        <v>107.2498411906996</v>
      </c>
      <c r="AU268" s="6">
        <v>105.3020547155261</v>
      </c>
    </row>
    <row r="269" spans="1:47" x14ac:dyDescent="0.35">
      <c r="A269" s="5">
        <v>46022</v>
      </c>
      <c r="B269" s="4" t="s">
        <v>615</v>
      </c>
      <c r="C269" s="4" t="s">
        <v>616</v>
      </c>
      <c r="D269" s="4" t="s">
        <v>79</v>
      </c>
      <c r="E269" s="6">
        <v>4583.6734690000003</v>
      </c>
      <c r="F269" s="7">
        <v>0.14000000000000001</v>
      </c>
      <c r="G269" s="6">
        <v>35</v>
      </c>
      <c r="H269" s="6">
        <v>2.246</v>
      </c>
      <c r="I269" s="6">
        <v>100</v>
      </c>
      <c r="J269" s="6">
        <v>2.246</v>
      </c>
      <c r="K269" s="8">
        <v>100</v>
      </c>
      <c r="L269" s="6">
        <v>155.72631418664059</v>
      </c>
      <c r="M269" s="6">
        <v>29.977271741664079</v>
      </c>
      <c r="N269" s="6">
        <v>7.4107736264588011</v>
      </c>
      <c r="O269" s="6">
        <v>168.63823756201981</v>
      </c>
      <c r="P269" s="6">
        <v>361.75259711678331</v>
      </c>
      <c r="Q269" s="6">
        <v>137.02155339749439</v>
      </c>
      <c r="R269" s="6">
        <v>47.502599799038663</v>
      </c>
      <c r="S269" s="6">
        <v>33.929079552615491</v>
      </c>
      <c r="T269" s="6">
        <v>104.0930615850657</v>
      </c>
      <c r="U269" s="6">
        <v>322.54629433421422</v>
      </c>
      <c r="V269" s="6">
        <v>684.29889145099753</v>
      </c>
      <c r="W269" s="6">
        <v>3.743699814292361</v>
      </c>
      <c r="X269" s="6">
        <v>0</v>
      </c>
      <c r="Y269" s="6">
        <v>0</v>
      </c>
      <c r="Z269" s="6">
        <v>688.04259126528984</v>
      </c>
      <c r="AA269" s="6">
        <v>1.9130352680695539</v>
      </c>
      <c r="AB269" s="6">
        <v>689.95562653335935</v>
      </c>
      <c r="AC269" s="6">
        <v>0</v>
      </c>
      <c r="AD269" s="6">
        <v>47.442151673000922</v>
      </c>
      <c r="AE269" s="6">
        <v>0</v>
      </c>
      <c r="AF269" s="6">
        <v>0</v>
      </c>
      <c r="AG269" s="6">
        <v>737.39777820636027</v>
      </c>
      <c r="AH269" s="6">
        <v>8.7235069730763222</v>
      </c>
      <c r="AI269" s="6">
        <v>0</v>
      </c>
      <c r="AJ269" s="6">
        <v>47.442151673000922</v>
      </c>
      <c r="AK269" s="6">
        <v>746.12128517943665</v>
      </c>
      <c r="AL269" s="6">
        <v>0</v>
      </c>
      <c r="AM269" s="6">
        <v>0</v>
      </c>
      <c r="AN269" s="6">
        <v>0</v>
      </c>
      <c r="AO269" s="6">
        <v>0</v>
      </c>
      <c r="AP269" s="6">
        <v>0</v>
      </c>
      <c r="AQ269" s="6">
        <v>746.12128517943665</v>
      </c>
      <c r="AR269" s="6">
        <v>419.99999964779192</v>
      </c>
      <c r="AS269" s="6">
        <v>20.796645999999999</v>
      </c>
      <c r="AT269" s="6">
        <v>-268.04259161749792</v>
      </c>
      <c r="AU269" s="6">
        <v>-269.95562688556748</v>
      </c>
    </row>
    <row r="270" spans="1:47" x14ac:dyDescent="0.35">
      <c r="A270" s="5">
        <v>46022</v>
      </c>
      <c r="B270" s="4" t="s">
        <v>456</v>
      </c>
      <c r="C270" s="4" t="s">
        <v>457</v>
      </c>
      <c r="D270" s="4" t="s">
        <v>105</v>
      </c>
      <c r="E270" s="6">
        <v>8488</v>
      </c>
      <c r="F270" s="7">
        <v>4.1000000000000003E-3</v>
      </c>
      <c r="G270" s="6">
        <v>13</v>
      </c>
      <c r="H270" s="6">
        <v>4.4999999999999998E-2</v>
      </c>
      <c r="I270" s="6">
        <v>98</v>
      </c>
      <c r="J270" s="6">
        <v>4.4336E-2</v>
      </c>
      <c r="K270" s="8">
        <v>0.76</v>
      </c>
      <c r="L270" s="6">
        <v>0</v>
      </c>
      <c r="M270" s="6">
        <v>0</v>
      </c>
      <c r="N270" s="6">
        <v>0</v>
      </c>
      <c r="O270" s="6">
        <v>0</v>
      </c>
      <c r="P270" s="6">
        <v>0</v>
      </c>
      <c r="Q270" s="6">
        <v>1973.3024271738191</v>
      </c>
      <c r="R270" s="6">
        <v>4913.391656319538</v>
      </c>
      <c r="S270" s="6">
        <v>20059.61690842843</v>
      </c>
      <c r="T270" s="6">
        <v>2852.5295079154898</v>
      </c>
      <c r="U270" s="6">
        <v>29798.840499837279</v>
      </c>
      <c r="V270" s="6">
        <v>29798.840499837279</v>
      </c>
      <c r="W270" s="6">
        <v>13.324722340489149</v>
      </c>
      <c r="X270" s="6">
        <v>1345.4502781107151</v>
      </c>
      <c r="Y270" s="6">
        <v>-47848.655565010842</v>
      </c>
      <c r="Z270" s="6">
        <v>-16691.040064722361</v>
      </c>
      <c r="AA270" s="6">
        <v>0</v>
      </c>
      <c r="AB270" s="6">
        <v>-16691.040064722361</v>
      </c>
      <c r="AC270" s="6">
        <v>0</v>
      </c>
      <c r="AD270" s="6">
        <v>3049.020017910173</v>
      </c>
      <c r="AE270" s="6">
        <v>0</v>
      </c>
      <c r="AF270" s="6">
        <v>0</v>
      </c>
      <c r="AG270" s="6">
        <v>-13642.02004681218</v>
      </c>
      <c r="AH270" s="6">
        <v>442.29686416932162</v>
      </c>
      <c r="AI270" s="6">
        <v>0</v>
      </c>
      <c r="AJ270" s="6">
        <v>1314.7678739879409</v>
      </c>
      <c r="AK270" s="6">
        <v>-14933.975326565091</v>
      </c>
      <c r="AL270" s="6">
        <v>0</v>
      </c>
      <c r="AM270" s="6">
        <v>0</v>
      </c>
      <c r="AN270" s="6">
        <v>0</v>
      </c>
      <c r="AO270" s="6">
        <v>0</v>
      </c>
      <c r="AP270" s="6">
        <v>0</v>
      </c>
      <c r="AQ270" s="6">
        <v>-14933.975326565091</v>
      </c>
      <c r="AR270" s="6">
        <v>419.65896752970912</v>
      </c>
      <c r="AS270" s="6">
        <v>50.636485999999998</v>
      </c>
      <c r="AT270" s="6">
        <v>17110.699032252061</v>
      </c>
      <c r="AU270" s="6">
        <v>17110.699032252061</v>
      </c>
    </row>
    <row r="271" spans="1:47" x14ac:dyDescent="0.35">
      <c r="A271" s="5">
        <v>46022</v>
      </c>
      <c r="B271" s="4" t="s">
        <v>473</v>
      </c>
      <c r="C271" s="4" t="s">
        <v>474</v>
      </c>
      <c r="D271" s="4" t="s">
        <v>105</v>
      </c>
      <c r="E271" s="6">
        <v>445</v>
      </c>
      <c r="F271" s="7">
        <v>0.16</v>
      </c>
      <c r="G271" s="6">
        <v>87.41</v>
      </c>
      <c r="H271" s="6">
        <v>0.622</v>
      </c>
      <c r="I271" s="6">
        <v>82</v>
      </c>
      <c r="J271" s="6">
        <v>0.51033499999999998</v>
      </c>
      <c r="K271" s="8">
        <v>6.9420000000000002</v>
      </c>
      <c r="L271" s="6">
        <v>1004.429800122903</v>
      </c>
      <c r="M271" s="6">
        <v>32.188194821410328</v>
      </c>
      <c r="N271" s="6">
        <v>281.25308141762991</v>
      </c>
      <c r="O271" s="6">
        <v>3550.2393192840809</v>
      </c>
      <c r="P271" s="6">
        <v>4868.1103956460238</v>
      </c>
      <c r="Q271" s="6">
        <v>319.42710277018762</v>
      </c>
      <c r="R271" s="6">
        <v>68.201678482254493</v>
      </c>
      <c r="S271" s="6">
        <v>235.58269632597549</v>
      </c>
      <c r="T271" s="6">
        <v>396.59043450851652</v>
      </c>
      <c r="U271" s="6">
        <v>1019.801912086934</v>
      </c>
      <c r="V271" s="6">
        <v>5887.9123077329577</v>
      </c>
      <c r="W271" s="6">
        <v>61.789267897361754</v>
      </c>
      <c r="X271" s="6">
        <v>530.59912622248135</v>
      </c>
      <c r="Y271" s="6">
        <v>-6268.4840555701003</v>
      </c>
      <c r="Z271" s="6">
        <v>211.8166462827013</v>
      </c>
      <c r="AA271" s="6">
        <v>362.1676663107022</v>
      </c>
      <c r="AB271" s="6">
        <v>573.9843125934035</v>
      </c>
      <c r="AC271" s="6">
        <v>9.7617542531577381</v>
      </c>
      <c r="AD271" s="6">
        <v>2340.6483800998521</v>
      </c>
      <c r="AE271" s="6">
        <v>0</v>
      </c>
      <c r="AF271" s="6">
        <v>0</v>
      </c>
      <c r="AG271" s="6">
        <v>2924.3944469464141</v>
      </c>
      <c r="AH271" s="6">
        <v>294.39559758816807</v>
      </c>
      <c r="AI271" s="6">
        <v>0</v>
      </c>
      <c r="AJ271" s="6">
        <v>1955.3885369619641</v>
      </c>
      <c r="AK271" s="6">
        <v>2833.530201396693</v>
      </c>
      <c r="AL271" s="6">
        <v>28442.015241291821</v>
      </c>
      <c r="AM271" s="6">
        <v>0</v>
      </c>
      <c r="AN271" s="6">
        <v>0</v>
      </c>
      <c r="AO271" s="6">
        <v>0</v>
      </c>
      <c r="AP271" s="6">
        <v>0</v>
      </c>
      <c r="AQ271" s="6">
        <v>31275.545442688519</v>
      </c>
      <c r="AR271" s="6">
        <v>419.97119503907868</v>
      </c>
      <c r="AS271" s="6">
        <v>81.494870000000006</v>
      </c>
      <c r="AT271" s="6">
        <v>208.15454875637741</v>
      </c>
      <c r="AU271" s="6">
        <v>-154.01311755432479</v>
      </c>
    </row>
    <row r="272" spans="1:47" x14ac:dyDescent="0.35">
      <c r="A272" s="5">
        <v>46022</v>
      </c>
      <c r="B272" s="4" t="s">
        <v>795</v>
      </c>
      <c r="C272" s="4" t="s">
        <v>796</v>
      </c>
      <c r="D272" s="4" t="s">
        <v>89</v>
      </c>
      <c r="E272" s="6">
        <v>6299.5729099999999</v>
      </c>
      <c r="F272" s="7">
        <v>0.81499999999999995</v>
      </c>
      <c r="G272" s="6">
        <v>86.5</v>
      </c>
      <c r="H272" s="6">
        <v>44.408000000000001</v>
      </c>
      <c r="I272" s="6">
        <v>98.5</v>
      </c>
      <c r="J272" s="6">
        <v>43.741809000000003</v>
      </c>
      <c r="K272" s="8">
        <v>63.198999999999998</v>
      </c>
      <c r="L272" s="6">
        <v>209.8049946419479</v>
      </c>
      <c r="M272" s="6">
        <v>1.3049277377605411</v>
      </c>
      <c r="N272" s="6">
        <v>10.444549922719901</v>
      </c>
      <c r="O272" s="6">
        <v>121.3577766084323</v>
      </c>
      <c r="P272" s="6">
        <v>342.91224891086063</v>
      </c>
      <c r="Q272" s="6">
        <v>50.841816117756267</v>
      </c>
      <c r="R272" s="6">
        <v>14.70929931372091</v>
      </c>
      <c r="S272" s="6">
        <v>24.109516402112622</v>
      </c>
      <c r="T272" s="6">
        <v>50.399212410567969</v>
      </c>
      <c r="U272" s="6">
        <v>140.0598442441578</v>
      </c>
      <c r="V272" s="6">
        <v>482.9720931550184</v>
      </c>
      <c r="W272" s="6">
        <v>6.2163845387331422</v>
      </c>
      <c r="X272" s="6">
        <v>15.25747478073108</v>
      </c>
      <c r="Y272" s="6">
        <v>-237.28296266123851</v>
      </c>
      <c r="Z272" s="6">
        <v>267.16298981324411</v>
      </c>
      <c r="AA272" s="6">
        <v>32.909853482549707</v>
      </c>
      <c r="AB272" s="6">
        <v>300.0728432957938</v>
      </c>
      <c r="AC272" s="6">
        <v>0</v>
      </c>
      <c r="AD272" s="6">
        <v>170.38249004586541</v>
      </c>
      <c r="AE272" s="6">
        <v>0</v>
      </c>
      <c r="AF272" s="6">
        <v>0</v>
      </c>
      <c r="AG272" s="6">
        <v>470.45533334165918</v>
      </c>
      <c r="AH272" s="6">
        <v>7.5593230053235718</v>
      </c>
      <c r="AI272" s="6">
        <v>0</v>
      </c>
      <c r="AJ272" s="6">
        <v>36.53561188854345</v>
      </c>
      <c r="AK272" s="6">
        <v>344.16777818966091</v>
      </c>
      <c r="AL272" s="6">
        <v>354.6460354814472</v>
      </c>
      <c r="AM272" s="6">
        <v>0</v>
      </c>
      <c r="AN272" s="6">
        <v>0</v>
      </c>
      <c r="AO272" s="6">
        <v>0</v>
      </c>
      <c r="AP272" s="6">
        <v>0</v>
      </c>
      <c r="AQ272" s="6">
        <v>698.81381367110805</v>
      </c>
      <c r="AR272" s="6">
        <v>419.99991323161288</v>
      </c>
      <c r="AS272" s="6">
        <v>634.72633099999996</v>
      </c>
      <c r="AT272" s="6">
        <v>152.8369234183688</v>
      </c>
      <c r="AU272" s="6">
        <v>119.92706993581911</v>
      </c>
    </row>
    <row r="273" spans="1:47" x14ac:dyDescent="0.35">
      <c r="A273" s="5">
        <v>46022</v>
      </c>
      <c r="B273" s="4" t="s">
        <v>617</v>
      </c>
      <c r="C273" s="4" t="s">
        <v>618</v>
      </c>
      <c r="D273" s="4" t="s">
        <v>344</v>
      </c>
      <c r="E273" s="6">
        <v>15913.064</v>
      </c>
      <c r="F273" s="7">
        <v>0.35</v>
      </c>
      <c r="G273" s="6">
        <v>85</v>
      </c>
      <c r="H273" s="6">
        <v>47.341000000000001</v>
      </c>
      <c r="I273" s="6">
        <v>93.789152999999999</v>
      </c>
      <c r="J273" s="6">
        <v>44.401065000000003</v>
      </c>
      <c r="K273" s="8">
        <v>94.744</v>
      </c>
      <c r="L273" s="6">
        <v>28.88762780098299</v>
      </c>
      <c r="M273" s="6">
        <v>23.840384998598289</v>
      </c>
      <c r="N273" s="6">
        <v>2.278912805667102</v>
      </c>
      <c r="O273" s="6">
        <v>57.210766046992298</v>
      </c>
      <c r="P273" s="6">
        <v>112.2176916522407</v>
      </c>
      <c r="Q273" s="6">
        <v>16.010311431063879</v>
      </c>
      <c r="R273" s="6">
        <v>45.729246177464702</v>
      </c>
      <c r="S273" s="6">
        <v>21.572006383451381</v>
      </c>
      <c r="T273" s="6">
        <v>52.131530517842599</v>
      </c>
      <c r="U273" s="6">
        <v>135.4430945098226</v>
      </c>
      <c r="V273" s="6">
        <v>247.66078616206329</v>
      </c>
      <c r="W273" s="6">
        <v>19.613860073042709</v>
      </c>
      <c r="X273" s="6">
        <v>34.159950983148264</v>
      </c>
      <c r="Y273" s="6">
        <v>-22.859265708337499</v>
      </c>
      <c r="Z273" s="6">
        <v>278.57533150991668</v>
      </c>
      <c r="AA273" s="6">
        <v>0</v>
      </c>
      <c r="AB273" s="6">
        <v>278.57533150991668</v>
      </c>
      <c r="AC273" s="6">
        <v>2.2474727987750649</v>
      </c>
      <c r="AD273" s="6">
        <v>46.74444627591393</v>
      </c>
      <c r="AE273" s="6">
        <v>0</v>
      </c>
      <c r="AF273" s="6">
        <v>0</v>
      </c>
      <c r="AG273" s="6">
        <v>327.56725058460569</v>
      </c>
      <c r="AH273" s="6">
        <v>13.70629864057708</v>
      </c>
      <c r="AI273" s="6">
        <v>0</v>
      </c>
      <c r="AJ273" s="6">
        <v>5.1078956802100306</v>
      </c>
      <c r="AK273" s="6">
        <v>299.63699862947891</v>
      </c>
      <c r="AL273" s="6">
        <v>0</v>
      </c>
      <c r="AM273" s="6">
        <v>0</v>
      </c>
      <c r="AN273" s="6">
        <v>0</v>
      </c>
      <c r="AO273" s="6">
        <v>0</v>
      </c>
      <c r="AP273" s="6">
        <v>0</v>
      </c>
      <c r="AQ273" s="6">
        <v>299.63699862947891</v>
      </c>
      <c r="AR273" s="6">
        <v>420.0003307209314</v>
      </c>
      <c r="AS273" s="6">
        <v>434.75934599999999</v>
      </c>
      <c r="AT273" s="6">
        <v>141.42499921101469</v>
      </c>
      <c r="AU273" s="6">
        <v>141.42499921101469</v>
      </c>
    </row>
    <row r="274" spans="1:47" x14ac:dyDescent="0.35">
      <c r="A274" s="5">
        <v>46022</v>
      </c>
      <c r="B274" s="4" t="s">
        <v>619</v>
      </c>
      <c r="C274" s="4" t="s">
        <v>620</v>
      </c>
      <c r="D274" s="4" t="s">
        <v>61</v>
      </c>
      <c r="E274" s="6">
        <v>10000</v>
      </c>
      <c r="F274" s="7">
        <v>0.47060000000000002</v>
      </c>
      <c r="G274" s="6">
        <v>85</v>
      </c>
      <c r="H274" s="6">
        <v>40</v>
      </c>
      <c r="I274" s="6">
        <v>97</v>
      </c>
      <c r="J274" s="6">
        <v>38.799999999999997</v>
      </c>
      <c r="K274" s="8">
        <v>76.756</v>
      </c>
      <c r="L274" s="6">
        <v>21.349552399175</v>
      </c>
      <c r="M274" s="6">
        <v>3.6883021848749999</v>
      </c>
      <c r="N274" s="6">
        <v>73.899350754075016</v>
      </c>
      <c r="O274" s="6">
        <v>43.99249772225</v>
      </c>
      <c r="P274" s="6">
        <v>142.929703060375</v>
      </c>
      <c r="Q274" s="6">
        <v>18.065005876225001</v>
      </c>
      <c r="R274" s="6">
        <v>11.4905702604</v>
      </c>
      <c r="S274" s="6">
        <v>36.135260798174997</v>
      </c>
      <c r="T274" s="6">
        <v>32.024451349274997</v>
      </c>
      <c r="U274" s="6">
        <v>97.715288284075001</v>
      </c>
      <c r="V274" s="6">
        <v>240.64499134445001</v>
      </c>
      <c r="W274" s="6">
        <v>12.071255215811419</v>
      </c>
      <c r="X274" s="6">
        <v>27.400123758985998</v>
      </c>
      <c r="Y274" s="6">
        <v>-120.5886131199246</v>
      </c>
      <c r="Z274" s="6">
        <v>159.52775719932279</v>
      </c>
      <c r="AA274" s="6">
        <v>23.312430953026151</v>
      </c>
      <c r="AB274" s="6">
        <v>182.8401881523489</v>
      </c>
      <c r="AC274" s="6">
        <v>0</v>
      </c>
      <c r="AD274" s="6">
        <v>16.42273261475</v>
      </c>
      <c r="AE274" s="6">
        <v>0</v>
      </c>
      <c r="AF274" s="6">
        <v>0</v>
      </c>
      <c r="AG274" s="6">
        <v>199.2629207670989</v>
      </c>
      <c r="AH274" s="6">
        <v>16.094287314875</v>
      </c>
      <c r="AI274" s="6">
        <v>0</v>
      </c>
      <c r="AJ274" s="6">
        <v>9.8536395688499994</v>
      </c>
      <c r="AK274" s="6">
        <v>208.78811503607389</v>
      </c>
      <c r="AL274" s="6">
        <v>0</v>
      </c>
      <c r="AM274" s="6">
        <v>0</v>
      </c>
      <c r="AN274" s="6">
        <v>0</v>
      </c>
      <c r="AO274" s="6">
        <v>0</v>
      </c>
      <c r="AP274" s="6">
        <v>0</v>
      </c>
      <c r="AQ274" s="6">
        <v>208.78811503607389</v>
      </c>
      <c r="AR274" s="6">
        <v>419.99999964779198</v>
      </c>
      <c r="AS274" s="6">
        <v>498.52991900000001</v>
      </c>
      <c r="AT274" s="6">
        <v>260.47224244846922</v>
      </c>
      <c r="AU274" s="6">
        <v>237.15981149544299</v>
      </c>
    </row>
    <row r="275" spans="1:47" x14ac:dyDescent="0.35">
      <c r="A275" s="5">
        <v>46022</v>
      </c>
      <c r="B275" s="4" t="s">
        <v>797</v>
      </c>
      <c r="C275" s="4" t="s">
        <v>798</v>
      </c>
      <c r="D275" s="4" t="s">
        <v>79</v>
      </c>
      <c r="E275" s="6">
        <v>827.76926000000003</v>
      </c>
      <c r="F275" s="7">
        <v>0.7</v>
      </c>
      <c r="G275" s="6">
        <v>92</v>
      </c>
      <c r="H275" s="6">
        <v>5.3310000000000004</v>
      </c>
      <c r="I275" s="6">
        <v>96.5</v>
      </c>
      <c r="J275" s="6">
        <v>5.1442930000000002</v>
      </c>
      <c r="K275" s="8">
        <v>84.206000000000003</v>
      </c>
      <c r="L275" s="6">
        <v>177.40037820590931</v>
      </c>
      <c r="M275" s="6">
        <v>9.7825629729331247</v>
      </c>
      <c r="N275" s="6">
        <v>6.1972931734605288</v>
      </c>
      <c r="O275" s="6">
        <v>114.8239700422789</v>
      </c>
      <c r="P275" s="6">
        <v>308.20420439458189</v>
      </c>
      <c r="Q275" s="6">
        <v>44.706281547593221</v>
      </c>
      <c r="R275" s="6">
        <v>16.068886473202969</v>
      </c>
      <c r="S275" s="6">
        <v>11.83751546125173</v>
      </c>
      <c r="T275" s="6">
        <v>58.387034241403747</v>
      </c>
      <c r="U275" s="6">
        <v>130.99971772345171</v>
      </c>
      <c r="V275" s="6">
        <v>439.20392211803357</v>
      </c>
      <c r="W275" s="6">
        <v>25.897471484337981</v>
      </c>
      <c r="X275" s="6">
        <v>22.657642365824671</v>
      </c>
      <c r="Y275" s="6">
        <v>-116.8103867023834</v>
      </c>
      <c r="Z275" s="6">
        <v>370.94864926581278</v>
      </c>
      <c r="AA275" s="6">
        <v>31.78251787546218</v>
      </c>
      <c r="AB275" s="6">
        <v>402.73116714127502</v>
      </c>
      <c r="AC275" s="6">
        <v>0.24324591749255561</v>
      </c>
      <c r="AD275" s="6">
        <v>288.89377612737923</v>
      </c>
      <c r="AE275" s="6">
        <v>0</v>
      </c>
      <c r="AF275" s="6">
        <v>0</v>
      </c>
      <c r="AG275" s="6">
        <v>691.86818918614676</v>
      </c>
      <c r="AH275" s="6">
        <v>21.161737933066242</v>
      </c>
      <c r="AI275" s="6">
        <v>0</v>
      </c>
      <c r="AJ275" s="6">
        <v>37.217464734254357</v>
      </c>
      <c r="AK275" s="6">
        <v>461.35361572608809</v>
      </c>
      <c r="AL275" s="6">
        <v>0</v>
      </c>
      <c r="AM275" s="6">
        <v>0</v>
      </c>
      <c r="AN275" s="6">
        <v>0</v>
      </c>
      <c r="AO275" s="6">
        <v>0</v>
      </c>
      <c r="AP275" s="6">
        <v>0</v>
      </c>
      <c r="AQ275" s="6">
        <v>461.35361572608809</v>
      </c>
      <c r="AR275" s="6">
        <v>420.00057115489648</v>
      </c>
      <c r="AS275" s="6">
        <v>60.944935999999998</v>
      </c>
      <c r="AT275" s="6">
        <v>49.051921889083687</v>
      </c>
      <c r="AU275" s="6">
        <v>17.269404013621511</v>
      </c>
    </row>
    <row r="276" spans="1:47" x14ac:dyDescent="0.35">
      <c r="A276" s="5">
        <v>46022</v>
      </c>
      <c r="B276" s="4" t="s">
        <v>799</v>
      </c>
      <c r="C276" s="4" t="s">
        <v>800</v>
      </c>
      <c r="D276" s="4" t="s">
        <v>58</v>
      </c>
      <c r="E276" s="6">
        <v>1200</v>
      </c>
      <c r="F276" s="7">
        <v>1.1399999999999999</v>
      </c>
      <c r="G276" s="6">
        <v>89.02</v>
      </c>
      <c r="H276" s="6">
        <v>12.179</v>
      </c>
      <c r="I276" s="6">
        <v>95.993407000000005</v>
      </c>
      <c r="J276" s="6">
        <v>11.690633999999999</v>
      </c>
      <c r="K276" s="8">
        <v>97.200999999999993</v>
      </c>
      <c r="L276" s="6">
        <v>56.841244984168867</v>
      </c>
      <c r="M276" s="6">
        <v>40.655547544212673</v>
      </c>
      <c r="N276" s="6">
        <v>8.5245164231990849</v>
      </c>
      <c r="O276" s="6">
        <v>20.482884637885199</v>
      </c>
      <c r="P276" s="6">
        <v>126.5041935894658</v>
      </c>
      <c r="Q276" s="6">
        <v>24.139924364414799</v>
      </c>
      <c r="R276" s="6">
        <v>17.4713793245283</v>
      </c>
      <c r="S276" s="6">
        <v>17.041066504674671</v>
      </c>
      <c r="T276" s="6">
        <v>20.776414765071941</v>
      </c>
      <c r="U276" s="6">
        <v>79.428784958689704</v>
      </c>
      <c r="V276" s="6">
        <v>205.93297854815549</v>
      </c>
      <c r="W276" s="6">
        <v>9.6066948604866358</v>
      </c>
      <c r="X276" s="6">
        <v>21.768788835999139</v>
      </c>
      <c r="Y276" s="6">
        <v>-10.780976453058409</v>
      </c>
      <c r="Z276" s="6">
        <v>226.5274857915829</v>
      </c>
      <c r="AA276" s="6">
        <v>0</v>
      </c>
      <c r="AB276" s="6">
        <v>226.5274857915829</v>
      </c>
      <c r="AC276" s="6">
        <v>0</v>
      </c>
      <c r="AD276" s="6">
        <v>93.855666861472599</v>
      </c>
      <c r="AE276" s="6">
        <v>0</v>
      </c>
      <c r="AF276" s="6">
        <v>0</v>
      </c>
      <c r="AG276" s="6">
        <v>320.3831526530555</v>
      </c>
      <c r="AH276" s="6">
        <v>6.9839348832578292</v>
      </c>
      <c r="AI276" s="6">
        <v>0</v>
      </c>
      <c r="AJ276" s="6">
        <v>49.09627537263902</v>
      </c>
      <c r="AK276" s="6">
        <v>282.60769604747969</v>
      </c>
      <c r="AL276" s="6">
        <v>0</v>
      </c>
      <c r="AM276" s="6">
        <v>0</v>
      </c>
      <c r="AN276" s="6">
        <v>0</v>
      </c>
      <c r="AO276" s="6">
        <v>0</v>
      </c>
      <c r="AP276" s="6">
        <v>0</v>
      </c>
      <c r="AQ276" s="6">
        <v>282.60769604747969</v>
      </c>
      <c r="AR276" s="6">
        <v>419.99877815715359</v>
      </c>
      <c r="AS276" s="6">
        <v>111.089851</v>
      </c>
      <c r="AT276" s="6">
        <v>193.47129236557069</v>
      </c>
      <c r="AU276" s="6">
        <v>193.47129236557069</v>
      </c>
    </row>
    <row r="277" spans="1:47" x14ac:dyDescent="0.35">
      <c r="A277" s="5">
        <v>46022</v>
      </c>
      <c r="B277" s="4" t="s">
        <v>408</v>
      </c>
      <c r="C277" s="4" t="s">
        <v>409</v>
      </c>
      <c r="D277" s="4" t="s">
        <v>61</v>
      </c>
      <c r="E277" s="6">
        <v>300</v>
      </c>
      <c r="F277" s="7">
        <v>0.4</v>
      </c>
      <c r="G277" s="6">
        <v>90</v>
      </c>
      <c r="H277" s="6">
        <v>1.08</v>
      </c>
      <c r="I277" s="6">
        <v>97</v>
      </c>
      <c r="J277" s="6">
        <v>1.0476000000000001</v>
      </c>
      <c r="K277" s="8">
        <v>98.831999999999994</v>
      </c>
      <c r="L277" s="6">
        <v>55.107407250194441</v>
      </c>
      <c r="M277" s="6">
        <v>8.2113728021111108</v>
      </c>
      <c r="N277" s="6">
        <v>15.703245748361111</v>
      </c>
      <c r="O277" s="6">
        <v>43.418609849999989</v>
      </c>
      <c r="P277" s="6">
        <v>122.44063565066671</v>
      </c>
      <c r="Q277" s="6">
        <v>16.42273261475</v>
      </c>
      <c r="R277" s="6">
        <v>23.705280216138888</v>
      </c>
      <c r="S277" s="6">
        <v>31.012079162166671</v>
      </c>
      <c r="T277" s="6">
        <v>27.031364473361101</v>
      </c>
      <c r="U277" s="6">
        <v>98.171456466416643</v>
      </c>
      <c r="V277" s="6">
        <v>220.61209211708331</v>
      </c>
      <c r="W277" s="6">
        <v>32.325173819219302</v>
      </c>
      <c r="X277" s="6">
        <v>24.959054933333331</v>
      </c>
      <c r="Y277" s="6">
        <v>-4.8679183460692892</v>
      </c>
      <c r="Z277" s="6">
        <v>273.02840252356668</v>
      </c>
      <c r="AA277" s="6">
        <v>45.584802832268288</v>
      </c>
      <c r="AB277" s="6">
        <v>318.61320535583491</v>
      </c>
      <c r="AC277" s="6">
        <v>0</v>
      </c>
      <c r="AD277" s="6">
        <v>9.1237403415277765</v>
      </c>
      <c r="AE277" s="6">
        <v>0</v>
      </c>
      <c r="AF277" s="6">
        <v>0</v>
      </c>
      <c r="AG277" s="6">
        <v>327.73694569736273</v>
      </c>
      <c r="AH277" s="6">
        <v>24.634105416861111</v>
      </c>
      <c r="AI277" s="6">
        <v>0</v>
      </c>
      <c r="AJ277" s="6">
        <v>12.773236478138889</v>
      </c>
      <c r="AK277" s="6">
        <v>356.02054725083491</v>
      </c>
      <c r="AL277" s="6">
        <v>0</v>
      </c>
      <c r="AM277" s="6">
        <v>0</v>
      </c>
      <c r="AN277" s="6">
        <v>0</v>
      </c>
      <c r="AO277" s="6">
        <v>0</v>
      </c>
      <c r="AP277" s="6">
        <v>0</v>
      </c>
      <c r="AQ277" s="6">
        <v>356.02054725083491</v>
      </c>
      <c r="AR277" s="6">
        <v>419.99999964779192</v>
      </c>
      <c r="AS277" s="6">
        <v>9.8188949999999995</v>
      </c>
      <c r="AT277" s="6">
        <v>146.9715971242253</v>
      </c>
      <c r="AU277" s="6">
        <v>101.386794291957</v>
      </c>
    </row>
    <row r="278" spans="1:47" x14ac:dyDescent="0.35">
      <c r="A278" s="5">
        <v>46022</v>
      </c>
      <c r="B278" s="4" t="s">
        <v>410</v>
      </c>
      <c r="C278" s="4" t="s">
        <v>411</v>
      </c>
      <c r="D278" s="4" t="s">
        <v>61</v>
      </c>
      <c r="E278" s="6">
        <v>98.2</v>
      </c>
      <c r="F278" s="7">
        <v>1.3519000000000001</v>
      </c>
      <c r="G278" s="6">
        <v>90.22</v>
      </c>
      <c r="H278" s="6">
        <v>1.198</v>
      </c>
      <c r="I278" s="6">
        <v>94.004999999999995</v>
      </c>
      <c r="J278" s="6">
        <v>1.125896</v>
      </c>
      <c r="K278" s="8">
        <v>100</v>
      </c>
      <c r="L278" s="6">
        <v>16.43550999108896</v>
      </c>
      <c r="M278" s="6">
        <v>3.5389414441399811</v>
      </c>
      <c r="N278" s="6">
        <v>7.8686533996844492</v>
      </c>
      <c r="O278" s="6">
        <v>21.82712315809486</v>
      </c>
      <c r="P278" s="6">
        <v>49.670227993008247</v>
      </c>
      <c r="Q278" s="6">
        <v>4.0877345411852044</v>
      </c>
      <c r="R278" s="6">
        <v>4.5303153623278831</v>
      </c>
      <c r="S278" s="6">
        <v>10.66037425357073</v>
      </c>
      <c r="T278" s="6">
        <v>19.847231702811978</v>
      </c>
      <c r="U278" s="6">
        <v>39.125655859895801</v>
      </c>
      <c r="V278" s="6">
        <v>88.795883852904055</v>
      </c>
      <c r="W278" s="6">
        <v>9.4945580383297177</v>
      </c>
      <c r="X278" s="6">
        <v>29.038022660529919</v>
      </c>
      <c r="Y278" s="6">
        <v>-1.995806428E-15</v>
      </c>
      <c r="Z278" s="6">
        <v>127.3284645517637</v>
      </c>
      <c r="AA278" s="6">
        <v>27.041442834056792</v>
      </c>
      <c r="AB278" s="6">
        <v>154.36990738582051</v>
      </c>
      <c r="AC278" s="6">
        <v>0</v>
      </c>
      <c r="AD278" s="6">
        <v>11.59287981904027</v>
      </c>
      <c r="AE278" s="6">
        <v>0</v>
      </c>
      <c r="AF278" s="6">
        <v>0</v>
      </c>
      <c r="AG278" s="6">
        <v>165.9627872048608</v>
      </c>
      <c r="AH278" s="6">
        <v>11.59287981904027</v>
      </c>
      <c r="AI278" s="6">
        <v>0</v>
      </c>
      <c r="AJ278" s="6">
        <v>11.59287981904027</v>
      </c>
      <c r="AK278" s="6">
        <v>177.55566702390101</v>
      </c>
      <c r="AL278" s="6">
        <v>0</v>
      </c>
      <c r="AM278" s="6">
        <v>0</v>
      </c>
      <c r="AN278" s="6">
        <v>0</v>
      </c>
      <c r="AO278" s="6">
        <v>0</v>
      </c>
      <c r="AP278" s="6">
        <v>0</v>
      </c>
      <c r="AQ278" s="6">
        <v>177.55566702390101</v>
      </c>
      <c r="AR278" s="6">
        <v>420.00149179271352</v>
      </c>
      <c r="AS278" s="6">
        <v>10.425174999999999</v>
      </c>
      <c r="AT278" s="6">
        <v>292.67302724094981</v>
      </c>
      <c r="AU278" s="6">
        <v>265.63158440689301</v>
      </c>
    </row>
    <row r="279" spans="1:47" x14ac:dyDescent="0.35">
      <c r="A279" s="5">
        <v>46022</v>
      </c>
      <c r="B279" s="4" t="s">
        <v>801</v>
      </c>
      <c r="C279" s="4" t="s">
        <v>802</v>
      </c>
      <c r="D279" s="4" t="s">
        <v>58</v>
      </c>
      <c r="E279" s="6">
        <v>42000</v>
      </c>
      <c r="F279" s="7">
        <v>0.61</v>
      </c>
      <c r="G279" s="6">
        <v>84</v>
      </c>
      <c r="H279" s="6">
        <v>215.208</v>
      </c>
      <c r="I279" s="6">
        <v>97</v>
      </c>
      <c r="J279" s="6">
        <v>208.75175999999999</v>
      </c>
      <c r="K279" s="8">
        <v>94.317999999999998</v>
      </c>
      <c r="L279" s="6">
        <v>21.620927841393438</v>
      </c>
      <c r="M279" s="6">
        <v>10.2607035215847</v>
      </c>
      <c r="N279" s="6">
        <v>0.72061454726775964</v>
      </c>
      <c r="O279" s="6">
        <v>25.543495963934429</v>
      </c>
      <c r="P279" s="6">
        <v>58.145741874180331</v>
      </c>
      <c r="Q279" s="6">
        <v>17.81854123620219</v>
      </c>
      <c r="R279" s="6">
        <v>18.905422395765029</v>
      </c>
      <c r="S279" s="6">
        <v>46.20133809590164</v>
      </c>
      <c r="T279" s="6">
        <v>111.1734157086066</v>
      </c>
      <c r="U279" s="6">
        <v>194.0987174364754</v>
      </c>
      <c r="V279" s="6">
        <v>252.2444593106558</v>
      </c>
      <c r="W279" s="6">
        <v>19.519666786774</v>
      </c>
      <c r="X279" s="6">
        <v>22.963873532921209</v>
      </c>
      <c r="Y279" s="6">
        <v>-23.391689419933261</v>
      </c>
      <c r="Z279" s="6">
        <v>271.33631021041771</v>
      </c>
      <c r="AA279" s="6">
        <v>4.0033194890282369</v>
      </c>
      <c r="AB279" s="6">
        <v>275.33962969944588</v>
      </c>
      <c r="AC279" s="6">
        <v>0</v>
      </c>
      <c r="AD279" s="6">
        <v>124.2945652831967</v>
      </c>
      <c r="AE279" s="6">
        <v>0</v>
      </c>
      <c r="AF279" s="6">
        <v>0</v>
      </c>
      <c r="AG279" s="6">
        <v>399.63419498264273</v>
      </c>
      <c r="AH279" s="6">
        <v>11.500300719672129</v>
      </c>
      <c r="AI279" s="6">
        <v>0</v>
      </c>
      <c r="AJ279" s="6">
        <v>60.840622349863388</v>
      </c>
      <c r="AK279" s="6">
        <v>347.6805527689815</v>
      </c>
      <c r="AL279" s="6">
        <v>0</v>
      </c>
      <c r="AM279" s="6">
        <v>0</v>
      </c>
      <c r="AN279" s="6">
        <v>0</v>
      </c>
      <c r="AO279" s="6">
        <v>0</v>
      </c>
      <c r="AP279" s="6">
        <v>0</v>
      </c>
      <c r="AQ279" s="6">
        <v>347.6805527689815</v>
      </c>
      <c r="AR279" s="6">
        <v>420.0000801261553</v>
      </c>
      <c r="AS279" s="6">
        <v>2055.6904260000001</v>
      </c>
      <c r="AT279" s="6">
        <v>148.66376991573759</v>
      </c>
      <c r="AU279" s="6">
        <v>144.6604504267093</v>
      </c>
    </row>
    <row r="280" spans="1:47" x14ac:dyDescent="0.35">
      <c r="A280" s="5">
        <v>46022</v>
      </c>
      <c r="B280" s="4" t="s">
        <v>803</v>
      </c>
      <c r="C280" s="4" t="s">
        <v>804</v>
      </c>
      <c r="D280" s="4" t="s">
        <v>50</v>
      </c>
      <c r="E280" s="6">
        <v>39600</v>
      </c>
      <c r="F280" s="7">
        <v>1</v>
      </c>
      <c r="G280" s="6">
        <v>84</v>
      </c>
      <c r="H280" s="6">
        <v>332.64</v>
      </c>
      <c r="I280" s="6">
        <v>96.5</v>
      </c>
      <c r="J280" s="6">
        <v>320.99759999999998</v>
      </c>
      <c r="K280" s="8">
        <v>90.075000000000003</v>
      </c>
      <c r="L280" s="6">
        <v>14.680355337563039</v>
      </c>
      <c r="M280" s="6">
        <v>4.4880239875993091</v>
      </c>
      <c r="N280" s="6">
        <v>1.5757718354844561</v>
      </c>
      <c r="O280" s="6">
        <v>14.941962750465461</v>
      </c>
      <c r="P280" s="6">
        <v>35.686113911112258</v>
      </c>
      <c r="Q280" s="6">
        <v>9.5244772991433511</v>
      </c>
      <c r="R280" s="6">
        <v>8.0629988778860096</v>
      </c>
      <c r="S280" s="6">
        <v>27.60734058354663</v>
      </c>
      <c r="T280" s="6">
        <v>12.409992906182209</v>
      </c>
      <c r="U280" s="6">
        <v>57.6048096667582</v>
      </c>
      <c r="V280" s="6">
        <v>93.290923577870473</v>
      </c>
      <c r="W280" s="6">
        <v>15.3931022467</v>
      </c>
      <c r="X280" s="6">
        <v>23.16813022452504</v>
      </c>
      <c r="Y280" s="6">
        <v>-42.47192244341224</v>
      </c>
      <c r="Z280" s="6">
        <v>89.380233605683273</v>
      </c>
      <c r="AA280" s="6">
        <v>7.1780365684505831</v>
      </c>
      <c r="AB280" s="6">
        <v>96.558270174133852</v>
      </c>
      <c r="AC280" s="6">
        <v>0</v>
      </c>
      <c r="AD280" s="6">
        <v>93.638364365599301</v>
      </c>
      <c r="AE280" s="6">
        <v>0</v>
      </c>
      <c r="AF280" s="6">
        <v>0</v>
      </c>
      <c r="AG280" s="6">
        <v>190.1966345397332</v>
      </c>
      <c r="AH280" s="6">
        <v>9.1291423947746129</v>
      </c>
      <c r="AI280" s="6">
        <v>0</v>
      </c>
      <c r="AJ280" s="6">
        <v>44.766086355785838</v>
      </c>
      <c r="AK280" s="6">
        <v>150.45349892469429</v>
      </c>
      <c r="AL280" s="6">
        <v>0</v>
      </c>
      <c r="AM280" s="6">
        <v>0</v>
      </c>
      <c r="AN280" s="6">
        <v>0</v>
      </c>
      <c r="AO280" s="6">
        <v>0</v>
      </c>
      <c r="AP280" s="6">
        <v>0</v>
      </c>
      <c r="AQ280" s="6">
        <v>150.45349892469429</v>
      </c>
      <c r="AR280" s="6">
        <v>419.99999964779198</v>
      </c>
      <c r="AS280" s="6">
        <v>3288.3183159999999</v>
      </c>
      <c r="AT280" s="6">
        <v>330.61976604210872</v>
      </c>
      <c r="AU280" s="6">
        <v>323.44172947365809</v>
      </c>
    </row>
    <row r="281" spans="1:47" x14ac:dyDescent="0.35">
      <c r="A281" s="5">
        <v>46022</v>
      </c>
      <c r="B281" s="4" t="s">
        <v>805</v>
      </c>
      <c r="C281" s="4" t="s">
        <v>806</v>
      </c>
      <c r="D281" s="4" t="s">
        <v>61</v>
      </c>
      <c r="E281" s="6">
        <v>47619.047618999997</v>
      </c>
      <c r="F281" s="7">
        <v>0.42</v>
      </c>
      <c r="G281" s="6">
        <v>85</v>
      </c>
      <c r="H281" s="6">
        <v>170</v>
      </c>
      <c r="I281" s="6">
        <v>97</v>
      </c>
      <c r="J281" s="6">
        <v>164.9</v>
      </c>
      <c r="K281" s="8">
        <v>83.643000000000001</v>
      </c>
      <c r="L281" s="6">
        <v>11.445567568027769</v>
      </c>
      <c r="M281" s="6">
        <v>11.083744181949699</v>
      </c>
      <c r="N281" s="6">
        <v>4.8196923650932186</v>
      </c>
      <c r="O281" s="6">
        <v>40.016110383293309</v>
      </c>
      <c r="P281" s="6">
        <v>67.365114498363994</v>
      </c>
      <c r="Q281" s="6">
        <v>15.88601537253313</v>
      </c>
      <c r="R281" s="6">
        <v>9.3424781417553628</v>
      </c>
      <c r="S281" s="6">
        <v>77.018003913452375</v>
      </c>
      <c r="T281" s="6">
        <v>21.099400084292629</v>
      </c>
      <c r="U281" s="6">
        <v>123.3458975120335</v>
      </c>
      <c r="V281" s="6">
        <v>190.7110120103975</v>
      </c>
      <c r="W281" s="6">
        <v>3.9185856067203999</v>
      </c>
      <c r="X281" s="6">
        <v>17.797000799999999</v>
      </c>
      <c r="Y281" s="6">
        <v>-79.070546974082006</v>
      </c>
      <c r="Z281" s="6">
        <v>133.35605144303591</v>
      </c>
      <c r="AA281" s="6">
        <v>20.08888303481665</v>
      </c>
      <c r="AB281" s="6">
        <v>153.4449344778526</v>
      </c>
      <c r="AC281" s="6">
        <v>0</v>
      </c>
      <c r="AD281" s="6">
        <v>10.756619059989241</v>
      </c>
      <c r="AE281" s="6">
        <v>0</v>
      </c>
      <c r="AF281" s="6">
        <v>0</v>
      </c>
      <c r="AG281" s="6">
        <v>164.20155353784179</v>
      </c>
      <c r="AH281" s="6">
        <v>11.96462687802725</v>
      </c>
      <c r="AI281" s="6">
        <v>0</v>
      </c>
      <c r="AJ281" s="6">
        <v>14.20162357273089</v>
      </c>
      <c r="AK281" s="6">
        <v>179.6111849286107</v>
      </c>
      <c r="AL281" s="6">
        <v>18.15469764704067</v>
      </c>
      <c r="AM281" s="6">
        <v>0</v>
      </c>
      <c r="AN281" s="6">
        <v>0</v>
      </c>
      <c r="AO281" s="6">
        <v>0</v>
      </c>
      <c r="AP281" s="6">
        <v>0</v>
      </c>
      <c r="AQ281" s="6">
        <v>197.7658825756514</v>
      </c>
      <c r="AR281" s="6">
        <v>419.99999964779192</v>
      </c>
      <c r="AS281" s="6">
        <v>1825.7752640000001</v>
      </c>
      <c r="AT281" s="6">
        <v>286.64394820475599</v>
      </c>
      <c r="AU281" s="6">
        <v>266.55506516993938</v>
      </c>
    </row>
    <row r="282" spans="1:47" x14ac:dyDescent="0.35">
      <c r="A282" s="5">
        <v>46022</v>
      </c>
      <c r="B282" s="4" t="s">
        <v>621</v>
      </c>
      <c r="C282" s="4" t="s">
        <v>622</v>
      </c>
      <c r="D282" s="4" t="s">
        <v>58</v>
      </c>
      <c r="E282" s="6">
        <v>60000</v>
      </c>
      <c r="F282" s="7">
        <v>0.47</v>
      </c>
      <c r="G282" s="6">
        <v>59.89</v>
      </c>
      <c r="H282" s="6">
        <v>168.9</v>
      </c>
      <c r="I282" s="6">
        <v>100</v>
      </c>
      <c r="J282" s="6">
        <v>168.9</v>
      </c>
      <c r="K282" s="8">
        <v>100</v>
      </c>
      <c r="L282" s="6">
        <v>50.934217552116522</v>
      </c>
      <c r="M282" s="6">
        <v>22.252983857709051</v>
      </c>
      <c r="N282" s="6">
        <v>2.5740037641531082</v>
      </c>
      <c r="O282" s="6">
        <v>21.982472003088809</v>
      </c>
      <c r="P282" s="6">
        <v>97.743677177067497</v>
      </c>
      <c r="Q282" s="6">
        <v>16.584642233060389</v>
      </c>
      <c r="R282" s="6">
        <v>0.47526490064476018</v>
      </c>
      <c r="S282" s="6">
        <v>22.11291002209947</v>
      </c>
      <c r="T282" s="6">
        <v>5.1233862444213143</v>
      </c>
      <c r="U282" s="6">
        <v>44.296203400225927</v>
      </c>
      <c r="V282" s="6">
        <v>142.03988057729339</v>
      </c>
      <c r="W282" s="6">
        <v>6.8038855499999986</v>
      </c>
      <c r="X282" s="6">
        <v>0</v>
      </c>
      <c r="Y282" s="6">
        <v>0</v>
      </c>
      <c r="Z282" s="6">
        <v>148.84376612729341</v>
      </c>
      <c r="AA282" s="6">
        <v>21.820999822985829</v>
      </c>
      <c r="AB282" s="6">
        <v>170.66476595027919</v>
      </c>
      <c r="AC282" s="6">
        <v>0</v>
      </c>
      <c r="AD282" s="6">
        <v>41.208858757797159</v>
      </c>
      <c r="AE282" s="6">
        <v>0</v>
      </c>
      <c r="AF282" s="6">
        <v>0</v>
      </c>
      <c r="AG282" s="6">
        <v>211.87362470807639</v>
      </c>
      <c r="AH282" s="6">
        <v>14.770627247985431</v>
      </c>
      <c r="AI282" s="6">
        <v>0</v>
      </c>
      <c r="AJ282" s="6">
        <v>17.90183258068561</v>
      </c>
      <c r="AK282" s="6">
        <v>203.33722577895031</v>
      </c>
      <c r="AL282" s="6">
        <v>0</v>
      </c>
      <c r="AM282" s="6">
        <v>0</v>
      </c>
      <c r="AN282" s="6">
        <v>0</v>
      </c>
      <c r="AO282" s="6">
        <v>0</v>
      </c>
      <c r="AP282" s="6">
        <v>67.486971355328592</v>
      </c>
      <c r="AQ282" s="6">
        <v>270.8241971342789</v>
      </c>
      <c r="AR282" s="6">
        <v>419.99999964779192</v>
      </c>
      <c r="AS282" s="6">
        <v>1563.9151939999999</v>
      </c>
      <c r="AT282" s="6">
        <v>271.15623352049852</v>
      </c>
      <c r="AU282" s="6">
        <v>249.33523369751271</v>
      </c>
    </row>
    <row r="283" spans="1:47" x14ac:dyDescent="0.35">
      <c r="A283" s="5">
        <v>46022</v>
      </c>
      <c r="B283" s="4" t="s">
        <v>412</v>
      </c>
      <c r="C283" s="4" t="s">
        <v>413</v>
      </c>
      <c r="D283" s="4" t="s">
        <v>222</v>
      </c>
      <c r="E283" s="6">
        <v>1350</v>
      </c>
      <c r="F283" s="7">
        <v>0.69</v>
      </c>
      <c r="G283" s="6">
        <v>82</v>
      </c>
      <c r="H283" s="6">
        <v>7.6379999999999999</v>
      </c>
      <c r="I283" s="6">
        <v>98</v>
      </c>
      <c r="J283" s="6">
        <v>7.4855340000000004</v>
      </c>
      <c r="K283" s="8">
        <v>9.0340000000000007</v>
      </c>
      <c r="L283" s="6">
        <v>710.73184795038503</v>
      </c>
      <c r="M283" s="6">
        <v>56.82883712840983</v>
      </c>
      <c r="N283" s="6">
        <v>96.944239597390535</v>
      </c>
      <c r="O283" s="6">
        <v>1358.347265401175</v>
      </c>
      <c r="P283" s="6">
        <v>2222.8521900773608</v>
      </c>
      <c r="Q283" s="6">
        <v>83.784200399390244</v>
      </c>
      <c r="R283" s="6">
        <v>77.28918376380598</v>
      </c>
      <c r="S283" s="6">
        <v>53.055649575646363</v>
      </c>
      <c r="T283" s="6">
        <v>223.56562246593569</v>
      </c>
      <c r="U283" s="6">
        <v>437.69465620477831</v>
      </c>
      <c r="V283" s="6">
        <v>2660.5468462821391</v>
      </c>
      <c r="W283" s="6">
        <v>246.0419418122581</v>
      </c>
      <c r="X283" s="6">
        <v>403.88003549292381</v>
      </c>
      <c r="Y283" s="6">
        <v>-4240.1285740306548</v>
      </c>
      <c r="Z283" s="6">
        <v>-929.65975044333425</v>
      </c>
      <c r="AA283" s="6">
        <v>192.95340186331299</v>
      </c>
      <c r="AB283" s="6">
        <v>-736.7063485800212</v>
      </c>
      <c r="AC283" s="6">
        <v>0</v>
      </c>
      <c r="AD283" s="6">
        <v>1045.225879569364</v>
      </c>
      <c r="AE283" s="6">
        <v>0</v>
      </c>
      <c r="AF283" s="6">
        <v>0</v>
      </c>
      <c r="AG283" s="6">
        <v>308.5195309893432</v>
      </c>
      <c r="AH283" s="6">
        <v>13.10147542020275</v>
      </c>
      <c r="AI283" s="6">
        <v>0</v>
      </c>
      <c r="AJ283" s="6">
        <v>275.3482317984118</v>
      </c>
      <c r="AK283" s="6">
        <v>-448.25664136140659</v>
      </c>
      <c r="AL283" s="6">
        <v>0</v>
      </c>
      <c r="AM283" s="6">
        <v>0</v>
      </c>
      <c r="AN283" s="6">
        <v>0</v>
      </c>
      <c r="AO283" s="6">
        <v>0</v>
      </c>
      <c r="AP283" s="6">
        <v>0</v>
      </c>
      <c r="AQ283" s="6">
        <v>-448.25664136140659</v>
      </c>
      <c r="AR283" s="6">
        <v>419.99809196826118</v>
      </c>
      <c r="AS283" s="6">
        <v>800.76637200000005</v>
      </c>
      <c r="AT283" s="6">
        <v>1349.6578424115951</v>
      </c>
      <c r="AU283" s="6">
        <v>1156.704440548282</v>
      </c>
    </row>
    <row r="284" spans="1:47" x14ac:dyDescent="0.35">
      <c r="A284" s="5">
        <v>46022</v>
      </c>
      <c r="B284" s="4" t="s">
        <v>807</v>
      </c>
      <c r="C284" s="4" t="s">
        <v>808</v>
      </c>
      <c r="D284" s="4" t="s">
        <v>79</v>
      </c>
      <c r="E284" s="6">
        <v>8150</v>
      </c>
      <c r="F284" s="7">
        <v>0.46800000000000003</v>
      </c>
      <c r="G284" s="6">
        <v>90</v>
      </c>
      <c r="H284" s="6">
        <v>34.328000000000003</v>
      </c>
      <c r="I284" s="6">
        <v>97</v>
      </c>
      <c r="J284" s="6">
        <v>33.297966000000002</v>
      </c>
      <c r="K284" s="8">
        <v>98.260999999999996</v>
      </c>
      <c r="L284" s="6">
        <v>37.649929725546052</v>
      </c>
      <c r="M284" s="6">
        <v>12.55003948715574</v>
      </c>
      <c r="N284" s="6">
        <v>1.213127888651472</v>
      </c>
      <c r="O284" s="6">
        <v>51.042919347245949</v>
      </c>
      <c r="P284" s="6">
        <v>102.4560164485992</v>
      </c>
      <c r="Q284" s="6">
        <v>27.214154435873692</v>
      </c>
      <c r="R284" s="6">
        <v>22.85794063917379</v>
      </c>
      <c r="S284" s="6">
        <v>37.79124852205603</v>
      </c>
      <c r="T284" s="6">
        <v>115.8660811201092</v>
      </c>
      <c r="U284" s="6">
        <v>203.72942471721271</v>
      </c>
      <c r="V284" s="6">
        <v>306.18544116581188</v>
      </c>
      <c r="W284" s="6">
        <v>14.360018947039149</v>
      </c>
      <c r="X284" s="6">
        <v>23.764059609008779</v>
      </c>
      <c r="Y284" s="6">
        <v>-7.292070262071686</v>
      </c>
      <c r="Z284" s="6">
        <v>337.01744945978822</v>
      </c>
      <c r="AA284" s="6">
        <v>0</v>
      </c>
      <c r="AB284" s="6">
        <v>337.01744945978822</v>
      </c>
      <c r="AC284" s="6">
        <v>0</v>
      </c>
      <c r="AD284" s="6">
        <v>32.762879497364672</v>
      </c>
      <c r="AE284" s="6">
        <v>0</v>
      </c>
      <c r="AF284" s="6">
        <v>0</v>
      </c>
      <c r="AG284" s="6">
        <v>369.78032895715279</v>
      </c>
      <c r="AH284" s="6">
        <v>13.09518654230769</v>
      </c>
      <c r="AI284" s="6">
        <v>0</v>
      </c>
      <c r="AJ284" s="6">
        <v>32.441262385565047</v>
      </c>
      <c r="AK284" s="6">
        <v>382.55389838766092</v>
      </c>
      <c r="AL284" s="6">
        <v>0</v>
      </c>
      <c r="AM284" s="6">
        <v>0</v>
      </c>
      <c r="AN284" s="6">
        <v>0</v>
      </c>
      <c r="AO284" s="6">
        <v>0</v>
      </c>
      <c r="AP284" s="6">
        <v>0</v>
      </c>
      <c r="AQ284" s="6">
        <v>382.55389838766092</v>
      </c>
      <c r="AR284" s="6">
        <v>420.00042850281528</v>
      </c>
      <c r="AS284" s="6">
        <v>313.86951199999999</v>
      </c>
      <c r="AT284" s="6">
        <v>82.982979043027143</v>
      </c>
      <c r="AU284" s="6">
        <v>82.982979043027143</v>
      </c>
    </row>
    <row r="285" spans="1:47" x14ac:dyDescent="0.35">
      <c r="A285" s="5">
        <v>46022</v>
      </c>
      <c r="B285" s="4" t="s">
        <v>623</v>
      </c>
      <c r="C285" s="4" t="s">
        <v>624</v>
      </c>
      <c r="D285" s="4" t="s">
        <v>79</v>
      </c>
      <c r="E285" s="6">
        <v>5762.5176869999996</v>
      </c>
      <c r="F285" s="7">
        <v>0.22020000000000001</v>
      </c>
      <c r="G285" s="6">
        <v>63.84</v>
      </c>
      <c r="H285" s="6">
        <v>8.1</v>
      </c>
      <c r="I285" s="6">
        <v>100</v>
      </c>
      <c r="J285" s="6">
        <v>8.1</v>
      </c>
      <c r="K285" s="8">
        <v>100</v>
      </c>
      <c r="L285" s="6">
        <v>0</v>
      </c>
      <c r="M285" s="6">
        <v>0</v>
      </c>
      <c r="N285" s="6">
        <v>0</v>
      </c>
      <c r="O285" s="6">
        <v>0</v>
      </c>
      <c r="P285" s="6">
        <v>0</v>
      </c>
      <c r="Q285" s="6">
        <v>75.07202469696</v>
      </c>
      <c r="R285" s="6">
        <v>19.972660977946578</v>
      </c>
      <c r="S285" s="6">
        <v>17.5657393176946</v>
      </c>
      <c r="T285" s="6">
        <v>89.579578170523092</v>
      </c>
      <c r="U285" s="6">
        <v>202.19000316312429</v>
      </c>
      <c r="V285" s="6">
        <v>202.19000316312429</v>
      </c>
      <c r="W285" s="6">
        <v>4.6658224850173857</v>
      </c>
      <c r="X285" s="6">
        <v>0</v>
      </c>
      <c r="Y285" s="6">
        <v>1.6782917690000001E-15</v>
      </c>
      <c r="Z285" s="6">
        <v>206.85582564814169</v>
      </c>
      <c r="AA285" s="6">
        <v>0</v>
      </c>
      <c r="AB285" s="6">
        <v>206.85582564814169</v>
      </c>
      <c r="AC285" s="6">
        <v>0</v>
      </c>
      <c r="AD285" s="6">
        <v>23.8378438843345</v>
      </c>
      <c r="AE285" s="6">
        <v>0</v>
      </c>
      <c r="AF285" s="6">
        <v>0</v>
      </c>
      <c r="AG285" s="6">
        <v>230.69366953247621</v>
      </c>
      <c r="AH285" s="6">
        <v>12.744764425263311</v>
      </c>
      <c r="AI285" s="6">
        <v>0</v>
      </c>
      <c r="AJ285" s="6">
        <v>21.990250442256318</v>
      </c>
      <c r="AK285" s="6">
        <v>241.59084051566131</v>
      </c>
      <c r="AL285" s="6">
        <v>0</v>
      </c>
      <c r="AM285" s="6">
        <v>0</v>
      </c>
      <c r="AN285" s="6">
        <v>0</v>
      </c>
      <c r="AO285" s="6">
        <v>0</v>
      </c>
      <c r="AP285" s="6">
        <v>0</v>
      </c>
      <c r="AQ285" s="6">
        <v>241.59084051566131</v>
      </c>
      <c r="AR285" s="6">
        <v>419.99999964779198</v>
      </c>
      <c r="AS285" s="6">
        <v>75.001261999999997</v>
      </c>
      <c r="AT285" s="6">
        <v>213.14417399965029</v>
      </c>
      <c r="AU285" s="6">
        <v>213.14417399965029</v>
      </c>
    </row>
    <row r="286" spans="1:47" x14ac:dyDescent="0.35">
      <c r="A286" s="5">
        <v>46022</v>
      </c>
      <c r="B286" s="4" t="s">
        <v>458</v>
      </c>
      <c r="C286" s="4" t="s">
        <v>459</v>
      </c>
      <c r="D286" s="4" t="s">
        <v>222</v>
      </c>
      <c r="E286" s="6">
        <v>9000</v>
      </c>
      <c r="F286" s="7">
        <v>0.55530000000000002</v>
      </c>
      <c r="G286" s="6">
        <v>80.03</v>
      </c>
      <c r="H286" s="6">
        <v>40</v>
      </c>
      <c r="I286" s="6">
        <v>95.361780999999993</v>
      </c>
      <c r="J286" s="6">
        <v>38.144711999999998</v>
      </c>
      <c r="K286" s="8">
        <v>63.192999999999998</v>
      </c>
      <c r="L286" s="6">
        <v>90.698121943304571</v>
      </c>
      <c r="M286" s="6">
        <v>32.155325620383529</v>
      </c>
      <c r="N286" s="6">
        <v>4.6240978708182929</v>
      </c>
      <c r="O286" s="6">
        <v>62.499610722243993</v>
      </c>
      <c r="P286" s="6">
        <v>189.9771561567504</v>
      </c>
      <c r="Q286" s="6">
        <v>63.529464032509487</v>
      </c>
      <c r="R286" s="6">
        <v>23.185045150403582</v>
      </c>
      <c r="S286" s="6">
        <v>27.89269525958537</v>
      </c>
      <c r="T286" s="6">
        <v>73.081752678060568</v>
      </c>
      <c r="U286" s="6">
        <v>187.688957120559</v>
      </c>
      <c r="V286" s="6">
        <v>377.66611327730942</v>
      </c>
      <c r="W286" s="6">
        <v>52.976693285989448</v>
      </c>
      <c r="X286" s="6">
        <v>5.0281887136227663</v>
      </c>
      <c r="Y286" s="6">
        <v>-241.03913143856451</v>
      </c>
      <c r="Z286" s="6">
        <v>194.63186383835711</v>
      </c>
      <c r="AA286" s="6">
        <v>12.54247393823408</v>
      </c>
      <c r="AB286" s="6">
        <v>207.1743377765911</v>
      </c>
      <c r="AC286" s="6">
        <v>3.0013629285736649</v>
      </c>
      <c r="AD286" s="6">
        <v>153.6623267759108</v>
      </c>
      <c r="AE286" s="6">
        <v>0</v>
      </c>
      <c r="AF286" s="6">
        <v>0</v>
      </c>
      <c r="AG286" s="6">
        <v>363.83802748107559</v>
      </c>
      <c r="AH286" s="6">
        <v>6.6809684028176699</v>
      </c>
      <c r="AI286" s="6">
        <v>0</v>
      </c>
      <c r="AJ286" s="6">
        <v>118.9135640777878</v>
      </c>
      <c r="AK286" s="6">
        <v>335.77023318577028</v>
      </c>
      <c r="AL286" s="6">
        <v>203.85182566223929</v>
      </c>
      <c r="AM286" s="6">
        <v>0</v>
      </c>
      <c r="AN286" s="6">
        <v>0</v>
      </c>
      <c r="AO286" s="6">
        <v>0</v>
      </c>
      <c r="AP286" s="6">
        <v>0</v>
      </c>
      <c r="AQ286" s="6">
        <v>539.6220588480096</v>
      </c>
      <c r="AR286" s="6">
        <v>419.99986751938587</v>
      </c>
      <c r="AS286" s="6">
        <v>556.02358400000003</v>
      </c>
      <c r="AT286" s="6">
        <v>225.3680036810288</v>
      </c>
      <c r="AU286" s="6">
        <v>212.8255297427948</v>
      </c>
    </row>
    <row r="287" spans="1:47" x14ac:dyDescent="0.35">
      <c r="A287" s="5">
        <v>46022</v>
      </c>
      <c r="B287" s="4" t="s">
        <v>809</v>
      </c>
      <c r="C287" s="4" t="s">
        <v>810</v>
      </c>
      <c r="D287" s="4" t="s">
        <v>79</v>
      </c>
      <c r="E287" s="6">
        <v>14000</v>
      </c>
      <c r="F287" s="7">
        <v>0.41139999999999999</v>
      </c>
      <c r="G287" s="6">
        <v>80</v>
      </c>
      <c r="H287" s="6">
        <v>46.073</v>
      </c>
      <c r="I287" s="6">
        <v>95</v>
      </c>
      <c r="J287" s="6">
        <v>43.769230999999998</v>
      </c>
      <c r="K287" s="8">
        <v>78.864999999999995</v>
      </c>
      <c r="L287" s="6">
        <v>24.517321152439258</v>
      </c>
      <c r="M287" s="6">
        <v>10.40542182716754</v>
      </c>
      <c r="N287" s="6">
        <v>1.186337435862741</v>
      </c>
      <c r="O287" s="6">
        <v>50.71186298118959</v>
      </c>
      <c r="P287" s="6">
        <v>86.820943396659132</v>
      </c>
      <c r="Q287" s="6">
        <v>16.18539280250393</v>
      </c>
      <c r="R287" s="6">
        <v>24.31803131999856</v>
      </c>
      <c r="S287" s="6">
        <v>19.942969513614528</v>
      </c>
      <c r="T287" s="6">
        <v>35.826975617713501</v>
      </c>
      <c r="U287" s="6">
        <v>96.273369253830523</v>
      </c>
      <c r="V287" s="6">
        <v>183.09431265048971</v>
      </c>
      <c r="W287" s="6">
        <v>30.409941422117399</v>
      </c>
      <c r="X287" s="6">
        <v>24.607491424798582</v>
      </c>
      <c r="Y287" s="6">
        <v>-108.8047215485321</v>
      </c>
      <c r="Z287" s="6">
        <v>129.30702394887359</v>
      </c>
      <c r="AA287" s="6">
        <v>14.786314535743699</v>
      </c>
      <c r="AB287" s="6">
        <v>144.09333848461731</v>
      </c>
      <c r="AC287" s="6">
        <v>0</v>
      </c>
      <c r="AD287" s="6">
        <v>137.99092924834579</v>
      </c>
      <c r="AE287" s="6">
        <v>0</v>
      </c>
      <c r="AF287" s="6">
        <v>0</v>
      </c>
      <c r="AG287" s="6">
        <v>282.08426773296299</v>
      </c>
      <c r="AH287" s="6">
        <v>5.01631195302161</v>
      </c>
      <c r="AI287" s="6">
        <v>0</v>
      </c>
      <c r="AJ287" s="6">
        <v>103.6327005443967</v>
      </c>
      <c r="AK287" s="6">
        <v>252.74235098203559</v>
      </c>
      <c r="AL287" s="6">
        <v>0</v>
      </c>
      <c r="AM287" s="6">
        <v>0</v>
      </c>
      <c r="AN287" s="6">
        <v>0</v>
      </c>
      <c r="AO287" s="6">
        <v>0</v>
      </c>
      <c r="AP287" s="6">
        <v>0</v>
      </c>
      <c r="AQ287" s="6">
        <v>252.74235098203559</v>
      </c>
      <c r="AR287" s="6">
        <v>419.99970217854951</v>
      </c>
      <c r="AS287" s="6">
        <v>510.52210200000002</v>
      </c>
      <c r="AT287" s="6">
        <v>290.69267822967589</v>
      </c>
      <c r="AU287" s="6">
        <v>275.90636369393218</v>
      </c>
    </row>
    <row r="288" spans="1:47" x14ac:dyDescent="0.35">
      <c r="A288" s="5">
        <v>46022</v>
      </c>
      <c r="B288" s="4" t="s">
        <v>625</v>
      </c>
      <c r="C288" s="4" t="s">
        <v>626</v>
      </c>
      <c r="D288" s="4" t="s">
        <v>89</v>
      </c>
      <c r="E288" s="6">
        <v>918</v>
      </c>
      <c r="F288" s="7">
        <v>0.18</v>
      </c>
      <c r="G288" s="6">
        <v>68.2</v>
      </c>
      <c r="H288" s="6">
        <v>1.127</v>
      </c>
      <c r="I288" s="6">
        <v>97</v>
      </c>
      <c r="J288" s="6">
        <v>1.093129</v>
      </c>
      <c r="K288" s="8">
        <v>3.7690000000000001</v>
      </c>
      <c r="L288" s="6">
        <v>3009.5068601979028</v>
      </c>
      <c r="M288" s="6">
        <v>62.740276154027519</v>
      </c>
      <c r="N288" s="6">
        <v>49.920661035481402</v>
      </c>
      <c r="O288" s="6">
        <v>1212.487281856457</v>
      </c>
      <c r="P288" s="6">
        <v>4334.6550792438693</v>
      </c>
      <c r="Q288" s="6">
        <v>791.09600686919805</v>
      </c>
      <c r="R288" s="6">
        <v>184.18936974990129</v>
      </c>
      <c r="S288" s="6">
        <v>129.94527265064201</v>
      </c>
      <c r="T288" s="6">
        <v>710.23115566871229</v>
      </c>
      <c r="U288" s="6">
        <v>1815.461804938454</v>
      </c>
      <c r="V288" s="6">
        <v>6150.1168841823228</v>
      </c>
      <c r="W288" s="6">
        <v>21.099789390762549</v>
      </c>
      <c r="X288" s="6">
        <v>30.835904137235399</v>
      </c>
      <c r="Y288" s="6">
        <v>-11091.888808455809</v>
      </c>
      <c r="Z288" s="6">
        <v>-4889.8362307454863</v>
      </c>
      <c r="AA288" s="6">
        <v>164.52635979756559</v>
      </c>
      <c r="AB288" s="6">
        <v>-4725.30987094792</v>
      </c>
      <c r="AC288" s="6">
        <v>0</v>
      </c>
      <c r="AD288" s="6">
        <v>606.74554485316469</v>
      </c>
      <c r="AE288" s="6">
        <v>0</v>
      </c>
      <c r="AF288" s="6">
        <v>0</v>
      </c>
      <c r="AG288" s="6">
        <v>-4118.5643260947563</v>
      </c>
      <c r="AH288" s="6">
        <v>72.458646118903474</v>
      </c>
      <c r="AI288" s="6">
        <v>0</v>
      </c>
      <c r="AJ288" s="6">
        <v>501.06558996507039</v>
      </c>
      <c r="AK288" s="6">
        <v>-4151.7856348639461</v>
      </c>
      <c r="AL288" s="6">
        <v>0</v>
      </c>
      <c r="AM288" s="6">
        <v>0</v>
      </c>
      <c r="AN288" s="6">
        <v>0</v>
      </c>
      <c r="AO288" s="6">
        <v>0</v>
      </c>
      <c r="AP288" s="6">
        <v>0</v>
      </c>
      <c r="AQ288" s="6">
        <v>-4151.7856348639461</v>
      </c>
      <c r="AR288" s="6">
        <v>419.98885732150683</v>
      </c>
      <c r="AS288" s="6">
        <v>305.46215999999998</v>
      </c>
      <c r="AT288" s="6">
        <v>5309.825088066993</v>
      </c>
      <c r="AU288" s="6">
        <v>5145.2987282694266</v>
      </c>
    </row>
    <row r="289" spans="1:47" x14ac:dyDescent="0.35">
      <c r="A289" s="5">
        <v>46022</v>
      </c>
      <c r="B289" s="4" t="s">
        <v>627</v>
      </c>
      <c r="C289" s="4" t="s">
        <v>628</v>
      </c>
      <c r="D289" s="4" t="s">
        <v>213</v>
      </c>
      <c r="E289" s="6">
        <v>1500</v>
      </c>
      <c r="F289" s="7">
        <v>2.15</v>
      </c>
      <c r="G289" s="6">
        <v>82.5</v>
      </c>
      <c r="H289" s="6">
        <v>26.606000000000002</v>
      </c>
      <c r="I289" s="6">
        <v>100</v>
      </c>
      <c r="J289" s="6">
        <v>26.606249999999999</v>
      </c>
      <c r="K289" s="8">
        <v>89.872</v>
      </c>
      <c r="L289" s="6">
        <v>28.973887428318761</v>
      </c>
      <c r="M289" s="6">
        <v>21.507783869252709</v>
      </c>
      <c r="N289" s="6">
        <v>1.07009184832124</v>
      </c>
      <c r="O289" s="6">
        <v>14.240404273951009</v>
      </c>
      <c r="P289" s="6">
        <v>65.792167419843722</v>
      </c>
      <c r="Q289" s="6">
        <v>20.151525421509461</v>
      </c>
      <c r="R289" s="6">
        <v>60.877151738935808</v>
      </c>
      <c r="S289" s="6">
        <v>20.570397996682171</v>
      </c>
      <c r="T289" s="6">
        <v>9.1445884005054268</v>
      </c>
      <c r="U289" s="6">
        <v>110.7436635576329</v>
      </c>
      <c r="V289" s="6">
        <v>176.53583097747659</v>
      </c>
      <c r="W289" s="6">
        <v>20.989378218801029</v>
      </c>
      <c r="X289" s="6">
        <v>0</v>
      </c>
      <c r="Y289" s="6">
        <v>-58.369283067280683</v>
      </c>
      <c r="Z289" s="6">
        <v>139.1559261289969</v>
      </c>
      <c r="AA289" s="6">
        <v>32.153075692948818</v>
      </c>
      <c r="AB289" s="6">
        <v>171.3090018219458</v>
      </c>
      <c r="AC289" s="6">
        <v>0</v>
      </c>
      <c r="AD289" s="6">
        <v>39.7003784200583</v>
      </c>
      <c r="AE289" s="6">
        <v>0</v>
      </c>
      <c r="AF289" s="6">
        <v>0</v>
      </c>
      <c r="AG289" s="6">
        <v>211.00938024200411</v>
      </c>
      <c r="AH289" s="6">
        <v>11.081419509340151</v>
      </c>
      <c r="AI289" s="6">
        <v>0</v>
      </c>
      <c r="AJ289" s="6">
        <v>1.8753164395727131</v>
      </c>
      <c r="AK289" s="6">
        <v>184.26573777085861</v>
      </c>
      <c r="AL289" s="6">
        <v>0</v>
      </c>
      <c r="AM289" s="6">
        <v>0</v>
      </c>
      <c r="AN289" s="6">
        <v>0</v>
      </c>
      <c r="AO289" s="6">
        <v>0</v>
      </c>
      <c r="AP289" s="6">
        <v>0</v>
      </c>
      <c r="AQ289" s="6">
        <v>184.26573777085861</v>
      </c>
      <c r="AR289" s="6">
        <v>419.99921035956152</v>
      </c>
      <c r="AS289" s="6">
        <v>282.61290200000002</v>
      </c>
      <c r="AT289" s="6">
        <v>280.84328423056451</v>
      </c>
      <c r="AU289" s="6">
        <v>248.69020853761569</v>
      </c>
    </row>
    <row r="290" spans="1:47" x14ac:dyDescent="0.35">
      <c r="A290" s="5">
        <v>46022</v>
      </c>
      <c r="B290" s="4" t="s">
        <v>811</v>
      </c>
      <c r="C290" s="4" t="s">
        <v>812</v>
      </c>
      <c r="D290" s="4" t="s">
        <v>86</v>
      </c>
      <c r="E290" s="6">
        <v>1500</v>
      </c>
      <c r="F290" s="7">
        <v>1.5829</v>
      </c>
      <c r="G290" s="6">
        <v>67.39</v>
      </c>
      <c r="H290" s="6">
        <v>16</v>
      </c>
      <c r="I290" s="6">
        <v>94.358974000000003</v>
      </c>
      <c r="J290" s="6">
        <v>15.097436</v>
      </c>
      <c r="K290" s="8">
        <v>17.881</v>
      </c>
      <c r="L290" s="6">
        <v>76.841090478277962</v>
      </c>
      <c r="M290" s="6">
        <v>46.731857345070843</v>
      </c>
      <c r="N290" s="6">
        <v>9.1416578074814137</v>
      </c>
      <c r="O290" s="6">
        <v>122.49712491235221</v>
      </c>
      <c r="P290" s="6">
        <v>255.2117305431824</v>
      </c>
      <c r="Q290" s="6">
        <v>6.244661697380435</v>
      </c>
      <c r="R290" s="6">
        <v>10.97302504821918</v>
      </c>
      <c r="S290" s="6">
        <v>10.74900850466874</v>
      </c>
      <c r="T290" s="6">
        <v>32.254722871702853</v>
      </c>
      <c r="U290" s="6">
        <v>60.221418121971197</v>
      </c>
      <c r="V290" s="6">
        <v>315.43314866515362</v>
      </c>
      <c r="W290" s="6">
        <v>19.26976733418898</v>
      </c>
      <c r="X290" s="6">
        <v>27.72139249529841</v>
      </c>
      <c r="Y290" s="6">
        <v>-1743.410306175917</v>
      </c>
      <c r="Z290" s="6">
        <v>-1380.9859976812761</v>
      </c>
      <c r="AA290" s="6">
        <v>148.6681664198197</v>
      </c>
      <c r="AB290" s="6">
        <v>-1232.3178312614559</v>
      </c>
      <c r="AC290" s="6">
        <v>0</v>
      </c>
      <c r="AD290" s="6">
        <v>209.66134099149949</v>
      </c>
      <c r="AE290" s="6">
        <v>0</v>
      </c>
      <c r="AF290" s="6">
        <v>0</v>
      </c>
      <c r="AG290" s="6">
        <v>-1022.656490269957</v>
      </c>
      <c r="AH290" s="6">
        <v>61.25075043460803</v>
      </c>
      <c r="AI290" s="6">
        <v>0</v>
      </c>
      <c r="AJ290" s="6">
        <v>111.3512202747885</v>
      </c>
      <c r="AK290" s="6">
        <v>-1059.7158605520599</v>
      </c>
      <c r="AL290" s="6">
        <v>85.131572849271976</v>
      </c>
      <c r="AM290" s="6">
        <v>0</v>
      </c>
      <c r="AN290" s="6">
        <v>0</v>
      </c>
      <c r="AO290" s="6">
        <v>0</v>
      </c>
      <c r="AP290" s="6">
        <v>0</v>
      </c>
      <c r="AQ290" s="6">
        <v>-974.58428770278783</v>
      </c>
      <c r="AR290" s="6">
        <v>419.99899815323442</v>
      </c>
      <c r="AS290" s="6">
        <v>824.71569</v>
      </c>
      <c r="AT290" s="6">
        <v>1800.9849958345101</v>
      </c>
      <c r="AU290" s="6">
        <v>1652.316829414691</v>
      </c>
    </row>
    <row r="291" spans="1:47" x14ac:dyDescent="0.35">
      <c r="A291" s="5">
        <v>46022</v>
      </c>
      <c r="B291" s="4" t="s">
        <v>813</v>
      </c>
      <c r="C291" s="4" t="s">
        <v>814</v>
      </c>
      <c r="D291" s="4" t="s">
        <v>105</v>
      </c>
      <c r="E291" s="6">
        <v>7200</v>
      </c>
      <c r="F291" s="7">
        <v>3.3000000000000002E-2</v>
      </c>
      <c r="G291" s="6">
        <v>58.92</v>
      </c>
      <c r="H291" s="6">
        <v>1.4</v>
      </c>
      <c r="I291" s="6">
        <v>100</v>
      </c>
      <c r="J291" s="6">
        <v>1.4</v>
      </c>
      <c r="K291" s="8">
        <v>0.84299999999999997</v>
      </c>
      <c r="L291" s="6">
        <v>6454.6802064775793</v>
      </c>
      <c r="M291" s="6">
        <v>42.611607698615998</v>
      </c>
      <c r="N291" s="6">
        <v>1703.41806474378</v>
      </c>
      <c r="O291" s="6">
        <v>10331.897481476601</v>
      </c>
      <c r="P291" s="6">
        <v>18532.607360396581</v>
      </c>
      <c r="Q291" s="6">
        <v>2590.0134176434321</v>
      </c>
      <c r="R291" s="6">
        <v>404.47482213956403</v>
      </c>
      <c r="S291" s="6">
        <v>3248.7311694938762</v>
      </c>
      <c r="T291" s="6">
        <v>1023.1808281584121</v>
      </c>
      <c r="U291" s="6">
        <v>7266.4002374352831</v>
      </c>
      <c r="V291" s="6">
        <v>25799.00759783186</v>
      </c>
      <c r="W291" s="6">
        <v>27.363283714800001</v>
      </c>
      <c r="X291" s="6">
        <v>126.092501</v>
      </c>
      <c r="Y291" s="6">
        <v>-25719.76417135671</v>
      </c>
      <c r="Z291" s="6">
        <v>232.69921118995271</v>
      </c>
      <c r="AA291" s="6">
        <v>142.61674798122939</v>
      </c>
      <c r="AB291" s="6">
        <v>375.3159591711821</v>
      </c>
      <c r="AC291" s="6">
        <v>0</v>
      </c>
      <c r="AD291" s="6">
        <v>3651.4083661917839</v>
      </c>
      <c r="AE291" s="6">
        <v>0</v>
      </c>
      <c r="AF291" s="6">
        <v>0</v>
      </c>
      <c r="AG291" s="6">
        <v>4026.7243253629658</v>
      </c>
      <c r="AH291" s="6">
        <v>1473.1132261237919</v>
      </c>
      <c r="AI291" s="6">
        <v>27.496717630271998</v>
      </c>
      <c r="AJ291" s="6">
        <v>3412.713053670228</v>
      </c>
      <c r="AK291" s="6">
        <v>5288.6389565954742</v>
      </c>
      <c r="AL291" s="6">
        <v>0</v>
      </c>
      <c r="AM291" s="6">
        <v>0</v>
      </c>
      <c r="AN291" s="6">
        <v>0</v>
      </c>
      <c r="AO291" s="6">
        <v>0</v>
      </c>
      <c r="AP291" s="6">
        <v>0</v>
      </c>
      <c r="AQ291" s="6">
        <v>5288.6389565954742</v>
      </c>
      <c r="AR291" s="6">
        <v>419.99999964779198</v>
      </c>
      <c r="AS291" s="6">
        <v>876.31293300000004</v>
      </c>
      <c r="AT291" s="6">
        <v>187.3007884578393</v>
      </c>
      <c r="AU291" s="6">
        <v>44.684040476609823</v>
      </c>
    </row>
    <row r="292" spans="1:47" x14ac:dyDescent="0.35">
      <c r="A292" s="5">
        <v>46022</v>
      </c>
      <c r="B292" s="4" t="s">
        <v>475</v>
      </c>
      <c r="C292" s="4" t="s">
        <v>476</v>
      </c>
      <c r="D292" s="4" t="s">
        <v>111</v>
      </c>
      <c r="E292" s="6">
        <v>1250</v>
      </c>
      <c r="F292" s="7">
        <v>0.28000000000000003</v>
      </c>
      <c r="G292" s="6">
        <v>60</v>
      </c>
      <c r="H292" s="6">
        <v>2.1</v>
      </c>
      <c r="I292" s="6">
        <v>97</v>
      </c>
      <c r="J292" s="6">
        <v>2.0369999999999999</v>
      </c>
      <c r="K292" s="8">
        <v>14.638</v>
      </c>
      <c r="L292" s="6">
        <v>987.85025320666648</v>
      </c>
      <c r="M292" s="6">
        <v>215.07648935666671</v>
      </c>
      <c r="N292" s="6">
        <v>92.578158181666652</v>
      </c>
      <c r="O292" s="6">
        <v>441.7321097108333</v>
      </c>
      <c r="P292" s="6">
        <v>1737.2370104558329</v>
      </c>
      <c r="Q292" s="6">
        <v>86.786950442499986</v>
      </c>
      <c r="R292" s="6">
        <v>63.474818870833317</v>
      </c>
      <c r="S292" s="6">
        <v>178.74144695000001</v>
      </c>
      <c r="T292" s="6">
        <v>133.6947366516666</v>
      </c>
      <c r="U292" s="6">
        <v>462.69795291499992</v>
      </c>
      <c r="V292" s="6">
        <v>2199.934963370833</v>
      </c>
      <c r="W292" s="6">
        <v>14.766104197537061</v>
      </c>
      <c r="X292" s="6">
        <v>25.00448097333333</v>
      </c>
      <c r="Y292" s="6">
        <v>-2312.0481629850078</v>
      </c>
      <c r="Z292" s="6">
        <v>-72.342614443304086</v>
      </c>
      <c r="AA292" s="6">
        <v>39.381789411028521</v>
      </c>
      <c r="AB292" s="6">
        <v>-32.960825032275572</v>
      </c>
      <c r="AC292" s="6">
        <v>0</v>
      </c>
      <c r="AD292" s="6">
        <v>279.26328903458329</v>
      </c>
      <c r="AE292" s="6">
        <v>0</v>
      </c>
      <c r="AF292" s="6">
        <v>0</v>
      </c>
      <c r="AG292" s="6">
        <v>246.30246400230769</v>
      </c>
      <c r="AH292" s="6">
        <v>77.41070403916666</v>
      </c>
      <c r="AI292" s="6">
        <v>0</v>
      </c>
      <c r="AJ292" s="6">
        <v>239.9812601175</v>
      </c>
      <c r="AK292" s="6">
        <v>284.431139124391</v>
      </c>
      <c r="AL292" s="6">
        <v>0</v>
      </c>
      <c r="AM292" s="6">
        <v>0</v>
      </c>
      <c r="AN292" s="6">
        <v>0</v>
      </c>
      <c r="AO292" s="6">
        <v>0</v>
      </c>
      <c r="AP292" s="6">
        <v>0</v>
      </c>
      <c r="AQ292" s="6">
        <v>284.431139124391</v>
      </c>
      <c r="AR292" s="6">
        <v>419.99999964779198</v>
      </c>
      <c r="AS292" s="6">
        <v>135.73931099999999</v>
      </c>
      <c r="AT292" s="6">
        <v>492.34261409109598</v>
      </c>
      <c r="AU292" s="6">
        <v>452.9608246800675</v>
      </c>
    </row>
    <row r="293" spans="1:47" x14ac:dyDescent="0.35">
      <c r="A293" s="5">
        <v>46022</v>
      </c>
      <c r="B293" s="4" t="s">
        <v>815</v>
      </c>
      <c r="C293" s="4" t="s">
        <v>816</v>
      </c>
      <c r="D293" s="4" t="s">
        <v>79</v>
      </c>
      <c r="E293" s="6">
        <v>70230.381873999999</v>
      </c>
      <c r="F293" s="7">
        <v>0.43</v>
      </c>
      <c r="G293" s="6">
        <v>42.3</v>
      </c>
      <c r="H293" s="6">
        <v>127.742</v>
      </c>
      <c r="I293" s="6">
        <v>100</v>
      </c>
      <c r="J293" s="6">
        <v>127.742042</v>
      </c>
      <c r="K293" s="8">
        <v>100</v>
      </c>
      <c r="L293" s="6">
        <v>58.092217285029648</v>
      </c>
      <c r="M293" s="6">
        <v>24.750796643670689</v>
      </c>
      <c r="N293" s="6">
        <v>1.308258246539669</v>
      </c>
      <c r="O293" s="6">
        <v>82.602738901434179</v>
      </c>
      <c r="P293" s="6">
        <v>166.7540110766742</v>
      </c>
      <c r="Q293" s="6">
        <v>26.607261005871159</v>
      </c>
      <c r="R293" s="6">
        <v>0.83890523271753248</v>
      </c>
      <c r="S293" s="6">
        <v>34.15386694268787</v>
      </c>
      <c r="T293" s="6">
        <v>46.452157803775222</v>
      </c>
      <c r="U293" s="6">
        <v>108.05219098505179</v>
      </c>
      <c r="V293" s="6">
        <v>274.80620206172603</v>
      </c>
      <c r="W293" s="6">
        <v>3.6287377669156089</v>
      </c>
      <c r="X293" s="6">
        <v>0</v>
      </c>
      <c r="Y293" s="6">
        <v>0</v>
      </c>
      <c r="Z293" s="6">
        <v>278.43493982864157</v>
      </c>
      <c r="AA293" s="6">
        <v>10.50019589922624</v>
      </c>
      <c r="AB293" s="6">
        <v>288.93513572786782</v>
      </c>
      <c r="AC293" s="6">
        <v>0</v>
      </c>
      <c r="AD293" s="6">
        <v>43.175639352042431</v>
      </c>
      <c r="AE293" s="6">
        <v>0</v>
      </c>
      <c r="AF293" s="6">
        <v>0</v>
      </c>
      <c r="AG293" s="6">
        <v>332.11077507991018</v>
      </c>
      <c r="AH293" s="6">
        <v>9.5796044887439251</v>
      </c>
      <c r="AI293" s="6">
        <v>0</v>
      </c>
      <c r="AJ293" s="6">
        <v>25.324588870174779</v>
      </c>
      <c r="AK293" s="6">
        <v>323.83932908678651</v>
      </c>
      <c r="AL293" s="6">
        <v>0</v>
      </c>
      <c r="AM293" s="6">
        <v>0</v>
      </c>
      <c r="AN293" s="6">
        <v>0</v>
      </c>
      <c r="AO293" s="6">
        <v>0</v>
      </c>
      <c r="AP293" s="6">
        <v>0</v>
      </c>
      <c r="AQ293" s="6">
        <v>323.83932908678651</v>
      </c>
      <c r="AR293" s="6">
        <v>419.9998615569981</v>
      </c>
      <c r="AS293" s="6">
        <v>1182.816192</v>
      </c>
      <c r="AT293" s="6">
        <v>141.5649217283565</v>
      </c>
      <c r="AU293" s="6">
        <v>131.06472582913031</v>
      </c>
    </row>
    <row r="294" spans="1:47" x14ac:dyDescent="0.35">
      <c r="A294" s="5">
        <v>46022</v>
      </c>
      <c r="B294" s="4" t="s">
        <v>477</v>
      </c>
      <c r="C294" s="4" t="s">
        <v>478</v>
      </c>
      <c r="D294" s="4" t="s">
        <v>55</v>
      </c>
      <c r="E294" s="6">
        <v>30000</v>
      </c>
      <c r="F294" s="7">
        <v>0.83</v>
      </c>
      <c r="G294" s="6">
        <v>86</v>
      </c>
      <c r="H294" s="6">
        <v>214.14</v>
      </c>
      <c r="I294" s="6">
        <v>96.7</v>
      </c>
      <c r="J294" s="6">
        <v>207.07337999999999</v>
      </c>
      <c r="K294" s="8">
        <v>83.355999999999995</v>
      </c>
      <c r="L294" s="6">
        <v>11.850948271256449</v>
      </c>
      <c r="M294" s="6">
        <v>27.480723475500859</v>
      </c>
      <c r="N294" s="6">
        <v>2.4460007944944442</v>
      </c>
      <c r="O294" s="6">
        <v>76.749914579219023</v>
      </c>
      <c r="P294" s="6">
        <v>118.5275871204708</v>
      </c>
      <c r="Q294" s="6">
        <v>5.2875845446091132</v>
      </c>
      <c r="R294" s="6">
        <v>9.4583866945818915</v>
      </c>
      <c r="S294" s="6">
        <v>30.481573443407299</v>
      </c>
      <c r="T294" s="6">
        <v>50.54982003277447</v>
      </c>
      <c r="U294" s="6">
        <v>95.777364715372784</v>
      </c>
      <c r="V294" s="6">
        <v>214.3049518358435</v>
      </c>
      <c r="W294" s="6">
        <v>9.4745983977914534</v>
      </c>
      <c r="X294" s="6">
        <v>18.006864502421319</v>
      </c>
      <c r="Y294" s="6">
        <v>-200.34623354693039</v>
      </c>
      <c r="Z294" s="6">
        <v>41.440181189125887</v>
      </c>
      <c r="AA294" s="6">
        <v>11.392372103130031</v>
      </c>
      <c r="AB294" s="6">
        <v>52.832553292255923</v>
      </c>
      <c r="AC294" s="6">
        <v>0</v>
      </c>
      <c r="AD294" s="6">
        <v>56.551657969518779</v>
      </c>
      <c r="AE294" s="6">
        <v>0</v>
      </c>
      <c r="AF294" s="6">
        <v>0</v>
      </c>
      <c r="AG294" s="6">
        <v>109.38421126177469</v>
      </c>
      <c r="AH294" s="6">
        <v>8.4470107256502978</v>
      </c>
      <c r="AI294" s="6">
        <v>0</v>
      </c>
      <c r="AJ294" s="6">
        <v>25.130600470971011</v>
      </c>
      <c r="AK294" s="6">
        <v>86.410164488877228</v>
      </c>
      <c r="AL294" s="6">
        <v>0</v>
      </c>
      <c r="AM294" s="6">
        <v>0</v>
      </c>
      <c r="AN294" s="6">
        <v>0</v>
      </c>
      <c r="AO294" s="6">
        <v>0</v>
      </c>
      <c r="AP294" s="6">
        <v>0</v>
      </c>
      <c r="AQ294" s="6">
        <v>86.410164488877228</v>
      </c>
      <c r="AR294" s="6">
        <v>420.00004021312202</v>
      </c>
      <c r="AS294" s="6">
        <v>2832.4174280000002</v>
      </c>
      <c r="AT294" s="6">
        <v>378.55985902399613</v>
      </c>
      <c r="AU294" s="6">
        <v>367.167486920866</v>
      </c>
    </row>
    <row r="295" spans="1:47" x14ac:dyDescent="0.35">
      <c r="A295" s="5">
        <v>46022</v>
      </c>
      <c r="B295" s="4" t="s">
        <v>629</v>
      </c>
      <c r="C295" s="4" t="s">
        <v>630</v>
      </c>
      <c r="D295" s="4" t="s">
        <v>58</v>
      </c>
      <c r="E295" s="6">
        <v>10000</v>
      </c>
      <c r="F295" s="7">
        <v>0.65</v>
      </c>
      <c r="G295" s="6">
        <v>52.62</v>
      </c>
      <c r="H295" s="6">
        <v>34.200000000000003</v>
      </c>
      <c r="I295" s="6">
        <v>97</v>
      </c>
      <c r="J295" s="6">
        <v>33.173999999999999</v>
      </c>
      <c r="K295" s="8">
        <v>80.093000000000004</v>
      </c>
      <c r="L295" s="6">
        <v>71.19271302868421</v>
      </c>
      <c r="M295" s="6">
        <v>23.19921106201754</v>
      </c>
      <c r="N295" s="6">
        <v>1.347951715321638</v>
      </c>
      <c r="O295" s="6">
        <v>17.854945669064328</v>
      </c>
      <c r="P295" s="6">
        <v>113.5948214750877</v>
      </c>
      <c r="Q295" s="6">
        <v>52.300086279736838</v>
      </c>
      <c r="R295" s="6">
        <v>28.019891339385961</v>
      </c>
      <c r="S295" s="6">
        <v>52.611259341666667</v>
      </c>
      <c r="T295" s="6">
        <v>14.008024595116961</v>
      </c>
      <c r="U295" s="6">
        <v>146.9392615559064</v>
      </c>
      <c r="V295" s="6">
        <v>260.53408303099422</v>
      </c>
      <c r="W295" s="6">
        <v>12.61756312280702</v>
      </c>
      <c r="X295" s="6">
        <v>21.12620350877193</v>
      </c>
      <c r="Y295" s="6">
        <v>-95.290774631101485</v>
      </c>
      <c r="Z295" s="6">
        <v>198.98707503147159</v>
      </c>
      <c r="AA295" s="6">
        <v>11.95338975753168</v>
      </c>
      <c r="AB295" s="6">
        <v>210.9404647890033</v>
      </c>
      <c r="AC295" s="6">
        <v>0</v>
      </c>
      <c r="AD295" s="6">
        <v>90.613259275000004</v>
      </c>
      <c r="AE295" s="6">
        <v>0</v>
      </c>
      <c r="AF295" s="6">
        <v>0</v>
      </c>
      <c r="AG295" s="6">
        <v>301.55372406400329</v>
      </c>
      <c r="AH295" s="6">
        <v>13.988882215</v>
      </c>
      <c r="AI295" s="6">
        <v>0</v>
      </c>
      <c r="AJ295" s="6">
        <v>29.71170856725146</v>
      </c>
      <c r="AK295" s="6">
        <v>254.64105557125481</v>
      </c>
      <c r="AL295" s="6">
        <v>49.223263157894742</v>
      </c>
      <c r="AM295" s="6">
        <v>0</v>
      </c>
      <c r="AN295" s="6">
        <v>0</v>
      </c>
      <c r="AO295" s="6">
        <v>0</v>
      </c>
      <c r="AP295" s="6">
        <v>198.2213970804093</v>
      </c>
      <c r="AQ295" s="6">
        <v>502.08571580955879</v>
      </c>
      <c r="AR295" s="6">
        <v>419.99999964779192</v>
      </c>
      <c r="AS295" s="6">
        <v>376.86383799999999</v>
      </c>
      <c r="AT295" s="6">
        <v>221.0129246163203</v>
      </c>
      <c r="AU295" s="6">
        <v>209.05953485878871</v>
      </c>
    </row>
    <row r="296" spans="1:47" x14ac:dyDescent="0.35">
      <c r="A296" s="5">
        <v>46022</v>
      </c>
      <c r="B296" s="4" t="s">
        <v>460</v>
      </c>
      <c r="C296" s="4" t="s">
        <v>461</v>
      </c>
      <c r="D296" s="4" t="s">
        <v>111</v>
      </c>
      <c r="E296" s="6">
        <v>1291.6536779999999</v>
      </c>
      <c r="F296" s="7">
        <v>0.1037</v>
      </c>
      <c r="G296" s="6">
        <v>65.81</v>
      </c>
      <c r="H296" s="6">
        <v>0.88200000000000001</v>
      </c>
      <c r="I296" s="6">
        <v>97</v>
      </c>
      <c r="J296" s="6">
        <v>0.85539500000000002</v>
      </c>
      <c r="K296" s="8">
        <v>16.228000000000002</v>
      </c>
      <c r="L296" s="6">
        <v>500.14526945269648</v>
      </c>
      <c r="M296" s="6">
        <v>398.93170054023358</v>
      </c>
      <c r="N296" s="6">
        <v>202.89425893337511</v>
      </c>
      <c r="O296" s="6">
        <v>302.20091893376582</v>
      </c>
      <c r="P296" s="6">
        <v>1404.1721478600709</v>
      </c>
      <c r="Q296" s="6">
        <v>210.99990605026599</v>
      </c>
      <c r="R296" s="6">
        <v>219.57445508921589</v>
      </c>
      <c r="S296" s="6">
        <v>517.37525756418574</v>
      </c>
      <c r="T296" s="6">
        <v>277.94212799674023</v>
      </c>
      <c r="U296" s="6">
        <v>1225.891746700408</v>
      </c>
      <c r="V296" s="6">
        <v>2630.0638945604792</v>
      </c>
      <c r="W296" s="6">
        <v>37.630827428485432</v>
      </c>
      <c r="X296" s="6">
        <v>22.388246284619381</v>
      </c>
      <c r="Y296" s="6">
        <v>-2065.7691341060149</v>
      </c>
      <c r="Z296" s="6">
        <v>624.31383416756864</v>
      </c>
      <c r="AA296" s="6">
        <v>117.81962984024391</v>
      </c>
      <c r="AB296" s="6">
        <v>742.13346400781245</v>
      </c>
      <c r="AC296" s="6">
        <v>0</v>
      </c>
      <c r="AD296" s="6">
        <v>951.9601479388773</v>
      </c>
      <c r="AE296" s="6">
        <v>0</v>
      </c>
      <c r="AF296" s="6">
        <v>0</v>
      </c>
      <c r="AG296" s="6">
        <v>1694.0936119466901</v>
      </c>
      <c r="AH296" s="6">
        <v>132.9731467744858</v>
      </c>
      <c r="AI296" s="6">
        <v>0</v>
      </c>
      <c r="AJ296" s="6">
        <v>125.1161971275039</v>
      </c>
      <c r="AK296" s="6">
        <v>1000.222807909802</v>
      </c>
      <c r="AL296" s="6">
        <v>0</v>
      </c>
      <c r="AM296" s="6">
        <v>0</v>
      </c>
      <c r="AN296" s="6">
        <v>0</v>
      </c>
      <c r="AO296" s="6">
        <v>0</v>
      </c>
      <c r="AP296" s="6">
        <v>0</v>
      </c>
      <c r="AQ296" s="6">
        <v>1000.222807909802</v>
      </c>
      <c r="AR296" s="6">
        <v>420.00245465395659</v>
      </c>
      <c r="AS296" s="6">
        <v>53.397832000000001</v>
      </c>
      <c r="AT296" s="6">
        <v>-204.311379513612</v>
      </c>
      <c r="AU296" s="6">
        <v>-322.13100935385592</v>
      </c>
    </row>
    <row r="297" spans="1:47" x14ac:dyDescent="0.35">
      <c r="A297" s="5">
        <v>46022</v>
      </c>
      <c r="B297" s="4" t="s">
        <v>631</v>
      </c>
      <c r="C297" s="4" t="s">
        <v>632</v>
      </c>
      <c r="D297" s="4" t="s">
        <v>111</v>
      </c>
      <c r="E297" s="6">
        <v>1429.8</v>
      </c>
      <c r="F297" s="7">
        <v>0.4</v>
      </c>
      <c r="G297" s="6">
        <v>80</v>
      </c>
      <c r="H297" s="6">
        <v>4.5750000000000002</v>
      </c>
      <c r="I297" s="6">
        <v>97</v>
      </c>
      <c r="J297" s="6">
        <v>4.4380990000000002</v>
      </c>
      <c r="K297" s="8">
        <v>37.786999999999999</v>
      </c>
      <c r="L297" s="6">
        <v>206.1819262300456</v>
      </c>
      <c r="M297" s="6">
        <v>39.492041932151452</v>
      </c>
      <c r="N297" s="6">
        <v>34.01682814113331</v>
      </c>
      <c r="O297" s="6">
        <v>147.3216499707963</v>
      </c>
      <c r="P297" s="6">
        <v>427.0124462741266</v>
      </c>
      <c r="Q297" s="6">
        <v>96.795490906993393</v>
      </c>
      <c r="R297" s="6">
        <v>99.301471958923756</v>
      </c>
      <c r="S297" s="6">
        <v>113.12620521277</v>
      </c>
      <c r="T297" s="6">
        <v>92.799479310884536</v>
      </c>
      <c r="U297" s="6">
        <v>402.02264738957172</v>
      </c>
      <c r="V297" s="6">
        <v>829.03509366369826</v>
      </c>
      <c r="W297" s="6">
        <v>13.71047685428624</v>
      </c>
      <c r="X297" s="6">
        <v>23.788834096126291</v>
      </c>
      <c r="Y297" s="6">
        <v>-663.6725897452568</v>
      </c>
      <c r="Z297" s="6">
        <v>202.861814868854</v>
      </c>
      <c r="AA297" s="6">
        <v>17.234890722807961</v>
      </c>
      <c r="AB297" s="6">
        <v>220.09670559166199</v>
      </c>
      <c r="AC297" s="6">
        <v>0</v>
      </c>
      <c r="AD297" s="6">
        <v>238.2522964841194</v>
      </c>
      <c r="AE297" s="6">
        <v>0</v>
      </c>
      <c r="AF297" s="6">
        <v>0</v>
      </c>
      <c r="AG297" s="6">
        <v>458.3490020757813</v>
      </c>
      <c r="AH297" s="6">
        <v>18.459281354230281</v>
      </c>
      <c r="AI297" s="6">
        <v>0</v>
      </c>
      <c r="AJ297" s="6">
        <v>82.903507905054141</v>
      </c>
      <c r="AK297" s="6">
        <v>321.45949485094638</v>
      </c>
      <c r="AL297" s="6">
        <v>0</v>
      </c>
      <c r="AM297" s="6">
        <v>0</v>
      </c>
      <c r="AN297" s="6">
        <v>0</v>
      </c>
      <c r="AO297" s="6">
        <v>0</v>
      </c>
      <c r="AP297" s="6">
        <v>0</v>
      </c>
      <c r="AQ297" s="6">
        <v>321.45949485094638</v>
      </c>
      <c r="AR297" s="6">
        <v>420.0000942829048</v>
      </c>
      <c r="AS297" s="6">
        <v>114.133399</v>
      </c>
      <c r="AT297" s="6">
        <v>217.13827941405069</v>
      </c>
      <c r="AU297" s="6">
        <v>199.90338869124281</v>
      </c>
    </row>
    <row r="298" spans="1:47" x14ac:dyDescent="0.35">
      <c r="A298" s="5">
        <v>46022</v>
      </c>
      <c r="B298" s="4" t="s">
        <v>633</v>
      </c>
      <c r="C298" s="4" t="s">
        <v>634</v>
      </c>
      <c r="D298" s="4" t="s">
        <v>635</v>
      </c>
      <c r="E298" s="6">
        <v>395.78947399999998</v>
      </c>
      <c r="F298" s="7">
        <v>0.23</v>
      </c>
      <c r="G298" s="6">
        <v>69.38</v>
      </c>
      <c r="H298" s="6">
        <v>0.63200000000000001</v>
      </c>
      <c r="I298" s="6">
        <v>97</v>
      </c>
      <c r="J298" s="6">
        <v>0.61263199999999995</v>
      </c>
      <c r="K298" s="8">
        <v>5.4470000000000001</v>
      </c>
      <c r="L298" s="6">
        <v>505.46563141722328</v>
      </c>
      <c r="M298" s="6">
        <v>270.71689443925908</v>
      </c>
      <c r="N298" s="6">
        <v>332.30228160536183</v>
      </c>
      <c r="O298" s="6">
        <v>1460.8708011690901</v>
      </c>
      <c r="P298" s="6">
        <v>2569.3556086309341</v>
      </c>
      <c r="Q298" s="6">
        <v>353.3371210749213</v>
      </c>
      <c r="R298" s="6">
        <v>114.25176843214621</v>
      </c>
      <c r="S298" s="6">
        <v>183.3390089734055</v>
      </c>
      <c r="T298" s="6">
        <v>446.47006411657401</v>
      </c>
      <c r="U298" s="6">
        <v>1097.3979625970469</v>
      </c>
      <c r="V298" s="6">
        <v>3666.753571227981</v>
      </c>
      <c r="W298" s="6">
        <v>8.4130365564774383</v>
      </c>
      <c r="X298" s="6">
        <v>10.2600138757157</v>
      </c>
      <c r="Y298" s="6">
        <v>-7216.7211731409234</v>
      </c>
      <c r="Z298" s="6">
        <v>-3531.2945514807489</v>
      </c>
      <c r="AA298" s="6">
        <v>2336.2890121344922</v>
      </c>
      <c r="AB298" s="6">
        <v>-1195.005539346256</v>
      </c>
      <c r="AC298" s="6">
        <v>44.423951410131302</v>
      </c>
      <c r="AD298" s="6">
        <v>953.0892565168989</v>
      </c>
      <c r="AE298" s="6">
        <v>0</v>
      </c>
      <c r="AF298" s="6">
        <v>0</v>
      </c>
      <c r="AG298" s="6">
        <v>-197.49233141922599</v>
      </c>
      <c r="AH298" s="6">
        <v>193.62230256886119</v>
      </c>
      <c r="AI298" s="6">
        <v>74.039948321114721</v>
      </c>
      <c r="AJ298" s="6">
        <v>281.35178017685251</v>
      </c>
      <c r="AK298" s="6">
        <v>-601.56755686929648</v>
      </c>
      <c r="AL298" s="6">
        <v>0</v>
      </c>
      <c r="AM298" s="6">
        <v>0</v>
      </c>
      <c r="AN298" s="6">
        <v>0</v>
      </c>
      <c r="AO298" s="6">
        <v>0</v>
      </c>
      <c r="AP298" s="6">
        <v>0</v>
      </c>
      <c r="AQ298" s="6">
        <v>-601.56755686929648</v>
      </c>
      <c r="AR298" s="6">
        <v>419.97806151855821</v>
      </c>
      <c r="AS298" s="6">
        <v>107.435109</v>
      </c>
      <c r="AT298" s="6">
        <v>3951.2726129993071</v>
      </c>
      <c r="AU298" s="6">
        <v>1614.983600864814</v>
      </c>
    </row>
    <row r="299" spans="1:47" x14ac:dyDescent="0.35">
      <c r="A299" s="5">
        <v>46022</v>
      </c>
      <c r="B299" s="4" t="s">
        <v>462</v>
      </c>
      <c r="C299" s="4" t="s">
        <v>463</v>
      </c>
      <c r="D299" s="4" t="s">
        <v>55</v>
      </c>
      <c r="E299" s="6">
        <v>6600</v>
      </c>
      <c r="F299" s="7">
        <v>0.1</v>
      </c>
      <c r="G299" s="6">
        <v>75</v>
      </c>
      <c r="H299" s="6">
        <v>4.95</v>
      </c>
      <c r="I299" s="6">
        <v>100</v>
      </c>
      <c r="J299" s="6">
        <v>4.95</v>
      </c>
      <c r="K299" s="8">
        <v>15.558</v>
      </c>
      <c r="L299" s="6">
        <v>83.848787316858648</v>
      </c>
      <c r="M299" s="6">
        <v>119.740583891236</v>
      </c>
      <c r="N299" s="6">
        <v>6.7622760099253316</v>
      </c>
      <c r="O299" s="6">
        <v>184.74587409965861</v>
      </c>
      <c r="P299" s="6">
        <v>395.09752131767863</v>
      </c>
      <c r="Q299" s="6">
        <v>37.849017411435987</v>
      </c>
      <c r="R299" s="6">
        <v>98.325943792691987</v>
      </c>
      <c r="S299" s="6">
        <v>103.5544728021907</v>
      </c>
      <c r="T299" s="6">
        <v>194.71565295531059</v>
      </c>
      <c r="U299" s="6">
        <v>434.44508696162927</v>
      </c>
      <c r="V299" s="6">
        <v>829.54260827930796</v>
      </c>
      <c r="W299" s="6">
        <v>26.737858126584129</v>
      </c>
      <c r="X299" s="6">
        <v>2.125</v>
      </c>
      <c r="Y299" s="6">
        <v>-1835.94168973246</v>
      </c>
      <c r="Z299" s="6">
        <v>-977.53622332656755</v>
      </c>
      <c r="AA299" s="6">
        <v>138.7764398882654</v>
      </c>
      <c r="AB299" s="6">
        <v>-838.75978343830218</v>
      </c>
      <c r="AC299" s="6">
        <v>9.1634730587399993</v>
      </c>
      <c r="AD299" s="6">
        <v>649.21303045193451</v>
      </c>
      <c r="AE299" s="6">
        <v>0</v>
      </c>
      <c r="AF299" s="6">
        <v>0</v>
      </c>
      <c r="AG299" s="6">
        <v>-180.38327992762771</v>
      </c>
      <c r="AH299" s="6">
        <v>68.726138659023974</v>
      </c>
      <c r="AI299" s="6">
        <v>0</v>
      </c>
      <c r="AJ299" s="6">
        <v>331.81703121592659</v>
      </c>
      <c r="AK299" s="6">
        <v>-429.05314050461158</v>
      </c>
      <c r="AL299" s="6">
        <v>0</v>
      </c>
      <c r="AM299" s="6">
        <v>0</v>
      </c>
      <c r="AN299" s="6">
        <v>0</v>
      </c>
      <c r="AO299" s="6">
        <v>0</v>
      </c>
      <c r="AP299" s="6">
        <v>0</v>
      </c>
      <c r="AQ299" s="6">
        <v>-429.05314050461158</v>
      </c>
      <c r="AR299" s="6">
        <v>419.99999964779192</v>
      </c>
      <c r="AS299" s="6">
        <v>285.59869200000003</v>
      </c>
      <c r="AT299" s="6">
        <v>1397.5362229743589</v>
      </c>
      <c r="AU299" s="6">
        <v>1258.7597830860941</v>
      </c>
    </row>
    <row r="300" spans="1:47" x14ac:dyDescent="0.35">
      <c r="A300" s="5">
        <v>46022</v>
      </c>
      <c r="B300" s="4" t="s">
        <v>817</v>
      </c>
      <c r="C300" s="4" t="s">
        <v>818</v>
      </c>
      <c r="D300" s="4" t="s">
        <v>61</v>
      </c>
      <c r="E300" s="6">
        <v>900</v>
      </c>
      <c r="F300" s="7">
        <v>1.47</v>
      </c>
      <c r="G300" s="6">
        <v>94</v>
      </c>
      <c r="H300" s="6">
        <v>12.436</v>
      </c>
      <c r="I300" s="6">
        <v>97</v>
      </c>
      <c r="J300" s="6">
        <v>12.063148</v>
      </c>
      <c r="K300" s="8">
        <v>55.250999999999998</v>
      </c>
      <c r="L300" s="6">
        <v>22.590917331036259</v>
      </c>
      <c r="M300" s="6">
        <v>0</v>
      </c>
      <c r="N300" s="6">
        <v>19.095086261171261</v>
      </c>
      <c r="O300" s="6">
        <v>23.30322346179393</v>
      </c>
      <c r="P300" s="6">
        <v>64.989227054001461</v>
      </c>
      <c r="Q300" s="6">
        <v>6.3236577115138353</v>
      </c>
      <c r="R300" s="6">
        <v>4.7689525580039049</v>
      </c>
      <c r="S300" s="6">
        <v>12.762071418229169</v>
      </c>
      <c r="T300" s="6">
        <v>14.49481249481653</v>
      </c>
      <c r="U300" s="6">
        <v>38.349494182563447</v>
      </c>
      <c r="V300" s="6">
        <v>103.33872123656489</v>
      </c>
      <c r="W300" s="6">
        <v>1.837286830336863</v>
      </c>
      <c r="X300" s="6">
        <v>25.81411145407418</v>
      </c>
      <c r="Y300" s="6">
        <v>-330.00891821445509</v>
      </c>
      <c r="Z300" s="6">
        <v>-199.0187986934792</v>
      </c>
      <c r="AA300" s="6">
        <v>33.393449449469827</v>
      </c>
      <c r="AB300" s="6">
        <v>-165.62534924400941</v>
      </c>
      <c r="AC300" s="6">
        <v>0</v>
      </c>
      <c r="AD300" s="6">
        <v>17.047840660430211</v>
      </c>
      <c r="AE300" s="6">
        <v>0</v>
      </c>
      <c r="AF300" s="6">
        <v>0</v>
      </c>
      <c r="AG300" s="6">
        <v>-148.5775085835792</v>
      </c>
      <c r="AH300" s="6">
        <v>10.891413331071419</v>
      </c>
      <c r="AI300" s="6">
        <v>0</v>
      </c>
      <c r="AJ300" s="6">
        <v>10.91042878188348</v>
      </c>
      <c r="AK300" s="6">
        <v>-143.8235071310545</v>
      </c>
      <c r="AL300" s="6">
        <v>0</v>
      </c>
      <c r="AM300" s="6">
        <v>0</v>
      </c>
      <c r="AN300" s="6">
        <v>0</v>
      </c>
      <c r="AO300" s="6">
        <v>0</v>
      </c>
      <c r="AP300" s="6">
        <v>0</v>
      </c>
      <c r="AQ300" s="6">
        <v>-143.8235071310545</v>
      </c>
      <c r="AR300" s="6">
        <v>419.99832844223408</v>
      </c>
      <c r="AS300" s="6">
        <v>199.77623700000001</v>
      </c>
      <c r="AT300" s="6">
        <v>619.01712713571328</v>
      </c>
      <c r="AU300" s="6">
        <v>585.62367768624335</v>
      </c>
    </row>
    <row r="301" spans="1:47" x14ac:dyDescent="0.35">
      <c r="A301" s="5">
        <v>46022</v>
      </c>
      <c r="B301" s="4" t="s">
        <v>464</v>
      </c>
      <c r="C301" s="4" t="s">
        <v>465</v>
      </c>
      <c r="D301" s="4" t="s">
        <v>466</v>
      </c>
      <c r="E301" s="6">
        <v>32146.957461999998</v>
      </c>
      <c r="F301" s="7">
        <v>0.67490000000000006</v>
      </c>
      <c r="G301" s="6">
        <v>86</v>
      </c>
      <c r="H301" s="6">
        <v>186.58</v>
      </c>
      <c r="I301" s="6">
        <v>99.8</v>
      </c>
      <c r="J301" s="6">
        <v>186.20647500000001</v>
      </c>
      <c r="K301" s="8">
        <v>89.231999999999999</v>
      </c>
      <c r="L301" s="6">
        <v>93.516270151872519</v>
      </c>
      <c r="M301" s="6">
        <v>4.5100728299367896</v>
      </c>
      <c r="N301" s="6">
        <v>4.1905022504660687</v>
      </c>
      <c r="O301" s="6">
        <v>7.8688802941094709</v>
      </c>
      <c r="P301" s="6">
        <v>110.08572552638481</v>
      </c>
      <c r="Q301" s="6">
        <v>59.33051105555181</v>
      </c>
      <c r="R301" s="6">
        <v>20.63684828439521</v>
      </c>
      <c r="S301" s="6">
        <v>169.7551416160795</v>
      </c>
      <c r="T301" s="6">
        <v>10.54418463671723</v>
      </c>
      <c r="U301" s="6">
        <v>260.26668559274373</v>
      </c>
      <c r="V301" s="6">
        <v>370.35241111912859</v>
      </c>
      <c r="W301" s="6">
        <v>4.8596686732531742E-5</v>
      </c>
      <c r="X301" s="6">
        <v>21.984659126603621</v>
      </c>
      <c r="Y301" s="6">
        <v>-48.470077861536858</v>
      </c>
      <c r="Z301" s="6">
        <v>343.86704098088211</v>
      </c>
      <c r="AA301" s="6">
        <v>0</v>
      </c>
      <c r="AB301" s="6">
        <v>343.86704098088211</v>
      </c>
      <c r="AC301" s="6">
        <v>0</v>
      </c>
      <c r="AD301" s="6">
        <v>44.895653087155416</v>
      </c>
      <c r="AE301" s="6">
        <v>0</v>
      </c>
      <c r="AF301" s="6">
        <v>0</v>
      </c>
      <c r="AG301" s="6">
        <v>388.76269406803749</v>
      </c>
      <c r="AH301" s="6">
        <v>55.552860884780799</v>
      </c>
      <c r="AI301" s="6">
        <v>0</v>
      </c>
      <c r="AJ301" s="6">
        <v>37.035245810443762</v>
      </c>
      <c r="AK301" s="6">
        <v>436.45514767610661</v>
      </c>
      <c r="AL301" s="6">
        <v>0</v>
      </c>
      <c r="AM301" s="6">
        <v>0</v>
      </c>
      <c r="AN301" s="6">
        <v>0</v>
      </c>
      <c r="AO301" s="6">
        <v>0</v>
      </c>
      <c r="AP301" s="6">
        <v>0</v>
      </c>
      <c r="AQ301" s="6">
        <v>436.45514767610661</v>
      </c>
      <c r="AR301" s="6">
        <v>420.00005603680842</v>
      </c>
      <c r="AS301" s="6">
        <v>1958.1051</v>
      </c>
      <c r="AT301" s="6">
        <v>76.133015055926364</v>
      </c>
      <c r="AU301" s="6">
        <v>76.133015055926364</v>
      </c>
    </row>
    <row r="302" spans="1:47" x14ac:dyDescent="0.35">
      <c r="A302" s="5">
        <v>46022</v>
      </c>
      <c r="B302" s="4" t="s">
        <v>467</v>
      </c>
      <c r="C302" s="4" t="s">
        <v>468</v>
      </c>
      <c r="D302" s="4" t="s">
        <v>61</v>
      </c>
      <c r="E302" s="6">
        <v>331.76</v>
      </c>
      <c r="F302" s="7">
        <v>0.41</v>
      </c>
      <c r="G302" s="6">
        <v>88</v>
      </c>
      <c r="H302" s="6">
        <v>1.1970000000000001</v>
      </c>
      <c r="I302" s="6">
        <v>97</v>
      </c>
      <c r="J302" s="6">
        <v>1.1610799999999999</v>
      </c>
      <c r="K302" s="8">
        <v>68.429000000000002</v>
      </c>
      <c r="L302" s="6">
        <v>81.597363705840905</v>
      </c>
      <c r="M302" s="6">
        <v>0</v>
      </c>
      <c r="N302" s="6">
        <v>50.0278164740321</v>
      </c>
      <c r="O302" s="6">
        <v>61.83882771026439</v>
      </c>
      <c r="P302" s="6">
        <v>193.4640078901374</v>
      </c>
      <c r="Q302" s="6">
        <v>17.628267618636318</v>
      </c>
      <c r="R302" s="6">
        <v>16.83573530632027</v>
      </c>
      <c r="S302" s="6">
        <v>43.912684899327949</v>
      </c>
      <c r="T302" s="6">
        <v>53.018142279760667</v>
      </c>
      <c r="U302" s="6">
        <v>131.39483010404521</v>
      </c>
      <c r="V302" s="6">
        <v>324.85883799418258</v>
      </c>
      <c r="W302" s="6">
        <v>0</v>
      </c>
      <c r="X302" s="6">
        <v>25.004655844096881</v>
      </c>
      <c r="Y302" s="6">
        <v>-189.06395722059631</v>
      </c>
      <c r="Z302" s="6">
        <v>160.79953661768309</v>
      </c>
      <c r="AA302" s="6">
        <v>70.835412653314464</v>
      </c>
      <c r="AB302" s="6">
        <v>231.63494927099759</v>
      </c>
      <c r="AC302" s="6">
        <v>0</v>
      </c>
      <c r="AD302" s="6">
        <v>19.026348585812311</v>
      </c>
      <c r="AE302" s="6">
        <v>0</v>
      </c>
      <c r="AF302" s="6">
        <v>0</v>
      </c>
      <c r="AG302" s="6">
        <v>250.66129785680991</v>
      </c>
      <c r="AH302" s="6">
        <v>33.865077174994418</v>
      </c>
      <c r="AI302" s="6">
        <v>0</v>
      </c>
      <c r="AJ302" s="6">
        <v>19.026348585812311</v>
      </c>
      <c r="AK302" s="6">
        <v>284.52637503180432</v>
      </c>
      <c r="AL302" s="6">
        <v>0</v>
      </c>
      <c r="AM302" s="6">
        <v>0</v>
      </c>
      <c r="AN302" s="6">
        <v>0</v>
      </c>
      <c r="AO302" s="6">
        <v>0</v>
      </c>
      <c r="AP302" s="6">
        <v>0</v>
      </c>
      <c r="AQ302" s="6">
        <v>284.52637503180432</v>
      </c>
      <c r="AR302" s="6">
        <v>420.00723429139362</v>
      </c>
      <c r="AS302" s="6">
        <v>15.739633</v>
      </c>
      <c r="AT302" s="6">
        <v>259.20769767371041</v>
      </c>
      <c r="AU302" s="6">
        <v>188.37228502039599</v>
      </c>
    </row>
    <row r="303" spans="1:47" x14ac:dyDescent="0.35">
      <c r="A303" s="5">
        <v>46022</v>
      </c>
      <c r="B303" s="4" t="s">
        <v>636</v>
      </c>
      <c r="C303" s="4" t="s">
        <v>637</v>
      </c>
      <c r="D303" s="4" t="s">
        <v>61</v>
      </c>
      <c r="E303" s="6">
        <v>1527</v>
      </c>
      <c r="F303" s="7">
        <v>0.08</v>
      </c>
      <c r="G303" s="6">
        <v>40</v>
      </c>
      <c r="H303" s="6">
        <v>0.48899999999999999</v>
      </c>
      <c r="I303" s="6">
        <v>97</v>
      </c>
      <c r="J303" s="6">
        <v>0.47398099999999999</v>
      </c>
      <c r="K303" s="8">
        <v>5.4740000000000002</v>
      </c>
      <c r="L303" s="6">
        <v>680.90089720965545</v>
      </c>
      <c r="M303" s="6">
        <v>424.59881204775081</v>
      </c>
      <c r="N303" s="6">
        <v>566.7378541519796</v>
      </c>
      <c r="O303" s="6">
        <v>1667.628722004436</v>
      </c>
      <c r="P303" s="6">
        <v>3339.866285413822</v>
      </c>
      <c r="Q303" s="6">
        <v>452.25376018696119</v>
      </c>
      <c r="R303" s="6">
        <v>267.17061553677848</v>
      </c>
      <c r="S303" s="6">
        <v>688.27849216099514</v>
      </c>
      <c r="T303" s="6">
        <v>527.13373318919355</v>
      </c>
      <c r="U303" s="6">
        <v>1934.836601073928</v>
      </c>
      <c r="V303" s="6">
        <v>5274.7028864877502</v>
      </c>
      <c r="W303" s="6">
        <v>14.285649214815621</v>
      </c>
      <c r="X303" s="6">
        <v>24.265225653602151</v>
      </c>
      <c r="Y303" s="6">
        <v>-6566.4429409957238</v>
      </c>
      <c r="Z303" s="6">
        <v>-1253.1891796395571</v>
      </c>
      <c r="AA303" s="6">
        <v>711.79576852983348</v>
      </c>
      <c r="AB303" s="6">
        <v>-541.39341110972316</v>
      </c>
      <c r="AC303" s="6">
        <v>0</v>
      </c>
      <c r="AD303" s="6">
        <v>328.15435959826112</v>
      </c>
      <c r="AE303" s="6">
        <v>0</v>
      </c>
      <c r="AF303" s="6">
        <v>0</v>
      </c>
      <c r="AG303" s="6">
        <v>-213.23905151146209</v>
      </c>
      <c r="AH303" s="6">
        <v>305.6371027655357</v>
      </c>
      <c r="AI303" s="6">
        <v>0</v>
      </c>
      <c r="AJ303" s="6">
        <v>328.15435959826112</v>
      </c>
      <c r="AK303" s="6">
        <v>92.398051254073621</v>
      </c>
      <c r="AL303" s="6">
        <v>0</v>
      </c>
      <c r="AM303" s="6">
        <v>0</v>
      </c>
      <c r="AN303" s="6">
        <v>0</v>
      </c>
      <c r="AO303" s="6">
        <v>0</v>
      </c>
      <c r="AP303" s="6">
        <v>0</v>
      </c>
      <c r="AQ303" s="6">
        <v>92.398051254073621</v>
      </c>
      <c r="AR303" s="6">
        <v>420.01683576568132</v>
      </c>
      <c r="AS303" s="6">
        <v>96.655688999999995</v>
      </c>
      <c r="AT303" s="6">
        <v>1673.2060154052381</v>
      </c>
      <c r="AU303" s="6">
        <v>961.41024687540448</v>
      </c>
    </row>
    <row r="304" spans="1:47" x14ac:dyDescent="0.35">
      <c r="A304" s="5">
        <v>46022</v>
      </c>
      <c r="B304" s="4" t="s">
        <v>819</v>
      </c>
      <c r="C304" s="4" t="s">
        <v>820</v>
      </c>
      <c r="D304" s="4" t="s">
        <v>61</v>
      </c>
      <c r="E304" s="6">
        <v>3500</v>
      </c>
      <c r="F304" s="7">
        <v>0.4</v>
      </c>
      <c r="G304" s="6">
        <v>91</v>
      </c>
      <c r="H304" s="6">
        <v>12.74</v>
      </c>
      <c r="I304" s="6">
        <v>97</v>
      </c>
      <c r="J304" s="6">
        <v>12.357799999999999</v>
      </c>
      <c r="K304" s="8">
        <v>62.021999999999998</v>
      </c>
      <c r="L304" s="6">
        <v>79.234691438269223</v>
      </c>
      <c r="M304" s="6">
        <v>0</v>
      </c>
      <c r="N304" s="6">
        <v>38.799991744038458</v>
      </c>
      <c r="O304" s="6">
        <v>77.129330659615377</v>
      </c>
      <c r="P304" s="6">
        <v>195.16401384192309</v>
      </c>
      <c r="Q304" s="6">
        <v>32.589792163076922</v>
      </c>
      <c r="R304" s="6">
        <v>13.431565340769231</v>
      </c>
      <c r="S304" s="6">
        <v>62.992621113653847</v>
      </c>
      <c r="T304" s="6">
        <v>118.83579246634621</v>
      </c>
      <c r="U304" s="6">
        <v>227.84977108384621</v>
      </c>
      <c r="V304" s="6">
        <v>423.01378492576919</v>
      </c>
      <c r="W304" s="6">
        <v>4.1164650259060611</v>
      </c>
      <c r="X304" s="6">
        <v>24.507302125801921</v>
      </c>
      <c r="Y304" s="6">
        <v>-250.73177124617541</v>
      </c>
      <c r="Z304" s="6">
        <v>200.9057808313018</v>
      </c>
      <c r="AA304" s="6">
        <v>74.316005875385514</v>
      </c>
      <c r="AB304" s="6">
        <v>275.22178670668728</v>
      </c>
      <c r="AC304" s="6">
        <v>0</v>
      </c>
      <c r="AD304" s="6">
        <v>59.266221306346146</v>
      </c>
      <c r="AE304" s="6">
        <v>0</v>
      </c>
      <c r="AF304" s="6">
        <v>0</v>
      </c>
      <c r="AG304" s="6">
        <v>334.48800801303349</v>
      </c>
      <c r="AH304" s="6">
        <v>46.200222536346153</v>
      </c>
      <c r="AI304" s="6">
        <v>0</v>
      </c>
      <c r="AJ304" s="6">
        <v>44.575997518461541</v>
      </c>
      <c r="AK304" s="6">
        <v>365.99800676149499</v>
      </c>
      <c r="AL304" s="6">
        <v>0</v>
      </c>
      <c r="AM304" s="6">
        <v>0</v>
      </c>
      <c r="AN304" s="6">
        <v>0</v>
      </c>
      <c r="AO304" s="6">
        <v>0</v>
      </c>
      <c r="AP304" s="6">
        <v>0</v>
      </c>
      <c r="AQ304" s="6">
        <v>365.99800676149499</v>
      </c>
      <c r="AR304" s="6">
        <v>419.99999964779198</v>
      </c>
      <c r="AS304" s="6">
        <v>183.092502</v>
      </c>
      <c r="AT304" s="6">
        <v>219.09421881649021</v>
      </c>
      <c r="AU304" s="6">
        <v>144.7782129411047</v>
      </c>
    </row>
    <row r="305" spans="1:47" x14ac:dyDescent="0.35">
      <c r="A305" s="5">
        <v>46022</v>
      </c>
      <c r="B305" s="4" t="s">
        <v>479</v>
      </c>
      <c r="C305" s="4" t="s">
        <v>480</v>
      </c>
      <c r="D305" s="4" t="s">
        <v>61</v>
      </c>
      <c r="E305" s="6">
        <v>20</v>
      </c>
      <c r="F305" s="7">
        <v>0.5</v>
      </c>
      <c r="G305" s="6">
        <v>96</v>
      </c>
      <c r="H305" s="6">
        <v>9.6000000000000002E-2</v>
      </c>
      <c r="I305" s="6">
        <v>93.125</v>
      </c>
      <c r="J305" s="6">
        <v>8.9399999999999993E-2</v>
      </c>
      <c r="K305" s="8">
        <v>68.31</v>
      </c>
      <c r="L305" s="6">
        <v>122.44890417331069</v>
      </c>
      <c r="M305" s="6">
        <v>16.264543805680539</v>
      </c>
      <c r="N305" s="6">
        <v>29.609251626041171</v>
      </c>
      <c r="O305" s="6">
        <v>54.75808695309285</v>
      </c>
      <c r="P305" s="6">
        <v>223.08078655812531</v>
      </c>
      <c r="Q305" s="6">
        <v>24.811543228921249</v>
      </c>
      <c r="R305" s="6">
        <v>15.51902872203042</v>
      </c>
      <c r="S305" s="6">
        <v>43.280992441935581</v>
      </c>
      <c r="T305" s="6">
        <v>43.489563752293073</v>
      </c>
      <c r="U305" s="6">
        <v>127.1011281451803</v>
      </c>
      <c r="V305" s="6">
        <v>350.18191470330561</v>
      </c>
      <c r="W305" s="6">
        <v>3.464175952588409</v>
      </c>
      <c r="X305" s="6">
        <v>32.353952751677852</v>
      </c>
      <c r="Y305" s="6">
        <v>-188.97915979265011</v>
      </c>
      <c r="Z305" s="6">
        <v>197.02088361492179</v>
      </c>
      <c r="AA305" s="6">
        <v>77.869524583962416</v>
      </c>
      <c r="AB305" s="6">
        <v>274.89040819888419</v>
      </c>
      <c r="AC305" s="6">
        <v>0</v>
      </c>
      <c r="AD305" s="6">
        <v>6.8566930375498876</v>
      </c>
      <c r="AE305" s="6">
        <v>0</v>
      </c>
      <c r="AF305" s="6">
        <v>0</v>
      </c>
      <c r="AG305" s="6">
        <v>281.7471012364341</v>
      </c>
      <c r="AH305" s="6">
        <v>19.957110416850561</v>
      </c>
      <c r="AI305" s="6">
        <v>0</v>
      </c>
      <c r="AJ305" s="6">
        <v>6.6143610601903813</v>
      </c>
      <c r="AK305" s="6">
        <v>301.46187967592522</v>
      </c>
      <c r="AL305" s="6">
        <v>0</v>
      </c>
      <c r="AM305" s="6">
        <v>0</v>
      </c>
      <c r="AN305" s="6">
        <v>0</v>
      </c>
      <c r="AO305" s="6">
        <v>0</v>
      </c>
      <c r="AP305" s="6">
        <v>0</v>
      </c>
      <c r="AQ305" s="6">
        <v>301.46187967592522</v>
      </c>
      <c r="AR305" s="6">
        <v>419.99999964779198</v>
      </c>
      <c r="AS305" s="6">
        <v>1.201195</v>
      </c>
      <c r="AT305" s="6">
        <v>222.97911603287019</v>
      </c>
      <c r="AU305" s="6">
        <v>145.10959144890779</v>
      </c>
    </row>
    <row r="306" spans="1:47" x14ac:dyDescent="0.35">
      <c r="A306" s="5">
        <v>46022</v>
      </c>
      <c r="B306" s="4" t="s">
        <v>469</v>
      </c>
      <c r="C306" s="4" t="s">
        <v>470</v>
      </c>
      <c r="D306" s="4" t="s">
        <v>61</v>
      </c>
      <c r="E306" s="6">
        <v>150</v>
      </c>
      <c r="F306" s="7">
        <v>0.56999999999999995</v>
      </c>
      <c r="G306" s="6">
        <v>86</v>
      </c>
      <c r="H306" s="6">
        <v>0.73499999999999999</v>
      </c>
      <c r="I306" s="6">
        <v>97</v>
      </c>
      <c r="J306" s="6">
        <v>0.71324100000000001</v>
      </c>
      <c r="K306" s="8">
        <v>100</v>
      </c>
      <c r="L306" s="6">
        <v>60.047210702121582</v>
      </c>
      <c r="M306" s="6">
        <v>8.1757741439004477</v>
      </c>
      <c r="N306" s="6">
        <v>27.983377408302729</v>
      </c>
      <c r="O306" s="6">
        <v>42.880530900061203</v>
      </c>
      <c r="P306" s="6">
        <v>139.08689315438599</v>
      </c>
      <c r="Q306" s="6">
        <v>13.44748069479804</v>
      </c>
      <c r="R306" s="6">
        <v>14.08832751566707</v>
      </c>
      <c r="S306" s="6">
        <v>21.712944203080369</v>
      </c>
      <c r="T306" s="6">
        <v>20.827116254079971</v>
      </c>
      <c r="U306" s="6">
        <v>70.075868667625457</v>
      </c>
      <c r="V306" s="6">
        <v>209.16276182201139</v>
      </c>
      <c r="W306" s="6">
        <v>4.1865546984800002</v>
      </c>
      <c r="X306" s="6">
        <v>26.704380127390319</v>
      </c>
      <c r="Y306" s="6">
        <v>-2.041165665E-15</v>
      </c>
      <c r="Z306" s="6">
        <v>240.05369664788171</v>
      </c>
      <c r="AA306" s="6">
        <v>51.441105538359729</v>
      </c>
      <c r="AB306" s="6">
        <v>291.49480218624149</v>
      </c>
      <c r="AC306" s="6">
        <v>0</v>
      </c>
      <c r="AD306" s="6">
        <v>32.6310550865769</v>
      </c>
      <c r="AE306" s="6">
        <v>0</v>
      </c>
      <c r="AF306" s="6">
        <v>0</v>
      </c>
      <c r="AG306" s="6">
        <v>324.12585727281839</v>
      </c>
      <c r="AH306" s="6">
        <v>16.29542804416565</v>
      </c>
      <c r="AI306" s="6">
        <v>0</v>
      </c>
      <c r="AJ306" s="6">
        <v>18.144744133129329</v>
      </c>
      <c r="AK306" s="6">
        <v>325.93497436353641</v>
      </c>
      <c r="AL306" s="6">
        <v>0</v>
      </c>
      <c r="AM306" s="6">
        <v>0</v>
      </c>
      <c r="AN306" s="6">
        <v>0</v>
      </c>
      <c r="AO306" s="6">
        <v>0</v>
      </c>
      <c r="AP306" s="6">
        <v>0</v>
      </c>
      <c r="AQ306" s="6">
        <v>325.93497436353641</v>
      </c>
      <c r="AR306" s="6">
        <v>419.975856335804</v>
      </c>
      <c r="AS306" s="6">
        <v>6.603815</v>
      </c>
      <c r="AT306" s="6">
        <v>179.92215968792229</v>
      </c>
      <c r="AU306" s="6">
        <v>128.4810541495626</v>
      </c>
    </row>
    <row r="307" spans="1:47" x14ac:dyDescent="0.35">
      <c r="A307" s="5">
        <v>46022</v>
      </c>
      <c r="B307" s="4" t="s">
        <v>821</v>
      </c>
      <c r="C307" s="4" t="s">
        <v>822</v>
      </c>
      <c r="D307" s="4" t="s">
        <v>61</v>
      </c>
      <c r="E307" s="6">
        <v>304.44</v>
      </c>
      <c r="F307" s="7">
        <v>0.33</v>
      </c>
      <c r="G307" s="6">
        <v>86</v>
      </c>
      <c r="H307" s="6">
        <v>0.86399999999999999</v>
      </c>
      <c r="I307" s="6">
        <v>97</v>
      </c>
      <c r="J307" s="6">
        <v>0.83808099999999996</v>
      </c>
      <c r="K307" s="8">
        <v>48.009</v>
      </c>
      <c r="L307" s="6">
        <v>65.876092906744276</v>
      </c>
      <c r="M307" s="6">
        <v>8.6800510367761934</v>
      </c>
      <c r="N307" s="6">
        <v>66.200148540901594</v>
      </c>
      <c r="O307" s="6">
        <v>92.954140174573766</v>
      </c>
      <c r="P307" s="6">
        <v>233.71043265899581</v>
      </c>
      <c r="Q307" s="6">
        <v>9.0043043964437661</v>
      </c>
      <c r="R307" s="6">
        <v>16.98155658419811</v>
      </c>
      <c r="S307" s="6">
        <v>40.53023644849722</v>
      </c>
      <c r="T307" s="6">
        <v>44.243191988285353</v>
      </c>
      <c r="U307" s="6">
        <v>110.7592894174244</v>
      </c>
      <c r="V307" s="6">
        <v>344.46972207642028</v>
      </c>
      <c r="W307" s="6">
        <v>6.9351466730261278</v>
      </c>
      <c r="X307" s="6">
        <v>26.704999048063371</v>
      </c>
      <c r="Y307" s="6">
        <v>-442.75505563547711</v>
      </c>
      <c r="Z307" s="6">
        <v>-64.645187837967356</v>
      </c>
      <c r="AA307" s="6">
        <v>54.788192732996379</v>
      </c>
      <c r="AB307" s="6">
        <v>-9.8569951049709736</v>
      </c>
      <c r="AC307" s="6">
        <v>0</v>
      </c>
      <c r="AD307" s="6">
        <v>9.2587606509966545</v>
      </c>
      <c r="AE307" s="6">
        <v>0</v>
      </c>
      <c r="AF307" s="6">
        <v>0</v>
      </c>
      <c r="AG307" s="6">
        <v>-0.59823445397431874</v>
      </c>
      <c r="AH307" s="6">
        <v>22.683976776642488</v>
      </c>
      <c r="AI307" s="6">
        <v>0</v>
      </c>
      <c r="AJ307" s="6">
        <v>39.04095142824449</v>
      </c>
      <c r="AK307" s="6">
        <v>51.867933099916009</v>
      </c>
      <c r="AL307" s="6">
        <v>0</v>
      </c>
      <c r="AM307" s="6">
        <v>0</v>
      </c>
      <c r="AN307" s="6">
        <v>0</v>
      </c>
      <c r="AO307" s="6">
        <v>0</v>
      </c>
      <c r="AP307" s="6">
        <v>0</v>
      </c>
      <c r="AQ307" s="6">
        <v>51.867933099916009</v>
      </c>
      <c r="AR307" s="6">
        <v>420.00952140045467</v>
      </c>
      <c r="AS307" s="6">
        <v>16.052951</v>
      </c>
      <c r="AT307" s="6">
        <v>484.65470923842202</v>
      </c>
      <c r="AU307" s="6">
        <v>429.86651650542558</v>
      </c>
    </row>
    <row r="308" spans="1:47" x14ac:dyDescent="0.35">
      <c r="A308" s="5">
        <v>46022</v>
      </c>
      <c r="B308" s="4" t="s">
        <v>471</v>
      </c>
      <c r="C308" s="4" t="s">
        <v>472</v>
      </c>
      <c r="D308" s="4" t="s">
        <v>61</v>
      </c>
      <c r="E308" s="6">
        <v>500</v>
      </c>
      <c r="F308" s="7">
        <v>0.88</v>
      </c>
      <c r="G308" s="6">
        <v>95</v>
      </c>
      <c r="H308" s="6">
        <v>4.18</v>
      </c>
      <c r="I308" s="6">
        <v>97</v>
      </c>
      <c r="J308" s="6">
        <v>4.0545999999999998</v>
      </c>
      <c r="K308" s="8">
        <v>81.930999999999997</v>
      </c>
      <c r="L308" s="6">
        <v>41.822931497236837</v>
      </c>
      <c r="M308" s="6">
        <v>0</v>
      </c>
      <c r="N308" s="6">
        <v>30.484419951447371</v>
      </c>
      <c r="O308" s="6">
        <v>27.910636204868421</v>
      </c>
      <c r="P308" s="6">
        <v>100.2179876535526</v>
      </c>
      <c r="Q308" s="6">
        <v>7.4235281234210531</v>
      </c>
      <c r="R308" s="6">
        <v>11.70255673171053</v>
      </c>
      <c r="S308" s="6">
        <v>19.67760914460526</v>
      </c>
      <c r="T308" s="6">
        <v>15.95113963302631</v>
      </c>
      <c r="U308" s="6">
        <v>54.754833632763159</v>
      </c>
      <c r="V308" s="6">
        <v>154.97282128631579</v>
      </c>
      <c r="W308" s="6">
        <v>1.7704360899346121</v>
      </c>
      <c r="X308" s="6">
        <v>25.814167427368421</v>
      </c>
      <c r="Y308" s="6">
        <v>-90.045626327299885</v>
      </c>
      <c r="Z308" s="6">
        <v>92.511798476318944</v>
      </c>
      <c r="AA308" s="6">
        <v>36.666621452554828</v>
      </c>
      <c r="AB308" s="6">
        <v>129.17841992887381</v>
      </c>
      <c r="AC308" s="6">
        <v>0</v>
      </c>
      <c r="AD308" s="6">
        <v>13.358209155789471</v>
      </c>
      <c r="AE308" s="6">
        <v>0</v>
      </c>
      <c r="AF308" s="6">
        <v>0</v>
      </c>
      <c r="AG308" s="6">
        <v>142.53662908466319</v>
      </c>
      <c r="AH308" s="6">
        <v>6.2862134410526309</v>
      </c>
      <c r="AI308" s="6">
        <v>0</v>
      </c>
      <c r="AJ308" s="6">
        <v>7.119138176315789</v>
      </c>
      <c r="AK308" s="6">
        <v>142.58377154624219</v>
      </c>
      <c r="AL308" s="6">
        <v>0</v>
      </c>
      <c r="AM308" s="6">
        <v>0</v>
      </c>
      <c r="AN308" s="6">
        <v>0</v>
      </c>
      <c r="AO308" s="6">
        <v>0</v>
      </c>
      <c r="AP308" s="6">
        <v>0</v>
      </c>
      <c r="AQ308" s="6">
        <v>142.58377154624219</v>
      </c>
      <c r="AR308" s="6">
        <v>419.99999964779198</v>
      </c>
      <c r="AS308" s="6">
        <v>45.702786000000003</v>
      </c>
      <c r="AT308" s="6">
        <v>327.48820117147301</v>
      </c>
      <c r="AU308" s="6">
        <v>290.8215797189182</v>
      </c>
    </row>
    <row r="309" spans="1:47" x14ac:dyDescent="0.35">
      <c r="A309" s="5">
        <v>46022</v>
      </c>
      <c r="B309" s="4" t="s">
        <v>481</v>
      </c>
      <c r="C309" s="4" t="s">
        <v>482</v>
      </c>
      <c r="D309" s="4" t="s">
        <v>61</v>
      </c>
      <c r="E309" s="6">
        <v>83.59</v>
      </c>
      <c r="F309" s="7">
        <v>0.45710000000000001</v>
      </c>
      <c r="G309" s="6">
        <v>83.75</v>
      </c>
      <c r="H309" s="6">
        <v>0.32</v>
      </c>
      <c r="I309" s="6">
        <v>97</v>
      </c>
      <c r="J309" s="6">
        <v>0.31040000000000001</v>
      </c>
      <c r="K309" s="8">
        <v>100</v>
      </c>
      <c r="L309" s="6">
        <v>68.620805850953602</v>
      </c>
      <c r="M309" s="6">
        <v>22.829273217022141</v>
      </c>
      <c r="N309" s="6">
        <v>13.547918726063591</v>
      </c>
      <c r="O309" s="6">
        <v>75.938149489624294</v>
      </c>
      <c r="P309" s="6">
        <v>180.93614728366359</v>
      </c>
      <c r="Q309" s="6">
        <v>35.063050825931249</v>
      </c>
      <c r="R309" s="6">
        <v>12.84438789273014</v>
      </c>
      <c r="S309" s="6">
        <v>46.925818069342711</v>
      </c>
      <c r="T309" s="6">
        <v>29.454348378958631</v>
      </c>
      <c r="U309" s="6">
        <v>124.28760516696271</v>
      </c>
      <c r="V309" s="6">
        <v>305.22375245062642</v>
      </c>
      <c r="W309" s="6">
        <v>4.1865546984800002</v>
      </c>
      <c r="X309" s="6">
        <v>26.704840000000001</v>
      </c>
      <c r="Y309" s="6">
        <v>-7.7110702899999994E-16</v>
      </c>
      <c r="Z309" s="6">
        <v>336.11514714910641</v>
      </c>
      <c r="AA309" s="6">
        <v>91.769479989249916</v>
      </c>
      <c r="AB309" s="6">
        <v>427.88462713835628</v>
      </c>
      <c r="AC309" s="6">
        <v>0</v>
      </c>
      <c r="AD309" s="6">
        <v>27.84847313744433</v>
      </c>
      <c r="AE309" s="6">
        <v>0</v>
      </c>
      <c r="AF309" s="6">
        <v>0</v>
      </c>
      <c r="AG309" s="6">
        <v>455.73310027580061</v>
      </c>
      <c r="AH309" s="6">
        <v>16.095800926602269</v>
      </c>
      <c r="AI309" s="6">
        <v>0</v>
      </c>
      <c r="AJ309" s="6">
        <v>12.715347182193909</v>
      </c>
      <c r="AK309" s="6">
        <v>456.69577524715243</v>
      </c>
      <c r="AL309" s="6">
        <v>0</v>
      </c>
      <c r="AM309" s="6">
        <v>0</v>
      </c>
      <c r="AN309" s="6">
        <v>0</v>
      </c>
      <c r="AO309" s="6">
        <v>0</v>
      </c>
      <c r="AP309" s="6">
        <v>0</v>
      </c>
      <c r="AQ309" s="6">
        <v>456.69577524715243</v>
      </c>
      <c r="AR309" s="6">
        <v>419.99999964779192</v>
      </c>
      <c r="AS309" s="6">
        <v>2.8741219999999998</v>
      </c>
      <c r="AT309" s="6">
        <v>83.884852498685575</v>
      </c>
      <c r="AU309" s="6">
        <v>-7.8846274905643403</v>
      </c>
    </row>
    <row r="310" spans="1:47" x14ac:dyDescent="0.35">
      <c r="A310" s="5">
        <v>46022</v>
      </c>
      <c r="B310" s="4" t="s">
        <v>487</v>
      </c>
      <c r="C310" s="4" t="s">
        <v>488</v>
      </c>
      <c r="D310" s="4" t="s">
        <v>61</v>
      </c>
      <c r="E310" s="6">
        <v>40.65</v>
      </c>
      <c r="F310" s="7">
        <v>0.45</v>
      </c>
      <c r="G310" s="6">
        <v>82</v>
      </c>
      <c r="H310" s="6">
        <v>0.15</v>
      </c>
      <c r="I310" s="6">
        <v>97</v>
      </c>
      <c r="J310" s="6">
        <v>0.14549999999999999</v>
      </c>
      <c r="K310" s="8">
        <v>100</v>
      </c>
      <c r="L310" s="6">
        <v>40.059106392951797</v>
      </c>
      <c r="M310" s="6">
        <v>23.822352448402199</v>
      </c>
      <c r="N310" s="6">
        <v>14.8203707121008</v>
      </c>
      <c r="O310" s="6">
        <v>82.452708079118295</v>
      </c>
      <c r="P310" s="6">
        <v>161.1545376325731</v>
      </c>
      <c r="Q310" s="6">
        <v>26.0426048917804</v>
      </c>
      <c r="R310" s="6">
        <v>12.9443295041368</v>
      </c>
      <c r="S310" s="6">
        <v>49.1983442919353</v>
      </c>
      <c r="T310" s="6">
        <v>47.093386518308897</v>
      </c>
      <c r="U310" s="6">
        <v>135.27866520616141</v>
      </c>
      <c r="V310" s="6">
        <v>296.43320283873447</v>
      </c>
      <c r="W310" s="6">
        <v>2.7421933742664999</v>
      </c>
      <c r="X310" s="6">
        <v>26.704840000000001</v>
      </c>
      <c r="Y310" s="6">
        <v>-7.2574779199999985E-16</v>
      </c>
      <c r="Z310" s="6">
        <v>325.88023621300101</v>
      </c>
      <c r="AA310" s="6">
        <v>74.759749646028524</v>
      </c>
      <c r="AB310" s="6">
        <v>400.63998585902948</v>
      </c>
      <c r="AC310" s="6">
        <v>0</v>
      </c>
      <c r="AD310" s="6">
        <v>15.683775464742</v>
      </c>
      <c r="AE310" s="6">
        <v>0</v>
      </c>
      <c r="AF310" s="6">
        <v>0</v>
      </c>
      <c r="AG310" s="6">
        <v>416.32376132377152</v>
      </c>
      <c r="AH310" s="6">
        <v>15.5057517759452</v>
      </c>
      <c r="AI310" s="6">
        <v>0</v>
      </c>
      <c r="AJ310" s="6">
        <v>11.7850845596561</v>
      </c>
      <c r="AK310" s="6">
        <v>427.93082219463082</v>
      </c>
      <c r="AL310" s="6">
        <v>0</v>
      </c>
      <c r="AM310" s="6">
        <v>0</v>
      </c>
      <c r="AN310" s="6">
        <v>0</v>
      </c>
      <c r="AO310" s="6">
        <v>0</v>
      </c>
      <c r="AP310" s="6">
        <v>0</v>
      </c>
      <c r="AQ310" s="6">
        <v>427.93082219463082</v>
      </c>
      <c r="AR310" s="6">
        <v>419.99999964779198</v>
      </c>
      <c r="AS310" s="6">
        <v>1.347245</v>
      </c>
      <c r="AT310" s="6">
        <v>94.119763434790954</v>
      </c>
      <c r="AU310" s="6">
        <v>19.36001378876243</v>
      </c>
    </row>
    <row r="311" spans="1:47" x14ac:dyDescent="0.35">
      <c r="A311" s="5">
        <v>46022</v>
      </c>
      <c r="B311" s="4" t="s">
        <v>823</v>
      </c>
      <c r="C311" s="4" t="s">
        <v>824</v>
      </c>
      <c r="D311" s="4" t="s">
        <v>61</v>
      </c>
      <c r="E311" s="6">
        <v>80</v>
      </c>
      <c r="F311" s="7">
        <v>0.56999999999999995</v>
      </c>
      <c r="G311" s="6">
        <v>85</v>
      </c>
      <c r="H311" s="6">
        <v>0.38800000000000001</v>
      </c>
      <c r="I311" s="6">
        <v>97</v>
      </c>
      <c r="J311" s="6">
        <v>0.37597199999999997</v>
      </c>
      <c r="K311" s="8">
        <v>87.784999999999997</v>
      </c>
      <c r="L311" s="6">
        <v>57.234561572487102</v>
      </c>
      <c r="M311" s="6">
        <v>12.529115675046439</v>
      </c>
      <c r="N311" s="6">
        <v>23.439278224829721</v>
      </c>
      <c r="O311" s="6">
        <v>43.949000162146547</v>
      </c>
      <c r="P311" s="6">
        <v>137.15195563450979</v>
      </c>
      <c r="Q311" s="6">
        <v>26.602210689432411</v>
      </c>
      <c r="R311" s="6">
        <v>9.3209943245407647</v>
      </c>
      <c r="S311" s="6">
        <v>41.9550622878225</v>
      </c>
      <c r="T311" s="6">
        <v>40.776618761341588</v>
      </c>
      <c r="U311" s="6">
        <v>118.6548860631373</v>
      </c>
      <c r="V311" s="6">
        <v>255.80684169764709</v>
      </c>
      <c r="W311" s="6">
        <v>4.1865546984800002</v>
      </c>
      <c r="X311" s="6">
        <v>26.705435789048121</v>
      </c>
      <c r="Y311" s="6">
        <v>-9.0718473999999994E-17</v>
      </c>
      <c r="Z311" s="6">
        <v>286.69883218517521</v>
      </c>
      <c r="AA311" s="6">
        <v>53.22680566277468</v>
      </c>
      <c r="AB311" s="6">
        <v>339.92563784794987</v>
      </c>
      <c r="AC311" s="6">
        <v>0</v>
      </c>
      <c r="AD311" s="6">
        <v>13.978817988008259</v>
      </c>
      <c r="AE311" s="6">
        <v>0</v>
      </c>
      <c r="AF311" s="6">
        <v>0</v>
      </c>
      <c r="AG311" s="6">
        <v>353.90445583595812</v>
      </c>
      <c r="AH311" s="6">
        <v>16.907457371599591</v>
      </c>
      <c r="AI311" s="6">
        <v>0</v>
      </c>
      <c r="AJ311" s="6">
        <v>12.60940750371517</v>
      </c>
      <c r="AK311" s="6">
        <v>369.44250272326462</v>
      </c>
      <c r="AL311" s="6">
        <v>0</v>
      </c>
      <c r="AM311" s="6">
        <v>0</v>
      </c>
      <c r="AN311" s="6">
        <v>0</v>
      </c>
      <c r="AO311" s="6">
        <v>0</v>
      </c>
      <c r="AP311" s="6">
        <v>0</v>
      </c>
      <c r="AQ311" s="6">
        <v>369.44250272326462</v>
      </c>
      <c r="AR311" s="6">
        <v>420.03127857279208</v>
      </c>
      <c r="AS311" s="6">
        <v>3.9306719999999999</v>
      </c>
      <c r="AT311" s="6">
        <v>133.3324463876169</v>
      </c>
      <c r="AU311" s="6">
        <v>80.105640724842203</v>
      </c>
    </row>
    <row r="312" spans="1:47" x14ac:dyDescent="0.35">
      <c r="A312" s="5">
        <v>46022</v>
      </c>
      <c r="B312" s="4" t="s">
        <v>489</v>
      </c>
      <c r="C312" s="4" t="s">
        <v>490</v>
      </c>
      <c r="D312" s="4" t="s">
        <v>61</v>
      </c>
      <c r="E312" s="6">
        <v>1750</v>
      </c>
      <c r="F312" s="7">
        <v>0.8</v>
      </c>
      <c r="G312" s="6">
        <v>92.5</v>
      </c>
      <c r="H312" s="6">
        <v>12.95</v>
      </c>
      <c r="I312" s="6">
        <v>97</v>
      </c>
      <c r="J312" s="6">
        <v>12.561500000000001</v>
      </c>
      <c r="K312" s="8">
        <v>81.616</v>
      </c>
      <c r="L312" s="6">
        <v>10.376908099770271</v>
      </c>
      <c r="M312" s="6">
        <v>2.36959990627027</v>
      </c>
      <c r="N312" s="6">
        <v>6.1791438940000001</v>
      </c>
      <c r="O312" s="6">
        <v>16.62398342282432</v>
      </c>
      <c r="P312" s="6">
        <v>35.549635322864859</v>
      </c>
      <c r="Q312" s="6">
        <v>4.4690728546081084</v>
      </c>
      <c r="R312" s="6">
        <v>6.4930566074594589</v>
      </c>
      <c r="S312" s="6">
        <v>25.92166016981081</v>
      </c>
      <c r="T312" s="6">
        <v>19.483384730581079</v>
      </c>
      <c r="U312" s="6">
        <v>56.367174362459451</v>
      </c>
      <c r="V312" s="6">
        <v>91.91680968532431</v>
      </c>
      <c r="W312" s="6">
        <v>10.32012975981341</v>
      </c>
      <c r="X312" s="6">
        <v>23.5873570374054</v>
      </c>
      <c r="Y312" s="6">
        <v>-91.566831017032015</v>
      </c>
      <c r="Z312" s="6">
        <v>34.257465465511103</v>
      </c>
      <c r="AA312" s="6">
        <v>44.594510432220957</v>
      </c>
      <c r="AB312" s="6">
        <v>78.851975897732061</v>
      </c>
      <c r="AC312" s="6">
        <v>0</v>
      </c>
      <c r="AD312" s="6">
        <v>15.50839137768919</v>
      </c>
      <c r="AE312" s="6">
        <v>0</v>
      </c>
      <c r="AF312" s="6">
        <v>0</v>
      </c>
      <c r="AG312" s="6">
        <v>94.360367275421254</v>
      </c>
      <c r="AH312" s="6">
        <v>5.1309966993108107</v>
      </c>
      <c r="AI312" s="6">
        <v>0</v>
      </c>
      <c r="AJ312" s="6">
        <v>17.692168809283778</v>
      </c>
      <c r="AK312" s="6">
        <v>101.6751414063267</v>
      </c>
      <c r="AL312" s="6">
        <v>0</v>
      </c>
      <c r="AM312" s="6">
        <v>0</v>
      </c>
      <c r="AN312" s="6">
        <v>0</v>
      </c>
      <c r="AO312" s="6">
        <v>0</v>
      </c>
      <c r="AP312" s="6">
        <v>0</v>
      </c>
      <c r="AQ312" s="6">
        <v>101.6751414063267</v>
      </c>
      <c r="AR312" s="6">
        <v>419.99999964779192</v>
      </c>
      <c r="AS312" s="6">
        <v>143.792968</v>
      </c>
      <c r="AT312" s="6">
        <v>385.74253418228079</v>
      </c>
      <c r="AU312" s="6">
        <v>341.14802375005991</v>
      </c>
    </row>
    <row r="313" spans="1:47" x14ac:dyDescent="0.35">
      <c r="A313" s="5">
        <v>46022</v>
      </c>
      <c r="B313" s="4" t="s">
        <v>638</v>
      </c>
      <c r="C313" s="4" t="s">
        <v>639</v>
      </c>
      <c r="D313" s="4" t="s">
        <v>58</v>
      </c>
      <c r="E313" s="6">
        <v>50000</v>
      </c>
      <c r="F313" s="7">
        <v>0.39</v>
      </c>
      <c r="G313" s="6">
        <v>86</v>
      </c>
      <c r="H313" s="6">
        <v>167.7</v>
      </c>
      <c r="I313" s="6">
        <v>97</v>
      </c>
      <c r="J313" s="6">
        <v>162.66900000000001</v>
      </c>
      <c r="K313" s="8">
        <v>78.313999999999993</v>
      </c>
      <c r="L313" s="6">
        <v>43.136587262403097</v>
      </c>
      <c r="M313" s="6">
        <v>22.619485841293969</v>
      </c>
      <c r="N313" s="6">
        <v>1.5543727616875369</v>
      </c>
      <c r="O313" s="6">
        <v>36.890445018425751</v>
      </c>
      <c r="P313" s="6">
        <v>104.2008908838104</v>
      </c>
      <c r="Q313" s="6">
        <v>23.834157181842581</v>
      </c>
      <c r="R313" s="6">
        <v>26.707962887954679</v>
      </c>
      <c r="S313" s="6">
        <v>37.817321705366723</v>
      </c>
      <c r="T313" s="6">
        <v>20.358955177728081</v>
      </c>
      <c r="U313" s="6">
        <v>108.71839695289211</v>
      </c>
      <c r="V313" s="6">
        <v>212.91928783670241</v>
      </c>
      <c r="W313" s="6">
        <v>23.6046206363485</v>
      </c>
      <c r="X313" s="6">
        <v>20.148245965338401</v>
      </c>
      <c r="Y313" s="6">
        <v>-106.2404184900236</v>
      </c>
      <c r="Z313" s="6">
        <v>150.43173594836571</v>
      </c>
      <c r="AA313" s="6">
        <v>18.792350113385108</v>
      </c>
      <c r="AB313" s="6">
        <v>169.2240860617508</v>
      </c>
      <c r="AC313" s="6">
        <v>0</v>
      </c>
      <c r="AD313" s="6">
        <v>145.48987327742989</v>
      </c>
      <c r="AE313" s="6">
        <v>0</v>
      </c>
      <c r="AF313" s="6">
        <v>0</v>
      </c>
      <c r="AG313" s="6">
        <v>314.7139593391808</v>
      </c>
      <c r="AH313" s="6">
        <v>15.057563506261181</v>
      </c>
      <c r="AI313" s="6">
        <v>0</v>
      </c>
      <c r="AJ313" s="6">
        <v>110.2907133110912</v>
      </c>
      <c r="AK313" s="6">
        <v>294.5723628791032</v>
      </c>
      <c r="AL313" s="6">
        <v>0</v>
      </c>
      <c r="AM313" s="6">
        <v>0</v>
      </c>
      <c r="AN313" s="6">
        <v>0</v>
      </c>
      <c r="AO313" s="6">
        <v>0</v>
      </c>
      <c r="AP313" s="6">
        <v>0</v>
      </c>
      <c r="AQ313" s="6">
        <v>294.5723628791032</v>
      </c>
      <c r="AR313" s="6">
        <v>419.99999964779192</v>
      </c>
      <c r="AS313" s="6">
        <v>1908.2312879999999</v>
      </c>
      <c r="AT313" s="6">
        <v>269.56826369942621</v>
      </c>
      <c r="AU313" s="6">
        <v>250.7759135860411</v>
      </c>
    </row>
    <row r="314" spans="1:47" x14ac:dyDescent="0.35">
      <c r="A314" s="5">
        <v>46022</v>
      </c>
      <c r="B314" s="4" t="s">
        <v>491</v>
      </c>
      <c r="C314" s="4" t="s">
        <v>492</v>
      </c>
      <c r="D314" s="4" t="s">
        <v>79</v>
      </c>
      <c r="E314" s="6">
        <v>34304.065282000003</v>
      </c>
      <c r="F314" s="7">
        <v>0.20119999999999999</v>
      </c>
      <c r="G314" s="6">
        <v>82.1</v>
      </c>
      <c r="H314" s="6">
        <v>56.671999999999997</v>
      </c>
      <c r="I314" s="6">
        <v>96.206896999999998</v>
      </c>
      <c r="J314" s="6">
        <v>54.521931000000002</v>
      </c>
      <c r="K314" s="8">
        <v>54.411000000000001</v>
      </c>
      <c r="L314" s="6">
        <v>42.793564474020712</v>
      </c>
      <c r="M314" s="6">
        <v>13.091222474982519</v>
      </c>
      <c r="N314" s="6">
        <v>0.75283262192304512</v>
      </c>
      <c r="O314" s="6">
        <v>61.225021234390852</v>
      </c>
      <c r="P314" s="6">
        <v>117.8626408053171</v>
      </c>
      <c r="Q314" s="6">
        <v>92.099606303503307</v>
      </c>
      <c r="R314" s="6">
        <v>98.083996360884754</v>
      </c>
      <c r="S314" s="6">
        <v>108.6358107196114</v>
      </c>
      <c r="T314" s="6">
        <v>154.99099639044601</v>
      </c>
      <c r="U314" s="6">
        <v>453.81040977444547</v>
      </c>
      <c r="V314" s="6">
        <v>571.67305057976262</v>
      </c>
      <c r="W314" s="6">
        <v>8.4502473422353059</v>
      </c>
      <c r="X314" s="6">
        <v>8.5854044428291392</v>
      </c>
      <c r="Y314" s="6">
        <v>-347.18927875112388</v>
      </c>
      <c r="Z314" s="6">
        <v>241.5194236137032</v>
      </c>
      <c r="AA314" s="6">
        <v>19.19918467534777</v>
      </c>
      <c r="AB314" s="6">
        <v>260.71860828905102</v>
      </c>
      <c r="AC314" s="6">
        <v>0</v>
      </c>
      <c r="AD314" s="6">
        <v>45.749101043222439</v>
      </c>
      <c r="AE314" s="6">
        <v>0</v>
      </c>
      <c r="AF314" s="6">
        <v>0</v>
      </c>
      <c r="AG314" s="6">
        <v>306.46770933227339</v>
      </c>
      <c r="AH314" s="6">
        <v>16.443309682253201</v>
      </c>
      <c r="AI314" s="6">
        <v>0</v>
      </c>
      <c r="AJ314" s="6">
        <v>45.749101043222439</v>
      </c>
      <c r="AK314" s="6">
        <v>322.91101901452657</v>
      </c>
      <c r="AL314" s="6">
        <v>0</v>
      </c>
      <c r="AM314" s="6">
        <v>0</v>
      </c>
      <c r="AN314" s="6">
        <v>0</v>
      </c>
      <c r="AO314" s="6">
        <v>0</v>
      </c>
      <c r="AP314" s="6">
        <v>0</v>
      </c>
      <c r="AQ314" s="6">
        <v>322.91101901452657</v>
      </c>
      <c r="AR314" s="6">
        <v>419.99976084480483</v>
      </c>
      <c r="AS314" s="6">
        <v>923.10846100000003</v>
      </c>
      <c r="AT314" s="6">
        <v>178.4803372311016</v>
      </c>
      <c r="AU314" s="6">
        <v>159.28115255575381</v>
      </c>
    </row>
    <row r="315" spans="1:47" x14ac:dyDescent="0.35">
      <c r="A315" s="5">
        <v>46022</v>
      </c>
      <c r="B315" s="4" t="s">
        <v>493</v>
      </c>
      <c r="C315" s="4" t="s">
        <v>494</v>
      </c>
      <c r="D315" s="4" t="s">
        <v>79</v>
      </c>
      <c r="E315" s="6">
        <v>19661.484979000001</v>
      </c>
      <c r="F315" s="7">
        <v>0.18</v>
      </c>
      <c r="G315" s="6">
        <v>53.1</v>
      </c>
      <c r="H315" s="6">
        <v>18.792000000000002</v>
      </c>
      <c r="I315" s="6">
        <v>100</v>
      </c>
      <c r="J315" s="6">
        <v>18.792446999999999</v>
      </c>
      <c r="K315" s="8">
        <v>100</v>
      </c>
      <c r="L315" s="6">
        <v>0</v>
      </c>
      <c r="M315" s="6">
        <v>0</v>
      </c>
      <c r="N315" s="6">
        <v>0</v>
      </c>
      <c r="O315" s="6">
        <v>0</v>
      </c>
      <c r="P315" s="6">
        <v>0</v>
      </c>
      <c r="Q315" s="6">
        <v>91.854354874329346</v>
      </c>
      <c r="R315" s="6">
        <v>78.204631688556887</v>
      </c>
      <c r="S315" s="6">
        <v>53.190753692217037</v>
      </c>
      <c r="T315" s="6">
        <v>83.134067503205713</v>
      </c>
      <c r="U315" s="6">
        <v>306.38380775830899</v>
      </c>
      <c r="V315" s="6">
        <v>306.38380775830899</v>
      </c>
      <c r="W315" s="6">
        <v>8.9946349134724404</v>
      </c>
      <c r="X315" s="6">
        <v>0</v>
      </c>
      <c r="Y315" s="6">
        <v>0</v>
      </c>
      <c r="Z315" s="6">
        <v>315.37844267178139</v>
      </c>
      <c r="AA315" s="6">
        <v>10.4995469473673</v>
      </c>
      <c r="AB315" s="6">
        <v>325.87798961914871</v>
      </c>
      <c r="AC315" s="6">
        <v>0</v>
      </c>
      <c r="AD315" s="6">
        <v>30.9327412534141</v>
      </c>
      <c r="AE315" s="6">
        <v>0</v>
      </c>
      <c r="AF315" s="6">
        <v>0</v>
      </c>
      <c r="AG315" s="6">
        <v>356.81073087256277</v>
      </c>
      <c r="AH315" s="6">
        <v>11.99718146194216</v>
      </c>
      <c r="AI315" s="6">
        <v>0</v>
      </c>
      <c r="AJ315" s="6">
        <v>30.9327412534141</v>
      </c>
      <c r="AK315" s="6">
        <v>368.80791233450498</v>
      </c>
      <c r="AL315" s="6">
        <v>0</v>
      </c>
      <c r="AM315" s="6">
        <v>0</v>
      </c>
      <c r="AN315" s="6">
        <v>0</v>
      </c>
      <c r="AO315" s="6">
        <v>0</v>
      </c>
      <c r="AP315" s="6">
        <v>0</v>
      </c>
      <c r="AQ315" s="6">
        <v>368.80791233450498</v>
      </c>
      <c r="AR315" s="6">
        <v>419.99894922578022</v>
      </c>
      <c r="AS315" s="6">
        <v>174.00663</v>
      </c>
      <c r="AT315" s="6">
        <v>104.62050655399879</v>
      </c>
      <c r="AU315" s="6">
        <v>94.120959606631473</v>
      </c>
    </row>
    <row r="316" spans="1:47" x14ac:dyDescent="0.35">
      <c r="A316" s="5">
        <v>46022</v>
      </c>
      <c r="B316" s="4" t="s">
        <v>483</v>
      </c>
      <c r="C316" s="4" t="s">
        <v>484</v>
      </c>
      <c r="D316" s="4" t="s">
        <v>79</v>
      </c>
      <c r="E316" s="6">
        <v>25469.311331000001</v>
      </c>
      <c r="F316" s="7">
        <v>0.315</v>
      </c>
      <c r="G316" s="6">
        <v>24.93</v>
      </c>
      <c r="H316" s="6">
        <v>20</v>
      </c>
      <c r="I316" s="6">
        <v>100</v>
      </c>
      <c r="J316" s="6">
        <v>20</v>
      </c>
      <c r="K316" s="8">
        <v>100</v>
      </c>
      <c r="L316" s="6">
        <v>35.694967134793309</v>
      </c>
      <c r="M316" s="6">
        <v>23.099998579132951</v>
      </c>
      <c r="N316" s="6">
        <v>1.681666634078167</v>
      </c>
      <c r="O316" s="6">
        <v>61.859546540511737</v>
      </c>
      <c r="P316" s="6">
        <v>122.3361788885162</v>
      </c>
      <c r="Q316" s="6">
        <v>19.395918858380629</v>
      </c>
      <c r="R316" s="6">
        <v>27.306851163658042</v>
      </c>
      <c r="S316" s="6">
        <v>14.625930629448289</v>
      </c>
      <c r="T316" s="6">
        <v>26.485455239617519</v>
      </c>
      <c r="U316" s="6">
        <v>87.814155891104477</v>
      </c>
      <c r="V316" s="6">
        <v>210.15033477962061</v>
      </c>
      <c r="W316" s="6">
        <v>2.7215542199999998</v>
      </c>
      <c r="X316" s="6">
        <v>0</v>
      </c>
      <c r="Y316" s="6">
        <v>0</v>
      </c>
      <c r="Z316" s="6">
        <v>212.87188899962061</v>
      </c>
      <c r="AA316" s="6">
        <v>10.50051951846048</v>
      </c>
      <c r="AB316" s="6">
        <v>223.3724085180811</v>
      </c>
      <c r="AC316" s="6">
        <v>0</v>
      </c>
      <c r="AD316" s="6">
        <v>26.755441494819021</v>
      </c>
      <c r="AE316" s="6">
        <v>0</v>
      </c>
      <c r="AF316" s="6">
        <v>0</v>
      </c>
      <c r="AG316" s="6">
        <v>250.1278500129001</v>
      </c>
      <c r="AH316" s="6">
        <v>10.485794802466581</v>
      </c>
      <c r="AI316" s="6">
        <v>0</v>
      </c>
      <c r="AJ316" s="6">
        <v>22.85600586583146</v>
      </c>
      <c r="AK316" s="6">
        <v>256.71420918637921</v>
      </c>
      <c r="AL316" s="6">
        <v>0</v>
      </c>
      <c r="AM316" s="6">
        <v>0</v>
      </c>
      <c r="AN316" s="6">
        <v>0</v>
      </c>
      <c r="AO316" s="6">
        <v>0</v>
      </c>
      <c r="AP316" s="6">
        <v>0</v>
      </c>
      <c r="AQ316" s="6">
        <v>256.71420918637921</v>
      </c>
      <c r="AR316" s="6">
        <v>419.99999964779192</v>
      </c>
      <c r="AS316" s="6">
        <v>185.1883</v>
      </c>
      <c r="AT316" s="6">
        <v>207.12811064817129</v>
      </c>
      <c r="AU316" s="6">
        <v>196.62759112971079</v>
      </c>
    </row>
    <row r="317" spans="1:47" x14ac:dyDescent="0.35">
      <c r="A317" s="5">
        <v>46022</v>
      </c>
      <c r="B317" s="4" t="s">
        <v>495</v>
      </c>
      <c r="C317" s="4" t="s">
        <v>496</v>
      </c>
      <c r="D317" s="4" t="s">
        <v>61</v>
      </c>
      <c r="E317" s="6">
        <v>1482</v>
      </c>
      <c r="F317" s="7">
        <v>0.45008999999999999</v>
      </c>
      <c r="G317" s="6">
        <v>91</v>
      </c>
      <c r="H317" s="6">
        <v>6.07</v>
      </c>
      <c r="I317" s="6">
        <v>97</v>
      </c>
      <c r="J317" s="6">
        <v>5.8879000000000001</v>
      </c>
      <c r="K317" s="8">
        <v>90.156944274902301</v>
      </c>
      <c r="L317" s="6">
        <v>23.68104102551014</v>
      </c>
      <c r="M317" s="6">
        <v>35.427006311039008</v>
      </c>
      <c r="N317" s="6">
        <v>7.2386656458053054</v>
      </c>
      <c r="O317" s="6">
        <v>41.395689447629678</v>
      </c>
      <c r="P317" s="6">
        <v>107.7424024299841</v>
      </c>
      <c r="Q317" s="6">
        <v>21.08888002863165</v>
      </c>
      <c r="R317" s="6">
        <v>16.88570823367899</v>
      </c>
      <c r="S317" s="6">
        <v>56.173379233894671</v>
      </c>
      <c r="T317" s="6">
        <v>30.48086742065626</v>
      </c>
      <c r="U317" s="6">
        <v>124.62883491686161</v>
      </c>
      <c r="V317" s="6">
        <v>232.3712373468457</v>
      </c>
      <c r="W317" s="6">
        <v>45.635536747737547</v>
      </c>
      <c r="X317" s="6">
        <v>23.386313276864328</v>
      </c>
      <c r="Y317" s="6">
        <v>-56.759035045532151</v>
      </c>
      <c r="Z317" s="6">
        <v>244.63405232591541</v>
      </c>
      <c r="AA317" s="6">
        <v>53.701426335561983</v>
      </c>
      <c r="AB317" s="6">
        <v>298.3354786614774</v>
      </c>
      <c r="AC317" s="6">
        <v>0</v>
      </c>
      <c r="AD317" s="6">
        <v>16.355873515891538</v>
      </c>
      <c r="AE317" s="6">
        <v>0</v>
      </c>
      <c r="AF317" s="6">
        <v>0</v>
      </c>
      <c r="AG317" s="6">
        <v>314.69135217736903</v>
      </c>
      <c r="AH317" s="6">
        <v>16.67657204670483</v>
      </c>
      <c r="AI317" s="6">
        <v>0</v>
      </c>
      <c r="AJ317" s="6">
        <v>4.9708974401577013</v>
      </c>
      <c r="AK317" s="6">
        <v>319.98294814833991</v>
      </c>
      <c r="AL317" s="6">
        <v>0</v>
      </c>
      <c r="AM317" s="6">
        <v>0</v>
      </c>
      <c r="AN317" s="6">
        <v>0</v>
      </c>
      <c r="AO317" s="6">
        <v>0</v>
      </c>
      <c r="AP317" s="6">
        <v>0</v>
      </c>
      <c r="AQ317" s="6">
        <v>319.98294814833991</v>
      </c>
      <c r="AR317" s="6">
        <v>419.99999964779192</v>
      </c>
      <c r="AS317" s="6">
        <v>62.031427000000001</v>
      </c>
      <c r="AT317" s="6">
        <v>175.36594732187649</v>
      </c>
      <c r="AU317" s="6">
        <v>121.6645209863145</v>
      </c>
    </row>
    <row r="318" spans="1:47" x14ac:dyDescent="0.35">
      <c r="A318" s="5">
        <v>46022</v>
      </c>
      <c r="B318" s="4" t="s">
        <v>640</v>
      </c>
      <c r="C318" s="4" t="s">
        <v>641</v>
      </c>
      <c r="D318" s="4" t="s">
        <v>74</v>
      </c>
      <c r="E318" s="6">
        <v>2100</v>
      </c>
      <c r="F318" s="7">
        <v>1.7009000000000001</v>
      </c>
      <c r="G318" s="6">
        <v>39.119999999999997</v>
      </c>
      <c r="H318" s="6">
        <v>13.972</v>
      </c>
      <c r="I318" s="6">
        <v>97</v>
      </c>
      <c r="J318" s="6">
        <v>13.55284</v>
      </c>
      <c r="K318" s="8">
        <v>68.989000000000004</v>
      </c>
      <c r="L318" s="6">
        <v>182.39752728013531</v>
      </c>
      <c r="M318" s="6">
        <v>24.71351214303607</v>
      </c>
      <c r="N318" s="6">
        <v>23.066096948221439</v>
      </c>
      <c r="O318" s="6">
        <v>141.28463803593189</v>
      </c>
      <c r="P318" s="6">
        <v>371.46177440732458</v>
      </c>
      <c r="Q318" s="6">
        <v>19.467029430931859</v>
      </c>
      <c r="R318" s="6">
        <v>39.171097727284568</v>
      </c>
      <c r="S318" s="6">
        <v>26.310323061297591</v>
      </c>
      <c r="T318" s="6">
        <v>42.359947299393788</v>
      </c>
      <c r="U318" s="6">
        <v>127.3083975189078</v>
      </c>
      <c r="V318" s="6">
        <v>498.77017192623248</v>
      </c>
      <c r="W318" s="6">
        <v>14.11167078608948</v>
      </c>
      <c r="X318" s="6">
        <v>23.45851188570661</v>
      </c>
      <c r="Y318" s="6">
        <v>-177.63134670861101</v>
      </c>
      <c r="Z318" s="6">
        <v>358.70900788941748</v>
      </c>
      <c r="AA318" s="6">
        <v>4.0731849495231183</v>
      </c>
      <c r="AB318" s="6">
        <v>362.78219283894072</v>
      </c>
      <c r="AC318" s="6">
        <v>0</v>
      </c>
      <c r="AD318" s="6">
        <v>215.4540610729058</v>
      </c>
      <c r="AE318" s="6">
        <v>0</v>
      </c>
      <c r="AF318" s="6">
        <v>0</v>
      </c>
      <c r="AG318" s="6">
        <v>578.23625391184635</v>
      </c>
      <c r="AH318" s="6">
        <v>16.321334061327661</v>
      </c>
      <c r="AI318" s="6">
        <v>0</v>
      </c>
      <c r="AJ318" s="6">
        <v>141.3106289546393</v>
      </c>
      <c r="AK318" s="6">
        <v>520.41415585490756</v>
      </c>
      <c r="AL318" s="6">
        <v>0</v>
      </c>
      <c r="AM318" s="6">
        <v>0</v>
      </c>
      <c r="AN318" s="6">
        <v>0</v>
      </c>
      <c r="AO318" s="6">
        <v>0</v>
      </c>
      <c r="AP318" s="6">
        <v>0</v>
      </c>
      <c r="AQ318" s="6">
        <v>520.41415585490756</v>
      </c>
      <c r="AR318" s="6">
        <v>419.99876005520571</v>
      </c>
      <c r="AS318" s="6">
        <v>188.10466600000001</v>
      </c>
      <c r="AT318" s="6">
        <v>61.289752165788208</v>
      </c>
      <c r="AU318" s="6">
        <v>57.216567216265098</v>
      </c>
    </row>
    <row r="319" spans="1:47" x14ac:dyDescent="0.35">
      <c r="A319" s="5">
        <v>46022</v>
      </c>
      <c r="B319" s="4" t="s">
        <v>485</v>
      </c>
      <c r="C319" s="4" t="s">
        <v>486</v>
      </c>
      <c r="D319" s="4" t="s">
        <v>61</v>
      </c>
      <c r="E319" s="6">
        <v>300</v>
      </c>
      <c r="F319" s="7">
        <v>0.5</v>
      </c>
      <c r="G319" s="6">
        <v>91</v>
      </c>
      <c r="H319" s="6">
        <v>1.365</v>
      </c>
      <c r="I319" s="6">
        <v>95</v>
      </c>
      <c r="J319" s="6">
        <v>1.296794</v>
      </c>
      <c r="K319" s="8">
        <v>58.588000000000001</v>
      </c>
      <c r="L319" s="6">
        <v>55.370253706166672</v>
      </c>
      <c r="M319" s="6">
        <v>4.5691807651465073</v>
      </c>
      <c r="N319" s="6">
        <v>15.01478840245097</v>
      </c>
      <c r="O319" s="6">
        <v>29.239245807119168</v>
      </c>
      <c r="P319" s="6">
        <v>104.1934686808833</v>
      </c>
      <c r="Q319" s="6">
        <v>10.3840533848383</v>
      </c>
      <c r="R319" s="6">
        <v>9.5627039127476685</v>
      </c>
      <c r="S319" s="6">
        <v>30.986364520528319</v>
      </c>
      <c r="T319" s="6">
        <v>20.688010689029792</v>
      </c>
      <c r="U319" s="6">
        <v>71.621132507144083</v>
      </c>
      <c r="V319" s="6">
        <v>175.81460118802741</v>
      </c>
      <c r="W319" s="6">
        <v>2.5672592236602072</v>
      </c>
      <c r="X319" s="6">
        <v>25.362547558832009</v>
      </c>
      <c r="Y319" s="6">
        <v>-286.10666880266581</v>
      </c>
      <c r="Z319" s="6">
        <v>-82.362260832146177</v>
      </c>
      <c r="AA319" s="6">
        <v>57.642652347509497</v>
      </c>
      <c r="AB319" s="6">
        <v>-24.71960848463668</v>
      </c>
      <c r="AC319" s="6">
        <v>0</v>
      </c>
      <c r="AD319" s="6">
        <v>22.8484956941879</v>
      </c>
      <c r="AE319" s="6">
        <v>0</v>
      </c>
      <c r="AF319" s="6">
        <v>0</v>
      </c>
      <c r="AG319" s="6">
        <v>-1.871112790448783</v>
      </c>
      <c r="AH319" s="6">
        <v>25.501960375592191</v>
      </c>
      <c r="AI319" s="6">
        <v>0</v>
      </c>
      <c r="AJ319" s="6">
        <v>16.0677061056059</v>
      </c>
      <c r="AK319" s="6">
        <v>16.850057996561411</v>
      </c>
      <c r="AL319" s="6">
        <v>0</v>
      </c>
      <c r="AM319" s="6">
        <v>0</v>
      </c>
      <c r="AN319" s="6">
        <v>0</v>
      </c>
      <c r="AO319" s="6">
        <v>0</v>
      </c>
      <c r="AP319" s="6">
        <v>0</v>
      </c>
      <c r="AQ319" s="6">
        <v>16.850057996561411</v>
      </c>
      <c r="AR319" s="6">
        <v>420.0019429016919</v>
      </c>
      <c r="AS319" s="6">
        <v>22.167285</v>
      </c>
      <c r="AT319" s="6">
        <v>502.364203733838</v>
      </c>
      <c r="AU319" s="6">
        <v>444.72155138632849</v>
      </c>
    </row>
    <row r="320" spans="1:47" x14ac:dyDescent="0.35">
      <c r="A320" s="5">
        <v>46022</v>
      </c>
      <c r="B320" s="4" t="s">
        <v>497</v>
      </c>
      <c r="C320" s="4" t="s">
        <v>498</v>
      </c>
      <c r="D320" s="4" t="s">
        <v>55</v>
      </c>
      <c r="E320" s="6">
        <v>13580.463576</v>
      </c>
      <c r="F320" s="7">
        <v>0.57840000000000003</v>
      </c>
      <c r="G320" s="6">
        <v>70</v>
      </c>
      <c r="H320" s="6">
        <v>54.981999999999999</v>
      </c>
      <c r="I320" s="6">
        <v>97.5</v>
      </c>
      <c r="J320" s="6">
        <v>53.607019999999999</v>
      </c>
      <c r="K320" s="8">
        <v>84.460999999999999</v>
      </c>
      <c r="L320" s="6">
        <v>64.276320611147426</v>
      </c>
      <c r="M320" s="6">
        <v>26.072038106367661</v>
      </c>
      <c r="N320" s="6">
        <v>5.3116101794863102</v>
      </c>
      <c r="O320" s="6">
        <v>79.272162256787183</v>
      </c>
      <c r="P320" s="6">
        <v>174.93213115378859</v>
      </c>
      <c r="Q320" s="6">
        <v>29.21849836021147</v>
      </c>
      <c r="R320" s="6">
        <v>26.770646302266002</v>
      </c>
      <c r="S320" s="6">
        <v>23.89401823567275</v>
      </c>
      <c r="T320" s="6">
        <v>29.793532101561969</v>
      </c>
      <c r="U320" s="6">
        <v>109.6766949997122</v>
      </c>
      <c r="V320" s="6">
        <v>284.60882615350079</v>
      </c>
      <c r="W320" s="6">
        <v>23.939921249248599</v>
      </c>
      <c r="X320" s="6">
        <v>20.40594466551627</v>
      </c>
      <c r="Y320" s="6">
        <v>-77.733049932580172</v>
      </c>
      <c r="Z320" s="6">
        <v>251.2216421356855</v>
      </c>
      <c r="AA320" s="6">
        <v>8.4440073575445549</v>
      </c>
      <c r="AB320" s="6">
        <v>259.66564949322998</v>
      </c>
      <c r="AC320" s="6">
        <v>0</v>
      </c>
      <c r="AD320" s="6">
        <v>66.823684922801675</v>
      </c>
      <c r="AE320" s="6">
        <v>0</v>
      </c>
      <c r="AF320" s="6">
        <v>0</v>
      </c>
      <c r="AG320" s="6">
        <v>326.48933441603168</v>
      </c>
      <c r="AH320" s="6">
        <v>9.9844918806350762</v>
      </c>
      <c r="AI320" s="6">
        <v>0</v>
      </c>
      <c r="AJ320" s="6">
        <v>53.033274505632981</v>
      </c>
      <c r="AK320" s="6">
        <v>322.68341587949811</v>
      </c>
      <c r="AL320" s="6">
        <v>0</v>
      </c>
      <c r="AM320" s="6">
        <v>0</v>
      </c>
      <c r="AN320" s="6">
        <v>0</v>
      </c>
      <c r="AO320" s="6">
        <v>0</v>
      </c>
      <c r="AP320" s="6">
        <v>0</v>
      </c>
      <c r="AQ320" s="6">
        <v>322.68341587949811</v>
      </c>
      <c r="AR320" s="6">
        <v>419.99984295189671</v>
      </c>
      <c r="AS320" s="6">
        <v>588.46835799999997</v>
      </c>
      <c r="AT320" s="6">
        <v>168.77820081621121</v>
      </c>
      <c r="AU320" s="6">
        <v>160.33419345866659</v>
      </c>
    </row>
    <row r="321" spans="1:47" x14ac:dyDescent="0.35">
      <c r="A321" s="5">
        <v>46022</v>
      </c>
      <c r="B321" s="4" t="s">
        <v>642</v>
      </c>
      <c r="C321" s="4" t="s">
        <v>643</v>
      </c>
      <c r="D321" s="4" t="s">
        <v>58</v>
      </c>
      <c r="E321" s="6">
        <v>31090</v>
      </c>
      <c r="F321" s="7">
        <v>0.64639999999999997</v>
      </c>
      <c r="G321" s="6">
        <v>80</v>
      </c>
      <c r="H321" s="6">
        <v>160.78200000000001</v>
      </c>
      <c r="I321" s="6">
        <v>96.333332999999996</v>
      </c>
      <c r="J321" s="6">
        <v>154.886425</v>
      </c>
      <c r="K321" s="8">
        <v>87.158000000000001</v>
      </c>
      <c r="L321" s="6">
        <v>47.474542927492102</v>
      </c>
      <c r="M321" s="6">
        <v>31.222000719323361</v>
      </c>
      <c r="N321" s="6">
        <v>0.75129634156820579</v>
      </c>
      <c r="O321" s="6">
        <v>11.73578677021926</v>
      </c>
      <c r="P321" s="6">
        <v>91.183626758602927</v>
      </c>
      <c r="Q321" s="6">
        <v>24.271262194472619</v>
      </c>
      <c r="R321" s="6">
        <v>22.679778797017409</v>
      </c>
      <c r="S321" s="6">
        <v>47.857556927210339</v>
      </c>
      <c r="T321" s="6">
        <v>20.045880375250011</v>
      </c>
      <c r="U321" s="6">
        <v>114.85447829395039</v>
      </c>
      <c r="V321" s="6">
        <v>206.03810505255331</v>
      </c>
      <c r="W321" s="6">
        <v>12.31666372592467</v>
      </c>
      <c r="X321" s="6">
        <v>20.556189189796541</v>
      </c>
      <c r="Y321" s="6">
        <v>-58.52738136182105</v>
      </c>
      <c r="Z321" s="6">
        <v>180.38357660645349</v>
      </c>
      <c r="AA321" s="6">
        <v>4.5518444553453543</v>
      </c>
      <c r="AB321" s="6">
        <v>184.93542106179879</v>
      </c>
      <c r="AC321" s="6">
        <v>0</v>
      </c>
      <c r="AD321" s="6">
        <v>136.70382133642619</v>
      </c>
      <c r="AE321" s="6">
        <v>0</v>
      </c>
      <c r="AF321" s="6">
        <v>0</v>
      </c>
      <c r="AG321" s="6">
        <v>321.63924239822501</v>
      </c>
      <c r="AH321" s="6">
        <v>13.39445490402176</v>
      </c>
      <c r="AI321" s="6">
        <v>0</v>
      </c>
      <c r="AJ321" s="6">
        <v>111.1352900784631</v>
      </c>
      <c r="AK321" s="6">
        <v>309.46516604428371</v>
      </c>
      <c r="AL321" s="6">
        <v>0</v>
      </c>
      <c r="AM321" s="6">
        <v>0</v>
      </c>
      <c r="AN321" s="6">
        <v>0</v>
      </c>
      <c r="AO321" s="6">
        <v>0</v>
      </c>
      <c r="AP321" s="6">
        <v>0</v>
      </c>
      <c r="AQ321" s="6">
        <v>309.46516604428371</v>
      </c>
      <c r="AR321" s="6">
        <v>419.99993185618268</v>
      </c>
      <c r="AS321" s="6">
        <v>1640.7733780000001</v>
      </c>
      <c r="AT321" s="6">
        <v>239.61635524972931</v>
      </c>
      <c r="AU321" s="6">
        <v>235.06451079438389</v>
      </c>
    </row>
    <row r="322" spans="1:47" x14ac:dyDescent="0.35">
      <c r="A322" s="5">
        <v>46022</v>
      </c>
      <c r="B322" s="4" t="s">
        <v>825</v>
      </c>
      <c r="C322" s="4" t="s">
        <v>826</v>
      </c>
      <c r="D322" s="4" t="s">
        <v>58</v>
      </c>
      <c r="E322" s="6">
        <v>1582</v>
      </c>
      <c r="F322" s="7">
        <v>0.71589999999999998</v>
      </c>
      <c r="G322" s="6">
        <v>88</v>
      </c>
      <c r="H322" s="6">
        <v>9.9670000000000005</v>
      </c>
      <c r="I322" s="6">
        <v>100</v>
      </c>
      <c r="J322" s="6">
        <v>9.9665999999999997</v>
      </c>
      <c r="K322" s="8">
        <v>100</v>
      </c>
      <c r="L322" s="6">
        <v>51.365339969716672</v>
      </c>
      <c r="M322" s="6">
        <v>12.495267413725561</v>
      </c>
      <c r="N322" s="6">
        <v>6.6770452836144436</v>
      </c>
      <c r="O322" s="6">
        <v>22.12072790125</v>
      </c>
      <c r="P322" s="6">
        <v>92.658380568306669</v>
      </c>
      <c r="Q322" s="6">
        <v>35.88683873777444</v>
      </c>
      <c r="R322" s="6">
        <v>21.59092481321111</v>
      </c>
      <c r="S322" s="6">
        <v>43.71914058850556</v>
      </c>
      <c r="T322" s="6">
        <v>12.48476999030556</v>
      </c>
      <c r="U322" s="6">
        <v>113.6816741297967</v>
      </c>
      <c r="V322" s="6">
        <v>206.3400546981033</v>
      </c>
      <c r="W322" s="6">
        <v>8.7404725003868577</v>
      </c>
      <c r="X322" s="6">
        <v>0</v>
      </c>
      <c r="Y322" s="6">
        <v>1.81436948E-15</v>
      </c>
      <c r="Z322" s="6">
        <v>215.08052719849019</v>
      </c>
      <c r="AA322" s="6">
        <v>0</v>
      </c>
      <c r="AB322" s="6">
        <v>215.08052719849019</v>
      </c>
      <c r="AC322" s="6">
        <v>0</v>
      </c>
      <c r="AD322" s="6">
        <v>102.6950189392967</v>
      </c>
      <c r="AE322" s="6">
        <v>0</v>
      </c>
      <c r="AF322" s="6">
        <v>0</v>
      </c>
      <c r="AG322" s="6">
        <v>317.77554613778688</v>
      </c>
      <c r="AH322" s="6">
        <v>13.394453088280001</v>
      </c>
      <c r="AI322" s="6">
        <v>0</v>
      </c>
      <c r="AJ322" s="6">
        <v>72.219018784342225</v>
      </c>
      <c r="AK322" s="6">
        <v>300.69399907111239</v>
      </c>
      <c r="AL322" s="6">
        <v>0</v>
      </c>
      <c r="AM322" s="6">
        <v>0</v>
      </c>
      <c r="AN322" s="6">
        <v>0</v>
      </c>
      <c r="AO322" s="6">
        <v>0</v>
      </c>
      <c r="AP322" s="6">
        <v>0</v>
      </c>
      <c r="AQ322" s="6">
        <v>300.69399907111239</v>
      </c>
      <c r="AR322" s="6">
        <v>419.99999964779198</v>
      </c>
      <c r="AS322" s="6">
        <v>92.284885000000003</v>
      </c>
      <c r="AT322" s="6">
        <v>204.91947244930179</v>
      </c>
      <c r="AU322" s="6">
        <v>204.91947244930179</v>
      </c>
    </row>
    <row r="323" spans="1:47" x14ac:dyDescent="0.35">
      <c r="A323" s="5">
        <v>46022</v>
      </c>
      <c r="B323" s="4" t="s">
        <v>501</v>
      </c>
      <c r="C323" s="4" t="s">
        <v>502</v>
      </c>
      <c r="D323" s="4" t="s">
        <v>79</v>
      </c>
      <c r="E323" s="6">
        <v>713.73717699999997</v>
      </c>
      <c r="F323" s="7">
        <v>0.04</v>
      </c>
      <c r="G323" s="6">
        <v>92</v>
      </c>
      <c r="H323" s="6">
        <v>0.26300000000000001</v>
      </c>
      <c r="I323" s="6">
        <v>100</v>
      </c>
      <c r="J323" s="6">
        <v>0.26265500000000003</v>
      </c>
      <c r="K323" s="8">
        <v>0.60599999999999998</v>
      </c>
      <c r="L323" s="6">
        <v>14269.52735178838</v>
      </c>
      <c r="M323" s="6">
        <v>1851.435998015115</v>
      </c>
      <c r="N323" s="6">
        <v>2365.3249025023979</v>
      </c>
      <c r="O323" s="6">
        <v>15424.646794366519</v>
      </c>
      <c r="P323" s="6">
        <v>33910.935046672414</v>
      </c>
      <c r="Q323" s="6">
        <v>2980.92510233741</v>
      </c>
      <c r="R323" s="6">
        <v>2408.8555185955179</v>
      </c>
      <c r="S323" s="6">
        <v>2813.660641467</v>
      </c>
      <c r="T323" s="6">
        <v>3466.9186625055831</v>
      </c>
      <c r="U323" s="6">
        <v>11670.35992490551</v>
      </c>
      <c r="V323" s="6">
        <v>45581.294971577918</v>
      </c>
      <c r="W323" s="6">
        <v>0</v>
      </c>
      <c r="X323" s="6">
        <v>289.0764926481308</v>
      </c>
      <c r="Y323" s="6">
        <v>-48740.928588368981</v>
      </c>
      <c r="Z323" s="6">
        <v>-2870.557124142932</v>
      </c>
      <c r="AA323" s="6">
        <v>0</v>
      </c>
      <c r="AB323" s="6">
        <v>-2870.557124142932</v>
      </c>
      <c r="AC323" s="6">
        <v>0</v>
      </c>
      <c r="AD323" s="6">
        <v>5484.0587866199448</v>
      </c>
      <c r="AE323" s="6">
        <v>0</v>
      </c>
      <c r="AF323" s="6">
        <v>0</v>
      </c>
      <c r="AG323" s="6">
        <v>2613.5016624770142</v>
      </c>
      <c r="AH323" s="6">
        <v>3344.5210677681189</v>
      </c>
      <c r="AI323" s="6">
        <v>662.49726377314244</v>
      </c>
      <c r="AJ323" s="6">
        <v>12463.770003206861</v>
      </c>
      <c r="AK323" s="6">
        <v>13600.23121060519</v>
      </c>
      <c r="AL323" s="6">
        <v>2358.5287749822478</v>
      </c>
      <c r="AM323" s="6">
        <v>0</v>
      </c>
      <c r="AN323" s="6">
        <v>0</v>
      </c>
      <c r="AO323" s="6">
        <v>0</v>
      </c>
      <c r="AP323" s="6">
        <v>0</v>
      </c>
      <c r="AQ323" s="6">
        <v>15958.75998558744</v>
      </c>
      <c r="AR323" s="6">
        <v>420.0719571585347</v>
      </c>
      <c r="AS323" s="6">
        <v>299.036406</v>
      </c>
      <c r="AT323" s="6">
        <v>3290.6290813014671</v>
      </c>
      <c r="AU323" s="6">
        <v>3290.6290813014671</v>
      </c>
    </row>
    <row r="324" spans="1:47" x14ac:dyDescent="0.35">
      <c r="A324" s="5">
        <v>46022</v>
      </c>
      <c r="B324" s="4" t="s">
        <v>499</v>
      </c>
      <c r="C324" s="4" t="s">
        <v>500</v>
      </c>
      <c r="D324" s="4" t="s">
        <v>222</v>
      </c>
      <c r="E324" s="6">
        <v>1000</v>
      </c>
      <c r="F324" s="7">
        <v>0.85</v>
      </c>
      <c r="G324" s="6">
        <v>85</v>
      </c>
      <c r="H324" s="6">
        <v>7.2249999999999996</v>
      </c>
      <c r="I324" s="6">
        <v>95.453287000000003</v>
      </c>
      <c r="J324" s="6">
        <v>6.8964999999999996</v>
      </c>
      <c r="K324" s="8">
        <v>26.035</v>
      </c>
      <c r="L324" s="6">
        <v>447.8150639887038</v>
      </c>
      <c r="M324" s="6">
        <v>65.733325033782506</v>
      </c>
      <c r="N324" s="6">
        <v>63.441304010441527</v>
      </c>
      <c r="O324" s="6">
        <v>761.7451824007245</v>
      </c>
      <c r="P324" s="6">
        <v>1338.734875433652</v>
      </c>
      <c r="Q324" s="6">
        <v>28.48915906803321</v>
      </c>
      <c r="R324" s="6">
        <v>51.329088746549552</v>
      </c>
      <c r="S324" s="6">
        <v>20.70681232601131</v>
      </c>
      <c r="T324" s="6">
        <v>80.205989871983036</v>
      </c>
      <c r="U324" s="6">
        <v>180.7310500125771</v>
      </c>
      <c r="V324" s="6">
        <v>1519.4659254462299</v>
      </c>
      <c r="W324" s="6">
        <v>81.199675922794171</v>
      </c>
      <c r="X324" s="6">
        <v>147.0563395467405</v>
      </c>
      <c r="Y324" s="6">
        <v>-1274.9271136878281</v>
      </c>
      <c r="Z324" s="6">
        <v>472.79482722793631</v>
      </c>
      <c r="AA324" s="6">
        <v>0</v>
      </c>
      <c r="AB324" s="6">
        <v>472.79482722793631</v>
      </c>
      <c r="AC324" s="6">
        <v>0</v>
      </c>
      <c r="AD324" s="6">
        <v>726.68084462648164</v>
      </c>
      <c r="AE324" s="6">
        <v>0</v>
      </c>
      <c r="AF324" s="6">
        <v>0</v>
      </c>
      <c r="AG324" s="6">
        <v>1199.4756718544179</v>
      </c>
      <c r="AH324" s="6">
        <v>6.8229658293499611</v>
      </c>
      <c r="AI324" s="6">
        <v>0</v>
      </c>
      <c r="AJ324" s="6">
        <v>273.176312313734</v>
      </c>
      <c r="AK324" s="6">
        <v>752.79410537102035</v>
      </c>
      <c r="AL324" s="6">
        <v>1315.4277387080399</v>
      </c>
      <c r="AM324" s="6">
        <v>0</v>
      </c>
      <c r="AN324" s="6">
        <v>0</v>
      </c>
      <c r="AO324" s="6">
        <v>0</v>
      </c>
      <c r="AP324" s="6">
        <v>0</v>
      </c>
      <c r="AQ324" s="6">
        <v>2068.2218440790612</v>
      </c>
      <c r="AR324" s="6">
        <v>419.99999964779198</v>
      </c>
      <c r="AS324" s="6">
        <v>268.049848</v>
      </c>
      <c r="AT324" s="6">
        <v>-52.794827580144378</v>
      </c>
      <c r="AU324" s="6">
        <v>-52.794827580144378</v>
      </c>
    </row>
    <row r="325" spans="1:47" x14ac:dyDescent="0.35">
      <c r="A325" s="5">
        <v>46022</v>
      </c>
      <c r="B325" s="4" t="s">
        <v>503</v>
      </c>
      <c r="C325" s="4" t="s">
        <v>504</v>
      </c>
      <c r="D325" s="4" t="s">
        <v>61</v>
      </c>
      <c r="E325" s="6">
        <v>121.03</v>
      </c>
      <c r="F325" s="7">
        <v>1.0911</v>
      </c>
      <c r="G325" s="6">
        <v>78</v>
      </c>
      <c r="H325" s="6">
        <v>1.03</v>
      </c>
      <c r="I325" s="6">
        <v>97</v>
      </c>
      <c r="J325" s="6">
        <v>0.99909999999999999</v>
      </c>
      <c r="K325" s="8">
        <v>100</v>
      </c>
      <c r="L325" s="6">
        <v>54.519331974624023</v>
      </c>
      <c r="M325" s="6">
        <v>9.0852677204551391</v>
      </c>
      <c r="N325" s="6">
        <v>15.349546071279811</v>
      </c>
      <c r="O325" s="6">
        <v>23.932470585918072</v>
      </c>
      <c r="P325" s="6">
        <v>102.886616352277</v>
      </c>
      <c r="Q325" s="6">
        <v>14.766457165199551</v>
      </c>
      <c r="R325" s="6">
        <v>10.49784767190868</v>
      </c>
      <c r="S325" s="6">
        <v>19.775580832522081</v>
      </c>
      <c r="T325" s="6">
        <v>19.051017986688059</v>
      </c>
      <c r="U325" s="6">
        <v>64.090903656318375</v>
      </c>
      <c r="V325" s="6">
        <v>166.97752000859541</v>
      </c>
      <c r="W325" s="6">
        <v>9.5225848393747761</v>
      </c>
      <c r="X325" s="6">
        <v>25.79683805825243</v>
      </c>
      <c r="Y325" s="6">
        <v>1.995806428E-15</v>
      </c>
      <c r="Z325" s="6">
        <v>202.2969429062226</v>
      </c>
      <c r="AA325" s="6">
        <v>34.10085669017208</v>
      </c>
      <c r="AB325" s="6">
        <v>236.39779959639469</v>
      </c>
      <c r="AC325" s="6">
        <v>0</v>
      </c>
      <c r="AD325" s="6">
        <v>18.07018988267891</v>
      </c>
      <c r="AE325" s="6">
        <v>0</v>
      </c>
      <c r="AF325" s="6">
        <v>0</v>
      </c>
      <c r="AG325" s="6">
        <v>254.46798947907359</v>
      </c>
      <c r="AH325" s="6">
        <v>14.434539862027719</v>
      </c>
      <c r="AI325" s="6">
        <v>0</v>
      </c>
      <c r="AJ325" s="6">
        <v>5.3955820947416742</v>
      </c>
      <c r="AK325" s="6">
        <v>256.22792155316409</v>
      </c>
      <c r="AL325" s="6">
        <v>0</v>
      </c>
      <c r="AM325" s="6">
        <v>0</v>
      </c>
      <c r="AN325" s="6">
        <v>0</v>
      </c>
      <c r="AO325" s="6">
        <v>0</v>
      </c>
      <c r="AP325" s="6">
        <v>0</v>
      </c>
      <c r="AQ325" s="6">
        <v>256.22792155316409</v>
      </c>
      <c r="AR325" s="6">
        <v>419.99999964779192</v>
      </c>
      <c r="AS325" s="6">
        <v>9.2510809999999992</v>
      </c>
      <c r="AT325" s="6">
        <v>217.7030567415693</v>
      </c>
      <c r="AU325" s="6">
        <v>183.60220005139729</v>
      </c>
    </row>
    <row r="326" spans="1:47" x14ac:dyDescent="0.35">
      <c r="A326" s="5">
        <v>46022</v>
      </c>
      <c r="B326" s="4" t="s">
        <v>515</v>
      </c>
      <c r="C326" s="4" t="s">
        <v>516</v>
      </c>
      <c r="D326" s="4" t="s">
        <v>61</v>
      </c>
      <c r="E326" s="6">
        <v>273.22000000000003</v>
      </c>
      <c r="F326" s="7">
        <v>1.83</v>
      </c>
      <c r="G326" s="6">
        <v>95</v>
      </c>
      <c r="H326" s="6">
        <v>4.75</v>
      </c>
      <c r="I326" s="6">
        <v>97</v>
      </c>
      <c r="J326" s="6">
        <v>4.6074999999999999</v>
      </c>
      <c r="K326" s="8">
        <v>92.004000000000005</v>
      </c>
      <c r="L326" s="6">
        <v>8.6112995342398637</v>
      </c>
      <c r="M326" s="6">
        <v>5.1425982762246401</v>
      </c>
      <c r="N326" s="6">
        <v>1.1637901738386001</v>
      </c>
      <c r="O326" s="6">
        <v>12.722354869484571</v>
      </c>
      <c r="P326" s="6">
        <v>27.640042853787669</v>
      </c>
      <c r="Q326" s="6">
        <v>5.4411020167048161</v>
      </c>
      <c r="R326" s="6">
        <v>5.259000156534432</v>
      </c>
      <c r="S326" s="6">
        <v>4.9889325164016798</v>
      </c>
      <c r="T326" s="6">
        <v>9.9975029413009509</v>
      </c>
      <c r="U326" s="6">
        <v>25.686537630941881</v>
      </c>
      <c r="V326" s="6">
        <v>53.326580484729547</v>
      </c>
      <c r="W326" s="6">
        <v>10.42296961304789</v>
      </c>
      <c r="X326" s="6">
        <v>27.689305263157891</v>
      </c>
      <c r="Y326" s="6">
        <v>-35.399532375020229</v>
      </c>
      <c r="Z326" s="6">
        <v>56.039322985915113</v>
      </c>
      <c r="AA326" s="6">
        <v>38.219879847129988</v>
      </c>
      <c r="AB326" s="6">
        <v>94.259202833045094</v>
      </c>
      <c r="AC326" s="6">
        <v>0</v>
      </c>
      <c r="AD326" s="6">
        <v>12.58254942228838</v>
      </c>
      <c r="AE326" s="6">
        <v>0</v>
      </c>
      <c r="AF326" s="6">
        <v>0</v>
      </c>
      <c r="AG326" s="6">
        <v>106.8417522553335</v>
      </c>
      <c r="AH326" s="6">
        <v>5.4033163245291993</v>
      </c>
      <c r="AI326" s="6">
        <v>0</v>
      </c>
      <c r="AJ326" s="6">
        <v>4.6098221683532481</v>
      </c>
      <c r="AK326" s="6">
        <v>104.2723413259275</v>
      </c>
      <c r="AL326" s="6">
        <v>0</v>
      </c>
      <c r="AM326" s="6">
        <v>0</v>
      </c>
      <c r="AN326" s="6">
        <v>0</v>
      </c>
      <c r="AO326" s="6">
        <v>0</v>
      </c>
      <c r="AP326" s="6">
        <v>0</v>
      </c>
      <c r="AQ326" s="6">
        <v>104.2723413259275</v>
      </c>
      <c r="AR326" s="6">
        <v>419.99999964779192</v>
      </c>
      <c r="AS326" s="6">
        <v>46.267626999999997</v>
      </c>
      <c r="AT326" s="6">
        <v>363.96067666187679</v>
      </c>
      <c r="AU326" s="6">
        <v>325.74079681474677</v>
      </c>
    </row>
    <row r="327" spans="1:47" x14ac:dyDescent="0.35">
      <c r="A327" s="5">
        <v>46022</v>
      </c>
      <c r="B327" s="4" t="s">
        <v>827</v>
      </c>
      <c r="C327" s="4" t="s">
        <v>828</v>
      </c>
      <c r="D327" s="4" t="s">
        <v>61</v>
      </c>
      <c r="E327" s="6">
        <v>49.38</v>
      </c>
      <c r="F327" s="7">
        <v>0.81</v>
      </c>
      <c r="G327" s="6">
        <v>80</v>
      </c>
      <c r="H327" s="6">
        <v>0.32</v>
      </c>
      <c r="I327" s="6">
        <v>94.568749999999994</v>
      </c>
      <c r="J327" s="6">
        <v>0.30262</v>
      </c>
      <c r="K327" s="8">
        <v>59.872999999999998</v>
      </c>
      <c r="L327" s="6">
        <v>76.383549355434738</v>
      </c>
      <c r="M327" s="6">
        <v>2.4819862936040189</v>
      </c>
      <c r="N327" s="6">
        <v>6.5228266618277804</v>
      </c>
      <c r="O327" s="6">
        <v>21.71852056390928</v>
      </c>
      <c r="P327" s="6">
        <v>107.10688287477581</v>
      </c>
      <c r="Q327" s="6">
        <v>13.74155894576832</v>
      </c>
      <c r="R327" s="6">
        <v>35.293895085881779</v>
      </c>
      <c r="S327" s="6">
        <v>18.66427620581749</v>
      </c>
      <c r="T327" s="6">
        <v>32.697790113402299</v>
      </c>
      <c r="U327" s="6">
        <v>100.3975203508699</v>
      </c>
      <c r="V327" s="6">
        <v>207.50440322564569</v>
      </c>
      <c r="W327" s="6">
        <v>8.550383800727964</v>
      </c>
      <c r="X327" s="6">
        <v>26.945368967021349</v>
      </c>
      <c r="Y327" s="6">
        <v>-276.13224822039518</v>
      </c>
      <c r="Z327" s="6">
        <v>-33.132092227000221</v>
      </c>
      <c r="AA327" s="6">
        <v>46.959248920123052</v>
      </c>
      <c r="AB327" s="6">
        <v>13.827156693122831</v>
      </c>
      <c r="AC327" s="6">
        <v>0</v>
      </c>
      <c r="AD327" s="6">
        <v>18.872629001341441</v>
      </c>
      <c r="AE327" s="6">
        <v>0</v>
      </c>
      <c r="AF327" s="6">
        <v>0</v>
      </c>
      <c r="AG327" s="6">
        <v>32.699785694464268</v>
      </c>
      <c r="AH327" s="6">
        <v>21.655735464512169</v>
      </c>
      <c r="AI327" s="6">
        <v>0</v>
      </c>
      <c r="AJ327" s="6">
        <v>18.872629001341441</v>
      </c>
      <c r="AK327" s="6">
        <v>54.355521158976437</v>
      </c>
      <c r="AL327" s="6">
        <v>0</v>
      </c>
      <c r="AM327" s="6">
        <v>0</v>
      </c>
      <c r="AN327" s="6">
        <v>0</v>
      </c>
      <c r="AO327" s="6">
        <v>0</v>
      </c>
      <c r="AP327" s="6">
        <v>0</v>
      </c>
      <c r="AQ327" s="6">
        <v>54.355521158976437</v>
      </c>
      <c r="AR327" s="6">
        <v>419.97224206404678</v>
      </c>
      <c r="AS327" s="6">
        <v>4.7474540000000003</v>
      </c>
      <c r="AT327" s="6">
        <v>453.104334291047</v>
      </c>
      <c r="AU327" s="6">
        <v>406.14508537092399</v>
      </c>
    </row>
    <row r="328" spans="1:47" x14ac:dyDescent="0.35">
      <c r="A328" s="5">
        <v>46022</v>
      </c>
      <c r="B328" s="4" t="s">
        <v>644</v>
      </c>
      <c r="C328" s="4" t="s">
        <v>645</v>
      </c>
      <c r="D328" s="4" t="s">
        <v>61</v>
      </c>
      <c r="E328" s="6">
        <v>313.58</v>
      </c>
      <c r="F328" s="7">
        <v>1.02</v>
      </c>
      <c r="G328" s="6">
        <v>87</v>
      </c>
      <c r="H328" s="6">
        <v>2.7829999999999999</v>
      </c>
      <c r="I328" s="6">
        <v>97</v>
      </c>
      <c r="J328" s="6">
        <v>2.6992280000000002</v>
      </c>
      <c r="K328" s="8">
        <v>93.664000000000001</v>
      </c>
      <c r="L328" s="6">
        <v>15.80805391965235</v>
      </c>
      <c r="M328" s="6">
        <v>8.5534636003650366</v>
      </c>
      <c r="N328" s="6">
        <v>3.4576126255957069</v>
      </c>
      <c r="O328" s="6">
        <v>27.264229448951511</v>
      </c>
      <c r="P328" s="6">
        <v>55.083359594564612</v>
      </c>
      <c r="Q328" s="6">
        <v>13.06851398080518</v>
      </c>
      <c r="R328" s="6">
        <v>14.9128607119672</v>
      </c>
      <c r="S328" s="6">
        <v>18.488421945801761</v>
      </c>
      <c r="T328" s="6">
        <v>35.147979133859081</v>
      </c>
      <c r="U328" s="6">
        <v>81.61777577243322</v>
      </c>
      <c r="V328" s="6">
        <v>136.70113536699779</v>
      </c>
      <c r="W328" s="6">
        <v>6.5996775016553686</v>
      </c>
      <c r="X328" s="6">
        <v>25.778613905528879</v>
      </c>
      <c r="Y328" s="6">
        <v>-27.537637035172789</v>
      </c>
      <c r="Z328" s="6">
        <v>141.54178973900929</v>
      </c>
      <c r="AA328" s="6">
        <v>37.53675902962398</v>
      </c>
      <c r="AB328" s="6">
        <v>179.07854876863331</v>
      </c>
      <c r="AC328" s="6">
        <v>0</v>
      </c>
      <c r="AD328" s="6">
        <v>24.423561344053681</v>
      </c>
      <c r="AE328" s="6">
        <v>0</v>
      </c>
      <c r="AF328" s="6">
        <v>0</v>
      </c>
      <c r="AG328" s="6">
        <v>203.50211011268689</v>
      </c>
      <c r="AH328" s="6">
        <v>21.502469182553</v>
      </c>
      <c r="AI328" s="6">
        <v>0</v>
      </c>
      <c r="AJ328" s="6">
        <v>19.473935447692959</v>
      </c>
      <c r="AK328" s="6">
        <v>220.05495339887921</v>
      </c>
      <c r="AL328" s="6">
        <v>0</v>
      </c>
      <c r="AM328" s="6">
        <v>0</v>
      </c>
      <c r="AN328" s="6">
        <v>0</v>
      </c>
      <c r="AO328" s="6">
        <v>0</v>
      </c>
      <c r="AP328" s="6">
        <v>0</v>
      </c>
      <c r="AQ328" s="6">
        <v>220.05495339887921</v>
      </c>
      <c r="AR328" s="6">
        <v>419.99564284651763</v>
      </c>
      <c r="AS328" s="6">
        <v>26.635846000000001</v>
      </c>
      <c r="AT328" s="6">
        <v>278.45385310750828</v>
      </c>
      <c r="AU328" s="6">
        <v>240.91709407788429</v>
      </c>
    </row>
    <row r="329" spans="1:47" x14ac:dyDescent="0.35">
      <c r="A329" s="5">
        <v>46022</v>
      </c>
      <c r="B329" s="4" t="s">
        <v>646</v>
      </c>
      <c r="C329" s="4" t="s">
        <v>647</v>
      </c>
      <c r="D329" s="4" t="s">
        <v>648</v>
      </c>
      <c r="E329" s="6">
        <v>1740</v>
      </c>
      <c r="F329" s="7">
        <v>0.1701</v>
      </c>
      <c r="G329" s="6">
        <v>42</v>
      </c>
      <c r="H329" s="6">
        <v>1.2430000000000001</v>
      </c>
      <c r="I329" s="6">
        <v>50</v>
      </c>
      <c r="J329" s="6">
        <v>0.62150000000000005</v>
      </c>
      <c r="K329" s="8">
        <v>9.0259999999999998</v>
      </c>
      <c r="L329" s="6">
        <v>40.28912234626938</v>
      </c>
      <c r="M329" s="6">
        <v>148.62549913219109</v>
      </c>
      <c r="N329" s="6">
        <v>61.399007634764587</v>
      </c>
      <c r="O329" s="6">
        <v>639.13422020310463</v>
      </c>
      <c r="P329" s="6">
        <v>889.44784931632967</v>
      </c>
      <c r="Q329" s="6">
        <v>94.742723611593959</v>
      </c>
      <c r="R329" s="6">
        <v>105.9780219682725</v>
      </c>
      <c r="S329" s="6">
        <v>162.3108400012226</v>
      </c>
      <c r="T329" s="6">
        <v>788.39861239908305</v>
      </c>
      <c r="U329" s="6">
        <v>1151.4301979801719</v>
      </c>
      <c r="V329" s="6">
        <v>2040.878047296502</v>
      </c>
      <c r="W329" s="6">
        <v>24.08455061946902</v>
      </c>
      <c r="X329" s="6">
        <v>370.83112232445387</v>
      </c>
      <c r="Y329" s="6">
        <v>-2894.2018853250761</v>
      </c>
      <c r="Z329" s="6">
        <v>-458.4081650846515</v>
      </c>
      <c r="AA329" s="6">
        <v>236.4124082566442</v>
      </c>
      <c r="AB329" s="6">
        <v>-221.9957568280073</v>
      </c>
      <c r="AC329" s="6">
        <v>4.1653135544070789E-2</v>
      </c>
      <c r="AD329" s="6">
        <v>1289.383859006932</v>
      </c>
      <c r="AE329" s="6">
        <v>0</v>
      </c>
      <c r="AF329" s="6">
        <v>0</v>
      </c>
      <c r="AG329" s="6">
        <v>1067.429755314469</v>
      </c>
      <c r="AH329" s="6">
        <v>145.96693695958399</v>
      </c>
      <c r="AI329" s="6">
        <v>0</v>
      </c>
      <c r="AJ329" s="6">
        <v>467.45917117174719</v>
      </c>
      <c r="AK329" s="6">
        <v>391.472004438868</v>
      </c>
      <c r="AL329" s="6">
        <v>145.96693695958399</v>
      </c>
      <c r="AM329" s="6">
        <v>0</v>
      </c>
      <c r="AN329" s="6">
        <v>0</v>
      </c>
      <c r="AO329" s="6">
        <v>0</v>
      </c>
      <c r="AP329" s="6">
        <v>0</v>
      </c>
      <c r="AQ329" s="6">
        <v>537.43894139845202</v>
      </c>
      <c r="AR329" s="6">
        <v>419.99999964779192</v>
      </c>
      <c r="AS329" s="6">
        <v>50.932510000000001</v>
      </c>
      <c r="AT329" s="6">
        <v>878.40816473244342</v>
      </c>
      <c r="AU329" s="6">
        <v>641.99575647579923</v>
      </c>
    </row>
    <row r="330" spans="1:47" x14ac:dyDescent="0.35">
      <c r="A330" s="5">
        <v>46022</v>
      </c>
      <c r="B330" s="4" t="s">
        <v>505</v>
      </c>
      <c r="C330" s="4" t="s">
        <v>506</v>
      </c>
      <c r="D330" s="4" t="s">
        <v>61</v>
      </c>
      <c r="E330" s="6">
        <v>160.87</v>
      </c>
      <c r="F330" s="7">
        <v>0.65</v>
      </c>
      <c r="G330" s="6">
        <v>85</v>
      </c>
      <c r="H330" s="6">
        <v>0.88900000000000001</v>
      </c>
      <c r="I330" s="6">
        <v>97</v>
      </c>
      <c r="J330" s="6">
        <v>0.86214299999999999</v>
      </c>
      <c r="K330" s="8">
        <v>75.652000000000001</v>
      </c>
      <c r="L330" s="6">
        <v>57.214774676410293</v>
      </c>
      <c r="M330" s="6">
        <v>5.8399696045448373</v>
      </c>
      <c r="N330" s="6">
        <v>28.268838375622838</v>
      </c>
      <c r="O330" s="6">
        <v>36.140101755661533</v>
      </c>
      <c r="P330" s="6">
        <v>127.4636844122395</v>
      </c>
      <c r="Q330" s="6">
        <v>14.98079159426719</v>
      </c>
      <c r="R330" s="6">
        <v>13.795870225229111</v>
      </c>
      <c r="S330" s="6">
        <v>21.30587647102028</v>
      </c>
      <c r="T330" s="6">
        <v>32.246788685964972</v>
      </c>
      <c r="U330" s="6">
        <v>82.329326976481553</v>
      </c>
      <c r="V330" s="6">
        <v>209.793011388721</v>
      </c>
      <c r="W330" s="6">
        <v>8.5551985583290993</v>
      </c>
      <c r="X330" s="6">
        <v>27.648218962416841</v>
      </c>
      <c r="Y330" s="6">
        <v>-131.02147536232721</v>
      </c>
      <c r="Z330" s="6">
        <v>114.9749535471398</v>
      </c>
      <c r="AA330" s="6">
        <v>65.202568896895457</v>
      </c>
      <c r="AB330" s="6">
        <v>180.17752244403519</v>
      </c>
      <c r="AC330" s="6">
        <v>0</v>
      </c>
      <c r="AD330" s="6">
        <v>42.541554814649132</v>
      </c>
      <c r="AE330" s="6">
        <v>0</v>
      </c>
      <c r="AF330" s="6">
        <v>0</v>
      </c>
      <c r="AG330" s="6">
        <v>222.71907725868431</v>
      </c>
      <c r="AH330" s="6">
        <v>13.35220180976499</v>
      </c>
      <c r="AI330" s="6">
        <v>0</v>
      </c>
      <c r="AJ330" s="6">
        <v>20.141251112289009</v>
      </c>
      <c r="AK330" s="6">
        <v>213.67097536608921</v>
      </c>
      <c r="AL330" s="6">
        <v>0</v>
      </c>
      <c r="AM330" s="6">
        <v>0</v>
      </c>
      <c r="AN330" s="6">
        <v>0</v>
      </c>
      <c r="AO330" s="6">
        <v>0</v>
      </c>
      <c r="AP330" s="6">
        <v>0</v>
      </c>
      <c r="AQ330" s="6">
        <v>213.67097536608921</v>
      </c>
      <c r="AR330" s="6">
        <v>419.97905184680673</v>
      </c>
      <c r="AS330" s="6">
        <v>10.479141</v>
      </c>
      <c r="AT330" s="6">
        <v>305.00409829966691</v>
      </c>
      <c r="AU330" s="6">
        <v>239.80152940277139</v>
      </c>
    </row>
    <row r="331" spans="1:47" x14ac:dyDescent="0.35">
      <c r="A331" s="5">
        <v>46022</v>
      </c>
      <c r="B331" s="4" t="s">
        <v>649</v>
      </c>
      <c r="C331" s="4" t="s">
        <v>650</v>
      </c>
      <c r="D331" s="4" t="s">
        <v>61</v>
      </c>
      <c r="E331" s="6">
        <v>200</v>
      </c>
      <c r="F331" s="7">
        <v>0.48</v>
      </c>
      <c r="G331" s="6">
        <v>80</v>
      </c>
      <c r="H331" s="6">
        <v>0.76800000000000002</v>
      </c>
      <c r="I331" s="6">
        <v>97</v>
      </c>
      <c r="J331" s="6">
        <v>0.74497500000000005</v>
      </c>
      <c r="K331" s="8">
        <v>55.805</v>
      </c>
      <c r="L331" s="6">
        <v>104.37945418381391</v>
      </c>
      <c r="M331" s="6">
        <v>6.5022608562687338</v>
      </c>
      <c r="N331" s="6">
        <v>13.962906267824289</v>
      </c>
      <c r="O331" s="6">
        <v>59.009269714687328</v>
      </c>
      <c r="P331" s="6">
        <v>183.8538910225943</v>
      </c>
      <c r="Q331" s="6">
        <v>24.924695999214471</v>
      </c>
      <c r="R331" s="6">
        <v>23.114746909974158</v>
      </c>
      <c r="S331" s="6">
        <v>24.799549013436689</v>
      </c>
      <c r="T331" s="6">
        <v>54.651373294883712</v>
      </c>
      <c r="U331" s="6">
        <v>127.49036521750899</v>
      </c>
      <c r="V331" s="6">
        <v>311.34425624010328</v>
      </c>
      <c r="W331" s="6">
        <v>8.5325315753225421</v>
      </c>
      <c r="X331" s="6">
        <v>26.705218940630221</v>
      </c>
      <c r="Y331" s="6">
        <v>-293.24431813951918</v>
      </c>
      <c r="Z331" s="6">
        <v>53.337688616536902</v>
      </c>
      <c r="AA331" s="6">
        <v>44.276987641319558</v>
      </c>
      <c r="AB331" s="6">
        <v>97.614676257856473</v>
      </c>
      <c r="AC331" s="6">
        <v>0</v>
      </c>
      <c r="AD331" s="6">
        <v>68.563548576744182</v>
      </c>
      <c r="AE331" s="6">
        <v>0</v>
      </c>
      <c r="AF331" s="6">
        <v>0</v>
      </c>
      <c r="AG331" s="6">
        <v>166.1782248346006</v>
      </c>
      <c r="AH331" s="6">
        <v>38.626872276527131</v>
      </c>
      <c r="AI331" s="6">
        <v>0</v>
      </c>
      <c r="AJ331" s="6">
        <v>35.239744812568468</v>
      </c>
      <c r="AK331" s="6">
        <v>171.4812933469521</v>
      </c>
      <c r="AL331" s="6">
        <v>0</v>
      </c>
      <c r="AM331" s="6">
        <v>0</v>
      </c>
      <c r="AN331" s="6">
        <v>0</v>
      </c>
      <c r="AO331" s="6">
        <v>0</v>
      </c>
      <c r="AP331" s="6">
        <v>0</v>
      </c>
      <c r="AQ331" s="6">
        <v>171.4812933469521</v>
      </c>
      <c r="AR331" s="6">
        <v>420.0140940804792</v>
      </c>
      <c r="AS331" s="6">
        <v>15.924495</v>
      </c>
      <c r="AT331" s="6">
        <v>366.67640546394227</v>
      </c>
      <c r="AU331" s="6">
        <v>322.39941782262269</v>
      </c>
    </row>
    <row r="332" spans="1:47" x14ac:dyDescent="0.35">
      <c r="A332" s="5">
        <v>46022</v>
      </c>
      <c r="B332" s="4" t="s">
        <v>507</v>
      </c>
      <c r="C332" s="4" t="s">
        <v>508</v>
      </c>
      <c r="D332" s="4" t="s">
        <v>111</v>
      </c>
      <c r="E332" s="6">
        <v>3024.47</v>
      </c>
      <c r="F332" s="7">
        <v>0.93510000000000004</v>
      </c>
      <c r="G332" s="6">
        <v>70.900000000000006</v>
      </c>
      <c r="H332" s="6">
        <v>20.052</v>
      </c>
      <c r="I332" s="6">
        <v>97</v>
      </c>
      <c r="J332" s="6">
        <v>19.45044</v>
      </c>
      <c r="K332" s="8">
        <v>57.871000000000002</v>
      </c>
      <c r="L332" s="6">
        <v>60.773234436627817</v>
      </c>
      <c r="M332" s="6">
        <v>16.023232806176821</v>
      </c>
      <c r="N332" s="6">
        <v>17.22204237385219</v>
      </c>
      <c r="O332" s="6">
        <v>128.7435017678678</v>
      </c>
      <c r="P332" s="6">
        <v>222.76201138452461</v>
      </c>
      <c r="Q332" s="6">
        <v>14.692570902117771</v>
      </c>
      <c r="R332" s="6">
        <v>8.8172917324241418</v>
      </c>
      <c r="S332" s="6">
        <v>30.7456316493755</v>
      </c>
      <c r="T332" s="6">
        <v>8.2180456453644926</v>
      </c>
      <c r="U332" s="6">
        <v>62.473539929281898</v>
      </c>
      <c r="V332" s="6">
        <v>285.23555131380652</v>
      </c>
      <c r="W332" s="6">
        <v>10.662146518693479</v>
      </c>
      <c r="X332" s="6">
        <v>22.388326314776219</v>
      </c>
      <c r="Y332" s="6">
        <v>-288.4690274610316</v>
      </c>
      <c r="Z332" s="6">
        <v>29.81699668624465</v>
      </c>
      <c r="AA332" s="6">
        <v>47.616945222422373</v>
      </c>
      <c r="AB332" s="6">
        <v>77.433941908667023</v>
      </c>
      <c r="AC332" s="6">
        <v>0</v>
      </c>
      <c r="AD332" s="6">
        <v>21.107136989533419</v>
      </c>
      <c r="AE332" s="6">
        <v>0</v>
      </c>
      <c r="AF332" s="6">
        <v>0</v>
      </c>
      <c r="AG332" s="6">
        <v>98.541078898200453</v>
      </c>
      <c r="AH332" s="6">
        <v>18.053105661078849</v>
      </c>
      <c r="AI332" s="6">
        <v>0</v>
      </c>
      <c r="AJ332" s="6">
        <v>11.04336317731145</v>
      </c>
      <c r="AK332" s="6">
        <v>106.5304107470573</v>
      </c>
      <c r="AL332" s="6">
        <v>0</v>
      </c>
      <c r="AM332" s="6">
        <v>0</v>
      </c>
      <c r="AN332" s="6">
        <v>0</v>
      </c>
      <c r="AO332" s="6">
        <v>0</v>
      </c>
      <c r="AP332" s="6">
        <v>0</v>
      </c>
      <c r="AQ332" s="6">
        <v>106.5304107470573</v>
      </c>
      <c r="AR332" s="6">
        <v>419.99913591411882</v>
      </c>
      <c r="AS332" s="6">
        <v>322.99</v>
      </c>
      <c r="AT332" s="6">
        <v>390.18213922787407</v>
      </c>
      <c r="AU332" s="6">
        <v>342.5651940054517</v>
      </c>
    </row>
    <row r="333" spans="1:47" x14ac:dyDescent="0.35">
      <c r="A333" s="5">
        <v>46022</v>
      </c>
      <c r="B333" s="4" t="s">
        <v>517</v>
      </c>
      <c r="C333" s="4" t="s">
        <v>518</v>
      </c>
      <c r="D333" s="4" t="s">
        <v>89</v>
      </c>
      <c r="E333" s="6">
        <v>13248.688527</v>
      </c>
      <c r="F333" s="7">
        <v>0.1007</v>
      </c>
      <c r="G333" s="6">
        <v>67.47</v>
      </c>
      <c r="H333" s="6">
        <v>9</v>
      </c>
      <c r="I333" s="6">
        <v>97</v>
      </c>
      <c r="J333" s="6">
        <v>8.73</v>
      </c>
      <c r="K333" s="8">
        <v>9.8550000000000004</v>
      </c>
      <c r="L333" s="6">
        <v>708.66074670356738</v>
      </c>
      <c r="M333" s="6">
        <v>94.815104691475554</v>
      </c>
      <c r="N333" s="6">
        <v>36.975796796313013</v>
      </c>
      <c r="O333" s="6">
        <v>490.04352598824983</v>
      </c>
      <c r="P333" s="6">
        <v>1330.495174179606</v>
      </c>
      <c r="Q333" s="6">
        <v>327.78065302033252</v>
      </c>
      <c r="R333" s="6">
        <v>30.495238517489341</v>
      </c>
      <c r="S333" s="6">
        <v>240.15237821513671</v>
      </c>
      <c r="T333" s="6">
        <v>463.28505627574509</v>
      </c>
      <c r="U333" s="6">
        <v>1061.7133260287039</v>
      </c>
      <c r="V333" s="6">
        <v>2392.208500208309</v>
      </c>
      <c r="W333" s="6">
        <v>43.362481625472391</v>
      </c>
      <c r="X333" s="6">
        <v>52.377770867338619</v>
      </c>
      <c r="Y333" s="6">
        <v>-3669.192069119063</v>
      </c>
      <c r="Z333" s="6">
        <v>-1181.2433164179431</v>
      </c>
      <c r="AA333" s="6">
        <v>122.9103802991054</v>
      </c>
      <c r="AB333" s="6">
        <v>-1058.332936118838</v>
      </c>
      <c r="AC333" s="6">
        <v>0</v>
      </c>
      <c r="AD333" s="6">
        <v>1244.725164680772</v>
      </c>
      <c r="AE333" s="6">
        <v>0</v>
      </c>
      <c r="AF333" s="6">
        <v>0</v>
      </c>
      <c r="AG333" s="6">
        <v>186.3922285619343</v>
      </c>
      <c r="AH333" s="6">
        <v>95.688306966385824</v>
      </c>
      <c r="AI333" s="6">
        <v>0</v>
      </c>
      <c r="AJ333" s="6">
        <v>191.3766827701603</v>
      </c>
      <c r="AK333" s="6">
        <v>-771.26794638229148</v>
      </c>
      <c r="AL333" s="6">
        <v>0</v>
      </c>
      <c r="AM333" s="6">
        <v>0</v>
      </c>
      <c r="AN333" s="6">
        <v>0</v>
      </c>
      <c r="AO333" s="6">
        <v>0</v>
      </c>
      <c r="AP333" s="6">
        <v>0</v>
      </c>
      <c r="AQ333" s="6">
        <v>-771.26794638229148</v>
      </c>
      <c r="AR333" s="6">
        <v>419.99999964779192</v>
      </c>
      <c r="AS333" s="6">
        <v>788.52780800000005</v>
      </c>
      <c r="AT333" s="6">
        <v>1601.2433160657349</v>
      </c>
      <c r="AU333" s="6">
        <v>1478.3329357666289</v>
      </c>
    </row>
    <row r="334" spans="1:47" x14ac:dyDescent="0.35">
      <c r="A334" s="5">
        <v>46022</v>
      </c>
      <c r="B334" s="4" t="s">
        <v>829</v>
      </c>
      <c r="C334" s="4" t="s">
        <v>830</v>
      </c>
      <c r="D334" s="4" t="s">
        <v>213</v>
      </c>
      <c r="E334" s="6">
        <v>20258.980785</v>
      </c>
      <c r="F334" s="7">
        <v>2.85</v>
      </c>
      <c r="G334" s="6">
        <v>84</v>
      </c>
      <c r="H334" s="6">
        <v>485</v>
      </c>
      <c r="I334" s="6">
        <v>100</v>
      </c>
      <c r="J334" s="6">
        <v>485</v>
      </c>
      <c r="K334" s="8">
        <v>84.322999999999993</v>
      </c>
      <c r="L334" s="6">
        <v>4.6789095052548966</v>
      </c>
      <c r="M334" s="6">
        <v>4.4397446862092744</v>
      </c>
      <c r="N334" s="6">
        <v>6.197202912976822</v>
      </c>
      <c r="O334" s="6">
        <v>63.261775645100499</v>
      </c>
      <c r="P334" s="6">
        <v>78.577632749541493</v>
      </c>
      <c r="Q334" s="6">
        <v>5.9536025895947153</v>
      </c>
      <c r="R334" s="6">
        <v>37.571461473413727</v>
      </c>
      <c r="S334" s="6">
        <v>78.324403535498135</v>
      </c>
      <c r="T334" s="6">
        <v>40.402423537203859</v>
      </c>
      <c r="U334" s="6">
        <v>162.25189113571039</v>
      </c>
      <c r="V334" s="6">
        <v>240.82952388525189</v>
      </c>
      <c r="W334" s="6">
        <v>0</v>
      </c>
      <c r="X334" s="6">
        <v>0</v>
      </c>
      <c r="Y334" s="6">
        <v>-80.434316423600336</v>
      </c>
      <c r="Z334" s="6">
        <v>160.39520746165161</v>
      </c>
      <c r="AA334" s="6">
        <v>26.349617445432848</v>
      </c>
      <c r="AB334" s="6">
        <v>186.74482490708439</v>
      </c>
      <c r="AC334" s="6">
        <v>0</v>
      </c>
      <c r="AD334" s="6">
        <v>32.69515592019301</v>
      </c>
      <c r="AE334" s="6">
        <v>0</v>
      </c>
      <c r="AF334" s="6">
        <v>0</v>
      </c>
      <c r="AG334" s="6">
        <v>219.4399808272774</v>
      </c>
      <c r="AH334" s="6">
        <v>3.85846246412334</v>
      </c>
      <c r="AI334" s="6">
        <v>0</v>
      </c>
      <c r="AJ334" s="6">
        <v>0.62161291209294689</v>
      </c>
      <c r="AK334" s="6">
        <v>191.22490028330071</v>
      </c>
      <c r="AL334" s="6">
        <v>4.8632586147922563</v>
      </c>
      <c r="AM334" s="6">
        <v>0</v>
      </c>
      <c r="AN334" s="6">
        <v>0</v>
      </c>
      <c r="AO334" s="6">
        <v>0</v>
      </c>
      <c r="AP334" s="6">
        <v>0</v>
      </c>
      <c r="AQ334" s="6">
        <v>196.08815889809301</v>
      </c>
      <c r="AR334" s="6">
        <v>419.99999964779192</v>
      </c>
      <c r="AS334" s="6">
        <v>5801.3822499999997</v>
      </c>
      <c r="AT334" s="6">
        <v>259.60479218614029</v>
      </c>
      <c r="AU334" s="6">
        <v>233.2551747407075</v>
      </c>
    </row>
    <row r="335" spans="1:47" x14ac:dyDescent="0.35">
      <c r="A335" s="5">
        <v>46022</v>
      </c>
      <c r="B335" s="4" t="s">
        <v>831</v>
      </c>
      <c r="C335" s="4" t="s">
        <v>832</v>
      </c>
      <c r="D335" s="4" t="s">
        <v>61</v>
      </c>
      <c r="E335" s="6">
        <v>160</v>
      </c>
      <c r="F335" s="7">
        <v>0.16</v>
      </c>
      <c r="G335" s="6">
        <v>84</v>
      </c>
      <c r="H335" s="6">
        <v>0.215</v>
      </c>
      <c r="I335" s="6">
        <v>97</v>
      </c>
      <c r="J335" s="6">
        <v>0.208589</v>
      </c>
      <c r="K335" s="8">
        <v>14.138999999999999</v>
      </c>
      <c r="L335" s="6">
        <v>333.37438055620498</v>
      </c>
      <c r="M335" s="6">
        <v>131.17758517375009</v>
      </c>
      <c r="N335" s="6">
        <v>98.673120580964863</v>
      </c>
      <c r="O335" s="6">
        <v>507.46704161266871</v>
      </c>
      <c r="P335" s="6">
        <v>1070.6921279235889</v>
      </c>
      <c r="Q335" s="6">
        <v>208.18279075491651</v>
      </c>
      <c r="R335" s="6">
        <v>59.316379626537547</v>
      </c>
      <c r="S335" s="6">
        <v>174.38972536225631</v>
      </c>
      <c r="T335" s="6">
        <v>96.400359444518358</v>
      </c>
      <c r="U335" s="6">
        <v>538.28925518822871</v>
      </c>
      <c r="V335" s="6">
        <v>1608.981383111817</v>
      </c>
      <c r="W335" s="6">
        <v>13.209763926450639</v>
      </c>
      <c r="X335" s="6">
        <v>17.831512850629711</v>
      </c>
      <c r="Y335" s="6">
        <v>-2356.0345883839932</v>
      </c>
      <c r="Z335" s="6">
        <v>-716.01192849509562</v>
      </c>
      <c r="AA335" s="6">
        <v>213.53484001769209</v>
      </c>
      <c r="AB335" s="6">
        <v>-502.47708847740353</v>
      </c>
      <c r="AC335" s="6">
        <v>0</v>
      </c>
      <c r="AD335" s="6">
        <v>81.031508993044881</v>
      </c>
      <c r="AE335" s="6">
        <v>0</v>
      </c>
      <c r="AF335" s="6">
        <v>0</v>
      </c>
      <c r="AG335" s="6">
        <v>-421.44557948435857</v>
      </c>
      <c r="AH335" s="6">
        <v>69.321476219345783</v>
      </c>
      <c r="AI335" s="6">
        <v>0</v>
      </c>
      <c r="AJ335" s="6">
        <v>81.031508993044881</v>
      </c>
      <c r="AK335" s="6">
        <v>-352.12410326501282</v>
      </c>
      <c r="AL335" s="6">
        <v>0</v>
      </c>
      <c r="AM335" s="6">
        <v>0</v>
      </c>
      <c r="AN335" s="6">
        <v>0</v>
      </c>
      <c r="AO335" s="6">
        <v>0</v>
      </c>
      <c r="AP335" s="6">
        <v>0</v>
      </c>
      <c r="AQ335" s="6">
        <v>-352.12410326501282</v>
      </c>
      <c r="AR335" s="6">
        <v>420.02214846674269</v>
      </c>
      <c r="AS335" s="6">
        <v>15.657033999999999</v>
      </c>
      <c r="AT335" s="6">
        <v>1136.0340769618381</v>
      </c>
      <c r="AU335" s="6">
        <v>922.49923694414622</v>
      </c>
    </row>
    <row r="336" spans="1:47" x14ac:dyDescent="0.35">
      <c r="A336" s="5">
        <v>46022</v>
      </c>
      <c r="B336" s="4" t="s">
        <v>519</v>
      </c>
      <c r="C336" s="4" t="s">
        <v>520</v>
      </c>
      <c r="D336" s="4" t="s">
        <v>192</v>
      </c>
      <c r="E336" s="6">
        <v>4688.3468830000002</v>
      </c>
      <c r="F336" s="7">
        <v>4.0999999999999996</v>
      </c>
      <c r="G336" s="6">
        <v>90</v>
      </c>
      <c r="H336" s="6">
        <v>173</v>
      </c>
      <c r="I336" s="6">
        <v>96.482814000000005</v>
      </c>
      <c r="J336" s="6">
        <v>166.915268</v>
      </c>
      <c r="K336" s="8">
        <v>79.180999999999997</v>
      </c>
      <c r="L336" s="6">
        <v>5.5568602181534734</v>
      </c>
      <c r="M336" s="6">
        <v>3.8501644050963661</v>
      </c>
      <c r="N336" s="6">
        <v>1.0499096717154339</v>
      </c>
      <c r="O336" s="6">
        <v>21.697799412091669</v>
      </c>
      <c r="P336" s="6">
        <v>32.154733707056941</v>
      </c>
      <c r="Q336" s="6">
        <v>1.4976801247777849</v>
      </c>
      <c r="R336" s="6">
        <v>1.655639187583299</v>
      </c>
      <c r="S336" s="6">
        <v>9.6164403659384714</v>
      </c>
      <c r="T336" s="6">
        <v>12.148916004923191</v>
      </c>
      <c r="U336" s="6">
        <v>24.918675683222752</v>
      </c>
      <c r="V336" s="6">
        <v>57.073409390279693</v>
      </c>
      <c r="W336" s="6">
        <v>32.948005607198652</v>
      </c>
      <c r="X336" s="6">
        <v>19.061827574776199</v>
      </c>
      <c r="Y336" s="6">
        <v>-107.0943986169106</v>
      </c>
      <c r="Z336" s="6">
        <v>1.9888439553439481</v>
      </c>
      <c r="AA336" s="6">
        <v>29.005026092223719</v>
      </c>
      <c r="AB336" s="6">
        <v>30.993870047567661</v>
      </c>
      <c r="AC336" s="6">
        <v>0.98283303304834235</v>
      </c>
      <c r="AD336" s="6">
        <v>18.026991884464501</v>
      </c>
      <c r="AE336" s="6">
        <v>0</v>
      </c>
      <c r="AF336" s="6">
        <v>0</v>
      </c>
      <c r="AG336" s="6">
        <v>50.003694965080513</v>
      </c>
      <c r="AH336" s="6">
        <v>6.6948506590835164</v>
      </c>
      <c r="AI336" s="6">
        <v>0</v>
      </c>
      <c r="AJ336" s="6">
        <v>10.05475348180234</v>
      </c>
      <c r="AK336" s="6">
        <v>48.726307221501862</v>
      </c>
      <c r="AL336" s="6">
        <v>0</v>
      </c>
      <c r="AM336" s="6">
        <v>0</v>
      </c>
      <c r="AN336" s="6">
        <v>0</v>
      </c>
      <c r="AO336" s="6">
        <v>0</v>
      </c>
      <c r="AP336" s="6">
        <v>0</v>
      </c>
      <c r="AQ336" s="6">
        <v>48.726307221501862</v>
      </c>
      <c r="AR336" s="6">
        <v>420.00008016768783</v>
      </c>
      <c r="AS336" s="6">
        <v>1940.6224299999999</v>
      </c>
      <c r="AT336" s="6">
        <v>418.01123621234382</v>
      </c>
      <c r="AU336" s="6">
        <v>389.0062101201201</v>
      </c>
    </row>
    <row r="337" spans="1:47" x14ac:dyDescent="0.35">
      <c r="A337" s="5">
        <v>46022</v>
      </c>
      <c r="B337" s="4" t="s">
        <v>833</v>
      </c>
      <c r="C337" s="4" t="s">
        <v>834</v>
      </c>
      <c r="D337" s="4" t="s">
        <v>111</v>
      </c>
      <c r="E337" s="6">
        <v>950</v>
      </c>
      <c r="F337" s="7">
        <v>0.25</v>
      </c>
      <c r="G337" s="6">
        <v>45.6</v>
      </c>
      <c r="H337" s="6">
        <v>1.083</v>
      </c>
      <c r="I337" s="6">
        <v>97</v>
      </c>
      <c r="J337" s="6">
        <v>1.0505100000000001</v>
      </c>
      <c r="K337" s="8">
        <v>2.9380000000000002</v>
      </c>
      <c r="L337" s="6">
        <v>1523.8036141330699</v>
      </c>
      <c r="M337" s="6">
        <v>321.2573498142105</v>
      </c>
      <c r="N337" s="6">
        <v>241.99370342245609</v>
      </c>
      <c r="O337" s="6">
        <v>1026.9450623213161</v>
      </c>
      <c r="P337" s="6">
        <v>3113.9997296910519</v>
      </c>
      <c r="Q337" s="6">
        <v>729.90186623605246</v>
      </c>
      <c r="R337" s="6">
        <v>314.06993300543849</v>
      </c>
      <c r="S337" s="6">
        <v>810.40815390622788</v>
      </c>
      <c r="T337" s="6">
        <v>443.75350110184201</v>
      </c>
      <c r="U337" s="6">
        <v>2298.1334542495611</v>
      </c>
      <c r="V337" s="6">
        <v>5412.133183940613</v>
      </c>
      <c r="W337" s="6">
        <v>10.828424847599329</v>
      </c>
      <c r="X337" s="6">
        <v>20.469817179845979</v>
      </c>
      <c r="Y337" s="6">
        <v>-13508.465838346779</v>
      </c>
      <c r="Z337" s="6">
        <v>-8065.0344123787218</v>
      </c>
      <c r="AA337" s="6">
        <v>596.2246393131486</v>
      </c>
      <c r="AB337" s="6">
        <v>-7468.8097730655727</v>
      </c>
      <c r="AC337" s="6">
        <v>0</v>
      </c>
      <c r="AD337" s="6">
        <v>653.55334454666649</v>
      </c>
      <c r="AE337" s="6">
        <v>0</v>
      </c>
      <c r="AF337" s="6">
        <v>0</v>
      </c>
      <c r="AG337" s="6">
        <v>-6815.2564285189073</v>
      </c>
      <c r="AH337" s="6">
        <v>228.66908914377191</v>
      </c>
      <c r="AI337" s="6">
        <v>0</v>
      </c>
      <c r="AJ337" s="6">
        <v>393.1899705269297</v>
      </c>
      <c r="AK337" s="6">
        <v>-6846.9507133948719</v>
      </c>
      <c r="AL337" s="6">
        <v>0</v>
      </c>
      <c r="AM337" s="6">
        <v>0</v>
      </c>
      <c r="AN337" s="6">
        <v>0</v>
      </c>
      <c r="AO337" s="6">
        <v>0</v>
      </c>
      <c r="AP337" s="6">
        <v>0</v>
      </c>
      <c r="AQ337" s="6">
        <v>-6846.9507133948719</v>
      </c>
      <c r="AR337" s="6">
        <v>419.99600158970918</v>
      </c>
      <c r="AS337" s="6">
        <v>344.04634600000003</v>
      </c>
      <c r="AT337" s="6">
        <v>8485.0304139684304</v>
      </c>
      <c r="AU337" s="6">
        <v>7888.8057746552831</v>
      </c>
    </row>
    <row r="338" spans="1:47" x14ac:dyDescent="0.35">
      <c r="A338" s="5">
        <v>46022</v>
      </c>
      <c r="B338" s="4" t="s">
        <v>509</v>
      </c>
      <c r="C338" s="4" t="s">
        <v>510</v>
      </c>
      <c r="D338" s="4" t="s">
        <v>61</v>
      </c>
      <c r="E338" s="6">
        <v>700</v>
      </c>
      <c r="F338" s="7">
        <v>0.62</v>
      </c>
      <c r="G338" s="6">
        <v>88</v>
      </c>
      <c r="H338" s="6">
        <v>3.819</v>
      </c>
      <c r="I338" s="6">
        <v>97</v>
      </c>
      <c r="J338" s="6">
        <v>3.7046239999999999</v>
      </c>
      <c r="K338" s="8">
        <v>75.997</v>
      </c>
      <c r="L338" s="6">
        <v>74.655701220766119</v>
      </c>
      <c r="M338" s="6">
        <v>6.6138459526209674</v>
      </c>
      <c r="N338" s="6">
        <v>15.79375357197581</v>
      </c>
      <c r="O338" s="6">
        <v>52.934268661693537</v>
      </c>
      <c r="P338" s="6">
        <v>149.9975694070564</v>
      </c>
      <c r="Q338" s="6">
        <v>8.8824591808467748</v>
      </c>
      <c r="R338" s="6">
        <v>13.605165587096771</v>
      </c>
      <c r="S338" s="6">
        <v>25.489767015322581</v>
      </c>
      <c r="T338" s="6">
        <v>33.86055145826613</v>
      </c>
      <c r="U338" s="6">
        <v>81.837943241532244</v>
      </c>
      <c r="V338" s="6">
        <v>231.83551264858869</v>
      </c>
      <c r="W338" s="6">
        <v>1.9722913328572069</v>
      </c>
      <c r="X338" s="6">
        <v>30.672514156748971</v>
      </c>
      <c r="Y338" s="6">
        <v>-4.5359237000000001E-16</v>
      </c>
      <c r="Z338" s="6">
        <v>264.48031813819489</v>
      </c>
      <c r="AA338" s="6">
        <v>41.925177652775027</v>
      </c>
      <c r="AB338" s="6">
        <v>306.40549579096989</v>
      </c>
      <c r="AC338" s="6">
        <v>0</v>
      </c>
      <c r="AD338" s="6">
        <v>1.2040126550403221</v>
      </c>
      <c r="AE338" s="6">
        <v>0</v>
      </c>
      <c r="AF338" s="6">
        <v>0</v>
      </c>
      <c r="AG338" s="6">
        <v>307.60950844601018</v>
      </c>
      <c r="AH338" s="6">
        <v>12.389290991733869</v>
      </c>
      <c r="AI338" s="6">
        <v>0</v>
      </c>
      <c r="AJ338" s="6">
        <v>12.36521570967742</v>
      </c>
      <c r="AK338" s="6">
        <v>331.16000249238118</v>
      </c>
      <c r="AL338" s="6">
        <v>0</v>
      </c>
      <c r="AM338" s="6">
        <v>0</v>
      </c>
      <c r="AN338" s="6">
        <v>0</v>
      </c>
      <c r="AO338" s="6">
        <v>0</v>
      </c>
      <c r="AP338" s="6">
        <v>0</v>
      </c>
      <c r="AQ338" s="6">
        <v>331.16000249238118</v>
      </c>
      <c r="AR338" s="6">
        <v>419.99727872388939</v>
      </c>
      <c r="AS338" s="6">
        <v>44.302428999999997</v>
      </c>
      <c r="AT338" s="6">
        <v>155.51696058569451</v>
      </c>
      <c r="AU338" s="6">
        <v>113.5917829329195</v>
      </c>
    </row>
    <row r="339" spans="1:47" x14ac:dyDescent="0.35">
      <c r="A339" s="5">
        <v>46022</v>
      </c>
      <c r="B339" s="4" t="s">
        <v>521</v>
      </c>
      <c r="C339" s="4" t="s">
        <v>522</v>
      </c>
      <c r="D339" s="4" t="s">
        <v>61</v>
      </c>
      <c r="E339" s="6">
        <v>65.86</v>
      </c>
      <c r="F339" s="7">
        <v>0.49440000000000001</v>
      </c>
      <c r="G339" s="6">
        <v>86</v>
      </c>
      <c r="H339" s="6">
        <v>0.28000000000000003</v>
      </c>
      <c r="I339" s="6">
        <v>93.714286000000001</v>
      </c>
      <c r="J339" s="6">
        <v>0.26240000000000002</v>
      </c>
      <c r="K339" s="8">
        <v>71.457999999999998</v>
      </c>
      <c r="L339" s="6">
        <v>75.487861173320795</v>
      </c>
      <c r="M339" s="6">
        <v>10.95635672211605</v>
      </c>
      <c r="N339" s="6">
        <v>26.7234321626722</v>
      </c>
      <c r="O339" s="6">
        <v>29.751514775176378</v>
      </c>
      <c r="P339" s="6">
        <v>142.91916483328541</v>
      </c>
      <c r="Q339" s="6">
        <v>14.233936210113329</v>
      </c>
      <c r="R339" s="6">
        <v>15.41997707231368</v>
      </c>
      <c r="S339" s="6">
        <v>35.278038492464447</v>
      </c>
      <c r="T339" s="6">
        <v>47.849436362536309</v>
      </c>
      <c r="U339" s="6">
        <v>112.7813881374278</v>
      </c>
      <c r="V339" s="6">
        <v>255.7005529707132</v>
      </c>
      <c r="W339" s="6">
        <v>9.985787070763724</v>
      </c>
      <c r="X339" s="6">
        <v>30.12645707317073</v>
      </c>
      <c r="Y339" s="6">
        <v>-164.5689027585253</v>
      </c>
      <c r="Z339" s="6">
        <v>131.2438943561223</v>
      </c>
      <c r="AA339" s="6">
        <v>57.870542581029419</v>
      </c>
      <c r="AB339" s="6">
        <v>189.11443693715171</v>
      </c>
      <c r="AC339" s="6">
        <v>0</v>
      </c>
      <c r="AD339" s="6">
        <v>14.44725233861501</v>
      </c>
      <c r="AE339" s="6">
        <v>0</v>
      </c>
      <c r="AF339" s="6">
        <v>0</v>
      </c>
      <c r="AG339" s="6">
        <v>203.56168927576681</v>
      </c>
      <c r="AH339" s="6">
        <v>31.966225050344072</v>
      </c>
      <c r="AI339" s="6">
        <v>0</v>
      </c>
      <c r="AJ339" s="6">
        <v>14.44725233861501</v>
      </c>
      <c r="AK339" s="6">
        <v>235.52791432611079</v>
      </c>
      <c r="AL339" s="6">
        <v>0</v>
      </c>
      <c r="AM339" s="6">
        <v>0</v>
      </c>
      <c r="AN339" s="6">
        <v>0</v>
      </c>
      <c r="AO339" s="6">
        <v>0</v>
      </c>
      <c r="AP339" s="6">
        <v>0</v>
      </c>
      <c r="AQ339" s="6">
        <v>235.52791432611079</v>
      </c>
      <c r="AR339" s="6">
        <v>419.99999964779192</v>
      </c>
      <c r="AS339" s="6">
        <v>3.4350749999999999</v>
      </c>
      <c r="AT339" s="6">
        <v>288.7561052916696</v>
      </c>
      <c r="AU339" s="6">
        <v>230.88556271064019</v>
      </c>
    </row>
    <row r="340" spans="1:47" x14ac:dyDescent="0.35">
      <c r="A340" s="5">
        <v>46022</v>
      </c>
      <c r="B340" s="4" t="s">
        <v>523</v>
      </c>
      <c r="C340" s="4" t="s">
        <v>524</v>
      </c>
      <c r="D340" s="4" t="s">
        <v>61</v>
      </c>
      <c r="E340" s="6">
        <v>9000</v>
      </c>
      <c r="F340" s="7">
        <v>0.61</v>
      </c>
      <c r="G340" s="6">
        <v>96</v>
      </c>
      <c r="H340" s="6">
        <v>52.704000000000001</v>
      </c>
      <c r="I340" s="6">
        <v>97</v>
      </c>
      <c r="J340" s="6">
        <v>51.122880000000002</v>
      </c>
      <c r="K340" s="8">
        <v>88.260999999999996</v>
      </c>
      <c r="L340" s="6">
        <v>19.318784210450819</v>
      </c>
      <c r="M340" s="6">
        <v>0</v>
      </c>
      <c r="N340" s="6">
        <v>25.70976425040983</v>
      </c>
      <c r="O340" s="6">
        <v>26.971191062704921</v>
      </c>
      <c r="P340" s="6">
        <v>71.999739523565566</v>
      </c>
      <c r="Q340" s="6">
        <v>15.29254823565574</v>
      </c>
      <c r="R340" s="6">
        <v>7.4923568573258192</v>
      </c>
      <c r="S340" s="6">
        <v>23.942506627920078</v>
      </c>
      <c r="T340" s="6">
        <v>23.888342125819669</v>
      </c>
      <c r="U340" s="6">
        <v>70.615753846721304</v>
      </c>
      <c r="V340" s="6">
        <v>142.61549337028691</v>
      </c>
      <c r="W340" s="6">
        <v>7.3405149850628151</v>
      </c>
      <c r="X340" s="6">
        <v>24.262653030958781</v>
      </c>
      <c r="Y340" s="6">
        <v>-54.220483595903708</v>
      </c>
      <c r="Z340" s="6">
        <v>119.9981777904048</v>
      </c>
      <c r="AA340" s="6">
        <v>35.87952344231519</v>
      </c>
      <c r="AB340" s="6">
        <v>155.87770123272</v>
      </c>
      <c r="AC340" s="6">
        <v>0</v>
      </c>
      <c r="AD340" s="6">
        <v>9.6472384310109298</v>
      </c>
      <c r="AE340" s="6">
        <v>0</v>
      </c>
      <c r="AF340" s="6">
        <v>0</v>
      </c>
      <c r="AG340" s="6">
        <v>165.52493966373089</v>
      </c>
      <c r="AH340" s="6">
        <v>14.392329898668031</v>
      </c>
      <c r="AI340" s="6">
        <v>0</v>
      </c>
      <c r="AJ340" s="6">
        <v>4.8797081824453539</v>
      </c>
      <c r="AK340" s="6">
        <v>175.14973931383329</v>
      </c>
      <c r="AL340" s="6">
        <v>0</v>
      </c>
      <c r="AM340" s="6">
        <v>0</v>
      </c>
      <c r="AN340" s="6">
        <v>0</v>
      </c>
      <c r="AO340" s="6">
        <v>0</v>
      </c>
      <c r="AP340" s="6">
        <v>0</v>
      </c>
      <c r="AQ340" s="6">
        <v>175.14973931383329</v>
      </c>
      <c r="AR340" s="6">
        <v>420.00016395778368</v>
      </c>
      <c r="AS340" s="6">
        <v>534.618244</v>
      </c>
      <c r="AT340" s="6">
        <v>300.0019861673789</v>
      </c>
      <c r="AU340" s="6">
        <v>264.12246272506383</v>
      </c>
    </row>
    <row r="341" spans="1:47" x14ac:dyDescent="0.35">
      <c r="A341" s="5">
        <v>46022</v>
      </c>
      <c r="B341" s="4" t="s">
        <v>525</v>
      </c>
      <c r="C341" s="4" t="s">
        <v>526</v>
      </c>
      <c r="D341" s="4" t="s">
        <v>61</v>
      </c>
      <c r="E341" s="6">
        <v>400</v>
      </c>
      <c r="F341" s="7">
        <v>0.86</v>
      </c>
      <c r="G341" s="6">
        <v>92.5</v>
      </c>
      <c r="H341" s="6">
        <v>3.1819999999999999</v>
      </c>
      <c r="I341" s="6">
        <v>97</v>
      </c>
      <c r="J341" s="6">
        <v>3.0865399999999998</v>
      </c>
      <c r="K341" s="8">
        <v>40.265000000000001</v>
      </c>
      <c r="L341" s="6">
        <v>42.94757648054054</v>
      </c>
      <c r="M341" s="6">
        <v>0</v>
      </c>
      <c r="N341" s="6">
        <v>25.918436200766809</v>
      </c>
      <c r="O341" s="6">
        <v>35.59722097663105</v>
      </c>
      <c r="P341" s="6">
        <v>104.4632336579384</v>
      </c>
      <c r="Q341" s="6">
        <v>4.8866129975235699</v>
      </c>
      <c r="R341" s="6">
        <v>9.7072300055185412</v>
      </c>
      <c r="S341" s="6">
        <v>19.741071676681329</v>
      </c>
      <c r="T341" s="6">
        <v>17.339909851200499</v>
      </c>
      <c r="U341" s="6">
        <v>51.674824530923949</v>
      </c>
      <c r="V341" s="6">
        <v>156.1380581888624</v>
      </c>
      <c r="W341" s="6">
        <v>0.41522009217150002</v>
      </c>
      <c r="X341" s="6">
        <v>26.704736324039221</v>
      </c>
      <c r="Y341" s="6">
        <v>-309.76151928959467</v>
      </c>
      <c r="Z341" s="6">
        <v>-126.5035046845216</v>
      </c>
      <c r="AA341" s="6">
        <v>37.086223193244287</v>
      </c>
      <c r="AB341" s="6">
        <v>-89.417281491277365</v>
      </c>
      <c r="AC341" s="6">
        <v>0</v>
      </c>
      <c r="AD341" s="6">
        <v>126.4118173976493</v>
      </c>
      <c r="AE341" s="6">
        <v>0</v>
      </c>
      <c r="AF341" s="6">
        <v>0</v>
      </c>
      <c r="AG341" s="6">
        <v>36.994535906371908</v>
      </c>
      <c r="AH341" s="6">
        <v>27.283830737485861</v>
      </c>
      <c r="AI341" s="6">
        <v>0</v>
      </c>
      <c r="AJ341" s="6">
        <v>21.833674182099308</v>
      </c>
      <c r="AK341" s="6">
        <v>-40.299776571692192</v>
      </c>
      <c r="AL341" s="6">
        <v>0</v>
      </c>
      <c r="AM341" s="6">
        <v>0</v>
      </c>
      <c r="AN341" s="6">
        <v>0</v>
      </c>
      <c r="AO341" s="6">
        <v>0</v>
      </c>
      <c r="AP341" s="6">
        <v>0</v>
      </c>
      <c r="AQ341" s="6">
        <v>-40.299776571692192</v>
      </c>
      <c r="AR341" s="6">
        <v>419.99455665985528</v>
      </c>
      <c r="AS341" s="6">
        <v>69.441147000000001</v>
      </c>
      <c r="AT341" s="6">
        <v>546.49806134437699</v>
      </c>
      <c r="AU341" s="6">
        <v>509.41183815113271</v>
      </c>
    </row>
    <row r="342" spans="1:47" x14ac:dyDescent="0.35">
      <c r="A342" s="5">
        <v>46022</v>
      </c>
      <c r="B342" s="4" t="s">
        <v>527</v>
      </c>
      <c r="C342" s="4" t="s">
        <v>528</v>
      </c>
      <c r="D342" s="4" t="s">
        <v>61</v>
      </c>
      <c r="E342" s="6">
        <v>450</v>
      </c>
      <c r="F342" s="7">
        <v>0.61950000000000005</v>
      </c>
      <c r="G342" s="6">
        <v>81</v>
      </c>
      <c r="H342" s="6">
        <v>2.258</v>
      </c>
      <c r="I342" s="6">
        <v>97</v>
      </c>
      <c r="J342" s="6">
        <v>2.1901839999999999</v>
      </c>
      <c r="K342" s="8">
        <v>88.334999999999994</v>
      </c>
      <c r="L342" s="6">
        <v>91.940199035704737</v>
      </c>
      <c r="M342" s="6">
        <v>5.235970208015833</v>
      </c>
      <c r="N342" s="6">
        <v>32.235816290523807</v>
      </c>
      <c r="O342" s="6">
        <v>53.301746710881282</v>
      </c>
      <c r="P342" s="6">
        <v>182.7137322451257</v>
      </c>
      <c r="Q342" s="6">
        <v>18.183207867519581</v>
      </c>
      <c r="R342" s="6">
        <v>11.970468168824789</v>
      </c>
      <c r="S342" s="6">
        <v>14.16461147371581</v>
      </c>
      <c r="T342" s="6">
        <v>44.058661866298877</v>
      </c>
      <c r="U342" s="6">
        <v>88.376949376359065</v>
      </c>
      <c r="V342" s="6">
        <v>271.09068162148469</v>
      </c>
      <c r="W342" s="6">
        <v>3.7975055945190022</v>
      </c>
      <c r="X342" s="6">
        <v>30.672635460867209</v>
      </c>
      <c r="Y342" s="6">
        <v>-48.699803037680532</v>
      </c>
      <c r="Z342" s="6">
        <v>256.86101963919037</v>
      </c>
      <c r="AA342" s="6">
        <v>28.896997088785579</v>
      </c>
      <c r="AB342" s="6">
        <v>285.75801672797598</v>
      </c>
      <c r="AC342" s="6">
        <v>0</v>
      </c>
      <c r="AD342" s="6">
        <v>51.83160648450415</v>
      </c>
      <c r="AE342" s="6">
        <v>0</v>
      </c>
      <c r="AF342" s="6">
        <v>0</v>
      </c>
      <c r="AG342" s="6">
        <v>337.58962321248009</v>
      </c>
      <c r="AH342" s="6">
        <v>35.479580462979499</v>
      </c>
      <c r="AI342" s="6">
        <v>0</v>
      </c>
      <c r="AJ342" s="6">
        <v>18.826437902222761</v>
      </c>
      <c r="AK342" s="6">
        <v>340.06403509317818</v>
      </c>
      <c r="AL342" s="6">
        <v>182.25011901824109</v>
      </c>
      <c r="AM342" s="6">
        <v>0</v>
      </c>
      <c r="AN342" s="6">
        <v>0</v>
      </c>
      <c r="AO342" s="6">
        <v>0</v>
      </c>
      <c r="AP342" s="6">
        <v>0</v>
      </c>
      <c r="AQ342" s="6">
        <v>522.31415411141927</v>
      </c>
      <c r="AR342" s="6">
        <v>420.00306788315231</v>
      </c>
      <c r="AS342" s="6">
        <v>22.637378999999999</v>
      </c>
      <c r="AT342" s="6">
        <v>163.14204824396191</v>
      </c>
      <c r="AU342" s="6">
        <v>134.2450511551763</v>
      </c>
    </row>
    <row r="343" spans="1:47" x14ac:dyDescent="0.35">
      <c r="A343" s="5">
        <v>46022</v>
      </c>
      <c r="B343" s="4" t="s">
        <v>511</v>
      </c>
      <c r="C343" s="4" t="s">
        <v>512</v>
      </c>
      <c r="D343" s="4" t="s">
        <v>61</v>
      </c>
      <c r="E343" s="6">
        <v>1078</v>
      </c>
      <c r="F343" s="7">
        <v>0.52</v>
      </c>
      <c r="G343" s="6">
        <v>87</v>
      </c>
      <c r="H343" s="6">
        <v>4.8769999999999998</v>
      </c>
      <c r="I343" s="6">
        <v>97</v>
      </c>
      <c r="J343" s="6">
        <v>4.7305659999999996</v>
      </c>
      <c r="K343" s="8">
        <v>93.912000000000006</v>
      </c>
      <c r="L343" s="6">
        <v>50.979648977924441</v>
      </c>
      <c r="M343" s="6">
        <v>55.65754366106313</v>
      </c>
      <c r="N343" s="6">
        <v>37.965955447922148</v>
      </c>
      <c r="O343" s="6">
        <v>43.798876029284862</v>
      </c>
      <c r="P343" s="6">
        <v>188.40202411619461</v>
      </c>
      <c r="Q343" s="6">
        <v>11.2206089285801</v>
      </c>
      <c r="R343" s="6">
        <v>19.193805120157052</v>
      </c>
      <c r="S343" s="6">
        <v>28.977854270181201</v>
      </c>
      <c r="T343" s="6">
        <v>36.962451565771289</v>
      </c>
      <c r="U343" s="6">
        <v>96.354719884689644</v>
      </c>
      <c r="V343" s="6">
        <v>284.75674400088423</v>
      </c>
      <c r="W343" s="6">
        <v>1.7105609610243939</v>
      </c>
      <c r="X343" s="6">
        <v>25.00445692327218</v>
      </c>
      <c r="Y343" s="6">
        <v>-19.274033915451511</v>
      </c>
      <c r="Z343" s="6">
        <v>292.19772796972933</v>
      </c>
      <c r="AA343" s="6">
        <v>26.513265353485771</v>
      </c>
      <c r="AB343" s="6">
        <v>318.71099332321512</v>
      </c>
      <c r="AC343" s="6">
        <v>0</v>
      </c>
      <c r="AD343" s="6">
        <v>127.71071214545729</v>
      </c>
      <c r="AE343" s="6">
        <v>0</v>
      </c>
      <c r="AF343" s="6">
        <v>0</v>
      </c>
      <c r="AG343" s="6">
        <v>446.42170546867231</v>
      </c>
      <c r="AH343" s="6">
        <v>75.500178065000114</v>
      </c>
      <c r="AI343" s="6">
        <v>0</v>
      </c>
      <c r="AJ343" s="6">
        <v>118.635774453832</v>
      </c>
      <c r="AK343" s="6">
        <v>512.84694584204715</v>
      </c>
      <c r="AL343" s="6">
        <v>0</v>
      </c>
      <c r="AM343" s="6">
        <v>0</v>
      </c>
      <c r="AN343" s="6">
        <v>0</v>
      </c>
      <c r="AO343" s="6">
        <v>0</v>
      </c>
      <c r="AP343" s="6">
        <v>0</v>
      </c>
      <c r="AQ343" s="6">
        <v>512.84694584204715</v>
      </c>
      <c r="AR343" s="6">
        <v>420.00301831405471</v>
      </c>
      <c r="AS343" s="6">
        <v>46.628900999999999</v>
      </c>
      <c r="AT343" s="6">
        <v>127.8052903443255</v>
      </c>
      <c r="AU343" s="6">
        <v>101.29202499083971</v>
      </c>
    </row>
    <row r="344" spans="1:47" x14ac:dyDescent="0.35">
      <c r="A344" s="5">
        <v>46022</v>
      </c>
      <c r="B344" s="4" t="s">
        <v>651</v>
      </c>
      <c r="C344" s="4" t="s">
        <v>652</v>
      </c>
      <c r="D344" s="4" t="s">
        <v>61</v>
      </c>
      <c r="E344" s="6">
        <v>51.59</v>
      </c>
      <c r="F344" s="7">
        <v>0.84940000000000004</v>
      </c>
      <c r="G344" s="6">
        <v>89</v>
      </c>
      <c r="H344" s="6">
        <v>0.39</v>
      </c>
      <c r="I344" s="6">
        <v>94.274359000000004</v>
      </c>
      <c r="J344" s="6">
        <v>0.36767</v>
      </c>
      <c r="K344" s="8">
        <v>79.608999999999995</v>
      </c>
      <c r="L344" s="6">
        <v>53.650898638352309</v>
      </c>
      <c r="M344" s="6">
        <v>19.942017449693619</v>
      </c>
      <c r="N344" s="6">
        <v>24.848216947266319</v>
      </c>
      <c r="O344" s="6">
        <v>43.277145755847691</v>
      </c>
      <c r="P344" s="6">
        <v>141.71827879115989</v>
      </c>
      <c r="Q344" s="6">
        <v>33.314013259026218</v>
      </c>
      <c r="R344" s="6">
        <v>9.7600881117997123</v>
      </c>
      <c r="S344" s="6">
        <v>29.659882614648801</v>
      </c>
      <c r="T344" s="6">
        <v>46.120365421250817</v>
      </c>
      <c r="U344" s="6">
        <v>118.8543494067256</v>
      </c>
      <c r="V344" s="6">
        <v>260.57262819788548</v>
      </c>
      <c r="W344" s="6">
        <v>3.355761652115099</v>
      </c>
      <c r="X344" s="6">
        <v>28.035847604645468</v>
      </c>
      <c r="Y344" s="6">
        <v>-104.97006310857731</v>
      </c>
      <c r="Z344" s="6">
        <v>186.9941743460688</v>
      </c>
      <c r="AA344" s="6">
        <v>48.217721206724278</v>
      </c>
      <c r="AB344" s="6">
        <v>235.2118955527931</v>
      </c>
      <c r="AC344" s="6">
        <v>0</v>
      </c>
      <c r="AD344" s="6">
        <v>8.1288592326216946</v>
      </c>
      <c r="AE344" s="6">
        <v>0</v>
      </c>
      <c r="AF344" s="6">
        <v>0</v>
      </c>
      <c r="AG344" s="6">
        <v>243.34075478541479</v>
      </c>
      <c r="AH344" s="6">
        <v>16.480143144679019</v>
      </c>
      <c r="AI344" s="6">
        <v>0</v>
      </c>
      <c r="AJ344" s="6">
        <v>8.1288592326216946</v>
      </c>
      <c r="AK344" s="6">
        <v>259.82089793009379</v>
      </c>
      <c r="AL344" s="6">
        <v>0</v>
      </c>
      <c r="AM344" s="6">
        <v>0</v>
      </c>
      <c r="AN344" s="6">
        <v>0</v>
      </c>
      <c r="AO344" s="6">
        <v>0</v>
      </c>
      <c r="AP344" s="6">
        <v>0</v>
      </c>
      <c r="AQ344" s="6">
        <v>259.82089793009379</v>
      </c>
      <c r="AR344" s="6">
        <v>420.03426950932379</v>
      </c>
      <c r="AS344" s="6">
        <v>4.2819459999999996</v>
      </c>
      <c r="AT344" s="6">
        <v>233.04009516325499</v>
      </c>
      <c r="AU344" s="6">
        <v>184.82237395653081</v>
      </c>
    </row>
    <row r="345" spans="1:47" x14ac:dyDescent="0.35">
      <c r="A345" s="5">
        <v>46022</v>
      </c>
      <c r="B345" s="4" t="s">
        <v>653</v>
      </c>
      <c r="C345" s="4" t="s">
        <v>654</v>
      </c>
      <c r="D345" s="4" t="s">
        <v>50</v>
      </c>
      <c r="E345" s="6">
        <v>42400</v>
      </c>
      <c r="F345" s="7">
        <v>0.74</v>
      </c>
      <c r="G345" s="6">
        <v>89.73</v>
      </c>
      <c r="H345" s="6">
        <v>281.54500000000002</v>
      </c>
      <c r="I345" s="6">
        <v>97</v>
      </c>
      <c r="J345" s="6">
        <v>273.09844099999998</v>
      </c>
      <c r="K345" s="8">
        <v>75.141999999999996</v>
      </c>
      <c r="L345" s="6">
        <v>22.021529496183899</v>
      </c>
      <c r="M345" s="6">
        <v>31.04612193470577</v>
      </c>
      <c r="N345" s="6">
        <v>1.094480689217485</v>
      </c>
      <c r="O345" s="6">
        <v>23.254080837025398</v>
      </c>
      <c r="P345" s="6">
        <v>77.416212957132544</v>
      </c>
      <c r="Q345" s="6">
        <v>6.364440137435099</v>
      </c>
      <c r="R345" s="6">
        <v>14.817707684344549</v>
      </c>
      <c r="S345" s="6">
        <v>31.56298194721689</v>
      </c>
      <c r="T345" s="6">
        <v>15.67139924164689</v>
      </c>
      <c r="U345" s="6">
        <v>68.41652901064343</v>
      </c>
      <c r="V345" s="6">
        <v>145.832741967776</v>
      </c>
      <c r="W345" s="6">
        <v>10.32231641662398</v>
      </c>
      <c r="X345" s="6">
        <v>21.953628116323319</v>
      </c>
      <c r="Y345" s="6">
        <v>-129.53106562356641</v>
      </c>
      <c r="Z345" s="6">
        <v>48.57762087715691</v>
      </c>
      <c r="AA345" s="6">
        <v>19.297217701675269</v>
      </c>
      <c r="AB345" s="6">
        <v>67.874838578832183</v>
      </c>
      <c r="AC345" s="6">
        <v>0</v>
      </c>
      <c r="AD345" s="6">
        <v>31.764756929892162</v>
      </c>
      <c r="AE345" s="6">
        <v>0</v>
      </c>
      <c r="AF345" s="6">
        <v>0</v>
      </c>
      <c r="AG345" s="6">
        <v>99.639595508724341</v>
      </c>
      <c r="AH345" s="6">
        <v>3.9861897125346619</v>
      </c>
      <c r="AI345" s="6">
        <v>0</v>
      </c>
      <c r="AJ345" s="6">
        <v>23.086672108554211</v>
      </c>
      <c r="AK345" s="6">
        <v>94.947700399921047</v>
      </c>
      <c r="AL345" s="6">
        <v>0</v>
      </c>
      <c r="AM345" s="6">
        <v>0</v>
      </c>
      <c r="AN345" s="6">
        <v>0</v>
      </c>
      <c r="AO345" s="6">
        <v>0</v>
      </c>
      <c r="AP345" s="6">
        <v>0</v>
      </c>
      <c r="AQ345" s="6">
        <v>94.947700399921047</v>
      </c>
      <c r="AR345" s="6">
        <v>419.99993659360558</v>
      </c>
      <c r="AS345" s="6">
        <v>3341.249922</v>
      </c>
      <c r="AT345" s="6">
        <v>371.42231571644868</v>
      </c>
      <c r="AU345" s="6">
        <v>352.12509801477353</v>
      </c>
    </row>
    <row r="346" spans="1:47" x14ac:dyDescent="0.35">
      <c r="A346" s="5">
        <v>46022</v>
      </c>
      <c r="B346" s="4" t="s">
        <v>655</v>
      </c>
      <c r="C346" s="4" t="s">
        <v>656</v>
      </c>
      <c r="D346" s="4" t="s">
        <v>50</v>
      </c>
      <c r="E346" s="6">
        <v>12100</v>
      </c>
      <c r="F346" s="7">
        <v>0.22270000000000001</v>
      </c>
      <c r="G346" s="6">
        <v>16.100000000000001</v>
      </c>
      <c r="H346" s="6">
        <v>4.3390000000000004</v>
      </c>
      <c r="I346" s="6">
        <v>100</v>
      </c>
      <c r="J346" s="6">
        <v>4.3387089999999997</v>
      </c>
      <c r="K346" s="8">
        <v>100</v>
      </c>
      <c r="L346" s="6">
        <v>0</v>
      </c>
      <c r="M346" s="6">
        <v>0</v>
      </c>
      <c r="N346" s="6">
        <v>0</v>
      </c>
      <c r="O346" s="6">
        <v>0</v>
      </c>
      <c r="P346" s="6">
        <v>0</v>
      </c>
      <c r="Q346" s="6">
        <v>61.934408937294478</v>
      </c>
      <c r="R346" s="6">
        <v>1.4909292151449201</v>
      </c>
      <c r="S346" s="6">
        <v>43.168637229345372</v>
      </c>
      <c r="T346" s="6">
        <v>11.22447311972034</v>
      </c>
      <c r="U346" s="6">
        <v>117.8184485015051</v>
      </c>
      <c r="V346" s="6">
        <v>117.8184485015051</v>
      </c>
      <c r="W346" s="6">
        <v>5.3687701153076066</v>
      </c>
      <c r="X346" s="6">
        <v>0</v>
      </c>
      <c r="Y346" s="6">
        <v>0</v>
      </c>
      <c r="Z346" s="6">
        <v>123.1872186168127</v>
      </c>
      <c r="AA346" s="6">
        <v>9.1326743744129839</v>
      </c>
      <c r="AB346" s="6">
        <v>132.31989299122569</v>
      </c>
      <c r="AC346" s="6">
        <v>0</v>
      </c>
      <c r="AD346" s="6">
        <v>69.460654023350997</v>
      </c>
      <c r="AE346" s="6">
        <v>0</v>
      </c>
      <c r="AF346" s="6">
        <v>0</v>
      </c>
      <c r="AG346" s="6">
        <v>201.78054701457671</v>
      </c>
      <c r="AH346" s="6">
        <v>12.030784236073099</v>
      </c>
      <c r="AI346" s="6">
        <v>0</v>
      </c>
      <c r="AJ346" s="6">
        <v>62.727311051712292</v>
      </c>
      <c r="AK346" s="6">
        <v>207.07798827901109</v>
      </c>
      <c r="AL346" s="6">
        <v>0</v>
      </c>
      <c r="AM346" s="6">
        <v>0</v>
      </c>
      <c r="AN346" s="6">
        <v>0</v>
      </c>
      <c r="AO346" s="6">
        <v>0</v>
      </c>
      <c r="AP346" s="6">
        <v>0</v>
      </c>
      <c r="AQ346" s="6">
        <v>207.07798827901109</v>
      </c>
      <c r="AR346" s="6">
        <v>419.99912842089088</v>
      </c>
      <c r="AS346" s="6">
        <v>40.173824000000003</v>
      </c>
      <c r="AT346" s="6">
        <v>296.8119098040782</v>
      </c>
      <c r="AU346" s="6">
        <v>287.6792354296652</v>
      </c>
    </row>
    <row r="347" spans="1:47" x14ac:dyDescent="0.35">
      <c r="A347" s="5">
        <v>46022</v>
      </c>
      <c r="B347" s="4" t="s">
        <v>657</v>
      </c>
      <c r="C347" s="4" t="s">
        <v>658</v>
      </c>
      <c r="D347" s="4" t="s">
        <v>50</v>
      </c>
      <c r="E347" s="6">
        <v>54000</v>
      </c>
      <c r="F347" s="7">
        <v>0.47</v>
      </c>
      <c r="G347" s="6">
        <v>82</v>
      </c>
      <c r="H347" s="6">
        <v>208.11600000000001</v>
      </c>
      <c r="I347" s="6">
        <v>95.8</v>
      </c>
      <c r="J347" s="6">
        <v>199.37512799999999</v>
      </c>
      <c r="K347" s="8">
        <v>89.522000000000006</v>
      </c>
      <c r="L347" s="6">
        <v>19.79407807251474</v>
      </c>
      <c r="M347" s="6">
        <v>4.0796914479896706</v>
      </c>
      <c r="N347" s="6">
        <v>1.243869945000883</v>
      </c>
      <c r="O347" s="6">
        <v>17.383994056430002</v>
      </c>
      <c r="P347" s="6">
        <v>42.50163352193529</v>
      </c>
      <c r="Q347" s="6">
        <v>22.43731399101955</v>
      </c>
      <c r="R347" s="6">
        <v>17.23962858033461</v>
      </c>
      <c r="S347" s="6">
        <v>27.754658982775801</v>
      </c>
      <c r="T347" s="6">
        <v>28.992251099652719</v>
      </c>
      <c r="U347" s="6">
        <v>96.423852653782689</v>
      </c>
      <c r="V347" s="6">
        <v>138.92548617571799</v>
      </c>
      <c r="W347" s="6">
        <v>18.189464385003479</v>
      </c>
      <c r="X347" s="6">
        <v>27.037778845609441</v>
      </c>
      <c r="Y347" s="6">
        <v>-47.2057930405809</v>
      </c>
      <c r="Z347" s="6">
        <v>136.94693636574999</v>
      </c>
      <c r="AA347" s="6">
        <v>9.2472107354610991</v>
      </c>
      <c r="AB347" s="6">
        <v>146.19414710121109</v>
      </c>
      <c r="AC347" s="6">
        <v>0</v>
      </c>
      <c r="AD347" s="6">
        <v>60.763688110021263</v>
      </c>
      <c r="AE347" s="6">
        <v>0</v>
      </c>
      <c r="AF347" s="6">
        <v>0</v>
      </c>
      <c r="AG347" s="6">
        <v>206.95783521123241</v>
      </c>
      <c r="AH347" s="6">
        <v>4.3226347966226557</v>
      </c>
      <c r="AI347" s="6">
        <v>0</v>
      </c>
      <c r="AJ347" s="6">
        <v>13.62498782863587</v>
      </c>
      <c r="AK347" s="6">
        <v>164.14176972646959</v>
      </c>
      <c r="AL347" s="6">
        <v>11.375350848361331</v>
      </c>
      <c r="AM347" s="6">
        <v>0</v>
      </c>
      <c r="AN347" s="6">
        <v>0</v>
      </c>
      <c r="AO347" s="6">
        <v>0</v>
      </c>
      <c r="AP347" s="6">
        <v>0</v>
      </c>
      <c r="AQ347" s="6">
        <v>175.51712057483101</v>
      </c>
      <c r="AR347" s="6">
        <v>419.99994066350388</v>
      </c>
      <c r="AS347" s="6">
        <v>2064.9298650000001</v>
      </c>
      <c r="AT347" s="6">
        <v>283.05300429775389</v>
      </c>
      <c r="AU347" s="6">
        <v>273.80579356229282</v>
      </c>
    </row>
    <row r="348" spans="1:47" x14ac:dyDescent="0.35">
      <c r="A348" s="5">
        <v>46022</v>
      </c>
      <c r="B348" s="4" t="s">
        <v>835</v>
      </c>
      <c r="C348" s="4" t="s">
        <v>836</v>
      </c>
      <c r="D348" s="4" t="s">
        <v>122</v>
      </c>
      <c r="E348" s="6">
        <v>50000</v>
      </c>
      <c r="F348" s="7">
        <v>0.5</v>
      </c>
      <c r="G348" s="6">
        <v>89.5</v>
      </c>
      <c r="H348" s="6">
        <v>223.75</v>
      </c>
      <c r="I348" s="6">
        <v>96.5</v>
      </c>
      <c r="J348" s="6">
        <v>215.91874999999999</v>
      </c>
      <c r="K348" s="8">
        <v>100</v>
      </c>
      <c r="L348" s="6">
        <v>10.852006086609199</v>
      </c>
      <c r="M348" s="6">
        <v>7.9223668428239788</v>
      </c>
      <c r="N348" s="6">
        <v>4.6442018589404581</v>
      </c>
      <c r="O348" s="6">
        <v>51.862732982272497</v>
      </c>
      <c r="P348" s="6">
        <v>75.281307770646137</v>
      </c>
      <c r="Q348" s="6">
        <v>6.7090653520764167</v>
      </c>
      <c r="R348" s="6">
        <v>14.25741379420662</v>
      </c>
      <c r="S348" s="6">
        <v>22.638123339026599</v>
      </c>
      <c r="T348" s="6">
        <v>26.40883131452247</v>
      </c>
      <c r="U348" s="6">
        <v>70.013433799832114</v>
      </c>
      <c r="V348" s="6">
        <v>145.29474157047821</v>
      </c>
      <c r="W348" s="6">
        <v>14.25352474216395</v>
      </c>
      <c r="X348" s="6">
        <v>22.746477687514219</v>
      </c>
      <c r="Y348" s="6">
        <v>2.26796185E-16</v>
      </c>
      <c r="Z348" s="6">
        <v>182.29474400015641</v>
      </c>
      <c r="AA348" s="6">
        <v>27.41387811896562</v>
      </c>
      <c r="AB348" s="6">
        <v>209.708622119122</v>
      </c>
      <c r="AC348" s="6">
        <v>0.70025513140452145</v>
      </c>
      <c r="AD348" s="6">
        <v>35.38860262767453</v>
      </c>
      <c r="AE348" s="6">
        <v>0</v>
      </c>
      <c r="AF348" s="6">
        <v>0</v>
      </c>
      <c r="AG348" s="6">
        <v>245.7974798782011</v>
      </c>
      <c r="AH348" s="6">
        <v>8.6653198173766768</v>
      </c>
      <c r="AI348" s="6">
        <v>0</v>
      </c>
      <c r="AJ348" s="6">
        <v>4.2980709794172567</v>
      </c>
      <c r="AK348" s="6">
        <v>223.37226804732049</v>
      </c>
      <c r="AL348" s="6">
        <v>62.92608551463433</v>
      </c>
      <c r="AM348" s="6">
        <v>0</v>
      </c>
      <c r="AN348" s="6">
        <v>0</v>
      </c>
      <c r="AO348" s="6">
        <v>0</v>
      </c>
      <c r="AP348" s="6">
        <v>0</v>
      </c>
      <c r="AQ348" s="6">
        <v>286.2983535619548</v>
      </c>
      <c r="AR348" s="6">
        <v>420.00009690659869</v>
      </c>
      <c r="AS348" s="6">
        <v>1999.281776</v>
      </c>
      <c r="AT348" s="6">
        <v>237.7053529064423</v>
      </c>
      <c r="AU348" s="6">
        <v>210.29147478747669</v>
      </c>
    </row>
    <row r="349" spans="1:47" x14ac:dyDescent="0.35">
      <c r="A349" s="5">
        <v>46022</v>
      </c>
      <c r="B349" s="4" t="s">
        <v>545</v>
      </c>
      <c r="C349" s="4" t="s">
        <v>546</v>
      </c>
      <c r="D349" s="4" t="s">
        <v>89</v>
      </c>
      <c r="E349" s="6">
        <v>1241.5999999999999</v>
      </c>
      <c r="F349" s="7">
        <v>1.7768999999999999</v>
      </c>
      <c r="G349" s="6">
        <v>95.19</v>
      </c>
      <c r="H349" s="6">
        <v>21</v>
      </c>
      <c r="I349" s="6">
        <v>95</v>
      </c>
      <c r="J349" s="6">
        <v>19.95</v>
      </c>
      <c r="K349" s="8">
        <v>92.942999999999998</v>
      </c>
      <c r="L349" s="6">
        <v>154.91894443377279</v>
      </c>
      <c r="M349" s="6">
        <v>14.075388467866979</v>
      </c>
      <c r="N349" s="6">
        <v>9.0801063589432918</v>
      </c>
      <c r="O349" s="6">
        <v>38.52414283981058</v>
      </c>
      <c r="P349" s="6">
        <v>216.59858210039371</v>
      </c>
      <c r="Q349" s="6">
        <v>28.713785021837332</v>
      </c>
      <c r="R349" s="6">
        <v>2.8999550321242942</v>
      </c>
      <c r="S349" s="6">
        <v>7.5240688681573094</v>
      </c>
      <c r="T349" s="6">
        <v>17.004462320323078</v>
      </c>
      <c r="U349" s="6">
        <v>56.142271242442007</v>
      </c>
      <c r="V349" s="6">
        <v>272.74085334283569</v>
      </c>
      <c r="W349" s="6">
        <v>12.577774685514891</v>
      </c>
      <c r="X349" s="6">
        <v>33.68187840497103</v>
      </c>
      <c r="Y349" s="6">
        <v>-30.628467923100519</v>
      </c>
      <c r="Z349" s="6">
        <v>288.3720385102211</v>
      </c>
      <c r="AA349" s="6">
        <v>13.71870253282075</v>
      </c>
      <c r="AB349" s="6">
        <v>302.09074104304187</v>
      </c>
      <c r="AC349" s="6">
        <v>0</v>
      </c>
      <c r="AD349" s="6">
        <v>117.24342253969439</v>
      </c>
      <c r="AE349" s="6">
        <v>0</v>
      </c>
      <c r="AF349" s="6">
        <v>-3.9004229333240499</v>
      </c>
      <c r="AG349" s="6">
        <v>415.43374064941219</v>
      </c>
      <c r="AH349" s="6">
        <v>3.0003253333261921</v>
      </c>
      <c r="AI349" s="6">
        <v>3.3003578666588118</v>
      </c>
      <c r="AJ349" s="6">
        <v>78.608503972434434</v>
      </c>
      <c r="AK349" s="6">
        <v>386.9999282154613</v>
      </c>
      <c r="AL349" s="6">
        <v>37.954105586220429</v>
      </c>
      <c r="AM349" s="6">
        <v>0</v>
      </c>
      <c r="AN349" s="6">
        <v>0</v>
      </c>
      <c r="AO349" s="6">
        <v>0</v>
      </c>
      <c r="AP349" s="6">
        <v>0</v>
      </c>
      <c r="AQ349" s="6">
        <v>424.9540338016817</v>
      </c>
      <c r="AR349" s="6">
        <v>419.99999964779198</v>
      </c>
      <c r="AS349" s="6">
        <v>198.70481000000001</v>
      </c>
      <c r="AT349" s="6">
        <v>131.62796113757091</v>
      </c>
      <c r="AU349" s="6">
        <v>117.90925860475009</v>
      </c>
    </row>
    <row r="350" spans="1:47" x14ac:dyDescent="0.35">
      <c r="A350" s="5">
        <v>46022</v>
      </c>
      <c r="B350" s="4" t="s">
        <v>547</v>
      </c>
      <c r="C350" s="4" t="s">
        <v>548</v>
      </c>
      <c r="D350" s="4" t="s">
        <v>441</v>
      </c>
      <c r="E350" s="6">
        <v>5553.4626669999998</v>
      </c>
      <c r="F350" s="7">
        <v>1.0305</v>
      </c>
      <c r="G350" s="6">
        <v>90.97</v>
      </c>
      <c r="H350" s="6">
        <v>52.061</v>
      </c>
      <c r="I350" s="6">
        <v>96.5</v>
      </c>
      <c r="J350" s="6">
        <v>50.239187000000001</v>
      </c>
      <c r="K350" s="8">
        <v>85.47</v>
      </c>
      <c r="L350" s="6">
        <v>37.552578408862111</v>
      </c>
      <c r="M350" s="6">
        <v>50.761751648433879</v>
      </c>
      <c r="N350" s="6">
        <v>3.5705464628960111</v>
      </c>
      <c r="O350" s="6">
        <v>27.93311024374372</v>
      </c>
      <c r="P350" s="6">
        <v>119.81798676393571</v>
      </c>
      <c r="Q350" s="6">
        <v>6.5061361256930201</v>
      </c>
      <c r="R350" s="6">
        <v>6.4985248269900433</v>
      </c>
      <c r="S350" s="6">
        <v>17.054252929005418</v>
      </c>
      <c r="T350" s="6">
        <v>6.4151214392263203</v>
      </c>
      <c r="U350" s="6">
        <v>36.474035320914801</v>
      </c>
      <c r="V350" s="6">
        <v>156.29202208485049</v>
      </c>
      <c r="W350" s="6">
        <v>29.13861746660173</v>
      </c>
      <c r="X350" s="6">
        <v>9.1523367921250394</v>
      </c>
      <c r="Y350" s="6">
        <v>-65.477754227443725</v>
      </c>
      <c r="Z350" s="6">
        <v>129.1052221161336</v>
      </c>
      <c r="AA350" s="6">
        <v>19.422170990844009</v>
      </c>
      <c r="AB350" s="6">
        <v>148.5273931069776</v>
      </c>
      <c r="AC350" s="6">
        <v>0</v>
      </c>
      <c r="AD350" s="6">
        <v>76.860990167528925</v>
      </c>
      <c r="AE350" s="6">
        <v>0</v>
      </c>
      <c r="AF350" s="6">
        <v>0</v>
      </c>
      <c r="AG350" s="6">
        <v>225.38838327450651</v>
      </c>
      <c r="AH350" s="6">
        <v>4.325569243720639</v>
      </c>
      <c r="AI350" s="6">
        <v>0</v>
      </c>
      <c r="AJ350" s="6">
        <v>32.0000006262092</v>
      </c>
      <c r="AK350" s="6">
        <v>184.85296297690741</v>
      </c>
      <c r="AL350" s="6">
        <v>0</v>
      </c>
      <c r="AM350" s="6">
        <v>0</v>
      </c>
      <c r="AN350" s="6">
        <v>0</v>
      </c>
      <c r="AO350" s="6">
        <v>0</v>
      </c>
      <c r="AP350" s="6">
        <v>0</v>
      </c>
      <c r="AQ350" s="6">
        <v>184.85296297690741</v>
      </c>
      <c r="AR350" s="6">
        <v>420.00010832789451</v>
      </c>
      <c r="AS350" s="6">
        <v>539.43969300000003</v>
      </c>
      <c r="AT350" s="6">
        <v>290.89488621176088</v>
      </c>
      <c r="AU350" s="6">
        <v>271.47271522091688</v>
      </c>
    </row>
    <row r="351" spans="1:47" x14ac:dyDescent="0.35">
      <c r="A351" s="5">
        <v>46022</v>
      </c>
      <c r="B351" s="4" t="s">
        <v>659</v>
      </c>
      <c r="C351" s="4" t="s">
        <v>660</v>
      </c>
      <c r="D351" s="4" t="s">
        <v>55</v>
      </c>
      <c r="E351" s="6">
        <v>2182</v>
      </c>
      <c r="F351" s="7">
        <v>1.6596</v>
      </c>
      <c r="G351" s="6">
        <v>93.2</v>
      </c>
      <c r="H351" s="6">
        <v>33.75</v>
      </c>
      <c r="I351" s="6">
        <v>96</v>
      </c>
      <c r="J351" s="6">
        <v>32.4</v>
      </c>
      <c r="K351" s="8">
        <v>100</v>
      </c>
      <c r="L351" s="6">
        <v>4.8240254109631584</v>
      </c>
      <c r="M351" s="6">
        <v>5.7075198054648704</v>
      </c>
      <c r="N351" s="6">
        <v>0.14455986871932969</v>
      </c>
      <c r="O351" s="6">
        <v>12.456006296547431</v>
      </c>
      <c r="P351" s="6">
        <v>23.132111381694791</v>
      </c>
      <c r="Q351" s="6">
        <v>1.6530405561574839</v>
      </c>
      <c r="R351" s="6">
        <v>2.8086886142887741</v>
      </c>
      <c r="S351" s="6">
        <v>7.3649530901310802</v>
      </c>
      <c r="T351" s="6">
        <v>5.5720417043786696</v>
      </c>
      <c r="U351" s="6">
        <v>17.398723964956009</v>
      </c>
      <c r="V351" s="6">
        <v>40.530835346650797</v>
      </c>
      <c r="W351" s="6">
        <v>23.799603956786921</v>
      </c>
      <c r="X351" s="6">
        <v>7.5523560985134406</v>
      </c>
      <c r="Y351" s="6">
        <v>-4.0823313300000002E-16</v>
      </c>
      <c r="Z351" s="6">
        <v>71.882795401951157</v>
      </c>
      <c r="AA351" s="6">
        <v>5.5957905905326788</v>
      </c>
      <c r="AB351" s="6">
        <v>77.478585992483843</v>
      </c>
      <c r="AC351" s="6">
        <v>1.7029154367986199</v>
      </c>
      <c r="AD351" s="6">
        <v>38.875717561434953</v>
      </c>
      <c r="AE351" s="6">
        <v>0</v>
      </c>
      <c r="AF351" s="6">
        <v>0</v>
      </c>
      <c r="AG351" s="6">
        <v>118.0572189907174</v>
      </c>
      <c r="AH351" s="6">
        <v>3.054748615246913</v>
      </c>
      <c r="AI351" s="6">
        <v>0</v>
      </c>
      <c r="AJ351" s="6">
        <v>9.7998351711207032</v>
      </c>
      <c r="AK351" s="6">
        <v>92.036085215650075</v>
      </c>
      <c r="AL351" s="6">
        <v>48.999175855603532</v>
      </c>
      <c r="AM351" s="6">
        <v>0</v>
      </c>
      <c r="AN351" s="6">
        <v>0</v>
      </c>
      <c r="AO351" s="6">
        <v>0</v>
      </c>
      <c r="AP351" s="6">
        <v>0</v>
      </c>
      <c r="AQ351" s="6">
        <v>141.03526107125359</v>
      </c>
      <c r="AR351" s="6">
        <v>419.99999964779198</v>
      </c>
      <c r="AS351" s="6">
        <v>300.00504599999999</v>
      </c>
      <c r="AT351" s="6">
        <v>348.11720424584081</v>
      </c>
      <c r="AU351" s="6">
        <v>342.52141365530809</v>
      </c>
    </row>
    <row r="352" spans="1:47" x14ac:dyDescent="0.35">
      <c r="A352" s="5">
        <v>46022</v>
      </c>
      <c r="B352" s="4" t="s">
        <v>837</v>
      </c>
      <c r="C352" s="4" t="s">
        <v>838</v>
      </c>
      <c r="D352" s="4" t="s">
        <v>61</v>
      </c>
      <c r="E352" s="6">
        <v>50</v>
      </c>
      <c r="F352" s="7">
        <v>0.5</v>
      </c>
      <c r="G352" s="6">
        <v>80</v>
      </c>
      <c r="H352" s="6">
        <v>0.2</v>
      </c>
      <c r="I352" s="6">
        <v>97</v>
      </c>
      <c r="J352" s="6">
        <v>0.19400000000000001</v>
      </c>
      <c r="K352" s="8">
        <v>79.510999999999996</v>
      </c>
      <c r="L352" s="6">
        <v>80.077267142949992</v>
      </c>
      <c r="M352" s="6">
        <v>16.881503887325</v>
      </c>
      <c r="N352" s="6">
        <v>20.62921732025</v>
      </c>
      <c r="O352" s="6">
        <v>64.097944450924999</v>
      </c>
      <c r="P352" s="6">
        <v>181.68593280145001</v>
      </c>
      <c r="Q352" s="6">
        <v>60.304287254749987</v>
      </c>
      <c r="R352" s="6">
        <v>13.92647819255</v>
      </c>
      <c r="S352" s="6">
        <v>20.003727470649999</v>
      </c>
      <c r="T352" s="6">
        <v>32.5827089896</v>
      </c>
      <c r="U352" s="6">
        <v>126.81720190755</v>
      </c>
      <c r="V352" s="6">
        <v>308.50313470899999</v>
      </c>
      <c r="W352" s="6">
        <v>29.290377979862999</v>
      </c>
      <c r="X352" s="6">
        <v>26.704840000000001</v>
      </c>
      <c r="Y352" s="6">
        <v>-106.17276338906061</v>
      </c>
      <c r="Z352" s="6">
        <v>258.3255892998024</v>
      </c>
      <c r="AA352" s="6">
        <v>83.632148024194535</v>
      </c>
      <c r="AB352" s="6">
        <v>341.95773732399692</v>
      </c>
      <c r="AC352" s="6">
        <v>0</v>
      </c>
      <c r="AD352" s="6">
        <v>0</v>
      </c>
      <c r="AE352" s="6">
        <v>0</v>
      </c>
      <c r="AF352" s="6">
        <v>0</v>
      </c>
      <c r="AG352" s="6">
        <v>341.95773732399692</v>
      </c>
      <c r="AH352" s="6">
        <v>14.764045856175001</v>
      </c>
      <c r="AI352" s="6">
        <v>0</v>
      </c>
      <c r="AJ352" s="6">
        <v>58.464946813349989</v>
      </c>
      <c r="AK352" s="6">
        <v>415.18672999352191</v>
      </c>
      <c r="AL352" s="6">
        <v>0</v>
      </c>
      <c r="AM352" s="6">
        <v>0</v>
      </c>
      <c r="AN352" s="6">
        <v>0</v>
      </c>
      <c r="AO352" s="6">
        <v>0</v>
      </c>
      <c r="AP352" s="6">
        <v>0</v>
      </c>
      <c r="AQ352" s="6">
        <v>415.18672999352191</v>
      </c>
      <c r="AR352" s="6">
        <v>419.99999964779192</v>
      </c>
      <c r="AS352" s="6">
        <v>2.2758880000000001</v>
      </c>
      <c r="AT352" s="6">
        <v>161.67441034798949</v>
      </c>
      <c r="AU352" s="6">
        <v>78.042262323794986</v>
      </c>
    </row>
    <row r="353" spans="1:47" x14ac:dyDescent="0.35">
      <c r="A353" s="5">
        <v>46022</v>
      </c>
      <c r="B353" s="4" t="s">
        <v>661</v>
      </c>
      <c r="C353" s="4" t="s">
        <v>662</v>
      </c>
      <c r="D353" s="4" t="s">
        <v>61</v>
      </c>
      <c r="E353" s="6">
        <v>705</v>
      </c>
      <c r="F353" s="7">
        <v>0.2301</v>
      </c>
      <c r="G353" s="6">
        <v>80</v>
      </c>
      <c r="H353" s="6">
        <v>1.298</v>
      </c>
      <c r="I353" s="6">
        <v>97</v>
      </c>
      <c r="J353" s="6">
        <v>1.259058</v>
      </c>
      <c r="K353" s="8">
        <v>29.093</v>
      </c>
      <c r="L353" s="6">
        <v>145.07361183746579</v>
      </c>
      <c r="M353" s="6">
        <v>29.424614512916619</v>
      </c>
      <c r="N353" s="6">
        <v>17.27252035669764</v>
      </c>
      <c r="O353" s="6">
        <v>92.168052587038773</v>
      </c>
      <c r="P353" s="6">
        <v>283.93879929411878</v>
      </c>
      <c r="Q353" s="6">
        <v>38.491672392685651</v>
      </c>
      <c r="R353" s="6">
        <v>40.848303322967503</v>
      </c>
      <c r="S353" s="6">
        <v>80.655291021696144</v>
      </c>
      <c r="T353" s="6">
        <v>69.106717484593815</v>
      </c>
      <c r="U353" s="6">
        <v>229.1019842219431</v>
      </c>
      <c r="V353" s="6">
        <v>513.04078351606199</v>
      </c>
      <c r="W353" s="6">
        <v>13.802802942331921</v>
      </c>
      <c r="X353" s="6">
        <v>22.03870706296782</v>
      </c>
      <c r="Y353" s="6">
        <v>-948.99064356008796</v>
      </c>
      <c r="Z353" s="6">
        <v>-400.1083500387262</v>
      </c>
      <c r="AA353" s="6">
        <v>36.764887421319642</v>
      </c>
      <c r="AB353" s="6">
        <v>-363.3434626174066</v>
      </c>
      <c r="AC353" s="6">
        <v>0</v>
      </c>
      <c r="AD353" s="6">
        <v>7.8852120145751927</v>
      </c>
      <c r="AE353" s="6">
        <v>0</v>
      </c>
      <c r="AF353" s="6">
        <v>0</v>
      </c>
      <c r="AG353" s="6">
        <v>-355.45825060283141</v>
      </c>
      <c r="AH353" s="6">
        <v>81.456641036583349</v>
      </c>
      <c r="AI353" s="6">
        <v>0</v>
      </c>
      <c r="AJ353" s="6">
        <v>61.725793909230859</v>
      </c>
      <c r="AK353" s="6">
        <v>-220.16102767159239</v>
      </c>
      <c r="AL353" s="6">
        <v>0</v>
      </c>
      <c r="AM353" s="6">
        <v>0</v>
      </c>
      <c r="AN353" s="6">
        <v>0</v>
      </c>
      <c r="AO353" s="6">
        <v>0</v>
      </c>
      <c r="AP353" s="6">
        <v>0</v>
      </c>
      <c r="AQ353" s="6">
        <v>-220.16102767159239</v>
      </c>
      <c r="AR353" s="6">
        <v>420.0140101222778</v>
      </c>
      <c r="AS353" s="6">
        <v>49.326742000000003</v>
      </c>
      <c r="AT353" s="6">
        <v>820.12236016100405</v>
      </c>
      <c r="AU353" s="6">
        <v>783.35747273968445</v>
      </c>
    </row>
    <row r="354" spans="1:47" x14ac:dyDescent="0.35">
      <c r="A354" s="5">
        <v>46022</v>
      </c>
      <c r="B354" s="4" t="s">
        <v>663</v>
      </c>
      <c r="C354" s="4" t="s">
        <v>664</v>
      </c>
      <c r="D354" s="4" t="s">
        <v>61</v>
      </c>
      <c r="E354" s="6">
        <v>2320.833333</v>
      </c>
      <c r="F354" s="7">
        <v>0.75</v>
      </c>
      <c r="G354" s="6">
        <v>90</v>
      </c>
      <c r="H354" s="6">
        <v>15.666</v>
      </c>
      <c r="I354" s="6">
        <v>97</v>
      </c>
      <c r="J354" s="6">
        <v>15.195656</v>
      </c>
      <c r="K354" s="8">
        <v>90.084999999999994</v>
      </c>
      <c r="L354" s="6">
        <v>30.175950791204269</v>
      </c>
      <c r="M354" s="6">
        <v>3.6154862934370269</v>
      </c>
      <c r="N354" s="6">
        <v>10.130118918376841</v>
      </c>
      <c r="O354" s="6">
        <v>23.491284240172948</v>
      </c>
      <c r="P354" s="6">
        <v>67.412840243191084</v>
      </c>
      <c r="Q354" s="6">
        <v>8.7629752127623366</v>
      </c>
      <c r="R354" s="6">
        <v>6.6838352247955406</v>
      </c>
      <c r="S354" s="6">
        <v>20.446441058131111</v>
      </c>
      <c r="T354" s="6">
        <v>12.652729886820399</v>
      </c>
      <c r="U354" s="6">
        <v>48.545981382509389</v>
      </c>
      <c r="V354" s="6">
        <v>115.95882162570049</v>
      </c>
      <c r="W354" s="6">
        <v>10.928662830920731</v>
      </c>
      <c r="X354" s="6">
        <v>22.961599021160509</v>
      </c>
      <c r="Y354" s="6">
        <v>-45.006789199885361</v>
      </c>
      <c r="Z354" s="6">
        <v>104.8422942778963</v>
      </c>
      <c r="AA354" s="6">
        <v>18.611943225719472</v>
      </c>
      <c r="AB354" s="6">
        <v>123.4542375036158</v>
      </c>
      <c r="AC354" s="6">
        <v>0</v>
      </c>
      <c r="AD354" s="6">
        <v>11.044175970054059</v>
      </c>
      <c r="AE354" s="6">
        <v>0</v>
      </c>
      <c r="AF354" s="6">
        <v>0</v>
      </c>
      <c r="AG354" s="6">
        <v>134.4984134736699</v>
      </c>
      <c r="AH354" s="6">
        <v>8.7092923210868527</v>
      </c>
      <c r="AI354" s="6">
        <v>0</v>
      </c>
      <c r="AJ354" s="6">
        <v>13.09150387406501</v>
      </c>
      <c r="AK354" s="6">
        <v>145.2550336987677</v>
      </c>
      <c r="AL354" s="6">
        <v>0</v>
      </c>
      <c r="AM354" s="6">
        <v>0</v>
      </c>
      <c r="AN354" s="6">
        <v>0</v>
      </c>
      <c r="AO354" s="6">
        <v>0</v>
      </c>
      <c r="AP354" s="6">
        <v>0</v>
      </c>
      <c r="AQ354" s="6">
        <v>145.2550336987677</v>
      </c>
      <c r="AR354" s="6">
        <v>420.00121578482378</v>
      </c>
      <c r="AS354" s="6">
        <v>155.879032</v>
      </c>
      <c r="AT354" s="6">
        <v>315.15892150692741</v>
      </c>
      <c r="AU354" s="6">
        <v>296.546978281208</v>
      </c>
    </row>
    <row r="355" spans="1:47" x14ac:dyDescent="0.35">
      <c r="A355" s="5">
        <v>46022</v>
      </c>
      <c r="B355" s="4" t="s">
        <v>839</v>
      </c>
      <c r="C355" s="4" t="s">
        <v>840</v>
      </c>
      <c r="D355" s="4" t="s">
        <v>105</v>
      </c>
      <c r="E355" s="6">
        <v>5040</v>
      </c>
      <c r="F355" s="7">
        <v>0.01</v>
      </c>
      <c r="G355" s="6">
        <v>69.44</v>
      </c>
      <c r="H355" s="6">
        <v>0.35</v>
      </c>
      <c r="I355" s="6">
        <v>90</v>
      </c>
      <c r="J355" s="6">
        <v>0.315</v>
      </c>
      <c r="K355" s="8">
        <v>0.28299999999999997</v>
      </c>
      <c r="L355" s="6">
        <v>21176.4402384883</v>
      </c>
      <c r="M355" s="6">
        <v>4127.5962197870394</v>
      </c>
      <c r="N355" s="6">
        <v>3609.5516398751038</v>
      </c>
      <c r="O355" s="6">
        <v>16714.723524472509</v>
      </c>
      <c r="P355" s="6">
        <v>45628.311622622947</v>
      </c>
      <c r="Q355" s="6">
        <v>2319.3143122663359</v>
      </c>
      <c r="R355" s="6">
        <v>954.71614014145587</v>
      </c>
      <c r="S355" s="6">
        <v>2775.8815224657442</v>
      </c>
      <c r="T355" s="6">
        <v>1663.755766474032</v>
      </c>
      <c r="U355" s="6">
        <v>7713.6677413475672</v>
      </c>
      <c r="V355" s="6">
        <v>53341.979363970517</v>
      </c>
      <c r="W355" s="6">
        <v>277.91125443782499</v>
      </c>
      <c r="X355" s="6">
        <v>79.727913999999998</v>
      </c>
      <c r="Y355" s="6">
        <v>-89817.527484528546</v>
      </c>
      <c r="Z355" s="6">
        <v>-36117.908952120189</v>
      </c>
      <c r="AA355" s="6">
        <v>0</v>
      </c>
      <c r="AB355" s="6">
        <v>-36117.908952120189</v>
      </c>
      <c r="AC355" s="6">
        <v>0</v>
      </c>
      <c r="AD355" s="6">
        <v>31069.5801273051</v>
      </c>
      <c r="AE355" s="6">
        <v>0</v>
      </c>
      <c r="AF355" s="6">
        <v>0</v>
      </c>
      <c r="AG355" s="6">
        <v>-5048.3288248150939</v>
      </c>
      <c r="AH355" s="6">
        <v>1007.983125083088</v>
      </c>
      <c r="AI355" s="6">
        <v>138.22447296873599</v>
      </c>
      <c r="AJ355" s="6">
        <v>28635.47283528254</v>
      </c>
      <c r="AK355" s="6">
        <v>-6336.2285187858279</v>
      </c>
      <c r="AL355" s="6">
        <v>0</v>
      </c>
      <c r="AM355" s="6">
        <v>0</v>
      </c>
      <c r="AN355" s="6">
        <v>0</v>
      </c>
      <c r="AO355" s="6">
        <v>0</v>
      </c>
      <c r="AP355" s="6">
        <v>0</v>
      </c>
      <c r="AQ355" s="6">
        <v>-6336.2285187858279</v>
      </c>
      <c r="AR355" s="6">
        <v>419.99999964779192</v>
      </c>
      <c r="AS355" s="6">
        <v>660.98124299999995</v>
      </c>
      <c r="AT355" s="6">
        <v>36537.908951767982</v>
      </c>
      <c r="AU355" s="6">
        <v>36537.908951767982</v>
      </c>
    </row>
    <row r="356" spans="1:47" x14ac:dyDescent="0.35">
      <c r="A356" s="5">
        <v>46022</v>
      </c>
      <c r="B356" s="4" t="s">
        <v>513</v>
      </c>
      <c r="C356" s="4" t="s">
        <v>514</v>
      </c>
      <c r="D356" s="4" t="s">
        <v>79</v>
      </c>
      <c r="E356" s="6">
        <v>17760.400573999999</v>
      </c>
      <c r="F356" s="7">
        <v>0.19</v>
      </c>
      <c r="G356" s="6">
        <v>57.6</v>
      </c>
      <c r="H356" s="6">
        <v>19.437000000000001</v>
      </c>
      <c r="I356" s="6">
        <v>100</v>
      </c>
      <c r="J356" s="6">
        <v>19.436982</v>
      </c>
      <c r="K356" s="8">
        <v>100</v>
      </c>
      <c r="L356" s="6">
        <v>83.018637415911115</v>
      </c>
      <c r="M356" s="6">
        <v>32.313607747316517</v>
      </c>
      <c r="N356" s="6">
        <v>3.378276793193836</v>
      </c>
      <c r="O356" s="6">
        <v>113.65908445871101</v>
      </c>
      <c r="P356" s="6">
        <v>232.36960641513249</v>
      </c>
      <c r="Q356" s="6">
        <v>29.08379293345282</v>
      </c>
      <c r="R356" s="6">
        <v>0</v>
      </c>
      <c r="S356" s="6">
        <v>5.5333794004605181</v>
      </c>
      <c r="T356" s="6">
        <v>28.161148566655442</v>
      </c>
      <c r="U356" s="6">
        <v>62.778320900568779</v>
      </c>
      <c r="V356" s="6">
        <v>295.14792731570128</v>
      </c>
      <c r="W356" s="6">
        <v>0</v>
      </c>
      <c r="X356" s="6">
        <v>0</v>
      </c>
      <c r="Y356" s="6">
        <v>0</v>
      </c>
      <c r="Z356" s="6">
        <v>295.14792731570128</v>
      </c>
      <c r="AA356" s="6">
        <v>2.100001944591714</v>
      </c>
      <c r="AB356" s="6">
        <v>297.24792926029301</v>
      </c>
      <c r="AC356" s="6">
        <v>0</v>
      </c>
      <c r="AD356" s="6">
        <v>27.676015270156469</v>
      </c>
      <c r="AE356" s="6">
        <v>0</v>
      </c>
      <c r="AF356" s="6">
        <v>0</v>
      </c>
      <c r="AG356" s="6">
        <v>324.92394453044949</v>
      </c>
      <c r="AH356" s="6">
        <v>12.04042402102813</v>
      </c>
      <c r="AI356" s="6">
        <v>0</v>
      </c>
      <c r="AJ356" s="6">
        <v>27.676015270156469</v>
      </c>
      <c r="AK356" s="6">
        <v>336.96436855147761</v>
      </c>
      <c r="AL356" s="6">
        <v>0</v>
      </c>
      <c r="AM356" s="6">
        <v>0</v>
      </c>
      <c r="AN356" s="6">
        <v>0</v>
      </c>
      <c r="AO356" s="6">
        <v>0</v>
      </c>
      <c r="AP356" s="6">
        <v>0</v>
      </c>
      <c r="AQ356" s="6">
        <v>336.96436855147761</v>
      </c>
      <c r="AR356" s="6">
        <v>420.0003885970637</v>
      </c>
      <c r="AS356" s="6">
        <v>179.97524999999999</v>
      </c>
      <c r="AT356" s="6">
        <v>124.85246128136239</v>
      </c>
      <c r="AU356" s="6">
        <v>122.7524593367707</v>
      </c>
    </row>
    <row r="357" spans="1:47" x14ac:dyDescent="0.35">
      <c r="A357" s="5">
        <v>46022</v>
      </c>
      <c r="B357" s="4" t="s">
        <v>549</v>
      </c>
      <c r="C357" s="4" t="s">
        <v>550</v>
      </c>
      <c r="D357" s="4" t="s">
        <v>86</v>
      </c>
      <c r="E357" s="6">
        <v>6933</v>
      </c>
      <c r="F357" s="7">
        <v>0.91700000000000004</v>
      </c>
      <c r="G357" s="6">
        <v>80</v>
      </c>
      <c r="H357" s="6">
        <v>50.859000000000002</v>
      </c>
      <c r="I357" s="6">
        <v>97</v>
      </c>
      <c r="J357" s="6">
        <v>49.332782000000002</v>
      </c>
      <c r="K357" s="8">
        <v>66.397000000000006</v>
      </c>
      <c r="L357" s="6">
        <v>49.481100634986738</v>
      </c>
      <c r="M357" s="6">
        <v>30.316860865613538</v>
      </c>
      <c r="N357" s="6">
        <v>8.7727112278259618</v>
      </c>
      <c r="O357" s="6">
        <v>54.695771899497288</v>
      </c>
      <c r="P357" s="6">
        <v>143.26644462792351</v>
      </c>
      <c r="Q357" s="6">
        <v>9.2127099923900992</v>
      </c>
      <c r="R357" s="6">
        <v>14.21217555610548</v>
      </c>
      <c r="S357" s="6">
        <v>28.657743479604719</v>
      </c>
      <c r="T357" s="6">
        <v>37.534239186537498</v>
      </c>
      <c r="U357" s="6">
        <v>89.616868214637805</v>
      </c>
      <c r="V357" s="6">
        <v>232.88331284256131</v>
      </c>
      <c r="W357" s="6">
        <v>4.9854768701220831</v>
      </c>
      <c r="X357" s="6">
        <v>27.48420981780983</v>
      </c>
      <c r="Y357" s="6">
        <v>-201.49943042229751</v>
      </c>
      <c r="Z357" s="6">
        <v>63.8535691081957</v>
      </c>
      <c r="AA357" s="6">
        <v>38.604893560991911</v>
      </c>
      <c r="AB357" s="6">
        <v>102.4584626691876</v>
      </c>
      <c r="AC357" s="6">
        <v>0</v>
      </c>
      <c r="AD357" s="6">
        <v>52.935362493771791</v>
      </c>
      <c r="AE357" s="6">
        <v>0</v>
      </c>
      <c r="AF357" s="6">
        <v>0</v>
      </c>
      <c r="AG357" s="6">
        <v>155.39382516295939</v>
      </c>
      <c r="AH357" s="6">
        <v>39.667829046526933</v>
      </c>
      <c r="AI357" s="6">
        <v>0</v>
      </c>
      <c r="AJ357" s="6">
        <v>38.52445951698239</v>
      </c>
      <c r="AK357" s="6">
        <v>180.6507512326969</v>
      </c>
      <c r="AL357" s="6">
        <v>0</v>
      </c>
      <c r="AM357" s="6">
        <v>0</v>
      </c>
      <c r="AN357" s="6">
        <v>0</v>
      </c>
      <c r="AO357" s="6">
        <v>0</v>
      </c>
      <c r="AP357" s="6">
        <v>0</v>
      </c>
      <c r="AQ357" s="6">
        <v>180.6507512326969</v>
      </c>
      <c r="AR357" s="6">
        <v>420.00015289274768</v>
      </c>
      <c r="AS357" s="6">
        <v>699.77911300000005</v>
      </c>
      <c r="AT357" s="6">
        <v>356.14658378455198</v>
      </c>
      <c r="AU357" s="6">
        <v>317.54169022356012</v>
      </c>
    </row>
    <row r="358" spans="1:47" x14ac:dyDescent="0.35">
      <c r="A358" s="5">
        <v>46022</v>
      </c>
      <c r="B358" s="4" t="s">
        <v>529</v>
      </c>
      <c r="C358" s="4" t="s">
        <v>530</v>
      </c>
      <c r="D358" s="4" t="s">
        <v>105</v>
      </c>
      <c r="E358" s="6">
        <v>3238.355</v>
      </c>
      <c r="F358" s="7">
        <v>0.01</v>
      </c>
      <c r="G358" s="6">
        <v>50</v>
      </c>
      <c r="H358" s="6">
        <v>0.16200000000000001</v>
      </c>
      <c r="I358" s="6">
        <v>98</v>
      </c>
      <c r="J358" s="6">
        <v>0.15867899999999999</v>
      </c>
      <c r="K358" s="8">
        <v>0.221</v>
      </c>
      <c r="L358" s="6">
        <v>52282.635302868614</v>
      </c>
      <c r="M358" s="6">
        <v>379.54574894732622</v>
      </c>
      <c r="N358" s="6">
        <v>4979.5184959292474</v>
      </c>
      <c r="O358" s="6">
        <v>8269.9411215875371</v>
      </c>
      <c r="P358" s="6">
        <v>65911.640669332715</v>
      </c>
      <c r="Q358" s="6">
        <v>3048.7368009164952</v>
      </c>
      <c r="R358" s="6">
        <v>1232.828223917503</v>
      </c>
      <c r="S358" s="6">
        <v>4068.1115661014569</v>
      </c>
      <c r="T358" s="6">
        <v>1000.006243989108</v>
      </c>
      <c r="U358" s="6">
        <v>9349.6828349245643</v>
      </c>
      <c r="V358" s="6">
        <v>75261.323504257278</v>
      </c>
      <c r="W358" s="6">
        <v>90.255817157667366</v>
      </c>
      <c r="X358" s="6">
        <v>0</v>
      </c>
      <c r="Y358" s="6">
        <v>-144920.64478757279</v>
      </c>
      <c r="Z358" s="6">
        <v>-69569.06546615783</v>
      </c>
      <c r="AA358" s="6">
        <v>266.29692435444139</v>
      </c>
      <c r="AB358" s="6">
        <v>-69302.768541803394</v>
      </c>
      <c r="AC358" s="6">
        <v>0</v>
      </c>
      <c r="AD358" s="6">
        <v>4212.8206112433472</v>
      </c>
      <c r="AE358" s="6">
        <v>0</v>
      </c>
      <c r="AF358" s="6">
        <v>0</v>
      </c>
      <c r="AG358" s="6">
        <v>-65089.947930560047</v>
      </c>
      <c r="AH358" s="6">
        <v>3333.460678000451</v>
      </c>
      <c r="AI358" s="6">
        <v>0</v>
      </c>
      <c r="AJ358" s="6">
        <v>1881.594950152602</v>
      </c>
      <c r="AK358" s="6">
        <v>-64087.712913650343</v>
      </c>
      <c r="AL358" s="6">
        <v>1497.7953565550049</v>
      </c>
      <c r="AM358" s="6">
        <v>0</v>
      </c>
      <c r="AN358" s="6">
        <v>0</v>
      </c>
      <c r="AO358" s="6">
        <v>0</v>
      </c>
      <c r="AP358" s="6">
        <v>0</v>
      </c>
      <c r="AQ358" s="6">
        <v>-62589.91755709533</v>
      </c>
      <c r="AR358" s="6">
        <v>420.05558356244109</v>
      </c>
      <c r="AS358" s="6">
        <v>549.262068</v>
      </c>
      <c r="AT358" s="6">
        <v>69989.12104972027</v>
      </c>
      <c r="AU358" s="6">
        <v>69722.824125365834</v>
      </c>
    </row>
    <row r="359" spans="1:47" x14ac:dyDescent="0.35">
      <c r="A359" s="5">
        <v>46022</v>
      </c>
      <c r="B359" s="4" t="s">
        <v>531</v>
      </c>
      <c r="C359" s="4" t="s">
        <v>532</v>
      </c>
      <c r="D359" s="4" t="s">
        <v>533</v>
      </c>
      <c r="E359" s="6">
        <v>2150.8266050000002</v>
      </c>
      <c r="F359" s="7">
        <v>0.29110000000000003</v>
      </c>
      <c r="G359" s="6">
        <v>40</v>
      </c>
      <c r="H359" s="6">
        <v>2.504</v>
      </c>
      <c r="I359" s="6">
        <v>100</v>
      </c>
      <c r="J359" s="6">
        <v>2.5042490000000002</v>
      </c>
      <c r="K359" s="8">
        <v>5.8840000000000003</v>
      </c>
      <c r="L359" s="6">
        <v>983.1111846261233</v>
      </c>
      <c r="M359" s="6">
        <v>113.3740425432278</v>
      </c>
      <c r="N359" s="6">
        <v>354.97390471525642</v>
      </c>
      <c r="O359" s="6">
        <v>686.73554788505692</v>
      </c>
      <c r="P359" s="6">
        <v>2138.1946797696651</v>
      </c>
      <c r="Q359" s="6">
        <v>251.3514492166421</v>
      </c>
      <c r="R359" s="6">
        <v>197.9622581357786</v>
      </c>
      <c r="S359" s="6">
        <v>727.67190091256816</v>
      </c>
      <c r="T359" s="6">
        <v>193.8215190429749</v>
      </c>
      <c r="U359" s="6">
        <v>1370.807127307964</v>
      </c>
      <c r="V359" s="6">
        <v>3509.0018070776282</v>
      </c>
      <c r="W359" s="6">
        <v>67.658197971523137</v>
      </c>
      <c r="X359" s="6">
        <v>127.39393954802139</v>
      </c>
      <c r="Y359" s="6">
        <v>-4932.2587793449338</v>
      </c>
      <c r="Z359" s="6">
        <v>-1228.204834747761</v>
      </c>
      <c r="AA359" s="6">
        <v>145.5344261087867</v>
      </c>
      <c r="AB359" s="6">
        <v>-1082.6704086389741</v>
      </c>
      <c r="AC359" s="6">
        <v>0</v>
      </c>
      <c r="AD359" s="6">
        <v>976.68600326643241</v>
      </c>
      <c r="AE359" s="6">
        <v>0</v>
      </c>
      <c r="AF359" s="6">
        <v>0</v>
      </c>
      <c r="AG359" s="6">
        <v>-105.9844053725418</v>
      </c>
      <c r="AH359" s="6">
        <v>149.6602062566819</v>
      </c>
      <c r="AI359" s="6">
        <v>0</v>
      </c>
      <c r="AJ359" s="6">
        <v>644.9765634534017</v>
      </c>
      <c r="AK359" s="6">
        <v>-288.03363892889053</v>
      </c>
      <c r="AL359" s="6">
        <v>118.06350124804931</v>
      </c>
      <c r="AM359" s="6">
        <v>0</v>
      </c>
      <c r="AN359" s="6">
        <v>0</v>
      </c>
      <c r="AO359" s="6">
        <v>0</v>
      </c>
      <c r="AP359" s="6">
        <v>0</v>
      </c>
      <c r="AQ359" s="6">
        <v>-169.97013768084119</v>
      </c>
      <c r="AR359" s="6">
        <v>419.9917816151671</v>
      </c>
      <c r="AS359" s="6">
        <v>333.31674099999998</v>
      </c>
      <c r="AT359" s="6">
        <v>1648.1966163629279</v>
      </c>
      <c r="AU359" s="6">
        <v>1502.662190254141</v>
      </c>
    </row>
    <row r="360" spans="1:47" x14ac:dyDescent="0.35">
      <c r="A360" s="5">
        <v>46022</v>
      </c>
      <c r="B360" s="4" t="s">
        <v>841</v>
      </c>
      <c r="C360" s="4" t="s">
        <v>842</v>
      </c>
      <c r="D360" s="4" t="s">
        <v>69</v>
      </c>
      <c r="E360" s="6">
        <v>3956</v>
      </c>
      <c r="F360" s="7">
        <v>5.4699999999999999E-2</v>
      </c>
      <c r="G360" s="6">
        <v>90</v>
      </c>
      <c r="H360" s="6">
        <v>1.9470000000000001</v>
      </c>
      <c r="I360" s="6">
        <v>94.117647000000005</v>
      </c>
      <c r="J360" s="6">
        <v>1.8326370000000001</v>
      </c>
      <c r="K360" s="8">
        <v>3.496</v>
      </c>
      <c r="L360" s="6">
        <v>535.80409297018912</v>
      </c>
      <c r="M360" s="6">
        <v>490.87666293106821</v>
      </c>
      <c r="N360" s="6">
        <v>59.263632017148133</v>
      </c>
      <c r="O360" s="6">
        <v>2826.3396860500661</v>
      </c>
      <c r="P360" s="6">
        <v>3912.2840739684711</v>
      </c>
      <c r="Q360" s="6">
        <v>155.8308025956064</v>
      </c>
      <c r="R360" s="6">
        <v>43.014089127931982</v>
      </c>
      <c r="S360" s="6">
        <v>397.6449387545162</v>
      </c>
      <c r="T360" s="6">
        <v>1417.96000033823</v>
      </c>
      <c r="U360" s="6">
        <v>2014.449830816284</v>
      </c>
      <c r="V360" s="6">
        <v>5926.7339047847563</v>
      </c>
      <c r="W360" s="6">
        <v>14.517745606343491</v>
      </c>
      <c r="X360" s="6">
        <v>28.61765323345103</v>
      </c>
      <c r="Y360" s="6">
        <v>-10221.44812779213</v>
      </c>
      <c r="Z360" s="6">
        <v>-4251.5788241675791</v>
      </c>
      <c r="AA360" s="6">
        <v>127.1384124764034</v>
      </c>
      <c r="AB360" s="6">
        <v>-4124.4404116911765</v>
      </c>
      <c r="AC360" s="6">
        <v>0</v>
      </c>
      <c r="AD360" s="6">
        <v>1344.260587626168</v>
      </c>
      <c r="AE360" s="6">
        <v>0</v>
      </c>
      <c r="AF360" s="6">
        <v>0</v>
      </c>
      <c r="AG360" s="6">
        <v>-2780.1798240650078</v>
      </c>
      <c r="AH360" s="6">
        <v>605.69190264296117</v>
      </c>
      <c r="AI360" s="6">
        <v>0</v>
      </c>
      <c r="AJ360" s="6">
        <v>1322.6790303743451</v>
      </c>
      <c r="AK360" s="6">
        <v>-2196.06947867387</v>
      </c>
      <c r="AL360" s="6">
        <v>0</v>
      </c>
      <c r="AM360" s="6">
        <v>247.5080413156293</v>
      </c>
      <c r="AN360" s="6">
        <v>0</v>
      </c>
      <c r="AO360" s="6">
        <v>0</v>
      </c>
      <c r="AP360" s="6">
        <v>0</v>
      </c>
      <c r="AQ360" s="6">
        <v>-1948.56143735824</v>
      </c>
      <c r="AR360" s="6">
        <v>419.99152006346242</v>
      </c>
      <c r="AS360" s="6">
        <v>430.445358</v>
      </c>
      <c r="AT360" s="6">
        <v>4671.5703442310423</v>
      </c>
      <c r="AU360" s="6">
        <v>4544.4319317546378</v>
      </c>
    </row>
    <row r="361" spans="1:47" x14ac:dyDescent="0.35">
      <c r="A361" s="5">
        <v>46022</v>
      </c>
      <c r="B361" s="4" t="s">
        <v>843</v>
      </c>
      <c r="C361" s="4" t="s">
        <v>844</v>
      </c>
      <c r="D361" s="4" t="s">
        <v>111</v>
      </c>
      <c r="E361" s="6">
        <v>2677</v>
      </c>
      <c r="F361" s="7">
        <v>0.16</v>
      </c>
      <c r="G361" s="6">
        <v>60</v>
      </c>
      <c r="H361" s="6">
        <v>2.57</v>
      </c>
      <c r="I361" s="6">
        <v>97</v>
      </c>
      <c r="J361" s="6">
        <v>2.4928219999999999</v>
      </c>
      <c r="K361" s="8">
        <v>13.401</v>
      </c>
      <c r="L361" s="6">
        <v>919.84884364791264</v>
      </c>
      <c r="M361" s="6">
        <v>129.08889231608839</v>
      </c>
      <c r="N361" s="6">
        <v>155.43071813072839</v>
      </c>
      <c r="O361" s="6">
        <v>726.28630592717195</v>
      </c>
      <c r="P361" s="6">
        <v>1930.654760021901</v>
      </c>
      <c r="Q361" s="6">
        <v>61.113690559469887</v>
      </c>
      <c r="R361" s="6">
        <v>96.997762804952842</v>
      </c>
      <c r="S361" s="6">
        <v>434.63201563854022</v>
      </c>
      <c r="T361" s="6">
        <v>150.97984228591281</v>
      </c>
      <c r="U361" s="6">
        <v>743.72331128887572</v>
      </c>
      <c r="V361" s="6">
        <v>2674.3780713107772</v>
      </c>
      <c r="W361" s="6">
        <v>11.60190368490321</v>
      </c>
      <c r="X361" s="6">
        <v>21.360552336495751</v>
      </c>
      <c r="Y361" s="6">
        <v>-2490.993853226169</v>
      </c>
      <c r="Z361" s="6">
        <v>216.34667410600721</v>
      </c>
      <c r="AA361" s="6">
        <v>22.433910228436421</v>
      </c>
      <c r="AB361" s="6">
        <v>238.7805843344436</v>
      </c>
      <c r="AC361" s="6">
        <v>0</v>
      </c>
      <c r="AD361" s="6">
        <v>456.82160985951441</v>
      </c>
      <c r="AE361" s="6">
        <v>0</v>
      </c>
      <c r="AF361" s="6">
        <v>0</v>
      </c>
      <c r="AG361" s="6">
        <v>695.60219419395787</v>
      </c>
      <c r="AH361" s="6">
        <v>470.95394682605308</v>
      </c>
      <c r="AI361" s="6">
        <v>0</v>
      </c>
      <c r="AJ361" s="6">
        <v>223.697452401314</v>
      </c>
      <c r="AK361" s="6">
        <v>933.43198356181063</v>
      </c>
      <c r="AL361" s="6">
        <v>0</v>
      </c>
      <c r="AM361" s="6">
        <v>0</v>
      </c>
      <c r="AN361" s="6">
        <v>0</v>
      </c>
      <c r="AO361" s="6">
        <v>0</v>
      </c>
      <c r="AP361" s="6">
        <v>0</v>
      </c>
      <c r="AQ361" s="6">
        <v>933.43198356181063</v>
      </c>
      <c r="AR361" s="6">
        <v>419.99629300528312</v>
      </c>
      <c r="AS361" s="6">
        <v>185.74149199999999</v>
      </c>
      <c r="AT361" s="6">
        <v>203.64961889927591</v>
      </c>
      <c r="AU361" s="6">
        <v>181.21570867083949</v>
      </c>
    </row>
    <row r="362" spans="1:47" x14ac:dyDescent="0.35">
      <c r="A362" s="5">
        <v>46022</v>
      </c>
      <c r="B362" s="4" t="s">
        <v>551</v>
      </c>
      <c r="C362" s="4" t="s">
        <v>552</v>
      </c>
      <c r="D362" s="4" t="s">
        <v>222</v>
      </c>
      <c r="E362" s="6">
        <v>2100</v>
      </c>
      <c r="F362" s="7">
        <v>1.05</v>
      </c>
      <c r="G362" s="6">
        <v>85.46</v>
      </c>
      <c r="H362" s="6">
        <v>18.844999999999999</v>
      </c>
      <c r="I362" s="6">
        <v>89</v>
      </c>
      <c r="J362" s="6">
        <v>16.77205</v>
      </c>
      <c r="K362" s="8">
        <v>29.372</v>
      </c>
      <c r="L362" s="6">
        <v>324.09791883826642</v>
      </c>
      <c r="M362" s="6">
        <v>167.10047178759731</v>
      </c>
      <c r="N362" s="6">
        <v>99.952515459276384</v>
      </c>
      <c r="O362" s="6">
        <v>894.87870668450512</v>
      </c>
      <c r="P362" s="6">
        <v>1486.0296127696449</v>
      </c>
      <c r="Q362" s="6">
        <v>97.317147942689843</v>
      </c>
      <c r="R362" s="6">
        <v>63.986618968440467</v>
      </c>
      <c r="S362" s="6">
        <v>64.213281959083062</v>
      </c>
      <c r="T362" s="6">
        <v>115.678768728325</v>
      </c>
      <c r="U362" s="6">
        <v>341.19581759853838</v>
      </c>
      <c r="V362" s="6">
        <v>1827.2254303681841</v>
      </c>
      <c r="W362" s="6">
        <v>0</v>
      </c>
      <c r="X362" s="6">
        <v>48.772324015967037</v>
      </c>
      <c r="Y362" s="6">
        <v>-897.87604181345182</v>
      </c>
      <c r="Z362" s="6">
        <v>978.12171257069895</v>
      </c>
      <c r="AA362" s="6">
        <v>43.305571059757888</v>
      </c>
      <c r="AB362" s="6">
        <v>1021.4272836304571</v>
      </c>
      <c r="AC362" s="6">
        <v>0</v>
      </c>
      <c r="AD362" s="6">
        <v>876.62981111286138</v>
      </c>
      <c r="AE362" s="6">
        <v>0</v>
      </c>
      <c r="AF362" s="6">
        <v>0</v>
      </c>
      <c r="AG362" s="6">
        <v>1898.057094743318</v>
      </c>
      <c r="AH362" s="6">
        <v>27.901993731156789</v>
      </c>
      <c r="AI362" s="6">
        <v>0</v>
      </c>
      <c r="AJ362" s="6">
        <v>114.0066448209181</v>
      </c>
      <c r="AK362" s="6">
        <v>1163.3359221825319</v>
      </c>
      <c r="AL362" s="6">
        <v>140.6316071487754</v>
      </c>
      <c r="AM362" s="6">
        <v>0</v>
      </c>
      <c r="AN362" s="6">
        <v>0</v>
      </c>
      <c r="AO362" s="6">
        <v>0</v>
      </c>
      <c r="AP362" s="6">
        <v>0</v>
      </c>
      <c r="AQ362" s="6">
        <v>1303.9675293313071</v>
      </c>
      <c r="AR362" s="6">
        <v>419.99874756471428</v>
      </c>
      <c r="AS362" s="6">
        <v>571.87619299999994</v>
      </c>
      <c r="AT362" s="6">
        <v>-558.12296500598461</v>
      </c>
      <c r="AU362" s="6">
        <v>-601.42853606574249</v>
      </c>
    </row>
    <row r="363" spans="1:47" x14ac:dyDescent="0.35">
      <c r="A363" s="5">
        <v>46022</v>
      </c>
      <c r="B363" s="4" t="s">
        <v>665</v>
      </c>
      <c r="C363" s="4" t="s">
        <v>666</v>
      </c>
      <c r="D363" s="4" t="s">
        <v>61</v>
      </c>
      <c r="E363" s="6">
        <v>160</v>
      </c>
      <c r="F363" s="7">
        <v>0.73</v>
      </c>
      <c r="G363" s="6">
        <v>86</v>
      </c>
      <c r="H363" s="6">
        <v>1.004</v>
      </c>
      <c r="I363" s="6">
        <v>97</v>
      </c>
      <c r="J363" s="6">
        <v>0.97434600000000005</v>
      </c>
      <c r="K363" s="8">
        <v>72.694000000000003</v>
      </c>
      <c r="L363" s="6">
        <v>64.472857651360485</v>
      </c>
      <c r="M363" s="6">
        <v>2.568100779704293</v>
      </c>
      <c r="N363" s="6">
        <v>20.094354368162929</v>
      </c>
      <c r="O363" s="6">
        <v>35.03988931057772</v>
      </c>
      <c r="P363" s="6">
        <v>122.1752021098054</v>
      </c>
      <c r="Q363" s="6">
        <v>12.89664372060011</v>
      </c>
      <c r="R363" s="6">
        <v>8.659737010447623</v>
      </c>
      <c r="S363" s="6">
        <v>17.37047433425235</v>
      </c>
      <c r="T363" s="6">
        <v>23.2326128791704</v>
      </c>
      <c r="U363" s="6">
        <v>62.159467944470478</v>
      </c>
      <c r="V363" s="6">
        <v>184.3346700542759</v>
      </c>
      <c r="W363" s="6">
        <v>7.6741419204899017</v>
      </c>
      <c r="X363" s="6">
        <v>25.0039476157012</v>
      </c>
      <c r="Y363" s="6">
        <v>-204.32913930649281</v>
      </c>
      <c r="Z363" s="6">
        <v>12.683620283974189</v>
      </c>
      <c r="AA363" s="6">
        <v>67.190750753914045</v>
      </c>
      <c r="AB363" s="6">
        <v>79.874371037888238</v>
      </c>
      <c r="AC363" s="6">
        <v>0</v>
      </c>
      <c r="AD363" s="6">
        <v>23.647892632434392</v>
      </c>
      <c r="AE363" s="6">
        <v>0</v>
      </c>
      <c r="AF363" s="6">
        <v>0</v>
      </c>
      <c r="AG363" s="6">
        <v>103.5222636703226</v>
      </c>
      <c r="AH363" s="6">
        <v>37.878484668865802</v>
      </c>
      <c r="AI363" s="6">
        <v>0</v>
      </c>
      <c r="AJ363" s="6">
        <v>10.045125104874529</v>
      </c>
      <c r="AK363" s="6">
        <v>127.79798081162861</v>
      </c>
      <c r="AL363" s="6">
        <v>0</v>
      </c>
      <c r="AM363" s="6">
        <v>0</v>
      </c>
      <c r="AN363" s="6">
        <v>0</v>
      </c>
      <c r="AO363" s="6">
        <v>0</v>
      </c>
      <c r="AP363" s="6">
        <v>0</v>
      </c>
      <c r="AQ363" s="6">
        <v>127.79798081162861</v>
      </c>
      <c r="AR363" s="6">
        <v>419.98017096272127</v>
      </c>
      <c r="AS363" s="6">
        <v>13.656689999999999</v>
      </c>
      <c r="AT363" s="6">
        <v>407.29655067874711</v>
      </c>
      <c r="AU363" s="6">
        <v>340.10579992483309</v>
      </c>
    </row>
    <row r="364" spans="1:47" x14ac:dyDescent="0.35">
      <c r="A364" s="5">
        <v>46022</v>
      </c>
      <c r="B364" s="4" t="s">
        <v>845</v>
      </c>
      <c r="C364" s="4" t="s">
        <v>846</v>
      </c>
      <c r="D364" s="4" t="s">
        <v>61</v>
      </c>
      <c r="E364" s="6">
        <v>3483.52</v>
      </c>
      <c r="F364" s="7">
        <v>0.39</v>
      </c>
      <c r="G364" s="6">
        <v>70</v>
      </c>
      <c r="H364" s="6">
        <v>9.51</v>
      </c>
      <c r="I364" s="6">
        <v>97</v>
      </c>
      <c r="J364" s="6">
        <v>9.2247000000000003</v>
      </c>
      <c r="K364" s="8">
        <v>16.61</v>
      </c>
      <c r="L364" s="6">
        <v>18.313444293662059</v>
      </c>
      <c r="M364" s="6">
        <v>20.911432715208829</v>
      </c>
      <c r="N364" s="6">
        <v>1.4319494439610949</v>
      </c>
      <c r="O364" s="6">
        <v>38.031448773636782</v>
      </c>
      <c r="P364" s="6">
        <v>78.688275226468775</v>
      </c>
      <c r="Q364" s="6">
        <v>30.271056332630561</v>
      </c>
      <c r="R364" s="6">
        <v>32.499058534536204</v>
      </c>
      <c r="S364" s="6">
        <v>24.521162157557612</v>
      </c>
      <c r="T364" s="6">
        <v>49.033057530632547</v>
      </c>
      <c r="U364" s="6">
        <v>136.3243345553569</v>
      </c>
      <c r="V364" s="6">
        <v>215.01260978182569</v>
      </c>
      <c r="W364" s="6">
        <v>2.7338777869287498</v>
      </c>
      <c r="X364" s="6">
        <v>31.381049999999998</v>
      </c>
      <c r="Y364" s="6">
        <v>-1933.7562089962951</v>
      </c>
      <c r="Z364" s="6">
        <v>-1684.62867142754</v>
      </c>
      <c r="AA364" s="6">
        <v>39.926483181680823</v>
      </c>
      <c r="AB364" s="6">
        <v>-1644.70218824586</v>
      </c>
      <c r="AC364" s="6">
        <v>0</v>
      </c>
      <c r="AD364" s="6">
        <v>35.600245343786568</v>
      </c>
      <c r="AE364" s="6">
        <v>0</v>
      </c>
      <c r="AF364" s="6">
        <v>0</v>
      </c>
      <c r="AG364" s="6">
        <v>-1609.101942902073</v>
      </c>
      <c r="AH364" s="6">
        <v>5.0981360427884477</v>
      </c>
      <c r="AI364" s="6">
        <v>0</v>
      </c>
      <c r="AJ364" s="6">
        <v>12.58619464555048</v>
      </c>
      <c r="AK364" s="6">
        <v>-1627.017857557521</v>
      </c>
      <c r="AL364" s="6">
        <v>0</v>
      </c>
      <c r="AM364" s="6">
        <v>0</v>
      </c>
      <c r="AN364" s="6">
        <v>0</v>
      </c>
      <c r="AO364" s="6">
        <v>0</v>
      </c>
      <c r="AP364" s="6">
        <v>0</v>
      </c>
      <c r="AQ364" s="6">
        <v>-1627.017857557521</v>
      </c>
      <c r="AR364" s="6">
        <v>419.99999964779192</v>
      </c>
      <c r="AS364" s="6">
        <v>569.98968000000002</v>
      </c>
      <c r="AT364" s="6">
        <v>2104.628671075332</v>
      </c>
      <c r="AU364" s="6">
        <v>2064.7021878936521</v>
      </c>
    </row>
    <row r="365" spans="1:47" x14ac:dyDescent="0.35">
      <c r="A365" s="5">
        <v>46022</v>
      </c>
      <c r="B365" s="4" t="s">
        <v>553</v>
      </c>
      <c r="C365" s="4" t="s">
        <v>554</v>
      </c>
      <c r="D365" s="4" t="s">
        <v>105</v>
      </c>
      <c r="E365" s="6">
        <v>5400</v>
      </c>
      <c r="F365" s="7">
        <v>5.8900000000000001E-2</v>
      </c>
      <c r="G365" s="6">
        <v>10</v>
      </c>
      <c r="H365" s="6">
        <v>0.318</v>
      </c>
      <c r="I365" s="6">
        <v>100</v>
      </c>
      <c r="J365" s="6">
        <v>0.31827699999999998</v>
      </c>
      <c r="K365" s="8">
        <v>2.3530000000000002</v>
      </c>
      <c r="L365" s="6">
        <v>691.35371377199669</v>
      </c>
      <c r="M365" s="6">
        <v>119.16959248399981</v>
      </c>
      <c r="N365" s="6">
        <v>255.7778867160618</v>
      </c>
      <c r="O365" s="6">
        <v>1997.3724109896709</v>
      </c>
      <c r="P365" s="6">
        <v>3063.673603961729</v>
      </c>
      <c r="Q365" s="6">
        <v>1437.567767032624</v>
      </c>
      <c r="R365" s="6">
        <v>649.94641688080128</v>
      </c>
      <c r="S365" s="6">
        <v>1946.950244183347</v>
      </c>
      <c r="T365" s="6">
        <v>1328.952975716968</v>
      </c>
      <c r="U365" s="6">
        <v>5363.4174038137398</v>
      </c>
      <c r="V365" s="6">
        <v>8427.0910077754688</v>
      </c>
      <c r="W365" s="6">
        <v>577.18562714239476</v>
      </c>
      <c r="X365" s="6">
        <v>126.1016129607229</v>
      </c>
      <c r="Y365" s="6">
        <v>-12285.14696514308</v>
      </c>
      <c r="Z365" s="6">
        <v>-3154.7687172644928</v>
      </c>
      <c r="AA365" s="6">
        <v>63.555044666488321</v>
      </c>
      <c r="AB365" s="6">
        <v>-3091.2136725980049</v>
      </c>
      <c r="AC365" s="6">
        <v>0</v>
      </c>
      <c r="AD365" s="6">
        <v>1075.4592049227181</v>
      </c>
      <c r="AE365" s="6">
        <v>0</v>
      </c>
      <c r="AF365" s="6">
        <v>0</v>
      </c>
      <c r="AG365" s="6">
        <v>-2015.7544676752871</v>
      </c>
      <c r="AH365" s="6">
        <v>498.80227981478509</v>
      </c>
      <c r="AI365" s="6">
        <v>17.023128096519699</v>
      </c>
      <c r="AJ365" s="6">
        <v>337.08333247868421</v>
      </c>
      <c r="AK365" s="6">
        <v>-2238.304932208016</v>
      </c>
      <c r="AL365" s="6">
        <v>0</v>
      </c>
      <c r="AM365" s="6">
        <v>0</v>
      </c>
      <c r="AN365" s="6">
        <v>0</v>
      </c>
      <c r="AO365" s="6">
        <v>0</v>
      </c>
      <c r="AP365" s="6">
        <v>0</v>
      </c>
      <c r="AQ365" s="6">
        <v>-2238.304932208016</v>
      </c>
      <c r="AR365" s="6">
        <v>420.03035056850541</v>
      </c>
      <c r="AS365" s="6">
        <v>96.506888000000004</v>
      </c>
      <c r="AT365" s="6">
        <v>3574.7990678329988</v>
      </c>
      <c r="AU365" s="6">
        <v>3511.24402316651</v>
      </c>
    </row>
    <row r="366" spans="1:47" x14ac:dyDescent="0.35">
      <c r="A366" s="5">
        <v>46022</v>
      </c>
      <c r="B366" s="4" t="s">
        <v>534</v>
      </c>
      <c r="C366" s="4" t="s">
        <v>535</v>
      </c>
      <c r="D366" s="4" t="s">
        <v>536</v>
      </c>
      <c r="E366" s="6">
        <v>1182.307726</v>
      </c>
      <c r="F366" s="7">
        <v>1.81</v>
      </c>
      <c r="G366" s="6">
        <v>51.4</v>
      </c>
      <c r="H366" s="6">
        <v>11</v>
      </c>
      <c r="I366" s="6">
        <v>100</v>
      </c>
      <c r="J366" s="6">
        <v>11</v>
      </c>
      <c r="K366" s="8">
        <v>100</v>
      </c>
      <c r="L366" s="6">
        <v>86.299324452959823</v>
      </c>
      <c r="M366" s="6">
        <v>46.219130358842918</v>
      </c>
      <c r="N366" s="6">
        <v>10.59836202725579</v>
      </c>
      <c r="O366" s="6">
        <v>31.185324293336318</v>
      </c>
      <c r="P366" s="6">
        <v>174.30214113239481</v>
      </c>
      <c r="Q366" s="6">
        <v>11.98571867146954</v>
      </c>
      <c r="R366" s="6">
        <v>1.4305959027276729</v>
      </c>
      <c r="S366" s="6">
        <v>31.127332301000859</v>
      </c>
      <c r="T366" s="6">
        <v>4.3275482179586016</v>
      </c>
      <c r="U366" s="6">
        <v>48.871195093156679</v>
      </c>
      <c r="V366" s="6">
        <v>223.17333622555151</v>
      </c>
      <c r="W366" s="6">
        <v>0</v>
      </c>
      <c r="X366" s="6">
        <v>0</v>
      </c>
      <c r="Y366" s="6">
        <v>0</v>
      </c>
      <c r="Z366" s="6">
        <v>223.17333622555151</v>
      </c>
      <c r="AA366" s="6">
        <v>8.4000341289123632</v>
      </c>
      <c r="AB366" s="6">
        <v>231.57337035446389</v>
      </c>
      <c r="AC366" s="6">
        <v>0.41235499888461752</v>
      </c>
      <c r="AD366" s="6">
        <v>82.722161901273694</v>
      </c>
      <c r="AE366" s="6">
        <v>0</v>
      </c>
      <c r="AF366" s="6">
        <v>0</v>
      </c>
      <c r="AG366" s="6">
        <v>314.70788725462222</v>
      </c>
      <c r="AH366" s="6">
        <v>16.494268209936418</v>
      </c>
      <c r="AI366" s="6">
        <v>0</v>
      </c>
      <c r="AJ366" s="6">
        <v>41.235670524841048</v>
      </c>
      <c r="AK366" s="6">
        <v>289.715664088126</v>
      </c>
      <c r="AL366" s="6">
        <v>0</v>
      </c>
      <c r="AM366" s="6">
        <v>0</v>
      </c>
      <c r="AN366" s="6">
        <v>0</v>
      </c>
      <c r="AO366" s="6">
        <v>0</v>
      </c>
      <c r="AP366" s="6">
        <v>0</v>
      </c>
      <c r="AQ366" s="6">
        <v>289.715664088126</v>
      </c>
      <c r="AR366" s="6">
        <v>419.99999964779192</v>
      </c>
      <c r="AS366" s="6">
        <v>101.853565</v>
      </c>
      <c r="AT366" s="6">
        <v>196.82666342224039</v>
      </c>
      <c r="AU366" s="6">
        <v>188.42662929332801</v>
      </c>
    </row>
    <row r="367" spans="1:47" x14ac:dyDescent="0.35">
      <c r="A367" s="5">
        <v>46022</v>
      </c>
      <c r="B367" s="4" t="s">
        <v>537</v>
      </c>
      <c r="C367" s="4" t="s">
        <v>538</v>
      </c>
      <c r="D367" s="4" t="s">
        <v>89</v>
      </c>
      <c r="E367" s="6">
        <v>410.91066699999999</v>
      </c>
      <c r="F367" s="7">
        <v>1.6883999999999999</v>
      </c>
      <c r="G367" s="6">
        <v>28.17</v>
      </c>
      <c r="H367" s="6">
        <v>1.9550000000000001</v>
      </c>
      <c r="I367" s="6">
        <v>76.845709999999997</v>
      </c>
      <c r="J367" s="6">
        <v>1.5020770000000001</v>
      </c>
      <c r="K367" s="8">
        <v>42.057000000000002</v>
      </c>
      <c r="L367" s="6">
        <v>294.43482551488052</v>
      </c>
      <c r="M367" s="6">
        <v>36.52205407254597</v>
      </c>
      <c r="N367" s="6">
        <v>32.201496979235017</v>
      </c>
      <c r="O367" s="6">
        <v>87.880773048039529</v>
      </c>
      <c r="P367" s="6">
        <v>451.0391496147011</v>
      </c>
      <c r="Q367" s="6">
        <v>223.47640813531211</v>
      </c>
      <c r="R367" s="6">
        <v>17.038933975530611</v>
      </c>
      <c r="S367" s="6">
        <v>80.973356350053834</v>
      </c>
      <c r="T367" s="6">
        <v>82.528879500098554</v>
      </c>
      <c r="U367" s="6">
        <v>404.01757796099508</v>
      </c>
      <c r="V367" s="6">
        <v>855.05672757569619</v>
      </c>
      <c r="W367" s="6">
        <v>8.5351177089595875</v>
      </c>
      <c r="X367" s="6">
        <v>26.123510793678761</v>
      </c>
      <c r="Y367" s="6">
        <v>-530.12902244066015</v>
      </c>
      <c r="Z367" s="6">
        <v>359.58633363767427</v>
      </c>
      <c r="AA367" s="6">
        <v>52.712136650814941</v>
      </c>
      <c r="AB367" s="6">
        <v>412.29847028848928</v>
      </c>
      <c r="AC367" s="6">
        <v>48.618266365520007</v>
      </c>
      <c r="AD367" s="6">
        <v>230.33373152562359</v>
      </c>
      <c r="AE367" s="6">
        <v>0</v>
      </c>
      <c r="AF367" s="6">
        <v>0</v>
      </c>
      <c r="AG367" s="6">
        <v>691.25046817963289</v>
      </c>
      <c r="AH367" s="6">
        <v>41.190546847596991</v>
      </c>
      <c r="AI367" s="6">
        <v>0</v>
      </c>
      <c r="AJ367" s="6">
        <v>230.33373152562359</v>
      </c>
      <c r="AK367" s="6">
        <v>732.44101502722992</v>
      </c>
      <c r="AL367" s="6">
        <v>921.72833911210807</v>
      </c>
      <c r="AM367" s="6">
        <v>0</v>
      </c>
      <c r="AN367" s="6">
        <v>0</v>
      </c>
      <c r="AO367" s="6">
        <v>0</v>
      </c>
      <c r="AP367" s="6">
        <v>0</v>
      </c>
      <c r="AQ367" s="6">
        <v>1654.1693541393381</v>
      </c>
      <c r="AR367" s="6">
        <v>420.00643074286347</v>
      </c>
      <c r="AS367" s="6">
        <v>34.348401000000003</v>
      </c>
      <c r="AT367" s="6">
        <v>60.4200971051892</v>
      </c>
      <c r="AU367" s="6">
        <v>7.7079604543742546</v>
      </c>
    </row>
    <row r="368" spans="1:47" x14ac:dyDescent="0.35">
      <c r="A368" s="5">
        <v>46022</v>
      </c>
      <c r="B368" s="4" t="s">
        <v>555</v>
      </c>
      <c r="C368" s="4" t="s">
        <v>556</v>
      </c>
      <c r="D368" s="4" t="s">
        <v>61</v>
      </c>
      <c r="E368" s="6">
        <v>28971.57</v>
      </c>
      <c r="F368" s="7">
        <v>0.26</v>
      </c>
      <c r="G368" s="6">
        <v>92</v>
      </c>
      <c r="H368" s="6">
        <v>69.3</v>
      </c>
      <c r="I368" s="6">
        <v>94.761904999999999</v>
      </c>
      <c r="J368" s="6">
        <v>65.67</v>
      </c>
      <c r="K368" s="8">
        <v>67.22</v>
      </c>
      <c r="L368" s="6">
        <v>14.543800395333371</v>
      </c>
      <c r="M368" s="6">
        <v>22.33093614437734</v>
      </c>
      <c r="N368" s="6">
        <v>7.2151587506939574</v>
      </c>
      <c r="O368" s="6">
        <v>49.51528212228579</v>
      </c>
      <c r="P368" s="6">
        <v>93.605177412690466</v>
      </c>
      <c r="Q368" s="6">
        <v>5.031188361094399</v>
      </c>
      <c r="R368" s="6">
        <v>16.503526505343299</v>
      </c>
      <c r="S368" s="6">
        <v>31.764404315884121</v>
      </c>
      <c r="T368" s="6">
        <v>66.289698759059107</v>
      </c>
      <c r="U368" s="6">
        <v>119.5888179413809</v>
      </c>
      <c r="V368" s="6">
        <v>213.1939953540714</v>
      </c>
      <c r="W368" s="6">
        <v>8.2294928623379437</v>
      </c>
      <c r="X368" s="6">
        <v>26.234869145728641</v>
      </c>
      <c r="Y368" s="6">
        <v>-188.0265088937399</v>
      </c>
      <c r="Z368" s="6">
        <v>59.631848468398097</v>
      </c>
      <c r="AA368" s="6">
        <v>45.656874924577238</v>
      </c>
      <c r="AB368" s="6">
        <v>105.2887233929753</v>
      </c>
      <c r="AC368" s="6">
        <v>0</v>
      </c>
      <c r="AD368" s="6">
        <v>18.86949776259123</v>
      </c>
      <c r="AE368" s="6">
        <v>0</v>
      </c>
      <c r="AF368" s="6">
        <v>0</v>
      </c>
      <c r="AG368" s="6">
        <v>124.15822115556659</v>
      </c>
      <c r="AH368" s="6">
        <v>9.4118762049105573</v>
      </c>
      <c r="AI368" s="6">
        <v>0</v>
      </c>
      <c r="AJ368" s="6">
        <v>12.28598908197103</v>
      </c>
      <c r="AK368" s="6">
        <v>126.98658867985689</v>
      </c>
      <c r="AL368" s="6">
        <v>0</v>
      </c>
      <c r="AM368" s="6">
        <v>0</v>
      </c>
      <c r="AN368" s="6">
        <v>0</v>
      </c>
      <c r="AO368" s="6">
        <v>0</v>
      </c>
      <c r="AP368" s="6">
        <v>0</v>
      </c>
      <c r="AQ368" s="6">
        <v>126.98658867985689</v>
      </c>
      <c r="AR368" s="6">
        <v>419.99999964779192</v>
      </c>
      <c r="AS368" s="6">
        <v>896.17944699999998</v>
      </c>
      <c r="AT368" s="6">
        <v>360.36815117939381</v>
      </c>
      <c r="AU368" s="6">
        <v>314.7112762548166</v>
      </c>
    </row>
    <row r="369" spans="1:47" x14ac:dyDescent="0.35">
      <c r="A369" s="5">
        <v>46022</v>
      </c>
      <c r="B369" s="4" t="s">
        <v>847</v>
      </c>
      <c r="C369" s="4" t="s">
        <v>848</v>
      </c>
      <c r="D369" s="4" t="s">
        <v>61</v>
      </c>
      <c r="E369" s="6">
        <v>1261.673554</v>
      </c>
      <c r="F369" s="7">
        <v>1.0923</v>
      </c>
      <c r="G369" s="6">
        <v>88.62</v>
      </c>
      <c r="H369" s="6">
        <v>12.212999999999999</v>
      </c>
      <c r="I369" s="6">
        <v>97</v>
      </c>
      <c r="J369" s="6">
        <v>11.84661</v>
      </c>
      <c r="K369" s="8">
        <v>86.099000000000004</v>
      </c>
      <c r="L369" s="6">
        <v>41.82169380590517</v>
      </c>
      <c r="M369" s="6">
        <v>2.3516602125692012</v>
      </c>
      <c r="N369" s="6">
        <v>15.45127511082757</v>
      </c>
      <c r="O369" s="6">
        <v>13.961414315154849</v>
      </c>
      <c r="P369" s="6">
        <v>73.586043444456791</v>
      </c>
      <c r="Q369" s="6">
        <v>8.7111705517128222</v>
      </c>
      <c r="R369" s="6">
        <v>4.2400906181034159</v>
      </c>
      <c r="S369" s="6">
        <v>19.23974915417131</v>
      </c>
      <c r="T369" s="6">
        <v>21.292658483378521</v>
      </c>
      <c r="U369" s="6">
        <v>53.48366880736608</v>
      </c>
      <c r="V369" s="6">
        <v>127.06971225182291</v>
      </c>
      <c r="W369" s="6">
        <v>3.8059563237458329</v>
      </c>
      <c r="X369" s="6">
        <v>25.004382108455999</v>
      </c>
      <c r="Y369" s="6">
        <v>-66.066627315756222</v>
      </c>
      <c r="Z369" s="6">
        <v>89.813423368268474</v>
      </c>
      <c r="AA369" s="6">
        <v>23.985692606960221</v>
      </c>
      <c r="AB369" s="6">
        <v>113.7991159752287</v>
      </c>
      <c r="AC369" s="6">
        <v>0</v>
      </c>
      <c r="AD369" s="6">
        <v>11.943808439137319</v>
      </c>
      <c r="AE369" s="6">
        <v>0</v>
      </c>
      <c r="AF369" s="6">
        <v>0</v>
      </c>
      <c r="AG369" s="6">
        <v>125.742924414366</v>
      </c>
      <c r="AH369" s="6">
        <v>10.925868051524249</v>
      </c>
      <c r="AI369" s="6">
        <v>0</v>
      </c>
      <c r="AJ369" s="6">
        <v>6.9898421917840041</v>
      </c>
      <c r="AK369" s="6">
        <v>131.71482621853701</v>
      </c>
      <c r="AL369" s="6">
        <v>0</v>
      </c>
      <c r="AM369" s="6">
        <v>0</v>
      </c>
      <c r="AN369" s="6">
        <v>0</v>
      </c>
      <c r="AO369" s="6">
        <v>0</v>
      </c>
      <c r="AP369" s="6">
        <v>0</v>
      </c>
      <c r="AQ369" s="6">
        <v>131.71482621853701</v>
      </c>
      <c r="AR369" s="6">
        <v>419.99964511598949</v>
      </c>
      <c r="AS369" s="6">
        <v>127.229551</v>
      </c>
      <c r="AT369" s="6">
        <v>330.18622174772099</v>
      </c>
      <c r="AU369" s="6">
        <v>306.20052914076081</v>
      </c>
    </row>
    <row r="370" spans="1:47" x14ac:dyDescent="0.35">
      <c r="A370" s="5">
        <v>46022</v>
      </c>
      <c r="B370" s="4" t="s">
        <v>557</v>
      </c>
      <c r="C370" s="4" t="s">
        <v>558</v>
      </c>
      <c r="D370" s="4" t="s">
        <v>61</v>
      </c>
      <c r="E370" s="6">
        <v>65</v>
      </c>
      <c r="F370" s="7">
        <v>0.68</v>
      </c>
      <c r="G370" s="6">
        <v>82</v>
      </c>
      <c r="H370" s="6">
        <v>0.36199999999999999</v>
      </c>
      <c r="I370" s="6">
        <v>97</v>
      </c>
      <c r="J370" s="6">
        <v>0.35156700000000002</v>
      </c>
      <c r="K370" s="8">
        <v>61.914000000000001</v>
      </c>
      <c r="L370" s="6">
        <v>41.369935024412278</v>
      </c>
      <c r="M370" s="6">
        <v>2.6933310560120538</v>
      </c>
      <c r="N370" s="6">
        <v>29.99340018067894</v>
      </c>
      <c r="O370" s="6">
        <v>70.443641958811767</v>
      </c>
      <c r="P370" s="6">
        <v>144.5003082199151</v>
      </c>
      <c r="Q370" s="6">
        <v>17.30474302635815</v>
      </c>
      <c r="R370" s="6">
        <v>20.027719693823141</v>
      </c>
      <c r="S370" s="6">
        <v>30.85613359867315</v>
      </c>
      <c r="T370" s="6">
        <v>49.53166957146734</v>
      </c>
      <c r="U370" s="6">
        <v>117.7202658903218</v>
      </c>
      <c r="V370" s="6">
        <v>262.22057411023678</v>
      </c>
      <c r="W370" s="6">
        <v>7.6743830013899217</v>
      </c>
      <c r="X370" s="6">
        <v>25.00561041451558</v>
      </c>
      <c r="Y370" s="6">
        <v>-253.45306620109341</v>
      </c>
      <c r="Z370" s="6">
        <v>41.447501325048961</v>
      </c>
      <c r="AA370" s="6">
        <v>29.315495782875331</v>
      </c>
      <c r="AB370" s="6">
        <v>70.762997107924292</v>
      </c>
      <c r="AC370" s="6">
        <v>0</v>
      </c>
      <c r="AD370" s="6">
        <v>35.767140890219821</v>
      </c>
      <c r="AE370" s="6">
        <v>0</v>
      </c>
      <c r="AF370" s="6">
        <v>0</v>
      </c>
      <c r="AG370" s="6">
        <v>106.5301379981441</v>
      </c>
      <c r="AH370" s="6">
        <v>34.895350255713829</v>
      </c>
      <c r="AI370" s="6">
        <v>0</v>
      </c>
      <c r="AJ370" s="6">
        <v>10.555783301533589</v>
      </c>
      <c r="AK370" s="6">
        <v>116.21413066517169</v>
      </c>
      <c r="AL370" s="6">
        <v>0</v>
      </c>
      <c r="AM370" s="6">
        <v>0</v>
      </c>
      <c r="AN370" s="6">
        <v>0</v>
      </c>
      <c r="AO370" s="6">
        <v>0</v>
      </c>
      <c r="AP370" s="6">
        <v>0</v>
      </c>
      <c r="AQ370" s="6">
        <v>116.21413066517169</v>
      </c>
      <c r="AR370" s="6">
        <v>420.03942314313809</v>
      </c>
      <c r="AS370" s="6">
        <v>5.2921459999999998</v>
      </c>
      <c r="AT370" s="6">
        <v>378.59192181808919</v>
      </c>
      <c r="AU370" s="6">
        <v>349.27642603521377</v>
      </c>
    </row>
    <row r="371" spans="1:47" x14ac:dyDescent="0.35">
      <c r="A371" s="5">
        <v>46022</v>
      </c>
      <c r="B371" s="4" t="s">
        <v>563</v>
      </c>
      <c r="C371" s="4" t="s">
        <v>564</v>
      </c>
      <c r="D371" s="4" t="s">
        <v>61</v>
      </c>
      <c r="E371" s="6">
        <v>77.55</v>
      </c>
      <c r="F371" s="7">
        <v>0.50680000000000003</v>
      </c>
      <c r="G371" s="6">
        <v>76.34</v>
      </c>
      <c r="H371" s="6">
        <v>0.3</v>
      </c>
      <c r="I371" s="6">
        <v>97</v>
      </c>
      <c r="J371" s="6">
        <v>0.29099999999999998</v>
      </c>
      <c r="K371" s="8">
        <v>72.343999999999994</v>
      </c>
      <c r="L371" s="6">
        <v>33.566534450013947</v>
      </c>
      <c r="M371" s="6">
        <v>119.6422774481743</v>
      </c>
      <c r="N371" s="6">
        <v>5.9896295881806996</v>
      </c>
      <c r="O371" s="6">
        <v>90.824297333731494</v>
      </c>
      <c r="P371" s="6">
        <v>250.02273882010039</v>
      </c>
      <c r="Q371" s="6">
        <v>27.008103887726499</v>
      </c>
      <c r="R371" s="6">
        <v>7.3938928792652003</v>
      </c>
      <c r="S371" s="6">
        <v>36.33812009547335</v>
      </c>
      <c r="T371" s="6">
        <v>58.282740909377601</v>
      </c>
      <c r="U371" s="6">
        <v>129.02285777184269</v>
      </c>
      <c r="V371" s="6">
        <v>379.04559659194308</v>
      </c>
      <c r="W371" s="6">
        <v>10.422656923959501</v>
      </c>
      <c r="X371" s="6">
        <v>27.41182743816</v>
      </c>
      <c r="Y371" s="6">
        <v>-156.1544477626646</v>
      </c>
      <c r="Z371" s="6">
        <v>260.725633191398</v>
      </c>
      <c r="AA371" s="6">
        <v>78.434975779913785</v>
      </c>
      <c r="AB371" s="6">
        <v>339.16060897131177</v>
      </c>
      <c r="AC371" s="6">
        <v>0</v>
      </c>
      <c r="AD371" s="6">
        <v>10.018851050154099</v>
      </c>
      <c r="AE371" s="6">
        <v>0</v>
      </c>
      <c r="AF371" s="6">
        <v>0</v>
      </c>
      <c r="AG371" s="6">
        <v>349.1794600214659</v>
      </c>
      <c r="AH371" s="6">
        <v>36.339570655815351</v>
      </c>
      <c r="AI371" s="6">
        <v>0</v>
      </c>
      <c r="AJ371" s="6">
        <v>10.018851050154099</v>
      </c>
      <c r="AK371" s="6">
        <v>385.51903067728119</v>
      </c>
      <c r="AL371" s="6">
        <v>0</v>
      </c>
      <c r="AM371" s="6">
        <v>0</v>
      </c>
      <c r="AN371" s="6">
        <v>0</v>
      </c>
      <c r="AO371" s="6">
        <v>0</v>
      </c>
      <c r="AP371" s="6">
        <v>0</v>
      </c>
      <c r="AQ371" s="6">
        <v>385.51903067728119</v>
      </c>
      <c r="AR371" s="6">
        <v>419.99999964779198</v>
      </c>
      <c r="AS371" s="6">
        <v>3.696291</v>
      </c>
      <c r="AT371" s="6">
        <v>159.27436645639401</v>
      </c>
      <c r="AU371" s="6">
        <v>80.839390676480193</v>
      </c>
    </row>
    <row r="372" spans="1:47" x14ac:dyDescent="0.35">
      <c r="A372" s="5">
        <v>46022</v>
      </c>
      <c r="B372" s="4" t="s">
        <v>849</v>
      </c>
      <c r="C372" s="4" t="s">
        <v>850</v>
      </c>
      <c r="D372" s="4" t="s">
        <v>61</v>
      </c>
      <c r="E372" s="6">
        <v>55.52</v>
      </c>
      <c r="F372" s="7">
        <v>0.63229999999999997</v>
      </c>
      <c r="G372" s="6">
        <v>94</v>
      </c>
      <c r="H372" s="6">
        <v>0.33</v>
      </c>
      <c r="I372" s="6">
        <v>97</v>
      </c>
      <c r="J372" s="6">
        <v>0.3201</v>
      </c>
      <c r="K372" s="8">
        <v>57.720999999999997</v>
      </c>
      <c r="L372" s="6">
        <v>65.438919197433606</v>
      </c>
      <c r="M372" s="6">
        <v>2.3098674253424001</v>
      </c>
      <c r="N372" s="6">
        <v>22.698288106883201</v>
      </c>
      <c r="O372" s="6">
        <v>37.7451270911344</v>
      </c>
      <c r="P372" s="6">
        <v>128.1922018207936</v>
      </c>
      <c r="Q372" s="6">
        <v>19.2967996214336</v>
      </c>
      <c r="R372" s="6">
        <v>12.643491479658669</v>
      </c>
      <c r="S372" s="6">
        <v>31.429022254925862</v>
      </c>
      <c r="T372" s="6">
        <v>48.3664529648496</v>
      </c>
      <c r="U372" s="6">
        <v>111.7357663208677</v>
      </c>
      <c r="V372" s="6">
        <v>239.9279681416613</v>
      </c>
      <c r="W372" s="6">
        <v>8.5439155355850325</v>
      </c>
      <c r="X372" s="6">
        <v>26.931565333333332</v>
      </c>
      <c r="Y372" s="6">
        <v>-300.174482207886</v>
      </c>
      <c r="Z372" s="6">
        <v>-24.771033197306291</v>
      </c>
      <c r="AA372" s="6">
        <v>41.103413110213509</v>
      </c>
      <c r="AB372" s="6">
        <v>16.332379912907221</v>
      </c>
      <c r="AC372" s="6">
        <v>0</v>
      </c>
      <c r="AD372" s="6">
        <v>18.501054577185599</v>
      </c>
      <c r="AE372" s="6">
        <v>0</v>
      </c>
      <c r="AF372" s="6">
        <v>0</v>
      </c>
      <c r="AG372" s="6">
        <v>34.83343449009282</v>
      </c>
      <c r="AH372" s="6">
        <v>31.398740751388271</v>
      </c>
      <c r="AI372" s="6">
        <v>0</v>
      </c>
      <c r="AJ372" s="6">
        <v>31.7192494997952</v>
      </c>
      <c r="AK372" s="6">
        <v>79.450370164090685</v>
      </c>
      <c r="AL372" s="6">
        <v>0</v>
      </c>
      <c r="AM372" s="6">
        <v>0</v>
      </c>
      <c r="AN372" s="6">
        <v>0</v>
      </c>
      <c r="AO372" s="6">
        <v>0</v>
      </c>
      <c r="AP372" s="6">
        <v>0</v>
      </c>
      <c r="AQ372" s="6">
        <v>79.450370164090685</v>
      </c>
      <c r="AR372" s="6">
        <v>419.99999964779192</v>
      </c>
      <c r="AS372" s="6">
        <v>5.1262270000000001</v>
      </c>
      <c r="AT372" s="6">
        <v>444.7710328450982</v>
      </c>
      <c r="AU372" s="6">
        <v>403.66761973488468</v>
      </c>
    </row>
    <row r="373" spans="1:47" x14ac:dyDescent="0.35">
      <c r="A373" s="5">
        <v>46022</v>
      </c>
      <c r="B373" s="4" t="s">
        <v>667</v>
      </c>
      <c r="C373" s="4" t="s">
        <v>668</v>
      </c>
      <c r="D373" s="4" t="s">
        <v>61</v>
      </c>
      <c r="E373" s="6">
        <v>1155</v>
      </c>
      <c r="F373" s="7">
        <v>0.80900000000000005</v>
      </c>
      <c r="G373" s="6">
        <v>83</v>
      </c>
      <c r="H373" s="6">
        <v>7.7549999999999999</v>
      </c>
      <c r="I373" s="6">
        <v>97</v>
      </c>
      <c r="J373" s="6">
        <v>7.5228140000000003</v>
      </c>
      <c r="K373" s="8">
        <v>92.525000000000006</v>
      </c>
      <c r="L373" s="6">
        <v>76.212189145557375</v>
      </c>
      <c r="M373" s="6">
        <v>23.680424837239421</v>
      </c>
      <c r="N373" s="6">
        <v>8.9723035717202517</v>
      </c>
      <c r="O373" s="6">
        <v>102.7472631099595</v>
      </c>
      <c r="P373" s="6">
        <v>211.6121806644766</v>
      </c>
      <c r="Q373" s="6">
        <v>8.7640897583335295</v>
      </c>
      <c r="R373" s="6">
        <v>4.7659917638960723</v>
      </c>
      <c r="S373" s="6">
        <v>10.560043583975659</v>
      </c>
      <c r="T373" s="6">
        <v>25.890779725346501</v>
      </c>
      <c r="U373" s="6">
        <v>49.980904831551761</v>
      </c>
      <c r="V373" s="6">
        <v>261.59308549602838</v>
      </c>
      <c r="W373" s="6">
        <v>5.7654327099641582</v>
      </c>
      <c r="X373" s="6">
        <v>23.394891629366349</v>
      </c>
      <c r="Y373" s="6">
        <v>-33.287179784780093</v>
      </c>
      <c r="Z373" s="6">
        <v>257.46623005057882</v>
      </c>
      <c r="AA373" s="6">
        <v>56.420401160026039</v>
      </c>
      <c r="AB373" s="6">
        <v>313.88663121060478</v>
      </c>
      <c r="AC373" s="6">
        <v>0</v>
      </c>
      <c r="AD373" s="6">
        <v>122.5489622510845</v>
      </c>
      <c r="AE373" s="6">
        <v>0</v>
      </c>
      <c r="AF373" s="6">
        <v>0</v>
      </c>
      <c r="AG373" s="6">
        <v>436.43559346168928</v>
      </c>
      <c r="AH373" s="6">
        <v>10.56671522867512</v>
      </c>
      <c r="AI373" s="6">
        <v>0</v>
      </c>
      <c r="AJ373" s="6">
        <v>10.90889817471689</v>
      </c>
      <c r="AK373" s="6">
        <v>335.36224461399678</v>
      </c>
      <c r="AL373" s="6">
        <v>0</v>
      </c>
      <c r="AM373" s="6">
        <v>0</v>
      </c>
      <c r="AN373" s="6">
        <v>0</v>
      </c>
      <c r="AO373" s="6">
        <v>0</v>
      </c>
      <c r="AP373" s="6">
        <v>0</v>
      </c>
      <c r="AQ373" s="6">
        <v>335.36224461399678</v>
      </c>
      <c r="AR373" s="6">
        <v>419.9992180253837</v>
      </c>
      <c r="AS373" s="6">
        <v>75.486964999999998</v>
      </c>
      <c r="AT373" s="6">
        <v>162.532987974805</v>
      </c>
      <c r="AU373" s="6">
        <v>106.11258681477889</v>
      </c>
    </row>
    <row r="374" spans="1:47" x14ac:dyDescent="0.35">
      <c r="A374" s="5">
        <v>46022</v>
      </c>
      <c r="B374" s="4" t="s">
        <v>851</v>
      </c>
      <c r="C374" s="4" t="s">
        <v>852</v>
      </c>
      <c r="D374" s="4" t="s">
        <v>61</v>
      </c>
      <c r="E374" s="6">
        <v>1100</v>
      </c>
      <c r="F374" s="7">
        <v>0.46</v>
      </c>
      <c r="G374" s="6">
        <v>78</v>
      </c>
      <c r="H374" s="6">
        <v>3.9470000000000001</v>
      </c>
      <c r="I374" s="6">
        <v>97</v>
      </c>
      <c r="J374" s="6">
        <v>3.8283960000000001</v>
      </c>
      <c r="K374" s="8">
        <v>35.018999999999998</v>
      </c>
      <c r="L374" s="6">
        <v>138.05322726418621</v>
      </c>
      <c r="M374" s="6">
        <v>27.298653100696772</v>
      </c>
      <c r="N374" s="6">
        <v>82.799648614214036</v>
      </c>
      <c r="O374" s="6">
        <v>92.414799153205124</v>
      </c>
      <c r="P374" s="6">
        <v>340.56632813230209</v>
      </c>
      <c r="Q374" s="6">
        <v>8.2094854622073576</v>
      </c>
      <c r="R374" s="6">
        <v>22.143366168171681</v>
      </c>
      <c r="S374" s="6">
        <v>39.64962108216276</v>
      </c>
      <c r="T374" s="6">
        <v>60.758017382664427</v>
      </c>
      <c r="U374" s="6">
        <v>130.76049009520619</v>
      </c>
      <c r="V374" s="6">
        <v>471.32681822750828</v>
      </c>
      <c r="W374" s="6">
        <v>3.7974982775799999</v>
      </c>
      <c r="X374" s="6">
        <v>30.672541691925279</v>
      </c>
      <c r="Y374" s="6">
        <v>-588.18659427796422</v>
      </c>
      <c r="Z374" s="6">
        <v>-82.389736080950613</v>
      </c>
      <c r="AA374" s="6">
        <v>23.828742878116</v>
      </c>
      <c r="AB374" s="6">
        <v>-58.560993202834609</v>
      </c>
      <c r="AC374" s="6">
        <v>0</v>
      </c>
      <c r="AD374" s="6">
        <v>25.357296107441471</v>
      </c>
      <c r="AE374" s="6">
        <v>0</v>
      </c>
      <c r="AF374" s="6">
        <v>0</v>
      </c>
      <c r="AG374" s="6">
        <v>-33.203697095393139</v>
      </c>
      <c r="AH374" s="6">
        <v>37.807079652508357</v>
      </c>
      <c r="AI374" s="6">
        <v>0</v>
      </c>
      <c r="AJ374" s="6">
        <v>24.6249505324136</v>
      </c>
      <c r="AK374" s="6">
        <v>3.8710369820873471</v>
      </c>
      <c r="AL374" s="6">
        <v>0</v>
      </c>
      <c r="AM374" s="6">
        <v>0</v>
      </c>
      <c r="AN374" s="6">
        <v>0</v>
      </c>
      <c r="AO374" s="6">
        <v>0</v>
      </c>
      <c r="AP374" s="6">
        <v>0</v>
      </c>
      <c r="AQ374" s="6">
        <v>3.8710369820873471</v>
      </c>
      <c r="AR374" s="6">
        <v>420.00043847386911</v>
      </c>
      <c r="AS374" s="6">
        <v>100.370778</v>
      </c>
      <c r="AT374" s="6">
        <v>502.39017455481968</v>
      </c>
      <c r="AU374" s="6">
        <v>478.56143167670371</v>
      </c>
    </row>
    <row r="375" spans="1:47" x14ac:dyDescent="0.35">
      <c r="A375" s="5">
        <v>46022</v>
      </c>
      <c r="B375" s="4" t="s">
        <v>565</v>
      </c>
      <c r="C375" s="4" t="s">
        <v>566</v>
      </c>
      <c r="D375" s="4" t="s">
        <v>61</v>
      </c>
      <c r="E375" s="6">
        <v>1000</v>
      </c>
      <c r="F375" s="7">
        <v>0.54</v>
      </c>
      <c r="G375" s="6">
        <v>87</v>
      </c>
      <c r="H375" s="6">
        <v>4.6980000000000004</v>
      </c>
      <c r="I375" s="6">
        <v>96.990585999999993</v>
      </c>
      <c r="J375" s="6">
        <v>4.5566180000000003</v>
      </c>
      <c r="K375" s="8">
        <v>50.085999999999999</v>
      </c>
      <c r="L375" s="6">
        <v>32.845010806739118</v>
      </c>
      <c r="M375" s="6">
        <v>27.892535545007942</v>
      </c>
      <c r="N375" s="6">
        <v>24.724797753755091</v>
      </c>
      <c r="O375" s="6">
        <v>106.20429285980759</v>
      </c>
      <c r="P375" s="6">
        <v>191.66663696530981</v>
      </c>
      <c r="Q375" s="6">
        <v>4.6320571093743199</v>
      </c>
      <c r="R375" s="6">
        <v>19.011851995840551</v>
      </c>
      <c r="S375" s="6">
        <v>46.203256320364133</v>
      </c>
      <c r="T375" s="6">
        <v>85.182968703305818</v>
      </c>
      <c r="U375" s="6">
        <v>155.03013412888481</v>
      </c>
      <c r="V375" s="6">
        <v>346.69677109419462</v>
      </c>
      <c r="W375" s="6">
        <v>2.9728632404857942</v>
      </c>
      <c r="X375" s="6">
        <v>25.814134609907612</v>
      </c>
      <c r="Y375" s="6">
        <v>-286.86600161045101</v>
      </c>
      <c r="Z375" s="6">
        <v>88.617767334136957</v>
      </c>
      <c r="AA375" s="6">
        <v>59.16659854132751</v>
      </c>
      <c r="AB375" s="6">
        <v>147.78436587546449</v>
      </c>
      <c r="AC375" s="6">
        <v>0</v>
      </c>
      <c r="AD375" s="6">
        <v>64.010295050456506</v>
      </c>
      <c r="AE375" s="6">
        <v>0</v>
      </c>
      <c r="AF375" s="6">
        <v>0</v>
      </c>
      <c r="AG375" s="6">
        <v>211.79466092592099</v>
      </c>
      <c r="AH375" s="6">
        <v>81.552810617799423</v>
      </c>
      <c r="AI375" s="6">
        <v>0</v>
      </c>
      <c r="AJ375" s="6">
        <v>126.61825797785571</v>
      </c>
      <c r="AK375" s="6">
        <v>355.95543447111959</v>
      </c>
      <c r="AL375" s="6">
        <v>0</v>
      </c>
      <c r="AM375" s="6">
        <v>0</v>
      </c>
      <c r="AN375" s="6">
        <v>0</v>
      </c>
      <c r="AO375" s="6">
        <v>0</v>
      </c>
      <c r="AP375" s="6">
        <v>0</v>
      </c>
      <c r="AQ375" s="6">
        <v>355.95543447111959</v>
      </c>
      <c r="AR375" s="6">
        <v>419.99834052253863</v>
      </c>
      <c r="AS375" s="6">
        <v>84.316757999999993</v>
      </c>
      <c r="AT375" s="6">
        <v>331.38057318840163</v>
      </c>
      <c r="AU375" s="6">
        <v>272.21397464707411</v>
      </c>
    </row>
    <row r="376" spans="1:47" x14ac:dyDescent="0.35">
      <c r="A376" s="5">
        <v>46022</v>
      </c>
      <c r="B376" s="4" t="s">
        <v>539</v>
      </c>
      <c r="C376" s="4" t="s">
        <v>540</v>
      </c>
      <c r="D376" s="4" t="s">
        <v>61</v>
      </c>
      <c r="E376" s="6">
        <v>1500</v>
      </c>
      <c r="F376" s="7">
        <v>0.94</v>
      </c>
      <c r="G376" s="6">
        <v>80</v>
      </c>
      <c r="H376" s="6">
        <v>11.28</v>
      </c>
      <c r="I376" s="6">
        <v>97</v>
      </c>
      <c r="J376" s="6">
        <v>10.941599999999999</v>
      </c>
      <c r="K376" s="8">
        <v>82.191999999999993</v>
      </c>
      <c r="L376" s="6">
        <v>30.00207210921543</v>
      </c>
      <c r="M376" s="6">
        <v>4.0823064565425531</v>
      </c>
      <c r="N376" s="6">
        <v>28.605073026808508</v>
      </c>
      <c r="O376" s="6">
        <v>31.198852295904249</v>
      </c>
      <c r="P376" s="6">
        <v>93.888303888470745</v>
      </c>
      <c r="Q376" s="6">
        <v>6.553005639827127</v>
      </c>
      <c r="R376" s="6">
        <v>9.2917349821941482</v>
      </c>
      <c r="S376" s="6">
        <v>26.525838535186171</v>
      </c>
      <c r="T376" s="6">
        <v>26.899947771914889</v>
      </c>
      <c r="U376" s="6">
        <v>69.27052692912234</v>
      </c>
      <c r="V376" s="6">
        <v>163.1588308175931</v>
      </c>
      <c r="W376" s="6">
        <v>8.5629435044283451</v>
      </c>
      <c r="X376" s="6">
        <v>27.68929828113475</v>
      </c>
      <c r="Y376" s="6">
        <v>-88.797431972795309</v>
      </c>
      <c r="Z376" s="6">
        <v>110.6136406303609</v>
      </c>
      <c r="AA376" s="6">
        <v>50.658813839080871</v>
      </c>
      <c r="AB376" s="6">
        <v>161.2724544694417</v>
      </c>
      <c r="AC376" s="6">
        <v>0</v>
      </c>
      <c r="AD376" s="6">
        <v>8.0366576296143624</v>
      </c>
      <c r="AE376" s="6">
        <v>0</v>
      </c>
      <c r="AF376" s="6">
        <v>0</v>
      </c>
      <c r="AG376" s="6">
        <v>169.30911209905611</v>
      </c>
      <c r="AH376" s="6">
        <v>8.3860799598271285</v>
      </c>
      <c r="AI376" s="6">
        <v>0</v>
      </c>
      <c r="AJ376" s="6">
        <v>11.60947483890957</v>
      </c>
      <c r="AK376" s="6">
        <v>181.26800926817839</v>
      </c>
      <c r="AL376" s="6">
        <v>0</v>
      </c>
      <c r="AM376" s="6">
        <v>0</v>
      </c>
      <c r="AN376" s="6">
        <v>0</v>
      </c>
      <c r="AO376" s="6">
        <v>0</v>
      </c>
      <c r="AP376" s="6">
        <v>0</v>
      </c>
      <c r="AQ376" s="6">
        <v>181.26800926817839</v>
      </c>
      <c r="AR376" s="6">
        <v>419.99999964779198</v>
      </c>
      <c r="AS376" s="6">
        <v>123.406729</v>
      </c>
      <c r="AT376" s="6">
        <v>309.38635901743112</v>
      </c>
      <c r="AU376" s="6">
        <v>258.72754517835023</v>
      </c>
    </row>
    <row r="377" spans="1:47" x14ac:dyDescent="0.35">
      <c r="A377" s="5">
        <v>46022</v>
      </c>
      <c r="B377" s="4" t="s">
        <v>669</v>
      </c>
      <c r="C377" s="4" t="s">
        <v>670</v>
      </c>
      <c r="D377" s="4" t="s">
        <v>61</v>
      </c>
      <c r="E377" s="6">
        <v>189.25</v>
      </c>
      <c r="F377" s="7">
        <v>0.75</v>
      </c>
      <c r="G377" s="6">
        <v>93</v>
      </c>
      <c r="H377" s="6">
        <v>1.32</v>
      </c>
      <c r="I377" s="6">
        <v>97</v>
      </c>
      <c r="J377" s="6">
        <v>1.2804</v>
      </c>
      <c r="K377" s="8">
        <v>100</v>
      </c>
      <c r="L377" s="6">
        <v>69.590656240179385</v>
      </c>
      <c r="M377" s="6">
        <v>0</v>
      </c>
      <c r="N377" s="6">
        <v>22.461499881731459</v>
      </c>
      <c r="O377" s="6">
        <v>19.66923656633104</v>
      </c>
      <c r="P377" s="6">
        <v>111.72139268824191</v>
      </c>
      <c r="Q377" s="6">
        <v>24.128185138095208</v>
      </c>
      <c r="R377" s="6">
        <v>10.34400390071125</v>
      </c>
      <c r="S377" s="6">
        <v>20.87922895719208</v>
      </c>
      <c r="T377" s="6">
        <v>21.39369981583771</v>
      </c>
      <c r="U377" s="6">
        <v>76.745117811836252</v>
      </c>
      <c r="V377" s="6">
        <v>188.4665105000781</v>
      </c>
      <c r="W377" s="6">
        <v>9.4302844078633932</v>
      </c>
      <c r="X377" s="6">
        <v>24.50725439630417</v>
      </c>
      <c r="Y377" s="6">
        <v>1.043262451E-15</v>
      </c>
      <c r="Z377" s="6">
        <v>222.40404930424569</v>
      </c>
      <c r="AA377" s="6">
        <v>55.519724315029329</v>
      </c>
      <c r="AB377" s="6">
        <v>277.92377361927498</v>
      </c>
      <c r="AC377" s="6">
        <v>0</v>
      </c>
      <c r="AD377" s="6">
        <v>25.71166284364708</v>
      </c>
      <c r="AE377" s="6">
        <v>0</v>
      </c>
      <c r="AF377" s="6">
        <v>0</v>
      </c>
      <c r="AG377" s="6">
        <v>303.63543646292209</v>
      </c>
      <c r="AH377" s="6">
        <v>8.1938285360283327</v>
      </c>
      <c r="AI377" s="6">
        <v>0</v>
      </c>
      <c r="AJ377" s="6">
        <v>7.638152810144792</v>
      </c>
      <c r="AK377" s="6">
        <v>293.75575496544809</v>
      </c>
      <c r="AL377" s="6">
        <v>0</v>
      </c>
      <c r="AM377" s="6">
        <v>0</v>
      </c>
      <c r="AN377" s="6">
        <v>0</v>
      </c>
      <c r="AO377" s="6">
        <v>0</v>
      </c>
      <c r="AP377" s="6">
        <v>0</v>
      </c>
      <c r="AQ377" s="6">
        <v>293.75575496544809</v>
      </c>
      <c r="AR377" s="6">
        <v>419.99999964779192</v>
      </c>
      <c r="AS377" s="6">
        <v>11.855755</v>
      </c>
      <c r="AT377" s="6">
        <v>197.59595034354629</v>
      </c>
      <c r="AU377" s="6">
        <v>142.07622602851691</v>
      </c>
    </row>
    <row r="378" spans="1:47" x14ac:dyDescent="0.35">
      <c r="A378" s="5">
        <v>46022</v>
      </c>
      <c r="B378" s="4" t="s">
        <v>671</v>
      </c>
      <c r="C378" s="4" t="s">
        <v>672</v>
      </c>
      <c r="D378" s="4" t="s">
        <v>50</v>
      </c>
      <c r="E378" s="6">
        <v>3068</v>
      </c>
      <c r="F378" s="7">
        <v>0.13</v>
      </c>
      <c r="G378" s="6">
        <v>55.16</v>
      </c>
      <c r="H378" s="6">
        <v>2.2000000000000002</v>
      </c>
      <c r="I378" s="6">
        <v>97</v>
      </c>
      <c r="J378" s="6">
        <v>2.1339999999999999</v>
      </c>
      <c r="K378" s="8">
        <v>3.5710000000000002</v>
      </c>
      <c r="L378" s="6">
        <v>2263.2770135828582</v>
      </c>
      <c r="M378" s="6">
        <v>599.74597538874195</v>
      </c>
      <c r="N378" s="6">
        <v>293.14941524341202</v>
      </c>
      <c r="O378" s="6">
        <v>965.21796737311399</v>
      </c>
      <c r="P378" s="6">
        <v>4121.3903715881261</v>
      </c>
      <c r="Q378" s="6">
        <v>496.42852099495201</v>
      </c>
      <c r="R378" s="6">
        <v>519.11671013766204</v>
      </c>
      <c r="S378" s="6">
        <v>81.460455797083995</v>
      </c>
      <c r="T378" s="6">
        <v>487.64278605842799</v>
      </c>
      <c r="U378" s="6">
        <v>1584.6484729881261</v>
      </c>
      <c r="V378" s="6">
        <v>5706.0388445762519</v>
      </c>
      <c r="W378" s="6">
        <v>11.0696520660572</v>
      </c>
      <c r="X378" s="6">
        <v>22.963871999999999</v>
      </c>
      <c r="Y378" s="6">
        <v>-10569.158254918229</v>
      </c>
      <c r="Z378" s="6">
        <v>-4829.0858862759169</v>
      </c>
      <c r="AA378" s="6">
        <v>128.6885648470433</v>
      </c>
      <c r="AB378" s="6">
        <v>-4700.3973214288744</v>
      </c>
      <c r="AC378" s="6">
        <v>0</v>
      </c>
      <c r="AD378" s="6">
        <v>2168.2012966726838</v>
      </c>
      <c r="AE378" s="6">
        <v>0</v>
      </c>
      <c r="AF378" s="6">
        <v>0</v>
      </c>
      <c r="AG378" s="6">
        <v>-2532.1960247561901</v>
      </c>
      <c r="AH378" s="6">
        <v>123.53033122320799</v>
      </c>
      <c r="AI378" s="6">
        <v>0</v>
      </c>
      <c r="AJ378" s="6">
        <v>2159.558832223338</v>
      </c>
      <c r="AK378" s="6">
        <v>-2417.3081579823279</v>
      </c>
      <c r="AL378" s="6">
        <v>0</v>
      </c>
      <c r="AM378" s="6">
        <v>0</v>
      </c>
      <c r="AN378" s="6">
        <v>0</v>
      </c>
      <c r="AO378" s="6">
        <v>0</v>
      </c>
      <c r="AP378" s="6">
        <v>0</v>
      </c>
      <c r="AQ378" s="6">
        <v>-2417.3081579823279</v>
      </c>
      <c r="AR378" s="6">
        <v>419.99999964779198</v>
      </c>
      <c r="AS378" s="6">
        <v>605.43715699999996</v>
      </c>
      <c r="AT378" s="6">
        <v>5249.0858859237087</v>
      </c>
      <c r="AU378" s="6">
        <v>5120.3973210766662</v>
      </c>
    </row>
    <row r="379" spans="1:47" x14ac:dyDescent="0.35">
      <c r="A379" s="5">
        <v>46022</v>
      </c>
      <c r="B379" s="4" t="s">
        <v>541</v>
      </c>
      <c r="C379" s="4" t="s">
        <v>542</v>
      </c>
      <c r="D379" s="4" t="s">
        <v>50</v>
      </c>
      <c r="E379" s="6">
        <v>825</v>
      </c>
      <c r="F379" s="7">
        <v>0.2</v>
      </c>
      <c r="G379" s="6">
        <v>66</v>
      </c>
      <c r="H379" s="6">
        <v>1.089</v>
      </c>
      <c r="I379" s="6">
        <v>97</v>
      </c>
      <c r="J379" s="6">
        <v>1.05633</v>
      </c>
      <c r="K379" s="8">
        <v>13.045999999999999</v>
      </c>
      <c r="L379" s="6">
        <v>998.5161871941666</v>
      </c>
      <c r="M379" s="6">
        <v>23.497742694999999</v>
      </c>
      <c r="N379" s="6">
        <v>33.388529084166663</v>
      </c>
      <c r="O379" s="6">
        <v>94.144966877499996</v>
      </c>
      <c r="P379" s="6">
        <v>1149.547425850833</v>
      </c>
      <c r="Q379" s="6">
        <v>265.9498433491666</v>
      </c>
      <c r="R379" s="6">
        <v>19.411266542500002</v>
      </c>
      <c r="S379" s="6">
        <v>61.881137150000001</v>
      </c>
      <c r="T379" s="6">
        <v>47.011108182500003</v>
      </c>
      <c r="U379" s="6">
        <v>394.25335522416663</v>
      </c>
      <c r="V379" s="6">
        <v>1543.800781075</v>
      </c>
      <c r="W379" s="6">
        <v>5.0692264742079418</v>
      </c>
      <c r="X379" s="6">
        <v>23.718021816455082</v>
      </c>
      <c r="Y379" s="6">
        <v>-2711.817060738314</v>
      </c>
      <c r="Z379" s="6">
        <v>-1139.229031372651</v>
      </c>
      <c r="AA379" s="6">
        <v>36.702828222535878</v>
      </c>
      <c r="AB379" s="6">
        <v>-1102.5262031501161</v>
      </c>
      <c r="AC379" s="6">
        <v>0</v>
      </c>
      <c r="AD379" s="6">
        <v>661.32141500249998</v>
      </c>
      <c r="AE379" s="6">
        <v>0</v>
      </c>
      <c r="AF379" s="6">
        <v>0</v>
      </c>
      <c r="AG379" s="6">
        <v>-441.2047881476156</v>
      </c>
      <c r="AH379" s="6">
        <v>21.47021597583333</v>
      </c>
      <c r="AI379" s="6">
        <v>0</v>
      </c>
      <c r="AJ379" s="6">
        <v>275.09155049250001</v>
      </c>
      <c r="AK379" s="6">
        <v>-805.96443668178233</v>
      </c>
      <c r="AL379" s="6">
        <v>0</v>
      </c>
      <c r="AM379" s="6">
        <v>0</v>
      </c>
      <c r="AN379" s="6">
        <v>0</v>
      </c>
      <c r="AO379" s="6">
        <v>0</v>
      </c>
      <c r="AP379" s="6">
        <v>0</v>
      </c>
      <c r="AQ379" s="6">
        <v>-805.96443668178233</v>
      </c>
      <c r="AR379" s="6">
        <v>419.98807155714849</v>
      </c>
      <c r="AS379" s="6">
        <v>79.888068000000004</v>
      </c>
      <c r="AT379" s="6">
        <v>1559.2171029297999</v>
      </c>
      <c r="AU379" s="6">
        <v>1522.5142747072639</v>
      </c>
    </row>
    <row r="380" spans="1:47" x14ac:dyDescent="0.35">
      <c r="A380" s="5">
        <v>46022</v>
      </c>
      <c r="B380" s="4" t="s">
        <v>853</v>
      </c>
      <c r="C380" s="4" t="s">
        <v>854</v>
      </c>
      <c r="D380" s="4" t="s">
        <v>50</v>
      </c>
      <c r="E380" s="6">
        <v>581</v>
      </c>
      <c r="F380" s="7">
        <v>0.63</v>
      </c>
      <c r="G380" s="6">
        <v>61.76</v>
      </c>
      <c r="H380" s="6">
        <v>2.2610000000000001</v>
      </c>
      <c r="I380" s="6">
        <v>96.632997000000003</v>
      </c>
      <c r="J380" s="6">
        <v>2.1845859999999999</v>
      </c>
      <c r="K380" s="8">
        <v>24.585000000000001</v>
      </c>
      <c r="L380" s="6">
        <v>232.7392389036109</v>
      </c>
      <c r="M380" s="6">
        <v>295.28548037659681</v>
      </c>
      <c r="N380" s="6">
        <v>60.857040162433613</v>
      </c>
      <c r="O380" s="6">
        <v>372.43781344382978</v>
      </c>
      <c r="P380" s="6">
        <v>961.31957288647106</v>
      </c>
      <c r="Q380" s="6">
        <v>35.790436814592873</v>
      </c>
      <c r="R380" s="6">
        <v>33.476322942878909</v>
      </c>
      <c r="S380" s="6">
        <v>30.382099797533741</v>
      </c>
      <c r="T380" s="6">
        <v>92.057406031230968</v>
      </c>
      <c r="U380" s="6">
        <v>191.7062655862365</v>
      </c>
      <c r="V380" s="6">
        <v>1153.0258384727081</v>
      </c>
      <c r="W380" s="6">
        <v>6.792899891236015</v>
      </c>
      <c r="X380" s="6">
        <v>45.084614833521549</v>
      </c>
      <c r="Y380" s="6">
        <v>-1150.0341120621181</v>
      </c>
      <c r="Z380" s="6">
        <v>54.869241135347053</v>
      </c>
      <c r="AA380" s="6">
        <v>16.567320661684199</v>
      </c>
      <c r="AB380" s="6">
        <v>71.436561797031246</v>
      </c>
      <c r="AC380" s="6">
        <v>22.73780821696819</v>
      </c>
      <c r="AD380" s="6">
        <v>381.34844505533681</v>
      </c>
      <c r="AE380" s="6">
        <v>0</v>
      </c>
      <c r="AF380" s="6">
        <v>0</v>
      </c>
      <c r="AG380" s="6">
        <v>475.52281506933622</v>
      </c>
      <c r="AH380" s="6">
        <v>129.6666662842801</v>
      </c>
      <c r="AI380" s="6">
        <v>0</v>
      </c>
      <c r="AJ380" s="6">
        <v>201.64400629164771</v>
      </c>
      <c r="AK380" s="6">
        <v>425.48504258992728</v>
      </c>
      <c r="AL380" s="6">
        <v>0</v>
      </c>
      <c r="AM380" s="6">
        <v>0</v>
      </c>
      <c r="AN380" s="6">
        <v>0</v>
      </c>
      <c r="AO380" s="6">
        <v>0</v>
      </c>
      <c r="AP380" s="6">
        <v>0</v>
      </c>
      <c r="AQ380" s="6">
        <v>425.48504258992728</v>
      </c>
      <c r="AR380" s="6">
        <v>420.00269123328923</v>
      </c>
      <c r="AS380" s="6">
        <v>94.647265000000004</v>
      </c>
      <c r="AT380" s="6">
        <v>365.1334500979421</v>
      </c>
      <c r="AU380" s="6">
        <v>348.56612943625788</v>
      </c>
    </row>
    <row r="381" spans="1:47" x14ac:dyDescent="0.35">
      <c r="A381" s="5">
        <v>46022</v>
      </c>
      <c r="B381" s="4" t="s">
        <v>567</v>
      </c>
      <c r="C381" s="4" t="s">
        <v>568</v>
      </c>
      <c r="D381" s="4" t="s">
        <v>61</v>
      </c>
      <c r="E381" s="6">
        <v>500</v>
      </c>
      <c r="F381" s="7">
        <v>0.28999999999999998</v>
      </c>
      <c r="G381" s="6">
        <v>87.6</v>
      </c>
      <c r="H381" s="6">
        <v>1.27</v>
      </c>
      <c r="I381" s="6">
        <v>97</v>
      </c>
      <c r="J381" s="6">
        <v>1.232094</v>
      </c>
      <c r="K381" s="8">
        <v>31.248000000000001</v>
      </c>
      <c r="L381" s="6">
        <v>191.17693531833569</v>
      </c>
      <c r="M381" s="6">
        <v>35.488391640056683</v>
      </c>
      <c r="N381" s="6">
        <v>105.5215575637301</v>
      </c>
      <c r="O381" s="6">
        <v>98.179904182254759</v>
      </c>
      <c r="P381" s="6">
        <v>430.3667887043772</v>
      </c>
      <c r="Q381" s="6">
        <v>85.676988014958269</v>
      </c>
      <c r="R381" s="6">
        <v>16.54013248937175</v>
      </c>
      <c r="S381" s="6">
        <v>77.702268130884889</v>
      </c>
      <c r="T381" s="6">
        <v>54.630038691308449</v>
      </c>
      <c r="U381" s="6">
        <v>234.54942732652341</v>
      </c>
      <c r="V381" s="6">
        <v>664.91621603090061</v>
      </c>
      <c r="W381" s="6">
        <v>14.024236241433581</v>
      </c>
      <c r="X381" s="6">
        <v>30.00583702325309</v>
      </c>
      <c r="Y381" s="6">
        <v>-817.98529971426717</v>
      </c>
      <c r="Z381" s="6">
        <v>-109.03901041867989</v>
      </c>
      <c r="AA381" s="6">
        <v>49.687583130882153</v>
      </c>
      <c r="AB381" s="6">
        <v>-59.351427287797712</v>
      </c>
      <c r="AC381" s="6">
        <v>0</v>
      </c>
      <c r="AD381" s="6">
        <v>109.2104142800346</v>
      </c>
      <c r="AE381" s="6">
        <v>0</v>
      </c>
      <c r="AF381" s="6">
        <v>0</v>
      </c>
      <c r="AG381" s="6">
        <v>49.858986992236922</v>
      </c>
      <c r="AH381" s="6">
        <v>16.546722330262948</v>
      </c>
      <c r="AI381" s="6">
        <v>0</v>
      </c>
      <c r="AJ381" s="6">
        <v>42.92718074885844</v>
      </c>
      <c r="AK381" s="6">
        <v>0.122475791323683</v>
      </c>
      <c r="AL381" s="6">
        <v>0</v>
      </c>
      <c r="AM381" s="6">
        <v>0</v>
      </c>
      <c r="AN381" s="6">
        <v>0</v>
      </c>
      <c r="AO381" s="6">
        <v>0</v>
      </c>
      <c r="AP381" s="6">
        <v>0</v>
      </c>
      <c r="AQ381" s="6">
        <v>0.122475791323683</v>
      </c>
      <c r="AR381" s="6">
        <v>420.00204494628213</v>
      </c>
      <c r="AS381" s="6">
        <v>33.741413000000001</v>
      </c>
      <c r="AT381" s="6">
        <v>529.04105536496195</v>
      </c>
      <c r="AU381" s="6">
        <v>479.35347223407979</v>
      </c>
    </row>
    <row r="382" spans="1:47" x14ac:dyDescent="0.35">
      <c r="A382" s="5">
        <v>46022</v>
      </c>
      <c r="B382" s="4" t="s">
        <v>543</v>
      </c>
      <c r="C382" s="4" t="s">
        <v>544</v>
      </c>
      <c r="D382" s="4" t="s">
        <v>61</v>
      </c>
      <c r="E382" s="6">
        <v>73.53</v>
      </c>
      <c r="F382" s="7">
        <v>1.1806000000000001</v>
      </c>
      <c r="G382" s="6">
        <v>91</v>
      </c>
      <c r="H382" s="6">
        <v>0.79</v>
      </c>
      <c r="I382" s="6">
        <v>97</v>
      </c>
      <c r="J382" s="6">
        <v>0.76629999999999998</v>
      </c>
      <c r="K382" s="8">
        <v>87.379000000000005</v>
      </c>
      <c r="L382" s="6">
        <v>15.964140229700661</v>
      </c>
      <c r="M382" s="6">
        <v>12.19746298353046</v>
      </c>
      <c r="N382" s="6">
        <v>3.1026623007908278</v>
      </c>
      <c r="O382" s="6">
        <v>22.049128933681018</v>
      </c>
      <c r="P382" s="6">
        <v>53.313394447702969</v>
      </c>
      <c r="Q382" s="6">
        <v>13.904785112297921</v>
      </c>
      <c r="R382" s="6">
        <v>8.2795432566836276</v>
      </c>
      <c r="S382" s="6">
        <v>9.5978715879894931</v>
      </c>
      <c r="T382" s="6">
        <v>20.75216231336427</v>
      </c>
      <c r="U382" s="6">
        <v>52.534362270335322</v>
      </c>
      <c r="V382" s="6">
        <v>105.8477567180383</v>
      </c>
      <c r="W382" s="6">
        <v>3.4994152521334518</v>
      </c>
      <c r="X382" s="6">
        <v>25.004356950886081</v>
      </c>
      <c r="Y382" s="6">
        <v>-59.308787881511797</v>
      </c>
      <c r="Z382" s="6">
        <v>75.042741039546016</v>
      </c>
      <c r="AA382" s="6">
        <v>33.141822148446238</v>
      </c>
      <c r="AB382" s="6">
        <v>108.1845631879923</v>
      </c>
      <c r="AC382" s="6">
        <v>0</v>
      </c>
      <c r="AD382" s="6">
        <v>13.084487575947421</v>
      </c>
      <c r="AE382" s="6">
        <v>0</v>
      </c>
      <c r="AF382" s="6">
        <v>0</v>
      </c>
      <c r="AG382" s="6">
        <v>121.2690507639397</v>
      </c>
      <c r="AH382" s="6">
        <v>14.423507344507209</v>
      </c>
      <c r="AI382" s="6">
        <v>0</v>
      </c>
      <c r="AJ382" s="6">
        <v>7.5510949841887438</v>
      </c>
      <c r="AK382" s="6">
        <v>130.1591655166882</v>
      </c>
      <c r="AL382" s="6">
        <v>0</v>
      </c>
      <c r="AM382" s="6">
        <v>0</v>
      </c>
      <c r="AN382" s="6">
        <v>0</v>
      </c>
      <c r="AO382" s="6">
        <v>0</v>
      </c>
      <c r="AP382" s="6">
        <v>0</v>
      </c>
      <c r="AQ382" s="6">
        <v>130.1591655166882</v>
      </c>
      <c r="AR382" s="6">
        <v>419.99999964779192</v>
      </c>
      <c r="AS382" s="6">
        <v>8.1380409999999994</v>
      </c>
      <c r="AT382" s="6">
        <v>344.95725860824592</v>
      </c>
      <c r="AU382" s="6">
        <v>311.81543645979968</v>
      </c>
    </row>
    <row r="383" spans="1:47" x14ac:dyDescent="0.35">
      <c r="A383" s="5">
        <v>46022</v>
      </c>
      <c r="B383" s="4" t="s">
        <v>559</v>
      </c>
      <c r="C383" s="4" t="s">
        <v>560</v>
      </c>
      <c r="D383" s="4" t="s">
        <v>61</v>
      </c>
      <c r="E383" s="6">
        <v>83.56</v>
      </c>
      <c r="F383" s="7">
        <v>0.66449999999999998</v>
      </c>
      <c r="G383" s="6">
        <v>90</v>
      </c>
      <c r="H383" s="6">
        <v>0.5</v>
      </c>
      <c r="I383" s="6">
        <v>97</v>
      </c>
      <c r="J383" s="6">
        <v>0.484732</v>
      </c>
      <c r="K383" s="8">
        <v>67.209000000000003</v>
      </c>
      <c r="L383" s="6">
        <v>34.300958545957982</v>
      </c>
      <c r="M383" s="6">
        <v>0</v>
      </c>
      <c r="N383" s="6">
        <v>14.18032769705767</v>
      </c>
      <c r="O383" s="6">
        <v>50.3250386404507</v>
      </c>
      <c r="P383" s="6">
        <v>98.806324883466345</v>
      </c>
      <c r="Q383" s="6">
        <v>17.70523998752882</v>
      </c>
      <c r="R383" s="6">
        <v>9.2971494959085348</v>
      </c>
      <c r="S383" s="6">
        <v>24.14952986010988</v>
      </c>
      <c r="T383" s="6">
        <v>14.678027778691691</v>
      </c>
      <c r="U383" s="6">
        <v>65.82994712223892</v>
      </c>
      <c r="V383" s="6">
        <v>164.63627200570531</v>
      </c>
      <c r="W383" s="6">
        <v>5.3329745165568143</v>
      </c>
      <c r="X383" s="6">
        <v>31.380722530734509</v>
      </c>
      <c r="Y383" s="6">
        <v>-1.5875732950000001E-15</v>
      </c>
      <c r="Z383" s="6">
        <v>201.34996905299661</v>
      </c>
      <c r="AA383" s="6">
        <v>29.502717178526272</v>
      </c>
      <c r="AB383" s="6">
        <v>230.8526862315228</v>
      </c>
      <c r="AC383" s="6">
        <v>0</v>
      </c>
      <c r="AD383" s="6">
        <v>5.3603606944623454</v>
      </c>
      <c r="AE383" s="6">
        <v>0</v>
      </c>
      <c r="AF383" s="6">
        <v>0</v>
      </c>
      <c r="AG383" s="6">
        <v>236.2130469259852</v>
      </c>
      <c r="AH383" s="6">
        <v>4.0202666112453249</v>
      </c>
      <c r="AI383" s="6">
        <v>0</v>
      </c>
      <c r="AJ383" s="6">
        <v>9.3586553456537587</v>
      </c>
      <c r="AK383" s="6">
        <v>244.23160818842189</v>
      </c>
      <c r="AL383" s="6">
        <v>0</v>
      </c>
      <c r="AM383" s="6">
        <v>0</v>
      </c>
      <c r="AN383" s="6">
        <v>0</v>
      </c>
      <c r="AO383" s="6">
        <v>0</v>
      </c>
      <c r="AP383" s="6">
        <v>0</v>
      </c>
      <c r="AQ383" s="6">
        <v>244.23160818842189</v>
      </c>
      <c r="AR383" s="6">
        <v>419.97227298648482</v>
      </c>
      <c r="AS383" s="6">
        <v>6.4880389999999997</v>
      </c>
      <c r="AT383" s="6">
        <v>218.62230393348821</v>
      </c>
      <c r="AU383" s="6">
        <v>189.119586754962</v>
      </c>
    </row>
    <row r="384" spans="1:47" x14ac:dyDescent="0.35">
      <c r="A384" s="5">
        <v>46022</v>
      </c>
      <c r="B384" s="4" t="s">
        <v>855</v>
      </c>
      <c r="C384" s="4" t="s">
        <v>856</v>
      </c>
      <c r="D384" s="4" t="s">
        <v>61</v>
      </c>
      <c r="E384" s="6">
        <v>1250</v>
      </c>
      <c r="F384" s="7">
        <v>0.45</v>
      </c>
      <c r="G384" s="6">
        <v>87</v>
      </c>
      <c r="H384" s="6">
        <v>4.8940000000000001</v>
      </c>
      <c r="I384" s="6">
        <v>97</v>
      </c>
      <c r="J384" s="6">
        <v>4.7469380000000001</v>
      </c>
      <c r="K384" s="8">
        <v>90.384</v>
      </c>
      <c r="L384" s="6">
        <v>40.390254972190228</v>
      </c>
      <c r="M384" s="6">
        <v>0</v>
      </c>
      <c r="N384" s="6">
        <v>21.39674610873551</v>
      </c>
      <c r="O384" s="6">
        <v>43.930485983048698</v>
      </c>
      <c r="P384" s="6">
        <v>105.7174870639744</v>
      </c>
      <c r="Q384" s="6">
        <v>9.6809600588637341</v>
      </c>
      <c r="R384" s="6">
        <v>10.627405752225959</v>
      </c>
      <c r="S384" s="6">
        <v>40.451732495395447</v>
      </c>
      <c r="T384" s="6">
        <v>34.514081133330578</v>
      </c>
      <c r="U384" s="6">
        <v>95.274179439815725</v>
      </c>
      <c r="V384" s="6">
        <v>200.99166650379021</v>
      </c>
      <c r="W384" s="6">
        <v>3.4887909371380661</v>
      </c>
      <c r="X384" s="6">
        <v>23.587281872604191</v>
      </c>
      <c r="Y384" s="6">
        <v>-28.534090005487261</v>
      </c>
      <c r="Z384" s="6">
        <v>199.5336493080452</v>
      </c>
      <c r="AA384" s="6">
        <v>44.759822170914397</v>
      </c>
      <c r="AB384" s="6">
        <v>244.29347147895959</v>
      </c>
      <c r="AC384" s="6">
        <v>0</v>
      </c>
      <c r="AD384" s="6">
        <v>5.3693754495848163</v>
      </c>
      <c r="AE384" s="6">
        <v>0</v>
      </c>
      <c r="AF384" s="6">
        <v>0</v>
      </c>
      <c r="AG384" s="6">
        <v>249.66284692854441</v>
      </c>
      <c r="AH384" s="6">
        <v>14.564427771609299</v>
      </c>
      <c r="AI384" s="6">
        <v>0</v>
      </c>
      <c r="AJ384" s="6">
        <v>11.59449126686245</v>
      </c>
      <c r="AK384" s="6">
        <v>270.4523905174313</v>
      </c>
      <c r="AL384" s="6">
        <v>0</v>
      </c>
      <c r="AM384" s="6">
        <v>0</v>
      </c>
      <c r="AN384" s="6">
        <v>0</v>
      </c>
      <c r="AO384" s="6">
        <v>0</v>
      </c>
      <c r="AP384" s="6">
        <v>0</v>
      </c>
      <c r="AQ384" s="6">
        <v>270.4523905174313</v>
      </c>
      <c r="AR384" s="6">
        <v>419.99663748043548</v>
      </c>
      <c r="AS384" s="6">
        <v>48.447192000000001</v>
      </c>
      <c r="AT384" s="6">
        <v>220.46298817239031</v>
      </c>
      <c r="AU384" s="6">
        <v>175.70316600147589</v>
      </c>
    </row>
    <row r="385" spans="1:47" x14ac:dyDescent="0.35">
      <c r="A385" s="5">
        <v>46022</v>
      </c>
      <c r="B385" s="4" t="s">
        <v>857</v>
      </c>
      <c r="C385" s="4" t="s">
        <v>858</v>
      </c>
      <c r="D385" s="4" t="s">
        <v>61</v>
      </c>
      <c r="E385" s="6">
        <v>3373.831725</v>
      </c>
      <c r="F385" s="7">
        <v>0.5998</v>
      </c>
      <c r="G385" s="6">
        <v>88</v>
      </c>
      <c r="H385" s="6">
        <v>17.808</v>
      </c>
      <c r="I385" s="6">
        <v>97</v>
      </c>
      <c r="J385" s="6">
        <v>17.273595</v>
      </c>
      <c r="K385" s="8">
        <v>43.899000000000001</v>
      </c>
      <c r="L385" s="6">
        <v>36.14059220472533</v>
      </c>
      <c r="M385" s="6">
        <v>18.98178219145052</v>
      </c>
      <c r="N385" s="6">
        <v>0.92061131552721243</v>
      </c>
      <c r="O385" s="6">
        <v>25.76841686159355</v>
      </c>
      <c r="P385" s="6">
        <v>81.811402573296604</v>
      </c>
      <c r="Q385" s="6">
        <v>18.675272036962681</v>
      </c>
      <c r="R385" s="6">
        <v>10.908224810063629</v>
      </c>
      <c r="S385" s="6">
        <v>29.856730933061499</v>
      </c>
      <c r="T385" s="6">
        <v>37.455749961272332</v>
      </c>
      <c r="U385" s="6">
        <v>96.895977741360142</v>
      </c>
      <c r="V385" s="6">
        <v>178.7073803146568</v>
      </c>
      <c r="W385" s="6">
        <v>3.9885401725832992</v>
      </c>
      <c r="X385" s="6">
        <v>25.82014587878713</v>
      </c>
      <c r="Y385" s="6">
        <v>-506.18329372510283</v>
      </c>
      <c r="Z385" s="6">
        <v>-297.66722735907558</v>
      </c>
      <c r="AA385" s="6">
        <v>36.171323757071001</v>
      </c>
      <c r="AB385" s="6">
        <v>-261.4959036020046</v>
      </c>
      <c r="AC385" s="6">
        <v>0</v>
      </c>
      <c r="AD385" s="6">
        <v>9.7076107939384446</v>
      </c>
      <c r="AE385" s="6">
        <v>0</v>
      </c>
      <c r="AF385" s="6">
        <v>0</v>
      </c>
      <c r="AG385" s="6">
        <v>-251.78829280806619</v>
      </c>
      <c r="AH385" s="6">
        <v>17.24968132161316</v>
      </c>
      <c r="AI385" s="6">
        <v>0</v>
      </c>
      <c r="AJ385" s="6">
        <v>15.196150995031759</v>
      </c>
      <c r="AK385" s="6">
        <v>-229.05007128535971</v>
      </c>
      <c r="AL385" s="6">
        <v>0</v>
      </c>
      <c r="AM385" s="6">
        <v>0</v>
      </c>
      <c r="AN385" s="6">
        <v>0</v>
      </c>
      <c r="AO385" s="6">
        <v>0</v>
      </c>
      <c r="AP385" s="6">
        <v>0</v>
      </c>
      <c r="AQ385" s="6">
        <v>-229.05007128535971</v>
      </c>
      <c r="AR385" s="6">
        <v>420.0001212206318</v>
      </c>
      <c r="AS385" s="6">
        <v>401.925972</v>
      </c>
      <c r="AT385" s="6">
        <v>717.66734857970744</v>
      </c>
      <c r="AU385" s="6">
        <v>681.4960248226364</v>
      </c>
    </row>
    <row r="386" spans="1:47" x14ac:dyDescent="0.35">
      <c r="A386" s="5">
        <v>46022</v>
      </c>
      <c r="B386" s="4" t="s">
        <v>859</v>
      </c>
      <c r="C386" s="4" t="s">
        <v>860</v>
      </c>
      <c r="D386" s="4" t="s">
        <v>61</v>
      </c>
      <c r="E386" s="6">
        <v>1850</v>
      </c>
      <c r="F386" s="7">
        <v>0.63</v>
      </c>
      <c r="G386" s="6">
        <v>70</v>
      </c>
      <c r="H386" s="6">
        <v>8.1579999999999995</v>
      </c>
      <c r="I386" s="6">
        <v>97</v>
      </c>
      <c r="J386" s="6">
        <v>7.9137449999999996</v>
      </c>
      <c r="K386" s="8">
        <v>81.873999999999995</v>
      </c>
      <c r="L386" s="6">
        <v>113.150666912381</v>
      </c>
      <c r="M386" s="6">
        <v>3.103158404761905</v>
      </c>
      <c r="N386" s="6">
        <v>61.396283289523808</v>
      </c>
      <c r="O386" s="6">
        <v>52.23540763746032</v>
      </c>
      <c r="P386" s="6">
        <v>229.88551624412699</v>
      </c>
      <c r="Q386" s="6">
        <v>55.186636933650803</v>
      </c>
      <c r="R386" s="6">
        <v>9.4854321955555552</v>
      </c>
      <c r="S386" s="6">
        <v>35.41535596238095</v>
      </c>
      <c r="T386" s="6">
        <v>27.23891264634921</v>
      </c>
      <c r="U386" s="6">
        <v>127.3263377379365</v>
      </c>
      <c r="V386" s="6">
        <v>357.21185398206347</v>
      </c>
      <c r="W386" s="6">
        <v>2.2652234614240001</v>
      </c>
      <c r="X386" s="6">
        <v>22.963826509527411</v>
      </c>
      <c r="Y386" s="6">
        <v>-91.137575347172302</v>
      </c>
      <c r="Z386" s="6">
        <v>291.30332860584258</v>
      </c>
      <c r="AA386" s="6">
        <v>49.016685029336571</v>
      </c>
      <c r="AB386" s="6">
        <v>340.32001363517918</v>
      </c>
      <c r="AC386" s="6">
        <v>0</v>
      </c>
      <c r="AD386" s="6">
        <v>6.7084632965079356</v>
      </c>
      <c r="AE386" s="6">
        <v>0</v>
      </c>
      <c r="AF386" s="6">
        <v>0</v>
      </c>
      <c r="AG386" s="6">
        <v>347.02847693168712</v>
      </c>
      <c r="AH386" s="6">
        <v>15.70921321793651</v>
      </c>
      <c r="AI386" s="6">
        <v>0</v>
      </c>
      <c r="AJ386" s="6">
        <v>30.688216627619049</v>
      </c>
      <c r="AK386" s="6">
        <v>386.71744348073469</v>
      </c>
      <c r="AL386" s="6">
        <v>0</v>
      </c>
      <c r="AM386" s="6">
        <v>0</v>
      </c>
      <c r="AN386" s="6">
        <v>0</v>
      </c>
      <c r="AO386" s="6">
        <v>0</v>
      </c>
      <c r="AP386" s="6">
        <v>0</v>
      </c>
      <c r="AQ386" s="6">
        <v>386.71744348073469</v>
      </c>
      <c r="AR386" s="6">
        <v>419.99761139798301</v>
      </c>
      <c r="AS386" s="6">
        <v>90.026066999999998</v>
      </c>
      <c r="AT386" s="6">
        <v>128.6942827921404</v>
      </c>
      <c r="AU386" s="6">
        <v>79.677597762803856</v>
      </c>
    </row>
    <row r="387" spans="1:47" x14ac:dyDescent="0.35">
      <c r="A387" s="5">
        <v>46022</v>
      </c>
      <c r="B387" s="4" t="s">
        <v>561</v>
      </c>
      <c r="C387" s="4" t="s">
        <v>562</v>
      </c>
      <c r="D387" s="4" t="s">
        <v>61</v>
      </c>
      <c r="E387" s="6">
        <v>6250</v>
      </c>
      <c r="F387" s="7">
        <v>0.2</v>
      </c>
      <c r="G387" s="6">
        <v>80</v>
      </c>
      <c r="H387" s="6">
        <v>10</v>
      </c>
      <c r="I387" s="6">
        <v>97</v>
      </c>
      <c r="J387" s="6">
        <v>9.6999999999999993</v>
      </c>
      <c r="K387" s="8">
        <v>43.506999999999998</v>
      </c>
      <c r="L387" s="6">
        <v>49.387879593937498</v>
      </c>
      <c r="M387" s="6">
        <v>13.616305183250001</v>
      </c>
      <c r="N387" s="6">
        <v>8.9705490008749997</v>
      </c>
      <c r="O387" s="6">
        <v>47.215370880562503</v>
      </c>
      <c r="P387" s="6">
        <v>119.190104658625</v>
      </c>
      <c r="Q387" s="6">
        <v>18.577150240687502</v>
      </c>
      <c r="R387" s="6">
        <v>29.290844197999998</v>
      </c>
      <c r="S387" s="6">
        <v>73.720626007875012</v>
      </c>
      <c r="T387" s="6">
        <v>53.513816582187502</v>
      </c>
      <c r="U387" s="6">
        <v>175.10243702874999</v>
      </c>
      <c r="V387" s="6">
        <v>294.29254168737498</v>
      </c>
      <c r="W387" s="6">
        <v>10.873899126680479</v>
      </c>
      <c r="X387" s="6">
        <v>29.947136965599999</v>
      </c>
      <c r="Y387" s="6">
        <v>-502.1140641676746</v>
      </c>
      <c r="Z387" s="6">
        <v>-167.00048638801911</v>
      </c>
      <c r="AA387" s="6">
        <v>37.842527546227927</v>
      </c>
      <c r="AB387" s="6">
        <v>-129.1579588417911</v>
      </c>
      <c r="AC387" s="6">
        <v>0</v>
      </c>
      <c r="AD387" s="6">
        <v>20.528415768437501</v>
      </c>
      <c r="AE387" s="6">
        <v>0</v>
      </c>
      <c r="AF387" s="6">
        <v>0</v>
      </c>
      <c r="AG387" s="6">
        <v>-108.6295430733536</v>
      </c>
      <c r="AH387" s="6">
        <v>20.528415768437501</v>
      </c>
      <c r="AI387" s="6">
        <v>0</v>
      </c>
      <c r="AJ387" s="6">
        <v>24.634098922124998</v>
      </c>
      <c r="AK387" s="6">
        <v>-83.995444151228625</v>
      </c>
      <c r="AL387" s="6">
        <v>595.82476247043746</v>
      </c>
      <c r="AM387" s="6">
        <v>0</v>
      </c>
      <c r="AN387" s="6">
        <v>0</v>
      </c>
      <c r="AO387" s="6">
        <v>0</v>
      </c>
      <c r="AP387" s="6">
        <v>0</v>
      </c>
      <c r="AQ387" s="6">
        <v>511.82931831920882</v>
      </c>
      <c r="AR387" s="6">
        <v>419.99999964779198</v>
      </c>
      <c r="AS387" s="6">
        <v>206.08777499999999</v>
      </c>
      <c r="AT387" s="6">
        <v>587.00048603581104</v>
      </c>
      <c r="AU387" s="6">
        <v>549.15795848958305</v>
      </c>
    </row>
    <row r="388" spans="1:47" x14ac:dyDescent="0.35">
      <c r="A388" s="5">
        <v>46022</v>
      </c>
      <c r="B388" s="4" t="s">
        <v>569</v>
      </c>
      <c r="C388" s="4" t="s">
        <v>570</v>
      </c>
      <c r="D388" s="4" t="s">
        <v>61</v>
      </c>
      <c r="E388" s="6">
        <v>140</v>
      </c>
      <c r="F388" s="7">
        <v>0.58730000000000004</v>
      </c>
      <c r="G388" s="6">
        <v>90</v>
      </c>
      <c r="H388" s="6">
        <v>0.74</v>
      </c>
      <c r="I388" s="6">
        <v>97</v>
      </c>
      <c r="J388" s="6">
        <v>0.71779999999999999</v>
      </c>
      <c r="K388" s="8">
        <v>100</v>
      </c>
      <c r="L388" s="6">
        <v>120.8634544951513</v>
      </c>
      <c r="M388" s="6">
        <v>4.32848828824054</v>
      </c>
      <c r="N388" s="6">
        <v>34.488152082791892</v>
      </c>
      <c r="O388" s="6">
        <v>39.784409835024327</v>
      </c>
      <c r="P388" s="6">
        <v>199.46450470120811</v>
      </c>
      <c r="Q388" s="6">
        <v>63.036630249524322</v>
      </c>
      <c r="R388" s="6">
        <v>5.7207400830621618</v>
      </c>
      <c r="S388" s="6">
        <v>23.637174868583781</v>
      </c>
      <c r="T388" s="6">
        <v>42.17927896906216</v>
      </c>
      <c r="U388" s="6">
        <v>134.5738241702324</v>
      </c>
      <c r="V388" s="6">
        <v>334.03832887144051</v>
      </c>
      <c r="W388" s="6">
        <v>2.7242996055637461</v>
      </c>
      <c r="X388" s="6">
        <v>24.26512222054054</v>
      </c>
      <c r="Y388" s="6">
        <v>-1.950447191E-15</v>
      </c>
      <c r="Z388" s="6">
        <v>361.02775069754477</v>
      </c>
      <c r="AA388" s="6">
        <v>38.362681804384067</v>
      </c>
      <c r="AB388" s="6">
        <v>399.3904325019289</v>
      </c>
      <c r="AC388" s="6">
        <v>0</v>
      </c>
      <c r="AD388" s="6">
        <v>2.4856027741243238</v>
      </c>
      <c r="AE388" s="6">
        <v>0</v>
      </c>
      <c r="AF388" s="6">
        <v>0</v>
      </c>
      <c r="AG388" s="6">
        <v>401.87603527605319</v>
      </c>
      <c r="AH388" s="6">
        <v>15.41074073832432</v>
      </c>
      <c r="AI388" s="6">
        <v>0</v>
      </c>
      <c r="AJ388" s="6">
        <v>10.68809723686487</v>
      </c>
      <c r="AK388" s="6">
        <v>425.48927047711811</v>
      </c>
      <c r="AL388" s="6">
        <v>0</v>
      </c>
      <c r="AM388" s="6">
        <v>0</v>
      </c>
      <c r="AN388" s="6">
        <v>0</v>
      </c>
      <c r="AO388" s="6">
        <v>0</v>
      </c>
      <c r="AP388" s="6">
        <v>0</v>
      </c>
      <c r="AQ388" s="6">
        <v>425.48927047711811</v>
      </c>
      <c r="AR388" s="6">
        <v>419.99999964779192</v>
      </c>
      <c r="AS388" s="6">
        <v>6.6464080000000001</v>
      </c>
      <c r="AT388" s="6">
        <v>58.972248950247128</v>
      </c>
      <c r="AU388" s="6">
        <v>20.60956714586306</v>
      </c>
    </row>
    <row r="389" spans="1:47" x14ac:dyDescent="0.35">
      <c r="A389" s="5">
        <v>46022</v>
      </c>
      <c r="B389" s="4" t="s">
        <v>861</v>
      </c>
      <c r="C389" s="4" t="s">
        <v>862</v>
      </c>
      <c r="D389" s="4" t="s">
        <v>61</v>
      </c>
      <c r="E389" s="6">
        <v>14705.882353000001</v>
      </c>
      <c r="F389" s="7">
        <v>0.8</v>
      </c>
      <c r="G389" s="6">
        <v>85</v>
      </c>
      <c r="H389" s="6">
        <v>100</v>
      </c>
      <c r="I389" s="6">
        <v>97</v>
      </c>
      <c r="J389" s="6">
        <v>97</v>
      </c>
      <c r="K389" s="8">
        <v>80.325000000000003</v>
      </c>
      <c r="L389" s="6">
        <v>16.85303333294976</v>
      </c>
      <c r="M389" s="6">
        <v>4.5130996691504048</v>
      </c>
      <c r="N389" s="6">
        <v>1.8690948905663001</v>
      </c>
      <c r="O389" s="6">
        <v>15.50634674395908</v>
      </c>
      <c r="P389" s="6">
        <v>38.74157463662555</v>
      </c>
      <c r="Q389" s="6">
        <v>3.4492000031314438</v>
      </c>
      <c r="R389" s="6">
        <v>6.4136627023050661</v>
      </c>
      <c r="S389" s="6">
        <v>18.212393826396379</v>
      </c>
      <c r="T389" s="6">
        <v>13.05881155316988</v>
      </c>
      <c r="U389" s="6">
        <v>41.134068085002767</v>
      </c>
      <c r="V389" s="6">
        <v>79.875642721628324</v>
      </c>
      <c r="W389" s="6">
        <v>18.865311674661051</v>
      </c>
      <c r="X389" s="6">
        <v>24.6523240570464</v>
      </c>
      <c r="Y389" s="6">
        <v>-99.752848384272255</v>
      </c>
      <c r="Z389" s="6">
        <v>23.640430069063509</v>
      </c>
      <c r="AA389" s="6">
        <v>20.79058107041558</v>
      </c>
      <c r="AB389" s="6">
        <v>44.431011139479089</v>
      </c>
      <c r="AC389" s="6">
        <v>0</v>
      </c>
      <c r="AD389" s="6">
        <v>6.1882968874218118</v>
      </c>
      <c r="AE389" s="6">
        <v>0</v>
      </c>
      <c r="AF389" s="6">
        <v>0</v>
      </c>
      <c r="AG389" s="6">
        <v>50.61930802690091</v>
      </c>
      <c r="AH389" s="6">
        <v>6.7462856456740443</v>
      </c>
      <c r="AI389" s="6">
        <v>0</v>
      </c>
      <c r="AJ389" s="6">
        <v>7.7670885351193037</v>
      </c>
      <c r="AK389" s="6">
        <v>58.944385320272438</v>
      </c>
      <c r="AL389" s="6">
        <v>0</v>
      </c>
      <c r="AM389" s="6">
        <v>0</v>
      </c>
      <c r="AN389" s="6">
        <v>0</v>
      </c>
      <c r="AO389" s="6">
        <v>0</v>
      </c>
      <c r="AP389" s="6">
        <v>0</v>
      </c>
      <c r="AQ389" s="6">
        <v>58.944385320272438</v>
      </c>
      <c r="AR389" s="6">
        <v>419.99999964779192</v>
      </c>
      <c r="AS389" s="6">
        <v>1111.5099279999999</v>
      </c>
      <c r="AT389" s="6">
        <v>396.35956957872838</v>
      </c>
      <c r="AU389" s="6">
        <v>375.56898850831283</v>
      </c>
    </row>
    <row r="390" spans="1:47" x14ac:dyDescent="0.35">
      <c r="A390" s="5">
        <v>46022</v>
      </c>
      <c r="B390" s="4" t="s">
        <v>673</v>
      </c>
      <c r="C390" s="4" t="s">
        <v>674</v>
      </c>
      <c r="D390" s="4" t="s">
        <v>58</v>
      </c>
      <c r="E390" s="6">
        <v>33876</v>
      </c>
      <c r="F390" s="7">
        <v>0.46</v>
      </c>
      <c r="G390" s="6">
        <v>54.5</v>
      </c>
      <c r="H390" s="6">
        <v>84.927000000000007</v>
      </c>
      <c r="I390" s="6">
        <v>100</v>
      </c>
      <c r="J390" s="6">
        <v>84.927132</v>
      </c>
      <c r="K390" s="8">
        <v>100</v>
      </c>
      <c r="L390" s="6">
        <v>74.703334220688063</v>
      </c>
      <c r="M390" s="6">
        <v>77.865906151846815</v>
      </c>
      <c r="N390" s="6">
        <v>2.450448193989629</v>
      </c>
      <c r="O390" s="6">
        <v>46.396745866091337</v>
      </c>
      <c r="P390" s="6">
        <v>201.41643443261589</v>
      </c>
      <c r="Q390" s="6">
        <v>17.14020083840008</v>
      </c>
      <c r="R390" s="6">
        <v>7.0255433132576783</v>
      </c>
      <c r="S390" s="6">
        <v>44.365422811752687</v>
      </c>
      <c r="T390" s="6">
        <v>11.118187672810929</v>
      </c>
      <c r="U390" s="6">
        <v>79.649354636221375</v>
      </c>
      <c r="V390" s="6">
        <v>281.0657890688372</v>
      </c>
      <c r="W390" s="6">
        <v>2.5318215197145371</v>
      </c>
      <c r="X390" s="6">
        <v>0</v>
      </c>
      <c r="Y390" s="6">
        <v>5.3523899660000001E-16</v>
      </c>
      <c r="Z390" s="6">
        <v>283.59761058855179</v>
      </c>
      <c r="AA390" s="6">
        <v>9.7765404284895094</v>
      </c>
      <c r="AB390" s="6">
        <v>293.3741510170413</v>
      </c>
      <c r="AC390" s="6">
        <v>0</v>
      </c>
      <c r="AD390" s="6">
        <v>62.751799480871561</v>
      </c>
      <c r="AE390" s="6">
        <v>0</v>
      </c>
      <c r="AF390" s="6">
        <v>0</v>
      </c>
      <c r="AG390" s="6">
        <v>356.12595049791281</v>
      </c>
      <c r="AH390" s="6">
        <v>20.236154217251691</v>
      </c>
      <c r="AI390" s="6">
        <v>0</v>
      </c>
      <c r="AJ390" s="6">
        <v>45.101393168134422</v>
      </c>
      <c r="AK390" s="6">
        <v>358.71169840242737</v>
      </c>
      <c r="AL390" s="6">
        <v>0</v>
      </c>
      <c r="AM390" s="6">
        <v>0</v>
      </c>
      <c r="AN390" s="6">
        <v>0</v>
      </c>
      <c r="AO390" s="6">
        <v>0</v>
      </c>
      <c r="AP390" s="6">
        <v>0</v>
      </c>
      <c r="AQ390" s="6">
        <v>358.71169840242737</v>
      </c>
      <c r="AR390" s="6">
        <v>419.99984139447912</v>
      </c>
      <c r="AS390" s="6">
        <v>786.37526400000002</v>
      </c>
      <c r="AT390" s="6">
        <v>136.4022308059273</v>
      </c>
      <c r="AU390" s="6">
        <v>126.62569037743781</v>
      </c>
    </row>
    <row r="391" spans="1:47" x14ac:dyDescent="0.35">
      <c r="A391" s="5">
        <v>46022</v>
      </c>
      <c r="B391" s="4" t="s">
        <v>863</v>
      </c>
      <c r="C391" s="4" t="s">
        <v>864</v>
      </c>
      <c r="D391" s="4" t="s">
        <v>748</v>
      </c>
      <c r="E391" s="6">
        <v>40000</v>
      </c>
      <c r="F391" s="7">
        <v>0.32</v>
      </c>
      <c r="G391" s="6">
        <v>88</v>
      </c>
      <c r="H391" s="6">
        <v>112.64</v>
      </c>
      <c r="I391" s="6">
        <v>97</v>
      </c>
      <c r="J391" s="6">
        <v>109.2608</v>
      </c>
      <c r="K391" s="8">
        <v>64.311999999999998</v>
      </c>
      <c r="L391" s="6">
        <v>26.347304842578119</v>
      </c>
      <c r="M391" s="6">
        <v>11.470763057031251</v>
      </c>
      <c r="N391" s="6">
        <v>0.35896886210937501</v>
      </c>
      <c r="O391" s="6">
        <v>18.237883234375001</v>
      </c>
      <c r="P391" s="6">
        <v>56.414919996093737</v>
      </c>
      <c r="Q391" s="6">
        <v>19.416500709375001</v>
      </c>
      <c r="R391" s="6">
        <v>12.74053009414062</v>
      </c>
      <c r="S391" s="6">
        <v>32.7226429796875</v>
      </c>
      <c r="T391" s="6">
        <v>24.5160272765625</v>
      </c>
      <c r="U391" s="6">
        <v>89.395701059765614</v>
      </c>
      <c r="V391" s="6">
        <v>145.8106210558594</v>
      </c>
      <c r="W391" s="6">
        <v>7.9999777977905833</v>
      </c>
      <c r="X391" s="6">
        <v>23.46493720078125</v>
      </c>
      <c r="Y391" s="6">
        <v>-217.415463763963</v>
      </c>
      <c r="Z391" s="6">
        <v>-40.139927709531761</v>
      </c>
      <c r="AA391" s="6">
        <v>83.562202775429483</v>
      </c>
      <c r="AB391" s="6">
        <v>43.422275065897722</v>
      </c>
      <c r="AC391" s="6">
        <v>0</v>
      </c>
      <c r="AD391" s="6">
        <v>63.834799899609372</v>
      </c>
      <c r="AE391" s="6">
        <v>0</v>
      </c>
      <c r="AF391" s="6">
        <v>0</v>
      </c>
      <c r="AG391" s="6">
        <v>107.2570749655071</v>
      </c>
      <c r="AH391" s="6">
        <v>17.778681405078121</v>
      </c>
      <c r="AI391" s="6">
        <v>0</v>
      </c>
      <c r="AJ391" s="6">
        <v>51.046727230078119</v>
      </c>
      <c r="AK391" s="6">
        <v>112.247683701054</v>
      </c>
      <c r="AL391" s="6">
        <v>0</v>
      </c>
      <c r="AM391" s="6">
        <v>0</v>
      </c>
      <c r="AN391" s="6">
        <v>0</v>
      </c>
      <c r="AO391" s="6">
        <v>0</v>
      </c>
      <c r="AP391" s="6">
        <v>0</v>
      </c>
      <c r="AQ391" s="6">
        <v>112.247683701054</v>
      </c>
      <c r="AR391" s="6">
        <v>419.99999964779192</v>
      </c>
      <c r="AS391" s="6">
        <v>1557.091666</v>
      </c>
      <c r="AT391" s="6">
        <v>460.1399273573237</v>
      </c>
      <c r="AU391" s="6">
        <v>376.57772458189419</v>
      </c>
    </row>
    <row r="392" spans="1:47" x14ac:dyDescent="0.35">
      <c r="A392" s="5">
        <v>46022</v>
      </c>
      <c r="B392" s="4" t="s">
        <v>675</v>
      </c>
      <c r="C392" s="4" t="s">
        <v>676</v>
      </c>
      <c r="D392" s="4" t="s">
        <v>69</v>
      </c>
      <c r="E392" s="6">
        <v>17570.833332999999</v>
      </c>
      <c r="F392" s="7">
        <v>1.27</v>
      </c>
      <c r="G392" s="6">
        <v>79.989999999999995</v>
      </c>
      <c r="H392" s="6">
        <v>178.499</v>
      </c>
      <c r="I392" s="6">
        <v>97</v>
      </c>
      <c r="J392" s="6">
        <v>173.144443</v>
      </c>
      <c r="K392" s="8">
        <v>81.024000000000001</v>
      </c>
      <c r="L392" s="6">
        <v>4.0610676561673564</v>
      </c>
      <c r="M392" s="6">
        <v>15.055821625286519</v>
      </c>
      <c r="N392" s="6">
        <v>1.1119410271198249</v>
      </c>
      <c r="O392" s="6">
        <v>2.493190484852954</v>
      </c>
      <c r="P392" s="6">
        <v>22.722020793426651</v>
      </c>
      <c r="Q392" s="6">
        <v>0.2450041111650734</v>
      </c>
      <c r="R392" s="6">
        <v>0.66622834760224126</v>
      </c>
      <c r="S392" s="6">
        <v>3.8854965666987078</v>
      </c>
      <c r="T392" s="6">
        <v>0.66417997219419911</v>
      </c>
      <c r="U392" s="6">
        <v>5.4609089976602219</v>
      </c>
      <c r="V392" s="6">
        <v>28.18292979108687</v>
      </c>
      <c r="W392" s="6">
        <v>5.589960321085524</v>
      </c>
      <c r="X392" s="6">
        <v>19.094810074696671</v>
      </c>
      <c r="Y392" s="6">
        <v>-96.495297494575425</v>
      </c>
      <c r="Z392" s="6">
        <v>-43.62759730770636</v>
      </c>
      <c r="AA392" s="6">
        <v>29.748765069493011</v>
      </c>
      <c r="AB392" s="6">
        <v>-13.87883223821335</v>
      </c>
      <c r="AC392" s="6">
        <v>0</v>
      </c>
      <c r="AD392" s="6">
        <v>14.020881101145861</v>
      </c>
      <c r="AE392" s="6">
        <v>0</v>
      </c>
      <c r="AF392" s="6">
        <v>0</v>
      </c>
      <c r="AG392" s="6">
        <v>0.14204886293251531</v>
      </c>
      <c r="AH392" s="6">
        <v>4.0174717831570899</v>
      </c>
      <c r="AI392" s="6">
        <v>0</v>
      </c>
      <c r="AJ392" s="6">
        <v>13.89085759518863</v>
      </c>
      <c r="AK392" s="6">
        <v>4.029497140132368</v>
      </c>
      <c r="AL392" s="6">
        <v>0</v>
      </c>
      <c r="AM392" s="6">
        <v>0</v>
      </c>
      <c r="AN392" s="6">
        <v>0</v>
      </c>
      <c r="AO392" s="6">
        <v>0</v>
      </c>
      <c r="AP392" s="6">
        <v>0</v>
      </c>
      <c r="AQ392" s="6">
        <v>4.029497140132368</v>
      </c>
      <c r="AR392" s="6">
        <v>419.99989534181668</v>
      </c>
      <c r="AS392" s="6">
        <v>1992.210499</v>
      </c>
      <c r="AT392" s="6">
        <v>463.62749264952311</v>
      </c>
      <c r="AU392" s="6">
        <v>433.8787275800301</v>
      </c>
    </row>
    <row r="393" spans="1:47" x14ac:dyDescent="0.35">
      <c r="A393" s="5">
        <v>46022</v>
      </c>
      <c r="B393" s="4" t="s">
        <v>677</v>
      </c>
      <c r="C393" s="4" t="s">
        <v>678</v>
      </c>
      <c r="D393" s="4" t="s">
        <v>61</v>
      </c>
      <c r="E393" s="6">
        <v>3529.4117649999998</v>
      </c>
      <c r="F393" s="7">
        <v>0.4</v>
      </c>
      <c r="G393" s="6">
        <v>85</v>
      </c>
      <c r="H393" s="6">
        <v>12</v>
      </c>
      <c r="I393" s="6">
        <v>97</v>
      </c>
      <c r="J393" s="6">
        <v>11.64</v>
      </c>
      <c r="K393" s="8">
        <v>73.021000000000001</v>
      </c>
      <c r="L393" s="6">
        <v>39.701105424661357</v>
      </c>
      <c r="M393" s="6">
        <v>6.4961634254236991</v>
      </c>
      <c r="N393" s="6">
        <v>3.5901327206815301</v>
      </c>
      <c r="O393" s="6">
        <v>37.036353402380477</v>
      </c>
      <c r="P393" s="6">
        <v>86.823754973147075</v>
      </c>
      <c r="Q393" s="6">
        <v>12.57699688145985</v>
      </c>
      <c r="R393" s="6">
        <v>12.45274723103773</v>
      </c>
      <c r="S393" s="6">
        <v>38.114879978293878</v>
      </c>
      <c r="T393" s="6">
        <v>24.084049407712879</v>
      </c>
      <c r="U393" s="6">
        <v>87.228673498504335</v>
      </c>
      <c r="V393" s="6">
        <v>174.05242847165141</v>
      </c>
      <c r="W393" s="6">
        <v>16.556280967969592</v>
      </c>
      <c r="X393" s="6">
        <v>24.572488239999998</v>
      </c>
      <c r="Y393" s="6">
        <v>-140.06367144280469</v>
      </c>
      <c r="Z393" s="6">
        <v>75.117526236816246</v>
      </c>
      <c r="AA393" s="6">
        <v>22.689989695440762</v>
      </c>
      <c r="AB393" s="6">
        <v>97.807515932257004</v>
      </c>
      <c r="AC393" s="6">
        <v>0</v>
      </c>
      <c r="AD393" s="6">
        <v>14.50845040788551</v>
      </c>
      <c r="AE393" s="6">
        <v>0</v>
      </c>
      <c r="AF393" s="6">
        <v>0</v>
      </c>
      <c r="AG393" s="6">
        <v>112.3159663401425</v>
      </c>
      <c r="AH393" s="6">
        <v>15.2739459849493</v>
      </c>
      <c r="AI393" s="6">
        <v>0</v>
      </c>
      <c r="AJ393" s="6">
        <v>16.677771734183931</v>
      </c>
      <c r="AK393" s="6">
        <v>129.75923365139019</v>
      </c>
      <c r="AL393" s="6">
        <v>0</v>
      </c>
      <c r="AM393" s="6">
        <v>0</v>
      </c>
      <c r="AN393" s="6">
        <v>0</v>
      </c>
      <c r="AO393" s="6">
        <v>0</v>
      </c>
      <c r="AP393" s="6">
        <v>0</v>
      </c>
      <c r="AQ393" s="6">
        <v>129.75923365139019</v>
      </c>
      <c r="AR393" s="6">
        <v>419.99999964779192</v>
      </c>
      <c r="AS393" s="6">
        <v>145.56706500000001</v>
      </c>
      <c r="AT393" s="6">
        <v>344.88247341097571</v>
      </c>
      <c r="AU393" s="6">
        <v>322.19248371553488</v>
      </c>
    </row>
    <row r="394" spans="1:47" x14ac:dyDescent="0.35">
      <c r="A394" s="5">
        <v>46022</v>
      </c>
      <c r="B394" s="4" t="s">
        <v>571</v>
      </c>
      <c r="C394" s="4" t="s">
        <v>572</v>
      </c>
      <c r="D394" s="4" t="s">
        <v>61</v>
      </c>
      <c r="E394" s="6">
        <v>167.65</v>
      </c>
      <c r="F394" s="7">
        <v>0.4</v>
      </c>
      <c r="G394" s="6">
        <v>85</v>
      </c>
      <c r="H394" s="6">
        <v>0.56999999999999995</v>
      </c>
      <c r="I394" s="6">
        <v>97</v>
      </c>
      <c r="J394" s="6">
        <v>0.55289999999999995</v>
      </c>
      <c r="K394" s="8">
        <v>80.231999999999999</v>
      </c>
      <c r="L394" s="6">
        <v>61.325512717460221</v>
      </c>
      <c r="M394" s="6">
        <v>8.9717413523862284</v>
      </c>
      <c r="N394" s="6">
        <v>39.955050653474103</v>
      </c>
      <c r="O394" s="6">
        <v>45.534582253334939</v>
      </c>
      <c r="P394" s="6">
        <v>155.7868869766555</v>
      </c>
      <c r="Q394" s="6">
        <v>20.055406219882769</v>
      </c>
      <c r="R394" s="6">
        <v>16.639031040557029</v>
      </c>
      <c r="S394" s="6">
        <v>51.16065671278168</v>
      </c>
      <c r="T394" s="6">
        <v>59.3145145875867</v>
      </c>
      <c r="U394" s="6">
        <v>147.1696085608082</v>
      </c>
      <c r="V394" s="6">
        <v>302.9564955374637</v>
      </c>
      <c r="W394" s="6">
        <v>4.4543474626663162</v>
      </c>
      <c r="X394" s="6">
        <v>27.689305263157902</v>
      </c>
      <c r="Y394" s="6">
        <v>-4.0369720930000004E-15</v>
      </c>
      <c r="Z394" s="6">
        <v>335.10014826328791</v>
      </c>
      <c r="AA394" s="6">
        <v>65.420915916637384</v>
      </c>
      <c r="AB394" s="6">
        <v>400.5210641799253</v>
      </c>
      <c r="AC394" s="6">
        <v>0</v>
      </c>
      <c r="AD394" s="6">
        <v>6.2214214511828603</v>
      </c>
      <c r="AE394" s="6">
        <v>0</v>
      </c>
      <c r="AF394" s="6">
        <v>0</v>
      </c>
      <c r="AG394" s="6">
        <v>406.74248563110808</v>
      </c>
      <c r="AH394" s="6">
        <v>37.50245926333924</v>
      </c>
      <c r="AI394" s="6">
        <v>0</v>
      </c>
      <c r="AJ394" s="6">
        <v>19.649669116518741</v>
      </c>
      <c r="AK394" s="6">
        <v>457.67319255978322</v>
      </c>
      <c r="AL394" s="6">
        <v>0</v>
      </c>
      <c r="AM394" s="6">
        <v>0</v>
      </c>
      <c r="AN394" s="6">
        <v>0</v>
      </c>
      <c r="AO394" s="6">
        <v>0</v>
      </c>
      <c r="AP394" s="6">
        <v>0</v>
      </c>
      <c r="AQ394" s="6">
        <v>457.67319255978322</v>
      </c>
      <c r="AR394" s="6">
        <v>419.99999964779198</v>
      </c>
      <c r="AS394" s="6">
        <v>6.2852759999999996</v>
      </c>
      <c r="AT394" s="6">
        <v>84.899851384504103</v>
      </c>
      <c r="AU394" s="6">
        <v>19.478935467866719</v>
      </c>
    </row>
    <row r="395" spans="1:47" x14ac:dyDescent="0.35">
      <c r="A395" s="5">
        <v>46022</v>
      </c>
      <c r="B395" s="4" t="s">
        <v>679</v>
      </c>
      <c r="C395" s="4" t="s">
        <v>680</v>
      </c>
      <c r="D395" s="4" t="s">
        <v>61</v>
      </c>
      <c r="E395" s="6">
        <v>290</v>
      </c>
      <c r="F395" s="7">
        <v>0.45</v>
      </c>
      <c r="G395" s="6">
        <v>87</v>
      </c>
      <c r="H395" s="6">
        <v>1.135</v>
      </c>
      <c r="I395" s="6">
        <v>97</v>
      </c>
      <c r="J395" s="6">
        <v>1.101289</v>
      </c>
      <c r="K395" s="8">
        <v>74.444000000000003</v>
      </c>
      <c r="L395" s="6">
        <v>112.3290531993613</v>
      </c>
      <c r="M395" s="6">
        <v>11.5739056967497</v>
      </c>
      <c r="N395" s="6">
        <v>21.432125290417279</v>
      </c>
      <c r="O395" s="6">
        <v>45.480492722819349</v>
      </c>
      <c r="P395" s="6">
        <v>190.81557690934761</v>
      </c>
      <c r="Q395" s="6">
        <v>43.564153522788779</v>
      </c>
      <c r="R395" s="6">
        <v>9.3008963301629084</v>
      </c>
      <c r="S395" s="6">
        <v>26.13072112106212</v>
      </c>
      <c r="T395" s="6">
        <v>64.886331092662545</v>
      </c>
      <c r="U395" s="6">
        <v>143.8821020666764</v>
      </c>
      <c r="V395" s="6">
        <v>334.69767897602401</v>
      </c>
      <c r="W395" s="6">
        <v>9.3710760807166604</v>
      </c>
      <c r="X395" s="6">
        <v>28.764463440684509</v>
      </c>
      <c r="Y395" s="6">
        <v>-58.759390036328142</v>
      </c>
      <c r="Z395" s="6">
        <v>314.07382846109698</v>
      </c>
      <c r="AA395" s="6">
        <v>52.862097311521879</v>
      </c>
      <c r="AB395" s="6">
        <v>366.93592577261887</v>
      </c>
      <c r="AC395" s="6">
        <v>0</v>
      </c>
      <c r="AD395" s="6">
        <v>35.471451850791851</v>
      </c>
      <c r="AE395" s="6">
        <v>0</v>
      </c>
      <c r="AF395" s="6">
        <v>0</v>
      </c>
      <c r="AG395" s="6">
        <v>402.4073776234107</v>
      </c>
      <c r="AH395" s="6">
        <v>36.360756314164703</v>
      </c>
      <c r="AI395" s="6">
        <v>0</v>
      </c>
      <c r="AJ395" s="6">
        <v>37.501740127844172</v>
      </c>
      <c r="AK395" s="6">
        <v>440.79842221462769</v>
      </c>
      <c r="AL395" s="6">
        <v>0</v>
      </c>
      <c r="AM395" s="6">
        <v>0</v>
      </c>
      <c r="AN395" s="6">
        <v>0</v>
      </c>
      <c r="AO395" s="6">
        <v>0</v>
      </c>
      <c r="AP395" s="6">
        <v>0</v>
      </c>
      <c r="AQ395" s="6">
        <v>440.79842221462769</v>
      </c>
      <c r="AR395" s="6">
        <v>420.00419473191261</v>
      </c>
      <c r="AS395" s="6">
        <v>13.542986000000001</v>
      </c>
      <c r="AT395" s="6">
        <v>105.9303662708156</v>
      </c>
      <c r="AU395" s="6">
        <v>53.068268959293718</v>
      </c>
    </row>
    <row r="396" spans="1:47" x14ac:dyDescent="0.35">
      <c r="A396" s="5">
        <v>46022</v>
      </c>
      <c r="B396" s="4" t="s">
        <v>865</v>
      </c>
      <c r="C396" s="4" t="s">
        <v>866</v>
      </c>
      <c r="D396" s="4" t="s">
        <v>61</v>
      </c>
      <c r="E396" s="6">
        <v>295.24</v>
      </c>
      <c r="F396" s="7">
        <v>0.42</v>
      </c>
      <c r="G396" s="6">
        <v>75</v>
      </c>
      <c r="H396" s="6">
        <v>0.93</v>
      </c>
      <c r="I396" s="6">
        <v>91.543011000000007</v>
      </c>
      <c r="J396" s="6">
        <v>0.85135000000000005</v>
      </c>
      <c r="K396" s="8">
        <v>96.597999999999999</v>
      </c>
      <c r="L396" s="6">
        <v>49.497630637735632</v>
      </c>
      <c r="M396" s="6">
        <v>33.309232410950031</v>
      </c>
      <c r="N396" s="6">
        <v>29.161019465687549</v>
      </c>
      <c r="O396" s="6">
        <v>34.075416438684343</v>
      </c>
      <c r="P396" s="6">
        <v>146.04329895305759</v>
      </c>
      <c r="Q396" s="6">
        <v>11.40424687565053</v>
      </c>
      <c r="R396" s="6">
        <v>17.56370075878937</v>
      </c>
      <c r="S396" s="6">
        <v>33.937242822448439</v>
      </c>
      <c r="T396" s="6">
        <v>63.379863389895448</v>
      </c>
      <c r="U396" s="6">
        <v>126.2850538467838</v>
      </c>
      <c r="V396" s="6">
        <v>272.3283527998413</v>
      </c>
      <c r="W396" s="6">
        <v>6.8211311708012072</v>
      </c>
      <c r="X396" s="6">
        <v>38.476165577024723</v>
      </c>
      <c r="Y396" s="6">
        <v>-14.51058133128423</v>
      </c>
      <c r="Z396" s="6">
        <v>303.11506821638301</v>
      </c>
      <c r="AA396" s="6">
        <v>70.911962142712056</v>
      </c>
      <c r="AB396" s="6">
        <v>374.02703035909508</v>
      </c>
      <c r="AC396" s="6">
        <v>0</v>
      </c>
      <c r="AD396" s="6">
        <v>19.999105125832521</v>
      </c>
      <c r="AE396" s="6">
        <v>0</v>
      </c>
      <c r="AF396" s="6">
        <v>0</v>
      </c>
      <c r="AG396" s="6">
        <v>394.02613548492758</v>
      </c>
      <c r="AH396" s="6">
        <v>4.7804862267517736</v>
      </c>
      <c r="AI396" s="6">
        <v>0</v>
      </c>
      <c r="AJ396" s="6">
        <v>19.999105125832521</v>
      </c>
      <c r="AK396" s="6">
        <v>398.80662171167938</v>
      </c>
      <c r="AL396" s="6">
        <v>0</v>
      </c>
      <c r="AM396" s="6">
        <v>0</v>
      </c>
      <c r="AN396" s="6">
        <v>0</v>
      </c>
      <c r="AO396" s="6">
        <v>0</v>
      </c>
      <c r="AP396" s="6">
        <v>0</v>
      </c>
      <c r="AQ396" s="6">
        <v>398.80662171167938</v>
      </c>
      <c r="AR396" s="6">
        <v>420.02466635359139</v>
      </c>
      <c r="AS396" s="6">
        <v>8.171087</v>
      </c>
      <c r="AT396" s="6">
        <v>116.90959813720841</v>
      </c>
      <c r="AU396" s="6">
        <v>45.997635994496306</v>
      </c>
    </row>
    <row r="397" spans="1:47" x14ac:dyDescent="0.35">
      <c r="A397" s="5">
        <v>46022</v>
      </c>
      <c r="B397" s="4" t="s">
        <v>867</v>
      </c>
      <c r="C397" s="4" t="s">
        <v>868</v>
      </c>
      <c r="D397" s="4" t="s">
        <v>61</v>
      </c>
      <c r="E397" s="6">
        <v>16000</v>
      </c>
      <c r="F397" s="7">
        <v>0.35</v>
      </c>
      <c r="G397" s="6">
        <v>87</v>
      </c>
      <c r="H397" s="6">
        <v>48.72</v>
      </c>
      <c r="I397" s="6">
        <v>97</v>
      </c>
      <c r="J397" s="6">
        <v>47.258400000000002</v>
      </c>
      <c r="K397" s="8">
        <v>94.713999999999999</v>
      </c>
      <c r="L397" s="6">
        <v>34.550726598160907</v>
      </c>
      <c r="M397" s="6">
        <v>9.7854723671264345</v>
      </c>
      <c r="N397" s="6">
        <v>1.3741607455172411</v>
      </c>
      <c r="O397" s="6">
        <v>37.866182523678162</v>
      </c>
      <c r="P397" s="6">
        <v>83.576542234482744</v>
      </c>
      <c r="Q397" s="6">
        <v>28.56003319931034</v>
      </c>
      <c r="R397" s="6">
        <v>4.9658585937931026</v>
      </c>
      <c r="S397" s="6">
        <v>19.35499443862069</v>
      </c>
      <c r="T397" s="6">
        <v>33.924866951724141</v>
      </c>
      <c r="U397" s="6">
        <v>86.805753183448275</v>
      </c>
      <c r="V397" s="6">
        <v>170.382295417931</v>
      </c>
      <c r="W397" s="6">
        <v>13.150390999900001</v>
      </c>
      <c r="X397" s="6">
        <v>25.814133333333331</v>
      </c>
      <c r="Y397" s="6">
        <v>-11.83333449478425</v>
      </c>
      <c r="Z397" s="6">
        <v>197.51348525638011</v>
      </c>
      <c r="AA397" s="6">
        <v>42.684402842509861</v>
      </c>
      <c r="AB397" s="6">
        <v>240.19788809888999</v>
      </c>
      <c r="AC397" s="6">
        <v>0</v>
      </c>
      <c r="AD397" s="6">
        <v>45.088370031264361</v>
      </c>
      <c r="AE397" s="6">
        <v>0</v>
      </c>
      <c r="AF397" s="6">
        <v>0</v>
      </c>
      <c r="AG397" s="6">
        <v>285.28625813015429</v>
      </c>
      <c r="AH397" s="6">
        <v>31.497138432643681</v>
      </c>
      <c r="AI397" s="6">
        <v>0</v>
      </c>
      <c r="AJ397" s="6">
        <v>30.849932540229879</v>
      </c>
      <c r="AK397" s="6">
        <v>302.54495907176351</v>
      </c>
      <c r="AL397" s="6">
        <v>0</v>
      </c>
      <c r="AM397" s="6">
        <v>0</v>
      </c>
      <c r="AN397" s="6">
        <v>0</v>
      </c>
      <c r="AO397" s="6">
        <v>0</v>
      </c>
      <c r="AP397" s="6">
        <v>0</v>
      </c>
      <c r="AQ397" s="6">
        <v>302.54495907176351</v>
      </c>
      <c r="AR397" s="6">
        <v>419.99999964779192</v>
      </c>
      <c r="AS397" s="6">
        <v>461.39405099999999</v>
      </c>
      <c r="AT397" s="6">
        <v>222.48651439141179</v>
      </c>
      <c r="AU397" s="6">
        <v>179.80211154890199</v>
      </c>
    </row>
    <row r="398" spans="1:47" x14ac:dyDescent="0.35">
      <c r="A398" s="5">
        <v>46022</v>
      </c>
      <c r="B398" s="4" t="s">
        <v>869</v>
      </c>
      <c r="C398" s="4" t="s">
        <v>870</v>
      </c>
      <c r="D398" s="4" t="s">
        <v>61</v>
      </c>
      <c r="E398" s="6">
        <v>16000</v>
      </c>
      <c r="F398" s="7">
        <v>0.25</v>
      </c>
      <c r="G398" s="6">
        <v>50</v>
      </c>
      <c r="H398" s="6">
        <v>20</v>
      </c>
      <c r="I398" s="6">
        <v>100</v>
      </c>
      <c r="J398" s="6">
        <v>20</v>
      </c>
      <c r="K398" s="8">
        <v>94.498999999999995</v>
      </c>
      <c r="L398" s="6">
        <v>80.186748629002395</v>
      </c>
      <c r="M398" s="6">
        <v>22.969445880735201</v>
      </c>
      <c r="N398" s="6">
        <v>3.1658570182624</v>
      </c>
      <c r="O398" s="6">
        <v>88.354205418001584</v>
      </c>
      <c r="P398" s="6">
        <v>194.67625694600159</v>
      </c>
      <c r="Q398" s="6">
        <v>36.614048681179199</v>
      </c>
      <c r="R398" s="6">
        <v>234.88112426504881</v>
      </c>
      <c r="S398" s="6">
        <v>87.726179566194403</v>
      </c>
      <c r="T398" s="6">
        <v>51.560389008744004</v>
      </c>
      <c r="U398" s="6">
        <v>410.7817415211664</v>
      </c>
      <c r="V398" s="6">
        <v>605.45799846716795</v>
      </c>
      <c r="W398" s="6">
        <v>0</v>
      </c>
      <c r="X398" s="6">
        <v>0</v>
      </c>
      <c r="Y398" s="6">
        <v>0</v>
      </c>
      <c r="Z398" s="6">
        <v>605.45799846716795</v>
      </c>
      <c r="AA398" s="6">
        <v>26.363872092922659</v>
      </c>
      <c r="AB398" s="6">
        <v>631.82187056009059</v>
      </c>
      <c r="AC398" s="6">
        <v>0</v>
      </c>
      <c r="AD398" s="6">
        <v>27.847704814221601</v>
      </c>
      <c r="AE398" s="6">
        <v>0</v>
      </c>
      <c r="AF398" s="6">
        <v>0</v>
      </c>
      <c r="AG398" s="6">
        <v>659.66957537431222</v>
      </c>
      <c r="AH398" s="6">
        <v>19.453415552832801</v>
      </c>
      <c r="AI398" s="6">
        <v>0</v>
      </c>
      <c r="AJ398" s="6">
        <v>19.053709956388801</v>
      </c>
      <c r="AK398" s="6">
        <v>670.32899606931221</v>
      </c>
      <c r="AL398" s="6">
        <v>0</v>
      </c>
      <c r="AM398" s="6">
        <v>0</v>
      </c>
      <c r="AN398" s="6">
        <v>0</v>
      </c>
      <c r="AO398" s="6">
        <v>0</v>
      </c>
      <c r="AP398" s="6">
        <v>0</v>
      </c>
      <c r="AQ398" s="6">
        <v>670.32899606931221</v>
      </c>
      <c r="AR398" s="6">
        <v>419.99999964779192</v>
      </c>
      <c r="AS398" s="6">
        <v>195.97709</v>
      </c>
      <c r="AT398" s="6">
        <v>-185.457998819376</v>
      </c>
      <c r="AU398" s="6">
        <v>-211.82187091229869</v>
      </c>
    </row>
    <row r="399" spans="1:47" x14ac:dyDescent="0.35">
      <c r="A399" s="5">
        <v>46022</v>
      </c>
      <c r="B399" s="4" t="s">
        <v>573</v>
      </c>
      <c r="C399" s="4" t="s">
        <v>574</v>
      </c>
      <c r="D399" s="4" t="s">
        <v>533</v>
      </c>
      <c r="E399" s="6">
        <v>7560</v>
      </c>
      <c r="F399" s="7">
        <v>7.9399999999999998E-2</v>
      </c>
      <c r="G399" s="6">
        <v>70</v>
      </c>
      <c r="H399" s="6">
        <v>4.2039999999999997</v>
      </c>
      <c r="I399" s="6">
        <v>100</v>
      </c>
      <c r="J399" s="6">
        <v>4.2043010000000001</v>
      </c>
      <c r="K399" s="8">
        <v>3.9529999999999998</v>
      </c>
      <c r="L399" s="6">
        <v>857.00349671938591</v>
      </c>
      <c r="M399" s="6">
        <v>39.766579807220339</v>
      </c>
      <c r="N399" s="6">
        <v>47.970278179489441</v>
      </c>
      <c r="O399" s="6">
        <v>2787.7203083493241</v>
      </c>
      <c r="P399" s="6">
        <v>3732.4606630554199</v>
      </c>
      <c r="Q399" s="6">
        <v>252.38331684572799</v>
      </c>
      <c r="R399" s="6">
        <v>53.876425528717917</v>
      </c>
      <c r="S399" s="6">
        <v>377.22836845292932</v>
      </c>
      <c r="T399" s="6">
        <v>481.84772825390689</v>
      </c>
      <c r="U399" s="6">
        <v>1165.3358390812821</v>
      </c>
      <c r="V399" s="6">
        <v>4897.7965021367017</v>
      </c>
      <c r="W399" s="6">
        <v>0</v>
      </c>
      <c r="X399" s="6">
        <v>798.71525586274868</v>
      </c>
      <c r="Y399" s="6">
        <v>-9245.1421046629184</v>
      </c>
      <c r="Z399" s="6">
        <v>-3548.6303466634681</v>
      </c>
      <c r="AA399" s="6">
        <v>330.59808748959512</v>
      </c>
      <c r="AB399" s="6">
        <v>-3218.0322591738732</v>
      </c>
      <c r="AC399" s="6">
        <v>0</v>
      </c>
      <c r="AD399" s="6">
        <v>1968.5462677622961</v>
      </c>
      <c r="AE399" s="6">
        <v>0</v>
      </c>
      <c r="AF399" s="6">
        <v>0</v>
      </c>
      <c r="AG399" s="6">
        <v>-1249.4859914115771</v>
      </c>
      <c r="AH399" s="6">
        <v>492.34098446521079</v>
      </c>
      <c r="AI399" s="6">
        <v>0</v>
      </c>
      <c r="AJ399" s="6">
        <v>1321.598181986187</v>
      </c>
      <c r="AK399" s="6">
        <v>-1404.0930927224761</v>
      </c>
      <c r="AL399" s="6">
        <v>1078.8769933413689</v>
      </c>
      <c r="AM399" s="6">
        <v>0</v>
      </c>
      <c r="AN399" s="6">
        <v>0</v>
      </c>
      <c r="AO399" s="6">
        <v>0</v>
      </c>
      <c r="AP399" s="6">
        <v>0</v>
      </c>
      <c r="AQ399" s="6">
        <v>-325.21609938110629</v>
      </c>
      <c r="AR399" s="6">
        <v>419.99989975009203</v>
      </c>
      <c r="AS399" s="6">
        <v>931.56297400000005</v>
      </c>
      <c r="AT399" s="6">
        <v>3968.6302464135601</v>
      </c>
      <c r="AU399" s="6">
        <v>3638.0321589239652</v>
      </c>
    </row>
    <row r="400" spans="1:47" x14ac:dyDescent="0.35">
      <c r="A400" s="5">
        <v>46022</v>
      </c>
      <c r="B400" s="4" t="s">
        <v>871</v>
      </c>
      <c r="C400" s="4" t="s">
        <v>872</v>
      </c>
      <c r="D400" s="4" t="s">
        <v>102</v>
      </c>
      <c r="E400" s="6">
        <v>755</v>
      </c>
      <c r="F400" s="7">
        <v>2.1486000000000001</v>
      </c>
      <c r="G400" s="6">
        <v>8.64</v>
      </c>
      <c r="H400" s="6">
        <v>1.401</v>
      </c>
      <c r="I400" s="6">
        <v>97</v>
      </c>
      <c r="J400" s="6">
        <v>1.35897</v>
      </c>
      <c r="K400" s="8">
        <v>7.6870000000000003</v>
      </c>
      <c r="L400" s="6">
        <v>600.38766093037896</v>
      </c>
      <c r="M400" s="6">
        <v>82.526905609229104</v>
      </c>
      <c r="N400" s="6">
        <v>154.83999595348041</v>
      </c>
      <c r="O400" s="6">
        <v>339.8554116533208</v>
      </c>
      <c r="P400" s="6">
        <v>1177.6099741464091</v>
      </c>
      <c r="Q400" s="6">
        <v>338.59326302179511</v>
      </c>
      <c r="R400" s="6">
        <v>118.5442200498148</v>
      </c>
      <c r="S400" s="6">
        <v>466.52198717925762</v>
      </c>
      <c r="T400" s="6">
        <v>231.02047501759489</v>
      </c>
      <c r="U400" s="6">
        <v>1154.679945268462</v>
      </c>
      <c r="V400" s="6">
        <v>2332.2899194148722</v>
      </c>
      <c r="W400" s="6">
        <v>14.549348429308001</v>
      </c>
      <c r="X400" s="6">
        <v>22.96404860434005</v>
      </c>
      <c r="Y400" s="6">
        <v>-4603.8687944167923</v>
      </c>
      <c r="Z400" s="6">
        <v>-2234.0654779682732</v>
      </c>
      <c r="AA400" s="6">
        <v>0</v>
      </c>
      <c r="AB400" s="6">
        <v>-2234.0654779682732</v>
      </c>
      <c r="AC400" s="6">
        <v>0</v>
      </c>
      <c r="AD400" s="6">
        <v>1391.4617753571149</v>
      </c>
      <c r="AE400" s="6">
        <v>0</v>
      </c>
      <c r="AF400" s="6">
        <v>0</v>
      </c>
      <c r="AG400" s="6">
        <v>-842.60370261115736</v>
      </c>
      <c r="AH400" s="6">
        <v>85.89581050998072</v>
      </c>
      <c r="AI400" s="6">
        <v>0</v>
      </c>
      <c r="AJ400" s="6">
        <v>1324.646320698299</v>
      </c>
      <c r="AK400" s="6">
        <v>-823.52334675999282</v>
      </c>
      <c r="AL400" s="6">
        <v>0</v>
      </c>
      <c r="AM400" s="6">
        <v>0</v>
      </c>
      <c r="AN400" s="6">
        <v>0</v>
      </c>
      <c r="AO400" s="6">
        <v>0</v>
      </c>
      <c r="AP400" s="6">
        <v>0</v>
      </c>
      <c r="AQ400" s="6">
        <v>-823.52334675999282</v>
      </c>
      <c r="AR400" s="6">
        <v>420.0092713756369</v>
      </c>
      <c r="AS400" s="6">
        <v>177.731437</v>
      </c>
      <c r="AT400" s="6">
        <v>2654.0747493439098</v>
      </c>
      <c r="AU400" s="6">
        <v>2654.0747493439098</v>
      </c>
    </row>
    <row r="401" spans="1:47" x14ac:dyDescent="0.35">
      <c r="A401" s="5">
        <v>46022</v>
      </c>
      <c r="B401" s="4" t="s">
        <v>681</v>
      </c>
      <c r="C401" s="4" t="s">
        <v>682</v>
      </c>
      <c r="D401" s="4" t="s">
        <v>105</v>
      </c>
      <c r="E401" s="6">
        <v>2247.8809999999999</v>
      </c>
      <c r="F401" s="7">
        <v>4.9200000000000001E-2</v>
      </c>
      <c r="G401" s="6">
        <v>95.03</v>
      </c>
      <c r="H401" s="6">
        <v>1.0509999999999999</v>
      </c>
      <c r="I401" s="6">
        <v>90</v>
      </c>
      <c r="J401" s="6">
        <v>0.94545100000000004</v>
      </c>
      <c r="K401" s="8">
        <v>1.754</v>
      </c>
      <c r="L401" s="6">
        <v>1871.025732444245</v>
      </c>
      <c r="M401" s="6">
        <v>73.297719836457716</v>
      </c>
      <c r="N401" s="6">
        <v>496.37248485578419</v>
      </c>
      <c r="O401" s="6">
        <v>292.16602827131118</v>
      </c>
      <c r="P401" s="6">
        <v>2732.8619654077979</v>
      </c>
      <c r="Q401" s="6">
        <v>427.12671751557519</v>
      </c>
      <c r="R401" s="6">
        <v>100.2885204072589</v>
      </c>
      <c r="S401" s="6">
        <v>763.68541622872704</v>
      </c>
      <c r="T401" s="6">
        <v>133.5404783844987</v>
      </c>
      <c r="U401" s="6">
        <v>1424.64113253606</v>
      </c>
      <c r="V401" s="6">
        <v>4157.5030979438579</v>
      </c>
      <c r="W401" s="6">
        <v>57.923777469758058</v>
      </c>
      <c r="X401" s="6">
        <v>151.39995237580149</v>
      </c>
      <c r="Y401" s="6">
        <v>-21601.644673173301</v>
      </c>
      <c r="Z401" s="6">
        <v>-17234.817845383888</v>
      </c>
      <c r="AA401" s="6">
        <v>196.06931017529391</v>
      </c>
      <c r="AB401" s="6">
        <v>-17038.74853520859</v>
      </c>
      <c r="AC401" s="6">
        <v>0</v>
      </c>
      <c r="AD401" s="6">
        <v>599.70374421037525</v>
      </c>
      <c r="AE401" s="6">
        <v>0</v>
      </c>
      <c r="AF401" s="6">
        <v>0</v>
      </c>
      <c r="AG401" s="6">
        <v>-16439.044790998221</v>
      </c>
      <c r="AH401" s="6">
        <v>689.66804667951862</v>
      </c>
      <c r="AI401" s="6">
        <v>0</v>
      </c>
      <c r="AJ401" s="6">
        <v>1836.124932198423</v>
      </c>
      <c r="AK401" s="6">
        <v>-14512.955556330649</v>
      </c>
      <c r="AL401" s="6">
        <v>4323.3967540409376</v>
      </c>
      <c r="AM401" s="6">
        <v>0</v>
      </c>
      <c r="AN401" s="6">
        <v>0</v>
      </c>
      <c r="AO401" s="6">
        <v>0</v>
      </c>
      <c r="AP401" s="6">
        <v>0</v>
      </c>
      <c r="AQ401" s="6">
        <v>-10189.55880228971</v>
      </c>
      <c r="AR401" s="6">
        <v>420.0217670370937</v>
      </c>
      <c r="AS401" s="6">
        <v>567.336005</v>
      </c>
      <c r="AT401" s="6">
        <v>17654.839612420979</v>
      </c>
      <c r="AU401" s="6">
        <v>17458.770302245692</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01"/>
  <sheetViews>
    <sheetView workbookViewId="0"/>
  </sheetViews>
  <sheetFormatPr defaultRowHeight="14.5" x14ac:dyDescent="0.35"/>
  <cols>
    <col min="1" max="2" width="48.54296875" customWidth="1"/>
    <col min="3" max="3" width="16.1796875" customWidth="1"/>
    <col min="4" max="4" width="21.7265625" customWidth="1"/>
    <col min="5" max="5" width="23.54296875" customWidth="1"/>
    <col min="6" max="6" width="21.54296875" customWidth="1"/>
    <col min="7" max="7" width="23.54296875" customWidth="1"/>
    <col min="8" max="8" width="19.54296875" customWidth="1"/>
    <col min="9" max="9" width="21.54296875" customWidth="1"/>
    <col min="10" max="10" width="19.54296875" customWidth="1"/>
    <col min="11" max="11" width="20.7265625" customWidth="1"/>
    <col min="12" max="13" width="21.54296875" customWidth="1"/>
    <col min="14" max="14" width="22.7265625" customWidth="1"/>
    <col min="15" max="15" width="21.54296875" customWidth="1"/>
    <col min="16" max="16" width="22.7265625" customWidth="1"/>
    <col min="17" max="17" width="16.1796875" customWidth="1"/>
    <col min="18" max="18" width="21.54296875" customWidth="1"/>
    <col min="19" max="21" width="23.54296875" customWidth="1"/>
    <col min="22" max="22" width="22.7265625" customWidth="1"/>
  </cols>
  <sheetData>
    <row r="1" spans="1:22" ht="40" customHeight="1" x14ac:dyDescent="0.35">
      <c r="A1" s="17"/>
      <c r="B1" s="17"/>
      <c r="C1" s="17"/>
      <c r="D1" s="17"/>
    </row>
    <row r="2" spans="1:22" ht="30" customHeight="1" x14ac:dyDescent="0.45">
      <c r="A2" s="1" t="s">
        <v>935</v>
      </c>
      <c r="B2" s="2"/>
      <c r="C2" s="2"/>
      <c r="D2" s="2"/>
      <c r="E2" s="2"/>
      <c r="F2" s="2"/>
      <c r="G2" s="2"/>
      <c r="H2" s="2"/>
      <c r="I2" s="2"/>
      <c r="J2" s="2"/>
      <c r="K2" s="2"/>
      <c r="L2" s="2"/>
      <c r="M2" s="2"/>
      <c r="N2" s="2"/>
      <c r="O2" s="2"/>
      <c r="P2" s="2"/>
      <c r="Q2" s="2"/>
      <c r="R2" s="2"/>
      <c r="S2" s="2"/>
      <c r="T2" s="2"/>
      <c r="U2" s="2"/>
      <c r="V2" s="2"/>
    </row>
    <row r="3" spans="1:22" x14ac:dyDescent="0.35">
      <c r="A3" s="3" t="s">
        <v>0</v>
      </c>
    </row>
    <row r="4" spans="1:22" x14ac:dyDescent="0.35">
      <c r="A4" s="3" t="s">
        <v>1</v>
      </c>
    </row>
    <row r="5" spans="1:22" x14ac:dyDescent="0.35">
      <c r="A5" s="4"/>
    </row>
    <row r="6" spans="1:22" x14ac:dyDescent="0.35">
      <c r="A6" s="18" t="s">
        <v>2</v>
      </c>
      <c r="B6" s="18" t="s">
        <v>3</v>
      </c>
      <c r="C6" s="18" t="s">
        <v>4</v>
      </c>
      <c r="D6" s="18" t="s">
        <v>5</v>
      </c>
      <c r="E6" s="19" t="s">
        <v>912</v>
      </c>
      <c r="F6" s="19" t="s">
        <v>918</v>
      </c>
      <c r="G6" s="19" t="s">
        <v>919</v>
      </c>
      <c r="H6" s="19" t="s">
        <v>920</v>
      </c>
      <c r="I6" s="19" t="s">
        <v>921</v>
      </c>
      <c r="J6" s="19" t="s">
        <v>922</v>
      </c>
      <c r="K6" s="19" t="s">
        <v>923</v>
      </c>
      <c r="L6" s="19" t="s">
        <v>924</v>
      </c>
      <c r="M6" s="19" t="s">
        <v>925</v>
      </c>
      <c r="N6" s="19" t="s">
        <v>926</v>
      </c>
      <c r="O6" s="19" t="s">
        <v>927</v>
      </c>
      <c r="P6" s="19" t="s">
        <v>928</v>
      </c>
      <c r="Q6" s="19" t="s">
        <v>929</v>
      </c>
      <c r="R6" s="19" t="s">
        <v>930</v>
      </c>
      <c r="S6" s="19" t="s">
        <v>931</v>
      </c>
      <c r="T6" s="19" t="s">
        <v>932</v>
      </c>
      <c r="U6" s="19" t="s">
        <v>933</v>
      </c>
      <c r="V6" s="19" t="s">
        <v>934</v>
      </c>
    </row>
    <row r="7" spans="1:22" x14ac:dyDescent="0.35">
      <c r="A7" s="18"/>
      <c r="B7" s="18"/>
      <c r="C7" s="18"/>
      <c r="D7" s="18"/>
      <c r="E7" s="19"/>
      <c r="F7" s="19"/>
      <c r="G7" s="19"/>
      <c r="H7" s="19"/>
      <c r="I7" s="19"/>
      <c r="J7" s="19"/>
      <c r="K7" s="19"/>
      <c r="L7" s="19"/>
      <c r="M7" s="19"/>
      <c r="N7" s="19"/>
      <c r="O7" s="19"/>
      <c r="P7" s="19"/>
      <c r="Q7" s="19"/>
      <c r="R7" s="19"/>
      <c r="S7" s="19"/>
      <c r="T7" s="19"/>
      <c r="U7" s="19"/>
      <c r="V7" s="19"/>
    </row>
    <row r="8" spans="1:22" x14ac:dyDescent="0.35">
      <c r="A8" s="18"/>
      <c r="B8" s="18"/>
      <c r="C8" s="18"/>
      <c r="D8" s="18"/>
      <c r="E8" s="19"/>
      <c r="F8" s="19"/>
      <c r="G8" s="19"/>
      <c r="H8" s="19"/>
      <c r="I8" s="19"/>
      <c r="J8" s="19"/>
      <c r="K8" s="19"/>
      <c r="L8" s="19"/>
      <c r="M8" s="19"/>
      <c r="N8" s="19"/>
      <c r="O8" s="19"/>
      <c r="P8" s="19"/>
      <c r="Q8" s="19"/>
      <c r="R8" s="19"/>
      <c r="S8" s="19"/>
      <c r="T8" s="19"/>
      <c r="U8" s="19"/>
      <c r="V8" s="19"/>
    </row>
    <row r="9" spans="1:22" x14ac:dyDescent="0.35">
      <c r="A9" s="18"/>
      <c r="B9" s="18"/>
      <c r="C9" s="18"/>
      <c r="D9" s="18"/>
      <c r="E9" s="19"/>
      <c r="F9" s="19"/>
      <c r="G9" s="19"/>
      <c r="H9" s="19"/>
      <c r="I9" s="19"/>
      <c r="J9" s="19"/>
      <c r="K9" s="19"/>
      <c r="L9" s="19"/>
      <c r="M9" s="19"/>
      <c r="N9" s="19"/>
      <c r="O9" s="19"/>
      <c r="P9" s="19"/>
      <c r="Q9" s="19"/>
      <c r="R9" s="19"/>
      <c r="S9" s="19"/>
      <c r="T9" s="19"/>
      <c r="U9" s="19"/>
      <c r="V9" s="19"/>
    </row>
    <row r="10" spans="1:22" x14ac:dyDescent="0.35">
      <c r="A10" s="5">
        <v>46022</v>
      </c>
      <c r="B10" s="4" t="s">
        <v>48</v>
      </c>
      <c r="C10" s="4" t="s">
        <v>49</v>
      </c>
      <c r="D10" s="4" t="s">
        <v>50</v>
      </c>
      <c r="E10" s="6">
        <v>4853.8184149999997</v>
      </c>
      <c r="F10" s="6">
        <v>426.309168</v>
      </c>
      <c r="G10" s="6">
        <v>4427.509247</v>
      </c>
      <c r="H10" s="6">
        <v>107.151771</v>
      </c>
      <c r="I10" s="6">
        <v>1018.403554</v>
      </c>
      <c r="J10" s="6">
        <v>45.182606</v>
      </c>
      <c r="K10" s="6">
        <v>-32.775300999999999</v>
      </c>
      <c r="L10" s="6">
        <v>763.06680800000004</v>
      </c>
      <c r="M10" s="6">
        <v>17.500007</v>
      </c>
      <c r="N10" s="6">
        <v>2508.9798019999998</v>
      </c>
      <c r="O10" s="6">
        <v>672.14467500000001</v>
      </c>
      <c r="P10" s="6">
        <v>1836.8351270000001</v>
      </c>
      <c r="Q10" s="7">
        <v>29.5</v>
      </c>
      <c r="R10" s="6">
        <v>978.31479200000001</v>
      </c>
      <c r="S10" s="6">
        <v>5251.2560640000002</v>
      </c>
      <c r="T10" s="6">
        <v>5043.5086250000004</v>
      </c>
      <c r="U10" s="6">
        <v>4849.2245169999997</v>
      </c>
      <c r="V10" s="6">
        <v>4667.2546190000003</v>
      </c>
    </row>
    <row r="11" spans="1:22" x14ac:dyDescent="0.35">
      <c r="A11" s="5">
        <v>46022</v>
      </c>
      <c r="B11" s="4" t="s">
        <v>51</v>
      </c>
      <c r="C11" s="4" t="s">
        <v>52</v>
      </c>
      <c r="D11" s="4" t="s">
        <v>50</v>
      </c>
      <c r="E11" s="6">
        <v>1453.046484</v>
      </c>
      <c r="F11" s="6">
        <v>113.335629</v>
      </c>
      <c r="G11" s="6">
        <v>1339.710855</v>
      </c>
      <c r="H11" s="6">
        <v>15.592827</v>
      </c>
      <c r="I11" s="6">
        <v>612.84699000000001</v>
      </c>
      <c r="J11" s="6">
        <v>42</v>
      </c>
      <c r="K11" s="6">
        <v>22.103878000000002</v>
      </c>
      <c r="L11" s="6">
        <v>460.00000199999999</v>
      </c>
      <c r="M11" s="6">
        <v>49.999991999999999</v>
      </c>
      <c r="N11" s="6">
        <v>137.16716700000001</v>
      </c>
      <c r="O11" s="6">
        <v>32.944077</v>
      </c>
      <c r="P11" s="6">
        <v>104.223089</v>
      </c>
      <c r="Q11" s="7">
        <v>29.5</v>
      </c>
      <c r="R11" s="6">
        <v>557.59619999999995</v>
      </c>
      <c r="S11" s="6">
        <v>910.41003000000001</v>
      </c>
      <c r="T11" s="6">
        <v>838.93246399999998</v>
      </c>
      <c r="U11" s="6">
        <v>775.84981100000005</v>
      </c>
      <c r="V11" s="6">
        <v>719.93878099999995</v>
      </c>
    </row>
    <row r="12" spans="1:22" x14ac:dyDescent="0.35">
      <c r="A12" s="5">
        <v>46022</v>
      </c>
      <c r="B12" s="4" t="s">
        <v>53</v>
      </c>
      <c r="C12" s="4" t="s">
        <v>54</v>
      </c>
      <c r="D12" s="4" t="s">
        <v>55</v>
      </c>
      <c r="E12" s="6">
        <v>180.31735599999999</v>
      </c>
      <c r="F12" s="6">
        <v>15.823449</v>
      </c>
      <c r="G12" s="6">
        <v>164.493908</v>
      </c>
      <c r="H12" s="6">
        <v>14.967968000000001</v>
      </c>
      <c r="I12" s="6">
        <v>54.126505999999999</v>
      </c>
      <c r="J12" s="6">
        <v>4.0384019999999996</v>
      </c>
      <c r="K12" s="6">
        <v>8.7280909999999992</v>
      </c>
      <c r="L12" s="6">
        <v>12.082680999999999</v>
      </c>
      <c r="M12" s="6">
        <v>6</v>
      </c>
      <c r="N12" s="6">
        <v>64.550258999999997</v>
      </c>
      <c r="O12" s="6">
        <v>15.014599</v>
      </c>
      <c r="P12" s="6">
        <v>49.53566</v>
      </c>
      <c r="Q12" s="7">
        <v>34</v>
      </c>
      <c r="R12" s="6">
        <v>47.200445999999999</v>
      </c>
      <c r="S12" s="6">
        <v>144.73213999999999</v>
      </c>
      <c r="T12" s="6">
        <v>139.549903</v>
      </c>
      <c r="U12" s="6">
        <v>134.66929099999999</v>
      </c>
      <c r="V12" s="6">
        <v>130.067027</v>
      </c>
    </row>
    <row r="13" spans="1:22" x14ac:dyDescent="0.35">
      <c r="A13" s="5">
        <v>46022</v>
      </c>
      <c r="B13" s="4" t="s">
        <v>56</v>
      </c>
      <c r="C13" s="4" t="s">
        <v>57</v>
      </c>
      <c r="D13" s="4" t="s">
        <v>58</v>
      </c>
      <c r="E13" s="6">
        <v>715.56759199999999</v>
      </c>
      <c r="F13" s="6">
        <v>12.746937000000001</v>
      </c>
      <c r="G13" s="6">
        <v>702.82065499999999</v>
      </c>
      <c r="H13" s="6">
        <v>3.3447939999999998</v>
      </c>
      <c r="I13" s="6">
        <v>420.65721600000001</v>
      </c>
      <c r="J13" s="6">
        <v>9</v>
      </c>
      <c r="K13" s="6">
        <v>-3.7088830000000002</v>
      </c>
      <c r="L13" s="6">
        <v>77.522912000000005</v>
      </c>
      <c r="M13" s="6">
        <v>0</v>
      </c>
      <c r="N13" s="6">
        <v>196.004617</v>
      </c>
      <c r="O13" s="6">
        <v>32.416085000000002</v>
      </c>
      <c r="P13" s="6">
        <v>163.58853199999999</v>
      </c>
      <c r="Q13" s="7">
        <v>27</v>
      </c>
      <c r="R13" s="6">
        <v>149.759072</v>
      </c>
      <c r="S13" s="6">
        <v>1437.197684</v>
      </c>
      <c r="T13" s="6">
        <v>1255.2793349999999</v>
      </c>
      <c r="U13" s="6">
        <v>1108.701354</v>
      </c>
      <c r="V13" s="6">
        <v>989.115993</v>
      </c>
    </row>
    <row r="14" spans="1:22" x14ac:dyDescent="0.35">
      <c r="A14" s="5">
        <v>46022</v>
      </c>
      <c r="B14" s="4" t="s">
        <v>59</v>
      </c>
      <c r="C14" s="4" t="s">
        <v>60</v>
      </c>
      <c r="D14" s="4" t="s">
        <v>61</v>
      </c>
      <c r="E14" s="6">
        <v>483.162485</v>
      </c>
      <c r="F14" s="6">
        <v>47.981547999999997</v>
      </c>
      <c r="G14" s="6">
        <v>435.18093699999997</v>
      </c>
      <c r="H14" s="6">
        <v>19.326529000000001</v>
      </c>
      <c r="I14" s="6">
        <v>63.832859999999997</v>
      </c>
      <c r="J14" s="6">
        <v>5.5035480000000003</v>
      </c>
      <c r="K14" s="6">
        <v>0.535084</v>
      </c>
      <c r="L14" s="6">
        <v>6.8727960000000001</v>
      </c>
      <c r="M14" s="6">
        <v>0</v>
      </c>
      <c r="N14" s="6">
        <v>339.11012099999999</v>
      </c>
      <c r="O14" s="6">
        <v>81.240268</v>
      </c>
      <c r="P14" s="6">
        <v>257.86985299999998</v>
      </c>
      <c r="Q14" s="7">
        <v>25</v>
      </c>
      <c r="R14" s="6">
        <v>21.556930000000001</v>
      </c>
      <c r="S14" s="6">
        <v>1743.869848</v>
      </c>
      <c r="T14" s="6">
        <v>1592.2042369999999</v>
      </c>
      <c r="U14" s="6">
        <v>1460.4868739999999</v>
      </c>
      <c r="V14" s="6">
        <v>1345.5004260000001</v>
      </c>
    </row>
    <row r="15" spans="1:22" x14ac:dyDescent="0.35">
      <c r="A15" s="5">
        <v>46022</v>
      </c>
      <c r="B15" s="4" t="s">
        <v>62</v>
      </c>
      <c r="C15" s="4" t="s">
        <v>63</v>
      </c>
      <c r="D15" s="4" t="s">
        <v>61</v>
      </c>
      <c r="E15" s="6">
        <v>14.00132</v>
      </c>
      <c r="F15" s="6">
        <v>1.0307550000000001</v>
      </c>
      <c r="G15" s="6">
        <v>12.970565000000001</v>
      </c>
      <c r="H15" s="6">
        <v>2.4223849999999998</v>
      </c>
      <c r="I15" s="6">
        <v>7.6458690000000002</v>
      </c>
      <c r="J15" s="6">
        <v>0.58864099999999997</v>
      </c>
      <c r="K15" s="6">
        <v>-1.5839999999999999E-3</v>
      </c>
      <c r="L15" s="6">
        <v>0.178346</v>
      </c>
      <c r="M15" s="6">
        <v>0</v>
      </c>
      <c r="N15" s="6">
        <v>2.1369090000000002</v>
      </c>
      <c r="O15" s="6">
        <v>0</v>
      </c>
      <c r="P15" s="6">
        <v>2.1369090000000002</v>
      </c>
      <c r="Q15" s="7">
        <v>25</v>
      </c>
      <c r="R15" s="6">
        <v>0.178346</v>
      </c>
      <c r="S15" s="6">
        <v>17.173445000000001</v>
      </c>
      <c r="T15" s="6">
        <v>15.381665999999999</v>
      </c>
      <c r="U15" s="6">
        <v>13.870335000000001</v>
      </c>
      <c r="V15" s="6">
        <v>12.586067</v>
      </c>
    </row>
    <row r="16" spans="1:22" x14ac:dyDescent="0.35">
      <c r="A16" s="5">
        <v>46022</v>
      </c>
      <c r="B16" s="4" t="s">
        <v>64</v>
      </c>
      <c r="C16" s="4" t="s">
        <v>65</v>
      </c>
      <c r="D16" s="4" t="s">
        <v>66</v>
      </c>
      <c r="E16" s="6">
        <v>5.3176819999999996</v>
      </c>
      <c r="F16" s="6">
        <v>0.54145500000000002</v>
      </c>
      <c r="G16" s="6">
        <v>4.7762270000000004</v>
      </c>
      <c r="H16" s="6">
        <v>0.26588200000000001</v>
      </c>
      <c r="I16" s="6">
        <v>8.9885889999999993</v>
      </c>
      <c r="J16" s="6">
        <v>6.8393689999999996</v>
      </c>
      <c r="K16" s="6">
        <v>-8.6798E-2</v>
      </c>
      <c r="L16" s="6">
        <v>0.298043</v>
      </c>
      <c r="M16" s="6">
        <v>0</v>
      </c>
      <c r="N16" s="6">
        <v>-11.52886</v>
      </c>
      <c r="O16" s="6">
        <v>0</v>
      </c>
      <c r="P16" s="6">
        <v>-11.52886</v>
      </c>
      <c r="Q16" s="7">
        <v>16</v>
      </c>
      <c r="R16" s="6">
        <v>1.834727</v>
      </c>
      <c r="S16" s="6">
        <v>-10.67487</v>
      </c>
      <c r="T16" s="6">
        <v>-10.480782</v>
      </c>
      <c r="U16" s="6">
        <v>-10.293625</v>
      </c>
      <c r="V16" s="6">
        <v>-10.113035</v>
      </c>
    </row>
    <row r="17" spans="1:22" x14ac:dyDescent="0.35">
      <c r="A17" s="5">
        <v>46022</v>
      </c>
      <c r="B17" s="4" t="s">
        <v>67</v>
      </c>
      <c r="C17" s="4" t="s">
        <v>68</v>
      </c>
      <c r="D17" s="4" t="s">
        <v>69</v>
      </c>
      <c r="E17" s="6">
        <v>138.89122499999999</v>
      </c>
      <c r="F17" s="6">
        <v>0</v>
      </c>
      <c r="G17" s="6">
        <v>138.89122499999999</v>
      </c>
      <c r="H17" s="6">
        <v>9.5851609999999994</v>
      </c>
      <c r="I17" s="6">
        <v>36.942428</v>
      </c>
      <c r="J17" s="6">
        <v>7.7457549999999999</v>
      </c>
      <c r="K17" s="6">
        <v>-2.6253250000000001</v>
      </c>
      <c r="L17" s="6">
        <v>7.0121770000000003</v>
      </c>
      <c r="M17" s="6">
        <v>0</v>
      </c>
      <c r="N17" s="6">
        <v>80.231027999999995</v>
      </c>
      <c r="O17" s="6">
        <v>13.048276</v>
      </c>
      <c r="P17" s="6">
        <v>67.182750999999996</v>
      </c>
      <c r="Q17" s="7">
        <v>20</v>
      </c>
      <c r="R17" s="6">
        <v>19.376498999999999</v>
      </c>
      <c r="S17" s="6">
        <v>62.206251000000002</v>
      </c>
      <c r="T17" s="6">
        <v>61.075228000000003</v>
      </c>
      <c r="U17" s="6">
        <v>59.984599000000003</v>
      </c>
      <c r="V17" s="6">
        <v>58.932237999999998</v>
      </c>
    </row>
    <row r="18" spans="1:22" x14ac:dyDescent="0.35">
      <c r="A18" s="5">
        <v>46022</v>
      </c>
      <c r="B18" s="4" t="s">
        <v>70</v>
      </c>
      <c r="C18" s="4" t="s">
        <v>71</v>
      </c>
      <c r="D18" s="4" t="s">
        <v>61</v>
      </c>
      <c r="E18" s="6">
        <v>8.148695</v>
      </c>
      <c r="F18" s="6">
        <v>3.0805449999999999</v>
      </c>
      <c r="G18" s="6">
        <v>5.0681500000000002</v>
      </c>
      <c r="H18" s="6">
        <v>1.2334449999999999</v>
      </c>
      <c r="I18" s="6">
        <v>3.3014070000000002</v>
      </c>
      <c r="J18" s="6">
        <v>0.370865</v>
      </c>
      <c r="K18" s="6">
        <v>5.9199999999999997E-4</v>
      </c>
      <c r="L18" s="6">
        <v>0.178479</v>
      </c>
      <c r="M18" s="6">
        <v>0</v>
      </c>
      <c r="N18" s="6">
        <v>-1.6638E-2</v>
      </c>
      <c r="O18" s="6">
        <v>0</v>
      </c>
      <c r="P18" s="6">
        <v>-1.6638E-2</v>
      </c>
      <c r="Q18" s="7">
        <v>25</v>
      </c>
      <c r="R18" s="6">
        <v>0.64669500000000002</v>
      </c>
      <c r="S18" s="6">
        <v>-2.9160999999999999E-2</v>
      </c>
      <c r="T18" s="6">
        <v>-2.8386000000000002E-2</v>
      </c>
      <c r="U18" s="6">
        <v>-2.7646E-2</v>
      </c>
      <c r="V18" s="6">
        <v>-2.6941E-2</v>
      </c>
    </row>
    <row r="19" spans="1:22" x14ac:dyDescent="0.35">
      <c r="A19" s="5">
        <v>46022</v>
      </c>
      <c r="B19" s="4" t="s">
        <v>72</v>
      </c>
      <c r="C19" s="4" t="s">
        <v>73</v>
      </c>
      <c r="D19" s="4" t="s">
        <v>74</v>
      </c>
      <c r="E19" s="6">
        <v>133.017865</v>
      </c>
      <c r="F19" s="6">
        <v>17.334309999999999</v>
      </c>
      <c r="G19" s="6">
        <v>115.683555</v>
      </c>
      <c r="H19" s="6">
        <v>0</v>
      </c>
      <c r="I19" s="6">
        <v>20.905100000000001</v>
      </c>
      <c r="J19" s="6">
        <v>3.1313460000000002</v>
      </c>
      <c r="K19" s="6">
        <v>18.722985000000001</v>
      </c>
      <c r="L19" s="6">
        <v>5.556057</v>
      </c>
      <c r="M19" s="6">
        <v>0</v>
      </c>
      <c r="N19" s="6">
        <v>67.368066999999996</v>
      </c>
      <c r="O19" s="6">
        <v>17.528431000000001</v>
      </c>
      <c r="P19" s="6">
        <v>49.839635999999999</v>
      </c>
      <c r="Q19" s="7">
        <v>21</v>
      </c>
      <c r="R19" s="6">
        <v>8.1783889999999992</v>
      </c>
      <c r="S19" s="6">
        <v>868.22214899999994</v>
      </c>
      <c r="T19" s="6">
        <v>788.80613200000005</v>
      </c>
      <c r="U19" s="6">
        <v>721.97020499999996</v>
      </c>
      <c r="V19" s="6">
        <v>665.02527099999998</v>
      </c>
    </row>
    <row r="20" spans="1:22" x14ac:dyDescent="0.35">
      <c r="A20" s="5">
        <v>46022</v>
      </c>
      <c r="B20" s="4" t="s">
        <v>75</v>
      </c>
      <c r="C20" s="4" t="s">
        <v>76</v>
      </c>
      <c r="D20" s="4" t="s">
        <v>61</v>
      </c>
      <c r="E20" s="6">
        <v>52.991632000000003</v>
      </c>
      <c r="F20" s="6">
        <v>3.6338889999999999</v>
      </c>
      <c r="G20" s="6">
        <v>49.357742000000002</v>
      </c>
      <c r="H20" s="6">
        <v>5.4381890000000004</v>
      </c>
      <c r="I20" s="6">
        <v>30.716137</v>
      </c>
      <c r="J20" s="6">
        <v>3.0381999999999998</v>
      </c>
      <c r="K20" s="6">
        <v>0.21468000000000001</v>
      </c>
      <c r="L20" s="6">
        <v>1.6990879999999999</v>
      </c>
      <c r="M20" s="6">
        <v>0</v>
      </c>
      <c r="N20" s="6">
        <v>8.2514489999999991</v>
      </c>
      <c r="O20" s="6">
        <v>2.2338849999999999</v>
      </c>
      <c r="P20" s="6">
        <v>6.0175640000000001</v>
      </c>
      <c r="Q20" s="7">
        <v>25</v>
      </c>
      <c r="R20" s="6">
        <v>1.229679</v>
      </c>
      <c r="S20" s="6">
        <v>66.741523000000001</v>
      </c>
      <c r="T20" s="6">
        <v>56.606524999999998</v>
      </c>
      <c r="U20" s="6">
        <v>48.816744999999997</v>
      </c>
      <c r="V20" s="6">
        <v>42.714793</v>
      </c>
    </row>
    <row r="21" spans="1:22" x14ac:dyDescent="0.35">
      <c r="A21" s="5">
        <v>46022</v>
      </c>
      <c r="B21" s="4" t="s">
        <v>77</v>
      </c>
      <c r="C21" s="4" t="s">
        <v>78</v>
      </c>
      <c r="D21" s="4" t="s">
        <v>79</v>
      </c>
      <c r="E21" s="6">
        <v>790.75302399999998</v>
      </c>
      <c r="F21" s="6">
        <v>30.383644</v>
      </c>
      <c r="G21" s="6">
        <v>760.36937999999998</v>
      </c>
      <c r="H21" s="6">
        <v>19.769048000000002</v>
      </c>
      <c r="I21" s="6">
        <v>532.97059100000001</v>
      </c>
      <c r="J21" s="6">
        <v>21.606759</v>
      </c>
      <c r="K21" s="6">
        <v>-1.6112219999999999</v>
      </c>
      <c r="L21" s="6">
        <v>77.183020999999997</v>
      </c>
      <c r="M21" s="6">
        <v>0</v>
      </c>
      <c r="N21" s="6">
        <v>110.451183</v>
      </c>
      <c r="O21" s="6">
        <v>28.298390000000001</v>
      </c>
      <c r="P21" s="6">
        <v>82.152793000000003</v>
      </c>
      <c r="Q21" s="7">
        <v>26</v>
      </c>
      <c r="R21" s="6">
        <v>77.183020999999997</v>
      </c>
      <c r="S21" s="6">
        <v>872.14448200000004</v>
      </c>
      <c r="T21" s="6">
        <v>739.30169000000001</v>
      </c>
      <c r="U21" s="6">
        <v>637.36744799999997</v>
      </c>
      <c r="V21" s="6">
        <v>557.63962100000003</v>
      </c>
    </row>
    <row r="22" spans="1:22" x14ac:dyDescent="0.35">
      <c r="A22" s="5">
        <v>46022</v>
      </c>
      <c r="B22" s="4" t="s">
        <v>80</v>
      </c>
      <c r="C22" s="4" t="s">
        <v>81</v>
      </c>
      <c r="D22" s="4" t="s">
        <v>79</v>
      </c>
      <c r="E22" s="6">
        <v>1543.693534</v>
      </c>
      <c r="F22" s="6">
        <v>77.389308</v>
      </c>
      <c r="G22" s="6">
        <v>1466.3042270000001</v>
      </c>
      <c r="H22" s="6">
        <v>0</v>
      </c>
      <c r="I22" s="6">
        <v>1797.180357</v>
      </c>
      <c r="J22" s="6">
        <v>51.536045000000001</v>
      </c>
      <c r="K22" s="6">
        <v>-3.5457350000000001</v>
      </c>
      <c r="L22" s="6">
        <v>304.25054299999999</v>
      </c>
      <c r="M22" s="6">
        <v>449.399991</v>
      </c>
      <c r="N22" s="6">
        <v>-1132.5169760000001</v>
      </c>
      <c r="O22" s="6">
        <v>0</v>
      </c>
      <c r="P22" s="6">
        <v>-1132.5169760000001</v>
      </c>
      <c r="Q22" s="7">
        <v>26</v>
      </c>
      <c r="R22" s="6">
        <v>457.942296</v>
      </c>
      <c r="S22" s="6">
        <v>-6739.3058600000004</v>
      </c>
      <c r="T22" s="6">
        <v>-6044.7815250000003</v>
      </c>
      <c r="U22" s="6">
        <v>-5467.6119689999996</v>
      </c>
      <c r="V22" s="6">
        <v>-4983.316065</v>
      </c>
    </row>
    <row r="23" spans="1:22" x14ac:dyDescent="0.35">
      <c r="A23" s="5">
        <v>46022</v>
      </c>
      <c r="B23" s="4" t="s">
        <v>82</v>
      </c>
      <c r="C23" s="4" t="s">
        <v>83</v>
      </c>
      <c r="D23" s="4" t="s">
        <v>61</v>
      </c>
      <c r="E23" s="6">
        <v>30.788691</v>
      </c>
      <c r="F23" s="6">
        <v>1.9224939999999999</v>
      </c>
      <c r="G23" s="6">
        <v>28.866198000000001</v>
      </c>
      <c r="H23" s="6">
        <v>2.9600979999999999</v>
      </c>
      <c r="I23" s="6">
        <v>14.666138999999999</v>
      </c>
      <c r="J23" s="6">
        <v>0.70485100000000001</v>
      </c>
      <c r="K23" s="6">
        <v>-1.5576E-2</v>
      </c>
      <c r="L23" s="6">
        <v>0.306757</v>
      </c>
      <c r="M23" s="6">
        <v>0</v>
      </c>
      <c r="N23" s="6">
        <v>10.243928</v>
      </c>
      <c r="O23" s="6">
        <v>2.5570879999999998</v>
      </c>
      <c r="P23" s="6">
        <v>7.6868400000000001</v>
      </c>
      <c r="Q23" s="7">
        <v>25</v>
      </c>
      <c r="R23" s="6">
        <v>0.306757</v>
      </c>
      <c r="S23" s="6">
        <v>47.935949999999998</v>
      </c>
      <c r="T23" s="6">
        <v>44.193153000000002</v>
      </c>
      <c r="U23" s="6">
        <v>40.888319000000003</v>
      </c>
      <c r="V23" s="6">
        <v>37.958587999999999</v>
      </c>
    </row>
    <row r="24" spans="1:22" x14ac:dyDescent="0.35">
      <c r="A24" s="5">
        <v>46022</v>
      </c>
      <c r="B24" s="4" t="s">
        <v>84</v>
      </c>
      <c r="C24" s="4" t="s">
        <v>85</v>
      </c>
      <c r="D24" s="4" t="s">
        <v>86</v>
      </c>
      <c r="E24" s="6">
        <v>291.18931800000001</v>
      </c>
      <c r="F24" s="6">
        <v>29.093451000000002</v>
      </c>
      <c r="G24" s="6">
        <v>262.095867</v>
      </c>
      <c r="H24" s="6">
        <v>17.471301</v>
      </c>
      <c r="I24" s="6">
        <v>115.363146</v>
      </c>
      <c r="J24" s="6">
        <v>3.5415830000000001</v>
      </c>
      <c r="K24" s="6">
        <v>3.9928360000000001</v>
      </c>
      <c r="L24" s="6">
        <v>17.881139000000001</v>
      </c>
      <c r="M24" s="6">
        <v>67.495771000000005</v>
      </c>
      <c r="N24" s="6">
        <v>36.350091999999997</v>
      </c>
      <c r="O24" s="6">
        <v>14.854727</v>
      </c>
      <c r="P24" s="6">
        <v>21.495365</v>
      </c>
      <c r="Q24" s="7">
        <v>20</v>
      </c>
      <c r="R24" s="6">
        <v>51.446204000000002</v>
      </c>
      <c r="S24" s="6">
        <v>1027.9698209999999</v>
      </c>
      <c r="T24" s="6">
        <v>875.66242199999999</v>
      </c>
      <c r="U24" s="6">
        <v>754.61251500000003</v>
      </c>
      <c r="V24" s="6">
        <v>657.08244300000001</v>
      </c>
    </row>
    <row r="25" spans="1:22" x14ac:dyDescent="0.35">
      <c r="A25" s="5">
        <v>46022</v>
      </c>
      <c r="B25" s="4" t="s">
        <v>87</v>
      </c>
      <c r="C25" s="4" t="s">
        <v>88</v>
      </c>
      <c r="D25" s="4" t="s">
        <v>89</v>
      </c>
      <c r="E25" s="6">
        <v>1893.1119650000001</v>
      </c>
      <c r="F25" s="6">
        <v>21.773412</v>
      </c>
      <c r="G25" s="6">
        <v>1871.3385539999999</v>
      </c>
      <c r="H25" s="6">
        <v>55.833475</v>
      </c>
      <c r="I25" s="6">
        <v>921.78632500000003</v>
      </c>
      <c r="J25" s="6">
        <v>60.755381</v>
      </c>
      <c r="K25" s="6">
        <v>15.884771000000001</v>
      </c>
      <c r="L25" s="6">
        <v>138.267954</v>
      </c>
      <c r="M25" s="6">
        <v>0</v>
      </c>
      <c r="N25" s="6">
        <v>678.81064800000001</v>
      </c>
      <c r="O25" s="6">
        <v>178.030687</v>
      </c>
      <c r="P25" s="6">
        <v>500.77996100000001</v>
      </c>
      <c r="Q25" s="7">
        <v>30</v>
      </c>
      <c r="R25" s="6">
        <v>239.527749</v>
      </c>
      <c r="S25" s="6">
        <v>3564.4537650000002</v>
      </c>
      <c r="T25" s="6">
        <v>3243.966398</v>
      </c>
      <c r="U25" s="6">
        <v>2966.823668</v>
      </c>
      <c r="V25" s="6">
        <v>2725.871513</v>
      </c>
    </row>
    <row r="26" spans="1:22" x14ac:dyDescent="0.35">
      <c r="A26" s="5">
        <v>46022</v>
      </c>
      <c r="B26" s="4" t="s">
        <v>90</v>
      </c>
      <c r="C26" s="4" t="s">
        <v>91</v>
      </c>
      <c r="D26" s="4" t="s">
        <v>86</v>
      </c>
      <c r="E26" s="6">
        <v>1373.672687</v>
      </c>
      <c r="F26" s="6">
        <v>103.619169</v>
      </c>
      <c r="G26" s="6">
        <v>1270.0535179999999</v>
      </c>
      <c r="H26" s="6">
        <v>133.43017499999999</v>
      </c>
      <c r="I26" s="6">
        <v>478.38529199999999</v>
      </c>
      <c r="J26" s="6">
        <v>22.631374000000001</v>
      </c>
      <c r="K26" s="6">
        <v>-4.9637229999999999</v>
      </c>
      <c r="L26" s="6">
        <v>95.999998000000005</v>
      </c>
      <c r="M26" s="6">
        <v>0</v>
      </c>
      <c r="N26" s="6">
        <v>544.57040199999994</v>
      </c>
      <c r="O26" s="6">
        <v>96.894568000000007</v>
      </c>
      <c r="P26" s="6">
        <v>447.67583500000001</v>
      </c>
      <c r="Q26" s="7">
        <v>20</v>
      </c>
      <c r="R26" s="6">
        <v>151.13383899999999</v>
      </c>
      <c r="S26" s="6">
        <v>5463.0302510000001</v>
      </c>
      <c r="T26" s="6">
        <v>4593.74359</v>
      </c>
      <c r="U26" s="6">
        <v>3930.2069120000001</v>
      </c>
      <c r="V26" s="6">
        <v>3413.9813300000001</v>
      </c>
    </row>
    <row r="27" spans="1:22" x14ac:dyDescent="0.35">
      <c r="A27" s="5">
        <v>46022</v>
      </c>
      <c r="B27" s="4" t="s">
        <v>92</v>
      </c>
      <c r="C27" s="4" t="s">
        <v>93</v>
      </c>
      <c r="D27" s="4" t="s">
        <v>58</v>
      </c>
      <c r="E27" s="6">
        <v>1538.1356430000001</v>
      </c>
      <c r="F27" s="6">
        <v>86.404857000000007</v>
      </c>
      <c r="G27" s="6">
        <v>1451.730787</v>
      </c>
      <c r="H27" s="6">
        <v>67.755470000000003</v>
      </c>
      <c r="I27" s="6">
        <v>698.20925599999998</v>
      </c>
      <c r="J27" s="6">
        <v>23.798815000000001</v>
      </c>
      <c r="K27" s="6">
        <v>-25.301366000000002</v>
      </c>
      <c r="L27" s="6">
        <v>205.00000900000001</v>
      </c>
      <c r="M27" s="6">
        <v>0</v>
      </c>
      <c r="N27" s="6">
        <v>482.26860199999999</v>
      </c>
      <c r="O27" s="6">
        <v>113.94087</v>
      </c>
      <c r="P27" s="6">
        <v>368.32773100000003</v>
      </c>
      <c r="Q27" s="7">
        <v>27</v>
      </c>
      <c r="R27" s="6">
        <v>239.964022</v>
      </c>
      <c r="S27" s="6">
        <v>3370.8231099999998</v>
      </c>
      <c r="T27" s="6">
        <v>2966.0566450000001</v>
      </c>
      <c r="U27" s="6">
        <v>2635.417089</v>
      </c>
      <c r="V27" s="6">
        <v>2362.3246210000002</v>
      </c>
    </row>
    <row r="28" spans="1:22" x14ac:dyDescent="0.35">
      <c r="A28" s="5">
        <v>46022</v>
      </c>
      <c r="B28" s="4" t="s">
        <v>94</v>
      </c>
      <c r="C28" s="4" t="s">
        <v>95</v>
      </c>
      <c r="D28" s="4" t="s">
        <v>58</v>
      </c>
      <c r="E28" s="6">
        <v>907.41413899999998</v>
      </c>
      <c r="F28" s="6">
        <v>90.952781999999999</v>
      </c>
      <c r="G28" s="6">
        <v>816.46135600000002</v>
      </c>
      <c r="H28" s="6">
        <v>29.410729</v>
      </c>
      <c r="I28" s="6">
        <v>456.275487</v>
      </c>
      <c r="J28" s="6">
        <v>155.574242</v>
      </c>
      <c r="K28" s="6">
        <v>-13.059680999999999</v>
      </c>
      <c r="L28" s="6">
        <v>157.86849900000001</v>
      </c>
      <c r="M28" s="6">
        <v>0</v>
      </c>
      <c r="N28" s="6">
        <v>30.39208</v>
      </c>
      <c r="O28" s="6">
        <v>0</v>
      </c>
      <c r="P28" s="6">
        <v>30.39208</v>
      </c>
      <c r="Q28" s="7">
        <v>27</v>
      </c>
      <c r="R28" s="6">
        <v>227.824862</v>
      </c>
      <c r="S28" s="6">
        <v>87.871392999999998</v>
      </c>
      <c r="T28" s="6">
        <v>74.569025999999994</v>
      </c>
      <c r="U28" s="6">
        <v>64.557373999999996</v>
      </c>
      <c r="V28" s="6">
        <v>56.963453999999999</v>
      </c>
    </row>
    <row r="29" spans="1:22" x14ac:dyDescent="0.35">
      <c r="A29" s="5">
        <v>46022</v>
      </c>
      <c r="B29" s="4" t="s">
        <v>96</v>
      </c>
      <c r="C29" s="4" t="s">
        <v>97</v>
      </c>
      <c r="D29" s="4" t="s">
        <v>58</v>
      </c>
      <c r="E29" s="6">
        <v>1867.432198</v>
      </c>
      <c r="F29" s="6">
        <v>139.07746700000001</v>
      </c>
      <c r="G29" s="6">
        <v>1728.354732</v>
      </c>
      <c r="H29" s="6">
        <v>24.370003000000001</v>
      </c>
      <c r="I29" s="6">
        <v>684.90959899999996</v>
      </c>
      <c r="J29" s="6">
        <v>12.572817000000001</v>
      </c>
      <c r="K29" s="6">
        <v>48.037582999999998</v>
      </c>
      <c r="L29" s="6">
        <v>374.87313599999999</v>
      </c>
      <c r="M29" s="6">
        <v>2000.000014</v>
      </c>
      <c r="N29" s="6">
        <v>-1416.4084210000001</v>
      </c>
      <c r="O29" s="6">
        <v>147.70383699999999</v>
      </c>
      <c r="P29" s="6">
        <v>-1564.1122580000001</v>
      </c>
      <c r="Q29" s="7">
        <v>27</v>
      </c>
      <c r="R29" s="6">
        <v>459.45106500000003</v>
      </c>
      <c r="S29" s="6">
        <v>6127.1902319999999</v>
      </c>
      <c r="T29" s="6">
        <v>4765.5087729999996</v>
      </c>
      <c r="U29" s="6">
        <v>3719.5642579999999</v>
      </c>
      <c r="V29" s="6">
        <v>2904.2328219999999</v>
      </c>
    </row>
    <row r="30" spans="1:22" x14ac:dyDescent="0.35">
      <c r="A30" s="5">
        <v>46022</v>
      </c>
      <c r="B30" s="4" t="s">
        <v>98</v>
      </c>
      <c r="C30" s="4" t="s">
        <v>99</v>
      </c>
      <c r="D30" s="4" t="s">
        <v>50</v>
      </c>
      <c r="E30" s="6">
        <v>4915.9983670000001</v>
      </c>
      <c r="F30" s="6">
        <v>359.65650199999999</v>
      </c>
      <c r="G30" s="6">
        <v>4556.341864</v>
      </c>
      <c r="H30" s="6">
        <v>196.303281</v>
      </c>
      <c r="I30" s="6">
        <v>2607.2281400000002</v>
      </c>
      <c r="J30" s="6">
        <v>120.906622</v>
      </c>
      <c r="K30" s="6">
        <v>56.761411000000003</v>
      </c>
      <c r="L30" s="6">
        <v>184.80941799999999</v>
      </c>
      <c r="M30" s="6">
        <v>0</v>
      </c>
      <c r="N30" s="6">
        <v>1390.3329920000001</v>
      </c>
      <c r="O30" s="6">
        <v>340.371441</v>
      </c>
      <c r="P30" s="6">
        <v>1049.9615510000001</v>
      </c>
      <c r="Q30" s="7">
        <v>27</v>
      </c>
      <c r="R30" s="6">
        <v>371.26885299999998</v>
      </c>
      <c r="S30" s="6">
        <v>12719.296807000001</v>
      </c>
      <c r="T30" s="6">
        <v>10719.020763</v>
      </c>
      <c r="U30" s="6">
        <v>9185.125172</v>
      </c>
      <c r="V30" s="6">
        <v>7987.0105380000005</v>
      </c>
    </row>
    <row r="31" spans="1:22" x14ac:dyDescent="0.35">
      <c r="A31" s="5">
        <v>46022</v>
      </c>
      <c r="B31" s="4" t="s">
        <v>100</v>
      </c>
      <c r="C31" s="4" t="s">
        <v>101</v>
      </c>
      <c r="D31" s="4" t="s">
        <v>102</v>
      </c>
      <c r="E31" s="6">
        <v>430.62161600000002</v>
      </c>
      <c r="F31" s="6">
        <v>25.453301</v>
      </c>
      <c r="G31" s="6">
        <v>405.16831500000001</v>
      </c>
      <c r="H31" s="6">
        <v>0</v>
      </c>
      <c r="I31" s="6">
        <v>187.54115400000001</v>
      </c>
      <c r="J31" s="6">
        <v>15.003292</v>
      </c>
      <c r="K31" s="6">
        <v>-6.7325309999999998</v>
      </c>
      <c r="L31" s="6">
        <v>46.569307000000002</v>
      </c>
      <c r="M31" s="6">
        <v>39.207467999999999</v>
      </c>
      <c r="N31" s="6">
        <v>123.57962499999999</v>
      </c>
      <c r="O31" s="6">
        <v>40.300096000000003</v>
      </c>
      <c r="P31" s="6">
        <v>83.279527999999999</v>
      </c>
      <c r="Q31" s="7">
        <v>20.6</v>
      </c>
      <c r="R31" s="6">
        <v>6.9923330000000004</v>
      </c>
      <c r="S31" s="6">
        <v>708.93825400000003</v>
      </c>
      <c r="T31" s="6">
        <v>657.47732199999996</v>
      </c>
      <c r="U31" s="6">
        <v>611.60085300000003</v>
      </c>
      <c r="V31" s="6">
        <v>570.55151899999998</v>
      </c>
    </row>
    <row r="32" spans="1:22" x14ac:dyDescent="0.35">
      <c r="A32" s="5">
        <v>46022</v>
      </c>
      <c r="B32" s="4" t="s">
        <v>103</v>
      </c>
      <c r="C32" s="4" t="s">
        <v>104</v>
      </c>
      <c r="D32" s="4" t="s">
        <v>105</v>
      </c>
      <c r="E32" s="6">
        <v>503.95921600000003</v>
      </c>
      <c r="F32" s="6">
        <v>76.928415999999999</v>
      </c>
      <c r="G32" s="6">
        <v>427.030799</v>
      </c>
      <c r="H32" s="6">
        <v>9.9959849999999992</v>
      </c>
      <c r="I32" s="6">
        <v>195.86763300000001</v>
      </c>
      <c r="J32" s="6">
        <v>0.19831699999999999</v>
      </c>
      <c r="K32" s="6">
        <v>-11.405272999999999</v>
      </c>
      <c r="L32" s="6">
        <v>19.539660000000001</v>
      </c>
      <c r="M32" s="6">
        <v>0.38956600000000002</v>
      </c>
      <c r="N32" s="6">
        <v>212.44491099999999</v>
      </c>
      <c r="O32" s="6">
        <v>50.255299999999998</v>
      </c>
      <c r="P32" s="6">
        <v>162.18961100000001</v>
      </c>
      <c r="Q32" s="7">
        <v>27</v>
      </c>
      <c r="R32" s="6">
        <v>34.838123000000003</v>
      </c>
      <c r="S32" s="6">
        <v>1578.7689800000001</v>
      </c>
      <c r="T32" s="6">
        <v>1350.167449</v>
      </c>
      <c r="U32" s="6">
        <v>1172.655949</v>
      </c>
      <c r="V32" s="6">
        <v>1032.292048</v>
      </c>
    </row>
    <row r="33" spans="1:22" x14ac:dyDescent="0.35">
      <c r="A33" s="5">
        <v>46022</v>
      </c>
      <c r="B33" s="4" t="s">
        <v>106</v>
      </c>
      <c r="C33" s="4" t="s">
        <v>107</v>
      </c>
      <c r="D33" s="4" t="s">
        <v>108</v>
      </c>
      <c r="E33" s="6">
        <v>132.040638</v>
      </c>
      <c r="F33" s="6">
        <v>4.6163379999999998</v>
      </c>
      <c r="G33" s="6">
        <v>127.4243</v>
      </c>
      <c r="H33" s="6">
        <v>10.340020000000001</v>
      </c>
      <c r="I33" s="6">
        <v>63.625484999999998</v>
      </c>
      <c r="J33" s="6">
        <v>8.5910349999999998</v>
      </c>
      <c r="K33" s="6">
        <v>-2.9648180000000002</v>
      </c>
      <c r="L33" s="6">
        <v>6.043469</v>
      </c>
      <c r="M33" s="6">
        <v>0</v>
      </c>
      <c r="N33" s="6">
        <v>41.789110000000001</v>
      </c>
      <c r="O33" s="6">
        <v>1.5597920000000001</v>
      </c>
      <c r="P33" s="6">
        <v>40.229317999999999</v>
      </c>
      <c r="Q33" s="7">
        <v>10</v>
      </c>
      <c r="R33" s="6">
        <v>29.269842000000001</v>
      </c>
      <c r="S33" s="6">
        <v>207.45373799999999</v>
      </c>
      <c r="T33" s="6">
        <v>195.17083600000001</v>
      </c>
      <c r="U33" s="6">
        <v>183.98676800000001</v>
      </c>
      <c r="V33" s="6">
        <v>173.77853999999999</v>
      </c>
    </row>
    <row r="34" spans="1:22" x14ac:dyDescent="0.35">
      <c r="A34" s="5">
        <v>46022</v>
      </c>
      <c r="B34" s="4" t="s">
        <v>109</v>
      </c>
      <c r="C34" s="4" t="s">
        <v>110</v>
      </c>
      <c r="D34" s="4" t="s">
        <v>111</v>
      </c>
      <c r="E34" s="6">
        <v>3481.1418370000001</v>
      </c>
      <c r="F34" s="6">
        <v>322.681827</v>
      </c>
      <c r="G34" s="6">
        <v>3158.4600099999998</v>
      </c>
      <c r="H34" s="6">
        <v>158.61603700000001</v>
      </c>
      <c r="I34" s="6">
        <v>1031.0291549999999</v>
      </c>
      <c r="J34" s="6">
        <v>33.999993000000003</v>
      </c>
      <c r="K34" s="6">
        <v>-52.757053999999997</v>
      </c>
      <c r="L34" s="6">
        <v>126.00003599999999</v>
      </c>
      <c r="M34" s="6">
        <v>261.80001900000002</v>
      </c>
      <c r="N34" s="6">
        <v>1599.7718239999999</v>
      </c>
      <c r="O34" s="6">
        <v>495.106492</v>
      </c>
      <c r="P34" s="6">
        <v>1104.6653309999999</v>
      </c>
      <c r="Q34" s="7">
        <v>30</v>
      </c>
      <c r="R34" s="6">
        <v>284.45985000000002</v>
      </c>
      <c r="S34" s="6">
        <v>9162.9108969999997</v>
      </c>
      <c r="T34" s="6">
        <v>7933.7503230000002</v>
      </c>
      <c r="U34" s="6">
        <v>6964.2192729999997</v>
      </c>
      <c r="V34" s="6">
        <v>6185.9026430000004</v>
      </c>
    </row>
    <row r="35" spans="1:22" x14ac:dyDescent="0.35">
      <c r="A35" s="5">
        <v>46022</v>
      </c>
      <c r="B35" s="4" t="s">
        <v>112</v>
      </c>
      <c r="C35" s="4" t="s">
        <v>113</v>
      </c>
      <c r="D35" s="4" t="s">
        <v>111</v>
      </c>
      <c r="E35" s="6">
        <v>892.51501199999996</v>
      </c>
      <c r="F35" s="6">
        <v>6.6961399999999998</v>
      </c>
      <c r="G35" s="6">
        <v>885.81887200000006</v>
      </c>
      <c r="H35" s="6">
        <v>51.673126000000003</v>
      </c>
      <c r="I35" s="6">
        <v>186.97805</v>
      </c>
      <c r="J35" s="6">
        <v>9.9999850000000006</v>
      </c>
      <c r="K35" s="6">
        <v>19.541626999999998</v>
      </c>
      <c r="L35" s="6">
        <v>15.999995</v>
      </c>
      <c r="M35" s="6">
        <v>0</v>
      </c>
      <c r="N35" s="6">
        <v>601.62608899999998</v>
      </c>
      <c r="O35" s="6">
        <v>176.43516500000001</v>
      </c>
      <c r="P35" s="6">
        <v>425.190924</v>
      </c>
      <c r="Q35" s="7">
        <v>30</v>
      </c>
      <c r="R35" s="6">
        <v>49.050494999999998</v>
      </c>
      <c r="S35" s="6">
        <v>3592.0089809999999</v>
      </c>
      <c r="T35" s="6">
        <v>3176.7851919999998</v>
      </c>
      <c r="U35" s="6">
        <v>2837.992698</v>
      </c>
      <c r="V35" s="6">
        <v>2557.64291</v>
      </c>
    </row>
    <row r="36" spans="1:22" x14ac:dyDescent="0.35">
      <c r="A36" s="5">
        <v>46022</v>
      </c>
      <c r="B36" s="4" t="s">
        <v>114</v>
      </c>
      <c r="C36" s="4" t="s">
        <v>115</v>
      </c>
      <c r="D36" s="4" t="s">
        <v>86</v>
      </c>
      <c r="E36" s="6">
        <v>84.093052999999998</v>
      </c>
      <c r="F36" s="6">
        <v>6.6915480000000001</v>
      </c>
      <c r="G36" s="6">
        <v>77.401505999999998</v>
      </c>
      <c r="H36" s="6">
        <v>5.0455880000000004</v>
      </c>
      <c r="I36" s="6">
        <v>11.848976</v>
      </c>
      <c r="J36" s="6">
        <v>2.6872929999999999</v>
      </c>
      <c r="K36" s="6">
        <v>-3.2763E-2</v>
      </c>
      <c r="L36" s="6">
        <v>10.19868</v>
      </c>
      <c r="M36" s="6">
        <v>0</v>
      </c>
      <c r="N36" s="6">
        <v>47.653731000000001</v>
      </c>
      <c r="O36" s="6">
        <v>8.9718920000000004</v>
      </c>
      <c r="P36" s="6">
        <v>38.681838999999997</v>
      </c>
      <c r="Q36" s="7">
        <v>20</v>
      </c>
      <c r="R36" s="6">
        <v>12.960188</v>
      </c>
      <c r="S36" s="6">
        <v>420.51513</v>
      </c>
      <c r="T36" s="6">
        <v>355.92594300000002</v>
      </c>
      <c r="U36" s="6">
        <v>306.45199200000002</v>
      </c>
      <c r="V36" s="6">
        <v>267.81953800000002</v>
      </c>
    </row>
    <row r="37" spans="1:22" x14ac:dyDescent="0.35">
      <c r="A37" s="5">
        <v>46022</v>
      </c>
      <c r="B37" s="4" t="s">
        <v>116</v>
      </c>
      <c r="C37" s="4" t="s">
        <v>117</v>
      </c>
      <c r="D37" s="4" t="s">
        <v>111</v>
      </c>
      <c r="E37" s="6">
        <v>224.73052300000001</v>
      </c>
      <c r="F37" s="6">
        <v>17.757901</v>
      </c>
      <c r="G37" s="6">
        <v>206.972621</v>
      </c>
      <c r="H37" s="6">
        <v>0.33283600000000002</v>
      </c>
      <c r="I37" s="6">
        <v>150.10579000000001</v>
      </c>
      <c r="J37" s="6">
        <v>1.837572</v>
      </c>
      <c r="K37" s="6">
        <v>8.2546269999999993</v>
      </c>
      <c r="L37" s="6">
        <v>7.8842140000000001</v>
      </c>
      <c r="M37" s="6">
        <v>0</v>
      </c>
      <c r="N37" s="6">
        <v>38.557581999999996</v>
      </c>
      <c r="O37" s="6">
        <v>0</v>
      </c>
      <c r="P37" s="6">
        <v>38.557581999999996</v>
      </c>
      <c r="Q37" s="7">
        <v>30</v>
      </c>
      <c r="R37" s="6">
        <v>36.977209999999999</v>
      </c>
      <c r="S37" s="6">
        <v>536.69026099999996</v>
      </c>
      <c r="T37" s="6">
        <v>486.46780799999999</v>
      </c>
      <c r="U37" s="6">
        <v>443.00574899999998</v>
      </c>
      <c r="V37" s="6">
        <v>405.200425</v>
      </c>
    </row>
    <row r="38" spans="1:22" x14ac:dyDescent="0.35">
      <c r="A38" s="5">
        <v>46022</v>
      </c>
      <c r="B38" s="4" t="s">
        <v>118</v>
      </c>
      <c r="C38" s="4" t="s">
        <v>119</v>
      </c>
      <c r="D38" s="4" t="s">
        <v>50</v>
      </c>
      <c r="E38" s="6">
        <v>377.66283399999998</v>
      </c>
      <c r="F38" s="6">
        <v>15.012411</v>
      </c>
      <c r="G38" s="6">
        <v>362.65042299999999</v>
      </c>
      <c r="H38" s="6">
        <v>16.274659</v>
      </c>
      <c r="I38" s="6">
        <v>194.65449599999999</v>
      </c>
      <c r="J38" s="6">
        <v>8.3163309999999999</v>
      </c>
      <c r="K38" s="6">
        <v>3.2791359999999998</v>
      </c>
      <c r="L38" s="6">
        <v>15.916880000000001</v>
      </c>
      <c r="M38" s="6">
        <v>0</v>
      </c>
      <c r="N38" s="6">
        <v>124.208922</v>
      </c>
      <c r="O38" s="6">
        <v>34.558081000000001</v>
      </c>
      <c r="P38" s="6">
        <v>89.650841</v>
      </c>
      <c r="Q38" s="7">
        <v>29.5</v>
      </c>
      <c r="R38" s="6">
        <v>26.258901000000002</v>
      </c>
      <c r="S38" s="6">
        <v>1015.5676999999999</v>
      </c>
      <c r="T38" s="6">
        <v>862.39641300000005</v>
      </c>
      <c r="U38" s="6">
        <v>743.75849700000003</v>
      </c>
      <c r="V38" s="6">
        <v>650.34081000000003</v>
      </c>
    </row>
    <row r="39" spans="1:22" x14ac:dyDescent="0.35">
      <c r="A39" s="5">
        <v>46022</v>
      </c>
      <c r="B39" s="4" t="s">
        <v>120</v>
      </c>
      <c r="C39" s="4" t="s">
        <v>121</v>
      </c>
      <c r="D39" s="4" t="s">
        <v>122</v>
      </c>
      <c r="E39" s="6">
        <v>833.86044100000004</v>
      </c>
      <c r="F39" s="6">
        <v>76.040847999999997</v>
      </c>
      <c r="G39" s="6">
        <v>757.81959300000005</v>
      </c>
      <c r="H39" s="6">
        <v>62.539416000000003</v>
      </c>
      <c r="I39" s="6">
        <v>248.71843899999999</v>
      </c>
      <c r="J39" s="6">
        <v>11.083257</v>
      </c>
      <c r="K39" s="6">
        <v>12.696196</v>
      </c>
      <c r="L39" s="6">
        <v>24.378070999999998</v>
      </c>
      <c r="M39" s="6">
        <v>0</v>
      </c>
      <c r="N39" s="6">
        <v>398.40421500000002</v>
      </c>
      <c r="O39" s="6">
        <v>116.817463</v>
      </c>
      <c r="P39" s="6">
        <v>281.58675099999999</v>
      </c>
      <c r="Q39" s="7">
        <v>35</v>
      </c>
      <c r="R39" s="6">
        <v>101.71430100000001</v>
      </c>
      <c r="S39" s="6">
        <v>1725.338606</v>
      </c>
      <c r="T39" s="6">
        <v>1567.7406470000001</v>
      </c>
      <c r="U39" s="6">
        <v>1436.3412579999999</v>
      </c>
      <c r="V39" s="6">
        <v>1325.052238</v>
      </c>
    </row>
    <row r="40" spans="1:22" x14ac:dyDescent="0.35">
      <c r="A40" s="5">
        <v>46022</v>
      </c>
      <c r="B40" s="4" t="s">
        <v>123</v>
      </c>
      <c r="C40" s="4" t="s">
        <v>124</v>
      </c>
      <c r="D40" s="4" t="s">
        <v>122</v>
      </c>
      <c r="E40" s="6">
        <v>16.975285</v>
      </c>
      <c r="F40" s="6">
        <v>1.0025790000000001</v>
      </c>
      <c r="G40" s="6">
        <v>15.972706000000001</v>
      </c>
      <c r="H40" s="6">
        <v>1.018516</v>
      </c>
      <c r="I40" s="6">
        <v>5.5942100000000003</v>
      </c>
      <c r="J40" s="6">
        <v>1</v>
      </c>
      <c r="K40" s="6">
        <v>0.30860700000000002</v>
      </c>
      <c r="L40" s="6">
        <v>1</v>
      </c>
      <c r="M40" s="6">
        <v>0</v>
      </c>
      <c r="N40" s="6">
        <v>7.0513729999999999</v>
      </c>
      <c r="O40" s="6">
        <v>2.435073</v>
      </c>
      <c r="P40" s="6">
        <v>4.616301</v>
      </c>
      <c r="Q40" s="7">
        <v>35</v>
      </c>
      <c r="R40" s="6">
        <v>1.402631</v>
      </c>
      <c r="S40" s="6">
        <v>4.2743529999999996</v>
      </c>
      <c r="T40" s="6">
        <v>4.196637</v>
      </c>
      <c r="U40" s="6">
        <v>4.1216970000000002</v>
      </c>
      <c r="V40" s="6">
        <v>4.0493870000000003</v>
      </c>
    </row>
    <row r="41" spans="1:22" x14ac:dyDescent="0.35">
      <c r="A41" s="5">
        <v>46022</v>
      </c>
      <c r="B41" s="4" t="s">
        <v>125</v>
      </c>
      <c r="C41" s="4" t="s">
        <v>126</v>
      </c>
      <c r="D41" s="4" t="s">
        <v>79</v>
      </c>
      <c r="E41" s="6">
        <v>403.65169800000001</v>
      </c>
      <c r="F41" s="6">
        <v>15.274335000000001</v>
      </c>
      <c r="G41" s="6">
        <v>388.37736200000001</v>
      </c>
      <c r="H41" s="6">
        <v>2.0182829999999998</v>
      </c>
      <c r="I41" s="6">
        <v>299.007656</v>
      </c>
      <c r="J41" s="6">
        <v>12.182128000000001</v>
      </c>
      <c r="K41" s="6">
        <v>-1.1050530000000001</v>
      </c>
      <c r="L41" s="6">
        <v>34.658670999999998</v>
      </c>
      <c r="M41" s="6">
        <v>0</v>
      </c>
      <c r="N41" s="6">
        <v>41.615676999999998</v>
      </c>
      <c r="O41" s="6">
        <v>1.8154980000000001</v>
      </c>
      <c r="P41" s="6">
        <v>39.800179999999997</v>
      </c>
      <c r="Q41" s="7">
        <v>26</v>
      </c>
      <c r="R41" s="6">
        <v>39.800961999999998</v>
      </c>
      <c r="S41" s="6">
        <v>293.20513899999997</v>
      </c>
      <c r="T41" s="6">
        <v>258.69219199999998</v>
      </c>
      <c r="U41" s="6">
        <v>230.367727</v>
      </c>
      <c r="V41" s="6">
        <v>206.891008</v>
      </c>
    </row>
    <row r="42" spans="1:22" x14ac:dyDescent="0.35">
      <c r="A42" s="5">
        <v>46022</v>
      </c>
      <c r="B42" s="4" t="s">
        <v>127</v>
      </c>
      <c r="C42" s="4" t="s">
        <v>128</v>
      </c>
      <c r="D42" s="4" t="s">
        <v>58</v>
      </c>
      <c r="E42" s="6">
        <v>3935.7198309999999</v>
      </c>
      <c r="F42" s="6">
        <v>234.84503599999999</v>
      </c>
      <c r="G42" s="6">
        <v>3700.8747950000002</v>
      </c>
      <c r="H42" s="6">
        <v>57.442126000000002</v>
      </c>
      <c r="I42" s="6">
        <v>2386.2348040000002</v>
      </c>
      <c r="J42" s="6">
        <v>114.383043</v>
      </c>
      <c r="K42" s="6">
        <v>-43.391587000000001</v>
      </c>
      <c r="L42" s="6">
        <v>218.98007100000001</v>
      </c>
      <c r="M42" s="6">
        <v>250.000034</v>
      </c>
      <c r="N42" s="6">
        <v>717.22630400000003</v>
      </c>
      <c r="O42" s="6">
        <v>193.589719</v>
      </c>
      <c r="P42" s="6">
        <v>523.63658499999997</v>
      </c>
      <c r="Q42" s="7">
        <v>27</v>
      </c>
      <c r="R42" s="6">
        <v>425.81586199999998</v>
      </c>
      <c r="S42" s="6">
        <v>12600.529237000001</v>
      </c>
      <c r="T42" s="6">
        <v>10510.608048</v>
      </c>
      <c r="U42" s="6">
        <v>8921.2976670000007</v>
      </c>
      <c r="V42" s="6">
        <v>7689.2324269999999</v>
      </c>
    </row>
    <row r="43" spans="1:22" x14ac:dyDescent="0.35">
      <c r="A43" s="5">
        <v>46022</v>
      </c>
      <c r="B43" s="4" t="s">
        <v>129</v>
      </c>
      <c r="C43" s="4" t="s">
        <v>130</v>
      </c>
      <c r="D43" s="4" t="s">
        <v>111</v>
      </c>
      <c r="E43" s="6">
        <v>90.939828000000006</v>
      </c>
      <c r="F43" s="6">
        <v>6.4801820000000001</v>
      </c>
      <c r="G43" s="6">
        <v>84.459646000000006</v>
      </c>
      <c r="H43" s="6">
        <v>7.4082970000000001</v>
      </c>
      <c r="I43" s="6">
        <v>38.416043999999999</v>
      </c>
      <c r="J43" s="6">
        <v>5.0314719999999999</v>
      </c>
      <c r="K43" s="6">
        <v>1.4376340000000001</v>
      </c>
      <c r="L43" s="6">
        <v>2.9846300000000001</v>
      </c>
      <c r="M43" s="6">
        <v>0</v>
      </c>
      <c r="N43" s="6">
        <v>29.181570000000001</v>
      </c>
      <c r="O43" s="6">
        <v>0</v>
      </c>
      <c r="P43" s="6">
        <v>29.181570000000001</v>
      </c>
      <c r="Q43" s="7">
        <v>30</v>
      </c>
      <c r="R43" s="6">
        <v>13.610561000000001</v>
      </c>
      <c r="S43" s="6">
        <v>94.223163</v>
      </c>
      <c r="T43" s="6">
        <v>90.413711000000006</v>
      </c>
      <c r="U43" s="6">
        <v>86.853389000000007</v>
      </c>
      <c r="V43" s="6">
        <v>83.520795000000007</v>
      </c>
    </row>
    <row r="44" spans="1:22" x14ac:dyDescent="0.35">
      <c r="A44" s="5">
        <v>46022</v>
      </c>
      <c r="B44" s="4" t="s">
        <v>131</v>
      </c>
      <c r="C44" s="4" t="s">
        <v>132</v>
      </c>
      <c r="D44" s="4" t="s">
        <v>111</v>
      </c>
      <c r="E44" s="6">
        <v>269.28147799999999</v>
      </c>
      <c r="F44" s="6">
        <v>23.410222999999998</v>
      </c>
      <c r="G44" s="6">
        <v>245.87125599999999</v>
      </c>
      <c r="H44" s="6">
        <v>9.6195930000000001</v>
      </c>
      <c r="I44" s="6">
        <v>102.060467</v>
      </c>
      <c r="J44" s="6">
        <v>7.6499110000000003</v>
      </c>
      <c r="K44" s="6">
        <v>1.9163870000000001</v>
      </c>
      <c r="L44" s="6">
        <v>15.223000000000001</v>
      </c>
      <c r="M44" s="6">
        <v>0</v>
      </c>
      <c r="N44" s="6">
        <v>109.401898</v>
      </c>
      <c r="O44" s="6">
        <v>28.51792</v>
      </c>
      <c r="P44" s="6">
        <v>80.883977999999999</v>
      </c>
      <c r="Q44" s="7">
        <v>30</v>
      </c>
      <c r="R44" s="6">
        <v>31.481551</v>
      </c>
      <c r="S44" s="6">
        <v>304.362503</v>
      </c>
      <c r="T44" s="6">
        <v>289.02430800000002</v>
      </c>
      <c r="U44" s="6">
        <v>274.92491899999999</v>
      </c>
      <c r="V44" s="6">
        <v>261.93523900000002</v>
      </c>
    </row>
    <row r="45" spans="1:22" x14ac:dyDescent="0.35">
      <c r="A45" s="5">
        <v>46022</v>
      </c>
      <c r="B45" s="4" t="s">
        <v>133</v>
      </c>
      <c r="C45" s="4" t="s">
        <v>134</v>
      </c>
      <c r="D45" s="4" t="s">
        <v>89</v>
      </c>
      <c r="E45" s="6">
        <v>841.15396399999997</v>
      </c>
      <c r="F45" s="6">
        <v>42.189262999999997</v>
      </c>
      <c r="G45" s="6">
        <v>798.96470099999999</v>
      </c>
      <c r="H45" s="6">
        <v>42.057661000000003</v>
      </c>
      <c r="I45" s="6">
        <v>405.81912299999999</v>
      </c>
      <c r="J45" s="6">
        <v>6.8970289999999999</v>
      </c>
      <c r="K45" s="6">
        <v>-12.492322</v>
      </c>
      <c r="L45" s="6">
        <v>34.948242999999998</v>
      </c>
      <c r="M45" s="6">
        <v>273.000001</v>
      </c>
      <c r="N45" s="6">
        <v>48.734965000000003</v>
      </c>
      <c r="O45" s="6">
        <v>77.331421000000006</v>
      </c>
      <c r="P45" s="6">
        <v>-28.596456</v>
      </c>
      <c r="Q45" s="7">
        <v>30</v>
      </c>
      <c r="R45" s="6">
        <v>86.419484999999995</v>
      </c>
      <c r="S45" s="6">
        <v>3067.0008029999999</v>
      </c>
      <c r="T45" s="6">
        <v>2678.825636</v>
      </c>
      <c r="U45" s="6">
        <v>2360.056192</v>
      </c>
      <c r="V45" s="6">
        <v>2095.3798849999998</v>
      </c>
    </row>
    <row r="46" spans="1:22" x14ac:dyDescent="0.35">
      <c r="A46" s="5">
        <v>46022</v>
      </c>
      <c r="B46" s="4" t="s">
        <v>135</v>
      </c>
      <c r="C46" s="4" t="s">
        <v>136</v>
      </c>
      <c r="D46" s="4" t="s">
        <v>137</v>
      </c>
      <c r="E46" s="6">
        <v>108.79818899999999</v>
      </c>
      <c r="F46" s="6">
        <v>9.5379109999999994</v>
      </c>
      <c r="G46" s="6">
        <v>99.260278999999997</v>
      </c>
      <c r="H46" s="6">
        <v>7.1060280000000002</v>
      </c>
      <c r="I46" s="6">
        <v>59.065638</v>
      </c>
      <c r="J46" s="6">
        <v>1</v>
      </c>
      <c r="K46" s="6">
        <v>-2.0627710000000001</v>
      </c>
      <c r="L46" s="6">
        <v>2.7371460000000001</v>
      </c>
      <c r="M46" s="6">
        <v>0</v>
      </c>
      <c r="N46" s="6">
        <v>31.414237</v>
      </c>
      <c r="O46" s="6">
        <v>4.1372640000000001</v>
      </c>
      <c r="P46" s="6">
        <v>27.276972000000001</v>
      </c>
      <c r="Q46" s="7">
        <v>20</v>
      </c>
      <c r="R46" s="6">
        <v>11.402290000000001</v>
      </c>
      <c r="S46" s="6">
        <v>46.961243000000003</v>
      </c>
      <c r="T46" s="6">
        <v>45.719945000000003</v>
      </c>
      <c r="U46" s="6">
        <v>44.536569</v>
      </c>
      <c r="V46" s="6">
        <v>43.407364999999999</v>
      </c>
    </row>
    <row r="47" spans="1:22" x14ac:dyDescent="0.35">
      <c r="A47" s="5">
        <v>46022</v>
      </c>
      <c r="B47" s="4" t="s">
        <v>138</v>
      </c>
      <c r="C47" s="4" t="s">
        <v>139</v>
      </c>
      <c r="D47" s="4" t="s">
        <v>58</v>
      </c>
      <c r="E47" s="6">
        <v>824.66387099999997</v>
      </c>
      <c r="F47" s="6">
        <v>12.096171999999999</v>
      </c>
      <c r="G47" s="6">
        <v>812.56769799999995</v>
      </c>
      <c r="H47" s="6">
        <v>10.558705</v>
      </c>
      <c r="I47" s="6">
        <v>316.24294600000002</v>
      </c>
      <c r="J47" s="6">
        <v>5.6135719999999996</v>
      </c>
      <c r="K47" s="6">
        <v>-19.226206999999999</v>
      </c>
      <c r="L47" s="6">
        <v>254.899607</v>
      </c>
      <c r="M47" s="6">
        <v>0</v>
      </c>
      <c r="N47" s="6">
        <v>244.47907499999999</v>
      </c>
      <c r="O47" s="6">
        <v>44.337302999999999</v>
      </c>
      <c r="P47" s="6">
        <v>200.141772</v>
      </c>
      <c r="Q47" s="7">
        <v>27</v>
      </c>
      <c r="R47" s="6">
        <v>315.94024400000001</v>
      </c>
      <c r="S47" s="6">
        <v>612.79604300000005</v>
      </c>
      <c r="T47" s="6">
        <v>561.85587099999998</v>
      </c>
      <c r="U47" s="6">
        <v>519.07106699999997</v>
      </c>
      <c r="V47" s="6">
        <v>482.74144699999999</v>
      </c>
    </row>
    <row r="48" spans="1:22" x14ac:dyDescent="0.35">
      <c r="A48" s="5">
        <v>46022</v>
      </c>
      <c r="B48" s="4" t="s">
        <v>140</v>
      </c>
      <c r="C48" s="4" t="s">
        <v>141</v>
      </c>
      <c r="D48" s="4" t="s">
        <v>50</v>
      </c>
      <c r="E48" s="6">
        <v>405.18553700000001</v>
      </c>
      <c r="F48" s="6">
        <v>21.705241000000001</v>
      </c>
      <c r="G48" s="6">
        <v>383.48029600000001</v>
      </c>
      <c r="H48" s="6">
        <v>7.3356399999999997</v>
      </c>
      <c r="I48" s="6">
        <v>190.70750100000001</v>
      </c>
      <c r="J48" s="6">
        <v>31.773067999999999</v>
      </c>
      <c r="K48" s="6">
        <v>3.207004</v>
      </c>
      <c r="L48" s="6">
        <v>8.9999979999999997</v>
      </c>
      <c r="M48" s="6">
        <v>2.0000010000000001</v>
      </c>
      <c r="N48" s="6">
        <v>139.45708400000001</v>
      </c>
      <c r="O48" s="6">
        <v>30.307407000000001</v>
      </c>
      <c r="P48" s="6">
        <v>109.149676</v>
      </c>
      <c r="Q48" s="7">
        <v>29.5</v>
      </c>
      <c r="R48" s="6">
        <v>50.927112000000001</v>
      </c>
      <c r="S48" s="6">
        <v>567.99520800000005</v>
      </c>
      <c r="T48" s="6">
        <v>536.52166</v>
      </c>
      <c r="U48" s="6">
        <v>507.72958499999999</v>
      </c>
      <c r="V48" s="6">
        <v>481.32888100000002</v>
      </c>
    </row>
    <row r="49" spans="1:22" x14ac:dyDescent="0.35">
      <c r="A49" s="5">
        <v>46022</v>
      </c>
      <c r="B49" s="4" t="s">
        <v>142</v>
      </c>
      <c r="C49" s="4" t="s">
        <v>143</v>
      </c>
      <c r="D49" s="4" t="s">
        <v>50</v>
      </c>
      <c r="E49" s="6">
        <v>560.18791599999997</v>
      </c>
      <c r="F49" s="6">
        <v>51.537483999999999</v>
      </c>
      <c r="G49" s="6">
        <v>508.65043200000002</v>
      </c>
      <c r="H49" s="6">
        <v>5.5690080000000002</v>
      </c>
      <c r="I49" s="6">
        <v>294.31018799999998</v>
      </c>
      <c r="J49" s="6">
        <v>31.076124</v>
      </c>
      <c r="K49" s="6">
        <v>4.1786810000000001</v>
      </c>
      <c r="L49" s="6">
        <v>41.344422000000002</v>
      </c>
      <c r="M49" s="6">
        <v>9.4997999999999999E-2</v>
      </c>
      <c r="N49" s="6">
        <v>132.077011</v>
      </c>
      <c r="O49" s="6">
        <v>0</v>
      </c>
      <c r="P49" s="6">
        <v>132.077011</v>
      </c>
      <c r="Q49" s="7">
        <v>29.5</v>
      </c>
      <c r="R49" s="6">
        <v>100.65281400000001</v>
      </c>
      <c r="S49" s="6">
        <v>563.13136999999995</v>
      </c>
      <c r="T49" s="6">
        <v>528.92859899999996</v>
      </c>
      <c r="U49" s="6">
        <v>497.98185999999998</v>
      </c>
      <c r="V49" s="6">
        <v>469.90085199999999</v>
      </c>
    </row>
    <row r="50" spans="1:22" x14ac:dyDescent="0.35">
      <c r="A50" s="5">
        <v>46022</v>
      </c>
      <c r="B50" s="4" t="s">
        <v>144</v>
      </c>
      <c r="C50" s="4" t="s">
        <v>145</v>
      </c>
      <c r="D50" s="4" t="s">
        <v>55</v>
      </c>
      <c r="E50" s="6">
        <v>535.90479000000005</v>
      </c>
      <c r="F50" s="6">
        <v>39.623289</v>
      </c>
      <c r="G50" s="6">
        <v>496.28150099999999</v>
      </c>
      <c r="H50" s="6">
        <v>8.5657700000000006</v>
      </c>
      <c r="I50" s="6">
        <v>191.48186799999999</v>
      </c>
      <c r="J50" s="6">
        <v>6.4894759999999998</v>
      </c>
      <c r="K50" s="6">
        <v>4.3753989999999998</v>
      </c>
      <c r="L50" s="6">
        <v>85.000005999999999</v>
      </c>
      <c r="M50" s="6">
        <v>0</v>
      </c>
      <c r="N50" s="6">
        <v>200.36898199999999</v>
      </c>
      <c r="O50" s="6">
        <v>65.446510000000004</v>
      </c>
      <c r="P50" s="6">
        <v>134.922472</v>
      </c>
      <c r="Q50" s="7">
        <v>34</v>
      </c>
      <c r="R50" s="6">
        <v>97.254650999999996</v>
      </c>
      <c r="S50" s="6">
        <v>1286.257881</v>
      </c>
      <c r="T50" s="6">
        <v>1109.4265230000001</v>
      </c>
      <c r="U50" s="6">
        <v>970.53588300000001</v>
      </c>
      <c r="V50" s="6">
        <v>859.60436900000002</v>
      </c>
    </row>
    <row r="51" spans="1:22" x14ac:dyDescent="0.35">
      <c r="A51" s="5">
        <v>46022</v>
      </c>
      <c r="B51" s="4" t="s">
        <v>146</v>
      </c>
      <c r="C51" s="4" t="s">
        <v>147</v>
      </c>
      <c r="D51" s="4" t="s">
        <v>148</v>
      </c>
      <c r="E51" s="6">
        <v>558.07437500000003</v>
      </c>
      <c r="F51" s="6">
        <v>111.516164</v>
      </c>
      <c r="G51" s="6">
        <v>446.55821200000003</v>
      </c>
      <c r="H51" s="6">
        <v>16.551769</v>
      </c>
      <c r="I51" s="6">
        <v>93.488884999999996</v>
      </c>
      <c r="J51" s="6">
        <v>12.543194</v>
      </c>
      <c r="K51" s="6">
        <v>16.240835000000001</v>
      </c>
      <c r="L51" s="6">
        <v>13.499999000000001</v>
      </c>
      <c r="M51" s="6">
        <v>4.5</v>
      </c>
      <c r="N51" s="6">
        <v>289.73352799999998</v>
      </c>
      <c r="O51" s="6">
        <v>29.140747000000001</v>
      </c>
      <c r="P51" s="6">
        <v>260.592781</v>
      </c>
      <c r="Q51" s="7">
        <v>10</v>
      </c>
      <c r="R51" s="6">
        <v>32.566893999999998</v>
      </c>
      <c r="S51" s="6">
        <v>1004.598218</v>
      </c>
      <c r="T51" s="6">
        <v>944.28699600000004</v>
      </c>
      <c r="U51" s="6">
        <v>889.83546200000001</v>
      </c>
      <c r="V51" s="6">
        <v>840.51638100000002</v>
      </c>
    </row>
    <row r="52" spans="1:22" x14ac:dyDescent="0.35">
      <c r="A52" s="5">
        <v>46022</v>
      </c>
      <c r="B52" s="4" t="s">
        <v>149</v>
      </c>
      <c r="C52" s="4" t="s">
        <v>150</v>
      </c>
      <c r="D52" s="4" t="s">
        <v>61</v>
      </c>
      <c r="E52" s="6">
        <v>196.17488700000001</v>
      </c>
      <c r="F52" s="6">
        <v>13.384907</v>
      </c>
      <c r="G52" s="6">
        <v>182.78998100000001</v>
      </c>
      <c r="H52" s="6">
        <v>23.147349999999999</v>
      </c>
      <c r="I52" s="6">
        <v>122.67122000000001</v>
      </c>
      <c r="J52" s="6">
        <v>6.5583650000000002</v>
      </c>
      <c r="K52" s="6">
        <v>-6.6680000000000003E-2</v>
      </c>
      <c r="L52" s="6">
        <v>8.4977129999999992</v>
      </c>
      <c r="M52" s="6">
        <v>0</v>
      </c>
      <c r="N52" s="6">
        <v>21.982012000000001</v>
      </c>
      <c r="O52" s="6">
        <v>6.997719</v>
      </c>
      <c r="P52" s="6">
        <v>14.984292999999999</v>
      </c>
      <c r="Q52" s="7">
        <v>25</v>
      </c>
      <c r="R52" s="6">
        <v>2.4221699999999999</v>
      </c>
      <c r="S52" s="6">
        <v>125.69183200000001</v>
      </c>
      <c r="T52" s="6">
        <v>112.33077900000001</v>
      </c>
      <c r="U52" s="6">
        <v>101.00061599999999</v>
      </c>
      <c r="V52" s="6">
        <v>91.350328000000005</v>
      </c>
    </row>
    <row r="53" spans="1:22" x14ac:dyDescent="0.35">
      <c r="A53" s="5">
        <v>46022</v>
      </c>
      <c r="B53" s="4" t="s">
        <v>151</v>
      </c>
      <c r="C53" s="4" t="s">
        <v>152</v>
      </c>
      <c r="D53" s="4" t="s">
        <v>61</v>
      </c>
      <c r="E53" s="6">
        <v>130.735071</v>
      </c>
      <c r="F53" s="6">
        <v>18.849613999999999</v>
      </c>
      <c r="G53" s="6">
        <v>111.885457</v>
      </c>
      <c r="H53" s="6">
        <v>11.609859</v>
      </c>
      <c r="I53" s="6">
        <v>35.194550999999997</v>
      </c>
      <c r="J53" s="6">
        <v>2.234613</v>
      </c>
      <c r="K53" s="6">
        <v>-3.5097999999999997E-2</v>
      </c>
      <c r="L53" s="6">
        <v>4.7410439999999996</v>
      </c>
      <c r="M53" s="6">
        <v>0</v>
      </c>
      <c r="N53" s="6">
        <v>58.140489000000002</v>
      </c>
      <c r="O53" s="6">
        <v>15.097877</v>
      </c>
      <c r="P53" s="6">
        <v>43.042613000000003</v>
      </c>
      <c r="Q53" s="7">
        <v>25</v>
      </c>
      <c r="R53" s="6">
        <v>2.4549270000000001</v>
      </c>
      <c r="S53" s="6">
        <v>438.74112500000001</v>
      </c>
      <c r="T53" s="6">
        <v>377.27404899999999</v>
      </c>
      <c r="U53" s="6">
        <v>328.80854799999997</v>
      </c>
      <c r="V53" s="6">
        <v>290.02806500000003</v>
      </c>
    </row>
    <row r="54" spans="1:22" x14ac:dyDescent="0.35">
      <c r="A54" s="5">
        <v>46022</v>
      </c>
      <c r="B54" s="4" t="s">
        <v>153</v>
      </c>
      <c r="C54" s="4" t="s">
        <v>154</v>
      </c>
      <c r="D54" s="4" t="s">
        <v>61</v>
      </c>
      <c r="E54" s="6">
        <v>14.474822</v>
      </c>
      <c r="F54" s="6">
        <v>1.3740429999999999</v>
      </c>
      <c r="G54" s="6">
        <v>13.100778999999999</v>
      </c>
      <c r="H54" s="6">
        <v>1.8451569999999999</v>
      </c>
      <c r="I54" s="6">
        <v>7.6805760000000003</v>
      </c>
      <c r="J54" s="6">
        <v>1.1279060000000001</v>
      </c>
      <c r="K54" s="6">
        <v>-1.7179999999999999E-3</v>
      </c>
      <c r="L54" s="6">
        <v>1.0798989999999999</v>
      </c>
      <c r="M54" s="6">
        <v>0</v>
      </c>
      <c r="N54" s="6">
        <v>1.3689579999999999</v>
      </c>
      <c r="O54" s="6">
        <v>0</v>
      </c>
      <c r="P54" s="6">
        <v>1.3689579999999999</v>
      </c>
      <c r="Q54" s="7">
        <v>25</v>
      </c>
      <c r="R54" s="6">
        <v>0.83582299999999998</v>
      </c>
      <c r="S54" s="6">
        <v>1.2675540000000001</v>
      </c>
      <c r="T54" s="6">
        <v>1.244507</v>
      </c>
      <c r="U54" s="6">
        <v>1.2222839999999999</v>
      </c>
      <c r="V54" s="6">
        <v>1.2008399999999999</v>
      </c>
    </row>
    <row r="55" spans="1:22" x14ac:dyDescent="0.35">
      <c r="A55" s="5">
        <v>46022</v>
      </c>
      <c r="B55" s="4" t="s">
        <v>155</v>
      </c>
      <c r="C55" s="4" t="s">
        <v>156</v>
      </c>
      <c r="D55" s="4" t="s">
        <v>157</v>
      </c>
      <c r="E55" s="6">
        <v>338.456344</v>
      </c>
      <c r="F55" s="6">
        <v>23.283066000000002</v>
      </c>
      <c r="G55" s="6">
        <v>315.17327799999998</v>
      </c>
      <c r="H55" s="6">
        <v>8.7998949999999994</v>
      </c>
      <c r="I55" s="6">
        <v>137.17656600000001</v>
      </c>
      <c r="J55" s="6">
        <v>19.575258000000002</v>
      </c>
      <c r="K55" s="6">
        <v>-0.95945499999999995</v>
      </c>
      <c r="L55" s="6">
        <v>29.388444</v>
      </c>
      <c r="M55" s="6">
        <v>2.0000010000000001</v>
      </c>
      <c r="N55" s="6">
        <v>119.19256900000001</v>
      </c>
      <c r="O55" s="6">
        <v>22.721596000000002</v>
      </c>
      <c r="P55" s="6">
        <v>96.470973999999998</v>
      </c>
      <c r="Q55" s="7">
        <v>25</v>
      </c>
      <c r="R55" s="6">
        <v>58.735176000000003</v>
      </c>
      <c r="S55" s="6">
        <v>496.05387500000001</v>
      </c>
      <c r="T55" s="6">
        <v>476.49277799999999</v>
      </c>
      <c r="U55" s="6">
        <v>457.33170799999999</v>
      </c>
      <c r="V55" s="6">
        <v>438.74194</v>
      </c>
    </row>
    <row r="56" spans="1:22" x14ac:dyDescent="0.35">
      <c r="A56" s="5">
        <v>46022</v>
      </c>
      <c r="B56" s="4" t="s">
        <v>158</v>
      </c>
      <c r="C56" s="4" t="s">
        <v>159</v>
      </c>
      <c r="D56" s="4" t="s">
        <v>79</v>
      </c>
      <c r="E56" s="6">
        <v>249.118461</v>
      </c>
      <c r="F56" s="6">
        <v>45.177694000000002</v>
      </c>
      <c r="G56" s="6">
        <v>203.94076699999999</v>
      </c>
      <c r="H56" s="6">
        <v>9.8625290000000003</v>
      </c>
      <c r="I56" s="6">
        <v>96.077709999999996</v>
      </c>
      <c r="J56" s="6">
        <v>9.3230149999999998</v>
      </c>
      <c r="K56" s="6">
        <v>7.4008050000000001</v>
      </c>
      <c r="L56" s="6">
        <v>25</v>
      </c>
      <c r="M56" s="6">
        <v>0</v>
      </c>
      <c r="N56" s="6">
        <v>56.276707999999999</v>
      </c>
      <c r="O56" s="6">
        <v>7.5446609999999996</v>
      </c>
      <c r="P56" s="6">
        <v>48.732045999999997</v>
      </c>
      <c r="Q56" s="7">
        <v>27</v>
      </c>
      <c r="R56" s="6">
        <v>60.734321999999999</v>
      </c>
      <c r="S56" s="6">
        <v>57.246267000000003</v>
      </c>
      <c r="T56" s="6">
        <v>55.952384000000002</v>
      </c>
      <c r="U56" s="6">
        <v>54.714848000000003</v>
      </c>
      <c r="V56" s="6">
        <v>53.530104999999999</v>
      </c>
    </row>
    <row r="57" spans="1:22" x14ac:dyDescent="0.35">
      <c r="A57" s="5">
        <v>46022</v>
      </c>
      <c r="B57" s="4" t="s">
        <v>160</v>
      </c>
      <c r="C57" s="4" t="s">
        <v>161</v>
      </c>
      <c r="D57" s="4" t="s">
        <v>69</v>
      </c>
      <c r="E57" s="6">
        <v>579.78637600000002</v>
      </c>
      <c r="F57" s="6">
        <v>77.266548</v>
      </c>
      <c r="G57" s="6">
        <v>502.51982800000002</v>
      </c>
      <c r="H57" s="6">
        <v>14.092077</v>
      </c>
      <c r="I57" s="6">
        <v>200.940617</v>
      </c>
      <c r="J57" s="6">
        <v>27.817136999999999</v>
      </c>
      <c r="K57" s="6">
        <v>3.853926</v>
      </c>
      <c r="L57" s="6">
        <v>49.304101000000003</v>
      </c>
      <c r="M57" s="6">
        <v>0</v>
      </c>
      <c r="N57" s="6">
        <v>206.51197099999999</v>
      </c>
      <c r="O57" s="6">
        <v>27.997066</v>
      </c>
      <c r="P57" s="6">
        <v>178.514906</v>
      </c>
      <c r="Q57" s="7">
        <v>20</v>
      </c>
      <c r="R57" s="6">
        <v>119.68467</v>
      </c>
      <c r="S57" s="6">
        <v>1891.437997</v>
      </c>
      <c r="T57" s="6">
        <v>1717.1601330000001</v>
      </c>
      <c r="U57" s="6">
        <v>1565.0932949999999</v>
      </c>
      <c r="V57" s="6">
        <v>1431.8576459999999</v>
      </c>
    </row>
    <row r="58" spans="1:22" x14ac:dyDescent="0.35">
      <c r="A58" s="5">
        <v>46022</v>
      </c>
      <c r="B58" s="4" t="s">
        <v>162</v>
      </c>
      <c r="C58" s="4" t="s">
        <v>163</v>
      </c>
      <c r="D58" s="4" t="s">
        <v>58</v>
      </c>
      <c r="E58" s="6">
        <v>407.18429900000001</v>
      </c>
      <c r="F58" s="6">
        <v>29.668941</v>
      </c>
      <c r="G58" s="6">
        <v>377.51535899999999</v>
      </c>
      <c r="H58" s="6">
        <v>0.84431500000000004</v>
      </c>
      <c r="I58" s="6">
        <v>211.69045700000001</v>
      </c>
      <c r="J58" s="6">
        <v>6.5871279999999999</v>
      </c>
      <c r="K58" s="6">
        <v>-5.1162419999999997</v>
      </c>
      <c r="L58" s="6">
        <v>44.917499999999997</v>
      </c>
      <c r="M58" s="6">
        <v>0</v>
      </c>
      <c r="N58" s="6">
        <v>118.59220000000001</v>
      </c>
      <c r="O58" s="6">
        <v>30.638508999999999</v>
      </c>
      <c r="P58" s="6">
        <v>87.953691000000006</v>
      </c>
      <c r="Q58" s="7">
        <v>27</v>
      </c>
      <c r="R58" s="6">
        <v>44.917499999999997</v>
      </c>
      <c r="S58" s="6">
        <v>102.214566</v>
      </c>
      <c r="T58" s="6">
        <v>99.764249000000007</v>
      </c>
      <c r="U58" s="6">
        <v>97.433161999999996</v>
      </c>
      <c r="V58" s="6">
        <v>95.212665999999999</v>
      </c>
    </row>
    <row r="59" spans="1:22" x14ac:dyDescent="0.35">
      <c r="A59" s="5">
        <v>46022</v>
      </c>
      <c r="B59" s="4" t="s">
        <v>164</v>
      </c>
      <c r="C59" s="4" t="s">
        <v>165</v>
      </c>
      <c r="D59" s="4" t="s">
        <v>105</v>
      </c>
      <c r="E59" s="6">
        <v>671.15455799999995</v>
      </c>
      <c r="F59" s="6">
        <v>34.365056000000003</v>
      </c>
      <c r="G59" s="6">
        <v>636.78950199999997</v>
      </c>
      <c r="H59" s="6">
        <v>6.4467160000000003</v>
      </c>
      <c r="I59" s="6">
        <v>503.87033000000002</v>
      </c>
      <c r="J59" s="6">
        <v>14.939106000000001</v>
      </c>
      <c r="K59" s="6">
        <v>-41.133187</v>
      </c>
      <c r="L59" s="6">
        <v>71.940894</v>
      </c>
      <c r="M59" s="6">
        <v>0</v>
      </c>
      <c r="N59" s="6">
        <v>80.725641999999993</v>
      </c>
      <c r="O59" s="6">
        <v>6.4064110000000003</v>
      </c>
      <c r="P59" s="6">
        <v>74.319231000000002</v>
      </c>
      <c r="Q59" s="7">
        <v>27</v>
      </c>
      <c r="R59" s="6">
        <v>87.805902000000003</v>
      </c>
      <c r="S59" s="6">
        <v>1500.381151</v>
      </c>
      <c r="T59" s="6">
        <v>1330.7236760000001</v>
      </c>
      <c r="U59" s="6">
        <v>1187.871977</v>
      </c>
      <c r="V59" s="6">
        <v>1066.6893809999999</v>
      </c>
    </row>
    <row r="60" spans="1:22" x14ac:dyDescent="0.35">
      <c r="A60" s="5">
        <v>46022</v>
      </c>
      <c r="B60" s="4" t="s">
        <v>166</v>
      </c>
      <c r="C60" s="4" t="s">
        <v>167</v>
      </c>
      <c r="D60" s="4" t="s">
        <v>61</v>
      </c>
      <c r="E60" s="6">
        <v>16.110834000000001</v>
      </c>
      <c r="F60" s="6">
        <v>1.015892</v>
      </c>
      <c r="G60" s="6">
        <v>15.094942</v>
      </c>
      <c r="H60" s="6">
        <v>1.7143790000000001</v>
      </c>
      <c r="I60" s="6">
        <v>4.4697370000000003</v>
      </c>
      <c r="J60" s="6">
        <v>0.57239200000000001</v>
      </c>
      <c r="K60" s="6">
        <v>-7.4479999999999998E-3</v>
      </c>
      <c r="L60" s="6">
        <v>0.40986099999999998</v>
      </c>
      <c r="M60" s="6">
        <v>0</v>
      </c>
      <c r="N60" s="6">
        <v>7.9360200000000001</v>
      </c>
      <c r="O60" s="6">
        <v>1.982143</v>
      </c>
      <c r="P60" s="6">
        <v>5.9538770000000003</v>
      </c>
      <c r="Q60" s="7">
        <v>25</v>
      </c>
      <c r="R60" s="6">
        <v>0.40986099999999998</v>
      </c>
      <c r="S60" s="6">
        <v>15.331421000000001</v>
      </c>
      <c r="T60" s="6">
        <v>14.79466</v>
      </c>
      <c r="U60" s="6">
        <v>14.288970000000001</v>
      </c>
      <c r="V60" s="6">
        <v>13.811954</v>
      </c>
    </row>
    <row r="61" spans="1:22" x14ac:dyDescent="0.35">
      <c r="A61" s="5">
        <v>46022</v>
      </c>
      <c r="B61" s="4" t="s">
        <v>168</v>
      </c>
      <c r="C61" s="4" t="s">
        <v>169</v>
      </c>
      <c r="D61" s="4" t="s">
        <v>58</v>
      </c>
      <c r="E61" s="6">
        <v>1672.2048749999999</v>
      </c>
      <c r="F61" s="6">
        <v>78.936860999999993</v>
      </c>
      <c r="G61" s="6">
        <v>1593.268014</v>
      </c>
      <c r="H61" s="6">
        <v>68.928781999999998</v>
      </c>
      <c r="I61" s="6">
        <v>631.93248000000006</v>
      </c>
      <c r="J61" s="6">
        <v>65.885216</v>
      </c>
      <c r="K61" s="6">
        <v>-19.960598000000001</v>
      </c>
      <c r="L61" s="6">
        <v>75.063231999999999</v>
      </c>
      <c r="M61" s="6">
        <v>0</v>
      </c>
      <c r="N61" s="6">
        <v>771.418902</v>
      </c>
      <c r="O61" s="6">
        <v>177.16660400000001</v>
      </c>
      <c r="P61" s="6">
        <v>594.252298</v>
      </c>
      <c r="Q61" s="7">
        <v>27</v>
      </c>
      <c r="R61" s="6">
        <v>170.348928</v>
      </c>
      <c r="S61" s="6">
        <v>8855.2251120000001</v>
      </c>
      <c r="T61" s="6">
        <v>7397.324345</v>
      </c>
      <c r="U61" s="6">
        <v>6294.1911</v>
      </c>
      <c r="V61" s="6">
        <v>5442.8075660000004</v>
      </c>
    </row>
    <row r="62" spans="1:22" x14ac:dyDescent="0.35">
      <c r="A62" s="5">
        <v>46022</v>
      </c>
      <c r="B62" s="4" t="s">
        <v>170</v>
      </c>
      <c r="C62" s="4" t="s">
        <v>171</v>
      </c>
      <c r="D62" s="4" t="s">
        <v>111</v>
      </c>
      <c r="E62" s="6">
        <v>207.41066799999999</v>
      </c>
      <c r="F62" s="6">
        <v>24.482427000000001</v>
      </c>
      <c r="G62" s="6">
        <v>182.92824100000001</v>
      </c>
      <c r="H62" s="6">
        <v>7.4354610000000001</v>
      </c>
      <c r="I62" s="6">
        <v>67.951352999999997</v>
      </c>
      <c r="J62" s="6">
        <v>12.690651000000001</v>
      </c>
      <c r="K62" s="6">
        <v>-1.9229719999999999</v>
      </c>
      <c r="L62" s="6">
        <v>14.545591</v>
      </c>
      <c r="M62" s="6">
        <v>0</v>
      </c>
      <c r="N62" s="6">
        <v>82.228157999999993</v>
      </c>
      <c r="O62" s="6">
        <v>20.01829</v>
      </c>
      <c r="P62" s="6">
        <v>62.209868</v>
      </c>
      <c r="Q62" s="7">
        <v>30</v>
      </c>
      <c r="R62" s="6">
        <v>28.123142999999999</v>
      </c>
      <c r="S62" s="6">
        <v>142.62668500000001</v>
      </c>
      <c r="T62" s="6">
        <v>138.18307100000001</v>
      </c>
      <c r="U62" s="6">
        <v>133.875213</v>
      </c>
      <c r="V62" s="6">
        <v>129.714574</v>
      </c>
    </row>
    <row r="63" spans="1:22" x14ac:dyDescent="0.35">
      <c r="A63" s="5">
        <v>46022</v>
      </c>
      <c r="B63" s="4" t="s">
        <v>172</v>
      </c>
      <c r="C63" s="4" t="s">
        <v>173</v>
      </c>
      <c r="D63" s="4" t="s">
        <v>111</v>
      </c>
      <c r="E63" s="6">
        <v>119.364446</v>
      </c>
      <c r="F63" s="6">
        <v>20.093814999999999</v>
      </c>
      <c r="G63" s="6">
        <v>99.270630999999995</v>
      </c>
      <c r="H63" s="6">
        <v>7.6295419999999998</v>
      </c>
      <c r="I63" s="6">
        <v>18.596198000000001</v>
      </c>
      <c r="J63" s="6">
        <v>1.3667389999999999</v>
      </c>
      <c r="K63" s="6">
        <v>8.9410799999999995</v>
      </c>
      <c r="L63" s="6">
        <v>1.0554140000000001</v>
      </c>
      <c r="M63" s="6">
        <v>0</v>
      </c>
      <c r="N63" s="6">
        <v>61.681659000000003</v>
      </c>
      <c r="O63" s="6">
        <v>20.697285000000001</v>
      </c>
      <c r="P63" s="6">
        <v>40.984374000000003</v>
      </c>
      <c r="Q63" s="7">
        <v>30</v>
      </c>
      <c r="R63" s="6">
        <v>2.6872029999999998</v>
      </c>
      <c r="S63" s="6">
        <v>104.31699399999999</v>
      </c>
      <c r="T63" s="6">
        <v>101.235561</v>
      </c>
      <c r="U63" s="6">
        <v>98.305736999999993</v>
      </c>
      <c r="V63" s="6">
        <v>95.517392999999998</v>
      </c>
    </row>
    <row r="64" spans="1:22" x14ac:dyDescent="0.35">
      <c r="A64" s="5">
        <v>46022</v>
      </c>
      <c r="B64" s="4" t="s">
        <v>174</v>
      </c>
      <c r="C64" s="4" t="s">
        <v>175</v>
      </c>
      <c r="D64" s="4" t="s">
        <v>61</v>
      </c>
      <c r="E64" s="6">
        <v>32.529251000000002</v>
      </c>
      <c r="F64" s="6">
        <v>2.809666</v>
      </c>
      <c r="G64" s="6">
        <v>29.719584999999999</v>
      </c>
      <c r="H64" s="6">
        <v>4.7913839999999999</v>
      </c>
      <c r="I64" s="6">
        <v>19.493756999999999</v>
      </c>
      <c r="J64" s="6">
        <v>2.0959349999999999</v>
      </c>
      <c r="K64" s="6">
        <v>-3.9259999999999998E-3</v>
      </c>
      <c r="L64" s="6">
        <v>0.79707399999999995</v>
      </c>
      <c r="M64" s="6">
        <v>0</v>
      </c>
      <c r="N64" s="6">
        <v>2.5453610000000002</v>
      </c>
      <c r="O64" s="6">
        <v>0.63535900000000001</v>
      </c>
      <c r="P64" s="6">
        <v>1.910002</v>
      </c>
      <c r="Q64" s="7">
        <v>25</v>
      </c>
      <c r="R64" s="6">
        <v>0.79707399999999995</v>
      </c>
      <c r="S64" s="6">
        <v>6.8448140000000004</v>
      </c>
      <c r="T64" s="6">
        <v>6.5273000000000003</v>
      </c>
      <c r="U64" s="6">
        <v>6.2331479999999999</v>
      </c>
      <c r="V64" s="6">
        <v>5.96014</v>
      </c>
    </row>
    <row r="65" spans="1:22" x14ac:dyDescent="0.35">
      <c r="A65" s="5">
        <v>46022</v>
      </c>
      <c r="B65" s="4" t="s">
        <v>176</v>
      </c>
      <c r="C65" s="4" t="s">
        <v>177</v>
      </c>
      <c r="D65" s="4" t="s">
        <v>61</v>
      </c>
      <c r="E65" s="6">
        <v>72.741963999999996</v>
      </c>
      <c r="F65" s="6">
        <v>4.9557229999999999</v>
      </c>
      <c r="G65" s="6">
        <v>67.786242000000001</v>
      </c>
      <c r="H65" s="6">
        <v>9.1306639999999994</v>
      </c>
      <c r="I65" s="6">
        <v>44.938603999999998</v>
      </c>
      <c r="J65" s="6">
        <v>7.0408090000000003</v>
      </c>
      <c r="K65" s="6">
        <v>-8.8240000000000002E-3</v>
      </c>
      <c r="L65" s="6">
        <v>3.475171</v>
      </c>
      <c r="M65" s="6">
        <v>0</v>
      </c>
      <c r="N65" s="6">
        <v>3.2098170000000001</v>
      </c>
      <c r="O65" s="6">
        <v>0.91054000000000002</v>
      </c>
      <c r="P65" s="6">
        <v>2.2992780000000002</v>
      </c>
      <c r="Q65" s="7">
        <v>25</v>
      </c>
      <c r="R65" s="6">
        <v>2.124044</v>
      </c>
      <c r="S65" s="6">
        <v>17.504287000000001</v>
      </c>
      <c r="T65" s="6">
        <v>15.626995000000001</v>
      </c>
      <c r="U65" s="6">
        <v>14.051693999999999</v>
      </c>
      <c r="V65" s="6">
        <v>12.719718</v>
      </c>
    </row>
    <row r="66" spans="1:22" x14ac:dyDescent="0.35">
      <c r="A66" s="5">
        <v>46022</v>
      </c>
      <c r="B66" s="4" t="s">
        <v>178</v>
      </c>
      <c r="C66" s="4" t="s">
        <v>179</v>
      </c>
      <c r="D66" s="4" t="s">
        <v>102</v>
      </c>
      <c r="E66" s="6">
        <v>540.39148899999998</v>
      </c>
      <c r="F66" s="6">
        <v>34.474769000000002</v>
      </c>
      <c r="G66" s="6">
        <v>505.91672</v>
      </c>
      <c r="H66" s="6">
        <v>0</v>
      </c>
      <c r="I66" s="6">
        <v>379.99713700000001</v>
      </c>
      <c r="J66" s="6">
        <v>18.000014</v>
      </c>
      <c r="K66" s="6">
        <v>-17.722639000000001</v>
      </c>
      <c r="L66" s="6">
        <v>175.90351699999999</v>
      </c>
      <c r="M66" s="6">
        <v>42.24277</v>
      </c>
      <c r="N66" s="6">
        <v>-92.504079000000004</v>
      </c>
      <c r="O66" s="6">
        <v>15.290829</v>
      </c>
      <c r="P66" s="6">
        <v>-107.79490800000001</v>
      </c>
      <c r="Q66" s="7">
        <v>20.6</v>
      </c>
      <c r="R66" s="6">
        <v>33.692245999999997</v>
      </c>
      <c r="S66" s="6">
        <v>2676.8922950000001</v>
      </c>
      <c r="T66" s="6">
        <v>2154.7891169999998</v>
      </c>
      <c r="U66" s="6">
        <v>1762.2552109999999</v>
      </c>
      <c r="V66" s="6">
        <v>1462.010751</v>
      </c>
    </row>
    <row r="67" spans="1:22" x14ac:dyDescent="0.35">
      <c r="A67" s="5">
        <v>46022</v>
      </c>
      <c r="B67" s="4" t="s">
        <v>180</v>
      </c>
      <c r="C67" s="4" t="s">
        <v>181</v>
      </c>
      <c r="D67" s="4" t="s">
        <v>69</v>
      </c>
      <c r="E67" s="6">
        <v>2145.7393609999999</v>
      </c>
      <c r="F67" s="6">
        <v>322.028482</v>
      </c>
      <c r="G67" s="6">
        <v>1823.710879</v>
      </c>
      <c r="H67" s="6">
        <v>148.08433500000001</v>
      </c>
      <c r="I67" s="6">
        <v>659.78149499999995</v>
      </c>
      <c r="J67" s="6">
        <v>207.38711799999999</v>
      </c>
      <c r="K67" s="6">
        <v>-6.7678320000000003</v>
      </c>
      <c r="L67" s="6">
        <v>71.410117999999997</v>
      </c>
      <c r="M67" s="6">
        <v>0</v>
      </c>
      <c r="N67" s="6">
        <v>743.81564600000002</v>
      </c>
      <c r="O67" s="6">
        <v>122.299622</v>
      </c>
      <c r="P67" s="6">
        <v>621.51602300000002</v>
      </c>
      <c r="Q67" s="7">
        <v>20</v>
      </c>
      <c r="R67" s="6">
        <v>196.95982000000001</v>
      </c>
      <c r="S67" s="6">
        <v>4735.7569789999998</v>
      </c>
      <c r="T67" s="6">
        <v>4207.0558899999996</v>
      </c>
      <c r="U67" s="6">
        <v>3776.060657</v>
      </c>
      <c r="V67" s="6">
        <v>3419.5058100000001</v>
      </c>
    </row>
    <row r="68" spans="1:22" x14ac:dyDescent="0.35">
      <c r="A68" s="5">
        <v>46022</v>
      </c>
      <c r="B68" s="4" t="s">
        <v>182</v>
      </c>
      <c r="C68" s="4" t="s">
        <v>183</v>
      </c>
      <c r="D68" s="4" t="s">
        <v>55</v>
      </c>
      <c r="E68" s="6">
        <v>267.17487599999998</v>
      </c>
      <c r="F68" s="6">
        <v>48.520935999999999</v>
      </c>
      <c r="G68" s="6">
        <v>218.65394000000001</v>
      </c>
      <c r="H68" s="6">
        <v>7.6762769999999998</v>
      </c>
      <c r="I68" s="6">
        <v>59.649974999999998</v>
      </c>
      <c r="J68" s="6">
        <v>6.0790740000000003</v>
      </c>
      <c r="K68" s="6">
        <v>7.0550490000000003</v>
      </c>
      <c r="L68" s="6">
        <v>66.436105999999995</v>
      </c>
      <c r="M68" s="6">
        <v>9</v>
      </c>
      <c r="N68" s="6">
        <v>62.757458999999997</v>
      </c>
      <c r="O68" s="6">
        <v>18.273488</v>
      </c>
      <c r="P68" s="6">
        <v>44.483970999999997</v>
      </c>
      <c r="Q68" s="7">
        <v>34</v>
      </c>
      <c r="R68" s="6">
        <v>91.503061000000002</v>
      </c>
      <c r="S68" s="6">
        <v>578.13333399999999</v>
      </c>
      <c r="T68" s="6">
        <v>513.42980599999999</v>
      </c>
      <c r="U68" s="6">
        <v>459.10977700000001</v>
      </c>
      <c r="V68" s="6">
        <v>413.16561899999999</v>
      </c>
    </row>
    <row r="69" spans="1:22" x14ac:dyDescent="0.35">
      <c r="A69" s="5">
        <v>46022</v>
      </c>
      <c r="B69" s="4" t="s">
        <v>184</v>
      </c>
      <c r="C69" s="4" t="s">
        <v>185</v>
      </c>
      <c r="D69" s="4" t="s">
        <v>157</v>
      </c>
      <c r="E69" s="6">
        <v>533.55998099999999</v>
      </c>
      <c r="F69" s="6">
        <v>3.8093140000000001</v>
      </c>
      <c r="G69" s="6">
        <v>529.75066700000002</v>
      </c>
      <c r="H69" s="6">
        <v>21.147410000000001</v>
      </c>
      <c r="I69" s="6">
        <v>217.24258800000001</v>
      </c>
      <c r="J69" s="6">
        <v>1.2622500000000001</v>
      </c>
      <c r="K69" s="6">
        <v>33.366128000000003</v>
      </c>
      <c r="L69" s="6">
        <v>65.281993</v>
      </c>
      <c r="M69" s="6">
        <v>0</v>
      </c>
      <c r="N69" s="6">
        <v>191.450298</v>
      </c>
      <c r="O69" s="6">
        <v>59.093634000000002</v>
      </c>
      <c r="P69" s="6">
        <v>132.35666399999999</v>
      </c>
      <c r="Q69" s="7">
        <v>30</v>
      </c>
      <c r="R69" s="6">
        <v>93.119636999999997</v>
      </c>
      <c r="S69" s="6">
        <v>1544.784701</v>
      </c>
      <c r="T69" s="6">
        <v>1344.298387</v>
      </c>
      <c r="U69" s="6">
        <v>1182.2594389999999</v>
      </c>
      <c r="V69" s="6">
        <v>1049.79828</v>
      </c>
    </row>
    <row r="70" spans="1:22" x14ac:dyDescent="0.35">
      <c r="A70" s="5">
        <v>46022</v>
      </c>
      <c r="B70" s="4" t="s">
        <v>186</v>
      </c>
      <c r="C70" s="4" t="s">
        <v>187</v>
      </c>
      <c r="D70" s="4" t="s">
        <v>111</v>
      </c>
      <c r="E70" s="6">
        <v>70.744361999999995</v>
      </c>
      <c r="F70" s="6">
        <v>4.7284499999999996</v>
      </c>
      <c r="G70" s="6">
        <v>66.015912</v>
      </c>
      <c r="H70" s="6">
        <v>3.0367690000000001</v>
      </c>
      <c r="I70" s="6">
        <v>34.787396000000001</v>
      </c>
      <c r="J70" s="6">
        <v>12.966666999999999</v>
      </c>
      <c r="K70" s="6">
        <v>1.7905000000000001E-2</v>
      </c>
      <c r="L70" s="6">
        <v>2.3359999999999999</v>
      </c>
      <c r="M70" s="6">
        <v>26.82</v>
      </c>
      <c r="N70" s="6">
        <v>-13.948824</v>
      </c>
      <c r="O70" s="6">
        <v>3.5211239999999999</v>
      </c>
      <c r="P70" s="6">
        <v>-17.469949</v>
      </c>
      <c r="Q70" s="7">
        <v>30</v>
      </c>
      <c r="R70" s="6">
        <v>3.488</v>
      </c>
      <c r="S70" s="6">
        <v>377.88795800000003</v>
      </c>
      <c r="T70" s="6">
        <v>308.05561499999999</v>
      </c>
      <c r="U70" s="6">
        <v>254.50208900000001</v>
      </c>
      <c r="V70" s="6">
        <v>212.78060199999999</v>
      </c>
    </row>
    <row r="71" spans="1:22" x14ac:dyDescent="0.35">
      <c r="A71" s="5">
        <v>46022</v>
      </c>
      <c r="B71" s="4" t="s">
        <v>188</v>
      </c>
      <c r="C71" s="4" t="s">
        <v>189</v>
      </c>
      <c r="D71" s="4" t="s">
        <v>61</v>
      </c>
      <c r="E71" s="6">
        <v>17.236985000000001</v>
      </c>
      <c r="F71" s="6">
        <v>0.97992699999999999</v>
      </c>
      <c r="G71" s="6">
        <v>16.257058000000001</v>
      </c>
      <c r="H71" s="6">
        <v>2.3198129999999999</v>
      </c>
      <c r="I71" s="6">
        <v>6.0454730000000003</v>
      </c>
      <c r="J71" s="6">
        <v>0.75858700000000001</v>
      </c>
      <c r="K71" s="6">
        <v>-1.0262E-2</v>
      </c>
      <c r="L71" s="6">
        <v>0.53381999999999996</v>
      </c>
      <c r="M71" s="6">
        <v>0</v>
      </c>
      <c r="N71" s="6">
        <v>6.6096269999999997</v>
      </c>
      <c r="O71" s="6">
        <v>1.6744250000000001</v>
      </c>
      <c r="P71" s="6">
        <v>4.9352020000000003</v>
      </c>
      <c r="Q71" s="7">
        <v>25</v>
      </c>
      <c r="R71" s="6">
        <v>0.43548500000000001</v>
      </c>
      <c r="S71" s="6">
        <v>33.915291000000003</v>
      </c>
      <c r="T71" s="6">
        <v>30.992474999999999</v>
      </c>
      <c r="U71" s="6">
        <v>28.444147000000001</v>
      </c>
      <c r="V71" s="6">
        <v>26.211950999999999</v>
      </c>
    </row>
    <row r="72" spans="1:22" x14ac:dyDescent="0.35">
      <c r="A72" s="5">
        <v>46022</v>
      </c>
      <c r="B72" s="4" t="s">
        <v>190</v>
      </c>
      <c r="C72" s="4" t="s">
        <v>191</v>
      </c>
      <c r="D72" s="4" t="s">
        <v>192</v>
      </c>
      <c r="E72" s="6">
        <v>1253.7311749999999</v>
      </c>
      <c r="F72" s="6">
        <v>146.90110999999999</v>
      </c>
      <c r="G72" s="6">
        <v>1106.8300650000001</v>
      </c>
      <c r="H72" s="6">
        <v>62.686461999999999</v>
      </c>
      <c r="I72" s="6">
        <v>643.50241300000005</v>
      </c>
      <c r="J72" s="6">
        <v>83.528634999999994</v>
      </c>
      <c r="K72" s="6">
        <v>-0.94769099999999995</v>
      </c>
      <c r="L72" s="6">
        <v>145.25944899999999</v>
      </c>
      <c r="M72" s="6">
        <v>25.000015999999999</v>
      </c>
      <c r="N72" s="6">
        <v>147.800781</v>
      </c>
      <c r="O72" s="6">
        <v>0</v>
      </c>
      <c r="P72" s="6">
        <v>147.800781</v>
      </c>
      <c r="Q72" s="7">
        <v>15</v>
      </c>
      <c r="R72" s="6">
        <v>155.83122399999999</v>
      </c>
      <c r="S72" s="6">
        <v>1590.436954</v>
      </c>
      <c r="T72" s="6">
        <v>1368.3788259999999</v>
      </c>
      <c r="U72" s="6">
        <v>1193.9667770000001</v>
      </c>
      <c r="V72" s="6">
        <v>1054.697424</v>
      </c>
    </row>
    <row r="73" spans="1:22" x14ac:dyDescent="0.35">
      <c r="A73" s="5">
        <v>46022</v>
      </c>
      <c r="B73" s="4" t="s">
        <v>193</v>
      </c>
      <c r="C73" s="4" t="s">
        <v>194</v>
      </c>
      <c r="D73" s="4" t="s">
        <v>58</v>
      </c>
      <c r="E73" s="6">
        <v>270.745295</v>
      </c>
      <c r="F73" s="6">
        <v>2.1930000000000001</v>
      </c>
      <c r="G73" s="6">
        <v>268.55229500000002</v>
      </c>
      <c r="H73" s="6">
        <v>2.707436</v>
      </c>
      <c r="I73" s="6">
        <v>130.141401</v>
      </c>
      <c r="J73" s="6">
        <v>12.33276</v>
      </c>
      <c r="K73" s="6">
        <v>5.8873179999999996</v>
      </c>
      <c r="L73" s="6">
        <v>16.301538000000001</v>
      </c>
      <c r="M73" s="6">
        <v>0</v>
      </c>
      <c r="N73" s="6">
        <v>101.18184100000001</v>
      </c>
      <c r="O73" s="6">
        <v>20.427657</v>
      </c>
      <c r="P73" s="6">
        <v>80.754185000000007</v>
      </c>
      <c r="Q73" s="7">
        <v>27</v>
      </c>
      <c r="R73" s="6">
        <v>47.712710000000001</v>
      </c>
      <c r="S73" s="6">
        <v>114.731477</v>
      </c>
      <c r="T73" s="6">
        <v>111.932131</v>
      </c>
      <c r="U73" s="6">
        <v>109.25778200000001</v>
      </c>
      <c r="V73" s="6">
        <v>106.700559</v>
      </c>
    </row>
    <row r="74" spans="1:22" x14ac:dyDescent="0.35">
      <c r="A74" s="5">
        <v>46022</v>
      </c>
      <c r="B74" s="4" t="s">
        <v>195</v>
      </c>
      <c r="C74" s="4" t="s">
        <v>196</v>
      </c>
      <c r="D74" s="4" t="s">
        <v>61</v>
      </c>
      <c r="E74" s="6">
        <v>36.957278000000002</v>
      </c>
      <c r="F74" s="6">
        <v>2.7487550000000001</v>
      </c>
      <c r="G74" s="6">
        <v>34.208523</v>
      </c>
      <c r="H74" s="6">
        <v>2.7576130000000001</v>
      </c>
      <c r="I74" s="6">
        <v>9.6177119999999992</v>
      </c>
      <c r="J74" s="6">
        <v>1.149786</v>
      </c>
      <c r="K74" s="6">
        <v>-1.116E-3</v>
      </c>
      <c r="L74" s="6">
        <v>0.748776</v>
      </c>
      <c r="M74" s="6">
        <v>0</v>
      </c>
      <c r="N74" s="6">
        <v>19.935752999999998</v>
      </c>
      <c r="O74" s="6">
        <v>4.7904689999999999</v>
      </c>
      <c r="P74" s="6">
        <v>15.145282999999999</v>
      </c>
      <c r="Q74" s="7">
        <v>25</v>
      </c>
      <c r="R74" s="6">
        <v>1.5215350000000001</v>
      </c>
      <c r="S74" s="6">
        <v>69.296482999999995</v>
      </c>
      <c r="T74" s="6">
        <v>65.292046999999997</v>
      </c>
      <c r="U74" s="6">
        <v>61.643045999999998</v>
      </c>
      <c r="V74" s="6">
        <v>58.309824999999996</v>
      </c>
    </row>
    <row r="75" spans="1:22" x14ac:dyDescent="0.35">
      <c r="A75" s="5">
        <v>46022</v>
      </c>
      <c r="B75" s="4" t="s">
        <v>197</v>
      </c>
      <c r="C75" s="4" t="s">
        <v>198</v>
      </c>
      <c r="D75" s="4" t="s">
        <v>89</v>
      </c>
      <c r="E75" s="6">
        <v>223.809054</v>
      </c>
      <c r="F75" s="6">
        <v>0.73221700000000001</v>
      </c>
      <c r="G75" s="6">
        <v>223.07683700000001</v>
      </c>
      <c r="H75" s="6">
        <v>6.5089980000000001</v>
      </c>
      <c r="I75" s="6">
        <v>117.624647</v>
      </c>
      <c r="J75" s="6">
        <v>5.15116</v>
      </c>
      <c r="K75" s="6">
        <v>-16.693141000000001</v>
      </c>
      <c r="L75" s="6">
        <v>22.101396999999999</v>
      </c>
      <c r="M75" s="6">
        <v>0</v>
      </c>
      <c r="N75" s="6">
        <v>88.383776999999995</v>
      </c>
      <c r="O75" s="6">
        <v>7.8518230000000004</v>
      </c>
      <c r="P75" s="6">
        <v>80.531953999999999</v>
      </c>
      <c r="Q75" s="7">
        <v>30</v>
      </c>
      <c r="R75" s="6">
        <v>67.619288999999995</v>
      </c>
      <c r="S75" s="6">
        <v>142.57777300000001</v>
      </c>
      <c r="T75" s="6">
        <v>138.771367</v>
      </c>
      <c r="U75" s="6">
        <v>135.14348899999999</v>
      </c>
      <c r="V75" s="6">
        <v>131.68254200000001</v>
      </c>
    </row>
    <row r="76" spans="1:22" x14ac:dyDescent="0.35">
      <c r="A76" s="5">
        <v>46022</v>
      </c>
      <c r="B76" s="4" t="s">
        <v>199</v>
      </c>
      <c r="C76" s="4" t="s">
        <v>200</v>
      </c>
      <c r="D76" s="4" t="s">
        <v>61</v>
      </c>
      <c r="E76" s="6">
        <v>1.510062</v>
      </c>
      <c r="F76" s="6">
        <v>0.115424</v>
      </c>
      <c r="G76" s="6">
        <v>1.394638</v>
      </c>
      <c r="H76" s="6">
        <v>0.27501500000000001</v>
      </c>
      <c r="I76" s="6">
        <v>1.0554349999999999</v>
      </c>
      <c r="J76" s="6">
        <v>3.8976999999999998E-2</v>
      </c>
      <c r="K76" s="6">
        <v>-2.4899999999999998E-4</v>
      </c>
      <c r="L76" s="6">
        <v>5.2364000000000001E-2</v>
      </c>
      <c r="M76" s="6">
        <v>0</v>
      </c>
      <c r="N76" s="6">
        <v>-2.6903E-2</v>
      </c>
      <c r="O76" s="6">
        <v>0</v>
      </c>
      <c r="P76" s="6">
        <v>-2.6903E-2</v>
      </c>
      <c r="Q76" s="7">
        <v>25</v>
      </c>
      <c r="R76" s="6">
        <v>5.2364000000000001E-2</v>
      </c>
      <c r="S76" s="6">
        <v>-0.30229299999999998</v>
      </c>
      <c r="T76" s="6">
        <v>-0.256712</v>
      </c>
      <c r="U76" s="6">
        <v>-0.221193</v>
      </c>
      <c r="V76" s="6">
        <v>-0.19312299999999999</v>
      </c>
    </row>
    <row r="77" spans="1:22" x14ac:dyDescent="0.35">
      <c r="A77" s="5">
        <v>46022</v>
      </c>
      <c r="B77" s="4" t="s">
        <v>201</v>
      </c>
      <c r="C77" s="4" t="s">
        <v>202</v>
      </c>
      <c r="D77" s="4" t="s">
        <v>61</v>
      </c>
      <c r="E77" s="6">
        <v>256.432841</v>
      </c>
      <c r="F77" s="6">
        <v>72.919623000000001</v>
      </c>
      <c r="G77" s="6">
        <v>183.513217</v>
      </c>
      <c r="H77" s="6">
        <v>6.9136369999999996</v>
      </c>
      <c r="I77" s="6">
        <v>53.188205000000004</v>
      </c>
      <c r="J77" s="6">
        <v>1.7203550000000001</v>
      </c>
      <c r="K77" s="6">
        <v>-0.113182</v>
      </c>
      <c r="L77" s="6">
        <v>2.2700719999999999</v>
      </c>
      <c r="M77" s="6">
        <v>0</v>
      </c>
      <c r="N77" s="6">
        <v>119.53412899999999</v>
      </c>
      <c r="O77" s="6">
        <v>29.855236999999999</v>
      </c>
      <c r="P77" s="6">
        <v>89.678892000000005</v>
      </c>
      <c r="Q77" s="7">
        <v>25</v>
      </c>
      <c r="R77" s="6">
        <v>2.2700719999999999</v>
      </c>
      <c r="S77" s="6">
        <v>738.50574300000005</v>
      </c>
      <c r="T77" s="6">
        <v>659.90548999999999</v>
      </c>
      <c r="U77" s="6">
        <v>593.757653</v>
      </c>
      <c r="V77" s="6">
        <v>537.67908199999999</v>
      </c>
    </row>
    <row r="78" spans="1:22" x14ac:dyDescent="0.35">
      <c r="A78" s="5">
        <v>46022</v>
      </c>
      <c r="B78" s="4" t="s">
        <v>203</v>
      </c>
      <c r="C78" s="4" t="s">
        <v>204</v>
      </c>
      <c r="D78" s="4" t="s">
        <v>61</v>
      </c>
      <c r="E78" s="6">
        <v>1198.0591549999999</v>
      </c>
      <c r="F78" s="6">
        <v>97.451036000000002</v>
      </c>
      <c r="G78" s="6">
        <v>1100.608119</v>
      </c>
      <c r="H78" s="6">
        <v>26.750219999999999</v>
      </c>
      <c r="I78" s="6">
        <v>380.93560400000001</v>
      </c>
      <c r="J78" s="6">
        <v>26.235859999999999</v>
      </c>
      <c r="K78" s="6">
        <v>-0.489647</v>
      </c>
      <c r="L78" s="6">
        <v>20.217735999999999</v>
      </c>
      <c r="M78" s="6">
        <v>0</v>
      </c>
      <c r="N78" s="6">
        <v>646.95834500000001</v>
      </c>
      <c r="O78" s="6">
        <v>150.05293699999999</v>
      </c>
      <c r="P78" s="6">
        <v>496.90540900000002</v>
      </c>
      <c r="Q78" s="7">
        <v>25</v>
      </c>
      <c r="R78" s="6">
        <v>66.474688</v>
      </c>
      <c r="S78" s="6">
        <v>4239.5159960000001</v>
      </c>
      <c r="T78" s="6">
        <v>3767.8347279999998</v>
      </c>
      <c r="U78" s="6">
        <v>3374.367209</v>
      </c>
      <c r="V78" s="6">
        <v>3043.4619990000001</v>
      </c>
    </row>
    <row r="79" spans="1:22" x14ac:dyDescent="0.35">
      <c r="A79" s="5">
        <v>46022</v>
      </c>
      <c r="B79" s="4" t="s">
        <v>205</v>
      </c>
      <c r="C79" s="4" t="s">
        <v>206</v>
      </c>
      <c r="D79" s="4" t="s">
        <v>61</v>
      </c>
      <c r="E79" s="6">
        <v>150.065946</v>
      </c>
      <c r="F79" s="6">
        <v>36.323438000000003</v>
      </c>
      <c r="G79" s="6">
        <v>113.742508</v>
      </c>
      <c r="H79" s="6">
        <v>9.0039909999999992</v>
      </c>
      <c r="I79" s="6">
        <v>46.796804999999999</v>
      </c>
      <c r="J79" s="6">
        <v>5.4834630000000004</v>
      </c>
      <c r="K79" s="6">
        <v>1.6712340000000001</v>
      </c>
      <c r="L79" s="6">
        <v>1.622533</v>
      </c>
      <c r="M79" s="6">
        <v>0</v>
      </c>
      <c r="N79" s="6">
        <v>49.164482</v>
      </c>
      <c r="O79" s="6">
        <v>6.9438930000000001</v>
      </c>
      <c r="P79" s="6">
        <v>42.220587999999999</v>
      </c>
      <c r="Q79" s="7">
        <v>15</v>
      </c>
      <c r="R79" s="6">
        <v>6.1656259999999996</v>
      </c>
      <c r="S79" s="6">
        <v>355.26693899999998</v>
      </c>
      <c r="T79" s="6">
        <v>316.72362500000003</v>
      </c>
      <c r="U79" s="6">
        <v>284.48176100000001</v>
      </c>
      <c r="V79" s="6">
        <v>257.28963099999999</v>
      </c>
    </row>
    <row r="80" spans="1:22" x14ac:dyDescent="0.35">
      <c r="A80" s="5">
        <v>46022</v>
      </c>
      <c r="B80" s="4" t="s">
        <v>207</v>
      </c>
      <c r="C80" s="4" t="s">
        <v>208</v>
      </c>
      <c r="D80" s="4" t="s">
        <v>50</v>
      </c>
      <c r="E80" s="6">
        <v>551.92306099999996</v>
      </c>
      <c r="F80" s="6">
        <v>42.425576</v>
      </c>
      <c r="G80" s="6">
        <v>509.49748499999998</v>
      </c>
      <c r="H80" s="6">
        <v>2.02644</v>
      </c>
      <c r="I80" s="6">
        <v>192.85176100000001</v>
      </c>
      <c r="J80" s="6">
        <v>12.950986</v>
      </c>
      <c r="K80" s="6">
        <v>-5.237114</v>
      </c>
      <c r="L80" s="6">
        <v>59.999999000000003</v>
      </c>
      <c r="M80" s="6">
        <v>0</v>
      </c>
      <c r="N80" s="6">
        <v>246.90541300000001</v>
      </c>
      <c r="O80" s="6">
        <v>59.801214999999999</v>
      </c>
      <c r="P80" s="6">
        <v>187.104198</v>
      </c>
      <c r="Q80" s="7">
        <v>27</v>
      </c>
      <c r="R80" s="6">
        <v>80.182317999999995</v>
      </c>
      <c r="S80" s="6">
        <v>1837.470685</v>
      </c>
      <c r="T80" s="6">
        <v>1609.2120090000001</v>
      </c>
      <c r="U80" s="6">
        <v>1422.8121140000001</v>
      </c>
      <c r="V80" s="6">
        <v>1269.0580660000001</v>
      </c>
    </row>
    <row r="81" spans="1:22" x14ac:dyDescent="0.35">
      <c r="A81" s="5">
        <v>46022</v>
      </c>
      <c r="B81" s="4" t="s">
        <v>209</v>
      </c>
      <c r="C81" s="4" t="s">
        <v>210</v>
      </c>
      <c r="D81" s="4" t="s">
        <v>58</v>
      </c>
      <c r="E81" s="6">
        <v>18.518830000000001</v>
      </c>
      <c r="F81" s="6">
        <v>0.14402899999999999</v>
      </c>
      <c r="G81" s="6">
        <v>18.3748</v>
      </c>
      <c r="H81" s="6">
        <v>0.71306800000000004</v>
      </c>
      <c r="I81" s="6">
        <v>9.0500530000000001</v>
      </c>
      <c r="J81" s="6">
        <v>0.38498700000000002</v>
      </c>
      <c r="K81" s="6">
        <v>-2.235E-3</v>
      </c>
      <c r="L81" s="6">
        <v>1</v>
      </c>
      <c r="M81" s="6">
        <v>0</v>
      </c>
      <c r="N81" s="6">
        <v>7.2289269999999997</v>
      </c>
      <c r="O81" s="6">
        <v>1.32742</v>
      </c>
      <c r="P81" s="6">
        <v>5.9015069999999996</v>
      </c>
      <c r="Q81" s="7">
        <v>25</v>
      </c>
      <c r="R81" s="6">
        <v>2.9170129999999999</v>
      </c>
      <c r="S81" s="6">
        <v>63.604176000000002</v>
      </c>
      <c r="T81" s="6">
        <v>54.147827999999997</v>
      </c>
      <c r="U81" s="6">
        <v>46.834555999999999</v>
      </c>
      <c r="V81" s="6">
        <v>41.074067999999997</v>
      </c>
    </row>
    <row r="82" spans="1:22" x14ac:dyDescent="0.35">
      <c r="A82" s="5">
        <v>46022</v>
      </c>
      <c r="B82" s="4" t="s">
        <v>211</v>
      </c>
      <c r="C82" s="4" t="s">
        <v>212</v>
      </c>
      <c r="D82" s="4" t="s">
        <v>213</v>
      </c>
      <c r="E82" s="6">
        <v>301.31555700000001</v>
      </c>
      <c r="F82" s="6">
        <v>1.958518</v>
      </c>
      <c r="G82" s="6">
        <v>299.35703899999999</v>
      </c>
      <c r="H82" s="6">
        <v>15.102815</v>
      </c>
      <c r="I82" s="6">
        <v>146.28111200000001</v>
      </c>
      <c r="J82" s="6">
        <v>2.6642890000000001</v>
      </c>
      <c r="K82" s="6">
        <v>0.67088300000000001</v>
      </c>
      <c r="L82" s="6">
        <v>10.579497</v>
      </c>
      <c r="M82" s="6">
        <v>0</v>
      </c>
      <c r="N82" s="6">
        <v>124.05844399999999</v>
      </c>
      <c r="O82" s="6">
        <v>35.051234000000001</v>
      </c>
      <c r="P82" s="6">
        <v>89.007210000000001</v>
      </c>
      <c r="Q82" s="7">
        <v>30</v>
      </c>
      <c r="R82" s="6">
        <v>18.471377</v>
      </c>
      <c r="S82" s="6">
        <v>499.33357899999999</v>
      </c>
      <c r="T82" s="6">
        <v>465.894926</v>
      </c>
      <c r="U82" s="6">
        <v>435.79984100000001</v>
      </c>
      <c r="V82" s="6">
        <v>408.635356</v>
      </c>
    </row>
    <row r="83" spans="1:22" x14ac:dyDescent="0.35">
      <c r="A83" s="5">
        <v>46022</v>
      </c>
      <c r="B83" s="4" t="s">
        <v>214</v>
      </c>
      <c r="C83" s="4" t="s">
        <v>215</v>
      </c>
      <c r="D83" s="4" t="s">
        <v>61</v>
      </c>
      <c r="E83" s="6">
        <v>10.414761</v>
      </c>
      <c r="F83" s="6">
        <v>0.66289200000000004</v>
      </c>
      <c r="G83" s="6">
        <v>9.7518689999999992</v>
      </c>
      <c r="H83" s="6">
        <v>0.72728300000000001</v>
      </c>
      <c r="I83" s="6">
        <v>2.1681339999999998</v>
      </c>
      <c r="J83" s="6">
        <v>0.30669000000000002</v>
      </c>
      <c r="K83" s="6">
        <v>-2.562E-3</v>
      </c>
      <c r="L83" s="6">
        <v>0.38880399999999998</v>
      </c>
      <c r="M83" s="6">
        <v>0</v>
      </c>
      <c r="N83" s="6">
        <v>6.163519</v>
      </c>
      <c r="O83" s="6">
        <v>1.6107290000000001</v>
      </c>
      <c r="P83" s="6">
        <v>4.552791</v>
      </c>
      <c r="Q83" s="7">
        <v>25</v>
      </c>
      <c r="R83" s="6">
        <v>0.106847</v>
      </c>
      <c r="S83" s="6">
        <v>15.079086999999999</v>
      </c>
      <c r="T83" s="6">
        <v>14.431414</v>
      </c>
      <c r="U83" s="6">
        <v>13.828109</v>
      </c>
      <c r="V83" s="6">
        <v>13.265226999999999</v>
      </c>
    </row>
    <row r="84" spans="1:22" x14ac:dyDescent="0.35">
      <c r="A84" s="5">
        <v>46022</v>
      </c>
      <c r="B84" s="4" t="s">
        <v>216</v>
      </c>
      <c r="C84" s="4" t="s">
        <v>217</v>
      </c>
      <c r="D84" s="4" t="s">
        <v>213</v>
      </c>
      <c r="E84" s="6">
        <v>451.05758700000001</v>
      </c>
      <c r="F84" s="6">
        <v>45.022623000000003</v>
      </c>
      <c r="G84" s="6">
        <v>406.034964</v>
      </c>
      <c r="H84" s="6">
        <v>14.888552000000001</v>
      </c>
      <c r="I84" s="6">
        <v>176.579667</v>
      </c>
      <c r="J84" s="6">
        <v>3.9999959999999999</v>
      </c>
      <c r="K84" s="6">
        <v>16.930374</v>
      </c>
      <c r="L84" s="6">
        <v>19.890414</v>
      </c>
      <c r="M84" s="6">
        <v>9.9999990000000007</v>
      </c>
      <c r="N84" s="6">
        <v>163.74596199999999</v>
      </c>
      <c r="O84" s="6">
        <v>55.812170999999999</v>
      </c>
      <c r="P84" s="6">
        <v>107.933792</v>
      </c>
      <c r="Q84" s="7">
        <v>35</v>
      </c>
      <c r="R84" s="6">
        <v>51.103403999999998</v>
      </c>
      <c r="S84" s="6">
        <v>675.63525400000003</v>
      </c>
      <c r="T84" s="6">
        <v>629.70068900000001</v>
      </c>
      <c r="U84" s="6">
        <v>588.45278900000005</v>
      </c>
      <c r="V84" s="6">
        <v>551.29703800000004</v>
      </c>
    </row>
    <row r="85" spans="1:22" x14ac:dyDescent="0.35">
      <c r="A85" s="5">
        <v>46022</v>
      </c>
      <c r="B85" s="4" t="s">
        <v>218</v>
      </c>
      <c r="C85" s="4" t="s">
        <v>219</v>
      </c>
      <c r="D85" s="4" t="s">
        <v>61</v>
      </c>
      <c r="E85" s="6">
        <v>12.165437000000001</v>
      </c>
      <c r="F85" s="6">
        <v>0.89763300000000001</v>
      </c>
      <c r="G85" s="6">
        <v>11.267804</v>
      </c>
      <c r="H85" s="6">
        <v>1.608533</v>
      </c>
      <c r="I85" s="6">
        <v>3.0915970000000002</v>
      </c>
      <c r="J85" s="6">
        <v>0.40057999999999999</v>
      </c>
      <c r="K85" s="6">
        <v>-8.2850000000000007E-3</v>
      </c>
      <c r="L85" s="6">
        <v>0.38724500000000001</v>
      </c>
      <c r="M85" s="6">
        <v>0</v>
      </c>
      <c r="N85" s="6">
        <v>5.7881340000000003</v>
      </c>
      <c r="O85" s="6">
        <v>1.4449620000000001</v>
      </c>
      <c r="P85" s="6">
        <v>4.343172</v>
      </c>
      <c r="Q85" s="7">
        <v>25</v>
      </c>
      <c r="R85" s="6">
        <v>0.38724500000000001</v>
      </c>
      <c r="S85" s="6">
        <v>4.0214559999999997</v>
      </c>
      <c r="T85" s="6">
        <v>3.9483380000000001</v>
      </c>
      <c r="U85" s="6">
        <v>3.8778320000000002</v>
      </c>
      <c r="V85" s="6">
        <v>3.8098000000000001</v>
      </c>
    </row>
    <row r="86" spans="1:22" x14ac:dyDescent="0.35">
      <c r="A86" s="5">
        <v>46022</v>
      </c>
      <c r="B86" s="4" t="s">
        <v>220</v>
      </c>
      <c r="C86" s="4" t="s">
        <v>221</v>
      </c>
      <c r="D86" s="4" t="s">
        <v>222</v>
      </c>
      <c r="E86" s="6">
        <v>576.03638000000001</v>
      </c>
      <c r="F86" s="6">
        <v>32.563823999999997</v>
      </c>
      <c r="G86" s="6">
        <v>543.47255600000005</v>
      </c>
      <c r="H86" s="6">
        <v>4.5166360000000001</v>
      </c>
      <c r="I86" s="6">
        <v>306.27057400000001</v>
      </c>
      <c r="J86" s="6">
        <v>9.2782739999999997</v>
      </c>
      <c r="K86" s="6">
        <v>16.522819999999999</v>
      </c>
      <c r="L86" s="6">
        <v>30.196587000000001</v>
      </c>
      <c r="M86" s="6">
        <v>0</v>
      </c>
      <c r="N86" s="6">
        <v>176.68766500000001</v>
      </c>
      <c r="O86" s="6">
        <v>45.821885999999999</v>
      </c>
      <c r="P86" s="6">
        <v>130.865779</v>
      </c>
      <c r="Q86" s="7">
        <v>26.5</v>
      </c>
      <c r="R86" s="6">
        <v>50.494295000000001</v>
      </c>
      <c r="S86" s="6">
        <v>1381.0953300000001</v>
      </c>
      <c r="T86" s="6">
        <v>1200.7195119999999</v>
      </c>
      <c r="U86" s="6">
        <v>1055.282005</v>
      </c>
      <c r="V86" s="6">
        <v>936.65443900000002</v>
      </c>
    </row>
    <row r="87" spans="1:22" x14ac:dyDescent="0.35">
      <c r="A87" s="5">
        <v>46022</v>
      </c>
      <c r="B87" s="4" t="s">
        <v>223</v>
      </c>
      <c r="C87" s="4" t="s">
        <v>224</v>
      </c>
      <c r="D87" s="4" t="s">
        <v>58</v>
      </c>
      <c r="E87" s="6">
        <v>279.72335600000002</v>
      </c>
      <c r="F87" s="6">
        <v>12.448738000000001</v>
      </c>
      <c r="G87" s="6">
        <v>267.27461899999997</v>
      </c>
      <c r="H87" s="6">
        <v>81.801222999999993</v>
      </c>
      <c r="I87" s="6">
        <v>115.781459</v>
      </c>
      <c r="J87" s="6">
        <v>4.6006809999999998</v>
      </c>
      <c r="K87" s="6">
        <v>-1.9178900000000001</v>
      </c>
      <c r="L87" s="6">
        <v>4.1999930000000001</v>
      </c>
      <c r="M87" s="6">
        <v>8.8000050000000005</v>
      </c>
      <c r="N87" s="6">
        <v>54.009146999999999</v>
      </c>
      <c r="O87" s="6">
        <v>13.279216999999999</v>
      </c>
      <c r="P87" s="6">
        <v>40.729928999999998</v>
      </c>
      <c r="Q87" s="7">
        <v>27</v>
      </c>
      <c r="R87" s="6">
        <v>15.908969000000001</v>
      </c>
      <c r="S87" s="6">
        <v>286.72697499999998</v>
      </c>
      <c r="T87" s="6">
        <v>262.93526300000002</v>
      </c>
      <c r="U87" s="6">
        <v>242.20324500000001</v>
      </c>
      <c r="V87" s="6">
        <v>224.03385499999999</v>
      </c>
    </row>
    <row r="88" spans="1:22" x14ac:dyDescent="0.35">
      <c r="A88" s="5">
        <v>46022</v>
      </c>
      <c r="B88" s="4" t="s">
        <v>225</v>
      </c>
      <c r="C88" s="4" t="s">
        <v>226</v>
      </c>
      <c r="D88" s="4" t="s">
        <v>89</v>
      </c>
      <c r="E88" s="6">
        <v>644.66406099999995</v>
      </c>
      <c r="F88" s="6">
        <v>30.924175000000002</v>
      </c>
      <c r="G88" s="6">
        <v>613.73988599999996</v>
      </c>
      <c r="H88" s="6">
        <v>27.284600999999999</v>
      </c>
      <c r="I88" s="6">
        <v>256.426489</v>
      </c>
      <c r="J88" s="6">
        <v>12.026047</v>
      </c>
      <c r="K88" s="6">
        <v>1.43462</v>
      </c>
      <c r="L88" s="6">
        <v>35.856262000000001</v>
      </c>
      <c r="M88" s="6">
        <v>62.681443999999999</v>
      </c>
      <c r="N88" s="6">
        <v>218.03042400000001</v>
      </c>
      <c r="O88" s="6">
        <v>72.997570999999994</v>
      </c>
      <c r="P88" s="6">
        <v>145.03285199999999</v>
      </c>
      <c r="Q88" s="7">
        <v>30</v>
      </c>
      <c r="R88" s="6">
        <v>74.677511999999993</v>
      </c>
      <c r="S88" s="6">
        <v>1125.643221</v>
      </c>
      <c r="T88" s="6">
        <v>996.62691099999995</v>
      </c>
      <c r="U88" s="6">
        <v>889.68706099999997</v>
      </c>
      <c r="V88" s="6">
        <v>800.282872</v>
      </c>
    </row>
    <row r="89" spans="1:22" x14ac:dyDescent="0.35">
      <c r="A89" s="5">
        <v>46022</v>
      </c>
      <c r="B89" s="4" t="s">
        <v>227</v>
      </c>
      <c r="C89" s="4" t="s">
        <v>228</v>
      </c>
      <c r="D89" s="4" t="s">
        <v>61</v>
      </c>
      <c r="E89" s="6">
        <v>14.956213</v>
      </c>
      <c r="F89" s="6">
        <v>0.86301899999999998</v>
      </c>
      <c r="G89" s="6">
        <v>14.093194</v>
      </c>
      <c r="H89" s="6">
        <v>1.8189649999999999</v>
      </c>
      <c r="I89" s="6">
        <v>6.6655030000000002</v>
      </c>
      <c r="J89" s="6">
        <v>0.44935599999999998</v>
      </c>
      <c r="K89" s="6">
        <v>-7.437E-3</v>
      </c>
      <c r="L89" s="6">
        <v>0.300346</v>
      </c>
      <c r="M89" s="6">
        <v>0</v>
      </c>
      <c r="N89" s="6">
        <v>4.8664610000000001</v>
      </c>
      <c r="O89" s="6">
        <v>1.2147559999999999</v>
      </c>
      <c r="P89" s="6">
        <v>3.6517050000000002</v>
      </c>
      <c r="Q89" s="7">
        <v>25</v>
      </c>
      <c r="R89" s="6">
        <v>0.300346</v>
      </c>
      <c r="S89" s="6">
        <v>23.447105000000001</v>
      </c>
      <c r="T89" s="6">
        <v>21.555934000000001</v>
      </c>
      <c r="U89" s="6">
        <v>19.893335</v>
      </c>
      <c r="V89" s="6">
        <v>18.425453000000001</v>
      </c>
    </row>
    <row r="90" spans="1:22" x14ac:dyDescent="0.35">
      <c r="A90" s="5">
        <v>46022</v>
      </c>
      <c r="B90" s="4" t="s">
        <v>229</v>
      </c>
      <c r="C90" s="4" t="s">
        <v>230</v>
      </c>
      <c r="D90" s="4" t="s">
        <v>61</v>
      </c>
      <c r="E90" s="6">
        <v>9.5075679999999991</v>
      </c>
      <c r="F90" s="6">
        <v>0.64773499999999995</v>
      </c>
      <c r="G90" s="6">
        <v>8.8598330000000001</v>
      </c>
      <c r="H90" s="6">
        <v>0.63131400000000004</v>
      </c>
      <c r="I90" s="6">
        <v>4.9309789999999998</v>
      </c>
      <c r="J90" s="6">
        <v>0.21765699999999999</v>
      </c>
      <c r="K90" s="6">
        <v>-1.1689999999999999E-3</v>
      </c>
      <c r="L90" s="6">
        <v>0.20244000000000001</v>
      </c>
      <c r="M90" s="6">
        <v>0</v>
      </c>
      <c r="N90" s="6">
        <v>2.8786130000000001</v>
      </c>
      <c r="O90" s="6">
        <v>0.73289199999999999</v>
      </c>
      <c r="P90" s="6">
        <v>2.145721</v>
      </c>
      <c r="Q90" s="7">
        <v>25</v>
      </c>
      <c r="R90" s="6">
        <v>0.148315</v>
      </c>
      <c r="S90" s="6">
        <v>16.162590000000002</v>
      </c>
      <c r="T90" s="6">
        <v>14.613376000000001</v>
      </c>
      <c r="U90" s="6">
        <v>13.285199</v>
      </c>
      <c r="V90" s="6">
        <v>12.139813999999999</v>
      </c>
    </row>
    <row r="91" spans="1:22" x14ac:dyDescent="0.35">
      <c r="A91" s="5">
        <v>46022</v>
      </c>
      <c r="B91" s="4" t="s">
        <v>231</v>
      </c>
      <c r="C91" s="4" t="s">
        <v>232</v>
      </c>
      <c r="D91" s="4" t="s">
        <v>102</v>
      </c>
      <c r="E91" s="6">
        <v>384.00615399999998</v>
      </c>
      <c r="F91" s="6">
        <v>59.793326</v>
      </c>
      <c r="G91" s="6">
        <v>324.212829</v>
      </c>
      <c r="H91" s="6">
        <v>0</v>
      </c>
      <c r="I91" s="6">
        <v>66.505623999999997</v>
      </c>
      <c r="J91" s="6">
        <v>6.8492610000000003</v>
      </c>
      <c r="K91" s="6">
        <v>-35.546743999999997</v>
      </c>
      <c r="L91" s="6">
        <v>39.779755999999999</v>
      </c>
      <c r="M91" s="6">
        <v>0.69</v>
      </c>
      <c r="N91" s="6">
        <v>245.93493100000001</v>
      </c>
      <c r="O91" s="6">
        <v>41.032539</v>
      </c>
      <c r="P91" s="6">
        <v>204.90239199999999</v>
      </c>
      <c r="Q91" s="7">
        <v>20.6</v>
      </c>
      <c r="R91" s="6">
        <v>51.670859999999998</v>
      </c>
      <c r="S91" s="6">
        <v>2699.89401</v>
      </c>
      <c r="T91" s="6">
        <v>2301.4608560000001</v>
      </c>
      <c r="U91" s="6">
        <v>1992.3497159999999</v>
      </c>
      <c r="V91" s="6">
        <v>1748.1009320000001</v>
      </c>
    </row>
    <row r="92" spans="1:22" x14ac:dyDescent="0.35">
      <c r="A92" s="5">
        <v>46022</v>
      </c>
      <c r="B92" s="4" t="s">
        <v>233</v>
      </c>
      <c r="C92" s="4" t="s">
        <v>234</v>
      </c>
      <c r="D92" s="4" t="s">
        <v>235</v>
      </c>
      <c r="E92" s="6">
        <v>241.01496900000001</v>
      </c>
      <c r="F92" s="6">
        <v>8.8235899999999994</v>
      </c>
      <c r="G92" s="6">
        <v>232.19137900000001</v>
      </c>
      <c r="H92" s="6">
        <v>5.6173830000000002</v>
      </c>
      <c r="I92" s="6">
        <v>121.491963</v>
      </c>
      <c r="J92" s="6">
        <v>5.5608690000000003</v>
      </c>
      <c r="K92" s="6">
        <v>-4.28193</v>
      </c>
      <c r="L92" s="6">
        <v>3.9999989999999999</v>
      </c>
      <c r="M92" s="6">
        <v>0</v>
      </c>
      <c r="N92" s="6">
        <v>99.803095999999996</v>
      </c>
      <c r="O92" s="6">
        <v>18.134924000000002</v>
      </c>
      <c r="P92" s="6">
        <v>81.668171999999998</v>
      </c>
      <c r="Q92" s="7">
        <v>25</v>
      </c>
      <c r="R92" s="6">
        <v>26.981469000000001</v>
      </c>
      <c r="S92" s="6">
        <v>276.28483799999998</v>
      </c>
      <c r="T92" s="6">
        <v>265.05345199999999</v>
      </c>
      <c r="U92" s="6">
        <v>254.55028100000001</v>
      </c>
      <c r="V92" s="6">
        <v>244.71358900000001</v>
      </c>
    </row>
    <row r="93" spans="1:22" x14ac:dyDescent="0.35">
      <c r="A93" s="5">
        <v>46022</v>
      </c>
      <c r="B93" s="4" t="s">
        <v>236</v>
      </c>
      <c r="C93" s="4" t="s">
        <v>237</v>
      </c>
      <c r="D93" s="4" t="s">
        <v>222</v>
      </c>
      <c r="E93" s="6">
        <v>1293.508754</v>
      </c>
      <c r="F93" s="6">
        <v>94.660827999999995</v>
      </c>
      <c r="G93" s="6">
        <v>1198.8479259999999</v>
      </c>
      <c r="H93" s="6">
        <v>9.5252879999999998</v>
      </c>
      <c r="I93" s="6">
        <v>618.80838800000004</v>
      </c>
      <c r="J93" s="6">
        <v>22.701712000000001</v>
      </c>
      <c r="K93" s="6">
        <v>46.963016000000003</v>
      </c>
      <c r="L93" s="6">
        <v>69.999995999999996</v>
      </c>
      <c r="M93" s="6">
        <v>80.000007999999994</v>
      </c>
      <c r="N93" s="6">
        <v>350.84951899999999</v>
      </c>
      <c r="O93" s="6">
        <v>114.377522</v>
      </c>
      <c r="P93" s="6">
        <v>236.47199699999999</v>
      </c>
      <c r="Q93" s="7">
        <v>26.5</v>
      </c>
      <c r="R93" s="6">
        <v>116.199248</v>
      </c>
      <c r="S93" s="6">
        <v>2332.9210309999999</v>
      </c>
      <c r="T93" s="6">
        <v>1860.944041</v>
      </c>
      <c r="U93" s="6">
        <v>1503.1355209999999</v>
      </c>
      <c r="V93" s="6">
        <v>1228.9384130000001</v>
      </c>
    </row>
    <row r="94" spans="1:22" x14ac:dyDescent="0.35">
      <c r="A94" s="5">
        <v>46022</v>
      </c>
      <c r="B94" s="4" t="s">
        <v>238</v>
      </c>
      <c r="C94" s="4" t="s">
        <v>239</v>
      </c>
      <c r="D94" s="4" t="s">
        <v>61</v>
      </c>
      <c r="E94" s="6">
        <v>169.82570899999999</v>
      </c>
      <c r="F94" s="6">
        <v>7.2704029999999999</v>
      </c>
      <c r="G94" s="6">
        <v>162.555306</v>
      </c>
      <c r="H94" s="6">
        <v>11.806906</v>
      </c>
      <c r="I94" s="6">
        <v>49.574764999999999</v>
      </c>
      <c r="J94" s="6">
        <v>5.8343910000000001</v>
      </c>
      <c r="K94" s="6">
        <v>-2.7224529999999998</v>
      </c>
      <c r="L94" s="6">
        <v>3.6131950000000002</v>
      </c>
      <c r="M94" s="6">
        <v>0</v>
      </c>
      <c r="N94" s="6">
        <v>94.448503000000002</v>
      </c>
      <c r="O94" s="6">
        <v>22.309615000000001</v>
      </c>
      <c r="P94" s="6">
        <v>72.138887999999994</v>
      </c>
      <c r="Q94" s="7">
        <v>25</v>
      </c>
      <c r="R94" s="6">
        <v>6.100784</v>
      </c>
      <c r="S94" s="6">
        <v>114.329325</v>
      </c>
      <c r="T94" s="6">
        <v>111.402068</v>
      </c>
      <c r="U94" s="6">
        <v>108.60912</v>
      </c>
      <c r="V94" s="6">
        <v>105.941873</v>
      </c>
    </row>
    <row r="95" spans="1:22" x14ac:dyDescent="0.35">
      <c r="A95" s="5">
        <v>46022</v>
      </c>
      <c r="B95" s="4" t="s">
        <v>240</v>
      </c>
      <c r="C95" s="4" t="s">
        <v>241</v>
      </c>
      <c r="D95" s="4" t="s">
        <v>105</v>
      </c>
      <c r="E95" s="6">
        <v>653.03340300000002</v>
      </c>
      <c r="F95" s="6">
        <v>26.642810999999998</v>
      </c>
      <c r="G95" s="6">
        <v>626.39059199999997</v>
      </c>
      <c r="H95" s="6">
        <v>8.9516369999999998</v>
      </c>
      <c r="I95" s="6">
        <v>572.75754700000005</v>
      </c>
      <c r="J95" s="6">
        <v>3.2725360000000001</v>
      </c>
      <c r="K95" s="6">
        <v>11.973136999999999</v>
      </c>
      <c r="L95" s="6">
        <v>85.913634000000002</v>
      </c>
      <c r="M95" s="6">
        <v>0</v>
      </c>
      <c r="N95" s="6">
        <v>-56.477901000000003</v>
      </c>
      <c r="O95" s="6">
        <v>0</v>
      </c>
      <c r="P95" s="6">
        <v>-56.477901000000003</v>
      </c>
      <c r="Q95" s="7">
        <v>27</v>
      </c>
      <c r="R95" s="6">
        <v>140.54105300000001</v>
      </c>
      <c r="S95" s="6">
        <v>-416.10983199999998</v>
      </c>
      <c r="T95" s="6">
        <v>-348.90926400000001</v>
      </c>
      <c r="U95" s="6">
        <v>-298.74026800000001</v>
      </c>
      <c r="V95" s="6">
        <v>-260.49148200000002</v>
      </c>
    </row>
    <row r="96" spans="1:22" x14ac:dyDescent="0.35">
      <c r="A96" s="5">
        <v>46022</v>
      </c>
      <c r="B96" s="4" t="s">
        <v>242</v>
      </c>
      <c r="C96" s="4" t="s">
        <v>243</v>
      </c>
      <c r="D96" s="4" t="s">
        <v>61</v>
      </c>
      <c r="E96" s="6">
        <v>3184.5192280000001</v>
      </c>
      <c r="F96" s="6">
        <v>273.22149200000001</v>
      </c>
      <c r="G96" s="6">
        <v>2911.297736</v>
      </c>
      <c r="H96" s="6">
        <v>48.716594000000001</v>
      </c>
      <c r="I96" s="6">
        <v>663.74517200000003</v>
      </c>
      <c r="J96" s="6">
        <v>35.000005000000002</v>
      </c>
      <c r="K96" s="6">
        <v>-93.335697999999994</v>
      </c>
      <c r="L96" s="6">
        <v>179.99999600000001</v>
      </c>
      <c r="M96" s="6">
        <v>0</v>
      </c>
      <c r="N96" s="6">
        <v>2077.171668</v>
      </c>
      <c r="O96" s="6">
        <v>480.724084</v>
      </c>
      <c r="P96" s="6">
        <v>1596.447584</v>
      </c>
      <c r="Q96" s="7">
        <v>25</v>
      </c>
      <c r="R96" s="6">
        <v>240.93962999999999</v>
      </c>
      <c r="S96" s="6">
        <v>13102.889639000001</v>
      </c>
      <c r="T96" s="6">
        <v>11623.905826</v>
      </c>
      <c r="U96" s="6">
        <v>10395.851436000001</v>
      </c>
      <c r="V96" s="6">
        <v>9367.1929650000002</v>
      </c>
    </row>
    <row r="97" spans="1:22" x14ac:dyDescent="0.35">
      <c r="A97" s="5">
        <v>46022</v>
      </c>
      <c r="B97" s="4" t="s">
        <v>244</v>
      </c>
      <c r="C97" s="4" t="s">
        <v>245</v>
      </c>
      <c r="D97" s="4" t="s">
        <v>61</v>
      </c>
      <c r="E97" s="6">
        <v>2.171144</v>
      </c>
      <c r="F97" s="6">
        <v>0.13235</v>
      </c>
      <c r="G97" s="6">
        <v>2.0387940000000002</v>
      </c>
      <c r="H97" s="6">
        <v>0.25102799999999997</v>
      </c>
      <c r="I97" s="6">
        <v>0.95319699999999996</v>
      </c>
      <c r="J97" s="6">
        <v>8.3893999999999996E-2</v>
      </c>
      <c r="K97" s="6">
        <v>-3.0899999999999998E-4</v>
      </c>
      <c r="L97" s="6">
        <v>8.1998000000000001E-2</v>
      </c>
      <c r="M97" s="6">
        <v>0</v>
      </c>
      <c r="N97" s="6">
        <v>0.668987</v>
      </c>
      <c r="O97" s="6">
        <v>0.16716900000000001</v>
      </c>
      <c r="P97" s="6">
        <v>0.50181799999999999</v>
      </c>
      <c r="Q97" s="7">
        <v>25</v>
      </c>
      <c r="R97" s="6">
        <v>8.1998000000000001E-2</v>
      </c>
      <c r="S97" s="6">
        <v>4.1348409999999998</v>
      </c>
      <c r="T97" s="6">
        <v>3.6947380000000001</v>
      </c>
      <c r="U97" s="6">
        <v>3.3243589999999998</v>
      </c>
      <c r="V97" s="6">
        <v>3.0103610000000001</v>
      </c>
    </row>
    <row r="98" spans="1:22" x14ac:dyDescent="0.35">
      <c r="A98" s="5">
        <v>46022</v>
      </c>
      <c r="B98" s="4" t="s">
        <v>246</v>
      </c>
      <c r="C98" s="4" t="s">
        <v>247</v>
      </c>
      <c r="D98" s="4" t="s">
        <v>61</v>
      </c>
      <c r="E98" s="6">
        <v>1.8571610000000001</v>
      </c>
      <c r="F98" s="6">
        <v>0.12237000000000001</v>
      </c>
      <c r="G98" s="6">
        <v>1.7347919999999999</v>
      </c>
      <c r="H98" s="6">
        <v>0.146425</v>
      </c>
      <c r="I98" s="6">
        <v>1.1960040000000001</v>
      </c>
      <c r="J98" s="6">
        <v>0.11490300000000001</v>
      </c>
      <c r="K98" s="6">
        <v>-2.1599999999999999E-4</v>
      </c>
      <c r="L98" s="6">
        <v>3.0768E-2</v>
      </c>
      <c r="M98" s="6">
        <v>0</v>
      </c>
      <c r="N98" s="6">
        <v>0.24690799999999999</v>
      </c>
      <c r="O98" s="6">
        <v>0</v>
      </c>
      <c r="P98" s="6">
        <v>0.24690799999999999</v>
      </c>
      <c r="Q98" s="7">
        <v>25</v>
      </c>
      <c r="R98" s="6">
        <v>0.162274</v>
      </c>
      <c r="S98" s="6">
        <v>0.44011600000000001</v>
      </c>
      <c r="T98" s="6">
        <v>0.42833900000000003</v>
      </c>
      <c r="U98" s="6">
        <v>0.41711399999999998</v>
      </c>
      <c r="V98" s="6">
        <v>0.40640700000000002</v>
      </c>
    </row>
    <row r="99" spans="1:22" x14ac:dyDescent="0.35">
      <c r="A99" s="5">
        <v>46022</v>
      </c>
      <c r="B99" s="4" t="s">
        <v>248</v>
      </c>
      <c r="C99" s="4" t="s">
        <v>249</v>
      </c>
      <c r="D99" s="4" t="s">
        <v>250</v>
      </c>
      <c r="E99" s="6">
        <v>399.07567</v>
      </c>
      <c r="F99" s="6">
        <v>10.23821</v>
      </c>
      <c r="G99" s="6">
        <v>388.83746000000002</v>
      </c>
      <c r="H99" s="6">
        <v>9.993017</v>
      </c>
      <c r="I99" s="6">
        <v>129.209047</v>
      </c>
      <c r="J99" s="6">
        <v>13.230009000000001</v>
      </c>
      <c r="K99" s="6">
        <v>4.3974529999999996</v>
      </c>
      <c r="L99" s="6">
        <v>44.234101000000003</v>
      </c>
      <c r="M99" s="6">
        <v>24.845735999999999</v>
      </c>
      <c r="N99" s="6">
        <v>162.92809800000001</v>
      </c>
      <c r="O99" s="6">
        <v>43.801901000000001</v>
      </c>
      <c r="P99" s="6">
        <v>119.126197</v>
      </c>
      <c r="Q99" s="7">
        <v>30</v>
      </c>
      <c r="R99" s="6">
        <v>90.399051</v>
      </c>
      <c r="S99" s="6">
        <v>1047.834323</v>
      </c>
      <c r="T99" s="6">
        <v>981.361761</v>
      </c>
      <c r="U99" s="6">
        <v>920.88014499999997</v>
      </c>
      <c r="V99" s="6">
        <v>865.72410100000002</v>
      </c>
    </row>
    <row r="100" spans="1:22" x14ac:dyDescent="0.35">
      <c r="A100" s="5">
        <v>46022</v>
      </c>
      <c r="B100" s="4" t="s">
        <v>251</v>
      </c>
      <c r="C100" s="4" t="s">
        <v>252</v>
      </c>
      <c r="D100" s="4" t="s">
        <v>213</v>
      </c>
      <c r="E100" s="6">
        <v>682.37814400000002</v>
      </c>
      <c r="F100" s="6">
        <v>112.35686099999999</v>
      </c>
      <c r="G100" s="6">
        <v>570.02128300000004</v>
      </c>
      <c r="H100" s="6">
        <v>57.259501</v>
      </c>
      <c r="I100" s="6">
        <v>91.469449999999995</v>
      </c>
      <c r="J100" s="6">
        <v>2.9572539999999998</v>
      </c>
      <c r="K100" s="6">
        <v>47.025463999999999</v>
      </c>
      <c r="L100" s="6">
        <v>0.5</v>
      </c>
      <c r="M100" s="6">
        <v>0</v>
      </c>
      <c r="N100" s="6">
        <v>370.80961600000001</v>
      </c>
      <c r="O100" s="6">
        <v>118.085269</v>
      </c>
      <c r="P100" s="6">
        <v>252.724346</v>
      </c>
      <c r="Q100" s="7">
        <v>30</v>
      </c>
      <c r="R100" s="6">
        <v>24.717514000000001</v>
      </c>
      <c r="S100" s="6">
        <v>1146.817648</v>
      </c>
      <c r="T100" s="6">
        <v>1082.403722</v>
      </c>
      <c r="U100" s="6">
        <v>1023.558781</v>
      </c>
      <c r="V100" s="6">
        <v>969.675478</v>
      </c>
    </row>
    <row r="101" spans="1:22" x14ac:dyDescent="0.35">
      <c r="A101" s="5">
        <v>46022</v>
      </c>
      <c r="B101" s="4" t="s">
        <v>253</v>
      </c>
      <c r="C101" s="4" t="s">
        <v>254</v>
      </c>
      <c r="D101" s="4" t="s">
        <v>69</v>
      </c>
      <c r="E101" s="6">
        <v>1138.1881000000001</v>
      </c>
      <c r="F101" s="6">
        <v>92.775772000000003</v>
      </c>
      <c r="G101" s="6">
        <v>1045.4123279999999</v>
      </c>
      <c r="H101" s="6">
        <v>79.463954000000001</v>
      </c>
      <c r="I101" s="6">
        <v>345.90032500000001</v>
      </c>
      <c r="J101" s="6">
        <v>73.870633999999995</v>
      </c>
      <c r="K101" s="6">
        <v>-16.928455</v>
      </c>
      <c r="L101" s="6">
        <v>94.455348999999998</v>
      </c>
      <c r="M101" s="6">
        <v>0</v>
      </c>
      <c r="N101" s="6">
        <v>468.65052100000003</v>
      </c>
      <c r="O101" s="6">
        <v>77.657602999999995</v>
      </c>
      <c r="P101" s="6">
        <v>390.99291699999998</v>
      </c>
      <c r="Q101" s="7">
        <v>20</v>
      </c>
      <c r="R101" s="6">
        <v>157.889397</v>
      </c>
      <c r="S101" s="6">
        <v>2654.4743330000001</v>
      </c>
      <c r="T101" s="6">
        <v>2357.592553</v>
      </c>
      <c r="U101" s="6">
        <v>2115.8088360000002</v>
      </c>
      <c r="V101" s="6">
        <v>1916.0442430000001</v>
      </c>
    </row>
    <row r="102" spans="1:22" x14ac:dyDescent="0.35">
      <c r="A102" s="5">
        <v>46022</v>
      </c>
      <c r="B102" s="4" t="s">
        <v>255</v>
      </c>
      <c r="C102" s="4" t="s">
        <v>256</v>
      </c>
      <c r="D102" s="4" t="s">
        <v>257</v>
      </c>
      <c r="E102" s="6">
        <v>449.76005199999997</v>
      </c>
      <c r="F102" s="6">
        <v>6.686331</v>
      </c>
      <c r="G102" s="6">
        <v>443.07372199999998</v>
      </c>
      <c r="H102" s="6">
        <v>26.875541999999999</v>
      </c>
      <c r="I102" s="6">
        <v>173.916641</v>
      </c>
      <c r="J102" s="6">
        <v>6.8879929999999998</v>
      </c>
      <c r="K102" s="6">
        <v>-9.9833060000000007</v>
      </c>
      <c r="L102" s="6">
        <v>67.927606999999995</v>
      </c>
      <c r="M102" s="6">
        <v>0</v>
      </c>
      <c r="N102" s="6">
        <v>177.44924399999999</v>
      </c>
      <c r="O102" s="6">
        <v>53.653649999999999</v>
      </c>
      <c r="P102" s="6">
        <v>123.79559399999999</v>
      </c>
      <c r="Q102" s="7">
        <v>30</v>
      </c>
      <c r="R102" s="6">
        <v>56.548043999999997</v>
      </c>
      <c r="S102" s="6">
        <v>1294.655694</v>
      </c>
      <c r="T102" s="6">
        <v>1139.8541310000001</v>
      </c>
      <c r="U102" s="6">
        <v>1012.215699</v>
      </c>
      <c r="V102" s="6">
        <v>906.021524</v>
      </c>
    </row>
    <row r="103" spans="1:22" x14ac:dyDescent="0.35">
      <c r="A103" s="5">
        <v>46022</v>
      </c>
      <c r="B103" s="4" t="s">
        <v>258</v>
      </c>
      <c r="C103" s="4" t="s">
        <v>259</v>
      </c>
      <c r="D103" s="4" t="s">
        <v>111</v>
      </c>
      <c r="E103" s="6">
        <v>101.823661</v>
      </c>
      <c r="F103" s="6">
        <v>17.871051999999999</v>
      </c>
      <c r="G103" s="6">
        <v>83.952608999999995</v>
      </c>
      <c r="H103" s="6">
        <v>1.6363570000000001</v>
      </c>
      <c r="I103" s="6">
        <v>43.592829000000002</v>
      </c>
      <c r="J103" s="6">
        <v>3.0489830000000002</v>
      </c>
      <c r="K103" s="6">
        <v>3.379823</v>
      </c>
      <c r="L103" s="6">
        <v>13</v>
      </c>
      <c r="M103" s="6">
        <v>0</v>
      </c>
      <c r="N103" s="6">
        <v>19.294616999999999</v>
      </c>
      <c r="O103" s="6">
        <v>8.1986609999999995</v>
      </c>
      <c r="P103" s="6">
        <v>11.095955999999999</v>
      </c>
      <c r="Q103" s="7">
        <v>30</v>
      </c>
      <c r="R103" s="6">
        <v>8.3455709999999996</v>
      </c>
      <c r="S103" s="6">
        <v>168.40106399999999</v>
      </c>
      <c r="T103" s="6">
        <v>150.43529100000001</v>
      </c>
      <c r="U103" s="6">
        <v>135.20096899999999</v>
      </c>
      <c r="V103" s="6">
        <v>122.198994</v>
      </c>
    </row>
    <row r="104" spans="1:22" x14ac:dyDescent="0.35">
      <c r="A104" s="5">
        <v>46022</v>
      </c>
      <c r="B104" s="4" t="s">
        <v>260</v>
      </c>
      <c r="C104" s="4" t="s">
        <v>261</v>
      </c>
      <c r="D104" s="4" t="s">
        <v>262</v>
      </c>
      <c r="E104" s="6">
        <v>104.489514</v>
      </c>
      <c r="F104" s="6">
        <v>9.9824509999999993</v>
      </c>
      <c r="G104" s="6">
        <v>94.507062000000005</v>
      </c>
      <c r="H104" s="6">
        <v>2.0897899999999998</v>
      </c>
      <c r="I104" s="6">
        <v>48.708629999999999</v>
      </c>
      <c r="J104" s="6">
        <v>0.60962499999999997</v>
      </c>
      <c r="K104" s="6">
        <v>-0.30751099999999998</v>
      </c>
      <c r="L104" s="6">
        <v>6.4018000000000005E-2</v>
      </c>
      <c r="M104" s="6">
        <v>0</v>
      </c>
      <c r="N104" s="6">
        <v>43.342511000000002</v>
      </c>
      <c r="O104" s="6">
        <v>11.335607</v>
      </c>
      <c r="P104" s="6">
        <v>32.006903999999999</v>
      </c>
      <c r="Q104" s="7">
        <v>27</v>
      </c>
      <c r="R104" s="6">
        <v>1.1152880000000001</v>
      </c>
      <c r="S104" s="6">
        <v>141.77967799999999</v>
      </c>
      <c r="T104" s="6">
        <v>132.80605700000001</v>
      </c>
      <c r="U104" s="6">
        <v>124.733767</v>
      </c>
      <c r="V104" s="6">
        <v>117.44824</v>
      </c>
    </row>
    <row r="105" spans="1:22" x14ac:dyDescent="0.35">
      <c r="A105" s="5">
        <v>46022</v>
      </c>
      <c r="B105" s="4" t="s">
        <v>263</v>
      </c>
      <c r="C105" s="4" t="s">
        <v>264</v>
      </c>
      <c r="D105" s="4" t="s">
        <v>61</v>
      </c>
      <c r="E105" s="6">
        <v>132.80541700000001</v>
      </c>
      <c r="F105" s="6">
        <v>8.5891199999999994</v>
      </c>
      <c r="G105" s="6">
        <v>124.216297</v>
      </c>
      <c r="H105" s="6">
        <v>10.842466</v>
      </c>
      <c r="I105" s="6">
        <v>36.322670000000002</v>
      </c>
      <c r="J105" s="6">
        <v>1.875902</v>
      </c>
      <c r="K105" s="6">
        <v>-4.6267000000000003E-2</v>
      </c>
      <c r="L105" s="6">
        <v>5.2090610000000002</v>
      </c>
      <c r="M105" s="6">
        <v>0</v>
      </c>
      <c r="N105" s="6">
        <v>70.012465000000006</v>
      </c>
      <c r="O105" s="6">
        <v>17.998874000000001</v>
      </c>
      <c r="P105" s="6">
        <v>52.013590999999998</v>
      </c>
      <c r="Q105" s="7">
        <v>25</v>
      </c>
      <c r="R105" s="6">
        <v>3.179764</v>
      </c>
      <c r="S105" s="6">
        <v>511.16780699999998</v>
      </c>
      <c r="T105" s="6">
        <v>445.85028799999998</v>
      </c>
      <c r="U105" s="6">
        <v>392.90730000000002</v>
      </c>
      <c r="V105" s="6">
        <v>349.52538299999998</v>
      </c>
    </row>
    <row r="106" spans="1:22" x14ac:dyDescent="0.35">
      <c r="A106" s="5">
        <v>46022</v>
      </c>
      <c r="B106" s="4" t="s">
        <v>265</v>
      </c>
      <c r="C106" s="4" t="s">
        <v>266</v>
      </c>
      <c r="D106" s="4" t="s">
        <v>79</v>
      </c>
      <c r="E106" s="6">
        <v>191.01525000000001</v>
      </c>
      <c r="F106" s="6">
        <v>1.650344</v>
      </c>
      <c r="G106" s="6">
        <v>189.36490599999999</v>
      </c>
      <c r="H106" s="6">
        <v>0.95504800000000001</v>
      </c>
      <c r="I106" s="6">
        <v>129.16313600000001</v>
      </c>
      <c r="J106" s="6">
        <v>4.1815199999999999</v>
      </c>
      <c r="K106" s="6">
        <v>2.7619479999999998</v>
      </c>
      <c r="L106" s="6">
        <v>16.721993000000001</v>
      </c>
      <c r="M106" s="6">
        <v>0</v>
      </c>
      <c r="N106" s="6">
        <v>35.58126</v>
      </c>
      <c r="O106" s="6">
        <v>9.9692340000000002</v>
      </c>
      <c r="P106" s="6">
        <v>25.612026</v>
      </c>
      <c r="Q106" s="7">
        <v>26</v>
      </c>
      <c r="R106" s="6">
        <v>16.721993000000001</v>
      </c>
      <c r="S106" s="6">
        <v>256.20883700000002</v>
      </c>
      <c r="T106" s="6">
        <v>225.055204</v>
      </c>
      <c r="U106" s="6">
        <v>199.518742</v>
      </c>
      <c r="V106" s="6">
        <v>178.38027199999999</v>
      </c>
    </row>
    <row r="107" spans="1:22" x14ac:dyDescent="0.35">
      <c r="A107" s="5">
        <v>46022</v>
      </c>
      <c r="B107" s="4" t="s">
        <v>267</v>
      </c>
      <c r="C107" s="4" t="s">
        <v>268</v>
      </c>
      <c r="D107" s="4" t="s">
        <v>89</v>
      </c>
      <c r="E107" s="6">
        <v>394.94110799999999</v>
      </c>
      <c r="F107" s="6">
        <v>42.103076999999999</v>
      </c>
      <c r="G107" s="6">
        <v>352.838032</v>
      </c>
      <c r="H107" s="6">
        <v>16.470272999999999</v>
      </c>
      <c r="I107" s="6">
        <v>208.827561</v>
      </c>
      <c r="J107" s="6">
        <v>3.375</v>
      </c>
      <c r="K107" s="6">
        <v>3.3292069999999998</v>
      </c>
      <c r="L107" s="6">
        <v>45</v>
      </c>
      <c r="M107" s="6">
        <v>22.5</v>
      </c>
      <c r="N107" s="6">
        <v>53.335991</v>
      </c>
      <c r="O107" s="6">
        <v>0</v>
      </c>
      <c r="P107" s="6">
        <v>53.335991</v>
      </c>
      <c r="Q107" s="7">
        <v>30</v>
      </c>
      <c r="R107" s="6">
        <v>46.644382999999998</v>
      </c>
      <c r="S107" s="6">
        <v>421.055677</v>
      </c>
      <c r="T107" s="6">
        <v>380.56555700000001</v>
      </c>
      <c r="U107" s="6">
        <v>345.818218</v>
      </c>
      <c r="V107" s="6">
        <v>315.826348</v>
      </c>
    </row>
    <row r="108" spans="1:22" x14ac:dyDescent="0.35">
      <c r="A108" s="5">
        <v>46022</v>
      </c>
      <c r="B108" s="4" t="s">
        <v>269</v>
      </c>
      <c r="C108" s="4" t="s">
        <v>270</v>
      </c>
      <c r="D108" s="4" t="s">
        <v>213</v>
      </c>
      <c r="E108" s="6">
        <v>2656.8439079999998</v>
      </c>
      <c r="F108" s="6">
        <v>357.02323999999999</v>
      </c>
      <c r="G108" s="6">
        <v>2299.8206679999998</v>
      </c>
      <c r="H108" s="6">
        <v>234.86972900000001</v>
      </c>
      <c r="I108" s="6">
        <v>553.77933099999996</v>
      </c>
      <c r="J108" s="6">
        <v>21.485379999999999</v>
      </c>
      <c r="K108" s="6">
        <v>35.110253999999998</v>
      </c>
      <c r="L108" s="6">
        <v>2.1820979999999999</v>
      </c>
      <c r="M108" s="6">
        <v>92.999999000000003</v>
      </c>
      <c r="N108" s="6">
        <v>1359.3938760000001</v>
      </c>
      <c r="O108" s="6">
        <v>422.31470999999999</v>
      </c>
      <c r="P108" s="6">
        <v>937.07916699999998</v>
      </c>
      <c r="Q108" s="7">
        <v>30</v>
      </c>
      <c r="R108" s="6">
        <v>81.970528999999999</v>
      </c>
      <c r="S108" s="6">
        <v>8753.4360049999996</v>
      </c>
      <c r="T108" s="6">
        <v>7777.9773729999997</v>
      </c>
      <c r="U108" s="6">
        <v>6965.8779910000003</v>
      </c>
      <c r="V108" s="6">
        <v>6283.857763</v>
      </c>
    </row>
    <row r="109" spans="1:22" x14ac:dyDescent="0.35">
      <c r="A109" s="5">
        <v>46022</v>
      </c>
      <c r="B109" s="4" t="s">
        <v>271</v>
      </c>
      <c r="C109" s="4" t="s">
        <v>272</v>
      </c>
      <c r="D109" s="4" t="s">
        <v>122</v>
      </c>
      <c r="E109" s="6">
        <v>317.27570700000001</v>
      </c>
      <c r="F109" s="6">
        <v>17.174157000000001</v>
      </c>
      <c r="G109" s="6">
        <v>300.10154899999998</v>
      </c>
      <c r="H109" s="6">
        <v>31.727602999999998</v>
      </c>
      <c r="I109" s="6">
        <v>233.972363</v>
      </c>
      <c r="J109" s="6">
        <v>1.095065</v>
      </c>
      <c r="K109" s="6">
        <v>24.763386000000001</v>
      </c>
      <c r="L109" s="6">
        <v>13.634211000000001</v>
      </c>
      <c r="M109" s="6">
        <v>0</v>
      </c>
      <c r="N109" s="6">
        <v>-5.0910789999999997</v>
      </c>
      <c r="O109" s="6">
        <v>0</v>
      </c>
      <c r="P109" s="6">
        <v>-5.0910789999999997</v>
      </c>
      <c r="Q109" s="7">
        <v>35</v>
      </c>
      <c r="R109" s="6">
        <v>34.922795999999998</v>
      </c>
      <c r="S109" s="6">
        <v>820.85556899999995</v>
      </c>
      <c r="T109" s="6">
        <v>692.74793899999997</v>
      </c>
      <c r="U109" s="6">
        <v>593.84990300000004</v>
      </c>
      <c r="V109" s="6">
        <v>516.02640899999994</v>
      </c>
    </row>
    <row r="110" spans="1:22" x14ac:dyDescent="0.35">
      <c r="A110" s="5">
        <v>46022</v>
      </c>
      <c r="B110" s="4" t="s">
        <v>273</v>
      </c>
      <c r="C110" s="4" t="s">
        <v>274</v>
      </c>
      <c r="D110" s="4" t="s">
        <v>111</v>
      </c>
      <c r="E110" s="6">
        <v>1196.7811850000001</v>
      </c>
      <c r="F110" s="6">
        <v>85.325917000000004</v>
      </c>
      <c r="G110" s="6">
        <v>1111.4552679999999</v>
      </c>
      <c r="H110" s="6">
        <v>47.891872999999997</v>
      </c>
      <c r="I110" s="6">
        <v>464.95826199999999</v>
      </c>
      <c r="J110" s="6">
        <v>11.999993999999999</v>
      </c>
      <c r="K110" s="6">
        <v>-4.688669</v>
      </c>
      <c r="L110" s="6">
        <v>50.123922</v>
      </c>
      <c r="M110" s="6">
        <v>0</v>
      </c>
      <c r="N110" s="6">
        <v>541.16988600000002</v>
      </c>
      <c r="O110" s="6">
        <v>160.03036299999999</v>
      </c>
      <c r="P110" s="6">
        <v>381.139523</v>
      </c>
      <c r="Q110" s="7">
        <v>30</v>
      </c>
      <c r="R110" s="6">
        <v>53.170594000000001</v>
      </c>
      <c r="S110" s="6">
        <v>10239.908621</v>
      </c>
      <c r="T110" s="6">
        <v>8621.8311950000007</v>
      </c>
      <c r="U110" s="6">
        <v>7338.86942</v>
      </c>
      <c r="V110" s="6">
        <v>6307.1946529999996</v>
      </c>
    </row>
    <row r="111" spans="1:22" x14ac:dyDescent="0.35">
      <c r="A111" s="5">
        <v>46022</v>
      </c>
      <c r="B111" s="4" t="s">
        <v>275</v>
      </c>
      <c r="C111" s="4" t="s">
        <v>276</v>
      </c>
      <c r="D111" s="4" t="s">
        <v>61</v>
      </c>
      <c r="E111" s="6">
        <v>39.276549000000003</v>
      </c>
      <c r="F111" s="6">
        <v>3.240993</v>
      </c>
      <c r="G111" s="6">
        <v>36.035556</v>
      </c>
      <c r="H111" s="6">
        <v>6.1219020000000004</v>
      </c>
      <c r="I111" s="6">
        <v>16.766017000000002</v>
      </c>
      <c r="J111" s="6">
        <v>1.6868719999999999</v>
      </c>
      <c r="K111" s="6">
        <v>-4.4140000000000004E-3</v>
      </c>
      <c r="L111" s="6">
        <v>1.6745099999999999</v>
      </c>
      <c r="M111" s="6">
        <v>0</v>
      </c>
      <c r="N111" s="6">
        <v>9.7906689999999994</v>
      </c>
      <c r="O111" s="6">
        <v>2.218426</v>
      </c>
      <c r="P111" s="6">
        <v>7.5722430000000003</v>
      </c>
      <c r="Q111" s="7">
        <v>25</v>
      </c>
      <c r="R111" s="6">
        <v>2.587062</v>
      </c>
      <c r="S111" s="6">
        <v>25.069697000000001</v>
      </c>
      <c r="T111" s="6">
        <v>23.993013000000001</v>
      </c>
      <c r="U111" s="6">
        <v>22.990082000000001</v>
      </c>
      <c r="V111" s="6">
        <v>22.054348999999998</v>
      </c>
    </row>
    <row r="112" spans="1:22" x14ac:dyDescent="0.35">
      <c r="A112" s="5">
        <v>46022</v>
      </c>
      <c r="B112" s="4" t="s">
        <v>277</v>
      </c>
      <c r="C112" s="4" t="s">
        <v>278</v>
      </c>
      <c r="D112" s="4" t="s">
        <v>222</v>
      </c>
      <c r="E112" s="6">
        <v>792.70473800000002</v>
      </c>
      <c r="F112" s="6">
        <v>16.771865999999999</v>
      </c>
      <c r="G112" s="6">
        <v>775.93287199999997</v>
      </c>
      <c r="H112" s="6">
        <v>39.717961000000003</v>
      </c>
      <c r="I112" s="6">
        <v>326.95470699999998</v>
      </c>
      <c r="J112" s="6">
        <v>31.987911</v>
      </c>
      <c r="K112" s="6">
        <v>1.7049000000000002E-2</v>
      </c>
      <c r="L112" s="6">
        <v>110.700001</v>
      </c>
      <c r="M112" s="6">
        <v>59.499999000000003</v>
      </c>
      <c r="N112" s="6">
        <v>207.05524399999999</v>
      </c>
      <c r="O112" s="6">
        <v>69.834593999999996</v>
      </c>
      <c r="P112" s="6">
        <v>137.22065000000001</v>
      </c>
      <c r="Q112" s="7">
        <v>26.5</v>
      </c>
      <c r="R112" s="6">
        <v>113.745525</v>
      </c>
      <c r="S112" s="6">
        <v>1445.018634</v>
      </c>
      <c r="T112" s="6">
        <v>1334.44831</v>
      </c>
      <c r="U112" s="6">
        <v>1236.2929360000001</v>
      </c>
      <c r="V112" s="6">
        <v>1148.811447</v>
      </c>
    </row>
    <row r="113" spans="1:22" x14ac:dyDescent="0.35">
      <c r="A113" s="5">
        <v>46022</v>
      </c>
      <c r="B113" s="4" t="s">
        <v>279</v>
      </c>
      <c r="C113" s="4" t="s">
        <v>280</v>
      </c>
      <c r="D113" s="4" t="s">
        <v>50</v>
      </c>
      <c r="E113" s="6">
        <v>3790.4801130000001</v>
      </c>
      <c r="F113" s="6">
        <v>295.77056299999998</v>
      </c>
      <c r="G113" s="6">
        <v>3494.70955</v>
      </c>
      <c r="H113" s="6">
        <v>46.359583999999998</v>
      </c>
      <c r="I113" s="6">
        <v>902.52017699999999</v>
      </c>
      <c r="J113" s="6">
        <v>12.581893000000001</v>
      </c>
      <c r="K113" s="6">
        <v>112.64928399999999</v>
      </c>
      <c r="L113" s="6">
        <v>62.682018999999997</v>
      </c>
      <c r="M113" s="6">
        <v>574.99999100000002</v>
      </c>
      <c r="N113" s="6">
        <v>1782.9166009999999</v>
      </c>
      <c r="O113" s="6">
        <v>615.13613399999997</v>
      </c>
      <c r="P113" s="6">
        <v>1167.780467</v>
      </c>
      <c r="Q113" s="7">
        <v>29.5</v>
      </c>
      <c r="R113" s="6">
        <v>448.040661</v>
      </c>
      <c r="S113" s="6">
        <v>9870.219728</v>
      </c>
      <c r="T113" s="6">
        <v>8861.8102010000002</v>
      </c>
      <c r="U113" s="6">
        <v>8013.7925590000004</v>
      </c>
      <c r="V113" s="6">
        <v>7294.2187160000003</v>
      </c>
    </row>
    <row r="114" spans="1:22" x14ac:dyDescent="0.35">
      <c r="A114" s="5">
        <v>46022</v>
      </c>
      <c r="B114" s="4" t="s">
        <v>281</v>
      </c>
      <c r="C114" s="4" t="s">
        <v>282</v>
      </c>
      <c r="D114" s="4" t="s">
        <v>283</v>
      </c>
      <c r="E114" s="6">
        <v>249.25282300000001</v>
      </c>
      <c r="F114" s="6">
        <v>1.7651680000000001</v>
      </c>
      <c r="G114" s="6">
        <v>247.48765399999999</v>
      </c>
      <c r="H114" s="6">
        <v>14.89326</v>
      </c>
      <c r="I114" s="6">
        <v>98.552187000000004</v>
      </c>
      <c r="J114" s="6">
        <v>15.782363999999999</v>
      </c>
      <c r="K114" s="6">
        <v>1.386096</v>
      </c>
      <c r="L114" s="6">
        <v>18.600003000000001</v>
      </c>
      <c r="M114" s="6">
        <v>0</v>
      </c>
      <c r="N114" s="6">
        <v>98.273743999999994</v>
      </c>
      <c r="O114" s="6">
        <v>17.085087999999999</v>
      </c>
      <c r="P114" s="6">
        <v>81.188655999999995</v>
      </c>
      <c r="Q114" s="7">
        <v>25</v>
      </c>
      <c r="R114" s="6">
        <v>49.919490000000003</v>
      </c>
      <c r="S114" s="6">
        <v>548.610095</v>
      </c>
      <c r="T114" s="6">
        <v>501.48405500000001</v>
      </c>
      <c r="U114" s="6">
        <v>460.42533500000002</v>
      </c>
      <c r="V114" s="6">
        <v>424.48119100000002</v>
      </c>
    </row>
    <row r="115" spans="1:22" x14ac:dyDescent="0.35">
      <c r="A115" s="5">
        <v>46022</v>
      </c>
      <c r="B115" s="4" t="s">
        <v>284</v>
      </c>
      <c r="C115" s="4" t="s">
        <v>285</v>
      </c>
      <c r="D115" s="4" t="s">
        <v>61</v>
      </c>
      <c r="E115" s="6">
        <v>4.8130439999999997</v>
      </c>
      <c r="F115" s="6">
        <v>0.35399599999999998</v>
      </c>
      <c r="G115" s="6">
        <v>4.4590480000000001</v>
      </c>
      <c r="H115" s="6">
        <v>0.49324899999999999</v>
      </c>
      <c r="I115" s="6">
        <v>2.3298199999999998</v>
      </c>
      <c r="J115" s="6">
        <v>6.9721000000000005E-2</v>
      </c>
      <c r="K115" s="6">
        <v>-5.4900000000000001E-4</v>
      </c>
      <c r="L115" s="6">
        <v>9.1955999999999996E-2</v>
      </c>
      <c r="M115" s="6">
        <v>0</v>
      </c>
      <c r="N115" s="6">
        <v>1.4748520000000001</v>
      </c>
      <c r="O115" s="6">
        <v>0.36857600000000001</v>
      </c>
      <c r="P115" s="6">
        <v>1.106276</v>
      </c>
      <c r="Q115" s="7">
        <v>25</v>
      </c>
      <c r="R115" s="6">
        <v>9.1955999999999996E-2</v>
      </c>
      <c r="S115" s="6">
        <v>9.7877080000000003</v>
      </c>
      <c r="T115" s="6">
        <v>8.6513860000000005</v>
      </c>
      <c r="U115" s="6">
        <v>7.7118159999999998</v>
      </c>
      <c r="V115" s="6">
        <v>6.9279279999999996</v>
      </c>
    </row>
    <row r="116" spans="1:22" x14ac:dyDescent="0.35">
      <c r="A116" s="5">
        <v>46022</v>
      </c>
      <c r="B116" s="4" t="s">
        <v>286</v>
      </c>
      <c r="C116" s="4" t="s">
        <v>287</v>
      </c>
      <c r="D116" s="4" t="s">
        <v>61</v>
      </c>
      <c r="E116" s="6">
        <v>2.371048</v>
      </c>
      <c r="F116" s="6">
        <v>8.9169999999999999E-2</v>
      </c>
      <c r="G116" s="6">
        <v>2.2818770000000002</v>
      </c>
      <c r="H116" s="6">
        <v>0.49079200000000001</v>
      </c>
      <c r="I116" s="6">
        <v>2.1180289999999999</v>
      </c>
      <c r="J116" s="6">
        <v>0.250309</v>
      </c>
      <c r="K116" s="6">
        <v>3.4359999999999998E-3</v>
      </c>
      <c r="L116" s="6">
        <v>8.4324999999999997E-2</v>
      </c>
      <c r="M116" s="6">
        <v>0</v>
      </c>
      <c r="N116" s="6">
        <v>-0.66501299999999997</v>
      </c>
      <c r="O116" s="6">
        <v>0</v>
      </c>
      <c r="P116" s="6">
        <v>-0.66501299999999997</v>
      </c>
      <c r="Q116" s="7">
        <v>25</v>
      </c>
      <c r="R116" s="6">
        <v>8.4324999999999997E-2</v>
      </c>
      <c r="S116" s="6">
        <v>-1.6374930000000001</v>
      </c>
      <c r="T116" s="6">
        <v>-1.5764879999999999</v>
      </c>
      <c r="U116" s="6">
        <v>-1.5194810000000001</v>
      </c>
      <c r="V116" s="6">
        <v>-1.4661139999999999</v>
      </c>
    </row>
    <row r="117" spans="1:22" x14ac:dyDescent="0.35">
      <c r="A117" s="5">
        <v>46022</v>
      </c>
      <c r="B117" s="4" t="s">
        <v>288</v>
      </c>
      <c r="C117" s="4" t="s">
        <v>289</v>
      </c>
      <c r="D117" s="4" t="s">
        <v>61</v>
      </c>
      <c r="E117" s="6">
        <v>1.562643</v>
      </c>
      <c r="F117" s="6">
        <v>8.6230000000000001E-2</v>
      </c>
      <c r="G117" s="6">
        <v>1.476413</v>
      </c>
      <c r="H117" s="6">
        <v>0.13204399999999999</v>
      </c>
      <c r="I117" s="6">
        <v>0.65241899999999997</v>
      </c>
      <c r="J117" s="6">
        <v>4.8837999999999999E-2</v>
      </c>
      <c r="K117" s="6">
        <v>-4.4000000000000002E-4</v>
      </c>
      <c r="L117" s="6">
        <v>3.8290999999999999E-2</v>
      </c>
      <c r="M117" s="6">
        <v>0</v>
      </c>
      <c r="N117" s="6">
        <v>0.60526199999999997</v>
      </c>
      <c r="O117" s="6">
        <v>0.13981099999999999</v>
      </c>
      <c r="P117" s="6">
        <v>0.46545199999999998</v>
      </c>
      <c r="Q117" s="7">
        <v>25</v>
      </c>
      <c r="R117" s="6">
        <v>8.3871000000000001E-2</v>
      </c>
      <c r="S117" s="6">
        <v>4.082897</v>
      </c>
      <c r="T117" s="6">
        <v>3.613308</v>
      </c>
      <c r="U117" s="6">
        <v>3.2243110000000001</v>
      </c>
      <c r="V117" s="6">
        <v>2.8992170000000002</v>
      </c>
    </row>
    <row r="118" spans="1:22" x14ac:dyDescent="0.35">
      <c r="A118" s="5">
        <v>46022</v>
      </c>
      <c r="B118" s="4" t="s">
        <v>290</v>
      </c>
      <c r="C118" s="4" t="s">
        <v>291</v>
      </c>
      <c r="D118" s="4" t="s">
        <v>111</v>
      </c>
      <c r="E118" s="6">
        <v>236.27872400000001</v>
      </c>
      <c r="F118" s="6">
        <v>26.852627999999999</v>
      </c>
      <c r="G118" s="6">
        <v>209.426095</v>
      </c>
      <c r="H118" s="6">
        <v>8.5108110000000003</v>
      </c>
      <c r="I118" s="6">
        <v>99.863714999999999</v>
      </c>
      <c r="J118" s="6">
        <v>3.7014710000000002</v>
      </c>
      <c r="K118" s="6">
        <v>-0.118676</v>
      </c>
      <c r="L118" s="6">
        <v>10</v>
      </c>
      <c r="M118" s="6">
        <v>0</v>
      </c>
      <c r="N118" s="6">
        <v>87.468773999999996</v>
      </c>
      <c r="O118" s="6">
        <v>25.900587999999999</v>
      </c>
      <c r="P118" s="6">
        <v>61.568185999999997</v>
      </c>
      <c r="Q118" s="7">
        <v>30</v>
      </c>
      <c r="R118" s="6">
        <v>11.014803000000001</v>
      </c>
      <c r="S118" s="6">
        <v>370.72891499999997</v>
      </c>
      <c r="T118" s="6">
        <v>342.76478700000001</v>
      </c>
      <c r="U118" s="6">
        <v>317.97348699999998</v>
      </c>
      <c r="V118" s="6">
        <v>295.91183100000001</v>
      </c>
    </row>
    <row r="119" spans="1:22" x14ac:dyDescent="0.35">
      <c r="A119" s="5">
        <v>46022</v>
      </c>
      <c r="B119" s="4" t="s">
        <v>292</v>
      </c>
      <c r="C119" s="4" t="s">
        <v>293</v>
      </c>
      <c r="D119" s="4" t="s">
        <v>61</v>
      </c>
      <c r="E119" s="6">
        <v>949.88513999999998</v>
      </c>
      <c r="F119" s="6">
        <v>26.661823999999999</v>
      </c>
      <c r="G119" s="6">
        <v>923.22331599999995</v>
      </c>
      <c r="H119" s="6">
        <v>35.829279999999997</v>
      </c>
      <c r="I119" s="6">
        <v>436.79824400000001</v>
      </c>
      <c r="J119" s="6">
        <v>38.252645999999999</v>
      </c>
      <c r="K119" s="6">
        <v>33.393650999999998</v>
      </c>
      <c r="L119" s="6">
        <v>17.694210000000002</v>
      </c>
      <c r="M119" s="6">
        <v>0</v>
      </c>
      <c r="N119" s="6">
        <v>361.25528500000001</v>
      </c>
      <c r="O119" s="6">
        <v>87.996154000000004</v>
      </c>
      <c r="P119" s="6">
        <v>273.25913100000002</v>
      </c>
      <c r="Q119" s="7">
        <v>25</v>
      </c>
      <c r="R119" s="6">
        <v>60.358531999999997</v>
      </c>
      <c r="S119" s="6">
        <v>3377.9592389999998</v>
      </c>
      <c r="T119" s="6">
        <v>2974.8196130000001</v>
      </c>
      <c r="U119" s="6">
        <v>2646.1990660000001</v>
      </c>
      <c r="V119" s="6">
        <v>2374.9598460000002</v>
      </c>
    </row>
    <row r="120" spans="1:22" x14ac:dyDescent="0.35">
      <c r="A120" s="5">
        <v>46022</v>
      </c>
      <c r="B120" s="4" t="s">
        <v>294</v>
      </c>
      <c r="C120" s="4" t="s">
        <v>295</v>
      </c>
      <c r="D120" s="4" t="s">
        <v>61</v>
      </c>
      <c r="E120" s="6">
        <v>14.977897</v>
      </c>
      <c r="F120" s="6">
        <v>0.78315299999999999</v>
      </c>
      <c r="G120" s="6">
        <v>14.194744</v>
      </c>
      <c r="H120" s="6">
        <v>1.2789060000000001</v>
      </c>
      <c r="I120" s="6">
        <v>9.734299</v>
      </c>
      <c r="J120" s="6">
        <v>1.260799</v>
      </c>
      <c r="K120" s="6">
        <v>-0.109871</v>
      </c>
      <c r="L120" s="6">
        <v>0.62056599999999995</v>
      </c>
      <c r="M120" s="6">
        <v>0</v>
      </c>
      <c r="N120" s="6">
        <v>1.4100440000000001</v>
      </c>
      <c r="O120" s="6">
        <v>0.39660000000000001</v>
      </c>
      <c r="P120" s="6">
        <v>1.013444</v>
      </c>
      <c r="Q120" s="7">
        <v>25</v>
      </c>
      <c r="R120" s="6">
        <v>0.33434000000000003</v>
      </c>
      <c r="S120" s="6">
        <v>4.8060710000000002</v>
      </c>
      <c r="T120" s="6">
        <v>4.4988570000000001</v>
      </c>
      <c r="U120" s="6">
        <v>4.2217890000000002</v>
      </c>
      <c r="V120" s="6">
        <v>3.971177</v>
      </c>
    </row>
    <row r="121" spans="1:22" x14ac:dyDescent="0.35">
      <c r="A121" s="5">
        <v>46022</v>
      </c>
      <c r="B121" s="4" t="s">
        <v>296</v>
      </c>
      <c r="C121" s="4" t="s">
        <v>297</v>
      </c>
      <c r="D121" s="4" t="s">
        <v>50</v>
      </c>
      <c r="E121" s="6">
        <v>51.257992999999999</v>
      </c>
      <c r="F121" s="6">
        <v>3.261968</v>
      </c>
      <c r="G121" s="6">
        <v>47.996023999999998</v>
      </c>
      <c r="H121" s="6">
        <v>0.27451300000000001</v>
      </c>
      <c r="I121" s="6">
        <v>33.316172000000002</v>
      </c>
      <c r="J121" s="6">
        <v>2.3497210000000002</v>
      </c>
      <c r="K121" s="6">
        <v>2.453306</v>
      </c>
      <c r="L121" s="6">
        <v>1.825512</v>
      </c>
      <c r="M121" s="6">
        <v>0</v>
      </c>
      <c r="N121" s="6">
        <v>7.7767999999999997</v>
      </c>
      <c r="O121" s="6">
        <v>0</v>
      </c>
      <c r="P121" s="6">
        <v>7.7767999999999997</v>
      </c>
      <c r="Q121" s="7">
        <v>26</v>
      </c>
      <c r="R121" s="6">
        <v>1.825512</v>
      </c>
      <c r="S121" s="6">
        <v>13.414388000000001</v>
      </c>
      <c r="T121" s="6">
        <v>13.059568000000001</v>
      </c>
      <c r="U121" s="6">
        <v>12.721311999999999</v>
      </c>
      <c r="V121" s="6">
        <v>12.398545</v>
      </c>
    </row>
    <row r="122" spans="1:22" x14ac:dyDescent="0.35">
      <c r="A122" s="5">
        <v>46022</v>
      </c>
      <c r="B122" s="4" t="s">
        <v>298</v>
      </c>
      <c r="C122" s="4" t="s">
        <v>299</v>
      </c>
      <c r="D122" s="4" t="s">
        <v>58</v>
      </c>
      <c r="E122" s="6">
        <v>4662.366</v>
      </c>
      <c r="F122" s="6">
        <v>360.22756900000002</v>
      </c>
      <c r="G122" s="6">
        <v>4302.1384310000003</v>
      </c>
      <c r="H122" s="6">
        <v>344.63827099999997</v>
      </c>
      <c r="I122" s="6">
        <v>1481.9764560000001</v>
      </c>
      <c r="J122" s="6">
        <v>69.555492999999998</v>
      </c>
      <c r="K122" s="6">
        <v>-140.43931799999999</v>
      </c>
      <c r="L122" s="6">
        <v>1333.349217</v>
      </c>
      <c r="M122" s="6">
        <v>0</v>
      </c>
      <c r="N122" s="6">
        <v>1213.0583119999999</v>
      </c>
      <c r="O122" s="6">
        <v>471.91163499999999</v>
      </c>
      <c r="P122" s="6">
        <v>741.14667699999995</v>
      </c>
      <c r="Q122" s="7">
        <v>27</v>
      </c>
      <c r="R122" s="6">
        <v>658.14734099999998</v>
      </c>
      <c r="S122" s="6">
        <v>23297.887717000001</v>
      </c>
      <c r="T122" s="6">
        <v>19539.172848999999</v>
      </c>
      <c r="U122" s="6">
        <v>16652.095331</v>
      </c>
      <c r="V122" s="6">
        <v>14393.41264</v>
      </c>
    </row>
    <row r="123" spans="1:22" x14ac:dyDescent="0.35">
      <c r="A123" s="5">
        <v>46022</v>
      </c>
      <c r="B123" s="4" t="s">
        <v>300</v>
      </c>
      <c r="C123" s="4" t="s">
        <v>301</v>
      </c>
      <c r="D123" s="4" t="s">
        <v>79</v>
      </c>
      <c r="E123" s="6">
        <v>601.03105800000003</v>
      </c>
      <c r="F123" s="6">
        <v>32.819659000000001</v>
      </c>
      <c r="G123" s="6">
        <v>568.21139900000003</v>
      </c>
      <c r="H123" s="6">
        <v>37.227366000000004</v>
      </c>
      <c r="I123" s="6">
        <v>224.054339</v>
      </c>
      <c r="J123" s="6">
        <v>9.1992580000000004</v>
      </c>
      <c r="K123" s="6">
        <v>-5.9829E-2</v>
      </c>
      <c r="L123" s="6">
        <v>25.260327</v>
      </c>
      <c r="M123" s="6">
        <v>0</v>
      </c>
      <c r="N123" s="6">
        <v>272.52993800000002</v>
      </c>
      <c r="O123" s="6">
        <v>73.566929000000002</v>
      </c>
      <c r="P123" s="6">
        <v>198.963009</v>
      </c>
      <c r="Q123" s="7">
        <v>27</v>
      </c>
      <c r="R123" s="6">
        <v>25.260327</v>
      </c>
      <c r="S123" s="6">
        <v>2234.302072</v>
      </c>
      <c r="T123" s="6">
        <v>1878.394888</v>
      </c>
      <c r="U123" s="6">
        <v>1608.4430669999999</v>
      </c>
      <c r="V123" s="6">
        <v>1399.5162600000001</v>
      </c>
    </row>
    <row r="124" spans="1:22" x14ac:dyDescent="0.35">
      <c r="A124" s="5">
        <v>46022</v>
      </c>
      <c r="B124" s="4" t="s">
        <v>302</v>
      </c>
      <c r="C124" s="4" t="s">
        <v>303</v>
      </c>
      <c r="D124" s="4" t="s">
        <v>222</v>
      </c>
      <c r="E124" s="6">
        <v>293.14657</v>
      </c>
      <c r="F124" s="6">
        <v>16.554129</v>
      </c>
      <c r="G124" s="6">
        <v>276.59244000000001</v>
      </c>
      <c r="H124" s="6">
        <v>3.6984689999999998</v>
      </c>
      <c r="I124" s="6">
        <v>204.264881</v>
      </c>
      <c r="J124" s="6">
        <v>8.4144129999999997</v>
      </c>
      <c r="K124" s="6">
        <v>0.89575199999999999</v>
      </c>
      <c r="L124" s="6">
        <v>134.999999</v>
      </c>
      <c r="M124" s="6">
        <v>74.999999000000003</v>
      </c>
      <c r="N124" s="6">
        <v>-150.681072</v>
      </c>
      <c r="O124" s="6">
        <v>0</v>
      </c>
      <c r="P124" s="6">
        <v>-150.681072</v>
      </c>
      <c r="Q124" s="7">
        <v>26.5</v>
      </c>
      <c r="R124" s="6">
        <v>155.483419</v>
      </c>
      <c r="S124" s="6">
        <v>849.88158499999997</v>
      </c>
      <c r="T124" s="6">
        <v>694.89897599999995</v>
      </c>
      <c r="U124" s="6">
        <v>571.58923500000003</v>
      </c>
      <c r="V124" s="6">
        <v>472.39169900000002</v>
      </c>
    </row>
    <row r="125" spans="1:22" x14ac:dyDescent="0.35">
      <c r="A125" s="5">
        <v>46022</v>
      </c>
      <c r="B125" s="4" t="s">
        <v>304</v>
      </c>
      <c r="C125" s="4" t="s">
        <v>305</v>
      </c>
      <c r="D125" s="4" t="s">
        <v>61</v>
      </c>
      <c r="E125" s="6">
        <v>4.765371</v>
      </c>
      <c r="F125" s="6">
        <v>0.22370899999999999</v>
      </c>
      <c r="G125" s="6">
        <v>4.5416629999999998</v>
      </c>
      <c r="H125" s="6">
        <v>0.45888200000000001</v>
      </c>
      <c r="I125" s="6">
        <v>1.9689559999999999</v>
      </c>
      <c r="J125" s="6">
        <v>0.26233800000000002</v>
      </c>
      <c r="K125" s="6">
        <v>-4.3070000000000001E-3</v>
      </c>
      <c r="L125" s="6">
        <v>7.5970999999999997E-2</v>
      </c>
      <c r="M125" s="6">
        <v>0</v>
      </c>
      <c r="N125" s="6">
        <v>1.779822</v>
      </c>
      <c r="O125" s="6">
        <v>0.40440999999999999</v>
      </c>
      <c r="P125" s="6">
        <v>1.375413</v>
      </c>
      <c r="Q125" s="7">
        <v>25</v>
      </c>
      <c r="R125" s="6">
        <v>0.233848</v>
      </c>
      <c r="S125" s="6">
        <v>7.1424729999999998</v>
      </c>
      <c r="T125" s="6">
        <v>6.6790330000000004</v>
      </c>
      <c r="U125" s="6">
        <v>6.2612389999999998</v>
      </c>
      <c r="V125" s="6">
        <v>5.8834980000000003</v>
      </c>
    </row>
    <row r="126" spans="1:22" x14ac:dyDescent="0.35">
      <c r="A126" s="5">
        <v>46022</v>
      </c>
      <c r="B126" s="4" t="s">
        <v>306</v>
      </c>
      <c r="C126" s="4" t="s">
        <v>307</v>
      </c>
      <c r="D126" s="4" t="s">
        <v>213</v>
      </c>
      <c r="E126" s="6">
        <v>740.75319999999999</v>
      </c>
      <c r="F126" s="6">
        <v>27.007241</v>
      </c>
      <c r="G126" s="6">
        <v>713.74595999999997</v>
      </c>
      <c r="H126" s="6">
        <v>18.518830000000001</v>
      </c>
      <c r="I126" s="6">
        <v>253.574645</v>
      </c>
      <c r="J126" s="6">
        <v>19.539166999999999</v>
      </c>
      <c r="K126" s="6">
        <v>-6.7758099999999999</v>
      </c>
      <c r="L126" s="6">
        <v>25.357464</v>
      </c>
      <c r="M126" s="6">
        <v>0</v>
      </c>
      <c r="N126" s="6">
        <v>403.53166399999998</v>
      </c>
      <c r="O126" s="6">
        <v>103.032843</v>
      </c>
      <c r="P126" s="6">
        <v>300.49882100000002</v>
      </c>
      <c r="Q126" s="7">
        <v>30</v>
      </c>
      <c r="R126" s="6">
        <v>78.670507999999998</v>
      </c>
      <c r="S126" s="6">
        <v>2330.4613220000001</v>
      </c>
      <c r="T126" s="6">
        <v>2105.2553939999998</v>
      </c>
      <c r="U126" s="6">
        <v>1912.2536970000001</v>
      </c>
      <c r="V126" s="6">
        <v>1745.880238</v>
      </c>
    </row>
    <row r="127" spans="1:22" x14ac:dyDescent="0.35">
      <c r="A127" s="5">
        <v>46022</v>
      </c>
      <c r="B127" s="4" t="s">
        <v>308</v>
      </c>
      <c r="C127" s="4" t="s">
        <v>309</v>
      </c>
      <c r="D127" s="4" t="s">
        <v>61</v>
      </c>
      <c r="E127" s="6">
        <v>323.45357100000001</v>
      </c>
      <c r="F127" s="6">
        <v>19.685210000000001</v>
      </c>
      <c r="G127" s="6">
        <v>303.76836100000003</v>
      </c>
      <c r="H127" s="6">
        <v>42.332411999999998</v>
      </c>
      <c r="I127" s="6">
        <v>112.23702</v>
      </c>
      <c r="J127" s="6">
        <v>7.9651610000000002</v>
      </c>
      <c r="K127" s="6">
        <v>-9.9354999999999999E-2</v>
      </c>
      <c r="L127" s="6">
        <v>15.198708</v>
      </c>
      <c r="M127" s="6">
        <v>0</v>
      </c>
      <c r="N127" s="6">
        <v>126.134415</v>
      </c>
      <c r="O127" s="6">
        <v>32.727139999999999</v>
      </c>
      <c r="P127" s="6">
        <v>93.407274999999998</v>
      </c>
      <c r="Q127" s="7">
        <v>25</v>
      </c>
      <c r="R127" s="6">
        <v>10.325208999999999</v>
      </c>
      <c r="S127" s="6">
        <v>992.16562499999998</v>
      </c>
      <c r="T127" s="6">
        <v>843.59635000000003</v>
      </c>
      <c r="U127" s="6">
        <v>729.06770800000004</v>
      </c>
      <c r="V127" s="6">
        <v>639.10963600000002</v>
      </c>
    </row>
    <row r="128" spans="1:22" x14ac:dyDescent="0.35">
      <c r="A128" s="5">
        <v>46022</v>
      </c>
      <c r="B128" s="4" t="s">
        <v>310</v>
      </c>
      <c r="C128" s="4" t="s">
        <v>311</v>
      </c>
      <c r="D128" s="4" t="s">
        <v>58</v>
      </c>
      <c r="E128" s="6">
        <v>865.40807500000005</v>
      </c>
      <c r="F128" s="6">
        <v>21.696390999999998</v>
      </c>
      <c r="G128" s="6">
        <v>843.71168399999999</v>
      </c>
      <c r="H128" s="6">
        <v>6.4611590000000003</v>
      </c>
      <c r="I128" s="6">
        <v>484.90038299999998</v>
      </c>
      <c r="J128" s="6">
        <v>21.994747</v>
      </c>
      <c r="K128" s="6">
        <v>-0.62063500000000005</v>
      </c>
      <c r="L128" s="6">
        <v>48.699323999999997</v>
      </c>
      <c r="M128" s="6">
        <v>0</v>
      </c>
      <c r="N128" s="6">
        <v>282.27670499999999</v>
      </c>
      <c r="O128" s="6">
        <v>70.607992999999993</v>
      </c>
      <c r="P128" s="6">
        <v>211.668712</v>
      </c>
      <c r="Q128" s="7">
        <v>27</v>
      </c>
      <c r="R128" s="6">
        <v>68.844308999999996</v>
      </c>
      <c r="S128" s="6">
        <v>1807.0361820000001</v>
      </c>
      <c r="T128" s="6">
        <v>1605.81267</v>
      </c>
      <c r="U128" s="6">
        <v>1437.9739939999999</v>
      </c>
      <c r="V128" s="6">
        <v>1296.8371609999999</v>
      </c>
    </row>
    <row r="129" spans="1:22" x14ac:dyDescent="0.35">
      <c r="A129" s="5">
        <v>46022</v>
      </c>
      <c r="B129" s="4" t="s">
        <v>312</v>
      </c>
      <c r="C129" s="4" t="s">
        <v>313</v>
      </c>
      <c r="D129" s="4" t="s">
        <v>61</v>
      </c>
      <c r="E129" s="6">
        <v>2.4358309999999999</v>
      </c>
      <c r="F129" s="6">
        <v>0.159913</v>
      </c>
      <c r="G129" s="6">
        <v>2.2759170000000002</v>
      </c>
      <c r="H129" s="6">
        <v>0.24068899999999999</v>
      </c>
      <c r="I129" s="6">
        <v>1.7673650000000001</v>
      </c>
      <c r="J129" s="6">
        <v>0.10965800000000001</v>
      </c>
      <c r="K129" s="6">
        <v>-3.6299999999999999E-4</v>
      </c>
      <c r="L129" s="6">
        <v>0.130055</v>
      </c>
      <c r="M129" s="6">
        <v>0</v>
      </c>
      <c r="N129" s="6">
        <v>2.8513E-2</v>
      </c>
      <c r="O129" s="6">
        <v>0</v>
      </c>
      <c r="P129" s="6">
        <v>2.8513E-2</v>
      </c>
      <c r="Q129" s="7">
        <v>25</v>
      </c>
      <c r="R129" s="6">
        <v>0.17683499999999999</v>
      </c>
      <c r="S129" s="6">
        <v>0.130472</v>
      </c>
      <c r="T129" s="6">
        <v>0.122932</v>
      </c>
      <c r="U129" s="6">
        <v>0.116062</v>
      </c>
      <c r="V129" s="6">
        <v>0.10978599999999999</v>
      </c>
    </row>
    <row r="130" spans="1:22" x14ac:dyDescent="0.35">
      <c r="A130" s="5">
        <v>46022</v>
      </c>
      <c r="B130" s="4" t="s">
        <v>314</v>
      </c>
      <c r="C130" s="4" t="s">
        <v>315</v>
      </c>
      <c r="D130" s="4" t="s">
        <v>58</v>
      </c>
      <c r="E130" s="6">
        <v>1291.5633250000001</v>
      </c>
      <c r="F130" s="6">
        <v>113.51645000000001</v>
      </c>
      <c r="G130" s="6">
        <v>1178.046875</v>
      </c>
      <c r="H130" s="6">
        <v>14.960734</v>
      </c>
      <c r="I130" s="6">
        <v>835.274451</v>
      </c>
      <c r="J130" s="6">
        <v>29.583148999999999</v>
      </c>
      <c r="K130" s="6">
        <v>-14.993316</v>
      </c>
      <c r="L130" s="6">
        <v>212.93364500000001</v>
      </c>
      <c r="M130" s="6">
        <v>0</v>
      </c>
      <c r="N130" s="6">
        <v>100.288213</v>
      </c>
      <c r="O130" s="6">
        <v>8.7033009999999997</v>
      </c>
      <c r="P130" s="6">
        <v>91.584912000000003</v>
      </c>
      <c r="Q130" s="7">
        <v>27</v>
      </c>
      <c r="R130" s="6">
        <v>265.99409200000002</v>
      </c>
      <c r="S130" s="6">
        <v>1391.9135409999999</v>
      </c>
      <c r="T130" s="6">
        <v>1152.633202</v>
      </c>
      <c r="U130" s="6">
        <v>970.30431399999998</v>
      </c>
      <c r="V130" s="6">
        <v>828.88844400000005</v>
      </c>
    </row>
    <row r="131" spans="1:22" x14ac:dyDescent="0.35">
      <c r="A131" s="5">
        <v>46022</v>
      </c>
      <c r="B131" s="4" t="s">
        <v>316</v>
      </c>
      <c r="C131" s="4" t="s">
        <v>317</v>
      </c>
      <c r="D131" s="4" t="s">
        <v>58</v>
      </c>
      <c r="E131" s="6">
        <v>196.299598</v>
      </c>
      <c r="F131" s="6">
        <v>2.2433230000000002</v>
      </c>
      <c r="G131" s="6">
        <v>194.056275</v>
      </c>
      <c r="H131" s="6">
        <v>0.219969</v>
      </c>
      <c r="I131" s="6">
        <v>109.40019700000001</v>
      </c>
      <c r="J131" s="6">
        <v>1.4999990000000001</v>
      </c>
      <c r="K131" s="6">
        <v>-8.7371560000000006</v>
      </c>
      <c r="L131" s="6">
        <v>19.999994999999998</v>
      </c>
      <c r="M131" s="6">
        <v>0</v>
      </c>
      <c r="N131" s="6">
        <v>71.673271</v>
      </c>
      <c r="O131" s="6">
        <v>16.834311</v>
      </c>
      <c r="P131" s="6">
        <v>54.83896</v>
      </c>
      <c r="Q131" s="7">
        <v>27</v>
      </c>
      <c r="R131" s="6">
        <v>20.586811000000001</v>
      </c>
      <c r="S131" s="6">
        <v>660.63511200000005</v>
      </c>
      <c r="T131" s="6">
        <v>590.22241799999995</v>
      </c>
      <c r="U131" s="6">
        <v>530.58569799999998</v>
      </c>
      <c r="V131" s="6">
        <v>479.74547200000001</v>
      </c>
    </row>
    <row r="132" spans="1:22" x14ac:dyDescent="0.35">
      <c r="A132" s="5">
        <v>46022</v>
      </c>
      <c r="B132" s="4" t="s">
        <v>318</v>
      </c>
      <c r="C132" s="4" t="s">
        <v>319</v>
      </c>
      <c r="D132" s="4" t="s">
        <v>122</v>
      </c>
      <c r="E132" s="6">
        <v>78.543914000000001</v>
      </c>
      <c r="F132" s="6">
        <v>4.7802129999999998</v>
      </c>
      <c r="G132" s="6">
        <v>73.763700999999998</v>
      </c>
      <c r="H132" s="6">
        <v>7.8543599999999998</v>
      </c>
      <c r="I132" s="6">
        <v>46.276440999999998</v>
      </c>
      <c r="J132" s="6">
        <v>3.2</v>
      </c>
      <c r="K132" s="6">
        <v>-9.5549999999999993E-3</v>
      </c>
      <c r="L132" s="6">
        <v>4.5999999999999996</v>
      </c>
      <c r="M132" s="6">
        <v>11.41</v>
      </c>
      <c r="N132" s="6">
        <v>0.43245400000000001</v>
      </c>
      <c r="O132" s="6">
        <v>0</v>
      </c>
      <c r="P132" s="6">
        <v>0.43245400000000001</v>
      </c>
      <c r="Q132" s="7">
        <v>35</v>
      </c>
      <c r="R132" s="6">
        <v>28.685772</v>
      </c>
      <c r="S132" s="6">
        <v>-3.866072</v>
      </c>
      <c r="T132" s="6">
        <v>-3.782743</v>
      </c>
      <c r="U132" s="6">
        <v>-3.6974900000000002</v>
      </c>
      <c r="V132" s="6">
        <v>-3.611145</v>
      </c>
    </row>
    <row r="133" spans="1:22" x14ac:dyDescent="0.35">
      <c r="A133" s="5">
        <v>46022</v>
      </c>
      <c r="B133" s="4" t="s">
        <v>320</v>
      </c>
      <c r="C133" s="4" t="s">
        <v>321</v>
      </c>
      <c r="D133" s="4" t="s">
        <v>61</v>
      </c>
      <c r="E133" s="6">
        <v>12.815600999999999</v>
      </c>
      <c r="F133" s="6">
        <v>0.20899400000000001</v>
      </c>
      <c r="G133" s="6">
        <v>12.606607</v>
      </c>
      <c r="H133" s="6">
        <v>0</v>
      </c>
      <c r="I133" s="6">
        <v>5.1608400000000003</v>
      </c>
      <c r="J133" s="6">
        <v>0.48263499999999998</v>
      </c>
      <c r="K133" s="6">
        <v>7.5266E-2</v>
      </c>
      <c r="L133" s="6">
        <v>0.48263499999999998</v>
      </c>
      <c r="M133" s="6">
        <v>0</v>
      </c>
      <c r="N133" s="6">
        <v>6.4052309999999997</v>
      </c>
      <c r="O133" s="6">
        <v>1.6201239999999999</v>
      </c>
      <c r="P133" s="6">
        <v>4.785107</v>
      </c>
      <c r="Q133" s="7">
        <v>25</v>
      </c>
      <c r="R133" s="6">
        <v>0.48263499999999998</v>
      </c>
      <c r="S133" s="6">
        <v>19.223351999999998</v>
      </c>
      <c r="T133" s="6">
        <v>18.250197</v>
      </c>
      <c r="U133" s="6">
        <v>17.353750999999999</v>
      </c>
      <c r="V133" s="6">
        <v>16.526313999999999</v>
      </c>
    </row>
    <row r="134" spans="1:22" x14ac:dyDescent="0.35">
      <c r="A134" s="5">
        <v>46022</v>
      </c>
      <c r="B134" s="4" t="s">
        <v>322</v>
      </c>
      <c r="C134" s="4" t="s">
        <v>323</v>
      </c>
      <c r="D134" s="4" t="s">
        <v>222</v>
      </c>
      <c r="E134" s="6">
        <v>277.34097500000001</v>
      </c>
      <c r="F134" s="6">
        <v>95.846587</v>
      </c>
      <c r="G134" s="6">
        <v>181.49438699999999</v>
      </c>
      <c r="H134" s="6">
        <v>0</v>
      </c>
      <c r="I134" s="6">
        <v>178.10409899999999</v>
      </c>
      <c r="J134" s="6">
        <v>1.518248</v>
      </c>
      <c r="K134" s="6">
        <v>3.6203829999999999</v>
      </c>
      <c r="L134" s="6">
        <v>19.442060000000001</v>
      </c>
      <c r="M134" s="6">
        <v>0</v>
      </c>
      <c r="N134" s="6">
        <v>-21.190403</v>
      </c>
      <c r="O134" s="6">
        <v>0</v>
      </c>
      <c r="P134" s="6">
        <v>-21.190403</v>
      </c>
      <c r="Q134" s="7">
        <v>26.5</v>
      </c>
      <c r="R134" s="6">
        <v>34.284973999999998</v>
      </c>
      <c r="S134" s="6">
        <v>-50.294263000000001</v>
      </c>
      <c r="T134" s="6">
        <v>-49.315286</v>
      </c>
      <c r="U134" s="6">
        <v>-48.195498999999998</v>
      </c>
      <c r="V134" s="6">
        <v>-46.988275999999999</v>
      </c>
    </row>
    <row r="135" spans="1:22" x14ac:dyDescent="0.35">
      <c r="A135" s="5">
        <v>46022</v>
      </c>
      <c r="B135" s="4" t="s">
        <v>324</v>
      </c>
      <c r="C135" s="4" t="s">
        <v>325</v>
      </c>
      <c r="D135" s="4" t="s">
        <v>111</v>
      </c>
      <c r="E135" s="6">
        <v>7.6390169999999999</v>
      </c>
      <c r="F135" s="6">
        <v>0.18608</v>
      </c>
      <c r="G135" s="6">
        <v>7.4529370000000004</v>
      </c>
      <c r="H135" s="6">
        <v>0.46988400000000002</v>
      </c>
      <c r="I135" s="6">
        <v>20.724086</v>
      </c>
      <c r="J135" s="6">
        <v>1.8258840000000001</v>
      </c>
      <c r="K135" s="6">
        <v>-0.46291500000000002</v>
      </c>
      <c r="L135" s="6">
        <v>0.76777399999999996</v>
      </c>
      <c r="M135" s="6">
        <v>0</v>
      </c>
      <c r="N135" s="6">
        <v>-15.871777</v>
      </c>
      <c r="O135" s="6">
        <v>0</v>
      </c>
      <c r="P135" s="6">
        <v>-15.871777</v>
      </c>
      <c r="Q135" s="7">
        <v>30</v>
      </c>
      <c r="R135" s="6">
        <v>1.2402059999999999</v>
      </c>
      <c r="S135" s="6">
        <v>-28.700455000000002</v>
      </c>
      <c r="T135" s="6">
        <v>-27.928633000000001</v>
      </c>
      <c r="U135" s="6">
        <v>-27.193145000000001</v>
      </c>
      <c r="V135" s="6">
        <v>-26.491626</v>
      </c>
    </row>
    <row r="136" spans="1:22" x14ac:dyDescent="0.35">
      <c r="A136" s="5">
        <v>46022</v>
      </c>
      <c r="B136" s="4" t="s">
        <v>326</v>
      </c>
      <c r="C136" s="4" t="s">
        <v>327</v>
      </c>
      <c r="D136" s="4" t="s">
        <v>213</v>
      </c>
      <c r="E136" s="6">
        <v>1977.91065</v>
      </c>
      <c r="F136" s="6">
        <v>147.638116</v>
      </c>
      <c r="G136" s="6">
        <v>1830.272534</v>
      </c>
      <c r="H136" s="6">
        <v>135.92676700000001</v>
      </c>
      <c r="I136" s="6">
        <v>965.856674</v>
      </c>
      <c r="J136" s="6">
        <v>14.332637</v>
      </c>
      <c r="K136" s="6">
        <v>-33.808497000000003</v>
      </c>
      <c r="L136" s="6">
        <v>327.86825599999997</v>
      </c>
      <c r="M136" s="6">
        <v>0</v>
      </c>
      <c r="N136" s="6">
        <v>420.096698</v>
      </c>
      <c r="O136" s="6">
        <v>59.199863000000001</v>
      </c>
      <c r="P136" s="6">
        <v>360.89683500000001</v>
      </c>
      <c r="Q136" s="7">
        <v>35</v>
      </c>
      <c r="R136" s="6">
        <v>545.01399000000004</v>
      </c>
      <c r="S136" s="6">
        <v>6201.6439540000001</v>
      </c>
      <c r="T136" s="6">
        <v>5413.8514020000002</v>
      </c>
      <c r="U136" s="6">
        <v>4766.6258129999997</v>
      </c>
      <c r="V136" s="6">
        <v>4230.095577</v>
      </c>
    </row>
    <row r="137" spans="1:22" x14ac:dyDescent="0.35">
      <c r="A137" s="5">
        <v>46022</v>
      </c>
      <c r="B137" s="4" t="s">
        <v>328</v>
      </c>
      <c r="C137" s="4" t="s">
        <v>329</v>
      </c>
      <c r="D137" s="4" t="s">
        <v>89</v>
      </c>
      <c r="E137" s="6">
        <v>112.797556</v>
      </c>
      <c r="F137" s="6">
        <v>11.897874</v>
      </c>
      <c r="G137" s="6">
        <v>100.899682</v>
      </c>
      <c r="H137" s="6">
        <v>5.5340119999999997</v>
      </c>
      <c r="I137" s="6">
        <v>94.957509000000002</v>
      </c>
      <c r="J137" s="6">
        <v>1.3735219999999999</v>
      </c>
      <c r="K137" s="6">
        <v>4.1257619999999999</v>
      </c>
      <c r="L137" s="6">
        <v>2.551078</v>
      </c>
      <c r="M137" s="6">
        <v>0</v>
      </c>
      <c r="N137" s="6">
        <v>-7.6421999999999999</v>
      </c>
      <c r="O137" s="6">
        <v>0</v>
      </c>
      <c r="P137" s="6">
        <v>-7.6421999999999999</v>
      </c>
      <c r="Q137" s="7">
        <v>30</v>
      </c>
      <c r="R137" s="6">
        <v>15.987418999999999</v>
      </c>
      <c r="S137" s="6">
        <v>53.793291000000004</v>
      </c>
      <c r="T137" s="6">
        <v>51.277859999999997</v>
      </c>
      <c r="U137" s="6">
        <v>48.921720999999998</v>
      </c>
      <c r="V137" s="6">
        <v>46.712110000000003</v>
      </c>
    </row>
    <row r="138" spans="1:22" x14ac:dyDescent="0.35">
      <c r="A138" s="5">
        <v>46022</v>
      </c>
      <c r="B138" s="4" t="s">
        <v>330</v>
      </c>
      <c r="C138" s="4" t="s">
        <v>331</v>
      </c>
      <c r="D138" s="4" t="s">
        <v>122</v>
      </c>
      <c r="E138" s="6">
        <v>231.48537099999999</v>
      </c>
      <c r="F138" s="6">
        <v>0.625</v>
      </c>
      <c r="G138" s="6">
        <v>230.86037099999999</v>
      </c>
      <c r="H138" s="6">
        <v>28.923576000000001</v>
      </c>
      <c r="I138" s="6">
        <v>60.563018</v>
      </c>
      <c r="J138" s="6">
        <v>3.3575029999999999</v>
      </c>
      <c r="K138" s="6">
        <v>-2.9590329999999998</v>
      </c>
      <c r="L138" s="6">
        <v>11.587156</v>
      </c>
      <c r="M138" s="6">
        <v>0</v>
      </c>
      <c r="N138" s="6">
        <v>129.38815199999999</v>
      </c>
      <c r="O138" s="6">
        <v>33.141717</v>
      </c>
      <c r="P138" s="6">
        <v>96.246435000000005</v>
      </c>
      <c r="Q138" s="7">
        <v>30</v>
      </c>
      <c r="R138" s="6">
        <v>27.543886000000001</v>
      </c>
      <c r="S138" s="6">
        <v>-4300.6169870000003</v>
      </c>
      <c r="T138" s="6">
        <v>-3682.3965509999998</v>
      </c>
      <c r="U138" s="6">
        <v>-3163.3162259999999</v>
      </c>
      <c r="V138" s="6">
        <v>-2725.4973319999999</v>
      </c>
    </row>
    <row r="139" spans="1:22" x14ac:dyDescent="0.35">
      <c r="A139" s="5">
        <v>46022</v>
      </c>
      <c r="B139" s="4" t="s">
        <v>332</v>
      </c>
      <c r="C139" s="4" t="s">
        <v>333</v>
      </c>
      <c r="D139" s="4" t="s">
        <v>69</v>
      </c>
      <c r="E139" s="6">
        <v>433.38461799999999</v>
      </c>
      <c r="F139" s="6">
        <v>65.500908999999993</v>
      </c>
      <c r="G139" s="6">
        <v>367.88370900000001</v>
      </c>
      <c r="H139" s="6">
        <v>0</v>
      </c>
      <c r="I139" s="6">
        <v>41.379744000000002</v>
      </c>
      <c r="J139" s="6">
        <v>4.6871520000000002</v>
      </c>
      <c r="K139" s="6">
        <v>-0.16450300000000001</v>
      </c>
      <c r="L139" s="6">
        <v>27.807423</v>
      </c>
      <c r="M139" s="6">
        <v>0</v>
      </c>
      <c r="N139" s="6">
        <v>294.17389200000002</v>
      </c>
      <c r="O139" s="6">
        <v>56.751593999999997</v>
      </c>
      <c r="P139" s="6">
        <v>237.42229800000001</v>
      </c>
      <c r="Q139" s="7">
        <v>20</v>
      </c>
      <c r="R139" s="6">
        <v>38.058844000000001</v>
      </c>
      <c r="S139" s="6">
        <v>1991.333566</v>
      </c>
      <c r="T139" s="6">
        <v>1781.0892899999999</v>
      </c>
      <c r="U139" s="6">
        <v>1603.3191979999999</v>
      </c>
      <c r="V139" s="6">
        <v>1452.0234029999999</v>
      </c>
    </row>
    <row r="140" spans="1:22" x14ac:dyDescent="0.35">
      <c r="A140" s="5">
        <v>46022</v>
      </c>
      <c r="B140" s="4" t="s">
        <v>334</v>
      </c>
      <c r="C140" s="4" t="s">
        <v>335</v>
      </c>
      <c r="D140" s="4" t="s">
        <v>213</v>
      </c>
      <c r="E140" s="6">
        <v>611.12139100000002</v>
      </c>
      <c r="F140" s="6">
        <v>10.380623999999999</v>
      </c>
      <c r="G140" s="6">
        <v>600.74076700000001</v>
      </c>
      <c r="H140" s="6">
        <v>28.722653000000001</v>
      </c>
      <c r="I140" s="6">
        <v>342.971045</v>
      </c>
      <c r="J140" s="6">
        <v>2.394698</v>
      </c>
      <c r="K140" s="6">
        <v>5.6879</v>
      </c>
      <c r="L140" s="6">
        <v>252.44806199999999</v>
      </c>
      <c r="M140" s="6">
        <v>0</v>
      </c>
      <c r="N140" s="6">
        <v>-31.48359</v>
      </c>
      <c r="O140" s="6">
        <v>0</v>
      </c>
      <c r="P140" s="6">
        <v>-31.48359</v>
      </c>
      <c r="Q140" s="7">
        <v>30</v>
      </c>
      <c r="R140" s="6">
        <v>310.11975699999999</v>
      </c>
      <c r="S140" s="6">
        <v>-653.49787400000002</v>
      </c>
      <c r="T140" s="6">
        <v>-561.89925100000005</v>
      </c>
      <c r="U140" s="6">
        <v>-485.18586399999998</v>
      </c>
      <c r="V140" s="6">
        <v>-420.67476199999999</v>
      </c>
    </row>
    <row r="141" spans="1:22" x14ac:dyDescent="0.35">
      <c r="A141" s="5">
        <v>46022</v>
      </c>
      <c r="B141" s="4" t="s">
        <v>336</v>
      </c>
      <c r="C141" s="4" t="s">
        <v>337</v>
      </c>
      <c r="D141" s="4" t="s">
        <v>213</v>
      </c>
      <c r="E141" s="6">
        <v>242.97908699999999</v>
      </c>
      <c r="F141" s="6">
        <v>6.4254759999999997</v>
      </c>
      <c r="G141" s="6">
        <v>236.55361099999999</v>
      </c>
      <c r="H141" s="6">
        <v>13.189397</v>
      </c>
      <c r="I141" s="6">
        <v>172.42997500000001</v>
      </c>
      <c r="J141" s="6">
        <v>9.9999990000000007</v>
      </c>
      <c r="K141" s="6">
        <v>-2.9322999999999998E-2</v>
      </c>
      <c r="L141" s="6">
        <v>20</v>
      </c>
      <c r="M141" s="6">
        <v>0</v>
      </c>
      <c r="N141" s="6">
        <v>20.963563000000001</v>
      </c>
      <c r="O141" s="6">
        <v>0</v>
      </c>
      <c r="P141" s="6">
        <v>20.963563000000001</v>
      </c>
      <c r="Q141" s="7">
        <v>30</v>
      </c>
      <c r="R141" s="6">
        <v>49.046545000000002</v>
      </c>
      <c r="S141" s="6">
        <v>96.803623000000002</v>
      </c>
      <c r="T141" s="6">
        <v>91.200729999999993</v>
      </c>
      <c r="U141" s="6">
        <v>86.095369000000005</v>
      </c>
      <c r="V141" s="6">
        <v>81.432021000000006</v>
      </c>
    </row>
    <row r="142" spans="1:22" x14ac:dyDescent="0.35">
      <c r="A142" s="5">
        <v>46022</v>
      </c>
      <c r="B142" s="4" t="s">
        <v>338</v>
      </c>
      <c r="C142" s="4" t="s">
        <v>339</v>
      </c>
      <c r="D142" s="4" t="s">
        <v>213</v>
      </c>
      <c r="E142" s="6">
        <v>992.50215700000001</v>
      </c>
      <c r="F142" s="6">
        <v>71.365133999999998</v>
      </c>
      <c r="G142" s="6">
        <v>921.137024</v>
      </c>
      <c r="H142" s="6">
        <v>34.737551000000003</v>
      </c>
      <c r="I142" s="6">
        <v>314.191847</v>
      </c>
      <c r="J142" s="6">
        <v>4.8878120000000003</v>
      </c>
      <c r="K142" s="6">
        <v>19.409519</v>
      </c>
      <c r="L142" s="6">
        <v>11.916566</v>
      </c>
      <c r="M142" s="6">
        <v>0</v>
      </c>
      <c r="N142" s="6">
        <v>535.99372900000003</v>
      </c>
      <c r="O142" s="6">
        <v>180.05686</v>
      </c>
      <c r="P142" s="6">
        <v>355.936868</v>
      </c>
      <c r="Q142" s="7">
        <v>35</v>
      </c>
      <c r="R142" s="6">
        <v>52.871640999999997</v>
      </c>
      <c r="S142" s="6">
        <v>1928.3800309999999</v>
      </c>
      <c r="T142" s="6">
        <v>1777.277006</v>
      </c>
      <c r="U142" s="6">
        <v>1644.5049730000001</v>
      </c>
      <c r="V142" s="6">
        <v>1527.3099589999999</v>
      </c>
    </row>
    <row r="143" spans="1:22" x14ac:dyDescent="0.35">
      <c r="A143" s="5">
        <v>46022</v>
      </c>
      <c r="B143" s="4" t="s">
        <v>340</v>
      </c>
      <c r="C143" s="4" t="s">
        <v>341</v>
      </c>
      <c r="D143" s="4" t="s">
        <v>58</v>
      </c>
      <c r="E143" s="6">
        <v>3389.2238630000002</v>
      </c>
      <c r="F143" s="6">
        <v>234.46041399999999</v>
      </c>
      <c r="G143" s="6">
        <v>3154.763449</v>
      </c>
      <c r="H143" s="6">
        <v>96.836737999999997</v>
      </c>
      <c r="I143" s="6">
        <v>1349.54045</v>
      </c>
      <c r="J143" s="6">
        <v>190.79315</v>
      </c>
      <c r="K143" s="6">
        <v>-7.1072709999999999</v>
      </c>
      <c r="L143" s="6">
        <v>169.00819999999999</v>
      </c>
      <c r="M143" s="6">
        <v>0</v>
      </c>
      <c r="N143" s="6">
        <v>1355.6921830000001</v>
      </c>
      <c r="O143" s="6">
        <v>264.12869000000001</v>
      </c>
      <c r="P143" s="6">
        <v>1091.5634930000001</v>
      </c>
      <c r="Q143" s="7">
        <v>25</v>
      </c>
      <c r="R143" s="6">
        <v>461.07835</v>
      </c>
      <c r="S143" s="6">
        <v>15240.095590000001</v>
      </c>
      <c r="T143" s="6">
        <v>12833.416279999999</v>
      </c>
      <c r="U143" s="6">
        <v>10994.460582</v>
      </c>
      <c r="V143" s="6">
        <v>9562.0131409999995</v>
      </c>
    </row>
    <row r="144" spans="1:22" x14ac:dyDescent="0.35">
      <c r="A144" s="5">
        <v>46022</v>
      </c>
      <c r="B144" s="4" t="s">
        <v>342</v>
      </c>
      <c r="C144" s="4" t="s">
        <v>343</v>
      </c>
      <c r="D144" s="4" t="s">
        <v>344</v>
      </c>
      <c r="E144" s="6">
        <v>88.121030000000005</v>
      </c>
      <c r="F144" s="6">
        <v>2.0214799999999999</v>
      </c>
      <c r="G144" s="6">
        <v>86.099549999999994</v>
      </c>
      <c r="H144" s="6">
        <v>2.5819999999999999</v>
      </c>
      <c r="I144" s="6">
        <v>76.660092000000006</v>
      </c>
      <c r="J144" s="6">
        <v>2.0859999999999999</v>
      </c>
      <c r="K144" s="6">
        <v>-3.3317009999999998</v>
      </c>
      <c r="L144" s="6">
        <v>4.3739999999999997</v>
      </c>
      <c r="M144" s="6">
        <v>8.6620000000000008</v>
      </c>
      <c r="N144" s="6">
        <v>-4.9328409999999998</v>
      </c>
      <c r="O144" s="6">
        <v>0</v>
      </c>
      <c r="P144" s="6">
        <v>-4.9328409999999998</v>
      </c>
      <c r="Q144" s="7">
        <v>25</v>
      </c>
      <c r="R144" s="6">
        <v>14.773918</v>
      </c>
      <c r="S144" s="6">
        <v>10.995430000000001</v>
      </c>
      <c r="T144" s="6">
        <v>10.517696000000001</v>
      </c>
      <c r="U144" s="6">
        <v>10.066769000000001</v>
      </c>
      <c r="V144" s="6">
        <v>9.6407349999999994</v>
      </c>
    </row>
    <row r="145" spans="1:22" x14ac:dyDescent="0.35">
      <c r="A145" s="5">
        <v>46022</v>
      </c>
      <c r="B145" s="4" t="s">
        <v>345</v>
      </c>
      <c r="C145" s="4" t="s">
        <v>346</v>
      </c>
      <c r="D145" s="4" t="s">
        <v>105</v>
      </c>
      <c r="E145" s="6">
        <v>162.19894600000001</v>
      </c>
      <c r="F145" s="6">
        <v>31.674036999999998</v>
      </c>
      <c r="G145" s="6">
        <v>130.52490800000001</v>
      </c>
      <c r="H145" s="6">
        <v>0.88291200000000003</v>
      </c>
      <c r="I145" s="6">
        <v>176.24837299999999</v>
      </c>
      <c r="J145" s="6">
        <v>1.910037</v>
      </c>
      <c r="K145" s="6">
        <v>3.372169</v>
      </c>
      <c r="L145" s="6">
        <v>5.615437</v>
      </c>
      <c r="M145" s="6">
        <v>90.517210000000006</v>
      </c>
      <c r="N145" s="6">
        <v>-148.02122900000001</v>
      </c>
      <c r="O145" s="6">
        <v>0</v>
      </c>
      <c r="P145" s="6">
        <v>-148.02122900000001</v>
      </c>
      <c r="Q145" s="7">
        <v>27</v>
      </c>
      <c r="R145" s="6">
        <v>30.915177</v>
      </c>
      <c r="S145" s="6">
        <v>-682.22093600000005</v>
      </c>
      <c r="T145" s="6">
        <v>-590.039356</v>
      </c>
      <c r="U145" s="6">
        <v>-518.87174400000004</v>
      </c>
      <c r="V145" s="6">
        <v>-462.83836700000001</v>
      </c>
    </row>
    <row r="146" spans="1:22" x14ac:dyDescent="0.35">
      <c r="A146" s="5">
        <v>46022</v>
      </c>
      <c r="B146" s="4" t="s">
        <v>347</v>
      </c>
      <c r="C146" s="4" t="s">
        <v>348</v>
      </c>
      <c r="D146" s="4" t="s">
        <v>148</v>
      </c>
      <c r="E146" s="6">
        <v>387.64829500000002</v>
      </c>
      <c r="F146" s="6">
        <v>20.249742000000001</v>
      </c>
      <c r="G146" s="6">
        <v>367.39855299999999</v>
      </c>
      <c r="H146" s="6">
        <v>7.6964139999999999</v>
      </c>
      <c r="I146" s="6">
        <v>243.06455700000001</v>
      </c>
      <c r="J146" s="6">
        <v>6.0766200000000001</v>
      </c>
      <c r="K146" s="6">
        <v>-1.1357060000000001</v>
      </c>
      <c r="L146" s="6">
        <v>24.306453000000001</v>
      </c>
      <c r="M146" s="6">
        <v>0</v>
      </c>
      <c r="N146" s="6">
        <v>87.390215999999995</v>
      </c>
      <c r="O146" s="6">
        <v>7.7929409999999999</v>
      </c>
      <c r="P146" s="6">
        <v>79.597274999999996</v>
      </c>
      <c r="Q146" s="7">
        <v>10</v>
      </c>
      <c r="R146" s="6">
        <v>32.631551999999999</v>
      </c>
      <c r="S146" s="6">
        <v>347.41715199999999</v>
      </c>
      <c r="T146" s="6">
        <v>326.07164799999998</v>
      </c>
      <c r="U146" s="6">
        <v>306.76507099999998</v>
      </c>
      <c r="V146" s="6">
        <v>289.25307400000003</v>
      </c>
    </row>
    <row r="147" spans="1:22" x14ac:dyDescent="0.35">
      <c r="A147" s="5">
        <v>46022</v>
      </c>
      <c r="B147" s="4" t="s">
        <v>349</v>
      </c>
      <c r="C147" s="4" t="s">
        <v>350</v>
      </c>
      <c r="D147" s="4" t="s">
        <v>351</v>
      </c>
      <c r="E147" s="6">
        <v>1556.64807</v>
      </c>
      <c r="F147" s="6">
        <v>248.13091900000001</v>
      </c>
      <c r="G147" s="6">
        <v>1308.517151</v>
      </c>
      <c r="H147" s="6">
        <v>249.063615</v>
      </c>
      <c r="I147" s="6">
        <v>513.20440199999996</v>
      </c>
      <c r="J147" s="6">
        <v>30.792273999999999</v>
      </c>
      <c r="K147" s="6">
        <v>-0.83896300000000001</v>
      </c>
      <c r="L147" s="6">
        <v>76.980665999999999</v>
      </c>
      <c r="M147" s="6">
        <v>0</v>
      </c>
      <c r="N147" s="6">
        <v>439.315157</v>
      </c>
      <c r="O147" s="6">
        <v>105.80313599999999</v>
      </c>
      <c r="P147" s="6">
        <v>333.512021</v>
      </c>
      <c r="Q147" s="7">
        <v>25</v>
      </c>
      <c r="R147" s="6">
        <v>92.244315999999998</v>
      </c>
      <c r="S147" s="6">
        <v>3319.3743260000001</v>
      </c>
      <c r="T147" s="6">
        <v>2834.3441269999998</v>
      </c>
      <c r="U147" s="6">
        <v>2459.5774379999998</v>
      </c>
      <c r="V147" s="6">
        <v>2164.4393340000001</v>
      </c>
    </row>
    <row r="148" spans="1:22" x14ac:dyDescent="0.35">
      <c r="A148" s="5">
        <v>46022</v>
      </c>
      <c r="B148" s="4" t="s">
        <v>352</v>
      </c>
      <c r="C148" s="4" t="s">
        <v>353</v>
      </c>
      <c r="D148" s="4" t="s">
        <v>58</v>
      </c>
      <c r="E148" s="6">
        <v>122.435393</v>
      </c>
      <c r="F148" s="6">
        <v>1.211511</v>
      </c>
      <c r="G148" s="6">
        <v>121.22388100000001</v>
      </c>
      <c r="H148" s="6">
        <v>0.28932799999999997</v>
      </c>
      <c r="I148" s="6">
        <v>57.454872999999999</v>
      </c>
      <c r="J148" s="6">
        <v>2.8727450000000001</v>
      </c>
      <c r="K148" s="6">
        <v>1.287855</v>
      </c>
      <c r="L148" s="6">
        <v>5.7454859999999996</v>
      </c>
      <c r="M148" s="6">
        <v>0</v>
      </c>
      <c r="N148" s="6">
        <v>53.573594999999997</v>
      </c>
      <c r="O148" s="6">
        <v>14.17704</v>
      </c>
      <c r="P148" s="6">
        <v>39.396554000000002</v>
      </c>
      <c r="Q148" s="7">
        <v>27</v>
      </c>
      <c r="R148" s="6">
        <v>8.0993790000000008</v>
      </c>
      <c r="S148" s="6">
        <v>127.241238</v>
      </c>
      <c r="T148" s="6">
        <v>121.82010699999999</v>
      </c>
      <c r="U148" s="6">
        <v>116.768974</v>
      </c>
      <c r="V148" s="6">
        <v>112.05501599999999</v>
      </c>
    </row>
    <row r="149" spans="1:22" x14ac:dyDescent="0.35">
      <c r="A149" s="5">
        <v>46022</v>
      </c>
      <c r="B149" s="4" t="s">
        <v>354</v>
      </c>
      <c r="C149" s="4" t="s">
        <v>355</v>
      </c>
      <c r="D149" s="4" t="s">
        <v>86</v>
      </c>
      <c r="E149" s="6">
        <v>1110.0083589999999</v>
      </c>
      <c r="F149" s="6">
        <v>66.846481999999995</v>
      </c>
      <c r="G149" s="6">
        <v>1043.161877</v>
      </c>
      <c r="H149" s="6">
        <v>66.600482</v>
      </c>
      <c r="I149" s="6">
        <v>157.62834000000001</v>
      </c>
      <c r="J149" s="6">
        <v>26.87969</v>
      </c>
      <c r="K149" s="6">
        <v>-0.44368400000000002</v>
      </c>
      <c r="L149" s="6">
        <v>83.714399999999998</v>
      </c>
      <c r="M149" s="6">
        <v>0</v>
      </c>
      <c r="N149" s="6">
        <v>708.78264899999999</v>
      </c>
      <c r="O149" s="6">
        <v>134.70360500000001</v>
      </c>
      <c r="P149" s="6">
        <v>574.07904399999995</v>
      </c>
      <c r="Q149" s="7">
        <v>20</v>
      </c>
      <c r="R149" s="6">
        <v>118.53534000000001</v>
      </c>
      <c r="S149" s="6">
        <v>4787.6398419999996</v>
      </c>
      <c r="T149" s="6">
        <v>4111.8472220000003</v>
      </c>
      <c r="U149" s="6">
        <v>3588.173593</v>
      </c>
      <c r="V149" s="6">
        <v>3174.6470979999999</v>
      </c>
    </row>
    <row r="150" spans="1:22" x14ac:dyDescent="0.35">
      <c r="A150" s="5">
        <v>46022</v>
      </c>
      <c r="B150" s="4" t="s">
        <v>356</v>
      </c>
      <c r="C150" s="4" t="s">
        <v>357</v>
      </c>
      <c r="D150" s="4" t="s">
        <v>213</v>
      </c>
      <c r="E150" s="6">
        <v>1373.7575240000001</v>
      </c>
      <c r="F150" s="6">
        <v>27.887459</v>
      </c>
      <c r="G150" s="6">
        <v>1345.870066</v>
      </c>
      <c r="H150" s="6">
        <v>96.646130999999997</v>
      </c>
      <c r="I150" s="6">
        <v>123.163393</v>
      </c>
      <c r="J150" s="6">
        <v>27.480634999999999</v>
      </c>
      <c r="K150" s="6">
        <v>-4.5081000000000003E-2</v>
      </c>
      <c r="L150" s="6">
        <v>12.316343</v>
      </c>
      <c r="M150" s="6">
        <v>0</v>
      </c>
      <c r="N150" s="6">
        <v>1086.3086450000001</v>
      </c>
      <c r="O150" s="6">
        <v>362.992435</v>
      </c>
      <c r="P150" s="6">
        <v>723.31620999999996</v>
      </c>
      <c r="Q150" s="7">
        <v>35</v>
      </c>
      <c r="R150" s="6">
        <v>61.458663999999999</v>
      </c>
      <c r="S150" s="6">
        <v>4387.0117369999998</v>
      </c>
      <c r="T150" s="6">
        <v>4054.407385</v>
      </c>
      <c r="U150" s="6">
        <v>3759.7021669999999</v>
      </c>
      <c r="V150" s="6">
        <v>3497.5825690000001</v>
      </c>
    </row>
    <row r="151" spans="1:22" x14ac:dyDescent="0.35">
      <c r="A151" s="5">
        <v>46022</v>
      </c>
      <c r="B151" s="4" t="s">
        <v>358</v>
      </c>
      <c r="C151" s="4" t="s">
        <v>359</v>
      </c>
      <c r="D151" s="4" t="s">
        <v>58</v>
      </c>
      <c r="E151" s="6">
        <v>1417.9320760000001</v>
      </c>
      <c r="F151" s="6">
        <v>96.079331999999994</v>
      </c>
      <c r="G151" s="6">
        <v>1321.852744</v>
      </c>
      <c r="H151" s="6">
        <v>75.830101999999997</v>
      </c>
      <c r="I151" s="6">
        <v>327.006259</v>
      </c>
      <c r="J151" s="6">
        <v>44.118541</v>
      </c>
      <c r="K151" s="6">
        <v>22.966448</v>
      </c>
      <c r="L151" s="6">
        <v>41.204439999999998</v>
      </c>
      <c r="M151" s="6">
        <v>0</v>
      </c>
      <c r="N151" s="6">
        <v>810.72695499999998</v>
      </c>
      <c r="O151" s="6">
        <v>198.280787</v>
      </c>
      <c r="P151" s="6">
        <v>612.44616799999994</v>
      </c>
      <c r="Q151" s="7">
        <v>27</v>
      </c>
      <c r="R151" s="6">
        <v>140.52455699999999</v>
      </c>
      <c r="S151" s="6">
        <v>6173.247488</v>
      </c>
      <c r="T151" s="6">
        <v>5377.4232760000004</v>
      </c>
      <c r="U151" s="6">
        <v>4734.4727030000004</v>
      </c>
      <c r="V151" s="6">
        <v>4209.0268379999998</v>
      </c>
    </row>
    <row r="152" spans="1:22" x14ac:dyDescent="0.35">
      <c r="A152" s="5">
        <v>46022</v>
      </c>
      <c r="B152" s="4" t="s">
        <v>360</v>
      </c>
      <c r="C152" s="4" t="s">
        <v>361</v>
      </c>
      <c r="D152" s="4" t="s">
        <v>105</v>
      </c>
      <c r="E152" s="6">
        <v>465.29565300000002</v>
      </c>
      <c r="F152" s="6">
        <v>18.381720999999999</v>
      </c>
      <c r="G152" s="6">
        <v>446.91393299999999</v>
      </c>
      <c r="H152" s="6">
        <v>1.048654</v>
      </c>
      <c r="I152" s="6">
        <v>408.54372699999999</v>
      </c>
      <c r="J152" s="6">
        <v>12.041454</v>
      </c>
      <c r="K152" s="6">
        <v>8.2870830000000009</v>
      </c>
      <c r="L152" s="6">
        <v>36.593741000000001</v>
      </c>
      <c r="M152" s="6">
        <v>0</v>
      </c>
      <c r="N152" s="6">
        <v>-19.600726000000002</v>
      </c>
      <c r="O152" s="6">
        <v>0</v>
      </c>
      <c r="P152" s="6">
        <v>-19.600726000000002</v>
      </c>
      <c r="Q152" s="7">
        <v>27</v>
      </c>
      <c r="R152" s="6">
        <v>54.021844999999999</v>
      </c>
      <c r="S152" s="6">
        <v>-226.612574</v>
      </c>
      <c r="T152" s="6">
        <v>-185.862031</v>
      </c>
      <c r="U152" s="6">
        <v>-154.98899700000001</v>
      </c>
      <c r="V152" s="6">
        <v>-131.26435799999999</v>
      </c>
    </row>
    <row r="153" spans="1:22" x14ac:dyDescent="0.35">
      <c r="A153" s="5">
        <v>46022</v>
      </c>
      <c r="B153" s="4" t="s">
        <v>362</v>
      </c>
      <c r="C153" s="4" t="s">
        <v>363</v>
      </c>
      <c r="D153" s="4" t="s">
        <v>105</v>
      </c>
      <c r="E153" s="6">
        <v>415.16993000000002</v>
      </c>
      <c r="F153" s="6">
        <v>17.197732999999999</v>
      </c>
      <c r="G153" s="6">
        <v>397.97219799999999</v>
      </c>
      <c r="H153" s="6">
        <v>11.968431000000001</v>
      </c>
      <c r="I153" s="6">
        <v>212.37230700000001</v>
      </c>
      <c r="J153" s="6">
        <v>10.452273</v>
      </c>
      <c r="K153" s="6">
        <v>7.123405</v>
      </c>
      <c r="L153" s="6">
        <v>139.65772999999999</v>
      </c>
      <c r="M153" s="6">
        <v>23.725892999999999</v>
      </c>
      <c r="N153" s="6">
        <v>-7.3278410000000003</v>
      </c>
      <c r="O153" s="6">
        <v>5.5455959999999997</v>
      </c>
      <c r="P153" s="6">
        <v>-12.873438</v>
      </c>
      <c r="Q153" s="7">
        <v>27</v>
      </c>
      <c r="R153" s="6">
        <v>142.63994099999999</v>
      </c>
      <c r="S153" s="6">
        <v>291.92812099999998</v>
      </c>
      <c r="T153" s="6">
        <v>238.628837</v>
      </c>
      <c r="U153" s="6">
        <v>198.04440099999999</v>
      </c>
      <c r="V153" s="6">
        <v>166.58935099999999</v>
      </c>
    </row>
    <row r="154" spans="1:22" x14ac:dyDescent="0.35">
      <c r="A154" s="5">
        <v>46022</v>
      </c>
      <c r="B154" s="4" t="s">
        <v>364</v>
      </c>
      <c r="C154" s="4" t="s">
        <v>365</v>
      </c>
      <c r="D154" s="4" t="s">
        <v>222</v>
      </c>
      <c r="E154" s="6">
        <v>589.29431799999998</v>
      </c>
      <c r="F154" s="6">
        <v>25.143108999999999</v>
      </c>
      <c r="G154" s="6">
        <v>564.15120999999999</v>
      </c>
      <c r="H154" s="6">
        <v>3.133489</v>
      </c>
      <c r="I154" s="6">
        <v>291.543881</v>
      </c>
      <c r="J154" s="6">
        <v>23.334230999999999</v>
      </c>
      <c r="K154" s="6">
        <v>18.976808999999999</v>
      </c>
      <c r="L154" s="6">
        <v>42.999993000000003</v>
      </c>
      <c r="M154" s="6">
        <v>10.499999000000001</v>
      </c>
      <c r="N154" s="6">
        <v>173.66280699999999</v>
      </c>
      <c r="O154" s="6">
        <v>41.646836</v>
      </c>
      <c r="P154" s="6">
        <v>132.01597100000001</v>
      </c>
      <c r="Q154" s="7">
        <v>26.5</v>
      </c>
      <c r="R154" s="6">
        <v>88.981736999999995</v>
      </c>
      <c r="S154" s="6">
        <v>1598.690108</v>
      </c>
      <c r="T154" s="6">
        <v>1442.5975209999999</v>
      </c>
      <c r="U154" s="6">
        <v>1308.1420330000001</v>
      </c>
      <c r="V154" s="6">
        <v>1191.699449</v>
      </c>
    </row>
    <row r="155" spans="1:22" x14ac:dyDescent="0.35">
      <c r="A155" s="5">
        <v>46022</v>
      </c>
      <c r="B155" s="4" t="s">
        <v>366</v>
      </c>
      <c r="C155" s="4" t="s">
        <v>367</v>
      </c>
      <c r="D155" s="4" t="s">
        <v>89</v>
      </c>
      <c r="E155" s="6">
        <v>405.82294200000001</v>
      </c>
      <c r="F155" s="6">
        <v>25.967241000000001</v>
      </c>
      <c r="G155" s="6">
        <v>379.85570100000001</v>
      </c>
      <c r="H155" s="6">
        <v>17.158246999999999</v>
      </c>
      <c r="I155" s="6">
        <v>178.855671</v>
      </c>
      <c r="J155" s="6">
        <v>7.6764869999999998</v>
      </c>
      <c r="K155" s="6">
        <v>-28.055150000000001</v>
      </c>
      <c r="L155" s="6">
        <v>94.850958000000006</v>
      </c>
      <c r="M155" s="6">
        <v>0</v>
      </c>
      <c r="N155" s="6">
        <v>109.369488</v>
      </c>
      <c r="O155" s="6">
        <v>22.042290999999999</v>
      </c>
      <c r="P155" s="6">
        <v>87.327196999999998</v>
      </c>
      <c r="Q155" s="7">
        <v>30</v>
      </c>
      <c r="R155" s="6">
        <v>102.69099300000001</v>
      </c>
      <c r="S155" s="6">
        <v>80.858515999999995</v>
      </c>
      <c r="T155" s="6">
        <v>79.388361000000003</v>
      </c>
      <c r="U155" s="6">
        <v>77.970712000000006</v>
      </c>
      <c r="V155" s="6">
        <v>76.602804000000006</v>
      </c>
    </row>
    <row r="156" spans="1:22" x14ac:dyDescent="0.35">
      <c r="A156" s="5">
        <v>46022</v>
      </c>
      <c r="B156" s="4" t="s">
        <v>368</v>
      </c>
      <c r="C156" s="4" t="s">
        <v>369</v>
      </c>
      <c r="D156" s="4" t="s">
        <v>213</v>
      </c>
      <c r="E156" s="6">
        <v>23.604101</v>
      </c>
      <c r="F156" s="6">
        <v>2.7171409999999998</v>
      </c>
      <c r="G156" s="6">
        <v>20.886959999999998</v>
      </c>
      <c r="H156" s="6">
        <v>1.660239</v>
      </c>
      <c r="I156" s="6">
        <v>14.407992</v>
      </c>
      <c r="J156" s="6">
        <v>9.6265000000000003E-2</v>
      </c>
      <c r="K156" s="6">
        <v>1.663235</v>
      </c>
      <c r="L156" s="6">
        <v>4.355817</v>
      </c>
      <c r="M156" s="6">
        <v>0</v>
      </c>
      <c r="N156" s="6">
        <v>-1.2965880000000001</v>
      </c>
      <c r="O156" s="6">
        <v>0</v>
      </c>
      <c r="P156" s="6">
        <v>-1.2965880000000001</v>
      </c>
      <c r="Q156" s="7">
        <v>30</v>
      </c>
      <c r="R156" s="6">
        <v>4.355817</v>
      </c>
      <c r="S156" s="6">
        <v>2991.7153560000002</v>
      </c>
      <c r="T156" s="6">
        <v>2359.1672560000002</v>
      </c>
      <c r="U156" s="6">
        <v>1875.583897</v>
      </c>
      <c r="V156" s="6">
        <v>1502.553586</v>
      </c>
    </row>
    <row r="157" spans="1:22" x14ac:dyDescent="0.35">
      <c r="A157" s="5">
        <v>46022</v>
      </c>
      <c r="B157" s="4" t="s">
        <v>370</v>
      </c>
      <c r="C157" s="4" t="s">
        <v>371</v>
      </c>
      <c r="D157" s="4" t="s">
        <v>69</v>
      </c>
      <c r="E157" s="6">
        <v>115.150085</v>
      </c>
      <c r="F157" s="6">
        <v>0</v>
      </c>
      <c r="G157" s="6">
        <v>115.150085</v>
      </c>
      <c r="H157" s="6">
        <v>9.7909170000000003</v>
      </c>
      <c r="I157" s="6">
        <v>21.659189000000001</v>
      </c>
      <c r="J157" s="6">
        <v>20.512589999999999</v>
      </c>
      <c r="K157" s="6">
        <v>-1.269449</v>
      </c>
      <c r="L157" s="6">
        <v>2.099996</v>
      </c>
      <c r="M157" s="6">
        <v>0</v>
      </c>
      <c r="N157" s="6">
        <v>62.356842</v>
      </c>
      <c r="O157" s="6">
        <v>11.733878000000001</v>
      </c>
      <c r="P157" s="6">
        <v>50.622964000000003</v>
      </c>
      <c r="Q157" s="7">
        <v>20</v>
      </c>
      <c r="R157" s="6">
        <v>4.5179989999999997</v>
      </c>
      <c r="S157" s="6">
        <v>254.77740600000001</v>
      </c>
      <c r="T157" s="6">
        <v>235.691396</v>
      </c>
      <c r="U157" s="6">
        <v>218.83976100000001</v>
      </c>
      <c r="V157" s="6">
        <v>203.89704</v>
      </c>
    </row>
    <row r="158" spans="1:22" x14ac:dyDescent="0.35">
      <c r="A158" s="5">
        <v>46022</v>
      </c>
      <c r="B158" s="4" t="s">
        <v>372</v>
      </c>
      <c r="C158" s="4" t="s">
        <v>373</v>
      </c>
      <c r="D158" s="4" t="s">
        <v>111</v>
      </c>
      <c r="E158" s="6">
        <v>74.607736000000003</v>
      </c>
      <c r="F158" s="6">
        <v>0.70713599999999999</v>
      </c>
      <c r="G158" s="6">
        <v>73.900600999999995</v>
      </c>
      <c r="H158" s="6">
        <v>4.8051050000000002</v>
      </c>
      <c r="I158" s="6">
        <v>9.0397979999999993</v>
      </c>
      <c r="J158" s="6">
        <v>0.80251600000000001</v>
      </c>
      <c r="K158" s="6">
        <v>-22.448720000000002</v>
      </c>
      <c r="L158" s="6">
        <v>8.2783639999999998</v>
      </c>
      <c r="M158" s="6">
        <v>0</v>
      </c>
      <c r="N158" s="6">
        <v>73.423536999999996</v>
      </c>
      <c r="O158" s="6">
        <v>14.544565</v>
      </c>
      <c r="P158" s="6">
        <v>58.878971999999997</v>
      </c>
      <c r="Q158" s="7">
        <v>30</v>
      </c>
      <c r="R158" s="6">
        <v>10.771297000000001</v>
      </c>
      <c r="S158" s="6">
        <v>356.94619399999999</v>
      </c>
      <c r="T158" s="6">
        <v>318.61478099999999</v>
      </c>
      <c r="U158" s="6">
        <v>287.52286199999998</v>
      </c>
      <c r="V158" s="6">
        <v>261.88153299999999</v>
      </c>
    </row>
    <row r="159" spans="1:22" x14ac:dyDescent="0.35">
      <c r="A159" s="5">
        <v>46022</v>
      </c>
      <c r="B159" s="4" t="s">
        <v>374</v>
      </c>
      <c r="C159" s="4" t="s">
        <v>375</v>
      </c>
      <c r="D159" s="4" t="s">
        <v>61</v>
      </c>
      <c r="E159" s="6">
        <v>5.6584289999999999</v>
      </c>
      <c r="F159" s="6">
        <v>0.47689300000000001</v>
      </c>
      <c r="G159" s="6">
        <v>5.1815360000000004</v>
      </c>
      <c r="H159" s="6">
        <v>0.68126900000000001</v>
      </c>
      <c r="I159" s="6">
        <v>2.688453</v>
      </c>
      <c r="J159" s="6">
        <v>0.55991800000000003</v>
      </c>
      <c r="K159" s="6">
        <v>-6.8300000000000001E-4</v>
      </c>
      <c r="L159" s="6">
        <v>0.2145</v>
      </c>
      <c r="M159" s="6">
        <v>0</v>
      </c>
      <c r="N159" s="6">
        <v>1.038079</v>
      </c>
      <c r="O159" s="6">
        <v>0</v>
      </c>
      <c r="P159" s="6">
        <v>1.038079</v>
      </c>
      <c r="Q159" s="7">
        <v>25</v>
      </c>
      <c r="R159" s="6">
        <v>0.2145</v>
      </c>
      <c r="S159" s="6">
        <v>6.6949110000000003</v>
      </c>
      <c r="T159" s="6">
        <v>6.0434539999999997</v>
      </c>
      <c r="U159" s="6">
        <v>5.4967680000000003</v>
      </c>
      <c r="V159" s="6">
        <v>5.0334810000000001</v>
      </c>
    </row>
    <row r="160" spans="1:22" x14ac:dyDescent="0.35">
      <c r="A160" s="5">
        <v>46022</v>
      </c>
      <c r="B160" s="4" t="s">
        <v>376</v>
      </c>
      <c r="C160" s="4" t="s">
        <v>377</v>
      </c>
      <c r="D160" s="4" t="s">
        <v>61</v>
      </c>
      <c r="E160" s="6">
        <v>1.866698</v>
      </c>
      <c r="F160" s="6">
        <v>0.15562799999999999</v>
      </c>
      <c r="G160" s="6">
        <v>1.711071</v>
      </c>
      <c r="H160" s="6">
        <v>0.225554</v>
      </c>
      <c r="I160" s="6">
        <v>1.505118</v>
      </c>
      <c r="J160" s="6">
        <v>1.0409E-2</v>
      </c>
      <c r="K160" s="6">
        <v>-2.7599999999999999E-4</v>
      </c>
      <c r="L160" s="6">
        <v>5.3143000000000003E-2</v>
      </c>
      <c r="M160" s="6">
        <v>0</v>
      </c>
      <c r="N160" s="6">
        <v>-8.2877999999999993E-2</v>
      </c>
      <c r="O160" s="6">
        <v>0</v>
      </c>
      <c r="P160" s="6">
        <v>-8.2877999999999993E-2</v>
      </c>
      <c r="Q160" s="7">
        <v>25</v>
      </c>
      <c r="R160" s="6">
        <v>2.7119000000000001E-2</v>
      </c>
      <c r="S160" s="6">
        <v>-0.33175500000000002</v>
      </c>
      <c r="T160" s="6">
        <v>-0.314969</v>
      </c>
      <c r="U160" s="6">
        <v>-0.29950599999999999</v>
      </c>
      <c r="V160" s="6">
        <v>-0.28523300000000001</v>
      </c>
    </row>
    <row r="161" spans="1:22" x14ac:dyDescent="0.35">
      <c r="A161" s="5">
        <v>46022</v>
      </c>
      <c r="B161" s="4" t="s">
        <v>378</v>
      </c>
      <c r="C161" s="4" t="s">
        <v>379</v>
      </c>
      <c r="D161" s="4" t="s">
        <v>61</v>
      </c>
      <c r="E161" s="6">
        <v>79.824939000000001</v>
      </c>
      <c r="F161" s="6">
        <v>7.6936629999999999</v>
      </c>
      <c r="G161" s="6">
        <v>72.131276</v>
      </c>
      <c r="H161" s="6">
        <v>5.1177390000000003</v>
      </c>
      <c r="I161" s="6">
        <v>11.154249</v>
      </c>
      <c r="J161" s="6">
        <v>1.043731</v>
      </c>
      <c r="K161" s="6">
        <v>-3.3592999999999998E-2</v>
      </c>
      <c r="L161" s="6">
        <v>1.312187</v>
      </c>
      <c r="M161" s="6">
        <v>0</v>
      </c>
      <c r="N161" s="6">
        <v>53.536963</v>
      </c>
      <c r="O161" s="6">
        <v>13.412718</v>
      </c>
      <c r="P161" s="6">
        <v>40.124243999999997</v>
      </c>
      <c r="Q161" s="7">
        <v>25</v>
      </c>
      <c r="R161" s="6">
        <v>1.1646840000000001</v>
      </c>
      <c r="S161" s="6">
        <v>286.23683399999999</v>
      </c>
      <c r="T161" s="6">
        <v>260.42176699999999</v>
      </c>
      <c r="U161" s="6">
        <v>238.076221</v>
      </c>
      <c r="V161" s="6">
        <v>218.63308799999999</v>
      </c>
    </row>
    <row r="162" spans="1:22" x14ac:dyDescent="0.35">
      <c r="A162" s="5">
        <v>46022</v>
      </c>
      <c r="B162" s="4" t="s">
        <v>380</v>
      </c>
      <c r="C162" s="4" t="s">
        <v>381</v>
      </c>
      <c r="D162" s="4" t="s">
        <v>58</v>
      </c>
      <c r="E162" s="6">
        <v>296.30128000000002</v>
      </c>
      <c r="F162" s="6">
        <v>1.7861480000000001</v>
      </c>
      <c r="G162" s="6">
        <v>294.51513199999999</v>
      </c>
      <c r="H162" s="6">
        <v>0.43213299999999999</v>
      </c>
      <c r="I162" s="6">
        <v>289.19433900000001</v>
      </c>
      <c r="J162" s="6">
        <v>7.3661690000000002</v>
      </c>
      <c r="K162" s="6">
        <v>-9.4476049999999994</v>
      </c>
      <c r="L162" s="6">
        <v>0.55975200000000003</v>
      </c>
      <c r="M162" s="6">
        <v>0</v>
      </c>
      <c r="N162" s="6">
        <v>6.4103440000000003</v>
      </c>
      <c r="O162" s="6">
        <v>0</v>
      </c>
      <c r="P162" s="6">
        <v>6.4103440000000003</v>
      </c>
      <c r="Q162" s="7">
        <v>27</v>
      </c>
      <c r="R162" s="6">
        <v>7.1769660000000002</v>
      </c>
      <c r="S162" s="6">
        <v>54.314109999999999</v>
      </c>
      <c r="T162" s="6">
        <v>48.660266</v>
      </c>
      <c r="U162" s="6">
        <v>43.739825000000003</v>
      </c>
      <c r="V162" s="6">
        <v>39.440325999999999</v>
      </c>
    </row>
    <row r="163" spans="1:22" x14ac:dyDescent="0.35">
      <c r="A163" s="5">
        <v>46022</v>
      </c>
      <c r="B163" s="4" t="s">
        <v>382</v>
      </c>
      <c r="C163" s="4" t="s">
        <v>383</v>
      </c>
      <c r="D163" s="4" t="s">
        <v>344</v>
      </c>
      <c r="E163" s="6">
        <v>715.13547100000005</v>
      </c>
      <c r="F163" s="6">
        <v>162.69327699999999</v>
      </c>
      <c r="G163" s="6">
        <v>552.44219399999997</v>
      </c>
      <c r="H163" s="6">
        <v>0</v>
      </c>
      <c r="I163" s="6">
        <v>289.144406</v>
      </c>
      <c r="J163" s="6">
        <v>8.0789869999999997</v>
      </c>
      <c r="K163" s="6">
        <v>0.61242700000000005</v>
      </c>
      <c r="L163" s="6">
        <v>14.638303000000001</v>
      </c>
      <c r="M163" s="6">
        <v>0</v>
      </c>
      <c r="N163" s="6">
        <v>239.96807000000001</v>
      </c>
      <c r="O163" s="6">
        <v>41.292552999999998</v>
      </c>
      <c r="P163" s="6">
        <v>198.67551700000001</v>
      </c>
      <c r="Q163" s="7">
        <v>25</v>
      </c>
      <c r="R163" s="6">
        <v>90.048589000000007</v>
      </c>
      <c r="S163" s="6">
        <v>1334.380103</v>
      </c>
      <c r="T163" s="6">
        <v>1221.912227</v>
      </c>
      <c r="U163" s="6">
        <v>1123.598581</v>
      </c>
      <c r="V163" s="6">
        <v>1037.2647219999999</v>
      </c>
    </row>
    <row r="164" spans="1:22" x14ac:dyDescent="0.35">
      <c r="A164" s="5">
        <v>46022</v>
      </c>
      <c r="B164" s="4" t="s">
        <v>384</v>
      </c>
      <c r="C164" s="4" t="s">
        <v>385</v>
      </c>
      <c r="D164" s="4" t="s">
        <v>89</v>
      </c>
      <c r="E164" s="6">
        <v>323.67664500000001</v>
      </c>
      <c r="F164" s="6">
        <v>44.960295000000002</v>
      </c>
      <c r="G164" s="6">
        <v>278.71634999999998</v>
      </c>
      <c r="H164" s="6">
        <v>17.874586999999998</v>
      </c>
      <c r="I164" s="6">
        <v>263.51662399999998</v>
      </c>
      <c r="J164" s="6">
        <v>20.453945000000001</v>
      </c>
      <c r="K164" s="6">
        <v>-11.027317999999999</v>
      </c>
      <c r="L164" s="6">
        <v>15.175508000000001</v>
      </c>
      <c r="M164" s="6">
        <v>76.867247000000006</v>
      </c>
      <c r="N164" s="6">
        <v>-104.144244</v>
      </c>
      <c r="O164" s="6">
        <v>0</v>
      </c>
      <c r="P164" s="6">
        <v>-104.144244</v>
      </c>
      <c r="Q164" s="7">
        <v>30</v>
      </c>
      <c r="R164" s="6">
        <v>34.278306000000001</v>
      </c>
      <c r="S164" s="6">
        <v>-281.95903700000002</v>
      </c>
      <c r="T164" s="6">
        <v>-270.698846</v>
      </c>
      <c r="U164" s="6">
        <v>-260.11063300000001</v>
      </c>
      <c r="V164" s="6">
        <v>-250.15463099999999</v>
      </c>
    </row>
    <row r="165" spans="1:22" x14ac:dyDescent="0.35">
      <c r="A165" s="5">
        <v>46022</v>
      </c>
      <c r="B165" s="4" t="s">
        <v>386</v>
      </c>
      <c r="C165" s="4" t="s">
        <v>387</v>
      </c>
      <c r="D165" s="4" t="s">
        <v>222</v>
      </c>
      <c r="E165" s="6">
        <v>325.976291</v>
      </c>
      <c r="F165" s="6">
        <v>2.5599799999999999</v>
      </c>
      <c r="G165" s="6">
        <v>323.416312</v>
      </c>
      <c r="H165" s="6">
        <v>14.961138</v>
      </c>
      <c r="I165" s="6">
        <v>136.85218900000001</v>
      </c>
      <c r="J165" s="6">
        <v>13.383086</v>
      </c>
      <c r="K165" s="6">
        <v>-0.92824799999999996</v>
      </c>
      <c r="L165" s="6">
        <v>45.2</v>
      </c>
      <c r="M165" s="6">
        <v>12.300001999999999</v>
      </c>
      <c r="N165" s="6">
        <v>101.648144</v>
      </c>
      <c r="O165" s="6">
        <v>30.023108000000001</v>
      </c>
      <c r="P165" s="6">
        <v>71.625037000000006</v>
      </c>
      <c r="Q165" s="7">
        <v>26.5</v>
      </c>
      <c r="R165" s="6">
        <v>44.925151999999997</v>
      </c>
      <c r="S165" s="6">
        <v>386.68077699999998</v>
      </c>
      <c r="T165" s="6">
        <v>361.18109600000003</v>
      </c>
      <c r="U165" s="6">
        <v>338.22221500000001</v>
      </c>
      <c r="V165" s="6">
        <v>317.48984200000001</v>
      </c>
    </row>
    <row r="166" spans="1:22" x14ac:dyDescent="0.35">
      <c r="A166" s="5">
        <v>46022</v>
      </c>
      <c r="B166" s="4" t="s">
        <v>388</v>
      </c>
      <c r="C166" s="4" t="s">
        <v>389</v>
      </c>
      <c r="D166" s="4" t="s">
        <v>61</v>
      </c>
      <c r="E166" s="6">
        <v>97.115018000000006</v>
      </c>
      <c r="F166" s="6">
        <v>9.088279</v>
      </c>
      <c r="G166" s="6">
        <v>88.026739000000006</v>
      </c>
      <c r="H166" s="6">
        <v>2.5079410000000002</v>
      </c>
      <c r="I166" s="6">
        <v>9.6138460000000006</v>
      </c>
      <c r="J166" s="6">
        <v>0.63433099999999998</v>
      </c>
      <c r="K166" s="6">
        <v>-2.0211E-2</v>
      </c>
      <c r="L166" s="6">
        <v>1.105623</v>
      </c>
      <c r="M166" s="6">
        <v>0</v>
      </c>
      <c r="N166" s="6">
        <v>74.185208000000003</v>
      </c>
      <c r="O166" s="6">
        <v>18.663070000000001</v>
      </c>
      <c r="P166" s="6">
        <v>55.522137999999998</v>
      </c>
      <c r="Q166" s="7">
        <v>25</v>
      </c>
      <c r="R166" s="6">
        <v>0.61834199999999995</v>
      </c>
      <c r="S166" s="6">
        <v>438.693512</v>
      </c>
      <c r="T166" s="6">
        <v>394.26833299999998</v>
      </c>
      <c r="U166" s="6">
        <v>356.53736300000003</v>
      </c>
      <c r="V166" s="6">
        <v>324.28005300000001</v>
      </c>
    </row>
    <row r="167" spans="1:22" x14ac:dyDescent="0.35">
      <c r="A167" s="5">
        <v>46022</v>
      </c>
      <c r="B167" s="4" t="s">
        <v>390</v>
      </c>
      <c r="C167" s="4" t="s">
        <v>391</v>
      </c>
      <c r="D167" s="4" t="s">
        <v>213</v>
      </c>
      <c r="E167" s="6">
        <v>204.54047700000001</v>
      </c>
      <c r="F167" s="6">
        <v>3.8731010000000001</v>
      </c>
      <c r="G167" s="6">
        <v>200.66737599999999</v>
      </c>
      <c r="H167" s="6">
        <v>5.1135229999999998</v>
      </c>
      <c r="I167" s="6">
        <v>91.159036</v>
      </c>
      <c r="J167" s="6">
        <v>7.4051549999999997</v>
      </c>
      <c r="K167" s="6">
        <v>3.59721</v>
      </c>
      <c r="L167" s="6">
        <v>2</v>
      </c>
      <c r="M167" s="6">
        <v>0</v>
      </c>
      <c r="N167" s="6">
        <v>91.392452000000006</v>
      </c>
      <c r="O167" s="6">
        <v>27.031752999999998</v>
      </c>
      <c r="P167" s="6">
        <v>64.360699999999994</v>
      </c>
      <c r="Q167" s="7">
        <v>30</v>
      </c>
      <c r="R167" s="6">
        <v>6.8838200000000001</v>
      </c>
      <c r="S167" s="6">
        <v>737.245543</v>
      </c>
      <c r="T167" s="6">
        <v>624.19651899999997</v>
      </c>
      <c r="U167" s="6">
        <v>537.47235799999999</v>
      </c>
      <c r="V167" s="6">
        <v>469.66047099999997</v>
      </c>
    </row>
    <row r="168" spans="1:22" x14ac:dyDescent="0.35">
      <c r="A168" s="5">
        <v>46022</v>
      </c>
      <c r="B168" s="4" t="s">
        <v>392</v>
      </c>
      <c r="C168" s="4" t="s">
        <v>393</v>
      </c>
      <c r="D168" s="4" t="s">
        <v>50</v>
      </c>
      <c r="E168" s="6">
        <v>188.926016</v>
      </c>
      <c r="F168" s="6">
        <v>20.297481999999999</v>
      </c>
      <c r="G168" s="6">
        <v>168.628534</v>
      </c>
      <c r="H168" s="6">
        <v>1.8892610000000001</v>
      </c>
      <c r="I168" s="6">
        <v>131.80000100000001</v>
      </c>
      <c r="J168" s="6">
        <v>6.1544400000000001</v>
      </c>
      <c r="K168" s="6">
        <v>-2.6853630000000002</v>
      </c>
      <c r="L168" s="6">
        <v>17.399999999999999</v>
      </c>
      <c r="M168" s="6">
        <v>12</v>
      </c>
      <c r="N168" s="6">
        <v>2.070195</v>
      </c>
      <c r="O168" s="6">
        <v>0</v>
      </c>
      <c r="P168" s="6">
        <v>2.070195</v>
      </c>
      <c r="Q168" s="7">
        <v>29.5</v>
      </c>
      <c r="R168" s="6">
        <v>35.118352000000002</v>
      </c>
      <c r="S168" s="6">
        <v>303.85374200000001</v>
      </c>
      <c r="T168" s="6">
        <v>273.456817</v>
      </c>
      <c r="U168" s="6">
        <v>247.000665</v>
      </c>
      <c r="V168" s="6">
        <v>223.88181900000001</v>
      </c>
    </row>
    <row r="169" spans="1:22" x14ac:dyDescent="0.35">
      <c r="A169" s="5">
        <v>46022</v>
      </c>
      <c r="B169" s="4" t="s">
        <v>394</v>
      </c>
      <c r="C169" s="4" t="s">
        <v>395</v>
      </c>
      <c r="D169" s="4" t="s">
        <v>61</v>
      </c>
      <c r="E169" s="6">
        <v>134.69087300000001</v>
      </c>
      <c r="F169" s="6">
        <v>57.325023999999999</v>
      </c>
      <c r="G169" s="6">
        <v>77.365848999999997</v>
      </c>
      <c r="H169" s="6">
        <v>3.4855079999999998</v>
      </c>
      <c r="I169" s="6">
        <v>26.837512</v>
      </c>
      <c r="J169" s="6">
        <v>0.90790599999999999</v>
      </c>
      <c r="K169" s="6">
        <v>-6.3448000000000004E-2</v>
      </c>
      <c r="L169" s="6">
        <v>2.1203720000000001</v>
      </c>
      <c r="M169" s="6">
        <v>0</v>
      </c>
      <c r="N169" s="6">
        <v>44.077998000000001</v>
      </c>
      <c r="O169" s="6">
        <v>10.999593000000001</v>
      </c>
      <c r="P169" s="6">
        <v>33.078406000000001</v>
      </c>
      <c r="Q169" s="7">
        <v>25</v>
      </c>
      <c r="R169" s="6">
        <v>2.1365530000000001</v>
      </c>
      <c r="S169" s="6">
        <v>292.28632800000003</v>
      </c>
      <c r="T169" s="6">
        <v>258.35709200000002</v>
      </c>
      <c r="U169" s="6">
        <v>230.30250899999999</v>
      </c>
      <c r="V169" s="6">
        <v>206.89633599999999</v>
      </c>
    </row>
    <row r="170" spans="1:22" x14ac:dyDescent="0.35">
      <c r="A170" s="5">
        <v>46022</v>
      </c>
      <c r="B170" s="4" t="s">
        <v>396</v>
      </c>
      <c r="C170" s="4" t="s">
        <v>397</v>
      </c>
      <c r="D170" s="4" t="s">
        <v>398</v>
      </c>
      <c r="E170" s="6">
        <v>622.97429</v>
      </c>
      <c r="F170" s="6">
        <v>38.428358000000003</v>
      </c>
      <c r="G170" s="6">
        <v>584.54593199999999</v>
      </c>
      <c r="H170" s="6">
        <v>0</v>
      </c>
      <c r="I170" s="6">
        <v>258.65006599999998</v>
      </c>
      <c r="J170" s="6">
        <v>8.0109060000000003</v>
      </c>
      <c r="K170" s="6">
        <v>-4.909097</v>
      </c>
      <c r="L170" s="6">
        <v>33.884365000000003</v>
      </c>
      <c r="M170" s="6">
        <v>0</v>
      </c>
      <c r="N170" s="6">
        <v>288.90969200000001</v>
      </c>
      <c r="O170" s="6">
        <v>53.286033000000003</v>
      </c>
      <c r="P170" s="6">
        <v>235.623659</v>
      </c>
      <c r="Q170" s="7">
        <v>20</v>
      </c>
      <c r="R170" s="6">
        <v>51.454794</v>
      </c>
      <c r="S170" s="6">
        <v>1165.7791139999999</v>
      </c>
      <c r="T170" s="6">
        <v>1075.4491619999999</v>
      </c>
      <c r="U170" s="6">
        <v>996.093795</v>
      </c>
      <c r="V170" s="6">
        <v>926.05830700000001</v>
      </c>
    </row>
    <row r="171" spans="1:22" x14ac:dyDescent="0.35">
      <c r="A171" s="5">
        <v>46022</v>
      </c>
      <c r="B171" s="4" t="s">
        <v>399</v>
      </c>
      <c r="C171" s="4" t="s">
        <v>400</v>
      </c>
      <c r="D171" s="4" t="s">
        <v>122</v>
      </c>
      <c r="E171" s="6">
        <v>712.28049899999996</v>
      </c>
      <c r="F171" s="6">
        <v>78.041822999999994</v>
      </c>
      <c r="G171" s="6">
        <v>634.23867600000005</v>
      </c>
      <c r="H171" s="6">
        <v>71.227761999999998</v>
      </c>
      <c r="I171" s="6">
        <v>681.05971799999998</v>
      </c>
      <c r="J171" s="6">
        <v>13.760992999999999</v>
      </c>
      <c r="K171" s="6">
        <v>45.719703000000003</v>
      </c>
      <c r="L171" s="6">
        <v>29.690358</v>
      </c>
      <c r="M171" s="6">
        <v>0</v>
      </c>
      <c r="N171" s="6">
        <v>-207.21985799999999</v>
      </c>
      <c r="O171" s="6">
        <v>0</v>
      </c>
      <c r="P171" s="6">
        <v>-207.21985799999999</v>
      </c>
      <c r="Q171" s="7">
        <v>35</v>
      </c>
      <c r="R171" s="6">
        <v>30.630958</v>
      </c>
      <c r="S171" s="6">
        <v>-254.60518400000001</v>
      </c>
      <c r="T171" s="6">
        <v>-242.18592799999999</v>
      </c>
      <c r="U171" s="6">
        <v>-231.91522699999999</v>
      </c>
      <c r="V171" s="6">
        <v>-223.22044299999999</v>
      </c>
    </row>
    <row r="172" spans="1:22" x14ac:dyDescent="0.35">
      <c r="A172" s="5">
        <v>46022</v>
      </c>
      <c r="B172" s="4" t="s">
        <v>401</v>
      </c>
      <c r="C172" s="4" t="s">
        <v>402</v>
      </c>
      <c r="D172" s="4" t="s">
        <v>89</v>
      </c>
      <c r="E172" s="6">
        <v>416.89344499999999</v>
      </c>
      <c r="F172" s="6">
        <v>28.242871999999998</v>
      </c>
      <c r="G172" s="6">
        <v>388.65057300000001</v>
      </c>
      <c r="H172" s="6">
        <v>15.425128000000001</v>
      </c>
      <c r="I172" s="6">
        <v>167.13268299999999</v>
      </c>
      <c r="J172" s="6">
        <v>4.9657450000000001</v>
      </c>
      <c r="K172" s="6">
        <v>6.2694190000000001</v>
      </c>
      <c r="L172" s="6">
        <v>13.904514000000001</v>
      </c>
      <c r="M172" s="6">
        <v>45.000002000000002</v>
      </c>
      <c r="N172" s="6">
        <v>135.953081</v>
      </c>
      <c r="O172" s="6">
        <v>49.534187000000003</v>
      </c>
      <c r="P172" s="6">
        <v>86.418893999999995</v>
      </c>
      <c r="Q172" s="7">
        <v>30</v>
      </c>
      <c r="R172" s="6">
        <v>36.013060000000003</v>
      </c>
      <c r="S172" s="6">
        <v>1247.6276479999999</v>
      </c>
      <c r="T172" s="6">
        <v>1054.2026800000001</v>
      </c>
      <c r="U172" s="6">
        <v>904.70047099999999</v>
      </c>
      <c r="V172" s="6">
        <v>787.01642800000002</v>
      </c>
    </row>
    <row r="173" spans="1:22" x14ac:dyDescent="0.35">
      <c r="A173" s="5">
        <v>46022</v>
      </c>
      <c r="B173" s="4" t="s">
        <v>403</v>
      </c>
      <c r="C173" s="4" t="s">
        <v>404</v>
      </c>
      <c r="D173" s="4" t="s">
        <v>79</v>
      </c>
      <c r="E173" s="6">
        <v>58.677838999999999</v>
      </c>
      <c r="F173" s="6">
        <v>0.56000899999999998</v>
      </c>
      <c r="G173" s="6">
        <v>58.117829999999998</v>
      </c>
      <c r="H173" s="6">
        <v>0</v>
      </c>
      <c r="I173" s="6">
        <v>38.741016000000002</v>
      </c>
      <c r="J173" s="6">
        <v>2.6934840000000002</v>
      </c>
      <c r="K173" s="6">
        <v>-0.86428199999999999</v>
      </c>
      <c r="L173" s="6">
        <v>5.3605210000000003</v>
      </c>
      <c r="M173" s="6">
        <v>0</v>
      </c>
      <c r="N173" s="6">
        <v>12.18709</v>
      </c>
      <c r="O173" s="6">
        <v>0.86983999999999995</v>
      </c>
      <c r="P173" s="6">
        <v>11.31725</v>
      </c>
      <c r="Q173" s="7">
        <v>26</v>
      </c>
      <c r="R173" s="6">
        <v>13.337792</v>
      </c>
      <c r="S173" s="6">
        <v>79.574646000000001</v>
      </c>
      <c r="T173" s="6">
        <v>72.009016000000003</v>
      </c>
      <c r="U173" s="6">
        <v>65.521277999999995</v>
      </c>
      <c r="V173" s="6">
        <v>59.924996999999998</v>
      </c>
    </row>
    <row r="174" spans="1:22" x14ac:dyDescent="0.35">
      <c r="A174" s="5">
        <v>46022</v>
      </c>
      <c r="B174" s="4" t="s">
        <v>405</v>
      </c>
      <c r="C174" s="4" t="s">
        <v>406</v>
      </c>
      <c r="D174" s="4" t="s">
        <v>407</v>
      </c>
      <c r="E174" s="6">
        <v>532.41768100000002</v>
      </c>
      <c r="F174" s="6">
        <v>60.221060999999999</v>
      </c>
      <c r="G174" s="6">
        <v>472.19662</v>
      </c>
      <c r="H174" s="6">
        <v>27.245785000000001</v>
      </c>
      <c r="I174" s="6">
        <v>152.529471</v>
      </c>
      <c r="J174" s="6">
        <v>17.642849999999999</v>
      </c>
      <c r="K174" s="6">
        <v>-0.242538</v>
      </c>
      <c r="L174" s="6">
        <v>32.115389</v>
      </c>
      <c r="M174" s="6">
        <v>0</v>
      </c>
      <c r="N174" s="6">
        <v>242.905663</v>
      </c>
      <c r="O174" s="6">
        <v>49.648595999999998</v>
      </c>
      <c r="P174" s="6">
        <v>193.257068</v>
      </c>
      <c r="Q174" s="7">
        <v>24</v>
      </c>
      <c r="R174" s="6">
        <v>67.909366000000006</v>
      </c>
      <c r="S174" s="6">
        <v>265.826933</v>
      </c>
      <c r="T174" s="6">
        <v>259.44270799999998</v>
      </c>
      <c r="U174" s="6">
        <v>253.34089399999999</v>
      </c>
      <c r="V174" s="6">
        <v>247.503816</v>
      </c>
    </row>
    <row r="175" spans="1:22" x14ac:dyDescent="0.35">
      <c r="A175" s="5">
        <v>46022</v>
      </c>
      <c r="B175" s="4" t="s">
        <v>408</v>
      </c>
      <c r="C175" s="4" t="s">
        <v>409</v>
      </c>
      <c r="D175" s="4" t="s">
        <v>61</v>
      </c>
      <c r="E175" s="6">
        <v>9.8188949999999995</v>
      </c>
      <c r="F175" s="6">
        <v>1.3293200000000001</v>
      </c>
      <c r="G175" s="6">
        <v>8.4895759999999996</v>
      </c>
      <c r="H175" s="6">
        <v>1.05281</v>
      </c>
      <c r="I175" s="6">
        <v>5.0951750000000002</v>
      </c>
      <c r="J175" s="6">
        <v>0.56894</v>
      </c>
      <c r="K175" s="6">
        <v>-1.1839999999999999E-3</v>
      </c>
      <c r="L175" s="6">
        <v>0.29500599999999999</v>
      </c>
      <c r="M175" s="6">
        <v>0</v>
      </c>
      <c r="N175" s="6">
        <v>1.4788289999999999</v>
      </c>
      <c r="O175" s="6">
        <v>0.20070099999999999</v>
      </c>
      <c r="P175" s="6">
        <v>1.2781279999999999</v>
      </c>
      <c r="Q175" s="7">
        <v>25</v>
      </c>
      <c r="R175" s="6">
        <v>0.21071899999999999</v>
      </c>
      <c r="S175" s="6">
        <v>2.9785430000000002</v>
      </c>
      <c r="T175" s="6">
        <v>2.8772169999999999</v>
      </c>
      <c r="U175" s="6">
        <v>2.7816860000000001</v>
      </c>
      <c r="V175" s="6">
        <v>2.6915049999999998</v>
      </c>
    </row>
    <row r="176" spans="1:22" x14ac:dyDescent="0.35">
      <c r="A176" s="5">
        <v>46022</v>
      </c>
      <c r="B176" s="4" t="s">
        <v>410</v>
      </c>
      <c r="C176" s="4" t="s">
        <v>411</v>
      </c>
      <c r="D176" s="4" t="s">
        <v>61</v>
      </c>
      <c r="E176" s="6">
        <v>10.425174999999999</v>
      </c>
      <c r="F176" s="6">
        <v>0.95644600000000002</v>
      </c>
      <c r="G176" s="6">
        <v>9.4687289999999997</v>
      </c>
      <c r="H176" s="6">
        <v>0.67121600000000003</v>
      </c>
      <c r="I176" s="6">
        <v>2.2040700000000002</v>
      </c>
      <c r="J176" s="6">
        <v>0.28775600000000001</v>
      </c>
      <c r="K176" s="6">
        <v>-1.253E-3</v>
      </c>
      <c r="L176" s="6">
        <v>0.28775600000000001</v>
      </c>
      <c r="M176" s="6">
        <v>0</v>
      </c>
      <c r="N176" s="6">
        <v>6.0191840000000001</v>
      </c>
      <c r="O176" s="6">
        <v>1.504483</v>
      </c>
      <c r="P176" s="6">
        <v>4.5147009999999996</v>
      </c>
      <c r="Q176" s="7">
        <v>25</v>
      </c>
      <c r="R176" s="6">
        <v>0.28775600000000001</v>
      </c>
      <c r="S176" s="6">
        <v>36.814076</v>
      </c>
      <c r="T176" s="6">
        <v>32.940769000000003</v>
      </c>
      <c r="U176" s="6">
        <v>29.674585</v>
      </c>
      <c r="V176" s="6">
        <v>26.900428999999999</v>
      </c>
    </row>
    <row r="177" spans="1:22" x14ac:dyDescent="0.35">
      <c r="A177" s="5">
        <v>46022</v>
      </c>
      <c r="B177" s="4" t="s">
        <v>412</v>
      </c>
      <c r="C177" s="4" t="s">
        <v>413</v>
      </c>
      <c r="D177" s="4" t="s">
        <v>222</v>
      </c>
      <c r="E177" s="6">
        <v>800.76637200000005</v>
      </c>
      <c r="F177" s="6">
        <v>138.97121100000001</v>
      </c>
      <c r="G177" s="6">
        <v>661.79516100000001</v>
      </c>
      <c r="H177" s="6">
        <v>31.842670999999999</v>
      </c>
      <c r="I177" s="6">
        <v>439.06412899999998</v>
      </c>
      <c r="J177" s="6">
        <v>2.1621069999999998</v>
      </c>
      <c r="K177" s="6">
        <v>-13.231147999999999</v>
      </c>
      <c r="L177" s="6">
        <v>45.440106</v>
      </c>
      <c r="M177" s="6">
        <v>0</v>
      </c>
      <c r="N177" s="6">
        <v>156.51729599999999</v>
      </c>
      <c r="O177" s="6">
        <v>4.2697919999999998</v>
      </c>
      <c r="P177" s="6">
        <v>152.24750299999999</v>
      </c>
      <c r="Q177" s="7">
        <v>26.3</v>
      </c>
      <c r="R177" s="6">
        <v>172.49130199999999</v>
      </c>
      <c r="S177" s="6">
        <v>605.79816300000005</v>
      </c>
      <c r="T177" s="6">
        <v>559.16337999999996</v>
      </c>
      <c r="U177" s="6">
        <v>518.28038900000001</v>
      </c>
      <c r="V177" s="6">
        <v>482.27167700000001</v>
      </c>
    </row>
    <row r="178" spans="1:22" x14ac:dyDescent="0.35">
      <c r="A178" s="5">
        <v>46022</v>
      </c>
      <c r="B178" s="4" t="s">
        <v>414</v>
      </c>
      <c r="C178" s="4" t="s">
        <v>415</v>
      </c>
      <c r="D178" s="4" t="s">
        <v>111</v>
      </c>
      <c r="E178" s="6">
        <v>120.00201800000001</v>
      </c>
      <c r="F178" s="6">
        <v>1.7106110000000001</v>
      </c>
      <c r="G178" s="6">
        <v>118.29140700000001</v>
      </c>
      <c r="H178" s="6">
        <v>0</v>
      </c>
      <c r="I178" s="6">
        <v>127.03525</v>
      </c>
      <c r="J178" s="6">
        <v>9.6158219999999996</v>
      </c>
      <c r="K178" s="6">
        <v>-1.4482E-2</v>
      </c>
      <c r="L178" s="6">
        <v>1.27254</v>
      </c>
      <c r="M178" s="6">
        <v>0</v>
      </c>
      <c r="N178" s="6">
        <v>-19.617723000000002</v>
      </c>
      <c r="O178" s="6">
        <v>0</v>
      </c>
      <c r="P178" s="6">
        <v>-19.617723000000002</v>
      </c>
      <c r="Q178" s="7">
        <v>29.5</v>
      </c>
      <c r="R178" s="6">
        <v>16.525770000000001</v>
      </c>
      <c r="S178" s="6">
        <v>-18.164558</v>
      </c>
      <c r="T178" s="6">
        <v>-17.834292999999999</v>
      </c>
      <c r="U178" s="6">
        <v>-17.515823999999999</v>
      </c>
      <c r="V178" s="6">
        <v>-17.208528999999999</v>
      </c>
    </row>
    <row r="179" spans="1:22" x14ac:dyDescent="0.35">
      <c r="A179" s="5">
        <v>46022</v>
      </c>
      <c r="B179" s="4" t="s">
        <v>416</v>
      </c>
      <c r="C179" s="4" t="s">
        <v>417</v>
      </c>
      <c r="D179" s="4" t="s">
        <v>213</v>
      </c>
      <c r="E179" s="6">
        <v>270.66566399999999</v>
      </c>
      <c r="F179" s="6">
        <v>18.310207999999999</v>
      </c>
      <c r="G179" s="6">
        <v>252.355457</v>
      </c>
      <c r="H179" s="6">
        <v>6.766648</v>
      </c>
      <c r="I179" s="6">
        <v>31.339348000000001</v>
      </c>
      <c r="J179" s="6">
        <v>8.8706669999999992</v>
      </c>
      <c r="K179" s="6">
        <v>1.397637</v>
      </c>
      <c r="L179" s="6">
        <v>13.44125</v>
      </c>
      <c r="M179" s="6">
        <v>0</v>
      </c>
      <c r="N179" s="6">
        <v>190.539907</v>
      </c>
      <c r="O179" s="6">
        <v>57.201197999999998</v>
      </c>
      <c r="P179" s="6">
        <v>133.33870999999999</v>
      </c>
      <c r="Q179" s="7">
        <v>35</v>
      </c>
      <c r="R179" s="6">
        <v>41.946800000000003</v>
      </c>
      <c r="S179" s="6">
        <v>956.42045499999995</v>
      </c>
      <c r="T179" s="6">
        <v>871.23022800000001</v>
      </c>
      <c r="U179" s="6">
        <v>797.41741300000001</v>
      </c>
      <c r="V179" s="6">
        <v>733.11982699999999</v>
      </c>
    </row>
    <row r="180" spans="1:22" x14ac:dyDescent="0.35">
      <c r="A180" s="5">
        <v>46022</v>
      </c>
      <c r="B180" s="4" t="s">
        <v>418</v>
      </c>
      <c r="C180" s="4" t="s">
        <v>419</v>
      </c>
      <c r="D180" s="4" t="s">
        <v>79</v>
      </c>
      <c r="E180" s="6">
        <v>1350.9106850000001</v>
      </c>
      <c r="F180" s="6">
        <v>27.179068000000001</v>
      </c>
      <c r="G180" s="6">
        <v>1323.7316169999999</v>
      </c>
      <c r="H180" s="6">
        <v>33.771154000000003</v>
      </c>
      <c r="I180" s="6">
        <v>1242.677162</v>
      </c>
      <c r="J180" s="6">
        <v>50.038980000000002</v>
      </c>
      <c r="K180" s="6">
        <v>-62.502761</v>
      </c>
      <c r="L180" s="6">
        <v>71.203969000000001</v>
      </c>
      <c r="M180" s="6">
        <v>0</v>
      </c>
      <c r="N180" s="6">
        <v>-11.456887</v>
      </c>
      <c r="O180" s="6">
        <v>0</v>
      </c>
      <c r="P180" s="6">
        <v>-11.456887</v>
      </c>
      <c r="Q180" s="7">
        <v>26</v>
      </c>
      <c r="R180" s="6">
        <v>75.557541000000001</v>
      </c>
      <c r="S180" s="6">
        <v>-873.209338</v>
      </c>
      <c r="T180" s="6">
        <v>-689.93762800000002</v>
      </c>
      <c r="U180" s="6">
        <v>-558.35176300000001</v>
      </c>
      <c r="V180" s="6">
        <v>-461.95966099999998</v>
      </c>
    </row>
    <row r="181" spans="1:22" x14ac:dyDescent="0.35">
      <c r="A181" s="5">
        <v>46022</v>
      </c>
      <c r="B181" s="4" t="s">
        <v>420</v>
      </c>
      <c r="C181" s="4" t="s">
        <v>421</v>
      </c>
      <c r="D181" s="4" t="s">
        <v>122</v>
      </c>
      <c r="E181" s="6">
        <v>18.518830000000001</v>
      </c>
      <c r="F181" s="6">
        <v>0</v>
      </c>
      <c r="G181" s="6">
        <v>18.518830000000001</v>
      </c>
      <c r="H181" s="6">
        <v>0.99826000000000004</v>
      </c>
      <c r="I181" s="6">
        <v>21.893708</v>
      </c>
      <c r="J181" s="6">
        <v>0.87574799999999997</v>
      </c>
      <c r="K181" s="6">
        <v>-2.235E-3</v>
      </c>
      <c r="L181" s="6">
        <v>1.237182</v>
      </c>
      <c r="M181" s="6">
        <v>0</v>
      </c>
      <c r="N181" s="6">
        <v>-6.4838339999999999</v>
      </c>
      <c r="O181" s="6">
        <v>0</v>
      </c>
      <c r="P181" s="6">
        <v>-6.4838339999999999</v>
      </c>
      <c r="Q181" s="7">
        <v>35</v>
      </c>
      <c r="R181" s="6">
        <v>1.5057290000000001</v>
      </c>
      <c r="S181" s="6">
        <v>-57.314366999999997</v>
      </c>
      <c r="T181" s="6">
        <v>-50.672882000000001</v>
      </c>
      <c r="U181" s="6">
        <v>-45.179141999999999</v>
      </c>
      <c r="V181" s="6">
        <v>-40.594006999999998</v>
      </c>
    </row>
    <row r="182" spans="1:22" x14ac:dyDescent="0.35">
      <c r="A182" s="5">
        <v>46022</v>
      </c>
      <c r="B182" s="4" t="s">
        <v>422</v>
      </c>
      <c r="C182" s="4" t="s">
        <v>423</v>
      </c>
      <c r="D182" s="4" t="s">
        <v>213</v>
      </c>
      <c r="E182" s="6">
        <v>439.05278199999998</v>
      </c>
      <c r="F182" s="6">
        <v>71.653504999999996</v>
      </c>
      <c r="G182" s="6">
        <v>367.39927699999998</v>
      </c>
      <c r="H182" s="6">
        <v>44.863416999999998</v>
      </c>
      <c r="I182" s="6">
        <v>125.608127</v>
      </c>
      <c r="J182" s="6">
        <v>7.7</v>
      </c>
      <c r="K182" s="6">
        <v>18.016862</v>
      </c>
      <c r="L182" s="6">
        <v>8</v>
      </c>
      <c r="M182" s="6">
        <v>0</v>
      </c>
      <c r="N182" s="6">
        <v>163.21087</v>
      </c>
      <c r="O182" s="6">
        <v>49.943565</v>
      </c>
      <c r="P182" s="6">
        <v>113.26730499999999</v>
      </c>
      <c r="Q182" s="7">
        <v>35</v>
      </c>
      <c r="R182" s="6">
        <v>46.531832000000001</v>
      </c>
      <c r="S182" s="6">
        <v>1186.1916799999999</v>
      </c>
      <c r="T182" s="6">
        <v>1048.6104290000001</v>
      </c>
      <c r="U182" s="6">
        <v>934.69497100000001</v>
      </c>
      <c r="V182" s="6">
        <v>839.52185099999997</v>
      </c>
    </row>
    <row r="183" spans="1:22" x14ac:dyDescent="0.35">
      <c r="A183" s="5">
        <v>46022</v>
      </c>
      <c r="B183" s="4" t="s">
        <v>424</v>
      </c>
      <c r="C183" s="4" t="s">
        <v>425</v>
      </c>
      <c r="D183" s="4" t="s">
        <v>122</v>
      </c>
      <c r="E183" s="6">
        <v>86.912203000000005</v>
      </c>
      <c r="F183" s="6">
        <v>6.0451319999999997</v>
      </c>
      <c r="G183" s="6">
        <v>80.867070999999996</v>
      </c>
      <c r="H183" s="6">
        <v>8.6912929999999999</v>
      </c>
      <c r="I183" s="6">
        <v>130.52141499999999</v>
      </c>
      <c r="J183" s="6">
        <v>1.3629530000000001</v>
      </c>
      <c r="K183" s="6">
        <v>3.1151300000000002</v>
      </c>
      <c r="L183" s="6">
        <v>4.0169300000000003</v>
      </c>
      <c r="M183" s="6">
        <v>0</v>
      </c>
      <c r="N183" s="6">
        <v>-66.840648999999999</v>
      </c>
      <c r="O183" s="6">
        <v>0</v>
      </c>
      <c r="P183" s="6">
        <v>-66.840648999999999</v>
      </c>
      <c r="Q183" s="7">
        <v>35</v>
      </c>
      <c r="R183" s="6">
        <v>4.924353</v>
      </c>
      <c r="S183" s="6">
        <v>-457.17895800000002</v>
      </c>
      <c r="T183" s="6">
        <v>-391.15255300000001</v>
      </c>
      <c r="U183" s="6">
        <v>-340.38237500000002</v>
      </c>
      <c r="V183" s="6">
        <v>-300.57791900000001</v>
      </c>
    </row>
    <row r="184" spans="1:22" x14ac:dyDescent="0.35">
      <c r="A184" s="5">
        <v>46022</v>
      </c>
      <c r="B184" s="4" t="s">
        <v>426</v>
      </c>
      <c r="C184" s="4" t="s">
        <v>427</v>
      </c>
      <c r="D184" s="4" t="s">
        <v>79</v>
      </c>
      <c r="E184" s="6">
        <v>6269.2109600000003</v>
      </c>
      <c r="F184" s="6">
        <v>9.1056000000000008</v>
      </c>
      <c r="G184" s="6">
        <v>6260.1053599999996</v>
      </c>
      <c r="H184" s="6">
        <v>127.90634900000001</v>
      </c>
      <c r="I184" s="6">
        <v>3333.7674019999999</v>
      </c>
      <c r="J184" s="6">
        <v>169.10962599999999</v>
      </c>
      <c r="K184" s="6">
        <v>-26.711400999999999</v>
      </c>
      <c r="L184" s="6">
        <v>1170.731716</v>
      </c>
      <c r="M184" s="6">
        <v>312.195111</v>
      </c>
      <c r="N184" s="6">
        <v>1173.1065570000001</v>
      </c>
      <c r="O184" s="6">
        <v>373.17484100000001</v>
      </c>
      <c r="P184" s="6">
        <v>799.93171600000005</v>
      </c>
      <c r="Q184" s="7">
        <v>27</v>
      </c>
      <c r="R184" s="6">
        <v>1247.192941</v>
      </c>
      <c r="S184" s="6">
        <v>10612.948519</v>
      </c>
      <c r="T184" s="6">
        <v>9403.3617290000002</v>
      </c>
      <c r="U184" s="6">
        <v>8399.5756739999997</v>
      </c>
      <c r="V184" s="6">
        <v>7557.5113030000002</v>
      </c>
    </row>
    <row r="185" spans="1:22" x14ac:dyDescent="0.35">
      <c r="A185" s="5">
        <v>46022</v>
      </c>
      <c r="B185" s="4" t="s">
        <v>428</v>
      </c>
      <c r="C185" s="4" t="s">
        <v>429</v>
      </c>
      <c r="D185" s="4" t="s">
        <v>61</v>
      </c>
      <c r="E185" s="6">
        <v>107.63423</v>
      </c>
      <c r="F185" s="6">
        <v>2.3119480000000001</v>
      </c>
      <c r="G185" s="6">
        <v>105.322283</v>
      </c>
      <c r="H185" s="6">
        <v>4.3243169999999997</v>
      </c>
      <c r="I185" s="6">
        <v>36.212594000000003</v>
      </c>
      <c r="J185" s="6">
        <v>6.7748100000000004</v>
      </c>
      <c r="K185" s="6">
        <v>1.112007</v>
      </c>
      <c r="L185" s="6">
        <v>40.343221</v>
      </c>
      <c r="M185" s="6">
        <v>0</v>
      </c>
      <c r="N185" s="6">
        <v>16.555333000000001</v>
      </c>
      <c r="O185" s="6">
        <v>4.0315690000000002</v>
      </c>
      <c r="P185" s="6">
        <v>12.523764</v>
      </c>
      <c r="Q185" s="7">
        <v>25</v>
      </c>
      <c r="R185" s="6">
        <v>41.884283000000003</v>
      </c>
      <c r="S185" s="6">
        <v>62.006889999999999</v>
      </c>
      <c r="T185" s="6">
        <v>58.376420000000003</v>
      </c>
      <c r="U185" s="6">
        <v>55.069343000000003</v>
      </c>
      <c r="V185" s="6">
        <v>52.049532999999997</v>
      </c>
    </row>
    <row r="186" spans="1:22" x14ac:dyDescent="0.35">
      <c r="A186" s="5">
        <v>46022</v>
      </c>
      <c r="B186" s="4" t="s">
        <v>430</v>
      </c>
      <c r="C186" s="4" t="s">
        <v>431</v>
      </c>
      <c r="D186" s="4" t="s">
        <v>61</v>
      </c>
      <c r="E186" s="6">
        <v>3.1476350000000002</v>
      </c>
      <c r="F186" s="6">
        <v>0.22688</v>
      </c>
      <c r="G186" s="6">
        <v>2.9207550000000002</v>
      </c>
      <c r="H186" s="6">
        <v>0.51263700000000001</v>
      </c>
      <c r="I186" s="6">
        <v>1.7009700000000001</v>
      </c>
      <c r="J186" s="6">
        <v>0.153248</v>
      </c>
      <c r="K186" s="6">
        <v>-6.0700000000000001E-4</v>
      </c>
      <c r="L186" s="6">
        <v>0.183416</v>
      </c>
      <c r="M186" s="6">
        <v>0</v>
      </c>
      <c r="N186" s="6">
        <v>0.37108999999999998</v>
      </c>
      <c r="O186" s="6">
        <v>8.6676000000000003E-2</v>
      </c>
      <c r="P186" s="6">
        <v>0.28441499999999997</v>
      </c>
      <c r="Q186" s="7">
        <v>25</v>
      </c>
      <c r="R186" s="6">
        <v>0.183416</v>
      </c>
      <c r="S186" s="6">
        <v>0.52767399999999998</v>
      </c>
      <c r="T186" s="6">
        <v>0.51336099999999996</v>
      </c>
      <c r="U186" s="6">
        <v>0.49972499999999997</v>
      </c>
      <c r="V186" s="6">
        <v>0.48672199999999999</v>
      </c>
    </row>
    <row r="187" spans="1:22" x14ac:dyDescent="0.35">
      <c r="A187" s="5">
        <v>46022</v>
      </c>
      <c r="B187" s="4" t="s">
        <v>432</v>
      </c>
      <c r="C187" s="4" t="s">
        <v>433</v>
      </c>
      <c r="D187" s="4" t="s">
        <v>61</v>
      </c>
      <c r="E187" s="6">
        <v>1.351874</v>
      </c>
      <c r="F187" s="6">
        <v>0.11400299999999999</v>
      </c>
      <c r="G187" s="6">
        <v>1.2378709999999999</v>
      </c>
      <c r="H187" s="6">
        <v>0.146263</v>
      </c>
      <c r="I187" s="6">
        <v>0.51990999999999998</v>
      </c>
      <c r="J187" s="6">
        <v>5.1837000000000001E-2</v>
      </c>
      <c r="K187" s="6">
        <v>3.1000000000000001E-5</v>
      </c>
      <c r="L187" s="6">
        <v>3.3125000000000002E-2</v>
      </c>
      <c r="M187" s="6">
        <v>0</v>
      </c>
      <c r="N187" s="6">
        <v>0.486705</v>
      </c>
      <c r="O187" s="6">
        <v>0.121684</v>
      </c>
      <c r="P187" s="6">
        <v>0.36502099999999998</v>
      </c>
      <c r="Q187" s="7">
        <v>25</v>
      </c>
      <c r="R187" s="6">
        <v>3.3125000000000002E-2</v>
      </c>
      <c r="S187" s="6">
        <v>0.94074500000000005</v>
      </c>
      <c r="T187" s="6">
        <v>0.907802</v>
      </c>
      <c r="U187" s="6">
        <v>0.87676500000000002</v>
      </c>
      <c r="V187" s="6">
        <v>0.84748900000000005</v>
      </c>
    </row>
    <row r="188" spans="1:22" x14ac:dyDescent="0.35">
      <c r="A188" s="5">
        <v>46022</v>
      </c>
      <c r="B188" s="4" t="s">
        <v>434</v>
      </c>
      <c r="C188" s="4" t="s">
        <v>435</v>
      </c>
      <c r="D188" s="4" t="s">
        <v>61</v>
      </c>
      <c r="E188" s="6">
        <v>126.216853</v>
      </c>
      <c r="F188" s="6">
        <v>18.827323</v>
      </c>
      <c r="G188" s="6">
        <v>107.38952999999999</v>
      </c>
      <c r="H188" s="6">
        <v>3.0961639999999999</v>
      </c>
      <c r="I188" s="6">
        <v>34.141635999999998</v>
      </c>
      <c r="J188" s="6">
        <v>4.3748459999999998</v>
      </c>
      <c r="K188" s="6">
        <v>0.49551200000000001</v>
      </c>
      <c r="L188" s="6">
        <v>1.7174199999999999</v>
      </c>
      <c r="M188" s="6">
        <v>0</v>
      </c>
      <c r="N188" s="6">
        <v>63.563952</v>
      </c>
      <c r="O188" s="6">
        <v>9.2343770000000003</v>
      </c>
      <c r="P188" s="6">
        <v>54.329574999999998</v>
      </c>
      <c r="Q188" s="7">
        <v>15</v>
      </c>
      <c r="R188" s="6">
        <v>4.2143709999999999</v>
      </c>
      <c r="S188" s="6">
        <v>462.13207799999998</v>
      </c>
      <c r="T188" s="6">
        <v>409.68100500000003</v>
      </c>
      <c r="U188" s="6">
        <v>366.23570000000001</v>
      </c>
      <c r="V188" s="6">
        <v>329.91973200000001</v>
      </c>
    </row>
    <row r="189" spans="1:22" x14ac:dyDescent="0.35">
      <c r="A189" s="5">
        <v>46022</v>
      </c>
      <c r="B189" s="4" t="s">
        <v>436</v>
      </c>
      <c r="C189" s="4" t="s">
        <v>437</v>
      </c>
      <c r="D189" s="4" t="s">
        <v>438</v>
      </c>
      <c r="E189" s="6">
        <v>456.94987500000002</v>
      </c>
      <c r="F189" s="6">
        <v>87.064814999999996</v>
      </c>
      <c r="G189" s="6">
        <v>369.88506000000001</v>
      </c>
      <c r="H189" s="6">
        <v>0</v>
      </c>
      <c r="I189" s="6">
        <v>52.881115000000001</v>
      </c>
      <c r="J189" s="6">
        <v>6.5000049999999998</v>
      </c>
      <c r="K189" s="6">
        <v>-2.8262640000000001</v>
      </c>
      <c r="L189" s="6">
        <v>112.031116</v>
      </c>
      <c r="M189" s="6">
        <v>10.640631000000001</v>
      </c>
      <c r="N189" s="6">
        <v>190.658457</v>
      </c>
      <c r="O189" s="6">
        <v>60.403422999999997</v>
      </c>
      <c r="P189" s="6">
        <v>130.25503399999999</v>
      </c>
      <c r="Q189" s="7">
        <v>20</v>
      </c>
      <c r="R189" s="6">
        <v>8.4868249999999996</v>
      </c>
      <c r="S189" s="6">
        <v>991.94268899999997</v>
      </c>
      <c r="T189" s="6">
        <v>918.43934400000001</v>
      </c>
      <c r="U189" s="6">
        <v>852.88245300000005</v>
      </c>
      <c r="V189" s="6">
        <v>794.21925899999997</v>
      </c>
    </row>
    <row r="190" spans="1:22" x14ac:dyDescent="0.35">
      <c r="A190" s="5">
        <v>46022</v>
      </c>
      <c r="B190" s="4" t="s">
        <v>439</v>
      </c>
      <c r="C190" s="4" t="s">
        <v>440</v>
      </c>
      <c r="D190" s="4" t="s">
        <v>441</v>
      </c>
      <c r="E190" s="6">
        <v>429.46698800000001</v>
      </c>
      <c r="F190" s="6">
        <v>23.597638</v>
      </c>
      <c r="G190" s="6">
        <v>405.86935</v>
      </c>
      <c r="H190" s="6">
        <v>13.073824999999999</v>
      </c>
      <c r="I190" s="6">
        <v>199.29800900000001</v>
      </c>
      <c r="J190" s="6">
        <v>5.5927749999999996</v>
      </c>
      <c r="K190" s="6">
        <v>9.6886569999999992</v>
      </c>
      <c r="L190" s="6">
        <v>159.999999</v>
      </c>
      <c r="M190" s="6">
        <v>190.000001</v>
      </c>
      <c r="N190" s="6">
        <v>-171.78391500000001</v>
      </c>
      <c r="O190" s="6">
        <v>32.610975000000003</v>
      </c>
      <c r="P190" s="6">
        <v>-204.394891</v>
      </c>
      <c r="Q190" s="7">
        <v>22</v>
      </c>
      <c r="R190" s="6">
        <v>39.673034999999999</v>
      </c>
      <c r="S190" s="6">
        <v>596.70261600000003</v>
      </c>
      <c r="T190" s="6">
        <v>485.87535000000003</v>
      </c>
      <c r="U190" s="6">
        <v>394.947318</v>
      </c>
      <c r="V190" s="6">
        <v>319.91859699999998</v>
      </c>
    </row>
    <row r="191" spans="1:22" x14ac:dyDescent="0.35">
      <c r="A191" s="5">
        <v>46022</v>
      </c>
      <c r="B191" s="4" t="s">
        <v>442</v>
      </c>
      <c r="C191" s="4" t="s">
        <v>443</v>
      </c>
      <c r="D191" s="4" t="s">
        <v>222</v>
      </c>
      <c r="E191" s="6">
        <v>586.81877799999995</v>
      </c>
      <c r="F191" s="6">
        <v>22.471167000000001</v>
      </c>
      <c r="G191" s="6">
        <v>564.34761100000003</v>
      </c>
      <c r="H191" s="6">
        <v>9.654814</v>
      </c>
      <c r="I191" s="6">
        <v>254.93521200000001</v>
      </c>
      <c r="J191" s="6">
        <v>2.2358799999999999</v>
      </c>
      <c r="K191" s="6">
        <v>-19.023309000000001</v>
      </c>
      <c r="L191" s="6">
        <v>59.999999000000003</v>
      </c>
      <c r="M191" s="6">
        <v>14.999999000000001</v>
      </c>
      <c r="N191" s="6">
        <v>241.545016</v>
      </c>
      <c r="O191" s="6">
        <v>47.627794999999999</v>
      </c>
      <c r="P191" s="6">
        <v>193.91721999999999</v>
      </c>
      <c r="Q191" s="7">
        <v>26.5</v>
      </c>
      <c r="R191" s="6">
        <v>117.794175</v>
      </c>
      <c r="S191" s="6">
        <v>694.46975899999995</v>
      </c>
      <c r="T191" s="6">
        <v>659.50337200000001</v>
      </c>
      <c r="U191" s="6">
        <v>627.43151399999999</v>
      </c>
      <c r="V191" s="6">
        <v>597.93340499999999</v>
      </c>
    </row>
    <row r="192" spans="1:22" x14ac:dyDescent="0.35">
      <c r="A192" s="5">
        <v>46022</v>
      </c>
      <c r="B192" s="4" t="s">
        <v>444</v>
      </c>
      <c r="C192" s="4" t="s">
        <v>445</v>
      </c>
      <c r="D192" s="4" t="s">
        <v>89</v>
      </c>
      <c r="E192" s="6">
        <v>166.715238</v>
      </c>
      <c r="F192" s="6">
        <v>5.3244069999999999</v>
      </c>
      <c r="G192" s="6">
        <v>161.39083099999999</v>
      </c>
      <c r="H192" s="6">
        <v>8.2316920000000007</v>
      </c>
      <c r="I192" s="6">
        <v>99.794049999999999</v>
      </c>
      <c r="J192" s="6">
        <v>5.9249999999999998</v>
      </c>
      <c r="K192" s="6">
        <v>-19.339002000000001</v>
      </c>
      <c r="L192" s="6">
        <v>5.4001029999999997</v>
      </c>
      <c r="M192" s="6">
        <v>0</v>
      </c>
      <c r="N192" s="6">
        <v>61.378987000000002</v>
      </c>
      <c r="O192" s="6">
        <v>0</v>
      </c>
      <c r="P192" s="6">
        <v>61.378987000000002</v>
      </c>
      <c r="Q192" s="7">
        <v>30</v>
      </c>
      <c r="R192" s="6">
        <v>70.383322000000007</v>
      </c>
      <c r="S192" s="6">
        <v>109.609143</v>
      </c>
      <c r="T192" s="6">
        <v>106.674119</v>
      </c>
      <c r="U192" s="6">
        <v>103.876964</v>
      </c>
      <c r="V192" s="6">
        <v>101.208713</v>
      </c>
    </row>
    <row r="193" spans="1:22" x14ac:dyDescent="0.35">
      <c r="A193" s="5">
        <v>46022</v>
      </c>
      <c r="B193" s="4" t="s">
        <v>446</v>
      </c>
      <c r="C193" s="4" t="s">
        <v>447</v>
      </c>
      <c r="D193" s="4" t="s">
        <v>351</v>
      </c>
      <c r="E193" s="6">
        <v>3522.5410419999998</v>
      </c>
      <c r="F193" s="6">
        <v>178.71040099999999</v>
      </c>
      <c r="G193" s="6">
        <v>3343.8306400000001</v>
      </c>
      <c r="H193" s="6">
        <v>176.12708799999999</v>
      </c>
      <c r="I193" s="6">
        <v>822.529224</v>
      </c>
      <c r="J193" s="6">
        <v>56.432664000000003</v>
      </c>
      <c r="K193" s="6">
        <v>198.54476500000001</v>
      </c>
      <c r="L193" s="6">
        <v>236.05099200000001</v>
      </c>
      <c r="M193" s="6">
        <v>464.00000399999999</v>
      </c>
      <c r="N193" s="6">
        <v>1390.1459030000001</v>
      </c>
      <c r="O193" s="6">
        <v>424.09130699999997</v>
      </c>
      <c r="P193" s="6">
        <v>966.05459599999995</v>
      </c>
      <c r="Q193" s="7">
        <v>25</v>
      </c>
      <c r="R193" s="6">
        <v>592.37643600000001</v>
      </c>
      <c r="S193" s="6">
        <v>19024.646495000001</v>
      </c>
      <c r="T193" s="6">
        <v>16864.081045999999</v>
      </c>
      <c r="U193" s="6">
        <v>15070.063624</v>
      </c>
      <c r="V193" s="6">
        <v>13563.528641999999</v>
      </c>
    </row>
    <row r="194" spans="1:22" x14ac:dyDescent="0.35">
      <c r="A194" s="5">
        <v>46022</v>
      </c>
      <c r="B194" s="4" t="s">
        <v>448</v>
      </c>
      <c r="C194" s="4" t="s">
        <v>449</v>
      </c>
      <c r="D194" s="4" t="s">
        <v>148</v>
      </c>
      <c r="E194" s="6">
        <v>624.22618499999999</v>
      </c>
      <c r="F194" s="6">
        <v>35.561753000000003</v>
      </c>
      <c r="G194" s="6">
        <v>588.66443300000003</v>
      </c>
      <c r="H194" s="6">
        <v>15.538116</v>
      </c>
      <c r="I194" s="6">
        <v>318.89595000000003</v>
      </c>
      <c r="J194" s="6">
        <v>12.9</v>
      </c>
      <c r="K194" s="6">
        <v>-0.20103599999999999</v>
      </c>
      <c r="L194" s="6">
        <v>21.132000000000001</v>
      </c>
      <c r="M194" s="6">
        <v>0</v>
      </c>
      <c r="N194" s="6">
        <v>220.39940200000001</v>
      </c>
      <c r="O194" s="6">
        <v>21.770892</v>
      </c>
      <c r="P194" s="6">
        <v>198.62851000000001</v>
      </c>
      <c r="Q194" s="7">
        <v>10</v>
      </c>
      <c r="R194" s="6">
        <v>23.621445000000001</v>
      </c>
      <c r="S194" s="6">
        <v>2128.8941340000001</v>
      </c>
      <c r="T194" s="6">
        <v>1806.211904</v>
      </c>
      <c r="U194" s="6">
        <v>1558.276404</v>
      </c>
      <c r="V194" s="6">
        <v>1364.1090059999999</v>
      </c>
    </row>
    <row r="195" spans="1:22" x14ac:dyDescent="0.35">
      <c r="A195" s="5">
        <v>46022</v>
      </c>
      <c r="B195" s="4" t="s">
        <v>450</v>
      </c>
      <c r="C195" s="4" t="s">
        <v>451</v>
      </c>
      <c r="D195" s="4" t="s">
        <v>148</v>
      </c>
      <c r="E195" s="6">
        <v>13.889122</v>
      </c>
      <c r="F195" s="6">
        <v>5.7429999999999998E-3</v>
      </c>
      <c r="G195" s="6">
        <v>13.883379</v>
      </c>
      <c r="H195" s="6">
        <v>0.26035399999999997</v>
      </c>
      <c r="I195" s="6">
        <v>9.4760419999999996</v>
      </c>
      <c r="J195" s="6">
        <v>0.36120000000000002</v>
      </c>
      <c r="K195" s="6">
        <v>-1.8730000000000001E-3</v>
      </c>
      <c r="L195" s="6">
        <v>0.591696</v>
      </c>
      <c r="M195" s="6">
        <v>0</v>
      </c>
      <c r="N195" s="6">
        <v>3.1959610000000001</v>
      </c>
      <c r="O195" s="6">
        <v>0.224745</v>
      </c>
      <c r="P195" s="6">
        <v>2.9712160000000001</v>
      </c>
      <c r="Q195" s="7">
        <v>10</v>
      </c>
      <c r="R195" s="6">
        <v>1.538338</v>
      </c>
      <c r="S195" s="6">
        <v>31.729272999999999</v>
      </c>
      <c r="T195" s="6">
        <v>26.937170999999999</v>
      </c>
      <c r="U195" s="6">
        <v>23.251808</v>
      </c>
      <c r="V195" s="6">
        <v>20.363310999999999</v>
      </c>
    </row>
    <row r="196" spans="1:22" x14ac:dyDescent="0.35">
      <c r="A196" s="5">
        <v>46022</v>
      </c>
      <c r="B196" s="4" t="s">
        <v>452</v>
      </c>
      <c r="C196" s="4" t="s">
        <v>453</v>
      </c>
      <c r="D196" s="4" t="s">
        <v>89</v>
      </c>
      <c r="E196" s="6">
        <v>204.62679600000001</v>
      </c>
      <c r="F196" s="6">
        <v>26.160816000000001</v>
      </c>
      <c r="G196" s="6">
        <v>178.46598</v>
      </c>
      <c r="H196" s="6">
        <v>11.839111000000001</v>
      </c>
      <c r="I196" s="6">
        <v>126.780147</v>
      </c>
      <c r="J196" s="6">
        <v>6.7461450000000003</v>
      </c>
      <c r="K196" s="6">
        <v>7.4891230000000002</v>
      </c>
      <c r="L196" s="6">
        <v>26.735945999999998</v>
      </c>
      <c r="M196" s="6">
        <v>40.437890000000003</v>
      </c>
      <c r="N196" s="6">
        <v>-41.562382999999997</v>
      </c>
      <c r="O196" s="6">
        <v>0</v>
      </c>
      <c r="P196" s="6">
        <v>-41.562382999999997</v>
      </c>
      <c r="Q196" s="7">
        <v>30</v>
      </c>
      <c r="R196" s="6">
        <v>49.234493999999998</v>
      </c>
      <c r="S196" s="6">
        <v>-54.143830999999999</v>
      </c>
      <c r="T196" s="6">
        <v>-53.756833</v>
      </c>
      <c r="U196" s="6">
        <v>-52.964803000000003</v>
      </c>
      <c r="V196" s="6">
        <v>-51.901367</v>
      </c>
    </row>
    <row r="197" spans="1:22" x14ac:dyDescent="0.35">
      <c r="A197" s="5">
        <v>46022</v>
      </c>
      <c r="B197" s="4" t="s">
        <v>454</v>
      </c>
      <c r="C197" s="4" t="s">
        <v>455</v>
      </c>
      <c r="D197" s="4" t="s">
        <v>105</v>
      </c>
      <c r="E197" s="6">
        <v>291.53248200000002</v>
      </c>
      <c r="F197" s="6">
        <v>27.642002000000002</v>
      </c>
      <c r="G197" s="6">
        <v>263.89048000000003</v>
      </c>
      <c r="H197" s="6">
        <v>0.78323200000000004</v>
      </c>
      <c r="I197" s="6">
        <v>238.022807</v>
      </c>
      <c r="J197" s="6">
        <v>19.53651</v>
      </c>
      <c r="K197" s="6">
        <v>-4.3721759999999996</v>
      </c>
      <c r="L197" s="6">
        <v>4.8004119999999997</v>
      </c>
      <c r="M197" s="6">
        <v>0</v>
      </c>
      <c r="N197" s="6">
        <v>5.1196950000000001</v>
      </c>
      <c r="O197" s="6">
        <v>0</v>
      </c>
      <c r="P197" s="6">
        <v>5.1196950000000001</v>
      </c>
      <c r="Q197" s="7">
        <v>27</v>
      </c>
      <c r="R197" s="6">
        <v>55.679943000000002</v>
      </c>
      <c r="S197" s="6">
        <v>85.483091000000002</v>
      </c>
      <c r="T197" s="6">
        <v>79.641323999999997</v>
      </c>
      <c r="U197" s="6">
        <v>74.315189000000004</v>
      </c>
      <c r="V197" s="6">
        <v>69.450238999999996</v>
      </c>
    </row>
    <row r="198" spans="1:22" x14ac:dyDescent="0.35">
      <c r="A198" s="5">
        <v>46022</v>
      </c>
      <c r="B198" s="4" t="s">
        <v>456</v>
      </c>
      <c r="C198" s="4" t="s">
        <v>457</v>
      </c>
      <c r="D198" s="4" t="s">
        <v>105</v>
      </c>
      <c r="E198" s="6">
        <v>50.636485999999998</v>
      </c>
      <c r="F198" s="6">
        <v>4.7851549999999996</v>
      </c>
      <c r="G198" s="6">
        <v>45.851329999999997</v>
      </c>
      <c r="H198" s="6">
        <v>0</v>
      </c>
      <c r="I198" s="6">
        <v>29.126622999999999</v>
      </c>
      <c r="J198" s="6">
        <v>0.43231900000000001</v>
      </c>
      <c r="K198" s="6">
        <v>-1.8036559999999999</v>
      </c>
      <c r="L198" s="6">
        <v>1.2851090000000001</v>
      </c>
      <c r="M198" s="6">
        <v>0</v>
      </c>
      <c r="N198" s="6">
        <v>16.810936000000002</v>
      </c>
      <c r="O198" s="6">
        <v>3.5942799999999999</v>
      </c>
      <c r="P198" s="6">
        <v>13.216654999999999</v>
      </c>
      <c r="Q198" s="7">
        <v>27</v>
      </c>
      <c r="R198" s="6">
        <v>2.9802390000000001</v>
      </c>
      <c r="S198" s="6">
        <v>72.583153999999993</v>
      </c>
      <c r="T198" s="6">
        <v>67.413430000000005</v>
      </c>
      <c r="U198" s="6">
        <v>62.800904000000003</v>
      </c>
      <c r="V198" s="6">
        <v>58.671401000000003</v>
      </c>
    </row>
    <row r="199" spans="1:22" x14ac:dyDescent="0.35">
      <c r="A199" s="5">
        <v>46022</v>
      </c>
      <c r="B199" s="4" t="s">
        <v>458</v>
      </c>
      <c r="C199" s="4" t="s">
        <v>459</v>
      </c>
      <c r="D199" s="4" t="s">
        <v>222</v>
      </c>
      <c r="E199" s="6">
        <v>556.02358400000003</v>
      </c>
      <c r="F199" s="6">
        <v>48.903883</v>
      </c>
      <c r="G199" s="6">
        <v>507.11970100000002</v>
      </c>
      <c r="H199" s="6">
        <v>10.547554999999999</v>
      </c>
      <c r="I199" s="6">
        <v>317.59716600000002</v>
      </c>
      <c r="J199" s="6">
        <v>8.1423269999999999</v>
      </c>
      <c r="K199" s="6">
        <v>12.080458999999999</v>
      </c>
      <c r="L199" s="6">
        <v>99.999999000000003</v>
      </c>
      <c r="M199" s="6">
        <v>171.42857100000001</v>
      </c>
      <c r="N199" s="6">
        <v>-112.676377</v>
      </c>
      <c r="O199" s="6">
        <v>0</v>
      </c>
      <c r="P199" s="6">
        <v>-112.676377</v>
      </c>
      <c r="Q199" s="7">
        <v>26.5</v>
      </c>
      <c r="R199" s="6">
        <v>129.22186500000001</v>
      </c>
      <c r="S199" s="6">
        <v>1298.463217</v>
      </c>
      <c r="T199" s="6">
        <v>1068.322175</v>
      </c>
      <c r="U199" s="6">
        <v>882.98316299999999</v>
      </c>
      <c r="V199" s="6">
        <v>731.69187499999998</v>
      </c>
    </row>
    <row r="200" spans="1:22" x14ac:dyDescent="0.35">
      <c r="A200" s="5">
        <v>46022</v>
      </c>
      <c r="B200" s="4" t="s">
        <v>460</v>
      </c>
      <c r="C200" s="4" t="s">
        <v>461</v>
      </c>
      <c r="D200" s="4" t="s">
        <v>111</v>
      </c>
      <c r="E200" s="6">
        <v>53.397832000000001</v>
      </c>
      <c r="F200" s="6">
        <v>7.6524289999999997</v>
      </c>
      <c r="G200" s="6">
        <v>45.745403000000003</v>
      </c>
      <c r="H200" s="6">
        <v>2.22187</v>
      </c>
      <c r="I200" s="6">
        <v>49.598354</v>
      </c>
      <c r="J200" s="6">
        <v>2.507638</v>
      </c>
      <c r="K200" s="6">
        <v>0.64022199999999996</v>
      </c>
      <c r="L200" s="6">
        <v>2.35947</v>
      </c>
      <c r="M200" s="6">
        <v>0</v>
      </c>
      <c r="N200" s="6">
        <v>-11.582152000000001</v>
      </c>
      <c r="O200" s="6">
        <v>0</v>
      </c>
      <c r="P200" s="6">
        <v>-11.582152000000001</v>
      </c>
      <c r="Q200" s="7">
        <v>30</v>
      </c>
      <c r="R200" s="6">
        <v>17.952285</v>
      </c>
      <c r="S200" s="6">
        <v>-18.903493999999998</v>
      </c>
      <c r="T200" s="6">
        <v>-18.413784</v>
      </c>
      <c r="U200" s="6">
        <v>-17.946684999999999</v>
      </c>
      <c r="V200" s="6">
        <v>-17.500741999999999</v>
      </c>
    </row>
    <row r="201" spans="1:22" x14ac:dyDescent="0.35">
      <c r="A201" s="5">
        <v>46022</v>
      </c>
      <c r="B201" s="4" t="s">
        <v>462</v>
      </c>
      <c r="C201" s="4" t="s">
        <v>463</v>
      </c>
      <c r="D201" s="4" t="s">
        <v>55</v>
      </c>
      <c r="E201" s="6">
        <v>285.59869200000003</v>
      </c>
      <c r="F201" s="6">
        <v>42.560208000000003</v>
      </c>
      <c r="G201" s="6">
        <v>243.03848400000001</v>
      </c>
      <c r="H201" s="6">
        <v>15.144508999999999</v>
      </c>
      <c r="I201" s="6">
        <v>90.527006</v>
      </c>
      <c r="J201" s="6">
        <v>8.5000009999999993</v>
      </c>
      <c r="K201" s="6">
        <v>-7.7597160000000001</v>
      </c>
      <c r="L201" s="6">
        <v>36.210800999999996</v>
      </c>
      <c r="M201" s="6">
        <v>0</v>
      </c>
      <c r="N201" s="6">
        <v>100.415882</v>
      </c>
      <c r="O201" s="6">
        <v>19.726499</v>
      </c>
      <c r="P201" s="6">
        <v>80.689383000000007</v>
      </c>
      <c r="Q201" s="7">
        <v>34</v>
      </c>
      <c r="R201" s="6">
        <v>70.847852000000003</v>
      </c>
      <c r="S201" s="6">
        <v>282.37928499999998</v>
      </c>
      <c r="T201" s="6">
        <v>268.88841400000001</v>
      </c>
      <c r="U201" s="6">
        <v>256.42336299999999</v>
      </c>
      <c r="V201" s="6">
        <v>244.88378</v>
      </c>
    </row>
    <row r="202" spans="1:22" x14ac:dyDescent="0.35">
      <c r="A202" s="5">
        <v>46022</v>
      </c>
      <c r="B202" s="4" t="s">
        <v>464</v>
      </c>
      <c r="C202" s="4" t="s">
        <v>465</v>
      </c>
      <c r="D202" s="4" t="s">
        <v>466</v>
      </c>
      <c r="E202" s="6">
        <v>1958.1051</v>
      </c>
      <c r="F202" s="6">
        <v>125.21542100000001</v>
      </c>
      <c r="G202" s="6">
        <v>1832.8896789999999</v>
      </c>
      <c r="H202" s="6">
        <v>0</v>
      </c>
      <c r="I202" s="6">
        <v>1520.3522270000001</v>
      </c>
      <c r="J202" s="6">
        <v>228.052831</v>
      </c>
      <c r="K202" s="6">
        <v>-1.7621309999999999</v>
      </c>
      <c r="L202" s="6">
        <v>152.03524200000001</v>
      </c>
      <c r="M202" s="6">
        <v>0</v>
      </c>
      <c r="N202" s="6">
        <v>-65.788488999999998</v>
      </c>
      <c r="O202" s="6">
        <v>0</v>
      </c>
      <c r="P202" s="6">
        <v>-65.788488999999998</v>
      </c>
      <c r="Q202" s="7">
        <v>0</v>
      </c>
      <c r="R202" s="6">
        <v>184.303393</v>
      </c>
      <c r="S202" s="6">
        <v>-687.64904200000001</v>
      </c>
      <c r="T202" s="6">
        <v>-618.89159400000005</v>
      </c>
      <c r="U202" s="6">
        <v>-559.85475699999995</v>
      </c>
      <c r="V202" s="6">
        <v>-508.90380099999999</v>
      </c>
    </row>
    <row r="203" spans="1:22" x14ac:dyDescent="0.35">
      <c r="A203" s="5">
        <v>46022</v>
      </c>
      <c r="B203" s="4" t="s">
        <v>467</v>
      </c>
      <c r="C203" s="4" t="s">
        <v>468</v>
      </c>
      <c r="D203" s="4" t="s">
        <v>61</v>
      </c>
      <c r="E203" s="6">
        <v>15.739633</v>
      </c>
      <c r="F203" s="6">
        <v>0.78903000000000001</v>
      </c>
      <c r="G203" s="6">
        <v>14.950602999999999</v>
      </c>
      <c r="H203" s="6">
        <v>1.813205</v>
      </c>
      <c r="I203" s="6">
        <v>8.3155520000000003</v>
      </c>
      <c r="J203" s="6">
        <v>0.86685900000000005</v>
      </c>
      <c r="K203" s="6">
        <v>-6.1710000000000003E-3</v>
      </c>
      <c r="L203" s="6">
        <v>0.48702600000000001</v>
      </c>
      <c r="M203" s="6">
        <v>0</v>
      </c>
      <c r="N203" s="6">
        <v>3.474132</v>
      </c>
      <c r="O203" s="6">
        <v>0.86699000000000004</v>
      </c>
      <c r="P203" s="6">
        <v>2.6071420000000001</v>
      </c>
      <c r="Q203" s="7">
        <v>25</v>
      </c>
      <c r="R203" s="6">
        <v>0.48702600000000001</v>
      </c>
      <c r="S203" s="6">
        <v>19.325676000000001</v>
      </c>
      <c r="T203" s="6">
        <v>17.502233</v>
      </c>
      <c r="U203" s="6">
        <v>15.935171</v>
      </c>
      <c r="V203" s="6">
        <v>14.580716000000001</v>
      </c>
    </row>
    <row r="204" spans="1:22" x14ac:dyDescent="0.35">
      <c r="A204" s="5">
        <v>46022</v>
      </c>
      <c r="B204" s="4" t="s">
        <v>469</v>
      </c>
      <c r="C204" s="4" t="s">
        <v>470</v>
      </c>
      <c r="D204" s="4" t="s">
        <v>61</v>
      </c>
      <c r="E204" s="6">
        <v>6.603815</v>
      </c>
      <c r="F204" s="6">
        <v>0.48573699999999997</v>
      </c>
      <c r="G204" s="6">
        <v>6.1180779999999997</v>
      </c>
      <c r="H204" s="6">
        <v>0.80887399999999998</v>
      </c>
      <c r="I204" s="6">
        <v>3.288932</v>
      </c>
      <c r="J204" s="6">
        <v>0.25623400000000002</v>
      </c>
      <c r="K204" s="6">
        <v>-8.5899999999999995E-4</v>
      </c>
      <c r="L204" s="6">
        <v>0.28531299999999998</v>
      </c>
      <c r="M204" s="6">
        <v>0</v>
      </c>
      <c r="N204" s="6">
        <v>1.4795830000000001</v>
      </c>
      <c r="O204" s="6">
        <v>0.31273400000000001</v>
      </c>
      <c r="P204" s="6">
        <v>1.166849</v>
      </c>
      <c r="Q204" s="7">
        <v>25</v>
      </c>
      <c r="R204" s="6">
        <v>0.5131</v>
      </c>
      <c r="S204" s="6">
        <v>6.0713710000000001</v>
      </c>
      <c r="T204" s="6">
        <v>5.6773090000000002</v>
      </c>
      <c r="U204" s="6">
        <v>5.3220619999999998</v>
      </c>
      <c r="V204" s="6">
        <v>5.0008749999999997</v>
      </c>
    </row>
    <row r="205" spans="1:22" x14ac:dyDescent="0.35">
      <c r="A205" s="5">
        <v>46022</v>
      </c>
      <c r="B205" s="4" t="s">
        <v>471</v>
      </c>
      <c r="C205" s="4" t="s">
        <v>472</v>
      </c>
      <c r="D205" s="4" t="s">
        <v>61</v>
      </c>
      <c r="E205" s="6">
        <v>45.702786000000003</v>
      </c>
      <c r="F205" s="6">
        <v>2.576257</v>
      </c>
      <c r="G205" s="6">
        <v>43.126530000000002</v>
      </c>
      <c r="H205" s="6">
        <v>3.2775789999999998</v>
      </c>
      <c r="I205" s="6">
        <v>13.852808</v>
      </c>
      <c r="J205" s="6">
        <v>0.56191599999999997</v>
      </c>
      <c r="K205" s="6">
        <v>-1.7565999999999998E-2</v>
      </c>
      <c r="L205" s="6">
        <v>0.63636999999999999</v>
      </c>
      <c r="M205" s="6">
        <v>0</v>
      </c>
      <c r="N205" s="6">
        <v>24.815422000000002</v>
      </c>
      <c r="O205" s="6">
        <v>6.0600389999999997</v>
      </c>
      <c r="P205" s="6">
        <v>18.755383999999999</v>
      </c>
      <c r="Q205" s="7">
        <v>25</v>
      </c>
      <c r="R205" s="6">
        <v>1.194072</v>
      </c>
      <c r="S205" s="6">
        <v>192.296288</v>
      </c>
      <c r="T205" s="6">
        <v>163.80171300000001</v>
      </c>
      <c r="U205" s="6">
        <v>141.782938</v>
      </c>
      <c r="V205" s="6">
        <v>124.458265</v>
      </c>
    </row>
    <row r="206" spans="1:22" x14ac:dyDescent="0.35">
      <c r="A206" s="5">
        <v>46022</v>
      </c>
      <c r="B206" s="4" t="s">
        <v>473</v>
      </c>
      <c r="C206" s="4" t="s">
        <v>474</v>
      </c>
      <c r="D206" s="4" t="s">
        <v>105</v>
      </c>
      <c r="E206" s="6">
        <v>81.494870000000006</v>
      </c>
      <c r="F206" s="6">
        <v>12.90826</v>
      </c>
      <c r="G206" s="6">
        <v>68.586609999999993</v>
      </c>
      <c r="H206" s="6">
        <v>4.0747340000000003</v>
      </c>
      <c r="I206" s="6">
        <v>66.244670999999997</v>
      </c>
      <c r="J206" s="6">
        <v>3.4220619999999999</v>
      </c>
      <c r="K206" s="6">
        <v>6.8906970000000003</v>
      </c>
      <c r="L206" s="6">
        <v>22</v>
      </c>
      <c r="M206" s="6">
        <v>320</v>
      </c>
      <c r="N206" s="6">
        <v>-354.04555399999998</v>
      </c>
      <c r="O206" s="6">
        <v>0</v>
      </c>
      <c r="P206" s="6">
        <v>-354.04555399999998</v>
      </c>
      <c r="Q206" s="7">
        <v>27</v>
      </c>
      <c r="R206" s="6">
        <v>26.334543</v>
      </c>
      <c r="S206" s="6">
        <v>874.48759299999995</v>
      </c>
      <c r="T206" s="6">
        <v>629.98338200000001</v>
      </c>
      <c r="U206" s="6">
        <v>443.11216300000001</v>
      </c>
      <c r="V206" s="6">
        <v>298.63578699999999</v>
      </c>
    </row>
    <row r="207" spans="1:22" x14ac:dyDescent="0.35">
      <c r="A207" s="5">
        <v>46022</v>
      </c>
      <c r="B207" s="4" t="s">
        <v>475</v>
      </c>
      <c r="C207" s="4" t="s">
        <v>476</v>
      </c>
      <c r="D207" s="4" t="s">
        <v>111</v>
      </c>
      <c r="E207" s="6">
        <v>135.73931099999999</v>
      </c>
      <c r="F207" s="6">
        <v>14.834071</v>
      </c>
      <c r="G207" s="6">
        <v>120.90524000000001</v>
      </c>
      <c r="H207" s="6">
        <v>1.768564</v>
      </c>
      <c r="I207" s="6">
        <v>98.795036999999994</v>
      </c>
      <c r="J207" s="6">
        <v>3.476372</v>
      </c>
      <c r="K207" s="6">
        <v>4.6011839999999999</v>
      </c>
      <c r="L207" s="6">
        <v>10.777117000000001</v>
      </c>
      <c r="M207" s="6">
        <v>0</v>
      </c>
      <c r="N207" s="6">
        <v>1.486964</v>
      </c>
      <c r="O207" s="6">
        <v>0</v>
      </c>
      <c r="P207" s="6">
        <v>1.486964</v>
      </c>
      <c r="Q207" s="7">
        <v>30</v>
      </c>
      <c r="R207" s="6">
        <v>12.541200999999999</v>
      </c>
      <c r="S207" s="6">
        <v>18.469183999999998</v>
      </c>
      <c r="T207" s="6">
        <v>17.090219999999999</v>
      </c>
      <c r="U207" s="6">
        <v>15.855556</v>
      </c>
      <c r="V207" s="6">
        <v>14.746971</v>
      </c>
    </row>
    <row r="208" spans="1:22" x14ac:dyDescent="0.35">
      <c r="A208" s="5">
        <v>46022</v>
      </c>
      <c r="B208" s="4" t="s">
        <v>477</v>
      </c>
      <c r="C208" s="4" t="s">
        <v>478</v>
      </c>
      <c r="D208" s="4" t="s">
        <v>55</v>
      </c>
      <c r="E208" s="6">
        <v>2832.4174280000002</v>
      </c>
      <c r="F208" s="6">
        <v>125.87895</v>
      </c>
      <c r="G208" s="6">
        <v>2706.5384779999999</v>
      </c>
      <c r="H208" s="6">
        <v>52.008304000000003</v>
      </c>
      <c r="I208" s="6">
        <v>978.34208999999998</v>
      </c>
      <c r="J208" s="6">
        <v>38.562179999999998</v>
      </c>
      <c r="K208" s="6">
        <v>129.84992500000001</v>
      </c>
      <c r="L208" s="6">
        <v>114.72588</v>
      </c>
      <c r="M208" s="6">
        <v>0</v>
      </c>
      <c r="N208" s="6">
        <v>1393.050099</v>
      </c>
      <c r="O208" s="6">
        <v>469.01539100000002</v>
      </c>
      <c r="P208" s="6">
        <v>924.03470700000003</v>
      </c>
      <c r="Q208" s="7">
        <v>34</v>
      </c>
      <c r="R208" s="6">
        <v>258.16887000000003</v>
      </c>
      <c r="S208" s="6">
        <v>13666.334118000001</v>
      </c>
      <c r="T208" s="6">
        <v>11556.471689</v>
      </c>
      <c r="U208" s="6">
        <v>9928.6797790000001</v>
      </c>
      <c r="V208" s="6">
        <v>8649.8102920000001</v>
      </c>
    </row>
    <row r="209" spans="1:22" x14ac:dyDescent="0.35">
      <c r="A209" s="5">
        <v>46022</v>
      </c>
      <c r="B209" s="4" t="s">
        <v>479</v>
      </c>
      <c r="C209" s="4" t="s">
        <v>480</v>
      </c>
      <c r="D209" s="4" t="s">
        <v>61</v>
      </c>
      <c r="E209" s="6">
        <v>1.201195</v>
      </c>
      <c r="F209" s="6">
        <v>7.1534E-2</v>
      </c>
      <c r="G209" s="6">
        <v>1.1296619999999999</v>
      </c>
      <c r="H209" s="6">
        <v>0.153476</v>
      </c>
      <c r="I209" s="6">
        <v>0.69018500000000005</v>
      </c>
      <c r="J209" s="6">
        <v>3.9334000000000001E-2</v>
      </c>
      <c r="K209" s="6">
        <v>-8.43E-4</v>
      </c>
      <c r="L209" s="6">
        <v>1.3036000000000001E-2</v>
      </c>
      <c r="M209" s="6">
        <v>0</v>
      </c>
      <c r="N209" s="6">
        <v>0.23447399999999999</v>
      </c>
      <c r="O209" s="6">
        <v>5.8288E-2</v>
      </c>
      <c r="P209" s="6">
        <v>0.17618500000000001</v>
      </c>
      <c r="Q209" s="7">
        <v>25</v>
      </c>
      <c r="R209" s="6">
        <v>1.3514E-2</v>
      </c>
      <c r="S209" s="6">
        <v>0.163135</v>
      </c>
      <c r="T209" s="6">
        <v>0.16016900000000001</v>
      </c>
      <c r="U209" s="6">
        <v>0.157308</v>
      </c>
      <c r="V209" s="6">
        <v>0.15454899999999999</v>
      </c>
    </row>
    <row r="210" spans="1:22" x14ac:dyDescent="0.35">
      <c r="A210" s="5">
        <v>46022</v>
      </c>
      <c r="B210" s="4" t="s">
        <v>481</v>
      </c>
      <c r="C210" s="4" t="s">
        <v>482</v>
      </c>
      <c r="D210" s="4" t="s">
        <v>61</v>
      </c>
      <c r="E210" s="6">
        <v>2.8741219999999998</v>
      </c>
      <c r="F210" s="6">
        <v>0.211394</v>
      </c>
      <c r="G210" s="6">
        <v>2.662728</v>
      </c>
      <c r="H210" s="6">
        <v>0.62799199999999999</v>
      </c>
      <c r="I210" s="6">
        <v>2.0886909999999999</v>
      </c>
      <c r="J210" s="6">
        <v>0.11014599999999999</v>
      </c>
      <c r="K210" s="6">
        <v>-3.4699999999999998E-4</v>
      </c>
      <c r="L210" s="6">
        <v>8.7012999999999993E-2</v>
      </c>
      <c r="M210" s="6">
        <v>0</v>
      </c>
      <c r="N210" s="6">
        <v>-0.25076799999999999</v>
      </c>
      <c r="O210" s="6">
        <v>0</v>
      </c>
      <c r="P210" s="6">
        <v>-0.25076799999999999</v>
      </c>
      <c r="Q210" s="7">
        <v>25</v>
      </c>
      <c r="R210" s="6">
        <v>0.19057099999999999</v>
      </c>
      <c r="S210" s="6">
        <v>-2.222391</v>
      </c>
      <c r="T210" s="6">
        <v>-1.9643360000000001</v>
      </c>
      <c r="U210" s="6">
        <v>-1.750963</v>
      </c>
      <c r="V210" s="6">
        <v>-1.5729470000000001</v>
      </c>
    </row>
    <row r="211" spans="1:22" x14ac:dyDescent="0.35">
      <c r="A211" s="5">
        <v>46022</v>
      </c>
      <c r="B211" s="4" t="s">
        <v>483</v>
      </c>
      <c r="C211" s="4" t="s">
        <v>484</v>
      </c>
      <c r="D211" s="4" t="s">
        <v>79</v>
      </c>
      <c r="E211" s="6">
        <v>185.1883</v>
      </c>
      <c r="F211" s="6">
        <v>1.2</v>
      </c>
      <c r="G211" s="6">
        <v>183.98830000000001</v>
      </c>
      <c r="H211" s="6">
        <v>4.629937</v>
      </c>
      <c r="I211" s="6">
        <v>92.660436000000004</v>
      </c>
      <c r="J211" s="6">
        <v>4.6234440000000001</v>
      </c>
      <c r="K211" s="6">
        <v>1.0524659999999999</v>
      </c>
      <c r="L211" s="6">
        <v>10.077774</v>
      </c>
      <c r="M211" s="6">
        <v>0</v>
      </c>
      <c r="N211" s="6">
        <v>70.944243999999998</v>
      </c>
      <c r="O211" s="6">
        <v>18.272112</v>
      </c>
      <c r="P211" s="6">
        <v>52.672131999999998</v>
      </c>
      <c r="Q211" s="7">
        <v>26</v>
      </c>
      <c r="R211" s="6">
        <v>11.797129999999999</v>
      </c>
      <c r="S211" s="6">
        <v>323.46166699999998</v>
      </c>
      <c r="T211" s="6">
        <v>300.8331</v>
      </c>
      <c r="U211" s="6">
        <v>280.54568</v>
      </c>
      <c r="V211" s="6">
        <v>262.302076</v>
      </c>
    </row>
    <row r="212" spans="1:22" x14ac:dyDescent="0.35">
      <c r="A212" s="5">
        <v>46022</v>
      </c>
      <c r="B212" s="4" t="s">
        <v>485</v>
      </c>
      <c r="C212" s="4" t="s">
        <v>486</v>
      </c>
      <c r="D212" s="4" t="s">
        <v>61</v>
      </c>
      <c r="E212" s="6">
        <v>22.167285</v>
      </c>
      <c r="F212" s="6">
        <v>2.7785500000000001</v>
      </c>
      <c r="G212" s="6">
        <v>19.388735</v>
      </c>
      <c r="H212" s="6">
        <v>1.6479699999999999</v>
      </c>
      <c r="I212" s="6">
        <v>5.0264360000000003</v>
      </c>
      <c r="J212" s="6">
        <v>0.72908600000000001</v>
      </c>
      <c r="K212" s="6">
        <v>-5.4910000000000002E-3</v>
      </c>
      <c r="L212" s="6">
        <v>0.459366</v>
      </c>
      <c r="M212" s="6">
        <v>0</v>
      </c>
      <c r="N212" s="6">
        <v>11.531368000000001</v>
      </c>
      <c r="O212" s="6">
        <v>2.8330039999999999</v>
      </c>
      <c r="P212" s="6">
        <v>8.6983630000000005</v>
      </c>
      <c r="Q212" s="7">
        <v>25</v>
      </c>
      <c r="R212" s="6">
        <v>0.65322499999999994</v>
      </c>
      <c r="S212" s="6">
        <v>15.506777</v>
      </c>
      <c r="T212" s="6">
        <v>15.091794999999999</v>
      </c>
      <c r="U212" s="6">
        <v>14.696300000000001</v>
      </c>
      <c r="V212" s="6">
        <v>14.319025999999999</v>
      </c>
    </row>
    <row r="213" spans="1:22" x14ac:dyDescent="0.35">
      <c r="A213" s="5">
        <v>46022</v>
      </c>
      <c r="B213" s="4" t="s">
        <v>487</v>
      </c>
      <c r="C213" s="4" t="s">
        <v>488</v>
      </c>
      <c r="D213" s="4" t="s">
        <v>61</v>
      </c>
      <c r="E213" s="6">
        <v>1.347245</v>
      </c>
      <c r="F213" s="6">
        <v>9.4458E-2</v>
      </c>
      <c r="G213" s="6">
        <v>1.2527870000000001</v>
      </c>
      <c r="H213" s="6">
        <v>0.23980899999999999</v>
      </c>
      <c r="I213" s="6">
        <v>0.95087600000000005</v>
      </c>
      <c r="J213" s="6">
        <v>4.9737999999999997E-2</v>
      </c>
      <c r="K213" s="6">
        <v>-1.63E-4</v>
      </c>
      <c r="L213" s="6">
        <v>3.7803000000000003E-2</v>
      </c>
      <c r="M213" s="6">
        <v>0</v>
      </c>
      <c r="N213" s="6">
        <v>-2.5277000000000001E-2</v>
      </c>
      <c r="O213" s="6">
        <v>0</v>
      </c>
      <c r="P213" s="6">
        <v>-2.5277000000000001E-2</v>
      </c>
      <c r="Q213" s="7">
        <v>25</v>
      </c>
      <c r="R213" s="6">
        <v>5.0309E-2</v>
      </c>
      <c r="S213" s="6">
        <v>-0.225027</v>
      </c>
      <c r="T213" s="6">
        <v>-0.19888600000000001</v>
      </c>
      <c r="U213" s="6">
        <v>-0.17727200000000001</v>
      </c>
      <c r="V213" s="6">
        <v>-0.15923999999999999</v>
      </c>
    </row>
    <row r="214" spans="1:22" x14ac:dyDescent="0.35">
      <c r="A214" s="5">
        <v>46022</v>
      </c>
      <c r="B214" s="4" t="s">
        <v>489</v>
      </c>
      <c r="C214" s="4" t="s">
        <v>490</v>
      </c>
      <c r="D214" s="4" t="s">
        <v>61</v>
      </c>
      <c r="E214" s="6">
        <v>143.792968</v>
      </c>
      <c r="F214" s="6">
        <v>11.513012</v>
      </c>
      <c r="G214" s="6">
        <v>132.279956</v>
      </c>
      <c r="H214" s="6">
        <v>12.349721000000001</v>
      </c>
      <c r="I214" s="6">
        <v>25.45486</v>
      </c>
      <c r="J214" s="6">
        <v>1.420946</v>
      </c>
      <c r="K214" s="6">
        <v>-5.6294999999999998E-2</v>
      </c>
      <c r="L214" s="6">
        <v>4.8995569999999997</v>
      </c>
      <c r="M214" s="6">
        <v>0</v>
      </c>
      <c r="N214" s="6">
        <v>88.211167000000003</v>
      </c>
      <c r="O214" s="6">
        <v>22.189907999999999</v>
      </c>
      <c r="P214" s="6">
        <v>66.021259000000001</v>
      </c>
      <c r="Q214" s="7">
        <v>25</v>
      </c>
      <c r="R214" s="6">
        <v>4.2947959999999998</v>
      </c>
      <c r="S214" s="6">
        <v>117.685119</v>
      </c>
      <c r="T214" s="6">
        <v>114.535825</v>
      </c>
      <c r="U214" s="6">
        <v>111.534417</v>
      </c>
      <c r="V214" s="6">
        <v>108.67128200000001</v>
      </c>
    </row>
    <row r="215" spans="1:22" x14ac:dyDescent="0.35">
      <c r="A215" s="5">
        <v>46022</v>
      </c>
      <c r="B215" s="4" t="s">
        <v>491</v>
      </c>
      <c r="C215" s="4" t="s">
        <v>492</v>
      </c>
      <c r="D215" s="4" t="s">
        <v>79</v>
      </c>
      <c r="E215" s="6">
        <v>923.10846100000003</v>
      </c>
      <c r="F215" s="6">
        <v>21.421970000000002</v>
      </c>
      <c r="G215" s="6">
        <v>901.68649200000004</v>
      </c>
      <c r="H215" s="6">
        <v>23.077473999999999</v>
      </c>
      <c r="I215" s="6">
        <v>687.15262199999995</v>
      </c>
      <c r="J215" s="6">
        <v>19.764904999999999</v>
      </c>
      <c r="K215" s="6">
        <v>-3.617362</v>
      </c>
      <c r="L215" s="6">
        <v>54.990549000000001</v>
      </c>
      <c r="M215" s="6">
        <v>0</v>
      </c>
      <c r="N215" s="6">
        <v>120.318304</v>
      </c>
      <c r="O215" s="6">
        <v>30.342244999999998</v>
      </c>
      <c r="P215" s="6">
        <v>89.976059000000006</v>
      </c>
      <c r="Q215" s="7">
        <v>26</v>
      </c>
      <c r="R215" s="6">
        <v>54.990549000000001</v>
      </c>
      <c r="S215" s="6">
        <v>936.88502300000005</v>
      </c>
      <c r="T215" s="6">
        <v>794.41582800000003</v>
      </c>
      <c r="U215" s="6">
        <v>685.08869300000003</v>
      </c>
      <c r="V215" s="6">
        <v>599.57291199999997</v>
      </c>
    </row>
    <row r="216" spans="1:22" x14ac:dyDescent="0.35">
      <c r="A216" s="5">
        <v>46022</v>
      </c>
      <c r="B216" s="4" t="s">
        <v>493</v>
      </c>
      <c r="C216" s="4" t="s">
        <v>494</v>
      </c>
      <c r="D216" s="4" t="s">
        <v>79</v>
      </c>
      <c r="E216" s="6">
        <v>174.00663</v>
      </c>
      <c r="F216" s="6">
        <v>3.7265000000000001</v>
      </c>
      <c r="G216" s="6">
        <v>170.28013000000001</v>
      </c>
      <c r="H216" s="6">
        <v>4.3499889999999999</v>
      </c>
      <c r="I216" s="6">
        <v>126.93558899999999</v>
      </c>
      <c r="J216" s="6">
        <v>4.9704629999999996</v>
      </c>
      <c r="K216" s="6">
        <v>-0.613012</v>
      </c>
      <c r="L216" s="6">
        <v>12.815512999999999</v>
      </c>
      <c r="M216" s="6">
        <v>0</v>
      </c>
      <c r="N216" s="6">
        <v>21.821587999999998</v>
      </c>
      <c r="O216" s="6">
        <v>5.5142300000000004</v>
      </c>
      <c r="P216" s="6">
        <v>16.307358000000001</v>
      </c>
      <c r="Q216" s="7">
        <v>26</v>
      </c>
      <c r="R216" s="6">
        <v>12.815512999999999</v>
      </c>
      <c r="S216" s="6">
        <v>273.28349500000002</v>
      </c>
      <c r="T216" s="6">
        <v>214.61756299999999</v>
      </c>
      <c r="U216" s="6">
        <v>172.852675</v>
      </c>
      <c r="V216" s="6">
        <v>142.53904700000001</v>
      </c>
    </row>
    <row r="217" spans="1:22" x14ac:dyDescent="0.35">
      <c r="A217" s="5">
        <v>46022</v>
      </c>
      <c r="B217" s="4" t="s">
        <v>495</v>
      </c>
      <c r="C217" s="4" t="s">
        <v>496</v>
      </c>
      <c r="D217" s="4" t="s">
        <v>61</v>
      </c>
      <c r="E217" s="6">
        <v>62.031427000000001</v>
      </c>
      <c r="F217" s="6">
        <v>9.1047049999999992</v>
      </c>
      <c r="G217" s="6">
        <v>52.926721999999998</v>
      </c>
      <c r="H217" s="6">
        <v>6.9707660000000002</v>
      </c>
      <c r="I217" s="6">
        <v>30.163174999999999</v>
      </c>
      <c r="J217" s="6">
        <v>2.1647189999999998</v>
      </c>
      <c r="K217" s="6">
        <v>0.87302900000000005</v>
      </c>
      <c r="L217" s="6">
        <v>0.64525200000000005</v>
      </c>
      <c r="M217" s="6">
        <v>0</v>
      </c>
      <c r="N217" s="6">
        <v>12.109781</v>
      </c>
      <c r="O217" s="6">
        <v>2.8762430000000001</v>
      </c>
      <c r="P217" s="6">
        <v>9.2335379999999994</v>
      </c>
      <c r="Q217" s="7">
        <v>25</v>
      </c>
      <c r="R217" s="6">
        <v>2.1230899999999999</v>
      </c>
      <c r="S217" s="6">
        <v>64.531909999999996</v>
      </c>
      <c r="T217" s="6">
        <v>59.246214000000002</v>
      </c>
      <c r="U217" s="6">
        <v>54.604025999999998</v>
      </c>
      <c r="V217" s="6">
        <v>50.509515</v>
      </c>
    </row>
    <row r="218" spans="1:22" x14ac:dyDescent="0.35">
      <c r="A218" s="5">
        <v>46022</v>
      </c>
      <c r="B218" s="4" t="s">
        <v>497</v>
      </c>
      <c r="C218" s="4" t="s">
        <v>498</v>
      </c>
      <c r="D218" s="4" t="s">
        <v>55</v>
      </c>
      <c r="E218" s="6">
        <v>588.46835799999997</v>
      </c>
      <c r="F218" s="6">
        <v>52.640839</v>
      </c>
      <c r="G218" s="6">
        <v>535.82751900000005</v>
      </c>
      <c r="H218" s="6">
        <v>9.9794020000000003</v>
      </c>
      <c r="I218" s="6">
        <v>336.35995800000001</v>
      </c>
      <c r="J218" s="6">
        <v>11.799996999999999</v>
      </c>
      <c r="K218" s="6">
        <v>3.654944</v>
      </c>
      <c r="L218" s="6">
        <v>62.676447000000003</v>
      </c>
      <c r="M218" s="6">
        <v>0</v>
      </c>
      <c r="N218" s="6">
        <v>111.35677099999999</v>
      </c>
      <c r="O218" s="6">
        <v>33.562677999999998</v>
      </c>
      <c r="P218" s="6">
        <v>77.794093000000004</v>
      </c>
      <c r="Q218" s="7">
        <v>34</v>
      </c>
      <c r="R218" s="6">
        <v>78.974401999999998</v>
      </c>
      <c r="S218" s="6">
        <v>351.74124699999999</v>
      </c>
      <c r="T218" s="6">
        <v>335.67377199999999</v>
      </c>
      <c r="U218" s="6">
        <v>320.729489</v>
      </c>
      <c r="V218" s="6">
        <v>306.80776200000003</v>
      </c>
    </row>
    <row r="219" spans="1:22" x14ac:dyDescent="0.35">
      <c r="A219" s="5">
        <v>46022</v>
      </c>
      <c r="B219" s="4" t="s">
        <v>499</v>
      </c>
      <c r="C219" s="4" t="s">
        <v>500</v>
      </c>
      <c r="D219" s="4" t="s">
        <v>222</v>
      </c>
      <c r="E219" s="6">
        <v>268.049848</v>
      </c>
      <c r="F219" s="6">
        <v>45.054535000000001</v>
      </c>
      <c r="G219" s="6">
        <v>222.99531300000001</v>
      </c>
      <c r="H219" s="6">
        <v>0</v>
      </c>
      <c r="I219" s="6">
        <v>231.022333</v>
      </c>
      <c r="J219" s="6">
        <v>1.0373760000000001</v>
      </c>
      <c r="K219" s="6">
        <v>-0.16750899999999999</v>
      </c>
      <c r="L219" s="6">
        <v>41.534218000000003</v>
      </c>
      <c r="M219" s="6">
        <v>200</v>
      </c>
      <c r="N219" s="6">
        <v>-250.431105</v>
      </c>
      <c r="O219" s="6">
        <v>0</v>
      </c>
      <c r="P219" s="6">
        <v>-250.431105</v>
      </c>
      <c r="Q219" s="7">
        <v>26.3</v>
      </c>
      <c r="R219" s="6">
        <v>110.48586299999999</v>
      </c>
      <c r="S219" s="6">
        <v>147.24093500000001</v>
      </c>
      <c r="T219" s="6">
        <v>82.792170999999996</v>
      </c>
      <c r="U219" s="6">
        <v>31.089046</v>
      </c>
      <c r="V219" s="6">
        <v>-10.578538</v>
      </c>
    </row>
    <row r="220" spans="1:22" x14ac:dyDescent="0.35">
      <c r="A220" s="5">
        <v>46022</v>
      </c>
      <c r="B220" s="4" t="s">
        <v>501</v>
      </c>
      <c r="C220" s="4" t="s">
        <v>502</v>
      </c>
      <c r="D220" s="4" t="s">
        <v>79</v>
      </c>
      <c r="E220" s="6">
        <v>299.036406</v>
      </c>
      <c r="F220" s="6">
        <v>16.041011000000001</v>
      </c>
      <c r="G220" s="6">
        <v>282.99539499999997</v>
      </c>
      <c r="H220" s="6">
        <v>0</v>
      </c>
      <c r="I220" s="6">
        <v>263.94083799999999</v>
      </c>
      <c r="J220" s="6">
        <v>23.202846000000001</v>
      </c>
      <c r="K220" s="6">
        <v>-11.312516</v>
      </c>
      <c r="L220" s="6">
        <v>72.172103000000007</v>
      </c>
      <c r="M220" s="6">
        <v>13.657182000000001</v>
      </c>
      <c r="N220" s="6">
        <v>-78.665058999999999</v>
      </c>
      <c r="O220" s="6">
        <v>0</v>
      </c>
      <c r="P220" s="6">
        <v>-78.665058999999999</v>
      </c>
      <c r="Q220" s="7">
        <v>27</v>
      </c>
      <c r="R220" s="6">
        <v>31.755725000000002</v>
      </c>
      <c r="S220" s="6">
        <v>433.402671</v>
      </c>
      <c r="T220" s="6">
        <v>305.98189000000002</v>
      </c>
      <c r="U220" s="6">
        <v>213.42122800000001</v>
      </c>
      <c r="V220" s="6">
        <v>145.28578200000001</v>
      </c>
    </row>
    <row r="221" spans="1:22" x14ac:dyDescent="0.35">
      <c r="A221" s="5">
        <v>46022</v>
      </c>
      <c r="B221" s="4" t="s">
        <v>503</v>
      </c>
      <c r="C221" s="4" t="s">
        <v>504</v>
      </c>
      <c r="D221" s="4" t="s">
        <v>61</v>
      </c>
      <c r="E221" s="6">
        <v>9.2510809999999992</v>
      </c>
      <c r="F221" s="6">
        <v>0.77795899999999996</v>
      </c>
      <c r="G221" s="6">
        <v>8.473122</v>
      </c>
      <c r="H221" s="6">
        <v>0.75111899999999998</v>
      </c>
      <c r="I221" s="6">
        <v>3.6779109999999999</v>
      </c>
      <c r="J221" s="6">
        <v>0.31794099999999997</v>
      </c>
      <c r="K221" s="6">
        <v>-1.116E-3</v>
      </c>
      <c r="L221" s="6">
        <v>0.11884500000000001</v>
      </c>
      <c r="M221" s="6">
        <v>0</v>
      </c>
      <c r="N221" s="6">
        <v>3.6084230000000002</v>
      </c>
      <c r="O221" s="6">
        <v>0.83203300000000002</v>
      </c>
      <c r="P221" s="6">
        <v>2.7763900000000001</v>
      </c>
      <c r="Q221" s="7">
        <v>25</v>
      </c>
      <c r="R221" s="6">
        <v>0.39802100000000001</v>
      </c>
      <c r="S221" s="6">
        <v>24.473064000000001</v>
      </c>
      <c r="T221" s="6">
        <v>21.643286</v>
      </c>
      <c r="U221" s="6">
        <v>19.301711000000001</v>
      </c>
      <c r="V221" s="6">
        <v>17.346748000000002</v>
      </c>
    </row>
    <row r="222" spans="1:22" x14ac:dyDescent="0.35">
      <c r="A222" s="5">
        <v>46022</v>
      </c>
      <c r="B222" s="4" t="s">
        <v>505</v>
      </c>
      <c r="C222" s="4" t="s">
        <v>506</v>
      </c>
      <c r="D222" s="4" t="s">
        <v>61</v>
      </c>
      <c r="E222" s="6">
        <v>10.479141</v>
      </c>
      <c r="F222" s="6">
        <v>0.69439300000000004</v>
      </c>
      <c r="G222" s="6">
        <v>9.7847480000000004</v>
      </c>
      <c r="H222" s="6">
        <v>1.2393050000000001</v>
      </c>
      <c r="I222" s="6">
        <v>3.987536</v>
      </c>
      <c r="J222" s="6">
        <v>0.25378499999999998</v>
      </c>
      <c r="K222" s="6">
        <v>-5.9979999999999999E-3</v>
      </c>
      <c r="L222" s="6">
        <v>0.38282500000000003</v>
      </c>
      <c r="M222" s="6">
        <v>0</v>
      </c>
      <c r="N222" s="6">
        <v>3.927295</v>
      </c>
      <c r="O222" s="6">
        <v>0.87388399999999999</v>
      </c>
      <c r="P222" s="6">
        <v>3.0534119999999998</v>
      </c>
      <c r="Q222" s="7">
        <v>25</v>
      </c>
      <c r="R222" s="6">
        <v>0.80858699999999994</v>
      </c>
      <c r="S222" s="6">
        <v>24.091628</v>
      </c>
      <c r="T222" s="6">
        <v>21.652317</v>
      </c>
      <c r="U222" s="6">
        <v>19.580563999999999</v>
      </c>
      <c r="V222" s="6">
        <v>17.809353999999999</v>
      </c>
    </row>
    <row r="223" spans="1:22" x14ac:dyDescent="0.35">
      <c r="A223" s="5">
        <v>46022</v>
      </c>
      <c r="B223" s="4" t="s">
        <v>507</v>
      </c>
      <c r="C223" s="4" t="s">
        <v>508</v>
      </c>
      <c r="D223" s="4" t="s">
        <v>111</v>
      </c>
      <c r="E223" s="6">
        <v>322.99</v>
      </c>
      <c r="F223" s="6">
        <v>33.364950999999998</v>
      </c>
      <c r="G223" s="6">
        <v>289.62504999999999</v>
      </c>
      <c r="H223" s="6">
        <v>20.418565000000001</v>
      </c>
      <c r="I223" s="6">
        <v>122.311515</v>
      </c>
      <c r="J223" s="6">
        <v>7.7413309999999997</v>
      </c>
      <c r="K223" s="6">
        <v>-4.5266549999999999</v>
      </c>
      <c r="L223" s="6">
        <v>4.7354909999999997</v>
      </c>
      <c r="M223" s="6">
        <v>0</v>
      </c>
      <c r="N223" s="6">
        <v>138.94480300000001</v>
      </c>
      <c r="O223" s="6">
        <v>39.030813999999999</v>
      </c>
      <c r="P223" s="6">
        <v>99.913989000000001</v>
      </c>
      <c r="Q223" s="7">
        <v>30</v>
      </c>
      <c r="R223" s="6">
        <v>9.0509260000000005</v>
      </c>
      <c r="S223" s="6">
        <v>2197.0991770000001</v>
      </c>
      <c r="T223" s="6">
        <v>1861.549379</v>
      </c>
      <c r="U223" s="6">
        <v>1600.9641019999999</v>
      </c>
      <c r="V223" s="6">
        <v>1395.0505929999999</v>
      </c>
    </row>
    <row r="224" spans="1:22" x14ac:dyDescent="0.35">
      <c r="A224" s="5">
        <v>46022</v>
      </c>
      <c r="B224" s="4" t="s">
        <v>509</v>
      </c>
      <c r="C224" s="4" t="s">
        <v>510</v>
      </c>
      <c r="D224" s="4" t="s">
        <v>61</v>
      </c>
      <c r="E224" s="6">
        <v>44.302428999999997</v>
      </c>
      <c r="F224" s="6">
        <v>2.6661990000000002</v>
      </c>
      <c r="G224" s="6">
        <v>41.636229999999998</v>
      </c>
      <c r="H224" s="6">
        <v>3.4241540000000001</v>
      </c>
      <c r="I224" s="6">
        <v>18.934697</v>
      </c>
      <c r="J224" s="6">
        <v>1.01187</v>
      </c>
      <c r="K224" s="6">
        <v>-4.176E-3</v>
      </c>
      <c r="L224" s="6">
        <v>1.0099039999999999</v>
      </c>
      <c r="M224" s="6">
        <v>0</v>
      </c>
      <c r="N224" s="6">
        <v>17.259781</v>
      </c>
      <c r="O224" s="6">
        <v>4.5417930000000002</v>
      </c>
      <c r="P224" s="6">
        <v>12.717988</v>
      </c>
      <c r="Q224" s="7">
        <v>25</v>
      </c>
      <c r="R224" s="6">
        <v>9.8335000000000006E-2</v>
      </c>
      <c r="S224" s="6">
        <v>110.164345</v>
      </c>
      <c r="T224" s="6">
        <v>97.721273999999994</v>
      </c>
      <c r="U224" s="6">
        <v>87.370555999999993</v>
      </c>
      <c r="V224" s="6">
        <v>78.688152000000002</v>
      </c>
    </row>
    <row r="225" spans="1:22" x14ac:dyDescent="0.35">
      <c r="A225" s="5">
        <v>46022</v>
      </c>
      <c r="B225" s="4" t="s">
        <v>511</v>
      </c>
      <c r="C225" s="4" t="s">
        <v>512</v>
      </c>
      <c r="D225" s="4" t="s">
        <v>61</v>
      </c>
      <c r="E225" s="6">
        <v>46.628900999999999</v>
      </c>
      <c r="F225" s="6">
        <v>2.8599049999999999</v>
      </c>
      <c r="G225" s="6">
        <v>43.768996000000001</v>
      </c>
      <c r="H225" s="6">
        <v>2.7650980000000001</v>
      </c>
      <c r="I225" s="6">
        <v>29.697602</v>
      </c>
      <c r="J225" s="6">
        <v>7.8739990000000004</v>
      </c>
      <c r="K225" s="6">
        <v>-0.14058100000000001</v>
      </c>
      <c r="L225" s="6">
        <v>12.372659000000001</v>
      </c>
      <c r="M225" s="6">
        <v>0</v>
      </c>
      <c r="N225" s="6">
        <v>-8.7997809999999994</v>
      </c>
      <c r="O225" s="6">
        <v>0</v>
      </c>
      <c r="P225" s="6">
        <v>-8.7997809999999994</v>
      </c>
      <c r="Q225" s="7">
        <v>25</v>
      </c>
      <c r="R225" s="6">
        <v>13.319094</v>
      </c>
      <c r="S225" s="6">
        <v>-77.049921999999995</v>
      </c>
      <c r="T225" s="6">
        <v>-68.069584000000006</v>
      </c>
      <c r="U225" s="6">
        <v>-60.649219000000002</v>
      </c>
      <c r="V225" s="6">
        <v>-54.462620000000001</v>
      </c>
    </row>
    <row r="226" spans="1:22" x14ac:dyDescent="0.35">
      <c r="A226" s="5">
        <v>46022</v>
      </c>
      <c r="B226" s="4" t="s">
        <v>513</v>
      </c>
      <c r="C226" s="4" t="s">
        <v>514</v>
      </c>
      <c r="D226" s="4" t="s">
        <v>79</v>
      </c>
      <c r="E226" s="6">
        <v>179.97524999999999</v>
      </c>
      <c r="F226" s="6">
        <v>0</v>
      </c>
      <c r="G226" s="6">
        <v>179.97524999999999</v>
      </c>
      <c r="H226" s="6">
        <v>0.89987600000000001</v>
      </c>
      <c r="I226" s="6">
        <v>126.474459</v>
      </c>
      <c r="J226" s="6">
        <v>5.1594670000000002</v>
      </c>
      <c r="K226" s="6">
        <v>-0.73886200000000002</v>
      </c>
      <c r="L226" s="6">
        <v>11.859507000000001</v>
      </c>
      <c r="M226" s="6">
        <v>0</v>
      </c>
      <c r="N226" s="6">
        <v>36.320802</v>
      </c>
      <c r="O226" s="6">
        <v>9.2513039999999993</v>
      </c>
      <c r="P226" s="6">
        <v>27.069496999999998</v>
      </c>
      <c r="Q226" s="7">
        <v>26</v>
      </c>
      <c r="R226" s="6">
        <v>11.859507000000001</v>
      </c>
      <c r="S226" s="6">
        <v>103.092675</v>
      </c>
      <c r="T226" s="6">
        <v>97.548034999999999</v>
      </c>
      <c r="U226" s="6">
        <v>92.487245999999999</v>
      </c>
      <c r="V226" s="6">
        <v>87.855757999999994</v>
      </c>
    </row>
    <row r="227" spans="1:22" x14ac:dyDescent="0.35">
      <c r="A227" s="5">
        <v>46022</v>
      </c>
      <c r="B227" s="4" t="s">
        <v>515</v>
      </c>
      <c r="C227" s="4" t="s">
        <v>516</v>
      </c>
      <c r="D227" s="4" t="s">
        <v>61</v>
      </c>
      <c r="E227" s="6">
        <v>46.267626999999997</v>
      </c>
      <c r="F227" s="6">
        <v>3.8804280000000002</v>
      </c>
      <c r="G227" s="6">
        <v>42.387199000000003</v>
      </c>
      <c r="H227" s="6">
        <v>3.882298</v>
      </c>
      <c r="I227" s="6">
        <v>5.4168070000000004</v>
      </c>
      <c r="J227" s="6">
        <v>0.54885799999999996</v>
      </c>
      <c r="K227" s="6">
        <v>-1.2385E-2</v>
      </c>
      <c r="L227" s="6">
        <v>0.46825600000000001</v>
      </c>
      <c r="M227" s="6">
        <v>0</v>
      </c>
      <c r="N227" s="6">
        <v>32.083365000000001</v>
      </c>
      <c r="O227" s="6">
        <v>7.8152819999999998</v>
      </c>
      <c r="P227" s="6">
        <v>24.268083000000001</v>
      </c>
      <c r="Q227" s="7">
        <v>25</v>
      </c>
      <c r="R227" s="6">
        <v>1.2781100000000001</v>
      </c>
      <c r="S227" s="6">
        <v>151.422641</v>
      </c>
      <c r="T227" s="6">
        <v>139.602161</v>
      </c>
      <c r="U227" s="6">
        <v>129.16462899999999</v>
      </c>
      <c r="V227" s="6">
        <v>119.91157699999999</v>
      </c>
    </row>
    <row r="228" spans="1:22" x14ac:dyDescent="0.35">
      <c r="A228" s="5">
        <v>46022</v>
      </c>
      <c r="B228" s="4" t="s">
        <v>517</v>
      </c>
      <c r="C228" s="4" t="s">
        <v>518</v>
      </c>
      <c r="D228" s="4" t="s">
        <v>89</v>
      </c>
      <c r="E228" s="6">
        <v>788.52780800000005</v>
      </c>
      <c r="F228" s="6">
        <v>19.933875</v>
      </c>
      <c r="G228" s="6">
        <v>768.59393299999999</v>
      </c>
      <c r="H228" s="6">
        <v>23.655768999999999</v>
      </c>
      <c r="I228" s="6">
        <v>460.41295200000002</v>
      </c>
      <c r="J228" s="6">
        <v>18.416512000000001</v>
      </c>
      <c r="K228" s="6">
        <v>86.545660999999996</v>
      </c>
      <c r="L228" s="6">
        <v>36.833036999999997</v>
      </c>
      <c r="M228" s="6">
        <v>0</v>
      </c>
      <c r="N228" s="6">
        <v>142.73000300000001</v>
      </c>
      <c r="O228" s="6">
        <v>0</v>
      </c>
      <c r="P228" s="6">
        <v>142.73000300000001</v>
      </c>
      <c r="Q228" s="7">
        <v>30</v>
      </c>
      <c r="R228" s="6">
        <v>239.56423000000001</v>
      </c>
      <c r="S228" s="6">
        <v>451.38794300000001</v>
      </c>
      <c r="T228" s="6">
        <v>435.28120899999999</v>
      </c>
      <c r="U228" s="6">
        <v>420.10263400000002</v>
      </c>
      <c r="V228" s="6">
        <v>405.78126800000001</v>
      </c>
    </row>
    <row r="229" spans="1:22" x14ac:dyDescent="0.35">
      <c r="A229" s="5">
        <v>46022</v>
      </c>
      <c r="B229" s="4" t="s">
        <v>519</v>
      </c>
      <c r="C229" s="4" t="s">
        <v>520</v>
      </c>
      <c r="D229" s="4" t="s">
        <v>192</v>
      </c>
      <c r="E229" s="6">
        <v>1940.6224299999999</v>
      </c>
      <c r="F229" s="6">
        <v>192.381362</v>
      </c>
      <c r="G229" s="6">
        <v>1748.241068</v>
      </c>
      <c r="H229" s="6">
        <v>106.734196</v>
      </c>
      <c r="I229" s="6">
        <v>210.02168599999999</v>
      </c>
      <c r="J229" s="6">
        <v>28.252738000000001</v>
      </c>
      <c r="K229" s="6">
        <v>28.341394000000001</v>
      </c>
      <c r="L229" s="6">
        <v>37.000002000000002</v>
      </c>
      <c r="M229" s="6">
        <v>0</v>
      </c>
      <c r="N229" s="6">
        <v>1337.8910510000001</v>
      </c>
      <c r="O229" s="6">
        <v>200.534369</v>
      </c>
      <c r="P229" s="6">
        <v>1137.356683</v>
      </c>
      <c r="Q229" s="7">
        <v>15</v>
      </c>
      <c r="R229" s="6">
        <v>66.336658</v>
      </c>
      <c r="S229" s="6">
        <v>6979.4711349999998</v>
      </c>
      <c r="T229" s="6">
        <v>6372.755983</v>
      </c>
      <c r="U229" s="6">
        <v>5848.0564800000002</v>
      </c>
      <c r="V229" s="6">
        <v>5391.6333109999996</v>
      </c>
    </row>
    <row r="230" spans="1:22" x14ac:dyDescent="0.35">
      <c r="A230" s="5">
        <v>46022</v>
      </c>
      <c r="B230" s="4" t="s">
        <v>521</v>
      </c>
      <c r="C230" s="4" t="s">
        <v>522</v>
      </c>
      <c r="D230" s="4" t="s">
        <v>61</v>
      </c>
      <c r="E230" s="6">
        <v>3.4350749999999999</v>
      </c>
      <c r="F230" s="6">
        <v>0.28543099999999999</v>
      </c>
      <c r="G230" s="6">
        <v>3.1496439999999999</v>
      </c>
      <c r="H230" s="6">
        <v>0.33477699999999999</v>
      </c>
      <c r="I230" s="6">
        <v>1.4792099999999999</v>
      </c>
      <c r="J230" s="6">
        <v>0.184922</v>
      </c>
      <c r="K230" s="6">
        <v>4.5000000000000003E-5</v>
      </c>
      <c r="L230" s="6">
        <v>8.3575999999999998E-2</v>
      </c>
      <c r="M230" s="6">
        <v>0</v>
      </c>
      <c r="N230" s="6">
        <v>1.0671139999999999</v>
      </c>
      <c r="O230" s="6">
        <v>0.26679000000000003</v>
      </c>
      <c r="P230" s="6">
        <v>0.80032400000000004</v>
      </c>
      <c r="Q230" s="7">
        <v>25</v>
      </c>
      <c r="R230" s="6">
        <v>8.3575999999999998E-2</v>
      </c>
      <c r="S230" s="6">
        <v>8.5684719999999999</v>
      </c>
      <c r="T230" s="6">
        <v>7.2809699999999999</v>
      </c>
      <c r="U230" s="6">
        <v>6.2880469999999997</v>
      </c>
      <c r="V230" s="6">
        <v>5.5081569999999997</v>
      </c>
    </row>
    <row r="231" spans="1:22" x14ac:dyDescent="0.35">
      <c r="A231" s="5">
        <v>46022</v>
      </c>
      <c r="B231" s="4" t="s">
        <v>523</v>
      </c>
      <c r="C231" s="4" t="s">
        <v>524</v>
      </c>
      <c r="D231" s="4" t="s">
        <v>61</v>
      </c>
      <c r="E231" s="6">
        <v>534.618244</v>
      </c>
      <c r="F231" s="6">
        <v>35.758876999999998</v>
      </c>
      <c r="G231" s="6">
        <v>498.85936800000002</v>
      </c>
      <c r="H231" s="6">
        <v>40.438611999999999</v>
      </c>
      <c r="I231" s="6">
        <v>160.737156</v>
      </c>
      <c r="J231" s="6">
        <v>16.221114</v>
      </c>
      <c r="K231" s="6">
        <v>-0.16903499999999999</v>
      </c>
      <c r="L231" s="6">
        <v>5.4997559999999996</v>
      </c>
      <c r="M231" s="6">
        <v>0</v>
      </c>
      <c r="N231" s="6">
        <v>276.13176499999997</v>
      </c>
      <c r="O231" s="6">
        <v>67.647351999999998</v>
      </c>
      <c r="P231" s="6">
        <v>208.48441399999999</v>
      </c>
      <c r="Q231" s="7">
        <v>25</v>
      </c>
      <c r="R231" s="6">
        <v>10.87308</v>
      </c>
      <c r="S231" s="6">
        <v>1646.378027</v>
      </c>
      <c r="T231" s="6">
        <v>1479.685929</v>
      </c>
      <c r="U231" s="6">
        <v>1338.1086310000001</v>
      </c>
      <c r="V231" s="6">
        <v>1217.0674260000001</v>
      </c>
    </row>
    <row r="232" spans="1:22" x14ac:dyDescent="0.35">
      <c r="A232" s="5">
        <v>46022</v>
      </c>
      <c r="B232" s="4" t="s">
        <v>525</v>
      </c>
      <c r="C232" s="4" t="s">
        <v>526</v>
      </c>
      <c r="D232" s="4" t="s">
        <v>61</v>
      </c>
      <c r="E232" s="6">
        <v>69.441147000000001</v>
      </c>
      <c r="F232" s="6">
        <v>1.868004</v>
      </c>
      <c r="G232" s="6">
        <v>67.573142000000004</v>
      </c>
      <c r="H232" s="6">
        <v>2.52359</v>
      </c>
      <c r="I232" s="6">
        <v>10.624658</v>
      </c>
      <c r="J232" s="6">
        <v>1.856571</v>
      </c>
      <c r="K232" s="6">
        <v>-3.6795849999999999</v>
      </c>
      <c r="L232" s="6">
        <v>1.485706</v>
      </c>
      <c r="M232" s="6">
        <v>0</v>
      </c>
      <c r="N232" s="6">
        <v>54.762203</v>
      </c>
      <c r="O232" s="6">
        <v>10.991609</v>
      </c>
      <c r="P232" s="6">
        <v>43.770594000000003</v>
      </c>
      <c r="Q232" s="7">
        <v>25</v>
      </c>
      <c r="R232" s="6">
        <v>8.6018889999999999</v>
      </c>
      <c r="S232" s="6">
        <v>305.53599400000002</v>
      </c>
      <c r="T232" s="6">
        <v>276.512857</v>
      </c>
      <c r="U232" s="6">
        <v>251.624056</v>
      </c>
      <c r="V232" s="6">
        <v>230.154528</v>
      </c>
    </row>
    <row r="233" spans="1:22" x14ac:dyDescent="0.35">
      <c r="A233" s="5">
        <v>46022</v>
      </c>
      <c r="B233" s="4" t="s">
        <v>527</v>
      </c>
      <c r="C233" s="4" t="s">
        <v>528</v>
      </c>
      <c r="D233" s="4" t="s">
        <v>61</v>
      </c>
      <c r="E233" s="6">
        <v>22.637378999999999</v>
      </c>
      <c r="F233" s="6">
        <v>1.6703250000000001</v>
      </c>
      <c r="G233" s="6">
        <v>20.967054000000001</v>
      </c>
      <c r="H233" s="6">
        <v>1.3953</v>
      </c>
      <c r="I233" s="6">
        <v>13.089693</v>
      </c>
      <c r="J233" s="6">
        <v>1.7131419999999999</v>
      </c>
      <c r="K233" s="6">
        <v>1.202761</v>
      </c>
      <c r="L233" s="6">
        <v>0.90903999999999996</v>
      </c>
      <c r="M233" s="6">
        <v>8.8000000000000007</v>
      </c>
      <c r="N233" s="6">
        <v>-6.1428820000000002</v>
      </c>
      <c r="O233" s="6">
        <v>0</v>
      </c>
      <c r="P233" s="6">
        <v>-6.1428820000000002</v>
      </c>
      <c r="Q233" s="7">
        <v>25</v>
      </c>
      <c r="R233" s="6">
        <v>2.502704</v>
      </c>
      <c r="S233" s="6">
        <v>16.638289</v>
      </c>
      <c r="T233" s="6">
        <v>14.623868999999999</v>
      </c>
      <c r="U233" s="6">
        <v>12.878143</v>
      </c>
      <c r="V233" s="6">
        <v>11.359225</v>
      </c>
    </row>
    <row r="234" spans="1:22" x14ac:dyDescent="0.35">
      <c r="A234" s="5">
        <v>46022</v>
      </c>
      <c r="B234" s="4" t="s">
        <v>529</v>
      </c>
      <c r="C234" s="4" t="s">
        <v>530</v>
      </c>
      <c r="D234" s="4" t="s">
        <v>105</v>
      </c>
      <c r="E234" s="6">
        <v>549.262068</v>
      </c>
      <c r="F234" s="6">
        <v>41.136339999999997</v>
      </c>
      <c r="G234" s="6">
        <v>508.12572799999998</v>
      </c>
      <c r="H234" s="6">
        <v>0.93157900000000005</v>
      </c>
      <c r="I234" s="6">
        <v>263.28466600000002</v>
      </c>
      <c r="J234" s="6">
        <v>11.661356</v>
      </c>
      <c r="K234" s="6">
        <v>-17.012794</v>
      </c>
      <c r="L234" s="6">
        <v>6.5823330000000002</v>
      </c>
      <c r="M234" s="6">
        <v>5.2396969999999996</v>
      </c>
      <c r="N234" s="6">
        <v>237.43888999999999</v>
      </c>
      <c r="O234" s="6">
        <v>58.727843</v>
      </c>
      <c r="P234" s="6">
        <v>178.71104700000001</v>
      </c>
      <c r="Q234" s="7">
        <v>27</v>
      </c>
      <c r="R234" s="6">
        <v>14.737596999999999</v>
      </c>
      <c r="S234" s="6">
        <v>914.18244400000003</v>
      </c>
      <c r="T234" s="6">
        <v>844.30166299999996</v>
      </c>
      <c r="U234" s="6">
        <v>783.130178</v>
      </c>
      <c r="V234" s="6">
        <v>729.27955599999996</v>
      </c>
    </row>
    <row r="235" spans="1:22" x14ac:dyDescent="0.35">
      <c r="A235" s="5">
        <v>46022</v>
      </c>
      <c r="B235" s="4" t="s">
        <v>531</v>
      </c>
      <c r="C235" s="4" t="s">
        <v>532</v>
      </c>
      <c r="D235" s="4" t="s">
        <v>533</v>
      </c>
      <c r="E235" s="6">
        <v>333.31674099999998</v>
      </c>
      <c r="F235" s="6">
        <v>48.591735999999997</v>
      </c>
      <c r="G235" s="6">
        <v>284.72500500000001</v>
      </c>
      <c r="H235" s="6">
        <v>8.0348450000000007</v>
      </c>
      <c r="I235" s="6">
        <v>193.72932299999999</v>
      </c>
      <c r="J235" s="6">
        <v>8.2626259999999991</v>
      </c>
      <c r="K235" s="6">
        <v>-6.6004709999999998</v>
      </c>
      <c r="L235" s="6">
        <v>35.608665999999999</v>
      </c>
      <c r="M235" s="6">
        <v>6.5181959999999997</v>
      </c>
      <c r="N235" s="6">
        <v>39.171819999999997</v>
      </c>
      <c r="O235" s="6">
        <v>5.1358569999999997</v>
      </c>
      <c r="P235" s="6">
        <v>34.035963000000002</v>
      </c>
      <c r="Q235" s="7">
        <v>24.72</v>
      </c>
      <c r="R235" s="6">
        <v>53.922091999999999</v>
      </c>
      <c r="S235" s="6">
        <v>316.38144899999998</v>
      </c>
      <c r="T235" s="6">
        <v>276.21061700000001</v>
      </c>
      <c r="U235" s="6">
        <v>243.581276</v>
      </c>
      <c r="V235" s="6">
        <v>216.793631</v>
      </c>
    </row>
    <row r="236" spans="1:22" x14ac:dyDescent="0.35">
      <c r="A236" s="5">
        <v>46022</v>
      </c>
      <c r="B236" s="4" t="s">
        <v>534</v>
      </c>
      <c r="C236" s="4" t="s">
        <v>535</v>
      </c>
      <c r="D236" s="4" t="s">
        <v>536</v>
      </c>
      <c r="E236" s="6">
        <v>101.853565</v>
      </c>
      <c r="F236" s="6">
        <v>0</v>
      </c>
      <c r="G236" s="6">
        <v>101.853565</v>
      </c>
      <c r="H236" s="6">
        <v>2.03708</v>
      </c>
      <c r="I236" s="6">
        <v>54.121428000000002</v>
      </c>
      <c r="J236" s="6">
        <v>4.0999999999999996</v>
      </c>
      <c r="K236" s="6">
        <v>-1.686113</v>
      </c>
      <c r="L236" s="6">
        <v>10</v>
      </c>
      <c r="M236" s="6">
        <v>0</v>
      </c>
      <c r="N236" s="6">
        <v>33.281171000000001</v>
      </c>
      <c r="O236" s="6">
        <v>0</v>
      </c>
      <c r="P236" s="6">
        <v>33.281171000000001</v>
      </c>
      <c r="Q236" s="7">
        <v>25</v>
      </c>
      <c r="R236" s="6">
        <v>20.060825999999999</v>
      </c>
      <c r="S236" s="6">
        <v>62.442625</v>
      </c>
      <c r="T236" s="6">
        <v>60.742728999999997</v>
      </c>
      <c r="U236" s="6">
        <v>59.123345999999998</v>
      </c>
      <c r="V236" s="6">
        <v>57.579214999999998</v>
      </c>
    </row>
    <row r="237" spans="1:22" x14ac:dyDescent="0.35">
      <c r="A237" s="5">
        <v>46022</v>
      </c>
      <c r="B237" s="4" t="s">
        <v>537</v>
      </c>
      <c r="C237" s="4" t="s">
        <v>538</v>
      </c>
      <c r="D237" s="4" t="s">
        <v>89</v>
      </c>
      <c r="E237" s="6">
        <v>34.348401000000003</v>
      </c>
      <c r="F237" s="6">
        <v>4.0322680000000002</v>
      </c>
      <c r="G237" s="6">
        <v>30.316133000000001</v>
      </c>
      <c r="H237" s="6">
        <v>1.7455689999999999</v>
      </c>
      <c r="I237" s="6">
        <v>28.315314000000001</v>
      </c>
      <c r="J237" s="6">
        <v>2.97403</v>
      </c>
      <c r="K237" s="6">
        <v>2.9876070000000001</v>
      </c>
      <c r="L237" s="6">
        <v>7.6275310000000003</v>
      </c>
      <c r="M237" s="6">
        <v>30.523153000000001</v>
      </c>
      <c r="N237" s="6">
        <v>-43.857072000000002</v>
      </c>
      <c r="O237" s="6">
        <v>0</v>
      </c>
      <c r="P237" s="6">
        <v>-43.857072000000002</v>
      </c>
      <c r="Q237" s="7">
        <v>30</v>
      </c>
      <c r="R237" s="6">
        <v>7.6275310000000003</v>
      </c>
      <c r="S237" s="6">
        <v>167.97779800000001</v>
      </c>
      <c r="T237" s="6">
        <v>146.18530000000001</v>
      </c>
      <c r="U237" s="6">
        <v>127.396655</v>
      </c>
      <c r="V237" s="6">
        <v>111.13710500000001</v>
      </c>
    </row>
    <row r="238" spans="1:22" x14ac:dyDescent="0.35">
      <c r="A238" s="5">
        <v>46022</v>
      </c>
      <c r="B238" s="4" t="s">
        <v>539</v>
      </c>
      <c r="C238" s="4" t="s">
        <v>540</v>
      </c>
      <c r="D238" s="4" t="s">
        <v>61</v>
      </c>
      <c r="E238" s="6">
        <v>123.406729</v>
      </c>
      <c r="F238" s="6">
        <v>9.4189100000000003</v>
      </c>
      <c r="G238" s="6">
        <v>113.987818</v>
      </c>
      <c r="H238" s="6">
        <v>12.219969000000001</v>
      </c>
      <c r="I238" s="6">
        <v>39.357334999999999</v>
      </c>
      <c r="J238" s="6">
        <v>2.0228989999999998</v>
      </c>
      <c r="K238" s="6">
        <v>-3.3397000000000003E-2</v>
      </c>
      <c r="L238" s="6">
        <v>2.800449</v>
      </c>
      <c r="M238" s="6">
        <v>0</v>
      </c>
      <c r="N238" s="6">
        <v>57.620564000000002</v>
      </c>
      <c r="O238" s="6">
        <v>14.612251000000001</v>
      </c>
      <c r="P238" s="6">
        <v>43.008313000000001</v>
      </c>
      <c r="Q238" s="7">
        <v>25</v>
      </c>
      <c r="R238" s="6">
        <v>1.9386110000000001</v>
      </c>
      <c r="S238" s="6">
        <v>380.41776800000002</v>
      </c>
      <c r="T238" s="6">
        <v>336.253581</v>
      </c>
      <c r="U238" s="6">
        <v>299.736287</v>
      </c>
      <c r="V238" s="6">
        <v>269.26970599999999</v>
      </c>
    </row>
    <row r="239" spans="1:22" x14ac:dyDescent="0.35">
      <c r="A239" s="5">
        <v>46022</v>
      </c>
      <c r="B239" s="4" t="s">
        <v>541</v>
      </c>
      <c r="C239" s="4" t="s">
        <v>542</v>
      </c>
      <c r="D239" s="4" t="s">
        <v>50</v>
      </c>
      <c r="E239" s="6">
        <v>79.888068000000004</v>
      </c>
      <c r="F239" s="6">
        <v>7.624708</v>
      </c>
      <c r="G239" s="6">
        <v>72.263360000000006</v>
      </c>
      <c r="H239" s="6">
        <v>0.85473900000000003</v>
      </c>
      <c r="I239" s="6">
        <v>35.952171999999997</v>
      </c>
      <c r="J239" s="6">
        <v>0.5</v>
      </c>
      <c r="K239" s="6">
        <v>-2.4176E-2</v>
      </c>
      <c r="L239" s="6">
        <v>6.4063569999999999</v>
      </c>
      <c r="M239" s="6">
        <v>0</v>
      </c>
      <c r="N239" s="6">
        <v>28.574268</v>
      </c>
      <c r="O239" s="6">
        <v>0</v>
      </c>
      <c r="P239" s="6">
        <v>28.574268</v>
      </c>
      <c r="Q239" s="7">
        <v>29.5</v>
      </c>
      <c r="R239" s="6">
        <v>15.400912999999999</v>
      </c>
      <c r="S239" s="6">
        <v>150.94323900000001</v>
      </c>
      <c r="T239" s="6">
        <v>141.37966599999999</v>
      </c>
      <c r="U239" s="6">
        <v>132.73639399999999</v>
      </c>
      <c r="V239" s="6">
        <v>124.902743</v>
      </c>
    </row>
    <row r="240" spans="1:22" x14ac:dyDescent="0.35">
      <c r="A240" s="5">
        <v>46022</v>
      </c>
      <c r="B240" s="4" t="s">
        <v>543</v>
      </c>
      <c r="C240" s="4" t="s">
        <v>544</v>
      </c>
      <c r="D240" s="4" t="s">
        <v>61</v>
      </c>
      <c r="E240" s="6">
        <v>8.1380409999999994</v>
      </c>
      <c r="F240" s="6">
        <v>0.52212999999999998</v>
      </c>
      <c r="G240" s="6">
        <v>7.6159109999999997</v>
      </c>
      <c r="H240" s="6">
        <v>0.55989900000000004</v>
      </c>
      <c r="I240" s="6">
        <v>1.7881940000000001</v>
      </c>
      <c r="J240" s="6">
        <v>0.243671</v>
      </c>
      <c r="K240" s="6">
        <v>-1.5330000000000001E-3</v>
      </c>
      <c r="L240" s="6">
        <v>0.12756799999999999</v>
      </c>
      <c r="M240" s="6">
        <v>0</v>
      </c>
      <c r="N240" s="6">
        <v>4.8981110000000001</v>
      </c>
      <c r="O240" s="6">
        <v>1.200774</v>
      </c>
      <c r="P240" s="6">
        <v>3.6973370000000001</v>
      </c>
      <c r="Q240" s="7">
        <v>25</v>
      </c>
      <c r="R240" s="6">
        <v>0.22105</v>
      </c>
      <c r="S240" s="6">
        <v>32.714343999999997</v>
      </c>
      <c r="T240" s="6">
        <v>28.916287000000001</v>
      </c>
      <c r="U240" s="6">
        <v>25.775853999999999</v>
      </c>
      <c r="V240" s="6">
        <v>23.155777</v>
      </c>
    </row>
    <row r="241" spans="1:22" x14ac:dyDescent="0.35">
      <c r="A241" s="5">
        <v>46022</v>
      </c>
      <c r="B241" s="4" t="s">
        <v>545</v>
      </c>
      <c r="C241" s="4" t="s">
        <v>546</v>
      </c>
      <c r="D241" s="4" t="s">
        <v>89</v>
      </c>
      <c r="E241" s="6">
        <v>198.70481000000001</v>
      </c>
      <c r="F241" s="6">
        <v>20.854424000000002</v>
      </c>
      <c r="G241" s="6">
        <v>177.85038700000001</v>
      </c>
      <c r="H241" s="6">
        <v>6.0337899999999998</v>
      </c>
      <c r="I241" s="6">
        <v>119.957486</v>
      </c>
      <c r="J241" s="6">
        <v>2.7711800000000002</v>
      </c>
      <c r="K241" s="6">
        <v>1.5379350000000001</v>
      </c>
      <c r="L241" s="6">
        <v>34.573765999999999</v>
      </c>
      <c r="M241" s="6">
        <v>16.693059000000002</v>
      </c>
      <c r="N241" s="6">
        <v>-3.7168299999999999</v>
      </c>
      <c r="O241" s="6">
        <v>0</v>
      </c>
      <c r="P241" s="6">
        <v>-3.7168299999999999</v>
      </c>
      <c r="Q241" s="7">
        <v>30</v>
      </c>
      <c r="R241" s="6">
        <v>51.566262000000002</v>
      </c>
      <c r="S241" s="6">
        <v>72.116673000000006</v>
      </c>
      <c r="T241" s="6">
        <v>68.389714999999995</v>
      </c>
      <c r="U241" s="6">
        <v>64.927479000000005</v>
      </c>
      <c r="V241" s="6">
        <v>61.706339</v>
      </c>
    </row>
    <row r="242" spans="1:22" x14ac:dyDescent="0.35">
      <c r="A242" s="5">
        <v>46022</v>
      </c>
      <c r="B242" s="4" t="s">
        <v>547</v>
      </c>
      <c r="C242" s="4" t="s">
        <v>548</v>
      </c>
      <c r="D242" s="4" t="s">
        <v>441</v>
      </c>
      <c r="E242" s="6">
        <v>539.43969300000003</v>
      </c>
      <c r="F242" s="6">
        <v>44.142412999999998</v>
      </c>
      <c r="G242" s="6">
        <v>495.29728</v>
      </c>
      <c r="H242" s="6">
        <v>21.511695</v>
      </c>
      <c r="I242" s="6">
        <v>173.106618</v>
      </c>
      <c r="J242" s="6">
        <v>4.7909329999999999</v>
      </c>
      <c r="K242" s="6">
        <v>30.098331999999999</v>
      </c>
      <c r="L242" s="6">
        <v>35.442703999999999</v>
      </c>
      <c r="M242" s="6">
        <v>0</v>
      </c>
      <c r="N242" s="6">
        <v>230.34699699999999</v>
      </c>
      <c r="O242" s="6">
        <v>46.366757999999997</v>
      </c>
      <c r="P242" s="6">
        <v>183.98023800000001</v>
      </c>
      <c r="Q242" s="7">
        <v>22</v>
      </c>
      <c r="R242" s="6">
        <v>85.130039999999994</v>
      </c>
      <c r="S242" s="6">
        <v>1081.589213</v>
      </c>
      <c r="T242" s="6">
        <v>1005.911189</v>
      </c>
      <c r="U242" s="6">
        <v>938.28331500000002</v>
      </c>
      <c r="V242" s="6">
        <v>877.63658799999996</v>
      </c>
    </row>
    <row r="243" spans="1:22" x14ac:dyDescent="0.35">
      <c r="A243" s="5">
        <v>46022</v>
      </c>
      <c r="B243" s="4" t="s">
        <v>549</v>
      </c>
      <c r="C243" s="4" t="s">
        <v>550</v>
      </c>
      <c r="D243" s="4" t="s">
        <v>86</v>
      </c>
      <c r="E243" s="6">
        <v>699.77911300000005</v>
      </c>
      <c r="F243" s="6">
        <v>59.149213000000003</v>
      </c>
      <c r="G243" s="6">
        <v>640.62990000000002</v>
      </c>
      <c r="H243" s="6">
        <v>41.986747000000001</v>
      </c>
      <c r="I243" s="6">
        <v>253.28428</v>
      </c>
      <c r="J243" s="6">
        <v>43.142797000000002</v>
      </c>
      <c r="K243" s="6">
        <v>-0.291155</v>
      </c>
      <c r="L243" s="6">
        <v>41.899267000000002</v>
      </c>
      <c r="M243" s="6">
        <v>0</v>
      </c>
      <c r="N243" s="6">
        <v>260.60796399999998</v>
      </c>
      <c r="O243" s="6">
        <v>48.928697</v>
      </c>
      <c r="P243" s="6">
        <v>211.67926700000001</v>
      </c>
      <c r="Q243" s="7">
        <v>20</v>
      </c>
      <c r="R243" s="6">
        <v>57.572589000000001</v>
      </c>
      <c r="S243" s="6">
        <v>1806.1970570000001</v>
      </c>
      <c r="T243" s="6">
        <v>1586.3120309999999</v>
      </c>
      <c r="U243" s="6">
        <v>1409.8820920000001</v>
      </c>
      <c r="V243" s="6">
        <v>1265.900273</v>
      </c>
    </row>
    <row r="244" spans="1:22" x14ac:dyDescent="0.35">
      <c r="A244" s="5">
        <v>46022</v>
      </c>
      <c r="B244" s="4" t="s">
        <v>551</v>
      </c>
      <c r="C244" s="4" t="s">
        <v>552</v>
      </c>
      <c r="D244" s="4" t="s">
        <v>222</v>
      </c>
      <c r="E244" s="6">
        <v>571.87619299999994</v>
      </c>
      <c r="F244" s="6">
        <v>102.612347</v>
      </c>
      <c r="G244" s="6">
        <v>469.263846</v>
      </c>
      <c r="H244" s="6">
        <v>16.012685999999999</v>
      </c>
      <c r="I244" s="6">
        <v>675.63562100000001</v>
      </c>
      <c r="J244" s="6">
        <v>10.317053</v>
      </c>
      <c r="K244" s="6">
        <v>11.260429999999999</v>
      </c>
      <c r="L244" s="6">
        <v>42.155144</v>
      </c>
      <c r="M244" s="6">
        <v>52</v>
      </c>
      <c r="N244" s="6">
        <v>-338.11708800000002</v>
      </c>
      <c r="O244" s="6">
        <v>0</v>
      </c>
      <c r="P244" s="6">
        <v>-338.11708800000002</v>
      </c>
      <c r="Q244" s="7">
        <v>26.5</v>
      </c>
      <c r="R244" s="6">
        <v>324.14299699999998</v>
      </c>
      <c r="S244" s="6">
        <v>-2607.5667779999999</v>
      </c>
      <c r="T244" s="6">
        <v>-2362.5077460000002</v>
      </c>
      <c r="U244" s="6">
        <v>-2150.8092240000001</v>
      </c>
      <c r="V244" s="6">
        <v>-1966.9915659999999</v>
      </c>
    </row>
    <row r="245" spans="1:22" x14ac:dyDescent="0.35">
      <c r="A245" s="5">
        <v>46022</v>
      </c>
      <c r="B245" s="4" t="s">
        <v>553</v>
      </c>
      <c r="C245" s="4" t="s">
        <v>554</v>
      </c>
      <c r="D245" s="4" t="s">
        <v>105</v>
      </c>
      <c r="E245" s="6">
        <v>96.506888000000004</v>
      </c>
      <c r="F245" s="6">
        <v>12.291945</v>
      </c>
      <c r="G245" s="6">
        <v>84.214943000000005</v>
      </c>
      <c r="H245" s="6">
        <v>0.44595299999999999</v>
      </c>
      <c r="I245" s="6">
        <v>59.131269000000003</v>
      </c>
      <c r="J245" s="6">
        <v>3.6194470000000001</v>
      </c>
      <c r="K245" s="6">
        <v>-2.9634930000000002</v>
      </c>
      <c r="L245" s="6">
        <v>2.3652489999999999</v>
      </c>
      <c r="M245" s="6">
        <v>0</v>
      </c>
      <c r="N245" s="6">
        <v>21.616517999999999</v>
      </c>
      <c r="O245" s="6">
        <v>3.6374360000000001</v>
      </c>
      <c r="P245" s="6">
        <v>17.979081999999998</v>
      </c>
      <c r="Q245" s="7">
        <v>27</v>
      </c>
      <c r="R245" s="6">
        <v>7.5462889999999998</v>
      </c>
      <c r="S245" s="6">
        <v>29.595503000000001</v>
      </c>
      <c r="T245" s="6">
        <v>28.826262</v>
      </c>
      <c r="U245" s="6">
        <v>28.092600999999998</v>
      </c>
      <c r="V245" s="6">
        <v>27.392227999999999</v>
      </c>
    </row>
    <row r="246" spans="1:22" x14ac:dyDescent="0.35">
      <c r="A246" s="5">
        <v>46022</v>
      </c>
      <c r="B246" s="4" t="s">
        <v>555</v>
      </c>
      <c r="C246" s="4" t="s">
        <v>556</v>
      </c>
      <c r="D246" s="4" t="s">
        <v>61</v>
      </c>
      <c r="E246" s="6">
        <v>896.17944699999998</v>
      </c>
      <c r="F246" s="6">
        <v>61.866740999999998</v>
      </c>
      <c r="G246" s="6">
        <v>834.31270600000005</v>
      </c>
      <c r="H246" s="6">
        <v>66.100913000000006</v>
      </c>
      <c r="I246" s="6">
        <v>308.65708100000001</v>
      </c>
      <c r="J246" s="6">
        <v>13.626284999999999</v>
      </c>
      <c r="K246" s="6">
        <v>-0.12833800000000001</v>
      </c>
      <c r="L246" s="6">
        <v>17.787355999999999</v>
      </c>
      <c r="M246" s="6">
        <v>0</v>
      </c>
      <c r="N246" s="6">
        <v>428.269408</v>
      </c>
      <c r="O246" s="6">
        <v>104.652407</v>
      </c>
      <c r="P246" s="6">
        <v>323.61700200000001</v>
      </c>
      <c r="Q246" s="7">
        <v>25</v>
      </c>
      <c r="R246" s="6">
        <v>27.3188</v>
      </c>
      <c r="S246" s="6">
        <v>3510.3585889999999</v>
      </c>
      <c r="T246" s="6">
        <v>2986.6900179999998</v>
      </c>
      <c r="U246" s="6">
        <v>2581.8366310000001</v>
      </c>
      <c r="V246" s="6">
        <v>2263.0565889999998</v>
      </c>
    </row>
    <row r="247" spans="1:22" x14ac:dyDescent="0.35">
      <c r="A247" s="5">
        <v>46022</v>
      </c>
      <c r="B247" s="4" t="s">
        <v>557</v>
      </c>
      <c r="C247" s="4" t="s">
        <v>558</v>
      </c>
      <c r="D247" s="4" t="s">
        <v>61</v>
      </c>
      <c r="E247" s="6">
        <v>5.2921459999999998</v>
      </c>
      <c r="F247" s="6">
        <v>0.32538299999999998</v>
      </c>
      <c r="G247" s="6">
        <v>4.9667620000000001</v>
      </c>
      <c r="H247" s="6">
        <v>0.227216</v>
      </c>
      <c r="I247" s="6">
        <v>2.0324</v>
      </c>
      <c r="J247" s="6">
        <v>0.27046399999999998</v>
      </c>
      <c r="K247" s="6">
        <v>-1.5654999999999999E-2</v>
      </c>
      <c r="L247" s="6">
        <v>8.1814999999999999E-2</v>
      </c>
      <c r="M247" s="6">
        <v>0</v>
      </c>
      <c r="N247" s="6">
        <v>2.3705219999999998</v>
      </c>
      <c r="O247" s="6">
        <v>0.53986500000000004</v>
      </c>
      <c r="P247" s="6">
        <v>1.830657</v>
      </c>
      <c r="Q247" s="7">
        <v>25</v>
      </c>
      <c r="R247" s="6">
        <v>0.277221</v>
      </c>
      <c r="S247" s="6">
        <v>1.6950529999999999</v>
      </c>
      <c r="T247" s="6">
        <v>1.6642330000000001</v>
      </c>
      <c r="U247" s="6">
        <v>1.6345149999999999</v>
      </c>
      <c r="V247" s="6">
        <v>1.605839</v>
      </c>
    </row>
    <row r="248" spans="1:22" x14ac:dyDescent="0.35">
      <c r="A248" s="5">
        <v>46022</v>
      </c>
      <c r="B248" s="4" t="s">
        <v>559</v>
      </c>
      <c r="C248" s="4" t="s">
        <v>560</v>
      </c>
      <c r="D248" s="4" t="s">
        <v>61</v>
      </c>
      <c r="E248" s="6">
        <v>6.4880389999999997</v>
      </c>
      <c r="F248" s="6">
        <v>0.392341</v>
      </c>
      <c r="G248" s="6">
        <v>6.0956970000000004</v>
      </c>
      <c r="H248" s="6">
        <v>0.31528099999999998</v>
      </c>
      <c r="I248" s="6">
        <v>1.759387</v>
      </c>
      <c r="J248" s="6">
        <v>4.2963000000000001E-2</v>
      </c>
      <c r="K248" s="6">
        <v>-5.9000000000000003E-4</v>
      </c>
      <c r="L248" s="6">
        <v>0.100011</v>
      </c>
      <c r="M248" s="6">
        <v>0</v>
      </c>
      <c r="N248" s="6">
        <v>3.8786450000000001</v>
      </c>
      <c r="O248" s="6">
        <v>0.98019599999999996</v>
      </c>
      <c r="P248" s="6">
        <v>2.8984489999999998</v>
      </c>
      <c r="Q248" s="7">
        <v>25</v>
      </c>
      <c r="R248" s="6">
        <v>5.7284000000000002E-2</v>
      </c>
      <c r="S248" s="6">
        <v>27.164621</v>
      </c>
      <c r="T248" s="6">
        <v>23.771184999999999</v>
      </c>
      <c r="U248" s="6">
        <v>21.012049999999999</v>
      </c>
      <c r="V248" s="6">
        <v>18.744394</v>
      </c>
    </row>
    <row r="249" spans="1:22" x14ac:dyDescent="0.35">
      <c r="A249" s="5">
        <v>46022</v>
      </c>
      <c r="B249" s="4" t="s">
        <v>561</v>
      </c>
      <c r="C249" s="4" t="s">
        <v>562</v>
      </c>
      <c r="D249" s="4" t="s">
        <v>61</v>
      </c>
      <c r="E249" s="6">
        <v>206.08777499999999</v>
      </c>
      <c r="F249" s="6">
        <v>13.936192999999999</v>
      </c>
      <c r="G249" s="6">
        <v>192.15158199999999</v>
      </c>
      <c r="H249" s="6">
        <v>8.0925639999999994</v>
      </c>
      <c r="I249" s="6">
        <v>62.933987999999999</v>
      </c>
      <c r="J249" s="6">
        <v>4.3899689999999998</v>
      </c>
      <c r="K249" s="6">
        <v>27.559345</v>
      </c>
      <c r="L249" s="6">
        <v>5.267963</v>
      </c>
      <c r="M249" s="6">
        <v>127.416169</v>
      </c>
      <c r="N249" s="6">
        <v>-43.508414999999999</v>
      </c>
      <c r="O249" s="6">
        <v>28.086272999999998</v>
      </c>
      <c r="P249" s="6">
        <v>-71.594688000000005</v>
      </c>
      <c r="Q249" s="7">
        <v>25</v>
      </c>
      <c r="R249" s="6">
        <v>4.3899689999999998</v>
      </c>
      <c r="S249" s="6">
        <v>1225.7564030000001</v>
      </c>
      <c r="T249" s="6">
        <v>1007.9165850000001</v>
      </c>
      <c r="U249" s="6">
        <v>842.25981000000002</v>
      </c>
      <c r="V249" s="6">
        <v>713.91404799999998</v>
      </c>
    </row>
    <row r="250" spans="1:22" x14ac:dyDescent="0.35">
      <c r="A250" s="5">
        <v>46022</v>
      </c>
      <c r="B250" s="4" t="s">
        <v>563</v>
      </c>
      <c r="C250" s="4" t="s">
        <v>564</v>
      </c>
      <c r="D250" s="4" t="s">
        <v>61</v>
      </c>
      <c r="E250" s="6">
        <v>3.696291</v>
      </c>
      <c r="F250" s="6">
        <v>0.242725</v>
      </c>
      <c r="G250" s="6">
        <v>3.4535659999999999</v>
      </c>
      <c r="H250" s="6">
        <v>0.50319599999999998</v>
      </c>
      <c r="I250" s="6">
        <v>2.4317489999999999</v>
      </c>
      <c r="J250" s="6">
        <v>0.23313500000000001</v>
      </c>
      <c r="K250" s="6">
        <v>-2.8249999999999998E-3</v>
      </c>
      <c r="L250" s="6">
        <v>6.4274999999999999E-2</v>
      </c>
      <c r="M250" s="6">
        <v>0</v>
      </c>
      <c r="N250" s="6">
        <v>0.22403500000000001</v>
      </c>
      <c r="O250" s="6">
        <v>0</v>
      </c>
      <c r="P250" s="6">
        <v>0.22403500000000001</v>
      </c>
      <c r="Q250" s="7">
        <v>25</v>
      </c>
      <c r="R250" s="6">
        <v>6.4274999999999999E-2</v>
      </c>
      <c r="S250" s="6">
        <v>0.20744000000000001</v>
      </c>
      <c r="T250" s="6">
        <v>0.20366899999999999</v>
      </c>
      <c r="U250" s="6">
        <v>0.20003199999999999</v>
      </c>
      <c r="V250" s="6">
        <v>0.196522</v>
      </c>
    </row>
    <row r="251" spans="1:22" x14ac:dyDescent="0.35">
      <c r="A251" s="5">
        <v>46022</v>
      </c>
      <c r="B251" s="4" t="s">
        <v>565</v>
      </c>
      <c r="C251" s="4" t="s">
        <v>566</v>
      </c>
      <c r="D251" s="4" t="s">
        <v>61</v>
      </c>
      <c r="E251" s="6">
        <v>84.316757999999993</v>
      </c>
      <c r="F251" s="6">
        <v>5.9636579999999997</v>
      </c>
      <c r="G251" s="6">
        <v>78.353099</v>
      </c>
      <c r="H251" s="6">
        <v>5.9436540000000004</v>
      </c>
      <c r="I251" s="6">
        <v>34.827851000000003</v>
      </c>
      <c r="J251" s="6">
        <v>8.1924880000000009</v>
      </c>
      <c r="K251" s="6">
        <v>1.0065980000000001</v>
      </c>
      <c r="L251" s="6">
        <v>12.719593</v>
      </c>
      <c r="M251" s="6">
        <v>0</v>
      </c>
      <c r="N251" s="6">
        <v>15.662915</v>
      </c>
      <c r="O251" s="6">
        <v>5.7397179999999999</v>
      </c>
      <c r="P251" s="6">
        <v>9.923197</v>
      </c>
      <c r="Q251" s="7">
        <v>25</v>
      </c>
      <c r="R251" s="6">
        <v>6.4302330000000003</v>
      </c>
      <c r="S251" s="6">
        <v>110.423688</v>
      </c>
      <c r="T251" s="6">
        <v>94.865009999999998</v>
      </c>
      <c r="U251" s="6">
        <v>82.594419000000002</v>
      </c>
      <c r="V251" s="6">
        <v>72.774529000000001</v>
      </c>
    </row>
    <row r="252" spans="1:22" x14ac:dyDescent="0.35">
      <c r="A252" s="5">
        <v>46022</v>
      </c>
      <c r="B252" s="4" t="s">
        <v>567</v>
      </c>
      <c r="C252" s="4" t="s">
        <v>568</v>
      </c>
      <c r="D252" s="4" t="s">
        <v>61</v>
      </c>
      <c r="E252" s="6">
        <v>33.741413000000001</v>
      </c>
      <c r="F252" s="6">
        <v>1.3099240000000001</v>
      </c>
      <c r="G252" s="6">
        <v>32.431488999999999</v>
      </c>
      <c r="H252" s="6">
        <v>1.3496649999999999</v>
      </c>
      <c r="I252" s="6">
        <v>18.061135</v>
      </c>
      <c r="J252" s="6">
        <v>0.449459</v>
      </c>
      <c r="K252" s="6">
        <v>-3.2120000000000003E-2</v>
      </c>
      <c r="L252" s="6">
        <v>1.166032</v>
      </c>
      <c r="M252" s="6">
        <v>0</v>
      </c>
      <c r="N252" s="6">
        <v>11.437319</v>
      </c>
      <c r="O252" s="6">
        <v>0</v>
      </c>
      <c r="P252" s="6">
        <v>11.437319</v>
      </c>
      <c r="Q252" s="7">
        <v>25</v>
      </c>
      <c r="R252" s="6">
        <v>2.966485</v>
      </c>
      <c r="S252" s="6">
        <v>59.369748000000001</v>
      </c>
      <c r="T252" s="6">
        <v>54.983908999999997</v>
      </c>
      <c r="U252" s="6">
        <v>51.100504000000001</v>
      </c>
      <c r="V252" s="6">
        <v>47.648150000000001</v>
      </c>
    </row>
    <row r="253" spans="1:22" x14ac:dyDescent="0.35">
      <c r="A253" s="5">
        <v>46022</v>
      </c>
      <c r="B253" s="4" t="s">
        <v>569</v>
      </c>
      <c r="C253" s="4" t="s">
        <v>570</v>
      </c>
      <c r="D253" s="4" t="s">
        <v>61</v>
      </c>
      <c r="E253" s="6">
        <v>6.6464080000000001</v>
      </c>
      <c r="F253" s="6">
        <v>0.42710199999999998</v>
      </c>
      <c r="G253" s="6">
        <v>6.2193059999999996</v>
      </c>
      <c r="H253" s="6">
        <v>0.60708099999999998</v>
      </c>
      <c r="I253" s="6">
        <v>5.2860829999999996</v>
      </c>
      <c r="J253" s="6">
        <v>0.24387200000000001</v>
      </c>
      <c r="K253" s="6">
        <v>-8.0199999999999998E-4</v>
      </c>
      <c r="L253" s="6">
        <v>0.16913700000000001</v>
      </c>
      <c r="M253" s="6">
        <v>0</v>
      </c>
      <c r="N253" s="6">
        <v>-8.6065000000000003E-2</v>
      </c>
      <c r="O253" s="6">
        <v>0</v>
      </c>
      <c r="P253" s="6">
        <v>-8.6065000000000003E-2</v>
      </c>
      <c r="Q253" s="7">
        <v>25</v>
      </c>
      <c r="R253" s="6">
        <v>3.9334000000000001E-2</v>
      </c>
      <c r="S253" s="6">
        <v>-0.313554</v>
      </c>
      <c r="T253" s="6">
        <v>-0.30594900000000003</v>
      </c>
      <c r="U253" s="6">
        <v>-0.29752299999999998</v>
      </c>
      <c r="V253" s="6">
        <v>-0.288603</v>
      </c>
    </row>
    <row r="254" spans="1:22" x14ac:dyDescent="0.35">
      <c r="A254" s="5">
        <v>46022</v>
      </c>
      <c r="B254" s="4" t="s">
        <v>571</v>
      </c>
      <c r="C254" s="4" t="s">
        <v>572</v>
      </c>
      <c r="D254" s="4" t="s">
        <v>61</v>
      </c>
      <c r="E254" s="6">
        <v>6.2852759999999996</v>
      </c>
      <c r="F254" s="6">
        <v>0.39181100000000002</v>
      </c>
      <c r="G254" s="6">
        <v>5.893465</v>
      </c>
      <c r="H254" s="6">
        <v>0.79743900000000001</v>
      </c>
      <c r="I254" s="6">
        <v>3.6928450000000002</v>
      </c>
      <c r="J254" s="6">
        <v>0.45713100000000001</v>
      </c>
      <c r="K254" s="6">
        <v>-6.1799999999999995E-4</v>
      </c>
      <c r="L254" s="6">
        <v>0.23951700000000001</v>
      </c>
      <c r="M254" s="6">
        <v>0</v>
      </c>
      <c r="N254" s="6">
        <v>0.70715099999999997</v>
      </c>
      <c r="O254" s="6">
        <v>0.217554</v>
      </c>
      <c r="P254" s="6">
        <v>0.489597</v>
      </c>
      <c r="Q254" s="7">
        <v>25</v>
      </c>
      <c r="R254" s="6">
        <v>7.5835E-2</v>
      </c>
      <c r="S254" s="6">
        <v>4.3287079999999998</v>
      </c>
      <c r="T254" s="6">
        <v>3.826193</v>
      </c>
      <c r="U254" s="6">
        <v>3.4106860000000001</v>
      </c>
      <c r="V254" s="6">
        <v>3.0640260000000001</v>
      </c>
    </row>
    <row r="255" spans="1:22" x14ac:dyDescent="0.35">
      <c r="A255" s="5">
        <v>46022</v>
      </c>
      <c r="B255" s="4" t="s">
        <v>573</v>
      </c>
      <c r="C255" s="4" t="s">
        <v>574</v>
      </c>
      <c r="D255" s="4" t="s">
        <v>533</v>
      </c>
      <c r="E255" s="6">
        <v>931.56297400000005</v>
      </c>
      <c r="F255" s="6">
        <v>109.743002</v>
      </c>
      <c r="G255" s="6">
        <v>821.81997100000001</v>
      </c>
      <c r="H255" s="6">
        <v>30.642797000000002</v>
      </c>
      <c r="I255" s="6">
        <v>453.97171800000001</v>
      </c>
      <c r="J255" s="6">
        <v>45.634579000000002</v>
      </c>
      <c r="K255" s="6">
        <v>23.047618</v>
      </c>
      <c r="L255" s="6">
        <v>122.497575</v>
      </c>
      <c r="M255" s="6">
        <v>99.999998000000005</v>
      </c>
      <c r="N255" s="6">
        <v>46.025686</v>
      </c>
      <c r="O255" s="6">
        <v>27.277087999999999</v>
      </c>
      <c r="P255" s="6">
        <v>18.748598999999999</v>
      </c>
      <c r="Q255" s="7">
        <v>25</v>
      </c>
      <c r="R255" s="6">
        <v>182.46252799999999</v>
      </c>
      <c r="S255" s="6">
        <v>1306.010933</v>
      </c>
      <c r="T255" s="6">
        <v>1108.7061409999999</v>
      </c>
      <c r="U255" s="6">
        <v>954.23820699999999</v>
      </c>
      <c r="V255" s="6">
        <v>831.40682100000004</v>
      </c>
    </row>
    <row r="256" spans="1:22" x14ac:dyDescent="0.35">
      <c r="A256" s="5">
        <v>46022</v>
      </c>
      <c r="B256" s="4" t="s">
        <v>575</v>
      </c>
      <c r="C256" s="4" t="s">
        <v>576</v>
      </c>
      <c r="D256" s="4" t="s">
        <v>58</v>
      </c>
      <c r="E256" s="6">
        <v>651.29058499999996</v>
      </c>
      <c r="F256" s="6">
        <v>5.6270559999999996</v>
      </c>
      <c r="G256" s="6">
        <v>645.66352900000004</v>
      </c>
      <c r="H256" s="6">
        <v>9.2357390000000006</v>
      </c>
      <c r="I256" s="6">
        <v>187.45279500000001</v>
      </c>
      <c r="J256" s="6">
        <v>5.4274199999999997</v>
      </c>
      <c r="K256" s="6">
        <v>1.5044310000000001</v>
      </c>
      <c r="L256" s="6">
        <v>234.99999299999999</v>
      </c>
      <c r="M256" s="6">
        <v>0</v>
      </c>
      <c r="N256" s="6">
        <v>207.04315099999999</v>
      </c>
      <c r="O256" s="6">
        <v>48.401195999999999</v>
      </c>
      <c r="P256" s="6">
        <v>158.641955</v>
      </c>
      <c r="Q256" s="7">
        <v>27</v>
      </c>
      <c r="R256" s="6">
        <v>264.28388699999999</v>
      </c>
      <c r="S256" s="6">
        <v>693.03207299999997</v>
      </c>
      <c r="T256" s="6">
        <v>654.98559599999999</v>
      </c>
      <c r="U256" s="6">
        <v>620.17204800000002</v>
      </c>
      <c r="V256" s="6">
        <v>588.243604</v>
      </c>
    </row>
    <row r="257" spans="1:22" x14ac:dyDescent="0.35">
      <c r="A257" s="5">
        <v>46022</v>
      </c>
      <c r="B257" s="4" t="s">
        <v>577</v>
      </c>
      <c r="C257" s="4" t="s">
        <v>578</v>
      </c>
      <c r="D257" s="4" t="s">
        <v>213</v>
      </c>
      <c r="E257" s="6">
        <v>296.30128000000002</v>
      </c>
      <c r="F257" s="6">
        <v>3.4180359999999999</v>
      </c>
      <c r="G257" s="6">
        <v>292.88324399999999</v>
      </c>
      <c r="H257" s="6">
        <v>7.4075170000000004</v>
      </c>
      <c r="I257" s="6">
        <v>139.47985299999999</v>
      </c>
      <c r="J257" s="6">
        <v>12.051284000000001</v>
      </c>
      <c r="K257" s="6">
        <v>15.360004999999999</v>
      </c>
      <c r="L257" s="6">
        <v>1.58223</v>
      </c>
      <c r="M257" s="6">
        <v>0</v>
      </c>
      <c r="N257" s="6">
        <v>117.00235499999999</v>
      </c>
      <c r="O257" s="6">
        <v>37.930625999999997</v>
      </c>
      <c r="P257" s="6">
        <v>79.071729000000005</v>
      </c>
      <c r="Q257" s="7">
        <v>30</v>
      </c>
      <c r="R257" s="6">
        <v>7.509169</v>
      </c>
      <c r="S257" s="6">
        <v>1063.8672240000001</v>
      </c>
      <c r="T257" s="6">
        <v>898.82846300000006</v>
      </c>
      <c r="U257" s="6">
        <v>772.27988600000003</v>
      </c>
      <c r="V257" s="6">
        <v>673.37890900000002</v>
      </c>
    </row>
    <row r="258" spans="1:22" x14ac:dyDescent="0.35">
      <c r="A258" s="5">
        <v>46022</v>
      </c>
      <c r="B258" s="4" t="s">
        <v>579</v>
      </c>
      <c r="C258" s="4" t="s">
        <v>580</v>
      </c>
      <c r="D258" s="4" t="s">
        <v>58</v>
      </c>
      <c r="E258" s="6">
        <v>64.815905000000001</v>
      </c>
      <c r="F258" s="6">
        <v>0.4884</v>
      </c>
      <c r="G258" s="6">
        <v>64.327505000000002</v>
      </c>
      <c r="H258" s="6">
        <v>0</v>
      </c>
      <c r="I258" s="6">
        <v>65.637708000000003</v>
      </c>
      <c r="J258" s="6">
        <v>1.533887</v>
      </c>
      <c r="K258" s="6">
        <v>0.79785099999999998</v>
      </c>
      <c r="L258" s="6">
        <v>41.280788000000001</v>
      </c>
      <c r="M258" s="6">
        <v>0</v>
      </c>
      <c r="N258" s="6">
        <v>-44.922727999999999</v>
      </c>
      <c r="O258" s="6">
        <v>0</v>
      </c>
      <c r="P258" s="6">
        <v>-44.922727999999999</v>
      </c>
      <c r="Q258" s="7">
        <v>27</v>
      </c>
      <c r="R258" s="6">
        <v>41.990358000000001</v>
      </c>
      <c r="S258" s="6">
        <v>-109.64114600000001</v>
      </c>
      <c r="T258" s="6">
        <v>-105.903378</v>
      </c>
      <c r="U258" s="6">
        <v>-102.378529</v>
      </c>
      <c r="V258" s="6">
        <v>-99.050360999999995</v>
      </c>
    </row>
    <row r="259" spans="1:22" x14ac:dyDescent="0.35">
      <c r="A259" s="5">
        <v>46022</v>
      </c>
      <c r="B259" s="4" t="s">
        <v>581</v>
      </c>
      <c r="C259" s="4" t="s">
        <v>582</v>
      </c>
      <c r="D259" s="4" t="s">
        <v>58</v>
      </c>
      <c r="E259" s="6">
        <v>707.09989900000005</v>
      </c>
      <c r="F259" s="6">
        <v>13.488068</v>
      </c>
      <c r="G259" s="6">
        <v>693.61183100000005</v>
      </c>
      <c r="H259" s="6">
        <v>67.786011000000002</v>
      </c>
      <c r="I259" s="6">
        <v>258.32602800000001</v>
      </c>
      <c r="J259" s="6">
        <v>10.581804</v>
      </c>
      <c r="K259" s="6">
        <v>72.734066999999996</v>
      </c>
      <c r="L259" s="6">
        <v>9.7270240000000001</v>
      </c>
      <c r="M259" s="6">
        <v>0</v>
      </c>
      <c r="N259" s="6">
        <v>274.45689800000002</v>
      </c>
      <c r="O259" s="6">
        <v>76.005936000000005</v>
      </c>
      <c r="P259" s="6">
        <v>198.450962</v>
      </c>
      <c r="Q259" s="7">
        <v>27</v>
      </c>
      <c r="R259" s="6">
        <v>75.414523000000003</v>
      </c>
      <c r="S259" s="6">
        <v>1945.0959829999999</v>
      </c>
      <c r="T259" s="6">
        <v>1719.4701250000001</v>
      </c>
      <c r="U259" s="6">
        <v>1533.3271560000001</v>
      </c>
      <c r="V259" s="6">
        <v>1378.248885</v>
      </c>
    </row>
    <row r="260" spans="1:22" x14ac:dyDescent="0.35">
      <c r="A260" s="5">
        <v>46022</v>
      </c>
      <c r="B260" s="4" t="s">
        <v>583</v>
      </c>
      <c r="C260" s="4" t="s">
        <v>584</v>
      </c>
      <c r="D260" s="4" t="s">
        <v>61</v>
      </c>
      <c r="E260" s="6">
        <v>30.829878999999998</v>
      </c>
      <c r="F260" s="6">
        <v>1.487158</v>
      </c>
      <c r="G260" s="6">
        <v>29.342721000000001</v>
      </c>
      <c r="H260" s="6">
        <v>3.0429330000000001</v>
      </c>
      <c r="I260" s="6">
        <v>13.795718000000001</v>
      </c>
      <c r="J260" s="6">
        <v>0.44555800000000001</v>
      </c>
      <c r="K260" s="6">
        <v>-3.1947999999999997E-2</v>
      </c>
      <c r="L260" s="6">
        <v>2.095736</v>
      </c>
      <c r="M260" s="6">
        <v>0</v>
      </c>
      <c r="N260" s="6">
        <v>9.9947239999999997</v>
      </c>
      <c r="O260" s="6">
        <v>2.490694</v>
      </c>
      <c r="P260" s="6">
        <v>7.5040300000000002</v>
      </c>
      <c r="Q260" s="7">
        <v>25</v>
      </c>
      <c r="R260" s="6">
        <v>2.095736</v>
      </c>
      <c r="S260" s="6">
        <v>32.966870999999998</v>
      </c>
      <c r="T260" s="6">
        <v>30.743034999999999</v>
      </c>
      <c r="U260" s="6">
        <v>28.767209999999999</v>
      </c>
      <c r="V260" s="6">
        <v>27.003651000000001</v>
      </c>
    </row>
    <row r="261" spans="1:22" x14ac:dyDescent="0.35">
      <c r="A261" s="5">
        <v>46022</v>
      </c>
      <c r="B261" s="4" t="s">
        <v>585</v>
      </c>
      <c r="C261" s="4" t="s">
        <v>586</v>
      </c>
      <c r="D261" s="4" t="s">
        <v>533</v>
      </c>
      <c r="E261" s="6">
        <v>359.52989200000002</v>
      </c>
      <c r="F261" s="6">
        <v>35.907077999999998</v>
      </c>
      <c r="G261" s="6">
        <v>323.62281400000001</v>
      </c>
      <c r="H261" s="6">
        <v>13.606832000000001</v>
      </c>
      <c r="I261" s="6">
        <v>262.07164</v>
      </c>
      <c r="J261" s="6">
        <v>6.6430910000000001</v>
      </c>
      <c r="K261" s="6">
        <v>-2.447282</v>
      </c>
      <c r="L261" s="6">
        <v>54.141694999999999</v>
      </c>
      <c r="M261" s="6">
        <v>0</v>
      </c>
      <c r="N261" s="6">
        <v>-10.393162</v>
      </c>
      <c r="O261" s="6">
        <v>0</v>
      </c>
      <c r="P261" s="6">
        <v>-10.393162</v>
      </c>
      <c r="Q261" s="7">
        <v>24.72</v>
      </c>
      <c r="R261" s="6">
        <v>56.620581999999999</v>
      </c>
      <c r="S261" s="6">
        <v>-81.842534999999998</v>
      </c>
      <c r="T261" s="6">
        <v>-75.289433000000002</v>
      </c>
      <c r="U261" s="6">
        <v>-69.504925</v>
      </c>
      <c r="V261" s="6">
        <v>-64.378879999999995</v>
      </c>
    </row>
    <row r="262" spans="1:22" x14ac:dyDescent="0.35">
      <c r="A262" s="5">
        <v>46022</v>
      </c>
      <c r="B262" s="4" t="s">
        <v>587</v>
      </c>
      <c r="C262" s="4" t="s">
        <v>588</v>
      </c>
      <c r="D262" s="4" t="s">
        <v>79</v>
      </c>
      <c r="E262" s="6">
        <v>504.96874000000003</v>
      </c>
      <c r="F262" s="6">
        <v>39.824627</v>
      </c>
      <c r="G262" s="6">
        <v>465.144114</v>
      </c>
      <c r="H262" s="6">
        <v>12.624373</v>
      </c>
      <c r="I262" s="6">
        <v>314.034402</v>
      </c>
      <c r="J262" s="6">
        <v>14.914875</v>
      </c>
      <c r="K262" s="6">
        <v>12.85871</v>
      </c>
      <c r="L262" s="6">
        <v>42.754067999999997</v>
      </c>
      <c r="M262" s="6">
        <v>0</v>
      </c>
      <c r="N262" s="6">
        <v>67.957684999999998</v>
      </c>
      <c r="O262" s="6">
        <v>20.894587000000001</v>
      </c>
      <c r="P262" s="6">
        <v>47.063097999999997</v>
      </c>
      <c r="Q262" s="7">
        <v>26</v>
      </c>
      <c r="R262" s="6">
        <v>43.206668000000001</v>
      </c>
      <c r="S262" s="6">
        <v>416.564412</v>
      </c>
      <c r="T262" s="6">
        <v>378.14241299999998</v>
      </c>
      <c r="U262" s="6">
        <v>344.90197699999999</v>
      </c>
      <c r="V262" s="6">
        <v>315.99616300000002</v>
      </c>
    </row>
    <row r="263" spans="1:22" x14ac:dyDescent="0.35">
      <c r="A263" s="5">
        <v>46022</v>
      </c>
      <c r="B263" s="4" t="s">
        <v>589</v>
      </c>
      <c r="C263" s="4" t="s">
        <v>590</v>
      </c>
      <c r="D263" s="4" t="s">
        <v>105</v>
      </c>
      <c r="E263" s="6">
        <v>1697.897876</v>
      </c>
      <c r="F263" s="6">
        <v>488.77142700000002</v>
      </c>
      <c r="G263" s="6">
        <v>1209.1264490000001</v>
      </c>
      <c r="H263" s="6">
        <v>7.0296649999999996</v>
      </c>
      <c r="I263" s="6">
        <v>399.359082</v>
      </c>
      <c r="J263" s="6">
        <v>36.869242</v>
      </c>
      <c r="K263" s="6">
        <v>28.892598</v>
      </c>
      <c r="L263" s="6">
        <v>452.21004599999998</v>
      </c>
      <c r="M263" s="6">
        <v>0</v>
      </c>
      <c r="N263" s="6">
        <v>284.76581599999997</v>
      </c>
      <c r="O263" s="6">
        <v>71.790642000000005</v>
      </c>
      <c r="P263" s="6">
        <v>212.97517300000001</v>
      </c>
      <c r="Q263" s="7">
        <v>27</v>
      </c>
      <c r="R263" s="6">
        <v>499.977192</v>
      </c>
      <c r="S263" s="6">
        <v>2482.023353</v>
      </c>
      <c r="T263" s="6">
        <v>2106.2121240000001</v>
      </c>
      <c r="U263" s="6">
        <v>1817.1678710000001</v>
      </c>
      <c r="V263" s="6">
        <v>1590.5915580000001</v>
      </c>
    </row>
    <row r="264" spans="1:22" x14ac:dyDescent="0.35">
      <c r="A264" s="5">
        <v>46022</v>
      </c>
      <c r="B264" s="4" t="s">
        <v>591</v>
      </c>
      <c r="C264" s="4" t="s">
        <v>592</v>
      </c>
      <c r="D264" s="4" t="s">
        <v>89</v>
      </c>
      <c r="E264" s="6">
        <v>121.54397899999999</v>
      </c>
      <c r="F264" s="6">
        <v>10.83935</v>
      </c>
      <c r="G264" s="6">
        <v>110.704629</v>
      </c>
      <c r="H264" s="6">
        <v>4.9512999999999998</v>
      </c>
      <c r="I264" s="6">
        <v>98.755213999999995</v>
      </c>
      <c r="J264" s="6">
        <v>1.5</v>
      </c>
      <c r="K264" s="6">
        <v>10.972060000000001</v>
      </c>
      <c r="L264" s="6">
        <v>9</v>
      </c>
      <c r="M264" s="6">
        <v>47.4</v>
      </c>
      <c r="N264" s="6">
        <v>-61.873944999999999</v>
      </c>
      <c r="O264" s="6">
        <v>0</v>
      </c>
      <c r="P264" s="6">
        <v>-61.873944999999999</v>
      </c>
      <c r="Q264" s="7">
        <v>30</v>
      </c>
      <c r="R264" s="6">
        <v>15.871605000000001</v>
      </c>
      <c r="S264" s="6">
        <v>-151.662724</v>
      </c>
      <c r="T264" s="6">
        <v>-139.87100799999999</v>
      </c>
      <c r="U264" s="6">
        <v>-129.93711500000001</v>
      </c>
      <c r="V264" s="6">
        <v>-121.482252</v>
      </c>
    </row>
    <row r="265" spans="1:22" x14ac:dyDescent="0.35">
      <c r="A265" s="5">
        <v>46022</v>
      </c>
      <c r="B265" s="4" t="s">
        <v>593</v>
      </c>
      <c r="C265" s="4" t="s">
        <v>594</v>
      </c>
      <c r="D265" s="4" t="s">
        <v>122</v>
      </c>
      <c r="E265" s="6">
        <v>238.91142600000001</v>
      </c>
      <c r="F265" s="6">
        <v>13.195694</v>
      </c>
      <c r="G265" s="6">
        <v>225.715732</v>
      </c>
      <c r="H265" s="6">
        <v>12.87839</v>
      </c>
      <c r="I265" s="6">
        <v>47.710590000000003</v>
      </c>
      <c r="J265" s="6">
        <v>1.9084239999999999</v>
      </c>
      <c r="K265" s="6">
        <v>-6.9500000000000006E-2</v>
      </c>
      <c r="L265" s="6">
        <v>13.607105000000001</v>
      </c>
      <c r="M265" s="6">
        <v>0</v>
      </c>
      <c r="N265" s="6">
        <v>149.680723</v>
      </c>
      <c r="O265" s="6">
        <v>47.3277</v>
      </c>
      <c r="P265" s="6">
        <v>102.35302299999999</v>
      </c>
      <c r="Q265" s="7">
        <v>35</v>
      </c>
      <c r="R265" s="6">
        <v>27.996327000000001</v>
      </c>
      <c r="S265" s="6">
        <v>1267.4643430000001</v>
      </c>
      <c r="T265" s="6">
        <v>1082.066662</v>
      </c>
      <c r="U265" s="6">
        <v>936.99044600000002</v>
      </c>
      <c r="V265" s="6">
        <v>821.67681000000005</v>
      </c>
    </row>
    <row r="266" spans="1:22" x14ac:dyDescent="0.35">
      <c r="A266" s="5">
        <v>46022</v>
      </c>
      <c r="B266" s="4" t="s">
        <v>595</v>
      </c>
      <c r="C266" s="4" t="s">
        <v>596</v>
      </c>
      <c r="D266" s="4" t="s">
        <v>122</v>
      </c>
      <c r="E266" s="6">
        <v>66.011842000000001</v>
      </c>
      <c r="F266" s="6">
        <v>16.149729000000001</v>
      </c>
      <c r="G266" s="6">
        <v>49.862113000000001</v>
      </c>
      <c r="H266" s="6">
        <v>3.3005789999999999</v>
      </c>
      <c r="I266" s="6">
        <v>21.226929999999999</v>
      </c>
      <c r="J266" s="6">
        <v>4.6010689999999999</v>
      </c>
      <c r="K266" s="6">
        <v>1.1038969999999999</v>
      </c>
      <c r="L266" s="6">
        <v>4.8</v>
      </c>
      <c r="M266" s="6">
        <v>0</v>
      </c>
      <c r="N266" s="6">
        <v>14.829639</v>
      </c>
      <c r="O266" s="6">
        <v>0</v>
      </c>
      <c r="P266" s="6">
        <v>14.829639</v>
      </c>
      <c r="Q266" s="7">
        <v>35</v>
      </c>
      <c r="R266" s="6">
        <v>23.282126999999999</v>
      </c>
      <c r="S266" s="6">
        <v>91.495197000000005</v>
      </c>
      <c r="T266" s="6">
        <v>85.837744000000001</v>
      </c>
      <c r="U266" s="6">
        <v>80.697924</v>
      </c>
      <c r="V266" s="6">
        <v>76.016963000000004</v>
      </c>
    </row>
    <row r="267" spans="1:22" x14ac:dyDescent="0.35">
      <c r="A267" s="5">
        <v>46022</v>
      </c>
      <c r="B267" s="4" t="s">
        <v>597</v>
      </c>
      <c r="C267" s="4" t="s">
        <v>598</v>
      </c>
      <c r="D267" s="4" t="s">
        <v>213</v>
      </c>
      <c r="E267" s="6">
        <v>579.03136700000005</v>
      </c>
      <c r="F267" s="6">
        <v>91.050171000000006</v>
      </c>
      <c r="G267" s="6">
        <v>487.98119600000001</v>
      </c>
      <c r="H267" s="6">
        <v>62.706558999999999</v>
      </c>
      <c r="I267" s="6">
        <v>174.010751</v>
      </c>
      <c r="J267" s="6">
        <v>1.2384790000000001</v>
      </c>
      <c r="K267" s="6">
        <v>13.712875</v>
      </c>
      <c r="L267" s="6">
        <v>54.618501000000002</v>
      </c>
      <c r="M267" s="6">
        <v>0</v>
      </c>
      <c r="N267" s="6">
        <v>181.69403</v>
      </c>
      <c r="O267" s="6">
        <v>41.975987000000003</v>
      </c>
      <c r="P267" s="6">
        <v>139.71804399999999</v>
      </c>
      <c r="Q267" s="7">
        <v>30</v>
      </c>
      <c r="R267" s="6">
        <v>110.105451</v>
      </c>
      <c r="S267" s="6">
        <v>663.71887200000003</v>
      </c>
      <c r="T267" s="6">
        <v>625.92734700000005</v>
      </c>
      <c r="U267" s="6">
        <v>591.43384900000001</v>
      </c>
      <c r="V267" s="6">
        <v>559.875497</v>
      </c>
    </row>
    <row r="268" spans="1:22" x14ac:dyDescent="0.35">
      <c r="A268" s="5">
        <v>46022</v>
      </c>
      <c r="B268" s="4" t="s">
        <v>599</v>
      </c>
      <c r="C268" s="4" t="s">
        <v>600</v>
      </c>
      <c r="D268" s="4" t="s">
        <v>222</v>
      </c>
      <c r="E268" s="6">
        <v>401.84394900000001</v>
      </c>
      <c r="F268" s="6">
        <v>39.416849999999997</v>
      </c>
      <c r="G268" s="6">
        <v>362.427099</v>
      </c>
      <c r="H268" s="6">
        <v>10.101107000000001</v>
      </c>
      <c r="I268" s="6">
        <v>202.24636699999999</v>
      </c>
      <c r="J268" s="6">
        <v>11.602693</v>
      </c>
      <c r="K268" s="6">
        <v>-1.11818</v>
      </c>
      <c r="L268" s="6">
        <v>7.5000010000000001</v>
      </c>
      <c r="M268" s="6">
        <v>119.10000100000001</v>
      </c>
      <c r="N268" s="6">
        <v>12.99511</v>
      </c>
      <c r="O268" s="6">
        <v>5.8116399999999997</v>
      </c>
      <c r="P268" s="6">
        <v>7.1834699999999998</v>
      </c>
      <c r="Q268" s="7">
        <v>26.5</v>
      </c>
      <c r="R268" s="6">
        <v>116.546216</v>
      </c>
      <c r="S268" s="6">
        <v>1057.4844210000001</v>
      </c>
      <c r="T268" s="6">
        <v>983.45983000000001</v>
      </c>
      <c r="U268" s="6">
        <v>916.41619200000002</v>
      </c>
      <c r="V268" s="6">
        <v>855.54801499999996</v>
      </c>
    </row>
    <row r="269" spans="1:22" x14ac:dyDescent="0.35">
      <c r="A269" s="5">
        <v>46022</v>
      </c>
      <c r="B269" s="4" t="s">
        <v>601</v>
      </c>
      <c r="C269" s="4" t="s">
        <v>602</v>
      </c>
      <c r="D269" s="4" t="s">
        <v>61</v>
      </c>
      <c r="E269" s="6">
        <v>3.9316840000000002</v>
      </c>
      <c r="F269" s="6">
        <v>0.262262</v>
      </c>
      <c r="G269" s="6">
        <v>3.669422</v>
      </c>
      <c r="H269" s="6">
        <v>0.41603299999999999</v>
      </c>
      <c r="I269" s="6">
        <v>1.919241</v>
      </c>
      <c r="J269" s="6">
        <v>0.19369900000000001</v>
      </c>
      <c r="K269" s="6">
        <v>-7.9900000000000001E-4</v>
      </c>
      <c r="L269" s="6">
        <v>9.6037999999999998E-2</v>
      </c>
      <c r="M269" s="6">
        <v>0</v>
      </c>
      <c r="N269" s="6">
        <v>1.0452090000000001</v>
      </c>
      <c r="O269" s="6">
        <v>0.22059699999999999</v>
      </c>
      <c r="P269" s="6">
        <v>0.82461200000000001</v>
      </c>
      <c r="Q269" s="7">
        <v>25</v>
      </c>
      <c r="R269" s="6">
        <v>0.25806000000000001</v>
      </c>
      <c r="S269" s="6">
        <v>4.3660889999999997</v>
      </c>
      <c r="T269" s="6">
        <v>4.0790300000000004</v>
      </c>
      <c r="U269" s="6">
        <v>3.8205079999999998</v>
      </c>
      <c r="V269" s="6">
        <v>3.5870030000000002</v>
      </c>
    </row>
    <row r="270" spans="1:22" x14ac:dyDescent="0.35">
      <c r="A270" s="5">
        <v>46022</v>
      </c>
      <c r="B270" s="4" t="s">
        <v>603</v>
      </c>
      <c r="C270" s="4" t="s">
        <v>604</v>
      </c>
      <c r="D270" s="4" t="s">
        <v>122</v>
      </c>
      <c r="E270" s="6">
        <v>427.05440499999997</v>
      </c>
      <c r="F270" s="6">
        <v>32.859070000000003</v>
      </c>
      <c r="G270" s="6">
        <v>394.195335</v>
      </c>
      <c r="H270" s="6">
        <v>23.020143999999998</v>
      </c>
      <c r="I270" s="6">
        <v>137.31663</v>
      </c>
      <c r="J270" s="6">
        <v>5.4926659999999998</v>
      </c>
      <c r="K270" s="6">
        <v>4.161988</v>
      </c>
      <c r="L270" s="6">
        <v>16.540991000000002</v>
      </c>
      <c r="M270" s="6">
        <v>0</v>
      </c>
      <c r="N270" s="6">
        <v>207.662916</v>
      </c>
      <c r="O270" s="6">
        <v>69.195293000000007</v>
      </c>
      <c r="P270" s="6">
        <v>138.46762200000001</v>
      </c>
      <c r="Q270" s="7">
        <v>35</v>
      </c>
      <c r="R270" s="6">
        <v>30.665057999999998</v>
      </c>
      <c r="S270" s="6">
        <v>1683.953027</v>
      </c>
      <c r="T270" s="6">
        <v>1419.219531</v>
      </c>
      <c r="U270" s="6">
        <v>1217.4039359999999</v>
      </c>
      <c r="V270" s="6">
        <v>1060.4534759999999</v>
      </c>
    </row>
    <row r="271" spans="1:22" x14ac:dyDescent="0.35">
      <c r="A271" s="5">
        <v>46022</v>
      </c>
      <c r="B271" s="4" t="s">
        <v>605</v>
      </c>
      <c r="C271" s="4" t="s">
        <v>606</v>
      </c>
      <c r="D271" s="4" t="s">
        <v>86</v>
      </c>
      <c r="E271" s="6">
        <v>12973.500700000001</v>
      </c>
      <c r="F271" s="6">
        <v>1293.268118</v>
      </c>
      <c r="G271" s="6">
        <v>11680.232582000001</v>
      </c>
      <c r="H271" s="6">
        <v>869.69808799999998</v>
      </c>
      <c r="I271" s="6">
        <v>2470.789186</v>
      </c>
      <c r="J271" s="6">
        <v>687.49037099999998</v>
      </c>
      <c r="K271" s="6">
        <v>-218.41431299999999</v>
      </c>
      <c r="L271" s="6">
        <v>921.09934399999997</v>
      </c>
      <c r="M271" s="6">
        <v>0</v>
      </c>
      <c r="N271" s="6">
        <v>6949.5699070000001</v>
      </c>
      <c r="O271" s="6">
        <v>1348.635143</v>
      </c>
      <c r="P271" s="6">
        <v>5600.9347639999996</v>
      </c>
      <c r="Q271" s="7">
        <v>20</v>
      </c>
      <c r="R271" s="6">
        <v>909.07922299999996</v>
      </c>
      <c r="S271" s="6">
        <v>45629.862123999999</v>
      </c>
      <c r="T271" s="6">
        <v>40529.839362999999</v>
      </c>
      <c r="U271" s="6">
        <v>36295.332324000003</v>
      </c>
      <c r="V271" s="6">
        <v>32747.614527000002</v>
      </c>
    </row>
    <row r="272" spans="1:22" x14ac:dyDescent="0.35">
      <c r="A272" s="5">
        <v>46022</v>
      </c>
      <c r="B272" s="4" t="s">
        <v>607</v>
      </c>
      <c r="C272" s="4" t="s">
        <v>608</v>
      </c>
      <c r="D272" s="4" t="s">
        <v>250</v>
      </c>
      <c r="E272" s="6">
        <v>1483.945653</v>
      </c>
      <c r="F272" s="6">
        <v>46.183407000000003</v>
      </c>
      <c r="G272" s="6">
        <v>1437.7622449999999</v>
      </c>
      <c r="H272" s="6">
        <v>29.678932</v>
      </c>
      <c r="I272" s="6">
        <v>620.14298299999996</v>
      </c>
      <c r="J272" s="6">
        <v>59.370784</v>
      </c>
      <c r="K272" s="6">
        <v>-0.36118800000000001</v>
      </c>
      <c r="L272" s="6">
        <v>356.99999100000002</v>
      </c>
      <c r="M272" s="6">
        <v>0</v>
      </c>
      <c r="N272" s="6">
        <v>371.93074300000001</v>
      </c>
      <c r="O272" s="6">
        <v>79.418834000000004</v>
      </c>
      <c r="P272" s="6">
        <v>292.511909</v>
      </c>
      <c r="Q272" s="7">
        <v>30</v>
      </c>
      <c r="R272" s="6">
        <v>463.84010000000001</v>
      </c>
      <c r="S272" s="6">
        <v>2753.4100530000001</v>
      </c>
      <c r="T272" s="6">
        <v>2554.5522559999999</v>
      </c>
      <c r="U272" s="6">
        <v>2376.4638930000001</v>
      </c>
      <c r="V272" s="6">
        <v>2216.4743859999999</v>
      </c>
    </row>
    <row r="273" spans="1:22" x14ac:dyDescent="0.35">
      <c r="A273" s="5">
        <v>46022</v>
      </c>
      <c r="B273" s="4" t="s">
        <v>609</v>
      </c>
      <c r="C273" s="4" t="s">
        <v>610</v>
      </c>
      <c r="D273" s="4" t="s">
        <v>89</v>
      </c>
      <c r="E273" s="6">
        <v>2902.183587</v>
      </c>
      <c r="F273" s="6">
        <v>154.85664600000001</v>
      </c>
      <c r="G273" s="6">
        <v>2747.3269409999998</v>
      </c>
      <c r="H273" s="6">
        <v>213.96554599999999</v>
      </c>
      <c r="I273" s="6">
        <v>1644.540109</v>
      </c>
      <c r="J273" s="6">
        <v>11.528164</v>
      </c>
      <c r="K273" s="6">
        <v>-19.097781999999999</v>
      </c>
      <c r="L273" s="6">
        <v>209.63529299999999</v>
      </c>
      <c r="M273" s="6">
        <v>0</v>
      </c>
      <c r="N273" s="6">
        <v>686.75561200000004</v>
      </c>
      <c r="O273" s="6">
        <v>182.884488</v>
      </c>
      <c r="P273" s="6">
        <v>503.87112300000001</v>
      </c>
      <c r="Q273" s="7">
        <v>30</v>
      </c>
      <c r="R273" s="6">
        <v>267.67816099999999</v>
      </c>
      <c r="S273" s="6">
        <v>4006.362466</v>
      </c>
      <c r="T273" s="6">
        <v>3504.235158</v>
      </c>
      <c r="U273" s="6">
        <v>3103.838769</v>
      </c>
      <c r="V273" s="6">
        <v>2779.303594</v>
      </c>
    </row>
    <row r="274" spans="1:22" x14ac:dyDescent="0.35">
      <c r="A274" s="5">
        <v>46022</v>
      </c>
      <c r="B274" s="4" t="s">
        <v>611</v>
      </c>
      <c r="C274" s="4" t="s">
        <v>612</v>
      </c>
      <c r="D274" s="4" t="s">
        <v>222</v>
      </c>
      <c r="E274" s="6">
        <v>1561.407234</v>
      </c>
      <c r="F274" s="6">
        <v>216.250156</v>
      </c>
      <c r="G274" s="6">
        <v>1345.157078</v>
      </c>
      <c r="H274" s="6">
        <v>0</v>
      </c>
      <c r="I274" s="6">
        <v>846.18307100000004</v>
      </c>
      <c r="J274" s="6">
        <v>20.784407000000002</v>
      </c>
      <c r="K274" s="6">
        <v>36.684888999999998</v>
      </c>
      <c r="L274" s="6">
        <v>161.43071499999999</v>
      </c>
      <c r="M274" s="6">
        <v>0</v>
      </c>
      <c r="N274" s="6">
        <v>280.07399600000002</v>
      </c>
      <c r="O274" s="6">
        <v>76.968823</v>
      </c>
      <c r="P274" s="6">
        <v>203.10517300000001</v>
      </c>
      <c r="Q274" s="7">
        <v>26.5</v>
      </c>
      <c r="R274" s="6">
        <v>187.74121099999999</v>
      </c>
      <c r="S274" s="6">
        <v>2369.210337</v>
      </c>
      <c r="T274" s="6">
        <v>2041.3699469999999</v>
      </c>
      <c r="U274" s="6">
        <v>1781.12033</v>
      </c>
      <c r="V274" s="6">
        <v>1571.6869799999999</v>
      </c>
    </row>
    <row r="275" spans="1:22" x14ac:dyDescent="0.35">
      <c r="A275" s="5">
        <v>46022</v>
      </c>
      <c r="B275" s="4" t="s">
        <v>613</v>
      </c>
      <c r="C275" s="4" t="s">
        <v>614</v>
      </c>
      <c r="D275" s="4" t="s">
        <v>105</v>
      </c>
      <c r="E275" s="6">
        <v>537.64113799999996</v>
      </c>
      <c r="F275" s="6">
        <v>16.846710999999999</v>
      </c>
      <c r="G275" s="6">
        <v>520.79442600000004</v>
      </c>
      <c r="H275" s="6">
        <v>26.882059000000002</v>
      </c>
      <c r="I275" s="6">
        <v>98.009531999999993</v>
      </c>
      <c r="J275" s="6">
        <v>3.5756209999999999</v>
      </c>
      <c r="K275" s="6">
        <v>5.5586469999999997</v>
      </c>
      <c r="L275" s="6">
        <v>18.772026</v>
      </c>
      <c r="M275" s="6">
        <v>0</v>
      </c>
      <c r="N275" s="6">
        <v>367.99654099999998</v>
      </c>
      <c r="O275" s="6">
        <v>76.168778000000003</v>
      </c>
      <c r="P275" s="6">
        <v>291.827763</v>
      </c>
      <c r="Q275" s="7">
        <v>27</v>
      </c>
      <c r="R275" s="6">
        <v>110.220631</v>
      </c>
      <c r="S275" s="6">
        <v>1895.71803</v>
      </c>
      <c r="T275" s="6">
        <v>1745.539577</v>
      </c>
      <c r="U275" s="6">
        <v>1613.0791879999999</v>
      </c>
      <c r="V275" s="6">
        <v>1495.7797860000001</v>
      </c>
    </row>
    <row r="276" spans="1:22" x14ac:dyDescent="0.35">
      <c r="A276" s="5">
        <v>46022</v>
      </c>
      <c r="B276" s="4" t="s">
        <v>615</v>
      </c>
      <c r="C276" s="4" t="s">
        <v>616</v>
      </c>
      <c r="D276" s="4" t="s">
        <v>79</v>
      </c>
      <c r="E276" s="6">
        <v>20.796645999999999</v>
      </c>
      <c r="F276" s="6">
        <v>0.18537200000000001</v>
      </c>
      <c r="G276" s="6">
        <v>20.611274000000002</v>
      </c>
      <c r="H276" s="6">
        <v>9.4726000000000005E-2</v>
      </c>
      <c r="I276" s="6">
        <v>33.883623999999998</v>
      </c>
      <c r="J276" s="6">
        <v>0.431952</v>
      </c>
      <c r="K276" s="6">
        <v>2.3149999999999998E-3</v>
      </c>
      <c r="L276" s="6">
        <v>2.3491369999999998</v>
      </c>
      <c r="M276" s="6">
        <v>0</v>
      </c>
      <c r="N276" s="6">
        <v>-16.150479000000001</v>
      </c>
      <c r="O276" s="6">
        <v>0</v>
      </c>
      <c r="P276" s="6">
        <v>-16.150479000000001</v>
      </c>
      <c r="Q276" s="7">
        <v>27</v>
      </c>
      <c r="R276" s="6">
        <v>2.3491369999999998</v>
      </c>
      <c r="S276" s="6">
        <v>-28.798594999999999</v>
      </c>
      <c r="T276" s="6">
        <v>-28.027843000000001</v>
      </c>
      <c r="U276" s="6">
        <v>-27.293288</v>
      </c>
      <c r="V276" s="6">
        <v>-26.592573999999999</v>
      </c>
    </row>
    <row r="277" spans="1:22" x14ac:dyDescent="0.35">
      <c r="A277" s="5">
        <v>46022</v>
      </c>
      <c r="B277" s="4" t="s">
        <v>617</v>
      </c>
      <c r="C277" s="4" t="s">
        <v>618</v>
      </c>
      <c r="D277" s="4" t="s">
        <v>344</v>
      </c>
      <c r="E277" s="6">
        <v>434.75934599999999</v>
      </c>
      <c r="F277" s="6">
        <v>53.892639000000003</v>
      </c>
      <c r="G277" s="6">
        <v>380.86670700000002</v>
      </c>
      <c r="H277" s="6">
        <v>0</v>
      </c>
      <c r="I277" s="6">
        <v>242.429181</v>
      </c>
      <c r="J277" s="6">
        <v>15.616763000000001</v>
      </c>
      <c r="K277" s="6">
        <v>2.2352370000000001</v>
      </c>
      <c r="L277" s="6">
        <v>4.9999960000000003</v>
      </c>
      <c r="M277" s="6">
        <v>0</v>
      </c>
      <c r="N277" s="6">
        <v>115.58553000000001</v>
      </c>
      <c r="O277" s="6">
        <v>19.265937999999998</v>
      </c>
      <c r="P277" s="6">
        <v>96.319592999999998</v>
      </c>
      <c r="Q277" s="7">
        <v>25</v>
      </c>
      <c r="R277" s="6">
        <v>45.757013000000001</v>
      </c>
      <c r="S277" s="6">
        <v>558.06942700000002</v>
      </c>
      <c r="T277" s="6">
        <v>521.53400899999997</v>
      </c>
      <c r="U277" s="6">
        <v>488.55881499999998</v>
      </c>
      <c r="V277" s="6">
        <v>458.71421700000002</v>
      </c>
    </row>
    <row r="278" spans="1:22" x14ac:dyDescent="0.35">
      <c r="A278" s="5">
        <v>46022</v>
      </c>
      <c r="B278" s="4" t="s">
        <v>619</v>
      </c>
      <c r="C278" s="4" t="s">
        <v>620</v>
      </c>
      <c r="D278" s="4" t="s">
        <v>61</v>
      </c>
      <c r="E278" s="6">
        <v>498.52991900000001</v>
      </c>
      <c r="F278" s="6">
        <v>36.578783999999999</v>
      </c>
      <c r="G278" s="6">
        <v>461.95113500000002</v>
      </c>
      <c r="H278" s="6">
        <v>19.941303999999999</v>
      </c>
      <c r="I278" s="6">
        <v>205.84618</v>
      </c>
      <c r="J278" s="6">
        <v>13.76695</v>
      </c>
      <c r="K278" s="6">
        <v>4.442869</v>
      </c>
      <c r="L278" s="6">
        <v>8.4287399999999995</v>
      </c>
      <c r="M278" s="6">
        <v>0</v>
      </c>
      <c r="N278" s="6">
        <v>209.525092</v>
      </c>
      <c r="O278" s="6">
        <v>52.087200000000003</v>
      </c>
      <c r="P278" s="6">
        <v>157.43789100000001</v>
      </c>
      <c r="Q278" s="7">
        <v>25</v>
      </c>
      <c r="R278" s="6">
        <v>14.0479</v>
      </c>
      <c r="S278" s="6">
        <v>1791.645957</v>
      </c>
      <c r="T278" s="6">
        <v>1510.2126479999999</v>
      </c>
      <c r="U278" s="6">
        <v>1295.7271929999999</v>
      </c>
      <c r="V278" s="6">
        <v>1129.033745</v>
      </c>
    </row>
    <row r="279" spans="1:22" x14ac:dyDescent="0.35">
      <c r="A279" s="5">
        <v>46022</v>
      </c>
      <c r="B279" s="4" t="s">
        <v>621</v>
      </c>
      <c r="C279" s="4" t="s">
        <v>622</v>
      </c>
      <c r="D279" s="4" t="s">
        <v>58</v>
      </c>
      <c r="E279" s="6">
        <v>1563.9151939999999</v>
      </c>
      <c r="F279" s="6">
        <v>25.335000000000001</v>
      </c>
      <c r="G279" s="6">
        <v>1538.5801939999999</v>
      </c>
      <c r="H279" s="6">
        <v>81.252841000000004</v>
      </c>
      <c r="I279" s="6">
        <v>528.90078000000005</v>
      </c>
      <c r="J279" s="6">
        <v>55.000019999999999</v>
      </c>
      <c r="K279" s="6">
        <v>11.423124</v>
      </c>
      <c r="L279" s="6">
        <v>66.659400000000005</v>
      </c>
      <c r="M279" s="6">
        <v>0</v>
      </c>
      <c r="N279" s="6">
        <v>795.34402899999998</v>
      </c>
      <c r="O279" s="6">
        <v>194.39485199999999</v>
      </c>
      <c r="P279" s="6">
        <v>600.94917699999996</v>
      </c>
      <c r="Q279" s="7">
        <v>27</v>
      </c>
      <c r="R279" s="6">
        <v>153.44561999999999</v>
      </c>
      <c r="S279" s="6">
        <v>2848.0891649999999</v>
      </c>
      <c r="T279" s="6">
        <v>2694.1985549999999</v>
      </c>
      <c r="U279" s="6">
        <v>2553.0643949999999</v>
      </c>
      <c r="V279" s="6">
        <v>2423.346188</v>
      </c>
    </row>
    <row r="280" spans="1:22" x14ac:dyDescent="0.35">
      <c r="A280" s="5">
        <v>46022</v>
      </c>
      <c r="B280" s="4" t="s">
        <v>623</v>
      </c>
      <c r="C280" s="4" t="s">
        <v>624</v>
      </c>
      <c r="D280" s="4" t="s">
        <v>79</v>
      </c>
      <c r="E280" s="6">
        <v>75.001261999999997</v>
      </c>
      <c r="F280" s="6">
        <v>0.83319699999999997</v>
      </c>
      <c r="G280" s="6">
        <v>74.168064999999999</v>
      </c>
      <c r="H280" s="6">
        <v>0</v>
      </c>
      <c r="I280" s="6">
        <v>36.105964999999998</v>
      </c>
      <c r="J280" s="6">
        <v>2.2758889999999998</v>
      </c>
      <c r="K280" s="6">
        <v>-6.1464660000000002</v>
      </c>
      <c r="L280" s="6">
        <v>3.9268960000000002</v>
      </c>
      <c r="M280" s="6">
        <v>0</v>
      </c>
      <c r="N280" s="6">
        <v>38.005780000000001</v>
      </c>
      <c r="O280" s="6">
        <v>8.1976390000000006</v>
      </c>
      <c r="P280" s="6">
        <v>29.808140999999999</v>
      </c>
      <c r="Q280" s="7">
        <v>26</v>
      </c>
      <c r="R280" s="6">
        <v>4.2568289999999998</v>
      </c>
      <c r="S280" s="6">
        <v>150.33100899999999</v>
      </c>
      <c r="T280" s="6">
        <v>137.94544999999999</v>
      </c>
      <c r="U280" s="6">
        <v>127.20755200000001</v>
      </c>
      <c r="V280" s="6">
        <v>117.84252600000001</v>
      </c>
    </row>
    <row r="281" spans="1:22" x14ac:dyDescent="0.35">
      <c r="A281" s="5">
        <v>46022</v>
      </c>
      <c r="B281" s="4" t="s">
        <v>625</v>
      </c>
      <c r="C281" s="4" t="s">
        <v>626</v>
      </c>
      <c r="D281" s="4" t="s">
        <v>89</v>
      </c>
      <c r="E281" s="6">
        <v>305.46215999999998</v>
      </c>
      <c r="F281" s="6">
        <v>29.284787000000001</v>
      </c>
      <c r="G281" s="6">
        <v>276.17737299999999</v>
      </c>
      <c r="H281" s="6">
        <v>3.9649809999999999</v>
      </c>
      <c r="I281" s="6">
        <v>148.21393800000001</v>
      </c>
      <c r="J281" s="6">
        <v>1.746208</v>
      </c>
      <c r="K281" s="6">
        <v>-3.555275</v>
      </c>
      <c r="L281" s="6">
        <v>12.075365</v>
      </c>
      <c r="M281" s="6">
        <v>0</v>
      </c>
      <c r="N281" s="6">
        <v>113.732156</v>
      </c>
      <c r="O281" s="6">
        <v>32.289017999999999</v>
      </c>
      <c r="P281" s="6">
        <v>81.443138000000005</v>
      </c>
      <c r="Q281" s="7">
        <v>30</v>
      </c>
      <c r="R281" s="6">
        <v>14.622185</v>
      </c>
      <c r="S281" s="6">
        <v>254.56711300000001</v>
      </c>
      <c r="T281" s="6">
        <v>244.010696</v>
      </c>
      <c r="U281" s="6">
        <v>234.160641</v>
      </c>
      <c r="V281" s="6">
        <v>224.955206</v>
      </c>
    </row>
    <row r="282" spans="1:22" x14ac:dyDescent="0.35">
      <c r="A282" s="5">
        <v>46022</v>
      </c>
      <c r="B282" s="4" t="s">
        <v>627</v>
      </c>
      <c r="C282" s="4" t="s">
        <v>628</v>
      </c>
      <c r="D282" s="4" t="s">
        <v>213</v>
      </c>
      <c r="E282" s="6">
        <v>282.61290200000002</v>
      </c>
      <c r="F282" s="6">
        <v>14.329219999999999</v>
      </c>
      <c r="G282" s="6">
        <v>268.283681</v>
      </c>
      <c r="H282" s="6">
        <v>18.859946000000001</v>
      </c>
      <c r="I282" s="6">
        <v>103.55016500000001</v>
      </c>
      <c r="J282" s="6">
        <v>6.4999989999999999</v>
      </c>
      <c r="K282" s="6">
        <v>-0.75034800000000001</v>
      </c>
      <c r="L282" s="6">
        <v>1.1000000000000001</v>
      </c>
      <c r="M282" s="6">
        <v>0</v>
      </c>
      <c r="N282" s="6">
        <v>139.02392</v>
      </c>
      <c r="O282" s="6">
        <v>40.630318000000003</v>
      </c>
      <c r="P282" s="6">
        <v>98.393602000000001</v>
      </c>
      <c r="Q282" s="7">
        <v>35</v>
      </c>
      <c r="R282" s="6">
        <v>23.286947999999999</v>
      </c>
      <c r="S282" s="6">
        <v>495.20372900000001</v>
      </c>
      <c r="T282" s="6">
        <v>462.52869800000002</v>
      </c>
      <c r="U282" s="6">
        <v>433.12614500000001</v>
      </c>
      <c r="V282" s="6">
        <v>406.59022599999997</v>
      </c>
    </row>
    <row r="283" spans="1:22" x14ac:dyDescent="0.35">
      <c r="A283" s="5">
        <v>46022</v>
      </c>
      <c r="B283" s="4" t="s">
        <v>629</v>
      </c>
      <c r="C283" s="4" t="s">
        <v>630</v>
      </c>
      <c r="D283" s="4" t="s">
        <v>58</v>
      </c>
      <c r="E283" s="6">
        <v>376.86383799999999</v>
      </c>
      <c r="F283" s="6">
        <v>24.678892000000001</v>
      </c>
      <c r="G283" s="6">
        <v>352.18494600000002</v>
      </c>
      <c r="H283" s="6">
        <v>8.7422489999999993</v>
      </c>
      <c r="I283" s="6">
        <v>190.5446</v>
      </c>
      <c r="J283" s="6">
        <v>10.230930000000001</v>
      </c>
      <c r="K283" s="6">
        <v>40.569513000000001</v>
      </c>
      <c r="L283" s="6">
        <v>21.73</v>
      </c>
      <c r="M283" s="6">
        <v>36</v>
      </c>
      <c r="N283" s="6">
        <v>44.367654000000002</v>
      </c>
      <c r="O283" s="6">
        <v>0</v>
      </c>
      <c r="P283" s="6">
        <v>44.367654000000002</v>
      </c>
      <c r="Q283" s="7">
        <v>27</v>
      </c>
      <c r="R283" s="6">
        <v>66.271050000000002</v>
      </c>
      <c r="S283" s="6">
        <v>3050.134333</v>
      </c>
      <c r="T283" s="6">
        <v>2574.2574810000001</v>
      </c>
      <c r="U283" s="6">
        <v>2207.7252589999998</v>
      </c>
      <c r="V283" s="6">
        <v>1919.9554889999999</v>
      </c>
    </row>
    <row r="284" spans="1:22" x14ac:dyDescent="0.35">
      <c r="A284" s="5">
        <v>46022</v>
      </c>
      <c r="B284" s="4" t="s">
        <v>631</v>
      </c>
      <c r="C284" s="4" t="s">
        <v>632</v>
      </c>
      <c r="D284" s="4" t="s">
        <v>111</v>
      </c>
      <c r="E284" s="6">
        <v>114.133399</v>
      </c>
      <c r="F284" s="6">
        <v>11.772307</v>
      </c>
      <c r="G284" s="6">
        <v>102.361091</v>
      </c>
      <c r="H284" s="6">
        <v>1.6863189999999999</v>
      </c>
      <c r="I284" s="6">
        <v>81.115557999999993</v>
      </c>
      <c r="J284" s="6">
        <v>1.8061179999999999</v>
      </c>
      <c r="K284" s="6">
        <v>-2.9548000000000001E-2</v>
      </c>
      <c r="L284" s="6">
        <v>8.1115560000000002</v>
      </c>
      <c r="M284" s="6">
        <v>0</v>
      </c>
      <c r="N284" s="6">
        <v>9.6710890000000003</v>
      </c>
      <c r="O284" s="6">
        <v>0</v>
      </c>
      <c r="P284" s="6">
        <v>9.6710890000000003</v>
      </c>
      <c r="Q284" s="7">
        <v>30</v>
      </c>
      <c r="R284" s="6">
        <v>23.311399000000002</v>
      </c>
      <c r="S284" s="6">
        <v>24.874545000000001</v>
      </c>
      <c r="T284" s="6">
        <v>24.003947</v>
      </c>
      <c r="U284" s="6">
        <v>23.183736</v>
      </c>
      <c r="V284" s="6">
        <v>22.410029000000002</v>
      </c>
    </row>
    <row r="285" spans="1:22" x14ac:dyDescent="0.35">
      <c r="A285" s="5">
        <v>46022</v>
      </c>
      <c r="B285" s="4" t="s">
        <v>633</v>
      </c>
      <c r="C285" s="4" t="s">
        <v>634</v>
      </c>
      <c r="D285" s="4" t="s">
        <v>635</v>
      </c>
      <c r="E285" s="6">
        <v>107.435109</v>
      </c>
      <c r="F285" s="6">
        <v>4.5443429999999996</v>
      </c>
      <c r="G285" s="6">
        <v>102.890766</v>
      </c>
      <c r="H285" s="6">
        <v>31.554442000000002</v>
      </c>
      <c r="I285" s="6">
        <v>49.523994000000002</v>
      </c>
      <c r="J285" s="6">
        <v>4.2151059999999996</v>
      </c>
      <c r="K285" s="6">
        <v>-2.235722</v>
      </c>
      <c r="L285" s="6">
        <v>3.8</v>
      </c>
      <c r="M285" s="6">
        <v>0</v>
      </c>
      <c r="N285" s="6">
        <v>16.032945999999999</v>
      </c>
      <c r="O285" s="6">
        <v>1.1811469999999999</v>
      </c>
      <c r="P285" s="6">
        <v>14.851799</v>
      </c>
      <c r="Q285" s="7">
        <v>25</v>
      </c>
      <c r="R285" s="6">
        <v>12.872636999999999</v>
      </c>
      <c r="S285" s="6">
        <v>56.049177</v>
      </c>
      <c r="T285" s="6">
        <v>53.506689999999999</v>
      </c>
      <c r="U285" s="6">
        <v>51.143341999999997</v>
      </c>
      <c r="V285" s="6">
        <v>48.942943999999997</v>
      </c>
    </row>
    <row r="286" spans="1:22" x14ac:dyDescent="0.35">
      <c r="A286" s="5">
        <v>46022</v>
      </c>
      <c r="B286" s="4" t="s">
        <v>636</v>
      </c>
      <c r="C286" s="4" t="s">
        <v>637</v>
      </c>
      <c r="D286" s="4" t="s">
        <v>61</v>
      </c>
      <c r="E286" s="6">
        <v>96.655688999999995</v>
      </c>
      <c r="F286" s="6">
        <v>24.053567000000001</v>
      </c>
      <c r="G286" s="6">
        <v>72.602120999999997</v>
      </c>
      <c r="H286" s="6">
        <v>7.4379039999999996</v>
      </c>
      <c r="I286" s="6">
        <v>55.117967</v>
      </c>
      <c r="J286" s="6">
        <v>3.1937530000000001</v>
      </c>
      <c r="K286" s="6">
        <v>-4.3999000000000003E-2</v>
      </c>
      <c r="L286" s="6">
        <v>3.429046</v>
      </c>
      <c r="M286" s="6">
        <v>0</v>
      </c>
      <c r="N286" s="6">
        <v>3.4674499999999999</v>
      </c>
      <c r="O286" s="6">
        <v>0</v>
      </c>
      <c r="P286" s="6">
        <v>3.4674499999999999</v>
      </c>
      <c r="Q286" s="7">
        <v>25</v>
      </c>
      <c r="R286" s="6">
        <v>3.429046</v>
      </c>
      <c r="S286" s="6">
        <v>11.379640999999999</v>
      </c>
      <c r="T286" s="6">
        <v>10.891876</v>
      </c>
      <c r="U286" s="6">
        <v>10.437499000000001</v>
      </c>
      <c r="V286" s="6">
        <v>10.013545000000001</v>
      </c>
    </row>
    <row r="287" spans="1:22" x14ac:dyDescent="0.35">
      <c r="A287" s="5">
        <v>46022</v>
      </c>
      <c r="B287" s="4" t="s">
        <v>638</v>
      </c>
      <c r="C287" s="4" t="s">
        <v>639</v>
      </c>
      <c r="D287" s="4" t="s">
        <v>58</v>
      </c>
      <c r="E287" s="6">
        <v>1908.2312879999999</v>
      </c>
      <c r="F287" s="6">
        <v>177.916302</v>
      </c>
      <c r="G287" s="6">
        <v>1730.314985</v>
      </c>
      <c r="H287" s="6">
        <v>67.393832000000003</v>
      </c>
      <c r="I287" s="6">
        <v>763.57915000000003</v>
      </c>
      <c r="J287" s="6">
        <v>54</v>
      </c>
      <c r="K287" s="6">
        <v>36.358879000000002</v>
      </c>
      <c r="L287" s="6">
        <v>395.52870000000001</v>
      </c>
      <c r="M287" s="6">
        <v>0</v>
      </c>
      <c r="N287" s="6">
        <v>413.45442500000001</v>
      </c>
      <c r="O287" s="6">
        <v>0</v>
      </c>
      <c r="P287" s="6">
        <v>413.45442500000001</v>
      </c>
      <c r="Q287" s="7">
        <v>27</v>
      </c>
      <c r="R287" s="6">
        <v>521.76125000000002</v>
      </c>
      <c r="S287" s="6">
        <v>4369.323472</v>
      </c>
      <c r="T287" s="6">
        <v>3761.9544329999999</v>
      </c>
      <c r="U287" s="6">
        <v>3284.6733960000001</v>
      </c>
      <c r="V287" s="6">
        <v>2903.5633160000002</v>
      </c>
    </row>
    <row r="288" spans="1:22" x14ac:dyDescent="0.35">
      <c r="A288" s="5">
        <v>46022</v>
      </c>
      <c r="B288" s="4" t="s">
        <v>640</v>
      </c>
      <c r="C288" s="4" t="s">
        <v>641</v>
      </c>
      <c r="D288" s="4" t="s">
        <v>74</v>
      </c>
      <c r="E288" s="6">
        <v>188.10466600000001</v>
      </c>
      <c r="F288" s="6">
        <v>20.764935000000001</v>
      </c>
      <c r="G288" s="6">
        <v>167.339731</v>
      </c>
      <c r="H288" s="6">
        <v>1.217023</v>
      </c>
      <c r="I288" s="6">
        <v>149.027029</v>
      </c>
      <c r="J288" s="6">
        <v>4.8766350000000003</v>
      </c>
      <c r="K288" s="6">
        <v>-50.942338999999997</v>
      </c>
      <c r="L288" s="6">
        <v>42.222057999999997</v>
      </c>
      <c r="M288" s="6">
        <v>0</v>
      </c>
      <c r="N288" s="6">
        <v>20.939325</v>
      </c>
      <c r="O288" s="6">
        <v>0</v>
      </c>
      <c r="P288" s="6">
        <v>20.939325</v>
      </c>
      <c r="Q288" s="7">
        <v>21</v>
      </c>
      <c r="R288" s="6">
        <v>64.375298000000001</v>
      </c>
      <c r="S288" s="6">
        <v>331.73582599999997</v>
      </c>
      <c r="T288" s="6">
        <v>312.02660800000001</v>
      </c>
      <c r="U288" s="6">
        <v>293.91156000000001</v>
      </c>
      <c r="V288" s="6">
        <v>277.23467799999997</v>
      </c>
    </row>
    <row r="289" spans="1:22" x14ac:dyDescent="0.35">
      <c r="A289" s="5">
        <v>46022</v>
      </c>
      <c r="B289" s="4" t="s">
        <v>642</v>
      </c>
      <c r="C289" s="4" t="s">
        <v>643</v>
      </c>
      <c r="D289" s="4" t="s">
        <v>58</v>
      </c>
      <c r="E289" s="6">
        <v>1640.7733780000001</v>
      </c>
      <c r="F289" s="6">
        <v>119.01439999999999</v>
      </c>
      <c r="G289" s="6">
        <v>1521.7589780000001</v>
      </c>
      <c r="H289" s="6">
        <v>15.543006</v>
      </c>
      <c r="I289" s="6">
        <v>703.55031599999995</v>
      </c>
      <c r="J289" s="6">
        <v>45.737524999999998</v>
      </c>
      <c r="K289" s="6">
        <v>26.683295000000001</v>
      </c>
      <c r="L289" s="6">
        <v>379.48935899999998</v>
      </c>
      <c r="M289" s="6">
        <v>0</v>
      </c>
      <c r="N289" s="6">
        <v>350.75547699999998</v>
      </c>
      <c r="O289" s="6">
        <v>78.335342999999995</v>
      </c>
      <c r="P289" s="6">
        <v>272.42013400000002</v>
      </c>
      <c r="Q289" s="7">
        <v>27</v>
      </c>
      <c r="R289" s="6">
        <v>466.79723000000001</v>
      </c>
      <c r="S289" s="6">
        <v>2945.566832</v>
      </c>
      <c r="T289" s="6">
        <v>2551.2915589999998</v>
      </c>
      <c r="U289" s="6">
        <v>2239.794191</v>
      </c>
      <c r="V289" s="6">
        <v>1989.28388</v>
      </c>
    </row>
    <row r="290" spans="1:22" x14ac:dyDescent="0.35">
      <c r="A290" s="5">
        <v>46022</v>
      </c>
      <c r="B290" s="4" t="s">
        <v>644</v>
      </c>
      <c r="C290" s="4" t="s">
        <v>645</v>
      </c>
      <c r="D290" s="4" t="s">
        <v>61</v>
      </c>
      <c r="E290" s="6">
        <v>26.635846000000001</v>
      </c>
      <c r="F290" s="6">
        <v>1.9308890000000001</v>
      </c>
      <c r="G290" s="6">
        <v>24.704957</v>
      </c>
      <c r="H290" s="6">
        <v>2.23373</v>
      </c>
      <c r="I290" s="6">
        <v>8.1347830000000005</v>
      </c>
      <c r="J290" s="6">
        <v>1.2795639999999999</v>
      </c>
      <c r="K290" s="6">
        <v>7.6400000000000003E-4</v>
      </c>
      <c r="L290" s="6">
        <v>1.1588510000000001</v>
      </c>
      <c r="M290" s="6">
        <v>0</v>
      </c>
      <c r="N290" s="6">
        <v>11.897266</v>
      </c>
      <c r="O290" s="6">
        <v>2.9008720000000001</v>
      </c>
      <c r="P290" s="6">
        <v>8.9963940000000004</v>
      </c>
      <c r="Q290" s="7">
        <v>25</v>
      </c>
      <c r="R290" s="6">
        <v>1.453392</v>
      </c>
      <c r="S290" s="6">
        <v>23.746957999999999</v>
      </c>
      <c r="T290" s="6">
        <v>22.905795000000001</v>
      </c>
      <c r="U290" s="6">
        <v>22.113657</v>
      </c>
      <c r="V290" s="6">
        <v>21.366747</v>
      </c>
    </row>
    <row r="291" spans="1:22" x14ac:dyDescent="0.35">
      <c r="A291" s="5">
        <v>46022</v>
      </c>
      <c r="B291" s="4" t="s">
        <v>646</v>
      </c>
      <c r="C291" s="4" t="s">
        <v>647</v>
      </c>
      <c r="D291" s="4" t="s">
        <v>648</v>
      </c>
      <c r="E291" s="6">
        <v>50.932510000000001</v>
      </c>
      <c r="F291" s="6">
        <v>10.93324</v>
      </c>
      <c r="G291" s="6">
        <v>39.999270000000003</v>
      </c>
      <c r="H291" s="6">
        <v>3.2392590000000001</v>
      </c>
      <c r="I291" s="6">
        <v>27.963559</v>
      </c>
      <c r="J291" s="6">
        <v>2.0005700000000002</v>
      </c>
      <c r="K291" s="6">
        <v>5.1754699999999998</v>
      </c>
      <c r="L291" s="6">
        <v>6.4049990000000001</v>
      </c>
      <c r="M291" s="6">
        <v>1.9999990000000001</v>
      </c>
      <c r="N291" s="6">
        <v>-6.7845870000000001</v>
      </c>
      <c r="O291" s="6">
        <v>0</v>
      </c>
      <c r="P291" s="6">
        <v>-6.7845870000000001</v>
      </c>
      <c r="Q291" s="7">
        <v>50</v>
      </c>
      <c r="R291" s="6">
        <v>17.666789000000001</v>
      </c>
      <c r="S291" s="6">
        <v>-203.90649500000001</v>
      </c>
      <c r="T291" s="6">
        <v>-189.61282</v>
      </c>
      <c r="U291" s="6">
        <v>-176.68725499999999</v>
      </c>
      <c r="V291" s="6">
        <v>-164.971239</v>
      </c>
    </row>
    <row r="292" spans="1:22" x14ac:dyDescent="0.35">
      <c r="A292" s="5">
        <v>46022</v>
      </c>
      <c r="B292" s="4" t="s">
        <v>649</v>
      </c>
      <c r="C292" s="4" t="s">
        <v>650</v>
      </c>
      <c r="D292" s="4" t="s">
        <v>61</v>
      </c>
      <c r="E292" s="6">
        <v>15.924495</v>
      </c>
      <c r="F292" s="6">
        <v>4.6325200000000004</v>
      </c>
      <c r="G292" s="6">
        <v>11.291975000000001</v>
      </c>
      <c r="H292" s="6">
        <v>0.72719999999999996</v>
      </c>
      <c r="I292" s="6">
        <v>5.1134830000000004</v>
      </c>
      <c r="J292" s="6">
        <v>0.63440300000000005</v>
      </c>
      <c r="K292" s="6">
        <v>-6.7279999999999996E-3</v>
      </c>
      <c r="L292" s="6">
        <v>0.57877400000000001</v>
      </c>
      <c r="M292" s="6">
        <v>0</v>
      </c>
      <c r="N292" s="6">
        <v>4.2448430000000004</v>
      </c>
      <c r="O292" s="6">
        <v>0.92270200000000002</v>
      </c>
      <c r="P292" s="6">
        <v>3.3221409999999998</v>
      </c>
      <c r="Q292" s="7">
        <v>25</v>
      </c>
      <c r="R292" s="6">
        <v>1.12608</v>
      </c>
      <c r="S292" s="6">
        <v>17.267496999999999</v>
      </c>
      <c r="T292" s="6">
        <v>16.146934999999999</v>
      </c>
      <c r="U292" s="6">
        <v>15.136744999999999</v>
      </c>
      <c r="V292" s="6">
        <v>14.223402999999999</v>
      </c>
    </row>
    <row r="293" spans="1:22" x14ac:dyDescent="0.35">
      <c r="A293" s="5">
        <v>46022</v>
      </c>
      <c r="B293" s="4" t="s">
        <v>651</v>
      </c>
      <c r="C293" s="4" t="s">
        <v>652</v>
      </c>
      <c r="D293" s="4" t="s">
        <v>61</v>
      </c>
      <c r="E293" s="6">
        <v>4.2819459999999996</v>
      </c>
      <c r="F293" s="6">
        <v>0.28085199999999999</v>
      </c>
      <c r="G293" s="6">
        <v>4.0010940000000002</v>
      </c>
      <c r="H293" s="6">
        <v>0.39084000000000002</v>
      </c>
      <c r="I293" s="6">
        <v>2.112133</v>
      </c>
      <c r="J293" s="6">
        <v>0.13358400000000001</v>
      </c>
      <c r="K293" s="6">
        <v>-1.212E-3</v>
      </c>
      <c r="L293" s="6">
        <v>6.5890000000000004E-2</v>
      </c>
      <c r="M293" s="6">
        <v>0</v>
      </c>
      <c r="N293" s="6">
        <v>1.2998590000000001</v>
      </c>
      <c r="O293" s="6">
        <v>0.32466200000000001</v>
      </c>
      <c r="P293" s="6">
        <v>0.97519800000000001</v>
      </c>
      <c r="Q293" s="7">
        <v>25</v>
      </c>
      <c r="R293" s="6">
        <v>6.5890000000000004E-2</v>
      </c>
      <c r="S293" s="6">
        <v>10.47573</v>
      </c>
      <c r="T293" s="6">
        <v>8.8997869999999999</v>
      </c>
      <c r="U293" s="6">
        <v>7.6831139999999998</v>
      </c>
      <c r="V293" s="6">
        <v>6.7270510000000003</v>
      </c>
    </row>
    <row r="294" spans="1:22" x14ac:dyDescent="0.35">
      <c r="A294" s="5">
        <v>46022</v>
      </c>
      <c r="B294" s="4" t="s">
        <v>653</v>
      </c>
      <c r="C294" s="4" t="s">
        <v>654</v>
      </c>
      <c r="D294" s="4" t="s">
        <v>50</v>
      </c>
      <c r="E294" s="6">
        <v>3341.249922</v>
      </c>
      <c r="F294" s="6">
        <v>226.96583799999999</v>
      </c>
      <c r="G294" s="6">
        <v>3114.2840839999999</v>
      </c>
      <c r="H294" s="6">
        <v>116.184496</v>
      </c>
      <c r="I294" s="6">
        <v>878.02831600000002</v>
      </c>
      <c r="J294" s="6">
        <v>24.000011000000001</v>
      </c>
      <c r="K294" s="6">
        <v>123.063148</v>
      </c>
      <c r="L294" s="6">
        <v>139.00000499999999</v>
      </c>
      <c r="M294" s="6">
        <v>0</v>
      </c>
      <c r="N294" s="6">
        <v>1834.0081090000001</v>
      </c>
      <c r="O294" s="6">
        <v>561.92258700000002</v>
      </c>
      <c r="P294" s="6">
        <v>1272.0855220000001</v>
      </c>
      <c r="Q294" s="7">
        <v>29.5</v>
      </c>
      <c r="R294" s="6">
        <v>191.248931</v>
      </c>
      <c r="S294" s="6">
        <v>8511.3861280000001</v>
      </c>
      <c r="T294" s="6">
        <v>7280.8979380000001</v>
      </c>
      <c r="U294" s="6">
        <v>6334.8951440000001</v>
      </c>
      <c r="V294" s="6">
        <v>5593.920803</v>
      </c>
    </row>
    <row r="295" spans="1:22" x14ac:dyDescent="0.35">
      <c r="A295" s="5">
        <v>46022</v>
      </c>
      <c r="B295" s="4" t="s">
        <v>655</v>
      </c>
      <c r="C295" s="4" t="s">
        <v>656</v>
      </c>
      <c r="D295" s="4" t="s">
        <v>50</v>
      </c>
      <c r="E295" s="6">
        <v>40.173824000000003</v>
      </c>
      <c r="F295" s="6">
        <v>0.51353400000000005</v>
      </c>
      <c r="G295" s="6">
        <v>39.660288999999999</v>
      </c>
      <c r="H295" s="6">
        <v>0.87356</v>
      </c>
      <c r="I295" s="6">
        <v>11.269589</v>
      </c>
      <c r="J295" s="6">
        <v>1.1507700000000001</v>
      </c>
      <c r="K295" s="6">
        <v>-28.603187999999999</v>
      </c>
      <c r="L295" s="6">
        <v>6.0000030000000004</v>
      </c>
      <c r="M295" s="6">
        <v>0</v>
      </c>
      <c r="N295" s="6">
        <v>48.969555</v>
      </c>
      <c r="O295" s="6">
        <v>5.8180810000000003</v>
      </c>
      <c r="P295" s="6">
        <v>43.151474</v>
      </c>
      <c r="Q295" s="7">
        <v>29.5</v>
      </c>
      <c r="R295" s="6">
        <v>6.6440619999999999</v>
      </c>
      <c r="S295" s="6">
        <v>465.31039900000002</v>
      </c>
      <c r="T295" s="6">
        <v>403.24049200000002</v>
      </c>
      <c r="U295" s="6">
        <v>354.10881999999998</v>
      </c>
      <c r="V295" s="6">
        <v>314.50356499999998</v>
      </c>
    </row>
    <row r="296" spans="1:22" x14ac:dyDescent="0.35">
      <c r="A296" s="5">
        <v>46022</v>
      </c>
      <c r="B296" s="4" t="s">
        <v>657</v>
      </c>
      <c r="C296" s="4" t="s">
        <v>658</v>
      </c>
      <c r="D296" s="4" t="s">
        <v>50</v>
      </c>
      <c r="E296" s="6">
        <v>2064.9298650000001</v>
      </c>
      <c r="F296" s="6">
        <v>210.13641899999999</v>
      </c>
      <c r="G296" s="6">
        <v>1854.793447</v>
      </c>
      <c r="H296" s="6">
        <v>40.645829999999997</v>
      </c>
      <c r="I296" s="6">
        <v>610.64269200000001</v>
      </c>
      <c r="J296" s="6">
        <v>19.000008000000001</v>
      </c>
      <c r="K296" s="6">
        <v>-1.4372259999999999</v>
      </c>
      <c r="L296" s="6">
        <v>59.888213999999998</v>
      </c>
      <c r="M296" s="6">
        <v>50.000003999999997</v>
      </c>
      <c r="N296" s="6">
        <v>1076.0539249999999</v>
      </c>
      <c r="O296" s="6">
        <v>270.63889999999998</v>
      </c>
      <c r="P296" s="6">
        <v>805.41502500000001</v>
      </c>
      <c r="Q296" s="7">
        <v>29.5</v>
      </c>
      <c r="R296" s="6">
        <v>267.08491800000002</v>
      </c>
      <c r="S296" s="6">
        <v>8497.0512720000006</v>
      </c>
      <c r="T296" s="6">
        <v>7333.7320559999998</v>
      </c>
      <c r="U296" s="6">
        <v>6409.5513190000001</v>
      </c>
      <c r="V296" s="6">
        <v>5665.2546940000002</v>
      </c>
    </row>
    <row r="297" spans="1:22" x14ac:dyDescent="0.35">
      <c r="A297" s="5">
        <v>46022</v>
      </c>
      <c r="B297" s="4" t="s">
        <v>659</v>
      </c>
      <c r="C297" s="4" t="s">
        <v>660</v>
      </c>
      <c r="D297" s="4" t="s">
        <v>55</v>
      </c>
      <c r="E297" s="6">
        <v>300.00504599999999</v>
      </c>
      <c r="F297" s="6">
        <v>22.394634</v>
      </c>
      <c r="G297" s="6">
        <v>277.610412</v>
      </c>
      <c r="H297" s="6">
        <v>3.997061</v>
      </c>
      <c r="I297" s="6">
        <v>28.951084000000002</v>
      </c>
      <c r="J297" s="6">
        <v>3.3983889999999999</v>
      </c>
      <c r="K297" s="6">
        <v>45.095702000000003</v>
      </c>
      <c r="L297" s="6">
        <v>7</v>
      </c>
      <c r="M297" s="6">
        <v>35</v>
      </c>
      <c r="N297" s="6">
        <v>154.16817700000001</v>
      </c>
      <c r="O297" s="6">
        <v>72.588313999999997</v>
      </c>
      <c r="P297" s="6">
        <v>81.579863000000003</v>
      </c>
      <c r="Q297" s="7">
        <v>34</v>
      </c>
      <c r="R297" s="6">
        <v>27.768837000000001</v>
      </c>
      <c r="S297" s="6">
        <v>891.839428</v>
      </c>
      <c r="T297" s="6">
        <v>817.591229</v>
      </c>
      <c r="U297" s="6">
        <v>753.07261200000005</v>
      </c>
      <c r="V297" s="6">
        <v>696.66604400000006</v>
      </c>
    </row>
    <row r="298" spans="1:22" x14ac:dyDescent="0.35">
      <c r="A298" s="5">
        <v>46022</v>
      </c>
      <c r="B298" s="4" t="s">
        <v>661</v>
      </c>
      <c r="C298" s="4" t="s">
        <v>662</v>
      </c>
      <c r="D298" s="4" t="s">
        <v>61</v>
      </c>
      <c r="E298" s="6">
        <v>49.326742000000003</v>
      </c>
      <c r="F298" s="6">
        <v>12.321496</v>
      </c>
      <c r="G298" s="6">
        <v>37.005246</v>
      </c>
      <c r="H298" s="6">
        <v>1.0205010000000001</v>
      </c>
      <c r="I298" s="6">
        <v>14.240717999999999</v>
      </c>
      <c r="J298" s="6">
        <v>2.261031</v>
      </c>
      <c r="K298" s="6">
        <v>7.8960000000000002E-3</v>
      </c>
      <c r="L298" s="6">
        <v>1.713352</v>
      </c>
      <c r="M298" s="6">
        <v>0</v>
      </c>
      <c r="N298" s="6">
        <v>17.761748000000001</v>
      </c>
      <c r="O298" s="6">
        <v>4.8160309999999997</v>
      </c>
      <c r="P298" s="6">
        <v>12.945717</v>
      </c>
      <c r="Q298" s="7">
        <v>25</v>
      </c>
      <c r="R298" s="6">
        <v>0.21887400000000001</v>
      </c>
      <c r="S298" s="6">
        <v>116.383275</v>
      </c>
      <c r="T298" s="6">
        <v>102.621758</v>
      </c>
      <c r="U298" s="6">
        <v>91.289927000000006</v>
      </c>
      <c r="V298" s="6">
        <v>81.870345999999998</v>
      </c>
    </row>
    <row r="299" spans="1:22" x14ac:dyDescent="0.35">
      <c r="A299" s="5">
        <v>46022</v>
      </c>
      <c r="B299" s="4" t="s">
        <v>663</v>
      </c>
      <c r="C299" s="4" t="s">
        <v>664</v>
      </c>
      <c r="D299" s="4" t="s">
        <v>61</v>
      </c>
      <c r="E299" s="6">
        <v>155.879032</v>
      </c>
      <c r="F299" s="6">
        <v>11.451625999999999</v>
      </c>
      <c r="G299" s="6">
        <v>144.42740599999999</v>
      </c>
      <c r="H299" s="6">
        <v>6.2351289999999997</v>
      </c>
      <c r="I299" s="6">
        <v>38.847002000000003</v>
      </c>
      <c r="J299" s="6">
        <v>2.9176730000000002</v>
      </c>
      <c r="K299" s="6">
        <v>-3.7023E-2</v>
      </c>
      <c r="L299" s="6">
        <v>4.3857439999999999</v>
      </c>
      <c r="M299" s="6">
        <v>0</v>
      </c>
      <c r="N299" s="6">
        <v>92.078881999999993</v>
      </c>
      <c r="O299" s="6">
        <v>23.181932</v>
      </c>
      <c r="P299" s="6">
        <v>68.896950000000004</v>
      </c>
      <c r="Q299" s="7">
        <v>25</v>
      </c>
      <c r="R299" s="6">
        <v>3.699875</v>
      </c>
      <c r="S299" s="6">
        <v>609.44911999999999</v>
      </c>
      <c r="T299" s="6">
        <v>538.69865400000003</v>
      </c>
      <c r="U299" s="6">
        <v>480.198058</v>
      </c>
      <c r="V299" s="6">
        <v>431.39039600000001</v>
      </c>
    </row>
    <row r="300" spans="1:22" x14ac:dyDescent="0.35">
      <c r="A300" s="5">
        <v>46022</v>
      </c>
      <c r="B300" s="4" t="s">
        <v>665</v>
      </c>
      <c r="C300" s="4" t="s">
        <v>666</v>
      </c>
      <c r="D300" s="4" t="s">
        <v>61</v>
      </c>
      <c r="E300" s="6">
        <v>13.656689999999999</v>
      </c>
      <c r="F300" s="6">
        <v>0.94806599999999996</v>
      </c>
      <c r="G300" s="6">
        <v>12.708624</v>
      </c>
      <c r="H300" s="6">
        <v>1.4433009999999999</v>
      </c>
      <c r="I300" s="6">
        <v>3.9596290000000001</v>
      </c>
      <c r="J300" s="6">
        <v>0.81365500000000002</v>
      </c>
      <c r="K300" s="6">
        <v>0.77304899999999999</v>
      </c>
      <c r="L300" s="6">
        <v>0.215776</v>
      </c>
      <c r="M300" s="6">
        <v>0</v>
      </c>
      <c r="N300" s="6">
        <v>5.503215</v>
      </c>
      <c r="O300" s="6">
        <v>1.4960169999999999</v>
      </c>
      <c r="P300" s="6">
        <v>4.0071979999999998</v>
      </c>
      <c r="Q300" s="7">
        <v>25</v>
      </c>
      <c r="R300" s="6">
        <v>0.50797199999999998</v>
      </c>
      <c r="S300" s="6">
        <v>15.116998000000001</v>
      </c>
      <c r="T300" s="6">
        <v>14.449966999999999</v>
      </c>
      <c r="U300" s="6">
        <v>13.829057000000001</v>
      </c>
      <c r="V300" s="6">
        <v>13.250151000000001</v>
      </c>
    </row>
    <row r="301" spans="1:22" x14ac:dyDescent="0.35">
      <c r="A301" s="5">
        <v>46022</v>
      </c>
      <c r="B301" s="4" t="s">
        <v>667</v>
      </c>
      <c r="C301" s="4" t="s">
        <v>668</v>
      </c>
      <c r="D301" s="4" t="s">
        <v>61</v>
      </c>
      <c r="E301" s="6">
        <v>75.486964999999998</v>
      </c>
      <c r="F301" s="6">
        <v>5.1458000000000004</v>
      </c>
      <c r="G301" s="6">
        <v>70.341165000000004</v>
      </c>
      <c r="H301" s="6">
        <v>9.3573039999999992</v>
      </c>
      <c r="I301" s="6">
        <v>43.385123999999998</v>
      </c>
      <c r="J301" s="6">
        <v>1.752486</v>
      </c>
      <c r="K301" s="6">
        <v>5.2694609999999997</v>
      </c>
      <c r="L301" s="6">
        <v>1.809237</v>
      </c>
      <c r="M301" s="6">
        <v>0</v>
      </c>
      <c r="N301" s="6">
        <v>8.7675529999999995</v>
      </c>
      <c r="O301" s="6">
        <v>0</v>
      </c>
      <c r="P301" s="6">
        <v>8.7675529999999995</v>
      </c>
      <c r="Q301" s="7">
        <v>25</v>
      </c>
      <c r="R301" s="6">
        <v>20.324704000000001</v>
      </c>
      <c r="S301" s="6">
        <v>6.8540029999999996</v>
      </c>
      <c r="T301" s="6">
        <v>7.2122950000000001</v>
      </c>
      <c r="U301" s="6">
        <v>7.5116519999999998</v>
      </c>
      <c r="V301" s="6">
        <v>7.7598900000000004</v>
      </c>
    </row>
    <row r="302" spans="1:22" x14ac:dyDescent="0.35">
      <c r="A302" s="5">
        <v>46022</v>
      </c>
      <c r="B302" s="4" t="s">
        <v>669</v>
      </c>
      <c r="C302" s="4" t="s">
        <v>670</v>
      </c>
      <c r="D302" s="4" t="s">
        <v>61</v>
      </c>
      <c r="E302" s="6">
        <v>11.855755</v>
      </c>
      <c r="F302" s="6">
        <v>0.95798799999999995</v>
      </c>
      <c r="G302" s="6">
        <v>10.897767</v>
      </c>
      <c r="H302" s="6">
        <v>1.56721</v>
      </c>
      <c r="I302" s="6">
        <v>5.32003</v>
      </c>
      <c r="J302" s="6">
        <v>0.231295</v>
      </c>
      <c r="K302" s="6">
        <v>1.601E-3</v>
      </c>
      <c r="L302" s="6">
        <v>0.21561</v>
      </c>
      <c r="M302" s="6">
        <v>0</v>
      </c>
      <c r="N302" s="6">
        <v>3.56202</v>
      </c>
      <c r="O302" s="6">
        <v>0.76336099999999996</v>
      </c>
      <c r="P302" s="6">
        <v>2.7986589999999998</v>
      </c>
      <c r="Q302" s="7">
        <v>25</v>
      </c>
      <c r="R302" s="6">
        <v>0.72578900000000002</v>
      </c>
      <c r="S302" s="6">
        <v>30.019462999999998</v>
      </c>
      <c r="T302" s="6">
        <v>25.481021999999999</v>
      </c>
      <c r="U302" s="6">
        <v>21.990922000000001</v>
      </c>
      <c r="V302" s="6">
        <v>19.255652000000001</v>
      </c>
    </row>
    <row r="303" spans="1:22" x14ac:dyDescent="0.35">
      <c r="A303" s="5">
        <v>46022</v>
      </c>
      <c r="B303" s="4" t="s">
        <v>671</v>
      </c>
      <c r="C303" s="4" t="s">
        <v>672</v>
      </c>
      <c r="D303" s="4" t="s">
        <v>50</v>
      </c>
      <c r="E303" s="6">
        <v>605.43715699999996</v>
      </c>
      <c r="F303" s="6">
        <v>90.035273000000004</v>
      </c>
      <c r="G303" s="6">
        <v>515.401884</v>
      </c>
      <c r="H303" s="6">
        <v>6.0543649999999998</v>
      </c>
      <c r="I303" s="6">
        <v>268.449994</v>
      </c>
      <c r="J303" s="6">
        <v>5.8116880000000002</v>
      </c>
      <c r="K303" s="6">
        <v>-3.0420980000000002</v>
      </c>
      <c r="L303" s="6">
        <v>101.600002</v>
      </c>
      <c r="M303" s="6">
        <v>0</v>
      </c>
      <c r="N303" s="6">
        <v>136.52793299999999</v>
      </c>
      <c r="O303" s="6">
        <v>39.258375000000001</v>
      </c>
      <c r="P303" s="6">
        <v>97.269559000000001</v>
      </c>
      <c r="Q303" s="7">
        <v>29.5</v>
      </c>
      <c r="R303" s="6">
        <v>102.00660000000001</v>
      </c>
      <c r="S303" s="6">
        <v>521.12248299999999</v>
      </c>
      <c r="T303" s="6">
        <v>487.96101499999997</v>
      </c>
      <c r="U303" s="6">
        <v>458.03971100000001</v>
      </c>
      <c r="V303" s="6">
        <v>430.9624</v>
      </c>
    </row>
    <row r="304" spans="1:22" x14ac:dyDescent="0.35">
      <c r="A304" s="5">
        <v>46022</v>
      </c>
      <c r="B304" s="4" t="s">
        <v>673</v>
      </c>
      <c r="C304" s="4" t="s">
        <v>674</v>
      </c>
      <c r="D304" s="4" t="s">
        <v>58</v>
      </c>
      <c r="E304" s="6">
        <v>786.37526400000002</v>
      </c>
      <c r="F304" s="6">
        <v>4.7403870000000001</v>
      </c>
      <c r="G304" s="6">
        <v>781.63487699999996</v>
      </c>
      <c r="H304" s="6">
        <v>18.304839000000001</v>
      </c>
      <c r="I304" s="6">
        <v>526.24587499999996</v>
      </c>
      <c r="J304" s="6">
        <v>37.888612000000002</v>
      </c>
      <c r="K304" s="6">
        <v>6.1354990000000003</v>
      </c>
      <c r="L304" s="6">
        <v>84.444365000000005</v>
      </c>
      <c r="M304" s="6">
        <v>0</v>
      </c>
      <c r="N304" s="6">
        <v>108.615686</v>
      </c>
      <c r="O304" s="6">
        <v>22.06006</v>
      </c>
      <c r="P304" s="6">
        <v>86.555626000000004</v>
      </c>
      <c r="Q304" s="7">
        <v>27</v>
      </c>
      <c r="R304" s="6">
        <v>117.491623</v>
      </c>
      <c r="S304" s="6">
        <v>416.69496400000003</v>
      </c>
      <c r="T304" s="6">
        <v>391.61192499999999</v>
      </c>
      <c r="U304" s="6">
        <v>369.03544599999998</v>
      </c>
      <c r="V304" s="6">
        <v>348.63392599999997</v>
      </c>
    </row>
    <row r="305" spans="1:22" x14ac:dyDescent="0.35">
      <c r="A305" s="5">
        <v>46022</v>
      </c>
      <c r="B305" s="4" t="s">
        <v>675</v>
      </c>
      <c r="C305" s="4" t="s">
        <v>676</v>
      </c>
      <c r="D305" s="4" t="s">
        <v>69</v>
      </c>
      <c r="E305" s="6">
        <v>1992.210499</v>
      </c>
      <c r="F305" s="6">
        <v>114.880825</v>
      </c>
      <c r="G305" s="6">
        <v>1877.329675</v>
      </c>
      <c r="H305" s="6">
        <v>113.556437</v>
      </c>
      <c r="I305" s="6">
        <v>107.57935999999999</v>
      </c>
      <c r="J305" s="6">
        <v>15.335419</v>
      </c>
      <c r="K305" s="6">
        <v>-0.23137099999999999</v>
      </c>
      <c r="L305" s="6">
        <v>53.023924999999998</v>
      </c>
      <c r="M305" s="6">
        <v>0</v>
      </c>
      <c r="N305" s="6">
        <v>1588.065904</v>
      </c>
      <c r="O305" s="6">
        <v>317.46764200000001</v>
      </c>
      <c r="P305" s="6">
        <v>1270.598262</v>
      </c>
      <c r="Q305" s="7">
        <v>20</v>
      </c>
      <c r="R305" s="6">
        <v>53.520249</v>
      </c>
      <c r="S305" s="6">
        <v>7226.4543030000004</v>
      </c>
      <c r="T305" s="6">
        <v>6713.5390530000004</v>
      </c>
      <c r="U305" s="6">
        <v>6255.5345049999996</v>
      </c>
      <c r="V305" s="6">
        <v>5845.1774020000003</v>
      </c>
    </row>
    <row r="306" spans="1:22" x14ac:dyDescent="0.35">
      <c r="A306" s="5">
        <v>46022</v>
      </c>
      <c r="B306" s="4" t="s">
        <v>677</v>
      </c>
      <c r="C306" s="4" t="s">
        <v>678</v>
      </c>
      <c r="D306" s="4" t="s">
        <v>61</v>
      </c>
      <c r="E306" s="6">
        <v>145.56706500000001</v>
      </c>
      <c r="F306" s="6">
        <v>12.39899</v>
      </c>
      <c r="G306" s="6">
        <v>133.16807499999999</v>
      </c>
      <c r="H306" s="6">
        <v>5.8226610000000001</v>
      </c>
      <c r="I306" s="6">
        <v>44.664999000000002</v>
      </c>
      <c r="J306" s="6">
        <v>3.9195709999999999</v>
      </c>
      <c r="K306" s="6">
        <v>1.0128E-2</v>
      </c>
      <c r="L306" s="6">
        <v>4.2798179999999997</v>
      </c>
      <c r="M306" s="6">
        <v>0</v>
      </c>
      <c r="N306" s="6">
        <v>74.470899000000003</v>
      </c>
      <c r="O306" s="6">
        <v>18.759428</v>
      </c>
      <c r="P306" s="6">
        <v>55.711469999999998</v>
      </c>
      <c r="Q306" s="7">
        <v>25</v>
      </c>
      <c r="R306" s="6">
        <v>3.723131</v>
      </c>
      <c r="S306" s="6">
        <v>496.38891899999999</v>
      </c>
      <c r="T306" s="6">
        <v>438.72413999999998</v>
      </c>
      <c r="U306" s="6">
        <v>391.04246599999999</v>
      </c>
      <c r="V306" s="6">
        <v>351.26047499999999</v>
      </c>
    </row>
    <row r="307" spans="1:22" x14ac:dyDescent="0.35">
      <c r="A307" s="5">
        <v>46022</v>
      </c>
      <c r="B307" s="4" t="s">
        <v>679</v>
      </c>
      <c r="C307" s="4" t="s">
        <v>680</v>
      </c>
      <c r="D307" s="4" t="s">
        <v>61</v>
      </c>
      <c r="E307" s="6">
        <v>13.542986000000001</v>
      </c>
      <c r="F307" s="6">
        <v>0.96787900000000004</v>
      </c>
      <c r="G307" s="6">
        <v>12.575106999999999</v>
      </c>
      <c r="H307" s="6">
        <v>1.283453</v>
      </c>
      <c r="I307" s="6">
        <v>8.1262139999999992</v>
      </c>
      <c r="J307" s="6">
        <v>0.88281200000000004</v>
      </c>
      <c r="K307" s="6">
        <v>-1.9729999999999999E-3</v>
      </c>
      <c r="L307" s="6">
        <v>0.91051499999999996</v>
      </c>
      <c r="M307" s="6">
        <v>0</v>
      </c>
      <c r="N307" s="6">
        <v>1.3740859999999999</v>
      </c>
      <c r="O307" s="6">
        <v>0</v>
      </c>
      <c r="P307" s="6">
        <v>1.3740859999999999</v>
      </c>
      <c r="Q307" s="7">
        <v>25</v>
      </c>
      <c r="R307" s="6">
        <v>0.86122100000000001</v>
      </c>
      <c r="S307" s="6">
        <v>8.8427330000000008</v>
      </c>
      <c r="T307" s="6">
        <v>8.1246430000000007</v>
      </c>
      <c r="U307" s="6">
        <v>7.4942140000000004</v>
      </c>
      <c r="V307" s="6">
        <v>6.9383100000000004</v>
      </c>
    </row>
    <row r="308" spans="1:22" x14ac:dyDescent="0.35">
      <c r="A308" s="5">
        <v>46022</v>
      </c>
      <c r="B308" s="4" t="s">
        <v>681</v>
      </c>
      <c r="C308" s="4" t="s">
        <v>682</v>
      </c>
      <c r="D308" s="4" t="s">
        <v>105</v>
      </c>
      <c r="E308" s="6">
        <v>567.336005</v>
      </c>
      <c r="F308" s="6">
        <v>112.68767800000001</v>
      </c>
      <c r="G308" s="6">
        <v>454.64832699999999</v>
      </c>
      <c r="H308" s="6">
        <v>4.0867950000000004</v>
      </c>
      <c r="I308" s="6">
        <v>86.657442000000003</v>
      </c>
      <c r="J308" s="6">
        <v>14.375183</v>
      </c>
      <c r="K308" s="6">
        <v>30.480433999999999</v>
      </c>
      <c r="L308" s="6">
        <v>38.271503000000003</v>
      </c>
      <c r="M308" s="6">
        <v>90.115268</v>
      </c>
      <c r="N308" s="6">
        <v>190.66170199999999</v>
      </c>
      <c r="O308" s="6">
        <v>90.997804000000002</v>
      </c>
      <c r="P308" s="6">
        <v>99.663897000000006</v>
      </c>
      <c r="Q308" s="7">
        <v>27</v>
      </c>
      <c r="R308" s="6">
        <v>12.500000999999999</v>
      </c>
      <c r="S308" s="6">
        <v>3579.1793299999999</v>
      </c>
      <c r="T308" s="6">
        <v>2994.8173510000001</v>
      </c>
      <c r="U308" s="6">
        <v>2547.7174180000002</v>
      </c>
      <c r="V308" s="6">
        <v>2199.1754409999999</v>
      </c>
    </row>
    <row r="309" spans="1:22" x14ac:dyDescent="0.35">
      <c r="A309" s="5">
        <v>46022</v>
      </c>
      <c r="B309" s="4" t="s">
        <v>683</v>
      </c>
      <c r="C309" s="4" t="s">
        <v>684</v>
      </c>
      <c r="D309" s="4" t="s">
        <v>536</v>
      </c>
      <c r="E309" s="6">
        <v>1143.2237729999999</v>
      </c>
      <c r="F309" s="6">
        <v>52.894817000000003</v>
      </c>
      <c r="G309" s="6">
        <v>1090.3289569999999</v>
      </c>
      <c r="H309" s="6">
        <v>69.164148999999995</v>
      </c>
      <c r="I309" s="6">
        <v>697.208167</v>
      </c>
      <c r="J309" s="6">
        <v>52.467092000000001</v>
      </c>
      <c r="K309" s="6">
        <v>-337.05868700000002</v>
      </c>
      <c r="L309" s="6">
        <v>181.99999700000001</v>
      </c>
      <c r="M309" s="6">
        <v>847.00000799999998</v>
      </c>
      <c r="N309" s="6">
        <v>-420.45176900000001</v>
      </c>
      <c r="O309" s="6">
        <v>30.306761000000002</v>
      </c>
      <c r="P309" s="6">
        <v>-450.75853000000001</v>
      </c>
      <c r="Q309" s="7">
        <v>22</v>
      </c>
      <c r="R309" s="6">
        <v>133.73154400000001</v>
      </c>
      <c r="S309" s="6">
        <v>4169.9137659999997</v>
      </c>
      <c r="T309" s="6">
        <v>3704.562234</v>
      </c>
      <c r="U309" s="6">
        <v>3300.989356</v>
      </c>
      <c r="V309" s="6">
        <v>2949.6496430000002</v>
      </c>
    </row>
    <row r="310" spans="1:22" x14ac:dyDescent="0.35">
      <c r="A310" s="5">
        <v>46022</v>
      </c>
      <c r="B310" s="4" t="s">
        <v>685</v>
      </c>
      <c r="C310" s="4" t="s">
        <v>686</v>
      </c>
      <c r="D310" s="4" t="s">
        <v>687</v>
      </c>
      <c r="E310" s="6">
        <v>549.81296399999997</v>
      </c>
      <c r="F310" s="6">
        <v>162.45042799999999</v>
      </c>
      <c r="G310" s="6">
        <v>387.36253599999998</v>
      </c>
      <c r="H310" s="6">
        <v>21.992529999999999</v>
      </c>
      <c r="I310" s="6">
        <v>139.319793</v>
      </c>
      <c r="J310" s="6">
        <v>24.799866000000002</v>
      </c>
      <c r="K310" s="6">
        <v>5.6405820000000002</v>
      </c>
      <c r="L310" s="6">
        <v>2.7839999999999998</v>
      </c>
      <c r="M310" s="6">
        <v>0</v>
      </c>
      <c r="N310" s="6">
        <v>192.82576399999999</v>
      </c>
      <c r="O310" s="6">
        <v>57.734231000000001</v>
      </c>
      <c r="P310" s="6">
        <v>135.091533</v>
      </c>
      <c r="Q310" s="7">
        <v>38</v>
      </c>
      <c r="R310" s="6">
        <v>49.318159999999999</v>
      </c>
      <c r="S310" s="6">
        <v>451.212469</v>
      </c>
      <c r="T310" s="6">
        <v>432.02909699999998</v>
      </c>
      <c r="U310" s="6">
        <v>414.14668999999998</v>
      </c>
      <c r="V310" s="6">
        <v>397.45056299999999</v>
      </c>
    </row>
    <row r="311" spans="1:22" x14ac:dyDescent="0.35">
      <c r="A311" s="5">
        <v>46022</v>
      </c>
      <c r="B311" s="4" t="s">
        <v>688</v>
      </c>
      <c r="C311" s="4" t="s">
        <v>689</v>
      </c>
      <c r="D311" s="4" t="s">
        <v>105</v>
      </c>
      <c r="E311" s="6">
        <v>65.109639000000001</v>
      </c>
      <c r="F311" s="6">
        <v>9.7754999999999992</v>
      </c>
      <c r="G311" s="6">
        <v>55.334139</v>
      </c>
      <c r="H311" s="6">
        <v>4.1814609999999997</v>
      </c>
      <c r="I311" s="6">
        <v>27.182649999999999</v>
      </c>
      <c r="J311" s="6">
        <v>0.338279</v>
      </c>
      <c r="K311" s="6">
        <v>-1.5507789999999999</v>
      </c>
      <c r="L311" s="6">
        <v>3.4142939999999999</v>
      </c>
      <c r="M311" s="6">
        <v>0</v>
      </c>
      <c r="N311" s="6">
        <v>21.768232999999999</v>
      </c>
      <c r="O311" s="6">
        <v>5.6608869999999998</v>
      </c>
      <c r="P311" s="6">
        <v>16.107346</v>
      </c>
      <c r="Q311" s="7">
        <v>28</v>
      </c>
      <c r="R311" s="6">
        <v>3.4142939999999999</v>
      </c>
      <c r="S311" s="6">
        <v>14.914209</v>
      </c>
      <c r="T311" s="6">
        <v>14.643041999999999</v>
      </c>
      <c r="U311" s="6">
        <v>14.381558999999999</v>
      </c>
      <c r="V311" s="6">
        <v>14.129251</v>
      </c>
    </row>
    <row r="312" spans="1:22" x14ac:dyDescent="0.35">
      <c r="A312" s="5">
        <v>46022</v>
      </c>
      <c r="B312" s="4" t="s">
        <v>690</v>
      </c>
      <c r="C312" s="4" t="s">
        <v>691</v>
      </c>
      <c r="D312" s="4" t="s">
        <v>111</v>
      </c>
      <c r="E312" s="6">
        <v>138.73882900000001</v>
      </c>
      <c r="F312" s="6">
        <v>18.766908000000001</v>
      </c>
      <c r="G312" s="6">
        <v>119.97192099999999</v>
      </c>
      <c r="H312" s="6">
        <v>2.8820540000000001</v>
      </c>
      <c r="I312" s="6">
        <v>74.366483000000002</v>
      </c>
      <c r="J312" s="6">
        <v>6.913195</v>
      </c>
      <c r="K312" s="6">
        <v>-3.3910819999999999</v>
      </c>
      <c r="L312" s="6">
        <v>27.183074999999999</v>
      </c>
      <c r="M312" s="6">
        <v>0</v>
      </c>
      <c r="N312" s="6">
        <v>12.018196</v>
      </c>
      <c r="O312" s="6">
        <v>0</v>
      </c>
      <c r="P312" s="6">
        <v>12.018196</v>
      </c>
      <c r="Q312" s="7">
        <v>30</v>
      </c>
      <c r="R312" s="6">
        <v>36.842111000000003</v>
      </c>
      <c r="S312" s="6">
        <v>31.757701000000001</v>
      </c>
      <c r="T312" s="6">
        <v>29.893364999999999</v>
      </c>
      <c r="U312" s="6">
        <v>28.219443999999999</v>
      </c>
      <c r="V312" s="6">
        <v>26.711037000000001</v>
      </c>
    </row>
    <row r="313" spans="1:22" x14ac:dyDescent="0.35">
      <c r="A313" s="5">
        <v>46022</v>
      </c>
      <c r="B313" s="4" t="s">
        <v>692</v>
      </c>
      <c r="C313" s="4" t="s">
        <v>693</v>
      </c>
      <c r="D313" s="4" t="s">
        <v>105</v>
      </c>
      <c r="E313" s="6">
        <v>478.31796200000002</v>
      </c>
      <c r="F313" s="6">
        <v>75.862949</v>
      </c>
      <c r="G313" s="6">
        <v>402.45501300000001</v>
      </c>
      <c r="H313" s="6">
        <v>9.8082759999999993</v>
      </c>
      <c r="I313" s="6">
        <v>104.537177</v>
      </c>
      <c r="J313" s="6">
        <v>0.91490499999999997</v>
      </c>
      <c r="K313" s="6">
        <v>-0.30781999999999998</v>
      </c>
      <c r="L313" s="6">
        <v>33.145111999999997</v>
      </c>
      <c r="M313" s="6">
        <v>0</v>
      </c>
      <c r="N313" s="6">
        <v>254.35736199999999</v>
      </c>
      <c r="O313" s="6">
        <v>58.204821000000003</v>
      </c>
      <c r="P313" s="6">
        <v>196.15254100000001</v>
      </c>
      <c r="Q313" s="7">
        <v>27</v>
      </c>
      <c r="R313" s="6">
        <v>71.621244000000004</v>
      </c>
      <c r="S313" s="6">
        <v>2115.638402</v>
      </c>
      <c r="T313" s="6">
        <v>1793.227112</v>
      </c>
      <c r="U313" s="6">
        <v>1545.7888660000001</v>
      </c>
      <c r="V313" s="6">
        <v>1352.226484</v>
      </c>
    </row>
    <row r="314" spans="1:22" x14ac:dyDescent="0.35">
      <c r="A314" s="5">
        <v>46022</v>
      </c>
      <c r="B314" s="4" t="s">
        <v>694</v>
      </c>
      <c r="C314" s="4" t="s">
        <v>695</v>
      </c>
      <c r="D314" s="4" t="s">
        <v>55</v>
      </c>
      <c r="E314" s="6">
        <v>371.76153299999999</v>
      </c>
      <c r="F314" s="6">
        <v>24.006781</v>
      </c>
      <c r="G314" s="6">
        <v>347.754751</v>
      </c>
      <c r="H314" s="6">
        <v>7.4352650000000002</v>
      </c>
      <c r="I314" s="6">
        <v>181.11548099999999</v>
      </c>
      <c r="J314" s="6">
        <v>47.85933</v>
      </c>
      <c r="K314" s="6">
        <v>3.1939229999999998</v>
      </c>
      <c r="L314" s="6">
        <v>66.374340000000004</v>
      </c>
      <c r="M314" s="6">
        <v>172.5</v>
      </c>
      <c r="N314" s="6">
        <v>-130.72358700000001</v>
      </c>
      <c r="O314" s="6">
        <v>6.2022430000000002</v>
      </c>
      <c r="P314" s="6">
        <v>-136.92583099999999</v>
      </c>
      <c r="Q314" s="7">
        <v>34</v>
      </c>
      <c r="R314" s="6">
        <v>93.102783000000002</v>
      </c>
      <c r="S314" s="6">
        <v>600.909491</v>
      </c>
      <c r="T314" s="6">
        <v>515.94159200000001</v>
      </c>
      <c r="U314" s="6">
        <v>444.67853200000002</v>
      </c>
      <c r="V314" s="6">
        <v>384.56887999999998</v>
      </c>
    </row>
    <row r="315" spans="1:22" x14ac:dyDescent="0.35">
      <c r="A315" s="5">
        <v>46022</v>
      </c>
      <c r="B315" s="4" t="s">
        <v>696</v>
      </c>
      <c r="C315" s="4" t="s">
        <v>697</v>
      </c>
      <c r="D315" s="4" t="s">
        <v>79</v>
      </c>
      <c r="E315" s="6">
        <v>37.037660000000002</v>
      </c>
      <c r="F315" s="6">
        <v>0.15049999999999999</v>
      </c>
      <c r="G315" s="6">
        <v>36.887160000000002</v>
      </c>
      <c r="H315" s="6">
        <v>1.1111390000000001</v>
      </c>
      <c r="I315" s="6">
        <v>16.565131999999998</v>
      </c>
      <c r="J315" s="6">
        <v>1.2484770000000001</v>
      </c>
      <c r="K315" s="6">
        <v>1.665748</v>
      </c>
      <c r="L315" s="6">
        <v>0.82825700000000002</v>
      </c>
      <c r="M315" s="6">
        <v>0</v>
      </c>
      <c r="N315" s="6">
        <v>15.468406</v>
      </c>
      <c r="O315" s="6">
        <v>3.2206260000000002</v>
      </c>
      <c r="P315" s="6">
        <v>12.247780000000001</v>
      </c>
      <c r="Q315" s="7">
        <v>26</v>
      </c>
      <c r="R315" s="6">
        <v>5.5753890000000004</v>
      </c>
      <c r="S315" s="6">
        <v>34.314152999999997</v>
      </c>
      <c r="T315" s="6">
        <v>33.086570000000002</v>
      </c>
      <c r="U315" s="6">
        <v>31.930672999999999</v>
      </c>
      <c r="V315" s="6">
        <v>30.840910999999998</v>
      </c>
    </row>
    <row r="316" spans="1:22" x14ac:dyDescent="0.35">
      <c r="A316" s="5">
        <v>46022</v>
      </c>
      <c r="B316" s="4" t="s">
        <v>698</v>
      </c>
      <c r="C316" s="4" t="s">
        <v>699</v>
      </c>
      <c r="D316" s="4" t="s">
        <v>58</v>
      </c>
      <c r="E316" s="6">
        <v>464.58641799999998</v>
      </c>
      <c r="F316" s="6">
        <v>41.902033000000003</v>
      </c>
      <c r="G316" s="6">
        <v>422.68438500000002</v>
      </c>
      <c r="H316" s="6">
        <v>10.891462000000001</v>
      </c>
      <c r="I316" s="6">
        <v>210.963052</v>
      </c>
      <c r="J316" s="6">
        <v>8.9975109999999994</v>
      </c>
      <c r="K316" s="6">
        <v>16.329509999999999</v>
      </c>
      <c r="L316" s="6">
        <v>49.954371000000002</v>
      </c>
      <c r="M316" s="6">
        <v>0</v>
      </c>
      <c r="N316" s="6">
        <v>125.548479</v>
      </c>
      <c r="O316" s="6">
        <v>29.586105</v>
      </c>
      <c r="P316" s="6">
        <v>95.962373999999997</v>
      </c>
      <c r="Q316" s="7">
        <v>27</v>
      </c>
      <c r="R316" s="6">
        <v>82.254193999999998</v>
      </c>
      <c r="S316" s="6">
        <v>673.97156800000005</v>
      </c>
      <c r="T316" s="6">
        <v>614.55490099999997</v>
      </c>
      <c r="U316" s="6">
        <v>563.04699500000004</v>
      </c>
      <c r="V316" s="6">
        <v>518.16049799999996</v>
      </c>
    </row>
    <row r="317" spans="1:22" x14ac:dyDescent="0.35">
      <c r="A317" s="5">
        <v>46022</v>
      </c>
      <c r="B317" s="4" t="s">
        <v>700</v>
      </c>
      <c r="C317" s="4" t="s">
        <v>701</v>
      </c>
      <c r="D317" s="4" t="s">
        <v>58</v>
      </c>
      <c r="E317" s="6">
        <v>227.211229</v>
      </c>
      <c r="F317" s="6">
        <v>2.5613260000000002</v>
      </c>
      <c r="G317" s="6">
        <v>224.64990299999999</v>
      </c>
      <c r="H317" s="6">
        <v>7.3644040000000004</v>
      </c>
      <c r="I317" s="6">
        <v>148.93532200000001</v>
      </c>
      <c r="J317" s="6">
        <v>21.832204000000001</v>
      </c>
      <c r="K317" s="6">
        <v>0.45358599999999999</v>
      </c>
      <c r="L317" s="6">
        <v>42.131507999999997</v>
      </c>
      <c r="M317" s="6">
        <v>0</v>
      </c>
      <c r="N317" s="6">
        <v>3.9328799999999999</v>
      </c>
      <c r="O317" s="6">
        <v>0</v>
      </c>
      <c r="P317" s="6">
        <v>3.9328799999999999</v>
      </c>
      <c r="Q317" s="7">
        <v>27</v>
      </c>
      <c r="R317" s="6">
        <v>66.638482999999994</v>
      </c>
      <c r="S317" s="6">
        <v>-14.935798999999999</v>
      </c>
      <c r="T317" s="6">
        <v>-10.797003</v>
      </c>
      <c r="U317" s="6">
        <v>-7.4743009999999996</v>
      </c>
      <c r="V317" s="6">
        <v>-4.8012370000000004</v>
      </c>
    </row>
    <row r="318" spans="1:22" x14ac:dyDescent="0.35">
      <c r="A318" s="5">
        <v>46022</v>
      </c>
      <c r="B318" s="4" t="s">
        <v>702</v>
      </c>
      <c r="C318" s="4" t="s">
        <v>703</v>
      </c>
      <c r="D318" s="4" t="s">
        <v>69</v>
      </c>
      <c r="E318" s="6">
        <v>427.04845399999999</v>
      </c>
      <c r="F318" s="6">
        <v>57.701742000000003</v>
      </c>
      <c r="G318" s="6">
        <v>369.34671200000003</v>
      </c>
      <c r="H318" s="6">
        <v>0</v>
      </c>
      <c r="I318" s="6">
        <v>25.364851999999999</v>
      </c>
      <c r="J318" s="6">
        <v>13.139094</v>
      </c>
      <c r="K318" s="6">
        <v>-0.12156699999999999</v>
      </c>
      <c r="L318" s="6">
        <v>19.708646000000002</v>
      </c>
      <c r="M318" s="6">
        <v>0</v>
      </c>
      <c r="N318" s="6">
        <v>311.25568600000003</v>
      </c>
      <c r="O318" s="6">
        <v>62.226824000000001</v>
      </c>
      <c r="P318" s="6">
        <v>249.028862</v>
      </c>
      <c r="Q318" s="7">
        <v>20</v>
      </c>
      <c r="R318" s="6">
        <v>19.708646000000002</v>
      </c>
      <c r="S318" s="6">
        <v>2122.6567909999999</v>
      </c>
      <c r="T318" s="6">
        <v>1895.4589430000001</v>
      </c>
      <c r="U318" s="6">
        <v>1703.6928539999999</v>
      </c>
      <c r="V318" s="6">
        <v>1540.7688900000001</v>
      </c>
    </row>
    <row r="319" spans="1:22" x14ac:dyDescent="0.35">
      <c r="A319" s="5">
        <v>46022</v>
      </c>
      <c r="B319" s="4" t="s">
        <v>704</v>
      </c>
      <c r="C319" s="4" t="s">
        <v>705</v>
      </c>
      <c r="D319" s="4" t="s">
        <v>61</v>
      </c>
      <c r="E319" s="6">
        <v>6.3276529999999998</v>
      </c>
      <c r="F319" s="6">
        <v>0.40110600000000002</v>
      </c>
      <c r="G319" s="6">
        <v>5.9265470000000002</v>
      </c>
      <c r="H319" s="6">
        <v>0.71194000000000002</v>
      </c>
      <c r="I319" s="6">
        <v>2.1019869999999998</v>
      </c>
      <c r="J319" s="6">
        <v>4.8770000000000001E-2</v>
      </c>
      <c r="K319" s="6">
        <v>-3.7109999999999999E-3</v>
      </c>
      <c r="L319" s="6">
        <v>0.235957</v>
      </c>
      <c r="M319" s="6">
        <v>0</v>
      </c>
      <c r="N319" s="6">
        <v>2.8316029999999999</v>
      </c>
      <c r="O319" s="6">
        <v>0.70697299999999996</v>
      </c>
      <c r="P319" s="6">
        <v>2.1246299999999998</v>
      </c>
      <c r="Q319" s="7">
        <v>25</v>
      </c>
      <c r="R319" s="6">
        <v>0.235957</v>
      </c>
      <c r="S319" s="6">
        <v>17.488793999999999</v>
      </c>
      <c r="T319" s="6">
        <v>15.627520000000001</v>
      </c>
      <c r="U319" s="6">
        <v>14.061120000000001</v>
      </c>
      <c r="V319" s="6">
        <v>12.733162</v>
      </c>
    </row>
    <row r="320" spans="1:22" x14ac:dyDescent="0.35">
      <c r="A320" s="5">
        <v>46022</v>
      </c>
      <c r="B320" s="4" t="s">
        <v>706</v>
      </c>
      <c r="C320" s="4" t="s">
        <v>707</v>
      </c>
      <c r="D320" s="4" t="s">
        <v>111</v>
      </c>
      <c r="E320" s="6">
        <v>112.97899200000001</v>
      </c>
      <c r="F320" s="6">
        <v>12.638705</v>
      </c>
      <c r="G320" s="6">
        <v>100.340288</v>
      </c>
      <c r="H320" s="6">
        <v>1.962523</v>
      </c>
      <c r="I320" s="6">
        <v>76.995344000000003</v>
      </c>
      <c r="J320" s="6">
        <v>1.7729200000000001</v>
      </c>
      <c r="K320" s="6">
        <v>-5.2232000000000001E-2</v>
      </c>
      <c r="L320" s="6">
        <v>4.9433790000000002</v>
      </c>
      <c r="M320" s="6">
        <v>0</v>
      </c>
      <c r="N320" s="6">
        <v>14.718353</v>
      </c>
      <c r="O320" s="6">
        <v>4.3744259999999997</v>
      </c>
      <c r="P320" s="6">
        <v>10.343928</v>
      </c>
      <c r="Q320" s="7">
        <v>30</v>
      </c>
      <c r="R320" s="6">
        <v>5.0280810000000002</v>
      </c>
      <c r="S320" s="6">
        <v>88.139909000000003</v>
      </c>
      <c r="T320" s="6">
        <v>78.326936000000003</v>
      </c>
      <c r="U320" s="6">
        <v>70.141976999999997</v>
      </c>
      <c r="V320" s="6">
        <v>63.259138999999998</v>
      </c>
    </row>
    <row r="321" spans="1:22" x14ac:dyDescent="0.35">
      <c r="A321" s="5">
        <v>46022</v>
      </c>
      <c r="B321" s="4" t="s">
        <v>708</v>
      </c>
      <c r="C321" s="4" t="s">
        <v>709</v>
      </c>
      <c r="D321" s="4" t="s">
        <v>50</v>
      </c>
      <c r="E321" s="6">
        <v>186.937242</v>
      </c>
      <c r="F321" s="6">
        <v>19.602224</v>
      </c>
      <c r="G321" s="6">
        <v>167.33501799999999</v>
      </c>
      <c r="H321" s="6">
        <v>1.8871530000000001</v>
      </c>
      <c r="I321" s="6">
        <v>108.1024</v>
      </c>
      <c r="J321" s="6">
        <v>2.3264239999999998</v>
      </c>
      <c r="K321" s="6">
        <v>0.27563500000000002</v>
      </c>
      <c r="L321" s="6">
        <v>30.6</v>
      </c>
      <c r="M321" s="6">
        <v>0</v>
      </c>
      <c r="N321" s="6">
        <v>24.143405999999999</v>
      </c>
      <c r="O321" s="6">
        <v>6.7996939999999997</v>
      </c>
      <c r="P321" s="6">
        <v>17.343713000000001</v>
      </c>
      <c r="Q321" s="7">
        <v>29.5</v>
      </c>
      <c r="R321" s="6">
        <v>31.969232000000002</v>
      </c>
      <c r="S321" s="6">
        <v>19.414512999999999</v>
      </c>
      <c r="T321" s="6">
        <v>19.088753000000001</v>
      </c>
      <c r="U321" s="6">
        <v>18.766521000000001</v>
      </c>
      <c r="V321" s="6">
        <v>18.448689999999999</v>
      </c>
    </row>
    <row r="322" spans="1:22" x14ac:dyDescent="0.35">
      <c r="A322" s="5">
        <v>46022</v>
      </c>
      <c r="B322" s="4" t="s">
        <v>710</v>
      </c>
      <c r="C322" s="4" t="s">
        <v>711</v>
      </c>
      <c r="D322" s="4" t="s">
        <v>50</v>
      </c>
      <c r="E322" s="6">
        <v>1076.927334</v>
      </c>
      <c r="F322" s="6">
        <v>105.346986</v>
      </c>
      <c r="G322" s="6">
        <v>971.58034799999996</v>
      </c>
      <c r="H322" s="6">
        <v>13.556651</v>
      </c>
      <c r="I322" s="6">
        <v>473.67802799999998</v>
      </c>
      <c r="J322" s="6">
        <v>54.613894999999999</v>
      </c>
      <c r="K322" s="6">
        <v>-32.097873</v>
      </c>
      <c r="L322" s="6">
        <v>170.00001499999999</v>
      </c>
      <c r="M322" s="6">
        <v>24.999994999999998</v>
      </c>
      <c r="N322" s="6">
        <v>266.82963699999999</v>
      </c>
      <c r="O322" s="6">
        <v>50.530686000000003</v>
      </c>
      <c r="P322" s="6">
        <v>216.29895099999999</v>
      </c>
      <c r="Q322" s="7">
        <v>29.5</v>
      </c>
      <c r="R322" s="6">
        <v>258.44131199999998</v>
      </c>
      <c r="S322" s="6">
        <v>1095.6461730000001</v>
      </c>
      <c r="T322" s="6">
        <v>966.94710699999996</v>
      </c>
      <c r="U322" s="6">
        <v>864.97173399999997</v>
      </c>
      <c r="V322" s="6">
        <v>783.05322699999999</v>
      </c>
    </row>
    <row r="323" spans="1:22" x14ac:dyDescent="0.35">
      <c r="A323" s="5">
        <v>46022</v>
      </c>
      <c r="B323" s="4" t="s">
        <v>712</v>
      </c>
      <c r="C323" s="4" t="s">
        <v>713</v>
      </c>
      <c r="D323" s="4" t="s">
        <v>50</v>
      </c>
      <c r="E323" s="6">
        <v>1696.2753009999999</v>
      </c>
      <c r="F323" s="6">
        <v>138.13842700000001</v>
      </c>
      <c r="G323" s="6">
        <v>1558.136874</v>
      </c>
      <c r="H323" s="6">
        <v>49.545175999999998</v>
      </c>
      <c r="I323" s="6">
        <v>482.68743599999999</v>
      </c>
      <c r="J323" s="6">
        <v>13.000002</v>
      </c>
      <c r="K323" s="6">
        <v>-5.9381779999999997</v>
      </c>
      <c r="L323" s="6">
        <v>75.000001999999995</v>
      </c>
      <c r="M323" s="6">
        <v>0</v>
      </c>
      <c r="N323" s="6">
        <v>943.84243500000002</v>
      </c>
      <c r="O323" s="6">
        <v>270.706321</v>
      </c>
      <c r="P323" s="6">
        <v>673.13611500000002</v>
      </c>
      <c r="Q323" s="7">
        <v>29.5</v>
      </c>
      <c r="R323" s="6">
        <v>95.255713999999998</v>
      </c>
      <c r="S323" s="6">
        <v>5515.1521050000001</v>
      </c>
      <c r="T323" s="6">
        <v>4724.4509680000001</v>
      </c>
      <c r="U323" s="6">
        <v>4109.7657010000003</v>
      </c>
      <c r="V323" s="6">
        <v>3623.134724</v>
      </c>
    </row>
    <row r="324" spans="1:22" x14ac:dyDescent="0.35">
      <c r="A324" s="5">
        <v>46022</v>
      </c>
      <c r="B324" s="4" t="s">
        <v>714</v>
      </c>
      <c r="C324" s="4" t="s">
        <v>715</v>
      </c>
      <c r="D324" s="4" t="s">
        <v>61</v>
      </c>
      <c r="E324" s="6">
        <v>73.156780999999995</v>
      </c>
      <c r="F324" s="6">
        <v>10.040800000000001</v>
      </c>
      <c r="G324" s="6">
        <v>63.115980999999998</v>
      </c>
      <c r="H324" s="6">
        <v>3.2579579999999999</v>
      </c>
      <c r="I324" s="6">
        <v>17.660377</v>
      </c>
      <c r="J324" s="6">
        <v>2.1101459999999999</v>
      </c>
      <c r="K324" s="6">
        <v>-8.5554000000000005E-2</v>
      </c>
      <c r="L324" s="6">
        <v>1.8919589999999999</v>
      </c>
      <c r="M324" s="6">
        <v>0</v>
      </c>
      <c r="N324" s="6">
        <v>38.281095000000001</v>
      </c>
      <c r="O324" s="6">
        <v>9.630452</v>
      </c>
      <c r="P324" s="6">
        <v>28.650642000000001</v>
      </c>
      <c r="Q324" s="7">
        <v>25</v>
      </c>
      <c r="R324" s="6">
        <v>1.56569</v>
      </c>
      <c r="S324" s="6">
        <v>268.79905000000002</v>
      </c>
      <c r="T324" s="6">
        <v>233.71507600000001</v>
      </c>
      <c r="U324" s="6">
        <v>205.58562499999999</v>
      </c>
      <c r="V324" s="6">
        <v>182.74210199999999</v>
      </c>
    </row>
    <row r="325" spans="1:22" x14ac:dyDescent="0.35">
      <c r="A325" s="5">
        <v>46022</v>
      </c>
      <c r="B325" s="4" t="s">
        <v>716</v>
      </c>
      <c r="C325" s="4" t="s">
        <v>717</v>
      </c>
      <c r="D325" s="4" t="s">
        <v>61</v>
      </c>
      <c r="E325" s="6">
        <v>2146.306384</v>
      </c>
      <c r="F325" s="6">
        <v>114.86317200000001</v>
      </c>
      <c r="G325" s="6">
        <v>2031.4432119999999</v>
      </c>
      <c r="H325" s="6">
        <v>139.50854000000001</v>
      </c>
      <c r="I325" s="6">
        <v>398.870924</v>
      </c>
      <c r="J325" s="6">
        <v>33.792501999999999</v>
      </c>
      <c r="K325" s="6">
        <v>53.977386000000003</v>
      </c>
      <c r="L325" s="6">
        <v>83.495131000000001</v>
      </c>
      <c r="M325" s="6">
        <v>0</v>
      </c>
      <c r="N325" s="6">
        <v>1321.7987290000001</v>
      </c>
      <c r="O325" s="6">
        <v>351.66897699999998</v>
      </c>
      <c r="P325" s="6">
        <v>970.12975200000005</v>
      </c>
      <c r="Q325" s="7">
        <v>25</v>
      </c>
      <c r="R325" s="6">
        <v>52.595337999999998</v>
      </c>
      <c r="S325" s="6">
        <v>9080.6504910000003</v>
      </c>
      <c r="T325" s="6">
        <v>8018.2428090000003</v>
      </c>
      <c r="U325" s="6">
        <v>7140.2064410000003</v>
      </c>
      <c r="V325" s="6">
        <v>6408.0149220000003</v>
      </c>
    </row>
    <row r="326" spans="1:22" x14ac:dyDescent="0.35">
      <c r="A326" s="5">
        <v>46022</v>
      </c>
      <c r="B326" s="4" t="s">
        <v>718</v>
      </c>
      <c r="C326" s="4" t="s">
        <v>719</v>
      </c>
      <c r="D326" s="4" t="s">
        <v>79</v>
      </c>
      <c r="E326" s="6">
        <v>474.07562999999999</v>
      </c>
      <c r="F326" s="6">
        <v>71.386810999999994</v>
      </c>
      <c r="G326" s="6">
        <v>402.68881900000002</v>
      </c>
      <c r="H326" s="6">
        <v>11.851913</v>
      </c>
      <c r="I326" s="6">
        <v>184.721442</v>
      </c>
      <c r="J326" s="6">
        <v>8.9999979999999997</v>
      </c>
      <c r="K326" s="6">
        <v>-0.30071100000000001</v>
      </c>
      <c r="L326" s="6">
        <v>9.5860559999999992</v>
      </c>
      <c r="M326" s="6">
        <v>0</v>
      </c>
      <c r="N326" s="6">
        <v>187.83012199999999</v>
      </c>
      <c r="O326" s="6">
        <v>50.632941000000002</v>
      </c>
      <c r="P326" s="6">
        <v>137.197181</v>
      </c>
      <c r="Q326" s="7">
        <v>27</v>
      </c>
      <c r="R326" s="6">
        <v>9.5860559999999992</v>
      </c>
      <c r="S326" s="6">
        <v>1491.555981</v>
      </c>
      <c r="T326" s="6">
        <v>1262.1692049999999</v>
      </c>
      <c r="U326" s="6">
        <v>1086.5226909999999</v>
      </c>
      <c r="V326" s="6">
        <v>949.409132</v>
      </c>
    </row>
    <row r="327" spans="1:22" x14ac:dyDescent="0.35">
      <c r="A327" s="5">
        <v>46022</v>
      </c>
      <c r="B327" s="4" t="s">
        <v>720</v>
      </c>
      <c r="C327" s="4" t="s">
        <v>721</v>
      </c>
      <c r="D327" s="4" t="s">
        <v>50</v>
      </c>
      <c r="E327" s="6">
        <v>318.90753999999998</v>
      </c>
      <c r="F327" s="6">
        <v>22.604040000000001</v>
      </c>
      <c r="G327" s="6">
        <v>296.30349999999999</v>
      </c>
      <c r="H327" s="6">
        <v>4.5558139999999998</v>
      </c>
      <c r="I327" s="6">
        <v>175.853962</v>
      </c>
      <c r="J327" s="6">
        <v>29.443360999999999</v>
      </c>
      <c r="K327" s="6">
        <v>5.7687489999999997</v>
      </c>
      <c r="L327" s="6">
        <v>103.801999</v>
      </c>
      <c r="M327" s="6">
        <v>0</v>
      </c>
      <c r="N327" s="6">
        <v>-23.120386</v>
      </c>
      <c r="O327" s="6">
        <v>14.704928000000001</v>
      </c>
      <c r="P327" s="6">
        <v>-37.825313999999999</v>
      </c>
      <c r="Q327" s="7">
        <v>29.5</v>
      </c>
      <c r="R327" s="6">
        <v>22.006589000000002</v>
      </c>
      <c r="S327" s="6">
        <v>162.50598500000001</v>
      </c>
      <c r="T327" s="6">
        <v>137.41140100000001</v>
      </c>
      <c r="U327" s="6">
        <v>116.043471</v>
      </c>
      <c r="V327" s="6">
        <v>97.789237999999997</v>
      </c>
    </row>
    <row r="328" spans="1:22" x14ac:dyDescent="0.35">
      <c r="A328" s="5">
        <v>46022</v>
      </c>
      <c r="B328" s="4" t="s">
        <v>722</v>
      </c>
      <c r="C328" s="4" t="s">
        <v>723</v>
      </c>
      <c r="D328" s="4" t="s">
        <v>89</v>
      </c>
      <c r="E328" s="6">
        <v>124.116473</v>
      </c>
      <c r="F328" s="6">
        <v>12.223736000000001</v>
      </c>
      <c r="G328" s="6">
        <v>111.892736</v>
      </c>
      <c r="H328" s="6">
        <v>5.544759</v>
      </c>
      <c r="I328" s="6">
        <v>70.910866999999996</v>
      </c>
      <c r="J328" s="6">
        <v>6.7159930000000001</v>
      </c>
      <c r="K328" s="6">
        <v>-3.9838239999999998</v>
      </c>
      <c r="L328" s="6">
        <v>29.122845000000002</v>
      </c>
      <c r="M328" s="6">
        <v>30.351016000000001</v>
      </c>
      <c r="N328" s="6">
        <v>-26.768920000000001</v>
      </c>
      <c r="O328" s="6">
        <v>0</v>
      </c>
      <c r="P328" s="6">
        <v>-26.768920000000001</v>
      </c>
      <c r="Q328" s="7">
        <v>30</v>
      </c>
      <c r="R328" s="6">
        <v>29.728978999999999</v>
      </c>
      <c r="S328" s="6">
        <v>5.5273750000000001</v>
      </c>
      <c r="T328" s="6">
        <v>0.103342</v>
      </c>
      <c r="U328" s="6">
        <v>-4.4369230000000002</v>
      </c>
      <c r="V328" s="6">
        <v>-8.2374709999999993</v>
      </c>
    </row>
    <row r="329" spans="1:22" x14ac:dyDescent="0.35">
      <c r="A329" s="5">
        <v>46022</v>
      </c>
      <c r="B329" s="4" t="s">
        <v>724</v>
      </c>
      <c r="C329" s="4" t="s">
        <v>725</v>
      </c>
      <c r="D329" s="4" t="s">
        <v>58</v>
      </c>
      <c r="E329" s="6">
        <v>10676.25748</v>
      </c>
      <c r="F329" s="6">
        <v>671.76009399999998</v>
      </c>
      <c r="G329" s="6">
        <v>10004.497385999999</v>
      </c>
      <c r="H329" s="6">
        <v>398.67457999999999</v>
      </c>
      <c r="I329" s="6">
        <v>3225.92733</v>
      </c>
      <c r="J329" s="6">
        <v>240.24384000000001</v>
      </c>
      <c r="K329" s="6">
        <v>16.684633000000002</v>
      </c>
      <c r="L329" s="6">
        <v>1057.195125</v>
      </c>
      <c r="M329" s="6">
        <v>0</v>
      </c>
      <c r="N329" s="6">
        <v>5065.7718779999996</v>
      </c>
      <c r="O329" s="6">
        <v>1286.911282</v>
      </c>
      <c r="P329" s="6">
        <v>3778.860596</v>
      </c>
      <c r="Q329" s="7">
        <v>27</v>
      </c>
      <c r="R329" s="6">
        <v>1373.313555</v>
      </c>
      <c r="S329" s="6">
        <v>24116.524479</v>
      </c>
      <c r="T329" s="6">
        <v>20804.502229999998</v>
      </c>
      <c r="U329" s="6">
        <v>18247.624932999999</v>
      </c>
      <c r="V329" s="6">
        <v>16234.251976</v>
      </c>
    </row>
    <row r="330" spans="1:22" x14ac:dyDescent="0.35">
      <c r="A330" s="5">
        <v>46022</v>
      </c>
      <c r="B330" s="4" t="s">
        <v>726</v>
      </c>
      <c r="C330" s="4" t="s">
        <v>727</v>
      </c>
      <c r="D330" s="4" t="s">
        <v>58</v>
      </c>
      <c r="E330" s="6">
        <v>2425.084308</v>
      </c>
      <c r="F330" s="6">
        <v>47.423527</v>
      </c>
      <c r="G330" s="6">
        <v>2377.660781</v>
      </c>
      <c r="H330" s="6">
        <v>210.32083600000001</v>
      </c>
      <c r="I330" s="6">
        <v>631.04141500000003</v>
      </c>
      <c r="J330" s="6">
        <v>57.938316</v>
      </c>
      <c r="K330" s="6">
        <v>104.41574300000001</v>
      </c>
      <c r="L330" s="6">
        <v>200.99334200000001</v>
      </c>
      <c r="M330" s="6">
        <v>0</v>
      </c>
      <c r="N330" s="6">
        <v>1172.951129</v>
      </c>
      <c r="O330" s="6">
        <v>330.01838600000002</v>
      </c>
      <c r="P330" s="6">
        <v>842.93274299999996</v>
      </c>
      <c r="Q330" s="7">
        <v>27</v>
      </c>
      <c r="R330" s="6">
        <v>256.06989600000003</v>
      </c>
      <c r="S330" s="6">
        <v>6933.200116</v>
      </c>
      <c r="T330" s="6">
        <v>6185.7848089999998</v>
      </c>
      <c r="U330" s="6">
        <v>5569.7395379999998</v>
      </c>
      <c r="V330" s="6">
        <v>5054.8442709999999</v>
      </c>
    </row>
    <row r="331" spans="1:22" x14ac:dyDescent="0.35">
      <c r="A331" s="5">
        <v>46022</v>
      </c>
      <c r="B331" s="4" t="s">
        <v>728</v>
      </c>
      <c r="C331" s="4" t="s">
        <v>729</v>
      </c>
      <c r="D331" s="4" t="s">
        <v>61</v>
      </c>
      <c r="E331" s="6">
        <v>52.840738999999999</v>
      </c>
      <c r="F331" s="6">
        <v>2.9887199999999998</v>
      </c>
      <c r="G331" s="6">
        <v>49.852018999999999</v>
      </c>
      <c r="H331" s="6">
        <v>7.236758</v>
      </c>
      <c r="I331" s="6">
        <v>21.376083999999999</v>
      </c>
      <c r="J331" s="6">
        <v>3.191684</v>
      </c>
      <c r="K331" s="6">
        <v>0.32760600000000001</v>
      </c>
      <c r="L331" s="6">
        <v>1.7082250000000001</v>
      </c>
      <c r="M331" s="6">
        <v>0</v>
      </c>
      <c r="N331" s="6">
        <v>16.011662999999999</v>
      </c>
      <c r="O331" s="6">
        <v>1.5644990000000001</v>
      </c>
      <c r="P331" s="6">
        <v>14.447164000000001</v>
      </c>
      <c r="Q331" s="7">
        <v>25</v>
      </c>
      <c r="R331" s="6">
        <v>4.8177180000000002</v>
      </c>
      <c r="S331" s="6">
        <v>69.159002000000001</v>
      </c>
      <c r="T331" s="6">
        <v>64.731053000000003</v>
      </c>
      <c r="U331" s="6">
        <v>60.737772</v>
      </c>
      <c r="V331" s="6">
        <v>57.125962999999999</v>
      </c>
    </row>
    <row r="332" spans="1:22" x14ac:dyDescent="0.35">
      <c r="A332" s="5">
        <v>46022</v>
      </c>
      <c r="B332" s="4" t="s">
        <v>730</v>
      </c>
      <c r="C332" s="4" t="s">
        <v>731</v>
      </c>
      <c r="D332" s="4" t="s">
        <v>58</v>
      </c>
      <c r="E332" s="6">
        <v>718.53060500000004</v>
      </c>
      <c r="F332" s="6">
        <v>15.70166</v>
      </c>
      <c r="G332" s="6">
        <v>702.82894399999998</v>
      </c>
      <c r="H332" s="6">
        <v>19.704097000000001</v>
      </c>
      <c r="I332" s="6">
        <v>370.72689500000001</v>
      </c>
      <c r="J332" s="6">
        <v>45.980781</v>
      </c>
      <c r="K332" s="6">
        <v>-36.473388999999997</v>
      </c>
      <c r="L332" s="6">
        <v>46.420490000000001</v>
      </c>
      <c r="M332" s="6">
        <v>0</v>
      </c>
      <c r="N332" s="6">
        <v>256.47007100000002</v>
      </c>
      <c r="O332" s="6">
        <v>34.204379000000003</v>
      </c>
      <c r="P332" s="6">
        <v>222.265692</v>
      </c>
      <c r="Q332" s="7">
        <v>27</v>
      </c>
      <c r="R332" s="6">
        <v>139.73428699999999</v>
      </c>
      <c r="S332" s="6">
        <v>1270.8112180000001</v>
      </c>
      <c r="T332" s="6">
        <v>1204.0910309999999</v>
      </c>
      <c r="U332" s="6">
        <v>1142.6095330000001</v>
      </c>
      <c r="V332" s="6">
        <v>1085.8469749999999</v>
      </c>
    </row>
    <row r="333" spans="1:22" x14ac:dyDescent="0.35">
      <c r="A333" s="5">
        <v>46022</v>
      </c>
      <c r="B333" s="4" t="s">
        <v>732</v>
      </c>
      <c r="C333" s="4" t="s">
        <v>733</v>
      </c>
      <c r="D333" s="4" t="s">
        <v>536</v>
      </c>
      <c r="E333" s="6">
        <v>10737.946110999999</v>
      </c>
      <c r="F333" s="6">
        <v>656.28610600000002</v>
      </c>
      <c r="G333" s="6">
        <v>10081.660005</v>
      </c>
      <c r="H333" s="6">
        <v>814.923406</v>
      </c>
      <c r="I333" s="6">
        <v>2675.960259</v>
      </c>
      <c r="J333" s="6">
        <v>109.478707</v>
      </c>
      <c r="K333" s="6">
        <v>-208.210793</v>
      </c>
      <c r="L333" s="6">
        <v>440.00000699999998</v>
      </c>
      <c r="M333" s="6">
        <v>900.00000999999997</v>
      </c>
      <c r="N333" s="6">
        <v>5349.508409</v>
      </c>
      <c r="O333" s="6">
        <v>1379.916377</v>
      </c>
      <c r="P333" s="6">
        <v>3969.592032</v>
      </c>
      <c r="Q333" s="7">
        <v>25</v>
      </c>
      <c r="R333" s="6">
        <v>961.63212599999997</v>
      </c>
      <c r="S333" s="6">
        <v>38205.634722000003</v>
      </c>
      <c r="T333" s="6">
        <v>33345.071758999999</v>
      </c>
      <c r="U333" s="6">
        <v>29384.444873</v>
      </c>
      <c r="V333" s="6">
        <v>26125.661137999999</v>
      </c>
    </row>
    <row r="334" spans="1:22" x14ac:dyDescent="0.35">
      <c r="A334" s="5">
        <v>46022</v>
      </c>
      <c r="B334" s="4" t="s">
        <v>734</v>
      </c>
      <c r="C334" s="4" t="s">
        <v>735</v>
      </c>
      <c r="D334" s="4" t="s">
        <v>61</v>
      </c>
      <c r="E334" s="6">
        <v>18.039103000000001</v>
      </c>
      <c r="F334" s="6">
        <v>2.0209800000000002</v>
      </c>
      <c r="G334" s="6">
        <v>16.018122999999999</v>
      </c>
      <c r="H334" s="6">
        <v>3.024683</v>
      </c>
      <c r="I334" s="6">
        <v>12.076646</v>
      </c>
      <c r="J334" s="6">
        <v>0.60314500000000004</v>
      </c>
      <c r="K334" s="6">
        <v>-2.1740000000000002E-3</v>
      </c>
      <c r="L334" s="6">
        <v>2.162264</v>
      </c>
      <c r="M334" s="6">
        <v>0</v>
      </c>
      <c r="N334" s="6">
        <v>-1.846441</v>
      </c>
      <c r="O334" s="6">
        <v>0</v>
      </c>
      <c r="P334" s="6">
        <v>-1.846441</v>
      </c>
      <c r="Q334" s="7">
        <v>25</v>
      </c>
      <c r="R334" s="6">
        <v>0.68300899999999998</v>
      </c>
      <c r="S334" s="6">
        <v>-19.981476000000001</v>
      </c>
      <c r="T334" s="6">
        <v>-16.933087</v>
      </c>
      <c r="U334" s="6">
        <v>-14.594096</v>
      </c>
      <c r="V334" s="6">
        <v>-12.764771</v>
      </c>
    </row>
    <row r="335" spans="1:22" x14ac:dyDescent="0.35">
      <c r="A335" s="5">
        <v>46022</v>
      </c>
      <c r="B335" s="4" t="s">
        <v>736</v>
      </c>
      <c r="C335" s="4" t="s">
        <v>737</v>
      </c>
      <c r="D335" s="4" t="s">
        <v>61</v>
      </c>
      <c r="E335" s="6">
        <v>111.37224399999999</v>
      </c>
      <c r="F335" s="6">
        <v>9.0259210000000003</v>
      </c>
      <c r="G335" s="6">
        <v>102.346322</v>
      </c>
      <c r="H335" s="6">
        <v>9.1960750000000004</v>
      </c>
      <c r="I335" s="6">
        <v>33.408113</v>
      </c>
      <c r="J335" s="6">
        <v>1.9303399999999999</v>
      </c>
      <c r="K335" s="6">
        <v>-1.3428000000000001E-2</v>
      </c>
      <c r="L335" s="6">
        <v>2.192866</v>
      </c>
      <c r="M335" s="6">
        <v>0</v>
      </c>
      <c r="N335" s="6">
        <v>55.632356000000001</v>
      </c>
      <c r="O335" s="6">
        <v>12.639118</v>
      </c>
      <c r="P335" s="6">
        <v>42.993237999999998</v>
      </c>
      <c r="Q335" s="7">
        <v>25</v>
      </c>
      <c r="R335" s="6">
        <v>7.2553210000000004</v>
      </c>
      <c r="S335" s="6">
        <v>288.29815500000001</v>
      </c>
      <c r="T335" s="6">
        <v>264.01105799999999</v>
      </c>
      <c r="U335" s="6">
        <v>242.779439</v>
      </c>
      <c r="V335" s="6">
        <v>224.134038</v>
      </c>
    </row>
    <row r="336" spans="1:22" x14ac:dyDescent="0.35">
      <c r="A336" s="5">
        <v>46022</v>
      </c>
      <c r="B336" s="4" t="s">
        <v>738</v>
      </c>
      <c r="C336" s="4" t="s">
        <v>739</v>
      </c>
      <c r="D336" s="4" t="s">
        <v>222</v>
      </c>
      <c r="E336" s="6">
        <v>251.248683</v>
      </c>
      <c r="F336" s="6">
        <v>8.9191520000000004</v>
      </c>
      <c r="G336" s="6">
        <v>242.329532</v>
      </c>
      <c r="H336" s="6">
        <v>9.9087270000000007</v>
      </c>
      <c r="I336" s="6">
        <v>217.932322</v>
      </c>
      <c r="J336" s="6">
        <v>15.781801</v>
      </c>
      <c r="K336" s="6">
        <v>-1.8318270000000001</v>
      </c>
      <c r="L336" s="6">
        <v>25.865693</v>
      </c>
      <c r="M336" s="6">
        <v>7.5364959999999996</v>
      </c>
      <c r="N336" s="6">
        <v>-32.863680000000002</v>
      </c>
      <c r="O336" s="6">
        <v>0</v>
      </c>
      <c r="P336" s="6">
        <v>-32.863680000000002</v>
      </c>
      <c r="Q336" s="7">
        <v>26.5</v>
      </c>
      <c r="R336" s="6">
        <v>35.863585999999998</v>
      </c>
      <c r="S336" s="6">
        <v>-13.143651999999999</v>
      </c>
      <c r="T336" s="6">
        <v>-13.213247000000001</v>
      </c>
      <c r="U336" s="6">
        <v>-13.269532999999999</v>
      </c>
      <c r="V336" s="6">
        <v>-13.31377</v>
      </c>
    </row>
    <row r="337" spans="1:22" x14ac:dyDescent="0.35">
      <c r="A337" s="5">
        <v>46022</v>
      </c>
      <c r="B337" s="4" t="s">
        <v>740</v>
      </c>
      <c r="C337" s="4" t="s">
        <v>741</v>
      </c>
      <c r="D337" s="4" t="s">
        <v>61</v>
      </c>
      <c r="E337" s="6">
        <v>21.483186</v>
      </c>
      <c r="F337" s="6">
        <v>1.3482499999999999</v>
      </c>
      <c r="G337" s="6">
        <v>20.134937000000001</v>
      </c>
      <c r="H337" s="6">
        <v>1.0307139999999999</v>
      </c>
      <c r="I337" s="6">
        <v>5.9329010000000002</v>
      </c>
      <c r="J337" s="6">
        <v>0.824353</v>
      </c>
      <c r="K337" s="6">
        <v>-5.6519999999999999E-3</v>
      </c>
      <c r="L337" s="6">
        <v>0.61956100000000003</v>
      </c>
      <c r="M337" s="6">
        <v>0</v>
      </c>
      <c r="N337" s="6">
        <v>11.733059000000001</v>
      </c>
      <c r="O337" s="6">
        <v>2.9318520000000001</v>
      </c>
      <c r="P337" s="6">
        <v>8.8012069999999998</v>
      </c>
      <c r="Q337" s="7">
        <v>25</v>
      </c>
      <c r="R337" s="6">
        <v>0.61956100000000003</v>
      </c>
      <c r="S337" s="6">
        <v>94.529739000000006</v>
      </c>
      <c r="T337" s="6">
        <v>80.236531999999997</v>
      </c>
      <c r="U337" s="6">
        <v>69.237671000000006</v>
      </c>
      <c r="V337" s="6">
        <v>60.614305999999999</v>
      </c>
    </row>
    <row r="338" spans="1:22" x14ac:dyDescent="0.35">
      <c r="A338" s="5">
        <v>46022</v>
      </c>
      <c r="B338" s="4" t="s">
        <v>742</v>
      </c>
      <c r="C338" s="4" t="s">
        <v>743</v>
      </c>
      <c r="D338" s="4" t="s">
        <v>213</v>
      </c>
      <c r="E338" s="6">
        <v>3654.3494300000002</v>
      </c>
      <c r="F338" s="6">
        <v>452.84572700000001</v>
      </c>
      <c r="G338" s="6">
        <v>3201.5037029999999</v>
      </c>
      <c r="H338" s="6">
        <v>248.83401799999999</v>
      </c>
      <c r="I338" s="6">
        <v>1038.97684</v>
      </c>
      <c r="J338" s="6">
        <v>164.44752800000001</v>
      </c>
      <c r="K338" s="6">
        <v>-34.498947000000001</v>
      </c>
      <c r="L338" s="6">
        <v>370.00000399999999</v>
      </c>
      <c r="M338" s="6">
        <v>1175.0000010000001</v>
      </c>
      <c r="N338" s="6">
        <v>238.744259</v>
      </c>
      <c r="O338" s="6">
        <v>440.08227499999998</v>
      </c>
      <c r="P338" s="6">
        <v>-201.33801700000001</v>
      </c>
      <c r="Q338" s="7">
        <v>35</v>
      </c>
      <c r="R338" s="6">
        <v>491.86738700000001</v>
      </c>
      <c r="S338" s="6">
        <v>10754.108917</v>
      </c>
      <c r="T338" s="6">
        <v>9392.1976269999996</v>
      </c>
      <c r="U338" s="6">
        <v>8270.7705019999994</v>
      </c>
      <c r="V338" s="6">
        <v>7337.758581</v>
      </c>
    </row>
    <row r="339" spans="1:22" x14ac:dyDescent="0.35">
      <c r="A339" s="5">
        <v>46022</v>
      </c>
      <c r="B339" s="4" t="s">
        <v>744</v>
      </c>
      <c r="C339" s="4" t="s">
        <v>745</v>
      </c>
      <c r="D339" s="4" t="s">
        <v>122</v>
      </c>
      <c r="E339" s="6">
        <v>1600.5811000000001</v>
      </c>
      <c r="F339" s="6">
        <v>134.983755</v>
      </c>
      <c r="G339" s="6">
        <v>1465.5973449999999</v>
      </c>
      <c r="H339" s="6">
        <v>199.98898700000001</v>
      </c>
      <c r="I339" s="6">
        <v>436.586119</v>
      </c>
      <c r="J339" s="6">
        <v>20.589276000000002</v>
      </c>
      <c r="K339" s="6">
        <v>85.682411999999999</v>
      </c>
      <c r="L339" s="6">
        <v>85.899443000000005</v>
      </c>
      <c r="M339" s="6">
        <v>0</v>
      </c>
      <c r="N339" s="6">
        <v>636.85110799999995</v>
      </c>
      <c r="O339" s="6">
        <v>191.85748599999999</v>
      </c>
      <c r="P339" s="6">
        <v>444.99362100000002</v>
      </c>
      <c r="Q339" s="7">
        <v>30</v>
      </c>
      <c r="R339" s="6">
        <v>168.908008</v>
      </c>
      <c r="S339" s="6">
        <v>6330.6094050000002</v>
      </c>
      <c r="T339" s="6">
        <v>5582.9472180000002</v>
      </c>
      <c r="U339" s="6">
        <v>4960.4739749999999</v>
      </c>
      <c r="V339" s="6">
        <v>4438.023252</v>
      </c>
    </row>
    <row r="340" spans="1:22" x14ac:dyDescent="0.35">
      <c r="A340" s="5">
        <v>46022</v>
      </c>
      <c r="B340" s="4" t="s">
        <v>746</v>
      </c>
      <c r="C340" s="4" t="s">
        <v>747</v>
      </c>
      <c r="D340" s="4" t="s">
        <v>748</v>
      </c>
      <c r="E340" s="6">
        <v>104.744938</v>
      </c>
      <c r="F340" s="6">
        <v>4.1679550000000001</v>
      </c>
      <c r="G340" s="6">
        <v>100.576982</v>
      </c>
      <c r="H340" s="6">
        <v>6.394685</v>
      </c>
      <c r="I340" s="6">
        <v>53.762307</v>
      </c>
      <c r="J340" s="6">
        <v>7.3853710000000001</v>
      </c>
      <c r="K340" s="6">
        <v>-2.2058040000000001</v>
      </c>
      <c r="L340" s="6">
        <v>6.8679379999999997</v>
      </c>
      <c r="M340" s="6">
        <v>0</v>
      </c>
      <c r="N340" s="6">
        <v>28.372485999999999</v>
      </c>
      <c r="O340" s="6">
        <v>0.110513</v>
      </c>
      <c r="P340" s="6">
        <v>28.261972</v>
      </c>
      <c r="Q340" s="7">
        <v>20</v>
      </c>
      <c r="R340" s="6">
        <v>8.2650590000000008</v>
      </c>
      <c r="S340" s="6">
        <v>56.470779</v>
      </c>
      <c r="T340" s="6">
        <v>54.663770999999997</v>
      </c>
      <c r="U340" s="6">
        <v>52.956913999999998</v>
      </c>
      <c r="V340" s="6">
        <v>51.342675</v>
      </c>
    </row>
    <row r="341" spans="1:22" x14ac:dyDescent="0.35">
      <c r="A341" s="5">
        <v>46022</v>
      </c>
      <c r="B341" s="4" t="s">
        <v>749</v>
      </c>
      <c r="C341" s="4" t="s">
        <v>750</v>
      </c>
      <c r="D341" s="4" t="s">
        <v>69</v>
      </c>
      <c r="E341" s="6">
        <v>1935.1529089999999</v>
      </c>
      <c r="F341" s="6">
        <v>117.604164</v>
      </c>
      <c r="G341" s="6">
        <v>1817.5487459999999</v>
      </c>
      <c r="H341" s="6">
        <v>110.899576</v>
      </c>
      <c r="I341" s="6">
        <v>580.64171499999998</v>
      </c>
      <c r="J341" s="6">
        <v>18.247357999999998</v>
      </c>
      <c r="K341" s="6">
        <v>-13.178349000000001</v>
      </c>
      <c r="L341" s="6">
        <v>280.06270899999998</v>
      </c>
      <c r="M341" s="6">
        <v>0</v>
      </c>
      <c r="N341" s="6">
        <v>840.87573799999996</v>
      </c>
      <c r="O341" s="6">
        <v>129.90267</v>
      </c>
      <c r="P341" s="6">
        <v>710.97306800000001</v>
      </c>
      <c r="Q341" s="7">
        <v>20</v>
      </c>
      <c r="R341" s="6">
        <v>458.24674700000003</v>
      </c>
      <c r="S341" s="6">
        <v>2546.3549499999999</v>
      </c>
      <c r="T341" s="6">
        <v>2416.3718439999998</v>
      </c>
      <c r="U341" s="6">
        <v>2297.4798289999999</v>
      </c>
      <c r="V341" s="6">
        <v>2188.4262859999999</v>
      </c>
    </row>
    <row r="342" spans="1:22" x14ac:dyDescent="0.35">
      <c r="A342" s="5">
        <v>46022</v>
      </c>
      <c r="B342" s="4" t="s">
        <v>751</v>
      </c>
      <c r="C342" s="4" t="s">
        <v>752</v>
      </c>
      <c r="D342" s="4" t="s">
        <v>753</v>
      </c>
      <c r="E342" s="6">
        <v>5048.7688369999996</v>
      </c>
      <c r="F342" s="6">
        <v>579.99424899999997</v>
      </c>
      <c r="G342" s="6">
        <v>4468.7745889999997</v>
      </c>
      <c r="H342" s="6">
        <v>982.74245699999994</v>
      </c>
      <c r="I342" s="6">
        <v>2402.4248250000001</v>
      </c>
      <c r="J342" s="6">
        <v>120.111177</v>
      </c>
      <c r="K342" s="6">
        <v>11.455918</v>
      </c>
      <c r="L342" s="6">
        <v>525.86138900000003</v>
      </c>
      <c r="M342" s="6">
        <v>179.99999</v>
      </c>
      <c r="N342" s="6">
        <v>246.178833</v>
      </c>
      <c r="O342" s="6">
        <v>90.273087000000004</v>
      </c>
      <c r="P342" s="6">
        <v>155.90574599999999</v>
      </c>
      <c r="Q342" s="7">
        <v>19</v>
      </c>
      <c r="R342" s="6">
        <v>488.374617</v>
      </c>
      <c r="S342" s="6">
        <v>3017.721826</v>
      </c>
      <c r="T342" s="6">
        <v>2511.3186300000002</v>
      </c>
      <c r="U342" s="6">
        <v>2124.2712630000001</v>
      </c>
      <c r="V342" s="6">
        <v>1823.3140430000001</v>
      </c>
    </row>
    <row r="343" spans="1:22" x14ac:dyDescent="0.35">
      <c r="A343" s="5">
        <v>46022</v>
      </c>
      <c r="B343" s="4" t="s">
        <v>754</v>
      </c>
      <c r="C343" s="4" t="s">
        <v>755</v>
      </c>
      <c r="D343" s="4" t="s">
        <v>222</v>
      </c>
      <c r="E343" s="6">
        <v>274.80586</v>
      </c>
      <c r="F343" s="6">
        <v>22.796043000000001</v>
      </c>
      <c r="G343" s="6">
        <v>252.009816</v>
      </c>
      <c r="H343" s="6">
        <v>14.779949999999999</v>
      </c>
      <c r="I343" s="6">
        <v>71.872780000000006</v>
      </c>
      <c r="J343" s="6">
        <v>2.2000009999999999</v>
      </c>
      <c r="K343" s="6">
        <v>-0.64923600000000004</v>
      </c>
      <c r="L343" s="6">
        <v>12.726374</v>
      </c>
      <c r="M343" s="6">
        <v>0</v>
      </c>
      <c r="N343" s="6">
        <v>151.079948</v>
      </c>
      <c r="O343" s="6">
        <v>30.224048</v>
      </c>
      <c r="P343" s="6">
        <v>120.85590000000001</v>
      </c>
      <c r="Q343" s="7">
        <v>26.3</v>
      </c>
      <c r="R343" s="6">
        <v>48.236753</v>
      </c>
      <c r="S343" s="6">
        <v>211.57910000000001</v>
      </c>
      <c r="T343" s="6">
        <v>205.952876</v>
      </c>
      <c r="U343" s="6">
        <v>200.590002</v>
      </c>
      <c r="V343" s="6">
        <v>195.473389</v>
      </c>
    </row>
    <row r="344" spans="1:22" x14ac:dyDescent="0.35">
      <c r="A344" s="5">
        <v>46022</v>
      </c>
      <c r="B344" s="4" t="s">
        <v>756</v>
      </c>
      <c r="C344" s="4" t="s">
        <v>757</v>
      </c>
      <c r="D344" s="4" t="s">
        <v>105</v>
      </c>
      <c r="E344" s="6">
        <v>551.91634299999998</v>
      </c>
      <c r="F344" s="6">
        <v>15.067869</v>
      </c>
      <c r="G344" s="6">
        <v>536.84847400000001</v>
      </c>
      <c r="H344" s="6">
        <v>27.595762000000001</v>
      </c>
      <c r="I344" s="6">
        <v>563.28133300000002</v>
      </c>
      <c r="J344" s="6">
        <v>21.602716000000001</v>
      </c>
      <c r="K344" s="6">
        <v>38.358870000000003</v>
      </c>
      <c r="L344" s="6">
        <v>5.9996479999999996</v>
      </c>
      <c r="M344" s="6">
        <v>0</v>
      </c>
      <c r="N344" s="6">
        <v>-119.989856</v>
      </c>
      <c r="O344" s="6">
        <v>0</v>
      </c>
      <c r="P344" s="6">
        <v>-119.989856</v>
      </c>
      <c r="Q344" s="7">
        <v>27</v>
      </c>
      <c r="R344" s="6">
        <v>87.763349000000005</v>
      </c>
      <c r="S344" s="6">
        <v>-326.315967</v>
      </c>
      <c r="T344" s="6">
        <v>-312.93757799999997</v>
      </c>
      <c r="U344" s="6">
        <v>-300.12477100000001</v>
      </c>
      <c r="V344" s="6">
        <v>-287.93422199999998</v>
      </c>
    </row>
    <row r="345" spans="1:22" x14ac:dyDescent="0.35">
      <c r="A345" s="5">
        <v>46022</v>
      </c>
      <c r="B345" s="4" t="s">
        <v>758</v>
      </c>
      <c r="C345" s="4" t="s">
        <v>759</v>
      </c>
      <c r="D345" s="4" t="s">
        <v>86</v>
      </c>
      <c r="E345" s="6">
        <v>216.93771699999999</v>
      </c>
      <c r="F345" s="6">
        <v>27.217880999999998</v>
      </c>
      <c r="G345" s="6">
        <v>189.71983700000001</v>
      </c>
      <c r="H345" s="6">
        <v>17.354965</v>
      </c>
      <c r="I345" s="6">
        <v>110.74381700000001</v>
      </c>
      <c r="J345" s="6">
        <v>2.97</v>
      </c>
      <c r="K345" s="6">
        <v>-7.5977690000000004</v>
      </c>
      <c r="L345" s="6">
        <v>8.2650000000000006</v>
      </c>
      <c r="M345" s="6">
        <v>0</v>
      </c>
      <c r="N345" s="6">
        <v>57.983823999999998</v>
      </c>
      <c r="O345" s="6">
        <v>0</v>
      </c>
      <c r="P345" s="6">
        <v>57.983823999999998</v>
      </c>
      <c r="Q345" s="7">
        <v>20</v>
      </c>
      <c r="R345" s="6">
        <v>83.705932000000004</v>
      </c>
      <c r="S345" s="6">
        <v>152.54317</v>
      </c>
      <c r="T345" s="6">
        <v>146.96552299999999</v>
      </c>
      <c r="U345" s="6">
        <v>141.68747400000001</v>
      </c>
      <c r="V345" s="6">
        <v>136.693422</v>
      </c>
    </row>
    <row r="346" spans="1:22" x14ac:dyDescent="0.35">
      <c r="A346" s="5">
        <v>46022</v>
      </c>
      <c r="B346" s="4" t="s">
        <v>760</v>
      </c>
      <c r="C346" s="4" t="s">
        <v>761</v>
      </c>
      <c r="D346" s="4" t="s">
        <v>61</v>
      </c>
      <c r="E346" s="6">
        <v>26.438962</v>
      </c>
      <c r="F346" s="6">
        <v>1.612547</v>
      </c>
      <c r="G346" s="6">
        <v>24.826415000000001</v>
      </c>
      <c r="H346" s="6">
        <v>1.6348849999999999</v>
      </c>
      <c r="I346" s="6">
        <v>8.7040059999999997</v>
      </c>
      <c r="J346" s="6">
        <v>2.346279</v>
      </c>
      <c r="K346" s="6">
        <v>-1.1513000000000001E-2</v>
      </c>
      <c r="L346" s="6">
        <v>0.57306400000000002</v>
      </c>
      <c r="M346" s="6">
        <v>0</v>
      </c>
      <c r="N346" s="6">
        <v>11.579694</v>
      </c>
      <c r="O346" s="6">
        <v>2.86755</v>
      </c>
      <c r="P346" s="6">
        <v>8.7121449999999996</v>
      </c>
      <c r="Q346" s="7">
        <v>25</v>
      </c>
      <c r="R346" s="6">
        <v>0.67104600000000003</v>
      </c>
      <c r="S346" s="6">
        <v>53.085416000000002</v>
      </c>
      <c r="T346" s="6">
        <v>49.168737</v>
      </c>
      <c r="U346" s="6">
        <v>45.681035000000001</v>
      </c>
      <c r="V346" s="6">
        <v>42.564728000000002</v>
      </c>
    </row>
    <row r="347" spans="1:22" x14ac:dyDescent="0.35">
      <c r="A347" s="5">
        <v>46022</v>
      </c>
      <c r="B347" s="4" t="s">
        <v>762</v>
      </c>
      <c r="C347" s="4" t="s">
        <v>763</v>
      </c>
      <c r="D347" s="4" t="s">
        <v>61</v>
      </c>
      <c r="E347" s="6">
        <v>5.3162760000000002</v>
      </c>
      <c r="F347" s="6">
        <v>0.32777099999999998</v>
      </c>
      <c r="G347" s="6">
        <v>4.988505</v>
      </c>
      <c r="H347" s="6">
        <v>0.46486100000000002</v>
      </c>
      <c r="I347" s="6">
        <v>2.6977190000000002</v>
      </c>
      <c r="J347" s="6">
        <v>0.21032200000000001</v>
      </c>
      <c r="K347" s="6">
        <v>-4.9719999999999999E-3</v>
      </c>
      <c r="L347" s="6">
        <v>0.445988</v>
      </c>
      <c r="M347" s="6">
        <v>0</v>
      </c>
      <c r="N347" s="6">
        <v>1.174588</v>
      </c>
      <c r="O347" s="6">
        <v>0.38003799999999999</v>
      </c>
      <c r="P347" s="6">
        <v>0.79454999999999998</v>
      </c>
      <c r="Q347" s="7">
        <v>25</v>
      </c>
      <c r="R347" s="6">
        <v>9.5450999999999994E-2</v>
      </c>
      <c r="S347" s="6">
        <v>4.482564</v>
      </c>
      <c r="T347" s="6">
        <v>4.1655189999999997</v>
      </c>
      <c r="U347" s="6">
        <v>3.8823289999999999</v>
      </c>
      <c r="V347" s="6">
        <v>3.6285249999999998</v>
      </c>
    </row>
    <row r="348" spans="1:22" x14ac:dyDescent="0.35">
      <c r="A348" s="5">
        <v>46022</v>
      </c>
      <c r="B348" s="4" t="s">
        <v>764</v>
      </c>
      <c r="C348" s="4" t="s">
        <v>765</v>
      </c>
      <c r="D348" s="4" t="s">
        <v>61</v>
      </c>
      <c r="E348" s="6">
        <v>15.112121</v>
      </c>
      <c r="F348" s="6">
        <v>3.6900149999999998</v>
      </c>
      <c r="G348" s="6">
        <v>11.422105999999999</v>
      </c>
      <c r="H348" s="6">
        <v>0.32069500000000001</v>
      </c>
      <c r="I348" s="6">
        <v>5.5951839999999997</v>
      </c>
      <c r="J348" s="6">
        <v>0.33140599999999998</v>
      </c>
      <c r="K348" s="6">
        <v>-9.9010000000000001E-3</v>
      </c>
      <c r="L348" s="6">
        <v>0.22283700000000001</v>
      </c>
      <c r="M348" s="6">
        <v>0</v>
      </c>
      <c r="N348" s="6">
        <v>4.9618849999999997</v>
      </c>
      <c r="O348" s="6">
        <v>1.2379960000000001</v>
      </c>
      <c r="P348" s="6">
        <v>3.7238889999999998</v>
      </c>
      <c r="Q348" s="7">
        <v>25</v>
      </c>
      <c r="R348" s="6">
        <v>0.22283700000000001</v>
      </c>
      <c r="S348" s="6">
        <v>14.838044999999999</v>
      </c>
      <c r="T348" s="6">
        <v>14.087937999999999</v>
      </c>
      <c r="U348" s="6">
        <v>13.396936</v>
      </c>
      <c r="V348" s="6">
        <v>12.759107</v>
      </c>
    </row>
    <row r="349" spans="1:22" x14ac:dyDescent="0.35">
      <c r="A349" s="5">
        <v>46022</v>
      </c>
      <c r="B349" s="4" t="s">
        <v>766</v>
      </c>
      <c r="C349" s="4" t="s">
        <v>767</v>
      </c>
      <c r="D349" s="4" t="s">
        <v>58</v>
      </c>
      <c r="E349" s="6">
        <v>4148.0509089999996</v>
      </c>
      <c r="F349" s="6">
        <v>340.51458000000002</v>
      </c>
      <c r="G349" s="6">
        <v>3807.536329</v>
      </c>
      <c r="H349" s="6">
        <v>89.525745999999998</v>
      </c>
      <c r="I349" s="6">
        <v>1375.272152</v>
      </c>
      <c r="J349" s="6">
        <v>25.00761</v>
      </c>
      <c r="K349" s="6">
        <v>74.364851000000002</v>
      </c>
      <c r="L349" s="6">
        <v>615.32417199999998</v>
      </c>
      <c r="M349" s="6">
        <v>0</v>
      </c>
      <c r="N349" s="6">
        <v>1628.0417970000001</v>
      </c>
      <c r="O349" s="6">
        <v>369.25309600000003</v>
      </c>
      <c r="P349" s="6">
        <v>1258.7887020000001</v>
      </c>
      <c r="Q349" s="7">
        <v>27</v>
      </c>
      <c r="R349" s="6">
        <v>950.12676199999999</v>
      </c>
      <c r="S349" s="6">
        <v>8523.3709959999996</v>
      </c>
      <c r="T349" s="6">
        <v>7786.6177600000001</v>
      </c>
      <c r="U349" s="6">
        <v>7146.2994500000004</v>
      </c>
      <c r="V349" s="6">
        <v>6586.9204380000001</v>
      </c>
    </row>
    <row r="350" spans="1:22" x14ac:dyDescent="0.35">
      <c r="A350" s="5">
        <v>46022</v>
      </c>
      <c r="B350" s="4" t="s">
        <v>768</v>
      </c>
      <c r="C350" s="4" t="s">
        <v>769</v>
      </c>
      <c r="D350" s="4" t="s">
        <v>122</v>
      </c>
      <c r="E350" s="6">
        <v>1341.079039</v>
      </c>
      <c r="F350" s="6">
        <v>93.083594000000005</v>
      </c>
      <c r="G350" s="6">
        <v>1247.995445</v>
      </c>
      <c r="H350" s="6">
        <v>81.695481999999998</v>
      </c>
      <c r="I350" s="6">
        <v>371.76673799999998</v>
      </c>
      <c r="J350" s="6">
        <v>9.9122889999999995</v>
      </c>
      <c r="K350" s="6">
        <v>39.749468</v>
      </c>
      <c r="L350" s="6">
        <v>273.000001</v>
      </c>
      <c r="M350" s="6">
        <v>538.99999300000002</v>
      </c>
      <c r="N350" s="6">
        <v>-67.128527000000005</v>
      </c>
      <c r="O350" s="6">
        <v>138.42018999999999</v>
      </c>
      <c r="P350" s="6">
        <v>-205.54871800000001</v>
      </c>
      <c r="Q350" s="7">
        <v>30</v>
      </c>
      <c r="R350" s="6">
        <v>323.22030000000001</v>
      </c>
      <c r="S350" s="6">
        <v>5634.0750760000001</v>
      </c>
      <c r="T350" s="6">
        <v>4643.9067690000002</v>
      </c>
      <c r="U350" s="6">
        <v>3863.6539819999998</v>
      </c>
      <c r="V350" s="6">
        <v>3241.166354</v>
      </c>
    </row>
    <row r="351" spans="1:22" x14ac:dyDescent="0.35">
      <c r="A351" s="5">
        <v>46022</v>
      </c>
      <c r="B351" s="4" t="s">
        <v>770</v>
      </c>
      <c r="C351" s="4" t="s">
        <v>771</v>
      </c>
      <c r="D351" s="4" t="s">
        <v>61</v>
      </c>
      <c r="E351" s="6">
        <v>15.883914000000001</v>
      </c>
      <c r="F351" s="6">
        <v>1.277593</v>
      </c>
      <c r="G351" s="6">
        <v>14.606320999999999</v>
      </c>
      <c r="H351" s="6">
        <v>1.7226079999999999</v>
      </c>
      <c r="I351" s="6">
        <v>4.927422</v>
      </c>
      <c r="J351" s="6">
        <v>0.27610499999999999</v>
      </c>
      <c r="K351" s="6">
        <v>-3.5019999999999999E-3</v>
      </c>
      <c r="L351" s="6">
        <v>0.45008900000000002</v>
      </c>
      <c r="M351" s="6">
        <v>0</v>
      </c>
      <c r="N351" s="6">
        <v>7.2335989999999999</v>
      </c>
      <c r="O351" s="6">
        <v>1.903972</v>
      </c>
      <c r="P351" s="6">
        <v>5.3296270000000003</v>
      </c>
      <c r="Q351" s="7">
        <v>25</v>
      </c>
      <c r="R351" s="6">
        <v>6.4297999999999994E-2</v>
      </c>
      <c r="S351" s="6">
        <v>4.9348400000000003</v>
      </c>
      <c r="T351" s="6">
        <v>4.845116</v>
      </c>
      <c r="U351" s="6">
        <v>4.7585959999999998</v>
      </c>
      <c r="V351" s="6">
        <v>4.6751120000000004</v>
      </c>
    </row>
    <row r="352" spans="1:22" x14ac:dyDescent="0.35">
      <c r="A352" s="5">
        <v>46022</v>
      </c>
      <c r="B352" s="4" t="s">
        <v>772</v>
      </c>
      <c r="C352" s="4" t="s">
        <v>773</v>
      </c>
      <c r="D352" s="4" t="s">
        <v>61</v>
      </c>
      <c r="E352" s="6">
        <v>18.425795000000001</v>
      </c>
      <c r="F352" s="6">
        <v>1.700887</v>
      </c>
      <c r="G352" s="6">
        <v>16.724907999999999</v>
      </c>
      <c r="H352" s="6">
        <v>2.1156320000000002</v>
      </c>
      <c r="I352" s="6">
        <v>10.235072000000001</v>
      </c>
      <c r="J352" s="6">
        <v>0.50685100000000005</v>
      </c>
      <c r="K352" s="6">
        <v>-4.2160000000000001E-3</v>
      </c>
      <c r="L352" s="6">
        <v>0.33291799999999999</v>
      </c>
      <c r="M352" s="6">
        <v>0</v>
      </c>
      <c r="N352" s="6">
        <v>3.5386510000000002</v>
      </c>
      <c r="O352" s="6">
        <v>0</v>
      </c>
      <c r="P352" s="6">
        <v>3.5386510000000002</v>
      </c>
      <c r="Q352" s="7">
        <v>25</v>
      </c>
      <c r="R352" s="6">
        <v>0.33291799999999999</v>
      </c>
      <c r="S352" s="6">
        <v>4.5195790000000002</v>
      </c>
      <c r="T352" s="6">
        <v>4.4152149999999999</v>
      </c>
      <c r="U352" s="6">
        <v>4.3153560000000004</v>
      </c>
      <c r="V352" s="6">
        <v>4.2197259999999996</v>
      </c>
    </row>
    <row r="353" spans="1:22" x14ac:dyDescent="0.35">
      <c r="A353" s="5">
        <v>46022</v>
      </c>
      <c r="B353" s="4" t="s">
        <v>774</v>
      </c>
      <c r="C353" s="4" t="s">
        <v>775</v>
      </c>
      <c r="D353" s="4" t="s">
        <v>58</v>
      </c>
      <c r="E353" s="6">
        <v>493.13296300000002</v>
      </c>
      <c r="F353" s="6">
        <v>56.096589999999999</v>
      </c>
      <c r="G353" s="6">
        <v>437.03637300000003</v>
      </c>
      <c r="H353" s="6">
        <v>3.3476940000000002</v>
      </c>
      <c r="I353" s="6">
        <v>211.33738600000001</v>
      </c>
      <c r="J353" s="6">
        <v>7.42523</v>
      </c>
      <c r="K353" s="6">
        <v>20.067055</v>
      </c>
      <c r="L353" s="6">
        <v>187.11584199999999</v>
      </c>
      <c r="M353" s="6">
        <v>0</v>
      </c>
      <c r="N353" s="6">
        <v>7.7431660000000004</v>
      </c>
      <c r="O353" s="6">
        <v>0</v>
      </c>
      <c r="P353" s="6">
        <v>7.7431660000000004</v>
      </c>
      <c r="Q353" s="7">
        <v>27</v>
      </c>
      <c r="R353" s="6">
        <v>191.10491400000001</v>
      </c>
      <c r="S353" s="6">
        <v>-81.803758000000002</v>
      </c>
      <c r="T353" s="6">
        <v>-57.555298999999998</v>
      </c>
      <c r="U353" s="6">
        <v>-38.265318000000001</v>
      </c>
      <c r="V353" s="6">
        <v>-22.886092000000001</v>
      </c>
    </row>
    <row r="354" spans="1:22" x14ac:dyDescent="0.35">
      <c r="A354" s="5">
        <v>46022</v>
      </c>
      <c r="B354" s="4" t="s">
        <v>776</v>
      </c>
      <c r="C354" s="4" t="s">
        <v>777</v>
      </c>
      <c r="D354" s="4" t="s">
        <v>105</v>
      </c>
      <c r="E354" s="6">
        <v>1228.252322</v>
      </c>
      <c r="F354" s="6">
        <v>108.580533</v>
      </c>
      <c r="G354" s="6">
        <v>1119.671789</v>
      </c>
      <c r="H354" s="6">
        <v>6.2345189999999997</v>
      </c>
      <c r="I354" s="6">
        <v>887.89401799999996</v>
      </c>
      <c r="J354" s="6">
        <v>29.409236</v>
      </c>
      <c r="K354" s="6">
        <v>-2.569197</v>
      </c>
      <c r="L354" s="6">
        <v>127.772217</v>
      </c>
      <c r="M354" s="6">
        <v>20.180648999999999</v>
      </c>
      <c r="N354" s="6">
        <v>50.750348000000002</v>
      </c>
      <c r="O354" s="6">
        <v>15.134061000000001</v>
      </c>
      <c r="P354" s="6">
        <v>35.616287</v>
      </c>
      <c r="Q354" s="7">
        <v>27</v>
      </c>
      <c r="R354" s="6">
        <v>140.08194</v>
      </c>
      <c r="S354" s="6">
        <v>464.09900499999998</v>
      </c>
      <c r="T354" s="6">
        <v>411.72269499999999</v>
      </c>
      <c r="U354" s="6">
        <v>367.746759</v>
      </c>
      <c r="V354" s="6">
        <v>330.56115499999999</v>
      </c>
    </row>
    <row r="355" spans="1:22" x14ac:dyDescent="0.35">
      <c r="A355" s="5">
        <v>46022</v>
      </c>
      <c r="B355" s="4" t="s">
        <v>778</v>
      </c>
      <c r="C355" s="4" t="s">
        <v>779</v>
      </c>
      <c r="D355" s="4" t="s">
        <v>79</v>
      </c>
      <c r="E355" s="6">
        <v>33.843162</v>
      </c>
      <c r="F355" s="6">
        <v>0.29239999999999999</v>
      </c>
      <c r="G355" s="6">
        <v>33.550761999999999</v>
      </c>
      <c r="H355" s="6">
        <v>0.84607600000000005</v>
      </c>
      <c r="I355" s="6">
        <v>24.525955</v>
      </c>
      <c r="J355" s="6">
        <v>2.1036730000000001</v>
      </c>
      <c r="K355" s="6">
        <v>-0.64865200000000001</v>
      </c>
      <c r="L355" s="6">
        <v>2.6747700000000001</v>
      </c>
      <c r="M355" s="6">
        <v>0</v>
      </c>
      <c r="N355" s="6">
        <v>4.04894</v>
      </c>
      <c r="O355" s="6">
        <v>0.88407500000000006</v>
      </c>
      <c r="P355" s="6">
        <v>3.1648649999999998</v>
      </c>
      <c r="Q355" s="7">
        <v>26</v>
      </c>
      <c r="R355" s="6">
        <v>2.6747700000000001</v>
      </c>
      <c r="S355" s="6">
        <v>1.468852</v>
      </c>
      <c r="T355" s="6">
        <v>1.6573009999999999</v>
      </c>
      <c r="U355" s="6">
        <v>1.816743</v>
      </c>
      <c r="V355" s="6">
        <v>1.951236</v>
      </c>
    </row>
    <row r="356" spans="1:22" x14ac:dyDescent="0.35">
      <c r="A356" s="5">
        <v>46022</v>
      </c>
      <c r="B356" s="4" t="s">
        <v>780</v>
      </c>
      <c r="C356" s="4" t="s">
        <v>781</v>
      </c>
      <c r="D356" s="4" t="s">
        <v>782</v>
      </c>
      <c r="E356" s="6">
        <v>2087.3505530000002</v>
      </c>
      <c r="F356" s="6">
        <v>255.137878</v>
      </c>
      <c r="G356" s="6">
        <v>1832.212675</v>
      </c>
      <c r="H356" s="6">
        <v>124.95191</v>
      </c>
      <c r="I356" s="6">
        <v>378.58450399999998</v>
      </c>
      <c r="J356" s="6">
        <v>13.693762</v>
      </c>
      <c r="K356" s="6">
        <v>73.195514000000003</v>
      </c>
      <c r="L356" s="6">
        <v>56.787692</v>
      </c>
      <c r="M356" s="6">
        <v>194.51454899999999</v>
      </c>
      <c r="N356" s="6">
        <v>990.48474499999998</v>
      </c>
      <c r="O356" s="6">
        <v>253.43955099999999</v>
      </c>
      <c r="P356" s="6">
        <v>737.04519300000004</v>
      </c>
      <c r="Q356" s="7">
        <v>22</v>
      </c>
      <c r="R356" s="6">
        <v>162.98453799999999</v>
      </c>
      <c r="S356" s="6">
        <v>10170.315355000001</v>
      </c>
      <c r="T356" s="6">
        <v>8913.5423769999998</v>
      </c>
      <c r="U356" s="6">
        <v>7875.4857380000003</v>
      </c>
      <c r="V356" s="6">
        <v>7010.8171119999997</v>
      </c>
    </row>
    <row r="357" spans="1:22" x14ac:dyDescent="0.35">
      <c r="A357" s="5">
        <v>46022</v>
      </c>
      <c r="B357" s="4" t="s">
        <v>783</v>
      </c>
      <c r="C357" s="4" t="s">
        <v>784</v>
      </c>
      <c r="D357" s="4" t="s">
        <v>79</v>
      </c>
      <c r="E357" s="6">
        <v>1113.9609330000001</v>
      </c>
      <c r="F357" s="6">
        <v>33.922679000000002</v>
      </c>
      <c r="G357" s="6">
        <v>1080.0382540000001</v>
      </c>
      <c r="H357" s="6">
        <v>27.848447</v>
      </c>
      <c r="I357" s="6">
        <v>1013.961438</v>
      </c>
      <c r="J357" s="6">
        <v>38.614891999999998</v>
      </c>
      <c r="K357" s="6">
        <v>-4.6262749999999997</v>
      </c>
      <c r="L357" s="6">
        <v>80.495007999999999</v>
      </c>
      <c r="M357" s="6">
        <v>0</v>
      </c>
      <c r="N357" s="6">
        <v>-76.255255000000005</v>
      </c>
      <c r="O357" s="6">
        <v>0</v>
      </c>
      <c r="P357" s="6">
        <v>-76.255255000000005</v>
      </c>
      <c r="Q357" s="7">
        <v>26</v>
      </c>
      <c r="R357" s="6">
        <v>154.35564299999999</v>
      </c>
      <c r="S357" s="6">
        <v>-1415.393941</v>
      </c>
      <c r="T357" s="6">
        <v>-1186.7895269999999</v>
      </c>
      <c r="U357" s="6">
        <v>-1010.792825</v>
      </c>
      <c r="V357" s="6">
        <v>-872.88993400000004</v>
      </c>
    </row>
    <row r="358" spans="1:22" x14ac:dyDescent="0.35">
      <c r="A358" s="5">
        <v>46022</v>
      </c>
      <c r="B358" s="4" t="s">
        <v>785</v>
      </c>
      <c r="C358" s="4" t="s">
        <v>786</v>
      </c>
      <c r="D358" s="4" t="s">
        <v>222</v>
      </c>
      <c r="E358" s="6">
        <v>121.517461</v>
      </c>
      <c r="F358" s="6">
        <v>15.885605999999999</v>
      </c>
      <c r="G358" s="6">
        <v>105.631855</v>
      </c>
      <c r="H358" s="6">
        <v>0.77347600000000005</v>
      </c>
      <c r="I358" s="6">
        <v>55.046585</v>
      </c>
      <c r="J358" s="6">
        <v>3.2808410000000001</v>
      </c>
      <c r="K358" s="6">
        <v>2.8379979999999998</v>
      </c>
      <c r="L358" s="6">
        <v>16.135905999999999</v>
      </c>
      <c r="M358" s="6">
        <v>0</v>
      </c>
      <c r="N358" s="6">
        <v>27.55705</v>
      </c>
      <c r="O358" s="6">
        <v>0</v>
      </c>
      <c r="P358" s="6">
        <v>27.55705</v>
      </c>
      <c r="Q358" s="7">
        <v>0</v>
      </c>
      <c r="R358" s="6">
        <v>30.291553</v>
      </c>
      <c r="S358" s="6">
        <v>75.447479000000001</v>
      </c>
      <c r="T358" s="6">
        <v>72.766519000000002</v>
      </c>
      <c r="U358" s="6">
        <v>70.241624000000002</v>
      </c>
      <c r="V358" s="6">
        <v>67.860730000000004</v>
      </c>
    </row>
    <row r="359" spans="1:22" x14ac:dyDescent="0.35">
      <c r="A359" s="5">
        <v>46022</v>
      </c>
      <c r="B359" s="4" t="s">
        <v>787</v>
      </c>
      <c r="C359" s="4" t="s">
        <v>788</v>
      </c>
      <c r="D359" s="4" t="s">
        <v>61</v>
      </c>
      <c r="E359" s="6">
        <v>9.2686609999999998</v>
      </c>
      <c r="F359" s="6">
        <v>0.77748899999999999</v>
      </c>
      <c r="G359" s="6">
        <v>8.4911720000000006</v>
      </c>
      <c r="H359" s="6">
        <v>1.107189</v>
      </c>
      <c r="I359" s="6">
        <v>5.4542390000000003</v>
      </c>
      <c r="J359" s="6">
        <v>0.22294</v>
      </c>
      <c r="K359" s="6">
        <v>-1.052E-3</v>
      </c>
      <c r="L359" s="6">
        <v>0.37718600000000002</v>
      </c>
      <c r="M359" s="6">
        <v>0</v>
      </c>
      <c r="N359" s="6">
        <v>1.3306709999999999</v>
      </c>
      <c r="O359" s="6">
        <v>0.378552</v>
      </c>
      <c r="P359" s="6">
        <v>0.95211900000000005</v>
      </c>
      <c r="Q359" s="7">
        <v>25</v>
      </c>
      <c r="R359" s="6">
        <v>0.19259699999999999</v>
      </c>
      <c r="S359" s="6">
        <v>5.423241</v>
      </c>
      <c r="T359" s="6">
        <v>5.0375509999999997</v>
      </c>
      <c r="U359" s="6">
        <v>4.6932239999999998</v>
      </c>
      <c r="V359" s="6">
        <v>4.3847810000000003</v>
      </c>
    </row>
    <row r="360" spans="1:22" x14ac:dyDescent="0.35">
      <c r="A360" s="5">
        <v>46022</v>
      </c>
      <c r="B360" s="4" t="s">
        <v>789</v>
      </c>
      <c r="C360" s="4" t="s">
        <v>790</v>
      </c>
      <c r="D360" s="4" t="s">
        <v>61</v>
      </c>
      <c r="E360" s="6">
        <v>18.626476</v>
      </c>
      <c r="F360" s="6">
        <v>1.530565</v>
      </c>
      <c r="G360" s="6">
        <v>17.095911000000001</v>
      </c>
      <c r="H360" s="6">
        <v>1.451487</v>
      </c>
      <c r="I360" s="6">
        <v>5.126277</v>
      </c>
      <c r="J360" s="6">
        <v>0.43267499999999998</v>
      </c>
      <c r="K360" s="6">
        <v>-2.2399999999999998E-3</v>
      </c>
      <c r="L360" s="6">
        <v>0.154527</v>
      </c>
      <c r="M360" s="6">
        <v>0</v>
      </c>
      <c r="N360" s="6">
        <v>9.9331849999999999</v>
      </c>
      <c r="O360" s="6">
        <v>2.4672839999999998</v>
      </c>
      <c r="P360" s="6">
        <v>7.4659019999999998</v>
      </c>
      <c r="Q360" s="7">
        <v>25</v>
      </c>
      <c r="R360" s="6">
        <v>0.216338</v>
      </c>
      <c r="S360" s="6">
        <v>53.284886999999998</v>
      </c>
      <c r="T360" s="6">
        <v>48.478973000000003</v>
      </c>
      <c r="U360" s="6">
        <v>44.318976999999997</v>
      </c>
      <c r="V360" s="6">
        <v>40.699319000000003</v>
      </c>
    </row>
    <row r="361" spans="1:22" x14ac:dyDescent="0.35">
      <c r="A361" s="5">
        <v>46022</v>
      </c>
      <c r="B361" s="4" t="s">
        <v>791</v>
      </c>
      <c r="C361" s="4" t="s">
        <v>792</v>
      </c>
      <c r="D361" s="4" t="s">
        <v>157</v>
      </c>
      <c r="E361" s="6">
        <v>177.818005</v>
      </c>
      <c r="F361" s="6">
        <v>12.664792</v>
      </c>
      <c r="G361" s="6">
        <v>165.15321299999999</v>
      </c>
      <c r="H361" s="6">
        <v>9.7682380000000002</v>
      </c>
      <c r="I361" s="6">
        <v>98.537394000000006</v>
      </c>
      <c r="J361" s="6">
        <v>4.7331070000000004</v>
      </c>
      <c r="K361" s="6">
        <v>1.708888</v>
      </c>
      <c r="L361" s="6">
        <v>12.614743000000001</v>
      </c>
      <c r="M361" s="6">
        <v>7.9999989999999999</v>
      </c>
      <c r="N361" s="6">
        <v>29.790842999999999</v>
      </c>
      <c r="O361" s="6">
        <v>1.9419360000000001</v>
      </c>
      <c r="P361" s="6">
        <v>27.848907000000001</v>
      </c>
      <c r="Q361" s="7">
        <v>25</v>
      </c>
      <c r="R361" s="6">
        <v>44.346729000000003</v>
      </c>
      <c r="S361" s="6">
        <v>85.066158000000001</v>
      </c>
      <c r="T361" s="6">
        <v>81.911708000000004</v>
      </c>
      <c r="U361" s="6">
        <v>78.945245</v>
      </c>
      <c r="V361" s="6">
        <v>76.152018999999996</v>
      </c>
    </row>
    <row r="362" spans="1:22" x14ac:dyDescent="0.35">
      <c r="A362" s="5">
        <v>46022</v>
      </c>
      <c r="B362" s="4" t="s">
        <v>793</v>
      </c>
      <c r="C362" s="4" t="s">
        <v>794</v>
      </c>
      <c r="D362" s="4" t="s">
        <v>79</v>
      </c>
      <c r="E362" s="6">
        <v>361.53195599999998</v>
      </c>
      <c r="F362" s="6">
        <v>51.936334000000002</v>
      </c>
      <c r="G362" s="6">
        <v>309.59562099999999</v>
      </c>
      <c r="H362" s="6">
        <v>1.646585</v>
      </c>
      <c r="I362" s="6">
        <v>218.93063900000001</v>
      </c>
      <c r="J362" s="6">
        <v>13.761868</v>
      </c>
      <c r="K362" s="6">
        <v>-19.182309</v>
      </c>
      <c r="L362" s="6">
        <v>19.622471999999998</v>
      </c>
      <c r="M362" s="6">
        <v>3.1081889999999999</v>
      </c>
      <c r="N362" s="6">
        <v>71.708175999999995</v>
      </c>
      <c r="O362" s="6">
        <v>11.580495000000001</v>
      </c>
      <c r="P362" s="6">
        <v>60.127681000000003</v>
      </c>
      <c r="Q362" s="7">
        <v>27</v>
      </c>
      <c r="R362" s="6">
        <v>32.365805999999999</v>
      </c>
      <c r="S362" s="6">
        <v>832.996441</v>
      </c>
      <c r="T362" s="6">
        <v>737.64854100000002</v>
      </c>
      <c r="U362" s="6">
        <v>658.35750800000005</v>
      </c>
      <c r="V362" s="6">
        <v>591.85000300000002</v>
      </c>
    </row>
    <row r="363" spans="1:22" x14ac:dyDescent="0.35">
      <c r="A363" s="5">
        <v>46022</v>
      </c>
      <c r="B363" s="4" t="s">
        <v>795</v>
      </c>
      <c r="C363" s="4" t="s">
        <v>796</v>
      </c>
      <c r="D363" s="4" t="s">
        <v>89</v>
      </c>
      <c r="E363" s="6">
        <v>634.72633099999996</v>
      </c>
      <c r="F363" s="6">
        <v>21.589109000000001</v>
      </c>
      <c r="G363" s="6">
        <v>613.13722199999995</v>
      </c>
      <c r="H363" s="6">
        <v>31.736348</v>
      </c>
      <c r="I363" s="6">
        <v>465.75018599999999</v>
      </c>
      <c r="J363" s="6">
        <v>7.289771</v>
      </c>
      <c r="K363" s="6">
        <v>-6.1490539999999996</v>
      </c>
      <c r="L363" s="6">
        <v>35.232818000000002</v>
      </c>
      <c r="M363" s="6">
        <v>342.00000199999999</v>
      </c>
      <c r="N363" s="6">
        <v>-262.722849</v>
      </c>
      <c r="O363" s="6">
        <v>0</v>
      </c>
      <c r="P363" s="6">
        <v>-262.722849</v>
      </c>
      <c r="Q363" s="7">
        <v>30</v>
      </c>
      <c r="R363" s="6">
        <v>164.30696</v>
      </c>
      <c r="S363" s="6">
        <v>-144.661114</v>
      </c>
      <c r="T363" s="6">
        <v>-170.54097999999999</v>
      </c>
      <c r="U363" s="6">
        <v>-191.43940499999999</v>
      </c>
      <c r="V363" s="6">
        <v>-208.23228399999999</v>
      </c>
    </row>
    <row r="364" spans="1:22" x14ac:dyDescent="0.35">
      <c r="A364" s="5">
        <v>46022</v>
      </c>
      <c r="B364" s="4" t="s">
        <v>797</v>
      </c>
      <c r="C364" s="4" t="s">
        <v>798</v>
      </c>
      <c r="D364" s="4" t="s">
        <v>79</v>
      </c>
      <c r="E364" s="6">
        <v>60.944935999999998</v>
      </c>
      <c r="F364" s="6">
        <v>5.5707440000000004</v>
      </c>
      <c r="G364" s="6">
        <v>55.374192000000001</v>
      </c>
      <c r="H364" s="6">
        <v>3.604527</v>
      </c>
      <c r="I364" s="6">
        <v>49.811104</v>
      </c>
      <c r="J364" s="6">
        <v>2.4275869999999999</v>
      </c>
      <c r="K364" s="6">
        <v>5.305898</v>
      </c>
      <c r="L364" s="6">
        <v>4.2209159999999999</v>
      </c>
      <c r="M364" s="6">
        <v>0</v>
      </c>
      <c r="N364" s="6">
        <v>-9.9958399999999994</v>
      </c>
      <c r="O364" s="6">
        <v>0</v>
      </c>
      <c r="P364" s="6">
        <v>-9.9958399999999994</v>
      </c>
      <c r="Q364" s="7">
        <v>27</v>
      </c>
      <c r="R364" s="6">
        <v>32.764091999999998</v>
      </c>
      <c r="S364" s="6">
        <v>507.04264599999999</v>
      </c>
      <c r="T364" s="6">
        <v>455.21111000000002</v>
      </c>
      <c r="U364" s="6">
        <v>410.593931</v>
      </c>
      <c r="V364" s="6">
        <v>371.97598900000003</v>
      </c>
    </row>
    <row r="365" spans="1:22" x14ac:dyDescent="0.35">
      <c r="A365" s="5">
        <v>46022</v>
      </c>
      <c r="B365" s="4" t="s">
        <v>799</v>
      </c>
      <c r="C365" s="4" t="s">
        <v>800</v>
      </c>
      <c r="D365" s="4" t="s">
        <v>58</v>
      </c>
      <c r="E365" s="6">
        <v>111.089851</v>
      </c>
      <c r="F365" s="6">
        <v>8.1496460000000006</v>
      </c>
      <c r="G365" s="6">
        <v>102.94020500000001</v>
      </c>
      <c r="H365" s="6">
        <v>0</v>
      </c>
      <c r="I365" s="6">
        <v>53.076005000000002</v>
      </c>
      <c r="J365" s="6">
        <v>1.8</v>
      </c>
      <c r="K365" s="6">
        <v>14.167437</v>
      </c>
      <c r="L365" s="6">
        <v>12.653797000000001</v>
      </c>
      <c r="M365" s="6">
        <v>0</v>
      </c>
      <c r="N365" s="6">
        <v>21.242967</v>
      </c>
      <c r="O365" s="6">
        <v>0</v>
      </c>
      <c r="P365" s="6">
        <v>21.242967</v>
      </c>
      <c r="Q365" s="7">
        <v>27</v>
      </c>
      <c r="R365" s="6">
        <v>24.189830000000001</v>
      </c>
      <c r="S365" s="6">
        <v>117.126915</v>
      </c>
      <c r="T365" s="6">
        <v>111.042964</v>
      </c>
      <c r="U365" s="6">
        <v>105.437507</v>
      </c>
      <c r="V365" s="6">
        <v>100.26277899999999</v>
      </c>
    </row>
    <row r="366" spans="1:22" x14ac:dyDescent="0.35">
      <c r="A366" s="5">
        <v>46022</v>
      </c>
      <c r="B366" s="4" t="s">
        <v>801</v>
      </c>
      <c r="C366" s="4" t="s">
        <v>802</v>
      </c>
      <c r="D366" s="4" t="s">
        <v>58</v>
      </c>
      <c r="E366" s="6">
        <v>2055.6904260000001</v>
      </c>
      <c r="F366" s="6">
        <v>210.63517400000001</v>
      </c>
      <c r="G366" s="6">
        <v>1845.0552520000001</v>
      </c>
      <c r="H366" s="6">
        <v>18.424030999999999</v>
      </c>
      <c r="I366" s="6">
        <v>1160.8765559999999</v>
      </c>
      <c r="J366" s="6">
        <v>52.926552000000001</v>
      </c>
      <c r="K366" s="6">
        <v>14.70073</v>
      </c>
      <c r="L366" s="6">
        <v>280.00001400000002</v>
      </c>
      <c r="M366" s="6">
        <v>0</v>
      </c>
      <c r="N366" s="6">
        <v>318.12736899999999</v>
      </c>
      <c r="O366" s="6">
        <v>11.016294</v>
      </c>
      <c r="P366" s="6">
        <v>307.11107500000003</v>
      </c>
      <c r="Q366" s="7">
        <v>27</v>
      </c>
      <c r="R366" s="6">
        <v>572.02702199999999</v>
      </c>
      <c r="S366" s="6">
        <v>4717.8341739999996</v>
      </c>
      <c r="T366" s="6">
        <v>4146.4125540000005</v>
      </c>
      <c r="U366" s="6">
        <v>3680.7226970000002</v>
      </c>
      <c r="V366" s="6">
        <v>3296.470793</v>
      </c>
    </row>
    <row r="367" spans="1:22" x14ac:dyDescent="0.35">
      <c r="A367" s="5">
        <v>46022</v>
      </c>
      <c r="B367" s="4" t="s">
        <v>803</v>
      </c>
      <c r="C367" s="4" t="s">
        <v>804</v>
      </c>
      <c r="D367" s="4" t="s">
        <v>50</v>
      </c>
      <c r="E367" s="6">
        <v>3288.3183159999999</v>
      </c>
      <c r="F367" s="6">
        <v>288.39320700000002</v>
      </c>
      <c r="G367" s="6">
        <v>2999.9251079999999</v>
      </c>
      <c r="H367" s="6">
        <v>50.797426999999999</v>
      </c>
      <c r="I367" s="6">
        <v>660.19987400000002</v>
      </c>
      <c r="J367" s="6">
        <v>64.604984000000002</v>
      </c>
      <c r="K367" s="6">
        <v>47.156427999999998</v>
      </c>
      <c r="L367" s="6">
        <v>316.8</v>
      </c>
      <c r="M367" s="6">
        <v>0</v>
      </c>
      <c r="N367" s="6">
        <v>1860.366395</v>
      </c>
      <c r="O367" s="6">
        <v>406.03268800000001</v>
      </c>
      <c r="P367" s="6">
        <v>1454.333707</v>
      </c>
      <c r="Q367" s="7">
        <v>26</v>
      </c>
      <c r="R367" s="6">
        <v>662.658638</v>
      </c>
      <c r="S367" s="6">
        <v>12353.287324999999</v>
      </c>
      <c r="T367" s="6">
        <v>10952.952058000001</v>
      </c>
      <c r="U367" s="6">
        <v>9793.1532490000009</v>
      </c>
      <c r="V367" s="6">
        <v>8823.8146739999993</v>
      </c>
    </row>
    <row r="368" spans="1:22" x14ac:dyDescent="0.35">
      <c r="A368" s="5">
        <v>46022</v>
      </c>
      <c r="B368" s="4" t="s">
        <v>805</v>
      </c>
      <c r="C368" s="4" t="s">
        <v>806</v>
      </c>
      <c r="D368" s="4" t="s">
        <v>61</v>
      </c>
      <c r="E368" s="6">
        <v>1825.7752640000001</v>
      </c>
      <c r="F368" s="6">
        <v>90.388204000000002</v>
      </c>
      <c r="G368" s="6">
        <v>1735.38706</v>
      </c>
      <c r="H368" s="6">
        <v>73.031581000000003</v>
      </c>
      <c r="I368" s="6">
        <v>693.31514300000003</v>
      </c>
      <c r="J368" s="6">
        <v>43.496476000000001</v>
      </c>
      <c r="K368" s="6">
        <v>-12.948057</v>
      </c>
      <c r="L368" s="6">
        <v>51.628905000000003</v>
      </c>
      <c r="M368" s="6">
        <v>66</v>
      </c>
      <c r="N368" s="6">
        <v>820.86301100000003</v>
      </c>
      <c r="O368" s="6">
        <v>221.60975099999999</v>
      </c>
      <c r="P368" s="6">
        <v>599.25326099999995</v>
      </c>
      <c r="Q368" s="7">
        <v>25</v>
      </c>
      <c r="R368" s="6">
        <v>39.104857000000003</v>
      </c>
      <c r="S368" s="6">
        <v>12085.776372</v>
      </c>
      <c r="T368" s="6">
        <v>10118.933939</v>
      </c>
      <c r="U368" s="6">
        <v>8624.4091509999998</v>
      </c>
      <c r="V368" s="6">
        <v>7465.8195210000003</v>
      </c>
    </row>
    <row r="369" spans="1:22" x14ac:dyDescent="0.35">
      <c r="A369" s="5">
        <v>46022</v>
      </c>
      <c r="B369" s="4" t="s">
        <v>807</v>
      </c>
      <c r="C369" s="4" t="s">
        <v>808</v>
      </c>
      <c r="D369" s="4" t="s">
        <v>79</v>
      </c>
      <c r="E369" s="6">
        <v>313.86951199999999</v>
      </c>
      <c r="F369" s="6">
        <v>28.183119000000001</v>
      </c>
      <c r="G369" s="6">
        <v>285.68639400000001</v>
      </c>
      <c r="H369" s="6">
        <v>0</v>
      </c>
      <c r="I369" s="6">
        <v>224.769046</v>
      </c>
      <c r="J369" s="6">
        <v>9.6131039999999999</v>
      </c>
      <c r="K369" s="6">
        <v>9.0785029999999995</v>
      </c>
      <c r="L369" s="6">
        <v>23.814952000000002</v>
      </c>
      <c r="M369" s="6">
        <v>0</v>
      </c>
      <c r="N369" s="6">
        <v>18.410789000000001</v>
      </c>
      <c r="O369" s="6">
        <v>0</v>
      </c>
      <c r="P369" s="6">
        <v>18.410789000000001</v>
      </c>
      <c r="Q369" s="7">
        <v>26</v>
      </c>
      <c r="R369" s="6">
        <v>24.051048999999999</v>
      </c>
      <c r="S369" s="6">
        <v>263.53639700000002</v>
      </c>
      <c r="T369" s="6">
        <v>222.27220299999999</v>
      </c>
      <c r="U369" s="6">
        <v>191.09599800000001</v>
      </c>
      <c r="V369" s="6">
        <v>167.00546499999999</v>
      </c>
    </row>
    <row r="370" spans="1:22" x14ac:dyDescent="0.35">
      <c r="A370" s="5">
        <v>46022</v>
      </c>
      <c r="B370" s="4" t="s">
        <v>809</v>
      </c>
      <c r="C370" s="4" t="s">
        <v>810</v>
      </c>
      <c r="D370" s="4" t="s">
        <v>79</v>
      </c>
      <c r="E370" s="6">
        <v>510.52210200000002</v>
      </c>
      <c r="F370" s="6">
        <v>53.343065000000003</v>
      </c>
      <c r="G370" s="6">
        <v>457.179036</v>
      </c>
      <c r="H370" s="6">
        <v>14.268001</v>
      </c>
      <c r="I370" s="6">
        <v>176.67619199999999</v>
      </c>
      <c r="J370" s="6">
        <v>4.8404720000000001</v>
      </c>
      <c r="K370" s="6">
        <v>-17.441645999999999</v>
      </c>
      <c r="L370" s="6">
        <v>99.999998000000005</v>
      </c>
      <c r="M370" s="6">
        <v>0</v>
      </c>
      <c r="N370" s="6">
        <v>178.83601999999999</v>
      </c>
      <c r="O370" s="6">
        <v>12.649205</v>
      </c>
      <c r="P370" s="6">
        <v>166.186815</v>
      </c>
      <c r="Q370" s="7">
        <v>26</v>
      </c>
      <c r="R370" s="6">
        <v>133.15384599999999</v>
      </c>
      <c r="S370" s="6">
        <v>994.71065499999997</v>
      </c>
      <c r="T370" s="6">
        <v>901.19342700000004</v>
      </c>
      <c r="U370" s="6">
        <v>821.13916400000005</v>
      </c>
      <c r="V370" s="6">
        <v>752.18804399999999</v>
      </c>
    </row>
    <row r="371" spans="1:22" x14ac:dyDescent="0.35">
      <c r="A371" s="5">
        <v>46022</v>
      </c>
      <c r="B371" s="4" t="s">
        <v>811</v>
      </c>
      <c r="C371" s="4" t="s">
        <v>812</v>
      </c>
      <c r="D371" s="4" t="s">
        <v>86</v>
      </c>
      <c r="E371" s="6">
        <v>824.71569</v>
      </c>
      <c r="F371" s="6">
        <v>120.283923</v>
      </c>
      <c r="G371" s="6">
        <v>704.43176700000004</v>
      </c>
      <c r="H371" s="6">
        <v>49.482934</v>
      </c>
      <c r="I371" s="6">
        <v>104.989239</v>
      </c>
      <c r="J371" s="6">
        <v>20.386790999999999</v>
      </c>
      <c r="K371" s="6">
        <v>-0.341866</v>
      </c>
      <c r="L371" s="6">
        <v>37.062306</v>
      </c>
      <c r="M371" s="6">
        <v>28.335318999999998</v>
      </c>
      <c r="N371" s="6">
        <v>464.517044</v>
      </c>
      <c r="O371" s="6">
        <v>91.957762000000002</v>
      </c>
      <c r="P371" s="6">
        <v>372.559282</v>
      </c>
      <c r="Q371" s="7">
        <v>20</v>
      </c>
      <c r="R371" s="6">
        <v>69.783992999999995</v>
      </c>
      <c r="S371" s="6">
        <v>2938.4237560000001</v>
      </c>
      <c r="T371" s="6">
        <v>2656.7450119999999</v>
      </c>
      <c r="U371" s="6">
        <v>2414.937778</v>
      </c>
      <c r="V371" s="6">
        <v>2206.1636840000001</v>
      </c>
    </row>
    <row r="372" spans="1:22" x14ac:dyDescent="0.35">
      <c r="A372" s="5">
        <v>46022</v>
      </c>
      <c r="B372" s="4" t="s">
        <v>813</v>
      </c>
      <c r="C372" s="4" t="s">
        <v>814</v>
      </c>
      <c r="D372" s="4" t="s">
        <v>105</v>
      </c>
      <c r="E372" s="6">
        <v>876.31293300000004</v>
      </c>
      <c r="F372" s="6">
        <v>74.252886000000004</v>
      </c>
      <c r="G372" s="6">
        <v>802.06004700000005</v>
      </c>
      <c r="H372" s="6">
        <v>4.4018259999999998</v>
      </c>
      <c r="I372" s="6">
        <v>796.27906099999996</v>
      </c>
      <c r="J372" s="6">
        <v>46.315900999999997</v>
      </c>
      <c r="K372" s="6">
        <v>1.507153</v>
      </c>
      <c r="L372" s="6">
        <v>105.33242199999999</v>
      </c>
      <c r="M372" s="6">
        <v>0</v>
      </c>
      <c r="N372" s="6">
        <v>-151.77631500000001</v>
      </c>
      <c r="O372" s="6">
        <v>0</v>
      </c>
      <c r="P372" s="6">
        <v>-151.77631500000001</v>
      </c>
      <c r="Q372" s="7">
        <v>27</v>
      </c>
      <c r="R372" s="6">
        <v>112.699685</v>
      </c>
      <c r="S372" s="6">
        <v>-1562.044245</v>
      </c>
      <c r="T372" s="6">
        <v>-1328.392012</v>
      </c>
      <c r="U372" s="6">
        <v>-1148.7156729999999</v>
      </c>
      <c r="V372" s="6">
        <v>-1007.858985</v>
      </c>
    </row>
    <row r="373" spans="1:22" x14ac:dyDescent="0.35">
      <c r="A373" s="5">
        <v>46022</v>
      </c>
      <c r="B373" s="4" t="s">
        <v>815</v>
      </c>
      <c r="C373" s="4" t="s">
        <v>816</v>
      </c>
      <c r="D373" s="4" t="s">
        <v>79</v>
      </c>
      <c r="E373" s="6">
        <v>1182.816192</v>
      </c>
      <c r="F373" s="6">
        <v>10.21936</v>
      </c>
      <c r="G373" s="6">
        <v>1172.5968319999999</v>
      </c>
      <c r="H373" s="6">
        <v>29.570965999999999</v>
      </c>
      <c r="I373" s="6">
        <v>773.91745800000001</v>
      </c>
      <c r="J373" s="6">
        <v>26.978369000000001</v>
      </c>
      <c r="K373" s="6">
        <v>17.443168</v>
      </c>
      <c r="L373" s="6">
        <v>71.319866000000005</v>
      </c>
      <c r="M373" s="6">
        <v>0</v>
      </c>
      <c r="N373" s="6">
        <v>253.36700400000001</v>
      </c>
      <c r="O373" s="6">
        <v>57.339751999999997</v>
      </c>
      <c r="P373" s="6">
        <v>196.027252</v>
      </c>
      <c r="Q373" s="7">
        <v>26</v>
      </c>
      <c r="R373" s="6">
        <v>121.592529</v>
      </c>
      <c r="S373" s="6">
        <v>2291.4594499999998</v>
      </c>
      <c r="T373" s="6">
        <v>1939.7334499999999</v>
      </c>
      <c r="U373" s="6">
        <v>1669.915581</v>
      </c>
      <c r="V373" s="6">
        <v>1458.9420680000001</v>
      </c>
    </row>
    <row r="374" spans="1:22" x14ac:dyDescent="0.35">
      <c r="A374" s="5">
        <v>46022</v>
      </c>
      <c r="B374" s="4" t="s">
        <v>817</v>
      </c>
      <c r="C374" s="4" t="s">
        <v>818</v>
      </c>
      <c r="D374" s="4" t="s">
        <v>61</v>
      </c>
      <c r="E374" s="6">
        <v>199.77623700000001</v>
      </c>
      <c r="F374" s="6">
        <v>7.6679459999999997</v>
      </c>
      <c r="G374" s="6">
        <v>192.10829100000001</v>
      </c>
      <c r="H374" s="6">
        <v>8.880884</v>
      </c>
      <c r="I374" s="6">
        <v>27.482612</v>
      </c>
      <c r="J374" s="6">
        <v>2.8965380000000001</v>
      </c>
      <c r="K374" s="6">
        <v>-0.1852</v>
      </c>
      <c r="L374" s="6">
        <v>2.9015949999999999</v>
      </c>
      <c r="M374" s="6">
        <v>0</v>
      </c>
      <c r="N374" s="6">
        <v>150.13186400000001</v>
      </c>
      <c r="O374" s="6">
        <v>37.078609</v>
      </c>
      <c r="P374" s="6">
        <v>113.053254</v>
      </c>
      <c r="Q374" s="7">
        <v>25</v>
      </c>
      <c r="R374" s="6">
        <v>4.5338200000000004</v>
      </c>
      <c r="S374" s="6">
        <v>850.75394100000005</v>
      </c>
      <c r="T374" s="6">
        <v>769.216499</v>
      </c>
      <c r="U374" s="6">
        <v>699.312321</v>
      </c>
      <c r="V374" s="6">
        <v>639.02861299999995</v>
      </c>
    </row>
    <row r="375" spans="1:22" x14ac:dyDescent="0.35">
      <c r="A375" s="5">
        <v>46022</v>
      </c>
      <c r="B375" s="4" t="s">
        <v>819</v>
      </c>
      <c r="C375" s="4" t="s">
        <v>820</v>
      </c>
      <c r="D375" s="4" t="s">
        <v>61</v>
      </c>
      <c r="E375" s="6">
        <v>183.092502</v>
      </c>
      <c r="F375" s="6">
        <v>8.1547640000000001</v>
      </c>
      <c r="G375" s="6">
        <v>174.937738</v>
      </c>
      <c r="H375" s="6">
        <v>20.246865</v>
      </c>
      <c r="I375" s="6">
        <v>115.247083</v>
      </c>
      <c r="J375" s="6">
        <v>12.586921</v>
      </c>
      <c r="K375" s="6">
        <v>-0.11193599999999999</v>
      </c>
      <c r="L375" s="6">
        <v>12.144412000000001</v>
      </c>
      <c r="M375" s="6">
        <v>0</v>
      </c>
      <c r="N375" s="6">
        <v>14.824393000000001</v>
      </c>
      <c r="O375" s="6">
        <v>0</v>
      </c>
      <c r="P375" s="6">
        <v>14.824393000000001</v>
      </c>
      <c r="Q375" s="7">
        <v>25</v>
      </c>
      <c r="R375" s="6">
        <v>16.146657999999999</v>
      </c>
      <c r="S375" s="6">
        <v>144.940879</v>
      </c>
      <c r="T375" s="6">
        <v>124.078962</v>
      </c>
      <c r="U375" s="6">
        <v>107.941092</v>
      </c>
      <c r="V375" s="6">
        <v>95.213318000000001</v>
      </c>
    </row>
    <row r="376" spans="1:22" x14ac:dyDescent="0.35">
      <c r="A376" s="5">
        <v>46022</v>
      </c>
      <c r="B376" s="4" t="s">
        <v>821</v>
      </c>
      <c r="C376" s="4" t="s">
        <v>822</v>
      </c>
      <c r="D376" s="4" t="s">
        <v>61</v>
      </c>
      <c r="E376" s="6">
        <v>16.052951</v>
      </c>
      <c r="F376" s="6">
        <v>0.73361500000000002</v>
      </c>
      <c r="G376" s="6">
        <v>15.319336</v>
      </c>
      <c r="H376" s="6">
        <v>1.0122949999999999</v>
      </c>
      <c r="I376" s="6">
        <v>6.3646029999999998</v>
      </c>
      <c r="J376" s="6">
        <v>0.41912100000000002</v>
      </c>
      <c r="K376" s="6">
        <v>-1.2312999999999999E-2</v>
      </c>
      <c r="L376" s="6">
        <v>0.72134100000000001</v>
      </c>
      <c r="M376" s="6">
        <v>0</v>
      </c>
      <c r="N376" s="6">
        <v>6.8142899999999997</v>
      </c>
      <c r="O376" s="6">
        <v>1.8380620000000001</v>
      </c>
      <c r="P376" s="6">
        <v>4.9762279999999999</v>
      </c>
      <c r="Q376" s="7">
        <v>25</v>
      </c>
      <c r="R376" s="6">
        <v>0.17107</v>
      </c>
      <c r="S376" s="6">
        <v>54.483342999999998</v>
      </c>
      <c r="T376" s="6">
        <v>46.175333999999999</v>
      </c>
      <c r="U376" s="6">
        <v>39.794730000000001</v>
      </c>
      <c r="V376" s="6">
        <v>34.800446000000001</v>
      </c>
    </row>
    <row r="377" spans="1:22" x14ac:dyDescent="0.35">
      <c r="A377" s="5">
        <v>46022</v>
      </c>
      <c r="B377" s="4" t="s">
        <v>823</v>
      </c>
      <c r="C377" s="4" t="s">
        <v>824</v>
      </c>
      <c r="D377" s="4" t="s">
        <v>61</v>
      </c>
      <c r="E377" s="6">
        <v>3.9306719999999999</v>
      </c>
      <c r="F377" s="6">
        <v>0.25605600000000001</v>
      </c>
      <c r="G377" s="6">
        <v>3.6746150000000002</v>
      </c>
      <c r="H377" s="6">
        <v>0.44118400000000002</v>
      </c>
      <c r="I377" s="6">
        <v>2.1203219999999998</v>
      </c>
      <c r="J377" s="6">
        <v>0.14014199999999999</v>
      </c>
      <c r="K377" s="6">
        <v>-2.2315000000000002E-2</v>
      </c>
      <c r="L377" s="6">
        <v>0.104516</v>
      </c>
      <c r="M377" s="6">
        <v>0</v>
      </c>
      <c r="N377" s="6">
        <v>0.89076500000000003</v>
      </c>
      <c r="O377" s="6">
        <v>0.21427499999999999</v>
      </c>
      <c r="P377" s="6">
        <v>0.67649000000000004</v>
      </c>
      <c r="Q377" s="7">
        <v>25</v>
      </c>
      <c r="R377" s="6">
        <v>0.115867</v>
      </c>
      <c r="S377" s="6">
        <v>6.5822029999999998</v>
      </c>
      <c r="T377" s="6">
        <v>5.6840310000000001</v>
      </c>
      <c r="U377" s="6">
        <v>4.9708969999999999</v>
      </c>
      <c r="V377" s="6">
        <v>4.3968420000000004</v>
      </c>
    </row>
    <row r="378" spans="1:22" x14ac:dyDescent="0.35">
      <c r="A378" s="5">
        <v>46022</v>
      </c>
      <c r="B378" s="4" t="s">
        <v>825</v>
      </c>
      <c r="C378" s="4" t="s">
        <v>826</v>
      </c>
      <c r="D378" s="4" t="s">
        <v>58</v>
      </c>
      <c r="E378" s="6">
        <v>92.284885000000003</v>
      </c>
      <c r="F378" s="6">
        <v>1.9205080000000001</v>
      </c>
      <c r="G378" s="6">
        <v>90.364377000000005</v>
      </c>
      <c r="H378" s="6">
        <v>0</v>
      </c>
      <c r="I378" s="6">
        <v>45.338258000000003</v>
      </c>
      <c r="J378" s="6">
        <v>2.9431090000000002</v>
      </c>
      <c r="K378" s="6">
        <v>-98.649786000000006</v>
      </c>
      <c r="L378" s="6">
        <v>15.86839</v>
      </c>
      <c r="M378" s="6">
        <v>0</v>
      </c>
      <c r="N378" s="6">
        <v>124.864406</v>
      </c>
      <c r="O378" s="6">
        <v>0</v>
      </c>
      <c r="P378" s="6">
        <v>124.864406</v>
      </c>
      <c r="Q378" s="7">
        <v>27</v>
      </c>
      <c r="R378" s="6">
        <v>22.564757</v>
      </c>
      <c r="S378" s="6">
        <v>115.615191</v>
      </c>
      <c r="T378" s="6">
        <v>113.513097</v>
      </c>
      <c r="U378" s="6">
        <v>111.48607699999999</v>
      </c>
      <c r="V378" s="6">
        <v>109.530181</v>
      </c>
    </row>
    <row r="379" spans="1:22" x14ac:dyDescent="0.35">
      <c r="A379" s="5">
        <v>46022</v>
      </c>
      <c r="B379" s="4" t="s">
        <v>827</v>
      </c>
      <c r="C379" s="4" t="s">
        <v>828</v>
      </c>
      <c r="D379" s="4" t="s">
        <v>61</v>
      </c>
      <c r="E379" s="6">
        <v>4.7474540000000003</v>
      </c>
      <c r="F379" s="6">
        <v>0.34011799999999998</v>
      </c>
      <c r="G379" s="6">
        <v>4.4073359999999999</v>
      </c>
      <c r="H379" s="6">
        <v>0.31329499999999999</v>
      </c>
      <c r="I379" s="6">
        <v>1.3843920000000001</v>
      </c>
      <c r="J379" s="6">
        <v>0.144479</v>
      </c>
      <c r="K379" s="6">
        <v>2.4060000000000002E-2</v>
      </c>
      <c r="L379" s="6">
        <v>0.125911</v>
      </c>
      <c r="M379" s="6">
        <v>0</v>
      </c>
      <c r="N379" s="6">
        <v>2.4151989999999999</v>
      </c>
      <c r="O379" s="6">
        <v>0.609815</v>
      </c>
      <c r="P379" s="6">
        <v>1.805385</v>
      </c>
      <c r="Q379" s="7">
        <v>25</v>
      </c>
      <c r="R379" s="6">
        <v>0.125911</v>
      </c>
      <c r="S379" s="6">
        <v>13.764556000000001</v>
      </c>
      <c r="T379" s="6">
        <v>12.443396</v>
      </c>
      <c r="U379" s="6">
        <v>11.310779999999999</v>
      </c>
      <c r="V379" s="6">
        <v>10.334083</v>
      </c>
    </row>
    <row r="380" spans="1:22" x14ac:dyDescent="0.35">
      <c r="A380" s="5">
        <v>46022</v>
      </c>
      <c r="B380" s="4" t="s">
        <v>829</v>
      </c>
      <c r="C380" s="4" t="s">
        <v>830</v>
      </c>
      <c r="D380" s="4" t="s">
        <v>213</v>
      </c>
      <c r="E380" s="6">
        <v>5801.3822499999997</v>
      </c>
      <c r="F380" s="6">
        <v>450.528502</v>
      </c>
      <c r="G380" s="6">
        <v>5350.8537480000005</v>
      </c>
      <c r="H380" s="6">
        <v>281.74116900000001</v>
      </c>
      <c r="I380" s="6">
        <v>2575.0503490000001</v>
      </c>
      <c r="J380" s="6">
        <v>41.256300000000003</v>
      </c>
      <c r="K380" s="6">
        <v>52.404778</v>
      </c>
      <c r="L380" s="6">
        <v>6.6465459999999998</v>
      </c>
      <c r="M380" s="6">
        <v>52.000002000000002</v>
      </c>
      <c r="N380" s="6">
        <v>2341.7546029999999</v>
      </c>
      <c r="O380" s="6">
        <v>630.96468000000004</v>
      </c>
      <c r="P380" s="6">
        <v>1710.789923</v>
      </c>
      <c r="Q380" s="7">
        <v>30</v>
      </c>
      <c r="R380" s="6">
        <v>349.59032999999999</v>
      </c>
      <c r="S380" s="6">
        <v>13404.948016</v>
      </c>
      <c r="T380" s="6">
        <v>12093.733076</v>
      </c>
      <c r="U380" s="6">
        <v>10975.037235</v>
      </c>
      <c r="V380" s="6">
        <v>10014.411904000001</v>
      </c>
    </row>
    <row r="381" spans="1:22" x14ac:dyDescent="0.35">
      <c r="A381" s="5">
        <v>46022</v>
      </c>
      <c r="B381" s="4" t="s">
        <v>831</v>
      </c>
      <c r="C381" s="4" t="s">
        <v>832</v>
      </c>
      <c r="D381" s="4" t="s">
        <v>61</v>
      </c>
      <c r="E381" s="6">
        <v>15.657033999999999</v>
      </c>
      <c r="F381" s="6">
        <v>3.0338050000000001</v>
      </c>
      <c r="G381" s="6">
        <v>12.623229</v>
      </c>
      <c r="H381" s="6">
        <v>0.98196099999999997</v>
      </c>
      <c r="I381" s="6">
        <v>7.3990619999999998</v>
      </c>
      <c r="J381" s="6">
        <v>0.31878200000000001</v>
      </c>
      <c r="K381" s="6">
        <v>-3.1350000000000002E-3</v>
      </c>
      <c r="L381" s="6">
        <v>0.37263200000000002</v>
      </c>
      <c r="M381" s="6">
        <v>0</v>
      </c>
      <c r="N381" s="6">
        <v>3.553928</v>
      </c>
      <c r="O381" s="6">
        <v>0.66500700000000001</v>
      </c>
      <c r="P381" s="6">
        <v>2.8889209999999999</v>
      </c>
      <c r="Q381" s="7">
        <v>25</v>
      </c>
      <c r="R381" s="6">
        <v>0.37263200000000002</v>
      </c>
      <c r="S381" s="6">
        <v>7.0721509999999999</v>
      </c>
      <c r="T381" s="6">
        <v>6.8280180000000001</v>
      </c>
      <c r="U381" s="6">
        <v>6.5979340000000004</v>
      </c>
      <c r="V381" s="6">
        <v>6.3808179999999997</v>
      </c>
    </row>
    <row r="382" spans="1:22" x14ac:dyDescent="0.35">
      <c r="A382" s="5">
        <v>46022</v>
      </c>
      <c r="B382" s="4" t="s">
        <v>833</v>
      </c>
      <c r="C382" s="4" t="s">
        <v>834</v>
      </c>
      <c r="D382" s="4" t="s">
        <v>111</v>
      </c>
      <c r="E382" s="6">
        <v>344.04634600000003</v>
      </c>
      <c r="F382" s="6">
        <v>22.191078999999998</v>
      </c>
      <c r="G382" s="6">
        <v>321.85526700000003</v>
      </c>
      <c r="H382" s="6">
        <v>13.808432</v>
      </c>
      <c r="I382" s="6">
        <v>125.34381999999999</v>
      </c>
      <c r="J382" s="6">
        <v>5.2959259999999997</v>
      </c>
      <c r="K382" s="6">
        <v>15.589480999999999</v>
      </c>
      <c r="L382" s="6">
        <v>9.1061940000000003</v>
      </c>
      <c r="M382" s="6">
        <v>0</v>
      </c>
      <c r="N382" s="6">
        <v>152.71141399999999</v>
      </c>
      <c r="O382" s="6">
        <v>48.681280999999998</v>
      </c>
      <c r="P382" s="6">
        <v>104.030134</v>
      </c>
      <c r="Q382" s="7">
        <v>30</v>
      </c>
      <c r="R382" s="6">
        <v>15.136151999999999</v>
      </c>
      <c r="S382" s="6">
        <v>531.64956800000004</v>
      </c>
      <c r="T382" s="6">
        <v>500.53726399999999</v>
      </c>
      <c r="U382" s="6">
        <v>472.18741899999998</v>
      </c>
      <c r="V382" s="6">
        <v>446.29236100000003</v>
      </c>
    </row>
    <row r="383" spans="1:22" x14ac:dyDescent="0.35">
      <c r="A383" s="5">
        <v>46022</v>
      </c>
      <c r="B383" s="4" t="s">
        <v>835</v>
      </c>
      <c r="C383" s="4" t="s">
        <v>836</v>
      </c>
      <c r="D383" s="4" t="s">
        <v>122</v>
      </c>
      <c r="E383" s="6">
        <v>1999.281776</v>
      </c>
      <c r="F383" s="6">
        <v>176.12717499999999</v>
      </c>
      <c r="G383" s="6">
        <v>1823.154601</v>
      </c>
      <c r="H383" s="6">
        <v>130.49536699999999</v>
      </c>
      <c r="I383" s="6">
        <v>691.63109999999995</v>
      </c>
      <c r="J383" s="6">
        <v>44.581949999999999</v>
      </c>
      <c r="K383" s="6">
        <v>0.69595799999999997</v>
      </c>
      <c r="L383" s="6">
        <v>20.45965</v>
      </c>
      <c r="M383" s="6">
        <v>299.54034999999999</v>
      </c>
      <c r="N383" s="6">
        <v>635.750226</v>
      </c>
      <c r="O383" s="6">
        <v>275.79635400000001</v>
      </c>
      <c r="P383" s="6">
        <v>359.95387099999999</v>
      </c>
      <c r="Q383" s="7">
        <v>35</v>
      </c>
      <c r="R383" s="6">
        <v>168.45660000000001</v>
      </c>
      <c r="S383" s="6">
        <v>4182.7663469999998</v>
      </c>
      <c r="T383" s="6">
        <v>3795.6525729999998</v>
      </c>
      <c r="U383" s="6">
        <v>3459.8797300000001</v>
      </c>
      <c r="V383" s="6">
        <v>3167.2124779999999</v>
      </c>
    </row>
    <row r="384" spans="1:22" x14ac:dyDescent="0.35">
      <c r="A384" s="5">
        <v>46022</v>
      </c>
      <c r="B384" s="4" t="s">
        <v>837</v>
      </c>
      <c r="C384" s="4" t="s">
        <v>838</v>
      </c>
      <c r="D384" s="4" t="s">
        <v>61</v>
      </c>
      <c r="E384" s="6">
        <v>2.2758880000000001</v>
      </c>
      <c r="F384" s="6">
        <v>0.26495299999999999</v>
      </c>
      <c r="G384" s="6">
        <v>2.0109349999999999</v>
      </c>
      <c r="H384" s="6">
        <v>0.35769200000000001</v>
      </c>
      <c r="I384" s="6">
        <v>1.319458</v>
      </c>
      <c r="J384" s="6">
        <v>6.3145000000000007E-2</v>
      </c>
      <c r="K384" s="6">
        <v>-2.6899999999999998E-4</v>
      </c>
      <c r="L384" s="6">
        <v>0.25005300000000003</v>
      </c>
      <c r="M384" s="6">
        <v>0</v>
      </c>
      <c r="N384" s="6">
        <v>2.0856E-2</v>
      </c>
      <c r="O384" s="6">
        <v>6.7659999999999998E-2</v>
      </c>
      <c r="P384" s="6">
        <v>-4.6803999999999998E-2</v>
      </c>
      <c r="Q384" s="7">
        <v>25</v>
      </c>
      <c r="R384" s="6">
        <v>0</v>
      </c>
      <c r="S384" s="6">
        <v>-0.23108799999999999</v>
      </c>
      <c r="T384" s="6">
        <v>-0.21684100000000001</v>
      </c>
      <c r="U384" s="6">
        <v>-0.20393600000000001</v>
      </c>
      <c r="V384" s="6">
        <v>-0.192216</v>
      </c>
    </row>
    <row r="385" spans="1:22" x14ac:dyDescent="0.35">
      <c r="A385" s="5">
        <v>46022</v>
      </c>
      <c r="B385" s="4" t="s">
        <v>839</v>
      </c>
      <c r="C385" s="4" t="s">
        <v>840</v>
      </c>
      <c r="D385" s="4" t="s">
        <v>105</v>
      </c>
      <c r="E385" s="6">
        <v>660.98124299999995</v>
      </c>
      <c r="F385" s="6">
        <v>36.804853000000001</v>
      </c>
      <c r="G385" s="6">
        <v>624.17638999999997</v>
      </c>
      <c r="H385" s="6">
        <v>0</v>
      </c>
      <c r="I385" s="6">
        <v>370.436643</v>
      </c>
      <c r="J385" s="6">
        <v>7.9599089999999997</v>
      </c>
      <c r="K385" s="6">
        <v>4.9067350000000003</v>
      </c>
      <c r="L385" s="6">
        <v>198.860795</v>
      </c>
      <c r="M385" s="6">
        <v>0</v>
      </c>
      <c r="N385" s="6">
        <v>42.012307999999997</v>
      </c>
      <c r="O385" s="6">
        <v>8.1041139999999992</v>
      </c>
      <c r="P385" s="6">
        <v>33.908194000000002</v>
      </c>
      <c r="Q385" s="7">
        <v>27</v>
      </c>
      <c r="R385" s="6">
        <v>215.764602</v>
      </c>
      <c r="S385" s="6">
        <v>8.1112409999999997</v>
      </c>
      <c r="T385" s="6">
        <v>14.829335</v>
      </c>
      <c r="U385" s="6">
        <v>19.733241</v>
      </c>
      <c r="V385" s="6">
        <v>23.290338999999999</v>
      </c>
    </row>
    <row r="386" spans="1:22" x14ac:dyDescent="0.35">
      <c r="A386" s="5">
        <v>46022</v>
      </c>
      <c r="B386" s="4" t="s">
        <v>841</v>
      </c>
      <c r="C386" s="4" t="s">
        <v>842</v>
      </c>
      <c r="D386" s="4" t="s">
        <v>69</v>
      </c>
      <c r="E386" s="6">
        <v>430.445358</v>
      </c>
      <c r="F386" s="6">
        <v>2.2449340000000002</v>
      </c>
      <c r="G386" s="6">
        <v>428.200424</v>
      </c>
      <c r="H386" s="6">
        <v>5.1367390000000004</v>
      </c>
      <c r="I386" s="6">
        <v>239.45622900000001</v>
      </c>
      <c r="J386" s="6">
        <v>24.471606000000001</v>
      </c>
      <c r="K386" s="6">
        <v>3.809247</v>
      </c>
      <c r="L386" s="6">
        <v>53.439844000000001</v>
      </c>
      <c r="M386" s="6">
        <v>0</v>
      </c>
      <c r="N386" s="6">
        <v>101.886759</v>
      </c>
      <c r="O386" s="6">
        <v>20.96481</v>
      </c>
      <c r="P386" s="6">
        <v>80.921948999999998</v>
      </c>
      <c r="Q386" s="7">
        <v>20</v>
      </c>
      <c r="R386" s="6">
        <v>54.311796999999999</v>
      </c>
      <c r="S386" s="6">
        <v>656.41878199999996</v>
      </c>
      <c r="T386" s="6">
        <v>583.84047299999997</v>
      </c>
      <c r="U386" s="6">
        <v>523.28631199999995</v>
      </c>
      <c r="V386" s="6">
        <v>472.35017499999998</v>
      </c>
    </row>
    <row r="387" spans="1:22" x14ac:dyDescent="0.35">
      <c r="A387" s="5">
        <v>46022</v>
      </c>
      <c r="B387" s="4" t="s">
        <v>843</v>
      </c>
      <c r="C387" s="4" t="s">
        <v>844</v>
      </c>
      <c r="D387" s="4" t="s">
        <v>111</v>
      </c>
      <c r="E387" s="6">
        <v>185.74149199999999</v>
      </c>
      <c r="F387" s="6">
        <v>27.57281</v>
      </c>
      <c r="G387" s="6">
        <v>158.16868299999999</v>
      </c>
      <c r="H387" s="6">
        <v>1.2329079999999999</v>
      </c>
      <c r="I387" s="6">
        <v>146.97664499999999</v>
      </c>
      <c r="J387" s="6">
        <v>25.882366000000001</v>
      </c>
      <c r="K387" s="6">
        <v>-10.589482</v>
      </c>
      <c r="L387" s="6">
        <v>12.293812000000001</v>
      </c>
      <c r="M387" s="6">
        <v>0</v>
      </c>
      <c r="N387" s="6">
        <v>-17.627566000000002</v>
      </c>
      <c r="O387" s="6">
        <v>0</v>
      </c>
      <c r="P387" s="6">
        <v>-17.627566000000002</v>
      </c>
      <c r="Q387" s="7">
        <v>30</v>
      </c>
      <c r="R387" s="6">
        <v>25.105689999999999</v>
      </c>
      <c r="S387" s="6">
        <v>-166.46366</v>
      </c>
      <c r="T387" s="6">
        <v>-152.87585000000001</v>
      </c>
      <c r="U387" s="6">
        <v>-140.892585</v>
      </c>
      <c r="V387" s="6">
        <v>-130.28299200000001</v>
      </c>
    </row>
    <row r="388" spans="1:22" x14ac:dyDescent="0.35">
      <c r="A388" s="5">
        <v>46022</v>
      </c>
      <c r="B388" s="4" t="s">
        <v>845</v>
      </c>
      <c r="C388" s="4" t="s">
        <v>846</v>
      </c>
      <c r="D388" s="4" t="s">
        <v>61</v>
      </c>
      <c r="E388" s="6">
        <v>569.98968000000002</v>
      </c>
      <c r="F388" s="6">
        <v>98.244642999999996</v>
      </c>
      <c r="G388" s="6">
        <v>471.74503600000003</v>
      </c>
      <c r="H388" s="6">
        <v>8.1198420000000002</v>
      </c>
      <c r="I388" s="6">
        <v>43.727075999999997</v>
      </c>
      <c r="J388" s="6">
        <v>1.036807</v>
      </c>
      <c r="K388" s="6">
        <v>-0.18138899999999999</v>
      </c>
      <c r="L388" s="6">
        <v>2.5596519999999998</v>
      </c>
      <c r="M388" s="6">
        <v>0</v>
      </c>
      <c r="N388" s="6">
        <v>416.483048</v>
      </c>
      <c r="O388" s="6">
        <v>102.90532399999999</v>
      </c>
      <c r="P388" s="6">
        <v>313.57772399999999</v>
      </c>
      <c r="Q388" s="7">
        <v>25</v>
      </c>
      <c r="R388" s="6">
        <v>7.2400159999999998</v>
      </c>
      <c r="S388" s="6">
        <v>2449.308681</v>
      </c>
      <c r="T388" s="6">
        <v>2204.3724200000001</v>
      </c>
      <c r="U388" s="6">
        <v>1995.905722</v>
      </c>
      <c r="V388" s="6">
        <v>1817.3318589999999</v>
      </c>
    </row>
    <row r="389" spans="1:22" x14ac:dyDescent="0.35">
      <c r="A389" s="5">
        <v>46022</v>
      </c>
      <c r="B389" s="4" t="s">
        <v>847</v>
      </c>
      <c r="C389" s="4" t="s">
        <v>848</v>
      </c>
      <c r="D389" s="4" t="s">
        <v>61</v>
      </c>
      <c r="E389" s="6">
        <v>127.229551</v>
      </c>
      <c r="F389" s="6">
        <v>7.8066269999999998</v>
      </c>
      <c r="G389" s="6">
        <v>119.42292399999999</v>
      </c>
      <c r="H389" s="6">
        <v>6.2644159999999998</v>
      </c>
      <c r="I389" s="6">
        <v>33.187184000000002</v>
      </c>
      <c r="J389" s="6">
        <v>2.853542</v>
      </c>
      <c r="K389" s="6">
        <v>0.4592</v>
      </c>
      <c r="L389" s="6">
        <v>1.825558</v>
      </c>
      <c r="M389" s="6">
        <v>0</v>
      </c>
      <c r="N389" s="6">
        <v>74.833023999999995</v>
      </c>
      <c r="O389" s="6">
        <v>18.499594999999999</v>
      </c>
      <c r="P389" s="6">
        <v>56.333429000000002</v>
      </c>
      <c r="Q389" s="7">
        <v>25</v>
      </c>
      <c r="R389" s="6">
        <v>3.1194009999999999</v>
      </c>
      <c r="S389" s="6">
        <v>1139.4430299999999</v>
      </c>
      <c r="T389" s="6">
        <v>964.39488800000004</v>
      </c>
      <c r="U389" s="6">
        <v>828.85174099999995</v>
      </c>
      <c r="V389" s="6">
        <v>722.00131199999998</v>
      </c>
    </row>
    <row r="390" spans="1:22" x14ac:dyDescent="0.35">
      <c r="A390" s="5">
        <v>46022</v>
      </c>
      <c r="B390" s="4" t="s">
        <v>849</v>
      </c>
      <c r="C390" s="4" t="s">
        <v>850</v>
      </c>
      <c r="D390" s="4" t="s">
        <v>61</v>
      </c>
      <c r="E390" s="6">
        <v>5.1262270000000001</v>
      </c>
      <c r="F390" s="6">
        <v>0.29430899999999999</v>
      </c>
      <c r="G390" s="6">
        <v>4.8319179999999999</v>
      </c>
      <c r="H390" s="6">
        <v>0.29006700000000002</v>
      </c>
      <c r="I390" s="6">
        <v>1.693171</v>
      </c>
      <c r="J390" s="6">
        <v>0.221581</v>
      </c>
      <c r="K390" s="6">
        <v>-2.4750000000000002E-3</v>
      </c>
      <c r="L390" s="6">
        <v>0.22384299999999999</v>
      </c>
      <c r="M390" s="6">
        <v>0</v>
      </c>
      <c r="N390" s="6">
        <v>2.405732</v>
      </c>
      <c r="O390" s="6">
        <v>0.624135</v>
      </c>
      <c r="P390" s="6">
        <v>1.781598</v>
      </c>
      <c r="Q390" s="7">
        <v>25</v>
      </c>
      <c r="R390" s="6">
        <v>0.13056200000000001</v>
      </c>
      <c r="S390" s="6">
        <v>1.6496280000000001</v>
      </c>
      <c r="T390" s="6">
        <v>1.619634</v>
      </c>
      <c r="U390" s="6">
        <v>1.5907119999999999</v>
      </c>
      <c r="V390" s="6">
        <v>1.562805</v>
      </c>
    </row>
    <row r="391" spans="1:22" x14ac:dyDescent="0.35">
      <c r="A391" s="5">
        <v>46022</v>
      </c>
      <c r="B391" s="4" t="s">
        <v>851</v>
      </c>
      <c r="C391" s="4" t="s">
        <v>852</v>
      </c>
      <c r="D391" s="4" t="s">
        <v>61</v>
      </c>
      <c r="E391" s="6">
        <v>100.370778</v>
      </c>
      <c r="F391" s="6">
        <v>4.0342320000000003</v>
      </c>
      <c r="G391" s="6">
        <v>96.336545999999998</v>
      </c>
      <c r="H391" s="6">
        <v>2.0111859999999999</v>
      </c>
      <c r="I391" s="6">
        <v>39.780777</v>
      </c>
      <c r="J391" s="6">
        <v>3.1909809999999998</v>
      </c>
      <c r="K391" s="6">
        <v>-6.8834999999999993E-2</v>
      </c>
      <c r="L391" s="6">
        <v>2.0783870000000002</v>
      </c>
      <c r="M391" s="6">
        <v>0</v>
      </c>
      <c r="N391" s="6">
        <v>49.344048999999998</v>
      </c>
      <c r="O391" s="6">
        <v>12.303350999999999</v>
      </c>
      <c r="P391" s="6">
        <v>37.040698999999996</v>
      </c>
      <c r="Q391" s="7">
        <v>25</v>
      </c>
      <c r="R391" s="6">
        <v>2.140199</v>
      </c>
      <c r="S391" s="6">
        <v>152.38283899999999</v>
      </c>
      <c r="T391" s="6">
        <v>144.54021399999999</v>
      </c>
      <c r="U391" s="6">
        <v>137.322328</v>
      </c>
      <c r="V391" s="6">
        <v>130.66602</v>
      </c>
    </row>
    <row r="392" spans="1:22" x14ac:dyDescent="0.35">
      <c r="A392" s="5">
        <v>46022</v>
      </c>
      <c r="B392" s="4" t="s">
        <v>853</v>
      </c>
      <c r="C392" s="4" t="s">
        <v>854</v>
      </c>
      <c r="D392" s="4" t="s">
        <v>50</v>
      </c>
      <c r="E392" s="6">
        <v>94.647265000000004</v>
      </c>
      <c r="F392" s="6">
        <v>21.529862999999999</v>
      </c>
      <c r="G392" s="6">
        <v>73.117401000000001</v>
      </c>
      <c r="H392" s="6">
        <v>0.79791299999999998</v>
      </c>
      <c r="I392" s="6">
        <v>55.531889</v>
      </c>
      <c r="J392" s="6">
        <v>7.3400860000000003</v>
      </c>
      <c r="K392" s="6">
        <v>-6.4035460000000004</v>
      </c>
      <c r="L392" s="6">
        <v>9.7115539999999996</v>
      </c>
      <c r="M392" s="6">
        <v>0</v>
      </c>
      <c r="N392" s="6">
        <v>6.1395059999999999</v>
      </c>
      <c r="O392" s="6">
        <v>0</v>
      </c>
      <c r="P392" s="6">
        <v>6.1395059999999999</v>
      </c>
      <c r="Q392" s="7">
        <v>27</v>
      </c>
      <c r="R392" s="6">
        <v>18.366457</v>
      </c>
      <c r="S392" s="6">
        <v>22.992242000000001</v>
      </c>
      <c r="T392" s="6">
        <v>21.687906999999999</v>
      </c>
      <c r="U392" s="6">
        <v>20.499272000000001</v>
      </c>
      <c r="V392" s="6">
        <v>19.413408</v>
      </c>
    </row>
    <row r="393" spans="1:22" x14ac:dyDescent="0.35">
      <c r="A393" s="5">
        <v>46022</v>
      </c>
      <c r="B393" s="4" t="s">
        <v>855</v>
      </c>
      <c r="C393" s="4" t="s">
        <v>856</v>
      </c>
      <c r="D393" s="4" t="s">
        <v>61</v>
      </c>
      <c r="E393" s="6">
        <v>48.447192000000001</v>
      </c>
      <c r="F393" s="6">
        <v>2.8410899999999999</v>
      </c>
      <c r="G393" s="6">
        <v>45.606102</v>
      </c>
      <c r="H393" s="6">
        <v>4.6842079999999999</v>
      </c>
      <c r="I393" s="6">
        <v>21.034193999999999</v>
      </c>
      <c r="J393" s="6">
        <v>1.524197</v>
      </c>
      <c r="K393" s="6">
        <v>1.228432</v>
      </c>
      <c r="L393" s="6">
        <v>1.213387</v>
      </c>
      <c r="M393" s="6">
        <v>0</v>
      </c>
      <c r="N393" s="6">
        <v>15.921683</v>
      </c>
      <c r="O393" s="6">
        <v>4.4503969999999997</v>
      </c>
      <c r="P393" s="6">
        <v>11.471285999999999</v>
      </c>
      <c r="Q393" s="7">
        <v>25</v>
      </c>
      <c r="R393" s="6">
        <v>0.56191599999999997</v>
      </c>
      <c r="S393" s="6">
        <v>89.525397999999996</v>
      </c>
      <c r="T393" s="6">
        <v>81.368689000000003</v>
      </c>
      <c r="U393" s="6">
        <v>74.310292000000004</v>
      </c>
      <c r="V393" s="6">
        <v>68.170601000000005</v>
      </c>
    </row>
    <row r="394" spans="1:22" x14ac:dyDescent="0.35">
      <c r="A394" s="5">
        <v>46022</v>
      </c>
      <c r="B394" s="4" t="s">
        <v>857</v>
      </c>
      <c r="C394" s="4" t="s">
        <v>858</v>
      </c>
      <c r="D394" s="4" t="s">
        <v>61</v>
      </c>
      <c r="E394" s="6">
        <v>401.925972</v>
      </c>
      <c r="F394" s="6">
        <v>59.583838</v>
      </c>
      <c r="G394" s="6">
        <v>342.34213399999999</v>
      </c>
      <c r="H394" s="6">
        <v>13.774675999999999</v>
      </c>
      <c r="I394" s="6">
        <v>68.054912999999999</v>
      </c>
      <c r="J394" s="6">
        <v>6.5689820000000001</v>
      </c>
      <c r="K394" s="6">
        <v>-0.26117499999999999</v>
      </c>
      <c r="L394" s="6">
        <v>5.7869609999999998</v>
      </c>
      <c r="M394" s="6">
        <v>0</v>
      </c>
      <c r="N394" s="6">
        <v>248.417777</v>
      </c>
      <c r="O394" s="6">
        <v>62.561684</v>
      </c>
      <c r="P394" s="6">
        <v>185.85609299999999</v>
      </c>
      <c r="Q394" s="7">
        <v>25</v>
      </c>
      <c r="R394" s="6">
        <v>3.6968290000000001</v>
      </c>
      <c r="S394" s="6">
        <v>2018.8578210000001</v>
      </c>
      <c r="T394" s="6">
        <v>1708.868477</v>
      </c>
      <c r="U394" s="6">
        <v>1471.408592</v>
      </c>
      <c r="V394" s="6">
        <v>1285.973563</v>
      </c>
    </row>
    <row r="395" spans="1:22" x14ac:dyDescent="0.35">
      <c r="A395" s="5">
        <v>46022</v>
      </c>
      <c r="B395" s="4" t="s">
        <v>859</v>
      </c>
      <c r="C395" s="4" t="s">
        <v>860</v>
      </c>
      <c r="D395" s="4" t="s">
        <v>61</v>
      </c>
      <c r="E395" s="6">
        <v>90.026066999999998</v>
      </c>
      <c r="F395" s="6">
        <v>5.2473619999999999</v>
      </c>
      <c r="G395" s="6">
        <v>84.778705000000002</v>
      </c>
      <c r="H395" s="6">
        <v>8.5518529999999995</v>
      </c>
      <c r="I395" s="6">
        <v>62.322113999999999</v>
      </c>
      <c r="J395" s="6">
        <v>2.740758</v>
      </c>
      <c r="K395" s="6">
        <v>7.0674650000000003</v>
      </c>
      <c r="L395" s="6">
        <v>5.3541179999999997</v>
      </c>
      <c r="M395" s="6">
        <v>0</v>
      </c>
      <c r="N395" s="6">
        <v>-1.2576039999999999</v>
      </c>
      <c r="O395" s="6">
        <v>0</v>
      </c>
      <c r="P395" s="6">
        <v>-1.2576039999999999</v>
      </c>
      <c r="Q395" s="7">
        <v>25</v>
      </c>
      <c r="R395" s="6">
        <v>1.1704140000000001</v>
      </c>
      <c r="S395" s="6">
        <v>51.400773999999998</v>
      </c>
      <c r="T395" s="6">
        <v>43.599263999999998</v>
      </c>
      <c r="U395" s="6">
        <v>37.433916000000004</v>
      </c>
      <c r="V395" s="6">
        <v>32.493391000000003</v>
      </c>
    </row>
    <row r="396" spans="1:22" x14ac:dyDescent="0.35">
      <c r="A396" s="5">
        <v>46022</v>
      </c>
      <c r="B396" s="4" t="s">
        <v>861</v>
      </c>
      <c r="C396" s="4" t="s">
        <v>862</v>
      </c>
      <c r="D396" s="4" t="s">
        <v>61</v>
      </c>
      <c r="E396" s="6">
        <v>1111.5099279999999</v>
      </c>
      <c r="F396" s="6">
        <v>93.088572999999997</v>
      </c>
      <c r="G396" s="6">
        <v>1018.421354</v>
      </c>
      <c r="H396" s="6">
        <v>44.460324</v>
      </c>
      <c r="I396" s="6">
        <v>170.81277900000001</v>
      </c>
      <c r="J396" s="6">
        <v>14.426824</v>
      </c>
      <c r="K396" s="6">
        <v>-0.44120799999999999</v>
      </c>
      <c r="L396" s="6">
        <v>16.609794000000001</v>
      </c>
      <c r="M396" s="6">
        <v>0</v>
      </c>
      <c r="N396" s="6">
        <v>772.55284099999994</v>
      </c>
      <c r="O396" s="6">
        <v>193.87196299999999</v>
      </c>
      <c r="P396" s="6">
        <v>578.68087800000001</v>
      </c>
      <c r="Q396" s="7">
        <v>25</v>
      </c>
      <c r="R396" s="6">
        <v>13.233574000000001</v>
      </c>
      <c r="S396" s="6">
        <v>5122.7793760000004</v>
      </c>
      <c r="T396" s="6">
        <v>4528.1859089999998</v>
      </c>
      <c r="U396" s="6">
        <v>4036.523792</v>
      </c>
      <c r="V396" s="6">
        <v>3626.3105890000002</v>
      </c>
    </row>
    <row r="397" spans="1:22" x14ac:dyDescent="0.35">
      <c r="A397" s="5">
        <v>46022</v>
      </c>
      <c r="B397" s="4" t="s">
        <v>863</v>
      </c>
      <c r="C397" s="4" t="s">
        <v>864</v>
      </c>
      <c r="D397" s="4" t="s">
        <v>748</v>
      </c>
      <c r="E397" s="6">
        <v>1557.091666</v>
      </c>
      <c r="F397" s="6">
        <v>97.485067000000001</v>
      </c>
      <c r="G397" s="6">
        <v>1459.606599</v>
      </c>
      <c r="H397" s="6">
        <v>201.283658</v>
      </c>
      <c r="I397" s="6">
        <v>351.22692000000001</v>
      </c>
      <c r="J397" s="6">
        <v>42.82508</v>
      </c>
      <c r="K397" s="6">
        <v>83.577057999999994</v>
      </c>
      <c r="L397" s="6">
        <v>122.96075999999999</v>
      </c>
      <c r="M397" s="6">
        <v>0</v>
      </c>
      <c r="N397" s="6">
        <v>657.73312399999998</v>
      </c>
      <c r="O397" s="6">
        <v>142.10128399999999</v>
      </c>
      <c r="P397" s="6">
        <v>515.63184000000001</v>
      </c>
      <c r="Q397" s="7">
        <v>20</v>
      </c>
      <c r="R397" s="6">
        <v>153.76452</v>
      </c>
      <c r="S397" s="6">
        <v>6551.6813540000003</v>
      </c>
      <c r="T397" s="6">
        <v>5539.7576609999996</v>
      </c>
      <c r="U397" s="6">
        <v>4763.6564259999996</v>
      </c>
      <c r="V397" s="6">
        <v>4156.9672460000002</v>
      </c>
    </row>
    <row r="398" spans="1:22" x14ac:dyDescent="0.35">
      <c r="A398" s="5">
        <v>46022</v>
      </c>
      <c r="B398" s="4" t="s">
        <v>865</v>
      </c>
      <c r="C398" s="4" t="s">
        <v>866</v>
      </c>
      <c r="D398" s="4" t="s">
        <v>61</v>
      </c>
      <c r="E398" s="6">
        <v>8.171087</v>
      </c>
      <c r="F398" s="6">
        <v>0.86545899999999998</v>
      </c>
      <c r="G398" s="6">
        <v>7.3056279999999996</v>
      </c>
      <c r="H398" s="6">
        <v>1.3309500000000001</v>
      </c>
      <c r="I398" s="6">
        <v>5.1113460000000002</v>
      </c>
      <c r="J398" s="6">
        <v>8.9724999999999999E-2</v>
      </c>
      <c r="K398" s="6">
        <v>-9.0700000000000004E-4</v>
      </c>
      <c r="L398" s="6">
        <v>0.37536399999999998</v>
      </c>
      <c r="M398" s="6">
        <v>0</v>
      </c>
      <c r="N398" s="6">
        <v>0.39915</v>
      </c>
      <c r="O398" s="6">
        <v>0</v>
      </c>
      <c r="P398" s="6">
        <v>0.39915</v>
      </c>
      <c r="Q398" s="7">
        <v>25</v>
      </c>
      <c r="R398" s="6">
        <v>0.37536399999999998</v>
      </c>
      <c r="S398" s="6">
        <v>2.3040370000000001</v>
      </c>
      <c r="T398" s="6">
        <v>2.140676</v>
      </c>
      <c r="U398" s="6">
        <v>1.9944409999999999</v>
      </c>
      <c r="V398" s="6">
        <v>1.8631599999999999</v>
      </c>
    </row>
    <row r="399" spans="1:22" x14ac:dyDescent="0.35">
      <c r="A399" s="5">
        <v>46022</v>
      </c>
      <c r="B399" s="4" t="s">
        <v>867</v>
      </c>
      <c r="C399" s="4" t="s">
        <v>868</v>
      </c>
      <c r="D399" s="4" t="s">
        <v>61</v>
      </c>
      <c r="E399" s="6">
        <v>461.39405099999999</v>
      </c>
      <c r="F399" s="6">
        <v>41.287278000000001</v>
      </c>
      <c r="G399" s="6">
        <v>420.10677199999998</v>
      </c>
      <c r="H399" s="6">
        <v>44.471572000000002</v>
      </c>
      <c r="I399" s="6">
        <v>177.516096</v>
      </c>
      <c r="J399" s="6">
        <v>32.815904000000003</v>
      </c>
      <c r="K399" s="6">
        <v>-17.446660000000001</v>
      </c>
      <c r="L399" s="6">
        <v>32.141599999999997</v>
      </c>
      <c r="M399" s="6">
        <v>0</v>
      </c>
      <c r="N399" s="6">
        <v>150.60826</v>
      </c>
      <c r="O399" s="6">
        <v>29.581752000000002</v>
      </c>
      <c r="P399" s="6">
        <v>121.02650800000001</v>
      </c>
      <c r="Q399" s="7">
        <v>25</v>
      </c>
      <c r="R399" s="6">
        <v>46.976191999999998</v>
      </c>
      <c r="S399" s="6">
        <v>749.62989400000004</v>
      </c>
      <c r="T399" s="6">
        <v>683.63727900000004</v>
      </c>
      <c r="U399" s="6">
        <v>626.43271800000002</v>
      </c>
      <c r="V399" s="6">
        <v>576.58830899999998</v>
      </c>
    </row>
    <row r="400" spans="1:22" x14ac:dyDescent="0.35">
      <c r="A400" s="5">
        <v>46022</v>
      </c>
      <c r="B400" s="4" t="s">
        <v>869</v>
      </c>
      <c r="C400" s="4" t="s">
        <v>870</v>
      </c>
      <c r="D400" s="4" t="s">
        <v>61</v>
      </c>
      <c r="E400" s="6">
        <v>195.97709</v>
      </c>
      <c r="F400" s="6">
        <v>0</v>
      </c>
      <c r="G400" s="6">
        <v>195.97709</v>
      </c>
      <c r="H400" s="6">
        <v>11.624478</v>
      </c>
      <c r="I400" s="6">
        <v>266.96127999999999</v>
      </c>
      <c r="J400" s="6">
        <v>8.5774880000000007</v>
      </c>
      <c r="K400" s="6">
        <v>-2.3078630000000002</v>
      </c>
      <c r="L400" s="6">
        <v>8.4012480000000007</v>
      </c>
      <c r="M400" s="6">
        <v>0</v>
      </c>
      <c r="N400" s="6">
        <v>-97.279539999999997</v>
      </c>
      <c r="O400" s="6">
        <v>0</v>
      </c>
      <c r="P400" s="6">
        <v>-97.279539999999997</v>
      </c>
      <c r="Q400" s="7">
        <v>25</v>
      </c>
      <c r="R400" s="6">
        <v>12.278736</v>
      </c>
      <c r="S400" s="6">
        <v>-891.58399499999996</v>
      </c>
      <c r="T400" s="6">
        <v>-785.93490199999997</v>
      </c>
      <c r="U400" s="6">
        <v>-698.95753300000001</v>
      </c>
      <c r="V400" s="6">
        <v>-626.671378</v>
      </c>
    </row>
    <row r="401" spans="1:22" x14ac:dyDescent="0.35">
      <c r="A401" s="5">
        <v>46022</v>
      </c>
      <c r="B401" s="4" t="s">
        <v>871</v>
      </c>
      <c r="C401" s="4" t="s">
        <v>872</v>
      </c>
      <c r="D401" s="4" t="s">
        <v>102</v>
      </c>
      <c r="E401" s="6">
        <v>177.731437</v>
      </c>
      <c r="F401" s="6">
        <v>28.339154000000001</v>
      </c>
      <c r="G401" s="6">
        <v>149.39228299999999</v>
      </c>
      <c r="H401" s="6">
        <v>0</v>
      </c>
      <c r="I401" s="6">
        <v>69.875778999999994</v>
      </c>
      <c r="J401" s="6">
        <v>2.5734520000000001</v>
      </c>
      <c r="K401" s="6">
        <v>-22.914784999999998</v>
      </c>
      <c r="L401" s="6">
        <v>39.686616000000001</v>
      </c>
      <c r="M401" s="6">
        <v>0</v>
      </c>
      <c r="N401" s="6">
        <v>60.171221000000003</v>
      </c>
      <c r="O401" s="6">
        <v>7.2624550000000001</v>
      </c>
      <c r="P401" s="6">
        <v>52.908766</v>
      </c>
      <c r="Q401" s="7">
        <v>20.6</v>
      </c>
      <c r="R401" s="6">
        <v>41.688417000000001</v>
      </c>
      <c r="S401" s="6">
        <v>310.936736</v>
      </c>
      <c r="T401" s="6">
        <v>290.53262000000001</v>
      </c>
      <c r="U401" s="6">
        <v>272.16237999999998</v>
      </c>
      <c r="V401" s="6">
        <v>255.571707</v>
      </c>
    </row>
  </sheetData>
  <mergeCells count="23">
    <mergeCell ref="T6:T9"/>
    <mergeCell ref="U6:U9"/>
    <mergeCell ref="V6:V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50"/>
  <sheetViews>
    <sheetView topLeftCell="E3" zoomScale="60" zoomScaleNormal="60" workbookViewId="0">
      <selection activeCell="G10" sqref="G10"/>
    </sheetView>
  </sheetViews>
  <sheetFormatPr defaultRowHeight="14.5" x14ac:dyDescent="0.35"/>
  <cols>
    <col min="1" max="2" width="48.54296875" customWidth="1"/>
    <col min="3" max="3" width="16.1796875" customWidth="1"/>
    <col min="4" max="4" width="48.54296875" customWidth="1"/>
    <col min="5" max="5" width="18.54296875" customWidth="1"/>
    <col min="6" max="6" width="16.1796875" customWidth="1"/>
    <col min="7" max="7" width="41.453125" style="10" customWidth="1"/>
    <col min="8" max="8" width="13.453125" customWidth="1"/>
    <col min="9" max="9" width="13.1796875" customWidth="1"/>
    <col min="10" max="10" width="21.26953125" style="10" customWidth="1"/>
    <col min="11" max="11" width="17.1796875" style="10" customWidth="1"/>
    <col min="12" max="13" width="13.1796875" style="10" customWidth="1"/>
    <col min="14" max="14" width="17.81640625" style="10" customWidth="1"/>
    <col min="15" max="15" width="28.1796875" customWidth="1"/>
    <col min="16" max="16" width="20.453125" customWidth="1"/>
    <col min="17" max="17" width="25" customWidth="1"/>
    <col min="18" max="18" width="32.7265625" style="10" customWidth="1"/>
    <col min="19" max="19" width="16.81640625" customWidth="1"/>
  </cols>
  <sheetData>
    <row r="1" spans="1:23" ht="40" customHeight="1" x14ac:dyDescent="0.35">
      <c r="A1" s="17"/>
      <c r="B1" s="17"/>
      <c r="C1" s="17"/>
      <c r="D1" s="17"/>
    </row>
    <row r="2" spans="1:23" ht="30" customHeight="1" x14ac:dyDescent="0.45">
      <c r="A2" s="1" t="s">
        <v>1178</v>
      </c>
      <c r="B2" s="2"/>
      <c r="C2" s="2"/>
      <c r="D2" s="2"/>
      <c r="E2" s="2"/>
      <c r="F2" s="2"/>
      <c r="G2" s="11"/>
      <c r="H2" s="2"/>
      <c r="I2" s="2"/>
      <c r="J2" s="11"/>
      <c r="K2" s="11"/>
      <c r="L2" s="11"/>
    </row>
    <row r="3" spans="1:23" x14ac:dyDescent="0.35">
      <c r="A3" s="3" t="s">
        <v>0</v>
      </c>
    </row>
    <row r="4" spans="1:23" x14ac:dyDescent="0.35">
      <c r="A4" s="3" t="s">
        <v>1</v>
      </c>
    </row>
    <row r="5" spans="1:23" x14ac:dyDescent="0.35">
      <c r="A5" s="4"/>
    </row>
    <row r="6" spans="1:23" x14ac:dyDescent="0.35">
      <c r="A6" s="18" t="s">
        <v>2</v>
      </c>
      <c r="B6" s="18" t="s">
        <v>3</v>
      </c>
      <c r="C6" s="18" t="s">
        <v>4</v>
      </c>
      <c r="D6" s="18" t="s">
        <v>936</v>
      </c>
      <c r="E6" s="19" t="s">
        <v>937</v>
      </c>
      <c r="F6" s="19" t="s">
        <v>938</v>
      </c>
      <c r="G6" s="18" t="s">
        <v>1179</v>
      </c>
      <c r="H6" s="18" t="s">
        <v>1180</v>
      </c>
      <c r="I6" s="18" t="s">
        <v>1181</v>
      </c>
      <c r="J6" s="18" t="s">
        <v>1182</v>
      </c>
      <c r="K6" s="18" t="s">
        <v>1183</v>
      </c>
      <c r="L6" s="18" t="s">
        <v>1205</v>
      </c>
      <c r="M6" s="18" t="s">
        <v>1206</v>
      </c>
      <c r="N6" s="18" t="s">
        <v>1207</v>
      </c>
      <c r="O6" s="18" t="s">
        <v>1208</v>
      </c>
      <c r="P6" s="18" t="s">
        <v>1209</v>
      </c>
      <c r="Q6" s="18" t="s">
        <v>1210</v>
      </c>
      <c r="R6" s="18" t="s">
        <v>1211</v>
      </c>
      <c r="S6" s="18" t="s">
        <v>1212</v>
      </c>
      <c r="W6" s="10"/>
    </row>
    <row r="7" spans="1:23" x14ac:dyDescent="0.35">
      <c r="A7" s="18"/>
      <c r="B7" s="18"/>
      <c r="C7" s="18"/>
      <c r="D7" s="18"/>
      <c r="E7" s="19"/>
      <c r="F7" s="19"/>
      <c r="G7" s="20"/>
      <c r="H7" s="18"/>
      <c r="I7" s="18"/>
      <c r="J7" s="18"/>
      <c r="K7" s="18"/>
      <c r="L7" s="18"/>
      <c r="M7" s="18"/>
      <c r="N7" s="18"/>
      <c r="O7" s="18"/>
      <c r="P7" s="18"/>
      <c r="Q7" s="18"/>
      <c r="R7" s="18"/>
      <c r="S7" s="18"/>
      <c r="W7" s="10"/>
    </row>
    <row r="8" spans="1:23" x14ac:dyDescent="0.35">
      <c r="A8" s="18"/>
      <c r="B8" s="18"/>
      <c r="C8" s="18"/>
      <c r="D8" s="18"/>
      <c r="E8" s="19"/>
      <c r="F8" s="19"/>
      <c r="G8" s="20"/>
      <c r="H8" s="18"/>
      <c r="I8" s="18"/>
      <c r="J8" s="18"/>
      <c r="K8" s="18"/>
      <c r="L8" s="18"/>
      <c r="M8" s="18"/>
      <c r="N8" s="18"/>
      <c r="O8" s="18"/>
      <c r="P8" s="18"/>
      <c r="Q8" s="18"/>
      <c r="R8" s="18"/>
      <c r="S8" s="18"/>
      <c r="W8" s="10"/>
    </row>
    <row r="9" spans="1:23" x14ac:dyDescent="0.35">
      <c r="A9" s="18"/>
      <c r="B9" s="18"/>
      <c r="C9" s="18"/>
      <c r="D9" s="18"/>
      <c r="E9" s="19"/>
      <c r="F9" s="19"/>
      <c r="G9" s="20"/>
      <c r="H9" s="18"/>
      <c r="I9" s="18"/>
      <c r="J9" s="18"/>
      <c r="K9" s="18"/>
      <c r="L9" s="18"/>
      <c r="M9" s="18"/>
      <c r="N9" s="18"/>
      <c r="O9" s="18"/>
      <c r="P9" s="18"/>
      <c r="Q9" s="18"/>
      <c r="R9" s="18"/>
      <c r="S9" s="18"/>
      <c r="W9" s="10"/>
    </row>
    <row r="10" spans="1:23" x14ac:dyDescent="0.35">
      <c r="A10" s="5">
        <v>46022</v>
      </c>
      <c r="B10" s="4" t="s">
        <v>178</v>
      </c>
      <c r="C10" s="4" t="s">
        <v>179</v>
      </c>
      <c r="D10" s="4" t="s">
        <v>939</v>
      </c>
      <c r="E10" s="8">
        <v>4348654</v>
      </c>
      <c r="F10" s="7">
        <v>100</v>
      </c>
      <c r="G10" s="12" t="str">
        <f>[1]!SNLData("243327", $C10, "OWNER_LIST")</f>
        <v>Boliden AB (publ)  100%</v>
      </c>
      <c r="H10" s="9">
        <f>[1]!SNLData("243327", C10, "OWNER_SNL_INSTN_KEY", "Owner 1")</f>
        <v>4348654</v>
      </c>
      <c r="I10" s="9" t="str">
        <f>[1]!SNLData("243327", C10, "OWNER_SNL_INSTN_KEY", "Owner 2")</f>
        <v>NA</v>
      </c>
      <c r="J10" s="12" t="str">
        <f>_xll.SNL.Clients.Office.Excel.Functions.SPG(H10, "SP_ULT_PARENT_COMPANY_NAME")</f>
        <v/>
      </c>
      <c r="K10" s="12" t="str">
        <f>_xll.SNL.Clients.Office.Excel.Functions.SPG(H10, "SP_ULT_PARENT_COUNTRY")</f>
        <v/>
      </c>
      <c r="L10" s="12" t="str">
        <f>_xll.SNL.Clients.Office.Excel.Functions.SPG(H10, "SP_PARENT_COMPANY_NAME")</f>
        <v/>
      </c>
      <c r="M10" s="12" t="str">
        <f>_xll.SNL.Clients.Office.Excel.Functions.SPG(H10, "SP_PARENT_COUNTRY")</f>
        <v/>
      </c>
      <c r="N10" s="12" t="str">
        <f>_xll.SNL.Clients.Office.Excel.Functions.SPG(H10, "SP_COUNTRY_NAME")</f>
        <v>Sweden</v>
      </c>
      <c r="O10" s="12" t="str">
        <f>_xll.SNL.Clients.Office.Excel.Functions.SPG(I10, "SP_ULT_PARENT_COMPANY_NAME")</f>
        <v/>
      </c>
      <c r="P10" s="12" t="str">
        <f>_xll.SNL.Clients.Office.Excel.Functions.SPG(I10, "SP_ULT_PARENT_COUNTRY")</f>
        <v/>
      </c>
      <c r="Q10" s="12" t="str">
        <f>_xll.SNL.Clients.Office.Excel.Functions.SPG(I10, "SP_PARENT_COMPANY_NAME")</f>
        <v/>
      </c>
      <c r="R10" s="12" t="str">
        <f>_xll.SNL.Clients.Office.Excel.Functions.SPG(I10, "SP_PARENT_COUNTRY")</f>
        <v/>
      </c>
      <c r="S10" s="12" t="str">
        <f>_xll.SNL.Clients.Office.Excel.Functions.SPG(I10, "SP_COUNTRY_NAME")</f>
        <v>China</v>
      </c>
    </row>
    <row r="11" spans="1:23" ht="29" x14ac:dyDescent="0.35">
      <c r="A11" s="5">
        <v>46022</v>
      </c>
      <c r="B11" s="4" t="s">
        <v>180</v>
      </c>
      <c r="C11" s="4" t="s">
        <v>181</v>
      </c>
      <c r="D11" s="4" t="s">
        <v>940</v>
      </c>
      <c r="E11" s="8">
        <v>4199214</v>
      </c>
      <c r="F11" s="7">
        <v>100</v>
      </c>
      <c r="G11" s="12" t="str">
        <f>[1]!SNLData("243327", C11, "OWNER_LIST")</f>
        <v>KAZ Minerals Limited  100%</v>
      </c>
      <c r="H11" s="9">
        <f>[1]!SNLData("243327", C11, "OWNER_SNL_INSTN_KEY", "Owner 1")</f>
        <v>4199214</v>
      </c>
      <c r="I11" s="9" t="str">
        <f>[1]!SNLData("243327", C11, "OWNER_SNL_INSTN_KEY", "Owner 2")</f>
        <v>NA</v>
      </c>
      <c r="J11" s="12" t="str">
        <f>_xll.SNL.Clients.Office.Excel.Functions.SPG(H11, "SP_ULT_PARENT_COMPANY_NAME")</f>
        <v>Trianon Limited</v>
      </c>
      <c r="K11" s="12" t="str">
        <f>_xll.SNL.Clients.Office.Excel.Functions.SPG(H11, "SP_ULT_PARENT_COUNTRY")</f>
        <v>Kazakhstan</v>
      </c>
      <c r="L11" s="12" t="str">
        <f>_xll.SNL.Clients.Office.Excel.Functions.SPG(H11, "SP_PARENT_COMPANY_NAME")</f>
        <v>Nova Resources B.V.</v>
      </c>
      <c r="M11" s="12" t="str">
        <f>_xll.SNL.Clients.Office.Excel.Functions.SPG(H11, "SP_PARENT_COUNTRY")</f>
        <v>Netherlands</v>
      </c>
      <c r="N11" s="12" t="str">
        <f>_xll.SNL.Clients.Office.Excel.Functions.SPG(H11, "SP_COUNTRY_NAME")</f>
        <v>United Kingdom</v>
      </c>
      <c r="O11" s="12" t="str">
        <f>_xll.SNL.Clients.Office.Excel.Functions.SPG(I11, "SP_ULT_PARENT_COMPANY_NAME")</f>
        <v/>
      </c>
      <c r="P11" s="12" t="str">
        <f>_xll.SNL.Clients.Office.Excel.Functions.SPG(I11, "SP_ULT_PARENT_COUNTRY")</f>
        <v/>
      </c>
      <c r="Q11" s="12" t="str">
        <f>_xll.SNL.Clients.Office.Excel.Functions.SPG(I11, "SP_PARENT_COMPANY_NAME")</f>
        <v/>
      </c>
      <c r="R11" s="12" t="str">
        <f>_xll.SNL.Clients.Office.Excel.Functions.SPG(I11, "SP_PARENT_COUNTRY")</f>
        <v/>
      </c>
      <c r="S11" s="12" t="str">
        <f>_xll.SNL.Clients.Office.Excel.Functions.SPG(I11, "SP_COUNTRY_NAME")</f>
        <v>China</v>
      </c>
    </row>
    <row r="12" spans="1:23" ht="29" x14ac:dyDescent="0.35">
      <c r="A12" s="5">
        <v>46022</v>
      </c>
      <c r="B12" s="4" t="s">
        <v>67</v>
      </c>
      <c r="C12" s="4" t="s">
        <v>68</v>
      </c>
      <c r="D12" s="4" t="s">
        <v>940</v>
      </c>
      <c r="E12" s="8">
        <v>4199214</v>
      </c>
      <c r="F12" s="7">
        <v>100</v>
      </c>
      <c r="G12" s="12" t="str">
        <f>[1]!SNLData("243327", C12, "OWNER_LIST")</f>
        <v>KAZ Minerals Limited  100%</v>
      </c>
      <c r="H12" s="9">
        <f>[1]!SNLData("243327", C12, "OWNER_SNL_INSTN_KEY", "Owner 1")</f>
        <v>4199214</v>
      </c>
      <c r="I12" s="9" t="str">
        <f>[1]!SNLData("243327", C12, "OWNER_SNL_INSTN_KEY", "Owner 2")</f>
        <v>NA</v>
      </c>
      <c r="J12" s="12" t="str">
        <f>_xll.SNL.Clients.Office.Excel.Functions.SPG(H12, "SP_ULT_PARENT_COMPANY_NAME")</f>
        <v>Trianon Limited</v>
      </c>
      <c r="K12" s="12" t="str">
        <f>_xll.SNL.Clients.Office.Excel.Functions.SPG(H12, "SP_ULT_PARENT_COUNTRY")</f>
        <v>Kazakhstan</v>
      </c>
      <c r="L12" s="12" t="str">
        <f>_xll.SNL.Clients.Office.Excel.Functions.SPG(H12, "SP_PARENT_COMPANY_NAME")</f>
        <v>Nova Resources B.V.</v>
      </c>
      <c r="M12" s="12" t="str">
        <f>_xll.SNL.Clients.Office.Excel.Functions.SPG(H12, "SP_PARENT_COUNTRY")</f>
        <v>Netherlands</v>
      </c>
      <c r="N12" s="12" t="str">
        <f>_xll.SNL.Clients.Office.Excel.Functions.SPG(H12, "SP_COUNTRY_NAME")</f>
        <v>United Kingdom</v>
      </c>
      <c r="O12" s="12" t="str">
        <f>_xll.SNL.Clients.Office.Excel.Functions.SPG(I12, "SP_ULT_PARENT_COMPANY_NAME")</f>
        <v/>
      </c>
      <c r="P12" s="12" t="str">
        <f>_xll.SNL.Clients.Office.Excel.Functions.SPG(I12, "SP_ULT_PARENT_COUNTRY")</f>
        <v/>
      </c>
      <c r="Q12" s="12" t="str">
        <f>_xll.SNL.Clients.Office.Excel.Functions.SPG(I12, "SP_PARENT_COMPANY_NAME")</f>
        <v/>
      </c>
      <c r="R12" s="12" t="str">
        <f>_xll.SNL.Clients.Office.Excel.Functions.SPG(I12, "SP_PARENT_COUNTRY")</f>
        <v/>
      </c>
      <c r="S12" s="12" t="str">
        <f>_xll.SNL.Clients.Office.Excel.Functions.SPG(I12, "SP_COUNTRY_NAME")</f>
        <v>China</v>
      </c>
    </row>
    <row r="13" spans="1:23" ht="58" x14ac:dyDescent="0.35">
      <c r="A13" s="5">
        <v>46022</v>
      </c>
      <c r="B13" s="4" t="s">
        <v>70</v>
      </c>
      <c r="C13" s="4" t="s">
        <v>71</v>
      </c>
      <c r="D13" s="4" t="s">
        <v>941</v>
      </c>
      <c r="E13" s="8">
        <v>4355482</v>
      </c>
      <c r="F13" s="7">
        <v>100</v>
      </c>
      <c r="G13" s="12" t="str">
        <f>[1]!SNLData("243327", C13, "OWNER_LIST")</f>
        <v>Xinjiang Xinxin Mining Industry Co., Ltd.  100%</v>
      </c>
      <c r="H13" s="9">
        <f>[1]!SNLData("243327", C13, "OWNER_SNL_INSTN_KEY", "Owner 1")</f>
        <v>4355482</v>
      </c>
      <c r="I13" s="9" t="str">
        <f>[1]!SNLData("243327", C13, "OWNER_SNL_INSTN_KEY", "Owner 2")</f>
        <v>NA</v>
      </c>
      <c r="J13" s="12" t="str">
        <f>_xll.SNL.Clients.Office.Excel.Functions.SPG(H13, "SP_ULT_PARENT_COMPANY_NAME")</f>
        <v>Xinjiang NonFerrous Metal Industry (Group) Co.Ltd</v>
      </c>
      <c r="K13" s="12" t="str">
        <f>_xll.SNL.Clients.Office.Excel.Functions.SPG(H13, "SP_ULT_PARENT_COUNTRY")</f>
        <v>China</v>
      </c>
      <c r="L13" s="12" t="str">
        <f>_xll.SNL.Clients.Office.Excel.Functions.SPG(H13, "SP_PARENT_COMPANY_NAME")</f>
        <v>Xinjiang NonFerrous Metal Industry (Group) Co.Ltd</v>
      </c>
      <c r="M13" s="12" t="str">
        <f>_xll.SNL.Clients.Office.Excel.Functions.SPG(H13, "SP_PARENT_COUNTRY")</f>
        <v>China</v>
      </c>
      <c r="N13" s="12" t="str">
        <f>_xll.SNL.Clients.Office.Excel.Functions.SPG(H13, "SP_COUNTRY_NAME")</f>
        <v>China</v>
      </c>
      <c r="O13" s="12" t="str">
        <f>_xll.SNL.Clients.Office.Excel.Functions.SPG(I13, "SP_ULT_PARENT_COMPANY_NAME")</f>
        <v/>
      </c>
      <c r="P13" s="12" t="str">
        <f>_xll.SNL.Clients.Office.Excel.Functions.SPG(I13, "SP_ULT_PARENT_COUNTRY")</f>
        <v/>
      </c>
      <c r="Q13" s="12" t="str">
        <f>_xll.SNL.Clients.Office.Excel.Functions.SPG(I13, "SP_PARENT_COMPANY_NAME")</f>
        <v/>
      </c>
      <c r="R13" s="12" t="str">
        <f>_xll.SNL.Clients.Office.Excel.Functions.SPG(I13, "SP_PARENT_COUNTRY")</f>
        <v/>
      </c>
      <c r="S13" s="12" t="str">
        <f>_xll.SNL.Clients.Office.Excel.Functions.SPG(I13, "SP_COUNTRY_NAME")</f>
        <v>China</v>
      </c>
    </row>
    <row r="14" spans="1:23" x14ac:dyDescent="0.35">
      <c r="A14" s="5">
        <v>46022</v>
      </c>
      <c r="B14" s="4" t="s">
        <v>72</v>
      </c>
      <c r="C14" s="4" t="s">
        <v>73</v>
      </c>
      <c r="D14" s="4" t="s">
        <v>942</v>
      </c>
      <c r="E14" s="8">
        <v>4360795</v>
      </c>
      <c r="F14" s="7">
        <v>100</v>
      </c>
      <c r="G14" s="12" t="str">
        <f>[1]!SNLData("243327", C14, "OWNER_LIST")</f>
        <v>I'M - SGPS, SA  100%</v>
      </c>
      <c r="H14" s="9">
        <f>[1]!SNLData("243327", C14, "OWNER_SNL_INSTN_KEY", "Owner 1")</f>
        <v>4360795</v>
      </c>
      <c r="I14" s="9" t="str">
        <f>[1]!SNLData("243327", C14, "OWNER_SNL_INSTN_KEY", "Owner 2")</f>
        <v>NA</v>
      </c>
      <c r="J14" s="12" t="str">
        <f>_xll.SNL.Clients.Office.Excel.Functions.SPG(H14, "SP_ULT_PARENT_COMPANY_NAME")</f>
        <v/>
      </c>
      <c r="K14" s="12" t="str">
        <f>_xll.SNL.Clients.Office.Excel.Functions.SPG(H14, "SP_ULT_PARENT_COUNTRY")</f>
        <v/>
      </c>
      <c r="L14" s="12" t="str">
        <f>_xll.SNL.Clients.Office.Excel.Functions.SPG(H14, "SP_PARENT_COMPANY_NAME")</f>
        <v/>
      </c>
      <c r="M14" s="12" t="str">
        <f>_xll.SNL.Clients.Office.Excel.Functions.SPG(H14, "SP_PARENT_COUNTRY")</f>
        <v/>
      </c>
      <c r="N14" s="12" t="str">
        <f>_xll.SNL.Clients.Office.Excel.Functions.SPG(H14, "SP_COUNTRY_NAME")</f>
        <v>Portugal</v>
      </c>
      <c r="O14" s="12" t="str">
        <f>_xll.SNL.Clients.Office.Excel.Functions.SPG(I14, "SP_ULT_PARENT_COMPANY_NAME")</f>
        <v/>
      </c>
      <c r="P14" s="12" t="str">
        <f>_xll.SNL.Clients.Office.Excel.Functions.SPG(I14, "SP_ULT_PARENT_COUNTRY")</f>
        <v/>
      </c>
      <c r="Q14" s="12" t="str">
        <f>_xll.SNL.Clients.Office.Excel.Functions.SPG(I14, "SP_PARENT_COMPANY_NAME")</f>
        <v/>
      </c>
      <c r="R14" s="12" t="str">
        <f>_xll.SNL.Clients.Office.Excel.Functions.SPG(I14, "SP_PARENT_COUNTRY")</f>
        <v/>
      </c>
      <c r="S14" s="12" t="str">
        <f>_xll.SNL.Clients.Office.Excel.Functions.SPG(I14, "SP_COUNTRY_NAME")</f>
        <v>China</v>
      </c>
    </row>
    <row r="15" spans="1:23" x14ac:dyDescent="0.35">
      <c r="A15" s="5">
        <v>46022</v>
      </c>
      <c r="B15" s="4" t="s">
        <v>164</v>
      </c>
      <c r="C15" s="4" t="s">
        <v>165</v>
      </c>
      <c r="D15" s="4" t="s">
        <v>943</v>
      </c>
      <c r="E15" s="8">
        <v>4348055</v>
      </c>
      <c r="F15" s="7">
        <v>100</v>
      </c>
      <c r="G15" s="12" t="str">
        <f>[1]!SNLData("243327", C15, "OWNER_LIST")</f>
        <v>Valterra Platinum Limited  100%</v>
      </c>
      <c r="H15" s="9">
        <f>[1]!SNLData("243327", C15, "OWNER_SNL_INSTN_KEY", "Owner 1")</f>
        <v>4348055</v>
      </c>
      <c r="I15" s="9" t="str">
        <f>[1]!SNLData("243327", C15, "OWNER_SNL_INSTN_KEY", "Owner 2")</f>
        <v>NA</v>
      </c>
      <c r="J15" s="12" t="str">
        <f>_xll.SNL.Clients.Office.Excel.Functions.SPG(H15, "SP_ULT_PARENT_COMPANY_NAME")</f>
        <v/>
      </c>
      <c r="K15" s="12" t="str">
        <f>_xll.SNL.Clients.Office.Excel.Functions.SPG(H15, "SP_ULT_PARENT_COUNTRY")</f>
        <v/>
      </c>
      <c r="L15" s="12" t="str">
        <f>_xll.SNL.Clients.Office.Excel.Functions.SPG(H15, "SP_PARENT_COMPANY_NAME")</f>
        <v/>
      </c>
      <c r="M15" s="12" t="str">
        <f>_xll.SNL.Clients.Office.Excel.Functions.SPG(H15, "SP_PARENT_COUNTRY")</f>
        <v/>
      </c>
      <c r="N15" s="12" t="str">
        <f>_xll.SNL.Clients.Office.Excel.Functions.SPG(H15, "SP_COUNTRY_NAME")</f>
        <v>South Africa</v>
      </c>
      <c r="O15" s="12" t="str">
        <f>_xll.SNL.Clients.Office.Excel.Functions.SPG(I15, "SP_ULT_PARENT_COMPANY_NAME")</f>
        <v/>
      </c>
      <c r="P15" s="12" t="str">
        <f>_xll.SNL.Clients.Office.Excel.Functions.SPG(I15, "SP_ULT_PARENT_COUNTRY")</f>
        <v/>
      </c>
      <c r="Q15" s="12" t="str">
        <f>_xll.SNL.Clients.Office.Excel.Functions.SPG(I15, "SP_PARENT_COMPANY_NAME")</f>
        <v/>
      </c>
      <c r="R15" s="12" t="str">
        <f>_xll.SNL.Clients.Office.Excel.Functions.SPG(I15, "SP_PARENT_COUNTRY")</f>
        <v/>
      </c>
      <c r="S15" s="12" t="str">
        <f>_xll.SNL.Clients.Office.Excel.Functions.SPG(I15, "SP_COUNTRY_NAME")</f>
        <v>China</v>
      </c>
    </row>
    <row r="16" spans="1:23" ht="29" x14ac:dyDescent="0.35">
      <c r="A16" s="5">
        <v>46022</v>
      </c>
      <c r="B16" s="4" t="s">
        <v>166</v>
      </c>
      <c r="C16" s="4" t="s">
        <v>167</v>
      </c>
      <c r="D16" s="4" t="s">
        <v>944</v>
      </c>
      <c r="E16" s="8">
        <v>10930027</v>
      </c>
      <c r="F16" s="7">
        <v>100</v>
      </c>
      <c r="G16" s="12" t="str">
        <f>[1]!SNLData("243327", C16, "OWNER_LIST")</f>
        <v>Siziwangqi Amawusu Mining Co., Ltd.Siziwangqi Amawusu Mining Co., Ltd.  100%</v>
      </c>
      <c r="H16" s="9">
        <f>[1]!SNLData("243327", C16, "OWNER_SNL_INSTN_KEY", "Owner 1")</f>
        <v>10930027</v>
      </c>
      <c r="I16" s="9" t="str">
        <f>[1]!SNLData("243327", C16, "OWNER_SNL_INSTN_KEY", "Owner 2")</f>
        <v>NA</v>
      </c>
      <c r="J16" s="12" t="str">
        <f>_xll.SNL.Clients.Office.Excel.Functions.SPG(H16, "SP_ULT_PARENT_COMPANY_NAME")</f>
        <v/>
      </c>
      <c r="K16" s="12" t="str">
        <f>_xll.SNL.Clients.Office.Excel.Functions.SPG(H16, "SP_ULT_PARENT_COUNTRY")</f>
        <v/>
      </c>
      <c r="L16" s="12" t="str">
        <f>_xll.SNL.Clients.Office.Excel.Functions.SPG(H16, "SP_PARENT_COMPANY_NAME")</f>
        <v/>
      </c>
      <c r="M16" s="12" t="str">
        <f>_xll.SNL.Clients.Office.Excel.Functions.SPG(H16, "SP_PARENT_COUNTRY")</f>
        <v/>
      </c>
      <c r="N16" s="12" t="str">
        <f>_xll.SNL.Clients.Office.Excel.Functions.SPG(H16, "SP_COUNTRY_NAME")</f>
        <v>China</v>
      </c>
      <c r="O16" s="12" t="str">
        <f>_xll.SNL.Clients.Office.Excel.Functions.SPG(I16, "SP_ULT_PARENT_COMPANY_NAME")</f>
        <v/>
      </c>
      <c r="P16" s="12" t="str">
        <f>_xll.SNL.Clients.Office.Excel.Functions.SPG(I16, "SP_ULT_PARENT_COUNTRY")</f>
        <v/>
      </c>
      <c r="Q16" s="12" t="str">
        <f>_xll.SNL.Clients.Office.Excel.Functions.SPG(I16, "SP_PARENT_COMPANY_NAME")</f>
        <v/>
      </c>
      <c r="R16" s="12" t="str">
        <f>_xll.SNL.Clients.Office.Excel.Functions.SPG(I16, "SP_PARENT_COUNTRY")</f>
        <v/>
      </c>
      <c r="S16" s="12" t="str">
        <f>_xll.SNL.Clients.Office.Excel.Functions.SPG(I16, "SP_COUNTRY_NAME")</f>
        <v>China</v>
      </c>
    </row>
    <row r="17" spans="1:19" x14ac:dyDescent="0.35">
      <c r="A17" s="5">
        <v>46022</v>
      </c>
      <c r="B17" s="4" t="s">
        <v>168</v>
      </c>
      <c r="C17" s="4" t="s">
        <v>169</v>
      </c>
      <c r="D17" s="4" t="s">
        <v>945</v>
      </c>
      <c r="E17" s="8">
        <v>4349314</v>
      </c>
      <c r="F17" s="7">
        <v>100</v>
      </c>
      <c r="G17" s="12" t="str">
        <f>[1]!SNLData("243327", C17, "OWNER_LIST")</f>
        <v>Corporación Nacional del Cobre de Chile  100%</v>
      </c>
      <c r="H17" s="9">
        <f>[1]!SNLData("243327", C17, "OWNER_SNL_INSTN_KEY", "Owner 1")</f>
        <v>4349314</v>
      </c>
      <c r="I17" s="9" t="str">
        <f>[1]!SNLData("243327", C17, "OWNER_SNL_INSTN_KEY", "Owner 2")</f>
        <v>NA</v>
      </c>
      <c r="J17" s="12" t="str">
        <f>_xll.SNL.Clients.Office.Excel.Functions.SPG(H17, "SP_ULT_PARENT_COMPANY_NAME")</f>
        <v>Chile</v>
      </c>
      <c r="K17" s="12" t="str">
        <f>_xll.SNL.Clients.Office.Excel.Functions.SPG(H17, "SP_ULT_PARENT_COUNTRY")</f>
        <v>Chile</v>
      </c>
      <c r="L17" s="12" t="str">
        <f>_xll.SNL.Clients.Office.Excel.Functions.SPG(H17, "SP_PARENT_COMPANY_NAME")</f>
        <v>Chile</v>
      </c>
      <c r="M17" s="12" t="str">
        <f>_xll.SNL.Clients.Office.Excel.Functions.SPG(H17, "SP_PARENT_COUNTRY")</f>
        <v>Chile</v>
      </c>
      <c r="N17" s="12" t="str">
        <f>_xll.SNL.Clients.Office.Excel.Functions.SPG(H17, "SP_COUNTRY_NAME")</f>
        <v>Chile</v>
      </c>
      <c r="O17" s="12" t="str">
        <f>_xll.SNL.Clients.Office.Excel.Functions.SPG(I17, "SP_ULT_PARENT_COMPANY_NAME")</f>
        <v/>
      </c>
      <c r="P17" s="12" t="str">
        <f>_xll.SNL.Clients.Office.Excel.Functions.SPG(I17, "SP_ULT_PARENT_COUNTRY")</f>
        <v/>
      </c>
      <c r="Q17" s="12" t="str">
        <f>_xll.SNL.Clients.Office.Excel.Functions.SPG(I17, "SP_PARENT_COMPANY_NAME")</f>
        <v/>
      </c>
      <c r="R17" s="12" t="str">
        <f>_xll.SNL.Clients.Office.Excel.Functions.SPG(I17, "SP_PARENT_COUNTRY")</f>
        <v/>
      </c>
      <c r="S17" s="12" t="str">
        <f>_xll.SNL.Clients.Office.Excel.Functions.SPG(I17, "SP_COUNTRY_NAME")</f>
        <v>China</v>
      </c>
    </row>
    <row r="18" spans="1:19" ht="43.5" x14ac:dyDescent="0.35">
      <c r="A18" s="5">
        <v>46022</v>
      </c>
      <c r="B18" s="4" t="s">
        <v>75</v>
      </c>
      <c r="C18" s="4" t="s">
        <v>76</v>
      </c>
      <c r="D18" s="4" t="s">
        <v>946</v>
      </c>
      <c r="E18" s="8">
        <v>4354915</v>
      </c>
      <c r="F18" s="7">
        <v>100</v>
      </c>
      <c r="G18" s="12" t="str">
        <f>[1]!SNLData("243327", C18, "OWNER_LIST")</f>
        <v>Tongdu Copper Works (Optionee) 100%; Tongling Nonferrous Metals Group Co.,Ltd. (Optionor) %</v>
      </c>
      <c r="H18" s="9">
        <f>[1]!SNLData("243327", C18, "OWNER_SNL_INSTN_KEY", "Owner 1")</f>
        <v>4354915</v>
      </c>
      <c r="I18" s="9">
        <f>[1]!SNLData("243327", C18, "OWNER_SNL_INSTN_KEY", "Owner 2")</f>
        <v>4314727</v>
      </c>
      <c r="J18" s="12" t="str">
        <f>_xll.SNL.Clients.Office.Excel.Functions.SPG(H18, "SP_ULT_PARENT_COMPANY_NAME")</f>
        <v/>
      </c>
      <c r="K18" s="12" t="str">
        <f>_xll.SNL.Clients.Office.Excel.Functions.SPG(H18, "SP_ULT_PARENT_COUNTRY")</f>
        <v/>
      </c>
      <c r="L18" s="12" t="str">
        <f>_xll.SNL.Clients.Office.Excel.Functions.SPG(H18, "SP_PARENT_COMPANY_NAME")</f>
        <v/>
      </c>
      <c r="M18" s="12" t="str">
        <f>_xll.SNL.Clients.Office.Excel.Functions.SPG(H18, "SP_PARENT_COUNTRY")</f>
        <v/>
      </c>
      <c r="N18" s="12" t="str">
        <f>_xll.SNL.Clients.Office.Excel.Functions.SPG(H18, "SP_COUNTRY_NAME")</f>
        <v>China</v>
      </c>
      <c r="O18" s="12" t="str">
        <f>_xll.SNL.Clients.Office.Excel.Functions.SPG(I18, "SP_ULT_PARENT_COMPANY_NAME")</f>
        <v/>
      </c>
      <c r="P18" s="12" t="str">
        <f>_xll.SNL.Clients.Office.Excel.Functions.SPG(I18, "SP_ULT_PARENT_COUNTRY")</f>
        <v/>
      </c>
      <c r="Q18" s="12" t="str">
        <f>_xll.SNL.Clients.Office.Excel.Functions.SPG(I18, "SP_PARENT_COMPANY_NAME")</f>
        <v/>
      </c>
      <c r="R18" s="12" t="str">
        <f>_xll.SNL.Clients.Office.Excel.Functions.SPG(I18, "SP_PARENT_COUNTRY")</f>
        <v/>
      </c>
      <c r="S18" s="12" t="str">
        <f>_xll.SNL.Clients.Office.Excel.Functions.SPG(I18, "SP_COUNTRY_NAME")</f>
        <v>China</v>
      </c>
    </row>
    <row r="19" spans="1:19" ht="58" x14ac:dyDescent="0.35">
      <c r="A19" s="5">
        <v>46022</v>
      </c>
      <c r="B19" s="4" t="s">
        <v>48</v>
      </c>
      <c r="C19" s="4" t="s">
        <v>49</v>
      </c>
      <c r="D19" s="4" t="s">
        <v>947</v>
      </c>
      <c r="E19" s="8">
        <v>4121840</v>
      </c>
      <c r="F19" s="7">
        <v>33.75</v>
      </c>
      <c r="G19" s="12" t="str">
        <f>[1]!SNLData("243327", C19, "OWNER_LIST")</f>
        <v>BHP Group Limited (Venturer) 33.75%; Teck Resources Limited (Venturer) 22.5%; Mitsubishi Corporation (Venturer) 10%; Glencore plc (Venturer) 33.75%</v>
      </c>
      <c r="H19" s="9">
        <f>[1]!SNLData("243327", C19, "OWNER_SNL_INSTN_KEY", "Owner 1")</f>
        <v>4113732</v>
      </c>
      <c r="I19" s="9">
        <f>[1]!SNLData("243327", C19, "OWNER_SNL_INSTN_KEY", "Owner 2")</f>
        <v>4121840</v>
      </c>
      <c r="J19" s="12" t="str">
        <f>_xll.SNL.Clients.Office.Excel.Functions.SPG(H19, "SP_ULT_PARENT_COMPANY_NAME")</f>
        <v/>
      </c>
      <c r="K19" s="12" t="str">
        <f>_xll.SNL.Clients.Office.Excel.Functions.SPG(H19, "SP_ULT_PARENT_COUNTRY")</f>
        <v/>
      </c>
      <c r="L19" s="12" t="str">
        <f>_xll.SNL.Clients.Office.Excel.Functions.SPG(H19, "SP_PARENT_COMPANY_NAME")</f>
        <v/>
      </c>
      <c r="M19" s="12" t="str">
        <f>_xll.SNL.Clients.Office.Excel.Functions.SPG(H19, "SP_PARENT_COUNTRY")</f>
        <v/>
      </c>
      <c r="N19" s="12" t="str">
        <f>_xll.SNL.Clients.Office.Excel.Functions.SPG(H19, "SP_COUNTRY_NAME")</f>
        <v>Switzerland</v>
      </c>
      <c r="O19" s="12" t="str">
        <f>_xll.SNL.Clients.Office.Excel.Functions.SPG(I19, "SP_ULT_PARENT_COMPANY_NAME")</f>
        <v/>
      </c>
      <c r="P19" s="12" t="str">
        <f>_xll.SNL.Clients.Office.Excel.Functions.SPG(I19, "SP_ULT_PARENT_COUNTRY")</f>
        <v/>
      </c>
      <c r="Q19" s="12" t="str">
        <f>_xll.SNL.Clients.Office.Excel.Functions.SPG(I19, "SP_PARENT_COMPANY_NAME")</f>
        <v/>
      </c>
      <c r="R19" s="12" t="str">
        <f>_xll.SNL.Clients.Office.Excel.Functions.SPG(I19, "SP_PARENT_COUNTRY")</f>
        <v/>
      </c>
      <c r="S19" s="12" t="str">
        <f>_xll.SNL.Clients.Office.Excel.Functions.SPG(I19, "SP_COUNTRY_NAME")</f>
        <v>Australia</v>
      </c>
    </row>
    <row r="20" spans="1:19" ht="58" x14ac:dyDescent="0.35">
      <c r="A20" s="5">
        <v>46022</v>
      </c>
      <c r="B20" s="4" t="s">
        <v>48</v>
      </c>
      <c r="C20" s="4" t="s">
        <v>49</v>
      </c>
      <c r="D20" s="4" t="s">
        <v>948</v>
      </c>
      <c r="E20" s="8">
        <v>4113732</v>
      </c>
      <c r="F20" s="7">
        <v>33.75</v>
      </c>
      <c r="G20" s="12" t="str">
        <f>[1]!SNLData("243327", C20, "OWNER_LIST")</f>
        <v>BHP Group Limited (Venturer) 33.75%; Teck Resources Limited (Venturer) 22.5%; Mitsubishi Corporation (Venturer) 10%; Glencore plc (Venturer) 33.75%</v>
      </c>
      <c r="H20" s="9">
        <f>[1]!SNLData("243327", C20, "OWNER_SNL_INSTN_KEY", "Owner 1")</f>
        <v>4113732</v>
      </c>
      <c r="I20" s="9">
        <f>[1]!SNLData("243327", C20, "OWNER_SNL_INSTN_KEY", "Owner 2")</f>
        <v>4121840</v>
      </c>
      <c r="J20" s="12" t="str">
        <f>_xll.SNL.Clients.Office.Excel.Functions.SPG(H20, "SP_ULT_PARENT_COMPANY_NAME")</f>
        <v/>
      </c>
      <c r="K20" s="12" t="str">
        <f>_xll.SNL.Clients.Office.Excel.Functions.SPG(H20, "SP_ULT_PARENT_COUNTRY")</f>
        <v/>
      </c>
      <c r="L20" s="12" t="str">
        <f>_xll.SNL.Clients.Office.Excel.Functions.SPG(H20, "SP_PARENT_COMPANY_NAME")</f>
        <v/>
      </c>
      <c r="M20" s="12" t="str">
        <f>_xll.SNL.Clients.Office.Excel.Functions.SPG(H20, "SP_PARENT_COUNTRY")</f>
        <v/>
      </c>
      <c r="N20" s="12" t="str">
        <f>_xll.SNL.Clients.Office.Excel.Functions.SPG(H20, "SP_COUNTRY_NAME")</f>
        <v>Switzerland</v>
      </c>
      <c r="O20" s="12" t="str">
        <f>_xll.SNL.Clients.Office.Excel.Functions.SPG(I20, "SP_ULT_PARENT_COMPANY_NAME")</f>
        <v/>
      </c>
      <c r="P20" s="12" t="str">
        <f>_xll.SNL.Clients.Office.Excel.Functions.SPG(I20, "SP_ULT_PARENT_COUNTRY")</f>
        <v/>
      </c>
      <c r="Q20" s="12" t="str">
        <f>_xll.SNL.Clients.Office.Excel.Functions.SPG(I20, "SP_PARENT_COMPANY_NAME")</f>
        <v/>
      </c>
      <c r="R20" s="12" t="str">
        <f>_xll.SNL.Clients.Office.Excel.Functions.SPG(I20, "SP_PARENT_COUNTRY")</f>
        <v/>
      </c>
      <c r="S20" s="12" t="str">
        <f>_xll.SNL.Clients.Office.Excel.Functions.SPG(I20, "SP_COUNTRY_NAME")</f>
        <v>Australia</v>
      </c>
    </row>
    <row r="21" spans="1:19" ht="58" x14ac:dyDescent="0.35">
      <c r="A21" s="5">
        <v>46022</v>
      </c>
      <c r="B21" s="4" t="s">
        <v>48</v>
      </c>
      <c r="C21" s="4" t="s">
        <v>49</v>
      </c>
      <c r="D21" s="4" t="s">
        <v>949</v>
      </c>
      <c r="E21" s="8">
        <v>4065098</v>
      </c>
      <c r="F21" s="7">
        <v>10</v>
      </c>
      <c r="G21" s="12" t="str">
        <f>[1]!SNLData("243327", C21, "OWNER_LIST")</f>
        <v>BHP Group Limited (Venturer) 33.75%; Teck Resources Limited (Venturer) 22.5%; Mitsubishi Corporation (Venturer) 10%; Glencore plc (Venturer) 33.75%</v>
      </c>
      <c r="H21" s="9">
        <f>[1]!SNLData("243327", C21, "OWNER_SNL_INSTN_KEY", "Owner 1")</f>
        <v>4113732</v>
      </c>
      <c r="I21" s="9">
        <f>[1]!SNLData("243327", C21, "OWNER_SNL_INSTN_KEY", "Owner 2")</f>
        <v>4121840</v>
      </c>
      <c r="J21" s="12" t="str">
        <f>_xll.SNL.Clients.Office.Excel.Functions.SPG(H21, "SP_ULT_PARENT_COMPANY_NAME")</f>
        <v/>
      </c>
      <c r="K21" s="12" t="str">
        <f>_xll.SNL.Clients.Office.Excel.Functions.SPG(H21, "SP_ULT_PARENT_COUNTRY")</f>
        <v/>
      </c>
      <c r="L21" s="12" t="str">
        <f>_xll.SNL.Clients.Office.Excel.Functions.SPG(H21, "SP_PARENT_COMPANY_NAME")</f>
        <v/>
      </c>
      <c r="M21" s="12" t="str">
        <f>_xll.SNL.Clients.Office.Excel.Functions.SPG(H21, "SP_PARENT_COUNTRY")</f>
        <v/>
      </c>
      <c r="N21" s="12" t="str">
        <f>_xll.SNL.Clients.Office.Excel.Functions.SPG(H21, "SP_COUNTRY_NAME")</f>
        <v>Switzerland</v>
      </c>
      <c r="O21" s="12" t="str">
        <f>_xll.SNL.Clients.Office.Excel.Functions.SPG(I21, "SP_ULT_PARENT_COMPANY_NAME")</f>
        <v/>
      </c>
      <c r="P21" s="12" t="str">
        <f>_xll.SNL.Clients.Office.Excel.Functions.SPG(I21, "SP_ULT_PARENT_COUNTRY")</f>
        <v/>
      </c>
      <c r="Q21" s="12" t="str">
        <f>_xll.SNL.Clients.Office.Excel.Functions.SPG(I21, "SP_PARENT_COMPANY_NAME")</f>
        <v/>
      </c>
      <c r="R21" s="12" t="str">
        <f>_xll.SNL.Clients.Office.Excel.Functions.SPG(I21, "SP_PARENT_COUNTRY")</f>
        <v/>
      </c>
      <c r="S21" s="12" t="str">
        <f>_xll.SNL.Clients.Office.Excel.Functions.SPG(I21, "SP_COUNTRY_NAME")</f>
        <v>Australia</v>
      </c>
    </row>
    <row r="22" spans="1:19" ht="58" x14ac:dyDescent="0.35">
      <c r="A22" s="5">
        <v>46022</v>
      </c>
      <c r="B22" s="4" t="s">
        <v>48</v>
      </c>
      <c r="C22" s="4" t="s">
        <v>49</v>
      </c>
      <c r="D22" s="4" t="s">
        <v>950</v>
      </c>
      <c r="E22" s="8">
        <v>4141965</v>
      </c>
      <c r="F22" s="7">
        <v>22.5</v>
      </c>
      <c r="G22" s="12" t="str">
        <f>[1]!SNLData("243327", C22, "OWNER_LIST")</f>
        <v>BHP Group Limited (Venturer) 33.75%; Teck Resources Limited (Venturer) 22.5%; Mitsubishi Corporation (Venturer) 10%; Glencore plc (Venturer) 33.75%</v>
      </c>
      <c r="H22" s="9">
        <f>[1]!SNLData("243327", C22, "OWNER_SNL_INSTN_KEY", "Owner 1")</f>
        <v>4113732</v>
      </c>
      <c r="I22" s="9">
        <f>[1]!SNLData("243327", C22, "OWNER_SNL_INSTN_KEY", "Owner 2")</f>
        <v>4121840</v>
      </c>
      <c r="J22" s="12" t="str">
        <f>_xll.SNL.Clients.Office.Excel.Functions.SPG(H22, "SP_ULT_PARENT_COMPANY_NAME")</f>
        <v/>
      </c>
      <c r="K22" s="12" t="str">
        <f>_xll.SNL.Clients.Office.Excel.Functions.SPG(H22, "SP_ULT_PARENT_COUNTRY")</f>
        <v/>
      </c>
      <c r="L22" s="12" t="str">
        <f>_xll.SNL.Clients.Office.Excel.Functions.SPG(H22, "SP_PARENT_COMPANY_NAME")</f>
        <v/>
      </c>
      <c r="M22" s="12" t="str">
        <f>_xll.SNL.Clients.Office.Excel.Functions.SPG(H22, "SP_PARENT_COUNTRY")</f>
        <v/>
      </c>
      <c r="N22" s="12" t="str">
        <f>_xll.SNL.Clients.Office.Excel.Functions.SPG(H22, "SP_COUNTRY_NAME")</f>
        <v>Switzerland</v>
      </c>
      <c r="O22" s="12" t="str">
        <f>_xll.SNL.Clients.Office.Excel.Functions.SPG(I22, "SP_ULT_PARENT_COMPANY_NAME")</f>
        <v/>
      </c>
      <c r="P22" s="12" t="str">
        <f>_xll.SNL.Clients.Office.Excel.Functions.SPG(I22, "SP_ULT_PARENT_COUNTRY")</f>
        <v/>
      </c>
      <c r="Q22" s="12" t="str">
        <f>_xll.SNL.Clients.Office.Excel.Functions.SPG(I22, "SP_PARENT_COMPANY_NAME")</f>
        <v/>
      </c>
      <c r="R22" s="12" t="str">
        <f>_xll.SNL.Clients.Office.Excel.Functions.SPG(I22, "SP_PARENT_COUNTRY")</f>
        <v/>
      </c>
      <c r="S22" s="12" t="str">
        <f>_xll.SNL.Clients.Office.Excel.Functions.SPG(I22, "SP_COUNTRY_NAME")</f>
        <v>Australia</v>
      </c>
    </row>
    <row r="23" spans="1:19" x14ac:dyDescent="0.35">
      <c r="A23" s="5">
        <v>46022</v>
      </c>
      <c r="B23" s="4" t="s">
        <v>51</v>
      </c>
      <c r="C23" s="4" t="s">
        <v>52</v>
      </c>
      <c r="D23" s="4" t="s">
        <v>948</v>
      </c>
      <c r="E23" s="8">
        <v>4113732</v>
      </c>
      <c r="F23" s="7">
        <v>100</v>
      </c>
      <c r="G23" s="12" t="str">
        <f>[1]!SNLData("243327", C23, "OWNER_LIST")</f>
        <v>Glencore plc  100%</v>
      </c>
      <c r="H23" s="9">
        <f>[1]!SNLData("243327", C23, "OWNER_SNL_INSTN_KEY", "Owner 1")</f>
        <v>4113732</v>
      </c>
      <c r="I23" s="9" t="str">
        <f>[1]!SNLData("243327", C23, "OWNER_SNL_INSTN_KEY", "Owner 2")</f>
        <v>NA</v>
      </c>
      <c r="J23" s="12" t="str">
        <f>_xll.SNL.Clients.Office.Excel.Functions.SPG(H23, "SP_ULT_PARENT_COMPANY_NAME")</f>
        <v/>
      </c>
      <c r="K23" s="12" t="str">
        <f>_xll.SNL.Clients.Office.Excel.Functions.SPG(H23, "SP_ULT_PARENT_COUNTRY")</f>
        <v/>
      </c>
      <c r="L23" s="12" t="str">
        <f>_xll.SNL.Clients.Office.Excel.Functions.SPG(H23, "SP_PARENT_COMPANY_NAME")</f>
        <v/>
      </c>
      <c r="M23" s="12" t="str">
        <f>_xll.SNL.Clients.Office.Excel.Functions.SPG(H23, "SP_PARENT_COUNTRY")</f>
        <v/>
      </c>
      <c r="N23" s="12" t="str">
        <f>_xll.SNL.Clients.Office.Excel.Functions.SPG(H23, "SP_COUNTRY_NAME")</f>
        <v>Switzerland</v>
      </c>
      <c r="O23" s="12" t="str">
        <f>_xll.SNL.Clients.Office.Excel.Functions.SPG(I23, "SP_ULT_PARENT_COMPANY_NAME")</f>
        <v/>
      </c>
      <c r="P23" s="12" t="str">
        <f>_xll.SNL.Clients.Office.Excel.Functions.SPG(I23, "SP_ULT_PARENT_COUNTRY")</f>
        <v/>
      </c>
      <c r="Q23" s="12" t="str">
        <f>_xll.SNL.Clients.Office.Excel.Functions.SPG(I23, "SP_PARENT_COMPANY_NAME")</f>
        <v/>
      </c>
      <c r="R23" s="12" t="str">
        <f>_xll.SNL.Clients.Office.Excel.Functions.SPG(I23, "SP_PARENT_COUNTRY")</f>
        <v/>
      </c>
      <c r="S23" s="12" t="str">
        <f>_xll.SNL.Clients.Office.Excel.Functions.SPG(I23, "SP_COUNTRY_NAME")</f>
        <v>China</v>
      </c>
    </row>
    <row r="24" spans="1:19" x14ac:dyDescent="0.35">
      <c r="A24" s="5">
        <v>46022</v>
      </c>
      <c r="B24" s="4" t="s">
        <v>53</v>
      </c>
      <c r="C24" s="4" t="s">
        <v>54</v>
      </c>
      <c r="D24" s="4" t="s">
        <v>947</v>
      </c>
      <c r="E24" s="8">
        <v>4121840</v>
      </c>
      <c r="F24" s="7">
        <v>100</v>
      </c>
      <c r="G24" s="12" t="str">
        <f>[1]!SNLData("243327", C24, "OWNER_LIST")</f>
        <v>BHP Group Limited  100%</v>
      </c>
      <c r="H24" s="9">
        <f>[1]!SNLData("243327", C24, "OWNER_SNL_INSTN_KEY", "Owner 1")</f>
        <v>4121840</v>
      </c>
      <c r="I24" s="9" t="str">
        <f>[1]!SNLData("243327", C24, "OWNER_SNL_INSTN_KEY", "Owner 2")</f>
        <v>NA</v>
      </c>
      <c r="J24" s="12" t="str">
        <f>_xll.SNL.Clients.Office.Excel.Functions.SPG(H24, "SP_ULT_PARENT_COMPANY_NAME")</f>
        <v/>
      </c>
      <c r="K24" s="12" t="str">
        <f>_xll.SNL.Clients.Office.Excel.Functions.SPG(H24, "SP_ULT_PARENT_COUNTRY")</f>
        <v/>
      </c>
      <c r="L24" s="12" t="str">
        <f>_xll.SNL.Clients.Office.Excel.Functions.SPG(H24, "SP_PARENT_COMPANY_NAME")</f>
        <v/>
      </c>
      <c r="M24" s="12" t="str">
        <f>_xll.SNL.Clients.Office.Excel.Functions.SPG(H24, "SP_PARENT_COUNTRY")</f>
        <v/>
      </c>
      <c r="N24" s="12" t="str">
        <f>_xll.SNL.Clients.Office.Excel.Functions.SPG(H24, "SP_COUNTRY_NAME")</f>
        <v>Australia</v>
      </c>
      <c r="O24" s="12" t="str">
        <f>_xll.SNL.Clients.Office.Excel.Functions.SPG(I24, "SP_ULT_PARENT_COMPANY_NAME")</f>
        <v/>
      </c>
      <c r="P24" s="12" t="str">
        <f>_xll.SNL.Clients.Office.Excel.Functions.SPG(I24, "SP_ULT_PARENT_COUNTRY")</f>
        <v/>
      </c>
      <c r="Q24" s="12" t="str">
        <f>_xll.SNL.Clients.Office.Excel.Functions.SPG(I24, "SP_PARENT_COMPANY_NAME")</f>
        <v/>
      </c>
      <c r="R24" s="12" t="str">
        <f>_xll.SNL.Clients.Office.Excel.Functions.SPG(I24, "SP_PARENT_COUNTRY")</f>
        <v/>
      </c>
      <c r="S24" s="12" t="str">
        <f>_xll.SNL.Clients.Office.Excel.Functions.SPG(I24, "SP_COUNTRY_NAME")</f>
        <v>China</v>
      </c>
    </row>
    <row r="25" spans="1:19" ht="29" x14ac:dyDescent="0.35">
      <c r="A25" s="5">
        <v>46022</v>
      </c>
      <c r="B25" s="4" t="s">
        <v>56</v>
      </c>
      <c r="C25" s="4" t="s">
        <v>57</v>
      </c>
      <c r="D25" s="4" t="s">
        <v>951</v>
      </c>
      <c r="E25" s="8">
        <v>4348083</v>
      </c>
      <c r="F25" s="7">
        <v>70</v>
      </c>
      <c r="G25" s="12" t="str">
        <f>[1]!SNLData("243327", C25, "OWNER_LIST")</f>
        <v>Marubeni Corporation (Venturer) 30%; Antofagasta plc (Venturer) 70%</v>
      </c>
      <c r="H25" s="9">
        <f>[1]!SNLData("243327", C25, "OWNER_SNL_INSTN_KEY", "Owner 1")</f>
        <v>4348083</v>
      </c>
      <c r="I25" s="9">
        <f>[1]!SNLData("243327", C25, "OWNER_SNL_INSTN_KEY", "Owner 2")</f>
        <v>4041871</v>
      </c>
      <c r="J25" s="12" t="str">
        <f>_xll.SNL.Clients.Office.Excel.Functions.SPG(H25, "SP_ULT_PARENT_COMPANY_NAME")</f>
        <v>E. Abaroa Foundation</v>
      </c>
      <c r="K25" s="12" t="str">
        <f>_xll.SNL.Clients.Office.Excel.Functions.SPG(H25, "SP_ULT_PARENT_COUNTRY")</f>
        <v>Liechtenstein</v>
      </c>
      <c r="L25" s="12" t="str">
        <f>_xll.SNL.Clients.Office.Excel.Functions.SPG(H25, "SP_PARENT_COMPANY_NAME")</f>
        <v>Metalinvest Anstalt</v>
      </c>
      <c r="M25" s="12" t="str">
        <f>_xll.SNL.Clients.Office.Excel.Functions.SPG(H25, "SP_PARENT_COUNTRY")</f>
        <v>Liechtenstein</v>
      </c>
      <c r="N25" s="12" t="str">
        <f>_xll.SNL.Clients.Office.Excel.Functions.SPG(H25, "SP_COUNTRY_NAME")</f>
        <v>United Kingdom</v>
      </c>
      <c r="O25" s="12" t="str">
        <f>_xll.SNL.Clients.Office.Excel.Functions.SPG(I25, "SP_ULT_PARENT_COMPANY_NAME")</f>
        <v/>
      </c>
      <c r="P25" s="12" t="str">
        <f>_xll.SNL.Clients.Office.Excel.Functions.SPG(I25, "SP_ULT_PARENT_COUNTRY")</f>
        <v/>
      </c>
      <c r="Q25" s="12" t="str">
        <f>_xll.SNL.Clients.Office.Excel.Functions.SPG(I25, "SP_PARENT_COMPANY_NAME")</f>
        <v/>
      </c>
      <c r="R25" s="12" t="str">
        <f>_xll.SNL.Clients.Office.Excel.Functions.SPG(I25, "SP_PARENT_COUNTRY")</f>
        <v/>
      </c>
      <c r="S25" s="12" t="str">
        <f>_xll.SNL.Clients.Office.Excel.Functions.SPG(I25, "SP_COUNTRY_NAME")</f>
        <v>Japan</v>
      </c>
    </row>
    <row r="26" spans="1:19" ht="29" x14ac:dyDescent="0.35">
      <c r="A26" s="5">
        <v>46022</v>
      </c>
      <c r="B26" s="4" t="s">
        <v>56</v>
      </c>
      <c r="C26" s="4" t="s">
        <v>57</v>
      </c>
      <c r="D26" s="4" t="s">
        <v>952</v>
      </c>
      <c r="E26" s="8">
        <v>4041871</v>
      </c>
      <c r="F26" s="7">
        <v>30</v>
      </c>
      <c r="G26" s="12" t="str">
        <f>[1]!SNLData("243327", C26, "OWNER_LIST")</f>
        <v>Marubeni Corporation (Venturer) 30%; Antofagasta plc (Venturer) 70%</v>
      </c>
      <c r="H26" s="9">
        <f>[1]!SNLData("243327", C26, "OWNER_SNL_INSTN_KEY", "Owner 1")</f>
        <v>4348083</v>
      </c>
      <c r="I26" s="9">
        <f>[1]!SNLData("243327", C26, "OWNER_SNL_INSTN_KEY", "Owner 2")</f>
        <v>4041871</v>
      </c>
      <c r="J26" s="12" t="str">
        <f>_xll.SNL.Clients.Office.Excel.Functions.SPG(H26, "SP_ULT_PARENT_COMPANY_NAME")</f>
        <v>E. Abaroa Foundation</v>
      </c>
      <c r="K26" s="12" t="str">
        <f>_xll.SNL.Clients.Office.Excel.Functions.SPG(H26, "SP_ULT_PARENT_COUNTRY")</f>
        <v>Liechtenstein</v>
      </c>
      <c r="L26" s="12" t="str">
        <f>_xll.SNL.Clients.Office.Excel.Functions.SPG(H26, "SP_PARENT_COMPANY_NAME")</f>
        <v>Metalinvest Anstalt</v>
      </c>
      <c r="M26" s="12" t="str">
        <f>_xll.SNL.Clients.Office.Excel.Functions.SPG(H26, "SP_PARENT_COUNTRY")</f>
        <v>Liechtenstein</v>
      </c>
      <c r="N26" s="12" t="str">
        <f>_xll.SNL.Clients.Office.Excel.Functions.SPG(H26, "SP_COUNTRY_NAME")</f>
        <v>United Kingdom</v>
      </c>
      <c r="O26" s="12" t="str">
        <f>_xll.SNL.Clients.Office.Excel.Functions.SPG(I26, "SP_ULT_PARENT_COMPANY_NAME")</f>
        <v/>
      </c>
      <c r="P26" s="12" t="str">
        <f>_xll.SNL.Clients.Office.Excel.Functions.SPG(I26, "SP_ULT_PARENT_COUNTRY")</f>
        <v/>
      </c>
      <c r="Q26" s="12" t="str">
        <f>_xll.SNL.Clients.Office.Excel.Functions.SPG(I26, "SP_PARENT_COMPANY_NAME")</f>
        <v/>
      </c>
      <c r="R26" s="12" t="str">
        <f>_xll.SNL.Clients.Office.Excel.Functions.SPG(I26, "SP_PARENT_COUNTRY")</f>
        <v/>
      </c>
      <c r="S26" s="12" t="str">
        <f>_xll.SNL.Clients.Office.Excel.Functions.SPG(I26, "SP_COUNTRY_NAME")</f>
        <v>Japan</v>
      </c>
    </row>
    <row r="27" spans="1:19" x14ac:dyDescent="0.35">
      <c r="A27" s="5">
        <v>46022</v>
      </c>
      <c r="B27" s="4" t="s">
        <v>170</v>
      </c>
      <c r="C27" s="4" t="s">
        <v>171</v>
      </c>
      <c r="D27" s="4" t="s">
        <v>953</v>
      </c>
      <c r="E27" s="8">
        <v>4348292</v>
      </c>
      <c r="F27" s="7">
        <v>100</v>
      </c>
      <c r="G27" s="12" t="str">
        <f>[1]!SNLData("243327", C27, "OWNER_LIST")</f>
        <v>Aura Minerals Inc.  100%</v>
      </c>
      <c r="H27" s="9">
        <f>[1]!SNLData("243327", C27, "OWNER_SNL_INSTN_KEY", "Owner 1")</f>
        <v>4348292</v>
      </c>
      <c r="I27" s="9" t="str">
        <f>[1]!SNLData("243327", C27, "OWNER_SNL_INSTN_KEY", "Owner 2")</f>
        <v>NA</v>
      </c>
      <c r="J27" s="12" t="str">
        <f>_xll.SNL.Clients.Office.Excel.Functions.SPG(H27, "SP_ULT_PARENT_COMPANY_NAME")</f>
        <v/>
      </c>
      <c r="K27" s="12" t="str">
        <f>_xll.SNL.Clients.Office.Excel.Functions.SPG(H27, "SP_ULT_PARENT_COUNTRY")</f>
        <v/>
      </c>
      <c r="L27" s="12" t="str">
        <f>_xll.SNL.Clients.Office.Excel.Functions.SPG(H27, "SP_PARENT_COMPANY_NAME")</f>
        <v/>
      </c>
      <c r="M27" s="12" t="str">
        <f>_xll.SNL.Clients.Office.Excel.Functions.SPG(H27, "SP_PARENT_COUNTRY")</f>
        <v/>
      </c>
      <c r="N27" s="12" t="str">
        <f>_xll.SNL.Clients.Office.Excel.Functions.SPG(H27, "SP_COUNTRY_NAME")</f>
        <v>USA</v>
      </c>
      <c r="O27" s="12" t="str">
        <f>_xll.SNL.Clients.Office.Excel.Functions.SPG(I27, "SP_ULT_PARENT_COMPANY_NAME")</f>
        <v/>
      </c>
      <c r="P27" s="12" t="str">
        <f>_xll.SNL.Clients.Office.Excel.Functions.SPG(I27, "SP_ULT_PARENT_COUNTRY")</f>
        <v/>
      </c>
      <c r="Q27" s="12" t="str">
        <f>_xll.SNL.Clients.Office.Excel.Functions.SPG(I27, "SP_PARENT_COMPANY_NAME")</f>
        <v/>
      </c>
      <c r="R27" s="12" t="str">
        <f>_xll.SNL.Clients.Office.Excel.Functions.SPG(I27, "SP_PARENT_COUNTRY")</f>
        <v/>
      </c>
      <c r="S27" s="12" t="str">
        <f>_xll.SNL.Clients.Office.Excel.Functions.SPG(I27, "SP_COUNTRY_NAME")</f>
        <v>China</v>
      </c>
    </row>
    <row r="28" spans="1:19" ht="29" x14ac:dyDescent="0.35">
      <c r="A28" s="5">
        <v>46022</v>
      </c>
      <c r="B28" s="4" t="s">
        <v>182</v>
      </c>
      <c r="C28" s="4" t="s">
        <v>183</v>
      </c>
      <c r="D28" s="4" t="s">
        <v>954</v>
      </c>
      <c r="E28" s="8">
        <v>4666985</v>
      </c>
      <c r="F28" s="7">
        <v>100</v>
      </c>
      <c r="G28" s="12" t="str">
        <f>[1]!SNLData("243327", C28, "OWNER_LIST")</f>
        <v>Sumner Group Mining plc  100%; Nexa Resources S.A.  100%</v>
      </c>
      <c r="H28" s="9">
        <f>[1]!SNLData("243327", C28, "OWNER_SNL_INSTN_KEY", "Owner 1")</f>
        <v>4666985</v>
      </c>
      <c r="I28" s="9">
        <f>[1]!SNLData("243327", C28, "OWNER_SNL_INSTN_KEY", "Owner 2")</f>
        <v>7927584</v>
      </c>
      <c r="J28" s="12" t="str">
        <f>_xll.SNL.Clients.Office.Excel.Functions.SPG(H28, "SP_ULT_PARENT_COMPANY_NAME")</f>
        <v>JEMF Participações S.A.</v>
      </c>
      <c r="K28" s="12" t="str">
        <f>_xll.SNL.Clients.Office.Excel.Functions.SPG(H28, "SP_ULT_PARENT_COUNTRY")</f>
        <v>Brazil</v>
      </c>
      <c r="L28" s="12" t="str">
        <f>_xll.SNL.Clients.Office.Excel.Functions.SPG(H28, "SP_PARENT_COMPANY_NAME")</f>
        <v>Votorantim S.A.</v>
      </c>
      <c r="M28" s="12" t="str">
        <f>_xll.SNL.Clients.Office.Excel.Functions.SPG(H28, "SP_PARENT_COUNTRY")</f>
        <v>Brazil</v>
      </c>
      <c r="N28" s="12" t="str">
        <f>_xll.SNL.Clients.Office.Excel.Functions.SPG(H28, "SP_COUNTRY_NAME")</f>
        <v>Luxembourg</v>
      </c>
      <c r="O28" s="12" t="str">
        <f>_xll.SNL.Clients.Office.Excel.Functions.SPG(I28, "SP_ULT_PARENT_COMPANY_NAME")</f>
        <v/>
      </c>
      <c r="P28" s="12" t="str">
        <f>_xll.SNL.Clients.Office.Excel.Functions.SPG(I28, "SP_ULT_PARENT_COUNTRY")</f>
        <v/>
      </c>
      <c r="Q28" s="12" t="str">
        <f>_xll.SNL.Clients.Office.Excel.Functions.SPG(I28, "SP_PARENT_COMPANY_NAME")</f>
        <v/>
      </c>
      <c r="R28" s="12" t="str">
        <f>_xll.SNL.Clients.Office.Excel.Functions.SPG(I28, "SP_PARENT_COUNTRY")</f>
        <v/>
      </c>
      <c r="S28" s="12" t="str">
        <f>_xll.SNL.Clients.Office.Excel.Functions.SPG(I28, "SP_COUNTRY_NAME")</f>
        <v>Peru</v>
      </c>
    </row>
    <row r="29" spans="1:19" ht="29" x14ac:dyDescent="0.35">
      <c r="A29" s="5">
        <v>46022</v>
      </c>
      <c r="B29" s="4" t="s">
        <v>182</v>
      </c>
      <c r="C29" s="4" t="s">
        <v>183</v>
      </c>
      <c r="D29" s="4" t="s">
        <v>955</v>
      </c>
      <c r="E29" s="8">
        <v>7927584</v>
      </c>
      <c r="F29" s="7">
        <v>100</v>
      </c>
      <c r="G29" s="12" t="str">
        <f>[1]!SNLData("243327", C29, "OWNER_LIST")</f>
        <v>Sumner Group Mining plc  100%; Nexa Resources S.A.  100%</v>
      </c>
      <c r="H29" s="9">
        <f>[1]!SNLData("243327", C29, "OWNER_SNL_INSTN_KEY", "Owner 1")</f>
        <v>4666985</v>
      </c>
      <c r="I29" s="9">
        <f>[1]!SNLData("243327", C29, "OWNER_SNL_INSTN_KEY", "Owner 2")</f>
        <v>7927584</v>
      </c>
      <c r="J29" s="12" t="str">
        <f>_xll.SNL.Clients.Office.Excel.Functions.SPG(H29, "SP_ULT_PARENT_COMPANY_NAME")</f>
        <v>JEMF Participações S.A.</v>
      </c>
      <c r="K29" s="12" t="str">
        <f>_xll.SNL.Clients.Office.Excel.Functions.SPG(H29, "SP_ULT_PARENT_COUNTRY")</f>
        <v>Brazil</v>
      </c>
      <c r="L29" s="12" t="str">
        <f>_xll.SNL.Clients.Office.Excel.Functions.SPG(H29, "SP_PARENT_COMPANY_NAME")</f>
        <v>Votorantim S.A.</v>
      </c>
      <c r="M29" s="12" t="str">
        <f>_xll.SNL.Clients.Office.Excel.Functions.SPG(H29, "SP_PARENT_COUNTRY")</f>
        <v>Brazil</v>
      </c>
      <c r="N29" s="12" t="str">
        <f>_xll.SNL.Clients.Office.Excel.Functions.SPG(H29, "SP_COUNTRY_NAME")</f>
        <v>Luxembourg</v>
      </c>
      <c r="O29" s="12" t="str">
        <f>_xll.SNL.Clients.Office.Excel.Functions.SPG(I29, "SP_ULT_PARENT_COMPANY_NAME")</f>
        <v/>
      </c>
      <c r="P29" s="12" t="str">
        <f>_xll.SNL.Clients.Office.Excel.Functions.SPG(I29, "SP_ULT_PARENT_COUNTRY")</f>
        <v/>
      </c>
      <c r="Q29" s="12" t="str">
        <f>_xll.SNL.Clients.Office.Excel.Functions.SPG(I29, "SP_PARENT_COMPANY_NAME")</f>
        <v/>
      </c>
      <c r="R29" s="12" t="str">
        <f>_xll.SNL.Clients.Office.Excel.Functions.SPG(I29, "SP_PARENT_COUNTRY")</f>
        <v/>
      </c>
      <c r="S29" s="12" t="str">
        <f>_xll.SNL.Clients.Office.Excel.Functions.SPG(I29, "SP_COUNTRY_NAME")</f>
        <v>Peru</v>
      </c>
    </row>
    <row r="30" spans="1:19" ht="58" x14ac:dyDescent="0.35">
      <c r="A30" s="5">
        <v>46022</v>
      </c>
      <c r="B30" s="4" t="s">
        <v>59</v>
      </c>
      <c r="C30" s="4" t="s">
        <v>60</v>
      </c>
      <c r="D30" s="4" t="s">
        <v>956</v>
      </c>
      <c r="E30" s="8">
        <v>4350334</v>
      </c>
      <c r="F30" s="7">
        <v>15</v>
      </c>
      <c r="G30" s="12" t="str">
        <f>[1]!SNLData("243327", C30, "OWNER_LIST")</f>
        <v>Xinjiang NonFerrous Metal Industry (Group) Co.Ltd (Venturer) 34%; Zijin Mining Group Company Limited (Venturer) 51%; People's Government of Gansu Province (Venturer) 15%</v>
      </c>
      <c r="H30" s="9">
        <f>[1]!SNLData("243327", C30, "OWNER_SNL_INSTN_KEY", "Owner 1")</f>
        <v>4355642</v>
      </c>
      <c r="I30" s="9">
        <f>[1]!SNLData("243327", C30, "OWNER_SNL_INSTN_KEY", "Owner 2")</f>
        <v>4415549</v>
      </c>
      <c r="J30" s="12" t="str">
        <f>_xll.SNL.Clients.Office.Excel.Functions.SPG(H30, "SP_ULT_PARENT_COMPANY_NAME")</f>
        <v/>
      </c>
      <c r="K30" s="12" t="str">
        <f>_xll.SNL.Clients.Office.Excel.Functions.SPG(H30, "SP_ULT_PARENT_COUNTRY")</f>
        <v/>
      </c>
      <c r="L30" s="12" t="str">
        <f>_xll.SNL.Clients.Office.Excel.Functions.SPG(H30, "SP_PARENT_COMPANY_NAME")</f>
        <v/>
      </c>
      <c r="M30" s="12" t="str">
        <f>_xll.SNL.Clients.Office.Excel.Functions.SPG(H30, "SP_PARENT_COUNTRY")</f>
        <v/>
      </c>
      <c r="N30" s="12" t="str">
        <f>_xll.SNL.Clients.Office.Excel.Functions.SPG(H30, "SP_COUNTRY_NAME")</f>
        <v>China</v>
      </c>
      <c r="O30" s="12" t="str">
        <f>_xll.SNL.Clients.Office.Excel.Functions.SPG(I30, "SP_ULT_PARENT_COMPANY_NAME")</f>
        <v/>
      </c>
      <c r="P30" s="12" t="str">
        <f>_xll.SNL.Clients.Office.Excel.Functions.SPG(I30, "SP_ULT_PARENT_COUNTRY")</f>
        <v/>
      </c>
      <c r="Q30" s="12" t="str">
        <f>_xll.SNL.Clients.Office.Excel.Functions.SPG(I30, "SP_PARENT_COMPANY_NAME")</f>
        <v/>
      </c>
      <c r="R30" s="12" t="str">
        <f>_xll.SNL.Clients.Office.Excel.Functions.SPG(I30, "SP_PARENT_COUNTRY")</f>
        <v/>
      </c>
      <c r="S30" s="12" t="str">
        <f>_xll.SNL.Clients.Office.Excel.Functions.SPG(I30, "SP_COUNTRY_NAME")</f>
        <v>China</v>
      </c>
    </row>
    <row r="31" spans="1:19" ht="58" x14ac:dyDescent="0.35">
      <c r="A31" s="5">
        <v>46022</v>
      </c>
      <c r="B31" s="4" t="s">
        <v>59</v>
      </c>
      <c r="C31" s="4" t="s">
        <v>60</v>
      </c>
      <c r="D31" s="4" t="s">
        <v>957</v>
      </c>
      <c r="E31" s="8">
        <v>4415549</v>
      </c>
      <c r="F31" s="7">
        <v>34</v>
      </c>
      <c r="G31" s="12" t="str">
        <f>[1]!SNLData("243327", C31, "OWNER_LIST")</f>
        <v>Xinjiang NonFerrous Metal Industry (Group) Co.Ltd (Venturer) 34%; Zijin Mining Group Company Limited (Venturer) 51%; People's Government of Gansu Province (Venturer) 15%</v>
      </c>
      <c r="H31" s="9">
        <f>[1]!SNLData("243327", C31, "OWNER_SNL_INSTN_KEY", "Owner 1")</f>
        <v>4355642</v>
      </c>
      <c r="I31" s="9">
        <f>[1]!SNLData("243327", C31, "OWNER_SNL_INSTN_KEY", "Owner 2")</f>
        <v>4415549</v>
      </c>
      <c r="J31" s="12" t="str">
        <f>_xll.SNL.Clients.Office.Excel.Functions.SPG(H31, "SP_ULT_PARENT_COMPANY_NAME")</f>
        <v/>
      </c>
      <c r="K31" s="12" t="str">
        <f>_xll.SNL.Clients.Office.Excel.Functions.SPG(H31, "SP_ULT_PARENT_COUNTRY")</f>
        <v/>
      </c>
      <c r="L31" s="12" t="str">
        <f>_xll.SNL.Clients.Office.Excel.Functions.SPG(H31, "SP_PARENT_COMPANY_NAME")</f>
        <v/>
      </c>
      <c r="M31" s="12" t="str">
        <f>_xll.SNL.Clients.Office.Excel.Functions.SPG(H31, "SP_PARENT_COUNTRY")</f>
        <v/>
      </c>
      <c r="N31" s="12" t="str">
        <f>_xll.SNL.Clients.Office.Excel.Functions.SPG(H31, "SP_COUNTRY_NAME")</f>
        <v>China</v>
      </c>
      <c r="O31" s="12" t="str">
        <f>_xll.SNL.Clients.Office.Excel.Functions.SPG(I31, "SP_ULT_PARENT_COMPANY_NAME")</f>
        <v/>
      </c>
      <c r="P31" s="12" t="str">
        <f>_xll.SNL.Clients.Office.Excel.Functions.SPG(I31, "SP_ULT_PARENT_COUNTRY")</f>
        <v/>
      </c>
      <c r="Q31" s="12" t="str">
        <f>_xll.SNL.Clients.Office.Excel.Functions.SPG(I31, "SP_PARENT_COMPANY_NAME")</f>
        <v/>
      </c>
      <c r="R31" s="12" t="str">
        <f>_xll.SNL.Clients.Office.Excel.Functions.SPG(I31, "SP_PARENT_COUNTRY")</f>
        <v/>
      </c>
      <c r="S31" s="12" t="str">
        <f>_xll.SNL.Clients.Office.Excel.Functions.SPG(I31, "SP_COUNTRY_NAME")</f>
        <v>China</v>
      </c>
    </row>
    <row r="32" spans="1:19" ht="58" x14ac:dyDescent="0.35">
      <c r="A32" s="5">
        <v>46022</v>
      </c>
      <c r="B32" s="4" t="s">
        <v>59</v>
      </c>
      <c r="C32" s="4" t="s">
        <v>60</v>
      </c>
      <c r="D32" s="4" t="s">
        <v>958</v>
      </c>
      <c r="E32" s="8">
        <v>4355642</v>
      </c>
      <c r="F32" s="7">
        <v>51</v>
      </c>
      <c r="G32" s="12" t="str">
        <f>[1]!SNLData("243327", C32, "OWNER_LIST")</f>
        <v>Xinjiang NonFerrous Metal Industry (Group) Co.Ltd (Venturer) 34%; Zijin Mining Group Company Limited (Venturer) 51%; People's Government of Gansu Province (Venturer) 15%</v>
      </c>
      <c r="H32" s="9">
        <f>[1]!SNLData("243327", C32, "OWNER_SNL_INSTN_KEY", "Owner 1")</f>
        <v>4355642</v>
      </c>
      <c r="I32" s="9">
        <f>[1]!SNLData("243327", C32, "OWNER_SNL_INSTN_KEY", "Owner 2")</f>
        <v>4415549</v>
      </c>
      <c r="J32" s="12" t="str">
        <f>_xll.SNL.Clients.Office.Excel.Functions.SPG(H32, "SP_ULT_PARENT_COMPANY_NAME")</f>
        <v/>
      </c>
      <c r="K32" s="12" t="str">
        <f>_xll.SNL.Clients.Office.Excel.Functions.SPG(H32, "SP_ULT_PARENT_COUNTRY")</f>
        <v/>
      </c>
      <c r="L32" s="12" t="str">
        <f>_xll.SNL.Clients.Office.Excel.Functions.SPG(H32, "SP_PARENT_COMPANY_NAME")</f>
        <v/>
      </c>
      <c r="M32" s="12" t="str">
        <f>_xll.SNL.Clients.Office.Excel.Functions.SPG(H32, "SP_PARENT_COUNTRY")</f>
        <v/>
      </c>
      <c r="N32" s="12" t="str">
        <f>_xll.SNL.Clients.Office.Excel.Functions.SPG(H32, "SP_COUNTRY_NAME")</f>
        <v>China</v>
      </c>
      <c r="O32" s="12" t="str">
        <f>_xll.SNL.Clients.Office.Excel.Functions.SPG(I32, "SP_ULT_PARENT_COMPANY_NAME")</f>
        <v/>
      </c>
      <c r="P32" s="12" t="str">
        <f>_xll.SNL.Clients.Office.Excel.Functions.SPG(I32, "SP_ULT_PARENT_COUNTRY")</f>
        <v/>
      </c>
      <c r="Q32" s="12" t="str">
        <f>_xll.SNL.Clients.Office.Excel.Functions.SPG(I32, "SP_PARENT_COMPANY_NAME")</f>
        <v/>
      </c>
      <c r="R32" s="12" t="str">
        <f>_xll.SNL.Clients.Office.Excel.Functions.SPG(I32, "SP_PARENT_COUNTRY")</f>
        <v/>
      </c>
      <c r="S32" s="12" t="str">
        <f>_xll.SNL.Clients.Office.Excel.Functions.SPG(I32, "SP_COUNTRY_NAME")</f>
        <v>China</v>
      </c>
    </row>
    <row r="33" spans="1:19" ht="29" x14ac:dyDescent="0.35">
      <c r="A33" s="5">
        <v>46022</v>
      </c>
      <c r="B33" s="4" t="s">
        <v>172</v>
      </c>
      <c r="C33" s="4" t="s">
        <v>173</v>
      </c>
      <c r="D33" s="4" t="s">
        <v>959</v>
      </c>
      <c r="E33" s="8">
        <v>4352362</v>
      </c>
      <c r="F33" s="7">
        <v>99.99</v>
      </c>
      <c r="G33" s="12" t="str">
        <f>[1]!SNLData("243327", C33, "OWNER_LIST")</f>
        <v>Minera Frisco, S.A.B. de C.V. (Venturer) 99.99%; Unnamed Owner (Fractional) %</v>
      </c>
      <c r="H33" s="9">
        <f>[1]!SNLData("243327", C33, "OWNER_SNL_INSTN_KEY", "Owner 1")</f>
        <v>4352362</v>
      </c>
      <c r="I33" s="9">
        <f>[1]!SNLData("243327", C33, "OWNER_SNL_INSTN_KEY", "Owner 2")</f>
        <v>4400798</v>
      </c>
      <c r="J33" s="12" t="str">
        <f>_xll.SNL.Clients.Office.Excel.Functions.SPG(H33, "SP_ULT_PARENT_COMPANY_NAME")</f>
        <v/>
      </c>
      <c r="K33" s="12" t="str">
        <f>_xll.SNL.Clients.Office.Excel.Functions.SPG(H33, "SP_ULT_PARENT_COUNTRY")</f>
        <v/>
      </c>
      <c r="L33" s="12" t="str">
        <f>_xll.SNL.Clients.Office.Excel.Functions.SPG(H33, "SP_PARENT_COMPANY_NAME")</f>
        <v/>
      </c>
      <c r="M33" s="12" t="str">
        <f>_xll.SNL.Clients.Office.Excel.Functions.SPG(H33, "SP_PARENT_COUNTRY")</f>
        <v/>
      </c>
      <c r="N33" s="12" t="str">
        <f>_xll.SNL.Clients.Office.Excel.Functions.SPG(H33, "SP_COUNTRY_NAME")</f>
        <v>Mexico</v>
      </c>
      <c r="O33" s="12" t="str">
        <f>_xll.SNL.Clients.Office.Excel.Functions.SPG(I33, "SP_ULT_PARENT_COMPANY_NAME")</f>
        <v/>
      </c>
      <c r="P33" s="12" t="str">
        <f>_xll.SNL.Clients.Office.Excel.Functions.SPG(I33, "SP_ULT_PARENT_COUNTRY")</f>
        <v/>
      </c>
      <c r="Q33" s="12" t="str">
        <f>_xll.SNL.Clients.Office.Excel.Functions.SPG(I33, "SP_PARENT_COMPANY_NAME")</f>
        <v/>
      </c>
      <c r="R33" s="12" t="str">
        <f>_xll.SNL.Clients.Office.Excel.Functions.SPG(I33, "SP_PARENT_COUNTRY")</f>
        <v/>
      </c>
      <c r="S33" s="12" t="str">
        <f>_xll.SNL.Clients.Office.Excel.Functions.SPG(I33, "SP_COUNTRY_NAME")</f>
        <v>USA</v>
      </c>
    </row>
    <row r="34" spans="1:19" ht="29" x14ac:dyDescent="0.35">
      <c r="A34" s="5">
        <v>46022</v>
      </c>
      <c r="B34" s="4" t="s">
        <v>184</v>
      </c>
      <c r="C34" s="4" t="s">
        <v>185</v>
      </c>
      <c r="D34" s="4" t="s">
        <v>960</v>
      </c>
      <c r="E34" s="8">
        <v>4348270</v>
      </c>
      <c r="F34" s="7">
        <v>100</v>
      </c>
      <c r="G34" s="12" t="str">
        <f>[1]!SNLData("243327", C34, "OWNER_LIST")</f>
        <v>Atlas Consolidated Mining and Development Corporation  100%</v>
      </c>
      <c r="H34" s="9">
        <f>[1]!SNLData("243327", C34, "OWNER_SNL_INSTN_KEY", "Owner 1")</f>
        <v>4348270</v>
      </c>
      <c r="I34" s="9" t="str">
        <f>[1]!SNLData("243327", C34, "OWNER_SNL_INSTN_KEY", "Owner 2")</f>
        <v>NA</v>
      </c>
      <c r="J34" s="12" t="str">
        <f>_xll.SNL.Clients.Office.Excel.Functions.SPG(H34, "SP_ULT_PARENT_COMPANY_NAME")</f>
        <v/>
      </c>
      <c r="K34" s="12" t="str">
        <f>_xll.SNL.Clients.Office.Excel.Functions.SPG(H34, "SP_ULT_PARENT_COUNTRY")</f>
        <v/>
      </c>
      <c r="L34" s="12" t="str">
        <f>_xll.SNL.Clients.Office.Excel.Functions.SPG(H34, "SP_PARENT_COMPANY_NAME")</f>
        <v/>
      </c>
      <c r="M34" s="12" t="str">
        <f>_xll.SNL.Clients.Office.Excel.Functions.SPG(H34, "SP_PARENT_COUNTRY")</f>
        <v/>
      </c>
      <c r="N34" s="12" t="str">
        <f>_xll.SNL.Clients.Office.Excel.Functions.SPG(H34, "SP_COUNTRY_NAME")</f>
        <v>Philippines</v>
      </c>
      <c r="O34" s="12" t="str">
        <f>_xll.SNL.Clients.Office.Excel.Functions.SPG(I34, "SP_ULT_PARENT_COMPANY_NAME")</f>
        <v/>
      </c>
      <c r="P34" s="12" t="str">
        <f>_xll.SNL.Clients.Office.Excel.Functions.SPG(I34, "SP_ULT_PARENT_COUNTRY")</f>
        <v/>
      </c>
      <c r="Q34" s="12" t="str">
        <f>_xll.SNL.Clients.Office.Excel.Functions.SPG(I34, "SP_PARENT_COMPANY_NAME")</f>
        <v/>
      </c>
      <c r="R34" s="12" t="str">
        <f>_xll.SNL.Clients.Office.Excel.Functions.SPG(I34, "SP_PARENT_COUNTRY")</f>
        <v/>
      </c>
      <c r="S34" s="12" t="str">
        <f>_xll.SNL.Clients.Office.Excel.Functions.SPG(I34, "SP_COUNTRY_NAME")</f>
        <v>China</v>
      </c>
    </row>
    <row r="35" spans="1:19" ht="43.5" x14ac:dyDescent="0.35">
      <c r="A35" s="5">
        <v>46022</v>
      </c>
      <c r="B35" s="4" t="s">
        <v>186</v>
      </c>
      <c r="C35" s="4" t="s">
        <v>187</v>
      </c>
      <c r="D35" s="4" t="s">
        <v>961</v>
      </c>
      <c r="E35" s="8">
        <v>4348363</v>
      </c>
      <c r="F35" s="7">
        <v>99.67</v>
      </c>
      <c r="G35" s="12" t="str">
        <f>[1]!SNLData("243327", C35, "OWNER_LIST")</f>
        <v>Private Interest (Venturer) 0.33%; Avino Silver &amp; Gold Mines Ltd. (Venturer) 99.67%; Silver Wolf Exploration Ltd. (Fractional) %</v>
      </c>
      <c r="H35" s="9">
        <f>[1]!SNLData("243327", C35, "OWNER_SNL_INSTN_KEY", "Owner 1")</f>
        <v>4348363</v>
      </c>
      <c r="I35" s="9">
        <f>[1]!SNLData("243327", C35, "OWNER_SNL_INSTN_KEY", "Owner 2")</f>
        <v>4353456</v>
      </c>
      <c r="J35" s="12" t="str">
        <f>_xll.SNL.Clients.Office.Excel.Functions.SPG(H35, "SP_ULT_PARENT_COMPANY_NAME")</f>
        <v/>
      </c>
      <c r="K35" s="12" t="str">
        <f>_xll.SNL.Clients.Office.Excel.Functions.SPG(H35, "SP_ULT_PARENT_COUNTRY")</f>
        <v/>
      </c>
      <c r="L35" s="12" t="str">
        <f>_xll.SNL.Clients.Office.Excel.Functions.SPG(H35, "SP_PARENT_COMPANY_NAME")</f>
        <v/>
      </c>
      <c r="M35" s="12" t="str">
        <f>_xll.SNL.Clients.Office.Excel.Functions.SPG(H35, "SP_PARENT_COUNTRY")</f>
        <v/>
      </c>
      <c r="N35" s="12" t="str">
        <f>_xll.SNL.Clients.Office.Excel.Functions.SPG(H35, "SP_COUNTRY_NAME")</f>
        <v>Canada</v>
      </c>
      <c r="O35" s="12" t="str">
        <f>_xll.SNL.Clients.Office.Excel.Functions.SPG(I35, "SP_ULT_PARENT_COMPANY_NAME")</f>
        <v/>
      </c>
      <c r="P35" s="12" t="str">
        <f>_xll.SNL.Clients.Office.Excel.Functions.SPG(I35, "SP_ULT_PARENT_COUNTRY")</f>
        <v/>
      </c>
      <c r="Q35" s="12" t="str">
        <f>_xll.SNL.Clients.Office.Excel.Functions.SPG(I35, "SP_PARENT_COMPANY_NAME")</f>
        <v/>
      </c>
      <c r="R35" s="12" t="str">
        <f>_xll.SNL.Clients.Office.Excel.Functions.SPG(I35, "SP_PARENT_COUNTRY")</f>
        <v/>
      </c>
      <c r="S35" s="12" t="str">
        <f>_xll.SNL.Clients.Office.Excel.Functions.SPG(I35, "SP_COUNTRY_NAME")</f>
        <v>China</v>
      </c>
    </row>
    <row r="36" spans="1:19" ht="43.5" x14ac:dyDescent="0.35">
      <c r="A36" s="5">
        <v>46022</v>
      </c>
      <c r="B36" s="4" t="s">
        <v>186</v>
      </c>
      <c r="C36" s="4" t="s">
        <v>187</v>
      </c>
      <c r="D36" s="4" t="s">
        <v>962</v>
      </c>
      <c r="E36" s="8">
        <v>4353456</v>
      </c>
      <c r="F36" s="7">
        <v>0.33</v>
      </c>
      <c r="G36" s="12" t="str">
        <f>[1]!SNLData("243327", C36, "OWNER_LIST")</f>
        <v>Private Interest (Venturer) 0.33%; Avino Silver &amp; Gold Mines Ltd. (Venturer) 99.67%; Silver Wolf Exploration Ltd. (Fractional) %</v>
      </c>
      <c r="H36" s="9">
        <f>[1]!SNLData("243327", C36, "OWNER_SNL_INSTN_KEY", "Owner 1")</f>
        <v>4348363</v>
      </c>
      <c r="I36" s="9">
        <f>[1]!SNLData("243327", C36, "OWNER_SNL_INSTN_KEY", "Owner 2")</f>
        <v>4353456</v>
      </c>
      <c r="J36" s="12" t="str">
        <f>_xll.SNL.Clients.Office.Excel.Functions.SPG(H36, "SP_ULT_PARENT_COMPANY_NAME")</f>
        <v/>
      </c>
      <c r="K36" s="12" t="str">
        <f>_xll.SNL.Clients.Office.Excel.Functions.SPG(H36, "SP_ULT_PARENT_COUNTRY")</f>
        <v/>
      </c>
      <c r="L36" s="12" t="str">
        <f>_xll.SNL.Clients.Office.Excel.Functions.SPG(H36, "SP_PARENT_COMPANY_NAME")</f>
        <v/>
      </c>
      <c r="M36" s="12" t="str">
        <f>_xll.SNL.Clients.Office.Excel.Functions.SPG(H36, "SP_PARENT_COUNTRY")</f>
        <v/>
      </c>
      <c r="N36" s="12" t="str">
        <f>_xll.SNL.Clients.Office.Excel.Functions.SPG(H36, "SP_COUNTRY_NAME")</f>
        <v>Canada</v>
      </c>
      <c r="O36" s="12" t="str">
        <f>_xll.SNL.Clients.Office.Excel.Functions.SPG(I36, "SP_ULT_PARENT_COMPANY_NAME")</f>
        <v/>
      </c>
      <c r="P36" s="12" t="str">
        <f>_xll.SNL.Clients.Office.Excel.Functions.SPG(I36, "SP_ULT_PARENT_COUNTRY")</f>
        <v/>
      </c>
      <c r="Q36" s="12" t="str">
        <f>_xll.SNL.Clients.Office.Excel.Functions.SPG(I36, "SP_PARENT_COMPANY_NAME")</f>
        <v/>
      </c>
      <c r="R36" s="12" t="str">
        <f>_xll.SNL.Clients.Office.Excel.Functions.SPG(I36, "SP_PARENT_COUNTRY")</f>
        <v/>
      </c>
      <c r="S36" s="12" t="str">
        <f>_xll.SNL.Clients.Office.Excel.Functions.SPG(I36, "SP_COUNTRY_NAME")</f>
        <v>China</v>
      </c>
    </row>
    <row r="37" spans="1:19" x14ac:dyDescent="0.35">
      <c r="A37" s="5">
        <v>46022</v>
      </c>
      <c r="B37" s="4" t="s">
        <v>77</v>
      </c>
      <c r="C37" s="4" t="s">
        <v>78</v>
      </c>
      <c r="D37" s="4" t="s">
        <v>963</v>
      </c>
      <c r="E37" s="8">
        <v>4004107</v>
      </c>
      <c r="F37" s="7">
        <v>100</v>
      </c>
      <c r="G37" s="12" t="str">
        <f>[1]!SNLData("243327", C37, "OWNER_LIST")</f>
        <v>Freeport-McMoRan Inc.  100%</v>
      </c>
      <c r="H37" s="9">
        <f>[1]!SNLData("243327", C37, "OWNER_SNL_INSTN_KEY", "Owner 1")</f>
        <v>4004107</v>
      </c>
      <c r="I37" s="9" t="str">
        <f>[1]!SNLData("243327", C37, "OWNER_SNL_INSTN_KEY", "Owner 2")</f>
        <v>NA</v>
      </c>
      <c r="J37" s="12" t="str">
        <f>_xll.SNL.Clients.Office.Excel.Functions.SPG(H37, "SP_ULT_PARENT_COMPANY_NAME")</f>
        <v/>
      </c>
      <c r="K37" s="12" t="str">
        <f>_xll.SNL.Clients.Office.Excel.Functions.SPG(H37, "SP_ULT_PARENT_COUNTRY")</f>
        <v/>
      </c>
      <c r="L37" s="12" t="str">
        <f>_xll.SNL.Clients.Office.Excel.Functions.SPG(H37, "SP_PARENT_COMPANY_NAME")</f>
        <v/>
      </c>
      <c r="M37" s="12" t="str">
        <f>_xll.SNL.Clients.Office.Excel.Functions.SPG(H37, "SP_PARENT_COUNTRY")</f>
        <v/>
      </c>
      <c r="N37" s="12" t="str">
        <f>_xll.SNL.Clients.Office.Excel.Functions.SPG(H37, "SP_COUNTRY_NAME")</f>
        <v>USA</v>
      </c>
      <c r="O37" s="12" t="str">
        <f>_xll.SNL.Clients.Office.Excel.Functions.SPG(I37, "SP_ULT_PARENT_COMPANY_NAME")</f>
        <v/>
      </c>
      <c r="P37" s="12" t="str">
        <f>_xll.SNL.Clients.Office.Excel.Functions.SPG(I37, "SP_ULT_PARENT_COUNTRY")</f>
        <v/>
      </c>
      <c r="Q37" s="12" t="str">
        <f>_xll.SNL.Clients.Office.Excel.Functions.SPG(I37, "SP_PARENT_COMPANY_NAME")</f>
        <v/>
      </c>
      <c r="R37" s="12" t="str">
        <f>_xll.SNL.Clients.Office.Excel.Functions.SPG(I37, "SP_PARENT_COUNTRY")</f>
        <v/>
      </c>
      <c r="S37" s="12" t="str">
        <f>_xll.SNL.Clients.Office.Excel.Functions.SPG(I37, "SP_COUNTRY_NAME")</f>
        <v>China</v>
      </c>
    </row>
    <row r="38" spans="1:19" x14ac:dyDescent="0.35">
      <c r="A38" s="5">
        <v>46022</v>
      </c>
      <c r="B38" s="4" t="s">
        <v>62</v>
      </c>
      <c r="C38" s="4" t="s">
        <v>63</v>
      </c>
      <c r="D38" s="4" t="s">
        <v>964</v>
      </c>
      <c r="E38" s="8">
        <v>10930039</v>
      </c>
      <c r="F38" s="7">
        <v>100</v>
      </c>
      <c r="G38" s="12" t="str">
        <f>[1]!SNLData("243327", C38, "OWNER_LIST")</f>
        <v>Inner Mongolia Bayern Mining Co., Ltd.  100%</v>
      </c>
      <c r="H38" s="9">
        <f>[1]!SNLData("243327", C38, "OWNER_SNL_INSTN_KEY", "Owner 1")</f>
        <v>10930039</v>
      </c>
      <c r="I38" s="9" t="str">
        <f>[1]!SNLData("243327", C38, "OWNER_SNL_INSTN_KEY", "Owner 2")</f>
        <v>NA</v>
      </c>
      <c r="J38" s="12" t="str">
        <f>_xll.SNL.Clients.Office.Excel.Functions.SPG(H38, "SP_ULT_PARENT_COMPANY_NAME")</f>
        <v/>
      </c>
      <c r="K38" s="12" t="str">
        <f>_xll.SNL.Clients.Office.Excel.Functions.SPG(H38, "SP_ULT_PARENT_COUNTRY")</f>
        <v/>
      </c>
      <c r="L38" s="12" t="str">
        <f>_xll.SNL.Clients.Office.Excel.Functions.SPG(H38, "SP_PARENT_COMPANY_NAME")</f>
        <v/>
      </c>
      <c r="M38" s="12" t="str">
        <f>_xll.SNL.Clients.Office.Excel.Functions.SPG(H38, "SP_PARENT_COUNTRY")</f>
        <v/>
      </c>
      <c r="N38" s="12" t="str">
        <f>_xll.SNL.Clients.Office.Excel.Functions.SPG(H38, "SP_COUNTRY_NAME")</f>
        <v>China</v>
      </c>
      <c r="O38" s="12" t="str">
        <f>_xll.SNL.Clients.Office.Excel.Functions.SPG(I38, "SP_ULT_PARENT_COMPANY_NAME")</f>
        <v/>
      </c>
      <c r="P38" s="12" t="str">
        <f>_xll.SNL.Clients.Office.Excel.Functions.SPG(I38, "SP_ULT_PARENT_COUNTRY")</f>
        <v/>
      </c>
      <c r="Q38" s="12" t="str">
        <f>_xll.SNL.Clients.Office.Excel.Functions.SPG(I38, "SP_PARENT_COMPANY_NAME")</f>
        <v/>
      </c>
      <c r="R38" s="12" t="str">
        <f>_xll.SNL.Clients.Office.Excel.Functions.SPG(I38, "SP_PARENT_COUNTRY")</f>
        <v/>
      </c>
      <c r="S38" s="12" t="str">
        <f>_xll.SNL.Clients.Office.Excel.Functions.SPG(I38, "SP_COUNTRY_NAME")</f>
        <v>China</v>
      </c>
    </row>
    <row r="39" spans="1:19" x14ac:dyDescent="0.35">
      <c r="A39" s="5">
        <v>46022</v>
      </c>
      <c r="B39" s="4" t="s">
        <v>64</v>
      </c>
      <c r="C39" s="4" t="s">
        <v>65</v>
      </c>
      <c r="D39" s="4" t="s">
        <v>965</v>
      </c>
      <c r="E39" s="8">
        <v>4347817</v>
      </c>
      <c r="F39" s="7">
        <v>100</v>
      </c>
      <c r="G39" s="12" t="str">
        <f>[1]!SNLData("243327", C39, "OWNER_LIST")</f>
        <v>Vast Resources plc  100%</v>
      </c>
      <c r="H39" s="9">
        <f>[1]!SNLData("243327", C39, "OWNER_SNL_INSTN_KEY", "Owner 1")</f>
        <v>4347817</v>
      </c>
      <c r="I39" s="9" t="str">
        <f>[1]!SNLData("243327", C39, "OWNER_SNL_INSTN_KEY", "Owner 2")</f>
        <v>NA</v>
      </c>
      <c r="J39" s="12" t="str">
        <f>_xll.SNL.Clients.Office.Excel.Functions.SPG(H39, "SP_ULT_PARENT_COMPANY_NAME")</f>
        <v/>
      </c>
      <c r="K39" s="12" t="str">
        <f>_xll.SNL.Clients.Office.Excel.Functions.SPG(H39, "SP_ULT_PARENT_COUNTRY")</f>
        <v/>
      </c>
      <c r="L39" s="12" t="str">
        <f>_xll.SNL.Clients.Office.Excel.Functions.SPG(H39, "SP_PARENT_COMPANY_NAME")</f>
        <v/>
      </c>
      <c r="M39" s="12" t="str">
        <f>_xll.SNL.Clients.Office.Excel.Functions.SPG(H39, "SP_PARENT_COUNTRY")</f>
        <v/>
      </c>
      <c r="N39" s="12" t="str">
        <f>_xll.SNL.Clients.Office.Excel.Functions.SPG(H39, "SP_COUNTRY_NAME")</f>
        <v>United Kingdom</v>
      </c>
      <c r="O39" s="12" t="str">
        <f>_xll.SNL.Clients.Office.Excel.Functions.SPG(I39, "SP_ULT_PARENT_COMPANY_NAME")</f>
        <v/>
      </c>
      <c r="P39" s="12" t="str">
        <f>_xll.SNL.Clients.Office.Excel.Functions.SPG(I39, "SP_ULT_PARENT_COUNTRY")</f>
        <v/>
      </c>
      <c r="Q39" s="12" t="str">
        <f>_xll.SNL.Clients.Office.Excel.Functions.SPG(I39, "SP_PARENT_COMPANY_NAME")</f>
        <v/>
      </c>
      <c r="R39" s="12" t="str">
        <f>_xll.SNL.Clients.Office.Excel.Functions.SPG(I39, "SP_PARENT_COUNTRY")</f>
        <v/>
      </c>
      <c r="S39" s="12" t="str">
        <f>_xll.SNL.Clients.Office.Excel.Functions.SPG(I39, "SP_COUNTRY_NAME")</f>
        <v>China</v>
      </c>
    </row>
    <row r="40" spans="1:19" x14ac:dyDescent="0.35">
      <c r="A40" s="5">
        <v>46022</v>
      </c>
      <c r="B40" s="4" t="s">
        <v>174</v>
      </c>
      <c r="C40" s="4" t="s">
        <v>175</v>
      </c>
      <c r="D40" s="4" t="s">
        <v>966</v>
      </c>
      <c r="E40" s="8">
        <v>10948123</v>
      </c>
      <c r="F40" s="7">
        <v>100</v>
      </c>
      <c r="G40" s="12" t="str">
        <f>[1]!SNLData("243327", C40, "OWNER_LIST")</f>
        <v>Baiyin Deep Mining Co., Ltd.  100%</v>
      </c>
      <c r="H40" s="9">
        <f>[1]!SNLData("243327", C40, "OWNER_SNL_INSTN_KEY", "Owner 1")</f>
        <v>10948123</v>
      </c>
      <c r="I40" s="9" t="str">
        <f>[1]!SNLData("243327", C40, "OWNER_SNL_INSTN_KEY", "Owner 2")</f>
        <v>NA</v>
      </c>
      <c r="J40" s="12" t="str">
        <f>_xll.SNL.Clients.Office.Excel.Functions.SPG(H40, "SP_ULT_PARENT_COMPANY_NAME")</f>
        <v/>
      </c>
      <c r="K40" s="12" t="str">
        <f>_xll.SNL.Clients.Office.Excel.Functions.SPG(H40, "SP_ULT_PARENT_COUNTRY")</f>
        <v/>
      </c>
      <c r="L40" s="12" t="str">
        <f>_xll.SNL.Clients.Office.Excel.Functions.SPG(H40, "SP_PARENT_COMPANY_NAME")</f>
        <v/>
      </c>
      <c r="M40" s="12" t="str">
        <f>_xll.SNL.Clients.Office.Excel.Functions.SPG(H40, "SP_PARENT_COUNTRY")</f>
        <v/>
      </c>
      <c r="N40" s="12" t="str">
        <f>_xll.SNL.Clients.Office.Excel.Functions.SPG(H40, "SP_COUNTRY_NAME")</f>
        <v>China</v>
      </c>
      <c r="O40" s="12" t="str">
        <f>_xll.SNL.Clients.Office.Excel.Functions.SPG(I40, "SP_ULT_PARENT_COMPANY_NAME")</f>
        <v/>
      </c>
      <c r="P40" s="12" t="str">
        <f>_xll.SNL.Clients.Office.Excel.Functions.SPG(I40, "SP_ULT_PARENT_COUNTRY")</f>
        <v/>
      </c>
      <c r="Q40" s="12" t="str">
        <f>_xll.SNL.Clients.Office.Excel.Functions.SPG(I40, "SP_PARENT_COMPANY_NAME")</f>
        <v/>
      </c>
      <c r="R40" s="12" t="str">
        <f>_xll.SNL.Clients.Office.Excel.Functions.SPG(I40, "SP_PARENT_COUNTRY")</f>
        <v/>
      </c>
      <c r="S40" s="12" t="str">
        <f>_xll.SNL.Clients.Office.Excel.Functions.SPG(I40, "SP_COUNTRY_NAME")</f>
        <v>China</v>
      </c>
    </row>
    <row r="41" spans="1:19" x14ac:dyDescent="0.35">
      <c r="A41" s="5">
        <v>46022</v>
      </c>
      <c r="B41" s="4" t="s">
        <v>176</v>
      </c>
      <c r="C41" s="4" t="s">
        <v>177</v>
      </c>
      <c r="D41" s="4" t="s">
        <v>967</v>
      </c>
      <c r="E41" s="8">
        <v>10931218</v>
      </c>
      <c r="F41" s="7">
        <v>100</v>
      </c>
      <c r="G41" s="12" t="str">
        <f>[1]!SNLData("243327", C41, "OWNER_LIST")</f>
        <v>Yangxin County Xincheng Mining Co., Ltd.  100%</v>
      </c>
      <c r="H41" s="9">
        <f>[1]!SNLData("243327", C41, "OWNER_SNL_INSTN_KEY", "Owner 1")</f>
        <v>10931218</v>
      </c>
      <c r="I41" s="9" t="str">
        <f>[1]!SNLData("243327", C41, "OWNER_SNL_INSTN_KEY", "Owner 2")</f>
        <v>NA</v>
      </c>
      <c r="J41" s="12" t="str">
        <f>_xll.SNL.Clients.Office.Excel.Functions.SPG(H41, "SP_ULT_PARENT_COMPANY_NAME")</f>
        <v/>
      </c>
      <c r="K41" s="12" t="str">
        <f>_xll.SNL.Clients.Office.Excel.Functions.SPG(H41, "SP_ULT_PARENT_COUNTRY")</f>
        <v/>
      </c>
      <c r="L41" s="12" t="str">
        <f>_xll.SNL.Clients.Office.Excel.Functions.SPG(H41, "SP_PARENT_COMPANY_NAME")</f>
        <v/>
      </c>
      <c r="M41" s="12" t="str">
        <f>_xll.SNL.Clients.Office.Excel.Functions.SPG(H41, "SP_PARENT_COUNTRY")</f>
        <v/>
      </c>
      <c r="N41" s="12" t="str">
        <f>_xll.SNL.Clients.Office.Excel.Functions.SPG(H41, "SP_COUNTRY_NAME")</f>
        <v>China</v>
      </c>
      <c r="O41" s="12" t="str">
        <f>_xll.SNL.Clients.Office.Excel.Functions.SPG(I41, "SP_ULT_PARENT_COMPANY_NAME")</f>
        <v/>
      </c>
      <c r="P41" s="12" t="str">
        <f>_xll.SNL.Clients.Office.Excel.Functions.SPG(I41, "SP_ULT_PARENT_COUNTRY")</f>
        <v/>
      </c>
      <c r="Q41" s="12" t="str">
        <f>_xll.SNL.Clients.Office.Excel.Functions.SPG(I41, "SP_PARENT_COMPANY_NAME")</f>
        <v/>
      </c>
      <c r="R41" s="12" t="str">
        <f>_xll.SNL.Clients.Office.Excel.Functions.SPG(I41, "SP_PARENT_COUNTRY")</f>
        <v/>
      </c>
      <c r="S41" s="12" t="str">
        <f>_xll.SNL.Clients.Office.Excel.Functions.SPG(I41, "SP_COUNTRY_NAME")</f>
        <v>China</v>
      </c>
    </row>
    <row r="42" spans="1:19" ht="29" x14ac:dyDescent="0.35">
      <c r="A42" s="5">
        <v>46022</v>
      </c>
      <c r="B42" s="4" t="s">
        <v>84</v>
      </c>
      <c r="C42" s="4" t="s">
        <v>85</v>
      </c>
      <c r="D42" s="4" t="s">
        <v>968</v>
      </c>
      <c r="E42" s="8">
        <v>4355114</v>
      </c>
      <c r="F42" s="7">
        <v>79.78</v>
      </c>
      <c r="G42" s="12" t="str">
        <f>[1]!SNLData("243327", C42, "OWNER_LIST")</f>
        <v>Ural Mining and Metallurgical Company  79.78%</v>
      </c>
      <c r="H42" s="9">
        <f>[1]!SNLData("243327", C42, "OWNER_SNL_INSTN_KEY", "Owner 1")</f>
        <v>4355114</v>
      </c>
      <c r="I42" s="9" t="str">
        <f>[1]!SNLData("243327", C42, "OWNER_SNL_INSTN_KEY", "Owner 2")</f>
        <v>NA</v>
      </c>
      <c r="J42" s="12" t="str">
        <f>_xll.SNL.Clients.Office.Excel.Functions.SPG(H42, "SP_ULT_PARENT_COMPANY_NAME")</f>
        <v>Mineral Power Limited</v>
      </c>
      <c r="K42" s="12" t="str">
        <f>_xll.SNL.Clients.Office.Excel.Functions.SPG(H42, "SP_ULT_PARENT_COUNTRY")</f>
        <v>Hong Kong</v>
      </c>
      <c r="L42" s="12" t="str">
        <f>_xll.SNL.Clients.Office.Excel.Functions.SPG(H42, "SP_PARENT_COMPANY_NAME")</f>
        <v>SELMARECO LTD.</v>
      </c>
      <c r="M42" s="12" t="str">
        <f>_xll.SNL.Clients.Office.Excel.Functions.SPG(H42, "SP_PARENT_COUNTRY")</f>
        <v>Cyprus</v>
      </c>
      <c r="N42" s="12" t="str">
        <f>_xll.SNL.Clients.Office.Excel.Functions.SPG(H42, "SP_COUNTRY_NAME")</f>
        <v>Russia</v>
      </c>
      <c r="O42" s="12" t="str">
        <f>_xll.SNL.Clients.Office.Excel.Functions.SPG(I42, "SP_ULT_PARENT_COMPANY_NAME")</f>
        <v/>
      </c>
      <c r="P42" s="12" t="str">
        <f>_xll.SNL.Clients.Office.Excel.Functions.SPG(I42, "SP_ULT_PARENT_COUNTRY")</f>
        <v/>
      </c>
      <c r="Q42" s="12" t="str">
        <f>_xll.SNL.Clients.Office.Excel.Functions.SPG(I42, "SP_PARENT_COMPANY_NAME")</f>
        <v/>
      </c>
      <c r="R42" s="12" t="str">
        <f>_xll.SNL.Clients.Office.Excel.Functions.SPG(I42, "SP_PARENT_COUNTRY")</f>
        <v/>
      </c>
      <c r="S42" s="12" t="str">
        <f>_xll.SNL.Clients.Office.Excel.Functions.SPG(I42, "SP_COUNTRY_NAME")</f>
        <v>China</v>
      </c>
    </row>
    <row r="43" spans="1:19" ht="29" x14ac:dyDescent="0.35">
      <c r="A43" s="5">
        <v>46022</v>
      </c>
      <c r="B43" s="4" t="s">
        <v>683</v>
      </c>
      <c r="C43" s="4" t="s">
        <v>684</v>
      </c>
      <c r="D43" s="4" t="s">
        <v>969</v>
      </c>
      <c r="E43" s="8">
        <v>4754148</v>
      </c>
      <c r="F43" s="7">
        <v>99.99</v>
      </c>
      <c r="G43" s="12" t="str">
        <f>[1]!SNLData("243327", C43, "OWNER_LIST")</f>
        <v>PT Amman Mineral Internasional Tbk (Venturer) 99.99%; PT AP Investment (Venturer) 0.01%</v>
      </c>
      <c r="H43" s="9">
        <f>[1]!SNLData("243327", C43, "OWNER_SNL_INSTN_KEY", "Owner 1")</f>
        <v>4754148</v>
      </c>
      <c r="I43" s="9">
        <f>[1]!SNLData("243327", C43, "OWNER_SNL_INSTN_KEY", "Owner 2")</f>
        <v>7700419</v>
      </c>
      <c r="J43" s="12" t="str">
        <f>_xll.SNL.Clients.Office.Excel.Functions.SPG(H43, "SP_ULT_PARENT_COMPANY_NAME")</f>
        <v/>
      </c>
      <c r="K43" s="12" t="str">
        <f>_xll.SNL.Clients.Office.Excel.Functions.SPG(H43, "SP_ULT_PARENT_COUNTRY")</f>
        <v/>
      </c>
      <c r="L43" s="12" t="str">
        <f>_xll.SNL.Clients.Office.Excel.Functions.SPG(H43, "SP_PARENT_COMPANY_NAME")</f>
        <v/>
      </c>
      <c r="M43" s="12" t="str">
        <f>_xll.SNL.Clients.Office.Excel.Functions.SPG(H43, "SP_PARENT_COUNTRY")</f>
        <v/>
      </c>
      <c r="N43" s="12" t="str">
        <f>_xll.SNL.Clients.Office.Excel.Functions.SPG(H43, "SP_COUNTRY_NAME")</f>
        <v>Indonesia</v>
      </c>
      <c r="O43" s="12" t="str">
        <f>_xll.SNL.Clients.Office.Excel.Functions.SPG(I43, "SP_ULT_PARENT_COMPANY_NAME")</f>
        <v/>
      </c>
      <c r="P43" s="12" t="str">
        <f>_xll.SNL.Clients.Office.Excel.Functions.SPG(I43, "SP_ULT_PARENT_COUNTRY")</f>
        <v/>
      </c>
      <c r="Q43" s="12" t="str">
        <f>_xll.SNL.Clients.Office.Excel.Functions.SPG(I43, "SP_PARENT_COMPANY_NAME")</f>
        <v/>
      </c>
      <c r="R43" s="12" t="str">
        <f>_xll.SNL.Clients.Office.Excel.Functions.SPG(I43, "SP_PARENT_COUNTRY")</f>
        <v/>
      </c>
      <c r="S43" s="12" t="str">
        <f>_xll.SNL.Clients.Office.Excel.Functions.SPG(I43, "SP_COUNTRY_NAME")</f>
        <v>Indonesia</v>
      </c>
    </row>
    <row r="44" spans="1:19" ht="29" x14ac:dyDescent="0.35">
      <c r="A44" s="5">
        <v>46022</v>
      </c>
      <c r="B44" s="4" t="s">
        <v>683</v>
      </c>
      <c r="C44" s="4" t="s">
        <v>684</v>
      </c>
      <c r="D44" s="4" t="s">
        <v>970</v>
      </c>
      <c r="E44" s="8">
        <v>7700419</v>
      </c>
      <c r="F44" s="7">
        <v>0.01</v>
      </c>
      <c r="G44" s="12" t="str">
        <f>[1]!SNLData("243327", C44, "OWNER_LIST")</f>
        <v>PT Amman Mineral Internasional Tbk (Venturer) 99.99%; PT AP Investment (Venturer) 0.01%</v>
      </c>
      <c r="H44" s="9">
        <f>[1]!SNLData("243327", C44, "OWNER_SNL_INSTN_KEY", "Owner 1")</f>
        <v>4754148</v>
      </c>
      <c r="I44" s="9">
        <f>[1]!SNLData("243327", C44, "OWNER_SNL_INSTN_KEY", "Owner 2")</f>
        <v>7700419</v>
      </c>
      <c r="J44" s="12" t="str">
        <f>_xll.SNL.Clients.Office.Excel.Functions.SPG(H44, "SP_ULT_PARENT_COMPANY_NAME")</f>
        <v/>
      </c>
      <c r="K44" s="12" t="str">
        <f>_xll.SNL.Clients.Office.Excel.Functions.SPG(H44, "SP_ULT_PARENT_COUNTRY")</f>
        <v/>
      </c>
      <c r="L44" s="12" t="str">
        <f>_xll.SNL.Clients.Office.Excel.Functions.SPG(H44, "SP_PARENT_COMPANY_NAME")</f>
        <v/>
      </c>
      <c r="M44" s="12" t="str">
        <f>_xll.SNL.Clients.Office.Excel.Functions.SPG(H44, "SP_PARENT_COUNTRY")</f>
        <v/>
      </c>
      <c r="N44" s="12" t="str">
        <f>_xll.SNL.Clients.Office.Excel.Functions.SPG(H44, "SP_COUNTRY_NAME")</f>
        <v>Indonesia</v>
      </c>
      <c r="O44" s="12" t="str">
        <f>_xll.SNL.Clients.Office.Excel.Functions.SPG(I44, "SP_ULT_PARENT_COMPANY_NAME")</f>
        <v/>
      </c>
      <c r="P44" s="12" t="str">
        <f>_xll.SNL.Clients.Office.Excel.Functions.SPG(I44, "SP_ULT_PARENT_COUNTRY")</f>
        <v/>
      </c>
      <c r="Q44" s="12" t="str">
        <f>_xll.SNL.Clients.Office.Excel.Functions.SPG(I44, "SP_PARENT_COMPANY_NAME")</f>
        <v/>
      </c>
      <c r="R44" s="12" t="str">
        <f>_xll.SNL.Clients.Office.Excel.Functions.SPG(I44, "SP_PARENT_COUNTRY")</f>
        <v/>
      </c>
      <c r="S44" s="12" t="str">
        <f>_xll.SNL.Clients.Office.Excel.Functions.SPG(I44, "SP_COUNTRY_NAME")</f>
        <v>Indonesia</v>
      </c>
    </row>
    <row r="45" spans="1:19" x14ac:dyDescent="0.35">
      <c r="A45" s="5">
        <v>46022</v>
      </c>
      <c r="B45" s="4" t="s">
        <v>80</v>
      </c>
      <c r="C45" s="4" t="s">
        <v>81</v>
      </c>
      <c r="D45" s="4" t="s">
        <v>971</v>
      </c>
      <c r="E45" s="8">
        <v>4149660</v>
      </c>
      <c r="F45" s="7">
        <v>100</v>
      </c>
      <c r="G45" s="12" t="str">
        <f>[1]!SNLData("243327", C45, "OWNER_LIST")</f>
        <v>Rio Tinto Group  100%</v>
      </c>
      <c r="H45" s="9">
        <f>[1]!SNLData("243327", C45, "OWNER_SNL_INSTN_KEY", "Owner 1")</f>
        <v>4149660</v>
      </c>
      <c r="I45" s="9" t="str">
        <f>[1]!SNLData("243327", C45, "OWNER_SNL_INSTN_KEY", "Owner 2")</f>
        <v>NA</v>
      </c>
      <c r="J45" s="12" t="str">
        <f>_xll.SNL.Clients.Office.Excel.Functions.SPG(H45, "SP_ULT_PARENT_COMPANY_NAME")</f>
        <v/>
      </c>
      <c r="K45" s="12" t="str">
        <f>_xll.SNL.Clients.Office.Excel.Functions.SPG(H45, "SP_ULT_PARENT_COUNTRY")</f>
        <v/>
      </c>
      <c r="L45" s="12" t="str">
        <f>_xll.SNL.Clients.Office.Excel.Functions.SPG(H45, "SP_PARENT_COMPANY_NAME")</f>
        <v/>
      </c>
      <c r="M45" s="12" t="str">
        <f>_xll.SNL.Clients.Office.Excel.Functions.SPG(H45, "SP_PARENT_COUNTRY")</f>
        <v/>
      </c>
      <c r="N45" s="12" t="str">
        <f>_xll.SNL.Clients.Office.Excel.Functions.SPG(H45, "SP_COUNTRY_NAME")</f>
        <v>United Kingdom</v>
      </c>
      <c r="O45" s="12" t="str">
        <f>_xll.SNL.Clients.Office.Excel.Functions.SPG(I45, "SP_ULT_PARENT_COMPANY_NAME")</f>
        <v/>
      </c>
      <c r="P45" s="12" t="str">
        <f>_xll.SNL.Clients.Office.Excel.Functions.SPG(I45, "SP_ULT_PARENT_COUNTRY")</f>
        <v/>
      </c>
      <c r="Q45" s="12" t="str">
        <f>_xll.SNL.Clients.Office.Excel.Functions.SPG(I45, "SP_PARENT_COMPANY_NAME")</f>
        <v/>
      </c>
      <c r="R45" s="12" t="str">
        <f>_xll.SNL.Clients.Office.Excel.Functions.SPG(I45, "SP_PARENT_COUNTRY")</f>
        <v/>
      </c>
      <c r="S45" s="12" t="str">
        <f>_xll.SNL.Clients.Office.Excel.Functions.SPG(I45, "SP_COUNTRY_NAME")</f>
        <v>China</v>
      </c>
    </row>
    <row r="46" spans="1:19" ht="29" x14ac:dyDescent="0.35">
      <c r="A46" s="5">
        <v>46022</v>
      </c>
      <c r="B46" s="4" t="s">
        <v>685</v>
      </c>
      <c r="C46" s="4" t="s">
        <v>686</v>
      </c>
      <c r="D46" s="4" t="s">
        <v>972</v>
      </c>
      <c r="E46" s="8">
        <v>4350038</v>
      </c>
      <c r="F46" s="7">
        <v>45</v>
      </c>
      <c r="G46" s="12" t="str">
        <f>[1]!SNLData("243327", C46, "OWNER_LIST")</f>
        <v>Eritrean National Mining Corporation  45%; Zijin Mining Group Company Limited (Venturer) 55%</v>
      </c>
      <c r="H46" s="9">
        <f>[1]!SNLData("243327", C46, "OWNER_SNL_INSTN_KEY", "Owner 1")</f>
        <v>4355642</v>
      </c>
      <c r="I46" s="9">
        <f>[1]!SNLData("243327", C46, "OWNER_SNL_INSTN_KEY", "Owner 2")</f>
        <v>4350038</v>
      </c>
      <c r="J46" s="12" t="str">
        <f>_xll.SNL.Clients.Office.Excel.Functions.SPG(H46, "SP_ULT_PARENT_COMPANY_NAME")</f>
        <v/>
      </c>
      <c r="K46" s="12" t="str">
        <f>_xll.SNL.Clients.Office.Excel.Functions.SPG(H46, "SP_ULT_PARENT_COUNTRY")</f>
        <v/>
      </c>
      <c r="L46" s="12" t="str">
        <f>_xll.SNL.Clients.Office.Excel.Functions.SPG(H46, "SP_PARENT_COMPANY_NAME")</f>
        <v/>
      </c>
      <c r="M46" s="12" t="str">
        <f>_xll.SNL.Clients.Office.Excel.Functions.SPG(H46, "SP_PARENT_COUNTRY")</f>
        <v/>
      </c>
      <c r="N46" s="12" t="str">
        <f>_xll.SNL.Clients.Office.Excel.Functions.SPG(H46, "SP_COUNTRY_NAME")</f>
        <v>China</v>
      </c>
      <c r="O46" s="12" t="str">
        <f>_xll.SNL.Clients.Office.Excel.Functions.SPG(I46, "SP_ULT_PARENT_COMPANY_NAME")</f>
        <v/>
      </c>
      <c r="P46" s="12" t="str">
        <f>_xll.SNL.Clients.Office.Excel.Functions.SPG(I46, "SP_ULT_PARENT_COUNTRY")</f>
        <v/>
      </c>
      <c r="Q46" s="12" t="str">
        <f>_xll.SNL.Clients.Office.Excel.Functions.SPG(I46, "SP_PARENT_COMPANY_NAME")</f>
        <v/>
      </c>
      <c r="R46" s="12" t="str">
        <f>_xll.SNL.Clients.Office.Excel.Functions.SPG(I46, "SP_PARENT_COUNTRY")</f>
        <v/>
      </c>
      <c r="S46" s="12" t="str">
        <f>_xll.SNL.Clients.Office.Excel.Functions.SPG(I46, "SP_COUNTRY_NAME")</f>
        <v>Eritrea</v>
      </c>
    </row>
    <row r="47" spans="1:19" ht="29" x14ac:dyDescent="0.35">
      <c r="A47" s="5">
        <v>46022</v>
      </c>
      <c r="B47" s="4" t="s">
        <v>685</v>
      </c>
      <c r="C47" s="4" t="s">
        <v>686</v>
      </c>
      <c r="D47" s="4" t="s">
        <v>958</v>
      </c>
      <c r="E47" s="8">
        <v>4355642</v>
      </c>
      <c r="F47" s="7">
        <v>55</v>
      </c>
      <c r="G47" s="12" t="str">
        <f>[1]!SNLData("243327", C47, "OWNER_LIST")</f>
        <v>Eritrean National Mining Corporation  45%; Zijin Mining Group Company Limited (Venturer) 55%</v>
      </c>
      <c r="H47" s="9">
        <f>[1]!SNLData("243327", C47, "OWNER_SNL_INSTN_KEY", "Owner 1")</f>
        <v>4355642</v>
      </c>
      <c r="I47" s="9">
        <f>[1]!SNLData("243327", C47, "OWNER_SNL_INSTN_KEY", "Owner 2")</f>
        <v>4350038</v>
      </c>
      <c r="J47" s="12" t="str">
        <f>_xll.SNL.Clients.Office.Excel.Functions.SPG(H47, "SP_ULT_PARENT_COMPANY_NAME")</f>
        <v/>
      </c>
      <c r="K47" s="12" t="str">
        <f>_xll.SNL.Clients.Office.Excel.Functions.SPG(H47, "SP_ULT_PARENT_COUNTRY")</f>
        <v/>
      </c>
      <c r="L47" s="12" t="str">
        <f>_xll.SNL.Clients.Office.Excel.Functions.SPG(H47, "SP_PARENT_COMPANY_NAME")</f>
        <v/>
      </c>
      <c r="M47" s="12" t="str">
        <f>_xll.SNL.Clients.Office.Excel.Functions.SPG(H47, "SP_PARENT_COUNTRY")</f>
        <v/>
      </c>
      <c r="N47" s="12" t="str">
        <f>_xll.SNL.Clients.Office.Excel.Functions.SPG(H47, "SP_COUNTRY_NAME")</f>
        <v>China</v>
      </c>
      <c r="O47" s="12" t="str">
        <f>_xll.SNL.Clients.Office.Excel.Functions.SPG(I47, "SP_ULT_PARENT_COMPANY_NAME")</f>
        <v/>
      </c>
      <c r="P47" s="12" t="str">
        <f>_xll.SNL.Clients.Office.Excel.Functions.SPG(I47, "SP_ULT_PARENT_COUNTRY")</f>
        <v/>
      </c>
      <c r="Q47" s="12" t="str">
        <f>_xll.SNL.Clients.Office.Excel.Functions.SPG(I47, "SP_PARENT_COMPANY_NAME")</f>
        <v/>
      </c>
      <c r="R47" s="12" t="str">
        <f>_xll.SNL.Clients.Office.Excel.Functions.SPG(I47, "SP_PARENT_COUNTRY")</f>
        <v/>
      </c>
      <c r="S47" s="12" t="str">
        <f>_xll.SNL.Clients.Office.Excel.Functions.SPG(I47, "SP_COUNTRY_NAME")</f>
        <v>Eritrea</v>
      </c>
    </row>
    <row r="48" spans="1:19" ht="29" x14ac:dyDescent="0.35">
      <c r="A48" s="5">
        <v>46022</v>
      </c>
      <c r="B48" s="4" t="s">
        <v>82</v>
      </c>
      <c r="C48" s="4" t="s">
        <v>83</v>
      </c>
      <c r="D48" s="4" t="s">
        <v>973</v>
      </c>
      <c r="E48" s="8">
        <v>10931202</v>
      </c>
      <c r="F48" s="7">
        <v>100</v>
      </c>
      <c r="G48" s="12" t="str">
        <f>[1]!SNLData("243327", C48, "OWNER_LIST")</f>
        <v>Shanxi Zhongtiaoshan Nonferrous Metals Group Zizigou Mining Co., Ltd.  100%</v>
      </c>
      <c r="H48" s="9">
        <f>[1]!SNLData("243327", C48, "OWNER_SNL_INSTN_KEY", "Owner 1")</f>
        <v>10931202</v>
      </c>
      <c r="I48" s="9" t="str">
        <f>[1]!SNLData("243327", C48, "OWNER_SNL_INSTN_KEY", "Owner 2")</f>
        <v>NA</v>
      </c>
      <c r="J48" s="12" t="str">
        <f>_xll.SNL.Clients.Office.Excel.Functions.SPG(H48, "SP_ULT_PARENT_COMPANY_NAME")</f>
        <v/>
      </c>
      <c r="K48" s="12" t="str">
        <f>_xll.SNL.Clients.Office.Excel.Functions.SPG(H48, "SP_ULT_PARENT_COUNTRY")</f>
        <v/>
      </c>
      <c r="L48" s="12" t="str">
        <f>_xll.SNL.Clients.Office.Excel.Functions.SPG(H48, "SP_PARENT_COMPANY_NAME")</f>
        <v/>
      </c>
      <c r="M48" s="12" t="str">
        <f>_xll.SNL.Clients.Office.Excel.Functions.SPG(H48, "SP_PARENT_COUNTRY")</f>
        <v/>
      </c>
      <c r="N48" s="12" t="str">
        <f>_xll.SNL.Clients.Office.Excel.Functions.SPG(H48, "SP_COUNTRY_NAME")</f>
        <v>China</v>
      </c>
      <c r="O48" s="12" t="str">
        <f>_xll.SNL.Clients.Office.Excel.Functions.SPG(I48, "SP_ULT_PARENT_COMPANY_NAME")</f>
        <v/>
      </c>
      <c r="P48" s="12" t="str">
        <f>_xll.SNL.Clients.Office.Excel.Functions.SPG(I48, "SP_ULT_PARENT_COUNTRY")</f>
        <v/>
      </c>
      <c r="Q48" s="12" t="str">
        <f>_xll.SNL.Clients.Office.Excel.Functions.SPG(I48, "SP_PARENT_COMPANY_NAME")</f>
        <v/>
      </c>
      <c r="R48" s="12" t="str">
        <f>_xll.SNL.Clients.Office.Excel.Functions.SPG(I48, "SP_PARENT_COUNTRY")</f>
        <v/>
      </c>
      <c r="S48" s="12" t="str">
        <f>_xll.SNL.Clients.Office.Excel.Functions.SPG(I48, "SP_COUNTRY_NAME")</f>
        <v>China</v>
      </c>
    </row>
    <row r="49" spans="1:19" ht="29" x14ac:dyDescent="0.35">
      <c r="A49" s="5">
        <v>46022</v>
      </c>
      <c r="B49" s="4" t="s">
        <v>688</v>
      </c>
      <c r="C49" s="4" t="s">
        <v>689</v>
      </c>
      <c r="D49" s="4" t="s">
        <v>974</v>
      </c>
      <c r="E49" s="8">
        <v>4226974</v>
      </c>
      <c r="F49" s="7">
        <v>26</v>
      </c>
      <c r="G49" s="12" t="str">
        <f>[1]!SNLData("243327", C49, "OWNER_LIST")</f>
        <v>Exxaro Resources Limited (Venturer) 26%; Vedanta Limited (Venturer) 74%</v>
      </c>
      <c r="H49" s="9">
        <f>[1]!SNLData("243327", C49, "OWNER_SNL_INSTN_KEY", "Owner 1")</f>
        <v>4354101</v>
      </c>
      <c r="I49" s="9">
        <f>[1]!SNLData("243327", C49, "OWNER_SNL_INSTN_KEY", "Owner 2")</f>
        <v>4226974</v>
      </c>
      <c r="J49" s="12" t="str">
        <f>_xll.SNL.Clients.Office.Excel.Functions.SPG(H49, "SP_ULT_PARENT_COMPANY_NAME")</f>
        <v/>
      </c>
      <c r="K49" s="12" t="str">
        <f>_xll.SNL.Clients.Office.Excel.Functions.SPG(H49, "SP_ULT_PARENT_COUNTRY")</f>
        <v/>
      </c>
      <c r="L49" s="12" t="str">
        <f>_xll.SNL.Clients.Office.Excel.Functions.SPG(H49, "SP_PARENT_COMPANY_NAME")</f>
        <v/>
      </c>
      <c r="M49" s="12" t="str">
        <f>_xll.SNL.Clients.Office.Excel.Functions.SPG(H49, "SP_PARENT_COUNTRY")</f>
        <v/>
      </c>
      <c r="N49" s="12" t="str">
        <f>_xll.SNL.Clients.Office.Excel.Functions.SPG(H49, "SP_COUNTRY_NAME")</f>
        <v>India</v>
      </c>
      <c r="O49" s="12" t="str">
        <f>_xll.SNL.Clients.Office.Excel.Functions.SPG(I49, "SP_ULT_PARENT_COMPANY_NAME")</f>
        <v/>
      </c>
      <c r="P49" s="12" t="str">
        <f>_xll.SNL.Clients.Office.Excel.Functions.SPG(I49, "SP_ULT_PARENT_COUNTRY")</f>
        <v/>
      </c>
      <c r="Q49" s="12" t="str">
        <f>_xll.SNL.Clients.Office.Excel.Functions.SPG(I49, "SP_PARENT_COMPANY_NAME")</f>
        <v/>
      </c>
      <c r="R49" s="12" t="str">
        <f>_xll.SNL.Clients.Office.Excel.Functions.SPG(I49, "SP_PARENT_COUNTRY")</f>
        <v/>
      </c>
      <c r="S49" s="12" t="str">
        <f>_xll.SNL.Clients.Office.Excel.Functions.SPG(I49, "SP_COUNTRY_NAME")</f>
        <v>South Africa</v>
      </c>
    </row>
    <row r="50" spans="1:19" ht="29" x14ac:dyDescent="0.35">
      <c r="A50" s="5">
        <v>46022</v>
      </c>
      <c r="B50" s="4" t="s">
        <v>688</v>
      </c>
      <c r="C50" s="4" t="s">
        <v>689</v>
      </c>
      <c r="D50" s="4" t="s">
        <v>975</v>
      </c>
      <c r="E50" s="8">
        <v>4354101</v>
      </c>
      <c r="F50" s="7">
        <v>74</v>
      </c>
      <c r="G50" s="12" t="str">
        <f>[1]!SNLData("243327", C50, "OWNER_LIST")</f>
        <v>Exxaro Resources Limited (Venturer) 26%; Vedanta Limited (Venturer) 74%</v>
      </c>
      <c r="H50" s="9">
        <f>[1]!SNLData("243327", C50, "OWNER_SNL_INSTN_KEY", "Owner 1")</f>
        <v>4354101</v>
      </c>
      <c r="I50" s="9">
        <f>[1]!SNLData("243327", C50, "OWNER_SNL_INSTN_KEY", "Owner 2")</f>
        <v>4226974</v>
      </c>
      <c r="J50" s="12" t="str">
        <f>_xll.SNL.Clients.Office.Excel.Functions.SPG(H50, "SP_ULT_PARENT_COMPANY_NAME")</f>
        <v/>
      </c>
      <c r="K50" s="12" t="str">
        <f>_xll.SNL.Clients.Office.Excel.Functions.SPG(H50, "SP_ULT_PARENT_COUNTRY")</f>
        <v/>
      </c>
      <c r="L50" s="12" t="str">
        <f>_xll.SNL.Clients.Office.Excel.Functions.SPG(H50, "SP_PARENT_COMPANY_NAME")</f>
        <v/>
      </c>
      <c r="M50" s="12" t="str">
        <f>_xll.SNL.Clients.Office.Excel.Functions.SPG(H50, "SP_PARENT_COUNTRY")</f>
        <v/>
      </c>
      <c r="N50" s="12" t="str">
        <f>_xll.SNL.Clients.Office.Excel.Functions.SPG(H50, "SP_COUNTRY_NAME")</f>
        <v>India</v>
      </c>
      <c r="O50" s="12" t="str">
        <f>_xll.SNL.Clients.Office.Excel.Functions.SPG(I50, "SP_ULT_PARENT_COMPANY_NAME")</f>
        <v/>
      </c>
      <c r="P50" s="12" t="str">
        <f>_xll.SNL.Clients.Office.Excel.Functions.SPG(I50, "SP_ULT_PARENT_COUNTRY")</f>
        <v/>
      </c>
      <c r="Q50" s="12" t="str">
        <f>_xll.SNL.Clients.Office.Excel.Functions.SPG(I50, "SP_PARENT_COMPANY_NAME")</f>
        <v/>
      </c>
      <c r="R50" s="12" t="str">
        <f>_xll.SNL.Clients.Office.Excel.Functions.SPG(I50, "SP_PARENT_COUNTRY")</f>
        <v/>
      </c>
      <c r="S50" s="12" t="str">
        <f>_xll.SNL.Clients.Office.Excel.Functions.SPG(I50, "SP_COUNTRY_NAME")</f>
        <v>South Africa</v>
      </c>
    </row>
    <row r="51" spans="1:19" x14ac:dyDescent="0.35">
      <c r="A51" s="5">
        <v>46022</v>
      </c>
      <c r="B51" s="4" t="s">
        <v>87</v>
      </c>
      <c r="C51" s="4" t="s">
        <v>88</v>
      </c>
      <c r="D51" s="4" t="s">
        <v>976</v>
      </c>
      <c r="E51" s="8">
        <v>4075105</v>
      </c>
      <c r="F51" s="7">
        <v>100</v>
      </c>
      <c r="G51" s="12" t="str">
        <f>[1]!SNLData("243327", C51, "OWNER_LIST")</f>
        <v>Newmont Corporation  100%</v>
      </c>
      <c r="H51" s="9">
        <f>[1]!SNLData("243327", C51, "OWNER_SNL_INSTN_KEY", "Owner 1")</f>
        <v>4075105</v>
      </c>
      <c r="I51" s="9" t="str">
        <f>[1]!SNLData("243327", C51, "OWNER_SNL_INSTN_KEY", "Owner 2")</f>
        <v>NA</v>
      </c>
      <c r="J51" s="12" t="str">
        <f>_xll.SNL.Clients.Office.Excel.Functions.SPG(H51, "SP_ULT_PARENT_COMPANY_NAME")</f>
        <v/>
      </c>
      <c r="K51" s="12" t="str">
        <f>_xll.SNL.Clients.Office.Excel.Functions.SPG(H51, "SP_ULT_PARENT_COUNTRY")</f>
        <v/>
      </c>
      <c r="L51" s="12" t="str">
        <f>_xll.SNL.Clients.Office.Excel.Functions.SPG(H51, "SP_PARENT_COMPANY_NAME")</f>
        <v/>
      </c>
      <c r="M51" s="12" t="str">
        <f>_xll.SNL.Clients.Office.Excel.Functions.SPG(H51, "SP_PARENT_COUNTRY")</f>
        <v/>
      </c>
      <c r="N51" s="12" t="str">
        <f>_xll.SNL.Clients.Office.Excel.Functions.SPG(H51, "SP_COUNTRY_NAME")</f>
        <v>USA</v>
      </c>
      <c r="O51" s="12" t="str">
        <f>_xll.SNL.Clients.Office.Excel.Functions.SPG(I51, "SP_ULT_PARENT_COMPANY_NAME")</f>
        <v/>
      </c>
      <c r="P51" s="12" t="str">
        <f>_xll.SNL.Clients.Office.Excel.Functions.SPG(I51, "SP_ULT_PARENT_COUNTRY")</f>
        <v/>
      </c>
      <c r="Q51" s="12" t="str">
        <f>_xll.SNL.Clients.Office.Excel.Functions.SPG(I51, "SP_PARENT_COMPANY_NAME")</f>
        <v/>
      </c>
      <c r="R51" s="12" t="str">
        <f>_xll.SNL.Clients.Office.Excel.Functions.SPG(I51, "SP_PARENT_COUNTRY")</f>
        <v/>
      </c>
      <c r="S51" s="12" t="str">
        <f>_xll.SNL.Clients.Office.Excel.Functions.SPG(I51, "SP_COUNTRY_NAME")</f>
        <v>China</v>
      </c>
    </row>
    <row r="52" spans="1:19" x14ac:dyDescent="0.35">
      <c r="A52" s="5">
        <v>46022</v>
      </c>
      <c r="B52" s="4" t="s">
        <v>100</v>
      </c>
      <c r="C52" s="4" t="s">
        <v>101</v>
      </c>
      <c r="D52" s="4" t="s">
        <v>939</v>
      </c>
      <c r="E52" s="8">
        <v>4348654</v>
      </c>
      <c r="F52" s="7">
        <v>100</v>
      </c>
      <c r="G52" s="12" t="str">
        <f>[1]!SNLData("243327", C52, "OWNER_LIST")</f>
        <v>Boliden AB (publ)  100%</v>
      </c>
      <c r="H52" s="9">
        <f>[1]!SNLData("243327", C52, "OWNER_SNL_INSTN_KEY", "Owner 1")</f>
        <v>4348654</v>
      </c>
      <c r="I52" s="9" t="str">
        <f>[1]!SNLData("243327", C52, "OWNER_SNL_INSTN_KEY", "Owner 2")</f>
        <v>NA</v>
      </c>
      <c r="J52" s="12" t="str">
        <f>_xll.SNL.Clients.Office.Excel.Functions.SPG(H52, "SP_ULT_PARENT_COMPANY_NAME")</f>
        <v/>
      </c>
      <c r="K52" s="12" t="str">
        <f>_xll.SNL.Clients.Office.Excel.Functions.SPG(H52, "SP_ULT_PARENT_COUNTRY")</f>
        <v/>
      </c>
      <c r="L52" s="12" t="str">
        <f>_xll.SNL.Clients.Office.Excel.Functions.SPG(H52, "SP_PARENT_COMPANY_NAME")</f>
        <v/>
      </c>
      <c r="M52" s="12" t="str">
        <f>_xll.SNL.Clients.Office.Excel.Functions.SPG(H52, "SP_PARENT_COUNTRY")</f>
        <v/>
      </c>
      <c r="N52" s="12" t="str">
        <f>_xll.SNL.Clients.Office.Excel.Functions.SPG(H52, "SP_COUNTRY_NAME")</f>
        <v>Sweden</v>
      </c>
      <c r="O52" s="12" t="str">
        <f>_xll.SNL.Clients.Office.Excel.Functions.SPG(I52, "SP_ULT_PARENT_COMPANY_NAME")</f>
        <v/>
      </c>
      <c r="P52" s="12" t="str">
        <f>_xll.SNL.Clients.Office.Excel.Functions.SPG(I52, "SP_ULT_PARENT_COUNTRY")</f>
        <v/>
      </c>
      <c r="Q52" s="12" t="str">
        <f>_xll.SNL.Clients.Office.Excel.Functions.SPG(I52, "SP_PARENT_COMPANY_NAME")</f>
        <v/>
      </c>
      <c r="R52" s="12" t="str">
        <f>_xll.SNL.Clients.Office.Excel.Functions.SPG(I52, "SP_PARENT_COUNTRY")</f>
        <v/>
      </c>
      <c r="S52" s="12" t="str">
        <f>_xll.SNL.Clients.Office.Excel.Functions.SPG(I52, "SP_COUNTRY_NAME")</f>
        <v>China</v>
      </c>
    </row>
    <row r="53" spans="1:19" x14ac:dyDescent="0.35">
      <c r="A53" s="5">
        <v>46022</v>
      </c>
      <c r="B53" s="4" t="s">
        <v>690</v>
      </c>
      <c r="C53" s="4" t="s">
        <v>691</v>
      </c>
      <c r="D53" s="4" t="s">
        <v>977</v>
      </c>
      <c r="E53" s="8">
        <v>29771747</v>
      </c>
      <c r="F53" s="7">
        <v>100</v>
      </c>
      <c r="G53" s="12" t="str">
        <f>[1]!SNLData("243327", C53, "OWNER_LIST")</f>
        <v>Alpayana S.A.C.  100%</v>
      </c>
      <c r="H53" s="9">
        <f>[1]!SNLData("243327", C53, "OWNER_SNL_INSTN_KEY", "Owner 1")</f>
        <v>29771747</v>
      </c>
      <c r="I53" s="9" t="str">
        <f>[1]!SNLData("243327", C53, "OWNER_SNL_INSTN_KEY", "Owner 2")</f>
        <v>NA</v>
      </c>
      <c r="J53" s="12" t="str">
        <f>_xll.SNL.Clients.Office.Excel.Functions.SPG(H53, "SP_ULT_PARENT_COMPANY_NAME")</f>
        <v/>
      </c>
      <c r="K53" s="12" t="str">
        <f>_xll.SNL.Clients.Office.Excel.Functions.SPG(H53, "SP_ULT_PARENT_COUNTRY")</f>
        <v/>
      </c>
      <c r="L53" s="12" t="str">
        <f>_xll.SNL.Clients.Office.Excel.Functions.SPG(H53, "SP_PARENT_COMPANY_NAME")</f>
        <v/>
      </c>
      <c r="M53" s="12" t="str">
        <f>_xll.SNL.Clients.Office.Excel.Functions.SPG(H53, "SP_PARENT_COUNTRY")</f>
        <v/>
      </c>
      <c r="N53" s="12" t="str">
        <f>_xll.SNL.Clients.Office.Excel.Functions.SPG(H53, "SP_COUNTRY_NAME")</f>
        <v>Peru</v>
      </c>
      <c r="O53" s="12" t="str">
        <f>_xll.SNL.Clients.Office.Excel.Functions.SPG(I53, "SP_ULT_PARENT_COMPANY_NAME")</f>
        <v/>
      </c>
      <c r="P53" s="12" t="str">
        <f>_xll.SNL.Clients.Office.Excel.Functions.SPG(I53, "SP_ULT_PARENT_COUNTRY")</f>
        <v/>
      </c>
      <c r="Q53" s="12" t="str">
        <f>_xll.SNL.Clients.Office.Excel.Functions.SPG(I53, "SP_PARENT_COMPANY_NAME")</f>
        <v/>
      </c>
      <c r="R53" s="12" t="str">
        <f>_xll.SNL.Clients.Office.Excel.Functions.SPG(I53, "SP_PARENT_COUNTRY")</f>
        <v/>
      </c>
      <c r="S53" s="12" t="str">
        <f>_xll.SNL.Clients.Office.Excel.Functions.SPG(I53, "SP_COUNTRY_NAME")</f>
        <v>China</v>
      </c>
    </row>
    <row r="54" spans="1:19" x14ac:dyDescent="0.35">
      <c r="A54" s="5">
        <v>46022</v>
      </c>
      <c r="B54" s="4" t="s">
        <v>692</v>
      </c>
      <c r="C54" s="4" t="s">
        <v>693</v>
      </c>
      <c r="D54" s="4" t="s">
        <v>978</v>
      </c>
      <c r="E54" s="8">
        <v>4264043</v>
      </c>
      <c r="F54" s="7">
        <v>100</v>
      </c>
      <c r="G54" s="12" t="str">
        <f>[1]!SNLData("243327", C54, "OWNER_LIST")</f>
        <v>Northam Platinum Holdings Limited  100%</v>
      </c>
      <c r="H54" s="9">
        <f>[1]!SNLData("243327", C54, "OWNER_SNL_INSTN_KEY", "Owner 1")</f>
        <v>4264043</v>
      </c>
      <c r="I54" s="9" t="str">
        <f>[1]!SNLData("243327", C54, "OWNER_SNL_INSTN_KEY", "Owner 2")</f>
        <v>NA</v>
      </c>
      <c r="J54" s="12" t="str">
        <f>_xll.SNL.Clients.Office.Excel.Functions.SPG(H54, "SP_ULT_PARENT_COMPANY_NAME")</f>
        <v/>
      </c>
      <c r="K54" s="12" t="str">
        <f>_xll.SNL.Clients.Office.Excel.Functions.SPG(H54, "SP_ULT_PARENT_COUNTRY")</f>
        <v/>
      </c>
      <c r="L54" s="12" t="str">
        <f>_xll.SNL.Clients.Office.Excel.Functions.SPG(H54, "SP_PARENT_COMPANY_NAME")</f>
        <v/>
      </c>
      <c r="M54" s="12" t="str">
        <f>_xll.SNL.Clients.Office.Excel.Functions.SPG(H54, "SP_PARENT_COUNTRY")</f>
        <v/>
      </c>
      <c r="N54" s="12" t="str">
        <f>_xll.SNL.Clients.Office.Excel.Functions.SPG(H54, "SP_COUNTRY_NAME")</f>
        <v>South Africa</v>
      </c>
      <c r="O54" s="12" t="str">
        <f>_xll.SNL.Clients.Office.Excel.Functions.SPG(I54, "SP_ULT_PARENT_COMPANY_NAME")</f>
        <v/>
      </c>
      <c r="P54" s="12" t="str">
        <f>_xll.SNL.Clients.Office.Excel.Functions.SPG(I54, "SP_ULT_PARENT_COUNTRY")</f>
        <v/>
      </c>
      <c r="Q54" s="12" t="str">
        <f>_xll.SNL.Clients.Office.Excel.Functions.SPG(I54, "SP_PARENT_COMPANY_NAME")</f>
        <v/>
      </c>
      <c r="R54" s="12" t="str">
        <f>_xll.SNL.Clients.Office.Excel.Functions.SPG(I54, "SP_PARENT_COUNTRY")</f>
        <v/>
      </c>
      <c r="S54" s="12" t="str">
        <f>_xll.SNL.Clients.Office.Excel.Functions.SPG(I54, "SP_COUNTRY_NAME")</f>
        <v>China</v>
      </c>
    </row>
    <row r="55" spans="1:19" x14ac:dyDescent="0.35">
      <c r="A55" s="5">
        <v>46022</v>
      </c>
      <c r="B55" s="4" t="s">
        <v>103</v>
      </c>
      <c r="C55" s="4" t="s">
        <v>104</v>
      </c>
      <c r="D55" s="4" t="s">
        <v>978</v>
      </c>
      <c r="E55" s="8">
        <v>4264043</v>
      </c>
      <c r="F55" s="7">
        <v>100</v>
      </c>
      <c r="G55" s="12" t="str">
        <f>[1]!SNLData("243327", C55, "OWNER_LIST")</f>
        <v>Northam Platinum Holdings Limited  100%</v>
      </c>
      <c r="H55" s="9">
        <f>[1]!SNLData("243327", C55, "OWNER_SNL_INSTN_KEY", "Owner 1")</f>
        <v>4264043</v>
      </c>
      <c r="I55" s="9" t="str">
        <f>[1]!SNLData("243327", C55, "OWNER_SNL_INSTN_KEY", "Owner 2")</f>
        <v>NA</v>
      </c>
      <c r="J55" s="12" t="str">
        <f>_xll.SNL.Clients.Office.Excel.Functions.SPG(H55, "SP_ULT_PARENT_COMPANY_NAME")</f>
        <v/>
      </c>
      <c r="K55" s="12" t="str">
        <f>_xll.SNL.Clients.Office.Excel.Functions.SPG(H55, "SP_ULT_PARENT_COUNTRY")</f>
        <v/>
      </c>
      <c r="L55" s="12" t="str">
        <f>_xll.SNL.Clients.Office.Excel.Functions.SPG(H55, "SP_PARENT_COMPANY_NAME")</f>
        <v/>
      </c>
      <c r="M55" s="12" t="str">
        <f>_xll.SNL.Clients.Office.Excel.Functions.SPG(H55, "SP_PARENT_COUNTRY")</f>
        <v/>
      </c>
      <c r="N55" s="12" t="str">
        <f>_xll.SNL.Clients.Office.Excel.Functions.SPG(H55, "SP_COUNTRY_NAME")</f>
        <v>South Africa</v>
      </c>
      <c r="O55" s="12" t="str">
        <f>_xll.SNL.Clients.Office.Excel.Functions.SPG(I55, "SP_ULT_PARENT_COMPANY_NAME")</f>
        <v/>
      </c>
      <c r="P55" s="12" t="str">
        <f>_xll.SNL.Clients.Office.Excel.Functions.SPG(I55, "SP_ULT_PARENT_COUNTRY")</f>
        <v/>
      </c>
      <c r="Q55" s="12" t="str">
        <f>_xll.SNL.Clients.Office.Excel.Functions.SPG(I55, "SP_PARENT_COMPANY_NAME")</f>
        <v/>
      </c>
      <c r="R55" s="12" t="str">
        <f>_xll.SNL.Clients.Office.Excel.Functions.SPG(I55, "SP_PARENT_COUNTRY")</f>
        <v/>
      </c>
      <c r="S55" s="12" t="str">
        <f>_xll.SNL.Clients.Office.Excel.Functions.SPG(I55, "SP_COUNTRY_NAME")</f>
        <v>China</v>
      </c>
    </row>
    <row r="56" spans="1:19" ht="29" x14ac:dyDescent="0.35">
      <c r="A56" s="5">
        <v>46022</v>
      </c>
      <c r="B56" s="4" t="s">
        <v>190</v>
      </c>
      <c r="C56" s="4" t="s">
        <v>191</v>
      </c>
      <c r="D56" s="4" t="s">
        <v>979</v>
      </c>
      <c r="E56" s="8">
        <v>4428541</v>
      </c>
      <c r="F56" s="7">
        <v>37</v>
      </c>
      <c r="G56" s="12" t="str">
        <f>[1]!SNLData("243327", C56, "OWNER_LIST")</f>
        <v>RTB Bor Group d.o.o. (Venturer) 37%; Zijin Mining Group Company Limited (Venturer) 63%</v>
      </c>
      <c r="H56" s="9">
        <f>[1]!SNLData("243327", C56, "OWNER_SNL_INSTN_KEY", "Owner 1")</f>
        <v>4355642</v>
      </c>
      <c r="I56" s="9">
        <f>[1]!SNLData("243327", C56, "OWNER_SNL_INSTN_KEY", "Owner 2")</f>
        <v>4428541</v>
      </c>
      <c r="J56" s="12" t="str">
        <f>_xll.SNL.Clients.Office.Excel.Functions.SPG(H56, "SP_ULT_PARENT_COMPANY_NAME")</f>
        <v/>
      </c>
      <c r="K56" s="12" t="str">
        <f>_xll.SNL.Clients.Office.Excel.Functions.SPG(H56, "SP_ULT_PARENT_COUNTRY")</f>
        <v/>
      </c>
      <c r="L56" s="12" t="str">
        <f>_xll.SNL.Clients.Office.Excel.Functions.SPG(H56, "SP_PARENT_COMPANY_NAME")</f>
        <v/>
      </c>
      <c r="M56" s="12" t="str">
        <f>_xll.SNL.Clients.Office.Excel.Functions.SPG(H56, "SP_PARENT_COUNTRY")</f>
        <v/>
      </c>
      <c r="N56" s="12" t="str">
        <f>_xll.SNL.Clients.Office.Excel.Functions.SPG(H56, "SP_COUNTRY_NAME")</f>
        <v>China</v>
      </c>
      <c r="O56" s="12" t="str">
        <f>_xll.SNL.Clients.Office.Excel.Functions.SPG(I56, "SP_ULT_PARENT_COMPANY_NAME")</f>
        <v>Zijin Mining Group Company Limited</v>
      </c>
      <c r="P56" s="12" t="str">
        <f>_xll.SNL.Clients.Office.Excel.Functions.SPG(I56, "SP_ULT_PARENT_COUNTRY")</f>
        <v>China</v>
      </c>
      <c r="Q56" s="12" t="str">
        <f>_xll.SNL.Clients.Office.Excel.Functions.SPG(I56, "SP_PARENT_COMPANY_NAME")</f>
        <v>Zijin Mining Group Company Limited</v>
      </c>
      <c r="R56" s="12" t="str">
        <f>_xll.SNL.Clients.Office.Excel.Functions.SPG(I56, "SP_PARENT_COUNTRY")</f>
        <v>China</v>
      </c>
      <c r="S56" s="12" t="str">
        <f>_xll.SNL.Clients.Office.Excel.Functions.SPG(I56, "SP_COUNTRY_NAME")</f>
        <v>Serbia</v>
      </c>
    </row>
    <row r="57" spans="1:19" ht="29" x14ac:dyDescent="0.35">
      <c r="A57" s="5">
        <v>46022</v>
      </c>
      <c r="B57" s="4" t="s">
        <v>190</v>
      </c>
      <c r="C57" s="4" t="s">
        <v>191</v>
      </c>
      <c r="D57" s="4" t="s">
        <v>958</v>
      </c>
      <c r="E57" s="8">
        <v>4355642</v>
      </c>
      <c r="F57" s="7">
        <v>63</v>
      </c>
      <c r="G57" s="12" t="str">
        <f>[1]!SNLData("243327", C57, "OWNER_LIST")</f>
        <v>RTB Bor Group d.o.o. (Venturer) 37%; Zijin Mining Group Company Limited (Venturer) 63%</v>
      </c>
      <c r="H57" s="9">
        <f>[1]!SNLData("243327", C57, "OWNER_SNL_INSTN_KEY", "Owner 1")</f>
        <v>4355642</v>
      </c>
      <c r="I57" s="9">
        <f>[1]!SNLData("243327", C57, "OWNER_SNL_INSTN_KEY", "Owner 2")</f>
        <v>4428541</v>
      </c>
      <c r="J57" s="12" t="str">
        <f>_xll.SNL.Clients.Office.Excel.Functions.SPG(H57, "SP_ULT_PARENT_COMPANY_NAME")</f>
        <v/>
      </c>
      <c r="K57" s="12" t="str">
        <f>_xll.SNL.Clients.Office.Excel.Functions.SPG(H57, "SP_ULT_PARENT_COUNTRY")</f>
        <v/>
      </c>
      <c r="L57" s="12" t="str">
        <f>_xll.SNL.Clients.Office.Excel.Functions.SPG(H57, "SP_PARENT_COMPANY_NAME")</f>
        <v/>
      </c>
      <c r="M57" s="12" t="str">
        <f>_xll.SNL.Clients.Office.Excel.Functions.SPG(H57, "SP_PARENT_COUNTRY")</f>
        <v/>
      </c>
      <c r="N57" s="12" t="str">
        <f>_xll.SNL.Clients.Office.Excel.Functions.SPG(H57, "SP_COUNTRY_NAME")</f>
        <v>China</v>
      </c>
      <c r="O57" s="12" t="str">
        <f>_xll.SNL.Clients.Office.Excel.Functions.SPG(I57, "SP_ULT_PARENT_COMPANY_NAME")</f>
        <v>Zijin Mining Group Company Limited</v>
      </c>
      <c r="P57" s="12" t="str">
        <f>_xll.SNL.Clients.Office.Excel.Functions.SPG(I57, "SP_ULT_PARENT_COUNTRY")</f>
        <v>China</v>
      </c>
      <c r="Q57" s="12" t="str">
        <f>_xll.SNL.Clients.Office.Excel.Functions.SPG(I57, "SP_PARENT_COMPANY_NAME")</f>
        <v>Zijin Mining Group Company Limited</v>
      </c>
      <c r="R57" s="12" t="str">
        <f>_xll.SNL.Clients.Office.Excel.Functions.SPG(I57, "SP_PARENT_COUNTRY")</f>
        <v>China</v>
      </c>
      <c r="S57" s="12" t="str">
        <f>_xll.SNL.Clients.Office.Excel.Functions.SPG(I57, "SP_COUNTRY_NAME")</f>
        <v>Serbia</v>
      </c>
    </row>
    <row r="58" spans="1:19" ht="29" x14ac:dyDescent="0.35">
      <c r="A58" s="5">
        <v>46022</v>
      </c>
      <c r="B58" s="4" t="s">
        <v>253</v>
      </c>
      <c r="C58" s="4" t="s">
        <v>254</v>
      </c>
      <c r="D58" s="4" t="s">
        <v>940</v>
      </c>
      <c r="E58" s="8">
        <v>4199214</v>
      </c>
      <c r="F58" s="7">
        <v>100</v>
      </c>
      <c r="G58" s="12" t="str">
        <f>[1]!SNLData("243327", C58, "OWNER_LIST")</f>
        <v>KAZ Minerals Limited  100%</v>
      </c>
      <c r="H58" s="9">
        <f>[1]!SNLData("243327", C58, "OWNER_SNL_INSTN_KEY", "Owner 1")</f>
        <v>4199214</v>
      </c>
      <c r="I58" s="9" t="str">
        <f>[1]!SNLData("243327", C58, "OWNER_SNL_INSTN_KEY", "Owner 2")</f>
        <v>NA</v>
      </c>
      <c r="J58" s="12" t="str">
        <f>_xll.SNL.Clients.Office.Excel.Functions.SPG(H58, "SP_ULT_PARENT_COMPANY_NAME")</f>
        <v>Trianon Limited</v>
      </c>
      <c r="K58" s="12" t="str">
        <f>_xll.SNL.Clients.Office.Excel.Functions.SPG(H58, "SP_ULT_PARENT_COUNTRY")</f>
        <v>Kazakhstan</v>
      </c>
      <c r="L58" s="12" t="str">
        <f>_xll.SNL.Clients.Office.Excel.Functions.SPG(H58, "SP_PARENT_COMPANY_NAME")</f>
        <v>Nova Resources B.V.</v>
      </c>
      <c r="M58" s="12" t="str">
        <f>_xll.SNL.Clients.Office.Excel.Functions.SPG(H58, "SP_PARENT_COUNTRY")</f>
        <v>Netherlands</v>
      </c>
      <c r="N58" s="12" t="str">
        <f>_xll.SNL.Clients.Office.Excel.Functions.SPG(H58, "SP_COUNTRY_NAME")</f>
        <v>United Kingdom</v>
      </c>
      <c r="O58" s="12" t="str">
        <f>_xll.SNL.Clients.Office.Excel.Functions.SPG(I58, "SP_ULT_PARENT_COMPANY_NAME")</f>
        <v/>
      </c>
      <c r="P58" s="12" t="str">
        <f>_xll.SNL.Clients.Office.Excel.Functions.SPG(I58, "SP_ULT_PARENT_COUNTRY")</f>
        <v/>
      </c>
      <c r="Q58" s="12" t="str">
        <f>_xll.SNL.Clients.Office.Excel.Functions.SPG(I58, "SP_PARENT_COMPANY_NAME")</f>
        <v/>
      </c>
      <c r="R58" s="12" t="str">
        <f>_xll.SNL.Clients.Office.Excel.Functions.SPG(I58, "SP_PARENT_COUNTRY")</f>
        <v/>
      </c>
      <c r="S58" s="12" t="str">
        <f>_xll.SNL.Clients.Office.Excel.Functions.SPG(I58, "SP_COUNTRY_NAME")</f>
        <v>China</v>
      </c>
    </row>
    <row r="59" spans="1:19" ht="29" x14ac:dyDescent="0.35">
      <c r="A59" s="5">
        <v>46022</v>
      </c>
      <c r="B59" s="4" t="s">
        <v>106</v>
      </c>
      <c r="C59" s="4" t="s">
        <v>107</v>
      </c>
      <c r="D59" s="4" t="s">
        <v>940</v>
      </c>
      <c r="E59" s="8">
        <v>4199214</v>
      </c>
      <c r="F59" s="7">
        <v>100</v>
      </c>
      <c r="G59" s="12" t="str">
        <f>[1]!SNLData("243327", C59, "OWNER_LIST")</f>
        <v>KAZ Minerals Limited  100%</v>
      </c>
      <c r="H59" s="9">
        <f>[1]!SNLData("243327", C59, "OWNER_SNL_INSTN_KEY", "Owner 1")</f>
        <v>4199214</v>
      </c>
      <c r="I59" s="9" t="str">
        <f>[1]!SNLData("243327", C59, "OWNER_SNL_INSTN_KEY", "Owner 2")</f>
        <v>NA</v>
      </c>
      <c r="J59" s="12" t="str">
        <f>_xll.SNL.Clients.Office.Excel.Functions.SPG(H59, "SP_ULT_PARENT_COMPANY_NAME")</f>
        <v>Trianon Limited</v>
      </c>
      <c r="K59" s="12" t="str">
        <f>_xll.SNL.Clients.Office.Excel.Functions.SPG(H59, "SP_ULT_PARENT_COUNTRY")</f>
        <v>Kazakhstan</v>
      </c>
      <c r="L59" s="12" t="str">
        <f>_xll.SNL.Clients.Office.Excel.Functions.SPG(H59, "SP_PARENT_COMPANY_NAME")</f>
        <v>Nova Resources B.V.</v>
      </c>
      <c r="M59" s="12" t="str">
        <f>_xll.SNL.Clients.Office.Excel.Functions.SPG(H59, "SP_PARENT_COUNTRY")</f>
        <v>Netherlands</v>
      </c>
      <c r="N59" s="12" t="str">
        <f>_xll.SNL.Clients.Office.Excel.Functions.SPG(H59, "SP_COUNTRY_NAME")</f>
        <v>United Kingdom</v>
      </c>
      <c r="O59" s="12" t="str">
        <f>_xll.SNL.Clients.Office.Excel.Functions.SPG(I59, "SP_ULT_PARENT_COMPANY_NAME")</f>
        <v/>
      </c>
      <c r="P59" s="12" t="str">
        <f>_xll.SNL.Clients.Office.Excel.Functions.SPG(I59, "SP_ULT_PARENT_COUNTRY")</f>
        <v/>
      </c>
      <c r="Q59" s="12" t="str">
        <f>_xll.SNL.Clients.Office.Excel.Functions.SPG(I59, "SP_PARENT_COMPANY_NAME")</f>
        <v/>
      </c>
      <c r="R59" s="12" t="str">
        <f>_xll.SNL.Clients.Office.Excel.Functions.SPG(I59, "SP_PARENT_COUNTRY")</f>
        <v/>
      </c>
      <c r="S59" s="12" t="str">
        <f>_xll.SNL.Clients.Office.Excel.Functions.SPG(I59, "SP_COUNTRY_NAME")</f>
        <v>China</v>
      </c>
    </row>
    <row r="60" spans="1:19" ht="43.5" x14ac:dyDescent="0.35">
      <c r="A60" s="5">
        <v>46022</v>
      </c>
      <c r="B60" s="4" t="s">
        <v>109</v>
      </c>
      <c r="C60" s="4" t="s">
        <v>110</v>
      </c>
      <c r="D60" s="4" t="s">
        <v>111</v>
      </c>
      <c r="E60" s="8">
        <v>4437706</v>
      </c>
      <c r="F60" s="7">
        <v>1.7</v>
      </c>
      <c r="G60" s="12" t="str">
        <f>[1]!SNLData("243327", C60, "OWNER_LIST")</f>
        <v>Southern Copper Corporation (Venturer) 98.3%; Mexico (Venturer) 1.7%</v>
      </c>
      <c r="H60" s="9">
        <f>[1]!SNLData("243327", C60, "OWNER_SNL_INSTN_KEY", "Owner 1")</f>
        <v>4354459</v>
      </c>
      <c r="I60" s="9">
        <f>[1]!SNLData("243327", C60, "OWNER_SNL_INSTN_KEY", "Owner 2")</f>
        <v>4437706</v>
      </c>
      <c r="J60" s="12" t="str">
        <f>_xll.SNL.Clients.Office.Excel.Functions.SPG(H60, "SP_ULT_PARENT_COMPANY_NAME")</f>
        <v>Grupo México, S.A.B. de C.V.</v>
      </c>
      <c r="K60" s="12" t="str">
        <f>_xll.SNL.Clients.Office.Excel.Functions.SPG(H60, "SP_ULT_PARENT_COUNTRY")</f>
        <v>Mexico</v>
      </c>
      <c r="L60" s="12" t="str">
        <f>_xll.SNL.Clients.Office.Excel.Functions.SPG(H60, "SP_PARENT_COMPANY_NAME")</f>
        <v>Americas Mining Corporation</v>
      </c>
      <c r="M60" s="12" t="str">
        <f>_xll.SNL.Clients.Office.Excel.Functions.SPG(H60, "SP_PARENT_COUNTRY")</f>
        <v>USA</v>
      </c>
      <c r="N60" s="12" t="str">
        <f>_xll.SNL.Clients.Office.Excel.Functions.SPG(H60, "SP_COUNTRY_NAME")</f>
        <v>USA</v>
      </c>
      <c r="O60" s="12" t="str">
        <f>_xll.SNL.Clients.Office.Excel.Functions.SPG(I60, "SP_ULT_PARENT_COMPANY_NAME")</f>
        <v/>
      </c>
      <c r="P60" s="12" t="str">
        <f>_xll.SNL.Clients.Office.Excel.Functions.SPG(I60, "SP_ULT_PARENT_COUNTRY")</f>
        <v/>
      </c>
      <c r="Q60" s="12" t="str">
        <f>_xll.SNL.Clients.Office.Excel.Functions.SPG(I60, "SP_PARENT_COMPANY_NAME")</f>
        <v/>
      </c>
      <c r="R60" s="12" t="str">
        <f>_xll.SNL.Clients.Office.Excel.Functions.SPG(I60, "SP_PARENT_COUNTRY")</f>
        <v/>
      </c>
      <c r="S60" s="12" t="str">
        <f>_xll.SNL.Clients.Office.Excel.Functions.SPG(I60, "SP_COUNTRY_NAME")</f>
        <v>Mexico</v>
      </c>
    </row>
    <row r="61" spans="1:19" ht="43.5" x14ac:dyDescent="0.35">
      <c r="A61" s="5">
        <v>46022</v>
      </c>
      <c r="B61" s="4" t="s">
        <v>109</v>
      </c>
      <c r="C61" s="4" t="s">
        <v>110</v>
      </c>
      <c r="D61" s="4" t="s">
        <v>980</v>
      </c>
      <c r="E61" s="8">
        <v>4354459</v>
      </c>
      <c r="F61" s="7">
        <v>98.3</v>
      </c>
      <c r="G61" s="12" t="str">
        <f>[1]!SNLData("243327", C61, "OWNER_LIST")</f>
        <v>Southern Copper Corporation (Venturer) 98.3%; Mexico (Venturer) 1.7%</v>
      </c>
      <c r="H61" s="9">
        <f>[1]!SNLData("243327", C61, "OWNER_SNL_INSTN_KEY", "Owner 1")</f>
        <v>4354459</v>
      </c>
      <c r="I61" s="9">
        <f>[1]!SNLData("243327", C61, "OWNER_SNL_INSTN_KEY", "Owner 2")</f>
        <v>4437706</v>
      </c>
      <c r="J61" s="12" t="str">
        <f>_xll.SNL.Clients.Office.Excel.Functions.SPG(H61, "SP_ULT_PARENT_COMPANY_NAME")</f>
        <v>Grupo México, S.A.B. de C.V.</v>
      </c>
      <c r="K61" s="12" t="str">
        <f>_xll.SNL.Clients.Office.Excel.Functions.SPG(H61, "SP_ULT_PARENT_COUNTRY")</f>
        <v>Mexico</v>
      </c>
      <c r="L61" s="12" t="str">
        <f>_xll.SNL.Clients.Office.Excel.Functions.SPG(H61, "SP_PARENT_COMPANY_NAME")</f>
        <v>Americas Mining Corporation</v>
      </c>
      <c r="M61" s="12" t="str">
        <f>_xll.SNL.Clients.Office.Excel.Functions.SPG(H61, "SP_PARENT_COUNTRY")</f>
        <v>USA</v>
      </c>
      <c r="N61" s="12" t="str">
        <f>_xll.SNL.Clients.Office.Excel.Functions.SPG(H61, "SP_COUNTRY_NAME")</f>
        <v>USA</v>
      </c>
      <c r="O61" s="12" t="str">
        <f>_xll.SNL.Clients.Office.Excel.Functions.SPG(I61, "SP_ULT_PARENT_COMPANY_NAME")</f>
        <v/>
      </c>
      <c r="P61" s="12" t="str">
        <f>_xll.SNL.Clients.Office.Excel.Functions.SPG(I61, "SP_ULT_PARENT_COUNTRY")</f>
        <v/>
      </c>
      <c r="Q61" s="12" t="str">
        <f>_xll.SNL.Clients.Office.Excel.Functions.SPG(I61, "SP_PARENT_COMPANY_NAME")</f>
        <v/>
      </c>
      <c r="R61" s="12" t="str">
        <f>_xll.SNL.Clients.Office.Excel.Functions.SPG(I61, "SP_PARENT_COUNTRY")</f>
        <v/>
      </c>
      <c r="S61" s="12" t="str">
        <f>_xll.SNL.Clients.Office.Excel.Functions.SPG(I61, "SP_COUNTRY_NAME")</f>
        <v>Mexico</v>
      </c>
    </row>
    <row r="62" spans="1:19" ht="43.5" x14ac:dyDescent="0.35">
      <c r="A62" s="5">
        <v>46022</v>
      </c>
      <c r="B62" s="4" t="s">
        <v>112</v>
      </c>
      <c r="C62" s="4" t="s">
        <v>113</v>
      </c>
      <c r="D62" s="4" t="s">
        <v>111</v>
      </c>
      <c r="E62" s="8">
        <v>4437706</v>
      </c>
      <c r="F62" s="7">
        <v>1.7</v>
      </c>
      <c r="G62" s="12" t="str">
        <f>[1]!SNLData("243327", C62, "OWNER_LIST")</f>
        <v>Mexico (Venturer) 1.7%; Southern Copper Corporation (Venturer) 98.3%</v>
      </c>
      <c r="H62" s="9">
        <f>[1]!SNLData("243327", C62, "OWNER_SNL_INSTN_KEY", "Owner 1")</f>
        <v>4354459</v>
      </c>
      <c r="I62" s="9">
        <f>[1]!SNLData("243327", C62, "OWNER_SNL_INSTN_KEY", "Owner 2")</f>
        <v>4437706</v>
      </c>
      <c r="J62" s="12" t="str">
        <f>_xll.SNL.Clients.Office.Excel.Functions.SPG(H62, "SP_ULT_PARENT_COMPANY_NAME")</f>
        <v>Grupo México, S.A.B. de C.V.</v>
      </c>
      <c r="K62" s="12" t="str">
        <f>_xll.SNL.Clients.Office.Excel.Functions.SPG(H62, "SP_ULT_PARENT_COUNTRY")</f>
        <v>Mexico</v>
      </c>
      <c r="L62" s="12" t="str">
        <f>_xll.SNL.Clients.Office.Excel.Functions.SPG(H62, "SP_PARENT_COMPANY_NAME")</f>
        <v>Americas Mining Corporation</v>
      </c>
      <c r="M62" s="12" t="str">
        <f>_xll.SNL.Clients.Office.Excel.Functions.SPG(H62, "SP_PARENT_COUNTRY")</f>
        <v>USA</v>
      </c>
      <c r="N62" s="12" t="str">
        <f>_xll.SNL.Clients.Office.Excel.Functions.SPG(H62, "SP_COUNTRY_NAME")</f>
        <v>USA</v>
      </c>
      <c r="O62" s="12" t="str">
        <f>_xll.SNL.Clients.Office.Excel.Functions.SPG(I62, "SP_ULT_PARENT_COMPANY_NAME")</f>
        <v/>
      </c>
      <c r="P62" s="12" t="str">
        <f>_xll.SNL.Clients.Office.Excel.Functions.SPG(I62, "SP_ULT_PARENT_COUNTRY")</f>
        <v/>
      </c>
      <c r="Q62" s="12" t="str">
        <f>_xll.SNL.Clients.Office.Excel.Functions.SPG(I62, "SP_PARENT_COMPANY_NAME")</f>
        <v/>
      </c>
      <c r="R62" s="12" t="str">
        <f>_xll.SNL.Clients.Office.Excel.Functions.SPG(I62, "SP_PARENT_COUNTRY")</f>
        <v/>
      </c>
      <c r="S62" s="12" t="str">
        <f>_xll.SNL.Clients.Office.Excel.Functions.SPG(I62, "SP_COUNTRY_NAME")</f>
        <v>Mexico</v>
      </c>
    </row>
    <row r="63" spans="1:19" ht="43.5" x14ac:dyDescent="0.35">
      <c r="A63" s="5">
        <v>46022</v>
      </c>
      <c r="B63" s="4" t="s">
        <v>112</v>
      </c>
      <c r="C63" s="4" t="s">
        <v>113</v>
      </c>
      <c r="D63" s="4" t="s">
        <v>980</v>
      </c>
      <c r="E63" s="8">
        <v>4354459</v>
      </c>
      <c r="F63" s="7">
        <v>98.3</v>
      </c>
      <c r="G63" s="12" t="str">
        <f>[1]!SNLData("243327", C63, "OWNER_LIST")</f>
        <v>Mexico (Venturer) 1.7%; Southern Copper Corporation (Venturer) 98.3%</v>
      </c>
      <c r="H63" s="9">
        <f>[1]!SNLData("243327", C63, "OWNER_SNL_INSTN_KEY", "Owner 1")</f>
        <v>4354459</v>
      </c>
      <c r="I63" s="9">
        <f>[1]!SNLData("243327", C63, "OWNER_SNL_INSTN_KEY", "Owner 2")</f>
        <v>4437706</v>
      </c>
      <c r="J63" s="12" t="str">
        <f>_xll.SNL.Clients.Office.Excel.Functions.SPG(H63, "SP_ULT_PARENT_COMPANY_NAME")</f>
        <v>Grupo México, S.A.B. de C.V.</v>
      </c>
      <c r="K63" s="12" t="str">
        <f>_xll.SNL.Clients.Office.Excel.Functions.SPG(H63, "SP_ULT_PARENT_COUNTRY")</f>
        <v>Mexico</v>
      </c>
      <c r="L63" s="12" t="str">
        <f>_xll.SNL.Clients.Office.Excel.Functions.SPG(H63, "SP_PARENT_COMPANY_NAME")</f>
        <v>Americas Mining Corporation</v>
      </c>
      <c r="M63" s="12" t="str">
        <f>_xll.SNL.Clients.Office.Excel.Functions.SPG(H63, "SP_PARENT_COUNTRY")</f>
        <v>USA</v>
      </c>
      <c r="N63" s="12" t="str">
        <f>_xll.SNL.Clients.Office.Excel.Functions.SPG(H63, "SP_COUNTRY_NAME")</f>
        <v>USA</v>
      </c>
      <c r="O63" s="12" t="str">
        <f>_xll.SNL.Clients.Office.Excel.Functions.SPG(I63, "SP_ULT_PARENT_COMPANY_NAME")</f>
        <v/>
      </c>
      <c r="P63" s="12" t="str">
        <f>_xll.SNL.Clients.Office.Excel.Functions.SPG(I63, "SP_ULT_PARENT_COUNTRY")</f>
        <v/>
      </c>
      <c r="Q63" s="12" t="str">
        <f>_xll.SNL.Clients.Office.Excel.Functions.SPG(I63, "SP_PARENT_COMPANY_NAME")</f>
        <v/>
      </c>
      <c r="R63" s="12" t="str">
        <f>_xll.SNL.Clients.Office.Excel.Functions.SPG(I63, "SP_PARENT_COUNTRY")</f>
        <v/>
      </c>
      <c r="S63" s="12" t="str">
        <f>_xll.SNL.Clients.Office.Excel.Functions.SPG(I63, "SP_COUNTRY_NAME")</f>
        <v>Mexico</v>
      </c>
    </row>
    <row r="64" spans="1:19" ht="29" x14ac:dyDescent="0.35">
      <c r="A64" s="5">
        <v>46022</v>
      </c>
      <c r="B64" s="4" t="s">
        <v>255</v>
      </c>
      <c r="C64" s="4" t="s">
        <v>256</v>
      </c>
      <c r="D64" s="4" t="s">
        <v>981</v>
      </c>
      <c r="E64" s="8">
        <v>4120225</v>
      </c>
      <c r="F64" s="7">
        <v>84</v>
      </c>
      <c r="G64" s="12" t="str">
        <f>[1]!SNLData("243327", C64, "OWNER_LIST")</f>
        <v>Tanzania (Carried) 16%; Barrick Mining Corporation  84%</v>
      </c>
      <c r="H64" s="9">
        <f>[1]!SNLData("243327", C64, "OWNER_SNL_INSTN_KEY", "Owner 1")</f>
        <v>4120225</v>
      </c>
      <c r="I64" s="9">
        <f>[1]!SNLData("243327", C64, "OWNER_SNL_INSTN_KEY", "Owner 2")</f>
        <v>4350733</v>
      </c>
      <c r="J64" s="12" t="str">
        <f>_xll.SNL.Clients.Office.Excel.Functions.SPG(H64, "SP_ULT_PARENT_COMPANY_NAME")</f>
        <v/>
      </c>
      <c r="K64" s="12" t="str">
        <f>_xll.SNL.Clients.Office.Excel.Functions.SPG(H64, "SP_ULT_PARENT_COUNTRY")</f>
        <v/>
      </c>
      <c r="L64" s="12" t="str">
        <f>_xll.SNL.Clients.Office.Excel.Functions.SPG(H64, "SP_PARENT_COMPANY_NAME")</f>
        <v/>
      </c>
      <c r="M64" s="12" t="str">
        <f>_xll.SNL.Clients.Office.Excel.Functions.SPG(H64, "SP_PARENT_COUNTRY")</f>
        <v/>
      </c>
      <c r="N64" s="12" t="str">
        <f>_xll.SNL.Clients.Office.Excel.Functions.SPG(H64, "SP_COUNTRY_NAME")</f>
        <v>Canada</v>
      </c>
      <c r="O64" s="12" t="str">
        <f>_xll.SNL.Clients.Office.Excel.Functions.SPG(I64, "SP_ULT_PARENT_COMPANY_NAME")</f>
        <v/>
      </c>
      <c r="P64" s="12" t="str">
        <f>_xll.SNL.Clients.Office.Excel.Functions.SPG(I64, "SP_ULT_PARENT_COUNTRY")</f>
        <v/>
      </c>
      <c r="Q64" s="12" t="str">
        <f>_xll.SNL.Clients.Office.Excel.Functions.SPG(I64, "SP_PARENT_COMPANY_NAME")</f>
        <v/>
      </c>
      <c r="R64" s="12" t="str">
        <f>_xll.SNL.Clients.Office.Excel.Functions.SPG(I64, "SP_PARENT_COUNTRY")</f>
        <v/>
      </c>
      <c r="S64" s="12" t="str">
        <f>_xll.SNL.Clients.Office.Excel.Functions.SPG(I64, "SP_COUNTRY_NAME")</f>
        <v>Tanzania</v>
      </c>
    </row>
    <row r="65" spans="1:19" ht="29" x14ac:dyDescent="0.35">
      <c r="A65" s="5">
        <v>46022</v>
      </c>
      <c r="B65" s="4" t="s">
        <v>255</v>
      </c>
      <c r="C65" s="4" t="s">
        <v>256</v>
      </c>
      <c r="D65" s="4" t="s">
        <v>257</v>
      </c>
      <c r="E65" s="8">
        <v>4350733</v>
      </c>
      <c r="F65" s="7">
        <v>16</v>
      </c>
      <c r="G65" s="12" t="str">
        <f>[1]!SNLData("243327", C65, "OWNER_LIST")</f>
        <v>Tanzania (Carried) 16%; Barrick Mining Corporation  84%</v>
      </c>
      <c r="H65" s="9">
        <f>[1]!SNLData("243327", C65, "OWNER_SNL_INSTN_KEY", "Owner 1")</f>
        <v>4120225</v>
      </c>
      <c r="I65" s="9">
        <f>[1]!SNLData("243327", C65, "OWNER_SNL_INSTN_KEY", "Owner 2")</f>
        <v>4350733</v>
      </c>
      <c r="J65" s="12" t="str">
        <f>_xll.SNL.Clients.Office.Excel.Functions.SPG(H65, "SP_ULT_PARENT_COMPANY_NAME")</f>
        <v/>
      </c>
      <c r="K65" s="12" t="str">
        <f>_xll.SNL.Clients.Office.Excel.Functions.SPG(H65, "SP_ULT_PARENT_COUNTRY")</f>
        <v/>
      </c>
      <c r="L65" s="12" t="str">
        <f>_xll.SNL.Clients.Office.Excel.Functions.SPG(H65, "SP_PARENT_COMPANY_NAME")</f>
        <v/>
      </c>
      <c r="M65" s="12" t="str">
        <f>_xll.SNL.Clients.Office.Excel.Functions.SPG(H65, "SP_PARENT_COUNTRY")</f>
        <v/>
      </c>
      <c r="N65" s="12" t="str">
        <f>_xll.SNL.Clients.Office.Excel.Functions.SPG(H65, "SP_COUNTRY_NAME")</f>
        <v>Canada</v>
      </c>
      <c r="O65" s="12" t="str">
        <f>_xll.SNL.Clients.Office.Excel.Functions.SPG(I65, "SP_ULT_PARENT_COMPANY_NAME")</f>
        <v/>
      </c>
      <c r="P65" s="12" t="str">
        <f>_xll.SNL.Clients.Office.Excel.Functions.SPG(I65, "SP_ULT_PARENT_COUNTRY")</f>
        <v/>
      </c>
      <c r="Q65" s="12" t="str">
        <f>_xll.SNL.Clients.Office.Excel.Functions.SPG(I65, "SP_PARENT_COMPANY_NAME")</f>
        <v/>
      </c>
      <c r="R65" s="12" t="str">
        <f>_xll.SNL.Clients.Office.Excel.Functions.SPG(I65, "SP_PARENT_COUNTRY")</f>
        <v/>
      </c>
      <c r="S65" s="12" t="str">
        <f>_xll.SNL.Clients.Office.Excel.Functions.SPG(I65, "SP_COUNTRY_NAME")</f>
        <v>Tanzania</v>
      </c>
    </row>
    <row r="66" spans="1:19" ht="43.5" x14ac:dyDescent="0.35">
      <c r="A66" s="5">
        <v>46022</v>
      </c>
      <c r="B66" s="4" t="s">
        <v>114</v>
      </c>
      <c r="C66" s="4" t="s">
        <v>115</v>
      </c>
      <c r="D66" s="4" t="s">
        <v>956</v>
      </c>
      <c r="E66" s="8">
        <v>4350334</v>
      </c>
      <c r="F66" s="7">
        <v>35.340000000000003</v>
      </c>
      <c r="G66" s="12" t="str">
        <f>[1]!SNLData("243327", C66, "OWNER_LIST")</f>
        <v>Ural Mining and Metallurgical Company (Venturer) 64.66%; People's Government of Gansu Province (Venturer) 35.34%</v>
      </c>
      <c r="H66" s="9">
        <f>[1]!SNLData("243327", C66, "OWNER_SNL_INSTN_KEY", "Owner 1")</f>
        <v>4355114</v>
      </c>
      <c r="I66" s="9">
        <f>[1]!SNLData("243327", C66, "OWNER_SNL_INSTN_KEY", "Owner 2")</f>
        <v>4350334</v>
      </c>
      <c r="J66" s="12" t="str">
        <f>_xll.SNL.Clients.Office.Excel.Functions.SPG(H66, "SP_ULT_PARENT_COMPANY_NAME")</f>
        <v>Mineral Power Limited</v>
      </c>
      <c r="K66" s="12" t="str">
        <f>_xll.SNL.Clients.Office.Excel.Functions.SPG(H66, "SP_ULT_PARENT_COUNTRY")</f>
        <v>Hong Kong</v>
      </c>
      <c r="L66" s="12" t="str">
        <f>_xll.SNL.Clients.Office.Excel.Functions.SPG(H66, "SP_PARENT_COMPANY_NAME")</f>
        <v>SELMARECO LTD.</v>
      </c>
      <c r="M66" s="12" t="str">
        <f>_xll.SNL.Clients.Office.Excel.Functions.SPG(H66, "SP_PARENT_COUNTRY")</f>
        <v>Cyprus</v>
      </c>
      <c r="N66" s="12" t="str">
        <f>_xll.SNL.Clients.Office.Excel.Functions.SPG(H66, "SP_COUNTRY_NAME")</f>
        <v>Russia</v>
      </c>
      <c r="O66" s="12" t="str">
        <f>_xll.SNL.Clients.Office.Excel.Functions.SPG(I66, "SP_ULT_PARENT_COMPANY_NAME")</f>
        <v/>
      </c>
      <c r="P66" s="12" t="str">
        <f>_xll.SNL.Clients.Office.Excel.Functions.SPG(I66, "SP_ULT_PARENT_COUNTRY")</f>
        <v/>
      </c>
      <c r="Q66" s="12" t="str">
        <f>_xll.SNL.Clients.Office.Excel.Functions.SPG(I66, "SP_PARENT_COMPANY_NAME")</f>
        <v/>
      </c>
      <c r="R66" s="12" t="str">
        <f>_xll.SNL.Clients.Office.Excel.Functions.SPG(I66, "SP_PARENT_COUNTRY")</f>
        <v/>
      </c>
      <c r="S66" s="12" t="str">
        <f>_xll.SNL.Clients.Office.Excel.Functions.SPG(I66, "SP_COUNTRY_NAME")</f>
        <v>China</v>
      </c>
    </row>
    <row r="67" spans="1:19" ht="43.5" x14ac:dyDescent="0.35">
      <c r="A67" s="5">
        <v>46022</v>
      </c>
      <c r="B67" s="4" t="s">
        <v>114</v>
      </c>
      <c r="C67" s="4" t="s">
        <v>115</v>
      </c>
      <c r="D67" s="4" t="s">
        <v>968</v>
      </c>
      <c r="E67" s="8">
        <v>4355114</v>
      </c>
      <c r="F67" s="7">
        <v>64.66</v>
      </c>
      <c r="G67" s="12" t="str">
        <f>[1]!SNLData("243327", C67, "OWNER_LIST")</f>
        <v>Ural Mining and Metallurgical Company (Venturer) 64.66%; People's Government of Gansu Province (Venturer) 35.34%</v>
      </c>
      <c r="H67" s="9">
        <f>[1]!SNLData("243327", C67, "OWNER_SNL_INSTN_KEY", "Owner 1")</f>
        <v>4355114</v>
      </c>
      <c r="I67" s="9">
        <f>[1]!SNLData("243327", C67, "OWNER_SNL_INSTN_KEY", "Owner 2")</f>
        <v>4350334</v>
      </c>
      <c r="J67" s="12" t="str">
        <f>_xll.SNL.Clients.Office.Excel.Functions.SPG(H67, "SP_ULT_PARENT_COMPANY_NAME")</f>
        <v>Mineral Power Limited</v>
      </c>
      <c r="K67" s="12" t="str">
        <f>_xll.SNL.Clients.Office.Excel.Functions.SPG(H67, "SP_ULT_PARENT_COUNTRY")</f>
        <v>Hong Kong</v>
      </c>
      <c r="L67" s="12" t="str">
        <f>_xll.SNL.Clients.Office.Excel.Functions.SPG(H67, "SP_PARENT_COMPANY_NAME")</f>
        <v>SELMARECO LTD.</v>
      </c>
      <c r="M67" s="12" t="str">
        <f>_xll.SNL.Clients.Office.Excel.Functions.SPG(H67, "SP_PARENT_COUNTRY")</f>
        <v>Cyprus</v>
      </c>
      <c r="N67" s="12" t="str">
        <f>_xll.SNL.Clients.Office.Excel.Functions.SPG(H67, "SP_COUNTRY_NAME")</f>
        <v>Russia</v>
      </c>
      <c r="O67" s="12" t="str">
        <f>_xll.SNL.Clients.Office.Excel.Functions.SPG(I67, "SP_ULT_PARENT_COMPANY_NAME")</f>
        <v/>
      </c>
      <c r="P67" s="12" t="str">
        <f>_xll.SNL.Clients.Office.Excel.Functions.SPG(I67, "SP_ULT_PARENT_COUNTRY")</f>
        <v/>
      </c>
      <c r="Q67" s="12" t="str">
        <f>_xll.SNL.Clients.Office.Excel.Functions.SPG(I67, "SP_PARENT_COMPANY_NAME")</f>
        <v/>
      </c>
      <c r="R67" s="12" t="str">
        <f>_xll.SNL.Clients.Office.Excel.Functions.SPG(I67, "SP_PARENT_COUNTRY")</f>
        <v/>
      </c>
      <c r="S67" s="12" t="str">
        <f>_xll.SNL.Clients.Office.Excel.Functions.SPG(I67, "SP_COUNTRY_NAME")</f>
        <v>China</v>
      </c>
    </row>
    <row r="68" spans="1:19" ht="58" x14ac:dyDescent="0.35">
      <c r="A68" s="5">
        <v>46022</v>
      </c>
      <c r="B68" s="4" t="s">
        <v>90</v>
      </c>
      <c r="C68" s="4" t="s">
        <v>91</v>
      </c>
      <c r="D68" s="4" t="s">
        <v>982</v>
      </c>
      <c r="E68" s="8">
        <v>6168783</v>
      </c>
      <c r="F68" s="7">
        <v>36.659999999999997</v>
      </c>
      <c r="G68" s="12" t="str">
        <f>[1]!SNLData("243327", C68, "OWNER_LIST")</f>
        <v>Public Joint Stock Company Mining and Metallurgical Company Norilsk Nickel (Venturer) 50.01%; CIS Natural Resources Fund (Venturer) 36.66%; Highland Fund (Venturer) 13.33%</v>
      </c>
      <c r="H68" s="9">
        <f>[1]!SNLData("243327", C68, "OWNER_SNL_INSTN_KEY", "Owner 1")</f>
        <v>4352853</v>
      </c>
      <c r="I68" s="9">
        <f>[1]!SNLData("243327", C68, "OWNER_SNL_INSTN_KEY", "Owner 2")</f>
        <v>6168783</v>
      </c>
      <c r="J68" s="12" t="str">
        <f>_xll.SNL.Clients.Office.Excel.Functions.SPG(H68, "SP_ULT_PARENT_COMPANY_NAME")</f>
        <v/>
      </c>
      <c r="K68" s="12" t="str">
        <f>_xll.SNL.Clients.Office.Excel.Functions.SPG(H68, "SP_ULT_PARENT_COUNTRY")</f>
        <v/>
      </c>
      <c r="L68" s="12" t="str">
        <f>_xll.SNL.Clients.Office.Excel.Functions.SPG(H68, "SP_PARENT_COMPANY_NAME")</f>
        <v/>
      </c>
      <c r="M68" s="12" t="str">
        <f>_xll.SNL.Clients.Office.Excel.Functions.SPG(H68, "SP_PARENT_COUNTRY")</f>
        <v/>
      </c>
      <c r="N68" s="12" t="str">
        <f>_xll.SNL.Clients.Office.Excel.Functions.SPG(H68, "SP_COUNTRY_NAME")</f>
        <v>Russia</v>
      </c>
      <c r="O68" s="12" t="str">
        <f>_xll.SNL.Clients.Office.Excel.Functions.SPG(I68, "SP_ULT_PARENT_COMPANY_NAME")</f>
        <v/>
      </c>
      <c r="P68" s="12" t="str">
        <f>_xll.SNL.Clients.Office.Excel.Functions.SPG(I68, "SP_ULT_PARENT_COUNTRY")</f>
        <v/>
      </c>
      <c r="Q68" s="12" t="str">
        <f>_xll.SNL.Clients.Office.Excel.Functions.SPG(I68, "SP_PARENT_COMPANY_NAME")</f>
        <v/>
      </c>
      <c r="R68" s="12" t="str">
        <f>_xll.SNL.Clients.Office.Excel.Functions.SPG(I68, "SP_PARENT_COUNTRY")</f>
        <v/>
      </c>
      <c r="S68" s="12" t="str">
        <f>_xll.SNL.Clients.Office.Excel.Functions.SPG(I68, "SP_COUNTRY_NAME")</f>
        <v>Russia</v>
      </c>
    </row>
    <row r="69" spans="1:19" ht="58" x14ac:dyDescent="0.35">
      <c r="A69" s="5">
        <v>46022</v>
      </c>
      <c r="B69" s="4" t="s">
        <v>90</v>
      </c>
      <c r="C69" s="4" t="s">
        <v>91</v>
      </c>
      <c r="D69" s="4" t="s">
        <v>983</v>
      </c>
      <c r="E69" s="8">
        <v>4649896</v>
      </c>
      <c r="F69" s="7">
        <v>13.33</v>
      </c>
      <c r="G69" s="12" t="str">
        <f>[1]!SNLData("243327", C69, "OWNER_LIST")</f>
        <v>Public Joint Stock Company Mining and Metallurgical Company Norilsk Nickel (Venturer) 50.01%; CIS Natural Resources Fund (Venturer) 36.66%; Highland Fund (Venturer) 13.33%</v>
      </c>
      <c r="H69" s="9">
        <f>[1]!SNLData("243327", C69, "OWNER_SNL_INSTN_KEY", "Owner 1")</f>
        <v>4352853</v>
      </c>
      <c r="I69" s="9">
        <f>[1]!SNLData("243327", C69, "OWNER_SNL_INSTN_KEY", "Owner 2")</f>
        <v>6168783</v>
      </c>
      <c r="J69" s="12" t="str">
        <f>_xll.SNL.Clients.Office.Excel.Functions.SPG(H69, "SP_ULT_PARENT_COMPANY_NAME")</f>
        <v/>
      </c>
      <c r="K69" s="12" t="str">
        <f>_xll.SNL.Clients.Office.Excel.Functions.SPG(H69, "SP_ULT_PARENT_COUNTRY")</f>
        <v/>
      </c>
      <c r="L69" s="12" t="str">
        <f>_xll.SNL.Clients.Office.Excel.Functions.SPG(H69, "SP_PARENT_COMPANY_NAME")</f>
        <v/>
      </c>
      <c r="M69" s="12" t="str">
        <f>_xll.SNL.Clients.Office.Excel.Functions.SPG(H69, "SP_PARENT_COUNTRY")</f>
        <v/>
      </c>
      <c r="N69" s="12" t="str">
        <f>_xll.SNL.Clients.Office.Excel.Functions.SPG(H69, "SP_COUNTRY_NAME")</f>
        <v>Russia</v>
      </c>
      <c r="O69" s="12" t="str">
        <f>_xll.SNL.Clients.Office.Excel.Functions.SPG(I69, "SP_ULT_PARENT_COMPANY_NAME")</f>
        <v/>
      </c>
      <c r="P69" s="12" t="str">
        <f>_xll.SNL.Clients.Office.Excel.Functions.SPG(I69, "SP_ULT_PARENT_COUNTRY")</f>
        <v/>
      </c>
      <c r="Q69" s="12" t="str">
        <f>_xll.SNL.Clients.Office.Excel.Functions.SPG(I69, "SP_PARENT_COMPANY_NAME")</f>
        <v/>
      </c>
      <c r="R69" s="12" t="str">
        <f>_xll.SNL.Clients.Office.Excel.Functions.SPG(I69, "SP_PARENT_COUNTRY")</f>
        <v/>
      </c>
      <c r="S69" s="12" t="str">
        <f>_xll.SNL.Clients.Office.Excel.Functions.SPG(I69, "SP_COUNTRY_NAME")</f>
        <v>Russia</v>
      </c>
    </row>
    <row r="70" spans="1:19" ht="58" x14ac:dyDescent="0.35">
      <c r="A70" s="5">
        <v>46022</v>
      </c>
      <c r="B70" s="4" t="s">
        <v>90</v>
      </c>
      <c r="C70" s="4" t="s">
        <v>91</v>
      </c>
      <c r="D70" s="4" t="s">
        <v>984</v>
      </c>
      <c r="E70" s="8">
        <v>4352853</v>
      </c>
      <c r="F70" s="7">
        <v>50.01</v>
      </c>
      <c r="G70" s="12" t="str">
        <f>[1]!SNLData("243327", C70, "OWNER_LIST")</f>
        <v>Public Joint Stock Company Mining and Metallurgical Company Norilsk Nickel (Venturer) 50.01%; CIS Natural Resources Fund (Venturer) 36.66%; Highland Fund (Venturer) 13.33%</v>
      </c>
      <c r="H70" s="9">
        <f>[1]!SNLData("243327", C70, "OWNER_SNL_INSTN_KEY", "Owner 1")</f>
        <v>4352853</v>
      </c>
      <c r="I70" s="9">
        <f>[1]!SNLData("243327", C70, "OWNER_SNL_INSTN_KEY", "Owner 2")</f>
        <v>6168783</v>
      </c>
      <c r="J70" s="12" t="str">
        <f>_xll.SNL.Clients.Office.Excel.Functions.SPG(H70, "SP_ULT_PARENT_COMPANY_NAME")</f>
        <v/>
      </c>
      <c r="K70" s="12" t="str">
        <f>_xll.SNL.Clients.Office.Excel.Functions.SPG(H70, "SP_ULT_PARENT_COUNTRY")</f>
        <v/>
      </c>
      <c r="L70" s="12" t="str">
        <f>_xll.SNL.Clients.Office.Excel.Functions.SPG(H70, "SP_PARENT_COMPANY_NAME")</f>
        <v/>
      </c>
      <c r="M70" s="12" t="str">
        <f>_xll.SNL.Clients.Office.Excel.Functions.SPG(H70, "SP_PARENT_COUNTRY")</f>
        <v/>
      </c>
      <c r="N70" s="12" t="str">
        <f>_xll.SNL.Clients.Office.Excel.Functions.SPG(H70, "SP_COUNTRY_NAME")</f>
        <v>Russia</v>
      </c>
      <c r="O70" s="12" t="str">
        <f>_xll.SNL.Clients.Office.Excel.Functions.SPG(I70, "SP_ULT_PARENT_COMPANY_NAME")</f>
        <v/>
      </c>
      <c r="P70" s="12" t="str">
        <f>_xll.SNL.Clients.Office.Excel.Functions.SPG(I70, "SP_ULT_PARENT_COUNTRY")</f>
        <v/>
      </c>
      <c r="Q70" s="12" t="str">
        <f>_xll.SNL.Clients.Office.Excel.Functions.SPG(I70, "SP_PARENT_COMPANY_NAME")</f>
        <v/>
      </c>
      <c r="R70" s="12" t="str">
        <f>_xll.SNL.Clients.Office.Excel.Functions.SPG(I70, "SP_PARENT_COUNTRY")</f>
        <v/>
      </c>
      <c r="S70" s="12" t="str">
        <f>_xll.SNL.Clients.Office.Excel.Functions.SPG(I70, "SP_COUNTRY_NAME")</f>
        <v>Russia</v>
      </c>
    </row>
    <row r="71" spans="1:19" ht="29" x14ac:dyDescent="0.35">
      <c r="A71" s="5">
        <v>46022</v>
      </c>
      <c r="B71" s="4" t="s">
        <v>258</v>
      </c>
      <c r="C71" s="4" t="s">
        <v>259</v>
      </c>
      <c r="D71" s="4" t="s">
        <v>985</v>
      </c>
      <c r="E71" s="8">
        <v>4354402</v>
      </c>
      <c r="F71" s="7">
        <v>99.9</v>
      </c>
      <c r="G71" s="12" t="str">
        <f>[1]!SNLData("243327", C71, "OWNER_LIST")</f>
        <v>Luca Mining Corp. (Venturer) 99.9%; Reynas Minas S.A. de C.V. (Venturer) 0.1%</v>
      </c>
      <c r="H71" s="9">
        <f>[1]!SNLData("243327", C71, "OWNER_SNL_INSTN_KEY", "Owner 1")</f>
        <v>4354402</v>
      </c>
      <c r="I71" s="9">
        <f>[1]!SNLData("243327", C71, "OWNER_SNL_INSTN_KEY", "Owner 2")</f>
        <v>4622758</v>
      </c>
      <c r="J71" s="12" t="str">
        <f>_xll.SNL.Clients.Office.Excel.Functions.SPG(H71, "SP_ULT_PARENT_COMPANY_NAME")</f>
        <v/>
      </c>
      <c r="K71" s="12" t="str">
        <f>_xll.SNL.Clients.Office.Excel.Functions.SPG(H71, "SP_ULT_PARENT_COUNTRY")</f>
        <v/>
      </c>
      <c r="L71" s="12" t="str">
        <f>_xll.SNL.Clients.Office.Excel.Functions.SPG(H71, "SP_PARENT_COMPANY_NAME")</f>
        <v/>
      </c>
      <c r="M71" s="12" t="str">
        <f>_xll.SNL.Clients.Office.Excel.Functions.SPG(H71, "SP_PARENT_COUNTRY")</f>
        <v/>
      </c>
      <c r="N71" s="12" t="str">
        <f>_xll.SNL.Clients.Office.Excel.Functions.SPG(H71, "SP_COUNTRY_NAME")</f>
        <v>Canada</v>
      </c>
      <c r="O71" s="12" t="str">
        <f>_xll.SNL.Clients.Office.Excel.Functions.SPG(I71, "SP_ULT_PARENT_COMPANY_NAME")</f>
        <v/>
      </c>
      <c r="P71" s="12" t="str">
        <f>_xll.SNL.Clients.Office.Excel.Functions.SPG(I71, "SP_ULT_PARENT_COUNTRY")</f>
        <v/>
      </c>
      <c r="Q71" s="12" t="str">
        <f>_xll.SNL.Clients.Office.Excel.Functions.SPG(I71, "SP_PARENT_COMPANY_NAME")</f>
        <v/>
      </c>
      <c r="R71" s="12" t="str">
        <f>_xll.SNL.Clients.Office.Excel.Functions.SPG(I71, "SP_PARENT_COUNTRY")</f>
        <v/>
      </c>
      <c r="S71" s="12" t="str">
        <f>_xll.SNL.Clients.Office.Excel.Functions.SPG(I71, "SP_COUNTRY_NAME")</f>
        <v>Mexico</v>
      </c>
    </row>
    <row r="72" spans="1:19" ht="29" x14ac:dyDescent="0.35">
      <c r="A72" s="5">
        <v>46022</v>
      </c>
      <c r="B72" s="4" t="s">
        <v>258</v>
      </c>
      <c r="C72" s="4" t="s">
        <v>259</v>
      </c>
      <c r="D72" s="4" t="s">
        <v>986</v>
      </c>
      <c r="E72" s="8">
        <v>4622758</v>
      </c>
      <c r="F72" s="7">
        <v>0.1</v>
      </c>
      <c r="G72" s="12" t="str">
        <f>[1]!SNLData("243327", C72, "OWNER_LIST")</f>
        <v>Luca Mining Corp. (Venturer) 99.9%; Reynas Minas S.A. de C.V. (Venturer) 0.1%</v>
      </c>
      <c r="H72" s="9">
        <f>[1]!SNLData("243327", C72, "OWNER_SNL_INSTN_KEY", "Owner 1")</f>
        <v>4354402</v>
      </c>
      <c r="I72" s="9">
        <f>[1]!SNLData("243327", C72, "OWNER_SNL_INSTN_KEY", "Owner 2")</f>
        <v>4622758</v>
      </c>
      <c r="J72" s="12" t="str">
        <f>_xll.SNL.Clients.Office.Excel.Functions.SPG(H72, "SP_ULT_PARENT_COMPANY_NAME")</f>
        <v/>
      </c>
      <c r="K72" s="12" t="str">
        <f>_xll.SNL.Clients.Office.Excel.Functions.SPG(H72, "SP_ULT_PARENT_COUNTRY")</f>
        <v/>
      </c>
      <c r="L72" s="12" t="str">
        <f>_xll.SNL.Clients.Office.Excel.Functions.SPG(H72, "SP_PARENT_COMPANY_NAME")</f>
        <v/>
      </c>
      <c r="M72" s="12" t="str">
        <f>_xll.SNL.Clients.Office.Excel.Functions.SPG(H72, "SP_PARENT_COUNTRY")</f>
        <v/>
      </c>
      <c r="N72" s="12" t="str">
        <f>_xll.SNL.Clients.Office.Excel.Functions.SPG(H72, "SP_COUNTRY_NAME")</f>
        <v>Canada</v>
      </c>
      <c r="O72" s="12" t="str">
        <f>_xll.SNL.Clients.Office.Excel.Functions.SPG(I72, "SP_ULT_PARENT_COMPANY_NAME")</f>
        <v/>
      </c>
      <c r="P72" s="12" t="str">
        <f>_xll.SNL.Clients.Office.Excel.Functions.SPG(I72, "SP_ULT_PARENT_COUNTRY")</f>
        <v/>
      </c>
      <c r="Q72" s="12" t="str">
        <f>_xll.SNL.Clients.Office.Excel.Functions.SPG(I72, "SP_PARENT_COMPANY_NAME")</f>
        <v/>
      </c>
      <c r="R72" s="12" t="str">
        <f>_xll.SNL.Clients.Office.Excel.Functions.SPG(I72, "SP_PARENT_COUNTRY")</f>
        <v/>
      </c>
      <c r="S72" s="12" t="str">
        <f>_xll.SNL.Clients.Office.Excel.Functions.SPG(I72, "SP_COUNTRY_NAME")</f>
        <v>Mexico</v>
      </c>
    </row>
    <row r="73" spans="1:19" ht="58" x14ac:dyDescent="0.35">
      <c r="A73" s="5">
        <v>46022</v>
      </c>
      <c r="B73" s="4" t="s">
        <v>92</v>
      </c>
      <c r="C73" s="4" t="s">
        <v>93</v>
      </c>
      <c r="D73" s="4" t="s">
        <v>987</v>
      </c>
      <c r="E73" s="8">
        <v>4351931</v>
      </c>
      <c r="F73" s="7">
        <v>80</v>
      </c>
      <c r="G73" s="12" t="str">
        <f>[1]!SNLData("243327", C73, "OWNER_LIST")</f>
        <v>Sumitomo Metal Mining Co., Ltd. (Venturer) 16%; Smma Candelaria, Inc. (Venture) %; Lundin Mining Corporation (Venturer) 80%; Sumitomo Corporation (Venturer) 4%</v>
      </c>
      <c r="H73" s="9">
        <f>[1]!SNLData("243327", C73, "OWNER_SNL_INSTN_KEY", "Owner 1")</f>
        <v>4351931</v>
      </c>
      <c r="I73" s="9">
        <f>[1]!SNLData("243327", C73, "OWNER_SNL_INSTN_KEY", "Owner 2")</f>
        <v>4354638</v>
      </c>
      <c r="J73" s="12" t="str">
        <f>_xll.SNL.Clients.Office.Excel.Functions.SPG(H73, "SP_ULT_PARENT_COMPANY_NAME")</f>
        <v/>
      </c>
      <c r="K73" s="12" t="str">
        <f>_xll.SNL.Clients.Office.Excel.Functions.SPG(H73, "SP_ULT_PARENT_COUNTRY")</f>
        <v/>
      </c>
      <c r="L73" s="12" t="str">
        <f>_xll.SNL.Clients.Office.Excel.Functions.SPG(H73, "SP_PARENT_COMPANY_NAME")</f>
        <v/>
      </c>
      <c r="M73" s="12" t="str">
        <f>_xll.SNL.Clients.Office.Excel.Functions.SPG(H73, "SP_PARENT_COUNTRY")</f>
        <v/>
      </c>
      <c r="N73" s="12" t="str">
        <f>_xll.SNL.Clients.Office.Excel.Functions.SPG(H73, "SP_COUNTRY_NAME")</f>
        <v>Canada</v>
      </c>
      <c r="O73" s="12" t="str">
        <f>_xll.SNL.Clients.Office.Excel.Functions.SPG(I73, "SP_ULT_PARENT_COMPANY_NAME")</f>
        <v/>
      </c>
      <c r="P73" s="12" t="str">
        <f>_xll.SNL.Clients.Office.Excel.Functions.SPG(I73, "SP_ULT_PARENT_COUNTRY")</f>
        <v/>
      </c>
      <c r="Q73" s="12" t="str">
        <f>_xll.SNL.Clients.Office.Excel.Functions.SPG(I73, "SP_PARENT_COMPANY_NAME")</f>
        <v/>
      </c>
      <c r="R73" s="12" t="str">
        <f>_xll.SNL.Clients.Office.Excel.Functions.SPG(I73, "SP_PARENT_COUNTRY")</f>
        <v/>
      </c>
      <c r="S73" s="12" t="str">
        <f>_xll.SNL.Clients.Office.Excel.Functions.SPG(I73, "SP_COUNTRY_NAME")</f>
        <v>Japan</v>
      </c>
    </row>
    <row r="74" spans="1:19" ht="58" x14ac:dyDescent="0.35">
      <c r="A74" s="5">
        <v>46022</v>
      </c>
      <c r="B74" s="4" t="s">
        <v>92</v>
      </c>
      <c r="C74" s="4" t="s">
        <v>93</v>
      </c>
      <c r="D74" s="4" t="s">
        <v>988</v>
      </c>
      <c r="E74" s="8">
        <v>4047416</v>
      </c>
      <c r="F74" s="7">
        <v>4</v>
      </c>
      <c r="G74" s="12" t="str">
        <f>[1]!SNLData("243327", C74, "OWNER_LIST")</f>
        <v>Sumitomo Metal Mining Co., Ltd. (Venturer) 16%; Smma Candelaria, Inc. (Venture) %; Lundin Mining Corporation (Venturer) 80%; Sumitomo Corporation (Venturer) 4%</v>
      </c>
      <c r="H74" s="9">
        <f>[1]!SNLData("243327", C74, "OWNER_SNL_INSTN_KEY", "Owner 1")</f>
        <v>4351931</v>
      </c>
      <c r="I74" s="9">
        <f>[1]!SNLData("243327", C74, "OWNER_SNL_INSTN_KEY", "Owner 2")</f>
        <v>4354638</v>
      </c>
      <c r="J74" s="12" t="str">
        <f>_xll.SNL.Clients.Office.Excel.Functions.SPG(H74, "SP_ULT_PARENT_COMPANY_NAME")</f>
        <v/>
      </c>
      <c r="K74" s="12" t="str">
        <f>_xll.SNL.Clients.Office.Excel.Functions.SPG(H74, "SP_ULT_PARENT_COUNTRY")</f>
        <v/>
      </c>
      <c r="L74" s="12" t="str">
        <f>_xll.SNL.Clients.Office.Excel.Functions.SPG(H74, "SP_PARENT_COMPANY_NAME")</f>
        <v/>
      </c>
      <c r="M74" s="12" t="str">
        <f>_xll.SNL.Clients.Office.Excel.Functions.SPG(H74, "SP_PARENT_COUNTRY")</f>
        <v/>
      </c>
      <c r="N74" s="12" t="str">
        <f>_xll.SNL.Clients.Office.Excel.Functions.SPG(H74, "SP_COUNTRY_NAME")</f>
        <v>Canada</v>
      </c>
      <c r="O74" s="12" t="str">
        <f>_xll.SNL.Clients.Office.Excel.Functions.SPG(I74, "SP_ULT_PARENT_COMPANY_NAME")</f>
        <v/>
      </c>
      <c r="P74" s="12" t="str">
        <f>_xll.SNL.Clients.Office.Excel.Functions.SPG(I74, "SP_ULT_PARENT_COUNTRY")</f>
        <v/>
      </c>
      <c r="Q74" s="12" t="str">
        <f>_xll.SNL.Clients.Office.Excel.Functions.SPG(I74, "SP_PARENT_COMPANY_NAME")</f>
        <v/>
      </c>
      <c r="R74" s="12" t="str">
        <f>_xll.SNL.Clients.Office.Excel.Functions.SPG(I74, "SP_PARENT_COUNTRY")</f>
        <v/>
      </c>
      <c r="S74" s="12" t="str">
        <f>_xll.SNL.Clients.Office.Excel.Functions.SPG(I74, "SP_COUNTRY_NAME")</f>
        <v>Japan</v>
      </c>
    </row>
    <row r="75" spans="1:19" ht="58" x14ac:dyDescent="0.35">
      <c r="A75" s="5">
        <v>46022</v>
      </c>
      <c r="B75" s="4" t="s">
        <v>92</v>
      </c>
      <c r="C75" s="4" t="s">
        <v>93</v>
      </c>
      <c r="D75" s="4" t="s">
        <v>989</v>
      </c>
      <c r="E75" s="8">
        <v>4354638</v>
      </c>
      <c r="F75" s="7">
        <v>16</v>
      </c>
      <c r="G75" s="12" t="str">
        <f>[1]!SNLData("243327", C75, "OWNER_LIST")</f>
        <v>Sumitomo Metal Mining Co., Ltd. (Venturer) 16%; Smma Candelaria, Inc. (Venture) %; Lundin Mining Corporation (Venturer) 80%; Sumitomo Corporation (Venturer) 4%</v>
      </c>
      <c r="H75" s="9">
        <f>[1]!SNLData("243327", C75, "OWNER_SNL_INSTN_KEY", "Owner 1")</f>
        <v>4351931</v>
      </c>
      <c r="I75" s="9">
        <f>[1]!SNLData("243327", C75, "OWNER_SNL_INSTN_KEY", "Owner 2")</f>
        <v>4354638</v>
      </c>
      <c r="J75" s="12" t="str">
        <f>_xll.SNL.Clients.Office.Excel.Functions.SPG(H75, "SP_ULT_PARENT_COMPANY_NAME")</f>
        <v/>
      </c>
      <c r="K75" s="12" t="str">
        <f>_xll.SNL.Clients.Office.Excel.Functions.SPG(H75, "SP_ULT_PARENT_COUNTRY")</f>
        <v/>
      </c>
      <c r="L75" s="12" t="str">
        <f>_xll.SNL.Clients.Office.Excel.Functions.SPG(H75, "SP_PARENT_COMPANY_NAME")</f>
        <v/>
      </c>
      <c r="M75" s="12" t="str">
        <f>_xll.SNL.Clients.Office.Excel.Functions.SPG(H75, "SP_PARENT_COUNTRY")</f>
        <v/>
      </c>
      <c r="N75" s="12" t="str">
        <f>_xll.SNL.Clients.Office.Excel.Functions.SPG(H75, "SP_COUNTRY_NAME")</f>
        <v>Canada</v>
      </c>
      <c r="O75" s="12" t="str">
        <f>_xll.SNL.Clients.Office.Excel.Functions.SPG(I75, "SP_ULT_PARENT_COMPANY_NAME")</f>
        <v/>
      </c>
      <c r="P75" s="12" t="str">
        <f>_xll.SNL.Clients.Office.Excel.Functions.SPG(I75, "SP_ULT_PARENT_COUNTRY")</f>
        <v/>
      </c>
      <c r="Q75" s="12" t="str">
        <f>_xll.SNL.Clients.Office.Excel.Functions.SPG(I75, "SP_PARENT_COMPANY_NAME")</f>
        <v/>
      </c>
      <c r="R75" s="12" t="str">
        <f>_xll.SNL.Clients.Office.Excel.Functions.SPG(I75, "SP_PARENT_COUNTRY")</f>
        <v/>
      </c>
      <c r="S75" s="12" t="str">
        <f>_xll.SNL.Clients.Office.Excel.Functions.SPG(I75, "SP_COUNTRY_NAME")</f>
        <v>Japan</v>
      </c>
    </row>
    <row r="76" spans="1:19" x14ac:dyDescent="0.35">
      <c r="A76" s="5">
        <v>46022</v>
      </c>
      <c r="B76" s="4" t="s">
        <v>116</v>
      </c>
      <c r="C76" s="4" t="s">
        <v>117</v>
      </c>
      <c r="D76" s="4" t="s">
        <v>990</v>
      </c>
      <c r="E76" s="8">
        <v>4351226</v>
      </c>
      <c r="F76" s="7">
        <v>100</v>
      </c>
      <c r="G76" s="12" t="str">
        <f>[1]!SNLData("243327", C76, "OWNER_LIST")</f>
        <v>Industrias Peñoles, S.A.B. de C.V.  100%</v>
      </c>
      <c r="H76" s="9">
        <f>[1]!SNLData("243327", C76, "OWNER_SNL_INSTN_KEY", "Owner 1")</f>
        <v>4351226</v>
      </c>
      <c r="I76" s="9" t="str">
        <f>[1]!SNLData("243327", C76, "OWNER_SNL_INSTN_KEY", "Owner 2")</f>
        <v>NA</v>
      </c>
      <c r="J76" s="12" t="str">
        <f>_xll.SNL.Clients.Office.Excel.Functions.SPG(H76, "SP_ULT_PARENT_COMPANY_NAME")</f>
        <v/>
      </c>
      <c r="K76" s="12" t="str">
        <f>_xll.SNL.Clients.Office.Excel.Functions.SPG(H76, "SP_ULT_PARENT_COUNTRY")</f>
        <v/>
      </c>
      <c r="L76" s="12" t="str">
        <f>_xll.SNL.Clients.Office.Excel.Functions.SPG(H76, "SP_PARENT_COMPANY_NAME")</f>
        <v/>
      </c>
      <c r="M76" s="12" t="str">
        <f>_xll.SNL.Clients.Office.Excel.Functions.SPG(H76, "SP_PARENT_COUNTRY")</f>
        <v/>
      </c>
      <c r="N76" s="12" t="str">
        <f>_xll.SNL.Clients.Office.Excel.Functions.SPG(H76, "SP_COUNTRY_NAME")</f>
        <v>Mexico</v>
      </c>
      <c r="O76" s="12" t="str">
        <f>_xll.SNL.Clients.Office.Excel.Functions.SPG(I76, "SP_ULT_PARENT_COMPANY_NAME")</f>
        <v/>
      </c>
      <c r="P76" s="12" t="str">
        <f>_xll.SNL.Clients.Office.Excel.Functions.SPG(I76, "SP_ULT_PARENT_COUNTRY")</f>
        <v/>
      </c>
      <c r="Q76" s="12" t="str">
        <f>_xll.SNL.Clients.Office.Excel.Functions.SPG(I76, "SP_PARENT_COMPANY_NAME")</f>
        <v/>
      </c>
      <c r="R76" s="12" t="str">
        <f>_xll.SNL.Clients.Office.Excel.Functions.SPG(I76, "SP_PARENT_COUNTRY")</f>
        <v/>
      </c>
      <c r="S76" s="12" t="str">
        <f>_xll.SNL.Clients.Office.Excel.Functions.SPG(I76, "SP_COUNTRY_NAME")</f>
        <v>China</v>
      </c>
    </row>
    <row r="77" spans="1:19" ht="29" x14ac:dyDescent="0.35">
      <c r="A77" s="5">
        <v>46022</v>
      </c>
      <c r="B77" s="4" t="s">
        <v>694</v>
      </c>
      <c r="C77" s="4" t="s">
        <v>695</v>
      </c>
      <c r="D77" s="4" t="s">
        <v>991</v>
      </c>
      <c r="E77" s="8">
        <v>8252418</v>
      </c>
      <c r="F77" s="7">
        <v>99.6</v>
      </c>
      <c r="G77" s="12" t="str">
        <f>[1]!SNLData("243327", C77, "OWNER_LIST")</f>
        <v>Ero Copper Corp. (Venturer) 99.6%; Unnamed Owner (Fractional) %</v>
      </c>
      <c r="H77" s="9">
        <f>[1]!SNLData("243327", C77, "OWNER_SNL_INSTN_KEY", "Owner 1")</f>
        <v>8252418</v>
      </c>
      <c r="I77" s="9">
        <f>[1]!SNLData("243327", C77, "OWNER_SNL_INSTN_KEY", "Owner 2")</f>
        <v>4400798</v>
      </c>
      <c r="J77" s="12" t="str">
        <f>_xll.SNL.Clients.Office.Excel.Functions.SPG(H77, "SP_ULT_PARENT_COMPANY_NAME")</f>
        <v/>
      </c>
      <c r="K77" s="12" t="str">
        <f>_xll.SNL.Clients.Office.Excel.Functions.SPG(H77, "SP_ULT_PARENT_COUNTRY")</f>
        <v/>
      </c>
      <c r="L77" s="12" t="str">
        <f>_xll.SNL.Clients.Office.Excel.Functions.SPG(H77, "SP_PARENT_COMPANY_NAME")</f>
        <v/>
      </c>
      <c r="M77" s="12" t="str">
        <f>_xll.SNL.Clients.Office.Excel.Functions.SPG(H77, "SP_PARENT_COUNTRY")</f>
        <v/>
      </c>
      <c r="N77" s="12" t="str">
        <f>_xll.SNL.Clients.Office.Excel.Functions.SPG(H77, "SP_COUNTRY_NAME")</f>
        <v>Canada</v>
      </c>
      <c r="O77" s="12" t="str">
        <f>_xll.SNL.Clients.Office.Excel.Functions.SPG(I77, "SP_ULT_PARENT_COMPANY_NAME")</f>
        <v/>
      </c>
      <c r="P77" s="12" t="str">
        <f>_xll.SNL.Clients.Office.Excel.Functions.SPG(I77, "SP_ULT_PARENT_COUNTRY")</f>
        <v/>
      </c>
      <c r="Q77" s="12" t="str">
        <f>_xll.SNL.Clients.Office.Excel.Functions.SPG(I77, "SP_PARENT_COMPANY_NAME")</f>
        <v/>
      </c>
      <c r="R77" s="12" t="str">
        <f>_xll.SNL.Clients.Office.Excel.Functions.SPG(I77, "SP_PARENT_COUNTRY")</f>
        <v/>
      </c>
      <c r="S77" s="12" t="str">
        <f>_xll.SNL.Clients.Office.Excel.Functions.SPG(I77, "SP_COUNTRY_NAME")</f>
        <v>USA</v>
      </c>
    </row>
    <row r="78" spans="1:19" x14ac:dyDescent="0.35">
      <c r="A78" s="5">
        <v>46022</v>
      </c>
      <c r="B78" s="4" t="s">
        <v>696</v>
      </c>
      <c r="C78" s="4" t="s">
        <v>697</v>
      </c>
      <c r="D78" s="4" t="s">
        <v>992</v>
      </c>
      <c r="E78" s="8">
        <v>4351589</v>
      </c>
      <c r="F78" s="7">
        <v>100</v>
      </c>
      <c r="G78" s="12" t="str">
        <f>[1]!SNLData("243327", C78, "OWNER_LIST")</f>
        <v>KGHM Polska Miedz S.A.  100%</v>
      </c>
      <c r="H78" s="9">
        <f>[1]!SNLData("243327", C78, "OWNER_SNL_INSTN_KEY", "Owner 1")</f>
        <v>4351589</v>
      </c>
      <c r="I78" s="9" t="str">
        <f>[1]!SNLData("243327", C78, "OWNER_SNL_INSTN_KEY", "Owner 2")</f>
        <v>NA</v>
      </c>
      <c r="J78" s="12" t="str">
        <f>_xll.SNL.Clients.Office.Excel.Functions.SPG(H78, "SP_ULT_PARENT_COMPANY_NAME")</f>
        <v/>
      </c>
      <c r="K78" s="12" t="str">
        <f>_xll.SNL.Clients.Office.Excel.Functions.SPG(H78, "SP_ULT_PARENT_COUNTRY")</f>
        <v/>
      </c>
      <c r="L78" s="12" t="str">
        <f>_xll.SNL.Clients.Office.Excel.Functions.SPG(H78, "SP_PARENT_COMPANY_NAME")</f>
        <v/>
      </c>
      <c r="M78" s="12" t="str">
        <f>_xll.SNL.Clients.Office.Excel.Functions.SPG(H78, "SP_PARENT_COUNTRY")</f>
        <v/>
      </c>
      <c r="N78" s="12" t="str">
        <f>_xll.SNL.Clients.Office.Excel.Functions.SPG(H78, "SP_COUNTRY_NAME")</f>
        <v>Poland</v>
      </c>
      <c r="O78" s="12" t="str">
        <f>_xll.SNL.Clients.Office.Excel.Functions.SPG(I78, "SP_ULT_PARENT_COMPANY_NAME")</f>
        <v/>
      </c>
      <c r="P78" s="12" t="str">
        <f>_xll.SNL.Clients.Office.Excel.Functions.SPG(I78, "SP_ULT_PARENT_COUNTRY")</f>
        <v/>
      </c>
      <c r="Q78" s="12" t="str">
        <f>_xll.SNL.Clients.Office.Excel.Functions.SPG(I78, "SP_PARENT_COMPANY_NAME")</f>
        <v/>
      </c>
      <c r="R78" s="12" t="str">
        <f>_xll.SNL.Clients.Office.Excel.Functions.SPG(I78, "SP_PARENT_COUNTRY")</f>
        <v/>
      </c>
      <c r="S78" s="12" t="str">
        <f>_xll.SNL.Clients.Office.Excel.Functions.SPG(I78, "SP_COUNTRY_NAME")</f>
        <v>China</v>
      </c>
    </row>
    <row r="79" spans="1:19" ht="29" x14ac:dyDescent="0.35">
      <c r="A79" s="5">
        <v>46022</v>
      </c>
      <c r="B79" s="4" t="s">
        <v>698</v>
      </c>
      <c r="C79" s="4" t="s">
        <v>699</v>
      </c>
      <c r="D79" s="4" t="s">
        <v>993</v>
      </c>
      <c r="E79" s="8">
        <v>4349977</v>
      </c>
      <c r="F79" s="7">
        <v>10</v>
      </c>
      <c r="G79" s="12" t="str">
        <f>[1]!SNLData("243327", C79, "OWNER_LIST")</f>
        <v>Teck Resources Limited (Venturer) 90%; Empresa Nacional de Minería (Venturer) 10%</v>
      </c>
      <c r="H79" s="9">
        <f>[1]!SNLData("243327", C79, "OWNER_SNL_INSTN_KEY", "Owner 1")</f>
        <v>4141965</v>
      </c>
      <c r="I79" s="9">
        <f>[1]!SNLData("243327", C79, "OWNER_SNL_INSTN_KEY", "Owner 2")</f>
        <v>4349977</v>
      </c>
      <c r="J79" s="12" t="str">
        <f>_xll.SNL.Clients.Office.Excel.Functions.SPG(H79, "SP_ULT_PARENT_COMPANY_NAME")</f>
        <v/>
      </c>
      <c r="K79" s="12" t="str">
        <f>_xll.SNL.Clients.Office.Excel.Functions.SPG(H79, "SP_ULT_PARENT_COUNTRY")</f>
        <v/>
      </c>
      <c r="L79" s="12" t="str">
        <f>_xll.SNL.Clients.Office.Excel.Functions.SPG(H79, "SP_PARENT_COMPANY_NAME")</f>
        <v/>
      </c>
      <c r="M79" s="12" t="str">
        <f>_xll.SNL.Clients.Office.Excel.Functions.SPG(H79, "SP_PARENT_COUNTRY")</f>
        <v/>
      </c>
      <c r="N79" s="12" t="str">
        <f>_xll.SNL.Clients.Office.Excel.Functions.SPG(H79, "SP_COUNTRY_NAME")</f>
        <v>Canada</v>
      </c>
      <c r="O79" s="12" t="str">
        <f>_xll.SNL.Clients.Office.Excel.Functions.SPG(I79, "SP_ULT_PARENT_COMPANY_NAME")</f>
        <v/>
      </c>
      <c r="P79" s="12" t="str">
        <f>_xll.SNL.Clients.Office.Excel.Functions.SPG(I79, "SP_ULT_PARENT_COUNTRY")</f>
        <v/>
      </c>
      <c r="Q79" s="12" t="str">
        <f>_xll.SNL.Clients.Office.Excel.Functions.SPG(I79, "SP_PARENT_COMPANY_NAME")</f>
        <v/>
      </c>
      <c r="R79" s="12" t="str">
        <f>_xll.SNL.Clients.Office.Excel.Functions.SPG(I79, "SP_PARENT_COUNTRY")</f>
        <v/>
      </c>
      <c r="S79" s="12" t="str">
        <f>_xll.SNL.Clients.Office.Excel.Functions.SPG(I79, "SP_COUNTRY_NAME")</f>
        <v>Chile</v>
      </c>
    </row>
    <row r="80" spans="1:19" ht="29" x14ac:dyDescent="0.35">
      <c r="A80" s="5">
        <v>46022</v>
      </c>
      <c r="B80" s="4" t="s">
        <v>698</v>
      </c>
      <c r="C80" s="4" t="s">
        <v>699</v>
      </c>
      <c r="D80" s="4" t="s">
        <v>950</v>
      </c>
      <c r="E80" s="8">
        <v>4141965</v>
      </c>
      <c r="F80" s="7">
        <v>90</v>
      </c>
      <c r="G80" s="12" t="str">
        <f>[1]!SNLData("243327", C80, "OWNER_LIST")</f>
        <v>Teck Resources Limited (Venturer) 90%; Empresa Nacional de Minería (Venturer) 10%</v>
      </c>
      <c r="H80" s="9">
        <f>[1]!SNLData("243327", C80, "OWNER_SNL_INSTN_KEY", "Owner 1")</f>
        <v>4141965</v>
      </c>
      <c r="I80" s="9">
        <f>[1]!SNLData("243327", C80, "OWNER_SNL_INSTN_KEY", "Owner 2")</f>
        <v>4349977</v>
      </c>
      <c r="J80" s="12" t="str">
        <f>_xll.SNL.Clients.Office.Excel.Functions.SPG(H80, "SP_ULT_PARENT_COMPANY_NAME")</f>
        <v/>
      </c>
      <c r="K80" s="12" t="str">
        <f>_xll.SNL.Clients.Office.Excel.Functions.SPG(H80, "SP_ULT_PARENT_COUNTRY")</f>
        <v/>
      </c>
      <c r="L80" s="12" t="str">
        <f>_xll.SNL.Clients.Office.Excel.Functions.SPG(H80, "SP_PARENT_COMPANY_NAME")</f>
        <v/>
      </c>
      <c r="M80" s="12" t="str">
        <f>_xll.SNL.Clients.Office.Excel.Functions.SPG(H80, "SP_PARENT_COUNTRY")</f>
        <v/>
      </c>
      <c r="N80" s="12" t="str">
        <f>_xll.SNL.Clients.Office.Excel.Functions.SPG(H80, "SP_COUNTRY_NAME")</f>
        <v>Canada</v>
      </c>
      <c r="O80" s="12" t="str">
        <f>_xll.SNL.Clients.Office.Excel.Functions.SPG(I80, "SP_ULT_PARENT_COMPANY_NAME")</f>
        <v/>
      </c>
      <c r="P80" s="12" t="str">
        <f>_xll.SNL.Clients.Office.Excel.Functions.SPG(I80, "SP_ULT_PARENT_COUNTRY")</f>
        <v/>
      </c>
      <c r="Q80" s="12" t="str">
        <f>_xll.SNL.Clients.Office.Excel.Functions.SPG(I80, "SP_PARENT_COMPANY_NAME")</f>
        <v/>
      </c>
      <c r="R80" s="12" t="str">
        <f>_xll.SNL.Clients.Office.Excel.Functions.SPG(I80, "SP_PARENT_COUNTRY")</f>
        <v/>
      </c>
      <c r="S80" s="12" t="str">
        <f>_xll.SNL.Clients.Office.Excel.Functions.SPG(I80, "SP_COUNTRY_NAME")</f>
        <v>Chile</v>
      </c>
    </row>
    <row r="81" spans="1:19" x14ac:dyDescent="0.35">
      <c r="A81" s="5">
        <v>46022</v>
      </c>
      <c r="B81" s="4" t="s">
        <v>133</v>
      </c>
      <c r="C81" s="4" t="s">
        <v>134</v>
      </c>
      <c r="D81" s="4" t="s">
        <v>947</v>
      </c>
      <c r="E81" s="8">
        <v>4121840</v>
      </c>
      <c r="F81" s="7">
        <v>100</v>
      </c>
      <c r="G81" s="12" t="str">
        <f>[1]!SNLData("243327", C81, "OWNER_LIST")</f>
        <v>BHP Group Limited  100%</v>
      </c>
      <c r="H81" s="9">
        <f>[1]!SNLData("243327", C81, "OWNER_SNL_INSTN_KEY", "Owner 1")</f>
        <v>4121840</v>
      </c>
      <c r="I81" s="9" t="str">
        <f>[1]!SNLData("243327", C81, "OWNER_SNL_INSTN_KEY", "Owner 2")</f>
        <v>NA</v>
      </c>
      <c r="J81" s="12" t="str">
        <f>_xll.SNL.Clients.Office.Excel.Functions.SPG(H81, "SP_ULT_PARENT_COMPANY_NAME")</f>
        <v/>
      </c>
      <c r="K81" s="12" t="str">
        <f>_xll.SNL.Clients.Office.Excel.Functions.SPG(H81, "SP_ULT_PARENT_COUNTRY")</f>
        <v/>
      </c>
      <c r="L81" s="12" t="str">
        <f>_xll.SNL.Clients.Office.Excel.Functions.SPG(H81, "SP_PARENT_COMPANY_NAME")</f>
        <v/>
      </c>
      <c r="M81" s="12" t="str">
        <f>_xll.SNL.Clients.Office.Excel.Functions.SPG(H81, "SP_PARENT_COUNTRY")</f>
        <v/>
      </c>
      <c r="N81" s="12" t="str">
        <f>_xll.SNL.Clients.Office.Excel.Functions.SPG(H81, "SP_COUNTRY_NAME")</f>
        <v>Australia</v>
      </c>
      <c r="O81" s="12" t="str">
        <f>_xll.SNL.Clients.Office.Excel.Functions.SPG(I81, "SP_ULT_PARENT_COMPANY_NAME")</f>
        <v/>
      </c>
      <c r="P81" s="12" t="str">
        <f>_xll.SNL.Clients.Office.Excel.Functions.SPG(I81, "SP_ULT_PARENT_COUNTRY")</f>
        <v/>
      </c>
      <c r="Q81" s="12" t="str">
        <f>_xll.SNL.Clients.Office.Excel.Functions.SPG(I81, "SP_PARENT_COMPANY_NAME")</f>
        <v/>
      </c>
      <c r="R81" s="12" t="str">
        <f>_xll.SNL.Clients.Office.Excel.Functions.SPG(I81, "SP_PARENT_COUNTRY")</f>
        <v/>
      </c>
      <c r="S81" s="12" t="str">
        <f>_xll.SNL.Clients.Office.Excel.Functions.SPG(I81, "SP_COUNTRY_NAME")</f>
        <v>China</v>
      </c>
    </row>
    <row r="82" spans="1:19" ht="29" x14ac:dyDescent="0.35">
      <c r="A82" s="5">
        <v>46022</v>
      </c>
      <c r="B82" s="4" t="s">
        <v>94</v>
      </c>
      <c r="C82" s="4" t="s">
        <v>95</v>
      </c>
      <c r="D82" s="4" t="s">
        <v>994</v>
      </c>
      <c r="E82" s="8">
        <v>4361542</v>
      </c>
      <c r="F82" s="7">
        <v>30</v>
      </c>
      <c r="G82" s="12" t="str">
        <f>[1]!SNLData("243327", C82, "OWNER_LIST")</f>
        <v>JX Advanced Metals Corporation (Venturer) 25%; Lundin Mining Corporation (Venturer) 75%</v>
      </c>
      <c r="H82" s="9">
        <f>[1]!SNLData("243327", C82, "OWNER_SNL_INSTN_KEY", "Owner 1")</f>
        <v>4351931</v>
      </c>
      <c r="I82" s="9">
        <f>[1]!SNLData("243327", C82, "OWNER_SNL_INSTN_KEY", "Owner 2")</f>
        <v>4361542</v>
      </c>
      <c r="J82" s="12" t="str">
        <f>_xll.SNL.Clients.Office.Excel.Functions.SPG(H82, "SP_ULT_PARENT_COMPANY_NAME")</f>
        <v/>
      </c>
      <c r="K82" s="12" t="str">
        <f>_xll.SNL.Clients.Office.Excel.Functions.SPG(H82, "SP_ULT_PARENT_COUNTRY")</f>
        <v/>
      </c>
      <c r="L82" s="12" t="str">
        <f>_xll.SNL.Clients.Office.Excel.Functions.SPG(H82, "SP_PARENT_COMPANY_NAME")</f>
        <v/>
      </c>
      <c r="M82" s="12" t="str">
        <f>_xll.SNL.Clients.Office.Excel.Functions.SPG(H82, "SP_PARENT_COUNTRY")</f>
        <v/>
      </c>
      <c r="N82" s="12" t="str">
        <f>_xll.SNL.Clients.Office.Excel.Functions.SPG(H82, "SP_COUNTRY_NAME")</f>
        <v>Canada</v>
      </c>
      <c r="O82" s="12" t="str">
        <f>_xll.SNL.Clients.Office.Excel.Functions.SPG(I82, "SP_ULT_PARENT_COMPANY_NAME")</f>
        <v/>
      </c>
      <c r="P82" s="12" t="str">
        <f>_xll.SNL.Clients.Office.Excel.Functions.SPG(I82, "SP_ULT_PARENT_COUNTRY")</f>
        <v/>
      </c>
      <c r="Q82" s="12" t="str">
        <f>_xll.SNL.Clients.Office.Excel.Functions.SPG(I82, "SP_PARENT_COMPANY_NAME")</f>
        <v/>
      </c>
      <c r="R82" s="12" t="str">
        <f>_xll.SNL.Clients.Office.Excel.Functions.SPG(I82, "SP_PARENT_COUNTRY")</f>
        <v/>
      </c>
      <c r="S82" s="12" t="str">
        <f>_xll.SNL.Clients.Office.Excel.Functions.SPG(I82, "SP_COUNTRY_NAME")</f>
        <v>Japan</v>
      </c>
    </row>
    <row r="83" spans="1:19" ht="29" x14ac:dyDescent="0.35">
      <c r="A83" s="5">
        <v>46022</v>
      </c>
      <c r="B83" s="4" t="s">
        <v>94</v>
      </c>
      <c r="C83" s="4" t="s">
        <v>95</v>
      </c>
      <c r="D83" s="4" t="s">
        <v>987</v>
      </c>
      <c r="E83" s="8">
        <v>4351931</v>
      </c>
      <c r="F83" s="7">
        <v>70</v>
      </c>
      <c r="G83" s="12" t="str">
        <f>[1]!SNLData("243327", C83, "OWNER_LIST")</f>
        <v>JX Advanced Metals Corporation (Venturer) 25%; Lundin Mining Corporation (Venturer) 75%</v>
      </c>
      <c r="H83" s="9">
        <f>[1]!SNLData("243327", C83, "OWNER_SNL_INSTN_KEY", "Owner 1")</f>
        <v>4351931</v>
      </c>
      <c r="I83" s="9">
        <f>[1]!SNLData("243327", C83, "OWNER_SNL_INSTN_KEY", "Owner 2")</f>
        <v>4361542</v>
      </c>
      <c r="J83" s="12" t="str">
        <f>_xll.SNL.Clients.Office.Excel.Functions.SPG(H83, "SP_ULT_PARENT_COMPANY_NAME")</f>
        <v/>
      </c>
      <c r="K83" s="12" t="str">
        <f>_xll.SNL.Clients.Office.Excel.Functions.SPG(H83, "SP_ULT_PARENT_COUNTRY")</f>
        <v/>
      </c>
      <c r="L83" s="12" t="str">
        <f>_xll.SNL.Clients.Office.Excel.Functions.SPG(H83, "SP_PARENT_COMPANY_NAME")</f>
        <v/>
      </c>
      <c r="M83" s="12" t="str">
        <f>_xll.SNL.Clients.Office.Excel.Functions.SPG(H83, "SP_PARENT_COUNTRY")</f>
        <v/>
      </c>
      <c r="N83" s="12" t="str">
        <f>_xll.SNL.Clients.Office.Excel.Functions.SPG(H83, "SP_COUNTRY_NAME")</f>
        <v>Canada</v>
      </c>
      <c r="O83" s="12" t="str">
        <f>_xll.SNL.Clients.Office.Excel.Functions.SPG(I83, "SP_ULT_PARENT_COMPANY_NAME")</f>
        <v/>
      </c>
      <c r="P83" s="12" t="str">
        <f>_xll.SNL.Clients.Office.Excel.Functions.SPG(I83, "SP_ULT_PARENT_COUNTRY")</f>
        <v/>
      </c>
      <c r="Q83" s="12" t="str">
        <f>_xll.SNL.Clients.Office.Excel.Functions.SPG(I83, "SP_PARENT_COMPANY_NAME")</f>
        <v/>
      </c>
      <c r="R83" s="12" t="str">
        <f>_xll.SNL.Clients.Office.Excel.Functions.SPG(I83, "SP_PARENT_COUNTRY")</f>
        <v/>
      </c>
      <c r="S83" s="12" t="str">
        <f>_xll.SNL.Clients.Office.Excel.Functions.SPG(I83, "SP_COUNTRY_NAME")</f>
        <v>Japan</v>
      </c>
    </row>
    <row r="84" spans="1:19" x14ac:dyDescent="0.35">
      <c r="A84" s="5">
        <v>46022</v>
      </c>
      <c r="B84" s="4" t="s">
        <v>700</v>
      </c>
      <c r="C84" s="4" t="s">
        <v>701</v>
      </c>
      <c r="D84" s="4" t="s">
        <v>994</v>
      </c>
      <c r="E84" s="8">
        <v>4361542</v>
      </c>
      <c r="F84" s="7">
        <v>100</v>
      </c>
      <c r="G84" s="12" t="str">
        <f>[1]!SNLData("243327", C84, "OWNER_LIST")</f>
        <v>JX Advanced Metals Corporation  100%</v>
      </c>
      <c r="H84" s="9">
        <f>[1]!SNLData("243327", C84, "OWNER_SNL_INSTN_KEY", "Owner 1")</f>
        <v>4361542</v>
      </c>
      <c r="I84" s="9" t="str">
        <f>[1]!SNLData("243327", C84, "OWNER_SNL_INSTN_KEY", "Owner 2")</f>
        <v>NA</v>
      </c>
      <c r="J84" s="12" t="str">
        <f>_xll.SNL.Clients.Office.Excel.Functions.SPG(H84, "SP_ULT_PARENT_COMPANY_NAME")</f>
        <v/>
      </c>
      <c r="K84" s="12" t="str">
        <f>_xll.SNL.Clients.Office.Excel.Functions.SPG(H84, "SP_ULT_PARENT_COUNTRY")</f>
        <v/>
      </c>
      <c r="L84" s="12" t="str">
        <f>_xll.SNL.Clients.Office.Excel.Functions.SPG(H84, "SP_PARENT_COMPANY_NAME")</f>
        <v/>
      </c>
      <c r="M84" s="12" t="str">
        <f>_xll.SNL.Clients.Office.Excel.Functions.SPG(H84, "SP_PARENT_COUNTRY")</f>
        <v/>
      </c>
      <c r="N84" s="12" t="str">
        <f>_xll.SNL.Clients.Office.Excel.Functions.SPG(H84, "SP_COUNTRY_NAME")</f>
        <v>Japan</v>
      </c>
      <c r="O84" s="12" t="str">
        <f>_xll.SNL.Clients.Office.Excel.Functions.SPG(I84, "SP_ULT_PARENT_COMPANY_NAME")</f>
        <v/>
      </c>
      <c r="P84" s="12" t="str">
        <f>_xll.SNL.Clients.Office.Excel.Functions.SPG(I84, "SP_ULT_PARENT_COUNTRY")</f>
        <v/>
      </c>
      <c r="Q84" s="12" t="str">
        <f>_xll.SNL.Clients.Office.Excel.Functions.SPG(I84, "SP_PARENT_COMPANY_NAME")</f>
        <v/>
      </c>
      <c r="R84" s="12" t="str">
        <f>_xll.SNL.Clients.Office.Excel.Functions.SPG(I84, "SP_PARENT_COUNTRY")</f>
        <v/>
      </c>
      <c r="S84" s="12" t="str">
        <f>_xll.SNL.Clients.Office.Excel.Functions.SPG(I84, "SP_COUNTRY_NAME")</f>
        <v>China</v>
      </c>
    </row>
    <row r="85" spans="1:19" x14ac:dyDescent="0.35">
      <c r="A85" s="5">
        <v>46022</v>
      </c>
      <c r="B85" s="4" t="s">
        <v>135</v>
      </c>
      <c r="C85" s="4" t="s">
        <v>136</v>
      </c>
      <c r="D85" s="4" t="s">
        <v>995</v>
      </c>
      <c r="E85" s="8">
        <v>4350215</v>
      </c>
      <c r="F85" s="7">
        <v>100</v>
      </c>
      <c r="G85" s="12" t="str">
        <f>[1]!SNLData("243327", C85, "OWNER_LIST")</f>
        <v>First Quantum Minerals Ltd.  100%</v>
      </c>
      <c r="H85" s="9">
        <f>[1]!SNLData("243327", C85, "OWNER_SNL_INSTN_KEY", "Owner 1")</f>
        <v>4350215</v>
      </c>
      <c r="I85" s="9" t="str">
        <f>[1]!SNLData("243327", C85, "OWNER_SNL_INSTN_KEY", "Owner 2")</f>
        <v>NA</v>
      </c>
      <c r="J85" s="12" t="str">
        <f>_xll.SNL.Clients.Office.Excel.Functions.SPG(H85, "SP_ULT_PARENT_COMPANY_NAME")</f>
        <v/>
      </c>
      <c r="K85" s="12" t="str">
        <f>_xll.SNL.Clients.Office.Excel.Functions.SPG(H85, "SP_ULT_PARENT_COUNTRY")</f>
        <v/>
      </c>
      <c r="L85" s="12" t="str">
        <f>_xll.SNL.Clients.Office.Excel.Functions.SPG(H85, "SP_PARENT_COMPANY_NAME")</f>
        <v/>
      </c>
      <c r="M85" s="12" t="str">
        <f>_xll.SNL.Clients.Office.Excel.Functions.SPG(H85, "SP_PARENT_COUNTRY")</f>
        <v/>
      </c>
      <c r="N85" s="12" t="str">
        <f>_xll.SNL.Clients.Office.Excel.Functions.SPG(H85, "SP_COUNTRY_NAME")</f>
        <v>Canada</v>
      </c>
      <c r="O85" s="12" t="str">
        <f>_xll.SNL.Clients.Office.Excel.Functions.SPG(I85, "SP_ULT_PARENT_COMPANY_NAME")</f>
        <v/>
      </c>
      <c r="P85" s="12" t="str">
        <f>_xll.SNL.Clients.Office.Excel.Functions.SPG(I85, "SP_ULT_PARENT_COUNTRY")</f>
        <v/>
      </c>
      <c r="Q85" s="12" t="str">
        <f>_xll.SNL.Clients.Office.Excel.Functions.SPG(I85, "SP_PARENT_COMPANY_NAME")</f>
        <v/>
      </c>
      <c r="R85" s="12" t="str">
        <f>_xll.SNL.Clients.Office.Excel.Functions.SPG(I85, "SP_PARENT_COUNTRY")</f>
        <v/>
      </c>
      <c r="S85" s="12" t="str">
        <f>_xll.SNL.Clients.Office.Excel.Functions.SPG(I85, "SP_COUNTRY_NAME")</f>
        <v>China</v>
      </c>
    </row>
    <row r="86" spans="1:19" ht="29" x14ac:dyDescent="0.35">
      <c r="A86" s="5">
        <v>46022</v>
      </c>
      <c r="B86" s="4" t="s">
        <v>138</v>
      </c>
      <c r="C86" s="4" t="s">
        <v>139</v>
      </c>
      <c r="D86" s="4" t="s">
        <v>951</v>
      </c>
      <c r="E86" s="8">
        <v>4348083</v>
      </c>
      <c r="F86" s="7">
        <v>70</v>
      </c>
      <c r="G86" s="12" t="str">
        <f>[1]!SNLData("243327", C86, "OWNER_LIST")</f>
        <v>Antofagasta plc (Venturer) 70%; Marubeni Corporation (Venturer) 30%</v>
      </c>
      <c r="H86" s="9">
        <f>[1]!SNLData("243327", C86, "OWNER_SNL_INSTN_KEY", "Owner 1")</f>
        <v>4348083</v>
      </c>
      <c r="I86" s="9">
        <f>[1]!SNLData("243327", C86, "OWNER_SNL_INSTN_KEY", "Owner 2")</f>
        <v>4041871</v>
      </c>
      <c r="J86" s="12" t="str">
        <f>_xll.SNL.Clients.Office.Excel.Functions.SPG(H86, "SP_ULT_PARENT_COMPANY_NAME")</f>
        <v>E. Abaroa Foundation</v>
      </c>
      <c r="K86" s="12" t="str">
        <f>_xll.SNL.Clients.Office.Excel.Functions.SPG(H86, "SP_ULT_PARENT_COUNTRY")</f>
        <v>Liechtenstein</v>
      </c>
      <c r="L86" s="12" t="str">
        <f>_xll.SNL.Clients.Office.Excel.Functions.SPG(H86, "SP_PARENT_COMPANY_NAME")</f>
        <v>Metalinvest Anstalt</v>
      </c>
      <c r="M86" s="12" t="str">
        <f>_xll.SNL.Clients.Office.Excel.Functions.SPG(H86, "SP_PARENT_COUNTRY")</f>
        <v>Liechtenstein</v>
      </c>
      <c r="N86" s="12" t="str">
        <f>_xll.SNL.Clients.Office.Excel.Functions.SPG(H86, "SP_COUNTRY_NAME")</f>
        <v>United Kingdom</v>
      </c>
      <c r="O86" s="12" t="str">
        <f>_xll.SNL.Clients.Office.Excel.Functions.SPG(I86, "SP_ULT_PARENT_COMPANY_NAME")</f>
        <v/>
      </c>
      <c r="P86" s="12" t="str">
        <f>_xll.SNL.Clients.Office.Excel.Functions.SPG(I86, "SP_ULT_PARENT_COUNTRY")</f>
        <v/>
      </c>
      <c r="Q86" s="12" t="str">
        <f>_xll.SNL.Clients.Office.Excel.Functions.SPG(I86, "SP_PARENT_COMPANY_NAME")</f>
        <v/>
      </c>
      <c r="R86" s="12" t="str">
        <f>_xll.SNL.Clients.Office.Excel.Functions.SPG(I86, "SP_PARENT_COUNTRY")</f>
        <v/>
      </c>
      <c r="S86" s="12" t="str">
        <f>_xll.SNL.Clients.Office.Excel.Functions.SPG(I86, "SP_COUNTRY_NAME")</f>
        <v>Japan</v>
      </c>
    </row>
    <row r="87" spans="1:19" ht="29" x14ac:dyDescent="0.35">
      <c r="A87" s="5">
        <v>46022</v>
      </c>
      <c r="B87" s="4" t="s">
        <v>138</v>
      </c>
      <c r="C87" s="4" t="s">
        <v>139</v>
      </c>
      <c r="D87" s="4" t="s">
        <v>952</v>
      </c>
      <c r="E87" s="8">
        <v>4041871</v>
      </c>
      <c r="F87" s="7">
        <v>30</v>
      </c>
      <c r="G87" s="12" t="str">
        <f>[1]!SNLData("243327", C87, "OWNER_LIST")</f>
        <v>Antofagasta plc (Venturer) 70%; Marubeni Corporation (Venturer) 30%</v>
      </c>
      <c r="H87" s="9">
        <f>[1]!SNLData("243327", C87, "OWNER_SNL_INSTN_KEY", "Owner 1")</f>
        <v>4348083</v>
      </c>
      <c r="I87" s="9">
        <f>[1]!SNLData("243327", C87, "OWNER_SNL_INSTN_KEY", "Owner 2")</f>
        <v>4041871</v>
      </c>
      <c r="J87" s="12" t="str">
        <f>_xll.SNL.Clients.Office.Excel.Functions.SPG(H87, "SP_ULT_PARENT_COMPANY_NAME")</f>
        <v>E. Abaroa Foundation</v>
      </c>
      <c r="K87" s="12" t="str">
        <f>_xll.SNL.Clients.Office.Excel.Functions.SPG(H87, "SP_ULT_PARENT_COUNTRY")</f>
        <v>Liechtenstein</v>
      </c>
      <c r="L87" s="12" t="str">
        <f>_xll.SNL.Clients.Office.Excel.Functions.SPG(H87, "SP_PARENT_COMPANY_NAME")</f>
        <v>Metalinvest Anstalt</v>
      </c>
      <c r="M87" s="12" t="str">
        <f>_xll.SNL.Clients.Office.Excel.Functions.SPG(H87, "SP_PARENT_COUNTRY")</f>
        <v>Liechtenstein</v>
      </c>
      <c r="N87" s="12" t="str">
        <f>_xll.SNL.Clients.Office.Excel.Functions.SPG(H87, "SP_COUNTRY_NAME")</f>
        <v>United Kingdom</v>
      </c>
      <c r="O87" s="12" t="str">
        <f>_xll.SNL.Clients.Office.Excel.Functions.SPG(I87, "SP_ULT_PARENT_COMPANY_NAME")</f>
        <v/>
      </c>
      <c r="P87" s="12" t="str">
        <f>_xll.SNL.Clients.Office.Excel.Functions.SPG(I87, "SP_ULT_PARENT_COUNTRY")</f>
        <v/>
      </c>
      <c r="Q87" s="12" t="str">
        <f>_xll.SNL.Clients.Office.Excel.Functions.SPG(I87, "SP_PARENT_COMPANY_NAME")</f>
        <v/>
      </c>
      <c r="R87" s="12" t="str">
        <f>_xll.SNL.Clients.Office.Excel.Functions.SPG(I87, "SP_PARENT_COUNTRY")</f>
        <v/>
      </c>
      <c r="S87" s="12" t="str">
        <f>_xll.SNL.Clients.Office.Excel.Functions.SPG(I87, "SP_COUNTRY_NAME")</f>
        <v>Japan</v>
      </c>
    </row>
    <row r="88" spans="1:19" ht="29" x14ac:dyDescent="0.35">
      <c r="A88" s="5">
        <v>46022</v>
      </c>
      <c r="B88" s="4" t="s">
        <v>96</v>
      </c>
      <c r="C88" s="4" t="s">
        <v>97</v>
      </c>
      <c r="D88" s="4" t="s">
        <v>951</v>
      </c>
      <c r="E88" s="8">
        <v>4348083</v>
      </c>
      <c r="F88" s="7">
        <v>70</v>
      </c>
      <c r="G88" s="12" t="str">
        <f>[1]!SNLData("243327", C88, "OWNER_LIST")</f>
        <v>Antofagasta plc (Venturer) 70%; Marubeni Corporation (Venturer) 30%</v>
      </c>
      <c r="H88" s="9">
        <f>[1]!SNLData("243327", C88, "OWNER_SNL_INSTN_KEY", "Owner 1")</f>
        <v>4348083</v>
      </c>
      <c r="I88" s="9">
        <f>[1]!SNLData("243327", C88, "OWNER_SNL_INSTN_KEY", "Owner 2")</f>
        <v>4041871</v>
      </c>
      <c r="J88" s="12" t="str">
        <f>_xll.SNL.Clients.Office.Excel.Functions.SPG(H88, "SP_ULT_PARENT_COMPANY_NAME")</f>
        <v>E. Abaroa Foundation</v>
      </c>
      <c r="K88" s="12" t="str">
        <f>_xll.SNL.Clients.Office.Excel.Functions.SPG(H88, "SP_ULT_PARENT_COUNTRY")</f>
        <v>Liechtenstein</v>
      </c>
      <c r="L88" s="12" t="str">
        <f>_xll.SNL.Clients.Office.Excel.Functions.SPG(H88, "SP_PARENT_COMPANY_NAME")</f>
        <v>Metalinvest Anstalt</v>
      </c>
      <c r="M88" s="12" t="str">
        <f>_xll.SNL.Clients.Office.Excel.Functions.SPG(H88, "SP_PARENT_COUNTRY")</f>
        <v>Liechtenstein</v>
      </c>
      <c r="N88" s="12" t="str">
        <f>_xll.SNL.Clients.Office.Excel.Functions.SPG(H88, "SP_COUNTRY_NAME")</f>
        <v>United Kingdom</v>
      </c>
      <c r="O88" s="12" t="str">
        <f>_xll.SNL.Clients.Office.Excel.Functions.SPG(I88, "SP_ULT_PARENT_COMPANY_NAME")</f>
        <v/>
      </c>
      <c r="P88" s="12" t="str">
        <f>_xll.SNL.Clients.Office.Excel.Functions.SPG(I88, "SP_ULT_PARENT_COUNTRY")</f>
        <v/>
      </c>
      <c r="Q88" s="12" t="str">
        <f>_xll.SNL.Clients.Office.Excel.Functions.SPG(I88, "SP_PARENT_COMPANY_NAME")</f>
        <v/>
      </c>
      <c r="R88" s="12" t="str">
        <f>_xll.SNL.Clients.Office.Excel.Functions.SPG(I88, "SP_PARENT_COUNTRY")</f>
        <v/>
      </c>
      <c r="S88" s="12" t="str">
        <f>_xll.SNL.Clients.Office.Excel.Functions.SPG(I88, "SP_COUNTRY_NAME")</f>
        <v>Japan</v>
      </c>
    </row>
    <row r="89" spans="1:19" ht="29" x14ac:dyDescent="0.35">
      <c r="A89" s="5">
        <v>46022</v>
      </c>
      <c r="B89" s="4" t="s">
        <v>96</v>
      </c>
      <c r="C89" s="4" t="s">
        <v>97</v>
      </c>
      <c r="D89" s="4" t="s">
        <v>952</v>
      </c>
      <c r="E89" s="8">
        <v>4041871</v>
      </c>
      <c r="F89" s="7">
        <v>30</v>
      </c>
      <c r="G89" s="12" t="str">
        <f>[1]!SNLData("243327", C89, "OWNER_LIST")</f>
        <v>Antofagasta plc (Venturer) 70%; Marubeni Corporation (Venturer) 30%</v>
      </c>
      <c r="H89" s="9">
        <f>[1]!SNLData("243327", C89, "OWNER_SNL_INSTN_KEY", "Owner 1")</f>
        <v>4348083</v>
      </c>
      <c r="I89" s="9">
        <f>[1]!SNLData("243327", C89, "OWNER_SNL_INSTN_KEY", "Owner 2")</f>
        <v>4041871</v>
      </c>
      <c r="J89" s="12" t="str">
        <f>_xll.SNL.Clients.Office.Excel.Functions.SPG(H89, "SP_ULT_PARENT_COMPANY_NAME")</f>
        <v>E. Abaroa Foundation</v>
      </c>
      <c r="K89" s="12" t="str">
        <f>_xll.SNL.Clients.Office.Excel.Functions.SPG(H89, "SP_ULT_PARENT_COUNTRY")</f>
        <v>Liechtenstein</v>
      </c>
      <c r="L89" s="12" t="str">
        <f>_xll.SNL.Clients.Office.Excel.Functions.SPG(H89, "SP_PARENT_COMPANY_NAME")</f>
        <v>Metalinvest Anstalt</v>
      </c>
      <c r="M89" s="12" t="str">
        <f>_xll.SNL.Clients.Office.Excel.Functions.SPG(H89, "SP_PARENT_COUNTRY")</f>
        <v>Liechtenstein</v>
      </c>
      <c r="N89" s="12" t="str">
        <f>_xll.SNL.Clients.Office.Excel.Functions.SPG(H89, "SP_COUNTRY_NAME")</f>
        <v>United Kingdom</v>
      </c>
      <c r="O89" s="12" t="str">
        <f>_xll.SNL.Clients.Office.Excel.Functions.SPG(I89, "SP_ULT_PARENT_COMPANY_NAME")</f>
        <v/>
      </c>
      <c r="P89" s="12" t="str">
        <f>_xll.SNL.Clients.Office.Excel.Functions.SPG(I89, "SP_ULT_PARENT_COUNTRY")</f>
        <v/>
      </c>
      <c r="Q89" s="12" t="str">
        <f>_xll.SNL.Clients.Office.Excel.Functions.SPG(I89, "SP_PARENT_COMPANY_NAME")</f>
        <v/>
      </c>
      <c r="R89" s="12" t="str">
        <f>_xll.SNL.Clients.Office.Excel.Functions.SPG(I89, "SP_PARENT_COUNTRY")</f>
        <v/>
      </c>
      <c r="S89" s="12" t="str">
        <f>_xll.SNL.Clients.Office.Excel.Functions.SPG(I89, "SP_COUNTRY_NAME")</f>
        <v>Japan</v>
      </c>
    </row>
    <row r="90" spans="1:19" x14ac:dyDescent="0.35">
      <c r="A90" s="5">
        <v>46022</v>
      </c>
      <c r="B90" s="4" t="s">
        <v>702</v>
      </c>
      <c r="C90" s="4" t="s">
        <v>703</v>
      </c>
      <c r="D90" s="4" t="s">
        <v>996</v>
      </c>
      <c r="E90" s="8">
        <v>4410234</v>
      </c>
      <c r="F90" s="7">
        <v>100</v>
      </c>
      <c r="G90" s="12" t="str">
        <f>[1]!SNLData("243327", C90, "OWNER_LIST")</f>
        <v>Cuprum Holding Limited  100%</v>
      </c>
      <c r="H90" s="9">
        <f>[1]!SNLData("243327", C90, "OWNER_SNL_INSTN_KEY", "Owner 1")</f>
        <v>4410234</v>
      </c>
      <c r="I90" s="9" t="str">
        <f>[1]!SNLData("243327", C90, "OWNER_SNL_INSTN_KEY", "Owner 2")</f>
        <v>NA</v>
      </c>
      <c r="J90" s="12" t="str">
        <f>_xll.SNL.Clients.Office.Excel.Functions.SPG(H90, "SP_ULT_PARENT_COMPANY_NAME")</f>
        <v/>
      </c>
      <c r="K90" s="12" t="str">
        <f>_xll.SNL.Clients.Office.Excel.Functions.SPG(H90, "SP_ULT_PARENT_COUNTRY")</f>
        <v/>
      </c>
      <c r="L90" s="12" t="str">
        <f>_xll.SNL.Clients.Office.Excel.Functions.SPG(H90, "SP_PARENT_COMPANY_NAME")</f>
        <v/>
      </c>
      <c r="M90" s="12" t="str">
        <f>_xll.SNL.Clients.Office.Excel.Functions.SPG(H90, "SP_PARENT_COUNTRY")</f>
        <v/>
      </c>
      <c r="N90" s="12" t="str">
        <f>_xll.SNL.Clients.Office.Excel.Functions.SPG(H90, "SP_COUNTRY_NAME")</f>
        <v>Malta</v>
      </c>
      <c r="O90" s="12" t="str">
        <f>_xll.SNL.Clients.Office.Excel.Functions.SPG(I90, "SP_ULT_PARENT_COMPANY_NAME")</f>
        <v/>
      </c>
      <c r="P90" s="12" t="str">
        <f>_xll.SNL.Clients.Office.Excel.Functions.SPG(I90, "SP_ULT_PARENT_COUNTRY")</f>
        <v/>
      </c>
      <c r="Q90" s="12" t="str">
        <f>_xll.SNL.Clients.Office.Excel.Functions.SPG(I90, "SP_PARENT_COMPANY_NAME")</f>
        <v/>
      </c>
      <c r="R90" s="12" t="str">
        <f>_xll.SNL.Clients.Office.Excel.Functions.SPG(I90, "SP_PARENT_COUNTRY")</f>
        <v/>
      </c>
      <c r="S90" s="12" t="str">
        <f>_xll.SNL.Clients.Office.Excel.Functions.SPG(I90, "SP_COUNTRY_NAME")</f>
        <v>China</v>
      </c>
    </row>
    <row r="91" spans="1:19" ht="43.5" x14ac:dyDescent="0.35">
      <c r="A91" s="5">
        <v>46022</v>
      </c>
      <c r="B91" s="4" t="s">
        <v>140</v>
      </c>
      <c r="C91" s="4" t="s">
        <v>141</v>
      </c>
      <c r="D91" s="4" t="s">
        <v>997</v>
      </c>
      <c r="E91" s="8">
        <v>4144674</v>
      </c>
      <c r="F91" s="7">
        <v>99.53</v>
      </c>
      <c r="G91" s="12" t="str">
        <f>[1]!SNLData("243327", C91, "OWNER_LIST")</f>
        <v>Private Interest (Venturer) 0.47%; Gold Fields Limited (Venturer) 99.53%; Compañía de Minas Buenaventura S.A.A. (Fractional) %</v>
      </c>
      <c r="H91" s="9">
        <f>[1]!SNLData("243327", C91, "OWNER_SNL_INSTN_KEY", "Owner 1")</f>
        <v>4144674</v>
      </c>
      <c r="I91" s="9">
        <f>[1]!SNLData("243327", C91, "OWNER_SNL_INSTN_KEY", "Owner 2")</f>
        <v>4353456</v>
      </c>
      <c r="J91" s="12" t="str">
        <f>_xll.SNL.Clients.Office.Excel.Functions.SPG(H91, "SP_ULT_PARENT_COMPANY_NAME")</f>
        <v/>
      </c>
      <c r="K91" s="12" t="str">
        <f>_xll.SNL.Clients.Office.Excel.Functions.SPG(H91, "SP_ULT_PARENT_COUNTRY")</f>
        <v/>
      </c>
      <c r="L91" s="12" t="str">
        <f>_xll.SNL.Clients.Office.Excel.Functions.SPG(H91, "SP_PARENT_COMPANY_NAME")</f>
        <v/>
      </c>
      <c r="M91" s="12" t="str">
        <f>_xll.SNL.Clients.Office.Excel.Functions.SPG(H91, "SP_PARENT_COUNTRY")</f>
        <v/>
      </c>
      <c r="N91" s="12" t="str">
        <f>_xll.SNL.Clients.Office.Excel.Functions.SPG(H91, "SP_COUNTRY_NAME")</f>
        <v>South Africa</v>
      </c>
      <c r="O91" s="12" t="str">
        <f>_xll.SNL.Clients.Office.Excel.Functions.SPG(I91, "SP_ULT_PARENT_COMPANY_NAME")</f>
        <v/>
      </c>
      <c r="P91" s="12" t="str">
        <f>_xll.SNL.Clients.Office.Excel.Functions.SPG(I91, "SP_ULT_PARENT_COUNTRY")</f>
        <v/>
      </c>
      <c r="Q91" s="12" t="str">
        <f>_xll.SNL.Clients.Office.Excel.Functions.SPG(I91, "SP_PARENT_COMPANY_NAME")</f>
        <v/>
      </c>
      <c r="R91" s="12" t="str">
        <f>_xll.SNL.Clients.Office.Excel.Functions.SPG(I91, "SP_PARENT_COUNTRY")</f>
        <v/>
      </c>
      <c r="S91" s="12" t="str">
        <f>_xll.SNL.Clients.Office.Excel.Functions.SPG(I91, "SP_COUNTRY_NAME")</f>
        <v>China</v>
      </c>
    </row>
    <row r="92" spans="1:19" ht="43.5" x14ac:dyDescent="0.35">
      <c r="A92" s="5">
        <v>46022</v>
      </c>
      <c r="B92" s="4" t="s">
        <v>140</v>
      </c>
      <c r="C92" s="4" t="s">
        <v>141</v>
      </c>
      <c r="D92" s="4" t="s">
        <v>962</v>
      </c>
      <c r="E92" s="8">
        <v>4353456</v>
      </c>
      <c r="F92" s="7">
        <v>0.47</v>
      </c>
      <c r="G92" s="12" t="str">
        <f>[1]!SNLData("243327", C92, "OWNER_LIST")</f>
        <v>Private Interest (Venturer) 0.47%; Gold Fields Limited (Venturer) 99.53%; Compañía de Minas Buenaventura S.A.A. (Fractional) %</v>
      </c>
      <c r="H92" s="9">
        <f>[1]!SNLData("243327", C92, "OWNER_SNL_INSTN_KEY", "Owner 1")</f>
        <v>4144674</v>
      </c>
      <c r="I92" s="9">
        <f>[1]!SNLData("243327", C92, "OWNER_SNL_INSTN_KEY", "Owner 2")</f>
        <v>4353456</v>
      </c>
      <c r="J92" s="12" t="str">
        <f>_xll.SNL.Clients.Office.Excel.Functions.SPG(H92, "SP_ULT_PARENT_COMPANY_NAME")</f>
        <v/>
      </c>
      <c r="K92" s="12" t="str">
        <f>_xll.SNL.Clients.Office.Excel.Functions.SPG(H92, "SP_ULT_PARENT_COUNTRY")</f>
        <v/>
      </c>
      <c r="L92" s="12" t="str">
        <f>_xll.SNL.Clients.Office.Excel.Functions.SPG(H92, "SP_PARENT_COMPANY_NAME")</f>
        <v/>
      </c>
      <c r="M92" s="12" t="str">
        <f>_xll.SNL.Clients.Office.Excel.Functions.SPG(H92, "SP_PARENT_COUNTRY")</f>
        <v/>
      </c>
      <c r="N92" s="12" t="str">
        <f>_xll.SNL.Clients.Office.Excel.Functions.SPG(H92, "SP_COUNTRY_NAME")</f>
        <v>South Africa</v>
      </c>
      <c r="O92" s="12" t="str">
        <f>_xll.SNL.Clients.Office.Excel.Functions.SPG(I92, "SP_ULT_PARENT_COMPANY_NAME")</f>
        <v/>
      </c>
      <c r="P92" s="12" t="str">
        <f>_xll.SNL.Clients.Office.Excel.Functions.SPG(I92, "SP_ULT_PARENT_COUNTRY")</f>
        <v/>
      </c>
      <c r="Q92" s="12" t="str">
        <f>_xll.SNL.Clients.Office.Excel.Functions.SPG(I92, "SP_PARENT_COMPANY_NAME")</f>
        <v/>
      </c>
      <c r="R92" s="12" t="str">
        <f>_xll.SNL.Clients.Office.Excel.Functions.SPG(I92, "SP_PARENT_COUNTRY")</f>
        <v/>
      </c>
      <c r="S92" s="12" t="str">
        <f>_xll.SNL.Clients.Office.Excel.Functions.SPG(I92, "SP_COUNTRY_NAME")</f>
        <v>China</v>
      </c>
    </row>
    <row r="93" spans="1:19" ht="29" x14ac:dyDescent="0.35">
      <c r="A93" s="5">
        <v>46022</v>
      </c>
      <c r="B93" s="4" t="s">
        <v>260</v>
      </c>
      <c r="C93" s="4" t="s">
        <v>261</v>
      </c>
      <c r="D93" s="4" t="s">
        <v>998</v>
      </c>
      <c r="E93" s="8">
        <v>4355633</v>
      </c>
      <c r="F93" s="7">
        <v>100</v>
      </c>
      <c r="G93" s="12" t="str">
        <f>[1]!SNLData("243327", C93, "OWNER_LIST")</f>
        <v>Shenzhen Zhongjin Lingnan Nonfemet Co. Ltd.  100%</v>
      </c>
      <c r="H93" s="9">
        <f>[1]!SNLData("243327", C93, "OWNER_SNL_INSTN_KEY", "Owner 1")</f>
        <v>4355633</v>
      </c>
      <c r="I93" s="9" t="str">
        <f>[1]!SNLData("243327", C93, "OWNER_SNL_INSTN_KEY", "Owner 2")</f>
        <v>NA</v>
      </c>
      <c r="J93" s="12" t="str">
        <f>_xll.SNL.Clients.Office.Excel.Functions.SPG(H93, "SP_ULT_PARENT_COMPANY_NAME")</f>
        <v/>
      </c>
      <c r="K93" s="12" t="str">
        <f>_xll.SNL.Clients.Office.Excel.Functions.SPG(H93, "SP_ULT_PARENT_COUNTRY")</f>
        <v/>
      </c>
      <c r="L93" s="12" t="str">
        <f>_xll.SNL.Clients.Office.Excel.Functions.SPG(H93, "SP_PARENT_COMPANY_NAME")</f>
        <v/>
      </c>
      <c r="M93" s="12" t="str">
        <f>_xll.SNL.Clients.Office.Excel.Functions.SPG(H93, "SP_PARENT_COUNTRY")</f>
        <v/>
      </c>
      <c r="N93" s="12" t="str">
        <f>_xll.SNL.Clients.Office.Excel.Functions.SPG(H93, "SP_COUNTRY_NAME")</f>
        <v>China</v>
      </c>
      <c r="O93" s="12" t="str">
        <f>_xll.SNL.Clients.Office.Excel.Functions.SPG(I93, "SP_ULT_PARENT_COMPANY_NAME")</f>
        <v/>
      </c>
      <c r="P93" s="12" t="str">
        <f>_xll.SNL.Clients.Office.Excel.Functions.SPG(I93, "SP_ULT_PARENT_COUNTRY")</f>
        <v/>
      </c>
      <c r="Q93" s="12" t="str">
        <f>_xll.SNL.Clients.Office.Excel.Functions.SPG(I93, "SP_PARENT_COMPANY_NAME")</f>
        <v/>
      </c>
      <c r="R93" s="12" t="str">
        <f>_xll.SNL.Clients.Office.Excel.Functions.SPG(I93, "SP_PARENT_COUNTRY")</f>
        <v/>
      </c>
      <c r="S93" s="12" t="str">
        <f>_xll.SNL.Clients.Office.Excel.Functions.SPG(I93, "SP_COUNTRY_NAME")</f>
        <v>China</v>
      </c>
    </row>
    <row r="94" spans="1:19" ht="58" x14ac:dyDescent="0.35">
      <c r="A94" s="5">
        <v>46022</v>
      </c>
      <c r="B94" s="4" t="s">
        <v>142</v>
      </c>
      <c r="C94" s="4" t="s">
        <v>143</v>
      </c>
      <c r="D94" s="4" t="s">
        <v>999</v>
      </c>
      <c r="E94" s="8">
        <v>4349227</v>
      </c>
      <c r="F94" s="7">
        <v>100</v>
      </c>
      <c r="G94" s="12" t="str">
        <f>[1]!SNLData("243327", C94, "OWNER_LIST")</f>
        <v>Nexa Resources Perú S.A.A.  100%</v>
      </c>
      <c r="H94" s="9">
        <f>[1]!SNLData("243327", C94, "OWNER_SNL_INSTN_KEY", "Owner 1")</f>
        <v>4349227</v>
      </c>
      <c r="I94" s="9" t="str">
        <f>[1]!SNLData("243327", C94, "OWNER_SNL_INSTN_KEY", "Owner 2")</f>
        <v>NA</v>
      </c>
      <c r="J94" s="12" t="str">
        <f>_xll.SNL.Clients.Office.Excel.Functions.SPG(H94, "SP_ULT_PARENT_COMPANY_NAME")</f>
        <v>JEMF Participações S.A.</v>
      </c>
      <c r="K94" s="12" t="str">
        <f>_xll.SNL.Clients.Office.Excel.Functions.SPG(H94, "SP_ULT_PARENT_COUNTRY")</f>
        <v>Brazil</v>
      </c>
      <c r="L94" s="12" t="str">
        <f>_xll.SNL.Clients.Office.Excel.Functions.SPG(H94, "SP_PARENT_COMPANY_NAME")</f>
        <v>Nexa Resources - Cajamarquilla S.A.</v>
      </c>
      <c r="M94" s="12" t="str">
        <f>_xll.SNL.Clients.Office.Excel.Functions.SPG(H94, "SP_PARENT_COUNTRY")</f>
        <v>Peru</v>
      </c>
      <c r="N94" s="12" t="str">
        <f>_xll.SNL.Clients.Office.Excel.Functions.SPG(H94, "SP_COUNTRY_NAME")</f>
        <v>Peru</v>
      </c>
      <c r="O94" s="12" t="str">
        <f>_xll.SNL.Clients.Office.Excel.Functions.SPG(I94, "SP_ULT_PARENT_COMPANY_NAME")</f>
        <v/>
      </c>
      <c r="P94" s="12" t="str">
        <f>_xll.SNL.Clients.Office.Excel.Functions.SPG(I94, "SP_ULT_PARENT_COUNTRY")</f>
        <v/>
      </c>
      <c r="Q94" s="12" t="str">
        <f>_xll.SNL.Clients.Office.Excel.Functions.SPG(I94, "SP_PARENT_COMPANY_NAME")</f>
        <v/>
      </c>
      <c r="R94" s="12" t="str">
        <f>_xll.SNL.Clients.Office.Excel.Functions.SPG(I94, "SP_PARENT_COUNTRY")</f>
        <v/>
      </c>
      <c r="S94" s="12" t="str">
        <f>_xll.SNL.Clients.Office.Excel.Functions.SPG(I94, "SP_COUNTRY_NAME")</f>
        <v>China</v>
      </c>
    </row>
    <row r="95" spans="1:19" ht="72.5" x14ac:dyDescent="0.35">
      <c r="A95" s="5">
        <v>46022</v>
      </c>
      <c r="B95" s="4" t="s">
        <v>98</v>
      </c>
      <c r="C95" s="4" t="s">
        <v>99</v>
      </c>
      <c r="D95" s="4" t="s">
        <v>1000</v>
      </c>
      <c r="E95" s="8">
        <v>4349204</v>
      </c>
      <c r="F95" s="7">
        <v>19.579999999999998</v>
      </c>
      <c r="G95" s="12" t="str">
        <f>[1]!SNLData("243327", C95, "OWNER_LIST")</f>
        <v>Sumitomo Metal Mining Co., Ltd. (Venturer) 16.8%; Sumitomo Corporation  4.2%; Freeport-McMoRan Inc. (Venturer) 55.08%; Unnamed Owner (Fractional) %; Compañía de Minas Buenaventura S.A.A. (Venturer) 19.58%</v>
      </c>
      <c r="H95" s="9">
        <f>[1]!SNLData("243327", C95, "OWNER_SNL_INSTN_KEY", "Owner 1")</f>
        <v>4004107</v>
      </c>
      <c r="I95" s="9">
        <f>[1]!SNLData("243327", C95, "OWNER_SNL_INSTN_KEY", "Owner 2")</f>
        <v>4349204</v>
      </c>
      <c r="J95" s="12" t="str">
        <f>_xll.SNL.Clients.Office.Excel.Functions.SPG(H95, "SP_ULT_PARENT_COMPANY_NAME")</f>
        <v/>
      </c>
      <c r="K95" s="12" t="str">
        <f>_xll.SNL.Clients.Office.Excel.Functions.SPG(H95, "SP_ULT_PARENT_COUNTRY")</f>
        <v/>
      </c>
      <c r="L95" s="12" t="str">
        <f>_xll.SNL.Clients.Office.Excel.Functions.SPG(H95, "SP_PARENT_COMPANY_NAME")</f>
        <v/>
      </c>
      <c r="M95" s="12" t="str">
        <f>_xll.SNL.Clients.Office.Excel.Functions.SPG(H95, "SP_PARENT_COUNTRY")</f>
        <v/>
      </c>
      <c r="N95" s="12" t="str">
        <f>_xll.SNL.Clients.Office.Excel.Functions.SPG(H95, "SP_COUNTRY_NAME")</f>
        <v>USA</v>
      </c>
      <c r="O95" s="12" t="str">
        <f>_xll.SNL.Clients.Office.Excel.Functions.SPG(I95, "SP_ULT_PARENT_COMPANY_NAME")</f>
        <v/>
      </c>
      <c r="P95" s="12" t="str">
        <f>_xll.SNL.Clients.Office.Excel.Functions.SPG(I95, "SP_ULT_PARENT_COUNTRY")</f>
        <v/>
      </c>
      <c r="Q95" s="12" t="str">
        <f>_xll.SNL.Clients.Office.Excel.Functions.SPG(I95, "SP_PARENT_COMPANY_NAME")</f>
        <v/>
      </c>
      <c r="R95" s="12" t="str">
        <f>_xll.SNL.Clients.Office.Excel.Functions.SPG(I95, "SP_PARENT_COUNTRY")</f>
        <v/>
      </c>
      <c r="S95" s="12" t="str">
        <f>_xll.SNL.Clients.Office.Excel.Functions.SPG(I95, "SP_COUNTRY_NAME")</f>
        <v>Peru</v>
      </c>
    </row>
    <row r="96" spans="1:19" ht="72.5" x14ac:dyDescent="0.35">
      <c r="A96" s="5">
        <v>46022</v>
      </c>
      <c r="B96" s="4" t="s">
        <v>98</v>
      </c>
      <c r="C96" s="4" t="s">
        <v>99</v>
      </c>
      <c r="D96" s="4" t="s">
        <v>963</v>
      </c>
      <c r="E96" s="8">
        <v>4004107</v>
      </c>
      <c r="F96" s="7">
        <v>55.08</v>
      </c>
      <c r="G96" s="12" t="str">
        <f>[1]!SNLData("243327", C96, "OWNER_LIST")</f>
        <v>Sumitomo Metal Mining Co., Ltd. (Venturer) 16.8%; Sumitomo Corporation  4.2%; Freeport-McMoRan Inc. (Venturer) 55.08%; Unnamed Owner (Fractional) %; Compañía de Minas Buenaventura S.A.A. (Venturer) 19.58%</v>
      </c>
      <c r="H96" s="9">
        <f>[1]!SNLData("243327", C96, "OWNER_SNL_INSTN_KEY", "Owner 1")</f>
        <v>4004107</v>
      </c>
      <c r="I96" s="9">
        <f>[1]!SNLData("243327", C96, "OWNER_SNL_INSTN_KEY", "Owner 2")</f>
        <v>4349204</v>
      </c>
      <c r="J96" s="12" t="str">
        <f>_xll.SNL.Clients.Office.Excel.Functions.SPG(H96, "SP_ULT_PARENT_COMPANY_NAME")</f>
        <v/>
      </c>
      <c r="K96" s="12" t="str">
        <f>_xll.SNL.Clients.Office.Excel.Functions.SPG(H96, "SP_ULT_PARENT_COUNTRY")</f>
        <v/>
      </c>
      <c r="L96" s="12" t="str">
        <f>_xll.SNL.Clients.Office.Excel.Functions.SPG(H96, "SP_PARENT_COMPANY_NAME")</f>
        <v/>
      </c>
      <c r="M96" s="12" t="str">
        <f>_xll.SNL.Clients.Office.Excel.Functions.SPG(H96, "SP_PARENT_COUNTRY")</f>
        <v/>
      </c>
      <c r="N96" s="12" t="str">
        <f>_xll.SNL.Clients.Office.Excel.Functions.SPG(H96, "SP_COUNTRY_NAME")</f>
        <v>USA</v>
      </c>
      <c r="O96" s="12" t="str">
        <f>_xll.SNL.Clients.Office.Excel.Functions.SPG(I96, "SP_ULT_PARENT_COMPANY_NAME")</f>
        <v/>
      </c>
      <c r="P96" s="12" t="str">
        <f>_xll.SNL.Clients.Office.Excel.Functions.SPG(I96, "SP_ULT_PARENT_COUNTRY")</f>
        <v/>
      </c>
      <c r="Q96" s="12" t="str">
        <f>_xll.SNL.Clients.Office.Excel.Functions.SPG(I96, "SP_PARENT_COMPANY_NAME")</f>
        <v/>
      </c>
      <c r="R96" s="12" t="str">
        <f>_xll.SNL.Clients.Office.Excel.Functions.SPG(I96, "SP_PARENT_COUNTRY")</f>
        <v/>
      </c>
      <c r="S96" s="12" t="str">
        <f>_xll.SNL.Clients.Office.Excel.Functions.SPG(I96, "SP_COUNTRY_NAME")</f>
        <v>Peru</v>
      </c>
    </row>
    <row r="97" spans="1:19" ht="72.5" x14ac:dyDescent="0.35">
      <c r="A97" s="5">
        <v>46022</v>
      </c>
      <c r="B97" s="4" t="s">
        <v>98</v>
      </c>
      <c r="C97" s="4" t="s">
        <v>99</v>
      </c>
      <c r="D97" s="4" t="s">
        <v>988</v>
      </c>
      <c r="E97" s="8">
        <v>4047416</v>
      </c>
      <c r="F97" s="7">
        <v>4.2</v>
      </c>
      <c r="G97" s="12" t="str">
        <f>[1]!SNLData("243327", C97, "OWNER_LIST")</f>
        <v>Sumitomo Metal Mining Co., Ltd. (Venturer) 16.8%; Sumitomo Corporation  4.2%; Freeport-McMoRan Inc. (Venturer) 55.08%; Unnamed Owner (Fractional) %; Compañía de Minas Buenaventura S.A.A. (Venturer) 19.58%</v>
      </c>
      <c r="H97" s="9">
        <f>[1]!SNLData("243327", C97, "OWNER_SNL_INSTN_KEY", "Owner 1")</f>
        <v>4004107</v>
      </c>
      <c r="I97" s="9">
        <f>[1]!SNLData("243327", C97, "OWNER_SNL_INSTN_KEY", "Owner 2")</f>
        <v>4349204</v>
      </c>
      <c r="J97" s="12" t="str">
        <f>_xll.SNL.Clients.Office.Excel.Functions.SPG(H97, "SP_ULT_PARENT_COMPANY_NAME")</f>
        <v/>
      </c>
      <c r="K97" s="12" t="str">
        <f>_xll.SNL.Clients.Office.Excel.Functions.SPG(H97, "SP_ULT_PARENT_COUNTRY")</f>
        <v/>
      </c>
      <c r="L97" s="12" t="str">
        <f>_xll.SNL.Clients.Office.Excel.Functions.SPG(H97, "SP_PARENT_COMPANY_NAME")</f>
        <v/>
      </c>
      <c r="M97" s="12" t="str">
        <f>_xll.SNL.Clients.Office.Excel.Functions.SPG(H97, "SP_PARENT_COUNTRY")</f>
        <v/>
      </c>
      <c r="N97" s="12" t="str">
        <f>_xll.SNL.Clients.Office.Excel.Functions.SPG(H97, "SP_COUNTRY_NAME")</f>
        <v>USA</v>
      </c>
      <c r="O97" s="12" t="str">
        <f>_xll.SNL.Clients.Office.Excel.Functions.SPG(I97, "SP_ULT_PARENT_COMPANY_NAME")</f>
        <v/>
      </c>
      <c r="P97" s="12" t="str">
        <f>_xll.SNL.Clients.Office.Excel.Functions.SPG(I97, "SP_ULT_PARENT_COUNTRY")</f>
        <v/>
      </c>
      <c r="Q97" s="12" t="str">
        <f>_xll.SNL.Clients.Office.Excel.Functions.SPG(I97, "SP_PARENT_COMPANY_NAME")</f>
        <v/>
      </c>
      <c r="R97" s="12" t="str">
        <f>_xll.SNL.Clients.Office.Excel.Functions.SPG(I97, "SP_PARENT_COUNTRY")</f>
        <v/>
      </c>
      <c r="S97" s="12" t="str">
        <f>_xll.SNL.Clients.Office.Excel.Functions.SPG(I97, "SP_COUNTRY_NAME")</f>
        <v>Peru</v>
      </c>
    </row>
    <row r="98" spans="1:19" ht="72.5" x14ac:dyDescent="0.35">
      <c r="A98" s="5">
        <v>46022</v>
      </c>
      <c r="B98" s="4" t="s">
        <v>98</v>
      </c>
      <c r="C98" s="4" t="s">
        <v>99</v>
      </c>
      <c r="D98" s="4" t="s">
        <v>989</v>
      </c>
      <c r="E98" s="8">
        <v>4354638</v>
      </c>
      <c r="F98" s="7">
        <v>16.8</v>
      </c>
      <c r="G98" s="12" t="str">
        <f>[1]!SNLData("243327", C98, "OWNER_LIST")</f>
        <v>Sumitomo Metal Mining Co., Ltd. (Venturer) 16.8%; Sumitomo Corporation  4.2%; Freeport-McMoRan Inc. (Venturer) 55.08%; Unnamed Owner (Fractional) %; Compañía de Minas Buenaventura S.A.A. (Venturer) 19.58%</v>
      </c>
      <c r="H98" s="9">
        <f>[1]!SNLData("243327", C98, "OWNER_SNL_INSTN_KEY", "Owner 1")</f>
        <v>4004107</v>
      </c>
      <c r="I98" s="9">
        <f>[1]!SNLData("243327", C98, "OWNER_SNL_INSTN_KEY", "Owner 2")</f>
        <v>4349204</v>
      </c>
      <c r="J98" s="12" t="str">
        <f>_xll.SNL.Clients.Office.Excel.Functions.SPG(H98, "SP_ULT_PARENT_COMPANY_NAME")</f>
        <v/>
      </c>
      <c r="K98" s="12" t="str">
        <f>_xll.SNL.Clients.Office.Excel.Functions.SPG(H98, "SP_ULT_PARENT_COUNTRY")</f>
        <v/>
      </c>
      <c r="L98" s="12" t="str">
        <f>_xll.SNL.Clients.Office.Excel.Functions.SPG(H98, "SP_PARENT_COMPANY_NAME")</f>
        <v/>
      </c>
      <c r="M98" s="12" t="str">
        <f>_xll.SNL.Clients.Office.Excel.Functions.SPG(H98, "SP_PARENT_COUNTRY")</f>
        <v/>
      </c>
      <c r="N98" s="12" t="str">
        <f>_xll.SNL.Clients.Office.Excel.Functions.SPG(H98, "SP_COUNTRY_NAME")</f>
        <v>USA</v>
      </c>
      <c r="O98" s="12" t="str">
        <f>_xll.SNL.Clients.Office.Excel.Functions.SPG(I98, "SP_ULT_PARENT_COMPANY_NAME")</f>
        <v/>
      </c>
      <c r="P98" s="12" t="str">
        <f>_xll.SNL.Clients.Office.Excel.Functions.SPG(I98, "SP_ULT_PARENT_COUNTRY")</f>
        <v/>
      </c>
      <c r="Q98" s="12" t="str">
        <f>_xll.SNL.Clients.Office.Excel.Functions.SPG(I98, "SP_PARENT_COMPANY_NAME")</f>
        <v/>
      </c>
      <c r="R98" s="12" t="str">
        <f>_xll.SNL.Clients.Office.Excel.Functions.SPG(I98, "SP_PARENT_COUNTRY")</f>
        <v/>
      </c>
      <c r="S98" s="12" t="str">
        <f>_xll.SNL.Clients.Office.Excel.Functions.SPG(I98, "SP_COUNTRY_NAME")</f>
        <v>Peru</v>
      </c>
    </row>
    <row r="99" spans="1:19" ht="72.5" x14ac:dyDescent="0.35">
      <c r="A99" s="5">
        <v>46022</v>
      </c>
      <c r="B99" s="4" t="s">
        <v>118</v>
      </c>
      <c r="C99" s="4" t="s">
        <v>119</v>
      </c>
      <c r="D99" s="4" t="s">
        <v>1000</v>
      </c>
      <c r="E99" s="8">
        <v>4349204</v>
      </c>
      <c r="F99" s="7">
        <v>19.579999999999998</v>
      </c>
      <c r="G99" s="12" t="str">
        <f>[1]!SNLData("243327", C99, "OWNER_LIST")</f>
        <v>Compañía de Minas Buenaventura S.A.A. (Venturer) 19.58%; Sumitomo Metal Mining Co., Ltd. (Venturer) 21%; Unnamed Owner (Fractional) %; Freeport-McMoRan Inc. (Venturer) 55.08%</v>
      </c>
      <c r="H99" s="9">
        <f>[1]!SNLData("243327", C99, "OWNER_SNL_INSTN_KEY", "Owner 1")</f>
        <v>4004107</v>
      </c>
      <c r="I99" s="9">
        <f>[1]!SNLData("243327", C99, "OWNER_SNL_INSTN_KEY", "Owner 2")</f>
        <v>4354638</v>
      </c>
      <c r="J99" s="12" t="str">
        <f>_xll.SNL.Clients.Office.Excel.Functions.SPG(H99, "SP_ULT_PARENT_COMPANY_NAME")</f>
        <v/>
      </c>
      <c r="K99" s="12" t="str">
        <f>_xll.SNL.Clients.Office.Excel.Functions.SPG(H99, "SP_ULT_PARENT_COUNTRY")</f>
        <v/>
      </c>
      <c r="L99" s="12" t="str">
        <f>_xll.SNL.Clients.Office.Excel.Functions.SPG(H99, "SP_PARENT_COMPANY_NAME")</f>
        <v/>
      </c>
      <c r="M99" s="12" t="str">
        <f>_xll.SNL.Clients.Office.Excel.Functions.SPG(H99, "SP_PARENT_COUNTRY")</f>
        <v/>
      </c>
      <c r="N99" s="12" t="str">
        <f>_xll.SNL.Clients.Office.Excel.Functions.SPG(H99, "SP_COUNTRY_NAME")</f>
        <v>USA</v>
      </c>
      <c r="O99" s="12" t="str">
        <f>_xll.SNL.Clients.Office.Excel.Functions.SPG(I99, "SP_ULT_PARENT_COMPANY_NAME")</f>
        <v/>
      </c>
      <c r="P99" s="12" t="str">
        <f>_xll.SNL.Clients.Office.Excel.Functions.SPG(I99, "SP_ULT_PARENT_COUNTRY")</f>
        <v/>
      </c>
      <c r="Q99" s="12" t="str">
        <f>_xll.SNL.Clients.Office.Excel.Functions.SPG(I99, "SP_PARENT_COMPANY_NAME")</f>
        <v/>
      </c>
      <c r="R99" s="12" t="str">
        <f>_xll.SNL.Clients.Office.Excel.Functions.SPG(I99, "SP_PARENT_COUNTRY")</f>
        <v/>
      </c>
      <c r="S99" s="12" t="str">
        <f>_xll.SNL.Clients.Office.Excel.Functions.SPG(I99, "SP_COUNTRY_NAME")</f>
        <v>Japan</v>
      </c>
    </row>
    <row r="100" spans="1:19" ht="72.5" x14ac:dyDescent="0.35">
      <c r="A100" s="5">
        <v>46022</v>
      </c>
      <c r="B100" s="4" t="s">
        <v>118</v>
      </c>
      <c r="C100" s="4" t="s">
        <v>119</v>
      </c>
      <c r="D100" s="4" t="s">
        <v>963</v>
      </c>
      <c r="E100" s="8">
        <v>4004107</v>
      </c>
      <c r="F100" s="7">
        <v>55.08</v>
      </c>
      <c r="G100" s="12" t="str">
        <f>[1]!SNLData("243327", C100, "OWNER_LIST")</f>
        <v>Compañía de Minas Buenaventura S.A.A. (Venturer) 19.58%; Sumitomo Metal Mining Co., Ltd. (Venturer) 21%; Unnamed Owner (Fractional) %; Freeport-McMoRan Inc. (Venturer) 55.08%</v>
      </c>
      <c r="H100" s="9">
        <f>[1]!SNLData("243327", C100, "OWNER_SNL_INSTN_KEY", "Owner 1")</f>
        <v>4004107</v>
      </c>
      <c r="I100" s="9">
        <f>[1]!SNLData("243327", C100, "OWNER_SNL_INSTN_KEY", "Owner 2")</f>
        <v>4354638</v>
      </c>
      <c r="J100" s="12" t="str">
        <f>_xll.SNL.Clients.Office.Excel.Functions.SPG(H100, "SP_ULT_PARENT_COMPANY_NAME")</f>
        <v/>
      </c>
      <c r="K100" s="12" t="str">
        <f>_xll.SNL.Clients.Office.Excel.Functions.SPG(H100, "SP_ULT_PARENT_COUNTRY")</f>
        <v/>
      </c>
      <c r="L100" s="12" t="str">
        <f>_xll.SNL.Clients.Office.Excel.Functions.SPG(H100, "SP_PARENT_COMPANY_NAME")</f>
        <v/>
      </c>
      <c r="M100" s="12" t="str">
        <f>_xll.SNL.Clients.Office.Excel.Functions.SPG(H100, "SP_PARENT_COUNTRY")</f>
        <v/>
      </c>
      <c r="N100" s="12" t="str">
        <f>_xll.SNL.Clients.Office.Excel.Functions.SPG(H100, "SP_COUNTRY_NAME")</f>
        <v>USA</v>
      </c>
      <c r="O100" s="12" t="str">
        <f>_xll.SNL.Clients.Office.Excel.Functions.SPG(I100, "SP_ULT_PARENT_COMPANY_NAME")</f>
        <v/>
      </c>
      <c r="P100" s="12" t="str">
        <f>_xll.SNL.Clients.Office.Excel.Functions.SPG(I100, "SP_ULT_PARENT_COUNTRY")</f>
        <v/>
      </c>
      <c r="Q100" s="12" t="str">
        <f>_xll.SNL.Clients.Office.Excel.Functions.SPG(I100, "SP_PARENT_COMPANY_NAME")</f>
        <v/>
      </c>
      <c r="R100" s="12" t="str">
        <f>_xll.SNL.Clients.Office.Excel.Functions.SPG(I100, "SP_PARENT_COUNTRY")</f>
        <v/>
      </c>
      <c r="S100" s="12" t="str">
        <f>_xll.SNL.Clients.Office.Excel.Functions.SPG(I100, "SP_COUNTRY_NAME")</f>
        <v>Japan</v>
      </c>
    </row>
    <row r="101" spans="1:19" ht="72.5" x14ac:dyDescent="0.35">
      <c r="A101" s="5">
        <v>46022</v>
      </c>
      <c r="B101" s="4" t="s">
        <v>118</v>
      </c>
      <c r="C101" s="4" t="s">
        <v>119</v>
      </c>
      <c r="D101" s="4" t="s">
        <v>989</v>
      </c>
      <c r="E101" s="8">
        <v>4354638</v>
      </c>
      <c r="F101" s="7">
        <v>21</v>
      </c>
      <c r="G101" s="12" t="str">
        <f>[1]!SNLData("243327", C101, "OWNER_LIST")</f>
        <v>Compañía de Minas Buenaventura S.A.A. (Venturer) 19.58%; Sumitomo Metal Mining Co., Ltd. (Venturer) 21%; Unnamed Owner (Fractional) %; Freeport-McMoRan Inc. (Venturer) 55.08%</v>
      </c>
      <c r="H101" s="9">
        <f>[1]!SNLData("243327", C101, "OWNER_SNL_INSTN_KEY", "Owner 1")</f>
        <v>4004107</v>
      </c>
      <c r="I101" s="9">
        <f>[1]!SNLData("243327", C101, "OWNER_SNL_INSTN_KEY", "Owner 2")</f>
        <v>4354638</v>
      </c>
      <c r="J101" s="12" t="str">
        <f>_xll.SNL.Clients.Office.Excel.Functions.SPG(H101, "SP_ULT_PARENT_COMPANY_NAME")</f>
        <v/>
      </c>
      <c r="K101" s="12" t="str">
        <f>_xll.SNL.Clients.Office.Excel.Functions.SPG(H101, "SP_ULT_PARENT_COUNTRY")</f>
        <v/>
      </c>
      <c r="L101" s="12" t="str">
        <f>_xll.SNL.Clients.Office.Excel.Functions.SPG(H101, "SP_PARENT_COMPANY_NAME")</f>
        <v/>
      </c>
      <c r="M101" s="12" t="str">
        <f>_xll.SNL.Clients.Office.Excel.Functions.SPG(H101, "SP_PARENT_COUNTRY")</f>
        <v/>
      </c>
      <c r="N101" s="12" t="str">
        <f>_xll.SNL.Clients.Office.Excel.Functions.SPG(H101, "SP_COUNTRY_NAME")</f>
        <v>USA</v>
      </c>
      <c r="O101" s="12" t="str">
        <f>_xll.SNL.Clients.Office.Excel.Functions.SPG(I101, "SP_ULT_PARENT_COMPANY_NAME")</f>
        <v/>
      </c>
      <c r="P101" s="12" t="str">
        <f>_xll.SNL.Clients.Office.Excel.Functions.SPG(I101, "SP_ULT_PARENT_COUNTRY")</f>
        <v/>
      </c>
      <c r="Q101" s="12" t="str">
        <f>_xll.SNL.Clients.Office.Excel.Functions.SPG(I101, "SP_PARENT_COMPANY_NAME")</f>
        <v/>
      </c>
      <c r="R101" s="12" t="str">
        <f>_xll.SNL.Clients.Office.Excel.Functions.SPG(I101, "SP_PARENT_COUNTRY")</f>
        <v/>
      </c>
      <c r="S101" s="12" t="str">
        <f>_xll.SNL.Clients.Office.Excel.Functions.SPG(I101, "SP_COUNTRY_NAME")</f>
        <v>Japan</v>
      </c>
    </row>
    <row r="102" spans="1:19" ht="72.5" x14ac:dyDescent="0.35">
      <c r="A102" s="5">
        <v>46022</v>
      </c>
      <c r="B102" s="4" t="s">
        <v>120</v>
      </c>
      <c r="C102" s="4" t="s">
        <v>121</v>
      </c>
      <c r="D102" s="4" t="s">
        <v>1001</v>
      </c>
      <c r="E102" s="8">
        <v>4349160</v>
      </c>
      <c r="F102" s="7">
        <v>85</v>
      </c>
      <c r="G102" s="12" t="str">
        <f>[1]!SNLData("243327", C102, "OWNER_LIST")</f>
        <v>ZCCM Investments Holdings Plc (Venturer) 15%; China Nonferrous Mining Corporation Limited (Venturer) 85%</v>
      </c>
      <c r="H102" s="9">
        <f>[1]!SNLData("243327", C102, "OWNER_SNL_INSTN_KEY", "Owner 1")</f>
        <v>4349160</v>
      </c>
      <c r="I102" s="9">
        <f>[1]!SNLData("243327", C102, "OWNER_SNL_INSTN_KEY", "Owner 2")</f>
        <v>4355602</v>
      </c>
      <c r="J102" s="12" t="str">
        <f>_xll.SNL.Clients.Office.Excel.Functions.SPG(H102, "SP_ULT_PARENT_COMPANY_NAME")</f>
        <v>State-owned Assets Supervision and Administration Commission of the State Counci</v>
      </c>
      <c r="K102" s="12" t="str">
        <f>_xll.SNL.Clients.Office.Excel.Functions.SPG(H102, "SP_ULT_PARENT_COUNTRY")</f>
        <v>China</v>
      </c>
      <c r="L102" s="12" t="str">
        <f>_xll.SNL.Clients.Office.Excel.Functions.SPG(H102, "SP_PARENT_COMPANY_NAME")</f>
        <v>China Nonferrous Mining Development Limited</v>
      </c>
      <c r="M102" s="12" t="str">
        <f>_xll.SNL.Clients.Office.Excel.Functions.SPG(H102, "SP_PARENT_COUNTRY")</f>
        <v>BVI</v>
      </c>
      <c r="N102" s="12" t="str">
        <f>_xll.SNL.Clients.Office.Excel.Functions.SPG(H102, "SP_COUNTRY_NAME")</f>
        <v>China</v>
      </c>
      <c r="O102" s="12" t="str">
        <f>_xll.SNL.Clients.Office.Excel.Functions.SPG(I102, "SP_ULT_PARENT_COMPANY_NAME")</f>
        <v>Industrial Development Corporation (Zambia) Limited</v>
      </c>
      <c r="P102" s="12" t="str">
        <f>_xll.SNL.Clients.Office.Excel.Functions.SPG(I102, "SP_ULT_PARENT_COUNTRY")</f>
        <v>Zambia</v>
      </c>
      <c r="Q102" s="12" t="str">
        <f>_xll.SNL.Clients.Office.Excel.Functions.SPG(I102, "SP_PARENT_COMPANY_NAME")</f>
        <v>Industrial Development Corporation (Zambia) Limited</v>
      </c>
      <c r="R102" s="12" t="str">
        <f>_xll.SNL.Clients.Office.Excel.Functions.SPG(I102, "SP_PARENT_COUNTRY")</f>
        <v>Zambia</v>
      </c>
      <c r="S102" s="12" t="str">
        <f>_xll.SNL.Clients.Office.Excel.Functions.SPG(I102, "SP_COUNTRY_NAME")</f>
        <v>Zambia</v>
      </c>
    </row>
    <row r="103" spans="1:19" ht="72.5" x14ac:dyDescent="0.35">
      <c r="A103" s="5">
        <v>46022</v>
      </c>
      <c r="B103" s="4" t="s">
        <v>120</v>
      </c>
      <c r="C103" s="4" t="s">
        <v>121</v>
      </c>
      <c r="D103" s="4" t="s">
        <v>1002</v>
      </c>
      <c r="E103" s="8">
        <v>4355602</v>
      </c>
      <c r="F103" s="7">
        <v>15</v>
      </c>
      <c r="G103" s="12" t="str">
        <f>[1]!SNLData("243327", C103, "OWNER_LIST")</f>
        <v>ZCCM Investments Holdings Plc (Venturer) 15%; China Nonferrous Mining Corporation Limited (Venturer) 85%</v>
      </c>
      <c r="H103" s="9">
        <f>[1]!SNLData("243327", C103, "OWNER_SNL_INSTN_KEY", "Owner 1")</f>
        <v>4349160</v>
      </c>
      <c r="I103" s="9">
        <f>[1]!SNLData("243327", C103, "OWNER_SNL_INSTN_KEY", "Owner 2")</f>
        <v>4355602</v>
      </c>
      <c r="J103" s="12" t="str">
        <f>_xll.SNL.Clients.Office.Excel.Functions.SPG(H103, "SP_ULT_PARENT_COMPANY_NAME")</f>
        <v>State-owned Assets Supervision and Administration Commission of the State Counci</v>
      </c>
      <c r="K103" s="12" t="str">
        <f>_xll.SNL.Clients.Office.Excel.Functions.SPG(H103, "SP_ULT_PARENT_COUNTRY")</f>
        <v>China</v>
      </c>
      <c r="L103" s="12" t="str">
        <f>_xll.SNL.Clients.Office.Excel.Functions.SPG(H103, "SP_PARENT_COMPANY_NAME")</f>
        <v>China Nonferrous Mining Development Limited</v>
      </c>
      <c r="M103" s="12" t="str">
        <f>_xll.SNL.Clients.Office.Excel.Functions.SPG(H103, "SP_PARENT_COUNTRY")</f>
        <v>BVI</v>
      </c>
      <c r="N103" s="12" t="str">
        <f>_xll.SNL.Clients.Office.Excel.Functions.SPG(H103, "SP_COUNTRY_NAME")</f>
        <v>China</v>
      </c>
      <c r="O103" s="12" t="str">
        <f>_xll.SNL.Clients.Office.Excel.Functions.SPG(I103, "SP_ULT_PARENT_COMPANY_NAME")</f>
        <v>Industrial Development Corporation (Zambia) Limited</v>
      </c>
      <c r="P103" s="12" t="str">
        <f>_xll.SNL.Clients.Office.Excel.Functions.SPG(I103, "SP_ULT_PARENT_COUNTRY")</f>
        <v>Zambia</v>
      </c>
      <c r="Q103" s="12" t="str">
        <f>_xll.SNL.Clients.Office.Excel.Functions.SPG(I103, "SP_PARENT_COMPANY_NAME")</f>
        <v>Industrial Development Corporation (Zambia) Limited</v>
      </c>
      <c r="R103" s="12" t="str">
        <f>_xll.SNL.Clients.Office.Excel.Functions.SPG(I103, "SP_PARENT_COUNTRY")</f>
        <v>Zambia</v>
      </c>
      <c r="S103" s="12" t="str">
        <f>_xll.SNL.Clients.Office.Excel.Functions.SPG(I103, "SP_COUNTRY_NAME")</f>
        <v>Zambia</v>
      </c>
    </row>
    <row r="104" spans="1:19" x14ac:dyDescent="0.35">
      <c r="A104" s="5">
        <v>46022</v>
      </c>
      <c r="B104" s="4" t="s">
        <v>704</v>
      </c>
      <c r="C104" s="4" t="s">
        <v>705</v>
      </c>
      <c r="D104" s="4" t="s">
        <v>962</v>
      </c>
      <c r="E104" s="8">
        <v>4353456</v>
      </c>
      <c r="F104" s="7">
        <v>100</v>
      </c>
      <c r="G104" s="12" t="str">
        <f>[1]!SNLData("243327", C104, "OWNER_LIST")</f>
        <v>Private Interest  100%</v>
      </c>
      <c r="H104" s="9">
        <f>[1]!SNLData("243327", C104, "OWNER_SNL_INSTN_KEY", "Owner 1")</f>
        <v>4353456</v>
      </c>
      <c r="I104" s="9" t="str">
        <f>[1]!SNLData("243327", C104, "OWNER_SNL_INSTN_KEY", "Owner 2")</f>
        <v>NA</v>
      </c>
      <c r="J104" s="12" t="str">
        <f>_xll.SNL.Clients.Office.Excel.Functions.SPG(H104, "SP_ULT_PARENT_COMPANY_NAME")</f>
        <v/>
      </c>
      <c r="K104" s="12" t="str">
        <f>_xll.SNL.Clients.Office.Excel.Functions.SPG(H104, "SP_ULT_PARENT_COUNTRY")</f>
        <v/>
      </c>
      <c r="L104" s="12" t="str">
        <f>_xll.SNL.Clients.Office.Excel.Functions.SPG(H104, "SP_PARENT_COMPANY_NAME")</f>
        <v/>
      </c>
      <c r="M104" s="12" t="str">
        <f>_xll.SNL.Clients.Office.Excel.Functions.SPG(H104, "SP_PARENT_COUNTRY")</f>
        <v/>
      </c>
      <c r="N104" s="12" t="str">
        <f>_xll.SNL.Clients.Office.Excel.Functions.SPG(H104, "SP_COUNTRY_NAME")</f>
        <v>China</v>
      </c>
      <c r="O104" s="12" t="str">
        <f>_xll.SNL.Clients.Office.Excel.Functions.SPG(I104, "SP_ULT_PARENT_COMPANY_NAME")</f>
        <v/>
      </c>
      <c r="P104" s="12" t="str">
        <f>_xll.SNL.Clients.Office.Excel.Functions.SPG(I104, "SP_ULT_PARENT_COUNTRY")</f>
        <v/>
      </c>
      <c r="Q104" s="12" t="str">
        <f>_xll.SNL.Clients.Office.Excel.Functions.SPG(I104, "SP_PARENT_COMPANY_NAME")</f>
        <v/>
      </c>
      <c r="R104" s="12" t="str">
        <f>_xll.SNL.Clients.Office.Excel.Functions.SPG(I104, "SP_PARENT_COUNTRY")</f>
        <v/>
      </c>
      <c r="S104" s="12" t="str">
        <f>_xll.SNL.Clients.Office.Excel.Functions.SPG(I104, "SP_COUNTRY_NAME")</f>
        <v>China</v>
      </c>
    </row>
    <row r="105" spans="1:19" x14ac:dyDescent="0.35">
      <c r="A105" s="5">
        <v>46022</v>
      </c>
      <c r="B105" s="4" t="s">
        <v>144</v>
      </c>
      <c r="C105" s="4" t="s">
        <v>145</v>
      </c>
      <c r="D105" s="4" t="s">
        <v>987</v>
      </c>
      <c r="E105" s="8">
        <v>4351931</v>
      </c>
      <c r="F105" s="7">
        <v>100</v>
      </c>
      <c r="G105" s="12" t="str">
        <f>[1]!SNLData("243327", C105, "OWNER_LIST")</f>
        <v>Lundin Mining Corporation  100%</v>
      </c>
      <c r="H105" s="9">
        <f>[1]!SNLData("243327", C105, "OWNER_SNL_INSTN_KEY", "Owner 1")</f>
        <v>4351931</v>
      </c>
      <c r="I105" s="9" t="str">
        <f>[1]!SNLData("243327", C105, "OWNER_SNL_INSTN_KEY", "Owner 2")</f>
        <v>NA</v>
      </c>
      <c r="J105" s="12" t="str">
        <f>_xll.SNL.Clients.Office.Excel.Functions.SPG(H105, "SP_ULT_PARENT_COMPANY_NAME")</f>
        <v/>
      </c>
      <c r="K105" s="12" t="str">
        <f>_xll.SNL.Clients.Office.Excel.Functions.SPG(H105, "SP_ULT_PARENT_COUNTRY")</f>
        <v/>
      </c>
      <c r="L105" s="12" t="str">
        <f>_xll.SNL.Clients.Office.Excel.Functions.SPG(H105, "SP_PARENT_COMPANY_NAME")</f>
        <v/>
      </c>
      <c r="M105" s="12" t="str">
        <f>_xll.SNL.Clients.Office.Excel.Functions.SPG(H105, "SP_PARENT_COUNTRY")</f>
        <v/>
      </c>
      <c r="N105" s="12" t="str">
        <f>_xll.SNL.Clients.Office.Excel.Functions.SPG(H105, "SP_COUNTRY_NAME")</f>
        <v>Canada</v>
      </c>
      <c r="O105" s="12" t="str">
        <f>_xll.SNL.Clients.Office.Excel.Functions.SPG(I105, "SP_ULT_PARENT_COMPANY_NAME")</f>
        <v/>
      </c>
      <c r="P105" s="12" t="str">
        <f>_xll.SNL.Clients.Office.Excel.Functions.SPG(I105, "SP_ULT_PARENT_COUNTRY")</f>
        <v/>
      </c>
      <c r="Q105" s="12" t="str">
        <f>_xll.SNL.Clients.Office.Excel.Functions.SPG(I105, "SP_PARENT_COMPANY_NAME")</f>
        <v/>
      </c>
      <c r="R105" s="12" t="str">
        <f>_xll.SNL.Clients.Office.Excel.Functions.SPG(I105, "SP_PARENT_COUNTRY")</f>
        <v/>
      </c>
      <c r="S105" s="12" t="str">
        <f>_xll.SNL.Clients.Office.Excel.Functions.SPG(I105, "SP_COUNTRY_NAME")</f>
        <v>China</v>
      </c>
    </row>
    <row r="106" spans="1:19" ht="43.5" x14ac:dyDescent="0.35">
      <c r="A106" s="5">
        <v>46022</v>
      </c>
      <c r="B106" s="4" t="s">
        <v>706</v>
      </c>
      <c r="C106" s="4" t="s">
        <v>707</v>
      </c>
      <c r="D106" s="4" t="s">
        <v>980</v>
      </c>
      <c r="E106" s="8">
        <v>4354459</v>
      </c>
      <c r="F106" s="7">
        <v>100</v>
      </c>
      <c r="G106" s="12" t="str">
        <f>[1]!SNLData("243327", C106, "OWNER_LIST")</f>
        <v>Southern Copper Corporation  100%</v>
      </c>
      <c r="H106" s="9">
        <f>[1]!SNLData("243327", C106, "OWNER_SNL_INSTN_KEY", "Owner 1")</f>
        <v>4354459</v>
      </c>
      <c r="I106" s="9" t="str">
        <f>[1]!SNLData("243327", C106, "OWNER_SNL_INSTN_KEY", "Owner 2")</f>
        <v>NA</v>
      </c>
      <c r="J106" s="12" t="str">
        <f>_xll.SNL.Clients.Office.Excel.Functions.SPG(H106, "SP_ULT_PARENT_COMPANY_NAME")</f>
        <v>Grupo México, S.A.B. de C.V.</v>
      </c>
      <c r="K106" s="12" t="str">
        <f>_xll.SNL.Clients.Office.Excel.Functions.SPG(H106, "SP_ULT_PARENT_COUNTRY")</f>
        <v>Mexico</v>
      </c>
      <c r="L106" s="12" t="str">
        <f>_xll.SNL.Clients.Office.Excel.Functions.SPG(H106, "SP_PARENT_COMPANY_NAME")</f>
        <v>Americas Mining Corporation</v>
      </c>
      <c r="M106" s="12" t="str">
        <f>_xll.SNL.Clients.Office.Excel.Functions.SPG(H106, "SP_PARENT_COUNTRY")</f>
        <v>USA</v>
      </c>
      <c r="N106" s="12" t="str">
        <f>_xll.SNL.Clients.Office.Excel.Functions.SPG(H106, "SP_COUNTRY_NAME")</f>
        <v>USA</v>
      </c>
      <c r="O106" s="12" t="str">
        <f>_xll.SNL.Clients.Office.Excel.Functions.SPG(I106, "SP_ULT_PARENT_COMPANY_NAME")</f>
        <v/>
      </c>
      <c r="P106" s="12" t="str">
        <f>_xll.SNL.Clients.Office.Excel.Functions.SPG(I106, "SP_ULT_PARENT_COUNTRY")</f>
        <v/>
      </c>
      <c r="Q106" s="12" t="str">
        <f>_xll.SNL.Clients.Office.Excel.Functions.SPG(I106, "SP_PARENT_COMPANY_NAME")</f>
        <v/>
      </c>
      <c r="R106" s="12" t="str">
        <f>_xll.SNL.Clients.Office.Excel.Functions.SPG(I106, "SP_PARENT_COUNTRY")</f>
        <v/>
      </c>
      <c r="S106" s="12" t="str">
        <f>_xll.SNL.Clients.Office.Excel.Functions.SPG(I106, "SP_COUNTRY_NAME")</f>
        <v>China</v>
      </c>
    </row>
    <row r="107" spans="1:19" x14ac:dyDescent="0.35">
      <c r="A107" s="5">
        <v>46022</v>
      </c>
      <c r="B107" s="4" t="s">
        <v>146</v>
      </c>
      <c r="C107" s="4" t="s">
        <v>147</v>
      </c>
      <c r="D107" s="4" t="s">
        <v>1003</v>
      </c>
      <c r="E107" s="8">
        <v>4349826</v>
      </c>
      <c r="F107" s="7">
        <v>100</v>
      </c>
      <c r="G107" s="12" t="str">
        <f>[1]!SNLData("243327", C107, "OWNER_LIST")</f>
        <v>DPM Metals Inc.  100%</v>
      </c>
      <c r="H107" s="9">
        <f>[1]!SNLData("243327", C107, "OWNER_SNL_INSTN_KEY", "Owner 1")</f>
        <v>4349826</v>
      </c>
      <c r="I107" s="9" t="str">
        <f>[1]!SNLData("243327", C107, "OWNER_SNL_INSTN_KEY", "Owner 2")</f>
        <v>NA</v>
      </c>
      <c r="J107" s="12" t="str">
        <f>_xll.SNL.Clients.Office.Excel.Functions.SPG(H107, "SP_ULT_PARENT_COMPANY_NAME")</f>
        <v/>
      </c>
      <c r="K107" s="12" t="str">
        <f>_xll.SNL.Clients.Office.Excel.Functions.SPG(H107, "SP_ULT_PARENT_COUNTRY")</f>
        <v/>
      </c>
      <c r="L107" s="12" t="str">
        <f>_xll.SNL.Clients.Office.Excel.Functions.SPG(H107, "SP_PARENT_COMPANY_NAME")</f>
        <v/>
      </c>
      <c r="M107" s="12" t="str">
        <f>_xll.SNL.Clients.Office.Excel.Functions.SPG(H107, "SP_PARENT_COUNTRY")</f>
        <v/>
      </c>
      <c r="N107" s="12" t="str">
        <f>_xll.SNL.Clients.Office.Excel.Functions.SPG(H107, "SP_COUNTRY_NAME")</f>
        <v>Canada</v>
      </c>
      <c r="O107" s="12" t="str">
        <f>_xll.SNL.Clients.Office.Excel.Functions.SPG(I107, "SP_ULT_PARENT_COMPANY_NAME")</f>
        <v/>
      </c>
      <c r="P107" s="12" t="str">
        <f>_xll.SNL.Clients.Office.Excel.Functions.SPG(I107, "SP_ULT_PARENT_COUNTRY")</f>
        <v/>
      </c>
      <c r="Q107" s="12" t="str">
        <f>_xll.SNL.Clients.Office.Excel.Functions.SPG(I107, "SP_PARENT_COMPANY_NAME")</f>
        <v/>
      </c>
      <c r="R107" s="12" t="str">
        <f>_xll.SNL.Clients.Office.Excel.Functions.SPG(I107, "SP_PARENT_COUNTRY")</f>
        <v/>
      </c>
      <c r="S107" s="12" t="str">
        <f>_xll.SNL.Clients.Office.Excel.Functions.SPG(I107, "SP_COUNTRY_NAME")</f>
        <v>China</v>
      </c>
    </row>
    <row r="108" spans="1:19" ht="72.5" x14ac:dyDescent="0.35">
      <c r="A108" s="5">
        <v>46022</v>
      </c>
      <c r="B108" s="4" t="s">
        <v>263</v>
      </c>
      <c r="C108" s="4" t="s">
        <v>264</v>
      </c>
      <c r="D108" s="4" t="s">
        <v>1004</v>
      </c>
      <c r="E108" s="8">
        <v>4351423</v>
      </c>
      <c r="F108" s="7">
        <v>100</v>
      </c>
      <c r="G108" s="12" t="str">
        <f>[1]!SNLData("243327", C108, "OWNER_LIST")</f>
        <v>Jiangxi Copper Company Limited  100%</v>
      </c>
      <c r="H108" s="9">
        <f>[1]!SNLData("243327", C108, "OWNER_SNL_INSTN_KEY", "Owner 1")</f>
        <v>4351423</v>
      </c>
      <c r="I108" s="9" t="str">
        <f>[1]!SNLData("243327", C108, "OWNER_SNL_INSTN_KEY", "Owner 2")</f>
        <v>NA</v>
      </c>
      <c r="J108" s="12" t="str">
        <f>_xll.SNL.Clients.Office.Excel.Functions.SPG(H108, "SP_ULT_PARENT_COMPANY_NAME")</f>
        <v>State-owned Assets Supervision and Administration Commission of Jiangxi Province</v>
      </c>
      <c r="K108" s="12" t="str">
        <f>_xll.SNL.Clients.Office.Excel.Functions.SPG(H108, "SP_ULT_PARENT_COUNTRY")</f>
        <v>China</v>
      </c>
      <c r="L108" s="12" t="str">
        <f>_xll.SNL.Clients.Office.Excel.Functions.SPG(H108, "SP_PARENT_COMPANY_NAME")</f>
        <v>Jiangxi Copper Corporation Limited</v>
      </c>
      <c r="M108" s="12" t="str">
        <f>_xll.SNL.Clients.Office.Excel.Functions.SPG(H108, "SP_PARENT_COUNTRY")</f>
        <v>China</v>
      </c>
      <c r="N108" s="12" t="str">
        <f>_xll.SNL.Clients.Office.Excel.Functions.SPG(H108, "SP_COUNTRY_NAME")</f>
        <v>China</v>
      </c>
      <c r="O108" s="12" t="str">
        <f>_xll.SNL.Clients.Office.Excel.Functions.SPG(I108, "SP_ULT_PARENT_COMPANY_NAME")</f>
        <v/>
      </c>
      <c r="P108" s="12" t="str">
        <f>_xll.SNL.Clients.Office.Excel.Functions.SPG(I108, "SP_ULT_PARENT_COUNTRY")</f>
        <v/>
      </c>
      <c r="Q108" s="12" t="str">
        <f>_xll.SNL.Clients.Office.Excel.Functions.SPG(I108, "SP_PARENT_COMPANY_NAME")</f>
        <v/>
      </c>
      <c r="R108" s="12" t="str">
        <f>_xll.SNL.Clients.Office.Excel.Functions.SPG(I108, "SP_PARENT_COUNTRY")</f>
        <v/>
      </c>
      <c r="S108" s="12" t="str">
        <f>_xll.SNL.Clients.Office.Excel.Functions.SPG(I108, "SP_COUNTRY_NAME")</f>
        <v>China</v>
      </c>
    </row>
    <row r="109" spans="1:19" x14ac:dyDescent="0.35">
      <c r="A109" s="5">
        <v>46022</v>
      </c>
      <c r="B109" s="4" t="s">
        <v>125</v>
      </c>
      <c r="C109" s="4" t="s">
        <v>126</v>
      </c>
      <c r="D109" s="4" t="s">
        <v>963</v>
      </c>
      <c r="E109" s="8">
        <v>4004107</v>
      </c>
      <c r="F109" s="7">
        <v>100</v>
      </c>
      <c r="G109" s="12" t="str">
        <f>[1]!SNLData("243327", C109, "OWNER_LIST")</f>
        <v>Freeport-McMoRan Inc.  100%</v>
      </c>
      <c r="H109" s="9">
        <f>[1]!SNLData("243327", C109, "OWNER_SNL_INSTN_KEY", "Owner 1")</f>
        <v>4004107</v>
      </c>
      <c r="I109" s="9" t="str">
        <f>[1]!SNLData("243327", C109, "OWNER_SNL_INSTN_KEY", "Owner 2")</f>
        <v>NA</v>
      </c>
      <c r="J109" s="12" t="str">
        <f>_xll.SNL.Clients.Office.Excel.Functions.SPG(H109, "SP_ULT_PARENT_COMPANY_NAME")</f>
        <v/>
      </c>
      <c r="K109" s="12" t="str">
        <f>_xll.SNL.Clients.Office.Excel.Functions.SPG(H109, "SP_ULT_PARENT_COUNTRY")</f>
        <v/>
      </c>
      <c r="L109" s="12" t="str">
        <f>_xll.SNL.Clients.Office.Excel.Functions.SPG(H109, "SP_PARENT_COMPANY_NAME")</f>
        <v/>
      </c>
      <c r="M109" s="12" t="str">
        <f>_xll.SNL.Clients.Office.Excel.Functions.SPG(H109, "SP_PARENT_COUNTRY")</f>
        <v/>
      </c>
      <c r="N109" s="12" t="str">
        <f>_xll.SNL.Clients.Office.Excel.Functions.SPG(H109, "SP_COUNTRY_NAME")</f>
        <v>USA</v>
      </c>
      <c r="O109" s="12" t="str">
        <f>_xll.SNL.Clients.Office.Excel.Functions.SPG(I109, "SP_ULT_PARENT_COMPANY_NAME")</f>
        <v/>
      </c>
      <c r="P109" s="12" t="str">
        <f>_xll.SNL.Clients.Office.Excel.Functions.SPG(I109, "SP_ULT_PARENT_COUNTRY")</f>
        <v/>
      </c>
      <c r="Q109" s="12" t="str">
        <f>_xll.SNL.Clients.Office.Excel.Functions.SPG(I109, "SP_PARENT_COMPANY_NAME")</f>
        <v/>
      </c>
      <c r="R109" s="12" t="str">
        <f>_xll.SNL.Clients.Office.Excel.Functions.SPG(I109, "SP_PARENT_COUNTRY")</f>
        <v/>
      </c>
      <c r="S109" s="12" t="str">
        <f>_xll.SNL.Clients.Office.Excel.Functions.SPG(I109, "SP_COUNTRY_NAME")</f>
        <v>China</v>
      </c>
    </row>
    <row r="110" spans="1:19" x14ac:dyDescent="0.35">
      <c r="A110" s="5">
        <v>46022</v>
      </c>
      <c r="B110" s="4" t="s">
        <v>265</v>
      </c>
      <c r="C110" s="4" t="s">
        <v>266</v>
      </c>
      <c r="D110" s="4" t="s">
        <v>963</v>
      </c>
      <c r="E110" s="8">
        <v>4004107</v>
      </c>
      <c r="F110" s="7">
        <v>100</v>
      </c>
      <c r="G110" s="12" t="str">
        <f>[1]!SNLData("243327", C110, "OWNER_LIST")</f>
        <v>Freeport-McMoRan Inc.  100%</v>
      </c>
      <c r="H110" s="9">
        <f>[1]!SNLData("243327", C110, "OWNER_SNL_INSTN_KEY", "Owner 1")</f>
        <v>4004107</v>
      </c>
      <c r="I110" s="9" t="str">
        <f>[1]!SNLData("243327", C110, "OWNER_SNL_INSTN_KEY", "Owner 2")</f>
        <v>NA</v>
      </c>
      <c r="J110" s="12" t="str">
        <f>_xll.SNL.Clients.Office.Excel.Functions.SPG(H110, "SP_ULT_PARENT_COMPANY_NAME")</f>
        <v/>
      </c>
      <c r="K110" s="12" t="str">
        <f>_xll.SNL.Clients.Office.Excel.Functions.SPG(H110, "SP_ULT_PARENT_COUNTRY")</f>
        <v/>
      </c>
      <c r="L110" s="12" t="str">
        <f>_xll.SNL.Clients.Office.Excel.Functions.SPG(H110, "SP_PARENT_COMPANY_NAME")</f>
        <v/>
      </c>
      <c r="M110" s="12" t="str">
        <f>_xll.SNL.Clients.Office.Excel.Functions.SPG(H110, "SP_PARENT_COUNTRY")</f>
        <v/>
      </c>
      <c r="N110" s="12" t="str">
        <f>_xll.SNL.Clients.Office.Excel.Functions.SPG(H110, "SP_COUNTRY_NAME")</f>
        <v>USA</v>
      </c>
      <c r="O110" s="12" t="str">
        <f>_xll.SNL.Clients.Office.Excel.Functions.SPG(I110, "SP_ULT_PARENT_COMPANY_NAME")</f>
        <v/>
      </c>
      <c r="P110" s="12" t="str">
        <f>_xll.SNL.Clients.Office.Excel.Functions.SPG(I110, "SP_ULT_PARENT_COUNTRY")</f>
        <v/>
      </c>
      <c r="Q110" s="12" t="str">
        <f>_xll.SNL.Clients.Office.Excel.Functions.SPG(I110, "SP_PARENT_COMPANY_NAME")</f>
        <v/>
      </c>
      <c r="R110" s="12" t="str">
        <f>_xll.SNL.Clients.Office.Excel.Functions.SPG(I110, "SP_PARENT_COUNTRY")</f>
        <v/>
      </c>
      <c r="S110" s="12" t="str">
        <f>_xll.SNL.Clients.Office.Excel.Functions.SPG(I110, "SP_COUNTRY_NAME")</f>
        <v>China</v>
      </c>
    </row>
    <row r="111" spans="1:19" ht="29" x14ac:dyDescent="0.35">
      <c r="A111" s="5">
        <v>46022</v>
      </c>
      <c r="B111" s="4" t="s">
        <v>708</v>
      </c>
      <c r="C111" s="4" t="s">
        <v>709</v>
      </c>
      <c r="D111" s="4" t="s">
        <v>1005</v>
      </c>
      <c r="E111" s="8">
        <v>4355250</v>
      </c>
      <c r="F111" s="7">
        <v>100</v>
      </c>
      <c r="G111" s="12" t="str">
        <f>[1]!SNLData("243327", C111, "OWNER_LIST")</f>
        <v>Volcan Compañía Minera S.A.A.  100%</v>
      </c>
      <c r="H111" s="9">
        <f>[1]!SNLData("243327", C111, "OWNER_SNL_INSTN_KEY", "Owner 1")</f>
        <v>4355250</v>
      </c>
      <c r="I111" s="9" t="str">
        <f>[1]!SNLData("243327", C111, "OWNER_SNL_INSTN_KEY", "Owner 2")</f>
        <v>NA</v>
      </c>
      <c r="J111" s="12" t="str">
        <f>_xll.SNL.Clients.Office.Excel.Functions.SPG(H111, "SP_ULT_PARENT_COMPANY_NAME")</f>
        <v>Integra Capital S.A.</v>
      </c>
      <c r="K111" s="12" t="str">
        <f>_xll.SNL.Clients.Office.Excel.Functions.SPG(H111, "SP_ULT_PARENT_COUNTRY")</f>
        <v>Argentina</v>
      </c>
      <c r="L111" s="12" t="str">
        <f>_xll.SNL.Clients.Office.Excel.Functions.SPG(H111, "SP_PARENT_COMPANY_NAME")</f>
        <v>Transition Metals AG</v>
      </c>
      <c r="M111" s="12" t="str">
        <f>_xll.SNL.Clients.Office.Excel.Functions.SPG(H111, "SP_PARENT_COUNTRY")</f>
        <v>Switzerland</v>
      </c>
      <c r="N111" s="12" t="str">
        <f>_xll.SNL.Clients.Office.Excel.Functions.SPG(H111, "SP_COUNTRY_NAME")</f>
        <v>Peru</v>
      </c>
      <c r="O111" s="12" t="str">
        <f>_xll.SNL.Clients.Office.Excel.Functions.SPG(I111, "SP_ULT_PARENT_COMPANY_NAME")</f>
        <v/>
      </c>
      <c r="P111" s="12" t="str">
        <f>_xll.SNL.Clients.Office.Excel.Functions.SPG(I111, "SP_ULT_PARENT_COUNTRY")</f>
        <v/>
      </c>
      <c r="Q111" s="12" t="str">
        <f>_xll.SNL.Clients.Office.Excel.Functions.SPG(I111, "SP_PARENT_COMPANY_NAME")</f>
        <v/>
      </c>
      <c r="R111" s="12" t="str">
        <f>_xll.SNL.Clients.Office.Excel.Functions.SPG(I111, "SP_PARENT_COUNTRY")</f>
        <v/>
      </c>
      <c r="S111" s="12" t="str">
        <f>_xll.SNL.Clients.Office.Excel.Functions.SPG(I111, "SP_COUNTRY_NAME")</f>
        <v>China</v>
      </c>
    </row>
    <row r="112" spans="1:19" x14ac:dyDescent="0.35">
      <c r="A112" s="5">
        <v>46022</v>
      </c>
      <c r="B112" s="4" t="s">
        <v>127</v>
      </c>
      <c r="C112" s="4" t="s">
        <v>128</v>
      </c>
      <c r="D112" s="4" t="s">
        <v>945</v>
      </c>
      <c r="E112" s="8">
        <v>4349314</v>
      </c>
      <c r="F112" s="7">
        <v>100</v>
      </c>
      <c r="G112" s="12" t="str">
        <f>[1]!SNLData("243327", C112, "OWNER_LIST")</f>
        <v>Corporación Nacional del Cobre de Chile  100%</v>
      </c>
      <c r="H112" s="9">
        <f>[1]!SNLData("243327", C112, "OWNER_SNL_INSTN_KEY", "Owner 1")</f>
        <v>4349314</v>
      </c>
      <c r="I112" s="9" t="str">
        <f>[1]!SNLData("243327", C112, "OWNER_SNL_INSTN_KEY", "Owner 2")</f>
        <v>NA</v>
      </c>
      <c r="J112" s="12" t="str">
        <f>_xll.SNL.Clients.Office.Excel.Functions.SPG(H112, "SP_ULT_PARENT_COMPANY_NAME")</f>
        <v>Chile</v>
      </c>
      <c r="K112" s="12" t="str">
        <f>_xll.SNL.Clients.Office.Excel.Functions.SPG(H112, "SP_ULT_PARENT_COUNTRY")</f>
        <v>Chile</v>
      </c>
      <c r="L112" s="12" t="str">
        <f>_xll.SNL.Clients.Office.Excel.Functions.SPG(H112, "SP_PARENT_COMPANY_NAME")</f>
        <v>Chile</v>
      </c>
      <c r="M112" s="12" t="str">
        <f>_xll.SNL.Clients.Office.Excel.Functions.SPG(H112, "SP_PARENT_COUNTRY")</f>
        <v>Chile</v>
      </c>
      <c r="N112" s="12" t="str">
        <f>_xll.SNL.Clients.Office.Excel.Functions.SPG(H112, "SP_COUNTRY_NAME")</f>
        <v>Chile</v>
      </c>
      <c r="O112" s="12" t="str">
        <f>_xll.SNL.Clients.Office.Excel.Functions.SPG(I112, "SP_ULT_PARENT_COMPANY_NAME")</f>
        <v/>
      </c>
      <c r="P112" s="12" t="str">
        <f>_xll.SNL.Clients.Office.Excel.Functions.SPG(I112, "SP_ULT_PARENT_COUNTRY")</f>
        <v/>
      </c>
      <c r="Q112" s="12" t="str">
        <f>_xll.SNL.Clients.Office.Excel.Functions.SPG(I112, "SP_PARENT_COMPANY_NAME")</f>
        <v/>
      </c>
      <c r="R112" s="12" t="str">
        <f>_xll.SNL.Clients.Office.Excel.Functions.SPG(I112, "SP_PARENT_COUNTRY")</f>
        <v/>
      </c>
      <c r="S112" s="12" t="str">
        <f>_xll.SNL.Clients.Office.Excel.Functions.SPG(I112, "SP_COUNTRY_NAME")</f>
        <v>China</v>
      </c>
    </row>
    <row r="113" spans="1:19" x14ac:dyDescent="0.35">
      <c r="A113" s="5">
        <v>46022</v>
      </c>
      <c r="B113" s="4" t="s">
        <v>267</v>
      </c>
      <c r="C113" s="4" t="s">
        <v>268</v>
      </c>
      <c r="D113" s="4" t="s">
        <v>1006</v>
      </c>
      <c r="E113" s="8">
        <v>4155293</v>
      </c>
      <c r="F113" s="7">
        <v>100</v>
      </c>
      <c r="G113" s="12" t="str">
        <f>[1]!SNLData("243327", C113, "OWNER_LIST")</f>
        <v>Harmony Gold Mining Company Limited  100%</v>
      </c>
      <c r="H113" s="9">
        <f>[1]!SNLData("243327", C113, "OWNER_SNL_INSTN_KEY", "Owner 1")</f>
        <v>4155293</v>
      </c>
      <c r="I113" s="9" t="str">
        <f>[1]!SNLData("243327", C113, "OWNER_SNL_INSTN_KEY", "Owner 2")</f>
        <v>NA</v>
      </c>
      <c r="J113" s="12" t="str">
        <f>_xll.SNL.Clients.Office.Excel.Functions.SPG(H113, "SP_ULT_PARENT_COMPANY_NAME")</f>
        <v/>
      </c>
      <c r="K113" s="12" t="str">
        <f>_xll.SNL.Clients.Office.Excel.Functions.SPG(H113, "SP_ULT_PARENT_COUNTRY")</f>
        <v/>
      </c>
      <c r="L113" s="12" t="str">
        <f>_xll.SNL.Clients.Office.Excel.Functions.SPG(H113, "SP_PARENT_COMPANY_NAME")</f>
        <v/>
      </c>
      <c r="M113" s="12" t="str">
        <f>_xll.SNL.Clients.Office.Excel.Functions.SPG(H113, "SP_PARENT_COUNTRY")</f>
        <v/>
      </c>
      <c r="N113" s="12" t="str">
        <f>_xll.SNL.Clients.Office.Excel.Functions.SPG(H113, "SP_COUNTRY_NAME")</f>
        <v>South Africa</v>
      </c>
      <c r="O113" s="12" t="str">
        <f>_xll.SNL.Clients.Office.Excel.Functions.SPG(I113, "SP_ULT_PARENT_COMPANY_NAME")</f>
        <v/>
      </c>
      <c r="P113" s="12" t="str">
        <f>_xll.SNL.Clients.Office.Excel.Functions.SPG(I113, "SP_ULT_PARENT_COUNTRY")</f>
        <v/>
      </c>
      <c r="Q113" s="12" t="str">
        <f>_xll.SNL.Clients.Office.Excel.Functions.SPG(I113, "SP_PARENT_COMPANY_NAME")</f>
        <v/>
      </c>
      <c r="R113" s="12" t="str">
        <f>_xll.SNL.Clients.Office.Excel.Functions.SPG(I113, "SP_PARENT_COUNTRY")</f>
        <v/>
      </c>
      <c r="S113" s="12" t="str">
        <f>_xll.SNL.Clients.Office.Excel.Functions.SPG(I113, "SP_COUNTRY_NAME")</f>
        <v>China</v>
      </c>
    </row>
    <row r="114" spans="1:19" ht="58" x14ac:dyDescent="0.35">
      <c r="A114" s="5">
        <v>46022</v>
      </c>
      <c r="B114" s="4" t="s">
        <v>298</v>
      </c>
      <c r="C114" s="4" t="s">
        <v>299</v>
      </c>
      <c r="D114" s="4" t="s">
        <v>1007</v>
      </c>
      <c r="E114" s="8">
        <v>4193273</v>
      </c>
      <c r="F114" s="7">
        <v>44</v>
      </c>
      <c r="G114" s="12" t="str">
        <f>[1]!SNLData("243327", C114, "OWNER_LIST")</f>
        <v>Anglo American plc (Venturer) 44%; Mitsui Kinzoku Company, Limited (Venturer) 0.97%; Mitsui &amp; Co., Ltd. (Venturer) 11.03%; Glencore plc (Venturer) 44%</v>
      </c>
      <c r="H114" s="9">
        <f>[1]!SNLData("243327", C114, "OWNER_SNL_INSTN_KEY", "Owner 1")</f>
        <v>4113732</v>
      </c>
      <c r="I114" s="9">
        <f>[1]!SNLData("243327", C114, "OWNER_SNL_INSTN_KEY", "Owner 2")</f>
        <v>4193273</v>
      </c>
      <c r="J114" s="12" t="str">
        <f>_xll.SNL.Clients.Office.Excel.Functions.SPG(H114, "SP_ULT_PARENT_COMPANY_NAME")</f>
        <v/>
      </c>
      <c r="K114" s="12" t="str">
        <f>_xll.SNL.Clients.Office.Excel.Functions.SPG(H114, "SP_ULT_PARENT_COUNTRY")</f>
        <v/>
      </c>
      <c r="L114" s="12" t="str">
        <f>_xll.SNL.Clients.Office.Excel.Functions.SPG(H114, "SP_PARENT_COMPANY_NAME")</f>
        <v/>
      </c>
      <c r="M114" s="12" t="str">
        <f>_xll.SNL.Clients.Office.Excel.Functions.SPG(H114, "SP_PARENT_COUNTRY")</f>
        <v/>
      </c>
      <c r="N114" s="12" t="str">
        <f>_xll.SNL.Clients.Office.Excel.Functions.SPG(H114, "SP_COUNTRY_NAME")</f>
        <v>Switzerland</v>
      </c>
      <c r="O114" s="12" t="str">
        <f>_xll.SNL.Clients.Office.Excel.Functions.SPG(I114, "SP_ULT_PARENT_COMPANY_NAME")</f>
        <v/>
      </c>
      <c r="P114" s="12" t="str">
        <f>_xll.SNL.Clients.Office.Excel.Functions.SPG(I114, "SP_ULT_PARENT_COUNTRY")</f>
        <v/>
      </c>
      <c r="Q114" s="12" t="str">
        <f>_xll.SNL.Clients.Office.Excel.Functions.SPG(I114, "SP_PARENT_COMPANY_NAME")</f>
        <v/>
      </c>
      <c r="R114" s="12" t="str">
        <f>_xll.SNL.Clients.Office.Excel.Functions.SPG(I114, "SP_PARENT_COUNTRY")</f>
        <v/>
      </c>
      <c r="S114" s="12" t="str">
        <f>_xll.SNL.Clients.Office.Excel.Functions.SPG(I114, "SP_COUNTRY_NAME")</f>
        <v>United Kingdom</v>
      </c>
    </row>
    <row r="115" spans="1:19" ht="58" x14ac:dyDescent="0.35">
      <c r="A115" s="5">
        <v>46022</v>
      </c>
      <c r="B115" s="4" t="s">
        <v>298</v>
      </c>
      <c r="C115" s="4" t="s">
        <v>299</v>
      </c>
      <c r="D115" s="4" t="s">
        <v>948</v>
      </c>
      <c r="E115" s="8">
        <v>4113732</v>
      </c>
      <c r="F115" s="7">
        <v>44</v>
      </c>
      <c r="G115" s="12" t="str">
        <f>[1]!SNLData("243327", C115, "OWNER_LIST")</f>
        <v>Anglo American plc (Venturer) 44%; Mitsui Kinzoku Company, Limited (Venturer) 0.97%; Mitsui &amp; Co., Ltd. (Venturer) 11.03%; Glencore plc (Venturer) 44%</v>
      </c>
      <c r="H115" s="9">
        <f>[1]!SNLData("243327", C115, "OWNER_SNL_INSTN_KEY", "Owner 1")</f>
        <v>4113732</v>
      </c>
      <c r="I115" s="9">
        <f>[1]!SNLData("243327", C115, "OWNER_SNL_INSTN_KEY", "Owner 2")</f>
        <v>4193273</v>
      </c>
      <c r="J115" s="12" t="str">
        <f>_xll.SNL.Clients.Office.Excel.Functions.SPG(H115, "SP_ULT_PARENT_COMPANY_NAME")</f>
        <v/>
      </c>
      <c r="K115" s="12" t="str">
        <f>_xll.SNL.Clients.Office.Excel.Functions.SPG(H115, "SP_ULT_PARENT_COUNTRY")</f>
        <v/>
      </c>
      <c r="L115" s="12" t="str">
        <f>_xll.SNL.Clients.Office.Excel.Functions.SPG(H115, "SP_PARENT_COMPANY_NAME")</f>
        <v/>
      </c>
      <c r="M115" s="12" t="str">
        <f>_xll.SNL.Clients.Office.Excel.Functions.SPG(H115, "SP_PARENT_COUNTRY")</f>
        <v/>
      </c>
      <c r="N115" s="12" t="str">
        <f>_xll.SNL.Clients.Office.Excel.Functions.SPG(H115, "SP_COUNTRY_NAME")</f>
        <v>Switzerland</v>
      </c>
      <c r="O115" s="12" t="str">
        <f>_xll.SNL.Clients.Office.Excel.Functions.SPG(I115, "SP_ULT_PARENT_COMPANY_NAME")</f>
        <v/>
      </c>
      <c r="P115" s="12" t="str">
        <f>_xll.SNL.Clients.Office.Excel.Functions.SPG(I115, "SP_ULT_PARENT_COUNTRY")</f>
        <v/>
      </c>
      <c r="Q115" s="12" t="str">
        <f>_xll.SNL.Clients.Office.Excel.Functions.SPG(I115, "SP_PARENT_COMPANY_NAME")</f>
        <v/>
      </c>
      <c r="R115" s="12" t="str">
        <f>_xll.SNL.Clients.Office.Excel.Functions.SPG(I115, "SP_PARENT_COUNTRY")</f>
        <v/>
      </c>
      <c r="S115" s="12" t="str">
        <f>_xll.SNL.Clients.Office.Excel.Functions.SPG(I115, "SP_COUNTRY_NAME")</f>
        <v>United Kingdom</v>
      </c>
    </row>
    <row r="116" spans="1:19" ht="58" x14ac:dyDescent="0.35">
      <c r="A116" s="5">
        <v>46022</v>
      </c>
      <c r="B116" s="4" t="s">
        <v>298</v>
      </c>
      <c r="C116" s="4" t="s">
        <v>299</v>
      </c>
      <c r="D116" s="4" t="s">
        <v>1008</v>
      </c>
      <c r="E116" s="8">
        <v>4086798</v>
      </c>
      <c r="F116" s="7">
        <v>11.03</v>
      </c>
      <c r="G116" s="12" t="str">
        <f>[1]!SNLData("243327", C116, "OWNER_LIST")</f>
        <v>Anglo American plc (Venturer) 44%; Mitsui Kinzoku Company, Limited (Venturer) 0.97%; Mitsui &amp; Co., Ltd. (Venturer) 11.03%; Glencore plc (Venturer) 44%</v>
      </c>
      <c r="H116" s="9">
        <f>[1]!SNLData("243327", C116, "OWNER_SNL_INSTN_KEY", "Owner 1")</f>
        <v>4113732</v>
      </c>
      <c r="I116" s="9">
        <f>[1]!SNLData("243327", C116, "OWNER_SNL_INSTN_KEY", "Owner 2")</f>
        <v>4193273</v>
      </c>
      <c r="J116" s="12" t="str">
        <f>_xll.SNL.Clients.Office.Excel.Functions.SPG(H116, "SP_ULT_PARENT_COMPANY_NAME")</f>
        <v/>
      </c>
      <c r="K116" s="12" t="str">
        <f>_xll.SNL.Clients.Office.Excel.Functions.SPG(H116, "SP_ULT_PARENT_COUNTRY")</f>
        <v/>
      </c>
      <c r="L116" s="12" t="str">
        <f>_xll.SNL.Clients.Office.Excel.Functions.SPG(H116, "SP_PARENT_COMPANY_NAME")</f>
        <v/>
      </c>
      <c r="M116" s="12" t="str">
        <f>_xll.SNL.Clients.Office.Excel.Functions.SPG(H116, "SP_PARENT_COUNTRY")</f>
        <v/>
      </c>
      <c r="N116" s="12" t="str">
        <f>_xll.SNL.Clients.Office.Excel.Functions.SPG(H116, "SP_COUNTRY_NAME")</f>
        <v>Switzerland</v>
      </c>
      <c r="O116" s="12" t="str">
        <f>_xll.SNL.Clients.Office.Excel.Functions.SPG(I116, "SP_ULT_PARENT_COMPANY_NAME")</f>
        <v/>
      </c>
      <c r="P116" s="12" t="str">
        <f>_xll.SNL.Clients.Office.Excel.Functions.SPG(I116, "SP_ULT_PARENT_COUNTRY")</f>
        <v/>
      </c>
      <c r="Q116" s="12" t="str">
        <f>_xll.SNL.Clients.Office.Excel.Functions.SPG(I116, "SP_PARENT_COMPANY_NAME")</f>
        <v/>
      </c>
      <c r="R116" s="12" t="str">
        <f>_xll.SNL.Clients.Office.Excel.Functions.SPG(I116, "SP_PARENT_COUNTRY")</f>
        <v/>
      </c>
      <c r="S116" s="12" t="str">
        <f>_xll.SNL.Clients.Office.Excel.Functions.SPG(I116, "SP_COUNTRY_NAME")</f>
        <v>United Kingdom</v>
      </c>
    </row>
    <row r="117" spans="1:19" ht="58" x14ac:dyDescent="0.35">
      <c r="A117" s="5">
        <v>46022</v>
      </c>
      <c r="B117" s="4" t="s">
        <v>298</v>
      </c>
      <c r="C117" s="4" t="s">
        <v>299</v>
      </c>
      <c r="D117" s="4" t="s">
        <v>1009</v>
      </c>
      <c r="E117" s="8">
        <v>4352523</v>
      </c>
      <c r="F117" s="7">
        <v>0.97</v>
      </c>
      <c r="G117" s="12" t="str">
        <f>[1]!SNLData("243327", C117, "OWNER_LIST")</f>
        <v>Anglo American plc (Venturer) 44%; Mitsui Kinzoku Company, Limited (Venturer) 0.97%; Mitsui &amp; Co., Ltd. (Venturer) 11.03%; Glencore plc (Venturer) 44%</v>
      </c>
      <c r="H117" s="9">
        <f>[1]!SNLData("243327", C117, "OWNER_SNL_INSTN_KEY", "Owner 1")</f>
        <v>4113732</v>
      </c>
      <c r="I117" s="9">
        <f>[1]!SNLData("243327", C117, "OWNER_SNL_INSTN_KEY", "Owner 2")</f>
        <v>4193273</v>
      </c>
      <c r="J117" s="12" t="str">
        <f>_xll.SNL.Clients.Office.Excel.Functions.SPG(H117, "SP_ULT_PARENT_COMPANY_NAME")</f>
        <v/>
      </c>
      <c r="K117" s="12" t="str">
        <f>_xll.SNL.Clients.Office.Excel.Functions.SPG(H117, "SP_ULT_PARENT_COUNTRY")</f>
        <v/>
      </c>
      <c r="L117" s="12" t="str">
        <f>_xll.SNL.Clients.Office.Excel.Functions.SPG(H117, "SP_PARENT_COMPANY_NAME")</f>
        <v/>
      </c>
      <c r="M117" s="12" t="str">
        <f>_xll.SNL.Clients.Office.Excel.Functions.SPG(H117, "SP_PARENT_COUNTRY")</f>
        <v/>
      </c>
      <c r="N117" s="12" t="str">
        <f>_xll.SNL.Clients.Office.Excel.Functions.SPG(H117, "SP_COUNTRY_NAME")</f>
        <v>Switzerland</v>
      </c>
      <c r="O117" s="12" t="str">
        <f>_xll.SNL.Clients.Office.Excel.Functions.SPG(I117, "SP_ULT_PARENT_COMPANY_NAME")</f>
        <v/>
      </c>
      <c r="P117" s="12" t="str">
        <f>_xll.SNL.Clients.Office.Excel.Functions.SPG(I117, "SP_ULT_PARENT_COUNTRY")</f>
        <v/>
      </c>
      <c r="Q117" s="12" t="str">
        <f>_xll.SNL.Clients.Office.Excel.Functions.SPG(I117, "SP_PARENT_COMPANY_NAME")</f>
        <v/>
      </c>
      <c r="R117" s="12" t="str">
        <f>_xll.SNL.Clients.Office.Excel.Functions.SPG(I117, "SP_PARENT_COUNTRY")</f>
        <v/>
      </c>
      <c r="S117" s="12" t="str">
        <f>_xll.SNL.Clients.Office.Excel.Functions.SPG(I117, "SP_COUNTRY_NAME")</f>
        <v>United Kingdom</v>
      </c>
    </row>
    <row r="118" spans="1:19" x14ac:dyDescent="0.35">
      <c r="A118" s="5">
        <v>46022</v>
      </c>
      <c r="B118" s="4" t="s">
        <v>710</v>
      </c>
      <c r="C118" s="4" t="s">
        <v>711</v>
      </c>
      <c r="D118" s="4" t="s">
        <v>1010</v>
      </c>
      <c r="E118" s="8">
        <v>4351119</v>
      </c>
      <c r="F118" s="7">
        <v>100</v>
      </c>
      <c r="G118" s="12" t="str">
        <f>[1]!SNLData("243327", C118, "OWNER_LIST")</f>
        <v>Hudbay Minerals Inc.  100%</v>
      </c>
      <c r="H118" s="9">
        <f>[1]!SNLData("243327", C118, "OWNER_SNL_INSTN_KEY", "Owner 1")</f>
        <v>4351119</v>
      </c>
      <c r="I118" s="9" t="str">
        <f>[1]!SNLData("243327", C118, "OWNER_SNL_INSTN_KEY", "Owner 2")</f>
        <v>NA</v>
      </c>
      <c r="J118" s="12" t="str">
        <f>_xll.SNL.Clients.Office.Excel.Functions.SPG(H118, "SP_ULT_PARENT_COMPANY_NAME")</f>
        <v/>
      </c>
      <c r="K118" s="12" t="str">
        <f>_xll.SNL.Clients.Office.Excel.Functions.SPG(H118, "SP_ULT_PARENT_COUNTRY")</f>
        <v/>
      </c>
      <c r="L118" s="12" t="str">
        <f>_xll.SNL.Clients.Office.Excel.Functions.SPG(H118, "SP_PARENT_COMPANY_NAME")</f>
        <v/>
      </c>
      <c r="M118" s="12" t="str">
        <f>_xll.SNL.Clients.Office.Excel.Functions.SPG(H118, "SP_PARENT_COUNTRY")</f>
        <v/>
      </c>
      <c r="N118" s="12" t="str">
        <f>_xll.SNL.Clients.Office.Excel.Functions.SPG(H118, "SP_COUNTRY_NAME")</f>
        <v>Canada</v>
      </c>
      <c r="O118" s="12" t="str">
        <f>_xll.SNL.Clients.Office.Excel.Functions.SPG(I118, "SP_ULT_PARENT_COMPANY_NAME")</f>
        <v/>
      </c>
      <c r="P118" s="12" t="str">
        <f>_xll.SNL.Clients.Office.Excel.Functions.SPG(I118, "SP_ULT_PARENT_COUNTRY")</f>
        <v/>
      </c>
      <c r="Q118" s="12" t="str">
        <f>_xll.SNL.Clients.Office.Excel.Functions.SPG(I118, "SP_PARENT_COMPANY_NAME")</f>
        <v/>
      </c>
      <c r="R118" s="12" t="str">
        <f>_xll.SNL.Clients.Office.Excel.Functions.SPG(I118, "SP_PARENT_COUNTRY")</f>
        <v/>
      </c>
      <c r="S118" s="12" t="str">
        <f>_xll.SNL.Clients.Office.Excel.Functions.SPG(I118, "SP_COUNTRY_NAME")</f>
        <v>China</v>
      </c>
    </row>
    <row r="119" spans="1:19" ht="29" x14ac:dyDescent="0.35">
      <c r="A119" s="5">
        <v>46022</v>
      </c>
      <c r="B119" s="4" t="s">
        <v>300</v>
      </c>
      <c r="C119" s="4" t="s">
        <v>301</v>
      </c>
      <c r="D119" s="4" t="s">
        <v>1011</v>
      </c>
      <c r="E119" s="8">
        <v>4495972</v>
      </c>
      <c r="F119" s="7">
        <v>100</v>
      </c>
      <c r="G119" s="12" t="str">
        <f>[1]!SNLData("243327", C119, "OWNER_LIST")</f>
        <v>Montana Resources, LLP  100%</v>
      </c>
      <c r="H119" s="9">
        <f>[1]!SNLData("243327", C119, "OWNER_SNL_INSTN_KEY", "Owner 1")</f>
        <v>4495972</v>
      </c>
      <c r="I119" s="9" t="str">
        <f>[1]!SNLData("243327", C119, "OWNER_SNL_INSTN_KEY", "Owner 2")</f>
        <v>NA</v>
      </c>
      <c r="J119" s="12" t="str">
        <f>_xll.SNL.Clients.Office.Excel.Functions.SPG(H119, "SP_ULT_PARENT_COMPANY_NAME")</f>
        <v>The Washington Companies</v>
      </c>
      <c r="K119" s="12" t="str">
        <f>_xll.SNL.Clients.Office.Excel.Functions.SPG(H119, "SP_ULT_PARENT_COUNTRY")</f>
        <v>USA</v>
      </c>
      <c r="L119" s="12" t="str">
        <f>_xll.SNL.Clients.Office.Excel.Functions.SPG(H119, "SP_PARENT_COMPANY_NAME")</f>
        <v>Washington Corporations</v>
      </c>
      <c r="M119" s="12" t="str">
        <f>_xll.SNL.Clients.Office.Excel.Functions.SPG(H119, "SP_PARENT_COUNTRY")</f>
        <v>USA</v>
      </c>
      <c r="N119" s="12" t="str">
        <f>_xll.SNL.Clients.Office.Excel.Functions.SPG(H119, "SP_COUNTRY_NAME")</f>
        <v>USA</v>
      </c>
      <c r="O119" s="12" t="str">
        <f>_xll.SNL.Clients.Office.Excel.Functions.SPG(I119, "SP_ULT_PARENT_COMPANY_NAME")</f>
        <v/>
      </c>
      <c r="P119" s="12" t="str">
        <f>_xll.SNL.Clients.Office.Excel.Functions.SPG(I119, "SP_ULT_PARENT_COUNTRY")</f>
        <v/>
      </c>
      <c r="Q119" s="12" t="str">
        <f>_xll.SNL.Clients.Office.Excel.Functions.SPG(I119, "SP_PARENT_COMPANY_NAME")</f>
        <v/>
      </c>
      <c r="R119" s="12" t="str">
        <f>_xll.SNL.Clients.Office.Excel.Functions.SPG(I119, "SP_PARENT_COUNTRY")</f>
        <v/>
      </c>
      <c r="S119" s="12" t="str">
        <f>_xll.SNL.Clients.Office.Excel.Functions.SPG(I119, "SP_COUNTRY_NAME")</f>
        <v>China</v>
      </c>
    </row>
    <row r="120" spans="1:19" x14ac:dyDescent="0.35">
      <c r="A120" s="5">
        <v>46022</v>
      </c>
      <c r="B120" s="4" t="s">
        <v>302</v>
      </c>
      <c r="C120" s="4" t="s">
        <v>303</v>
      </c>
      <c r="D120" s="4" t="s">
        <v>1010</v>
      </c>
      <c r="E120" s="8">
        <v>4351119</v>
      </c>
      <c r="F120" s="7">
        <v>100</v>
      </c>
      <c r="G120" s="12" t="str">
        <f>[1]!SNLData("243327", C120, "OWNER_LIST")</f>
        <v>Hudbay Minerals Inc.  100%</v>
      </c>
      <c r="H120" s="9">
        <f>[1]!SNLData("243327", C120, "OWNER_SNL_INSTN_KEY", "Owner 1")</f>
        <v>4351119</v>
      </c>
      <c r="I120" s="9" t="str">
        <f>[1]!SNLData("243327", C120, "OWNER_SNL_INSTN_KEY", "Owner 2")</f>
        <v>NA</v>
      </c>
      <c r="J120" s="12" t="str">
        <f>_xll.SNL.Clients.Office.Excel.Functions.SPG(H120, "SP_ULT_PARENT_COMPANY_NAME")</f>
        <v/>
      </c>
      <c r="K120" s="12" t="str">
        <f>_xll.SNL.Clients.Office.Excel.Functions.SPG(H120, "SP_ULT_PARENT_COUNTRY")</f>
        <v/>
      </c>
      <c r="L120" s="12" t="str">
        <f>_xll.SNL.Clients.Office.Excel.Functions.SPG(H120, "SP_PARENT_COMPANY_NAME")</f>
        <v/>
      </c>
      <c r="M120" s="12" t="str">
        <f>_xll.SNL.Clients.Office.Excel.Functions.SPG(H120, "SP_PARENT_COUNTRY")</f>
        <v/>
      </c>
      <c r="N120" s="12" t="str">
        <f>_xll.SNL.Clients.Office.Excel.Functions.SPG(H120, "SP_COUNTRY_NAME")</f>
        <v>Canada</v>
      </c>
      <c r="O120" s="12" t="str">
        <f>_xll.SNL.Clients.Office.Excel.Functions.SPG(I120, "SP_ULT_PARENT_COMPANY_NAME")</f>
        <v/>
      </c>
      <c r="P120" s="12" t="str">
        <f>_xll.SNL.Clients.Office.Excel.Functions.SPG(I120, "SP_ULT_PARENT_COUNTRY")</f>
        <v/>
      </c>
      <c r="Q120" s="12" t="str">
        <f>_xll.SNL.Clients.Office.Excel.Functions.SPG(I120, "SP_PARENT_COMPANY_NAME")</f>
        <v/>
      </c>
      <c r="R120" s="12" t="str">
        <f>_xll.SNL.Clients.Office.Excel.Functions.SPG(I120, "SP_PARENT_COUNTRY")</f>
        <v/>
      </c>
      <c r="S120" s="12" t="str">
        <f>_xll.SNL.Clients.Office.Excel.Functions.SPG(I120, "SP_COUNTRY_NAME")</f>
        <v>China</v>
      </c>
    </row>
    <row r="121" spans="1:19" x14ac:dyDescent="0.35">
      <c r="A121" s="5">
        <v>46022</v>
      </c>
      <c r="B121" s="4" t="s">
        <v>129</v>
      </c>
      <c r="C121" s="4" t="s">
        <v>130</v>
      </c>
      <c r="D121" s="4" t="s">
        <v>1012</v>
      </c>
      <c r="E121" s="8">
        <v>4354065</v>
      </c>
      <c r="F121" s="7">
        <v>100</v>
      </c>
      <c r="G121" s="12" t="str">
        <f>[1]!SNLData("243327", C121, "OWNER_LIST")</f>
        <v>Americas Gold and Silver Corporation  100%</v>
      </c>
      <c r="H121" s="9">
        <f>[1]!SNLData("243327", C121, "OWNER_SNL_INSTN_KEY", "Owner 1")</f>
        <v>4354065</v>
      </c>
      <c r="I121" s="9" t="str">
        <f>[1]!SNLData("243327", C121, "OWNER_SNL_INSTN_KEY", "Owner 2")</f>
        <v>NA</v>
      </c>
      <c r="J121" s="12" t="str">
        <f>_xll.SNL.Clients.Office.Excel.Functions.SPG(H121, "SP_ULT_PARENT_COMPANY_NAME")</f>
        <v/>
      </c>
      <c r="K121" s="12" t="str">
        <f>_xll.SNL.Clients.Office.Excel.Functions.SPG(H121, "SP_ULT_PARENT_COUNTRY")</f>
        <v/>
      </c>
      <c r="L121" s="12" t="str">
        <f>_xll.SNL.Clients.Office.Excel.Functions.SPG(H121, "SP_PARENT_COMPANY_NAME")</f>
        <v/>
      </c>
      <c r="M121" s="12" t="str">
        <f>_xll.SNL.Clients.Office.Excel.Functions.SPG(H121, "SP_PARENT_COUNTRY")</f>
        <v/>
      </c>
      <c r="N121" s="12" t="str">
        <f>_xll.SNL.Clients.Office.Excel.Functions.SPG(H121, "SP_COUNTRY_NAME")</f>
        <v>Canada</v>
      </c>
      <c r="O121" s="12" t="str">
        <f>_xll.SNL.Clients.Office.Excel.Functions.SPG(I121, "SP_ULT_PARENT_COMPANY_NAME")</f>
        <v/>
      </c>
      <c r="P121" s="12" t="str">
        <f>_xll.SNL.Clients.Office.Excel.Functions.SPG(I121, "SP_ULT_PARENT_COUNTRY")</f>
        <v/>
      </c>
      <c r="Q121" s="12" t="str">
        <f>_xll.SNL.Clients.Office.Excel.Functions.SPG(I121, "SP_PARENT_COMPANY_NAME")</f>
        <v/>
      </c>
      <c r="R121" s="12" t="str">
        <f>_xll.SNL.Clients.Office.Excel.Functions.SPG(I121, "SP_PARENT_COUNTRY")</f>
        <v/>
      </c>
      <c r="S121" s="12" t="str">
        <f>_xll.SNL.Clients.Office.Excel.Functions.SPG(I121, "SP_COUNTRY_NAME")</f>
        <v>China</v>
      </c>
    </row>
    <row r="122" spans="1:19" x14ac:dyDescent="0.35">
      <c r="A122" s="5">
        <v>46022</v>
      </c>
      <c r="B122" s="4" t="s">
        <v>131</v>
      </c>
      <c r="C122" s="4" t="s">
        <v>132</v>
      </c>
      <c r="D122" s="4" t="s">
        <v>1013</v>
      </c>
      <c r="E122" s="8">
        <v>4348938</v>
      </c>
      <c r="F122" s="7">
        <v>100</v>
      </c>
      <c r="G122" s="12" t="str">
        <f>[1]!SNLData("243327", C122, "OWNER_LIST")</f>
        <v>Capstone Copper Corp.  100%</v>
      </c>
      <c r="H122" s="9">
        <f>[1]!SNLData("243327", C122, "OWNER_SNL_INSTN_KEY", "Owner 1")</f>
        <v>4348938</v>
      </c>
      <c r="I122" s="9" t="str">
        <f>[1]!SNLData("243327", C122, "OWNER_SNL_INSTN_KEY", "Owner 2")</f>
        <v>NA</v>
      </c>
      <c r="J122" s="12" t="str">
        <f>_xll.SNL.Clients.Office.Excel.Functions.SPG(H122, "SP_ULT_PARENT_COMPANY_NAME")</f>
        <v/>
      </c>
      <c r="K122" s="12" t="str">
        <f>_xll.SNL.Clients.Office.Excel.Functions.SPG(H122, "SP_ULT_PARENT_COUNTRY")</f>
        <v/>
      </c>
      <c r="L122" s="12" t="str">
        <f>_xll.SNL.Clients.Office.Excel.Functions.SPG(H122, "SP_PARENT_COMPANY_NAME")</f>
        <v/>
      </c>
      <c r="M122" s="12" t="str">
        <f>_xll.SNL.Clients.Office.Excel.Functions.SPG(H122, "SP_PARENT_COUNTRY")</f>
        <v/>
      </c>
      <c r="N122" s="12" t="str">
        <f>_xll.SNL.Clients.Office.Excel.Functions.SPG(H122, "SP_COUNTRY_NAME")</f>
        <v>Canada</v>
      </c>
      <c r="O122" s="12" t="str">
        <f>_xll.SNL.Clients.Office.Excel.Functions.SPG(I122, "SP_ULT_PARENT_COMPANY_NAME")</f>
        <v/>
      </c>
      <c r="P122" s="12" t="str">
        <f>_xll.SNL.Clients.Office.Excel.Functions.SPG(I122, "SP_ULT_PARENT_COUNTRY")</f>
        <v/>
      </c>
      <c r="Q122" s="12" t="str">
        <f>_xll.SNL.Clients.Office.Excel.Functions.SPG(I122, "SP_PARENT_COMPANY_NAME")</f>
        <v/>
      </c>
      <c r="R122" s="12" t="str">
        <f>_xll.SNL.Clients.Office.Excel.Functions.SPG(I122, "SP_PARENT_COUNTRY")</f>
        <v/>
      </c>
      <c r="S122" s="12" t="str">
        <f>_xll.SNL.Clients.Office.Excel.Functions.SPG(I122, "SP_COUNTRY_NAME")</f>
        <v>China</v>
      </c>
    </row>
    <row r="123" spans="1:19" ht="43.5" x14ac:dyDescent="0.35">
      <c r="A123" s="5">
        <v>46022</v>
      </c>
      <c r="B123" s="4" t="s">
        <v>712</v>
      </c>
      <c r="C123" s="4" t="s">
        <v>713</v>
      </c>
      <c r="D123" s="4" t="s">
        <v>980</v>
      </c>
      <c r="E123" s="8">
        <v>4354459</v>
      </c>
      <c r="F123" s="7">
        <v>100</v>
      </c>
      <c r="G123" s="12" t="str">
        <f>[1]!SNLData("243327", C123, "OWNER_LIST")</f>
        <v>Southern Copper Corporation  100%</v>
      </c>
      <c r="H123" s="9">
        <f>[1]!SNLData("243327", C123, "OWNER_SNL_INSTN_KEY", "Owner 1")</f>
        <v>4354459</v>
      </c>
      <c r="I123" s="9" t="str">
        <f>[1]!SNLData("243327", C123, "OWNER_SNL_INSTN_KEY", "Owner 2")</f>
        <v>NA</v>
      </c>
      <c r="J123" s="12" t="str">
        <f>_xll.SNL.Clients.Office.Excel.Functions.SPG(H123, "SP_ULT_PARENT_COMPANY_NAME")</f>
        <v>Grupo México, S.A.B. de C.V.</v>
      </c>
      <c r="K123" s="12" t="str">
        <f>_xll.SNL.Clients.Office.Excel.Functions.SPG(H123, "SP_ULT_PARENT_COUNTRY")</f>
        <v>Mexico</v>
      </c>
      <c r="L123" s="12" t="str">
        <f>_xll.SNL.Clients.Office.Excel.Functions.SPG(H123, "SP_PARENT_COMPANY_NAME")</f>
        <v>Americas Mining Corporation</v>
      </c>
      <c r="M123" s="12" t="str">
        <f>_xll.SNL.Clients.Office.Excel.Functions.SPG(H123, "SP_PARENT_COUNTRY")</f>
        <v>USA</v>
      </c>
      <c r="N123" s="12" t="str">
        <f>_xll.SNL.Clients.Office.Excel.Functions.SPG(H123, "SP_COUNTRY_NAME")</f>
        <v>USA</v>
      </c>
      <c r="O123" s="12" t="str">
        <f>_xll.SNL.Clients.Office.Excel.Functions.SPG(I123, "SP_ULT_PARENT_COMPANY_NAME")</f>
        <v/>
      </c>
      <c r="P123" s="12" t="str">
        <f>_xll.SNL.Clients.Office.Excel.Functions.SPG(I123, "SP_ULT_PARENT_COUNTRY")</f>
        <v/>
      </c>
      <c r="Q123" s="12" t="str">
        <f>_xll.SNL.Clients.Office.Excel.Functions.SPG(I123, "SP_PARENT_COMPANY_NAME")</f>
        <v/>
      </c>
      <c r="R123" s="12" t="str">
        <f>_xll.SNL.Clients.Office.Excel.Functions.SPG(I123, "SP_PARENT_COUNTRY")</f>
        <v/>
      </c>
      <c r="S123" s="12" t="str">
        <f>_xll.SNL.Clients.Office.Excel.Functions.SPG(I123, "SP_COUNTRY_NAME")</f>
        <v>China</v>
      </c>
    </row>
    <row r="124" spans="1:19" ht="72.5" x14ac:dyDescent="0.35">
      <c r="A124" s="5">
        <v>46022</v>
      </c>
      <c r="B124" s="4" t="s">
        <v>149</v>
      </c>
      <c r="C124" s="4" t="s">
        <v>150</v>
      </c>
      <c r="D124" s="4" t="s">
        <v>1014</v>
      </c>
      <c r="E124" s="8">
        <v>4355551</v>
      </c>
      <c r="F124" s="7">
        <v>100</v>
      </c>
      <c r="G124" s="12" t="str">
        <f>[1]!SNLData("243327", C124, "OWNER_LIST")</f>
        <v>Yunnan Copper Co.,Ltd  100%</v>
      </c>
      <c r="H124" s="9">
        <f>[1]!SNLData("243327", C124, "OWNER_SNL_INSTN_KEY", "Owner 1")</f>
        <v>4355551</v>
      </c>
      <c r="I124" s="9" t="str">
        <f>[1]!SNLData("243327", C124, "OWNER_SNL_INSTN_KEY", "Owner 2")</f>
        <v>NA</v>
      </c>
      <c r="J124" s="12" t="str">
        <f>_xll.SNL.Clients.Office.Excel.Functions.SPG(H124, "SP_ULT_PARENT_COMPANY_NAME")</f>
        <v>State-owned Assets Supervision and Administration Commission of the State Counci</v>
      </c>
      <c r="K124" s="12" t="str">
        <f>_xll.SNL.Clients.Office.Excel.Functions.SPG(H124, "SP_ULT_PARENT_COUNTRY")</f>
        <v>China</v>
      </c>
      <c r="L124" s="12" t="str">
        <f>_xll.SNL.Clients.Office.Excel.Functions.SPG(H124, "SP_PARENT_COMPANY_NAME")</f>
        <v>Yunnan Copper Industry (Group) Co., Ltd.</v>
      </c>
      <c r="M124" s="12" t="str">
        <f>_xll.SNL.Clients.Office.Excel.Functions.SPG(H124, "SP_PARENT_COUNTRY")</f>
        <v>China</v>
      </c>
      <c r="N124" s="12" t="str">
        <f>_xll.SNL.Clients.Office.Excel.Functions.SPG(H124, "SP_COUNTRY_NAME")</f>
        <v>China</v>
      </c>
      <c r="O124" s="12" t="str">
        <f>_xll.SNL.Clients.Office.Excel.Functions.SPG(I124, "SP_ULT_PARENT_COMPANY_NAME")</f>
        <v/>
      </c>
      <c r="P124" s="12" t="str">
        <f>_xll.SNL.Clients.Office.Excel.Functions.SPG(I124, "SP_ULT_PARENT_COUNTRY")</f>
        <v/>
      </c>
      <c r="Q124" s="12" t="str">
        <f>_xll.SNL.Clients.Office.Excel.Functions.SPG(I124, "SP_PARENT_COMPANY_NAME")</f>
        <v/>
      </c>
      <c r="R124" s="12" t="str">
        <f>_xll.SNL.Clients.Office.Excel.Functions.SPG(I124, "SP_PARENT_COUNTRY")</f>
        <v/>
      </c>
      <c r="S124" s="12" t="str">
        <f>_xll.SNL.Clients.Office.Excel.Functions.SPG(I124, "SP_COUNTRY_NAME")</f>
        <v>China</v>
      </c>
    </row>
    <row r="125" spans="1:19" x14ac:dyDescent="0.35">
      <c r="A125" s="5">
        <v>46022</v>
      </c>
      <c r="B125" s="4" t="s">
        <v>195</v>
      </c>
      <c r="C125" s="4" t="s">
        <v>196</v>
      </c>
      <c r="D125" s="4" t="s">
        <v>1015</v>
      </c>
      <c r="E125" s="8">
        <v>10948224</v>
      </c>
      <c r="F125" s="7">
        <v>100</v>
      </c>
      <c r="G125" s="12" t="str">
        <f>[1]!SNLData("243327", C125, "OWNER_LIST")</f>
        <v>Chifeng Dajingzi Mining Co., Ltd.  100%</v>
      </c>
      <c r="H125" s="9">
        <f>[1]!SNLData("243327", C125, "OWNER_SNL_INSTN_KEY", "Owner 1")</f>
        <v>10948224</v>
      </c>
      <c r="I125" s="9" t="str">
        <f>[1]!SNLData("243327", C125, "OWNER_SNL_INSTN_KEY", "Owner 2")</f>
        <v>NA</v>
      </c>
      <c r="J125" s="12" t="str">
        <f>_xll.SNL.Clients.Office.Excel.Functions.SPG(H125, "SP_ULT_PARENT_COMPANY_NAME")</f>
        <v/>
      </c>
      <c r="K125" s="12" t="str">
        <f>_xll.SNL.Clients.Office.Excel.Functions.SPG(H125, "SP_ULT_PARENT_COUNTRY")</f>
        <v/>
      </c>
      <c r="L125" s="12" t="str">
        <f>_xll.SNL.Clients.Office.Excel.Functions.SPG(H125, "SP_PARENT_COMPANY_NAME")</f>
        <v/>
      </c>
      <c r="M125" s="12" t="str">
        <f>_xll.SNL.Clients.Office.Excel.Functions.SPG(H125, "SP_PARENT_COUNTRY")</f>
        <v/>
      </c>
      <c r="N125" s="12" t="str">
        <f>_xll.SNL.Clients.Office.Excel.Functions.SPG(H125, "SP_COUNTRY_NAME")</f>
        <v>China</v>
      </c>
      <c r="O125" s="12" t="str">
        <f>_xll.SNL.Clients.Office.Excel.Functions.SPG(I125, "SP_ULT_PARENT_COMPANY_NAME")</f>
        <v/>
      </c>
      <c r="P125" s="12" t="str">
        <f>_xll.SNL.Clients.Office.Excel.Functions.SPG(I125, "SP_ULT_PARENT_COUNTRY")</f>
        <v/>
      </c>
      <c r="Q125" s="12" t="str">
        <f>_xll.SNL.Clients.Office.Excel.Functions.SPG(I125, "SP_PARENT_COMPANY_NAME")</f>
        <v/>
      </c>
      <c r="R125" s="12" t="str">
        <f>_xll.SNL.Clients.Office.Excel.Functions.SPG(I125, "SP_PARENT_COUNTRY")</f>
        <v/>
      </c>
      <c r="S125" s="12" t="str">
        <f>_xll.SNL.Clients.Office.Excel.Functions.SPG(I125, "SP_COUNTRY_NAME")</f>
        <v>China</v>
      </c>
    </row>
    <row r="126" spans="1:19" x14ac:dyDescent="0.35">
      <c r="A126" s="5">
        <v>46022</v>
      </c>
      <c r="B126" s="4" t="s">
        <v>304</v>
      </c>
      <c r="C126" s="4" t="s">
        <v>305</v>
      </c>
      <c r="D126" s="4" t="s">
        <v>962</v>
      </c>
      <c r="E126" s="8">
        <v>4353456</v>
      </c>
      <c r="F126" s="7">
        <v>100</v>
      </c>
      <c r="G126" s="12" t="str">
        <f>[1]!SNLData("243327", C126, "OWNER_LIST")</f>
        <v>Private Interest  100%</v>
      </c>
      <c r="H126" s="9">
        <f>[1]!SNLData("243327", C126, "OWNER_SNL_INSTN_KEY", "Owner 1")</f>
        <v>4353456</v>
      </c>
      <c r="I126" s="9" t="str">
        <f>[1]!SNLData("243327", C126, "OWNER_SNL_INSTN_KEY", "Owner 2")</f>
        <v>NA</v>
      </c>
      <c r="J126" s="12" t="str">
        <f>_xll.SNL.Clients.Office.Excel.Functions.SPG(H126, "SP_ULT_PARENT_COMPANY_NAME")</f>
        <v/>
      </c>
      <c r="K126" s="12" t="str">
        <f>_xll.SNL.Clients.Office.Excel.Functions.SPG(H126, "SP_ULT_PARENT_COUNTRY")</f>
        <v/>
      </c>
      <c r="L126" s="12" t="str">
        <f>_xll.SNL.Clients.Office.Excel.Functions.SPG(H126, "SP_PARENT_COMPANY_NAME")</f>
        <v/>
      </c>
      <c r="M126" s="12" t="str">
        <f>_xll.SNL.Clients.Office.Excel.Functions.SPG(H126, "SP_PARENT_COUNTRY")</f>
        <v/>
      </c>
      <c r="N126" s="12" t="str">
        <f>_xll.SNL.Clients.Office.Excel.Functions.SPG(H126, "SP_COUNTRY_NAME")</f>
        <v>China</v>
      </c>
      <c r="O126" s="12" t="str">
        <f>_xll.SNL.Clients.Office.Excel.Functions.SPG(I126, "SP_ULT_PARENT_COMPANY_NAME")</f>
        <v/>
      </c>
      <c r="P126" s="12" t="str">
        <f>_xll.SNL.Clients.Office.Excel.Functions.SPG(I126, "SP_ULT_PARENT_COUNTRY")</f>
        <v/>
      </c>
      <c r="Q126" s="12" t="str">
        <f>_xll.SNL.Clients.Office.Excel.Functions.SPG(I126, "SP_PARENT_COMPANY_NAME")</f>
        <v/>
      </c>
      <c r="R126" s="12" t="str">
        <f>_xll.SNL.Clients.Office.Excel.Functions.SPG(I126, "SP_PARENT_COUNTRY")</f>
        <v/>
      </c>
      <c r="S126" s="12" t="str">
        <f>_xll.SNL.Clients.Office.Excel.Functions.SPG(I126, "SP_COUNTRY_NAME")</f>
        <v>China</v>
      </c>
    </row>
    <row r="127" spans="1:19" ht="72.5" x14ac:dyDescent="0.35">
      <c r="A127" s="5">
        <v>46022</v>
      </c>
      <c r="B127" s="4" t="s">
        <v>151</v>
      </c>
      <c r="C127" s="4" t="s">
        <v>152</v>
      </c>
      <c r="D127" s="4" t="s">
        <v>1016</v>
      </c>
      <c r="E127" s="8">
        <v>4350764</v>
      </c>
      <c r="F127" s="7">
        <v>40</v>
      </c>
      <c r="G127" s="12" t="str">
        <f>[1]!SNLData("243327", C127, "OWNER_LIST")</f>
        <v>Yuxi Resources Corporation (Venturer) 50%; Grand Long Enterprises Limited (Venturer) 40%; Yunnan Dingtai Investment Co., Ltd. (Venturer) 10%</v>
      </c>
      <c r="H127" s="9">
        <f>[1]!SNLData("243327", C127, "OWNER_SNL_INSTN_KEY", "Owner 1")</f>
        <v>6496329</v>
      </c>
      <c r="I127" s="9">
        <f>[1]!SNLData("243327", C127, "OWNER_SNL_INSTN_KEY", "Owner 2")</f>
        <v>4350764</v>
      </c>
      <c r="J127" s="12" t="str">
        <f>_xll.SNL.Clients.Office.Excel.Functions.SPG(H127, "SP_ULT_PARENT_COMPANY_NAME")</f>
        <v>State-owned Assets Supervision and Administration Commission of the State Counci</v>
      </c>
      <c r="K127" s="12" t="str">
        <f>_xll.SNL.Clients.Office.Excel.Functions.SPG(H127, "SP_ULT_PARENT_COUNTRY")</f>
        <v>China</v>
      </c>
      <c r="L127" s="12" t="str">
        <f>_xll.SNL.Clients.Office.Excel.Functions.SPG(H127, "SP_PARENT_COMPANY_NAME")</f>
        <v>Yunnan Copper Co.,Ltd</v>
      </c>
      <c r="M127" s="12" t="str">
        <f>_xll.SNL.Clients.Office.Excel.Functions.SPG(H127, "SP_PARENT_COUNTRY")</f>
        <v>China</v>
      </c>
      <c r="N127" s="12" t="str">
        <f>_xll.SNL.Clients.Office.Excel.Functions.SPG(H127, "SP_COUNTRY_NAME")</f>
        <v>China</v>
      </c>
      <c r="O127" s="12" t="str">
        <f>_xll.SNL.Clients.Office.Excel.Functions.SPG(I127, "SP_ULT_PARENT_COMPANY_NAME")</f>
        <v/>
      </c>
      <c r="P127" s="12" t="str">
        <f>_xll.SNL.Clients.Office.Excel.Functions.SPG(I127, "SP_ULT_PARENT_COUNTRY")</f>
        <v/>
      </c>
      <c r="Q127" s="12" t="str">
        <f>_xll.SNL.Clients.Office.Excel.Functions.SPG(I127, "SP_PARENT_COMPANY_NAME")</f>
        <v/>
      </c>
      <c r="R127" s="12" t="str">
        <f>_xll.SNL.Clients.Office.Excel.Functions.SPG(I127, "SP_PARENT_COUNTRY")</f>
        <v/>
      </c>
      <c r="S127" s="12" t="str">
        <f>_xll.SNL.Clients.Office.Excel.Functions.SPG(I127, "SP_COUNTRY_NAME")</f>
        <v>BVI</v>
      </c>
    </row>
    <row r="128" spans="1:19" ht="72.5" x14ac:dyDescent="0.35">
      <c r="A128" s="5">
        <v>46022</v>
      </c>
      <c r="B128" s="4" t="s">
        <v>151</v>
      </c>
      <c r="C128" s="4" t="s">
        <v>152</v>
      </c>
      <c r="D128" s="4" t="s">
        <v>1017</v>
      </c>
      <c r="E128" s="8">
        <v>6730095</v>
      </c>
      <c r="F128" s="7">
        <v>10</v>
      </c>
      <c r="G128" s="12" t="str">
        <f>[1]!SNLData("243327", C128, "OWNER_LIST")</f>
        <v>Yuxi Resources Corporation (Venturer) 50%; Grand Long Enterprises Limited (Venturer) 40%; Yunnan Dingtai Investment Co., Ltd. (Venturer) 10%</v>
      </c>
      <c r="H128" s="9">
        <f>[1]!SNLData("243327", C128, "OWNER_SNL_INSTN_KEY", "Owner 1")</f>
        <v>6496329</v>
      </c>
      <c r="I128" s="9">
        <f>[1]!SNLData("243327", C128, "OWNER_SNL_INSTN_KEY", "Owner 2")</f>
        <v>4350764</v>
      </c>
      <c r="J128" s="12" t="str">
        <f>_xll.SNL.Clients.Office.Excel.Functions.SPG(H128, "SP_ULT_PARENT_COMPANY_NAME")</f>
        <v>State-owned Assets Supervision and Administration Commission of the State Counci</v>
      </c>
      <c r="K128" s="12" t="str">
        <f>_xll.SNL.Clients.Office.Excel.Functions.SPG(H128, "SP_ULT_PARENT_COUNTRY")</f>
        <v>China</v>
      </c>
      <c r="L128" s="12" t="str">
        <f>_xll.SNL.Clients.Office.Excel.Functions.SPG(H128, "SP_PARENT_COMPANY_NAME")</f>
        <v>Yunnan Copper Co.,Ltd</v>
      </c>
      <c r="M128" s="12" t="str">
        <f>_xll.SNL.Clients.Office.Excel.Functions.SPG(H128, "SP_PARENT_COUNTRY")</f>
        <v>China</v>
      </c>
      <c r="N128" s="12" t="str">
        <f>_xll.SNL.Clients.Office.Excel.Functions.SPG(H128, "SP_COUNTRY_NAME")</f>
        <v>China</v>
      </c>
      <c r="O128" s="12" t="str">
        <f>_xll.SNL.Clients.Office.Excel.Functions.SPG(I128, "SP_ULT_PARENT_COMPANY_NAME")</f>
        <v/>
      </c>
      <c r="P128" s="12" t="str">
        <f>_xll.SNL.Clients.Office.Excel.Functions.SPG(I128, "SP_ULT_PARENT_COUNTRY")</f>
        <v/>
      </c>
      <c r="Q128" s="12" t="str">
        <f>_xll.SNL.Clients.Office.Excel.Functions.SPG(I128, "SP_PARENT_COMPANY_NAME")</f>
        <v/>
      </c>
      <c r="R128" s="12" t="str">
        <f>_xll.SNL.Clients.Office.Excel.Functions.SPG(I128, "SP_PARENT_COUNTRY")</f>
        <v/>
      </c>
      <c r="S128" s="12" t="str">
        <f>_xll.SNL.Clients.Office.Excel.Functions.SPG(I128, "SP_COUNTRY_NAME")</f>
        <v>BVI</v>
      </c>
    </row>
    <row r="129" spans="1:19" ht="72.5" x14ac:dyDescent="0.35">
      <c r="A129" s="5">
        <v>46022</v>
      </c>
      <c r="B129" s="4" t="s">
        <v>151</v>
      </c>
      <c r="C129" s="4" t="s">
        <v>152</v>
      </c>
      <c r="D129" s="4" t="s">
        <v>1018</v>
      </c>
      <c r="E129" s="8">
        <v>6496329</v>
      </c>
      <c r="F129" s="7">
        <v>50</v>
      </c>
      <c r="G129" s="12" t="str">
        <f>[1]!SNLData("243327", C129, "OWNER_LIST")</f>
        <v>Yuxi Resources Corporation (Venturer) 50%; Grand Long Enterprises Limited (Venturer) 40%; Yunnan Dingtai Investment Co., Ltd. (Venturer) 10%</v>
      </c>
      <c r="H129" s="9">
        <f>[1]!SNLData("243327", C129, "OWNER_SNL_INSTN_KEY", "Owner 1")</f>
        <v>6496329</v>
      </c>
      <c r="I129" s="9">
        <f>[1]!SNLData("243327", C129, "OWNER_SNL_INSTN_KEY", "Owner 2")</f>
        <v>4350764</v>
      </c>
      <c r="J129" s="12" t="str">
        <f>_xll.SNL.Clients.Office.Excel.Functions.SPG(H129, "SP_ULT_PARENT_COMPANY_NAME")</f>
        <v>State-owned Assets Supervision and Administration Commission of the State Counci</v>
      </c>
      <c r="K129" s="12" t="str">
        <f>_xll.SNL.Clients.Office.Excel.Functions.SPG(H129, "SP_ULT_PARENT_COUNTRY")</f>
        <v>China</v>
      </c>
      <c r="L129" s="12" t="str">
        <f>_xll.SNL.Clients.Office.Excel.Functions.SPG(H129, "SP_PARENT_COMPANY_NAME")</f>
        <v>Yunnan Copper Co.,Ltd</v>
      </c>
      <c r="M129" s="12" t="str">
        <f>_xll.SNL.Clients.Office.Excel.Functions.SPG(H129, "SP_PARENT_COUNTRY")</f>
        <v>China</v>
      </c>
      <c r="N129" s="12" t="str">
        <f>_xll.SNL.Clients.Office.Excel.Functions.SPG(H129, "SP_COUNTRY_NAME")</f>
        <v>China</v>
      </c>
      <c r="O129" s="12" t="str">
        <f>_xll.SNL.Clients.Office.Excel.Functions.SPG(I129, "SP_ULT_PARENT_COMPANY_NAME")</f>
        <v/>
      </c>
      <c r="P129" s="12" t="str">
        <f>_xll.SNL.Clients.Office.Excel.Functions.SPG(I129, "SP_ULT_PARENT_COUNTRY")</f>
        <v/>
      </c>
      <c r="Q129" s="12" t="str">
        <f>_xll.SNL.Clients.Office.Excel.Functions.SPG(I129, "SP_PARENT_COMPANY_NAME")</f>
        <v/>
      </c>
      <c r="R129" s="12" t="str">
        <f>_xll.SNL.Clients.Office.Excel.Functions.SPG(I129, "SP_PARENT_COUNTRY")</f>
        <v/>
      </c>
      <c r="S129" s="12" t="str">
        <f>_xll.SNL.Clients.Office.Excel.Functions.SPG(I129, "SP_COUNTRY_NAME")</f>
        <v>BVI</v>
      </c>
    </row>
    <row r="130" spans="1:19" x14ac:dyDescent="0.35">
      <c r="A130" s="5">
        <v>46022</v>
      </c>
      <c r="B130" s="4" t="s">
        <v>153</v>
      </c>
      <c r="C130" s="4" t="s">
        <v>154</v>
      </c>
      <c r="D130" s="4" t="s">
        <v>1019</v>
      </c>
      <c r="E130" s="8">
        <v>10393182</v>
      </c>
      <c r="F130" s="7">
        <v>100</v>
      </c>
      <c r="G130" s="12" t="str">
        <f>[1]!SNLData("243327", C130, "OWNER_LIST")</f>
        <v>China State-Owned Mining Enterprise  100%</v>
      </c>
      <c r="H130" s="9">
        <f>[1]!SNLData("243327", C130, "OWNER_SNL_INSTN_KEY", "Owner 1")</f>
        <v>10393182</v>
      </c>
      <c r="I130" s="9" t="str">
        <f>[1]!SNLData("243327", C130, "OWNER_SNL_INSTN_KEY", "Owner 2")</f>
        <v>NA</v>
      </c>
      <c r="J130" s="12" t="str">
        <f>_xll.SNL.Clients.Office.Excel.Functions.SPG(H130, "SP_ULT_PARENT_COMPANY_NAME")</f>
        <v/>
      </c>
      <c r="K130" s="12" t="str">
        <f>_xll.SNL.Clients.Office.Excel.Functions.SPG(H130, "SP_ULT_PARENT_COUNTRY")</f>
        <v/>
      </c>
      <c r="L130" s="12" t="str">
        <f>_xll.SNL.Clients.Office.Excel.Functions.SPG(H130, "SP_PARENT_COMPANY_NAME")</f>
        <v/>
      </c>
      <c r="M130" s="12" t="str">
        <f>_xll.SNL.Clients.Office.Excel.Functions.SPG(H130, "SP_PARENT_COUNTRY")</f>
        <v/>
      </c>
      <c r="N130" s="12" t="str">
        <f>_xll.SNL.Clients.Office.Excel.Functions.SPG(H130, "SP_COUNTRY_NAME")</f>
        <v>China</v>
      </c>
      <c r="O130" s="12" t="str">
        <f>_xll.SNL.Clients.Office.Excel.Functions.SPG(I130, "SP_ULT_PARENT_COMPANY_NAME")</f>
        <v/>
      </c>
      <c r="P130" s="12" t="str">
        <f>_xll.SNL.Clients.Office.Excel.Functions.SPG(I130, "SP_ULT_PARENT_COUNTRY")</f>
        <v/>
      </c>
      <c r="Q130" s="12" t="str">
        <f>_xll.SNL.Clients.Office.Excel.Functions.SPG(I130, "SP_PARENT_COMPANY_NAME")</f>
        <v/>
      </c>
      <c r="R130" s="12" t="str">
        <f>_xll.SNL.Clients.Office.Excel.Functions.SPG(I130, "SP_PARENT_COUNTRY")</f>
        <v/>
      </c>
      <c r="S130" s="12" t="str">
        <f>_xll.SNL.Clients.Office.Excel.Functions.SPG(I130, "SP_COUNTRY_NAME")</f>
        <v>China</v>
      </c>
    </row>
    <row r="131" spans="1:19" x14ac:dyDescent="0.35">
      <c r="A131" s="5">
        <v>46022</v>
      </c>
      <c r="B131" s="4" t="s">
        <v>714</v>
      </c>
      <c r="C131" s="4" t="s">
        <v>715</v>
      </c>
      <c r="D131" s="4" t="s">
        <v>958</v>
      </c>
      <c r="E131" s="8">
        <v>4355642</v>
      </c>
      <c r="F131" s="7">
        <v>100</v>
      </c>
      <c r="G131" s="12" t="str">
        <f>[1]!SNLData("243327", C131, "OWNER_LIST")</f>
        <v>Zijin Mining Group Company Limited  100%</v>
      </c>
      <c r="H131" s="9">
        <f>[1]!SNLData("243327", C131, "OWNER_SNL_INSTN_KEY", "Owner 1")</f>
        <v>4355642</v>
      </c>
      <c r="I131" s="9" t="str">
        <f>[1]!SNLData("243327", C131, "OWNER_SNL_INSTN_KEY", "Owner 2")</f>
        <v>NA</v>
      </c>
      <c r="J131" s="12" t="str">
        <f>_xll.SNL.Clients.Office.Excel.Functions.SPG(H131, "SP_ULT_PARENT_COMPANY_NAME")</f>
        <v/>
      </c>
      <c r="K131" s="12" t="str">
        <f>_xll.SNL.Clients.Office.Excel.Functions.SPG(H131, "SP_ULT_PARENT_COUNTRY")</f>
        <v/>
      </c>
      <c r="L131" s="12" t="str">
        <f>_xll.SNL.Clients.Office.Excel.Functions.SPG(H131, "SP_PARENT_COMPANY_NAME")</f>
        <v/>
      </c>
      <c r="M131" s="12" t="str">
        <f>_xll.SNL.Clients.Office.Excel.Functions.SPG(H131, "SP_PARENT_COUNTRY")</f>
        <v/>
      </c>
      <c r="N131" s="12" t="str">
        <f>_xll.SNL.Clients.Office.Excel.Functions.SPG(H131, "SP_COUNTRY_NAME")</f>
        <v>China</v>
      </c>
      <c r="O131" s="12" t="str">
        <f>_xll.SNL.Clients.Office.Excel.Functions.SPG(I131, "SP_ULT_PARENT_COMPANY_NAME")</f>
        <v/>
      </c>
      <c r="P131" s="12" t="str">
        <f>_xll.SNL.Clients.Office.Excel.Functions.SPG(I131, "SP_ULT_PARENT_COUNTRY")</f>
        <v/>
      </c>
      <c r="Q131" s="12" t="str">
        <f>_xll.SNL.Clients.Office.Excel.Functions.SPG(I131, "SP_PARENT_COMPANY_NAME")</f>
        <v/>
      </c>
      <c r="R131" s="12" t="str">
        <f>_xll.SNL.Clients.Office.Excel.Functions.SPG(I131, "SP_PARENT_COUNTRY")</f>
        <v/>
      </c>
      <c r="S131" s="12" t="str">
        <f>_xll.SNL.Clients.Office.Excel.Functions.SPG(I131, "SP_COUNTRY_NAME")</f>
        <v>China</v>
      </c>
    </row>
    <row r="132" spans="1:19" x14ac:dyDescent="0.35">
      <c r="A132" s="5">
        <v>46022</v>
      </c>
      <c r="B132" s="4" t="s">
        <v>197</v>
      </c>
      <c r="C132" s="4" t="s">
        <v>198</v>
      </c>
      <c r="D132" s="4" t="s">
        <v>1020</v>
      </c>
      <c r="E132" s="8">
        <v>4353673</v>
      </c>
      <c r="F132" s="7">
        <v>100</v>
      </c>
      <c r="G132" s="12" t="str">
        <f>[1]!SNLData("243327", C132, "OWNER_LIST")</f>
        <v>Vault Minerals Limited  100%</v>
      </c>
      <c r="H132" s="9">
        <f>[1]!SNLData("243327", C132, "OWNER_SNL_INSTN_KEY", "Owner 1")</f>
        <v>4353673</v>
      </c>
      <c r="I132" s="9" t="str">
        <f>[1]!SNLData("243327", C132, "OWNER_SNL_INSTN_KEY", "Owner 2")</f>
        <v>NA</v>
      </c>
      <c r="J132" s="12" t="str">
        <f>_xll.SNL.Clients.Office.Excel.Functions.SPG(H132, "SP_ULT_PARENT_COMPANY_NAME")</f>
        <v/>
      </c>
      <c r="K132" s="12" t="str">
        <f>_xll.SNL.Clients.Office.Excel.Functions.SPG(H132, "SP_ULT_PARENT_COUNTRY")</f>
        <v/>
      </c>
      <c r="L132" s="12" t="str">
        <f>_xll.SNL.Clients.Office.Excel.Functions.SPG(H132, "SP_PARENT_COMPANY_NAME")</f>
        <v/>
      </c>
      <c r="M132" s="12" t="str">
        <f>_xll.SNL.Clients.Office.Excel.Functions.SPG(H132, "SP_PARENT_COUNTRY")</f>
        <v/>
      </c>
      <c r="N132" s="12" t="str">
        <f>_xll.SNL.Clients.Office.Excel.Functions.SPG(H132, "SP_COUNTRY_NAME")</f>
        <v>Australia</v>
      </c>
      <c r="O132" s="12" t="str">
        <f>_xll.SNL.Clients.Office.Excel.Functions.SPG(I132, "SP_ULT_PARENT_COMPANY_NAME")</f>
        <v/>
      </c>
      <c r="P132" s="12" t="str">
        <f>_xll.SNL.Clients.Office.Excel.Functions.SPG(I132, "SP_ULT_PARENT_COUNTRY")</f>
        <v/>
      </c>
      <c r="Q132" s="12" t="str">
        <f>_xll.SNL.Clients.Office.Excel.Functions.SPG(I132, "SP_PARENT_COMPANY_NAME")</f>
        <v/>
      </c>
      <c r="R132" s="12" t="str">
        <f>_xll.SNL.Clients.Office.Excel.Functions.SPG(I132, "SP_PARENT_COUNTRY")</f>
        <v/>
      </c>
      <c r="S132" s="12" t="str">
        <f>_xll.SNL.Clients.Office.Excel.Functions.SPG(I132, "SP_COUNTRY_NAME")</f>
        <v>China</v>
      </c>
    </row>
    <row r="133" spans="1:19" ht="72.5" x14ac:dyDescent="0.35">
      <c r="A133" s="5">
        <v>46022</v>
      </c>
      <c r="B133" s="4" t="s">
        <v>716</v>
      </c>
      <c r="C133" s="4" t="s">
        <v>717</v>
      </c>
      <c r="D133" s="4" t="s">
        <v>1004</v>
      </c>
      <c r="E133" s="8">
        <v>4351423</v>
      </c>
      <c r="F133" s="7">
        <v>100</v>
      </c>
      <c r="G133" s="12" t="str">
        <f>[1]!SNLData("243327", C133, "OWNER_LIST")</f>
        <v>Jiangxi Copper Company Limited  100%</v>
      </c>
      <c r="H133" s="9">
        <f>[1]!SNLData("243327", C133, "OWNER_SNL_INSTN_KEY", "Owner 1")</f>
        <v>4351423</v>
      </c>
      <c r="I133" s="9" t="str">
        <f>[1]!SNLData("243327", C133, "OWNER_SNL_INSTN_KEY", "Owner 2")</f>
        <v>NA</v>
      </c>
      <c r="J133" s="12" t="str">
        <f>_xll.SNL.Clients.Office.Excel.Functions.SPG(H133, "SP_ULT_PARENT_COMPANY_NAME")</f>
        <v>State-owned Assets Supervision and Administration Commission of Jiangxi Province</v>
      </c>
      <c r="K133" s="12" t="str">
        <f>_xll.SNL.Clients.Office.Excel.Functions.SPG(H133, "SP_ULT_PARENT_COUNTRY")</f>
        <v>China</v>
      </c>
      <c r="L133" s="12" t="str">
        <f>_xll.SNL.Clients.Office.Excel.Functions.SPG(H133, "SP_PARENT_COMPANY_NAME")</f>
        <v>Jiangxi Copper Corporation Limited</v>
      </c>
      <c r="M133" s="12" t="str">
        <f>_xll.SNL.Clients.Office.Excel.Functions.SPG(H133, "SP_PARENT_COUNTRY")</f>
        <v>China</v>
      </c>
      <c r="N133" s="12" t="str">
        <f>_xll.SNL.Clients.Office.Excel.Functions.SPG(H133, "SP_COUNTRY_NAME")</f>
        <v>China</v>
      </c>
      <c r="O133" s="12" t="str">
        <f>_xll.SNL.Clients.Office.Excel.Functions.SPG(I133, "SP_ULT_PARENT_COMPANY_NAME")</f>
        <v/>
      </c>
      <c r="P133" s="12" t="str">
        <f>_xll.SNL.Clients.Office.Excel.Functions.SPG(I133, "SP_ULT_PARENT_COUNTRY")</f>
        <v/>
      </c>
      <c r="Q133" s="12" t="str">
        <f>_xll.SNL.Clients.Office.Excel.Functions.SPG(I133, "SP_PARENT_COMPANY_NAME")</f>
        <v/>
      </c>
      <c r="R133" s="12" t="str">
        <f>_xll.SNL.Clients.Office.Excel.Functions.SPG(I133, "SP_PARENT_COUNTRY")</f>
        <v/>
      </c>
      <c r="S133" s="12" t="str">
        <f>_xll.SNL.Clients.Office.Excel.Functions.SPG(I133, "SP_COUNTRY_NAME")</f>
        <v>China</v>
      </c>
    </row>
    <row r="134" spans="1:19" ht="72.5" x14ac:dyDescent="0.35">
      <c r="A134" s="5">
        <v>46022</v>
      </c>
      <c r="B134" s="4" t="s">
        <v>306</v>
      </c>
      <c r="C134" s="4" t="s">
        <v>307</v>
      </c>
      <c r="D134" s="4" t="s">
        <v>1001</v>
      </c>
      <c r="E134" s="8">
        <v>4349160</v>
      </c>
      <c r="F134" s="7">
        <v>51</v>
      </c>
      <c r="G134" s="12" t="str">
        <f>[1]!SNLData("243327", C134, "OWNER_LIST")</f>
        <v>China Nonferrous Mining Corporation Limited (Venturer) 51%; Gécamines SA (Venturer) 49%</v>
      </c>
      <c r="H134" s="9">
        <f>[1]!SNLData("243327", C134, "OWNER_SNL_INSTN_KEY", "Owner 1")</f>
        <v>4349160</v>
      </c>
      <c r="I134" s="9">
        <f>[1]!SNLData("243327", C134, "OWNER_SNL_INSTN_KEY", "Owner 2")</f>
        <v>4350360</v>
      </c>
      <c r="J134" s="12" t="str">
        <f>_xll.SNL.Clients.Office.Excel.Functions.SPG(H134, "SP_ULT_PARENT_COMPANY_NAME")</f>
        <v>State-owned Assets Supervision and Administration Commission of the State Counci</v>
      </c>
      <c r="K134" s="12" t="str">
        <f>_xll.SNL.Clients.Office.Excel.Functions.SPG(H134, "SP_ULT_PARENT_COUNTRY")</f>
        <v>China</v>
      </c>
      <c r="L134" s="12" t="str">
        <f>_xll.SNL.Clients.Office.Excel.Functions.SPG(H134, "SP_PARENT_COMPANY_NAME")</f>
        <v>China Nonferrous Mining Development Limited</v>
      </c>
      <c r="M134" s="12" t="str">
        <f>_xll.SNL.Clients.Office.Excel.Functions.SPG(H134, "SP_PARENT_COUNTRY")</f>
        <v>BVI</v>
      </c>
      <c r="N134" s="12" t="str">
        <f>_xll.SNL.Clients.Office.Excel.Functions.SPG(H134, "SP_COUNTRY_NAME")</f>
        <v>China</v>
      </c>
      <c r="O134" s="12" t="str">
        <f>_xll.SNL.Clients.Office.Excel.Functions.SPG(I134, "SP_ULT_PARENT_COMPANY_NAME")</f>
        <v>Dem. Rep. Congo</v>
      </c>
      <c r="P134" s="12" t="str">
        <f>_xll.SNL.Clients.Office.Excel.Functions.SPG(I134, "SP_ULT_PARENT_COUNTRY")</f>
        <v>Dem. Rep. Congo</v>
      </c>
      <c r="Q134" s="12" t="str">
        <f>_xll.SNL.Clients.Office.Excel.Functions.SPG(I134, "SP_PARENT_COMPANY_NAME")</f>
        <v>Dem. Rep. Congo</v>
      </c>
      <c r="R134" s="12" t="str">
        <f>_xll.SNL.Clients.Office.Excel.Functions.SPG(I134, "SP_PARENT_COUNTRY")</f>
        <v>Dem. Rep. Congo</v>
      </c>
      <c r="S134" s="12" t="str">
        <f>_xll.SNL.Clients.Office.Excel.Functions.SPG(I134, "SP_COUNTRY_NAME")</f>
        <v>Dem. Rep. Congo</v>
      </c>
    </row>
    <row r="135" spans="1:19" ht="72.5" x14ac:dyDescent="0.35">
      <c r="A135" s="5">
        <v>46022</v>
      </c>
      <c r="B135" s="4" t="s">
        <v>306</v>
      </c>
      <c r="C135" s="4" t="s">
        <v>307</v>
      </c>
      <c r="D135" s="4" t="s">
        <v>1021</v>
      </c>
      <c r="E135" s="8">
        <v>4350360</v>
      </c>
      <c r="F135" s="7">
        <v>49</v>
      </c>
      <c r="G135" s="12" t="str">
        <f>[1]!SNLData("243327", C135, "OWNER_LIST")</f>
        <v>China Nonferrous Mining Corporation Limited (Venturer) 51%; Gécamines SA (Venturer) 49%</v>
      </c>
      <c r="H135" s="9">
        <f>[1]!SNLData("243327", C135, "OWNER_SNL_INSTN_KEY", "Owner 1")</f>
        <v>4349160</v>
      </c>
      <c r="I135" s="9">
        <f>[1]!SNLData("243327", C135, "OWNER_SNL_INSTN_KEY", "Owner 2")</f>
        <v>4350360</v>
      </c>
      <c r="J135" s="12" t="str">
        <f>_xll.SNL.Clients.Office.Excel.Functions.SPG(H135, "SP_ULT_PARENT_COMPANY_NAME")</f>
        <v>State-owned Assets Supervision and Administration Commission of the State Counci</v>
      </c>
      <c r="K135" s="12" t="str">
        <f>_xll.SNL.Clients.Office.Excel.Functions.SPG(H135, "SP_ULT_PARENT_COUNTRY")</f>
        <v>China</v>
      </c>
      <c r="L135" s="12" t="str">
        <f>_xll.SNL.Clients.Office.Excel.Functions.SPG(H135, "SP_PARENT_COMPANY_NAME")</f>
        <v>China Nonferrous Mining Development Limited</v>
      </c>
      <c r="M135" s="12" t="str">
        <f>_xll.SNL.Clients.Office.Excel.Functions.SPG(H135, "SP_PARENT_COUNTRY")</f>
        <v>BVI</v>
      </c>
      <c r="N135" s="12" t="str">
        <f>_xll.SNL.Clients.Office.Excel.Functions.SPG(H135, "SP_COUNTRY_NAME")</f>
        <v>China</v>
      </c>
      <c r="O135" s="12" t="str">
        <f>_xll.SNL.Clients.Office.Excel.Functions.SPG(I135, "SP_ULT_PARENT_COMPANY_NAME")</f>
        <v>Dem. Rep. Congo</v>
      </c>
      <c r="P135" s="12" t="str">
        <f>_xll.SNL.Clients.Office.Excel.Functions.SPG(I135, "SP_ULT_PARENT_COUNTRY")</f>
        <v>Dem. Rep. Congo</v>
      </c>
      <c r="Q135" s="12" t="str">
        <f>_xll.SNL.Clients.Office.Excel.Functions.SPG(I135, "SP_PARENT_COMPANY_NAME")</f>
        <v>Dem. Rep. Congo</v>
      </c>
      <c r="R135" s="12" t="str">
        <f>_xll.SNL.Clients.Office.Excel.Functions.SPG(I135, "SP_PARENT_COUNTRY")</f>
        <v>Dem. Rep. Congo</v>
      </c>
      <c r="S135" s="12" t="str">
        <f>_xll.SNL.Clients.Office.Excel.Functions.SPG(I135, "SP_COUNTRY_NAME")</f>
        <v>Dem. Rep. Congo</v>
      </c>
    </row>
    <row r="136" spans="1:19" ht="29" x14ac:dyDescent="0.35">
      <c r="A136" s="5">
        <v>46022</v>
      </c>
      <c r="B136" s="4" t="s">
        <v>155</v>
      </c>
      <c r="C136" s="4" t="s">
        <v>156</v>
      </c>
      <c r="D136" s="4" t="s">
        <v>1022</v>
      </c>
      <c r="E136" s="8">
        <v>4352997</v>
      </c>
      <c r="F136" s="7">
        <v>80</v>
      </c>
      <c r="G136" s="12" t="str">
        <f>[1]!SNLData("243327", C136, "OWNER_LIST")</f>
        <v>Private Interest (Venturer) 20%; OceanaGold Corporation (Venturer) 80%</v>
      </c>
      <c r="H136" s="9">
        <f>[1]!SNLData("243327", C136, "OWNER_SNL_INSTN_KEY", "Owner 1")</f>
        <v>4352997</v>
      </c>
      <c r="I136" s="9">
        <f>[1]!SNLData("243327", C136, "OWNER_SNL_INSTN_KEY", "Owner 2")</f>
        <v>4353456</v>
      </c>
      <c r="J136" s="12" t="str">
        <f>_xll.SNL.Clients.Office.Excel.Functions.SPG(H136, "SP_ULT_PARENT_COMPANY_NAME")</f>
        <v/>
      </c>
      <c r="K136" s="12" t="str">
        <f>_xll.SNL.Clients.Office.Excel.Functions.SPG(H136, "SP_ULT_PARENT_COUNTRY")</f>
        <v/>
      </c>
      <c r="L136" s="12" t="str">
        <f>_xll.SNL.Clients.Office.Excel.Functions.SPG(H136, "SP_PARENT_COMPANY_NAME")</f>
        <v/>
      </c>
      <c r="M136" s="12" t="str">
        <f>_xll.SNL.Clients.Office.Excel.Functions.SPG(H136, "SP_PARENT_COUNTRY")</f>
        <v/>
      </c>
      <c r="N136" s="12" t="str">
        <f>_xll.SNL.Clients.Office.Excel.Functions.SPG(H136, "SP_COUNTRY_NAME")</f>
        <v>Canada</v>
      </c>
      <c r="O136" s="12" t="str">
        <f>_xll.SNL.Clients.Office.Excel.Functions.SPG(I136, "SP_ULT_PARENT_COMPANY_NAME")</f>
        <v/>
      </c>
      <c r="P136" s="12" t="str">
        <f>_xll.SNL.Clients.Office.Excel.Functions.SPG(I136, "SP_ULT_PARENT_COUNTRY")</f>
        <v/>
      </c>
      <c r="Q136" s="12" t="str">
        <f>_xll.SNL.Clients.Office.Excel.Functions.SPG(I136, "SP_PARENT_COMPANY_NAME")</f>
        <v/>
      </c>
      <c r="R136" s="12" t="str">
        <f>_xll.SNL.Clients.Office.Excel.Functions.SPG(I136, "SP_PARENT_COUNTRY")</f>
        <v/>
      </c>
      <c r="S136" s="12" t="str">
        <f>_xll.SNL.Clients.Office.Excel.Functions.SPG(I136, "SP_COUNTRY_NAME")</f>
        <v>China</v>
      </c>
    </row>
    <row r="137" spans="1:19" ht="29" x14ac:dyDescent="0.35">
      <c r="A137" s="5">
        <v>46022</v>
      </c>
      <c r="B137" s="4" t="s">
        <v>155</v>
      </c>
      <c r="C137" s="4" t="s">
        <v>156</v>
      </c>
      <c r="D137" s="4" t="s">
        <v>962</v>
      </c>
      <c r="E137" s="8">
        <v>4353456</v>
      </c>
      <c r="F137" s="7">
        <v>20</v>
      </c>
      <c r="G137" s="12" t="str">
        <f>[1]!SNLData("243327", C137, "OWNER_LIST")</f>
        <v>Private Interest (Venturer) 20%; OceanaGold Corporation (Venturer) 80%</v>
      </c>
      <c r="H137" s="9">
        <f>[1]!SNLData("243327", C137, "OWNER_SNL_INSTN_KEY", "Owner 1")</f>
        <v>4352997</v>
      </c>
      <c r="I137" s="9">
        <f>[1]!SNLData("243327", C137, "OWNER_SNL_INSTN_KEY", "Owner 2")</f>
        <v>4353456</v>
      </c>
      <c r="J137" s="12" t="str">
        <f>_xll.SNL.Clients.Office.Excel.Functions.SPG(H137, "SP_ULT_PARENT_COMPANY_NAME")</f>
        <v/>
      </c>
      <c r="K137" s="12" t="str">
        <f>_xll.SNL.Clients.Office.Excel.Functions.SPG(H137, "SP_ULT_PARENT_COUNTRY")</f>
        <v/>
      </c>
      <c r="L137" s="12" t="str">
        <f>_xll.SNL.Clients.Office.Excel.Functions.SPG(H137, "SP_PARENT_COMPANY_NAME")</f>
        <v/>
      </c>
      <c r="M137" s="12" t="str">
        <f>_xll.SNL.Clients.Office.Excel.Functions.SPG(H137, "SP_PARENT_COUNTRY")</f>
        <v/>
      </c>
      <c r="N137" s="12" t="str">
        <f>_xll.SNL.Clients.Office.Excel.Functions.SPG(H137, "SP_COUNTRY_NAME")</f>
        <v>Canada</v>
      </c>
      <c r="O137" s="12" t="str">
        <f>_xll.SNL.Clients.Office.Excel.Functions.SPG(I137, "SP_ULT_PARENT_COMPANY_NAME")</f>
        <v/>
      </c>
      <c r="P137" s="12" t="str">
        <f>_xll.SNL.Clients.Office.Excel.Functions.SPG(I137, "SP_ULT_PARENT_COUNTRY")</f>
        <v/>
      </c>
      <c r="Q137" s="12" t="str">
        <f>_xll.SNL.Clients.Office.Excel.Functions.SPG(I137, "SP_PARENT_COMPANY_NAME")</f>
        <v/>
      </c>
      <c r="R137" s="12" t="str">
        <f>_xll.SNL.Clients.Office.Excel.Functions.SPG(I137, "SP_PARENT_COUNTRY")</f>
        <v/>
      </c>
      <c r="S137" s="12" t="str">
        <f>_xll.SNL.Clients.Office.Excel.Functions.SPG(I137, "SP_COUNTRY_NAME")</f>
        <v>China</v>
      </c>
    </row>
    <row r="138" spans="1:19" ht="29" x14ac:dyDescent="0.35">
      <c r="A138" s="5">
        <v>46022</v>
      </c>
      <c r="B138" s="4" t="s">
        <v>718</v>
      </c>
      <c r="C138" s="4" t="s">
        <v>719</v>
      </c>
      <c r="D138" s="4" t="s">
        <v>1023</v>
      </c>
      <c r="E138" s="8">
        <v>4120762</v>
      </c>
      <c r="F138" s="7">
        <v>100</v>
      </c>
      <c r="G138" s="12" t="str">
        <f>[1]!SNLData("243327", C138, "OWNER_LIST")</f>
        <v>The Doe Run Resources Corporation  100%</v>
      </c>
      <c r="H138" s="9">
        <f>[1]!SNLData("243327", C138, "OWNER_SNL_INSTN_KEY", "Owner 1")</f>
        <v>4120762</v>
      </c>
      <c r="I138" s="9" t="str">
        <f>[1]!SNLData("243327", C138, "OWNER_SNL_INSTN_KEY", "Owner 2")</f>
        <v>NA</v>
      </c>
      <c r="J138" s="12" t="str">
        <f>_xll.SNL.Clients.Office.Excel.Functions.SPG(H138, "SP_ULT_PARENT_COMPANY_NAME")</f>
        <v>The Renco Group, Inc.</v>
      </c>
      <c r="K138" s="12" t="str">
        <f>_xll.SNL.Clients.Office.Excel.Functions.SPG(H138, "SP_ULT_PARENT_COUNTRY")</f>
        <v>USA</v>
      </c>
      <c r="L138" s="12" t="str">
        <f>_xll.SNL.Clients.Office.Excel.Functions.SPG(H138, "SP_PARENT_COMPANY_NAME")</f>
        <v>The Renco Group, Inc.</v>
      </c>
      <c r="M138" s="12" t="str">
        <f>_xll.SNL.Clients.Office.Excel.Functions.SPG(H138, "SP_PARENT_COUNTRY")</f>
        <v>USA</v>
      </c>
      <c r="N138" s="12" t="str">
        <f>_xll.SNL.Clients.Office.Excel.Functions.SPG(H138, "SP_COUNTRY_NAME")</f>
        <v>USA</v>
      </c>
      <c r="O138" s="12" t="str">
        <f>_xll.SNL.Clients.Office.Excel.Functions.SPG(I138, "SP_ULT_PARENT_COMPANY_NAME")</f>
        <v/>
      </c>
      <c r="P138" s="12" t="str">
        <f>_xll.SNL.Clients.Office.Excel.Functions.SPG(I138, "SP_ULT_PARENT_COUNTRY")</f>
        <v/>
      </c>
      <c r="Q138" s="12" t="str">
        <f>_xll.SNL.Clients.Office.Excel.Functions.SPG(I138, "SP_PARENT_COMPANY_NAME")</f>
        <v/>
      </c>
      <c r="R138" s="12" t="str">
        <f>_xll.SNL.Clients.Office.Excel.Functions.SPG(I138, "SP_PARENT_COUNTRY")</f>
        <v/>
      </c>
      <c r="S138" s="12" t="str">
        <f>_xll.SNL.Clients.Office.Excel.Functions.SPG(I138, "SP_COUNTRY_NAME")</f>
        <v>China</v>
      </c>
    </row>
    <row r="139" spans="1:19" ht="29" x14ac:dyDescent="0.35">
      <c r="A139" s="5">
        <v>46022</v>
      </c>
      <c r="B139" s="4" t="s">
        <v>308</v>
      </c>
      <c r="C139" s="4" t="s">
        <v>309</v>
      </c>
      <c r="D139" s="4" t="s">
        <v>1024</v>
      </c>
      <c r="E139" s="8">
        <v>4314727</v>
      </c>
      <c r="F139" s="7">
        <v>100</v>
      </c>
      <c r="G139" s="12" t="str">
        <f>[1]!SNLData("243327", C139, "OWNER_LIST")</f>
        <v>Tongling Nonferrous Metals Group Co.,Ltd.  100%</v>
      </c>
      <c r="H139" s="9">
        <f>[1]!SNLData("243327", C139, "OWNER_SNL_INSTN_KEY", "Owner 1")</f>
        <v>4314727</v>
      </c>
      <c r="I139" s="9" t="str">
        <f>[1]!SNLData("243327", C139, "OWNER_SNL_INSTN_KEY", "Owner 2")</f>
        <v>NA</v>
      </c>
      <c r="J139" s="12" t="str">
        <f>_xll.SNL.Clients.Office.Excel.Functions.SPG(H139, "SP_ULT_PARENT_COMPANY_NAME")</f>
        <v/>
      </c>
      <c r="K139" s="12" t="str">
        <f>_xll.SNL.Clients.Office.Excel.Functions.SPG(H139, "SP_ULT_PARENT_COUNTRY")</f>
        <v/>
      </c>
      <c r="L139" s="12" t="str">
        <f>_xll.SNL.Clients.Office.Excel.Functions.SPG(H139, "SP_PARENT_COMPANY_NAME")</f>
        <v/>
      </c>
      <c r="M139" s="12" t="str">
        <f>_xll.SNL.Clients.Office.Excel.Functions.SPG(H139, "SP_PARENT_COUNTRY")</f>
        <v/>
      </c>
      <c r="N139" s="12" t="str">
        <f>_xll.SNL.Clients.Office.Excel.Functions.SPG(H139, "SP_COUNTRY_NAME")</f>
        <v>China</v>
      </c>
      <c r="O139" s="12" t="str">
        <f>_xll.SNL.Clients.Office.Excel.Functions.SPG(I139, "SP_ULT_PARENT_COMPANY_NAME")</f>
        <v/>
      </c>
      <c r="P139" s="12" t="str">
        <f>_xll.SNL.Clients.Office.Excel.Functions.SPG(I139, "SP_ULT_PARENT_COUNTRY")</f>
        <v/>
      </c>
      <c r="Q139" s="12" t="str">
        <f>_xll.SNL.Clients.Office.Excel.Functions.SPG(I139, "SP_PARENT_COMPANY_NAME")</f>
        <v/>
      </c>
      <c r="R139" s="12" t="str">
        <f>_xll.SNL.Clients.Office.Excel.Functions.SPG(I139, "SP_PARENT_COUNTRY")</f>
        <v/>
      </c>
      <c r="S139" s="12" t="str">
        <f>_xll.SNL.Clients.Office.Excel.Functions.SPG(I139, "SP_COUNTRY_NAME")</f>
        <v>China</v>
      </c>
    </row>
    <row r="140" spans="1:19" x14ac:dyDescent="0.35">
      <c r="A140" s="5">
        <v>46022</v>
      </c>
      <c r="B140" s="4" t="s">
        <v>199</v>
      </c>
      <c r="C140" s="4" t="s">
        <v>200</v>
      </c>
      <c r="D140" s="4" t="s">
        <v>1025</v>
      </c>
      <c r="E140" s="8">
        <v>10947811</v>
      </c>
      <c r="F140" s="7">
        <v>100</v>
      </c>
      <c r="G140" s="12" t="str">
        <f>[1]!SNLData("243327", C140, "OWNER_LIST")</f>
        <v>Kunming Dongshen Mining Co., Ltd.  100%</v>
      </c>
      <c r="H140" s="9">
        <f>[1]!SNLData("243327", C140, "OWNER_SNL_INSTN_KEY", "Owner 1")</f>
        <v>10947811</v>
      </c>
      <c r="I140" s="9" t="str">
        <f>[1]!SNLData("243327", C140, "OWNER_SNL_INSTN_KEY", "Owner 2")</f>
        <v>NA</v>
      </c>
      <c r="J140" s="12" t="str">
        <f>_xll.SNL.Clients.Office.Excel.Functions.SPG(H140, "SP_ULT_PARENT_COMPANY_NAME")</f>
        <v/>
      </c>
      <c r="K140" s="12" t="str">
        <f>_xll.SNL.Clients.Office.Excel.Functions.SPG(H140, "SP_ULT_PARENT_COUNTRY")</f>
        <v/>
      </c>
      <c r="L140" s="12" t="str">
        <f>_xll.SNL.Clients.Office.Excel.Functions.SPG(H140, "SP_PARENT_COMPANY_NAME")</f>
        <v/>
      </c>
      <c r="M140" s="12" t="str">
        <f>_xll.SNL.Clients.Office.Excel.Functions.SPG(H140, "SP_PARENT_COUNTRY")</f>
        <v/>
      </c>
      <c r="N140" s="12" t="str">
        <f>_xll.SNL.Clients.Office.Excel.Functions.SPG(H140, "SP_COUNTRY_NAME")</f>
        <v>China</v>
      </c>
      <c r="O140" s="12" t="str">
        <f>_xll.SNL.Clients.Office.Excel.Functions.SPG(I140, "SP_ULT_PARENT_COMPANY_NAME")</f>
        <v/>
      </c>
      <c r="P140" s="12" t="str">
        <f>_xll.SNL.Clients.Office.Excel.Functions.SPG(I140, "SP_ULT_PARENT_COUNTRY")</f>
        <v/>
      </c>
      <c r="Q140" s="12" t="str">
        <f>_xll.SNL.Clients.Office.Excel.Functions.SPG(I140, "SP_PARENT_COMPANY_NAME")</f>
        <v/>
      </c>
      <c r="R140" s="12" t="str">
        <f>_xll.SNL.Clients.Office.Excel.Functions.SPG(I140, "SP_PARENT_COUNTRY")</f>
        <v/>
      </c>
      <c r="S140" s="12" t="str">
        <f>_xll.SNL.Clients.Office.Excel.Functions.SPG(I140, "SP_COUNTRY_NAME")</f>
        <v>China</v>
      </c>
    </row>
    <row r="141" spans="1:19" ht="72.5" x14ac:dyDescent="0.35">
      <c r="A141" s="5">
        <v>46022</v>
      </c>
      <c r="B141" s="4" t="s">
        <v>201</v>
      </c>
      <c r="C141" s="4" t="s">
        <v>202</v>
      </c>
      <c r="D141" s="4" t="s">
        <v>1026</v>
      </c>
      <c r="E141" s="8">
        <v>4403566</v>
      </c>
      <c r="F141" s="7">
        <v>100</v>
      </c>
      <c r="G141" s="12" t="str">
        <f>[1]!SNLData("243327", C141, "OWNER_LIST")</f>
        <v>Wancheng Commercial Dongshengmiao Co., Ltd.  100%</v>
      </c>
      <c r="H141" s="9">
        <f>[1]!SNLData("243327", C141, "OWNER_SNL_INSTN_KEY", "Owner 1")</f>
        <v>4403566</v>
      </c>
      <c r="I141" s="9" t="str">
        <f>[1]!SNLData("243327", C141, "OWNER_SNL_INSTN_KEY", "Owner 2")</f>
        <v>NA</v>
      </c>
      <c r="J141" s="12" t="str">
        <f>_xll.SNL.Clients.Office.Excel.Functions.SPG(H141, "SP_ULT_PARENT_COMPANY_NAME")</f>
        <v>Hainan Qianjinda Investment Company Limited</v>
      </c>
      <c r="K141" s="12" t="str">
        <f>_xll.SNL.Clients.Office.Excel.Functions.SPG(H141, "SP_ULT_PARENT_COUNTRY")</f>
        <v>China</v>
      </c>
      <c r="L141" s="12" t="str">
        <f>_xll.SNL.Clients.Office.Excel.Functions.SPG(H141, "SP_PARENT_COMPANY_NAME")</f>
        <v>Hainan Qianjinda Investment Company Limited</v>
      </c>
      <c r="M141" s="12" t="str">
        <f>_xll.SNL.Clients.Office.Excel.Functions.SPG(H141, "SP_PARENT_COUNTRY")</f>
        <v>China</v>
      </c>
      <c r="N141" s="12" t="str">
        <f>_xll.SNL.Clients.Office.Excel.Functions.SPG(H141, "SP_COUNTRY_NAME")</f>
        <v>China</v>
      </c>
      <c r="O141" s="12" t="str">
        <f>_xll.SNL.Clients.Office.Excel.Functions.SPG(I141, "SP_ULT_PARENT_COMPANY_NAME")</f>
        <v/>
      </c>
      <c r="P141" s="12" t="str">
        <f>_xll.SNL.Clients.Office.Excel.Functions.SPG(I141, "SP_ULT_PARENT_COUNTRY")</f>
        <v/>
      </c>
      <c r="Q141" s="12" t="str">
        <f>_xll.SNL.Clients.Office.Excel.Functions.SPG(I141, "SP_PARENT_COMPANY_NAME")</f>
        <v/>
      </c>
      <c r="R141" s="12" t="str">
        <f>_xll.SNL.Clients.Office.Excel.Functions.SPG(I141, "SP_PARENT_COUNTRY")</f>
        <v/>
      </c>
      <c r="S141" s="12" t="str">
        <f>_xll.SNL.Clients.Office.Excel.Functions.SPG(I141, "SP_COUNTRY_NAME")</f>
        <v>China</v>
      </c>
    </row>
    <row r="142" spans="1:19" x14ac:dyDescent="0.35">
      <c r="A142" s="5">
        <v>46022</v>
      </c>
      <c r="B142" s="4" t="s">
        <v>203</v>
      </c>
      <c r="C142" s="4" t="s">
        <v>204</v>
      </c>
      <c r="D142" s="4" t="s">
        <v>958</v>
      </c>
      <c r="E142" s="8">
        <v>4355642</v>
      </c>
      <c r="F142" s="7">
        <v>100</v>
      </c>
      <c r="G142" s="12" t="str">
        <f>[1]!SNLData("243327", C142, "OWNER_LIST")</f>
        <v>Zijin Mining Group Company Limited  100%</v>
      </c>
      <c r="H142" s="9">
        <f>[1]!SNLData("243327", C142, "OWNER_SNL_INSTN_KEY", "Owner 1")</f>
        <v>4355642</v>
      </c>
      <c r="I142" s="9" t="str">
        <f>[1]!SNLData("243327", C142, "OWNER_SNL_INSTN_KEY", "Owner 2")</f>
        <v>NA</v>
      </c>
      <c r="J142" s="12" t="str">
        <f>_xll.SNL.Clients.Office.Excel.Functions.SPG(H142, "SP_ULT_PARENT_COMPANY_NAME")</f>
        <v/>
      </c>
      <c r="K142" s="12" t="str">
        <f>_xll.SNL.Clients.Office.Excel.Functions.SPG(H142, "SP_ULT_PARENT_COUNTRY")</f>
        <v/>
      </c>
      <c r="L142" s="12" t="str">
        <f>_xll.SNL.Clients.Office.Excel.Functions.SPG(H142, "SP_PARENT_COMPANY_NAME")</f>
        <v/>
      </c>
      <c r="M142" s="12" t="str">
        <f>_xll.SNL.Clients.Office.Excel.Functions.SPG(H142, "SP_PARENT_COUNTRY")</f>
        <v/>
      </c>
      <c r="N142" s="12" t="str">
        <f>_xll.SNL.Clients.Office.Excel.Functions.SPG(H142, "SP_COUNTRY_NAME")</f>
        <v>China</v>
      </c>
      <c r="O142" s="12" t="str">
        <f>_xll.SNL.Clients.Office.Excel.Functions.SPG(I142, "SP_ULT_PARENT_COMPANY_NAME")</f>
        <v/>
      </c>
      <c r="P142" s="12" t="str">
        <f>_xll.SNL.Clients.Office.Excel.Functions.SPG(I142, "SP_ULT_PARENT_COUNTRY")</f>
        <v/>
      </c>
      <c r="Q142" s="12" t="str">
        <f>_xll.SNL.Clients.Office.Excel.Functions.SPG(I142, "SP_PARENT_COMPANY_NAME")</f>
        <v/>
      </c>
      <c r="R142" s="12" t="str">
        <f>_xll.SNL.Clients.Office.Excel.Functions.SPG(I142, "SP_PARENT_COUNTRY")</f>
        <v/>
      </c>
      <c r="S142" s="12" t="str">
        <f>_xll.SNL.Clients.Office.Excel.Functions.SPG(I142, "SP_COUNTRY_NAME")</f>
        <v>China</v>
      </c>
    </row>
    <row r="143" spans="1:19" x14ac:dyDescent="0.35">
      <c r="A143" s="5">
        <v>46022</v>
      </c>
      <c r="B143" s="4" t="s">
        <v>158</v>
      </c>
      <c r="C143" s="4" t="s">
        <v>159</v>
      </c>
      <c r="D143" s="4" t="s">
        <v>987</v>
      </c>
      <c r="E143" s="8">
        <v>4351931</v>
      </c>
      <c r="F143" s="7">
        <v>100</v>
      </c>
      <c r="G143" s="12" t="str">
        <f>[1]!SNLData("243327", C143, "OWNER_LIST")</f>
        <v>Talon Metals Corp.  100%</v>
      </c>
      <c r="H143" s="9">
        <f>[1]!SNLData("243327", C143, "OWNER_SNL_INSTN_KEY", "Owner 1")</f>
        <v>4354713</v>
      </c>
      <c r="I143" s="9" t="str">
        <f>[1]!SNLData("243327", C143, "OWNER_SNL_INSTN_KEY", "Owner 2")</f>
        <v>NA</v>
      </c>
      <c r="J143" s="12" t="str">
        <f>_xll.SNL.Clients.Office.Excel.Functions.SPG(H143, "SP_ULT_PARENT_COMPANY_NAME")</f>
        <v/>
      </c>
      <c r="K143" s="12" t="str">
        <f>_xll.SNL.Clients.Office.Excel.Functions.SPG(H143, "SP_ULT_PARENT_COUNTRY")</f>
        <v/>
      </c>
      <c r="L143" s="12" t="str">
        <f>_xll.SNL.Clients.Office.Excel.Functions.SPG(H143, "SP_PARENT_COMPANY_NAME")</f>
        <v/>
      </c>
      <c r="M143" s="12" t="str">
        <f>_xll.SNL.Clients.Office.Excel.Functions.SPG(H143, "SP_PARENT_COUNTRY")</f>
        <v/>
      </c>
      <c r="N143" s="12" t="str">
        <f>_xll.SNL.Clients.Office.Excel.Functions.SPG(H143, "SP_COUNTRY_NAME")</f>
        <v>BVI</v>
      </c>
      <c r="O143" s="12" t="str">
        <f>_xll.SNL.Clients.Office.Excel.Functions.SPG(I143, "SP_ULT_PARENT_COMPANY_NAME")</f>
        <v/>
      </c>
      <c r="P143" s="12" t="str">
        <f>_xll.SNL.Clients.Office.Excel.Functions.SPG(I143, "SP_ULT_PARENT_COUNTRY")</f>
        <v/>
      </c>
      <c r="Q143" s="12" t="str">
        <f>_xll.SNL.Clients.Office.Excel.Functions.SPG(I143, "SP_PARENT_COMPANY_NAME")</f>
        <v/>
      </c>
      <c r="R143" s="12" t="str">
        <f>_xll.SNL.Clients.Office.Excel.Functions.SPG(I143, "SP_PARENT_COUNTRY")</f>
        <v/>
      </c>
      <c r="S143" s="12" t="str">
        <f>_xll.SNL.Clients.Office.Excel.Functions.SPG(I143, "SP_COUNTRY_NAME")</f>
        <v>China</v>
      </c>
    </row>
    <row r="144" spans="1:19" ht="29" x14ac:dyDescent="0.35">
      <c r="A144" s="5">
        <v>46022</v>
      </c>
      <c r="B144" s="4" t="s">
        <v>160</v>
      </c>
      <c r="C144" s="4" t="s">
        <v>161</v>
      </c>
      <c r="D144" s="4" t="s">
        <v>940</v>
      </c>
      <c r="E144" s="8">
        <v>4199214</v>
      </c>
      <c r="F144" s="7">
        <v>100</v>
      </c>
      <c r="G144" s="12" t="str">
        <f>[1]!SNLData("243327", C144, "OWNER_LIST")</f>
        <v>KAZ Minerals Limited  100%</v>
      </c>
      <c r="H144" s="9">
        <f>[1]!SNLData("243327", C144, "OWNER_SNL_INSTN_KEY", "Owner 1")</f>
        <v>4199214</v>
      </c>
      <c r="I144" s="9" t="str">
        <f>[1]!SNLData("243327", C144, "OWNER_SNL_INSTN_KEY", "Owner 2")</f>
        <v>NA</v>
      </c>
      <c r="J144" s="12" t="str">
        <f>_xll.SNL.Clients.Office.Excel.Functions.SPG(H144, "SP_ULT_PARENT_COMPANY_NAME")</f>
        <v>Trianon Limited</v>
      </c>
      <c r="K144" s="12" t="str">
        <f>_xll.SNL.Clients.Office.Excel.Functions.SPG(H144, "SP_ULT_PARENT_COUNTRY")</f>
        <v>Kazakhstan</v>
      </c>
      <c r="L144" s="12" t="str">
        <f>_xll.SNL.Clients.Office.Excel.Functions.SPG(H144, "SP_PARENT_COMPANY_NAME")</f>
        <v>Nova Resources B.V.</v>
      </c>
      <c r="M144" s="12" t="str">
        <f>_xll.SNL.Clients.Office.Excel.Functions.SPG(H144, "SP_PARENT_COUNTRY")</f>
        <v>Netherlands</v>
      </c>
      <c r="N144" s="12" t="str">
        <f>_xll.SNL.Clients.Office.Excel.Functions.SPG(H144, "SP_COUNTRY_NAME")</f>
        <v>United Kingdom</v>
      </c>
      <c r="O144" s="12" t="str">
        <f>_xll.SNL.Clients.Office.Excel.Functions.SPG(I144, "SP_ULT_PARENT_COMPANY_NAME")</f>
        <v/>
      </c>
      <c r="P144" s="12" t="str">
        <f>_xll.SNL.Clients.Office.Excel.Functions.SPG(I144, "SP_ULT_PARENT_COUNTRY")</f>
        <v/>
      </c>
      <c r="Q144" s="12" t="str">
        <f>_xll.SNL.Clients.Office.Excel.Functions.SPG(I144, "SP_PARENT_COMPANY_NAME")</f>
        <v/>
      </c>
      <c r="R144" s="12" t="str">
        <f>_xll.SNL.Clients.Office.Excel.Functions.SPG(I144, "SP_PARENT_COUNTRY")</f>
        <v/>
      </c>
      <c r="S144" s="12" t="str">
        <f>_xll.SNL.Clients.Office.Excel.Functions.SPG(I144, "SP_COUNTRY_NAME")</f>
        <v>China</v>
      </c>
    </row>
    <row r="145" spans="1:19" ht="58" x14ac:dyDescent="0.35">
      <c r="A145" s="5">
        <v>46022</v>
      </c>
      <c r="B145" s="4" t="s">
        <v>205</v>
      </c>
      <c r="C145" s="4" t="s">
        <v>206</v>
      </c>
      <c r="D145" s="4" t="s">
        <v>941</v>
      </c>
      <c r="E145" s="8">
        <v>4355482</v>
      </c>
      <c r="F145" s="7">
        <v>100</v>
      </c>
      <c r="G145" s="12" t="str">
        <f>[1]!SNLData("243327", C145, "OWNER_LIST")</f>
        <v>Xinjiang Xinxin Mining Industry Co., Ltd.  100%</v>
      </c>
      <c r="H145" s="9">
        <f>[1]!SNLData("243327", C145, "OWNER_SNL_INSTN_KEY", "Owner 1")</f>
        <v>4355482</v>
      </c>
      <c r="I145" s="9" t="str">
        <f>[1]!SNLData("243327", C145, "OWNER_SNL_INSTN_KEY", "Owner 2")</f>
        <v>NA</v>
      </c>
      <c r="J145" s="12" t="str">
        <f>_xll.SNL.Clients.Office.Excel.Functions.SPG(H145, "SP_ULT_PARENT_COMPANY_NAME")</f>
        <v>Xinjiang NonFerrous Metal Industry (Group) Co.Ltd</v>
      </c>
      <c r="K145" s="12" t="str">
        <f>_xll.SNL.Clients.Office.Excel.Functions.SPG(H145, "SP_ULT_PARENT_COUNTRY")</f>
        <v>China</v>
      </c>
      <c r="L145" s="12" t="str">
        <f>_xll.SNL.Clients.Office.Excel.Functions.SPG(H145, "SP_PARENT_COMPANY_NAME")</f>
        <v>Xinjiang NonFerrous Metal Industry (Group) Co.Ltd</v>
      </c>
      <c r="M145" s="12" t="str">
        <f>_xll.SNL.Clients.Office.Excel.Functions.SPG(H145, "SP_PARENT_COUNTRY")</f>
        <v>China</v>
      </c>
      <c r="N145" s="12" t="str">
        <f>_xll.SNL.Clients.Office.Excel.Functions.SPG(H145, "SP_COUNTRY_NAME")</f>
        <v>China</v>
      </c>
      <c r="O145" s="12" t="str">
        <f>_xll.SNL.Clients.Office.Excel.Functions.SPG(I145, "SP_ULT_PARENT_COMPANY_NAME")</f>
        <v/>
      </c>
      <c r="P145" s="12" t="str">
        <f>_xll.SNL.Clients.Office.Excel.Functions.SPG(I145, "SP_ULT_PARENT_COUNTRY")</f>
        <v/>
      </c>
      <c r="Q145" s="12" t="str">
        <f>_xll.SNL.Clients.Office.Excel.Functions.SPG(I145, "SP_PARENT_COMPANY_NAME")</f>
        <v/>
      </c>
      <c r="R145" s="12" t="str">
        <f>_xll.SNL.Clients.Office.Excel.Functions.SPG(I145, "SP_PARENT_COUNTRY")</f>
        <v/>
      </c>
      <c r="S145" s="12" t="str">
        <f>_xll.SNL.Clients.Office.Excel.Functions.SPG(I145, "SP_COUNTRY_NAME")</f>
        <v>China</v>
      </c>
    </row>
    <row r="146" spans="1:19" ht="43.5" x14ac:dyDescent="0.35">
      <c r="A146" s="5">
        <v>46022</v>
      </c>
      <c r="B146" s="4" t="s">
        <v>310</v>
      </c>
      <c r="C146" s="4" t="s">
        <v>311</v>
      </c>
      <c r="D146" s="4" t="s">
        <v>945</v>
      </c>
      <c r="E146" s="8">
        <v>4349314</v>
      </c>
      <c r="F146" s="7">
        <v>49</v>
      </c>
      <c r="G146" s="12" t="str">
        <f>[1]!SNLData("243327", C146, "OWNER_LIST")</f>
        <v>Corporación Nacional del Cobre de Chile (Venturer) 49%; Freeport-McMoRan Inc. (Venturer) 51%</v>
      </c>
      <c r="H146" s="9">
        <f>[1]!SNLData("243327", C146, "OWNER_SNL_INSTN_KEY", "Owner 1")</f>
        <v>4004107</v>
      </c>
      <c r="I146" s="9">
        <f>[1]!SNLData("243327", C146, "OWNER_SNL_INSTN_KEY", "Owner 2")</f>
        <v>4349314</v>
      </c>
      <c r="J146" s="12" t="str">
        <f>_xll.SNL.Clients.Office.Excel.Functions.SPG(H146, "SP_ULT_PARENT_COMPANY_NAME")</f>
        <v/>
      </c>
      <c r="K146" s="12" t="str">
        <f>_xll.SNL.Clients.Office.Excel.Functions.SPG(H146, "SP_ULT_PARENT_COUNTRY")</f>
        <v/>
      </c>
      <c r="L146" s="12" t="str">
        <f>_xll.SNL.Clients.Office.Excel.Functions.SPG(H146, "SP_PARENT_COMPANY_NAME")</f>
        <v/>
      </c>
      <c r="M146" s="12" t="str">
        <f>_xll.SNL.Clients.Office.Excel.Functions.SPG(H146, "SP_PARENT_COUNTRY")</f>
        <v/>
      </c>
      <c r="N146" s="12" t="str">
        <f>_xll.SNL.Clients.Office.Excel.Functions.SPG(H146, "SP_COUNTRY_NAME")</f>
        <v>USA</v>
      </c>
      <c r="O146" s="12" t="str">
        <f>_xll.SNL.Clients.Office.Excel.Functions.SPG(I146, "SP_ULT_PARENT_COMPANY_NAME")</f>
        <v>Chile</v>
      </c>
      <c r="P146" s="12" t="str">
        <f>_xll.SNL.Clients.Office.Excel.Functions.SPG(I146, "SP_ULT_PARENT_COUNTRY")</f>
        <v>Chile</v>
      </c>
      <c r="Q146" s="12" t="str">
        <f>_xll.SNL.Clients.Office.Excel.Functions.SPG(I146, "SP_PARENT_COMPANY_NAME")</f>
        <v>Chile</v>
      </c>
      <c r="R146" s="12" t="str">
        <f>_xll.SNL.Clients.Office.Excel.Functions.SPG(I146, "SP_PARENT_COUNTRY")</f>
        <v>Chile</v>
      </c>
      <c r="S146" s="12" t="str">
        <f>_xll.SNL.Clients.Office.Excel.Functions.SPG(I146, "SP_COUNTRY_NAME")</f>
        <v>Chile</v>
      </c>
    </row>
    <row r="147" spans="1:19" ht="43.5" x14ac:dyDescent="0.35">
      <c r="A147" s="5">
        <v>46022</v>
      </c>
      <c r="B147" s="4" t="s">
        <v>310</v>
      </c>
      <c r="C147" s="4" t="s">
        <v>311</v>
      </c>
      <c r="D147" s="4" t="s">
        <v>963</v>
      </c>
      <c r="E147" s="8">
        <v>4004107</v>
      </c>
      <c r="F147" s="7">
        <v>51</v>
      </c>
      <c r="G147" s="12" t="str">
        <f>[1]!SNLData("243327", C147, "OWNER_LIST")</f>
        <v>Corporación Nacional del Cobre de Chile (Venturer) 49%; Freeport-McMoRan Inc. (Venturer) 51%</v>
      </c>
      <c r="H147" s="9">
        <f>[1]!SNLData("243327", C147, "OWNER_SNL_INSTN_KEY", "Owner 1")</f>
        <v>4004107</v>
      </c>
      <c r="I147" s="9">
        <f>[1]!SNLData("243327", C147, "OWNER_SNL_INSTN_KEY", "Owner 2")</f>
        <v>4349314</v>
      </c>
      <c r="J147" s="12" t="str">
        <f>_xll.SNL.Clients.Office.Excel.Functions.SPG(H147, "SP_ULT_PARENT_COMPANY_NAME")</f>
        <v/>
      </c>
      <c r="K147" s="12" t="str">
        <f>_xll.SNL.Clients.Office.Excel.Functions.SPG(H147, "SP_ULT_PARENT_COUNTRY")</f>
        <v/>
      </c>
      <c r="L147" s="12" t="str">
        <f>_xll.SNL.Clients.Office.Excel.Functions.SPG(H147, "SP_PARENT_COMPANY_NAME")</f>
        <v/>
      </c>
      <c r="M147" s="12" t="str">
        <f>_xll.SNL.Clients.Office.Excel.Functions.SPG(H147, "SP_PARENT_COUNTRY")</f>
        <v/>
      </c>
      <c r="N147" s="12" t="str">
        <f>_xll.SNL.Clients.Office.Excel.Functions.SPG(H147, "SP_COUNTRY_NAME")</f>
        <v>USA</v>
      </c>
      <c r="O147" s="12" t="str">
        <f>_xll.SNL.Clients.Office.Excel.Functions.SPG(I147, "SP_ULT_PARENT_COMPANY_NAME")</f>
        <v>Chile</v>
      </c>
      <c r="P147" s="12" t="str">
        <f>_xll.SNL.Clients.Office.Excel.Functions.SPG(I147, "SP_ULT_PARENT_COUNTRY")</f>
        <v>Chile</v>
      </c>
      <c r="Q147" s="12" t="str">
        <f>_xll.SNL.Clients.Office.Excel.Functions.SPG(I147, "SP_PARENT_COMPANY_NAME")</f>
        <v>Chile</v>
      </c>
      <c r="R147" s="12" t="str">
        <f>_xll.SNL.Clients.Office.Excel.Functions.SPG(I147, "SP_PARENT_COUNTRY")</f>
        <v>Chile</v>
      </c>
      <c r="S147" s="12" t="str">
        <f>_xll.SNL.Clients.Office.Excel.Functions.SPG(I147, "SP_COUNTRY_NAME")</f>
        <v>Chile</v>
      </c>
    </row>
    <row r="148" spans="1:19" ht="43.5" x14ac:dyDescent="0.35">
      <c r="A148" s="5">
        <v>46022</v>
      </c>
      <c r="B148" s="4" t="s">
        <v>207</v>
      </c>
      <c r="C148" s="4" t="s">
        <v>208</v>
      </c>
      <c r="D148" s="4" t="s">
        <v>1000</v>
      </c>
      <c r="E148" s="8">
        <v>4349204</v>
      </c>
      <c r="F148" s="7">
        <v>61.43</v>
      </c>
      <c r="G148" s="12" t="str">
        <f>[1]!SNLData("243327", C148, "OWNER_LIST")</f>
        <v>Compañía de Minas Buenaventura S.A.A. (Venturer) 61.43%; Unnamed Owner (Fractional) %</v>
      </c>
      <c r="H148" s="9">
        <f>[1]!SNLData("243327", C148, "OWNER_SNL_INSTN_KEY", "Owner 1")</f>
        <v>4349204</v>
      </c>
      <c r="I148" s="9">
        <f>[1]!SNLData("243327", C148, "OWNER_SNL_INSTN_KEY", "Owner 2")</f>
        <v>4400798</v>
      </c>
      <c r="J148" s="12" t="str">
        <f>_xll.SNL.Clients.Office.Excel.Functions.SPG(H148, "SP_ULT_PARENT_COMPANY_NAME")</f>
        <v/>
      </c>
      <c r="K148" s="12" t="str">
        <f>_xll.SNL.Clients.Office.Excel.Functions.SPG(H148, "SP_ULT_PARENT_COUNTRY")</f>
        <v/>
      </c>
      <c r="L148" s="12" t="str">
        <f>_xll.SNL.Clients.Office.Excel.Functions.SPG(H148, "SP_PARENT_COMPANY_NAME")</f>
        <v/>
      </c>
      <c r="M148" s="12" t="str">
        <f>_xll.SNL.Clients.Office.Excel.Functions.SPG(H148, "SP_PARENT_COUNTRY")</f>
        <v/>
      </c>
      <c r="N148" s="12" t="str">
        <f>_xll.SNL.Clients.Office.Excel.Functions.SPG(H148, "SP_COUNTRY_NAME")</f>
        <v>Peru</v>
      </c>
      <c r="O148" s="12" t="str">
        <f>_xll.SNL.Clients.Office.Excel.Functions.SPG(I148, "SP_ULT_PARENT_COMPANY_NAME")</f>
        <v/>
      </c>
      <c r="P148" s="12" t="str">
        <f>_xll.SNL.Clients.Office.Excel.Functions.SPG(I148, "SP_ULT_PARENT_COUNTRY")</f>
        <v/>
      </c>
      <c r="Q148" s="12" t="str">
        <f>_xll.SNL.Clients.Office.Excel.Functions.SPG(I148, "SP_PARENT_COMPANY_NAME")</f>
        <v/>
      </c>
      <c r="R148" s="12" t="str">
        <f>_xll.SNL.Clients.Office.Excel.Functions.SPG(I148, "SP_PARENT_COUNTRY")</f>
        <v/>
      </c>
      <c r="S148" s="12" t="str">
        <f>_xll.SNL.Clients.Office.Excel.Functions.SPG(I148, "SP_COUNTRY_NAME")</f>
        <v>USA</v>
      </c>
    </row>
    <row r="149" spans="1:19" ht="58" x14ac:dyDescent="0.35">
      <c r="A149" s="5">
        <v>46022</v>
      </c>
      <c r="B149" s="4" t="s">
        <v>720</v>
      </c>
      <c r="C149" s="4" t="s">
        <v>721</v>
      </c>
      <c r="D149" s="4" t="s">
        <v>999</v>
      </c>
      <c r="E149" s="8">
        <v>4349227</v>
      </c>
      <c r="F149" s="7">
        <v>100</v>
      </c>
      <c r="G149" s="12" t="str">
        <f>[1]!SNLData("243327", C149, "OWNER_LIST")</f>
        <v>Nexa Resources Perú S.A.A.  100%</v>
      </c>
      <c r="H149" s="9">
        <f>[1]!SNLData("243327", C149, "OWNER_SNL_INSTN_KEY", "Owner 1")</f>
        <v>4349227</v>
      </c>
      <c r="I149" s="9" t="str">
        <f>[1]!SNLData("243327", C149, "OWNER_SNL_INSTN_KEY", "Owner 2")</f>
        <v>NA</v>
      </c>
      <c r="J149" s="12" t="str">
        <f>_xll.SNL.Clients.Office.Excel.Functions.SPG(H149, "SP_ULT_PARENT_COMPANY_NAME")</f>
        <v>JEMF Participações S.A.</v>
      </c>
      <c r="K149" s="12" t="str">
        <f>_xll.SNL.Clients.Office.Excel.Functions.SPG(H149, "SP_ULT_PARENT_COUNTRY")</f>
        <v>Brazil</v>
      </c>
      <c r="L149" s="12" t="str">
        <f>_xll.SNL.Clients.Office.Excel.Functions.SPG(H149, "SP_PARENT_COMPANY_NAME")</f>
        <v>Nexa Resources - Cajamarquilla S.A.</v>
      </c>
      <c r="M149" s="12" t="str">
        <f>_xll.SNL.Clients.Office.Excel.Functions.SPG(H149, "SP_PARENT_COUNTRY")</f>
        <v>Peru</v>
      </c>
      <c r="N149" s="12" t="str">
        <f>_xll.SNL.Clients.Office.Excel.Functions.SPG(H149, "SP_COUNTRY_NAME")</f>
        <v>Peru</v>
      </c>
      <c r="O149" s="12" t="str">
        <f>_xll.SNL.Clients.Office.Excel.Functions.SPG(I149, "SP_ULT_PARENT_COMPANY_NAME")</f>
        <v/>
      </c>
      <c r="P149" s="12" t="str">
        <f>_xll.SNL.Clients.Office.Excel.Functions.SPG(I149, "SP_ULT_PARENT_COUNTRY")</f>
        <v/>
      </c>
      <c r="Q149" s="12" t="str">
        <f>_xll.SNL.Clients.Office.Excel.Functions.SPG(I149, "SP_PARENT_COMPANY_NAME")</f>
        <v/>
      </c>
      <c r="R149" s="12" t="str">
        <f>_xll.SNL.Clients.Office.Excel.Functions.SPG(I149, "SP_PARENT_COUNTRY")</f>
        <v/>
      </c>
      <c r="S149" s="12" t="str">
        <f>_xll.SNL.Clients.Office.Excel.Functions.SPG(I149, "SP_COUNTRY_NAME")</f>
        <v>China</v>
      </c>
    </row>
    <row r="150" spans="1:19" ht="72.5" x14ac:dyDescent="0.35">
      <c r="A150" s="5">
        <v>46022</v>
      </c>
      <c r="B150" s="4" t="s">
        <v>162</v>
      </c>
      <c r="C150" s="4" t="s">
        <v>163</v>
      </c>
      <c r="D150" s="4" t="s">
        <v>1007</v>
      </c>
      <c r="E150" s="8">
        <v>4193273</v>
      </c>
      <c r="F150" s="7">
        <v>50.06</v>
      </c>
      <c r="G150" s="12" t="str">
        <f>[1]!SNLData("243327", C150, "OWNER_LIST")</f>
        <v>Anglo American plc (Venturer) 50.06%; Mitsubishi Corporation (Venturer) 20.44%; Corporación Nacional del Cobre de Chile (Venturer) 20%; Mitsui &amp; Co., Ltd. (Venturer) 9.5%</v>
      </c>
      <c r="H150" s="9">
        <f>[1]!SNLData("243327", C150, "OWNER_SNL_INSTN_KEY", "Owner 1")</f>
        <v>4193273</v>
      </c>
      <c r="I150" s="9">
        <f>[1]!SNLData("243327", C150, "OWNER_SNL_INSTN_KEY", "Owner 2")</f>
        <v>4065098</v>
      </c>
      <c r="J150" s="12" t="str">
        <f>_xll.SNL.Clients.Office.Excel.Functions.SPG(H150, "SP_ULT_PARENT_COMPANY_NAME")</f>
        <v/>
      </c>
      <c r="K150" s="12" t="str">
        <f>_xll.SNL.Clients.Office.Excel.Functions.SPG(H150, "SP_ULT_PARENT_COUNTRY")</f>
        <v/>
      </c>
      <c r="L150" s="12" t="str">
        <f>_xll.SNL.Clients.Office.Excel.Functions.SPG(H150, "SP_PARENT_COMPANY_NAME")</f>
        <v/>
      </c>
      <c r="M150" s="12" t="str">
        <f>_xll.SNL.Clients.Office.Excel.Functions.SPG(H150, "SP_PARENT_COUNTRY")</f>
        <v/>
      </c>
      <c r="N150" s="12" t="str">
        <f>_xll.SNL.Clients.Office.Excel.Functions.SPG(H150, "SP_COUNTRY_NAME")</f>
        <v>United Kingdom</v>
      </c>
      <c r="O150" s="12" t="str">
        <f>_xll.SNL.Clients.Office.Excel.Functions.SPG(I150, "SP_ULT_PARENT_COMPANY_NAME")</f>
        <v/>
      </c>
      <c r="P150" s="12" t="str">
        <f>_xll.SNL.Clients.Office.Excel.Functions.SPG(I150, "SP_ULT_PARENT_COUNTRY")</f>
        <v/>
      </c>
      <c r="Q150" s="12" t="str">
        <f>_xll.SNL.Clients.Office.Excel.Functions.SPG(I150, "SP_PARENT_COMPANY_NAME")</f>
        <v/>
      </c>
      <c r="R150" s="12" t="str">
        <f>_xll.SNL.Clients.Office.Excel.Functions.SPG(I150, "SP_PARENT_COUNTRY")</f>
        <v/>
      </c>
      <c r="S150" s="12" t="str">
        <f>_xll.SNL.Clients.Office.Excel.Functions.SPG(I150, "SP_COUNTRY_NAME")</f>
        <v>Japan</v>
      </c>
    </row>
    <row r="151" spans="1:19" ht="72.5" x14ac:dyDescent="0.35">
      <c r="A151" s="5">
        <v>46022</v>
      </c>
      <c r="B151" s="4" t="s">
        <v>162</v>
      </c>
      <c r="C151" s="4" t="s">
        <v>163</v>
      </c>
      <c r="D151" s="4" t="s">
        <v>945</v>
      </c>
      <c r="E151" s="8">
        <v>4349314</v>
      </c>
      <c r="F151" s="7">
        <v>20</v>
      </c>
      <c r="G151" s="12" t="str">
        <f>[1]!SNLData("243327", C151, "OWNER_LIST")</f>
        <v>Anglo American plc (Venturer) 50.06%; Mitsubishi Corporation (Venturer) 20.44%; Corporación Nacional del Cobre de Chile (Venturer) 20%; Mitsui &amp; Co., Ltd. (Venturer) 9.5%</v>
      </c>
      <c r="H151" s="9">
        <f>[1]!SNLData("243327", C151, "OWNER_SNL_INSTN_KEY", "Owner 1")</f>
        <v>4193273</v>
      </c>
      <c r="I151" s="9">
        <f>[1]!SNLData("243327", C151, "OWNER_SNL_INSTN_KEY", "Owner 2")</f>
        <v>4065098</v>
      </c>
      <c r="J151" s="12" t="str">
        <f>_xll.SNL.Clients.Office.Excel.Functions.SPG(H151, "SP_ULT_PARENT_COMPANY_NAME")</f>
        <v/>
      </c>
      <c r="K151" s="12" t="str">
        <f>_xll.SNL.Clients.Office.Excel.Functions.SPG(H151, "SP_ULT_PARENT_COUNTRY")</f>
        <v/>
      </c>
      <c r="L151" s="12" t="str">
        <f>_xll.SNL.Clients.Office.Excel.Functions.SPG(H151, "SP_PARENT_COMPANY_NAME")</f>
        <v/>
      </c>
      <c r="M151" s="12" t="str">
        <f>_xll.SNL.Clients.Office.Excel.Functions.SPG(H151, "SP_PARENT_COUNTRY")</f>
        <v/>
      </c>
      <c r="N151" s="12" t="str">
        <f>_xll.SNL.Clients.Office.Excel.Functions.SPG(H151, "SP_COUNTRY_NAME")</f>
        <v>United Kingdom</v>
      </c>
      <c r="O151" s="12" t="str">
        <f>_xll.SNL.Clients.Office.Excel.Functions.SPG(I151, "SP_ULT_PARENT_COMPANY_NAME")</f>
        <v/>
      </c>
      <c r="P151" s="12" t="str">
        <f>_xll.SNL.Clients.Office.Excel.Functions.SPG(I151, "SP_ULT_PARENT_COUNTRY")</f>
        <v/>
      </c>
      <c r="Q151" s="12" t="str">
        <f>_xll.SNL.Clients.Office.Excel.Functions.SPG(I151, "SP_PARENT_COMPANY_NAME")</f>
        <v/>
      </c>
      <c r="R151" s="12" t="str">
        <f>_xll.SNL.Clients.Office.Excel.Functions.SPG(I151, "SP_PARENT_COUNTRY")</f>
        <v/>
      </c>
      <c r="S151" s="12" t="str">
        <f>_xll.SNL.Clients.Office.Excel.Functions.SPG(I151, "SP_COUNTRY_NAME")</f>
        <v>Japan</v>
      </c>
    </row>
    <row r="152" spans="1:19" ht="72.5" x14ac:dyDescent="0.35">
      <c r="A152" s="5">
        <v>46022</v>
      </c>
      <c r="B152" s="4" t="s">
        <v>162</v>
      </c>
      <c r="C152" s="4" t="s">
        <v>163</v>
      </c>
      <c r="D152" s="4" t="s">
        <v>949</v>
      </c>
      <c r="E152" s="8">
        <v>4065098</v>
      </c>
      <c r="F152" s="7">
        <v>20.440000000000001</v>
      </c>
      <c r="G152" s="12" t="str">
        <f>[1]!SNLData("243327", C152, "OWNER_LIST")</f>
        <v>Anglo American plc (Venturer) 50.06%; Mitsubishi Corporation (Venturer) 20.44%; Corporación Nacional del Cobre de Chile (Venturer) 20%; Mitsui &amp; Co., Ltd. (Venturer) 9.5%</v>
      </c>
      <c r="H152" s="9">
        <f>[1]!SNLData("243327", C152, "OWNER_SNL_INSTN_KEY", "Owner 1")</f>
        <v>4193273</v>
      </c>
      <c r="I152" s="9">
        <f>[1]!SNLData("243327", C152, "OWNER_SNL_INSTN_KEY", "Owner 2")</f>
        <v>4065098</v>
      </c>
      <c r="J152" s="12" t="str">
        <f>_xll.SNL.Clients.Office.Excel.Functions.SPG(H152, "SP_ULT_PARENT_COMPANY_NAME")</f>
        <v/>
      </c>
      <c r="K152" s="12" t="str">
        <f>_xll.SNL.Clients.Office.Excel.Functions.SPG(H152, "SP_ULT_PARENT_COUNTRY")</f>
        <v/>
      </c>
      <c r="L152" s="12" t="str">
        <f>_xll.SNL.Clients.Office.Excel.Functions.SPG(H152, "SP_PARENT_COMPANY_NAME")</f>
        <v/>
      </c>
      <c r="M152" s="12" t="str">
        <f>_xll.SNL.Clients.Office.Excel.Functions.SPG(H152, "SP_PARENT_COUNTRY")</f>
        <v/>
      </c>
      <c r="N152" s="12" t="str">
        <f>_xll.SNL.Clients.Office.Excel.Functions.SPG(H152, "SP_COUNTRY_NAME")</f>
        <v>United Kingdom</v>
      </c>
      <c r="O152" s="12" t="str">
        <f>_xll.SNL.Clients.Office.Excel.Functions.SPG(I152, "SP_ULT_PARENT_COMPANY_NAME")</f>
        <v/>
      </c>
      <c r="P152" s="12" t="str">
        <f>_xll.SNL.Clients.Office.Excel.Functions.SPG(I152, "SP_ULT_PARENT_COUNTRY")</f>
        <v/>
      </c>
      <c r="Q152" s="12" t="str">
        <f>_xll.SNL.Clients.Office.Excel.Functions.SPG(I152, "SP_PARENT_COMPANY_NAME")</f>
        <v/>
      </c>
      <c r="R152" s="12" t="str">
        <f>_xll.SNL.Clients.Office.Excel.Functions.SPG(I152, "SP_PARENT_COUNTRY")</f>
        <v/>
      </c>
      <c r="S152" s="12" t="str">
        <f>_xll.SNL.Clients.Office.Excel.Functions.SPG(I152, "SP_COUNTRY_NAME")</f>
        <v>Japan</v>
      </c>
    </row>
    <row r="153" spans="1:19" ht="72.5" x14ac:dyDescent="0.35">
      <c r="A153" s="5">
        <v>46022</v>
      </c>
      <c r="B153" s="4" t="s">
        <v>162</v>
      </c>
      <c r="C153" s="4" t="s">
        <v>163</v>
      </c>
      <c r="D153" s="4" t="s">
        <v>1008</v>
      </c>
      <c r="E153" s="8">
        <v>4086798</v>
      </c>
      <c r="F153" s="7">
        <v>9.5</v>
      </c>
      <c r="G153" s="12" t="str">
        <f>[1]!SNLData("243327", C153, "OWNER_LIST")</f>
        <v>Anglo American plc (Venturer) 50.06%; Mitsubishi Corporation (Venturer) 20.44%; Corporación Nacional del Cobre de Chile (Venturer) 20%; Mitsui &amp; Co., Ltd. (Venturer) 9.5%</v>
      </c>
      <c r="H153" s="9">
        <f>[1]!SNLData("243327", C153, "OWNER_SNL_INSTN_KEY", "Owner 1")</f>
        <v>4193273</v>
      </c>
      <c r="I153" s="9">
        <f>[1]!SNLData("243327", C153, "OWNER_SNL_INSTN_KEY", "Owner 2")</f>
        <v>4065098</v>
      </c>
      <c r="J153" s="12" t="str">
        <f>_xll.SNL.Clients.Office.Excel.Functions.SPG(H153, "SP_ULT_PARENT_COMPANY_NAME")</f>
        <v/>
      </c>
      <c r="K153" s="12" t="str">
        <f>_xll.SNL.Clients.Office.Excel.Functions.SPG(H153, "SP_ULT_PARENT_COUNTRY")</f>
        <v/>
      </c>
      <c r="L153" s="12" t="str">
        <f>_xll.SNL.Clients.Office.Excel.Functions.SPG(H153, "SP_PARENT_COMPANY_NAME")</f>
        <v/>
      </c>
      <c r="M153" s="12" t="str">
        <f>_xll.SNL.Clients.Office.Excel.Functions.SPG(H153, "SP_PARENT_COUNTRY")</f>
        <v/>
      </c>
      <c r="N153" s="12" t="str">
        <f>_xll.SNL.Clients.Office.Excel.Functions.SPG(H153, "SP_COUNTRY_NAME")</f>
        <v>United Kingdom</v>
      </c>
      <c r="O153" s="12" t="str">
        <f>_xll.SNL.Clients.Office.Excel.Functions.SPG(I153, "SP_ULT_PARENT_COMPANY_NAME")</f>
        <v/>
      </c>
      <c r="P153" s="12" t="str">
        <f>_xll.SNL.Clients.Office.Excel.Functions.SPG(I153, "SP_ULT_PARENT_COUNTRY")</f>
        <v/>
      </c>
      <c r="Q153" s="12" t="str">
        <f>_xll.SNL.Clients.Office.Excel.Functions.SPG(I153, "SP_PARENT_COMPANY_NAME")</f>
        <v/>
      </c>
      <c r="R153" s="12" t="str">
        <f>_xll.SNL.Clients.Office.Excel.Functions.SPG(I153, "SP_PARENT_COUNTRY")</f>
        <v/>
      </c>
      <c r="S153" s="12" t="str">
        <f>_xll.SNL.Clients.Office.Excel.Functions.SPG(I153, "SP_COUNTRY_NAME")</f>
        <v>Japan</v>
      </c>
    </row>
    <row r="154" spans="1:19" x14ac:dyDescent="0.35">
      <c r="A154" s="5">
        <v>46022</v>
      </c>
      <c r="B154" s="4" t="s">
        <v>340</v>
      </c>
      <c r="C154" s="4" t="s">
        <v>341</v>
      </c>
      <c r="D154" s="4" t="s">
        <v>945</v>
      </c>
      <c r="E154" s="8">
        <v>4349314</v>
      </c>
      <c r="F154" s="7">
        <v>100</v>
      </c>
      <c r="G154" s="12" t="str">
        <f>[1]!SNLData("243327", C154, "OWNER_LIST")</f>
        <v>Corporación Nacional del Cobre de Chile  100%</v>
      </c>
      <c r="H154" s="9">
        <f>[1]!SNLData("243327", C154, "OWNER_SNL_INSTN_KEY", "Owner 1")</f>
        <v>4349314</v>
      </c>
      <c r="I154" s="9" t="str">
        <f>[1]!SNLData("243327", C154, "OWNER_SNL_INSTN_KEY", "Owner 2")</f>
        <v>NA</v>
      </c>
      <c r="J154" s="12" t="str">
        <f>_xll.SNL.Clients.Office.Excel.Functions.SPG(H154, "SP_ULT_PARENT_COMPANY_NAME")</f>
        <v>Chile</v>
      </c>
      <c r="K154" s="12" t="str">
        <f>_xll.SNL.Clients.Office.Excel.Functions.SPG(H154, "SP_ULT_PARENT_COUNTRY")</f>
        <v>Chile</v>
      </c>
      <c r="L154" s="12" t="str">
        <f>_xll.SNL.Clients.Office.Excel.Functions.SPG(H154, "SP_PARENT_COMPANY_NAME")</f>
        <v>Chile</v>
      </c>
      <c r="M154" s="12" t="str">
        <f>_xll.SNL.Clients.Office.Excel.Functions.SPG(H154, "SP_PARENT_COUNTRY")</f>
        <v>Chile</v>
      </c>
      <c r="N154" s="12" t="str">
        <f>_xll.SNL.Clients.Office.Excel.Functions.SPG(H154, "SP_COUNTRY_NAME")</f>
        <v>Chile</v>
      </c>
      <c r="O154" s="12" t="str">
        <f>_xll.SNL.Clients.Office.Excel.Functions.SPG(I154, "SP_ULT_PARENT_COMPANY_NAME")</f>
        <v/>
      </c>
      <c r="P154" s="12" t="str">
        <f>_xll.SNL.Clients.Office.Excel.Functions.SPG(I154, "SP_ULT_PARENT_COUNTRY")</f>
        <v/>
      </c>
      <c r="Q154" s="12" t="str">
        <f>_xll.SNL.Clients.Office.Excel.Functions.SPG(I154, "SP_PARENT_COMPANY_NAME")</f>
        <v/>
      </c>
      <c r="R154" s="12" t="str">
        <f>_xll.SNL.Clients.Office.Excel.Functions.SPG(I154, "SP_PARENT_COUNTRY")</f>
        <v/>
      </c>
      <c r="S154" s="12" t="str">
        <f>_xll.SNL.Clients.Office.Excel.Functions.SPG(I154, "SP_COUNTRY_NAME")</f>
        <v>China</v>
      </c>
    </row>
    <row r="155" spans="1:19" x14ac:dyDescent="0.35">
      <c r="A155" s="5">
        <v>46022</v>
      </c>
      <c r="B155" s="4" t="s">
        <v>223</v>
      </c>
      <c r="C155" s="4" t="s">
        <v>224</v>
      </c>
      <c r="D155" s="4" t="s">
        <v>945</v>
      </c>
      <c r="E155" s="8">
        <v>4349314</v>
      </c>
      <c r="F155" s="7">
        <v>100</v>
      </c>
      <c r="G155" s="12" t="str">
        <f>[1]!SNLData("243327", C155, "OWNER_LIST")</f>
        <v>Corporación Nacional del Cobre de Chile  100%</v>
      </c>
      <c r="H155" s="9">
        <f>[1]!SNLData("243327", C155, "OWNER_SNL_INSTN_KEY", "Owner 1")</f>
        <v>4349314</v>
      </c>
      <c r="I155" s="9" t="str">
        <f>[1]!SNLData("243327", C155, "OWNER_SNL_INSTN_KEY", "Owner 2")</f>
        <v>NA</v>
      </c>
      <c r="J155" s="12" t="str">
        <f>_xll.SNL.Clients.Office.Excel.Functions.SPG(H155, "SP_ULT_PARENT_COMPANY_NAME")</f>
        <v>Chile</v>
      </c>
      <c r="K155" s="12" t="str">
        <f>_xll.SNL.Clients.Office.Excel.Functions.SPG(H155, "SP_ULT_PARENT_COUNTRY")</f>
        <v>Chile</v>
      </c>
      <c r="L155" s="12" t="str">
        <f>_xll.SNL.Clients.Office.Excel.Functions.SPG(H155, "SP_PARENT_COMPANY_NAME")</f>
        <v>Chile</v>
      </c>
      <c r="M155" s="12" t="str">
        <f>_xll.SNL.Clients.Office.Excel.Functions.SPG(H155, "SP_PARENT_COUNTRY")</f>
        <v>Chile</v>
      </c>
      <c r="N155" s="12" t="str">
        <f>_xll.SNL.Clients.Office.Excel.Functions.SPG(H155, "SP_COUNTRY_NAME")</f>
        <v>Chile</v>
      </c>
      <c r="O155" s="12" t="str">
        <f>_xll.SNL.Clients.Office.Excel.Functions.SPG(I155, "SP_ULT_PARENT_COMPANY_NAME")</f>
        <v/>
      </c>
      <c r="P155" s="12" t="str">
        <f>_xll.SNL.Clients.Office.Excel.Functions.SPG(I155, "SP_ULT_PARENT_COUNTRY")</f>
        <v/>
      </c>
      <c r="Q155" s="12" t="str">
        <f>_xll.SNL.Clients.Office.Excel.Functions.SPG(I155, "SP_PARENT_COMPANY_NAME")</f>
        <v/>
      </c>
      <c r="R155" s="12" t="str">
        <f>_xll.SNL.Clients.Office.Excel.Functions.SPG(I155, "SP_PARENT_COUNTRY")</f>
        <v/>
      </c>
      <c r="S155" s="12" t="str">
        <f>_xll.SNL.Clients.Office.Excel.Functions.SPG(I155, "SP_COUNTRY_NAME")</f>
        <v>China</v>
      </c>
    </row>
    <row r="156" spans="1:19" ht="29" x14ac:dyDescent="0.35">
      <c r="A156" s="5">
        <v>46022</v>
      </c>
      <c r="B156" s="4" t="s">
        <v>342</v>
      </c>
      <c r="C156" s="4" t="s">
        <v>343</v>
      </c>
      <c r="D156" s="4" t="s">
        <v>1027</v>
      </c>
      <c r="E156" s="8">
        <v>4353125</v>
      </c>
      <c r="F156" s="7">
        <v>100</v>
      </c>
      <c r="G156" s="12" t="str">
        <f>[1]!SNLData("243327", C156, "OWNER_LIST")</f>
        <v>Orvana Minerals Corp.  100%</v>
      </c>
      <c r="H156" s="9">
        <f>[1]!SNLData("243327", C156, "OWNER_SNL_INSTN_KEY", "Owner 1")</f>
        <v>4353125</v>
      </c>
      <c r="I156" s="9" t="str">
        <f>[1]!SNLData("243327", C156, "OWNER_SNL_INSTN_KEY", "Owner 2")</f>
        <v>NA</v>
      </c>
      <c r="J156" s="12" t="str">
        <f>_xll.SNL.Clients.Office.Excel.Functions.SPG(H156, "SP_ULT_PARENT_COMPANY_NAME")</f>
        <v>Andean Resources SA</v>
      </c>
      <c r="K156" s="12" t="str">
        <f>_xll.SNL.Clients.Office.Excel.Functions.SPG(H156, "SP_ULT_PARENT_COUNTRY")</f>
        <v>Panama</v>
      </c>
      <c r="L156" s="12" t="str">
        <f>_xll.SNL.Clients.Office.Excel.Functions.SPG(H156, "SP_PARENT_COMPANY_NAME")</f>
        <v>Fabulosa Mines Limited</v>
      </c>
      <c r="M156" s="12" t="str">
        <f>_xll.SNL.Clients.Office.Excel.Functions.SPG(H156, "SP_PARENT_COUNTRY")</f>
        <v>Cyprus</v>
      </c>
      <c r="N156" s="12" t="str">
        <f>_xll.SNL.Clients.Office.Excel.Functions.SPG(H156, "SP_COUNTRY_NAME")</f>
        <v>Canada</v>
      </c>
      <c r="O156" s="12" t="str">
        <f>_xll.SNL.Clients.Office.Excel.Functions.SPG(I156, "SP_ULT_PARENT_COMPANY_NAME")</f>
        <v/>
      </c>
      <c r="P156" s="12" t="str">
        <f>_xll.SNL.Clients.Office.Excel.Functions.SPG(I156, "SP_ULT_PARENT_COUNTRY")</f>
        <v/>
      </c>
      <c r="Q156" s="12" t="str">
        <f>_xll.SNL.Clients.Office.Excel.Functions.SPG(I156, "SP_PARENT_COMPANY_NAME")</f>
        <v/>
      </c>
      <c r="R156" s="12" t="str">
        <f>_xll.SNL.Clients.Office.Excel.Functions.SPG(I156, "SP_PARENT_COUNTRY")</f>
        <v/>
      </c>
      <c r="S156" s="12" t="str">
        <f>_xll.SNL.Clients.Office.Excel.Functions.SPG(I156, "SP_COUNTRY_NAME")</f>
        <v>China</v>
      </c>
    </row>
    <row r="157" spans="1:19" x14ac:dyDescent="0.35">
      <c r="A157" s="5">
        <v>46022</v>
      </c>
      <c r="B157" s="4" t="s">
        <v>345</v>
      </c>
      <c r="C157" s="4" t="s">
        <v>346</v>
      </c>
      <c r="D157" s="4" t="s">
        <v>978</v>
      </c>
      <c r="E157" s="8">
        <v>4264043</v>
      </c>
      <c r="F157" s="7">
        <v>100</v>
      </c>
      <c r="G157" s="12" t="str">
        <f>[1]!SNLData("243327", C157, "OWNER_LIST")</f>
        <v>Northam Platinum Holdings Limited  100%</v>
      </c>
      <c r="H157" s="9">
        <f>[1]!SNLData("243327", C157, "OWNER_SNL_INSTN_KEY", "Owner 1")</f>
        <v>4264043</v>
      </c>
      <c r="I157" s="9" t="str">
        <f>[1]!SNLData("243327", C157, "OWNER_SNL_INSTN_KEY", "Owner 2")</f>
        <v>NA</v>
      </c>
      <c r="J157" s="12" t="str">
        <f>_xll.SNL.Clients.Office.Excel.Functions.SPG(H157, "SP_ULT_PARENT_COMPANY_NAME")</f>
        <v/>
      </c>
      <c r="K157" s="12" t="str">
        <f>_xll.SNL.Clients.Office.Excel.Functions.SPG(H157, "SP_ULT_PARENT_COUNTRY")</f>
        <v/>
      </c>
      <c r="L157" s="12" t="str">
        <f>_xll.SNL.Clients.Office.Excel.Functions.SPG(H157, "SP_PARENT_COMPANY_NAME")</f>
        <v/>
      </c>
      <c r="M157" s="12" t="str">
        <f>_xll.SNL.Clients.Office.Excel.Functions.SPG(H157, "SP_PARENT_COUNTRY")</f>
        <v/>
      </c>
      <c r="N157" s="12" t="str">
        <f>_xll.SNL.Clients.Office.Excel.Functions.SPG(H157, "SP_COUNTRY_NAME")</f>
        <v>South Africa</v>
      </c>
      <c r="O157" s="12" t="str">
        <f>_xll.SNL.Clients.Office.Excel.Functions.SPG(I157, "SP_ULT_PARENT_COMPANY_NAME")</f>
        <v/>
      </c>
      <c r="P157" s="12" t="str">
        <f>_xll.SNL.Clients.Office.Excel.Functions.SPG(I157, "SP_ULT_PARENT_COUNTRY")</f>
        <v/>
      </c>
      <c r="Q157" s="12" t="str">
        <f>_xll.SNL.Clients.Office.Excel.Functions.SPG(I157, "SP_PARENT_COMPANY_NAME")</f>
        <v/>
      </c>
      <c r="R157" s="12" t="str">
        <f>_xll.SNL.Clients.Office.Excel.Functions.SPG(I157, "SP_PARENT_COUNTRY")</f>
        <v/>
      </c>
      <c r="S157" s="12" t="str">
        <f>_xll.SNL.Clients.Office.Excel.Functions.SPG(I157, "SP_COUNTRY_NAME")</f>
        <v>China</v>
      </c>
    </row>
    <row r="158" spans="1:19" x14ac:dyDescent="0.35">
      <c r="A158" s="5">
        <v>46022</v>
      </c>
      <c r="B158" s="4" t="s">
        <v>347</v>
      </c>
      <c r="C158" s="4" t="s">
        <v>348</v>
      </c>
      <c r="D158" s="4" t="s">
        <v>1028</v>
      </c>
      <c r="E158" s="8">
        <v>4502292</v>
      </c>
      <c r="F158" s="7">
        <v>100</v>
      </c>
      <c r="G158" s="12" t="str">
        <f>[1]!SNLData("243327", C158, "OWNER_LIST")</f>
        <v>Geotechmin Ood  100%</v>
      </c>
      <c r="H158" s="9">
        <f>[1]!SNLData("243327", C158, "OWNER_SNL_INSTN_KEY", "Owner 1")</f>
        <v>4502292</v>
      </c>
      <c r="I158" s="9" t="str">
        <f>[1]!SNLData("243327", C158, "OWNER_SNL_INSTN_KEY", "Owner 2")</f>
        <v>NA</v>
      </c>
      <c r="J158" s="12" t="str">
        <f>_xll.SNL.Clients.Office.Excel.Functions.SPG(H158, "SP_ULT_PARENT_COMPANY_NAME")</f>
        <v/>
      </c>
      <c r="K158" s="12" t="str">
        <f>_xll.SNL.Clients.Office.Excel.Functions.SPG(H158, "SP_ULT_PARENT_COUNTRY")</f>
        <v/>
      </c>
      <c r="L158" s="12" t="str">
        <f>_xll.SNL.Clients.Office.Excel.Functions.SPG(H158, "SP_PARENT_COMPANY_NAME")</f>
        <v/>
      </c>
      <c r="M158" s="12" t="str">
        <f>_xll.SNL.Clients.Office.Excel.Functions.SPG(H158, "SP_PARENT_COUNTRY")</f>
        <v/>
      </c>
      <c r="N158" s="12" t="str">
        <f>_xll.SNL.Clients.Office.Excel.Functions.SPG(H158, "SP_COUNTRY_NAME")</f>
        <v>Bulgaria</v>
      </c>
      <c r="O158" s="12" t="str">
        <f>_xll.SNL.Clients.Office.Excel.Functions.SPG(I158, "SP_ULT_PARENT_COMPANY_NAME")</f>
        <v/>
      </c>
      <c r="P158" s="12" t="str">
        <f>_xll.SNL.Clients.Office.Excel.Functions.SPG(I158, "SP_ULT_PARENT_COUNTRY")</f>
        <v/>
      </c>
      <c r="Q158" s="12" t="str">
        <f>_xll.SNL.Clients.Office.Excel.Functions.SPG(I158, "SP_PARENT_COMPANY_NAME")</f>
        <v/>
      </c>
      <c r="R158" s="12" t="str">
        <f>_xll.SNL.Clients.Office.Excel.Functions.SPG(I158, "SP_PARENT_COUNTRY")</f>
        <v/>
      </c>
      <c r="S158" s="12" t="str">
        <f>_xll.SNL.Clients.Office.Excel.Functions.SPG(I158, "SP_COUNTRY_NAME")</f>
        <v>China</v>
      </c>
    </row>
    <row r="159" spans="1:19" x14ac:dyDescent="0.35">
      <c r="A159" s="5">
        <v>46022</v>
      </c>
      <c r="B159" s="4" t="s">
        <v>722</v>
      </c>
      <c r="C159" s="4" t="s">
        <v>723</v>
      </c>
      <c r="D159" s="4" t="s">
        <v>1029</v>
      </c>
      <c r="E159" s="8">
        <v>8967572</v>
      </c>
      <c r="F159" s="7">
        <v>100</v>
      </c>
      <c r="G159" s="12" t="str">
        <f>[1]!SNLData("243327", C159, "OWNER_LIST")</f>
        <v>AIC Mines Limited  100%</v>
      </c>
      <c r="H159" s="9">
        <f>[1]!SNLData("243327", C159, "OWNER_SNL_INSTN_KEY", "Owner 1")</f>
        <v>8967572</v>
      </c>
      <c r="I159" s="9" t="str">
        <f>[1]!SNLData("243327", C159, "OWNER_SNL_INSTN_KEY", "Owner 2")</f>
        <v>NA</v>
      </c>
      <c r="J159" s="12" t="str">
        <f>_xll.SNL.Clients.Office.Excel.Functions.SPG(H159, "SP_ULT_PARENT_COMPANY_NAME")</f>
        <v/>
      </c>
      <c r="K159" s="12" t="str">
        <f>_xll.SNL.Clients.Office.Excel.Functions.SPG(H159, "SP_ULT_PARENT_COUNTRY")</f>
        <v/>
      </c>
      <c r="L159" s="12" t="str">
        <f>_xll.SNL.Clients.Office.Excel.Functions.SPG(H159, "SP_PARENT_COMPANY_NAME")</f>
        <v/>
      </c>
      <c r="M159" s="12" t="str">
        <f>_xll.SNL.Clients.Office.Excel.Functions.SPG(H159, "SP_PARENT_COUNTRY")</f>
        <v/>
      </c>
      <c r="N159" s="12" t="str">
        <f>_xll.SNL.Clients.Office.Excel.Functions.SPG(H159, "SP_COUNTRY_NAME")</f>
        <v>Australia</v>
      </c>
      <c r="O159" s="12" t="str">
        <f>_xll.SNL.Clients.Office.Excel.Functions.SPG(I159, "SP_ULT_PARENT_COMPANY_NAME")</f>
        <v/>
      </c>
      <c r="P159" s="12" t="str">
        <f>_xll.SNL.Clients.Office.Excel.Functions.SPG(I159, "SP_ULT_PARENT_COUNTRY")</f>
        <v/>
      </c>
      <c r="Q159" s="12" t="str">
        <f>_xll.SNL.Clients.Office.Excel.Functions.SPG(I159, "SP_PARENT_COMPANY_NAME")</f>
        <v/>
      </c>
      <c r="R159" s="12" t="str">
        <f>_xll.SNL.Clients.Office.Excel.Functions.SPG(I159, "SP_PARENT_COUNTRY")</f>
        <v/>
      </c>
      <c r="S159" s="12" t="str">
        <f>_xll.SNL.Clients.Office.Excel.Functions.SPG(I159, "SP_COUNTRY_NAME")</f>
        <v>China</v>
      </c>
    </row>
    <row r="160" spans="1:19" ht="29" x14ac:dyDescent="0.35">
      <c r="A160" s="5">
        <v>46022</v>
      </c>
      <c r="B160" s="4" t="s">
        <v>349</v>
      </c>
      <c r="C160" s="4" t="s">
        <v>350</v>
      </c>
      <c r="D160" s="4" t="s">
        <v>351</v>
      </c>
      <c r="E160" s="8">
        <v>4350708</v>
      </c>
      <c r="F160" s="7">
        <v>51</v>
      </c>
      <c r="G160" s="12" t="str">
        <f>[1]!SNLData("243327", C160, "OWNER_LIST")</f>
        <v>Mongolian Copper Corporation LLC (Venturer) 49%; Mongolia (Venturer) 51%</v>
      </c>
      <c r="H160" s="9">
        <f>[1]!SNLData("243327", C160, "OWNER_SNL_INSTN_KEY", "Owner 1")</f>
        <v>4350708</v>
      </c>
      <c r="I160" s="9">
        <f>[1]!SNLData("243327", C160, "OWNER_SNL_INSTN_KEY", "Owner 2")</f>
        <v>4757905</v>
      </c>
      <c r="J160" s="12" t="str">
        <f>_xll.SNL.Clients.Office.Excel.Functions.SPG(H160, "SP_ULT_PARENT_COMPANY_NAME")</f>
        <v/>
      </c>
      <c r="K160" s="12" t="str">
        <f>_xll.SNL.Clients.Office.Excel.Functions.SPG(H160, "SP_ULT_PARENT_COUNTRY")</f>
        <v/>
      </c>
      <c r="L160" s="12" t="str">
        <f>_xll.SNL.Clients.Office.Excel.Functions.SPG(H160, "SP_PARENT_COMPANY_NAME")</f>
        <v/>
      </c>
      <c r="M160" s="12" t="str">
        <f>_xll.SNL.Clients.Office.Excel.Functions.SPG(H160, "SP_PARENT_COUNTRY")</f>
        <v/>
      </c>
      <c r="N160" s="12" t="str">
        <f>_xll.SNL.Clients.Office.Excel.Functions.SPG(H160, "SP_COUNTRY_NAME")</f>
        <v>Mongolia</v>
      </c>
      <c r="O160" s="12" t="str">
        <f>_xll.SNL.Clients.Office.Excel.Functions.SPG(I160, "SP_ULT_PARENT_COMPANY_NAME")</f>
        <v/>
      </c>
      <c r="P160" s="12" t="str">
        <f>_xll.SNL.Clients.Office.Excel.Functions.SPG(I160, "SP_ULT_PARENT_COUNTRY")</f>
        <v/>
      </c>
      <c r="Q160" s="12" t="str">
        <f>_xll.SNL.Clients.Office.Excel.Functions.SPG(I160, "SP_PARENT_COMPANY_NAME")</f>
        <v/>
      </c>
      <c r="R160" s="12" t="str">
        <f>_xll.SNL.Clients.Office.Excel.Functions.SPG(I160, "SP_PARENT_COUNTRY")</f>
        <v/>
      </c>
      <c r="S160" s="12" t="str">
        <f>_xll.SNL.Clients.Office.Excel.Functions.SPG(I160, "SP_COUNTRY_NAME")</f>
        <v>Mongolia</v>
      </c>
    </row>
    <row r="161" spans="1:19" ht="29" x14ac:dyDescent="0.35">
      <c r="A161" s="5">
        <v>46022</v>
      </c>
      <c r="B161" s="4" t="s">
        <v>349</v>
      </c>
      <c r="C161" s="4" t="s">
        <v>350</v>
      </c>
      <c r="D161" s="4" t="s">
        <v>1030</v>
      </c>
      <c r="E161" s="8">
        <v>4757905</v>
      </c>
      <c r="F161" s="7">
        <v>49</v>
      </c>
      <c r="G161" s="12" t="str">
        <f>[1]!SNLData("243327", C161, "OWNER_LIST")</f>
        <v>Mongolian Copper Corporation LLC (Venturer) 49%; Mongolia (Venturer) 51%</v>
      </c>
      <c r="H161" s="9">
        <f>[1]!SNLData("243327", C161, "OWNER_SNL_INSTN_KEY", "Owner 1")</f>
        <v>4350708</v>
      </c>
      <c r="I161" s="9">
        <f>[1]!SNLData("243327", C161, "OWNER_SNL_INSTN_KEY", "Owner 2")</f>
        <v>4757905</v>
      </c>
      <c r="J161" s="12" t="str">
        <f>_xll.SNL.Clients.Office.Excel.Functions.SPG(H161, "SP_ULT_PARENT_COMPANY_NAME")</f>
        <v/>
      </c>
      <c r="K161" s="12" t="str">
        <f>_xll.SNL.Clients.Office.Excel.Functions.SPG(H161, "SP_ULT_PARENT_COUNTRY")</f>
        <v/>
      </c>
      <c r="L161" s="12" t="str">
        <f>_xll.SNL.Clients.Office.Excel.Functions.SPG(H161, "SP_PARENT_COMPANY_NAME")</f>
        <v/>
      </c>
      <c r="M161" s="12" t="str">
        <f>_xll.SNL.Clients.Office.Excel.Functions.SPG(H161, "SP_PARENT_COUNTRY")</f>
        <v/>
      </c>
      <c r="N161" s="12" t="str">
        <f>_xll.SNL.Clients.Office.Excel.Functions.SPG(H161, "SP_COUNTRY_NAME")</f>
        <v>Mongolia</v>
      </c>
      <c r="O161" s="12" t="str">
        <f>_xll.SNL.Clients.Office.Excel.Functions.SPG(I161, "SP_ULT_PARENT_COMPANY_NAME")</f>
        <v/>
      </c>
      <c r="P161" s="12" t="str">
        <f>_xll.SNL.Clients.Office.Excel.Functions.SPG(I161, "SP_ULT_PARENT_COUNTRY")</f>
        <v/>
      </c>
      <c r="Q161" s="12" t="str">
        <f>_xll.SNL.Clients.Office.Excel.Functions.SPG(I161, "SP_PARENT_COMPANY_NAME")</f>
        <v/>
      </c>
      <c r="R161" s="12" t="str">
        <f>_xll.SNL.Clients.Office.Excel.Functions.SPG(I161, "SP_PARENT_COUNTRY")</f>
        <v/>
      </c>
      <c r="S161" s="12" t="str">
        <f>_xll.SNL.Clients.Office.Excel.Functions.SPG(I161, "SP_COUNTRY_NAME")</f>
        <v>Mongolia</v>
      </c>
    </row>
    <row r="162" spans="1:19" x14ac:dyDescent="0.35">
      <c r="A162" s="5">
        <v>46022</v>
      </c>
      <c r="B162" s="4" t="s">
        <v>225</v>
      </c>
      <c r="C162" s="4" t="s">
        <v>226</v>
      </c>
      <c r="D162" s="4" t="s">
        <v>1031</v>
      </c>
      <c r="E162" s="8">
        <v>4350088</v>
      </c>
      <c r="F162" s="7">
        <v>100</v>
      </c>
      <c r="G162" s="12" t="str">
        <f>[1]!SNLData("243327", C162, "OWNER_LIST")</f>
        <v>Evolution Mining Limited  100%</v>
      </c>
      <c r="H162" s="9">
        <f>[1]!SNLData("243327", C162, "OWNER_SNL_INSTN_KEY", "Owner 1")</f>
        <v>4350088</v>
      </c>
      <c r="I162" s="9" t="str">
        <f>[1]!SNLData("243327", C162, "OWNER_SNL_INSTN_KEY", "Owner 2")</f>
        <v>NA</v>
      </c>
      <c r="J162" s="12" t="str">
        <f>_xll.SNL.Clients.Office.Excel.Functions.SPG(H162, "SP_ULT_PARENT_COMPANY_NAME")</f>
        <v/>
      </c>
      <c r="K162" s="12" t="str">
        <f>_xll.SNL.Clients.Office.Excel.Functions.SPG(H162, "SP_ULT_PARENT_COUNTRY")</f>
        <v/>
      </c>
      <c r="L162" s="12" t="str">
        <f>_xll.SNL.Clients.Office.Excel.Functions.SPG(H162, "SP_PARENT_COMPANY_NAME")</f>
        <v/>
      </c>
      <c r="M162" s="12" t="str">
        <f>_xll.SNL.Clients.Office.Excel.Functions.SPG(H162, "SP_PARENT_COUNTRY")</f>
        <v/>
      </c>
      <c r="N162" s="12" t="str">
        <f>_xll.SNL.Clients.Office.Excel.Functions.SPG(H162, "SP_COUNTRY_NAME")</f>
        <v>Australia</v>
      </c>
      <c r="O162" s="12" t="str">
        <f>_xll.SNL.Clients.Office.Excel.Functions.SPG(I162, "SP_ULT_PARENT_COMPANY_NAME")</f>
        <v/>
      </c>
      <c r="P162" s="12" t="str">
        <f>_xll.SNL.Clients.Office.Excel.Functions.SPG(I162, "SP_ULT_PARENT_COUNTRY")</f>
        <v/>
      </c>
      <c r="Q162" s="12" t="str">
        <f>_xll.SNL.Clients.Office.Excel.Functions.SPG(I162, "SP_PARENT_COMPANY_NAME")</f>
        <v/>
      </c>
      <c r="R162" s="12" t="str">
        <f>_xll.SNL.Clients.Office.Excel.Functions.SPG(I162, "SP_PARENT_COUNTRY")</f>
        <v/>
      </c>
      <c r="S162" s="12" t="str">
        <f>_xll.SNL.Clients.Office.Excel.Functions.SPG(I162, "SP_COUNTRY_NAME")</f>
        <v>China</v>
      </c>
    </row>
    <row r="163" spans="1:19" ht="29" x14ac:dyDescent="0.35">
      <c r="A163" s="5">
        <v>46022</v>
      </c>
      <c r="B163" s="4" t="s">
        <v>227</v>
      </c>
      <c r="C163" s="4" t="s">
        <v>228</v>
      </c>
      <c r="D163" s="4" t="s">
        <v>1032</v>
      </c>
      <c r="E163" s="8">
        <v>10930084</v>
      </c>
      <c r="F163" s="7">
        <v>100</v>
      </c>
      <c r="G163" s="12" t="str">
        <f>[1]!SNLData("243327", C163, "OWNER_LIST")</f>
        <v>Qinghai Xinguang Mining and Trade Co., Ltd.  100%</v>
      </c>
      <c r="H163" s="9">
        <f>[1]!SNLData("243327", C163, "OWNER_SNL_INSTN_KEY", "Owner 1")</f>
        <v>10930084</v>
      </c>
      <c r="I163" s="9" t="str">
        <f>[1]!SNLData("243327", C163, "OWNER_SNL_INSTN_KEY", "Owner 2")</f>
        <v>NA</v>
      </c>
      <c r="J163" s="12" t="str">
        <f>_xll.SNL.Clients.Office.Excel.Functions.SPG(H163, "SP_ULT_PARENT_COMPANY_NAME")</f>
        <v/>
      </c>
      <c r="K163" s="12" t="str">
        <f>_xll.SNL.Clients.Office.Excel.Functions.SPG(H163, "SP_ULT_PARENT_COUNTRY")</f>
        <v/>
      </c>
      <c r="L163" s="12" t="str">
        <f>_xll.SNL.Clients.Office.Excel.Functions.SPG(H163, "SP_PARENT_COMPANY_NAME")</f>
        <v/>
      </c>
      <c r="M163" s="12" t="str">
        <f>_xll.SNL.Clients.Office.Excel.Functions.SPG(H163, "SP_PARENT_COUNTRY")</f>
        <v/>
      </c>
      <c r="N163" s="12" t="str">
        <f>_xll.SNL.Clients.Office.Excel.Functions.SPG(H163, "SP_COUNTRY_NAME")</f>
        <v>China</v>
      </c>
      <c r="O163" s="12" t="str">
        <f>_xll.SNL.Clients.Office.Excel.Functions.SPG(I163, "SP_ULT_PARENT_COMPANY_NAME")</f>
        <v/>
      </c>
      <c r="P163" s="12" t="str">
        <f>_xll.SNL.Clients.Office.Excel.Functions.SPG(I163, "SP_ULT_PARENT_COUNTRY")</f>
        <v/>
      </c>
      <c r="Q163" s="12" t="str">
        <f>_xll.SNL.Clients.Office.Excel.Functions.SPG(I163, "SP_PARENT_COMPANY_NAME")</f>
        <v/>
      </c>
      <c r="R163" s="12" t="str">
        <f>_xll.SNL.Clients.Office.Excel.Functions.SPG(I163, "SP_PARENT_COUNTRY")</f>
        <v/>
      </c>
      <c r="S163" s="12" t="str">
        <f>_xll.SNL.Clients.Office.Excel.Functions.SPG(I163, "SP_COUNTRY_NAME")</f>
        <v>China</v>
      </c>
    </row>
    <row r="164" spans="1:19" ht="72.5" x14ac:dyDescent="0.35">
      <c r="A164" s="5">
        <v>46022</v>
      </c>
      <c r="B164" s="4" t="s">
        <v>724</v>
      </c>
      <c r="C164" s="4" t="s">
        <v>725</v>
      </c>
      <c r="D164" s="4" t="s">
        <v>947</v>
      </c>
      <c r="E164" s="8">
        <v>4121840</v>
      </c>
      <c r="F164" s="7">
        <v>57.5</v>
      </c>
      <c r="G164" s="12" t="str">
        <f>[1]!SNLData("243327", C164, "OWNER_LIST")</f>
        <v>BHP Group Limited (Venturer) 57.5%; Rio Tinto Group (Venturer) 30%; Mitsubishi Corporation (Venturer) 8.25%; JX Advanced Metals Corporation (Venturer) 3%; Mitsubishi Materials Corporation (Venturer) 1.25%</v>
      </c>
      <c r="H164" s="9">
        <f>[1]!SNLData("243327", C164, "OWNER_SNL_INSTN_KEY", "Owner 1")</f>
        <v>4121840</v>
      </c>
      <c r="I164" s="9">
        <f>[1]!SNLData("243327", C164, "OWNER_SNL_INSTN_KEY", "Owner 2")</f>
        <v>4149660</v>
      </c>
      <c r="J164" s="12" t="str">
        <f>_xll.SNL.Clients.Office.Excel.Functions.SPG(H164, "SP_ULT_PARENT_COMPANY_NAME")</f>
        <v/>
      </c>
      <c r="K164" s="12" t="str">
        <f>_xll.SNL.Clients.Office.Excel.Functions.SPG(H164, "SP_ULT_PARENT_COUNTRY")</f>
        <v/>
      </c>
      <c r="L164" s="12" t="str">
        <f>_xll.SNL.Clients.Office.Excel.Functions.SPG(H164, "SP_PARENT_COMPANY_NAME")</f>
        <v/>
      </c>
      <c r="M164" s="12" t="str">
        <f>_xll.SNL.Clients.Office.Excel.Functions.SPG(H164, "SP_PARENT_COUNTRY")</f>
        <v/>
      </c>
      <c r="N164" s="12" t="str">
        <f>_xll.SNL.Clients.Office.Excel.Functions.SPG(H164, "SP_COUNTRY_NAME")</f>
        <v>Australia</v>
      </c>
      <c r="O164" s="12" t="str">
        <f>_xll.SNL.Clients.Office.Excel.Functions.SPG(I164, "SP_ULT_PARENT_COMPANY_NAME")</f>
        <v/>
      </c>
      <c r="P164" s="12" t="str">
        <f>_xll.SNL.Clients.Office.Excel.Functions.SPG(I164, "SP_ULT_PARENT_COUNTRY")</f>
        <v/>
      </c>
      <c r="Q164" s="12" t="str">
        <f>_xll.SNL.Clients.Office.Excel.Functions.SPG(I164, "SP_PARENT_COMPANY_NAME")</f>
        <v/>
      </c>
      <c r="R164" s="12" t="str">
        <f>_xll.SNL.Clients.Office.Excel.Functions.SPG(I164, "SP_PARENT_COUNTRY")</f>
        <v/>
      </c>
      <c r="S164" s="12" t="str">
        <f>_xll.SNL.Clients.Office.Excel.Functions.SPG(I164, "SP_COUNTRY_NAME")</f>
        <v>United Kingdom</v>
      </c>
    </row>
    <row r="165" spans="1:19" ht="72.5" x14ac:dyDescent="0.35">
      <c r="A165" s="5">
        <v>46022</v>
      </c>
      <c r="B165" s="4" t="s">
        <v>724</v>
      </c>
      <c r="C165" s="4" t="s">
        <v>725</v>
      </c>
      <c r="D165" s="4" t="s">
        <v>994</v>
      </c>
      <c r="E165" s="8">
        <v>4361542</v>
      </c>
      <c r="F165" s="7">
        <v>3</v>
      </c>
      <c r="G165" s="12" t="str">
        <f>[1]!SNLData("243327", C165, "OWNER_LIST")</f>
        <v>BHP Group Limited (Venturer) 57.5%; Rio Tinto Group (Venturer) 30%; Mitsubishi Corporation (Venturer) 8.25%; JX Advanced Metals Corporation (Venturer) 3%; Mitsubishi Materials Corporation (Venturer) 1.25%</v>
      </c>
      <c r="H165" s="9">
        <f>[1]!SNLData("243327", C165, "OWNER_SNL_INSTN_KEY", "Owner 1")</f>
        <v>4121840</v>
      </c>
      <c r="I165" s="9">
        <f>[1]!SNLData("243327", C165, "OWNER_SNL_INSTN_KEY", "Owner 2")</f>
        <v>4149660</v>
      </c>
      <c r="J165" s="12" t="str">
        <f>_xll.SNL.Clients.Office.Excel.Functions.SPG(H165, "SP_ULT_PARENT_COMPANY_NAME")</f>
        <v/>
      </c>
      <c r="K165" s="12" t="str">
        <f>_xll.SNL.Clients.Office.Excel.Functions.SPG(H165, "SP_ULT_PARENT_COUNTRY")</f>
        <v/>
      </c>
      <c r="L165" s="12" t="str">
        <f>_xll.SNL.Clients.Office.Excel.Functions.SPG(H165, "SP_PARENT_COMPANY_NAME")</f>
        <v/>
      </c>
      <c r="M165" s="12" t="str">
        <f>_xll.SNL.Clients.Office.Excel.Functions.SPG(H165, "SP_PARENT_COUNTRY")</f>
        <v/>
      </c>
      <c r="N165" s="12" t="str">
        <f>_xll.SNL.Clients.Office.Excel.Functions.SPG(H165, "SP_COUNTRY_NAME")</f>
        <v>Australia</v>
      </c>
      <c r="O165" s="12" t="str">
        <f>_xll.SNL.Clients.Office.Excel.Functions.SPG(I165, "SP_ULT_PARENT_COMPANY_NAME")</f>
        <v/>
      </c>
      <c r="P165" s="12" t="str">
        <f>_xll.SNL.Clients.Office.Excel.Functions.SPG(I165, "SP_ULT_PARENT_COUNTRY")</f>
        <v/>
      </c>
      <c r="Q165" s="12" t="str">
        <f>_xll.SNL.Clients.Office.Excel.Functions.SPG(I165, "SP_PARENT_COMPANY_NAME")</f>
        <v/>
      </c>
      <c r="R165" s="12" t="str">
        <f>_xll.SNL.Clients.Office.Excel.Functions.SPG(I165, "SP_PARENT_COUNTRY")</f>
        <v/>
      </c>
      <c r="S165" s="12" t="str">
        <f>_xll.SNL.Clients.Office.Excel.Functions.SPG(I165, "SP_COUNTRY_NAME")</f>
        <v>United Kingdom</v>
      </c>
    </row>
    <row r="166" spans="1:19" ht="72.5" x14ac:dyDescent="0.35">
      <c r="A166" s="5">
        <v>46022</v>
      </c>
      <c r="B166" s="4" t="s">
        <v>724</v>
      </c>
      <c r="C166" s="4" t="s">
        <v>725</v>
      </c>
      <c r="D166" s="4" t="s">
        <v>949</v>
      </c>
      <c r="E166" s="8">
        <v>4065098</v>
      </c>
      <c r="F166" s="7">
        <v>8.25</v>
      </c>
      <c r="G166" s="12" t="str">
        <f>[1]!SNLData("243327", C166, "OWNER_LIST")</f>
        <v>BHP Group Limited (Venturer) 57.5%; Rio Tinto Group (Venturer) 30%; Mitsubishi Corporation (Venturer) 8.25%; JX Advanced Metals Corporation (Venturer) 3%; Mitsubishi Materials Corporation (Venturer) 1.25%</v>
      </c>
      <c r="H166" s="9">
        <f>[1]!SNLData("243327", C166, "OWNER_SNL_INSTN_KEY", "Owner 1")</f>
        <v>4121840</v>
      </c>
      <c r="I166" s="9">
        <f>[1]!SNLData("243327", C166, "OWNER_SNL_INSTN_KEY", "Owner 2")</f>
        <v>4149660</v>
      </c>
      <c r="J166" s="12" t="str">
        <f>_xll.SNL.Clients.Office.Excel.Functions.SPG(H166, "SP_ULT_PARENT_COMPANY_NAME")</f>
        <v/>
      </c>
      <c r="K166" s="12" t="str">
        <f>_xll.SNL.Clients.Office.Excel.Functions.SPG(H166, "SP_ULT_PARENT_COUNTRY")</f>
        <v/>
      </c>
      <c r="L166" s="12" t="str">
        <f>_xll.SNL.Clients.Office.Excel.Functions.SPG(H166, "SP_PARENT_COMPANY_NAME")</f>
        <v/>
      </c>
      <c r="M166" s="12" t="str">
        <f>_xll.SNL.Clients.Office.Excel.Functions.SPG(H166, "SP_PARENT_COUNTRY")</f>
        <v/>
      </c>
      <c r="N166" s="12" t="str">
        <f>_xll.SNL.Clients.Office.Excel.Functions.SPG(H166, "SP_COUNTRY_NAME")</f>
        <v>Australia</v>
      </c>
      <c r="O166" s="12" t="str">
        <f>_xll.SNL.Clients.Office.Excel.Functions.SPG(I166, "SP_ULT_PARENT_COMPANY_NAME")</f>
        <v/>
      </c>
      <c r="P166" s="12" t="str">
        <f>_xll.SNL.Clients.Office.Excel.Functions.SPG(I166, "SP_ULT_PARENT_COUNTRY")</f>
        <v/>
      </c>
      <c r="Q166" s="12" t="str">
        <f>_xll.SNL.Clients.Office.Excel.Functions.SPG(I166, "SP_PARENT_COMPANY_NAME")</f>
        <v/>
      </c>
      <c r="R166" s="12" t="str">
        <f>_xll.SNL.Clients.Office.Excel.Functions.SPG(I166, "SP_PARENT_COUNTRY")</f>
        <v/>
      </c>
      <c r="S166" s="12" t="str">
        <f>_xll.SNL.Clients.Office.Excel.Functions.SPG(I166, "SP_COUNTRY_NAME")</f>
        <v>United Kingdom</v>
      </c>
    </row>
    <row r="167" spans="1:19" ht="72.5" x14ac:dyDescent="0.35">
      <c r="A167" s="5">
        <v>46022</v>
      </c>
      <c r="B167" s="4" t="s">
        <v>724</v>
      </c>
      <c r="C167" s="4" t="s">
        <v>725</v>
      </c>
      <c r="D167" s="4" t="s">
        <v>1033</v>
      </c>
      <c r="E167" s="8">
        <v>4212961</v>
      </c>
      <c r="F167" s="7">
        <v>1.25</v>
      </c>
      <c r="G167" s="12" t="str">
        <f>[1]!SNLData("243327", C167, "OWNER_LIST")</f>
        <v>BHP Group Limited (Venturer) 57.5%; Rio Tinto Group (Venturer) 30%; Mitsubishi Corporation (Venturer) 8.25%; JX Advanced Metals Corporation (Venturer) 3%; Mitsubishi Materials Corporation (Venturer) 1.25%</v>
      </c>
      <c r="H167" s="9">
        <f>[1]!SNLData("243327", C167, "OWNER_SNL_INSTN_KEY", "Owner 1")</f>
        <v>4121840</v>
      </c>
      <c r="I167" s="9">
        <f>[1]!SNLData("243327", C167, "OWNER_SNL_INSTN_KEY", "Owner 2")</f>
        <v>4149660</v>
      </c>
      <c r="J167" s="12" t="str">
        <f>_xll.SNL.Clients.Office.Excel.Functions.SPG(H167, "SP_ULT_PARENT_COMPANY_NAME")</f>
        <v/>
      </c>
      <c r="K167" s="12" t="str">
        <f>_xll.SNL.Clients.Office.Excel.Functions.SPG(H167, "SP_ULT_PARENT_COUNTRY")</f>
        <v/>
      </c>
      <c r="L167" s="12" t="str">
        <f>_xll.SNL.Clients.Office.Excel.Functions.SPG(H167, "SP_PARENT_COMPANY_NAME")</f>
        <v/>
      </c>
      <c r="M167" s="12" t="str">
        <f>_xll.SNL.Clients.Office.Excel.Functions.SPG(H167, "SP_PARENT_COUNTRY")</f>
        <v/>
      </c>
      <c r="N167" s="12" t="str">
        <f>_xll.SNL.Clients.Office.Excel.Functions.SPG(H167, "SP_COUNTRY_NAME")</f>
        <v>Australia</v>
      </c>
      <c r="O167" s="12" t="str">
        <f>_xll.SNL.Clients.Office.Excel.Functions.SPG(I167, "SP_ULT_PARENT_COMPANY_NAME")</f>
        <v/>
      </c>
      <c r="P167" s="12" t="str">
        <f>_xll.SNL.Clients.Office.Excel.Functions.SPG(I167, "SP_ULT_PARENT_COUNTRY")</f>
        <v/>
      </c>
      <c r="Q167" s="12" t="str">
        <f>_xll.SNL.Clients.Office.Excel.Functions.SPG(I167, "SP_PARENT_COMPANY_NAME")</f>
        <v/>
      </c>
      <c r="R167" s="12" t="str">
        <f>_xll.SNL.Clients.Office.Excel.Functions.SPG(I167, "SP_PARENT_COUNTRY")</f>
        <v/>
      </c>
      <c r="S167" s="12" t="str">
        <f>_xll.SNL.Clients.Office.Excel.Functions.SPG(I167, "SP_COUNTRY_NAME")</f>
        <v>United Kingdom</v>
      </c>
    </row>
    <row r="168" spans="1:19" ht="72.5" x14ac:dyDescent="0.35">
      <c r="A168" s="5">
        <v>46022</v>
      </c>
      <c r="B168" s="4" t="s">
        <v>724</v>
      </c>
      <c r="C168" s="4" t="s">
        <v>725</v>
      </c>
      <c r="D168" s="4" t="s">
        <v>971</v>
      </c>
      <c r="E168" s="8">
        <v>4149660</v>
      </c>
      <c r="F168" s="7">
        <v>30</v>
      </c>
      <c r="G168" s="12" t="str">
        <f>[1]!SNLData("243327", C168, "OWNER_LIST")</f>
        <v>BHP Group Limited (Venturer) 57.5%; Rio Tinto Group (Venturer) 30%; Mitsubishi Corporation (Venturer) 8.25%; JX Advanced Metals Corporation (Venturer) 3%; Mitsubishi Materials Corporation (Venturer) 1.25%</v>
      </c>
      <c r="H168" s="9">
        <f>[1]!SNLData("243327", C168, "OWNER_SNL_INSTN_KEY", "Owner 1")</f>
        <v>4121840</v>
      </c>
      <c r="I168" s="9">
        <f>[1]!SNLData("243327", C168, "OWNER_SNL_INSTN_KEY", "Owner 2")</f>
        <v>4149660</v>
      </c>
      <c r="J168" s="12" t="str">
        <f>_xll.SNL.Clients.Office.Excel.Functions.SPG(H168, "SP_ULT_PARENT_COMPANY_NAME")</f>
        <v/>
      </c>
      <c r="K168" s="12" t="str">
        <f>_xll.SNL.Clients.Office.Excel.Functions.SPG(H168, "SP_ULT_PARENT_COUNTRY")</f>
        <v/>
      </c>
      <c r="L168" s="12" t="str">
        <f>_xll.SNL.Clients.Office.Excel.Functions.SPG(H168, "SP_PARENT_COMPANY_NAME")</f>
        <v/>
      </c>
      <c r="M168" s="12" t="str">
        <f>_xll.SNL.Clients.Office.Excel.Functions.SPG(H168, "SP_PARENT_COUNTRY")</f>
        <v/>
      </c>
      <c r="N168" s="12" t="str">
        <f>_xll.SNL.Clients.Office.Excel.Functions.SPG(H168, "SP_COUNTRY_NAME")</f>
        <v>Australia</v>
      </c>
      <c r="O168" s="12" t="str">
        <f>_xll.SNL.Clients.Office.Excel.Functions.SPG(I168, "SP_ULT_PARENT_COMPANY_NAME")</f>
        <v/>
      </c>
      <c r="P168" s="12" t="str">
        <f>_xll.SNL.Clients.Office.Excel.Functions.SPG(I168, "SP_ULT_PARENT_COUNTRY")</f>
        <v/>
      </c>
      <c r="Q168" s="12" t="str">
        <f>_xll.SNL.Clients.Office.Excel.Functions.SPG(I168, "SP_PARENT_COMPANY_NAME")</f>
        <v/>
      </c>
      <c r="R168" s="12" t="str">
        <f>_xll.SNL.Clients.Office.Excel.Functions.SPG(I168, "SP_PARENT_COUNTRY")</f>
        <v/>
      </c>
      <c r="S168" s="12" t="str">
        <f>_xll.SNL.Clients.Office.Excel.Functions.SPG(I168, "SP_COUNTRY_NAME")</f>
        <v>United Kingdom</v>
      </c>
    </row>
    <row r="169" spans="1:19" ht="72.5" x14ac:dyDescent="0.35">
      <c r="A169" s="5">
        <v>46022</v>
      </c>
      <c r="B169" s="4" t="s">
        <v>726</v>
      </c>
      <c r="C169" s="4" t="s">
        <v>727</v>
      </c>
      <c r="D169" s="4" t="s">
        <v>947</v>
      </c>
      <c r="E169" s="8">
        <v>4121840</v>
      </c>
      <c r="F169" s="7">
        <v>57.5</v>
      </c>
      <c r="G169" s="12" t="str">
        <f>[1]!SNLData("243327", C169, "OWNER_LIST")</f>
        <v>Mitsubishi Corporation (Venturer) 8.25%; Rio Tinto Group (Venturer) 30%; Mitsubishi Materials Corporation (Venturer) 1.25%; JX Advanced Metals Corporation (Venturer) 3%; BHP Group Limited (Venturer) 57.5%</v>
      </c>
      <c r="H169" s="9">
        <f>[1]!SNLData("243327", C169, "OWNER_SNL_INSTN_KEY", "Owner 1")</f>
        <v>4121840</v>
      </c>
      <c r="I169" s="9">
        <f>[1]!SNLData("243327", C169, "OWNER_SNL_INSTN_KEY", "Owner 2")</f>
        <v>4149660</v>
      </c>
      <c r="J169" s="12" t="str">
        <f>_xll.SNL.Clients.Office.Excel.Functions.SPG(H169, "SP_ULT_PARENT_COMPANY_NAME")</f>
        <v/>
      </c>
      <c r="K169" s="12" t="str">
        <f>_xll.SNL.Clients.Office.Excel.Functions.SPG(H169, "SP_ULT_PARENT_COUNTRY")</f>
        <v/>
      </c>
      <c r="L169" s="12" t="str">
        <f>_xll.SNL.Clients.Office.Excel.Functions.SPG(H169, "SP_PARENT_COMPANY_NAME")</f>
        <v/>
      </c>
      <c r="M169" s="12" t="str">
        <f>_xll.SNL.Clients.Office.Excel.Functions.SPG(H169, "SP_PARENT_COUNTRY")</f>
        <v/>
      </c>
      <c r="N169" s="12" t="str">
        <f>_xll.SNL.Clients.Office.Excel.Functions.SPG(H169, "SP_COUNTRY_NAME")</f>
        <v>Australia</v>
      </c>
      <c r="O169" s="12" t="str">
        <f>_xll.SNL.Clients.Office.Excel.Functions.SPG(I169, "SP_ULT_PARENT_COMPANY_NAME")</f>
        <v/>
      </c>
      <c r="P169" s="12" t="str">
        <f>_xll.SNL.Clients.Office.Excel.Functions.SPG(I169, "SP_ULT_PARENT_COUNTRY")</f>
        <v/>
      </c>
      <c r="Q169" s="12" t="str">
        <f>_xll.SNL.Clients.Office.Excel.Functions.SPG(I169, "SP_PARENT_COMPANY_NAME")</f>
        <v/>
      </c>
      <c r="R169" s="12" t="str">
        <f>_xll.SNL.Clients.Office.Excel.Functions.SPG(I169, "SP_PARENT_COUNTRY")</f>
        <v/>
      </c>
      <c r="S169" s="12" t="str">
        <f>_xll.SNL.Clients.Office.Excel.Functions.SPG(I169, "SP_COUNTRY_NAME")</f>
        <v>United Kingdom</v>
      </c>
    </row>
    <row r="170" spans="1:19" ht="72.5" x14ac:dyDescent="0.35">
      <c r="A170" s="5">
        <v>46022</v>
      </c>
      <c r="B170" s="4" t="s">
        <v>726</v>
      </c>
      <c r="C170" s="4" t="s">
        <v>727</v>
      </c>
      <c r="D170" s="4" t="s">
        <v>994</v>
      </c>
      <c r="E170" s="8">
        <v>4361542</v>
      </c>
      <c r="F170" s="7">
        <v>3</v>
      </c>
      <c r="G170" s="12" t="str">
        <f>[1]!SNLData("243327", C170, "OWNER_LIST")</f>
        <v>Mitsubishi Corporation (Venturer) 8.25%; Rio Tinto Group (Venturer) 30%; Mitsubishi Materials Corporation (Venturer) 1.25%; JX Advanced Metals Corporation (Venturer) 3%; BHP Group Limited (Venturer) 57.5%</v>
      </c>
      <c r="H170" s="9">
        <f>[1]!SNLData("243327", C170, "OWNER_SNL_INSTN_KEY", "Owner 1")</f>
        <v>4121840</v>
      </c>
      <c r="I170" s="9">
        <f>[1]!SNLData("243327", C170, "OWNER_SNL_INSTN_KEY", "Owner 2")</f>
        <v>4149660</v>
      </c>
      <c r="J170" s="12" t="str">
        <f>_xll.SNL.Clients.Office.Excel.Functions.SPG(H170, "SP_ULT_PARENT_COMPANY_NAME")</f>
        <v/>
      </c>
      <c r="K170" s="12" t="str">
        <f>_xll.SNL.Clients.Office.Excel.Functions.SPG(H170, "SP_ULT_PARENT_COUNTRY")</f>
        <v/>
      </c>
      <c r="L170" s="12" t="str">
        <f>_xll.SNL.Clients.Office.Excel.Functions.SPG(H170, "SP_PARENT_COMPANY_NAME")</f>
        <v/>
      </c>
      <c r="M170" s="12" t="str">
        <f>_xll.SNL.Clients.Office.Excel.Functions.SPG(H170, "SP_PARENT_COUNTRY")</f>
        <v/>
      </c>
      <c r="N170" s="12" t="str">
        <f>_xll.SNL.Clients.Office.Excel.Functions.SPG(H170, "SP_COUNTRY_NAME")</f>
        <v>Australia</v>
      </c>
      <c r="O170" s="12" t="str">
        <f>_xll.SNL.Clients.Office.Excel.Functions.SPG(I170, "SP_ULT_PARENT_COMPANY_NAME")</f>
        <v/>
      </c>
      <c r="P170" s="12" t="str">
        <f>_xll.SNL.Clients.Office.Excel.Functions.SPG(I170, "SP_ULT_PARENT_COUNTRY")</f>
        <v/>
      </c>
      <c r="Q170" s="12" t="str">
        <f>_xll.SNL.Clients.Office.Excel.Functions.SPG(I170, "SP_PARENT_COMPANY_NAME")</f>
        <v/>
      </c>
      <c r="R170" s="12" t="str">
        <f>_xll.SNL.Clients.Office.Excel.Functions.SPG(I170, "SP_PARENT_COUNTRY")</f>
        <v/>
      </c>
      <c r="S170" s="12" t="str">
        <f>_xll.SNL.Clients.Office.Excel.Functions.SPG(I170, "SP_COUNTRY_NAME")</f>
        <v>United Kingdom</v>
      </c>
    </row>
    <row r="171" spans="1:19" ht="72.5" x14ac:dyDescent="0.35">
      <c r="A171" s="5">
        <v>46022</v>
      </c>
      <c r="B171" s="4" t="s">
        <v>726</v>
      </c>
      <c r="C171" s="4" t="s">
        <v>727</v>
      </c>
      <c r="D171" s="4" t="s">
        <v>949</v>
      </c>
      <c r="E171" s="8">
        <v>4065098</v>
      </c>
      <c r="F171" s="7">
        <v>8.25</v>
      </c>
      <c r="G171" s="12" t="str">
        <f>[1]!SNLData("243327", C171, "OWNER_LIST")</f>
        <v>Mitsubishi Corporation (Venturer) 8.25%; Rio Tinto Group (Venturer) 30%; Mitsubishi Materials Corporation (Venturer) 1.25%; JX Advanced Metals Corporation (Venturer) 3%; BHP Group Limited (Venturer) 57.5%</v>
      </c>
      <c r="H171" s="9">
        <f>[1]!SNLData("243327", C171, "OWNER_SNL_INSTN_KEY", "Owner 1")</f>
        <v>4121840</v>
      </c>
      <c r="I171" s="9">
        <f>[1]!SNLData("243327", C171, "OWNER_SNL_INSTN_KEY", "Owner 2")</f>
        <v>4149660</v>
      </c>
      <c r="J171" s="12" t="str">
        <f>_xll.SNL.Clients.Office.Excel.Functions.SPG(H171, "SP_ULT_PARENT_COMPANY_NAME")</f>
        <v/>
      </c>
      <c r="K171" s="12" t="str">
        <f>_xll.SNL.Clients.Office.Excel.Functions.SPG(H171, "SP_ULT_PARENT_COUNTRY")</f>
        <v/>
      </c>
      <c r="L171" s="12" t="str">
        <f>_xll.SNL.Clients.Office.Excel.Functions.SPG(H171, "SP_PARENT_COMPANY_NAME")</f>
        <v/>
      </c>
      <c r="M171" s="12" t="str">
        <f>_xll.SNL.Clients.Office.Excel.Functions.SPG(H171, "SP_PARENT_COUNTRY")</f>
        <v/>
      </c>
      <c r="N171" s="12" t="str">
        <f>_xll.SNL.Clients.Office.Excel.Functions.SPG(H171, "SP_COUNTRY_NAME")</f>
        <v>Australia</v>
      </c>
      <c r="O171" s="12" t="str">
        <f>_xll.SNL.Clients.Office.Excel.Functions.SPG(I171, "SP_ULT_PARENT_COMPANY_NAME")</f>
        <v/>
      </c>
      <c r="P171" s="12" t="str">
        <f>_xll.SNL.Clients.Office.Excel.Functions.SPG(I171, "SP_ULT_PARENT_COUNTRY")</f>
        <v/>
      </c>
      <c r="Q171" s="12" t="str">
        <f>_xll.SNL.Clients.Office.Excel.Functions.SPG(I171, "SP_PARENT_COMPANY_NAME")</f>
        <v/>
      </c>
      <c r="R171" s="12" t="str">
        <f>_xll.SNL.Clients.Office.Excel.Functions.SPG(I171, "SP_PARENT_COUNTRY")</f>
        <v/>
      </c>
      <c r="S171" s="12" t="str">
        <f>_xll.SNL.Clients.Office.Excel.Functions.SPG(I171, "SP_COUNTRY_NAME")</f>
        <v>United Kingdom</v>
      </c>
    </row>
    <row r="172" spans="1:19" ht="72.5" x14ac:dyDescent="0.35">
      <c r="A172" s="5">
        <v>46022</v>
      </c>
      <c r="B172" s="4" t="s">
        <v>726</v>
      </c>
      <c r="C172" s="4" t="s">
        <v>727</v>
      </c>
      <c r="D172" s="4" t="s">
        <v>1033</v>
      </c>
      <c r="E172" s="8">
        <v>4212961</v>
      </c>
      <c r="F172" s="7">
        <v>1.25</v>
      </c>
      <c r="G172" s="12" t="str">
        <f>[1]!SNLData("243327", C172, "OWNER_LIST")</f>
        <v>Mitsubishi Corporation (Venturer) 8.25%; Rio Tinto Group (Venturer) 30%; Mitsubishi Materials Corporation (Venturer) 1.25%; JX Advanced Metals Corporation (Venturer) 3%; BHP Group Limited (Venturer) 57.5%</v>
      </c>
      <c r="H172" s="9">
        <f>[1]!SNLData("243327", C172, "OWNER_SNL_INSTN_KEY", "Owner 1")</f>
        <v>4121840</v>
      </c>
      <c r="I172" s="9">
        <f>[1]!SNLData("243327", C172, "OWNER_SNL_INSTN_KEY", "Owner 2")</f>
        <v>4149660</v>
      </c>
      <c r="J172" s="12" t="str">
        <f>_xll.SNL.Clients.Office.Excel.Functions.SPG(H172, "SP_ULT_PARENT_COMPANY_NAME")</f>
        <v/>
      </c>
      <c r="K172" s="12" t="str">
        <f>_xll.SNL.Clients.Office.Excel.Functions.SPG(H172, "SP_ULT_PARENT_COUNTRY")</f>
        <v/>
      </c>
      <c r="L172" s="12" t="str">
        <f>_xll.SNL.Clients.Office.Excel.Functions.SPG(H172, "SP_PARENT_COMPANY_NAME")</f>
        <v/>
      </c>
      <c r="M172" s="12" t="str">
        <f>_xll.SNL.Clients.Office.Excel.Functions.SPG(H172, "SP_PARENT_COUNTRY")</f>
        <v/>
      </c>
      <c r="N172" s="12" t="str">
        <f>_xll.SNL.Clients.Office.Excel.Functions.SPG(H172, "SP_COUNTRY_NAME")</f>
        <v>Australia</v>
      </c>
      <c r="O172" s="12" t="str">
        <f>_xll.SNL.Clients.Office.Excel.Functions.SPG(I172, "SP_ULT_PARENT_COMPANY_NAME")</f>
        <v/>
      </c>
      <c r="P172" s="12" t="str">
        <f>_xll.SNL.Clients.Office.Excel.Functions.SPG(I172, "SP_ULT_PARENT_COUNTRY")</f>
        <v/>
      </c>
      <c r="Q172" s="12" t="str">
        <f>_xll.SNL.Clients.Office.Excel.Functions.SPG(I172, "SP_PARENT_COMPANY_NAME")</f>
        <v/>
      </c>
      <c r="R172" s="12" t="str">
        <f>_xll.SNL.Clients.Office.Excel.Functions.SPG(I172, "SP_PARENT_COUNTRY")</f>
        <v/>
      </c>
      <c r="S172" s="12" t="str">
        <f>_xll.SNL.Clients.Office.Excel.Functions.SPG(I172, "SP_COUNTRY_NAME")</f>
        <v>United Kingdom</v>
      </c>
    </row>
    <row r="173" spans="1:19" ht="72.5" x14ac:dyDescent="0.35">
      <c r="A173" s="5">
        <v>46022</v>
      </c>
      <c r="B173" s="4" t="s">
        <v>726</v>
      </c>
      <c r="C173" s="4" t="s">
        <v>727</v>
      </c>
      <c r="D173" s="4" t="s">
        <v>971</v>
      </c>
      <c r="E173" s="8">
        <v>4149660</v>
      </c>
      <c r="F173" s="7">
        <v>30</v>
      </c>
      <c r="G173" s="12" t="str">
        <f>[1]!SNLData("243327", C173, "OWNER_LIST")</f>
        <v>Mitsubishi Corporation (Venturer) 8.25%; Rio Tinto Group (Venturer) 30%; Mitsubishi Materials Corporation (Venturer) 1.25%; JX Advanced Metals Corporation (Venturer) 3%; BHP Group Limited (Venturer) 57.5%</v>
      </c>
      <c r="H173" s="9">
        <f>[1]!SNLData("243327", C173, "OWNER_SNL_INSTN_KEY", "Owner 1")</f>
        <v>4121840</v>
      </c>
      <c r="I173" s="9">
        <f>[1]!SNLData("243327", C173, "OWNER_SNL_INSTN_KEY", "Owner 2")</f>
        <v>4149660</v>
      </c>
      <c r="J173" s="12" t="str">
        <f>_xll.SNL.Clients.Office.Excel.Functions.SPG(H173, "SP_ULT_PARENT_COMPANY_NAME")</f>
        <v/>
      </c>
      <c r="K173" s="12" t="str">
        <f>_xll.SNL.Clients.Office.Excel.Functions.SPG(H173, "SP_ULT_PARENT_COUNTRY")</f>
        <v/>
      </c>
      <c r="L173" s="12" t="str">
        <f>_xll.SNL.Clients.Office.Excel.Functions.SPG(H173, "SP_PARENT_COMPANY_NAME")</f>
        <v/>
      </c>
      <c r="M173" s="12" t="str">
        <f>_xll.SNL.Clients.Office.Excel.Functions.SPG(H173, "SP_PARENT_COUNTRY")</f>
        <v/>
      </c>
      <c r="N173" s="12" t="str">
        <f>_xll.SNL.Clients.Office.Excel.Functions.SPG(H173, "SP_COUNTRY_NAME")</f>
        <v>Australia</v>
      </c>
      <c r="O173" s="12" t="str">
        <f>_xll.SNL.Clients.Office.Excel.Functions.SPG(I173, "SP_ULT_PARENT_COMPANY_NAME")</f>
        <v/>
      </c>
      <c r="P173" s="12" t="str">
        <f>_xll.SNL.Clients.Office.Excel.Functions.SPG(I173, "SP_ULT_PARENT_COUNTRY")</f>
        <v/>
      </c>
      <c r="Q173" s="12" t="str">
        <f>_xll.SNL.Clients.Office.Excel.Functions.SPG(I173, "SP_PARENT_COMPANY_NAME")</f>
        <v/>
      </c>
      <c r="R173" s="12" t="str">
        <f>_xll.SNL.Clients.Office.Excel.Functions.SPG(I173, "SP_PARENT_COUNTRY")</f>
        <v/>
      </c>
      <c r="S173" s="12" t="str">
        <f>_xll.SNL.Clients.Office.Excel.Functions.SPG(I173, "SP_COUNTRY_NAME")</f>
        <v>United Kingdom</v>
      </c>
    </row>
    <row r="174" spans="1:19" ht="29" x14ac:dyDescent="0.35">
      <c r="A174" s="5">
        <v>46022</v>
      </c>
      <c r="B174" s="4" t="s">
        <v>211</v>
      </c>
      <c r="C174" s="4" t="s">
        <v>212</v>
      </c>
      <c r="D174" s="4" t="s">
        <v>213</v>
      </c>
      <c r="E174" s="8">
        <v>4350734</v>
      </c>
      <c r="F174" s="7">
        <v>5</v>
      </c>
      <c r="G174" s="12" t="str">
        <f>[1]!SNLData("243327", C174, "OWNER_LIST")</f>
        <v>Shalina Resources Ltd  95%; Dem. Rep. Congo (Carried) 5%</v>
      </c>
      <c r="H174" s="9">
        <f>[1]!SNLData("243327", C174, "OWNER_SNL_INSTN_KEY", "Owner 1")</f>
        <v>4365787</v>
      </c>
      <c r="I174" s="9">
        <f>[1]!SNLData("243327", C174, "OWNER_SNL_INSTN_KEY", "Owner 2")</f>
        <v>4350734</v>
      </c>
      <c r="J174" s="12" t="str">
        <f>_xll.SNL.Clients.Office.Excel.Functions.SPG(H174, "SP_ULT_PARENT_COMPANY_NAME")</f>
        <v>Shalina Group Limited</v>
      </c>
      <c r="K174" s="12" t="str">
        <f>_xll.SNL.Clients.Office.Excel.Functions.SPG(H174, "SP_ULT_PARENT_COUNTRY")</f>
        <v>United Arab Emirates</v>
      </c>
      <c r="L174" s="12" t="str">
        <f>_xll.SNL.Clients.Office.Excel.Functions.SPG(H174, "SP_PARENT_COMPANY_NAME")</f>
        <v>Shalina Group Limited</v>
      </c>
      <c r="M174" s="12" t="str">
        <f>_xll.SNL.Clients.Office.Excel.Functions.SPG(H174, "SP_PARENT_COUNTRY")</f>
        <v>United Arab Emirates</v>
      </c>
      <c r="N174" s="12" t="str">
        <f>_xll.SNL.Clients.Office.Excel.Functions.SPG(H174, "SP_COUNTRY_NAME")</f>
        <v>United Kingdom</v>
      </c>
      <c r="O174" s="12" t="str">
        <f>_xll.SNL.Clients.Office.Excel.Functions.SPG(I174, "SP_ULT_PARENT_COMPANY_NAME")</f>
        <v/>
      </c>
      <c r="P174" s="12" t="str">
        <f>_xll.SNL.Clients.Office.Excel.Functions.SPG(I174, "SP_ULT_PARENT_COUNTRY")</f>
        <v/>
      </c>
      <c r="Q174" s="12" t="str">
        <f>_xll.SNL.Clients.Office.Excel.Functions.SPG(I174, "SP_PARENT_COMPANY_NAME")</f>
        <v/>
      </c>
      <c r="R174" s="12" t="str">
        <f>_xll.SNL.Clients.Office.Excel.Functions.SPG(I174, "SP_PARENT_COUNTRY")</f>
        <v/>
      </c>
      <c r="S174" s="12" t="str">
        <f>_xll.SNL.Clients.Office.Excel.Functions.SPG(I174, "SP_COUNTRY_NAME")</f>
        <v>Dem. Rep. Congo</v>
      </c>
    </row>
    <row r="175" spans="1:19" ht="29" x14ac:dyDescent="0.35">
      <c r="A175" s="5">
        <v>46022</v>
      </c>
      <c r="B175" s="4" t="s">
        <v>211</v>
      </c>
      <c r="C175" s="4" t="s">
        <v>212</v>
      </c>
      <c r="D175" s="4" t="s">
        <v>1034</v>
      </c>
      <c r="E175" s="8">
        <v>4365787</v>
      </c>
      <c r="F175" s="7">
        <v>95</v>
      </c>
      <c r="G175" s="12" t="str">
        <f>[1]!SNLData("243327", C175, "OWNER_LIST")</f>
        <v>Shalina Resources Ltd  95%; Dem. Rep. Congo (Carried) 5%</v>
      </c>
      <c r="H175" s="9">
        <f>[1]!SNLData("243327", C175, "OWNER_SNL_INSTN_KEY", "Owner 1")</f>
        <v>4365787</v>
      </c>
      <c r="I175" s="9">
        <f>[1]!SNLData("243327", C175, "OWNER_SNL_INSTN_KEY", "Owner 2")</f>
        <v>4350734</v>
      </c>
      <c r="J175" s="12" t="str">
        <f>_xll.SNL.Clients.Office.Excel.Functions.SPG(H175, "SP_ULT_PARENT_COMPANY_NAME")</f>
        <v>Shalina Group Limited</v>
      </c>
      <c r="K175" s="12" t="str">
        <f>_xll.SNL.Clients.Office.Excel.Functions.SPG(H175, "SP_ULT_PARENT_COUNTRY")</f>
        <v>United Arab Emirates</v>
      </c>
      <c r="L175" s="12" t="str">
        <f>_xll.SNL.Clients.Office.Excel.Functions.SPG(H175, "SP_PARENT_COMPANY_NAME")</f>
        <v>Shalina Group Limited</v>
      </c>
      <c r="M175" s="12" t="str">
        <f>_xll.SNL.Clients.Office.Excel.Functions.SPG(H175, "SP_PARENT_COUNTRY")</f>
        <v>United Arab Emirates</v>
      </c>
      <c r="N175" s="12" t="str">
        <f>_xll.SNL.Clients.Office.Excel.Functions.SPG(H175, "SP_COUNTRY_NAME")</f>
        <v>United Kingdom</v>
      </c>
      <c r="O175" s="12" t="str">
        <f>_xll.SNL.Clients.Office.Excel.Functions.SPG(I175, "SP_ULT_PARENT_COMPANY_NAME")</f>
        <v/>
      </c>
      <c r="P175" s="12" t="str">
        <f>_xll.SNL.Clients.Office.Excel.Functions.SPG(I175, "SP_ULT_PARENT_COUNTRY")</f>
        <v/>
      </c>
      <c r="Q175" s="12" t="str">
        <f>_xll.SNL.Clients.Office.Excel.Functions.SPG(I175, "SP_PARENT_COMPANY_NAME")</f>
        <v/>
      </c>
      <c r="R175" s="12" t="str">
        <f>_xll.SNL.Clients.Office.Excel.Functions.SPG(I175, "SP_PARENT_COUNTRY")</f>
        <v/>
      </c>
      <c r="S175" s="12" t="str">
        <f>_xll.SNL.Clients.Office.Excel.Functions.SPG(I175, "SP_COUNTRY_NAME")</f>
        <v>Dem. Rep. Congo</v>
      </c>
    </row>
    <row r="176" spans="1:19" ht="29" x14ac:dyDescent="0.35">
      <c r="A176" s="5">
        <v>46022</v>
      </c>
      <c r="B176" s="4" t="s">
        <v>214</v>
      </c>
      <c r="C176" s="4" t="s">
        <v>215</v>
      </c>
      <c r="D176" s="4" t="s">
        <v>1024</v>
      </c>
      <c r="E176" s="8">
        <v>4314727</v>
      </c>
      <c r="F176" s="7">
        <v>100</v>
      </c>
      <c r="G176" s="12" t="str">
        <f>[1]!SNLData("243327", C176, "OWNER_LIST")</f>
        <v>Tongling Nonferrous Metals Group Co.,Ltd.  100%</v>
      </c>
      <c r="H176" s="9">
        <f>[1]!SNLData("243327", C176, "OWNER_SNL_INSTN_KEY", "Owner 1")</f>
        <v>4314727</v>
      </c>
      <c r="I176" s="9" t="str">
        <f>[1]!SNLData("243327", C176, "OWNER_SNL_INSTN_KEY", "Owner 2")</f>
        <v>NA</v>
      </c>
      <c r="J176" s="12" t="str">
        <f>_xll.SNL.Clients.Office.Excel.Functions.SPG(H176, "SP_ULT_PARENT_COMPANY_NAME")</f>
        <v/>
      </c>
      <c r="K176" s="12" t="str">
        <f>_xll.SNL.Clients.Office.Excel.Functions.SPG(H176, "SP_ULT_PARENT_COUNTRY")</f>
        <v/>
      </c>
      <c r="L176" s="12" t="str">
        <f>_xll.SNL.Clients.Office.Excel.Functions.SPG(H176, "SP_PARENT_COMPANY_NAME")</f>
        <v/>
      </c>
      <c r="M176" s="12" t="str">
        <f>_xll.SNL.Clients.Office.Excel.Functions.SPG(H176, "SP_PARENT_COUNTRY")</f>
        <v/>
      </c>
      <c r="N176" s="12" t="str">
        <f>_xll.SNL.Clients.Office.Excel.Functions.SPG(H176, "SP_COUNTRY_NAME")</f>
        <v>China</v>
      </c>
      <c r="O176" s="12" t="str">
        <f>_xll.SNL.Clients.Office.Excel.Functions.SPG(I176, "SP_ULT_PARENT_COMPANY_NAME")</f>
        <v/>
      </c>
      <c r="P176" s="12" t="str">
        <f>_xll.SNL.Clients.Office.Excel.Functions.SPG(I176, "SP_ULT_PARENT_COUNTRY")</f>
        <v/>
      </c>
      <c r="Q176" s="12" t="str">
        <f>_xll.SNL.Clients.Office.Excel.Functions.SPG(I176, "SP_PARENT_COMPANY_NAME")</f>
        <v/>
      </c>
      <c r="R176" s="12" t="str">
        <f>_xll.SNL.Clients.Office.Excel.Functions.SPG(I176, "SP_PARENT_COUNTRY")</f>
        <v/>
      </c>
      <c r="S176" s="12" t="str">
        <f>_xll.SNL.Clients.Office.Excel.Functions.SPG(I176, "SP_COUNTRY_NAME")</f>
        <v>China</v>
      </c>
    </row>
    <row r="177" spans="1:19" x14ac:dyDescent="0.35">
      <c r="A177" s="5">
        <v>46022</v>
      </c>
      <c r="B177" s="4" t="s">
        <v>229</v>
      </c>
      <c r="C177" s="4" t="s">
        <v>230</v>
      </c>
      <c r="D177" s="4" t="s">
        <v>1035</v>
      </c>
      <c r="E177" s="8">
        <v>10930017</v>
      </c>
      <c r="F177" s="7">
        <v>100</v>
      </c>
      <c r="G177" s="12" t="str">
        <f>[1]!SNLData("243327", C177, "OWNER_LIST")</f>
        <v>Hubei Fengjiashan Mining Co., Ltd.  100%</v>
      </c>
      <c r="H177" s="9">
        <f>[1]!SNLData("243327", C177, "OWNER_SNL_INSTN_KEY", "Owner 1")</f>
        <v>10930017</v>
      </c>
      <c r="I177" s="9" t="str">
        <f>[1]!SNLData("243327", C177, "OWNER_SNL_INSTN_KEY", "Owner 2")</f>
        <v>NA</v>
      </c>
      <c r="J177" s="12" t="str">
        <f>_xll.SNL.Clients.Office.Excel.Functions.SPG(H177, "SP_ULT_PARENT_COMPANY_NAME")</f>
        <v/>
      </c>
      <c r="K177" s="12" t="str">
        <f>_xll.SNL.Clients.Office.Excel.Functions.SPG(H177, "SP_ULT_PARENT_COUNTRY")</f>
        <v/>
      </c>
      <c r="L177" s="12" t="str">
        <f>_xll.SNL.Clients.Office.Excel.Functions.SPG(H177, "SP_PARENT_COMPANY_NAME")</f>
        <v/>
      </c>
      <c r="M177" s="12" t="str">
        <f>_xll.SNL.Clients.Office.Excel.Functions.SPG(H177, "SP_PARENT_COUNTRY")</f>
        <v/>
      </c>
      <c r="N177" s="12" t="str">
        <f>_xll.SNL.Clients.Office.Excel.Functions.SPG(H177, "SP_COUNTRY_NAME")</f>
        <v>China</v>
      </c>
      <c r="O177" s="12" t="str">
        <f>_xll.SNL.Clients.Office.Excel.Functions.SPG(I177, "SP_ULT_PARENT_COMPANY_NAME")</f>
        <v/>
      </c>
      <c r="P177" s="12" t="str">
        <f>_xll.SNL.Clients.Office.Excel.Functions.SPG(I177, "SP_ULT_PARENT_COUNTRY")</f>
        <v/>
      </c>
      <c r="Q177" s="12" t="str">
        <f>_xll.SNL.Clients.Office.Excel.Functions.SPG(I177, "SP_PARENT_COMPANY_NAME")</f>
        <v/>
      </c>
      <c r="R177" s="12" t="str">
        <f>_xll.SNL.Clients.Office.Excel.Functions.SPG(I177, "SP_PARENT_COUNTRY")</f>
        <v/>
      </c>
      <c r="S177" s="12" t="str">
        <f>_xll.SNL.Clients.Office.Excel.Functions.SPG(I177, "SP_COUNTRY_NAME")</f>
        <v>China</v>
      </c>
    </row>
    <row r="178" spans="1:19" ht="72.5" x14ac:dyDescent="0.35">
      <c r="A178" s="5">
        <v>46022</v>
      </c>
      <c r="B178" s="4" t="s">
        <v>728</v>
      </c>
      <c r="C178" s="4" t="s">
        <v>729</v>
      </c>
      <c r="D178" s="4" t="s">
        <v>1036</v>
      </c>
      <c r="E178" s="8">
        <v>4349131</v>
      </c>
      <c r="F178" s="7">
        <v>95.35</v>
      </c>
      <c r="G178" s="12" t="str">
        <f>[1]!SNLData("243327", C178, "OWNER_LIST")</f>
        <v>Unnamed Owner (Fractional) %; China Daye Non-Ferrous Metals Mining Limited (Venturer) 95.35%</v>
      </c>
      <c r="H178" s="9">
        <f>[1]!SNLData("243327", C178, "OWNER_SNL_INSTN_KEY", "Owner 1")</f>
        <v>4349131</v>
      </c>
      <c r="I178" s="9">
        <f>[1]!SNLData("243327", C178, "OWNER_SNL_INSTN_KEY", "Owner 2")</f>
        <v>4400798</v>
      </c>
      <c r="J178" s="12" t="str">
        <f>_xll.SNL.Clients.Office.Excel.Functions.SPG(H178, "SP_ULT_PARENT_COMPANY_NAME")</f>
        <v>State-owned Assets Supervision and Administration Commission of the State Counci</v>
      </c>
      <c r="K178" s="12" t="str">
        <f>_xll.SNL.Clients.Office.Excel.Functions.SPG(H178, "SP_ULT_PARENT_COUNTRY")</f>
        <v>China</v>
      </c>
      <c r="L178" s="12" t="str">
        <f>_xll.SNL.Clients.Office.Excel.Functions.SPG(H178, "SP_PARENT_COMPANY_NAME")</f>
        <v>Daye Nonferrous Metals Group Holdings Co., Ltd.</v>
      </c>
      <c r="M178" s="12" t="str">
        <f>_xll.SNL.Clients.Office.Excel.Functions.SPG(H178, "SP_PARENT_COUNTRY")</f>
        <v>China</v>
      </c>
      <c r="N178" s="12" t="str">
        <f>_xll.SNL.Clients.Office.Excel.Functions.SPG(H178, "SP_COUNTRY_NAME")</f>
        <v>Hong Kong</v>
      </c>
      <c r="O178" s="12" t="str">
        <f>_xll.SNL.Clients.Office.Excel.Functions.SPG(I178, "SP_ULT_PARENT_COMPANY_NAME")</f>
        <v/>
      </c>
      <c r="P178" s="12" t="str">
        <f>_xll.SNL.Clients.Office.Excel.Functions.SPG(I178, "SP_ULT_PARENT_COUNTRY")</f>
        <v/>
      </c>
      <c r="Q178" s="12" t="str">
        <f>_xll.SNL.Clients.Office.Excel.Functions.SPG(I178, "SP_PARENT_COMPANY_NAME")</f>
        <v/>
      </c>
      <c r="R178" s="12" t="str">
        <f>_xll.SNL.Clients.Office.Excel.Functions.SPG(I178, "SP_PARENT_COUNTRY")</f>
        <v/>
      </c>
      <c r="S178" s="12" t="str">
        <f>_xll.SNL.Clients.Office.Excel.Functions.SPG(I178, "SP_COUNTRY_NAME")</f>
        <v>USA</v>
      </c>
    </row>
    <row r="179" spans="1:19" x14ac:dyDescent="0.35">
      <c r="A179" s="5">
        <v>46022</v>
      </c>
      <c r="B179" s="4" t="s">
        <v>352</v>
      </c>
      <c r="C179" s="4" t="s">
        <v>353</v>
      </c>
      <c r="D179" s="4" t="s">
        <v>1037</v>
      </c>
      <c r="E179" s="8">
        <v>4350830</v>
      </c>
      <c r="F179" s="7">
        <v>100</v>
      </c>
      <c r="G179" s="12" t="str">
        <f>[1]!SNLData("243327", C179, "OWNER_LIST")</f>
        <v>Grupo Minero Las Cenizas S.A.  100%</v>
      </c>
      <c r="H179" s="9">
        <f>[1]!SNLData("243327", C179, "OWNER_SNL_INSTN_KEY", "Owner 1")</f>
        <v>4350830</v>
      </c>
      <c r="I179" s="9" t="str">
        <f>[1]!SNLData("243327", C179, "OWNER_SNL_INSTN_KEY", "Owner 2")</f>
        <v>NA</v>
      </c>
      <c r="J179" s="12" t="str">
        <f>_xll.SNL.Clients.Office.Excel.Functions.SPG(H179, "SP_ULT_PARENT_COMPANY_NAME")</f>
        <v/>
      </c>
      <c r="K179" s="12" t="str">
        <f>_xll.SNL.Clients.Office.Excel.Functions.SPG(H179, "SP_ULT_PARENT_COUNTRY")</f>
        <v/>
      </c>
      <c r="L179" s="12" t="str">
        <f>_xll.SNL.Clients.Office.Excel.Functions.SPG(H179, "SP_PARENT_COMPANY_NAME")</f>
        <v/>
      </c>
      <c r="M179" s="12" t="str">
        <f>_xll.SNL.Clients.Office.Excel.Functions.SPG(H179, "SP_PARENT_COUNTRY")</f>
        <v/>
      </c>
      <c r="N179" s="12" t="str">
        <f>_xll.SNL.Clients.Office.Excel.Functions.SPG(H179, "SP_COUNTRY_NAME")</f>
        <v>Chile</v>
      </c>
      <c r="O179" s="12" t="str">
        <f>_xll.SNL.Clients.Office.Excel.Functions.SPG(I179, "SP_ULT_PARENT_COMPANY_NAME")</f>
        <v/>
      </c>
      <c r="P179" s="12" t="str">
        <f>_xll.SNL.Clients.Office.Excel.Functions.SPG(I179, "SP_ULT_PARENT_COUNTRY")</f>
        <v/>
      </c>
      <c r="Q179" s="12" t="str">
        <f>_xll.SNL.Clients.Office.Excel.Functions.SPG(I179, "SP_PARENT_COMPANY_NAME")</f>
        <v/>
      </c>
      <c r="R179" s="12" t="str">
        <f>_xll.SNL.Clients.Office.Excel.Functions.SPG(I179, "SP_PARENT_COUNTRY")</f>
        <v/>
      </c>
      <c r="S179" s="12" t="str">
        <f>_xll.SNL.Clients.Office.Excel.Functions.SPG(I179, "SP_COUNTRY_NAME")</f>
        <v>China</v>
      </c>
    </row>
    <row r="180" spans="1:19" ht="29" x14ac:dyDescent="0.35">
      <c r="A180" s="5">
        <v>46022</v>
      </c>
      <c r="B180" s="4" t="s">
        <v>216</v>
      </c>
      <c r="C180" s="4" t="s">
        <v>217</v>
      </c>
      <c r="D180" s="4" t="s">
        <v>213</v>
      </c>
      <c r="E180" s="8">
        <v>4350734</v>
      </c>
      <c r="F180" s="7">
        <v>5</v>
      </c>
      <c r="G180" s="12" t="str">
        <f>[1]!SNLData("243327", C180, "OWNER_LIST")</f>
        <v>Eurasian Resources Group S.à r.l. (Venturer) 95%; Dem. Rep. Congo (Venturer) 5%</v>
      </c>
      <c r="H180" s="9">
        <f>[1]!SNLData("243327", C180, "OWNER_SNL_INSTN_KEY", "Owner 1")</f>
        <v>4581024</v>
      </c>
      <c r="I180" s="9">
        <f>[1]!SNLData("243327", C180, "OWNER_SNL_INSTN_KEY", "Owner 2")</f>
        <v>4350734</v>
      </c>
      <c r="J180" s="12" t="str">
        <f>_xll.SNL.Clients.Office.Excel.Functions.SPG(H180, "SP_ULT_PARENT_COMPANY_NAME")</f>
        <v/>
      </c>
      <c r="K180" s="12" t="str">
        <f>_xll.SNL.Clients.Office.Excel.Functions.SPG(H180, "SP_ULT_PARENT_COUNTRY")</f>
        <v/>
      </c>
      <c r="L180" s="12" t="str">
        <f>_xll.SNL.Clients.Office.Excel.Functions.SPG(H180, "SP_PARENT_COMPANY_NAME")</f>
        <v/>
      </c>
      <c r="M180" s="12" t="str">
        <f>_xll.SNL.Clients.Office.Excel.Functions.SPG(H180, "SP_PARENT_COUNTRY")</f>
        <v/>
      </c>
      <c r="N180" s="12" t="str">
        <f>_xll.SNL.Clients.Office.Excel.Functions.SPG(H180, "SP_COUNTRY_NAME")</f>
        <v>Luxembourg</v>
      </c>
      <c r="O180" s="12" t="str">
        <f>_xll.SNL.Clients.Office.Excel.Functions.SPG(I180, "SP_ULT_PARENT_COMPANY_NAME")</f>
        <v/>
      </c>
      <c r="P180" s="12" t="str">
        <f>_xll.SNL.Clients.Office.Excel.Functions.SPG(I180, "SP_ULT_PARENT_COUNTRY")</f>
        <v/>
      </c>
      <c r="Q180" s="12" t="str">
        <f>_xll.SNL.Clients.Office.Excel.Functions.SPG(I180, "SP_PARENT_COMPANY_NAME")</f>
        <v/>
      </c>
      <c r="R180" s="12" t="str">
        <f>_xll.SNL.Clients.Office.Excel.Functions.SPG(I180, "SP_PARENT_COUNTRY")</f>
        <v/>
      </c>
      <c r="S180" s="12" t="str">
        <f>_xll.SNL.Clients.Office.Excel.Functions.SPG(I180, "SP_COUNTRY_NAME")</f>
        <v>Dem. Rep. Congo</v>
      </c>
    </row>
    <row r="181" spans="1:19" ht="29" x14ac:dyDescent="0.35">
      <c r="A181" s="5">
        <v>46022</v>
      </c>
      <c r="B181" s="4" t="s">
        <v>216</v>
      </c>
      <c r="C181" s="4" t="s">
        <v>217</v>
      </c>
      <c r="D181" s="4" t="s">
        <v>1038</v>
      </c>
      <c r="E181" s="8">
        <v>4581024</v>
      </c>
      <c r="F181" s="7">
        <v>95</v>
      </c>
      <c r="G181" s="12" t="str">
        <f>[1]!SNLData("243327", C181, "OWNER_LIST")</f>
        <v>Eurasian Resources Group S.à r.l. (Venturer) 95%; Dem. Rep. Congo (Venturer) 5%</v>
      </c>
      <c r="H181" s="9">
        <f>[1]!SNLData("243327", C181, "OWNER_SNL_INSTN_KEY", "Owner 1")</f>
        <v>4581024</v>
      </c>
      <c r="I181" s="9">
        <f>[1]!SNLData("243327", C181, "OWNER_SNL_INSTN_KEY", "Owner 2")</f>
        <v>4350734</v>
      </c>
      <c r="J181" s="12" t="str">
        <f>_xll.SNL.Clients.Office.Excel.Functions.SPG(H181, "SP_ULT_PARENT_COMPANY_NAME")</f>
        <v/>
      </c>
      <c r="K181" s="12" t="str">
        <f>_xll.SNL.Clients.Office.Excel.Functions.SPG(H181, "SP_ULT_PARENT_COUNTRY")</f>
        <v/>
      </c>
      <c r="L181" s="12" t="str">
        <f>_xll.SNL.Clients.Office.Excel.Functions.SPG(H181, "SP_PARENT_COMPANY_NAME")</f>
        <v/>
      </c>
      <c r="M181" s="12" t="str">
        <f>_xll.SNL.Clients.Office.Excel.Functions.SPG(H181, "SP_PARENT_COUNTRY")</f>
        <v/>
      </c>
      <c r="N181" s="12" t="str">
        <f>_xll.SNL.Clients.Office.Excel.Functions.SPG(H181, "SP_COUNTRY_NAME")</f>
        <v>Luxembourg</v>
      </c>
      <c r="O181" s="12" t="str">
        <f>_xll.SNL.Clients.Office.Excel.Functions.SPG(I181, "SP_ULT_PARENT_COMPANY_NAME")</f>
        <v/>
      </c>
      <c r="P181" s="12" t="str">
        <f>_xll.SNL.Clients.Office.Excel.Functions.SPG(I181, "SP_ULT_PARENT_COUNTRY")</f>
        <v/>
      </c>
      <c r="Q181" s="12" t="str">
        <f>_xll.SNL.Clients.Office.Excel.Functions.SPG(I181, "SP_PARENT_COMPANY_NAME")</f>
        <v/>
      </c>
      <c r="R181" s="12" t="str">
        <f>_xll.SNL.Clients.Office.Excel.Functions.SPG(I181, "SP_PARENT_COUNTRY")</f>
        <v/>
      </c>
      <c r="S181" s="12" t="str">
        <f>_xll.SNL.Clients.Office.Excel.Functions.SPG(I181, "SP_COUNTRY_NAME")</f>
        <v>Dem. Rep. Congo</v>
      </c>
    </row>
    <row r="182" spans="1:19" ht="29" x14ac:dyDescent="0.35">
      <c r="A182" s="5">
        <v>46022</v>
      </c>
      <c r="B182" s="4" t="s">
        <v>218</v>
      </c>
      <c r="C182" s="4" t="s">
        <v>219</v>
      </c>
      <c r="D182" s="4" t="s">
        <v>1039</v>
      </c>
      <c r="E182" s="8">
        <v>10930033</v>
      </c>
      <c r="F182" s="7">
        <v>100</v>
      </c>
      <c r="G182" s="12" t="str">
        <f>[1]!SNLData("243327", C182, "OWNER_LIST")</f>
        <v>Inner Mongolia Chifeng Fuyuan Mining Co., Ltd.  100%</v>
      </c>
      <c r="H182" s="9">
        <f>[1]!SNLData("243327", C182, "OWNER_SNL_INSTN_KEY", "Owner 1")</f>
        <v>10930033</v>
      </c>
      <c r="I182" s="9" t="str">
        <f>[1]!SNLData("243327", C182, "OWNER_SNL_INSTN_KEY", "Owner 2")</f>
        <v>NA</v>
      </c>
      <c r="J182" s="12" t="str">
        <f>_xll.SNL.Clients.Office.Excel.Functions.SPG(H182, "SP_ULT_PARENT_COMPANY_NAME")</f>
        <v/>
      </c>
      <c r="K182" s="12" t="str">
        <f>_xll.SNL.Clients.Office.Excel.Functions.SPG(H182, "SP_ULT_PARENT_COUNTRY")</f>
        <v/>
      </c>
      <c r="L182" s="12" t="str">
        <f>_xll.SNL.Clients.Office.Excel.Functions.SPG(H182, "SP_PARENT_COMPANY_NAME")</f>
        <v/>
      </c>
      <c r="M182" s="12" t="str">
        <f>_xll.SNL.Clients.Office.Excel.Functions.SPG(H182, "SP_PARENT_COUNTRY")</f>
        <v/>
      </c>
      <c r="N182" s="12" t="str">
        <f>_xll.SNL.Clients.Office.Excel.Functions.SPG(H182, "SP_COUNTRY_NAME")</f>
        <v>China</v>
      </c>
      <c r="O182" s="12" t="str">
        <f>_xll.SNL.Clients.Office.Excel.Functions.SPG(I182, "SP_ULT_PARENT_COMPANY_NAME")</f>
        <v/>
      </c>
      <c r="P182" s="12" t="str">
        <f>_xll.SNL.Clients.Office.Excel.Functions.SPG(I182, "SP_ULT_PARENT_COUNTRY")</f>
        <v/>
      </c>
      <c r="Q182" s="12" t="str">
        <f>_xll.SNL.Clients.Office.Excel.Functions.SPG(I182, "SP_PARENT_COMPANY_NAME")</f>
        <v/>
      </c>
      <c r="R182" s="12" t="str">
        <f>_xll.SNL.Clients.Office.Excel.Functions.SPG(I182, "SP_PARENT_COUNTRY")</f>
        <v/>
      </c>
      <c r="S182" s="12" t="str">
        <f>_xll.SNL.Clients.Office.Excel.Functions.SPG(I182, "SP_COUNTRY_NAME")</f>
        <v>China</v>
      </c>
    </row>
    <row r="183" spans="1:19" x14ac:dyDescent="0.35">
      <c r="A183" s="5">
        <v>46022</v>
      </c>
      <c r="B183" s="4" t="s">
        <v>730</v>
      </c>
      <c r="C183" s="4" t="s">
        <v>731</v>
      </c>
      <c r="D183" s="4" t="s">
        <v>945</v>
      </c>
      <c r="E183" s="8">
        <v>4349314</v>
      </c>
      <c r="F183" s="7">
        <v>100</v>
      </c>
      <c r="G183" s="12" t="str">
        <f>[1]!SNLData("243327", C183, "OWNER_LIST")</f>
        <v>Corporación Nacional del Cobre de Chile  100%</v>
      </c>
      <c r="H183" s="9">
        <f>[1]!SNLData("243327", C183, "OWNER_SNL_INSTN_KEY", "Owner 1")</f>
        <v>4349314</v>
      </c>
      <c r="I183" s="9" t="str">
        <f>[1]!SNLData("243327", C183, "OWNER_SNL_INSTN_KEY", "Owner 2")</f>
        <v>NA</v>
      </c>
      <c r="J183" s="12" t="str">
        <f>_xll.SNL.Clients.Office.Excel.Functions.SPG(H183, "SP_ULT_PARENT_COMPANY_NAME")</f>
        <v>Chile</v>
      </c>
      <c r="K183" s="12" t="str">
        <f>_xll.SNL.Clients.Office.Excel.Functions.SPG(H183, "SP_ULT_PARENT_COUNTRY")</f>
        <v>Chile</v>
      </c>
      <c r="L183" s="12" t="str">
        <f>_xll.SNL.Clients.Office.Excel.Functions.SPG(H183, "SP_PARENT_COMPANY_NAME")</f>
        <v>Chile</v>
      </c>
      <c r="M183" s="12" t="str">
        <f>_xll.SNL.Clients.Office.Excel.Functions.SPG(H183, "SP_PARENT_COUNTRY")</f>
        <v>Chile</v>
      </c>
      <c r="N183" s="12" t="str">
        <f>_xll.SNL.Clients.Office.Excel.Functions.SPG(H183, "SP_COUNTRY_NAME")</f>
        <v>Chile</v>
      </c>
      <c r="O183" s="12" t="str">
        <f>_xll.SNL.Clients.Office.Excel.Functions.SPG(I183, "SP_ULT_PARENT_COMPANY_NAME")</f>
        <v/>
      </c>
      <c r="P183" s="12" t="str">
        <f>_xll.SNL.Clients.Office.Excel.Functions.SPG(I183, "SP_ULT_PARENT_COUNTRY")</f>
        <v/>
      </c>
      <c r="Q183" s="12" t="str">
        <f>_xll.SNL.Clients.Office.Excel.Functions.SPG(I183, "SP_PARENT_COMPANY_NAME")</f>
        <v/>
      </c>
      <c r="R183" s="12" t="str">
        <f>_xll.SNL.Clients.Office.Excel.Functions.SPG(I183, "SP_PARENT_COUNTRY")</f>
        <v/>
      </c>
      <c r="S183" s="12" t="str">
        <f>_xll.SNL.Clients.Office.Excel.Functions.SPG(I183, "SP_COUNTRY_NAME")</f>
        <v>China</v>
      </c>
    </row>
    <row r="184" spans="1:19" ht="29" x14ac:dyDescent="0.35">
      <c r="A184" s="5">
        <v>46022</v>
      </c>
      <c r="B184" s="4" t="s">
        <v>354</v>
      </c>
      <c r="C184" s="4" t="s">
        <v>355</v>
      </c>
      <c r="D184" s="4" t="s">
        <v>968</v>
      </c>
      <c r="E184" s="8">
        <v>4355114</v>
      </c>
      <c r="F184" s="7">
        <v>100</v>
      </c>
      <c r="G184" s="12" t="str">
        <f>[1]!SNLData("243327", C184, "OWNER_LIST")</f>
        <v>Ural Mining and Metallurgical Company  100%</v>
      </c>
      <c r="H184" s="9">
        <f>[1]!SNLData("243327", C184, "OWNER_SNL_INSTN_KEY", "Owner 1")</f>
        <v>4355114</v>
      </c>
      <c r="I184" s="9" t="str">
        <f>[1]!SNLData("243327", C184, "OWNER_SNL_INSTN_KEY", "Owner 2")</f>
        <v>NA</v>
      </c>
      <c r="J184" s="12" t="str">
        <f>_xll.SNL.Clients.Office.Excel.Functions.SPG(H184, "SP_ULT_PARENT_COMPANY_NAME")</f>
        <v>Mineral Power Limited</v>
      </c>
      <c r="K184" s="12" t="str">
        <f>_xll.SNL.Clients.Office.Excel.Functions.SPG(H184, "SP_ULT_PARENT_COUNTRY")</f>
        <v>Hong Kong</v>
      </c>
      <c r="L184" s="12" t="str">
        <f>_xll.SNL.Clients.Office.Excel.Functions.SPG(H184, "SP_PARENT_COMPANY_NAME")</f>
        <v>SELMARECO LTD.</v>
      </c>
      <c r="M184" s="12" t="str">
        <f>_xll.SNL.Clients.Office.Excel.Functions.SPG(H184, "SP_PARENT_COUNTRY")</f>
        <v>Cyprus</v>
      </c>
      <c r="N184" s="12" t="str">
        <f>_xll.SNL.Clients.Office.Excel.Functions.SPG(H184, "SP_COUNTRY_NAME")</f>
        <v>Russia</v>
      </c>
      <c r="O184" s="12" t="str">
        <f>_xll.SNL.Clients.Office.Excel.Functions.SPG(I184, "SP_ULT_PARENT_COMPANY_NAME")</f>
        <v/>
      </c>
      <c r="P184" s="12" t="str">
        <f>_xll.SNL.Clients.Office.Excel.Functions.SPG(I184, "SP_ULT_PARENT_COUNTRY")</f>
        <v/>
      </c>
      <c r="Q184" s="12" t="str">
        <f>_xll.SNL.Clients.Office.Excel.Functions.SPG(I184, "SP_PARENT_COMPANY_NAME")</f>
        <v/>
      </c>
      <c r="R184" s="12" t="str">
        <f>_xll.SNL.Clients.Office.Excel.Functions.SPG(I184, "SP_PARENT_COUNTRY")</f>
        <v/>
      </c>
      <c r="S184" s="12" t="str">
        <f>_xll.SNL.Clients.Office.Excel.Functions.SPG(I184, "SP_COUNTRY_NAME")</f>
        <v>China</v>
      </c>
    </row>
    <row r="185" spans="1:19" x14ac:dyDescent="0.35">
      <c r="A185" s="5">
        <v>46022</v>
      </c>
      <c r="B185" s="4" t="s">
        <v>231</v>
      </c>
      <c r="C185" s="4" t="s">
        <v>232</v>
      </c>
      <c r="D185" s="4" t="s">
        <v>939</v>
      </c>
      <c r="E185" s="8">
        <v>4348654</v>
      </c>
      <c r="F185" s="7">
        <v>100</v>
      </c>
      <c r="G185" s="12" t="str">
        <f>[1]!SNLData("243327", C185, "OWNER_LIST")</f>
        <v>Boliden AB (publ)  100%</v>
      </c>
      <c r="H185" s="9">
        <f>[1]!SNLData("243327", C185, "OWNER_SNL_INSTN_KEY", "Owner 1")</f>
        <v>4348654</v>
      </c>
      <c r="I185" s="9" t="str">
        <f>[1]!SNLData("243327", C185, "OWNER_SNL_INSTN_KEY", "Owner 2")</f>
        <v>NA</v>
      </c>
      <c r="J185" s="12" t="str">
        <f>_xll.SNL.Clients.Office.Excel.Functions.SPG(H185, "SP_ULT_PARENT_COMPANY_NAME")</f>
        <v/>
      </c>
      <c r="K185" s="12" t="str">
        <f>_xll.SNL.Clients.Office.Excel.Functions.SPG(H185, "SP_ULT_PARENT_COUNTRY")</f>
        <v/>
      </c>
      <c r="L185" s="12" t="str">
        <f>_xll.SNL.Clients.Office.Excel.Functions.SPG(H185, "SP_PARENT_COMPANY_NAME")</f>
        <v/>
      </c>
      <c r="M185" s="12" t="str">
        <f>_xll.SNL.Clients.Office.Excel.Functions.SPG(H185, "SP_PARENT_COUNTRY")</f>
        <v/>
      </c>
      <c r="N185" s="12" t="str">
        <f>_xll.SNL.Clients.Office.Excel.Functions.SPG(H185, "SP_COUNTRY_NAME")</f>
        <v>Sweden</v>
      </c>
      <c r="O185" s="12" t="str">
        <f>_xll.SNL.Clients.Office.Excel.Functions.SPG(I185, "SP_ULT_PARENT_COMPANY_NAME")</f>
        <v/>
      </c>
      <c r="P185" s="12" t="str">
        <f>_xll.SNL.Clients.Office.Excel.Functions.SPG(I185, "SP_ULT_PARENT_COUNTRY")</f>
        <v/>
      </c>
      <c r="Q185" s="12" t="str">
        <f>_xll.SNL.Clients.Office.Excel.Functions.SPG(I185, "SP_PARENT_COMPANY_NAME")</f>
        <v/>
      </c>
      <c r="R185" s="12" t="str">
        <f>_xll.SNL.Clients.Office.Excel.Functions.SPG(I185, "SP_PARENT_COUNTRY")</f>
        <v/>
      </c>
      <c r="S185" s="12" t="str">
        <f>_xll.SNL.Clients.Office.Excel.Functions.SPG(I185, "SP_COUNTRY_NAME")</f>
        <v>China</v>
      </c>
    </row>
    <row r="186" spans="1:19" x14ac:dyDescent="0.35">
      <c r="A186" s="5">
        <v>46022</v>
      </c>
      <c r="B186" s="4" t="s">
        <v>220</v>
      </c>
      <c r="C186" s="4" t="s">
        <v>221</v>
      </c>
      <c r="D186" s="4" t="s">
        <v>1040</v>
      </c>
      <c r="E186" s="8">
        <v>4354747</v>
      </c>
      <c r="F186" s="7">
        <v>100</v>
      </c>
      <c r="G186" s="12" t="str">
        <f>[1]!SNLData("243327", C186, "OWNER_LIST")</f>
        <v>Trekor Metals Limited  100%</v>
      </c>
      <c r="H186" s="9">
        <f>[1]!SNLData("243327", C186, "OWNER_SNL_INSTN_KEY", "Owner 1")</f>
        <v>4354747</v>
      </c>
      <c r="I186" s="9" t="str">
        <f>[1]!SNLData("243327", C186, "OWNER_SNL_INSTN_KEY", "Owner 2")</f>
        <v>NA</v>
      </c>
      <c r="J186" s="12" t="str">
        <f>_xll.SNL.Clients.Office.Excel.Functions.SPG(H186, "SP_ULT_PARENT_COMPANY_NAME")</f>
        <v/>
      </c>
      <c r="K186" s="12" t="str">
        <f>_xll.SNL.Clients.Office.Excel.Functions.SPG(H186, "SP_ULT_PARENT_COUNTRY")</f>
        <v/>
      </c>
      <c r="L186" s="12" t="str">
        <f>_xll.SNL.Clients.Office.Excel.Functions.SPG(H186, "SP_PARENT_COMPANY_NAME")</f>
        <v/>
      </c>
      <c r="M186" s="12" t="str">
        <f>_xll.SNL.Clients.Office.Excel.Functions.SPG(H186, "SP_PARENT_COUNTRY")</f>
        <v/>
      </c>
      <c r="N186" s="12" t="str">
        <f>_xll.SNL.Clients.Office.Excel.Functions.SPG(H186, "SP_COUNTRY_NAME")</f>
        <v>Canada</v>
      </c>
      <c r="O186" s="12" t="str">
        <f>_xll.SNL.Clients.Office.Excel.Functions.SPG(I186, "SP_ULT_PARENT_COMPANY_NAME")</f>
        <v/>
      </c>
      <c r="P186" s="12" t="str">
        <f>_xll.SNL.Clients.Office.Excel.Functions.SPG(I186, "SP_ULT_PARENT_COUNTRY")</f>
        <v/>
      </c>
      <c r="Q186" s="12" t="str">
        <f>_xll.SNL.Clients.Office.Excel.Functions.SPG(I186, "SP_PARENT_COMPANY_NAME")</f>
        <v/>
      </c>
      <c r="R186" s="12" t="str">
        <f>_xll.SNL.Clients.Office.Excel.Functions.SPG(I186, "SP_PARENT_COUNTRY")</f>
        <v/>
      </c>
      <c r="S186" s="12" t="str">
        <f>_xll.SNL.Clients.Office.Excel.Functions.SPG(I186, "SP_COUNTRY_NAME")</f>
        <v>China</v>
      </c>
    </row>
    <row r="187" spans="1:19" x14ac:dyDescent="0.35">
      <c r="A187" s="5">
        <v>46022</v>
      </c>
      <c r="B187" s="4" t="s">
        <v>384</v>
      </c>
      <c r="C187" s="4" t="s">
        <v>385</v>
      </c>
      <c r="D187" s="4" t="s">
        <v>1041</v>
      </c>
      <c r="E187" s="8">
        <v>29181633</v>
      </c>
      <c r="F187" s="7">
        <v>100</v>
      </c>
      <c r="G187" s="12" t="str">
        <f>[1]!SNLData("243327", C187, "OWNER_LIST")</f>
        <v>29Metals Limited  100%</v>
      </c>
      <c r="H187" s="9">
        <f>[1]!SNLData("243327", C187, "OWNER_SNL_INSTN_KEY", "Owner 1")</f>
        <v>29181633</v>
      </c>
      <c r="I187" s="9" t="str">
        <f>[1]!SNLData("243327", C187, "OWNER_SNL_INSTN_KEY", "Owner 2")</f>
        <v>NA</v>
      </c>
      <c r="J187" s="12" t="str">
        <f>_xll.SNL.Clients.Office.Excel.Functions.SPG(H187, "SP_ULT_PARENT_COMPANY_NAME")</f>
        <v/>
      </c>
      <c r="K187" s="12" t="str">
        <f>_xll.SNL.Clients.Office.Excel.Functions.SPG(H187, "SP_ULT_PARENT_COUNTRY")</f>
        <v/>
      </c>
      <c r="L187" s="12" t="str">
        <f>_xll.SNL.Clients.Office.Excel.Functions.SPG(H187, "SP_PARENT_COMPANY_NAME")</f>
        <v/>
      </c>
      <c r="M187" s="12" t="str">
        <f>_xll.SNL.Clients.Office.Excel.Functions.SPG(H187, "SP_PARENT_COUNTRY")</f>
        <v/>
      </c>
      <c r="N187" s="12" t="str">
        <f>_xll.SNL.Clients.Office.Excel.Functions.SPG(H187, "SP_COUNTRY_NAME")</f>
        <v>Australia</v>
      </c>
      <c r="O187" s="12" t="str">
        <f>_xll.SNL.Clients.Office.Excel.Functions.SPG(I187, "SP_ULT_PARENT_COMPANY_NAME")</f>
        <v/>
      </c>
      <c r="P187" s="12" t="str">
        <f>_xll.SNL.Clients.Office.Excel.Functions.SPG(I187, "SP_ULT_PARENT_COUNTRY")</f>
        <v/>
      </c>
      <c r="Q187" s="12" t="str">
        <f>_xll.SNL.Clients.Office.Excel.Functions.SPG(I187, "SP_PARENT_COMPANY_NAME")</f>
        <v/>
      </c>
      <c r="R187" s="12" t="str">
        <f>_xll.SNL.Clients.Office.Excel.Functions.SPG(I187, "SP_PARENT_COUNTRY")</f>
        <v/>
      </c>
      <c r="S187" s="12" t="str">
        <f>_xll.SNL.Clients.Office.Excel.Functions.SPG(I187, "SP_COUNTRY_NAME")</f>
        <v>China</v>
      </c>
    </row>
    <row r="188" spans="1:19" x14ac:dyDescent="0.35">
      <c r="A188" s="5">
        <v>46022</v>
      </c>
      <c r="B188" s="4" t="s">
        <v>386</v>
      </c>
      <c r="C188" s="4" t="s">
        <v>387</v>
      </c>
      <c r="D188" s="4" t="s">
        <v>1042</v>
      </c>
      <c r="E188" s="8">
        <v>4347844</v>
      </c>
      <c r="F188" s="7">
        <v>100</v>
      </c>
      <c r="G188" s="12" t="str">
        <f>[1]!SNLData("243327", C188, "OWNER_LIST")</f>
        <v>Agnico Eagle Mines Limited  100%</v>
      </c>
      <c r="H188" s="9">
        <f>[1]!SNLData("243327", C188, "OWNER_SNL_INSTN_KEY", "Owner 1")</f>
        <v>4347844</v>
      </c>
      <c r="I188" s="9" t="str">
        <f>[1]!SNLData("243327", C188, "OWNER_SNL_INSTN_KEY", "Owner 2")</f>
        <v>NA</v>
      </c>
      <c r="J188" s="12" t="str">
        <f>_xll.SNL.Clients.Office.Excel.Functions.SPG(H188, "SP_ULT_PARENT_COMPANY_NAME")</f>
        <v/>
      </c>
      <c r="K188" s="12" t="str">
        <f>_xll.SNL.Clients.Office.Excel.Functions.SPG(H188, "SP_ULT_PARENT_COUNTRY")</f>
        <v/>
      </c>
      <c r="L188" s="12" t="str">
        <f>_xll.SNL.Clients.Office.Excel.Functions.SPG(H188, "SP_PARENT_COMPANY_NAME")</f>
        <v/>
      </c>
      <c r="M188" s="12" t="str">
        <f>_xll.SNL.Clients.Office.Excel.Functions.SPG(H188, "SP_PARENT_COUNTRY")</f>
        <v/>
      </c>
      <c r="N188" s="12" t="str">
        <f>_xll.SNL.Clients.Office.Excel.Functions.SPG(H188, "SP_COUNTRY_NAME")</f>
        <v>Canada</v>
      </c>
      <c r="O188" s="12" t="str">
        <f>_xll.SNL.Clients.Office.Excel.Functions.SPG(I188, "SP_ULT_PARENT_COMPANY_NAME")</f>
        <v/>
      </c>
      <c r="P188" s="12" t="str">
        <f>_xll.SNL.Clients.Office.Excel.Functions.SPG(I188, "SP_ULT_PARENT_COUNTRY")</f>
        <v/>
      </c>
      <c r="Q188" s="12" t="str">
        <f>_xll.SNL.Clients.Office.Excel.Functions.SPG(I188, "SP_PARENT_COMPANY_NAME")</f>
        <v/>
      </c>
      <c r="R188" s="12" t="str">
        <f>_xll.SNL.Clients.Office.Excel.Functions.SPG(I188, "SP_PARENT_COUNTRY")</f>
        <v/>
      </c>
      <c r="S188" s="12" t="str">
        <f>_xll.SNL.Clients.Office.Excel.Functions.SPG(I188, "SP_COUNTRY_NAME")</f>
        <v>China</v>
      </c>
    </row>
    <row r="189" spans="1:19" ht="43.5" x14ac:dyDescent="0.35">
      <c r="A189" s="5">
        <v>46022</v>
      </c>
      <c r="B189" s="4" t="s">
        <v>732</v>
      </c>
      <c r="C189" s="4" t="s">
        <v>733</v>
      </c>
      <c r="D189" s="4" t="s">
        <v>963</v>
      </c>
      <c r="E189" s="8">
        <v>4004107</v>
      </c>
      <c r="F189" s="7">
        <v>48.76</v>
      </c>
      <c r="G189" s="12" t="str">
        <f>[1]!SNLData("243327", C189, "OWNER_LIST")</f>
        <v>Freeport-McMoRan Inc. (Venturer) 48.76%; PT Mineral Industri Indonesia (Persero) (Venturer) 51.24%</v>
      </c>
      <c r="H189" s="9">
        <f>[1]!SNLData("243327", C189, "OWNER_SNL_INSTN_KEY", "Owner 1")</f>
        <v>4557433</v>
      </c>
      <c r="I189" s="9">
        <f>[1]!SNLData("243327", C189, "OWNER_SNL_INSTN_KEY", "Owner 2")</f>
        <v>4004107</v>
      </c>
      <c r="J189" s="12" t="str">
        <f>_xll.SNL.Clients.Office.Excel.Functions.SPG(H189, "SP_ULT_PARENT_COMPANY_NAME")</f>
        <v>Indonesia</v>
      </c>
      <c r="K189" s="12" t="str">
        <f>_xll.SNL.Clients.Office.Excel.Functions.SPG(H189, "SP_ULT_PARENT_COUNTRY")</f>
        <v>Indonesia</v>
      </c>
      <c r="L189" s="12" t="str">
        <f>_xll.SNL.Clients.Office.Excel.Functions.SPG(H189, "SP_PARENT_COMPANY_NAME")</f>
        <v>Indonesia</v>
      </c>
      <c r="M189" s="12" t="str">
        <f>_xll.SNL.Clients.Office.Excel.Functions.SPG(H189, "SP_PARENT_COUNTRY")</f>
        <v>Indonesia</v>
      </c>
      <c r="N189" s="12" t="str">
        <f>_xll.SNL.Clients.Office.Excel.Functions.SPG(H189, "SP_COUNTRY_NAME")</f>
        <v>Indonesia</v>
      </c>
      <c r="O189" s="12" t="str">
        <f>_xll.SNL.Clients.Office.Excel.Functions.SPG(I189, "SP_ULT_PARENT_COMPANY_NAME")</f>
        <v/>
      </c>
      <c r="P189" s="12" t="str">
        <f>_xll.SNL.Clients.Office.Excel.Functions.SPG(I189, "SP_ULT_PARENT_COUNTRY")</f>
        <v/>
      </c>
      <c r="Q189" s="12" t="str">
        <f>_xll.SNL.Clients.Office.Excel.Functions.SPG(I189, "SP_PARENT_COMPANY_NAME")</f>
        <v/>
      </c>
      <c r="R189" s="12" t="str">
        <f>_xll.SNL.Clients.Office.Excel.Functions.SPG(I189, "SP_PARENT_COUNTRY")</f>
        <v/>
      </c>
      <c r="S189" s="12" t="str">
        <f>_xll.SNL.Clients.Office.Excel.Functions.SPG(I189, "SP_COUNTRY_NAME")</f>
        <v>USA</v>
      </c>
    </row>
    <row r="190" spans="1:19" ht="43.5" x14ac:dyDescent="0.35">
      <c r="A190" s="5">
        <v>46022</v>
      </c>
      <c r="B190" s="4" t="s">
        <v>732</v>
      </c>
      <c r="C190" s="4" t="s">
        <v>733</v>
      </c>
      <c r="D190" s="4" t="s">
        <v>1043</v>
      </c>
      <c r="E190" s="8">
        <v>4557433</v>
      </c>
      <c r="F190" s="7">
        <v>51.24</v>
      </c>
      <c r="G190" s="12" t="str">
        <f>[1]!SNLData("243327", C190, "OWNER_LIST")</f>
        <v>Freeport-McMoRan Inc. (Venturer) 48.76%; PT Mineral Industri Indonesia (Persero) (Venturer) 51.24%</v>
      </c>
      <c r="H190" s="9">
        <f>[1]!SNLData("243327", C190, "OWNER_SNL_INSTN_KEY", "Owner 1")</f>
        <v>4557433</v>
      </c>
      <c r="I190" s="9">
        <f>[1]!SNLData("243327", C190, "OWNER_SNL_INSTN_KEY", "Owner 2")</f>
        <v>4004107</v>
      </c>
      <c r="J190" s="12" t="str">
        <f>_xll.SNL.Clients.Office.Excel.Functions.SPG(H190, "SP_ULT_PARENT_COMPANY_NAME")</f>
        <v>Indonesia</v>
      </c>
      <c r="K190" s="12" t="str">
        <f>_xll.SNL.Clients.Office.Excel.Functions.SPG(H190, "SP_ULT_PARENT_COUNTRY")</f>
        <v>Indonesia</v>
      </c>
      <c r="L190" s="12" t="str">
        <f>_xll.SNL.Clients.Office.Excel.Functions.SPG(H190, "SP_PARENT_COMPANY_NAME")</f>
        <v>Indonesia</v>
      </c>
      <c r="M190" s="12" t="str">
        <f>_xll.SNL.Clients.Office.Excel.Functions.SPG(H190, "SP_PARENT_COUNTRY")</f>
        <v>Indonesia</v>
      </c>
      <c r="N190" s="12" t="str">
        <f>_xll.SNL.Clients.Office.Excel.Functions.SPG(H190, "SP_COUNTRY_NAME")</f>
        <v>Indonesia</v>
      </c>
      <c r="O190" s="12" t="str">
        <f>_xll.SNL.Clients.Office.Excel.Functions.SPG(I190, "SP_ULT_PARENT_COMPANY_NAME")</f>
        <v/>
      </c>
      <c r="P190" s="12" t="str">
        <f>_xll.SNL.Clients.Office.Excel.Functions.SPG(I190, "SP_ULT_PARENT_COUNTRY")</f>
        <v/>
      </c>
      <c r="Q190" s="12" t="str">
        <f>_xll.SNL.Clients.Office.Excel.Functions.SPG(I190, "SP_PARENT_COMPANY_NAME")</f>
        <v/>
      </c>
      <c r="R190" s="12" t="str">
        <f>_xll.SNL.Clients.Office.Excel.Functions.SPG(I190, "SP_PARENT_COUNTRY")</f>
        <v/>
      </c>
      <c r="S190" s="12" t="str">
        <f>_xll.SNL.Clients.Office.Excel.Functions.SPG(I190, "SP_COUNTRY_NAME")</f>
        <v>USA</v>
      </c>
    </row>
    <row r="191" spans="1:19" x14ac:dyDescent="0.35">
      <c r="A191" s="5">
        <v>46022</v>
      </c>
      <c r="B191" s="4" t="s">
        <v>233</v>
      </c>
      <c r="C191" s="4" t="s">
        <v>234</v>
      </c>
      <c r="D191" s="4" t="s">
        <v>995</v>
      </c>
      <c r="E191" s="8">
        <v>4350215</v>
      </c>
      <c r="F191" s="7">
        <v>100</v>
      </c>
      <c r="G191" s="12" t="str">
        <f>[1]!SNLData("243327", C191, "OWNER_LIST")</f>
        <v>First Quantum Minerals Ltd.  100%</v>
      </c>
      <c r="H191" s="9">
        <f>[1]!SNLData("243327", C191, "OWNER_SNL_INSTN_KEY", "Owner 1")</f>
        <v>4350215</v>
      </c>
      <c r="I191" s="9" t="str">
        <f>[1]!SNLData("243327", C191, "OWNER_SNL_INSTN_KEY", "Owner 2")</f>
        <v>NA</v>
      </c>
      <c r="J191" s="12" t="str">
        <f>_xll.SNL.Clients.Office.Excel.Functions.SPG(H191, "SP_ULT_PARENT_COMPANY_NAME")</f>
        <v/>
      </c>
      <c r="K191" s="12" t="str">
        <f>_xll.SNL.Clients.Office.Excel.Functions.SPG(H191, "SP_ULT_PARENT_COUNTRY")</f>
        <v/>
      </c>
      <c r="L191" s="12" t="str">
        <f>_xll.SNL.Clients.Office.Excel.Functions.SPG(H191, "SP_PARENT_COMPANY_NAME")</f>
        <v/>
      </c>
      <c r="M191" s="12" t="str">
        <f>_xll.SNL.Clients.Office.Excel.Functions.SPG(H191, "SP_PARENT_COUNTRY")</f>
        <v/>
      </c>
      <c r="N191" s="12" t="str">
        <f>_xll.SNL.Clients.Office.Excel.Functions.SPG(H191, "SP_COUNTRY_NAME")</f>
        <v>Canada</v>
      </c>
      <c r="O191" s="12" t="str">
        <f>_xll.SNL.Clients.Office.Excel.Functions.SPG(I191, "SP_ULT_PARENT_COMPANY_NAME")</f>
        <v/>
      </c>
      <c r="P191" s="12" t="str">
        <f>_xll.SNL.Clients.Office.Excel.Functions.SPG(I191, "SP_ULT_PARENT_COUNTRY")</f>
        <v/>
      </c>
      <c r="Q191" s="12" t="str">
        <f>_xll.SNL.Clients.Office.Excel.Functions.SPG(I191, "SP_PARENT_COMPANY_NAME")</f>
        <v/>
      </c>
      <c r="R191" s="12" t="str">
        <f>_xll.SNL.Clients.Office.Excel.Functions.SPG(I191, "SP_PARENT_COUNTRY")</f>
        <v/>
      </c>
      <c r="S191" s="12" t="str">
        <f>_xll.SNL.Clients.Office.Excel.Functions.SPG(I191, "SP_COUNTRY_NAME")</f>
        <v>China</v>
      </c>
    </row>
    <row r="192" spans="1:19" x14ac:dyDescent="0.35">
      <c r="A192" s="5">
        <v>46022</v>
      </c>
      <c r="B192" s="4" t="s">
        <v>734</v>
      </c>
      <c r="C192" s="4" t="s">
        <v>735</v>
      </c>
      <c r="D192" s="4" t="s">
        <v>1044</v>
      </c>
      <c r="E192" s="8">
        <v>10931228</v>
      </c>
      <c r="F192" s="7">
        <v>100</v>
      </c>
      <c r="G192" s="12" t="str">
        <f>[1]!SNLData("243327", C192, "OWNER_LIST")</f>
        <v>Huili County Heiyu Mining Co., Ltd.  100%</v>
      </c>
      <c r="H192" s="9">
        <f>[1]!SNLData("243327", C192, "OWNER_SNL_INSTN_KEY", "Owner 1")</f>
        <v>10931228</v>
      </c>
      <c r="I192" s="9" t="str">
        <f>[1]!SNLData("243327", C192, "OWNER_SNL_INSTN_KEY", "Owner 2")</f>
        <v>NA</v>
      </c>
      <c r="J192" s="12" t="str">
        <f>_xll.SNL.Clients.Office.Excel.Functions.SPG(H192, "SP_ULT_PARENT_COMPANY_NAME")</f>
        <v/>
      </c>
      <c r="K192" s="12" t="str">
        <f>_xll.SNL.Clients.Office.Excel.Functions.SPG(H192, "SP_ULT_PARENT_COUNTRY")</f>
        <v/>
      </c>
      <c r="L192" s="12" t="str">
        <f>_xll.SNL.Clients.Office.Excel.Functions.SPG(H192, "SP_PARENT_COMPANY_NAME")</f>
        <v/>
      </c>
      <c r="M192" s="12" t="str">
        <f>_xll.SNL.Clients.Office.Excel.Functions.SPG(H192, "SP_PARENT_COUNTRY")</f>
        <v/>
      </c>
      <c r="N192" s="12" t="str">
        <f>_xll.SNL.Clients.Office.Excel.Functions.SPG(H192, "SP_COUNTRY_NAME")</f>
        <v>China</v>
      </c>
      <c r="O192" s="12" t="str">
        <f>_xll.SNL.Clients.Office.Excel.Functions.SPG(I192, "SP_ULT_PARENT_COMPANY_NAME")</f>
        <v/>
      </c>
      <c r="P192" s="12" t="str">
        <f>_xll.SNL.Clients.Office.Excel.Functions.SPG(I192, "SP_ULT_PARENT_COUNTRY")</f>
        <v/>
      </c>
      <c r="Q192" s="12" t="str">
        <f>_xll.SNL.Clients.Office.Excel.Functions.SPG(I192, "SP_PARENT_COMPANY_NAME")</f>
        <v/>
      </c>
      <c r="R192" s="12" t="str">
        <f>_xll.SNL.Clients.Office.Excel.Functions.SPG(I192, "SP_PARENT_COUNTRY")</f>
        <v/>
      </c>
      <c r="S192" s="12" t="str">
        <f>_xll.SNL.Clients.Office.Excel.Functions.SPG(I192, "SP_COUNTRY_NAME")</f>
        <v>China</v>
      </c>
    </row>
    <row r="193" spans="1:19" x14ac:dyDescent="0.35">
      <c r="A193" s="5">
        <v>46022</v>
      </c>
      <c r="B193" s="4" t="s">
        <v>388</v>
      </c>
      <c r="C193" s="4" t="s">
        <v>389</v>
      </c>
      <c r="D193" s="4" t="s">
        <v>1045</v>
      </c>
      <c r="E193" s="8">
        <v>4400798</v>
      </c>
      <c r="F193" s="7">
        <v>100</v>
      </c>
      <c r="G193" s="12" t="str">
        <f>[1]!SNLData("243327", C193, "OWNER_LIST")</f>
        <v>Unnamed Owner  100%</v>
      </c>
      <c r="H193" s="9">
        <f>[1]!SNLData("243327", C193, "OWNER_SNL_INSTN_KEY", "Owner 1")</f>
        <v>4400798</v>
      </c>
      <c r="I193" s="9" t="str">
        <f>[1]!SNLData("243327", C193, "OWNER_SNL_INSTN_KEY", "Owner 2")</f>
        <v>NA</v>
      </c>
      <c r="J193" s="12" t="str">
        <f>_xll.SNL.Clients.Office.Excel.Functions.SPG(H193, "SP_ULT_PARENT_COMPANY_NAME")</f>
        <v/>
      </c>
      <c r="K193" s="12" t="str">
        <f>_xll.SNL.Clients.Office.Excel.Functions.SPG(H193, "SP_ULT_PARENT_COUNTRY")</f>
        <v/>
      </c>
      <c r="L193" s="12" t="str">
        <f>_xll.SNL.Clients.Office.Excel.Functions.SPG(H193, "SP_PARENT_COMPANY_NAME")</f>
        <v/>
      </c>
      <c r="M193" s="12" t="str">
        <f>_xll.SNL.Clients.Office.Excel.Functions.SPG(H193, "SP_PARENT_COUNTRY")</f>
        <v/>
      </c>
      <c r="N193" s="12" t="str">
        <f>_xll.SNL.Clients.Office.Excel.Functions.SPG(H193, "SP_COUNTRY_NAME")</f>
        <v>USA</v>
      </c>
      <c r="O193" s="12" t="str">
        <f>_xll.SNL.Clients.Office.Excel.Functions.SPG(I193, "SP_ULT_PARENT_COMPANY_NAME")</f>
        <v/>
      </c>
      <c r="P193" s="12" t="str">
        <f>_xll.SNL.Clients.Office.Excel.Functions.SPG(I193, "SP_ULT_PARENT_COUNTRY")</f>
        <v/>
      </c>
      <c r="Q193" s="12" t="str">
        <f>_xll.SNL.Clients.Office.Excel.Functions.SPG(I193, "SP_PARENT_COMPANY_NAME")</f>
        <v/>
      </c>
      <c r="R193" s="12" t="str">
        <f>_xll.SNL.Clients.Office.Excel.Functions.SPG(I193, "SP_PARENT_COUNTRY")</f>
        <v/>
      </c>
      <c r="S193" s="12" t="str">
        <f>_xll.SNL.Clients.Office.Excel.Functions.SPG(I193, "SP_COUNTRY_NAME")</f>
        <v>China</v>
      </c>
    </row>
    <row r="194" spans="1:19" ht="29" x14ac:dyDescent="0.35">
      <c r="A194" s="5">
        <v>46022</v>
      </c>
      <c r="B194" s="4" t="s">
        <v>284</v>
      </c>
      <c r="C194" s="4" t="s">
        <v>285</v>
      </c>
      <c r="D194" s="4" t="s">
        <v>1046</v>
      </c>
      <c r="E194" s="8">
        <v>10928331</v>
      </c>
      <c r="F194" s="7">
        <v>100</v>
      </c>
      <c r="G194" s="12" t="str">
        <f>[1]!SNLData("243327", C194, "OWNER_LIST")</f>
        <v>Kunming Hemeida Industry and Trade Co., Ltd.  100%</v>
      </c>
      <c r="H194" s="9">
        <f>[1]!SNLData("243327", C194, "OWNER_SNL_INSTN_KEY", "Owner 1")</f>
        <v>10928331</v>
      </c>
      <c r="I194" s="9" t="str">
        <f>[1]!SNLData("243327", C194, "OWNER_SNL_INSTN_KEY", "Owner 2")</f>
        <v>NA</v>
      </c>
      <c r="J194" s="12" t="str">
        <f>_xll.SNL.Clients.Office.Excel.Functions.SPG(H194, "SP_ULT_PARENT_COMPANY_NAME")</f>
        <v/>
      </c>
      <c r="K194" s="12" t="str">
        <f>_xll.SNL.Clients.Office.Excel.Functions.SPG(H194, "SP_ULT_PARENT_COUNTRY")</f>
        <v/>
      </c>
      <c r="L194" s="12" t="str">
        <f>_xll.SNL.Clients.Office.Excel.Functions.SPG(H194, "SP_PARENT_COMPANY_NAME")</f>
        <v/>
      </c>
      <c r="M194" s="12" t="str">
        <f>_xll.SNL.Clients.Office.Excel.Functions.SPG(H194, "SP_PARENT_COUNTRY")</f>
        <v/>
      </c>
      <c r="N194" s="12" t="str">
        <f>_xll.SNL.Clients.Office.Excel.Functions.SPG(H194, "SP_COUNTRY_NAME")</f>
        <v>China</v>
      </c>
      <c r="O194" s="12" t="str">
        <f>_xll.SNL.Clients.Office.Excel.Functions.SPG(I194, "SP_ULT_PARENT_COMPANY_NAME")</f>
        <v/>
      </c>
      <c r="P194" s="12" t="str">
        <f>_xll.SNL.Clients.Office.Excel.Functions.SPG(I194, "SP_ULT_PARENT_COUNTRY")</f>
        <v/>
      </c>
      <c r="Q194" s="12" t="str">
        <f>_xll.SNL.Clients.Office.Excel.Functions.SPG(I194, "SP_PARENT_COMPANY_NAME")</f>
        <v/>
      </c>
      <c r="R194" s="12" t="str">
        <f>_xll.SNL.Clients.Office.Excel.Functions.SPG(I194, "SP_PARENT_COUNTRY")</f>
        <v/>
      </c>
      <c r="S194" s="12" t="str">
        <f>_xll.SNL.Clients.Office.Excel.Functions.SPG(I194, "SP_COUNTRY_NAME")</f>
        <v>China</v>
      </c>
    </row>
    <row r="195" spans="1:19" x14ac:dyDescent="0.35">
      <c r="A195" s="5">
        <v>46022</v>
      </c>
      <c r="B195" s="4" t="s">
        <v>236</v>
      </c>
      <c r="C195" s="4" t="s">
        <v>237</v>
      </c>
      <c r="D195" s="4" t="s">
        <v>950</v>
      </c>
      <c r="E195" s="8">
        <v>4141965</v>
      </c>
      <c r="F195" s="7">
        <v>100</v>
      </c>
      <c r="G195" s="12" t="str">
        <f>[1]!SNLData("243327", C195, "OWNER_LIST")</f>
        <v>Teck Resources Limited  100%</v>
      </c>
      <c r="H195" s="9">
        <f>[1]!SNLData("243327", C195, "OWNER_SNL_INSTN_KEY", "Owner 1")</f>
        <v>4141965</v>
      </c>
      <c r="I195" s="9" t="str">
        <f>[1]!SNLData("243327", C195, "OWNER_SNL_INSTN_KEY", "Owner 2")</f>
        <v>NA</v>
      </c>
      <c r="J195" s="12" t="str">
        <f>_xll.SNL.Clients.Office.Excel.Functions.SPG(H195, "SP_ULT_PARENT_COMPANY_NAME")</f>
        <v/>
      </c>
      <c r="K195" s="12" t="str">
        <f>_xll.SNL.Clients.Office.Excel.Functions.SPG(H195, "SP_ULT_PARENT_COUNTRY")</f>
        <v/>
      </c>
      <c r="L195" s="12" t="str">
        <f>_xll.SNL.Clients.Office.Excel.Functions.SPG(H195, "SP_PARENT_COMPANY_NAME")</f>
        <v/>
      </c>
      <c r="M195" s="12" t="str">
        <f>_xll.SNL.Clients.Office.Excel.Functions.SPG(H195, "SP_PARENT_COUNTRY")</f>
        <v/>
      </c>
      <c r="N195" s="12" t="str">
        <f>_xll.SNL.Clients.Office.Excel.Functions.SPG(H195, "SP_COUNTRY_NAME")</f>
        <v>Canada</v>
      </c>
      <c r="O195" s="12" t="str">
        <f>_xll.SNL.Clients.Office.Excel.Functions.SPG(I195, "SP_ULT_PARENT_COMPANY_NAME")</f>
        <v/>
      </c>
      <c r="P195" s="12" t="str">
        <f>_xll.SNL.Clients.Office.Excel.Functions.SPG(I195, "SP_ULT_PARENT_COUNTRY")</f>
        <v/>
      </c>
      <c r="Q195" s="12" t="str">
        <f>_xll.SNL.Clients.Office.Excel.Functions.SPG(I195, "SP_PARENT_COMPANY_NAME")</f>
        <v/>
      </c>
      <c r="R195" s="12" t="str">
        <f>_xll.SNL.Clients.Office.Excel.Functions.SPG(I195, "SP_PARENT_COUNTRY")</f>
        <v/>
      </c>
      <c r="S195" s="12" t="str">
        <f>_xll.SNL.Clients.Office.Excel.Functions.SPG(I195, "SP_COUNTRY_NAME")</f>
        <v>China</v>
      </c>
    </row>
    <row r="196" spans="1:19" x14ac:dyDescent="0.35">
      <c r="A196" s="5">
        <v>46022</v>
      </c>
      <c r="B196" s="4" t="s">
        <v>286</v>
      </c>
      <c r="C196" s="4" t="s">
        <v>287</v>
      </c>
      <c r="D196" s="4" t="s">
        <v>1047</v>
      </c>
      <c r="E196" s="8">
        <v>10930015</v>
      </c>
      <c r="F196" s="7">
        <v>100</v>
      </c>
      <c r="G196" s="12" t="str">
        <f>[1]!SNLData("243327", C196, "OWNER_LIST")</f>
        <v>Daye Xinghong Mining Co., Ltd.  100%</v>
      </c>
      <c r="H196" s="9">
        <f>[1]!SNLData("243327", C196, "OWNER_SNL_INSTN_KEY", "Owner 1")</f>
        <v>10930015</v>
      </c>
      <c r="I196" s="9" t="str">
        <f>[1]!SNLData("243327", C196, "OWNER_SNL_INSTN_KEY", "Owner 2")</f>
        <v>NA</v>
      </c>
      <c r="J196" s="12" t="str">
        <f>_xll.SNL.Clients.Office.Excel.Functions.SPG(H196, "SP_ULT_PARENT_COMPANY_NAME")</f>
        <v/>
      </c>
      <c r="K196" s="12" t="str">
        <f>_xll.SNL.Clients.Office.Excel.Functions.SPG(H196, "SP_ULT_PARENT_COUNTRY")</f>
        <v/>
      </c>
      <c r="L196" s="12" t="str">
        <f>_xll.SNL.Clients.Office.Excel.Functions.SPG(H196, "SP_PARENT_COMPANY_NAME")</f>
        <v/>
      </c>
      <c r="M196" s="12" t="str">
        <f>_xll.SNL.Clients.Office.Excel.Functions.SPG(H196, "SP_PARENT_COUNTRY")</f>
        <v/>
      </c>
      <c r="N196" s="12" t="str">
        <f>_xll.SNL.Clients.Office.Excel.Functions.SPG(H196, "SP_COUNTRY_NAME")</f>
        <v>China</v>
      </c>
      <c r="O196" s="12" t="str">
        <f>_xll.SNL.Clients.Office.Excel.Functions.SPG(I196, "SP_ULT_PARENT_COMPANY_NAME")</f>
        <v/>
      </c>
      <c r="P196" s="12" t="str">
        <f>_xll.SNL.Clients.Office.Excel.Functions.SPG(I196, "SP_ULT_PARENT_COUNTRY")</f>
        <v/>
      </c>
      <c r="Q196" s="12" t="str">
        <f>_xll.SNL.Clients.Office.Excel.Functions.SPG(I196, "SP_PARENT_COMPANY_NAME")</f>
        <v/>
      </c>
      <c r="R196" s="12" t="str">
        <f>_xll.SNL.Clients.Office.Excel.Functions.SPG(I196, "SP_PARENT_COUNTRY")</f>
        <v/>
      </c>
      <c r="S196" s="12" t="str">
        <f>_xll.SNL.Clients.Office.Excel.Functions.SPG(I196, "SP_COUNTRY_NAME")</f>
        <v>China</v>
      </c>
    </row>
    <row r="197" spans="1:19" ht="72.5" x14ac:dyDescent="0.35">
      <c r="A197" s="5">
        <v>46022</v>
      </c>
      <c r="B197" s="4" t="s">
        <v>390</v>
      </c>
      <c r="C197" s="4" t="s">
        <v>391</v>
      </c>
      <c r="D197" s="4" t="s">
        <v>1001</v>
      </c>
      <c r="E197" s="8">
        <v>4349160</v>
      </c>
      <c r="F197" s="7">
        <v>67.5</v>
      </c>
      <c r="G197" s="12" t="str">
        <f>[1]!SNLData("243327", C197, "OWNER_LIST")</f>
        <v>China Nonferrous Mining Corporation Limited (Venturer) 67.5%; Huachin SPRL (Venturer) 32.5%</v>
      </c>
      <c r="H197" s="9">
        <f>[1]!SNLData("243327", C197, "OWNER_SNL_INSTN_KEY", "Owner 1")</f>
        <v>4349160</v>
      </c>
      <c r="I197" s="9">
        <f>[1]!SNLData("243327", C197, "OWNER_SNL_INSTN_KEY", "Owner 2")</f>
        <v>4475609</v>
      </c>
      <c r="J197" s="12" t="str">
        <f>_xll.SNL.Clients.Office.Excel.Functions.SPG(H197, "SP_ULT_PARENT_COMPANY_NAME")</f>
        <v>State-owned Assets Supervision and Administration Commission of the State Counci</v>
      </c>
      <c r="K197" s="12" t="str">
        <f>_xll.SNL.Clients.Office.Excel.Functions.SPG(H197, "SP_ULT_PARENT_COUNTRY")</f>
        <v>China</v>
      </c>
      <c r="L197" s="12" t="str">
        <f>_xll.SNL.Clients.Office.Excel.Functions.SPG(H197, "SP_PARENT_COMPANY_NAME")</f>
        <v>China Nonferrous Mining Development Limited</v>
      </c>
      <c r="M197" s="12" t="str">
        <f>_xll.SNL.Clients.Office.Excel.Functions.SPG(H197, "SP_PARENT_COUNTRY")</f>
        <v>BVI</v>
      </c>
      <c r="N197" s="12" t="str">
        <f>_xll.SNL.Clients.Office.Excel.Functions.SPG(H197, "SP_COUNTRY_NAME")</f>
        <v>China</v>
      </c>
      <c r="O197" s="12" t="str">
        <f>_xll.SNL.Clients.Office.Excel.Functions.SPG(I197, "SP_ULT_PARENT_COMPANY_NAME")</f>
        <v/>
      </c>
      <c r="P197" s="12" t="str">
        <f>_xll.SNL.Clients.Office.Excel.Functions.SPG(I197, "SP_ULT_PARENT_COUNTRY")</f>
        <v/>
      </c>
      <c r="Q197" s="12" t="str">
        <f>_xll.SNL.Clients.Office.Excel.Functions.SPG(I197, "SP_PARENT_COMPANY_NAME")</f>
        <v/>
      </c>
      <c r="R197" s="12" t="str">
        <f>_xll.SNL.Clients.Office.Excel.Functions.SPG(I197, "SP_PARENT_COUNTRY")</f>
        <v/>
      </c>
      <c r="S197" s="12" t="str">
        <f>_xll.SNL.Clients.Office.Excel.Functions.SPG(I197, "SP_COUNTRY_NAME")</f>
        <v>Zambia</v>
      </c>
    </row>
    <row r="198" spans="1:19" ht="72.5" x14ac:dyDescent="0.35">
      <c r="A198" s="5">
        <v>46022</v>
      </c>
      <c r="B198" s="4" t="s">
        <v>390</v>
      </c>
      <c r="C198" s="4" t="s">
        <v>391</v>
      </c>
      <c r="D198" s="4" t="s">
        <v>1048</v>
      </c>
      <c r="E198" s="8">
        <v>4475609</v>
      </c>
      <c r="F198" s="7">
        <v>32.5</v>
      </c>
      <c r="G198" s="12" t="str">
        <f>[1]!SNLData("243327", C198, "OWNER_LIST")</f>
        <v>China Nonferrous Mining Corporation Limited (Venturer) 67.5%; Huachin SPRL (Venturer) 32.5%</v>
      </c>
      <c r="H198" s="9">
        <f>[1]!SNLData("243327", C198, "OWNER_SNL_INSTN_KEY", "Owner 1")</f>
        <v>4349160</v>
      </c>
      <c r="I198" s="9">
        <f>[1]!SNLData("243327", C198, "OWNER_SNL_INSTN_KEY", "Owner 2")</f>
        <v>4475609</v>
      </c>
      <c r="J198" s="12" t="str">
        <f>_xll.SNL.Clients.Office.Excel.Functions.SPG(H198, "SP_ULT_PARENT_COMPANY_NAME")</f>
        <v>State-owned Assets Supervision and Administration Commission of the State Counci</v>
      </c>
      <c r="K198" s="12" t="str">
        <f>_xll.SNL.Clients.Office.Excel.Functions.SPG(H198, "SP_ULT_PARENT_COUNTRY")</f>
        <v>China</v>
      </c>
      <c r="L198" s="12" t="str">
        <f>_xll.SNL.Clients.Office.Excel.Functions.SPG(H198, "SP_PARENT_COMPANY_NAME")</f>
        <v>China Nonferrous Mining Development Limited</v>
      </c>
      <c r="M198" s="12" t="str">
        <f>_xll.SNL.Clients.Office.Excel.Functions.SPG(H198, "SP_PARENT_COUNTRY")</f>
        <v>BVI</v>
      </c>
      <c r="N198" s="12" t="str">
        <f>_xll.SNL.Clients.Office.Excel.Functions.SPG(H198, "SP_COUNTRY_NAME")</f>
        <v>China</v>
      </c>
      <c r="O198" s="12" t="str">
        <f>_xll.SNL.Clients.Office.Excel.Functions.SPG(I198, "SP_ULT_PARENT_COMPANY_NAME")</f>
        <v/>
      </c>
      <c r="P198" s="12" t="str">
        <f>_xll.SNL.Clients.Office.Excel.Functions.SPG(I198, "SP_ULT_PARENT_COUNTRY")</f>
        <v/>
      </c>
      <c r="Q198" s="12" t="str">
        <f>_xll.SNL.Clients.Office.Excel.Functions.SPG(I198, "SP_PARENT_COMPANY_NAME")</f>
        <v/>
      </c>
      <c r="R198" s="12" t="str">
        <f>_xll.SNL.Clients.Office.Excel.Functions.SPG(I198, "SP_PARENT_COUNTRY")</f>
        <v/>
      </c>
      <c r="S198" s="12" t="str">
        <f>_xll.SNL.Clients.Office.Excel.Functions.SPG(I198, "SP_COUNTRY_NAME")</f>
        <v>Zambia</v>
      </c>
    </row>
    <row r="199" spans="1:19" x14ac:dyDescent="0.35">
      <c r="A199" s="5">
        <v>46022</v>
      </c>
      <c r="B199" s="4" t="s">
        <v>392</v>
      </c>
      <c r="C199" s="4" t="s">
        <v>393</v>
      </c>
      <c r="D199" s="4" t="s">
        <v>1049</v>
      </c>
      <c r="E199" s="8">
        <v>4353203</v>
      </c>
      <c r="F199" s="7">
        <v>100</v>
      </c>
      <c r="G199" s="12" t="str">
        <f>[1]!SNLData("243327", C199, "OWNER_LIST")</f>
        <v>Pan American Silver Corp.  100%</v>
      </c>
      <c r="H199" s="9">
        <f>[1]!SNLData("243327", C199, "OWNER_SNL_INSTN_KEY", "Owner 1")</f>
        <v>4353203</v>
      </c>
      <c r="I199" s="9" t="str">
        <f>[1]!SNLData("243327", C199, "OWNER_SNL_INSTN_KEY", "Owner 2")</f>
        <v>NA</v>
      </c>
      <c r="J199" s="12" t="str">
        <f>_xll.SNL.Clients.Office.Excel.Functions.SPG(H199, "SP_ULT_PARENT_COMPANY_NAME")</f>
        <v/>
      </c>
      <c r="K199" s="12" t="str">
        <f>_xll.SNL.Clients.Office.Excel.Functions.SPG(H199, "SP_ULT_PARENT_COUNTRY")</f>
        <v/>
      </c>
      <c r="L199" s="12" t="str">
        <f>_xll.SNL.Clients.Office.Excel.Functions.SPG(H199, "SP_PARENT_COMPANY_NAME")</f>
        <v/>
      </c>
      <c r="M199" s="12" t="str">
        <f>_xll.SNL.Clients.Office.Excel.Functions.SPG(H199, "SP_PARENT_COUNTRY")</f>
        <v/>
      </c>
      <c r="N199" s="12" t="str">
        <f>_xll.SNL.Clients.Office.Excel.Functions.SPG(H199, "SP_COUNTRY_NAME")</f>
        <v>Canada</v>
      </c>
      <c r="O199" s="12" t="str">
        <f>_xll.SNL.Clients.Office.Excel.Functions.SPG(I199, "SP_ULT_PARENT_COMPANY_NAME")</f>
        <v/>
      </c>
      <c r="P199" s="12" t="str">
        <f>_xll.SNL.Clients.Office.Excel.Functions.SPG(I199, "SP_ULT_PARENT_COUNTRY")</f>
        <v/>
      </c>
      <c r="Q199" s="12" t="str">
        <f>_xll.SNL.Clients.Office.Excel.Functions.SPG(I199, "SP_PARENT_COMPANY_NAME")</f>
        <v/>
      </c>
      <c r="R199" s="12" t="str">
        <f>_xll.SNL.Clients.Office.Excel.Functions.SPG(I199, "SP_PARENT_COUNTRY")</f>
        <v/>
      </c>
      <c r="S199" s="12" t="str">
        <f>_xll.SNL.Clients.Office.Excel.Functions.SPG(I199, "SP_COUNTRY_NAME")</f>
        <v>China</v>
      </c>
    </row>
    <row r="200" spans="1:19" x14ac:dyDescent="0.35">
      <c r="A200" s="5">
        <v>46022</v>
      </c>
      <c r="B200" s="4" t="s">
        <v>394</v>
      </c>
      <c r="C200" s="4" t="s">
        <v>395</v>
      </c>
      <c r="D200" s="4" t="s">
        <v>1050</v>
      </c>
      <c r="E200" s="8">
        <v>4673335</v>
      </c>
      <c r="F200" s="7">
        <v>100</v>
      </c>
      <c r="G200" s="12" t="str">
        <f>[1]!SNLData("243327", C200, "OWNER_LIST")</f>
        <v>Tibet Huayu Mining Co., Ltd.  100%</v>
      </c>
      <c r="H200" s="9">
        <f>[1]!SNLData("243327", C200, "OWNER_SNL_INSTN_KEY", "Owner 1")</f>
        <v>4673335</v>
      </c>
      <c r="I200" s="9" t="str">
        <f>[1]!SNLData("243327", C200, "OWNER_SNL_INSTN_KEY", "Owner 2")</f>
        <v>NA</v>
      </c>
      <c r="J200" s="12" t="str">
        <f>_xll.SNL.Clients.Office.Excel.Functions.SPG(H200, "SP_ULT_PARENT_COMPANY_NAME")</f>
        <v/>
      </c>
      <c r="K200" s="12" t="str">
        <f>_xll.SNL.Clients.Office.Excel.Functions.SPG(H200, "SP_ULT_PARENT_COUNTRY")</f>
        <v/>
      </c>
      <c r="L200" s="12" t="str">
        <f>_xll.SNL.Clients.Office.Excel.Functions.SPG(H200, "SP_PARENT_COMPANY_NAME")</f>
        <v/>
      </c>
      <c r="M200" s="12" t="str">
        <f>_xll.SNL.Clients.Office.Excel.Functions.SPG(H200, "SP_PARENT_COUNTRY")</f>
        <v/>
      </c>
      <c r="N200" s="12" t="str">
        <f>_xll.SNL.Clients.Office.Excel.Functions.SPG(H200, "SP_COUNTRY_NAME")</f>
        <v>China</v>
      </c>
      <c r="O200" s="12" t="str">
        <f>_xll.SNL.Clients.Office.Excel.Functions.SPG(I200, "SP_ULT_PARENT_COMPANY_NAME")</f>
        <v/>
      </c>
      <c r="P200" s="12" t="str">
        <f>_xll.SNL.Clients.Office.Excel.Functions.SPG(I200, "SP_ULT_PARENT_COUNTRY")</f>
        <v/>
      </c>
      <c r="Q200" s="12" t="str">
        <f>_xll.SNL.Clients.Office.Excel.Functions.SPG(I200, "SP_PARENT_COMPANY_NAME")</f>
        <v/>
      </c>
      <c r="R200" s="12" t="str">
        <f>_xll.SNL.Clients.Office.Excel.Functions.SPG(I200, "SP_PARENT_COUNTRY")</f>
        <v/>
      </c>
      <c r="S200" s="12" t="str">
        <f>_xll.SNL.Clients.Office.Excel.Functions.SPG(I200, "SP_COUNTRY_NAME")</f>
        <v>China</v>
      </c>
    </row>
    <row r="201" spans="1:19" x14ac:dyDescent="0.35">
      <c r="A201" s="5">
        <v>46022</v>
      </c>
      <c r="B201" s="4" t="s">
        <v>238</v>
      </c>
      <c r="C201" s="4" t="s">
        <v>239</v>
      </c>
      <c r="D201" s="4" t="s">
        <v>958</v>
      </c>
      <c r="E201" s="8">
        <v>4355642</v>
      </c>
      <c r="F201" s="7">
        <v>100</v>
      </c>
      <c r="G201" s="12" t="str">
        <f>[1]!SNLData("243327", C201, "OWNER_LIST")</f>
        <v>Zijin Mining Group Company Limited  100%</v>
      </c>
      <c r="H201" s="9">
        <f>[1]!SNLData("243327", C201, "OWNER_SNL_INSTN_KEY", "Owner 1")</f>
        <v>4355642</v>
      </c>
      <c r="I201" s="9" t="str">
        <f>[1]!SNLData("243327", C201, "OWNER_SNL_INSTN_KEY", "Owner 2")</f>
        <v>NA</v>
      </c>
      <c r="J201" s="12" t="str">
        <f>_xll.SNL.Clients.Office.Excel.Functions.SPG(H201, "SP_ULT_PARENT_COMPANY_NAME")</f>
        <v/>
      </c>
      <c r="K201" s="12" t="str">
        <f>_xll.SNL.Clients.Office.Excel.Functions.SPG(H201, "SP_ULT_PARENT_COUNTRY")</f>
        <v/>
      </c>
      <c r="L201" s="12" t="str">
        <f>_xll.SNL.Clients.Office.Excel.Functions.SPG(H201, "SP_PARENT_COMPANY_NAME")</f>
        <v/>
      </c>
      <c r="M201" s="12" t="str">
        <f>_xll.SNL.Clients.Office.Excel.Functions.SPG(H201, "SP_PARENT_COUNTRY")</f>
        <v/>
      </c>
      <c r="N201" s="12" t="str">
        <f>_xll.SNL.Clients.Office.Excel.Functions.SPG(H201, "SP_COUNTRY_NAME")</f>
        <v>China</v>
      </c>
      <c r="O201" s="12" t="str">
        <f>_xll.SNL.Clients.Office.Excel.Functions.SPG(I201, "SP_ULT_PARENT_COMPANY_NAME")</f>
        <v/>
      </c>
      <c r="P201" s="12" t="str">
        <f>_xll.SNL.Clients.Office.Excel.Functions.SPG(I201, "SP_ULT_PARENT_COUNTRY")</f>
        <v/>
      </c>
      <c r="Q201" s="12" t="str">
        <f>_xll.SNL.Clients.Office.Excel.Functions.SPG(I201, "SP_PARENT_COMPANY_NAME")</f>
        <v/>
      </c>
      <c r="R201" s="12" t="str">
        <f>_xll.SNL.Clients.Office.Excel.Functions.SPG(I201, "SP_PARENT_COUNTRY")</f>
        <v/>
      </c>
      <c r="S201" s="12" t="str">
        <f>_xll.SNL.Clients.Office.Excel.Functions.SPG(I201, "SP_COUNTRY_NAME")</f>
        <v>China</v>
      </c>
    </row>
    <row r="202" spans="1:19" ht="58" x14ac:dyDescent="0.35">
      <c r="A202" s="5">
        <v>46022</v>
      </c>
      <c r="B202" s="4" t="s">
        <v>736</v>
      </c>
      <c r="C202" s="4" t="s">
        <v>737</v>
      </c>
      <c r="D202" s="4" t="s">
        <v>1051</v>
      </c>
      <c r="E202" s="8">
        <v>4355346</v>
      </c>
      <c r="F202" s="7">
        <v>100</v>
      </c>
      <c r="G202" s="12" t="str">
        <f>[1]!SNLData("243327", C202, "OWNER_LIST")</f>
        <v>Western Mining Co.,Ltd.  100%</v>
      </c>
      <c r="H202" s="9">
        <f>[1]!SNLData("243327", C202, "OWNER_SNL_INSTN_KEY", "Owner 1")</f>
        <v>4355346</v>
      </c>
      <c r="I202" s="9" t="str">
        <f>[1]!SNLData("243327", C202, "OWNER_SNL_INSTN_KEY", "Owner 2")</f>
        <v>NA</v>
      </c>
      <c r="J202" s="12" t="str">
        <f>_xll.SNL.Clients.Office.Excel.Functions.SPG(H202, "SP_ULT_PARENT_COMPANY_NAME")</f>
        <v>Qinghai State Owned Assets Supervision &amp; Administration Commission</v>
      </c>
      <c r="K202" s="12" t="str">
        <f>_xll.SNL.Clients.Office.Excel.Functions.SPG(H202, "SP_ULT_PARENT_COUNTRY")</f>
        <v>China</v>
      </c>
      <c r="L202" s="12" t="str">
        <f>_xll.SNL.Clients.Office.Excel.Functions.SPG(H202, "SP_PARENT_COMPANY_NAME")</f>
        <v>Western Mining Group Co., Ltd.</v>
      </c>
      <c r="M202" s="12" t="str">
        <f>_xll.SNL.Clients.Office.Excel.Functions.SPG(H202, "SP_PARENT_COUNTRY")</f>
        <v>China</v>
      </c>
      <c r="N202" s="12" t="str">
        <f>_xll.SNL.Clients.Office.Excel.Functions.SPG(H202, "SP_COUNTRY_NAME")</f>
        <v>China</v>
      </c>
      <c r="O202" s="12" t="str">
        <f>_xll.SNL.Clients.Office.Excel.Functions.SPG(I202, "SP_ULT_PARENT_COMPANY_NAME")</f>
        <v/>
      </c>
      <c r="P202" s="12" t="str">
        <f>_xll.SNL.Clients.Office.Excel.Functions.SPG(I202, "SP_ULT_PARENT_COUNTRY")</f>
        <v/>
      </c>
      <c r="Q202" s="12" t="str">
        <f>_xll.SNL.Clients.Office.Excel.Functions.SPG(I202, "SP_PARENT_COMPANY_NAME")</f>
        <v/>
      </c>
      <c r="R202" s="12" t="str">
        <f>_xll.SNL.Clients.Office.Excel.Functions.SPG(I202, "SP_PARENT_COUNTRY")</f>
        <v/>
      </c>
      <c r="S202" s="12" t="str">
        <f>_xll.SNL.Clients.Office.Excel.Functions.SPG(I202, "SP_COUNTRY_NAME")</f>
        <v>China</v>
      </c>
    </row>
    <row r="203" spans="1:19" x14ac:dyDescent="0.35">
      <c r="A203" s="5">
        <v>46022</v>
      </c>
      <c r="B203" s="4" t="s">
        <v>288</v>
      </c>
      <c r="C203" s="4" t="s">
        <v>289</v>
      </c>
      <c r="D203" s="4" t="s">
        <v>1052</v>
      </c>
      <c r="E203" s="8">
        <v>10947692</v>
      </c>
      <c r="F203" s="7">
        <v>100</v>
      </c>
      <c r="G203" s="12" t="str">
        <f>[1]!SNLData("243327", C203, "OWNER_LIST")</f>
        <v>Shuyang County Qianpu Mining Co., Ltd.  100%</v>
      </c>
      <c r="H203" s="9">
        <f>[1]!SNLData("243327", C203, "OWNER_SNL_INSTN_KEY", "Owner 1")</f>
        <v>10947692</v>
      </c>
      <c r="I203" s="9" t="str">
        <f>[1]!SNLData("243327", C203, "OWNER_SNL_INSTN_KEY", "Owner 2")</f>
        <v>NA</v>
      </c>
      <c r="J203" s="12" t="str">
        <f>_xll.SNL.Clients.Office.Excel.Functions.SPG(H203, "SP_ULT_PARENT_COMPANY_NAME")</f>
        <v/>
      </c>
      <c r="K203" s="12" t="str">
        <f>_xll.SNL.Clients.Office.Excel.Functions.SPG(H203, "SP_ULT_PARENT_COUNTRY")</f>
        <v/>
      </c>
      <c r="L203" s="12" t="str">
        <f>_xll.SNL.Clients.Office.Excel.Functions.SPG(H203, "SP_PARENT_COMPANY_NAME")</f>
        <v/>
      </c>
      <c r="M203" s="12" t="str">
        <f>_xll.SNL.Clients.Office.Excel.Functions.SPG(H203, "SP_PARENT_COUNTRY")</f>
        <v/>
      </c>
      <c r="N203" s="12" t="str">
        <f>_xll.SNL.Clients.Office.Excel.Functions.SPG(H203, "SP_COUNTRY_NAME")</f>
        <v>China</v>
      </c>
      <c r="O203" s="12" t="str">
        <f>_xll.SNL.Clients.Office.Excel.Functions.SPG(I203, "SP_ULT_PARENT_COMPANY_NAME")</f>
        <v/>
      </c>
      <c r="P203" s="12" t="str">
        <f>_xll.SNL.Clients.Office.Excel.Functions.SPG(I203, "SP_ULT_PARENT_COUNTRY")</f>
        <v/>
      </c>
      <c r="Q203" s="12" t="str">
        <f>_xll.SNL.Clients.Office.Excel.Functions.SPG(I203, "SP_PARENT_COMPANY_NAME")</f>
        <v/>
      </c>
      <c r="R203" s="12" t="str">
        <f>_xll.SNL.Clients.Office.Excel.Functions.SPG(I203, "SP_PARENT_COUNTRY")</f>
        <v/>
      </c>
      <c r="S203" s="12" t="str">
        <f>_xll.SNL.Clients.Office.Excel.Functions.SPG(I203, "SP_COUNTRY_NAME")</f>
        <v>China</v>
      </c>
    </row>
    <row r="204" spans="1:19" ht="43.5" x14ac:dyDescent="0.35">
      <c r="A204" s="5">
        <v>46022</v>
      </c>
      <c r="B204" s="4" t="s">
        <v>290</v>
      </c>
      <c r="C204" s="4" t="s">
        <v>291</v>
      </c>
      <c r="D204" s="4" t="s">
        <v>980</v>
      </c>
      <c r="E204" s="8">
        <v>4354459</v>
      </c>
      <c r="F204" s="7">
        <v>100</v>
      </c>
      <c r="G204" s="12" t="str">
        <f>[1]!SNLData("243327", C204, "OWNER_LIST")</f>
        <v>Southern Copper Corporation  100%</v>
      </c>
      <c r="H204" s="9">
        <f>[1]!SNLData("243327", C204, "OWNER_SNL_INSTN_KEY", "Owner 1")</f>
        <v>4354459</v>
      </c>
      <c r="I204" s="9" t="str">
        <f>[1]!SNLData("243327", C204, "OWNER_SNL_INSTN_KEY", "Owner 2")</f>
        <v>NA</v>
      </c>
      <c r="J204" s="12" t="str">
        <f>_xll.SNL.Clients.Office.Excel.Functions.SPG(H204, "SP_ULT_PARENT_COMPANY_NAME")</f>
        <v>Grupo México, S.A.B. de C.V.</v>
      </c>
      <c r="K204" s="12" t="str">
        <f>_xll.SNL.Clients.Office.Excel.Functions.SPG(H204, "SP_ULT_PARENT_COUNTRY")</f>
        <v>Mexico</v>
      </c>
      <c r="L204" s="12" t="str">
        <f>_xll.SNL.Clients.Office.Excel.Functions.SPG(H204, "SP_PARENT_COMPANY_NAME")</f>
        <v>Americas Mining Corporation</v>
      </c>
      <c r="M204" s="12" t="str">
        <f>_xll.SNL.Clients.Office.Excel.Functions.SPG(H204, "SP_PARENT_COUNTRY")</f>
        <v>USA</v>
      </c>
      <c r="N204" s="12" t="str">
        <f>_xll.SNL.Clients.Office.Excel.Functions.SPG(H204, "SP_COUNTRY_NAME")</f>
        <v>USA</v>
      </c>
      <c r="O204" s="12" t="str">
        <f>_xll.SNL.Clients.Office.Excel.Functions.SPG(I204, "SP_ULT_PARENT_COMPANY_NAME")</f>
        <v/>
      </c>
      <c r="P204" s="12" t="str">
        <f>_xll.SNL.Clients.Office.Excel.Functions.SPG(I204, "SP_ULT_PARENT_COUNTRY")</f>
        <v/>
      </c>
      <c r="Q204" s="12" t="str">
        <f>_xll.SNL.Clients.Office.Excel.Functions.SPG(I204, "SP_PARENT_COMPANY_NAME")</f>
        <v/>
      </c>
      <c r="R204" s="12" t="str">
        <f>_xll.SNL.Clients.Office.Excel.Functions.SPG(I204, "SP_PARENT_COUNTRY")</f>
        <v/>
      </c>
      <c r="S204" s="12" t="str">
        <f>_xll.SNL.Clients.Office.Excel.Functions.SPG(I204, "SP_COUNTRY_NAME")</f>
        <v>China</v>
      </c>
    </row>
    <row r="205" spans="1:19" ht="29" x14ac:dyDescent="0.35">
      <c r="A205" s="5">
        <v>46022</v>
      </c>
      <c r="B205" s="4" t="s">
        <v>240</v>
      </c>
      <c r="C205" s="4" t="s">
        <v>241</v>
      </c>
      <c r="D205" s="4" t="s">
        <v>1053</v>
      </c>
      <c r="E205" s="8">
        <v>4351190</v>
      </c>
      <c r="F205" s="7">
        <v>87</v>
      </c>
      <c r="G205" s="12" t="str">
        <f>[1]!SNLData("243327", C205, "OWNER_LIST")</f>
        <v>Private Interest (Venturer) 13%; Impala Platinum Holdings Limited (Venturer) 87%</v>
      </c>
      <c r="H205" s="9">
        <f>[1]!SNLData("243327", C205, "OWNER_SNL_INSTN_KEY", "Owner 1")</f>
        <v>4351190</v>
      </c>
      <c r="I205" s="9">
        <f>[1]!SNLData("243327", C205, "OWNER_SNL_INSTN_KEY", "Owner 2")</f>
        <v>4353456</v>
      </c>
      <c r="J205" s="12" t="str">
        <f>_xll.SNL.Clients.Office.Excel.Functions.SPG(H205, "SP_ULT_PARENT_COMPANY_NAME")</f>
        <v/>
      </c>
      <c r="K205" s="12" t="str">
        <f>_xll.SNL.Clients.Office.Excel.Functions.SPG(H205, "SP_ULT_PARENT_COUNTRY")</f>
        <v/>
      </c>
      <c r="L205" s="12" t="str">
        <f>_xll.SNL.Clients.Office.Excel.Functions.SPG(H205, "SP_PARENT_COMPANY_NAME")</f>
        <v/>
      </c>
      <c r="M205" s="12" t="str">
        <f>_xll.SNL.Clients.Office.Excel.Functions.SPG(H205, "SP_PARENT_COUNTRY")</f>
        <v/>
      </c>
      <c r="N205" s="12" t="str">
        <f>_xll.SNL.Clients.Office.Excel.Functions.SPG(H205, "SP_COUNTRY_NAME")</f>
        <v>South Africa</v>
      </c>
      <c r="O205" s="12" t="str">
        <f>_xll.SNL.Clients.Office.Excel.Functions.SPG(I205, "SP_ULT_PARENT_COMPANY_NAME")</f>
        <v/>
      </c>
      <c r="P205" s="12" t="str">
        <f>_xll.SNL.Clients.Office.Excel.Functions.SPG(I205, "SP_ULT_PARENT_COUNTRY")</f>
        <v/>
      </c>
      <c r="Q205" s="12" t="str">
        <f>_xll.SNL.Clients.Office.Excel.Functions.SPG(I205, "SP_PARENT_COMPANY_NAME")</f>
        <v/>
      </c>
      <c r="R205" s="12" t="str">
        <f>_xll.SNL.Clients.Office.Excel.Functions.SPG(I205, "SP_PARENT_COUNTRY")</f>
        <v/>
      </c>
      <c r="S205" s="12" t="str">
        <f>_xll.SNL.Clients.Office.Excel.Functions.SPG(I205, "SP_COUNTRY_NAME")</f>
        <v>China</v>
      </c>
    </row>
    <row r="206" spans="1:19" ht="29" x14ac:dyDescent="0.35">
      <c r="A206" s="5">
        <v>46022</v>
      </c>
      <c r="B206" s="4" t="s">
        <v>240</v>
      </c>
      <c r="C206" s="4" t="s">
        <v>241</v>
      </c>
      <c r="D206" s="4" t="s">
        <v>962</v>
      </c>
      <c r="E206" s="8">
        <v>4353456</v>
      </c>
      <c r="F206" s="7">
        <v>13</v>
      </c>
      <c r="G206" s="12" t="str">
        <f>[1]!SNLData("243327", C206, "OWNER_LIST")</f>
        <v>Private Interest (Venturer) 13%; Impala Platinum Holdings Limited (Venturer) 87%</v>
      </c>
      <c r="H206" s="9">
        <f>[1]!SNLData("243327", C206, "OWNER_SNL_INSTN_KEY", "Owner 1")</f>
        <v>4351190</v>
      </c>
      <c r="I206" s="9">
        <f>[1]!SNLData("243327", C206, "OWNER_SNL_INSTN_KEY", "Owner 2")</f>
        <v>4353456</v>
      </c>
      <c r="J206" s="12" t="str">
        <f>_xll.SNL.Clients.Office.Excel.Functions.SPG(H206, "SP_ULT_PARENT_COMPANY_NAME")</f>
        <v/>
      </c>
      <c r="K206" s="12" t="str">
        <f>_xll.SNL.Clients.Office.Excel.Functions.SPG(H206, "SP_ULT_PARENT_COUNTRY")</f>
        <v/>
      </c>
      <c r="L206" s="12" t="str">
        <f>_xll.SNL.Clients.Office.Excel.Functions.SPG(H206, "SP_PARENT_COMPANY_NAME")</f>
        <v/>
      </c>
      <c r="M206" s="12" t="str">
        <f>_xll.SNL.Clients.Office.Excel.Functions.SPG(H206, "SP_PARENT_COUNTRY")</f>
        <v/>
      </c>
      <c r="N206" s="12" t="str">
        <f>_xll.SNL.Clients.Office.Excel.Functions.SPG(H206, "SP_COUNTRY_NAME")</f>
        <v>South Africa</v>
      </c>
      <c r="O206" s="12" t="str">
        <f>_xll.SNL.Clients.Office.Excel.Functions.SPG(I206, "SP_ULT_PARENT_COMPANY_NAME")</f>
        <v/>
      </c>
      <c r="P206" s="12" t="str">
        <f>_xll.SNL.Clients.Office.Excel.Functions.SPG(I206, "SP_ULT_PARENT_COUNTRY")</f>
        <v/>
      </c>
      <c r="Q206" s="12" t="str">
        <f>_xll.SNL.Clients.Office.Excel.Functions.SPG(I206, "SP_PARENT_COMPANY_NAME")</f>
        <v/>
      </c>
      <c r="R206" s="12" t="str">
        <f>_xll.SNL.Clients.Office.Excel.Functions.SPG(I206, "SP_PARENT_COUNTRY")</f>
        <v/>
      </c>
      <c r="S206" s="12" t="str">
        <f>_xll.SNL.Clients.Office.Excel.Functions.SPG(I206, "SP_COUNTRY_NAME")</f>
        <v>China</v>
      </c>
    </row>
    <row r="207" spans="1:19" x14ac:dyDescent="0.35">
      <c r="A207" s="5">
        <v>46022</v>
      </c>
      <c r="B207" s="4" t="s">
        <v>738</v>
      </c>
      <c r="C207" s="4" t="s">
        <v>739</v>
      </c>
      <c r="D207" s="4" t="s">
        <v>1053</v>
      </c>
      <c r="E207" s="8">
        <v>4351190</v>
      </c>
      <c r="F207" s="7">
        <v>100</v>
      </c>
      <c r="G207" s="12" t="str">
        <f>[1]!SNLData("243327", C207, "OWNER_LIST")</f>
        <v>Impala Platinum Holdings Limited  100%</v>
      </c>
      <c r="H207" s="9">
        <f>[1]!SNLData("243327", C207, "OWNER_SNL_INSTN_KEY", "Owner 1")</f>
        <v>4351190</v>
      </c>
      <c r="I207" s="9" t="str">
        <f>[1]!SNLData("243327", C207, "OWNER_SNL_INSTN_KEY", "Owner 2")</f>
        <v>NA</v>
      </c>
      <c r="J207" s="12" t="str">
        <f>_xll.SNL.Clients.Office.Excel.Functions.SPG(H207, "SP_ULT_PARENT_COMPANY_NAME")</f>
        <v/>
      </c>
      <c r="K207" s="12" t="str">
        <f>_xll.SNL.Clients.Office.Excel.Functions.SPG(H207, "SP_ULT_PARENT_COUNTRY")</f>
        <v/>
      </c>
      <c r="L207" s="12" t="str">
        <f>_xll.SNL.Clients.Office.Excel.Functions.SPG(H207, "SP_PARENT_COMPANY_NAME")</f>
        <v/>
      </c>
      <c r="M207" s="12" t="str">
        <f>_xll.SNL.Clients.Office.Excel.Functions.SPG(H207, "SP_PARENT_COUNTRY")</f>
        <v/>
      </c>
      <c r="N207" s="12" t="str">
        <f>_xll.SNL.Clients.Office.Excel.Functions.SPG(H207, "SP_COUNTRY_NAME")</f>
        <v>South Africa</v>
      </c>
      <c r="O207" s="12" t="str">
        <f>_xll.SNL.Clients.Office.Excel.Functions.SPG(I207, "SP_ULT_PARENT_COMPANY_NAME")</f>
        <v/>
      </c>
      <c r="P207" s="12" t="str">
        <f>_xll.SNL.Clients.Office.Excel.Functions.SPG(I207, "SP_ULT_PARENT_COUNTRY")</f>
        <v/>
      </c>
      <c r="Q207" s="12" t="str">
        <f>_xll.SNL.Clients.Office.Excel.Functions.SPG(I207, "SP_PARENT_COMPANY_NAME")</f>
        <v/>
      </c>
      <c r="R207" s="12" t="str">
        <f>_xll.SNL.Clients.Office.Excel.Functions.SPG(I207, "SP_PARENT_COUNTRY")</f>
        <v/>
      </c>
      <c r="S207" s="12" t="str">
        <f>_xll.SNL.Clients.Office.Excel.Functions.SPG(I207, "SP_COUNTRY_NAME")</f>
        <v>China</v>
      </c>
    </row>
    <row r="208" spans="1:19" ht="43.5" x14ac:dyDescent="0.35">
      <c r="A208" s="5">
        <v>46022</v>
      </c>
      <c r="B208" s="4" t="s">
        <v>396</v>
      </c>
      <c r="C208" s="4" t="s">
        <v>397</v>
      </c>
      <c r="D208" s="4" t="s">
        <v>981</v>
      </c>
      <c r="E208" s="8">
        <v>4120225</v>
      </c>
      <c r="F208" s="7">
        <v>50</v>
      </c>
      <c r="G208" s="12" t="str">
        <f>[1]!SNLData("243327", C208, "OWNER_LIST")</f>
        <v>Barrick Mining Corporation (Venturer) 50%; Saudi Arabian Mining Company (Maaden) (Venturer) 50%</v>
      </c>
      <c r="H208" s="9">
        <f>[1]!SNLData("243327", C208, "OWNER_SNL_INSTN_KEY", "Owner 1")</f>
        <v>4120225</v>
      </c>
      <c r="I208" s="9">
        <f>[1]!SNLData("243327", C208, "OWNER_SNL_INSTN_KEY", "Owner 2")</f>
        <v>4351955</v>
      </c>
      <c r="J208" s="12" t="str">
        <f>_xll.SNL.Clients.Office.Excel.Functions.SPG(H208, "SP_ULT_PARENT_COMPANY_NAME")</f>
        <v/>
      </c>
      <c r="K208" s="12" t="str">
        <f>_xll.SNL.Clients.Office.Excel.Functions.SPG(H208, "SP_ULT_PARENT_COUNTRY")</f>
        <v/>
      </c>
      <c r="L208" s="12" t="str">
        <f>_xll.SNL.Clients.Office.Excel.Functions.SPG(H208, "SP_PARENT_COMPANY_NAME")</f>
        <v/>
      </c>
      <c r="M208" s="12" t="str">
        <f>_xll.SNL.Clients.Office.Excel.Functions.SPG(H208, "SP_PARENT_COUNTRY")</f>
        <v/>
      </c>
      <c r="N208" s="12" t="str">
        <f>_xll.SNL.Clients.Office.Excel.Functions.SPG(H208, "SP_COUNTRY_NAME")</f>
        <v>Canada</v>
      </c>
      <c r="O208" s="12" t="str">
        <f>_xll.SNL.Clients.Office.Excel.Functions.SPG(I208, "SP_ULT_PARENT_COMPANY_NAME")</f>
        <v>Saudi Arabia</v>
      </c>
      <c r="P208" s="12" t="str">
        <f>_xll.SNL.Clients.Office.Excel.Functions.SPG(I208, "SP_ULT_PARENT_COUNTRY")</f>
        <v>Saudi Arabia</v>
      </c>
      <c r="Q208" s="12" t="str">
        <f>_xll.SNL.Clients.Office.Excel.Functions.SPG(I208, "SP_PARENT_COMPANY_NAME")</f>
        <v>Public Investment Fund</v>
      </c>
      <c r="R208" s="12" t="str">
        <f>_xll.SNL.Clients.Office.Excel.Functions.SPG(I208, "SP_PARENT_COUNTRY")</f>
        <v>Saudi Arabia</v>
      </c>
      <c r="S208" s="12" t="str">
        <f>_xll.SNL.Clients.Office.Excel.Functions.SPG(I208, "SP_COUNTRY_NAME")</f>
        <v>Saudi Arabia</v>
      </c>
    </row>
    <row r="209" spans="1:19" ht="43.5" x14ac:dyDescent="0.35">
      <c r="A209" s="5">
        <v>46022</v>
      </c>
      <c r="B209" s="4" t="s">
        <v>396</v>
      </c>
      <c r="C209" s="4" t="s">
        <v>397</v>
      </c>
      <c r="D209" s="4" t="s">
        <v>1054</v>
      </c>
      <c r="E209" s="8">
        <v>4351955</v>
      </c>
      <c r="F209" s="7">
        <v>50</v>
      </c>
      <c r="G209" s="12" t="str">
        <f>[1]!SNLData("243327", C209, "OWNER_LIST")</f>
        <v>Barrick Mining Corporation (Venturer) 50%; Saudi Arabian Mining Company (Maaden) (Venturer) 50%</v>
      </c>
      <c r="H209" s="9">
        <f>[1]!SNLData("243327", C209, "OWNER_SNL_INSTN_KEY", "Owner 1")</f>
        <v>4120225</v>
      </c>
      <c r="I209" s="9">
        <f>[1]!SNLData("243327", C209, "OWNER_SNL_INSTN_KEY", "Owner 2")</f>
        <v>4351955</v>
      </c>
      <c r="J209" s="12" t="str">
        <f>_xll.SNL.Clients.Office.Excel.Functions.SPG(H209, "SP_ULT_PARENT_COMPANY_NAME")</f>
        <v/>
      </c>
      <c r="K209" s="12" t="str">
        <f>_xll.SNL.Clients.Office.Excel.Functions.SPG(H209, "SP_ULT_PARENT_COUNTRY")</f>
        <v/>
      </c>
      <c r="L209" s="12" t="str">
        <f>_xll.SNL.Clients.Office.Excel.Functions.SPG(H209, "SP_PARENT_COMPANY_NAME")</f>
        <v/>
      </c>
      <c r="M209" s="12" t="str">
        <f>_xll.SNL.Clients.Office.Excel.Functions.SPG(H209, "SP_PARENT_COUNTRY")</f>
        <v/>
      </c>
      <c r="N209" s="12" t="str">
        <f>_xll.SNL.Clients.Office.Excel.Functions.SPG(H209, "SP_COUNTRY_NAME")</f>
        <v>Canada</v>
      </c>
      <c r="O209" s="12" t="str">
        <f>_xll.SNL.Clients.Office.Excel.Functions.SPG(I209, "SP_ULT_PARENT_COMPANY_NAME")</f>
        <v>Saudi Arabia</v>
      </c>
      <c r="P209" s="12" t="str">
        <f>_xll.SNL.Clients.Office.Excel.Functions.SPG(I209, "SP_ULT_PARENT_COUNTRY")</f>
        <v>Saudi Arabia</v>
      </c>
      <c r="Q209" s="12" t="str">
        <f>_xll.SNL.Clients.Office.Excel.Functions.SPG(I209, "SP_PARENT_COMPANY_NAME")</f>
        <v>Public Investment Fund</v>
      </c>
      <c r="R209" s="12" t="str">
        <f>_xll.SNL.Clients.Office.Excel.Functions.SPG(I209, "SP_PARENT_COUNTRY")</f>
        <v>Saudi Arabia</v>
      </c>
      <c r="S209" s="12" t="str">
        <f>_xll.SNL.Clients.Office.Excel.Functions.SPG(I209, "SP_COUNTRY_NAME")</f>
        <v>Saudi Arabia</v>
      </c>
    </row>
    <row r="210" spans="1:19" ht="72.5" x14ac:dyDescent="0.35">
      <c r="A210" s="5">
        <v>46022</v>
      </c>
      <c r="B210" s="4" t="s">
        <v>292</v>
      </c>
      <c r="C210" s="4" t="s">
        <v>293</v>
      </c>
      <c r="D210" s="4" t="s">
        <v>1055</v>
      </c>
      <c r="E210" s="8">
        <v>4349139</v>
      </c>
      <c r="F210" s="7">
        <v>100</v>
      </c>
      <c r="G210" s="12" t="str">
        <f>[1]!SNLData("243327", C210, "OWNER_LIST")</f>
        <v>China Gold International Resources Corp. Ltd.  100%</v>
      </c>
      <c r="H210" s="9">
        <f>[1]!SNLData("243327", C210, "OWNER_SNL_INSTN_KEY", "Owner 1")</f>
        <v>4349139</v>
      </c>
      <c r="I210" s="9" t="str">
        <f>[1]!SNLData("243327", C210, "OWNER_SNL_INSTN_KEY", "Owner 2")</f>
        <v>NA</v>
      </c>
      <c r="J210" s="12" t="str">
        <f>_xll.SNL.Clients.Office.Excel.Functions.SPG(H210, "SP_ULT_PARENT_COMPANY_NAME")</f>
        <v>State-owned Assets Supervision and Administration Commission of the State Counci</v>
      </c>
      <c r="K210" s="12" t="str">
        <f>_xll.SNL.Clients.Office.Excel.Functions.SPG(H210, "SP_ULT_PARENT_COUNTRY")</f>
        <v>China</v>
      </c>
      <c r="L210" s="12" t="str">
        <f>_xll.SNL.Clients.Office.Excel.Functions.SPG(H210, "SP_PARENT_COMPANY_NAME")</f>
        <v>China National Gold Group Hong Kong Limited</v>
      </c>
      <c r="M210" s="12" t="str">
        <f>_xll.SNL.Clients.Office.Excel.Functions.SPG(H210, "SP_PARENT_COUNTRY")</f>
        <v>Hong Kong</v>
      </c>
      <c r="N210" s="12" t="str">
        <f>_xll.SNL.Clients.Office.Excel.Functions.SPG(H210, "SP_COUNTRY_NAME")</f>
        <v>Canada</v>
      </c>
      <c r="O210" s="12" t="str">
        <f>_xll.SNL.Clients.Office.Excel.Functions.SPG(I210, "SP_ULT_PARENT_COMPANY_NAME")</f>
        <v/>
      </c>
      <c r="P210" s="12" t="str">
        <f>_xll.SNL.Clients.Office.Excel.Functions.SPG(I210, "SP_ULT_PARENT_COUNTRY")</f>
        <v/>
      </c>
      <c r="Q210" s="12" t="str">
        <f>_xll.SNL.Clients.Office.Excel.Functions.SPG(I210, "SP_PARENT_COMPANY_NAME")</f>
        <v/>
      </c>
      <c r="R210" s="12" t="str">
        <f>_xll.SNL.Clients.Office.Excel.Functions.SPG(I210, "SP_PARENT_COUNTRY")</f>
        <v/>
      </c>
      <c r="S210" s="12" t="str">
        <f>_xll.SNL.Clients.Office.Excel.Functions.SPG(I210, "SP_COUNTRY_NAME")</f>
        <v>China</v>
      </c>
    </row>
    <row r="211" spans="1:19" ht="72.5" x14ac:dyDescent="0.35">
      <c r="A211" s="5">
        <v>46022</v>
      </c>
      <c r="B211" s="4" t="s">
        <v>294</v>
      </c>
      <c r="C211" s="4" t="s">
        <v>295</v>
      </c>
      <c r="D211" s="4" t="s">
        <v>1056</v>
      </c>
      <c r="E211" s="8">
        <v>4355632</v>
      </c>
      <c r="F211" s="7">
        <v>55</v>
      </c>
      <c r="G211" s="12" t="str">
        <f>[1]!SNLData("243327", C211, "OWNER_LIST")</f>
        <v>Zhongjin Gold Corp.,Ltd (Venturer) 55%; Unnamed Owner (Fractional) %</v>
      </c>
      <c r="H211" s="9">
        <f>[1]!SNLData("243327", C211, "OWNER_SNL_INSTN_KEY", "Owner 1")</f>
        <v>4355632</v>
      </c>
      <c r="I211" s="9">
        <f>[1]!SNLData("243327", C211, "OWNER_SNL_INSTN_KEY", "Owner 2")</f>
        <v>4400798</v>
      </c>
      <c r="J211" s="12" t="str">
        <f>_xll.SNL.Clients.Office.Excel.Functions.SPG(H211, "SP_ULT_PARENT_COMPANY_NAME")</f>
        <v>State-owned Assets Supervision and Administration Commission of the State Counci</v>
      </c>
      <c r="K211" s="12" t="str">
        <f>_xll.SNL.Clients.Office.Excel.Functions.SPG(H211, "SP_ULT_PARENT_COUNTRY")</f>
        <v>China</v>
      </c>
      <c r="L211" s="12" t="str">
        <f>_xll.SNL.Clients.Office.Excel.Functions.SPG(H211, "SP_PARENT_COMPANY_NAME")</f>
        <v>China National Gold Group Co., Ltd</v>
      </c>
      <c r="M211" s="12" t="str">
        <f>_xll.SNL.Clients.Office.Excel.Functions.SPG(H211, "SP_PARENT_COUNTRY")</f>
        <v>China</v>
      </c>
      <c r="N211" s="12" t="str">
        <f>_xll.SNL.Clients.Office.Excel.Functions.SPG(H211, "SP_COUNTRY_NAME")</f>
        <v>China</v>
      </c>
      <c r="O211" s="12" t="str">
        <f>_xll.SNL.Clients.Office.Excel.Functions.SPG(I211, "SP_ULT_PARENT_COMPANY_NAME")</f>
        <v/>
      </c>
      <c r="P211" s="12" t="str">
        <f>_xll.SNL.Clients.Office.Excel.Functions.SPG(I211, "SP_ULT_PARENT_COUNTRY")</f>
        <v/>
      </c>
      <c r="Q211" s="12" t="str">
        <f>_xll.SNL.Clients.Office.Excel.Functions.SPG(I211, "SP_PARENT_COMPANY_NAME")</f>
        <v/>
      </c>
      <c r="R211" s="12" t="str">
        <f>_xll.SNL.Clients.Office.Excel.Functions.SPG(I211, "SP_PARENT_COUNTRY")</f>
        <v/>
      </c>
      <c r="S211" s="12" t="str">
        <f>_xll.SNL.Clients.Office.Excel.Functions.SPG(I211, "SP_COUNTRY_NAME")</f>
        <v>USA</v>
      </c>
    </row>
    <row r="212" spans="1:19" ht="116" x14ac:dyDescent="0.35">
      <c r="A212" s="5">
        <v>46022</v>
      </c>
      <c r="B212" s="4" t="s">
        <v>242</v>
      </c>
      <c r="C212" s="4" t="s">
        <v>243</v>
      </c>
      <c r="D212" s="4" t="s">
        <v>1057</v>
      </c>
      <c r="E212" s="8">
        <v>4351437</v>
      </c>
      <c r="F212" s="7">
        <v>100</v>
      </c>
      <c r="G212" s="12" t="str">
        <f>[1]!SNLData("243327", C212, "OWNER_LIST")</f>
        <v>JinChuan Group Co.,Ltd  100%</v>
      </c>
      <c r="H212" s="9">
        <f>[1]!SNLData("243327", C212, "OWNER_SNL_INSTN_KEY", "Owner 1")</f>
        <v>4351437</v>
      </c>
      <c r="I212" s="9" t="str">
        <f>[1]!SNLData("243327", C212, "OWNER_SNL_INSTN_KEY", "Owner 2")</f>
        <v>NA</v>
      </c>
      <c r="J212" s="12" t="str">
        <f>_xll.SNL.Clients.Office.Excel.Functions.SPG(H212, "SP_ULT_PARENT_COMPANY_NAME")</f>
        <v>State-Owned Assets Supervision And Administration Commission Of Gansu Provincial</v>
      </c>
      <c r="K212" s="12" t="str">
        <f>_xll.SNL.Clients.Office.Excel.Functions.SPG(H212, "SP_ULT_PARENT_COUNTRY")</f>
        <v>China</v>
      </c>
      <c r="L212" s="12" t="str">
        <f>_xll.SNL.Clients.Office.Excel.Functions.SPG(H212, "SP_PARENT_COMPANY_NAME")</f>
        <v>State-Owned Assets Supervision And Administration Commission Of Gansu Provincial</v>
      </c>
      <c r="M212" s="12" t="str">
        <f>_xll.SNL.Clients.Office.Excel.Functions.SPG(H212, "SP_PARENT_COUNTRY")</f>
        <v>China</v>
      </c>
      <c r="N212" s="12" t="str">
        <f>_xll.SNL.Clients.Office.Excel.Functions.SPG(H212, "SP_COUNTRY_NAME")</f>
        <v>China</v>
      </c>
      <c r="O212" s="12" t="str">
        <f>_xll.SNL.Clients.Office.Excel.Functions.SPG(I212, "SP_ULT_PARENT_COMPANY_NAME")</f>
        <v/>
      </c>
      <c r="P212" s="12" t="str">
        <f>_xll.SNL.Clients.Office.Excel.Functions.SPG(I212, "SP_ULT_PARENT_COUNTRY")</f>
        <v/>
      </c>
      <c r="Q212" s="12" t="str">
        <f>_xll.SNL.Clients.Office.Excel.Functions.SPG(I212, "SP_PARENT_COMPANY_NAME")</f>
        <v/>
      </c>
      <c r="R212" s="12" t="str">
        <f>_xll.SNL.Clients.Office.Excel.Functions.SPG(I212, "SP_PARENT_COUNTRY")</f>
        <v/>
      </c>
      <c r="S212" s="12" t="str">
        <f>_xll.SNL.Clients.Office.Excel.Functions.SPG(I212, "SP_COUNTRY_NAME")</f>
        <v>China</v>
      </c>
    </row>
    <row r="213" spans="1:19" x14ac:dyDescent="0.35">
      <c r="A213" s="5">
        <v>46022</v>
      </c>
      <c r="B213" s="4" t="s">
        <v>244</v>
      </c>
      <c r="C213" s="4" t="s">
        <v>245</v>
      </c>
      <c r="D213" s="4" t="s">
        <v>962</v>
      </c>
      <c r="E213" s="8">
        <v>4353456</v>
      </c>
      <c r="F213" s="7">
        <v>100</v>
      </c>
      <c r="G213" s="12" t="str">
        <f>[1]!SNLData("243327", C213, "OWNER_LIST")</f>
        <v>Private Interest  100%</v>
      </c>
      <c r="H213" s="9">
        <f>[1]!SNLData("243327", C213, "OWNER_SNL_INSTN_KEY", "Owner 1")</f>
        <v>4353456</v>
      </c>
      <c r="I213" s="9" t="str">
        <f>[1]!SNLData("243327", C213, "OWNER_SNL_INSTN_KEY", "Owner 2")</f>
        <v>NA</v>
      </c>
      <c r="J213" s="12" t="str">
        <f>_xll.SNL.Clients.Office.Excel.Functions.SPG(H213, "SP_ULT_PARENT_COMPANY_NAME")</f>
        <v/>
      </c>
      <c r="K213" s="12" t="str">
        <f>_xll.SNL.Clients.Office.Excel.Functions.SPG(H213, "SP_ULT_PARENT_COUNTRY")</f>
        <v/>
      </c>
      <c r="L213" s="12" t="str">
        <f>_xll.SNL.Clients.Office.Excel.Functions.SPG(H213, "SP_PARENT_COMPANY_NAME")</f>
        <v/>
      </c>
      <c r="M213" s="12" t="str">
        <f>_xll.SNL.Clients.Office.Excel.Functions.SPG(H213, "SP_PARENT_COUNTRY")</f>
        <v/>
      </c>
      <c r="N213" s="12" t="str">
        <f>_xll.SNL.Clients.Office.Excel.Functions.SPG(H213, "SP_COUNTRY_NAME")</f>
        <v>China</v>
      </c>
      <c r="O213" s="12" t="str">
        <f>_xll.SNL.Clients.Office.Excel.Functions.SPG(I213, "SP_ULT_PARENT_COMPANY_NAME")</f>
        <v/>
      </c>
      <c r="P213" s="12" t="str">
        <f>_xll.SNL.Clients.Office.Excel.Functions.SPG(I213, "SP_ULT_PARENT_COUNTRY")</f>
        <v/>
      </c>
      <c r="Q213" s="12" t="str">
        <f>_xll.SNL.Clients.Office.Excel.Functions.SPG(I213, "SP_PARENT_COMPANY_NAME")</f>
        <v/>
      </c>
      <c r="R213" s="12" t="str">
        <f>_xll.SNL.Clients.Office.Excel.Functions.SPG(I213, "SP_PARENT_COUNTRY")</f>
        <v/>
      </c>
      <c r="S213" s="12" t="str">
        <f>_xll.SNL.Clients.Office.Excel.Functions.SPG(I213, "SP_COUNTRY_NAME")</f>
        <v>China</v>
      </c>
    </row>
    <row r="214" spans="1:19" x14ac:dyDescent="0.35">
      <c r="A214" s="5">
        <v>46022</v>
      </c>
      <c r="B214" s="4" t="s">
        <v>740</v>
      </c>
      <c r="C214" s="4" t="s">
        <v>741</v>
      </c>
      <c r="D214" s="4" t="s">
        <v>1058</v>
      </c>
      <c r="E214" s="8">
        <v>10947965</v>
      </c>
      <c r="F214" s="7">
        <v>100</v>
      </c>
      <c r="G214" s="12" t="str">
        <f>[1]!SNLData("243327", C214, "OWNER_LIST")</f>
        <v>Anhui Chizhou Jinsen Mining Co., Ltd.  100%</v>
      </c>
      <c r="H214" s="9">
        <f>[1]!SNLData("243327", C214, "OWNER_SNL_INSTN_KEY", "Owner 1")</f>
        <v>10947965</v>
      </c>
      <c r="I214" s="9" t="str">
        <f>[1]!SNLData("243327", C214, "OWNER_SNL_INSTN_KEY", "Owner 2")</f>
        <v>NA</v>
      </c>
      <c r="J214" s="12" t="str">
        <f>_xll.SNL.Clients.Office.Excel.Functions.SPG(H214, "SP_ULT_PARENT_COMPANY_NAME")</f>
        <v/>
      </c>
      <c r="K214" s="12" t="str">
        <f>_xll.SNL.Clients.Office.Excel.Functions.SPG(H214, "SP_ULT_PARENT_COUNTRY")</f>
        <v/>
      </c>
      <c r="L214" s="12" t="str">
        <f>_xll.SNL.Clients.Office.Excel.Functions.SPG(H214, "SP_PARENT_COMPANY_NAME")</f>
        <v/>
      </c>
      <c r="M214" s="12" t="str">
        <f>_xll.SNL.Clients.Office.Excel.Functions.SPG(H214, "SP_PARENT_COUNTRY")</f>
        <v/>
      </c>
      <c r="N214" s="12" t="str">
        <f>_xll.SNL.Clients.Office.Excel.Functions.SPG(H214, "SP_COUNTRY_NAME")</f>
        <v>China</v>
      </c>
      <c r="O214" s="12" t="str">
        <f>_xll.SNL.Clients.Office.Excel.Functions.SPG(I214, "SP_ULT_PARENT_COMPANY_NAME")</f>
        <v/>
      </c>
      <c r="P214" s="12" t="str">
        <f>_xll.SNL.Clients.Office.Excel.Functions.SPG(I214, "SP_ULT_PARENT_COUNTRY")</f>
        <v/>
      </c>
      <c r="Q214" s="12" t="str">
        <f>_xll.SNL.Clients.Office.Excel.Functions.SPG(I214, "SP_PARENT_COMPANY_NAME")</f>
        <v/>
      </c>
      <c r="R214" s="12" t="str">
        <f>_xll.SNL.Clients.Office.Excel.Functions.SPG(I214, "SP_PARENT_COUNTRY")</f>
        <v/>
      </c>
      <c r="S214" s="12" t="str">
        <f>_xll.SNL.Clients.Office.Excel.Functions.SPG(I214, "SP_COUNTRY_NAME")</f>
        <v>China</v>
      </c>
    </row>
    <row r="215" spans="1:19" x14ac:dyDescent="0.35">
      <c r="A215" s="5">
        <v>46022</v>
      </c>
      <c r="B215" s="4" t="s">
        <v>430</v>
      </c>
      <c r="C215" s="4" t="s">
        <v>431</v>
      </c>
      <c r="D215" s="4" t="s">
        <v>1059</v>
      </c>
      <c r="E215" s="8">
        <v>10931001</v>
      </c>
      <c r="F215" s="7">
        <v>100</v>
      </c>
      <c r="G215" s="12" t="str">
        <f>[1]!SNLData("243327", C215, "OWNER_LIST")</f>
        <v>Jiujiang Mining and Metallurgy Co., Ltd.  100%</v>
      </c>
      <c r="H215" s="9">
        <f>[1]!SNLData("243327", C215, "OWNER_SNL_INSTN_KEY", "Owner 1")</f>
        <v>10931001</v>
      </c>
      <c r="I215" s="9" t="str">
        <f>[1]!SNLData("243327", C215, "OWNER_SNL_INSTN_KEY", "Owner 2")</f>
        <v>NA</v>
      </c>
      <c r="J215" s="12" t="str">
        <f>_xll.SNL.Clients.Office.Excel.Functions.SPG(H215, "SP_ULT_PARENT_COMPANY_NAME")</f>
        <v/>
      </c>
      <c r="K215" s="12" t="str">
        <f>_xll.SNL.Clients.Office.Excel.Functions.SPG(H215, "SP_ULT_PARENT_COUNTRY")</f>
        <v/>
      </c>
      <c r="L215" s="12" t="str">
        <f>_xll.SNL.Clients.Office.Excel.Functions.SPG(H215, "SP_PARENT_COMPANY_NAME")</f>
        <v/>
      </c>
      <c r="M215" s="12" t="str">
        <f>_xll.SNL.Clients.Office.Excel.Functions.SPG(H215, "SP_PARENT_COUNTRY")</f>
        <v/>
      </c>
      <c r="N215" s="12" t="str">
        <f>_xll.SNL.Clients.Office.Excel.Functions.SPG(H215, "SP_COUNTRY_NAME")</f>
        <v>China</v>
      </c>
      <c r="O215" s="12" t="str">
        <f>_xll.SNL.Clients.Office.Excel.Functions.SPG(I215, "SP_ULT_PARENT_COMPANY_NAME")</f>
        <v/>
      </c>
      <c r="P215" s="12" t="str">
        <f>_xll.SNL.Clients.Office.Excel.Functions.SPG(I215, "SP_ULT_PARENT_COUNTRY")</f>
        <v/>
      </c>
      <c r="Q215" s="12" t="str">
        <f>_xll.SNL.Clients.Office.Excel.Functions.SPG(I215, "SP_PARENT_COMPANY_NAME")</f>
        <v/>
      </c>
      <c r="R215" s="12" t="str">
        <f>_xll.SNL.Clients.Office.Excel.Functions.SPG(I215, "SP_PARENT_COUNTRY")</f>
        <v/>
      </c>
      <c r="S215" s="12" t="str">
        <f>_xll.SNL.Clients.Office.Excel.Functions.SPG(I215, "SP_COUNTRY_NAME")</f>
        <v>China</v>
      </c>
    </row>
    <row r="216" spans="1:19" x14ac:dyDescent="0.35">
      <c r="A216" s="5">
        <v>46022</v>
      </c>
      <c r="B216" s="4" t="s">
        <v>432</v>
      </c>
      <c r="C216" s="4" t="s">
        <v>433</v>
      </c>
      <c r="D216" s="4" t="s">
        <v>1060</v>
      </c>
      <c r="E216" s="8">
        <v>10929924</v>
      </c>
      <c r="F216" s="7">
        <v>100</v>
      </c>
      <c r="G216" s="12" t="str">
        <f>[1]!SNLData("243327", C216, "OWNER_LIST")</f>
        <v>Sunan County Qilianshan Mining Co., Ltd.  100%</v>
      </c>
      <c r="H216" s="9">
        <f>[1]!SNLData("243327", C216, "OWNER_SNL_INSTN_KEY", "Owner 1")</f>
        <v>10929924</v>
      </c>
      <c r="I216" s="9" t="str">
        <f>[1]!SNLData("243327", C216, "OWNER_SNL_INSTN_KEY", "Owner 2")</f>
        <v>NA</v>
      </c>
      <c r="J216" s="12" t="str">
        <f>_xll.SNL.Clients.Office.Excel.Functions.SPG(H216, "SP_ULT_PARENT_COMPANY_NAME")</f>
        <v/>
      </c>
      <c r="K216" s="12" t="str">
        <f>_xll.SNL.Clients.Office.Excel.Functions.SPG(H216, "SP_ULT_PARENT_COUNTRY")</f>
        <v/>
      </c>
      <c r="L216" s="12" t="str">
        <f>_xll.SNL.Clients.Office.Excel.Functions.SPG(H216, "SP_PARENT_COMPANY_NAME")</f>
        <v/>
      </c>
      <c r="M216" s="12" t="str">
        <f>_xll.SNL.Clients.Office.Excel.Functions.SPG(H216, "SP_PARENT_COUNTRY")</f>
        <v/>
      </c>
      <c r="N216" s="12" t="str">
        <f>_xll.SNL.Clients.Office.Excel.Functions.SPG(H216, "SP_COUNTRY_NAME")</f>
        <v>China</v>
      </c>
      <c r="O216" s="12" t="str">
        <f>_xll.SNL.Clients.Office.Excel.Functions.SPG(I216, "SP_ULT_PARENT_COMPANY_NAME")</f>
        <v/>
      </c>
      <c r="P216" s="12" t="str">
        <f>_xll.SNL.Clients.Office.Excel.Functions.SPG(I216, "SP_ULT_PARENT_COUNTRY")</f>
        <v/>
      </c>
      <c r="Q216" s="12" t="str">
        <f>_xll.SNL.Clients.Office.Excel.Functions.SPG(I216, "SP_PARENT_COMPANY_NAME")</f>
        <v/>
      </c>
      <c r="R216" s="12" t="str">
        <f>_xll.SNL.Clients.Office.Excel.Functions.SPG(I216, "SP_PARENT_COUNTRY")</f>
        <v/>
      </c>
      <c r="S216" s="12" t="str">
        <f>_xll.SNL.Clients.Office.Excel.Functions.SPG(I216, "SP_COUNTRY_NAME")</f>
        <v>China</v>
      </c>
    </row>
    <row r="217" spans="1:19" ht="29" x14ac:dyDescent="0.35">
      <c r="A217" s="5">
        <v>46022</v>
      </c>
      <c r="B217" s="4" t="s">
        <v>246</v>
      </c>
      <c r="C217" s="4" t="s">
        <v>247</v>
      </c>
      <c r="D217" s="4" t="s">
        <v>1061</v>
      </c>
      <c r="E217" s="8">
        <v>10931172</v>
      </c>
      <c r="F217" s="7">
        <v>100</v>
      </c>
      <c r="G217" s="12" t="str">
        <f>[1]!SNLData("243327", C217, "OWNER_LIST")</f>
        <v>Inner Mongolia Yufeng Mining Group Co., Ltd.  100%</v>
      </c>
      <c r="H217" s="9">
        <f>[1]!SNLData("243327", C217, "OWNER_SNL_INSTN_KEY", "Owner 1")</f>
        <v>10931172</v>
      </c>
      <c r="I217" s="9" t="str">
        <f>[1]!SNLData("243327", C217, "OWNER_SNL_INSTN_KEY", "Owner 2")</f>
        <v>NA</v>
      </c>
      <c r="J217" s="12" t="str">
        <f>_xll.SNL.Clients.Office.Excel.Functions.SPG(H217, "SP_ULT_PARENT_COMPANY_NAME")</f>
        <v/>
      </c>
      <c r="K217" s="12" t="str">
        <f>_xll.SNL.Clients.Office.Excel.Functions.SPG(H217, "SP_ULT_PARENT_COUNTRY")</f>
        <v/>
      </c>
      <c r="L217" s="12" t="str">
        <f>_xll.SNL.Clients.Office.Excel.Functions.SPG(H217, "SP_PARENT_COMPANY_NAME")</f>
        <v/>
      </c>
      <c r="M217" s="12" t="str">
        <f>_xll.SNL.Clients.Office.Excel.Functions.SPG(H217, "SP_PARENT_COUNTRY")</f>
        <v/>
      </c>
      <c r="N217" s="12" t="str">
        <f>_xll.SNL.Clients.Office.Excel.Functions.SPG(H217, "SP_COUNTRY_NAME")</f>
        <v>China</v>
      </c>
      <c r="O217" s="12" t="str">
        <f>_xll.SNL.Clients.Office.Excel.Functions.SPG(I217, "SP_ULT_PARENT_COMPANY_NAME")</f>
        <v/>
      </c>
      <c r="P217" s="12" t="str">
        <f>_xll.SNL.Clients.Office.Excel.Functions.SPG(I217, "SP_ULT_PARENT_COUNTRY")</f>
        <v/>
      </c>
      <c r="Q217" s="12" t="str">
        <f>_xll.SNL.Clients.Office.Excel.Functions.SPG(I217, "SP_PARENT_COMPANY_NAME")</f>
        <v/>
      </c>
      <c r="R217" s="12" t="str">
        <f>_xll.SNL.Clients.Office.Excel.Functions.SPG(I217, "SP_PARENT_COUNTRY")</f>
        <v/>
      </c>
      <c r="S217" s="12" t="str">
        <f>_xll.SNL.Clients.Office.Excel.Functions.SPG(I217, "SP_COUNTRY_NAME")</f>
        <v>China</v>
      </c>
    </row>
    <row r="218" spans="1:19" x14ac:dyDescent="0.35">
      <c r="A218" s="5">
        <v>46022</v>
      </c>
      <c r="B218" s="4" t="s">
        <v>296</v>
      </c>
      <c r="C218" s="4" t="s">
        <v>297</v>
      </c>
      <c r="D218" s="4" t="s">
        <v>1000</v>
      </c>
      <c r="E218" s="8">
        <v>4349204</v>
      </c>
      <c r="F218" s="7">
        <v>100</v>
      </c>
      <c r="G218" s="12" t="str">
        <f>[1]!SNLData("243327", C218, "OWNER_LIST")</f>
        <v>Compañía de Minas Buenaventura S.A.A.  100%</v>
      </c>
      <c r="H218" s="9">
        <f>[1]!SNLData("243327", C218, "OWNER_SNL_INSTN_KEY", "Owner 1")</f>
        <v>4349204</v>
      </c>
      <c r="I218" s="9" t="str">
        <f>[1]!SNLData("243327", C218, "OWNER_SNL_INSTN_KEY", "Owner 2")</f>
        <v>NA</v>
      </c>
      <c r="J218" s="12" t="str">
        <f>_xll.SNL.Clients.Office.Excel.Functions.SPG(H218, "SP_ULT_PARENT_COMPANY_NAME")</f>
        <v/>
      </c>
      <c r="K218" s="12" t="str">
        <f>_xll.SNL.Clients.Office.Excel.Functions.SPG(H218, "SP_ULT_PARENT_COUNTRY")</f>
        <v/>
      </c>
      <c r="L218" s="12" t="str">
        <f>_xll.SNL.Clients.Office.Excel.Functions.SPG(H218, "SP_PARENT_COMPANY_NAME")</f>
        <v/>
      </c>
      <c r="M218" s="12" t="str">
        <f>_xll.SNL.Clients.Office.Excel.Functions.SPG(H218, "SP_PARENT_COUNTRY")</f>
        <v/>
      </c>
      <c r="N218" s="12" t="str">
        <f>_xll.SNL.Clients.Office.Excel.Functions.SPG(H218, "SP_COUNTRY_NAME")</f>
        <v>Peru</v>
      </c>
      <c r="O218" s="12" t="str">
        <f>_xll.SNL.Clients.Office.Excel.Functions.SPG(I218, "SP_ULT_PARENT_COMPANY_NAME")</f>
        <v/>
      </c>
      <c r="P218" s="12" t="str">
        <f>_xll.SNL.Clients.Office.Excel.Functions.SPG(I218, "SP_ULT_PARENT_COUNTRY")</f>
        <v/>
      </c>
      <c r="Q218" s="12" t="str">
        <f>_xll.SNL.Clients.Office.Excel.Functions.SPG(I218, "SP_PARENT_COMPANY_NAME")</f>
        <v/>
      </c>
      <c r="R218" s="12" t="str">
        <f>_xll.SNL.Clients.Office.Excel.Functions.SPG(I218, "SP_PARENT_COUNTRY")</f>
        <v/>
      </c>
      <c r="S218" s="12" t="str">
        <f>_xll.SNL.Clients.Office.Excel.Functions.SPG(I218, "SP_COUNTRY_NAME")</f>
        <v>China</v>
      </c>
    </row>
    <row r="219" spans="1:19" x14ac:dyDescent="0.35">
      <c r="A219" s="5">
        <v>46022</v>
      </c>
      <c r="B219" s="4" t="s">
        <v>248</v>
      </c>
      <c r="C219" s="4" t="s">
        <v>249</v>
      </c>
      <c r="D219" s="4" t="s">
        <v>1062</v>
      </c>
      <c r="E219" s="8">
        <v>4494844</v>
      </c>
      <c r="F219" s="7">
        <v>100</v>
      </c>
      <c r="G219" s="12" t="str">
        <f>[1]!SNLData("243327", C219, "OWNER_LIST")</f>
        <v>K92 Mining Inc.  100%</v>
      </c>
      <c r="H219" s="9">
        <f>[1]!SNLData("243327", C219, "OWNER_SNL_INSTN_KEY", "Owner 1")</f>
        <v>4494844</v>
      </c>
      <c r="I219" s="9" t="str">
        <f>[1]!SNLData("243327", C219, "OWNER_SNL_INSTN_KEY", "Owner 2")</f>
        <v>NA</v>
      </c>
      <c r="J219" s="12" t="str">
        <f>_xll.SNL.Clients.Office.Excel.Functions.SPG(H219, "SP_ULT_PARENT_COMPANY_NAME")</f>
        <v/>
      </c>
      <c r="K219" s="12" t="str">
        <f>_xll.SNL.Clients.Office.Excel.Functions.SPG(H219, "SP_ULT_PARENT_COUNTRY")</f>
        <v/>
      </c>
      <c r="L219" s="12" t="str">
        <f>_xll.SNL.Clients.Office.Excel.Functions.SPG(H219, "SP_PARENT_COMPANY_NAME")</f>
        <v/>
      </c>
      <c r="M219" s="12" t="str">
        <f>_xll.SNL.Clients.Office.Excel.Functions.SPG(H219, "SP_PARENT_COUNTRY")</f>
        <v/>
      </c>
      <c r="N219" s="12" t="str">
        <f>_xll.SNL.Clients.Office.Excel.Functions.SPG(H219, "SP_COUNTRY_NAME")</f>
        <v>Canada</v>
      </c>
      <c r="O219" s="12" t="str">
        <f>_xll.SNL.Clients.Office.Excel.Functions.SPG(I219, "SP_ULT_PARENT_COMPANY_NAME")</f>
        <v/>
      </c>
      <c r="P219" s="12" t="str">
        <f>_xll.SNL.Clients.Office.Excel.Functions.SPG(I219, "SP_ULT_PARENT_COUNTRY")</f>
        <v/>
      </c>
      <c r="Q219" s="12" t="str">
        <f>_xll.SNL.Clients.Office.Excel.Functions.SPG(I219, "SP_PARENT_COMPANY_NAME")</f>
        <v/>
      </c>
      <c r="R219" s="12" t="str">
        <f>_xll.SNL.Clients.Office.Excel.Functions.SPG(I219, "SP_PARENT_COUNTRY")</f>
        <v/>
      </c>
      <c r="S219" s="12" t="str">
        <f>_xll.SNL.Clients.Office.Excel.Functions.SPG(I219, "SP_COUNTRY_NAME")</f>
        <v>China</v>
      </c>
    </row>
    <row r="220" spans="1:19" ht="58" x14ac:dyDescent="0.35">
      <c r="A220" s="5">
        <v>46022</v>
      </c>
      <c r="B220" s="4" t="s">
        <v>434</v>
      </c>
      <c r="C220" s="4" t="s">
        <v>435</v>
      </c>
      <c r="D220" s="4" t="s">
        <v>941</v>
      </c>
      <c r="E220" s="8">
        <v>4355482</v>
      </c>
      <c r="F220" s="7">
        <v>100</v>
      </c>
      <c r="G220" s="12" t="str">
        <f>[1]!SNLData("243327", C220, "OWNER_LIST")</f>
        <v>Xinjiang Xinxin Mining Industry Co., Ltd.  100%</v>
      </c>
      <c r="H220" s="9">
        <f>[1]!SNLData("243327", C220, "OWNER_SNL_INSTN_KEY", "Owner 1")</f>
        <v>4355482</v>
      </c>
      <c r="I220" s="9" t="str">
        <f>[1]!SNLData("243327", C220, "OWNER_SNL_INSTN_KEY", "Owner 2")</f>
        <v>NA</v>
      </c>
      <c r="J220" s="12" t="str">
        <f>_xll.SNL.Clients.Office.Excel.Functions.SPG(H220, "SP_ULT_PARENT_COMPANY_NAME")</f>
        <v>Xinjiang NonFerrous Metal Industry (Group) Co.Ltd</v>
      </c>
      <c r="K220" s="12" t="str">
        <f>_xll.SNL.Clients.Office.Excel.Functions.SPG(H220, "SP_ULT_PARENT_COUNTRY")</f>
        <v>China</v>
      </c>
      <c r="L220" s="12" t="str">
        <f>_xll.SNL.Clients.Office.Excel.Functions.SPG(H220, "SP_PARENT_COMPANY_NAME")</f>
        <v>Xinjiang NonFerrous Metal Industry (Group) Co.Ltd</v>
      </c>
      <c r="M220" s="12" t="str">
        <f>_xll.SNL.Clients.Office.Excel.Functions.SPG(H220, "SP_PARENT_COUNTRY")</f>
        <v>China</v>
      </c>
      <c r="N220" s="12" t="str">
        <f>_xll.SNL.Clients.Office.Excel.Functions.SPG(H220, "SP_COUNTRY_NAME")</f>
        <v>China</v>
      </c>
      <c r="O220" s="12" t="str">
        <f>_xll.SNL.Clients.Office.Excel.Functions.SPG(I220, "SP_ULT_PARENT_COMPANY_NAME")</f>
        <v/>
      </c>
      <c r="P220" s="12" t="str">
        <f>_xll.SNL.Clients.Office.Excel.Functions.SPG(I220, "SP_ULT_PARENT_COUNTRY")</f>
        <v/>
      </c>
      <c r="Q220" s="12" t="str">
        <f>_xll.SNL.Clients.Office.Excel.Functions.SPG(I220, "SP_PARENT_COMPANY_NAME")</f>
        <v/>
      </c>
      <c r="R220" s="12" t="str">
        <f>_xll.SNL.Clients.Office.Excel.Functions.SPG(I220, "SP_PARENT_COUNTRY")</f>
        <v/>
      </c>
      <c r="S220" s="12" t="str">
        <f>_xll.SNL.Clients.Office.Excel.Functions.SPG(I220, "SP_COUNTRY_NAME")</f>
        <v>China</v>
      </c>
    </row>
    <row r="221" spans="1:19" ht="72.5" x14ac:dyDescent="0.35">
      <c r="A221" s="5">
        <v>46022</v>
      </c>
      <c r="B221" s="4" t="s">
        <v>251</v>
      </c>
      <c r="C221" s="4" t="s">
        <v>252</v>
      </c>
      <c r="D221" s="4" t="s">
        <v>1063</v>
      </c>
      <c r="E221" s="8">
        <v>4649760</v>
      </c>
      <c r="F221" s="7">
        <v>85</v>
      </c>
      <c r="G221" s="12" t="str">
        <f>[1]!SNLData("243327", C221, "OWNER_LIST")</f>
        <v>Chengtun Mining Group Co., Ltd. (Venturer) 85%; Dem. Rep. Congo (Carried) 5%; La Generale Industrielle et Commerciale au Congo SPRL (Venturer) 10%; Ivanhoe Mines Ltd. (Fractional) %</v>
      </c>
      <c r="H221" s="9">
        <f>[1]!SNLData("243327", C221, "OWNER_SNL_INSTN_KEY", "Owner 1")</f>
        <v>4649760</v>
      </c>
      <c r="I221" s="9">
        <f>[1]!SNLData("243327", C221, "OWNER_SNL_INSTN_KEY", "Owner 2")</f>
        <v>4567062</v>
      </c>
      <c r="J221" s="12" t="str">
        <f>_xll.SNL.Clients.Office.Excel.Functions.SPG(H221, "SP_ULT_PARENT_COMPANY_NAME")</f>
        <v/>
      </c>
      <c r="K221" s="12" t="str">
        <f>_xll.SNL.Clients.Office.Excel.Functions.SPG(H221, "SP_ULT_PARENT_COUNTRY")</f>
        <v/>
      </c>
      <c r="L221" s="12" t="str">
        <f>_xll.SNL.Clients.Office.Excel.Functions.SPG(H221, "SP_PARENT_COMPANY_NAME")</f>
        <v/>
      </c>
      <c r="M221" s="12" t="str">
        <f>_xll.SNL.Clients.Office.Excel.Functions.SPG(H221, "SP_PARENT_COUNTRY")</f>
        <v/>
      </c>
      <c r="N221" s="12" t="str">
        <f>_xll.SNL.Clients.Office.Excel.Functions.SPG(H221, "SP_COUNTRY_NAME")</f>
        <v>China</v>
      </c>
      <c r="O221" s="12" t="str">
        <f>_xll.SNL.Clients.Office.Excel.Functions.SPG(I221, "SP_ULT_PARENT_COMPANY_NAME")</f>
        <v/>
      </c>
      <c r="P221" s="12" t="str">
        <f>_xll.SNL.Clients.Office.Excel.Functions.SPG(I221, "SP_ULT_PARENT_COUNTRY")</f>
        <v/>
      </c>
      <c r="Q221" s="12" t="str">
        <f>_xll.SNL.Clients.Office.Excel.Functions.SPG(I221, "SP_PARENT_COMPANY_NAME")</f>
        <v/>
      </c>
      <c r="R221" s="12" t="str">
        <f>_xll.SNL.Clients.Office.Excel.Functions.SPG(I221, "SP_PARENT_COUNTRY")</f>
        <v/>
      </c>
      <c r="S221" s="12" t="str">
        <f>_xll.SNL.Clients.Office.Excel.Functions.SPG(I221, "SP_COUNTRY_NAME")</f>
        <v>Dem. Rep. Congo</v>
      </c>
    </row>
    <row r="222" spans="1:19" ht="72.5" x14ac:dyDescent="0.35">
      <c r="A222" s="5">
        <v>46022</v>
      </c>
      <c r="B222" s="4" t="s">
        <v>251</v>
      </c>
      <c r="C222" s="4" t="s">
        <v>252</v>
      </c>
      <c r="D222" s="4" t="s">
        <v>213</v>
      </c>
      <c r="E222" s="8">
        <v>4350734</v>
      </c>
      <c r="F222" s="7">
        <v>5</v>
      </c>
      <c r="G222" s="12" t="str">
        <f>[1]!SNLData("243327", C222, "OWNER_LIST")</f>
        <v>Chengtun Mining Group Co., Ltd. (Venturer) 85%; Dem. Rep. Congo (Carried) 5%; La Generale Industrielle et Commerciale au Congo SPRL (Venturer) 10%; Ivanhoe Mines Ltd. (Fractional) %</v>
      </c>
      <c r="H222" s="9">
        <f>[1]!SNLData("243327", C222, "OWNER_SNL_INSTN_KEY", "Owner 1")</f>
        <v>4649760</v>
      </c>
      <c r="I222" s="9">
        <f>[1]!SNLData("243327", C222, "OWNER_SNL_INSTN_KEY", "Owner 2")</f>
        <v>4567062</v>
      </c>
      <c r="J222" s="12" t="str">
        <f>_xll.SNL.Clients.Office.Excel.Functions.SPG(H222, "SP_ULT_PARENT_COMPANY_NAME")</f>
        <v/>
      </c>
      <c r="K222" s="12" t="str">
        <f>_xll.SNL.Clients.Office.Excel.Functions.SPG(H222, "SP_ULT_PARENT_COUNTRY")</f>
        <v/>
      </c>
      <c r="L222" s="12" t="str">
        <f>_xll.SNL.Clients.Office.Excel.Functions.SPG(H222, "SP_PARENT_COMPANY_NAME")</f>
        <v/>
      </c>
      <c r="M222" s="12" t="str">
        <f>_xll.SNL.Clients.Office.Excel.Functions.SPG(H222, "SP_PARENT_COUNTRY")</f>
        <v/>
      </c>
      <c r="N222" s="12" t="str">
        <f>_xll.SNL.Clients.Office.Excel.Functions.SPG(H222, "SP_COUNTRY_NAME")</f>
        <v>China</v>
      </c>
      <c r="O222" s="12" t="str">
        <f>_xll.SNL.Clients.Office.Excel.Functions.SPG(I222, "SP_ULT_PARENT_COMPANY_NAME")</f>
        <v/>
      </c>
      <c r="P222" s="12" t="str">
        <f>_xll.SNL.Clients.Office.Excel.Functions.SPG(I222, "SP_ULT_PARENT_COUNTRY")</f>
        <v/>
      </c>
      <c r="Q222" s="12" t="str">
        <f>_xll.SNL.Clients.Office.Excel.Functions.SPG(I222, "SP_PARENT_COMPANY_NAME")</f>
        <v/>
      </c>
      <c r="R222" s="12" t="str">
        <f>_xll.SNL.Clients.Office.Excel.Functions.SPG(I222, "SP_PARENT_COUNTRY")</f>
        <v/>
      </c>
      <c r="S222" s="12" t="str">
        <f>_xll.SNL.Clients.Office.Excel.Functions.SPG(I222, "SP_COUNTRY_NAME")</f>
        <v>Dem. Rep. Congo</v>
      </c>
    </row>
    <row r="223" spans="1:19" ht="72.5" x14ac:dyDescent="0.35">
      <c r="A223" s="5">
        <v>46022</v>
      </c>
      <c r="B223" s="4" t="s">
        <v>251</v>
      </c>
      <c r="C223" s="4" t="s">
        <v>252</v>
      </c>
      <c r="D223" s="4" t="s">
        <v>1064</v>
      </c>
      <c r="E223" s="8">
        <v>4567062</v>
      </c>
      <c r="F223" s="7">
        <v>10</v>
      </c>
      <c r="G223" s="12" t="str">
        <f>[1]!SNLData("243327", C223, "OWNER_LIST")</f>
        <v>Chengtun Mining Group Co., Ltd. (Venturer) 85%; Dem. Rep. Congo (Carried) 5%; La Generale Industrielle et Commerciale au Congo SPRL (Venturer) 10%; Ivanhoe Mines Ltd. (Fractional) %</v>
      </c>
      <c r="H223" s="9">
        <f>[1]!SNLData("243327", C223, "OWNER_SNL_INSTN_KEY", "Owner 1")</f>
        <v>4649760</v>
      </c>
      <c r="I223" s="9">
        <f>[1]!SNLData("243327", C223, "OWNER_SNL_INSTN_KEY", "Owner 2")</f>
        <v>4567062</v>
      </c>
      <c r="J223" s="12" t="str">
        <f>_xll.SNL.Clients.Office.Excel.Functions.SPG(H223, "SP_ULT_PARENT_COMPANY_NAME")</f>
        <v/>
      </c>
      <c r="K223" s="12" t="str">
        <f>_xll.SNL.Clients.Office.Excel.Functions.SPG(H223, "SP_ULT_PARENT_COUNTRY")</f>
        <v/>
      </c>
      <c r="L223" s="12" t="str">
        <f>_xll.SNL.Clients.Office.Excel.Functions.SPG(H223, "SP_PARENT_COMPANY_NAME")</f>
        <v/>
      </c>
      <c r="M223" s="12" t="str">
        <f>_xll.SNL.Clients.Office.Excel.Functions.SPG(H223, "SP_PARENT_COUNTRY")</f>
        <v/>
      </c>
      <c r="N223" s="12" t="str">
        <f>_xll.SNL.Clients.Office.Excel.Functions.SPG(H223, "SP_COUNTRY_NAME")</f>
        <v>China</v>
      </c>
      <c r="O223" s="12" t="str">
        <f>_xll.SNL.Clients.Office.Excel.Functions.SPG(I223, "SP_ULT_PARENT_COMPANY_NAME")</f>
        <v/>
      </c>
      <c r="P223" s="12" t="str">
        <f>_xll.SNL.Clients.Office.Excel.Functions.SPG(I223, "SP_ULT_PARENT_COUNTRY")</f>
        <v/>
      </c>
      <c r="Q223" s="12" t="str">
        <f>_xll.SNL.Clients.Office.Excel.Functions.SPG(I223, "SP_PARENT_COMPANY_NAME")</f>
        <v/>
      </c>
      <c r="R223" s="12" t="str">
        <f>_xll.SNL.Clients.Office.Excel.Functions.SPG(I223, "SP_PARENT_COUNTRY")</f>
        <v/>
      </c>
      <c r="S223" s="12" t="str">
        <f>_xll.SNL.Clients.Office.Excel.Functions.SPG(I223, "SP_COUNTRY_NAME")</f>
        <v>Dem. Rep. Congo</v>
      </c>
    </row>
    <row r="224" spans="1:19" ht="58" x14ac:dyDescent="0.35">
      <c r="A224" s="5">
        <v>46022</v>
      </c>
      <c r="B224" s="4" t="s">
        <v>742</v>
      </c>
      <c r="C224" s="4" t="s">
        <v>743</v>
      </c>
      <c r="D224" s="4" t="s">
        <v>1065</v>
      </c>
      <c r="E224" s="8">
        <v>4591875</v>
      </c>
      <c r="F224" s="7">
        <v>0.8</v>
      </c>
      <c r="G224" s="12" t="str">
        <f>[1]!SNLData("243327", C224, "OWNER_LIST")</f>
        <v>Crystal River Global Limited (Venturer) 0.8%; Zijin Mining Group Company Limited (Venturer) 39.6%; Dem. Rep. Congo (Venturer) 20%; Ivanhoe Mines Ltd. (Venturer) 39.6%</v>
      </c>
      <c r="H224" s="9">
        <f>[1]!SNLData("243327", C224, "OWNER_SNL_INSTN_KEY", "Owner 1")</f>
        <v>4351368</v>
      </c>
      <c r="I224" s="9">
        <f>[1]!SNLData("243327", C224, "OWNER_SNL_INSTN_KEY", "Owner 2")</f>
        <v>4355642</v>
      </c>
      <c r="J224" s="12" t="str">
        <f>_xll.SNL.Clients.Office.Excel.Functions.SPG(H224, "SP_ULT_PARENT_COMPANY_NAME")</f>
        <v/>
      </c>
      <c r="K224" s="12" t="str">
        <f>_xll.SNL.Clients.Office.Excel.Functions.SPG(H224, "SP_ULT_PARENT_COUNTRY")</f>
        <v/>
      </c>
      <c r="L224" s="12" t="str">
        <f>_xll.SNL.Clients.Office.Excel.Functions.SPG(H224, "SP_PARENT_COMPANY_NAME")</f>
        <v/>
      </c>
      <c r="M224" s="12" t="str">
        <f>_xll.SNL.Clients.Office.Excel.Functions.SPG(H224, "SP_PARENT_COUNTRY")</f>
        <v/>
      </c>
      <c r="N224" s="12" t="str">
        <f>_xll.SNL.Clients.Office.Excel.Functions.SPG(H224, "SP_COUNTRY_NAME")</f>
        <v>Canada</v>
      </c>
      <c r="O224" s="12" t="str">
        <f>_xll.SNL.Clients.Office.Excel.Functions.SPG(I224, "SP_ULT_PARENT_COMPANY_NAME")</f>
        <v/>
      </c>
      <c r="P224" s="12" t="str">
        <f>_xll.SNL.Clients.Office.Excel.Functions.SPG(I224, "SP_ULT_PARENT_COUNTRY")</f>
        <v/>
      </c>
      <c r="Q224" s="12" t="str">
        <f>_xll.SNL.Clients.Office.Excel.Functions.SPG(I224, "SP_PARENT_COMPANY_NAME")</f>
        <v/>
      </c>
      <c r="R224" s="12" t="str">
        <f>_xll.SNL.Clients.Office.Excel.Functions.SPG(I224, "SP_PARENT_COUNTRY")</f>
        <v/>
      </c>
      <c r="S224" s="12" t="str">
        <f>_xll.SNL.Clients.Office.Excel.Functions.SPG(I224, "SP_COUNTRY_NAME")</f>
        <v>China</v>
      </c>
    </row>
    <row r="225" spans="1:19" ht="58" x14ac:dyDescent="0.35">
      <c r="A225" s="5">
        <v>46022</v>
      </c>
      <c r="B225" s="4" t="s">
        <v>742</v>
      </c>
      <c r="C225" s="4" t="s">
        <v>743</v>
      </c>
      <c r="D225" s="4" t="s">
        <v>213</v>
      </c>
      <c r="E225" s="8">
        <v>4350734</v>
      </c>
      <c r="F225" s="7">
        <v>20</v>
      </c>
      <c r="G225" s="12" t="str">
        <f>[1]!SNLData("243327", C225, "OWNER_LIST")</f>
        <v>Crystal River Global Limited (Venturer) 0.8%; Zijin Mining Group Company Limited (Venturer) 39.6%; Dem. Rep. Congo (Venturer) 20%; Ivanhoe Mines Ltd. (Venturer) 39.6%</v>
      </c>
      <c r="H225" s="9">
        <f>[1]!SNLData("243327", C225, "OWNER_SNL_INSTN_KEY", "Owner 1")</f>
        <v>4351368</v>
      </c>
      <c r="I225" s="9">
        <f>[1]!SNLData("243327", C225, "OWNER_SNL_INSTN_KEY", "Owner 2")</f>
        <v>4355642</v>
      </c>
      <c r="J225" s="12" t="str">
        <f>_xll.SNL.Clients.Office.Excel.Functions.SPG(H225, "SP_ULT_PARENT_COMPANY_NAME")</f>
        <v/>
      </c>
      <c r="K225" s="12" t="str">
        <f>_xll.SNL.Clients.Office.Excel.Functions.SPG(H225, "SP_ULT_PARENT_COUNTRY")</f>
        <v/>
      </c>
      <c r="L225" s="12" t="str">
        <f>_xll.SNL.Clients.Office.Excel.Functions.SPG(H225, "SP_PARENT_COMPANY_NAME")</f>
        <v/>
      </c>
      <c r="M225" s="12" t="str">
        <f>_xll.SNL.Clients.Office.Excel.Functions.SPG(H225, "SP_PARENT_COUNTRY")</f>
        <v/>
      </c>
      <c r="N225" s="12" t="str">
        <f>_xll.SNL.Clients.Office.Excel.Functions.SPG(H225, "SP_COUNTRY_NAME")</f>
        <v>Canada</v>
      </c>
      <c r="O225" s="12" t="str">
        <f>_xll.SNL.Clients.Office.Excel.Functions.SPG(I225, "SP_ULT_PARENT_COMPANY_NAME")</f>
        <v/>
      </c>
      <c r="P225" s="12" t="str">
        <f>_xll.SNL.Clients.Office.Excel.Functions.SPG(I225, "SP_ULT_PARENT_COUNTRY")</f>
        <v/>
      </c>
      <c r="Q225" s="12" t="str">
        <f>_xll.SNL.Clients.Office.Excel.Functions.SPG(I225, "SP_PARENT_COMPANY_NAME")</f>
        <v/>
      </c>
      <c r="R225" s="12" t="str">
        <f>_xll.SNL.Clients.Office.Excel.Functions.SPG(I225, "SP_PARENT_COUNTRY")</f>
        <v/>
      </c>
      <c r="S225" s="12" t="str">
        <f>_xll.SNL.Clients.Office.Excel.Functions.SPG(I225, "SP_COUNTRY_NAME")</f>
        <v>China</v>
      </c>
    </row>
    <row r="226" spans="1:19" ht="58" x14ac:dyDescent="0.35">
      <c r="A226" s="5">
        <v>46022</v>
      </c>
      <c r="B226" s="4" t="s">
        <v>742</v>
      </c>
      <c r="C226" s="4" t="s">
        <v>743</v>
      </c>
      <c r="D226" s="4" t="s">
        <v>1066</v>
      </c>
      <c r="E226" s="8">
        <v>4351368</v>
      </c>
      <c r="F226" s="7">
        <v>39.6</v>
      </c>
      <c r="G226" s="12" t="str">
        <f>[1]!SNLData("243327", C226, "OWNER_LIST")</f>
        <v>Crystal River Global Limited (Venturer) 0.8%; Zijin Mining Group Company Limited (Venturer) 39.6%; Dem. Rep. Congo (Venturer) 20%; Ivanhoe Mines Ltd. (Venturer) 39.6%</v>
      </c>
      <c r="H226" s="9">
        <f>[1]!SNLData("243327", C226, "OWNER_SNL_INSTN_KEY", "Owner 1")</f>
        <v>4351368</v>
      </c>
      <c r="I226" s="9">
        <f>[1]!SNLData("243327", C226, "OWNER_SNL_INSTN_KEY", "Owner 2")</f>
        <v>4355642</v>
      </c>
      <c r="J226" s="12" t="str">
        <f>_xll.SNL.Clients.Office.Excel.Functions.SPG(H226, "SP_ULT_PARENT_COMPANY_NAME")</f>
        <v/>
      </c>
      <c r="K226" s="12" t="str">
        <f>_xll.SNL.Clients.Office.Excel.Functions.SPG(H226, "SP_ULT_PARENT_COUNTRY")</f>
        <v/>
      </c>
      <c r="L226" s="12" t="str">
        <f>_xll.SNL.Clients.Office.Excel.Functions.SPG(H226, "SP_PARENT_COMPANY_NAME")</f>
        <v/>
      </c>
      <c r="M226" s="12" t="str">
        <f>_xll.SNL.Clients.Office.Excel.Functions.SPG(H226, "SP_PARENT_COUNTRY")</f>
        <v/>
      </c>
      <c r="N226" s="12" t="str">
        <f>_xll.SNL.Clients.Office.Excel.Functions.SPG(H226, "SP_COUNTRY_NAME")</f>
        <v>Canada</v>
      </c>
      <c r="O226" s="12" t="str">
        <f>_xll.SNL.Clients.Office.Excel.Functions.SPG(I226, "SP_ULT_PARENT_COMPANY_NAME")</f>
        <v/>
      </c>
      <c r="P226" s="12" t="str">
        <f>_xll.SNL.Clients.Office.Excel.Functions.SPG(I226, "SP_ULT_PARENT_COUNTRY")</f>
        <v/>
      </c>
      <c r="Q226" s="12" t="str">
        <f>_xll.SNL.Clients.Office.Excel.Functions.SPG(I226, "SP_PARENT_COMPANY_NAME")</f>
        <v/>
      </c>
      <c r="R226" s="12" t="str">
        <f>_xll.SNL.Clients.Office.Excel.Functions.SPG(I226, "SP_PARENT_COUNTRY")</f>
        <v/>
      </c>
      <c r="S226" s="12" t="str">
        <f>_xll.SNL.Clients.Office.Excel.Functions.SPG(I226, "SP_COUNTRY_NAME")</f>
        <v>China</v>
      </c>
    </row>
    <row r="227" spans="1:19" ht="58" x14ac:dyDescent="0.35">
      <c r="A227" s="5">
        <v>46022</v>
      </c>
      <c r="B227" s="4" t="s">
        <v>742</v>
      </c>
      <c r="C227" s="4" t="s">
        <v>743</v>
      </c>
      <c r="D227" s="4" t="s">
        <v>958</v>
      </c>
      <c r="E227" s="8">
        <v>4355642</v>
      </c>
      <c r="F227" s="7">
        <v>39.6</v>
      </c>
      <c r="G227" s="12" t="str">
        <f>[1]!SNLData("243327", C227, "OWNER_LIST")</f>
        <v>Crystal River Global Limited (Venturer) 0.8%; Zijin Mining Group Company Limited (Venturer) 39.6%; Dem. Rep. Congo (Venturer) 20%; Ivanhoe Mines Ltd. (Venturer) 39.6%</v>
      </c>
      <c r="H227" s="9">
        <f>[1]!SNLData("243327", C227, "OWNER_SNL_INSTN_KEY", "Owner 1")</f>
        <v>4351368</v>
      </c>
      <c r="I227" s="9">
        <f>[1]!SNLData("243327", C227, "OWNER_SNL_INSTN_KEY", "Owner 2")</f>
        <v>4355642</v>
      </c>
      <c r="J227" s="12" t="str">
        <f>_xll.SNL.Clients.Office.Excel.Functions.SPG(H227, "SP_ULT_PARENT_COMPANY_NAME")</f>
        <v/>
      </c>
      <c r="K227" s="12" t="str">
        <f>_xll.SNL.Clients.Office.Excel.Functions.SPG(H227, "SP_ULT_PARENT_COUNTRY")</f>
        <v/>
      </c>
      <c r="L227" s="12" t="str">
        <f>_xll.SNL.Clients.Office.Excel.Functions.SPG(H227, "SP_PARENT_COMPANY_NAME")</f>
        <v/>
      </c>
      <c r="M227" s="12" t="str">
        <f>_xll.SNL.Clients.Office.Excel.Functions.SPG(H227, "SP_PARENT_COUNTRY")</f>
        <v/>
      </c>
      <c r="N227" s="12" t="str">
        <f>_xll.SNL.Clients.Office.Excel.Functions.SPG(H227, "SP_COUNTRY_NAME")</f>
        <v>Canada</v>
      </c>
      <c r="O227" s="12" t="str">
        <f>_xll.SNL.Clients.Office.Excel.Functions.SPG(I227, "SP_ULT_PARENT_COMPANY_NAME")</f>
        <v/>
      </c>
      <c r="P227" s="12" t="str">
        <f>_xll.SNL.Clients.Office.Excel.Functions.SPG(I227, "SP_ULT_PARENT_COUNTRY")</f>
        <v/>
      </c>
      <c r="Q227" s="12" t="str">
        <f>_xll.SNL.Clients.Office.Excel.Functions.SPG(I227, "SP_PARENT_COMPANY_NAME")</f>
        <v/>
      </c>
      <c r="R227" s="12" t="str">
        <f>_xll.SNL.Clients.Office.Excel.Functions.SPG(I227, "SP_PARENT_COUNTRY")</f>
        <v/>
      </c>
      <c r="S227" s="12" t="str">
        <f>_xll.SNL.Clients.Office.Excel.Functions.SPG(I227, "SP_COUNTRY_NAME")</f>
        <v>China</v>
      </c>
    </row>
    <row r="228" spans="1:19" ht="29" x14ac:dyDescent="0.35">
      <c r="A228" s="5">
        <v>46022</v>
      </c>
      <c r="B228" s="4" t="s">
        <v>326</v>
      </c>
      <c r="C228" s="4" t="s">
        <v>327</v>
      </c>
      <c r="D228" s="4" t="s">
        <v>213</v>
      </c>
      <c r="E228" s="8">
        <v>4350734</v>
      </c>
      <c r="F228" s="7">
        <v>25</v>
      </c>
      <c r="G228" s="12" t="str">
        <f>[1]!SNLData("243327", C228, "OWNER_LIST")</f>
        <v>Glencore plc  75%; Dem. Rep. Congo (Venturer) 25%</v>
      </c>
      <c r="H228" s="9">
        <f>[1]!SNLData("243327", C228, "OWNER_SNL_INSTN_KEY", "Owner 1")</f>
        <v>4113732</v>
      </c>
      <c r="I228" s="9">
        <f>[1]!SNLData("243327", C228, "OWNER_SNL_INSTN_KEY", "Owner 2")</f>
        <v>4350734</v>
      </c>
      <c r="J228" s="12" t="str">
        <f>_xll.SNL.Clients.Office.Excel.Functions.SPG(H228, "SP_ULT_PARENT_COMPANY_NAME")</f>
        <v/>
      </c>
      <c r="K228" s="12" t="str">
        <f>_xll.SNL.Clients.Office.Excel.Functions.SPG(H228, "SP_ULT_PARENT_COUNTRY")</f>
        <v/>
      </c>
      <c r="L228" s="12" t="str">
        <f>_xll.SNL.Clients.Office.Excel.Functions.SPG(H228, "SP_PARENT_COMPANY_NAME")</f>
        <v/>
      </c>
      <c r="M228" s="12" t="str">
        <f>_xll.SNL.Clients.Office.Excel.Functions.SPG(H228, "SP_PARENT_COUNTRY")</f>
        <v/>
      </c>
      <c r="N228" s="12" t="str">
        <f>_xll.SNL.Clients.Office.Excel.Functions.SPG(H228, "SP_COUNTRY_NAME")</f>
        <v>Switzerland</v>
      </c>
      <c r="O228" s="12" t="str">
        <f>_xll.SNL.Clients.Office.Excel.Functions.SPG(I228, "SP_ULT_PARENT_COMPANY_NAME")</f>
        <v/>
      </c>
      <c r="P228" s="12" t="str">
        <f>_xll.SNL.Clients.Office.Excel.Functions.SPG(I228, "SP_ULT_PARENT_COUNTRY")</f>
        <v/>
      </c>
      <c r="Q228" s="12" t="str">
        <f>_xll.SNL.Clients.Office.Excel.Functions.SPG(I228, "SP_PARENT_COMPANY_NAME")</f>
        <v/>
      </c>
      <c r="R228" s="12" t="str">
        <f>_xll.SNL.Clients.Office.Excel.Functions.SPG(I228, "SP_PARENT_COUNTRY")</f>
        <v/>
      </c>
      <c r="S228" s="12" t="str">
        <f>_xll.SNL.Clients.Office.Excel.Functions.SPG(I228, "SP_COUNTRY_NAME")</f>
        <v>Dem. Rep. Congo</v>
      </c>
    </row>
    <row r="229" spans="1:19" ht="29" x14ac:dyDescent="0.35">
      <c r="A229" s="5">
        <v>46022</v>
      </c>
      <c r="B229" s="4" t="s">
        <v>326</v>
      </c>
      <c r="C229" s="4" t="s">
        <v>327</v>
      </c>
      <c r="D229" s="4" t="s">
        <v>948</v>
      </c>
      <c r="E229" s="8">
        <v>4113732</v>
      </c>
      <c r="F229" s="7">
        <v>75</v>
      </c>
      <c r="G229" s="12" t="str">
        <f>[1]!SNLData("243327", C229, "OWNER_LIST")</f>
        <v>Glencore plc  75%; Dem. Rep. Congo (Venturer) 25%</v>
      </c>
      <c r="H229" s="9">
        <f>[1]!SNLData("243327", C229, "OWNER_SNL_INSTN_KEY", "Owner 1")</f>
        <v>4113732</v>
      </c>
      <c r="I229" s="9">
        <f>[1]!SNLData("243327", C229, "OWNER_SNL_INSTN_KEY", "Owner 2")</f>
        <v>4350734</v>
      </c>
      <c r="J229" s="12" t="str">
        <f>_xll.SNL.Clients.Office.Excel.Functions.SPG(H229, "SP_ULT_PARENT_COMPANY_NAME")</f>
        <v/>
      </c>
      <c r="K229" s="12" t="str">
        <f>_xll.SNL.Clients.Office.Excel.Functions.SPG(H229, "SP_ULT_PARENT_COUNTRY")</f>
        <v/>
      </c>
      <c r="L229" s="12" t="str">
        <f>_xll.SNL.Clients.Office.Excel.Functions.SPG(H229, "SP_PARENT_COMPANY_NAME")</f>
        <v/>
      </c>
      <c r="M229" s="12" t="str">
        <f>_xll.SNL.Clients.Office.Excel.Functions.SPG(H229, "SP_PARENT_COUNTRY")</f>
        <v/>
      </c>
      <c r="N229" s="12" t="str">
        <f>_xll.SNL.Clients.Office.Excel.Functions.SPG(H229, "SP_COUNTRY_NAME")</f>
        <v>Switzerland</v>
      </c>
      <c r="O229" s="12" t="str">
        <f>_xll.SNL.Clients.Office.Excel.Functions.SPG(I229, "SP_ULT_PARENT_COMPANY_NAME")</f>
        <v/>
      </c>
      <c r="P229" s="12" t="str">
        <f>_xll.SNL.Clients.Office.Excel.Functions.SPG(I229, "SP_ULT_PARENT_COUNTRY")</f>
        <v/>
      </c>
      <c r="Q229" s="12" t="str">
        <f>_xll.SNL.Clients.Office.Excel.Functions.SPG(I229, "SP_PARENT_COMPANY_NAME")</f>
        <v/>
      </c>
      <c r="R229" s="12" t="str">
        <f>_xll.SNL.Clients.Office.Excel.Functions.SPG(I229, "SP_PARENT_COUNTRY")</f>
        <v/>
      </c>
      <c r="S229" s="12" t="str">
        <f>_xll.SNL.Clients.Office.Excel.Functions.SPG(I229, "SP_COUNTRY_NAME")</f>
        <v>Dem. Rep. Congo</v>
      </c>
    </row>
    <row r="230" spans="1:19" x14ac:dyDescent="0.35">
      <c r="A230" s="5">
        <v>46022</v>
      </c>
      <c r="B230" s="4" t="s">
        <v>328</v>
      </c>
      <c r="C230" s="4" t="s">
        <v>329</v>
      </c>
      <c r="D230" s="4" t="s">
        <v>1067</v>
      </c>
      <c r="E230" s="8">
        <v>4351054</v>
      </c>
      <c r="F230" s="7">
        <v>100</v>
      </c>
      <c r="G230" s="12" t="str">
        <f>[1]!SNLData("243327", C230, "OWNER_LIST")</f>
        <v>Hillgrove Resources Limited  100%</v>
      </c>
      <c r="H230" s="9">
        <f>[1]!SNLData("243327", C230, "OWNER_SNL_INSTN_KEY", "Owner 1")</f>
        <v>4351054</v>
      </c>
      <c r="I230" s="9" t="str">
        <f>[1]!SNLData("243327", C230, "OWNER_SNL_INSTN_KEY", "Owner 2")</f>
        <v>NA</v>
      </c>
      <c r="J230" s="12" t="str">
        <f>_xll.SNL.Clients.Office.Excel.Functions.SPG(H230, "SP_ULT_PARENT_COMPANY_NAME")</f>
        <v/>
      </c>
      <c r="K230" s="12" t="str">
        <f>_xll.SNL.Clients.Office.Excel.Functions.SPG(H230, "SP_ULT_PARENT_COUNTRY")</f>
        <v/>
      </c>
      <c r="L230" s="12" t="str">
        <f>_xll.SNL.Clients.Office.Excel.Functions.SPG(H230, "SP_PARENT_COMPANY_NAME")</f>
        <v/>
      </c>
      <c r="M230" s="12" t="str">
        <f>_xll.SNL.Clients.Office.Excel.Functions.SPG(H230, "SP_PARENT_COUNTRY")</f>
        <v/>
      </c>
      <c r="N230" s="12" t="str">
        <f>_xll.SNL.Clients.Office.Excel.Functions.SPG(H230, "SP_COUNTRY_NAME")</f>
        <v>Australia</v>
      </c>
      <c r="O230" s="12" t="str">
        <f>_xll.SNL.Clients.Office.Excel.Functions.SPG(I230, "SP_ULT_PARENT_COMPANY_NAME")</f>
        <v/>
      </c>
      <c r="P230" s="12" t="str">
        <f>_xll.SNL.Clients.Office.Excel.Functions.SPG(I230, "SP_ULT_PARENT_COUNTRY")</f>
        <v/>
      </c>
      <c r="Q230" s="12" t="str">
        <f>_xll.SNL.Clients.Office.Excel.Functions.SPG(I230, "SP_PARENT_COMPANY_NAME")</f>
        <v/>
      </c>
      <c r="R230" s="12" t="str">
        <f>_xll.SNL.Clients.Office.Excel.Functions.SPG(I230, "SP_PARENT_COUNTRY")</f>
        <v/>
      </c>
      <c r="S230" s="12" t="str">
        <f>_xll.SNL.Clients.Office.Excel.Functions.SPG(I230, "SP_COUNTRY_NAME")</f>
        <v>China</v>
      </c>
    </row>
    <row r="231" spans="1:19" ht="43.5" x14ac:dyDescent="0.35">
      <c r="A231" s="5">
        <v>46022</v>
      </c>
      <c r="B231" s="4" t="s">
        <v>744</v>
      </c>
      <c r="C231" s="4" t="s">
        <v>745</v>
      </c>
      <c r="D231" s="4" t="s">
        <v>995</v>
      </c>
      <c r="E231" s="8">
        <v>4350215</v>
      </c>
      <c r="F231" s="7">
        <v>80</v>
      </c>
      <c r="G231" s="12" t="str">
        <f>[1]!SNLData("243327", C231, "OWNER_LIST")</f>
        <v>ZCCM Investments Holdings Plc (Venturer) 20%; First Quantum Minerals Ltd. (Venturer) 80%</v>
      </c>
      <c r="H231" s="9">
        <f>[1]!SNLData("243327", C231, "OWNER_SNL_INSTN_KEY", "Owner 1")</f>
        <v>4350215</v>
      </c>
      <c r="I231" s="9">
        <f>[1]!SNLData("243327", C231, "OWNER_SNL_INSTN_KEY", "Owner 2")</f>
        <v>4355602</v>
      </c>
      <c r="J231" s="12" t="str">
        <f>_xll.SNL.Clients.Office.Excel.Functions.SPG(H231, "SP_ULT_PARENT_COMPANY_NAME")</f>
        <v/>
      </c>
      <c r="K231" s="12" t="str">
        <f>_xll.SNL.Clients.Office.Excel.Functions.SPG(H231, "SP_ULT_PARENT_COUNTRY")</f>
        <v/>
      </c>
      <c r="L231" s="12" t="str">
        <f>_xll.SNL.Clients.Office.Excel.Functions.SPG(H231, "SP_PARENT_COMPANY_NAME")</f>
        <v/>
      </c>
      <c r="M231" s="12" t="str">
        <f>_xll.SNL.Clients.Office.Excel.Functions.SPG(H231, "SP_PARENT_COUNTRY")</f>
        <v/>
      </c>
      <c r="N231" s="12" t="str">
        <f>_xll.SNL.Clients.Office.Excel.Functions.SPG(H231, "SP_COUNTRY_NAME")</f>
        <v>Canada</v>
      </c>
      <c r="O231" s="12" t="str">
        <f>_xll.SNL.Clients.Office.Excel.Functions.SPG(I231, "SP_ULT_PARENT_COMPANY_NAME")</f>
        <v>Industrial Development Corporation (Zambia) Limited</v>
      </c>
      <c r="P231" s="12" t="str">
        <f>_xll.SNL.Clients.Office.Excel.Functions.SPG(I231, "SP_ULT_PARENT_COUNTRY")</f>
        <v>Zambia</v>
      </c>
      <c r="Q231" s="12" t="str">
        <f>_xll.SNL.Clients.Office.Excel.Functions.SPG(I231, "SP_PARENT_COMPANY_NAME")</f>
        <v>Industrial Development Corporation (Zambia) Limited</v>
      </c>
      <c r="R231" s="12" t="str">
        <f>_xll.SNL.Clients.Office.Excel.Functions.SPG(I231, "SP_PARENT_COUNTRY")</f>
        <v>Zambia</v>
      </c>
      <c r="S231" s="12" t="str">
        <f>_xll.SNL.Clients.Office.Excel.Functions.SPG(I231, "SP_COUNTRY_NAME")</f>
        <v>Zambia</v>
      </c>
    </row>
    <row r="232" spans="1:19" ht="43.5" x14ac:dyDescent="0.35">
      <c r="A232" s="5">
        <v>46022</v>
      </c>
      <c r="B232" s="4" t="s">
        <v>744</v>
      </c>
      <c r="C232" s="4" t="s">
        <v>745</v>
      </c>
      <c r="D232" s="4" t="s">
        <v>1002</v>
      </c>
      <c r="E232" s="8">
        <v>4355602</v>
      </c>
      <c r="F232" s="7">
        <v>20</v>
      </c>
      <c r="G232" s="12" t="str">
        <f>[1]!SNLData("243327", C232, "OWNER_LIST")</f>
        <v>ZCCM Investments Holdings Plc (Venturer) 20%; First Quantum Minerals Ltd. (Venturer) 80%</v>
      </c>
      <c r="H232" s="9">
        <f>[1]!SNLData("243327", C232, "OWNER_SNL_INSTN_KEY", "Owner 1")</f>
        <v>4350215</v>
      </c>
      <c r="I232" s="9">
        <f>[1]!SNLData("243327", C232, "OWNER_SNL_INSTN_KEY", "Owner 2")</f>
        <v>4355602</v>
      </c>
      <c r="J232" s="12" t="str">
        <f>_xll.SNL.Clients.Office.Excel.Functions.SPG(H232, "SP_ULT_PARENT_COMPANY_NAME")</f>
        <v/>
      </c>
      <c r="K232" s="12" t="str">
        <f>_xll.SNL.Clients.Office.Excel.Functions.SPG(H232, "SP_ULT_PARENT_COUNTRY")</f>
        <v/>
      </c>
      <c r="L232" s="12" t="str">
        <f>_xll.SNL.Clients.Office.Excel.Functions.SPG(H232, "SP_PARENT_COMPANY_NAME")</f>
        <v/>
      </c>
      <c r="M232" s="12" t="str">
        <f>_xll.SNL.Clients.Office.Excel.Functions.SPG(H232, "SP_PARENT_COUNTRY")</f>
        <v/>
      </c>
      <c r="N232" s="12" t="str">
        <f>_xll.SNL.Clients.Office.Excel.Functions.SPG(H232, "SP_COUNTRY_NAME")</f>
        <v>Canada</v>
      </c>
      <c r="O232" s="12" t="str">
        <f>_xll.SNL.Clients.Office.Excel.Functions.SPG(I232, "SP_ULT_PARENT_COMPANY_NAME")</f>
        <v>Industrial Development Corporation (Zambia) Limited</v>
      </c>
      <c r="P232" s="12" t="str">
        <f>_xll.SNL.Clients.Office.Excel.Functions.SPG(I232, "SP_ULT_PARENT_COUNTRY")</f>
        <v>Zambia</v>
      </c>
      <c r="Q232" s="12" t="str">
        <f>_xll.SNL.Clients.Office.Excel.Functions.SPG(I232, "SP_PARENT_COMPANY_NAME")</f>
        <v>Industrial Development Corporation (Zambia) Limited</v>
      </c>
      <c r="R232" s="12" t="str">
        <f>_xll.SNL.Clients.Office.Excel.Functions.SPG(I232, "SP_PARENT_COUNTRY")</f>
        <v>Zambia</v>
      </c>
      <c r="S232" s="12" t="str">
        <f>_xll.SNL.Clients.Office.Excel.Functions.SPG(I232, "SP_COUNTRY_NAME")</f>
        <v>Zambia</v>
      </c>
    </row>
    <row r="233" spans="1:19" ht="43.5" x14ac:dyDescent="0.35">
      <c r="A233" s="5">
        <v>46022</v>
      </c>
      <c r="B233" s="4" t="s">
        <v>330</v>
      </c>
      <c r="C233" s="4" t="s">
        <v>331</v>
      </c>
      <c r="D233" s="4" t="s">
        <v>995</v>
      </c>
      <c r="E233" s="8">
        <v>4350215</v>
      </c>
      <c r="F233" s="7">
        <v>80</v>
      </c>
      <c r="G233" s="12" t="str">
        <f>[1]!SNLData("243327", C233, "OWNER_LIST")</f>
        <v>ZCCM Investments Holdings Plc (Venturer) 20%; First Quantum Minerals Ltd. (Venturer) 80%</v>
      </c>
      <c r="H233" s="9">
        <f>[1]!SNLData("243327", C233, "OWNER_SNL_INSTN_KEY", "Owner 1")</f>
        <v>4350215</v>
      </c>
      <c r="I233" s="9">
        <f>[1]!SNLData("243327", C233, "OWNER_SNL_INSTN_KEY", "Owner 2")</f>
        <v>4355602</v>
      </c>
      <c r="J233" s="12" t="str">
        <f>_xll.SNL.Clients.Office.Excel.Functions.SPG(H233, "SP_ULT_PARENT_COMPANY_NAME")</f>
        <v/>
      </c>
      <c r="K233" s="12" t="str">
        <f>_xll.SNL.Clients.Office.Excel.Functions.SPG(H233, "SP_ULT_PARENT_COUNTRY")</f>
        <v/>
      </c>
      <c r="L233" s="12" t="str">
        <f>_xll.SNL.Clients.Office.Excel.Functions.SPG(H233, "SP_PARENT_COMPANY_NAME")</f>
        <v/>
      </c>
      <c r="M233" s="12" t="str">
        <f>_xll.SNL.Clients.Office.Excel.Functions.SPG(H233, "SP_PARENT_COUNTRY")</f>
        <v/>
      </c>
      <c r="N233" s="12" t="str">
        <f>_xll.SNL.Clients.Office.Excel.Functions.SPG(H233, "SP_COUNTRY_NAME")</f>
        <v>Canada</v>
      </c>
      <c r="O233" s="12" t="str">
        <f>_xll.SNL.Clients.Office.Excel.Functions.SPG(I233, "SP_ULT_PARENT_COMPANY_NAME")</f>
        <v>Industrial Development Corporation (Zambia) Limited</v>
      </c>
      <c r="P233" s="12" t="str">
        <f>_xll.SNL.Clients.Office.Excel.Functions.SPG(I233, "SP_ULT_PARENT_COUNTRY")</f>
        <v>Zambia</v>
      </c>
      <c r="Q233" s="12" t="str">
        <f>_xll.SNL.Clients.Office.Excel.Functions.SPG(I233, "SP_PARENT_COMPANY_NAME")</f>
        <v>Industrial Development Corporation (Zambia) Limited</v>
      </c>
      <c r="R233" s="12" t="str">
        <f>_xll.SNL.Clients.Office.Excel.Functions.SPG(I233, "SP_PARENT_COUNTRY")</f>
        <v>Zambia</v>
      </c>
      <c r="S233" s="12" t="str">
        <f>_xll.SNL.Clients.Office.Excel.Functions.SPG(I233, "SP_COUNTRY_NAME")</f>
        <v>Zambia</v>
      </c>
    </row>
    <row r="234" spans="1:19" ht="43.5" x14ac:dyDescent="0.35">
      <c r="A234" s="5">
        <v>46022</v>
      </c>
      <c r="B234" s="4" t="s">
        <v>330</v>
      </c>
      <c r="C234" s="4" t="s">
        <v>331</v>
      </c>
      <c r="D234" s="4" t="s">
        <v>1002</v>
      </c>
      <c r="E234" s="8">
        <v>4355602</v>
      </c>
      <c r="F234" s="7">
        <v>20</v>
      </c>
      <c r="G234" s="12" t="str">
        <f>[1]!SNLData("243327", C234, "OWNER_LIST")</f>
        <v>ZCCM Investments Holdings Plc (Venturer) 20%; First Quantum Minerals Ltd. (Venturer) 80%</v>
      </c>
      <c r="H234" s="9">
        <f>[1]!SNLData("243327", C234, "OWNER_SNL_INSTN_KEY", "Owner 1")</f>
        <v>4350215</v>
      </c>
      <c r="I234" s="9">
        <f>[1]!SNLData("243327", C234, "OWNER_SNL_INSTN_KEY", "Owner 2")</f>
        <v>4355602</v>
      </c>
      <c r="J234" s="12" t="str">
        <f>_xll.SNL.Clients.Office.Excel.Functions.SPG(H234, "SP_ULT_PARENT_COMPANY_NAME")</f>
        <v/>
      </c>
      <c r="K234" s="12" t="str">
        <f>_xll.SNL.Clients.Office.Excel.Functions.SPG(H234, "SP_ULT_PARENT_COUNTRY")</f>
        <v/>
      </c>
      <c r="L234" s="12" t="str">
        <f>_xll.SNL.Clients.Office.Excel.Functions.SPG(H234, "SP_PARENT_COMPANY_NAME")</f>
        <v/>
      </c>
      <c r="M234" s="12" t="str">
        <f>_xll.SNL.Clients.Office.Excel.Functions.SPG(H234, "SP_PARENT_COUNTRY")</f>
        <v/>
      </c>
      <c r="N234" s="12" t="str">
        <f>_xll.SNL.Clients.Office.Excel.Functions.SPG(H234, "SP_COUNTRY_NAME")</f>
        <v>Canada</v>
      </c>
      <c r="O234" s="12" t="str">
        <f>_xll.SNL.Clients.Office.Excel.Functions.SPG(I234, "SP_ULT_PARENT_COMPANY_NAME")</f>
        <v>Industrial Development Corporation (Zambia) Limited</v>
      </c>
      <c r="P234" s="12" t="str">
        <f>_xll.SNL.Clients.Office.Excel.Functions.SPG(I234, "SP_ULT_PARENT_COUNTRY")</f>
        <v>Zambia</v>
      </c>
      <c r="Q234" s="12" t="str">
        <f>_xll.SNL.Clients.Office.Excel.Functions.SPG(I234, "SP_PARENT_COMPANY_NAME")</f>
        <v>Industrial Development Corporation (Zambia) Limited</v>
      </c>
      <c r="R234" s="12" t="str">
        <f>_xll.SNL.Clients.Office.Excel.Functions.SPG(I234, "SP_PARENT_COUNTRY")</f>
        <v>Zambia</v>
      </c>
      <c r="S234" s="12" t="str">
        <f>_xll.SNL.Clients.Office.Excel.Functions.SPG(I234, "SP_COUNTRY_NAME")</f>
        <v>Zambia</v>
      </c>
    </row>
    <row r="235" spans="1:19" x14ac:dyDescent="0.35">
      <c r="A235" s="5">
        <v>46022</v>
      </c>
      <c r="B235" s="4" t="s">
        <v>746</v>
      </c>
      <c r="C235" s="4" t="s">
        <v>747</v>
      </c>
      <c r="D235" s="4" t="s">
        <v>1068</v>
      </c>
      <c r="E235" s="8">
        <v>112903991</v>
      </c>
      <c r="F235" s="7">
        <v>100</v>
      </c>
      <c r="G235" s="12" t="str">
        <f>[1]!SNLData("243327", C235, "OWNER_LIST")</f>
        <v>Gold Mining Company LLC  100%</v>
      </c>
      <c r="H235" s="9">
        <f>[1]!SNLData("243327", C235, "OWNER_SNL_INSTN_KEY", "Owner 1")</f>
        <v>112903991</v>
      </c>
      <c r="I235" s="9" t="str">
        <f>[1]!SNLData("243327", C235, "OWNER_SNL_INSTN_KEY", "Owner 2")</f>
        <v>NA</v>
      </c>
      <c r="J235" s="12" t="str">
        <f>_xll.SNL.Clients.Office.Excel.Functions.SPG(H235, "SP_ULT_PARENT_COMPANY_NAME")</f>
        <v/>
      </c>
      <c r="K235" s="12" t="str">
        <f>_xll.SNL.Clients.Office.Excel.Functions.SPG(H235, "SP_ULT_PARENT_COUNTRY")</f>
        <v/>
      </c>
      <c r="L235" s="12" t="str">
        <f>_xll.SNL.Clients.Office.Excel.Functions.SPG(H235, "SP_PARENT_COMPANY_NAME")</f>
        <v/>
      </c>
      <c r="M235" s="12" t="str">
        <f>_xll.SNL.Clients.Office.Excel.Functions.SPG(H235, "SP_PARENT_COUNTRY")</f>
        <v/>
      </c>
      <c r="N235" s="12" t="str">
        <f>_xll.SNL.Clients.Office.Excel.Functions.SPG(H235, "SP_COUNTRY_NAME")</f>
        <v>Armenia</v>
      </c>
      <c r="O235" s="12" t="str">
        <f>_xll.SNL.Clients.Office.Excel.Functions.SPG(I235, "SP_ULT_PARENT_COMPANY_NAME")</f>
        <v/>
      </c>
      <c r="P235" s="12" t="str">
        <f>_xll.SNL.Clients.Office.Excel.Functions.SPG(I235, "SP_ULT_PARENT_COUNTRY")</f>
        <v/>
      </c>
      <c r="Q235" s="12" t="str">
        <f>_xll.SNL.Clients.Office.Excel.Functions.SPG(I235, "SP_PARENT_COMPANY_NAME")</f>
        <v/>
      </c>
      <c r="R235" s="12" t="str">
        <f>_xll.SNL.Clients.Office.Excel.Functions.SPG(I235, "SP_PARENT_COUNTRY")</f>
        <v/>
      </c>
      <c r="S235" s="12" t="str">
        <f>_xll.SNL.Clients.Office.Excel.Functions.SPG(I235, "SP_COUNTRY_NAME")</f>
        <v>China</v>
      </c>
    </row>
    <row r="236" spans="1:19" x14ac:dyDescent="0.35">
      <c r="A236" s="5">
        <v>46022</v>
      </c>
      <c r="B236" s="4" t="s">
        <v>332</v>
      </c>
      <c r="C236" s="4" t="s">
        <v>333</v>
      </c>
      <c r="D236" s="4" t="s">
        <v>996</v>
      </c>
      <c r="E236" s="8">
        <v>4410234</v>
      </c>
      <c r="F236" s="7">
        <v>100</v>
      </c>
      <c r="G236" s="12" t="str">
        <f>[1]!SNLData("243327", C236, "OWNER_LIST")</f>
        <v>Cuprum Holding Limited  100%</v>
      </c>
      <c r="H236" s="9">
        <f>[1]!SNLData("243327", C236, "OWNER_SNL_INSTN_KEY", "Owner 1")</f>
        <v>4410234</v>
      </c>
      <c r="I236" s="9" t="str">
        <f>[1]!SNLData("243327", C236, "OWNER_SNL_INSTN_KEY", "Owner 2")</f>
        <v>NA</v>
      </c>
      <c r="J236" s="12" t="str">
        <f>_xll.SNL.Clients.Office.Excel.Functions.SPG(H236, "SP_ULT_PARENT_COMPANY_NAME")</f>
        <v/>
      </c>
      <c r="K236" s="12" t="str">
        <f>_xll.SNL.Clients.Office.Excel.Functions.SPG(H236, "SP_ULT_PARENT_COUNTRY")</f>
        <v/>
      </c>
      <c r="L236" s="12" t="str">
        <f>_xll.SNL.Clients.Office.Excel.Functions.SPG(H236, "SP_PARENT_COMPANY_NAME")</f>
        <v/>
      </c>
      <c r="M236" s="12" t="str">
        <f>_xll.SNL.Clients.Office.Excel.Functions.SPG(H236, "SP_PARENT_COUNTRY")</f>
        <v/>
      </c>
      <c r="N236" s="12" t="str">
        <f>_xll.SNL.Clients.Office.Excel.Functions.SPG(H236, "SP_COUNTRY_NAME")</f>
        <v>Malta</v>
      </c>
      <c r="O236" s="12" t="str">
        <f>_xll.SNL.Clients.Office.Excel.Functions.SPG(I236, "SP_ULT_PARENT_COMPANY_NAME")</f>
        <v/>
      </c>
      <c r="P236" s="12" t="str">
        <f>_xll.SNL.Clients.Office.Excel.Functions.SPG(I236, "SP_ULT_PARENT_COUNTRY")</f>
        <v/>
      </c>
      <c r="Q236" s="12" t="str">
        <f>_xll.SNL.Clients.Office.Excel.Functions.SPG(I236, "SP_PARENT_COMPANY_NAME")</f>
        <v/>
      </c>
      <c r="R236" s="12" t="str">
        <f>_xll.SNL.Clients.Office.Excel.Functions.SPG(I236, "SP_PARENT_COUNTRY")</f>
        <v/>
      </c>
      <c r="S236" s="12" t="str">
        <f>_xll.SNL.Clients.Office.Excel.Functions.SPG(I236, "SP_COUNTRY_NAME")</f>
        <v>China</v>
      </c>
    </row>
    <row r="237" spans="1:19" x14ac:dyDescent="0.35">
      <c r="A237" s="5">
        <v>46022</v>
      </c>
      <c r="B237" s="4" t="s">
        <v>749</v>
      </c>
      <c r="C237" s="4" t="s">
        <v>750</v>
      </c>
      <c r="D237" s="4" t="s">
        <v>1069</v>
      </c>
      <c r="E237" s="8">
        <v>4394063</v>
      </c>
      <c r="F237" s="7">
        <v>100</v>
      </c>
      <c r="G237" s="12" t="str">
        <f>[1]!SNLData("243327", C237, "OWNER_LIST")</f>
        <v>Kazzinc Ltd.  100%</v>
      </c>
      <c r="H237" s="9">
        <f>[1]!SNLData("243327", C237, "OWNER_SNL_INSTN_KEY", "Owner 1")</f>
        <v>4394063</v>
      </c>
      <c r="I237" s="9" t="str">
        <f>[1]!SNLData("243327", C237, "OWNER_SNL_INSTN_KEY", "Owner 2")</f>
        <v>NA</v>
      </c>
      <c r="J237" s="12" t="str">
        <f>_xll.SNL.Clients.Office.Excel.Functions.SPG(H237, "SP_ULT_PARENT_COMPANY_NAME")</f>
        <v>Glencore plc</v>
      </c>
      <c r="K237" s="12" t="str">
        <f>_xll.SNL.Clients.Office.Excel.Functions.SPG(H237, "SP_ULT_PARENT_COUNTRY")</f>
        <v>Switzerland</v>
      </c>
      <c r="L237" s="12" t="str">
        <f>_xll.SNL.Clients.Office.Excel.Functions.SPG(H237, "SP_PARENT_COMPANY_NAME")</f>
        <v>Glencore plc</v>
      </c>
      <c r="M237" s="12" t="str">
        <f>_xll.SNL.Clients.Office.Excel.Functions.SPG(H237, "SP_PARENT_COUNTRY")</f>
        <v>Switzerland</v>
      </c>
      <c r="N237" s="12" t="str">
        <f>_xll.SNL.Clients.Office.Excel.Functions.SPG(H237, "SP_COUNTRY_NAME")</f>
        <v>Kazakhstan</v>
      </c>
      <c r="O237" s="12" t="str">
        <f>_xll.SNL.Clients.Office.Excel.Functions.SPG(I237, "SP_ULT_PARENT_COMPANY_NAME")</f>
        <v/>
      </c>
      <c r="P237" s="12" t="str">
        <f>_xll.SNL.Clients.Office.Excel.Functions.SPG(I237, "SP_ULT_PARENT_COUNTRY")</f>
        <v/>
      </c>
      <c r="Q237" s="12" t="str">
        <f>_xll.SNL.Clients.Office.Excel.Functions.SPG(I237, "SP_PARENT_COMPANY_NAME")</f>
        <v/>
      </c>
      <c r="R237" s="12" t="str">
        <f>_xll.SNL.Clients.Office.Excel.Functions.SPG(I237, "SP_PARENT_COUNTRY")</f>
        <v/>
      </c>
      <c r="S237" s="12" t="str">
        <f>_xll.SNL.Clients.Office.Excel.Functions.SPG(I237, "SP_COUNTRY_NAME")</f>
        <v>China</v>
      </c>
    </row>
    <row r="238" spans="1:19" x14ac:dyDescent="0.35">
      <c r="A238" s="5">
        <v>46022</v>
      </c>
      <c r="B238" s="4" t="s">
        <v>436</v>
      </c>
      <c r="C238" s="4" t="s">
        <v>437</v>
      </c>
      <c r="D238" s="4" t="s">
        <v>939</v>
      </c>
      <c r="E238" s="8">
        <v>4348654</v>
      </c>
      <c r="F238" s="7">
        <v>100</v>
      </c>
      <c r="G238" s="12" t="str">
        <f>[1]!SNLData("243327", C238, "OWNER_LIST")</f>
        <v>Boliden AB (publ)  100%</v>
      </c>
      <c r="H238" s="9">
        <f>[1]!SNLData("243327", C238, "OWNER_SNL_INSTN_KEY", "Owner 1")</f>
        <v>4348654</v>
      </c>
      <c r="I238" s="9" t="str">
        <f>[1]!SNLData("243327", C238, "OWNER_SNL_INSTN_KEY", "Owner 2")</f>
        <v>NA</v>
      </c>
      <c r="J238" s="12" t="str">
        <f>_xll.SNL.Clients.Office.Excel.Functions.SPG(H238, "SP_ULT_PARENT_COMPANY_NAME")</f>
        <v/>
      </c>
      <c r="K238" s="12" t="str">
        <f>_xll.SNL.Clients.Office.Excel.Functions.SPG(H238, "SP_ULT_PARENT_COUNTRY")</f>
        <v/>
      </c>
      <c r="L238" s="12" t="str">
        <f>_xll.SNL.Clients.Office.Excel.Functions.SPG(H238, "SP_PARENT_COMPANY_NAME")</f>
        <v/>
      </c>
      <c r="M238" s="12" t="str">
        <f>_xll.SNL.Clients.Office.Excel.Functions.SPG(H238, "SP_PARENT_COUNTRY")</f>
        <v/>
      </c>
      <c r="N238" s="12" t="str">
        <f>_xll.SNL.Clients.Office.Excel.Functions.SPG(H238, "SP_COUNTRY_NAME")</f>
        <v>Sweden</v>
      </c>
      <c r="O238" s="12" t="str">
        <f>_xll.SNL.Clients.Office.Excel.Functions.SPG(I238, "SP_ULT_PARENT_COMPANY_NAME")</f>
        <v/>
      </c>
      <c r="P238" s="12" t="str">
        <f>_xll.SNL.Clients.Office.Excel.Functions.SPG(I238, "SP_ULT_PARENT_COUNTRY")</f>
        <v/>
      </c>
      <c r="Q238" s="12" t="str">
        <f>_xll.SNL.Clients.Office.Excel.Functions.SPG(I238, "SP_PARENT_COMPANY_NAME")</f>
        <v/>
      </c>
      <c r="R238" s="12" t="str">
        <f>_xll.SNL.Clients.Office.Excel.Functions.SPG(I238, "SP_PARENT_COUNTRY")</f>
        <v/>
      </c>
      <c r="S238" s="12" t="str">
        <f>_xll.SNL.Clients.Office.Excel.Functions.SPG(I238, "SP_COUNTRY_NAME")</f>
        <v>China</v>
      </c>
    </row>
    <row r="239" spans="1:19" x14ac:dyDescent="0.35">
      <c r="A239" s="5">
        <v>46022</v>
      </c>
      <c r="B239" s="4" t="s">
        <v>751</v>
      </c>
      <c r="C239" s="4" t="s">
        <v>752</v>
      </c>
      <c r="D239" s="4" t="s">
        <v>992</v>
      </c>
      <c r="E239" s="8">
        <v>4351589</v>
      </c>
      <c r="F239" s="7">
        <v>100</v>
      </c>
      <c r="G239" s="12" t="str">
        <f>[1]!SNLData("243327", C239, "OWNER_LIST")</f>
        <v>KGHM Polska Miedz S.A.  100%</v>
      </c>
      <c r="H239" s="9">
        <f>[1]!SNLData("243327", C239, "OWNER_SNL_INSTN_KEY", "Owner 1")</f>
        <v>4351589</v>
      </c>
      <c r="I239" s="9" t="str">
        <f>[1]!SNLData("243327", C239, "OWNER_SNL_INSTN_KEY", "Owner 2")</f>
        <v>NA</v>
      </c>
      <c r="J239" s="12" t="str">
        <f>_xll.SNL.Clients.Office.Excel.Functions.SPG(H239, "SP_ULT_PARENT_COMPANY_NAME")</f>
        <v/>
      </c>
      <c r="K239" s="12" t="str">
        <f>_xll.SNL.Clients.Office.Excel.Functions.SPG(H239, "SP_ULT_PARENT_COUNTRY")</f>
        <v/>
      </c>
      <c r="L239" s="12" t="str">
        <f>_xll.SNL.Clients.Office.Excel.Functions.SPG(H239, "SP_PARENT_COMPANY_NAME")</f>
        <v/>
      </c>
      <c r="M239" s="12" t="str">
        <f>_xll.SNL.Clients.Office.Excel.Functions.SPG(H239, "SP_PARENT_COUNTRY")</f>
        <v/>
      </c>
      <c r="N239" s="12" t="str">
        <f>_xll.SNL.Clients.Office.Excel.Functions.SPG(H239, "SP_COUNTRY_NAME")</f>
        <v>Poland</v>
      </c>
      <c r="O239" s="12" t="str">
        <f>_xll.SNL.Clients.Office.Excel.Functions.SPG(I239, "SP_ULT_PARENT_COMPANY_NAME")</f>
        <v/>
      </c>
      <c r="P239" s="12" t="str">
        <f>_xll.SNL.Clients.Office.Excel.Functions.SPG(I239, "SP_ULT_PARENT_COUNTRY")</f>
        <v/>
      </c>
      <c r="Q239" s="12" t="str">
        <f>_xll.SNL.Clients.Office.Excel.Functions.SPG(I239, "SP_PARENT_COMPANY_NAME")</f>
        <v/>
      </c>
      <c r="R239" s="12" t="str">
        <f>_xll.SNL.Clients.Office.Excel.Functions.SPG(I239, "SP_PARENT_COUNTRY")</f>
        <v/>
      </c>
      <c r="S239" s="12" t="str">
        <f>_xll.SNL.Clients.Office.Excel.Functions.SPG(I239, "SP_COUNTRY_NAME")</f>
        <v>China</v>
      </c>
    </row>
    <row r="240" spans="1:19" ht="72.5" x14ac:dyDescent="0.35">
      <c r="A240" s="5">
        <v>46022</v>
      </c>
      <c r="B240" s="4" t="s">
        <v>439</v>
      </c>
      <c r="C240" s="4" t="s">
        <v>440</v>
      </c>
      <c r="D240" s="4" t="s">
        <v>1070</v>
      </c>
      <c r="E240" s="8">
        <v>10602702</v>
      </c>
      <c r="F240" s="7">
        <v>40.5</v>
      </c>
      <c r="G240" s="12" t="str">
        <f>[1]!SNLData("243327", C240, "OWNER_LIST")</f>
        <v>Compass Investment Company Limited (Venturer) 40.5%; MMG Limited (Venturer) 55%</v>
      </c>
      <c r="H240" s="9">
        <f>[1]!SNLData("243327", C240, "OWNER_SNL_INSTN_KEY", "Owner 1")</f>
        <v>4352491</v>
      </c>
      <c r="I240" s="9">
        <f>[1]!SNLData("243327", C240, "OWNER_SNL_INSTN_KEY", "Owner 2")</f>
        <v>10602702</v>
      </c>
      <c r="J240" s="12" t="str">
        <f>_xll.SNL.Clients.Office.Excel.Functions.SPG(H240, "SP_ULT_PARENT_COMPANY_NAME")</f>
        <v>State-owned Assets Supervision and Administration Commission of the State Counci</v>
      </c>
      <c r="K240" s="12" t="str">
        <f>_xll.SNL.Clients.Office.Excel.Functions.SPG(H240, "SP_ULT_PARENT_COUNTRY")</f>
        <v>China</v>
      </c>
      <c r="L240" s="12" t="str">
        <f>_xll.SNL.Clients.Office.Excel.Functions.SPG(H240, "SP_PARENT_COMPANY_NAME")</f>
        <v>China Minmetals H.K. (Holdings) Limited</v>
      </c>
      <c r="M240" s="12" t="str">
        <f>_xll.SNL.Clients.Office.Excel.Functions.SPG(H240, "SP_PARENT_COUNTRY")</f>
        <v>Hong Kong</v>
      </c>
      <c r="N240" s="12" t="str">
        <f>_xll.SNL.Clients.Office.Excel.Functions.SPG(H240, "SP_COUNTRY_NAME")</f>
        <v>Australia</v>
      </c>
      <c r="O240" s="12" t="str">
        <f>_xll.SNL.Clients.Office.Excel.Functions.SPG(I240, "SP_ULT_PARENT_COMPANY_NAME")</f>
        <v>Pagoda Tree Investment Company Limited</v>
      </c>
      <c r="P240" s="12" t="str">
        <f>_xll.SNL.Clients.Office.Excel.Functions.SPG(I240, "SP_ULT_PARENT_COUNTRY")</f>
        <v>Hong Kong</v>
      </c>
      <c r="Q240" s="12" t="str">
        <f>_xll.SNL.Clients.Office.Excel.Functions.SPG(I240, "SP_PARENT_COMPANY_NAME")</f>
        <v>Pagoda Tree Investment Company Limited</v>
      </c>
      <c r="R240" s="12" t="str">
        <f>_xll.SNL.Clients.Office.Excel.Functions.SPG(I240, "SP_PARENT_COUNTRY")</f>
        <v>Hong Kong</v>
      </c>
      <c r="S240" s="12" t="str">
        <f>_xll.SNL.Clients.Office.Excel.Functions.SPG(I240, "SP_COUNTRY_NAME")</f>
        <v>Hong Kong</v>
      </c>
    </row>
    <row r="241" spans="1:19" ht="72.5" x14ac:dyDescent="0.35">
      <c r="A241" s="5">
        <v>46022</v>
      </c>
      <c r="B241" s="4" t="s">
        <v>439</v>
      </c>
      <c r="C241" s="4" t="s">
        <v>440</v>
      </c>
      <c r="D241" s="4" t="s">
        <v>1071</v>
      </c>
      <c r="E241" s="8">
        <v>4352491</v>
      </c>
      <c r="F241" s="7">
        <v>55</v>
      </c>
      <c r="G241" s="12" t="str">
        <f>[1]!SNLData("243327", C241, "OWNER_LIST")</f>
        <v>Compass Investment Company Limited (Venturer) 40.5%; MMG Limited (Venturer) 55%</v>
      </c>
      <c r="H241" s="9">
        <f>[1]!SNLData("243327", C241, "OWNER_SNL_INSTN_KEY", "Owner 1")</f>
        <v>4352491</v>
      </c>
      <c r="I241" s="9">
        <f>[1]!SNLData("243327", C241, "OWNER_SNL_INSTN_KEY", "Owner 2")</f>
        <v>10602702</v>
      </c>
      <c r="J241" s="12" t="str">
        <f>_xll.SNL.Clients.Office.Excel.Functions.SPG(H241, "SP_ULT_PARENT_COMPANY_NAME")</f>
        <v>State-owned Assets Supervision and Administration Commission of the State Counci</v>
      </c>
      <c r="K241" s="12" t="str">
        <f>_xll.SNL.Clients.Office.Excel.Functions.SPG(H241, "SP_ULT_PARENT_COUNTRY")</f>
        <v>China</v>
      </c>
      <c r="L241" s="12" t="str">
        <f>_xll.SNL.Clients.Office.Excel.Functions.SPG(H241, "SP_PARENT_COMPANY_NAME")</f>
        <v>China Minmetals H.K. (Holdings) Limited</v>
      </c>
      <c r="M241" s="12" t="str">
        <f>_xll.SNL.Clients.Office.Excel.Functions.SPG(H241, "SP_PARENT_COUNTRY")</f>
        <v>Hong Kong</v>
      </c>
      <c r="N241" s="12" t="str">
        <f>_xll.SNL.Clients.Office.Excel.Functions.SPG(H241, "SP_COUNTRY_NAME")</f>
        <v>Australia</v>
      </c>
      <c r="O241" s="12" t="str">
        <f>_xll.SNL.Clients.Office.Excel.Functions.SPG(I241, "SP_ULT_PARENT_COMPANY_NAME")</f>
        <v>Pagoda Tree Investment Company Limited</v>
      </c>
      <c r="P241" s="12" t="str">
        <f>_xll.SNL.Clients.Office.Excel.Functions.SPG(I241, "SP_ULT_PARENT_COUNTRY")</f>
        <v>Hong Kong</v>
      </c>
      <c r="Q241" s="12" t="str">
        <f>_xll.SNL.Clients.Office.Excel.Functions.SPG(I241, "SP_PARENT_COMPANY_NAME")</f>
        <v>Pagoda Tree Investment Company Limited</v>
      </c>
      <c r="R241" s="12" t="str">
        <f>_xll.SNL.Clients.Office.Excel.Functions.SPG(I241, "SP_PARENT_COUNTRY")</f>
        <v>Hong Kong</v>
      </c>
      <c r="S241" s="12" t="str">
        <f>_xll.SNL.Clients.Office.Excel.Functions.SPG(I241, "SP_COUNTRY_NAME")</f>
        <v>Hong Kong</v>
      </c>
    </row>
    <row r="242" spans="1:19" x14ac:dyDescent="0.35">
      <c r="A242" s="5">
        <v>46022</v>
      </c>
      <c r="B242" s="4" t="s">
        <v>754</v>
      </c>
      <c r="C242" s="4" t="s">
        <v>755</v>
      </c>
      <c r="D242" s="4" t="s">
        <v>948</v>
      </c>
      <c r="E242" s="8">
        <v>4113732</v>
      </c>
      <c r="F242" s="7">
        <v>100</v>
      </c>
      <c r="G242" s="12" t="str">
        <f>[1]!SNLData("243327", C242, "OWNER_LIST")</f>
        <v>Discovery Mining Ltd.  100%</v>
      </c>
      <c r="H242" s="9">
        <f>[1]!SNLData("243327", C242, "OWNER_SNL_INSTN_KEY", "Owner 1")</f>
        <v>4773175</v>
      </c>
      <c r="I242" s="9" t="str">
        <f>[1]!SNLData("243327", C242, "OWNER_SNL_INSTN_KEY", "Owner 2")</f>
        <v>NA</v>
      </c>
      <c r="J242" s="12" t="str">
        <f>_xll.SNL.Clients.Office.Excel.Functions.SPG(H242, "SP_ULT_PARENT_COMPANY_NAME")</f>
        <v/>
      </c>
      <c r="K242" s="12" t="str">
        <f>_xll.SNL.Clients.Office.Excel.Functions.SPG(H242, "SP_ULT_PARENT_COUNTRY")</f>
        <v/>
      </c>
      <c r="L242" s="12" t="str">
        <f>_xll.SNL.Clients.Office.Excel.Functions.SPG(H242, "SP_PARENT_COMPANY_NAME")</f>
        <v/>
      </c>
      <c r="M242" s="12" t="str">
        <f>_xll.SNL.Clients.Office.Excel.Functions.SPG(H242, "SP_PARENT_COUNTRY")</f>
        <v/>
      </c>
      <c r="N242" s="12" t="str">
        <f>_xll.SNL.Clients.Office.Excel.Functions.SPG(H242, "SP_COUNTRY_NAME")</f>
        <v>Canada</v>
      </c>
      <c r="O242" s="12" t="str">
        <f>_xll.SNL.Clients.Office.Excel.Functions.SPG(I242, "SP_ULT_PARENT_COMPANY_NAME")</f>
        <v/>
      </c>
      <c r="P242" s="12" t="str">
        <f>_xll.SNL.Clients.Office.Excel.Functions.SPG(I242, "SP_ULT_PARENT_COUNTRY")</f>
        <v/>
      </c>
      <c r="Q242" s="12" t="str">
        <f>_xll.SNL.Clients.Office.Excel.Functions.SPG(I242, "SP_PARENT_COMPANY_NAME")</f>
        <v/>
      </c>
      <c r="R242" s="12" t="str">
        <f>_xll.SNL.Clients.Office.Excel.Functions.SPG(I242, "SP_PARENT_COUNTRY")</f>
        <v/>
      </c>
      <c r="S242" s="12" t="str">
        <f>_xll.SNL.Clients.Office.Excel.Functions.SPG(I242, "SP_COUNTRY_NAME")</f>
        <v>China</v>
      </c>
    </row>
    <row r="243" spans="1:19" ht="72.5" x14ac:dyDescent="0.35">
      <c r="A243" s="5">
        <v>46022</v>
      </c>
      <c r="B243" s="4" t="s">
        <v>334</v>
      </c>
      <c r="C243" s="4" t="s">
        <v>335</v>
      </c>
      <c r="D243" s="4" t="s">
        <v>1071</v>
      </c>
      <c r="E243" s="8">
        <v>4352491</v>
      </c>
      <c r="F243" s="7">
        <v>100</v>
      </c>
      <c r="G243" s="12" t="str">
        <f>[1]!SNLData("243327", C243, "OWNER_LIST")</f>
        <v>MMG Limited  100%</v>
      </c>
      <c r="H243" s="9">
        <f>[1]!SNLData("243327", C243, "OWNER_SNL_INSTN_KEY", "Owner 1")</f>
        <v>4352491</v>
      </c>
      <c r="I243" s="9" t="str">
        <f>[1]!SNLData("243327", C243, "OWNER_SNL_INSTN_KEY", "Owner 2")</f>
        <v>NA</v>
      </c>
      <c r="J243" s="12" t="str">
        <f>_xll.SNL.Clients.Office.Excel.Functions.SPG(H243, "SP_ULT_PARENT_COMPANY_NAME")</f>
        <v>State-owned Assets Supervision and Administration Commission of the State Counci</v>
      </c>
      <c r="K243" s="12" t="str">
        <f>_xll.SNL.Clients.Office.Excel.Functions.SPG(H243, "SP_ULT_PARENT_COUNTRY")</f>
        <v>China</v>
      </c>
      <c r="L243" s="12" t="str">
        <f>_xll.SNL.Clients.Office.Excel.Functions.SPG(H243, "SP_PARENT_COMPANY_NAME")</f>
        <v>China Minmetals H.K. (Holdings) Limited</v>
      </c>
      <c r="M243" s="12" t="str">
        <f>_xll.SNL.Clients.Office.Excel.Functions.SPG(H243, "SP_PARENT_COUNTRY")</f>
        <v>Hong Kong</v>
      </c>
      <c r="N243" s="12" t="str">
        <f>_xll.SNL.Clients.Office.Excel.Functions.SPG(H243, "SP_COUNTRY_NAME")</f>
        <v>Australia</v>
      </c>
      <c r="O243" s="12" t="str">
        <f>_xll.SNL.Clients.Office.Excel.Functions.SPG(I243, "SP_ULT_PARENT_COMPANY_NAME")</f>
        <v/>
      </c>
      <c r="P243" s="12" t="str">
        <f>_xll.SNL.Clients.Office.Excel.Functions.SPG(I243, "SP_ULT_PARENT_COUNTRY")</f>
        <v/>
      </c>
      <c r="Q243" s="12" t="str">
        <f>_xll.SNL.Clients.Office.Excel.Functions.SPG(I243, "SP_PARENT_COMPANY_NAME")</f>
        <v/>
      </c>
      <c r="R243" s="12" t="str">
        <f>_xll.SNL.Clients.Office.Excel.Functions.SPG(I243, "SP_PARENT_COUNTRY")</f>
        <v/>
      </c>
      <c r="S243" s="12" t="str">
        <f>_xll.SNL.Clients.Office.Excel.Functions.SPG(I243, "SP_COUNTRY_NAME")</f>
        <v>China</v>
      </c>
    </row>
    <row r="244" spans="1:19" ht="29" x14ac:dyDescent="0.35">
      <c r="A244" s="5">
        <v>46022</v>
      </c>
      <c r="B244" s="4" t="s">
        <v>336</v>
      </c>
      <c r="C244" s="4" t="s">
        <v>337</v>
      </c>
      <c r="D244" s="4" t="s">
        <v>1021</v>
      </c>
      <c r="E244" s="8">
        <v>4350360</v>
      </c>
      <c r="F244" s="7">
        <v>5</v>
      </c>
      <c r="G244" s="12" t="str">
        <f>[1]!SNLData("243327", C244, "OWNER_LIST")</f>
        <v>Gécamines SA (Venturer) 5%; Tiger Resources Limited (Venturer) 95%</v>
      </c>
      <c r="H244" s="9">
        <f>[1]!SNLData("243327", C244, "OWNER_SNL_INSTN_KEY", "Owner 1")</f>
        <v>4354863</v>
      </c>
      <c r="I244" s="9">
        <f>[1]!SNLData("243327", C244, "OWNER_SNL_INSTN_KEY", "Owner 2")</f>
        <v>4350360</v>
      </c>
      <c r="J244" s="12" t="str">
        <f>_xll.SNL.Clients.Office.Excel.Functions.SPG(H244, "SP_ULT_PARENT_COMPANY_NAME")</f>
        <v/>
      </c>
      <c r="K244" s="12" t="str">
        <f>_xll.SNL.Clients.Office.Excel.Functions.SPG(H244, "SP_ULT_PARENT_COUNTRY")</f>
        <v/>
      </c>
      <c r="L244" s="12" t="str">
        <f>_xll.SNL.Clients.Office.Excel.Functions.SPG(H244, "SP_PARENT_COMPANY_NAME")</f>
        <v/>
      </c>
      <c r="M244" s="12" t="str">
        <f>_xll.SNL.Clients.Office.Excel.Functions.SPG(H244, "SP_PARENT_COUNTRY")</f>
        <v/>
      </c>
      <c r="N244" s="12" t="str">
        <f>_xll.SNL.Clients.Office.Excel.Functions.SPG(H244, "SP_COUNTRY_NAME")</f>
        <v>Australia</v>
      </c>
      <c r="O244" s="12" t="str">
        <f>_xll.SNL.Clients.Office.Excel.Functions.SPG(I244, "SP_ULT_PARENT_COMPANY_NAME")</f>
        <v>Dem. Rep. Congo</v>
      </c>
      <c r="P244" s="12" t="str">
        <f>_xll.SNL.Clients.Office.Excel.Functions.SPG(I244, "SP_ULT_PARENT_COUNTRY")</f>
        <v>Dem. Rep. Congo</v>
      </c>
      <c r="Q244" s="12" t="str">
        <f>_xll.SNL.Clients.Office.Excel.Functions.SPG(I244, "SP_PARENT_COMPANY_NAME")</f>
        <v>Dem. Rep. Congo</v>
      </c>
      <c r="R244" s="12" t="str">
        <f>_xll.SNL.Clients.Office.Excel.Functions.SPG(I244, "SP_PARENT_COUNTRY")</f>
        <v>Dem. Rep. Congo</v>
      </c>
      <c r="S244" s="12" t="str">
        <f>_xll.SNL.Clients.Office.Excel.Functions.SPG(I244, "SP_COUNTRY_NAME")</f>
        <v>Dem. Rep. Congo</v>
      </c>
    </row>
    <row r="245" spans="1:19" ht="29" x14ac:dyDescent="0.35">
      <c r="A245" s="5">
        <v>46022</v>
      </c>
      <c r="B245" s="4" t="s">
        <v>336</v>
      </c>
      <c r="C245" s="4" t="s">
        <v>337</v>
      </c>
      <c r="D245" s="4" t="s">
        <v>1072</v>
      </c>
      <c r="E245" s="8">
        <v>4354863</v>
      </c>
      <c r="F245" s="7">
        <v>95</v>
      </c>
      <c r="G245" s="12" t="str">
        <f>[1]!SNLData("243327", C245, "OWNER_LIST")</f>
        <v>Gécamines SA (Venturer) 5%; Tiger Resources Limited (Venturer) 95%</v>
      </c>
      <c r="H245" s="9">
        <f>[1]!SNLData("243327", C245, "OWNER_SNL_INSTN_KEY", "Owner 1")</f>
        <v>4354863</v>
      </c>
      <c r="I245" s="9">
        <f>[1]!SNLData("243327", C245, "OWNER_SNL_INSTN_KEY", "Owner 2")</f>
        <v>4350360</v>
      </c>
      <c r="J245" s="12" t="str">
        <f>_xll.SNL.Clients.Office.Excel.Functions.SPG(H245, "SP_ULT_PARENT_COMPANY_NAME")</f>
        <v/>
      </c>
      <c r="K245" s="12" t="str">
        <f>_xll.SNL.Clients.Office.Excel.Functions.SPG(H245, "SP_ULT_PARENT_COUNTRY")</f>
        <v/>
      </c>
      <c r="L245" s="12" t="str">
        <f>_xll.SNL.Clients.Office.Excel.Functions.SPG(H245, "SP_PARENT_COMPANY_NAME")</f>
        <v/>
      </c>
      <c r="M245" s="12" t="str">
        <f>_xll.SNL.Clients.Office.Excel.Functions.SPG(H245, "SP_PARENT_COUNTRY")</f>
        <v/>
      </c>
      <c r="N245" s="12" t="str">
        <f>_xll.SNL.Clients.Office.Excel.Functions.SPG(H245, "SP_COUNTRY_NAME")</f>
        <v>Australia</v>
      </c>
      <c r="O245" s="12" t="str">
        <f>_xll.SNL.Clients.Office.Excel.Functions.SPG(I245, "SP_ULT_PARENT_COMPANY_NAME")</f>
        <v>Dem. Rep. Congo</v>
      </c>
      <c r="P245" s="12" t="str">
        <f>_xll.SNL.Clients.Office.Excel.Functions.SPG(I245, "SP_ULT_PARENT_COUNTRY")</f>
        <v>Dem. Rep. Congo</v>
      </c>
      <c r="Q245" s="12" t="str">
        <f>_xll.SNL.Clients.Office.Excel.Functions.SPG(I245, "SP_PARENT_COMPANY_NAME")</f>
        <v>Dem. Rep. Congo</v>
      </c>
      <c r="R245" s="12" t="str">
        <f>_xll.SNL.Clients.Office.Excel.Functions.SPG(I245, "SP_PARENT_COUNTRY")</f>
        <v>Dem. Rep. Congo</v>
      </c>
      <c r="S245" s="12" t="str">
        <f>_xll.SNL.Clients.Office.Excel.Functions.SPG(I245, "SP_COUNTRY_NAME")</f>
        <v>Dem. Rep. Congo</v>
      </c>
    </row>
    <row r="246" spans="1:19" ht="58" x14ac:dyDescent="0.35">
      <c r="A246" s="5">
        <v>46022</v>
      </c>
      <c r="B246" s="4" t="s">
        <v>269</v>
      </c>
      <c r="C246" s="4" t="s">
        <v>270</v>
      </c>
      <c r="D246" s="4" t="s">
        <v>1073</v>
      </c>
      <c r="E246" s="8">
        <v>4349148</v>
      </c>
      <c r="F246" s="7">
        <v>71.25</v>
      </c>
      <c r="G246" s="12" t="str">
        <f>[1]!SNLData("243327", C246, "OWNER_LIST")</f>
        <v>CMOC Group Limited (Venturer) 71.25%; Contemporary Amperex Technology Co., Limited (Venturer) 23.75%; Unnamed Owner (Fractional) %</v>
      </c>
      <c r="H246" s="9">
        <f>[1]!SNLData("243327", C246, "OWNER_SNL_INSTN_KEY", "Owner 1")</f>
        <v>4349148</v>
      </c>
      <c r="I246" s="9">
        <f>[1]!SNLData("243327", C246, "OWNER_SNL_INSTN_KEY", "Owner 2")</f>
        <v>6582136</v>
      </c>
      <c r="J246" s="12" t="str">
        <f>_xll.SNL.Clients.Office.Excel.Functions.SPG(H246, "SP_ULT_PARENT_COMPANY_NAME")</f>
        <v/>
      </c>
      <c r="K246" s="12" t="str">
        <f>_xll.SNL.Clients.Office.Excel.Functions.SPG(H246, "SP_ULT_PARENT_COUNTRY")</f>
        <v/>
      </c>
      <c r="L246" s="12" t="str">
        <f>_xll.SNL.Clients.Office.Excel.Functions.SPG(H246, "SP_PARENT_COMPANY_NAME")</f>
        <v/>
      </c>
      <c r="M246" s="12" t="str">
        <f>_xll.SNL.Clients.Office.Excel.Functions.SPG(H246, "SP_PARENT_COUNTRY")</f>
        <v/>
      </c>
      <c r="N246" s="12" t="str">
        <f>_xll.SNL.Clients.Office.Excel.Functions.SPG(H246, "SP_COUNTRY_NAME")</f>
        <v>China</v>
      </c>
      <c r="O246" s="12" t="str">
        <f>_xll.SNL.Clients.Office.Excel.Functions.SPG(I246, "SP_ULT_PARENT_COMPANY_NAME")</f>
        <v/>
      </c>
      <c r="P246" s="12" t="str">
        <f>_xll.SNL.Clients.Office.Excel.Functions.SPG(I246, "SP_ULT_PARENT_COUNTRY")</f>
        <v/>
      </c>
      <c r="Q246" s="12" t="str">
        <f>_xll.SNL.Clients.Office.Excel.Functions.SPG(I246, "SP_PARENT_COMPANY_NAME")</f>
        <v/>
      </c>
      <c r="R246" s="12" t="str">
        <f>_xll.SNL.Clients.Office.Excel.Functions.SPG(I246, "SP_PARENT_COUNTRY")</f>
        <v/>
      </c>
      <c r="S246" s="12" t="str">
        <f>_xll.SNL.Clients.Office.Excel.Functions.SPG(I246, "SP_COUNTRY_NAME")</f>
        <v>China</v>
      </c>
    </row>
    <row r="247" spans="1:19" ht="58" x14ac:dyDescent="0.35">
      <c r="A247" s="5">
        <v>46022</v>
      </c>
      <c r="B247" s="4" t="s">
        <v>269</v>
      </c>
      <c r="C247" s="4" t="s">
        <v>270</v>
      </c>
      <c r="D247" s="4" t="s">
        <v>1074</v>
      </c>
      <c r="E247" s="8">
        <v>6582136</v>
      </c>
      <c r="F247" s="7">
        <v>23.75</v>
      </c>
      <c r="G247" s="12" t="str">
        <f>[1]!SNLData("243327", C247, "OWNER_LIST")</f>
        <v>CMOC Group Limited (Venturer) 71.25%; Contemporary Amperex Technology Co., Limited (Venturer) 23.75%; Unnamed Owner (Fractional) %</v>
      </c>
      <c r="H247" s="9">
        <f>[1]!SNLData("243327", C247, "OWNER_SNL_INSTN_KEY", "Owner 1")</f>
        <v>4349148</v>
      </c>
      <c r="I247" s="9">
        <f>[1]!SNLData("243327", C247, "OWNER_SNL_INSTN_KEY", "Owner 2")</f>
        <v>6582136</v>
      </c>
      <c r="J247" s="12" t="str">
        <f>_xll.SNL.Clients.Office.Excel.Functions.SPG(H247, "SP_ULT_PARENT_COMPANY_NAME")</f>
        <v/>
      </c>
      <c r="K247" s="12" t="str">
        <f>_xll.SNL.Clients.Office.Excel.Functions.SPG(H247, "SP_ULT_PARENT_COUNTRY")</f>
        <v/>
      </c>
      <c r="L247" s="12" t="str">
        <f>_xll.SNL.Clients.Office.Excel.Functions.SPG(H247, "SP_PARENT_COMPANY_NAME")</f>
        <v/>
      </c>
      <c r="M247" s="12" t="str">
        <f>_xll.SNL.Clients.Office.Excel.Functions.SPG(H247, "SP_PARENT_COUNTRY")</f>
        <v/>
      </c>
      <c r="N247" s="12" t="str">
        <f>_xll.SNL.Clients.Office.Excel.Functions.SPG(H247, "SP_COUNTRY_NAME")</f>
        <v>China</v>
      </c>
      <c r="O247" s="12" t="str">
        <f>_xll.SNL.Clients.Office.Excel.Functions.SPG(I247, "SP_ULT_PARENT_COMPANY_NAME")</f>
        <v/>
      </c>
      <c r="P247" s="12" t="str">
        <f>_xll.SNL.Clients.Office.Excel.Functions.SPG(I247, "SP_ULT_PARENT_COUNTRY")</f>
        <v/>
      </c>
      <c r="Q247" s="12" t="str">
        <f>_xll.SNL.Clients.Office.Excel.Functions.SPG(I247, "SP_PARENT_COMPANY_NAME")</f>
        <v/>
      </c>
      <c r="R247" s="12" t="str">
        <f>_xll.SNL.Clients.Office.Excel.Functions.SPG(I247, "SP_PARENT_COUNTRY")</f>
        <v/>
      </c>
      <c r="S247" s="12" t="str">
        <f>_xll.SNL.Clients.Office.Excel.Functions.SPG(I247, "SP_COUNTRY_NAME")</f>
        <v>China</v>
      </c>
    </row>
    <row r="248" spans="1:19" ht="29" x14ac:dyDescent="0.35">
      <c r="A248" s="5">
        <v>46022</v>
      </c>
      <c r="B248" s="4" t="s">
        <v>338</v>
      </c>
      <c r="C248" s="4" t="s">
        <v>339</v>
      </c>
      <c r="D248" s="4" t="s">
        <v>1021</v>
      </c>
      <c r="E248" s="8">
        <v>4350360</v>
      </c>
      <c r="F248" s="7">
        <v>33</v>
      </c>
      <c r="G248" s="12" t="str">
        <f>[1]!SNLData("243327", C248, "OWNER_LIST")</f>
        <v>Zijin Mining Group Company Limited (Venturer) 67%; Gécamines SA (Venturer) 33%</v>
      </c>
      <c r="H248" s="9">
        <f>[1]!SNLData("243327", C248, "OWNER_SNL_INSTN_KEY", "Owner 1")</f>
        <v>4355642</v>
      </c>
      <c r="I248" s="9">
        <f>[1]!SNLData("243327", C248, "OWNER_SNL_INSTN_KEY", "Owner 2")</f>
        <v>4350360</v>
      </c>
      <c r="J248" s="12" t="str">
        <f>_xll.SNL.Clients.Office.Excel.Functions.SPG(H248, "SP_ULT_PARENT_COMPANY_NAME")</f>
        <v/>
      </c>
      <c r="K248" s="12" t="str">
        <f>_xll.SNL.Clients.Office.Excel.Functions.SPG(H248, "SP_ULT_PARENT_COUNTRY")</f>
        <v/>
      </c>
      <c r="L248" s="12" t="str">
        <f>_xll.SNL.Clients.Office.Excel.Functions.SPG(H248, "SP_PARENT_COMPANY_NAME")</f>
        <v/>
      </c>
      <c r="M248" s="12" t="str">
        <f>_xll.SNL.Clients.Office.Excel.Functions.SPG(H248, "SP_PARENT_COUNTRY")</f>
        <v/>
      </c>
      <c r="N248" s="12" t="str">
        <f>_xll.SNL.Clients.Office.Excel.Functions.SPG(H248, "SP_COUNTRY_NAME")</f>
        <v>China</v>
      </c>
      <c r="O248" s="12" t="str">
        <f>_xll.SNL.Clients.Office.Excel.Functions.SPG(I248, "SP_ULT_PARENT_COMPANY_NAME")</f>
        <v>Dem. Rep. Congo</v>
      </c>
      <c r="P248" s="12" t="str">
        <f>_xll.SNL.Clients.Office.Excel.Functions.SPG(I248, "SP_ULT_PARENT_COUNTRY")</f>
        <v>Dem. Rep. Congo</v>
      </c>
      <c r="Q248" s="12" t="str">
        <f>_xll.SNL.Clients.Office.Excel.Functions.SPG(I248, "SP_PARENT_COMPANY_NAME")</f>
        <v>Dem. Rep. Congo</v>
      </c>
      <c r="R248" s="12" t="str">
        <f>_xll.SNL.Clients.Office.Excel.Functions.SPG(I248, "SP_PARENT_COUNTRY")</f>
        <v>Dem. Rep. Congo</v>
      </c>
      <c r="S248" s="12" t="str">
        <f>_xll.SNL.Clients.Office.Excel.Functions.SPG(I248, "SP_COUNTRY_NAME")</f>
        <v>Dem. Rep. Congo</v>
      </c>
    </row>
    <row r="249" spans="1:19" ht="29" x14ac:dyDescent="0.35">
      <c r="A249" s="5">
        <v>46022</v>
      </c>
      <c r="B249" s="4" t="s">
        <v>338</v>
      </c>
      <c r="C249" s="4" t="s">
        <v>339</v>
      </c>
      <c r="D249" s="4" t="s">
        <v>958</v>
      </c>
      <c r="E249" s="8">
        <v>4355642</v>
      </c>
      <c r="F249" s="7">
        <v>67</v>
      </c>
      <c r="G249" s="12" t="str">
        <f>[1]!SNLData("243327", C249, "OWNER_LIST")</f>
        <v>Zijin Mining Group Company Limited (Venturer) 67%; Gécamines SA (Venturer) 33%</v>
      </c>
      <c r="H249" s="9">
        <f>[1]!SNLData("243327", C249, "OWNER_SNL_INSTN_KEY", "Owner 1")</f>
        <v>4355642</v>
      </c>
      <c r="I249" s="9">
        <f>[1]!SNLData("243327", C249, "OWNER_SNL_INSTN_KEY", "Owner 2")</f>
        <v>4350360</v>
      </c>
      <c r="J249" s="12" t="str">
        <f>_xll.SNL.Clients.Office.Excel.Functions.SPG(H249, "SP_ULT_PARENT_COMPANY_NAME")</f>
        <v/>
      </c>
      <c r="K249" s="12" t="str">
        <f>_xll.SNL.Clients.Office.Excel.Functions.SPG(H249, "SP_ULT_PARENT_COUNTRY")</f>
        <v/>
      </c>
      <c r="L249" s="12" t="str">
        <f>_xll.SNL.Clients.Office.Excel.Functions.SPG(H249, "SP_PARENT_COMPANY_NAME")</f>
        <v/>
      </c>
      <c r="M249" s="12" t="str">
        <f>_xll.SNL.Clients.Office.Excel.Functions.SPG(H249, "SP_PARENT_COUNTRY")</f>
        <v/>
      </c>
      <c r="N249" s="12" t="str">
        <f>_xll.SNL.Clients.Office.Excel.Functions.SPG(H249, "SP_COUNTRY_NAME")</f>
        <v>China</v>
      </c>
      <c r="O249" s="12" t="str">
        <f>_xll.SNL.Clients.Office.Excel.Functions.SPG(I249, "SP_ULT_PARENT_COMPANY_NAME")</f>
        <v>Dem. Rep. Congo</v>
      </c>
      <c r="P249" s="12" t="str">
        <f>_xll.SNL.Clients.Office.Excel.Functions.SPG(I249, "SP_ULT_PARENT_COUNTRY")</f>
        <v>Dem. Rep. Congo</v>
      </c>
      <c r="Q249" s="12" t="str">
        <f>_xll.SNL.Clients.Office.Excel.Functions.SPG(I249, "SP_PARENT_COMPANY_NAME")</f>
        <v>Dem. Rep. Congo</v>
      </c>
      <c r="R249" s="12" t="str">
        <f>_xll.SNL.Clients.Office.Excel.Functions.SPG(I249, "SP_PARENT_COUNTRY")</f>
        <v>Dem. Rep. Congo</v>
      </c>
      <c r="S249" s="12" t="str">
        <f>_xll.SNL.Clients.Office.Excel.Functions.SPG(I249, "SP_COUNTRY_NAME")</f>
        <v>Dem. Rep. Congo</v>
      </c>
    </row>
    <row r="250" spans="1:19" ht="43.5" x14ac:dyDescent="0.35">
      <c r="A250" s="5">
        <v>46022</v>
      </c>
      <c r="B250" s="4" t="s">
        <v>271</v>
      </c>
      <c r="C250" s="4" t="s">
        <v>272</v>
      </c>
      <c r="D250" s="4" t="s">
        <v>1075</v>
      </c>
      <c r="E250" s="8">
        <v>4396728</v>
      </c>
      <c r="F250" s="7">
        <v>79.400000000000006</v>
      </c>
      <c r="G250" s="12" t="str">
        <f>[1]!SNLData("243327", C250, "OWNER_LIST")</f>
        <v>ZCCM Investments Holdings Plc (Venturer) 20.6%; Vedanta Incorporated (Venturer) 79.4%</v>
      </c>
      <c r="H250" s="9">
        <f>[1]!SNLData("243327", C250, "OWNER_SNL_INSTN_KEY", "Owner 1")</f>
        <v>4396728</v>
      </c>
      <c r="I250" s="9">
        <f>[1]!SNLData("243327", C250, "OWNER_SNL_INSTN_KEY", "Owner 2")</f>
        <v>4355602</v>
      </c>
      <c r="J250" s="12" t="str">
        <f>_xll.SNL.Clients.Office.Excel.Functions.SPG(H250, "SP_ULT_PARENT_COMPANY_NAME")</f>
        <v>Conclave PTC Limited</v>
      </c>
      <c r="K250" s="12" t="str">
        <f>_xll.SNL.Clients.Office.Excel.Functions.SPG(H250, "SP_ULT_PARENT_COUNTRY")</f>
        <v>Bahamas</v>
      </c>
      <c r="L250" s="12" t="str">
        <f>_xll.SNL.Clients.Office.Excel.Functions.SPG(H250, "SP_PARENT_COMPANY_NAME")</f>
        <v>Conclave PTC Limited</v>
      </c>
      <c r="M250" s="12" t="str">
        <f>_xll.SNL.Clients.Office.Excel.Functions.SPG(H250, "SP_PARENT_COUNTRY")</f>
        <v>Bahamas</v>
      </c>
      <c r="N250" s="12" t="str">
        <f>_xll.SNL.Clients.Office.Excel.Functions.SPG(H250, "SP_COUNTRY_NAME")</f>
        <v>Bahamas</v>
      </c>
      <c r="O250" s="12" t="str">
        <f>_xll.SNL.Clients.Office.Excel.Functions.SPG(I250, "SP_ULT_PARENT_COMPANY_NAME")</f>
        <v>Industrial Development Corporation (Zambia) Limited</v>
      </c>
      <c r="P250" s="12" t="str">
        <f>_xll.SNL.Clients.Office.Excel.Functions.SPG(I250, "SP_ULT_PARENT_COUNTRY")</f>
        <v>Zambia</v>
      </c>
      <c r="Q250" s="12" t="str">
        <f>_xll.SNL.Clients.Office.Excel.Functions.SPG(I250, "SP_PARENT_COMPANY_NAME")</f>
        <v>Industrial Development Corporation (Zambia) Limited</v>
      </c>
      <c r="R250" s="12" t="str">
        <f>_xll.SNL.Clients.Office.Excel.Functions.SPG(I250, "SP_PARENT_COUNTRY")</f>
        <v>Zambia</v>
      </c>
      <c r="S250" s="12" t="str">
        <f>_xll.SNL.Clients.Office.Excel.Functions.SPG(I250, "SP_COUNTRY_NAME")</f>
        <v>Zambia</v>
      </c>
    </row>
    <row r="251" spans="1:19" ht="43.5" x14ac:dyDescent="0.35">
      <c r="A251" s="5">
        <v>46022</v>
      </c>
      <c r="B251" s="4" t="s">
        <v>271</v>
      </c>
      <c r="C251" s="4" t="s">
        <v>272</v>
      </c>
      <c r="D251" s="4" t="s">
        <v>1002</v>
      </c>
      <c r="E251" s="8">
        <v>4355602</v>
      </c>
      <c r="F251" s="7">
        <v>20.6</v>
      </c>
      <c r="G251" s="12" t="str">
        <f>[1]!SNLData("243327", C251, "OWNER_LIST")</f>
        <v>ZCCM Investments Holdings Plc (Venturer) 20.6%; Vedanta Incorporated (Venturer) 79.4%</v>
      </c>
      <c r="H251" s="9">
        <f>[1]!SNLData("243327", C251, "OWNER_SNL_INSTN_KEY", "Owner 1")</f>
        <v>4396728</v>
      </c>
      <c r="I251" s="9">
        <f>[1]!SNLData("243327", C251, "OWNER_SNL_INSTN_KEY", "Owner 2")</f>
        <v>4355602</v>
      </c>
      <c r="J251" s="12" t="str">
        <f>_xll.SNL.Clients.Office.Excel.Functions.SPG(H251, "SP_ULT_PARENT_COMPANY_NAME")</f>
        <v>Conclave PTC Limited</v>
      </c>
      <c r="K251" s="12" t="str">
        <f>_xll.SNL.Clients.Office.Excel.Functions.SPG(H251, "SP_ULT_PARENT_COUNTRY")</f>
        <v>Bahamas</v>
      </c>
      <c r="L251" s="12" t="str">
        <f>_xll.SNL.Clients.Office.Excel.Functions.SPG(H251, "SP_PARENT_COMPANY_NAME")</f>
        <v>Conclave PTC Limited</v>
      </c>
      <c r="M251" s="12" t="str">
        <f>_xll.SNL.Clients.Office.Excel.Functions.SPG(H251, "SP_PARENT_COUNTRY")</f>
        <v>Bahamas</v>
      </c>
      <c r="N251" s="12" t="str">
        <f>_xll.SNL.Clients.Office.Excel.Functions.SPG(H251, "SP_COUNTRY_NAME")</f>
        <v>Bahamas</v>
      </c>
      <c r="O251" s="12" t="str">
        <f>_xll.SNL.Clients.Office.Excel.Functions.SPG(I251, "SP_ULT_PARENT_COMPANY_NAME")</f>
        <v>Industrial Development Corporation (Zambia) Limited</v>
      </c>
      <c r="P251" s="12" t="str">
        <f>_xll.SNL.Clients.Office.Excel.Functions.SPG(I251, "SP_ULT_PARENT_COUNTRY")</f>
        <v>Zambia</v>
      </c>
      <c r="Q251" s="12" t="str">
        <f>_xll.SNL.Clients.Office.Excel.Functions.SPG(I251, "SP_PARENT_COMPANY_NAME")</f>
        <v>Industrial Development Corporation (Zambia) Limited</v>
      </c>
      <c r="R251" s="12" t="str">
        <f>_xll.SNL.Clients.Office.Excel.Functions.SPG(I251, "SP_PARENT_COUNTRY")</f>
        <v>Zambia</v>
      </c>
      <c r="S251" s="12" t="str">
        <f>_xll.SNL.Clients.Office.Excel.Functions.SPG(I251, "SP_COUNTRY_NAME")</f>
        <v>Zambia</v>
      </c>
    </row>
    <row r="252" spans="1:19" x14ac:dyDescent="0.35">
      <c r="A252" s="5">
        <v>46022</v>
      </c>
      <c r="B252" s="4" t="s">
        <v>370</v>
      </c>
      <c r="C252" s="4" t="s">
        <v>371</v>
      </c>
      <c r="D252" s="4" t="s">
        <v>1076</v>
      </c>
      <c r="E252" s="8">
        <v>4349033</v>
      </c>
      <c r="F252" s="7">
        <v>100</v>
      </c>
      <c r="G252" s="12" t="str">
        <f>[1]!SNLData("243327", C252, "OWNER_LIST")</f>
        <v>Central Asia Metals plc  100%</v>
      </c>
      <c r="H252" s="9">
        <f>[1]!SNLData("243327", C252, "OWNER_SNL_INSTN_KEY", "Owner 1")</f>
        <v>4349033</v>
      </c>
      <c r="I252" s="9" t="str">
        <f>[1]!SNLData("243327", C252, "OWNER_SNL_INSTN_KEY", "Owner 2")</f>
        <v>NA</v>
      </c>
      <c r="J252" s="12" t="str">
        <f>_xll.SNL.Clients.Office.Excel.Functions.SPG(H252, "SP_ULT_PARENT_COMPANY_NAME")</f>
        <v/>
      </c>
      <c r="K252" s="12" t="str">
        <f>_xll.SNL.Clients.Office.Excel.Functions.SPG(H252, "SP_ULT_PARENT_COUNTRY")</f>
        <v/>
      </c>
      <c r="L252" s="12" t="str">
        <f>_xll.SNL.Clients.Office.Excel.Functions.SPG(H252, "SP_PARENT_COMPANY_NAME")</f>
        <v/>
      </c>
      <c r="M252" s="12" t="str">
        <f>_xll.SNL.Clients.Office.Excel.Functions.SPG(H252, "SP_PARENT_COUNTRY")</f>
        <v/>
      </c>
      <c r="N252" s="12" t="str">
        <f>_xll.SNL.Clients.Office.Excel.Functions.SPG(H252, "SP_COUNTRY_NAME")</f>
        <v>United Kingdom</v>
      </c>
      <c r="O252" s="12" t="str">
        <f>_xll.SNL.Clients.Office.Excel.Functions.SPG(I252, "SP_ULT_PARENT_COMPANY_NAME")</f>
        <v/>
      </c>
      <c r="P252" s="12" t="str">
        <f>_xll.SNL.Clients.Office.Excel.Functions.SPG(I252, "SP_ULT_PARENT_COUNTRY")</f>
        <v/>
      </c>
      <c r="Q252" s="12" t="str">
        <f>_xll.SNL.Clients.Office.Excel.Functions.SPG(I252, "SP_PARENT_COMPANY_NAME")</f>
        <v/>
      </c>
      <c r="R252" s="12" t="str">
        <f>_xll.SNL.Clients.Office.Excel.Functions.SPG(I252, "SP_PARENT_COUNTRY")</f>
        <v/>
      </c>
      <c r="S252" s="12" t="str">
        <f>_xll.SNL.Clients.Office.Excel.Functions.SPG(I252, "SP_COUNTRY_NAME")</f>
        <v>China</v>
      </c>
    </row>
    <row r="253" spans="1:19" x14ac:dyDescent="0.35">
      <c r="A253" s="5">
        <v>46022</v>
      </c>
      <c r="B253" s="4" t="s">
        <v>756</v>
      </c>
      <c r="C253" s="4" t="s">
        <v>757</v>
      </c>
      <c r="D253" s="4" t="s">
        <v>1077</v>
      </c>
      <c r="E253" s="8">
        <v>4379789</v>
      </c>
      <c r="F253" s="7">
        <v>100</v>
      </c>
      <c r="G253" s="12" t="str">
        <f>[1]!SNLData("243327", C253, "OWNER_LIST")</f>
        <v>Sibanye Stillwater Limited  100%</v>
      </c>
      <c r="H253" s="9">
        <f>[1]!SNLData("243327", C253, "OWNER_SNL_INSTN_KEY", "Owner 1")</f>
        <v>4379789</v>
      </c>
      <c r="I253" s="9" t="str">
        <f>[1]!SNLData("243327", C253, "OWNER_SNL_INSTN_KEY", "Owner 2")</f>
        <v>NA</v>
      </c>
      <c r="J253" s="12" t="str">
        <f>_xll.SNL.Clients.Office.Excel.Functions.SPG(H253, "SP_ULT_PARENT_COMPANY_NAME")</f>
        <v/>
      </c>
      <c r="K253" s="12" t="str">
        <f>_xll.SNL.Clients.Office.Excel.Functions.SPG(H253, "SP_ULT_PARENT_COUNTRY")</f>
        <v/>
      </c>
      <c r="L253" s="12" t="str">
        <f>_xll.SNL.Clients.Office.Excel.Functions.SPG(H253, "SP_PARENT_COMPANY_NAME")</f>
        <v/>
      </c>
      <c r="M253" s="12" t="str">
        <f>_xll.SNL.Clients.Office.Excel.Functions.SPG(H253, "SP_PARENT_COUNTRY")</f>
        <v/>
      </c>
      <c r="N253" s="12" t="str">
        <f>_xll.SNL.Clients.Office.Excel.Functions.SPG(H253, "SP_COUNTRY_NAME")</f>
        <v>South Africa</v>
      </c>
      <c r="O253" s="12" t="str">
        <f>_xll.SNL.Clients.Office.Excel.Functions.SPG(I253, "SP_ULT_PARENT_COMPANY_NAME")</f>
        <v/>
      </c>
      <c r="P253" s="12" t="str">
        <f>_xll.SNL.Clients.Office.Excel.Functions.SPG(I253, "SP_ULT_PARENT_COUNTRY")</f>
        <v/>
      </c>
      <c r="Q253" s="12" t="str">
        <f>_xll.SNL.Clients.Office.Excel.Functions.SPG(I253, "SP_PARENT_COMPANY_NAME")</f>
        <v/>
      </c>
      <c r="R253" s="12" t="str">
        <f>_xll.SNL.Clients.Office.Excel.Functions.SPG(I253, "SP_PARENT_COUNTRY")</f>
        <v/>
      </c>
      <c r="S253" s="12" t="str">
        <f>_xll.SNL.Clients.Office.Excel.Functions.SPG(I253, "SP_COUNTRY_NAME")</f>
        <v>China</v>
      </c>
    </row>
    <row r="254" spans="1:19" ht="43.5" x14ac:dyDescent="0.35">
      <c r="A254" s="5">
        <v>46022</v>
      </c>
      <c r="B254" s="4" t="s">
        <v>758</v>
      </c>
      <c r="C254" s="4" t="s">
        <v>759</v>
      </c>
      <c r="D254" s="4" t="s">
        <v>1078</v>
      </c>
      <c r="E254" s="8">
        <v>12230912</v>
      </c>
      <c r="F254" s="7">
        <v>30</v>
      </c>
      <c r="G254" s="12" t="str">
        <f>[1]!SNLData("243327", C254, "OWNER_LIST")</f>
        <v>Shandong Longxing Group Laizhou Chemical Building Materials Co.,Ltd. (Venturer) 30%; Zijin Mining Group Company Limited (Venturer) 70%</v>
      </c>
      <c r="H254" s="9">
        <f>[1]!SNLData("243327", C254, "OWNER_SNL_INSTN_KEY", "Owner 1")</f>
        <v>4355642</v>
      </c>
      <c r="I254" s="9">
        <f>[1]!SNLData("243327", C254, "OWNER_SNL_INSTN_KEY", "Owner 2")</f>
        <v>12230912</v>
      </c>
      <c r="J254" s="12" t="str">
        <f>_xll.SNL.Clients.Office.Excel.Functions.SPG(H254, "SP_ULT_PARENT_COMPANY_NAME")</f>
        <v/>
      </c>
      <c r="K254" s="12" t="str">
        <f>_xll.SNL.Clients.Office.Excel.Functions.SPG(H254, "SP_ULT_PARENT_COUNTRY")</f>
        <v/>
      </c>
      <c r="L254" s="12" t="str">
        <f>_xll.SNL.Clients.Office.Excel.Functions.SPG(H254, "SP_PARENT_COMPANY_NAME")</f>
        <v/>
      </c>
      <c r="M254" s="12" t="str">
        <f>_xll.SNL.Clients.Office.Excel.Functions.SPG(H254, "SP_PARENT_COUNTRY")</f>
        <v/>
      </c>
      <c r="N254" s="12" t="str">
        <f>_xll.SNL.Clients.Office.Excel.Functions.SPG(H254, "SP_COUNTRY_NAME")</f>
        <v>China</v>
      </c>
      <c r="O254" s="12" t="str">
        <f>_xll.SNL.Clients.Office.Excel.Functions.SPG(I254, "SP_ULT_PARENT_COMPANY_NAME")</f>
        <v/>
      </c>
      <c r="P254" s="12" t="str">
        <f>_xll.SNL.Clients.Office.Excel.Functions.SPG(I254, "SP_ULT_PARENT_COUNTRY")</f>
        <v/>
      </c>
      <c r="Q254" s="12" t="str">
        <f>_xll.SNL.Clients.Office.Excel.Functions.SPG(I254, "SP_PARENT_COMPANY_NAME")</f>
        <v/>
      </c>
      <c r="R254" s="12" t="str">
        <f>_xll.SNL.Clients.Office.Excel.Functions.SPG(I254, "SP_PARENT_COUNTRY")</f>
        <v/>
      </c>
      <c r="S254" s="12" t="str">
        <f>_xll.SNL.Clients.Office.Excel.Functions.SPG(I254, "SP_COUNTRY_NAME")</f>
        <v>China</v>
      </c>
    </row>
    <row r="255" spans="1:19" ht="43.5" x14ac:dyDescent="0.35">
      <c r="A255" s="5">
        <v>46022</v>
      </c>
      <c r="B255" s="4" t="s">
        <v>758</v>
      </c>
      <c r="C255" s="4" t="s">
        <v>759</v>
      </c>
      <c r="D255" s="4" t="s">
        <v>958</v>
      </c>
      <c r="E255" s="8">
        <v>4355642</v>
      </c>
      <c r="F255" s="7">
        <v>70</v>
      </c>
      <c r="G255" s="12" t="str">
        <f>[1]!SNLData("243327", C255, "OWNER_LIST")</f>
        <v>Shandong Longxing Group Laizhou Chemical Building Materials Co.,Ltd. (Venturer) 30%; Zijin Mining Group Company Limited (Venturer) 70%</v>
      </c>
      <c r="H255" s="9">
        <f>[1]!SNLData("243327", C255, "OWNER_SNL_INSTN_KEY", "Owner 1")</f>
        <v>4355642</v>
      </c>
      <c r="I255" s="9">
        <f>[1]!SNLData("243327", C255, "OWNER_SNL_INSTN_KEY", "Owner 2")</f>
        <v>12230912</v>
      </c>
      <c r="J255" s="12" t="str">
        <f>_xll.SNL.Clients.Office.Excel.Functions.SPG(H255, "SP_ULT_PARENT_COMPANY_NAME")</f>
        <v/>
      </c>
      <c r="K255" s="12" t="str">
        <f>_xll.SNL.Clients.Office.Excel.Functions.SPG(H255, "SP_ULT_PARENT_COUNTRY")</f>
        <v/>
      </c>
      <c r="L255" s="12" t="str">
        <f>_xll.SNL.Clients.Office.Excel.Functions.SPG(H255, "SP_PARENT_COMPANY_NAME")</f>
        <v/>
      </c>
      <c r="M255" s="12" t="str">
        <f>_xll.SNL.Clients.Office.Excel.Functions.SPG(H255, "SP_PARENT_COUNTRY")</f>
        <v/>
      </c>
      <c r="N255" s="12" t="str">
        <f>_xll.SNL.Clients.Office.Excel.Functions.SPG(H255, "SP_COUNTRY_NAME")</f>
        <v>China</v>
      </c>
      <c r="O255" s="12" t="str">
        <f>_xll.SNL.Clients.Office.Excel.Functions.SPG(I255, "SP_ULT_PARENT_COMPANY_NAME")</f>
        <v/>
      </c>
      <c r="P255" s="12" t="str">
        <f>_xll.SNL.Clients.Office.Excel.Functions.SPG(I255, "SP_ULT_PARENT_COUNTRY")</f>
        <v/>
      </c>
      <c r="Q255" s="12" t="str">
        <f>_xll.SNL.Clients.Office.Excel.Functions.SPG(I255, "SP_PARENT_COMPANY_NAME")</f>
        <v/>
      </c>
      <c r="R255" s="12" t="str">
        <f>_xll.SNL.Clients.Office.Excel.Functions.SPG(I255, "SP_PARENT_COUNTRY")</f>
        <v/>
      </c>
      <c r="S255" s="12" t="str">
        <f>_xll.SNL.Clients.Office.Excel.Functions.SPG(I255, "SP_COUNTRY_NAME")</f>
        <v>China</v>
      </c>
    </row>
    <row r="256" spans="1:19" ht="43.5" x14ac:dyDescent="0.35">
      <c r="A256" s="5">
        <v>46022</v>
      </c>
      <c r="B256" s="4" t="s">
        <v>273</v>
      </c>
      <c r="C256" s="4" t="s">
        <v>274</v>
      </c>
      <c r="D256" s="4" t="s">
        <v>980</v>
      </c>
      <c r="E256" s="8">
        <v>4354459</v>
      </c>
      <c r="F256" s="7">
        <v>98.1</v>
      </c>
      <c r="G256" s="12" t="str">
        <f>[1]!SNLData("243327", C256, "OWNER_LIST")</f>
        <v>Unnamed Owner (Fractional) %; Southern Copper Corporation (Venturer) 98.1%</v>
      </c>
      <c r="H256" s="9">
        <f>[1]!SNLData("243327", C256, "OWNER_SNL_INSTN_KEY", "Owner 1")</f>
        <v>4354459</v>
      </c>
      <c r="I256" s="9">
        <f>[1]!SNLData("243327", C256, "OWNER_SNL_INSTN_KEY", "Owner 2")</f>
        <v>4400798</v>
      </c>
      <c r="J256" s="12" t="str">
        <f>_xll.SNL.Clients.Office.Excel.Functions.SPG(H256, "SP_ULT_PARENT_COMPANY_NAME")</f>
        <v>Grupo México, S.A.B. de C.V.</v>
      </c>
      <c r="K256" s="12" t="str">
        <f>_xll.SNL.Clients.Office.Excel.Functions.SPG(H256, "SP_ULT_PARENT_COUNTRY")</f>
        <v>Mexico</v>
      </c>
      <c r="L256" s="12" t="str">
        <f>_xll.SNL.Clients.Office.Excel.Functions.SPG(H256, "SP_PARENT_COMPANY_NAME")</f>
        <v>Americas Mining Corporation</v>
      </c>
      <c r="M256" s="12" t="str">
        <f>_xll.SNL.Clients.Office.Excel.Functions.SPG(H256, "SP_PARENT_COUNTRY")</f>
        <v>USA</v>
      </c>
      <c r="N256" s="12" t="str">
        <f>_xll.SNL.Clients.Office.Excel.Functions.SPG(H256, "SP_COUNTRY_NAME")</f>
        <v>USA</v>
      </c>
      <c r="O256" s="12" t="str">
        <f>_xll.SNL.Clients.Office.Excel.Functions.SPG(I256, "SP_ULT_PARENT_COMPANY_NAME")</f>
        <v/>
      </c>
      <c r="P256" s="12" t="str">
        <f>_xll.SNL.Clients.Office.Excel.Functions.SPG(I256, "SP_ULT_PARENT_COUNTRY")</f>
        <v/>
      </c>
      <c r="Q256" s="12" t="str">
        <f>_xll.SNL.Clients.Office.Excel.Functions.SPG(I256, "SP_PARENT_COMPANY_NAME")</f>
        <v/>
      </c>
      <c r="R256" s="12" t="str">
        <f>_xll.SNL.Clients.Office.Excel.Functions.SPG(I256, "SP_PARENT_COUNTRY")</f>
        <v/>
      </c>
      <c r="S256" s="12" t="str">
        <f>_xll.SNL.Clients.Office.Excel.Functions.SPG(I256, "SP_COUNTRY_NAME")</f>
        <v>USA</v>
      </c>
    </row>
    <row r="257" spans="1:19" ht="43.5" x14ac:dyDescent="0.35">
      <c r="A257" s="5">
        <v>46022</v>
      </c>
      <c r="B257" s="4" t="s">
        <v>372</v>
      </c>
      <c r="C257" s="4" t="s">
        <v>373</v>
      </c>
      <c r="D257" s="4" t="s">
        <v>980</v>
      </c>
      <c r="E257" s="8">
        <v>4354459</v>
      </c>
      <c r="F257" s="7">
        <v>98.1</v>
      </c>
      <c r="G257" s="12" t="str">
        <f>[1]!SNLData("243327", C257, "OWNER_LIST")</f>
        <v>Unnamed Owner (Venturer) 1.9%; Southern Copper Corporation (Venturer) 98.1%</v>
      </c>
      <c r="H257" s="9">
        <f>[1]!SNLData("243327", C257, "OWNER_SNL_INSTN_KEY", "Owner 1")</f>
        <v>4354459</v>
      </c>
      <c r="I257" s="9">
        <f>[1]!SNLData("243327", C257, "OWNER_SNL_INSTN_KEY", "Owner 2")</f>
        <v>4400798</v>
      </c>
      <c r="J257" s="12" t="str">
        <f>_xll.SNL.Clients.Office.Excel.Functions.SPG(H257, "SP_ULT_PARENT_COMPANY_NAME")</f>
        <v>Grupo México, S.A.B. de C.V.</v>
      </c>
      <c r="K257" s="12" t="str">
        <f>_xll.SNL.Clients.Office.Excel.Functions.SPG(H257, "SP_ULT_PARENT_COUNTRY")</f>
        <v>Mexico</v>
      </c>
      <c r="L257" s="12" t="str">
        <f>_xll.SNL.Clients.Office.Excel.Functions.SPG(H257, "SP_PARENT_COMPANY_NAME")</f>
        <v>Americas Mining Corporation</v>
      </c>
      <c r="M257" s="12" t="str">
        <f>_xll.SNL.Clients.Office.Excel.Functions.SPG(H257, "SP_PARENT_COUNTRY")</f>
        <v>USA</v>
      </c>
      <c r="N257" s="12" t="str">
        <f>_xll.SNL.Clients.Office.Excel.Functions.SPG(H257, "SP_COUNTRY_NAME")</f>
        <v>USA</v>
      </c>
      <c r="O257" s="12" t="str">
        <f>_xll.SNL.Clients.Office.Excel.Functions.SPG(I257, "SP_ULT_PARENT_COMPANY_NAME")</f>
        <v/>
      </c>
      <c r="P257" s="12" t="str">
        <f>_xll.SNL.Clients.Office.Excel.Functions.SPG(I257, "SP_ULT_PARENT_COUNTRY")</f>
        <v/>
      </c>
      <c r="Q257" s="12" t="str">
        <f>_xll.SNL.Clients.Office.Excel.Functions.SPG(I257, "SP_PARENT_COMPANY_NAME")</f>
        <v/>
      </c>
      <c r="R257" s="12" t="str">
        <f>_xll.SNL.Clients.Office.Excel.Functions.SPG(I257, "SP_PARENT_COUNTRY")</f>
        <v/>
      </c>
      <c r="S257" s="12" t="str">
        <f>_xll.SNL.Clients.Office.Excel.Functions.SPG(I257, "SP_COUNTRY_NAME")</f>
        <v>USA</v>
      </c>
    </row>
    <row r="258" spans="1:19" x14ac:dyDescent="0.35">
      <c r="A258" s="5">
        <v>46022</v>
      </c>
      <c r="B258" s="4" t="s">
        <v>442</v>
      </c>
      <c r="C258" s="4" t="s">
        <v>443</v>
      </c>
      <c r="D258" s="4" t="s">
        <v>1010</v>
      </c>
      <c r="E258" s="8">
        <v>4351119</v>
      </c>
      <c r="F258" s="7">
        <v>100</v>
      </c>
      <c r="G258" s="12" t="str">
        <f>[1]!SNLData("243327", C258, "OWNER_LIST")</f>
        <v>Hudbay Minerals Inc.  100%</v>
      </c>
      <c r="H258" s="9">
        <f>[1]!SNLData("243327", C258, "OWNER_SNL_INSTN_KEY", "Owner 1")</f>
        <v>4351119</v>
      </c>
      <c r="I258" s="9" t="str">
        <f>[1]!SNLData("243327", C258, "OWNER_SNL_INSTN_KEY", "Owner 2")</f>
        <v>NA</v>
      </c>
      <c r="J258" s="12" t="str">
        <f>_xll.SNL.Clients.Office.Excel.Functions.SPG(H258, "SP_ULT_PARENT_COMPANY_NAME")</f>
        <v/>
      </c>
      <c r="K258" s="12" t="str">
        <f>_xll.SNL.Clients.Office.Excel.Functions.SPG(H258, "SP_ULT_PARENT_COUNTRY")</f>
        <v/>
      </c>
      <c r="L258" s="12" t="str">
        <f>_xll.SNL.Clients.Office.Excel.Functions.SPG(H258, "SP_PARENT_COMPANY_NAME")</f>
        <v/>
      </c>
      <c r="M258" s="12" t="str">
        <f>_xll.SNL.Clients.Office.Excel.Functions.SPG(H258, "SP_PARENT_COUNTRY")</f>
        <v/>
      </c>
      <c r="N258" s="12" t="str">
        <f>_xll.SNL.Clients.Office.Excel.Functions.SPG(H258, "SP_COUNTRY_NAME")</f>
        <v>Canada</v>
      </c>
      <c r="O258" s="12" t="str">
        <f>_xll.SNL.Clients.Office.Excel.Functions.SPG(I258, "SP_ULT_PARENT_COMPANY_NAME")</f>
        <v/>
      </c>
      <c r="P258" s="12" t="str">
        <f>_xll.SNL.Clients.Office.Excel.Functions.SPG(I258, "SP_ULT_PARENT_COUNTRY")</f>
        <v/>
      </c>
      <c r="Q258" s="12" t="str">
        <f>_xll.SNL.Clients.Office.Excel.Functions.SPG(I258, "SP_PARENT_COMPANY_NAME")</f>
        <v/>
      </c>
      <c r="R258" s="12" t="str">
        <f>_xll.SNL.Clients.Office.Excel.Functions.SPG(I258, "SP_PARENT_COUNTRY")</f>
        <v/>
      </c>
      <c r="S258" s="12" t="str">
        <f>_xll.SNL.Clients.Office.Excel.Functions.SPG(I258, "SP_COUNTRY_NAME")</f>
        <v>China</v>
      </c>
    </row>
    <row r="259" spans="1:19" x14ac:dyDescent="0.35">
      <c r="A259" s="5">
        <v>46022</v>
      </c>
      <c r="B259" s="4" t="s">
        <v>374</v>
      </c>
      <c r="C259" s="4" t="s">
        <v>375</v>
      </c>
      <c r="D259" s="4" t="s">
        <v>962</v>
      </c>
      <c r="E259" s="8">
        <v>4353456</v>
      </c>
      <c r="F259" s="7">
        <v>100</v>
      </c>
      <c r="G259" s="12" t="str">
        <f>[1]!SNLData("243327", C259, "OWNER_LIST")</f>
        <v>Private Interest  100%</v>
      </c>
      <c r="H259" s="9">
        <f>[1]!SNLData("243327", C259, "OWNER_SNL_INSTN_KEY", "Owner 1")</f>
        <v>4353456</v>
      </c>
      <c r="I259" s="9" t="str">
        <f>[1]!SNLData("243327", C259, "OWNER_SNL_INSTN_KEY", "Owner 2")</f>
        <v>NA</v>
      </c>
      <c r="J259" s="12" t="str">
        <f>_xll.SNL.Clients.Office.Excel.Functions.SPG(H259, "SP_ULT_PARENT_COMPANY_NAME")</f>
        <v/>
      </c>
      <c r="K259" s="12" t="str">
        <f>_xll.SNL.Clients.Office.Excel.Functions.SPG(H259, "SP_ULT_PARENT_COUNTRY")</f>
        <v/>
      </c>
      <c r="L259" s="12" t="str">
        <f>_xll.SNL.Clients.Office.Excel.Functions.SPG(H259, "SP_PARENT_COMPANY_NAME")</f>
        <v/>
      </c>
      <c r="M259" s="12" t="str">
        <f>_xll.SNL.Clients.Office.Excel.Functions.SPG(H259, "SP_PARENT_COUNTRY")</f>
        <v/>
      </c>
      <c r="N259" s="12" t="str">
        <f>_xll.SNL.Clients.Office.Excel.Functions.SPG(H259, "SP_COUNTRY_NAME")</f>
        <v>China</v>
      </c>
      <c r="O259" s="12" t="str">
        <f>_xll.SNL.Clients.Office.Excel.Functions.SPG(I259, "SP_ULT_PARENT_COMPANY_NAME")</f>
        <v/>
      </c>
      <c r="P259" s="12" t="str">
        <f>_xll.SNL.Clients.Office.Excel.Functions.SPG(I259, "SP_ULT_PARENT_COUNTRY")</f>
        <v/>
      </c>
      <c r="Q259" s="12" t="str">
        <f>_xll.SNL.Clients.Office.Excel.Functions.SPG(I259, "SP_PARENT_COMPANY_NAME")</f>
        <v/>
      </c>
      <c r="R259" s="12" t="str">
        <f>_xll.SNL.Clients.Office.Excel.Functions.SPG(I259, "SP_PARENT_COUNTRY")</f>
        <v/>
      </c>
      <c r="S259" s="12" t="str">
        <f>_xll.SNL.Clients.Office.Excel.Functions.SPG(I259, "SP_COUNTRY_NAME")</f>
        <v>China</v>
      </c>
    </row>
    <row r="260" spans="1:19" x14ac:dyDescent="0.35">
      <c r="A260" s="5">
        <v>46022</v>
      </c>
      <c r="B260" s="4" t="s">
        <v>760</v>
      </c>
      <c r="C260" s="4" t="s">
        <v>761</v>
      </c>
      <c r="D260" s="4" t="s">
        <v>1079</v>
      </c>
      <c r="E260" s="8">
        <v>10931158</v>
      </c>
      <c r="F260" s="7">
        <v>100</v>
      </c>
      <c r="G260" s="12" t="str">
        <f>[1]!SNLData("243327", C260, "OWNER_LIST")</f>
        <v>Zhangzhou Tongxin Mining Co., Ltd.  100%</v>
      </c>
      <c r="H260" s="9">
        <f>[1]!SNLData("243327", C260, "OWNER_SNL_INSTN_KEY", "Owner 1")</f>
        <v>10931158</v>
      </c>
      <c r="I260" s="9" t="str">
        <f>[1]!SNLData("243327", C260, "OWNER_SNL_INSTN_KEY", "Owner 2")</f>
        <v>NA</v>
      </c>
      <c r="J260" s="12" t="str">
        <f>_xll.SNL.Clients.Office.Excel.Functions.SPG(H260, "SP_ULT_PARENT_COMPANY_NAME")</f>
        <v/>
      </c>
      <c r="K260" s="12" t="str">
        <f>_xll.SNL.Clients.Office.Excel.Functions.SPG(H260, "SP_ULT_PARENT_COUNTRY")</f>
        <v/>
      </c>
      <c r="L260" s="12" t="str">
        <f>_xll.SNL.Clients.Office.Excel.Functions.SPG(H260, "SP_PARENT_COMPANY_NAME")</f>
        <v/>
      </c>
      <c r="M260" s="12" t="str">
        <f>_xll.SNL.Clients.Office.Excel.Functions.SPG(H260, "SP_PARENT_COUNTRY")</f>
        <v/>
      </c>
      <c r="N260" s="12" t="str">
        <f>_xll.SNL.Clients.Office.Excel.Functions.SPG(H260, "SP_COUNTRY_NAME")</f>
        <v>China</v>
      </c>
      <c r="O260" s="12" t="str">
        <f>_xll.SNL.Clients.Office.Excel.Functions.SPG(I260, "SP_ULT_PARENT_COMPANY_NAME")</f>
        <v/>
      </c>
      <c r="P260" s="12" t="str">
        <f>_xll.SNL.Clients.Office.Excel.Functions.SPG(I260, "SP_ULT_PARENT_COUNTRY")</f>
        <v/>
      </c>
      <c r="Q260" s="12" t="str">
        <f>_xll.SNL.Clients.Office.Excel.Functions.SPG(I260, "SP_PARENT_COMPANY_NAME")</f>
        <v/>
      </c>
      <c r="R260" s="12" t="str">
        <f>_xll.SNL.Clients.Office.Excel.Functions.SPG(I260, "SP_PARENT_COUNTRY")</f>
        <v/>
      </c>
      <c r="S260" s="12" t="str">
        <f>_xll.SNL.Clients.Office.Excel.Functions.SPG(I260, "SP_COUNTRY_NAME")</f>
        <v>China</v>
      </c>
    </row>
    <row r="261" spans="1:19" x14ac:dyDescent="0.35">
      <c r="A261" s="5">
        <v>46022</v>
      </c>
      <c r="B261" s="4" t="s">
        <v>376</v>
      </c>
      <c r="C261" s="4" t="s">
        <v>377</v>
      </c>
      <c r="D261" s="4" t="s">
        <v>962</v>
      </c>
      <c r="E261" s="8">
        <v>4353456</v>
      </c>
      <c r="F261" s="7">
        <v>100</v>
      </c>
      <c r="G261" s="12" t="str">
        <f>[1]!SNLData("243327", C261, "OWNER_LIST")</f>
        <v>Private Interest  100%</v>
      </c>
      <c r="H261" s="9">
        <f>[1]!SNLData("243327", C261, "OWNER_SNL_INSTN_KEY", "Owner 1")</f>
        <v>4353456</v>
      </c>
      <c r="I261" s="9" t="str">
        <f>[1]!SNLData("243327", C261, "OWNER_SNL_INSTN_KEY", "Owner 2")</f>
        <v>NA</v>
      </c>
      <c r="J261" s="12" t="str">
        <f>_xll.SNL.Clients.Office.Excel.Functions.SPG(H261, "SP_ULT_PARENT_COMPANY_NAME")</f>
        <v/>
      </c>
      <c r="K261" s="12" t="str">
        <f>_xll.SNL.Clients.Office.Excel.Functions.SPG(H261, "SP_ULT_PARENT_COUNTRY")</f>
        <v/>
      </c>
      <c r="L261" s="12" t="str">
        <f>_xll.SNL.Clients.Office.Excel.Functions.SPG(H261, "SP_PARENT_COMPANY_NAME")</f>
        <v/>
      </c>
      <c r="M261" s="12" t="str">
        <f>_xll.SNL.Clients.Office.Excel.Functions.SPG(H261, "SP_PARENT_COUNTRY")</f>
        <v/>
      </c>
      <c r="N261" s="12" t="str">
        <f>_xll.SNL.Clients.Office.Excel.Functions.SPG(H261, "SP_COUNTRY_NAME")</f>
        <v>China</v>
      </c>
      <c r="O261" s="12" t="str">
        <f>_xll.SNL.Clients.Office.Excel.Functions.SPG(I261, "SP_ULT_PARENT_COMPANY_NAME")</f>
        <v/>
      </c>
      <c r="P261" s="12" t="str">
        <f>_xll.SNL.Clients.Office.Excel.Functions.SPG(I261, "SP_ULT_PARENT_COUNTRY")</f>
        <v/>
      </c>
      <c r="Q261" s="12" t="str">
        <f>_xll.SNL.Clients.Office.Excel.Functions.SPG(I261, "SP_PARENT_COMPANY_NAME")</f>
        <v/>
      </c>
      <c r="R261" s="12" t="str">
        <f>_xll.SNL.Clients.Office.Excel.Functions.SPG(I261, "SP_PARENT_COUNTRY")</f>
        <v/>
      </c>
      <c r="S261" s="12" t="str">
        <f>_xll.SNL.Clients.Office.Excel.Functions.SPG(I261, "SP_COUNTRY_NAME")</f>
        <v>China</v>
      </c>
    </row>
    <row r="262" spans="1:19" x14ac:dyDescent="0.35">
      <c r="A262" s="5">
        <v>46022</v>
      </c>
      <c r="B262" s="4" t="s">
        <v>762</v>
      </c>
      <c r="C262" s="4" t="s">
        <v>763</v>
      </c>
      <c r="D262" s="4" t="s">
        <v>1080</v>
      </c>
      <c r="E262" s="8">
        <v>10947962</v>
      </c>
      <c r="F262" s="7">
        <v>100</v>
      </c>
      <c r="G262" s="12" t="str">
        <f>[1]!SNLData("243327", C262, "OWNER_LIST")</f>
        <v>Kunming Laolaihong Mining Co., Ltd.  100%</v>
      </c>
      <c r="H262" s="9">
        <f>[1]!SNLData("243327", C262, "OWNER_SNL_INSTN_KEY", "Owner 1")</f>
        <v>10947962</v>
      </c>
      <c r="I262" s="9" t="str">
        <f>[1]!SNLData("243327", C262, "OWNER_SNL_INSTN_KEY", "Owner 2")</f>
        <v>NA</v>
      </c>
      <c r="J262" s="12" t="str">
        <f>_xll.SNL.Clients.Office.Excel.Functions.SPG(H262, "SP_ULT_PARENT_COMPANY_NAME")</f>
        <v/>
      </c>
      <c r="K262" s="12" t="str">
        <f>_xll.SNL.Clients.Office.Excel.Functions.SPG(H262, "SP_ULT_PARENT_COUNTRY")</f>
        <v/>
      </c>
      <c r="L262" s="12" t="str">
        <f>_xll.SNL.Clients.Office.Excel.Functions.SPG(H262, "SP_PARENT_COMPANY_NAME")</f>
        <v/>
      </c>
      <c r="M262" s="12" t="str">
        <f>_xll.SNL.Clients.Office.Excel.Functions.SPG(H262, "SP_PARENT_COUNTRY")</f>
        <v/>
      </c>
      <c r="N262" s="12" t="str">
        <f>_xll.SNL.Clients.Office.Excel.Functions.SPG(H262, "SP_COUNTRY_NAME")</f>
        <v>China</v>
      </c>
      <c r="O262" s="12" t="str">
        <f>_xll.SNL.Clients.Office.Excel.Functions.SPG(I262, "SP_ULT_PARENT_COMPANY_NAME")</f>
        <v/>
      </c>
      <c r="P262" s="12" t="str">
        <f>_xll.SNL.Clients.Office.Excel.Functions.SPG(I262, "SP_ULT_PARENT_COUNTRY")</f>
        <v/>
      </c>
      <c r="Q262" s="12" t="str">
        <f>_xll.SNL.Clients.Office.Excel.Functions.SPG(I262, "SP_PARENT_COMPANY_NAME")</f>
        <v/>
      </c>
      <c r="R262" s="12" t="str">
        <f>_xll.SNL.Clients.Office.Excel.Functions.SPG(I262, "SP_PARENT_COUNTRY")</f>
        <v/>
      </c>
      <c r="S262" s="12" t="str">
        <f>_xll.SNL.Clients.Office.Excel.Functions.SPG(I262, "SP_COUNTRY_NAME")</f>
        <v>China</v>
      </c>
    </row>
    <row r="263" spans="1:19" x14ac:dyDescent="0.35">
      <c r="A263" s="5">
        <v>46022</v>
      </c>
      <c r="B263" s="4" t="s">
        <v>277</v>
      </c>
      <c r="C263" s="4" t="s">
        <v>278</v>
      </c>
      <c r="D263" s="4" t="s">
        <v>1042</v>
      </c>
      <c r="E263" s="8">
        <v>4347844</v>
      </c>
      <c r="F263" s="7">
        <v>100</v>
      </c>
      <c r="G263" s="12" t="str">
        <f>[1]!SNLData("243327", C263, "OWNER_LIST")</f>
        <v>Agnico Eagle Mines Limited  100%</v>
      </c>
      <c r="H263" s="9">
        <f>[1]!SNLData("243327", C263, "OWNER_SNL_INSTN_KEY", "Owner 1")</f>
        <v>4347844</v>
      </c>
      <c r="I263" s="9" t="str">
        <f>[1]!SNLData("243327", C263, "OWNER_SNL_INSTN_KEY", "Owner 2")</f>
        <v>NA</v>
      </c>
      <c r="J263" s="12" t="str">
        <f>_xll.SNL.Clients.Office.Excel.Functions.SPG(H263, "SP_ULT_PARENT_COMPANY_NAME")</f>
        <v/>
      </c>
      <c r="K263" s="12" t="str">
        <f>_xll.SNL.Clients.Office.Excel.Functions.SPG(H263, "SP_ULT_PARENT_COUNTRY")</f>
        <v/>
      </c>
      <c r="L263" s="12" t="str">
        <f>_xll.SNL.Clients.Office.Excel.Functions.SPG(H263, "SP_PARENT_COMPANY_NAME")</f>
        <v/>
      </c>
      <c r="M263" s="12" t="str">
        <f>_xll.SNL.Clients.Office.Excel.Functions.SPG(H263, "SP_PARENT_COUNTRY")</f>
        <v/>
      </c>
      <c r="N263" s="12" t="str">
        <f>_xll.SNL.Clients.Office.Excel.Functions.SPG(H263, "SP_COUNTRY_NAME")</f>
        <v>Canada</v>
      </c>
      <c r="O263" s="12" t="str">
        <f>_xll.SNL.Clients.Office.Excel.Functions.SPG(I263, "SP_ULT_PARENT_COMPANY_NAME")</f>
        <v/>
      </c>
      <c r="P263" s="12" t="str">
        <f>_xll.SNL.Clients.Office.Excel.Functions.SPG(I263, "SP_ULT_PARENT_COUNTRY")</f>
        <v/>
      </c>
      <c r="Q263" s="12" t="str">
        <f>_xll.SNL.Clients.Office.Excel.Functions.SPG(I263, "SP_PARENT_COMPANY_NAME")</f>
        <v/>
      </c>
      <c r="R263" s="12" t="str">
        <f>_xll.SNL.Clients.Office.Excel.Functions.SPG(I263, "SP_PARENT_COUNTRY")</f>
        <v/>
      </c>
      <c r="S263" s="12" t="str">
        <f>_xll.SNL.Clients.Office.Excel.Functions.SPG(I263, "SP_COUNTRY_NAME")</f>
        <v>China</v>
      </c>
    </row>
    <row r="264" spans="1:19" ht="72.5" x14ac:dyDescent="0.35">
      <c r="A264" s="5">
        <v>46022</v>
      </c>
      <c r="B264" s="4" t="s">
        <v>279</v>
      </c>
      <c r="C264" s="4" t="s">
        <v>280</v>
      </c>
      <c r="D264" s="4" t="s">
        <v>1081</v>
      </c>
      <c r="E264" s="8">
        <v>4199168</v>
      </c>
      <c r="F264" s="7">
        <v>15</v>
      </c>
      <c r="G264" s="12" t="str">
        <f>[1]!SNLData("243327", C264, "OWNER_LIST")</f>
        <v>MMG Limited (Venturer) 62.5%; Compass Investment Company Limited (Venturer) 20.25%; CITIC Limited (Venturer) 15%</v>
      </c>
      <c r="H264" s="9">
        <f>[1]!SNLData("243327", C264, "OWNER_SNL_INSTN_KEY", "Owner 1")</f>
        <v>4352491</v>
      </c>
      <c r="I264" s="9">
        <f>[1]!SNLData("243327", C264, "OWNER_SNL_INSTN_KEY", "Owner 2")</f>
        <v>10602702</v>
      </c>
      <c r="J264" s="12" t="str">
        <f>_xll.SNL.Clients.Office.Excel.Functions.SPG(H264, "SP_ULT_PARENT_COMPANY_NAME")</f>
        <v>State-owned Assets Supervision and Administration Commission of the State Counci</v>
      </c>
      <c r="K264" s="12" t="str">
        <f>_xll.SNL.Clients.Office.Excel.Functions.SPG(H264, "SP_ULT_PARENT_COUNTRY")</f>
        <v>China</v>
      </c>
      <c r="L264" s="12" t="str">
        <f>_xll.SNL.Clients.Office.Excel.Functions.SPG(H264, "SP_PARENT_COMPANY_NAME")</f>
        <v>China Minmetals H.K. (Holdings) Limited</v>
      </c>
      <c r="M264" s="12" t="str">
        <f>_xll.SNL.Clients.Office.Excel.Functions.SPG(H264, "SP_PARENT_COUNTRY")</f>
        <v>Hong Kong</v>
      </c>
      <c r="N264" s="12" t="str">
        <f>_xll.SNL.Clients.Office.Excel.Functions.SPG(H264, "SP_COUNTRY_NAME")</f>
        <v>Australia</v>
      </c>
      <c r="O264" s="12" t="str">
        <f>_xll.SNL.Clients.Office.Excel.Functions.SPG(I264, "SP_ULT_PARENT_COMPANY_NAME")</f>
        <v>Pagoda Tree Investment Company Limited</v>
      </c>
      <c r="P264" s="12" t="str">
        <f>_xll.SNL.Clients.Office.Excel.Functions.SPG(I264, "SP_ULT_PARENT_COUNTRY")</f>
        <v>Hong Kong</v>
      </c>
      <c r="Q264" s="12" t="str">
        <f>_xll.SNL.Clients.Office.Excel.Functions.SPG(I264, "SP_PARENT_COMPANY_NAME")</f>
        <v>Pagoda Tree Investment Company Limited</v>
      </c>
      <c r="R264" s="12" t="str">
        <f>_xll.SNL.Clients.Office.Excel.Functions.SPG(I264, "SP_PARENT_COUNTRY")</f>
        <v>Hong Kong</v>
      </c>
      <c r="S264" s="12" t="str">
        <f>_xll.SNL.Clients.Office.Excel.Functions.SPG(I264, "SP_COUNTRY_NAME")</f>
        <v>Hong Kong</v>
      </c>
    </row>
    <row r="265" spans="1:19" ht="72.5" x14ac:dyDescent="0.35">
      <c r="A265" s="5">
        <v>46022</v>
      </c>
      <c r="B265" s="4" t="s">
        <v>279</v>
      </c>
      <c r="C265" s="4" t="s">
        <v>280</v>
      </c>
      <c r="D265" s="4" t="s">
        <v>1070</v>
      </c>
      <c r="E265" s="8">
        <v>10602702</v>
      </c>
      <c r="F265" s="7">
        <v>20.25</v>
      </c>
      <c r="G265" s="12" t="str">
        <f>[1]!SNLData("243327", C265, "OWNER_LIST")</f>
        <v>MMG Limited (Venturer) 62.5%; Compass Investment Company Limited (Venturer) 20.25%; CITIC Limited (Venturer) 15%</v>
      </c>
      <c r="H265" s="9">
        <f>[1]!SNLData("243327", C265, "OWNER_SNL_INSTN_KEY", "Owner 1")</f>
        <v>4352491</v>
      </c>
      <c r="I265" s="9">
        <f>[1]!SNLData("243327", C265, "OWNER_SNL_INSTN_KEY", "Owner 2")</f>
        <v>10602702</v>
      </c>
      <c r="J265" s="12" t="str">
        <f>_xll.SNL.Clients.Office.Excel.Functions.SPG(H265, "SP_ULT_PARENT_COMPANY_NAME")</f>
        <v>State-owned Assets Supervision and Administration Commission of the State Counci</v>
      </c>
      <c r="K265" s="12" t="str">
        <f>_xll.SNL.Clients.Office.Excel.Functions.SPG(H265, "SP_ULT_PARENT_COUNTRY")</f>
        <v>China</v>
      </c>
      <c r="L265" s="12" t="str">
        <f>_xll.SNL.Clients.Office.Excel.Functions.SPG(H265, "SP_PARENT_COMPANY_NAME")</f>
        <v>China Minmetals H.K. (Holdings) Limited</v>
      </c>
      <c r="M265" s="12" t="str">
        <f>_xll.SNL.Clients.Office.Excel.Functions.SPG(H265, "SP_PARENT_COUNTRY")</f>
        <v>Hong Kong</v>
      </c>
      <c r="N265" s="12" t="str">
        <f>_xll.SNL.Clients.Office.Excel.Functions.SPG(H265, "SP_COUNTRY_NAME")</f>
        <v>Australia</v>
      </c>
      <c r="O265" s="12" t="str">
        <f>_xll.SNL.Clients.Office.Excel.Functions.SPG(I265, "SP_ULT_PARENT_COMPANY_NAME")</f>
        <v>Pagoda Tree Investment Company Limited</v>
      </c>
      <c r="P265" s="12" t="str">
        <f>_xll.SNL.Clients.Office.Excel.Functions.SPG(I265, "SP_ULT_PARENT_COUNTRY")</f>
        <v>Hong Kong</v>
      </c>
      <c r="Q265" s="12" t="str">
        <f>_xll.SNL.Clients.Office.Excel.Functions.SPG(I265, "SP_PARENT_COMPANY_NAME")</f>
        <v>Pagoda Tree Investment Company Limited</v>
      </c>
      <c r="R265" s="12" t="str">
        <f>_xll.SNL.Clients.Office.Excel.Functions.SPG(I265, "SP_PARENT_COUNTRY")</f>
        <v>Hong Kong</v>
      </c>
      <c r="S265" s="12" t="str">
        <f>_xll.SNL.Clients.Office.Excel.Functions.SPG(I265, "SP_COUNTRY_NAME")</f>
        <v>Hong Kong</v>
      </c>
    </row>
    <row r="266" spans="1:19" ht="72.5" x14ac:dyDescent="0.35">
      <c r="A266" s="5">
        <v>46022</v>
      </c>
      <c r="B266" s="4" t="s">
        <v>279</v>
      </c>
      <c r="C266" s="4" t="s">
        <v>280</v>
      </c>
      <c r="D266" s="4" t="s">
        <v>1071</v>
      </c>
      <c r="E266" s="8">
        <v>4352491</v>
      </c>
      <c r="F266" s="7">
        <v>62.5</v>
      </c>
      <c r="G266" s="12" t="str">
        <f>[1]!SNLData("243327", C266, "OWNER_LIST")</f>
        <v>MMG Limited (Venturer) 62.5%; Compass Investment Company Limited (Venturer) 20.25%; CITIC Limited (Venturer) 15%</v>
      </c>
      <c r="H266" s="9">
        <f>[1]!SNLData("243327", C266, "OWNER_SNL_INSTN_KEY", "Owner 1")</f>
        <v>4352491</v>
      </c>
      <c r="I266" s="9">
        <f>[1]!SNLData("243327", C266, "OWNER_SNL_INSTN_KEY", "Owner 2")</f>
        <v>10602702</v>
      </c>
      <c r="J266" s="12" t="str">
        <f>_xll.SNL.Clients.Office.Excel.Functions.SPG(H266, "SP_ULT_PARENT_COMPANY_NAME")</f>
        <v>State-owned Assets Supervision and Administration Commission of the State Counci</v>
      </c>
      <c r="K266" s="12" t="str">
        <f>_xll.SNL.Clients.Office.Excel.Functions.SPG(H266, "SP_ULT_PARENT_COUNTRY")</f>
        <v>China</v>
      </c>
      <c r="L266" s="12" t="str">
        <f>_xll.SNL.Clients.Office.Excel.Functions.SPG(H266, "SP_PARENT_COMPANY_NAME")</f>
        <v>China Minmetals H.K. (Holdings) Limited</v>
      </c>
      <c r="M266" s="12" t="str">
        <f>_xll.SNL.Clients.Office.Excel.Functions.SPG(H266, "SP_PARENT_COUNTRY")</f>
        <v>Hong Kong</v>
      </c>
      <c r="N266" s="12" t="str">
        <f>_xll.SNL.Clients.Office.Excel.Functions.SPG(H266, "SP_COUNTRY_NAME")</f>
        <v>Australia</v>
      </c>
      <c r="O266" s="12" t="str">
        <f>_xll.SNL.Clients.Office.Excel.Functions.SPG(I266, "SP_ULT_PARENT_COMPANY_NAME")</f>
        <v>Pagoda Tree Investment Company Limited</v>
      </c>
      <c r="P266" s="12" t="str">
        <f>_xll.SNL.Clients.Office.Excel.Functions.SPG(I266, "SP_ULT_PARENT_COUNTRY")</f>
        <v>Hong Kong</v>
      </c>
      <c r="Q266" s="12" t="str">
        <f>_xll.SNL.Clients.Office.Excel.Functions.SPG(I266, "SP_PARENT_COMPANY_NAME")</f>
        <v>Pagoda Tree Investment Company Limited</v>
      </c>
      <c r="R266" s="12" t="str">
        <f>_xll.SNL.Clients.Office.Excel.Functions.SPG(I266, "SP_PARENT_COUNTRY")</f>
        <v>Hong Kong</v>
      </c>
      <c r="S266" s="12" t="str">
        <f>_xll.SNL.Clients.Office.Excel.Functions.SPG(I266, "SP_COUNTRY_NAME")</f>
        <v>Hong Kong</v>
      </c>
    </row>
    <row r="267" spans="1:19" x14ac:dyDescent="0.35">
      <c r="A267" s="5">
        <v>46022</v>
      </c>
      <c r="B267" s="4" t="s">
        <v>281</v>
      </c>
      <c r="C267" s="4" t="s">
        <v>282</v>
      </c>
      <c r="D267" s="4" t="s">
        <v>1082</v>
      </c>
      <c r="E267" s="8">
        <v>4350256</v>
      </c>
      <c r="F267" s="7">
        <v>100</v>
      </c>
      <c r="G267" s="12" t="str">
        <f>[1]!SNLData("243327", C267, "OWNER_LIST")</f>
        <v>Fortuna Mining Corp.  100%</v>
      </c>
      <c r="H267" s="9">
        <f>[1]!SNLData("243327", C267, "OWNER_SNL_INSTN_KEY", "Owner 1")</f>
        <v>4350256</v>
      </c>
      <c r="I267" s="9" t="str">
        <f>[1]!SNLData("243327", C267, "OWNER_SNL_INSTN_KEY", "Owner 2")</f>
        <v>NA</v>
      </c>
      <c r="J267" s="12" t="str">
        <f>_xll.SNL.Clients.Office.Excel.Functions.SPG(H267, "SP_ULT_PARENT_COMPANY_NAME")</f>
        <v/>
      </c>
      <c r="K267" s="12" t="str">
        <f>_xll.SNL.Clients.Office.Excel.Functions.SPG(H267, "SP_ULT_PARENT_COUNTRY")</f>
        <v/>
      </c>
      <c r="L267" s="12" t="str">
        <f>_xll.SNL.Clients.Office.Excel.Functions.SPG(H267, "SP_PARENT_COMPANY_NAME")</f>
        <v/>
      </c>
      <c r="M267" s="12" t="str">
        <f>_xll.SNL.Clients.Office.Excel.Functions.SPG(H267, "SP_PARENT_COUNTRY")</f>
        <v/>
      </c>
      <c r="N267" s="12" t="str">
        <f>_xll.SNL.Clients.Office.Excel.Functions.SPG(H267, "SP_COUNTRY_NAME")</f>
        <v>Canada</v>
      </c>
      <c r="O267" s="12" t="str">
        <f>_xll.SNL.Clients.Office.Excel.Functions.SPG(I267, "SP_ULT_PARENT_COMPANY_NAME")</f>
        <v/>
      </c>
      <c r="P267" s="12" t="str">
        <f>_xll.SNL.Clients.Office.Excel.Functions.SPG(I267, "SP_ULT_PARENT_COUNTRY")</f>
        <v/>
      </c>
      <c r="Q267" s="12" t="str">
        <f>_xll.SNL.Clients.Office.Excel.Functions.SPG(I267, "SP_PARENT_COMPANY_NAME")</f>
        <v/>
      </c>
      <c r="R267" s="12" t="str">
        <f>_xll.SNL.Clients.Office.Excel.Functions.SPG(I267, "SP_PARENT_COUNTRY")</f>
        <v/>
      </c>
      <c r="S267" s="12" t="str">
        <f>_xll.SNL.Clients.Office.Excel.Functions.SPG(I267, "SP_COUNTRY_NAME")</f>
        <v>China</v>
      </c>
    </row>
    <row r="268" spans="1:19" x14ac:dyDescent="0.35">
      <c r="A268" s="5">
        <v>46022</v>
      </c>
      <c r="B268" s="4" t="s">
        <v>312</v>
      </c>
      <c r="C268" s="4" t="s">
        <v>313</v>
      </c>
      <c r="D268" s="4" t="s">
        <v>962</v>
      </c>
      <c r="E268" s="8">
        <v>4353456</v>
      </c>
      <c r="F268" s="7">
        <v>100</v>
      </c>
      <c r="G268" s="12" t="str">
        <f>[1]!SNLData("243327", C268, "OWNER_LIST")</f>
        <v>Private Interest  100%</v>
      </c>
      <c r="H268" s="9">
        <f>[1]!SNLData("243327", C268, "OWNER_SNL_INSTN_KEY", "Owner 1")</f>
        <v>4353456</v>
      </c>
      <c r="I268" s="9" t="str">
        <f>[1]!SNLData("243327", C268, "OWNER_SNL_INSTN_KEY", "Owner 2")</f>
        <v>NA</v>
      </c>
      <c r="J268" s="12" t="str">
        <f>_xll.SNL.Clients.Office.Excel.Functions.SPG(H268, "SP_ULT_PARENT_COMPANY_NAME")</f>
        <v/>
      </c>
      <c r="K268" s="12" t="str">
        <f>_xll.SNL.Clients.Office.Excel.Functions.SPG(H268, "SP_ULT_PARENT_COUNTRY")</f>
        <v/>
      </c>
      <c r="L268" s="12" t="str">
        <f>_xll.SNL.Clients.Office.Excel.Functions.SPG(H268, "SP_PARENT_COMPANY_NAME")</f>
        <v/>
      </c>
      <c r="M268" s="12" t="str">
        <f>_xll.SNL.Clients.Office.Excel.Functions.SPG(H268, "SP_PARENT_COUNTRY")</f>
        <v/>
      </c>
      <c r="N268" s="12" t="str">
        <f>_xll.SNL.Clients.Office.Excel.Functions.SPG(H268, "SP_COUNTRY_NAME")</f>
        <v>China</v>
      </c>
      <c r="O268" s="12" t="str">
        <f>_xll.SNL.Clients.Office.Excel.Functions.SPG(I268, "SP_ULT_PARENT_COMPANY_NAME")</f>
        <v/>
      </c>
      <c r="P268" s="12" t="str">
        <f>_xll.SNL.Clients.Office.Excel.Functions.SPG(I268, "SP_ULT_PARENT_COUNTRY")</f>
        <v/>
      </c>
      <c r="Q268" s="12" t="str">
        <f>_xll.SNL.Clients.Office.Excel.Functions.SPG(I268, "SP_PARENT_COMPANY_NAME")</f>
        <v/>
      </c>
      <c r="R268" s="12" t="str">
        <f>_xll.SNL.Clients.Office.Excel.Functions.SPG(I268, "SP_PARENT_COUNTRY")</f>
        <v/>
      </c>
      <c r="S268" s="12" t="str">
        <f>_xll.SNL.Clients.Office.Excel.Functions.SPG(I268, "SP_COUNTRY_NAME")</f>
        <v>China</v>
      </c>
    </row>
    <row r="269" spans="1:19" x14ac:dyDescent="0.35">
      <c r="A269" s="5">
        <v>46022</v>
      </c>
      <c r="B269" s="4" t="s">
        <v>378</v>
      </c>
      <c r="C269" s="4" t="s">
        <v>379</v>
      </c>
      <c r="D269" s="4" t="s">
        <v>1083</v>
      </c>
      <c r="E269" s="8">
        <v>10947963</v>
      </c>
      <c r="F269" s="7">
        <v>100</v>
      </c>
      <c r="G269" s="12" t="str">
        <f>[1]!SNLData("243327", C269, "OWNER_LIST")</f>
        <v>Sichuan Liwu Copper Mining Co., Ltd.  100%</v>
      </c>
      <c r="H269" s="9">
        <f>[1]!SNLData("243327", C269, "OWNER_SNL_INSTN_KEY", "Owner 1")</f>
        <v>10947963</v>
      </c>
      <c r="I269" s="9" t="str">
        <f>[1]!SNLData("243327", C269, "OWNER_SNL_INSTN_KEY", "Owner 2")</f>
        <v>NA</v>
      </c>
      <c r="J269" s="12" t="str">
        <f>_xll.SNL.Clients.Office.Excel.Functions.SPG(H269, "SP_ULT_PARENT_COMPANY_NAME")</f>
        <v/>
      </c>
      <c r="K269" s="12" t="str">
        <f>_xll.SNL.Clients.Office.Excel.Functions.SPG(H269, "SP_ULT_PARENT_COUNTRY")</f>
        <v/>
      </c>
      <c r="L269" s="12" t="str">
        <f>_xll.SNL.Clients.Office.Excel.Functions.SPG(H269, "SP_PARENT_COMPANY_NAME")</f>
        <v/>
      </c>
      <c r="M269" s="12" t="str">
        <f>_xll.SNL.Clients.Office.Excel.Functions.SPG(H269, "SP_PARENT_COUNTRY")</f>
        <v/>
      </c>
      <c r="N269" s="12" t="str">
        <f>_xll.SNL.Clients.Office.Excel.Functions.SPG(H269, "SP_COUNTRY_NAME")</f>
        <v>China</v>
      </c>
      <c r="O269" s="12" t="str">
        <f>_xll.SNL.Clients.Office.Excel.Functions.SPG(I269, "SP_ULT_PARENT_COMPANY_NAME")</f>
        <v/>
      </c>
      <c r="P269" s="12" t="str">
        <f>_xll.SNL.Clients.Office.Excel.Functions.SPG(I269, "SP_ULT_PARENT_COUNTRY")</f>
        <v/>
      </c>
      <c r="Q269" s="12" t="str">
        <f>_xll.SNL.Clients.Office.Excel.Functions.SPG(I269, "SP_PARENT_COMPANY_NAME")</f>
        <v/>
      </c>
      <c r="R269" s="12" t="str">
        <f>_xll.SNL.Clients.Office.Excel.Functions.SPG(I269, "SP_PARENT_COUNTRY")</f>
        <v/>
      </c>
      <c r="S269" s="12" t="str">
        <f>_xll.SNL.Clients.Office.Excel.Functions.SPG(I269, "SP_COUNTRY_NAME")</f>
        <v>China</v>
      </c>
    </row>
    <row r="270" spans="1:19" x14ac:dyDescent="0.35">
      <c r="A270" s="5">
        <v>46022</v>
      </c>
      <c r="B270" s="4" t="s">
        <v>575</v>
      </c>
      <c r="C270" s="4" t="s">
        <v>576</v>
      </c>
      <c r="D270" s="4" t="s">
        <v>948</v>
      </c>
      <c r="E270" s="8">
        <v>4113732</v>
      </c>
      <c r="F270" s="7">
        <v>100</v>
      </c>
      <c r="G270" s="12" t="str">
        <f>[1]!SNLData("243327", C270, "OWNER_LIST")</f>
        <v>Glencore plc  100%</v>
      </c>
      <c r="H270" s="9">
        <f>[1]!SNLData("243327", C270, "OWNER_SNL_INSTN_KEY", "Owner 1")</f>
        <v>4113732</v>
      </c>
      <c r="I270" s="9" t="str">
        <f>[1]!SNLData("243327", C270, "OWNER_SNL_INSTN_KEY", "Owner 2")</f>
        <v>NA</v>
      </c>
      <c r="J270" s="12" t="str">
        <f>_xll.SNL.Clients.Office.Excel.Functions.SPG(H270, "SP_ULT_PARENT_COMPANY_NAME")</f>
        <v/>
      </c>
      <c r="K270" s="12" t="str">
        <f>_xll.SNL.Clients.Office.Excel.Functions.SPG(H270, "SP_ULT_PARENT_COUNTRY")</f>
        <v/>
      </c>
      <c r="L270" s="12" t="str">
        <f>_xll.SNL.Clients.Office.Excel.Functions.SPG(H270, "SP_PARENT_COMPANY_NAME")</f>
        <v/>
      </c>
      <c r="M270" s="12" t="str">
        <f>_xll.SNL.Clients.Office.Excel.Functions.SPG(H270, "SP_PARENT_COUNTRY")</f>
        <v/>
      </c>
      <c r="N270" s="12" t="str">
        <f>_xll.SNL.Clients.Office.Excel.Functions.SPG(H270, "SP_COUNTRY_NAME")</f>
        <v>Switzerland</v>
      </c>
      <c r="O270" s="12" t="str">
        <f>_xll.SNL.Clients.Office.Excel.Functions.SPG(I270, "SP_ULT_PARENT_COMPANY_NAME")</f>
        <v/>
      </c>
      <c r="P270" s="12" t="str">
        <f>_xll.SNL.Clients.Office.Excel.Functions.SPG(I270, "SP_ULT_PARENT_COUNTRY")</f>
        <v/>
      </c>
      <c r="Q270" s="12" t="str">
        <f>_xll.SNL.Clients.Office.Excel.Functions.SPG(I270, "SP_PARENT_COMPANY_NAME")</f>
        <v/>
      </c>
      <c r="R270" s="12" t="str">
        <f>_xll.SNL.Clients.Office.Excel.Functions.SPG(I270, "SP_PARENT_COUNTRY")</f>
        <v/>
      </c>
      <c r="S270" s="12" t="str">
        <f>_xll.SNL.Clients.Office.Excel.Functions.SPG(I270, "SP_COUNTRY_NAME")</f>
        <v>China</v>
      </c>
    </row>
    <row r="271" spans="1:19" x14ac:dyDescent="0.35">
      <c r="A271" s="5">
        <v>46022</v>
      </c>
      <c r="B271" s="4" t="s">
        <v>764</v>
      </c>
      <c r="C271" s="4" t="s">
        <v>765</v>
      </c>
      <c r="D271" s="4" t="s">
        <v>1084</v>
      </c>
      <c r="E271" s="8">
        <v>10405484</v>
      </c>
      <c r="F271" s="7">
        <v>100</v>
      </c>
      <c r="G271" s="12" t="str">
        <f>[1]!SNLData("243327", C271, "OWNER_LIST")</f>
        <v>Guangxi Luxi Longwan Mining Co., Ltd.  100%</v>
      </c>
      <c r="H271" s="9">
        <f>[1]!SNLData("243327", C271, "OWNER_SNL_INSTN_KEY", "Owner 1")</f>
        <v>10405484</v>
      </c>
      <c r="I271" s="9" t="str">
        <f>[1]!SNLData("243327", C271, "OWNER_SNL_INSTN_KEY", "Owner 2")</f>
        <v>NA</v>
      </c>
      <c r="J271" s="12" t="str">
        <f>_xll.SNL.Clients.Office.Excel.Functions.SPG(H271, "SP_ULT_PARENT_COMPANY_NAME")</f>
        <v/>
      </c>
      <c r="K271" s="12" t="str">
        <f>_xll.SNL.Clients.Office.Excel.Functions.SPG(H271, "SP_ULT_PARENT_COUNTRY")</f>
        <v/>
      </c>
      <c r="L271" s="12" t="str">
        <f>_xll.SNL.Clients.Office.Excel.Functions.SPG(H271, "SP_PARENT_COMPANY_NAME")</f>
        <v/>
      </c>
      <c r="M271" s="12" t="str">
        <f>_xll.SNL.Clients.Office.Excel.Functions.SPG(H271, "SP_PARENT_COUNTRY")</f>
        <v/>
      </c>
      <c r="N271" s="12" t="str">
        <f>_xll.SNL.Clients.Office.Excel.Functions.SPG(H271, "SP_COUNTRY_NAME")</f>
        <v>China</v>
      </c>
      <c r="O271" s="12" t="str">
        <f>_xll.SNL.Clients.Office.Excel.Functions.SPG(I271, "SP_ULT_PARENT_COMPANY_NAME")</f>
        <v/>
      </c>
      <c r="P271" s="12" t="str">
        <f>_xll.SNL.Clients.Office.Excel.Functions.SPG(I271, "SP_ULT_PARENT_COUNTRY")</f>
        <v/>
      </c>
      <c r="Q271" s="12" t="str">
        <f>_xll.SNL.Clients.Office.Excel.Functions.SPG(I271, "SP_PARENT_COMPANY_NAME")</f>
        <v/>
      </c>
      <c r="R271" s="12" t="str">
        <f>_xll.SNL.Clients.Office.Excel.Functions.SPG(I271, "SP_PARENT_COUNTRY")</f>
        <v/>
      </c>
      <c r="S271" s="12" t="str">
        <f>_xll.SNL.Clients.Office.Excel.Functions.SPG(I271, "SP_COUNTRY_NAME")</f>
        <v>China</v>
      </c>
    </row>
    <row r="272" spans="1:19" ht="58" x14ac:dyDescent="0.35">
      <c r="A272" s="5">
        <v>46022</v>
      </c>
      <c r="B272" s="4" t="s">
        <v>314</v>
      </c>
      <c r="C272" s="4" t="s">
        <v>315</v>
      </c>
      <c r="D272" s="4" t="s">
        <v>1007</v>
      </c>
      <c r="E272" s="8">
        <v>4193273</v>
      </c>
      <c r="F272" s="7">
        <v>50.06</v>
      </c>
      <c r="G272" s="12" t="str">
        <f>[1]!SNLData("243327", C272, "OWNER_LIST")</f>
        <v>Mitsubishi Corporation (Venturer) 20.44%; Mitsui &amp; Co., Ltd. (Venturer) 9.5%; Corporación Nacional del Cobre de Chile (Venturer) 20%; Anglo American plc (Venturer) 50.06%</v>
      </c>
      <c r="H272" s="9">
        <f>[1]!SNLData("243327", C272, "OWNER_SNL_INSTN_KEY", "Owner 1")</f>
        <v>4193273</v>
      </c>
      <c r="I272" s="9">
        <f>[1]!SNLData("243327", C272, "OWNER_SNL_INSTN_KEY", "Owner 2")</f>
        <v>4065098</v>
      </c>
      <c r="J272" s="12" t="str">
        <f>_xll.SNL.Clients.Office.Excel.Functions.SPG(H272, "SP_ULT_PARENT_COMPANY_NAME")</f>
        <v/>
      </c>
      <c r="K272" s="12" t="str">
        <f>_xll.SNL.Clients.Office.Excel.Functions.SPG(H272, "SP_ULT_PARENT_COUNTRY")</f>
        <v/>
      </c>
      <c r="L272" s="12" t="str">
        <f>_xll.SNL.Clients.Office.Excel.Functions.SPG(H272, "SP_PARENT_COMPANY_NAME")</f>
        <v/>
      </c>
      <c r="M272" s="12" t="str">
        <f>_xll.SNL.Clients.Office.Excel.Functions.SPG(H272, "SP_PARENT_COUNTRY")</f>
        <v/>
      </c>
      <c r="N272" s="12" t="str">
        <f>_xll.SNL.Clients.Office.Excel.Functions.SPG(H272, "SP_COUNTRY_NAME")</f>
        <v>United Kingdom</v>
      </c>
      <c r="O272" s="12" t="str">
        <f>_xll.SNL.Clients.Office.Excel.Functions.SPG(I272, "SP_ULT_PARENT_COMPANY_NAME")</f>
        <v/>
      </c>
      <c r="P272" s="12" t="str">
        <f>_xll.SNL.Clients.Office.Excel.Functions.SPG(I272, "SP_ULT_PARENT_COUNTRY")</f>
        <v/>
      </c>
      <c r="Q272" s="12" t="str">
        <f>_xll.SNL.Clients.Office.Excel.Functions.SPG(I272, "SP_PARENT_COMPANY_NAME")</f>
        <v/>
      </c>
      <c r="R272" s="12" t="str">
        <f>_xll.SNL.Clients.Office.Excel.Functions.SPG(I272, "SP_PARENT_COUNTRY")</f>
        <v/>
      </c>
      <c r="S272" s="12" t="str">
        <f>_xll.SNL.Clients.Office.Excel.Functions.SPG(I272, "SP_COUNTRY_NAME")</f>
        <v>Japan</v>
      </c>
    </row>
    <row r="273" spans="1:19" ht="58" x14ac:dyDescent="0.35">
      <c r="A273" s="5">
        <v>46022</v>
      </c>
      <c r="B273" s="4" t="s">
        <v>314</v>
      </c>
      <c r="C273" s="4" t="s">
        <v>315</v>
      </c>
      <c r="D273" s="4" t="s">
        <v>945</v>
      </c>
      <c r="E273" s="8">
        <v>4349314</v>
      </c>
      <c r="F273" s="7">
        <v>20</v>
      </c>
      <c r="G273" s="12" t="str">
        <f>[1]!SNLData("243327", C273, "OWNER_LIST")</f>
        <v>Mitsubishi Corporation (Venturer) 20.44%; Mitsui &amp; Co., Ltd. (Venturer) 9.5%; Corporación Nacional del Cobre de Chile (Venturer) 20%; Anglo American plc (Venturer) 50.06%</v>
      </c>
      <c r="H273" s="9">
        <f>[1]!SNLData("243327", C273, "OWNER_SNL_INSTN_KEY", "Owner 1")</f>
        <v>4193273</v>
      </c>
      <c r="I273" s="9">
        <f>[1]!SNLData("243327", C273, "OWNER_SNL_INSTN_KEY", "Owner 2")</f>
        <v>4065098</v>
      </c>
      <c r="J273" s="12" t="str">
        <f>_xll.SNL.Clients.Office.Excel.Functions.SPG(H273, "SP_ULT_PARENT_COMPANY_NAME")</f>
        <v/>
      </c>
      <c r="K273" s="12" t="str">
        <f>_xll.SNL.Clients.Office.Excel.Functions.SPG(H273, "SP_ULT_PARENT_COUNTRY")</f>
        <v/>
      </c>
      <c r="L273" s="12" t="str">
        <f>_xll.SNL.Clients.Office.Excel.Functions.SPG(H273, "SP_PARENT_COMPANY_NAME")</f>
        <v/>
      </c>
      <c r="M273" s="12" t="str">
        <f>_xll.SNL.Clients.Office.Excel.Functions.SPG(H273, "SP_PARENT_COUNTRY")</f>
        <v/>
      </c>
      <c r="N273" s="12" t="str">
        <f>_xll.SNL.Clients.Office.Excel.Functions.SPG(H273, "SP_COUNTRY_NAME")</f>
        <v>United Kingdom</v>
      </c>
      <c r="O273" s="12" t="str">
        <f>_xll.SNL.Clients.Office.Excel.Functions.SPG(I273, "SP_ULT_PARENT_COMPANY_NAME")</f>
        <v/>
      </c>
      <c r="P273" s="12" t="str">
        <f>_xll.SNL.Clients.Office.Excel.Functions.SPG(I273, "SP_ULT_PARENT_COUNTRY")</f>
        <v/>
      </c>
      <c r="Q273" s="12" t="str">
        <f>_xll.SNL.Clients.Office.Excel.Functions.SPG(I273, "SP_PARENT_COMPANY_NAME")</f>
        <v/>
      </c>
      <c r="R273" s="12" t="str">
        <f>_xll.SNL.Clients.Office.Excel.Functions.SPG(I273, "SP_PARENT_COUNTRY")</f>
        <v/>
      </c>
      <c r="S273" s="12" t="str">
        <f>_xll.SNL.Clients.Office.Excel.Functions.SPG(I273, "SP_COUNTRY_NAME")</f>
        <v>Japan</v>
      </c>
    </row>
    <row r="274" spans="1:19" ht="58" x14ac:dyDescent="0.35">
      <c r="A274" s="5">
        <v>46022</v>
      </c>
      <c r="B274" s="4" t="s">
        <v>314</v>
      </c>
      <c r="C274" s="4" t="s">
        <v>315</v>
      </c>
      <c r="D274" s="4" t="s">
        <v>949</v>
      </c>
      <c r="E274" s="8">
        <v>4065098</v>
      </c>
      <c r="F274" s="7">
        <v>20.440000000000001</v>
      </c>
      <c r="G274" s="12" t="str">
        <f>[1]!SNLData("243327", C274, "OWNER_LIST")</f>
        <v>Mitsubishi Corporation (Venturer) 20.44%; Mitsui &amp; Co., Ltd. (Venturer) 9.5%; Corporación Nacional del Cobre de Chile (Venturer) 20%; Anglo American plc (Venturer) 50.06%</v>
      </c>
      <c r="H274" s="9">
        <f>[1]!SNLData("243327", C274, "OWNER_SNL_INSTN_KEY", "Owner 1")</f>
        <v>4193273</v>
      </c>
      <c r="I274" s="9">
        <f>[1]!SNLData("243327", C274, "OWNER_SNL_INSTN_KEY", "Owner 2")</f>
        <v>4065098</v>
      </c>
      <c r="J274" s="12" t="str">
        <f>_xll.SNL.Clients.Office.Excel.Functions.SPG(H274, "SP_ULT_PARENT_COMPANY_NAME")</f>
        <v/>
      </c>
      <c r="K274" s="12" t="str">
        <f>_xll.SNL.Clients.Office.Excel.Functions.SPG(H274, "SP_ULT_PARENT_COUNTRY")</f>
        <v/>
      </c>
      <c r="L274" s="12" t="str">
        <f>_xll.SNL.Clients.Office.Excel.Functions.SPG(H274, "SP_PARENT_COMPANY_NAME")</f>
        <v/>
      </c>
      <c r="M274" s="12" t="str">
        <f>_xll.SNL.Clients.Office.Excel.Functions.SPG(H274, "SP_PARENT_COUNTRY")</f>
        <v/>
      </c>
      <c r="N274" s="12" t="str">
        <f>_xll.SNL.Clients.Office.Excel.Functions.SPG(H274, "SP_COUNTRY_NAME")</f>
        <v>United Kingdom</v>
      </c>
      <c r="O274" s="12" t="str">
        <f>_xll.SNL.Clients.Office.Excel.Functions.SPG(I274, "SP_ULT_PARENT_COMPANY_NAME")</f>
        <v/>
      </c>
      <c r="P274" s="12" t="str">
        <f>_xll.SNL.Clients.Office.Excel.Functions.SPG(I274, "SP_ULT_PARENT_COUNTRY")</f>
        <v/>
      </c>
      <c r="Q274" s="12" t="str">
        <f>_xll.SNL.Clients.Office.Excel.Functions.SPG(I274, "SP_PARENT_COMPANY_NAME")</f>
        <v/>
      </c>
      <c r="R274" s="12" t="str">
        <f>_xll.SNL.Clients.Office.Excel.Functions.SPG(I274, "SP_PARENT_COUNTRY")</f>
        <v/>
      </c>
      <c r="S274" s="12" t="str">
        <f>_xll.SNL.Clients.Office.Excel.Functions.SPG(I274, "SP_COUNTRY_NAME")</f>
        <v>Japan</v>
      </c>
    </row>
    <row r="275" spans="1:19" ht="58" x14ac:dyDescent="0.35">
      <c r="A275" s="5">
        <v>46022</v>
      </c>
      <c r="B275" s="4" t="s">
        <v>314</v>
      </c>
      <c r="C275" s="4" t="s">
        <v>315</v>
      </c>
      <c r="D275" s="4" t="s">
        <v>1008</v>
      </c>
      <c r="E275" s="8">
        <v>4086798</v>
      </c>
      <c r="F275" s="7">
        <v>9.5</v>
      </c>
      <c r="G275" s="12" t="str">
        <f>[1]!SNLData("243327", C275, "OWNER_LIST")</f>
        <v>Mitsubishi Corporation (Venturer) 20.44%; Mitsui &amp; Co., Ltd. (Venturer) 9.5%; Corporación Nacional del Cobre de Chile (Venturer) 20%; Anglo American plc (Venturer) 50.06%</v>
      </c>
      <c r="H275" s="9">
        <f>[1]!SNLData("243327", C275, "OWNER_SNL_INSTN_KEY", "Owner 1")</f>
        <v>4193273</v>
      </c>
      <c r="I275" s="9">
        <f>[1]!SNLData("243327", C275, "OWNER_SNL_INSTN_KEY", "Owner 2")</f>
        <v>4065098</v>
      </c>
      <c r="J275" s="12" t="str">
        <f>_xll.SNL.Clients.Office.Excel.Functions.SPG(H275, "SP_ULT_PARENT_COMPANY_NAME")</f>
        <v/>
      </c>
      <c r="K275" s="12" t="str">
        <f>_xll.SNL.Clients.Office.Excel.Functions.SPG(H275, "SP_ULT_PARENT_COUNTRY")</f>
        <v/>
      </c>
      <c r="L275" s="12" t="str">
        <f>_xll.SNL.Clients.Office.Excel.Functions.SPG(H275, "SP_PARENT_COMPANY_NAME")</f>
        <v/>
      </c>
      <c r="M275" s="12" t="str">
        <f>_xll.SNL.Clients.Office.Excel.Functions.SPG(H275, "SP_PARENT_COUNTRY")</f>
        <v/>
      </c>
      <c r="N275" s="12" t="str">
        <f>_xll.SNL.Clients.Office.Excel.Functions.SPG(H275, "SP_COUNTRY_NAME")</f>
        <v>United Kingdom</v>
      </c>
      <c r="O275" s="12" t="str">
        <f>_xll.SNL.Clients.Office.Excel.Functions.SPG(I275, "SP_ULT_PARENT_COMPANY_NAME")</f>
        <v/>
      </c>
      <c r="P275" s="12" t="str">
        <f>_xll.SNL.Clients.Office.Excel.Functions.SPG(I275, "SP_ULT_PARENT_COUNTRY")</f>
        <v/>
      </c>
      <c r="Q275" s="12" t="str">
        <f>_xll.SNL.Clients.Office.Excel.Functions.SPG(I275, "SP_PARENT_COMPANY_NAME")</f>
        <v/>
      </c>
      <c r="R275" s="12" t="str">
        <f>_xll.SNL.Clients.Office.Excel.Functions.SPG(I275, "SP_PARENT_COUNTRY")</f>
        <v/>
      </c>
      <c r="S275" s="12" t="str">
        <f>_xll.SNL.Clients.Office.Excel.Functions.SPG(I275, "SP_COUNTRY_NAME")</f>
        <v>Japan</v>
      </c>
    </row>
    <row r="276" spans="1:19" ht="58" x14ac:dyDescent="0.35">
      <c r="A276" s="5">
        <v>46022</v>
      </c>
      <c r="B276" s="4" t="s">
        <v>316</v>
      </c>
      <c r="C276" s="4" t="s">
        <v>317</v>
      </c>
      <c r="D276" s="4" t="s">
        <v>1007</v>
      </c>
      <c r="E276" s="8">
        <v>4193273</v>
      </c>
      <c r="F276" s="7">
        <v>50.06</v>
      </c>
      <c r="G276" s="12" t="str">
        <f>[1]!SNLData("243327", C276, "OWNER_LIST")</f>
        <v>Corporación Nacional del Cobre de Chile (Venturer) 20%; Anglo American plc (Venturer) 50.06%; Mitsubishi Corporation (Venturer) 20.44%; Mitsui &amp; Co., Ltd. (Venturer) 9.5%</v>
      </c>
      <c r="H276" s="9">
        <f>[1]!SNLData("243327", C276, "OWNER_SNL_INSTN_KEY", "Owner 1")</f>
        <v>4193273</v>
      </c>
      <c r="I276" s="9">
        <f>[1]!SNLData("243327", C276, "OWNER_SNL_INSTN_KEY", "Owner 2")</f>
        <v>4065098</v>
      </c>
      <c r="J276" s="12" t="str">
        <f>_xll.SNL.Clients.Office.Excel.Functions.SPG(H276, "SP_ULT_PARENT_COMPANY_NAME")</f>
        <v/>
      </c>
      <c r="K276" s="12" t="str">
        <f>_xll.SNL.Clients.Office.Excel.Functions.SPG(H276, "SP_ULT_PARENT_COUNTRY")</f>
        <v/>
      </c>
      <c r="L276" s="12" t="str">
        <f>_xll.SNL.Clients.Office.Excel.Functions.SPG(H276, "SP_PARENT_COMPANY_NAME")</f>
        <v/>
      </c>
      <c r="M276" s="12" t="str">
        <f>_xll.SNL.Clients.Office.Excel.Functions.SPG(H276, "SP_PARENT_COUNTRY")</f>
        <v/>
      </c>
      <c r="N276" s="12" t="str">
        <f>_xll.SNL.Clients.Office.Excel.Functions.SPG(H276, "SP_COUNTRY_NAME")</f>
        <v>United Kingdom</v>
      </c>
      <c r="O276" s="12" t="str">
        <f>_xll.SNL.Clients.Office.Excel.Functions.SPG(I276, "SP_ULT_PARENT_COMPANY_NAME")</f>
        <v/>
      </c>
      <c r="P276" s="12" t="str">
        <f>_xll.SNL.Clients.Office.Excel.Functions.SPG(I276, "SP_ULT_PARENT_COUNTRY")</f>
        <v/>
      </c>
      <c r="Q276" s="12" t="str">
        <f>_xll.SNL.Clients.Office.Excel.Functions.SPG(I276, "SP_PARENT_COMPANY_NAME")</f>
        <v/>
      </c>
      <c r="R276" s="12" t="str">
        <f>_xll.SNL.Clients.Office.Excel.Functions.SPG(I276, "SP_PARENT_COUNTRY")</f>
        <v/>
      </c>
      <c r="S276" s="12" t="str">
        <f>_xll.SNL.Clients.Office.Excel.Functions.SPG(I276, "SP_COUNTRY_NAME")</f>
        <v>Japan</v>
      </c>
    </row>
    <row r="277" spans="1:19" ht="58" x14ac:dyDescent="0.35">
      <c r="A277" s="5">
        <v>46022</v>
      </c>
      <c r="B277" s="4" t="s">
        <v>316</v>
      </c>
      <c r="C277" s="4" t="s">
        <v>317</v>
      </c>
      <c r="D277" s="4" t="s">
        <v>945</v>
      </c>
      <c r="E277" s="8">
        <v>4349314</v>
      </c>
      <c r="F277" s="7">
        <v>20</v>
      </c>
      <c r="G277" s="12" t="str">
        <f>[1]!SNLData("243327", C277, "OWNER_LIST")</f>
        <v>Corporación Nacional del Cobre de Chile (Venturer) 20%; Anglo American plc (Venturer) 50.06%; Mitsubishi Corporation (Venturer) 20.44%; Mitsui &amp; Co., Ltd. (Venturer) 9.5%</v>
      </c>
      <c r="H277" s="9">
        <f>[1]!SNLData("243327", C277, "OWNER_SNL_INSTN_KEY", "Owner 1")</f>
        <v>4193273</v>
      </c>
      <c r="I277" s="9">
        <f>[1]!SNLData("243327", C277, "OWNER_SNL_INSTN_KEY", "Owner 2")</f>
        <v>4065098</v>
      </c>
      <c r="J277" s="12" t="str">
        <f>_xll.SNL.Clients.Office.Excel.Functions.SPG(H277, "SP_ULT_PARENT_COMPANY_NAME")</f>
        <v/>
      </c>
      <c r="K277" s="12" t="str">
        <f>_xll.SNL.Clients.Office.Excel.Functions.SPG(H277, "SP_ULT_PARENT_COUNTRY")</f>
        <v/>
      </c>
      <c r="L277" s="12" t="str">
        <f>_xll.SNL.Clients.Office.Excel.Functions.SPG(H277, "SP_PARENT_COMPANY_NAME")</f>
        <v/>
      </c>
      <c r="M277" s="12" t="str">
        <f>_xll.SNL.Clients.Office.Excel.Functions.SPG(H277, "SP_PARENT_COUNTRY")</f>
        <v/>
      </c>
      <c r="N277" s="12" t="str">
        <f>_xll.SNL.Clients.Office.Excel.Functions.SPG(H277, "SP_COUNTRY_NAME")</f>
        <v>United Kingdom</v>
      </c>
      <c r="O277" s="12" t="str">
        <f>_xll.SNL.Clients.Office.Excel.Functions.SPG(I277, "SP_ULT_PARENT_COMPANY_NAME")</f>
        <v/>
      </c>
      <c r="P277" s="12" t="str">
        <f>_xll.SNL.Clients.Office.Excel.Functions.SPG(I277, "SP_ULT_PARENT_COUNTRY")</f>
        <v/>
      </c>
      <c r="Q277" s="12" t="str">
        <f>_xll.SNL.Clients.Office.Excel.Functions.SPG(I277, "SP_PARENT_COMPANY_NAME")</f>
        <v/>
      </c>
      <c r="R277" s="12" t="str">
        <f>_xll.SNL.Clients.Office.Excel.Functions.SPG(I277, "SP_PARENT_COUNTRY")</f>
        <v/>
      </c>
      <c r="S277" s="12" t="str">
        <f>_xll.SNL.Clients.Office.Excel.Functions.SPG(I277, "SP_COUNTRY_NAME")</f>
        <v>Japan</v>
      </c>
    </row>
    <row r="278" spans="1:19" ht="58" x14ac:dyDescent="0.35">
      <c r="A278" s="5">
        <v>46022</v>
      </c>
      <c r="B278" s="4" t="s">
        <v>316</v>
      </c>
      <c r="C278" s="4" t="s">
        <v>317</v>
      </c>
      <c r="D278" s="4" t="s">
        <v>949</v>
      </c>
      <c r="E278" s="8">
        <v>4065098</v>
      </c>
      <c r="F278" s="7">
        <v>20.440000000000001</v>
      </c>
      <c r="G278" s="12" t="str">
        <f>[1]!SNLData("243327", C278, "OWNER_LIST")</f>
        <v>Corporación Nacional del Cobre de Chile (Venturer) 20%; Anglo American plc (Venturer) 50.06%; Mitsubishi Corporation (Venturer) 20.44%; Mitsui &amp; Co., Ltd. (Venturer) 9.5%</v>
      </c>
      <c r="H278" s="9">
        <f>[1]!SNLData("243327", C278, "OWNER_SNL_INSTN_KEY", "Owner 1")</f>
        <v>4193273</v>
      </c>
      <c r="I278" s="9">
        <f>[1]!SNLData("243327", C278, "OWNER_SNL_INSTN_KEY", "Owner 2")</f>
        <v>4065098</v>
      </c>
      <c r="J278" s="12" t="str">
        <f>_xll.SNL.Clients.Office.Excel.Functions.SPG(H278, "SP_ULT_PARENT_COMPANY_NAME")</f>
        <v/>
      </c>
      <c r="K278" s="12" t="str">
        <f>_xll.SNL.Clients.Office.Excel.Functions.SPG(H278, "SP_ULT_PARENT_COUNTRY")</f>
        <v/>
      </c>
      <c r="L278" s="12" t="str">
        <f>_xll.SNL.Clients.Office.Excel.Functions.SPG(H278, "SP_PARENT_COMPANY_NAME")</f>
        <v/>
      </c>
      <c r="M278" s="12" t="str">
        <f>_xll.SNL.Clients.Office.Excel.Functions.SPG(H278, "SP_PARENT_COUNTRY")</f>
        <v/>
      </c>
      <c r="N278" s="12" t="str">
        <f>_xll.SNL.Clients.Office.Excel.Functions.SPG(H278, "SP_COUNTRY_NAME")</f>
        <v>United Kingdom</v>
      </c>
      <c r="O278" s="12" t="str">
        <f>_xll.SNL.Clients.Office.Excel.Functions.SPG(I278, "SP_ULT_PARENT_COMPANY_NAME")</f>
        <v/>
      </c>
      <c r="P278" s="12" t="str">
        <f>_xll.SNL.Clients.Office.Excel.Functions.SPG(I278, "SP_ULT_PARENT_COUNTRY")</f>
        <v/>
      </c>
      <c r="Q278" s="12" t="str">
        <f>_xll.SNL.Clients.Office.Excel.Functions.SPG(I278, "SP_PARENT_COMPANY_NAME")</f>
        <v/>
      </c>
      <c r="R278" s="12" t="str">
        <f>_xll.SNL.Clients.Office.Excel.Functions.SPG(I278, "SP_PARENT_COUNTRY")</f>
        <v/>
      </c>
      <c r="S278" s="12" t="str">
        <f>_xll.SNL.Clients.Office.Excel.Functions.SPG(I278, "SP_COUNTRY_NAME")</f>
        <v>Japan</v>
      </c>
    </row>
    <row r="279" spans="1:19" ht="58" x14ac:dyDescent="0.35">
      <c r="A279" s="5">
        <v>46022</v>
      </c>
      <c r="B279" s="4" t="s">
        <v>316</v>
      </c>
      <c r="C279" s="4" t="s">
        <v>317</v>
      </c>
      <c r="D279" s="4" t="s">
        <v>1008</v>
      </c>
      <c r="E279" s="8">
        <v>4086798</v>
      </c>
      <c r="F279" s="7">
        <v>9.5</v>
      </c>
      <c r="G279" s="12" t="str">
        <f>[1]!SNLData("243327", C279, "OWNER_LIST")</f>
        <v>Corporación Nacional del Cobre de Chile (Venturer) 20%; Anglo American plc (Venturer) 50.06%; Mitsubishi Corporation (Venturer) 20.44%; Mitsui &amp; Co., Ltd. (Venturer) 9.5%</v>
      </c>
      <c r="H279" s="9">
        <f>[1]!SNLData("243327", C279, "OWNER_SNL_INSTN_KEY", "Owner 1")</f>
        <v>4193273</v>
      </c>
      <c r="I279" s="9">
        <f>[1]!SNLData("243327", C279, "OWNER_SNL_INSTN_KEY", "Owner 2")</f>
        <v>4065098</v>
      </c>
      <c r="J279" s="12" t="str">
        <f>_xll.SNL.Clients.Office.Excel.Functions.SPG(H279, "SP_ULT_PARENT_COMPANY_NAME")</f>
        <v/>
      </c>
      <c r="K279" s="12" t="str">
        <f>_xll.SNL.Clients.Office.Excel.Functions.SPG(H279, "SP_ULT_PARENT_COUNTRY")</f>
        <v/>
      </c>
      <c r="L279" s="12" t="str">
        <f>_xll.SNL.Clients.Office.Excel.Functions.SPG(H279, "SP_PARENT_COMPANY_NAME")</f>
        <v/>
      </c>
      <c r="M279" s="12" t="str">
        <f>_xll.SNL.Clients.Office.Excel.Functions.SPG(H279, "SP_PARENT_COUNTRY")</f>
        <v/>
      </c>
      <c r="N279" s="12" t="str">
        <f>_xll.SNL.Clients.Office.Excel.Functions.SPG(H279, "SP_COUNTRY_NAME")</f>
        <v>United Kingdom</v>
      </c>
      <c r="O279" s="12" t="str">
        <f>_xll.SNL.Clients.Office.Excel.Functions.SPG(I279, "SP_ULT_PARENT_COMPANY_NAME")</f>
        <v/>
      </c>
      <c r="P279" s="12" t="str">
        <f>_xll.SNL.Clients.Office.Excel.Functions.SPG(I279, "SP_ULT_PARENT_COUNTRY")</f>
        <v/>
      </c>
      <c r="Q279" s="12" t="str">
        <f>_xll.SNL.Clients.Office.Excel.Functions.SPG(I279, "SP_PARENT_COMPANY_NAME")</f>
        <v/>
      </c>
      <c r="R279" s="12" t="str">
        <f>_xll.SNL.Clients.Office.Excel.Functions.SPG(I279, "SP_PARENT_COUNTRY")</f>
        <v/>
      </c>
      <c r="S279" s="12" t="str">
        <f>_xll.SNL.Clients.Office.Excel.Functions.SPG(I279, "SP_COUNTRY_NAME")</f>
        <v>Japan</v>
      </c>
    </row>
    <row r="280" spans="1:19" ht="72.5" x14ac:dyDescent="0.35">
      <c r="A280" s="5">
        <v>46022</v>
      </c>
      <c r="B280" s="4" t="s">
        <v>766</v>
      </c>
      <c r="C280" s="4" t="s">
        <v>767</v>
      </c>
      <c r="D280" s="4" t="s">
        <v>951</v>
      </c>
      <c r="E280" s="8">
        <v>4348083</v>
      </c>
      <c r="F280" s="7">
        <v>60</v>
      </c>
      <c r="G280" s="12" t="str">
        <f>[1]!SNLData("243327", C280, "OWNER_LIST")</f>
        <v>Antofagasta plc (Venturer) 60%; Mitsubishi Materials Corporation (Venturer) 10%; JX Advanced Metals Corporation (Venturer) 12.52%; Marubeni Corporation (Venturer) 12.48%; Mitsubishi Corporation (Venturer) 5%</v>
      </c>
      <c r="H280" s="9">
        <f>[1]!SNLData("243327", C280, "OWNER_SNL_INSTN_KEY", "Owner 1")</f>
        <v>4348083</v>
      </c>
      <c r="I280" s="9">
        <f>[1]!SNLData("243327", C280, "OWNER_SNL_INSTN_KEY", "Owner 2")</f>
        <v>4361542</v>
      </c>
      <c r="J280" s="12" t="str">
        <f>_xll.SNL.Clients.Office.Excel.Functions.SPG(H280, "SP_ULT_PARENT_COMPANY_NAME")</f>
        <v>E. Abaroa Foundation</v>
      </c>
      <c r="K280" s="12" t="str">
        <f>_xll.SNL.Clients.Office.Excel.Functions.SPG(H280, "SP_ULT_PARENT_COUNTRY")</f>
        <v>Liechtenstein</v>
      </c>
      <c r="L280" s="12" t="str">
        <f>_xll.SNL.Clients.Office.Excel.Functions.SPG(H280, "SP_PARENT_COMPANY_NAME")</f>
        <v>Metalinvest Anstalt</v>
      </c>
      <c r="M280" s="12" t="str">
        <f>_xll.SNL.Clients.Office.Excel.Functions.SPG(H280, "SP_PARENT_COUNTRY")</f>
        <v>Liechtenstein</v>
      </c>
      <c r="N280" s="12" t="str">
        <f>_xll.SNL.Clients.Office.Excel.Functions.SPG(H280, "SP_COUNTRY_NAME")</f>
        <v>United Kingdom</v>
      </c>
      <c r="O280" s="12" t="str">
        <f>_xll.SNL.Clients.Office.Excel.Functions.SPG(I280, "SP_ULT_PARENT_COMPANY_NAME")</f>
        <v/>
      </c>
      <c r="P280" s="12" t="str">
        <f>_xll.SNL.Clients.Office.Excel.Functions.SPG(I280, "SP_ULT_PARENT_COUNTRY")</f>
        <v/>
      </c>
      <c r="Q280" s="12" t="str">
        <f>_xll.SNL.Clients.Office.Excel.Functions.SPG(I280, "SP_PARENT_COMPANY_NAME")</f>
        <v/>
      </c>
      <c r="R280" s="12" t="str">
        <f>_xll.SNL.Clients.Office.Excel.Functions.SPG(I280, "SP_PARENT_COUNTRY")</f>
        <v/>
      </c>
      <c r="S280" s="12" t="str">
        <f>_xll.SNL.Clients.Office.Excel.Functions.SPG(I280, "SP_COUNTRY_NAME")</f>
        <v>Japan</v>
      </c>
    </row>
    <row r="281" spans="1:19" ht="72.5" x14ac:dyDescent="0.35">
      <c r="A281" s="5">
        <v>46022</v>
      </c>
      <c r="B281" s="4" t="s">
        <v>766</v>
      </c>
      <c r="C281" s="4" t="s">
        <v>767</v>
      </c>
      <c r="D281" s="4" t="s">
        <v>994</v>
      </c>
      <c r="E281" s="8">
        <v>4361542</v>
      </c>
      <c r="F281" s="7">
        <v>12.52</v>
      </c>
      <c r="G281" s="12" t="str">
        <f>[1]!SNLData("243327", C281, "OWNER_LIST")</f>
        <v>Antofagasta plc (Venturer) 60%; Mitsubishi Materials Corporation (Venturer) 10%; JX Advanced Metals Corporation (Venturer) 12.52%; Marubeni Corporation (Venturer) 12.48%; Mitsubishi Corporation (Venturer) 5%</v>
      </c>
      <c r="H281" s="9">
        <f>[1]!SNLData("243327", C281, "OWNER_SNL_INSTN_KEY", "Owner 1")</f>
        <v>4348083</v>
      </c>
      <c r="I281" s="9">
        <f>[1]!SNLData("243327", C281, "OWNER_SNL_INSTN_KEY", "Owner 2")</f>
        <v>4361542</v>
      </c>
      <c r="J281" s="12" t="str">
        <f>_xll.SNL.Clients.Office.Excel.Functions.SPG(H281, "SP_ULT_PARENT_COMPANY_NAME")</f>
        <v>E. Abaroa Foundation</v>
      </c>
      <c r="K281" s="12" t="str">
        <f>_xll.SNL.Clients.Office.Excel.Functions.SPG(H281, "SP_ULT_PARENT_COUNTRY")</f>
        <v>Liechtenstein</v>
      </c>
      <c r="L281" s="12" t="str">
        <f>_xll.SNL.Clients.Office.Excel.Functions.SPG(H281, "SP_PARENT_COMPANY_NAME")</f>
        <v>Metalinvest Anstalt</v>
      </c>
      <c r="M281" s="12" t="str">
        <f>_xll.SNL.Clients.Office.Excel.Functions.SPG(H281, "SP_PARENT_COUNTRY")</f>
        <v>Liechtenstein</v>
      </c>
      <c r="N281" s="12" t="str">
        <f>_xll.SNL.Clients.Office.Excel.Functions.SPG(H281, "SP_COUNTRY_NAME")</f>
        <v>United Kingdom</v>
      </c>
      <c r="O281" s="12" t="str">
        <f>_xll.SNL.Clients.Office.Excel.Functions.SPG(I281, "SP_ULT_PARENT_COMPANY_NAME")</f>
        <v/>
      </c>
      <c r="P281" s="12" t="str">
        <f>_xll.SNL.Clients.Office.Excel.Functions.SPG(I281, "SP_ULT_PARENT_COUNTRY")</f>
        <v/>
      </c>
      <c r="Q281" s="12" t="str">
        <f>_xll.SNL.Clients.Office.Excel.Functions.SPG(I281, "SP_PARENT_COMPANY_NAME")</f>
        <v/>
      </c>
      <c r="R281" s="12" t="str">
        <f>_xll.SNL.Clients.Office.Excel.Functions.SPG(I281, "SP_PARENT_COUNTRY")</f>
        <v/>
      </c>
      <c r="S281" s="12" t="str">
        <f>_xll.SNL.Clients.Office.Excel.Functions.SPG(I281, "SP_COUNTRY_NAME")</f>
        <v>Japan</v>
      </c>
    </row>
    <row r="282" spans="1:19" ht="72.5" x14ac:dyDescent="0.35">
      <c r="A282" s="5">
        <v>46022</v>
      </c>
      <c r="B282" s="4" t="s">
        <v>766</v>
      </c>
      <c r="C282" s="4" t="s">
        <v>767</v>
      </c>
      <c r="D282" s="4" t="s">
        <v>952</v>
      </c>
      <c r="E282" s="8">
        <v>4041871</v>
      </c>
      <c r="F282" s="7">
        <v>12.48</v>
      </c>
      <c r="G282" s="12" t="str">
        <f>[1]!SNLData("243327", C282, "OWNER_LIST")</f>
        <v>Antofagasta plc (Venturer) 60%; Mitsubishi Materials Corporation (Venturer) 10%; JX Advanced Metals Corporation (Venturer) 12.52%; Marubeni Corporation (Venturer) 12.48%; Mitsubishi Corporation (Venturer) 5%</v>
      </c>
      <c r="H282" s="9">
        <f>[1]!SNLData("243327", C282, "OWNER_SNL_INSTN_KEY", "Owner 1")</f>
        <v>4348083</v>
      </c>
      <c r="I282" s="9">
        <f>[1]!SNLData("243327", C282, "OWNER_SNL_INSTN_KEY", "Owner 2")</f>
        <v>4361542</v>
      </c>
      <c r="J282" s="12" t="str">
        <f>_xll.SNL.Clients.Office.Excel.Functions.SPG(H282, "SP_ULT_PARENT_COMPANY_NAME")</f>
        <v>E. Abaroa Foundation</v>
      </c>
      <c r="K282" s="12" t="str">
        <f>_xll.SNL.Clients.Office.Excel.Functions.SPG(H282, "SP_ULT_PARENT_COUNTRY")</f>
        <v>Liechtenstein</v>
      </c>
      <c r="L282" s="12" t="str">
        <f>_xll.SNL.Clients.Office.Excel.Functions.SPG(H282, "SP_PARENT_COMPANY_NAME")</f>
        <v>Metalinvest Anstalt</v>
      </c>
      <c r="M282" s="12" t="str">
        <f>_xll.SNL.Clients.Office.Excel.Functions.SPG(H282, "SP_PARENT_COUNTRY")</f>
        <v>Liechtenstein</v>
      </c>
      <c r="N282" s="12" t="str">
        <f>_xll.SNL.Clients.Office.Excel.Functions.SPG(H282, "SP_COUNTRY_NAME")</f>
        <v>United Kingdom</v>
      </c>
      <c r="O282" s="12" t="str">
        <f>_xll.SNL.Clients.Office.Excel.Functions.SPG(I282, "SP_ULT_PARENT_COMPANY_NAME")</f>
        <v/>
      </c>
      <c r="P282" s="12" t="str">
        <f>_xll.SNL.Clients.Office.Excel.Functions.SPG(I282, "SP_ULT_PARENT_COUNTRY")</f>
        <v/>
      </c>
      <c r="Q282" s="12" t="str">
        <f>_xll.SNL.Clients.Office.Excel.Functions.SPG(I282, "SP_PARENT_COMPANY_NAME")</f>
        <v/>
      </c>
      <c r="R282" s="12" t="str">
        <f>_xll.SNL.Clients.Office.Excel.Functions.SPG(I282, "SP_PARENT_COUNTRY")</f>
        <v/>
      </c>
      <c r="S282" s="12" t="str">
        <f>_xll.SNL.Clients.Office.Excel.Functions.SPG(I282, "SP_COUNTRY_NAME")</f>
        <v>Japan</v>
      </c>
    </row>
    <row r="283" spans="1:19" ht="72.5" x14ac:dyDescent="0.35">
      <c r="A283" s="5">
        <v>46022</v>
      </c>
      <c r="B283" s="4" t="s">
        <v>766</v>
      </c>
      <c r="C283" s="4" t="s">
        <v>767</v>
      </c>
      <c r="D283" s="4" t="s">
        <v>949</v>
      </c>
      <c r="E283" s="8">
        <v>4065098</v>
      </c>
      <c r="F283" s="7">
        <v>5</v>
      </c>
      <c r="G283" s="12" t="str">
        <f>[1]!SNLData("243327", C283, "OWNER_LIST")</f>
        <v>Antofagasta plc (Venturer) 60%; Mitsubishi Materials Corporation (Venturer) 10%; JX Advanced Metals Corporation (Venturer) 12.52%; Marubeni Corporation (Venturer) 12.48%; Mitsubishi Corporation (Venturer) 5%</v>
      </c>
      <c r="H283" s="9">
        <f>[1]!SNLData("243327", C283, "OWNER_SNL_INSTN_KEY", "Owner 1")</f>
        <v>4348083</v>
      </c>
      <c r="I283" s="9">
        <f>[1]!SNLData("243327", C283, "OWNER_SNL_INSTN_KEY", "Owner 2")</f>
        <v>4361542</v>
      </c>
      <c r="J283" s="12" t="str">
        <f>_xll.SNL.Clients.Office.Excel.Functions.SPG(H283, "SP_ULT_PARENT_COMPANY_NAME")</f>
        <v>E. Abaroa Foundation</v>
      </c>
      <c r="K283" s="12" t="str">
        <f>_xll.SNL.Clients.Office.Excel.Functions.SPG(H283, "SP_ULT_PARENT_COUNTRY")</f>
        <v>Liechtenstein</v>
      </c>
      <c r="L283" s="12" t="str">
        <f>_xll.SNL.Clients.Office.Excel.Functions.SPG(H283, "SP_PARENT_COMPANY_NAME")</f>
        <v>Metalinvest Anstalt</v>
      </c>
      <c r="M283" s="12" t="str">
        <f>_xll.SNL.Clients.Office.Excel.Functions.SPG(H283, "SP_PARENT_COUNTRY")</f>
        <v>Liechtenstein</v>
      </c>
      <c r="N283" s="12" t="str">
        <f>_xll.SNL.Clients.Office.Excel.Functions.SPG(H283, "SP_COUNTRY_NAME")</f>
        <v>United Kingdom</v>
      </c>
      <c r="O283" s="12" t="str">
        <f>_xll.SNL.Clients.Office.Excel.Functions.SPG(I283, "SP_ULT_PARENT_COMPANY_NAME")</f>
        <v/>
      </c>
      <c r="P283" s="12" t="str">
        <f>_xll.SNL.Clients.Office.Excel.Functions.SPG(I283, "SP_ULT_PARENT_COUNTRY")</f>
        <v/>
      </c>
      <c r="Q283" s="12" t="str">
        <f>_xll.SNL.Clients.Office.Excel.Functions.SPG(I283, "SP_PARENT_COMPANY_NAME")</f>
        <v/>
      </c>
      <c r="R283" s="12" t="str">
        <f>_xll.SNL.Clients.Office.Excel.Functions.SPG(I283, "SP_PARENT_COUNTRY")</f>
        <v/>
      </c>
      <c r="S283" s="12" t="str">
        <f>_xll.SNL.Clients.Office.Excel.Functions.SPG(I283, "SP_COUNTRY_NAME")</f>
        <v>Japan</v>
      </c>
    </row>
    <row r="284" spans="1:19" ht="72.5" x14ac:dyDescent="0.35">
      <c r="A284" s="5">
        <v>46022</v>
      </c>
      <c r="B284" s="4" t="s">
        <v>766</v>
      </c>
      <c r="C284" s="4" t="s">
        <v>767</v>
      </c>
      <c r="D284" s="4" t="s">
        <v>1033</v>
      </c>
      <c r="E284" s="8">
        <v>4212961</v>
      </c>
      <c r="F284" s="7">
        <v>10</v>
      </c>
      <c r="G284" s="12" t="str">
        <f>[1]!SNLData("243327", C284, "OWNER_LIST")</f>
        <v>Antofagasta plc (Venturer) 60%; Mitsubishi Materials Corporation (Venturer) 10%; JX Advanced Metals Corporation (Venturer) 12.52%; Marubeni Corporation (Venturer) 12.48%; Mitsubishi Corporation (Venturer) 5%</v>
      </c>
      <c r="H284" s="9">
        <f>[1]!SNLData("243327", C284, "OWNER_SNL_INSTN_KEY", "Owner 1")</f>
        <v>4348083</v>
      </c>
      <c r="I284" s="9">
        <f>[1]!SNLData("243327", C284, "OWNER_SNL_INSTN_KEY", "Owner 2")</f>
        <v>4361542</v>
      </c>
      <c r="J284" s="12" t="str">
        <f>_xll.SNL.Clients.Office.Excel.Functions.SPG(H284, "SP_ULT_PARENT_COMPANY_NAME")</f>
        <v>E. Abaroa Foundation</v>
      </c>
      <c r="K284" s="12" t="str">
        <f>_xll.SNL.Clients.Office.Excel.Functions.SPG(H284, "SP_ULT_PARENT_COUNTRY")</f>
        <v>Liechtenstein</v>
      </c>
      <c r="L284" s="12" t="str">
        <f>_xll.SNL.Clients.Office.Excel.Functions.SPG(H284, "SP_PARENT_COMPANY_NAME")</f>
        <v>Metalinvest Anstalt</v>
      </c>
      <c r="M284" s="12" t="str">
        <f>_xll.SNL.Clients.Office.Excel.Functions.SPG(H284, "SP_PARENT_COUNTRY")</f>
        <v>Liechtenstein</v>
      </c>
      <c r="N284" s="12" t="str">
        <f>_xll.SNL.Clients.Office.Excel.Functions.SPG(H284, "SP_COUNTRY_NAME")</f>
        <v>United Kingdom</v>
      </c>
      <c r="O284" s="12" t="str">
        <f>_xll.SNL.Clients.Office.Excel.Functions.SPG(I284, "SP_ULT_PARENT_COMPANY_NAME")</f>
        <v/>
      </c>
      <c r="P284" s="12" t="str">
        <f>_xll.SNL.Clients.Office.Excel.Functions.SPG(I284, "SP_ULT_PARENT_COUNTRY")</f>
        <v/>
      </c>
      <c r="Q284" s="12" t="str">
        <f>_xll.SNL.Clients.Office.Excel.Functions.SPG(I284, "SP_PARENT_COMPANY_NAME")</f>
        <v/>
      </c>
      <c r="R284" s="12" t="str">
        <f>_xll.SNL.Clients.Office.Excel.Functions.SPG(I284, "SP_PARENT_COUNTRY")</f>
        <v/>
      </c>
      <c r="S284" s="12" t="str">
        <f>_xll.SNL.Clients.Office.Excel.Functions.SPG(I284, "SP_COUNTRY_NAME")</f>
        <v>Japan</v>
      </c>
    </row>
    <row r="285" spans="1:19" ht="43.5" x14ac:dyDescent="0.35">
      <c r="A285" s="5">
        <v>46022</v>
      </c>
      <c r="B285" s="4" t="s">
        <v>318</v>
      </c>
      <c r="C285" s="4" t="s">
        <v>319</v>
      </c>
      <c r="D285" s="4" t="s">
        <v>1085</v>
      </c>
      <c r="E285" s="8">
        <v>4983224</v>
      </c>
      <c r="F285" s="7">
        <v>80</v>
      </c>
      <c r="G285" s="12" t="str">
        <f>[1]!SNLData("243327", C285, "OWNER_LIST")</f>
        <v>ZCCM Investments Holdings Plc (Venturer) 20%; JCHX Mining Management Co.,Ltd. (Venturer) 80%</v>
      </c>
      <c r="H285" s="9">
        <f>[1]!SNLData("243327", C285, "OWNER_SNL_INSTN_KEY", "Owner 1")</f>
        <v>4983224</v>
      </c>
      <c r="I285" s="9">
        <f>[1]!SNLData("243327", C285, "OWNER_SNL_INSTN_KEY", "Owner 2")</f>
        <v>4355602</v>
      </c>
      <c r="J285" s="12" t="str">
        <f>_xll.SNL.Clients.Office.Excel.Functions.SPG(H285, "SP_ULT_PARENT_COMPANY_NAME")</f>
        <v>JCHX Group Co., Ltd.</v>
      </c>
      <c r="K285" s="12" t="str">
        <f>_xll.SNL.Clients.Office.Excel.Functions.SPG(H285, "SP_ULT_PARENT_COUNTRY")</f>
        <v>China</v>
      </c>
      <c r="L285" s="12" t="str">
        <f>_xll.SNL.Clients.Office.Excel.Functions.SPG(H285, "SP_PARENT_COMPANY_NAME")</f>
        <v>JCHX Group Co., Ltd.</v>
      </c>
      <c r="M285" s="12" t="str">
        <f>_xll.SNL.Clients.Office.Excel.Functions.SPG(H285, "SP_PARENT_COUNTRY")</f>
        <v>China</v>
      </c>
      <c r="N285" s="12" t="str">
        <f>_xll.SNL.Clients.Office.Excel.Functions.SPG(H285, "SP_COUNTRY_NAME")</f>
        <v>China</v>
      </c>
      <c r="O285" s="12" t="str">
        <f>_xll.SNL.Clients.Office.Excel.Functions.SPG(I285, "SP_ULT_PARENT_COMPANY_NAME")</f>
        <v>Industrial Development Corporation (Zambia) Limited</v>
      </c>
      <c r="P285" s="12" t="str">
        <f>_xll.SNL.Clients.Office.Excel.Functions.SPG(I285, "SP_ULT_PARENT_COUNTRY")</f>
        <v>Zambia</v>
      </c>
      <c r="Q285" s="12" t="str">
        <f>_xll.SNL.Clients.Office.Excel.Functions.SPG(I285, "SP_PARENT_COMPANY_NAME")</f>
        <v>Industrial Development Corporation (Zambia) Limited</v>
      </c>
      <c r="R285" s="12" t="str">
        <f>_xll.SNL.Clients.Office.Excel.Functions.SPG(I285, "SP_PARENT_COUNTRY")</f>
        <v>Zambia</v>
      </c>
      <c r="S285" s="12" t="str">
        <f>_xll.SNL.Clients.Office.Excel.Functions.SPG(I285, "SP_COUNTRY_NAME")</f>
        <v>Zambia</v>
      </c>
    </row>
    <row r="286" spans="1:19" ht="43.5" x14ac:dyDescent="0.35">
      <c r="A286" s="5">
        <v>46022</v>
      </c>
      <c r="B286" s="4" t="s">
        <v>318</v>
      </c>
      <c r="C286" s="4" t="s">
        <v>319</v>
      </c>
      <c r="D286" s="4" t="s">
        <v>1002</v>
      </c>
      <c r="E286" s="8">
        <v>4355602</v>
      </c>
      <c r="F286" s="7">
        <v>20</v>
      </c>
      <c r="G286" s="12" t="str">
        <f>[1]!SNLData("243327", C286, "OWNER_LIST")</f>
        <v>ZCCM Investments Holdings Plc (Venturer) 20%; JCHX Mining Management Co.,Ltd. (Venturer) 80%</v>
      </c>
      <c r="H286" s="9">
        <f>[1]!SNLData("243327", C286, "OWNER_SNL_INSTN_KEY", "Owner 1")</f>
        <v>4983224</v>
      </c>
      <c r="I286" s="9">
        <f>[1]!SNLData("243327", C286, "OWNER_SNL_INSTN_KEY", "Owner 2")</f>
        <v>4355602</v>
      </c>
      <c r="J286" s="12" t="str">
        <f>_xll.SNL.Clients.Office.Excel.Functions.SPG(H286, "SP_ULT_PARENT_COMPANY_NAME")</f>
        <v>JCHX Group Co., Ltd.</v>
      </c>
      <c r="K286" s="12" t="str">
        <f>_xll.SNL.Clients.Office.Excel.Functions.SPG(H286, "SP_ULT_PARENT_COUNTRY")</f>
        <v>China</v>
      </c>
      <c r="L286" s="12" t="str">
        <f>_xll.SNL.Clients.Office.Excel.Functions.SPG(H286, "SP_PARENT_COMPANY_NAME")</f>
        <v>JCHX Group Co., Ltd.</v>
      </c>
      <c r="M286" s="12" t="str">
        <f>_xll.SNL.Clients.Office.Excel.Functions.SPG(H286, "SP_PARENT_COUNTRY")</f>
        <v>China</v>
      </c>
      <c r="N286" s="12" t="str">
        <f>_xll.SNL.Clients.Office.Excel.Functions.SPG(H286, "SP_COUNTRY_NAME")</f>
        <v>China</v>
      </c>
      <c r="O286" s="12" t="str">
        <f>_xll.SNL.Clients.Office.Excel.Functions.SPG(I286, "SP_ULT_PARENT_COMPANY_NAME")</f>
        <v>Industrial Development Corporation (Zambia) Limited</v>
      </c>
      <c r="P286" s="12" t="str">
        <f>_xll.SNL.Clients.Office.Excel.Functions.SPG(I286, "SP_ULT_PARENT_COUNTRY")</f>
        <v>Zambia</v>
      </c>
      <c r="Q286" s="12" t="str">
        <f>_xll.SNL.Clients.Office.Excel.Functions.SPG(I286, "SP_PARENT_COMPANY_NAME")</f>
        <v>Industrial Development Corporation (Zambia) Limited</v>
      </c>
      <c r="R286" s="12" t="str">
        <f>_xll.SNL.Clients.Office.Excel.Functions.SPG(I286, "SP_PARENT_COUNTRY")</f>
        <v>Zambia</v>
      </c>
      <c r="S286" s="12" t="str">
        <f>_xll.SNL.Clients.Office.Excel.Functions.SPG(I286, "SP_COUNTRY_NAME")</f>
        <v>Zambia</v>
      </c>
    </row>
    <row r="287" spans="1:19" x14ac:dyDescent="0.35">
      <c r="A287" s="5">
        <v>46022</v>
      </c>
      <c r="B287" s="4" t="s">
        <v>768</v>
      </c>
      <c r="C287" s="4" t="s">
        <v>769</v>
      </c>
      <c r="D287" s="4" t="s">
        <v>981</v>
      </c>
      <c r="E287" s="8">
        <v>4120225</v>
      </c>
      <c r="F287" s="7">
        <v>100</v>
      </c>
      <c r="G287" s="12" t="str">
        <f>[1]!SNLData("243327", C287, "OWNER_LIST")</f>
        <v>Barrick Mining Corporation  100%</v>
      </c>
      <c r="H287" s="9">
        <f>[1]!SNLData("243327", C287, "OWNER_SNL_INSTN_KEY", "Owner 1")</f>
        <v>4120225</v>
      </c>
      <c r="I287" s="9" t="str">
        <f>[1]!SNLData("243327", C287, "OWNER_SNL_INSTN_KEY", "Owner 2")</f>
        <v>NA</v>
      </c>
      <c r="J287" s="12" t="str">
        <f>_xll.SNL.Clients.Office.Excel.Functions.SPG(H287, "SP_ULT_PARENT_COMPANY_NAME")</f>
        <v/>
      </c>
      <c r="K287" s="12" t="str">
        <f>_xll.SNL.Clients.Office.Excel.Functions.SPG(H287, "SP_ULT_PARENT_COUNTRY")</f>
        <v/>
      </c>
      <c r="L287" s="12" t="str">
        <f>_xll.SNL.Clients.Office.Excel.Functions.SPG(H287, "SP_PARENT_COMPANY_NAME")</f>
        <v/>
      </c>
      <c r="M287" s="12" t="str">
        <f>_xll.SNL.Clients.Office.Excel.Functions.SPG(H287, "SP_PARENT_COUNTRY")</f>
        <v/>
      </c>
      <c r="N287" s="12" t="str">
        <f>_xll.SNL.Clients.Office.Excel.Functions.SPG(H287, "SP_COUNTRY_NAME")</f>
        <v>Canada</v>
      </c>
      <c r="O287" s="12" t="str">
        <f>_xll.SNL.Clients.Office.Excel.Functions.SPG(I287, "SP_ULT_PARENT_COMPANY_NAME")</f>
        <v/>
      </c>
      <c r="P287" s="12" t="str">
        <f>_xll.SNL.Clients.Office.Excel.Functions.SPG(I287, "SP_ULT_PARENT_COUNTRY")</f>
        <v/>
      </c>
      <c r="Q287" s="12" t="str">
        <f>_xll.SNL.Clients.Office.Excel.Functions.SPG(I287, "SP_PARENT_COMPANY_NAME")</f>
        <v/>
      </c>
      <c r="R287" s="12" t="str">
        <f>_xll.SNL.Clients.Office.Excel.Functions.SPG(I287, "SP_PARENT_COUNTRY")</f>
        <v/>
      </c>
      <c r="S287" s="12" t="str">
        <f>_xll.SNL.Clients.Office.Excel.Functions.SPG(I287, "SP_COUNTRY_NAME")</f>
        <v>China</v>
      </c>
    </row>
    <row r="288" spans="1:19" ht="29" x14ac:dyDescent="0.35">
      <c r="A288" s="5">
        <v>46022</v>
      </c>
      <c r="B288" s="4" t="s">
        <v>770</v>
      </c>
      <c r="C288" s="4" t="s">
        <v>771</v>
      </c>
      <c r="D288" s="4" t="s">
        <v>1086</v>
      </c>
      <c r="E288" s="8">
        <v>10931251</v>
      </c>
      <c r="F288" s="7">
        <v>100</v>
      </c>
      <c r="G288" s="12" t="str">
        <f>[1]!SNLData("243327", C288, "OWNER_LIST")</f>
        <v>Huili County Luodong Copper Industry Co., Ltd.  100%</v>
      </c>
      <c r="H288" s="9">
        <f>[1]!SNLData("243327", C288, "OWNER_SNL_INSTN_KEY", "Owner 1")</f>
        <v>10931251</v>
      </c>
      <c r="I288" s="9" t="str">
        <f>[1]!SNLData("243327", C288, "OWNER_SNL_INSTN_KEY", "Owner 2")</f>
        <v>NA</v>
      </c>
      <c r="J288" s="12" t="str">
        <f>_xll.SNL.Clients.Office.Excel.Functions.SPG(H288, "SP_ULT_PARENT_COMPANY_NAME")</f>
        <v/>
      </c>
      <c r="K288" s="12" t="str">
        <f>_xll.SNL.Clients.Office.Excel.Functions.SPG(H288, "SP_ULT_PARENT_COUNTRY")</f>
        <v/>
      </c>
      <c r="L288" s="12" t="str">
        <f>_xll.SNL.Clients.Office.Excel.Functions.SPG(H288, "SP_PARENT_COMPANY_NAME")</f>
        <v/>
      </c>
      <c r="M288" s="12" t="str">
        <f>_xll.SNL.Clients.Office.Excel.Functions.SPG(H288, "SP_PARENT_COUNTRY")</f>
        <v/>
      </c>
      <c r="N288" s="12" t="str">
        <f>_xll.SNL.Clients.Office.Excel.Functions.SPG(H288, "SP_COUNTRY_NAME")</f>
        <v>China</v>
      </c>
      <c r="O288" s="12" t="str">
        <f>_xll.SNL.Clients.Office.Excel.Functions.SPG(I288, "SP_ULT_PARENT_COMPANY_NAME")</f>
        <v/>
      </c>
      <c r="P288" s="12" t="str">
        <f>_xll.SNL.Clients.Office.Excel.Functions.SPG(I288, "SP_ULT_PARENT_COUNTRY")</f>
        <v/>
      </c>
      <c r="Q288" s="12" t="str">
        <f>_xll.SNL.Clients.Office.Excel.Functions.SPG(I288, "SP_PARENT_COMPANY_NAME")</f>
        <v/>
      </c>
      <c r="R288" s="12" t="str">
        <f>_xll.SNL.Clients.Office.Excel.Functions.SPG(I288, "SP_PARENT_COUNTRY")</f>
        <v/>
      </c>
      <c r="S288" s="12" t="str">
        <f>_xll.SNL.Clients.Office.Excel.Functions.SPG(I288, "SP_COUNTRY_NAME")</f>
        <v>China</v>
      </c>
    </row>
    <row r="289" spans="1:19" x14ac:dyDescent="0.35">
      <c r="A289" s="5">
        <v>46022</v>
      </c>
      <c r="B289" s="4" t="s">
        <v>320</v>
      </c>
      <c r="C289" s="4" t="s">
        <v>321</v>
      </c>
      <c r="D289" s="4" t="s">
        <v>1087</v>
      </c>
      <c r="E289" s="8">
        <v>10931198</v>
      </c>
      <c r="F289" s="7">
        <v>100</v>
      </c>
      <c r="G289" s="12" t="str">
        <f>[1]!SNLData("243327", C289, "OWNER_LIST")</f>
        <v>Wuqu County Wulong Industrial Co., Ltd.  100%</v>
      </c>
      <c r="H289" s="9">
        <f>[1]!SNLData("243327", C289, "OWNER_SNL_INSTN_KEY", "Owner 1")</f>
        <v>10931198</v>
      </c>
      <c r="I289" s="9" t="str">
        <f>[1]!SNLData("243327", C289, "OWNER_SNL_INSTN_KEY", "Owner 2")</f>
        <v>NA</v>
      </c>
      <c r="J289" s="12" t="str">
        <f>_xll.SNL.Clients.Office.Excel.Functions.SPG(H289, "SP_ULT_PARENT_COMPANY_NAME")</f>
        <v/>
      </c>
      <c r="K289" s="12" t="str">
        <f>_xll.SNL.Clients.Office.Excel.Functions.SPG(H289, "SP_ULT_PARENT_COUNTRY")</f>
        <v/>
      </c>
      <c r="L289" s="12" t="str">
        <f>_xll.SNL.Clients.Office.Excel.Functions.SPG(H289, "SP_PARENT_COMPANY_NAME")</f>
        <v/>
      </c>
      <c r="M289" s="12" t="str">
        <f>_xll.SNL.Clients.Office.Excel.Functions.SPG(H289, "SP_PARENT_COUNTRY")</f>
        <v/>
      </c>
      <c r="N289" s="12" t="str">
        <f>_xll.SNL.Clients.Office.Excel.Functions.SPG(H289, "SP_COUNTRY_NAME")</f>
        <v>China</v>
      </c>
      <c r="O289" s="12" t="str">
        <f>_xll.SNL.Clients.Office.Excel.Functions.SPG(I289, "SP_ULT_PARENT_COMPANY_NAME")</f>
        <v/>
      </c>
      <c r="P289" s="12" t="str">
        <f>_xll.SNL.Clients.Office.Excel.Functions.SPG(I289, "SP_ULT_PARENT_COUNTRY")</f>
        <v/>
      </c>
      <c r="Q289" s="12" t="str">
        <f>_xll.SNL.Clients.Office.Excel.Functions.SPG(I289, "SP_PARENT_COMPANY_NAME")</f>
        <v/>
      </c>
      <c r="R289" s="12" t="str">
        <f>_xll.SNL.Clients.Office.Excel.Functions.SPG(I289, "SP_PARENT_COUNTRY")</f>
        <v/>
      </c>
      <c r="S289" s="12" t="str">
        <f>_xll.SNL.Clients.Office.Excel.Functions.SPG(I289, "SP_COUNTRY_NAME")</f>
        <v>China</v>
      </c>
    </row>
    <row r="290" spans="1:19" x14ac:dyDescent="0.35">
      <c r="A290" s="5">
        <v>46022</v>
      </c>
      <c r="B290" s="4" t="s">
        <v>772</v>
      </c>
      <c r="C290" s="4" t="s">
        <v>773</v>
      </c>
      <c r="D290" s="4" t="s">
        <v>1088</v>
      </c>
      <c r="E290" s="8">
        <v>10948013</v>
      </c>
      <c r="F290" s="7">
        <v>100</v>
      </c>
      <c r="G290" s="12" t="str">
        <f>[1]!SNLData("243327", C290, "OWNER_LIST")</f>
        <v>Huili Xingda Mining Co., Ltd  100%</v>
      </c>
      <c r="H290" s="9">
        <f>[1]!SNLData("243327", C290, "OWNER_SNL_INSTN_KEY", "Owner 1")</f>
        <v>10948013</v>
      </c>
      <c r="I290" s="9" t="str">
        <f>[1]!SNLData("243327", C290, "OWNER_SNL_INSTN_KEY", "Owner 2")</f>
        <v>NA</v>
      </c>
      <c r="J290" s="12" t="str">
        <f>_xll.SNL.Clients.Office.Excel.Functions.SPG(H290, "SP_ULT_PARENT_COMPANY_NAME")</f>
        <v/>
      </c>
      <c r="K290" s="12" t="str">
        <f>_xll.SNL.Clients.Office.Excel.Functions.SPG(H290, "SP_ULT_PARENT_COUNTRY")</f>
        <v/>
      </c>
      <c r="L290" s="12" t="str">
        <f>_xll.SNL.Clients.Office.Excel.Functions.SPG(H290, "SP_PARENT_COMPANY_NAME")</f>
        <v/>
      </c>
      <c r="M290" s="12" t="str">
        <f>_xll.SNL.Clients.Office.Excel.Functions.SPG(H290, "SP_PARENT_COUNTRY")</f>
        <v/>
      </c>
      <c r="N290" s="12" t="str">
        <f>_xll.SNL.Clients.Office.Excel.Functions.SPG(H290, "SP_COUNTRY_NAME")</f>
        <v>China</v>
      </c>
      <c r="O290" s="12" t="str">
        <f>_xll.SNL.Clients.Office.Excel.Functions.SPG(I290, "SP_ULT_PARENT_COMPANY_NAME")</f>
        <v/>
      </c>
      <c r="P290" s="12" t="str">
        <f>_xll.SNL.Clients.Office.Excel.Functions.SPG(I290, "SP_ULT_PARENT_COUNTRY")</f>
        <v/>
      </c>
      <c r="Q290" s="12" t="str">
        <f>_xll.SNL.Clients.Office.Excel.Functions.SPG(I290, "SP_PARENT_COMPANY_NAME")</f>
        <v/>
      </c>
      <c r="R290" s="12" t="str">
        <f>_xll.SNL.Clients.Office.Excel.Functions.SPG(I290, "SP_PARENT_COUNTRY")</f>
        <v/>
      </c>
      <c r="S290" s="12" t="str">
        <f>_xll.SNL.Clients.Office.Excel.Functions.SPG(I290, "SP_COUNTRY_NAME")</f>
        <v>China</v>
      </c>
    </row>
    <row r="291" spans="1:19" ht="72.5" x14ac:dyDescent="0.35">
      <c r="A291" s="5">
        <v>46022</v>
      </c>
      <c r="B291" s="4" t="s">
        <v>577</v>
      </c>
      <c r="C291" s="4" t="s">
        <v>578</v>
      </c>
      <c r="D291" s="4" t="s">
        <v>1001</v>
      </c>
      <c r="E291" s="8">
        <v>4349160</v>
      </c>
      <c r="F291" s="7">
        <v>42</v>
      </c>
      <c r="G291" s="12" t="str">
        <f>[1]!SNLData("243327", C291, "OWNER_LIST")</f>
        <v>China Nonferrous Mining Corporation Limited (Venturer) 42%; Huachin SARL (Venturer) 35%; Unnamed Owner (Venturer) 23%</v>
      </c>
      <c r="H291" s="9">
        <f>[1]!SNLData("243327", C291, "OWNER_SNL_INSTN_KEY", "Owner 1")</f>
        <v>4349160</v>
      </c>
      <c r="I291" s="9">
        <f>[1]!SNLData("243327", C291, "OWNER_SNL_INSTN_KEY", "Owner 2")</f>
        <v>19378802</v>
      </c>
      <c r="J291" s="12" t="str">
        <f>_xll.SNL.Clients.Office.Excel.Functions.SPG(H291, "SP_ULT_PARENT_COMPANY_NAME")</f>
        <v>State-owned Assets Supervision and Administration Commission of the State Counci</v>
      </c>
      <c r="K291" s="12" t="str">
        <f>_xll.SNL.Clients.Office.Excel.Functions.SPG(H291, "SP_ULT_PARENT_COUNTRY")</f>
        <v>China</v>
      </c>
      <c r="L291" s="12" t="str">
        <f>_xll.SNL.Clients.Office.Excel.Functions.SPG(H291, "SP_PARENT_COMPANY_NAME")</f>
        <v>China Nonferrous Mining Development Limited</v>
      </c>
      <c r="M291" s="12" t="str">
        <f>_xll.SNL.Clients.Office.Excel.Functions.SPG(H291, "SP_PARENT_COUNTRY")</f>
        <v>BVI</v>
      </c>
      <c r="N291" s="12" t="str">
        <f>_xll.SNL.Clients.Office.Excel.Functions.SPG(H291, "SP_COUNTRY_NAME")</f>
        <v>China</v>
      </c>
      <c r="O291" s="12" t="str">
        <f>_xll.SNL.Clients.Office.Excel.Functions.SPG(I291, "SP_ULT_PARENT_COMPANY_NAME")</f>
        <v/>
      </c>
      <c r="P291" s="12" t="str">
        <f>_xll.SNL.Clients.Office.Excel.Functions.SPG(I291, "SP_ULT_PARENT_COUNTRY")</f>
        <v/>
      </c>
      <c r="Q291" s="12" t="str">
        <f>_xll.SNL.Clients.Office.Excel.Functions.SPG(I291, "SP_PARENT_COMPANY_NAME")</f>
        <v/>
      </c>
      <c r="R291" s="12" t="str">
        <f>_xll.SNL.Clients.Office.Excel.Functions.SPG(I291, "SP_PARENT_COUNTRY")</f>
        <v/>
      </c>
      <c r="S291" s="12" t="str">
        <f>_xll.SNL.Clients.Office.Excel.Functions.SPG(I291, "SP_COUNTRY_NAME")</f>
        <v>USA</v>
      </c>
    </row>
    <row r="292" spans="1:19" ht="72.5" x14ac:dyDescent="0.35">
      <c r="A292" s="5">
        <v>46022</v>
      </c>
      <c r="B292" s="4" t="s">
        <v>577</v>
      </c>
      <c r="C292" s="4" t="s">
        <v>578</v>
      </c>
      <c r="D292" s="4" t="s">
        <v>1089</v>
      </c>
      <c r="E292" s="8">
        <v>19378802</v>
      </c>
      <c r="F292" s="7">
        <v>35</v>
      </c>
      <c r="G292" s="12" t="str">
        <f>[1]!SNLData("243327", C292, "OWNER_LIST")</f>
        <v>China Nonferrous Mining Corporation Limited (Venturer) 42%; Huachin SARL (Venturer) 35%; Unnamed Owner (Venturer) 23%</v>
      </c>
      <c r="H292" s="9">
        <f>[1]!SNLData("243327", C292, "OWNER_SNL_INSTN_KEY", "Owner 1")</f>
        <v>4349160</v>
      </c>
      <c r="I292" s="9">
        <f>[1]!SNLData("243327", C292, "OWNER_SNL_INSTN_KEY", "Owner 2")</f>
        <v>19378802</v>
      </c>
      <c r="J292" s="12" t="str">
        <f>_xll.SNL.Clients.Office.Excel.Functions.SPG(H292, "SP_ULT_PARENT_COMPANY_NAME")</f>
        <v>State-owned Assets Supervision and Administration Commission of the State Counci</v>
      </c>
      <c r="K292" s="12" t="str">
        <f>_xll.SNL.Clients.Office.Excel.Functions.SPG(H292, "SP_ULT_PARENT_COUNTRY")</f>
        <v>China</v>
      </c>
      <c r="L292" s="12" t="str">
        <f>_xll.SNL.Clients.Office.Excel.Functions.SPG(H292, "SP_PARENT_COMPANY_NAME")</f>
        <v>China Nonferrous Mining Development Limited</v>
      </c>
      <c r="M292" s="12" t="str">
        <f>_xll.SNL.Clients.Office.Excel.Functions.SPG(H292, "SP_PARENT_COUNTRY")</f>
        <v>BVI</v>
      </c>
      <c r="N292" s="12" t="str">
        <f>_xll.SNL.Clients.Office.Excel.Functions.SPG(H292, "SP_COUNTRY_NAME")</f>
        <v>China</v>
      </c>
      <c r="O292" s="12" t="str">
        <f>_xll.SNL.Clients.Office.Excel.Functions.SPG(I292, "SP_ULT_PARENT_COMPANY_NAME")</f>
        <v/>
      </c>
      <c r="P292" s="12" t="str">
        <f>_xll.SNL.Clients.Office.Excel.Functions.SPG(I292, "SP_ULT_PARENT_COUNTRY")</f>
        <v/>
      </c>
      <c r="Q292" s="12" t="str">
        <f>_xll.SNL.Clients.Office.Excel.Functions.SPG(I292, "SP_PARENT_COMPANY_NAME")</f>
        <v/>
      </c>
      <c r="R292" s="12" t="str">
        <f>_xll.SNL.Clients.Office.Excel.Functions.SPG(I292, "SP_PARENT_COUNTRY")</f>
        <v/>
      </c>
      <c r="S292" s="12" t="str">
        <f>_xll.SNL.Clients.Office.Excel.Functions.SPG(I292, "SP_COUNTRY_NAME")</f>
        <v>USA</v>
      </c>
    </row>
    <row r="293" spans="1:19" x14ac:dyDescent="0.35">
      <c r="A293" s="5">
        <v>46022</v>
      </c>
      <c r="B293" s="4" t="s">
        <v>322</v>
      </c>
      <c r="C293" s="4" t="s">
        <v>323</v>
      </c>
      <c r="D293" s="4" t="s">
        <v>1090</v>
      </c>
      <c r="E293" s="8">
        <v>4223919</v>
      </c>
      <c r="F293" s="7">
        <v>100</v>
      </c>
      <c r="G293" s="12" t="str">
        <f>[1]!SNLData("243327", C293, "OWNER_LIST")</f>
        <v>Vale S.A.  100%</v>
      </c>
      <c r="H293" s="9">
        <f>[1]!SNLData("243327", C293, "OWNER_SNL_INSTN_KEY", "Owner 1")</f>
        <v>4223919</v>
      </c>
      <c r="I293" s="9" t="str">
        <f>[1]!SNLData("243327", C293, "OWNER_SNL_INSTN_KEY", "Owner 2")</f>
        <v>NA</v>
      </c>
      <c r="J293" s="12" t="str">
        <f>_xll.SNL.Clients.Office.Excel.Functions.SPG(H293, "SP_ULT_PARENT_COMPANY_NAME")</f>
        <v/>
      </c>
      <c r="K293" s="12" t="str">
        <f>_xll.SNL.Clients.Office.Excel.Functions.SPG(H293, "SP_ULT_PARENT_COUNTRY")</f>
        <v/>
      </c>
      <c r="L293" s="12" t="str">
        <f>_xll.SNL.Clients.Office.Excel.Functions.SPG(H293, "SP_PARENT_COMPANY_NAME")</f>
        <v/>
      </c>
      <c r="M293" s="12" t="str">
        <f>_xll.SNL.Clients.Office.Excel.Functions.SPG(H293, "SP_PARENT_COUNTRY")</f>
        <v/>
      </c>
      <c r="N293" s="12" t="str">
        <f>_xll.SNL.Clients.Office.Excel.Functions.SPG(H293, "SP_COUNTRY_NAME")</f>
        <v>Brazil</v>
      </c>
      <c r="O293" s="12" t="str">
        <f>_xll.SNL.Clients.Office.Excel.Functions.SPG(I293, "SP_ULT_PARENT_COMPANY_NAME")</f>
        <v/>
      </c>
      <c r="P293" s="12" t="str">
        <f>_xll.SNL.Clients.Office.Excel.Functions.SPG(I293, "SP_ULT_PARENT_COUNTRY")</f>
        <v/>
      </c>
      <c r="Q293" s="12" t="str">
        <f>_xll.SNL.Clients.Office.Excel.Functions.SPG(I293, "SP_PARENT_COMPANY_NAME")</f>
        <v/>
      </c>
      <c r="R293" s="12" t="str">
        <f>_xll.SNL.Clients.Office.Excel.Functions.SPG(I293, "SP_PARENT_COUNTRY")</f>
        <v/>
      </c>
      <c r="S293" s="12" t="str">
        <f>_xll.SNL.Clients.Office.Excel.Functions.SPG(I293, "SP_COUNTRY_NAME")</f>
        <v>China</v>
      </c>
    </row>
    <row r="294" spans="1:19" x14ac:dyDescent="0.35">
      <c r="A294" s="5">
        <v>46022</v>
      </c>
      <c r="B294" s="4" t="s">
        <v>774</v>
      </c>
      <c r="C294" s="4" t="s">
        <v>775</v>
      </c>
      <c r="D294" s="4" t="s">
        <v>1013</v>
      </c>
      <c r="E294" s="8">
        <v>4348938</v>
      </c>
      <c r="F294" s="7">
        <v>100</v>
      </c>
      <c r="G294" s="12" t="str">
        <f>[1]!SNLData("243327", C294, "OWNER_LIST")</f>
        <v>Capstone Copper Corp.  100%</v>
      </c>
      <c r="H294" s="9">
        <f>[1]!SNLData("243327", C294, "OWNER_SNL_INSTN_KEY", "Owner 1")</f>
        <v>4348938</v>
      </c>
      <c r="I294" s="9" t="str">
        <f>[1]!SNLData("243327", C294, "OWNER_SNL_INSTN_KEY", "Owner 2")</f>
        <v>NA</v>
      </c>
      <c r="J294" s="12" t="str">
        <f>_xll.SNL.Clients.Office.Excel.Functions.SPG(H294, "SP_ULT_PARENT_COMPANY_NAME")</f>
        <v/>
      </c>
      <c r="K294" s="12" t="str">
        <f>_xll.SNL.Clients.Office.Excel.Functions.SPG(H294, "SP_ULT_PARENT_COUNTRY")</f>
        <v/>
      </c>
      <c r="L294" s="12" t="str">
        <f>_xll.SNL.Clients.Office.Excel.Functions.SPG(H294, "SP_PARENT_COMPANY_NAME")</f>
        <v/>
      </c>
      <c r="M294" s="12" t="str">
        <f>_xll.SNL.Clients.Office.Excel.Functions.SPG(H294, "SP_PARENT_COUNTRY")</f>
        <v/>
      </c>
      <c r="N294" s="12" t="str">
        <f>_xll.SNL.Clients.Office.Excel.Functions.SPG(H294, "SP_COUNTRY_NAME")</f>
        <v>Canada</v>
      </c>
      <c r="O294" s="12" t="str">
        <f>_xll.SNL.Clients.Office.Excel.Functions.SPG(I294, "SP_ULT_PARENT_COMPANY_NAME")</f>
        <v/>
      </c>
      <c r="P294" s="12" t="str">
        <f>_xll.SNL.Clients.Office.Excel.Functions.SPG(I294, "SP_ULT_PARENT_COUNTRY")</f>
        <v/>
      </c>
      <c r="Q294" s="12" t="str">
        <f>_xll.SNL.Clients.Office.Excel.Functions.SPG(I294, "SP_PARENT_COMPANY_NAME")</f>
        <v/>
      </c>
      <c r="R294" s="12" t="str">
        <f>_xll.SNL.Clients.Office.Excel.Functions.SPG(I294, "SP_PARENT_COUNTRY")</f>
        <v/>
      </c>
      <c r="S294" s="12" t="str">
        <f>_xll.SNL.Clients.Office.Excel.Functions.SPG(I294, "SP_COUNTRY_NAME")</f>
        <v>China</v>
      </c>
    </row>
    <row r="295" spans="1:19" x14ac:dyDescent="0.35">
      <c r="A295" s="5">
        <v>46022</v>
      </c>
      <c r="B295" s="4" t="s">
        <v>579</v>
      </c>
      <c r="C295" s="4" t="s">
        <v>580</v>
      </c>
      <c r="D295" s="4" t="s">
        <v>1013</v>
      </c>
      <c r="E295" s="8">
        <v>4348938</v>
      </c>
      <c r="F295" s="7">
        <v>100</v>
      </c>
      <c r="G295" s="12" t="str">
        <f>[1]!SNLData("243327", C295, "OWNER_LIST")</f>
        <v>Capstone Copper Corp.  100%</v>
      </c>
      <c r="H295" s="9">
        <f>[1]!SNLData("243327", C295, "OWNER_SNL_INSTN_KEY", "Owner 1")</f>
        <v>4348938</v>
      </c>
      <c r="I295" s="9" t="str">
        <f>[1]!SNLData("243327", C295, "OWNER_SNL_INSTN_KEY", "Owner 2")</f>
        <v>NA</v>
      </c>
      <c r="J295" s="12" t="str">
        <f>_xll.SNL.Clients.Office.Excel.Functions.SPG(H295, "SP_ULT_PARENT_COMPANY_NAME")</f>
        <v/>
      </c>
      <c r="K295" s="12" t="str">
        <f>_xll.SNL.Clients.Office.Excel.Functions.SPG(H295, "SP_ULT_PARENT_COUNTRY")</f>
        <v/>
      </c>
      <c r="L295" s="12" t="str">
        <f>_xll.SNL.Clients.Office.Excel.Functions.SPG(H295, "SP_PARENT_COMPANY_NAME")</f>
        <v/>
      </c>
      <c r="M295" s="12" t="str">
        <f>_xll.SNL.Clients.Office.Excel.Functions.SPG(H295, "SP_PARENT_COUNTRY")</f>
        <v/>
      </c>
      <c r="N295" s="12" t="str">
        <f>_xll.SNL.Clients.Office.Excel.Functions.SPG(H295, "SP_COUNTRY_NAME")</f>
        <v>Canada</v>
      </c>
      <c r="O295" s="12" t="str">
        <f>_xll.SNL.Clients.Office.Excel.Functions.SPG(I295, "SP_ULT_PARENT_COMPANY_NAME")</f>
        <v/>
      </c>
      <c r="P295" s="12" t="str">
        <f>_xll.SNL.Clients.Office.Excel.Functions.SPG(I295, "SP_ULT_PARENT_COUNTRY")</f>
        <v/>
      </c>
      <c r="Q295" s="12" t="str">
        <f>_xll.SNL.Clients.Office.Excel.Functions.SPG(I295, "SP_PARENT_COMPANY_NAME")</f>
        <v/>
      </c>
      <c r="R295" s="12" t="str">
        <f>_xll.SNL.Clients.Office.Excel.Functions.SPG(I295, "SP_PARENT_COUNTRY")</f>
        <v/>
      </c>
      <c r="S295" s="12" t="str">
        <f>_xll.SNL.Clients.Office.Excel.Functions.SPG(I295, "SP_COUNTRY_NAME")</f>
        <v>China</v>
      </c>
    </row>
    <row r="296" spans="1:19" ht="43.5" x14ac:dyDescent="0.35">
      <c r="A296" s="5">
        <v>46022</v>
      </c>
      <c r="B296" s="4" t="s">
        <v>581</v>
      </c>
      <c r="C296" s="4" t="s">
        <v>582</v>
      </c>
      <c r="D296" s="4" t="s">
        <v>1013</v>
      </c>
      <c r="E296" s="8">
        <v>4348938</v>
      </c>
      <c r="F296" s="7">
        <v>69.989999999999995</v>
      </c>
      <c r="G296" s="12" t="str">
        <f>[1]!SNLData("243327", C296, "OWNER_LIST")</f>
        <v>Capstone Copper Corp. (Venturer) 69.99%; Unnamed Owner (Fractional) %; Mitsubishi Materials Corporation (Venturer) 30%</v>
      </c>
      <c r="H296" s="9">
        <f>[1]!SNLData("243327", C296, "OWNER_SNL_INSTN_KEY", "Owner 1")</f>
        <v>4348938</v>
      </c>
      <c r="I296" s="9">
        <f>[1]!SNLData("243327", C296, "OWNER_SNL_INSTN_KEY", "Owner 2")</f>
        <v>4212961</v>
      </c>
      <c r="J296" s="12" t="str">
        <f>_xll.SNL.Clients.Office.Excel.Functions.SPG(H296, "SP_ULT_PARENT_COMPANY_NAME")</f>
        <v/>
      </c>
      <c r="K296" s="12" t="str">
        <f>_xll.SNL.Clients.Office.Excel.Functions.SPG(H296, "SP_ULT_PARENT_COUNTRY")</f>
        <v/>
      </c>
      <c r="L296" s="12" t="str">
        <f>_xll.SNL.Clients.Office.Excel.Functions.SPG(H296, "SP_PARENT_COMPANY_NAME")</f>
        <v/>
      </c>
      <c r="M296" s="12" t="str">
        <f>_xll.SNL.Clients.Office.Excel.Functions.SPG(H296, "SP_PARENT_COUNTRY")</f>
        <v/>
      </c>
      <c r="N296" s="12" t="str">
        <f>_xll.SNL.Clients.Office.Excel.Functions.SPG(H296, "SP_COUNTRY_NAME")</f>
        <v>Canada</v>
      </c>
      <c r="O296" s="12" t="str">
        <f>_xll.SNL.Clients.Office.Excel.Functions.SPG(I296, "SP_ULT_PARENT_COMPANY_NAME")</f>
        <v/>
      </c>
      <c r="P296" s="12" t="str">
        <f>_xll.SNL.Clients.Office.Excel.Functions.SPG(I296, "SP_ULT_PARENT_COUNTRY")</f>
        <v/>
      </c>
      <c r="Q296" s="12" t="str">
        <f>_xll.SNL.Clients.Office.Excel.Functions.SPG(I296, "SP_PARENT_COMPANY_NAME")</f>
        <v/>
      </c>
      <c r="R296" s="12" t="str">
        <f>_xll.SNL.Clients.Office.Excel.Functions.SPG(I296, "SP_PARENT_COUNTRY")</f>
        <v/>
      </c>
      <c r="S296" s="12" t="str">
        <f>_xll.SNL.Clients.Office.Excel.Functions.SPG(I296, "SP_COUNTRY_NAME")</f>
        <v>Japan</v>
      </c>
    </row>
    <row r="297" spans="1:19" ht="43.5" x14ac:dyDescent="0.35">
      <c r="A297" s="5">
        <v>46022</v>
      </c>
      <c r="B297" s="4" t="s">
        <v>581</v>
      </c>
      <c r="C297" s="4" t="s">
        <v>582</v>
      </c>
      <c r="D297" s="4" t="s">
        <v>1033</v>
      </c>
      <c r="E297" s="8">
        <v>4212961</v>
      </c>
      <c r="F297" s="7">
        <v>30</v>
      </c>
      <c r="G297" s="12" t="str">
        <f>[1]!SNLData("243327", C297, "OWNER_LIST")</f>
        <v>Capstone Copper Corp. (Venturer) 69.99%; Unnamed Owner (Fractional) %; Mitsubishi Materials Corporation (Venturer) 30%</v>
      </c>
      <c r="H297" s="9">
        <f>[1]!SNLData("243327", C297, "OWNER_SNL_INSTN_KEY", "Owner 1")</f>
        <v>4348938</v>
      </c>
      <c r="I297" s="9">
        <f>[1]!SNLData("243327", C297, "OWNER_SNL_INSTN_KEY", "Owner 2")</f>
        <v>4212961</v>
      </c>
      <c r="J297" s="12" t="str">
        <f>_xll.SNL.Clients.Office.Excel.Functions.SPG(H297, "SP_ULT_PARENT_COMPANY_NAME")</f>
        <v/>
      </c>
      <c r="K297" s="12" t="str">
        <f>_xll.SNL.Clients.Office.Excel.Functions.SPG(H297, "SP_ULT_PARENT_COUNTRY")</f>
        <v/>
      </c>
      <c r="L297" s="12" t="str">
        <f>_xll.SNL.Clients.Office.Excel.Functions.SPG(H297, "SP_PARENT_COMPANY_NAME")</f>
        <v/>
      </c>
      <c r="M297" s="12" t="str">
        <f>_xll.SNL.Clients.Office.Excel.Functions.SPG(H297, "SP_PARENT_COUNTRY")</f>
        <v/>
      </c>
      <c r="N297" s="12" t="str">
        <f>_xll.SNL.Clients.Office.Excel.Functions.SPG(H297, "SP_COUNTRY_NAME")</f>
        <v>Canada</v>
      </c>
      <c r="O297" s="12" t="str">
        <f>_xll.SNL.Clients.Office.Excel.Functions.SPG(I297, "SP_ULT_PARENT_COMPANY_NAME")</f>
        <v/>
      </c>
      <c r="P297" s="12" t="str">
        <f>_xll.SNL.Clients.Office.Excel.Functions.SPG(I297, "SP_ULT_PARENT_COUNTRY")</f>
        <v/>
      </c>
      <c r="Q297" s="12" t="str">
        <f>_xll.SNL.Clients.Office.Excel.Functions.SPG(I297, "SP_PARENT_COMPANY_NAME")</f>
        <v/>
      </c>
      <c r="R297" s="12" t="str">
        <f>_xll.SNL.Clients.Office.Excel.Functions.SPG(I297, "SP_PARENT_COUNTRY")</f>
        <v/>
      </c>
      <c r="S297" s="12" t="str">
        <f>_xll.SNL.Clients.Office.Excel.Functions.SPG(I297, "SP_COUNTRY_NAME")</f>
        <v>Japan</v>
      </c>
    </row>
    <row r="298" spans="1:19" ht="43.5" x14ac:dyDescent="0.35">
      <c r="A298" s="5">
        <v>46022</v>
      </c>
      <c r="B298" s="4" t="s">
        <v>380</v>
      </c>
      <c r="C298" s="4" t="s">
        <v>381</v>
      </c>
      <c r="D298" s="4" t="s">
        <v>1013</v>
      </c>
      <c r="E298" s="8">
        <v>4348938</v>
      </c>
      <c r="F298" s="7">
        <v>69.989999999999995</v>
      </c>
      <c r="G298" s="12" t="str">
        <f>[1]!SNLData("243327", C298, "OWNER_LIST")</f>
        <v>Mitsubishi Materials Corporation (Venturer) 30%; Capstone Copper Corp. (Venturer) 69.99%; Unnamed Owner (Fractional) %</v>
      </c>
      <c r="H298" s="9">
        <f>[1]!SNLData("243327", C298, "OWNER_SNL_INSTN_KEY", "Owner 1")</f>
        <v>4348938</v>
      </c>
      <c r="I298" s="9">
        <f>[1]!SNLData("243327", C298, "OWNER_SNL_INSTN_KEY", "Owner 2")</f>
        <v>4212961</v>
      </c>
      <c r="J298" s="12" t="str">
        <f>_xll.SNL.Clients.Office.Excel.Functions.SPG(H298, "SP_ULT_PARENT_COMPANY_NAME")</f>
        <v/>
      </c>
      <c r="K298" s="12" t="str">
        <f>_xll.SNL.Clients.Office.Excel.Functions.SPG(H298, "SP_ULT_PARENT_COUNTRY")</f>
        <v/>
      </c>
      <c r="L298" s="12" t="str">
        <f>_xll.SNL.Clients.Office.Excel.Functions.SPG(H298, "SP_PARENT_COMPANY_NAME")</f>
        <v/>
      </c>
      <c r="M298" s="12" t="str">
        <f>_xll.SNL.Clients.Office.Excel.Functions.SPG(H298, "SP_PARENT_COUNTRY")</f>
        <v/>
      </c>
      <c r="N298" s="12" t="str">
        <f>_xll.SNL.Clients.Office.Excel.Functions.SPG(H298, "SP_COUNTRY_NAME")</f>
        <v>Canada</v>
      </c>
      <c r="O298" s="12" t="str">
        <f>_xll.SNL.Clients.Office.Excel.Functions.SPG(I298, "SP_ULT_PARENT_COMPANY_NAME")</f>
        <v/>
      </c>
      <c r="P298" s="12" t="str">
        <f>_xll.SNL.Clients.Office.Excel.Functions.SPG(I298, "SP_ULT_PARENT_COUNTRY")</f>
        <v/>
      </c>
      <c r="Q298" s="12" t="str">
        <f>_xll.SNL.Clients.Office.Excel.Functions.SPG(I298, "SP_PARENT_COMPANY_NAME")</f>
        <v/>
      </c>
      <c r="R298" s="12" t="str">
        <f>_xll.SNL.Clients.Office.Excel.Functions.SPG(I298, "SP_PARENT_COUNTRY")</f>
        <v/>
      </c>
      <c r="S298" s="12" t="str">
        <f>_xll.SNL.Clients.Office.Excel.Functions.SPG(I298, "SP_COUNTRY_NAME")</f>
        <v>Japan</v>
      </c>
    </row>
    <row r="299" spans="1:19" ht="43.5" x14ac:dyDescent="0.35">
      <c r="A299" s="5">
        <v>46022</v>
      </c>
      <c r="B299" s="4" t="s">
        <v>380</v>
      </c>
      <c r="C299" s="4" t="s">
        <v>381</v>
      </c>
      <c r="D299" s="4" t="s">
        <v>1033</v>
      </c>
      <c r="E299" s="8">
        <v>4212961</v>
      </c>
      <c r="F299" s="7">
        <v>30</v>
      </c>
      <c r="G299" s="12" t="str">
        <f>[1]!SNLData("243327", C299, "OWNER_LIST")</f>
        <v>Mitsubishi Materials Corporation (Venturer) 30%; Capstone Copper Corp. (Venturer) 69.99%; Unnamed Owner (Fractional) %</v>
      </c>
      <c r="H299" s="9">
        <f>[1]!SNLData("243327", C299, "OWNER_SNL_INSTN_KEY", "Owner 1")</f>
        <v>4348938</v>
      </c>
      <c r="I299" s="9">
        <f>[1]!SNLData("243327", C299, "OWNER_SNL_INSTN_KEY", "Owner 2")</f>
        <v>4212961</v>
      </c>
      <c r="J299" s="12" t="str">
        <f>_xll.SNL.Clients.Office.Excel.Functions.SPG(H299, "SP_ULT_PARENT_COMPANY_NAME")</f>
        <v/>
      </c>
      <c r="K299" s="12" t="str">
        <f>_xll.SNL.Clients.Office.Excel.Functions.SPG(H299, "SP_ULT_PARENT_COUNTRY")</f>
        <v/>
      </c>
      <c r="L299" s="12" t="str">
        <f>_xll.SNL.Clients.Office.Excel.Functions.SPG(H299, "SP_PARENT_COMPANY_NAME")</f>
        <v/>
      </c>
      <c r="M299" s="12" t="str">
        <f>_xll.SNL.Clients.Office.Excel.Functions.SPG(H299, "SP_PARENT_COUNTRY")</f>
        <v/>
      </c>
      <c r="N299" s="12" t="str">
        <f>_xll.SNL.Clients.Office.Excel.Functions.SPG(H299, "SP_COUNTRY_NAME")</f>
        <v>Canada</v>
      </c>
      <c r="O299" s="12" t="str">
        <f>_xll.SNL.Clients.Office.Excel.Functions.SPG(I299, "SP_ULT_PARENT_COMPANY_NAME")</f>
        <v/>
      </c>
      <c r="P299" s="12" t="str">
        <f>_xll.SNL.Clients.Office.Excel.Functions.SPG(I299, "SP_ULT_PARENT_COUNTRY")</f>
        <v/>
      </c>
      <c r="Q299" s="12" t="str">
        <f>_xll.SNL.Clients.Office.Excel.Functions.SPG(I299, "SP_PARENT_COMPANY_NAME")</f>
        <v/>
      </c>
      <c r="R299" s="12" t="str">
        <f>_xll.SNL.Clients.Office.Excel.Functions.SPG(I299, "SP_PARENT_COUNTRY")</f>
        <v/>
      </c>
      <c r="S299" s="12" t="str">
        <f>_xll.SNL.Clients.Office.Excel.Functions.SPG(I299, "SP_COUNTRY_NAME")</f>
        <v>Japan</v>
      </c>
    </row>
    <row r="300" spans="1:19" x14ac:dyDescent="0.35">
      <c r="A300" s="5">
        <v>46022</v>
      </c>
      <c r="B300" s="4" t="s">
        <v>583</v>
      </c>
      <c r="C300" s="4" t="s">
        <v>584</v>
      </c>
      <c r="D300" s="4" t="s">
        <v>962</v>
      </c>
      <c r="E300" s="8">
        <v>4353456</v>
      </c>
      <c r="F300" s="7">
        <v>100</v>
      </c>
      <c r="G300" s="12" t="str">
        <f>[1]!SNLData("243327", C300, "OWNER_LIST")</f>
        <v>Private Interest  100%</v>
      </c>
      <c r="H300" s="9">
        <f>[1]!SNLData("243327", C300, "OWNER_SNL_INSTN_KEY", "Owner 1")</f>
        <v>4353456</v>
      </c>
      <c r="I300" s="9" t="str">
        <f>[1]!SNLData("243327", C300, "OWNER_SNL_INSTN_KEY", "Owner 2")</f>
        <v>NA</v>
      </c>
      <c r="J300" s="12" t="str">
        <f>_xll.SNL.Clients.Office.Excel.Functions.SPG(H300, "SP_ULT_PARENT_COMPANY_NAME")</f>
        <v/>
      </c>
      <c r="K300" s="12" t="str">
        <f>_xll.SNL.Clients.Office.Excel.Functions.SPG(H300, "SP_ULT_PARENT_COUNTRY")</f>
        <v/>
      </c>
      <c r="L300" s="12" t="str">
        <f>_xll.SNL.Clients.Office.Excel.Functions.SPG(H300, "SP_PARENT_COMPANY_NAME")</f>
        <v/>
      </c>
      <c r="M300" s="12" t="str">
        <f>_xll.SNL.Clients.Office.Excel.Functions.SPG(H300, "SP_PARENT_COUNTRY")</f>
        <v/>
      </c>
      <c r="N300" s="12" t="str">
        <f>_xll.SNL.Clients.Office.Excel.Functions.SPG(H300, "SP_COUNTRY_NAME")</f>
        <v>China</v>
      </c>
      <c r="O300" s="12" t="str">
        <f>_xll.SNL.Clients.Office.Excel.Functions.SPG(I300, "SP_ULT_PARENT_COMPANY_NAME")</f>
        <v/>
      </c>
      <c r="P300" s="12" t="str">
        <f>_xll.SNL.Clients.Office.Excel.Functions.SPG(I300, "SP_ULT_PARENT_COUNTRY")</f>
        <v/>
      </c>
      <c r="Q300" s="12" t="str">
        <f>_xll.SNL.Clients.Office.Excel.Functions.SPG(I300, "SP_PARENT_COMPANY_NAME")</f>
        <v/>
      </c>
      <c r="R300" s="12" t="str">
        <f>_xll.SNL.Clients.Office.Excel.Functions.SPG(I300, "SP_PARENT_COUNTRY")</f>
        <v/>
      </c>
      <c r="S300" s="12" t="str">
        <f>_xll.SNL.Clients.Office.Excel.Functions.SPG(I300, "SP_COUNTRY_NAME")</f>
        <v>China</v>
      </c>
    </row>
    <row r="301" spans="1:19" ht="29" x14ac:dyDescent="0.35">
      <c r="A301" s="5">
        <v>46022</v>
      </c>
      <c r="B301" s="4" t="s">
        <v>324</v>
      </c>
      <c r="C301" s="4" t="s">
        <v>325</v>
      </c>
      <c r="D301" s="4" t="s">
        <v>959</v>
      </c>
      <c r="E301" s="8">
        <v>4352362</v>
      </c>
      <c r="F301" s="7">
        <v>99.99</v>
      </c>
      <c r="G301" s="12" t="str">
        <f>[1]!SNLData("243327", C301, "OWNER_LIST")</f>
        <v>Minera Frisco, S.A.B. de C.V. (Venturer) 99.99%; Unnamed Owner (Fractional) %</v>
      </c>
      <c r="H301" s="9">
        <f>[1]!SNLData("243327", C301, "OWNER_SNL_INSTN_KEY", "Owner 1")</f>
        <v>4352362</v>
      </c>
      <c r="I301" s="9">
        <f>[1]!SNLData("243327", C301, "OWNER_SNL_INSTN_KEY", "Owner 2")</f>
        <v>4400798</v>
      </c>
      <c r="J301" s="12" t="str">
        <f>_xll.SNL.Clients.Office.Excel.Functions.SPG(H301, "SP_ULT_PARENT_COMPANY_NAME")</f>
        <v/>
      </c>
      <c r="K301" s="12" t="str">
        <f>_xll.SNL.Clients.Office.Excel.Functions.SPG(H301, "SP_ULT_PARENT_COUNTRY")</f>
        <v/>
      </c>
      <c r="L301" s="12" t="str">
        <f>_xll.SNL.Clients.Office.Excel.Functions.SPG(H301, "SP_PARENT_COMPANY_NAME")</f>
        <v/>
      </c>
      <c r="M301" s="12" t="str">
        <f>_xll.SNL.Clients.Office.Excel.Functions.SPG(H301, "SP_PARENT_COUNTRY")</f>
        <v/>
      </c>
      <c r="N301" s="12" t="str">
        <f>_xll.SNL.Clients.Office.Excel.Functions.SPG(H301, "SP_COUNTRY_NAME")</f>
        <v>Mexico</v>
      </c>
      <c r="O301" s="12" t="str">
        <f>_xll.SNL.Clients.Office.Excel.Functions.SPG(I301, "SP_ULT_PARENT_COMPANY_NAME")</f>
        <v/>
      </c>
      <c r="P301" s="12" t="str">
        <f>_xll.SNL.Clients.Office.Excel.Functions.SPG(I301, "SP_ULT_PARENT_COUNTRY")</f>
        <v/>
      </c>
      <c r="Q301" s="12" t="str">
        <f>_xll.SNL.Clients.Office.Excel.Functions.SPG(I301, "SP_PARENT_COMPANY_NAME")</f>
        <v/>
      </c>
      <c r="R301" s="12" t="str">
        <f>_xll.SNL.Clients.Office.Excel.Functions.SPG(I301, "SP_PARENT_COUNTRY")</f>
        <v/>
      </c>
      <c r="S301" s="12" t="str">
        <f>_xll.SNL.Clients.Office.Excel.Functions.SPG(I301, "SP_COUNTRY_NAME")</f>
        <v>USA</v>
      </c>
    </row>
    <row r="302" spans="1:19" ht="43.5" x14ac:dyDescent="0.35">
      <c r="A302" s="5">
        <v>46022</v>
      </c>
      <c r="B302" s="4" t="s">
        <v>776</v>
      </c>
      <c r="C302" s="4" t="s">
        <v>777</v>
      </c>
      <c r="D302" s="4" t="s">
        <v>1091</v>
      </c>
      <c r="E302" s="8">
        <v>4351200</v>
      </c>
      <c r="F302" s="7">
        <v>19.36</v>
      </c>
      <c r="G302" s="12" t="str">
        <f>[1]!SNLData("243327", C302, "OWNER_LIST")</f>
        <v>Incwala Resource (Pty) Limited (Venturer) 19.36%; Sibanye Stillwater Limited (Venturer) 80.64%</v>
      </c>
      <c r="H302" s="9">
        <f>[1]!SNLData("243327", C302, "OWNER_SNL_INSTN_KEY", "Owner 1")</f>
        <v>4379789</v>
      </c>
      <c r="I302" s="9">
        <f>[1]!SNLData("243327", C302, "OWNER_SNL_INSTN_KEY", "Owner 2")</f>
        <v>4351200</v>
      </c>
      <c r="J302" s="12" t="str">
        <f>_xll.SNL.Clients.Office.Excel.Functions.SPG(H302, "SP_ULT_PARENT_COMPANY_NAME")</f>
        <v/>
      </c>
      <c r="K302" s="12" t="str">
        <f>_xll.SNL.Clients.Office.Excel.Functions.SPG(H302, "SP_ULT_PARENT_COUNTRY")</f>
        <v/>
      </c>
      <c r="L302" s="12" t="str">
        <f>_xll.SNL.Clients.Office.Excel.Functions.SPG(H302, "SP_PARENT_COMPANY_NAME")</f>
        <v/>
      </c>
      <c r="M302" s="12" t="str">
        <f>_xll.SNL.Clients.Office.Excel.Functions.SPG(H302, "SP_PARENT_COUNTRY")</f>
        <v/>
      </c>
      <c r="N302" s="12" t="str">
        <f>_xll.SNL.Clients.Office.Excel.Functions.SPG(H302, "SP_COUNTRY_NAME")</f>
        <v>South Africa</v>
      </c>
      <c r="O302" s="12" t="str">
        <f>_xll.SNL.Clients.Office.Excel.Functions.SPG(I302, "SP_ULT_PARENT_COMPANY_NAME")</f>
        <v>The Shanduka Group Pty Ltd.</v>
      </c>
      <c r="P302" s="12" t="str">
        <f>_xll.SNL.Clients.Office.Excel.Functions.SPG(I302, "SP_ULT_PARENT_COUNTRY")</f>
        <v>South Africa</v>
      </c>
      <c r="Q302" s="12" t="str">
        <f>_xll.SNL.Clients.Office.Excel.Functions.SPG(I302, "SP_PARENT_COMPANY_NAME")</f>
        <v>Shanduka Resources</v>
      </c>
      <c r="R302" s="12" t="str">
        <f>_xll.SNL.Clients.Office.Excel.Functions.SPG(I302, "SP_PARENT_COUNTRY")</f>
        <v>South Africa</v>
      </c>
      <c r="S302" s="12" t="str">
        <f>_xll.SNL.Clients.Office.Excel.Functions.SPG(I302, "SP_COUNTRY_NAME")</f>
        <v>South Africa</v>
      </c>
    </row>
    <row r="303" spans="1:19" ht="43.5" x14ac:dyDescent="0.35">
      <c r="A303" s="5">
        <v>46022</v>
      </c>
      <c r="B303" s="4" t="s">
        <v>776</v>
      </c>
      <c r="C303" s="4" t="s">
        <v>777</v>
      </c>
      <c r="D303" s="4" t="s">
        <v>1077</v>
      </c>
      <c r="E303" s="8">
        <v>4379789</v>
      </c>
      <c r="F303" s="7">
        <v>80.64</v>
      </c>
      <c r="G303" s="12" t="str">
        <f>[1]!SNLData("243327", C303, "OWNER_LIST")</f>
        <v>Incwala Resource (Pty) Limited (Venturer) 19.36%; Sibanye Stillwater Limited (Venturer) 80.64%</v>
      </c>
      <c r="H303" s="9">
        <f>[1]!SNLData("243327", C303, "OWNER_SNL_INSTN_KEY", "Owner 1")</f>
        <v>4379789</v>
      </c>
      <c r="I303" s="9">
        <f>[1]!SNLData("243327", C303, "OWNER_SNL_INSTN_KEY", "Owner 2")</f>
        <v>4351200</v>
      </c>
      <c r="J303" s="12" t="str">
        <f>_xll.SNL.Clients.Office.Excel.Functions.SPG(H303, "SP_ULT_PARENT_COMPANY_NAME")</f>
        <v/>
      </c>
      <c r="K303" s="12" t="str">
        <f>_xll.SNL.Clients.Office.Excel.Functions.SPG(H303, "SP_ULT_PARENT_COUNTRY")</f>
        <v/>
      </c>
      <c r="L303" s="12" t="str">
        <f>_xll.SNL.Clients.Office.Excel.Functions.SPG(H303, "SP_PARENT_COMPANY_NAME")</f>
        <v/>
      </c>
      <c r="M303" s="12" t="str">
        <f>_xll.SNL.Clients.Office.Excel.Functions.SPG(H303, "SP_PARENT_COUNTRY")</f>
        <v/>
      </c>
      <c r="N303" s="12" t="str">
        <f>_xll.SNL.Clients.Office.Excel.Functions.SPG(H303, "SP_COUNTRY_NAME")</f>
        <v>South Africa</v>
      </c>
      <c r="O303" s="12" t="str">
        <f>_xll.SNL.Clients.Office.Excel.Functions.SPG(I303, "SP_ULT_PARENT_COMPANY_NAME")</f>
        <v>The Shanduka Group Pty Ltd.</v>
      </c>
      <c r="P303" s="12" t="str">
        <f>_xll.SNL.Clients.Office.Excel.Functions.SPG(I303, "SP_ULT_PARENT_COUNTRY")</f>
        <v>South Africa</v>
      </c>
      <c r="Q303" s="12" t="str">
        <f>_xll.SNL.Clients.Office.Excel.Functions.SPG(I303, "SP_PARENT_COMPANY_NAME")</f>
        <v>Shanduka Resources</v>
      </c>
      <c r="R303" s="12" t="str">
        <f>_xll.SNL.Clients.Office.Excel.Functions.SPG(I303, "SP_PARENT_COUNTRY")</f>
        <v>South Africa</v>
      </c>
      <c r="S303" s="12" t="str">
        <f>_xll.SNL.Clients.Office.Excel.Functions.SPG(I303, "SP_COUNTRY_NAME")</f>
        <v>South Africa</v>
      </c>
    </row>
    <row r="304" spans="1:19" x14ac:dyDescent="0.35">
      <c r="A304" s="5">
        <v>46022</v>
      </c>
      <c r="B304" s="4" t="s">
        <v>382</v>
      </c>
      <c r="C304" s="4" t="s">
        <v>383</v>
      </c>
      <c r="D304" s="4" t="s">
        <v>1092</v>
      </c>
      <c r="E304" s="8">
        <v>4354011</v>
      </c>
      <c r="F304" s="7">
        <v>100</v>
      </c>
      <c r="G304" s="12" t="str">
        <f>[1]!SNLData("243327", C304, "OWNER_LIST")</f>
        <v>Sandfire Resources Limited  100%</v>
      </c>
      <c r="H304" s="9">
        <f>[1]!SNLData("243327", C304, "OWNER_SNL_INSTN_KEY", "Owner 1")</f>
        <v>4354011</v>
      </c>
      <c r="I304" s="9" t="str">
        <f>[1]!SNLData("243327", C304, "OWNER_SNL_INSTN_KEY", "Owner 2")</f>
        <v>NA</v>
      </c>
      <c r="J304" s="12" t="str">
        <f>_xll.SNL.Clients.Office.Excel.Functions.SPG(H304, "SP_ULT_PARENT_COMPANY_NAME")</f>
        <v/>
      </c>
      <c r="K304" s="12" t="str">
        <f>_xll.SNL.Clients.Office.Excel.Functions.SPG(H304, "SP_ULT_PARENT_COUNTRY")</f>
        <v/>
      </c>
      <c r="L304" s="12" t="str">
        <f>_xll.SNL.Clients.Office.Excel.Functions.SPG(H304, "SP_PARENT_COMPANY_NAME")</f>
        <v/>
      </c>
      <c r="M304" s="12" t="str">
        <f>_xll.SNL.Clients.Office.Excel.Functions.SPG(H304, "SP_PARENT_COUNTRY")</f>
        <v/>
      </c>
      <c r="N304" s="12" t="str">
        <f>_xll.SNL.Clients.Office.Excel.Functions.SPG(H304, "SP_COUNTRY_NAME")</f>
        <v>Australia</v>
      </c>
      <c r="O304" s="12" t="str">
        <f>_xll.SNL.Clients.Office.Excel.Functions.SPG(I304, "SP_ULT_PARENT_COMPANY_NAME")</f>
        <v/>
      </c>
      <c r="P304" s="12" t="str">
        <f>_xll.SNL.Clients.Office.Excel.Functions.SPG(I304, "SP_ULT_PARENT_COUNTRY")</f>
        <v/>
      </c>
      <c r="Q304" s="12" t="str">
        <f>_xll.SNL.Clients.Office.Excel.Functions.SPG(I304, "SP_PARENT_COMPANY_NAME")</f>
        <v/>
      </c>
      <c r="R304" s="12" t="str">
        <f>_xll.SNL.Clients.Office.Excel.Functions.SPG(I304, "SP_PARENT_COUNTRY")</f>
        <v/>
      </c>
      <c r="S304" s="12" t="str">
        <f>_xll.SNL.Clients.Office.Excel.Functions.SPG(I304, "SP_COUNTRY_NAME")</f>
        <v>China</v>
      </c>
    </row>
    <row r="305" spans="1:19" ht="43.5" x14ac:dyDescent="0.35">
      <c r="A305" s="5">
        <v>46022</v>
      </c>
      <c r="B305" s="4" t="s">
        <v>356</v>
      </c>
      <c r="C305" s="4" t="s">
        <v>357</v>
      </c>
      <c r="D305" s="4" t="s">
        <v>1093</v>
      </c>
      <c r="E305" s="8">
        <v>8380433</v>
      </c>
      <c r="F305" s="7">
        <v>100</v>
      </c>
      <c r="G305" s="12" t="str">
        <f>[1]!SNLData("243327", C305, "OWNER_LIST")</f>
        <v>Eurasian Group LLP  100%</v>
      </c>
      <c r="H305" s="9">
        <f>[1]!SNLData("243327", C305, "OWNER_SNL_INSTN_KEY", "Owner 1")</f>
        <v>8380433</v>
      </c>
      <c r="I305" s="9" t="str">
        <f>[1]!SNLData("243327", C305, "OWNER_SNL_INSTN_KEY", "Owner 2")</f>
        <v>NA</v>
      </c>
      <c r="J305" s="12" t="str">
        <f>_xll.SNL.Clients.Office.Excel.Functions.SPG(H305, "SP_ULT_PARENT_COMPANY_NAME")</f>
        <v>Eurasian Resources Group S.à r.l.</v>
      </c>
      <c r="K305" s="12" t="str">
        <f>_xll.SNL.Clients.Office.Excel.Functions.SPG(H305, "SP_ULT_PARENT_COUNTRY")</f>
        <v>Luxembourg</v>
      </c>
      <c r="L305" s="12" t="str">
        <f>_xll.SNL.Clients.Office.Excel.Functions.SPG(H305, "SP_PARENT_COMPANY_NAME")</f>
        <v>Eurasian Resources Group S.à r.l.</v>
      </c>
      <c r="M305" s="12" t="str">
        <f>_xll.SNL.Clients.Office.Excel.Functions.SPG(H305, "SP_PARENT_COUNTRY")</f>
        <v>Luxembourg</v>
      </c>
      <c r="N305" s="12" t="str">
        <f>_xll.SNL.Clients.Office.Excel.Functions.SPG(H305, "SP_COUNTRY_NAME")</f>
        <v>Kazakhstan</v>
      </c>
      <c r="O305" s="12" t="str">
        <f>_xll.SNL.Clients.Office.Excel.Functions.SPG(I305, "SP_ULT_PARENT_COMPANY_NAME")</f>
        <v/>
      </c>
      <c r="P305" s="12" t="str">
        <f>_xll.SNL.Clients.Office.Excel.Functions.SPG(I305, "SP_ULT_PARENT_COUNTRY")</f>
        <v/>
      </c>
      <c r="Q305" s="12" t="str">
        <f>_xll.SNL.Clients.Office.Excel.Functions.SPG(I305, "SP_PARENT_COMPANY_NAME")</f>
        <v/>
      </c>
      <c r="R305" s="12" t="str">
        <f>_xll.SNL.Clients.Office.Excel.Functions.SPG(I305, "SP_PARENT_COUNTRY")</f>
        <v/>
      </c>
      <c r="S305" s="12" t="str">
        <f>_xll.SNL.Clients.Office.Excel.Functions.SPG(I305, "SP_COUNTRY_NAME")</f>
        <v>China</v>
      </c>
    </row>
    <row r="306" spans="1:19" x14ac:dyDescent="0.35">
      <c r="A306" s="5">
        <v>46022</v>
      </c>
      <c r="B306" s="4" t="s">
        <v>778</v>
      </c>
      <c r="C306" s="4" t="s">
        <v>779</v>
      </c>
      <c r="D306" s="4" t="s">
        <v>963</v>
      </c>
      <c r="E306" s="8">
        <v>4004107</v>
      </c>
      <c r="F306" s="7">
        <v>100</v>
      </c>
      <c r="G306" s="12" t="str">
        <f>[1]!SNLData("243327", C306, "OWNER_LIST")</f>
        <v>Freeport-McMoRan Inc.  100%</v>
      </c>
      <c r="H306" s="9">
        <f>[1]!SNLData("243327", C306, "OWNER_SNL_INSTN_KEY", "Owner 1")</f>
        <v>4004107</v>
      </c>
      <c r="I306" s="9" t="str">
        <f>[1]!SNLData("243327", C306, "OWNER_SNL_INSTN_KEY", "Owner 2")</f>
        <v>NA</v>
      </c>
      <c r="J306" s="12" t="str">
        <f>_xll.SNL.Clients.Office.Excel.Functions.SPG(H306, "SP_ULT_PARENT_COMPANY_NAME")</f>
        <v/>
      </c>
      <c r="K306" s="12" t="str">
        <f>_xll.SNL.Clients.Office.Excel.Functions.SPG(H306, "SP_ULT_PARENT_COUNTRY")</f>
        <v/>
      </c>
      <c r="L306" s="12" t="str">
        <f>_xll.SNL.Clients.Office.Excel.Functions.SPG(H306, "SP_PARENT_COMPANY_NAME")</f>
        <v/>
      </c>
      <c r="M306" s="12" t="str">
        <f>_xll.SNL.Clients.Office.Excel.Functions.SPG(H306, "SP_PARENT_COUNTRY")</f>
        <v/>
      </c>
      <c r="N306" s="12" t="str">
        <f>_xll.SNL.Clients.Office.Excel.Functions.SPG(H306, "SP_COUNTRY_NAME")</f>
        <v>USA</v>
      </c>
      <c r="O306" s="12" t="str">
        <f>_xll.SNL.Clients.Office.Excel.Functions.SPG(I306, "SP_ULT_PARENT_COMPANY_NAME")</f>
        <v/>
      </c>
      <c r="P306" s="12" t="str">
        <f>_xll.SNL.Clients.Office.Excel.Functions.SPG(I306, "SP_ULT_PARENT_COUNTRY")</f>
        <v/>
      </c>
      <c r="Q306" s="12" t="str">
        <f>_xll.SNL.Clients.Office.Excel.Functions.SPG(I306, "SP_PARENT_COMPANY_NAME")</f>
        <v/>
      </c>
      <c r="R306" s="12" t="str">
        <f>_xll.SNL.Clients.Office.Excel.Functions.SPG(I306, "SP_PARENT_COUNTRY")</f>
        <v/>
      </c>
      <c r="S306" s="12" t="str">
        <f>_xll.SNL.Clients.Office.Excel.Functions.SPG(I306, "SP_COUNTRY_NAME")</f>
        <v>China</v>
      </c>
    </row>
    <row r="307" spans="1:19" x14ac:dyDescent="0.35">
      <c r="A307" s="5">
        <v>46022</v>
      </c>
      <c r="B307" s="4" t="s">
        <v>414</v>
      </c>
      <c r="C307" s="4" t="s">
        <v>415</v>
      </c>
      <c r="D307" s="4" t="s">
        <v>990</v>
      </c>
      <c r="E307" s="8">
        <v>4351226</v>
      </c>
      <c r="F307" s="7">
        <v>100</v>
      </c>
      <c r="G307" s="12" t="str">
        <f>[1]!SNLData("243327", C307, "OWNER_LIST")</f>
        <v>Industrias Peñoles, S.A.B. de C.V.  100%</v>
      </c>
      <c r="H307" s="9">
        <f>[1]!SNLData("243327", C307, "OWNER_SNL_INSTN_KEY", "Owner 1")</f>
        <v>4351226</v>
      </c>
      <c r="I307" s="9" t="str">
        <f>[1]!SNLData("243327", C307, "OWNER_SNL_INSTN_KEY", "Owner 2")</f>
        <v>NA</v>
      </c>
      <c r="J307" s="12" t="str">
        <f>_xll.SNL.Clients.Office.Excel.Functions.SPG(H307, "SP_ULT_PARENT_COMPANY_NAME")</f>
        <v/>
      </c>
      <c r="K307" s="12" t="str">
        <f>_xll.SNL.Clients.Office.Excel.Functions.SPG(H307, "SP_ULT_PARENT_COUNTRY")</f>
        <v/>
      </c>
      <c r="L307" s="12" t="str">
        <f>_xll.SNL.Clients.Office.Excel.Functions.SPG(H307, "SP_PARENT_COMPANY_NAME")</f>
        <v/>
      </c>
      <c r="M307" s="12" t="str">
        <f>_xll.SNL.Clients.Office.Excel.Functions.SPG(H307, "SP_PARENT_COUNTRY")</f>
        <v/>
      </c>
      <c r="N307" s="12" t="str">
        <f>_xll.SNL.Clients.Office.Excel.Functions.SPG(H307, "SP_COUNTRY_NAME")</f>
        <v>Mexico</v>
      </c>
      <c r="O307" s="12" t="str">
        <f>_xll.SNL.Clients.Office.Excel.Functions.SPG(I307, "SP_ULT_PARENT_COMPANY_NAME")</f>
        <v/>
      </c>
      <c r="P307" s="12" t="str">
        <f>_xll.SNL.Clients.Office.Excel.Functions.SPG(I307, "SP_ULT_PARENT_COUNTRY")</f>
        <v/>
      </c>
      <c r="Q307" s="12" t="str">
        <f>_xll.SNL.Clients.Office.Excel.Functions.SPG(I307, "SP_PARENT_COMPANY_NAME")</f>
        <v/>
      </c>
      <c r="R307" s="12" t="str">
        <f>_xll.SNL.Clients.Office.Excel.Functions.SPG(I307, "SP_PARENT_COUNTRY")</f>
        <v/>
      </c>
      <c r="S307" s="12" t="str">
        <f>_xll.SNL.Clients.Office.Excel.Functions.SPG(I307, "SP_COUNTRY_NAME")</f>
        <v>China</v>
      </c>
    </row>
    <row r="308" spans="1:19" ht="43.5" x14ac:dyDescent="0.35">
      <c r="A308" s="5">
        <v>46022</v>
      </c>
      <c r="B308" s="4" t="s">
        <v>585</v>
      </c>
      <c r="C308" s="4" t="s">
        <v>586</v>
      </c>
      <c r="D308" s="4" t="s">
        <v>1053</v>
      </c>
      <c r="E308" s="8">
        <v>4351190</v>
      </c>
      <c r="F308" s="7">
        <v>50</v>
      </c>
      <c r="G308" s="12" t="str">
        <f>[1]!SNLData("243327", C308, "OWNER_LIST")</f>
        <v>Sibanye Stillwater Limited (Venturer) 50%; Impala Platinum Holdings Limited (Venturer) 50%</v>
      </c>
      <c r="H308" s="9">
        <f>[1]!SNLData("243327", C308, "OWNER_SNL_INSTN_KEY", "Owner 1")</f>
        <v>4351190</v>
      </c>
      <c r="I308" s="9">
        <f>[1]!SNLData("243327", C308, "OWNER_SNL_INSTN_KEY", "Owner 2")</f>
        <v>4379789</v>
      </c>
      <c r="J308" s="12" t="str">
        <f>_xll.SNL.Clients.Office.Excel.Functions.SPG(H308, "SP_ULT_PARENT_COMPANY_NAME")</f>
        <v/>
      </c>
      <c r="K308" s="12" t="str">
        <f>_xll.SNL.Clients.Office.Excel.Functions.SPG(H308, "SP_ULT_PARENT_COUNTRY")</f>
        <v/>
      </c>
      <c r="L308" s="12" t="str">
        <f>_xll.SNL.Clients.Office.Excel.Functions.SPG(H308, "SP_PARENT_COMPANY_NAME")</f>
        <v/>
      </c>
      <c r="M308" s="12" t="str">
        <f>_xll.SNL.Clients.Office.Excel.Functions.SPG(H308, "SP_PARENT_COUNTRY")</f>
        <v/>
      </c>
      <c r="N308" s="12" t="str">
        <f>_xll.SNL.Clients.Office.Excel.Functions.SPG(H308, "SP_COUNTRY_NAME")</f>
        <v>South Africa</v>
      </c>
      <c r="O308" s="12" t="str">
        <f>_xll.SNL.Clients.Office.Excel.Functions.SPG(I308, "SP_ULT_PARENT_COMPANY_NAME")</f>
        <v/>
      </c>
      <c r="P308" s="12" t="str">
        <f>_xll.SNL.Clients.Office.Excel.Functions.SPG(I308, "SP_ULT_PARENT_COUNTRY")</f>
        <v/>
      </c>
      <c r="Q308" s="12" t="str">
        <f>_xll.SNL.Clients.Office.Excel.Functions.SPG(I308, "SP_PARENT_COMPANY_NAME")</f>
        <v/>
      </c>
      <c r="R308" s="12" t="str">
        <f>_xll.SNL.Clients.Office.Excel.Functions.SPG(I308, "SP_PARENT_COUNTRY")</f>
        <v/>
      </c>
      <c r="S308" s="12" t="str">
        <f>_xll.SNL.Clients.Office.Excel.Functions.SPG(I308, "SP_COUNTRY_NAME")</f>
        <v>South Africa</v>
      </c>
    </row>
    <row r="309" spans="1:19" ht="43.5" x14ac:dyDescent="0.35">
      <c r="A309" s="5">
        <v>46022</v>
      </c>
      <c r="B309" s="4" t="s">
        <v>585</v>
      </c>
      <c r="C309" s="4" t="s">
        <v>586</v>
      </c>
      <c r="D309" s="4" t="s">
        <v>1077</v>
      </c>
      <c r="E309" s="8">
        <v>4379789</v>
      </c>
      <c r="F309" s="7">
        <v>50</v>
      </c>
      <c r="G309" s="12" t="str">
        <f>[1]!SNLData("243327", C309, "OWNER_LIST")</f>
        <v>Sibanye Stillwater Limited (Venturer) 50%; Impala Platinum Holdings Limited (Venturer) 50%</v>
      </c>
      <c r="H309" s="9">
        <f>[1]!SNLData("243327", C309, "OWNER_SNL_INSTN_KEY", "Owner 1")</f>
        <v>4351190</v>
      </c>
      <c r="I309" s="9">
        <f>[1]!SNLData("243327", C309, "OWNER_SNL_INSTN_KEY", "Owner 2")</f>
        <v>4379789</v>
      </c>
      <c r="J309" s="12" t="str">
        <f>_xll.SNL.Clients.Office.Excel.Functions.SPG(H309, "SP_ULT_PARENT_COMPANY_NAME")</f>
        <v/>
      </c>
      <c r="K309" s="12" t="str">
        <f>_xll.SNL.Clients.Office.Excel.Functions.SPG(H309, "SP_ULT_PARENT_COUNTRY")</f>
        <v/>
      </c>
      <c r="L309" s="12" t="str">
        <f>_xll.SNL.Clients.Office.Excel.Functions.SPG(H309, "SP_PARENT_COMPANY_NAME")</f>
        <v/>
      </c>
      <c r="M309" s="12" t="str">
        <f>_xll.SNL.Clients.Office.Excel.Functions.SPG(H309, "SP_PARENT_COUNTRY")</f>
        <v/>
      </c>
      <c r="N309" s="12" t="str">
        <f>_xll.SNL.Clients.Office.Excel.Functions.SPG(H309, "SP_COUNTRY_NAME")</f>
        <v>South Africa</v>
      </c>
      <c r="O309" s="12" t="str">
        <f>_xll.SNL.Clients.Office.Excel.Functions.SPG(I309, "SP_ULT_PARENT_COMPANY_NAME")</f>
        <v/>
      </c>
      <c r="P309" s="12" t="str">
        <f>_xll.SNL.Clients.Office.Excel.Functions.SPG(I309, "SP_ULT_PARENT_COUNTRY")</f>
        <v/>
      </c>
      <c r="Q309" s="12" t="str">
        <f>_xll.SNL.Clients.Office.Excel.Functions.SPG(I309, "SP_PARENT_COMPANY_NAME")</f>
        <v/>
      </c>
      <c r="R309" s="12" t="str">
        <f>_xll.SNL.Clients.Office.Excel.Functions.SPG(I309, "SP_PARENT_COUNTRY")</f>
        <v/>
      </c>
      <c r="S309" s="12" t="str">
        <f>_xll.SNL.Clients.Office.Excel.Functions.SPG(I309, "SP_COUNTRY_NAME")</f>
        <v>South Africa</v>
      </c>
    </row>
    <row r="310" spans="1:19" ht="72.5" x14ac:dyDescent="0.35">
      <c r="A310" s="5">
        <v>46022</v>
      </c>
      <c r="B310" s="4" t="s">
        <v>416</v>
      </c>
      <c r="C310" s="4" t="s">
        <v>417</v>
      </c>
      <c r="D310" s="4" t="s">
        <v>1094</v>
      </c>
      <c r="E310" s="8">
        <v>4361447</v>
      </c>
      <c r="F310" s="7">
        <v>77</v>
      </c>
      <c r="G310" s="12" t="str">
        <f>[1]!SNLData("243327", C310, "OWNER_LIST")</f>
        <v>SODIMICO (Venturer) 23%; Jinchuan Group International Resources Co. Ltd (Venturer) 77%</v>
      </c>
      <c r="H310" s="9">
        <f>[1]!SNLData("243327", C310, "OWNER_SNL_INSTN_KEY", "Owner 1")</f>
        <v>4361447</v>
      </c>
      <c r="I310" s="9">
        <f>[1]!SNLData("243327", C310, "OWNER_SNL_INSTN_KEY", "Owner 2")</f>
        <v>4354398</v>
      </c>
      <c r="J310" s="12" t="str">
        <f>_xll.SNL.Clients.Office.Excel.Functions.SPG(H310, "SP_ULT_PARENT_COMPANY_NAME")</f>
        <v>State-Owned Assets Supervision And Administration Commission Of Gansu Provincial</v>
      </c>
      <c r="K310" s="12" t="str">
        <f>_xll.SNL.Clients.Office.Excel.Functions.SPG(H310, "SP_ULT_PARENT_COUNTRY")</f>
        <v>China</v>
      </c>
      <c r="L310" s="12" t="str">
        <f>_xll.SNL.Clients.Office.Excel.Functions.SPG(H310, "SP_PARENT_COMPANY_NAME")</f>
        <v>Jinchuan (BVI) Limited</v>
      </c>
      <c r="M310" s="12" t="str">
        <f>_xll.SNL.Clients.Office.Excel.Functions.SPG(H310, "SP_PARENT_COUNTRY")</f>
        <v>BVI</v>
      </c>
      <c r="N310" s="12" t="str">
        <f>_xll.SNL.Clients.Office.Excel.Functions.SPG(H310, "SP_COUNTRY_NAME")</f>
        <v>Hong Kong</v>
      </c>
      <c r="O310" s="12" t="str">
        <f>_xll.SNL.Clients.Office.Excel.Functions.SPG(I310, "SP_ULT_PARENT_COMPANY_NAME")</f>
        <v/>
      </c>
      <c r="P310" s="12" t="str">
        <f>_xll.SNL.Clients.Office.Excel.Functions.SPG(I310, "SP_ULT_PARENT_COUNTRY")</f>
        <v/>
      </c>
      <c r="Q310" s="12" t="str">
        <f>_xll.SNL.Clients.Office.Excel.Functions.SPG(I310, "SP_PARENT_COMPANY_NAME")</f>
        <v/>
      </c>
      <c r="R310" s="12" t="str">
        <f>_xll.SNL.Clients.Office.Excel.Functions.SPG(I310, "SP_PARENT_COUNTRY")</f>
        <v/>
      </c>
      <c r="S310" s="12" t="str">
        <f>_xll.SNL.Clients.Office.Excel.Functions.SPG(I310, "SP_COUNTRY_NAME")</f>
        <v>Dem. Rep. Congo</v>
      </c>
    </row>
    <row r="311" spans="1:19" ht="72.5" x14ac:dyDescent="0.35">
      <c r="A311" s="5">
        <v>46022</v>
      </c>
      <c r="B311" s="4" t="s">
        <v>416</v>
      </c>
      <c r="C311" s="4" t="s">
        <v>417</v>
      </c>
      <c r="D311" s="4" t="s">
        <v>1095</v>
      </c>
      <c r="E311" s="8">
        <v>4354398</v>
      </c>
      <c r="F311" s="7">
        <v>23</v>
      </c>
      <c r="G311" s="12" t="str">
        <f>[1]!SNLData("243327", C311, "OWNER_LIST")</f>
        <v>SODIMICO (Venturer) 23%; Jinchuan Group International Resources Co. Ltd (Venturer) 77%</v>
      </c>
      <c r="H311" s="9">
        <f>[1]!SNLData("243327", C311, "OWNER_SNL_INSTN_KEY", "Owner 1")</f>
        <v>4361447</v>
      </c>
      <c r="I311" s="9">
        <f>[1]!SNLData("243327", C311, "OWNER_SNL_INSTN_KEY", "Owner 2")</f>
        <v>4354398</v>
      </c>
      <c r="J311" s="12" t="str">
        <f>_xll.SNL.Clients.Office.Excel.Functions.SPG(H311, "SP_ULT_PARENT_COMPANY_NAME")</f>
        <v>State-Owned Assets Supervision And Administration Commission Of Gansu Provincial</v>
      </c>
      <c r="K311" s="12" t="str">
        <f>_xll.SNL.Clients.Office.Excel.Functions.SPG(H311, "SP_ULT_PARENT_COUNTRY")</f>
        <v>China</v>
      </c>
      <c r="L311" s="12" t="str">
        <f>_xll.SNL.Clients.Office.Excel.Functions.SPG(H311, "SP_PARENT_COMPANY_NAME")</f>
        <v>Jinchuan (BVI) Limited</v>
      </c>
      <c r="M311" s="12" t="str">
        <f>_xll.SNL.Clients.Office.Excel.Functions.SPG(H311, "SP_PARENT_COUNTRY")</f>
        <v>BVI</v>
      </c>
      <c r="N311" s="12" t="str">
        <f>_xll.SNL.Clients.Office.Excel.Functions.SPG(H311, "SP_COUNTRY_NAME")</f>
        <v>Hong Kong</v>
      </c>
      <c r="O311" s="12" t="str">
        <f>_xll.SNL.Clients.Office.Excel.Functions.SPG(I311, "SP_ULT_PARENT_COMPANY_NAME")</f>
        <v/>
      </c>
      <c r="P311" s="12" t="str">
        <f>_xll.SNL.Clients.Office.Excel.Functions.SPG(I311, "SP_ULT_PARENT_COUNTRY")</f>
        <v/>
      </c>
      <c r="Q311" s="12" t="str">
        <f>_xll.SNL.Clients.Office.Excel.Functions.SPG(I311, "SP_PARENT_COMPANY_NAME")</f>
        <v/>
      </c>
      <c r="R311" s="12" t="str">
        <f>_xll.SNL.Clients.Office.Excel.Functions.SPG(I311, "SP_PARENT_COUNTRY")</f>
        <v/>
      </c>
      <c r="S311" s="12" t="str">
        <f>_xll.SNL.Clients.Office.Excel.Functions.SPG(I311, "SP_COUNTRY_NAME")</f>
        <v>Dem. Rep. Congo</v>
      </c>
    </row>
    <row r="312" spans="1:19" x14ac:dyDescent="0.35">
      <c r="A312" s="5">
        <v>46022</v>
      </c>
      <c r="B312" s="4" t="s">
        <v>358</v>
      </c>
      <c r="C312" s="4" t="s">
        <v>359</v>
      </c>
      <c r="D312" s="4" t="s">
        <v>945</v>
      </c>
      <c r="E312" s="8">
        <v>4349314</v>
      </c>
      <c r="F312" s="7">
        <v>100</v>
      </c>
      <c r="G312" s="12" t="str">
        <f>[1]!SNLData("243327", C312, "OWNER_LIST")</f>
        <v>Corporación Nacional del Cobre de Chile  100%</v>
      </c>
      <c r="H312" s="9">
        <f>[1]!SNLData("243327", C312, "OWNER_SNL_INSTN_KEY", "Owner 1")</f>
        <v>4349314</v>
      </c>
      <c r="I312" s="9" t="str">
        <f>[1]!SNLData("243327", C312, "OWNER_SNL_INSTN_KEY", "Owner 2")</f>
        <v>NA</v>
      </c>
      <c r="J312" s="12" t="str">
        <f>_xll.SNL.Clients.Office.Excel.Functions.SPG(H312, "SP_ULT_PARENT_COMPANY_NAME")</f>
        <v>Chile</v>
      </c>
      <c r="K312" s="12" t="str">
        <f>_xll.SNL.Clients.Office.Excel.Functions.SPG(H312, "SP_ULT_PARENT_COUNTRY")</f>
        <v>Chile</v>
      </c>
      <c r="L312" s="12" t="str">
        <f>_xll.SNL.Clients.Office.Excel.Functions.SPG(H312, "SP_PARENT_COMPANY_NAME")</f>
        <v>Chile</v>
      </c>
      <c r="M312" s="12" t="str">
        <f>_xll.SNL.Clients.Office.Excel.Functions.SPG(H312, "SP_PARENT_COUNTRY")</f>
        <v>Chile</v>
      </c>
      <c r="N312" s="12" t="str">
        <f>_xll.SNL.Clients.Office.Excel.Functions.SPG(H312, "SP_COUNTRY_NAME")</f>
        <v>Chile</v>
      </c>
      <c r="O312" s="12" t="str">
        <f>_xll.SNL.Clients.Office.Excel.Functions.SPG(I312, "SP_ULT_PARENT_COMPANY_NAME")</f>
        <v/>
      </c>
      <c r="P312" s="12" t="str">
        <f>_xll.SNL.Clients.Office.Excel.Functions.SPG(I312, "SP_ULT_PARENT_COUNTRY")</f>
        <v/>
      </c>
      <c r="Q312" s="12" t="str">
        <f>_xll.SNL.Clients.Office.Excel.Functions.SPG(I312, "SP_PARENT_COMPANY_NAME")</f>
        <v/>
      </c>
      <c r="R312" s="12" t="str">
        <f>_xll.SNL.Clients.Office.Excel.Functions.SPG(I312, "SP_PARENT_COUNTRY")</f>
        <v/>
      </c>
      <c r="S312" s="12" t="str">
        <f>_xll.SNL.Clients.Office.Excel.Functions.SPG(I312, "SP_COUNTRY_NAME")</f>
        <v>China</v>
      </c>
    </row>
    <row r="313" spans="1:19" ht="43.5" x14ac:dyDescent="0.35">
      <c r="A313" s="5">
        <v>46022</v>
      </c>
      <c r="B313" s="4" t="s">
        <v>780</v>
      </c>
      <c r="C313" s="4" t="s">
        <v>781</v>
      </c>
      <c r="D313" s="4" t="s">
        <v>1096</v>
      </c>
      <c r="E313" s="8">
        <v>6585621</v>
      </c>
      <c r="F313" s="7">
        <v>30</v>
      </c>
      <c r="G313" s="12" t="str">
        <f>[1]!SNLData("243327", C313, "OWNER_LIST")</f>
        <v>China Railway Construction Investment Group Co.,Ltd. (Venturer) 30%; Tongling Nonferrous Metals Group Co.,Ltd. (Venturer) 70%</v>
      </c>
      <c r="H313" s="9">
        <f>[1]!SNLData("243327", C313, "OWNER_SNL_INSTN_KEY", "Owner 1")</f>
        <v>4314727</v>
      </c>
      <c r="I313" s="9">
        <f>[1]!SNLData("243327", C313, "OWNER_SNL_INSTN_KEY", "Owner 2")</f>
        <v>6585621</v>
      </c>
      <c r="J313" s="12" t="str">
        <f>_xll.SNL.Clients.Office.Excel.Functions.SPG(H313, "SP_ULT_PARENT_COMPANY_NAME")</f>
        <v/>
      </c>
      <c r="K313" s="12" t="str">
        <f>_xll.SNL.Clients.Office.Excel.Functions.SPG(H313, "SP_ULT_PARENT_COUNTRY")</f>
        <v/>
      </c>
      <c r="L313" s="12" t="str">
        <f>_xll.SNL.Clients.Office.Excel.Functions.SPG(H313, "SP_PARENT_COMPANY_NAME")</f>
        <v/>
      </c>
      <c r="M313" s="12" t="str">
        <f>_xll.SNL.Clients.Office.Excel.Functions.SPG(H313, "SP_PARENT_COUNTRY")</f>
        <v/>
      </c>
      <c r="N313" s="12" t="str">
        <f>_xll.SNL.Clients.Office.Excel.Functions.SPG(H313, "SP_COUNTRY_NAME")</f>
        <v>China</v>
      </c>
      <c r="O313" s="12" t="str">
        <f>_xll.SNL.Clients.Office.Excel.Functions.SPG(I313, "SP_ULT_PARENT_COMPANY_NAME")</f>
        <v>State-owned Assets Supervision and Administration Commission of the State Counci</v>
      </c>
      <c r="P313" s="12" t="str">
        <f>_xll.SNL.Clients.Office.Excel.Functions.SPG(I313, "SP_ULT_PARENT_COUNTRY")</f>
        <v>China</v>
      </c>
      <c r="Q313" s="12" t="str">
        <f>_xll.SNL.Clients.Office.Excel.Functions.SPG(I313, "SP_PARENT_COMPANY_NAME")</f>
        <v>China Railway Construction Corporation Limited</v>
      </c>
      <c r="R313" s="12" t="str">
        <f>_xll.SNL.Clients.Office.Excel.Functions.SPG(I313, "SP_PARENT_COUNTRY")</f>
        <v>China</v>
      </c>
      <c r="S313" s="12" t="str">
        <f>_xll.SNL.Clients.Office.Excel.Functions.SPG(I313, "SP_COUNTRY_NAME")</f>
        <v>China</v>
      </c>
    </row>
    <row r="314" spans="1:19" ht="43.5" x14ac:dyDescent="0.35">
      <c r="A314" s="5">
        <v>46022</v>
      </c>
      <c r="B314" s="4" t="s">
        <v>780</v>
      </c>
      <c r="C314" s="4" t="s">
        <v>781</v>
      </c>
      <c r="D314" s="4" t="s">
        <v>1024</v>
      </c>
      <c r="E314" s="8">
        <v>4314727</v>
      </c>
      <c r="F314" s="7">
        <v>70</v>
      </c>
      <c r="G314" s="12" t="str">
        <f>[1]!SNLData("243327", C314, "OWNER_LIST")</f>
        <v>China Railway Construction Investment Group Co.,Ltd. (Venturer) 30%; Tongling Nonferrous Metals Group Co.,Ltd. (Venturer) 70%</v>
      </c>
      <c r="H314" s="9">
        <f>[1]!SNLData("243327", C314, "OWNER_SNL_INSTN_KEY", "Owner 1")</f>
        <v>4314727</v>
      </c>
      <c r="I314" s="9">
        <f>[1]!SNLData("243327", C314, "OWNER_SNL_INSTN_KEY", "Owner 2")</f>
        <v>6585621</v>
      </c>
      <c r="J314" s="12" t="str">
        <f>_xll.SNL.Clients.Office.Excel.Functions.SPG(H314, "SP_ULT_PARENT_COMPANY_NAME")</f>
        <v/>
      </c>
      <c r="K314" s="12" t="str">
        <f>_xll.SNL.Clients.Office.Excel.Functions.SPG(H314, "SP_ULT_PARENT_COUNTRY")</f>
        <v/>
      </c>
      <c r="L314" s="12" t="str">
        <f>_xll.SNL.Clients.Office.Excel.Functions.SPG(H314, "SP_PARENT_COMPANY_NAME")</f>
        <v/>
      </c>
      <c r="M314" s="12" t="str">
        <f>_xll.SNL.Clients.Office.Excel.Functions.SPG(H314, "SP_PARENT_COUNTRY")</f>
        <v/>
      </c>
      <c r="N314" s="12" t="str">
        <f>_xll.SNL.Clients.Office.Excel.Functions.SPG(H314, "SP_COUNTRY_NAME")</f>
        <v>China</v>
      </c>
      <c r="O314" s="12" t="str">
        <f>_xll.SNL.Clients.Office.Excel.Functions.SPG(I314, "SP_ULT_PARENT_COMPANY_NAME")</f>
        <v>State-owned Assets Supervision and Administration Commission of the State Counci</v>
      </c>
      <c r="P314" s="12" t="str">
        <f>_xll.SNL.Clients.Office.Excel.Functions.SPG(I314, "SP_ULT_PARENT_COUNTRY")</f>
        <v>China</v>
      </c>
      <c r="Q314" s="12" t="str">
        <f>_xll.SNL.Clients.Office.Excel.Functions.SPG(I314, "SP_PARENT_COMPANY_NAME")</f>
        <v>China Railway Construction Corporation Limited</v>
      </c>
      <c r="R314" s="12" t="str">
        <f>_xll.SNL.Clients.Office.Excel.Functions.SPG(I314, "SP_PARENT_COUNTRY")</f>
        <v>China</v>
      </c>
      <c r="S314" s="12" t="str">
        <f>_xll.SNL.Clients.Office.Excel.Functions.SPG(I314, "SP_COUNTRY_NAME")</f>
        <v>China</v>
      </c>
    </row>
    <row r="315" spans="1:19" x14ac:dyDescent="0.35">
      <c r="A315" s="5">
        <v>46022</v>
      </c>
      <c r="B315" s="4" t="s">
        <v>587</v>
      </c>
      <c r="C315" s="4" t="s">
        <v>588</v>
      </c>
      <c r="D315" s="4" t="s">
        <v>1097</v>
      </c>
      <c r="E315" s="8">
        <v>4350827</v>
      </c>
      <c r="F315" s="7">
        <v>100</v>
      </c>
      <c r="G315" s="12" t="str">
        <f>[1]!SNLData("243327", C315, "OWNER_LIST")</f>
        <v>Grupo México, S.A.B. de C.V.  100%</v>
      </c>
      <c r="H315" s="9">
        <f>[1]!SNLData("243327", C315, "OWNER_SNL_INSTN_KEY", "Owner 1")</f>
        <v>4350827</v>
      </c>
      <c r="I315" s="9" t="str">
        <f>[1]!SNLData("243327", C315, "OWNER_SNL_INSTN_KEY", "Owner 2")</f>
        <v>NA</v>
      </c>
      <c r="J315" s="12" t="str">
        <f>_xll.SNL.Clients.Office.Excel.Functions.SPG(H315, "SP_ULT_PARENT_COMPANY_NAME")</f>
        <v/>
      </c>
      <c r="K315" s="12" t="str">
        <f>_xll.SNL.Clients.Office.Excel.Functions.SPG(H315, "SP_ULT_PARENT_COUNTRY")</f>
        <v/>
      </c>
      <c r="L315" s="12" t="str">
        <f>_xll.SNL.Clients.Office.Excel.Functions.SPG(H315, "SP_PARENT_COMPANY_NAME")</f>
        <v/>
      </c>
      <c r="M315" s="12" t="str">
        <f>_xll.SNL.Clients.Office.Excel.Functions.SPG(H315, "SP_PARENT_COUNTRY")</f>
        <v/>
      </c>
      <c r="N315" s="12" t="str">
        <f>_xll.SNL.Clients.Office.Excel.Functions.SPG(H315, "SP_COUNTRY_NAME")</f>
        <v>Mexico</v>
      </c>
      <c r="O315" s="12" t="str">
        <f>_xll.SNL.Clients.Office.Excel.Functions.SPG(I315, "SP_ULT_PARENT_COMPANY_NAME")</f>
        <v/>
      </c>
      <c r="P315" s="12" t="str">
        <f>_xll.SNL.Clients.Office.Excel.Functions.SPG(I315, "SP_ULT_PARENT_COUNTRY")</f>
        <v/>
      </c>
      <c r="Q315" s="12" t="str">
        <f>_xll.SNL.Clients.Office.Excel.Functions.SPG(I315, "SP_PARENT_COMPANY_NAME")</f>
        <v/>
      </c>
      <c r="R315" s="12" t="str">
        <f>_xll.SNL.Clients.Office.Excel.Functions.SPG(I315, "SP_PARENT_COUNTRY")</f>
        <v/>
      </c>
      <c r="S315" s="12" t="str">
        <f>_xll.SNL.Clients.Office.Excel.Functions.SPG(I315, "SP_COUNTRY_NAME")</f>
        <v>China</v>
      </c>
    </row>
    <row r="316" spans="1:19" ht="43.5" x14ac:dyDescent="0.35">
      <c r="A316" s="5">
        <v>46022</v>
      </c>
      <c r="B316" s="4" t="s">
        <v>360</v>
      </c>
      <c r="C316" s="4" t="s">
        <v>361</v>
      </c>
      <c r="D316" s="4" t="s">
        <v>1098</v>
      </c>
      <c r="E316" s="8">
        <v>4188197</v>
      </c>
      <c r="F316" s="7">
        <v>41.5</v>
      </c>
      <c r="G316" s="12" t="str">
        <f>[1]!SNLData("243327", C316, "OWNER_LIST")</f>
        <v>Private Interest (Carried) 8.5%; African Rainbow Minerals Limited (Venturer) 41.5%; Valterra Platinum Limited (Venturer) 50%</v>
      </c>
      <c r="H316" s="9">
        <f>[1]!SNLData("243327", C316, "OWNER_SNL_INSTN_KEY", "Owner 1")</f>
        <v>4348055</v>
      </c>
      <c r="I316" s="9">
        <f>[1]!SNLData("243327", C316, "OWNER_SNL_INSTN_KEY", "Owner 2")</f>
        <v>4188197</v>
      </c>
      <c r="J316" s="12" t="str">
        <f>_xll.SNL.Clients.Office.Excel.Functions.SPG(H316, "SP_ULT_PARENT_COMPANY_NAME")</f>
        <v/>
      </c>
      <c r="K316" s="12" t="str">
        <f>_xll.SNL.Clients.Office.Excel.Functions.SPG(H316, "SP_ULT_PARENT_COUNTRY")</f>
        <v/>
      </c>
      <c r="L316" s="12" t="str">
        <f>_xll.SNL.Clients.Office.Excel.Functions.SPG(H316, "SP_PARENT_COMPANY_NAME")</f>
        <v/>
      </c>
      <c r="M316" s="12" t="str">
        <f>_xll.SNL.Clients.Office.Excel.Functions.SPG(H316, "SP_PARENT_COUNTRY")</f>
        <v/>
      </c>
      <c r="N316" s="12" t="str">
        <f>_xll.SNL.Clients.Office.Excel.Functions.SPG(H316, "SP_COUNTRY_NAME")</f>
        <v>South Africa</v>
      </c>
      <c r="O316" s="12" t="str">
        <f>_xll.SNL.Clients.Office.Excel.Functions.SPG(I316, "SP_ULT_PARENT_COMPANY_NAME")</f>
        <v/>
      </c>
      <c r="P316" s="12" t="str">
        <f>_xll.SNL.Clients.Office.Excel.Functions.SPG(I316, "SP_ULT_PARENT_COUNTRY")</f>
        <v/>
      </c>
      <c r="Q316" s="12" t="str">
        <f>_xll.SNL.Clients.Office.Excel.Functions.SPG(I316, "SP_PARENT_COMPANY_NAME")</f>
        <v/>
      </c>
      <c r="R316" s="12" t="str">
        <f>_xll.SNL.Clients.Office.Excel.Functions.SPG(I316, "SP_PARENT_COUNTRY")</f>
        <v/>
      </c>
      <c r="S316" s="12" t="str">
        <f>_xll.SNL.Clients.Office.Excel.Functions.SPG(I316, "SP_COUNTRY_NAME")</f>
        <v>South Africa</v>
      </c>
    </row>
    <row r="317" spans="1:19" ht="43.5" x14ac:dyDescent="0.35">
      <c r="A317" s="5">
        <v>46022</v>
      </c>
      <c r="B317" s="4" t="s">
        <v>360</v>
      </c>
      <c r="C317" s="4" t="s">
        <v>361</v>
      </c>
      <c r="D317" s="4" t="s">
        <v>962</v>
      </c>
      <c r="E317" s="8">
        <v>4353456</v>
      </c>
      <c r="F317" s="7">
        <v>8.5</v>
      </c>
      <c r="G317" s="12" t="str">
        <f>[1]!SNLData("243327", C317, "OWNER_LIST")</f>
        <v>Private Interest (Carried) 8.5%; African Rainbow Minerals Limited (Venturer) 41.5%; Valterra Platinum Limited (Venturer) 50%</v>
      </c>
      <c r="H317" s="9">
        <f>[1]!SNLData("243327", C317, "OWNER_SNL_INSTN_KEY", "Owner 1")</f>
        <v>4348055</v>
      </c>
      <c r="I317" s="9">
        <f>[1]!SNLData("243327", C317, "OWNER_SNL_INSTN_KEY", "Owner 2")</f>
        <v>4188197</v>
      </c>
      <c r="J317" s="12" t="str">
        <f>_xll.SNL.Clients.Office.Excel.Functions.SPG(H317, "SP_ULT_PARENT_COMPANY_NAME")</f>
        <v/>
      </c>
      <c r="K317" s="12" t="str">
        <f>_xll.SNL.Clients.Office.Excel.Functions.SPG(H317, "SP_ULT_PARENT_COUNTRY")</f>
        <v/>
      </c>
      <c r="L317" s="12" t="str">
        <f>_xll.SNL.Clients.Office.Excel.Functions.SPG(H317, "SP_PARENT_COMPANY_NAME")</f>
        <v/>
      </c>
      <c r="M317" s="12" t="str">
        <f>_xll.SNL.Clients.Office.Excel.Functions.SPG(H317, "SP_PARENT_COUNTRY")</f>
        <v/>
      </c>
      <c r="N317" s="12" t="str">
        <f>_xll.SNL.Clients.Office.Excel.Functions.SPG(H317, "SP_COUNTRY_NAME")</f>
        <v>South Africa</v>
      </c>
      <c r="O317" s="12" t="str">
        <f>_xll.SNL.Clients.Office.Excel.Functions.SPG(I317, "SP_ULT_PARENT_COMPANY_NAME")</f>
        <v/>
      </c>
      <c r="P317" s="12" t="str">
        <f>_xll.SNL.Clients.Office.Excel.Functions.SPG(I317, "SP_ULT_PARENT_COUNTRY")</f>
        <v/>
      </c>
      <c r="Q317" s="12" t="str">
        <f>_xll.SNL.Clients.Office.Excel.Functions.SPG(I317, "SP_PARENT_COMPANY_NAME")</f>
        <v/>
      </c>
      <c r="R317" s="12" t="str">
        <f>_xll.SNL.Clients.Office.Excel.Functions.SPG(I317, "SP_PARENT_COUNTRY")</f>
        <v/>
      </c>
      <c r="S317" s="12" t="str">
        <f>_xll.SNL.Clients.Office.Excel.Functions.SPG(I317, "SP_COUNTRY_NAME")</f>
        <v>South Africa</v>
      </c>
    </row>
    <row r="318" spans="1:19" ht="43.5" x14ac:dyDescent="0.35">
      <c r="A318" s="5">
        <v>46022</v>
      </c>
      <c r="B318" s="4" t="s">
        <v>360</v>
      </c>
      <c r="C318" s="4" t="s">
        <v>361</v>
      </c>
      <c r="D318" s="4" t="s">
        <v>943</v>
      </c>
      <c r="E318" s="8">
        <v>4348055</v>
      </c>
      <c r="F318" s="7">
        <v>50</v>
      </c>
      <c r="G318" s="12" t="str">
        <f>[1]!SNLData("243327", C318, "OWNER_LIST")</f>
        <v>Private Interest (Carried) 8.5%; African Rainbow Minerals Limited (Venturer) 41.5%; Valterra Platinum Limited (Venturer) 50%</v>
      </c>
      <c r="H318" s="9">
        <f>[1]!SNLData("243327", C318, "OWNER_SNL_INSTN_KEY", "Owner 1")</f>
        <v>4348055</v>
      </c>
      <c r="I318" s="9">
        <f>[1]!SNLData("243327", C318, "OWNER_SNL_INSTN_KEY", "Owner 2")</f>
        <v>4188197</v>
      </c>
      <c r="J318" s="12" t="str">
        <f>_xll.SNL.Clients.Office.Excel.Functions.SPG(H318, "SP_ULT_PARENT_COMPANY_NAME")</f>
        <v/>
      </c>
      <c r="K318" s="12" t="str">
        <f>_xll.SNL.Clients.Office.Excel.Functions.SPG(H318, "SP_ULT_PARENT_COUNTRY")</f>
        <v/>
      </c>
      <c r="L318" s="12" t="str">
        <f>_xll.SNL.Clients.Office.Excel.Functions.SPG(H318, "SP_PARENT_COMPANY_NAME")</f>
        <v/>
      </c>
      <c r="M318" s="12" t="str">
        <f>_xll.SNL.Clients.Office.Excel.Functions.SPG(H318, "SP_PARENT_COUNTRY")</f>
        <v/>
      </c>
      <c r="N318" s="12" t="str">
        <f>_xll.SNL.Clients.Office.Excel.Functions.SPG(H318, "SP_COUNTRY_NAME")</f>
        <v>South Africa</v>
      </c>
      <c r="O318" s="12" t="str">
        <f>_xll.SNL.Clients.Office.Excel.Functions.SPG(I318, "SP_ULT_PARENT_COMPANY_NAME")</f>
        <v/>
      </c>
      <c r="P318" s="12" t="str">
        <f>_xll.SNL.Clients.Office.Excel.Functions.SPG(I318, "SP_ULT_PARENT_COUNTRY")</f>
        <v/>
      </c>
      <c r="Q318" s="12" t="str">
        <f>_xll.SNL.Clients.Office.Excel.Functions.SPG(I318, "SP_PARENT_COMPANY_NAME")</f>
        <v/>
      </c>
      <c r="R318" s="12" t="str">
        <f>_xll.SNL.Clients.Office.Excel.Functions.SPG(I318, "SP_PARENT_COUNTRY")</f>
        <v/>
      </c>
      <c r="S318" s="12" t="str">
        <f>_xll.SNL.Clients.Office.Excel.Functions.SPG(I318, "SP_COUNTRY_NAME")</f>
        <v>South Africa</v>
      </c>
    </row>
    <row r="319" spans="1:19" x14ac:dyDescent="0.35">
      <c r="A319" s="5">
        <v>46022</v>
      </c>
      <c r="B319" s="4" t="s">
        <v>589</v>
      </c>
      <c r="C319" s="4" t="s">
        <v>590</v>
      </c>
      <c r="D319" s="4" t="s">
        <v>943</v>
      </c>
      <c r="E319" s="8">
        <v>4348055</v>
      </c>
      <c r="F319" s="7">
        <v>100</v>
      </c>
      <c r="G319" s="12" t="str">
        <f>[1]!SNLData("243327", C319, "OWNER_LIST")</f>
        <v>Valterra Platinum Limited  100%</v>
      </c>
      <c r="H319" s="9">
        <f>[1]!SNLData("243327", C319, "OWNER_SNL_INSTN_KEY", "Owner 1")</f>
        <v>4348055</v>
      </c>
      <c r="I319" s="9" t="str">
        <f>[1]!SNLData("243327", C319, "OWNER_SNL_INSTN_KEY", "Owner 2")</f>
        <v>NA</v>
      </c>
      <c r="J319" s="12" t="str">
        <f>_xll.SNL.Clients.Office.Excel.Functions.SPG(H319, "SP_ULT_PARENT_COMPANY_NAME")</f>
        <v/>
      </c>
      <c r="K319" s="12" t="str">
        <f>_xll.SNL.Clients.Office.Excel.Functions.SPG(H319, "SP_ULT_PARENT_COUNTRY")</f>
        <v/>
      </c>
      <c r="L319" s="12" t="str">
        <f>_xll.SNL.Clients.Office.Excel.Functions.SPG(H319, "SP_PARENT_COMPANY_NAME")</f>
        <v/>
      </c>
      <c r="M319" s="12" t="str">
        <f>_xll.SNL.Clients.Office.Excel.Functions.SPG(H319, "SP_PARENT_COUNTRY")</f>
        <v/>
      </c>
      <c r="N319" s="12" t="str">
        <f>_xll.SNL.Clients.Office.Excel.Functions.SPG(H319, "SP_COUNTRY_NAME")</f>
        <v>South Africa</v>
      </c>
      <c r="O319" s="12" t="str">
        <f>_xll.SNL.Clients.Office.Excel.Functions.SPG(I319, "SP_ULT_PARENT_COMPANY_NAME")</f>
        <v/>
      </c>
      <c r="P319" s="12" t="str">
        <f>_xll.SNL.Clients.Office.Excel.Functions.SPG(I319, "SP_ULT_PARENT_COUNTRY")</f>
        <v/>
      </c>
      <c r="Q319" s="12" t="str">
        <f>_xll.SNL.Clients.Office.Excel.Functions.SPG(I319, "SP_PARENT_COMPANY_NAME")</f>
        <v/>
      </c>
      <c r="R319" s="12" t="str">
        <f>_xll.SNL.Clients.Office.Excel.Functions.SPG(I319, "SP_PARENT_COUNTRY")</f>
        <v/>
      </c>
      <c r="S319" s="12" t="str">
        <f>_xll.SNL.Clients.Office.Excel.Functions.SPG(I319, "SP_COUNTRY_NAME")</f>
        <v>China</v>
      </c>
    </row>
    <row r="320" spans="1:19" ht="43.5" x14ac:dyDescent="0.35">
      <c r="A320" s="5">
        <v>46022</v>
      </c>
      <c r="B320" s="4" t="s">
        <v>783</v>
      </c>
      <c r="C320" s="4" t="s">
        <v>784</v>
      </c>
      <c r="D320" s="4" t="s">
        <v>963</v>
      </c>
      <c r="E320" s="8">
        <v>4004107</v>
      </c>
      <c r="F320" s="7">
        <v>72</v>
      </c>
      <c r="G320" s="12" t="str">
        <f>[1]!SNLData("243327", C320, "OWNER_LIST")</f>
        <v>Sumitomo Corporation (Venturer) 3%; Sumitomo Metal Mining Co., Ltd. (Venturer) 25%; Freeport-McMoRan Inc. (Venturer) 72%</v>
      </c>
      <c r="H320" s="9">
        <f>[1]!SNLData("243327", C320, "OWNER_SNL_INSTN_KEY", "Owner 1")</f>
        <v>4004107</v>
      </c>
      <c r="I320" s="9">
        <f>[1]!SNLData("243327", C320, "OWNER_SNL_INSTN_KEY", "Owner 2")</f>
        <v>4354638</v>
      </c>
      <c r="J320" s="12" t="str">
        <f>_xll.SNL.Clients.Office.Excel.Functions.SPG(H320, "SP_ULT_PARENT_COMPANY_NAME")</f>
        <v/>
      </c>
      <c r="K320" s="12" t="str">
        <f>_xll.SNL.Clients.Office.Excel.Functions.SPG(H320, "SP_ULT_PARENT_COUNTRY")</f>
        <v/>
      </c>
      <c r="L320" s="12" t="str">
        <f>_xll.SNL.Clients.Office.Excel.Functions.SPG(H320, "SP_PARENT_COMPANY_NAME")</f>
        <v/>
      </c>
      <c r="M320" s="12" t="str">
        <f>_xll.SNL.Clients.Office.Excel.Functions.SPG(H320, "SP_PARENT_COUNTRY")</f>
        <v/>
      </c>
      <c r="N320" s="12" t="str">
        <f>_xll.SNL.Clients.Office.Excel.Functions.SPG(H320, "SP_COUNTRY_NAME")</f>
        <v>USA</v>
      </c>
      <c r="O320" s="12" t="str">
        <f>_xll.SNL.Clients.Office.Excel.Functions.SPG(I320, "SP_ULT_PARENT_COMPANY_NAME")</f>
        <v/>
      </c>
      <c r="P320" s="12" t="str">
        <f>_xll.SNL.Clients.Office.Excel.Functions.SPG(I320, "SP_ULT_PARENT_COUNTRY")</f>
        <v/>
      </c>
      <c r="Q320" s="12" t="str">
        <f>_xll.SNL.Clients.Office.Excel.Functions.SPG(I320, "SP_PARENT_COMPANY_NAME")</f>
        <v/>
      </c>
      <c r="R320" s="12" t="str">
        <f>_xll.SNL.Clients.Office.Excel.Functions.SPG(I320, "SP_PARENT_COUNTRY")</f>
        <v/>
      </c>
      <c r="S320" s="12" t="str">
        <f>_xll.SNL.Clients.Office.Excel.Functions.SPG(I320, "SP_COUNTRY_NAME")</f>
        <v>Japan</v>
      </c>
    </row>
    <row r="321" spans="1:19" ht="43.5" x14ac:dyDescent="0.35">
      <c r="A321" s="5">
        <v>46022</v>
      </c>
      <c r="B321" s="4" t="s">
        <v>783</v>
      </c>
      <c r="C321" s="4" t="s">
        <v>784</v>
      </c>
      <c r="D321" s="4" t="s">
        <v>988</v>
      </c>
      <c r="E321" s="8">
        <v>4047416</v>
      </c>
      <c r="F321" s="7">
        <v>3</v>
      </c>
      <c r="G321" s="12" t="str">
        <f>[1]!SNLData("243327", C321, "OWNER_LIST")</f>
        <v>Sumitomo Corporation (Venturer) 3%; Sumitomo Metal Mining Co., Ltd. (Venturer) 25%; Freeport-McMoRan Inc. (Venturer) 72%</v>
      </c>
      <c r="H321" s="9">
        <f>[1]!SNLData("243327", C321, "OWNER_SNL_INSTN_KEY", "Owner 1")</f>
        <v>4004107</v>
      </c>
      <c r="I321" s="9">
        <f>[1]!SNLData("243327", C321, "OWNER_SNL_INSTN_KEY", "Owner 2")</f>
        <v>4354638</v>
      </c>
      <c r="J321" s="12" t="str">
        <f>_xll.SNL.Clients.Office.Excel.Functions.SPG(H321, "SP_ULT_PARENT_COMPANY_NAME")</f>
        <v/>
      </c>
      <c r="K321" s="12" t="str">
        <f>_xll.SNL.Clients.Office.Excel.Functions.SPG(H321, "SP_ULT_PARENT_COUNTRY")</f>
        <v/>
      </c>
      <c r="L321" s="12" t="str">
        <f>_xll.SNL.Clients.Office.Excel.Functions.SPG(H321, "SP_PARENT_COMPANY_NAME")</f>
        <v/>
      </c>
      <c r="M321" s="12" t="str">
        <f>_xll.SNL.Clients.Office.Excel.Functions.SPG(H321, "SP_PARENT_COUNTRY")</f>
        <v/>
      </c>
      <c r="N321" s="12" t="str">
        <f>_xll.SNL.Clients.Office.Excel.Functions.SPG(H321, "SP_COUNTRY_NAME")</f>
        <v>USA</v>
      </c>
      <c r="O321" s="12" t="str">
        <f>_xll.SNL.Clients.Office.Excel.Functions.SPG(I321, "SP_ULT_PARENT_COMPANY_NAME")</f>
        <v/>
      </c>
      <c r="P321" s="12" t="str">
        <f>_xll.SNL.Clients.Office.Excel.Functions.SPG(I321, "SP_ULT_PARENT_COUNTRY")</f>
        <v/>
      </c>
      <c r="Q321" s="12" t="str">
        <f>_xll.SNL.Clients.Office.Excel.Functions.SPG(I321, "SP_PARENT_COMPANY_NAME")</f>
        <v/>
      </c>
      <c r="R321" s="12" t="str">
        <f>_xll.SNL.Clients.Office.Excel.Functions.SPG(I321, "SP_PARENT_COUNTRY")</f>
        <v/>
      </c>
      <c r="S321" s="12" t="str">
        <f>_xll.SNL.Clients.Office.Excel.Functions.SPG(I321, "SP_COUNTRY_NAME")</f>
        <v>Japan</v>
      </c>
    </row>
    <row r="322" spans="1:19" ht="43.5" x14ac:dyDescent="0.35">
      <c r="A322" s="5">
        <v>46022</v>
      </c>
      <c r="B322" s="4" t="s">
        <v>783</v>
      </c>
      <c r="C322" s="4" t="s">
        <v>784</v>
      </c>
      <c r="D322" s="4" t="s">
        <v>989</v>
      </c>
      <c r="E322" s="8">
        <v>4354638</v>
      </c>
      <c r="F322" s="7">
        <v>25</v>
      </c>
      <c r="G322" s="12" t="str">
        <f>[1]!SNLData("243327", C322, "OWNER_LIST")</f>
        <v>Sumitomo Corporation (Venturer) 3%; Sumitomo Metal Mining Co., Ltd. (Venturer) 25%; Freeport-McMoRan Inc. (Venturer) 72%</v>
      </c>
      <c r="H322" s="9">
        <f>[1]!SNLData("243327", C322, "OWNER_SNL_INSTN_KEY", "Owner 1")</f>
        <v>4004107</v>
      </c>
      <c r="I322" s="9">
        <f>[1]!SNLData("243327", C322, "OWNER_SNL_INSTN_KEY", "Owner 2")</f>
        <v>4354638</v>
      </c>
      <c r="J322" s="12" t="str">
        <f>_xll.SNL.Clients.Office.Excel.Functions.SPG(H322, "SP_ULT_PARENT_COMPANY_NAME")</f>
        <v/>
      </c>
      <c r="K322" s="12" t="str">
        <f>_xll.SNL.Clients.Office.Excel.Functions.SPG(H322, "SP_ULT_PARENT_COUNTRY")</f>
        <v/>
      </c>
      <c r="L322" s="12" t="str">
        <f>_xll.SNL.Clients.Office.Excel.Functions.SPG(H322, "SP_PARENT_COMPANY_NAME")</f>
        <v/>
      </c>
      <c r="M322" s="12" t="str">
        <f>_xll.SNL.Clients.Office.Excel.Functions.SPG(H322, "SP_PARENT_COUNTRY")</f>
        <v/>
      </c>
      <c r="N322" s="12" t="str">
        <f>_xll.SNL.Clients.Office.Excel.Functions.SPG(H322, "SP_COUNTRY_NAME")</f>
        <v>USA</v>
      </c>
      <c r="O322" s="12" t="str">
        <f>_xll.SNL.Clients.Office.Excel.Functions.SPG(I322, "SP_ULT_PARENT_COMPANY_NAME")</f>
        <v/>
      </c>
      <c r="P322" s="12" t="str">
        <f>_xll.SNL.Clients.Office.Excel.Functions.SPG(I322, "SP_ULT_PARENT_COUNTRY")</f>
        <v/>
      </c>
      <c r="Q322" s="12" t="str">
        <f>_xll.SNL.Clients.Office.Excel.Functions.SPG(I322, "SP_PARENT_COMPANY_NAME")</f>
        <v/>
      </c>
      <c r="R322" s="12" t="str">
        <f>_xll.SNL.Clients.Office.Excel.Functions.SPG(I322, "SP_PARENT_COUNTRY")</f>
        <v/>
      </c>
      <c r="S322" s="12" t="str">
        <f>_xll.SNL.Clients.Office.Excel.Functions.SPG(I322, "SP_COUNTRY_NAME")</f>
        <v>Japan</v>
      </c>
    </row>
    <row r="323" spans="1:19" ht="58" x14ac:dyDescent="0.35">
      <c r="A323" s="5">
        <v>46022</v>
      </c>
      <c r="B323" s="4" t="s">
        <v>418</v>
      </c>
      <c r="C323" s="4" t="s">
        <v>419</v>
      </c>
      <c r="D323" s="4" t="s">
        <v>963</v>
      </c>
      <c r="E323" s="8">
        <v>4004107</v>
      </c>
      <c r="F323" s="7">
        <v>72</v>
      </c>
      <c r="G323" s="12" t="str">
        <f>[1]!SNLData("243327", C323, "OWNER_LIST")</f>
        <v>Freeport-McMoRan Inc. (Venturer) 72%; Sumitomo Corporation (Venturer) 3%; Sumitomo Metal Mining Co., Ltd. (Venturer) 25%</v>
      </c>
      <c r="H323" s="9">
        <f>[1]!SNLData("243327", C323, "OWNER_SNL_INSTN_KEY", "Owner 1")</f>
        <v>4004107</v>
      </c>
      <c r="I323" s="9">
        <f>[1]!SNLData("243327", C323, "OWNER_SNL_INSTN_KEY", "Owner 2")</f>
        <v>4354638</v>
      </c>
      <c r="J323" s="12" t="str">
        <f>_xll.SNL.Clients.Office.Excel.Functions.SPG(H323, "SP_ULT_PARENT_COMPANY_NAME")</f>
        <v/>
      </c>
      <c r="K323" s="12" t="str">
        <f>_xll.SNL.Clients.Office.Excel.Functions.SPG(H323, "SP_ULT_PARENT_COUNTRY")</f>
        <v/>
      </c>
      <c r="L323" s="12" t="str">
        <f>_xll.SNL.Clients.Office.Excel.Functions.SPG(H323, "SP_PARENT_COMPANY_NAME")</f>
        <v/>
      </c>
      <c r="M323" s="12" t="str">
        <f>_xll.SNL.Clients.Office.Excel.Functions.SPG(H323, "SP_PARENT_COUNTRY")</f>
        <v/>
      </c>
      <c r="N323" s="12" t="str">
        <f>_xll.SNL.Clients.Office.Excel.Functions.SPG(H323, "SP_COUNTRY_NAME")</f>
        <v>USA</v>
      </c>
      <c r="O323" s="12" t="str">
        <f>_xll.SNL.Clients.Office.Excel.Functions.SPG(I323, "SP_ULT_PARENT_COMPANY_NAME")</f>
        <v/>
      </c>
      <c r="P323" s="12" t="str">
        <f>_xll.SNL.Clients.Office.Excel.Functions.SPG(I323, "SP_ULT_PARENT_COUNTRY")</f>
        <v/>
      </c>
      <c r="Q323" s="12" t="str">
        <f>_xll.SNL.Clients.Office.Excel.Functions.SPG(I323, "SP_PARENT_COMPANY_NAME")</f>
        <v/>
      </c>
      <c r="R323" s="12" t="str">
        <f>_xll.SNL.Clients.Office.Excel.Functions.SPG(I323, "SP_PARENT_COUNTRY")</f>
        <v/>
      </c>
      <c r="S323" s="12" t="str">
        <f>_xll.SNL.Clients.Office.Excel.Functions.SPG(I323, "SP_COUNTRY_NAME")</f>
        <v>Japan</v>
      </c>
    </row>
    <row r="324" spans="1:19" ht="58" x14ac:dyDescent="0.35">
      <c r="A324" s="5">
        <v>46022</v>
      </c>
      <c r="B324" s="4" t="s">
        <v>418</v>
      </c>
      <c r="C324" s="4" t="s">
        <v>419</v>
      </c>
      <c r="D324" s="4" t="s">
        <v>988</v>
      </c>
      <c r="E324" s="8">
        <v>4047416</v>
      </c>
      <c r="F324" s="7">
        <v>3</v>
      </c>
      <c r="G324" s="12" t="str">
        <f>[1]!SNLData("243327", C324, "OWNER_LIST")</f>
        <v>Freeport-McMoRan Inc. (Venturer) 72%; Sumitomo Corporation (Venturer) 3%; Sumitomo Metal Mining Co., Ltd. (Venturer) 25%</v>
      </c>
      <c r="H324" s="9">
        <f>[1]!SNLData("243327", C324, "OWNER_SNL_INSTN_KEY", "Owner 1")</f>
        <v>4004107</v>
      </c>
      <c r="I324" s="9">
        <f>[1]!SNLData("243327", C324, "OWNER_SNL_INSTN_KEY", "Owner 2")</f>
        <v>4354638</v>
      </c>
      <c r="J324" s="12" t="str">
        <f>_xll.SNL.Clients.Office.Excel.Functions.SPG(H324, "SP_ULT_PARENT_COMPANY_NAME")</f>
        <v/>
      </c>
      <c r="K324" s="12" t="str">
        <f>_xll.SNL.Clients.Office.Excel.Functions.SPG(H324, "SP_ULT_PARENT_COUNTRY")</f>
        <v/>
      </c>
      <c r="L324" s="12" t="str">
        <f>_xll.SNL.Clients.Office.Excel.Functions.SPG(H324, "SP_PARENT_COMPANY_NAME")</f>
        <v/>
      </c>
      <c r="M324" s="12" t="str">
        <f>_xll.SNL.Clients.Office.Excel.Functions.SPG(H324, "SP_PARENT_COUNTRY")</f>
        <v/>
      </c>
      <c r="N324" s="12" t="str">
        <f>_xll.SNL.Clients.Office.Excel.Functions.SPG(H324, "SP_COUNTRY_NAME")</f>
        <v>USA</v>
      </c>
      <c r="O324" s="12" t="str">
        <f>_xll.SNL.Clients.Office.Excel.Functions.SPG(I324, "SP_ULT_PARENT_COMPANY_NAME")</f>
        <v/>
      </c>
      <c r="P324" s="12" t="str">
        <f>_xll.SNL.Clients.Office.Excel.Functions.SPG(I324, "SP_ULT_PARENT_COUNTRY")</f>
        <v/>
      </c>
      <c r="Q324" s="12" t="str">
        <f>_xll.SNL.Clients.Office.Excel.Functions.SPG(I324, "SP_PARENT_COMPANY_NAME")</f>
        <v/>
      </c>
      <c r="R324" s="12" t="str">
        <f>_xll.SNL.Clients.Office.Excel.Functions.SPG(I324, "SP_PARENT_COUNTRY")</f>
        <v/>
      </c>
      <c r="S324" s="12" t="str">
        <f>_xll.SNL.Clients.Office.Excel.Functions.SPG(I324, "SP_COUNTRY_NAME")</f>
        <v>Japan</v>
      </c>
    </row>
    <row r="325" spans="1:19" ht="58" x14ac:dyDescent="0.35">
      <c r="A325" s="5">
        <v>46022</v>
      </c>
      <c r="B325" s="4" t="s">
        <v>418</v>
      </c>
      <c r="C325" s="4" t="s">
        <v>419</v>
      </c>
      <c r="D325" s="4" t="s">
        <v>989</v>
      </c>
      <c r="E325" s="8">
        <v>4354638</v>
      </c>
      <c r="F325" s="7">
        <v>25</v>
      </c>
      <c r="G325" s="12" t="str">
        <f>[1]!SNLData("243327", C325, "OWNER_LIST")</f>
        <v>Freeport-McMoRan Inc. (Venturer) 72%; Sumitomo Corporation (Venturer) 3%; Sumitomo Metal Mining Co., Ltd. (Venturer) 25%</v>
      </c>
      <c r="H325" s="9">
        <f>[1]!SNLData("243327", C325, "OWNER_SNL_INSTN_KEY", "Owner 1")</f>
        <v>4004107</v>
      </c>
      <c r="I325" s="9">
        <f>[1]!SNLData("243327", C325, "OWNER_SNL_INSTN_KEY", "Owner 2")</f>
        <v>4354638</v>
      </c>
      <c r="J325" s="12" t="str">
        <f>_xll.SNL.Clients.Office.Excel.Functions.SPG(H325, "SP_ULT_PARENT_COMPANY_NAME")</f>
        <v/>
      </c>
      <c r="K325" s="12" t="str">
        <f>_xll.SNL.Clients.Office.Excel.Functions.SPG(H325, "SP_ULT_PARENT_COUNTRY")</f>
        <v/>
      </c>
      <c r="L325" s="12" t="str">
        <f>_xll.SNL.Clients.Office.Excel.Functions.SPG(H325, "SP_PARENT_COMPANY_NAME")</f>
        <v/>
      </c>
      <c r="M325" s="12" t="str">
        <f>_xll.SNL.Clients.Office.Excel.Functions.SPG(H325, "SP_PARENT_COUNTRY")</f>
        <v/>
      </c>
      <c r="N325" s="12" t="str">
        <f>_xll.SNL.Clients.Office.Excel.Functions.SPG(H325, "SP_COUNTRY_NAME")</f>
        <v>USA</v>
      </c>
      <c r="O325" s="12" t="str">
        <f>_xll.SNL.Clients.Office.Excel.Functions.SPG(I325, "SP_ULT_PARENT_COMPANY_NAME")</f>
        <v/>
      </c>
      <c r="P325" s="12" t="str">
        <f>_xll.SNL.Clients.Office.Excel.Functions.SPG(I325, "SP_ULT_PARENT_COUNTRY")</f>
        <v/>
      </c>
      <c r="Q325" s="12" t="str">
        <f>_xll.SNL.Clients.Office.Excel.Functions.SPG(I325, "SP_PARENT_COMPANY_NAME")</f>
        <v/>
      </c>
      <c r="R325" s="12" t="str">
        <f>_xll.SNL.Clients.Office.Excel.Functions.SPG(I325, "SP_PARENT_COUNTRY")</f>
        <v/>
      </c>
      <c r="S325" s="12" t="str">
        <f>_xll.SNL.Clients.Office.Excel.Functions.SPG(I325, "SP_COUNTRY_NAME")</f>
        <v>Japan</v>
      </c>
    </row>
    <row r="326" spans="1:19" x14ac:dyDescent="0.35">
      <c r="A326" s="5">
        <v>46022</v>
      </c>
      <c r="B326" s="4" t="s">
        <v>362</v>
      </c>
      <c r="C326" s="4" t="s">
        <v>363</v>
      </c>
      <c r="D326" s="4" t="s">
        <v>943</v>
      </c>
      <c r="E326" s="8">
        <v>4348055</v>
      </c>
      <c r="F326" s="7">
        <v>100</v>
      </c>
      <c r="G326" s="12" t="str">
        <f>[1]!SNLData("243327", C326, "OWNER_LIST")</f>
        <v>Valterra Platinum Limited  100%</v>
      </c>
      <c r="H326" s="9">
        <f>[1]!SNLData("243327", C326, "OWNER_SNL_INSTN_KEY", "Owner 1")</f>
        <v>4348055</v>
      </c>
      <c r="I326" s="9" t="str">
        <f>[1]!SNLData("243327", C326, "OWNER_SNL_INSTN_KEY", "Owner 2")</f>
        <v>NA</v>
      </c>
      <c r="J326" s="12" t="str">
        <f>_xll.SNL.Clients.Office.Excel.Functions.SPG(H326, "SP_ULT_PARENT_COMPANY_NAME")</f>
        <v/>
      </c>
      <c r="K326" s="12" t="str">
        <f>_xll.SNL.Clients.Office.Excel.Functions.SPG(H326, "SP_ULT_PARENT_COUNTRY")</f>
        <v/>
      </c>
      <c r="L326" s="12" t="str">
        <f>_xll.SNL.Clients.Office.Excel.Functions.SPG(H326, "SP_PARENT_COMPANY_NAME")</f>
        <v/>
      </c>
      <c r="M326" s="12" t="str">
        <f>_xll.SNL.Clients.Office.Excel.Functions.SPG(H326, "SP_PARENT_COUNTRY")</f>
        <v/>
      </c>
      <c r="N326" s="12" t="str">
        <f>_xll.SNL.Clients.Office.Excel.Functions.SPG(H326, "SP_COUNTRY_NAME")</f>
        <v>South Africa</v>
      </c>
      <c r="O326" s="12" t="str">
        <f>_xll.SNL.Clients.Office.Excel.Functions.SPG(I326, "SP_ULT_PARENT_COMPANY_NAME")</f>
        <v/>
      </c>
      <c r="P326" s="12" t="str">
        <f>_xll.SNL.Clients.Office.Excel.Functions.SPG(I326, "SP_ULT_PARENT_COUNTRY")</f>
        <v/>
      </c>
      <c r="Q326" s="12" t="str">
        <f>_xll.SNL.Clients.Office.Excel.Functions.SPG(I326, "SP_PARENT_COMPANY_NAME")</f>
        <v/>
      </c>
      <c r="R326" s="12" t="str">
        <f>_xll.SNL.Clients.Office.Excel.Functions.SPG(I326, "SP_PARENT_COUNTRY")</f>
        <v/>
      </c>
      <c r="S326" s="12" t="str">
        <f>_xll.SNL.Clients.Office.Excel.Functions.SPG(I326, "SP_COUNTRY_NAME")</f>
        <v>China</v>
      </c>
    </row>
    <row r="327" spans="1:19" x14ac:dyDescent="0.35">
      <c r="A327" s="5">
        <v>46022</v>
      </c>
      <c r="B327" s="4" t="s">
        <v>591</v>
      </c>
      <c r="C327" s="4" t="s">
        <v>592</v>
      </c>
      <c r="D327" s="4" t="s">
        <v>1077</v>
      </c>
      <c r="E327" s="8">
        <v>4379789</v>
      </c>
      <c r="F327" s="7">
        <v>100</v>
      </c>
      <c r="G327" s="12" t="str">
        <f>[1]!SNLData("243327", C327, "OWNER_LIST")</f>
        <v>Sibanye Stillwater Limited  100%</v>
      </c>
      <c r="H327" s="9">
        <f>[1]!SNLData("243327", C327, "OWNER_SNL_INSTN_KEY", "Owner 1")</f>
        <v>4379789</v>
      </c>
      <c r="I327" s="9" t="str">
        <f>[1]!SNLData("243327", C327, "OWNER_SNL_INSTN_KEY", "Owner 2")</f>
        <v>NA</v>
      </c>
      <c r="J327" s="12" t="str">
        <f>_xll.SNL.Clients.Office.Excel.Functions.SPG(H327, "SP_ULT_PARENT_COMPANY_NAME")</f>
        <v/>
      </c>
      <c r="K327" s="12" t="str">
        <f>_xll.SNL.Clients.Office.Excel.Functions.SPG(H327, "SP_ULT_PARENT_COUNTRY")</f>
        <v/>
      </c>
      <c r="L327" s="12" t="str">
        <f>_xll.SNL.Clients.Office.Excel.Functions.SPG(H327, "SP_PARENT_COMPANY_NAME")</f>
        <v/>
      </c>
      <c r="M327" s="12" t="str">
        <f>_xll.SNL.Clients.Office.Excel.Functions.SPG(H327, "SP_PARENT_COUNTRY")</f>
        <v/>
      </c>
      <c r="N327" s="12" t="str">
        <f>_xll.SNL.Clients.Office.Excel.Functions.SPG(H327, "SP_COUNTRY_NAME")</f>
        <v>South Africa</v>
      </c>
      <c r="O327" s="12" t="str">
        <f>_xll.SNL.Clients.Office.Excel.Functions.SPG(I327, "SP_ULT_PARENT_COMPANY_NAME")</f>
        <v/>
      </c>
      <c r="P327" s="12" t="str">
        <f>_xll.SNL.Clients.Office.Excel.Functions.SPG(I327, "SP_ULT_PARENT_COUNTRY")</f>
        <v/>
      </c>
      <c r="Q327" s="12" t="str">
        <f>_xll.SNL.Clients.Office.Excel.Functions.SPG(I327, "SP_PARENT_COMPANY_NAME")</f>
        <v/>
      </c>
      <c r="R327" s="12" t="str">
        <f>_xll.SNL.Clients.Office.Excel.Functions.SPG(I327, "SP_PARENT_COUNTRY")</f>
        <v/>
      </c>
      <c r="S327" s="12" t="str">
        <f>_xll.SNL.Clients.Office.Excel.Functions.SPG(I327, "SP_COUNTRY_NAME")</f>
        <v>China</v>
      </c>
    </row>
    <row r="328" spans="1:19" x14ac:dyDescent="0.35">
      <c r="A328" s="5">
        <v>46022</v>
      </c>
      <c r="B328" s="4" t="s">
        <v>364</v>
      </c>
      <c r="C328" s="4" t="s">
        <v>365</v>
      </c>
      <c r="D328" s="4" t="s">
        <v>1099</v>
      </c>
      <c r="E328" s="8">
        <v>4349027</v>
      </c>
      <c r="F328" s="7">
        <v>100</v>
      </c>
      <c r="G328" s="12" t="str">
        <f>[1]!SNLData("243327", C328, "OWNER_LIST")</f>
        <v>Centerra Gold Inc.  100%</v>
      </c>
      <c r="H328" s="9">
        <f>[1]!SNLData("243327", C328, "OWNER_SNL_INSTN_KEY", "Owner 1")</f>
        <v>4349027</v>
      </c>
      <c r="I328" s="9" t="str">
        <f>[1]!SNLData("243327", C328, "OWNER_SNL_INSTN_KEY", "Owner 2")</f>
        <v>NA</v>
      </c>
      <c r="J328" s="12" t="str">
        <f>_xll.SNL.Clients.Office.Excel.Functions.SPG(H328, "SP_ULT_PARENT_COMPANY_NAME")</f>
        <v/>
      </c>
      <c r="K328" s="12" t="str">
        <f>_xll.SNL.Clients.Office.Excel.Functions.SPG(H328, "SP_ULT_PARENT_COUNTRY")</f>
        <v/>
      </c>
      <c r="L328" s="12" t="str">
        <f>_xll.SNL.Clients.Office.Excel.Functions.SPG(H328, "SP_PARENT_COMPANY_NAME")</f>
        <v/>
      </c>
      <c r="M328" s="12" t="str">
        <f>_xll.SNL.Clients.Office.Excel.Functions.SPG(H328, "SP_PARENT_COUNTRY")</f>
        <v/>
      </c>
      <c r="N328" s="12" t="str">
        <f>_xll.SNL.Clients.Office.Excel.Functions.SPG(H328, "SP_COUNTRY_NAME")</f>
        <v>Canada</v>
      </c>
      <c r="O328" s="12" t="str">
        <f>_xll.SNL.Clients.Office.Excel.Functions.SPG(I328, "SP_ULT_PARENT_COMPANY_NAME")</f>
        <v/>
      </c>
      <c r="P328" s="12" t="str">
        <f>_xll.SNL.Clients.Office.Excel.Functions.SPG(I328, "SP_ULT_PARENT_COUNTRY")</f>
        <v/>
      </c>
      <c r="Q328" s="12" t="str">
        <f>_xll.SNL.Clients.Office.Excel.Functions.SPG(I328, "SP_PARENT_COMPANY_NAME")</f>
        <v/>
      </c>
      <c r="R328" s="12" t="str">
        <f>_xll.SNL.Clients.Office.Excel.Functions.SPG(I328, "SP_PARENT_COUNTRY")</f>
        <v/>
      </c>
      <c r="S328" s="12" t="str">
        <f>_xll.SNL.Clients.Office.Excel.Functions.SPG(I328, "SP_COUNTRY_NAME")</f>
        <v>China</v>
      </c>
    </row>
    <row r="329" spans="1:19" x14ac:dyDescent="0.35">
      <c r="A329" s="5">
        <v>46022</v>
      </c>
      <c r="B329" s="4" t="s">
        <v>366</v>
      </c>
      <c r="C329" s="4" t="s">
        <v>367</v>
      </c>
      <c r="D329" s="4" t="s">
        <v>948</v>
      </c>
      <c r="E329" s="8">
        <v>4113732</v>
      </c>
      <c r="F329" s="7">
        <v>100</v>
      </c>
      <c r="G329" s="12" t="str">
        <f>[1]!SNLData("243327", C329, "OWNER_LIST")</f>
        <v>Glencore plc  100%</v>
      </c>
      <c r="H329" s="9">
        <f>[1]!SNLData("243327", C329, "OWNER_SNL_INSTN_KEY", "Owner 1")</f>
        <v>4113732</v>
      </c>
      <c r="I329" s="9" t="str">
        <f>[1]!SNLData("243327", C329, "OWNER_SNL_INSTN_KEY", "Owner 2")</f>
        <v>NA</v>
      </c>
      <c r="J329" s="12" t="str">
        <f>_xll.SNL.Clients.Office.Excel.Functions.SPG(H329, "SP_ULT_PARENT_COMPANY_NAME")</f>
        <v/>
      </c>
      <c r="K329" s="12" t="str">
        <f>_xll.SNL.Clients.Office.Excel.Functions.SPG(H329, "SP_ULT_PARENT_COUNTRY")</f>
        <v/>
      </c>
      <c r="L329" s="12" t="str">
        <f>_xll.SNL.Clients.Office.Excel.Functions.SPG(H329, "SP_PARENT_COMPANY_NAME")</f>
        <v/>
      </c>
      <c r="M329" s="12" t="str">
        <f>_xll.SNL.Clients.Office.Excel.Functions.SPG(H329, "SP_PARENT_COUNTRY")</f>
        <v/>
      </c>
      <c r="N329" s="12" t="str">
        <f>_xll.SNL.Clients.Office.Excel.Functions.SPG(H329, "SP_COUNTRY_NAME")</f>
        <v>Switzerland</v>
      </c>
      <c r="O329" s="12" t="str">
        <f>_xll.SNL.Clients.Office.Excel.Functions.SPG(I329, "SP_ULT_PARENT_COMPANY_NAME")</f>
        <v/>
      </c>
      <c r="P329" s="12" t="str">
        <f>_xll.SNL.Clients.Office.Excel.Functions.SPG(I329, "SP_ULT_PARENT_COUNTRY")</f>
        <v/>
      </c>
      <c r="Q329" s="12" t="str">
        <f>_xll.SNL.Clients.Office.Excel.Functions.SPG(I329, "SP_PARENT_COMPANY_NAME")</f>
        <v/>
      </c>
      <c r="R329" s="12" t="str">
        <f>_xll.SNL.Clients.Office.Excel.Functions.SPG(I329, "SP_PARENT_COUNTRY")</f>
        <v/>
      </c>
      <c r="S329" s="12" t="str">
        <f>_xll.SNL.Clients.Office.Excel.Functions.SPG(I329, "SP_COUNTRY_NAME")</f>
        <v>China</v>
      </c>
    </row>
    <row r="330" spans="1:19" ht="43.5" x14ac:dyDescent="0.35">
      <c r="A330" s="5">
        <v>46022</v>
      </c>
      <c r="B330" s="4" t="s">
        <v>593</v>
      </c>
      <c r="C330" s="4" t="s">
        <v>594</v>
      </c>
      <c r="D330" s="4" t="s">
        <v>1100</v>
      </c>
      <c r="E330" s="8">
        <v>118448206</v>
      </c>
      <c r="F330" s="7">
        <v>51</v>
      </c>
      <c r="G330" s="12" t="str">
        <f>[1]!SNLData("243327", C330, "OWNER_LIST")</f>
        <v>ZCCM Investments Holdings Plc (Venturer) 49%; International Resources Holding (Venturer) 51%</v>
      </c>
      <c r="H330" s="9">
        <f>[1]!SNLData("243327", C330, "OWNER_SNL_INSTN_KEY", "Owner 1")</f>
        <v>118448206</v>
      </c>
      <c r="I330" s="9">
        <f>[1]!SNLData("243327", C330, "OWNER_SNL_INSTN_KEY", "Owner 2")</f>
        <v>4355602</v>
      </c>
      <c r="J330" s="12" t="str">
        <f>_xll.SNL.Clients.Office.Excel.Functions.SPG(H330, "SP_ULT_PARENT_COMPANY_NAME")</f>
        <v>International Holding Company PJSC</v>
      </c>
      <c r="K330" s="12" t="str">
        <f>_xll.SNL.Clients.Office.Excel.Functions.SPG(H330, "SP_ULT_PARENT_COUNTRY")</f>
        <v>United Arab Emirates</v>
      </c>
      <c r="L330" s="12" t="str">
        <f>_xll.SNL.Clients.Office.Excel.Functions.SPG(H330, "SP_PARENT_COMPANY_NAME")</f>
        <v>2PointZero</v>
      </c>
      <c r="M330" s="12" t="str">
        <f>_xll.SNL.Clients.Office.Excel.Functions.SPG(H330, "SP_PARENT_COUNTRY")</f>
        <v>United Arab Emirates</v>
      </c>
      <c r="N330" s="12" t="str">
        <f>_xll.SNL.Clients.Office.Excel.Functions.SPG(H330, "SP_COUNTRY_NAME")</f>
        <v>United Arab Emirates</v>
      </c>
      <c r="O330" s="12" t="str">
        <f>_xll.SNL.Clients.Office.Excel.Functions.SPG(I330, "SP_ULT_PARENT_COMPANY_NAME")</f>
        <v>Industrial Development Corporation (Zambia) Limited</v>
      </c>
      <c r="P330" s="12" t="str">
        <f>_xll.SNL.Clients.Office.Excel.Functions.SPG(I330, "SP_ULT_PARENT_COUNTRY")</f>
        <v>Zambia</v>
      </c>
      <c r="Q330" s="12" t="str">
        <f>_xll.SNL.Clients.Office.Excel.Functions.SPG(I330, "SP_PARENT_COMPANY_NAME")</f>
        <v>Industrial Development Corporation (Zambia) Limited</v>
      </c>
      <c r="R330" s="12" t="str">
        <f>_xll.SNL.Clients.Office.Excel.Functions.SPG(I330, "SP_PARENT_COUNTRY")</f>
        <v>Zambia</v>
      </c>
      <c r="S330" s="12" t="str">
        <f>_xll.SNL.Clients.Office.Excel.Functions.SPG(I330, "SP_COUNTRY_NAME")</f>
        <v>Zambia</v>
      </c>
    </row>
    <row r="331" spans="1:19" ht="43.5" x14ac:dyDescent="0.35">
      <c r="A331" s="5">
        <v>46022</v>
      </c>
      <c r="B331" s="4" t="s">
        <v>593</v>
      </c>
      <c r="C331" s="4" t="s">
        <v>594</v>
      </c>
      <c r="D331" s="4" t="s">
        <v>1002</v>
      </c>
      <c r="E331" s="8">
        <v>4355602</v>
      </c>
      <c r="F331" s="7">
        <v>49</v>
      </c>
      <c r="G331" s="12" t="str">
        <f>[1]!SNLData("243327", C331, "OWNER_LIST")</f>
        <v>ZCCM Investments Holdings Plc (Venturer) 49%; International Resources Holding (Venturer) 51%</v>
      </c>
      <c r="H331" s="9">
        <f>[1]!SNLData("243327", C331, "OWNER_SNL_INSTN_KEY", "Owner 1")</f>
        <v>118448206</v>
      </c>
      <c r="I331" s="9">
        <f>[1]!SNLData("243327", C331, "OWNER_SNL_INSTN_KEY", "Owner 2")</f>
        <v>4355602</v>
      </c>
      <c r="J331" s="12" t="str">
        <f>_xll.SNL.Clients.Office.Excel.Functions.SPG(H331, "SP_ULT_PARENT_COMPANY_NAME")</f>
        <v>International Holding Company PJSC</v>
      </c>
      <c r="K331" s="12" t="str">
        <f>_xll.SNL.Clients.Office.Excel.Functions.SPG(H331, "SP_ULT_PARENT_COUNTRY")</f>
        <v>United Arab Emirates</v>
      </c>
      <c r="L331" s="12" t="str">
        <f>_xll.SNL.Clients.Office.Excel.Functions.SPG(H331, "SP_PARENT_COMPANY_NAME")</f>
        <v>2PointZero</v>
      </c>
      <c r="M331" s="12" t="str">
        <f>_xll.SNL.Clients.Office.Excel.Functions.SPG(H331, "SP_PARENT_COUNTRY")</f>
        <v>United Arab Emirates</v>
      </c>
      <c r="N331" s="12" t="str">
        <f>_xll.SNL.Clients.Office.Excel.Functions.SPG(H331, "SP_COUNTRY_NAME")</f>
        <v>United Arab Emirates</v>
      </c>
      <c r="O331" s="12" t="str">
        <f>_xll.SNL.Clients.Office.Excel.Functions.SPG(I331, "SP_ULT_PARENT_COMPANY_NAME")</f>
        <v>Industrial Development Corporation (Zambia) Limited</v>
      </c>
      <c r="P331" s="12" t="str">
        <f>_xll.SNL.Clients.Office.Excel.Functions.SPG(I331, "SP_ULT_PARENT_COUNTRY")</f>
        <v>Zambia</v>
      </c>
      <c r="Q331" s="12" t="str">
        <f>_xll.SNL.Clients.Office.Excel.Functions.SPG(I331, "SP_PARENT_COMPANY_NAME")</f>
        <v>Industrial Development Corporation (Zambia) Limited</v>
      </c>
      <c r="R331" s="12" t="str">
        <f>_xll.SNL.Clients.Office.Excel.Functions.SPG(I331, "SP_PARENT_COUNTRY")</f>
        <v>Zambia</v>
      </c>
      <c r="S331" s="12" t="str">
        <f>_xll.SNL.Clients.Office.Excel.Functions.SPG(I331, "SP_COUNTRY_NAME")</f>
        <v>Zambia</v>
      </c>
    </row>
    <row r="332" spans="1:19" ht="72.5" x14ac:dyDescent="0.35">
      <c r="A332" s="5">
        <v>46022</v>
      </c>
      <c r="B332" s="4" t="s">
        <v>420</v>
      </c>
      <c r="C332" s="4" t="s">
        <v>421</v>
      </c>
      <c r="D332" s="4" t="s">
        <v>1002</v>
      </c>
      <c r="E332" s="8">
        <v>4355602</v>
      </c>
      <c r="F332" s="7">
        <v>100</v>
      </c>
      <c r="G332" s="12" t="str">
        <f>[1]!SNLData("243327", C332, "OWNER_LIST")</f>
        <v>ZCCM Investments Holdings Plc  100%</v>
      </c>
      <c r="H332" s="9">
        <f>[1]!SNLData("243327", C332, "OWNER_SNL_INSTN_KEY", "Owner 1")</f>
        <v>4355602</v>
      </c>
      <c r="I332" s="9" t="str">
        <f>[1]!SNLData("243327", C332, "OWNER_SNL_INSTN_KEY", "Owner 2")</f>
        <v>NA</v>
      </c>
      <c r="J332" s="12" t="str">
        <f>_xll.SNL.Clients.Office.Excel.Functions.SPG(H332, "SP_ULT_PARENT_COMPANY_NAME")</f>
        <v>Industrial Development Corporation (Zambia) Limited</v>
      </c>
      <c r="K332" s="12" t="str">
        <f>_xll.SNL.Clients.Office.Excel.Functions.SPG(H332, "SP_ULT_PARENT_COUNTRY")</f>
        <v>Zambia</v>
      </c>
      <c r="L332" s="12" t="str">
        <f>_xll.SNL.Clients.Office.Excel.Functions.SPG(H332, "SP_PARENT_COMPANY_NAME")</f>
        <v>Industrial Development Corporation (Zambia) Limited</v>
      </c>
      <c r="M332" s="12" t="str">
        <f>_xll.SNL.Clients.Office.Excel.Functions.SPG(H332, "SP_PARENT_COUNTRY")</f>
        <v>Zambia</v>
      </c>
      <c r="N332" s="12" t="str">
        <f>_xll.SNL.Clients.Office.Excel.Functions.SPG(H332, "SP_COUNTRY_NAME")</f>
        <v>Zambia</v>
      </c>
      <c r="O332" s="12" t="str">
        <f>_xll.SNL.Clients.Office.Excel.Functions.SPG(I332, "SP_ULT_PARENT_COMPANY_NAME")</f>
        <v/>
      </c>
      <c r="P332" s="12" t="str">
        <f>_xll.SNL.Clients.Office.Excel.Functions.SPG(I332, "SP_ULT_PARENT_COUNTRY")</f>
        <v/>
      </c>
      <c r="Q332" s="12" t="str">
        <f>_xll.SNL.Clients.Office.Excel.Functions.SPG(I332, "SP_PARENT_COMPANY_NAME")</f>
        <v/>
      </c>
      <c r="R332" s="12" t="str">
        <f>_xll.SNL.Clients.Office.Excel.Functions.SPG(I332, "SP_PARENT_COUNTRY")</f>
        <v/>
      </c>
      <c r="S332" s="12" t="str">
        <f>_xll.SNL.Clients.Office.Excel.Functions.SPG(I332, "SP_COUNTRY_NAME")</f>
        <v>China</v>
      </c>
    </row>
    <row r="333" spans="1:19" ht="43.5" x14ac:dyDescent="0.35">
      <c r="A333" s="5">
        <v>46022</v>
      </c>
      <c r="B333" s="4" t="s">
        <v>595</v>
      </c>
      <c r="C333" s="4" t="s">
        <v>596</v>
      </c>
      <c r="D333" s="4" t="s">
        <v>1101</v>
      </c>
      <c r="E333" s="8">
        <v>4616696</v>
      </c>
      <c r="F333" s="7">
        <v>68</v>
      </c>
      <c r="G333" s="12" t="str">
        <f>[1]!SNLData("243327", C333, "OWNER_LIST")</f>
        <v>Consolidated Mining and Investments Ltd (Optionee) 68%; Jinchuan Group International Resources Co. Ltd (Optionor) 32%</v>
      </c>
      <c r="H333" s="9">
        <f>[1]!SNLData("243327", C333, "OWNER_SNL_INSTN_KEY", "Owner 1")</f>
        <v>4616696</v>
      </c>
      <c r="I333" s="9">
        <f>[1]!SNLData("243327", C333, "OWNER_SNL_INSTN_KEY", "Owner 2")</f>
        <v>4361447</v>
      </c>
      <c r="J333" s="12" t="str">
        <f>_xll.SNL.Clients.Office.Excel.Functions.SPG(H333, "SP_ULT_PARENT_COMPANY_NAME")</f>
        <v/>
      </c>
      <c r="K333" s="12" t="str">
        <f>_xll.SNL.Clients.Office.Excel.Functions.SPG(H333, "SP_ULT_PARENT_COUNTRY")</f>
        <v/>
      </c>
      <c r="L333" s="12" t="str">
        <f>_xll.SNL.Clients.Office.Excel.Functions.SPG(H333, "SP_PARENT_COMPANY_NAME")</f>
        <v/>
      </c>
      <c r="M333" s="12" t="str">
        <f>_xll.SNL.Clients.Office.Excel.Functions.SPG(H333, "SP_PARENT_COUNTRY")</f>
        <v/>
      </c>
      <c r="N333" s="12" t="str">
        <f>_xll.SNL.Clients.Office.Excel.Functions.SPG(H333, "SP_COUNTRY_NAME")</f>
        <v>United Kingdom</v>
      </c>
      <c r="O333" s="12" t="str">
        <f>_xll.SNL.Clients.Office.Excel.Functions.SPG(I333, "SP_ULT_PARENT_COMPANY_NAME")</f>
        <v>State-Owned Assets Supervision And Administration Commission Of Gansu Provincial</v>
      </c>
      <c r="P333" s="12" t="str">
        <f>_xll.SNL.Clients.Office.Excel.Functions.SPG(I333, "SP_ULT_PARENT_COUNTRY")</f>
        <v>China</v>
      </c>
      <c r="Q333" s="12" t="str">
        <f>_xll.SNL.Clients.Office.Excel.Functions.SPG(I333, "SP_PARENT_COMPANY_NAME")</f>
        <v>Jinchuan (BVI) Limited</v>
      </c>
      <c r="R333" s="12" t="str">
        <f>_xll.SNL.Clients.Office.Excel.Functions.SPG(I333, "SP_PARENT_COUNTRY")</f>
        <v>BVI</v>
      </c>
      <c r="S333" s="12" t="str">
        <f>_xll.SNL.Clients.Office.Excel.Functions.SPG(I333, "SP_COUNTRY_NAME")</f>
        <v>Hong Kong</v>
      </c>
    </row>
    <row r="334" spans="1:19" ht="43.5" x14ac:dyDescent="0.35">
      <c r="A334" s="5">
        <v>46022</v>
      </c>
      <c r="B334" s="4" t="s">
        <v>595</v>
      </c>
      <c r="C334" s="4" t="s">
        <v>596</v>
      </c>
      <c r="D334" s="4" t="s">
        <v>1094</v>
      </c>
      <c r="E334" s="8">
        <v>4361447</v>
      </c>
      <c r="F334" s="7">
        <v>32</v>
      </c>
      <c r="G334" s="12" t="str">
        <f>[1]!SNLData("243327", C334, "OWNER_LIST")</f>
        <v>Consolidated Mining and Investments Ltd (Optionee) 68%; Jinchuan Group International Resources Co. Ltd (Optionor) 32%</v>
      </c>
      <c r="H334" s="9">
        <f>[1]!SNLData("243327", C334, "OWNER_SNL_INSTN_KEY", "Owner 1")</f>
        <v>4616696</v>
      </c>
      <c r="I334" s="9">
        <f>[1]!SNLData("243327", C334, "OWNER_SNL_INSTN_KEY", "Owner 2")</f>
        <v>4361447</v>
      </c>
      <c r="J334" s="12" t="str">
        <f>_xll.SNL.Clients.Office.Excel.Functions.SPG(H334, "SP_ULT_PARENT_COMPANY_NAME")</f>
        <v/>
      </c>
      <c r="K334" s="12" t="str">
        <f>_xll.SNL.Clients.Office.Excel.Functions.SPG(H334, "SP_ULT_PARENT_COUNTRY")</f>
        <v/>
      </c>
      <c r="L334" s="12" t="str">
        <f>_xll.SNL.Clients.Office.Excel.Functions.SPG(H334, "SP_PARENT_COMPANY_NAME")</f>
        <v/>
      </c>
      <c r="M334" s="12" t="str">
        <f>_xll.SNL.Clients.Office.Excel.Functions.SPG(H334, "SP_PARENT_COUNTRY")</f>
        <v/>
      </c>
      <c r="N334" s="12" t="str">
        <f>_xll.SNL.Clients.Office.Excel.Functions.SPG(H334, "SP_COUNTRY_NAME")</f>
        <v>United Kingdom</v>
      </c>
      <c r="O334" s="12" t="str">
        <f>_xll.SNL.Clients.Office.Excel.Functions.SPG(I334, "SP_ULT_PARENT_COMPANY_NAME")</f>
        <v>State-Owned Assets Supervision And Administration Commission Of Gansu Provincial</v>
      </c>
      <c r="P334" s="12" t="str">
        <f>_xll.SNL.Clients.Office.Excel.Functions.SPG(I334, "SP_ULT_PARENT_COUNTRY")</f>
        <v>China</v>
      </c>
      <c r="Q334" s="12" t="str">
        <f>_xll.SNL.Clients.Office.Excel.Functions.SPG(I334, "SP_PARENT_COMPANY_NAME")</f>
        <v>Jinchuan (BVI) Limited</v>
      </c>
      <c r="R334" s="12" t="str">
        <f>_xll.SNL.Clients.Office.Excel.Functions.SPG(I334, "SP_PARENT_COUNTRY")</f>
        <v>BVI</v>
      </c>
      <c r="S334" s="12" t="str">
        <f>_xll.SNL.Clients.Office.Excel.Functions.SPG(I334, "SP_COUNTRY_NAME")</f>
        <v>Hong Kong</v>
      </c>
    </row>
    <row r="335" spans="1:19" ht="72.5" x14ac:dyDescent="0.35">
      <c r="A335" s="5">
        <v>46022</v>
      </c>
      <c r="B335" s="4" t="s">
        <v>422</v>
      </c>
      <c r="C335" s="4" t="s">
        <v>423</v>
      </c>
      <c r="D335" s="4" t="s">
        <v>213</v>
      </c>
      <c r="E335" s="8">
        <v>4350734</v>
      </c>
      <c r="F335" s="7">
        <v>5</v>
      </c>
      <c r="G335" s="12" t="str">
        <f>[1]!SNLData("243327", C335, "OWNER_LIST")</f>
        <v>Dem. Rep. Congo (Venturer) 5%; Jinchuan Group International Resources Co. Ltd (Venturer) 70%; Gécamines SA (Venturer) 25%</v>
      </c>
      <c r="H335" s="9">
        <f>[1]!SNLData("243327", C335, "OWNER_SNL_INSTN_KEY", "Owner 1")</f>
        <v>4361447</v>
      </c>
      <c r="I335" s="9">
        <f>[1]!SNLData("243327", C335, "OWNER_SNL_INSTN_KEY", "Owner 2")</f>
        <v>4350360</v>
      </c>
      <c r="J335" s="12" t="str">
        <f>_xll.SNL.Clients.Office.Excel.Functions.SPG(H335, "SP_ULT_PARENT_COMPANY_NAME")</f>
        <v>State-Owned Assets Supervision And Administration Commission Of Gansu Provincial</v>
      </c>
      <c r="K335" s="12" t="str">
        <f>_xll.SNL.Clients.Office.Excel.Functions.SPG(H335, "SP_ULT_PARENT_COUNTRY")</f>
        <v>China</v>
      </c>
      <c r="L335" s="12" t="str">
        <f>_xll.SNL.Clients.Office.Excel.Functions.SPG(H335, "SP_PARENT_COMPANY_NAME")</f>
        <v>Jinchuan (BVI) Limited</v>
      </c>
      <c r="M335" s="12" t="str">
        <f>_xll.SNL.Clients.Office.Excel.Functions.SPG(H335, "SP_PARENT_COUNTRY")</f>
        <v>BVI</v>
      </c>
      <c r="N335" s="12" t="str">
        <f>_xll.SNL.Clients.Office.Excel.Functions.SPG(H335, "SP_COUNTRY_NAME")</f>
        <v>Hong Kong</v>
      </c>
      <c r="O335" s="12" t="str">
        <f>_xll.SNL.Clients.Office.Excel.Functions.SPG(I335, "SP_ULT_PARENT_COMPANY_NAME")</f>
        <v>Dem. Rep. Congo</v>
      </c>
      <c r="P335" s="12" t="str">
        <f>_xll.SNL.Clients.Office.Excel.Functions.SPG(I335, "SP_ULT_PARENT_COUNTRY")</f>
        <v>Dem. Rep. Congo</v>
      </c>
      <c r="Q335" s="12" t="str">
        <f>_xll.SNL.Clients.Office.Excel.Functions.SPG(I335, "SP_PARENT_COMPANY_NAME")</f>
        <v>Dem. Rep. Congo</v>
      </c>
      <c r="R335" s="12" t="str">
        <f>_xll.SNL.Clients.Office.Excel.Functions.SPG(I335, "SP_PARENT_COUNTRY")</f>
        <v>Dem. Rep. Congo</v>
      </c>
      <c r="S335" s="12" t="str">
        <f>_xll.SNL.Clients.Office.Excel.Functions.SPG(I335, "SP_COUNTRY_NAME")</f>
        <v>Dem. Rep. Congo</v>
      </c>
    </row>
    <row r="336" spans="1:19" ht="72.5" x14ac:dyDescent="0.35">
      <c r="A336" s="5">
        <v>46022</v>
      </c>
      <c r="B336" s="4" t="s">
        <v>422</v>
      </c>
      <c r="C336" s="4" t="s">
        <v>423</v>
      </c>
      <c r="D336" s="4" t="s">
        <v>1021</v>
      </c>
      <c r="E336" s="8">
        <v>4350360</v>
      </c>
      <c r="F336" s="7">
        <v>25</v>
      </c>
      <c r="G336" s="12" t="str">
        <f>[1]!SNLData("243327", C336, "OWNER_LIST")</f>
        <v>Dem. Rep. Congo (Venturer) 5%; Jinchuan Group International Resources Co. Ltd (Venturer) 70%; Gécamines SA (Venturer) 25%</v>
      </c>
      <c r="H336" s="9">
        <f>[1]!SNLData("243327", C336, "OWNER_SNL_INSTN_KEY", "Owner 1")</f>
        <v>4361447</v>
      </c>
      <c r="I336" s="9">
        <f>[1]!SNLData("243327", C336, "OWNER_SNL_INSTN_KEY", "Owner 2")</f>
        <v>4350360</v>
      </c>
      <c r="J336" s="12" t="str">
        <f>_xll.SNL.Clients.Office.Excel.Functions.SPG(H336, "SP_ULT_PARENT_COMPANY_NAME")</f>
        <v>State-Owned Assets Supervision And Administration Commission Of Gansu Provincial</v>
      </c>
      <c r="K336" s="12" t="str">
        <f>_xll.SNL.Clients.Office.Excel.Functions.SPG(H336, "SP_ULT_PARENT_COUNTRY")</f>
        <v>China</v>
      </c>
      <c r="L336" s="12" t="str">
        <f>_xll.SNL.Clients.Office.Excel.Functions.SPG(H336, "SP_PARENT_COMPANY_NAME")</f>
        <v>Jinchuan (BVI) Limited</v>
      </c>
      <c r="M336" s="12" t="str">
        <f>_xll.SNL.Clients.Office.Excel.Functions.SPG(H336, "SP_PARENT_COUNTRY")</f>
        <v>BVI</v>
      </c>
      <c r="N336" s="12" t="str">
        <f>_xll.SNL.Clients.Office.Excel.Functions.SPG(H336, "SP_COUNTRY_NAME")</f>
        <v>Hong Kong</v>
      </c>
      <c r="O336" s="12" t="str">
        <f>_xll.SNL.Clients.Office.Excel.Functions.SPG(I336, "SP_ULT_PARENT_COMPANY_NAME")</f>
        <v>Dem. Rep. Congo</v>
      </c>
      <c r="P336" s="12" t="str">
        <f>_xll.SNL.Clients.Office.Excel.Functions.SPG(I336, "SP_ULT_PARENT_COUNTRY")</f>
        <v>Dem. Rep. Congo</v>
      </c>
      <c r="Q336" s="12" t="str">
        <f>_xll.SNL.Clients.Office.Excel.Functions.SPG(I336, "SP_PARENT_COMPANY_NAME")</f>
        <v>Dem. Rep. Congo</v>
      </c>
      <c r="R336" s="12" t="str">
        <f>_xll.SNL.Clients.Office.Excel.Functions.SPG(I336, "SP_PARENT_COUNTRY")</f>
        <v>Dem. Rep. Congo</v>
      </c>
      <c r="S336" s="12" t="str">
        <f>_xll.SNL.Clients.Office.Excel.Functions.SPG(I336, "SP_COUNTRY_NAME")</f>
        <v>Dem. Rep. Congo</v>
      </c>
    </row>
    <row r="337" spans="1:19" ht="72.5" x14ac:dyDescent="0.35">
      <c r="A337" s="5">
        <v>46022</v>
      </c>
      <c r="B337" s="4" t="s">
        <v>422</v>
      </c>
      <c r="C337" s="4" t="s">
        <v>423</v>
      </c>
      <c r="D337" s="4" t="s">
        <v>1094</v>
      </c>
      <c r="E337" s="8">
        <v>4361447</v>
      </c>
      <c r="F337" s="7">
        <v>70</v>
      </c>
      <c r="G337" s="12" t="str">
        <f>[1]!SNLData("243327", C337, "OWNER_LIST")</f>
        <v>Dem. Rep. Congo (Venturer) 5%; Jinchuan Group International Resources Co. Ltd (Venturer) 70%; Gécamines SA (Venturer) 25%</v>
      </c>
      <c r="H337" s="9">
        <f>[1]!SNLData("243327", C337, "OWNER_SNL_INSTN_KEY", "Owner 1")</f>
        <v>4361447</v>
      </c>
      <c r="I337" s="9">
        <f>[1]!SNLData("243327", C337, "OWNER_SNL_INSTN_KEY", "Owner 2")</f>
        <v>4350360</v>
      </c>
      <c r="J337" s="12" t="str">
        <f>_xll.SNL.Clients.Office.Excel.Functions.SPG(H337, "SP_ULT_PARENT_COMPANY_NAME")</f>
        <v>State-Owned Assets Supervision And Administration Commission Of Gansu Provincial</v>
      </c>
      <c r="K337" s="12" t="str">
        <f>_xll.SNL.Clients.Office.Excel.Functions.SPG(H337, "SP_ULT_PARENT_COUNTRY")</f>
        <v>China</v>
      </c>
      <c r="L337" s="12" t="str">
        <f>_xll.SNL.Clients.Office.Excel.Functions.SPG(H337, "SP_PARENT_COMPANY_NAME")</f>
        <v>Jinchuan (BVI) Limited</v>
      </c>
      <c r="M337" s="12" t="str">
        <f>_xll.SNL.Clients.Office.Excel.Functions.SPG(H337, "SP_PARENT_COUNTRY")</f>
        <v>BVI</v>
      </c>
      <c r="N337" s="12" t="str">
        <f>_xll.SNL.Clients.Office.Excel.Functions.SPG(H337, "SP_COUNTRY_NAME")</f>
        <v>Hong Kong</v>
      </c>
      <c r="O337" s="12" t="str">
        <f>_xll.SNL.Clients.Office.Excel.Functions.SPG(I337, "SP_ULT_PARENT_COMPANY_NAME")</f>
        <v>Dem. Rep. Congo</v>
      </c>
      <c r="P337" s="12" t="str">
        <f>_xll.SNL.Clients.Office.Excel.Functions.SPG(I337, "SP_ULT_PARENT_COUNTRY")</f>
        <v>Dem. Rep. Congo</v>
      </c>
      <c r="Q337" s="12" t="str">
        <f>_xll.SNL.Clients.Office.Excel.Functions.SPG(I337, "SP_PARENT_COMPANY_NAME")</f>
        <v>Dem. Rep. Congo</v>
      </c>
      <c r="R337" s="12" t="str">
        <f>_xll.SNL.Clients.Office.Excel.Functions.SPG(I337, "SP_PARENT_COUNTRY")</f>
        <v>Dem. Rep. Congo</v>
      </c>
      <c r="S337" s="12" t="str">
        <f>_xll.SNL.Clients.Office.Excel.Functions.SPG(I337, "SP_COUNTRY_NAME")</f>
        <v>Dem. Rep. Congo</v>
      </c>
    </row>
    <row r="338" spans="1:19" ht="29" x14ac:dyDescent="0.35">
      <c r="A338" s="5">
        <v>46022</v>
      </c>
      <c r="B338" s="4" t="s">
        <v>368</v>
      </c>
      <c r="C338" s="4" t="s">
        <v>369</v>
      </c>
      <c r="D338" s="4" t="s">
        <v>213</v>
      </c>
      <c r="E338" s="8">
        <v>4350734</v>
      </c>
      <c r="F338" s="7">
        <v>5</v>
      </c>
      <c r="G338" s="12" t="str">
        <f>[1]!SNLData("243327", C338, "OWNER_LIST")</f>
        <v>Dem. Rep. Congo (Venturer) 5%; Glencore plc (Venturer) 95%</v>
      </c>
      <c r="H338" s="9">
        <f>[1]!SNLData("243327", C338, "OWNER_SNL_INSTN_KEY", "Owner 1")</f>
        <v>4113732</v>
      </c>
      <c r="I338" s="9">
        <f>[1]!SNLData("243327", C338, "OWNER_SNL_INSTN_KEY", "Owner 2")</f>
        <v>4350734</v>
      </c>
      <c r="J338" s="12" t="str">
        <f>_xll.SNL.Clients.Office.Excel.Functions.SPG(H338, "SP_ULT_PARENT_COMPANY_NAME")</f>
        <v/>
      </c>
      <c r="K338" s="12" t="str">
        <f>_xll.SNL.Clients.Office.Excel.Functions.SPG(H338, "SP_ULT_PARENT_COUNTRY")</f>
        <v/>
      </c>
      <c r="L338" s="12" t="str">
        <f>_xll.SNL.Clients.Office.Excel.Functions.SPG(H338, "SP_PARENT_COMPANY_NAME")</f>
        <v/>
      </c>
      <c r="M338" s="12" t="str">
        <f>_xll.SNL.Clients.Office.Excel.Functions.SPG(H338, "SP_PARENT_COUNTRY")</f>
        <v/>
      </c>
      <c r="N338" s="12" t="str">
        <f>_xll.SNL.Clients.Office.Excel.Functions.SPG(H338, "SP_COUNTRY_NAME")</f>
        <v>Switzerland</v>
      </c>
      <c r="O338" s="12" t="str">
        <f>_xll.SNL.Clients.Office.Excel.Functions.SPG(I338, "SP_ULT_PARENT_COMPANY_NAME")</f>
        <v/>
      </c>
      <c r="P338" s="12" t="str">
        <f>_xll.SNL.Clients.Office.Excel.Functions.SPG(I338, "SP_ULT_PARENT_COUNTRY")</f>
        <v/>
      </c>
      <c r="Q338" s="12" t="str">
        <f>_xll.SNL.Clients.Office.Excel.Functions.SPG(I338, "SP_PARENT_COMPANY_NAME")</f>
        <v/>
      </c>
      <c r="R338" s="12" t="str">
        <f>_xll.SNL.Clients.Office.Excel.Functions.SPG(I338, "SP_PARENT_COUNTRY")</f>
        <v/>
      </c>
      <c r="S338" s="12" t="str">
        <f>_xll.SNL.Clients.Office.Excel.Functions.SPG(I338, "SP_COUNTRY_NAME")</f>
        <v>Dem. Rep. Congo</v>
      </c>
    </row>
    <row r="339" spans="1:19" ht="29" x14ac:dyDescent="0.35">
      <c r="A339" s="5">
        <v>46022</v>
      </c>
      <c r="B339" s="4" t="s">
        <v>368</v>
      </c>
      <c r="C339" s="4" t="s">
        <v>369</v>
      </c>
      <c r="D339" s="4" t="s">
        <v>948</v>
      </c>
      <c r="E339" s="8">
        <v>4113732</v>
      </c>
      <c r="F339" s="7">
        <v>95</v>
      </c>
      <c r="G339" s="12" t="str">
        <f>[1]!SNLData("243327", C339, "OWNER_LIST")</f>
        <v>Dem. Rep. Congo (Venturer) 5%; Glencore plc (Venturer) 95%</v>
      </c>
      <c r="H339" s="9">
        <f>[1]!SNLData("243327", C339, "OWNER_SNL_INSTN_KEY", "Owner 1")</f>
        <v>4113732</v>
      </c>
      <c r="I339" s="9">
        <f>[1]!SNLData("243327", C339, "OWNER_SNL_INSTN_KEY", "Owner 2")</f>
        <v>4350734</v>
      </c>
      <c r="J339" s="12" t="str">
        <f>_xll.SNL.Clients.Office.Excel.Functions.SPG(H339, "SP_ULT_PARENT_COMPANY_NAME")</f>
        <v/>
      </c>
      <c r="K339" s="12" t="str">
        <f>_xll.SNL.Clients.Office.Excel.Functions.SPG(H339, "SP_ULT_PARENT_COUNTRY")</f>
        <v/>
      </c>
      <c r="L339" s="12" t="str">
        <f>_xll.SNL.Clients.Office.Excel.Functions.SPG(H339, "SP_PARENT_COMPANY_NAME")</f>
        <v/>
      </c>
      <c r="M339" s="12" t="str">
        <f>_xll.SNL.Clients.Office.Excel.Functions.SPG(H339, "SP_PARENT_COUNTRY")</f>
        <v/>
      </c>
      <c r="N339" s="12" t="str">
        <f>_xll.SNL.Clients.Office.Excel.Functions.SPG(H339, "SP_COUNTRY_NAME")</f>
        <v>Switzerland</v>
      </c>
      <c r="O339" s="12" t="str">
        <f>_xll.SNL.Clients.Office.Excel.Functions.SPG(I339, "SP_ULT_PARENT_COMPANY_NAME")</f>
        <v/>
      </c>
      <c r="P339" s="12" t="str">
        <f>_xll.SNL.Clients.Office.Excel.Functions.SPG(I339, "SP_ULT_PARENT_COUNTRY")</f>
        <v/>
      </c>
      <c r="Q339" s="12" t="str">
        <f>_xll.SNL.Clients.Office.Excel.Functions.SPG(I339, "SP_PARENT_COMPANY_NAME")</f>
        <v/>
      </c>
      <c r="R339" s="12" t="str">
        <f>_xll.SNL.Clients.Office.Excel.Functions.SPG(I339, "SP_PARENT_COUNTRY")</f>
        <v/>
      </c>
      <c r="S339" s="12" t="str">
        <f>_xll.SNL.Clients.Office.Excel.Functions.SPG(I339, "SP_COUNTRY_NAME")</f>
        <v>Dem. Rep. Congo</v>
      </c>
    </row>
    <row r="340" spans="1:19" x14ac:dyDescent="0.35">
      <c r="A340" s="5">
        <v>46022</v>
      </c>
      <c r="B340" s="4" t="s">
        <v>597</v>
      </c>
      <c r="C340" s="4" t="s">
        <v>598</v>
      </c>
      <c r="D340" s="4" t="s">
        <v>948</v>
      </c>
      <c r="E340" s="8">
        <v>4113732</v>
      </c>
      <c r="F340" s="7">
        <v>100</v>
      </c>
      <c r="G340" s="12" t="str">
        <f>[1]!SNLData("243327", C340, "OWNER_LIST")</f>
        <v>Glencore plc  100%</v>
      </c>
      <c r="H340" s="9">
        <f>[1]!SNLData("243327", C340, "OWNER_SNL_INSTN_KEY", "Owner 1")</f>
        <v>4113732</v>
      </c>
      <c r="I340" s="9" t="str">
        <f>[1]!SNLData("243327", C340, "OWNER_SNL_INSTN_KEY", "Owner 2")</f>
        <v>NA</v>
      </c>
      <c r="J340" s="12" t="str">
        <f>_xll.SNL.Clients.Office.Excel.Functions.SPG(H340, "SP_ULT_PARENT_COMPANY_NAME")</f>
        <v/>
      </c>
      <c r="K340" s="12" t="str">
        <f>_xll.SNL.Clients.Office.Excel.Functions.SPG(H340, "SP_ULT_PARENT_COUNTRY")</f>
        <v/>
      </c>
      <c r="L340" s="12" t="str">
        <f>_xll.SNL.Clients.Office.Excel.Functions.SPG(H340, "SP_PARENT_COMPANY_NAME")</f>
        <v/>
      </c>
      <c r="M340" s="12" t="str">
        <f>_xll.SNL.Clients.Office.Excel.Functions.SPG(H340, "SP_PARENT_COUNTRY")</f>
        <v/>
      </c>
      <c r="N340" s="12" t="str">
        <f>_xll.SNL.Clients.Office.Excel.Functions.SPG(H340, "SP_COUNTRY_NAME")</f>
        <v>Switzerland</v>
      </c>
      <c r="O340" s="12" t="str">
        <f>_xll.SNL.Clients.Office.Excel.Functions.SPG(I340, "SP_ULT_PARENT_COMPANY_NAME")</f>
        <v/>
      </c>
      <c r="P340" s="12" t="str">
        <f>_xll.SNL.Clients.Office.Excel.Functions.SPG(I340, "SP_ULT_PARENT_COUNTRY")</f>
        <v/>
      </c>
      <c r="Q340" s="12" t="str">
        <f>_xll.SNL.Clients.Office.Excel.Functions.SPG(I340, "SP_PARENT_COMPANY_NAME")</f>
        <v/>
      </c>
      <c r="R340" s="12" t="str">
        <f>_xll.SNL.Clients.Office.Excel.Functions.SPG(I340, "SP_PARENT_COUNTRY")</f>
        <v/>
      </c>
      <c r="S340" s="12" t="str">
        <f>_xll.SNL.Clients.Office.Excel.Functions.SPG(I340, "SP_COUNTRY_NAME")</f>
        <v>China</v>
      </c>
    </row>
    <row r="341" spans="1:19" ht="29" x14ac:dyDescent="0.35">
      <c r="A341" s="5">
        <v>46022</v>
      </c>
      <c r="B341" s="4" t="s">
        <v>785</v>
      </c>
      <c r="C341" s="4" t="s">
        <v>786</v>
      </c>
      <c r="D341" s="4" t="s">
        <v>1102</v>
      </c>
      <c r="E341" s="8">
        <v>6220799</v>
      </c>
      <c r="F341" s="7">
        <v>100</v>
      </c>
      <c r="G341" s="12" t="str">
        <f>[1]!SNLData("243327", C341, "OWNER_LIST")</f>
        <v>Trafigura Group Pte. Ltd.  100%</v>
      </c>
      <c r="H341" s="9">
        <f>[1]!SNLData("243327", C341, "OWNER_SNL_INSTN_KEY", "Owner 1")</f>
        <v>6220799</v>
      </c>
      <c r="I341" s="9" t="str">
        <f>[1]!SNLData("243327", C341, "OWNER_SNL_INSTN_KEY", "Owner 2")</f>
        <v>NA</v>
      </c>
      <c r="J341" s="12" t="str">
        <f>_xll.SNL.Clients.Office.Excel.Functions.SPG(H341, "SP_ULT_PARENT_COMPANY_NAME")</f>
        <v>Farringford Foundation</v>
      </c>
      <c r="K341" s="12" t="str">
        <f>_xll.SNL.Clients.Office.Excel.Functions.SPG(H341, "SP_ULT_PARENT_COUNTRY")</f>
        <v>Panama</v>
      </c>
      <c r="L341" s="12" t="str">
        <f>_xll.SNL.Clients.Office.Excel.Functions.SPG(H341, "SP_PARENT_COMPANY_NAME")</f>
        <v>Trafigura Beheer B.V.</v>
      </c>
      <c r="M341" s="12" t="str">
        <f>_xll.SNL.Clients.Office.Excel.Functions.SPG(H341, "SP_PARENT_COUNTRY")</f>
        <v>Singapore</v>
      </c>
      <c r="N341" s="12" t="str">
        <f>_xll.SNL.Clients.Office.Excel.Functions.SPG(H341, "SP_COUNTRY_NAME")</f>
        <v>Singapore</v>
      </c>
      <c r="O341" s="12" t="str">
        <f>_xll.SNL.Clients.Office.Excel.Functions.SPG(I341, "SP_ULT_PARENT_COMPANY_NAME")</f>
        <v/>
      </c>
      <c r="P341" s="12" t="str">
        <f>_xll.SNL.Clients.Office.Excel.Functions.SPG(I341, "SP_ULT_PARENT_COUNTRY")</f>
        <v/>
      </c>
      <c r="Q341" s="12" t="str">
        <f>_xll.SNL.Clients.Office.Excel.Functions.SPG(I341, "SP_PARENT_COMPANY_NAME")</f>
        <v/>
      </c>
      <c r="R341" s="12" t="str">
        <f>_xll.SNL.Clients.Office.Excel.Functions.SPG(I341, "SP_PARENT_COUNTRY")</f>
        <v/>
      </c>
      <c r="S341" s="12" t="str">
        <f>_xll.SNL.Clients.Office.Excel.Functions.SPG(I341, "SP_COUNTRY_NAME")</f>
        <v>China</v>
      </c>
    </row>
    <row r="342" spans="1:19" x14ac:dyDescent="0.35">
      <c r="A342" s="5">
        <v>46022</v>
      </c>
      <c r="B342" s="4" t="s">
        <v>787</v>
      </c>
      <c r="C342" s="4" t="s">
        <v>788</v>
      </c>
      <c r="D342" s="4" t="s">
        <v>962</v>
      </c>
      <c r="E342" s="8">
        <v>4353456</v>
      </c>
      <c r="F342" s="7">
        <v>100</v>
      </c>
      <c r="G342" s="12" t="str">
        <f>[1]!SNLData("243327", C342, "OWNER_LIST")</f>
        <v>Private Interest  100%</v>
      </c>
      <c r="H342" s="9">
        <f>[1]!SNLData("243327", C342, "OWNER_SNL_INSTN_KEY", "Owner 1")</f>
        <v>4353456</v>
      </c>
      <c r="I342" s="9" t="str">
        <f>[1]!SNLData("243327", C342, "OWNER_SNL_INSTN_KEY", "Owner 2")</f>
        <v>NA</v>
      </c>
      <c r="J342" s="12" t="str">
        <f>_xll.SNL.Clients.Office.Excel.Functions.SPG(H342, "SP_ULT_PARENT_COMPANY_NAME")</f>
        <v/>
      </c>
      <c r="K342" s="12" t="str">
        <f>_xll.SNL.Clients.Office.Excel.Functions.SPG(H342, "SP_ULT_PARENT_COUNTRY")</f>
        <v/>
      </c>
      <c r="L342" s="12" t="str">
        <f>_xll.SNL.Clients.Office.Excel.Functions.SPG(H342, "SP_PARENT_COMPANY_NAME")</f>
        <v/>
      </c>
      <c r="M342" s="12" t="str">
        <f>_xll.SNL.Clients.Office.Excel.Functions.SPG(H342, "SP_PARENT_COUNTRY")</f>
        <v/>
      </c>
      <c r="N342" s="12" t="str">
        <f>_xll.SNL.Clients.Office.Excel.Functions.SPG(H342, "SP_COUNTRY_NAME")</f>
        <v>China</v>
      </c>
      <c r="O342" s="12" t="str">
        <f>_xll.SNL.Clients.Office.Excel.Functions.SPG(I342, "SP_ULT_PARENT_COMPANY_NAME")</f>
        <v/>
      </c>
      <c r="P342" s="12" t="str">
        <f>_xll.SNL.Clients.Office.Excel.Functions.SPG(I342, "SP_ULT_PARENT_COUNTRY")</f>
        <v/>
      </c>
      <c r="Q342" s="12" t="str">
        <f>_xll.SNL.Clients.Office.Excel.Functions.SPG(I342, "SP_PARENT_COMPANY_NAME")</f>
        <v/>
      </c>
      <c r="R342" s="12" t="str">
        <f>_xll.SNL.Clients.Office.Excel.Functions.SPG(I342, "SP_PARENT_COUNTRY")</f>
        <v/>
      </c>
      <c r="S342" s="12" t="str">
        <f>_xll.SNL.Clients.Office.Excel.Functions.SPG(I342, "SP_COUNTRY_NAME")</f>
        <v>China</v>
      </c>
    </row>
    <row r="343" spans="1:19" ht="43.5" x14ac:dyDescent="0.35">
      <c r="A343" s="5">
        <v>46022</v>
      </c>
      <c r="B343" s="4" t="s">
        <v>424</v>
      </c>
      <c r="C343" s="4" t="s">
        <v>425</v>
      </c>
      <c r="D343" s="4" t="s">
        <v>1075</v>
      </c>
      <c r="E343" s="8">
        <v>4396728</v>
      </c>
      <c r="F343" s="7">
        <v>79.400000000000006</v>
      </c>
      <c r="G343" s="12" t="str">
        <f>[1]!SNLData("243327", C343, "OWNER_LIST")</f>
        <v>Vedanta Incorporated (Venturer) 79.4%; ZCCM Investments Holdings Plc (Venturer) 20.6%</v>
      </c>
      <c r="H343" s="9">
        <f>[1]!SNLData("243327", C343, "OWNER_SNL_INSTN_KEY", "Owner 1")</f>
        <v>4396728</v>
      </c>
      <c r="I343" s="9">
        <f>[1]!SNLData("243327", C343, "OWNER_SNL_INSTN_KEY", "Owner 2")</f>
        <v>4355602</v>
      </c>
      <c r="J343" s="12" t="str">
        <f>_xll.SNL.Clients.Office.Excel.Functions.SPG(H343, "SP_ULT_PARENT_COMPANY_NAME")</f>
        <v>Conclave PTC Limited</v>
      </c>
      <c r="K343" s="12" t="str">
        <f>_xll.SNL.Clients.Office.Excel.Functions.SPG(H343, "SP_ULT_PARENT_COUNTRY")</f>
        <v>Bahamas</v>
      </c>
      <c r="L343" s="12" t="str">
        <f>_xll.SNL.Clients.Office.Excel.Functions.SPG(H343, "SP_PARENT_COMPANY_NAME")</f>
        <v>Conclave PTC Limited</v>
      </c>
      <c r="M343" s="12" t="str">
        <f>_xll.SNL.Clients.Office.Excel.Functions.SPG(H343, "SP_PARENT_COUNTRY")</f>
        <v>Bahamas</v>
      </c>
      <c r="N343" s="12" t="str">
        <f>_xll.SNL.Clients.Office.Excel.Functions.SPG(H343, "SP_COUNTRY_NAME")</f>
        <v>Bahamas</v>
      </c>
      <c r="O343" s="12" t="str">
        <f>_xll.SNL.Clients.Office.Excel.Functions.SPG(I343, "SP_ULT_PARENT_COMPANY_NAME")</f>
        <v>Industrial Development Corporation (Zambia) Limited</v>
      </c>
      <c r="P343" s="12" t="str">
        <f>_xll.SNL.Clients.Office.Excel.Functions.SPG(I343, "SP_ULT_PARENT_COUNTRY")</f>
        <v>Zambia</v>
      </c>
      <c r="Q343" s="12" t="str">
        <f>_xll.SNL.Clients.Office.Excel.Functions.SPG(I343, "SP_PARENT_COMPANY_NAME")</f>
        <v>Industrial Development Corporation (Zambia) Limited</v>
      </c>
      <c r="R343" s="12" t="str">
        <f>_xll.SNL.Clients.Office.Excel.Functions.SPG(I343, "SP_PARENT_COUNTRY")</f>
        <v>Zambia</v>
      </c>
      <c r="S343" s="12" t="str">
        <f>_xll.SNL.Clients.Office.Excel.Functions.SPG(I343, "SP_COUNTRY_NAME")</f>
        <v>Zambia</v>
      </c>
    </row>
    <row r="344" spans="1:19" ht="43.5" x14ac:dyDescent="0.35">
      <c r="A344" s="5">
        <v>46022</v>
      </c>
      <c r="B344" s="4" t="s">
        <v>424</v>
      </c>
      <c r="C344" s="4" t="s">
        <v>425</v>
      </c>
      <c r="D344" s="4" t="s">
        <v>1002</v>
      </c>
      <c r="E344" s="8">
        <v>4355602</v>
      </c>
      <c r="F344" s="7">
        <v>20.6</v>
      </c>
      <c r="G344" s="12" t="str">
        <f>[1]!SNLData("243327", C344, "OWNER_LIST")</f>
        <v>Vedanta Incorporated (Venturer) 79.4%; ZCCM Investments Holdings Plc (Venturer) 20.6%</v>
      </c>
      <c r="H344" s="9">
        <f>[1]!SNLData("243327", C344, "OWNER_SNL_INSTN_KEY", "Owner 1")</f>
        <v>4396728</v>
      </c>
      <c r="I344" s="9">
        <f>[1]!SNLData("243327", C344, "OWNER_SNL_INSTN_KEY", "Owner 2")</f>
        <v>4355602</v>
      </c>
      <c r="J344" s="12" t="str">
        <f>_xll.SNL.Clients.Office.Excel.Functions.SPG(H344, "SP_ULT_PARENT_COMPANY_NAME")</f>
        <v>Conclave PTC Limited</v>
      </c>
      <c r="K344" s="12" t="str">
        <f>_xll.SNL.Clients.Office.Excel.Functions.SPG(H344, "SP_ULT_PARENT_COUNTRY")</f>
        <v>Bahamas</v>
      </c>
      <c r="L344" s="12" t="str">
        <f>_xll.SNL.Clients.Office.Excel.Functions.SPG(H344, "SP_PARENT_COMPANY_NAME")</f>
        <v>Conclave PTC Limited</v>
      </c>
      <c r="M344" s="12" t="str">
        <f>_xll.SNL.Clients.Office.Excel.Functions.SPG(H344, "SP_PARENT_COUNTRY")</f>
        <v>Bahamas</v>
      </c>
      <c r="N344" s="12" t="str">
        <f>_xll.SNL.Clients.Office.Excel.Functions.SPG(H344, "SP_COUNTRY_NAME")</f>
        <v>Bahamas</v>
      </c>
      <c r="O344" s="12" t="str">
        <f>_xll.SNL.Clients.Office.Excel.Functions.SPG(I344, "SP_ULT_PARENT_COMPANY_NAME")</f>
        <v>Industrial Development Corporation (Zambia) Limited</v>
      </c>
      <c r="P344" s="12" t="str">
        <f>_xll.SNL.Clients.Office.Excel.Functions.SPG(I344, "SP_ULT_PARENT_COUNTRY")</f>
        <v>Zambia</v>
      </c>
      <c r="Q344" s="12" t="str">
        <f>_xll.SNL.Clients.Office.Excel.Functions.SPG(I344, "SP_PARENT_COMPANY_NAME")</f>
        <v>Industrial Development Corporation (Zambia) Limited</v>
      </c>
      <c r="R344" s="12" t="str">
        <f>_xll.SNL.Clients.Office.Excel.Functions.SPG(I344, "SP_PARENT_COUNTRY")</f>
        <v>Zambia</v>
      </c>
      <c r="S344" s="12" t="str">
        <f>_xll.SNL.Clients.Office.Excel.Functions.SPG(I344, "SP_COUNTRY_NAME")</f>
        <v>Zambia</v>
      </c>
    </row>
    <row r="345" spans="1:19" ht="43.5" x14ac:dyDescent="0.35">
      <c r="A345" s="5">
        <v>46022</v>
      </c>
      <c r="B345" s="4" t="s">
        <v>399</v>
      </c>
      <c r="C345" s="4" t="s">
        <v>400</v>
      </c>
      <c r="D345" s="4" t="s">
        <v>1075</v>
      </c>
      <c r="E345" s="8">
        <v>4396728</v>
      </c>
      <c r="F345" s="7">
        <v>79.400000000000006</v>
      </c>
      <c r="G345" s="12" t="str">
        <f>[1]!SNLData("243327", C345, "OWNER_LIST")</f>
        <v>ZCCM Investments Holdings Plc (Venturer) 20.6%; Vedanta Incorporated (Venturer) 79.4%</v>
      </c>
      <c r="H345" s="9">
        <f>[1]!SNLData("243327", C345, "OWNER_SNL_INSTN_KEY", "Owner 1")</f>
        <v>4396728</v>
      </c>
      <c r="I345" s="9">
        <f>[1]!SNLData("243327", C345, "OWNER_SNL_INSTN_KEY", "Owner 2")</f>
        <v>4355602</v>
      </c>
      <c r="J345" s="12" t="str">
        <f>_xll.SNL.Clients.Office.Excel.Functions.SPG(H345, "SP_ULT_PARENT_COMPANY_NAME")</f>
        <v>Conclave PTC Limited</v>
      </c>
      <c r="K345" s="12" t="str">
        <f>_xll.SNL.Clients.Office.Excel.Functions.SPG(H345, "SP_ULT_PARENT_COUNTRY")</f>
        <v>Bahamas</v>
      </c>
      <c r="L345" s="12" t="str">
        <f>_xll.SNL.Clients.Office.Excel.Functions.SPG(H345, "SP_PARENT_COMPANY_NAME")</f>
        <v>Conclave PTC Limited</v>
      </c>
      <c r="M345" s="12" t="str">
        <f>_xll.SNL.Clients.Office.Excel.Functions.SPG(H345, "SP_PARENT_COUNTRY")</f>
        <v>Bahamas</v>
      </c>
      <c r="N345" s="12" t="str">
        <f>_xll.SNL.Clients.Office.Excel.Functions.SPG(H345, "SP_COUNTRY_NAME")</f>
        <v>Bahamas</v>
      </c>
      <c r="O345" s="12" t="str">
        <f>_xll.SNL.Clients.Office.Excel.Functions.SPG(I345, "SP_ULT_PARENT_COMPANY_NAME")</f>
        <v>Industrial Development Corporation (Zambia) Limited</v>
      </c>
      <c r="P345" s="12" t="str">
        <f>_xll.SNL.Clients.Office.Excel.Functions.SPG(I345, "SP_ULT_PARENT_COUNTRY")</f>
        <v>Zambia</v>
      </c>
      <c r="Q345" s="12" t="str">
        <f>_xll.SNL.Clients.Office.Excel.Functions.SPG(I345, "SP_PARENT_COMPANY_NAME")</f>
        <v>Industrial Development Corporation (Zambia) Limited</v>
      </c>
      <c r="R345" s="12" t="str">
        <f>_xll.SNL.Clients.Office.Excel.Functions.SPG(I345, "SP_PARENT_COUNTRY")</f>
        <v>Zambia</v>
      </c>
      <c r="S345" s="12" t="str">
        <f>_xll.SNL.Clients.Office.Excel.Functions.SPG(I345, "SP_COUNTRY_NAME")</f>
        <v>Zambia</v>
      </c>
    </row>
    <row r="346" spans="1:19" ht="43.5" x14ac:dyDescent="0.35">
      <c r="A346" s="5">
        <v>46022</v>
      </c>
      <c r="B346" s="4" t="s">
        <v>399</v>
      </c>
      <c r="C346" s="4" t="s">
        <v>400</v>
      </c>
      <c r="D346" s="4" t="s">
        <v>1002</v>
      </c>
      <c r="E346" s="8">
        <v>4355602</v>
      </c>
      <c r="F346" s="7">
        <v>20.6</v>
      </c>
      <c r="G346" s="12" t="str">
        <f>[1]!SNLData("243327", C346, "OWNER_LIST")</f>
        <v>ZCCM Investments Holdings Plc (Venturer) 20.6%; Vedanta Incorporated (Venturer) 79.4%</v>
      </c>
      <c r="H346" s="9">
        <f>[1]!SNLData("243327", C346, "OWNER_SNL_INSTN_KEY", "Owner 1")</f>
        <v>4396728</v>
      </c>
      <c r="I346" s="9">
        <f>[1]!SNLData("243327", C346, "OWNER_SNL_INSTN_KEY", "Owner 2")</f>
        <v>4355602</v>
      </c>
      <c r="J346" s="12" t="str">
        <f>_xll.SNL.Clients.Office.Excel.Functions.SPG(H346, "SP_ULT_PARENT_COMPANY_NAME")</f>
        <v>Conclave PTC Limited</v>
      </c>
      <c r="K346" s="12" t="str">
        <f>_xll.SNL.Clients.Office.Excel.Functions.SPG(H346, "SP_ULT_PARENT_COUNTRY")</f>
        <v>Bahamas</v>
      </c>
      <c r="L346" s="12" t="str">
        <f>_xll.SNL.Clients.Office.Excel.Functions.SPG(H346, "SP_PARENT_COMPANY_NAME")</f>
        <v>Conclave PTC Limited</v>
      </c>
      <c r="M346" s="12" t="str">
        <f>_xll.SNL.Clients.Office.Excel.Functions.SPG(H346, "SP_PARENT_COUNTRY")</f>
        <v>Bahamas</v>
      </c>
      <c r="N346" s="12" t="str">
        <f>_xll.SNL.Clients.Office.Excel.Functions.SPG(H346, "SP_COUNTRY_NAME")</f>
        <v>Bahamas</v>
      </c>
      <c r="O346" s="12" t="str">
        <f>_xll.SNL.Clients.Office.Excel.Functions.SPG(I346, "SP_ULT_PARENT_COMPANY_NAME")</f>
        <v>Industrial Development Corporation (Zambia) Limited</v>
      </c>
      <c r="P346" s="12" t="str">
        <f>_xll.SNL.Clients.Office.Excel.Functions.SPG(I346, "SP_ULT_PARENT_COUNTRY")</f>
        <v>Zambia</v>
      </c>
      <c r="Q346" s="12" t="str">
        <f>_xll.SNL.Clients.Office.Excel.Functions.SPG(I346, "SP_PARENT_COMPANY_NAME")</f>
        <v>Industrial Development Corporation (Zambia) Limited</v>
      </c>
      <c r="R346" s="12" t="str">
        <f>_xll.SNL.Clients.Office.Excel.Functions.SPG(I346, "SP_PARENT_COUNTRY")</f>
        <v>Zambia</v>
      </c>
      <c r="S346" s="12" t="str">
        <f>_xll.SNL.Clients.Office.Excel.Functions.SPG(I346, "SP_COUNTRY_NAME")</f>
        <v>Zambia</v>
      </c>
    </row>
    <row r="347" spans="1:19" ht="43.5" x14ac:dyDescent="0.35">
      <c r="A347" s="5">
        <v>46022</v>
      </c>
      <c r="B347" s="4" t="s">
        <v>426</v>
      </c>
      <c r="C347" s="4" t="s">
        <v>427</v>
      </c>
      <c r="D347" s="4" t="s">
        <v>981</v>
      </c>
      <c r="E347" s="8">
        <v>4120225</v>
      </c>
      <c r="F347" s="7">
        <v>61.5</v>
      </c>
      <c r="G347" s="12" t="str">
        <f>[1]!SNLData("243327", C347, "OWNER_LIST")</f>
        <v>Barrick Mining Corporation (Venturer) 61.5%; Newmont Corporation (Venturer) 38.5%; i-80 Gold Corp.  %</v>
      </c>
      <c r="H347" s="9">
        <f>[1]!SNLData("243327", C347, "OWNER_SNL_INSTN_KEY", "Owner 1")</f>
        <v>4120225</v>
      </c>
      <c r="I347" s="9">
        <f>[1]!SNLData("243327", C347, "OWNER_SNL_INSTN_KEY", "Owner 2")</f>
        <v>4075105</v>
      </c>
      <c r="J347" s="12" t="str">
        <f>_xll.SNL.Clients.Office.Excel.Functions.SPG(H347, "SP_ULT_PARENT_COMPANY_NAME")</f>
        <v/>
      </c>
      <c r="K347" s="12" t="str">
        <f>_xll.SNL.Clients.Office.Excel.Functions.SPG(H347, "SP_ULT_PARENT_COUNTRY")</f>
        <v/>
      </c>
      <c r="L347" s="12" t="str">
        <f>_xll.SNL.Clients.Office.Excel.Functions.SPG(H347, "SP_PARENT_COMPANY_NAME")</f>
        <v/>
      </c>
      <c r="M347" s="12" t="str">
        <f>_xll.SNL.Clients.Office.Excel.Functions.SPG(H347, "SP_PARENT_COUNTRY")</f>
        <v/>
      </c>
      <c r="N347" s="12" t="str">
        <f>_xll.SNL.Clients.Office.Excel.Functions.SPG(H347, "SP_COUNTRY_NAME")</f>
        <v>Canada</v>
      </c>
      <c r="O347" s="12" t="str">
        <f>_xll.SNL.Clients.Office.Excel.Functions.SPG(I347, "SP_ULT_PARENT_COMPANY_NAME")</f>
        <v/>
      </c>
      <c r="P347" s="12" t="str">
        <f>_xll.SNL.Clients.Office.Excel.Functions.SPG(I347, "SP_ULT_PARENT_COUNTRY")</f>
        <v/>
      </c>
      <c r="Q347" s="12" t="str">
        <f>_xll.SNL.Clients.Office.Excel.Functions.SPG(I347, "SP_PARENT_COMPANY_NAME")</f>
        <v/>
      </c>
      <c r="R347" s="12" t="str">
        <f>_xll.SNL.Clients.Office.Excel.Functions.SPG(I347, "SP_PARENT_COUNTRY")</f>
        <v/>
      </c>
      <c r="S347" s="12" t="str">
        <f>_xll.SNL.Clients.Office.Excel.Functions.SPG(I347, "SP_COUNTRY_NAME")</f>
        <v>USA</v>
      </c>
    </row>
    <row r="348" spans="1:19" ht="43.5" x14ac:dyDescent="0.35">
      <c r="A348" s="5">
        <v>46022</v>
      </c>
      <c r="B348" s="4" t="s">
        <v>426</v>
      </c>
      <c r="C348" s="4" t="s">
        <v>427</v>
      </c>
      <c r="D348" s="4" t="s">
        <v>976</v>
      </c>
      <c r="E348" s="8">
        <v>4075105</v>
      </c>
      <c r="F348" s="7">
        <v>38.5</v>
      </c>
      <c r="G348" s="12" t="str">
        <f>[1]!SNLData("243327", C348, "OWNER_LIST")</f>
        <v>Barrick Mining Corporation (Venturer) 61.5%; Newmont Corporation (Venturer) 38.5%; i-80 Gold Corp.  %</v>
      </c>
      <c r="H348" s="9">
        <f>[1]!SNLData("243327", C348, "OWNER_SNL_INSTN_KEY", "Owner 1")</f>
        <v>4120225</v>
      </c>
      <c r="I348" s="9">
        <f>[1]!SNLData("243327", C348, "OWNER_SNL_INSTN_KEY", "Owner 2")</f>
        <v>4075105</v>
      </c>
      <c r="J348" s="12" t="str">
        <f>_xll.SNL.Clients.Office.Excel.Functions.SPG(H348, "SP_ULT_PARENT_COMPANY_NAME")</f>
        <v/>
      </c>
      <c r="K348" s="12" t="str">
        <f>_xll.SNL.Clients.Office.Excel.Functions.SPG(H348, "SP_ULT_PARENT_COUNTRY")</f>
        <v/>
      </c>
      <c r="L348" s="12" t="str">
        <f>_xll.SNL.Clients.Office.Excel.Functions.SPG(H348, "SP_PARENT_COMPANY_NAME")</f>
        <v/>
      </c>
      <c r="M348" s="12" t="str">
        <f>_xll.SNL.Clients.Office.Excel.Functions.SPG(H348, "SP_PARENT_COUNTRY")</f>
        <v/>
      </c>
      <c r="N348" s="12" t="str">
        <f>_xll.SNL.Clients.Office.Excel.Functions.SPG(H348, "SP_COUNTRY_NAME")</f>
        <v>Canada</v>
      </c>
      <c r="O348" s="12" t="str">
        <f>_xll.SNL.Clients.Office.Excel.Functions.SPG(I348, "SP_ULT_PARENT_COMPANY_NAME")</f>
        <v/>
      </c>
      <c r="P348" s="12" t="str">
        <f>_xll.SNL.Clients.Office.Excel.Functions.SPG(I348, "SP_ULT_PARENT_COUNTRY")</f>
        <v/>
      </c>
      <c r="Q348" s="12" t="str">
        <f>_xll.SNL.Clients.Office.Excel.Functions.SPG(I348, "SP_PARENT_COMPANY_NAME")</f>
        <v/>
      </c>
      <c r="R348" s="12" t="str">
        <f>_xll.SNL.Clients.Office.Excel.Functions.SPG(I348, "SP_PARENT_COUNTRY")</f>
        <v/>
      </c>
      <c r="S348" s="12" t="str">
        <f>_xll.SNL.Clients.Office.Excel.Functions.SPG(I348, "SP_COUNTRY_NAME")</f>
        <v>USA</v>
      </c>
    </row>
    <row r="349" spans="1:19" x14ac:dyDescent="0.35">
      <c r="A349" s="5">
        <v>46022</v>
      </c>
      <c r="B349" s="4" t="s">
        <v>599</v>
      </c>
      <c r="C349" s="4" t="s">
        <v>600</v>
      </c>
      <c r="D349" s="4" t="s">
        <v>1103</v>
      </c>
      <c r="E349" s="8">
        <v>4352755</v>
      </c>
      <c r="F349" s="7">
        <v>100</v>
      </c>
      <c r="G349" s="12" t="str">
        <f>[1]!SNLData("243327", C349, "OWNER_LIST")</f>
        <v>Coeur Mining, Inc.  100%</v>
      </c>
      <c r="H349" s="9">
        <f>[1]!SNLData("243327", C349, "OWNER_SNL_INSTN_KEY", "Owner 1")</f>
        <v>4349317</v>
      </c>
      <c r="I349" s="9" t="str">
        <f>[1]!SNLData("243327", C349, "OWNER_SNL_INSTN_KEY", "Owner 2")</f>
        <v>NA</v>
      </c>
      <c r="J349" s="12" t="str">
        <f>_xll.SNL.Clients.Office.Excel.Functions.SPG(H349, "SP_ULT_PARENT_COMPANY_NAME")</f>
        <v/>
      </c>
      <c r="K349" s="12" t="str">
        <f>_xll.SNL.Clients.Office.Excel.Functions.SPG(H349, "SP_ULT_PARENT_COUNTRY")</f>
        <v/>
      </c>
      <c r="L349" s="12" t="str">
        <f>_xll.SNL.Clients.Office.Excel.Functions.SPG(H349, "SP_PARENT_COMPANY_NAME")</f>
        <v/>
      </c>
      <c r="M349" s="12" t="str">
        <f>_xll.SNL.Clients.Office.Excel.Functions.SPG(H349, "SP_PARENT_COUNTRY")</f>
        <v/>
      </c>
      <c r="N349" s="12" t="str">
        <f>_xll.SNL.Clients.Office.Excel.Functions.SPG(H349, "SP_COUNTRY_NAME")</f>
        <v>USA</v>
      </c>
      <c r="O349" s="12" t="str">
        <f>_xll.SNL.Clients.Office.Excel.Functions.SPG(I349, "SP_ULT_PARENT_COMPANY_NAME")</f>
        <v/>
      </c>
      <c r="P349" s="12" t="str">
        <f>_xll.SNL.Clients.Office.Excel.Functions.SPG(I349, "SP_ULT_PARENT_COUNTRY")</f>
        <v/>
      </c>
      <c r="Q349" s="12" t="str">
        <f>_xll.SNL.Clients.Office.Excel.Functions.SPG(I349, "SP_PARENT_COMPANY_NAME")</f>
        <v/>
      </c>
      <c r="R349" s="12" t="str">
        <f>_xll.SNL.Clients.Office.Excel.Functions.SPG(I349, "SP_PARENT_COUNTRY")</f>
        <v/>
      </c>
      <c r="S349" s="12" t="str">
        <f>_xll.SNL.Clients.Office.Excel.Functions.SPG(I349, "SP_COUNTRY_NAME")</f>
        <v>China</v>
      </c>
    </row>
    <row r="350" spans="1:19" ht="29" x14ac:dyDescent="0.35">
      <c r="A350" s="5">
        <v>46022</v>
      </c>
      <c r="B350" s="4" t="s">
        <v>601</v>
      </c>
      <c r="C350" s="4" t="s">
        <v>602</v>
      </c>
      <c r="D350" s="4" t="s">
        <v>1104</v>
      </c>
      <c r="E350" s="8">
        <v>4413345</v>
      </c>
      <c r="F350" s="7">
        <v>65</v>
      </c>
      <c r="G350" s="12" t="str">
        <f>[1]!SNLData("243327", C350, "OWNER_LIST")</f>
        <v>Yinfu Gold Corporation (Venturer) 35%; Wanyu Mining (Venturer) 65%</v>
      </c>
      <c r="H350" s="9">
        <f>[1]!SNLData("243327", C350, "OWNER_SNL_INSTN_KEY", "Owner 1")</f>
        <v>4413345</v>
      </c>
      <c r="I350" s="9">
        <f>[1]!SNLData("243327", C350, "OWNER_SNL_INSTN_KEY", "Owner 2")</f>
        <v>4418919</v>
      </c>
      <c r="J350" s="12" t="str">
        <f>_xll.SNL.Clients.Office.Excel.Functions.SPG(H350, "SP_ULT_PARENT_COMPANY_NAME")</f>
        <v/>
      </c>
      <c r="K350" s="12" t="str">
        <f>_xll.SNL.Clients.Office.Excel.Functions.SPG(H350, "SP_ULT_PARENT_COUNTRY")</f>
        <v/>
      </c>
      <c r="L350" s="12" t="str">
        <f>_xll.SNL.Clients.Office.Excel.Functions.SPG(H350, "SP_PARENT_COMPANY_NAME")</f>
        <v/>
      </c>
      <c r="M350" s="12" t="str">
        <f>_xll.SNL.Clients.Office.Excel.Functions.SPG(H350, "SP_PARENT_COUNTRY")</f>
        <v/>
      </c>
      <c r="N350" s="12" t="str">
        <f>_xll.SNL.Clients.Office.Excel.Functions.SPG(H350, "SP_COUNTRY_NAME")</f>
        <v>China</v>
      </c>
      <c r="O350" s="12" t="str">
        <f>_xll.SNL.Clients.Office.Excel.Functions.SPG(I350, "SP_ULT_PARENT_COMPANY_NAME")</f>
        <v/>
      </c>
      <c r="P350" s="12" t="str">
        <f>_xll.SNL.Clients.Office.Excel.Functions.SPG(I350, "SP_ULT_PARENT_COUNTRY")</f>
        <v/>
      </c>
      <c r="Q350" s="12" t="str">
        <f>_xll.SNL.Clients.Office.Excel.Functions.SPG(I350, "SP_PARENT_COMPANY_NAME")</f>
        <v/>
      </c>
      <c r="R350" s="12" t="str">
        <f>_xll.SNL.Clients.Office.Excel.Functions.SPG(I350, "SP_PARENT_COUNTRY")</f>
        <v/>
      </c>
      <c r="S350" s="12" t="str">
        <f>_xll.SNL.Clients.Office.Excel.Functions.SPG(I350, "SP_COUNTRY_NAME")</f>
        <v>China</v>
      </c>
    </row>
    <row r="351" spans="1:19" ht="29" x14ac:dyDescent="0.35">
      <c r="A351" s="5">
        <v>46022</v>
      </c>
      <c r="B351" s="4" t="s">
        <v>601</v>
      </c>
      <c r="C351" s="4" t="s">
        <v>602</v>
      </c>
      <c r="D351" s="4" t="s">
        <v>1105</v>
      </c>
      <c r="E351" s="8">
        <v>4418919</v>
      </c>
      <c r="F351" s="7">
        <v>35</v>
      </c>
      <c r="G351" s="12" t="str">
        <f>[1]!SNLData("243327", C351, "OWNER_LIST")</f>
        <v>Yinfu Gold Corporation (Venturer) 35%; Wanyu Mining (Venturer) 65%</v>
      </c>
      <c r="H351" s="9">
        <f>[1]!SNLData("243327", C351, "OWNER_SNL_INSTN_KEY", "Owner 1")</f>
        <v>4413345</v>
      </c>
      <c r="I351" s="9">
        <f>[1]!SNLData("243327", C351, "OWNER_SNL_INSTN_KEY", "Owner 2")</f>
        <v>4418919</v>
      </c>
      <c r="J351" s="12" t="str">
        <f>_xll.SNL.Clients.Office.Excel.Functions.SPG(H351, "SP_ULT_PARENT_COMPANY_NAME")</f>
        <v/>
      </c>
      <c r="K351" s="12" t="str">
        <f>_xll.SNL.Clients.Office.Excel.Functions.SPG(H351, "SP_ULT_PARENT_COUNTRY")</f>
        <v/>
      </c>
      <c r="L351" s="12" t="str">
        <f>_xll.SNL.Clients.Office.Excel.Functions.SPG(H351, "SP_PARENT_COMPANY_NAME")</f>
        <v/>
      </c>
      <c r="M351" s="12" t="str">
        <f>_xll.SNL.Clients.Office.Excel.Functions.SPG(H351, "SP_PARENT_COUNTRY")</f>
        <v/>
      </c>
      <c r="N351" s="12" t="str">
        <f>_xll.SNL.Clients.Office.Excel.Functions.SPG(H351, "SP_COUNTRY_NAME")</f>
        <v>China</v>
      </c>
      <c r="O351" s="12" t="str">
        <f>_xll.SNL.Clients.Office.Excel.Functions.SPG(I351, "SP_ULT_PARENT_COMPANY_NAME")</f>
        <v/>
      </c>
      <c r="P351" s="12" t="str">
        <f>_xll.SNL.Clients.Office.Excel.Functions.SPG(I351, "SP_ULT_PARENT_COUNTRY")</f>
        <v/>
      </c>
      <c r="Q351" s="12" t="str">
        <f>_xll.SNL.Clients.Office.Excel.Functions.SPG(I351, "SP_PARENT_COMPANY_NAME")</f>
        <v/>
      </c>
      <c r="R351" s="12" t="str">
        <f>_xll.SNL.Clients.Office.Excel.Functions.SPG(I351, "SP_PARENT_COUNTRY")</f>
        <v/>
      </c>
      <c r="S351" s="12" t="str">
        <f>_xll.SNL.Clients.Office.Excel.Functions.SPG(I351, "SP_COUNTRY_NAME")</f>
        <v>China</v>
      </c>
    </row>
    <row r="352" spans="1:19" ht="43.5" x14ac:dyDescent="0.35">
      <c r="A352" s="5">
        <v>46022</v>
      </c>
      <c r="B352" s="4" t="s">
        <v>603</v>
      </c>
      <c r="C352" s="4" t="s">
        <v>604</v>
      </c>
      <c r="D352" s="4" t="s">
        <v>1100</v>
      </c>
      <c r="E352" s="8">
        <v>118448206</v>
      </c>
      <c r="F352" s="7">
        <v>51</v>
      </c>
      <c r="G352" s="12" t="str">
        <f>[1]!SNLData("243327", C352, "OWNER_LIST")</f>
        <v>International Resources Holding (Venturer) 51%; ZCCM Investments Holdings Plc (Venturer) 49%</v>
      </c>
      <c r="H352" s="9">
        <f>[1]!SNLData("243327", C352, "OWNER_SNL_INSTN_KEY", "Owner 1")</f>
        <v>118448206</v>
      </c>
      <c r="I352" s="9">
        <f>[1]!SNLData("243327", C352, "OWNER_SNL_INSTN_KEY", "Owner 2")</f>
        <v>4355602</v>
      </c>
      <c r="J352" s="12" t="str">
        <f>_xll.SNL.Clients.Office.Excel.Functions.SPG(H352, "SP_ULT_PARENT_COMPANY_NAME")</f>
        <v>International Holding Company PJSC</v>
      </c>
      <c r="K352" s="12" t="str">
        <f>_xll.SNL.Clients.Office.Excel.Functions.SPG(H352, "SP_ULT_PARENT_COUNTRY")</f>
        <v>United Arab Emirates</v>
      </c>
      <c r="L352" s="12" t="str">
        <f>_xll.SNL.Clients.Office.Excel.Functions.SPG(H352, "SP_PARENT_COMPANY_NAME")</f>
        <v>2PointZero</v>
      </c>
      <c r="M352" s="12" t="str">
        <f>_xll.SNL.Clients.Office.Excel.Functions.SPG(H352, "SP_PARENT_COUNTRY")</f>
        <v>United Arab Emirates</v>
      </c>
      <c r="N352" s="12" t="str">
        <f>_xll.SNL.Clients.Office.Excel.Functions.SPG(H352, "SP_COUNTRY_NAME")</f>
        <v>United Arab Emirates</v>
      </c>
      <c r="O352" s="12" t="str">
        <f>_xll.SNL.Clients.Office.Excel.Functions.SPG(I352, "SP_ULT_PARENT_COMPANY_NAME")</f>
        <v>Industrial Development Corporation (Zambia) Limited</v>
      </c>
      <c r="P352" s="12" t="str">
        <f>_xll.SNL.Clients.Office.Excel.Functions.SPG(I352, "SP_ULT_PARENT_COUNTRY")</f>
        <v>Zambia</v>
      </c>
      <c r="Q352" s="12" t="str">
        <f>_xll.SNL.Clients.Office.Excel.Functions.SPG(I352, "SP_PARENT_COMPANY_NAME")</f>
        <v>Industrial Development Corporation (Zambia) Limited</v>
      </c>
      <c r="R352" s="12" t="str">
        <f>_xll.SNL.Clients.Office.Excel.Functions.SPG(I352, "SP_PARENT_COUNTRY")</f>
        <v>Zambia</v>
      </c>
      <c r="S352" s="12" t="str">
        <f>_xll.SNL.Clients.Office.Excel.Functions.SPG(I352, "SP_COUNTRY_NAME")</f>
        <v>Zambia</v>
      </c>
    </row>
    <row r="353" spans="1:19" ht="43.5" x14ac:dyDescent="0.35">
      <c r="A353" s="5">
        <v>46022</v>
      </c>
      <c r="B353" s="4" t="s">
        <v>603</v>
      </c>
      <c r="C353" s="4" t="s">
        <v>604</v>
      </c>
      <c r="D353" s="4" t="s">
        <v>1002</v>
      </c>
      <c r="E353" s="8">
        <v>4355602</v>
      </c>
      <c r="F353" s="7">
        <v>49</v>
      </c>
      <c r="G353" s="12" t="str">
        <f>[1]!SNLData("243327", C353, "OWNER_LIST")</f>
        <v>International Resources Holding (Venturer) 51%; ZCCM Investments Holdings Plc (Venturer) 49%</v>
      </c>
      <c r="H353" s="9">
        <f>[1]!SNLData("243327", C353, "OWNER_SNL_INSTN_KEY", "Owner 1")</f>
        <v>118448206</v>
      </c>
      <c r="I353" s="9">
        <f>[1]!SNLData("243327", C353, "OWNER_SNL_INSTN_KEY", "Owner 2")</f>
        <v>4355602</v>
      </c>
      <c r="J353" s="12" t="str">
        <f>_xll.SNL.Clients.Office.Excel.Functions.SPG(H353, "SP_ULT_PARENT_COMPANY_NAME")</f>
        <v>International Holding Company PJSC</v>
      </c>
      <c r="K353" s="12" t="str">
        <f>_xll.SNL.Clients.Office.Excel.Functions.SPG(H353, "SP_ULT_PARENT_COUNTRY")</f>
        <v>United Arab Emirates</v>
      </c>
      <c r="L353" s="12" t="str">
        <f>_xll.SNL.Clients.Office.Excel.Functions.SPG(H353, "SP_PARENT_COMPANY_NAME")</f>
        <v>2PointZero</v>
      </c>
      <c r="M353" s="12" t="str">
        <f>_xll.SNL.Clients.Office.Excel.Functions.SPG(H353, "SP_PARENT_COUNTRY")</f>
        <v>United Arab Emirates</v>
      </c>
      <c r="N353" s="12" t="str">
        <f>_xll.SNL.Clients.Office.Excel.Functions.SPG(H353, "SP_COUNTRY_NAME")</f>
        <v>United Arab Emirates</v>
      </c>
      <c r="O353" s="12" t="str">
        <f>_xll.SNL.Clients.Office.Excel.Functions.SPG(I353, "SP_ULT_PARENT_COMPANY_NAME")</f>
        <v>Industrial Development Corporation (Zambia) Limited</v>
      </c>
      <c r="P353" s="12" t="str">
        <f>_xll.SNL.Clients.Office.Excel.Functions.SPG(I353, "SP_ULT_PARENT_COUNTRY")</f>
        <v>Zambia</v>
      </c>
      <c r="Q353" s="12" t="str">
        <f>_xll.SNL.Clients.Office.Excel.Functions.SPG(I353, "SP_PARENT_COMPANY_NAME")</f>
        <v>Industrial Development Corporation (Zambia) Limited</v>
      </c>
      <c r="R353" s="12" t="str">
        <f>_xll.SNL.Clients.Office.Excel.Functions.SPG(I353, "SP_PARENT_COUNTRY")</f>
        <v>Zambia</v>
      </c>
      <c r="S353" s="12" t="str">
        <f>_xll.SNL.Clients.Office.Excel.Functions.SPG(I353, "SP_COUNTRY_NAME")</f>
        <v>Zambia</v>
      </c>
    </row>
    <row r="354" spans="1:19" ht="29" x14ac:dyDescent="0.35">
      <c r="A354" s="5">
        <v>46022</v>
      </c>
      <c r="B354" s="4" t="s">
        <v>605</v>
      </c>
      <c r="C354" s="4" t="s">
        <v>606</v>
      </c>
      <c r="D354" s="4" t="s">
        <v>984</v>
      </c>
      <c r="E354" s="8">
        <v>4352853</v>
      </c>
      <c r="F354" s="7">
        <v>100</v>
      </c>
      <c r="G354" s="12" t="str">
        <f>[1]!SNLData("243327", C354, "OWNER_LIST")</f>
        <v>Public Joint Stock Company Mining and Metallurgical Company Norilsk Nickel  100%</v>
      </c>
      <c r="H354" s="9">
        <f>[1]!SNLData("243327", C354, "OWNER_SNL_INSTN_KEY", "Owner 1")</f>
        <v>4352853</v>
      </c>
      <c r="I354" s="9" t="str">
        <f>[1]!SNLData("243327", C354, "OWNER_SNL_INSTN_KEY", "Owner 2")</f>
        <v>NA</v>
      </c>
      <c r="J354" s="12" t="str">
        <f>_xll.SNL.Clients.Office.Excel.Functions.SPG(H354, "SP_ULT_PARENT_COMPANY_NAME")</f>
        <v/>
      </c>
      <c r="K354" s="12" t="str">
        <f>_xll.SNL.Clients.Office.Excel.Functions.SPG(H354, "SP_ULT_PARENT_COUNTRY")</f>
        <v/>
      </c>
      <c r="L354" s="12" t="str">
        <f>_xll.SNL.Clients.Office.Excel.Functions.SPG(H354, "SP_PARENT_COMPANY_NAME")</f>
        <v/>
      </c>
      <c r="M354" s="12" t="str">
        <f>_xll.SNL.Clients.Office.Excel.Functions.SPG(H354, "SP_PARENT_COUNTRY")</f>
        <v/>
      </c>
      <c r="N354" s="12" t="str">
        <f>_xll.SNL.Clients.Office.Excel.Functions.SPG(H354, "SP_COUNTRY_NAME")</f>
        <v>Russia</v>
      </c>
      <c r="O354" s="12" t="str">
        <f>_xll.SNL.Clients.Office.Excel.Functions.SPG(I354, "SP_ULT_PARENT_COMPANY_NAME")</f>
        <v/>
      </c>
      <c r="P354" s="12" t="str">
        <f>_xll.SNL.Clients.Office.Excel.Functions.SPG(I354, "SP_ULT_PARENT_COUNTRY")</f>
        <v/>
      </c>
      <c r="Q354" s="12" t="str">
        <f>_xll.SNL.Clients.Office.Excel.Functions.SPG(I354, "SP_PARENT_COMPANY_NAME")</f>
        <v/>
      </c>
      <c r="R354" s="12" t="str">
        <f>_xll.SNL.Clients.Office.Excel.Functions.SPG(I354, "SP_PARENT_COUNTRY")</f>
        <v/>
      </c>
      <c r="S354" s="12" t="str">
        <f>_xll.SNL.Clients.Office.Excel.Functions.SPG(I354, "SP_COUNTRY_NAME")</f>
        <v>China</v>
      </c>
    </row>
    <row r="355" spans="1:19" ht="43.5" x14ac:dyDescent="0.35">
      <c r="A355" s="5">
        <v>46022</v>
      </c>
      <c r="B355" s="4" t="s">
        <v>401</v>
      </c>
      <c r="C355" s="4" t="s">
        <v>402</v>
      </c>
      <c r="D355" s="4" t="s">
        <v>1031</v>
      </c>
      <c r="E355" s="8">
        <v>4350088</v>
      </c>
      <c r="F355" s="7">
        <v>80</v>
      </c>
      <c r="G355" s="12" t="str">
        <f>[1]!SNLData("243327", C355, "OWNER_LIST")</f>
        <v>Sumitomo Corporation (Venturer) 6.7%; Sumitomo Metal Mining Co., Ltd. (Venturer) 13.3%; Evolution Mining Limited (Venturer) 80%</v>
      </c>
      <c r="H355" s="9">
        <f>[1]!SNLData("243327", C355, "OWNER_SNL_INSTN_KEY", "Owner 1")</f>
        <v>4350088</v>
      </c>
      <c r="I355" s="9">
        <f>[1]!SNLData("243327", C355, "OWNER_SNL_INSTN_KEY", "Owner 2")</f>
        <v>4354638</v>
      </c>
      <c r="J355" s="12" t="str">
        <f>_xll.SNL.Clients.Office.Excel.Functions.SPG(H355, "SP_ULT_PARENT_COMPANY_NAME")</f>
        <v/>
      </c>
      <c r="K355" s="12" t="str">
        <f>_xll.SNL.Clients.Office.Excel.Functions.SPG(H355, "SP_ULT_PARENT_COUNTRY")</f>
        <v/>
      </c>
      <c r="L355" s="12" t="str">
        <f>_xll.SNL.Clients.Office.Excel.Functions.SPG(H355, "SP_PARENT_COMPANY_NAME")</f>
        <v/>
      </c>
      <c r="M355" s="12" t="str">
        <f>_xll.SNL.Clients.Office.Excel.Functions.SPG(H355, "SP_PARENT_COUNTRY")</f>
        <v/>
      </c>
      <c r="N355" s="12" t="str">
        <f>_xll.SNL.Clients.Office.Excel.Functions.SPG(H355, "SP_COUNTRY_NAME")</f>
        <v>Australia</v>
      </c>
      <c r="O355" s="12" t="str">
        <f>_xll.SNL.Clients.Office.Excel.Functions.SPG(I355, "SP_ULT_PARENT_COMPANY_NAME")</f>
        <v/>
      </c>
      <c r="P355" s="12" t="str">
        <f>_xll.SNL.Clients.Office.Excel.Functions.SPG(I355, "SP_ULT_PARENT_COUNTRY")</f>
        <v/>
      </c>
      <c r="Q355" s="12" t="str">
        <f>_xll.SNL.Clients.Office.Excel.Functions.SPG(I355, "SP_PARENT_COMPANY_NAME")</f>
        <v/>
      </c>
      <c r="R355" s="12" t="str">
        <f>_xll.SNL.Clients.Office.Excel.Functions.SPG(I355, "SP_PARENT_COUNTRY")</f>
        <v/>
      </c>
      <c r="S355" s="12" t="str">
        <f>_xll.SNL.Clients.Office.Excel.Functions.SPG(I355, "SP_COUNTRY_NAME")</f>
        <v>Japan</v>
      </c>
    </row>
    <row r="356" spans="1:19" ht="43.5" x14ac:dyDescent="0.35">
      <c r="A356" s="5">
        <v>46022</v>
      </c>
      <c r="B356" s="4" t="s">
        <v>401</v>
      </c>
      <c r="C356" s="4" t="s">
        <v>402</v>
      </c>
      <c r="D356" s="4" t="s">
        <v>988</v>
      </c>
      <c r="E356" s="8">
        <v>4047416</v>
      </c>
      <c r="F356" s="7">
        <v>6.7</v>
      </c>
      <c r="G356" s="12" t="str">
        <f>[1]!SNLData("243327", C356, "OWNER_LIST")</f>
        <v>Sumitomo Corporation (Venturer) 6.7%; Sumitomo Metal Mining Co., Ltd. (Venturer) 13.3%; Evolution Mining Limited (Venturer) 80%</v>
      </c>
      <c r="H356" s="9">
        <f>[1]!SNLData("243327", C356, "OWNER_SNL_INSTN_KEY", "Owner 1")</f>
        <v>4350088</v>
      </c>
      <c r="I356" s="9">
        <f>[1]!SNLData("243327", C356, "OWNER_SNL_INSTN_KEY", "Owner 2")</f>
        <v>4354638</v>
      </c>
      <c r="J356" s="12" t="str">
        <f>_xll.SNL.Clients.Office.Excel.Functions.SPG(H356, "SP_ULT_PARENT_COMPANY_NAME")</f>
        <v/>
      </c>
      <c r="K356" s="12" t="str">
        <f>_xll.SNL.Clients.Office.Excel.Functions.SPG(H356, "SP_ULT_PARENT_COUNTRY")</f>
        <v/>
      </c>
      <c r="L356" s="12" t="str">
        <f>_xll.SNL.Clients.Office.Excel.Functions.SPG(H356, "SP_PARENT_COMPANY_NAME")</f>
        <v/>
      </c>
      <c r="M356" s="12" t="str">
        <f>_xll.SNL.Clients.Office.Excel.Functions.SPG(H356, "SP_PARENT_COUNTRY")</f>
        <v/>
      </c>
      <c r="N356" s="12" t="str">
        <f>_xll.SNL.Clients.Office.Excel.Functions.SPG(H356, "SP_COUNTRY_NAME")</f>
        <v>Australia</v>
      </c>
      <c r="O356" s="12" t="str">
        <f>_xll.SNL.Clients.Office.Excel.Functions.SPG(I356, "SP_ULT_PARENT_COMPANY_NAME")</f>
        <v/>
      </c>
      <c r="P356" s="12" t="str">
        <f>_xll.SNL.Clients.Office.Excel.Functions.SPG(I356, "SP_ULT_PARENT_COUNTRY")</f>
        <v/>
      </c>
      <c r="Q356" s="12" t="str">
        <f>_xll.SNL.Clients.Office.Excel.Functions.SPG(I356, "SP_PARENT_COMPANY_NAME")</f>
        <v/>
      </c>
      <c r="R356" s="12" t="str">
        <f>_xll.SNL.Clients.Office.Excel.Functions.SPG(I356, "SP_PARENT_COUNTRY")</f>
        <v/>
      </c>
      <c r="S356" s="12" t="str">
        <f>_xll.SNL.Clients.Office.Excel.Functions.SPG(I356, "SP_COUNTRY_NAME")</f>
        <v>Japan</v>
      </c>
    </row>
    <row r="357" spans="1:19" ht="43.5" x14ac:dyDescent="0.35">
      <c r="A357" s="5">
        <v>46022</v>
      </c>
      <c r="B357" s="4" t="s">
        <v>401</v>
      </c>
      <c r="C357" s="4" t="s">
        <v>402</v>
      </c>
      <c r="D357" s="4" t="s">
        <v>989</v>
      </c>
      <c r="E357" s="8">
        <v>4354638</v>
      </c>
      <c r="F357" s="7">
        <v>13.3</v>
      </c>
      <c r="G357" s="12" t="str">
        <f>[1]!SNLData("243327", C357, "OWNER_LIST")</f>
        <v>Sumitomo Corporation (Venturer) 6.7%; Sumitomo Metal Mining Co., Ltd. (Venturer) 13.3%; Evolution Mining Limited (Venturer) 80%</v>
      </c>
      <c r="H357" s="9">
        <f>[1]!SNLData("243327", C357, "OWNER_SNL_INSTN_KEY", "Owner 1")</f>
        <v>4350088</v>
      </c>
      <c r="I357" s="9">
        <f>[1]!SNLData("243327", C357, "OWNER_SNL_INSTN_KEY", "Owner 2")</f>
        <v>4354638</v>
      </c>
      <c r="J357" s="12" t="str">
        <f>_xll.SNL.Clients.Office.Excel.Functions.SPG(H357, "SP_ULT_PARENT_COMPANY_NAME")</f>
        <v/>
      </c>
      <c r="K357" s="12" t="str">
        <f>_xll.SNL.Clients.Office.Excel.Functions.SPG(H357, "SP_ULT_PARENT_COUNTRY")</f>
        <v/>
      </c>
      <c r="L357" s="12" t="str">
        <f>_xll.SNL.Clients.Office.Excel.Functions.SPG(H357, "SP_PARENT_COMPANY_NAME")</f>
        <v/>
      </c>
      <c r="M357" s="12" t="str">
        <f>_xll.SNL.Clients.Office.Excel.Functions.SPG(H357, "SP_PARENT_COUNTRY")</f>
        <v/>
      </c>
      <c r="N357" s="12" t="str">
        <f>_xll.SNL.Clients.Office.Excel.Functions.SPG(H357, "SP_COUNTRY_NAME")</f>
        <v>Australia</v>
      </c>
      <c r="O357" s="12" t="str">
        <f>_xll.SNL.Clients.Office.Excel.Functions.SPG(I357, "SP_ULT_PARENT_COMPANY_NAME")</f>
        <v/>
      </c>
      <c r="P357" s="12" t="str">
        <f>_xll.SNL.Clients.Office.Excel.Functions.SPG(I357, "SP_ULT_PARENT_COUNTRY")</f>
        <v/>
      </c>
      <c r="Q357" s="12" t="str">
        <f>_xll.SNL.Clients.Office.Excel.Functions.SPG(I357, "SP_PARENT_COMPANY_NAME")</f>
        <v/>
      </c>
      <c r="R357" s="12" t="str">
        <f>_xll.SNL.Clients.Office.Excel.Functions.SPG(I357, "SP_PARENT_COUNTRY")</f>
        <v/>
      </c>
      <c r="S357" s="12" t="str">
        <f>_xll.SNL.Clients.Office.Excel.Functions.SPG(I357, "SP_COUNTRY_NAME")</f>
        <v>Japan</v>
      </c>
    </row>
    <row r="358" spans="1:19" x14ac:dyDescent="0.35">
      <c r="A358" s="5">
        <v>46022</v>
      </c>
      <c r="B358" s="4" t="s">
        <v>444</v>
      </c>
      <c r="C358" s="4" t="s">
        <v>445</v>
      </c>
      <c r="D358" s="4" t="s">
        <v>1106</v>
      </c>
      <c r="E358" s="8">
        <v>4351204</v>
      </c>
      <c r="F358" s="7">
        <v>100</v>
      </c>
      <c r="G358" s="12" t="str">
        <f>[1]!SNLData("243327", C358, "OWNER_LIST")</f>
        <v>IGO Limited  100%</v>
      </c>
      <c r="H358" s="9">
        <f>[1]!SNLData("243327", C358, "OWNER_SNL_INSTN_KEY", "Owner 1")</f>
        <v>4351204</v>
      </c>
      <c r="I358" s="9" t="str">
        <f>[1]!SNLData("243327", C358, "OWNER_SNL_INSTN_KEY", "Owner 2")</f>
        <v>NA</v>
      </c>
      <c r="J358" s="12" t="str">
        <f>_xll.SNL.Clients.Office.Excel.Functions.SPG(H358, "SP_ULT_PARENT_COMPANY_NAME")</f>
        <v/>
      </c>
      <c r="K358" s="12" t="str">
        <f>_xll.SNL.Clients.Office.Excel.Functions.SPG(H358, "SP_ULT_PARENT_COUNTRY")</f>
        <v/>
      </c>
      <c r="L358" s="12" t="str">
        <f>_xll.SNL.Clients.Office.Excel.Functions.SPG(H358, "SP_PARENT_COMPANY_NAME")</f>
        <v/>
      </c>
      <c r="M358" s="12" t="str">
        <f>_xll.SNL.Clients.Office.Excel.Functions.SPG(H358, "SP_PARENT_COUNTRY")</f>
        <v/>
      </c>
      <c r="N358" s="12" t="str">
        <f>_xll.SNL.Clients.Office.Excel.Functions.SPG(H358, "SP_COUNTRY_NAME")</f>
        <v>Australia</v>
      </c>
      <c r="O358" s="12" t="str">
        <f>_xll.SNL.Clients.Office.Excel.Functions.SPG(I358, "SP_ULT_PARENT_COMPANY_NAME")</f>
        <v/>
      </c>
      <c r="P358" s="12" t="str">
        <f>_xll.SNL.Clients.Office.Excel.Functions.SPG(I358, "SP_ULT_PARENT_COUNTRY")</f>
        <v/>
      </c>
      <c r="Q358" s="12" t="str">
        <f>_xll.SNL.Clients.Office.Excel.Functions.SPG(I358, "SP_PARENT_COMPANY_NAME")</f>
        <v/>
      </c>
      <c r="R358" s="12" t="str">
        <f>_xll.SNL.Clients.Office.Excel.Functions.SPG(I358, "SP_PARENT_COUNTRY")</f>
        <v/>
      </c>
      <c r="S358" s="12" t="str">
        <f>_xll.SNL.Clients.Office.Excel.Functions.SPG(I358, "SP_COUNTRY_NAME")</f>
        <v>China</v>
      </c>
    </row>
    <row r="359" spans="1:19" ht="29" x14ac:dyDescent="0.35">
      <c r="A359" s="5">
        <v>46022</v>
      </c>
      <c r="B359" s="4" t="s">
        <v>789</v>
      </c>
      <c r="C359" s="4" t="s">
        <v>790</v>
      </c>
      <c r="D359" s="4" t="s">
        <v>1107</v>
      </c>
      <c r="E359" s="8">
        <v>10930041</v>
      </c>
      <c r="F359" s="7">
        <v>100</v>
      </c>
      <c r="G359" s="12" t="str">
        <f>[1]!SNLData("243327", C359, "OWNER_LIST")</f>
        <v>Bahrain Right Banner Norga Copper Mine Co., Ltd.  100%</v>
      </c>
      <c r="H359" s="9">
        <f>[1]!SNLData("243327", C359, "OWNER_SNL_INSTN_KEY", "Owner 1")</f>
        <v>10930041</v>
      </c>
      <c r="I359" s="9" t="str">
        <f>[1]!SNLData("243327", C359, "OWNER_SNL_INSTN_KEY", "Owner 2")</f>
        <v>NA</v>
      </c>
      <c r="J359" s="12" t="str">
        <f>_xll.SNL.Clients.Office.Excel.Functions.SPG(H359, "SP_ULT_PARENT_COMPANY_NAME")</f>
        <v/>
      </c>
      <c r="K359" s="12" t="str">
        <f>_xll.SNL.Clients.Office.Excel.Functions.SPG(H359, "SP_ULT_PARENT_COUNTRY")</f>
        <v/>
      </c>
      <c r="L359" s="12" t="str">
        <f>_xll.SNL.Clients.Office.Excel.Functions.SPG(H359, "SP_PARENT_COMPANY_NAME")</f>
        <v/>
      </c>
      <c r="M359" s="12" t="str">
        <f>_xll.SNL.Clients.Office.Excel.Functions.SPG(H359, "SP_PARENT_COUNTRY")</f>
        <v/>
      </c>
      <c r="N359" s="12" t="str">
        <f>_xll.SNL.Clients.Office.Excel.Functions.SPG(H359, "SP_COUNTRY_NAME")</f>
        <v>China</v>
      </c>
      <c r="O359" s="12" t="str">
        <f>_xll.SNL.Clients.Office.Excel.Functions.SPG(I359, "SP_ULT_PARENT_COMPANY_NAME")</f>
        <v/>
      </c>
      <c r="P359" s="12" t="str">
        <f>_xll.SNL.Clients.Office.Excel.Functions.SPG(I359, "SP_ULT_PARENT_COUNTRY")</f>
        <v/>
      </c>
      <c r="Q359" s="12" t="str">
        <f>_xll.SNL.Clients.Office.Excel.Functions.SPG(I359, "SP_PARENT_COMPANY_NAME")</f>
        <v/>
      </c>
      <c r="R359" s="12" t="str">
        <f>_xll.SNL.Clients.Office.Excel.Functions.SPG(I359, "SP_PARENT_COUNTRY")</f>
        <v/>
      </c>
      <c r="S359" s="12" t="str">
        <f>_xll.SNL.Clients.Office.Excel.Functions.SPG(I359, "SP_COUNTRY_NAME")</f>
        <v>China</v>
      </c>
    </row>
    <row r="360" spans="1:19" ht="72.5" x14ac:dyDescent="0.35">
      <c r="A360" s="5">
        <v>46022</v>
      </c>
      <c r="B360" s="4" t="s">
        <v>607</v>
      </c>
      <c r="C360" s="4" t="s">
        <v>608</v>
      </c>
      <c r="D360" s="4" t="s">
        <v>1108</v>
      </c>
      <c r="E360" s="8">
        <v>4353027</v>
      </c>
      <c r="F360" s="7">
        <v>100</v>
      </c>
      <c r="G360" s="12" t="str">
        <f>[1]!SNLData("243327", C360, "OWNER_LIST")</f>
        <v>Ok Tedi Mining Limited  100%</v>
      </c>
      <c r="H360" s="9">
        <f>[1]!SNLData("243327", C360, "OWNER_SNL_INSTN_KEY", "Owner 1")</f>
        <v>4353027</v>
      </c>
      <c r="I360" s="9" t="str">
        <f>[1]!SNLData("243327", C360, "OWNER_SNL_INSTN_KEY", "Owner 2")</f>
        <v>NA</v>
      </c>
      <c r="J360" s="12" t="str">
        <f>_xll.SNL.Clients.Office.Excel.Functions.SPG(H360, "SP_ULT_PARENT_COMPANY_NAME")</f>
        <v>PNG Sustainable Development Program Limited</v>
      </c>
      <c r="K360" s="12" t="str">
        <f>_xll.SNL.Clients.Office.Excel.Functions.SPG(H360, "SP_ULT_PARENT_COUNTRY")</f>
        <v>Papua New Guinea</v>
      </c>
      <c r="L360" s="12" t="str">
        <f>_xll.SNL.Clients.Office.Excel.Functions.SPG(H360, "SP_PARENT_COMPANY_NAME")</f>
        <v>PNG Sustainable Development Program Limited</v>
      </c>
      <c r="M360" s="12" t="str">
        <f>_xll.SNL.Clients.Office.Excel.Functions.SPG(H360, "SP_PARENT_COUNTRY")</f>
        <v>Papua New Guinea</v>
      </c>
      <c r="N360" s="12" t="str">
        <f>_xll.SNL.Clients.Office.Excel.Functions.SPG(H360, "SP_COUNTRY_NAME")</f>
        <v>Papua New Guinea</v>
      </c>
      <c r="O360" s="12" t="str">
        <f>_xll.SNL.Clients.Office.Excel.Functions.SPG(I360, "SP_ULT_PARENT_COMPANY_NAME")</f>
        <v/>
      </c>
      <c r="P360" s="12" t="str">
        <f>_xll.SNL.Clients.Office.Excel.Functions.SPG(I360, "SP_ULT_PARENT_COUNTRY")</f>
        <v/>
      </c>
      <c r="Q360" s="12" t="str">
        <f>_xll.SNL.Clients.Office.Excel.Functions.SPG(I360, "SP_PARENT_COMPANY_NAME")</f>
        <v/>
      </c>
      <c r="R360" s="12" t="str">
        <f>_xll.SNL.Clients.Office.Excel.Functions.SPG(I360, "SP_PARENT_COUNTRY")</f>
        <v/>
      </c>
      <c r="S360" s="12" t="str">
        <f>_xll.SNL.Clients.Office.Excel.Functions.SPG(I360, "SP_COUNTRY_NAME")</f>
        <v>China</v>
      </c>
    </row>
    <row r="361" spans="1:19" x14ac:dyDescent="0.35">
      <c r="A361" s="5">
        <v>46022</v>
      </c>
      <c r="B361" s="4" t="s">
        <v>609</v>
      </c>
      <c r="C361" s="4" t="s">
        <v>610</v>
      </c>
      <c r="D361" s="4" t="s">
        <v>947</v>
      </c>
      <c r="E361" s="8">
        <v>4121840</v>
      </c>
      <c r="F361" s="7">
        <v>100</v>
      </c>
      <c r="G361" s="12" t="str">
        <f>[1]!SNLData("243327", C361, "OWNER_LIST")</f>
        <v>BHP Group Limited  100%</v>
      </c>
      <c r="H361" s="9">
        <f>[1]!SNLData("243327", C361, "OWNER_SNL_INSTN_KEY", "Owner 1")</f>
        <v>4121840</v>
      </c>
      <c r="I361" s="9" t="str">
        <f>[1]!SNLData("243327", C361, "OWNER_SNL_INSTN_KEY", "Owner 2")</f>
        <v>NA</v>
      </c>
      <c r="J361" s="12" t="str">
        <f>_xll.SNL.Clients.Office.Excel.Functions.SPG(H361, "SP_ULT_PARENT_COMPANY_NAME")</f>
        <v/>
      </c>
      <c r="K361" s="12" t="str">
        <f>_xll.SNL.Clients.Office.Excel.Functions.SPG(H361, "SP_ULT_PARENT_COUNTRY")</f>
        <v/>
      </c>
      <c r="L361" s="12" t="str">
        <f>_xll.SNL.Clients.Office.Excel.Functions.SPG(H361, "SP_PARENT_COMPANY_NAME")</f>
        <v/>
      </c>
      <c r="M361" s="12" t="str">
        <f>_xll.SNL.Clients.Office.Excel.Functions.SPG(H361, "SP_PARENT_COUNTRY")</f>
        <v/>
      </c>
      <c r="N361" s="12" t="str">
        <f>_xll.SNL.Clients.Office.Excel.Functions.SPG(H361, "SP_COUNTRY_NAME")</f>
        <v>Australia</v>
      </c>
      <c r="O361" s="12" t="str">
        <f>_xll.SNL.Clients.Office.Excel.Functions.SPG(I361, "SP_ULT_PARENT_COMPANY_NAME")</f>
        <v/>
      </c>
      <c r="P361" s="12" t="str">
        <f>_xll.SNL.Clients.Office.Excel.Functions.SPG(I361, "SP_ULT_PARENT_COUNTRY")</f>
        <v/>
      </c>
      <c r="Q361" s="12" t="str">
        <f>_xll.SNL.Clients.Office.Excel.Functions.SPG(I361, "SP_PARENT_COMPANY_NAME")</f>
        <v/>
      </c>
      <c r="R361" s="12" t="str">
        <f>_xll.SNL.Clients.Office.Excel.Functions.SPG(I361, "SP_PARENT_COUNTRY")</f>
        <v/>
      </c>
      <c r="S361" s="12" t="str">
        <f>_xll.SNL.Clients.Office.Excel.Functions.SPG(I361, "SP_COUNTRY_NAME")</f>
        <v>China</v>
      </c>
    </row>
    <row r="362" spans="1:19" x14ac:dyDescent="0.35">
      <c r="A362" s="5">
        <v>46022</v>
      </c>
      <c r="B362" s="4" t="s">
        <v>611</v>
      </c>
      <c r="C362" s="4" t="s">
        <v>612</v>
      </c>
      <c r="D362" s="4" t="s">
        <v>1090</v>
      </c>
      <c r="E362" s="8">
        <v>4223919</v>
      </c>
      <c r="F362" s="7">
        <v>100</v>
      </c>
      <c r="G362" s="12" t="str">
        <f>[1]!SNLData("243327", C362, "OWNER_LIST")</f>
        <v>Vale S.A.  100%</v>
      </c>
      <c r="H362" s="9">
        <f>[1]!SNLData("243327", C362, "OWNER_SNL_INSTN_KEY", "Owner 1")</f>
        <v>4223919</v>
      </c>
      <c r="I362" s="9" t="str">
        <f>[1]!SNLData("243327", C362, "OWNER_SNL_INSTN_KEY", "Owner 2")</f>
        <v>NA</v>
      </c>
      <c r="J362" s="12" t="str">
        <f>_xll.SNL.Clients.Office.Excel.Functions.SPG(H362, "SP_ULT_PARENT_COMPANY_NAME")</f>
        <v/>
      </c>
      <c r="K362" s="12" t="str">
        <f>_xll.SNL.Clients.Office.Excel.Functions.SPG(H362, "SP_ULT_PARENT_COUNTRY")</f>
        <v/>
      </c>
      <c r="L362" s="12" t="str">
        <f>_xll.SNL.Clients.Office.Excel.Functions.SPG(H362, "SP_PARENT_COMPANY_NAME")</f>
        <v/>
      </c>
      <c r="M362" s="12" t="str">
        <f>_xll.SNL.Clients.Office.Excel.Functions.SPG(H362, "SP_PARENT_COUNTRY")</f>
        <v/>
      </c>
      <c r="N362" s="12" t="str">
        <f>_xll.SNL.Clients.Office.Excel.Functions.SPG(H362, "SP_COUNTRY_NAME")</f>
        <v>Brazil</v>
      </c>
      <c r="O362" s="12" t="str">
        <f>_xll.SNL.Clients.Office.Excel.Functions.SPG(I362, "SP_ULT_PARENT_COMPANY_NAME")</f>
        <v/>
      </c>
      <c r="P362" s="12" t="str">
        <f>_xll.SNL.Clients.Office.Excel.Functions.SPG(I362, "SP_ULT_PARENT_COUNTRY")</f>
        <v/>
      </c>
      <c r="Q362" s="12" t="str">
        <f>_xll.SNL.Clients.Office.Excel.Functions.SPG(I362, "SP_PARENT_COMPANY_NAME")</f>
        <v/>
      </c>
      <c r="R362" s="12" t="str">
        <f>_xll.SNL.Clients.Office.Excel.Functions.SPG(I362, "SP_PARENT_COUNTRY")</f>
        <v/>
      </c>
      <c r="S362" s="12" t="str">
        <f>_xll.SNL.Clients.Office.Excel.Functions.SPG(I362, "SP_COUNTRY_NAME")</f>
        <v>China</v>
      </c>
    </row>
    <row r="363" spans="1:19" ht="29" x14ac:dyDescent="0.35">
      <c r="A363" s="5">
        <v>46022</v>
      </c>
      <c r="B363" s="4" t="s">
        <v>446</v>
      </c>
      <c r="C363" s="4" t="s">
        <v>447</v>
      </c>
      <c r="D363" s="4" t="s">
        <v>351</v>
      </c>
      <c r="E363" s="8">
        <v>4350708</v>
      </c>
      <c r="F363" s="7">
        <v>34</v>
      </c>
      <c r="G363" s="12" t="str">
        <f>[1]!SNLData("243327", C363, "OWNER_LIST")</f>
        <v>Rio Tinto Group (Venturer) 66%; Mongolia (Venturer) 34%</v>
      </c>
      <c r="H363" s="9">
        <f>[1]!SNLData("243327", C363, "OWNER_SNL_INSTN_KEY", "Owner 1")</f>
        <v>4149660</v>
      </c>
      <c r="I363" s="9">
        <f>[1]!SNLData("243327", C363, "OWNER_SNL_INSTN_KEY", "Owner 2")</f>
        <v>4350708</v>
      </c>
      <c r="J363" s="12" t="str">
        <f>_xll.SNL.Clients.Office.Excel.Functions.SPG(H363, "SP_ULT_PARENT_COMPANY_NAME")</f>
        <v/>
      </c>
      <c r="K363" s="12" t="str">
        <f>_xll.SNL.Clients.Office.Excel.Functions.SPG(H363, "SP_ULT_PARENT_COUNTRY")</f>
        <v/>
      </c>
      <c r="L363" s="12" t="str">
        <f>_xll.SNL.Clients.Office.Excel.Functions.SPG(H363, "SP_PARENT_COMPANY_NAME")</f>
        <v/>
      </c>
      <c r="M363" s="12" t="str">
        <f>_xll.SNL.Clients.Office.Excel.Functions.SPG(H363, "SP_PARENT_COUNTRY")</f>
        <v/>
      </c>
      <c r="N363" s="12" t="str">
        <f>_xll.SNL.Clients.Office.Excel.Functions.SPG(H363, "SP_COUNTRY_NAME")</f>
        <v>United Kingdom</v>
      </c>
      <c r="O363" s="12" t="str">
        <f>_xll.SNL.Clients.Office.Excel.Functions.SPG(I363, "SP_ULT_PARENT_COMPANY_NAME")</f>
        <v/>
      </c>
      <c r="P363" s="12" t="str">
        <f>_xll.SNL.Clients.Office.Excel.Functions.SPG(I363, "SP_ULT_PARENT_COUNTRY")</f>
        <v/>
      </c>
      <c r="Q363" s="12" t="str">
        <f>_xll.SNL.Clients.Office.Excel.Functions.SPG(I363, "SP_PARENT_COMPANY_NAME")</f>
        <v/>
      </c>
      <c r="R363" s="12" t="str">
        <f>_xll.SNL.Clients.Office.Excel.Functions.SPG(I363, "SP_PARENT_COUNTRY")</f>
        <v/>
      </c>
      <c r="S363" s="12" t="str">
        <f>_xll.SNL.Clients.Office.Excel.Functions.SPG(I363, "SP_COUNTRY_NAME")</f>
        <v>Mongolia</v>
      </c>
    </row>
    <row r="364" spans="1:19" ht="29" x14ac:dyDescent="0.35">
      <c r="A364" s="5">
        <v>46022</v>
      </c>
      <c r="B364" s="4" t="s">
        <v>446</v>
      </c>
      <c r="C364" s="4" t="s">
        <v>447</v>
      </c>
      <c r="D364" s="4" t="s">
        <v>971</v>
      </c>
      <c r="E364" s="8">
        <v>4149660</v>
      </c>
      <c r="F364" s="7">
        <v>66</v>
      </c>
      <c r="G364" s="12" t="str">
        <f>[1]!SNLData("243327", C364, "OWNER_LIST")</f>
        <v>Rio Tinto Group (Venturer) 66%; Mongolia (Venturer) 34%</v>
      </c>
      <c r="H364" s="9">
        <f>[1]!SNLData("243327", C364, "OWNER_SNL_INSTN_KEY", "Owner 1")</f>
        <v>4149660</v>
      </c>
      <c r="I364" s="9">
        <f>[1]!SNLData("243327", C364, "OWNER_SNL_INSTN_KEY", "Owner 2")</f>
        <v>4350708</v>
      </c>
      <c r="J364" s="12" t="str">
        <f>_xll.SNL.Clients.Office.Excel.Functions.SPG(H364, "SP_ULT_PARENT_COMPANY_NAME")</f>
        <v/>
      </c>
      <c r="K364" s="12" t="str">
        <f>_xll.SNL.Clients.Office.Excel.Functions.SPG(H364, "SP_ULT_PARENT_COUNTRY")</f>
        <v/>
      </c>
      <c r="L364" s="12" t="str">
        <f>_xll.SNL.Clients.Office.Excel.Functions.SPG(H364, "SP_PARENT_COMPANY_NAME")</f>
        <v/>
      </c>
      <c r="M364" s="12" t="str">
        <f>_xll.SNL.Clients.Office.Excel.Functions.SPG(H364, "SP_PARENT_COUNTRY")</f>
        <v/>
      </c>
      <c r="N364" s="12" t="str">
        <f>_xll.SNL.Clients.Office.Excel.Functions.SPG(H364, "SP_COUNTRY_NAME")</f>
        <v>United Kingdom</v>
      </c>
      <c r="O364" s="12" t="str">
        <f>_xll.SNL.Clients.Office.Excel.Functions.SPG(I364, "SP_ULT_PARENT_COMPANY_NAME")</f>
        <v/>
      </c>
      <c r="P364" s="12" t="str">
        <f>_xll.SNL.Clients.Office.Excel.Functions.SPG(I364, "SP_ULT_PARENT_COUNTRY")</f>
        <v/>
      </c>
      <c r="Q364" s="12" t="str">
        <f>_xll.SNL.Clients.Office.Excel.Functions.SPG(I364, "SP_PARENT_COMPANY_NAME")</f>
        <v/>
      </c>
      <c r="R364" s="12" t="str">
        <f>_xll.SNL.Clients.Office.Excel.Functions.SPG(I364, "SP_PARENT_COUNTRY")</f>
        <v/>
      </c>
      <c r="S364" s="12" t="str">
        <f>_xll.SNL.Clients.Office.Excel.Functions.SPG(I364, "SP_COUNTRY_NAME")</f>
        <v>Mongolia</v>
      </c>
    </row>
    <row r="365" spans="1:19" x14ac:dyDescent="0.35">
      <c r="A365" s="5">
        <v>46022</v>
      </c>
      <c r="B365" s="4" t="s">
        <v>791</v>
      </c>
      <c r="C365" s="4" t="s">
        <v>792</v>
      </c>
      <c r="D365" s="4" t="s">
        <v>1109</v>
      </c>
      <c r="E365" s="8">
        <v>4353322</v>
      </c>
      <c r="F365" s="7">
        <v>100</v>
      </c>
      <c r="G365" s="12" t="str">
        <f>[1]!SNLData("243327", C365, "OWNER_LIST")</f>
        <v>Philex Mining Corporation  100%</v>
      </c>
      <c r="H365" s="9">
        <f>[1]!SNLData("243327", C365, "OWNER_SNL_INSTN_KEY", "Owner 1")</f>
        <v>4353322</v>
      </c>
      <c r="I365" s="9" t="str">
        <f>[1]!SNLData("243327", C365, "OWNER_SNL_INSTN_KEY", "Owner 2")</f>
        <v>NA</v>
      </c>
      <c r="J365" s="12" t="str">
        <f>_xll.SNL.Clients.Office.Excel.Functions.SPG(H365, "SP_ULT_PARENT_COMPANY_NAME")</f>
        <v/>
      </c>
      <c r="K365" s="12" t="str">
        <f>_xll.SNL.Clients.Office.Excel.Functions.SPG(H365, "SP_ULT_PARENT_COUNTRY")</f>
        <v/>
      </c>
      <c r="L365" s="12" t="str">
        <f>_xll.SNL.Clients.Office.Excel.Functions.SPG(H365, "SP_PARENT_COMPANY_NAME")</f>
        <v/>
      </c>
      <c r="M365" s="12" t="str">
        <f>_xll.SNL.Clients.Office.Excel.Functions.SPG(H365, "SP_PARENT_COUNTRY")</f>
        <v/>
      </c>
      <c r="N365" s="12" t="str">
        <f>_xll.SNL.Clients.Office.Excel.Functions.SPG(H365, "SP_COUNTRY_NAME")</f>
        <v>Philippines</v>
      </c>
      <c r="O365" s="12" t="str">
        <f>_xll.SNL.Clients.Office.Excel.Functions.SPG(I365, "SP_ULT_PARENT_COMPANY_NAME")</f>
        <v/>
      </c>
      <c r="P365" s="12" t="str">
        <f>_xll.SNL.Clients.Office.Excel.Functions.SPG(I365, "SP_ULT_PARENT_COUNTRY")</f>
        <v/>
      </c>
      <c r="Q365" s="12" t="str">
        <f>_xll.SNL.Clients.Office.Excel.Functions.SPG(I365, "SP_PARENT_COMPANY_NAME")</f>
        <v/>
      </c>
      <c r="R365" s="12" t="str">
        <f>_xll.SNL.Clients.Office.Excel.Functions.SPG(I365, "SP_PARENT_COUNTRY")</f>
        <v/>
      </c>
      <c r="S365" s="12" t="str">
        <f>_xll.SNL.Clients.Office.Excel.Functions.SPG(I365, "SP_COUNTRY_NAME")</f>
        <v>China</v>
      </c>
    </row>
    <row r="366" spans="1:19" ht="116" x14ac:dyDescent="0.35">
      <c r="A366" s="5">
        <v>46022</v>
      </c>
      <c r="B366" s="4" t="s">
        <v>613</v>
      </c>
      <c r="C366" s="4" t="s">
        <v>614</v>
      </c>
      <c r="D366" s="4" t="s">
        <v>1110</v>
      </c>
      <c r="E366" s="8">
        <v>4314058</v>
      </c>
      <c r="F366" s="7">
        <v>5</v>
      </c>
      <c r="G366" s="12" t="str">
        <f>[1]!SNLData("243327", C366, "OWNER_LIST")</f>
        <v>China-Africa Development Fund (Venturer) 5%; General Nice Development Limited (Venturer) 20%; The Industrial Development Corporation of South Africa Limited (Venturer) 20%; HBIS Group Company Limited (Venturer) 35%; Tewoo Group Co., Ltd. (Venturer) 20%</v>
      </c>
      <c r="H366" s="9">
        <f>[1]!SNLData("243327", C366, "OWNER_SNL_INSTN_KEY", "Owner 1")</f>
        <v>4567463</v>
      </c>
      <c r="I366" s="9">
        <f>[1]!SNLData("243327", C366, "OWNER_SNL_INSTN_KEY", "Owner 2")</f>
        <v>4281822</v>
      </c>
      <c r="J366" s="12" t="str">
        <f>_xll.SNL.Clients.Office.Excel.Functions.SPG(H366, "SP_ULT_PARENT_COMPANY_NAME")</f>
        <v>State-owned Assets Supervision and Administration Commission of Hebei Province</v>
      </c>
      <c r="K366" s="12" t="str">
        <f>_xll.SNL.Clients.Office.Excel.Functions.SPG(H366, "SP_ULT_PARENT_COUNTRY")</f>
        <v>China</v>
      </c>
      <c r="L366" s="12" t="str">
        <f>_xll.SNL.Clients.Office.Excel.Functions.SPG(H366, "SP_PARENT_COMPANY_NAME")</f>
        <v>State-owned Assets Supervision and Administration Commission of Hebei Province</v>
      </c>
      <c r="M366" s="12" t="str">
        <f>_xll.SNL.Clients.Office.Excel.Functions.SPG(H366, "SP_PARENT_COUNTRY")</f>
        <v>China</v>
      </c>
      <c r="N366" s="12" t="str">
        <f>_xll.SNL.Clients.Office.Excel.Functions.SPG(H366, "SP_COUNTRY_NAME")</f>
        <v>China</v>
      </c>
      <c r="O366" s="12" t="str">
        <f>_xll.SNL.Clients.Office.Excel.Functions.SPG(I366, "SP_ULT_PARENT_COMPANY_NAME")</f>
        <v/>
      </c>
      <c r="P366" s="12" t="str">
        <f>_xll.SNL.Clients.Office.Excel.Functions.SPG(I366, "SP_ULT_PARENT_COUNTRY")</f>
        <v/>
      </c>
      <c r="Q366" s="12" t="str">
        <f>_xll.SNL.Clients.Office.Excel.Functions.SPG(I366, "SP_PARENT_COMPANY_NAME")</f>
        <v/>
      </c>
      <c r="R366" s="12" t="str">
        <f>_xll.SNL.Clients.Office.Excel.Functions.SPG(I366, "SP_PARENT_COUNTRY")</f>
        <v/>
      </c>
      <c r="S366" s="12" t="str">
        <f>_xll.SNL.Clients.Office.Excel.Functions.SPG(I366, "SP_COUNTRY_NAME")</f>
        <v>South Africa</v>
      </c>
    </row>
    <row r="367" spans="1:19" ht="116" x14ac:dyDescent="0.35">
      <c r="A367" s="5">
        <v>46022</v>
      </c>
      <c r="B367" s="4" t="s">
        <v>613</v>
      </c>
      <c r="C367" s="4" t="s">
        <v>614</v>
      </c>
      <c r="D367" s="4" t="s">
        <v>1111</v>
      </c>
      <c r="E367" s="8">
        <v>4528240</v>
      </c>
      <c r="F367" s="7">
        <v>20</v>
      </c>
      <c r="G367" s="12" t="str">
        <f>[1]!SNLData("243327", C367, "OWNER_LIST")</f>
        <v>China-Africa Development Fund (Venturer) 5%; General Nice Development Limited (Venturer) 20%; The Industrial Development Corporation of South Africa Limited (Venturer) 20%; HBIS Group Company Limited (Venturer) 35%; Tewoo Group Co., Ltd. (Venturer) 20%</v>
      </c>
      <c r="H367" s="9">
        <f>[1]!SNLData("243327", C367, "OWNER_SNL_INSTN_KEY", "Owner 1")</f>
        <v>4567463</v>
      </c>
      <c r="I367" s="9">
        <f>[1]!SNLData("243327", C367, "OWNER_SNL_INSTN_KEY", "Owner 2")</f>
        <v>4281822</v>
      </c>
      <c r="J367" s="12" t="str">
        <f>_xll.SNL.Clients.Office.Excel.Functions.SPG(H367, "SP_ULT_PARENT_COMPANY_NAME")</f>
        <v>State-owned Assets Supervision and Administration Commission of Hebei Province</v>
      </c>
      <c r="K367" s="12" t="str">
        <f>_xll.SNL.Clients.Office.Excel.Functions.SPG(H367, "SP_ULT_PARENT_COUNTRY")</f>
        <v>China</v>
      </c>
      <c r="L367" s="12" t="str">
        <f>_xll.SNL.Clients.Office.Excel.Functions.SPG(H367, "SP_PARENT_COMPANY_NAME")</f>
        <v>State-owned Assets Supervision and Administration Commission of Hebei Province</v>
      </c>
      <c r="M367" s="12" t="str">
        <f>_xll.SNL.Clients.Office.Excel.Functions.SPG(H367, "SP_PARENT_COUNTRY")</f>
        <v>China</v>
      </c>
      <c r="N367" s="12" t="str">
        <f>_xll.SNL.Clients.Office.Excel.Functions.SPG(H367, "SP_COUNTRY_NAME")</f>
        <v>China</v>
      </c>
      <c r="O367" s="12" t="str">
        <f>_xll.SNL.Clients.Office.Excel.Functions.SPG(I367, "SP_ULT_PARENT_COMPANY_NAME")</f>
        <v/>
      </c>
      <c r="P367" s="12" t="str">
        <f>_xll.SNL.Clients.Office.Excel.Functions.SPG(I367, "SP_ULT_PARENT_COUNTRY")</f>
        <v/>
      </c>
      <c r="Q367" s="12" t="str">
        <f>_xll.SNL.Clients.Office.Excel.Functions.SPG(I367, "SP_PARENT_COMPANY_NAME")</f>
        <v/>
      </c>
      <c r="R367" s="12" t="str">
        <f>_xll.SNL.Clients.Office.Excel.Functions.SPG(I367, "SP_PARENT_COUNTRY")</f>
        <v/>
      </c>
      <c r="S367" s="12" t="str">
        <f>_xll.SNL.Clients.Office.Excel.Functions.SPG(I367, "SP_COUNTRY_NAME")</f>
        <v>South Africa</v>
      </c>
    </row>
    <row r="368" spans="1:19" ht="116" x14ac:dyDescent="0.35">
      <c r="A368" s="5">
        <v>46022</v>
      </c>
      <c r="B368" s="4" t="s">
        <v>613</v>
      </c>
      <c r="C368" s="4" t="s">
        <v>614</v>
      </c>
      <c r="D368" s="4" t="s">
        <v>1112</v>
      </c>
      <c r="E368" s="8">
        <v>4567463</v>
      </c>
      <c r="F368" s="7">
        <v>35</v>
      </c>
      <c r="G368" s="12" t="str">
        <f>[1]!SNLData("243327", C368, "OWNER_LIST")</f>
        <v>China-Africa Development Fund (Venturer) 5%; General Nice Development Limited (Venturer) 20%; The Industrial Development Corporation of South Africa Limited (Venturer) 20%; HBIS Group Company Limited (Venturer) 35%; Tewoo Group Co., Ltd. (Venturer) 20%</v>
      </c>
      <c r="H368" s="9">
        <f>[1]!SNLData("243327", C368, "OWNER_SNL_INSTN_KEY", "Owner 1")</f>
        <v>4567463</v>
      </c>
      <c r="I368" s="9">
        <f>[1]!SNLData("243327", C368, "OWNER_SNL_INSTN_KEY", "Owner 2")</f>
        <v>4281822</v>
      </c>
      <c r="J368" s="12" t="str">
        <f>_xll.SNL.Clients.Office.Excel.Functions.SPG(H368, "SP_ULT_PARENT_COMPANY_NAME")</f>
        <v>State-owned Assets Supervision and Administration Commission of Hebei Province</v>
      </c>
      <c r="K368" s="12" t="str">
        <f>_xll.SNL.Clients.Office.Excel.Functions.SPG(H368, "SP_ULT_PARENT_COUNTRY")</f>
        <v>China</v>
      </c>
      <c r="L368" s="12" t="str">
        <f>_xll.SNL.Clients.Office.Excel.Functions.SPG(H368, "SP_PARENT_COMPANY_NAME")</f>
        <v>State-owned Assets Supervision and Administration Commission of Hebei Province</v>
      </c>
      <c r="M368" s="12" t="str">
        <f>_xll.SNL.Clients.Office.Excel.Functions.SPG(H368, "SP_PARENT_COUNTRY")</f>
        <v>China</v>
      </c>
      <c r="N368" s="12" t="str">
        <f>_xll.SNL.Clients.Office.Excel.Functions.SPG(H368, "SP_COUNTRY_NAME")</f>
        <v>China</v>
      </c>
      <c r="O368" s="12" t="str">
        <f>_xll.SNL.Clients.Office.Excel.Functions.SPG(I368, "SP_ULT_PARENT_COMPANY_NAME")</f>
        <v/>
      </c>
      <c r="P368" s="12" t="str">
        <f>_xll.SNL.Clients.Office.Excel.Functions.SPG(I368, "SP_ULT_PARENT_COUNTRY")</f>
        <v/>
      </c>
      <c r="Q368" s="12" t="str">
        <f>_xll.SNL.Clients.Office.Excel.Functions.SPG(I368, "SP_PARENT_COMPANY_NAME")</f>
        <v/>
      </c>
      <c r="R368" s="12" t="str">
        <f>_xll.SNL.Clients.Office.Excel.Functions.SPG(I368, "SP_PARENT_COUNTRY")</f>
        <v/>
      </c>
      <c r="S368" s="12" t="str">
        <f>_xll.SNL.Clients.Office.Excel.Functions.SPG(I368, "SP_COUNTRY_NAME")</f>
        <v>South Africa</v>
      </c>
    </row>
    <row r="369" spans="1:19" ht="116" x14ac:dyDescent="0.35">
      <c r="A369" s="5">
        <v>46022</v>
      </c>
      <c r="B369" s="4" t="s">
        <v>613</v>
      </c>
      <c r="C369" s="4" t="s">
        <v>614</v>
      </c>
      <c r="D369" s="4" t="s">
        <v>1113</v>
      </c>
      <c r="E369" s="8">
        <v>4429101</v>
      </c>
      <c r="F369" s="7">
        <v>20</v>
      </c>
      <c r="G369" s="12" t="str">
        <f>[1]!SNLData("243327", C369, "OWNER_LIST")</f>
        <v>China-Africa Development Fund (Venturer) 5%; General Nice Development Limited (Venturer) 20%; The Industrial Development Corporation of South Africa Limited (Venturer) 20%; HBIS Group Company Limited (Venturer) 35%; Tewoo Group Co., Ltd. (Venturer) 20%</v>
      </c>
      <c r="H369" s="9">
        <f>[1]!SNLData("243327", C369, "OWNER_SNL_INSTN_KEY", "Owner 1")</f>
        <v>4567463</v>
      </c>
      <c r="I369" s="9">
        <f>[1]!SNLData("243327", C369, "OWNER_SNL_INSTN_KEY", "Owner 2")</f>
        <v>4281822</v>
      </c>
      <c r="J369" s="12" t="str">
        <f>_xll.SNL.Clients.Office.Excel.Functions.SPG(H369, "SP_ULT_PARENT_COMPANY_NAME")</f>
        <v>State-owned Assets Supervision and Administration Commission of Hebei Province</v>
      </c>
      <c r="K369" s="12" t="str">
        <f>_xll.SNL.Clients.Office.Excel.Functions.SPG(H369, "SP_ULT_PARENT_COUNTRY")</f>
        <v>China</v>
      </c>
      <c r="L369" s="12" t="str">
        <f>_xll.SNL.Clients.Office.Excel.Functions.SPG(H369, "SP_PARENT_COMPANY_NAME")</f>
        <v>State-owned Assets Supervision and Administration Commission of Hebei Province</v>
      </c>
      <c r="M369" s="12" t="str">
        <f>_xll.SNL.Clients.Office.Excel.Functions.SPG(H369, "SP_PARENT_COUNTRY")</f>
        <v>China</v>
      </c>
      <c r="N369" s="12" t="str">
        <f>_xll.SNL.Clients.Office.Excel.Functions.SPG(H369, "SP_COUNTRY_NAME")</f>
        <v>China</v>
      </c>
      <c r="O369" s="12" t="str">
        <f>_xll.SNL.Clients.Office.Excel.Functions.SPG(I369, "SP_ULT_PARENT_COMPANY_NAME")</f>
        <v/>
      </c>
      <c r="P369" s="12" t="str">
        <f>_xll.SNL.Clients.Office.Excel.Functions.SPG(I369, "SP_ULT_PARENT_COUNTRY")</f>
        <v/>
      </c>
      <c r="Q369" s="12" t="str">
        <f>_xll.SNL.Clients.Office.Excel.Functions.SPG(I369, "SP_PARENT_COMPANY_NAME")</f>
        <v/>
      </c>
      <c r="R369" s="12" t="str">
        <f>_xll.SNL.Clients.Office.Excel.Functions.SPG(I369, "SP_PARENT_COUNTRY")</f>
        <v/>
      </c>
      <c r="S369" s="12" t="str">
        <f>_xll.SNL.Clients.Office.Excel.Functions.SPG(I369, "SP_COUNTRY_NAME")</f>
        <v>South Africa</v>
      </c>
    </row>
    <row r="370" spans="1:19" ht="116" x14ac:dyDescent="0.35">
      <c r="A370" s="5">
        <v>46022</v>
      </c>
      <c r="B370" s="4" t="s">
        <v>613</v>
      </c>
      <c r="C370" s="4" t="s">
        <v>614</v>
      </c>
      <c r="D370" s="4" t="s">
        <v>1114</v>
      </c>
      <c r="E370" s="8">
        <v>4281822</v>
      </c>
      <c r="F370" s="7">
        <v>20</v>
      </c>
      <c r="G370" s="12" t="str">
        <f>[1]!SNLData("243327", C370, "OWNER_LIST")</f>
        <v>China-Africa Development Fund (Venturer) 5%; General Nice Development Limited (Venturer) 20%; The Industrial Development Corporation of South Africa Limited (Venturer) 20%; HBIS Group Company Limited (Venturer) 35%; Tewoo Group Co., Ltd. (Venturer) 20%</v>
      </c>
      <c r="H370" s="9">
        <f>[1]!SNLData("243327", C370, "OWNER_SNL_INSTN_KEY", "Owner 1")</f>
        <v>4567463</v>
      </c>
      <c r="I370" s="9">
        <f>[1]!SNLData("243327", C370, "OWNER_SNL_INSTN_KEY", "Owner 2")</f>
        <v>4281822</v>
      </c>
      <c r="J370" s="12" t="str">
        <f>_xll.SNL.Clients.Office.Excel.Functions.SPG(H370, "SP_ULT_PARENT_COMPANY_NAME")</f>
        <v>State-owned Assets Supervision and Administration Commission of Hebei Province</v>
      </c>
      <c r="K370" s="12" t="str">
        <f>_xll.SNL.Clients.Office.Excel.Functions.SPG(H370, "SP_ULT_PARENT_COUNTRY")</f>
        <v>China</v>
      </c>
      <c r="L370" s="12" t="str">
        <f>_xll.SNL.Clients.Office.Excel.Functions.SPG(H370, "SP_PARENT_COMPANY_NAME")</f>
        <v>State-owned Assets Supervision and Administration Commission of Hebei Province</v>
      </c>
      <c r="M370" s="12" t="str">
        <f>_xll.SNL.Clients.Office.Excel.Functions.SPG(H370, "SP_PARENT_COUNTRY")</f>
        <v>China</v>
      </c>
      <c r="N370" s="12" t="str">
        <f>_xll.SNL.Clients.Office.Excel.Functions.SPG(H370, "SP_COUNTRY_NAME")</f>
        <v>China</v>
      </c>
      <c r="O370" s="12" t="str">
        <f>_xll.SNL.Clients.Office.Excel.Functions.SPG(I370, "SP_ULT_PARENT_COMPANY_NAME")</f>
        <v/>
      </c>
      <c r="P370" s="12" t="str">
        <f>_xll.SNL.Clients.Office.Excel.Functions.SPG(I370, "SP_ULT_PARENT_COUNTRY")</f>
        <v/>
      </c>
      <c r="Q370" s="12" t="str">
        <f>_xll.SNL.Clients.Office.Excel.Functions.SPG(I370, "SP_PARENT_COMPANY_NAME")</f>
        <v/>
      </c>
      <c r="R370" s="12" t="str">
        <f>_xll.SNL.Clients.Office.Excel.Functions.SPG(I370, "SP_PARENT_COUNTRY")</f>
        <v/>
      </c>
      <c r="S370" s="12" t="str">
        <f>_xll.SNL.Clients.Office.Excel.Functions.SPG(I370, "SP_COUNTRY_NAME")</f>
        <v>South Africa</v>
      </c>
    </row>
    <row r="371" spans="1:19" ht="72.5" x14ac:dyDescent="0.35">
      <c r="A371" s="5">
        <v>46022</v>
      </c>
      <c r="B371" s="4" t="s">
        <v>448</v>
      </c>
      <c r="C371" s="4" t="s">
        <v>449</v>
      </c>
      <c r="D371" s="4" t="s">
        <v>1115</v>
      </c>
      <c r="E371" s="8">
        <v>6621126</v>
      </c>
      <c r="F371" s="7">
        <v>100</v>
      </c>
      <c r="G371" s="12" t="str">
        <f>[1]!SNLData("243327", C371, "OWNER_LIST")</f>
        <v>Assarel-Medet JSCo.  100%</v>
      </c>
      <c r="H371" s="9">
        <f>[1]!SNLData("243327", C371, "OWNER_SNL_INSTN_KEY", "Owner 1")</f>
        <v>6621126</v>
      </c>
      <c r="I371" s="9" t="str">
        <f>[1]!SNLData("243327", C371, "OWNER_SNL_INSTN_KEY", "Owner 2")</f>
        <v>NA</v>
      </c>
      <c r="J371" s="12" t="str">
        <f>_xll.SNL.Clients.Office.Excel.Functions.SPG(H371, "SP_ULT_PARENT_COMPANY_NAME")</f>
        <v>Tello Holding AG</v>
      </c>
      <c r="K371" s="12" t="str">
        <f>_xll.SNL.Clients.Office.Excel.Functions.SPG(H371, "SP_ULT_PARENT_COUNTRY")</f>
        <v>Switzerland</v>
      </c>
      <c r="L371" s="12" t="str">
        <f>_xll.SNL.Clients.Office.Excel.Functions.SPG(H371, "SP_PARENT_COMPANY_NAME")</f>
        <v>VA INTERTRADING Aktiengesellschaft</v>
      </c>
      <c r="M371" s="12" t="str">
        <f>_xll.SNL.Clients.Office.Excel.Functions.SPG(H371, "SP_PARENT_COUNTRY")</f>
        <v>Austria</v>
      </c>
      <c r="N371" s="12" t="str">
        <f>_xll.SNL.Clients.Office.Excel.Functions.SPG(H371, "SP_COUNTRY_NAME")</f>
        <v>Bulgaria</v>
      </c>
      <c r="O371" s="12" t="str">
        <f>_xll.SNL.Clients.Office.Excel.Functions.SPG(I371, "SP_ULT_PARENT_COMPANY_NAME")</f>
        <v/>
      </c>
      <c r="P371" s="12" t="str">
        <f>_xll.SNL.Clients.Office.Excel.Functions.SPG(I371, "SP_ULT_PARENT_COUNTRY")</f>
        <v/>
      </c>
      <c r="Q371" s="12" t="str">
        <f>_xll.SNL.Clients.Office.Excel.Functions.SPG(I371, "SP_PARENT_COMPANY_NAME")</f>
        <v/>
      </c>
      <c r="R371" s="12" t="str">
        <f>_xll.SNL.Clients.Office.Excel.Functions.SPG(I371, "SP_PARENT_COUNTRY")</f>
        <v/>
      </c>
      <c r="S371" s="12" t="str">
        <f>_xll.SNL.Clients.Office.Excel.Functions.SPG(I371, "SP_COUNTRY_NAME")</f>
        <v>China</v>
      </c>
    </row>
    <row r="372" spans="1:19" ht="72.5" x14ac:dyDescent="0.35">
      <c r="A372" s="5">
        <v>46022</v>
      </c>
      <c r="B372" s="4" t="s">
        <v>450</v>
      </c>
      <c r="C372" s="4" t="s">
        <v>451</v>
      </c>
      <c r="D372" s="4" t="s">
        <v>1115</v>
      </c>
      <c r="E372" s="8">
        <v>6621126</v>
      </c>
      <c r="F372" s="7">
        <v>100</v>
      </c>
      <c r="G372" s="12" t="str">
        <f>[1]!SNLData("243327", C372, "OWNER_LIST")</f>
        <v>Assarel-Medet JSCo.  100%</v>
      </c>
      <c r="H372" s="9">
        <f>[1]!SNLData("243327", C372, "OWNER_SNL_INSTN_KEY", "Owner 1")</f>
        <v>6621126</v>
      </c>
      <c r="I372" s="9" t="str">
        <f>[1]!SNLData("243327", C372, "OWNER_SNL_INSTN_KEY", "Owner 2")</f>
        <v>NA</v>
      </c>
      <c r="J372" s="12" t="str">
        <f>_xll.SNL.Clients.Office.Excel.Functions.SPG(H372, "SP_ULT_PARENT_COMPANY_NAME")</f>
        <v>Tello Holding AG</v>
      </c>
      <c r="K372" s="12" t="str">
        <f>_xll.SNL.Clients.Office.Excel.Functions.SPG(H372, "SP_ULT_PARENT_COUNTRY")</f>
        <v>Switzerland</v>
      </c>
      <c r="L372" s="12" t="str">
        <f>_xll.SNL.Clients.Office.Excel.Functions.SPG(H372, "SP_PARENT_COMPANY_NAME")</f>
        <v>VA INTERTRADING Aktiengesellschaft</v>
      </c>
      <c r="M372" s="12" t="str">
        <f>_xll.SNL.Clients.Office.Excel.Functions.SPG(H372, "SP_PARENT_COUNTRY")</f>
        <v>Austria</v>
      </c>
      <c r="N372" s="12" t="str">
        <f>_xll.SNL.Clients.Office.Excel.Functions.SPG(H372, "SP_COUNTRY_NAME")</f>
        <v>Bulgaria</v>
      </c>
      <c r="O372" s="12" t="str">
        <f>_xll.SNL.Clients.Office.Excel.Functions.SPG(I372, "SP_ULT_PARENT_COMPANY_NAME")</f>
        <v/>
      </c>
      <c r="P372" s="12" t="str">
        <f>_xll.SNL.Clients.Office.Excel.Functions.SPG(I372, "SP_ULT_PARENT_COUNTRY")</f>
        <v/>
      </c>
      <c r="Q372" s="12" t="str">
        <f>_xll.SNL.Clients.Office.Excel.Functions.SPG(I372, "SP_PARENT_COMPANY_NAME")</f>
        <v/>
      </c>
      <c r="R372" s="12" t="str">
        <f>_xll.SNL.Clients.Office.Excel.Functions.SPG(I372, "SP_PARENT_COUNTRY")</f>
        <v/>
      </c>
      <c r="S372" s="12" t="str">
        <f>_xll.SNL.Clients.Office.Excel.Functions.SPG(I372, "SP_COUNTRY_NAME")</f>
        <v>China</v>
      </c>
    </row>
    <row r="373" spans="1:19" ht="29" x14ac:dyDescent="0.35">
      <c r="A373" s="5">
        <v>46022</v>
      </c>
      <c r="B373" s="4" t="s">
        <v>452</v>
      </c>
      <c r="C373" s="4" t="s">
        <v>453</v>
      </c>
      <c r="D373" s="4" t="s">
        <v>1116</v>
      </c>
      <c r="E373" s="8">
        <v>4355535</v>
      </c>
      <c r="F373" s="7">
        <v>100</v>
      </c>
      <c r="G373" s="12" t="str">
        <f>[1]!SNLData("243327", C373, "OWNER_LIST")</f>
        <v>Aurelia Metals Limited  100%; Lydail Pty Ltd. (Fractional) %; Zintoba Pty Ltd. (Fractional) %</v>
      </c>
      <c r="H373" s="9">
        <f>[1]!SNLData("243327", C373, "OWNER_SNL_INSTN_KEY", "Owner 1")</f>
        <v>4355535</v>
      </c>
      <c r="I373" s="9">
        <f>[1]!SNLData("243327", C373, "OWNER_SNL_INSTN_KEY", "Owner 2")</f>
        <v>4442585</v>
      </c>
      <c r="J373" s="12" t="str">
        <f>_xll.SNL.Clients.Office.Excel.Functions.SPG(H373, "SP_ULT_PARENT_COMPANY_NAME")</f>
        <v/>
      </c>
      <c r="K373" s="12" t="str">
        <f>_xll.SNL.Clients.Office.Excel.Functions.SPG(H373, "SP_ULT_PARENT_COUNTRY")</f>
        <v/>
      </c>
      <c r="L373" s="12" t="str">
        <f>_xll.SNL.Clients.Office.Excel.Functions.SPG(H373, "SP_PARENT_COMPANY_NAME")</f>
        <v/>
      </c>
      <c r="M373" s="12" t="str">
        <f>_xll.SNL.Clients.Office.Excel.Functions.SPG(H373, "SP_PARENT_COUNTRY")</f>
        <v/>
      </c>
      <c r="N373" s="12" t="str">
        <f>_xll.SNL.Clients.Office.Excel.Functions.SPG(H373, "SP_COUNTRY_NAME")</f>
        <v>Australia</v>
      </c>
      <c r="O373" s="12" t="str">
        <f>_xll.SNL.Clients.Office.Excel.Functions.SPG(I373, "SP_ULT_PARENT_COMPANY_NAME")</f>
        <v/>
      </c>
      <c r="P373" s="12" t="str">
        <f>_xll.SNL.Clients.Office.Excel.Functions.SPG(I373, "SP_ULT_PARENT_COUNTRY")</f>
        <v/>
      </c>
      <c r="Q373" s="12" t="str">
        <f>_xll.SNL.Clients.Office.Excel.Functions.SPG(I373, "SP_PARENT_COMPANY_NAME")</f>
        <v/>
      </c>
      <c r="R373" s="12" t="str">
        <f>_xll.SNL.Clients.Office.Excel.Functions.SPG(I373, "SP_PARENT_COUNTRY")</f>
        <v/>
      </c>
      <c r="S373" s="12" t="str">
        <f>_xll.SNL.Clients.Office.Excel.Functions.SPG(I373, "SP_COUNTRY_NAME")</f>
        <v>Australia</v>
      </c>
    </row>
    <row r="374" spans="1:19" x14ac:dyDescent="0.35">
      <c r="A374" s="5">
        <v>46022</v>
      </c>
      <c r="B374" s="4" t="s">
        <v>405</v>
      </c>
      <c r="C374" s="4" t="s">
        <v>406</v>
      </c>
      <c r="D374" s="4" t="s">
        <v>407</v>
      </c>
      <c r="E374" s="8">
        <v>4350701</v>
      </c>
      <c r="F374" s="7">
        <v>10</v>
      </c>
      <c r="G374" s="12" t="str">
        <f>[1]!SNLData("243327", C374, "OWNER_LIST")</f>
        <v>Laos (Carried) 10%; PanAust Limited  90%</v>
      </c>
      <c r="H374" s="9">
        <f>[1]!SNLData("243327", C374, "OWNER_SNL_INSTN_KEY", "Owner 1")</f>
        <v>4353207</v>
      </c>
      <c r="I374" s="9">
        <f>[1]!SNLData("243327", C374, "OWNER_SNL_INSTN_KEY", "Owner 2")</f>
        <v>4350701</v>
      </c>
      <c r="J374" s="12" t="str">
        <f>_xll.SNL.Clients.Office.Excel.Functions.SPG(H374, "SP_ULT_PARENT_COMPANY_NAME")</f>
        <v/>
      </c>
      <c r="K374" s="12" t="str">
        <f>_xll.SNL.Clients.Office.Excel.Functions.SPG(H374, "SP_ULT_PARENT_COUNTRY")</f>
        <v/>
      </c>
      <c r="L374" s="12" t="str">
        <f>_xll.SNL.Clients.Office.Excel.Functions.SPG(H374, "SP_PARENT_COMPANY_NAME")</f>
        <v/>
      </c>
      <c r="M374" s="12" t="str">
        <f>_xll.SNL.Clients.Office.Excel.Functions.SPG(H374, "SP_PARENT_COUNTRY")</f>
        <v/>
      </c>
      <c r="N374" s="12" t="str">
        <f>_xll.SNL.Clients.Office.Excel.Functions.SPG(H374, "SP_COUNTRY_NAME")</f>
        <v>Australia</v>
      </c>
      <c r="O374" s="12" t="str">
        <f>_xll.SNL.Clients.Office.Excel.Functions.SPG(I374, "SP_ULT_PARENT_COMPANY_NAME")</f>
        <v/>
      </c>
      <c r="P374" s="12" t="str">
        <f>_xll.SNL.Clients.Office.Excel.Functions.SPG(I374, "SP_ULT_PARENT_COUNTRY")</f>
        <v/>
      </c>
      <c r="Q374" s="12" t="str">
        <f>_xll.SNL.Clients.Office.Excel.Functions.SPG(I374, "SP_PARENT_COMPANY_NAME")</f>
        <v/>
      </c>
      <c r="R374" s="12" t="str">
        <f>_xll.SNL.Clients.Office.Excel.Functions.SPG(I374, "SP_PARENT_COUNTRY")</f>
        <v/>
      </c>
      <c r="S374" s="12" t="str">
        <f>_xll.SNL.Clients.Office.Excel.Functions.SPG(I374, "SP_COUNTRY_NAME")</f>
        <v>Laos</v>
      </c>
    </row>
    <row r="375" spans="1:19" x14ac:dyDescent="0.35">
      <c r="A375" s="5">
        <v>46022</v>
      </c>
      <c r="B375" s="4" t="s">
        <v>405</v>
      </c>
      <c r="C375" s="4" t="s">
        <v>406</v>
      </c>
      <c r="D375" s="4" t="s">
        <v>1117</v>
      </c>
      <c r="E375" s="8">
        <v>4353207</v>
      </c>
      <c r="F375" s="7">
        <v>90</v>
      </c>
      <c r="G375" s="12" t="str">
        <f>[1]!SNLData("243327", C375, "OWNER_LIST")</f>
        <v>Laos (Carried) 10%; PanAust Limited  90%</v>
      </c>
      <c r="H375" s="9">
        <f>[1]!SNLData("243327", C375, "OWNER_SNL_INSTN_KEY", "Owner 1")</f>
        <v>4353207</v>
      </c>
      <c r="I375" s="9">
        <f>[1]!SNLData("243327", C375, "OWNER_SNL_INSTN_KEY", "Owner 2")</f>
        <v>4350701</v>
      </c>
      <c r="J375" s="12" t="str">
        <f>_xll.SNL.Clients.Office.Excel.Functions.SPG(H375, "SP_ULT_PARENT_COMPANY_NAME")</f>
        <v/>
      </c>
      <c r="K375" s="12" t="str">
        <f>_xll.SNL.Clients.Office.Excel.Functions.SPG(H375, "SP_ULT_PARENT_COUNTRY")</f>
        <v/>
      </c>
      <c r="L375" s="12" t="str">
        <f>_xll.SNL.Clients.Office.Excel.Functions.SPG(H375, "SP_PARENT_COMPANY_NAME")</f>
        <v/>
      </c>
      <c r="M375" s="12" t="str">
        <f>_xll.SNL.Clients.Office.Excel.Functions.SPG(H375, "SP_PARENT_COUNTRY")</f>
        <v/>
      </c>
      <c r="N375" s="12" t="str">
        <f>_xll.SNL.Clients.Office.Excel.Functions.SPG(H375, "SP_COUNTRY_NAME")</f>
        <v>Australia</v>
      </c>
      <c r="O375" s="12" t="str">
        <f>_xll.SNL.Clients.Office.Excel.Functions.SPG(I375, "SP_ULT_PARENT_COMPANY_NAME")</f>
        <v/>
      </c>
      <c r="P375" s="12" t="str">
        <f>_xll.SNL.Clients.Office.Excel.Functions.SPG(I375, "SP_ULT_PARENT_COUNTRY")</f>
        <v/>
      </c>
      <c r="Q375" s="12" t="str">
        <f>_xll.SNL.Clients.Office.Excel.Functions.SPG(I375, "SP_PARENT_COMPANY_NAME")</f>
        <v/>
      </c>
      <c r="R375" s="12" t="str">
        <f>_xll.SNL.Clients.Office.Excel.Functions.SPG(I375, "SP_PARENT_COUNTRY")</f>
        <v/>
      </c>
      <c r="S375" s="12" t="str">
        <f>_xll.SNL.Clients.Office.Excel.Functions.SPG(I375, "SP_COUNTRY_NAME")</f>
        <v>Laos</v>
      </c>
    </row>
    <row r="376" spans="1:19" x14ac:dyDescent="0.35">
      <c r="A376" s="5">
        <v>46022</v>
      </c>
      <c r="B376" s="4" t="s">
        <v>454</v>
      </c>
      <c r="C376" s="4" t="s">
        <v>455</v>
      </c>
      <c r="D376" s="4" t="s">
        <v>1118</v>
      </c>
      <c r="E376" s="8">
        <v>4353382</v>
      </c>
      <c r="F376" s="7">
        <v>100</v>
      </c>
      <c r="G376" s="12" t="str">
        <f>[1]!SNLData("243327", C376, "OWNER_LIST")</f>
        <v>Sedibelo Resources Limited  100%</v>
      </c>
      <c r="H376" s="9">
        <f>[1]!SNLData("243327", C376, "OWNER_SNL_INSTN_KEY", "Owner 1")</f>
        <v>4353382</v>
      </c>
      <c r="I376" s="9" t="str">
        <f>[1]!SNLData("243327", C376, "OWNER_SNL_INSTN_KEY", "Owner 2")</f>
        <v>NA</v>
      </c>
      <c r="J376" s="12" t="str">
        <f>_xll.SNL.Clients.Office.Excel.Functions.SPG(H376, "SP_ULT_PARENT_COMPANY_NAME")</f>
        <v/>
      </c>
      <c r="K376" s="12" t="str">
        <f>_xll.SNL.Clients.Office.Excel.Functions.SPG(H376, "SP_ULT_PARENT_COUNTRY")</f>
        <v/>
      </c>
      <c r="L376" s="12" t="str">
        <f>_xll.SNL.Clients.Office.Excel.Functions.SPG(H376, "SP_PARENT_COMPANY_NAME")</f>
        <v/>
      </c>
      <c r="M376" s="12" t="str">
        <f>_xll.SNL.Clients.Office.Excel.Functions.SPG(H376, "SP_PARENT_COUNTRY")</f>
        <v/>
      </c>
      <c r="N376" s="12" t="str">
        <f>_xll.SNL.Clients.Office.Excel.Functions.SPG(H376, "SP_COUNTRY_NAME")</f>
        <v>Guernsey</v>
      </c>
      <c r="O376" s="12" t="str">
        <f>_xll.SNL.Clients.Office.Excel.Functions.SPG(I376, "SP_ULT_PARENT_COMPANY_NAME")</f>
        <v/>
      </c>
      <c r="P376" s="12" t="str">
        <f>_xll.SNL.Clients.Office.Excel.Functions.SPG(I376, "SP_ULT_PARENT_COUNTRY")</f>
        <v/>
      </c>
      <c r="Q376" s="12" t="str">
        <f>_xll.SNL.Clients.Office.Excel.Functions.SPG(I376, "SP_PARENT_COMPANY_NAME")</f>
        <v/>
      </c>
      <c r="R376" s="12" t="str">
        <f>_xll.SNL.Clients.Office.Excel.Functions.SPG(I376, "SP_PARENT_COUNTRY")</f>
        <v/>
      </c>
      <c r="S376" s="12" t="str">
        <f>_xll.SNL.Clients.Office.Excel.Functions.SPG(I376, "SP_COUNTRY_NAME")</f>
        <v>China</v>
      </c>
    </row>
    <row r="377" spans="1:19" x14ac:dyDescent="0.35">
      <c r="A377" s="5">
        <v>46022</v>
      </c>
      <c r="B377" s="4" t="s">
        <v>793</v>
      </c>
      <c r="C377" s="4" t="s">
        <v>794</v>
      </c>
      <c r="D377" s="4" t="s">
        <v>1013</v>
      </c>
      <c r="E377" s="8">
        <v>4348938</v>
      </c>
      <c r="F377" s="7">
        <v>100</v>
      </c>
      <c r="G377" s="12" t="str">
        <f>[1]!SNLData("243327", C377, "OWNER_LIST")</f>
        <v>Capstone Copper Corp.  100%</v>
      </c>
      <c r="H377" s="9">
        <f>[1]!SNLData("243327", C377, "OWNER_SNL_INSTN_KEY", "Owner 1")</f>
        <v>4348938</v>
      </c>
      <c r="I377" s="9" t="str">
        <f>[1]!SNLData("243327", C377, "OWNER_SNL_INSTN_KEY", "Owner 2")</f>
        <v>NA</v>
      </c>
      <c r="J377" s="12" t="str">
        <f>_xll.SNL.Clients.Office.Excel.Functions.SPG(H377, "SP_ULT_PARENT_COMPANY_NAME")</f>
        <v/>
      </c>
      <c r="K377" s="12" t="str">
        <f>_xll.SNL.Clients.Office.Excel.Functions.SPG(H377, "SP_ULT_PARENT_COUNTRY")</f>
        <v/>
      </c>
      <c r="L377" s="12" t="str">
        <f>_xll.SNL.Clients.Office.Excel.Functions.SPG(H377, "SP_PARENT_COMPANY_NAME")</f>
        <v/>
      </c>
      <c r="M377" s="12" t="str">
        <f>_xll.SNL.Clients.Office.Excel.Functions.SPG(H377, "SP_PARENT_COUNTRY")</f>
        <v/>
      </c>
      <c r="N377" s="12" t="str">
        <f>_xll.SNL.Clients.Office.Excel.Functions.SPG(H377, "SP_COUNTRY_NAME")</f>
        <v>Canada</v>
      </c>
      <c r="O377" s="12" t="str">
        <f>_xll.SNL.Clients.Office.Excel.Functions.SPG(I377, "SP_ULT_PARENT_COMPANY_NAME")</f>
        <v/>
      </c>
      <c r="P377" s="12" t="str">
        <f>_xll.SNL.Clients.Office.Excel.Functions.SPG(I377, "SP_ULT_PARENT_COUNTRY")</f>
        <v/>
      </c>
      <c r="Q377" s="12" t="str">
        <f>_xll.SNL.Clients.Office.Excel.Functions.SPG(I377, "SP_PARENT_COMPANY_NAME")</f>
        <v/>
      </c>
      <c r="R377" s="12" t="str">
        <f>_xll.SNL.Clients.Office.Excel.Functions.SPG(I377, "SP_PARENT_COUNTRY")</f>
        <v/>
      </c>
      <c r="S377" s="12" t="str">
        <f>_xll.SNL.Clients.Office.Excel.Functions.SPG(I377, "SP_COUNTRY_NAME")</f>
        <v>China</v>
      </c>
    </row>
    <row r="378" spans="1:19" x14ac:dyDescent="0.35">
      <c r="A378" s="5">
        <v>46022</v>
      </c>
      <c r="B378" s="4" t="s">
        <v>615</v>
      </c>
      <c r="C378" s="4" t="s">
        <v>616</v>
      </c>
      <c r="D378" s="4" t="s">
        <v>1013</v>
      </c>
      <c r="E378" s="8">
        <v>4348938</v>
      </c>
      <c r="F378" s="7">
        <v>100</v>
      </c>
      <c r="G378" s="12" t="str">
        <f>[1]!SNLData("243327", C378, "OWNER_LIST")</f>
        <v>Capstone Copper Corp.  100%</v>
      </c>
      <c r="H378" s="9">
        <f>[1]!SNLData("243327", C378, "OWNER_SNL_INSTN_KEY", "Owner 1")</f>
        <v>4348938</v>
      </c>
      <c r="I378" s="9" t="str">
        <f>[1]!SNLData("243327", C378, "OWNER_SNL_INSTN_KEY", "Owner 2")</f>
        <v>NA</v>
      </c>
      <c r="J378" s="12" t="str">
        <f>_xll.SNL.Clients.Office.Excel.Functions.SPG(H378, "SP_ULT_PARENT_COMPANY_NAME")</f>
        <v/>
      </c>
      <c r="K378" s="12" t="str">
        <f>_xll.SNL.Clients.Office.Excel.Functions.SPG(H378, "SP_ULT_PARENT_COUNTRY")</f>
        <v/>
      </c>
      <c r="L378" s="12" t="str">
        <f>_xll.SNL.Clients.Office.Excel.Functions.SPG(H378, "SP_PARENT_COMPANY_NAME")</f>
        <v/>
      </c>
      <c r="M378" s="12" t="str">
        <f>_xll.SNL.Clients.Office.Excel.Functions.SPG(H378, "SP_PARENT_COUNTRY")</f>
        <v/>
      </c>
      <c r="N378" s="12" t="str">
        <f>_xll.SNL.Clients.Office.Excel.Functions.SPG(H378, "SP_COUNTRY_NAME")</f>
        <v>Canada</v>
      </c>
      <c r="O378" s="12" t="str">
        <f>_xll.SNL.Clients.Office.Excel.Functions.SPG(I378, "SP_ULT_PARENT_COMPANY_NAME")</f>
        <v/>
      </c>
      <c r="P378" s="12" t="str">
        <f>_xll.SNL.Clients.Office.Excel.Functions.SPG(I378, "SP_ULT_PARENT_COUNTRY")</f>
        <v/>
      </c>
      <c r="Q378" s="12" t="str">
        <f>_xll.SNL.Clients.Office.Excel.Functions.SPG(I378, "SP_PARENT_COMPANY_NAME")</f>
        <v/>
      </c>
      <c r="R378" s="12" t="str">
        <f>_xll.SNL.Clients.Office.Excel.Functions.SPG(I378, "SP_PARENT_COUNTRY")</f>
        <v/>
      </c>
      <c r="S378" s="12" t="str">
        <f>_xll.SNL.Clients.Office.Excel.Functions.SPG(I378, "SP_COUNTRY_NAME")</f>
        <v>China</v>
      </c>
    </row>
    <row r="379" spans="1:19" ht="43.5" x14ac:dyDescent="0.35">
      <c r="A379" s="5">
        <v>46022</v>
      </c>
      <c r="B379" s="4" t="s">
        <v>456</v>
      </c>
      <c r="C379" s="4" t="s">
        <v>457</v>
      </c>
      <c r="D379" s="4" t="s">
        <v>1119</v>
      </c>
      <c r="E379" s="8">
        <v>4239757</v>
      </c>
      <c r="F379" s="7">
        <v>8.3000000000000007</v>
      </c>
      <c r="G379" s="12" t="str">
        <f>[1]!SNLData("243327", C379, "OWNER_LIST")</f>
        <v>Mvelaphanda Holdings (Proprietary) Limited (Venturer) 8.3%; Sibanye Stillwater Limited (Venturer) 91.7%</v>
      </c>
      <c r="H379" s="9">
        <f>[1]!SNLData("243327", C379, "OWNER_SNL_INSTN_KEY", "Owner 1")</f>
        <v>4379789</v>
      </c>
      <c r="I379" s="9">
        <f>[1]!SNLData("243327", C379, "OWNER_SNL_INSTN_KEY", "Owner 2")</f>
        <v>4239757</v>
      </c>
      <c r="J379" s="12" t="str">
        <f>_xll.SNL.Clients.Office.Excel.Functions.SPG(H379, "SP_ULT_PARENT_COMPANY_NAME")</f>
        <v/>
      </c>
      <c r="K379" s="12" t="str">
        <f>_xll.SNL.Clients.Office.Excel.Functions.SPG(H379, "SP_ULT_PARENT_COUNTRY")</f>
        <v/>
      </c>
      <c r="L379" s="12" t="str">
        <f>_xll.SNL.Clients.Office.Excel.Functions.SPG(H379, "SP_PARENT_COMPANY_NAME")</f>
        <v/>
      </c>
      <c r="M379" s="12" t="str">
        <f>_xll.SNL.Clients.Office.Excel.Functions.SPG(H379, "SP_PARENT_COUNTRY")</f>
        <v/>
      </c>
      <c r="N379" s="12" t="str">
        <f>_xll.SNL.Clients.Office.Excel.Functions.SPG(H379, "SP_COUNTRY_NAME")</f>
        <v>South Africa</v>
      </c>
      <c r="O379" s="12" t="str">
        <f>_xll.SNL.Clients.Office.Excel.Functions.SPG(I379, "SP_ULT_PARENT_COMPANY_NAME")</f>
        <v/>
      </c>
      <c r="P379" s="12" t="str">
        <f>_xll.SNL.Clients.Office.Excel.Functions.SPG(I379, "SP_ULT_PARENT_COUNTRY")</f>
        <v/>
      </c>
      <c r="Q379" s="12" t="str">
        <f>_xll.SNL.Clients.Office.Excel.Functions.SPG(I379, "SP_PARENT_COMPANY_NAME")</f>
        <v/>
      </c>
      <c r="R379" s="12" t="str">
        <f>_xll.SNL.Clients.Office.Excel.Functions.SPG(I379, "SP_PARENT_COUNTRY")</f>
        <v/>
      </c>
      <c r="S379" s="12" t="str">
        <f>_xll.SNL.Clients.Office.Excel.Functions.SPG(I379, "SP_COUNTRY_NAME")</f>
        <v>South Africa</v>
      </c>
    </row>
    <row r="380" spans="1:19" ht="43.5" x14ac:dyDescent="0.35">
      <c r="A380" s="5">
        <v>46022</v>
      </c>
      <c r="B380" s="4" t="s">
        <v>456</v>
      </c>
      <c r="C380" s="4" t="s">
        <v>457</v>
      </c>
      <c r="D380" s="4" t="s">
        <v>1077</v>
      </c>
      <c r="E380" s="8">
        <v>4379789</v>
      </c>
      <c r="F380" s="7">
        <v>91.7</v>
      </c>
      <c r="G380" s="12" t="str">
        <f>[1]!SNLData("243327", C380, "OWNER_LIST")</f>
        <v>Mvelaphanda Holdings (Proprietary) Limited (Venturer) 8.3%; Sibanye Stillwater Limited (Venturer) 91.7%</v>
      </c>
      <c r="H380" s="9">
        <f>[1]!SNLData("243327", C380, "OWNER_SNL_INSTN_KEY", "Owner 1")</f>
        <v>4379789</v>
      </c>
      <c r="I380" s="9">
        <f>[1]!SNLData("243327", C380, "OWNER_SNL_INSTN_KEY", "Owner 2")</f>
        <v>4239757</v>
      </c>
      <c r="J380" s="12" t="str">
        <f>_xll.SNL.Clients.Office.Excel.Functions.SPG(H380, "SP_ULT_PARENT_COMPANY_NAME")</f>
        <v/>
      </c>
      <c r="K380" s="12" t="str">
        <f>_xll.SNL.Clients.Office.Excel.Functions.SPG(H380, "SP_ULT_PARENT_COUNTRY")</f>
        <v/>
      </c>
      <c r="L380" s="12" t="str">
        <f>_xll.SNL.Clients.Office.Excel.Functions.SPG(H380, "SP_PARENT_COMPANY_NAME")</f>
        <v/>
      </c>
      <c r="M380" s="12" t="str">
        <f>_xll.SNL.Clients.Office.Excel.Functions.SPG(H380, "SP_PARENT_COUNTRY")</f>
        <v/>
      </c>
      <c r="N380" s="12" t="str">
        <f>_xll.SNL.Clients.Office.Excel.Functions.SPG(H380, "SP_COUNTRY_NAME")</f>
        <v>South Africa</v>
      </c>
      <c r="O380" s="12" t="str">
        <f>_xll.SNL.Clients.Office.Excel.Functions.SPG(I380, "SP_ULT_PARENT_COMPANY_NAME")</f>
        <v/>
      </c>
      <c r="P380" s="12" t="str">
        <f>_xll.SNL.Clients.Office.Excel.Functions.SPG(I380, "SP_ULT_PARENT_COUNTRY")</f>
        <v/>
      </c>
      <c r="Q380" s="12" t="str">
        <f>_xll.SNL.Clients.Office.Excel.Functions.SPG(I380, "SP_PARENT_COMPANY_NAME")</f>
        <v/>
      </c>
      <c r="R380" s="12" t="str">
        <f>_xll.SNL.Clients.Office.Excel.Functions.SPG(I380, "SP_PARENT_COUNTRY")</f>
        <v/>
      </c>
      <c r="S380" s="12" t="str">
        <f>_xll.SNL.Clients.Office.Excel.Functions.SPG(I380, "SP_COUNTRY_NAME")</f>
        <v>South Africa</v>
      </c>
    </row>
    <row r="381" spans="1:19" ht="72.5" x14ac:dyDescent="0.35">
      <c r="A381" s="5">
        <v>46022</v>
      </c>
      <c r="B381" s="4" t="s">
        <v>473</v>
      </c>
      <c r="C381" s="4" t="s">
        <v>474</v>
      </c>
      <c r="D381" s="4" t="s">
        <v>1120</v>
      </c>
      <c r="E381" s="8">
        <v>4348597</v>
      </c>
      <c r="F381" s="7">
        <v>26</v>
      </c>
      <c r="G381" s="12" t="str">
        <f>[1]!SNLData("243327", C381, "OWNER_LIST")</f>
        <v>ITOCHU Corporation (Venturer) %; Japan Organization for Metals and Energy Security (Venturer) %; Ivanhoe Mines Ltd. (Venturer) 64%; JGC Holdings Corporation (Venturer) %; Black Economic Empowerment (Venturer) 26%</v>
      </c>
      <c r="H381" s="9">
        <f>[1]!SNLData("243327", C381, "OWNER_SNL_INSTN_KEY", "Owner 1")</f>
        <v>4351368</v>
      </c>
      <c r="I381" s="9">
        <f>[1]!SNLData("243327", C381, "OWNER_SNL_INSTN_KEY", "Owner 2")</f>
        <v>4348597</v>
      </c>
      <c r="J381" s="12" t="str">
        <f>_xll.SNL.Clients.Office.Excel.Functions.SPG(H381, "SP_ULT_PARENT_COMPANY_NAME")</f>
        <v/>
      </c>
      <c r="K381" s="12" t="str">
        <f>_xll.SNL.Clients.Office.Excel.Functions.SPG(H381, "SP_ULT_PARENT_COUNTRY")</f>
        <v/>
      </c>
      <c r="L381" s="12" t="str">
        <f>_xll.SNL.Clients.Office.Excel.Functions.SPG(H381, "SP_PARENT_COMPANY_NAME")</f>
        <v/>
      </c>
      <c r="M381" s="12" t="str">
        <f>_xll.SNL.Clients.Office.Excel.Functions.SPG(H381, "SP_PARENT_COUNTRY")</f>
        <v/>
      </c>
      <c r="N381" s="12" t="str">
        <f>_xll.SNL.Clients.Office.Excel.Functions.SPG(H381, "SP_COUNTRY_NAME")</f>
        <v>Canada</v>
      </c>
      <c r="O381" s="12" t="str">
        <f>_xll.SNL.Clients.Office.Excel.Functions.SPG(I381, "SP_ULT_PARENT_COMPANY_NAME")</f>
        <v>PSG Group Ltd</v>
      </c>
      <c r="P381" s="12" t="str">
        <f>_xll.SNL.Clients.Office.Excel.Functions.SPG(I381, "SP_ULT_PARENT_COUNTRY")</f>
        <v>South Africa</v>
      </c>
      <c r="Q381" s="12" t="str">
        <f>_xll.SNL.Clients.Office.Excel.Functions.SPG(I381, "SP_PARENT_COMPANY_NAME")</f>
        <v>PSG Group Ltd</v>
      </c>
      <c r="R381" s="12" t="str">
        <f>_xll.SNL.Clients.Office.Excel.Functions.SPG(I381, "SP_PARENT_COUNTRY")</f>
        <v>South Africa</v>
      </c>
      <c r="S381" s="12" t="str">
        <f>_xll.SNL.Clients.Office.Excel.Functions.SPG(I381, "SP_COUNTRY_NAME")</f>
        <v>South Africa</v>
      </c>
    </row>
    <row r="382" spans="1:19" ht="72.5" x14ac:dyDescent="0.35">
      <c r="A382" s="5">
        <v>46022</v>
      </c>
      <c r="B382" s="4" t="s">
        <v>473</v>
      </c>
      <c r="C382" s="4" t="s">
        <v>474</v>
      </c>
      <c r="D382" s="4" t="s">
        <v>1066</v>
      </c>
      <c r="E382" s="8">
        <v>4351368</v>
      </c>
      <c r="F382" s="7">
        <v>64</v>
      </c>
      <c r="G382" s="12" t="str">
        <f>[1]!SNLData("243327", C382, "OWNER_LIST")</f>
        <v>ITOCHU Corporation (Venturer) %; Japan Organization for Metals and Energy Security (Venturer) %; Ivanhoe Mines Ltd. (Venturer) 64%; JGC Holdings Corporation (Venturer) %; Black Economic Empowerment (Venturer) 26%</v>
      </c>
      <c r="H382" s="9">
        <f>[1]!SNLData("243327", C382, "OWNER_SNL_INSTN_KEY", "Owner 1")</f>
        <v>4351368</v>
      </c>
      <c r="I382" s="9">
        <f>[1]!SNLData("243327", C382, "OWNER_SNL_INSTN_KEY", "Owner 2")</f>
        <v>4348597</v>
      </c>
      <c r="J382" s="12" t="str">
        <f>_xll.SNL.Clients.Office.Excel.Functions.SPG(H382, "SP_ULT_PARENT_COMPANY_NAME")</f>
        <v/>
      </c>
      <c r="K382" s="12" t="str">
        <f>_xll.SNL.Clients.Office.Excel.Functions.SPG(H382, "SP_ULT_PARENT_COUNTRY")</f>
        <v/>
      </c>
      <c r="L382" s="12" t="str">
        <f>_xll.SNL.Clients.Office.Excel.Functions.SPG(H382, "SP_PARENT_COMPANY_NAME")</f>
        <v/>
      </c>
      <c r="M382" s="12" t="str">
        <f>_xll.SNL.Clients.Office.Excel.Functions.SPG(H382, "SP_PARENT_COUNTRY")</f>
        <v/>
      </c>
      <c r="N382" s="12" t="str">
        <f>_xll.SNL.Clients.Office.Excel.Functions.SPG(H382, "SP_COUNTRY_NAME")</f>
        <v>Canada</v>
      </c>
      <c r="O382" s="12" t="str">
        <f>_xll.SNL.Clients.Office.Excel.Functions.SPG(I382, "SP_ULT_PARENT_COMPANY_NAME")</f>
        <v>PSG Group Ltd</v>
      </c>
      <c r="P382" s="12" t="str">
        <f>_xll.SNL.Clients.Office.Excel.Functions.SPG(I382, "SP_ULT_PARENT_COUNTRY")</f>
        <v>South Africa</v>
      </c>
      <c r="Q382" s="12" t="str">
        <f>_xll.SNL.Clients.Office.Excel.Functions.SPG(I382, "SP_PARENT_COMPANY_NAME")</f>
        <v>PSG Group Ltd</v>
      </c>
      <c r="R382" s="12" t="str">
        <f>_xll.SNL.Clients.Office.Excel.Functions.SPG(I382, "SP_PARENT_COUNTRY")</f>
        <v>South Africa</v>
      </c>
      <c r="S382" s="12" t="str">
        <f>_xll.SNL.Clients.Office.Excel.Functions.SPG(I382, "SP_COUNTRY_NAME")</f>
        <v>South Africa</v>
      </c>
    </row>
    <row r="383" spans="1:19" ht="29" x14ac:dyDescent="0.35">
      <c r="A383" s="5">
        <v>46022</v>
      </c>
      <c r="B383" s="4" t="s">
        <v>795</v>
      </c>
      <c r="C383" s="4" t="s">
        <v>796</v>
      </c>
      <c r="D383" s="4" t="s">
        <v>947</v>
      </c>
      <c r="E383" s="8">
        <v>4121840</v>
      </c>
      <c r="F383" s="7">
        <v>100</v>
      </c>
      <c r="G383" s="12" t="str">
        <f>[1]!SNLData("243327", C383, "OWNER_LIST")</f>
        <v>OZ Minerals Pty Ltd (Fractional) %; BHP Group Limited  100%</v>
      </c>
      <c r="H383" s="9">
        <f>[1]!SNLData("243327", C383, "OWNER_SNL_INSTN_KEY", "Owner 1")</f>
        <v>4121840</v>
      </c>
      <c r="I383" s="9">
        <f>[1]!SNLData("243327", C383, "OWNER_SNL_INSTN_KEY", "Owner 2")</f>
        <v>4248891</v>
      </c>
      <c r="J383" s="12" t="str">
        <f>_xll.SNL.Clients.Office.Excel.Functions.SPG(H383, "SP_ULT_PARENT_COMPANY_NAME")</f>
        <v/>
      </c>
      <c r="K383" s="12" t="str">
        <f>_xll.SNL.Clients.Office.Excel.Functions.SPG(H383, "SP_ULT_PARENT_COUNTRY")</f>
        <v/>
      </c>
      <c r="L383" s="12" t="str">
        <f>_xll.SNL.Clients.Office.Excel.Functions.SPG(H383, "SP_PARENT_COMPANY_NAME")</f>
        <v/>
      </c>
      <c r="M383" s="12" t="str">
        <f>_xll.SNL.Clients.Office.Excel.Functions.SPG(H383, "SP_PARENT_COUNTRY")</f>
        <v/>
      </c>
      <c r="N383" s="12" t="str">
        <f>_xll.SNL.Clients.Office.Excel.Functions.SPG(H383, "SP_COUNTRY_NAME")</f>
        <v>Australia</v>
      </c>
      <c r="O383" s="12" t="str">
        <f>_xll.SNL.Clients.Office.Excel.Functions.SPG(I383, "SP_ULT_PARENT_COMPANY_NAME")</f>
        <v>BHP Group Limited</v>
      </c>
      <c r="P383" s="12" t="str">
        <f>_xll.SNL.Clients.Office.Excel.Functions.SPG(I383, "SP_ULT_PARENT_COUNTRY")</f>
        <v>Australia</v>
      </c>
      <c r="Q383" s="12" t="str">
        <f>_xll.SNL.Clients.Office.Excel.Functions.SPG(I383, "SP_PARENT_COMPANY_NAME")</f>
        <v>Bhp Lonsdale Investments Pty. Ltd.</v>
      </c>
      <c r="R383" s="12" t="str">
        <f>_xll.SNL.Clients.Office.Excel.Functions.SPG(I383, "SP_PARENT_COUNTRY")</f>
        <v>Australia</v>
      </c>
      <c r="S383" s="12" t="str">
        <f>_xll.SNL.Clients.Office.Excel.Functions.SPG(I383, "SP_COUNTRY_NAME")</f>
        <v>Australia</v>
      </c>
    </row>
    <row r="384" spans="1:19" ht="29" x14ac:dyDescent="0.35">
      <c r="A384" s="5">
        <v>46022</v>
      </c>
      <c r="B384" s="4" t="s">
        <v>617</v>
      </c>
      <c r="C384" s="4" t="s">
        <v>618</v>
      </c>
      <c r="D384" s="4" t="s">
        <v>1121</v>
      </c>
      <c r="E384" s="8">
        <v>4349943</v>
      </c>
      <c r="F384" s="7">
        <v>100</v>
      </c>
      <c r="G384" s="12" t="str">
        <f>[1]!SNLData("243327", C384, "OWNER_LIST")</f>
        <v>Atalaya Mining Copper, S.A.  100%; Rumbo 5-Cero, S.L. (Fractional) %</v>
      </c>
      <c r="H384" s="9">
        <f>[1]!SNLData("243327", C384, "OWNER_SNL_INSTN_KEY", "Owner 1")</f>
        <v>4349943</v>
      </c>
      <c r="I384" s="9">
        <f>[1]!SNLData("243327", C384, "OWNER_SNL_INSTN_KEY", "Owner 2")</f>
        <v>4519709</v>
      </c>
      <c r="J384" s="12" t="str">
        <f>_xll.SNL.Clients.Office.Excel.Functions.SPG(H384, "SP_ULT_PARENT_COMPANY_NAME")</f>
        <v/>
      </c>
      <c r="K384" s="12" t="str">
        <f>_xll.SNL.Clients.Office.Excel.Functions.SPG(H384, "SP_ULT_PARENT_COUNTRY")</f>
        <v/>
      </c>
      <c r="L384" s="12" t="str">
        <f>_xll.SNL.Clients.Office.Excel.Functions.SPG(H384, "SP_PARENT_COMPANY_NAME")</f>
        <v/>
      </c>
      <c r="M384" s="12" t="str">
        <f>_xll.SNL.Clients.Office.Excel.Functions.SPG(H384, "SP_PARENT_COUNTRY")</f>
        <v/>
      </c>
      <c r="N384" s="12" t="str">
        <f>_xll.SNL.Clients.Office.Excel.Functions.SPG(H384, "SP_COUNTRY_NAME")</f>
        <v>Spain</v>
      </c>
      <c r="O384" s="12" t="str">
        <f>_xll.SNL.Clients.Office.Excel.Functions.SPG(I384, "SP_ULT_PARENT_COMPANY_NAME")</f>
        <v/>
      </c>
      <c r="P384" s="12" t="str">
        <f>_xll.SNL.Clients.Office.Excel.Functions.SPG(I384, "SP_ULT_PARENT_COUNTRY")</f>
        <v/>
      </c>
      <c r="Q384" s="12" t="str">
        <f>_xll.SNL.Clients.Office.Excel.Functions.SPG(I384, "SP_PARENT_COMPANY_NAME")</f>
        <v/>
      </c>
      <c r="R384" s="12" t="str">
        <f>_xll.SNL.Clients.Office.Excel.Functions.SPG(I384, "SP_PARENT_COUNTRY")</f>
        <v/>
      </c>
      <c r="S384" s="12" t="str">
        <f>_xll.SNL.Clients.Office.Excel.Functions.SPG(I384, "SP_COUNTRY_NAME")</f>
        <v>Spain</v>
      </c>
    </row>
    <row r="385" spans="1:19" ht="72.5" x14ac:dyDescent="0.35">
      <c r="A385" s="5">
        <v>46022</v>
      </c>
      <c r="B385" s="4" t="s">
        <v>619</v>
      </c>
      <c r="C385" s="4" t="s">
        <v>620</v>
      </c>
      <c r="D385" s="4" t="s">
        <v>1122</v>
      </c>
      <c r="E385" s="8">
        <v>4349747</v>
      </c>
      <c r="F385" s="7">
        <v>8.33</v>
      </c>
      <c r="G385" s="12" t="str">
        <f>[1]!SNLData("243327", C385, "OWNER_LIST")</f>
        <v>Yunnan Copper Co.,Ltd (Venturer) 70%; Diqing Development and Investment Co Ltd (Venturer) 8.33%; Yunnan Gold&amp;Mineral Group Co., Ltd. (Venturer) 20%</v>
      </c>
      <c r="H385" s="9">
        <f>[1]!SNLData("243327", C385, "OWNER_SNL_INSTN_KEY", "Owner 1")</f>
        <v>4355551</v>
      </c>
      <c r="I385" s="9">
        <f>[1]!SNLData("243327", C385, "OWNER_SNL_INSTN_KEY", "Owner 2")</f>
        <v>4355556</v>
      </c>
      <c r="J385" s="12" t="str">
        <f>_xll.SNL.Clients.Office.Excel.Functions.SPG(H385, "SP_ULT_PARENT_COMPANY_NAME")</f>
        <v>State-owned Assets Supervision and Administration Commission of the State Counci</v>
      </c>
      <c r="K385" s="12" t="str">
        <f>_xll.SNL.Clients.Office.Excel.Functions.SPG(H385, "SP_ULT_PARENT_COUNTRY")</f>
        <v>China</v>
      </c>
      <c r="L385" s="12" t="str">
        <f>_xll.SNL.Clients.Office.Excel.Functions.SPG(H385, "SP_PARENT_COMPANY_NAME")</f>
        <v>Yunnan Copper Industry (Group) Co., Ltd.</v>
      </c>
      <c r="M385" s="12" t="str">
        <f>_xll.SNL.Clients.Office.Excel.Functions.SPG(H385, "SP_PARENT_COUNTRY")</f>
        <v>China</v>
      </c>
      <c r="N385" s="12" t="str">
        <f>_xll.SNL.Clients.Office.Excel.Functions.SPG(H385, "SP_COUNTRY_NAME")</f>
        <v>China</v>
      </c>
      <c r="O385" s="12" t="str">
        <f>_xll.SNL.Clients.Office.Excel.Functions.SPG(I385, "SP_ULT_PARENT_COMPANY_NAME")</f>
        <v/>
      </c>
      <c r="P385" s="12" t="str">
        <f>_xll.SNL.Clients.Office.Excel.Functions.SPG(I385, "SP_ULT_PARENT_COUNTRY")</f>
        <v/>
      </c>
      <c r="Q385" s="12" t="str">
        <f>_xll.SNL.Clients.Office.Excel.Functions.SPG(I385, "SP_PARENT_COMPANY_NAME")</f>
        <v/>
      </c>
      <c r="R385" s="12" t="str">
        <f>_xll.SNL.Clients.Office.Excel.Functions.SPG(I385, "SP_PARENT_COUNTRY")</f>
        <v/>
      </c>
      <c r="S385" s="12" t="str">
        <f>_xll.SNL.Clients.Office.Excel.Functions.SPG(I385, "SP_COUNTRY_NAME")</f>
        <v>China</v>
      </c>
    </row>
    <row r="386" spans="1:19" ht="72.5" x14ac:dyDescent="0.35">
      <c r="A386" s="5">
        <v>46022</v>
      </c>
      <c r="B386" s="4" t="s">
        <v>619</v>
      </c>
      <c r="C386" s="4" t="s">
        <v>620</v>
      </c>
      <c r="D386" s="4" t="s">
        <v>1014</v>
      </c>
      <c r="E386" s="8">
        <v>4355551</v>
      </c>
      <c r="F386" s="7">
        <v>70</v>
      </c>
      <c r="G386" s="12" t="str">
        <f>[1]!SNLData("243327", C386, "OWNER_LIST")</f>
        <v>Yunnan Copper Co.,Ltd (Venturer) 70%; Diqing Development and Investment Co Ltd (Venturer) 8.33%; Yunnan Gold&amp;Mineral Group Co., Ltd. (Venturer) 20%</v>
      </c>
      <c r="H386" s="9">
        <f>[1]!SNLData("243327", C386, "OWNER_SNL_INSTN_KEY", "Owner 1")</f>
        <v>4355551</v>
      </c>
      <c r="I386" s="9">
        <f>[1]!SNLData("243327", C386, "OWNER_SNL_INSTN_KEY", "Owner 2")</f>
        <v>4355556</v>
      </c>
      <c r="J386" s="12" t="str">
        <f>_xll.SNL.Clients.Office.Excel.Functions.SPG(H386, "SP_ULT_PARENT_COMPANY_NAME")</f>
        <v>State-owned Assets Supervision and Administration Commission of the State Counci</v>
      </c>
      <c r="K386" s="12" t="str">
        <f>_xll.SNL.Clients.Office.Excel.Functions.SPG(H386, "SP_ULT_PARENT_COUNTRY")</f>
        <v>China</v>
      </c>
      <c r="L386" s="12" t="str">
        <f>_xll.SNL.Clients.Office.Excel.Functions.SPG(H386, "SP_PARENT_COMPANY_NAME")</f>
        <v>Yunnan Copper Industry (Group) Co., Ltd.</v>
      </c>
      <c r="M386" s="12" t="str">
        <f>_xll.SNL.Clients.Office.Excel.Functions.SPG(H386, "SP_PARENT_COUNTRY")</f>
        <v>China</v>
      </c>
      <c r="N386" s="12" t="str">
        <f>_xll.SNL.Clients.Office.Excel.Functions.SPG(H386, "SP_COUNTRY_NAME")</f>
        <v>China</v>
      </c>
      <c r="O386" s="12" t="str">
        <f>_xll.SNL.Clients.Office.Excel.Functions.SPG(I386, "SP_ULT_PARENT_COMPANY_NAME")</f>
        <v/>
      </c>
      <c r="P386" s="12" t="str">
        <f>_xll.SNL.Clients.Office.Excel.Functions.SPG(I386, "SP_ULT_PARENT_COUNTRY")</f>
        <v/>
      </c>
      <c r="Q386" s="12" t="str">
        <f>_xll.SNL.Clients.Office.Excel.Functions.SPG(I386, "SP_PARENT_COMPANY_NAME")</f>
        <v/>
      </c>
      <c r="R386" s="12" t="str">
        <f>_xll.SNL.Clients.Office.Excel.Functions.SPG(I386, "SP_PARENT_COUNTRY")</f>
        <v/>
      </c>
      <c r="S386" s="12" t="str">
        <f>_xll.SNL.Clients.Office.Excel.Functions.SPG(I386, "SP_COUNTRY_NAME")</f>
        <v>China</v>
      </c>
    </row>
    <row r="387" spans="1:19" ht="72.5" x14ac:dyDescent="0.35">
      <c r="A387" s="5">
        <v>46022</v>
      </c>
      <c r="B387" s="4" t="s">
        <v>619</v>
      </c>
      <c r="C387" s="4" t="s">
        <v>620</v>
      </c>
      <c r="D387" s="4" t="s">
        <v>1123</v>
      </c>
      <c r="E387" s="8">
        <v>4355556</v>
      </c>
      <c r="F387" s="7">
        <v>20</v>
      </c>
      <c r="G387" s="12" t="str">
        <f>[1]!SNLData("243327", C387, "OWNER_LIST")</f>
        <v>Yunnan Copper Co.,Ltd (Venturer) 70%; Diqing Development and Investment Co Ltd (Venturer) 8.33%; Yunnan Gold&amp;Mineral Group Co., Ltd. (Venturer) 20%</v>
      </c>
      <c r="H387" s="9">
        <f>[1]!SNLData("243327", C387, "OWNER_SNL_INSTN_KEY", "Owner 1")</f>
        <v>4355551</v>
      </c>
      <c r="I387" s="9">
        <f>[1]!SNLData("243327", C387, "OWNER_SNL_INSTN_KEY", "Owner 2")</f>
        <v>4355556</v>
      </c>
      <c r="J387" s="12" t="str">
        <f>_xll.SNL.Clients.Office.Excel.Functions.SPG(H387, "SP_ULT_PARENT_COMPANY_NAME")</f>
        <v>State-owned Assets Supervision and Administration Commission of the State Counci</v>
      </c>
      <c r="K387" s="12" t="str">
        <f>_xll.SNL.Clients.Office.Excel.Functions.SPG(H387, "SP_ULT_PARENT_COUNTRY")</f>
        <v>China</v>
      </c>
      <c r="L387" s="12" t="str">
        <f>_xll.SNL.Clients.Office.Excel.Functions.SPG(H387, "SP_PARENT_COMPANY_NAME")</f>
        <v>Yunnan Copper Industry (Group) Co., Ltd.</v>
      </c>
      <c r="M387" s="12" t="str">
        <f>_xll.SNL.Clients.Office.Excel.Functions.SPG(H387, "SP_PARENT_COUNTRY")</f>
        <v>China</v>
      </c>
      <c r="N387" s="12" t="str">
        <f>_xll.SNL.Clients.Office.Excel.Functions.SPG(H387, "SP_COUNTRY_NAME")</f>
        <v>China</v>
      </c>
      <c r="O387" s="12" t="str">
        <f>_xll.SNL.Clients.Office.Excel.Functions.SPG(I387, "SP_ULT_PARENT_COMPANY_NAME")</f>
        <v/>
      </c>
      <c r="P387" s="12" t="str">
        <f>_xll.SNL.Clients.Office.Excel.Functions.SPG(I387, "SP_ULT_PARENT_COUNTRY")</f>
        <v/>
      </c>
      <c r="Q387" s="12" t="str">
        <f>_xll.SNL.Clients.Office.Excel.Functions.SPG(I387, "SP_PARENT_COMPANY_NAME")</f>
        <v/>
      </c>
      <c r="R387" s="12" t="str">
        <f>_xll.SNL.Clients.Office.Excel.Functions.SPG(I387, "SP_PARENT_COUNTRY")</f>
        <v/>
      </c>
      <c r="S387" s="12" t="str">
        <f>_xll.SNL.Clients.Office.Excel.Functions.SPG(I387, "SP_COUNTRY_NAME")</f>
        <v>China</v>
      </c>
    </row>
    <row r="388" spans="1:19" ht="29" x14ac:dyDescent="0.35">
      <c r="A388" s="5">
        <v>46022</v>
      </c>
      <c r="B388" s="4" t="s">
        <v>797</v>
      </c>
      <c r="C388" s="4" t="s">
        <v>798</v>
      </c>
      <c r="D388" s="4" t="s">
        <v>1124</v>
      </c>
      <c r="E388" s="8">
        <v>105915055</v>
      </c>
      <c r="F388" s="7">
        <v>100</v>
      </c>
      <c r="G388" s="12" t="str">
        <f>[1]!SNLData("243327", C388, "OWNER_LIST")</f>
        <v>Kinterra Capital Corp.  100%; RGGS Land &amp; Minerals Ltd., L.P (Fractional) %</v>
      </c>
      <c r="H388" s="9">
        <f>[1]!SNLData("243327", C388, "OWNER_SNL_INSTN_KEY", "Owner 1")</f>
        <v>105915055</v>
      </c>
      <c r="I388" s="9">
        <f>[1]!SNLData("243327", C388, "OWNER_SNL_INSTN_KEY", "Owner 2")</f>
        <v>4531467</v>
      </c>
      <c r="J388" s="12" t="str">
        <f>_xll.SNL.Clients.Office.Excel.Functions.SPG(H388, "SP_ULT_PARENT_COMPANY_NAME")</f>
        <v/>
      </c>
      <c r="K388" s="12" t="str">
        <f>_xll.SNL.Clients.Office.Excel.Functions.SPG(H388, "SP_ULT_PARENT_COUNTRY")</f>
        <v/>
      </c>
      <c r="L388" s="12" t="str">
        <f>_xll.SNL.Clients.Office.Excel.Functions.SPG(H388, "SP_PARENT_COMPANY_NAME")</f>
        <v/>
      </c>
      <c r="M388" s="12" t="str">
        <f>_xll.SNL.Clients.Office.Excel.Functions.SPG(H388, "SP_PARENT_COUNTRY")</f>
        <v/>
      </c>
      <c r="N388" s="12" t="str">
        <f>_xll.SNL.Clients.Office.Excel.Functions.SPG(H388, "SP_COUNTRY_NAME")</f>
        <v>Canada</v>
      </c>
      <c r="O388" s="12" t="str">
        <f>_xll.SNL.Clients.Office.Excel.Functions.SPG(I388, "SP_ULT_PARENT_COMPANY_NAME")</f>
        <v/>
      </c>
      <c r="P388" s="12" t="str">
        <f>_xll.SNL.Clients.Office.Excel.Functions.SPG(I388, "SP_ULT_PARENT_COUNTRY")</f>
        <v/>
      </c>
      <c r="Q388" s="12" t="str">
        <f>_xll.SNL.Clients.Office.Excel.Functions.SPG(I388, "SP_PARENT_COMPANY_NAME")</f>
        <v/>
      </c>
      <c r="R388" s="12" t="str">
        <f>_xll.SNL.Clients.Office.Excel.Functions.SPG(I388, "SP_PARENT_COUNTRY")</f>
        <v/>
      </c>
      <c r="S388" s="12" t="str">
        <f>_xll.SNL.Clients.Office.Excel.Functions.SPG(I388, "SP_COUNTRY_NAME")</f>
        <v>USA</v>
      </c>
    </row>
    <row r="389" spans="1:19" x14ac:dyDescent="0.35">
      <c r="A389" s="5">
        <v>46022</v>
      </c>
      <c r="B389" s="4" t="s">
        <v>799</v>
      </c>
      <c r="C389" s="4" t="s">
        <v>800</v>
      </c>
      <c r="D389" s="4" t="s">
        <v>1125</v>
      </c>
      <c r="E389" s="8">
        <v>19556549</v>
      </c>
      <c r="F389" s="7">
        <v>100</v>
      </c>
      <c r="G389" s="12" t="str">
        <f>[1]!SNLData("243327", C389, "OWNER_LIST")</f>
        <v>Battery Mineral Resources Corp.  100%</v>
      </c>
      <c r="H389" s="9">
        <f>[1]!SNLData("243327", C389, "OWNER_SNL_INSTN_KEY", "Owner 1")</f>
        <v>19556549</v>
      </c>
      <c r="I389" s="9" t="str">
        <f>[1]!SNLData("243327", C389, "OWNER_SNL_INSTN_KEY", "Owner 2")</f>
        <v>NA</v>
      </c>
      <c r="J389" s="12" t="str">
        <f>_xll.SNL.Clients.Office.Excel.Functions.SPG(H389, "SP_ULT_PARENT_COMPANY_NAME")</f>
        <v/>
      </c>
      <c r="K389" s="12" t="str">
        <f>_xll.SNL.Clients.Office.Excel.Functions.SPG(H389, "SP_ULT_PARENT_COUNTRY")</f>
        <v/>
      </c>
      <c r="L389" s="12" t="str">
        <f>_xll.SNL.Clients.Office.Excel.Functions.SPG(H389, "SP_PARENT_COMPANY_NAME")</f>
        <v/>
      </c>
      <c r="M389" s="12" t="str">
        <f>_xll.SNL.Clients.Office.Excel.Functions.SPG(H389, "SP_PARENT_COUNTRY")</f>
        <v/>
      </c>
      <c r="N389" s="12" t="str">
        <f>_xll.SNL.Clients.Office.Excel.Functions.SPG(H389, "SP_COUNTRY_NAME")</f>
        <v>Canada</v>
      </c>
      <c r="O389" s="12" t="str">
        <f>_xll.SNL.Clients.Office.Excel.Functions.SPG(I389, "SP_ULT_PARENT_COMPANY_NAME")</f>
        <v/>
      </c>
      <c r="P389" s="12" t="str">
        <f>_xll.SNL.Clients.Office.Excel.Functions.SPG(I389, "SP_ULT_PARENT_COUNTRY")</f>
        <v/>
      </c>
      <c r="Q389" s="12" t="str">
        <f>_xll.SNL.Clients.Office.Excel.Functions.SPG(I389, "SP_PARENT_COMPANY_NAME")</f>
        <v/>
      </c>
      <c r="R389" s="12" t="str">
        <f>_xll.SNL.Clients.Office.Excel.Functions.SPG(I389, "SP_PARENT_COUNTRY")</f>
        <v/>
      </c>
      <c r="S389" s="12" t="str">
        <f>_xll.SNL.Clients.Office.Excel.Functions.SPG(I389, "SP_COUNTRY_NAME")</f>
        <v>China</v>
      </c>
    </row>
    <row r="390" spans="1:19" x14ac:dyDescent="0.35">
      <c r="A390" s="5">
        <v>46022</v>
      </c>
      <c r="B390" s="4" t="s">
        <v>408</v>
      </c>
      <c r="C390" s="4" t="s">
        <v>409</v>
      </c>
      <c r="D390" s="4" t="s">
        <v>962</v>
      </c>
      <c r="E390" s="8">
        <v>4353456</v>
      </c>
      <c r="F390" s="7">
        <v>100</v>
      </c>
      <c r="G390" s="12" t="str">
        <f>[1]!SNLData("243327", C390, "OWNER_LIST")</f>
        <v>Private Interest  100%</v>
      </c>
      <c r="H390" s="9">
        <f>[1]!SNLData("243327", C390, "OWNER_SNL_INSTN_KEY", "Owner 1")</f>
        <v>4353456</v>
      </c>
      <c r="I390" s="9" t="str">
        <f>[1]!SNLData("243327", C390, "OWNER_SNL_INSTN_KEY", "Owner 2")</f>
        <v>NA</v>
      </c>
      <c r="J390" s="12" t="str">
        <f>_xll.SNL.Clients.Office.Excel.Functions.SPG(H390, "SP_ULT_PARENT_COMPANY_NAME")</f>
        <v/>
      </c>
      <c r="K390" s="12" t="str">
        <f>_xll.SNL.Clients.Office.Excel.Functions.SPG(H390, "SP_ULT_PARENT_COUNTRY")</f>
        <v/>
      </c>
      <c r="L390" s="12" t="str">
        <f>_xll.SNL.Clients.Office.Excel.Functions.SPG(H390, "SP_PARENT_COMPANY_NAME")</f>
        <v/>
      </c>
      <c r="M390" s="12" t="str">
        <f>_xll.SNL.Clients.Office.Excel.Functions.SPG(H390, "SP_PARENT_COUNTRY")</f>
        <v/>
      </c>
      <c r="N390" s="12" t="str">
        <f>_xll.SNL.Clients.Office.Excel.Functions.SPG(H390, "SP_COUNTRY_NAME")</f>
        <v>China</v>
      </c>
      <c r="O390" s="12" t="str">
        <f>_xll.SNL.Clients.Office.Excel.Functions.SPG(I390, "SP_ULT_PARENT_COMPANY_NAME")</f>
        <v/>
      </c>
      <c r="P390" s="12" t="str">
        <f>_xll.SNL.Clients.Office.Excel.Functions.SPG(I390, "SP_ULT_PARENT_COUNTRY")</f>
        <v/>
      </c>
      <c r="Q390" s="12" t="str">
        <f>_xll.SNL.Clients.Office.Excel.Functions.SPG(I390, "SP_PARENT_COMPANY_NAME")</f>
        <v/>
      </c>
      <c r="R390" s="12" t="str">
        <f>_xll.SNL.Clients.Office.Excel.Functions.SPG(I390, "SP_PARENT_COUNTRY")</f>
        <v/>
      </c>
      <c r="S390" s="12" t="str">
        <f>_xll.SNL.Clients.Office.Excel.Functions.SPG(I390, "SP_COUNTRY_NAME")</f>
        <v>China</v>
      </c>
    </row>
    <row r="391" spans="1:19" ht="29" x14ac:dyDescent="0.35">
      <c r="A391" s="5">
        <v>46022</v>
      </c>
      <c r="B391" s="4" t="s">
        <v>410</v>
      </c>
      <c r="C391" s="4" t="s">
        <v>411</v>
      </c>
      <c r="D391" s="4" t="s">
        <v>1126</v>
      </c>
      <c r="E391" s="8">
        <v>10930082</v>
      </c>
      <c r="F391" s="7">
        <v>100</v>
      </c>
      <c r="G391" s="12" t="str">
        <f>[1]!SNLData("243327", C391, "OWNER_LIST")</f>
        <v>Qinghai Qilianshan Copper Industry Co., Ltd.  100%</v>
      </c>
      <c r="H391" s="9">
        <f>[1]!SNLData("243327", C391, "OWNER_SNL_INSTN_KEY", "Owner 1")</f>
        <v>10930082</v>
      </c>
      <c r="I391" s="9" t="str">
        <f>[1]!SNLData("243327", C391, "OWNER_SNL_INSTN_KEY", "Owner 2")</f>
        <v>NA</v>
      </c>
      <c r="J391" s="12" t="str">
        <f>_xll.SNL.Clients.Office.Excel.Functions.SPG(H391, "SP_ULT_PARENT_COMPANY_NAME")</f>
        <v/>
      </c>
      <c r="K391" s="12" t="str">
        <f>_xll.SNL.Clients.Office.Excel.Functions.SPG(H391, "SP_ULT_PARENT_COUNTRY")</f>
        <v/>
      </c>
      <c r="L391" s="12" t="str">
        <f>_xll.SNL.Clients.Office.Excel.Functions.SPG(H391, "SP_PARENT_COMPANY_NAME")</f>
        <v/>
      </c>
      <c r="M391" s="12" t="str">
        <f>_xll.SNL.Clients.Office.Excel.Functions.SPG(H391, "SP_PARENT_COUNTRY")</f>
        <v/>
      </c>
      <c r="N391" s="12" t="str">
        <f>_xll.SNL.Clients.Office.Excel.Functions.SPG(H391, "SP_COUNTRY_NAME")</f>
        <v>China</v>
      </c>
      <c r="O391" s="12" t="str">
        <f>_xll.SNL.Clients.Office.Excel.Functions.SPG(I391, "SP_ULT_PARENT_COMPANY_NAME")</f>
        <v/>
      </c>
      <c r="P391" s="12" t="str">
        <f>_xll.SNL.Clients.Office.Excel.Functions.SPG(I391, "SP_ULT_PARENT_COUNTRY")</f>
        <v/>
      </c>
      <c r="Q391" s="12" t="str">
        <f>_xll.SNL.Clients.Office.Excel.Functions.SPG(I391, "SP_PARENT_COMPANY_NAME")</f>
        <v/>
      </c>
      <c r="R391" s="12" t="str">
        <f>_xll.SNL.Clients.Office.Excel.Functions.SPG(I391, "SP_PARENT_COUNTRY")</f>
        <v/>
      </c>
      <c r="S391" s="12" t="str">
        <f>_xll.SNL.Clients.Office.Excel.Functions.SPG(I391, "SP_COUNTRY_NAME")</f>
        <v>China</v>
      </c>
    </row>
    <row r="392" spans="1:19" ht="72.5" x14ac:dyDescent="0.35">
      <c r="A392" s="5">
        <v>46022</v>
      </c>
      <c r="B392" s="4" t="s">
        <v>801</v>
      </c>
      <c r="C392" s="4" t="s">
        <v>802</v>
      </c>
      <c r="D392" s="4" t="s">
        <v>945</v>
      </c>
      <c r="E392" s="8">
        <v>4349314</v>
      </c>
      <c r="F392" s="7">
        <v>10</v>
      </c>
      <c r="G392" s="12" t="str">
        <f>[1]!SNLData("243327", C392, "OWNER_LIST")</f>
        <v>Sumitomo Corporation (Venturer) 5%; Sumitomo Metal Mining Co., Ltd. (Venturer) 25%; Corporación Nacional del Cobre de Chile (Carried) 10%; Teck Resources Limited (Venturer) 60%</v>
      </c>
      <c r="H392" s="9">
        <f>[1]!SNLData("243327", C392, "OWNER_SNL_INSTN_KEY", "Owner 1")</f>
        <v>4141965</v>
      </c>
      <c r="I392" s="9">
        <f>[1]!SNLData("243327", C392, "OWNER_SNL_INSTN_KEY", "Owner 2")</f>
        <v>4354638</v>
      </c>
      <c r="J392" s="12" t="str">
        <f>_xll.SNL.Clients.Office.Excel.Functions.SPG(H392, "SP_ULT_PARENT_COMPANY_NAME")</f>
        <v/>
      </c>
      <c r="K392" s="12" t="str">
        <f>_xll.SNL.Clients.Office.Excel.Functions.SPG(H392, "SP_ULT_PARENT_COUNTRY")</f>
        <v/>
      </c>
      <c r="L392" s="12" t="str">
        <f>_xll.SNL.Clients.Office.Excel.Functions.SPG(H392, "SP_PARENT_COMPANY_NAME")</f>
        <v/>
      </c>
      <c r="M392" s="12" t="str">
        <f>_xll.SNL.Clients.Office.Excel.Functions.SPG(H392, "SP_PARENT_COUNTRY")</f>
        <v/>
      </c>
      <c r="N392" s="12" t="str">
        <f>_xll.SNL.Clients.Office.Excel.Functions.SPG(H392, "SP_COUNTRY_NAME")</f>
        <v>Canada</v>
      </c>
      <c r="O392" s="12" t="str">
        <f>_xll.SNL.Clients.Office.Excel.Functions.SPG(I392, "SP_ULT_PARENT_COMPANY_NAME")</f>
        <v/>
      </c>
      <c r="P392" s="12" t="str">
        <f>_xll.SNL.Clients.Office.Excel.Functions.SPG(I392, "SP_ULT_PARENT_COUNTRY")</f>
        <v/>
      </c>
      <c r="Q392" s="12" t="str">
        <f>_xll.SNL.Clients.Office.Excel.Functions.SPG(I392, "SP_PARENT_COMPANY_NAME")</f>
        <v/>
      </c>
      <c r="R392" s="12" t="str">
        <f>_xll.SNL.Clients.Office.Excel.Functions.SPG(I392, "SP_PARENT_COUNTRY")</f>
        <v/>
      </c>
      <c r="S392" s="12" t="str">
        <f>_xll.SNL.Clients.Office.Excel.Functions.SPG(I392, "SP_COUNTRY_NAME")</f>
        <v>Japan</v>
      </c>
    </row>
    <row r="393" spans="1:19" ht="72.5" x14ac:dyDescent="0.35">
      <c r="A393" s="5">
        <v>46022</v>
      </c>
      <c r="B393" s="4" t="s">
        <v>801</v>
      </c>
      <c r="C393" s="4" t="s">
        <v>802</v>
      </c>
      <c r="D393" s="4" t="s">
        <v>988</v>
      </c>
      <c r="E393" s="8">
        <v>4047416</v>
      </c>
      <c r="F393" s="7">
        <v>5</v>
      </c>
      <c r="G393" s="12" t="str">
        <f>[1]!SNLData("243327", C393, "OWNER_LIST")</f>
        <v>Sumitomo Corporation (Venturer) 5%; Sumitomo Metal Mining Co., Ltd. (Venturer) 25%; Corporación Nacional del Cobre de Chile (Carried) 10%; Teck Resources Limited (Venturer) 60%</v>
      </c>
      <c r="H393" s="9">
        <f>[1]!SNLData("243327", C393, "OWNER_SNL_INSTN_KEY", "Owner 1")</f>
        <v>4141965</v>
      </c>
      <c r="I393" s="9">
        <f>[1]!SNLData("243327", C393, "OWNER_SNL_INSTN_KEY", "Owner 2")</f>
        <v>4354638</v>
      </c>
      <c r="J393" s="12" t="str">
        <f>_xll.SNL.Clients.Office.Excel.Functions.SPG(H393, "SP_ULT_PARENT_COMPANY_NAME")</f>
        <v/>
      </c>
      <c r="K393" s="12" t="str">
        <f>_xll.SNL.Clients.Office.Excel.Functions.SPG(H393, "SP_ULT_PARENT_COUNTRY")</f>
        <v/>
      </c>
      <c r="L393" s="12" t="str">
        <f>_xll.SNL.Clients.Office.Excel.Functions.SPG(H393, "SP_PARENT_COMPANY_NAME")</f>
        <v/>
      </c>
      <c r="M393" s="12" t="str">
        <f>_xll.SNL.Clients.Office.Excel.Functions.SPG(H393, "SP_PARENT_COUNTRY")</f>
        <v/>
      </c>
      <c r="N393" s="12" t="str">
        <f>_xll.SNL.Clients.Office.Excel.Functions.SPG(H393, "SP_COUNTRY_NAME")</f>
        <v>Canada</v>
      </c>
      <c r="O393" s="12" t="str">
        <f>_xll.SNL.Clients.Office.Excel.Functions.SPG(I393, "SP_ULT_PARENT_COMPANY_NAME")</f>
        <v/>
      </c>
      <c r="P393" s="12" t="str">
        <f>_xll.SNL.Clients.Office.Excel.Functions.SPG(I393, "SP_ULT_PARENT_COUNTRY")</f>
        <v/>
      </c>
      <c r="Q393" s="12" t="str">
        <f>_xll.SNL.Clients.Office.Excel.Functions.SPG(I393, "SP_PARENT_COMPANY_NAME")</f>
        <v/>
      </c>
      <c r="R393" s="12" t="str">
        <f>_xll.SNL.Clients.Office.Excel.Functions.SPG(I393, "SP_PARENT_COUNTRY")</f>
        <v/>
      </c>
      <c r="S393" s="12" t="str">
        <f>_xll.SNL.Clients.Office.Excel.Functions.SPG(I393, "SP_COUNTRY_NAME")</f>
        <v>Japan</v>
      </c>
    </row>
    <row r="394" spans="1:19" ht="72.5" x14ac:dyDescent="0.35">
      <c r="A394" s="5">
        <v>46022</v>
      </c>
      <c r="B394" s="4" t="s">
        <v>801</v>
      </c>
      <c r="C394" s="4" t="s">
        <v>802</v>
      </c>
      <c r="D394" s="4" t="s">
        <v>989</v>
      </c>
      <c r="E394" s="8">
        <v>4354638</v>
      </c>
      <c r="F394" s="7">
        <v>25</v>
      </c>
      <c r="G394" s="12" t="str">
        <f>[1]!SNLData("243327", C394, "OWNER_LIST")</f>
        <v>Sumitomo Corporation (Venturer) 5%; Sumitomo Metal Mining Co., Ltd. (Venturer) 25%; Corporación Nacional del Cobre de Chile (Carried) 10%; Teck Resources Limited (Venturer) 60%</v>
      </c>
      <c r="H394" s="9">
        <f>[1]!SNLData("243327", C394, "OWNER_SNL_INSTN_KEY", "Owner 1")</f>
        <v>4141965</v>
      </c>
      <c r="I394" s="9">
        <f>[1]!SNLData("243327", C394, "OWNER_SNL_INSTN_KEY", "Owner 2")</f>
        <v>4354638</v>
      </c>
      <c r="J394" s="12" t="str">
        <f>_xll.SNL.Clients.Office.Excel.Functions.SPG(H394, "SP_ULT_PARENT_COMPANY_NAME")</f>
        <v/>
      </c>
      <c r="K394" s="12" t="str">
        <f>_xll.SNL.Clients.Office.Excel.Functions.SPG(H394, "SP_ULT_PARENT_COUNTRY")</f>
        <v/>
      </c>
      <c r="L394" s="12" t="str">
        <f>_xll.SNL.Clients.Office.Excel.Functions.SPG(H394, "SP_PARENT_COMPANY_NAME")</f>
        <v/>
      </c>
      <c r="M394" s="12" t="str">
        <f>_xll.SNL.Clients.Office.Excel.Functions.SPG(H394, "SP_PARENT_COUNTRY")</f>
        <v/>
      </c>
      <c r="N394" s="12" t="str">
        <f>_xll.SNL.Clients.Office.Excel.Functions.SPG(H394, "SP_COUNTRY_NAME")</f>
        <v>Canada</v>
      </c>
      <c r="O394" s="12" t="str">
        <f>_xll.SNL.Clients.Office.Excel.Functions.SPG(I394, "SP_ULT_PARENT_COMPANY_NAME")</f>
        <v/>
      </c>
      <c r="P394" s="12" t="str">
        <f>_xll.SNL.Clients.Office.Excel.Functions.SPG(I394, "SP_ULT_PARENT_COUNTRY")</f>
        <v/>
      </c>
      <c r="Q394" s="12" t="str">
        <f>_xll.SNL.Clients.Office.Excel.Functions.SPG(I394, "SP_PARENT_COMPANY_NAME")</f>
        <v/>
      </c>
      <c r="R394" s="12" t="str">
        <f>_xll.SNL.Clients.Office.Excel.Functions.SPG(I394, "SP_PARENT_COUNTRY")</f>
        <v/>
      </c>
      <c r="S394" s="12" t="str">
        <f>_xll.SNL.Clients.Office.Excel.Functions.SPG(I394, "SP_COUNTRY_NAME")</f>
        <v>Japan</v>
      </c>
    </row>
    <row r="395" spans="1:19" ht="72.5" x14ac:dyDescent="0.35">
      <c r="A395" s="5">
        <v>46022</v>
      </c>
      <c r="B395" s="4" t="s">
        <v>801</v>
      </c>
      <c r="C395" s="4" t="s">
        <v>802</v>
      </c>
      <c r="D395" s="4" t="s">
        <v>950</v>
      </c>
      <c r="E395" s="8">
        <v>4141965</v>
      </c>
      <c r="F395" s="7">
        <v>60</v>
      </c>
      <c r="G395" s="12" t="str">
        <f>[1]!SNLData("243327", C395, "OWNER_LIST")</f>
        <v>Sumitomo Corporation (Venturer) 5%; Sumitomo Metal Mining Co., Ltd. (Venturer) 25%; Corporación Nacional del Cobre de Chile (Carried) 10%; Teck Resources Limited (Venturer) 60%</v>
      </c>
      <c r="H395" s="9">
        <f>[1]!SNLData("243327", C395, "OWNER_SNL_INSTN_KEY", "Owner 1")</f>
        <v>4141965</v>
      </c>
      <c r="I395" s="9">
        <f>[1]!SNLData("243327", C395, "OWNER_SNL_INSTN_KEY", "Owner 2")</f>
        <v>4354638</v>
      </c>
      <c r="J395" s="12" t="str">
        <f>_xll.SNL.Clients.Office.Excel.Functions.SPG(H395, "SP_ULT_PARENT_COMPANY_NAME")</f>
        <v/>
      </c>
      <c r="K395" s="12" t="str">
        <f>_xll.SNL.Clients.Office.Excel.Functions.SPG(H395, "SP_ULT_PARENT_COUNTRY")</f>
        <v/>
      </c>
      <c r="L395" s="12" t="str">
        <f>_xll.SNL.Clients.Office.Excel.Functions.SPG(H395, "SP_PARENT_COMPANY_NAME")</f>
        <v/>
      </c>
      <c r="M395" s="12" t="str">
        <f>_xll.SNL.Clients.Office.Excel.Functions.SPG(H395, "SP_PARENT_COUNTRY")</f>
        <v/>
      </c>
      <c r="N395" s="12" t="str">
        <f>_xll.SNL.Clients.Office.Excel.Functions.SPG(H395, "SP_COUNTRY_NAME")</f>
        <v>Canada</v>
      </c>
      <c r="O395" s="12" t="str">
        <f>_xll.SNL.Clients.Office.Excel.Functions.SPG(I395, "SP_ULT_PARENT_COMPANY_NAME")</f>
        <v/>
      </c>
      <c r="P395" s="12" t="str">
        <f>_xll.SNL.Clients.Office.Excel.Functions.SPG(I395, "SP_ULT_PARENT_COUNTRY")</f>
        <v/>
      </c>
      <c r="Q395" s="12" t="str">
        <f>_xll.SNL.Clients.Office.Excel.Functions.SPG(I395, "SP_PARENT_COMPANY_NAME")</f>
        <v/>
      </c>
      <c r="R395" s="12" t="str">
        <f>_xll.SNL.Clients.Office.Excel.Functions.SPG(I395, "SP_PARENT_COUNTRY")</f>
        <v/>
      </c>
      <c r="S395" s="12" t="str">
        <f>_xll.SNL.Clients.Office.Excel.Functions.SPG(I395, "SP_COUNTRY_NAME")</f>
        <v>Japan</v>
      </c>
    </row>
    <row r="396" spans="1:19" ht="29" x14ac:dyDescent="0.35">
      <c r="A396" s="5">
        <v>46022</v>
      </c>
      <c r="B396" s="4" t="s">
        <v>803</v>
      </c>
      <c r="C396" s="4" t="s">
        <v>804</v>
      </c>
      <c r="D396" s="4" t="s">
        <v>1007</v>
      </c>
      <c r="E396" s="8">
        <v>4193273</v>
      </c>
      <c r="F396" s="7">
        <v>60</v>
      </c>
      <c r="G396" s="12" t="str">
        <f>[1]!SNLData("243327", C396, "OWNER_LIST")</f>
        <v>Anglo American plc (Venturer) 60%; Mitsubishi Corporation (Venturer) 40%</v>
      </c>
      <c r="H396" s="9">
        <f>[1]!SNLData("243327", C396, "OWNER_SNL_INSTN_KEY", "Owner 1")</f>
        <v>4193273</v>
      </c>
      <c r="I396" s="9">
        <f>[1]!SNLData("243327", C396, "OWNER_SNL_INSTN_KEY", "Owner 2")</f>
        <v>4065098</v>
      </c>
      <c r="J396" s="12" t="str">
        <f>_xll.SNL.Clients.Office.Excel.Functions.SPG(H396, "SP_ULT_PARENT_COMPANY_NAME")</f>
        <v/>
      </c>
      <c r="K396" s="12" t="str">
        <f>_xll.SNL.Clients.Office.Excel.Functions.SPG(H396, "SP_ULT_PARENT_COUNTRY")</f>
        <v/>
      </c>
      <c r="L396" s="12" t="str">
        <f>_xll.SNL.Clients.Office.Excel.Functions.SPG(H396, "SP_PARENT_COMPANY_NAME")</f>
        <v/>
      </c>
      <c r="M396" s="12" t="str">
        <f>_xll.SNL.Clients.Office.Excel.Functions.SPG(H396, "SP_PARENT_COUNTRY")</f>
        <v/>
      </c>
      <c r="N396" s="12" t="str">
        <f>_xll.SNL.Clients.Office.Excel.Functions.SPG(H396, "SP_COUNTRY_NAME")</f>
        <v>United Kingdom</v>
      </c>
      <c r="O396" s="12" t="str">
        <f>_xll.SNL.Clients.Office.Excel.Functions.SPG(I396, "SP_ULT_PARENT_COMPANY_NAME")</f>
        <v/>
      </c>
      <c r="P396" s="12" t="str">
        <f>_xll.SNL.Clients.Office.Excel.Functions.SPG(I396, "SP_ULT_PARENT_COUNTRY")</f>
        <v/>
      </c>
      <c r="Q396" s="12" t="str">
        <f>_xll.SNL.Clients.Office.Excel.Functions.SPG(I396, "SP_PARENT_COMPANY_NAME")</f>
        <v/>
      </c>
      <c r="R396" s="12" t="str">
        <f>_xll.SNL.Clients.Office.Excel.Functions.SPG(I396, "SP_PARENT_COUNTRY")</f>
        <v/>
      </c>
      <c r="S396" s="12" t="str">
        <f>_xll.SNL.Clients.Office.Excel.Functions.SPG(I396, "SP_COUNTRY_NAME")</f>
        <v>Japan</v>
      </c>
    </row>
    <row r="397" spans="1:19" ht="29" x14ac:dyDescent="0.35">
      <c r="A397" s="5">
        <v>46022</v>
      </c>
      <c r="B397" s="4" t="s">
        <v>803</v>
      </c>
      <c r="C397" s="4" t="s">
        <v>804</v>
      </c>
      <c r="D397" s="4" t="s">
        <v>949</v>
      </c>
      <c r="E397" s="8">
        <v>4065098</v>
      </c>
      <c r="F397" s="7">
        <v>40</v>
      </c>
      <c r="G397" s="12" t="str">
        <f>[1]!SNLData("243327", C397, "OWNER_LIST")</f>
        <v>Anglo American plc (Venturer) 60%; Mitsubishi Corporation (Venturer) 40%</v>
      </c>
      <c r="H397" s="9">
        <f>[1]!SNLData("243327", C397, "OWNER_SNL_INSTN_KEY", "Owner 1")</f>
        <v>4193273</v>
      </c>
      <c r="I397" s="9">
        <f>[1]!SNLData("243327", C397, "OWNER_SNL_INSTN_KEY", "Owner 2")</f>
        <v>4065098</v>
      </c>
      <c r="J397" s="12" t="str">
        <f>_xll.SNL.Clients.Office.Excel.Functions.SPG(H397, "SP_ULT_PARENT_COMPANY_NAME")</f>
        <v/>
      </c>
      <c r="K397" s="12" t="str">
        <f>_xll.SNL.Clients.Office.Excel.Functions.SPG(H397, "SP_ULT_PARENT_COUNTRY")</f>
        <v/>
      </c>
      <c r="L397" s="12" t="str">
        <f>_xll.SNL.Clients.Office.Excel.Functions.SPG(H397, "SP_PARENT_COMPANY_NAME")</f>
        <v/>
      </c>
      <c r="M397" s="12" t="str">
        <f>_xll.SNL.Clients.Office.Excel.Functions.SPG(H397, "SP_PARENT_COUNTRY")</f>
        <v/>
      </c>
      <c r="N397" s="12" t="str">
        <f>_xll.SNL.Clients.Office.Excel.Functions.SPG(H397, "SP_COUNTRY_NAME")</f>
        <v>United Kingdom</v>
      </c>
      <c r="O397" s="12" t="str">
        <f>_xll.SNL.Clients.Office.Excel.Functions.SPG(I397, "SP_ULT_PARENT_COMPANY_NAME")</f>
        <v/>
      </c>
      <c r="P397" s="12" t="str">
        <f>_xll.SNL.Clients.Office.Excel.Functions.SPG(I397, "SP_ULT_PARENT_COUNTRY")</f>
        <v/>
      </c>
      <c r="Q397" s="12" t="str">
        <f>_xll.SNL.Clients.Office.Excel.Functions.SPG(I397, "SP_PARENT_COMPANY_NAME")</f>
        <v/>
      </c>
      <c r="R397" s="12" t="str">
        <f>_xll.SNL.Clients.Office.Excel.Functions.SPG(I397, "SP_PARENT_COUNTRY")</f>
        <v/>
      </c>
      <c r="S397" s="12" t="str">
        <f>_xll.SNL.Clients.Office.Excel.Functions.SPG(I397, "SP_COUNTRY_NAME")</f>
        <v>Japan</v>
      </c>
    </row>
    <row r="398" spans="1:19" ht="58" x14ac:dyDescent="0.35">
      <c r="A398" s="5">
        <v>46022</v>
      </c>
      <c r="B398" s="4" t="s">
        <v>805</v>
      </c>
      <c r="C398" s="4" t="s">
        <v>806</v>
      </c>
      <c r="D398" s="4" t="s">
        <v>962</v>
      </c>
      <c r="E398" s="8">
        <v>4353456</v>
      </c>
      <c r="F398" s="7">
        <v>25</v>
      </c>
      <c r="G398" s="12" t="str">
        <f>[1]!SNLData("243327", C398, "OWNER_LIST")</f>
        <v>Zijin Mining Group Company Limited (Venturer) 58.16%; Zangge Mining Company Limited (Venturer) 16.84%; Private Interest (Venturer) 25%</v>
      </c>
      <c r="H398" s="9">
        <f>[1]!SNLData("243327", C398, "OWNER_SNL_INSTN_KEY", "Owner 1")</f>
        <v>4355642</v>
      </c>
      <c r="I398" s="9">
        <f>[1]!SNLData("243327", C398, "OWNER_SNL_INSTN_KEY", "Owner 2")</f>
        <v>4353456</v>
      </c>
      <c r="J398" s="12" t="str">
        <f>_xll.SNL.Clients.Office.Excel.Functions.SPG(H398, "SP_ULT_PARENT_COMPANY_NAME")</f>
        <v/>
      </c>
      <c r="K398" s="12" t="str">
        <f>_xll.SNL.Clients.Office.Excel.Functions.SPG(H398, "SP_ULT_PARENT_COUNTRY")</f>
        <v/>
      </c>
      <c r="L398" s="12" t="str">
        <f>_xll.SNL.Clients.Office.Excel.Functions.SPG(H398, "SP_PARENT_COMPANY_NAME")</f>
        <v/>
      </c>
      <c r="M398" s="12" t="str">
        <f>_xll.SNL.Clients.Office.Excel.Functions.SPG(H398, "SP_PARENT_COUNTRY")</f>
        <v/>
      </c>
      <c r="N398" s="12" t="str">
        <f>_xll.SNL.Clients.Office.Excel.Functions.SPG(H398, "SP_COUNTRY_NAME")</f>
        <v>China</v>
      </c>
      <c r="O398" s="12" t="str">
        <f>_xll.SNL.Clients.Office.Excel.Functions.SPG(I398, "SP_ULT_PARENT_COMPANY_NAME")</f>
        <v/>
      </c>
      <c r="P398" s="12" t="str">
        <f>_xll.SNL.Clients.Office.Excel.Functions.SPG(I398, "SP_ULT_PARENT_COUNTRY")</f>
        <v/>
      </c>
      <c r="Q398" s="12" t="str">
        <f>_xll.SNL.Clients.Office.Excel.Functions.SPG(I398, "SP_PARENT_COMPANY_NAME")</f>
        <v/>
      </c>
      <c r="R398" s="12" t="str">
        <f>_xll.SNL.Clients.Office.Excel.Functions.SPG(I398, "SP_PARENT_COUNTRY")</f>
        <v/>
      </c>
      <c r="S398" s="12" t="str">
        <f>_xll.SNL.Clients.Office.Excel.Functions.SPG(I398, "SP_COUNTRY_NAME")</f>
        <v>China</v>
      </c>
    </row>
    <row r="399" spans="1:19" ht="58" x14ac:dyDescent="0.35">
      <c r="A399" s="5">
        <v>46022</v>
      </c>
      <c r="B399" s="4" t="s">
        <v>805</v>
      </c>
      <c r="C399" s="4" t="s">
        <v>806</v>
      </c>
      <c r="D399" s="4" t="s">
        <v>1127</v>
      </c>
      <c r="E399" s="8">
        <v>4993645</v>
      </c>
      <c r="F399" s="7">
        <v>16.84</v>
      </c>
      <c r="G399" s="12" t="str">
        <f>[1]!SNLData("243327", C399, "OWNER_LIST")</f>
        <v>Zijin Mining Group Company Limited (Venturer) 58.16%; Zangge Mining Company Limited (Venturer) 16.84%; Private Interest (Venturer) 25%</v>
      </c>
      <c r="H399" s="9">
        <f>[1]!SNLData("243327", C399, "OWNER_SNL_INSTN_KEY", "Owner 1")</f>
        <v>4355642</v>
      </c>
      <c r="I399" s="9">
        <f>[1]!SNLData("243327", C399, "OWNER_SNL_INSTN_KEY", "Owner 2")</f>
        <v>4353456</v>
      </c>
      <c r="J399" s="12" t="str">
        <f>_xll.SNL.Clients.Office.Excel.Functions.SPG(H399, "SP_ULT_PARENT_COMPANY_NAME")</f>
        <v/>
      </c>
      <c r="K399" s="12" t="str">
        <f>_xll.SNL.Clients.Office.Excel.Functions.SPG(H399, "SP_ULT_PARENT_COUNTRY")</f>
        <v/>
      </c>
      <c r="L399" s="12" t="str">
        <f>_xll.SNL.Clients.Office.Excel.Functions.SPG(H399, "SP_PARENT_COMPANY_NAME")</f>
        <v/>
      </c>
      <c r="M399" s="12" t="str">
        <f>_xll.SNL.Clients.Office.Excel.Functions.SPG(H399, "SP_PARENT_COUNTRY")</f>
        <v/>
      </c>
      <c r="N399" s="12" t="str">
        <f>_xll.SNL.Clients.Office.Excel.Functions.SPG(H399, "SP_COUNTRY_NAME")</f>
        <v>China</v>
      </c>
      <c r="O399" s="12" t="str">
        <f>_xll.SNL.Clients.Office.Excel.Functions.SPG(I399, "SP_ULT_PARENT_COMPANY_NAME")</f>
        <v/>
      </c>
      <c r="P399" s="12" t="str">
        <f>_xll.SNL.Clients.Office.Excel.Functions.SPG(I399, "SP_ULT_PARENT_COUNTRY")</f>
        <v/>
      </c>
      <c r="Q399" s="12" t="str">
        <f>_xll.SNL.Clients.Office.Excel.Functions.SPG(I399, "SP_PARENT_COMPANY_NAME")</f>
        <v/>
      </c>
      <c r="R399" s="12" t="str">
        <f>_xll.SNL.Clients.Office.Excel.Functions.SPG(I399, "SP_PARENT_COUNTRY")</f>
        <v/>
      </c>
      <c r="S399" s="12" t="str">
        <f>_xll.SNL.Clients.Office.Excel.Functions.SPG(I399, "SP_COUNTRY_NAME")</f>
        <v>China</v>
      </c>
    </row>
    <row r="400" spans="1:19" ht="58" x14ac:dyDescent="0.35">
      <c r="A400" s="5">
        <v>46022</v>
      </c>
      <c r="B400" s="4" t="s">
        <v>805</v>
      </c>
      <c r="C400" s="4" t="s">
        <v>806</v>
      </c>
      <c r="D400" s="4" t="s">
        <v>958</v>
      </c>
      <c r="E400" s="8">
        <v>4355642</v>
      </c>
      <c r="F400" s="7">
        <v>58.16</v>
      </c>
      <c r="G400" s="12" t="str">
        <f>[1]!SNLData("243327", C400, "OWNER_LIST")</f>
        <v>Zijin Mining Group Company Limited (Venturer) 58.16%; Zangge Mining Company Limited (Venturer) 16.84%; Private Interest (Venturer) 25%</v>
      </c>
      <c r="H400" s="9">
        <f>[1]!SNLData("243327", C400, "OWNER_SNL_INSTN_KEY", "Owner 1")</f>
        <v>4355642</v>
      </c>
      <c r="I400" s="9">
        <f>[1]!SNLData("243327", C400, "OWNER_SNL_INSTN_KEY", "Owner 2")</f>
        <v>4353456</v>
      </c>
      <c r="J400" s="12" t="str">
        <f>_xll.SNL.Clients.Office.Excel.Functions.SPG(H400, "SP_ULT_PARENT_COMPANY_NAME")</f>
        <v/>
      </c>
      <c r="K400" s="12" t="str">
        <f>_xll.SNL.Clients.Office.Excel.Functions.SPG(H400, "SP_ULT_PARENT_COUNTRY")</f>
        <v/>
      </c>
      <c r="L400" s="12" t="str">
        <f>_xll.SNL.Clients.Office.Excel.Functions.SPG(H400, "SP_PARENT_COMPANY_NAME")</f>
        <v/>
      </c>
      <c r="M400" s="12" t="str">
        <f>_xll.SNL.Clients.Office.Excel.Functions.SPG(H400, "SP_PARENT_COUNTRY")</f>
        <v/>
      </c>
      <c r="N400" s="12" t="str">
        <f>_xll.SNL.Clients.Office.Excel.Functions.SPG(H400, "SP_COUNTRY_NAME")</f>
        <v>China</v>
      </c>
      <c r="O400" s="12" t="str">
        <f>_xll.SNL.Clients.Office.Excel.Functions.SPG(I400, "SP_ULT_PARENT_COMPANY_NAME")</f>
        <v/>
      </c>
      <c r="P400" s="12" t="str">
        <f>_xll.SNL.Clients.Office.Excel.Functions.SPG(I400, "SP_ULT_PARENT_COUNTRY")</f>
        <v/>
      </c>
      <c r="Q400" s="12" t="str">
        <f>_xll.SNL.Clients.Office.Excel.Functions.SPG(I400, "SP_PARENT_COMPANY_NAME")</f>
        <v/>
      </c>
      <c r="R400" s="12" t="str">
        <f>_xll.SNL.Clients.Office.Excel.Functions.SPG(I400, "SP_PARENT_COUNTRY")</f>
        <v/>
      </c>
      <c r="S400" s="12" t="str">
        <f>_xll.SNL.Clients.Office.Excel.Functions.SPG(I400, "SP_COUNTRY_NAME")</f>
        <v>China</v>
      </c>
    </row>
    <row r="401" spans="1:19" x14ac:dyDescent="0.35">
      <c r="A401" s="5">
        <v>46022</v>
      </c>
      <c r="B401" s="4" t="s">
        <v>621</v>
      </c>
      <c r="C401" s="4" t="s">
        <v>622</v>
      </c>
      <c r="D401" s="4" t="s">
        <v>945</v>
      </c>
      <c r="E401" s="8">
        <v>4349314</v>
      </c>
      <c r="F401" s="7">
        <v>100</v>
      </c>
      <c r="G401" s="12" t="str">
        <f>[1]!SNLData("243327", C401, "OWNER_LIST")</f>
        <v>Corporación Nacional del Cobre de Chile  100%</v>
      </c>
      <c r="H401" s="9">
        <f>[1]!SNLData("243327", C401, "OWNER_SNL_INSTN_KEY", "Owner 1")</f>
        <v>4349314</v>
      </c>
      <c r="I401" s="9" t="str">
        <f>[1]!SNLData("243327", C401, "OWNER_SNL_INSTN_KEY", "Owner 2")</f>
        <v>NA</v>
      </c>
      <c r="J401" s="12" t="str">
        <f>_xll.SNL.Clients.Office.Excel.Functions.SPG(H401, "SP_ULT_PARENT_COMPANY_NAME")</f>
        <v>Chile</v>
      </c>
      <c r="K401" s="12" t="str">
        <f>_xll.SNL.Clients.Office.Excel.Functions.SPG(H401, "SP_ULT_PARENT_COUNTRY")</f>
        <v>Chile</v>
      </c>
      <c r="L401" s="12" t="str">
        <f>_xll.SNL.Clients.Office.Excel.Functions.SPG(H401, "SP_PARENT_COMPANY_NAME")</f>
        <v>Chile</v>
      </c>
      <c r="M401" s="12" t="str">
        <f>_xll.SNL.Clients.Office.Excel.Functions.SPG(H401, "SP_PARENT_COUNTRY")</f>
        <v>Chile</v>
      </c>
      <c r="N401" s="12" t="str">
        <f>_xll.SNL.Clients.Office.Excel.Functions.SPG(H401, "SP_COUNTRY_NAME")</f>
        <v>Chile</v>
      </c>
      <c r="O401" s="12" t="str">
        <f>_xll.SNL.Clients.Office.Excel.Functions.SPG(I401, "SP_ULT_PARENT_COMPANY_NAME")</f>
        <v/>
      </c>
      <c r="P401" s="12" t="str">
        <f>_xll.SNL.Clients.Office.Excel.Functions.SPG(I401, "SP_ULT_PARENT_COUNTRY")</f>
        <v/>
      </c>
      <c r="Q401" s="12" t="str">
        <f>_xll.SNL.Clients.Office.Excel.Functions.SPG(I401, "SP_PARENT_COMPANY_NAME")</f>
        <v/>
      </c>
      <c r="R401" s="12" t="str">
        <f>_xll.SNL.Clients.Office.Excel.Functions.SPG(I401, "SP_PARENT_COUNTRY")</f>
        <v/>
      </c>
      <c r="S401" s="12" t="str">
        <f>_xll.SNL.Clients.Office.Excel.Functions.SPG(I401, "SP_COUNTRY_NAME")</f>
        <v>China</v>
      </c>
    </row>
    <row r="402" spans="1:19" x14ac:dyDescent="0.35">
      <c r="A402" s="5">
        <v>46022</v>
      </c>
      <c r="B402" s="4" t="s">
        <v>412</v>
      </c>
      <c r="C402" s="4" t="s">
        <v>413</v>
      </c>
      <c r="D402" s="4" t="s">
        <v>948</v>
      </c>
      <c r="E402" s="8">
        <v>4113732</v>
      </c>
      <c r="F402" s="7">
        <v>100</v>
      </c>
      <c r="G402" s="12" t="str">
        <f>[1]!SNLData("243327", C402, "OWNER_LIST")</f>
        <v>Glencore plc  100%</v>
      </c>
      <c r="H402" s="9">
        <f>[1]!SNLData("243327", C402, "OWNER_SNL_INSTN_KEY", "Owner 1")</f>
        <v>4113732</v>
      </c>
      <c r="I402" s="9" t="str">
        <f>[1]!SNLData("243327", C402, "OWNER_SNL_INSTN_KEY", "Owner 2")</f>
        <v>NA</v>
      </c>
      <c r="J402" s="12" t="str">
        <f>_xll.SNL.Clients.Office.Excel.Functions.SPG(H402, "SP_ULT_PARENT_COMPANY_NAME")</f>
        <v/>
      </c>
      <c r="K402" s="12" t="str">
        <f>_xll.SNL.Clients.Office.Excel.Functions.SPG(H402, "SP_ULT_PARENT_COUNTRY")</f>
        <v/>
      </c>
      <c r="L402" s="12" t="str">
        <f>_xll.SNL.Clients.Office.Excel.Functions.SPG(H402, "SP_PARENT_COMPANY_NAME")</f>
        <v/>
      </c>
      <c r="M402" s="12" t="str">
        <f>_xll.SNL.Clients.Office.Excel.Functions.SPG(H402, "SP_PARENT_COUNTRY")</f>
        <v/>
      </c>
      <c r="N402" s="12" t="str">
        <f>_xll.SNL.Clients.Office.Excel.Functions.SPG(H402, "SP_COUNTRY_NAME")</f>
        <v>Switzerland</v>
      </c>
      <c r="O402" s="12" t="str">
        <f>_xll.SNL.Clients.Office.Excel.Functions.SPG(I402, "SP_ULT_PARENT_COMPANY_NAME")</f>
        <v/>
      </c>
      <c r="P402" s="12" t="str">
        <f>_xll.SNL.Clients.Office.Excel.Functions.SPG(I402, "SP_ULT_PARENT_COUNTRY")</f>
        <v/>
      </c>
      <c r="Q402" s="12" t="str">
        <f>_xll.SNL.Clients.Office.Excel.Functions.SPG(I402, "SP_PARENT_COMPANY_NAME")</f>
        <v/>
      </c>
      <c r="R402" s="12" t="str">
        <f>_xll.SNL.Clients.Office.Excel.Functions.SPG(I402, "SP_PARENT_COUNTRY")</f>
        <v/>
      </c>
      <c r="S402" s="12" t="str">
        <f>_xll.SNL.Clients.Office.Excel.Functions.SPG(I402, "SP_COUNTRY_NAME")</f>
        <v>China</v>
      </c>
    </row>
    <row r="403" spans="1:19" x14ac:dyDescent="0.35">
      <c r="A403" s="5">
        <v>46022</v>
      </c>
      <c r="B403" s="4" t="s">
        <v>807</v>
      </c>
      <c r="C403" s="4" t="s">
        <v>808</v>
      </c>
      <c r="D403" s="4" t="s">
        <v>1097</v>
      </c>
      <c r="E403" s="8">
        <v>4350827</v>
      </c>
      <c r="F403" s="7">
        <v>100</v>
      </c>
      <c r="G403" s="12" t="str">
        <f>[1]!SNLData("243327", C403, "OWNER_LIST")</f>
        <v>Grupo México, S.A.B. de C.V.  100%</v>
      </c>
      <c r="H403" s="9">
        <f>[1]!SNLData("243327", C403, "OWNER_SNL_INSTN_KEY", "Owner 1")</f>
        <v>4350827</v>
      </c>
      <c r="I403" s="9" t="str">
        <f>[1]!SNLData("243327", C403, "OWNER_SNL_INSTN_KEY", "Owner 2")</f>
        <v>NA</v>
      </c>
      <c r="J403" s="12" t="str">
        <f>_xll.SNL.Clients.Office.Excel.Functions.SPG(H403, "SP_ULT_PARENT_COMPANY_NAME")</f>
        <v/>
      </c>
      <c r="K403" s="12" t="str">
        <f>_xll.SNL.Clients.Office.Excel.Functions.SPG(H403, "SP_ULT_PARENT_COUNTRY")</f>
        <v/>
      </c>
      <c r="L403" s="12" t="str">
        <f>_xll.SNL.Clients.Office.Excel.Functions.SPG(H403, "SP_PARENT_COMPANY_NAME")</f>
        <v/>
      </c>
      <c r="M403" s="12" t="str">
        <f>_xll.SNL.Clients.Office.Excel.Functions.SPG(H403, "SP_PARENT_COUNTRY")</f>
        <v/>
      </c>
      <c r="N403" s="12" t="str">
        <f>_xll.SNL.Clients.Office.Excel.Functions.SPG(H403, "SP_COUNTRY_NAME")</f>
        <v>Mexico</v>
      </c>
      <c r="O403" s="12" t="str">
        <f>_xll.SNL.Clients.Office.Excel.Functions.SPG(I403, "SP_ULT_PARENT_COMPANY_NAME")</f>
        <v/>
      </c>
      <c r="P403" s="12" t="str">
        <f>_xll.SNL.Clients.Office.Excel.Functions.SPG(I403, "SP_ULT_PARENT_COUNTRY")</f>
        <v/>
      </c>
      <c r="Q403" s="12" t="str">
        <f>_xll.SNL.Clients.Office.Excel.Functions.SPG(I403, "SP_PARENT_COMPANY_NAME")</f>
        <v/>
      </c>
      <c r="R403" s="12" t="str">
        <f>_xll.SNL.Clients.Office.Excel.Functions.SPG(I403, "SP_PARENT_COUNTRY")</f>
        <v/>
      </c>
      <c r="S403" s="12" t="str">
        <f>_xll.SNL.Clients.Office.Excel.Functions.SPG(I403, "SP_COUNTRY_NAME")</f>
        <v>China</v>
      </c>
    </row>
    <row r="404" spans="1:19" x14ac:dyDescent="0.35">
      <c r="A404" s="5">
        <v>46022</v>
      </c>
      <c r="B404" s="4" t="s">
        <v>623</v>
      </c>
      <c r="C404" s="4" t="s">
        <v>624</v>
      </c>
      <c r="D404" s="4" t="s">
        <v>1097</v>
      </c>
      <c r="E404" s="8">
        <v>4350827</v>
      </c>
      <c r="F404" s="7">
        <v>100</v>
      </c>
      <c r="G404" s="12" t="str">
        <f>[1]!SNLData("243327", C404, "OWNER_LIST")</f>
        <v>Grupo México, S.A.B. de C.V.  100%</v>
      </c>
      <c r="H404" s="9">
        <f>[1]!SNLData("243327", C404, "OWNER_SNL_INSTN_KEY", "Owner 1")</f>
        <v>4350827</v>
      </c>
      <c r="I404" s="9" t="str">
        <f>[1]!SNLData("243327", C404, "OWNER_SNL_INSTN_KEY", "Owner 2")</f>
        <v>NA</v>
      </c>
      <c r="J404" s="12" t="str">
        <f>_xll.SNL.Clients.Office.Excel.Functions.SPG(H404, "SP_ULT_PARENT_COMPANY_NAME")</f>
        <v/>
      </c>
      <c r="K404" s="12" t="str">
        <f>_xll.SNL.Clients.Office.Excel.Functions.SPG(H404, "SP_ULT_PARENT_COUNTRY")</f>
        <v/>
      </c>
      <c r="L404" s="12" t="str">
        <f>_xll.SNL.Clients.Office.Excel.Functions.SPG(H404, "SP_PARENT_COMPANY_NAME")</f>
        <v/>
      </c>
      <c r="M404" s="12" t="str">
        <f>_xll.SNL.Clients.Office.Excel.Functions.SPG(H404, "SP_PARENT_COUNTRY")</f>
        <v/>
      </c>
      <c r="N404" s="12" t="str">
        <f>_xll.SNL.Clients.Office.Excel.Functions.SPG(H404, "SP_COUNTRY_NAME")</f>
        <v>Mexico</v>
      </c>
      <c r="O404" s="12" t="str">
        <f>_xll.SNL.Clients.Office.Excel.Functions.SPG(I404, "SP_ULT_PARENT_COMPANY_NAME")</f>
        <v/>
      </c>
      <c r="P404" s="12" t="str">
        <f>_xll.SNL.Clients.Office.Excel.Functions.SPG(I404, "SP_ULT_PARENT_COUNTRY")</f>
        <v/>
      </c>
      <c r="Q404" s="12" t="str">
        <f>_xll.SNL.Clients.Office.Excel.Functions.SPG(I404, "SP_PARENT_COMPANY_NAME")</f>
        <v/>
      </c>
      <c r="R404" s="12" t="str">
        <f>_xll.SNL.Clients.Office.Excel.Functions.SPG(I404, "SP_PARENT_COUNTRY")</f>
        <v/>
      </c>
      <c r="S404" s="12" t="str">
        <f>_xll.SNL.Clients.Office.Excel.Functions.SPG(I404, "SP_COUNTRY_NAME")</f>
        <v>China</v>
      </c>
    </row>
    <row r="405" spans="1:19" ht="29" x14ac:dyDescent="0.35">
      <c r="A405" s="5">
        <v>46022</v>
      </c>
      <c r="B405" s="4" t="s">
        <v>458</v>
      </c>
      <c r="C405" s="4" t="s">
        <v>459</v>
      </c>
      <c r="D405" s="4" t="s">
        <v>1128</v>
      </c>
      <c r="E405" s="8">
        <v>4351191</v>
      </c>
      <c r="F405" s="7">
        <v>30</v>
      </c>
      <c r="G405" s="12" t="str">
        <f>[1]!SNLData("243327", C405, "OWNER_LIST")</f>
        <v>Imperial Metals Corporation (Venturer) 30%; Newmont Corporation (Venturer) 70%</v>
      </c>
      <c r="H405" s="9">
        <f>[1]!SNLData("243327", C405, "OWNER_SNL_INSTN_KEY", "Owner 1")</f>
        <v>4075105</v>
      </c>
      <c r="I405" s="9">
        <f>[1]!SNLData("243327", C405, "OWNER_SNL_INSTN_KEY", "Owner 2")</f>
        <v>4351191</v>
      </c>
      <c r="J405" s="12" t="str">
        <f>_xll.SNL.Clients.Office.Excel.Functions.SPG(H405, "SP_ULT_PARENT_COMPANY_NAME")</f>
        <v/>
      </c>
      <c r="K405" s="12" t="str">
        <f>_xll.SNL.Clients.Office.Excel.Functions.SPG(H405, "SP_ULT_PARENT_COUNTRY")</f>
        <v/>
      </c>
      <c r="L405" s="12" t="str">
        <f>_xll.SNL.Clients.Office.Excel.Functions.SPG(H405, "SP_PARENT_COMPANY_NAME")</f>
        <v/>
      </c>
      <c r="M405" s="12" t="str">
        <f>_xll.SNL.Clients.Office.Excel.Functions.SPG(H405, "SP_PARENT_COUNTRY")</f>
        <v/>
      </c>
      <c r="N405" s="12" t="str">
        <f>_xll.SNL.Clients.Office.Excel.Functions.SPG(H405, "SP_COUNTRY_NAME")</f>
        <v>USA</v>
      </c>
      <c r="O405" s="12" t="str">
        <f>_xll.SNL.Clients.Office.Excel.Functions.SPG(I405, "SP_ULT_PARENT_COMPANY_NAME")</f>
        <v/>
      </c>
      <c r="P405" s="12" t="str">
        <f>_xll.SNL.Clients.Office.Excel.Functions.SPG(I405, "SP_ULT_PARENT_COUNTRY")</f>
        <v/>
      </c>
      <c r="Q405" s="12" t="str">
        <f>_xll.SNL.Clients.Office.Excel.Functions.SPG(I405, "SP_PARENT_COMPANY_NAME")</f>
        <v/>
      </c>
      <c r="R405" s="12" t="str">
        <f>_xll.SNL.Clients.Office.Excel.Functions.SPG(I405, "SP_PARENT_COUNTRY")</f>
        <v/>
      </c>
      <c r="S405" s="12" t="str">
        <f>_xll.SNL.Clients.Office.Excel.Functions.SPG(I405, "SP_COUNTRY_NAME")</f>
        <v>Canada</v>
      </c>
    </row>
    <row r="406" spans="1:19" ht="29" x14ac:dyDescent="0.35">
      <c r="A406" s="5">
        <v>46022</v>
      </c>
      <c r="B406" s="4" t="s">
        <v>458</v>
      </c>
      <c r="C406" s="4" t="s">
        <v>459</v>
      </c>
      <c r="D406" s="4" t="s">
        <v>976</v>
      </c>
      <c r="E406" s="8">
        <v>4075105</v>
      </c>
      <c r="F406" s="7">
        <v>70</v>
      </c>
      <c r="G406" s="12" t="str">
        <f>[1]!SNLData("243327", C406, "OWNER_LIST")</f>
        <v>Imperial Metals Corporation (Venturer) 30%; Newmont Corporation (Venturer) 70%</v>
      </c>
      <c r="H406" s="9">
        <f>[1]!SNLData("243327", C406, "OWNER_SNL_INSTN_KEY", "Owner 1")</f>
        <v>4075105</v>
      </c>
      <c r="I406" s="9">
        <f>[1]!SNLData("243327", C406, "OWNER_SNL_INSTN_KEY", "Owner 2")</f>
        <v>4351191</v>
      </c>
      <c r="J406" s="12" t="str">
        <f>_xll.SNL.Clients.Office.Excel.Functions.SPG(H406, "SP_ULT_PARENT_COMPANY_NAME")</f>
        <v/>
      </c>
      <c r="K406" s="12" t="str">
        <f>_xll.SNL.Clients.Office.Excel.Functions.SPG(H406, "SP_ULT_PARENT_COUNTRY")</f>
        <v/>
      </c>
      <c r="L406" s="12" t="str">
        <f>_xll.SNL.Clients.Office.Excel.Functions.SPG(H406, "SP_PARENT_COMPANY_NAME")</f>
        <v/>
      </c>
      <c r="M406" s="12" t="str">
        <f>_xll.SNL.Clients.Office.Excel.Functions.SPG(H406, "SP_PARENT_COUNTRY")</f>
        <v/>
      </c>
      <c r="N406" s="12" t="str">
        <f>_xll.SNL.Clients.Office.Excel.Functions.SPG(H406, "SP_COUNTRY_NAME")</f>
        <v>USA</v>
      </c>
      <c r="O406" s="12" t="str">
        <f>_xll.SNL.Clients.Office.Excel.Functions.SPG(I406, "SP_ULT_PARENT_COMPANY_NAME")</f>
        <v/>
      </c>
      <c r="P406" s="12" t="str">
        <f>_xll.SNL.Clients.Office.Excel.Functions.SPG(I406, "SP_ULT_PARENT_COUNTRY")</f>
        <v/>
      </c>
      <c r="Q406" s="12" t="str">
        <f>_xll.SNL.Clients.Office.Excel.Functions.SPG(I406, "SP_PARENT_COMPANY_NAME")</f>
        <v/>
      </c>
      <c r="R406" s="12" t="str">
        <f>_xll.SNL.Clients.Office.Excel.Functions.SPG(I406, "SP_PARENT_COUNTRY")</f>
        <v/>
      </c>
      <c r="S406" s="12" t="str">
        <f>_xll.SNL.Clients.Office.Excel.Functions.SPG(I406, "SP_COUNTRY_NAME")</f>
        <v>Canada</v>
      </c>
    </row>
    <row r="407" spans="1:19" x14ac:dyDescent="0.35">
      <c r="A407" s="5">
        <v>46022</v>
      </c>
      <c r="B407" s="4" t="s">
        <v>809</v>
      </c>
      <c r="C407" s="4" t="s">
        <v>810</v>
      </c>
      <c r="D407" s="4" t="s">
        <v>992</v>
      </c>
      <c r="E407" s="8">
        <v>4351589</v>
      </c>
      <c r="F407" s="7">
        <v>100</v>
      </c>
      <c r="G407" s="12" t="str">
        <f>[1]!SNLData("243327", C407, "OWNER_LIST")</f>
        <v>KGHM Polska Miedz S.A.  100%</v>
      </c>
      <c r="H407" s="9">
        <f>[1]!SNLData("243327", C407, "OWNER_SNL_INSTN_KEY", "Owner 1")</f>
        <v>4351589</v>
      </c>
      <c r="I407" s="9" t="str">
        <f>[1]!SNLData("243327", C407, "OWNER_SNL_INSTN_KEY", "Owner 2")</f>
        <v>NA</v>
      </c>
      <c r="J407" s="12" t="str">
        <f>_xll.SNL.Clients.Office.Excel.Functions.SPG(H407, "SP_ULT_PARENT_COMPANY_NAME")</f>
        <v/>
      </c>
      <c r="K407" s="12" t="str">
        <f>_xll.SNL.Clients.Office.Excel.Functions.SPG(H407, "SP_ULT_PARENT_COUNTRY")</f>
        <v/>
      </c>
      <c r="L407" s="12" t="str">
        <f>_xll.SNL.Clients.Office.Excel.Functions.SPG(H407, "SP_PARENT_COMPANY_NAME")</f>
        <v/>
      </c>
      <c r="M407" s="12" t="str">
        <f>_xll.SNL.Clients.Office.Excel.Functions.SPG(H407, "SP_PARENT_COUNTRY")</f>
        <v/>
      </c>
      <c r="N407" s="12" t="str">
        <f>_xll.SNL.Clients.Office.Excel.Functions.SPG(H407, "SP_COUNTRY_NAME")</f>
        <v>Poland</v>
      </c>
      <c r="O407" s="12" t="str">
        <f>_xll.SNL.Clients.Office.Excel.Functions.SPG(I407, "SP_ULT_PARENT_COMPANY_NAME")</f>
        <v/>
      </c>
      <c r="P407" s="12" t="str">
        <f>_xll.SNL.Clients.Office.Excel.Functions.SPG(I407, "SP_ULT_PARENT_COUNTRY")</f>
        <v/>
      </c>
      <c r="Q407" s="12" t="str">
        <f>_xll.SNL.Clients.Office.Excel.Functions.SPG(I407, "SP_PARENT_COMPANY_NAME")</f>
        <v/>
      </c>
      <c r="R407" s="12" t="str">
        <f>_xll.SNL.Clients.Office.Excel.Functions.SPG(I407, "SP_PARENT_COUNTRY")</f>
        <v/>
      </c>
      <c r="S407" s="12" t="str">
        <f>_xll.SNL.Clients.Office.Excel.Functions.SPG(I407, "SP_COUNTRY_NAME")</f>
        <v>China</v>
      </c>
    </row>
    <row r="408" spans="1:19" ht="72.5" x14ac:dyDescent="0.35">
      <c r="A408" s="5">
        <v>46022</v>
      </c>
      <c r="B408" s="4" t="s">
        <v>625</v>
      </c>
      <c r="C408" s="4" t="s">
        <v>626</v>
      </c>
      <c r="D408" s="4" t="s">
        <v>1071</v>
      </c>
      <c r="E408" s="8">
        <v>4352491</v>
      </c>
      <c r="F408" s="7">
        <v>100</v>
      </c>
      <c r="G408" s="12" t="str">
        <f>[1]!SNLData("243327", C408, "OWNER_LIST")</f>
        <v>MMG Limited  100%</v>
      </c>
      <c r="H408" s="9">
        <f>[1]!SNLData("243327", C408, "OWNER_SNL_INSTN_KEY", "Owner 1")</f>
        <v>4352491</v>
      </c>
      <c r="I408" s="9" t="str">
        <f>[1]!SNLData("243327", C408, "OWNER_SNL_INSTN_KEY", "Owner 2")</f>
        <v>NA</v>
      </c>
      <c r="J408" s="12" t="str">
        <f>_xll.SNL.Clients.Office.Excel.Functions.SPG(H408, "SP_ULT_PARENT_COMPANY_NAME")</f>
        <v>State-owned Assets Supervision and Administration Commission of the State Counci</v>
      </c>
      <c r="K408" s="12" t="str">
        <f>_xll.SNL.Clients.Office.Excel.Functions.SPG(H408, "SP_ULT_PARENT_COUNTRY")</f>
        <v>China</v>
      </c>
      <c r="L408" s="12" t="str">
        <f>_xll.SNL.Clients.Office.Excel.Functions.SPG(H408, "SP_PARENT_COMPANY_NAME")</f>
        <v>China Minmetals H.K. (Holdings) Limited</v>
      </c>
      <c r="M408" s="12" t="str">
        <f>_xll.SNL.Clients.Office.Excel.Functions.SPG(H408, "SP_PARENT_COUNTRY")</f>
        <v>Hong Kong</v>
      </c>
      <c r="N408" s="12" t="str">
        <f>_xll.SNL.Clients.Office.Excel.Functions.SPG(H408, "SP_COUNTRY_NAME")</f>
        <v>Australia</v>
      </c>
      <c r="O408" s="12" t="str">
        <f>_xll.SNL.Clients.Office.Excel.Functions.SPG(I408, "SP_ULT_PARENT_COMPANY_NAME")</f>
        <v/>
      </c>
      <c r="P408" s="12" t="str">
        <f>_xll.SNL.Clients.Office.Excel.Functions.SPG(I408, "SP_ULT_PARENT_COUNTRY")</f>
        <v/>
      </c>
      <c r="Q408" s="12" t="str">
        <f>_xll.SNL.Clients.Office.Excel.Functions.SPG(I408, "SP_PARENT_COMPANY_NAME")</f>
        <v/>
      </c>
      <c r="R408" s="12" t="str">
        <f>_xll.SNL.Clients.Office.Excel.Functions.SPG(I408, "SP_PARENT_COUNTRY")</f>
        <v/>
      </c>
      <c r="S408" s="12" t="str">
        <f>_xll.SNL.Clients.Office.Excel.Functions.SPG(I408, "SP_COUNTRY_NAME")</f>
        <v>China</v>
      </c>
    </row>
    <row r="409" spans="1:19" ht="72.5" x14ac:dyDescent="0.35">
      <c r="A409" s="5">
        <v>46022</v>
      </c>
      <c r="B409" s="4" t="s">
        <v>627</v>
      </c>
      <c r="C409" s="4" t="s">
        <v>628</v>
      </c>
      <c r="D409" s="4" t="s">
        <v>213</v>
      </c>
      <c r="E409" s="8">
        <v>4350734</v>
      </c>
      <c r="F409" s="7">
        <v>5</v>
      </c>
      <c r="G409" s="12" t="str">
        <f>[1]!SNLData("243327", C409, "OWNER_LIST")</f>
        <v>Jinchuan Group International Resources Co. Ltd (Venturer) 70%; Gécamines SA (Venturer) 25%; Dem. Rep. Congo (Venturer) 5%</v>
      </c>
      <c r="H409" s="9">
        <f>[1]!SNLData("243327", C409, "OWNER_SNL_INSTN_KEY", "Owner 1")</f>
        <v>4361447</v>
      </c>
      <c r="I409" s="9">
        <f>[1]!SNLData("243327", C409, "OWNER_SNL_INSTN_KEY", "Owner 2")</f>
        <v>4350360</v>
      </c>
      <c r="J409" s="12" t="str">
        <f>_xll.SNL.Clients.Office.Excel.Functions.SPG(H409, "SP_ULT_PARENT_COMPANY_NAME")</f>
        <v>State-Owned Assets Supervision And Administration Commission Of Gansu Provincial</v>
      </c>
      <c r="K409" s="12" t="str">
        <f>_xll.SNL.Clients.Office.Excel.Functions.SPG(H409, "SP_ULT_PARENT_COUNTRY")</f>
        <v>China</v>
      </c>
      <c r="L409" s="12" t="str">
        <f>_xll.SNL.Clients.Office.Excel.Functions.SPG(H409, "SP_PARENT_COMPANY_NAME")</f>
        <v>Jinchuan (BVI) Limited</v>
      </c>
      <c r="M409" s="12" t="str">
        <f>_xll.SNL.Clients.Office.Excel.Functions.SPG(H409, "SP_PARENT_COUNTRY")</f>
        <v>BVI</v>
      </c>
      <c r="N409" s="12" t="str">
        <f>_xll.SNL.Clients.Office.Excel.Functions.SPG(H409, "SP_COUNTRY_NAME")</f>
        <v>Hong Kong</v>
      </c>
      <c r="O409" s="12" t="str">
        <f>_xll.SNL.Clients.Office.Excel.Functions.SPG(I409, "SP_ULT_PARENT_COMPANY_NAME")</f>
        <v>Dem. Rep. Congo</v>
      </c>
      <c r="P409" s="12" t="str">
        <f>_xll.SNL.Clients.Office.Excel.Functions.SPG(I409, "SP_ULT_PARENT_COUNTRY")</f>
        <v>Dem. Rep. Congo</v>
      </c>
      <c r="Q409" s="12" t="str">
        <f>_xll.SNL.Clients.Office.Excel.Functions.SPG(I409, "SP_PARENT_COMPANY_NAME")</f>
        <v>Dem. Rep. Congo</v>
      </c>
      <c r="R409" s="12" t="str">
        <f>_xll.SNL.Clients.Office.Excel.Functions.SPG(I409, "SP_PARENT_COUNTRY")</f>
        <v>Dem. Rep. Congo</v>
      </c>
      <c r="S409" s="12" t="str">
        <f>_xll.SNL.Clients.Office.Excel.Functions.SPG(I409, "SP_COUNTRY_NAME")</f>
        <v>Dem. Rep. Congo</v>
      </c>
    </row>
    <row r="410" spans="1:19" ht="72.5" x14ac:dyDescent="0.35">
      <c r="A410" s="5">
        <v>46022</v>
      </c>
      <c r="B410" s="4" t="s">
        <v>627</v>
      </c>
      <c r="C410" s="4" t="s">
        <v>628</v>
      </c>
      <c r="D410" s="4" t="s">
        <v>1021</v>
      </c>
      <c r="E410" s="8">
        <v>4350360</v>
      </c>
      <c r="F410" s="7">
        <v>25</v>
      </c>
      <c r="G410" s="12" t="str">
        <f>[1]!SNLData("243327", C410, "OWNER_LIST")</f>
        <v>Jinchuan Group International Resources Co. Ltd (Venturer) 70%; Gécamines SA (Venturer) 25%; Dem. Rep. Congo (Venturer) 5%</v>
      </c>
      <c r="H410" s="9">
        <f>[1]!SNLData("243327", C410, "OWNER_SNL_INSTN_KEY", "Owner 1")</f>
        <v>4361447</v>
      </c>
      <c r="I410" s="9">
        <f>[1]!SNLData("243327", C410, "OWNER_SNL_INSTN_KEY", "Owner 2")</f>
        <v>4350360</v>
      </c>
      <c r="J410" s="12" t="str">
        <f>_xll.SNL.Clients.Office.Excel.Functions.SPG(H410, "SP_ULT_PARENT_COMPANY_NAME")</f>
        <v>State-Owned Assets Supervision And Administration Commission Of Gansu Provincial</v>
      </c>
      <c r="K410" s="12" t="str">
        <f>_xll.SNL.Clients.Office.Excel.Functions.SPG(H410, "SP_ULT_PARENT_COUNTRY")</f>
        <v>China</v>
      </c>
      <c r="L410" s="12" t="str">
        <f>_xll.SNL.Clients.Office.Excel.Functions.SPG(H410, "SP_PARENT_COMPANY_NAME")</f>
        <v>Jinchuan (BVI) Limited</v>
      </c>
      <c r="M410" s="12" t="str">
        <f>_xll.SNL.Clients.Office.Excel.Functions.SPG(H410, "SP_PARENT_COUNTRY")</f>
        <v>BVI</v>
      </c>
      <c r="N410" s="12" t="str">
        <f>_xll.SNL.Clients.Office.Excel.Functions.SPG(H410, "SP_COUNTRY_NAME")</f>
        <v>Hong Kong</v>
      </c>
      <c r="O410" s="12" t="str">
        <f>_xll.SNL.Clients.Office.Excel.Functions.SPG(I410, "SP_ULT_PARENT_COMPANY_NAME")</f>
        <v>Dem. Rep. Congo</v>
      </c>
      <c r="P410" s="12" t="str">
        <f>_xll.SNL.Clients.Office.Excel.Functions.SPG(I410, "SP_ULT_PARENT_COUNTRY")</f>
        <v>Dem. Rep. Congo</v>
      </c>
      <c r="Q410" s="12" t="str">
        <f>_xll.SNL.Clients.Office.Excel.Functions.SPG(I410, "SP_PARENT_COMPANY_NAME")</f>
        <v>Dem. Rep. Congo</v>
      </c>
      <c r="R410" s="12" t="str">
        <f>_xll.SNL.Clients.Office.Excel.Functions.SPG(I410, "SP_PARENT_COUNTRY")</f>
        <v>Dem. Rep. Congo</v>
      </c>
      <c r="S410" s="12" t="str">
        <f>_xll.SNL.Clients.Office.Excel.Functions.SPG(I410, "SP_COUNTRY_NAME")</f>
        <v>Dem. Rep. Congo</v>
      </c>
    </row>
    <row r="411" spans="1:19" ht="72.5" x14ac:dyDescent="0.35">
      <c r="A411" s="5">
        <v>46022</v>
      </c>
      <c r="B411" s="4" t="s">
        <v>627</v>
      </c>
      <c r="C411" s="4" t="s">
        <v>628</v>
      </c>
      <c r="D411" s="4" t="s">
        <v>1094</v>
      </c>
      <c r="E411" s="8">
        <v>4361447</v>
      </c>
      <c r="F411" s="7">
        <v>70</v>
      </c>
      <c r="G411" s="12" t="str">
        <f>[1]!SNLData("243327", C411, "OWNER_LIST")</f>
        <v>Jinchuan Group International Resources Co. Ltd (Venturer) 70%; Gécamines SA (Venturer) 25%; Dem. Rep. Congo (Venturer) 5%</v>
      </c>
      <c r="H411" s="9">
        <f>[1]!SNLData("243327", C411, "OWNER_SNL_INSTN_KEY", "Owner 1")</f>
        <v>4361447</v>
      </c>
      <c r="I411" s="9">
        <f>[1]!SNLData("243327", C411, "OWNER_SNL_INSTN_KEY", "Owner 2")</f>
        <v>4350360</v>
      </c>
      <c r="J411" s="12" t="str">
        <f>_xll.SNL.Clients.Office.Excel.Functions.SPG(H411, "SP_ULT_PARENT_COMPANY_NAME")</f>
        <v>State-Owned Assets Supervision And Administration Commission Of Gansu Provincial</v>
      </c>
      <c r="K411" s="12" t="str">
        <f>_xll.SNL.Clients.Office.Excel.Functions.SPG(H411, "SP_ULT_PARENT_COUNTRY")</f>
        <v>China</v>
      </c>
      <c r="L411" s="12" t="str">
        <f>_xll.SNL.Clients.Office.Excel.Functions.SPG(H411, "SP_PARENT_COMPANY_NAME")</f>
        <v>Jinchuan (BVI) Limited</v>
      </c>
      <c r="M411" s="12" t="str">
        <f>_xll.SNL.Clients.Office.Excel.Functions.SPG(H411, "SP_PARENT_COUNTRY")</f>
        <v>BVI</v>
      </c>
      <c r="N411" s="12" t="str">
        <f>_xll.SNL.Clients.Office.Excel.Functions.SPG(H411, "SP_COUNTRY_NAME")</f>
        <v>Hong Kong</v>
      </c>
      <c r="O411" s="12" t="str">
        <f>_xll.SNL.Clients.Office.Excel.Functions.SPG(I411, "SP_ULT_PARENT_COMPANY_NAME")</f>
        <v>Dem. Rep. Congo</v>
      </c>
      <c r="P411" s="12" t="str">
        <f>_xll.SNL.Clients.Office.Excel.Functions.SPG(I411, "SP_ULT_PARENT_COUNTRY")</f>
        <v>Dem. Rep. Congo</v>
      </c>
      <c r="Q411" s="12" t="str">
        <f>_xll.SNL.Clients.Office.Excel.Functions.SPG(I411, "SP_PARENT_COMPANY_NAME")</f>
        <v>Dem. Rep. Congo</v>
      </c>
      <c r="R411" s="12" t="str">
        <f>_xll.SNL.Clients.Office.Excel.Functions.SPG(I411, "SP_PARENT_COUNTRY")</f>
        <v>Dem. Rep. Congo</v>
      </c>
      <c r="S411" s="12" t="str">
        <f>_xll.SNL.Clients.Office.Excel.Functions.SPG(I411, "SP_COUNTRY_NAME")</f>
        <v>Dem. Rep. Congo</v>
      </c>
    </row>
    <row r="412" spans="1:19" ht="72.5" x14ac:dyDescent="0.35">
      <c r="A412" s="5">
        <v>46022</v>
      </c>
      <c r="B412" s="4" t="s">
        <v>811</v>
      </c>
      <c r="C412" s="4" t="s">
        <v>812</v>
      </c>
      <c r="D412" s="4" t="s">
        <v>1129</v>
      </c>
      <c r="E412" s="8">
        <v>4600007</v>
      </c>
      <c r="F412" s="7">
        <v>100</v>
      </c>
      <c r="G412" s="12" t="str">
        <f>[1]!SNLData("243327", C412, "OWNER_LIST")</f>
        <v>Joint Stock Company "Sibir-Polymetal"  100%</v>
      </c>
      <c r="H412" s="9">
        <f>[1]!SNLData("243327", C412, "OWNER_SNL_INSTN_KEY", "Owner 1")</f>
        <v>4600007</v>
      </c>
      <c r="I412" s="9" t="str">
        <f>[1]!SNLData("243327", C412, "OWNER_SNL_INSTN_KEY", "Owner 2")</f>
        <v>NA</v>
      </c>
      <c r="J412" s="12" t="str">
        <f>_xll.SNL.Clients.Office.Excel.Functions.SPG(H412, "SP_ULT_PARENT_COMPANY_NAME")</f>
        <v>Mineral Power Limited</v>
      </c>
      <c r="K412" s="12" t="str">
        <f>_xll.SNL.Clients.Office.Excel.Functions.SPG(H412, "SP_ULT_PARENT_COUNTRY")</f>
        <v>Hong Kong</v>
      </c>
      <c r="L412" s="12" t="str">
        <f>_xll.SNL.Clients.Office.Excel.Functions.SPG(H412, "SP_PARENT_COMPANY_NAME")</f>
        <v>Public Joint-Stock Company Chelyabinsk Zinc Plant</v>
      </c>
      <c r="M412" s="12" t="str">
        <f>_xll.SNL.Clients.Office.Excel.Functions.SPG(H412, "SP_PARENT_COUNTRY")</f>
        <v>Russia</v>
      </c>
      <c r="N412" s="12" t="str">
        <f>_xll.SNL.Clients.Office.Excel.Functions.SPG(H412, "SP_COUNTRY_NAME")</f>
        <v>Russia</v>
      </c>
      <c r="O412" s="12" t="str">
        <f>_xll.SNL.Clients.Office.Excel.Functions.SPG(I412, "SP_ULT_PARENT_COMPANY_NAME")</f>
        <v/>
      </c>
      <c r="P412" s="12" t="str">
        <f>_xll.SNL.Clients.Office.Excel.Functions.SPG(I412, "SP_ULT_PARENT_COUNTRY")</f>
        <v/>
      </c>
      <c r="Q412" s="12" t="str">
        <f>_xll.SNL.Clients.Office.Excel.Functions.SPG(I412, "SP_PARENT_COMPANY_NAME")</f>
        <v/>
      </c>
      <c r="R412" s="12" t="str">
        <f>_xll.SNL.Clients.Office.Excel.Functions.SPG(I412, "SP_PARENT_COUNTRY")</f>
        <v/>
      </c>
      <c r="S412" s="12" t="str">
        <f>_xll.SNL.Clients.Office.Excel.Functions.SPG(I412, "SP_COUNTRY_NAME")</f>
        <v>China</v>
      </c>
    </row>
    <row r="413" spans="1:19" ht="43.5" x14ac:dyDescent="0.35">
      <c r="A413" s="5">
        <v>46022</v>
      </c>
      <c r="B413" s="4" t="s">
        <v>813</v>
      </c>
      <c r="C413" s="4" t="s">
        <v>814</v>
      </c>
      <c r="D413" s="4" t="s">
        <v>1130</v>
      </c>
      <c r="E413" s="8">
        <v>25460448</v>
      </c>
      <c r="F413" s="7">
        <v>26</v>
      </c>
      <c r="G413" s="12" t="str">
        <f>[1]!SNLData("243327", C413, "OWNER_LIST")</f>
        <v>Sibanye Stillwater Limited (Venturer) 74%; Newshelf 1335 Proprietary Limited (Venturer) 26%</v>
      </c>
      <c r="H413" s="9">
        <f>[1]!SNLData("243327", C413, "OWNER_SNL_INSTN_KEY", "Owner 1")</f>
        <v>4379789</v>
      </c>
      <c r="I413" s="9">
        <f>[1]!SNLData("243327", C413, "OWNER_SNL_INSTN_KEY", "Owner 2")</f>
        <v>25460448</v>
      </c>
      <c r="J413" s="12" t="str">
        <f>_xll.SNL.Clients.Office.Excel.Functions.SPG(H413, "SP_ULT_PARENT_COMPANY_NAME")</f>
        <v/>
      </c>
      <c r="K413" s="12" t="str">
        <f>_xll.SNL.Clients.Office.Excel.Functions.SPG(H413, "SP_ULT_PARENT_COUNTRY")</f>
        <v/>
      </c>
      <c r="L413" s="12" t="str">
        <f>_xll.SNL.Clients.Office.Excel.Functions.SPG(H413, "SP_PARENT_COMPANY_NAME")</f>
        <v/>
      </c>
      <c r="M413" s="12" t="str">
        <f>_xll.SNL.Clients.Office.Excel.Functions.SPG(H413, "SP_PARENT_COUNTRY")</f>
        <v/>
      </c>
      <c r="N413" s="12" t="str">
        <f>_xll.SNL.Clients.Office.Excel.Functions.SPG(H413, "SP_COUNTRY_NAME")</f>
        <v>South Africa</v>
      </c>
      <c r="O413" s="12" t="str">
        <f>_xll.SNL.Clients.Office.Excel.Functions.SPG(I413, "SP_ULT_PARENT_COMPANY_NAME")</f>
        <v/>
      </c>
      <c r="P413" s="12" t="str">
        <f>_xll.SNL.Clients.Office.Excel.Functions.SPG(I413, "SP_ULT_PARENT_COUNTRY")</f>
        <v/>
      </c>
      <c r="Q413" s="12" t="str">
        <f>_xll.SNL.Clients.Office.Excel.Functions.SPG(I413, "SP_PARENT_COMPANY_NAME")</f>
        <v/>
      </c>
      <c r="R413" s="12" t="str">
        <f>_xll.SNL.Clients.Office.Excel.Functions.SPG(I413, "SP_PARENT_COUNTRY")</f>
        <v/>
      </c>
      <c r="S413" s="12" t="str">
        <f>_xll.SNL.Clients.Office.Excel.Functions.SPG(I413, "SP_COUNTRY_NAME")</f>
        <v>USA</v>
      </c>
    </row>
    <row r="414" spans="1:19" ht="43.5" x14ac:dyDescent="0.35">
      <c r="A414" s="5">
        <v>46022</v>
      </c>
      <c r="B414" s="4" t="s">
        <v>813</v>
      </c>
      <c r="C414" s="4" t="s">
        <v>814</v>
      </c>
      <c r="D414" s="4" t="s">
        <v>1077</v>
      </c>
      <c r="E414" s="8">
        <v>4379789</v>
      </c>
      <c r="F414" s="7">
        <v>74</v>
      </c>
      <c r="G414" s="12" t="str">
        <f>[1]!SNLData("243327", C414, "OWNER_LIST")</f>
        <v>Sibanye Stillwater Limited (Venturer) 74%; Newshelf 1335 Proprietary Limited (Venturer) 26%</v>
      </c>
      <c r="H414" s="9">
        <f>[1]!SNLData("243327", C414, "OWNER_SNL_INSTN_KEY", "Owner 1")</f>
        <v>4379789</v>
      </c>
      <c r="I414" s="9">
        <f>[1]!SNLData("243327", C414, "OWNER_SNL_INSTN_KEY", "Owner 2")</f>
        <v>25460448</v>
      </c>
      <c r="J414" s="12" t="str">
        <f>_xll.SNL.Clients.Office.Excel.Functions.SPG(H414, "SP_ULT_PARENT_COMPANY_NAME")</f>
        <v/>
      </c>
      <c r="K414" s="12" t="str">
        <f>_xll.SNL.Clients.Office.Excel.Functions.SPG(H414, "SP_ULT_PARENT_COUNTRY")</f>
        <v/>
      </c>
      <c r="L414" s="12" t="str">
        <f>_xll.SNL.Clients.Office.Excel.Functions.SPG(H414, "SP_PARENT_COMPANY_NAME")</f>
        <v/>
      </c>
      <c r="M414" s="12" t="str">
        <f>_xll.SNL.Clients.Office.Excel.Functions.SPG(H414, "SP_PARENT_COUNTRY")</f>
        <v/>
      </c>
      <c r="N414" s="12" t="str">
        <f>_xll.SNL.Clients.Office.Excel.Functions.SPG(H414, "SP_COUNTRY_NAME")</f>
        <v>South Africa</v>
      </c>
      <c r="O414" s="12" t="str">
        <f>_xll.SNL.Clients.Office.Excel.Functions.SPG(I414, "SP_ULT_PARENT_COMPANY_NAME")</f>
        <v/>
      </c>
      <c r="P414" s="12" t="str">
        <f>_xll.SNL.Clients.Office.Excel.Functions.SPG(I414, "SP_ULT_PARENT_COUNTRY")</f>
        <v/>
      </c>
      <c r="Q414" s="12" t="str">
        <f>_xll.SNL.Clients.Office.Excel.Functions.SPG(I414, "SP_PARENT_COMPANY_NAME")</f>
        <v/>
      </c>
      <c r="R414" s="12" t="str">
        <f>_xll.SNL.Clients.Office.Excel.Functions.SPG(I414, "SP_PARENT_COUNTRY")</f>
        <v/>
      </c>
      <c r="S414" s="12" t="str">
        <f>_xll.SNL.Clients.Office.Excel.Functions.SPG(I414, "SP_COUNTRY_NAME")</f>
        <v>USA</v>
      </c>
    </row>
    <row r="415" spans="1:19" x14ac:dyDescent="0.35">
      <c r="A415" s="5">
        <v>46022</v>
      </c>
      <c r="B415" s="4" t="s">
        <v>475</v>
      </c>
      <c r="C415" s="4" t="s">
        <v>476</v>
      </c>
      <c r="D415" s="4" t="s">
        <v>990</v>
      </c>
      <c r="E415" s="8">
        <v>4351226</v>
      </c>
      <c r="F415" s="7">
        <v>100</v>
      </c>
      <c r="G415" s="12" t="str">
        <f>[1]!SNLData("243327", C415, "OWNER_LIST")</f>
        <v>Industrias Peñoles, S.A.B. de C.V.  100%</v>
      </c>
      <c r="H415" s="9">
        <f>[1]!SNLData("243327", C415, "OWNER_SNL_INSTN_KEY", "Owner 1")</f>
        <v>4351226</v>
      </c>
      <c r="I415" s="9" t="str">
        <f>[1]!SNLData("243327", C415, "OWNER_SNL_INSTN_KEY", "Owner 2")</f>
        <v>NA</v>
      </c>
      <c r="J415" s="12" t="str">
        <f>_xll.SNL.Clients.Office.Excel.Functions.SPG(H415, "SP_ULT_PARENT_COMPANY_NAME")</f>
        <v/>
      </c>
      <c r="K415" s="12" t="str">
        <f>_xll.SNL.Clients.Office.Excel.Functions.SPG(H415, "SP_ULT_PARENT_COUNTRY")</f>
        <v/>
      </c>
      <c r="L415" s="12" t="str">
        <f>_xll.SNL.Clients.Office.Excel.Functions.SPG(H415, "SP_PARENT_COMPANY_NAME")</f>
        <v/>
      </c>
      <c r="M415" s="12" t="str">
        <f>_xll.SNL.Clients.Office.Excel.Functions.SPG(H415, "SP_PARENT_COUNTRY")</f>
        <v/>
      </c>
      <c r="N415" s="12" t="str">
        <f>_xll.SNL.Clients.Office.Excel.Functions.SPG(H415, "SP_COUNTRY_NAME")</f>
        <v>Mexico</v>
      </c>
      <c r="O415" s="12" t="str">
        <f>_xll.SNL.Clients.Office.Excel.Functions.SPG(I415, "SP_ULT_PARENT_COMPANY_NAME")</f>
        <v/>
      </c>
      <c r="P415" s="12" t="str">
        <f>_xll.SNL.Clients.Office.Excel.Functions.SPG(I415, "SP_ULT_PARENT_COUNTRY")</f>
        <v/>
      </c>
      <c r="Q415" s="12" t="str">
        <f>_xll.SNL.Clients.Office.Excel.Functions.SPG(I415, "SP_PARENT_COMPANY_NAME")</f>
        <v/>
      </c>
      <c r="R415" s="12" t="str">
        <f>_xll.SNL.Clients.Office.Excel.Functions.SPG(I415, "SP_PARENT_COUNTRY")</f>
        <v/>
      </c>
      <c r="S415" s="12" t="str">
        <f>_xll.SNL.Clients.Office.Excel.Functions.SPG(I415, "SP_COUNTRY_NAME")</f>
        <v>China</v>
      </c>
    </row>
    <row r="416" spans="1:19" x14ac:dyDescent="0.35">
      <c r="A416" s="5">
        <v>46022</v>
      </c>
      <c r="B416" s="4" t="s">
        <v>815</v>
      </c>
      <c r="C416" s="4" t="s">
        <v>816</v>
      </c>
      <c r="D416" s="4" t="s">
        <v>963</v>
      </c>
      <c r="E416" s="8">
        <v>4004107</v>
      </c>
      <c r="F416" s="7">
        <v>100</v>
      </c>
      <c r="G416" s="12" t="str">
        <f>[1]!SNLData("243327", C416, "OWNER_LIST")</f>
        <v>Freeport-McMoRan Inc.  100%</v>
      </c>
      <c r="H416" s="9">
        <f>[1]!SNLData("243327", C416, "OWNER_SNL_INSTN_KEY", "Owner 1")</f>
        <v>4004107</v>
      </c>
      <c r="I416" s="9" t="str">
        <f>[1]!SNLData("243327", C416, "OWNER_SNL_INSTN_KEY", "Owner 2")</f>
        <v>NA</v>
      </c>
      <c r="J416" s="12" t="str">
        <f>_xll.SNL.Clients.Office.Excel.Functions.SPG(H416, "SP_ULT_PARENT_COMPANY_NAME")</f>
        <v/>
      </c>
      <c r="K416" s="12" t="str">
        <f>_xll.SNL.Clients.Office.Excel.Functions.SPG(H416, "SP_ULT_PARENT_COUNTRY")</f>
        <v/>
      </c>
      <c r="L416" s="12" t="str">
        <f>_xll.SNL.Clients.Office.Excel.Functions.SPG(H416, "SP_PARENT_COMPANY_NAME")</f>
        <v/>
      </c>
      <c r="M416" s="12" t="str">
        <f>_xll.SNL.Clients.Office.Excel.Functions.SPG(H416, "SP_PARENT_COUNTRY")</f>
        <v/>
      </c>
      <c r="N416" s="12" t="str">
        <f>_xll.SNL.Clients.Office.Excel.Functions.SPG(H416, "SP_COUNTRY_NAME")</f>
        <v>USA</v>
      </c>
      <c r="O416" s="12" t="str">
        <f>_xll.SNL.Clients.Office.Excel.Functions.SPG(I416, "SP_ULT_PARENT_COMPANY_NAME")</f>
        <v/>
      </c>
      <c r="P416" s="12" t="str">
        <f>_xll.SNL.Clients.Office.Excel.Functions.SPG(I416, "SP_ULT_PARENT_COUNTRY")</f>
        <v/>
      </c>
      <c r="Q416" s="12" t="str">
        <f>_xll.SNL.Clients.Office.Excel.Functions.SPG(I416, "SP_PARENT_COMPANY_NAME")</f>
        <v/>
      </c>
      <c r="R416" s="12" t="str">
        <f>_xll.SNL.Clients.Office.Excel.Functions.SPG(I416, "SP_PARENT_COUNTRY")</f>
        <v/>
      </c>
      <c r="S416" s="12" t="str">
        <f>_xll.SNL.Clients.Office.Excel.Functions.SPG(I416, "SP_COUNTRY_NAME")</f>
        <v>China</v>
      </c>
    </row>
    <row r="417" spans="1:19" x14ac:dyDescent="0.35">
      <c r="A417" s="5">
        <v>46022</v>
      </c>
      <c r="B417" s="4" t="s">
        <v>477</v>
      </c>
      <c r="C417" s="4" t="s">
        <v>478</v>
      </c>
      <c r="D417" s="4" t="s">
        <v>1090</v>
      </c>
      <c r="E417" s="8">
        <v>4223919</v>
      </c>
      <c r="F417" s="7">
        <v>100</v>
      </c>
      <c r="G417" s="12" t="str">
        <f>[1]!SNLData("243327", C417, "OWNER_LIST")</f>
        <v>Vale S.A.  100%</v>
      </c>
      <c r="H417" s="9">
        <f>[1]!SNLData("243327", C417, "OWNER_SNL_INSTN_KEY", "Owner 1")</f>
        <v>4223919</v>
      </c>
      <c r="I417" s="9" t="str">
        <f>[1]!SNLData("243327", C417, "OWNER_SNL_INSTN_KEY", "Owner 2")</f>
        <v>NA</v>
      </c>
      <c r="J417" s="12" t="str">
        <f>_xll.SNL.Clients.Office.Excel.Functions.SPG(H417, "SP_ULT_PARENT_COMPANY_NAME")</f>
        <v/>
      </c>
      <c r="K417" s="12" t="str">
        <f>_xll.SNL.Clients.Office.Excel.Functions.SPG(H417, "SP_ULT_PARENT_COUNTRY")</f>
        <v/>
      </c>
      <c r="L417" s="12" t="str">
        <f>_xll.SNL.Clients.Office.Excel.Functions.SPG(H417, "SP_PARENT_COMPANY_NAME")</f>
        <v/>
      </c>
      <c r="M417" s="12" t="str">
        <f>_xll.SNL.Clients.Office.Excel.Functions.SPG(H417, "SP_PARENT_COUNTRY")</f>
        <v/>
      </c>
      <c r="N417" s="12" t="str">
        <f>_xll.SNL.Clients.Office.Excel.Functions.SPG(H417, "SP_COUNTRY_NAME")</f>
        <v>Brazil</v>
      </c>
      <c r="O417" s="12" t="str">
        <f>_xll.SNL.Clients.Office.Excel.Functions.SPG(I417, "SP_ULT_PARENT_COMPANY_NAME")</f>
        <v/>
      </c>
      <c r="P417" s="12" t="str">
        <f>_xll.SNL.Clients.Office.Excel.Functions.SPG(I417, "SP_ULT_PARENT_COUNTRY")</f>
        <v/>
      </c>
      <c r="Q417" s="12" t="str">
        <f>_xll.SNL.Clients.Office.Excel.Functions.SPG(I417, "SP_PARENT_COMPANY_NAME")</f>
        <v/>
      </c>
      <c r="R417" s="12" t="str">
        <f>_xll.SNL.Clients.Office.Excel.Functions.SPG(I417, "SP_PARENT_COUNTRY")</f>
        <v/>
      </c>
      <c r="S417" s="12" t="str">
        <f>_xll.SNL.Clients.Office.Excel.Functions.SPG(I417, "SP_COUNTRY_NAME")</f>
        <v>China</v>
      </c>
    </row>
    <row r="418" spans="1:19" x14ac:dyDescent="0.35">
      <c r="A418" s="5">
        <v>46022</v>
      </c>
      <c r="B418" s="4" t="s">
        <v>629</v>
      </c>
      <c r="C418" s="4" t="s">
        <v>630</v>
      </c>
      <c r="D418" s="4" t="s">
        <v>945</v>
      </c>
      <c r="E418" s="8">
        <v>4349314</v>
      </c>
      <c r="F418" s="7">
        <v>100</v>
      </c>
      <c r="G418" s="12" t="str">
        <f>[1]!SNLData("243327", C418, "OWNER_LIST")</f>
        <v>Corporación Nacional del Cobre de Chile  100%</v>
      </c>
      <c r="H418" s="9">
        <f>[1]!SNLData("243327", C418, "OWNER_SNL_INSTN_KEY", "Owner 1")</f>
        <v>4349314</v>
      </c>
      <c r="I418" s="9" t="str">
        <f>[1]!SNLData("243327", C418, "OWNER_SNL_INSTN_KEY", "Owner 2")</f>
        <v>NA</v>
      </c>
      <c r="J418" s="12" t="str">
        <f>_xll.SNL.Clients.Office.Excel.Functions.SPG(H418, "SP_ULT_PARENT_COMPANY_NAME")</f>
        <v>Chile</v>
      </c>
      <c r="K418" s="12" t="str">
        <f>_xll.SNL.Clients.Office.Excel.Functions.SPG(H418, "SP_ULT_PARENT_COUNTRY")</f>
        <v>Chile</v>
      </c>
      <c r="L418" s="12" t="str">
        <f>_xll.SNL.Clients.Office.Excel.Functions.SPG(H418, "SP_PARENT_COMPANY_NAME")</f>
        <v>Chile</v>
      </c>
      <c r="M418" s="12" t="str">
        <f>_xll.SNL.Clients.Office.Excel.Functions.SPG(H418, "SP_PARENT_COUNTRY")</f>
        <v>Chile</v>
      </c>
      <c r="N418" s="12" t="str">
        <f>_xll.SNL.Clients.Office.Excel.Functions.SPG(H418, "SP_COUNTRY_NAME")</f>
        <v>Chile</v>
      </c>
      <c r="O418" s="12" t="str">
        <f>_xll.SNL.Clients.Office.Excel.Functions.SPG(I418, "SP_ULT_PARENT_COMPANY_NAME")</f>
        <v/>
      </c>
      <c r="P418" s="12" t="str">
        <f>_xll.SNL.Clients.Office.Excel.Functions.SPG(I418, "SP_ULT_PARENT_COUNTRY")</f>
        <v/>
      </c>
      <c r="Q418" s="12" t="str">
        <f>_xll.SNL.Clients.Office.Excel.Functions.SPG(I418, "SP_PARENT_COMPANY_NAME")</f>
        <v/>
      </c>
      <c r="R418" s="12" t="str">
        <f>_xll.SNL.Clients.Office.Excel.Functions.SPG(I418, "SP_PARENT_COUNTRY")</f>
        <v/>
      </c>
      <c r="S418" s="12" t="str">
        <f>_xll.SNL.Clients.Office.Excel.Functions.SPG(I418, "SP_COUNTRY_NAME")</f>
        <v>China</v>
      </c>
    </row>
    <row r="419" spans="1:19" ht="29" x14ac:dyDescent="0.35">
      <c r="A419" s="5">
        <v>46022</v>
      </c>
      <c r="B419" s="4" t="s">
        <v>460</v>
      </c>
      <c r="C419" s="4" t="s">
        <v>461</v>
      </c>
      <c r="D419" s="4" t="s">
        <v>959</v>
      </c>
      <c r="E419" s="8">
        <v>4352362</v>
      </c>
      <c r="F419" s="7">
        <v>99.16</v>
      </c>
      <c r="G419" s="12" t="str">
        <f>[1]!SNLData("243327", C419, "OWNER_LIST")</f>
        <v>Unnamed Owner (Fractional) %; Minera Frisco, S.A.B. de C.V. (Venturer) 99.16%</v>
      </c>
      <c r="H419" s="9">
        <f>[1]!SNLData("243327", C419, "OWNER_SNL_INSTN_KEY", "Owner 1")</f>
        <v>4352362</v>
      </c>
      <c r="I419" s="9">
        <f>[1]!SNLData("243327", C419, "OWNER_SNL_INSTN_KEY", "Owner 2")</f>
        <v>4400798</v>
      </c>
      <c r="J419" s="12" t="str">
        <f>_xll.SNL.Clients.Office.Excel.Functions.SPG(H419, "SP_ULT_PARENT_COMPANY_NAME")</f>
        <v/>
      </c>
      <c r="K419" s="12" t="str">
        <f>_xll.SNL.Clients.Office.Excel.Functions.SPG(H419, "SP_ULT_PARENT_COUNTRY")</f>
        <v/>
      </c>
      <c r="L419" s="12" t="str">
        <f>_xll.SNL.Clients.Office.Excel.Functions.SPG(H419, "SP_PARENT_COMPANY_NAME")</f>
        <v/>
      </c>
      <c r="M419" s="12" t="str">
        <f>_xll.SNL.Clients.Office.Excel.Functions.SPG(H419, "SP_PARENT_COUNTRY")</f>
        <v/>
      </c>
      <c r="N419" s="12" t="str">
        <f>_xll.SNL.Clients.Office.Excel.Functions.SPG(H419, "SP_COUNTRY_NAME")</f>
        <v>Mexico</v>
      </c>
      <c r="O419" s="12" t="str">
        <f>_xll.SNL.Clients.Office.Excel.Functions.SPG(I419, "SP_ULT_PARENT_COMPANY_NAME")</f>
        <v/>
      </c>
      <c r="P419" s="12" t="str">
        <f>_xll.SNL.Clients.Office.Excel.Functions.SPG(I419, "SP_ULT_PARENT_COUNTRY")</f>
        <v/>
      </c>
      <c r="Q419" s="12" t="str">
        <f>_xll.SNL.Clients.Office.Excel.Functions.SPG(I419, "SP_PARENT_COMPANY_NAME")</f>
        <v/>
      </c>
      <c r="R419" s="12" t="str">
        <f>_xll.SNL.Clients.Office.Excel.Functions.SPG(I419, "SP_PARENT_COUNTRY")</f>
        <v/>
      </c>
      <c r="S419" s="12" t="str">
        <f>_xll.SNL.Clients.Office.Excel.Functions.SPG(I419, "SP_COUNTRY_NAME")</f>
        <v>USA</v>
      </c>
    </row>
    <row r="420" spans="1:19" ht="43.5" x14ac:dyDescent="0.35">
      <c r="A420" s="5">
        <v>46022</v>
      </c>
      <c r="B420" s="4" t="s">
        <v>631</v>
      </c>
      <c r="C420" s="4" t="s">
        <v>632</v>
      </c>
      <c r="D420" s="4" t="s">
        <v>980</v>
      </c>
      <c r="E420" s="8">
        <v>4354459</v>
      </c>
      <c r="F420" s="7">
        <v>100</v>
      </c>
      <c r="G420" s="12" t="str">
        <f>[1]!SNLData("243327", C420, "OWNER_LIST")</f>
        <v>Southern Copper Corporation  100%</v>
      </c>
      <c r="H420" s="9">
        <f>[1]!SNLData("243327", C420, "OWNER_SNL_INSTN_KEY", "Owner 1")</f>
        <v>4354459</v>
      </c>
      <c r="I420" s="9" t="str">
        <f>[1]!SNLData("243327", C420, "OWNER_SNL_INSTN_KEY", "Owner 2")</f>
        <v>NA</v>
      </c>
      <c r="J420" s="12" t="str">
        <f>_xll.SNL.Clients.Office.Excel.Functions.SPG(H420, "SP_ULT_PARENT_COMPANY_NAME")</f>
        <v>Grupo México, S.A.B. de C.V.</v>
      </c>
      <c r="K420" s="12" t="str">
        <f>_xll.SNL.Clients.Office.Excel.Functions.SPG(H420, "SP_ULT_PARENT_COUNTRY")</f>
        <v>Mexico</v>
      </c>
      <c r="L420" s="12" t="str">
        <f>_xll.SNL.Clients.Office.Excel.Functions.SPG(H420, "SP_PARENT_COMPANY_NAME")</f>
        <v>Americas Mining Corporation</v>
      </c>
      <c r="M420" s="12" t="str">
        <f>_xll.SNL.Clients.Office.Excel.Functions.SPG(H420, "SP_PARENT_COUNTRY")</f>
        <v>USA</v>
      </c>
      <c r="N420" s="12" t="str">
        <f>_xll.SNL.Clients.Office.Excel.Functions.SPG(H420, "SP_COUNTRY_NAME")</f>
        <v>USA</v>
      </c>
      <c r="O420" s="12" t="str">
        <f>_xll.SNL.Clients.Office.Excel.Functions.SPG(I420, "SP_ULT_PARENT_COMPANY_NAME")</f>
        <v/>
      </c>
      <c r="P420" s="12" t="str">
        <f>_xll.SNL.Clients.Office.Excel.Functions.SPG(I420, "SP_ULT_PARENT_COUNTRY")</f>
        <v/>
      </c>
      <c r="Q420" s="12" t="str">
        <f>_xll.SNL.Clients.Office.Excel.Functions.SPG(I420, "SP_PARENT_COMPANY_NAME")</f>
        <v/>
      </c>
      <c r="R420" s="12" t="str">
        <f>_xll.SNL.Clients.Office.Excel.Functions.SPG(I420, "SP_PARENT_COUNTRY")</f>
        <v/>
      </c>
      <c r="S420" s="12" t="str">
        <f>_xll.SNL.Clients.Office.Excel.Functions.SPG(I420, "SP_COUNTRY_NAME")</f>
        <v>China</v>
      </c>
    </row>
    <row r="421" spans="1:19" ht="29" x14ac:dyDescent="0.35">
      <c r="A421" s="5">
        <v>46022</v>
      </c>
      <c r="B421" s="4" t="s">
        <v>633</v>
      </c>
      <c r="C421" s="4" t="s">
        <v>634</v>
      </c>
      <c r="D421" s="4" t="s">
        <v>1049</v>
      </c>
      <c r="E421" s="8">
        <v>4353203</v>
      </c>
      <c r="F421" s="7">
        <v>95</v>
      </c>
      <c r="G421" s="12" t="str">
        <f>[1]!SNLData("243327", C421, "OWNER_LIST")</f>
        <v>Pan American Silver Corp. (Venturer) 95%; Trafigura Group Pte. Ltd. (Venturer) 5%</v>
      </c>
      <c r="H421" s="9">
        <f>[1]!SNLData("243327", C421, "OWNER_SNL_INSTN_KEY", "Owner 1")</f>
        <v>4353203</v>
      </c>
      <c r="I421" s="9">
        <f>[1]!SNLData("243327", C421, "OWNER_SNL_INSTN_KEY", "Owner 2")</f>
        <v>6220799</v>
      </c>
      <c r="J421" s="12" t="str">
        <f>_xll.SNL.Clients.Office.Excel.Functions.SPG(H421, "SP_ULT_PARENT_COMPANY_NAME")</f>
        <v/>
      </c>
      <c r="K421" s="12" t="str">
        <f>_xll.SNL.Clients.Office.Excel.Functions.SPG(H421, "SP_ULT_PARENT_COUNTRY")</f>
        <v/>
      </c>
      <c r="L421" s="12" t="str">
        <f>_xll.SNL.Clients.Office.Excel.Functions.SPG(H421, "SP_PARENT_COMPANY_NAME")</f>
        <v/>
      </c>
      <c r="M421" s="12" t="str">
        <f>_xll.SNL.Clients.Office.Excel.Functions.SPG(H421, "SP_PARENT_COUNTRY")</f>
        <v/>
      </c>
      <c r="N421" s="12" t="str">
        <f>_xll.SNL.Clients.Office.Excel.Functions.SPG(H421, "SP_COUNTRY_NAME")</f>
        <v>Canada</v>
      </c>
      <c r="O421" s="12" t="str">
        <f>_xll.SNL.Clients.Office.Excel.Functions.SPG(I421, "SP_ULT_PARENT_COMPANY_NAME")</f>
        <v>Farringford Foundation</v>
      </c>
      <c r="P421" s="12" t="str">
        <f>_xll.SNL.Clients.Office.Excel.Functions.SPG(I421, "SP_ULT_PARENT_COUNTRY")</f>
        <v>Panama</v>
      </c>
      <c r="Q421" s="12" t="str">
        <f>_xll.SNL.Clients.Office.Excel.Functions.SPG(I421, "SP_PARENT_COMPANY_NAME")</f>
        <v>Trafigura Beheer B.V.</v>
      </c>
      <c r="R421" s="12" t="str">
        <f>_xll.SNL.Clients.Office.Excel.Functions.SPG(I421, "SP_PARENT_COUNTRY")</f>
        <v>Singapore</v>
      </c>
      <c r="S421" s="12" t="str">
        <f>_xll.SNL.Clients.Office.Excel.Functions.SPG(I421, "SP_COUNTRY_NAME")</f>
        <v>Singapore</v>
      </c>
    </row>
    <row r="422" spans="1:19" ht="29" x14ac:dyDescent="0.35">
      <c r="A422" s="5">
        <v>46022</v>
      </c>
      <c r="B422" s="4" t="s">
        <v>633</v>
      </c>
      <c r="C422" s="4" t="s">
        <v>634</v>
      </c>
      <c r="D422" s="4" t="s">
        <v>1102</v>
      </c>
      <c r="E422" s="8">
        <v>6220799</v>
      </c>
      <c r="F422" s="7">
        <v>5</v>
      </c>
      <c r="G422" s="12" t="str">
        <f>[1]!SNLData("243327", C422, "OWNER_LIST")</f>
        <v>Pan American Silver Corp. (Venturer) 95%; Trafigura Group Pte. Ltd. (Venturer) 5%</v>
      </c>
      <c r="H422" s="9">
        <f>[1]!SNLData("243327", C422, "OWNER_SNL_INSTN_KEY", "Owner 1")</f>
        <v>4353203</v>
      </c>
      <c r="I422" s="9">
        <f>[1]!SNLData("243327", C422, "OWNER_SNL_INSTN_KEY", "Owner 2")</f>
        <v>6220799</v>
      </c>
      <c r="J422" s="12" t="str">
        <f>_xll.SNL.Clients.Office.Excel.Functions.SPG(H422, "SP_ULT_PARENT_COMPANY_NAME")</f>
        <v/>
      </c>
      <c r="K422" s="12" t="str">
        <f>_xll.SNL.Clients.Office.Excel.Functions.SPG(H422, "SP_ULT_PARENT_COUNTRY")</f>
        <v/>
      </c>
      <c r="L422" s="12" t="str">
        <f>_xll.SNL.Clients.Office.Excel.Functions.SPG(H422, "SP_PARENT_COMPANY_NAME")</f>
        <v/>
      </c>
      <c r="M422" s="12" t="str">
        <f>_xll.SNL.Clients.Office.Excel.Functions.SPG(H422, "SP_PARENT_COUNTRY")</f>
        <v/>
      </c>
      <c r="N422" s="12" t="str">
        <f>_xll.SNL.Clients.Office.Excel.Functions.SPG(H422, "SP_COUNTRY_NAME")</f>
        <v>Canada</v>
      </c>
      <c r="O422" s="12" t="str">
        <f>_xll.SNL.Clients.Office.Excel.Functions.SPG(I422, "SP_ULT_PARENT_COMPANY_NAME")</f>
        <v>Farringford Foundation</v>
      </c>
      <c r="P422" s="12" t="str">
        <f>_xll.SNL.Clients.Office.Excel.Functions.SPG(I422, "SP_ULT_PARENT_COUNTRY")</f>
        <v>Panama</v>
      </c>
      <c r="Q422" s="12" t="str">
        <f>_xll.SNL.Clients.Office.Excel.Functions.SPG(I422, "SP_PARENT_COMPANY_NAME")</f>
        <v>Trafigura Beheer B.V.</v>
      </c>
      <c r="R422" s="12" t="str">
        <f>_xll.SNL.Clients.Office.Excel.Functions.SPG(I422, "SP_PARENT_COUNTRY")</f>
        <v>Singapore</v>
      </c>
      <c r="S422" s="12" t="str">
        <f>_xll.SNL.Clients.Office.Excel.Functions.SPG(I422, "SP_COUNTRY_NAME")</f>
        <v>Singapore</v>
      </c>
    </row>
    <row r="423" spans="1:19" x14ac:dyDescent="0.35">
      <c r="A423" s="5">
        <v>46022</v>
      </c>
      <c r="B423" s="4" t="s">
        <v>462</v>
      </c>
      <c r="C423" s="4" t="s">
        <v>463</v>
      </c>
      <c r="D423" s="4" t="s">
        <v>1131</v>
      </c>
      <c r="E423" s="8">
        <v>4546566</v>
      </c>
      <c r="F423" s="7">
        <v>100</v>
      </c>
      <c r="G423" s="12" t="str">
        <f>[1]!SNLData("243327", C423, "OWNER_LIST")</f>
        <v>Appian Capital Advisory LLP  100%</v>
      </c>
      <c r="H423" s="9">
        <f>[1]!SNLData("243327", C423, "OWNER_SNL_INSTN_KEY", "Owner 1")</f>
        <v>4546566</v>
      </c>
      <c r="I423" s="9" t="str">
        <f>[1]!SNLData("243327", C423, "OWNER_SNL_INSTN_KEY", "Owner 2")</f>
        <v>NA</v>
      </c>
      <c r="J423" s="12" t="str">
        <f>_xll.SNL.Clients.Office.Excel.Functions.SPG(H423, "SP_ULT_PARENT_COMPANY_NAME")</f>
        <v/>
      </c>
      <c r="K423" s="12" t="str">
        <f>_xll.SNL.Clients.Office.Excel.Functions.SPG(H423, "SP_ULT_PARENT_COUNTRY")</f>
        <v/>
      </c>
      <c r="L423" s="12" t="str">
        <f>_xll.SNL.Clients.Office.Excel.Functions.SPG(H423, "SP_PARENT_COMPANY_NAME")</f>
        <v/>
      </c>
      <c r="M423" s="12" t="str">
        <f>_xll.SNL.Clients.Office.Excel.Functions.SPG(H423, "SP_PARENT_COUNTRY")</f>
        <v/>
      </c>
      <c r="N423" s="12" t="str">
        <f>_xll.SNL.Clients.Office.Excel.Functions.SPG(H423, "SP_COUNTRY_NAME")</f>
        <v>United Kingdom</v>
      </c>
      <c r="O423" s="12" t="str">
        <f>_xll.SNL.Clients.Office.Excel.Functions.SPG(I423, "SP_ULT_PARENT_COMPANY_NAME")</f>
        <v/>
      </c>
      <c r="P423" s="12" t="str">
        <f>_xll.SNL.Clients.Office.Excel.Functions.SPG(I423, "SP_ULT_PARENT_COUNTRY")</f>
        <v/>
      </c>
      <c r="Q423" s="12" t="str">
        <f>_xll.SNL.Clients.Office.Excel.Functions.SPG(I423, "SP_PARENT_COMPANY_NAME")</f>
        <v/>
      </c>
      <c r="R423" s="12" t="str">
        <f>_xll.SNL.Clients.Office.Excel.Functions.SPG(I423, "SP_PARENT_COUNTRY")</f>
        <v/>
      </c>
      <c r="S423" s="12" t="str">
        <f>_xll.SNL.Clients.Office.Excel.Functions.SPG(I423, "SP_COUNTRY_NAME")</f>
        <v>China</v>
      </c>
    </row>
    <row r="424" spans="1:19" ht="72.5" x14ac:dyDescent="0.35">
      <c r="A424" s="5">
        <v>46022</v>
      </c>
      <c r="B424" s="4" t="s">
        <v>817</v>
      </c>
      <c r="C424" s="4" t="s">
        <v>818</v>
      </c>
      <c r="D424" s="4" t="s">
        <v>1056</v>
      </c>
      <c r="E424" s="8">
        <v>4355632</v>
      </c>
      <c r="F424" s="7">
        <v>51</v>
      </c>
      <c r="G424" s="12" t="str">
        <f>[1]!SNLData("243327", C424, "OWNER_LIST")</f>
        <v>Zhongjin Gold Corp.,Ltd (Venturer) 51%; Unnamed Owner (Fractional) %</v>
      </c>
      <c r="H424" s="9">
        <f>[1]!SNLData("243327", C424, "OWNER_SNL_INSTN_KEY", "Owner 1")</f>
        <v>4355632</v>
      </c>
      <c r="I424" s="9">
        <f>[1]!SNLData("243327", C424, "OWNER_SNL_INSTN_KEY", "Owner 2")</f>
        <v>4400798</v>
      </c>
      <c r="J424" s="12" t="str">
        <f>_xll.SNL.Clients.Office.Excel.Functions.SPG(H424, "SP_ULT_PARENT_COMPANY_NAME")</f>
        <v>State-owned Assets Supervision and Administration Commission of the State Counci</v>
      </c>
      <c r="K424" s="12" t="str">
        <f>_xll.SNL.Clients.Office.Excel.Functions.SPG(H424, "SP_ULT_PARENT_COUNTRY")</f>
        <v>China</v>
      </c>
      <c r="L424" s="12" t="str">
        <f>_xll.SNL.Clients.Office.Excel.Functions.SPG(H424, "SP_PARENT_COMPANY_NAME")</f>
        <v>China National Gold Group Co., Ltd</v>
      </c>
      <c r="M424" s="12" t="str">
        <f>_xll.SNL.Clients.Office.Excel.Functions.SPG(H424, "SP_PARENT_COUNTRY")</f>
        <v>China</v>
      </c>
      <c r="N424" s="12" t="str">
        <f>_xll.SNL.Clients.Office.Excel.Functions.SPG(H424, "SP_COUNTRY_NAME")</f>
        <v>China</v>
      </c>
      <c r="O424" s="12" t="str">
        <f>_xll.SNL.Clients.Office.Excel.Functions.SPG(I424, "SP_ULT_PARENT_COMPANY_NAME")</f>
        <v/>
      </c>
      <c r="P424" s="12" t="str">
        <f>_xll.SNL.Clients.Office.Excel.Functions.SPG(I424, "SP_ULT_PARENT_COUNTRY")</f>
        <v/>
      </c>
      <c r="Q424" s="12" t="str">
        <f>_xll.SNL.Clients.Office.Excel.Functions.SPG(I424, "SP_PARENT_COMPANY_NAME")</f>
        <v/>
      </c>
      <c r="R424" s="12" t="str">
        <f>_xll.SNL.Clients.Office.Excel.Functions.SPG(I424, "SP_PARENT_COUNTRY")</f>
        <v/>
      </c>
      <c r="S424" s="12" t="str">
        <f>_xll.SNL.Clients.Office.Excel.Functions.SPG(I424, "SP_COUNTRY_NAME")</f>
        <v>USA</v>
      </c>
    </row>
    <row r="425" spans="1:19" x14ac:dyDescent="0.35">
      <c r="A425" s="5">
        <v>46022</v>
      </c>
      <c r="B425" s="4" t="s">
        <v>464</v>
      </c>
      <c r="C425" s="4" t="s">
        <v>465</v>
      </c>
      <c r="D425" s="4" t="s">
        <v>1132</v>
      </c>
      <c r="E425" s="8">
        <v>4352692</v>
      </c>
      <c r="F425" s="7">
        <v>100</v>
      </c>
      <c r="G425" s="12" t="str">
        <f>[1]!SNLData("243327", C425, "OWNER_LIST")</f>
        <v>National Iranian Copper Industries  100%</v>
      </c>
      <c r="H425" s="9">
        <f>[1]!SNLData("243327", C425, "OWNER_SNL_INSTN_KEY", "Owner 1")</f>
        <v>4352692</v>
      </c>
      <c r="I425" s="9" t="str">
        <f>[1]!SNLData("243327", C425, "OWNER_SNL_INSTN_KEY", "Owner 2")</f>
        <v>NA</v>
      </c>
      <c r="J425" s="12" t="str">
        <f>_xll.SNL.Clients.Office.Excel.Functions.SPG(H425, "SP_ULT_PARENT_COMPANY_NAME")</f>
        <v/>
      </c>
      <c r="K425" s="12" t="str">
        <f>_xll.SNL.Clients.Office.Excel.Functions.SPG(H425, "SP_ULT_PARENT_COUNTRY")</f>
        <v/>
      </c>
      <c r="L425" s="12" t="str">
        <f>_xll.SNL.Clients.Office.Excel.Functions.SPG(H425, "SP_PARENT_COMPANY_NAME")</f>
        <v/>
      </c>
      <c r="M425" s="12" t="str">
        <f>_xll.SNL.Clients.Office.Excel.Functions.SPG(H425, "SP_PARENT_COUNTRY")</f>
        <v/>
      </c>
      <c r="N425" s="12" t="str">
        <f>_xll.SNL.Clients.Office.Excel.Functions.SPG(H425, "SP_COUNTRY_NAME")</f>
        <v>Iran</v>
      </c>
      <c r="O425" s="12" t="str">
        <f>_xll.SNL.Clients.Office.Excel.Functions.SPG(I425, "SP_ULT_PARENT_COMPANY_NAME")</f>
        <v/>
      </c>
      <c r="P425" s="12" t="str">
        <f>_xll.SNL.Clients.Office.Excel.Functions.SPG(I425, "SP_ULT_PARENT_COUNTRY")</f>
        <v/>
      </c>
      <c r="Q425" s="12" t="str">
        <f>_xll.SNL.Clients.Office.Excel.Functions.SPG(I425, "SP_PARENT_COMPANY_NAME")</f>
        <v/>
      </c>
      <c r="R425" s="12" t="str">
        <f>_xll.SNL.Clients.Office.Excel.Functions.SPG(I425, "SP_PARENT_COUNTRY")</f>
        <v/>
      </c>
      <c r="S425" s="12" t="str">
        <f>_xll.SNL.Clients.Office.Excel.Functions.SPG(I425, "SP_COUNTRY_NAME")</f>
        <v>China</v>
      </c>
    </row>
    <row r="426" spans="1:19" x14ac:dyDescent="0.35">
      <c r="A426" s="5">
        <v>46022</v>
      </c>
      <c r="B426" s="4" t="s">
        <v>467</v>
      </c>
      <c r="C426" s="4" t="s">
        <v>468</v>
      </c>
      <c r="D426" s="4" t="s">
        <v>1133</v>
      </c>
      <c r="E426" s="8">
        <v>10930063</v>
      </c>
      <c r="F426" s="7">
        <v>100</v>
      </c>
      <c r="G426" s="12" t="str">
        <f>[1]!SNLData("243327", C426, "OWNER_LIST")</f>
        <v>Jiangxi Jinyu Industrial Group Co., Ltd.  100%</v>
      </c>
      <c r="H426" s="9">
        <f>[1]!SNLData("243327", C426, "OWNER_SNL_INSTN_KEY", "Owner 1")</f>
        <v>10930063</v>
      </c>
      <c r="I426" s="9" t="str">
        <f>[1]!SNLData("243327", C426, "OWNER_SNL_INSTN_KEY", "Owner 2")</f>
        <v>NA</v>
      </c>
      <c r="J426" s="12" t="str">
        <f>_xll.SNL.Clients.Office.Excel.Functions.SPG(H426, "SP_ULT_PARENT_COMPANY_NAME")</f>
        <v/>
      </c>
      <c r="K426" s="12" t="str">
        <f>_xll.SNL.Clients.Office.Excel.Functions.SPG(H426, "SP_ULT_PARENT_COUNTRY")</f>
        <v/>
      </c>
      <c r="L426" s="12" t="str">
        <f>_xll.SNL.Clients.Office.Excel.Functions.SPG(H426, "SP_PARENT_COMPANY_NAME")</f>
        <v/>
      </c>
      <c r="M426" s="12" t="str">
        <f>_xll.SNL.Clients.Office.Excel.Functions.SPG(H426, "SP_PARENT_COUNTRY")</f>
        <v/>
      </c>
      <c r="N426" s="12" t="str">
        <f>_xll.SNL.Clients.Office.Excel.Functions.SPG(H426, "SP_COUNTRY_NAME")</f>
        <v>China</v>
      </c>
      <c r="O426" s="12" t="str">
        <f>_xll.SNL.Clients.Office.Excel.Functions.SPG(I426, "SP_ULT_PARENT_COMPANY_NAME")</f>
        <v/>
      </c>
      <c r="P426" s="12" t="str">
        <f>_xll.SNL.Clients.Office.Excel.Functions.SPG(I426, "SP_ULT_PARENT_COUNTRY")</f>
        <v/>
      </c>
      <c r="Q426" s="12" t="str">
        <f>_xll.SNL.Clients.Office.Excel.Functions.SPG(I426, "SP_PARENT_COMPANY_NAME")</f>
        <v/>
      </c>
      <c r="R426" s="12" t="str">
        <f>_xll.SNL.Clients.Office.Excel.Functions.SPG(I426, "SP_PARENT_COUNTRY")</f>
        <v/>
      </c>
      <c r="S426" s="12" t="str">
        <f>_xll.SNL.Clients.Office.Excel.Functions.SPG(I426, "SP_COUNTRY_NAME")</f>
        <v>China</v>
      </c>
    </row>
    <row r="427" spans="1:19" ht="29" x14ac:dyDescent="0.35">
      <c r="A427" s="5">
        <v>46022</v>
      </c>
      <c r="B427" s="4" t="s">
        <v>636</v>
      </c>
      <c r="C427" s="4" t="s">
        <v>637</v>
      </c>
      <c r="D427" s="4" t="s">
        <v>1134</v>
      </c>
      <c r="E427" s="8">
        <v>10405589</v>
      </c>
      <c r="F427" s="7">
        <v>100</v>
      </c>
      <c r="G427" s="12" t="str">
        <f>[1]!SNLData("243327", C427, "OWNER_LIST")</f>
        <v>Chifeng Jinhongling Nonferrous Mining Co., Ltd.  100%</v>
      </c>
      <c r="H427" s="9">
        <f>[1]!SNLData("243327", C427, "OWNER_SNL_INSTN_KEY", "Owner 1")</f>
        <v>10405589</v>
      </c>
      <c r="I427" s="9" t="str">
        <f>[1]!SNLData("243327", C427, "OWNER_SNL_INSTN_KEY", "Owner 2")</f>
        <v>NA</v>
      </c>
      <c r="J427" s="12" t="str">
        <f>_xll.SNL.Clients.Office.Excel.Functions.SPG(H427, "SP_ULT_PARENT_COMPANY_NAME")</f>
        <v/>
      </c>
      <c r="K427" s="12" t="str">
        <f>_xll.SNL.Clients.Office.Excel.Functions.SPG(H427, "SP_ULT_PARENT_COUNTRY")</f>
        <v/>
      </c>
      <c r="L427" s="12" t="str">
        <f>_xll.SNL.Clients.Office.Excel.Functions.SPG(H427, "SP_PARENT_COMPANY_NAME")</f>
        <v/>
      </c>
      <c r="M427" s="12" t="str">
        <f>_xll.SNL.Clients.Office.Excel.Functions.SPG(H427, "SP_PARENT_COUNTRY")</f>
        <v/>
      </c>
      <c r="N427" s="12" t="str">
        <f>_xll.SNL.Clients.Office.Excel.Functions.SPG(H427, "SP_COUNTRY_NAME")</f>
        <v>China</v>
      </c>
      <c r="O427" s="12" t="str">
        <f>_xll.SNL.Clients.Office.Excel.Functions.SPG(I427, "SP_ULT_PARENT_COMPANY_NAME")</f>
        <v/>
      </c>
      <c r="P427" s="12" t="str">
        <f>_xll.SNL.Clients.Office.Excel.Functions.SPG(I427, "SP_ULT_PARENT_COUNTRY")</f>
        <v/>
      </c>
      <c r="Q427" s="12" t="str">
        <f>_xll.SNL.Clients.Office.Excel.Functions.SPG(I427, "SP_PARENT_COMPANY_NAME")</f>
        <v/>
      </c>
      <c r="R427" s="12" t="str">
        <f>_xll.SNL.Clients.Office.Excel.Functions.SPG(I427, "SP_PARENT_COUNTRY")</f>
        <v/>
      </c>
      <c r="S427" s="12" t="str">
        <f>_xll.SNL.Clients.Office.Excel.Functions.SPG(I427, "SP_COUNTRY_NAME")</f>
        <v>China</v>
      </c>
    </row>
    <row r="428" spans="1:19" ht="29" x14ac:dyDescent="0.35">
      <c r="A428" s="5">
        <v>46022</v>
      </c>
      <c r="B428" s="4" t="s">
        <v>819</v>
      </c>
      <c r="C428" s="4" t="s">
        <v>820</v>
      </c>
      <c r="D428" s="4" t="s">
        <v>1024</v>
      </c>
      <c r="E428" s="8">
        <v>4314727</v>
      </c>
      <c r="F428" s="7">
        <v>100</v>
      </c>
      <c r="G428" s="12" t="str">
        <f>[1]!SNLData("243327", C428, "OWNER_LIST")</f>
        <v>Tongling Nonferrous Metals Group Co.,Ltd.  100%</v>
      </c>
      <c r="H428" s="9">
        <f>[1]!SNLData("243327", C428, "OWNER_SNL_INSTN_KEY", "Owner 1")</f>
        <v>4314727</v>
      </c>
      <c r="I428" s="9" t="str">
        <f>[1]!SNLData("243327", C428, "OWNER_SNL_INSTN_KEY", "Owner 2")</f>
        <v>NA</v>
      </c>
      <c r="J428" s="12" t="str">
        <f>_xll.SNL.Clients.Office.Excel.Functions.SPG(H428, "SP_ULT_PARENT_COMPANY_NAME")</f>
        <v/>
      </c>
      <c r="K428" s="12" t="str">
        <f>_xll.SNL.Clients.Office.Excel.Functions.SPG(H428, "SP_ULT_PARENT_COUNTRY")</f>
        <v/>
      </c>
      <c r="L428" s="12" t="str">
        <f>_xll.SNL.Clients.Office.Excel.Functions.SPG(H428, "SP_PARENT_COMPANY_NAME")</f>
        <v/>
      </c>
      <c r="M428" s="12" t="str">
        <f>_xll.SNL.Clients.Office.Excel.Functions.SPG(H428, "SP_PARENT_COUNTRY")</f>
        <v/>
      </c>
      <c r="N428" s="12" t="str">
        <f>_xll.SNL.Clients.Office.Excel.Functions.SPG(H428, "SP_COUNTRY_NAME")</f>
        <v>China</v>
      </c>
      <c r="O428" s="12" t="str">
        <f>_xll.SNL.Clients.Office.Excel.Functions.SPG(I428, "SP_ULT_PARENT_COMPANY_NAME")</f>
        <v/>
      </c>
      <c r="P428" s="12" t="str">
        <f>_xll.SNL.Clients.Office.Excel.Functions.SPG(I428, "SP_ULT_PARENT_COUNTRY")</f>
        <v/>
      </c>
      <c r="Q428" s="12" t="str">
        <f>_xll.SNL.Clients.Office.Excel.Functions.SPG(I428, "SP_PARENT_COMPANY_NAME")</f>
        <v/>
      </c>
      <c r="R428" s="12" t="str">
        <f>_xll.SNL.Clients.Office.Excel.Functions.SPG(I428, "SP_PARENT_COUNTRY")</f>
        <v/>
      </c>
      <c r="S428" s="12" t="str">
        <f>_xll.SNL.Clients.Office.Excel.Functions.SPG(I428, "SP_COUNTRY_NAME")</f>
        <v>China</v>
      </c>
    </row>
    <row r="429" spans="1:19" x14ac:dyDescent="0.35">
      <c r="A429" s="5">
        <v>46022</v>
      </c>
      <c r="B429" s="4" t="s">
        <v>479</v>
      </c>
      <c r="C429" s="4" t="s">
        <v>480</v>
      </c>
      <c r="D429" s="4" t="s">
        <v>962</v>
      </c>
      <c r="E429" s="8">
        <v>4353456</v>
      </c>
      <c r="F429" s="7">
        <v>100</v>
      </c>
      <c r="G429" s="12" t="str">
        <f>[1]!SNLData("243327", C429, "OWNER_LIST")</f>
        <v>Private Interest  100%</v>
      </c>
      <c r="H429" s="9">
        <f>[1]!SNLData("243327", C429, "OWNER_SNL_INSTN_KEY", "Owner 1")</f>
        <v>4353456</v>
      </c>
      <c r="I429" s="9" t="str">
        <f>[1]!SNLData("243327", C429, "OWNER_SNL_INSTN_KEY", "Owner 2")</f>
        <v>NA</v>
      </c>
      <c r="J429" s="12" t="str">
        <f>_xll.SNL.Clients.Office.Excel.Functions.SPG(H429, "SP_ULT_PARENT_COMPANY_NAME")</f>
        <v/>
      </c>
      <c r="K429" s="12" t="str">
        <f>_xll.SNL.Clients.Office.Excel.Functions.SPG(H429, "SP_ULT_PARENT_COUNTRY")</f>
        <v/>
      </c>
      <c r="L429" s="12" t="str">
        <f>_xll.SNL.Clients.Office.Excel.Functions.SPG(H429, "SP_PARENT_COMPANY_NAME")</f>
        <v/>
      </c>
      <c r="M429" s="12" t="str">
        <f>_xll.SNL.Clients.Office.Excel.Functions.SPG(H429, "SP_PARENT_COUNTRY")</f>
        <v/>
      </c>
      <c r="N429" s="12" t="str">
        <f>_xll.SNL.Clients.Office.Excel.Functions.SPG(H429, "SP_COUNTRY_NAME")</f>
        <v>China</v>
      </c>
      <c r="O429" s="12" t="str">
        <f>_xll.SNL.Clients.Office.Excel.Functions.SPG(I429, "SP_ULT_PARENT_COMPANY_NAME")</f>
        <v/>
      </c>
      <c r="P429" s="12" t="str">
        <f>_xll.SNL.Clients.Office.Excel.Functions.SPG(I429, "SP_ULT_PARENT_COUNTRY")</f>
        <v/>
      </c>
      <c r="Q429" s="12" t="str">
        <f>_xll.SNL.Clients.Office.Excel.Functions.SPG(I429, "SP_PARENT_COMPANY_NAME")</f>
        <v/>
      </c>
      <c r="R429" s="12" t="str">
        <f>_xll.SNL.Clients.Office.Excel.Functions.SPG(I429, "SP_PARENT_COUNTRY")</f>
        <v/>
      </c>
      <c r="S429" s="12" t="str">
        <f>_xll.SNL.Clients.Office.Excel.Functions.SPG(I429, "SP_COUNTRY_NAME")</f>
        <v>China</v>
      </c>
    </row>
    <row r="430" spans="1:19" x14ac:dyDescent="0.35">
      <c r="A430" s="5">
        <v>46022</v>
      </c>
      <c r="B430" s="4" t="s">
        <v>469</v>
      </c>
      <c r="C430" s="4" t="s">
        <v>470</v>
      </c>
      <c r="D430" s="4" t="s">
        <v>1135</v>
      </c>
      <c r="E430" s="8">
        <v>10928473</v>
      </c>
      <c r="F430" s="7">
        <v>100</v>
      </c>
      <c r="G430" s="12" t="str">
        <f>[1]!SNLData("243327", C430, "OWNER_LIST")</f>
        <v>Tangdan Conc. Plant  100%</v>
      </c>
      <c r="H430" s="9">
        <f>[1]!SNLData("243327", C430, "OWNER_SNL_INSTN_KEY", "Owner 1")</f>
        <v>10928473</v>
      </c>
      <c r="I430" s="9" t="str">
        <f>[1]!SNLData("243327", C430, "OWNER_SNL_INSTN_KEY", "Owner 2")</f>
        <v>NA</v>
      </c>
      <c r="J430" s="12" t="str">
        <f>_xll.SNL.Clients.Office.Excel.Functions.SPG(H430, "SP_ULT_PARENT_COMPANY_NAME")</f>
        <v/>
      </c>
      <c r="K430" s="12" t="str">
        <f>_xll.SNL.Clients.Office.Excel.Functions.SPG(H430, "SP_ULT_PARENT_COUNTRY")</f>
        <v/>
      </c>
      <c r="L430" s="12" t="str">
        <f>_xll.SNL.Clients.Office.Excel.Functions.SPG(H430, "SP_PARENT_COMPANY_NAME")</f>
        <v/>
      </c>
      <c r="M430" s="12" t="str">
        <f>_xll.SNL.Clients.Office.Excel.Functions.SPG(H430, "SP_PARENT_COUNTRY")</f>
        <v/>
      </c>
      <c r="N430" s="12" t="str">
        <f>_xll.SNL.Clients.Office.Excel.Functions.SPG(H430, "SP_COUNTRY_NAME")</f>
        <v>China</v>
      </c>
      <c r="O430" s="12" t="str">
        <f>_xll.SNL.Clients.Office.Excel.Functions.SPG(I430, "SP_ULT_PARENT_COMPANY_NAME")</f>
        <v/>
      </c>
      <c r="P430" s="12" t="str">
        <f>_xll.SNL.Clients.Office.Excel.Functions.SPG(I430, "SP_ULT_PARENT_COUNTRY")</f>
        <v/>
      </c>
      <c r="Q430" s="12" t="str">
        <f>_xll.SNL.Clients.Office.Excel.Functions.SPG(I430, "SP_PARENT_COMPANY_NAME")</f>
        <v/>
      </c>
      <c r="R430" s="12" t="str">
        <f>_xll.SNL.Clients.Office.Excel.Functions.SPG(I430, "SP_PARENT_COUNTRY")</f>
        <v/>
      </c>
      <c r="S430" s="12" t="str">
        <f>_xll.SNL.Clients.Office.Excel.Functions.SPG(I430, "SP_COUNTRY_NAME")</f>
        <v>China</v>
      </c>
    </row>
    <row r="431" spans="1:19" x14ac:dyDescent="0.35">
      <c r="A431" s="5">
        <v>46022</v>
      </c>
      <c r="B431" s="4" t="s">
        <v>821</v>
      </c>
      <c r="C431" s="4" t="s">
        <v>822</v>
      </c>
      <c r="D431" s="4" t="s">
        <v>962</v>
      </c>
      <c r="E431" s="8">
        <v>4353456</v>
      </c>
      <c r="F431" s="7">
        <v>100</v>
      </c>
      <c r="G431" s="12" t="str">
        <f>[1]!SNLData("243327", C431, "OWNER_LIST")</f>
        <v>Private Interest  100%</v>
      </c>
      <c r="H431" s="9">
        <f>[1]!SNLData("243327", C431, "OWNER_SNL_INSTN_KEY", "Owner 1")</f>
        <v>4353456</v>
      </c>
      <c r="I431" s="9" t="str">
        <f>[1]!SNLData("243327", C431, "OWNER_SNL_INSTN_KEY", "Owner 2")</f>
        <v>NA</v>
      </c>
      <c r="J431" s="12" t="str">
        <f>_xll.SNL.Clients.Office.Excel.Functions.SPG(H431, "SP_ULT_PARENT_COMPANY_NAME")</f>
        <v/>
      </c>
      <c r="K431" s="12" t="str">
        <f>_xll.SNL.Clients.Office.Excel.Functions.SPG(H431, "SP_ULT_PARENT_COUNTRY")</f>
        <v/>
      </c>
      <c r="L431" s="12" t="str">
        <f>_xll.SNL.Clients.Office.Excel.Functions.SPG(H431, "SP_PARENT_COMPANY_NAME")</f>
        <v/>
      </c>
      <c r="M431" s="12" t="str">
        <f>_xll.SNL.Clients.Office.Excel.Functions.SPG(H431, "SP_PARENT_COUNTRY")</f>
        <v/>
      </c>
      <c r="N431" s="12" t="str">
        <f>_xll.SNL.Clients.Office.Excel.Functions.SPG(H431, "SP_COUNTRY_NAME")</f>
        <v>China</v>
      </c>
      <c r="O431" s="12" t="str">
        <f>_xll.SNL.Clients.Office.Excel.Functions.SPG(I431, "SP_ULT_PARENT_COMPANY_NAME")</f>
        <v/>
      </c>
      <c r="P431" s="12" t="str">
        <f>_xll.SNL.Clients.Office.Excel.Functions.SPG(I431, "SP_ULT_PARENT_COUNTRY")</f>
        <v/>
      </c>
      <c r="Q431" s="12" t="str">
        <f>_xll.SNL.Clients.Office.Excel.Functions.SPG(I431, "SP_PARENT_COMPANY_NAME")</f>
        <v/>
      </c>
      <c r="R431" s="12" t="str">
        <f>_xll.SNL.Clients.Office.Excel.Functions.SPG(I431, "SP_PARENT_COUNTRY")</f>
        <v/>
      </c>
      <c r="S431" s="12" t="str">
        <f>_xll.SNL.Clients.Office.Excel.Functions.SPG(I431, "SP_COUNTRY_NAME")</f>
        <v>China</v>
      </c>
    </row>
    <row r="432" spans="1:19" x14ac:dyDescent="0.35">
      <c r="A432" s="5">
        <v>46022</v>
      </c>
      <c r="B432" s="4" t="s">
        <v>471</v>
      </c>
      <c r="C432" s="4" t="s">
        <v>472</v>
      </c>
      <c r="D432" s="4" t="s">
        <v>962</v>
      </c>
      <c r="E432" s="8">
        <v>4353456</v>
      </c>
      <c r="F432" s="7">
        <v>100</v>
      </c>
      <c r="G432" s="12" t="str">
        <f>[1]!SNLData("243327", C432, "OWNER_LIST")</f>
        <v>Private Interest  100%</v>
      </c>
      <c r="H432" s="9">
        <f>[1]!SNLData("243327", C432, "OWNER_SNL_INSTN_KEY", "Owner 1")</f>
        <v>4353456</v>
      </c>
      <c r="I432" s="9" t="str">
        <f>[1]!SNLData("243327", C432, "OWNER_SNL_INSTN_KEY", "Owner 2")</f>
        <v>NA</v>
      </c>
      <c r="J432" s="12" t="str">
        <f>_xll.SNL.Clients.Office.Excel.Functions.SPG(H432, "SP_ULT_PARENT_COMPANY_NAME")</f>
        <v/>
      </c>
      <c r="K432" s="12" t="str">
        <f>_xll.SNL.Clients.Office.Excel.Functions.SPG(H432, "SP_ULT_PARENT_COUNTRY")</f>
        <v/>
      </c>
      <c r="L432" s="12" t="str">
        <f>_xll.SNL.Clients.Office.Excel.Functions.SPG(H432, "SP_PARENT_COMPANY_NAME")</f>
        <v/>
      </c>
      <c r="M432" s="12" t="str">
        <f>_xll.SNL.Clients.Office.Excel.Functions.SPG(H432, "SP_PARENT_COUNTRY")</f>
        <v/>
      </c>
      <c r="N432" s="12" t="str">
        <f>_xll.SNL.Clients.Office.Excel.Functions.SPG(H432, "SP_COUNTRY_NAME")</f>
        <v>China</v>
      </c>
      <c r="O432" s="12" t="str">
        <f>_xll.SNL.Clients.Office.Excel.Functions.SPG(I432, "SP_ULT_PARENT_COMPANY_NAME")</f>
        <v/>
      </c>
      <c r="P432" s="12" t="str">
        <f>_xll.SNL.Clients.Office.Excel.Functions.SPG(I432, "SP_ULT_PARENT_COUNTRY")</f>
        <v/>
      </c>
      <c r="Q432" s="12" t="str">
        <f>_xll.SNL.Clients.Office.Excel.Functions.SPG(I432, "SP_PARENT_COMPANY_NAME")</f>
        <v/>
      </c>
      <c r="R432" s="12" t="str">
        <f>_xll.SNL.Clients.Office.Excel.Functions.SPG(I432, "SP_PARENT_COUNTRY")</f>
        <v/>
      </c>
      <c r="S432" s="12" t="str">
        <f>_xll.SNL.Clients.Office.Excel.Functions.SPG(I432, "SP_COUNTRY_NAME")</f>
        <v>China</v>
      </c>
    </row>
    <row r="433" spans="1:19" x14ac:dyDescent="0.35">
      <c r="A433" s="5">
        <v>46022</v>
      </c>
      <c r="B433" s="4" t="s">
        <v>481</v>
      </c>
      <c r="C433" s="4" t="s">
        <v>482</v>
      </c>
      <c r="D433" s="4" t="s">
        <v>1136</v>
      </c>
      <c r="E433" s="8">
        <v>10948121</v>
      </c>
      <c r="F433" s="7">
        <v>100</v>
      </c>
      <c r="G433" s="12" t="str">
        <f>[1]!SNLData("243327", C433, "OWNER_LIST")</f>
        <v>Kunming Shuangfo Mining Co., Ltd.  100%</v>
      </c>
      <c r="H433" s="9">
        <f>[1]!SNLData("243327", C433, "OWNER_SNL_INSTN_KEY", "Owner 1")</f>
        <v>10948121</v>
      </c>
      <c r="I433" s="9" t="str">
        <f>[1]!SNLData("243327", C433, "OWNER_SNL_INSTN_KEY", "Owner 2")</f>
        <v>NA</v>
      </c>
      <c r="J433" s="12" t="str">
        <f>_xll.SNL.Clients.Office.Excel.Functions.SPG(H433, "SP_ULT_PARENT_COMPANY_NAME")</f>
        <v/>
      </c>
      <c r="K433" s="12" t="str">
        <f>_xll.SNL.Clients.Office.Excel.Functions.SPG(H433, "SP_ULT_PARENT_COUNTRY")</f>
        <v/>
      </c>
      <c r="L433" s="12" t="str">
        <f>_xll.SNL.Clients.Office.Excel.Functions.SPG(H433, "SP_PARENT_COMPANY_NAME")</f>
        <v/>
      </c>
      <c r="M433" s="12" t="str">
        <f>_xll.SNL.Clients.Office.Excel.Functions.SPG(H433, "SP_PARENT_COUNTRY")</f>
        <v/>
      </c>
      <c r="N433" s="12" t="str">
        <f>_xll.SNL.Clients.Office.Excel.Functions.SPG(H433, "SP_COUNTRY_NAME")</f>
        <v>China</v>
      </c>
      <c r="O433" s="12" t="str">
        <f>_xll.SNL.Clients.Office.Excel.Functions.SPG(I433, "SP_ULT_PARENT_COMPANY_NAME")</f>
        <v/>
      </c>
      <c r="P433" s="12" t="str">
        <f>_xll.SNL.Clients.Office.Excel.Functions.SPG(I433, "SP_ULT_PARENT_COUNTRY")</f>
        <v/>
      </c>
      <c r="Q433" s="12" t="str">
        <f>_xll.SNL.Clients.Office.Excel.Functions.SPG(I433, "SP_PARENT_COMPANY_NAME")</f>
        <v/>
      </c>
      <c r="R433" s="12" t="str">
        <f>_xll.SNL.Clients.Office.Excel.Functions.SPG(I433, "SP_PARENT_COUNTRY")</f>
        <v/>
      </c>
      <c r="S433" s="12" t="str">
        <f>_xll.SNL.Clients.Office.Excel.Functions.SPG(I433, "SP_COUNTRY_NAME")</f>
        <v>China</v>
      </c>
    </row>
    <row r="434" spans="1:19" x14ac:dyDescent="0.35">
      <c r="A434" s="5">
        <v>46022</v>
      </c>
      <c r="B434" s="4" t="s">
        <v>487</v>
      </c>
      <c r="C434" s="4" t="s">
        <v>488</v>
      </c>
      <c r="D434" s="4" t="s">
        <v>1136</v>
      </c>
      <c r="E434" s="8">
        <v>10948121</v>
      </c>
      <c r="F434" s="7">
        <v>100</v>
      </c>
      <c r="G434" s="12" t="str">
        <f>[1]!SNLData("243327", C434, "OWNER_LIST")</f>
        <v>Kunming Shuangfo Mining Co., Ltd.  100%</v>
      </c>
      <c r="H434" s="9">
        <f>[1]!SNLData("243327", C434, "OWNER_SNL_INSTN_KEY", "Owner 1")</f>
        <v>10948121</v>
      </c>
      <c r="I434" s="9" t="str">
        <f>[1]!SNLData("243327", C434, "OWNER_SNL_INSTN_KEY", "Owner 2")</f>
        <v>NA</v>
      </c>
      <c r="J434" s="12" t="str">
        <f>_xll.SNL.Clients.Office.Excel.Functions.SPG(H434, "SP_ULT_PARENT_COMPANY_NAME")</f>
        <v/>
      </c>
      <c r="K434" s="12" t="str">
        <f>_xll.SNL.Clients.Office.Excel.Functions.SPG(H434, "SP_ULT_PARENT_COUNTRY")</f>
        <v/>
      </c>
      <c r="L434" s="12" t="str">
        <f>_xll.SNL.Clients.Office.Excel.Functions.SPG(H434, "SP_PARENT_COMPANY_NAME")</f>
        <v/>
      </c>
      <c r="M434" s="12" t="str">
        <f>_xll.SNL.Clients.Office.Excel.Functions.SPG(H434, "SP_PARENT_COUNTRY")</f>
        <v/>
      </c>
      <c r="N434" s="12" t="str">
        <f>_xll.SNL.Clients.Office.Excel.Functions.SPG(H434, "SP_COUNTRY_NAME")</f>
        <v>China</v>
      </c>
      <c r="O434" s="12" t="str">
        <f>_xll.SNL.Clients.Office.Excel.Functions.SPG(I434, "SP_ULT_PARENT_COMPANY_NAME")</f>
        <v/>
      </c>
      <c r="P434" s="12" t="str">
        <f>_xll.SNL.Clients.Office.Excel.Functions.SPG(I434, "SP_ULT_PARENT_COUNTRY")</f>
        <v/>
      </c>
      <c r="Q434" s="12" t="str">
        <f>_xll.SNL.Clients.Office.Excel.Functions.SPG(I434, "SP_PARENT_COMPANY_NAME")</f>
        <v/>
      </c>
      <c r="R434" s="12" t="str">
        <f>_xll.SNL.Clients.Office.Excel.Functions.SPG(I434, "SP_PARENT_COUNTRY")</f>
        <v/>
      </c>
      <c r="S434" s="12" t="str">
        <f>_xll.SNL.Clients.Office.Excel.Functions.SPG(I434, "SP_COUNTRY_NAME")</f>
        <v>China</v>
      </c>
    </row>
    <row r="435" spans="1:19" x14ac:dyDescent="0.35">
      <c r="A435" s="5">
        <v>46022</v>
      </c>
      <c r="B435" s="4" t="s">
        <v>823</v>
      </c>
      <c r="C435" s="4" t="s">
        <v>824</v>
      </c>
      <c r="D435" s="4" t="s">
        <v>1137</v>
      </c>
      <c r="E435" s="8">
        <v>10928398</v>
      </c>
      <c r="F435" s="7">
        <v>100</v>
      </c>
      <c r="G435" s="12" t="str">
        <f>[1]!SNLData("243327", C435, "OWNER_LIST")</f>
        <v>Kunming Shunqiang Mining Co., Ltd.  100%</v>
      </c>
      <c r="H435" s="9">
        <f>[1]!SNLData("243327", C435, "OWNER_SNL_INSTN_KEY", "Owner 1")</f>
        <v>10928398</v>
      </c>
      <c r="I435" s="9" t="str">
        <f>[1]!SNLData("243327", C435, "OWNER_SNL_INSTN_KEY", "Owner 2")</f>
        <v>NA</v>
      </c>
      <c r="J435" s="12" t="str">
        <f>_xll.SNL.Clients.Office.Excel.Functions.SPG(H435, "SP_ULT_PARENT_COMPANY_NAME")</f>
        <v/>
      </c>
      <c r="K435" s="12" t="str">
        <f>_xll.SNL.Clients.Office.Excel.Functions.SPG(H435, "SP_ULT_PARENT_COUNTRY")</f>
        <v/>
      </c>
      <c r="L435" s="12" t="str">
        <f>_xll.SNL.Clients.Office.Excel.Functions.SPG(H435, "SP_PARENT_COMPANY_NAME")</f>
        <v/>
      </c>
      <c r="M435" s="12" t="str">
        <f>_xll.SNL.Clients.Office.Excel.Functions.SPG(H435, "SP_PARENT_COUNTRY")</f>
        <v/>
      </c>
      <c r="N435" s="12" t="str">
        <f>_xll.SNL.Clients.Office.Excel.Functions.SPG(H435, "SP_COUNTRY_NAME")</f>
        <v>China</v>
      </c>
      <c r="O435" s="12" t="str">
        <f>_xll.SNL.Clients.Office.Excel.Functions.SPG(I435, "SP_ULT_PARENT_COMPANY_NAME")</f>
        <v/>
      </c>
      <c r="P435" s="12" t="str">
        <f>_xll.SNL.Clients.Office.Excel.Functions.SPG(I435, "SP_ULT_PARENT_COUNTRY")</f>
        <v/>
      </c>
      <c r="Q435" s="12" t="str">
        <f>_xll.SNL.Clients.Office.Excel.Functions.SPG(I435, "SP_PARENT_COMPANY_NAME")</f>
        <v/>
      </c>
      <c r="R435" s="12" t="str">
        <f>_xll.SNL.Clients.Office.Excel.Functions.SPG(I435, "SP_PARENT_COUNTRY")</f>
        <v/>
      </c>
      <c r="S435" s="12" t="str">
        <f>_xll.SNL.Clients.Office.Excel.Functions.SPG(I435, "SP_COUNTRY_NAME")</f>
        <v>China</v>
      </c>
    </row>
    <row r="436" spans="1:19" x14ac:dyDescent="0.35">
      <c r="A436" s="5">
        <v>46022</v>
      </c>
      <c r="B436" s="4" t="s">
        <v>489</v>
      </c>
      <c r="C436" s="4" t="s">
        <v>490</v>
      </c>
      <c r="D436" s="4" t="s">
        <v>1019</v>
      </c>
      <c r="E436" s="8">
        <v>10393182</v>
      </c>
      <c r="F436" s="7">
        <v>100</v>
      </c>
      <c r="G436" s="12" t="str">
        <f>[1]!SNLData("243327", C436, "OWNER_LIST")</f>
        <v>China State-Owned Mining Enterprise  100%</v>
      </c>
      <c r="H436" s="9">
        <f>[1]!SNLData("243327", C436, "OWNER_SNL_INSTN_KEY", "Owner 1")</f>
        <v>10393182</v>
      </c>
      <c r="I436" s="9" t="str">
        <f>[1]!SNLData("243327", C436, "OWNER_SNL_INSTN_KEY", "Owner 2")</f>
        <v>NA</v>
      </c>
      <c r="J436" s="12" t="str">
        <f>_xll.SNL.Clients.Office.Excel.Functions.SPG(H436, "SP_ULT_PARENT_COMPANY_NAME")</f>
        <v/>
      </c>
      <c r="K436" s="12" t="str">
        <f>_xll.SNL.Clients.Office.Excel.Functions.SPG(H436, "SP_ULT_PARENT_COUNTRY")</f>
        <v/>
      </c>
      <c r="L436" s="12" t="str">
        <f>_xll.SNL.Clients.Office.Excel.Functions.SPG(H436, "SP_PARENT_COMPANY_NAME")</f>
        <v/>
      </c>
      <c r="M436" s="12" t="str">
        <f>_xll.SNL.Clients.Office.Excel.Functions.SPG(H436, "SP_PARENT_COUNTRY")</f>
        <v/>
      </c>
      <c r="N436" s="12" t="str">
        <f>_xll.SNL.Clients.Office.Excel.Functions.SPG(H436, "SP_COUNTRY_NAME")</f>
        <v>China</v>
      </c>
      <c r="O436" s="12" t="str">
        <f>_xll.SNL.Clients.Office.Excel.Functions.SPG(I436, "SP_ULT_PARENT_COMPANY_NAME")</f>
        <v/>
      </c>
      <c r="P436" s="12" t="str">
        <f>_xll.SNL.Clients.Office.Excel.Functions.SPG(I436, "SP_ULT_PARENT_COUNTRY")</f>
        <v/>
      </c>
      <c r="Q436" s="12" t="str">
        <f>_xll.SNL.Clients.Office.Excel.Functions.SPG(I436, "SP_PARENT_COMPANY_NAME")</f>
        <v/>
      </c>
      <c r="R436" s="12" t="str">
        <f>_xll.SNL.Clients.Office.Excel.Functions.SPG(I436, "SP_PARENT_COUNTRY")</f>
        <v/>
      </c>
      <c r="S436" s="12" t="str">
        <f>_xll.SNL.Clients.Office.Excel.Functions.SPG(I436, "SP_COUNTRY_NAME")</f>
        <v>China</v>
      </c>
    </row>
    <row r="437" spans="1:19" ht="29" x14ac:dyDescent="0.35">
      <c r="A437" s="5">
        <v>46022</v>
      </c>
      <c r="B437" s="4" t="s">
        <v>638</v>
      </c>
      <c r="C437" s="4" t="s">
        <v>639</v>
      </c>
      <c r="D437" s="4" t="s">
        <v>1138</v>
      </c>
      <c r="E437" s="8">
        <v>4351588</v>
      </c>
      <c r="F437" s="7">
        <v>55</v>
      </c>
      <c r="G437" s="12" t="str">
        <f>[1]!SNLData("243327", C437, "OWNER_LIST")</f>
        <v>South32 Limited (Venturer) 45%; KGHM International Ltd. (Venturer) 55%</v>
      </c>
      <c r="H437" s="9">
        <f>[1]!SNLData("243327", C437, "OWNER_SNL_INSTN_KEY", "Owner 1")</f>
        <v>4351588</v>
      </c>
      <c r="I437" s="9">
        <f>[1]!SNLData("243327", C437, "OWNER_SNL_INSTN_KEY", "Owner 2")</f>
        <v>4583665</v>
      </c>
      <c r="J437" s="12" t="str">
        <f>_xll.SNL.Clients.Office.Excel.Functions.SPG(H437, "SP_ULT_PARENT_COMPANY_NAME")</f>
        <v>KGHM Polska Miedz S.A.</v>
      </c>
      <c r="K437" s="12" t="str">
        <f>_xll.SNL.Clients.Office.Excel.Functions.SPG(H437, "SP_ULT_PARENT_COUNTRY")</f>
        <v>Poland</v>
      </c>
      <c r="L437" s="12" t="str">
        <f>_xll.SNL.Clients.Office.Excel.Functions.SPG(H437, "SP_PARENT_COMPANY_NAME")</f>
        <v>Future 1 Spolka Z O.O.</v>
      </c>
      <c r="M437" s="12" t="str">
        <f>_xll.SNL.Clients.Office.Excel.Functions.SPG(H437, "SP_PARENT_COUNTRY")</f>
        <v>Poland</v>
      </c>
      <c r="N437" s="12" t="str">
        <f>_xll.SNL.Clients.Office.Excel.Functions.SPG(H437, "SP_COUNTRY_NAME")</f>
        <v>Canada</v>
      </c>
      <c r="O437" s="12" t="str">
        <f>_xll.SNL.Clients.Office.Excel.Functions.SPG(I437, "SP_ULT_PARENT_COMPANY_NAME")</f>
        <v/>
      </c>
      <c r="P437" s="12" t="str">
        <f>_xll.SNL.Clients.Office.Excel.Functions.SPG(I437, "SP_ULT_PARENT_COUNTRY")</f>
        <v/>
      </c>
      <c r="Q437" s="12" t="str">
        <f>_xll.SNL.Clients.Office.Excel.Functions.SPG(I437, "SP_PARENT_COMPANY_NAME")</f>
        <v/>
      </c>
      <c r="R437" s="12" t="str">
        <f>_xll.SNL.Clients.Office.Excel.Functions.SPG(I437, "SP_PARENT_COUNTRY")</f>
        <v/>
      </c>
      <c r="S437" s="12" t="str">
        <f>_xll.SNL.Clients.Office.Excel.Functions.SPG(I437, "SP_COUNTRY_NAME")</f>
        <v>Australia</v>
      </c>
    </row>
    <row r="438" spans="1:19" ht="29" x14ac:dyDescent="0.35">
      <c r="A438" s="5">
        <v>46022</v>
      </c>
      <c r="B438" s="4" t="s">
        <v>638</v>
      </c>
      <c r="C438" s="4" t="s">
        <v>639</v>
      </c>
      <c r="D438" s="4" t="s">
        <v>1139</v>
      </c>
      <c r="E438" s="8">
        <v>4583665</v>
      </c>
      <c r="F438" s="7">
        <v>45</v>
      </c>
      <c r="G438" s="12" t="str">
        <f>[1]!SNLData("243327", C438, "OWNER_LIST")</f>
        <v>South32 Limited (Venturer) 45%; KGHM International Ltd. (Venturer) 55%</v>
      </c>
      <c r="H438" s="9">
        <f>[1]!SNLData("243327", C438, "OWNER_SNL_INSTN_KEY", "Owner 1")</f>
        <v>4351588</v>
      </c>
      <c r="I438" s="9">
        <f>[1]!SNLData("243327", C438, "OWNER_SNL_INSTN_KEY", "Owner 2")</f>
        <v>4583665</v>
      </c>
      <c r="J438" s="12" t="str">
        <f>_xll.SNL.Clients.Office.Excel.Functions.SPG(H438, "SP_ULT_PARENT_COMPANY_NAME")</f>
        <v>KGHM Polska Miedz S.A.</v>
      </c>
      <c r="K438" s="12" t="str">
        <f>_xll.SNL.Clients.Office.Excel.Functions.SPG(H438, "SP_ULT_PARENT_COUNTRY")</f>
        <v>Poland</v>
      </c>
      <c r="L438" s="12" t="str">
        <f>_xll.SNL.Clients.Office.Excel.Functions.SPG(H438, "SP_PARENT_COMPANY_NAME")</f>
        <v>Future 1 Spolka Z O.O.</v>
      </c>
      <c r="M438" s="12" t="str">
        <f>_xll.SNL.Clients.Office.Excel.Functions.SPG(H438, "SP_PARENT_COUNTRY")</f>
        <v>Poland</v>
      </c>
      <c r="N438" s="12" t="str">
        <f>_xll.SNL.Clients.Office.Excel.Functions.SPG(H438, "SP_COUNTRY_NAME")</f>
        <v>Canada</v>
      </c>
      <c r="O438" s="12" t="str">
        <f>_xll.SNL.Clients.Office.Excel.Functions.SPG(I438, "SP_ULT_PARENT_COMPANY_NAME")</f>
        <v/>
      </c>
      <c r="P438" s="12" t="str">
        <f>_xll.SNL.Clients.Office.Excel.Functions.SPG(I438, "SP_ULT_PARENT_COUNTRY")</f>
        <v/>
      </c>
      <c r="Q438" s="12" t="str">
        <f>_xll.SNL.Clients.Office.Excel.Functions.SPG(I438, "SP_PARENT_COMPANY_NAME")</f>
        <v/>
      </c>
      <c r="R438" s="12" t="str">
        <f>_xll.SNL.Clients.Office.Excel.Functions.SPG(I438, "SP_PARENT_COUNTRY")</f>
        <v/>
      </c>
      <c r="S438" s="12" t="str">
        <f>_xll.SNL.Clients.Office.Excel.Functions.SPG(I438, "SP_COUNTRY_NAME")</f>
        <v>Australia</v>
      </c>
    </row>
    <row r="439" spans="1:19" x14ac:dyDescent="0.35">
      <c r="A439" s="5">
        <v>46022</v>
      </c>
      <c r="B439" s="4" t="s">
        <v>491</v>
      </c>
      <c r="C439" s="4" t="s">
        <v>492</v>
      </c>
      <c r="D439" s="4" t="s">
        <v>963</v>
      </c>
      <c r="E439" s="8">
        <v>4004107</v>
      </c>
      <c r="F439" s="7">
        <v>100</v>
      </c>
      <c r="G439" s="12" t="str">
        <f>[1]!SNLData("243327", C439, "OWNER_LIST")</f>
        <v>Freeport-McMoRan Inc.  100%</v>
      </c>
      <c r="H439" s="9">
        <f>[1]!SNLData("243327", C439, "OWNER_SNL_INSTN_KEY", "Owner 1")</f>
        <v>4004107</v>
      </c>
      <c r="I439" s="9" t="str">
        <f>[1]!SNLData("243327", C439, "OWNER_SNL_INSTN_KEY", "Owner 2")</f>
        <v>NA</v>
      </c>
      <c r="J439" s="12" t="str">
        <f>_xll.SNL.Clients.Office.Excel.Functions.SPG(H439, "SP_ULT_PARENT_COMPANY_NAME")</f>
        <v/>
      </c>
      <c r="K439" s="12" t="str">
        <f>_xll.SNL.Clients.Office.Excel.Functions.SPG(H439, "SP_ULT_PARENT_COUNTRY")</f>
        <v/>
      </c>
      <c r="L439" s="12" t="str">
        <f>_xll.SNL.Clients.Office.Excel.Functions.SPG(H439, "SP_PARENT_COMPANY_NAME")</f>
        <v/>
      </c>
      <c r="M439" s="12" t="str">
        <f>_xll.SNL.Clients.Office.Excel.Functions.SPG(H439, "SP_PARENT_COUNTRY")</f>
        <v/>
      </c>
      <c r="N439" s="12" t="str">
        <f>_xll.SNL.Clients.Office.Excel.Functions.SPG(H439, "SP_COUNTRY_NAME")</f>
        <v>USA</v>
      </c>
      <c r="O439" s="12" t="str">
        <f>_xll.SNL.Clients.Office.Excel.Functions.SPG(I439, "SP_ULT_PARENT_COMPANY_NAME")</f>
        <v/>
      </c>
      <c r="P439" s="12" t="str">
        <f>_xll.SNL.Clients.Office.Excel.Functions.SPG(I439, "SP_ULT_PARENT_COUNTRY")</f>
        <v/>
      </c>
      <c r="Q439" s="12" t="str">
        <f>_xll.SNL.Clients.Office.Excel.Functions.SPG(I439, "SP_PARENT_COMPANY_NAME")</f>
        <v/>
      </c>
      <c r="R439" s="12" t="str">
        <f>_xll.SNL.Clients.Office.Excel.Functions.SPG(I439, "SP_PARENT_COUNTRY")</f>
        <v/>
      </c>
      <c r="S439" s="12" t="str">
        <f>_xll.SNL.Clients.Office.Excel.Functions.SPG(I439, "SP_COUNTRY_NAME")</f>
        <v>China</v>
      </c>
    </row>
    <row r="440" spans="1:19" x14ac:dyDescent="0.35">
      <c r="A440" s="5">
        <v>46022</v>
      </c>
      <c r="B440" s="4" t="s">
        <v>493</v>
      </c>
      <c r="C440" s="4" t="s">
        <v>494</v>
      </c>
      <c r="D440" s="4" t="s">
        <v>963</v>
      </c>
      <c r="E440" s="8">
        <v>4004107</v>
      </c>
      <c r="F440" s="7">
        <v>100</v>
      </c>
      <c r="G440" s="12" t="str">
        <f>[1]!SNLData("243327", C440, "OWNER_LIST")</f>
        <v>Freeport-McMoRan Inc.  100%</v>
      </c>
      <c r="H440" s="9">
        <f>[1]!SNLData("243327", C440, "OWNER_SNL_INSTN_KEY", "Owner 1")</f>
        <v>4004107</v>
      </c>
      <c r="I440" s="9" t="str">
        <f>[1]!SNLData("243327", C440, "OWNER_SNL_INSTN_KEY", "Owner 2")</f>
        <v>NA</v>
      </c>
      <c r="J440" s="12" t="str">
        <f>_xll.SNL.Clients.Office.Excel.Functions.SPG(H440, "SP_ULT_PARENT_COMPANY_NAME")</f>
        <v/>
      </c>
      <c r="K440" s="12" t="str">
        <f>_xll.SNL.Clients.Office.Excel.Functions.SPG(H440, "SP_ULT_PARENT_COUNTRY")</f>
        <v/>
      </c>
      <c r="L440" s="12" t="str">
        <f>_xll.SNL.Clients.Office.Excel.Functions.SPG(H440, "SP_PARENT_COMPANY_NAME")</f>
        <v/>
      </c>
      <c r="M440" s="12" t="str">
        <f>_xll.SNL.Clients.Office.Excel.Functions.SPG(H440, "SP_PARENT_COUNTRY")</f>
        <v/>
      </c>
      <c r="N440" s="12" t="str">
        <f>_xll.SNL.Clients.Office.Excel.Functions.SPG(H440, "SP_COUNTRY_NAME")</f>
        <v>USA</v>
      </c>
      <c r="O440" s="12" t="str">
        <f>_xll.SNL.Clients.Office.Excel.Functions.SPG(I440, "SP_ULT_PARENT_COMPANY_NAME")</f>
        <v/>
      </c>
      <c r="P440" s="12" t="str">
        <f>_xll.SNL.Clients.Office.Excel.Functions.SPG(I440, "SP_ULT_PARENT_COUNTRY")</f>
        <v/>
      </c>
      <c r="Q440" s="12" t="str">
        <f>_xll.SNL.Clients.Office.Excel.Functions.SPG(I440, "SP_PARENT_COMPANY_NAME")</f>
        <v/>
      </c>
      <c r="R440" s="12" t="str">
        <f>_xll.SNL.Clients.Office.Excel.Functions.SPG(I440, "SP_PARENT_COUNTRY")</f>
        <v/>
      </c>
      <c r="S440" s="12" t="str">
        <f>_xll.SNL.Clients.Office.Excel.Functions.SPG(I440, "SP_COUNTRY_NAME")</f>
        <v>China</v>
      </c>
    </row>
    <row r="441" spans="1:19" x14ac:dyDescent="0.35">
      <c r="A441" s="5">
        <v>46022</v>
      </c>
      <c r="B441" s="4" t="s">
        <v>483</v>
      </c>
      <c r="C441" s="4" t="s">
        <v>484</v>
      </c>
      <c r="D441" s="4" t="s">
        <v>1097</v>
      </c>
      <c r="E441" s="8">
        <v>4350827</v>
      </c>
      <c r="F441" s="7">
        <v>100</v>
      </c>
      <c r="G441" s="12" t="str">
        <f>[1]!SNLData("243327", C441, "OWNER_LIST")</f>
        <v>Grupo México, S.A.B. de C.V.  100%</v>
      </c>
      <c r="H441" s="9">
        <f>[1]!SNLData("243327", C441, "OWNER_SNL_INSTN_KEY", "Owner 1")</f>
        <v>4350827</v>
      </c>
      <c r="I441" s="9" t="str">
        <f>[1]!SNLData("243327", C441, "OWNER_SNL_INSTN_KEY", "Owner 2")</f>
        <v>NA</v>
      </c>
      <c r="J441" s="12" t="str">
        <f>_xll.SNL.Clients.Office.Excel.Functions.SPG(H441, "SP_ULT_PARENT_COMPANY_NAME")</f>
        <v/>
      </c>
      <c r="K441" s="12" t="str">
        <f>_xll.SNL.Clients.Office.Excel.Functions.SPG(H441, "SP_ULT_PARENT_COUNTRY")</f>
        <v/>
      </c>
      <c r="L441" s="12" t="str">
        <f>_xll.SNL.Clients.Office.Excel.Functions.SPG(H441, "SP_PARENT_COMPANY_NAME")</f>
        <v/>
      </c>
      <c r="M441" s="12" t="str">
        <f>_xll.SNL.Clients.Office.Excel.Functions.SPG(H441, "SP_PARENT_COUNTRY")</f>
        <v/>
      </c>
      <c r="N441" s="12" t="str">
        <f>_xll.SNL.Clients.Office.Excel.Functions.SPG(H441, "SP_COUNTRY_NAME")</f>
        <v>Mexico</v>
      </c>
      <c r="O441" s="12" t="str">
        <f>_xll.SNL.Clients.Office.Excel.Functions.SPG(I441, "SP_ULT_PARENT_COMPANY_NAME")</f>
        <v/>
      </c>
      <c r="P441" s="12" t="str">
        <f>_xll.SNL.Clients.Office.Excel.Functions.SPG(I441, "SP_ULT_PARENT_COUNTRY")</f>
        <v/>
      </c>
      <c r="Q441" s="12" t="str">
        <f>_xll.SNL.Clients.Office.Excel.Functions.SPG(I441, "SP_PARENT_COMPANY_NAME")</f>
        <v/>
      </c>
      <c r="R441" s="12" t="str">
        <f>_xll.SNL.Clients.Office.Excel.Functions.SPG(I441, "SP_PARENT_COUNTRY")</f>
        <v/>
      </c>
      <c r="S441" s="12" t="str">
        <f>_xll.SNL.Clients.Office.Excel.Functions.SPG(I441, "SP_COUNTRY_NAME")</f>
        <v>China</v>
      </c>
    </row>
    <row r="442" spans="1:19" x14ac:dyDescent="0.35">
      <c r="A442" s="5">
        <v>46022</v>
      </c>
      <c r="B442" s="4" t="s">
        <v>495</v>
      </c>
      <c r="C442" s="4" t="s">
        <v>496</v>
      </c>
      <c r="D442" s="4" t="s">
        <v>1140</v>
      </c>
      <c r="E442" s="8">
        <v>6609766</v>
      </c>
      <c r="F442" s="7">
        <v>100</v>
      </c>
      <c r="G442" s="12" t="str">
        <f>[1]!SNLData("243327", C442, "OWNER_LIST")</f>
        <v>Baiyin Nonferrous Group Co., Ltd.  100%</v>
      </c>
      <c r="H442" s="9">
        <f>[1]!SNLData("243327", C442, "OWNER_SNL_INSTN_KEY", "Owner 1")</f>
        <v>6609766</v>
      </c>
      <c r="I442" s="9" t="str">
        <f>[1]!SNLData("243327", C442, "OWNER_SNL_INSTN_KEY", "Owner 2")</f>
        <v>NA</v>
      </c>
      <c r="J442" s="12" t="str">
        <f>_xll.SNL.Clients.Office.Excel.Functions.SPG(H442, "SP_ULT_PARENT_COMPANY_NAME")</f>
        <v/>
      </c>
      <c r="K442" s="12" t="str">
        <f>_xll.SNL.Clients.Office.Excel.Functions.SPG(H442, "SP_ULT_PARENT_COUNTRY")</f>
        <v/>
      </c>
      <c r="L442" s="12" t="str">
        <f>_xll.SNL.Clients.Office.Excel.Functions.SPG(H442, "SP_PARENT_COMPANY_NAME")</f>
        <v/>
      </c>
      <c r="M442" s="12" t="str">
        <f>_xll.SNL.Clients.Office.Excel.Functions.SPG(H442, "SP_PARENT_COUNTRY")</f>
        <v/>
      </c>
      <c r="N442" s="12" t="str">
        <f>_xll.SNL.Clients.Office.Excel.Functions.SPG(H442, "SP_COUNTRY_NAME")</f>
        <v>China</v>
      </c>
      <c r="O442" s="12" t="str">
        <f>_xll.SNL.Clients.Office.Excel.Functions.SPG(I442, "SP_ULT_PARENT_COMPANY_NAME")</f>
        <v/>
      </c>
      <c r="P442" s="12" t="str">
        <f>_xll.SNL.Clients.Office.Excel.Functions.SPG(I442, "SP_ULT_PARENT_COUNTRY")</f>
        <v/>
      </c>
      <c r="Q442" s="12" t="str">
        <f>_xll.SNL.Clients.Office.Excel.Functions.SPG(I442, "SP_PARENT_COMPANY_NAME")</f>
        <v/>
      </c>
      <c r="R442" s="12" t="str">
        <f>_xll.SNL.Clients.Office.Excel.Functions.SPG(I442, "SP_PARENT_COUNTRY")</f>
        <v/>
      </c>
      <c r="S442" s="12" t="str">
        <f>_xll.SNL.Clients.Office.Excel.Functions.SPG(I442, "SP_COUNTRY_NAME")</f>
        <v>China</v>
      </c>
    </row>
    <row r="443" spans="1:19" x14ac:dyDescent="0.35">
      <c r="A443" s="5">
        <v>46022</v>
      </c>
      <c r="B443" s="4" t="s">
        <v>640</v>
      </c>
      <c r="C443" s="4" t="s">
        <v>641</v>
      </c>
      <c r="D443" s="4" t="s">
        <v>939</v>
      </c>
      <c r="E443" s="8">
        <v>4348654</v>
      </c>
      <c r="F443" s="7">
        <v>100</v>
      </c>
      <c r="G443" s="12" t="str">
        <f>[1]!SNLData("243327", C443, "OWNER_LIST")</f>
        <v>Boliden AB (publ)  100%</v>
      </c>
      <c r="H443" s="9">
        <f>[1]!SNLData("243327", C443, "OWNER_SNL_INSTN_KEY", "Owner 1")</f>
        <v>4348654</v>
      </c>
      <c r="I443" s="9" t="str">
        <f>[1]!SNLData("243327", C443, "OWNER_SNL_INSTN_KEY", "Owner 2")</f>
        <v>NA</v>
      </c>
      <c r="J443" s="12" t="str">
        <f>_xll.SNL.Clients.Office.Excel.Functions.SPG(H443, "SP_ULT_PARENT_COMPANY_NAME")</f>
        <v/>
      </c>
      <c r="K443" s="12" t="str">
        <f>_xll.SNL.Clients.Office.Excel.Functions.SPG(H443, "SP_ULT_PARENT_COUNTRY")</f>
        <v/>
      </c>
      <c r="L443" s="12" t="str">
        <f>_xll.SNL.Clients.Office.Excel.Functions.SPG(H443, "SP_PARENT_COMPANY_NAME")</f>
        <v/>
      </c>
      <c r="M443" s="12" t="str">
        <f>_xll.SNL.Clients.Office.Excel.Functions.SPG(H443, "SP_PARENT_COUNTRY")</f>
        <v/>
      </c>
      <c r="N443" s="12" t="str">
        <f>_xll.SNL.Clients.Office.Excel.Functions.SPG(H443, "SP_COUNTRY_NAME")</f>
        <v>Sweden</v>
      </c>
      <c r="O443" s="12" t="str">
        <f>_xll.SNL.Clients.Office.Excel.Functions.SPG(I443, "SP_ULT_PARENT_COMPANY_NAME")</f>
        <v/>
      </c>
      <c r="P443" s="12" t="str">
        <f>_xll.SNL.Clients.Office.Excel.Functions.SPG(I443, "SP_ULT_PARENT_COUNTRY")</f>
        <v/>
      </c>
      <c r="Q443" s="12" t="str">
        <f>_xll.SNL.Clients.Office.Excel.Functions.SPG(I443, "SP_PARENT_COMPANY_NAME")</f>
        <v/>
      </c>
      <c r="R443" s="12" t="str">
        <f>_xll.SNL.Clients.Office.Excel.Functions.SPG(I443, "SP_PARENT_COUNTRY")</f>
        <v/>
      </c>
      <c r="S443" s="12" t="str">
        <f>_xll.SNL.Clients.Office.Excel.Functions.SPG(I443, "SP_COUNTRY_NAME")</f>
        <v>China</v>
      </c>
    </row>
    <row r="444" spans="1:19" x14ac:dyDescent="0.35">
      <c r="A444" s="5">
        <v>46022</v>
      </c>
      <c r="B444" s="4" t="s">
        <v>485</v>
      </c>
      <c r="C444" s="4" t="s">
        <v>486</v>
      </c>
      <c r="D444" s="4" t="s">
        <v>962</v>
      </c>
      <c r="E444" s="8">
        <v>4353456</v>
      </c>
      <c r="F444" s="7">
        <v>100</v>
      </c>
      <c r="G444" s="12" t="str">
        <f>[1]!SNLData("243327", C444, "OWNER_LIST")</f>
        <v>Private Interest  100%</v>
      </c>
      <c r="H444" s="9">
        <f>[1]!SNLData("243327", C444, "OWNER_SNL_INSTN_KEY", "Owner 1")</f>
        <v>4353456</v>
      </c>
      <c r="I444" s="9" t="str">
        <f>[1]!SNLData("243327", C444, "OWNER_SNL_INSTN_KEY", "Owner 2")</f>
        <v>NA</v>
      </c>
      <c r="J444" s="12" t="str">
        <f>_xll.SNL.Clients.Office.Excel.Functions.SPG(H444, "SP_ULT_PARENT_COMPANY_NAME")</f>
        <v/>
      </c>
      <c r="K444" s="12" t="str">
        <f>_xll.SNL.Clients.Office.Excel.Functions.SPG(H444, "SP_ULT_PARENT_COUNTRY")</f>
        <v/>
      </c>
      <c r="L444" s="12" t="str">
        <f>_xll.SNL.Clients.Office.Excel.Functions.SPG(H444, "SP_PARENT_COMPANY_NAME")</f>
        <v/>
      </c>
      <c r="M444" s="12" t="str">
        <f>_xll.SNL.Clients.Office.Excel.Functions.SPG(H444, "SP_PARENT_COUNTRY")</f>
        <v/>
      </c>
      <c r="N444" s="12" t="str">
        <f>_xll.SNL.Clients.Office.Excel.Functions.SPG(H444, "SP_COUNTRY_NAME")</f>
        <v>China</v>
      </c>
      <c r="O444" s="12" t="str">
        <f>_xll.SNL.Clients.Office.Excel.Functions.SPG(I444, "SP_ULT_PARENT_COMPANY_NAME")</f>
        <v/>
      </c>
      <c r="P444" s="12" t="str">
        <f>_xll.SNL.Clients.Office.Excel.Functions.SPG(I444, "SP_ULT_PARENT_COUNTRY")</f>
        <v/>
      </c>
      <c r="Q444" s="12" t="str">
        <f>_xll.SNL.Clients.Office.Excel.Functions.SPG(I444, "SP_PARENT_COMPANY_NAME")</f>
        <v/>
      </c>
      <c r="R444" s="12" t="str">
        <f>_xll.SNL.Clients.Office.Excel.Functions.SPG(I444, "SP_PARENT_COUNTRY")</f>
        <v/>
      </c>
      <c r="S444" s="12" t="str">
        <f>_xll.SNL.Clients.Office.Excel.Functions.SPG(I444, "SP_COUNTRY_NAME")</f>
        <v>China</v>
      </c>
    </row>
    <row r="445" spans="1:19" x14ac:dyDescent="0.35">
      <c r="A445" s="5">
        <v>46022</v>
      </c>
      <c r="B445" s="4" t="s">
        <v>497</v>
      </c>
      <c r="C445" s="4" t="s">
        <v>498</v>
      </c>
      <c r="D445" s="4" t="s">
        <v>1090</v>
      </c>
      <c r="E445" s="8">
        <v>4223919</v>
      </c>
      <c r="F445" s="7">
        <v>100</v>
      </c>
      <c r="G445" s="12" t="str">
        <f>[1]!SNLData("243327", C445, "OWNER_LIST")</f>
        <v>Vale S.A.  100%</v>
      </c>
      <c r="H445" s="9">
        <f>[1]!SNLData("243327", C445, "OWNER_SNL_INSTN_KEY", "Owner 1")</f>
        <v>4223919</v>
      </c>
      <c r="I445" s="9" t="str">
        <f>[1]!SNLData("243327", C445, "OWNER_SNL_INSTN_KEY", "Owner 2")</f>
        <v>NA</v>
      </c>
      <c r="J445" s="12" t="str">
        <f>_xll.SNL.Clients.Office.Excel.Functions.SPG(H445, "SP_ULT_PARENT_COMPANY_NAME")</f>
        <v/>
      </c>
      <c r="K445" s="12" t="str">
        <f>_xll.SNL.Clients.Office.Excel.Functions.SPG(H445, "SP_ULT_PARENT_COUNTRY")</f>
        <v/>
      </c>
      <c r="L445" s="12" t="str">
        <f>_xll.SNL.Clients.Office.Excel.Functions.SPG(H445, "SP_PARENT_COMPANY_NAME")</f>
        <v/>
      </c>
      <c r="M445" s="12" t="str">
        <f>_xll.SNL.Clients.Office.Excel.Functions.SPG(H445, "SP_PARENT_COUNTRY")</f>
        <v/>
      </c>
      <c r="N445" s="12" t="str">
        <f>_xll.SNL.Clients.Office.Excel.Functions.SPG(H445, "SP_COUNTRY_NAME")</f>
        <v>Brazil</v>
      </c>
      <c r="O445" s="12" t="str">
        <f>_xll.SNL.Clients.Office.Excel.Functions.SPG(I445, "SP_ULT_PARENT_COMPANY_NAME")</f>
        <v/>
      </c>
      <c r="P445" s="12" t="str">
        <f>_xll.SNL.Clients.Office.Excel.Functions.SPG(I445, "SP_ULT_PARENT_COUNTRY")</f>
        <v/>
      </c>
      <c r="Q445" s="12" t="str">
        <f>_xll.SNL.Clients.Office.Excel.Functions.SPG(I445, "SP_PARENT_COMPANY_NAME")</f>
        <v/>
      </c>
      <c r="R445" s="12" t="str">
        <f>_xll.SNL.Clients.Office.Excel.Functions.SPG(I445, "SP_PARENT_COUNTRY")</f>
        <v/>
      </c>
      <c r="S445" s="12" t="str">
        <f>_xll.SNL.Clients.Office.Excel.Functions.SPG(I445, "SP_COUNTRY_NAME")</f>
        <v>China</v>
      </c>
    </row>
    <row r="446" spans="1:19" x14ac:dyDescent="0.35">
      <c r="A446" s="5">
        <v>46022</v>
      </c>
      <c r="B446" s="4" t="s">
        <v>642</v>
      </c>
      <c r="C446" s="4" t="s">
        <v>643</v>
      </c>
      <c r="D446" s="4" t="s">
        <v>947</v>
      </c>
      <c r="E446" s="8">
        <v>4121840</v>
      </c>
      <c r="F446" s="7">
        <v>100</v>
      </c>
      <c r="G446" s="12" t="str">
        <f>[1]!SNLData("243327", C446, "OWNER_LIST")</f>
        <v>BHP Group Limited  100%</v>
      </c>
      <c r="H446" s="9">
        <f>[1]!SNLData("243327", C446, "OWNER_SNL_INSTN_KEY", "Owner 1")</f>
        <v>4121840</v>
      </c>
      <c r="I446" s="9" t="str">
        <f>[1]!SNLData("243327", C446, "OWNER_SNL_INSTN_KEY", "Owner 2")</f>
        <v>NA</v>
      </c>
      <c r="J446" s="12" t="str">
        <f>_xll.SNL.Clients.Office.Excel.Functions.SPG(H446, "SP_ULT_PARENT_COMPANY_NAME")</f>
        <v/>
      </c>
      <c r="K446" s="12" t="str">
        <f>_xll.SNL.Clients.Office.Excel.Functions.SPG(H446, "SP_ULT_PARENT_COUNTRY")</f>
        <v/>
      </c>
      <c r="L446" s="12" t="str">
        <f>_xll.SNL.Clients.Office.Excel.Functions.SPG(H446, "SP_PARENT_COMPANY_NAME")</f>
        <v/>
      </c>
      <c r="M446" s="12" t="str">
        <f>_xll.SNL.Clients.Office.Excel.Functions.SPG(H446, "SP_PARENT_COUNTRY")</f>
        <v/>
      </c>
      <c r="N446" s="12" t="str">
        <f>_xll.SNL.Clients.Office.Excel.Functions.SPG(H446, "SP_COUNTRY_NAME")</f>
        <v>Australia</v>
      </c>
      <c r="O446" s="12" t="str">
        <f>_xll.SNL.Clients.Office.Excel.Functions.SPG(I446, "SP_ULT_PARENT_COMPANY_NAME")</f>
        <v/>
      </c>
      <c r="P446" s="12" t="str">
        <f>_xll.SNL.Clients.Office.Excel.Functions.SPG(I446, "SP_ULT_PARENT_COUNTRY")</f>
        <v/>
      </c>
      <c r="Q446" s="12" t="str">
        <f>_xll.SNL.Clients.Office.Excel.Functions.SPG(I446, "SP_PARENT_COMPANY_NAME")</f>
        <v/>
      </c>
      <c r="R446" s="12" t="str">
        <f>_xll.SNL.Clients.Office.Excel.Functions.SPG(I446, "SP_PARENT_COUNTRY")</f>
        <v/>
      </c>
      <c r="S446" s="12" t="str">
        <f>_xll.SNL.Clients.Office.Excel.Functions.SPG(I446, "SP_COUNTRY_NAME")</f>
        <v>China</v>
      </c>
    </row>
    <row r="447" spans="1:19" x14ac:dyDescent="0.35">
      <c r="A447" s="5">
        <v>46022</v>
      </c>
      <c r="B447" s="4" t="s">
        <v>825</v>
      </c>
      <c r="C447" s="4" t="s">
        <v>826</v>
      </c>
      <c r="D447" s="4" t="s">
        <v>947</v>
      </c>
      <c r="E447" s="8">
        <v>4121840</v>
      </c>
      <c r="F447" s="7">
        <v>100</v>
      </c>
      <c r="G447" s="12" t="str">
        <f>[1]!SNLData("243327", C447, "OWNER_LIST")</f>
        <v>BHP Group Limited  100%</v>
      </c>
      <c r="H447" s="9">
        <f>[1]!SNLData("243327", C447, "OWNER_SNL_INSTN_KEY", "Owner 1")</f>
        <v>4121840</v>
      </c>
      <c r="I447" s="9" t="str">
        <f>[1]!SNLData("243327", C447, "OWNER_SNL_INSTN_KEY", "Owner 2")</f>
        <v>NA</v>
      </c>
      <c r="J447" s="12" t="str">
        <f>_xll.SNL.Clients.Office.Excel.Functions.SPG(H447, "SP_ULT_PARENT_COMPANY_NAME")</f>
        <v/>
      </c>
      <c r="K447" s="12" t="str">
        <f>_xll.SNL.Clients.Office.Excel.Functions.SPG(H447, "SP_ULT_PARENT_COUNTRY")</f>
        <v/>
      </c>
      <c r="L447" s="12" t="str">
        <f>_xll.SNL.Clients.Office.Excel.Functions.SPG(H447, "SP_PARENT_COMPANY_NAME")</f>
        <v/>
      </c>
      <c r="M447" s="12" t="str">
        <f>_xll.SNL.Clients.Office.Excel.Functions.SPG(H447, "SP_PARENT_COUNTRY")</f>
        <v/>
      </c>
      <c r="N447" s="12" t="str">
        <f>_xll.SNL.Clients.Office.Excel.Functions.SPG(H447, "SP_COUNTRY_NAME")</f>
        <v>Australia</v>
      </c>
      <c r="O447" s="12" t="str">
        <f>_xll.SNL.Clients.Office.Excel.Functions.SPG(I447, "SP_ULT_PARENT_COMPANY_NAME")</f>
        <v/>
      </c>
      <c r="P447" s="12" t="str">
        <f>_xll.SNL.Clients.Office.Excel.Functions.SPG(I447, "SP_ULT_PARENT_COUNTRY")</f>
        <v/>
      </c>
      <c r="Q447" s="12" t="str">
        <f>_xll.SNL.Clients.Office.Excel.Functions.SPG(I447, "SP_PARENT_COMPANY_NAME")</f>
        <v/>
      </c>
      <c r="R447" s="12" t="str">
        <f>_xll.SNL.Clients.Office.Excel.Functions.SPG(I447, "SP_PARENT_COUNTRY")</f>
        <v/>
      </c>
      <c r="S447" s="12" t="str">
        <f>_xll.SNL.Clients.Office.Excel.Functions.SPG(I447, "SP_COUNTRY_NAME")</f>
        <v>China</v>
      </c>
    </row>
    <row r="448" spans="1:19" x14ac:dyDescent="0.35">
      <c r="A448" s="5">
        <v>46022</v>
      </c>
      <c r="B448" s="4" t="s">
        <v>501</v>
      </c>
      <c r="C448" s="4" t="s">
        <v>502</v>
      </c>
      <c r="D448" s="4" t="s">
        <v>1077</v>
      </c>
      <c r="E448" s="8">
        <v>4379789</v>
      </c>
      <c r="F448" s="7">
        <v>100</v>
      </c>
      <c r="G448" s="12" t="str">
        <f>[1]!SNLData("243327", C448, "OWNER_LIST")</f>
        <v>Sibanye Stillwater Limited  100%</v>
      </c>
      <c r="H448" s="9">
        <f>[1]!SNLData("243327", C448, "OWNER_SNL_INSTN_KEY", "Owner 1")</f>
        <v>4379789</v>
      </c>
      <c r="I448" s="9" t="str">
        <f>[1]!SNLData("243327", C448, "OWNER_SNL_INSTN_KEY", "Owner 2")</f>
        <v>NA</v>
      </c>
      <c r="J448" s="12" t="str">
        <f>_xll.SNL.Clients.Office.Excel.Functions.SPG(H448, "SP_ULT_PARENT_COMPANY_NAME")</f>
        <v/>
      </c>
      <c r="K448" s="12" t="str">
        <f>_xll.SNL.Clients.Office.Excel.Functions.SPG(H448, "SP_ULT_PARENT_COUNTRY")</f>
        <v/>
      </c>
      <c r="L448" s="12" t="str">
        <f>_xll.SNL.Clients.Office.Excel.Functions.SPG(H448, "SP_PARENT_COMPANY_NAME")</f>
        <v/>
      </c>
      <c r="M448" s="12" t="str">
        <f>_xll.SNL.Clients.Office.Excel.Functions.SPG(H448, "SP_PARENT_COUNTRY")</f>
        <v/>
      </c>
      <c r="N448" s="12" t="str">
        <f>_xll.SNL.Clients.Office.Excel.Functions.SPG(H448, "SP_COUNTRY_NAME")</f>
        <v>South Africa</v>
      </c>
      <c r="O448" s="12" t="str">
        <f>_xll.SNL.Clients.Office.Excel.Functions.SPG(I448, "SP_ULT_PARENT_COMPANY_NAME")</f>
        <v/>
      </c>
      <c r="P448" s="12" t="str">
        <f>_xll.SNL.Clients.Office.Excel.Functions.SPG(I448, "SP_ULT_PARENT_COUNTRY")</f>
        <v/>
      </c>
      <c r="Q448" s="12" t="str">
        <f>_xll.SNL.Clients.Office.Excel.Functions.SPG(I448, "SP_PARENT_COMPANY_NAME")</f>
        <v/>
      </c>
      <c r="R448" s="12" t="str">
        <f>_xll.SNL.Clients.Office.Excel.Functions.SPG(I448, "SP_PARENT_COUNTRY")</f>
        <v/>
      </c>
      <c r="S448" s="12" t="str">
        <f>_xll.SNL.Clients.Office.Excel.Functions.SPG(I448, "SP_COUNTRY_NAME")</f>
        <v>China</v>
      </c>
    </row>
    <row r="449" spans="1:19" x14ac:dyDescent="0.35">
      <c r="A449" s="5">
        <v>46022</v>
      </c>
      <c r="B449" s="4" t="s">
        <v>499</v>
      </c>
      <c r="C449" s="4" t="s">
        <v>500</v>
      </c>
      <c r="D449" s="4" t="s">
        <v>948</v>
      </c>
      <c r="E449" s="8">
        <v>4113732</v>
      </c>
      <c r="F449" s="7">
        <v>100</v>
      </c>
      <c r="G449" s="12" t="str">
        <f>[1]!SNLData("243327", C449, "OWNER_LIST")</f>
        <v>Glencore plc  100%</v>
      </c>
      <c r="H449" s="9">
        <f>[1]!SNLData("243327", C449, "OWNER_SNL_INSTN_KEY", "Owner 1")</f>
        <v>4113732</v>
      </c>
      <c r="I449" s="9" t="str">
        <f>[1]!SNLData("243327", C449, "OWNER_SNL_INSTN_KEY", "Owner 2")</f>
        <v>NA</v>
      </c>
      <c r="J449" s="12" t="str">
        <f>_xll.SNL.Clients.Office.Excel.Functions.SPG(H449, "SP_ULT_PARENT_COMPANY_NAME")</f>
        <v/>
      </c>
      <c r="K449" s="12" t="str">
        <f>_xll.SNL.Clients.Office.Excel.Functions.SPG(H449, "SP_ULT_PARENT_COUNTRY")</f>
        <v/>
      </c>
      <c r="L449" s="12" t="str">
        <f>_xll.SNL.Clients.Office.Excel.Functions.SPG(H449, "SP_PARENT_COMPANY_NAME")</f>
        <v/>
      </c>
      <c r="M449" s="12" t="str">
        <f>_xll.SNL.Clients.Office.Excel.Functions.SPG(H449, "SP_PARENT_COUNTRY")</f>
        <v/>
      </c>
      <c r="N449" s="12" t="str">
        <f>_xll.SNL.Clients.Office.Excel.Functions.SPG(H449, "SP_COUNTRY_NAME")</f>
        <v>Switzerland</v>
      </c>
      <c r="O449" s="12" t="str">
        <f>_xll.SNL.Clients.Office.Excel.Functions.SPG(I449, "SP_ULT_PARENT_COMPANY_NAME")</f>
        <v/>
      </c>
      <c r="P449" s="12" t="str">
        <f>_xll.SNL.Clients.Office.Excel.Functions.SPG(I449, "SP_ULT_PARENT_COUNTRY")</f>
        <v/>
      </c>
      <c r="Q449" s="12" t="str">
        <f>_xll.SNL.Clients.Office.Excel.Functions.SPG(I449, "SP_PARENT_COMPANY_NAME")</f>
        <v/>
      </c>
      <c r="R449" s="12" t="str">
        <f>_xll.SNL.Clients.Office.Excel.Functions.SPG(I449, "SP_PARENT_COUNTRY")</f>
        <v/>
      </c>
      <c r="S449" s="12" t="str">
        <f>_xll.SNL.Clients.Office.Excel.Functions.SPG(I449, "SP_COUNTRY_NAME")</f>
        <v>China</v>
      </c>
    </row>
    <row r="450" spans="1:19" x14ac:dyDescent="0.35">
      <c r="A450" s="5">
        <v>46022</v>
      </c>
      <c r="B450" s="4" t="s">
        <v>503</v>
      </c>
      <c r="C450" s="4" t="s">
        <v>504</v>
      </c>
      <c r="D450" s="4" t="s">
        <v>962</v>
      </c>
      <c r="E450" s="8">
        <v>4353456</v>
      </c>
      <c r="F450" s="7">
        <v>100</v>
      </c>
      <c r="G450" s="12" t="str">
        <f>[1]!SNLData("243327", C450, "OWNER_LIST")</f>
        <v>Private Interest  100%</v>
      </c>
      <c r="H450" s="9">
        <f>[1]!SNLData("243327", C450, "OWNER_SNL_INSTN_KEY", "Owner 1")</f>
        <v>4353456</v>
      </c>
      <c r="I450" s="9" t="str">
        <f>[1]!SNLData("243327", C450, "OWNER_SNL_INSTN_KEY", "Owner 2")</f>
        <v>NA</v>
      </c>
      <c r="J450" s="12" t="str">
        <f>_xll.SNL.Clients.Office.Excel.Functions.SPG(H450, "SP_ULT_PARENT_COMPANY_NAME")</f>
        <v/>
      </c>
      <c r="K450" s="12" t="str">
        <f>_xll.SNL.Clients.Office.Excel.Functions.SPG(H450, "SP_ULT_PARENT_COUNTRY")</f>
        <v/>
      </c>
      <c r="L450" s="12" t="str">
        <f>_xll.SNL.Clients.Office.Excel.Functions.SPG(H450, "SP_PARENT_COMPANY_NAME")</f>
        <v/>
      </c>
      <c r="M450" s="12" t="str">
        <f>_xll.SNL.Clients.Office.Excel.Functions.SPG(H450, "SP_PARENT_COUNTRY")</f>
        <v/>
      </c>
      <c r="N450" s="12" t="str">
        <f>_xll.SNL.Clients.Office.Excel.Functions.SPG(H450, "SP_COUNTRY_NAME")</f>
        <v>China</v>
      </c>
      <c r="O450" s="12" t="str">
        <f>_xll.SNL.Clients.Office.Excel.Functions.SPG(I450, "SP_ULT_PARENT_COMPANY_NAME")</f>
        <v/>
      </c>
      <c r="P450" s="12" t="str">
        <f>_xll.SNL.Clients.Office.Excel.Functions.SPG(I450, "SP_ULT_PARENT_COUNTRY")</f>
        <v/>
      </c>
      <c r="Q450" s="12" t="str">
        <f>_xll.SNL.Clients.Office.Excel.Functions.SPG(I450, "SP_PARENT_COMPANY_NAME")</f>
        <v/>
      </c>
      <c r="R450" s="12" t="str">
        <f>_xll.SNL.Clients.Office.Excel.Functions.SPG(I450, "SP_PARENT_COUNTRY")</f>
        <v/>
      </c>
      <c r="S450" s="12" t="str">
        <f>_xll.SNL.Clients.Office.Excel.Functions.SPG(I450, "SP_COUNTRY_NAME")</f>
        <v>China</v>
      </c>
    </row>
    <row r="451" spans="1:19" x14ac:dyDescent="0.35">
      <c r="A451" s="5">
        <v>46022</v>
      </c>
      <c r="B451" s="4" t="s">
        <v>515</v>
      </c>
      <c r="C451" s="4" t="s">
        <v>516</v>
      </c>
      <c r="D451" s="4" t="s">
        <v>962</v>
      </c>
      <c r="E451" s="8">
        <v>4353456</v>
      </c>
      <c r="F451" s="7">
        <v>100</v>
      </c>
      <c r="G451" s="12" t="str">
        <f>[1]!SNLData("243327", C451, "OWNER_LIST")</f>
        <v>Private Interest  100%</v>
      </c>
      <c r="H451" s="9">
        <f>[1]!SNLData("243327", C451, "OWNER_SNL_INSTN_KEY", "Owner 1")</f>
        <v>4353456</v>
      </c>
      <c r="I451" s="9" t="str">
        <f>[1]!SNLData("243327", C451, "OWNER_SNL_INSTN_KEY", "Owner 2")</f>
        <v>NA</v>
      </c>
      <c r="J451" s="12" t="str">
        <f>_xll.SNL.Clients.Office.Excel.Functions.SPG(H451, "SP_ULT_PARENT_COMPANY_NAME")</f>
        <v/>
      </c>
      <c r="K451" s="12" t="str">
        <f>_xll.SNL.Clients.Office.Excel.Functions.SPG(H451, "SP_ULT_PARENT_COUNTRY")</f>
        <v/>
      </c>
      <c r="L451" s="12" t="str">
        <f>_xll.SNL.Clients.Office.Excel.Functions.SPG(H451, "SP_PARENT_COMPANY_NAME")</f>
        <v/>
      </c>
      <c r="M451" s="12" t="str">
        <f>_xll.SNL.Clients.Office.Excel.Functions.SPG(H451, "SP_PARENT_COUNTRY")</f>
        <v/>
      </c>
      <c r="N451" s="12" t="str">
        <f>_xll.SNL.Clients.Office.Excel.Functions.SPG(H451, "SP_COUNTRY_NAME")</f>
        <v>China</v>
      </c>
      <c r="O451" s="12" t="str">
        <f>_xll.SNL.Clients.Office.Excel.Functions.SPG(I451, "SP_ULT_PARENT_COMPANY_NAME")</f>
        <v/>
      </c>
      <c r="P451" s="12" t="str">
        <f>_xll.SNL.Clients.Office.Excel.Functions.SPG(I451, "SP_ULT_PARENT_COUNTRY")</f>
        <v/>
      </c>
      <c r="Q451" s="12" t="str">
        <f>_xll.SNL.Clients.Office.Excel.Functions.SPG(I451, "SP_PARENT_COMPANY_NAME")</f>
        <v/>
      </c>
      <c r="R451" s="12" t="str">
        <f>_xll.SNL.Clients.Office.Excel.Functions.SPG(I451, "SP_PARENT_COUNTRY")</f>
        <v/>
      </c>
      <c r="S451" s="12" t="str">
        <f>_xll.SNL.Clients.Office.Excel.Functions.SPG(I451, "SP_COUNTRY_NAME")</f>
        <v>China</v>
      </c>
    </row>
    <row r="452" spans="1:19" x14ac:dyDescent="0.35">
      <c r="A452" s="5">
        <v>46022</v>
      </c>
      <c r="B452" s="4" t="s">
        <v>827</v>
      </c>
      <c r="C452" s="4" t="s">
        <v>828</v>
      </c>
      <c r="D452" s="4" t="s">
        <v>962</v>
      </c>
      <c r="E452" s="8">
        <v>4353456</v>
      </c>
      <c r="F452" s="7">
        <v>100</v>
      </c>
      <c r="G452" s="12" t="str">
        <f>[1]!SNLData("243327", C452, "OWNER_LIST")</f>
        <v>Private Interest  100%</v>
      </c>
      <c r="H452" s="9">
        <f>[1]!SNLData("243327", C452, "OWNER_SNL_INSTN_KEY", "Owner 1")</f>
        <v>4353456</v>
      </c>
      <c r="I452" s="9" t="str">
        <f>[1]!SNLData("243327", C452, "OWNER_SNL_INSTN_KEY", "Owner 2")</f>
        <v>NA</v>
      </c>
      <c r="J452" s="12" t="str">
        <f>_xll.SNL.Clients.Office.Excel.Functions.SPG(H452, "SP_ULT_PARENT_COMPANY_NAME")</f>
        <v/>
      </c>
      <c r="K452" s="12" t="str">
        <f>_xll.SNL.Clients.Office.Excel.Functions.SPG(H452, "SP_ULT_PARENT_COUNTRY")</f>
        <v/>
      </c>
      <c r="L452" s="12" t="str">
        <f>_xll.SNL.Clients.Office.Excel.Functions.SPG(H452, "SP_PARENT_COMPANY_NAME")</f>
        <v/>
      </c>
      <c r="M452" s="12" t="str">
        <f>_xll.SNL.Clients.Office.Excel.Functions.SPG(H452, "SP_PARENT_COUNTRY")</f>
        <v/>
      </c>
      <c r="N452" s="12" t="str">
        <f>_xll.SNL.Clients.Office.Excel.Functions.SPG(H452, "SP_COUNTRY_NAME")</f>
        <v>China</v>
      </c>
      <c r="O452" s="12" t="str">
        <f>_xll.SNL.Clients.Office.Excel.Functions.SPG(I452, "SP_ULT_PARENT_COMPANY_NAME")</f>
        <v/>
      </c>
      <c r="P452" s="12" t="str">
        <f>_xll.SNL.Clients.Office.Excel.Functions.SPG(I452, "SP_ULT_PARENT_COUNTRY")</f>
        <v/>
      </c>
      <c r="Q452" s="12" t="str">
        <f>_xll.SNL.Clients.Office.Excel.Functions.SPG(I452, "SP_PARENT_COMPANY_NAME")</f>
        <v/>
      </c>
      <c r="R452" s="12" t="str">
        <f>_xll.SNL.Clients.Office.Excel.Functions.SPG(I452, "SP_PARENT_COUNTRY")</f>
        <v/>
      </c>
      <c r="S452" s="12" t="str">
        <f>_xll.SNL.Clients.Office.Excel.Functions.SPG(I452, "SP_COUNTRY_NAME")</f>
        <v>China</v>
      </c>
    </row>
    <row r="453" spans="1:19" x14ac:dyDescent="0.35">
      <c r="A453" s="5">
        <v>46022</v>
      </c>
      <c r="B453" s="4" t="s">
        <v>644</v>
      </c>
      <c r="C453" s="4" t="s">
        <v>645</v>
      </c>
      <c r="D453" s="4" t="s">
        <v>962</v>
      </c>
      <c r="E453" s="8">
        <v>4353456</v>
      </c>
      <c r="F453" s="7">
        <v>100</v>
      </c>
      <c r="G453" s="12" t="str">
        <f>[1]!SNLData("243327", C453, "OWNER_LIST")</f>
        <v>Private Interest  100%</v>
      </c>
      <c r="H453" s="9">
        <f>[1]!SNLData("243327", C453, "OWNER_SNL_INSTN_KEY", "Owner 1")</f>
        <v>4353456</v>
      </c>
      <c r="I453" s="9" t="str">
        <f>[1]!SNLData("243327", C453, "OWNER_SNL_INSTN_KEY", "Owner 2")</f>
        <v>NA</v>
      </c>
      <c r="J453" s="12" t="str">
        <f>_xll.SNL.Clients.Office.Excel.Functions.SPG(H453, "SP_ULT_PARENT_COMPANY_NAME")</f>
        <v/>
      </c>
      <c r="K453" s="12" t="str">
        <f>_xll.SNL.Clients.Office.Excel.Functions.SPG(H453, "SP_ULT_PARENT_COUNTRY")</f>
        <v/>
      </c>
      <c r="L453" s="12" t="str">
        <f>_xll.SNL.Clients.Office.Excel.Functions.SPG(H453, "SP_PARENT_COMPANY_NAME")</f>
        <v/>
      </c>
      <c r="M453" s="12" t="str">
        <f>_xll.SNL.Clients.Office.Excel.Functions.SPG(H453, "SP_PARENT_COUNTRY")</f>
        <v/>
      </c>
      <c r="N453" s="12" t="str">
        <f>_xll.SNL.Clients.Office.Excel.Functions.SPG(H453, "SP_COUNTRY_NAME")</f>
        <v>China</v>
      </c>
      <c r="O453" s="12" t="str">
        <f>_xll.SNL.Clients.Office.Excel.Functions.SPG(I453, "SP_ULT_PARENT_COMPANY_NAME")</f>
        <v/>
      </c>
      <c r="P453" s="12" t="str">
        <f>_xll.SNL.Clients.Office.Excel.Functions.SPG(I453, "SP_ULT_PARENT_COUNTRY")</f>
        <v/>
      </c>
      <c r="Q453" s="12" t="str">
        <f>_xll.SNL.Clients.Office.Excel.Functions.SPG(I453, "SP_PARENT_COMPANY_NAME")</f>
        <v/>
      </c>
      <c r="R453" s="12" t="str">
        <f>_xll.SNL.Clients.Office.Excel.Functions.SPG(I453, "SP_PARENT_COUNTRY")</f>
        <v/>
      </c>
      <c r="S453" s="12" t="str">
        <f>_xll.SNL.Clients.Office.Excel.Functions.SPG(I453, "SP_COUNTRY_NAME")</f>
        <v>China</v>
      </c>
    </row>
    <row r="454" spans="1:19" ht="29" x14ac:dyDescent="0.35">
      <c r="A454" s="5">
        <v>46022</v>
      </c>
      <c r="B454" s="4" t="s">
        <v>646</v>
      </c>
      <c r="C454" s="4" t="s">
        <v>647</v>
      </c>
      <c r="D454" s="4" t="s">
        <v>1141</v>
      </c>
      <c r="E454" s="8">
        <v>4851749</v>
      </c>
      <c r="F454" s="7">
        <v>20</v>
      </c>
      <c r="G454" s="12" t="str">
        <f>[1]!SNLData("243327", C454, "OWNER_LIST")</f>
        <v>Xalotho Company Limited (Optionee) 80%; Blackstone Minerals Limited (Optionor) 20%</v>
      </c>
      <c r="H454" s="9">
        <f>[1]!SNLData("243327", C454, "OWNER_SNL_INSTN_KEY", "Owner 1")</f>
        <v>11707121</v>
      </c>
      <c r="I454" s="9">
        <f>[1]!SNLData("243327", C454, "OWNER_SNL_INSTN_KEY", "Owner 2")</f>
        <v>4851749</v>
      </c>
      <c r="J454" s="12" t="str">
        <f>_xll.SNL.Clients.Office.Excel.Functions.SPG(H454, "SP_ULT_PARENT_COMPANY_NAME")</f>
        <v/>
      </c>
      <c r="K454" s="12" t="str">
        <f>_xll.SNL.Clients.Office.Excel.Functions.SPG(H454, "SP_ULT_PARENT_COUNTRY")</f>
        <v/>
      </c>
      <c r="L454" s="12" t="str">
        <f>_xll.SNL.Clients.Office.Excel.Functions.SPG(H454, "SP_PARENT_COMPANY_NAME")</f>
        <v/>
      </c>
      <c r="M454" s="12" t="str">
        <f>_xll.SNL.Clients.Office.Excel.Functions.SPG(H454, "SP_PARENT_COUNTRY")</f>
        <v/>
      </c>
      <c r="N454" s="12" t="str">
        <f>_xll.SNL.Clients.Office.Excel.Functions.SPG(H454, "SP_COUNTRY_NAME")</f>
        <v>Vietnam</v>
      </c>
      <c r="O454" s="12" t="str">
        <f>_xll.SNL.Clients.Office.Excel.Functions.SPG(I454, "SP_ULT_PARENT_COMPANY_NAME")</f>
        <v/>
      </c>
      <c r="P454" s="12" t="str">
        <f>_xll.SNL.Clients.Office.Excel.Functions.SPG(I454, "SP_ULT_PARENT_COUNTRY")</f>
        <v/>
      </c>
      <c r="Q454" s="12" t="str">
        <f>_xll.SNL.Clients.Office.Excel.Functions.SPG(I454, "SP_PARENT_COMPANY_NAME")</f>
        <v/>
      </c>
      <c r="R454" s="12" t="str">
        <f>_xll.SNL.Clients.Office.Excel.Functions.SPG(I454, "SP_PARENT_COUNTRY")</f>
        <v/>
      </c>
      <c r="S454" s="12" t="str">
        <f>_xll.SNL.Clients.Office.Excel.Functions.SPG(I454, "SP_COUNTRY_NAME")</f>
        <v>Australia</v>
      </c>
    </row>
    <row r="455" spans="1:19" ht="29" x14ac:dyDescent="0.35">
      <c r="A455" s="5">
        <v>46022</v>
      </c>
      <c r="B455" s="4" t="s">
        <v>646</v>
      </c>
      <c r="C455" s="4" t="s">
        <v>647</v>
      </c>
      <c r="D455" s="4" t="s">
        <v>1142</v>
      </c>
      <c r="E455" s="8">
        <v>11707121</v>
      </c>
      <c r="F455" s="7">
        <v>80</v>
      </c>
      <c r="G455" s="12" t="str">
        <f>[1]!SNLData("243327", C455, "OWNER_LIST")</f>
        <v>Xalotho Company Limited (Optionee) 80%; Blackstone Minerals Limited (Optionor) 20%</v>
      </c>
      <c r="H455" s="9">
        <f>[1]!SNLData("243327", C455, "OWNER_SNL_INSTN_KEY", "Owner 1")</f>
        <v>11707121</v>
      </c>
      <c r="I455" s="9">
        <f>[1]!SNLData("243327", C455, "OWNER_SNL_INSTN_KEY", "Owner 2")</f>
        <v>4851749</v>
      </c>
      <c r="J455" s="12" t="str">
        <f>_xll.SNL.Clients.Office.Excel.Functions.SPG(H455, "SP_ULT_PARENT_COMPANY_NAME")</f>
        <v/>
      </c>
      <c r="K455" s="12" t="str">
        <f>_xll.SNL.Clients.Office.Excel.Functions.SPG(H455, "SP_ULT_PARENT_COUNTRY")</f>
        <v/>
      </c>
      <c r="L455" s="12" t="str">
        <f>_xll.SNL.Clients.Office.Excel.Functions.SPG(H455, "SP_PARENT_COMPANY_NAME")</f>
        <v/>
      </c>
      <c r="M455" s="12" t="str">
        <f>_xll.SNL.Clients.Office.Excel.Functions.SPG(H455, "SP_PARENT_COUNTRY")</f>
        <v/>
      </c>
      <c r="N455" s="12" t="str">
        <f>_xll.SNL.Clients.Office.Excel.Functions.SPG(H455, "SP_COUNTRY_NAME")</f>
        <v>Vietnam</v>
      </c>
      <c r="O455" s="12" t="str">
        <f>_xll.SNL.Clients.Office.Excel.Functions.SPG(I455, "SP_ULT_PARENT_COMPANY_NAME")</f>
        <v/>
      </c>
      <c r="P455" s="12" t="str">
        <f>_xll.SNL.Clients.Office.Excel.Functions.SPG(I455, "SP_ULT_PARENT_COUNTRY")</f>
        <v/>
      </c>
      <c r="Q455" s="12" t="str">
        <f>_xll.SNL.Clients.Office.Excel.Functions.SPG(I455, "SP_PARENT_COMPANY_NAME")</f>
        <v/>
      </c>
      <c r="R455" s="12" t="str">
        <f>_xll.SNL.Clients.Office.Excel.Functions.SPG(I455, "SP_PARENT_COUNTRY")</f>
        <v/>
      </c>
      <c r="S455" s="12" t="str">
        <f>_xll.SNL.Clients.Office.Excel.Functions.SPG(I455, "SP_COUNTRY_NAME")</f>
        <v>Australia</v>
      </c>
    </row>
    <row r="456" spans="1:19" x14ac:dyDescent="0.35">
      <c r="A456" s="5">
        <v>46022</v>
      </c>
      <c r="B456" s="4" t="s">
        <v>505</v>
      </c>
      <c r="C456" s="4" t="s">
        <v>506</v>
      </c>
      <c r="D456" s="4" t="s">
        <v>1019</v>
      </c>
      <c r="E456" s="8">
        <v>10393182</v>
      </c>
      <c r="F456" s="7">
        <v>100</v>
      </c>
      <c r="G456" s="12" t="str">
        <f>[1]!SNLData("243327", C456, "OWNER_LIST")</f>
        <v>China State-Owned Mining Enterprise  100%</v>
      </c>
      <c r="H456" s="9">
        <f>[1]!SNLData("243327", C456, "OWNER_SNL_INSTN_KEY", "Owner 1")</f>
        <v>10393182</v>
      </c>
      <c r="I456" s="9" t="str">
        <f>[1]!SNLData("243327", C456, "OWNER_SNL_INSTN_KEY", "Owner 2")</f>
        <v>NA</v>
      </c>
      <c r="J456" s="12" t="str">
        <f>_xll.SNL.Clients.Office.Excel.Functions.SPG(H456, "SP_ULT_PARENT_COMPANY_NAME")</f>
        <v/>
      </c>
      <c r="K456" s="12" t="str">
        <f>_xll.SNL.Clients.Office.Excel.Functions.SPG(H456, "SP_ULT_PARENT_COUNTRY")</f>
        <v/>
      </c>
      <c r="L456" s="12" t="str">
        <f>_xll.SNL.Clients.Office.Excel.Functions.SPG(H456, "SP_PARENT_COMPANY_NAME")</f>
        <v/>
      </c>
      <c r="M456" s="12" t="str">
        <f>_xll.SNL.Clients.Office.Excel.Functions.SPG(H456, "SP_PARENT_COUNTRY")</f>
        <v/>
      </c>
      <c r="N456" s="12" t="str">
        <f>_xll.SNL.Clients.Office.Excel.Functions.SPG(H456, "SP_COUNTRY_NAME")</f>
        <v>China</v>
      </c>
      <c r="O456" s="12" t="str">
        <f>_xll.SNL.Clients.Office.Excel.Functions.SPG(I456, "SP_ULT_PARENT_COMPANY_NAME")</f>
        <v/>
      </c>
      <c r="P456" s="12" t="str">
        <f>_xll.SNL.Clients.Office.Excel.Functions.SPG(I456, "SP_ULT_PARENT_COUNTRY")</f>
        <v/>
      </c>
      <c r="Q456" s="12" t="str">
        <f>_xll.SNL.Clients.Office.Excel.Functions.SPG(I456, "SP_PARENT_COMPANY_NAME")</f>
        <v/>
      </c>
      <c r="R456" s="12" t="str">
        <f>_xll.SNL.Clients.Office.Excel.Functions.SPG(I456, "SP_PARENT_COUNTRY")</f>
        <v/>
      </c>
      <c r="S456" s="12" t="str">
        <f>_xll.SNL.Clients.Office.Excel.Functions.SPG(I456, "SP_COUNTRY_NAME")</f>
        <v>China</v>
      </c>
    </row>
    <row r="457" spans="1:19" ht="29" x14ac:dyDescent="0.35">
      <c r="A457" s="5">
        <v>46022</v>
      </c>
      <c r="B457" s="4" t="s">
        <v>649</v>
      </c>
      <c r="C457" s="4" t="s">
        <v>650</v>
      </c>
      <c r="D457" s="4" t="s">
        <v>1143</v>
      </c>
      <c r="E457" s="8">
        <v>8296610</v>
      </c>
      <c r="F457" s="7">
        <v>100</v>
      </c>
      <c r="G457" s="12" t="str">
        <f>[1]!SNLData("243327", C457, "OWNER_LIST")</f>
        <v>Qingdao Qihua Investment Holding Co., Ltd.  100%</v>
      </c>
      <c r="H457" s="9">
        <f>[1]!SNLData("243327", C457, "OWNER_SNL_INSTN_KEY", "Owner 1")</f>
        <v>8296610</v>
      </c>
      <c r="I457" s="9" t="str">
        <f>[1]!SNLData("243327", C457, "OWNER_SNL_INSTN_KEY", "Owner 2")</f>
        <v>NA</v>
      </c>
      <c r="J457" s="12" t="str">
        <f>_xll.SNL.Clients.Office.Excel.Functions.SPG(H457, "SP_ULT_PARENT_COMPANY_NAME")</f>
        <v/>
      </c>
      <c r="K457" s="12" t="str">
        <f>_xll.SNL.Clients.Office.Excel.Functions.SPG(H457, "SP_ULT_PARENT_COUNTRY")</f>
        <v/>
      </c>
      <c r="L457" s="12" t="str">
        <f>_xll.SNL.Clients.Office.Excel.Functions.SPG(H457, "SP_PARENT_COMPANY_NAME")</f>
        <v/>
      </c>
      <c r="M457" s="12" t="str">
        <f>_xll.SNL.Clients.Office.Excel.Functions.SPG(H457, "SP_PARENT_COUNTRY")</f>
        <v/>
      </c>
      <c r="N457" s="12" t="str">
        <f>_xll.SNL.Clients.Office.Excel.Functions.SPG(H457, "SP_COUNTRY_NAME")</f>
        <v>China</v>
      </c>
      <c r="O457" s="12" t="str">
        <f>_xll.SNL.Clients.Office.Excel.Functions.SPG(I457, "SP_ULT_PARENT_COMPANY_NAME")</f>
        <v/>
      </c>
      <c r="P457" s="12" t="str">
        <f>_xll.SNL.Clients.Office.Excel.Functions.SPG(I457, "SP_ULT_PARENT_COUNTRY")</f>
        <v/>
      </c>
      <c r="Q457" s="12" t="str">
        <f>_xll.SNL.Clients.Office.Excel.Functions.SPG(I457, "SP_PARENT_COMPANY_NAME")</f>
        <v/>
      </c>
      <c r="R457" s="12" t="str">
        <f>_xll.SNL.Clients.Office.Excel.Functions.SPG(I457, "SP_PARENT_COUNTRY")</f>
        <v/>
      </c>
      <c r="S457" s="12" t="str">
        <f>_xll.SNL.Clients.Office.Excel.Functions.SPG(I457, "SP_COUNTRY_NAME")</f>
        <v>China</v>
      </c>
    </row>
    <row r="458" spans="1:19" ht="29" x14ac:dyDescent="0.35">
      <c r="A458" s="5">
        <v>46022</v>
      </c>
      <c r="B458" s="4" t="s">
        <v>507</v>
      </c>
      <c r="C458" s="4" t="s">
        <v>508</v>
      </c>
      <c r="D458" s="4" t="s">
        <v>959</v>
      </c>
      <c r="E458" s="8">
        <v>4352362</v>
      </c>
      <c r="F458" s="7">
        <v>90.2</v>
      </c>
      <c r="G458" s="12" t="str">
        <f>[1]!SNLData("243327", C458, "OWNER_LIST")</f>
        <v>Minera Frisco, S.A.B. de C.V. (Venturer) 90.2%; Minera Tayahua, S.A. De C.V. (Venturer) 9.8%</v>
      </c>
      <c r="H458" s="9">
        <f>[1]!SNLData("243327", C458, "OWNER_SNL_INSTN_KEY", "Owner 1")</f>
        <v>4352362</v>
      </c>
      <c r="I458" s="9">
        <f>[1]!SNLData("243327", C458, "OWNER_SNL_INSTN_KEY", "Owner 2")</f>
        <v>4352406</v>
      </c>
      <c r="J458" s="12" t="str">
        <f>_xll.SNL.Clients.Office.Excel.Functions.SPG(H458, "SP_ULT_PARENT_COMPANY_NAME")</f>
        <v/>
      </c>
      <c r="K458" s="12" t="str">
        <f>_xll.SNL.Clients.Office.Excel.Functions.SPG(H458, "SP_ULT_PARENT_COUNTRY")</f>
        <v/>
      </c>
      <c r="L458" s="12" t="str">
        <f>_xll.SNL.Clients.Office.Excel.Functions.SPG(H458, "SP_PARENT_COMPANY_NAME")</f>
        <v/>
      </c>
      <c r="M458" s="12" t="str">
        <f>_xll.SNL.Clients.Office.Excel.Functions.SPG(H458, "SP_PARENT_COUNTRY")</f>
        <v/>
      </c>
      <c r="N458" s="12" t="str">
        <f>_xll.SNL.Clients.Office.Excel.Functions.SPG(H458, "SP_COUNTRY_NAME")</f>
        <v>Mexico</v>
      </c>
      <c r="O458" s="12" t="str">
        <f>_xll.SNL.Clients.Office.Excel.Functions.SPG(I458, "SP_ULT_PARENT_COMPANY_NAME")</f>
        <v>Grupo Carso, S.A.B. de C.V.</v>
      </c>
      <c r="P458" s="12" t="str">
        <f>_xll.SNL.Clients.Office.Excel.Functions.SPG(I458, "SP_ULT_PARENT_COUNTRY")</f>
        <v>Mexico</v>
      </c>
      <c r="Q458" s="12" t="str">
        <f>_xll.SNL.Clients.Office.Excel.Functions.SPG(I458, "SP_PARENT_COMPANY_NAME")</f>
        <v>Grupo Carso, S.A.B. de C.V.</v>
      </c>
      <c r="R458" s="12" t="str">
        <f>_xll.SNL.Clients.Office.Excel.Functions.SPG(I458, "SP_PARENT_COUNTRY")</f>
        <v>Mexico</v>
      </c>
      <c r="S458" s="12" t="str">
        <f>_xll.SNL.Clients.Office.Excel.Functions.SPG(I458, "SP_COUNTRY_NAME")</f>
        <v>Mexico</v>
      </c>
    </row>
    <row r="459" spans="1:19" ht="29" x14ac:dyDescent="0.35">
      <c r="A459" s="5">
        <v>46022</v>
      </c>
      <c r="B459" s="4" t="s">
        <v>507</v>
      </c>
      <c r="C459" s="4" t="s">
        <v>508</v>
      </c>
      <c r="D459" s="4" t="s">
        <v>1144</v>
      </c>
      <c r="E459" s="8">
        <v>4352406</v>
      </c>
      <c r="F459" s="7">
        <v>9.8000000000000007</v>
      </c>
      <c r="G459" s="12" t="str">
        <f>[1]!SNLData("243327", C459, "OWNER_LIST")</f>
        <v>Minera Frisco, S.A.B. de C.V. (Venturer) 90.2%; Minera Tayahua, S.A. De C.V. (Venturer) 9.8%</v>
      </c>
      <c r="H459" s="9">
        <f>[1]!SNLData("243327", C459, "OWNER_SNL_INSTN_KEY", "Owner 1")</f>
        <v>4352362</v>
      </c>
      <c r="I459" s="9">
        <f>[1]!SNLData("243327", C459, "OWNER_SNL_INSTN_KEY", "Owner 2")</f>
        <v>4352406</v>
      </c>
      <c r="J459" s="12" t="str">
        <f>_xll.SNL.Clients.Office.Excel.Functions.SPG(H459, "SP_ULT_PARENT_COMPANY_NAME")</f>
        <v/>
      </c>
      <c r="K459" s="12" t="str">
        <f>_xll.SNL.Clients.Office.Excel.Functions.SPG(H459, "SP_ULT_PARENT_COUNTRY")</f>
        <v/>
      </c>
      <c r="L459" s="12" t="str">
        <f>_xll.SNL.Clients.Office.Excel.Functions.SPG(H459, "SP_PARENT_COMPANY_NAME")</f>
        <v/>
      </c>
      <c r="M459" s="12" t="str">
        <f>_xll.SNL.Clients.Office.Excel.Functions.SPG(H459, "SP_PARENT_COUNTRY")</f>
        <v/>
      </c>
      <c r="N459" s="12" t="str">
        <f>_xll.SNL.Clients.Office.Excel.Functions.SPG(H459, "SP_COUNTRY_NAME")</f>
        <v>Mexico</v>
      </c>
      <c r="O459" s="12" t="str">
        <f>_xll.SNL.Clients.Office.Excel.Functions.SPG(I459, "SP_ULT_PARENT_COMPANY_NAME")</f>
        <v>Grupo Carso, S.A.B. de C.V.</v>
      </c>
      <c r="P459" s="12" t="str">
        <f>_xll.SNL.Clients.Office.Excel.Functions.SPG(I459, "SP_ULT_PARENT_COUNTRY")</f>
        <v>Mexico</v>
      </c>
      <c r="Q459" s="12" t="str">
        <f>_xll.SNL.Clients.Office.Excel.Functions.SPG(I459, "SP_PARENT_COMPANY_NAME")</f>
        <v>Grupo Carso, S.A.B. de C.V.</v>
      </c>
      <c r="R459" s="12" t="str">
        <f>_xll.SNL.Clients.Office.Excel.Functions.SPG(I459, "SP_PARENT_COUNTRY")</f>
        <v>Mexico</v>
      </c>
      <c r="S459" s="12" t="str">
        <f>_xll.SNL.Clients.Office.Excel.Functions.SPG(I459, "SP_COUNTRY_NAME")</f>
        <v>Mexico</v>
      </c>
    </row>
    <row r="460" spans="1:19" x14ac:dyDescent="0.35">
      <c r="A460" s="5">
        <v>46022</v>
      </c>
      <c r="B460" s="4" t="s">
        <v>517</v>
      </c>
      <c r="C460" s="4" t="s">
        <v>518</v>
      </c>
      <c r="D460" s="4" t="s">
        <v>1145</v>
      </c>
      <c r="E460" s="8">
        <v>4350797</v>
      </c>
      <c r="F460" s="7">
        <v>100</v>
      </c>
      <c r="G460" s="12" t="str">
        <f>[1]!SNLData("243327", C460, "OWNER_LIST")</f>
        <v>Greatland Resources Limited  100%</v>
      </c>
      <c r="H460" s="9">
        <f>[1]!SNLData("243327", C460, "OWNER_SNL_INSTN_KEY", "Owner 1")</f>
        <v>4350797</v>
      </c>
      <c r="I460" s="9" t="str">
        <f>[1]!SNLData("243327", C460, "OWNER_SNL_INSTN_KEY", "Owner 2")</f>
        <v>NA</v>
      </c>
      <c r="J460" s="12" t="str">
        <f>_xll.SNL.Clients.Office.Excel.Functions.SPG(H460, "SP_ULT_PARENT_COMPANY_NAME")</f>
        <v/>
      </c>
      <c r="K460" s="12" t="str">
        <f>_xll.SNL.Clients.Office.Excel.Functions.SPG(H460, "SP_ULT_PARENT_COUNTRY")</f>
        <v/>
      </c>
      <c r="L460" s="12" t="str">
        <f>_xll.SNL.Clients.Office.Excel.Functions.SPG(H460, "SP_PARENT_COMPANY_NAME")</f>
        <v/>
      </c>
      <c r="M460" s="12" t="str">
        <f>_xll.SNL.Clients.Office.Excel.Functions.SPG(H460, "SP_PARENT_COUNTRY")</f>
        <v/>
      </c>
      <c r="N460" s="12" t="str">
        <f>_xll.SNL.Clients.Office.Excel.Functions.SPG(H460, "SP_COUNTRY_NAME")</f>
        <v>Australia</v>
      </c>
      <c r="O460" s="12" t="str">
        <f>_xll.SNL.Clients.Office.Excel.Functions.SPG(I460, "SP_ULT_PARENT_COMPANY_NAME")</f>
        <v/>
      </c>
      <c r="P460" s="12" t="str">
        <f>_xll.SNL.Clients.Office.Excel.Functions.SPG(I460, "SP_ULT_PARENT_COUNTRY")</f>
        <v/>
      </c>
      <c r="Q460" s="12" t="str">
        <f>_xll.SNL.Clients.Office.Excel.Functions.SPG(I460, "SP_PARENT_COMPANY_NAME")</f>
        <v/>
      </c>
      <c r="R460" s="12" t="str">
        <f>_xll.SNL.Clients.Office.Excel.Functions.SPG(I460, "SP_PARENT_COUNTRY")</f>
        <v/>
      </c>
      <c r="S460" s="12" t="str">
        <f>_xll.SNL.Clients.Office.Excel.Functions.SPG(I460, "SP_COUNTRY_NAME")</f>
        <v>China</v>
      </c>
    </row>
    <row r="461" spans="1:19" ht="29" x14ac:dyDescent="0.35">
      <c r="A461" s="5">
        <v>46022</v>
      </c>
      <c r="B461" s="4" t="s">
        <v>829</v>
      </c>
      <c r="C461" s="4" t="s">
        <v>830</v>
      </c>
      <c r="D461" s="4" t="s">
        <v>1073</v>
      </c>
      <c r="E461" s="8">
        <v>4349148</v>
      </c>
      <c r="F461" s="7">
        <v>80</v>
      </c>
      <c r="G461" s="12" t="str">
        <f>[1]!SNLData("243327", C461, "OWNER_LIST")</f>
        <v>Gécamines SA (Carried) 20%; CMOC Group Limited (Venturer) 80%</v>
      </c>
      <c r="H461" s="9">
        <f>[1]!SNLData("243327", C461, "OWNER_SNL_INSTN_KEY", "Owner 1")</f>
        <v>4349148</v>
      </c>
      <c r="I461" s="9">
        <f>[1]!SNLData("243327", C461, "OWNER_SNL_INSTN_KEY", "Owner 2")</f>
        <v>4350360</v>
      </c>
      <c r="J461" s="12" t="str">
        <f>_xll.SNL.Clients.Office.Excel.Functions.SPG(H461, "SP_ULT_PARENT_COMPANY_NAME")</f>
        <v/>
      </c>
      <c r="K461" s="12" t="str">
        <f>_xll.SNL.Clients.Office.Excel.Functions.SPG(H461, "SP_ULT_PARENT_COUNTRY")</f>
        <v/>
      </c>
      <c r="L461" s="12" t="str">
        <f>_xll.SNL.Clients.Office.Excel.Functions.SPG(H461, "SP_PARENT_COMPANY_NAME")</f>
        <v/>
      </c>
      <c r="M461" s="12" t="str">
        <f>_xll.SNL.Clients.Office.Excel.Functions.SPG(H461, "SP_PARENT_COUNTRY")</f>
        <v/>
      </c>
      <c r="N461" s="12" t="str">
        <f>_xll.SNL.Clients.Office.Excel.Functions.SPG(H461, "SP_COUNTRY_NAME")</f>
        <v>China</v>
      </c>
      <c r="O461" s="12" t="str">
        <f>_xll.SNL.Clients.Office.Excel.Functions.SPG(I461, "SP_ULT_PARENT_COMPANY_NAME")</f>
        <v>Dem. Rep. Congo</v>
      </c>
      <c r="P461" s="12" t="str">
        <f>_xll.SNL.Clients.Office.Excel.Functions.SPG(I461, "SP_ULT_PARENT_COUNTRY")</f>
        <v>Dem. Rep. Congo</v>
      </c>
      <c r="Q461" s="12" t="str">
        <f>_xll.SNL.Clients.Office.Excel.Functions.SPG(I461, "SP_PARENT_COMPANY_NAME")</f>
        <v>Dem. Rep. Congo</v>
      </c>
      <c r="R461" s="12" t="str">
        <f>_xll.SNL.Clients.Office.Excel.Functions.SPG(I461, "SP_PARENT_COUNTRY")</f>
        <v>Dem. Rep. Congo</v>
      </c>
      <c r="S461" s="12" t="str">
        <f>_xll.SNL.Clients.Office.Excel.Functions.SPG(I461, "SP_COUNTRY_NAME")</f>
        <v>Dem. Rep. Congo</v>
      </c>
    </row>
    <row r="462" spans="1:19" ht="29" x14ac:dyDescent="0.35">
      <c r="A462" s="5">
        <v>46022</v>
      </c>
      <c r="B462" s="4" t="s">
        <v>829</v>
      </c>
      <c r="C462" s="4" t="s">
        <v>830</v>
      </c>
      <c r="D462" s="4" t="s">
        <v>1021</v>
      </c>
      <c r="E462" s="8">
        <v>4350360</v>
      </c>
      <c r="F462" s="7">
        <v>20</v>
      </c>
      <c r="G462" s="12" t="str">
        <f>[1]!SNLData("243327", C462, "OWNER_LIST")</f>
        <v>Gécamines SA (Carried) 20%; CMOC Group Limited (Venturer) 80%</v>
      </c>
      <c r="H462" s="9">
        <f>[1]!SNLData("243327", C462, "OWNER_SNL_INSTN_KEY", "Owner 1")</f>
        <v>4349148</v>
      </c>
      <c r="I462" s="9">
        <f>[1]!SNLData("243327", C462, "OWNER_SNL_INSTN_KEY", "Owner 2")</f>
        <v>4350360</v>
      </c>
      <c r="J462" s="12" t="str">
        <f>_xll.SNL.Clients.Office.Excel.Functions.SPG(H462, "SP_ULT_PARENT_COMPANY_NAME")</f>
        <v/>
      </c>
      <c r="K462" s="12" t="str">
        <f>_xll.SNL.Clients.Office.Excel.Functions.SPG(H462, "SP_ULT_PARENT_COUNTRY")</f>
        <v/>
      </c>
      <c r="L462" s="12" t="str">
        <f>_xll.SNL.Clients.Office.Excel.Functions.SPG(H462, "SP_PARENT_COMPANY_NAME")</f>
        <v/>
      </c>
      <c r="M462" s="12" t="str">
        <f>_xll.SNL.Clients.Office.Excel.Functions.SPG(H462, "SP_PARENT_COUNTRY")</f>
        <v/>
      </c>
      <c r="N462" s="12" t="str">
        <f>_xll.SNL.Clients.Office.Excel.Functions.SPG(H462, "SP_COUNTRY_NAME")</f>
        <v>China</v>
      </c>
      <c r="O462" s="12" t="str">
        <f>_xll.SNL.Clients.Office.Excel.Functions.SPG(I462, "SP_ULT_PARENT_COMPANY_NAME")</f>
        <v>Dem. Rep. Congo</v>
      </c>
      <c r="P462" s="12" t="str">
        <f>_xll.SNL.Clients.Office.Excel.Functions.SPG(I462, "SP_ULT_PARENT_COUNTRY")</f>
        <v>Dem. Rep. Congo</v>
      </c>
      <c r="Q462" s="12" t="str">
        <f>_xll.SNL.Clients.Office.Excel.Functions.SPG(I462, "SP_PARENT_COMPANY_NAME")</f>
        <v>Dem. Rep. Congo</v>
      </c>
      <c r="R462" s="12" t="str">
        <f>_xll.SNL.Clients.Office.Excel.Functions.SPG(I462, "SP_PARENT_COUNTRY")</f>
        <v>Dem. Rep. Congo</v>
      </c>
      <c r="S462" s="12" t="str">
        <f>_xll.SNL.Clients.Office.Excel.Functions.SPG(I462, "SP_COUNTRY_NAME")</f>
        <v>Dem. Rep. Congo</v>
      </c>
    </row>
    <row r="463" spans="1:19" x14ac:dyDescent="0.35">
      <c r="A463" s="5">
        <v>46022</v>
      </c>
      <c r="B463" s="4" t="s">
        <v>831</v>
      </c>
      <c r="C463" s="4" t="s">
        <v>832</v>
      </c>
      <c r="D463" s="4" t="s">
        <v>1146</v>
      </c>
      <c r="E463" s="8">
        <v>10402280</v>
      </c>
      <c r="F463" s="7">
        <v>100</v>
      </c>
      <c r="G463" s="12" t="str">
        <f>[1]!SNLData("243327", C463, "OWNER_LIST")</f>
        <v>Sichuan Huili Lead &amp; Zinc Co., Ltd.  100%</v>
      </c>
      <c r="H463" s="9">
        <f>[1]!SNLData("243327", C463, "OWNER_SNL_INSTN_KEY", "Owner 1")</f>
        <v>10402280</v>
      </c>
      <c r="I463" s="9" t="str">
        <f>[1]!SNLData("243327", C463, "OWNER_SNL_INSTN_KEY", "Owner 2")</f>
        <v>NA</v>
      </c>
      <c r="J463" s="12" t="str">
        <f>_xll.SNL.Clients.Office.Excel.Functions.SPG(H463, "SP_ULT_PARENT_COMPANY_NAME")</f>
        <v/>
      </c>
      <c r="K463" s="12" t="str">
        <f>_xll.SNL.Clients.Office.Excel.Functions.SPG(H463, "SP_ULT_PARENT_COUNTRY")</f>
        <v/>
      </c>
      <c r="L463" s="12" t="str">
        <f>_xll.SNL.Clients.Office.Excel.Functions.SPG(H463, "SP_PARENT_COMPANY_NAME")</f>
        <v/>
      </c>
      <c r="M463" s="12" t="str">
        <f>_xll.SNL.Clients.Office.Excel.Functions.SPG(H463, "SP_PARENT_COUNTRY")</f>
        <v/>
      </c>
      <c r="N463" s="12" t="str">
        <f>_xll.SNL.Clients.Office.Excel.Functions.SPG(H463, "SP_COUNTRY_NAME")</f>
        <v>China</v>
      </c>
      <c r="O463" s="12" t="str">
        <f>_xll.SNL.Clients.Office.Excel.Functions.SPG(I463, "SP_ULT_PARENT_COMPANY_NAME")</f>
        <v/>
      </c>
      <c r="P463" s="12" t="str">
        <f>_xll.SNL.Clients.Office.Excel.Functions.SPG(I463, "SP_ULT_PARENT_COUNTRY")</f>
        <v/>
      </c>
      <c r="Q463" s="12" t="str">
        <f>_xll.SNL.Clients.Office.Excel.Functions.SPG(I463, "SP_PARENT_COMPANY_NAME")</f>
        <v/>
      </c>
      <c r="R463" s="12" t="str">
        <f>_xll.SNL.Clients.Office.Excel.Functions.SPG(I463, "SP_PARENT_COUNTRY")</f>
        <v/>
      </c>
      <c r="S463" s="12" t="str">
        <f>_xll.SNL.Clients.Office.Excel.Functions.SPG(I463, "SP_COUNTRY_NAME")</f>
        <v>China</v>
      </c>
    </row>
    <row r="464" spans="1:19" x14ac:dyDescent="0.35">
      <c r="A464" s="5">
        <v>46022</v>
      </c>
      <c r="B464" s="4" t="s">
        <v>519</v>
      </c>
      <c r="C464" s="4" t="s">
        <v>520</v>
      </c>
      <c r="D464" s="4" t="s">
        <v>958</v>
      </c>
      <c r="E464" s="8">
        <v>4355642</v>
      </c>
      <c r="F464" s="7">
        <v>100</v>
      </c>
      <c r="G464" s="12" t="str">
        <f>[1]!SNLData("243327", C464, "OWNER_LIST")</f>
        <v>Zijin Mining Group Company Limited  100%</v>
      </c>
      <c r="H464" s="9">
        <f>[1]!SNLData("243327", C464, "OWNER_SNL_INSTN_KEY", "Owner 1")</f>
        <v>4355642</v>
      </c>
      <c r="I464" s="9" t="str">
        <f>[1]!SNLData("243327", C464, "OWNER_SNL_INSTN_KEY", "Owner 2")</f>
        <v>NA</v>
      </c>
      <c r="J464" s="12" t="str">
        <f>_xll.SNL.Clients.Office.Excel.Functions.SPG(H464, "SP_ULT_PARENT_COMPANY_NAME")</f>
        <v/>
      </c>
      <c r="K464" s="12" t="str">
        <f>_xll.SNL.Clients.Office.Excel.Functions.SPG(H464, "SP_ULT_PARENT_COUNTRY")</f>
        <v/>
      </c>
      <c r="L464" s="12" t="str">
        <f>_xll.SNL.Clients.Office.Excel.Functions.SPG(H464, "SP_PARENT_COMPANY_NAME")</f>
        <v/>
      </c>
      <c r="M464" s="12" t="str">
        <f>_xll.SNL.Clients.Office.Excel.Functions.SPG(H464, "SP_PARENT_COUNTRY")</f>
        <v/>
      </c>
      <c r="N464" s="12" t="str">
        <f>_xll.SNL.Clients.Office.Excel.Functions.SPG(H464, "SP_COUNTRY_NAME")</f>
        <v>China</v>
      </c>
      <c r="O464" s="12" t="str">
        <f>_xll.SNL.Clients.Office.Excel.Functions.SPG(I464, "SP_ULT_PARENT_COMPANY_NAME")</f>
        <v/>
      </c>
      <c r="P464" s="12" t="str">
        <f>_xll.SNL.Clients.Office.Excel.Functions.SPG(I464, "SP_ULT_PARENT_COUNTRY")</f>
        <v/>
      </c>
      <c r="Q464" s="12" t="str">
        <f>_xll.SNL.Clients.Office.Excel.Functions.SPG(I464, "SP_PARENT_COMPANY_NAME")</f>
        <v/>
      </c>
      <c r="R464" s="12" t="str">
        <f>_xll.SNL.Clients.Office.Excel.Functions.SPG(I464, "SP_PARENT_COUNTRY")</f>
        <v/>
      </c>
      <c r="S464" s="12" t="str">
        <f>_xll.SNL.Clients.Office.Excel.Functions.SPG(I464, "SP_COUNTRY_NAME")</f>
        <v>China</v>
      </c>
    </row>
    <row r="465" spans="1:19" ht="43.5" x14ac:dyDescent="0.35">
      <c r="A465" s="5">
        <v>46022</v>
      </c>
      <c r="B465" s="4" t="s">
        <v>833</v>
      </c>
      <c r="C465" s="4" t="s">
        <v>834</v>
      </c>
      <c r="D465" s="4" t="s">
        <v>1147</v>
      </c>
      <c r="E465" s="8">
        <v>4358892</v>
      </c>
      <c r="F465" s="7">
        <v>39</v>
      </c>
      <c r="G465" s="12" t="str">
        <f>[1]!SNLData("243327", C465, "OWNER_LIST")</f>
        <v>Industrias Peñoles, S.A.B. de C.V. (Venturer) 51%; Sumitomo Corporation (Venturer) 10%; Dowa Holdings Co., Ltd. (Venturer) 39%</v>
      </c>
      <c r="H465" s="9">
        <f>[1]!SNLData("243327", C465, "OWNER_SNL_INSTN_KEY", "Owner 1")</f>
        <v>4351226</v>
      </c>
      <c r="I465" s="9">
        <f>[1]!SNLData("243327", C465, "OWNER_SNL_INSTN_KEY", "Owner 2")</f>
        <v>4358892</v>
      </c>
      <c r="J465" s="12" t="str">
        <f>_xll.SNL.Clients.Office.Excel.Functions.SPG(H465, "SP_ULT_PARENT_COMPANY_NAME")</f>
        <v/>
      </c>
      <c r="K465" s="12" t="str">
        <f>_xll.SNL.Clients.Office.Excel.Functions.SPG(H465, "SP_ULT_PARENT_COUNTRY")</f>
        <v/>
      </c>
      <c r="L465" s="12" t="str">
        <f>_xll.SNL.Clients.Office.Excel.Functions.SPG(H465, "SP_PARENT_COMPANY_NAME")</f>
        <v/>
      </c>
      <c r="M465" s="12" t="str">
        <f>_xll.SNL.Clients.Office.Excel.Functions.SPG(H465, "SP_PARENT_COUNTRY")</f>
        <v/>
      </c>
      <c r="N465" s="12" t="str">
        <f>_xll.SNL.Clients.Office.Excel.Functions.SPG(H465, "SP_COUNTRY_NAME")</f>
        <v>Mexico</v>
      </c>
      <c r="O465" s="12" t="str">
        <f>_xll.SNL.Clients.Office.Excel.Functions.SPG(I465, "SP_ULT_PARENT_COMPANY_NAME")</f>
        <v/>
      </c>
      <c r="P465" s="12" t="str">
        <f>_xll.SNL.Clients.Office.Excel.Functions.SPG(I465, "SP_ULT_PARENT_COUNTRY")</f>
        <v/>
      </c>
      <c r="Q465" s="12" t="str">
        <f>_xll.SNL.Clients.Office.Excel.Functions.SPG(I465, "SP_PARENT_COMPANY_NAME")</f>
        <v/>
      </c>
      <c r="R465" s="12" t="str">
        <f>_xll.SNL.Clients.Office.Excel.Functions.SPG(I465, "SP_PARENT_COUNTRY")</f>
        <v/>
      </c>
      <c r="S465" s="12" t="str">
        <f>_xll.SNL.Clients.Office.Excel.Functions.SPG(I465, "SP_COUNTRY_NAME")</f>
        <v>Japan</v>
      </c>
    </row>
    <row r="466" spans="1:19" ht="43.5" x14ac:dyDescent="0.35">
      <c r="A466" s="5">
        <v>46022</v>
      </c>
      <c r="B466" s="4" t="s">
        <v>833</v>
      </c>
      <c r="C466" s="4" t="s">
        <v>834</v>
      </c>
      <c r="D466" s="4" t="s">
        <v>990</v>
      </c>
      <c r="E466" s="8">
        <v>4351226</v>
      </c>
      <c r="F466" s="7">
        <v>51</v>
      </c>
      <c r="G466" s="12" t="str">
        <f>[1]!SNLData("243327", C466, "OWNER_LIST")</f>
        <v>Industrias Peñoles, S.A.B. de C.V. (Venturer) 51%; Sumitomo Corporation (Venturer) 10%; Dowa Holdings Co., Ltd. (Venturer) 39%</v>
      </c>
      <c r="H466" s="9">
        <f>[1]!SNLData("243327", C466, "OWNER_SNL_INSTN_KEY", "Owner 1")</f>
        <v>4351226</v>
      </c>
      <c r="I466" s="9">
        <f>[1]!SNLData("243327", C466, "OWNER_SNL_INSTN_KEY", "Owner 2")</f>
        <v>4358892</v>
      </c>
      <c r="J466" s="12" t="str">
        <f>_xll.SNL.Clients.Office.Excel.Functions.SPG(H466, "SP_ULT_PARENT_COMPANY_NAME")</f>
        <v/>
      </c>
      <c r="K466" s="12" t="str">
        <f>_xll.SNL.Clients.Office.Excel.Functions.SPG(H466, "SP_ULT_PARENT_COUNTRY")</f>
        <v/>
      </c>
      <c r="L466" s="12" t="str">
        <f>_xll.SNL.Clients.Office.Excel.Functions.SPG(H466, "SP_PARENT_COMPANY_NAME")</f>
        <v/>
      </c>
      <c r="M466" s="12" t="str">
        <f>_xll.SNL.Clients.Office.Excel.Functions.SPG(H466, "SP_PARENT_COUNTRY")</f>
        <v/>
      </c>
      <c r="N466" s="12" t="str">
        <f>_xll.SNL.Clients.Office.Excel.Functions.SPG(H466, "SP_COUNTRY_NAME")</f>
        <v>Mexico</v>
      </c>
      <c r="O466" s="12" t="str">
        <f>_xll.SNL.Clients.Office.Excel.Functions.SPG(I466, "SP_ULT_PARENT_COMPANY_NAME")</f>
        <v/>
      </c>
      <c r="P466" s="12" t="str">
        <f>_xll.SNL.Clients.Office.Excel.Functions.SPG(I466, "SP_ULT_PARENT_COUNTRY")</f>
        <v/>
      </c>
      <c r="Q466" s="12" t="str">
        <f>_xll.SNL.Clients.Office.Excel.Functions.SPG(I466, "SP_PARENT_COMPANY_NAME")</f>
        <v/>
      </c>
      <c r="R466" s="12" t="str">
        <f>_xll.SNL.Clients.Office.Excel.Functions.SPG(I466, "SP_PARENT_COUNTRY")</f>
        <v/>
      </c>
      <c r="S466" s="12" t="str">
        <f>_xll.SNL.Clients.Office.Excel.Functions.SPG(I466, "SP_COUNTRY_NAME")</f>
        <v>Japan</v>
      </c>
    </row>
    <row r="467" spans="1:19" ht="43.5" x14ac:dyDescent="0.35">
      <c r="A467" s="5">
        <v>46022</v>
      </c>
      <c r="B467" s="4" t="s">
        <v>833</v>
      </c>
      <c r="C467" s="4" t="s">
        <v>834</v>
      </c>
      <c r="D467" s="4" t="s">
        <v>988</v>
      </c>
      <c r="E467" s="8">
        <v>4047416</v>
      </c>
      <c r="F467" s="7">
        <v>10</v>
      </c>
      <c r="G467" s="12" t="str">
        <f>[1]!SNLData("243327", C467, "OWNER_LIST")</f>
        <v>Industrias Peñoles, S.A.B. de C.V. (Venturer) 51%; Sumitomo Corporation (Venturer) 10%; Dowa Holdings Co., Ltd. (Venturer) 39%</v>
      </c>
      <c r="H467" s="9">
        <f>[1]!SNLData("243327", C467, "OWNER_SNL_INSTN_KEY", "Owner 1")</f>
        <v>4351226</v>
      </c>
      <c r="I467" s="9">
        <f>[1]!SNLData("243327", C467, "OWNER_SNL_INSTN_KEY", "Owner 2")</f>
        <v>4358892</v>
      </c>
      <c r="J467" s="12" t="str">
        <f>_xll.SNL.Clients.Office.Excel.Functions.SPG(H467, "SP_ULT_PARENT_COMPANY_NAME")</f>
        <v/>
      </c>
      <c r="K467" s="12" t="str">
        <f>_xll.SNL.Clients.Office.Excel.Functions.SPG(H467, "SP_ULT_PARENT_COUNTRY")</f>
        <v/>
      </c>
      <c r="L467" s="12" t="str">
        <f>_xll.SNL.Clients.Office.Excel.Functions.SPG(H467, "SP_PARENT_COMPANY_NAME")</f>
        <v/>
      </c>
      <c r="M467" s="12" t="str">
        <f>_xll.SNL.Clients.Office.Excel.Functions.SPG(H467, "SP_PARENT_COUNTRY")</f>
        <v/>
      </c>
      <c r="N467" s="12" t="str">
        <f>_xll.SNL.Clients.Office.Excel.Functions.SPG(H467, "SP_COUNTRY_NAME")</f>
        <v>Mexico</v>
      </c>
      <c r="O467" s="12" t="str">
        <f>_xll.SNL.Clients.Office.Excel.Functions.SPG(I467, "SP_ULT_PARENT_COMPANY_NAME")</f>
        <v/>
      </c>
      <c r="P467" s="12" t="str">
        <f>_xll.SNL.Clients.Office.Excel.Functions.SPG(I467, "SP_ULT_PARENT_COUNTRY")</f>
        <v/>
      </c>
      <c r="Q467" s="12" t="str">
        <f>_xll.SNL.Clients.Office.Excel.Functions.SPG(I467, "SP_PARENT_COMPANY_NAME")</f>
        <v/>
      </c>
      <c r="R467" s="12" t="str">
        <f>_xll.SNL.Clients.Office.Excel.Functions.SPG(I467, "SP_PARENT_COUNTRY")</f>
        <v/>
      </c>
      <c r="S467" s="12" t="str">
        <f>_xll.SNL.Clients.Office.Excel.Functions.SPG(I467, "SP_COUNTRY_NAME")</f>
        <v>Japan</v>
      </c>
    </row>
    <row r="468" spans="1:19" x14ac:dyDescent="0.35">
      <c r="A468" s="5">
        <v>46022</v>
      </c>
      <c r="B468" s="4" t="s">
        <v>509</v>
      </c>
      <c r="C468" s="4" t="s">
        <v>510</v>
      </c>
      <c r="D468" s="4" t="s">
        <v>1019</v>
      </c>
      <c r="E468" s="8">
        <v>10393182</v>
      </c>
      <c r="F468" s="7">
        <v>100</v>
      </c>
      <c r="G468" s="12" t="str">
        <f>[1]!SNLData("243327", C468, "OWNER_LIST")</f>
        <v>China State-Owned Mining Enterprise  100%</v>
      </c>
      <c r="H468" s="9">
        <f>[1]!SNLData("243327", C468, "OWNER_SNL_INSTN_KEY", "Owner 1")</f>
        <v>10393182</v>
      </c>
      <c r="I468" s="9" t="str">
        <f>[1]!SNLData("243327", C468, "OWNER_SNL_INSTN_KEY", "Owner 2")</f>
        <v>NA</v>
      </c>
      <c r="J468" s="12" t="str">
        <f>_xll.SNL.Clients.Office.Excel.Functions.SPG(H468, "SP_ULT_PARENT_COMPANY_NAME")</f>
        <v/>
      </c>
      <c r="K468" s="12" t="str">
        <f>_xll.SNL.Clients.Office.Excel.Functions.SPG(H468, "SP_ULT_PARENT_COUNTRY")</f>
        <v/>
      </c>
      <c r="L468" s="12" t="str">
        <f>_xll.SNL.Clients.Office.Excel.Functions.SPG(H468, "SP_PARENT_COMPANY_NAME")</f>
        <v/>
      </c>
      <c r="M468" s="12" t="str">
        <f>_xll.SNL.Clients.Office.Excel.Functions.SPG(H468, "SP_PARENT_COUNTRY")</f>
        <v/>
      </c>
      <c r="N468" s="12" t="str">
        <f>_xll.SNL.Clients.Office.Excel.Functions.SPG(H468, "SP_COUNTRY_NAME")</f>
        <v>China</v>
      </c>
      <c r="O468" s="12" t="str">
        <f>_xll.SNL.Clients.Office.Excel.Functions.SPG(I468, "SP_ULT_PARENT_COMPANY_NAME")</f>
        <v/>
      </c>
      <c r="P468" s="12" t="str">
        <f>_xll.SNL.Clients.Office.Excel.Functions.SPG(I468, "SP_ULT_PARENT_COUNTRY")</f>
        <v/>
      </c>
      <c r="Q468" s="12" t="str">
        <f>_xll.SNL.Clients.Office.Excel.Functions.SPG(I468, "SP_PARENT_COMPANY_NAME")</f>
        <v/>
      </c>
      <c r="R468" s="12" t="str">
        <f>_xll.SNL.Clients.Office.Excel.Functions.SPG(I468, "SP_PARENT_COUNTRY")</f>
        <v/>
      </c>
      <c r="S468" s="12" t="str">
        <f>_xll.SNL.Clients.Office.Excel.Functions.SPG(I468, "SP_COUNTRY_NAME")</f>
        <v>China</v>
      </c>
    </row>
    <row r="469" spans="1:19" x14ac:dyDescent="0.35">
      <c r="A469" s="5">
        <v>46022</v>
      </c>
      <c r="B469" s="4" t="s">
        <v>521</v>
      </c>
      <c r="C469" s="4" t="s">
        <v>522</v>
      </c>
      <c r="D469" s="4" t="s">
        <v>1148</v>
      </c>
      <c r="E469" s="8">
        <v>10947964</v>
      </c>
      <c r="F469" s="7">
        <v>100</v>
      </c>
      <c r="G469" s="12" t="str">
        <f>[1]!SNLData("243327", C469, "OWNER_LIST")</f>
        <v>Linxi County Tonghe Mining Co., Ltd.  100%</v>
      </c>
      <c r="H469" s="9">
        <f>[1]!SNLData("243327", C469, "OWNER_SNL_INSTN_KEY", "Owner 1")</f>
        <v>10947964</v>
      </c>
      <c r="I469" s="9" t="str">
        <f>[1]!SNLData("243327", C469, "OWNER_SNL_INSTN_KEY", "Owner 2")</f>
        <v>NA</v>
      </c>
      <c r="J469" s="12" t="str">
        <f>_xll.SNL.Clients.Office.Excel.Functions.SPG(H469, "SP_ULT_PARENT_COMPANY_NAME")</f>
        <v/>
      </c>
      <c r="K469" s="12" t="str">
        <f>_xll.SNL.Clients.Office.Excel.Functions.SPG(H469, "SP_ULT_PARENT_COUNTRY")</f>
        <v/>
      </c>
      <c r="L469" s="12" t="str">
        <f>_xll.SNL.Clients.Office.Excel.Functions.SPG(H469, "SP_PARENT_COMPANY_NAME")</f>
        <v/>
      </c>
      <c r="M469" s="12" t="str">
        <f>_xll.SNL.Clients.Office.Excel.Functions.SPG(H469, "SP_PARENT_COUNTRY")</f>
        <v/>
      </c>
      <c r="N469" s="12" t="str">
        <f>_xll.SNL.Clients.Office.Excel.Functions.SPG(H469, "SP_COUNTRY_NAME")</f>
        <v>China</v>
      </c>
      <c r="O469" s="12" t="str">
        <f>_xll.SNL.Clients.Office.Excel.Functions.SPG(I469, "SP_ULT_PARENT_COMPANY_NAME")</f>
        <v/>
      </c>
      <c r="P469" s="12" t="str">
        <f>_xll.SNL.Clients.Office.Excel.Functions.SPG(I469, "SP_ULT_PARENT_COUNTRY")</f>
        <v/>
      </c>
      <c r="Q469" s="12" t="str">
        <f>_xll.SNL.Clients.Office.Excel.Functions.SPG(I469, "SP_PARENT_COMPANY_NAME")</f>
        <v/>
      </c>
      <c r="R469" s="12" t="str">
        <f>_xll.SNL.Clients.Office.Excel.Functions.SPG(I469, "SP_PARENT_COUNTRY")</f>
        <v/>
      </c>
      <c r="S469" s="12" t="str">
        <f>_xll.SNL.Clients.Office.Excel.Functions.SPG(I469, "SP_COUNTRY_NAME")</f>
        <v>China</v>
      </c>
    </row>
    <row r="470" spans="1:19" x14ac:dyDescent="0.35">
      <c r="A470" s="5">
        <v>46022</v>
      </c>
      <c r="B470" s="4" t="s">
        <v>523</v>
      </c>
      <c r="C470" s="4" t="s">
        <v>524</v>
      </c>
      <c r="D470" s="4" t="s">
        <v>1019</v>
      </c>
      <c r="E470" s="8">
        <v>10393182</v>
      </c>
      <c r="F470" s="7">
        <v>100</v>
      </c>
      <c r="G470" s="12" t="str">
        <f>[1]!SNLData("243327", C470, "OWNER_LIST")</f>
        <v>China State-Owned Mining Enterprise  100%</v>
      </c>
      <c r="H470" s="9">
        <f>[1]!SNLData("243327", C470, "OWNER_SNL_INSTN_KEY", "Owner 1")</f>
        <v>10393182</v>
      </c>
      <c r="I470" s="9" t="str">
        <f>[1]!SNLData("243327", C470, "OWNER_SNL_INSTN_KEY", "Owner 2")</f>
        <v>NA</v>
      </c>
      <c r="J470" s="12" t="str">
        <f>_xll.SNL.Clients.Office.Excel.Functions.SPG(H470, "SP_ULT_PARENT_COMPANY_NAME")</f>
        <v/>
      </c>
      <c r="K470" s="12" t="str">
        <f>_xll.SNL.Clients.Office.Excel.Functions.SPG(H470, "SP_ULT_PARENT_COUNTRY")</f>
        <v/>
      </c>
      <c r="L470" s="12" t="str">
        <f>_xll.SNL.Clients.Office.Excel.Functions.SPG(H470, "SP_PARENT_COMPANY_NAME")</f>
        <v/>
      </c>
      <c r="M470" s="12" t="str">
        <f>_xll.SNL.Clients.Office.Excel.Functions.SPG(H470, "SP_PARENT_COUNTRY")</f>
        <v/>
      </c>
      <c r="N470" s="12" t="str">
        <f>_xll.SNL.Clients.Office.Excel.Functions.SPG(H470, "SP_COUNTRY_NAME")</f>
        <v>China</v>
      </c>
      <c r="O470" s="12" t="str">
        <f>_xll.SNL.Clients.Office.Excel.Functions.SPG(I470, "SP_ULT_PARENT_COMPANY_NAME")</f>
        <v/>
      </c>
      <c r="P470" s="12" t="str">
        <f>_xll.SNL.Clients.Office.Excel.Functions.SPG(I470, "SP_ULT_PARENT_COUNTRY")</f>
        <v/>
      </c>
      <c r="Q470" s="12" t="str">
        <f>_xll.SNL.Clients.Office.Excel.Functions.SPG(I470, "SP_PARENT_COMPANY_NAME")</f>
        <v/>
      </c>
      <c r="R470" s="12" t="str">
        <f>_xll.SNL.Clients.Office.Excel.Functions.SPG(I470, "SP_PARENT_COUNTRY")</f>
        <v/>
      </c>
      <c r="S470" s="12" t="str">
        <f>_xll.SNL.Clients.Office.Excel.Functions.SPG(I470, "SP_COUNTRY_NAME")</f>
        <v>China</v>
      </c>
    </row>
    <row r="471" spans="1:19" ht="72.5" x14ac:dyDescent="0.35">
      <c r="A471" s="5">
        <v>46022</v>
      </c>
      <c r="B471" s="4" t="s">
        <v>525</v>
      </c>
      <c r="C471" s="4" t="s">
        <v>526</v>
      </c>
      <c r="D471" s="4" t="s">
        <v>1036</v>
      </c>
      <c r="E471" s="8">
        <v>4349131</v>
      </c>
      <c r="F471" s="7">
        <v>95.35</v>
      </c>
      <c r="G471" s="12" t="str">
        <f>[1]!SNLData("243327", C471, "OWNER_LIST")</f>
        <v>Unnamed Owner (Fractional) %; China Daye Non-Ferrous Metals Mining Limited (Venturer) 95.35%</v>
      </c>
      <c r="H471" s="9">
        <f>[1]!SNLData("243327", C471, "OWNER_SNL_INSTN_KEY", "Owner 1")</f>
        <v>4349131</v>
      </c>
      <c r="I471" s="9">
        <f>[1]!SNLData("243327", C471, "OWNER_SNL_INSTN_KEY", "Owner 2")</f>
        <v>4400798</v>
      </c>
      <c r="J471" s="12" t="str">
        <f>_xll.SNL.Clients.Office.Excel.Functions.SPG(H471, "SP_ULT_PARENT_COMPANY_NAME")</f>
        <v>State-owned Assets Supervision and Administration Commission of the State Counci</v>
      </c>
      <c r="K471" s="12" t="str">
        <f>_xll.SNL.Clients.Office.Excel.Functions.SPG(H471, "SP_ULT_PARENT_COUNTRY")</f>
        <v>China</v>
      </c>
      <c r="L471" s="12" t="str">
        <f>_xll.SNL.Clients.Office.Excel.Functions.SPG(H471, "SP_PARENT_COMPANY_NAME")</f>
        <v>Daye Nonferrous Metals Group Holdings Co., Ltd.</v>
      </c>
      <c r="M471" s="12" t="str">
        <f>_xll.SNL.Clients.Office.Excel.Functions.SPG(H471, "SP_PARENT_COUNTRY")</f>
        <v>China</v>
      </c>
      <c r="N471" s="12" t="str">
        <f>_xll.SNL.Clients.Office.Excel.Functions.SPG(H471, "SP_COUNTRY_NAME")</f>
        <v>Hong Kong</v>
      </c>
      <c r="O471" s="12" t="str">
        <f>_xll.SNL.Clients.Office.Excel.Functions.SPG(I471, "SP_ULT_PARENT_COMPANY_NAME")</f>
        <v/>
      </c>
      <c r="P471" s="12" t="str">
        <f>_xll.SNL.Clients.Office.Excel.Functions.SPG(I471, "SP_ULT_PARENT_COUNTRY")</f>
        <v/>
      </c>
      <c r="Q471" s="12" t="str">
        <f>_xll.SNL.Clients.Office.Excel.Functions.SPG(I471, "SP_PARENT_COMPANY_NAME")</f>
        <v/>
      </c>
      <c r="R471" s="12" t="str">
        <f>_xll.SNL.Clients.Office.Excel.Functions.SPG(I471, "SP_PARENT_COUNTRY")</f>
        <v/>
      </c>
      <c r="S471" s="12" t="str">
        <f>_xll.SNL.Clients.Office.Excel.Functions.SPG(I471, "SP_COUNTRY_NAME")</f>
        <v>USA</v>
      </c>
    </row>
    <row r="472" spans="1:19" ht="29" x14ac:dyDescent="0.35">
      <c r="A472" s="5">
        <v>46022</v>
      </c>
      <c r="B472" s="4" t="s">
        <v>527</v>
      </c>
      <c r="C472" s="4" t="s">
        <v>528</v>
      </c>
      <c r="D472" s="4" t="s">
        <v>1024</v>
      </c>
      <c r="E472" s="8">
        <v>4314727</v>
      </c>
      <c r="F472" s="7">
        <v>100</v>
      </c>
      <c r="G472" s="12" t="str">
        <f>[1]!SNLData("243327", C472, "OWNER_LIST")</f>
        <v>Tongling Nonferrous Metals Group Co.,Ltd.  100%</v>
      </c>
      <c r="H472" s="9">
        <f>[1]!SNLData("243327", C472, "OWNER_SNL_INSTN_KEY", "Owner 1")</f>
        <v>4314727</v>
      </c>
      <c r="I472" s="9" t="str">
        <f>[1]!SNLData("243327", C472, "OWNER_SNL_INSTN_KEY", "Owner 2")</f>
        <v>NA</v>
      </c>
      <c r="J472" s="12" t="str">
        <f>_xll.SNL.Clients.Office.Excel.Functions.SPG(H472, "SP_ULT_PARENT_COMPANY_NAME")</f>
        <v/>
      </c>
      <c r="K472" s="12" t="str">
        <f>_xll.SNL.Clients.Office.Excel.Functions.SPG(H472, "SP_ULT_PARENT_COUNTRY")</f>
        <v/>
      </c>
      <c r="L472" s="12" t="str">
        <f>_xll.SNL.Clients.Office.Excel.Functions.SPG(H472, "SP_PARENT_COMPANY_NAME")</f>
        <v/>
      </c>
      <c r="M472" s="12" t="str">
        <f>_xll.SNL.Clients.Office.Excel.Functions.SPG(H472, "SP_PARENT_COUNTRY")</f>
        <v/>
      </c>
      <c r="N472" s="12" t="str">
        <f>_xll.SNL.Clients.Office.Excel.Functions.SPG(H472, "SP_COUNTRY_NAME")</f>
        <v>China</v>
      </c>
      <c r="O472" s="12" t="str">
        <f>_xll.SNL.Clients.Office.Excel.Functions.SPG(I472, "SP_ULT_PARENT_COMPANY_NAME")</f>
        <v/>
      </c>
      <c r="P472" s="12" t="str">
        <f>_xll.SNL.Clients.Office.Excel.Functions.SPG(I472, "SP_ULT_PARENT_COUNTRY")</f>
        <v/>
      </c>
      <c r="Q472" s="12" t="str">
        <f>_xll.SNL.Clients.Office.Excel.Functions.SPG(I472, "SP_PARENT_COMPANY_NAME")</f>
        <v/>
      </c>
      <c r="R472" s="12" t="str">
        <f>_xll.SNL.Clients.Office.Excel.Functions.SPG(I472, "SP_PARENT_COUNTRY")</f>
        <v/>
      </c>
      <c r="S472" s="12" t="str">
        <f>_xll.SNL.Clients.Office.Excel.Functions.SPG(I472, "SP_COUNTRY_NAME")</f>
        <v>China</v>
      </c>
    </row>
    <row r="473" spans="1:19" ht="72.5" x14ac:dyDescent="0.35">
      <c r="A473" s="5">
        <v>46022</v>
      </c>
      <c r="B473" s="4" t="s">
        <v>511</v>
      </c>
      <c r="C473" s="4" t="s">
        <v>512</v>
      </c>
      <c r="D473" s="4" t="s">
        <v>1036</v>
      </c>
      <c r="E473" s="8">
        <v>4349131</v>
      </c>
      <c r="F473" s="7">
        <v>95.35</v>
      </c>
      <c r="G473" s="12" t="str">
        <f>[1]!SNLData("243327", C473, "OWNER_LIST")</f>
        <v>China Nonferrous Metal Mining (Group) Co., Ltd. (Venturer) 4.65%; China Daye Non-Ferrous Metals Mining Limited (Venturer) 95.35%</v>
      </c>
      <c r="H473" s="9">
        <f>[1]!SNLData("243327", C473, "OWNER_SNL_INSTN_KEY", "Owner 1")</f>
        <v>4349131</v>
      </c>
      <c r="I473" s="9">
        <f>[1]!SNLData("243327", C473, "OWNER_SNL_INSTN_KEY", "Owner 2")</f>
        <v>4349159</v>
      </c>
      <c r="J473" s="12" t="str">
        <f>_xll.SNL.Clients.Office.Excel.Functions.SPG(H473, "SP_ULT_PARENT_COMPANY_NAME")</f>
        <v>State-owned Assets Supervision and Administration Commission of the State Counci</v>
      </c>
      <c r="K473" s="12" t="str">
        <f>_xll.SNL.Clients.Office.Excel.Functions.SPG(H473, "SP_ULT_PARENT_COUNTRY")</f>
        <v>China</v>
      </c>
      <c r="L473" s="12" t="str">
        <f>_xll.SNL.Clients.Office.Excel.Functions.SPG(H473, "SP_PARENT_COMPANY_NAME")</f>
        <v>Daye Nonferrous Metals Group Holdings Co., Ltd.</v>
      </c>
      <c r="M473" s="12" t="str">
        <f>_xll.SNL.Clients.Office.Excel.Functions.SPG(H473, "SP_PARENT_COUNTRY")</f>
        <v>China</v>
      </c>
      <c r="N473" s="12" t="str">
        <f>_xll.SNL.Clients.Office.Excel.Functions.SPG(H473, "SP_COUNTRY_NAME")</f>
        <v>Hong Kong</v>
      </c>
      <c r="O473" s="12" t="str">
        <f>_xll.SNL.Clients.Office.Excel.Functions.SPG(I473, "SP_ULT_PARENT_COMPANY_NAME")</f>
        <v>State-owned Assets Supervision and Administration Commission of the State Counci</v>
      </c>
      <c r="P473" s="12" t="str">
        <f>_xll.SNL.Clients.Office.Excel.Functions.SPG(I473, "SP_ULT_PARENT_COUNTRY")</f>
        <v>China</v>
      </c>
      <c r="Q473" s="12" t="str">
        <f>_xll.SNL.Clients.Office.Excel.Functions.SPG(I473, "SP_PARENT_COMPANY_NAME")</f>
        <v>State-owned Assets Supervision and Administration Commission of the State Counci</v>
      </c>
      <c r="R473" s="12" t="str">
        <f>_xll.SNL.Clients.Office.Excel.Functions.SPG(I473, "SP_PARENT_COUNTRY")</f>
        <v>China</v>
      </c>
      <c r="S473" s="12" t="str">
        <f>_xll.SNL.Clients.Office.Excel.Functions.SPG(I473, "SP_COUNTRY_NAME")</f>
        <v>China</v>
      </c>
    </row>
    <row r="474" spans="1:19" ht="72.5" x14ac:dyDescent="0.35">
      <c r="A474" s="5">
        <v>46022</v>
      </c>
      <c r="B474" s="4" t="s">
        <v>511</v>
      </c>
      <c r="C474" s="4" t="s">
        <v>512</v>
      </c>
      <c r="D474" s="4" t="s">
        <v>1149</v>
      </c>
      <c r="E474" s="8">
        <v>4349159</v>
      </c>
      <c r="F474" s="7">
        <v>4.6500000000000004</v>
      </c>
      <c r="G474" s="12" t="str">
        <f>[1]!SNLData("243327", C474, "OWNER_LIST")</f>
        <v>China Nonferrous Metal Mining (Group) Co., Ltd. (Venturer) 4.65%; China Daye Non-Ferrous Metals Mining Limited (Venturer) 95.35%</v>
      </c>
      <c r="H474" s="9">
        <f>[1]!SNLData("243327", C474, "OWNER_SNL_INSTN_KEY", "Owner 1")</f>
        <v>4349131</v>
      </c>
      <c r="I474" s="9">
        <f>[1]!SNLData("243327", C474, "OWNER_SNL_INSTN_KEY", "Owner 2")</f>
        <v>4349159</v>
      </c>
      <c r="J474" s="12" t="str">
        <f>_xll.SNL.Clients.Office.Excel.Functions.SPG(H474, "SP_ULT_PARENT_COMPANY_NAME")</f>
        <v>State-owned Assets Supervision and Administration Commission of the State Counci</v>
      </c>
      <c r="K474" s="12" t="str">
        <f>_xll.SNL.Clients.Office.Excel.Functions.SPG(H474, "SP_ULT_PARENT_COUNTRY")</f>
        <v>China</v>
      </c>
      <c r="L474" s="12" t="str">
        <f>_xll.SNL.Clients.Office.Excel.Functions.SPG(H474, "SP_PARENT_COMPANY_NAME")</f>
        <v>Daye Nonferrous Metals Group Holdings Co., Ltd.</v>
      </c>
      <c r="M474" s="12" t="str">
        <f>_xll.SNL.Clients.Office.Excel.Functions.SPG(H474, "SP_PARENT_COUNTRY")</f>
        <v>China</v>
      </c>
      <c r="N474" s="12" t="str">
        <f>_xll.SNL.Clients.Office.Excel.Functions.SPG(H474, "SP_COUNTRY_NAME")</f>
        <v>Hong Kong</v>
      </c>
      <c r="O474" s="12" t="str">
        <f>_xll.SNL.Clients.Office.Excel.Functions.SPG(I474, "SP_ULT_PARENT_COMPANY_NAME")</f>
        <v>State-owned Assets Supervision and Administration Commission of the State Counci</v>
      </c>
      <c r="P474" s="12" t="str">
        <f>_xll.SNL.Clients.Office.Excel.Functions.SPG(I474, "SP_ULT_PARENT_COUNTRY")</f>
        <v>China</v>
      </c>
      <c r="Q474" s="12" t="str">
        <f>_xll.SNL.Clients.Office.Excel.Functions.SPG(I474, "SP_PARENT_COMPANY_NAME")</f>
        <v>State-owned Assets Supervision and Administration Commission of the State Counci</v>
      </c>
      <c r="R474" s="12" t="str">
        <f>_xll.SNL.Clients.Office.Excel.Functions.SPG(I474, "SP_PARENT_COUNTRY")</f>
        <v>China</v>
      </c>
      <c r="S474" s="12" t="str">
        <f>_xll.SNL.Clients.Office.Excel.Functions.SPG(I474, "SP_COUNTRY_NAME")</f>
        <v>China</v>
      </c>
    </row>
    <row r="475" spans="1:19" x14ac:dyDescent="0.35">
      <c r="A475" s="5">
        <v>46022</v>
      </c>
      <c r="B475" s="4" t="s">
        <v>651</v>
      </c>
      <c r="C475" s="4" t="s">
        <v>652</v>
      </c>
      <c r="D475" s="4" t="s">
        <v>1150</v>
      </c>
      <c r="E475" s="8">
        <v>10929882</v>
      </c>
      <c r="F475" s="7">
        <v>100</v>
      </c>
      <c r="G475" s="12" t="str">
        <f>[1]!SNLData("243327", C475, "OWNER_LIST")</f>
        <v>Anhui Chizhou Jinchi Investment Co., Ltd.  100%</v>
      </c>
      <c r="H475" s="9">
        <f>[1]!SNLData("243327", C475, "OWNER_SNL_INSTN_KEY", "Owner 1")</f>
        <v>10929882</v>
      </c>
      <c r="I475" s="9" t="str">
        <f>[1]!SNLData("243327", C475, "OWNER_SNL_INSTN_KEY", "Owner 2")</f>
        <v>NA</v>
      </c>
      <c r="J475" s="12" t="str">
        <f>_xll.SNL.Clients.Office.Excel.Functions.SPG(H475, "SP_ULT_PARENT_COMPANY_NAME")</f>
        <v/>
      </c>
      <c r="K475" s="12" t="str">
        <f>_xll.SNL.Clients.Office.Excel.Functions.SPG(H475, "SP_ULT_PARENT_COUNTRY")</f>
        <v/>
      </c>
      <c r="L475" s="12" t="str">
        <f>_xll.SNL.Clients.Office.Excel.Functions.SPG(H475, "SP_PARENT_COMPANY_NAME")</f>
        <v/>
      </c>
      <c r="M475" s="12" t="str">
        <f>_xll.SNL.Clients.Office.Excel.Functions.SPG(H475, "SP_PARENT_COUNTRY")</f>
        <v/>
      </c>
      <c r="N475" s="12" t="str">
        <f>_xll.SNL.Clients.Office.Excel.Functions.SPG(H475, "SP_COUNTRY_NAME")</f>
        <v>China</v>
      </c>
      <c r="O475" s="12" t="str">
        <f>_xll.SNL.Clients.Office.Excel.Functions.SPG(I475, "SP_ULT_PARENT_COMPANY_NAME")</f>
        <v/>
      </c>
      <c r="P475" s="12" t="str">
        <f>_xll.SNL.Clients.Office.Excel.Functions.SPG(I475, "SP_ULT_PARENT_COUNTRY")</f>
        <v/>
      </c>
      <c r="Q475" s="12" t="str">
        <f>_xll.SNL.Clients.Office.Excel.Functions.SPG(I475, "SP_PARENT_COMPANY_NAME")</f>
        <v/>
      </c>
      <c r="R475" s="12" t="str">
        <f>_xll.SNL.Clients.Office.Excel.Functions.SPG(I475, "SP_PARENT_COUNTRY")</f>
        <v/>
      </c>
      <c r="S475" s="12" t="str">
        <f>_xll.SNL.Clients.Office.Excel.Functions.SPG(I475, "SP_COUNTRY_NAME")</f>
        <v>China</v>
      </c>
    </row>
    <row r="476" spans="1:19" ht="43.5" x14ac:dyDescent="0.35">
      <c r="A476" s="5">
        <v>46022</v>
      </c>
      <c r="B476" s="4" t="s">
        <v>653</v>
      </c>
      <c r="C476" s="4" t="s">
        <v>654</v>
      </c>
      <c r="D476" s="4" t="s">
        <v>980</v>
      </c>
      <c r="E476" s="8">
        <v>4354459</v>
      </c>
      <c r="F476" s="7">
        <v>100</v>
      </c>
      <c r="G476" s="12" t="str">
        <f>[1]!SNLData("243327", C476, "OWNER_LIST")</f>
        <v>Southern Copper Corporation  100%</v>
      </c>
      <c r="H476" s="9">
        <f>[1]!SNLData("243327", C476, "OWNER_SNL_INSTN_KEY", "Owner 1")</f>
        <v>4354459</v>
      </c>
      <c r="I476" s="9" t="str">
        <f>[1]!SNLData("243327", C476, "OWNER_SNL_INSTN_KEY", "Owner 2")</f>
        <v>NA</v>
      </c>
      <c r="J476" s="12" t="str">
        <f>_xll.SNL.Clients.Office.Excel.Functions.SPG(H476, "SP_ULT_PARENT_COMPANY_NAME")</f>
        <v>Grupo México, S.A.B. de C.V.</v>
      </c>
      <c r="K476" s="12" t="str">
        <f>_xll.SNL.Clients.Office.Excel.Functions.SPG(H476, "SP_ULT_PARENT_COUNTRY")</f>
        <v>Mexico</v>
      </c>
      <c r="L476" s="12" t="str">
        <f>_xll.SNL.Clients.Office.Excel.Functions.SPG(H476, "SP_PARENT_COMPANY_NAME")</f>
        <v>Americas Mining Corporation</v>
      </c>
      <c r="M476" s="12" t="str">
        <f>_xll.SNL.Clients.Office.Excel.Functions.SPG(H476, "SP_PARENT_COUNTRY")</f>
        <v>USA</v>
      </c>
      <c r="N476" s="12" t="str">
        <f>_xll.SNL.Clients.Office.Excel.Functions.SPG(H476, "SP_COUNTRY_NAME")</f>
        <v>USA</v>
      </c>
      <c r="O476" s="12" t="str">
        <f>_xll.SNL.Clients.Office.Excel.Functions.SPG(I476, "SP_ULT_PARENT_COMPANY_NAME")</f>
        <v/>
      </c>
      <c r="P476" s="12" t="str">
        <f>_xll.SNL.Clients.Office.Excel.Functions.SPG(I476, "SP_ULT_PARENT_COUNTRY")</f>
        <v/>
      </c>
      <c r="Q476" s="12" t="str">
        <f>_xll.SNL.Clients.Office.Excel.Functions.SPG(I476, "SP_PARENT_COMPANY_NAME")</f>
        <v/>
      </c>
      <c r="R476" s="12" t="str">
        <f>_xll.SNL.Clients.Office.Excel.Functions.SPG(I476, "SP_PARENT_COUNTRY")</f>
        <v/>
      </c>
      <c r="S476" s="12" t="str">
        <f>_xll.SNL.Clients.Office.Excel.Functions.SPG(I476, "SP_COUNTRY_NAME")</f>
        <v>China</v>
      </c>
    </row>
    <row r="477" spans="1:19" ht="43.5" x14ac:dyDescent="0.35">
      <c r="A477" s="5">
        <v>46022</v>
      </c>
      <c r="B477" s="4" t="s">
        <v>655</v>
      </c>
      <c r="C477" s="4" t="s">
        <v>656</v>
      </c>
      <c r="D477" s="4" t="s">
        <v>980</v>
      </c>
      <c r="E477" s="8">
        <v>4354459</v>
      </c>
      <c r="F477" s="7">
        <v>100</v>
      </c>
      <c r="G477" s="12" t="str">
        <f>[1]!SNLData("243327", C477, "OWNER_LIST")</f>
        <v>Southern Copper Corporation  100%</v>
      </c>
      <c r="H477" s="9">
        <f>[1]!SNLData("243327", C477, "OWNER_SNL_INSTN_KEY", "Owner 1")</f>
        <v>4354459</v>
      </c>
      <c r="I477" s="9" t="str">
        <f>[1]!SNLData("243327", C477, "OWNER_SNL_INSTN_KEY", "Owner 2")</f>
        <v>NA</v>
      </c>
      <c r="J477" s="12" t="str">
        <f>_xll.SNL.Clients.Office.Excel.Functions.SPG(H477, "SP_ULT_PARENT_COMPANY_NAME")</f>
        <v>Grupo México, S.A.B. de C.V.</v>
      </c>
      <c r="K477" s="12" t="str">
        <f>_xll.SNL.Clients.Office.Excel.Functions.SPG(H477, "SP_ULT_PARENT_COUNTRY")</f>
        <v>Mexico</v>
      </c>
      <c r="L477" s="12" t="str">
        <f>_xll.SNL.Clients.Office.Excel.Functions.SPG(H477, "SP_PARENT_COMPANY_NAME")</f>
        <v>Americas Mining Corporation</v>
      </c>
      <c r="M477" s="12" t="str">
        <f>_xll.SNL.Clients.Office.Excel.Functions.SPG(H477, "SP_PARENT_COUNTRY")</f>
        <v>USA</v>
      </c>
      <c r="N477" s="12" t="str">
        <f>_xll.SNL.Clients.Office.Excel.Functions.SPG(H477, "SP_COUNTRY_NAME")</f>
        <v>USA</v>
      </c>
      <c r="O477" s="12" t="str">
        <f>_xll.SNL.Clients.Office.Excel.Functions.SPG(I477, "SP_ULT_PARENT_COMPANY_NAME")</f>
        <v/>
      </c>
      <c r="P477" s="12" t="str">
        <f>_xll.SNL.Clients.Office.Excel.Functions.SPG(I477, "SP_ULT_PARENT_COUNTRY")</f>
        <v/>
      </c>
      <c r="Q477" s="12" t="str">
        <f>_xll.SNL.Clients.Office.Excel.Functions.SPG(I477, "SP_PARENT_COMPANY_NAME")</f>
        <v/>
      </c>
      <c r="R477" s="12" t="str">
        <f>_xll.SNL.Clients.Office.Excel.Functions.SPG(I477, "SP_PARENT_COUNTRY")</f>
        <v/>
      </c>
      <c r="S477" s="12" t="str">
        <f>_xll.SNL.Clients.Office.Excel.Functions.SPG(I477, "SP_COUNTRY_NAME")</f>
        <v>China</v>
      </c>
    </row>
    <row r="478" spans="1:19" ht="72.5" x14ac:dyDescent="0.35">
      <c r="A478" s="5">
        <v>46022</v>
      </c>
      <c r="B478" s="4" t="s">
        <v>657</v>
      </c>
      <c r="C478" s="4" t="s">
        <v>658</v>
      </c>
      <c r="D478" s="4" t="s">
        <v>1151</v>
      </c>
      <c r="E478" s="8">
        <v>4199226</v>
      </c>
      <c r="F478" s="7">
        <v>100</v>
      </c>
      <c r="G478" s="12" t="str">
        <f>[1]!SNLData("243327", C478, "OWNER_LIST")</f>
        <v>Aluminum Corporation of China Limited  100%</v>
      </c>
      <c r="H478" s="9">
        <f>[1]!SNLData("243327", C478, "OWNER_SNL_INSTN_KEY", "Owner 1")</f>
        <v>4199226</v>
      </c>
      <c r="I478" s="9" t="str">
        <f>[1]!SNLData("243327", C478, "OWNER_SNL_INSTN_KEY", "Owner 2")</f>
        <v>NA</v>
      </c>
      <c r="J478" s="12" t="str">
        <f>_xll.SNL.Clients.Office.Excel.Functions.SPG(H478, "SP_ULT_PARENT_COMPANY_NAME")</f>
        <v>State-owned Assets Supervision and Administration Commission of the State Counci</v>
      </c>
      <c r="K478" s="12" t="str">
        <f>_xll.SNL.Clients.Office.Excel.Functions.SPG(H478, "SP_ULT_PARENT_COUNTRY")</f>
        <v>China</v>
      </c>
      <c r="L478" s="12" t="str">
        <f>_xll.SNL.Clients.Office.Excel.Functions.SPG(H478, "SP_PARENT_COMPANY_NAME")</f>
        <v>Aluminum Corporation of China</v>
      </c>
      <c r="M478" s="12" t="str">
        <f>_xll.SNL.Clients.Office.Excel.Functions.SPG(H478, "SP_PARENT_COUNTRY")</f>
        <v>China</v>
      </c>
      <c r="N478" s="12" t="str">
        <f>_xll.SNL.Clients.Office.Excel.Functions.SPG(H478, "SP_COUNTRY_NAME")</f>
        <v>China</v>
      </c>
      <c r="O478" s="12" t="str">
        <f>_xll.SNL.Clients.Office.Excel.Functions.SPG(I478, "SP_ULT_PARENT_COMPANY_NAME")</f>
        <v/>
      </c>
      <c r="P478" s="12" t="str">
        <f>_xll.SNL.Clients.Office.Excel.Functions.SPG(I478, "SP_ULT_PARENT_COUNTRY")</f>
        <v/>
      </c>
      <c r="Q478" s="12" t="str">
        <f>_xll.SNL.Clients.Office.Excel.Functions.SPG(I478, "SP_PARENT_COMPANY_NAME")</f>
        <v/>
      </c>
      <c r="R478" s="12" t="str">
        <f>_xll.SNL.Clients.Office.Excel.Functions.SPG(I478, "SP_PARENT_COUNTRY")</f>
        <v/>
      </c>
      <c r="S478" s="12" t="str">
        <f>_xll.SNL.Clients.Office.Excel.Functions.SPG(I478, "SP_COUNTRY_NAME")</f>
        <v>China</v>
      </c>
    </row>
    <row r="479" spans="1:19" x14ac:dyDescent="0.35">
      <c r="A479" s="5">
        <v>46022</v>
      </c>
      <c r="B479" s="4" t="s">
        <v>835</v>
      </c>
      <c r="C479" s="4" t="s">
        <v>836</v>
      </c>
      <c r="D479" s="4" t="s">
        <v>995</v>
      </c>
      <c r="E479" s="8">
        <v>4350215</v>
      </c>
      <c r="F479" s="7">
        <v>100</v>
      </c>
      <c r="G479" s="12" t="str">
        <f>[1]!SNLData("243327", C479, "OWNER_LIST")</f>
        <v>First Quantum Minerals Ltd.  100%</v>
      </c>
      <c r="H479" s="9">
        <f>[1]!SNLData("243327", C479, "OWNER_SNL_INSTN_KEY", "Owner 1")</f>
        <v>4350215</v>
      </c>
      <c r="I479" s="9" t="str">
        <f>[1]!SNLData("243327", C479, "OWNER_SNL_INSTN_KEY", "Owner 2")</f>
        <v>NA</v>
      </c>
      <c r="J479" s="12" t="str">
        <f>_xll.SNL.Clients.Office.Excel.Functions.SPG(H479, "SP_ULT_PARENT_COMPANY_NAME")</f>
        <v/>
      </c>
      <c r="K479" s="12" t="str">
        <f>_xll.SNL.Clients.Office.Excel.Functions.SPG(H479, "SP_ULT_PARENT_COUNTRY")</f>
        <v/>
      </c>
      <c r="L479" s="12" t="str">
        <f>_xll.SNL.Clients.Office.Excel.Functions.SPG(H479, "SP_PARENT_COMPANY_NAME")</f>
        <v/>
      </c>
      <c r="M479" s="12" t="str">
        <f>_xll.SNL.Clients.Office.Excel.Functions.SPG(H479, "SP_PARENT_COUNTRY")</f>
        <v/>
      </c>
      <c r="N479" s="12" t="str">
        <f>_xll.SNL.Clients.Office.Excel.Functions.SPG(H479, "SP_COUNTRY_NAME")</f>
        <v>Canada</v>
      </c>
      <c r="O479" s="12" t="str">
        <f>_xll.SNL.Clients.Office.Excel.Functions.SPG(I479, "SP_ULT_PARENT_COMPANY_NAME")</f>
        <v/>
      </c>
      <c r="P479" s="12" t="str">
        <f>_xll.SNL.Clients.Office.Excel.Functions.SPG(I479, "SP_ULT_PARENT_COUNTRY")</f>
        <v/>
      </c>
      <c r="Q479" s="12" t="str">
        <f>_xll.SNL.Clients.Office.Excel.Functions.SPG(I479, "SP_PARENT_COMPANY_NAME")</f>
        <v/>
      </c>
      <c r="R479" s="12" t="str">
        <f>_xll.SNL.Clients.Office.Excel.Functions.SPG(I479, "SP_PARENT_COUNTRY")</f>
        <v/>
      </c>
      <c r="S479" s="12" t="str">
        <f>_xll.SNL.Clients.Office.Excel.Functions.SPG(I479, "SP_COUNTRY_NAME")</f>
        <v>China</v>
      </c>
    </row>
    <row r="480" spans="1:19" x14ac:dyDescent="0.35">
      <c r="A480" s="5">
        <v>46022</v>
      </c>
      <c r="B480" s="4" t="s">
        <v>545</v>
      </c>
      <c r="C480" s="4" t="s">
        <v>546</v>
      </c>
      <c r="D480" s="4" t="s">
        <v>1152</v>
      </c>
      <c r="E480" s="8">
        <v>4275208</v>
      </c>
      <c r="F480" s="7">
        <v>100</v>
      </c>
      <c r="G480" s="12" t="str">
        <f>[1]!SNLData("243327", C480, "OWNER_LIST")</f>
        <v>Aeris Resources Limited  100%</v>
      </c>
      <c r="H480" s="9">
        <f>[1]!SNLData("243327", C480, "OWNER_SNL_INSTN_KEY", "Owner 1")</f>
        <v>4275208</v>
      </c>
      <c r="I480" s="9" t="str">
        <f>[1]!SNLData("243327", C480, "OWNER_SNL_INSTN_KEY", "Owner 2")</f>
        <v>NA</v>
      </c>
      <c r="J480" s="12" t="str">
        <f>_xll.SNL.Clients.Office.Excel.Functions.SPG(H480, "SP_ULT_PARENT_COMPANY_NAME")</f>
        <v/>
      </c>
      <c r="K480" s="12" t="str">
        <f>_xll.SNL.Clients.Office.Excel.Functions.SPG(H480, "SP_ULT_PARENT_COUNTRY")</f>
        <v/>
      </c>
      <c r="L480" s="12" t="str">
        <f>_xll.SNL.Clients.Office.Excel.Functions.SPG(H480, "SP_PARENT_COMPANY_NAME")</f>
        <v/>
      </c>
      <c r="M480" s="12" t="str">
        <f>_xll.SNL.Clients.Office.Excel.Functions.SPG(H480, "SP_PARENT_COUNTRY")</f>
        <v/>
      </c>
      <c r="N480" s="12" t="str">
        <f>_xll.SNL.Clients.Office.Excel.Functions.SPG(H480, "SP_COUNTRY_NAME")</f>
        <v>Australia</v>
      </c>
      <c r="O480" s="12" t="str">
        <f>_xll.SNL.Clients.Office.Excel.Functions.SPG(I480, "SP_ULT_PARENT_COMPANY_NAME")</f>
        <v/>
      </c>
      <c r="P480" s="12" t="str">
        <f>_xll.SNL.Clients.Office.Excel.Functions.SPG(I480, "SP_ULT_PARENT_COUNTRY")</f>
        <v/>
      </c>
      <c r="Q480" s="12" t="str">
        <f>_xll.SNL.Clients.Office.Excel.Functions.SPG(I480, "SP_PARENT_COMPANY_NAME")</f>
        <v/>
      </c>
      <c r="R480" s="12" t="str">
        <f>_xll.SNL.Clients.Office.Excel.Functions.SPG(I480, "SP_PARENT_COUNTRY")</f>
        <v/>
      </c>
      <c r="S480" s="12" t="str">
        <f>_xll.SNL.Clients.Office.Excel.Functions.SPG(I480, "SP_COUNTRY_NAME")</f>
        <v>China</v>
      </c>
    </row>
    <row r="481" spans="1:19" ht="29" x14ac:dyDescent="0.35">
      <c r="A481" s="5">
        <v>46022</v>
      </c>
      <c r="B481" s="4" t="s">
        <v>547</v>
      </c>
      <c r="C481" s="4" t="s">
        <v>548</v>
      </c>
      <c r="D481" s="4" t="s">
        <v>1092</v>
      </c>
      <c r="E481" s="8">
        <v>4354011</v>
      </c>
      <c r="F481" s="7">
        <v>100</v>
      </c>
      <c r="G481" s="12" t="str">
        <f>[1]!SNLData("243327", C481, "OWNER_LIST")</f>
        <v>Strata Investment Holdings Plc (Fractional) %; Sandfire Resources Limited  100%</v>
      </c>
      <c r="H481" s="9">
        <f>[1]!SNLData("243327", C481, "OWNER_SNL_INSTN_KEY", "Owner 1")</f>
        <v>4354011</v>
      </c>
      <c r="I481" s="9">
        <f>[1]!SNLData("243327", C481, "OWNER_SNL_INSTN_KEY", "Owner 2")</f>
        <v>4567711</v>
      </c>
      <c r="J481" s="12" t="str">
        <f>_xll.SNL.Clients.Office.Excel.Functions.SPG(H481, "SP_ULT_PARENT_COMPANY_NAME")</f>
        <v/>
      </c>
      <c r="K481" s="12" t="str">
        <f>_xll.SNL.Clients.Office.Excel.Functions.SPG(H481, "SP_ULT_PARENT_COUNTRY")</f>
        <v/>
      </c>
      <c r="L481" s="12" t="str">
        <f>_xll.SNL.Clients.Office.Excel.Functions.SPG(H481, "SP_PARENT_COMPANY_NAME")</f>
        <v/>
      </c>
      <c r="M481" s="12" t="str">
        <f>_xll.SNL.Clients.Office.Excel.Functions.SPG(H481, "SP_PARENT_COUNTRY")</f>
        <v/>
      </c>
      <c r="N481" s="12" t="str">
        <f>_xll.SNL.Clients.Office.Excel.Functions.SPG(H481, "SP_COUNTRY_NAME")</f>
        <v>Australia</v>
      </c>
      <c r="O481" s="12" t="str">
        <f>_xll.SNL.Clients.Office.Excel.Functions.SPG(I481, "SP_ULT_PARENT_COMPANY_NAME")</f>
        <v/>
      </c>
      <c r="P481" s="12" t="str">
        <f>_xll.SNL.Clients.Office.Excel.Functions.SPG(I481, "SP_ULT_PARENT_COUNTRY")</f>
        <v/>
      </c>
      <c r="Q481" s="12" t="str">
        <f>_xll.SNL.Clients.Office.Excel.Functions.SPG(I481, "SP_PARENT_COMPANY_NAME")</f>
        <v/>
      </c>
      <c r="R481" s="12" t="str">
        <f>_xll.SNL.Clients.Office.Excel.Functions.SPG(I481, "SP_PARENT_COUNTRY")</f>
        <v/>
      </c>
      <c r="S481" s="12" t="str">
        <f>_xll.SNL.Clients.Office.Excel.Functions.SPG(I481, "SP_COUNTRY_NAME")</f>
        <v>United Kingdom</v>
      </c>
    </row>
    <row r="482" spans="1:19" ht="29" x14ac:dyDescent="0.35">
      <c r="A482" s="5">
        <v>46022</v>
      </c>
      <c r="B482" s="4" t="s">
        <v>659</v>
      </c>
      <c r="C482" s="4" t="s">
        <v>660</v>
      </c>
      <c r="D482" s="4" t="s">
        <v>991</v>
      </c>
      <c r="E482" s="8">
        <v>8252418</v>
      </c>
      <c r="F482" s="7">
        <v>99.6</v>
      </c>
      <c r="G482" s="12" t="str">
        <f>[1]!SNLData("243327", C482, "OWNER_LIST")</f>
        <v>Ero Copper Corp. (Venturer) 99.6%; Unnamed Owner (Fractional) %</v>
      </c>
      <c r="H482" s="9">
        <f>[1]!SNLData("243327", C482, "OWNER_SNL_INSTN_KEY", "Owner 1")</f>
        <v>8252418</v>
      </c>
      <c r="I482" s="9">
        <f>[1]!SNLData("243327", C482, "OWNER_SNL_INSTN_KEY", "Owner 2")</f>
        <v>4400798</v>
      </c>
      <c r="J482" s="12" t="str">
        <f>_xll.SNL.Clients.Office.Excel.Functions.SPG(H482, "SP_ULT_PARENT_COMPANY_NAME")</f>
        <v/>
      </c>
      <c r="K482" s="12" t="str">
        <f>_xll.SNL.Clients.Office.Excel.Functions.SPG(H482, "SP_ULT_PARENT_COUNTRY")</f>
        <v/>
      </c>
      <c r="L482" s="12" t="str">
        <f>_xll.SNL.Clients.Office.Excel.Functions.SPG(H482, "SP_PARENT_COMPANY_NAME")</f>
        <v/>
      </c>
      <c r="M482" s="12" t="str">
        <f>_xll.SNL.Clients.Office.Excel.Functions.SPG(H482, "SP_PARENT_COUNTRY")</f>
        <v/>
      </c>
      <c r="N482" s="12" t="str">
        <f>_xll.SNL.Clients.Office.Excel.Functions.SPG(H482, "SP_COUNTRY_NAME")</f>
        <v>Canada</v>
      </c>
      <c r="O482" s="12" t="str">
        <f>_xll.SNL.Clients.Office.Excel.Functions.SPG(I482, "SP_ULT_PARENT_COMPANY_NAME")</f>
        <v/>
      </c>
      <c r="P482" s="12" t="str">
        <f>_xll.SNL.Clients.Office.Excel.Functions.SPG(I482, "SP_ULT_PARENT_COUNTRY")</f>
        <v/>
      </c>
      <c r="Q482" s="12" t="str">
        <f>_xll.SNL.Clients.Office.Excel.Functions.SPG(I482, "SP_PARENT_COMPANY_NAME")</f>
        <v/>
      </c>
      <c r="R482" s="12" t="str">
        <f>_xll.SNL.Clients.Office.Excel.Functions.SPG(I482, "SP_PARENT_COUNTRY")</f>
        <v/>
      </c>
      <c r="S482" s="12" t="str">
        <f>_xll.SNL.Clients.Office.Excel.Functions.SPG(I482, "SP_COUNTRY_NAME")</f>
        <v>USA</v>
      </c>
    </row>
    <row r="483" spans="1:19" x14ac:dyDescent="0.35">
      <c r="A483" s="5">
        <v>46022</v>
      </c>
      <c r="B483" s="4" t="s">
        <v>837</v>
      </c>
      <c r="C483" s="4" t="s">
        <v>838</v>
      </c>
      <c r="D483" s="4" t="s">
        <v>1019</v>
      </c>
      <c r="E483" s="8">
        <v>10393182</v>
      </c>
      <c r="F483" s="7">
        <v>100</v>
      </c>
      <c r="G483" s="12" t="str">
        <f>[1]!SNLData("243327", C483, "OWNER_LIST")</f>
        <v>China State-Owned Mining Enterprise  100%</v>
      </c>
      <c r="H483" s="9">
        <f>[1]!SNLData("243327", C483, "OWNER_SNL_INSTN_KEY", "Owner 1")</f>
        <v>10393182</v>
      </c>
      <c r="I483" s="9" t="str">
        <f>[1]!SNLData("243327", C483, "OWNER_SNL_INSTN_KEY", "Owner 2")</f>
        <v>NA</v>
      </c>
      <c r="J483" s="12" t="str">
        <f>_xll.SNL.Clients.Office.Excel.Functions.SPG(H483, "SP_ULT_PARENT_COMPANY_NAME")</f>
        <v/>
      </c>
      <c r="K483" s="12" t="str">
        <f>_xll.SNL.Clients.Office.Excel.Functions.SPG(H483, "SP_ULT_PARENT_COUNTRY")</f>
        <v/>
      </c>
      <c r="L483" s="12" t="str">
        <f>_xll.SNL.Clients.Office.Excel.Functions.SPG(H483, "SP_PARENT_COMPANY_NAME")</f>
        <v/>
      </c>
      <c r="M483" s="12" t="str">
        <f>_xll.SNL.Clients.Office.Excel.Functions.SPG(H483, "SP_PARENT_COUNTRY")</f>
        <v/>
      </c>
      <c r="N483" s="12" t="str">
        <f>_xll.SNL.Clients.Office.Excel.Functions.SPG(H483, "SP_COUNTRY_NAME")</f>
        <v>China</v>
      </c>
      <c r="O483" s="12" t="str">
        <f>_xll.SNL.Clients.Office.Excel.Functions.SPG(I483, "SP_ULT_PARENT_COMPANY_NAME")</f>
        <v/>
      </c>
      <c r="P483" s="12" t="str">
        <f>_xll.SNL.Clients.Office.Excel.Functions.SPG(I483, "SP_ULT_PARENT_COUNTRY")</f>
        <v/>
      </c>
      <c r="Q483" s="12" t="str">
        <f>_xll.SNL.Clients.Office.Excel.Functions.SPG(I483, "SP_PARENT_COMPANY_NAME")</f>
        <v/>
      </c>
      <c r="R483" s="12" t="str">
        <f>_xll.SNL.Clients.Office.Excel.Functions.SPG(I483, "SP_PARENT_COUNTRY")</f>
        <v/>
      </c>
      <c r="S483" s="12" t="str">
        <f>_xll.SNL.Clients.Office.Excel.Functions.SPG(I483, "SP_COUNTRY_NAME")</f>
        <v>China</v>
      </c>
    </row>
    <row r="484" spans="1:19" x14ac:dyDescent="0.35">
      <c r="A484" s="5">
        <v>46022</v>
      </c>
      <c r="B484" s="4" t="s">
        <v>661</v>
      </c>
      <c r="C484" s="4" t="s">
        <v>662</v>
      </c>
      <c r="D484" s="4" t="s">
        <v>1019</v>
      </c>
      <c r="E484" s="8">
        <v>10393182</v>
      </c>
      <c r="F484" s="7">
        <v>100</v>
      </c>
      <c r="G484" s="12" t="str">
        <f>[1]!SNLData("243327", C484, "OWNER_LIST")</f>
        <v>China State-Owned Mining Enterprise  100%</v>
      </c>
      <c r="H484" s="9">
        <f>[1]!SNLData("243327", C484, "OWNER_SNL_INSTN_KEY", "Owner 1")</f>
        <v>10393182</v>
      </c>
      <c r="I484" s="9" t="str">
        <f>[1]!SNLData("243327", C484, "OWNER_SNL_INSTN_KEY", "Owner 2")</f>
        <v>NA</v>
      </c>
      <c r="J484" s="12" t="str">
        <f>_xll.SNL.Clients.Office.Excel.Functions.SPG(H484, "SP_ULT_PARENT_COMPANY_NAME")</f>
        <v/>
      </c>
      <c r="K484" s="12" t="str">
        <f>_xll.SNL.Clients.Office.Excel.Functions.SPG(H484, "SP_ULT_PARENT_COUNTRY")</f>
        <v/>
      </c>
      <c r="L484" s="12" t="str">
        <f>_xll.SNL.Clients.Office.Excel.Functions.SPG(H484, "SP_PARENT_COMPANY_NAME")</f>
        <v/>
      </c>
      <c r="M484" s="12" t="str">
        <f>_xll.SNL.Clients.Office.Excel.Functions.SPG(H484, "SP_PARENT_COUNTRY")</f>
        <v/>
      </c>
      <c r="N484" s="12" t="str">
        <f>_xll.SNL.Clients.Office.Excel.Functions.SPG(H484, "SP_COUNTRY_NAME")</f>
        <v>China</v>
      </c>
      <c r="O484" s="12" t="str">
        <f>_xll.SNL.Clients.Office.Excel.Functions.SPG(I484, "SP_ULT_PARENT_COMPANY_NAME")</f>
        <v/>
      </c>
      <c r="P484" s="12" t="str">
        <f>_xll.SNL.Clients.Office.Excel.Functions.SPG(I484, "SP_ULT_PARENT_COUNTRY")</f>
        <v/>
      </c>
      <c r="Q484" s="12" t="str">
        <f>_xll.SNL.Clients.Office.Excel.Functions.SPG(I484, "SP_PARENT_COMPANY_NAME")</f>
        <v/>
      </c>
      <c r="R484" s="12" t="str">
        <f>_xll.SNL.Clients.Office.Excel.Functions.SPG(I484, "SP_PARENT_COUNTRY")</f>
        <v/>
      </c>
      <c r="S484" s="12" t="str">
        <f>_xll.SNL.Clients.Office.Excel.Functions.SPG(I484, "SP_COUNTRY_NAME")</f>
        <v>China</v>
      </c>
    </row>
    <row r="485" spans="1:19" ht="72.5" x14ac:dyDescent="0.35">
      <c r="A485" s="5">
        <v>46022</v>
      </c>
      <c r="B485" s="4" t="s">
        <v>663</v>
      </c>
      <c r="C485" s="4" t="s">
        <v>664</v>
      </c>
      <c r="D485" s="4" t="s">
        <v>1153</v>
      </c>
      <c r="E485" s="8">
        <v>4994804</v>
      </c>
      <c r="F485" s="7">
        <v>49</v>
      </c>
      <c r="G485" s="12" t="str">
        <f>[1]!SNLData("243327", C485, "OWNER_LIST")</f>
        <v>Yunnan Copper Co.,Ltd (Venturer) 51%; Oriental Pearl Group Co.,Ltd. (Venturer) 49%</v>
      </c>
      <c r="H485" s="9">
        <f>[1]!SNLData("243327", C485, "OWNER_SNL_INSTN_KEY", "Owner 1")</f>
        <v>4355551</v>
      </c>
      <c r="I485" s="9">
        <f>[1]!SNLData("243327", C485, "OWNER_SNL_INSTN_KEY", "Owner 2")</f>
        <v>4994804</v>
      </c>
      <c r="J485" s="12" t="str">
        <f>_xll.SNL.Clients.Office.Excel.Functions.SPG(H485, "SP_ULT_PARENT_COMPANY_NAME")</f>
        <v>State-owned Assets Supervision and Administration Commission of the State Counci</v>
      </c>
      <c r="K485" s="12" t="str">
        <f>_xll.SNL.Clients.Office.Excel.Functions.SPG(H485, "SP_ULT_PARENT_COUNTRY")</f>
        <v>China</v>
      </c>
      <c r="L485" s="12" t="str">
        <f>_xll.SNL.Clients.Office.Excel.Functions.SPG(H485, "SP_PARENT_COMPANY_NAME")</f>
        <v>Yunnan Copper Industry (Group) Co., Ltd.</v>
      </c>
      <c r="M485" s="12" t="str">
        <f>_xll.SNL.Clients.Office.Excel.Functions.SPG(H485, "SP_PARENT_COUNTRY")</f>
        <v>China</v>
      </c>
      <c r="N485" s="12" t="str">
        <f>_xll.SNL.Clients.Office.Excel.Functions.SPG(H485, "SP_COUNTRY_NAME")</f>
        <v>China</v>
      </c>
      <c r="O485" s="12" t="str">
        <f>_xll.SNL.Clients.Office.Excel.Functions.SPG(I485, "SP_ULT_PARENT_COMPANY_NAME")</f>
        <v/>
      </c>
      <c r="P485" s="12" t="str">
        <f>_xll.SNL.Clients.Office.Excel.Functions.SPG(I485, "SP_ULT_PARENT_COUNTRY")</f>
        <v/>
      </c>
      <c r="Q485" s="12" t="str">
        <f>_xll.SNL.Clients.Office.Excel.Functions.SPG(I485, "SP_PARENT_COMPANY_NAME")</f>
        <v/>
      </c>
      <c r="R485" s="12" t="str">
        <f>_xll.SNL.Clients.Office.Excel.Functions.SPG(I485, "SP_PARENT_COUNTRY")</f>
        <v/>
      </c>
      <c r="S485" s="12" t="str">
        <f>_xll.SNL.Clients.Office.Excel.Functions.SPG(I485, "SP_COUNTRY_NAME")</f>
        <v>China</v>
      </c>
    </row>
    <row r="486" spans="1:19" ht="72.5" x14ac:dyDescent="0.35">
      <c r="A486" s="5">
        <v>46022</v>
      </c>
      <c r="B486" s="4" t="s">
        <v>663</v>
      </c>
      <c r="C486" s="4" t="s">
        <v>664</v>
      </c>
      <c r="D486" s="4" t="s">
        <v>1014</v>
      </c>
      <c r="E486" s="8">
        <v>4355551</v>
      </c>
      <c r="F486" s="7">
        <v>51</v>
      </c>
      <c r="G486" s="12" t="str">
        <f>[1]!SNLData("243327", C486, "OWNER_LIST")</f>
        <v>Yunnan Copper Co.,Ltd (Venturer) 51%; Oriental Pearl Group Co.,Ltd. (Venturer) 49%</v>
      </c>
      <c r="H486" s="9">
        <f>[1]!SNLData("243327", C486, "OWNER_SNL_INSTN_KEY", "Owner 1")</f>
        <v>4355551</v>
      </c>
      <c r="I486" s="9">
        <f>[1]!SNLData("243327", C486, "OWNER_SNL_INSTN_KEY", "Owner 2")</f>
        <v>4994804</v>
      </c>
      <c r="J486" s="12" t="str">
        <f>_xll.SNL.Clients.Office.Excel.Functions.SPG(H486, "SP_ULT_PARENT_COMPANY_NAME")</f>
        <v>State-owned Assets Supervision and Administration Commission of the State Counci</v>
      </c>
      <c r="K486" s="12" t="str">
        <f>_xll.SNL.Clients.Office.Excel.Functions.SPG(H486, "SP_ULT_PARENT_COUNTRY")</f>
        <v>China</v>
      </c>
      <c r="L486" s="12" t="str">
        <f>_xll.SNL.Clients.Office.Excel.Functions.SPG(H486, "SP_PARENT_COMPANY_NAME")</f>
        <v>Yunnan Copper Industry (Group) Co., Ltd.</v>
      </c>
      <c r="M486" s="12" t="str">
        <f>_xll.SNL.Clients.Office.Excel.Functions.SPG(H486, "SP_PARENT_COUNTRY")</f>
        <v>China</v>
      </c>
      <c r="N486" s="12" t="str">
        <f>_xll.SNL.Clients.Office.Excel.Functions.SPG(H486, "SP_COUNTRY_NAME")</f>
        <v>China</v>
      </c>
      <c r="O486" s="12" t="str">
        <f>_xll.SNL.Clients.Office.Excel.Functions.SPG(I486, "SP_ULT_PARENT_COMPANY_NAME")</f>
        <v/>
      </c>
      <c r="P486" s="12" t="str">
        <f>_xll.SNL.Clients.Office.Excel.Functions.SPG(I486, "SP_ULT_PARENT_COUNTRY")</f>
        <v/>
      </c>
      <c r="Q486" s="12" t="str">
        <f>_xll.SNL.Clients.Office.Excel.Functions.SPG(I486, "SP_PARENT_COMPANY_NAME")</f>
        <v/>
      </c>
      <c r="R486" s="12" t="str">
        <f>_xll.SNL.Clients.Office.Excel.Functions.SPG(I486, "SP_PARENT_COUNTRY")</f>
        <v/>
      </c>
      <c r="S486" s="12" t="str">
        <f>_xll.SNL.Clients.Office.Excel.Functions.SPG(I486, "SP_COUNTRY_NAME")</f>
        <v>China</v>
      </c>
    </row>
    <row r="487" spans="1:19" ht="43.5" x14ac:dyDescent="0.35">
      <c r="A487" s="5">
        <v>46022</v>
      </c>
      <c r="B487" s="4" t="s">
        <v>839</v>
      </c>
      <c r="C487" s="4" t="s">
        <v>840</v>
      </c>
      <c r="D487" s="4" t="s">
        <v>1098</v>
      </c>
      <c r="E487" s="8">
        <v>4188197</v>
      </c>
      <c r="F487" s="7">
        <v>54</v>
      </c>
      <c r="G487" s="12" t="str">
        <f>[1]!SNLData("243327", C487, "OWNER_LIST")</f>
        <v>African Rainbow Minerals Limited (Venturer) 54%; Impala Platinum Holdings Limited (Venturer) 46%</v>
      </c>
      <c r="H487" s="9">
        <f>[1]!SNLData("243327", C487, "OWNER_SNL_INSTN_KEY", "Owner 1")</f>
        <v>4188197</v>
      </c>
      <c r="I487" s="9">
        <f>[1]!SNLData("243327", C487, "OWNER_SNL_INSTN_KEY", "Owner 2")</f>
        <v>4351190</v>
      </c>
      <c r="J487" s="12" t="str">
        <f>_xll.SNL.Clients.Office.Excel.Functions.SPG(H487, "SP_ULT_PARENT_COMPANY_NAME")</f>
        <v/>
      </c>
      <c r="K487" s="12" t="str">
        <f>_xll.SNL.Clients.Office.Excel.Functions.SPG(H487, "SP_ULT_PARENT_COUNTRY")</f>
        <v/>
      </c>
      <c r="L487" s="12" t="str">
        <f>_xll.SNL.Clients.Office.Excel.Functions.SPG(H487, "SP_PARENT_COMPANY_NAME")</f>
        <v/>
      </c>
      <c r="M487" s="12" t="str">
        <f>_xll.SNL.Clients.Office.Excel.Functions.SPG(H487, "SP_PARENT_COUNTRY")</f>
        <v/>
      </c>
      <c r="N487" s="12" t="str">
        <f>_xll.SNL.Clients.Office.Excel.Functions.SPG(H487, "SP_COUNTRY_NAME")</f>
        <v>South Africa</v>
      </c>
      <c r="O487" s="12" t="str">
        <f>_xll.SNL.Clients.Office.Excel.Functions.SPG(I487, "SP_ULT_PARENT_COMPANY_NAME")</f>
        <v/>
      </c>
      <c r="P487" s="12" t="str">
        <f>_xll.SNL.Clients.Office.Excel.Functions.SPG(I487, "SP_ULT_PARENT_COUNTRY")</f>
        <v/>
      </c>
      <c r="Q487" s="12" t="str">
        <f>_xll.SNL.Clients.Office.Excel.Functions.SPG(I487, "SP_PARENT_COMPANY_NAME")</f>
        <v/>
      </c>
      <c r="R487" s="12" t="str">
        <f>_xll.SNL.Clients.Office.Excel.Functions.SPG(I487, "SP_PARENT_COUNTRY")</f>
        <v/>
      </c>
      <c r="S487" s="12" t="str">
        <f>_xll.SNL.Clients.Office.Excel.Functions.SPG(I487, "SP_COUNTRY_NAME")</f>
        <v>South Africa</v>
      </c>
    </row>
    <row r="488" spans="1:19" ht="43.5" x14ac:dyDescent="0.35">
      <c r="A488" s="5">
        <v>46022</v>
      </c>
      <c r="B488" s="4" t="s">
        <v>839</v>
      </c>
      <c r="C488" s="4" t="s">
        <v>840</v>
      </c>
      <c r="D488" s="4" t="s">
        <v>1053</v>
      </c>
      <c r="E488" s="8">
        <v>4351190</v>
      </c>
      <c r="F488" s="7">
        <v>46</v>
      </c>
      <c r="G488" s="12" t="str">
        <f>[1]!SNLData("243327", C488, "OWNER_LIST")</f>
        <v>African Rainbow Minerals Limited (Venturer) 54%; Impala Platinum Holdings Limited (Venturer) 46%</v>
      </c>
      <c r="H488" s="9">
        <f>[1]!SNLData("243327", C488, "OWNER_SNL_INSTN_KEY", "Owner 1")</f>
        <v>4188197</v>
      </c>
      <c r="I488" s="9">
        <f>[1]!SNLData("243327", C488, "OWNER_SNL_INSTN_KEY", "Owner 2")</f>
        <v>4351190</v>
      </c>
      <c r="J488" s="12" t="str">
        <f>_xll.SNL.Clients.Office.Excel.Functions.SPG(H488, "SP_ULT_PARENT_COMPANY_NAME")</f>
        <v/>
      </c>
      <c r="K488" s="12" t="str">
        <f>_xll.SNL.Clients.Office.Excel.Functions.SPG(H488, "SP_ULT_PARENT_COUNTRY")</f>
        <v/>
      </c>
      <c r="L488" s="12" t="str">
        <f>_xll.SNL.Clients.Office.Excel.Functions.SPG(H488, "SP_PARENT_COMPANY_NAME")</f>
        <v/>
      </c>
      <c r="M488" s="12" t="str">
        <f>_xll.SNL.Clients.Office.Excel.Functions.SPG(H488, "SP_PARENT_COUNTRY")</f>
        <v/>
      </c>
      <c r="N488" s="12" t="str">
        <f>_xll.SNL.Clients.Office.Excel.Functions.SPG(H488, "SP_COUNTRY_NAME")</f>
        <v>South Africa</v>
      </c>
      <c r="O488" s="12" t="str">
        <f>_xll.SNL.Clients.Office.Excel.Functions.SPG(I488, "SP_ULT_PARENT_COMPANY_NAME")</f>
        <v/>
      </c>
      <c r="P488" s="12" t="str">
        <f>_xll.SNL.Clients.Office.Excel.Functions.SPG(I488, "SP_ULT_PARENT_COUNTRY")</f>
        <v/>
      </c>
      <c r="Q488" s="12" t="str">
        <f>_xll.SNL.Clients.Office.Excel.Functions.SPG(I488, "SP_PARENT_COMPANY_NAME")</f>
        <v/>
      </c>
      <c r="R488" s="12" t="str">
        <f>_xll.SNL.Clients.Office.Excel.Functions.SPG(I488, "SP_PARENT_COUNTRY")</f>
        <v/>
      </c>
      <c r="S488" s="12" t="str">
        <f>_xll.SNL.Clients.Office.Excel.Functions.SPG(I488, "SP_COUNTRY_NAME")</f>
        <v>South Africa</v>
      </c>
    </row>
    <row r="489" spans="1:19" x14ac:dyDescent="0.35">
      <c r="A489" s="5">
        <v>46022</v>
      </c>
      <c r="B489" s="4" t="s">
        <v>513</v>
      </c>
      <c r="C489" s="4" t="s">
        <v>514</v>
      </c>
      <c r="D489" s="4" t="s">
        <v>963</v>
      </c>
      <c r="E489" s="8">
        <v>4004107</v>
      </c>
      <c r="F489" s="7">
        <v>100</v>
      </c>
      <c r="G489" s="12" t="str">
        <f>[1]!SNLData("243327", C489, "OWNER_LIST")</f>
        <v>Freeport-McMoRan Inc.  100%</v>
      </c>
      <c r="H489" s="9">
        <f>[1]!SNLData("243327", C489, "OWNER_SNL_INSTN_KEY", "Owner 1")</f>
        <v>4004107</v>
      </c>
      <c r="I489" s="9" t="str">
        <f>[1]!SNLData("243327", C489, "OWNER_SNL_INSTN_KEY", "Owner 2")</f>
        <v>NA</v>
      </c>
      <c r="J489" s="12" t="str">
        <f>_xll.SNL.Clients.Office.Excel.Functions.SPG(H489, "SP_ULT_PARENT_COMPANY_NAME")</f>
        <v/>
      </c>
      <c r="K489" s="12" t="str">
        <f>_xll.SNL.Clients.Office.Excel.Functions.SPG(H489, "SP_ULT_PARENT_COUNTRY")</f>
        <v/>
      </c>
      <c r="L489" s="12" t="str">
        <f>_xll.SNL.Clients.Office.Excel.Functions.SPG(H489, "SP_PARENT_COMPANY_NAME")</f>
        <v/>
      </c>
      <c r="M489" s="12" t="str">
        <f>_xll.SNL.Clients.Office.Excel.Functions.SPG(H489, "SP_PARENT_COUNTRY")</f>
        <v/>
      </c>
      <c r="N489" s="12" t="str">
        <f>_xll.SNL.Clients.Office.Excel.Functions.SPG(H489, "SP_COUNTRY_NAME")</f>
        <v>USA</v>
      </c>
      <c r="O489" s="12" t="str">
        <f>_xll.SNL.Clients.Office.Excel.Functions.SPG(I489, "SP_ULT_PARENT_COMPANY_NAME")</f>
        <v/>
      </c>
      <c r="P489" s="12" t="str">
        <f>_xll.SNL.Clients.Office.Excel.Functions.SPG(I489, "SP_ULT_PARENT_COUNTRY")</f>
        <v/>
      </c>
      <c r="Q489" s="12" t="str">
        <f>_xll.SNL.Clients.Office.Excel.Functions.SPG(I489, "SP_PARENT_COMPANY_NAME")</f>
        <v/>
      </c>
      <c r="R489" s="12" t="str">
        <f>_xll.SNL.Clients.Office.Excel.Functions.SPG(I489, "SP_PARENT_COUNTRY")</f>
        <v/>
      </c>
      <c r="S489" s="12" t="str">
        <f>_xll.SNL.Clients.Office.Excel.Functions.SPG(I489, "SP_COUNTRY_NAME")</f>
        <v>China</v>
      </c>
    </row>
    <row r="490" spans="1:19" ht="29" x14ac:dyDescent="0.35">
      <c r="A490" s="5">
        <v>46022</v>
      </c>
      <c r="B490" s="4" t="s">
        <v>549</v>
      </c>
      <c r="C490" s="4" t="s">
        <v>550</v>
      </c>
      <c r="D490" s="4" t="s">
        <v>968</v>
      </c>
      <c r="E490" s="8">
        <v>4355114</v>
      </c>
      <c r="F490" s="7">
        <v>100</v>
      </c>
      <c r="G490" s="12" t="str">
        <f>[1]!SNLData("243327", C490, "OWNER_LIST")</f>
        <v>Ural Mining and Metallurgical Company  100%</v>
      </c>
      <c r="H490" s="9">
        <f>[1]!SNLData("243327", C490, "OWNER_SNL_INSTN_KEY", "Owner 1")</f>
        <v>4355114</v>
      </c>
      <c r="I490" s="9" t="str">
        <f>[1]!SNLData("243327", C490, "OWNER_SNL_INSTN_KEY", "Owner 2")</f>
        <v>NA</v>
      </c>
      <c r="J490" s="12" t="str">
        <f>_xll.SNL.Clients.Office.Excel.Functions.SPG(H490, "SP_ULT_PARENT_COMPANY_NAME")</f>
        <v>Mineral Power Limited</v>
      </c>
      <c r="K490" s="12" t="str">
        <f>_xll.SNL.Clients.Office.Excel.Functions.SPG(H490, "SP_ULT_PARENT_COUNTRY")</f>
        <v>Hong Kong</v>
      </c>
      <c r="L490" s="12" t="str">
        <f>_xll.SNL.Clients.Office.Excel.Functions.SPG(H490, "SP_PARENT_COMPANY_NAME")</f>
        <v>SELMARECO LTD.</v>
      </c>
      <c r="M490" s="12" t="str">
        <f>_xll.SNL.Clients.Office.Excel.Functions.SPG(H490, "SP_PARENT_COUNTRY")</f>
        <v>Cyprus</v>
      </c>
      <c r="N490" s="12" t="str">
        <f>_xll.SNL.Clients.Office.Excel.Functions.SPG(H490, "SP_COUNTRY_NAME")</f>
        <v>Russia</v>
      </c>
      <c r="O490" s="12" t="str">
        <f>_xll.SNL.Clients.Office.Excel.Functions.SPG(I490, "SP_ULT_PARENT_COMPANY_NAME")</f>
        <v/>
      </c>
      <c r="P490" s="12" t="str">
        <f>_xll.SNL.Clients.Office.Excel.Functions.SPG(I490, "SP_ULT_PARENT_COUNTRY")</f>
        <v/>
      </c>
      <c r="Q490" s="12" t="str">
        <f>_xll.SNL.Clients.Office.Excel.Functions.SPG(I490, "SP_PARENT_COMPANY_NAME")</f>
        <v/>
      </c>
      <c r="R490" s="12" t="str">
        <f>_xll.SNL.Clients.Office.Excel.Functions.SPG(I490, "SP_PARENT_COUNTRY")</f>
        <v/>
      </c>
      <c r="S490" s="12" t="str">
        <f>_xll.SNL.Clients.Office.Excel.Functions.SPG(I490, "SP_COUNTRY_NAME")</f>
        <v>China</v>
      </c>
    </row>
    <row r="491" spans="1:19" ht="29" x14ac:dyDescent="0.35">
      <c r="A491" s="5">
        <v>46022</v>
      </c>
      <c r="B491" s="4" t="s">
        <v>529</v>
      </c>
      <c r="C491" s="4" t="s">
        <v>530</v>
      </c>
      <c r="D491" s="4" t="s">
        <v>1154</v>
      </c>
      <c r="E491" s="8">
        <v>4348411</v>
      </c>
      <c r="F491" s="7">
        <v>15</v>
      </c>
      <c r="G491" s="12" t="str">
        <f>[1]!SNLData("243327", C491, "OWNER_LIST")</f>
        <v>Bakgatla Ba Kgafela (Venturer) 15%; Siyanda Resources (Pty) Ltd (Venturer) 85%</v>
      </c>
      <c r="H491" s="9">
        <f>[1]!SNLData("243327", C491, "OWNER_SNL_INSTN_KEY", "Owner 1")</f>
        <v>4379793</v>
      </c>
      <c r="I491" s="9">
        <f>[1]!SNLData("243327", C491, "OWNER_SNL_INSTN_KEY", "Owner 2")</f>
        <v>4348411</v>
      </c>
      <c r="J491" s="12" t="str">
        <f>_xll.SNL.Clients.Office.Excel.Functions.SPG(H491, "SP_ULT_PARENT_COMPANY_NAME")</f>
        <v/>
      </c>
      <c r="K491" s="12" t="str">
        <f>_xll.SNL.Clients.Office.Excel.Functions.SPG(H491, "SP_ULT_PARENT_COUNTRY")</f>
        <v/>
      </c>
      <c r="L491" s="12" t="str">
        <f>_xll.SNL.Clients.Office.Excel.Functions.SPG(H491, "SP_PARENT_COMPANY_NAME")</f>
        <v/>
      </c>
      <c r="M491" s="12" t="str">
        <f>_xll.SNL.Clients.Office.Excel.Functions.SPG(H491, "SP_PARENT_COUNTRY")</f>
        <v/>
      </c>
      <c r="N491" s="12" t="str">
        <f>_xll.SNL.Clients.Office.Excel.Functions.SPG(H491, "SP_COUNTRY_NAME")</f>
        <v>South Africa</v>
      </c>
      <c r="O491" s="12" t="str">
        <f>_xll.SNL.Clients.Office.Excel.Functions.SPG(I491, "SP_ULT_PARENT_COMPANY_NAME")</f>
        <v/>
      </c>
      <c r="P491" s="12" t="str">
        <f>_xll.SNL.Clients.Office.Excel.Functions.SPG(I491, "SP_ULT_PARENT_COUNTRY")</f>
        <v/>
      </c>
      <c r="Q491" s="12" t="str">
        <f>_xll.SNL.Clients.Office.Excel.Functions.SPG(I491, "SP_PARENT_COMPANY_NAME")</f>
        <v/>
      </c>
      <c r="R491" s="12" t="str">
        <f>_xll.SNL.Clients.Office.Excel.Functions.SPG(I491, "SP_PARENT_COUNTRY")</f>
        <v/>
      </c>
      <c r="S491" s="12" t="str">
        <f>_xll.SNL.Clients.Office.Excel.Functions.SPG(I491, "SP_COUNTRY_NAME")</f>
        <v>South Africa</v>
      </c>
    </row>
    <row r="492" spans="1:19" ht="29" x14ac:dyDescent="0.35">
      <c r="A492" s="5">
        <v>46022</v>
      </c>
      <c r="B492" s="4" t="s">
        <v>529</v>
      </c>
      <c r="C492" s="4" t="s">
        <v>530</v>
      </c>
      <c r="D492" s="4" t="s">
        <v>1155</v>
      </c>
      <c r="E492" s="8">
        <v>4379793</v>
      </c>
      <c r="F492" s="7">
        <v>85</v>
      </c>
      <c r="G492" s="12" t="str">
        <f>[1]!SNLData("243327", C492, "OWNER_LIST")</f>
        <v>Bakgatla Ba Kgafela (Venturer) 15%; Siyanda Resources (Pty) Ltd (Venturer) 85%</v>
      </c>
      <c r="H492" s="9">
        <f>[1]!SNLData("243327", C492, "OWNER_SNL_INSTN_KEY", "Owner 1")</f>
        <v>4379793</v>
      </c>
      <c r="I492" s="9">
        <f>[1]!SNLData("243327", C492, "OWNER_SNL_INSTN_KEY", "Owner 2")</f>
        <v>4348411</v>
      </c>
      <c r="J492" s="12" t="str">
        <f>_xll.SNL.Clients.Office.Excel.Functions.SPG(H492, "SP_ULT_PARENT_COMPANY_NAME")</f>
        <v/>
      </c>
      <c r="K492" s="12" t="str">
        <f>_xll.SNL.Clients.Office.Excel.Functions.SPG(H492, "SP_ULT_PARENT_COUNTRY")</f>
        <v/>
      </c>
      <c r="L492" s="12" t="str">
        <f>_xll.SNL.Clients.Office.Excel.Functions.SPG(H492, "SP_PARENT_COMPANY_NAME")</f>
        <v/>
      </c>
      <c r="M492" s="12" t="str">
        <f>_xll.SNL.Clients.Office.Excel.Functions.SPG(H492, "SP_PARENT_COUNTRY")</f>
        <v/>
      </c>
      <c r="N492" s="12" t="str">
        <f>_xll.SNL.Clients.Office.Excel.Functions.SPG(H492, "SP_COUNTRY_NAME")</f>
        <v>South Africa</v>
      </c>
      <c r="O492" s="12" t="str">
        <f>_xll.SNL.Clients.Office.Excel.Functions.SPG(I492, "SP_ULT_PARENT_COMPANY_NAME")</f>
        <v/>
      </c>
      <c r="P492" s="12" t="str">
        <f>_xll.SNL.Clients.Office.Excel.Functions.SPG(I492, "SP_ULT_PARENT_COUNTRY")</f>
        <v/>
      </c>
      <c r="Q492" s="12" t="str">
        <f>_xll.SNL.Clients.Office.Excel.Functions.SPG(I492, "SP_PARENT_COMPANY_NAME")</f>
        <v/>
      </c>
      <c r="R492" s="12" t="str">
        <f>_xll.SNL.Clients.Office.Excel.Functions.SPG(I492, "SP_PARENT_COUNTRY")</f>
        <v/>
      </c>
      <c r="S492" s="12" t="str">
        <f>_xll.SNL.Clients.Office.Excel.Functions.SPG(I492, "SP_COUNTRY_NAME")</f>
        <v>South Africa</v>
      </c>
    </row>
    <row r="493" spans="1:19" x14ac:dyDescent="0.35">
      <c r="A493" s="5">
        <v>46022</v>
      </c>
      <c r="B493" s="4" t="s">
        <v>531</v>
      </c>
      <c r="C493" s="4" t="s">
        <v>532</v>
      </c>
      <c r="D493" s="4" t="s">
        <v>943</v>
      </c>
      <c r="E493" s="8">
        <v>4348055</v>
      </c>
      <c r="F493" s="7">
        <v>100</v>
      </c>
      <c r="G493" s="12" t="str">
        <f>[1]!SNLData("243327", C493, "OWNER_LIST")</f>
        <v>Valterra Platinum Limited  100%</v>
      </c>
      <c r="H493" s="9">
        <f>[1]!SNLData("243327", C493, "OWNER_SNL_INSTN_KEY", "Owner 1")</f>
        <v>4348055</v>
      </c>
      <c r="I493" s="9" t="str">
        <f>[1]!SNLData("243327", C493, "OWNER_SNL_INSTN_KEY", "Owner 2")</f>
        <v>NA</v>
      </c>
      <c r="J493" s="12" t="str">
        <f>_xll.SNL.Clients.Office.Excel.Functions.SPG(H493, "SP_ULT_PARENT_COMPANY_NAME")</f>
        <v/>
      </c>
      <c r="K493" s="12" t="str">
        <f>_xll.SNL.Clients.Office.Excel.Functions.SPG(H493, "SP_ULT_PARENT_COUNTRY")</f>
        <v/>
      </c>
      <c r="L493" s="12" t="str">
        <f>_xll.SNL.Clients.Office.Excel.Functions.SPG(H493, "SP_PARENT_COMPANY_NAME")</f>
        <v/>
      </c>
      <c r="M493" s="12" t="str">
        <f>_xll.SNL.Clients.Office.Excel.Functions.SPG(H493, "SP_PARENT_COUNTRY")</f>
        <v/>
      </c>
      <c r="N493" s="12" t="str">
        <f>_xll.SNL.Clients.Office.Excel.Functions.SPG(H493, "SP_COUNTRY_NAME")</f>
        <v>South Africa</v>
      </c>
      <c r="O493" s="12" t="str">
        <f>_xll.SNL.Clients.Office.Excel.Functions.SPG(I493, "SP_ULT_PARENT_COMPANY_NAME")</f>
        <v/>
      </c>
      <c r="P493" s="12" t="str">
        <f>_xll.SNL.Clients.Office.Excel.Functions.SPG(I493, "SP_ULT_PARENT_COUNTRY")</f>
        <v/>
      </c>
      <c r="Q493" s="12" t="str">
        <f>_xll.SNL.Clients.Office.Excel.Functions.SPG(I493, "SP_PARENT_COMPANY_NAME")</f>
        <v/>
      </c>
      <c r="R493" s="12" t="str">
        <f>_xll.SNL.Clients.Office.Excel.Functions.SPG(I493, "SP_PARENT_COUNTRY")</f>
        <v/>
      </c>
      <c r="S493" s="12" t="str">
        <f>_xll.SNL.Clients.Office.Excel.Functions.SPG(I493, "SP_COUNTRY_NAME")</f>
        <v>China</v>
      </c>
    </row>
    <row r="494" spans="1:19" x14ac:dyDescent="0.35">
      <c r="A494" s="5">
        <v>46022</v>
      </c>
      <c r="B494" s="4" t="s">
        <v>1156</v>
      </c>
      <c r="C494" s="4" t="s">
        <v>1157</v>
      </c>
      <c r="D494" s="4" t="s">
        <v>1003</v>
      </c>
      <c r="E494" s="8">
        <v>4349826</v>
      </c>
      <c r="F494" s="7">
        <v>100</v>
      </c>
      <c r="G494" s="12" t="str">
        <f>[1]!SNLData("243327", C494, "OWNER_LIST")</f>
        <v>DPM Metals Inc.  100%</v>
      </c>
      <c r="H494" s="9">
        <f>[1]!SNLData("243327", C494, "OWNER_SNL_INSTN_KEY", "Owner 1")</f>
        <v>4349826</v>
      </c>
      <c r="I494" s="9" t="str">
        <f>[1]!SNLData("243327", C494, "OWNER_SNL_INSTN_KEY", "Owner 2")</f>
        <v>NA</v>
      </c>
      <c r="J494" s="12" t="str">
        <f>_xll.SNL.Clients.Office.Excel.Functions.SPG(H494, "SP_ULT_PARENT_COMPANY_NAME")</f>
        <v/>
      </c>
      <c r="K494" s="12" t="str">
        <f>_xll.SNL.Clients.Office.Excel.Functions.SPG(H494, "SP_ULT_PARENT_COUNTRY")</f>
        <v/>
      </c>
      <c r="L494" s="12" t="str">
        <f>_xll.SNL.Clients.Office.Excel.Functions.SPG(H494, "SP_PARENT_COMPANY_NAME")</f>
        <v/>
      </c>
      <c r="M494" s="12" t="str">
        <f>_xll.SNL.Clients.Office.Excel.Functions.SPG(H494, "SP_PARENT_COUNTRY")</f>
        <v/>
      </c>
      <c r="N494" s="12" t="str">
        <f>_xll.SNL.Clients.Office.Excel.Functions.SPG(H494, "SP_COUNTRY_NAME")</f>
        <v>Canada</v>
      </c>
      <c r="O494" s="12" t="str">
        <f>_xll.SNL.Clients.Office.Excel.Functions.SPG(I494, "SP_ULT_PARENT_COMPANY_NAME")</f>
        <v/>
      </c>
      <c r="P494" s="12" t="str">
        <f>_xll.SNL.Clients.Office.Excel.Functions.SPG(I494, "SP_ULT_PARENT_COUNTRY")</f>
        <v/>
      </c>
      <c r="Q494" s="12" t="str">
        <f>_xll.SNL.Clients.Office.Excel.Functions.SPG(I494, "SP_PARENT_COMPANY_NAME")</f>
        <v/>
      </c>
      <c r="R494" s="12" t="str">
        <f>_xll.SNL.Clients.Office.Excel.Functions.SPG(I494, "SP_PARENT_COUNTRY")</f>
        <v/>
      </c>
      <c r="S494" s="12" t="str">
        <f>_xll.SNL.Clients.Office.Excel.Functions.SPG(I494, "SP_COUNTRY_NAME")</f>
        <v>China</v>
      </c>
    </row>
    <row r="495" spans="1:19" x14ac:dyDescent="0.35">
      <c r="A495" s="5">
        <v>46022</v>
      </c>
      <c r="B495" s="4" t="s">
        <v>841</v>
      </c>
      <c r="C495" s="4" t="s">
        <v>842</v>
      </c>
      <c r="D495" s="4" t="s">
        <v>1158</v>
      </c>
      <c r="E495" s="8">
        <v>4353406</v>
      </c>
      <c r="F495" s="7">
        <v>100</v>
      </c>
      <c r="G495" s="12" t="str">
        <f>[1]!SNLData("243327", C495, "OWNER_LIST")</f>
        <v>Solidcore Resources plc  100%</v>
      </c>
      <c r="H495" s="9">
        <f>[1]!SNLData("243327", C495, "OWNER_SNL_INSTN_KEY", "Owner 1")</f>
        <v>4353406</v>
      </c>
      <c r="I495" s="9" t="str">
        <f>[1]!SNLData("243327", C495, "OWNER_SNL_INSTN_KEY", "Owner 2")</f>
        <v>NA</v>
      </c>
      <c r="J495" s="12" t="str">
        <f>_xll.SNL.Clients.Office.Excel.Functions.SPG(H495, "SP_ULT_PARENT_COMPANY_NAME")</f>
        <v/>
      </c>
      <c r="K495" s="12" t="str">
        <f>_xll.SNL.Clients.Office.Excel.Functions.SPG(H495, "SP_ULT_PARENT_COUNTRY")</f>
        <v/>
      </c>
      <c r="L495" s="12" t="str">
        <f>_xll.SNL.Clients.Office.Excel.Functions.SPG(H495, "SP_PARENT_COMPANY_NAME")</f>
        <v/>
      </c>
      <c r="M495" s="12" t="str">
        <f>_xll.SNL.Clients.Office.Excel.Functions.SPG(H495, "SP_PARENT_COUNTRY")</f>
        <v/>
      </c>
      <c r="N495" s="12" t="str">
        <f>_xll.SNL.Clients.Office.Excel.Functions.SPG(H495, "SP_COUNTRY_NAME")</f>
        <v>Kazakhstan</v>
      </c>
      <c r="O495" s="12" t="str">
        <f>_xll.SNL.Clients.Office.Excel.Functions.SPG(I495, "SP_ULT_PARENT_COMPANY_NAME")</f>
        <v/>
      </c>
      <c r="P495" s="12" t="str">
        <f>_xll.SNL.Clients.Office.Excel.Functions.SPG(I495, "SP_ULT_PARENT_COUNTRY")</f>
        <v/>
      </c>
      <c r="Q495" s="12" t="str">
        <f>_xll.SNL.Clients.Office.Excel.Functions.SPG(I495, "SP_PARENT_COMPANY_NAME")</f>
        <v/>
      </c>
      <c r="R495" s="12" t="str">
        <f>_xll.SNL.Clients.Office.Excel.Functions.SPG(I495, "SP_PARENT_COUNTRY")</f>
        <v/>
      </c>
      <c r="S495" s="12" t="str">
        <f>_xll.SNL.Clients.Office.Excel.Functions.SPG(I495, "SP_COUNTRY_NAME")</f>
        <v>China</v>
      </c>
    </row>
    <row r="496" spans="1:19" x14ac:dyDescent="0.35">
      <c r="A496" s="5">
        <v>46022</v>
      </c>
      <c r="B496" s="4" t="s">
        <v>843</v>
      </c>
      <c r="C496" s="4" t="s">
        <v>844</v>
      </c>
      <c r="D496" s="4" t="s">
        <v>990</v>
      </c>
      <c r="E496" s="8">
        <v>4351226</v>
      </c>
      <c r="F496" s="7">
        <v>100</v>
      </c>
      <c r="G496" s="12" t="str">
        <f>[1]!SNLData("243327", C496, "OWNER_LIST")</f>
        <v>Industrias Peñoles, S.A.B. de C.V.  100%</v>
      </c>
      <c r="H496" s="9">
        <f>[1]!SNLData("243327", C496, "OWNER_SNL_INSTN_KEY", "Owner 1")</f>
        <v>4351226</v>
      </c>
      <c r="I496" s="9" t="str">
        <f>[1]!SNLData("243327", C496, "OWNER_SNL_INSTN_KEY", "Owner 2")</f>
        <v>NA</v>
      </c>
      <c r="J496" s="12" t="str">
        <f>_xll.SNL.Clients.Office.Excel.Functions.SPG(H496, "SP_ULT_PARENT_COMPANY_NAME")</f>
        <v/>
      </c>
      <c r="K496" s="12" t="str">
        <f>_xll.SNL.Clients.Office.Excel.Functions.SPG(H496, "SP_ULT_PARENT_COUNTRY")</f>
        <v/>
      </c>
      <c r="L496" s="12" t="str">
        <f>_xll.SNL.Clients.Office.Excel.Functions.SPG(H496, "SP_PARENT_COMPANY_NAME")</f>
        <v/>
      </c>
      <c r="M496" s="12" t="str">
        <f>_xll.SNL.Clients.Office.Excel.Functions.SPG(H496, "SP_PARENT_COUNTRY")</f>
        <v/>
      </c>
      <c r="N496" s="12" t="str">
        <f>_xll.SNL.Clients.Office.Excel.Functions.SPG(H496, "SP_COUNTRY_NAME")</f>
        <v>Mexico</v>
      </c>
      <c r="O496" s="12" t="str">
        <f>_xll.SNL.Clients.Office.Excel.Functions.SPG(I496, "SP_ULT_PARENT_COMPANY_NAME")</f>
        <v/>
      </c>
      <c r="P496" s="12" t="str">
        <f>_xll.SNL.Clients.Office.Excel.Functions.SPG(I496, "SP_ULT_PARENT_COUNTRY")</f>
        <v/>
      </c>
      <c r="Q496" s="12" t="str">
        <f>_xll.SNL.Clients.Office.Excel.Functions.SPG(I496, "SP_PARENT_COMPANY_NAME")</f>
        <v/>
      </c>
      <c r="R496" s="12" t="str">
        <f>_xll.SNL.Clients.Office.Excel.Functions.SPG(I496, "SP_PARENT_COUNTRY")</f>
        <v/>
      </c>
      <c r="S496" s="12" t="str">
        <f>_xll.SNL.Clients.Office.Excel.Functions.SPG(I496, "SP_COUNTRY_NAME")</f>
        <v>China</v>
      </c>
    </row>
    <row r="497" spans="1:19" x14ac:dyDescent="0.35">
      <c r="A497" s="5">
        <v>46022</v>
      </c>
      <c r="B497" s="4" t="s">
        <v>551</v>
      </c>
      <c r="C497" s="4" t="s">
        <v>552</v>
      </c>
      <c r="D497" s="4" t="s">
        <v>1090</v>
      </c>
      <c r="E497" s="8">
        <v>4223919</v>
      </c>
      <c r="F497" s="7">
        <v>100</v>
      </c>
      <c r="G497" s="12" t="str">
        <f>[1]!SNLData("243327", C497, "OWNER_LIST")</f>
        <v>Vale S.A.  100%</v>
      </c>
      <c r="H497" s="9">
        <f>[1]!SNLData("243327", C497, "OWNER_SNL_INSTN_KEY", "Owner 1")</f>
        <v>4223919</v>
      </c>
      <c r="I497" s="9" t="str">
        <f>[1]!SNLData("243327", C497, "OWNER_SNL_INSTN_KEY", "Owner 2")</f>
        <v>NA</v>
      </c>
      <c r="J497" s="12" t="str">
        <f>_xll.SNL.Clients.Office.Excel.Functions.SPG(H497, "SP_ULT_PARENT_COMPANY_NAME")</f>
        <v/>
      </c>
      <c r="K497" s="12" t="str">
        <f>_xll.SNL.Clients.Office.Excel.Functions.SPG(H497, "SP_ULT_PARENT_COUNTRY")</f>
        <v/>
      </c>
      <c r="L497" s="12" t="str">
        <f>_xll.SNL.Clients.Office.Excel.Functions.SPG(H497, "SP_PARENT_COMPANY_NAME")</f>
        <v/>
      </c>
      <c r="M497" s="12" t="str">
        <f>_xll.SNL.Clients.Office.Excel.Functions.SPG(H497, "SP_PARENT_COUNTRY")</f>
        <v/>
      </c>
      <c r="N497" s="12" t="str">
        <f>_xll.SNL.Clients.Office.Excel.Functions.SPG(H497, "SP_COUNTRY_NAME")</f>
        <v>Brazil</v>
      </c>
      <c r="O497" s="12" t="str">
        <f>_xll.SNL.Clients.Office.Excel.Functions.SPG(I497, "SP_ULT_PARENT_COMPANY_NAME")</f>
        <v/>
      </c>
      <c r="P497" s="12" t="str">
        <f>_xll.SNL.Clients.Office.Excel.Functions.SPG(I497, "SP_ULT_PARENT_COUNTRY")</f>
        <v/>
      </c>
      <c r="Q497" s="12" t="str">
        <f>_xll.SNL.Clients.Office.Excel.Functions.SPG(I497, "SP_PARENT_COMPANY_NAME")</f>
        <v/>
      </c>
      <c r="R497" s="12" t="str">
        <f>_xll.SNL.Clients.Office.Excel.Functions.SPG(I497, "SP_PARENT_COUNTRY")</f>
        <v/>
      </c>
      <c r="S497" s="12" t="str">
        <f>_xll.SNL.Clients.Office.Excel.Functions.SPG(I497, "SP_COUNTRY_NAME")</f>
        <v>China</v>
      </c>
    </row>
    <row r="498" spans="1:19" ht="72.5" x14ac:dyDescent="0.35">
      <c r="A498" s="5">
        <v>46022</v>
      </c>
      <c r="B498" s="4" t="s">
        <v>665</v>
      </c>
      <c r="C498" s="4" t="s">
        <v>666</v>
      </c>
      <c r="D498" s="4" t="s">
        <v>1159</v>
      </c>
      <c r="E498" s="8">
        <v>4361081</v>
      </c>
      <c r="F498" s="7">
        <v>100</v>
      </c>
      <c r="G498" s="12" t="str">
        <f>[1]!SNLData("243327", C498, "OWNER_LIST")</f>
        <v>Heilongjiang Yichun Jinlin Mining Industry C (Venturer) %; Beijing Yuhongxing Investment Co Ltd (Venturer) %; Inner Mongolia Geological Exploration Co Ltd (Venturer) %; Inner Mongolia Weila Situo Mining Industry Co., Ltd.  100%</v>
      </c>
      <c r="H498" s="9">
        <f>[1]!SNLData("243327", C498, "OWNER_SNL_INSTN_KEY", "Owner 1")</f>
        <v>4361081</v>
      </c>
      <c r="I498" s="9">
        <f>[1]!SNLData("243327", C498, "OWNER_SNL_INSTN_KEY", "Owner 2")</f>
        <v>4348524</v>
      </c>
      <c r="J498" s="12" t="str">
        <f>_xll.SNL.Clients.Office.Excel.Functions.SPG(H498, "SP_ULT_PARENT_COMPANY_NAME")</f>
        <v/>
      </c>
      <c r="K498" s="12" t="str">
        <f>_xll.SNL.Clients.Office.Excel.Functions.SPG(H498, "SP_ULT_PARENT_COUNTRY")</f>
        <v/>
      </c>
      <c r="L498" s="12" t="str">
        <f>_xll.SNL.Clients.Office.Excel.Functions.SPG(H498, "SP_PARENT_COMPANY_NAME")</f>
        <v/>
      </c>
      <c r="M498" s="12" t="str">
        <f>_xll.SNL.Clients.Office.Excel.Functions.SPG(H498, "SP_PARENT_COUNTRY")</f>
        <v/>
      </c>
      <c r="N498" s="12" t="str">
        <f>_xll.SNL.Clients.Office.Excel.Functions.SPG(H498, "SP_COUNTRY_NAME")</f>
        <v>China</v>
      </c>
      <c r="O498" s="12" t="str">
        <f>_xll.SNL.Clients.Office.Excel.Functions.SPG(I498, "SP_ULT_PARENT_COMPANY_NAME")</f>
        <v>#INVALID COMPANY ID</v>
      </c>
      <c r="P498" s="12" t="str">
        <f>_xll.SNL.Clients.Office.Excel.Functions.SPG(I498, "SP_ULT_PARENT_COUNTRY")</f>
        <v>#INVALID COMPANY ID</v>
      </c>
      <c r="Q498" s="12" t="str">
        <f>_xll.SNL.Clients.Office.Excel.Functions.SPG(I498, "SP_PARENT_COMPANY_NAME")</f>
        <v>#INVALID COMPANY ID</v>
      </c>
      <c r="R498" s="12" t="str">
        <f>_xll.SNL.Clients.Office.Excel.Functions.SPG(I498, "SP_PARENT_COUNTRY")</f>
        <v>#INVALID COMPANY ID</v>
      </c>
      <c r="S498" s="12" t="str">
        <f>_xll.SNL.Clients.Office.Excel.Functions.SPG(I498, "SP_COUNTRY_NAME")</f>
        <v>#INVALID COMPANY ID</v>
      </c>
    </row>
    <row r="499" spans="1:19" ht="72.5" x14ac:dyDescent="0.35">
      <c r="A499" s="5">
        <v>46022</v>
      </c>
      <c r="B499" s="4" t="s">
        <v>845</v>
      </c>
      <c r="C499" s="4" t="s">
        <v>846</v>
      </c>
      <c r="D499" s="4" t="s">
        <v>1160</v>
      </c>
      <c r="E499" s="8">
        <v>4513816</v>
      </c>
      <c r="F499" s="7">
        <v>100</v>
      </c>
      <c r="G499" s="12" t="str">
        <f>[1]!SNLData("243327", C499, "OWNER_LIST")</f>
        <v>Yunnan Hualian Zinc and Indium Co., Ltd.  100%</v>
      </c>
      <c r="H499" s="9">
        <f>[1]!SNLData("243327", C499, "OWNER_SNL_INSTN_KEY", "Owner 1")</f>
        <v>4513816</v>
      </c>
      <c r="I499" s="9" t="str">
        <f>[1]!SNLData("243327", C499, "OWNER_SNL_INSTN_KEY", "Owner 2")</f>
        <v>NA</v>
      </c>
      <c r="J499" s="12" t="str">
        <f>_xll.SNL.Clients.Office.Excel.Functions.SPG(H499, "SP_ULT_PARENT_COMPANY_NAME")</f>
        <v>State-owned Asset Supervision and Administration Commission of Yunnan Provincial</v>
      </c>
      <c r="K499" s="12" t="str">
        <f>_xll.SNL.Clients.Office.Excel.Functions.SPG(H499, "SP_ULT_PARENT_COUNTRY")</f>
        <v>China</v>
      </c>
      <c r="L499" s="12" t="str">
        <f>_xll.SNL.Clients.Office.Excel.Functions.SPG(H499, "SP_PARENT_COMPANY_NAME")</f>
        <v>Yunnan Tin Company Limited</v>
      </c>
      <c r="M499" s="12" t="str">
        <f>_xll.SNL.Clients.Office.Excel.Functions.SPG(H499, "SP_PARENT_COUNTRY")</f>
        <v>China</v>
      </c>
      <c r="N499" s="12" t="str">
        <f>_xll.SNL.Clients.Office.Excel.Functions.SPG(H499, "SP_COUNTRY_NAME")</f>
        <v>China</v>
      </c>
      <c r="O499" s="12" t="str">
        <f>_xll.SNL.Clients.Office.Excel.Functions.SPG(I499, "SP_ULT_PARENT_COMPANY_NAME")</f>
        <v/>
      </c>
      <c r="P499" s="12" t="str">
        <f>_xll.SNL.Clients.Office.Excel.Functions.SPG(I499, "SP_ULT_PARENT_COUNTRY")</f>
        <v/>
      </c>
      <c r="Q499" s="12" t="str">
        <f>_xll.SNL.Clients.Office.Excel.Functions.SPG(I499, "SP_PARENT_COMPANY_NAME")</f>
        <v/>
      </c>
      <c r="R499" s="12" t="str">
        <f>_xll.SNL.Clients.Office.Excel.Functions.SPG(I499, "SP_PARENT_COUNTRY")</f>
        <v/>
      </c>
      <c r="S499" s="12" t="str">
        <f>_xll.SNL.Clients.Office.Excel.Functions.SPG(I499, "SP_COUNTRY_NAME")</f>
        <v>China</v>
      </c>
    </row>
    <row r="500" spans="1:19" x14ac:dyDescent="0.35">
      <c r="A500" s="5">
        <v>46022</v>
      </c>
      <c r="B500" s="4" t="s">
        <v>553</v>
      </c>
      <c r="C500" s="4" t="s">
        <v>554</v>
      </c>
      <c r="D500" s="4" t="s">
        <v>1077</v>
      </c>
      <c r="E500" s="8">
        <v>4379789</v>
      </c>
      <c r="F500" s="7">
        <v>100</v>
      </c>
      <c r="G500" s="12" t="str">
        <f>[1]!SNLData("243327", C500, "OWNER_LIST")</f>
        <v>Sibanye Stillwater Limited  100%</v>
      </c>
      <c r="H500" s="9">
        <f>[1]!SNLData("243327", C500, "OWNER_SNL_INSTN_KEY", "Owner 1")</f>
        <v>4379789</v>
      </c>
      <c r="I500" s="9" t="str">
        <f>[1]!SNLData("243327", C500, "OWNER_SNL_INSTN_KEY", "Owner 2")</f>
        <v>NA</v>
      </c>
      <c r="J500" s="12" t="str">
        <f>_xll.SNL.Clients.Office.Excel.Functions.SPG(H500, "SP_ULT_PARENT_COMPANY_NAME")</f>
        <v/>
      </c>
      <c r="K500" s="12" t="str">
        <f>_xll.SNL.Clients.Office.Excel.Functions.SPG(H500, "SP_ULT_PARENT_COUNTRY")</f>
        <v/>
      </c>
      <c r="L500" s="12" t="str">
        <f>_xll.SNL.Clients.Office.Excel.Functions.SPG(H500, "SP_PARENT_COMPANY_NAME")</f>
        <v/>
      </c>
      <c r="M500" s="12" t="str">
        <f>_xll.SNL.Clients.Office.Excel.Functions.SPG(H500, "SP_PARENT_COUNTRY")</f>
        <v/>
      </c>
      <c r="N500" s="12" t="str">
        <f>_xll.SNL.Clients.Office.Excel.Functions.SPG(H500, "SP_COUNTRY_NAME")</f>
        <v>South Africa</v>
      </c>
      <c r="O500" s="12" t="str">
        <f>_xll.SNL.Clients.Office.Excel.Functions.SPG(I500, "SP_ULT_PARENT_COMPANY_NAME")</f>
        <v/>
      </c>
      <c r="P500" s="12" t="str">
        <f>_xll.SNL.Clients.Office.Excel.Functions.SPG(I500, "SP_ULT_PARENT_COUNTRY")</f>
        <v/>
      </c>
      <c r="Q500" s="12" t="str">
        <f>_xll.SNL.Clients.Office.Excel.Functions.SPG(I500, "SP_PARENT_COMPANY_NAME")</f>
        <v/>
      </c>
      <c r="R500" s="12" t="str">
        <f>_xll.SNL.Clients.Office.Excel.Functions.SPG(I500, "SP_PARENT_COUNTRY")</f>
        <v/>
      </c>
      <c r="S500" s="12" t="str">
        <f>_xll.SNL.Clients.Office.Excel.Functions.SPG(I500, "SP_COUNTRY_NAME")</f>
        <v>China</v>
      </c>
    </row>
    <row r="501" spans="1:19" ht="43.5" x14ac:dyDescent="0.35">
      <c r="A501" s="5">
        <v>46022</v>
      </c>
      <c r="B501" s="4" t="s">
        <v>534</v>
      </c>
      <c r="C501" s="4" t="s">
        <v>535</v>
      </c>
      <c r="D501" s="4" t="s">
        <v>1161</v>
      </c>
      <c r="E501" s="8">
        <v>4498058</v>
      </c>
      <c r="F501" s="7">
        <v>0.01</v>
      </c>
      <c r="G501" s="12" t="str">
        <f>[1]!SNLData("243327", C501, "OWNER_LIST")</f>
        <v>Posco International Corporation (Venturer) 0.01%; PT Merdeka Copper Gold Tbk (Venturer) 99.99%</v>
      </c>
      <c r="H501" s="9">
        <f>[1]!SNLData("243327", C501, "OWNER_SNL_INSTN_KEY", "Owner 1")</f>
        <v>4602189</v>
      </c>
      <c r="I501" s="9">
        <f>[1]!SNLData("243327", C501, "OWNER_SNL_INSTN_KEY", "Owner 2")</f>
        <v>4498058</v>
      </c>
      <c r="J501" s="12" t="str">
        <f>_xll.SNL.Clients.Office.Excel.Functions.SPG(H501, "SP_ULT_PARENT_COMPANY_NAME")</f>
        <v/>
      </c>
      <c r="K501" s="12" t="str">
        <f>_xll.SNL.Clients.Office.Excel.Functions.SPG(H501, "SP_ULT_PARENT_COUNTRY")</f>
        <v/>
      </c>
      <c r="L501" s="12" t="str">
        <f>_xll.SNL.Clients.Office.Excel.Functions.SPG(H501, "SP_PARENT_COMPANY_NAME")</f>
        <v/>
      </c>
      <c r="M501" s="12" t="str">
        <f>_xll.SNL.Clients.Office.Excel.Functions.SPG(H501, "SP_PARENT_COUNTRY")</f>
        <v/>
      </c>
      <c r="N501" s="12" t="str">
        <f>_xll.SNL.Clients.Office.Excel.Functions.SPG(H501, "SP_COUNTRY_NAME")</f>
        <v>Indonesia</v>
      </c>
      <c r="O501" s="12" t="str">
        <f>_xll.SNL.Clients.Office.Excel.Functions.SPG(I501, "SP_ULT_PARENT_COMPANY_NAME")</f>
        <v>POSCO Holdings Inc.</v>
      </c>
      <c r="P501" s="12" t="str">
        <f>_xll.SNL.Clients.Office.Excel.Functions.SPG(I501, "SP_ULT_PARENT_COUNTRY")</f>
        <v>South Korea</v>
      </c>
      <c r="Q501" s="12" t="str">
        <f>_xll.SNL.Clients.Office.Excel.Functions.SPG(I501, "SP_PARENT_COMPANY_NAME")</f>
        <v>POSCO Holdings Inc.</v>
      </c>
      <c r="R501" s="12" t="str">
        <f>_xll.SNL.Clients.Office.Excel.Functions.SPG(I501, "SP_PARENT_COUNTRY")</f>
        <v>South Korea</v>
      </c>
      <c r="S501" s="12" t="str">
        <f>_xll.SNL.Clients.Office.Excel.Functions.SPG(I501, "SP_COUNTRY_NAME")</f>
        <v>South Korea</v>
      </c>
    </row>
    <row r="502" spans="1:19" ht="43.5" x14ac:dyDescent="0.35">
      <c r="A502" s="5">
        <v>46022</v>
      </c>
      <c r="B502" s="4" t="s">
        <v>534</v>
      </c>
      <c r="C502" s="4" t="s">
        <v>535</v>
      </c>
      <c r="D502" s="4" t="s">
        <v>1162</v>
      </c>
      <c r="E502" s="8">
        <v>4602189</v>
      </c>
      <c r="F502" s="7">
        <v>99.99</v>
      </c>
      <c r="G502" s="12" t="str">
        <f>[1]!SNLData("243327", C502, "OWNER_LIST")</f>
        <v>Posco International Corporation (Venturer) 0.01%; PT Merdeka Copper Gold Tbk (Venturer) 99.99%</v>
      </c>
      <c r="H502" s="9">
        <f>[1]!SNLData("243327", C502, "OWNER_SNL_INSTN_KEY", "Owner 1")</f>
        <v>4602189</v>
      </c>
      <c r="I502" s="9">
        <f>[1]!SNLData("243327", C502, "OWNER_SNL_INSTN_KEY", "Owner 2")</f>
        <v>4498058</v>
      </c>
      <c r="J502" s="12" t="str">
        <f>_xll.SNL.Clients.Office.Excel.Functions.SPG(H502, "SP_ULT_PARENT_COMPANY_NAME")</f>
        <v/>
      </c>
      <c r="K502" s="12" t="str">
        <f>_xll.SNL.Clients.Office.Excel.Functions.SPG(H502, "SP_ULT_PARENT_COUNTRY")</f>
        <v/>
      </c>
      <c r="L502" s="12" t="str">
        <f>_xll.SNL.Clients.Office.Excel.Functions.SPG(H502, "SP_PARENT_COMPANY_NAME")</f>
        <v/>
      </c>
      <c r="M502" s="12" t="str">
        <f>_xll.SNL.Clients.Office.Excel.Functions.SPG(H502, "SP_PARENT_COUNTRY")</f>
        <v/>
      </c>
      <c r="N502" s="12" t="str">
        <f>_xll.SNL.Clients.Office.Excel.Functions.SPG(H502, "SP_COUNTRY_NAME")</f>
        <v>Indonesia</v>
      </c>
      <c r="O502" s="12" t="str">
        <f>_xll.SNL.Clients.Office.Excel.Functions.SPG(I502, "SP_ULT_PARENT_COMPANY_NAME")</f>
        <v>POSCO Holdings Inc.</v>
      </c>
      <c r="P502" s="12" t="str">
        <f>_xll.SNL.Clients.Office.Excel.Functions.SPG(I502, "SP_ULT_PARENT_COUNTRY")</f>
        <v>South Korea</v>
      </c>
      <c r="Q502" s="12" t="str">
        <f>_xll.SNL.Clients.Office.Excel.Functions.SPG(I502, "SP_PARENT_COMPANY_NAME")</f>
        <v>POSCO Holdings Inc.</v>
      </c>
      <c r="R502" s="12" t="str">
        <f>_xll.SNL.Clients.Office.Excel.Functions.SPG(I502, "SP_PARENT_COUNTRY")</f>
        <v>South Korea</v>
      </c>
      <c r="S502" s="12" t="str">
        <f>_xll.SNL.Clients.Office.Excel.Functions.SPG(I502, "SP_COUNTRY_NAME")</f>
        <v>South Korea</v>
      </c>
    </row>
    <row r="503" spans="1:19" ht="29" x14ac:dyDescent="0.35">
      <c r="A503" s="5">
        <v>46022</v>
      </c>
      <c r="B503" s="4" t="s">
        <v>537</v>
      </c>
      <c r="C503" s="4" t="s">
        <v>538</v>
      </c>
      <c r="D503" s="4" t="s">
        <v>1163</v>
      </c>
      <c r="E503" s="8">
        <v>4355196</v>
      </c>
      <c r="F503" s="7">
        <v>100</v>
      </c>
      <c r="G503" s="12" t="str">
        <f>[1]!SNLData("243327", C503, "OWNER_LIST")</f>
        <v>Sky Metals Limited (Fractional) %; Develop Global Limited  100%</v>
      </c>
      <c r="H503" s="9">
        <f>[1]!SNLData("243327", C503, "OWNER_SNL_INSTN_KEY", "Owner 1")</f>
        <v>4355196</v>
      </c>
      <c r="I503" s="9">
        <f>[1]!SNLData("243327", C503, "OWNER_SNL_INSTN_KEY", "Owner 2")</f>
        <v>6356830</v>
      </c>
      <c r="J503" s="12" t="str">
        <f>_xll.SNL.Clients.Office.Excel.Functions.SPG(H503, "SP_ULT_PARENT_COMPANY_NAME")</f>
        <v/>
      </c>
      <c r="K503" s="12" t="str">
        <f>_xll.SNL.Clients.Office.Excel.Functions.SPG(H503, "SP_ULT_PARENT_COUNTRY")</f>
        <v/>
      </c>
      <c r="L503" s="12" t="str">
        <f>_xll.SNL.Clients.Office.Excel.Functions.SPG(H503, "SP_PARENT_COMPANY_NAME")</f>
        <v/>
      </c>
      <c r="M503" s="12" t="str">
        <f>_xll.SNL.Clients.Office.Excel.Functions.SPG(H503, "SP_PARENT_COUNTRY")</f>
        <v/>
      </c>
      <c r="N503" s="12" t="str">
        <f>_xll.SNL.Clients.Office.Excel.Functions.SPG(H503, "SP_COUNTRY_NAME")</f>
        <v>Australia</v>
      </c>
      <c r="O503" s="12" t="str">
        <f>_xll.SNL.Clients.Office.Excel.Functions.SPG(I503, "SP_ULT_PARENT_COMPANY_NAME")</f>
        <v/>
      </c>
      <c r="P503" s="12" t="str">
        <f>_xll.SNL.Clients.Office.Excel.Functions.SPG(I503, "SP_ULT_PARENT_COUNTRY")</f>
        <v/>
      </c>
      <c r="Q503" s="12" t="str">
        <f>_xll.SNL.Clients.Office.Excel.Functions.SPG(I503, "SP_PARENT_COMPANY_NAME")</f>
        <v/>
      </c>
      <c r="R503" s="12" t="str">
        <f>_xll.SNL.Clients.Office.Excel.Functions.SPG(I503, "SP_PARENT_COUNTRY")</f>
        <v/>
      </c>
      <c r="S503" s="12" t="str">
        <f>_xll.SNL.Clients.Office.Excel.Functions.SPG(I503, "SP_COUNTRY_NAME")</f>
        <v>Australia</v>
      </c>
    </row>
    <row r="504" spans="1:19" ht="72.5" x14ac:dyDescent="0.35">
      <c r="A504" s="5">
        <v>46022</v>
      </c>
      <c r="B504" s="4" t="s">
        <v>555</v>
      </c>
      <c r="C504" s="4" t="s">
        <v>556</v>
      </c>
      <c r="D504" s="4" t="s">
        <v>1164</v>
      </c>
      <c r="E504" s="8">
        <v>4349151</v>
      </c>
      <c r="F504" s="7">
        <v>10</v>
      </c>
      <c r="G504" s="12" t="str">
        <f>[1]!SNLData("243327", C504, "OWNER_LIST")</f>
        <v>China National Gold Group Co., Ltd (Venturer) 10%; Zhongjin Gold Corp.,Ltd (Venturer) 90%</v>
      </c>
      <c r="H504" s="9">
        <f>[1]!SNLData("243327", C504, "OWNER_SNL_INSTN_KEY", "Owner 1")</f>
        <v>4355632</v>
      </c>
      <c r="I504" s="9">
        <f>[1]!SNLData("243327", C504, "OWNER_SNL_INSTN_KEY", "Owner 2")</f>
        <v>4349151</v>
      </c>
      <c r="J504" s="12" t="str">
        <f>_xll.SNL.Clients.Office.Excel.Functions.SPG(H504, "SP_ULT_PARENT_COMPANY_NAME")</f>
        <v>State-owned Assets Supervision and Administration Commission of the State Counci</v>
      </c>
      <c r="K504" s="12" t="str">
        <f>_xll.SNL.Clients.Office.Excel.Functions.SPG(H504, "SP_ULT_PARENT_COUNTRY")</f>
        <v>China</v>
      </c>
      <c r="L504" s="12" t="str">
        <f>_xll.SNL.Clients.Office.Excel.Functions.SPG(H504, "SP_PARENT_COMPANY_NAME")</f>
        <v>China National Gold Group Co., Ltd</v>
      </c>
      <c r="M504" s="12" t="str">
        <f>_xll.SNL.Clients.Office.Excel.Functions.SPG(H504, "SP_PARENT_COUNTRY")</f>
        <v>China</v>
      </c>
      <c r="N504" s="12" t="str">
        <f>_xll.SNL.Clients.Office.Excel.Functions.SPG(H504, "SP_COUNTRY_NAME")</f>
        <v>China</v>
      </c>
      <c r="O504" s="12" t="str">
        <f>_xll.SNL.Clients.Office.Excel.Functions.SPG(I504, "SP_ULT_PARENT_COMPANY_NAME")</f>
        <v>State-owned Assets Supervision and Administration Commission of the State Counci</v>
      </c>
      <c r="P504" s="12" t="str">
        <f>_xll.SNL.Clients.Office.Excel.Functions.SPG(I504, "SP_ULT_PARENT_COUNTRY")</f>
        <v>China</v>
      </c>
      <c r="Q504" s="12" t="str">
        <f>_xll.SNL.Clients.Office.Excel.Functions.SPG(I504, "SP_PARENT_COMPANY_NAME")</f>
        <v>State-owned Assets Supervision and Administration Commission of the State Counci</v>
      </c>
      <c r="R504" s="12" t="str">
        <f>_xll.SNL.Clients.Office.Excel.Functions.SPG(I504, "SP_PARENT_COUNTRY")</f>
        <v>China</v>
      </c>
      <c r="S504" s="12" t="str">
        <f>_xll.SNL.Clients.Office.Excel.Functions.SPG(I504, "SP_COUNTRY_NAME")</f>
        <v>China</v>
      </c>
    </row>
    <row r="505" spans="1:19" ht="72.5" x14ac:dyDescent="0.35">
      <c r="A505" s="5">
        <v>46022</v>
      </c>
      <c r="B505" s="4" t="s">
        <v>555</v>
      </c>
      <c r="C505" s="4" t="s">
        <v>556</v>
      </c>
      <c r="D505" s="4" t="s">
        <v>1056</v>
      </c>
      <c r="E505" s="8">
        <v>4355632</v>
      </c>
      <c r="F505" s="7">
        <v>90</v>
      </c>
      <c r="G505" s="12" t="str">
        <f>[1]!SNLData("243327", C505, "OWNER_LIST")</f>
        <v>China National Gold Group Co., Ltd (Venturer) 10%; Zhongjin Gold Corp.,Ltd (Venturer) 90%</v>
      </c>
      <c r="H505" s="9">
        <f>[1]!SNLData("243327", C505, "OWNER_SNL_INSTN_KEY", "Owner 1")</f>
        <v>4355632</v>
      </c>
      <c r="I505" s="9">
        <f>[1]!SNLData("243327", C505, "OWNER_SNL_INSTN_KEY", "Owner 2")</f>
        <v>4349151</v>
      </c>
      <c r="J505" s="12" t="str">
        <f>_xll.SNL.Clients.Office.Excel.Functions.SPG(H505, "SP_ULT_PARENT_COMPANY_NAME")</f>
        <v>State-owned Assets Supervision and Administration Commission of the State Counci</v>
      </c>
      <c r="K505" s="12" t="str">
        <f>_xll.SNL.Clients.Office.Excel.Functions.SPG(H505, "SP_ULT_PARENT_COUNTRY")</f>
        <v>China</v>
      </c>
      <c r="L505" s="12" t="str">
        <f>_xll.SNL.Clients.Office.Excel.Functions.SPG(H505, "SP_PARENT_COMPANY_NAME")</f>
        <v>China National Gold Group Co., Ltd</v>
      </c>
      <c r="M505" s="12" t="str">
        <f>_xll.SNL.Clients.Office.Excel.Functions.SPG(H505, "SP_PARENT_COUNTRY")</f>
        <v>China</v>
      </c>
      <c r="N505" s="12" t="str">
        <f>_xll.SNL.Clients.Office.Excel.Functions.SPG(H505, "SP_COUNTRY_NAME")</f>
        <v>China</v>
      </c>
      <c r="O505" s="12" t="str">
        <f>_xll.SNL.Clients.Office.Excel.Functions.SPG(I505, "SP_ULT_PARENT_COMPANY_NAME")</f>
        <v>State-owned Assets Supervision and Administration Commission of the State Counci</v>
      </c>
      <c r="P505" s="12" t="str">
        <f>_xll.SNL.Clients.Office.Excel.Functions.SPG(I505, "SP_ULT_PARENT_COUNTRY")</f>
        <v>China</v>
      </c>
      <c r="Q505" s="12" t="str">
        <f>_xll.SNL.Clients.Office.Excel.Functions.SPG(I505, "SP_PARENT_COMPANY_NAME")</f>
        <v>State-owned Assets Supervision and Administration Commission of the State Counci</v>
      </c>
      <c r="R505" s="12" t="str">
        <f>_xll.SNL.Clients.Office.Excel.Functions.SPG(I505, "SP_PARENT_COUNTRY")</f>
        <v>China</v>
      </c>
      <c r="S505" s="12" t="str">
        <f>_xll.SNL.Clients.Office.Excel.Functions.SPG(I505, "SP_COUNTRY_NAME")</f>
        <v>China</v>
      </c>
    </row>
    <row r="506" spans="1:19" ht="72.5" x14ac:dyDescent="0.35">
      <c r="A506" s="5">
        <v>46022</v>
      </c>
      <c r="B506" s="4" t="s">
        <v>847</v>
      </c>
      <c r="C506" s="4" t="s">
        <v>848</v>
      </c>
      <c r="D506" s="4" t="s">
        <v>1004</v>
      </c>
      <c r="E506" s="8">
        <v>4351423</v>
      </c>
      <c r="F506" s="7">
        <v>100</v>
      </c>
      <c r="G506" s="12" t="str">
        <f>[1]!SNLData("243327", C506, "OWNER_LIST")</f>
        <v>Jiangxi Copper Company Limited  100%</v>
      </c>
      <c r="H506" s="9">
        <f>[1]!SNLData("243327", C506, "OWNER_SNL_INSTN_KEY", "Owner 1")</f>
        <v>4351423</v>
      </c>
      <c r="I506" s="9" t="str">
        <f>[1]!SNLData("243327", C506, "OWNER_SNL_INSTN_KEY", "Owner 2")</f>
        <v>NA</v>
      </c>
      <c r="J506" s="12" t="str">
        <f>_xll.SNL.Clients.Office.Excel.Functions.SPG(H506, "SP_ULT_PARENT_COMPANY_NAME")</f>
        <v>State-owned Assets Supervision and Administration Commission of Jiangxi Province</v>
      </c>
      <c r="K506" s="12" t="str">
        <f>_xll.SNL.Clients.Office.Excel.Functions.SPG(H506, "SP_ULT_PARENT_COUNTRY")</f>
        <v>China</v>
      </c>
      <c r="L506" s="12" t="str">
        <f>_xll.SNL.Clients.Office.Excel.Functions.SPG(H506, "SP_PARENT_COMPANY_NAME")</f>
        <v>Jiangxi Copper Corporation Limited</v>
      </c>
      <c r="M506" s="12" t="str">
        <f>_xll.SNL.Clients.Office.Excel.Functions.SPG(H506, "SP_PARENT_COUNTRY")</f>
        <v>China</v>
      </c>
      <c r="N506" s="12" t="str">
        <f>_xll.SNL.Clients.Office.Excel.Functions.SPG(H506, "SP_COUNTRY_NAME")</f>
        <v>China</v>
      </c>
      <c r="O506" s="12" t="str">
        <f>_xll.SNL.Clients.Office.Excel.Functions.SPG(I506, "SP_ULT_PARENT_COMPANY_NAME")</f>
        <v/>
      </c>
      <c r="P506" s="12" t="str">
        <f>_xll.SNL.Clients.Office.Excel.Functions.SPG(I506, "SP_ULT_PARENT_COUNTRY")</f>
        <v/>
      </c>
      <c r="Q506" s="12" t="str">
        <f>_xll.SNL.Clients.Office.Excel.Functions.SPG(I506, "SP_PARENT_COMPANY_NAME")</f>
        <v/>
      </c>
      <c r="R506" s="12" t="str">
        <f>_xll.SNL.Clients.Office.Excel.Functions.SPG(I506, "SP_PARENT_COUNTRY")</f>
        <v/>
      </c>
      <c r="S506" s="12" t="str">
        <f>_xll.SNL.Clients.Office.Excel.Functions.SPG(I506, "SP_COUNTRY_NAME")</f>
        <v>China</v>
      </c>
    </row>
    <row r="507" spans="1:19" ht="29" x14ac:dyDescent="0.35">
      <c r="A507" s="5">
        <v>46022</v>
      </c>
      <c r="B507" s="4" t="s">
        <v>557</v>
      </c>
      <c r="C507" s="4" t="s">
        <v>558</v>
      </c>
      <c r="D507" s="4" t="s">
        <v>1165</v>
      </c>
      <c r="E507" s="8">
        <v>10931162</v>
      </c>
      <c r="F507" s="7">
        <v>100</v>
      </c>
      <c r="G507" s="12" t="str">
        <f>[1]!SNLData("243327", C507, "OWNER_LIST")</f>
        <v>Wengniute Banner Wutonghua Copper Mine Houshan Mining  100%</v>
      </c>
      <c r="H507" s="9">
        <f>[1]!SNLData("243327", C507, "OWNER_SNL_INSTN_KEY", "Owner 1")</f>
        <v>10931162</v>
      </c>
      <c r="I507" s="9" t="str">
        <f>[1]!SNLData("243327", C507, "OWNER_SNL_INSTN_KEY", "Owner 2")</f>
        <v>NA</v>
      </c>
      <c r="J507" s="12" t="str">
        <f>_xll.SNL.Clients.Office.Excel.Functions.SPG(H507, "SP_ULT_PARENT_COMPANY_NAME")</f>
        <v/>
      </c>
      <c r="K507" s="12" t="str">
        <f>_xll.SNL.Clients.Office.Excel.Functions.SPG(H507, "SP_ULT_PARENT_COUNTRY")</f>
        <v/>
      </c>
      <c r="L507" s="12" t="str">
        <f>_xll.SNL.Clients.Office.Excel.Functions.SPG(H507, "SP_PARENT_COMPANY_NAME")</f>
        <v/>
      </c>
      <c r="M507" s="12" t="str">
        <f>_xll.SNL.Clients.Office.Excel.Functions.SPG(H507, "SP_PARENT_COUNTRY")</f>
        <v/>
      </c>
      <c r="N507" s="12" t="str">
        <f>_xll.SNL.Clients.Office.Excel.Functions.SPG(H507, "SP_COUNTRY_NAME")</f>
        <v>China</v>
      </c>
      <c r="O507" s="12" t="str">
        <f>_xll.SNL.Clients.Office.Excel.Functions.SPG(I507, "SP_ULT_PARENT_COMPANY_NAME")</f>
        <v/>
      </c>
      <c r="P507" s="12" t="str">
        <f>_xll.SNL.Clients.Office.Excel.Functions.SPG(I507, "SP_ULT_PARENT_COUNTRY")</f>
        <v/>
      </c>
      <c r="Q507" s="12" t="str">
        <f>_xll.SNL.Clients.Office.Excel.Functions.SPG(I507, "SP_PARENT_COMPANY_NAME")</f>
        <v/>
      </c>
      <c r="R507" s="12" t="str">
        <f>_xll.SNL.Clients.Office.Excel.Functions.SPG(I507, "SP_PARENT_COUNTRY")</f>
        <v/>
      </c>
      <c r="S507" s="12" t="str">
        <f>_xll.SNL.Clients.Office.Excel.Functions.SPG(I507, "SP_COUNTRY_NAME")</f>
        <v>China</v>
      </c>
    </row>
    <row r="508" spans="1:19" x14ac:dyDescent="0.35">
      <c r="A508" s="5">
        <v>46022</v>
      </c>
      <c r="B508" s="4" t="s">
        <v>563</v>
      </c>
      <c r="C508" s="4" t="s">
        <v>564</v>
      </c>
      <c r="D508" s="4" t="s">
        <v>962</v>
      </c>
      <c r="E508" s="8">
        <v>4353456</v>
      </c>
      <c r="F508" s="7">
        <v>100</v>
      </c>
      <c r="G508" s="12" t="str">
        <f>[1]!SNLData("243327", C508, "OWNER_LIST")</f>
        <v>Private Interest  100%</v>
      </c>
      <c r="H508" s="9">
        <f>[1]!SNLData("243327", C508, "OWNER_SNL_INSTN_KEY", "Owner 1")</f>
        <v>4353456</v>
      </c>
      <c r="I508" s="9" t="str">
        <f>[1]!SNLData("243327", C508, "OWNER_SNL_INSTN_KEY", "Owner 2")</f>
        <v>NA</v>
      </c>
      <c r="J508" s="12" t="str">
        <f>_xll.SNL.Clients.Office.Excel.Functions.SPG(H508, "SP_ULT_PARENT_COMPANY_NAME")</f>
        <v/>
      </c>
      <c r="K508" s="12" t="str">
        <f>_xll.SNL.Clients.Office.Excel.Functions.SPG(H508, "SP_ULT_PARENT_COUNTRY")</f>
        <v/>
      </c>
      <c r="L508" s="12" t="str">
        <f>_xll.SNL.Clients.Office.Excel.Functions.SPG(H508, "SP_PARENT_COMPANY_NAME")</f>
        <v/>
      </c>
      <c r="M508" s="12" t="str">
        <f>_xll.SNL.Clients.Office.Excel.Functions.SPG(H508, "SP_PARENT_COUNTRY")</f>
        <v/>
      </c>
      <c r="N508" s="12" t="str">
        <f>_xll.SNL.Clients.Office.Excel.Functions.SPG(H508, "SP_COUNTRY_NAME")</f>
        <v>China</v>
      </c>
      <c r="O508" s="12" t="str">
        <f>_xll.SNL.Clients.Office.Excel.Functions.SPG(I508, "SP_ULT_PARENT_COMPANY_NAME")</f>
        <v/>
      </c>
      <c r="P508" s="12" t="str">
        <f>_xll.SNL.Clients.Office.Excel.Functions.SPG(I508, "SP_ULT_PARENT_COUNTRY")</f>
        <v/>
      </c>
      <c r="Q508" s="12" t="str">
        <f>_xll.SNL.Clients.Office.Excel.Functions.SPG(I508, "SP_PARENT_COMPANY_NAME")</f>
        <v/>
      </c>
      <c r="R508" s="12" t="str">
        <f>_xll.SNL.Clients.Office.Excel.Functions.SPG(I508, "SP_PARENT_COUNTRY")</f>
        <v/>
      </c>
      <c r="S508" s="12" t="str">
        <f>_xll.SNL.Clients.Office.Excel.Functions.SPG(I508, "SP_COUNTRY_NAME")</f>
        <v>China</v>
      </c>
    </row>
    <row r="509" spans="1:19" x14ac:dyDescent="0.35">
      <c r="A509" s="5">
        <v>46022</v>
      </c>
      <c r="B509" s="4" t="s">
        <v>849</v>
      </c>
      <c r="C509" s="4" t="s">
        <v>850</v>
      </c>
      <c r="D509" s="4" t="s">
        <v>1166</v>
      </c>
      <c r="E509" s="8">
        <v>9267495</v>
      </c>
      <c r="F509" s="7">
        <v>100</v>
      </c>
      <c r="G509" s="12" t="str">
        <f>[1]!SNLData("243327", C509, "OWNER_LIST")</f>
        <v>Chengde Shuoda Mining Co., Ltd.  100%</v>
      </c>
      <c r="H509" s="9">
        <f>[1]!SNLData("243327", C509, "OWNER_SNL_INSTN_KEY", "Owner 1")</f>
        <v>9267495</v>
      </c>
      <c r="I509" s="9" t="str">
        <f>[1]!SNLData("243327", C509, "OWNER_SNL_INSTN_KEY", "Owner 2")</f>
        <v>NA</v>
      </c>
      <c r="J509" s="12" t="str">
        <f>_xll.SNL.Clients.Office.Excel.Functions.SPG(H509, "SP_ULT_PARENT_COMPANY_NAME")</f>
        <v/>
      </c>
      <c r="K509" s="12" t="str">
        <f>_xll.SNL.Clients.Office.Excel.Functions.SPG(H509, "SP_ULT_PARENT_COUNTRY")</f>
        <v/>
      </c>
      <c r="L509" s="12" t="str">
        <f>_xll.SNL.Clients.Office.Excel.Functions.SPG(H509, "SP_PARENT_COMPANY_NAME")</f>
        <v/>
      </c>
      <c r="M509" s="12" t="str">
        <f>_xll.SNL.Clients.Office.Excel.Functions.SPG(H509, "SP_PARENT_COUNTRY")</f>
        <v/>
      </c>
      <c r="N509" s="12" t="str">
        <f>_xll.SNL.Clients.Office.Excel.Functions.SPG(H509, "SP_COUNTRY_NAME")</f>
        <v>China</v>
      </c>
      <c r="O509" s="12" t="str">
        <f>_xll.SNL.Clients.Office.Excel.Functions.SPG(I509, "SP_ULT_PARENT_COMPANY_NAME")</f>
        <v/>
      </c>
      <c r="P509" s="12" t="str">
        <f>_xll.SNL.Clients.Office.Excel.Functions.SPG(I509, "SP_ULT_PARENT_COUNTRY")</f>
        <v/>
      </c>
      <c r="Q509" s="12" t="str">
        <f>_xll.SNL.Clients.Office.Excel.Functions.SPG(I509, "SP_PARENT_COMPANY_NAME")</f>
        <v/>
      </c>
      <c r="R509" s="12" t="str">
        <f>_xll.SNL.Clients.Office.Excel.Functions.SPG(I509, "SP_PARENT_COUNTRY")</f>
        <v/>
      </c>
      <c r="S509" s="12" t="str">
        <f>_xll.SNL.Clients.Office.Excel.Functions.SPG(I509, "SP_COUNTRY_NAME")</f>
        <v>China</v>
      </c>
    </row>
    <row r="510" spans="1:19" ht="72.5" x14ac:dyDescent="0.35">
      <c r="A510" s="5">
        <v>46022</v>
      </c>
      <c r="B510" s="4" t="s">
        <v>667</v>
      </c>
      <c r="C510" s="4" t="s">
        <v>668</v>
      </c>
      <c r="D510" s="4" t="s">
        <v>1036</v>
      </c>
      <c r="E510" s="8">
        <v>4349131</v>
      </c>
      <c r="F510" s="7">
        <v>55</v>
      </c>
      <c r="G510" s="12" t="str">
        <f>[1]!SNLData("243327", C510, "OWNER_LIST")</f>
        <v>Unnamed Owner (Fractional) %; China Daye Non-Ferrous Metals Mining Limited (Venturer) 55%</v>
      </c>
      <c r="H510" s="9">
        <f>[1]!SNLData("243327", C510, "OWNER_SNL_INSTN_KEY", "Owner 1")</f>
        <v>4349131</v>
      </c>
      <c r="I510" s="9">
        <f>[1]!SNLData("243327", C510, "OWNER_SNL_INSTN_KEY", "Owner 2")</f>
        <v>4400798</v>
      </c>
      <c r="J510" s="12" t="str">
        <f>_xll.SNL.Clients.Office.Excel.Functions.SPG(H510, "SP_ULT_PARENT_COMPANY_NAME")</f>
        <v>State-owned Assets Supervision and Administration Commission of the State Counci</v>
      </c>
      <c r="K510" s="12" t="str">
        <f>_xll.SNL.Clients.Office.Excel.Functions.SPG(H510, "SP_ULT_PARENT_COUNTRY")</f>
        <v>China</v>
      </c>
      <c r="L510" s="12" t="str">
        <f>_xll.SNL.Clients.Office.Excel.Functions.SPG(H510, "SP_PARENT_COMPANY_NAME")</f>
        <v>Daye Nonferrous Metals Group Holdings Co., Ltd.</v>
      </c>
      <c r="M510" s="12" t="str">
        <f>_xll.SNL.Clients.Office.Excel.Functions.SPG(H510, "SP_PARENT_COUNTRY")</f>
        <v>China</v>
      </c>
      <c r="N510" s="12" t="str">
        <f>_xll.SNL.Clients.Office.Excel.Functions.SPG(H510, "SP_COUNTRY_NAME")</f>
        <v>Hong Kong</v>
      </c>
      <c r="O510" s="12" t="str">
        <f>_xll.SNL.Clients.Office.Excel.Functions.SPG(I510, "SP_ULT_PARENT_COMPANY_NAME")</f>
        <v/>
      </c>
      <c r="P510" s="12" t="str">
        <f>_xll.SNL.Clients.Office.Excel.Functions.SPG(I510, "SP_ULT_PARENT_COUNTRY")</f>
        <v/>
      </c>
      <c r="Q510" s="12" t="str">
        <f>_xll.SNL.Clients.Office.Excel.Functions.SPG(I510, "SP_PARENT_COMPANY_NAME")</f>
        <v/>
      </c>
      <c r="R510" s="12" t="str">
        <f>_xll.SNL.Clients.Office.Excel.Functions.SPG(I510, "SP_PARENT_COUNTRY")</f>
        <v/>
      </c>
      <c r="S510" s="12" t="str">
        <f>_xll.SNL.Clients.Office.Excel.Functions.SPG(I510, "SP_COUNTRY_NAME")</f>
        <v>USA</v>
      </c>
    </row>
    <row r="511" spans="1:19" ht="29" x14ac:dyDescent="0.35">
      <c r="A511" s="5">
        <v>46022</v>
      </c>
      <c r="B511" s="4" t="s">
        <v>851</v>
      </c>
      <c r="C511" s="4" t="s">
        <v>852</v>
      </c>
      <c r="D511" s="4" t="s">
        <v>1167</v>
      </c>
      <c r="E511" s="8">
        <v>7132181</v>
      </c>
      <c r="F511" s="7">
        <v>100</v>
      </c>
      <c r="G511" s="12" t="str">
        <f>[1]!SNLData("243327", C511, "OWNER_LIST")</f>
        <v>Tongling Chemical Industry Group Co.,Ltd.  100%</v>
      </c>
      <c r="H511" s="9">
        <f>[1]!SNLData("243327", C511, "OWNER_SNL_INSTN_KEY", "Owner 1")</f>
        <v>7132181</v>
      </c>
      <c r="I511" s="9" t="str">
        <f>[1]!SNLData("243327", C511, "OWNER_SNL_INSTN_KEY", "Owner 2")</f>
        <v>NA</v>
      </c>
      <c r="J511" s="12" t="str">
        <f>_xll.SNL.Clients.Office.Excel.Functions.SPG(H511, "SP_ULT_PARENT_COMPANY_NAME")</f>
        <v/>
      </c>
      <c r="K511" s="12" t="str">
        <f>_xll.SNL.Clients.Office.Excel.Functions.SPG(H511, "SP_ULT_PARENT_COUNTRY")</f>
        <v/>
      </c>
      <c r="L511" s="12" t="str">
        <f>_xll.SNL.Clients.Office.Excel.Functions.SPG(H511, "SP_PARENT_COMPANY_NAME")</f>
        <v/>
      </c>
      <c r="M511" s="12" t="str">
        <f>_xll.SNL.Clients.Office.Excel.Functions.SPG(H511, "SP_PARENT_COUNTRY")</f>
        <v/>
      </c>
      <c r="N511" s="12" t="str">
        <f>_xll.SNL.Clients.Office.Excel.Functions.SPG(H511, "SP_COUNTRY_NAME")</f>
        <v>China</v>
      </c>
      <c r="O511" s="12" t="str">
        <f>_xll.SNL.Clients.Office.Excel.Functions.SPG(I511, "SP_ULT_PARENT_COMPANY_NAME")</f>
        <v/>
      </c>
      <c r="P511" s="12" t="str">
        <f>_xll.SNL.Clients.Office.Excel.Functions.SPG(I511, "SP_ULT_PARENT_COUNTRY")</f>
        <v/>
      </c>
      <c r="Q511" s="12" t="str">
        <f>_xll.SNL.Clients.Office.Excel.Functions.SPG(I511, "SP_PARENT_COMPANY_NAME")</f>
        <v/>
      </c>
      <c r="R511" s="12" t="str">
        <f>_xll.SNL.Clients.Office.Excel.Functions.SPG(I511, "SP_PARENT_COUNTRY")</f>
        <v/>
      </c>
      <c r="S511" s="12" t="str">
        <f>_xll.SNL.Clients.Office.Excel.Functions.SPG(I511, "SP_COUNTRY_NAME")</f>
        <v>China</v>
      </c>
    </row>
    <row r="512" spans="1:19" ht="29" x14ac:dyDescent="0.35">
      <c r="A512" s="5">
        <v>46022</v>
      </c>
      <c r="B512" s="4" t="s">
        <v>565</v>
      </c>
      <c r="C512" s="4" t="s">
        <v>566</v>
      </c>
      <c r="D512" s="4" t="s">
        <v>1168</v>
      </c>
      <c r="E512" s="8">
        <v>4355279</v>
      </c>
      <c r="F512" s="7">
        <v>100</v>
      </c>
      <c r="G512" s="12" t="str">
        <f>[1]!SNLData("243327", C512, "OWNER_LIST")</f>
        <v>Wanguo Gold Group Limited  100%; Anhui Bureau of Geology and Mineral Explo  %</v>
      </c>
      <c r="H512" s="9">
        <f>[1]!SNLData("243327", C512, "OWNER_SNL_INSTN_KEY", "Owner 1")</f>
        <v>4355279</v>
      </c>
      <c r="I512" s="9">
        <f>[1]!SNLData("243327", C512, "OWNER_SNL_INSTN_KEY", "Owner 2")</f>
        <v>4348797</v>
      </c>
      <c r="J512" s="12" t="str">
        <f>_xll.SNL.Clients.Office.Excel.Functions.SPG(H512, "SP_ULT_PARENT_COMPANY_NAME")</f>
        <v/>
      </c>
      <c r="K512" s="12" t="str">
        <f>_xll.SNL.Clients.Office.Excel.Functions.SPG(H512, "SP_ULT_PARENT_COUNTRY")</f>
        <v/>
      </c>
      <c r="L512" s="12" t="str">
        <f>_xll.SNL.Clients.Office.Excel.Functions.SPG(H512, "SP_PARENT_COMPANY_NAME")</f>
        <v/>
      </c>
      <c r="M512" s="12" t="str">
        <f>_xll.SNL.Clients.Office.Excel.Functions.SPG(H512, "SP_PARENT_COUNTRY")</f>
        <v/>
      </c>
      <c r="N512" s="12" t="str">
        <f>_xll.SNL.Clients.Office.Excel.Functions.SPG(H512, "SP_COUNTRY_NAME")</f>
        <v>China</v>
      </c>
      <c r="O512" s="12" t="str">
        <f>_xll.SNL.Clients.Office.Excel.Functions.SPG(I512, "SP_ULT_PARENT_COMPANY_NAME")</f>
        <v/>
      </c>
      <c r="P512" s="12" t="str">
        <f>_xll.SNL.Clients.Office.Excel.Functions.SPG(I512, "SP_ULT_PARENT_COUNTRY")</f>
        <v/>
      </c>
      <c r="Q512" s="12" t="str">
        <f>_xll.SNL.Clients.Office.Excel.Functions.SPG(I512, "SP_PARENT_COMPANY_NAME")</f>
        <v/>
      </c>
      <c r="R512" s="12" t="str">
        <f>_xll.SNL.Clients.Office.Excel.Functions.SPG(I512, "SP_PARENT_COUNTRY")</f>
        <v/>
      </c>
      <c r="S512" s="12" t="str">
        <f>_xll.SNL.Clients.Office.Excel.Functions.SPG(I512, "SP_COUNTRY_NAME")</f>
        <v>China</v>
      </c>
    </row>
    <row r="513" spans="1:19" ht="72.5" x14ac:dyDescent="0.35">
      <c r="A513" s="5">
        <v>46022</v>
      </c>
      <c r="B513" s="4" t="s">
        <v>539</v>
      </c>
      <c r="C513" s="4" t="s">
        <v>540</v>
      </c>
      <c r="D513" s="4" t="s">
        <v>1122</v>
      </c>
      <c r="E513" s="8">
        <v>4349747</v>
      </c>
      <c r="F513" s="7">
        <v>8.33</v>
      </c>
      <c r="G513" s="12" t="str">
        <f>[1]!SNLData("243327", C513, "OWNER_LIST")</f>
        <v>Yunnan Chuxiong Mining &amp; Metallurgy Co., Ltd. (Venturer) 16.67%; Diqing Development and Investment Co Ltd (Venturer) 8.33%; Yunnan Copper Co.,Ltd (Venturer) 75%</v>
      </c>
      <c r="H513" s="9">
        <f>[1]!SNLData("243327", C513, "OWNER_SNL_INSTN_KEY", "Owner 1")</f>
        <v>4355551</v>
      </c>
      <c r="I513" s="9">
        <f>[1]!SNLData("243327", C513, "OWNER_SNL_INSTN_KEY", "Owner 2")</f>
        <v>4589586</v>
      </c>
      <c r="J513" s="12" t="str">
        <f>_xll.SNL.Clients.Office.Excel.Functions.SPG(H513, "SP_ULT_PARENT_COMPANY_NAME")</f>
        <v>State-owned Assets Supervision and Administration Commission of the State Counci</v>
      </c>
      <c r="K513" s="12" t="str">
        <f>_xll.SNL.Clients.Office.Excel.Functions.SPG(H513, "SP_ULT_PARENT_COUNTRY")</f>
        <v>China</v>
      </c>
      <c r="L513" s="12" t="str">
        <f>_xll.SNL.Clients.Office.Excel.Functions.SPG(H513, "SP_PARENT_COMPANY_NAME")</f>
        <v>Yunnan Copper Industry (Group) Co., Ltd.</v>
      </c>
      <c r="M513" s="12" t="str">
        <f>_xll.SNL.Clients.Office.Excel.Functions.SPG(H513, "SP_PARENT_COUNTRY")</f>
        <v>China</v>
      </c>
      <c r="N513" s="12" t="str">
        <f>_xll.SNL.Clients.Office.Excel.Functions.SPG(H513, "SP_COUNTRY_NAME")</f>
        <v>China</v>
      </c>
      <c r="O513" s="12" t="str">
        <f>_xll.SNL.Clients.Office.Excel.Functions.SPG(I513, "SP_ULT_PARENT_COMPANY_NAME")</f>
        <v>State-owned Assets Supervision and Administration Commission of the State Counci</v>
      </c>
      <c r="P513" s="12" t="str">
        <f>_xll.SNL.Clients.Office.Excel.Functions.SPG(I513, "SP_ULT_PARENT_COUNTRY")</f>
        <v>China</v>
      </c>
      <c r="Q513" s="12" t="str">
        <f>_xll.SNL.Clients.Office.Excel.Functions.SPG(I513, "SP_PARENT_COMPANY_NAME")</f>
        <v>Yunnan Copper Co.,Ltd</v>
      </c>
      <c r="R513" s="12" t="str">
        <f>_xll.SNL.Clients.Office.Excel.Functions.SPG(I513, "SP_PARENT_COUNTRY")</f>
        <v>China</v>
      </c>
      <c r="S513" s="12" t="str">
        <f>_xll.SNL.Clients.Office.Excel.Functions.SPG(I513, "SP_COUNTRY_NAME")</f>
        <v>China</v>
      </c>
    </row>
    <row r="514" spans="1:19" ht="72.5" x14ac:dyDescent="0.35">
      <c r="A514" s="5">
        <v>46022</v>
      </c>
      <c r="B514" s="4" t="s">
        <v>539</v>
      </c>
      <c r="C514" s="4" t="s">
        <v>540</v>
      </c>
      <c r="D514" s="4" t="s">
        <v>1014</v>
      </c>
      <c r="E514" s="8">
        <v>4355551</v>
      </c>
      <c r="F514" s="7">
        <v>75</v>
      </c>
      <c r="G514" s="12" t="str">
        <f>[1]!SNLData("243327", C514, "OWNER_LIST")</f>
        <v>Yunnan Chuxiong Mining &amp; Metallurgy Co., Ltd. (Venturer) 16.67%; Diqing Development and Investment Co Ltd (Venturer) 8.33%; Yunnan Copper Co.,Ltd (Venturer) 75%</v>
      </c>
      <c r="H514" s="9">
        <f>[1]!SNLData("243327", C514, "OWNER_SNL_INSTN_KEY", "Owner 1")</f>
        <v>4355551</v>
      </c>
      <c r="I514" s="9">
        <f>[1]!SNLData("243327", C514, "OWNER_SNL_INSTN_KEY", "Owner 2")</f>
        <v>4589586</v>
      </c>
      <c r="J514" s="12" t="str">
        <f>_xll.SNL.Clients.Office.Excel.Functions.SPG(H514, "SP_ULT_PARENT_COMPANY_NAME")</f>
        <v>State-owned Assets Supervision and Administration Commission of the State Counci</v>
      </c>
      <c r="K514" s="12" t="str">
        <f>_xll.SNL.Clients.Office.Excel.Functions.SPG(H514, "SP_ULT_PARENT_COUNTRY")</f>
        <v>China</v>
      </c>
      <c r="L514" s="12" t="str">
        <f>_xll.SNL.Clients.Office.Excel.Functions.SPG(H514, "SP_PARENT_COMPANY_NAME")</f>
        <v>Yunnan Copper Industry (Group) Co., Ltd.</v>
      </c>
      <c r="M514" s="12" t="str">
        <f>_xll.SNL.Clients.Office.Excel.Functions.SPG(H514, "SP_PARENT_COUNTRY")</f>
        <v>China</v>
      </c>
      <c r="N514" s="12" t="str">
        <f>_xll.SNL.Clients.Office.Excel.Functions.SPG(H514, "SP_COUNTRY_NAME")</f>
        <v>China</v>
      </c>
      <c r="O514" s="12" t="str">
        <f>_xll.SNL.Clients.Office.Excel.Functions.SPG(I514, "SP_ULT_PARENT_COMPANY_NAME")</f>
        <v>State-owned Assets Supervision and Administration Commission of the State Counci</v>
      </c>
      <c r="P514" s="12" t="str">
        <f>_xll.SNL.Clients.Office.Excel.Functions.SPG(I514, "SP_ULT_PARENT_COUNTRY")</f>
        <v>China</v>
      </c>
      <c r="Q514" s="12" t="str">
        <f>_xll.SNL.Clients.Office.Excel.Functions.SPG(I514, "SP_PARENT_COMPANY_NAME")</f>
        <v>Yunnan Copper Co.,Ltd</v>
      </c>
      <c r="R514" s="12" t="str">
        <f>_xll.SNL.Clients.Office.Excel.Functions.SPG(I514, "SP_PARENT_COUNTRY")</f>
        <v>China</v>
      </c>
      <c r="S514" s="12" t="str">
        <f>_xll.SNL.Clients.Office.Excel.Functions.SPG(I514, "SP_COUNTRY_NAME")</f>
        <v>China</v>
      </c>
    </row>
    <row r="515" spans="1:19" ht="72.5" x14ac:dyDescent="0.35">
      <c r="A515" s="5">
        <v>46022</v>
      </c>
      <c r="B515" s="4" t="s">
        <v>539</v>
      </c>
      <c r="C515" s="4" t="s">
        <v>540</v>
      </c>
      <c r="D515" s="4" t="s">
        <v>1169</v>
      </c>
      <c r="E515" s="8">
        <v>4589586</v>
      </c>
      <c r="F515" s="7">
        <v>16.670000000000002</v>
      </c>
      <c r="G515" s="12" t="str">
        <f>[1]!SNLData("243327", C515, "OWNER_LIST")</f>
        <v>Yunnan Chuxiong Mining &amp; Metallurgy Co., Ltd. (Venturer) 16.67%; Diqing Development and Investment Co Ltd (Venturer) 8.33%; Yunnan Copper Co.,Ltd (Venturer) 75%</v>
      </c>
      <c r="H515" s="9">
        <f>[1]!SNLData("243327", C515, "OWNER_SNL_INSTN_KEY", "Owner 1")</f>
        <v>4355551</v>
      </c>
      <c r="I515" s="9">
        <f>[1]!SNLData("243327", C515, "OWNER_SNL_INSTN_KEY", "Owner 2")</f>
        <v>4589586</v>
      </c>
      <c r="J515" s="12" t="str">
        <f>_xll.SNL.Clients.Office.Excel.Functions.SPG(H515, "SP_ULT_PARENT_COMPANY_NAME")</f>
        <v>State-owned Assets Supervision and Administration Commission of the State Counci</v>
      </c>
      <c r="K515" s="12" t="str">
        <f>_xll.SNL.Clients.Office.Excel.Functions.SPG(H515, "SP_ULT_PARENT_COUNTRY")</f>
        <v>China</v>
      </c>
      <c r="L515" s="12" t="str">
        <f>_xll.SNL.Clients.Office.Excel.Functions.SPG(H515, "SP_PARENT_COMPANY_NAME")</f>
        <v>Yunnan Copper Industry (Group) Co., Ltd.</v>
      </c>
      <c r="M515" s="12" t="str">
        <f>_xll.SNL.Clients.Office.Excel.Functions.SPG(H515, "SP_PARENT_COUNTRY")</f>
        <v>China</v>
      </c>
      <c r="N515" s="12" t="str">
        <f>_xll.SNL.Clients.Office.Excel.Functions.SPG(H515, "SP_COUNTRY_NAME")</f>
        <v>China</v>
      </c>
      <c r="O515" s="12" t="str">
        <f>_xll.SNL.Clients.Office.Excel.Functions.SPG(I515, "SP_ULT_PARENT_COMPANY_NAME")</f>
        <v>State-owned Assets Supervision and Administration Commission of the State Counci</v>
      </c>
      <c r="P515" s="12" t="str">
        <f>_xll.SNL.Clients.Office.Excel.Functions.SPG(I515, "SP_ULT_PARENT_COUNTRY")</f>
        <v>China</v>
      </c>
      <c r="Q515" s="12" t="str">
        <f>_xll.SNL.Clients.Office.Excel.Functions.SPG(I515, "SP_PARENT_COMPANY_NAME")</f>
        <v>Yunnan Copper Co.,Ltd</v>
      </c>
      <c r="R515" s="12" t="str">
        <f>_xll.SNL.Clients.Office.Excel.Functions.SPG(I515, "SP_PARENT_COUNTRY")</f>
        <v>China</v>
      </c>
      <c r="S515" s="12" t="str">
        <f>_xll.SNL.Clients.Office.Excel.Functions.SPG(I515, "SP_COUNTRY_NAME")</f>
        <v>China</v>
      </c>
    </row>
    <row r="516" spans="1:19" x14ac:dyDescent="0.35">
      <c r="A516" s="5">
        <v>46022</v>
      </c>
      <c r="B516" s="4" t="s">
        <v>669</v>
      </c>
      <c r="C516" s="4" t="s">
        <v>670</v>
      </c>
      <c r="D516" s="4" t="s">
        <v>1170</v>
      </c>
      <c r="E516" s="8">
        <v>10929939</v>
      </c>
      <c r="F516" s="7">
        <v>100</v>
      </c>
      <c r="G516" s="12" t="str">
        <f>[1]!SNLData("243327", C516, "OWNER_LIST")</f>
        <v>Subei County Yuxi Mining Co., Ltd.  100%</v>
      </c>
      <c r="H516" s="9">
        <f>[1]!SNLData("243327", C516, "OWNER_SNL_INSTN_KEY", "Owner 1")</f>
        <v>10929939</v>
      </c>
      <c r="I516" s="9" t="str">
        <f>[1]!SNLData("243327", C516, "OWNER_SNL_INSTN_KEY", "Owner 2")</f>
        <v>NA</v>
      </c>
      <c r="J516" s="12" t="str">
        <f>_xll.SNL.Clients.Office.Excel.Functions.SPG(H516, "SP_ULT_PARENT_COMPANY_NAME")</f>
        <v/>
      </c>
      <c r="K516" s="12" t="str">
        <f>_xll.SNL.Clients.Office.Excel.Functions.SPG(H516, "SP_ULT_PARENT_COUNTRY")</f>
        <v/>
      </c>
      <c r="L516" s="12" t="str">
        <f>_xll.SNL.Clients.Office.Excel.Functions.SPG(H516, "SP_PARENT_COMPANY_NAME")</f>
        <v/>
      </c>
      <c r="M516" s="12" t="str">
        <f>_xll.SNL.Clients.Office.Excel.Functions.SPG(H516, "SP_PARENT_COUNTRY")</f>
        <v/>
      </c>
      <c r="N516" s="12" t="str">
        <f>_xll.SNL.Clients.Office.Excel.Functions.SPG(H516, "SP_COUNTRY_NAME")</f>
        <v>China</v>
      </c>
      <c r="O516" s="12" t="str">
        <f>_xll.SNL.Clients.Office.Excel.Functions.SPG(I516, "SP_ULT_PARENT_COMPANY_NAME")</f>
        <v/>
      </c>
      <c r="P516" s="12" t="str">
        <f>_xll.SNL.Clients.Office.Excel.Functions.SPG(I516, "SP_ULT_PARENT_COUNTRY")</f>
        <v/>
      </c>
      <c r="Q516" s="12" t="str">
        <f>_xll.SNL.Clients.Office.Excel.Functions.SPG(I516, "SP_PARENT_COMPANY_NAME")</f>
        <v/>
      </c>
      <c r="R516" s="12" t="str">
        <f>_xll.SNL.Clients.Office.Excel.Functions.SPG(I516, "SP_PARENT_COUNTRY")</f>
        <v/>
      </c>
      <c r="S516" s="12" t="str">
        <f>_xll.SNL.Clients.Office.Excel.Functions.SPG(I516, "SP_COUNTRY_NAME")</f>
        <v>China</v>
      </c>
    </row>
    <row r="517" spans="1:19" ht="29" x14ac:dyDescent="0.35">
      <c r="A517" s="5">
        <v>46022</v>
      </c>
      <c r="B517" s="4" t="s">
        <v>671</v>
      </c>
      <c r="C517" s="4" t="s">
        <v>672</v>
      </c>
      <c r="D517" s="4" t="s">
        <v>1005</v>
      </c>
      <c r="E517" s="8">
        <v>4355250</v>
      </c>
      <c r="F517" s="7">
        <v>100</v>
      </c>
      <c r="G517" s="12" t="str">
        <f>[1]!SNLData("243327", C517, "OWNER_LIST")</f>
        <v>Volcan Compañía Minera S.A.A.  100%; Empresa Minera Mahr Tunel S.A. (Venture) %</v>
      </c>
      <c r="H517" s="9">
        <f>[1]!SNLData("243327", C517, "OWNER_SNL_INSTN_KEY", "Owner 1")</f>
        <v>4355250</v>
      </c>
      <c r="I517" s="9">
        <f>[1]!SNLData("243327", C517, "OWNER_SNL_INSTN_KEY", "Owner 2")</f>
        <v>4349966</v>
      </c>
      <c r="J517" s="12" t="str">
        <f>_xll.SNL.Clients.Office.Excel.Functions.SPG(H517, "SP_ULT_PARENT_COMPANY_NAME")</f>
        <v>Integra Capital S.A.</v>
      </c>
      <c r="K517" s="12" t="str">
        <f>_xll.SNL.Clients.Office.Excel.Functions.SPG(H517, "SP_ULT_PARENT_COUNTRY")</f>
        <v>Argentina</v>
      </c>
      <c r="L517" s="12" t="str">
        <f>_xll.SNL.Clients.Office.Excel.Functions.SPG(H517, "SP_PARENT_COMPANY_NAME")</f>
        <v>Transition Metals AG</v>
      </c>
      <c r="M517" s="12" t="str">
        <f>_xll.SNL.Clients.Office.Excel.Functions.SPG(H517, "SP_PARENT_COUNTRY")</f>
        <v>Switzerland</v>
      </c>
      <c r="N517" s="12" t="str">
        <f>_xll.SNL.Clients.Office.Excel.Functions.SPG(H517, "SP_COUNTRY_NAME")</f>
        <v>Peru</v>
      </c>
      <c r="O517" s="12" t="str">
        <f>_xll.SNL.Clients.Office.Excel.Functions.SPG(I517, "SP_ULT_PARENT_COMPANY_NAME")</f>
        <v/>
      </c>
      <c r="P517" s="12" t="str">
        <f>_xll.SNL.Clients.Office.Excel.Functions.SPG(I517, "SP_ULT_PARENT_COUNTRY")</f>
        <v/>
      </c>
      <c r="Q517" s="12" t="str">
        <f>_xll.SNL.Clients.Office.Excel.Functions.SPG(I517, "SP_PARENT_COMPANY_NAME")</f>
        <v/>
      </c>
      <c r="R517" s="12" t="str">
        <f>_xll.SNL.Clients.Office.Excel.Functions.SPG(I517, "SP_PARENT_COUNTRY")</f>
        <v/>
      </c>
      <c r="S517" s="12" t="str">
        <f>_xll.SNL.Clients.Office.Excel.Functions.SPG(I517, "SP_COUNTRY_NAME")</f>
        <v>Peru</v>
      </c>
    </row>
    <row r="518" spans="1:19" ht="29" x14ac:dyDescent="0.35">
      <c r="A518" s="5">
        <v>46022</v>
      </c>
      <c r="B518" s="4" t="s">
        <v>541</v>
      </c>
      <c r="C518" s="4" t="s">
        <v>542</v>
      </c>
      <c r="D518" s="4" t="s">
        <v>977</v>
      </c>
      <c r="E518" s="8">
        <v>29771747</v>
      </c>
      <c r="F518" s="7">
        <v>97.6</v>
      </c>
      <c r="G518" s="12" t="str">
        <f>[1]!SNLData("243327", C518, "OWNER_LIST")</f>
        <v>Private Interest (Venturer) 2.4%; Alpayana S.A.C. (Venturer) 97.6%</v>
      </c>
      <c r="H518" s="9">
        <f>[1]!SNLData("243327", C518, "OWNER_SNL_INSTN_KEY", "Owner 1")</f>
        <v>29771747</v>
      </c>
      <c r="I518" s="9">
        <f>[1]!SNLData("243327", C518, "OWNER_SNL_INSTN_KEY", "Owner 2")</f>
        <v>4353456</v>
      </c>
      <c r="J518" s="12" t="str">
        <f>_xll.SNL.Clients.Office.Excel.Functions.SPG(H518, "SP_ULT_PARENT_COMPANY_NAME")</f>
        <v/>
      </c>
      <c r="K518" s="12" t="str">
        <f>_xll.SNL.Clients.Office.Excel.Functions.SPG(H518, "SP_ULT_PARENT_COUNTRY")</f>
        <v/>
      </c>
      <c r="L518" s="12" t="str">
        <f>_xll.SNL.Clients.Office.Excel.Functions.SPG(H518, "SP_PARENT_COMPANY_NAME")</f>
        <v/>
      </c>
      <c r="M518" s="12" t="str">
        <f>_xll.SNL.Clients.Office.Excel.Functions.SPG(H518, "SP_PARENT_COUNTRY")</f>
        <v/>
      </c>
      <c r="N518" s="12" t="str">
        <f>_xll.SNL.Clients.Office.Excel.Functions.SPG(H518, "SP_COUNTRY_NAME")</f>
        <v>Peru</v>
      </c>
      <c r="O518" s="12" t="str">
        <f>_xll.SNL.Clients.Office.Excel.Functions.SPG(I518, "SP_ULT_PARENT_COMPANY_NAME")</f>
        <v/>
      </c>
      <c r="P518" s="12" t="str">
        <f>_xll.SNL.Clients.Office.Excel.Functions.SPG(I518, "SP_ULT_PARENT_COUNTRY")</f>
        <v/>
      </c>
      <c r="Q518" s="12" t="str">
        <f>_xll.SNL.Clients.Office.Excel.Functions.SPG(I518, "SP_PARENT_COMPANY_NAME")</f>
        <v/>
      </c>
      <c r="R518" s="12" t="str">
        <f>_xll.SNL.Clients.Office.Excel.Functions.SPG(I518, "SP_PARENT_COUNTRY")</f>
        <v/>
      </c>
      <c r="S518" s="12" t="str">
        <f>_xll.SNL.Clients.Office.Excel.Functions.SPG(I518, "SP_COUNTRY_NAME")</f>
        <v>China</v>
      </c>
    </row>
    <row r="519" spans="1:19" ht="29" x14ac:dyDescent="0.35">
      <c r="A519" s="5">
        <v>46022</v>
      </c>
      <c r="B519" s="4" t="s">
        <v>541</v>
      </c>
      <c r="C519" s="4" t="s">
        <v>542</v>
      </c>
      <c r="D519" s="4" t="s">
        <v>962</v>
      </c>
      <c r="E519" s="8">
        <v>4353456</v>
      </c>
      <c r="F519" s="7">
        <v>2.4</v>
      </c>
      <c r="G519" s="12" t="str">
        <f>[1]!SNLData("243327", C519, "OWNER_LIST")</f>
        <v>Private Interest (Venturer) 2.4%; Alpayana S.A.C. (Venturer) 97.6%</v>
      </c>
      <c r="H519" s="9">
        <f>[1]!SNLData("243327", C519, "OWNER_SNL_INSTN_KEY", "Owner 1")</f>
        <v>29771747</v>
      </c>
      <c r="I519" s="9">
        <f>[1]!SNLData("243327", C519, "OWNER_SNL_INSTN_KEY", "Owner 2")</f>
        <v>4353456</v>
      </c>
      <c r="J519" s="12" t="str">
        <f>_xll.SNL.Clients.Office.Excel.Functions.SPG(H519, "SP_ULT_PARENT_COMPANY_NAME")</f>
        <v/>
      </c>
      <c r="K519" s="12" t="str">
        <f>_xll.SNL.Clients.Office.Excel.Functions.SPG(H519, "SP_ULT_PARENT_COUNTRY")</f>
        <v/>
      </c>
      <c r="L519" s="12" t="str">
        <f>_xll.SNL.Clients.Office.Excel.Functions.SPG(H519, "SP_PARENT_COMPANY_NAME")</f>
        <v/>
      </c>
      <c r="M519" s="12" t="str">
        <f>_xll.SNL.Clients.Office.Excel.Functions.SPG(H519, "SP_PARENT_COUNTRY")</f>
        <v/>
      </c>
      <c r="N519" s="12" t="str">
        <f>_xll.SNL.Clients.Office.Excel.Functions.SPG(H519, "SP_COUNTRY_NAME")</f>
        <v>Peru</v>
      </c>
      <c r="O519" s="12" t="str">
        <f>_xll.SNL.Clients.Office.Excel.Functions.SPG(I519, "SP_ULT_PARENT_COMPANY_NAME")</f>
        <v/>
      </c>
      <c r="P519" s="12" t="str">
        <f>_xll.SNL.Clients.Office.Excel.Functions.SPG(I519, "SP_ULT_PARENT_COUNTRY")</f>
        <v/>
      </c>
      <c r="Q519" s="12" t="str">
        <f>_xll.SNL.Clients.Office.Excel.Functions.SPG(I519, "SP_PARENT_COMPANY_NAME")</f>
        <v/>
      </c>
      <c r="R519" s="12" t="str">
        <f>_xll.SNL.Clients.Office.Excel.Functions.SPG(I519, "SP_PARENT_COUNTRY")</f>
        <v/>
      </c>
      <c r="S519" s="12" t="str">
        <f>_xll.SNL.Clients.Office.Excel.Functions.SPG(I519, "SP_COUNTRY_NAME")</f>
        <v>China</v>
      </c>
    </row>
    <row r="520" spans="1:19" ht="29" x14ac:dyDescent="0.35">
      <c r="A520" s="5">
        <v>46022</v>
      </c>
      <c r="B520" s="4" t="s">
        <v>853</v>
      </c>
      <c r="C520" s="4" t="s">
        <v>854</v>
      </c>
      <c r="D520" s="4" t="s">
        <v>977</v>
      </c>
      <c r="E520" s="8">
        <v>29771747</v>
      </c>
      <c r="F520" s="7">
        <v>81.84</v>
      </c>
      <c r="G520" s="12" t="str">
        <f>[1]!SNLData("243327", C520, "OWNER_LIST")</f>
        <v>Private Interest (Venturer) 18.16%; Alpayana S.A.C. (Venturer) 81.84%</v>
      </c>
      <c r="H520" s="9">
        <f>[1]!SNLData("243327", C520, "OWNER_SNL_INSTN_KEY", "Owner 1")</f>
        <v>29771747</v>
      </c>
      <c r="I520" s="9">
        <f>[1]!SNLData("243327", C520, "OWNER_SNL_INSTN_KEY", "Owner 2")</f>
        <v>4353456</v>
      </c>
      <c r="J520" s="12" t="str">
        <f>_xll.SNL.Clients.Office.Excel.Functions.SPG(H520, "SP_ULT_PARENT_COMPANY_NAME")</f>
        <v/>
      </c>
      <c r="K520" s="12" t="str">
        <f>_xll.SNL.Clients.Office.Excel.Functions.SPG(H520, "SP_ULT_PARENT_COUNTRY")</f>
        <v/>
      </c>
      <c r="L520" s="12" t="str">
        <f>_xll.SNL.Clients.Office.Excel.Functions.SPG(H520, "SP_PARENT_COMPANY_NAME")</f>
        <v/>
      </c>
      <c r="M520" s="12" t="str">
        <f>_xll.SNL.Clients.Office.Excel.Functions.SPG(H520, "SP_PARENT_COUNTRY")</f>
        <v/>
      </c>
      <c r="N520" s="12" t="str">
        <f>_xll.SNL.Clients.Office.Excel.Functions.SPG(H520, "SP_COUNTRY_NAME")</f>
        <v>Peru</v>
      </c>
      <c r="O520" s="12" t="str">
        <f>_xll.SNL.Clients.Office.Excel.Functions.SPG(I520, "SP_ULT_PARENT_COMPANY_NAME")</f>
        <v/>
      </c>
      <c r="P520" s="12" t="str">
        <f>_xll.SNL.Clients.Office.Excel.Functions.SPG(I520, "SP_ULT_PARENT_COUNTRY")</f>
        <v/>
      </c>
      <c r="Q520" s="12" t="str">
        <f>_xll.SNL.Clients.Office.Excel.Functions.SPG(I520, "SP_PARENT_COMPANY_NAME")</f>
        <v/>
      </c>
      <c r="R520" s="12" t="str">
        <f>_xll.SNL.Clients.Office.Excel.Functions.SPG(I520, "SP_PARENT_COUNTRY")</f>
        <v/>
      </c>
      <c r="S520" s="12" t="str">
        <f>_xll.SNL.Clients.Office.Excel.Functions.SPG(I520, "SP_COUNTRY_NAME")</f>
        <v>China</v>
      </c>
    </row>
    <row r="521" spans="1:19" ht="29" x14ac:dyDescent="0.35">
      <c r="A521" s="5">
        <v>46022</v>
      </c>
      <c r="B521" s="4" t="s">
        <v>853</v>
      </c>
      <c r="C521" s="4" t="s">
        <v>854</v>
      </c>
      <c r="D521" s="4" t="s">
        <v>962</v>
      </c>
      <c r="E521" s="8">
        <v>4353456</v>
      </c>
      <c r="F521" s="7">
        <v>18.16</v>
      </c>
      <c r="G521" s="12" t="str">
        <f>[1]!SNLData("243327", C521, "OWNER_LIST")</f>
        <v>Private Interest (Venturer) 18.16%; Alpayana S.A.C. (Venturer) 81.84%</v>
      </c>
      <c r="H521" s="9">
        <f>[1]!SNLData("243327", C521, "OWNER_SNL_INSTN_KEY", "Owner 1")</f>
        <v>29771747</v>
      </c>
      <c r="I521" s="9">
        <f>[1]!SNLData("243327", C521, "OWNER_SNL_INSTN_KEY", "Owner 2")</f>
        <v>4353456</v>
      </c>
      <c r="J521" s="12" t="str">
        <f>_xll.SNL.Clients.Office.Excel.Functions.SPG(H521, "SP_ULT_PARENT_COMPANY_NAME")</f>
        <v/>
      </c>
      <c r="K521" s="12" t="str">
        <f>_xll.SNL.Clients.Office.Excel.Functions.SPG(H521, "SP_ULT_PARENT_COUNTRY")</f>
        <v/>
      </c>
      <c r="L521" s="12" t="str">
        <f>_xll.SNL.Clients.Office.Excel.Functions.SPG(H521, "SP_PARENT_COMPANY_NAME")</f>
        <v/>
      </c>
      <c r="M521" s="12" t="str">
        <f>_xll.SNL.Clients.Office.Excel.Functions.SPG(H521, "SP_PARENT_COUNTRY")</f>
        <v/>
      </c>
      <c r="N521" s="12" t="str">
        <f>_xll.SNL.Clients.Office.Excel.Functions.SPG(H521, "SP_COUNTRY_NAME")</f>
        <v>Peru</v>
      </c>
      <c r="O521" s="12" t="str">
        <f>_xll.SNL.Clients.Office.Excel.Functions.SPG(I521, "SP_ULT_PARENT_COMPANY_NAME")</f>
        <v/>
      </c>
      <c r="P521" s="12" t="str">
        <f>_xll.SNL.Clients.Office.Excel.Functions.SPG(I521, "SP_ULT_PARENT_COUNTRY")</f>
        <v/>
      </c>
      <c r="Q521" s="12" t="str">
        <f>_xll.SNL.Clients.Office.Excel.Functions.SPG(I521, "SP_PARENT_COMPANY_NAME")</f>
        <v/>
      </c>
      <c r="R521" s="12" t="str">
        <f>_xll.SNL.Clients.Office.Excel.Functions.SPG(I521, "SP_PARENT_COUNTRY")</f>
        <v/>
      </c>
      <c r="S521" s="12" t="str">
        <f>_xll.SNL.Clients.Office.Excel.Functions.SPG(I521, "SP_COUNTRY_NAME")</f>
        <v>China</v>
      </c>
    </row>
    <row r="522" spans="1:19" ht="43.5" x14ac:dyDescent="0.35">
      <c r="A522" s="5">
        <v>46022</v>
      </c>
      <c r="B522" s="4" t="s">
        <v>567</v>
      </c>
      <c r="C522" s="4" t="s">
        <v>568</v>
      </c>
      <c r="D522" s="4" t="s">
        <v>1171</v>
      </c>
      <c r="E522" s="8">
        <v>4354122</v>
      </c>
      <c r="F522" s="7">
        <v>100</v>
      </c>
      <c r="G522" s="12" t="str">
        <f>[1]!SNLData("243327", C522, "OWNER_LIST")</f>
        <v>Shandong Gold Mining Co., Ltd.  100%</v>
      </c>
      <c r="H522" s="9">
        <f>[1]!SNLData("243327", C522, "OWNER_SNL_INSTN_KEY", "Owner 1")</f>
        <v>4354122</v>
      </c>
      <c r="I522" s="9" t="str">
        <f>[1]!SNLData("243327", C522, "OWNER_SNL_INSTN_KEY", "Owner 2")</f>
        <v>NA</v>
      </c>
      <c r="J522" s="12" t="str">
        <f>_xll.SNL.Clients.Office.Excel.Functions.SPG(H522, "SP_ULT_PARENT_COMPANY_NAME")</f>
        <v>People's Government Of Shandong Province</v>
      </c>
      <c r="K522" s="12" t="str">
        <f>_xll.SNL.Clients.Office.Excel.Functions.SPG(H522, "SP_ULT_PARENT_COUNTRY")</f>
        <v>China</v>
      </c>
      <c r="L522" s="12" t="str">
        <f>_xll.SNL.Clients.Office.Excel.Functions.SPG(H522, "SP_PARENT_COMPANY_NAME")</f>
        <v>Shandong Gold Group Co.,Ltd</v>
      </c>
      <c r="M522" s="12" t="str">
        <f>_xll.SNL.Clients.Office.Excel.Functions.SPG(H522, "SP_PARENT_COUNTRY")</f>
        <v>China</v>
      </c>
      <c r="N522" s="12" t="str">
        <f>_xll.SNL.Clients.Office.Excel.Functions.SPG(H522, "SP_COUNTRY_NAME")</f>
        <v>China</v>
      </c>
      <c r="O522" s="12" t="str">
        <f>_xll.SNL.Clients.Office.Excel.Functions.SPG(I522, "SP_ULT_PARENT_COMPANY_NAME")</f>
        <v/>
      </c>
      <c r="P522" s="12" t="str">
        <f>_xll.SNL.Clients.Office.Excel.Functions.SPG(I522, "SP_ULT_PARENT_COUNTRY")</f>
        <v/>
      </c>
      <c r="Q522" s="12" t="str">
        <f>_xll.SNL.Clients.Office.Excel.Functions.SPG(I522, "SP_PARENT_COMPANY_NAME")</f>
        <v/>
      </c>
      <c r="R522" s="12" t="str">
        <f>_xll.SNL.Clients.Office.Excel.Functions.SPG(I522, "SP_PARENT_COUNTRY")</f>
        <v/>
      </c>
      <c r="S522" s="12" t="str">
        <f>_xll.SNL.Clients.Office.Excel.Functions.SPG(I522, "SP_COUNTRY_NAME")</f>
        <v>China</v>
      </c>
    </row>
    <row r="523" spans="1:19" x14ac:dyDescent="0.35">
      <c r="A523" s="5">
        <v>46022</v>
      </c>
      <c r="B523" s="4" t="s">
        <v>543</v>
      </c>
      <c r="C523" s="4" t="s">
        <v>544</v>
      </c>
      <c r="D523" s="4" t="s">
        <v>962</v>
      </c>
      <c r="E523" s="8">
        <v>4353456</v>
      </c>
      <c r="F523" s="7">
        <v>100</v>
      </c>
      <c r="G523" s="12" t="str">
        <f>[1]!SNLData("243327", C523, "OWNER_LIST")</f>
        <v>Private Interest  100%</v>
      </c>
      <c r="H523" s="9">
        <f>[1]!SNLData("243327", C523, "OWNER_SNL_INSTN_KEY", "Owner 1")</f>
        <v>4353456</v>
      </c>
      <c r="I523" s="9" t="str">
        <f>[1]!SNLData("243327", C523, "OWNER_SNL_INSTN_KEY", "Owner 2")</f>
        <v>NA</v>
      </c>
      <c r="J523" s="12" t="str">
        <f>_xll.SNL.Clients.Office.Excel.Functions.SPG(H523, "SP_ULT_PARENT_COMPANY_NAME")</f>
        <v/>
      </c>
      <c r="K523" s="12" t="str">
        <f>_xll.SNL.Clients.Office.Excel.Functions.SPG(H523, "SP_ULT_PARENT_COUNTRY")</f>
        <v/>
      </c>
      <c r="L523" s="12" t="str">
        <f>_xll.SNL.Clients.Office.Excel.Functions.SPG(H523, "SP_PARENT_COMPANY_NAME")</f>
        <v/>
      </c>
      <c r="M523" s="12" t="str">
        <f>_xll.SNL.Clients.Office.Excel.Functions.SPG(H523, "SP_PARENT_COUNTRY")</f>
        <v/>
      </c>
      <c r="N523" s="12" t="str">
        <f>_xll.SNL.Clients.Office.Excel.Functions.SPG(H523, "SP_COUNTRY_NAME")</f>
        <v>China</v>
      </c>
      <c r="O523" s="12" t="str">
        <f>_xll.SNL.Clients.Office.Excel.Functions.SPG(I523, "SP_ULT_PARENT_COMPANY_NAME")</f>
        <v/>
      </c>
      <c r="P523" s="12" t="str">
        <f>_xll.SNL.Clients.Office.Excel.Functions.SPG(I523, "SP_ULT_PARENT_COUNTRY")</f>
        <v/>
      </c>
      <c r="Q523" s="12" t="str">
        <f>_xll.SNL.Clients.Office.Excel.Functions.SPG(I523, "SP_PARENT_COMPANY_NAME")</f>
        <v/>
      </c>
      <c r="R523" s="12" t="str">
        <f>_xll.SNL.Clients.Office.Excel.Functions.SPG(I523, "SP_PARENT_COUNTRY")</f>
        <v/>
      </c>
      <c r="S523" s="12" t="str">
        <f>_xll.SNL.Clients.Office.Excel.Functions.SPG(I523, "SP_COUNTRY_NAME")</f>
        <v>China</v>
      </c>
    </row>
    <row r="524" spans="1:19" x14ac:dyDescent="0.35">
      <c r="A524" s="5">
        <v>46022</v>
      </c>
      <c r="B524" s="4" t="s">
        <v>559</v>
      </c>
      <c r="C524" s="4" t="s">
        <v>560</v>
      </c>
      <c r="D524" s="4" t="s">
        <v>962</v>
      </c>
      <c r="E524" s="8">
        <v>4353456</v>
      </c>
      <c r="F524" s="7">
        <v>100</v>
      </c>
      <c r="G524" s="12" t="str">
        <f>[1]!SNLData("243327", C524, "OWNER_LIST")</f>
        <v>Private Interest  100%</v>
      </c>
      <c r="H524" s="9">
        <f>[1]!SNLData("243327", C524, "OWNER_SNL_INSTN_KEY", "Owner 1")</f>
        <v>4353456</v>
      </c>
      <c r="I524" s="9" t="str">
        <f>[1]!SNLData("243327", C524, "OWNER_SNL_INSTN_KEY", "Owner 2")</f>
        <v>NA</v>
      </c>
      <c r="J524" s="12" t="str">
        <f>_xll.SNL.Clients.Office.Excel.Functions.SPG(H524, "SP_ULT_PARENT_COMPANY_NAME")</f>
        <v/>
      </c>
      <c r="K524" s="12" t="str">
        <f>_xll.SNL.Clients.Office.Excel.Functions.SPG(H524, "SP_ULT_PARENT_COUNTRY")</f>
        <v/>
      </c>
      <c r="L524" s="12" t="str">
        <f>_xll.SNL.Clients.Office.Excel.Functions.SPG(H524, "SP_PARENT_COMPANY_NAME")</f>
        <v/>
      </c>
      <c r="M524" s="12" t="str">
        <f>_xll.SNL.Clients.Office.Excel.Functions.SPG(H524, "SP_PARENT_COUNTRY")</f>
        <v/>
      </c>
      <c r="N524" s="12" t="str">
        <f>_xll.SNL.Clients.Office.Excel.Functions.SPG(H524, "SP_COUNTRY_NAME")</f>
        <v>China</v>
      </c>
      <c r="O524" s="12" t="str">
        <f>_xll.SNL.Clients.Office.Excel.Functions.SPG(I524, "SP_ULT_PARENT_COMPANY_NAME")</f>
        <v/>
      </c>
      <c r="P524" s="12" t="str">
        <f>_xll.SNL.Clients.Office.Excel.Functions.SPG(I524, "SP_ULT_PARENT_COUNTRY")</f>
        <v/>
      </c>
      <c r="Q524" s="12" t="str">
        <f>_xll.SNL.Clients.Office.Excel.Functions.SPG(I524, "SP_PARENT_COMPANY_NAME")</f>
        <v/>
      </c>
      <c r="R524" s="12" t="str">
        <f>_xll.SNL.Clients.Office.Excel.Functions.SPG(I524, "SP_PARENT_COUNTRY")</f>
        <v/>
      </c>
      <c r="S524" s="12" t="str">
        <f>_xll.SNL.Clients.Office.Excel.Functions.SPG(I524, "SP_COUNTRY_NAME")</f>
        <v>China</v>
      </c>
    </row>
    <row r="525" spans="1:19" x14ac:dyDescent="0.35">
      <c r="A525" s="5">
        <v>46022</v>
      </c>
      <c r="B525" s="4" t="s">
        <v>855</v>
      </c>
      <c r="C525" s="4" t="s">
        <v>856</v>
      </c>
      <c r="D525" s="4" t="s">
        <v>1135</v>
      </c>
      <c r="E525" s="8">
        <v>10928473</v>
      </c>
      <c r="F525" s="7">
        <v>100</v>
      </c>
      <c r="G525" s="12" t="str">
        <f>[1]!SNLData("243327", C525, "OWNER_LIST")</f>
        <v>Tangdan Conc. Plant  100%</v>
      </c>
      <c r="H525" s="9">
        <f>[1]!SNLData("243327", C525, "OWNER_SNL_INSTN_KEY", "Owner 1")</f>
        <v>10928473</v>
      </c>
      <c r="I525" s="9" t="str">
        <f>[1]!SNLData("243327", C525, "OWNER_SNL_INSTN_KEY", "Owner 2")</f>
        <v>NA</v>
      </c>
      <c r="J525" s="12" t="str">
        <f>_xll.SNL.Clients.Office.Excel.Functions.SPG(H525, "SP_ULT_PARENT_COMPANY_NAME")</f>
        <v/>
      </c>
      <c r="K525" s="12" t="str">
        <f>_xll.SNL.Clients.Office.Excel.Functions.SPG(H525, "SP_ULT_PARENT_COUNTRY")</f>
        <v/>
      </c>
      <c r="L525" s="12" t="str">
        <f>_xll.SNL.Clients.Office.Excel.Functions.SPG(H525, "SP_PARENT_COMPANY_NAME")</f>
        <v/>
      </c>
      <c r="M525" s="12" t="str">
        <f>_xll.SNL.Clients.Office.Excel.Functions.SPG(H525, "SP_PARENT_COUNTRY")</f>
        <v/>
      </c>
      <c r="N525" s="12" t="str">
        <f>_xll.SNL.Clients.Office.Excel.Functions.SPG(H525, "SP_COUNTRY_NAME")</f>
        <v>China</v>
      </c>
      <c r="O525" s="12" t="str">
        <f>_xll.SNL.Clients.Office.Excel.Functions.SPG(I525, "SP_ULT_PARENT_COMPANY_NAME")</f>
        <v/>
      </c>
      <c r="P525" s="12" t="str">
        <f>_xll.SNL.Clients.Office.Excel.Functions.SPG(I525, "SP_ULT_PARENT_COUNTRY")</f>
        <v/>
      </c>
      <c r="Q525" s="12" t="str">
        <f>_xll.SNL.Clients.Office.Excel.Functions.SPG(I525, "SP_PARENT_COMPANY_NAME")</f>
        <v/>
      </c>
      <c r="R525" s="12" t="str">
        <f>_xll.SNL.Clients.Office.Excel.Functions.SPG(I525, "SP_PARENT_COUNTRY")</f>
        <v/>
      </c>
      <c r="S525" s="12" t="str">
        <f>_xll.SNL.Clients.Office.Excel.Functions.SPG(I525, "SP_COUNTRY_NAME")</f>
        <v>China</v>
      </c>
    </row>
    <row r="526" spans="1:19" ht="72.5" x14ac:dyDescent="0.35">
      <c r="A526" s="5">
        <v>46022</v>
      </c>
      <c r="B526" s="4" t="s">
        <v>857</v>
      </c>
      <c r="C526" s="4" t="s">
        <v>858</v>
      </c>
      <c r="D526" s="4" t="s">
        <v>1004</v>
      </c>
      <c r="E526" s="8">
        <v>4351423</v>
      </c>
      <c r="F526" s="7">
        <v>100</v>
      </c>
      <c r="G526" s="12" t="str">
        <f>[1]!SNLData("243327", C526, "OWNER_LIST")</f>
        <v>Jiangxi Copper Company Limited  100%</v>
      </c>
      <c r="H526" s="9">
        <f>[1]!SNLData("243327", C526, "OWNER_SNL_INSTN_KEY", "Owner 1")</f>
        <v>4351423</v>
      </c>
      <c r="I526" s="9" t="str">
        <f>[1]!SNLData("243327", C526, "OWNER_SNL_INSTN_KEY", "Owner 2")</f>
        <v>NA</v>
      </c>
      <c r="J526" s="12" t="str">
        <f>_xll.SNL.Clients.Office.Excel.Functions.SPG(H526, "SP_ULT_PARENT_COMPANY_NAME")</f>
        <v>State-owned Assets Supervision and Administration Commission of Jiangxi Province</v>
      </c>
      <c r="K526" s="12" t="str">
        <f>_xll.SNL.Clients.Office.Excel.Functions.SPG(H526, "SP_ULT_PARENT_COUNTRY")</f>
        <v>China</v>
      </c>
      <c r="L526" s="12" t="str">
        <f>_xll.SNL.Clients.Office.Excel.Functions.SPG(H526, "SP_PARENT_COMPANY_NAME")</f>
        <v>Jiangxi Copper Corporation Limited</v>
      </c>
      <c r="M526" s="12" t="str">
        <f>_xll.SNL.Clients.Office.Excel.Functions.SPG(H526, "SP_PARENT_COUNTRY")</f>
        <v>China</v>
      </c>
      <c r="N526" s="12" t="str">
        <f>_xll.SNL.Clients.Office.Excel.Functions.SPG(H526, "SP_COUNTRY_NAME")</f>
        <v>China</v>
      </c>
      <c r="O526" s="12" t="str">
        <f>_xll.SNL.Clients.Office.Excel.Functions.SPG(I526, "SP_ULT_PARENT_COMPANY_NAME")</f>
        <v/>
      </c>
      <c r="P526" s="12" t="str">
        <f>_xll.SNL.Clients.Office.Excel.Functions.SPG(I526, "SP_ULT_PARENT_COUNTRY")</f>
        <v/>
      </c>
      <c r="Q526" s="12" t="str">
        <f>_xll.SNL.Clients.Office.Excel.Functions.SPG(I526, "SP_PARENT_COMPANY_NAME")</f>
        <v/>
      </c>
      <c r="R526" s="12" t="str">
        <f>_xll.SNL.Clients.Office.Excel.Functions.SPG(I526, "SP_PARENT_COUNTRY")</f>
        <v/>
      </c>
      <c r="S526" s="12" t="str">
        <f>_xll.SNL.Clients.Office.Excel.Functions.SPG(I526, "SP_COUNTRY_NAME")</f>
        <v>China</v>
      </c>
    </row>
    <row r="527" spans="1:19" ht="72.5" x14ac:dyDescent="0.35">
      <c r="A527" s="5">
        <v>46022</v>
      </c>
      <c r="B527" s="4" t="s">
        <v>859</v>
      </c>
      <c r="C527" s="4" t="s">
        <v>860</v>
      </c>
      <c r="D527" s="4" t="s">
        <v>1004</v>
      </c>
      <c r="E527" s="8">
        <v>4351423</v>
      </c>
      <c r="F527" s="7">
        <v>100</v>
      </c>
      <c r="G527" s="12" t="str">
        <f>[1]!SNLData("243327", C527, "OWNER_LIST")</f>
        <v>Jiangxi Copper Company Limited  100%</v>
      </c>
      <c r="H527" s="9">
        <f>[1]!SNLData("243327", C527, "OWNER_SNL_INSTN_KEY", "Owner 1")</f>
        <v>4351423</v>
      </c>
      <c r="I527" s="9" t="str">
        <f>[1]!SNLData("243327", C527, "OWNER_SNL_INSTN_KEY", "Owner 2")</f>
        <v>NA</v>
      </c>
      <c r="J527" s="12" t="str">
        <f>_xll.SNL.Clients.Office.Excel.Functions.SPG(H527, "SP_ULT_PARENT_COMPANY_NAME")</f>
        <v>State-owned Assets Supervision and Administration Commission of Jiangxi Province</v>
      </c>
      <c r="K527" s="12" t="str">
        <f>_xll.SNL.Clients.Office.Excel.Functions.SPG(H527, "SP_ULT_PARENT_COUNTRY")</f>
        <v>China</v>
      </c>
      <c r="L527" s="12" t="str">
        <f>_xll.SNL.Clients.Office.Excel.Functions.SPG(H527, "SP_PARENT_COMPANY_NAME")</f>
        <v>Jiangxi Copper Corporation Limited</v>
      </c>
      <c r="M527" s="12" t="str">
        <f>_xll.SNL.Clients.Office.Excel.Functions.SPG(H527, "SP_PARENT_COUNTRY")</f>
        <v>China</v>
      </c>
      <c r="N527" s="12" t="str">
        <f>_xll.SNL.Clients.Office.Excel.Functions.SPG(H527, "SP_COUNTRY_NAME")</f>
        <v>China</v>
      </c>
      <c r="O527" s="12" t="str">
        <f>_xll.SNL.Clients.Office.Excel.Functions.SPG(I527, "SP_ULT_PARENT_COMPANY_NAME")</f>
        <v/>
      </c>
      <c r="P527" s="12" t="str">
        <f>_xll.SNL.Clients.Office.Excel.Functions.SPG(I527, "SP_ULT_PARENT_COUNTRY")</f>
        <v/>
      </c>
      <c r="Q527" s="12" t="str">
        <f>_xll.SNL.Clients.Office.Excel.Functions.SPG(I527, "SP_PARENT_COMPANY_NAME")</f>
        <v/>
      </c>
      <c r="R527" s="12" t="str">
        <f>_xll.SNL.Clients.Office.Excel.Functions.SPG(I527, "SP_PARENT_COUNTRY")</f>
        <v/>
      </c>
      <c r="S527" s="12" t="str">
        <f>_xll.SNL.Clients.Office.Excel.Functions.SPG(I527, "SP_COUNTRY_NAME")</f>
        <v>China</v>
      </c>
    </row>
    <row r="528" spans="1:19" x14ac:dyDescent="0.35">
      <c r="A528" s="5">
        <v>46022</v>
      </c>
      <c r="B528" s="4" t="s">
        <v>561</v>
      </c>
      <c r="C528" s="4" t="s">
        <v>562</v>
      </c>
      <c r="D528" s="4" t="s">
        <v>1045</v>
      </c>
      <c r="E528" s="8">
        <v>4400798</v>
      </c>
      <c r="F528" s="7">
        <v>100</v>
      </c>
      <c r="G528" s="12" t="str">
        <f>[1]!SNLData("243327", C528, "OWNER_LIST")</f>
        <v>Unnamed Owner  100%</v>
      </c>
      <c r="H528" s="9">
        <f>[1]!SNLData("243327", C528, "OWNER_SNL_INSTN_KEY", "Owner 1")</f>
        <v>4400798</v>
      </c>
      <c r="I528" s="9" t="str">
        <f>[1]!SNLData("243327", C528, "OWNER_SNL_INSTN_KEY", "Owner 2")</f>
        <v>NA</v>
      </c>
      <c r="J528" s="12" t="str">
        <f>_xll.SNL.Clients.Office.Excel.Functions.SPG(H528, "SP_ULT_PARENT_COMPANY_NAME")</f>
        <v/>
      </c>
      <c r="K528" s="12" t="str">
        <f>_xll.SNL.Clients.Office.Excel.Functions.SPG(H528, "SP_ULT_PARENT_COUNTRY")</f>
        <v/>
      </c>
      <c r="L528" s="12" t="str">
        <f>_xll.SNL.Clients.Office.Excel.Functions.SPG(H528, "SP_PARENT_COMPANY_NAME")</f>
        <v/>
      </c>
      <c r="M528" s="12" t="str">
        <f>_xll.SNL.Clients.Office.Excel.Functions.SPG(H528, "SP_PARENT_COUNTRY")</f>
        <v/>
      </c>
      <c r="N528" s="12" t="str">
        <f>_xll.SNL.Clients.Office.Excel.Functions.SPG(H528, "SP_COUNTRY_NAME")</f>
        <v>USA</v>
      </c>
      <c r="O528" s="12" t="str">
        <f>_xll.SNL.Clients.Office.Excel.Functions.SPG(I528, "SP_ULT_PARENT_COMPANY_NAME")</f>
        <v/>
      </c>
      <c r="P528" s="12" t="str">
        <f>_xll.SNL.Clients.Office.Excel.Functions.SPG(I528, "SP_ULT_PARENT_COUNTRY")</f>
        <v/>
      </c>
      <c r="Q528" s="12" t="str">
        <f>_xll.SNL.Clients.Office.Excel.Functions.SPG(I528, "SP_PARENT_COMPANY_NAME")</f>
        <v/>
      </c>
      <c r="R528" s="12" t="str">
        <f>_xll.SNL.Clients.Office.Excel.Functions.SPG(I528, "SP_PARENT_COUNTRY")</f>
        <v/>
      </c>
      <c r="S528" s="12" t="str">
        <f>_xll.SNL.Clients.Office.Excel.Functions.SPG(I528, "SP_COUNTRY_NAME")</f>
        <v>China</v>
      </c>
    </row>
    <row r="529" spans="1:19" ht="29" x14ac:dyDescent="0.35">
      <c r="A529" s="5">
        <v>46022</v>
      </c>
      <c r="B529" s="4" t="s">
        <v>569</v>
      </c>
      <c r="C529" s="4" t="s">
        <v>570</v>
      </c>
      <c r="D529" s="4" t="s">
        <v>1024</v>
      </c>
      <c r="E529" s="8">
        <v>4314727</v>
      </c>
      <c r="F529" s="7">
        <v>100</v>
      </c>
      <c r="G529" s="12" t="str">
        <f>[1]!SNLData("243327", C529, "OWNER_LIST")</f>
        <v>Tongling Nonferrous Metals Group Co.,Ltd.  100%</v>
      </c>
      <c r="H529" s="9">
        <f>[1]!SNLData("243327", C529, "OWNER_SNL_INSTN_KEY", "Owner 1")</f>
        <v>4314727</v>
      </c>
      <c r="I529" s="9" t="str">
        <f>[1]!SNLData("243327", C529, "OWNER_SNL_INSTN_KEY", "Owner 2")</f>
        <v>NA</v>
      </c>
      <c r="J529" s="12" t="str">
        <f>_xll.SNL.Clients.Office.Excel.Functions.SPG(H529, "SP_ULT_PARENT_COMPANY_NAME")</f>
        <v/>
      </c>
      <c r="K529" s="12" t="str">
        <f>_xll.SNL.Clients.Office.Excel.Functions.SPG(H529, "SP_ULT_PARENT_COUNTRY")</f>
        <v/>
      </c>
      <c r="L529" s="12" t="str">
        <f>_xll.SNL.Clients.Office.Excel.Functions.SPG(H529, "SP_PARENT_COMPANY_NAME")</f>
        <v/>
      </c>
      <c r="M529" s="12" t="str">
        <f>_xll.SNL.Clients.Office.Excel.Functions.SPG(H529, "SP_PARENT_COUNTRY")</f>
        <v/>
      </c>
      <c r="N529" s="12" t="str">
        <f>_xll.SNL.Clients.Office.Excel.Functions.SPG(H529, "SP_COUNTRY_NAME")</f>
        <v>China</v>
      </c>
      <c r="O529" s="12" t="str">
        <f>_xll.SNL.Clients.Office.Excel.Functions.SPG(I529, "SP_ULT_PARENT_COMPANY_NAME")</f>
        <v/>
      </c>
      <c r="P529" s="12" t="str">
        <f>_xll.SNL.Clients.Office.Excel.Functions.SPG(I529, "SP_ULT_PARENT_COUNTRY")</f>
        <v/>
      </c>
      <c r="Q529" s="12" t="str">
        <f>_xll.SNL.Clients.Office.Excel.Functions.SPG(I529, "SP_PARENT_COMPANY_NAME")</f>
        <v/>
      </c>
      <c r="R529" s="12" t="str">
        <f>_xll.SNL.Clients.Office.Excel.Functions.SPG(I529, "SP_PARENT_COUNTRY")</f>
        <v/>
      </c>
      <c r="S529" s="12" t="str">
        <f>_xll.SNL.Clients.Office.Excel.Functions.SPG(I529, "SP_COUNTRY_NAME")</f>
        <v>China</v>
      </c>
    </row>
    <row r="530" spans="1:19" ht="101.5" x14ac:dyDescent="0.35">
      <c r="A530" s="5">
        <v>46022</v>
      </c>
      <c r="B530" s="4" t="s">
        <v>861</v>
      </c>
      <c r="C530" s="4" t="s">
        <v>862</v>
      </c>
      <c r="D530" s="4" t="s">
        <v>1172</v>
      </c>
      <c r="E530" s="8">
        <v>4349081</v>
      </c>
      <c r="F530" s="7">
        <v>8</v>
      </c>
      <c r="G530" s="12" t="str">
        <f>[1]!SNLData("243327", C530, "OWNER_LIST")</f>
        <v>Xizang Mineral Development Co. LTD (Venturer) 2%; Western Mining Co.,Ltd. (Venturer) 58%; Changdu Capital Management And Operation Co (Venturer) 8%; Tibet No 6 Geology and Survey Team (Venturer) 10%; Yulong Copper Industry Joint-Stock Co (Venture) %; Zijin Mining Group Company Limited (Venturer) 22%</v>
      </c>
      <c r="H530" s="9">
        <f>[1]!SNLData("243327", C530, "OWNER_SNL_INSTN_KEY", "Owner 1")</f>
        <v>4355346</v>
      </c>
      <c r="I530" s="9">
        <f>[1]!SNLData("243327", C530, "OWNER_SNL_INSTN_KEY", "Owner 2")</f>
        <v>4355642</v>
      </c>
      <c r="J530" s="12" t="str">
        <f>_xll.SNL.Clients.Office.Excel.Functions.SPG(H530, "SP_ULT_PARENT_COMPANY_NAME")</f>
        <v>Qinghai State Owned Assets Supervision &amp; Administration Commission</v>
      </c>
      <c r="K530" s="12" t="str">
        <f>_xll.SNL.Clients.Office.Excel.Functions.SPG(H530, "SP_ULT_PARENT_COUNTRY")</f>
        <v>China</v>
      </c>
      <c r="L530" s="12" t="str">
        <f>_xll.SNL.Clients.Office.Excel.Functions.SPG(H530, "SP_PARENT_COMPANY_NAME")</f>
        <v>Western Mining Group Co., Ltd.</v>
      </c>
      <c r="M530" s="12" t="str">
        <f>_xll.SNL.Clients.Office.Excel.Functions.SPG(H530, "SP_PARENT_COUNTRY")</f>
        <v>China</v>
      </c>
      <c r="N530" s="12" t="str">
        <f>_xll.SNL.Clients.Office.Excel.Functions.SPG(H530, "SP_COUNTRY_NAME")</f>
        <v>China</v>
      </c>
      <c r="O530" s="12" t="str">
        <f>_xll.SNL.Clients.Office.Excel.Functions.SPG(I530, "SP_ULT_PARENT_COMPANY_NAME")</f>
        <v/>
      </c>
      <c r="P530" s="12" t="str">
        <f>_xll.SNL.Clients.Office.Excel.Functions.SPG(I530, "SP_ULT_PARENT_COUNTRY")</f>
        <v/>
      </c>
      <c r="Q530" s="12" t="str">
        <f>_xll.SNL.Clients.Office.Excel.Functions.SPG(I530, "SP_PARENT_COMPANY_NAME")</f>
        <v/>
      </c>
      <c r="R530" s="12" t="str">
        <f>_xll.SNL.Clients.Office.Excel.Functions.SPG(I530, "SP_PARENT_COUNTRY")</f>
        <v/>
      </c>
      <c r="S530" s="12" t="str">
        <f>_xll.SNL.Clients.Office.Excel.Functions.SPG(I530, "SP_COUNTRY_NAME")</f>
        <v>China</v>
      </c>
    </row>
    <row r="531" spans="1:19" ht="101.5" x14ac:dyDescent="0.35">
      <c r="A531" s="5">
        <v>46022</v>
      </c>
      <c r="B531" s="4" t="s">
        <v>861</v>
      </c>
      <c r="C531" s="4" t="s">
        <v>862</v>
      </c>
      <c r="D531" s="4" t="s">
        <v>1173</v>
      </c>
      <c r="E531" s="8">
        <v>4354855</v>
      </c>
      <c r="F531" s="7">
        <v>10</v>
      </c>
      <c r="G531" s="12" t="str">
        <f>[1]!SNLData("243327", C531, "OWNER_LIST")</f>
        <v>Xizang Mineral Development Co. LTD (Venturer) 2%; Western Mining Co.,Ltd. (Venturer) 58%; Changdu Capital Management And Operation Co (Venturer) 8%; Tibet No 6 Geology and Survey Team (Venturer) 10%; Yulong Copper Industry Joint-Stock Co (Venture) %; Zijin Mining Group Company Limited (Venturer) 22%</v>
      </c>
      <c r="H531" s="9">
        <f>[1]!SNLData("243327", C531, "OWNER_SNL_INSTN_KEY", "Owner 1")</f>
        <v>4355346</v>
      </c>
      <c r="I531" s="9">
        <f>[1]!SNLData("243327", C531, "OWNER_SNL_INSTN_KEY", "Owner 2")</f>
        <v>4355642</v>
      </c>
      <c r="J531" s="12" t="str">
        <f>_xll.SNL.Clients.Office.Excel.Functions.SPG(H531, "SP_ULT_PARENT_COMPANY_NAME")</f>
        <v>Qinghai State Owned Assets Supervision &amp; Administration Commission</v>
      </c>
      <c r="K531" s="12" t="str">
        <f>_xll.SNL.Clients.Office.Excel.Functions.SPG(H531, "SP_ULT_PARENT_COUNTRY")</f>
        <v>China</v>
      </c>
      <c r="L531" s="12" t="str">
        <f>_xll.SNL.Clients.Office.Excel.Functions.SPG(H531, "SP_PARENT_COMPANY_NAME")</f>
        <v>Western Mining Group Co., Ltd.</v>
      </c>
      <c r="M531" s="12" t="str">
        <f>_xll.SNL.Clients.Office.Excel.Functions.SPG(H531, "SP_PARENT_COUNTRY")</f>
        <v>China</v>
      </c>
      <c r="N531" s="12" t="str">
        <f>_xll.SNL.Clients.Office.Excel.Functions.SPG(H531, "SP_COUNTRY_NAME")</f>
        <v>China</v>
      </c>
      <c r="O531" s="12" t="str">
        <f>_xll.SNL.Clients.Office.Excel.Functions.SPG(I531, "SP_ULT_PARENT_COMPANY_NAME")</f>
        <v/>
      </c>
      <c r="P531" s="12" t="str">
        <f>_xll.SNL.Clients.Office.Excel.Functions.SPG(I531, "SP_ULT_PARENT_COUNTRY")</f>
        <v/>
      </c>
      <c r="Q531" s="12" t="str">
        <f>_xll.SNL.Clients.Office.Excel.Functions.SPG(I531, "SP_PARENT_COMPANY_NAME")</f>
        <v/>
      </c>
      <c r="R531" s="12" t="str">
        <f>_xll.SNL.Clients.Office.Excel.Functions.SPG(I531, "SP_PARENT_COUNTRY")</f>
        <v/>
      </c>
      <c r="S531" s="12" t="str">
        <f>_xll.SNL.Clients.Office.Excel.Functions.SPG(I531, "SP_COUNTRY_NAME")</f>
        <v>China</v>
      </c>
    </row>
    <row r="532" spans="1:19" ht="101.5" x14ac:dyDescent="0.35">
      <c r="A532" s="5">
        <v>46022</v>
      </c>
      <c r="B532" s="4" t="s">
        <v>861</v>
      </c>
      <c r="C532" s="4" t="s">
        <v>862</v>
      </c>
      <c r="D532" s="4" t="s">
        <v>1051</v>
      </c>
      <c r="E532" s="8">
        <v>4355346</v>
      </c>
      <c r="F532" s="7">
        <v>58</v>
      </c>
      <c r="G532" s="12" t="str">
        <f>[1]!SNLData("243327", C532, "OWNER_LIST")</f>
        <v>Xizang Mineral Development Co. LTD (Venturer) 2%; Western Mining Co.,Ltd. (Venturer) 58%; Changdu Capital Management And Operation Co (Venturer) 8%; Tibet No 6 Geology and Survey Team (Venturer) 10%; Yulong Copper Industry Joint-Stock Co (Venture) %; Zijin Mining Group Company Limited (Venturer) 22%</v>
      </c>
      <c r="H532" s="9">
        <f>[1]!SNLData("243327", C532, "OWNER_SNL_INSTN_KEY", "Owner 1")</f>
        <v>4355346</v>
      </c>
      <c r="I532" s="9">
        <f>[1]!SNLData("243327", C532, "OWNER_SNL_INSTN_KEY", "Owner 2")</f>
        <v>4355642</v>
      </c>
      <c r="J532" s="12" t="str">
        <f>_xll.SNL.Clients.Office.Excel.Functions.SPG(H532, "SP_ULT_PARENT_COMPANY_NAME")</f>
        <v>Qinghai State Owned Assets Supervision &amp; Administration Commission</v>
      </c>
      <c r="K532" s="12" t="str">
        <f>_xll.SNL.Clients.Office.Excel.Functions.SPG(H532, "SP_ULT_PARENT_COUNTRY")</f>
        <v>China</v>
      </c>
      <c r="L532" s="12" t="str">
        <f>_xll.SNL.Clients.Office.Excel.Functions.SPG(H532, "SP_PARENT_COMPANY_NAME")</f>
        <v>Western Mining Group Co., Ltd.</v>
      </c>
      <c r="M532" s="12" t="str">
        <f>_xll.SNL.Clients.Office.Excel.Functions.SPG(H532, "SP_PARENT_COUNTRY")</f>
        <v>China</v>
      </c>
      <c r="N532" s="12" t="str">
        <f>_xll.SNL.Clients.Office.Excel.Functions.SPG(H532, "SP_COUNTRY_NAME")</f>
        <v>China</v>
      </c>
      <c r="O532" s="12" t="str">
        <f>_xll.SNL.Clients.Office.Excel.Functions.SPG(I532, "SP_ULT_PARENT_COMPANY_NAME")</f>
        <v/>
      </c>
      <c r="P532" s="12" t="str">
        <f>_xll.SNL.Clients.Office.Excel.Functions.SPG(I532, "SP_ULT_PARENT_COUNTRY")</f>
        <v/>
      </c>
      <c r="Q532" s="12" t="str">
        <f>_xll.SNL.Clients.Office.Excel.Functions.SPG(I532, "SP_PARENT_COMPANY_NAME")</f>
        <v/>
      </c>
      <c r="R532" s="12" t="str">
        <f>_xll.SNL.Clients.Office.Excel.Functions.SPG(I532, "SP_PARENT_COUNTRY")</f>
        <v/>
      </c>
      <c r="S532" s="12" t="str">
        <f>_xll.SNL.Clients.Office.Excel.Functions.SPG(I532, "SP_COUNTRY_NAME")</f>
        <v>China</v>
      </c>
    </row>
    <row r="533" spans="1:19" ht="101.5" x14ac:dyDescent="0.35">
      <c r="A533" s="5">
        <v>46022</v>
      </c>
      <c r="B533" s="4" t="s">
        <v>861</v>
      </c>
      <c r="C533" s="4" t="s">
        <v>862</v>
      </c>
      <c r="D533" s="4" t="s">
        <v>1174</v>
      </c>
      <c r="E533" s="8">
        <v>4354854</v>
      </c>
      <c r="F533" s="7">
        <v>2</v>
      </c>
      <c r="G533" s="12" t="str">
        <f>[1]!SNLData("243327", C533, "OWNER_LIST")</f>
        <v>Xizang Mineral Development Co. LTD (Venturer) 2%; Western Mining Co.,Ltd. (Venturer) 58%; Changdu Capital Management And Operation Co (Venturer) 8%; Tibet No 6 Geology and Survey Team (Venturer) 10%; Yulong Copper Industry Joint-Stock Co (Venture) %; Zijin Mining Group Company Limited (Venturer) 22%</v>
      </c>
      <c r="H533" s="9">
        <f>[1]!SNLData("243327", C533, "OWNER_SNL_INSTN_KEY", "Owner 1")</f>
        <v>4355346</v>
      </c>
      <c r="I533" s="9">
        <f>[1]!SNLData("243327", C533, "OWNER_SNL_INSTN_KEY", "Owner 2")</f>
        <v>4355642</v>
      </c>
      <c r="J533" s="12" t="str">
        <f>_xll.SNL.Clients.Office.Excel.Functions.SPG(H533, "SP_ULT_PARENT_COMPANY_NAME")</f>
        <v>Qinghai State Owned Assets Supervision &amp; Administration Commission</v>
      </c>
      <c r="K533" s="12" t="str">
        <f>_xll.SNL.Clients.Office.Excel.Functions.SPG(H533, "SP_ULT_PARENT_COUNTRY")</f>
        <v>China</v>
      </c>
      <c r="L533" s="12" t="str">
        <f>_xll.SNL.Clients.Office.Excel.Functions.SPG(H533, "SP_PARENT_COMPANY_NAME")</f>
        <v>Western Mining Group Co., Ltd.</v>
      </c>
      <c r="M533" s="12" t="str">
        <f>_xll.SNL.Clients.Office.Excel.Functions.SPG(H533, "SP_PARENT_COUNTRY")</f>
        <v>China</v>
      </c>
      <c r="N533" s="12" t="str">
        <f>_xll.SNL.Clients.Office.Excel.Functions.SPG(H533, "SP_COUNTRY_NAME")</f>
        <v>China</v>
      </c>
      <c r="O533" s="12" t="str">
        <f>_xll.SNL.Clients.Office.Excel.Functions.SPG(I533, "SP_ULT_PARENT_COMPANY_NAME")</f>
        <v/>
      </c>
      <c r="P533" s="12" t="str">
        <f>_xll.SNL.Clients.Office.Excel.Functions.SPG(I533, "SP_ULT_PARENT_COUNTRY")</f>
        <v/>
      </c>
      <c r="Q533" s="12" t="str">
        <f>_xll.SNL.Clients.Office.Excel.Functions.SPG(I533, "SP_PARENT_COMPANY_NAME")</f>
        <v/>
      </c>
      <c r="R533" s="12" t="str">
        <f>_xll.SNL.Clients.Office.Excel.Functions.SPG(I533, "SP_PARENT_COUNTRY")</f>
        <v/>
      </c>
      <c r="S533" s="12" t="str">
        <f>_xll.SNL.Clients.Office.Excel.Functions.SPG(I533, "SP_COUNTRY_NAME")</f>
        <v>China</v>
      </c>
    </row>
    <row r="534" spans="1:19" ht="101.5" x14ac:dyDescent="0.35">
      <c r="A534" s="5">
        <v>46022</v>
      </c>
      <c r="B534" s="4" t="s">
        <v>861</v>
      </c>
      <c r="C534" s="4" t="s">
        <v>862</v>
      </c>
      <c r="D534" s="4" t="s">
        <v>958</v>
      </c>
      <c r="E534" s="8">
        <v>4355642</v>
      </c>
      <c r="F534" s="7">
        <v>22</v>
      </c>
      <c r="G534" s="12" t="str">
        <f>[1]!SNLData("243327", C534, "OWNER_LIST")</f>
        <v>Xizang Mineral Development Co. LTD (Venturer) 2%; Western Mining Co.,Ltd. (Venturer) 58%; Changdu Capital Management And Operation Co (Venturer) 8%; Tibet No 6 Geology and Survey Team (Venturer) 10%; Yulong Copper Industry Joint-Stock Co (Venture) %; Zijin Mining Group Company Limited (Venturer) 22%</v>
      </c>
      <c r="H534" s="9">
        <f>[1]!SNLData("243327", C534, "OWNER_SNL_INSTN_KEY", "Owner 1")</f>
        <v>4355346</v>
      </c>
      <c r="I534" s="9">
        <f>[1]!SNLData("243327", C534, "OWNER_SNL_INSTN_KEY", "Owner 2")</f>
        <v>4355642</v>
      </c>
      <c r="J534" s="12" t="str">
        <f>_xll.SNL.Clients.Office.Excel.Functions.SPG(H534, "SP_ULT_PARENT_COMPANY_NAME")</f>
        <v>Qinghai State Owned Assets Supervision &amp; Administration Commission</v>
      </c>
      <c r="K534" s="12" t="str">
        <f>_xll.SNL.Clients.Office.Excel.Functions.SPG(H534, "SP_ULT_PARENT_COUNTRY")</f>
        <v>China</v>
      </c>
      <c r="L534" s="12" t="str">
        <f>_xll.SNL.Clients.Office.Excel.Functions.SPG(H534, "SP_PARENT_COMPANY_NAME")</f>
        <v>Western Mining Group Co., Ltd.</v>
      </c>
      <c r="M534" s="12" t="str">
        <f>_xll.SNL.Clients.Office.Excel.Functions.SPG(H534, "SP_PARENT_COUNTRY")</f>
        <v>China</v>
      </c>
      <c r="N534" s="12" t="str">
        <f>_xll.SNL.Clients.Office.Excel.Functions.SPG(H534, "SP_COUNTRY_NAME")</f>
        <v>China</v>
      </c>
      <c r="O534" s="12" t="str">
        <f>_xll.SNL.Clients.Office.Excel.Functions.SPG(I534, "SP_ULT_PARENT_COMPANY_NAME")</f>
        <v/>
      </c>
      <c r="P534" s="12" t="str">
        <f>_xll.SNL.Clients.Office.Excel.Functions.SPG(I534, "SP_ULT_PARENT_COUNTRY")</f>
        <v/>
      </c>
      <c r="Q534" s="12" t="str">
        <f>_xll.SNL.Clients.Office.Excel.Functions.SPG(I534, "SP_PARENT_COMPANY_NAME")</f>
        <v/>
      </c>
      <c r="R534" s="12" t="str">
        <f>_xll.SNL.Clients.Office.Excel.Functions.SPG(I534, "SP_PARENT_COUNTRY")</f>
        <v/>
      </c>
      <c r="S534" s="12" t="str">
        <f>_xll.SNL.Clients.Office.Excel.Functions.SPG(I534, "SP_COUNTRY_NAME")</f>
        <v>China</v>
      </c>
    </row>
    <row r="535" spans="1:19" ht="29" x14ac:dyDescent="0.35">
      <c r="A535" s="5">
        <v>46022</v>
      </c>
      <c r="B535" s="4" t="s">
        <v>673</v>
      </c>
      <c r="C535" s="4" t="s">
        <v>674</v>
      </c>
      <c r="D535" s="4" t="s">
        <v>951</v>
      </c>
      <c r="E535" s="8">
        <v>4348083</v>
      </c>
      <c r="F535" s="7">
        <v>50</v>
      </c>
      <c r="G535" s="12" t="str">
        <f>[1]!SNLData("243327", C535, "OWNER_LIST")</f>
        <v>Antofagasta plc (Venturer) 50%; Barrick Mining Corporation (Venturer) 50%</v>
      </c>
      <c r="H535" s="9">
        <f>[1]!SNLData("243327", C535, "OWNER_SNL_INSTN_KEY", "Owner 1")</f>
        <v>4120225</v>
      </c>
      <c r="I535" s="9">
        <f>[1]!SNLData("243327", C535, "OWNER_SNL_INSTN_KEY", "Owner 2")</f>
        <v>4348083</v>
      </c>
      <c r="J535" s="12" t="str">
        <f>_xll.SNL.Clients.Office.Excel.Functions.SPG(H535, "SP_ULT_PARENT_COMPANY_NAME")</f>
        <v/>
      </c>
      <c r="K535" s="12" t="str">
        <f>_xll.SNL.Clients.Office.Excel.Functions.SPG(H535, "SP_ULT_PARENT_COUNTRY")</f>
        <v/>
      </c>
      <c r="L535" s="12" t="str">
        <f>_xll.SNL.Clients.Office.Excel.Functions.SPG(H535, "SP_PARENT_COMPANY_NAME")</f>
        <v/>
      </c>
      <c r="M535" s="12" t="str">
        <f>_xll.SNL.Clients.Office.Excel.Functions.SPG(H535, "SP_PARENT_COUNTRY")</f>
        <v/>
      </c>
      <c r="N535" s="12" t="str">
        <f>_xll.SNL.Clients.Office.Excel.Functions.SPG(H535, "SP_COUNTRY_NAME")</f>
        <v>Canada</v>
      </c>
      <c r="O535" s="12" t="str">
        <f>_xll.SNL.Clients.Office.Excel.Functions.SPG(I535, "SP_ULT_PARENT_COMPANY_NAME")</f>
        <v>E. Abaroa Foundation</v>
      </c>
      <c r="P535" s="12" t="str">
        <f>_xll.SNL.Clients.Office.Excel.Functions.SPG(I535, "SP_ULT_PARENT_COUNTRY")</f>
        <v>Liechtenstein</v>
      </c>
      <c r="Q535" s="12" t="str">
        <f>_xll.SNL.Clients.Office.Excel.Functions.SPG(I535, "SP_PARENT_COMPANY_NAME")</f>
        <v>Metalinvest Anstalt</v>
      </c>
      <c r="R535" s="12" t="str">
        <f>_xll.SNL.Clients.Office.Excel.Functions.SPG(I535, "SP_PARENT_COUNTRY")</f>
        <v>Liechtenstein</v>
      </c>
      <c r="S535" s="12" t="str">
        <f>_xll.SNL.Clients.Office.Excel.Functions.SPG(I535, "SP_COUNTRY_NAME")</f>
        <v>United Kingdom</v>
      </c>
    </row>
    <row r="536" spans="1:19" ht="29" x14ac:dyDescent="0.35">
      <c r="A536" s="5">
        <v>46022</v>
      </c>
      <c r="B536" s="4" t="s">
        <v>673</v>
      </c>
      <c r="C536" s="4" t="s">
        <v>674</v>
      </c>
      <c r="D536" s="4" t="s">
        <v>981</v>
      </c>
      <c r="E536" s="8">
        <v>4120225</v>
      </c>
      <c r="F536" s="7">
        <v>50</v>
      </c>
      <c r="G536" s="12" t="str">
        <f>[1]!SNLData("243327", C536, "OWNER_LIST")</f>
        <v>Antofagasta plc (Venturer) 50%; Barrick Mining Corporation (Venturer) 50%</v>
      </c>
      <c r="H536" s="9">
        <f>[1]!SNLData("243327", C536, "OWNER_SNL_INSTN_KEY", "Owner 1")</f>
        <v>4120225</v>
      </c>
      <c r="I536" s="9">
        <f>[1]!SNLData("243327", C536, "OWNER_SNL_INSTN_KEY", "Owner 2")</f>
        <v>4348083</v>
      </c>
      <c r="J536" s="12" t="str">
        <f>_xll.SNL.Clients.Office.Excel.Functions.SPG(H536, "SP_ULT_PARENT_COMPANY_NAME")</f>
        <v/>
      </c>
      <c r="K536" s="12" t="str">
        <f>_xll.SNL.Clients.Office.Excel.Functions.SPG(H536, "SP_ULT_PARENT_COUNTRY")</f>
        <v/>
      </c>
      <c r="L536" s="12" t="str">
        <f>_xll.SNL.Clients.Office.Excel.Functions.SPG(H536, "SP_PARENT_COMPANY_NAME")</f>
        <v/>
      </c>
      <c r="M536" s="12" t="str">
        <f>_xll.SNL.Clients.Office.Excel.Functions.SPG(H536, "SP_PARENT_COUNTRY")</f>
        <v/>
      </c>
      <c r="N536" s="12" t="str">
        <f>_xll.SNL.Clients.Office.Excel.Functions.SPG(H536, "SP_COUNTRY_NAME")</f>
        <v>Canada</v>
      </c>
      <c r="O536" s="12" t="str">
        <f>_xll.SNL.Clients.Office.Excel.Functions.SPG(I536, "SP_ULT_PARENT_COMPANY_NAME")</f>
        <v>E. Abaroa Foundation</v>
      </c>
      <c r="P536" s="12" t="str">
        <f>_xll.SNL.Clients.Office.Excel.Functions.SPG(I536, "SP_ULT_PARENT_COUNTRY")</f>
        <v>Liechtenstein</v>
      </c>
      <c r="Q536" s="12" t="str">
        <f>_xll.SNL.Clients.Office.Excel.Functions.SPG(I536, "SP_PARENT_COMPANY_NAME")</f>
        <v>Metalinvest Anstalt</v>
      </c>
      <c r="R536" s="12" t="str">
        <f>_xll.SNL.Clients.Office.Excel.Functions.SPG(I536, "SP_PARENT_COUNTRY")</f>
        <v>Liechtenstein</v>
      </c>
      <c r="S536" s="12" t="str">
        <f>_xll.SNL.Clients.Office.Excel.Functions.SPG(I536, "SP_COUNTRY_NAME")</f>
        <v>United Kingdom</v>
      </c>
    </row>
    <row r="537" spans="1:19" ht="29" x14ac:dyDescent="0.35">
      <c r="A537" s="5">
        <v>46022</v>
      </c>
      <c r="B537" s="4" t="s">
        <v>863</v>
      </c>
      <c r="C537" s="4" t="s">
        <v>864</v>
      </c>
      <c r="D537" s="4" t="s">
        <v>1175</v>
      </c>
      <c r="E537" s="8">
        <v>4355591</v>
      </c>
      <c r="F537" s="7">
        <v>100</v>
      </c>
      <c r="G537" s="12" t="str">
        <f>[1]!SNLData("243327", C537, "OWNER_LIST")</f>
        <v>Zangezur Copper Molybdenum Combine CJSC  100%</v>
      </c>
      <c r="H537" s="9">
        <f>[1]!SNLData("243327", C537, "OWNER_SNL_INSTN_KEY", "Owner 1")</f>
        <v>4355591</v>
      </c>
      <c r="I537" s="9" t="str">
        <f>[1]!SNLData("243327", C537, "OWNER_SNL_INSTN_KEY", "Owner 2")</f>
        <v>NA</v>
      </c>
      <c r="J537" s="12" t="str">
        <f>_xll.SNL.Clients.Office.Excel.Functions.SPG(H537, "SP_ULT_PARENT_COMPANY_NAME")</f>
        <v/>
      </c>
      <c r="K537" s="12" t="str">
        <f>_xll.SNL.Clients.Office.Excel.Functions.SPG(H537, "SP_ULT_PARENT_COUNTRY")</f>
        <v/>
      </c>
      <c r="L537" s="12" t="str">
        <f>_xll.SNL.Clients.Office.Excel.Functions.SPG(H537, "SP_PARENT_COMPANY_NAME")</f>
        <v/>
      </c>
      <c r="M537" s="12" t="str">
        <f>_xll.SNL.Clients.Office.Excel.Functions.SPG(H537, "SP_PARENT_COUNTRY")</f>
        <v/>
      </c>
      <c r="N537" s="12" t="str">
        <f>_xll.SNL.Clients.Office.Excel.Functions.SPG(H537, "SP_COUNTRY_NAME")</f>
        <v>Armenia</v>
      </c>
      <c r="O537" s="12" t="str">
        <f>_xll.SNL.Clients.Office.Excel.Functions.SPG(I537, "SP_ULT_PARENT_COMPANY_NAME")</f>
        <v/>
      </c>
      <c r="P537" s="12" t="str">
        <f>_xll.SNL.Clients.Office.Excel.Functions.SPG(I537, "SP_ULT_PARENT_COUNTRY")</f>
        <v/>
      </c>
      <c r="Q537" s="12" t="str">
        <f>_xll.SNL.Clients.Office.Excel.Functions.SPG(I537, "SP_PARENT_COMPANY_NAME")</f>
        <v/>
      </c>
      <c r="R537" s="12" t="str">
        <f>_xll.SNL.Clients.Office.Excel.Functions.SPG(I537, "SP_PARENT_COUNTRY")</f>
        <v/>
      </c>
      <c r="S537" s="12" t="str">
        <f>_xll.SNL.Clients.Office.Excel.Functions.SPG(I537, "SP_COUNTRY_NAME")</f>
        <v>China</v>
      </c>
    </row>
    <row r="538" spans="1:19" x14ac:dyDescent="0.35">
      <c r="A538" s="5">
        <v>46022</v>
      </c>
      <c r="B538" s="4" t="s">
        <v>675</v>
      </c>
      <c r="C538" s="4" t="s">
        <v>676</v>
      </c>
      <c r="D538" s="4" t="s">
        <v>996</v>
      </c>
      <c r="E538" s="8">
        <v>4410234</v>
      </c>
      <c r="F538" s="7">
        <v>100</v>
      </c>
      <c r="G538" s="12" t="str">
        <f>[1]!SNLData("243327", C538, "OWNER_LIST")</f>
        <v>Cuprum Holding Limited  100%</v>
      </c>
      <c r="H538" s="9">
        <f>[1]!SNLData("243327", C538, "OWNER_SNL_INSTN_KEY", "Owner 1")</f>
        <v>4410234</v>
      </c>
      <c r="I538" s="9" t="str">
        <f>[1]!SNLData("243327", C538, "OWNER_SNL_INSTN_KEY", "Owner 2")</f>
        <v>NA</v>
      </c>
      <c r="J538" s="12" t="str">
        <f>_xll.SNL.Clients.Office.Excel.Functions.SPG(H538, "SP_ULT_PARENT_COMPANY_NAME")</f>
        <v/>
      </c>
      <c r="K538" s="12" t="str">
        <f>_xll.SNL.Clients.Office.Excel.Functions.SPG(H538, "SP_ULT_PARENT_COUNTRY")</f>
        <v/>
      </c>
      <c r="L538" s="12" t="str">
        <f>_xll.SNL.Clients.Office.Excel.Functions.SPG(H538, "SP_PARENT_COMPANY_NAME")</f>
        <v/>
      </c>
      <c r="M538" s="12" t="str">
        <f>_xll.SNL.Clients.Office.Excel.Functions.SPG(H538, "SP_PARENT_COUNTRY")</f>
        <v/>
      </c>
      <c r="N538" s="12" t="str">
        <f>_xll.SNL.Clients.Office.Excel.Functions.SPG(H538, "SP_COUNTRY_NAME")</f>
        <v>Malta</v>
      </c>
      <c r="O538" s="12" t="str">
        <f>_xll.SNL.Clients.Office.Excel.Functions.SPG(I538, "SP_ULT_PARENT_COMPANY_NAME")</f>
        <v/>
      </c>
      <c r="P538" s="12" t="str">
        <f>_xll.SNL.Clients.Office.Excel.Functions.SPG(I538, "SP_ULT_PARENT_COUNTRY")</f>
        <v/>
      </c>
      <c r="Q538" s="12" t="str">
        <f>_xll.SNL.Clients.Office.Excel.Functions.SPG(I538, "SP_PARENT_COMPANY_NAME")</f>
        <v/>
      </c>
      <c r="R538" s="12" t="str">
        <f>_xll.SNL.Clients.Office.Excel.Functions.SPG(I538, "SP_PARENT_COUNTRY")</f>
        <v/>
      </c>
      <c r="S538" s="12" t="str">
        <f>_xll.SNL.Clients.Office.Excel.Functions.SPG(I538, "SP_COUNTRY_NAME")</f>
        <v>China</v>
      </c>
    </row>
    <row r="539" spans="1:19" ht="43.5" x14ac:dyDescent="0.35">
      <c r="A539" s="5">
        <v>46022</v>
      </c>
      <c r="B539" s="4" t="s">
        <v>677</v>
      </c>
      <c r="C539" s="4" t="s">
        <v>678</v>
      </c>
      <c r="D539" s="4" t="s">
        <v>962</v>
      </c>
      <c r="E539" s="8">
        <v>4353456</v>
      </c>
      <c r="F539" s="7">
        <v>25</v>
      </c>
      <c r="G539" s="12" t="str">
        <f>[1]!SNLData("243327", C539, "OWNER_LIST")</f>
        <v>Zijin Mining Group Company Limited (Venturer) 50.1%; Private Interest (Venturer) 25%; Zangge Mining Company Limited (Venturer) 24.9%</v>
      </c>
      <c r="H539" s="9">
        <f>[1]!SNLData("243327", C539, "OWNER_SNL_INSTN_KEY", "Owner 1")</f>
        <v>4355642</v>
      </c>
      <c r="I539" s="9">
        <f>[1]!SNLData("243327", C539, "OWNER_SNL_INSTN_KEY", "Owner 2")</f>
        <v>4353456</v>
      </c>
      <c r="J539" s="12" t="str">
        <f>_xll.SNL.Clients.Office.Excel.Functions.SPG(H539, "SP_ULT_PARENT_COMPANY_NAME")</f>
        <v/>
      </c>
      <c r="K539" s="12" t="str">
        <f>_xll.SNL.Clients.Office.Excel.Functions.SPG(H539, "SP_ULT_PARENT_COUNTRY")</f>
        <v/>
      </c>
      <c r="L539" s="12" t="str">
        <f>_xll.SNL.Clients.Office.Excel.Functions.SPG(H539, "SP_PARENT_COMPANY_NAME")</f>
        <v/>
      </c>
      <c r="M539" s="12" t="str">
        <f>_xll.SNL.Clients.Office.Excel.Functions.SPG(H539, "SP_PARENT_COUNTRY")</f>
        <v/>
      </c>
      <c r="N539" s="12" t="str">
        <f>_xll.SNL.Clients.Office.Excel.Functions.SPG(H539, "SP_COUNTRY_NAME")</f>
        <v>China</v>
      </c>
      <c r="O539" s="12" t="str">
        <f>_xll.SNL.Clients.Office.Excel.Functions.SPG(I539, "SP_ULT_PARENT_COMPANY_NAME")</f>
        <v/>
      </c>
      <c r="P539" s="12" t="str">
        <f>_xll.SNL.Clients.Office.Excel.Functions.SPG(I539, "SP_ULT_PARENT_COUNTRY")</f>
        <v/>
      </c>
      <c r="Q539" s="12" t="str">
        <f>_xll.SNL.Clients.Office.Excel.Functions.SPG(I539, "SP_PARENT_COMPANY_NAME")</f>
        <v/>
      </c>
      <c r="R539" s="12" t="str">
        <f>_xll.SNL.Clients.Office.Excel.Functions.SPG(I539, "SP_PARENT_COUNTRY")</f>
        <v/>
      </c>
      <c r="S539" s="12" t="str">
        <f>_xll.SNL.Clients.Office.Excel.Functions.SPG(I539, "SP_COUNTRY_NAME")</f>
        <v>China</v>
      </c>
    </row>
    <row r="540" spans="1:19" ht="43.5" x14ac:dyDescent="0.35">
      <c r="A540" s="5">
        <v>46022</v>
      </c>
      <c r="B540" s="4" t="s">
        <v>677</v>
      </c>
      <c r="C540" s="4" t="s">
        <v>678</v>
      </c>
      <c r="D540" s="4" t="s">
        <v>1127</v>
      </c>
      <c r="E540" s="8">
        <v>4993645</v>
      </c>
      <c r="F540" s="7">
        <v>24.9</v>
      </c>
      <c r="G540" s="12" t="str">
        <f>[1]!SNLData("243327", C540, "OWNER_LIST")</f>
        <v>Zijin Mining Group Company Limited (Venturer) 50.1%; Private Interest (Venturer) 25%; Zangge Mining Company Limited (Venturer) 24.9%</v>
      </c>
      <c r="H540" s="9">
        <f>[1]!SNLData("243327", C540, "OWNER_SNL_INSTN_KEY", "Owner 1")</f>
        <v>4355642</v>
      </c>
      <c r="I540" s="9">
        <f>[1]!SNLData("243327", C540, "OWNER_SNL_INSTN_KEY", "Owner 2")</f>
        <v>4353456</v>
      </c>
      <c r="J540" s="12" t="str">
        <f>_xll.SNL.Clients.Office.Excel.Functions.SPG(H540, "SP_ULT_PARENT_COMPANY_NAME")</f>
        <v/>
      </c>
      <c r="K540" s="12" t="str">
        <f>_xll.SNL.Clients.Office.Excel.Functions.SPG(H540, "SP_ULT_PARENT_COUNTRY")</f>
        <v/>
      </c>
      <c r="L540" s="12" t="str">
        <f>_xll.SNL.Clients.Office.Excel.Functions.SPG(H540, "SP_PARENT_COMPANY_NAME")</f>
        <v/>
      </c>
      <c r="M540" s="12" t="str">
        <f>_xll.SNL.Clients.Office.Excel.Functions.SPG(H540, "SP_PARENT_COUNTRY")</f>
        <v/>
      </c>
      <c r="N540" s="12" t="str">
        <f>_xll.SNL.Clients.Office.Excel.Functions.SPG(H540, "SP_COUNTRY_NAME")</f>
        <v>China</v>
      </c>
      <c r="O540" s="12" t="str">
        <f>_xll.SNL.Clients.Office.Excel.Functions.SPG(I540, "SP_ULT_PARENT_COMPANY_NAME")</f>
        <v/>
      </c>
      <c r="P540" s="12" t="str">
        <f>_xll.SNL.Clients.Office.Excel.Functions.SPG(I540, "SP_ULT_PARENT_COUNTRY")</f>
        <v/>
      </c>
      <c r="Q540" s="12" t="str">
        <f>_xll.SNL.Clients.Office.Excel.Functions.SPG(I540, "SP_PARENT_COMPANY_NAME")</f>
        <v/>
      </c>
      <c r="R540" s="12" t="str">
        <f>_xll.SNL.Clients.Office.Excel.Functions.SPG(I540, "SP_PARENT_COUNTRY")</f>
        <v/>
      </c>
      <c r="S540" s="12" t="str">
        <f>_xll.SNL.Clients.Office.Excel.Functions.SPG(I540, "SP_COUNTRY_NAME")</f>
        <v>China</v>
      </c>
    </row>
    <row r="541" spans="1:19" ht="43.5" x14ac:dyDescent="0.35">
      <c r="A541" s="5">
        <v>46022</v>
      </c>
      <c r="B541" s="4" t="s">
        <v>677</v>
      </c>
      <c r="C541" s="4" t="s">
        <v>678</v>
      </c>
      <c r="D541" s="4" t="s">
        <v>958</v>
      </c>
      <c r="E541" s="8">
        <v>4355642</v>
      </c>
      <c r="F541" s="7">
        <v>50.1</v>
      </c>
      <c r="G541" s="12" t="str">
        <f>[1]!SNLData("243327", C541, "OWNER_LIST")</f>
        <v>Zijin Mining Group Company Limited (Venturer) 50.1%; Private Interest (Venturer) 25%; Zangge Mining Company Limited (Venturer) 24.9%</v>
      </c>
      <c r="H541" s="9">
        <f>[1]!SNLData("243327", C541, "OWNER_SNL_INSTN_KEY", "Owner 1")</f>
        <v>4355642</v>
      </c>
      <c r="I541" s="9">
        <f>[1]!SNLData("243327", C541, "OWNER_SNL_INSTN_KEY", "Owner 2")</f>
        <v>4353456</v>
      </c>
      <c r="J541" s="12" t="str">
        <f>_xll.SNL.Clients.Office.Excel.Functions.SPG(H541, "SP_ULT_PARENT_COMPANY_NAME")</f>
        <v/>
      </c>
      <c r="K541" s="12" t="str">
        <f>_xll.SNL.Clients.Office.Excel.Functions.SPG(H541, "SP_ULT_PARENT_COUNTRY")</f>
        <v/>
      </c>
      <c r="L541" s="12" t="str">
        <f>_xll.SNL.Clients.Office.Excel.Functions.SPG(H541, "SP_PARENT_COMPANY_NAME")</f>
        <v/>
      </c>
      <c r="M541" s="12" t="str">
        <f>_xll.SNL.Clients.Office.Excel.Functions.SPG(H541, "SP_PARENT_COUNTRY")</f>
        <v/>
      </c>
      <c r="N541" s="12" t="str">
        <f>_xll.SNL.Clients.Office.Excel.Functions.SPG(H541, "SP_COUNTRY_NAME")</f>
        <v>China</v>
      </c>
      <c r="O541" s="12" t="str">
        <f>_xll.SNL.Clients.Office.Excel.Functions.SPG(I541, "SP_ULT_PARENT_COMPANY_NAME")</f>
        <v/>
      </c>
      <c r="P541" s="12" t="str">
        <f>_xll.SNL.Clients.Office.Excel.Functions.SPG(I541, "SP_ULT_PARENT_COUNTRY")</f>
        <v/>
      </c>
      <c r="Q541" s="12" t="str">
        <f>_xll.SNL.Clients.Office.Excel.Functions.SPG(I541, "SP_PARENT_COMPANY_NAME")</f>
        <v/>
      </c>
      <c r="R541" s="12" t="str">
        <f>_xll.SNL.Clients.Office.Excel.Functions.SPG(I541, "SP_PARENT_COUNTRY")</f>
        <v/>
      </c>
      <c r="S541" s="12" t="str">
        <f>_xll.SNL.Clients.Office.Excel.Functions.SPG(I541, "SP_COUNTRY_NAME")</f>
        <v>China</v>
      </c>
    </row>
    <row r="542" spans="1:19" x14ac:dyDescent="0.35">
      <c r="A542" s="5">
        <v>46022</v>
      </c>
      <c r="B542" s="4" t="s">
        <v>571</v>
      </c>
      <c r="C542" s="4" t="s">
        <v>572</v>
      </c>
      <c r="D542" s="4" t="s">
        <v>571</v>
      </c>
      <c r="E542" s="8">
        <v>10948290</v>
      </c>
      <c r="F542" s="7">
        <v>100</v>
      </c>
      <c r="G542" s="12" t="str">
        <f>[1]!SNLData("243327", C542, "OWNER_LIST")</f>
        <v>Zhixincheng Conc. Plant  100%</v>
      </c>
      <c r="H542" s="9">
        <f>[1]!SNLData("243327", C542, "OWNER_SNL_INSTN_KEY", "Owner 1")</f>
        <v>10948290</v>
      </c>
      <c r="I542" s="9" t="str">
        <f>[1]!SNLData("243327", C542, "OWNER_SNL_INSTN_KEY", "Owner 2")</f>
        <v>NA</v>
      </c>
      <c r="J542" s="12" t="str">
        <f>_xll.SNL.Clients.Office.Excel.Functions.SPG(H542, "SP_ULT_PARENT_COMPANY_NAME")</f>
        <v/>
      </c>
      <c r="K542" s="12" t="str">
        <f>_xll.SNL.Clients.Office.Excel.Functions.SPG(H542, "SP_ULT_PARENT_COUNTRY")</f>
        <v/>
      </c>
      <c r="L542" s="12" t="str">
        <f>_xll.SNL.Clients.Office.Excel.Functions.SPG(H542, "SP_PARENT_COMPANY_NAME")</f>
        <v/>
      </c>
      <c r="M542" s="12" t="str">
        <f>_xll.SNL.Clients.Office.Excel.Functions.SPG(H542, "SP_PARENT_COUNTRY")</f>
        <v/>
      </c>
      <c r="N542" s="12" t="str">
        <f>_xll.SNL.Clients.Office.Excel.Functions.SPG(H542, "SP_COUNTRY_NAME")</f>
        <v>China</v>
      </c>
      <c r="O542" s="12" t="str">
        <f>_xll.SNL.Clients.Office.Excel.Functions.SPG(I542, "SP_ULT_PARENT_COMPANY_NAME")</f>
        <v/>
      </c>
      <c r="P542" s="12" t="str">
        <f>_xll.SNL.Clients.Office.Excel.Functions.SPG(I542, "SP_ULT_PARENT_COUNTRY")</f>
        <v/>
      </c>
      <c r="Q542" s="12" t="str">
        <f>_xll.SNL.Clients.Office.Excel.Functions.SPG(I542, "SP_PARENT_COMPANY_NAME")</f>
        <v/>
      </c>
      <c r="R542" s="12" t="str">
        <f>_xll.SNL.Clients.Office.Excel.Functions.SPG(I542, "SP_PARENT_COUNTRY")</f>
        <v/>
      </c>
      <c r="S542" s="12" t="str">
        <f>_xll.SNL.Clients.Office.Excel.Functions.SPG(I542, "SP_COUNTRY_NAME")</f>
        <v>China</v>
      </c>
    </row>
    <row r="543" spans="1:19" x14ac:dyDescent="0.35">
      <c r="A543" s="5">
        <v>46022</v>
      </c>
      <c r="B543" s="4" t="s">
        <v>865</v>
      </c>
      <c r="C543" s="4" t="s">
        <v>866</v>
      </c>
      <c r="D543" s="4" t="s">
        <v>1176</v>
      </c>
      <c r="E543" s="8">
        <v>10928421</v>
      </c>
      <c r="F543" s="7">
        <v>100</v>
      </c>
      <c r="G543" s="12" t="str">
        <f>[1]!SNLData("243327", C543, "OWNER_LIST")</f>
        <v>Kunming Haohao Mining Co., Ltd.  100%</v>
      </c>
      <c r="H543" s="9">
        <f>[1]!SNLData("243327", C543, "OWNER_SNL_INSTN_KEY", "Owner 1")</f>
        <v>10928421</v>
      </c>
      <c r="I543" s="9" t="str">
        <f>[1]!SNLData("243327", C543, "OWNER_SNL_INSTN_KEY", "Owner 2")</f>
        <v>NA</v>
      </c>
      <c r="J543" s="12" t="str">
        <f>_xll.SNL.Clients.Office.Excel.Functions.SPG(H543, "SP_ULT_PARENT_COMPANY_NAME")</f>
        <v/>
      </c>
      <c r="K543" s="12" t="str">
        <f>_xll.SNL.Clients.Office.Excel.Functions.SPG(H543, "SP_ULT_PARENT_COUNTRY")</f>
        <v/>
      </c>
      <c r="L543" s="12" t="str">
        <f>_xll.SNL.Clients.Office.Excel.Functions.SPG(H543, "SP_PARENT_COMPANY_NAME")</f>
        <v/>
      </c>
      <c r="M543" s="12" t="str">
        <f>_xll.SNL.Clients.Office.Excel.Functions.SPG(H543, "SP_PARENT_COUNTRY")</f>
        <v/>
      </c>
      <c r="N543" s="12" t="str">
        <f>_xll.SNL.Clients.Office.Excel.Functions.SPG(H543, "SP_COUNTRY_NAME")</f>
        <v>China</v>
      </c>
      <c r="O543" s="12" t="str">
        <f>_xll.SNL.Clients.Office.Excel.Functions.SPG(I543, "SP_ULT_PARENT_COMPANY_NAME")</f>
        <v/>
      </c>
      <c r="P543" s="12" t="str">
        <f>_xll.SNL.Clients.Office.Excel.Functions.SPG(I543, "SP_ULT_PARENT_COUNTRY")</f>
        <v/>
      </c>
      <c r="Q543" s="12" t="str">
        <f>_xll.SNL.Clients.Office.Excel.Functions.SPG(I543, "SP_PARENT_COMPANY_NAME")</f>
        <v/>
      </c>
      <c r="R543" s="12" t="str">
        <f>_xll.SNL.Clients.Office.Excel.Functions.SPG(I543, "SP_PARENT_COUNTRY")</f>
        <v/>
      </c>
      <c r="S543" s="12" t="str">
        <f>_xll.SNL.Clients.Office.Excel.Functions.SPG(I543, "SP_COUNTRY_NAME")</f>
        <v>China</v>
      </c>
    </row>
    <row r="544" spans="1:19" x14ac:dyDescent="0.35">
      <c r="A544" s="5">
        <v>46022</v>
      </c>
      <c r="B544" s="4" t="s">
        <v>867</v>
      </c>
      <c r="C544" s="4" t="s">
        <v>868</v>
      </c>
      <c r="D544" s="4" t="s">
        <v>958</v>
      </c>
      <c r="E544" s="8">
        <v>4355642</v>
      </c>
      <c r="F544" s="7">
        <v>100</v>
      </c>
      <c r="G544" s="12" t="str">
        <f>[1]!SNLData("243327", C544, "OWNER_LIST")</f>
        <v>Zijin Mining Group Company Limited  100%</v>
      </c>
      <c r="H544" s="9">
        <f>[1]!SNLData("243327", C544, "OWNER_SNL_INSTN_KEY", "Owner 1")</f>
        <v>4355642</v>
      </c>
      <c r="I544" s="9" t="str">
        <f>[1]!SNLData("243327", C544, "OWNER_SNL_INSTN_KEY", "Owner 2")</f>
        <v>NA</v>
      </c>
      <c r="J544" s="12" t="str">
        <f>_xll.SNL.Clients.Office.Excel.Functions.SPG(H544, "SP_ULT_PARENT_COMPANY_NAME")</f>
        <v/>
      </c>
      <c r="K544" s="12" t="str">
        <f>_xll.SNL.Clients.Office.Excel.Functions.SPG(H544, "SP_ULT_PARENT_COUNTRY")</f>
        <v/>
      </c>
      <c r="L544" s="12" t="str">
        <f>_xll.SNL.Clients.Office.Excel.Functions.SPG(H544, "SP_PARENT_COMPANY_NAME")</f>
        <v/>
      </c>
      <c r="M544" s="12" t="str">
        <f>_xll.SNL.Clients.Office.Excel.Functions.SPG(H544, "SP_PARENT_COUNTRY")</f>
        <v/>
      </c>
      <c r="N544" s="12" t="str">
        <f>_xll.SNL.Clients.Office.Excel.Functions.SPG(H544, "SP_COUNTRY_NAME")</f>
        <v>China</v>
      </c>
      <c r="O544" s="12" t="str">
        <f>_xll.SNL.Clients.Office.Excel.Functions.SPG(I544, "SP_ULT_PARENT_COMPANY_NAME")</f>
        <v/>
      </c>
      <c r="P544" s="12" t="str">
        <f>_xll.SNL.Clients.Office.Excel.Functions.SPG(I544, "SP_ULT_PARENT_COUNTRY")</f>
        <v/>
      </c>
      <c r="Q544" s="12" t="str">
        <f>_xll.SNL.Clients.Office.Excel.Functions.SPG(I544, "SP_PARENT_COMPANY_NAME")</f>
        <v/>
      </c>
      <c r="R544" s="12" t="str">
        <f>_xll.SNL.Clients.Office.Excel.Functions.SPG(I544, "SP_PARENT_COUNTRY")</f>
        <v/>
      </c>
      <c r="S544" s="12" t="str">
        <f>_xll.SNL.Clients.Office.Excel.Functions.SPG(I544, "SP_COUNTRY_NAME")</f>
        <v>China</v>
      </c>
    </row>
    <row r="545" spans="1:19" x14ac:dyDescent="0.35">
      <c r="A545" s="5">
        <v>46022</v>
      </c>
      <c r="B545" s="4" t="s">
        <v>869</v>
      </c>
      <c r="C545" s="4" t="s">
        <v>870</v>
      </c>
      <c r="D545" s="4" t="s">
        <v>958</v>
      </c>
      <c r="E545" s="8">
        <v>4355642</v>
      </c>
      <c r="F545" s="7">
        <v>100</v>
      </c>
      <c r="G545" s="12" t="str">
        <f>[1]!SNLData("243327", C545, "OWNER_LIST")</f>
        <v>Zijin Mining Group Company Limited  100%</v>
      </c>
      <c r="H545" s="9">
        <f>[1]!SNLData("243327", C545, "OWNER_SNL_INSTN_KEY", "Owner 1")</f>
        <v>4355642</v>
      </c>
      <c r="I545" s="9" t="str">
        <f>[1]!SNLData("243327", C545, "OWNER_SNL_INSTN_KEY", "Owner 2")</f>
        <v>NA</v>
      </c>
      <c r="J545" s="12" t="str">
        <f>_xll.SNL.Clients.Office.Excel.Functions.SPG(H545, "SP_ULT_PARENT_COMPANY_NAME")</f>
        <v/>
      </c>
      <c r="K545" s="12" t="str">
        <f>_xll.SNL.Clients.Office.Excel.Functions.SPG(H545, "SP_ULT_PARENT_COUNTRY")</f>
        <v/>
      </c>
      <c r="L545" s="12" t="str">
        <f>_xll.SNL.Clients.Office.Excel.Functions.SPG(H545, "SP_PARENT_COMPANY_NAME")</f>
        <v/>
      </c>
      <c r="M545" s="12" t="str">
        <f>_xll.SNL.Clients.Office.Excel.Functions.SPG(H545, "SP_PARENT_COUNTRY")</f>
        <v/>
      </c>
      <c r="N545" s="12" t="str">
        <f>_xll.SNL.Clients.Office.Excel.Functions.SPG(H545, "SP_COUNTRY_NAME")</f>
        <v>China</v>
      </c>
      <c r="O545" s="12" t="str">
        <f>_xll.SNL.Clients.Office.Excel.Functions.SPG(I545, "SP_ULT_PARENT_COMPANY_NAME")</f>
        <v/>
      </c>
      <c r="P545" s="12" t="str">
        <f>_xll.SNL.Clients.Office.Excel.Functions.SPG(I545, "SP_ULT_PARENT_COUNTRY")</f>
        <v/>
      </c>
      <c r="Q545" s="12" t="str">
        <f>_xll.SNL.Clients.Office.Excel.Functions.SPG(I545, "SP_PARENT_COMPANY_NAME")</f>
        <v/>
      </c>
      <c r="R545" s="12" t="str">
        <f>_xll.SNL.Clients.Office.Excel.Functions.SPG(I545, "SP_PARENT_COUNTRY")</f>
        <v/>
      </c>
      <c r="S545" s="12" t="str">
        <f>_xll.SNL.Clients.Office.Excel.Functions.SPG(I545, "SP_COUNTRY_NAME")</f>
        <v>China</v>
      </c>
    </row>
    <row r="546" spans="1:19" ht="29" x14ac:dyDescent="0.35">
      <c r="A546" s="5">
        <v>46022</v>
      </c>
      <c r="B546" s="4" t="s">
        <v>573</v>
      </c>
      <c r="C546" s="4" t="s">
        <v>574</v>
      </c>
      <c r="D546" s="4" t="s">
        <v>1177</v>
      </c>
      <c r="E546" s="8">
        <v>4355649</v>
      </c>
      <c r="F546" s="7">
        <v>100</v>
      </c>
      <c r="G546" s="12" t="str">
        <f>[1]!SNLData("243327", C546, "OWNER_LIST")</f>
        <v>Zimplats Holdings Limited  100%</v>
      </c>
      <c r="H546" s="9">
        <f>[1]!SNLData("243327", C546, "OWNER_SNL_INSTN_KEY", "Owner 1")</f>
        <v>4355649</v>
      </c>
      <c r="I546" s="9" t="str">
        <f>[1]!SNLData("243327", C546, "OWNER_SNL_INSTN_KEY", "Owner 2")</f>
        <v>NA</v>
      </c>
      <c r="J546" s="12" t="str">
        <f>_xll.SNL.Clients.Office.Excel.Functions.SPG(H546, "SP_ULT_PARENT_COMPANY_NAME")</f>
        <v>Impala Platinum Holdings Limited</v>
      </c>
      <c r="K546" s="12" t="str">
        <f>_xll.SNL.Clients.Office.Excel.Functions.SPG(H546, "SP_ULT_PARENT_COUNTRY")</f>
        <v>South Africa</v>
      </c>
      <c r="L546" s="12" t="str">
        <f>_xll.SNL.Clients.Office.Excel.Functions.SPG(H546, "SP_PARENT_COMPANY_NAME")</f>
        <v>Impala Platinum BV</v>
      </c>
      <c r="M546" s="12" t="str">
        <f>_xll.SNL.Clients.Office.Excel.Functions.SPG(H546, "SP_PARENT_COUNTRY")</f>
        <v>Netherlands</v>
      </c>
      <c r="N546" s="12" t="str">
        <f>_xll.SNL.Clients.Office.Excel.Functions.SPG(H546, "SP_COUNTRY_NAME")</f>
        <v>Guernsey</v>
      </c>
      <c r="O546" s="12" t="str">
        <f>_xll.SNL.Clients.Office.Excel.Functions.SPG(I546, "SP_ULT_PARENT_COMPANY_NAME")</f>
        <v/>
      </c>
      <c r="P546" s="12" t="str">
        <f>_xll.SNL.Clients.Office.Excel.Functions.SPG(I546, "SP_ULT_PARENT_COUNTRY")</f>
        <v/>
      </c>
      <c r="Q546" s="12" t="str">
        <f>_xll.SNL.Clients.Office.Excel.Functions.SPG(I546, "SP_PARENT_COMPANY_NAME")</f>
        <v/>
      </c>
      <c r="R546" s="12" t="str">
        <f>_xll.SNL.Clients.Office.Excel.Functions.SPG(I546, "SP_PARENT_COUNTRY")</f>
        <v/>
      </c>
      <c r="S546" s="12" t="str">
        <f>_xll.SNL.Clients.Office.Excel.Functions.SPG(I546, "SP_COUNTRY_NAME")</f>
        <v>China</v>
      </c>
    </row>
    <row r="547" spans="1:19" x14ac:dyDescent="0.35">
      <c r="A547" s="5">
        <v>46022</v>
      </c>
      <c r="B547" s="4" t="s">
        <v>871</v>
      </c>
      <c r="C547" s="4" t="s">
        <v>872</v>
      </c>
      <c r="D547" s="4" t="s">
        <v>939</v>
      </c>
      <c r="E547" s="8">
        <v>4348654</v>
      </c>
      <c r="F547" s="7">
        <v>100</v>
      </c>
      <c r="G547" s="12" t="str">
        <f>[1]!SNLData("243327", C547, "OWNER_LIST")</f>
        <v>Boliden AB (publ)  100%</v>
      </c>
      <c r="H547" s="9">
        <f>[1]!SNLData("243327", C547, "OWNER_SNL_INSTN_KEY", "Owner 1")</f>
        <v>4348654</v>
      </c>
      <c r="I547" s="9" t="str">
        <f>[1]!SNLData("243327", C547, "OWNER_SNL_INSTN_KEY", "Owner 2")</f>
        <v>NA</v>
      </c>
      <c r="J547" s="12" t="str">
        <f>_xll.SNL.Clients.Office.Excel.Functions.SPG(H547, "SP_ULT_PARENT_COMPANY_NAME")</f>
        <v/>
      </c>
      <c r="K547" s="12" t="str">
        <f>_xll.SNL.Clients.Office.Excel.Functions.SPG(H547, "SP_ULT_PARENT_COUNTRY")</f>
        <v/>
      </c>
      <c r="L547" s="12" t="str">
        <f>_xll.SNL.Clients.Office.Excel.Functions.SPG(H547, "SP_PARENT_COMPANY_NAME")</f>
        <v/>
      </c>
      <c r="M547" s="12" t="str">
        <f>_xll.SNL.Clients.Office.Excel.Functions.SPG(H547, "SP_PARENT_COUNTRY")</f>
        <v/>
      </c>
      <c r="N547" s="12" t="str">
        <f>_xll.SNL.Clients.Office.Excel.Functions.SPG(H547, "SP_COUNTRY_NAME")</f>
        <v>Sweden</v>
      </c>
      <c r="O547" s="12" t="str">
        <f>_xll.SNL.Clients.Office.Excel.Functions.SPG(I547, "SP_ULT_PARENT_COMPANY_NAME")</f>
        <v/>
      </c>
      <c r="P547" s="12" t="str">
        <f>_xll.SNL.Clients.Office.Excel.Functions.SPG(I547, "SP_ULT_PARENT_COUNTRY")</f>
        <v/>
      </c>
      <c r="Q547" s="12" t="str">
        <f>_xll.SNL.Clients.Office.Excel.Functions.SPG(I547, "SP_PARENT_COMPANY_NAME")</f>
        <v/>
      </c>
      <c r="R547" s="12" t="str">
        <f>_xll.SNL.Clients.Office.Excel.Functions.SPG(I547, "SP_PARENT_COUNTRY")</f>
        <v/>
      </c>
      <c r="S547" s="12" t="str">
        <f>_xll.SNL.Clients.Office.Excel.Functions.SPG(I547, "SP_COUNTRY_NAME")</f>
        <v>China</v>
      </c>
    </row>
    <row r="548" spans="1:19" ht="29" x14ac:dyDescent="0.35">
      <c r="A548" s="5">
        <v>46022</v>
      </c>
      <c r="B548" s="4" t="s">
        <v>681</v>
      </c>
      <c r="C548" s="4" t="s">
        <v>682</v>
      </c>
      <c r="D548" s="4" t="s">
        <v>978</v>
      </c>
      <c r="E548" s="8">
        <v>4264043</v>
      </c>
      <c r="F548" s="7">
        <v>100</v>
      </c>
      <c r="G548" s="12" t="str">
        <f>[1]!SNLData("243327", C548, "OWNER_LIST")</f>
        <v>Valterra Platinum Limited (Fractional) %; Northam Platinum Holdings Limited  100%</v>
      </c>
      <c r="H548" s="9">
        <f>[1]!SNLData("243327", C548, "OWNER_SNL_INSTN_KEY", "Owner 1")</f>
        <v>4264043</v>
      </c>
      <c r="I548" s="9">
        <f>[1]!SNLData("243327", C548, "OWNER_SNL_INSTN_KEY", "Owner 2")</f>
        <v>4348055</v>
      </c>
      <c r="J548" s="12" t="str">
        <f>_xll.SNL.Clients.Office.Excel.Functions.SPG(H548, "SP_ULT_PARENT_COMPANY_NAME")</f>
        <v/>
      </c>
      <c r="K548" s="12" t="str">
        <f>_xll.SNL.Clients.Office.Excel.Functions.SPG(H548, "SP_ULT_PARENT_COUNTRY")</f>
        <v/>
      </c>
      <c r="L548" s="12" t="str">
        <f>_xll.SNL.Clients.Office.Excel.Functions.SPG(H548, "SP_PARENT_COMPANY_NAME")</f>
        <v/>
      </c>
      <c r="M548" s="12" t="str">
        <f>_xll.SNL.Clients.Office.Excel.Functions.SPG(H548, "SP_PARENT_COUNTRY")</f>
        <v/>
      </c>
      <c r="N548" s="12" t="str">
        <f>_xll.SNL.Clients.Office.Excel.Functions.SPG(H548, "SP_COUNTRY_NAME")</f>
        <v>South Africa</v>
      </c>
      <c r="O548" s="12" t="str">
        <f>_xll.SNL.Clients.Office.Excel.Functions.SPG(I548, "SP_ULT_PARENT_COMPANY_NAME")</f>
        <v/>
      </c>
      <c r="P548" s="12" t="str">
        <f>_xll.SNL.Clients.Office.Excel.Functions.SPG(I548, "SP_ULT_PARENT_COUNTRY")</f>
        <v/>
      </c>
      <c r="Q548" s="12" t="str">
        <f>_xll.SNL.Clients.Office.Excel.Functions.SPG(I548, "SP_PARENT_COMPANY_NAME")</f>
        <v/>
      </c>
      <c r="R548" s="12" t="str">
        <f>_xll.SNL.Clients.Office.Excel.Functions.SPG(I548, "SP_PARENT_COUNTRY")</f>
        <v/>
      </c>
      <c r="S548" s="12" t="str">
        <f>_xll.SNL.Clients.Office.Excel.Functions.SPG(I548, "SP_COUNTRY_NAME")</f>
        <v>South Africa</v>
      </c>
    </row>
    <row r="549" spans="1:19" x14ac:dyDescent="0.35">
      <c r="L549" s="12"/>
    </row>
    <row r="550" spans="1:19" x14ac:dyDescent="0.35">
      <c r="L550" s="12"/>
    </row>
  </sheetData>
  <mergeCells count="20">
    <mergeCell ref="E6:E9"/>
    <mergeCell ref="F6:F9"/>
    <mergeCell ref="G6:G9"/>
    <mergeCell ref="A1:D1"/>
    <mergeCell ref="A6:A9"/>
    <mergeCell ref="B6:B9"/>
    <mergeCell ref="C6:C9"/>
    <mergeCell ref="D6:D9"/>
    <mergeCell ref="H6:H9"/>
    <mergeCell ref="I6:I9"/>
    <mergeCell ref="J6:J9"/>
    <mergeCell ref="K6:K9"/>
    <mergeCell ref="L6:L9"/>
    <mergeCell ref="R6:R9"/>
    <mergeCell ref="S6:S9"/>
    <mergeCell ref="M6:M9"/>
    <mergeCell ref="N6:N9"/>
    <mergeCell ref="O6:O9"/>
    <mergeCell ref="P6:P9"/>
    <mergeCell ref="Q6:Q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83486-9FDA-49F9-81D3-55C7A2DAA6AC}">
  <dimension ref="A1:S547"/>
  <sheetViews>
    <sheetView topLeftCell="G1" zoomScale="80" zoomScaleNormal="80" workbookViewId="0">
      <pane ySplit="1" topLeftCell="A540" activePane="bottomLeft" state="frozen"/>
      <selection pane="bottomLeft" activeCell="A5" sqref="A5:S547"/>
    </sheetView>
  </sheetViews>
  <sheetFormatPr defaultRowHeight="14.5" x14ac:dyDescent="0.35"/>
  <cols>
    <col min="1" max="1" width="30.54296875" style="10" customWidth="1"/>
    <col min="2" max="2" width="28.7265625" style="10" customWidth="1"/>
    <col min="3" max="3" width="11" style="10" customWidth="1"/>
    <col min="4" max="6" width="9.1796875" style="10"/>
    <col min="7" max="7" width="31.1796875" style="10" customWidth="1"/>
    <col min="8" max="8" width="9.1796875" style="10"/>
    <col min="9" max="9" width="11.36328125" style="10" customWidth="1"/>
    <col min="10" max="10" width="23.1796875" style="10" customWidth="1"/>
    <col min="11" max="19" width="9.1796875" style="10"/>
  </cols>
  <sheetData>
    <row r="1" spans="1:19" x14ac:dyDescent="0.35">
      <c r="A1" s="10" t="s">
        <v>1178</v>
      </c>
    </row>
    <row r="2" spans="1:19" x14ac:dyDescent="0.35">
      <c r="A2" s="10" t="s">
        <v>0</v>
      </c>
    </row>
    <row r="3" spans="1:19" ht="29" x14ac:dyDescent="0.35">
      <c r="A3" s="10" t="s">
        <v>1</v>
      </c>
    </row>
    <row r="5" spans="1:19" ht="72.5" x14ac:dyDescent="0.35">
      <c r="A5" s="10" t="s">
        <v>2</v>
      </c>
      <c r="B5" s="10" t="s">
        <v>3</v>
      </c>
      <c r="C5" s="10" t="s">
        <v>4</v>
      </c>
      <c r="D5" s="10" t="s">
        <v>936</v>
      </c>
      <c r="E5" s="10" t="s">
        <v>937</v>
      </c>
      <c r="F5" s="10" t="s">
        <v>938</v>
      </c>
      <c r="G5" s="10" t="s">
        <v>1179</v>
      </c>
      <c r="H5" s="10" t="s">
        <v>1180</v>
      </c>
      <c r="I5" s="10" t="s">
        <v>1181</v>
      </c>
      <c r="J5" s="10" t="s">
        <v>1182</v>
      </c>
      <c r="K5" s="10" t="s">
        <v>1183</v>
      </c>
      <c r="L5" s="10" t="s">
        <v>1205</v>
      </c>
      <c r="M5" s="10" t="s">
        <v>1206</v>
      </c>
      <c r="N5" s="10" t="s">
        <v>1207</v>
      </c>
      <c r="O5" s="10" t="s">
        <v>1208</v>
      </c>
      <c r="P5" s="10" t="s">
        <v>1209</v>
      </c>
      <c r="Q5" s="10" t="s">
        <v>1210</v>
      </c>
      <c r="R5" s="10" t="s">
        <v>1211</v>
      </c>
      <c r="S5" s="10" t="s">
        <v>1212</v>
      </c>
    </row>
    <row r="9" spans="1:19" ht="29" x14ac:dyDescent="0.35">
      <c r="A9" s="14">
        <v>46022</v>
      </c>
      <c r="B9" s="10" t="s">
        <v>178</v>
      </c>
      <c r="C9" s="10" t="s">
        <v>179</v>
      </c>
      <c r="D9" s="10" t="s">
        <v>939</v>
      </c>
      <c r="E9" s="10">
        <v>4348654</v>
      </c>
      <c r="F9" s="15">
        <v>100</v>
      </c>
      <c r="G9" s="10" t="s">
        <v>1213</v>
      </c>
      <c r="H9" s="10">
        <v>4348654</v>
      </c>
      <c r="I9" s="10" t="s">
        <v>1194</v>
      </c>
      <c r="J9" s="10" t="s">
        <v>1214</v>
      </c>
      <c r="K9" s="10" t="s">
        <v>1214</v>
      </c>
      <c r="L9" s="10" t="s">
        <v>1214</v>
      </c>
      <c r="M9" s="10" t="s">
        <v>1214</v>
      </c>
      <c r="N9" s="10" t="s">
        <v>102</v>
      </c>
      <c r="O9" s="10" t="s">
        <v>1214</v>
      </c>
      <c r="P9" s="10" t="s">
        <v>1214</v>
      </c>
      <c r="Q9" s="10" t="s">
        <v>1214</v>
      </c>
      <c r="R9" s="10" t="s">
        <v>1214</v>
      </c>
      <c r="S9" s="10" t="s">
        <v>61</v>
      </c>
    </row>
    <row r="10" spans="1:19" ht="43.5" x14ac:dyDescent="0.35">
      <c r="A10" s="14">
        <v>46022</v>
      </c>
      <c r="B10" s="10" t="s">
        <v>180</v>
      </c>
      <c r="C10" s="10" t="s">
        <v>181</v>
      </c>
      <c r="D10" s="10" t="s">
        <v>940</v>
      </c>
      <c r="E10" s="10">
        <v>4199214</v>
      </c>
      <c r="F10" s="15">
        <v>100</v>
      </c>
      <c r="G10" s="10" t="s">
        <v>1215</v>
      </c>
      <c r="H10" s="10">
        <v>4199214</v>
      </c>
      <c r="I10" s="10" t="s">
        <v>1194</v>
      </c>
      <c r="J10" s="10" t="s">
        <v>1216</v>
      </c>
      <c r="K10" s="10" t="s">
        <v>69</v>
      </c>
      <c r="L10" s="10" t="s">
        <v>1217</v>
      </c>
      <c r="M10" s="10" t="s">
        <v>1218</v>
      </c>
      <c r="N10" s="10" t="s">
        <v>1219</v>
      </c>
      <c r="O10" s="10" t="s">
        <v>1214</v>
      </c>
      <c r="P10" s="10" t="s">
        <v>1214</v>
      </c>
      <c r="Q10" s="10" t="s">
        <v>1214</v>
      </c>
      <c r="R10" s="10" t="s">
        <v>1214</v>
      </c>
      <c r="S10" s="10" t="s">
        <v>61</v>
      </c>
    </row>
    <row r="11" spans="1:19" ht="43.5" x14ac:dyDescent="0.35">
      <c r="A11" s="14">
        <v>46022</v>
      </c>
      <c r="B11" s="10" t="s">
        <v>67</v>
      </c>
      <c r="C11" s="10" t="s">
        <v>68</v>
      </c>
      <c r="D11" s="10" t="s">
        <v>940</v>
      </c>
      <c r="E11" s="10">
        <v>4199214</v>
      </c>
      <c r="F11" s="15">
        <v>100</v>
      </c>
      <c r="G11" s="10" t="s">
        <v>1215</v>
      </c>
      <c r="H11" s="10">
        <v>4199214</v>
      </c>
      <c r="I11" s="10" t="s">
        <v>1194</v>
      </c>
      <c r="J11" s="10" t="s">
        <v>1216</v>
      </c>
      <c r="K11" s="10" t="s">
        <v>69</v>
      </c>
      <c r="L11" s="10" t="s">
        <v>1217</v>
      </c>
      <c r="M11" s="10" t="s">
        <v>1218</v>
      </c>
      <c r="N11" s="10" t="s">
        <v>1219</v>
      </c>
      <c r="O11" s="10" t="s">
        <v>1214</v>
      </c>
      <c r="P11" s="10" t="s">
        <v>1214</v>
      </c>
      <c r="Q11" s="10" t="s">
        <v>1214</v>
      </c>
      <c r="R11" s="10" t="s">
        <v>1214</v>
      </c>
      <c r="S11" s="10" t="s">
        <v>61</v>
      </c>
    </row>
    <row r="12" spans="1:19" ht="87" x14ac:dyDescent="0.35">
      <c r="A12" s="14">
        <v>46022</v>
      </c>
      <c r="B12" s="10" t="s">
        <v>70</v>
      </c>
      <c r="C12" s="10" t="s">
        <v>71</v>
      </c>
      <c r="D12" s="10" t="s">
        <v>941</v>
      </c>
      <c r="E12" s="10">
        <v>4355482</v>
      </c>
      <c r="F12" s="15">
        <v>100</v>
      </c>
      <c r="G12" s="10" t="s">
        <v>1220</v>
      </c>
      <c r="H12" s="10">
        <v>4355482</v>
      </c>
      <c r="I12" s="10" t="s">
        <v>1194</v>
      </c>
      <c r="J12" s="10" t="s">
        <v>1221</v>
      </c>
      <c r="K12" s="10" t="s">
        <v>61</v>
      </c>
      <c r="L12" s="10" t="s">
        <v>1221</v>
      </c>
      <c r="M12" s="10" t="s">
        <v>61</v>
      </c>
      <c r="N12" s="10" t="s">
        <v>61</v>
      </c>
      <c r="O12" s="10" t="s">
        <v>1214</v>
      </c>
      <c r="P12" s="10" t="s">
        <v>1214</v>
      </c>
      <c r="Q12" s="10" t="s">
        <v>1214</v>
      </c>
      <c r="R12" s="10" t="s">
        <v>1214</v>
      </c>
      <c r="S12" s="10" t="s">
        <v>61</v>
      </c>
    </row>
    <row r="13" spans="1:19" ht="29" x14ac:dyDescent="0.35">
      <c r="A13" s="14">
        <v>46022</v>
      </c>
      <c r="B13" s="10" t="s">
        <v>72</v>
      </c>
      <c r="C13" s="10" t="s">
        <v>73</v>
      </c>
      <c r="D13" s="10" t="s">
        <v>942</v>
      </c>
      <c r="E13" s="10">
        <v>4360795</v>
      </c>
      <c r="F13" s="15">
        <v>100</v>
      </c>
      <c r="G13" s="10" t="s">
        <v>1222</v>
      </c>
      <c r="H13" s="10">
        <v>4360795</v>
      </c>
      <c r="I13" s="10" t="s">
        <v>1194</v>
      </c>
      <c r="J13" s="10" t="s">
        <v>1214</v>
      </c>
      <c r="K13" s="10" t="s">
        <v>1214</v>
      </c>
      <c r="L13" s="10" t="s">
        <v>1214</v>
      </c>
      <c r="M13" s="10" t="s">
        <v>1214</v>
      </c>
      <c r="N13" s="10" t="s">
        <v>74</v>
      </c>
      <c r="O13" s="10" t="s">
        <v>1214</v>
      </c>
      <c r="P13" s="10" t="s">
        <v>1214</v>
      </c>
      <c r="Q13" s="10" t="s">
        <v>1214</v>
      </c>
      <c r="R13" s="10" t="s">
        <v>1214</v>
      </c>
      <c r="S13" s="10" t="s">
        <v>61</v>
      </c>
    </row>
    <row r="14" spans="1:19" ht="43.5" x14ac:dyDescent="0.35">
      <c r="A14" s="14">
        <v>46022</v>
      </c>
      <c r="B14" s="10" t="s">
        <v>164</v>
      </c>
      <c r="C14" s="10" t="s">
        <v>165</v>
      </c>
      <c r="D14" s="10" t="s">
        <v>943</v>
      </c>
      <c r="E14" s="10">
        <v>4348055</v>
      </c>
      <c r="F14" s="15">
        <v>100</v>
      </c>
      <c r="G14" s="10" t="s">
        <v>1223</v>
      </c>
      <c r="H14" s="10">
        <v>4348055</v>
      </c>
      <c r="I14" s="10" t="s">
        <v>1194</v>
      </c>
      <c r="J14" s="10" t="s">
        <v>1214</v>
      </c>
      <c r="K14" s="10" t="s">
        <v>1214</v>
      </c>
      <c r="L14" s="10" t="s">
        <v>1214</v>
      </c>
      <c r="M14" s="10" t="s">
        <v>1214</v>
      </c>
      <c r="N14" s="10" t="s">
        <v>105</v>
      </c>
      <c r="O14" s="10" t="s">
        <v>1214</v>
      </c>
      <c r="P14" s="10" t="s">
        <v>1214</v>
      </c>
      <c r="Q14" s="10" t="s">
        <v>1214</v>
      </c>
      <c r="R14" s="10" t="s">
        <v>1214</v>
      </c>
      <c r="S14" s="10" t="s">
        <v>61</v>
      </c>
    </row>
    <row r="15" spans="1:19" ht="145" x14ac:dyDescent="0.35">
      <c r="A15" s="14">
        <v>46022</v>
      </c>
      <c r="B15" s="10" t="s">
        <v>166</v>
      </c>
      <c r="C15" s="10" t="s">
        <v>167</v>
      </c>
      <c r="D15" s="10" t="s">
        <v>944</v>
      </c>
      <c r="E15" s="10">
        <v>10930027</v>
      </c>
      <c r="F15" s="15">
        <v>100</v>
      </c>
      <c r="G15" s="10" t="s">
        <v>1224</v>
      </c>
      <c r="H15" s="10">
        <v>10930027</v>
      </c>
      <c r="I15" s="10" t="s">
        <v>1194</v>
      </c>
      <c r="J15" s="10" t="s">
        <v>1214</v>
      </c>
      <c r="K15" s="10" t="s">
        <v>1214</v>
      </c>
      <c r="L15" s="10" t="s">
        <v>1214</v>
      </c>
      <c r="M15" s="10" t="s">
        <v>1214</v>
      </c>
      <c r="N15" s="10" t="s">
        <v>61</v>
      </c>
      <c r="O15" s="10" t="s">
        <v>1214</v>
      </c>
      <c r="P15" s="10" t="s">
        <v>1214</v>
      </c>
      <c r="Q15" s="10" t="s">
        <v>1214</v>
      </c>
      <c r="R15" s="10" t="s">
        <v>1214</v>
      </c>
      <c r="S15" s="10" t="s">
        <v>61</v>
      </c>
    </row>
    <row r="16" spans="1:19" ht="29" x14ac:dyDescent="0.35">
      <c r="A16" s="14">
        <v>46022</v>
      </c>
      <c r="B16" s="10" t="s">
        <v>168</v>
      </c>
      <c r="C16" s="10" t="s">
        <v>169</v>
      </c>
      <c r="D16" s="10" t="s">
        <v>945</v>
      </c>
      <c r="E16" s="10">
        <v>4349314</v>
      </c>
      <c r="F16" s="15">
        <v>100</v>
      </c>
      <c r="G16" s="10" t="s">
        <v>1225</v>
      </c>
      <c r="H16" s="10">
        <v>4349314</v>
      </c>
      <c r="I16" s="10" t="s">
        <v>1194</v>
      </c>
      <c r="J16" s="10" t="s">
        <v>58</v>
      </c>
      <c r="K16" s="10" t="s">
        <v>58</v>
      </c>
      <c r="L16" s="10" t="s">
        <v>58</v>
      </c>
      <c r="M16" s="10" t="s">
        <v>58</v>
      </c>
      <c r="N16" s="10" t="s">
        <v>58</v>
      </c>
      <c r="O16" s="10" t="s">
        <v>1214</v>
      </c>
      <c r="P16" s="10" t="s">
        <v>1214</v>
      </c>
      <c r="Q16" s="10" t="s">
        <v>1214</v>
      </c>
      <c r="R16" s="10" t="s">
        <v>1214</v>
      </c>
      <c r="S16" s="10" t="s">
        <v>61</v>
      </c>
    </row>
    <row r="17" spans="1:19" ht="43.5" x14ac:dyDescent="0.35">
      <c r="A17" s="14">
        <v>46022</v>
      </c>
      <c r="B17" s="10" t="s">
        <v>75</v>
      </c>
      <c r="C17" s="10" t="s">
        <v>76</v>
      </c>
      <c r="D17" s="10" t="s">
        <v>946</v>
      </c>
      <c r="E17" s="10">
        <v>4354915</v>
      </c>
      <c r="F17" s="15">
        <v>100</v>
      </c>
      <c r="G17" s="10" t="s">
        <v>1226</v>
      </c>
      <c r="H17" s="10">
        <v>4354915</v>
      </c>
      <c r="I17" s="10">
        <v>4314727</v>
      </c>
      <c r="J17" s="10" t="s">
        <v>1214</v>
      </c>
      <c r="K17" s="10" t="s">
        <v>1214</v>
      </c>
      <c r="L17" s="10" t="s">
        <v>1214</v>
      </c>
      <c r="M17" s="10" t="s">
        <v>1214</v>
      </c>
      <c r="N17" s="10" t="s">
        <v>61</v>
      </c>
      <c r="O17" s="10" t="s">
        <v>1214</v>
      </c>
      <c r="P17" s="10" t="s">
        <v>1214</v>
      </c>
      <c r="Q17" s="10" t="s">
        <v>1214</v>
      </c>
      <c r="R17" s="10" t="s">
        <v>1214</v>
      </c>
      <c r="S17" s="10" t="s">
        <v>61</v>
      </c>
    </row>
    <row r="18" spans="1:19" ht="72.5" x14ac:dyDescent="0.35">
      <c r="A18" s="14">
        <v>46022</v>
      </c>
      <c r="B18" s="10" t="s">
        <v>48</v>
      </c>
      <c r="C18" s="10" t="s">
        <v>49</v>
      </c>
      <c r="D18" s="10" t="s">
        <v>947</v>
      </c>
      <c r="E18" s="10">
        <v>4121840</v>
      </c>
      <c r="F18" s="15">
        <v>33.75</v>
      </c>
      <c r="G18" s="10" t="s">
        <v>1227</v>
      </c>
      <c r="H18" s="10">
        <v>4113732</v>
      </c>
      <c r="I18" s="10">
        <v>4121840</v>
      </c>
      <c r="J18" s="10" t="s">
        <v>1214</v>
      </c>
      <c r="K18" s="10" t="s">
        <v>1214</v>
      </c>
      <c r="L18" s="10" t="s">
        <v>1214</v>
      </c>
      <c r="M18" s="10" t="s">
        <v>1214</v>
      </c>
      <c r="N18" s="10" t="s">
        <v>1228</v>
      </c>
      <c r="O18" s="10" t="s">
        <v>1214</v>
      </c>
      <c r="P18" s="10" t="s">
        <v>1214</v>
      </c>
      <c r="Q18" s="10" t="s">
        <v>1214</v>
      </c>
      <c r="R18" s="10" t="s">
        <v>1214</v>
      </c>
      <c r="S18" s="10" t="s">
        <v>89</v>
      </c>
    </row>
    <row r="19" spans="1:19" ht="72.5" x14ac:dyDescent="0.35">
      <c r="A19" s="14">
        <v>46022</v>
      </c>
      <c r="B19" s="10" t="s">
        <v>48</v>
      </c>
      <c r="C19" s="10" t="s">
        <v>49</v>
      </c>
      <c r="D19" s="10" t="s">
        <v>948</v>
      </c>
      <c r="E19" s="10">
        <v>4113732</v>
      </c>
      <c r="F19" s="15">
        <v>33.75</v>
      </c>
      <c r="G19" s="10" t="s">
        <v>1227</v>
      </c>
      <c r="H19" s="10">
        <v>4113732</v>
      </c>
      <c r="I19" s="10">
        <v>4121840</v>
      </c>
      <c r="J19" s="10" t="s">
        <v>1214</v>
      </c>
      <c r="K19" s="10" t="s">
        <v>1214</v>
      </c>
      <c r="L19" s="10" t="s">
        <v>1214</v>
      </c>
      <c r="M19" s="10" t="s">
        <v>1214</v>
      </c>
      <c r="N19" s="10" t="s">
        <v>1228</v>
      </c>
      <c r="O19" s="10" t="s">
        <v>1214</v>
      </c>
      <c r="P19" s="10" t="s">
        <v>1214</v>
      </c>
      <c r="Q19" s="10" t="s">
        <v>1214</v>
      </c>
      <c r="R19" s="10" t="s">
        <v>1214</v>
      </c>
      <c r="S19" s="10" t="s">
        <v>89</v>
      </c>
    </row>
    <row r="20" spans="1:19" ht="72.5" x14ac:dyDescent="0.35">
      <c r="A20" s="14">
        <v>46022</v>
      </c>
      <c r="B20" s="10" t="s">
        <v>48</v>
      </c>
      <c r="C20" s="10" t="s">
        <v>49</v>
      </c>
      <c r="D20" s="10" t="s">
        <v>949</v>
      </c>
      <c r="E20" s="10">
        <v>4065098</v>
      </c>
      <c r="F20" s="15">
        <v>10</v>
      </c>
      <c r="G20" s="10" t="s">
        <v>1227</v>
      </c>
      <c r="H20" s="10">
        <v>4113732</v>
      </c>
      <c r="I20" s="10">
        <v>4121840</v>
      </c>
      <c r="J20" s="10" t="s">
        <v>1214</v>
      </c>
      <c r="K20" s="10" t="s">
        <v>1214</v>
      </c>
      <c r="L20" s="10" t="s">
        <v>1214</v>
      </c>
      <c r="M20" s="10" t="s">
        <v>1214</v>
      </c>
      <c r="N20" s="10" t="s">
        <v>1228</v>
      </c>
      <c r="O20" s="10" t="s">
        <v>1214</v>
      </c>
      <c r="P20" s="10" t="s">
        <v>1214</v>
      </c>
      <c r="Q20" s="10" t="s">
        <v>1214</v>
      </c>
      <c r="R20" s="10" t="s">
        <v>1214</v>
      </c>
      <c r="S20" s="10" t="s">
        <v>89</v>
      </c>
    </row>
    <row r="21" spans="1:19" ht="72.5" x14ac:dyDescent="0.35">
      <c r="A21" s="14">
        <v>46022</v>
      </c>
      <c r="B21" s="10" t="s">
        <v>48</v>
      </c>
      <c r="C21" s="10" t="s">
        <v>49</v>
      </c>
      <c r="D21" s="10" t="s">
        <v>950</v>
      </c>
      <c r="E21" s="10">
        <v>4141965</v>
      </c>
      <c r="F21" s="15">
        <v>22.5</v>
      </c>
      <c r="G21" s="10" t="s">
        <v>1227</v>
      </c>
      <c r="H21" s="10">
        <v>4113732</v>
      </c>
      <c r="I21" s="10">
        <v>4121840</v>
      </c>
      <c r="J21" s="10" t="s">
        <v>1214</v>
      </c>
      <c r="K21" s="10" t="s">
        <v>1214</v>
      </c>
      <c r="L21" s="10" t="s">
        <v>1214</v>
      </c>
      <c r="M21" s="10" t="s">
        <v>1214</v>
      </c>
      <c r="N21" s="10" t="s">
        <v>1228</v>
      </c>
      <c r="O21" s="10" t="s">
        <v>1214</v>
      </c>
      <c r="P21" s="10" t="s">
        <v>1214</v>
      </c>
      <c r="Q21" s="10" t="s">
        <v>1214</v>
      </c>
      <c r="R21" s="10" t="s">
        <v>1214</v>
      </c>
      <c r="S21" s="10" t="s">
        <v>89</v>
      </c>
    </row>
    <row r="22" spans="1:19" ht="29" x14ac:dyDescent="0.35">
      <c r="A22" s="14">
        <v>46022</v>
      </c>
      <c r="B22" s="10" t="s">
        <v>51</v>
      </c>
      <c r="C22" s="10" t="s">
        <v>52</v>
      </c>
      <c r="D22" s="10" t="s">
        <v>948</v>
      </c>
      <c r="E22" s="10">
        <v>4113732</v>
      </c>
      <c r="F22" s="15">
        <v>100</v>
      </c>
      <c r="G22" s="10" t="s">
        <v>1229</v>
      </c>
      <c r="H22" s="10">
        <v>4113732</v>
      </c>
      <c r="I22" s="10" t="s">
        <v>1194</v>
      </c>
      <c r="J22" s="10" t="s">
        <v>1214</v>
      </c>
      <c r="K22" s="10" t="s">
        <v>1214</v>
      </c>
      <c r="L22" s="10" t="s">
        <v>1214</v>
      </c>
      <c r="M22" s="10" t="s">
        <v>1214</v>
      </c>
      <c r="N22" s="10" t="s">
        <v>1228</v>
      </c>
      <c r="O22" s="10" t="s">
        <v>1214</v>
      </c>
      <c r="P22" s="10" t="s">
        <v>1214</v>
      </c>
      <c r="Q22" s="10" t="s">
        <v>1214</v>
      </c>
      <c r="R22" s="10" t="s">
        <v>1214</v>
      </c>
      <c r="S22" s="10" t="s">
        <v>61</v>
      </c>
    </row>
    <row r="23" spans="1:19" ht="43.5" x14ac:dyDescent="0.35">
      <c r="A23" s="14">
        <v>46022</v>
      </c>
      <c r="B23" s="10" t="s">
        <v>53</v>
      </c>
      <c r="C23" s="10" t="s">
        <v>54</v>
      </c>
      <c r="D23" s="10" t="s">
        <v>947</v>
      </c>
      <c r="E23" s="10">
        <v>4121840</v>
      </c>
      <c r="F23" s="15">
        <v>100</v>
      </c>
      <c r="G23" s="10" t="s">
        <v>1230</v>
      </c>
      <c r="H23" s="10">
        <v>4121840</v>
      </c>
      <c r="I23" s="10" t="s">
        <v>1194</v>
      </c>
      <c r="J23" s="10" t="s">
        <v>1214</v>
      </c>
      <c r="K23" s="10" t="s">
        <v>1214</v>
      </c>
      <c r="L23" s="10" t="s">
        <v>1214</v>
      </c>
      <c r="M23" s="10" t="s">
        <v>1214</v>
      </c>
      <c r="N23" s="10" t="s">
        <v>89</v>
      </c>
      <c r="O23" s="10" t="s">
        <v>1214</v>
      </c>
      <c r="P23" s="10" t="s">
        <v>1214</v>
      </c>
      <c r="Q23" s="10" t="s">
        <v>1214</v>
      </c>
      <c r="R23" s="10" t="s">
        <v>1214</v>
      </c>
      <c r="S23" s="10" t="s">
        <v>61</v>
      </c>
    </row>
    <row r="24" spans="1:19" ht="43.5" x14ac:dyDescent="0.35">
      <c r="A24" s="14">
        <v>46022</v>
      </c>
      <c r="B24" s="10" t="s">
        <v>56</v>
      </c>
      <c r="C24" s="10" t="s">
        <v>57</v>
      </c>
      <c r="D24" s="10" t="s">
        <v>951</v>
      </c>
      <c r="E24" s="10">
        <v>4348083</v>
      </c>
      <c r="F24" s="15">
        <v>70</v>
      </c>
      <c r="G24" s="10" t="s">
        <v>1231</v>
      </c>
      <c r="H24" s="10">
        <v>4348083</v>
      </c>
      <c r="I24" s="10">
        <v>4041871</v>
      </c>
      <c r="J24" s="10" t="s">
        <v>1232</v>
      </c>
      <c r="K24" s="10" t="s">
        <v>1233</v>
      </c>
      <c r="L24" s="10" t="s">
        <v>1234</v>
      </c>
      <c r="M24" s="10" t="s">
        <v>1233</v>
      </c>
      <c r="N24" s="10" t="s">
        <v>1219</v>
      </c>
      <c r="O24" s="10" t="s">
        <v>1214</v>
      </c>
      <c r="P24" s="10" t="s">
        <v>1214</v>
      </c>
      <c r="Q24" s="10" t="s">
        <v>1214</v>
      </c>
      <c r="R24" s="10" t="s">
        <v>1214</v>
      </c>
      <c r="S24" s="10" t="s">
        <v>1235</v>
      </c>
    </row>
    <row r="25" spans="1:19" ht="43.5" x14ac:dyDescent="0.35">
      <c r="A25" s="14">
        <v>46022</v>
      </c>
      <c r="B25" s="10" t="s">
        <v>56</v>
      </c>
      <c r="C25" s="10" t="s">
        <v>57</v>
      </c>
      <c r="D25" s="10" t="s">
        <v>952</v>
      </c>
      <c r="E25" s="10">
        <v>4041871</v>
      </c>
      <c r="F25" s="15">
        <v>30</v>
      </c>
      <c r="G25" s="10" t="s">
        <v>1231</v>
      </c>
      <c r="H25" s="10">
        <v>4348083</v>
      </c>
      <c r="I25" s="10">
        <v>4041871</v>
      </c>
      <c r="J25" s="10" t="s">
        <v>1232</v>
      </c>
      <c r="K25" s="10" t="s">
        <v>1233</v>
      </c>
      <c r="L25" s="10" t="s">
        <v>1234</v>
      </c>
      <c r="M25" s="10" t="s">
        <v>1233</v>
      </c>
      <c r="N25" s="10" t="s">
        <v>1219</v>
      </c>
      <c r="O25" s="10" t="s">
        <v>1214</v>
      </c>
      <c r="P25" s="10" t="s">
        <v>1214</v>
      </c>
      <c r="Q25" s="10" t="s">
        <v>1214</v>
      </c>
      <c r="R25" s="10" t="s">
        <v>1214</v>
      </c>
      <c r="S25" s="10" t="s">
        <v>1235</v>
      </c>
    </row>
    <row r="26" spans="1:19" ht="43.5" x14ac:dyDescent="0.35">
      <c r="A26" s="14">
        <v>46022</v>
      </c>
      <c r="B26" s="10" t="s">
        <v>170</v>
      </c>
      <c r="C26" s="10" t="s">
        <v>171</v>
      </c>
      <c r="D26" s="10" t="s">
        <v>953</v>
      </c>
      <c r="E26" s="10">
        <v>4348292</v>
      </c>
      <c r="F26" s="15">
        <v>100</v>
      </c>
      <c r="G26" s="10" t="s">
        <v>1236</v>
      </c>
      <c r="H26" s="10">
        <v>4348292</v>
      </c>
      <c r="I26" s="10" t="s">
        <v>1194</v>
      </c>
      <c r="J26" s="10" t="s">
        <v>1214</v>
      </c>
      <c r="K26" s="10" t="s">
        <v>1214</v>
      </c>
      <c r="L26" s="10" t="s">
        <v>1214</v>
      </c>
      <c r="M26" s="10" t="s">
        <v>1214</v>
      </c>
      <c r="N26" s="10" t="s">
        <v>79</v>
      </c>
      <c r="O26" s="10" t="s">
        <v>1214</v>
      </c>
      <c r="P26" s="10" t="s">
        <v>1214</v>
      </c>
      <c r="Q26" s="10" t="s">
        <v>1214</v>
      </c>
      <c r="R26" s="10" t="s">
        <v>1214</v>
      </c>
      <c r="S26" s="10" t="s">
        <v>61</v>
      </c>
    </row>
    <row r="27" spans="1:19" ht="43.5" x14ac:dyDescent="0.35">
      <c r="A27" s="14">
        <v>46022</v>
      </c>
      <c r="B27" s="10" t="s">
        <v>182</v>
      </c>
      <c r="C27" s="10" t="s">
        <v>183</v>
      </c>
      <c r="D27" s="10" t="s">
        <v>954</v>
      </c>
      <c r="E27" s="10">
        <v>4666985</v>
      </c>
      <c r="F27" s="15">
        <v>100</v>
      </c>
      <c r="G27" s="10" t="s">
        <v>1237</v>
      </c>
      <c r="H27" s="10">
        <v>4666985</v>
      </c>
      <c r="I27" s="10">
        <v>7927584</v>
      </c>
      <c r="J27" s="10" t="s">
        <v>1238</v>
      </c>
      <c r="K27" s="10" t="s">
        <v>55</v>
      </c>
      <c r="L27" s="10" t="s">
        <v>1239</v>
      </c>
      <c r="M27" s="10" t="s">
        <v>55</v>
      </c>
      <c r="N27" s="10" t="s">
        <v>1240</v>
      </c>
      <c r="O27" s="10" t="s">
        <v>1214</v>
      </c>
      <c r="P27" s="10" t="s">
        <v>1214</v>
      </c>
      <c r="Q27" s="10" t="s">
        <v>1214</v>
      </c>
      <c r="R27" s="10" t="s">
        <v>1214</v>
      </c>
      <c r="S27" s="10" t="s">
        <v>50</v>
      </c>
    </row>
    <row r="28" spans="1:19" ht="58" x14ac:dyDescent="0.35">
      <c r="A28" s="14">
        <v>46022</v>
      </c>
      <c r="B28" s="10" t="s">
        <v>182</v>
      </c>
      <c r="C28" s="10" t="s">
        <v>183</v>
      </c>
      <c r="D28" s="10" t="s">
        <v>955</v>
      </c>
      <c r="E28" s="10">
        <v>7927584</v>
      </c>
      <c r="F28" s="15">
        <v>100</v>
      </c>
      <c r="G28" s="10" t="s">
        <v>1237</v>
      </c>
      <c r="H28" s="10">
        <v>4666985</v>
      </c>
      <c r="I28" s="10">
        <v>7927584</v>
      </c>
      <c r="J28" s="10" t="s">
        <v>1238</v>
      </c>
      <c r="K28" s="10" t="s">
        <v>55</v>
      </c>
      <c r="L28" s="10" t="s">
        <v>1239</v>
      </c>
      <c r="M28" s="10" t="s">
        <v>55</v>
      </c>
      <c r="N28" s="10" t="s">
        <v>1240</v>
      </c>
      <c r="O28" s="10" t="s">
        <v>1214</v>
      </c>
      <c r="P28" s="10" t="s">
        <v>1214</v>
      </c>
      <c r="Q28" s="10" t="s">
        <v>1214</v>
      </c>
      <c r="R28" s="10" t="s">
        <v>1214</v>
      </c>
      <c r="S28" s="10" t="s">
        <v>50</v>
      </c>
    </row>
    <row r="29" spans="1:19" ht="87" x14ac:dyDescent="0.35">
      <c r="A29" s="14">
        <v>46022</v>
      </c>
      <c r="B29" s="10" t="s">
        <v>59</v>
      </c>
      <c r="C29" s="10" t="s">
        <v>60</v>
      </c>
      <c r="D29" s="10" t="s">
        <v>956</v>
      </c>
      <c r="E29" s="10">
        <v>4350334</v>
      </c>
      <c r="F29" s="15">
        <v>15</v>
      </c>
      <c r="G29" s="10" t="s">
        <v>1241</v>
      </c>
      <c r="H29" s="10">
        <v>4355642</v>
      </c>
      <c r="I29" s="10">
        <v>4415549</v>
      </c>
      <c r="J29" s="10" t="s">
        <v>1214</v>
      </c>
      <c r="K29" s="10" t="s">
        <v>1214</v>
      </c>
      <c r="L29" s="10" t="s">
        <v>1214</v>
      </c>
      <c r="M29" s="10" t="s">
        <v>1214</v>
      </c>
      <c r="N29" s="10" t="s">
        <v>61</v>
      </c>
      <c r="O29" s="10" t="s">
        <v>1214</v>
      </c>
      <c r="P29" s="10" t="s">
        <v>1214</v>
      </c>
      <c r="Q29" s="10" t="s">
        <v>1214</v>
      </c>
      <c r="R29" s="10" t="s">
        <v>1214</v>
      </c>
      <c r="S29" s="10" t="s">
        <v>61</v>
      </c>
    </row>
    <row r="30" spans="1:19" ht="87" x14ac:dyDescent="0.35">
      <c r="A30" s="14">
        <v>46022</v>
      </c>
      <c r="B30" s="10" t="s">
        <v>59</v>
      </c>
      <c r="C30" s="10" t="s">
        <v>60</v>
      </c>
      <c r="D30" s="10" t="s">
        <v>957</v>
      </c>
      <c r="E30" s="10">
        <v>4415549</v>
      </c>
      <c r="F30" s="15">
        <v>34</v>
      </c>
      <c r="G30" s="10" t="s">
        <v>1241</v>
      </c>
      <c r="H30" s="10">
        <v>4355642</v>
      </c>
      <c r="I30" s="10">
        <v>4415549</v>
      </c>
      <c r="J30" s="10" t="s">
        <v>1214</v>
      </c>
      <c r="K30" s="10" t="s">
        <v>1214</v>
      </c>
      <c r="L30" s="10" t="s">
        <v>1214</v>
      </c>
      <c r="M30" s="10" t="s">
        <v>1214</v>
      </c>
      <c r="N30" s="10" t="s">
        <v>61</v>
      </c>
      <c r="O30" s="10" t="s">
        <v>1214</v>
      </c>
      <c r="P30" s="10" t="s">
        <v>1214</v>
      </c>
      <c r="Q30" s="10" t="s">
        <v>1214</v>
      </c>
      <c r="R30" s="10" t="s">
        <v>1214</v>
      </c>
      <c r="S30" s="10" t="s">
        <v>61</v>
      </c>
    </row>
    <row r="31" spans="1:19" ht="87" x14ac:dyDescent="0.35">
      <c r="A31" s="14">
        <v>46022</v>
      </c>
      <c r="B31" s="10" t="s">
        <v>59</v>
      </c>
      <c r="C31" s="10" t="s">
        <v>60</v>
      </c>
      <c r="D31" s="10" t="s">
        <v>958</v>
      </c>
      <c r="E31" s="10">
        <v>4355642</v>
      </c>
      <c r="F31" s="15">
        <v>51</v>
      </c>
      <c r="G31" s="10" t="s">
        <v>1241</v>
      </c>
      <c r="H31" s="10">
        <v>4355642</v>
      </c>
      <c r="I31" s="10">
        <v>4415549</v>
      </c>
      <c r="J31" s="10" t="s">
        <v>1214</v>
      </c>
      <c r="K31" s="10" t="s">
        <v>1214</v>
      </c>
      <c r="L31" s="10" t="s">
        <v>1214</v>
      </c>
      <c r="M31" s="10" t="s">
        <v>1214</v>
      </c>
      <c r="N31" s="10" t="s">
        <v>61</v>
      </c>
      <c r="O31" s="10" t="s">
        <v>1214</v>
      </c>
      <c r="P31" s="10" t="s">
        <v>1214</v>
      </c>
      <c r="Q31" s="10" t="s">
        <v>1214</v>
      </c>
      <c r="R31" s="10" t="s">
        <v>1214</v>
      </c>
      <c r="S31" s="10" t="s">
        <v>61</v>
      </c>
    </row>
    <row r="32" spans="1:19" ht="58" x14ac:dyDescent="0.35">
      <c r="A32" s="14">
        <v>46022</v>
      </c>
      <c r="B32" s="10" t="s">
        <v>172</v>
      </c>
      <c r="C32" s="10" t="s">
        <v>173</v>
      </c>
      <c r="D32" s="10" t="s">
        <v>959</v>
      </c>
      <c r="E32" s="10">
        <v>4352362</v>
      </c>
      <c r="F32" s="15">
        <v>99.99</v>
      </c>
      <c r="G32" s="10" t="s">
        <v>1242</v>
      </c>
      <c r="H32" s="10">
        <v>4352362</v>
      </c>
      <c r="I32" s="10">
        <v>4400798</v>
      </c>
      <c r="J32" s="10" t="s">
        <v>1214</v>
      </c>
      <c r="K32" s="10" t="s">
        <v>1214</v>
      </c>
      <c r="L32" s="10" t="s">
        <v>1214</v>
      </c>
      <c r="M32" s="10" t="s">
        <v>1214</v>
      </c>
      <c r="N32" s="10" t="s">
        <v>111</v>
      </c>
      <c r="O32" s="10" t="s">
        <v>1214</v>
      </c>
      <c r="P32" s="10" t="s">
        <v>1214</v>
      </c>
      <c r="Q32" s="10" t="s">
        <v>1214</v>
      </c>
      <c r="R32" s="10" t="s">
        <v>1214</v>
      </c>
      <c r="S32" s="10" t="s">
        <v>79</v>
      </c>
    </row>
    <row r="33" spans="1:19" ht="101.5" x14ac:dyDescent="0.35">
      <c r="A33" s="14">
        <v>46022</v>
      </c>
      <c r="B33" s="10" t="s">
        <v>184</v>
      </c>
      <c r="C33" s="10" t="s">
        <v>185</v>
      </c>
      <c r="D33" s="10" t="s">
        <v>960</v>
      </c>
      <c r="E33" s="10">
        <v>4348270</v>
      </c>
      <c r="F33" s="15">
        <v>100</v>
      </c>
      <c r="G33" s="10" t="s">
        <v>1243</v>
      </c>
      <c r="H33" s="10">
        <v>4348270</v>
      </c>
      <c r="I33" s="10" t="s">
        <v>1194</v>
      </c>
      <c r="J33" s="10" t="s">
        <v>1214</v>
      </c>
      <c r="K33" s="10" t="s">
        <v>1214</v>
      </c>
      <c r="L33" s="10" t="s">
        <v>1214</v>
      </c>
      <c r="M33" s="10" t="s">
        <v>1214</v>
      </c>
      <c r="N33" s="10" t="s">
        <v>157</v>
      </c>
      <c r="O33" s="10" t="s">
        <v>1214</v>
      </c>
      <c r="P33" s="10" t="s">
        <v>1214</v>
      </c>
      <c r="Q33" s="10" t="s">
        <v>1214</v>
      </c>
      <c r="R33" s="10" t="s">
        <v>1214</v>
      </c>
      <c r="S33" s="10" t="s">
        <v>61</v>
      </c>
    </row>
    <row r="34" spans="1:19" ht="72.5" x14ac:dyDescent="0.35">
      <c r="A34" s="14">
        <v>46022</v>
      </c>
      <c r="B34" s="10" t="s">
        <v>186</v>
      </c>
      <c r="C34" s="10" t="s">
        <v>187</v>
      </c>
      <c r="D34" s="10" t="s">
        <v>961</v>
      </c>
      <c r="E34" s="10">
        <v>4348363</v>
      </c>
      <c r="F34" s="15">
        <v>99.67</v>
      </c>
      <c r="G34" s="10" t="s">
        <v>1244</v>
      </c>
      <c r="H34" s="10">
        <v>4348363</v>
      </c>
      <c r="I34" s="10">
        <v>4353456</v>
      </c>
      <c r="J34" s="10" t="s">
        <v>1214</v>
      </c>
      <c r="K34" s="10" t="s">
        <v>1214</v>
      </c>
      <c r="L34" s="10" t="s">
        <v>1214</v>
      </c>
      <c r="M34" s="10" t="s">
        <v>1214</v>
      </c>
      <c r="N34" s="10" t="s">
        <v>222</v>
      </c>
      <c r="O34" s="10" t="s">
        <v>1214</v>
      </c>
      <c r="P34" s="10" t="s">
        <v>1214</v>
      </c>
      <c r="Q34" s="10" t="s">
        <v>1214</v>
      </c>
      <c r="R34" s="10" t="s">
        <v>1214</v>
      </c>
      <c r="S34" s="10" t="s">
        <v>61</v>
      </c>
    </row>
    <row r="35" spans="1:19" ht="58" x14ac:dyDescent="0.35">
      <c r="A35" s="14">
        <v>46022</v>
      </c>
      <c r="B35" s="10" t="s">
        <v>186</v>
      </c>
      <c r="C35" s="10" t="s">
        <v>187</v>
      </c>
      <c r="D35" s="10" t="s">
        <v>962</v>
      </c>
      <c r="E35" s="10">
        <v>4353456</v>
      </c>
      <c r="F35" s="15">
        <v>0.33</v>
      </c>
      <c r="G35" s="10" t="s">
        <v>1244</v>
      </c>
      <c r="H35" s="10">
        <v>4348363</v>
      </c>
      <c r="I35" s="10">
        <v>4353456</v>
      </c>
      <c r="J35" s="10" t="s">
        <v>1214</v>
      </c>
      <c r="K35" s="10" t="s">
        <v>1214</v>
      </c>
      <c r="L35" s="10" t="s">
        <v>1214</v>
      </c>
      <c r="M35" s="10" t="s">
        <v>1214</v>
      </c>
      <c r="N35" s="10" t="s">
        <v>222</v>
      </c>
      <c r="O35" s="10" t="s">
        <v>1214</v>
      </c>
      <c r="P35" s="10" t="s">
        <v>1214</v>
      </c>
      <c r="Q35" s="10" t="s">
        <v>1214</v>
      </c>
      <c r="R35" s="10" t="s">
        <v>1214</v>
      </c>
      <c r="S35" s="10" t="s">
        <v>61</v>
      </c>
    </row>
    <row r="36" spans="1:19" ht="43.5" x14ac:dyDescent="0.35">
      <c r="A36" s="14">
        <v>46022</v>
      </c>
      <c r="B36" s="10" t="s">
        <v>77</v>
      </c>
      <c r="C36" s="10" t="s">
        <v>78</v>
      </c>
      <c r="D36" s="10" t="s">
        <v>963</v>
      </c>
      <c r="E36" s="10">
        <v>4004107</v>
      </c>
      <c r="F36" s="15">
        <v>100</v>
      </c>
      <c r="G36" s="10" t="s">
        <v>1245</v>
      </c>
      <c r="H36" s="10">
        <v>4004107</v>
      </c>
      <c r="I36" s="10" t="s">
        <v>1194</v>
      </c>
      <c r="J36" s="10" t="s">
        <v>1214</v>
      </c>
      <c r="K36" s="10" t="s">
        <v>1214</v>
      </c>
      <c r="L36" s="10" t="s">
        <v>1214</v>
      </c>
      <c r="M36" s="10" t="s">
        <v>1214</v>
      </c>
      <c r="N36" s="10" t="s">
        <v>79</v>
      </c>
      <c r="O36" s="10" t="s">
        <v>1214</v>
      </c>
      <c r="P36" s="10" t="s">
        <v>1214</v>
      </c>
      <c r="Q36" s="10" t="s">
        <v>1214</v>
      </c>
      <c r="R36" s="10" t="s">
        <v>1214</v>
      </c>
      <c r="S36" s="10" t="s">
        <v>61</v>
      </c>
    </row>
    <row r="37" spans="1:19" ht="72.5" x14ac:dyDescent="0.35">
      <c r="A37" s="14">
        <v>46022</v>
      </c>
      <c r="B37" s="10" t="s">
        <v>62</v>
      </c>
      <c r="C37" s="10" t="s">
        <v>63</v>
      </c>
      <c r="D37" s="10" t="s">
        <v>964</v>
      </c>
      <c r="E37" s="10">
        <v>10930039</v>
      </c>
      <c r="F37" s="15">
        <v>100</v>
      </c>
      <c r="G37" s="10" t="s">
        <v>1246</v>
      </c>
      <c r="H37" s="10">
        <v>10930039</v>
      </c>
      <c r="I37" s="10" t="s">
        <v>1194</v>
      </c>
      <c r="J37" s="10" t="s">
        <v>1214</v>
      </c>
      <c r="K37" s="10" t="s">
        <v>1214</v>
      </c>
      <c r="L37" s="10" t="s">
        <v>1214</v>
      </c>
      <c r="M37" s="10" t="s">
        <v>1214</v>
      </c>
      <c r="N37" s="10" t="s">
        <v>61</v>
      </c>
      <c r="O37" s="10" t="s">
        <v>1214</v>
      </c>
      <c r="P37" s="10" t="s">
        <v>1214</v>
      </c>
      <c r="Q37" s="10" t="s">
        <v>1214</v>
      </c>
      <c r="R37" s="10" t="s">
        <v>1214</v>
      </c>
      <c r="S37" s="10" t="s">
        <v>61</v>
      </c>
    </row>
    <row r="38" spans="1:19" ht="43.5" x14ac:dyDescent="0.35">
      <c r="A38" s="14">
        <v>46022</v>
      </c>
      <c r="B38" s="10" t="s">
        <v>64</v>
      </c>
      <c r="C38" s="10" t="s">
        <v>65</v>
      </c>
      <c r="D38" s="10" t="s">
        <v>965</v>
      </c>
      <c r="E38" s="10">
        <v>4347817</v>
      </c>
      <c r="F38" s="15">
        <v>100</v>
      </c>
      <c r="G38" s="10" t="s">
        <v>1247</v>
      </c>
      <c r="H38" s="10">
        <v>4347817</v>
      </c>
      <c r="I38" s="10" t="s">
        <v>1194</v>
      </c>
      <c r="J38" s="10" t="s">
        <v>1214</v>
      </c>
      <c r="K38" s="10" t="s">
        <v>1214</v>
      </c>
      <c r="L38" s="10" t="s">
        <v>1214</v>
      </c>
      <c r="M38" s="10" t="s">
        <v>1214</v>
      </c>
      <c r="N38" s="10" t="s">
        <v>1219</v>
      </c>
      <c r="O38" s="10" t="s">
        <v>1214</v>
      </c>
      <c r="P38" s="10" t="s">
        <v>1214</v>
      </c>
      <c r="Q38" s="10" t="s">
        <v>1214</v>
      </c>
      <c r="R38" s="10" t="s">
        <v>1214</v>
      </c>
      <c r="S38" s="10" t="s">
        <v>61</v>
      </c>
    </row>
    <row r="39" spans="1:19" ht="58" x14ac:dyDescent="0.35">
      <c r="A39" s="14">
        <v>46022</v>
      </c>
      <c r="B39" s="10" t="s">
        <v>174</v>
      </c>
      <c r="C39" s="10" t="s">
        <v>175</v>
      </c>
      <c r="D39" s="10" t="s">
        <v>966</v>
      </c>
      <c r="E39" s="10">
        <v>10948123</v>
      </c>
      <c r="F39" s="15">
        <v>100</v>
      </c>
      <c r="G39" s="10" t="s">
        <v>1248</v>
      </c>
      <c r="H39" s="10">
        <v>10948123</v>
      </c>
      <c r="I39" s="10" t="s">
        <v>1194</v>
      </c>
      <c r="J39" s="10" t="s">
        <v>1214</v>
      </c>
      <c r="K39" s="10" t="s">
        <v>1214</v>
      </c>
      <c r="L39" s="10" t="s">
        <v>1214</v>
      </c>
      <c r="M39" s="10" t="s">
        <v>1214</v>
      </c>
      <c r="N39" s="10" t="s">
        <v>61</v>
      </c>
      <c r="O39" s="10" t="s">
        <v>1214</v>
      </c>
      <c r="P39" s="10" t="s">
        <v>1214</v>
      </c>
      <c r="Q39" s="10" t="s">
        <v>1214</v>
      </c>
      <c r="R39" s="10" t="s">
        <v>1214</v>
      </c>
      <c r="S39" s="10" t="s">
        <v>61</v>
      </c>
    </row>
    <row r="40" spans="1:19" ht="72.5" x14ac:dyDescent="0.35">
      <c r="A40" s="14">
        <v>46022</v>
      </c>
      <c r="B40" s="10" t="s">
        <v>176</v>
      </c>
      <c r="C40" s="10" t="s">
        <v>177</v>
      </c>
      <c r="D40" s="10" t="s">
        <v>967</v>
      </c>
      <c r="E40" s="10">
        <v>10931218</v>
      </c>
      <c r="F40" s="15">
        <v>100</v>
      </c>
      <c r="G40" s="10" t="s">
        <v>1249</v>
      </c>
      <c r="H40" s="10">
        <v>10931218</v>
      </c>
      <c r="I40" s="10" t="s">
        <v>1194</v>
      </c>
      <c r="J40" s="10" t="s">
        <v>1214</v>
      </c>
      <c r="K40" s="10" t="s">
        <v>1214</v>
      </c>
      <c r="L40" s="10" t="s">
        <v>1214</v>
      </c>
      <c r="M40" s="10" t="s">
        <v>1214</v>
      </c>
      <c r="N40" s="10" t="s">
        <v>61</v>
      </c>
      <c r="O40" s="10" t="s">
        <v>1214</v>
      </c>
      <c r="P40" s="10" t="s">
        <v>1214</v>
      </c>
      <c r="Q40" s="10" t="s">
        <v>1214</v>
      </c>
      <c r="R40" s="10" t="s">
        <v>1214</v>
      </c>
      <c r="S40" s="10" t="s">
        <v>61</v>
      </c>
    </row>
    <row r="41" spans="1:19" ht="58" x14ac:dyDescent="0.35">
      <c r="A41" s="14">
        <v>46022</v>
      </c>
      <c r="B41" s="10" t="s">
        <v>84</v>
      </c>
      <c r="C41" s="10" t="s">
        <v>85</v>
      </c>
      <c r="D41" s="10" t="s">
        <v>968</v>
      </c>
      <c r="E41" s="10">
        <v>4355114</v>
      </c>
      <c r="F41" s="15">
        <v>79.78</v>
      </c>
      <c r="G41" s="10" t="s">
        <v>1250</v>
      </c>
      <c r="H41" s="10">
        <v>4355114</v>
      </c>
      <c r="I41" s="10" t="s">
        <v>1194</v>
      </c>
      <c r="J41" s="10" t="s">
        <v>1251</v>
      </c>
      <c r="K41" s="10" t="s">
        <v>1252</v>
      </c>
      <c r="L41" s="10" t="s">
        <v>1253</v>
      </c>
      <c r="M41" s="10" t="s">
        <v>1254</v>
      </c>
      <c r="N41" s="10" t="s">
        <v>86</v>
      </c>
      <c r="O41" s="10" t="s">
        <v>1214</v>
      </c>
      <c r="P41" s="10" t="s">
        <v>1214</v>
      </c>
      <c r="Q41" s="10" t="s">
        <v>1214</v>
      </c>
      <c r="R41" s="10" t="s">
        <v>1214</v>
      </c>
      <c r="S41" s="10" t="s">
        <v>61</v>
      </c>
    </row>
    <row r="42" spans="1:19" ht="72.5" x14ac:dyDescent="0.35">
      <c r="A42" s="14">
        <v>46022</v>
      </c>
      <c r="B42" s="10" t="s">
        <v>683</v>
      </c>
      <c r="C42" s="10" t="s">
        <v>684</v>
      </c>
      <c r="D42" s="10" t="s">
        <v>969</v>
      </c>
      <c r="E42" s="10">
        <v>4754148</v>
      </c>
      <c r="F42" s="15">
        <v>99.99</v>
      </c>
      <c r="G42" s="10" t="s">
        <v>1255</v>
      </c>
      <c r="H42" s="10">
        <v>4754148</v>
      </c>
      <c r="I42" s="10">
        <v>7700419</v>
      </c>
      <c r="J42" s="10" t="s">
        <v>1214</v>
      </c>
      <c r="K42" s="10" t="s">
        <v>1214</v>
      </c>
      <c r="L42" s="10" t="s">
        <v>1214</v>
      </c>
      <c r="M42" s="10" t="s">
        <v>1214</v>
      </c>
      <c r="N42" s="10" t="s">
        <v>536</v>
      </c>
      <c r="O42" s="10" t="s">
        <v>1214</v>
      </c>
      <c r="P42" s="10" t="s">
        <v>1214</v>
      </c>
      <c r="Q42" s="10" t="s">
        <v>1214</v>
      </c>
      <c r="R42" s="10" t="s">
        <v>1214</v>
      </c>
      <c r="S42" s="10" t="s">
        <v>536</v>
      </c>
    </row>
    <row r="43" spans="1:19" ht="43.5" x14ac:dyDescent="0.35">
      <c r="A43" s="14">
        <v>46022</v>
      </c>
      <c r="B43" s="10" t="s">
        <v>683</v>
      </c>
      <c r="C43" s="10" t="s">
        <v>684</v>
      </c>
      <c r="D43" s="10" t="s">
        <v>970</v>
      </c>
      <c r="E43" s="10">
        <v>7700419</v>
      </c>
      <c r="F43" s="15">
        <v>0.01</v>
      </c>
      <c r="G43" s="10" t="s">
        <v>1255</v>
      </c>
      <c r="H43" s="10">
        <v>4754148</v>
      </c>
      <c r="I43" s="10">
        <v>7700419</v>
      </c>
      <c r="J43" s="10" t="s">
        <v>1214</v>
      </c>
      <c r="K43" s="10" t="s">
        <v>1214</v>
      </c>
      <c r="L43" s="10" t="s">
        <v>1214</v>
      </c>
      <c r="M43" s="10" t="s">
        <v>1214</v>
      </c>
      <c r="N43" s="10" t="s">
        <v>536</v>
      </c>
      <c r="O43" s="10" t="s">
        <v>1214</v>
      </c>
      <c r="P43" s="10" t="s">
        <v>1214</v>
      </c>
      <c r="Q43" s="10" t="s">
        <v>1214</v>
      </c>
      <c r="R43" s="10" t="s">
        <v>1214</v>
      </c>
      <c r="S43" s="10" t="s">
        <v>536</v>
      </c>
    </row>
    <row r="44" spans="1:19" ht="29" x14ac:dyDescent="0.35">
      <c r="A44" s="14">
        <v>46022</v>
      </c>
      <c r="B44" s="10" t="s">
        <v>80</v>
      </c>
      <c r="C44" s="10" t="s">
        <v>81</v>
      </c>
      <c r="D44" s="10" t="s">
        <v>971</v>
      </c>
      <c r="E44" s="10">
        <v>4149660</v>
      </c>
      <c r="F44" s="15">
        <v>100</v>
      </c>
      <c r="G44" s="10" t="s">
        <v>1256</v>
      </c>
      <c r="H44" s="10">
        <v>4149660</v>
      </c>
      <c r="I44" s="10" t="s">
        <v>1194</v>
      </c>
      <c r="J44" s="10" t="s">
        <v>1214</v>
      </c>
      <c r="K44" s="10" t="s">
        <v>1214</v>
      </c>
      <c r="L44" s="10" t="s">
        <v>1214</v>
      </c>
      <c r="M44" s="10" t="s">
        <v>1214</v>
      </c>
      <c r="N44" s="10" t="s">
        <v>1219</v>
      </c>
      <c r="O44" s="10" t="s">
        <v>1214</v>
      </c>
      <c r="P44" s="10" t="s">
        <v>1214</v>
      </c>
      <c r="Q44" s="10" t="s">
        <v>1214</v>
      </c>
      <c r="R44" s="10" t="s">
        <v>1214</v>
      </c>
      <c r="S44" s="10" t="s">
        <v>61</v>
      </c>
    </row>
    <row r="45" spans="1:19" ht="58" x14ac:dyDescent="0.35">
      <c r="A45" s="14">
        <v>46022</v>
      </c>
      <c r="B45" s="10" t="s">
        <v>685</v>
      </c>
      <c r="C45" s="10" t="s">
        <v>686</v>
      </c>
      <c r="D45" s="10" t="s">
        <v>972</v>
      </c>
      <c r="E45" s="10">
        <v>4350038</v>
      </c>
      <c r="F45" s="15">
        <v>45</v>
      </c>
      <c r="G45" s="10" t="s">
        <v>1257</v>
      </c>
      <c r="H45" s="10">
        <v>4355642</v>
      </c>
      <c r="I45" s="10">
        <v>4350038</v>
      </c>
      <c r="J45" s="10" t="s">
        <v>1214</v>
      </c>
      <c r="K45" s="10" t="s">
        <v>1214</v>
      </c>
      <c r="L45" s="10" t="s">
        <v>1214</v>
      </c>
      <c r="M45" s="10" t="s">
        <v>1214</v>
      </c>
      <c r="N45" s="10" t="s">
        <v>61</v>
      </c>
      <c r="O45" s="10" t="s">
        <v>1214</v>
      </c>
      <c r="P45" s="10" t="s">
        <v>1214</v>
      </c>
      <c r="Q45" s="10" t="s">
        <v>1214</v>
      </c>
      <c r="R45" s="10" t="s">
        <v>1214</v>
      </c>
      <c r="S45" s="10" t="s">
        <v>687</v>
      </c>
    </row>
    <row r="46" spans="1:19" ht="58" x14ac:dyDescent="0.35">
      <c r="A46" s="14">
        <v>46022</v>
      </c>
      <c r="B46" s="10" t="s">
        <v>685</v>
      </c>
      <c r="C46" s="10" t="s">
        <v>686</v>
      </c>
      <c r="D46" s="10" t="s">
        <v>958</v>
      </c>
      <c r="E46" s="10">
        <v>4355642</v>
      </c>
      <c r="F46" s="15">
        <v>55</v>
      </c>
      <c r="G46" s="10" t="s">
        <v>1257</v>
      </c>
      <c r="H46" s="10">
        <v>4355642</v>
      </c>
      <c r="I46" s="10">
        <v>4350038</v>
      </c>
      <c r="J46" s="10" t="s">
        <v>1214</v>
      </c>
      <c r="K46" s="10" t="s">
        <v>1214</v>
      </c>
      <c r="L46" s="10" t="s">
        <v>1214</v>
      </c>
      <c r="M46" s="10" t="s">
        <v>1214</v>
      </c>
      <c r="N46" s="10" t="s">
        <v>61</v>
      </c>
      <c r="O46" s="10" t="s">
        <v>1214</v>
      </c>
      <c r="P46" s="10" t="s">
        <v>1214</v>
      </c>
      <c r="Q46" s="10" t="s">
        <v>1214</v>
      </c>
      <c r="R46" s="10" t="s">
        <v>1214</v>
      </c>
      <c r="S46" s="10" t="s">
        <v>687</v>
      </c>
    </row>
    <row r="47" spans="1:19" ht="130.5" x14ac:dyDescent="0.35">
      <c r="A47" s="14">
        <v>46022</v>
      </c>
      <c r="B47" s="10" t="s">
        <v>82</v>
      </c>
      <c r="C47" s="10" t="s">
        <v>83</v>
      </c>
      <c r="D47" s="10" t="s">
        <v>973</v>
      </c>
      <c r="E47" s="10">
        <v>10931202</v>
      </c>
      <c r="F47" s="15">
        <v>100</v>
      </c>
      <c r="G47" s="10" t="s">
        <v>1258</v>
      </c>
      <c r="H47" s="10">
        <v>10931202</v>
      </c>
      <c r="I47" s="10" t="s">
        <v>1194</v>
      </c>
      <c r="J47" s="10" t="s">
        <v>1214</v>
      </c>
      <c r="K47" s="10" t="s">
        <v>1214</v>
      </c>
      <c r="L47" s="10" t="s">
        <v>1214</v>
      </c>
      <c r="M47" s="10" t="s">
        <v>1214</v>
      </c>
      <c r="N47" s="10" t="s">
        <v>61</v>
      </c>
      <c r="O47" s="10" t="s">
        <v>1214</v>
      </c>
      <c r="P47" s="10" t="s">
        <v>1214</v>
      </c>
      <c r="Q47" s="10" t="s">
        <v>1214</v>
      </c>
      <c r="R47" s="10" t="s">
        <v>1214</v>
      </c>
      <c r="S47" s="10" t="s">
        <v>61</v>
      </c>
    </row>
    <row r="48" spans="1:19" ht="43.5" x14ac:dyDescent="0.35">
      <c r="A48" s="14">
        <v>46022</v>
      </c>
      <c r="B48" s="10" t="s">
        <v>688</v>
      </c>
      <c r="C48" s="10" t="s">
        <v>689</v>
      </c>
      <c r="D48" s="10" t="s">
        <v>974</v>
      </c>
      <c r="E48" s="10">
        <v>4226974</v>
      </c>
      <c r="F48" s="15">
        <v>26</v>
      </c>
      <c r="G48" s="10" t="s">
        <v>1259</v>
      </c>
      <c r="H48" s="10">
        <v>4354101</v>
      </c>
      <c r="I48" s="10">
        <v>4226974</v>
      </c>
      <c r="J48" s="10" t="s">
        <v>1214</v>
      </c>
      <c r="K48" s="10" t="s">
        <v>1214</v>
      </c>
      <c r="L48" s="10" t="s">
        <v>1214</v>
      </c>
      <c r="M48" s="10" t="s">
        <v>1214</v>
      </c>
      <c r="N48" s="10" t="s">
        <v>1260</v>
      </c>
      <c r="O48" s="10" t="s">
        <v>1214</v>
      </c>
      <c r="P48" s="10" t="s">
        <v>1214</v>
      </c>
      <c r="Q48" s="10" t="s">
        <v>1214</v>
      </c>
      <c r="R48" s="10" t="s">
        <v>1214</v>
      </c>
      <c r="S48" s="10" t="s">
        <v>105</v>
      </c>
    </row>
    <row r="49" spans="1:19" ht="43.5" x14ac:dyDescent="0.35">
      <c r="A49" s="14">
        <v>46022</v>
      </c>
      <c r="B49" s="10" t="s">
        <v>688</v>
      </c>
      <c r="C49" s="10" t="s">
        <v>689</v>
      </c>
      <c r="D49" s="10" t="s">
        <v>975</v>
      </c>
      <c r="E49" s="10">
        <v>4354101</v>
      </c>
      <c r="F49" s="15">
        <v>74</v>
      </c>
      <c r="G49" s="10" t="s">
        <v>1259</v>
      </c>
      <c r="H49" s="10">
        <v>4354101</v>
      </c>
      <c r="I49" s="10">
        <v>4226974</v>
      </c>
      <c r="J49" s="10" t="s">
        <v>1214</v>
      </c>
      <c r="K49" s="10" t="s">
        <v>1214</v>
      </c>
      <c r="L49" s="10" t="s">
        <v>1214</v>
      </c>
      <c r="M49" s="10" t="s">
        <v>1214</v>
      </c>
      <c r="N49" s="10" t="s">
        <v>1260</v>
      </c>
      <c r="O49" s="10" t="s">
        <v>1214</v>
      </c>
      <c r="P49" s="10" t="s">
        <v>1214</v>
      </c>
      <c r="Q49" s="10" t="s">
        <v>1214</v>
      </c>
      <c r="R49" s="10" t="s">
        <v>1214</v>
      </c>
      <c r="S49" s="10" t="s">
        <v>105</v>
      </c>
    </row>
    <row r="50" spans="1:19" ht="29" x14ac:dyDescent="0.35">
      <c r="A50" s="14">
        <v>46022</v>
      </c>
      <c r="B50" s="10" t="s">
        <v>87</v>
      </c>
      <c r="C50" s="10" t="s">
        <v>88</v>
      </c>
      <c r="D50" s="10" t="s">
        <v>976</v>
      </c>
      <c r="E50" s="10">
        <v>4075105</v>
      </c>
      <c r="F50" s="15">
        <v>100</v>
      </c>
      <c r="G50" s="10" t="s">
        <v>1261</v>
      </c>
      <c r="H50" s="10">
        <v>4075105</v>
      </c>
      <c r="I50" s="10" t="s">
        <v>1194</v>
      </c>
      <c r="J50" s="10" t="s">
        <v>1214</v>
      </c>
      <c r="K50" s="10" t="s">
        <v>1214</v>
      </c>
      <c r="L50" s="10" t="s">
        <v>1214</v>
      </c>
      <c r="M50" s="10" t="s">
        <v>1214</v>
      </c>
      <c r="N50" s="10" t="s">
        <v>79</v>
      </c>
      <c r="O50" s="10" t="s">
        <v>1214</v>
      </c>
      <c r="P50" s="10" t="s">
        <v>1214</v>
      </c>
      <c r="Q50" s="10" t="s">
        <v>1214</v>
      </c>
      <c r="R50" s="10" t="s">
        <v>1214</v>
      </c>
      <c r="S50" s="10" t="s">
        <v>61</v>
      </c>
    </row>
    <row r="51" spans="1:19" ht="29" x14ac:dyDescent="0.35">
      <c r="A51" s="14">
        <v>46022</v>
      </c>
      <c r="B51" s="10" t="s">
        <v>100</v>
      </c>
      <c r="C51" s="10" t="s">
        <v>101</v>
      </c>
      <c r="D51" s="10" t="s">
        <v>939</v>
      </c>
      <c r="E51" s="10">
        <v>4348654</v>
      </c>
      <c r="F51" s="15">
        <v>100</v>
      </c>
      <c r="G51" s="10" t="s">
        <v>1213</v>
      </c>
      <c r="H51" s="10">
        <v>4348654</v>
      </c>
      <c r="I51" s="10" t="s">
        <v>1194</v>
      </c>
      <c r="J51" s="10" t="s">
        <v>1214</v>
      </c>
      <c r="K51" s="10" t="s">
        <v>1214</v>
      </c>
      <c r="L51" s="10" t="s">
        <v>1214</v>
      </c>
      <c r="M51" s="10" t="s">
        <v>1214</v>
      </c>
      <c r="N51" s="10" t="s">
        <v>102</v>
      </c>
      <c r="O51" s="10" t="s">
        <v>1214</v>
      </c>
      <c r="P51" s="10" t="s">
        <v>1214</v>
      </c>
      <c r="Q51" s="10" t="s">
        <v>1214</v>
      </c>
      <c r="R51" s="10" t="s">
        <v>1214</v>
      </c>
      <c r="S51" s="10" t="s">
        <v>61</v>
      </c>
    </row>
    <row r="52" spans="1:19" ht="29" x14ac:dyDescent="0.35">
      <c r="A52" s="14">
        <v>46022</v>
      </c>
      <c r="B52" s="10" t="s">
        <v>690</v>
      </c>
      <c r="C52" s="10" t="s">
        <v>691</v>
      </c>
      <c r="D52" s="10" t="s">
        <v>977</v>
      </c>
      <c r="E52" s="10">
        <v>29771747</v>
      </c>
      <c r="F52" s="15">
        <v>100</v>
      </c>
      <c r="G52" s="10" t="s">
        <v>1262</v>
      </c>
      <c r="H52" s="10">
        <v>29771747</v>
      </c>
      <c r="I52" s="10" t="s">
        <v>1194</v>
      </c>
      <c r="J52" s="10" t="s">
        <v>1214</v>
      </c>
      <c r="K52" s="10" t="s">
        <v>1214</v>
      </c>
      <c r="L52" s="10" t="s">
        <v>1214</v>
      </c>
      <c r="M52" s="10" t="s">
        <v>1214</v>
      </c>
      <c r="N52" s="10" t="s">
        <v>50</v>
      </c>
      <c r="O52" s="10" t="s">
        <v>1214</v>
      </c>
      <c r="P52" s="10" t="s">
        <v>1214</v>
      </c>
      <c r="Q52" s="10" t="s">
        <v>1214</v>
      </c>
      <c r="R52" s="10" t="s">
        <v>1214</v>
      </c>
      <c r="S52" s="10" t="s">
        <v>61</v>
      </c>
    </row>
    <row r="53" spans="1:19" ht="58" x14ac:dyDescent="0.35">
      <c r="A53" s="14">
        <v>46022</v>
      </c>
      <c r="B53" s="10" t="s">
        <v>692</v>
      </c>
      <c r="C53" s="10" t="s">
        <v>693</v>
      </c>
      <c r="D53" s="10" t="s">
        <v>978</v>
      </c>
      <c r="E53" s="10">
        <v>4264043</v>
      </c>
      <c r="F53" s="15">
        <v>100</v>
      </c>
      <c r="G53" s="10" t="s">
        <v>1263</v>
      </c>
      <c r="H53" s="10">
        <v>4264043</v>
      </c>
      <c r="I53" s="10" t="s">
        <v>1194</v>
      </c>
      <c r="J53" s="10" t="s">
        <v>1214</v>
      </c>
      <c r="K53" s="10" t="s">
        <v>1214</v>
      </c>
      <c r="L53" s="10" t="s">
        <v>1214</v>
      </c>
      <c r="M53" s="10" t="s">
        <v>1214</v>
      </c>
      <c r="N53" s="10" t="s">
        <v>105</v>
      </c>
      <c r="O53" s="10" t="s">
        <v>1214</v>
      </c>
      <c r="P53" s="10" t="s">
        <v>1214</v>
      </c>
      <c r="Q53" s="10" t="s">
        <v>1214</v>
      </c>
      <c r="R53" s="10" t="s">
        <v>1214</v>
      </c>
      <c r="S53" s="10" t="s">
        <v>61</v>
      </c>
    </row>
    <row r="54" spans="1:19" ht="58" x14ac:dyDescent="0.35">
      <c r="A54" s="14">
        <v>46022</v>
      </c>
      <c r="B54" s="10" t="s">
        <v>103</v>
      </c>
      <c r="C54" s="10" t="s">
        <v>104</v>
      </c>
      <c r="D54" s="10" t="s">
        <v>978</v>
      </c>
      <c r="E54" s="10">
        <v>4264043</v>
      </c>
      <c r="F54" s="15">
        <v>100</v>
      </c>
      <c r="G54" s="10" t="s">
        <v>1263</v>
      </c>
      <c r="H54" s="10">
        <v>4264043</v>
      </c>
      <c r="I54" s="10" t="s">
        <v>1194</v>
      </c>
      <c r="J54" s="10" t="s">
        <v>1214</v>
      </c>
      <c r="K54" s="10" t="s">
        <v>1214</v>
      </c>
      <c r="L54" s="10" t="s">
        <v>1214</v>
      </c>
      <c r="M54" s="10" t="s">
        <v>1214</v>
      </c>
      <c r="N54" s="10" t="s">
        <v>105</v>
      </c>
      <c r="O54" s="10" t="s">
        <v>1214</v>
      </c>
      <c r="P54" s="10" t="s">
        <v>1214</v>
      </c>
      <c r="Q54" s="10" t="s">
        <v>1214</v>
      </c>
      <c r="R54" s="10" t="s">
        <v>1214</v>
      </c>
      <c r="S54" s="10" t="s">
        <v>61</v>
      </c>
    </row>
    <row r="55" spans="1:19" ht="72.5" x14ac:dyDescent="0.35">
      <c r="A55" s="14">
        <v>46022</v>
      </c>
      <c r="B55" s="10" t="s">
        <v>190</v>
      </c>
      <c r="C55" s="10" t="s">
        <v>191</v>
      </c>
      <c r="D55" s="10" t="s">
        <v>979</v>
      </c>
      <c r="E55" s="10">
        <v>4428541</v>
      </c>
      <c r="F55" s="15">
        <v>37</v>
      </c>
      <c r="G55" s="10" t="s">
        <v>1264</v>
      </c>
      <c r="H55" s="10">
        <v>4355642</v>
      </c>
      <c r="I55" s="10">
        <v>4428541</v>
      </c>
      <c r="J55" s="10" t="s">
        <v>1214</v>
      </c>
      <c r="K55" s="10" t="s">
        <v>1214</v>
      </c>
      <c r="L55" s="10" t="s">
        <v>1214</v>
      </c>
      <c r="M55" s="10" t="s">
        <v>1214</v>
      </c>
      <c r="N55" s="10" t="s">
        <v>61</v>
      </c>
      <c r="O55" s="10" t="s">
        <v>1265</v>
      </c>
      <c r="P55" s="10" t="s">
        <v>61</v>
      </c>
      <c r="Q55" s="10" t="s">
        <v>1265</v>
      </c>
      <c r="R55" s="10" t="s">
        <v>61</v>
      </c>
      <c r="S55" s="10" t="s">
        <v>192</v>
      </c>
    </row>
    <row r="56" spans="1:19" ht="72.5" x14ac:dyDescent="0.35">
      <c r="A56" s="14">
        <v>46022</v>
      </c>
      <c r="B56" s="10" t="s">
        <v>190</v>
      </c>
      <c r="C56" s="10" t="s">
        <v>191</v>
      </c>
      <c r="D56" s="10" t="s">
        <v>958</v>
      </c>
      <c r="E56" s="10">
        <v>4355642</v>
      </c>
      <c r="F56" s="15">
        <v>63</v>
      </c>
      <c r="G56" s="10" t="s">
        <v>1264</v>
      </c>
      <c r="H56" s="10">
        <v>4355642</v>
      </c>
      <c r="I56" s="10">
        <v>4428541</v>
      </c>
      <c r="J56" s="10" t="s">
        <v>1214</v>
      </c>
      <c r="K56" s="10" t="s">
        <v>1214</v>
      </c>
      <c r="L56" s="10" t="s">
        <v>1214</v>
      </c>
      <c r="M56" s="10" t="s">
        <v>1214</v>
      </c>
      <c r="N56" s="10" t="s">
        <v>61</v>
      </c>
      <c r="O56" s="10" t="s">
        <v>1265</v>
      </c>
      <c r="P56" s="10" t="s">
        <v>61</v>
      </c>
      <c r="Q56" s="10" t="s">
        <v>1265</v>
      </c>
      <c r="R56" s="10" t="s">
        <v>61</v>
      </c>
      <c r="S56" s="10" t="s">
        <v>192</v>
      </c>
    </row>
    <row r="57" spans="1:19" ht="43.5" x14ac:dyDescent="0.35">
      <c r="A57" s="14">
        <v>46022</v>
      </c>
      <c r="B57" s="10" t="s">
        <v>253</v>
      </c>
      <c r="C57" s="10" t="s">
        <v>254</v>
      </c>
      <c r="D57" s="10" t="s">
        <v>940</v>
      </c>
      <c r="E57" s="10">
        <v>4199214</v>
      </c>
      <c r="F57" s="15">
        <v>100</v>
      </c>
      <c r="G57" s="10" t="s">
        <v>1215</v>
      </c>
      <c r="H57" s="10">
        <v>4199214</v>
      </c>
      <c r="I57" s="10" t="s">
        <v>1194</v>
      </c>
      <c r="J57" s="10" t="s">
        <v>1216</v>
      </c>
      <c r="K57" s="10" t="s">
        <v>69</v>
      </c>
      <c r="L57" s="10" t="s">
        <v>1217</v>
      </c>
      <c r="M57" s="10" t="s">
        <v>1218</v>
      </c>
      <c r="N57" s="10" t="s">
        <v>1219</v>
      </c>
      <c r="O57" s="10" t="s">
        <v>1214</v>
      </c>
      <c r="P57" s="10" t="s">
        <v>1214</v>
      </c>
      <c r="Q57" s="10" t="s">
        <v>1214</v>
      </c>
      <c r="R57" s="10" t="s">
        <v>1214</v>
      </c>
      <c r="S57" s="10" t="s">
        <v>61</v>
      </c>
    </row>
    <row r="58" spans="1:19" ht="43.5" x14ac:dyDescent="0.35">
      <c r="A58" s="14">
        <v>46022</v>
      </c>
      <c r="B58" s="10" t="s">
        <v>106</v>
      </c>
      <c r="C58" s="10" t="s">
        <v>107</v>
      </c>
      <c r="D58" s="10" t="s">
        <v>940</v>
      </c>
      <c r="E58" s="10">
        <v>4199214</v>
      </c>
      <c r="F58" s="15">
        <v>100</v>
      </c>
      <c r="G58" s="10" t="s">
        <v>1215</v>
      </c>
      <c r="H58" s="10">
        <v>4199214</v>
      </c>
      <c r="I58" s="10" t="s">
        <v>1194</v>
      </c>
      <c r="J58" s="10" t="s">
        <v>1216</v>
      </c>
      <c r="K58" s="10" t="s">
        <v>69</v>
      </c>
      <c r="L58" s="10" t="s">
        <v>1217</v>
      </c>
      <c r="M58" s="10" t="s">
        <v>1218</v>
      </c>
      <c r="N58" s="10" t="s">
        <v>1219</v>
      </c>
      <c r="O58" s="10" t="s">
        <v>1214</v>
      </c>
      <c r="P58" s="10" t="s">
        <v>1214</v>
      </c>
      <c r="Q58" s="10" t="s">
        <v>1214</v>
      </c>
      <c r="R58" s="10" t="s">
        <v>1214</v>
      </c>
      <c r="S58" s="10" t="s">
        <v>61</v>
      </c>
    </row>
    <row r="59" spans="1:19" ht="58" x14ac:dyDescent="0.35">
      <c r="A59" s="14">
        <v>46022</v>
      </c>
      <c r="B59" s="10" t="s">
        <v>109</v>
      </c>
      <c r="C59" s="10" t="s">
        <v>110</v>
      </c>
      <c r="D59" s="10" t="s">
        <v>111</v>
      </c>
      <c r="E59" s="10">
        <v>4437706</v>
      </c>
      <c r="F59" s="15">
        <v>1.7</v>
      </c>
      <c r="G59" s="10" t="s">
        <v>1266</v>
      </c>
      <c r="H59" s="10">
        <v>4354459</v>
      </c>
      <c r="I59" s="10">
        <v>4437706</v>
      </c>
      <c r="J59" s="10" t="s">
        <v>1267</v>
      </c>
      <c r="K59" s="10" t="s">
        <v>111</v>
      </c>
      <c r="L59" s="10" t="s">
        <v>1268</v>
      </c>
      <c r="M59" s="10" t="s">
        <v>79</v>
      </c>
      <c r="N59" s="10" t="s">
        <v>79</v>
      </c>
      <c r="O59" s="10" t="s">
        <v>1214</v>
      </c>
      <c r="P59" s="10" t="s">
        <v>1214</v>
      </c>
      <c r="Q59" s="10" t="s">
        <v>1214</v>
      </c>
      <c r="R59" s="10" t="s">
        <v>1214</v>
      </c>
      <c r="S59" s="10" t="s">
        <v>111</v>
      </c>
    </row>
    <row r="60" spans="1:19" ht="58" x14ac:dyDescent="0.35">
      <c r="A60" s="14">
        <v>46022</v>
      </c>
      <c r="B60" s="10" t="s">
        <v>109</v>
      </c>
      <c r="C60" s="10" t="s">
        <v>110</v>
      </c>
      <c r="D60" s="10" t="s">
        <v>980</v>
      </c>
      <c r="E60" s="10">
        <v>4354459</v>
      </c>
      <c r="F60" s="15">
        <v>98.3</v>
      </c>
      <c r="G60" s="10" t="s">
        <v>1266</v>
      </c>
      <c r="H60" s="10">
        <v>4354459</v>
      </c>
      <c r="I60" s="10">
        <v>4437706</v>
      </c>
      <c r="J60" s="10" t="s">
        <v>1267</v>
      </c>
      <c r="K60" s="10" t="s">
        <v>111</v>
      </c>
      <c r="L60" s="10" t="s">
        <v>1268</v>
      </c>
      <c r="M60" s="10" t="s">
        <v>79</v>
      </c>
      <c r="N60" s="10" t="s">
        <v>79</v>
      </c>
      <c r="O60" s="10" t="s">
        <v>1214</v>
      </c>
      <c r="P60" s="10" t="s">
        <v>1214</v>
      </c>
      <c r="Q60" s="10" t="s">
        <v>1214</v>
      </c>
      <c r="R60" s="10" t="s">
        <v>1214</v>
      </c>
      <c r="S60" s="10" t="s">
        <v>111</v>
      </c>
    </row>
    <row r="61" spans="1:19" ht="58" x14ac:dyDescent="0.35">
      <c r="A61" s="14">
        <v>46022</v>
      </c>
      <c r="B61" s="10" t="s">
        <v>112</v>
      </c>
      <c r="C61" s="10" t="s">
        <v>113</v>
      </c>
      <c r="D61" s="10" t="s">
        <v>111</v>
      </c>
      <c r="E61" s="10">
        <v>4437706</v>
      </c>
      <c r="F61" s="15">
        <v>1.7</v>
      </c>
      <c r="G61" s="10" t="s">
        <v>1269</v>
      </c>
      <c r="H61" s="10">
        <v>4354459</v>
      </c>
      <c r="I61" s="10">
        <v>4437706</v>
      </c>
      <c r="J61" s="10" t="s">
        <v>1267</v>
      </c>
      <c r="K61" s="10" t="s">
        <v>111</v>
      </c>
      <c r="L61" s="10" t="s">
        <v>1268</v>
      </c>
      <c r="M61" s="10" t="s">
        <v>79</v>
      </c>
      <c r="N61" s="10" t="s">
        <v>79</v>
      </c>
      <c r="O61" s="10" t="s">
        <v>1214</v>
      </c>
      <c r="P61" s="10" t="s">
        <v>1214</v>
      </c>
      <c r="Q61" s="10" t="s">
        <v>1214</v>
      </c>
      <c r="R61" s="10" t="s">
        <v>1214</v>
      </c>
      <c r="S61" s="10" t="s">
        <v>111</v>
      </c>
    </row>
    <row r="62" spans="1:19" ht="58" x14ac:dyDescent="0.35">
      <c r="A62" s="14">
        <v>46022</v>
      </c>
      <c r="B62" s="10" t="s">
        <v>112</v>
      </c>
      <c r="C62" s="10" t="s">
        <v>113</v>
      </c>
      <c r="D62" s="10" t="s">
        <v>980</v>
      </c>
      <c r="E62" s="10">
        <v>4354459</v>
      </c>
      <c r="F62" s="15">
        <v>98.3</v>
      </c>
      <c r="G62" s="10" t="s">
        <v>1269</v>
      </c>
      <c r="H62" s="10">
        <v>4354459</v>
      </c>
      <c r="I62" s="10">
        <v>4437706</v>
      </c>
      <c r="J62" s="10" t="s">
        <v>1267</v>
      </c>
      <c r="K62" s="10" t="s">
        <v>111</v>
      </c>
      <c r="L62" s="10" t="s">
        <v>1268</v>
      </c>
      <c r="M62" s="10" t="s">
        <v>79</v>
      </c>
      <c r="N62" s="10" t="s">
        <v>79</v>
      </c>
      <c r="O62" s="10" t="s">
        <v>1214</v>
      </c>
      <c r="P62" s="10" t="s">
        <v>1214</v>
      </c>
      <c r="Q62" s="10" t="s">
        <v>1214</v>
      </c>
      <c r="R62" s="10" t="s">
        <v>1214</v>
      </c>
      <c r="S62" s="10" t="s">
        <v>111</v>
      </c>
    </row>
    <row r="63" spans="1:19" ht="43.5" x14ac:dyDescent="0.35">
      <c r="A63" s="14">
        <v>46022</v>
      </c>
      <c r="B63" s="10" t="s">
        <v>255</v>
      </c>
      <c r="C63" s="10" t="s">
        <v>256</v>
      </c>
      <c r="D63" s="10" t="s">
        <v>981</v>
      </c>
      <c r="E63" s="10">
        <v>4120225</v>
      </c>
      <c r="F63" s="15">
        <v>84</v>
      </c>
      <c r="G63" s="10" t="s">
        <v>1270</v>
      </c>
      <c r="H63" s="10">
        <v>4120225</v>
      </c>
      <c r="I63" s="10">
        <v>4350733</v>
      </c>
      <c r="J63" s="10" t="s">
        <v>1214</v>
      </c>
      <c r="K63" s="10" t="s">
        <v>1214</v>
      </c>
      <c r="L63" s="10" t="s">
        <v>1214</v>
      </c>
      <c r="M63" s="10" t="s">
        <v>1214</v>
      </c>
      <c r="N63" s="10" t="s">
        <v>222</v>
      </c>
      <c r="O63" s="10" t="s">
        <v>1214</v>
      </c>
      <c r="P63" s="10" t="s">
        <v>1214</v>
      </c>
      <c r="Q63" s="10" t="s">
        <v>1214</v>
      </c>
      <c r="R63" s="10" t="s">
        <v>1214</v>
      </c>
      <c r="S63" s="10" t="s">
        <v>257</v>
      </c>
    </row>
    <row r="64" spans="1:19" ht="29" x14ac:dyDescent="0.35">
      <c r="A64" s="14">
        <v>46022</v>
      </c>
      <c r="B64" s="10" t="s">
        <v>255</v>
      </c>
      <c r="C64" s="10" t="s">
        <v>256</v>
      </c>
      <c r="D64" s="10" t="s">
        <v>257</v>
      </c>
      <c r="E64" s="10">
        <v>4350733</v>
      </c>
      <c r="F64" s="15">
        <v>16</v>
      </c>
      <c r="G64" s="10" t="s">
        <v>1270</v>
      </c>
      <c r="H64" s="10">
        <v>4120225</v>
      </c>
      <c r="I64" s="10">
        <v>4350733</v>
      </c>
      <c r="J64" s="10" t="s">
        <v>1214</v>
      </c>
      <c r="K64" s="10" t="s">
        <v>1214</v>
      </c>
      <c r="L64" s="10" t="s">
        <v>1214</v>
      </c>
      <c r="M64" s="10" t="s">
        <v>1214</v>
      </c>
      <c r="N64" s="10" t="s">
        <v>222</v>
      </c>
      <c r="O64" s="10" t="s">
        <v>1214</v>
      </c>
      <c r="P64" s="10" t="s">
        <v>1214</v>
      </c>
      <c r="Q64" s="10" t="s">
        <v>1214</v>
      </c>
      <c r="R64" s="10" t="s">
        <v>1214</v>
      </c>
      <c r="S64" s="10" t="s">
        <v>257</v>
      </c>
    </row>
    <row r="65" spans="1:19" ht="72.5" x14ac:dyDescent="0.35">
      <c r="A65" s="14">
        <v>46022</v>
      </c>
      <c r="B65" s="10" t="s">
        <v>114</v>
      </c>
      <c r="C65" s="10" t="s">
        <v>115</v>
      </c>
      <c r="D65" s="10" t="s">
        <v>956</v>
      </c>
      <c r="E65" s="10">
        <v>4350334</v>
      </c>
      <c r="F65" s="15">
        <v>35.340000000000003</v>
      </c>
      <c r="G65" s="10" t="s">
        <v>1271</v>
      </c>
      <c r="H65" s="10">
        <v>4355114</v>
      </c>
      <c r="I65" s="10">
        <v>4350334</v>
      </c>
      <c r="J65" s="10" t="s">
        <v>1251</v>
      </c>
      <c r="K65" s="10" t="s">
        <v>1252</v>
      </c>
      <c r="L65" s="10" t="s">
        <v>1253</v>
      </c>
      <c r="M65" s="10" t="s">
        <v>1254</v>
      </c>
      <c r="N65" s="10" t="s">
        <v>86</v>
      </c>
      <c r="O65" s="10" t="s">
        <v>1214</v>
      </c>
      <c r="P65" s="10" t="s">
        <v>1214</v>
      </c>
      <c r="Q65" s="10" t="s">
        <v>1214</v>
      </c>
      <c r="R65" s="10" t="s">
        <v>1214</v>
      </c>
      <c r="S65" s="10" t="s">
        <v>61</v>
      </c>
    </row>
    <row r="66" spans="1:19" ht="58" x14ac:dyDescent="0.35">
      <c r="A66" s="14">
        <v>46022</v>
      </c>
      <c r="B66" s="10" t="s">
        <v>114</v>
      </c>
      <c r="C66" s="10" t="s">
        <v>115</v>
      </c>
      <c r="D66" s="10" t="s">
        <v>968</v>
      </c>
      <c r="E66" s="10">
        <v>4355114</v>
      </c>
      <c r="F66" s="15">
        <v>64.66</v>
      </c>
      <c r="G66" s="10" t="s">
        <v>1271</v>
      </c>
      <c r="H66" s="10">
        <v>4355114</v>
      </c>
      <c r="I66" s="10">
        <v>4350334</v>
      </c>
      <c r="J66" s="10" t="s">
        <v>1251</v>
      </c>
      <c r="K66" s="10" t="s">
        <v>1252</v>
      </c>
      <c r="L66" s="10" t="s">
        <v>1253</v>
      </c>
      <c r="M66" s="10" t="s">
        <v>1254</v>
      </c>
      <c r="N66" s="10" t="s">
        <v>86</v>
      </c>
      <c r="O66" s="10" t="s">
        <v>1214</v>
      </c>
      <c r="P66" s="10" t="s">
        <v>1214</v>
      </c>
      <c r="Q66" s="10" t="s">
        <v>1214</v>
      </c>
      <c r="R66" s="10" t="s">
        <v>1214</v>
      </c>
      <c r="S66" s="10" t="s">
        <v>61</v>
      </c>
    </row>
    <row r="67" spans="1:19" ht="87" x14ac:dyDescent="0.35">
      <c r="A67" s="14">
        <v>46022</v>
      </c>
      <c r="B67" s="10" t="s">
        <v>90</v>
      </c>
      <c r="C67" s="10" t="s">
        <v>91</v>
      </c>
      <c r="D67" s="10" t="s">
        <v>982</v>
      </c>
      <c r="E67" s="10">
        <v>6168783</v>
      </c>
      <c r="F67" s="15">
        <v>36.659999999999997</v>
      </c>
      <c r="G67" s="10" t="s">
        <v>1272</v>
      </c>
      <c r="H67" s="10">
        <v>4352853</v>
      </c>
      <c r="I67" s="10">
        <v>6168783</v>
      </c>
      <c r="J67" s="10" t="s">
        <v>1214</v>
      </c>
      <c r="K67" s="10" t="s">
        <v>1214</v>
      </c>
      <c r="L67" s="10" t="s">
        <v>1214</v>
      </c>
      <c r="M67" s="10" t="s">
        <v>1214</v>
      </c>
      <c r="N67" s="10" t="s">
        <v>86</v>
      </c>
      <c r="O67" s="10" t="s">
        <v>1214</v>
      </c>
      <c r="P67" s="10" t="s">
        <v>1214</v>
      </c>
      <c r="Q67" s="10" t="s">
        <v>1214</v>
      </c>
      <c r="R67" s="10" t="s">
        <v>1214</v>
      </c>
      <c r="S67" s="10" t="s">
        <v>86</v>
      </c>
    </row>
    <row r="68" spans="1:19" ht="87" x14ac:dyDescent="0.35">
      <c r="A68" s="14">
        <v>46022</v>
      </c>
      <c r="B68" s="10" t="s">
        <v>90</v>
      </c>
      <c r="C68" s="10" t="s">
        <v>91</v>
      </c>
      <c r="D68" s="10" t="s">
        <v>983</v>
      </c>
      <c r="E68" s="10">
        <v>4649896</v>
      </c>
      <c r="F68" s="15">
        <v>13.33</v>
      </c>
      <c r="G68" s="10" t="s">
        <v>1272</v>
      </c>
      <c r="H68" s="10">
        <v>4352853</v>
      </c>
      <c r="I68" s="10">
        <v>6168783</v>
      </c>
      <c r="J68" s="10" t="s">
        <v>1214</v>
      </c>
      <c r="K68" s="10" t="s">
        <v>1214</v>
      </c>
      <c r="L68" s="10" t="s">
        <v>1214</v>
      </c>
      <c r="M68" s="10" t="s">
        <v>1214</v>
      </c>
      <c r="N68" s="10" t="s">
        <v>86</v>
      </c>
      <c r="O68" s="10" t="s">
        <v>1214</v>
      </c>
      <c r="P68" s="10" t="s">
        <v>1214</v>
      </c>
      <c r="Q68" s="10" t="s">
        <v>1214</v>
      </c>
      <c r="R68" s="10" t="s">
        <v>1214</v>
      </c>
      <c r="S68" s="10" t="s">
        <v>86</v>
      </c>
    </row>
    <row r="69" spans="1:19" ht="101.5" x14ac:dyDescent="0.35">
      <c r="A69" s="14">
        <v>46022</v>
      </c>
      <c r="B69" s="10" t="s">
        <v>90</v>
      </c>
      <c r="C69" s="10" t="s">
        <v>91</v>
      </c>
      <c r="D69" s="10" t="s">
        <v>984</v>
      </c>
      <c r="E69" s="10">
        <v>4352853</v>
      </c>
      <c r="F69" s="15">
        <v>50.01</v>
      </c>
      <c r="G69" s="10" t="s">
        <v>1272</v>
      </c>
      <c r="H69" s="10">
        <v>4352853</v>
      </c>
      <c r="I69" s="10">
        <v>6168783</v>
      </c>
      <c r="J69" s="10" t="s">
        <v>1214</v>
      </c>
      <c r="K69" s="10" t="s">
        <v>1214</v>
      </c>
      <c r="L69" s="10" t="s">
        <v>1214</v>
      </c>
      <c r="M69" s="10" t="s">
        <v>1214</v>
      </c>
      <c r="N69" s="10" t="s">
        <v>86</v>
      </c>
      <c r="O69" s="10" t="s">
        <v>1214</v>
      </c>
      <c r="P69" s="10" t="s">
        <v>1214</v>
      </c>
      <c r="Q69" s="10" t="s">
        <v>1214</v>
      </c>
      <c r="R69" s="10" t="s">
        <v>1214</v>
      </c>
      <c r="S69" s="10" t="s">
        <v>86</v>
      </c>
    </row>
    <row r="70" spans="1:19" ht="43.5" x14ac:dyDescent="0.35">
      <c r="A70" s="14">
        <v>46022</v>
      </c>
      <c r="B70" s="10" t="s">
        <v>258</v>
      </c>
      <c r="C70" s="10" t="s">
        <v>259</v>
      </c>
      <c r="D70" s="10" t="s">
        <v>985</v>
      </c>
      <c r="E70" s="10">
        <v>4354402</v>
      </c>
      <c r="F70" s="15">
        <v>99.9</v>
      </c>
      <c r="G70" s="10" t="s">
        <v>1273</v>
      </c>
      <c r="H70" s="10">
        <v>4354402</v>
      </c>
      <c r="I70" s="10">
        <v>4622758</v>
      </c>
      <c r="J70" s="10" t="s">
        <v>1214</v>
      </c>
      <c r="K70" s="10" t="s">
        <v>1214</v>
      </c>
      <c r="L70" s="10" t="s">
        <v>1214</v>
      </c>
      <c r="M70" s="10" t="s">
        <v>1214</v>
      </c>
      <c r="N70" s="10" t="s">
        <v>222</v>
      </c>
      <c r="O70" s="10" t="s">
        <v>1214</v>
      </c>
      <c r="P70" s="10" t="s">
        <v>1214</v>
      </c>
      <c r="Q70" s="10" t="s">
        <v>1214</v>
      </c>
      <c r="R70" s="10" t="s">
        <v>1214</v>
      </c>
      <c r="S70" s="10" t="s">
        <v>111</v>
      </c>
    </row>
    <row r="71" spans="1:19" ht="43.5" x14ac:dyDescent="0.35">
      <c r="A71" s="14">
        <v>46022</v>
      </c>
      <c r="B71" s="10" t="s">
        <v>258</v>
      </c>
      <c r="C71" s="10" t="s">
        <v>259</v>
      </c>
      <c r="D71" s="10" t="s">
        <v>986</v>
      </c>
      <c r="E71" s="10">
        <v>4622758</v>
      </c>
      <c r="F71" s="15">
        <v>0.1</v>
      </c>
      <c r="G71" s="10" t="s">
        <v>1273</v>
      </c>
      <c r="H71" s="10">
        <v>4354402</v>
      </c>
      <c r="I71" s="10">
        <v>4622758</v>
      </c>
      <c r="J71" s="10" t="s">
        <v>1214</v>
      </c>
      <c r="K71" s="10" t="s">
        <v>1214</v>
      </c>
      <c r="L71" s="10" t="s">
        <v>1214</v>
      </c>
      <c r="M71" s="10" t="s">
        <v>1214</v>
      </c>
      <c r="N71" s="10" t="s">
        <v>222</v>
      </c>
      <c r="O71" s="10" t="s">
        <v>1214</v>
      </c>
      <c r="P71" s="10" t="s">
        <v>1214</v>
      </c>
      <c r="Q71" s="10" t="s">
        <v>1214</v>
      </c>
      <c r="R71" s="10" t="s">
        <v>1214</v>
      </c>
      <c r="S71" s="10" t="s">
        <v>111</v>
      </c>
    </row>
    <row r="72" spans="1:19" ht="87" x14ac:dyDescent="0.35">
      <c r="A72" s="14">
        <v>46022</v>
      </c>
      <c r="B72" s="10" t="s">
        <v>92</v>
      </c>
      <c r="C72" s="10" t="s">
        <v>93</v>
      </c>
      <c r="D72" s="10" t="s">
        <v>987</v>
      </c>
      <c r="E72" s="10">
        <v>4351931</v>
      </c>
      <c r="F72" s="15">
        <v>80</v>
      </c>
      <c r="G72" s="10" t="s">
        <v>1274</v>
      </c>
      <c r="H72" s="10">
        <v>4351931</v>
      </c>
      <c r="I72" s="10">
        <v>4354638</v>
      </c>
      <c r="J72" s="10" t="s">
        <v>1214</v>
      </c>
      <c r="K72" s="10" t="s">
        <v>1214</v>
      </c>
      <c r="L72" s="10" t="s">
        <v>1214</v>
      </c>
      <c r="M72" s="10" t="s">
        <v>1214</v>
      </c>
      <c r="N72" s="10" t="s">
        <v>222</v>
      </c>
      <c r="O72" s="10" t="s">
        <v>1214</v>
      </c>
      <c r="P72" s="10" t="s">
        <v>1214</v>
      </c>
      <c r="Q72" s="10" t="s">
        <v>1214</v>
      </c>
      <c r="R72" s="10" t="s">
        <v>1214</v>
      </c>
      <c r="S72" s="10" t="s">
        <v>1235</v>
      </c>
    </row>
    <row r="73" spans="1:19" ht="87" x14ac:dyDescent="0.35">
      <c r="A73" s="14">
        <v>46022</v>
      </c>
      <c r="B73" s="10" t="s">
        <v>92</v>
      </c>
      <c r="C73" s="10" t="s">
        <v>93</v>
      </c>
      <c r="D73" s="10" t="s">
        <v>988</v>
      </c>
      <c r="E73" s="10">
        <v>4047416</v>
      </c>
      <c r="F73" s="15">
        <v>4</v>
      </c>
      <c r="G73" s="10" t="s">
        <v>1274</v>
      </c>
      <c r="H73" s="10">
        <v>4351931</v>
      </c>
      <c r="I73" s="10">
        <v>4354638</v>
      </c>
      <c r="J73" s="10" t="s">
        <v>1214</v>
      </c>
      <c r="K73" s="10" t="s">
        <v>1214</v>
      </c>
      <c r="L73" s="10" t="s">
        <v>1214</v>
      </c>
      <c r="M73" s="10" t="s">
        <v>1214</v>
      </c>
      <c r="N73" s="10" t="s">
        <v>222</v>
      </c>
      <c r="O73" s="10" t="s">
        <v>1214</v>
      </c>
      <c r="P73" s="10" t="s">
        <v>1214</v>
      </c>
      <c r="Q73" s="10" t="s">
        <v>1214</v>
      </c>
      <c r="R73" s="10" t="s">
        <v>1214</v>
      </c>
      <c r="S73" s="10" t="s">
        <v>1235</v>
      </c>
    </row>
    <row r="74" spans="1:19" ht="87" x14ac:dyDescent="0.35">
      <c r="A74" s="14">
        <v>46022</v>
      </c>
      <c r="B74" s="10" t="s">
        <v>92</v>
      </c>
      <c r="C74" s="10" t="s">
        <v>93</v>
      </c>
      <c r="D74" s="10" t="s">
        <v>989</v>
      </c>
      <c r="E74" s="10">
        <v>4354638</v>
      </c>
      <c r="F74" s="15">
        <v>16</v>
      </c>
      <c r="G74" s="10" t="s">
        <v>1274</v>
      </c>
      <c r="H74" s="10">
        <v>4351931</v>
      </c>
      <c r="I74" s="10">
        <v>4354638</v>
      </c>
      <c r="J74" s="10" t="s">
        <v>1214</v>
      </c>
      <c r="K74" s="10" t="s">
        <v>1214</v>
      </c>
      <c r="L74" s="10" t="s">
        <v>1214</v>
      </c>
      <c r="M74" s="10" t="s">
        <v>1214</v>
      </c>
      <c r="N74" s="10" t="s">
        <v>222</v>
      </c>
      <c r="O74" s="10" t="s">
        <v>1214</v>
      </c>
      <c r="P74" s="10" t="s">
        <v>1214</v>
      </c>
      <c r="Q74" s="10" t="s">
        <v>1214</v>
      </c>
      <c r="R74" s="10" t="s">
        <v>1214</v>
      </c>
      <c r="S74" s="10" t="s">
        <v>1235</v>
      </c>
    </row>
    <row r="75" spans="1:19" ht="43.5" x14ac:dyDescent="0.35">
      <c r="A75" s="14">
        <v>46022</v>
      </c>
      <c r="B75" s="10" t="s">
        <v>116</v>
      </c>
      <c r="C75" s="10" t="s">
        <v>117</v>
      </c>
      <c r="D75" s="10" t="s">
        <v>990</v>
      </c>
      <c r="E75" s="10">
        <v>4351226</v>
      </c>
      <c r="F75" s="15">
        <v>100</v>
      </c>
      <c r="G75" s="10" t="s">
        <v>1275</v>
      </c>
      <c r="H75" s="10">
        <v>4351226</v>
      </c>
      <c r="I75" s="10" t="s">
        <v>1194</v>
      </c>
      <c r="J75" s="10" t="s">
        <v>1214</v>
      </c>
      <c r="K75" s="10" t="s">
        <v>1214</v>
      </c>
      <c r="L75" s="10" t="s">
        <v>1214</v>
      </c>
      <c r="M75" s="10" t="s">
        <v>1214</v>
      </c>
      <c r="N75" s="10" t="s">
        <v>111</v>
      </c>
      <c r="O75" s="10" t="s">
        <v>1214</v>
      </c>
      <c r="P75" s="10" t="s">
        <v>1214</v>
      </c>
      <c r="Q75" s="10" t="s">
        <v>1214</v>
      </c>
      <c r="R75" s="10" t="s">
        <v>1214</v>
      </c>
      <c r="S75" s="10" t="s">
        <v>61</v>
      </c>
    </row>
    <row r="76" spans="1:19" ht="43.5" x14ac:dyDescent="0.35">
      <c r="A76" s="14">
        <v>46022</v>
      </c>
      <c r="B76" s="10" t="s">
        <v>694</v>
      </c>
      <c r="C76" s="10" t="s">
        <v>695</v>
      </c>
      <c r="D76" s="10" t="s">
        <v>991</v>
      </c>
      <c r="E76" s="10">
        <v>8252418</v>
      </c>
      <c r="F76" s="15">
        <v>99.6</v>
      </c>
      <c r="G76" s="10" t="s">
        <v>1276</v>
      </c>
      <c r="H76" s="10">
        <v>8252418</v>
      </c>
      <c r="I76" s="10">
        <v>4400798</v>
      </c>
      <c r="J76" s="10" t="s">
        <v>1214</v>
      </c>
      <c r="K76" s="10" t="s">
        <v>1214</v>
      </c>
      <c r="L76" s="10" t="s">
        <v>1214</v>
      </c>
      <c r="M76" s="10" t="s">
        <v>1214</v>
      </c>
      <c r="N76" s="10" t="s">
        <v>222</v>
      </c>
      <c r="O76" s="10" t="s">
        <v>1214</v>
      </c>
      <c r="P76" s="10" t="s">
        <v>1214</v>
      </c>
      <c r="Q76" s="10" t="s">
        <v>1214</v>
      </c>
      <c r="R76" s="10" t="s">
        <v>1214</v>
      </c>
      <c r="S76" s="10" t="s">
        <v>79</v>
      </c>
    </row>
    <row r="77" spans="1:19" ht="43.5" x14ac:dyDescent="0.35">
      <c r="A77" s="14">
        <v>46022</v>
      </c>
      <c r="B77" s="10" t="s">
        <v>696</v>
      </c>
      <c r="C77" s="10" t="s">
        <v>697</v>
      </c>
      <c r="D77" s="10" t="s">
        <v>992</v>
      </c>
      <c r="E77" s="10">
        <v>4351589</v>
      </c>
      <c r="F77" s="15">
        <v>100</v>
      </c>
      <c r="G77" s="10" t="s">
        <v>1277</v>
      </c>
      <c r="H77" s="10">
        <v>4351589</v>
      </c>
      <c r="I77" s="10" t="s">
        <v>1194</v>
      </c>
      <c r="J77" s="10" t="s">
        <v>1214</v>
      </c>
      <c r="K77" s="10" t="s">
        <v>1214</v>
      </c>
      <c r="L77" s="10" t="s">
        <v>1214</v>
      </c>
      <c r="M77" s="10" t="s">
        <v>1214</v>
      </c>
      <c r="N77" s="10" t="s">
        <v>753</v>
      </c>
      <c r="O77" s="10" t="s">
        <v>1214</v>
      </c>
      <c r="P77" s="10" t="s">
        <v>1214</v>
      </c>
      <c r="Q77" s="10" t="s">
        <v>1214</v>
      </c>
      <c r="R77" s="10" t="s">
        <v>1214</v>
      </c>
      <c r="S77" s="10" t="s">
        <v>61</v>
      </c>
    </row>
    <row r="78" spans="1:19" ht="58" x14ac:dyDescent="0.35">
      <c r="A78" s="14">
        <v>46022</v>
      </c>
      <c r="B78" s="10" t="s">
        <v>698</v>
      </c>
      <c r="C78" s="10" t="s">
        <v>699</v>
      </c>
      <c r="D78" s="10" t="s">
        <v>993</v>
      </c>
      <c r="E78" s="10">
        <v>4349977</v>
      </c>
      <c r="F78" s="15">
        <v>10</v>
      </c>
      <c r="G78" s="10" t="s">
        <v>1278</v>
      </c>
      <c r="H78" s="10">
        <v>4141965</v>
      </c>
      <c r="I78" s="10">
        <v>4349977</v>
      </c>
      <c r="J78" s="10" t="s">
        <v>1214</v>
      </c>
      <c r="K78" s="10" t="s">
        <v>1214</v>
      </c>
      <c r="L78" s="10" t="s">
        <v>1214</v>
      </c>
      <c r="M78" s="10" t="s">
        <v>1214</v>
      </c>
      <c r="N78" s="10" t="s">
        <v>222</v>
      </c>
      <c r="O78" s="10" t="s">
        <v>1214</v>
      </c>
      <c r="P78" s="10" t="s">
        <v>1214</v>
      </c>
      <c r="Q78" s="10" t="s">
        <v>1214</v>
      </c>
      <c r="R78" s="10" t="s">
        <v>1214</v>
      </c>
      <c r="S78" s="10" t="s">
        <v>58</v>
      </c>
    </row>
    <row r="79" spans="1:19" ht="43.5" x14ac:dyDescent="0.35">
      <c r="A79" s="14">
        <v>46022</v>
      </c>
      <c r="B79" s="10" t="s">
        <v>698</v>
      </c>
      <c r="C79" s="10" t="s">
        <v>699</v>
      </c>
      <c r="D79" s="10" t="s">
        <v>950</v>
      </c>
      <c r="E79" s="10">
        <v>4141965</v>
      </c>
      <c r="F79" s="15">
        <v>90</v>
      </c>
      <c r="G79" s="10" t="s">
        <v>1278</v>
      </c>
      <c r="H79" s="10">
        <v>4141965</v>
      </c>
      <c r="I79" s="10">
        <v>4349977</v>
      </c>
      <c r="J79" s="10" t="s">
        <v>1214</v>
      </c>
      <c r="K79" s="10" t="s">
        <v>1214</v>
      </c>
      <c r="L79" s="10" t="s">
        <v>1214</v>
      </c>
      <c r="M79" s="10" t="s">
        <v>1214</v>
      </c>
      <c r="N79" s="10" t="s">
        <v>222</v>
      </c>
      <c r="O79" s="10" t="s">
        <v>1214</v>
      </c>
      <c r="P79" s="10" t="s">
        <v>1214</v>
      </c>
      <c r="Q79" s="10" t="s">
        <v>1214</v>
      </c>
      <c r="R79" s="10" t="s">
        <v>1214</v>
      </c>
      <c r="S79" s="10" t="s">
        <v>58</v>
      </c>
    </row>
    <row r="80" spans="1:19" ht="43.5" x14ac:dyDescent="0.35">
      <c r="A80" s="14">
        <v>46022</v>
      </c>
      <c r="B80" s="10" t="s">
        <v>133</v>
      </c>
      <c r="C80" s="10" t="s">
        <v>134</v>
      </c>
      <c r="D80" s="10" t="s">
        <v>947</v>
      </c>
      <c r="E80" s="10">
        <v>4121840</v>
      </c>
      <c r="F80" s="15">
        <v>100</v>
      </c>
      <c r="G80" s="10" t="s">
        <v>1230</v>
      </c>
      <c r="H80" s="10">
        <v>4121840</v>
      </c>
      <c r="I80" s="10" t="s">
        <v>1194</v>
      </c>
      <c r="J80" s="10" t="s">
        <v>1214</v>
      </c>
      <c r="K80" s="10" t="s">
        <v>1214</v>
      </c>
      <c r="L80" s="10" t="s">
        <v>1214</v>
      </c>
      <c r="M80" s="10" t="s">
        <v>1214</v>
      </c>
      <c r="N80" s="10" t="s">
        <v>89</v>
      </c>
      <c r="O80" s="10" t="s">
        <v>1214</v>
      </c>
      <c r="P80" s="10" t="s">
        <v>1214</v>
      </c>
      <c r="Q80" s="10" t="s">
        <v>1214</v>
      </c>
      <c r="R80" s="10" t="s">
        <v>1214</v>
      </c>
      <c r="S80" s="10" t="s">
        <v>61</v>
      </c>
    </row>
    <row r="81" spans="1:19" ht="58" x14ac:dyDescent="0.35">
      <c r="A81" s="14">
        <v>46022</v>
      </c>
      <c r="B81" s="10" t="s">
        <v>94</v>
      </c>
      <c r="C81" s="10" t="s">
        <v>95</v>
      </c>
      <c r="D81" s="10" t="s">
        <v>994</v>
      </c>
      <c r="E81" s="10">
        <v>4361542</v>
      </c>
      <c r="F81" s="15">
        <v>30</v>
      </c>
      <c r="G81" s="10" t="s">
        <v>1279</v>
      </c>
      <c r="H81" s="10">
        <v>4351931</v>
      </c>
      <c r="I81" s="10">
        <v>4361542</v>
      </c>
      <c r="J81" s="10" t="s">
        <v>1214</v>
      </c>
      <c r="K81" s="10" t="s">
        <v>1214</v>
      </c>
      <c r="L81" s="10" t="s">
        <v>1214</v>
      </c>
      <c r="M81" s="10" t="s">
        <v>1214</v>
      </c>
      <c r="N81" s="10" t="s">
        <v>222</v>
      </c>
      <c r="O81" s="10" t="s">
        <v>1214</v>
      </c>
      <c r="P81" s="10" t="s">
        <v>1214</v>
      </c>
      <c r="Q81" s="10" t="s">
        <v>1214</v>
      </c>
      <c r="R81" s="10" t="s">
        <v>1214</v>
      </c>
      <c r="S81" s="10" t="s">
        <v>1235</v>
      </c>
    </row>
    <row r="82" spans="1:19" ht="43.5" x14ac:dyDescent="0.35">
      <c r="A82" s="14">
        <v>46022</v>
      </c>
      <c r="B82" s="10" t="s">
        <v>94</v>
      </c>
      <c r="C82" s="10" t="s">
        <v>95</v>
      </c>
      <c r="D82" s="10" t="s">
        <v>987</v>
      </c>
      <c r="E82" s="10">
        <v>4351931</v>
      </c>
      <c r="F82" s="15">
        <v>70</v>
      </c>
      <c r="G82" s="10" t="s">
        <v>1279</v>
      </c>
      <c r="H82" s="10">
        <v>4351931</v>
      </c>
      <c r="I82" s="10">
        <v>4361542</v>
      </c>
      <c r="J82" s="10" t="s">
        <v>1214</v>
      </c>
      <c r="K82" s="10" t="s">
        <v>1214</v>
      </c>
      <c r="L82" s="10" t="s">
        <v>1214</v>
      </c>
      <c r="M82" s="10" t="s">
        <v>1214</v>
      </c>
      <c r="N82" s="10" t="s">
        <v>222</v>
      </c>
      <c r="O82" s="10" t="s">
        <v>1214</v>
      </c>
      <c r="P82" s="10" t="s">
        <v>1214</v>
      </c>
      <c r="Q82" s="10" t="s">
        <v>1214</v>
      </c>
      <c r="R82" s="10" t="s">
        <v>1214</v>
      </c>
      <c r="S82" s="10" t="s">
        <v>1235</v>
      </c>
    </row>
    <row r="83" spans="1:19" ht="58" x14ac:dyDescent="0.35">
      <c r="A83" s="14">
        <v>46022</v>
      </c>
      <c r="B83" s="10" t="s">
        <v>700</v>
      </c>
      <c r="C83" s="10" t="s">
        <v>701</v>
      </c>
      <c r="D83" s="10" t="s">
        <v>994</v>
      </c>
      <c r="E83" s="10">
        <v>4361542</v>
      </c>
      <c r="F83" s="15">
        <v>100</v>
      </c>
      <c r="G83" s="10" t="s">
        <v>1280</v>
      </c>
      <c r="H83" s="10">
        <v>4361542</v>
      </c>
      <c r="I83" s="10" t="s">
        <v>1194</v>
      </c>
      <c r="J83" s="10" t="s">
        <v>1214</v>
      </c>
      <c r="K83" s="10" t="s">
        <v>1214</v>
      </c>
      <c r="L83" s="10" t="s">
        <v>1214</v>
      </c>
      <c r="M83" s="10" t="s">
        <v>1214</v>
      </c>
      <c r="N83" s="10" t="s">
        <v>1235</v>
      </c>
      <c r="O83" s="10" t="s">
        <v>1214</v>
      </c>
      <c r="P83" s="10" t="s">
        <v>1214</v>
      </c>
      <c r="Q83" s="10" t="s">
        <v>1214</v>
      </c>
      <c r="R83" s="10" t="s">
        <v>1214</v>
      </c>
      <c r="S83" s="10" t="s">
        <v>61</v>
      </c>
    </row>
    <row r="84" spans="1:19" ht="58" x14ac:dyDescent="0.35">
      <c r="A84" s="14">
        <v>46022</v>
      </c>
      <c r="B84" s="10" t="s">
        <v>135</v>
      </c>
      <c r="C84" s="10" t="s">
        <v>136</v>
      </c>
      <c r="D84" s="10" t="s">
        <v>995</v>
      </c>
      <c r="E84" s="10">
        <v>4350215</v>
      </c>
      <c r="F84" s="15">
        <v>100</v>
      </c>
      <c r="G84" s="10" t="s">
        <v>1281</v>
      </c>
      <c r="H84" s="10">
        <v>4350215</v>
      </c>
      <c r="I84" s="10" t="s">
        <v>1194</v>
      </c>
      <c r="J84" s="10" t="s">
        <v>1214</v>
      </c>
      <c r="K84" s="10" t="s">
        <v>1214</v>
      </c>
      <c r="L84" s="10" t="s">
        <v>1214</v>
      </c>
      <c r="M84" s="10" t="s">
        <v>1214</v>
      </c>
      <c r="N84" s="10" t="s">
        <v>222</v>
      </c>
      <c r="O84" s="10" t="s">
        <v>1214</v>
      </c>
      <c r="P84" s="10" t="s">
        <v>1214</v>
      </c>
      <c r="Q84" s="10" t="s">
        <v>1214</v>
      </c>
      <c r="R84" s="10" t="s">
        <v>1214</v>
      </c>
      <c r="S84" s="10" t="s">
        <v>61</v>
      </c>
    </row>
    <row r="85" spans="1:19" ht="43.5" x14ac:dyDescent="0.35">
      <c r="A85" s="14">
        <v>46022</v>
      </c>
      <c r="B85" s="10" t="s">
        <v>138</v>
      </c>
      <c r="C85" s="10" t="s">
        <v>139</v>
      </c>
      <c r="D85" s="10" t="s">
        <v>951</v>
      </c>
      <c r="E85" s="10">
        <v>4348083</v>
      </c>
      <c r="F85" s="15">
        <v>70</v>
      </c>
      <c r="G85" s="10" t="s">
        <v>1282</v>
      </c>
      <c r="H85" s="10">
        <v>4348083</v>
      </c>
      <c r="I85" s="10">
        <v>4041871</v>
      </c>
      <c r="J85" s="10" t="s">
        <v>1232</v>
      </c>
      <c r="K85" s="10" t="s">
        <v>1233</v>
      </c>
      <c r="L85" s="10" t="s">
        <v>1234</v>
      </c>
      <c r="M85" s="10" t="s">
        <v>1233</v>
      </c>
      <c r="N85" s="10" t="s">
        <v>1219</v>
      </c>
      <c r="O85" s="10" t="s">
        <v>1214</v>
      </c>
      <c r="P85" s="10" t="s">
        <v>1214</v>
      </c>
      <c r="Q85" s="10" t="s">
        <v>1214</v>
      </c>
      <c r="R85" s="10" t="s">
        <v>1214</v>
      </c>
      <c r="S85" s="10" t="s">
        <v>1235</v>
      </c>
    </row>
    <row r="86" spans="1:19" ht="43.5" x14ac:dyDescent="0.35">
      <c r="A86" s="14">
        <v>46022</v>
      </c>
      <c r="B86" s="10" t="s">
        <v>138</v>
      </c>
      <c r="C86" s="10" t="s">
        <v>139</v>
      </c>
      <c r="D86" s="10" t="s">
        <v>952</v>
      </c>
      <c r="E86" s="10">
        <v>4041871</v>
      </c>
      <c r="F86" s="15">
        <v>30</v>
      </c>
      <c r="G86" s="10" t="s">
        <v>1282</v>
      </c>
      <c r="H86" s="10">
        <v>4348083</v>
      </c>
      <c r="I86" s="10">
        <v>4041871</v>
      </c>
      <c r="J86" s="10" t="s">
        <v>1232</v>
      </c>
      <c r="K86" s="10" t="s">
        <v>1233</v>
      </c>
      <c r="L86" s="10" t="s">
        <v>1234</v>
      </c>
      <c r="M86" s="10" t="s">
        <v>1233</v>
      </c>
      <c r="N86" s="10" t="s">
        <v>1219</v>
      </c>
      <c r="O86" s="10" t="s">
        <v>1214</v>
      </c>
      <c r="P86" s="10" t="s">
        <v>1214</v>
      </c>
      <c r="Q86" s="10" t="s">
        <v>1214</v>
      </c>
      <c r="R86" s="10" t="s">
        <v>1214</v>
      </c>
      <c r="S86" s="10" t="s">
        <v>1235</v>
      </c>
    </row>
    <row r="87" spans="1:19" ht="43.5" x14ac:dyDescent="0.35">
      <c r="A87" s="14">
        <v>46022</v>
      </c>
      <c r="B87" s="10" t="s">
        <v>96</v>
      </c>
      <c r="C87" s="10" t="s">
        <v>97</v>
      </c>
      <c r="D87" s="10" t="s">
        <v>951</v>
      </c>
      <c r="E87" s="10">
        <v>4348083</v>
      </c>
      <c r="F87" s="15">
        <v>70</v>
      </c>
      <c r="G87" s="10" t="s">
        <v>1282</v>
      </c>
      <c r="H87" s="10">
        <v>4348083</v>
      </c>
      <c r="I87" s="10">
        <v>4041871</v>
      </c>
      <c r="J87" s="10" t="s">
        <v>1232</v>
      </c>
      <c r="K87" s="10" t="s">
        <v>1233</v>
      </c>
      <c r="L87" s="10" t="s">
        <v>1234</v>
      </c>
      <c r="M87" s="10" t="s">
        <v>1233</v>
      </c>
      <c r="N87" s="10" t="s">
        <v>1219</v>
      </c>
      <c r="O87" s="10" t="s">
        <v>1214</v>
      </c>
      <c r="P87" s="10" t="s">
        <v>1214</v>
      </c>
      <c r="Q87" s="10" t="s">
        <v>1214</v>
      </c>
      <c r="R87" s="10" t="s">
        <v>1214</v>
      </c>
      <c r="S87" s="10" t="s">
        <v>1235</v>
      </c>
    </row>
    <row r="88" spans="1:19" ht="43.5" x14ac:dyDescent="0.35">
      <c r="A88" s="14">
        <v>46022</v>
      </c>
      <c r="B88" s="10" t="s">
        <v>96</v>
      </c>
      <c r="C88" s="10" t="s">
        <v>97</v>
      </c>
      <c r="D88" s="10" t="s">
        <v>952</v>
      </c>
      <c r="E88" s="10">
        <v>4041871</v>
      </c>
      <c r="F88" s="15">
        <v>30</v>
      </c>
      <c r="G88" s="10" t="s">
        <v>1282</v>
      </c>
      <c r="H88" s="10">
        <v>4348083</v>
      </c>
      <c r="I88" s="10">
        <v>4041871</v>
      </c>
      <c r="J88" s="10" t="s">
        <v>1232</v>
      </c>
      <c r="K88" s="10" t="s">
        <v>1233</v>
      </c>
      <c r="L88" s="10" t="s">
        <v>1234</v>
      </c>
      <c r="M88" s="10" t="s">
        <v>1233</v>
      </c>
      <c r="N88" s="10" t="s">
        <v>1219</v>
      </c>
      <c r="O88" s="10" t="s">
        <v>1214</v>
      </c>
      <c r="P88" s="10" t="s">
        <v>1214</v>
      </c>
      <c r="Q88" s="10" t="s">
        <v>1214</v>
      </c>
      <c r="R88" s="10" t="s">
        <v>1214</v>
      </c>
      <c r="S88" s="10" t="s">
        <v>1235</v>
      </c>
    </row>
    <row r="89" spans="1:19" ht="43.5" x14ac:dyDescent="0.35">
      <c r="A89" s="14">
        <v>46022</v>
      </c>
      <c r="B89" s="10" t="s">
        <v>702</v>
      </c>
      <c r="C89" s="10" t="s">
        <v>703</v>
      </c>
      <c r="D89" s="10" t="s">
        <v>996</v>
      </c>
      <c r="E89" s="10">
        <v>4410234</v>
      </c>
      <c r="F89" s="15">
        <v>100</v>
      </c>
      <c r="G89" s="10" t="s">
        <v>1283</v>
      </c>
      <c r="H89" s="10">
        <v>4410234</v>
      </c>
      <c r="I89" s="10" t="s">
        <v>1194</v>
      </c>
      <c r="J89" s="10" t="s">
        <v>1214</v>
      </c>
      <c r="K89" s="10" t="s">
        <v>1214</v>
      </c>
      <c r="L89" s="10" t="s">
        <v>1214</v>
      </c>
      <c r="M89" s="10" t="s">
        <v>1214</v>
      </c>
      <c r="N89" s="10" t="s">
        <v>1284</v>
      </c>
      <c r="O89" s="10" t="s">
        <v>1214</v>
      </c>
      <c r="P89" s="10" t="s">
        <v>1214</v>
      </c>
      <c r="Q89" s="10" t="s">
        <v>1214</v>
      </c>
      <c r="R89" s="10" t="s">
        <v>1214</v>
      </c>
      <c r="S89" s="10" t="s">
        <v>61</v>
      </c>
    </row>
    <row r="90" spans="1:19" ht="58" x14ac:dyDescent="0.35">
      <c r="A90" s="14">
        <v>46022</v>
      </c>
      <c r="B90" s="10" t="s">
        <v>140</v>
      </c>
      <c r="C90" s="10" t="s">
        <v>141</v>
      </c>
      <c r="D90" s="10" t="s">
        <v>997</v>
      </c>
      <c r="E90" s="10">
        <v>4144674</v>
      </c>
      <c r="F90" s="15">
        <v>99.53</v>
      </c>
      <c r="G90" s="10" t="s">
        <v>1285</v>
      </c>
      <c r="H90" s="10">
        <v>4144674</v>
      </c>
      <c r="I90" s="10">
        <v>4353456</v>
      </c>
      <c r="J90" s="10" t="s">
        <v>1214</v>
      </c>
      <c r="K90" s="10" t="s">
        <v>1214</v>
      </c>
      <c r="L90" s="10" t="s">
        <v>1214</v>
      </c>
      <c r="M90" s="10" t="s">
        <v>1214</v>
      </c>
      <c r="N90" s="10" t="s">
        <v>105</v>
      </c>
      <c r="O90" s="10" t="s">
        <v>1214</v>
      </c>
      <c r="P90" s="10" t="s">
        <v>1214</v>
      </c>
      <c r="Q90" s="10" t="s">
        <v>1214</v>
      </c>
      <c r="R90" s="10" t="s">
        <v>1214</v>
      </c>
      <c r="S90" s="10" t="s">
        <v>61</v>
      </c>
    </row>
    <row r="91" spans="1:19" ht="58" x14ac:dyDescent="0.35">
      <c r="A91" s="14">
        <v>46022</v>
      </c>
      <c r="B91" s="10" t="s">
        <v>140</v>
      </c>
      <c r="C91" s="10" t="s">
        <v>141</v>
      </c>
      <c r="D91" s="10" t="s">
        <v>962</v>
      </c>
      <c r="E91" s="10">
        <v>4353456</v>
      </c>
      <c r="F91" s="15">
        <v>0.47</v>
      </c>
      <c r="G91" s="10" t="s">
        <v>1285</v>
      </c>
      <c r="H91" s="10">
        <v>4144674</v>
      </c>
      <c r="I91" s="10">
        <v>4353456</v>
      </c>
      <c r="J91" s="10" t="s">
        <v>1214</v>
      </c>
      <c r="K91" s="10" t="s">
        <v>1214</v>
      </c>
      <c r="L91" s="10" t="s">
        <v>1214</v>
      </c>
      <c r="M91" s="10" t="s">
        <v>1214</v>
      </c>
      <c r="N91" s="10" t="s">
        <v>105</v>
      </c>
      <c r="O91" s="10" t="s">
        <v>1214</v>
      </c>
      <c r="P91" s="10" t="s">
        <v>1214</v>
      </c>
      <c r="Q91" s="10" t="s">
        <v>1214</v>
      </c>
      <c r="R91" s="10" t="s">
        <v>1214</v>
      </c>
      <c r="S91" s="10" t="s">
        <v>61</v>
      </c>
    </row>
    <row r="92" spans="1:19" ht="72.5" x14ac:dyDescent="0.35">
      <c r="A92" s="14">
        <v>46022</v>
      </c>
      <c r="B92" s="10" t="s">
        <v>260</v>
      </c>
      <c r="C92" s="10" t="s">
        <v>261</v>
      </c>
      <c r="D92" s="10" t="s">
        <v>998</v>
      </c>
      <c r="E92" s="10">
        <v>4355633</v>
      </c>
      <c r="F92" s="15">
        <v>100</v>
      </c>
      <c r="G92" s="10" t="s">
        <v>1286</v>
      </c>
      <c r="H92" s="10">
        <v>4355633</v>
      </c>
      <c r="I92" s="10" t="s">
        <v>1194</v>
      </c>
      <c r="J92" s="10" t="s">
        <v>1214</v>
      </c>
      <c r="K92" s="10" t="s">
        <v>1214</v>
      </c>
      <c r="L92" s="10" t="s">
        <v>1214</v>
      </c>
      <c r="M92" s="10" t="s">
        <v>1214</v>
      </c>
      <c r="N92" s="10" t="s">
        <v>61</v>
      </c>
      <c r="O92" s="10" t="s">
        <v>1214</v>
      </c>
      <c r="P92" s="10" t="s">
        <v>1214</v>
      </c>
      <c r="Q92" s="10" t="s">
        <v>1214</v>
      </c>
      <c r="R92" s="10" t="s">
        <v>1214</v>
      </c>
      <c r="S92" s="10" t="s">
        <v>61</v>
      </c>
    </row>
    <row r="93" spans="1:19" ht="72.5" x14ac:dyDescent="0.35">
      <c r="A93" s="14">
        <v>46022</v>
      </c>
      <c r="B93" s="10" t="s">
        <v>142</v>
      </c>
      <c r="C93" s="10" t="s">
        <v>143</v>
      </c>
      <c r="D93" s="10" t="s">
        <v>999</v>
      </c>
      <c r="E93" s="10">
        <v>4349227</v>
      </c>
      <c r="F93" s="15">
        <v>100</v>
      </c>
      <c r="G93" s="10" t="s">
        <v>1287</v>
      </c>
      <c r="H93" s="10">
        <v>4349227</v>
      </c>
      <c r="I93" s="10" t="s">
        <v>1194</v>
      </c>
      <c r="J93" s="10" t="s">
        <v>1238</v>
      </c>
      <c r="K93" s="10" t="s">
        <v>55</v>
      </c>
      <c r="L93" s="10" t="s">
        <v>1288</v>
      </c>
      <c r="M93" s="10" t="s">
        <v>50</v>
      </c>
      <c r="N93" s="10" t="s">
        <v>50</v>
      </c>
      <c r="O93" s="10" t="s">
        <v>1214</v>
      </c>
      <c r="P93" s="10" t="s">
        <v>1214</v>
      </c>
      <c r="Q93" s="10" t="s">
        <v>1214</v>
      </c>
      <c r="R93" s="10" t="s">
        <v>1214</v>
      </c>
      <c r="S93" s="10" t="s">
        <v>61</v>
      </c>
    </row>
    <row r="94" spans="1:19" ht="101.5" x14ac:dyDescent="0.35">
      <c r="A94" s="14">
        <v>46022</v>
      </c>
      <c r="B94" s="10" t="s">
        <v>98</v>
      </c>
      <c r="C94" s="10" t="s">
        <v>99</v>
      </c>
      <c r="D94" s="10" t="s">
        <v>1000</v>
      </c>
      <c r="E94" s="10">
        <v>4349204</v>
      </c>
      <c r="F94" s="15">
        <v>19.579999999999998</v>
      </c>
      <c r="G94" s="10" t="s">
        <v>1289</v>
      </c>
      <c r="H94" s="10">
        <v>4004107</v>
      </c>
      <c r="I94" s="10">
        <v>4349204</v>
      </c>
      <c r="J94" s="10" t="s">
        <v>1214</v>
      </c>
      <c r="K94" s="10" t="s">
        <v>1214</v>
      </c>
      <c r="L94" s="10" t="s">
        <v>1214</v>
      </c>
      <c r="M94" s="10" t="s">
        <v>1214</v>
      </c>
      <c r="N94" s="10" t="s">
        <v>79</v>
      </c>
      <c r="O94" s="10" t="s">
        <v>1214</v>
      </c>
      <c r="P94" s="10" t="s">
        <v>1214</v>
      </c>
      <c r="Q94" s="10" t="s">
        <v>1214</v>
      </c>
      <c r="R94" s="10" t="s">
        <v>1214</v>
      </c>
      <c r="S94" s="10" t="s">
        <v>50</v>
      </c>
    </row>
    <row r="95" spans="1:19" ht="101.5" x14ac:dyDescent="0.35">
      <c r="A95" s="14">
        <v>46022</v>
      </c>
      <c r="B95" s="10" t="s">
        <v>98</v>
      </c>
      <c r="C95" s="10" t="s">
        <v>99</v>
      </c>
      <c r="D95" s="10" t="s">
        <v>963</v>
      </c>
      <c r="E95" s="10">
        <v>4004107</v>
      </c>
      <c r="F95" s="15">
        <v>55.08</v>
      </c>
      <c r="G95" s="10" t="s">
        <v>1289</v>
      </c>
      <c r="H95" s="10">
        <v>4004107</v>
      </c>
      <c r="I95" s="10">
        <v>4349204</v>
      </c>
      <c r="J95" s="10" t="s">
        <v>1214</v>
      </c>
      <c r="K95" s="10" t="s">
        <v>1214</v>
      </c>
      <c r="L95" s="10" t="s">
        <v>1214</v>
      </c>
      <c r="M95" s="10" t="s">
        <v>1214</v>
      </c>
      <c r="N95" s="10" t="s">
        <v>79</v>
      </c>
      <c r="O95" s="10" t="s">
        <v>1214</v>
      </c>
      <c r="P95" s="10" t="s">
        <v>1214</v>
      </c>
      <c r="Q95" s="10" t="s">
        <v>1214</v>
      </c>
      <c r="R95" s="10" t="s">
        <v>1214</v>
      </c>
      <c r="S95" s="10" t="s">
        <v>50</v>
      </c>
    </row>
    <row r="96" spans="1:19" ht="101.5" x14ac:dyDescent="0.35">
      <c r="A96" s="14">
        <v>46022</v>
      </c>
      <c r="B96" s="10" t="s">
        <v>98</v>
      </c>
      <c r="C96" s="10" t="s">
        <v>99</v>
      </c>
      <c r="D96" s="10" t="s">
        <v>988</v>
      </c>
      <c r="E96" s="10">
        <v>4047416</v>
      </c>
      <c r="F96" s="15">
        <v>4.2</v>
      </c>
      <c r="G96" s="10" t="s">
        <v>1289</v>
      </c>
      <c r="H96" s="10">
        <v>4004107</v>
      </c>
      <c r="I96" s="10">
        <v>4349204</v>
      </c>
      <c r="J96" s="10" t="s">
        <v>1214</v>
      </c>
      <c r="K96" s="10" t="s">
        <v>1214</v>
      </c>
      <c r="L96" s="10" t="s">
        <v>1214</v>
      </c>
      <c r="M96" s="10" t="s">
        <v>1214</v>
      </c>
      <c r="N96" s="10" t="s">
        <v>79</v>
      </c>
      <c r="O96" s="10" t="s">
        <v>1214</v>
      </c>
      <c r="P96" s="10" t="s">
        <v>1214</v>
      </c>
      <c r="Q96" s="10" t="s">
        <v>1214</v>
      </c>
      <c r="R96" s="10" t="s">
        <v>1214</v>
      </c>
      <c r="S96" s="10" t="s">
        <v>50</v>
      </c>
    </row>
    <row r="97" spans="1:19" ht="101.5" x14ac:dyDescent="0.35">
      <c r="A97" s="14">
        <v>46022</v>
      </c>
      <c r="B97" s="10" t="s">
        <v>98</v>
      </c>
      <c r="C97" s="10" t="s">
        <v>99</v>
      </c>
      <c r="D97" s="10" t="s">
        <v>989</v>
      </c>
      <c r="E97" s="10">
        <v>4354638</v>
      </c>
      <c r="F97" s="15">
        <v>16.8</v>
      </c>
      <c r="G97" s="10" t="s">
        <v>1289</v>
      </c>
      <c r="H97" s="10">
        <v>4004107</v>
      </c>
      <c r="I97" s="10">
        <v>4349204</v>
      </c>
      <c r="J97" s="10" t="s">
        <v>1214</v>
      </c>
      <c r="K97" s="10" t="s">
        <v>1214</v>
      </c>
      <c r="L97" s="10" t="s">
        <v>1214</v>
      </c>
      <c r="M97" s="10" t="s">
        <v>1214</v>
      </c>
      <c r="N97" s="10" t="s">
        <v>79</v>
      </c>
      <c r="O97" s="10" t="s">
        <v>1214</v>
      </c>
      <c r="P97" s="10" t="s">
        <v>1214</v>
      </c>
      <c r="Q97" s="10" t="s">
        <v>1214</v>
      </c>
      <c r="R97" s="10" t="s">
        <v>1214</v>
      </c>
      <c r="S97" s="10" t="s">
        <v>50</v>
      </c>
    </row>
    <row r="98" spans="1:19" ht="87" x14ac:dyDescent="0.35">
      <c r="A98" s="14">
        <v>46022</v>
      </c>
      <c r="B98" s="10" t="s">
        <v>118</v>
      </c>
      <c r="C98" s="10" t="s">
        <v>119</v>
      </c>
      <c r="D98" s="10" t="s">
        <v>1000</v>
      </c>
      <c r="E98" s="10">
        <v>4349204</v>
      </c>
      <c r="F98" s="15">
        <v>19.579999999999998</v>
      </c>
      <c r="G98" s="10" t="s">
        <v>1290</v>
      </c>
      <c r="H98" s="10">
        <v>4004107</v>
      </c>
      <c r="I98" s="10">
        <v>4354638</v>
      </c>
      <c r="J98" s="10" t="s">
        <v>1214</v>
      </c>
      <c r="K98" s="10" t="s">
        <v>1214</v>
      </c>
      <c r="L98" s="10" t="s">
        <v>1214</v>
      </c>
      <c r="M98" s="10" t="s">
        <v>1214</v>
      </c>
      <c r="N98" s="10" t="s">
        <v>79</v>
      </c>
      <c r="O98" s="10" t="s">
        <v>1214</v>
      </c>
      <c r="P98" s="10" t="s">
        <v>1214</v>
      </c>
      <c r="Q98" s="10" t="s">
        <v>1214</v>
      </c>
      <c r="R98" s="10" t="s">
        <v>1214</v>
      </c>
      <c r="S98" s="10" t="s">
        <v>1235</v>
      </c>
    </row>
    <row r="99" spans="1:19" ht="87" x14ac:dyDescent="0.35">
      <c r="A99" s="14">
        <v>46022</v>
      </c>
      <c r="B99" s="10" t="s">
        <v>118</v>
      </c>
      <c r="C99" s="10" t="s">
        <v>119</v>
      </c>
      <c r="D99" s="10" t="s">
        <v>963</v>
      </c>
      <c r="E99" s="10">
        <v>4004107</v>
      </c>
      <c r="F99" s="15">
        <v>55.08</v>
      </c>
      <c r="G99" s="10" t="s">
        <v>1290</v>
      </c>
      <c r="H99" s="10">
        <v>4004107</v>
      </c>
      <c r="I99" s="10">
        <v>4354638</v>
      </c>
      <c r="J99" s="10" t="s">
        <v>1214</v>
      </c>
      <c r="K99" s="10" t="s">
        <v>1214</v>
      </c>
      <c r="L99" s="10" t="s">
        <v>1214</v>
      </c>
      <c r="M99" s="10" t="s">
        <v>1214</v>
      </c>
      <c r="N99" s="10" t="s">
        <v>79</v>
      </c>
      <c r="O99" s="10" t="s">
        <v>1214</v>
      </c>
      <c r="P99" s="10" t="s">
        <v>1214</v>
      </c>
      <c r="Q99" s="10" t="s">
        <v>1214</v>
      </c>
      <c r="R99" s="10" t="s">
        <v>1214</v>
      </c>
      <c r="S99" s="10" t="s">
        <v>1235</v>
      </c>
    </row>
    <row r="100" spans="1:19" ht="87" x14ac:dyDescent="0.35">
      <c r="A100" s="14">
        <v>46022</v>
      </c>
      <c r="B100" s="10" t="s">
        <v>118</v>
      </c>
      <c r="C100" s="10" t="s">
        <v>119</v>
      </c>
      <c r="D100" s="10" t="s">
        <v>989</v>
      </c>
      <c r="E100" s="10">
        <v>4354638</v>
      </c>
      <c r="F100" s="15">
        <v>21</v>
      </c>
      <c r="G100" s="10" t="s">
        <v>1290</v>
      </c>
      <c r="H100" s="10">
        <v>4004107</v>
      </c>
      <c r="I100" s="10">
        <v>4354638</v>
      </c>
      <c r="J100" s="10" t="s">
        <v>1214</v>
      </c>
      <c r="K100" s="10" t="s">
        <v>1214</v>
      </c>
      <c r="L100" s="10" t="s">
        <v>1214</v>
      </c>
      <c r="M100" s="10" t="s">
        <v>1214</v>
      </c>
      <c r="N100" s="10" t="s">
        <v>79</v>
      </c>
      <c r="O100" s="10" t="s">
        <v>1214</v>
      </c>
      <c r="P100" s="10" t="s">
        <v>1214</v>
      </c>
      <c r="Q100" s="10" t="s">
        <v>1214</v>
      </c>
      <c r="R100" s="10" t="s">
        <v>1214</v>
      </c>
      <c r="S100" s="10" t="s">
        <v>1235</v>
      </c>
    </row>
    <row r="101" spans="1:19" ht="101.5" x14ac:dyDescent="0.35">
      <c r="A101" s="14">
        <v>46022</v>
      </c>
      <c r="B101" s="10" t="s">
        <v>120</v>
      </c>
      <c r="C101" s="10" t="s">
        <v>121</v>
      </c>
      <c r="D101" s="10" t="s">
        <v>1001</v>
      </c>
      <c r="E101" s="10">
        <v>4349160</v>
      </c>
      <c r="F101" s="15">
        <v>85</v>
      </c>
      <c r="G101" s="10" t="s">
        <v>1291</v>
      </c>
      <c r="H101" s="10">
        <v>4349160</v>
      </c>
      <c r="I101" s="10">
        <v>4355602</v>
      </c>
      <c r="J101" s="10" t="s">
        <v>1292</v>
      </c>
      <c r="K101" s="10" t="s">
        <v>61</v>
      </c>
      <c r="L101" s="10" t="s">
        <v>1293</v>
      </c>
      <c r="M101" s="10" t="s">
        <v>1294</v>
      </c>
      <c r="N101" s="10" t="s">
        <v>61</v>
      </c>
      <c r="O101" s="10" t="s">
        <v>1295</v>
      </c>
      <c r="P101" s="10" t="s">
        <v>122</v>
      </c>
      <c r="Q101" s="10" t="s">
        <v>1295</v>
      </c>
      <c r="R101" s="10" t="s">
        <v>122</v>
      </c>
      <c r="S101" s="10" t="s">
        <v>122</v>
      </c>
    </row>
    <row r="102" spans="1:19" ht="101.5" x14ac:dyDescent="0.35">
      <c r="A102" s="14">
        <v>46022</v>
      </c>
      <c r="B102" s="10" t="s">
        <v>120</v>
      </c>
      <c r="C102" s="10" t="s">
        <v>121</v>
      </c>
      <c r="D102" s="10" t="s">
        <v>1002</v>
      </c>
      <c r="E102" s="10">
        <v>4355602</v>
      </c>
      <c r="F102" s="15">
        <v>15</v>
      </c>
      <c r="G102" s="10" t="s">
        <v>1291</v>
      </c>
      <c r="H102" s="10">
        <v>4349160</v>
      </c>
      <c r="I102" s="10">
        <v>4355602</v>
      </c>
      <c r="J102" s="10" t="s">
        <v>1292</v>
      </c>
      <c r="K102" s="10" t="s">
        <v>61</v>
      </c>
      <c r="L102" s="10" t="s">
        <v>1293</v>
      </c>
      <c r="M102" s="10" t="s">
        <v>1294</v>
      </c>
      <c r="N102" s="10" t="s">
        <v>61</v>
      </c>
      <c r="O102" s="10" t="s">
        <v>1295</v>
      </c>
      <c r="P102" s="10" t="s">
        <v>122</v>
      </c>
      <c r="Q102" s="10" t="s">
        <v>1295</v>
      </c>
      <c r="R102" s="10" t="s">
        <v>122</v>
      </c>
      <c r="S102" s="10" t="s">
        <v>122</v>
      </c>
    </row>
    <row r="103" spans="1:19" ht="29" x14ac:dyDescent="0.35">
      <c r="A103" s="14">
        <v>46022</v>
      </c>
      <c r="B103" s="10" t="s">
        <v>704</v>
      </c>
      <c r="C103" s="10" t="s">
        <v>705</v>
      </c>
      <c r="D103" s="10" t="s">
        <v>962</v>
      </c>
      <c r="E103" s="10">
        <v>4353456</v>
      </c>
      <c r="F103" s="15">
        <v>100</v>
      </c>
      <c r="G103" s="10" t="s">
        <v>1296</v>
      </c>
      <c r="H103" s="10">
        <v>4353456</v>
      </c>
      <c r="I103" s="10" t="s">
        <v>1194</v>
      </c>
      <c r="J103" s="10" t="s">
        <v>1214</v>
      </c>
      <c r="K103" s="10" t="s">
        <v>1214</v>
      </c>
      <c r="L103" s="10" t="s">
        <v>1214</v>
      </c>
      <c r="M103" s="10" t="s">
        <v>1214</v>
      </c>
      <c r="N103" s="10" t="s">
        <v>61</v>
      </c>
      <c r="O103" s="10" t="s">
        <v>1214</v>
      </c>
      <c r="P103" s="10" t="s">
        <v>1214</v>
      </c>
      <c r="Q103" s="10" t="s">
        <v>1214</v>
      </c>
      <c r="R103" s="10" t="s">
        <v>1214</v>
      </c>
      <c r="S103" s="10" t="s">
        <v>61</v>
      </c>
    </row>
    <row r="104" spans="1:19" ht="43.5" x14ac:dyDescent="0.35">
      <c r="A104" s="14">
        <v>46022</v>
      </c>
      <c r="B104" s="10" t="s">
        <v>144</v>
      </c>
      <c r="C104" s="10" t="s">
        <v>145</v>
      </c>
      <c r="D104" s="10" t="s">
        <v>987</v>
      </c>
      <c r="E104" s="10">
        <v>4351931</v>
      </c>
      <c r="F104" s="15">
        <v>100</v>
      </c>
      <c r="G104" s="10" t="s">
        <v>1297</v>
      </c>
      <c r="H104" s="10">
        <v>4351931</v>
      </c>
      <c r="I104" s="10" t="s">
        <v>1194</v>
      </c>
      <c r="J104" s="10" t="s">
        <v>1214</v>
      </c>
      <c r="K104" s="10" t="s">
        <v>1214</v>
      </c>
      <c r="L104" s="10" t="s">
        <v>1214</v>
      </c>
      <c r="M104" s="10" t="s">
        <v>1214</v>
      </c>
      <c r="N104" s="10" t="s">
        <v>222</v>
      </c>
      <c r="O104" s="10" t="s">
        <v>1214</v>
      </c>
      <c r="P104" s="10" t="s">
        <v>1214</v>
      </c>
      <c r="Q104" s="10" t="s">
        <v>1214</v>
      </c>
      <c r="R104" s="10" t="s">
        <v>1214</v>
      </c>
      <c r="S104" s="10" t="s">
        <v>61</v>
      </c>
    </row>
    <row r="105" spans="1:19" ht="58" x14ac:dyDescent="0.35">
      <c r="A105" s="14">
        <v>46022</v>
      </c>
      <c r="B105" s="10" t="s">
        <v>706</v>
      </c>
      <c r="C105" s="10" t="s">
        <v>707</v>
      </c>
      <c r="D105" s="10" t="s">
        <v>980</v>
      </c>
      <c r="E105" s="10">
        <v>4354459</v>
      </c>
      <c r="F105" s="15">
        <v>100</v>
      </c>
      <c r="G105" s="10" t="s">
        <v>1298</v>
      </c>
      <c r="H105" s="10">
        <v>4354459</v>
      </c>
      <c r="I105" s="10" t="s">
        <v>1194</v>
      </c>
      <c r="J105" s="10" t="s">
        <v>1267</v>
      </c>
      <c r="K105" s="10" t="s">
        <v>111</v>
      </c>
      <c r="L105" s="10" t="s">
        <v>1268</v>
      </c>
      <c r="M105" s="10" t="s">
        <v>79</v>
      </c>
      <c r="N105" s="10" t="s">
        <v>79</v>
      </c>
      <c r="O105" s="10" t="s">
        <v>1214</v>
      </c>
      <c r="P105" s="10" t="s">
        <v>1214</v>
      </c>
      <c r="Q105" s="10" t="s">
        <v>1214</v>
      </c>
      <c r="R105" s="10" t="s">
        <v>1214</v>
      </c>
      <c r="S105" s="10" t="s">
        <v>61</v>
      </c>
    </row>
    <row r="106" spans="1:19" ht="43.5" x14ac:dyDescent="0.35">
      <c r="A106" s="14">
        <v>46022</v>
      </c>
      <c r="B106" s="10" t="s">
        <v>146</v>
      </c>
      <c r="C106" s="10" t="s">
        <v>147</v>
      </c>
      <c r="D106" s="10" t="s">
        <v>1003</v>
      </c>
      <c r="E106" s="10">
        <v>4349826</v>
      </c>
      <c r="F106" s="15">
        <v>100</v>
      </c>
      <c r="G106" s="10" t="s">
        <v>1299</v>
      </c>
      <c r="H106" s="10">
        <v>4349826</v>
      </c>
      <c r="I106" s="10" t="s">
        <v>1194</v>
      </c>
      <c r="J106" s="10" t="s">
        <v>1214</v>
      </c>
      <c r="K106" s="10" t="s">
        <v>1214</v>
      </c>
      <c r="L106" s="10" t="s">
        <v>1214</v>
      </c>
      <c r="M106" s="10" t="s">
        <v>1214</v>
      </c>
      <c r="N106" s="10" t="s">
        <v>222</v>
      </c>
      <c r="O106" s="10" t="s">
        <v>1214</v>
      </c>
      <c r="P106" s="10" t="s">
        <v>1214</v>
      </c>
      <c r="Q106" s="10" t="s">
        <v>1214</v>
      </c>
      <c r="R106" s="10" t="s">
        <v>1214</v>
      </c>
      <c r="S106" s="10" t="s">
        <v>61</v>
      </c>
    </row>
    <row r="107" spans="1:19" ht="72.5" x14ac:dyDescent="0.35">
      <c r="A107" s="14">
        <v>46022</v>
      </c>
      <c r="B107" s="10" t="s">
        <v>263</v>
      </c>
      <c r="C107" s="10" t="s">
        <v>264</v>
      </c>
      <c r="D107" s="10" t="s">
        <v>1004</v>
      </c>
      <c r="E107" s="10">
        <v>4351423</v>
      </c>
      <c r="F107" s="15">
        <v>100</v>
      </c>
      <c r="G107" s="10" t="s">
        <v>1300</v>
      </c>
      <c r="H107" s="10">
        <v>4351423</v>
      </c>
      <c r="I107" s="10" t="s">
        <v>1194</v>
      </c>
      <c r="J107" s="10" t="s">
        <v>1301</v>
      </c>
      <c r="K107" s="10" t="s">
        <v>61</v>
      </c>
      <c r="L107" s="10" t="s">
        <v>1302</v>
      </c>
      <c r="M107" s="10" t="s">
        <v>61</v>
      </c>
      <c r="N107" s="10" t="s">
        <v>61</v>
      </c>
      <c r="O107" s="10" t="s">
        <v>1214</v>
      </c>
      <c r="P107" s="10" t="s">
        <v>1214</v>
      </c>
      <c r="Q107" s="10" t="s">
        <v>1214</v>
      </c>
      <c r="R107" s="10" t="s">
        <v>1214</v>
      </c>
      <c r="S107" s="10" t="s">
        <v>61</v>
      </c>
    </row>
    <row r="108" spans="1:19" ht="43.5" x14ac:dyDescent="0.35">
      <c r="A108" s="14">
        <v>46022</v>
      </c>
      <c r="B108" s="10" t="s">
        <v>125</v>
      </c>
      <c r="C108" s="10" t="s">
        <v>126</v>
      </c>
      <c r="D108" s="10" t="s">
        <v>963</v>
      </c>
      <c r="E108" s="10">
        <v>4004107</v>
      </c>
      <c r="F108" s="15">
        <v>100</v>
      </c>
      <c r="G108" s="10" t="s">
        <v>1245</v>
      </c>
      <c r="H108" s="10">
        <v>4004107</v>
      </c>
      <c r="I108" s="10" t="s">
        <v>1194</v>
      </c>
      <c r="J108" s="10" t="s">
        <v>1214</v>
      </c>
      <c r="K108" s="10" t="s">
        <v>1214</v>
      </c>
      <c r="L108" s="10" t="s">
        <v>1214</v>
      </c>
      <c r="M108" s="10" t="s">
        <v>1214</v>
      </c>
      <c r="N108" s="10" t="s">
        <v>79</v>
      </c>
      <c r="O108" s="10" t="s">
        <v>1214</v>
      </c>
      <c r="P108" s="10" t="s">
        <v>1214</v>
      </c>
      <c r="Q108" s="10" t="s">
        <v>1214</v>
      </c>
      <c r="R108" s="10" t="s">
        <v>1214</v>
      </c>
      <c r="S108" s="10" t="s">
        <v>61</v>
      </c>
    </row>
    <row r="109" spans="1:19" ht="43.5" x14ac:dyDescent="0.35">
      <c r="A109" s="14">
        <v>46022</v>
      </c>
      <c r="B109" s="10" t="s">
        <v>265</v>
      </c>
      <c r="C109" s="10" t="s">
        <v>266</v>
      </c>
      <c r="D109" s="10" t="s">
        <v>963</v>
      </c>
      <c r="E109" s="10">
        <v>4004107</v>
      </c>
      <c r="F109" s="15">
        <v>100</v>
      </c>
      <c r="G109" s="10" t="s">
        <v>1245</v>
      </c>
      <c r="H109" s="10">
        <v>4004107</v>
      </c>
      <c r="I109" s="10" t="s">
        <v>1194</v>
      </c>
      <c r="J109" s="10" t="s">
        <v>1214</v>
      </c>
      <c r="K109" s="10" t="s">
        <v>1214</v>
      </c>
      <c r="L109" s="10" t="s">
        <v>1214</v>
      </c>
      <c r="M109" s="10" t="s">
        <v>1214</v>
      </c>
      <c r="N109" s="10" t="s">
        <v>79</v>
      </c>
      <c r="O109" s="10" t="s">
        <v>1214</v>
      </c>
      <c r="P109" s="10" t="s">
        <v>1214</v>
      </c>
      <c r="Q109" s="10" t="s">
        <v>1214</v>
      </c>
      <c r="R109" s="10" t="s">
        <v>1214</v>
      </c>
      <c r="S109" s="10" t="s">
        <v>61</v>
      </c>
    </row>
    <row r="110" spans="1:19" ht="58" x14ac:dyDescent="0.35">
      <c r="A110" s="14">
        <v>46022</v>
      </c>
      <c r="B110" s="10" t="s">
        <v>708</v>
      </c>
      <c r="C110" s="10" t="s">
        <v>709</v>
      </c>
      <c r="D110" s="10" t="s">
        <v>1005</v>
      </c>
      <c r="E110" s="10">
        <v>4355250</v>
      </c>
      <c r="F110" s="15">
        <v>100</v>
      </c>
      <c r="G110" s="10" t="s">
        <v>1303</v>
      </c>
      <c r="H110" s="10">
        <v>4355250</v>
      </c>
      <c r="I110" s="10" t="s">
        <v>1194</v>
      </c>
      <c r="J110" s="10" t="s">
        <v>1304</v>
      </c>
      <c r="K110" s="10" t="s">
        <v>283</v>
      </c>
      <c r="L110" s="10" t="s">
        <v>1305</v>
      </c>
      <c r="M110" s="10" t="s">
        <v>1228</v>
      </c>
      <c r="N110" s="10" t="s">
        <v>50</v>
      </c>
      <c r="O110" s="10" t="s">
        <v>1214</v>
      </c>
      <c r="P110" s="10" t="s">
        <v>1214</v>
      </c>
      <c r="Q110" s="10" t="s">
        <v>1214</v>
      </c>
      <c r="R110" s="10" t="s">
        <v>1214</v>
      </c>
      <c r="S110" s="10" t="s">
        <v>61</v>
      </c>
    </row>
    <row r="111" spans="1:19" ht="29" x14ac:dyDescent="0.35">
      <c r="A111" s="14">
        <v>46022</v>
      </c>
      <c r="B111" s="10" t="s">
        <v>127</v>
      </c>
      <c r="C111" s="10" t="s">
        <v>128</v>
      </c>
      <c r="D111" s="10" t="s">
        <v>945</v>
      </c>
      <c r="E111" s="10">
        <v>4349314</v>
      </c>
      <c r="F111" s="15">
        <v>100</v>
      </c>
      <c r="G111" s="10" t="s">
        <v>1225</v>
      </c>
      <c r="H111" s="10">
        <v>4349314</v>
      </c>
      <c r="I111" s="10" t="s">
        <v>1194</v>
      </c>
      <c r="J111" s="10" t="s">
        <v>58</v>
      </c>
      <c r="K111" s="10" t="s">
        <v>58</v>
      </c>
      <c r="L111" s="10" t="s">
        <v>58</v>
      </c>
      <c r="M111" s="10" t="s">
        <v>58</v>
      </c>
      <c r="N111" s="10" t="s">
        <v>58</v>
      </c>
      <c r="O111" s="10" t="s">
        <v>1214</v>
      </c>
      <c r="P111" s="10" t="s">
        <v>1214</v>
      </c>
      <c r="Q111" s="10" t="s">
        <v>1214</v>
      </c>
      <c r="R111" s="10" t="s">
        <v>1214</v>
      </c>
      <c r="S111" s="10" t="s">
        <v>61</v>
      </c>
    </row>
    <row r="112" spans="1:19" ht="58" x14ac:dyDescent="0.35">
      <c r="A112" s="14">
        <v>46022</v>
      </c>
      <c r="B112" s="10" t="s">
        <v>267</v>
      </c>
      <c r="C112" s="10" t="s">
        <v>268</v>
      </c>
      <c r="D112" s="10" t="s">
        <v>1006</v>
      </c>
      <c r="E112" s="10">
        <v>4155293</v>
      </c>
      <c r="F112" s="15">
        <v>100</v>
      </c>
      <c r="G112" s="10" t="s">
        <v>1306</v>
      </c>
      <c r="H112" s="10">
        <v>4155293</v>
      </c>
      <c r="I112" s="10" t="s">
        <v>1194</v>
      </c>
      <c r="J112" s="10" t="s">
        <v>1214</v>
      </c>
      <c r="K112" s="10" t="s">
        <v>1214</v>
      </c>
      <c r="L112" s="10" t="s">
        <v>1214</v>
      </c>
      <c r="M112" s="10" t="s">
        <v>1214</v>
      </c>
      <c r="N112" s="10" t="s">
        <v>105</v>
      </c>
      <c r="O112" s="10" t="s">
        <v>1214</v>
      </c>
      <c r="P112" s="10" t="s">
        <v>1214</v>
      </c>
      <c r="Q112" s="10" t="s">
        <v>1214</v>
      </c>
      <c r="R112" s="10" t="s">
        <v>1214</v>
      </c>
      <c r="S112" s="10" t="s">
        <v>61</v>
      </c>
    </row>
    <row r="113" spans="1:19" ht="72.5" x14ac:dyDescent="0.35">
      <c r="A113" s="14">
        <v>46022</v>
      </c>
      <c r="B113" s="10" t="s">
        <v>298</v>
      </c>
      <c r="C113" s="10" t="s">
        <v>299</v>
      </c>
      <c r="D113" s="10" t="s">
        <v>1007</v>
      </c>
      <c r="E113" s="10">
        <v>4193273</v>
      </c>
      <c r="F113" s="15">
        <v>44</v>
      </c>
      <c r="G113" s="10" t="s">
        <v>1307</v>
      </c>
      <c r="H113" s="10">
        <v>4113732</v>
      </c>
      <c r="I113" s="10">
        <v>4193273</v>
      </c>
      <c r="J113" s="10" t="s">
        <v>1214</v>
      </c>
      <c r="K113" s="10" t="s">
        <v>1214</v>
      </c>
      <c r="L113" s="10" t="s">
        <v>1214</v>
      </c>
      <c r="M113" s="10" t="s">
        <v>1214</v>
      </c>
      <c r="N113" s="10" t="s">
        <v>1228</v>
      </c>
      <c r="O113" s="10" t="s">
        <v>1214</v>
      </c>
      <c r="P113" s="10" t="s">
        <v>1214</v>
      </c>
      <c r="Q113" s="10" t="s">
        <v>1214</v>
      </c>
      <c r="R113" s="10" t="s">
        <v>1214</v>
      </c>
      <c r="S113" s="10" t="s">
        <v>1219</v>
      </c>
    </row>
    <row r="114" spans="1:19" ht="72.5" x14ac:dyDescent="0.35">
      <c r="A114" s="14">
        <v>46022</v>
      </c>
      <c r="B114" s="10" t="s">
        <v>298</v>
      </c>
      <c r="C114" s="10" t="s">
        <v>299</v>
      </c>
      <c r="D114" s="10" t="s">
        <v>948</v>
      </c>
      <c r="E114" s="10">
        <v>4113732</v>
      </c>
      <c r="F114" s="15">
        <v>44</v>
      </c>
      <c r="G114" s="10" t="s">
        <v>1307</v>
      </c>
      <c r="H114" s="10">
        <v>4113732</v>
      </c>
      <c r="I114" s="10">
        <v>4193273</v>
      </c>
      <c r="J114" s="10" t="s">
        <v>1214</v>
      </c>
      <c r="K114" s="10" t="s">
        <v>1214</v>
      </c>
      <c r="L114" s="10" t="s">
        <v>1214</v>
      </c>
      <c r="M114" s="10" t="s">
        <v>1214</v>
      </c>
      <c r="N114" s="10" t="s">
        <v>1228</v>
      </c>
      <c r="O114" s="10" t="s">
        <v>1214</v>
      </c>
      <c r="P114" s="10" t="s">
        <v>1214</v>
      </c>
      <c r="Q114" s="10" t="s">
        <v>1214</v>
      </c>
      <c r="R114" s="10" t="s">
        <v>1214</v>
      </c>
      <c r="S114" s="10" t="s">
        <v>1219</v>
      </c>
    </row>
    <row r="115" spans="1:19" ht="72.5" x14ac:dyDescent="0.35">
      <c r="A115" s="14">
        <v>46022</v>
      </c>
      <c r="B115" s="10" t="s">
        <v>298</v>
      </c>
      <c r="C115" s="10" t="s">
        <v>299</v>
      </c>
      <c r="D115" s="10" t="s">
        <v>1008</v>
      </c>
      <c r="E115" s="10">
        <v>4086798</v>
      </c>
      <c r="F115" s="15">
        <v>11.03</v>
      </c>
      <c r="G115" s="10" t="s">
        <v>1307</v>
      </c>
      <c r="H115" s="10">
        <v>4113732</v>
      </c>
      <c r="I115" s="10">
        <v>4193273</v>
      </c>
      <c r="J115" s="10" t="s">
        <v>1214</v>
      </c>
      <c r="K115" s="10" t="s">
        <v>1214</v>
      </c>
      <c r="L115" s="10" t="s">
        <v>1214</v>
      </c>
      <c r="M115" s="10" t="s">
        <v>1214</v>
      </c>
      <c r="N115" s="10" t="s">
        <v>1228</v>
      </c>
      <c r="O115" s="10" t="s">
        <v>1214</v>
      </c>
      <c r="P115" s="10" t="s">
        <v>1214</v>
      </c>
      <c r="Q115" s="10" t="s">
        <v>1214</v>
      </c>
      <c r="R115" s="10" t="s">
        <v>1214</v>
      </c>
      <c r="S115" s="10" t="s">
        <v>1219</v>
      </c>
    </row>
    <row r="116" spans="1:19" ht="72.5" x14ac:dyDescent="0.35">
      <c r="A116" s="14">
        <v>46022</v>
      </c>
      <c r="B116" s="10" t="s">
        <v>298</v>
      </c>
      <c r="C116" s="10" t="s">
        <v>299</v>
      </c>
      <c r="D116" s="10" t="s">
        <v>1009</v>
      </c>
      <c r="E116" s="10">
        <v>4352523</v>
      </c>
      <c r="F116" s="15">
        <v>0.97</v>
      </c>
      <c r="G116" s="10" t="s">
        <v>1307</v>
      </c>
      <c r="H116" s="10">
        <v>4113732</v>
      </c>
      <c r="I116" s="10">
        <v>4193273</v>
      </c>
      <c r="J116" s="10" t="s">
        <v>1214</v>
      </c>
      <c r="K116" s="10" t="s">
        <v>1214</v>
      </c>
      <c r="L116" s="10" t="s">
        <v>1214</v>
      </c>
      <c r="M116" s="10" t="s">
        <v>1214</v>
      </c>
      <c r="N116" s="10" t="s">
        <v>1228</v>
      </c>
      <c r="O116" s="10" t="s">
        <v>1214</v>
      </c>
      <c r="P116" s="10" t="s">
        <v>1214</v>
      </c>
      <c r="Q116" s="10" t="s">
        <v>1214</v>
      </c>
      <c r="R116" s="10" t="s">
        <v>1214</v>
      </c>
      <c r="S116" s="10" t="s">
        <v>1219</v>
      </c>
    </row>
    <row r="117" spans="1:19" ht="43.5" x14ac:dyDescent="0.35">
      <c r="A117" s="14">
        <v>46022</v>
      </c>
      <c r="B117" s="10" t="s">
        <v>710</v>
      </c>
      <c r="C117" s="10" t="s">
        <v>711</v>
      </c>
      <c r="D117" s="10" t="s">
        <v>1010</v>
      </c>
      <c r="E117" s="10">
        <v>4351119</v>
      </c>
      <c r="F117" s="15">
        <v>100</v>
      </c>
      <c r="G117" s="10" t="s">
        <v>1308</v>
      </c>
      <c r="H117" s="10">
        <v>4351119</v>
      </c>
      <c r="I117" s="10" t="s">
        <v>1194</v>
      </c>
      <c r="J117" s="10" t="s">
        <v>1214</v>
      </c>
      <c r="K117" s="10" t="s">
        <v>1214</v>
      </c>
      <c r="L117" s="10" t="s">
        <v>1214</v>
      </c>
      <c r="M117" s="10" t="s">
        <v>1214</v>
      </c>
      <c r="N117" s="10" t="s">
        <v>222</v>
      </c>
      <c r="O117" s="10" t="s">
        <v>1214</v>
      </c>
      <c r="P117" s="10" t="s">
        <v>1214</v>
      </c>
      <c r="Q117" s="10" t="s">
        <v>1214</v>
      </c>
      <c r="R117" s="10" t="s">
        <v>1214</v>
      </c>
      <c r="S117" s="10" t="s">
        <v>61</v>
      </c>
    </row>
    <row r="118" spans="1:19" ht="58" x14ac:dyDescent="0.35">
      <c r="A118" s="14">
        <v>46022</v>
      </c>
      <c r="B118" s="10" t="s">
        <v>300</v>
      </c>
      <c r="C118" s="10" t="s">
        <v>301</v>
      </c>
      <c r="D118" s="10" t="s">
        <v>1011</v>
      </c>
      <c r="E118" s="10">
        <v>4495972</v>
      </c>
      <c r="F118" s="15">
        <v>100</v>
      </c>
      <c r="G118" s="10" t="s">
        <v>1309</v>
      </c>
      <c r="H118" s="10">
        <v>4495972</v>
      </c>
      <c r="I118" s="10" t="s">
        <v>1194</v>
      </c>
      <c r="J118" s="10" t="s">
        <v>1310</v>
      </c>
      <c r="K118" s="10" t="s">
        <v>79</v>
      </c>
      <c r="L118" s="10" t="s">
        <v>1311</v>
      </c>
      <c r="M118" s="10" t="s">
        <v>79</v>
      </c>
      <c r="N118" s="10" t="s">
        <v>79</v>
      </c>
      <c r="O118" s="10" t="s">
        <v>1214</v>
      </c>
      <c r="P118" s="10" t="s">
        <v>1214</v>
      </c>
      <c r="Q118" s="10" t="s">
        <v>1214</v>
      </c>
      <c r="R118" s="10" t="s">
        <v>1214</v>
      </c>
      <c r="S118" s="10" t="s">
        <v>61</v>
      </c>
    </row>
    <row r="119" spans="1:19" ht="43.5" x14ac:dyDescent="0.35">
      <c r="A119" s="14">
        <v>46022</v>
      </c>
      <c r="B119" s="10" t="s">
        <v>302</v>
      </c>
      <c r="C119" s="10" t="s">
        <v>303</v>
      </c>
      <c r="D119" s="10" t="s">
        <v>1010</v>
      </c>
      <c r="E119" s="10">
        <v>4351119</v>
      </c>
      <c r="F119" s="15">
        <v>100</v>
      </c>
      <c r="G119" s="10" t="s">
        <v>1308</v>
      </c>
      <c r="H119" s="10">
        <v>4351119</v>
      </c>
      <c r="I119" s="10" t="s">
        <v>1194</v>
      </c>
      <c r="J119" s="10" t="s">
        <v>1214</v>
      </c>
      <c r="K119" s="10" t="s">
        <v>1214</v>
      </c>
      <c r="L119" s="10" t="s">
        <v>1214</v>
      </c>
      <c r="M119" s="10" t="s">
        <v>1214</v>
      </c>
      <c r="N119" s="10" t="s">
        <v>222</v>
      </c>
      <c r="O119" s="10" t="s">
        <v>1214</v>
      </c>
      <c r="P119" s="10" t="s">
        <v>1214</v>
      </c>
      <c r="Q119" s="10" t="s">
        <v>1214</v>
      </c>
      <c r="R119" s="10" t="s">
        <v>1214</v>
      </c>
      <c r="S119" s="10" t="s">
        <v>61</v>
      </c>
    </row>
    <row r="120" spans="1:19" ht="58" x14ac:dyDescent="0.35">
      <c r="A120" s="14">
        <v>46022</v>
      </c>
      <c r="B120" s="10" t="s">
        <v>129</v>
      </c>
      <c r="C120" s="10" t="s">
        <v>130</v>
      </c>
      <c r="D120" s="10" t="s">
        <v>1012</v>
      </c>
      <c r="E120" s="10">
        <v>4354065</v>
      </c>
      <c r="F120" s="15">
        <v>100</v>
      </c>
      <c r="G120" s="10" t="s">
        <v>1312</v>
      </c>
      <c r="H120" s="10">
        <v>4354065</v>
      </c>
      <c r="I120" s="10" t="s">
        <v>1194</v>
      </c>
      <c r="J120" s="10" t="s">
        <v>1214</v>
      </c>
      <c r="K120" s="10" t="s">
        <v>1214</v>
      </c>
      <c r="L120" s="10" t="s">
        <v>1214</v>
      </c>
      <c r="M120" s="10" t="s">
        <v>1214</v>
      </c>
      <c r="N120" s="10" t="s">
        <v>222</v>
      </c>
      <c r="O120" s="10" t="s">
        <v>1214</v>
      </c>
      <c r="P120" s="10" t="s">
        <v>1214</v>
      </c>
      <c r="Q120" s="10" t="s">
        <v>1214</v>
      </c>
      <c r="R120" s="10" t="s">
        <v>1214</v>
      </c>
      <c r="S120" s="10" t="s">
        <v>61</v>
      </c>
    </row>
    <row r="121" spans="1:19" ht="43.5" x14ac:dyDescent="0.35">
      <c r="A121" s="14">
        <v>46022</v>
      </c>
      <c r="B121" s="10" t="s">
        <v>131</v>
      </c>
      <c r="C121" s="10" t="s">
        <v>132</v>
      </c>
      <c r="D121" s="10" t="s">
        <v>1013</v>
      </c>
      <c r="E121" s="10">
        <v>4348938</v>
      </c>
      <c r="F121" s="15">
        <v>100</v>
      </c>
      <c r="G121" s="10" t="s">
        <v>1313</v>
      </c>
      <c r="H121" s="10">
        <v>4348938</v>
      </c>
      <c r="I121" s="10" t="s">
        <v>1194</v>
      </c>
      <c r="J121" s="10" t="s">
        <v>1214</v>
      </c>
      <c r="K121" s="10" t="s">
        <v>1214</v>
      </c>
      <c r="L121" s="10" t="s">
        <v>1214</v>
      </c>
      <c r="M121" s="10" t="s">
        <v>1214</v>
      </c>
      <c r="N121" s="10" t="s">
        <v>222</v>
      </c>
      <c r="O121" s="10" t="s">
        <v>1214</v>
      </c>
      <c r="P121" s="10" t="s">
        <v>1214</v>
      </c>
      <c r="Q121" s="10" t="s">
        <v>1214</v>
      </c>
      <c r="R121" s="10" t="s">
        <v>1214</v>
      </c>
      <c r="S121" s="10" t="s">
        <v>61</v>
      </c>
    </row>
    <row r="122" spans="1:19" ht="58" x14ac:dyDescent="0.35">
      <c r="A122" s="14">
        <v>46022</v>
      </c>
      <c r="B122" s="10" t="s">
        <v>712</v>
      </c>
      <c r="C122" s="10" t="s">
        <v>713</v>
      </c>
      <c r="D122" s="10" t="s">
        <v>980</v>
      </c>
      <c r="E122" s="10">
        <v>4354459</v>
      </c>
      <c r="F122" s="15">
        <v>100</v>
      </c>
      <c r="G122" s="10" t="s">
        <v>1298</v>
      </c>
      <c r="H122" s="10">
        <v>4354459</v>
      </c>
      <c r="I122" s="10" t="s">
        <v>1194</v>
      </c>
      <c r="J122" s="10" t="s">
        <v>1267</v>
      </c>
      <c r="K122" s="10" t="s">
        <v>111</v>
      </c>
      <c r="L122" s="10" t="s">
        <v>1268</v>
      </c>
      <c r="M122" s="10" t="s">
        <v>79</v>
      </c>
      <c r="N122" s="10" t="s">
        <v>79</v>
      </c>
      <c r="O122" s="10" t="s">
        <v>1214</v>
      </c>
      <c r="P122" s="10" t="s">
        <v>1214</v>
      </c>
      <c r="Q122" s="10" t="s">
        <v>1214</v>
      </c>
      <c r="R122" s="10" t="s">
        <v>1214</v>
      </c>
      <c r="S122" s="10" t="s">
        <v>61</v>
      </c>
    </row>
    <row r="123" spans="1:19" ht="72.5" x14ac:dyDescent="0.35">
      <c r="A123" s="14">
        <v>46022</v>
      </c>
      <c r="B123" s="10" t="s">
        <v>149</v>
      </c>
      <c r="C123" s="10" t="s">
        <v>150</v>
      </c>
      <c r="D123" s="10" t="s">
        <v>1014</v>
      </c>
      <c r="E123" s="10">
        <v>4355551</v>
      </c>
      <c r="F123" s="15">
        <v>100</v>
      </c>
      <c r="G123" s="10" t="s">
        <v>1314</v>
      </c>
      <c r="H123" s="10">
        <v>4355551</v>
      </c>
      <c r="I123" s="10" t="s">
        <v>1194</v>
      </c>
      <c r="J123" s="10" t="s">
        <v>1292</v>
      </c>
      <c r="K123" s="10" t="s">
        <v>61</v>
      </c>
      <c r="L123" s="10" t="s">
        <v>1315</v>
      </c>
      <c r="M123" s="10" t="s">
        <v>61</v>
      </c>
      <c r="N123" s="10" t="s">
        <v>61</v>
      </c>
      <c r="O123" s="10" t="s">
        <v>1214</v>
      </c>
      <c r="P123" s="10" t="s">
        <v>1214</v>
      </c>
      <c r="Q123" s="10" t="s">
        <v>1214</v>
      </c>
      <c r="R123" s="10" t="s">
        <v>1214</v>
      </c>
      <c r="S123" s="10" t="s">
        <v>61</v>
      </c>
    </row>
    <row r="124" spans="1:19" ht="58" x14ac:dyDescent="0.35">
      <c r="A124" s="14">
        <v>46022</v>
      </c>
      <c r="B124" s="10" t="s">
        <v>195</v>
      </c>
      <c r="C124" s="10" t="s">
        <v>196</v>
      </c>
      <c r="D124" s="10" t="s">
        <v>1015</v>
      </c>
      <c r="E124" s="10">
        <v>10948224</v>
      </c>
      <c r="F124" s="15">
        <v>100</v>
      </c>
      <c r="G124" s="10" t="s">
        <v>1316</v>
      </c>
      <c r="H124" s="10">
        <v>10948224</v>
      </c>
      <c r="I124" s="10" t="s">
        <v>1194</v>
      </c>
      <c r="J124" s="10" t="s">
        <v>1214</v>
      </c>
      <c r="K124" s="10" t="s">
        <v>1214</v>
      </c>
      <c r="L124" s="10" t="s">
        <v>1214</v>
      </c>
      <c r="M124" s="10" t="s">
        <v>1214</v>
      </c>
      <c r="N124" s="10" t="s">
        <v>61</v>
      </c>
      <c r="O124" s="10" t="s">
        <v>1214</v>
      </c>
      <c r="P124" s="10" t="s">
        <v>1214</v>
      </c>
      <c r="Q124" s="10" t="s">
        <v>1214</v>
      </c>
      <c r="R124" s="10" t="s">
        <v>1214</v>
      </c>
      <c r="S124" s="10" t="s">
        <v>61</v>
      </c>
    </row>
    <row r="125" spans="1:19" ht="29" x14ac:dyDescent="0.35">
      <c r="A125" s="14">
        <v>46022</v>
      </c>
      <c r="B125" s="10" t="s">
        <v>304</v>
      </c>
      <c r="C125" s="10" t="s">
        <v>305</v>
      </c>
      <c r="D125" s="10" t="s">
        <v>962</v>
      </c>
      <c r="E125" s="10">
        <v>4353456</v>
      </c>
      <c r="F125" s="15">
        <v>100</v>
      </c>
      <c r="G125" s="10" t="s">
        <v>1296</v>
      </c>
      <c r="H125" s="10">
        <v>4353456</v>
      </c>
      <c r="I125" s="10" t="s">
        <v>1194</v>
      </c>
      <c r="J125" s="10" t="s">
        <v>1214</v>
      </c>
      <c r="K125" s="10" t="s">
        <v>1214</v>
      </c>
      <c r="L125" s="10" t="s">
        <v>1214</v>
      </c>
      <c r="M125" s="10" t="s">
        <v>1214</v>
      </c>
      <c r="N125" s="10" t="s">
        <v>61</v>
      </c>
      <c r="O125" s="10" t="s">
        <v>1214</v>
      </c>
      <c r="P125" s="10" t="s">
        <v>1214</v>
      </c>
      <c r="Q125" s="10" t="s">
        <v>1214</v>
      </c>
      <c r="R125" s="10" t="s">
        <v>1214</v>
      </c>
      <c r="S125" s="10" t="s">
        <v>61</v>
      </c>
    </row>
    <row r="126" spans="1:19" ht="72.5" x14ac:dyDescent="0.35">
      <c r="A126" s="14">
        <v>46022</v>
      </c>
      <c r="B126" s="10" t="s">
        <v>151</v>
      </c>
      <c r="C126" s="10" t="s">
        <v>152</v>
      </c>
      <c r="D126" s="10" t="s">
        <v>1016</v>
      </c>
      <c r="E126" s="10">
        <v>4350764</v>
      </c>
      <c r="F126" s="15">
        <v>40</v>
      </c>
      <c r="G126" s="10" t="s">
        <v>1317</v>
      </c>
      <c r="H126" s="10">
        <v>6496329</v>
      </c>
      <c r="I126" s="10">
        <v>4350764</v>
      </c>
      <c r="J126" s="10" t="s">
        <v>1292</v>
      </c>
      <c r="K126" s="10" t="s">
        <v>61</v>
      </c>
      <c r="L126" s="10" t="s">
        <v>1318</v>
      </c>
      <c r="M126" s="10" t="s">
        <v>61</v>
      </c>
      <c r="N126" s="10" t="s">
        <v>61</v>
      </c>
      <c r="O126" s="10" t="s">
        <v>1214</v>
      </c>
      <c r="P126" s="10" t="s">
        <v>1214</v>
      </c>
      <c r="Q126" s="10" t="s">
        <v>1214</v>
      </c>
      <c r="R126" s="10" t="s">
        <v>1214</v>
      </c>
      <c r="S126" s="10" t="s">
        <v>1294</v>
      </c>
    </row>
    <row r="127" spans="1:19" ht="72.5" x14ac:dyDescent="0.35">
      <c r="A127" s="14">
        <v>46022</v>
      </c>
      <c r="B127" s="10" t="s">
        <v>151</v>
      </c>
      <c r="C127" s="10" t="s">
        <v>152</v>
      </c>
      <c r="D127" s="10" t="s">
        <v>1017</v>
      </c>
      <c r="E127" s="10">
        <v>6730095</v>
      </c>
      <c r="F127" s="15">
        <v>10</v>
      </c>
      <c r="G127" s="10" t="s">
        <v>1317</v>
      </c>
      <c r="H127" s="10">
        <v>6496329</v>
      </c>
      <c r="I127" s="10">
        <v>4350764</v>
      </c>
      <c r="J127" s="10" t="s">
        <v>1292</v>
      </c>
      <c r="K127" s="10" t="s">
        <v>61</v>
      </c>
      <c r="L127" s="10" t="s">
        <v>1318</v>
      </c>
      <c r="M127" s="10" t="s">
        <v>61</v>
      </c>
      <c r="N127" s="10" t="s">
        <v>61</v>
      </c>
      <c r="O127" s="10" t="s">
        <v>1214</v>
      </c>
      <c r="P127" s="10" t="s">
        <v>1214</v>
      </c>
      <c r="Q127" s="10" t="s">
        <v>1214</v>
      </c>
      <c r="R127" s="10" t="s">
        <v>1214</v>
      </c>
      <c r="S127" s="10" t="s">
        <v>1294</v>
      </c>
    </row>
    <row r="128" spans="1:19" ht="72.5" x14ac:dyDescent="0.35">
      <c r="A128" s="14">
        <v>46022</v>
      </c>
      <c r="B128" s="10" t="s">
        <v>151</v>
      </c>
      <c r="C128" s="10" t="s">
        <v>152</v>
      </c>
      <c r="D128" s="10" t="s">
        <v>1018</v>
      </c>
      <c r="E128" s="10">
        <v>6496329</v>
      </c>
      <c r="F128" s="15">
        <v>50</v>
      </c>
      <c r="G128" s="10" t="s">
        <v>1317</v>
      </c>
      <c r="H128" s="10">
        <v>6496329</v>
      </c>
      <c r="I128" s="10">
        <v>4350764</v>
      </c>
      <c r="J128" s="10" t="s">
        <v>1292</v>
      </c>
      <c r="K128" s="10" t="s">
        <v>61</v>
      </c>
      <c r="L128" s="10" t="s">
        <v>1318</v>
      </c>
      <c r="M128" s="10" t="s">
        <v>61</v>
      </c>
      <c r="N128" s="10" t="s">
        <v>61</v>
      </c>
      <c r="O128" s="10" t="s">
        <v>1214</v>
      </c>
      <c r="P128" s="10" t="s">
        <v>1214</v>
      </c>
      <c r="Q128" s="10" t="s">
        <v>1214</v>
      </c>
      <c r="R128" s="10" t="s">
        <v>1214</v>
      </c>
      <c r="S128" s="10" t="s">
        <v>1294</v>
      </c>
    </row>
    <row r="129" spans="1:19" ht="87" x14ac:dyDescent="0.35">
      <c r="A129" s="14">
        <v>46022</v>
      </c>
      <c r="B129" s="10" t="s">
        <v>153</v>
      </c>
      <c r="C129" s="10" t="s">
        <v>154</v>
      </c>
      <c r="D129" s="10" t="s">
        <v>1019</v>
      </c>
      <c r="E129" s="10">
        <v>10393182</v>
      </c>
      <c r="F129" s="15">
        <v>100</v>
      </c>
      <c r="G129" s="10" t="s">
        <v>1319</v>
      </c>
      <c r="H129" s="10">
        <v>10393182</v>
      </c>
      <c r="I129" s="10" t="s">
        <v>1194</v>
      </c>
      <c r="J129" s="10" t="s">
        <v>1214</v>
      </c>
      <c r="K129" s="10" t="s">
        <v>1214</v>
      </c>
      <c r="L129" s="10" t="s">
        <v>1214</v>
      </c>
      <c r="M129" s="10" t="s">
        <v>1214</v>
      </c>
      <c r="N129" s="10" t="s">
        <v>61</v>
      </c>
      <c r="O129" s="10" t="s">
        <v>1214</v>
      </c>
      <c r="P129" s="10" t="s">
        <v>1214</v>
      </c>
      <c r="Q129" s="10" t="s">
        <v>1214</v>
      </c>
      <c r="R129" s="10" t="s">
        <v>1214</v>
      </c>
      <c r="S129" s="10" t="s">
        <v>61</v>
      </c>
    </row>
    <row r="130" spans="1:19" ht="58" x14ac:dyDescent="0.35">
      <c r="A130" s="14">
        <v>46022</v>
      </c>
      <c r="B130" s="10" t="s">
        <v>714</v>
      </c>
      <c r="C130" s="10" t="s">
        <v>715</v>
      </c>
      <c r="D130" s="10" t="s">
        <v>958</v>
      </c>
      <c r="E130" s="10">
        <v>4355642</v>
      </c>
      <c r="F130" s="15">
        <v>100</v>
      </c>
      <c r="G130" s="10" t="s">
        <v>1320</v>
      </c>
      <c r="H130" s="10">
        <v>4355642</v>
      </c>
      <c r="I130" s="10" t="s">
        <v>1194</v>
      </c>
      <c r="J130" s="10" t="s">
        <v>1214</v>
      </c>
      <c r="K130" s="10" t="s">
        <v>1214</v>
      </c>
      <c r="L130" s="10" t="s">
        <v>1214</v>
      </c>
      <c r="M130" s="10" t="s">
        <v>1214</v>
      </c>
      <c r="N130" s="10" t="s">
        <v>61</v>
      </c>
      <c r="O130" s="10" t="s">
        <v>1214</v>
      </c>
      <c r="P130" s="10" t="s">
        <v>1214</v>
      </c>
      <c r="Q130" s="10" t="s">
        <v>1214</v>
      </c>
      <c r="R130" s="10" t="s">
        <v>1214</v>
      </c>
      <c r="S130" s="10" t="s">
        <v>61</v>
      </c>
    </row>
    <row r="131" spans="1:19" ht="43.5" x14ac:dyDescent="0.35">
      <c r="A131" s="14">
        <v>46022</v>
      </c>
      <c r="B131" s="10" t="s">
        <v>197</v>
      </c>
      <c r="C131" s="10" t="s">
        <v>198</v>
      </c>
      <c r="D131" s="10" t="s">
        <v>1020</v>
      </c>
      <c r="E131" s="10">
        <v>4353673</v>
      </c>
      <c r="F131" s="15">
        <v>100</v>
      </c>
      <c r="G131" s="10" t="s">
        <v>1321</v>
      </c>
      <c r="H131" s="10">
        <v>4353673</v>
      </c>
      <c r="I131" s="10" t="s">
        <v>1194</v>
      </c>
      <c r="J131" s="10" t="s">
        <v>1214</v>
      </c>
      <c r="K131" s="10" t="s">
        <v>1214</v>
      </c>
      <c r="L131" s="10" t="s">
        <v>1214</v>
      </c>
      <c r="M131" s="10" t="s">
        <v>1214</v>
      </c>
      <c r="N131" s="10" t="s">
        <v>89</v>
      </c>
      <c r="O131" s="10" t="s">
        <v>1214</v>
      </c>
      <c r="P131" s="10" t="s">
        <v>1214</v>
      </c>
      <c r="Q131" s="10" t="s">
        <v>1214</v>
      </c>
      <c r="R131" s="10" t="s">
        <v>1214</v>
      </c>
      <c r="S131" s="10" t="s">
        <v>61</v>
      </c>
    </row>
    <row r="132" spans="1:19" ht="72.5" x14ac:dyDescent="0.35">
      <c r="A132" s="14">
        <v>46022</v>
      </c>
      <c r="B132" s="10" t="s">
        <v>716</v>
      </c>
      <c r="C132" s="10" t="s">
        <v>717</v>
      </c>
      <c r="D132" s="10" t="s">
        <v>1004</v>
      </c>
      <c r="E132" s="10">
        <v>4351423</v>
      </c>
      <c r="F132" s="15">
        <v>100</v>
      </c>
      <c r="G132" s="10" t="s">
        <v>1300</v>
      </c>
      <c r="H132" s="10">
        <v>4351423</v>
      </c>
      <c r="I132" s="10" t="s">
        <v>1194</v>
      </c>
      <c r="J132" s="10" t="s">
        <v>1301</v>
      </c>
      <c r="K132" s="10" t="s">
        <v>61</v>
      </c>
      <c r="L132" s="10" t="s">
        <v>1302</v>
      </c>
      <c r="M132" s="10" t="s">
        <v>61</v>
      </c>
      <c r="N132" s="10" t="s">
        <v>61</v>
      </c>
      <c r="O132" s="10" t="s">
        <v>1214</v>
      </c>
      <c r="P132" s="10" t="s">
        <v>1214</v>
      </c>
      <c r="Q132" s="10" t="s">
        <v>1214</v>
      </c>
      <c r="R132" s="10" t="s">
        <v>1214</v>
      </c>
      <c r="S132" s="10" t="s">
        <v>61</v>
      </c>
    </row>
    <row r="133" spans="1:19" ht="87" x14ac:dyDescent="0.35">
      <c r="A133" s="14">
        <v>46022</v>
      </c>
      <c r="B133" s="10" t="s">
        <v>306</v>
      </c>
      <c r="C133" s="10" t="s">
        <v>307</v>
      </c>
      <c r="D133" s="10" t="s">
        <v>1001</v>
      </c>
      <c r="E133" s="10">
        <v>4349160</v>
      </c>
      <c r="F133" s="15">
        <v>51</v>
      </c>
      <c r="G133" s="10" t="s">
        <v>1322</v>
      </c>
      <c r="H133" s="10">
        <v>4349160</v>
      </c>
      <c r="I133" s="10">
        <v>4350360</v>
      </c>
      <c r="J133" s="10" t="s">
        <v>1292</v>
      </c>
      <c r="K133" s="10" t="s">
        <v>61</v>
      </c>
      <c r="L133" s="10" t="s">
        <v>1293</v>
      </c>
      <c r="M133" s="10" t="s">
        <v>1294</v>
      </c>
      <c r="N133" s="10" t="s">
        <v>61</v>
      </c>
      <c r="O133" s="10" t="s">
        <v>213</v>
      </c>
      <c r="P133" s="10" t="s">
        <v>213</v>
      </c>
      <c r="Q133" s="10" t="s">
        <v>213</v>
      </c>
      <c r="R133" s="10" t="s">
        <v>213</v>
      </c>
      <c r="S133" s="10" t="s">
        <v>213</v>
      </c>
    </row>
    <row r="134" spans="1:19" ht="87" x14ac:dyDescent="0.35">
      <c r="A134" s="14">
        <v>46022</v>
      </c>
      <c r="B134" s="10" t="s">
        <v>306</v>
      </c>
      <c r="C134" s="10" t="s">
        <v>307</v>
      </c>
      <c r="D134" s="10" t="s">
        <v>1021</v>
      </c>
      <c r="E134" s="10">
        <v>4350360</v>
      </c>
      <c r="F134" s="15">
        <v>49</v>
      </c>
      <c r="G134" s="10" t="s">
        <v>1322</v>
      </c>
      <c r="H134" s="10">
        <v>4349160</v>
      </c>
      <c r="I134" s="10">
        <v>4350360</v>
      </c>
      <c r="J134" s="10" t="s">
        <v>1292</v>
      </c>
      <c r="K134" s="10" t="s">
        <v>61</v>
      </c>
      <c r="L134" s="10" t="s">
        <v>1293</v>
      </c>
      <c r="M134" s="10" t="s">
        <v>1294</v>
      </c>
      <c r="N134" s="10" t="s">
        <v>61</v>
      </c>
      <c r="O134" s="10" t="s">
        <v>213</v>
      </c>
      <c r="P134" s="10" t="s">
        <v>213</v>
      </c>
      <c r="Q134" s="10" t="s">
        <v>213</v>
      </c>
      <c r="R134" s="10" t="s">
        <v>213</v>
      </c>
      <c r="S134" s="10" t="s">
        <v>213</v>
      </c>
    </row>
    <row r="135" spans="1:19" ht="43.5" x14ac:dyDescent="0.35">
      <c r="A135" s="14">
        <v>46022</v>
      </c>
      <c r="B135" s="10" t="s">
        <v>155</v>
      </c>
      <c r="C135" s="10" t="s">
        <v>156</v>
      </c>
      <c r="D135" s="10" t="s">
        <v>1022</v>
      </c>
      <c r="E135" s="10">
        <v>4352997</v>
      </c>
      <c r="F135" s="15">
        <v>80</v>
      </c>
      <c r="G135" s="10" t="s">
        <v>1323</v>
      </c>
      <c r="H135" s="10">
        <v>4352997</v>
      </c>
      <c r="I135" s="10">
        <v>4353456</v>
      </c>
      <c r="J135" s="10" t="s">
        <v>1214</v>
      </c>
      <c r="K135" s="10" t="s">
        <v>1214</v>
      </c>
      <c r="L135" s="10" t="s">
        <v>1214</v>
      </c>
      <c r="M135" s="10" t="s">
        <v>1214</v>
      </c>
      <c r="N135" s="10" t="s">
        <v>222</v>
      </c>
      <c r="O135" s="10" t="s">
        <v>1214</v>
      </c>
      <c r="P135" s="10" t="s">
        <v>1214</v>
      </c>
      <c r="Q135" s="10" t="s">
        <v>1214</v>
      </c>
      <c r="R135" s="10" t="s">
        <v>1214</v>
      </c>
      <c r="S135" s="10" t="s">
        <v>61</v>
      </c>
    </row>
    <row r="136" spans="1:19" ht="43.5" x14ac:dyDescent="0.35">
      <c r="A136" s="14">
        <v>46022</v>
      </c>
      <c r="B136" s="10" t="s">
        <v>155</v>
      </c>
      <c r="C136" s="10" t="s">
        <v>156</v>
      </c>
      <c r="D136" s="10" t="s">
        <v>962</v>
      </c>
      <c r="E136" s="10">
        <v>4353456</v>
      </c>
      <c r="F136" s="15">
        <v>20</v>
      </c>
      <c r="G136" s="10" t="s">
        <v>1323</v>
      </c>
      <c r="H136" s="10">
        <v>4352997</v>
      </c>
      <c r="I136" s="10">
        <v>4353456</v>
      </c>
      <c r="J136" s="10" t="s">
        <v>1214</v>
      </c>
      <c r="K136" s="10" t="s">
        <v>1214</v>
      </c>
      <c r="L136" s="10" t="s">
        <v>1214</v>
      </c>
      <c r="M136" s="10" t="s">
        <v>1214</v>
      </c>
      <c r="N136" s="10" t="s">
        <v>222</v>
      </c>
      <c r="O136" s="10" t="s">
        <v>1214</v>
      </c>
      <c r="P136" s="10" t="s">
        <v>1214</v>
      </c>
      <c r="Q136" s="10" t="s">
        <v>1214</v>
      </c>
      <c r="R136" s="10" t="s">
        <v>1214</v>
      </c>
      <c r="S136" s="10" t="s">
        <v>61</v>
      </c>
    </row>
    <row r="137" spans="1:19" ht="58" x14ac:dyDescent="0.35">
      <c r="A137" s="14">
        <v>46022</v>
      </c>
      <c r="B137" s="10" t="s">
        <v>718</v>
      </c>
      <c r="C137" s="10" t="s">
        <v>719</v>
      </c>
      <c r="D137" s="10" t="s">
        <v>1023</v>
      </c>
      <c r="E137" s="10">
        <v>4120762</v>
      </c>
      <c r="F137" s="15">
        <v>100</v>
      </c>
      <c r="G137" s="10" t="s">
        <v>1324</v>
      </c>
      <c r="H137" s="10">
        <v>4120762</v>
      </c>
      <c r="I137" s="10" t="s">
        <v>1194</v>
      </c>
      <c r="J137" s="10" t="s">
        <v>1325</v>
      </c>
      <c r="K137" s="10" t="s">
        <v>79</v>
      </c>
      <c r="L137" s="10" t="s">
        <v>1325</v>
      </c>
      <c r="M137" s="10" t="s">
        <v>79</v>
      </c>
      <c r="N137" s="10" t="s">
        <v>79</v>
      </c>
      <c r="O137" s="10" t="s">
        <v>1214</v>
      </c>
      <c r="P137" s="10" t="s">
        <v>1214</v>
      </c>
      <c r="Q137" s="10" t="s">
        <v>1214</v>
      </c>
      <c r="R137" s="10" t="s">
        <v>1214</v>
      </c>
      <c r="S137" s="10" t="s">
        <v>61</v>
      </c>
    </row>
    <row r="138" spans="1:19" ht="72.5" x14ac:dyDescent="0.35">
      <c r="A138" s="14">
        <v>46022</v>
      </c>
      <c r="B138" s="10" t="s">
        <v>308</v>
      </c>
      <c r="C138" s="10" t="s">
        <v>309</v>
      </c>
      <c r="D138" s="10" t="s">
        <v>1024</v>
      </c>
      <c r="E138" s="10">
        <v>4314727</v>
      </c>
      <c r="F138" s="15">
        <v>100</v>
      </c>
      <c r="G138" s="10" t="s">
        <v>1326</v>
      </c>
      <c r="H138" s="10">
        <v>4314727</v>
      </c>
      <c r="I138" s="10" t="s">
        <v>1194</v>
      </c>
      <c r="J138" s="10" t="s">
        <v>1214</v>
      </c>
      <c r="K138" s="10" t="s">
        <v>1214</v>
      </c>
      <c r="L138" s="10" t="s">
        <v>1214</v>
      </c>
      <c r="M138" s="10" t="s">
        <v>1214</v>
      </c>
      <c r="N138" s="10" t="s">
        <v>61</v>
      </c>
      <c r="O138" s="10" t="s">
        <v>1214</v>
      </c>
      <c r="P138" s="10" t="s">
        <v>1214</v>
      </c>
      <c r="Q138" s="10" t="s">
        <v>1214</v>
      </c>
      <c r="R138" s="10" t="s">
        <v>1214</v>
      </c>
      <c r="S138" s="10" t="s">
        <v>61</v>
      </c>
    </row>
    <row r="139" spans="1:19" ht="58" x14ac:dyDescent="0.35">
      <c r="A139" s="14">
        <v>46022</v>
      </c>
      <c r="B139" s="10" t="s">
        <v>199</v>
      </c>
      <c r="C139" s="10" t="s">
        <v>200</v>
      </c>
      <c r="D139" s="10" t="s">
        <v>1025</v>
      </c>
      <c r="E139" s="10">
        <v>10947811</v>
      </c>
      <c r="F139" s="15">
        <v>100</v>
      </c>
      <c r="G139" s="10" t="s">
        <v>1327</v>
      </c>
      <c r="H139" s="10">
        <v>10947811</v>
      </c>
      <c r="I139" s="10" t="s">
        <v>1194</v>
      </c>
      <c r="J139" s="10" t="s">
        <v>1214</v>
      </c>
      <c r="K139" s="10" t="s">
        <v>1214</v>
      </c>
      <c r="L139" s="10" t="s">
        <v>1214</v>
      </c>
      <c r="M139" s="10" t="s">
        <v>1214</v>
      </c>
      <c r="N139" s="10" t="s">
        <v>61</v>
      </c>
      <c r="O139" s="10" t="s">
        <v>1214</v>
      </c>
      <c r="P139" s="10" t="s">
        <v>1214</v>
      </c>
      <c r="Q139" s="10" t="s">
        <v>1214</v>
      </c>
      <c r="R139" s="10" t="s">
        <v>1214</v>
      </c>
      <c r="S139" s="10" t="s">
        <v>61</v>
      </c>
    </row>
    <row r="140" spans="1:19" ht="101.5" x14ac:dyDescent="0.35">
      <c r="A140" s="14">
        <v>46022</v>
      </c>
      <c r="B140" s="10" t="s">
        <v>201</v>
      </c>
      <c r="C140" s="10" t="s">
        <v>202</v>
      </c>
      <c r="D140" s="10" t="s">
        <v>1026</v>
      </c>
      <c r="E140" s="10">
        <v>4403566</v>
      </c>
      <c r="F140" s="15">
        <v>100</v>
      </c>
      <c r="G140" s="10" t="s">
        <v>1328</v>
      </c>
      <c r="H140" s="10">
        <v>4403566</v>
      </c>
      <c r="I140" s="10" t="s">
        <v>1194</v>
      </c>
      <c r="J140" s="10" t="s">
        <v>1329</v>
      </c>
      <c r="K140" s="10" t="s">
        <v>61</v>
      </c>
      <c r="L140" s="10" t="s">
        <v>1329</v>
      </c>
      <c r="M140" s="10" t="s">
        <v>61</v>
      </c>
      <c r="N140" s="10" t="s">
        <v>61</v>
      </c>
      <c r="O140" s="10" t="s">
        <v>1214</v>
      </c>
      <c r="P140" s="10" t="s">
        <v>1214</v>
      </c>
      <c r="Q140" s="10" t="s">
        <v>1214</v>
      </c>
      <c r="R140" s="10" t="s">
        <v>1214</v>
      </c>
      <c r="S140" s="10" t="s">
        <v>61</v>
      </c>
    </row>
    <row r="141" spans="1:19" ht="58" x14ac:dyDescent="0.35">
      <c r="A141" s="14">
        <v>46022</v>
      </c>
      <c r="B141" s="10" t="s">
        <v>203</v>
      </c>
      <c r="C141" s="10" t="s">
        <v>204</v>
      </c>
      <c r="D141" s="10" t="s">
        <v>958</v>
      </c>
      <c r="E141" s="10">
        <v>4355642</v>
      </c>
      <c r="F141" s="15">
        <v>100</v>
      </c>
      <c r="G141" s="10" t="s">
        <v>1320</v>
      </c>
      <c r="H141" s="10">
        <v>4355642</v>
      </c>
      <c r="I141" s="10" t="s">
        <v>1194</v>
      </c>
      <c r="J141" s="10" t="s">
        <v>1214</v>
      </c>
      <c r="K141" s="10" t="s">
        <v>1214</v>
      </c>
      <c r="L141" s="10" t="s">
        <v>1214</v>
      </c>
      <c r="M141" s="10" t="s">
        <v>1214</v>
      </c>
      <c r="N141" s="10" t="s">
        <v>61</v>
      </c>
      <c r="O141" s="10" t="s">
        <v>1214</v>
      </c>
      <c r="P141" s="10" t="s">
        <v>1214</v>
      </c>
      <c r="Q141" s="10" t="s">
        <v>1214</v>
      </c>
      <c r="R141" s="10" t="s">
        <v>1214</v>
      </c>
      <c r="S141" s="10" t="s">
        <v>61</v>
      </c>
    </row>
    <row r="142" spans="1:19" ht="43.5" x14ac:dyDescent="0.35">
      <c r="A142" s="14">
        <v>46022</v>
      </c>
      <c r="B142" s="10" t="s">
        <v>158</v>
      </c>
      <c r="C142" s="10" t="s">
        <v>159</v>
      </c>
      <c r="D142" s="10" t="s">
        <v>987</v>
      </c>
      <c r="E142" s="10">
        <v>4351931</v>
      </c>
      <c r="F142" s="15">
        <v>100</v>
      </c>
      <c r="G142" s="10" t="s">
        <v>1330</v>
      </c>
      <c r="H142" s="10">
        <v>4354713</v>
      </c>
      <c r="I142" s="10" t="s">
        <v>1194</v>
      </c>
      <c r="J142" s="10" t="s">
        <v>1214</v>
      </c>
      <c r="K142" s="10" t="s">
        <v>1214</v>
      </c>
      <c r="L142" s="10" t="s">
        <v>1214</v>
      </c>
      <c r="M142" s="10" t="s">
        <v>1214</v>
      </c>
      <c r="N142" s="10" t="s">
        <v>1294</v>
      </c>
      <c r="O142" s="10" t="s">
        <v>1214</v>
      </c>
      <c r="P142" s="10" t="s">
        <v>1214</v>
      </c>
      <c r="Q142" s="10" t="s">
        <v>1214</v>
      </c>
      <c r="R142" s="10" t="s">
        <v>1214</v>
      </c>
      <c r="S142" s="10" t="s">
        <v>61</v>
      </c>
    </row>
    <row r="143" spans="1:19" ht="43.5" x14ac:dyDescent="0.35">
      <c r="A143" s="14">
        <v>46022</v>
      </c>
      <c r="B143" s="10" t="s">
        <v>160</v>
      </c>
      <c r="C143" s="10" t="s">
        <v>161</v>
      </c>
      <c r="D143" s="10" t="s">
        <v>940</v>
      </c>
      <c r="E143" s="10">
        <v>4199214</v>
      </c>
      <c r="F143" s="15">
        <v>100</v>
      </c>
      <c r="G143" s="10" t="s">
        <v>1215</v>
      </c>
      <c r="H143" s="10">
        <v>4199214</v>
      </c>
      <c r="I143" s="10" t="s">
        <v>1194</v>
      </c>
      <c r="J143" s="10" t="s">
        <v>1216</v>
      </c>
      <c r="K143" s="10" t="s">
        <v>69</v>
      </c>
      <c r="L143" s="10" t="s">
        <v>1217</v>
      </c>
      <c r="M143" s="10" t="s">
        <v>1218</v>
      </c>
      <c r="N143" s="10" t="s">
        <v>1219</v>
      </c>
      <c r="O143" s="10" t="s">
        <v>1214</v>
      </c>
      <c r="P143" s="10" t="s">
        <v>1214</v>
      </c>
      <c r="Q143" s="10" t="s">
        <v>1214</v>
      </c>
      <c r="R143" s="10" t="s">
        <v>1214</v>
      </c>
      <c r="S143" s="10" t="s">
        <v>61</v>
      </c>
    </row>
    <row r="144" spans="1:19" ht="87" x14ac:dyDescent="0.35">
      <c r="A144" s="14">
        <v>46022</v>
      </c>
      <c r="B144" s="10" t="s">
        <v>205</v>
      </c>
      <c r="C144" s="10" t="s">
        <v>206</v>
      </c>
      <c r="D144" s="10" t="s">
        <v>941</v>
      </c>
      <c r="E144" s="10">
        <v>4355482</v>
      </c>
      <c r="F144" s="15">
        <v>100</v>
      </c>
      <c r="G144" s="10" t="s">
        <v>1220</v>
      </c>
      <c r="H144" s="10">
        <v>4355482</v>
      </c>
      <c r="I144" s="10" t="s">
        <v>1194</v>
      </c>
      <c r="J144" s="10" t="s">
        <v>1221</v>
      </c>
      <c r="K144" s="10" t="s">
        <v>61</v>
      </c>
      <c r="L144" s="10" t="s">
        <v>1221</v>
      </c>
      <c r="M144" s="10" t="s">
        <v>61</v>
      </c>
      <c r="N144" s="10" t="s">
        <v>61</v>
      </c>
      <c r="O144" s="10" t="s">
        <v>1214</v>
      </c>
      <c r="P144" s="10" t="s">
        <v>1214</v>
      </c>
      <c r="Q144" s="10" t="s">
        <v>1214</v>
      </c>
      <c r="R144" s="10" t="s">
        <v>1214</v>
      </c>
      <c r="S144" s="10" t="s">
        <v>61</v>
      </c>
    </row>
    <row r="145" spans="1:19" ht="43.5" x14ac:dyDescent="0.35">
      <c r="A145" s="14">
        <v>46022</v>
      </c>
      <c r="B145" s="10" t="s">
        <v>310</v>
      </c>
      <c r="C145" s="10" t="s">
        <v>311</v>
      </c>
      <c r="D145" s="10" t="s">
        <v>945</v>
      </c>
      <c r="E145" s="10">
        <v>4349314</v>
      </c>
      <c r="F145" s="15">
        <v>49</v>
      </c>
      <c r="G145" s="10" t="s">
        <v>1331</v>
      </c>
      <c r="H145" s="10">
        <v>4004107</v>
      </c>
      <c r="I145" s="10">
        <v>4349314</v>
      </c>
      <c r="J145" s="10" t="s">
        <v>1214</v>
      </c>
      <c r="K145" s="10" t="s">
        <v>1214</v>
      </c>
      <c r="L145" s="10" t="s">
        <v>1214</v>
      </c>
      <c r="M145" s="10" t="s">
        <v>1214</v>
      </c>
      <c r="N145" s="10" t="s">
        <v>79</v>
      </c>
      <c r="O145" s="10" t="s">
        <v>58</v>
      </c>
      <c r="P145" s="10" t="s">
        <v>58</v>
      </c>
      <c r="Q145" s="10" t="s">
        <v>58</v>
      </c>
      <c r="R145" s="10" t="s">
        <v>58</v>
      </c>
      <c r="S145" s="10" t="s">
        <v>58</v>
      </c>
    </row>
    <row r="146" spans="1:19" ht="43.5" x14ac:dyDescent="0.35">
      <c r="A146" s="14">
        <v>46022</v>
      </c>
      <c r="B146" s="10" t="s">
        <v>310</v>
      </c>
      <c r="C146" s="10" t="s">
        <v>311</v>
      </c>
      <c r="D146" s="10" t="s">
        <v>963</v>
      </c>
      <c r="E146" s="10">
        <v>4004107</v>
      </c>
      <c r="F146" s="15">
        <v>51</v>
      </c>
      <c r="G146" s="10" t="s">
        <v>1331</v>
      </c>
      <c r="H146" s="10">
        <v>4004107</v>
      </c>
      <c r="I146" s="10">
        <v>4349314</v>
      </c>
      <c r="J146" s="10" t="s">
        <v>1214</v>
      </c>
      <c r="K146" s="10" t="s">
        <v>1214</v>
      </c>
      <c r="L146" s="10" t="s">
        <v>1214</v>
      </c>
      <c r="M146" s="10" t="s">
        <v>1214</v>
      </c>
      <c r="N146" s="10" t="s">
        <v>79</v>
      </c>
      <c r="O146" s="10" t="s">
        <v>58</v>
      </c>
      <c r="P146" s="10" t="s">
        <v>58</v>
      </c>
      <c r="Q146" s="10" t="s">
        <v>58</v>
      </c>
      <c r="R146" s="10" t="s">
        <v>58</v>
      </c>
      <c r="S146" s="10" t="s">
        <v>58</v>
      </c>
    </row>
    <row r="147" spans="1:19" ht="72.5" x14ac:dyDescent="0.35">
      <c r="A147" s="14">
        <v>46022</v>
      </c>
      <c r="B147" s="10" t="s">
        <v>207</v>
      </c>
      <c r="C147" s="10" t="s">
        <v>208</v>
      </c>
      <c r="D147" s="10" t="s">
        <v>1000</v>
      </c>
      <c r="E147" s="10">
        <v>4349204</v>
      </c>
      <c r="F147" s="15">
        <v>61.43</v>
      </c>
      <c r="G147" s="10" t="s">
        <v>1332</v>
      </c>
      <c r="H147" s="10">
        <v>4349204</v>
      </c>
      <c r="I147" s="10">
        <v>4400798</v>
      </c>
      <c r="J147" s="10" t="s">
        <v>1214</v>
      </c>
      <c r="K147" s="10" t="s">
        <v>1214</v>
      </c>
      <c r="L147" s="10" t="s">
        <v>1214</v>
      </c>
      <c r="M147" s="10" t="s">
        <v>1214</v>
      </c>
      <c r="N147" s="10" t="s">
        <v>50</v>
      </c>
      <c r="O147" s="10" t="s">
        <v>1214</v>
      </c>
      <c r="P147" s="10" t="s">
        <v>1214</v>
      </c>
      <c r="Q147" s="10" t="s">
        <v>1214</v>
      </c>
      <c r="R147" s="10" t="s">
        <v>1214</v>
      </c>
      <c r="S147" s="10" t="s">
        <v>79</v>
      </c>
    </row>
    <row r="148" spans="1:19" ht="72.5" x14ac:dyDescent="0.35">
      <c r="A148" s="14">
        <v>46022</v>
      </c>
      <c r="B148" s="10" t="s">
        <v>720</v>
      </c>
      <c r="C148" s="10" t="s">
        <v>721</v>
      </c>
      <c r="D148" s="10" t="s">
        <v>999</v>
      </c>
      <c r="E148" s="10">
        <v>4349227</v>
      </c>
      <c r="F148" s="15">
        <v>100</v>
      </c>
      <c r="G148" s="10" t="s">
        <v>1287</v>
      </c>
      <c r="H148" s="10">
        <v>4349227</v>
      </c>
      <c r="I148" s="10" t="s">
        <v>1194</v>
      </c>
      <c r="J148" s="10" t="s">
        <v>1238</v>
      </c>
      <c r="K148" s="10" t="s">
        <v>55</v>
      </c>
      <c r="L148" s="10" t="s">
        <v>1288</v>
      </c>
      <c r="M148" s="10" t="s">
        <v>50</v>
      </c>
      <c r="N148" s="10" t="s">
        <v>50</v>
      </c>
      <c r="O148" s="10" t="s">
        <v>1214</v>
      </c>
      <c r="P148" s="10" t="s">
        <v>1214</v>
      </c>
      <c r="Q148" s="10" t="s">
        <v>1214</v>
      </c>
      <c r="R148" s="10" t="s">
        <v>1214</v>
      </c>
      <c r="S148" s="10" t="s">
        <v>61</v>
      </c>
    </row>
    <row r="149" spans="1:19" ht="87" x14ac:dyDescent="0.35">
      <c r="A149" s="14">
        <v>46022</v>
      </c>
      <c r="B149" s="10" t="s">
        <v>162</v>
      </c>
      <c r="C149" s="10" t="s">
        <v>163</v>
      </c>
      <c r="D149" s="10" t="s">
        <v>1007</v>
      </c>
      <c r="E149" s="10">
        <v>4193273</v>
      </c>
      <c r="F149" s="15">
        <v>50.06</v>
      </c>
      <c r="G149" s="10" t="s">
        <v>1333</v>
      </c>
      <c r="H149" s="10">
        <v>4193273</v>
      </c>
      <c r="I149" s="10">
        <v>4065098</v>
      </c>
      <c r="J149" s="10" t="s">
        <v>1214</v>
      </c>
      <c r="K149" s="10" t="s">
        <v>1214</v>
      </c>
      <c r="L149" s="10" t="s">
        <v>1214</v>
      </c>
      <c r="M149" s="10" t="s">
        <v>1214</v>
      </c>
      <c r="N149" s="10" t="s">
        <v>1219</v>
      </c>
      <c r="O149" s="10" t="s">
        <v>1214</v>
      </c>
      <c r="P149" s="10" t="s">
        <v>1214</v>
      </c>
      <c r="Q149" s="10" t="s">
        <v>1214</v>
      </c>
      <c r="R149" s="10" t="s">
        <v>1214</v>
      </c>
      <c r="S149" s="10" t="s">
        <v>1235</v>
      </c>
    </row>
    <row r="150" spans="1:19" ht="87" x14ac:dyDescent="0.35">
      <c r="A150" s="14">
        <v>46022</v>
      </c>
      <c r="B150" s="10" t="s">
        <v>162</v>
      </c>
      <c r="C150" s="10" t="s">
        <v>163</v>
      </c>
      <c r="D150" s="10" t="s">
        <v>945</v>
      </c>
      <c r="E150" s="10">
        <v>4349314</v>
      </c>
      <c r="F150" s="15">
        <v>20</v>
      </c>
      <c r="G150" s="10" t="s">
        <v>1333</v>
      </c>
      <c r="H150" s="10">
        <v>4193273</v>
      </c>
      <c r="I150" s="10">
        <v>4065098</v>
      </c>
      <c r="J150" s="10" t="s">
        <v>1214</v>
      </c>
      <c r="K150" s="10" t="s">
        <v>1214</v>
      </c>
      <c r="L150" s="10" t="s">
        <v>1214</v>
      </c>
      <c r="M150" s="10" t="s">
        <v>1214</v>
      </c>
      <c r="N150" s="10" t="s">
        <v>1219</v>
      </c>
      <c r="O150" s="10" t="s">
        <v>1214</v>
      </c>
      <c r="P150" s="10" t="s">
        <v>1214</v>
      </c>
      <c r="Q150" s="10" t="s">
        <v>1214</v>
      </c>
      <c r="R150" s="10" t="s">
        <v>1214</v>
      </c>
      <c r="S150" s="10" t="s">
        <v>1235</v>
      </c>
    </row>
    <row r="151" spans="1:19" ht="87" x14ac:dyDescent="0.35">
      <c r="A151" s="14">
        <v>46022</v>
      </c>
      <c r="B151" s="10" t="s">
        <v>162</v>
      </c>
      <c r="C151" s="10" t="s">
        <v>163</v>
      </c>
      <c r="D151" s="10" t="s">
        <v>949</v>
      </c>
      <c r="E151" s="10">
        <v>4065098</v>
      </c>
      <c r="F151" s="15">
        <v>20.440000000000001</v>
      </c>
      <c r="G151" s="10" t="s">
        <v>1333</v>
      </c>
      <c r="H151" s="10">
        <v>4193273</v>
      </c>
      <c r="I151" s="10">
        <v>4065098</v>
      </c>
      <c r="J151" s="10" t="s">
        <v>1214</v>
      </c>
      <c r="K151" s="10" t="s">
        <v>1214</v>
      </c>
      <c r="L151" s="10" t="s">
        <v>1214</v>
      </c>
      <c r="M151" s="10" t="s">
        <v>1214</v>
      </c>
      <c r="N151" s="10" t="s">
        <v>1219</v>
      </c>
      <c r="O151" s="10" t="s">
        <v>1214</v>
      </c>
      <c r="P151" s="10" t="s">
        <v>1214</v>
      </c>
      <c r="Q151" s="10" t="s">
        <v>1214</v>
      </c>
      <c r="R151" s="10" t="s">
        <v>1214</v>
      </c>
      <c r="S151" s="10" t="s">
        <v>1235</v>
      </c>
    </row>
    <row r="152" spans="1:19" ht="87" x14ac:dyDescent="0.35">
      <c r="A152" s="14">
        <v>46022</v>
      </c>
      <c r="B152" s="10" t="s">
        <v>162</v>
      </c>
      <c r="C152" s="10" t="s">
        <v>163</v>
      </c>
      <c r="D152" s="10" t="s">
        <v>1008</v>
      </c>
      <c r="E152" s="10">
        <v>4086798</v>
      </c>
      <c r="F152" s="15">
        <v>9.5</v>
      </c>
      <c r="G152" s="10" t="s">
        <v>1333</v>
      </c>
      <c r="H152" s="10">
        <v>4193273</v>
      </c>
      <c r="I152" s="10">
        <v>4065098</v>
      </c>
      <c r="J152" s="10" t="s">
        <v>1214</v>
      </c>
      <c r="K152" s="10" t="s">
        <v>1214</v>
      </c>
      <c r="L152" s="10" t="s">
        <v>1214</v>
      </c>
      <c r="M152" s="10" t="s">
        <v>1214</v>
      </c>
      <c r="N152" s="10" t="s">
        <v>1219</v>
      </c>
      <c r="O152" s="10" t="s">
        <v>1214</v>
      </c>
      <c r="P152" s="10" t="s">
        <v>1214</v>
      </c>
      <c r="Q152" s="10" t="s">
        <v>1214</v>
      </c>
      <c r="R152" s="10" t="s">
        <v>1214</v>
      </c>
      <c r="S152" s="10" t="s">
        <v>1235</v>
      </c>
    </row>
    <row r="153" spans="1:19" ht="29" x14ac:dyDescent="0.35">
      <c r="A153" s="14">
        <v>46022</v>
      </c>
      <c r="B153" s="10" t="s">
        <v>340</v>
      </c>
      <c r="C153" s="10" t="s">
        <v>341</v>
      </c>
      <c r="D153" s="10" t="s">
        <v>945</v>
      </c>
      <c r="E153" s="10">
        <v>4349314</v>
      </c>
      <c r="F153" s="15">
        <v>100</v>
      </c>
      <c r="G153" s="10" t="s">
        <v>1225</v>
      </c>
      <c r="H153" s="10">
        <v>4349314</v>
      </c>
      <c r="I153" s="10" t="s">
        <v>1194</v>
      </c>
      <c r="J153" s="10" t="s">
        <v>58</v>
      </c>
      <c r="K153" s="10" t="s">
        <v>58</v>
      </c>
      <c r="L153" s="10" t="s">
        <v>58</v>
      </c>
      <c r="M153" s="10" t="s">
        <v>58</v>
      </c>
      <c r="N153" s="10" t="s">
        <v>58</v>
      </c>
      <c r="O153" s="10" t="s">
        <v>1214</v>
      </c>
      <c r="P153" s="10" t="s">
        <v>1214</v>
      </c>
      <c r="Q153" s="10" t="s">
        <v>1214</v>
      </c>
      <c r="R153" s="10" t="s">
        <v>1214</v>
      </c>
      <c r="S153" s="10" t="s">
        <v>61</v>
      </c>
    </row>
    <row r="154" spans="1:19" ht="29" x14ac:dyDescent="0.35">
      <c r="A154" s="14">
        <v>46022</v>
      </c>
      <c r="B154" s="10" t="s">
        <v>223</v>
      </c>
      <c r="C154" s="10" t="s">
        <v>224</v>
      </c>
      <c r="D154" s="10" t="s">
        <v>945</v>
      </c>
      <c r="E154" s="10">
        <v>4349314</v>
      </c>
      <c r="F154" s="15">
        <v>100</v>
      </c>
      <c r="G154" s="10" t="s">
        <v>1225</v>
      </c>
      <c r="H154" s="10">
        <v>4349314</v>
      </c>
      <c r="I154" s="10" t="s">
        <v>1194</v>
      </c>
      <c r="J154" s="10" t="s">
        <v>58</v>
      </c>
      <c r="K154" s="10" t="s">
        <v>58</v>
      </c>
      <c r="L154" s="10" t="s">
        <v>58</v>
      </c>
      <c r="M154" s="10" t="s">
        <v>58</v>
      </c>
      <c r="N154" s="10" t="s">
        <v>58</v>
      </c>
      <c r="O154" s="10" t="s">
        <v>1214</v>
      </c>
      <c r="P154" s="10" t="s">
        <v>1214</v>
      </c>
      <c r="Q154" s="10" t="s">
        <v>1214</v>
      </c>
      <c r="R154" s="10" t="s">
        <v>1214</v>
      </c>
      <c r="S154" s="10" t="s">
        <v>61</v>
      </c>
    </row>
    <row r="155" spans="1:19" ht="43.5" x14ac:dyDescent="0.35">
      <c r="A155" s="14">
        <v>46022</v>
      </c>
      <c r="B155" s="10" t="s">
        <v>342</v>
      </c>
      <c r="C155" s="10" t="s">
        <v>343</v>
      </c>
      <c r="D155" s="10" t="s">
        <v>1027</v>
      </c>
      <c r="E155" s="10">
        <v>4353125</v>
      </c>
      <c r="F155" s="15">
        <v>100</v>
      </c>
      <c r="G155" s="10" t="s">
        <v>1334</v>
      </c>
      <c r="H155" s="10">
        <v>4353125</v>
      </c>
      <c r="I155" s="10" t="s">
        <v>1194</v>
      </c>
      <c r="J155" s="10" t="s">
        <v>1335</v>
      </c>
      <c r="K155" s="10" t="s">
        <v>1336</v>
      </c>
      <c r="L155" s="10" t="s">
        <v>1337</v>
      </c>
      <c r="M155" s="10" t="s">
        <v>1254</v>
      </c>
      <c r="N155" s="10" t="s">
        <v>222</v>
      </c>
      <c r="O155" s="10" t="s">
        <v>1214</v>
      </c>
      <c r="P155" s="10" t="s">
        <v>1214</v>
      </c>
      <c r="Q155" s="10" t="s">
        <v>1214</v>
      </c>
      <c r="R155" s="10" t="s">
        <v>1214</v>
      </c>
      <c r="S155" s="10" t="s">
        <v>61</v>
      </c>
    </row>
    <row r="156" spans="1:19" ht="58" x14ac:dyDescent="0.35">
      <c r="A156" s="14">
        <v>46022</v>
      </c>
      <c r="B156" s="10" t="s">
        <v>345</v>
      </c>
      <c r="C156" s="10" t="s">
        <v>346</v>
      </c>
      <c r="D156" s="10" t="s">
        <v>978</v>
      </c>
      <c r="E156" s="10">
        <v>4264043</v>
      </c>
      <c r="F156" s="15">
        <v>100</v>
      </c>
      <c r="G156" s="10" t="s">
        <v>1263</v>
      </c>
      <c r="H156" s="10">
        <v>4264043</v>
      </c>
      <c r="I156" s="10" t="s">
        <v>1194</v>
      </c>
      <c r="J156" s="10" t="s">
        <v>1214</v>
      </c>
      <c r="K156" s="10" t="s">
        <v>1214</v>
      </c>
      <c r="L156" s="10" t="s">
        <v>1214</v>
      </c>
      <c r="M156" s="10" t="s">
        <v>1214</v>
      </c>
      <c r="N156" s="10" t="s">
        <v>105</v>
      </c>
      <c r="O156" s="10" t="s">
        <v>1214</v>
      </c>
      <c r="P156" s="10" t="s">
        <v>1214</v>
      </c>
      <c r="Q156" s="10" t="s">
        <v>1214</v>
      </c>
      <c r="R156" s="10" t="s">
        <v>1214</v>
      </c>
      <c r="S156" s="10" t="s">
        <v>61</v>
      </c>
    </row>
    <row r="157" spans="1:19" ht="29" x14ac:dyDescent="0.35">
      <c r="A157" s="14">
        <v>46022</v>
      </c>
      <c r="B157" s="10" t="s">
        <v>347</v>
      </c>
      <c r="C157" s="10" t="s">
        <v>348</v>
      </c>
      <c r="D157" s="10" t="s">
        <v>1028</v>
      </c>
      <c r="E157" s="10">
        <v>4502292</v>
      </c>
      <c r="F157" s="15">
        <v>100</v>
      </c>
      <c r="G157" s="10" t="s">
        <v>1338</v>
      </c>
      <c r="H157" s="10">
        <v>4502292</v>
      </c>
      <c r="I157" s="10" t="s">
        <v>1194</v>
      </c>
      <c r="J157" s="10" t="s">
        <v>1214</v>
      </c>
      <c r="K157" s="10" t="s">
        <v>1214</v>
      </c>
      <c r="L157" s="10" t="s">
        <v>1214</v>
      </c>
      <c r="M157" s="10" t="s">
        <v>1214</v>
      </c>
      <c r="N157" s="10" t="s">
        <v>148</v>
      </c>
      <c r="O157" s="10" t="s">
        <v>1214</v>
      </c>
      <c r="P157" s="10" t="s">
        <v>1214</v>
      </c>
      <c r="Q157" s="10" t="s">
        <v>1214</v>
      </c>
      <c r="R157" s="10" t="s">
        <v>1214</v>
      </c>
      <c r="S157" s="10" t="s">
        <v>61</v>
      </c>
    </row>
    <row r="158" spans="1:19" ht="29" x14ac:dyDescent="0.35">
      <c r="A158" s="14">
        <v>46022</v>
      </c>
      <c r="B158" s="10" t="s">
        <v>722</v>
      </c>
      <c r="C158" s="10" t="s">
        <v>723</v>
      </c>
      <c r="D158" s="10" t="s">
        <v>1029</v>
      </c>
      <c r="E158" s="10">
        <v>8967572</v>
      </c>
      <c r="F158" s="15">
        <v>100</v>
      </c>
      <c r="G158" s="10" t="s">
        <v>1339</v>
      </c>
      <c r="H158" s="10">
        <v>8967572</v>
      </c>
      <c r="I158" s="10" t="s">
        <v>1194</v>
      </c>
      <c r="J158" s="10" t="s">
        <v>1214</v>
      </c>
      <c r="K158" s="10" t="s">
        <v>1214</v>
      </c>
      <c r="L158" s="10" t="s">
        <v>1214</v>
      </c>
      <c r="M158" s="10" t="s">
        <v>1214</v>
      </c>
      <c r="N158" s="10" t="s">
        <v>89</v>
      </c>
      <c r="O158" s="10" t="s">
        <v>1214</v>
      </c>
      <c r="P158" s="10" t="s">
        <v>1214</v>
      </c>
      <c r="Q158" s="10" t="s">
        <v>1214</v>
      </c>
      <c r="R158" s="10" t="s">
        <v>1214</v>
      </c>
      <c r="S158" s="10" t="s">
        <v>61</v>
      </c>
    </row>
    <row r="159" spans="1:19" ht="43.5" x14ac:dyDescent="0.35">
      <c r="A159" s="14">
        <v>46022</v>
      </c>
      <c r="B159" s="10" t="s">
        <v>349</v>
      </c>
      <c r="C159" s="10" t="s">
        <v>350</v>
      </c>
      <c r="D159" s="10" t="s">
        <v>351</v>
      </c>
      <c r="E159" s="10">
        <v>4350708</v>
      </c>
      <c r="F159" s="15">
        <v>51</v>
      </c>
      <c r="G159" s="10" t="s">
        <v>1340</v>
      </c>
      <c r="H159" s="10">
        <v>4350708</v>
      </c>
      <c r="I159" s="10">
        <v>4757905</v>
      </c>
      <c r="J159" s="10" t="s">
        <v>1214</v>
      </c>
      <c r="K159" s="10" t="s">
        <v>1214</v>
      </c>
      <c r="L159" s="10" t="s">
        <v>1214</v>
      </c>
      <c r="M159" s="10" t="s">
        <v>1214</v>
      </c>
      <c r="N159" s="10" t="s">
        <v>351</v>
      </c>
      <c r="O159" s="10" t="s">
        <v>1214</v>
      </c>
      <c r="P159" s="10" t="s">
        <v>1214</v>
      </c>
      <c r="Q159" s="10" t="s">
        <v>1214</v>
      </c>
      <c r="R159" s="10" t="s">
        <v>1214</v>
      </c>
      <c r="S159" s="10" t="s">
        <v>351</v>
      </c>
    </row>
    <row r="160" spans="1:19" ht="43.5" x14ac:dyDescent="0.35">
      <c r="A160" s="14">
        <v>46022</v>
      </c>
      <c r="B160" s="10" t="s">
        <v>349</v>
      </c>
      <c r="C160" s="10" t="s">
        <v>350</v>
      </c>
      <c r="D160" s="10" t="s">
        <v>1030</v>
      </c>
      <c r="E160" s="10">
        <v>4757905</v>
      </c>
      <c r="F160" s="15">
        <v>49</v>
      </c>
      <c r="G160" s="10" t="s">
        <v>1340</v>
      </c>
      <c r="H160" s="10">
        <v>4350708</v>
      </c>
      <c r="I160" s="10">
        <v>4757905</v>
      </c>
      <c r="J160" s="10" t="s">
        <v>1214</v>
      </c>
      <c r="K160" s="10" t="s">
        <v>1214</v>
      </c>
      <c r="L160" s="10" t="s">
        <v>1214</v>
      </c>
      <c r="M160" s="10" t="s">
        <v>1214</v>
      </c>
      <c r="N160" s="10" t="s">
        <v>351</v>
      </c>
      <c r="O160" s="10" t="s">
        <v>1214</v>
      </c>
      <c r="P160" s="10" t="s">
        <v>1214</v>
      </c>
      <c r="Q160" s="10" t="s">
        <v>1214</v>
      </c>
      <c r="R160" s="10" t="s">
        <v>1214</v>
      </c>
      <c r="S160" s="10" t="s">
        <v>351</v>
      </c>
    </row>
    <row r="161" spans="1:19" ht="43.5" x14ac:dyDescent="0.35">
      <c r="A161" s="14">
        <v>46022</v>
      </c>
      <c r="B161" s="10" t="s">
        <v>225</v>
      </c>
      <c r="C161" s="10" t="s">
        <v>226</v>
      </c>
      <c r="D161" s="10" t="s">
        <v>1031</v>
      </c>
      <c r="E161" s="10">
        <v>4350088</v>
      </c>
      <c r="F161" s="15">
        <v>100</v>
      </c>
      <c r="G161" s="10" t="s">
        <v>1341</v>
      </c>
      <c r="H161" s="10">
        <v>4350088</v>
      </c>
      <c r="I161" s="10" t="s">
        <v>1194</v>
      </c>
      <c r="J161" s="10" t="s">
        <v>1214</v>
      </c>
      <c r="K161" s="10" t="s">
        <v>1214</v>
      </c>
      <c r="L161" s="10" t="s">
        <v>1214</v>
      </c>
      <c r="M161" s="10" t="s">
        <v>1214</v>
      </c>
      <c r="N161" s="10" t="s">
        <v>89</v>
      </c>
      <c r="O161" s="10" t="s">
        <v>1214</v>
      </c>
      <c r="P161" s="10" t="s">
        <v>1214</v>
      </c>
      <c r="Q161" s="10" t="s">
        <v>1214</v>
      </c>
      <c r="R161" s="10" t="s">
        <v>1214</v>
      </c>
      <c r="S161" s="10" t="s">
        <v>61</v>
      </c>
    </row>
    <row r="162" spans="1:19" ht="87" x14ac:dyDescent="0.35">
      <c r="A162" s="14">
        <v>46022</v>
      </c>
      <c r="B162" s="10" t="s">
        <v>227</v>
      </c>
      <c r="C162" s="10" t="s">
        <v>228</v>
      </c>
      <c r="D162" s="10" t="s">
        <v>1032</v>
      </c>
      <c r="E162" s="10">
        <v>10930084</v>
      </c>
      <c r="F162" s="15">
        <v>100</v>
      </c>
      <c r="G162" s="10" t="s">
        <v>1342</v>
      </c>
      <c r="H162" s="10">
        <v>10930084</v>
      </c>
      <c r="I162" s="10" t="s">
        <v>1194</v>
      </c>
      <c r="J162" s="10" t="s">
        <v>1214</v>
      </c>
      <c r="K162" s="10" t="s">
        <v>1214</v>
      </c>
      <c r="L162" s="10" t="s">
        <v>1214</v>
      </c>
      <c r="M162" s="10" t="s">
        <v>1214</v>
      </c>
      <c r="N162" s="10" t="s">
        <v>61</v>
      </c>
      <c r="O162" s="10" t="s">
        <v>1214</v>
      </c>
      <c r="P162" s="10" t="s">
        <v>1214</v>
      </c>
      <c r="Q162" s="10" t="s">
        <v>1214</v>
      </c>
      <c r="R162" s="10" t="s">
        <v>1214</v>
      </c>
      <c r="S162" s="10" t="s">
        <v>61</v>
      </c>
    </row>
    <row r="163" spans="1:19" ht="101.5" x14ac:dyDescent="0.35">
      <c r="A163" s="14">
        <v>46022</v>
      </c>
      <c r="B163" s="10" t="s">
        <v>724</v>
      </c>
      <c r="C163" s="10" t="s">
        <v>725</v>
      </c>
      <c r="D163" s="10" t="s">
        <v>947</v>
      </c>
      <c r="E163" s="10">
        <v>4121840</v>
      </c>
      <c r="F163" s="15">
        <v>57.5</v>
      </c>
      <c r="G163" s="10" t="s">
        <v>1343</v>
      </c>
      <c r="H163" s="10">
        <v>4121840</v>
      </c>
      <c r="I163" s="10">
        <v>4149660</v>
      </c>
      <c r="J163" s="10" t="s">
        <v>1214</v>
      </c>
      <c r="K163" s="10" t="s">
        <v>1214</v>
      </c>
      <c r="L163" s="10" t="s">
        <v>1214</v>
      </c>
      <c r="M163" s="10" t="s">
        <v>1214</v>
      </c>
      <c r="N163" s="10" t="s">
        <v>89</v>
      </c>
      <c r="O163" s="10" t="s">
        <v>1214</v>
      </c>
      <c r="P163" s="10" t="s">
        <v>1214</v>
      </c>
      <c r="Q163" s="10" t="s">
        <v>1214</v>
      </c>
      <c r="R163" s="10" t="s">
        <v>1214</v>
      </c>
      <c r="S163" s="10" t="s">
        <v>1219</v>
      </c>
    </row>
    <row r="164" spans="1:19" ht="101.5" x14ac:dyDescent="0.35">
      <c r="A164" s="14">
        <v>46022</v>
      </c>
      <c r="B164" s="10" t="s">
        <v>724</v>
      </c>
      <c r="C164" s="10" t="s">
        <v>725</v>
      </c>
      <c r="D164" s="10" t="s">
        <v>994</v>
      </c>
      <c r="E164" s="10">
        <v>4361542</v>
      </c>
      <c r="F164" s="15">
        <v>3</v>
      </c>
      <c r="G164" s="10" t="s">
        <v>1343</v>
      </c>
      <c r="H164" s="10">
        <v>4121840</v>
      </c>
      <c r="I164" s="10">
        <v>4149660</v>
      </c>
      <c r="J164" s="10" t="s">
        <v>1214</v>
      </c>
      <c r="K164" s="10" t="s">
        <v>1214</v>
      </c>
      <c r="L164" s="10" t="s">
        <v>1214</v>
      </c>
      <c r="M164" s="10" t="s">
        <v>1214</v>
      </c>
      <c r="N164" s="10" t="s">
        <v>89</v>
      </c>
      <c r="O164" s="10" t="s">
        <v>1214</v>
      </c>
      <c r="P164" s="10" t="s">
        <v>1214</v>
      </c>
      <c r="Q164" s="10" t="s">
        <v>1214</v>
      </c>
      <c r="R164" s="10" t="s">
        <v>1214</v>
      </c>
      <c r="S164" s="10" t="s">
        <v>1219</v>
      </c>
    </row>
    <row r="165" spans="1:19" ht="101.5" x14ac:dyDescent="0.35">
      <c r="A165" s="14">
        <v>46022</v>
      </c>
      <c r="B165" s="10" t="s">
        <v>724</v>
      </c>
      <c r="C165" s="10" t="s">
        <v>725</v>
      </c>
      <c r="D165" s="10" t="s">
        <v>949</v>
      </c>
      <c r="E165" s="10">
        <v>4065098</v>
      </c>
      <c r="F165" s="15">
        <v>8.25</v>
      </c>
      <c r="G165" s="10" t="s">
        <v>1343</v>
      </c>
      <c r="H165" s="10">
        <v>4121840</v>
      </c>
      <c r="I165" s="10">
        <v>4149660</v>
      </c>
      <c r="J165" s="10" t="s">
        <v>1214</v>
      </c>
      <c r="K165" s="10" t="s">
        <v>1214</v>
      </c>
      <c r="L165" s="10" t="s">
        <v>1214</v>
      </c>
      <c r="M165" s="10" t="s">
        <v>1214</v>
      </c>
      <c r="N165" s="10" t="s">
        <v>89</v>
      </c>
      <c r="O165" s="10" t="s">
        <v>1214</v>
      </c>
      <c r="P165" s="10" t="s">
        <v>1214</v>
      </c>
      <c r="Q165" s="10" t="s">
        <v>1214</v>
      </c>
      <c r="R165" s="10" t="s">
        <v>1214</v>
      </c>
      <c r="S165" s="10" t="s">
        <v>1219</v>
      </c>
    </row>
    <row r="166" spans="1:19" ht="101.5" x14ac:dyDescent="0.35">
      <c r="A166" s="14">
        <v>46022</v>
      </c>
      <c r="B166" s="10" t="s">
        <v>724</v>
      </c>
      <c r="C166" s="10" t="s">
        <v>725</v>
      </c>
      <c r="D166" s="10" t="s">
        <v>1033</v>
      </c>
      <c r="E166" s="10">
        <v>4212961</v>
      </c>
      <c r="F166" s="15">
        <v>1.25</v>
      </c>
      <c r="G166" s="10" t="s">
        <v>1343</v>
      </c>
      <c r="H166" s="10">
        <v>4121840</v>
      </c>
      <c r="I166" s="10">
        <v>4149660</v>
      </c>
      <c r="J166" s="10" t="s">
        <v>1214</v>
      </c>
      <c r="K166" s="10" t="s">
        <v>1214</v>
      </c>
      <c r="L166" s="10" t="s">
        <v>1214</v>
      </c>
      <c r="M166" s="10" t="s">
        <v>1214</v>
      </c>
      <c r="N166" s="10" t="s">
        <v>89</v>
      </c>
      <c r="O166" s="10" t="s">
        <v>1214</v>
      </c>
      <c r="P166" s="10" t="s">
        <v>1214</v>
      </c>
      <c r="Q166" s="10" t="s">
        <v>1214</v>
      </c>
      <c r="R166" s="10" t="s">
        <v>1214</v>
      </c>
      <c r="S166" s="10" t="s">
        <v>1219</v>
      </c>
    </row>
    <row r="167" spans="1:19" ht="101.5" x14ac:dyDescent="0.35">
      <c r="A167" s="14">
        <v>46022</v>
      </c>
      <c r="B167" s="10" t="s">
        <v>724</v>
      </c>
      <c r="C167" s="10" t="s">
        <v>725</v>
      </c>
      <c r="D167" s="10" t="s">
        <v>971</v>
      </c>
      <c r="E167" s="10">
        <v>4149660</v>
      </c>
      <c r="F167" s="15">
        <v>30</v>
      </c>
      <c r="G167" s="10" t="s">
        <v>1343</v>
      </c>
      <c r="H167" s="10">
        <v>4121840</v>
      </c>
      <c r="I167" s="10">
        <v>4149660</v>
      </c>
      <c r="J167" s="10" t="s">
        <v>1214</v>
      </c>
      <c r="K167" s="10" t="s">
        <v>1214</v>
      </c>
      <c r="L167" s="10" t="s">
        <v>1214</v>
      </c>
      <c r="M167" s="10" t="s">
        <v>1214</v>
      </c>
      <c r="N167" s="10" t="s">
        <v>89</v>
      </c>
      <c r="O167" s="10" t="s">
        <v>1214</v>
      </c>
      <c r="P167" s="10" t="s">
        <v>1214</v>
      </c>
      <c r="Q167" s="10" t="s">
        <v>1214</v>
      </c>
      <c r="R167" s="10" t="s">
        <v>1214</v>
      </c>
      <c r="S167" s="10" t="s">
        <v>1219</v>
      </c>
    </row>
    <row r="168" spans="1:19" ht="101.5" x14ac:dyDescent="0.35">
      <c r="A168" s="14">
        <v>46022</v>
      </c>
      <c r="B168" s="10" t="s">
        <v>726</v>
      </c>
      <c r="C168" s="10" t="s">
        <v>727</v>
      </c>
      <c r="D168" s="10" t="s">
        <v>947</v>
      </c>
      <c r="E168" s="10">
        <v>4121840</v>
      </c>
      <c r="F168" s="15">
        <v>57.5</v>
      </c>
      <c r="G168" s="10" t="s">
        <v>1344</v>
      </c>
      <c r="H168" s="10">
        <v>4121840</v>
      </c>
      <c r="I168" s="10">
        <v>4149660</v>
      </c>
      <c r="J168" s="10" t="s">
        <v>1214</v>
      </c>
      <c r="K168" s="10" t="s">
        <v>1214</v>
      </c>
      <c r="L168" s="10" t="s">
        <v>1214</v>
      </c>
      <c r="M168" s="10" t="s">
        <v>1214</v>
      </c>
      <c r="N168" s="10" t="s">
        <v>89</v>
      </c>
      <c r="O168" s="10" t="s">
        <v>1214</v>
      </c>
      <c r="P168" s="10" t="s">
        <v>1214</v>
      </c>
      <c r="Q168" s="10" t="s">
        <v>1214</v>
      </c>
      <c r="R168" s="10" t="s">
        <v>1214</v>
      </c>
      <c r="S168" s="10" t="s">
        <v>1219</v>
      </c>
    </row>
    <row r="169" spans="1:19" ht="101.5" x14ac:dyDescent="0.35">
      <c r="A169" s="14">
        <v>46022</v>
      </c>
      <c r="B169" s="10" t="s">
        <v>726</v>
      </c>
      <c r="C169" s="10" t="s">
        <v>727</v>
      </c>
      <c r="D169" s="10" t="s">
        <v>994</v>
      </c>
      <c r="E169" s="10">
        <v>4361542</v>
      </c>
      <c r="F169" s="15">
        <v>3</v>
      </c>
      <c r="G169" s="10" t="s">
        <v>1344</v>
      </c>
      <c r="H169" s="10">
        <v>4121840</v>
      </c>
      <c r="I169" s="10">
        <v>4149660</v>
      </c>
      <c r="J169" s="10" t="s">
        <v>1214</v>
      </c>
      <c r="K169" s="10" t="s">
        <v>1214</v>
      </c>
      <c r="L169" s="10" t="s">
        <v>1214</v>
      </c>
      <c r="M169" s="10" t="s">
        <v>1214</v>
      </c>
      <c r="N169" s="10" t="s">
        <v>89</v>
      </c>
      <c r="O169" s="10" t="s">
        <v>1214</v>
      </c>
      <c r="P169" s="10" t="s">
        <v>1214</v>
      </c>
      <c r="Q169" s="10" t="s">
        <v>1214</v>
      </c>
      <c r="R169" s="10" t="s">
        <v>1214</v>
      </c>
      <c r="S169" s="10" t="s">
        <v>1219</v>
      </c>
    </row>
    <row r="170" spans="1:19" ht="101.5" x14ac:dyDescent="0.35">
      <c r="A170" s="14">
        <v>46022</v>
      </c>
      <c r="B170" s="10" t="s">
        <v>726</v>
      </c>
      <c r="C170" s="10" t="s">
        <v>727</v>
      </c>
      <c r="D170" s="10" t="s">
        <v>949</v>
      </c>
      <c r="E170" s="10">
        <v>4065098</v>
      </c>
      <c r="F170" s="15">
        <v>8.25</v>
      </c>
      <c r="G170" s="10" t="s">
        <v>1344</v>
      </c>
      <c r="H170" s="10">
        <v>4121840</v>
      </c>
      <c r="I170" s="10">
        <v>4149660</v>
      </c>
      <c r="J170" s="10" t="s">
        <v>1214</v>
      </c>
      <c r="K170" s="10" t="s">
        <v>1214</v>
      </c>
      <c r="L170" s="10" t="s">
        <v>1214</v>
      </c>
      <c r="M170" s="10" t="s">
        <v>1214</v>
      </c>
      <c r="N170" s="10" t="s">
        <v>89</v>
      </c>
      <c r="O170" s="10" t="s">
        <v>1214</v>
      </c>
      <c r="P170" s="10" t="s">
        <v>1214</v>
      </c>
      <c r="Q170" s="10" t="s">
        <v>1214</v>
      </c>
      <c r="R170" s="10" t="s">
        <v>1214</v>
      </c>
      <c r="S170" s="10" t="s">
        <v>1219</v>
      </c>
    </row>
    <row r="171" spans="1:19" ht="101.5" x14ac:dyDescent="0.35">
      <c r="A171" s="14">
        <v>46022</v>
      </c>
      <c r="B171" s="10" t="s">
        <v>726</v>
      </c>
      <c r="C171" s="10" t="s">
        <v>727</v>
      </c>
      <c r="D171" s="10" t="s">
        <v>1033</v>
      </c>
      <c r="E171" s="10">
        <v>4212961</v>
      </c>
      <c r="F171" s="15">
        <v>1.25</v>
      </c>
      <c r="G171" s="10" t="s">
        <v>1344</v>
      </c>
      <c r="H171" s="10">
        <v>4121840</v>
      </c>
      <c r="I171" s="10">
        <v>4149660</v>
      </c>
      <c r="J171" s="10" t="s">
        <v>1214</v>
      </c>
      <c r="K171" s="10" t="s">
        <v>1214</v>
      </c>
      <c r="L171" s="10" t="s">
        <v>1214</v>
      </c>
      <c r="M171" s="10" t="s">
        <v>1214</v>
      </c>
      <c r="N171" s="10" t="s">
        <v>89</v>
      </c>
      <c r="O171" s="10" t="s">
        <v>1214</v>
      </c>
      <c r="P171" s="10" t="s">
        <v>1214</v>
      </c>
      <c r="Q171" s="10" t="s">
        <v>1214</v>
      </c>
      <c r="R171" s="10" t="s">
        <v>1214</v>
      </c>
      <c r="S171" s="10" t="s">
        <v>1219</v>
      </c>
    </row>
    <row r="172" spans="1:19" ht="101.5" x14ac:dyDescent="0.35">
      <c r="A172" s="14">
        <v>46022</v>
      </c>
      <c r="B172" s="10" t="s">
        <v>726</v>
      </c>
      <c r="C172" s="10" t="s">
        <v>727</v>
      </c>
      <c r="D172" s="10" t="s">
        <v>971</v>
      </c>
      <c r="E172" s="10">
        <v>4149660</v>
      </c>
      <c r="F172" s="15">
        <v>30</v>
      </c>
      <c r="G172" s="10" t="s">
        <v>1344</v>
      </c>
      <c r="H172" s="10">
        <v>4121840</v>
      </c>
      <c r="I172" s="10">
        <v>4149660</v>
      </c>
      <c r="J172" s="10" t="s">
        <v>1214</v>
      </c>
      <c r="K172" s="10" t="s">
        <v>1214</v>
      </c>
      <c r="L172" s="10" t="s">
        <v>1214</v>
      </c>
      <c r="M172" s="10" t="s">
        <v>1214</v>
      </c>
      <c r="N172" s="10" t="s">
        <v>89</v>
      </c>
      <c r="O172" s="10" t="s">
        <v>1214</v>
      </c>
      <c r="P172" s="10" t="s">
        <v>1214</v>
      </c>
      <c r="Q172" s="10" t="s">
        <v>1214</v>
      </c>
      <c r="R172" s="10" t="s">
        <v>1214</v>
      </c>
      <c r="S172" s="10" t="s">
        <v>1219</v>
      </c>
    </row>
    <row r="173" spans="1:19" ht="43.5" x14ac:dyDescent="0.35">
      <c r="A173" s="14">
        <v>46022</v>
      </c>
      <c r="B173" s="10" t="s">
        <v>211</v>
      </c>
      <c r="C173" s="10" t="s">
        <v>212</v>
      </c>
      <c r="D173" s="10" t="s">
        <v>213</v>
      </c>
      <c r="E173" s="10">
        <v>4350734</v>
      </c>
      <c r="F173" s="15">
        <v>5</v>
      </c>
      <c r="G173" s="10" t="s">
        <v>1345</v>
      </c>
      <c r="H173" s="10">
        <v>4365787</v>
      </c>
      <c r="I173" s="10">
        <v>4350734</v>
      </c>
      <c r="J173" s="10" t="s">
        <v>1346</v>
      </c>
      <c r="K173" s="10" t="s">
        <v>1347</v>
      </c>
      <c r="L173" s="10" t="s">
        <v>1346</v>
      </c>
      <c r="M173" s="10" t="s">
        <v>1347</v>
      </c>
      <c r="N173" s="10" t="s">
        <v>1219</v>
      </c>
      <c r="O173" s="10" t="s">
        <v>1214</v>
      </c>
      <c r="P173" s="10" t="s">
        <v>1214</v>
      </c>
      <c r="Q173" s="10" t="s">
        <v>1214</v>
      </c>
      <c r="R173" s="10" t="s">
        <v>1214</v>
      </c>
      <c r="S173" s="10" t="s">
        <v>213</v>
      </c>
    </row>
    <row r="174" spans="1:19" ht="43.5" x14ac:dyDescent="0.35">
      <c r="A174" s="14">
        <v>46022</v>
      </c>
      <c r="B174" s="10" t="s">
        <v>211</v>
      </c>
      <c r="C174" s="10" t="s">
        <v>212</v>
      </c>
      <c r="D174" s="10" t="s">
        <v>1034</v>
      </c>
      <c r="E174" s="10">
        <v>4365787</v>
      </c>
      <c r="F174" s="15">
        <v>95</v>
      </c>
      <c r="G174" s="10" t="s">
        <v>1345</v>
      </c>
      <c r="H174" s="10">
        <v>4365787</v>
      </c>
      <c r="I174" s="10">
        <v>4350734</v>
      </c>
      <c r="J174" s="10" t="s">
        <v>1346</v>
      </c>
      <c r="K174" s="10" t="s">
        <v>1347</v>
      </c>
      <c r="L174" s="10" t="s">
        <v>1346</v>
      </c>
      <c r="M174" s="10" t="s">
        <v>1347</v>
      </c>
      <c r="N174" s="10" t="s">
        <v>1219</v>
      </c>
      <c r="O174" s="10" t="s">
        <v>1214</v>
      </c>
      <c r="P174" s="10" t="s">
        <v>1214</v>
      </c>
      <c r="Q174" s="10" t="s">
        <v>1214</v>
      </c>
      <c r="R174" s="10" t="s">
        <v>1214</v>
      </c>
      <c r="S174" s="10" t="s">
        <v>213</v>
      </c>
    </row>
    <row r="175" spans="1:19" ht="72.5" x14ac:dyDescent="0.35">
      <c r="A175" s="14">
        <v>46022</v>
      </c>
      <c r="B175" s="10" t="s">
        <v>214</v>
      </c>
      <c r="C175" s="10" t="s">
        <v>215</v>
      </c>
      <c r="D175" s="10" t="s">
        <v>1024</v>
      </c>
      <c r="E175" s="10">
        <v>4314727</v>
      </c>
      <c r="F175" s="15">
        <v>100</v>
      </c>
      <c r="G175" s="10" t="s">
        <v>1326</v>
      </c>
      <c r="H175" s="10">
        <v>4314727</v>
      </c>
      <c r="I175" s="10" t="s">
        <v>1194</v>
      </c>
      <c r="J175" s="10" t="s">
        <v>1214</v>
      </c>
      <c r="K175" s="10" t="s">
        <v>1214</v>
      </c>
      <c r="L175" s="10" t="s">
        <v>1214</v>
      </c>
      <c r="M175" s="10" t="s">
        <v>1214</v>
      </c>
      <c r="N175" s="10" t="s">
        <v>61</v>
      </c>
      <c r="O175" s="10" t="s">
        <v>1214</v>
      </c>
      <c r="P175" s="10" t="s">
        <v>1214</v>
      </c>
      <c r="Q175" s="10" t="s">
        <v>1214</v>
      </c>
      <c r="R175" s="10" t="s">
        <v>1214</v>
      </c>
      <c r="S175" s="10" t="s">
        <v>61</v>
      </c>
    </row>
    <row r="176" spans="1:19" ht="58" x14ac:dyDescent="0.35">
      <c r="A176" s="14">
        <v>46022</v>
      </c>
      <c r="B176" s="10" t="s">
        <v>229</v>
      </c>
      <c r="C176" s="10" t="s">
        <v>230</v>
      </c>
      <c r="D176" s="10" t="s">
        <v>1035</v>
      </c>
      <c r="E176" s="10">
        <v>10930017</v>
      </c>
      <c r="F176" s="15">
        <v>100</v>
      </c>
      <c r="G176" s="10" t="s">
        <v>1348</v>
      </c>
      <c r="H176" s="10">
        <v>10930017</v>
      </c>
      <c r="I176" s="10" t="s">
        <v>1194</v>
      </c>
      <c r="J176" s="10" t="s">
        <v>1214</v>
      </c>
      <c r="K176" s="10" t="s">
        <v>1214</v>
      </c>
      <c r="L176" s="10" t="s">
        <v>1214</v>
      </c>
      <c r="M176" s="10" t="s">
        <v>1214</v>
      </c>
      <c r="N176" s="10" t="s">
        <v>61</v>
      </c>
      <c r="O176" s="10" t="s">
        <v>1214</v>
      </c>
      <c r="P176" s="10" t="s">
        <v>1214</v>
      </c>
      <c r="Q176" s="10" t="s">
        <v>1214</v>
      </c>
      <c r="R176" s="10" t="s">
        <v>1214</v>
      </c>
      <c r="S176" s="10" t="s">
        <v>61</v>
      </c>
    </row>
    <row r="177" spans="1:19" ht="87" x14ac:dyDescent="0.35">
      <c r="A177" s="14">
        <v>46022</v>
      </c>
      <c r="B177" s="10" t="s">
        <v>728</v>
      </c>
      <c r="C177" s="10" t="s">
        <v>729</v>
      </c>
      <c r="D177" s="10" t="s">
        <v>1036</v>
      </c>
      <c r="E177" s="10">
        <v>4349131</v>
      </c>
      <c r="F177" s="15">
        <v>95.35</v>
      </c>
      <c r="G177" s="10" t="s">
        <v>1349</v>
      </c>
      <c r="H177" s="10">
        <v>4349131</v>
      </c>
      <c r="I177" s="10">
        <v>4400798</v>
      </c>
      <c r="J177" s="10" t="s">
        <v>1292</v>
      </c>
      <c r="K177" s="10" t="s">
        <v>61</v>
      </c>
      <c r="L177" s="10" t="s">
        <v>1350</v>
      </c>
      <c r="M177" s="10" t="s">
        <v>61</v>
      </c>
      <c r="N177" s="10" t="s">
        <v>1252</v>
      </c>
      <c r="O177" s="10" t="s">
        <v>1214</v>
      </c>
      <c r="P177" s="10" t="s">
        <v>1214</v>
      </c>
      <c r="Q177" s="10" t="s">
        <v>1214</v>
      </c>
      <c r="R177" s="10" t="s">
        <v>1214</v>
      </c>
      <c r="S177" s="10" t="s">
        <v>79</v>
      </c>
    </row>
    <row r="178" spans="1:19" ht="72.5" x14ac:dyDescent="0.35">
      <c r="A178" s="14">
        <v>46022</v>
      </c>
      <c r="B178" s="10" t="s">
        <v>352</v>
      </c>
      <c r="C178" s="10" t="s">
        <v>353</v>
      </c>
      <c r="D178" s="10" t="s">
        <v>1037</v>
      </c>
      <c r="E178" s="10">
        <v>4350830</v>
      </c>
      <c r="F178" s="15">
        <v>100</v>
      </c>
      <c r="G178" s="10" t="s">
        <v>1351</v>
      </c>
      <c r="H178" s="10">
        <v>4350830</v>
      </c>
      <c r="I178" s="10" t="s">
        <v>1194</v>
      </c>
      <c r="J178" s="10" t="s">
        <v>1214</v>
      </c>
      <c r="K178" s="10" t="s">
        <v>1214</v>
      </c>
      <c r="L178" s="10" t="s">
        <v>1214</v>
      </c>
      <c r="M178" s="10" t="s">
        <v>1214</v>
      </c>
      <c r="N178" s="10" t="s">
        <v>58</v>
      </c>
      <c r="O178" s="10" t="s">
        <v>1214</v>
      </c>
      <c r="P178" s="10" t="s">
        <v>1214</v>
      </c>
      <c r="Q178" s="10" t="s">
        <v>1214</v>
      </c>
      <c r="R178" s="10" t="s">
        <v>1214</v>
      </c>
      <c r="S178" s="10" t="s">
        <v>61</v>
      </c>
    </row>
    <row r="179" spans="1:19" ht="43.5" x14ac:dyDescent="0.35">
      <c r="A179" s="14">
        <v>46022</v>
      </c>
      <c r="B179" s="10" t="s">
        <v>216</v>
      </c>
      <c r="C179" s="10" t="s">
        <v>217</v>
      </c>
      <c r="D179" s="10" t="s">
        <v>213</v>
      </c>
      <c r="E179" s="10">
        <v>4350734</v>
      </c>
      <c r="F179" s="15">
        <v>5</v>
      </c>
      <c r="G179" s="10" t="s">
        <v>1352</v>
      </c>
      <c r="H179" s="10">
        <v>4581024</v>
      </c>
      <c r="I179" s="10">
        <v>4350734</v>
      </c>
      <c r="J179" s="10" t="s">
        <v>1214</v>
      </c>
      <c r="K179" s="10" t="s">
        <v>1214</v>
      </c>
      <c r="L179" s="10" t="s">
        <v>1214</v>
      </c>
      <c r="M179" s="10" t="s">
        <v>1214</v>
      </c>
      <c r="N179" s="10" t="s">
        <v>1240</v>
      </c>
      <c r="O179" s="10" t="s">
        <v>1214</v>
      </c>
      <c r="P179" s="10" t="s">
        <v>1214</v>
      </c>
      <c r="Q179" s="10" t="s">
        <v>1214</v>
      </c>
      <c r="R179" s="10" t="s">
        <v>1214</v>
      </c>
      <c r="S179" s="10" t="s">
        <v>213</v>
      </c>
    </row>
    <row r="180" spans="1:19" ht="58" x14ac:dyDescent="0.35">
      <c r="A180" s="14">
        <v>46022</v>
      </c>
      <c r="B180" s="10" t="s">
        <v>216</v>
      </c>
      <c r="C180" s="10" t="s">
        <v>217</v>
      </c>
      <c r="D180" s="10" t="s">
        <v>1038</v>
      </c>
      <c r="E180" s="10">
        <v>4581024</v>
      </c>
      <c r="F180" s="15">
        <v>95</v>
      </c>
      <c r="G180" s="10" t="s">
        <v>1352</v>
      </c>
      <c r="H180" s="10">
        <v>4581024</v>
      </c>
      <c r="I180" s="10">
        <v>4350734</v>
      </c>
      <c r="J180" s="10" t="s">
        <v>1214</v>
      </c>
      <c r="K180" s="10" t="s">
        <v>1214</v>
      </c>
      <c r="L180" s="10" t="s">
        <v>1214</v>
      </c>
      <c r="M180" s="10" t="s">
        <v>1214</v>
      </c>
      <c r="N180" s="10" t="s">
        <v>1240</v>
      </c>
      <c r="O180" s="10" t="s">
        <v>1214</v>
      </c>
      <c r="P180" s="10" t="s">
        <v>1214</v>
      </c>
      <c r="Q180" s="10" t="s">
        <v>1214</v>
      </c>
      <c r="R180" s="10" t="s">
        <v>1214</v>
      </c>
      <c r="S180" s="10" t="s">
        <v>213</v>
      </c>
    </row>
    <row r="181" spans="1:19" ht="87" x14ac:dyDescent="0.35">
      <c r="A181" s="14">
        <v>46022</v>
      </c>
      <c r="B181" s="10" t="s">
        <v>218</v>
      </c>
      <c r="C181" s="10" t="s">
        <v>219</v>
      </c>
      <c r="D181" s="10" t="s">
        <v>1039</v>
      </c>
      <c r="E181" s="10">
        <v>10930033</v>
      </c>
      <c r="F181" s="15">
        <v>100</v>
      </c>
      <c r="G181" s="10" t="s">
        <v>1353</v>
      </c>
      <c r="H181" s="10">
        <v>10930033</v>
      </c>
      <c r="I181" s="10" t="s">
        <v>1194</v>
      </c>
      <c r="J181" s="10" t="s">
        <v>1214</v>
      </c>
      <c r="K181" s="10" t="s">
        <v>1214</v>
      </c>
      <c r="L181" s="10" t="s">
        <v>1214</v>
      </c>
      <c r="M181" s="10" t="s">
        <v>1214</v>
      </c>
      <c r="N181" s="10" t="s">
        <v>61</v>
      </c>
      <c r="O181" s="10" t="s">
        <v>1214</v>
      </c>
      <c r="P181" s="10" t="s">
        <v>1214</v>
      </c>
      <c r="Q181" s="10" t="s">
        <v>1214</v>
      </c>
      <c r="R181" s="10" t="s">
        <v>1214</v>
      </c>
      <c r="S181" s="10" t="s">
        <v>61</v>
      </c>
    </row>
    <row r="182" spans="1:19" ht="29" x14ac:dyDescent="0.35">
      <c r="A182" s="14">
        <v>46022</v>
      </c>
      <c r="B182" s="10" t="s">
        <v>730</v>
      </c>
      <c r="C182" s="10" t="s">
        <v>731</v>
      </c>
      <c r="D182" s="10" t="s">
        <v>945</v>
      </c>
      <c r="E182" s="10">
        <v>4349314</v>
      </c>
      <c r="F182" s="15">
        <v>100</v>
      </c>
      <c r="G182" s="10" t="s">
        <v>1225</v>
      </c>
      <c r="H182" s="10">
        <v>4349314</v>
      </c>
      <c r="I182" s="10" t="s">
        <v>1194</v>
      </c>
      <c r="J182" s="10" t="s">
        <v>58</v>
      </c>
      <c r="K182" s="10" t="s">
        <v>58</v>
      </c>
      <c r="L182" s="10" t="s">
        <v>58</v>
      </c>
      <c r="M182" s="10" t="s">
        <v>58</v>
      </c>
      <c r="N182" s="10" t="s">
        <v>58</v>
      </c>
      <c r="O182" s="10" t="s">
        <v>1214</v>
      </c>
      <c r="P182" s="10" t="s">
        <v>1214</v>
      </c>
      <c r="Q182" s="10" t="s">
        <v>1214</v>
      </c>
      <c r="R182" s="10" t="s">
        <v>1214</v>
      </c>
      <c r="S182" s="10" t="s">
        <v>61</v>
      </c>
    </row>
    <row r="183" spans="1:19" ht="58" x14ac:dyDescent="0.35">
      <c r="A183" s="14">
        <v>46022</v>
      </c>
      <c r="B183" s="10" t="s">
        <v>354</v>
      </c>
      <c r="C183" s="10" t="s">
        <v>355</v>
      </c>
      <c r="D183" s="10" t="s">
        <v>968</v>
      </c>
      <c r="E183" s="10">
        <v>4355114</v>
      </c>
      <c r="F183" s="15">
        <v>100</v>
      </c>
      <c r="G183" s="10" t="s">
        <v>1354</v>
      </c>
      <c r="H183" s="10">
        <v>4355114</v>
      </c>
      <c r="I183" s="10" t="s">
        <v>1194</v>
      </c>
      <c r="J183" s="10" t="s">
        <v>1251</v>
      </c>
      <c r="K183" s="10" t="s">
        <v>1252</v>
      </c>
      <c r="L183" s="10" t="s">
        <v>1253</v>
      </c>
      <c r="M183" s="10" t="s">
        <v>1254</v>
      </c>
      <c r="N183" s="10" t="s">
        <v>86</v>
      </c>
      <c r="O183" s="10" t="s">
        <v>1214</v>
      </c>
      <c r="P183" s="10" t="s">
        <v>1214</v>
      </c>
      <c r="Q183" s="10" t="s">
        <v>1214</v>
      </c>
      <c r="R183" s="10" t="s">
        <v>1214</v>
      </c>
      <c r="S183" s="10" t="s">
        <v>61</v>
      </c>
    </row>
    <row r="184" spans="1:19" ht="29" x14ac:dyDescent="0.35">
      <c r="A184" s="14">
        <v>46022</v>
      </c>
      <c r="B184" s="10" t="s">
        <v>231</v>
      </c>
      <c r="C184" s="10" t="s">
        <v>232</v>
      </c>
      <c r="D184" s="10" t="s">
        <v>939</v>
      </c>
      <c r="E184" s="10">
        <v>4348654</v>
      </c>
      <c r="F184" s="15">
        <v>100</v>
      </c>
      <c r="G184" s="10" t="s">
        <v>1213</v>
      </c>
      <c r="H184" s="10">
        <v>4348654</v>
      </c>
      <c r="I184" s="10" t="s">
        <v>1194</v>
      </c>
      <c r="J184" s="10" t="s">
        <v>1214</v>
      </c>
      <c r="K184" s="10" t="s">
        <v>1214</v>
      </c>
      <c r="L184" s="10" t="s">
        <v>1214</v>
      </c>
      <c r="M184" s="10" t="s">
        <v>1214</v>
      </c>
      <c r="N184" s="10" t="s">
        <v>102</v>
      </c>
      <c r="O184" s="10" t="s">
        <v>1214</v>
      </c>
      <c r="P184" s="10" t="s">
        <v>1214</v>
      </c>
      <c r="Q184" s="10" t="s">
        <v>1214</v>
      </c>
      <c r="R184" s="10" t="s">
        <v>1214</v>
      </c>
      <c r="S184" s="10" t="s">
        <v>61</v>
      </c>
    </row>
    <row r="185" spans="1:19" ht="43.5" x14ac:dyDescent="0.35">
      <c r="A185" s="14">
        <v>46022</v>
      </c>
      <c r="B185" s="10" t="s">
        <v>220</v>
      </c>
      <c r="C185" s="10" t="s">
        <v>221</v>
      </c>
      <c r="D185" s="10" t="s">
        <v>1040</v>
      </c>
      <c r="E185" s="10">
        <v>4354747</v>
      </c>
      <c r="F185" s="15">
        <v>100</v>
      </c>
      <c r="G185" s="10" t="s">
        <v>1355</v>
      </c>
      <c r="H185" s="10">
        <v>4354747</v>
      </c>
      <c r="I185" s="10" t="s">
        <v>1194</v>
      </c>
      <c r="J185" s="10" t="s">
        <v>1214</v>
      </c>
      <c r="K185" s="10" t="s">
        <v>1214</v>
      </c>
      <c r="L185" s="10" t="s">
        <v>1214</v>
      </c>
      <c r="M185" s="10" t="s">
        <v>1214</v>
      </c>
      <c r="N185" s="10" t="s">
        <v>222</v>
      </c>
      <c r="O185" s="10" t="s">
        <v>1214</v>
      </c>
      <c r="P185" s="10" t="s">
        <v>1214</v>
      </c>
      <c r="Q185" s="10" t="s">
        <v>1214</v>
      </c>
      <c r="R185" s="10" t="s">
        <v>1214</v>
      </c>
      <c r="S185" s="10" t="s">
        <v>61</v>
      </c>
    </row>
    <row r="186" spans="1:19" ht="29" x14ac:dyDescent="0.35">
      <c r="A186" s="14">
        <v>46022</v>
      </c>
      <c r="B186" s="10" t="s">
        <v>384</v>
      </c>
      <c r="C186" s="10" t="s">
        <v>385</v>
      </c>
      <c r="D186" s="10" t="s">
        <v>1041</v>
      </c>
      <c r="E186" s="10">
        <v>29181633</v>
      </c>
      <c r="F186" s="15">
        <v>100</v>
      </c>
      <c r="G186" s="10" t="s">
        <v>1356</v>
      </c>
      <c r="H186" s="10">
        <v>29181633</v>
      </c>
      <c r="I186" s="10" t="s">
        <v>1194</v>
      </c>
      <c r="J186" s="10" t="s">
        <v>1214</v>
      </c>
      <c r="K186" s="10" t="s">
        <v>1214</v>
      </c>
      <c r="L186" s="10" t="s">
        <v>1214</v>
      </c>
      <c r="M186" s="10" t="s">
        <v>1214</v>
      </c>
      <c r="N186" s="10" t="s">
        <v>89</v>
      </c>
      <c r="O186" s="10" t="s">
        <v>1214</v>
      </c>
      <c r="P186" s="10" t="s">
        <v>1214</v>
      </c>
      <c r="Q186" s="10" t="s">
        <v>1214</v>
      </c>
      <c r="R186" s="10" t="s">
        <v>1214</v>
      </c>
      <c r="S186" s="10" t="s">
        <v>61</v>
      </c>
    </row>
    <row r="187" spans="1:19" ht="58" x14ac:dyDescent="0.35">
      <c r="A187" s="14">
        <v>46022</v>
      </c>
      <c r="B187" s="10" t="s">
        <v>386</v>
      </c>
      <c r="C187" s="10" t="s">
        <v>387</v>
      </c>
      <c r="D187" s="10" t="s">
        <v>1042</v>
      </c>
      <c r="E187" s="10">
        <v>4347844</v>
      </c>
      <c r="F187" s="15">
        <v>100</v>
      </c>
      <c r="G187" s="10" t="s">
        <v>1357</v>
      </c>
      <c r="H187" s="10">
        <v>4347844</v>
      </c>
      <c r="I187" s="10" t="s">
        <v>1194</v>
      </c>
      <c r="J187" s="10" t="s">
        <v>1214</v>
      </c>
      <c r="K187" s="10" t="s">
        <v>1214</v>
      </c>
      <c r="L187" s="10" t="s">
        <v>1214</v>
      </c>
      <c r="M187" s="10" t="s">
        <v>1214</v>
      </c>
      <c r="N187" s="10" t="s">
        <v>222</v>
      </c>
      <c r="O187" s="10" t="s">
        <v>1214</v>
      </c>
      <c r="P187" s="10" t="s">
        <v>1214</v>
      </c>
      <c r="Q187" s="10" t="s">
        <v>1214</v>
      </c>
      <c r="R187" s="10" t="s">
        <v>1214</v>
      </c>
      <c r="S187" s="10" t="s">
        <v>61</v>
      </c>
    </row>
    <row r="188" spans="1:19" ht="58" x14ac:dyDescent="0.35">
      <c r="A188" s="14">
        <v>46022</v>
      </c>
      <c r="B188" s="10" t="s">
        <v>732</v>
      </c>
      <c r="C188" s="10" t="s">
        <v>733</v>
      </c>
      <c r="D188" s="10" t="s">
        <v>963</v>
      </c>
      <c r="E188" s="10">
        <v>4004107</v>
      </c>
      <c r="F188" s="15">
        <v>48.76</v>
      </c>
      <c r="G188" s="10" t="s">
        <v>1358</v>
      </c>
      <c r="H188" s="10">
        <v>4557433</v>
      </c>
      <c r="I188" s="10">
        <v>4004107</v>
      </c>
      <c r="J188" s="10" t="s">
        <v>536</v>
      </c>
      <c r="K188" s="10" t="s">
        <v>536</v>
      </c>
      <c r="L188" s="10" t="s">
        <v>536</v>
      </c>
      <c r="M188" s="10" t="s">
        <v>536</v>
      </c>
      <c r="N188" s="10" t="s">
        <v>536</v>
      </c>
      <c r="O188" s="10" t="s">
        <v>1214</v>
      </c>
      <c r="P188" s="10" t="s">
        <v>1214</v>
      </c>
      <c r="Q188" s="10" t="s">
        <v>1214</v>
      </c>
      <c r="R188" s="10" t="s">
        <v>1214</v>
      </c>
      <c r="S188" s="10" t="s">
        <v>79</v>
      </c>
    </row>
    <row r="189" spans="1:19" ht="72.5" x14ac:dyDescent="0.35">
      <c r="A189" s="14">
        <v>46022</v>
      </c>
      <c r="B189" s="10" t="s">
        <v>732</v>
      </c>
      <c r="C189" s="10" t="s">
        <v>733</v>
      </c>
      <c r="D189" s="10" t="s">
        <v>1043</v>
      </c>
      <c r="E189" s="10">
        <v>4557433</v>
      </c>
      <c r="F189" s="15">
        <v>51.24</v>
      </c>
      <c r="G189" s="10" t="s">
        <v>1358</v>
      </c>
      <c r="H189" s="10">
        <v>4557433</v>
      </c>
      <c r="I189" s="10">
        <v>4004107</v>
      </c>
      <c r="J189" s="10" t="s">
        <v>536</v>
      </c>
      <c r="K189" s="10" t="s">
        <v>536</v>
      </c>
      <c r="L189" s="10" t="s">
        <v>536</v>
      </c>
      <c r="M189" s="10" t="s">
        <v>536</v>
      </c>
      <c r="N189" s="10" t="s">
        <v>536</v>
      </c>
      <c r="O189" s="10" t="s">
        <v>1214</v>
      </c>
      <c r="P189" s="10" t="s">
        <v>1214</v>
      </c>
      <c r="Q189" s="10" t="s">
        <v>1214</v>
      </c>
      <c r="R189" s="10" t="s">
        <v>1214</v>
      </c>
      <c r="S189" s="10" t="s">
        <v>79</v>
      </c>
    </row>
    <row r="190" spans="1:19" ht="58" x14ac:dyDescent="0.35">
      <c r="A190" s="14">
        <v>46022</v>
      </c>
      <c r="B190" s="10" t="s">
        <v>233</v>
      </c>
      <c r="C190" s="10" t="s">
        <v>234</v>
      </c>
      <c r="D190" s="10" t="s">
        <v>995</v>
      </c>
      <c r="E190" s="10">
        <v>4350215</v>
      </c>
      <c r="F190" s="15">
        <v>100</v>
      </c>
      <c r="G190" s="10" t="s">
        <v>1281</v>
      </c>
      <c r="H190" s="10">
        <v>4350215</v>
      </c>
      <c r="I190" s="10" t="s">
        <v>1194</v>
      </c>
      <c r="J190" s="10" t="s">
        <v>1214</v>
      </c>
      <c r="K190" s="10" t="s">
        <v>1214</v>
      </c>
      <c r="L190" s="10" t="s">
        <v>1214</v>
      </c>
      <c r="M190" s="10" t="s">
        <v>1214</v>
      </c>
      <c r="N190" s="10" t="s">
        <v>222</v>
      </c>
      <c r="O190" s="10" t="s">
        <v>1214</v>
      </c>
      <c r="P190" s="10" t="s">
        <v>1214</v>
      </c>
      <c r="Q190" s="10" t="s">
        <v>1214</v>
      </c>
      <c r="R190" s="10" t="s">
        <v>1214</v>
      </c>
      <c r="S190" s="10" t="s">
        <v>61</v>
      </c>
    </row>
    <row r="191" spans="1:19" ht="72.5" x14ac:dyDescent="0.35">
      <c r="A191" s="14">
        <v>46022</v>
      </c>
      <c r="B191" s="10" t="s">
        <v>734</v>
      </c>
      <c r="C191" s="10" t="s">
        <v>735</v>
      </c>
      <c r="D191" s="10" t="s">
        <v>1044</v>
      </c>
      <c r="E191" s="10">
        <v>10931228</v>
      </c>
      <c r="F191" s="15">
        <v>100</v>
      </c>
      <c r="G191" s="10" t="s">
        <v>1359</v>
      </c>
      <c r="H191" s="10">
        <v>10931228</v>
      </c>
      <c r="I191" s="10" t="s">
        <v>1194</v>
      </c>
      <c r="J191" s="10" t="s">
        <v>1214</v>
      </c>
      <c r="K191" s="10" t="s">
        <v>1214</v>
      </c>
      <c r="L191" s="10" t="s">
        <v>1214</v>
      </c>
      <c r="M191" s="10" t="s">
        <v>1214</v>
      </c>
      <c r="N191" s="10" t="s">
        <v>61</v>
      </c>
      <c r="O191" s="10" t="s">
        <v>1214</v>
      </c>
      <c r="P191" s="10" t="s">
        <v>1214</v>
      </c>
      <c r="Q191" s="10" t="s">
        <v>1214</v>
      </c>
      <c r="R191" s="10" t="s">
        <v>1214</v>
      </c>
      <c r="S191" s="10" t="s">
        <v>61</v>
      </c>
    </row>
    <row r="192" spans="1:19" ht="29" x14ac:dyDescent="0.35">
      <c r="A192" s="14">
        <v>46022</v>
      </c>
      <c r="B192" s="10" t="s">
        <v>388</v>
      </c>
      <c r="C192" s="10" t="s">
        <v>389</v>
      </c>
      <c r="D192" s="10" t="s">
        <v>1045</v>
      </c>
      <c r="E192" s="10">
        <v>4400798</v>
      </c>
      <c r="F192" s="15">
        <v>100</v>
      </c>
      <c r="G192" s="10" t="s">
        <v>1360</v>
      </c>
      <c r="H192" s="10">
        <v>4400798</v>
      </c>
      <c r="I192" s="10" t="s">
        <v>1194</v>
      </c>
      <c r="J192" s="10" t="s">
        <v>1214</v>
      </c>
      <c r="K192" s="10" t="s">
        <v>1214</v>
      </c>
      <c r="L192" s="10" t="s">
        <v>1214</v>
      </c>
      <c r="M192" s="10" t="s">
        <v>1214</v>
      </c>
      <c r="N192" s="10" t="s">
        <v>79</v>
      </c>
      <c r="O192" s="10" t="s">
        <v>1214</v>
      </c>
      <c r="P192" s="10" t="s">
        <v>1214</v>
      </c>
      <c r="Q192" s="10" t="s">
        <v>1214</v>
      </c>
      <c r="R192" s="10" t="s">
        <v>1214</v>
      </c>
      <c r="S192" s="10" t="s">
        <v>61</v>
      </c>
    </row>
    <row r="193" spans="1:19" ht="87" x14ac:dyDescent="0.35">
      <c r="A193" s="14">
        <v>46022</v>
      </c>
      <c r="B193" s="10" t="s">
        <v>284</v>
      </c>
      <c r="C193" s="10" t="s">
        <v>285</v>
      </c>
      <c r="D193" s="10" t="s">
        <v>1046</v>
      </c>
      <c r="E193" s="10">
        <v>10928331</v>
      </c>
      <c r="F193" s="15">
        <v>100</v>
      </c>
      <c r="G193" s="10" t="s">
        <v>1361</v>
      </c>
      <c r="H193" s="10">
        <v>10928331</v>
      </c>
      <c r="I193" s="10" t="s">
        <v>1194</v>
      </c>
      <c r="J193" s="10" t="s">
        <v>1214</v>
      </c>
      <c r="K193" s="10" t="s">
        <v>1214</v>
      </c>
      <c r="L193" s="10" t="s">
        <v>1214</v>
      </c>
      <c r="M193" s="10" t="s">
        <v>1214</v>
      </c>
      <c r="N193" s="10" t="s">
        <v>61</v>
      </c>
      <c r="O193" s="10" t="s">
        <v>1214</v>
      </c>
      <c r="P193" s="10" t="s">
        <v>1214</v>
      </c>
      <c r="Q193" s="10" t="s">
        <v>1214</v>
      </c>
      <c r="R193" s="10" t="s">
        <v>1214</v>
      </c>
      <c r="S193" s="10" t="s">
        <v>61</v>
      </c>
    </row>
    <row r="194" spans="1:19" ht="43.5" x14ac:dyDescent="0.35">
      <c r="A194" s="14">
        <v>46022</v>
      </c>
      <c r="B194" s="10" t="s">
        <v>236</v>
      </c>
      <c r="C194" s="10" t="s">
        <v>237</v>
      </c>
      <c r="D194" s="10" t="s">
        <v>950</v>
      </c>
      <c r="E194" s="10">
        <v>4141965</v>
      </c>
      <c r="F194" s="15">
        <v>100</v>
      </c>
      <c r="G194" s="10" t="s">
        <v>1362</v>
      </c>
      <c r="H194" s="10">
        <v>4141965</v>
      </c>
      <c r="I194" s="10" t="s">
        <v>1194</v>
      </c>
      <c r="J194" s="10" t="s">
        <v>1214</v>
      </c>
      <c r="K194" s="10" t="s">
        <v>1214</v>
      </c>
      <c r="L194" s="10" t="s">
        <v>1214</v>
      </c>
      <c r="M194" s="10" t="s">
        <v>1214</v>
      </c>
      <c r="N194" s="10" t="s">
        <v>222</v>
      </c>
      <c r="O194" s="10" t="s">
        <v>1214</v>
      </c>
      <c r="P194" s="10" t="s">
        <v>1214</v>
      </c>
      <c r="Q194" s="10" t="s">
        <v>1214</v>
      </c>
      <c r="R194" s="10" t="s">
        <v>1214</v>
      </c>
      <c r="S194" s="10" t="s">
        <v>61</v>
      </c>
    </row>
    <row r="195" spans="1:19" ht="58" x14ac:dyDescent="0.35">
      <c r="A195" s="14">
        <v>46022</v>
      </c>
      <c r="B195" s="10" t="s">
        <v>286</v>
      </c>
      <c r="C195" s="10" t="s">
        <v>287</v>
      </c>
      <c r="D195" s="10" t="s">
        <v>1047</v>
      </c>
      <c r="E195" s="10">
        <v>10930015</v>
      </c>
      <c r="F195" s="15">
        <v>100</v>
      </c>
      <c r="G195" s="10" t="s">
        <v>1363</v>
      </c>
      <c r="H195" s="10">
        <v>10930015</v>
      </c>
      <c r="I195" s="10" t="s">
        <v>1194</v>
      </c>
      <c r="J195" s="10" t="s">
        <v>1214</v>
      </c>
      <c r="K195" s="10" t="s">
        <v>1214</v>
      </c>
      <c r="L195" s="10" t="s">
        <v>1214</v>
      </c>
      <c r="M195" s="10" t="s">
        <v>1214</v>
      </c>
      <c r="N195" s="10" t="s">
        <v>61</v>
      </c>
      <c r="O195" s="10" t="s">
        <v>1214</v>
      </c>
      <c r="P195" s="10" t="s">
        <v>1214</v>
      </c>
      <c r="Q195" s="10" t="s">
        <v>1214</v>
      </c>
      <c r="R195" s="10" t="s">
        <v>1214</v>
      </c>
      <c r="S195" s="10" t="s">
        <v>61</v>
      </c>
    </row>
    <row r="196" spans="1:19" ht="87" x14ac:dyDescent="0.35">
      <c r="A196" s="14">
        <v>46022</v>
      </c>
      <c r="B196" s="10" t="s">
        <v>390</v>
      </c>
      <c r="C196" s="10" t="s">
        <v>391</v>
      </c>
      <c r="D196" s="10" t="s">
        <v>1001</v>
      </c>
      <c r="E196" s="10">
        <v>4349160</v>
      </c>
      <c r="F196" s="15">
        <v>67.5</v>
      </c>
      <c r="G196" s="10" t="s">
        <v>1364</v>
      </c>
      <c r="H196" s="10">
        <v>4349160</v>
      </c>
      <c r="I196" s="10">
        <v>4475609</v>
      </c>
      <c r="J196" s="10" t="s">
        <v>1292</v>
      </c>
      <c r="K196" s="10" t="s">
        <v>61</v>
      </c>
      <c r="L196" s="10" t="s">
        <v>1293</v>
      </c>
      <c r="M196" s="10" t="s">
        <v>1294</v>
      </c>
      <c r="N196" s="10" t="s">
        <v>61</v>
      </c>
      <c r="O196" s="10" t="s">
        <v>1214</v>
      </c>
      <c r="P196" s="10" t="s">
        <v>1214</v>
      </c>
      <c r="Q196" s="10" t="s">
        <v>1214</v>
      </c>
      <c r="R196" s="10" t="s">
        <v>1214</v>
      </c>
      <c r="S196" s="10" t="s">
        <v>122</v>
      </c>
    </row>
    <row r="197" spans="1:19" ht="87" x14ac:dyDescent="0.35">
      <c r="A197" s="14">
        <v>46022</v>
      </c>
      <c r="B197" s="10" t="s">
        <v>390</v>
      </c>
      <c r="C197" s="10" t="s">
        <v>391</v>
      </c>
      <c r="D197" s="10" t="s">
        <v>1048</v>
      </c>
      <c r="E197" s="10">
        <v>4475609</v>
      </c>
      <c r="F197" s="15">
        <v>32.5</v>
      </c>
      <c r="G197" s="10" t="s">
        <v>1364</v>
      </c>
      <c r="H197" s="10">
        <v>4349160</v>
      </c>
      <c r="I197" s="10">
        <v>4475609</v>
      </c>
      <c r="J197" s="10" t="s">
        <v>1292</v>
      </c>
      <c r="K197" s="10" t="s">
        <v>61</v>
      </c>
      <c r="L197" s="10" t="s">
        <v>1293</v>
      </c>
      <c r="M197" s="10" t="s">
        <v>1294</v>
      </c>
      <c r="N197" s="10" t="s">
        <v>61</v>
      </c>
      <c r="O197" s="10" t="s">
        <v>1214</v>
      </c>
      <c r="P197" s="10" t="s">
        <v>1214</v>
      </c>
      <c r="Q197" s="10" t="s">
        <v>1214</v>
      </c>
      <c r="R197" s="10" t="s">
        <v>1214</v>
      </c>
      <c r="S197" s="10" t="s">
        <v>122</v>
      </c>
    </row>
    <row r="198" spans="1:19" ht="58" x14ac:dyDescent="0.35">
      <c r="A198" s="14">
        <v>46022</v>
      </c>
      <c r="B198" s="10" t="s">
        <v>392</v>
      </c>
      <c r="C198" s="10" t="s">
        <v>393</v>
      </c>
      <c r="D198" s="10" t="s">
        <v>1049</v>
      </c>
      <c r="E198" s="10">
        <v>4353203</v>
      </c>
      <c r="F198" s="15">
        <v>100</v>
      </c>
      <c r="G198" s="10" t="s">
        <v>1365</v>
      </c>
      <c r="H198" s="10">
        <v>4353203</v>
      </c>
      <c r="I198" s="10" t="s">
        <v>1194</v>
      </c>
      <c r="J198" s="10" t="s">
        <v>1214</v>
      </c>
      <c r="K198" s="10" t="s">
        <v>1214</v>
      </c>
      <c r="L198" s="10" t="s">
        <v>1214</v>
      </c>
      <c r="M198" s="10" t="s">
        <v>1214</v>
      </c>
      <c r="N198" s="10" t="s">
        <v>222</v>
      </c>
      <c r="O198" s="10" t="s">
        <v>1214</v>
      </c>
      <c r="P198" s="10" t="s">
        <v>1214</v>
      </c>
      <c r="Q198" s="10" t="s">
        <v>1214</v>
      </c>
      <c r="R198" s="10" t="s">
        <v>1214</v>
      </c>
      <c r="S198" s="10" t="s">
        <v>61</v>
      </c>
    </row>
    <row r="199" spans="1:19" ht="58" x14ac:dyDescent="0.35">
      <c r="A199" s="14">
        <v>46022</v>
      </c>
      <c r="B199" s="10" t="s">
        <v>394</v>
      </c>
      <c r="C199" s="10" t="s">
        <v>395</v>
      </c>
      <c r="D199" s="10" t="s">
        <v>1050</v>
      </c>
      <c r="E199" s="10">
        <v>4673335</v>
      </c>
      <c r="F199" s="15">
        <v>100</v>
      </c>
      <c r="G199" s="10" t="s">
        <v>1366</v>
      </c>
      <c r="H199" s="10">
        <v>4673335</v>
      </c>
      <c r="I199" s="10" t="s">
        <v>1194</v>
      </c>
      <c r="J199" s="10" t="s">
        <v>1214</v>
      </c>
      <c r="K199" s="10" t="s">
        <v>1214</v>
      </c>
      <c r="L199" s="10" t="s">
        <v>1214</v>
      </c>
      <c r="M199" s="10" t="s">
        <v>1214</v>
      </c>
      <c r="N199" s="10" t="s">
        <v>61</v>
      </c>
      <c r="O199" s="10" t="s">
        <v>1214</v>
      </c>
      <c r="P199" s="10" t="s">
        <v>1214</v>
      </c>
      <c r="Q199" s="10" t="s">
        <v>1214</v>
      </c>
      <c r="R199" s="10" t="s">
        <v>1214</v>
      </c>
      <c r="S199" s="10" t="s">
        <v>61</v>
      </c>
    </row>
    <row r="200" spans="1:19" ht="58" x14ac:dyDescent="0.35">
      <c r="A200" s="14">
        <v>46022</v>
      </c>
      <c r="B200" s="10" t="s">
        <v>238</v>
      </c>
      <c r="C200" s="10" t="s">
        <v>239</v>
      </c>
      <c r="D200" s="10" t="s">
        <v>958</v>
      </c>
      <c r="E200" s="10">
        <v>4355642</v>
      </c>
      <c r="F200" s="15">
        <v>100</v>
      </c>
      <c r="G200" s="10" t="s">
        <v>1320</v>
      </c>
      <c r="H200" s="10">
        <v>4355642</v>
      </c>
      <c r="I200" s="10" t="s">
        <v>1194</v>
      </c>
      <c r="J200" s="10" t="s">
        <v>1214</v>
      </c>
      <c r="K200" s="10" t="s">
        <v>1214</v>
      </c>
      <c r="L200" s="10" t="s">
        <v>1214</v>
      </c>
      <c r="M200" s="10" t="s">
        <v>1214</v>
      </c>
      <c r="N200" s="10" t="s">
        <v>61</v>
      </c>
      <c r="O200" s="10" t="s">
        <v>1214</v>
      </c>
      <c r="P200" s="10" t="s">
        <v>1214</v>
      </c>
      <c r="Q200" s="10" t="s">
        <v>1214</v>
      </c>
      <c r="R200" s="10" t="s">
        <v>1214</v>
      </c>
      <c r="S200" s="10" t="s">
        <v>61</v>
      </c>
    </row>
    <row r="201" spans="1:19" ht="58" x14ac:dyDescent="0.35">
      <c r="A201" s="14">
        <v>46022</v>
      </c>
      <c r="B201" s="10" t="s">
        <v>736</v>
      </c>
      <c r="C201" s="10" t="s">
        <v>737</v>
      </c>
      <c r="D201" s="10" t="s">
        <v>1051</v>
      </c>
      <c r="E201" s="10">
        <v>4355346</v>
      </c>
      <c r="F201" s="15">
        <v>100</v>
      </c>
      <c r="G201" s="10" t="s">
        <v>1367</v>
      </c>
      <c r="H201" s="10">
        <v>4355346</v>
      </c>
      <c r="I201" s="10" t="s">
        <v>1194</v>
      </c>
      <c r="J201" s="10" t="s">
        <v>1368</v>
      </c>
      <c r="K201" s="10" t="s">
        <v>61</v>
      </c>
      <c r="L201" s="10" t="s">
        <v>1369</v>
      </c>
      <c r="M201" s="10" t="s">
        <v>61</v>
      </c>
      <c r="N201" s="10" t="s">
        <v>61</v>
      </c>
      <c r="O201" s="10" t="s">
        <v>1214</v>
      </c>
      <c r="P201" s="10" t="s">
        <v>1214</v>
      </c>
      <c r="Q201" s="10" t="s">
        <v>1214</v>
      </c>
      <c r="R201" s="10" t="s">
        <v>1214</v>
      </c>
      <c r="S201" s="10" t="s">
        <v>61</v>
      </c>
    </row>
    <row r="202" spans="1:19" ht="72.5" x14ac:dyDescent="0.35">
      <c r="A202" s="14">
        <v>46022</v>
      </c>
      <c r="B202" s="10" t="s">
        <v>288</v>
      </c>
      <c r="C202" s="10" t="s">
        <v>289</v>
      </c>
      <c r="D202" s="10" t="s">
        <v>1052</v>
      </c>
      <c r="E202" s="10">
        <v>10947692</v>
      </c>
      <c r="F202" s="15">
        <v>100</v>
      </c>
      <c r="G202" s="10" t="s">
        <v>1370</v>
      </c>
      <c r="H202" s="10">
        <v>10947692</v>
      </c>
      <c r="I202" s="10" t="s">
        <v>1194</v>
      </c>
      <c r="J202" s="10" t="s">
        <v>1214</v>
      </c>
      <c r="K202" s="10" t="s">
        <v>1214</v>
      </c>
      <c r="L202" s="10" t="s">
        <v>1214</v>
      </c>
      <c r="M202" s="10" t="s">
        <v>1214</v>
      </c>
      <c r="N202" s="10" t="s">
        <v>61</v>
      </c>
      <c r="O202" s="10" t="s">
        <v>1214</v>
      </c>
      <c r="P202" s="10" t="s">
        <v>1214</v>
      </c>
      <c r="Q202" s="10" t="s">
        <v>1214</v>
      </c>
      <c r="R202" s="10" t="s">
        <v>1214</v>
      </c>
      <c r="S202" s="10" t="s">
        <v>61</v>
      </c>
    </row>
    <row r="203" spans="1:19" ht="58" x14ac:dyDescent="0.35">
      <c r="A203" s="14">
        <v>46022</v>
      </c>
      <c r="B203" s="10" t="s">
        <v>290</v>
      </c>
      <c r="C203" s="10" t="s">
        <v>291</v>
      </c>
      <c r="D203" s="10" t="s">
        <v>980</v>
      </c>
      <c r="E203" s="10">
        <v>4354459</v>
      </c>
      <c r="F203" s="15">
        <v>100</v>
      </c>
      <c r="G203" s="10" t="s">
        <v>1298</v>
      </c>
      <c r="H203" s="10">
        <v>4354459</v>
      </c>
      <c r="I203" s="10" t="s">
        <v>1194</v>
      </c>
      <c r="J203" s="10" t="s">
        <v>1267</v>
      </c>
      <c r="K203" s="10" t="s">
        <v>111</v>
      </c>
      <c r="L203" s="10" t="s">
        <v>1268</v>
      </c>
      <c r="M203" s="10" t="s">
        <v>79</v>
      </c>
      <c r="N203" s="10" t="s">
        <v>79</v>
      </c>
      <c r="O203" s="10" t="s">
        <v>1214</v>
      </c>
      <c r="P203" s="10" t="s">
        <v>1214</v>
      </c>
      <c r="Q203" s="10" t="s">
        <v>1214</v>
      </c>
      <c r="R203" s="10" t="s">
        <v>1214</v>
      </c>
      <c r="S203" s="10" t="s">
        <v>61</v>
      </c>
    </row>
    <row r="204" spans="1:19" ht="58" x14ac:dyDescent="0.35">
      <c r="A204" s="14">
        <v>46022</v>
      </c>
      <c r="B204" s="10" t="s">
        <v>240</v>
      </c>
      <c r="C204" s="10" t="s">
        <v>241</v>
      </c>
      <c r="D204" s="10" t="s">
        <v>1053</v>
      </c>
      <c r="E204" s="10">
        <v>4351190</v>
      </c>
      <c r="F204" s="15">
        <v>87</v>
      </c>
      <c r="G204" s="10" t="s">
        <v>1371</v>
      </c>
      <c r="H204" s="10">
        <v>4351190</v>
      </c>
      <c r="I204" s="10">
        <v>4353456</v>
      </c>
      <c r="J204" s="10" t="s">
        <v>1214</v>
      </c>
      <c r="K204" s="10" t="s">
        <v>1214</v>
      </c>
      <c r="L204" s="10" t="s">
        <v>1214</v>
      </c>
      <c r="M204" s="10" t="s">
        <v>1214</v>
      </c>
      <c r="N204" s="10" t="s">
        <v>105</v>
      </c>
      <c r="O204" s="10" t="s">
        <v>1214</v>
      </c>
      <c r="P204" s="10" t="s">
        <v>1214</v>
      </c>
      <c r="Q204" s="10" t="s">
        <v>1214</v>
      </c>
      <c r="R204" s="10" t="s">
        <v>1214</v>
      </c>
      <c r="S204" s="10" t="s">
        <v>61</v>
      </c>
    </row>
    <row r="205" spans="1:19" ht="43.5" x14ac:dyDescent="0.35">
      <c r="A205" s="14">
        <v>46022</v>
      </c>
      <c r="B205" s="10" t="s">
        <v>240</v>
      </c>
      <c r="C205" s="10" t="s">
        <v>241</v>
      </c>
      <c r="D205" s="10" t="s">
        <v>962</v>
      </c>
      <c r="E205" s="10">
        <v>4353456</v>
      </c>
      <c r="F205" s="15">
        <v>13</v>
      </c>
      <c r="G205" s="10" t="s">
        <v>1371</v>
      </c>
      <c r="H205" s="10">
        <v>4351190</v>
      </c>
      <c r="I205" s="10">
        <v>4353456</v>
      </c>
      <c r="J205" s="10" t="s">
        <v>1214</v>
      </c>
      <c r="K205" s="10" t="s">
        <v>1214</v>
      </c>
      <c r="L205" s="10" t="s">
        <v>1214</v>
      </c>
      <c r="M205" s="10" t="s">
        <v>1214</v>
      </c>
      <c r="N205" s="10" t="s">
        <v>105</v>
      </c>
      <c r="O205" s="10" t="s">
        <v>1214</v>
      </c>
      <c r="P205" s="10" t="s">
        <v>1214</v>
      </c>
      <c r="Q205" s="10" t="s">
        <v>1214</v>
      </c>
      <c r="R205" s="10" t="s">
        <v>1214</v>
      </c>
      <c r="S205" s="10" t="s">
        <v>61</v>
      </c>
    </row>
    <row r="206" spans="1:19" ht="58" x14ac:dyDescent="0.35">
      <c r="A206" s="14">
        <v>46022</v>
      </c>
      <c r="B206" s="10" t="s">
        <v>738</v>
      </c>
      <c r="C206" s="10" t="s">
        <v>739</v>
      </c>
      <c r="D206" s="10" t="s">
        <v>1053</v>
      </c>
      <c r="E206" s="10">
        <v>4351190</v>
      </c>
      <c r="F206" s="15">
        <v>100</v>
      </c>
      <c r="G206" s="10" t="s">
        <v>1372</v>
      </c>
      <c r="H206" s="10">
        <v>4351190</v>
      </c>
      <c r="I206" s="10" t="s">
        <v>1194</v>
      </c>
      <c r="J206" s="10" t="s">
        <v>1214</v>
      </c>
      <c r="K206" s="10" t="s">
        <v>1214</v>
      </c>
      <c r="L206" s="10" t="s">
        <v>1214</v>
      </c>
      <c r="M206" s="10" t="s">
        <v>1214</v>
      </c>
      <c r="N206" s="10" t="s">
        <v>105</v>
      </c>
      <c r="O206" s="10" t="s">
        <v>1214</v>
      </c>
      <c r="P206" s="10" t="s">
        <v>1214</v>
      </c>
      <c r="Q206" s="10" t="s">
        <v>1214</v>
      </c>
      <c r="R206" s="10" t="s">
        <v>1214</v>
      </c>
      <c r="S206" s="10" t="s">
        <v>61</v>
      </c>
    </row>
    <row r="207" spans="1:19" ht="58" x14ac:dyDescent="0.35">
      <c r="A207" s="14">
        <v>46022</v>
      </c>
      <c r="B207" s="10" t="s">
        <v>396</v>
      </c>
      <c r="C207" s="10" t="s">
        <v>397</v>
      </c>
      <c r="D207" s="10" t="s">
        <v>981</v>
      </c>
      <c r="E207" s="10">
        <v>4120225</v>
      </c>
      <c r="F207" s="15">
        <v>50</v>
      </c>
      <c r="G207" s="10" t="s">
        <v>1373</v>
      </c>
      <c r="H207" s="10">
        <v>4120225</v>
      </c>
      <c r="I207" s="10">
        <v>4351955</v>
      </c>
      <c r="J207" s="10" t="s">
        <v>1214</v>
      </c>
      <c r="K207" s="10" t="s">
        <v>1214</v>
      </c>
      <c r="L207" s="10" t="s">
        <v>1214</v>
      </c>
      <c r="M207" s="10" t="s">
        <v>1214</v>
      </c>
      <c r="N207" s="10" t="s">
        <v>222</v>
      </c>
      <c r="O207" s="10" t="s">
        <v>398</v>
      </c>
      <c r="P207" s="10" t="s">
        <v>398</v>
      </c>
      <c r="Q207" s="10" t="s">
        <v>1374</v>
      </c>
      <c r="R207" s="10" t="s">
        <v>398</v>
      </c>
      <c r="S207" s="10" t="s">
        <v>398</v>
      </c>
    </row>
    <row r="208" spans="1:19" ht="72.5" x14ac:dyDescent="0.35">
      <c r="A208" s="14">
        <v>46022</v>
      </c>
      <c r="B208" s="10" t="s">
        <v>396</v>
      </c>
      <c r="C208" s="10" t="s">
        <v>397</v>
      </c>
      <c r="D208" s="10" t="s">
        <v>1054</v>
      </c>
      <c r="E208" s="10">
        <v>4351955</v>
      </c>
      <c r="F208" s="15">
        <v>50</v>
      </c>
      <c r="G208" s="10" t="s">
        <v>1373</v>
      </c>
      <c r="H208" s="10">
        <v>4120225</v>
      </c>
      <c r="I208" s="10">
        <v>4351955</v>
      </c>
      <c r="J208" s="10" t="s">
        <v>1214</v>
      </c>
      <c r="K208" s="10" t="s">
        <v>1214</v>
      </c>
      <c r="L208" s="10" t="s">
        <v>1214</v>
      </c>
      <c r="M208" s="10" t="s">
        <v>1214</v>
      </c>
      <c r="N208" s="10" t="s">
        <v>222</v>
      </c>
      <c r="O208" s="10" t="s">
        <v>398</v>
      </c>
      <c r="P208" s="10" t="s">
        <v>398</v>
      </c>
      <c r="Q208" s="10" t="s">
        <v>1374</v>
      </c>
      <c r="R208" s="10" t="s">
        <v>398</v>
      </c>
      <c r="S208" s="10" t="s">
        <v>398</v>
      </c>
    </row>
    <row r="209" spans="1:19" ht="101.5" x14ac:dyDescent="0.35">
      <c r="A209" s="14">
        <v>46022</v>
      </c>
      <c r="B209" s="10" t="s">
        <v>292</v>
      </c>
      <c r="C209" s="10" t="s">
        <v>293</v>
      </c>
      <c r="D209" s="10" t="s">
        <v>1055</v>
      </c>
      <c r="E209" s="10">
        <v>4349139</v>
      </c>
      <c r="F209" s="15">
        <v>100</v>
      </c>
      <c r="G209" s="10" t="s">
        <v>1375</v>
      </c>
      <c r="H209" s="10">
        <v>4349139</v>
      </c>
      <c r="I209" s="10" t="s">
        <v>1194</v>
      </c>
      <c r="J209" s="10" t="s">
        <v>1292</v>
      </c>
      <c r="K209" s="10" t="s">
        <v>61</v>
      </c>
      <c r="L209" s="10" t="s">
        <v>1376</v>
      </c>
      <c r="M209" s="10" t="s">
        <v>1252</v>
      </c>
      <c r="N209" s="10" t="s">
        <v>222</v>
      </c>
      <c r="O209" s="10" t="s">
        <v>1214</v>
      </c>
      <c r="P209" s="10" t="s">
        <v>1214</v>
      </c>
      <c r="Q209" s="10" t="s">
        <v>1214</v>
      </c>
      <c r="R209" s="10" t="s">
        <v>1214</v>
      </c>
      <c r="S209" s="10" t="s">
        <v>61</v>
      </c>
    </row>
    <row r="210" spans="1:19" ht="72.5" x14ac:dyDescent="0.35">
      <c r="A210" s="14">
        <v>46022</v>
      </c>
      <c r="B210" s="10" t="s">
        <v>294</v>
      </c>
      <c r="C210" s="10" t="s">
        <v>295</v>
      </c>
      <c r="D210" s="10" t="s">
        <v>1056</v>
      </c>
      <c r="E210" s="10">
        <v>4355632</v>
      </c>
      <c r="F210" s="15">
        <v>55</v>
      </c>
      <c r="G210" s="10" t="s">
        <v>1377</v>
      </c>
      <c r="H210" s="10">
        <v>4355632</v>
      </c>
      <c r="I210" s="10">
        <v>4400798</v>
      </c>
      <c r="J210" s="10" t="s">
        <v>1292</v>
      </c>
      <c r="K210" s="10" t="s">
        <v>61</v>
      </c>
      <c r="L210" s="10" t="s">
        <v>1378</v>
      </c>
      <c r="M210" s="10" t="s">
        <v>61</v>
      </c>
      <c r="N210" s="10" t="s">
        <v>61</v>
      </c>
      <c r="O210" s="10" t="s">
        <v>1214</v>
      </c>
      <c r="P210" s="10" t="s">
        <v>1214</v>
      </c>
      <c r="Q210" s="10" t="s">
        <v>1214</v>
      </c>
      <c r="R210" s="10" t="s">
        <v>1214</v>
      </c>
      <c r="S210" s="10" t="s">
        <v>79</v>
      </c>
    </row>
    <row r="211" spans="1:19" ht="159.5" x14ac:dyDescent="0.35">
      <c r="A211" s="14">
        <v>46022</v>
      </c>
      <c r="B211" s="10" t="s">
        <v>242</v>
      </c>
      <c r="C211" s="10" t="s">
        <v>243</v>
      </c>
      <c r="D211" s="10" t="s">
        <v>1057</v>
      </c>
      <c r="E211" s="10">
        <v>4351437</v>
      </c>
      <c r="F211" s="15">
        <v>100</v>
      </c>
      <c r="G211" s="10" t="s">
        <v>1379</v>
      </c>
      <c r="H211" s="10">
        <v>4351437</v>
      </c>
      <c r="I211" s="10" t="s">
        <v>1194</v>
      </c>
      <c r="J211" s="10" t="s">
        <v>1380</v>
      </c>
      <c r="K211" s="10" t="s">
        <v>61</v>
      </c>
      <c r="L211" s="10" t="s">
        <v>1380</v>
      </c>
      <c r="M211" s="10" t="s">
        <v>61</v>
      </c>
      <c r="N211" s="10" t="s">
        <v>61</v>
      </c>
      <c r="O211" s="10" t="s">
        <v>1214</v>
      </c>
      <c r="P211" s="10" t="s">
        <v>1214</v>
      </c>
      <c r="Q211" s="10" t="s">
        <v>1214</v>
      </c>
      <c r="R211" s="10" t="s">
        <v>1214</v>
      </c>
      <c r="S211" s="10" t="s">
        <v>61</v>
      </c>
    </row>
    <row r="212" spans="1:19" ht="29" x14ac:dyDescent="0.35">
      <c r="A212" s="14">
        <v>46022</v>
      </c>
      <c r="B212" s="10" t="s">
        <v>244</v>
      </c>
      <c r="C212" s="10" t="s">
        <v>245</v>
      </c>
      <c r="D212" s="10" t="s">
        <v>962</v>
      </c>
      <c r="E212" s="10">
        <v>4353456</v>
      </c>
      <c r="F212" s="15">
        <v>100</v>
      </c>
      <c r="G212" s="10" t="s">
        <v>1296</v>
      </c>
      <c r="H212" s="10">
        <v>4353456</v>
      </c>
      <c r="I212" s="10" t="s">
        <v>1194</v>
      </c>
      <c r="J212" s="10" t="s">
        <v>1214</v>
      </c>
      <c r="K212" s="10" t="s">
        <v>1214</v>
      </c>
      <c r="L212" s="10" t="s">
        <v>1214</v>
      </c>
      <c r="M212" s="10" t="s">
        <v>1214</v>
      </c>
      <c r="N212" s="10" t="s">
        <v>61</v>
      </c>
      <c r="O212" s="10" t="s">
        <v>1214</v>
      </c>
      <c r="P212" s="10" t="s">
        <v>1214</v>
      </c>
      <c r="Q212" s="10" t="s">
        <v>1214</v>
      </c>
      <c r="R212" s="10" t="s">
        <v>1214</v>
      </c>
      <c r="S212" s="10" t="s">
        <v>61</v>
      </c>
    </row>
    <row r="213" spans="1:19" ht="72.5" x14ac:dyDescent="0.35">
      <c r="A213" s="14">
        <v>46022</v>
      </c>
      <c r="B213" s="10" t="s">
        <v>740</v>
      </c>
      <c r="C213" s="10" t="s">
        <v>741</v>
      </c>
      <c r="D213" s="10" t="s">
        <v>1058</v>
      </c>
      <c r="E213" s="10">
        <v>10947965</v>
      </c>
      <c r="F213" s="15">
        <v>100</v>
      </c>
      <c r="G213" s="10" t="s">
        <v>1381</v>
      </c>
      <c r="H213" s="10">
        <v>10947965</v>
      </c>
      <c r="I213" s="10" t="s">
        <v>1194</v>
      </c>
      <c r="J213" s="10" t="s">
        <v>1214</v>
      </c>
      <c r="K213" s="10" t="s">
        <v>1214</v>
      </c>
      <c r="L213" s="10" t="s">
        <v>1214</v>
      </c>
      <c r="M213" s="10" t="s">
        <v>1214</v>
      </c>
      <c r="N213" s="10" t="s">
        <v>61</v>
      </c>
      <c r="O213" s="10" t="s">
        <v>1214</v>
      </c>
      <c r="P213" s="10" t="s">
        <v>1214</v>
      </c>
      <c r="Q213" s="10" t="s">
        <v>1214</v>
      </c>
      <c r="R213" s="10" t="s">
        <v>1214</v>
      </c>
      <c r="S213" s="10" t="s">
        <v>61</v>
      </c>
    </row>
    <row r="214" spans="1:19" ht="72.5" x14ac:dyDescent="0.35">
      <c r="A214" s="14">
        <v>46022</v>
      </c>
      <c r="B214" s="10" t="s">
        <v>430</v>
      </c>
      <c r="C214" s="10" t="s">
        <v>431</v>
      </c>
      <c r="D214" s="10" t="s">
        <v>1059</v>
      </c>
      <c r="E214" s="10">
        <v>10931001</v>
      </c>
      <c r="F214" s="15">
        <v>100</v>
      </c>
      <c r="G214" s="10" t="s">
        <v>1382</v>
      </c>
      <c r="H214" s="10">
        <v>10931001</v>
      </c>
      <c r="I214" s="10" t="s">
        <v>1194</v>
      </c>
      <c r="J214" s="10" t="s">
        <v>1214</v>
      </c>
      <c r="K214" s="10" t="s">
        <v>1214</v>
      </c>
      <c r="L214" s="10" t="s">
        <v>1214</v>
      </c>
      <c r="M214" s="10" t="s">
        <v>1214</v>
      </c>
      <c r="N214" s="10" t="s">
        <v>61</v>
      </c>
      <c r="O214" s="10" t="s">
        <v>1214</v>
      </c>
      <c r="P214" s="10" t="s">
        <v>1214</v>
      </c>
      <c r="Q214" s="10" t="s">
        <v>1214</v>
      </c>
      <c r="R214" s="10" t="s">
        <v>1214</v>
      </c>
      <c r="S214" s="10" t="s">
        <v>61</v>
      </c>
    </row>
    <row r="215" spans="1:19" ht="72.5" x14ac:dyDescent="0.35">
      <c r="A215" s="14">
        <v>46022</v>
      </c>
      <c r="B215" s="10" t="s">
        <v>432</v>
      </c>
      <c r="C215" s="10" t="s">
        <v>433</v>
      </c>
      <c r="D215" s="10" t="s">
        <v>1060</v>
      </c>
      <c r="E215" s="10">
        <v>10929924</v>
      </c>
      <c r="F215" s="15">
        <v>100</v>
      </c>
      <c r="G215" s="10" t="s">
        <v>1383</v>
      </c>
      <c r="H215" s="10">
        <v>10929924</v>
      </c>
      <c r="I215" s="10" t="s">
        <v>1194</v>
      </c>
      <c r="J215" s="10" t="s">
        <v>1214</v>
      </c>
      <c r="K215" s="10" t="s">
        <v>1214</v>
      </c>
      <c r="L215" s="10" t="s">
        <v>1214</v>
      </c>
      <c r="M215" s="10" t="s">
        <v>1214</v>
      </c>
      <c r="N215" s="10" t="s">
        <v>61</v>
      </c>
      <c r="O215" s="10" t="s">
        <v>1214</v>
      </c>
      <c r="P215" s="10" t="s">
        <v>1214</v>
      </c>
      <c r="Q215" s="10" t="s">
        <v>1214</v>
      </c>
      <c r="R215" s="10" t="s">
        <v>1214</v>
      </c>
      <c r="S215" s="10" t="s">
        <v>61</v>
      </c>
    </row>
    <row r="216" spans="1:19" ht="87" x14ac:dyDescent="0.35">
      <c r="A216" s="14">
        <v>46022</v>
      </c>
      <c r="B216" s="10" t="s">
        <v>246</v>
      </c>
      <c r="C216" s="10" t="s">
        <v>247</v>
      </c>
      <c r="D216" s="10" t="s">
        <v>1061</v>
      </c>
      <c r="E216" s="10">
        <v>10931172</v>
      </c>
      <c r="F216" s="15">
        <v>100</v>
      </c>
      <c r="G216" s="10" t="s">
        <v>1384</v>
      </c>
      <c r="H216" s="10">
        <v>10931172</v>
      </c>
      <c r="I216" s="10" t="s">
        <v>1194</v>
      </c>
      <c r="J216" s="10" t="s">
        <v>1214</v>
      </c>
      <c r="K216" s="10" t="s">
        <v>1214</v>
      </c>
      <c r="L216" s="10" t="s">
        <v>1214</v>
      </c>
      <c r="M216" s="10" t="s">
        <v>1214</v>
      </c>
      <c r="N216" s="10" t="s">
        <v>61</v>
      </c>
      <c r="O216" s="10" t="s">
        <v>1214</v>
      </c>
      <c r="P216" s="10" t="s">
        <v>1214</v>
      </c>
      <c r="Q216" s="10" t="s">
        <v>1214</v>
      </c>
      <c r="R216" s="10" t="s">
        <v>1214</v>
      </c>
      <c r="S216" s="10" t="s">
        <v>61</v>
      </c>
    </row>
    <row r="217" spans="1:19" ht="72.5" x14ac:dyDescent="0.35">
      <c r="A217" s="14">
        <v>46022</v>
      </c>
      <c r="B217" s="10" t="s">
        <v>296</v>
      </c>
      <c r="C217" s="10" t="s">
        <v>297</v>
      </c>
      <c r="D217" s="10" t="s">
        <v>1000</v>
      </c>
      <c r="E217" s="10">
        <v>4349204</v>
      </c>
      <c r="F217" s="15">
        <v>100</v>
      </c>
      <c r="G217" s="10" t="s">
        <v>1385</v>
      </c>
      <c r="H217" s="10">
        <v>4349204</v>
      </c>
      <c r="I217" s="10" t="s">
        <v>1194</v>
      </c>
      <c r="J217" s="10" t="s">
        <v>1214</v>
      </c>
      <c r="K217" s="10" t="s">
        <v>1214</v>
      </c>
      <c r="L217" s="10" t="s">
        <v>1214</v>
      </c>
      <c r="M217" s="10" t="s">
        <v>1214</v>
      </c>
      <c r="N217" s="10" t="s">
        <v>50</v>
      </c>
      <c r="O217" s="10" t="s">
        <v>1214</v>
      </c>
      <c r="P217" s="10" t="s">
        <v>1214</v>
      </c>
      <c r="Q217" s="10" t="s">
        <v>1214</v>
      </c>
      <c r="R217" s="10" t="s">
        <v>1214</v>
      </c>
      <c r="S217" s="10" t="s">
        <v>61</v>
      </c>
    </row>
    <row r="218" spans="1:19" ht="43.5" x14ac:dyDescent="0.35">
      <c r="A218" s="14">
        <v>46022</v>
      </c>
      <c r="B218" s="10" t="s">
        <v>248</v>
      </c>
      <c r="C218" s="10" t="s">
        <v>249</v>
      </c>
      <c r="D218" s="10" t="s">
        <v>1062</v>
      </c>
      <c r="E218" s="10">
        <v>4494844</v>
      </c>
      <c r="F218" s="15">
        <v>100</v>
      </c>
      <c r="G218" s="10" t="s">
        <v>1386</v>
      </c>
      <c r="H218" s="10">
        <v>4494844</v>
      </c>
      <c r="I218" s="10" t="s">
        <v>1194</v>
      </c>
      <c r="J218" s="10" t="s">
        <v>1214</v>
      </c>
      <c r="K218" s="10" t="s">
        <v>1214</v>
      </c>
      <c r="L218" s="10" t="s">
        <v>1214</v>
      </c>
      <c r="M218" s="10" t="s">
        <v>1214</v>
      </c>
      <c r="N218" s="10" t="s">
        <v>222</v>
      </c>
      <c r="O218" s="10" t="s">
        <v>1214</v>
      </c>
      <c r="P218" s="10" t="s">
        <v>1214</v>
      </c>
      <c r="Q218" s="10" t="s">
        <v>1214</v>
      </c>
      <c r="R218" s="10" t="s">
        <v>1214</v>
      </c>
      <c r="S218" s="10" t="s">
        <v>61</v>
      </c>
    </row>
    <row r="219" spans="1:19" ht="87" x14ac:dyDescent="0.35">
      <c r="A219" s="14">
        <v>46022</v>
      </c>
      <c r="B219" s="10" t="s">
        <v>434</v>
      </c>
      <c r="C219" s="10" t="s">
        <v>435</v>
      </c>
      <c r="D219" s="10" t="s">
        <v>941</v>
      </c>
      <c r="E219" s="10">
        <v>4355482</v>
      </c>
      <c r="F219" s="15">
        <v>100</v>
      </c>
      <c r="G219" s="10" t="s">
        <v>1220</v>
      </c>
      <c r="H219" s="10">
        <v>4355482</v>
      </c>
      <c r="I219" s="10" t="s">
        <v>1194</v>
      </c>
      <c r="J219" s="10" t="s">
        <v>1221</v>
      </c>
      <c r="K219" s="10" t="s">
        <v>61</v>
      </c>
      <c r="L219" s="10" t="s">
        <v>1221</v>
      </c>
      <c r="M219" s="10" t="s">
        <v>61</v>
      </c>
      <c r="N219" s="10" t="s">
        <v>61</v>
      </c>
      <c r="O219" s="10" t="s">
        <v>1214</v>
      </c>
      <c r="P219" s="10" t="s">
        <v>1214</v>
      </c>
      <c r="Q219" s="10" t="s">
        <v>1214</v>
      </c>
      <c r="R219" s="10" t="s">
        <v>1214</v>
      </c>
      <c r="S219" s="10" t="s">
        <v>61</v>
      </c>
    </row>
    <row r="220" spans="1:19" ht="87" x14ac:dyDescent="0.35">
      <c r="A220" s="14">
        <v>46022</v>
      </c>
      <c r="B220" s="10" t="s">
        <v>251</v>
      </c>
      <c r="C220" s="10" t="s">
        <v>252</v>
      </c>
      <c r="D220" s="10" t="s">
        <v>1063</v>
      </c>
      <c r="E220" s="10">
        <v>4649760</v>
      </c>
      <c r="F220" s="15">
        <v>85</v>
      </c>
      <c r="G220" s="10" t="s">
        <v>1387</v>
      </c>
      <c r="H220" s="10">
        <v>4649760</v>
      </c>
      <c r="I220" s="10">
        <v>4567062</v>
      </c>
      <c r="J220" s="10" t="s">
        <v>1214</v>
      </c>
      <c r="K220" s="10" t="s">
        <v>1214</v>
      </c>
      <c r="L220" s="10" t="s">
        <v>1214</v>
      </c>
      <c r="M220" s="10" t="s">
        <v>1214</v>
      </c>
      <c r="N220" s="10" t="s">
        <v>61</v>
      </c>
      <c r="O220" s="10" t="s">
        <v>1214</v>
      </c>
      <c r="P220" s="10" t="s">
        <v>1214</v>
      </c>
      <c r="Q220" s="10" t="s">
        <v>1214</v>
      </c>
      <c r="R220" s="10" t="s">
        <v>1214</v>
      </c>
      <c r="S220" s="10" t="s">
        <v>213</v>
      </c>
    </row>
    <row r="221" spans="1:19" ht="87" x14ac:dyDescent="0.35">
      <c r="A221" s="14">
        <v>46022</v>
      </c>
      <c r="B221" s="10" t="s">
        <v>251</v>
      </c>
      <c r="C221" s="10" t="s">
        <v>252</v>
      </c>
      <c r="D221" s="10" t="s">
        <v>213</v>
      </c>
      <c r="E221" s="10">
        <v>4350734</v>
      </c>
      <c r="F221" s="15">
        <v>5</v>
      </c>
      <c r="G221" s="10" t="s">
        <v>1387</v>
      </c>
      <c r="H221" s="10">
        <v>4649760</v>
      </c>
      <c r="I221" s="10">
        <v>4567062</v>
      </c>
      <c r="J221" s="10" t="s">
        <v>1214</v>
      </c>
      <c r="K221" s="10" t="s">
        <v>1214</v>
      </c>
      <c r="L221" s="10" t="s">
        <v>1214</v>
      </c>
      <c r="M221" s="10" t="s">
        <v>1214</v>
      </c>
      <c r="N221" s="10" t="s">
        <v>61</v>
      </c>
      <c r="O221" s="10" t="s">
        <v>1214</v>
      </c>
      <c r="P221" s="10" t="s">
        <v>1214</v>
      </c>
      <c r="Q221" s="10" t="s">
        <v>1214</v>
      </c>
      <c r="R221" s="10" t="s">
        <v>1214</v>
      </c>
      <c r="S221" s="10" t="s">
        <v>213</v>
      </c>
    </row>
    <row r="222" spans="1:19" ht="116" x14ac:dyDescent="0.35">
      <c r="A222" s="14">
        <v>46022</v>
      </c>
      <c r="B222" s="10" t="s">
        <v>251</v>
      </c>
      <c r="C222" s="10" t="s">
        <v>252</v>
      </c>
      <c r="D222" s="10" t="s">
        <v>1064</v>
      </c>
      <c r="E222" s="10">
        <v>4567062</v>
      </c>
      <c r="F222" s="15">
        <v>10</v>
      </c>
      <c r="G222" s="10" t="s">
        <v>1387</v>
      </c>
      <c r="H222" s="10">
        <v>4649760</v>
      </c>
      <c r="I222" s="10">
        <v>4567062</v>
      </c>
      <c r="J222" s="10" t="s">
        <v>1214</v>
      </c>
      <c r="K222" s="10" t="s">
        <v>1214</v>
      </c>
      <c r="L222" s="10" t="s">
        <v>1214</v>
      </c>
      <c r="M222" s="10" t="s">
        <v>1214</v>
      </c>
      <c r="N222" s="10" t="s">
        <v>61</v>
      </c>
      <c r="O222" s="10" t="s">
        <v>1214</v>
      </c>
      <c r="P222" s="10" t="s">
        <v>1214</v>
      </c>
      <c r="Q222" s="10" t="s">
        <v>1214</v>
      </c>
      <c r="R222" s="10" t="s">
        <v>1214</v>
      </c>
      <c r="S222" s="10" t="s">
        <v>213</v>
      </c>
    </row>
    <row r="223" spans="1:19" ht="87" x14ac:dyDescent="0.35">
      <c r="A223" s="14">
        <v>46022</v>
      </c>
      <c r="B223" s="10" t="s">
        <v>742</v>
      </c>
      <c r="C223" s="10" t="s">
        <v>743</v>
      </c>
      <c r="D223" s="10" t="s">
        <v>1065</v>
      </c>
      <c r="E223" s="10">
        <v>4591875</v>
      </c>
      <c r="F223" s="15">
        <v>0.8</v>
      </c>
      <c r="G223" s="10" t="s">
        <v>1388</v>
      </c>
      <c r="H223" s="10">
        <v>4351368</v>
      </c>
      <c r="I223" s="10">
        <v>4355642</v>
      </c>
      <c r="J223" s="10" t="s">
        <v>1214</v>
      </c>
      <c r="K223" s="10" t="s">
        <v>1214</v>
      </c>
      <c r="L223" s="10" t="s">
        <v>1214</v>
      </c>
      <c r="M223" s="10" t="s">
        <v>1214</v>
      </c>
      <c r="N223" s="10" t="s">
        <v>222</v>
      </c>
      <c r="O223" s="10" t="s">
        <v>1214</v>
      </c>
      <c r="P223" s="10" t="s">
        <v>1214</v>
      </c>
      <c r="Q223" s="10" t="s">
        <v>1214</v>
      </c>
      <c r="R223" s="10" t="s">
        <v>1214</v>
      </c>
      <c r="S223" s="10" t="s">
        <v>61</v>
      </c>
    </row>
    <row r="224" spans="1:19" ht="87" x14ac:dyDescent="0.35">
      <c r="A224" s="14">
        <v>46022</v>
      </c>
      <c r="B224" s="10" t="s">
        <v>742</v>
      </c>
      <c r="C224" s="10" t="s">
        <v>743</v>
      </c>
      <c r="D224" s="10" t="s">
        <v>213</v>
      </c>
      <c r="E224" s="10">
        <v>4350734</v>
      </c>
      <c r="F224" s="15">
        <v>20</v>
      </c>
      <c r="G224" s="10" t="s">
        <v>1388</v>
      </c>
      <c r="H224" s="10">
        <v>4351368</v>
      </c>
      <c r="I224" s="10">
        <v>4355642</v>
      </c>
      <c r="J224" s="10" t="s">
        <v>1214</v>
      </c>
      <c r="K224" s="10" t="s">
        <v>1214</v>
      </c>
      <c r="L224" s="10" t="s">
        <v>1214</v>
      </c>
      <c r="M224" s="10" t="s">
        <v>1214</v>
      </c>
      <c r="N224" s="10" t="s">
        <v>222</v>
      </c>
      <c r="O224" s="10" t="s">
        <v>1214</v>
      </c>
      <c r="P224" s="10" t="s">
        <v>1214</v>
      </c>
      <c r="Q224" s="10" t="s">
        <v>1214</v>
      </c>
      <c r="R224" s="10" t="s">
        <v>1214</v>
      </c>
      <c r="S224" s="10" t="s">
        <v>61</v>
      </c>
    </row>
    <row r="225" spans="1:19" ht="87" x14ac:dyDescent="0.35">
      <c r="A225" s="14">
        <v>46022</v>
      </c>
      <c r="B225" s="10" t="s">
        <v>742</v>
      </c>
      <c r="C225" s="10" t="s">
        <v>743</v>
      </c>
      <c r="D225" s="10" t="s">
        <v>1066</v>
      </c>
      <c r="E225" s="10">
        <v>4351368</v>
      </c>
      <c r="F225" s="15">
        <v>39.6</v>
      </c>
      <c r="G225" s="10" t="s">
        <v>1388</v>
      </c>
      <c r="H225" s="10">
        <v>4351368</v>
      </c>
      <c r="I225" s="10">
        <v>4355642</v>
      </c>
      <c r="J225" s="10" t="s">
        <v>1214</v>
      </c>
      <c r="K225" s="10" t="s">
        <v>1214</v>
      </c>
      <c r="L225" s="10" t="s">
        <v>1214</v>
      </c>
      <c r="M225" s="10" t="s">
        <v>1214</v>
      </c>
      <c r="N225" s="10" t="s">
        <v>222</v>
      </c>
      <c r="O225" s="10" t="s">
        <v>1214</v>
      </c>
      <c r="P225" s="10" t="s">
        <v>1214</v>
      </c>
      <c r="Q225" s="10" t="s">
        <v>1214</v>
      </c>
      <c r="R225" s="10" t="s">
        <v>1214</v>
      </c>
      <c r="S225" s="10" t="s">
        <v>61</v>
      </c>
    </row>
    <row r="226" spans="1:19" ht="87" x14ac:dyDescent="0.35">
      <c r="A226" s="14">
        <v>46022</v>
      </c>
      <c r="B226" s="10" t="s">
        <v>742</v>
      </c>
      <c r="C226" s="10" t="s">
        <v>743</v>
      </c>
      <c r="D226" s="10" t="s">
        <v>958</v>
      </c>
      <c r="E226" s="10">
        <v>4355642</v>
      </c>
      <c r="F226" s="15">
        <v>39.6</v>
      </c>
      <c r="G226" s="10" t="s">
        <v>1388</v>
      </c>
      <c r="H226" s="10">
        <v>4351368</v>
      </c>
      <c r="I226" s="10">
        <v>4355642</v>
      </c>
      <c r="J226" s="10" t="s">
        <v>1214</v>
      </c>
      <c r="K226" s="10" t="s">
        <v>1214</v>
      </c>
      <c r="L226" s="10" t="s">
        <v>1214</v>
      </c>
      <c r="M226" s="10" t="s">
        <v>1214</v>
      </c>
      <c r="N226" s="10" t="s">
        <v>222</v>
      </c>
      <c r="O226" s="10" t="s">
        <v>1214</v>
      </c>
      <c r="P226" s="10" t="s">
        <v>1214</v>
      </c>
      <c r="Q226" s="10" t="s">
        <v>1214</v>
      </c>
      <c r="R226" s="10" t="s">
        <v>1214</v>
      </c>
      <c r="S226" s="10" t="s">
        <v>61</v>
      </c>
    </row>
    <row r="227" spans="1:19" ht="43.5" x14ac:dyDescent="0.35">
      <c r="A227" s="14">
        <v>46022</v>
      </c>
      <c r="B227" s="10" t="s">
        <v>326</v>
      </c>
      <c r="C227" s="10" t="s">
        <v>327</v>
      </c>
      <c r="D227" s="10" t="s">
        <v>213</v>
      </c>
      <c r="E227" s="10">
        <v>4350734</v>
      </c>
      <c r="F227" s="15">
        <v>25</v>
      </c>
      <c r="G227" s="10" t="s">
        <v>1389</v>
      </c>
      <c r="H227" s="10">
        <v>4113732</v>
      </c>
      <c r="I227" s="10">
        <v>4350734</v>
      </c>
      <c r="J227" s="10" t="s">
        <v>1214</v>
      </c>
      <c r="K227" s="10" t="s">
        <v>1214</v>
      </c>
      <c r="L227" s="10" t="s">
        <v>1214</v>
      </c>
      <c r="M227" s="10" t="s">
        <v>1214</v>
      </c>
      <c r="N227" s="10" t="s">
        <v>1228</v>
      </c>
      <c r="O227" s="10" t="s">
        <v>1214</v>
      </c>
      <c r="P227" s="10" t="s">
        <v>1214</v>
      </c>
      <c r="Q227" s="10" t="s">
        <v>1214</v>
      </c>
      <c r="R227" s="10" t="s">
        <v>1214</v>
      </c>
      <c r="S227" s="10" t="s">
        <v>213</v>
      </c>
    </row>
    <row r="228" spans="1:19" ht="43.5" x14ac:dyDescent="0.35">
      <c r="A228" s="14">
        <v>46022</v>
      </c>
      <c r="B228" s="10" t="s">
        <v>326</v>
      </c>
      <c r="C228" s="10" t="s">
        <v>327</v>
      </c>
      <c r="D228" s="10" t="s">
        <v>948</v>
      </c>
      <c r="E228" s="10">
        <v>4113732</v>
      </c>
      <c r="F228" s="15">
        <v>75</v>
      </c>
      <c r="G228" s="10" t="s">
        <v>1389</v>
      </c>
      <c r="H228" s="10">
        <v>4113732</v>
      </c>
      <c r="I228" s="10">
        <v>4350734</v>
      </c>
      <c r="J228" s="10" t="s">
        <v>1214</v>
      </c>
      <c r="K228" s="10" t="s">
        <v>1214</v>
      </c>
      <c r="L228" s="10" t="s">
        <v>1214</v>
      </c>
      <c r="M228" s="10" t="s">
        <v>1214</v>
      </c>
      <c r="N228" s="10" t="s">
        <v>1228</v>
      </c>
      <c r="O228" s="10" t="s">
        <v>1214</v>
      </c>
      <c r="P228" s="10" t="s">
        <v>1214</v>
      </c>
      <c r="Q228" s="10" t="s">
        <v>1214</v>
      </c>
      <c r="R228" s="10" t="s">
        <v>1214</v>
      </c>
      <c r="S228" s="10" t="s">
        <v>213</v>
      </c>
    </row>
    <row r="229" spans="1:19" ht="43.5" x14ac:dyDescent="0.35">
      <c r="A229" s="14">
        <v>46022</v>
      </c>
      <c r="B229" s="10" t="s">
        <v>328</v>
      </c>
      <c r="C229" s="10" t="s">
        <v>329</v>
      </c>
      <c r="D229" s="10" t="s">
        <v>1067</v>
      </c>
      <c r="E229" s="10">
        <v>4351054</v>
      </c>
      <c r="F229" s="15">
        <v>100</v>
      </c>
      <c r="G229" s="10" t="s">
        <v>1390</v>
      </c>
      <c r="H229" s="10">
        <v>4351054</v>
      </c>
      <c r="I229" s="10" t="s">
        <v>1194</v>
      </c>
      <c r="J229" s="10" t="s">
        <v>1214</v>
      </c>
      <c r="K229" s="10" t="s">
        <v>1214</v>
      </c>
      <c r="L229" s="10" t="s">
        <v>1214</v>
      </c>
      <c r="M229" s="10" t="s">
        <v>1214</v>
      </c>
      <c r="N229" s="10" t="s">
        <v>89</v>
      </c>
      <c r="O229" s="10" t="s">
        <v>1214</v>
      </c>
      <c r="P229" s="10" t="s">
        <v>1214</v>
      </c>
      <c r="Q229" s="10" t="s">
        <v>1214</v>
      </c>
      <c r="R229" s="10" t="s">
        <v>1214</v>
      </c>
      <c r="S229" s="10" t="s">
        <v>61</v>
      </c>
    </row>
    <row r="230" spans="1:19" ht="101.5" x14ac:dyDescent="0.35">
      <c r="A230" s="14">
        <v>46022</v>
      </c>
      <c r="B230" s="10" t="s">
        <v>744</v>
      </c>
      <c r="C230" s="10" t="s">
        <v>745</v>
      </c>
      <c r="D230" s="10" t="s">
        <v>995</v>
      </c>
      <c r="E230" s="10">
        <v>4350215</v>
      </c>
      <c r="F230" s="15">
        <v>80</v>
      </c>
      <c r="G230" s="10" t="s">
        <v>1391</v>
      </c>
      <c r="H230" s="10">
        <v>4350215</v>
      </c>
      <c r="I230" s="10">
        <v>4355602</v>
      </c>
      <c r="J230" s="10" t="s">
        <v>1214</v>
      </c>
      <c r="K230" s="10" t="s">
        <v>1214</v>
      </c>
      <c r="L230" s="10" t="s">
        <v>1214</v>
      </c>
      <c r="M230" s="10" t="s">
        <v>1214</v>
      </c>
      <c r="N230" s="10" t="s">
        <v>222</v>
      </c>
      <c r="O230" s="10" t="s">
        <v>1295</v>
      </c>
      <c r="P230" s="10" t="s">
        <v>122</v>
      </c>
      <c r="Q230" s="10" t="s">
        <v>1295</v>
      </c>
      <c r="R230" s="10" t="s">
        <v>122</v>
      </c>
      <c r="S230" s="10" t="s">
        <v>122</v>
      </c>
    </row>
    <row r="231" spans="1:19" ht="101.5" x14ac:dyDescent="0.35">
      <c r="A231" s="14">
        <v>46022</v>
      </c>
      <c r="B231" s="10" t="s">
        <v>744</v>
      </c>
      <c r="C231" s="10" t="s">
        <v>745</v>
      </c>
      <c r="D231" s="10" t="s">
        <v>1002</v>
      </c>
      <c r="E231" s="10">
        <v>4355602</v>
      </c>
      <c r="F231" s="15">
        <v>20</v>
      </c>
      <c r="G231" s="10" t="s">
        <v>1391</v>
      </c>
      <c r="H231" s="10">
        <v>4350215</v>
      </c>
      <c r="I231" s="10">
        <v>4355602</v>
      </c>
      <c r="J231" s="10" t="s">
        <v>1214</v>
      </c>
      <c r="K231" s="10" t="s">
        <v>1214</v>
      </c>
      <c r="L231" s="10" t="s">
        <v>1214</v>
      </c>
      <c r="M231" s="10" t="s">
        <v>1214</v>
      </c>
      <c r="N231" s="10" t="s">
        <v>222</v>
      </c>
      <c r="O231" s="10" t="s">
        <v>1295</v>
      </c>
      <c r="P231" s="10" t="s">
        <v>122</v>
      </c>
      <c r="Q231" s="10" t="s">
        <v>1295</v>
      </c>
      <c r="R231" s="10" t="s">
        <v>122</v>
      </c>
      <c r="S231" s="10" t="s">
        <v>122</v>
      </c>
    </row>
    <row r="232" spans="1:19" ht="101.5" x14ac:dyDescent="0.35">
      <c r="A232" s="14">
        <v>46022</v>
      </c>
      <c r="B232" s="10" t="s">
        <v>330</v>
      </c>
      <c r="C232" s="10" t="s">
        <v>331</v>
      </c>
      <c r="D232" s="10" t="s">
        <v>995</v>
      </c>
      <c r="E232" s="10">
        <v>4350215</v>
      </c>
      <c r="F232" s="15">
        <v>80</v>
      </c>
      <c r="G232" s="10" t="s">
        <v>1391</v>
      </c>
      <c r="H232" s="10">
        <v>4350215</v>
      </c>
      <c r="I232" s="10">
        <v>4355602</v>
      </c>
      <c r="J232" s="10" t="s">
        <v>1214</v>
      </c>
      <c r="K232" s="10" t="s">
        <v>1214</v>
      </c>
      <c r="L232" s="10" t="s">
        <v>1214</v>
      </c>
      <c r="M232" s="10" t="s">
        <v>1214</v>
      </c>
      <c r="N232" s="10" t="s">
        <v>222</v>
      </c>
      <c r="O232" s="10" t="s">
        <v>1295</v>
      </c>
      <c r="P232" s="10" t="s">
        <v>122</v>
      </c>
      <c r="Q232" s="10" t="s">
        <v>1295</v>
      </c>
      <c r="R232" s="10" t="s">
        <v>122</v>
      </c>
      <c r="S232" s="10" t="s">
        <v>122</v>
      </c>
    </row>
    <row r="233" spans="1:19" ht="101.5" x14ac:dyDescent="0.35">
      <c r="A233" s="14">
        <v>46022</v>
      </c>
      <c r="B233" s="10" t="s">
        <v>330</v>
      </c>
      <c r="C233" s="10" t="s">
        <v>331</v>
      </c>
      <c r="D233" s="10" t="s">
        <v>1002</v>
      </c>
      <c r="E233" s="10">
        <v>4355602</v>
      </c>
      <c r="F233" s="15">
        <v>20</v>
      </c>
      <c r="G233" s="10" t="s">
        <v>1391</v>
      </c>
      <c r="H233" s="10">
        <v>4350215</v>
      </c>
      <c r="I233" s="10">
        <v>4355602</v>
      </c>
      <c r="J233" s="10" t="s">
        <v>1214</v>
      </c>
      <c r="K233" s="10" t="s">
        <v>1214</v>
      </c>
      <c r="L233" s="10" t="s">
        <v>1214</v>
      </c>
      <c r="M233" s="10" t="s">
        <v>1214</v>
      </c>
      <c r="N233" s="10" t="s">
        <v>222</v>
      </c>
      <c r="O233" s="10" t="s">
        <v>1295</v>
      </c>
      <c r="P233" s="10" t="s">
        <v>122</v>
      </c>
      <c r="Q233" s="10" t="s">
        <v>1295</v>
      </c>
      <c r="R233" s="10" t="s">
        <v>122</v>
      </c>
      <c r="S233" s="10" t="s">
        <v>122</v>
      </c>
    </row>
    <row r="234" spans="1:19" ht="58" x14ac:dyDescent="0.35">
      <c r="A234" s="14">
        <v>46022</v>
      </c>
      <c r="B234" s="10" t="s">
        <v>746</v>
      </c>
      <c r="C234" s="10" t="s">
        <v>747</v>
      </c>
      <c r="D234" s="10" t="s">
        <v>1068</v>
      </c>
      <c r="E234" s="10">
        <v>112903991</v>
      </c>
      <c r="F234" s="15">
        <v>100</v>
      </c>
      <c r="G234" s="10" t="s">
        <v>1392</v>
      </c>
      <c r="H234" s="10">
        <v>112903991</v>
      </c>
      <c r="I234" s="10" t="s">
        <v>1194</v>
      </c>
      <c r="J234" s="10" t="s">
        <v>1214</v>
      </c>
      <c r="K234" s="10" t="s">
        <v>1214</v>
      </c>
      <c r="L234" s="10" t="s">
        <v>1214</v>
      </c>
      <c r="M234" s="10" t="s">
        <v>1214</v>
      </c>
      <c r="N234" s="10" t="s">
        <v>748</v>
      </c>
      <c r="O234" s="10" t="s">
        <v>1214</v>
      </c>
      <c r="P234" s="10" t="s">
        <v>1214</v>
      </c>
      <c r="Q234" s="10" t="s">
        <v>1214</v>
      </c>
      <c r="R234" s="10" t="s">
        <v>1214</v>
      </c>
      <c r="S234" s="10" t="s">
        <v>61</v>
      </c>
    </row>
    <row r="235" spans="1:19" ht="43.5" x14ac:dyDescent="0.35">
      <c r="A235" s="14">
        <v>46022</v>
      </c>
      <c r="B235" s="10" t="s">
        <v>332</v>
      </c>
      <c r="C235" s="10" t="s">
        <v>333</v>
      </c>
      <c r="D235" s="10" t="s">
        <v>996</v>
      </c>
      <c r="E235" s="10">
        <v>4410234</v>
      </c>
      <c r="F235" s="15">
        <v>100</v>
      </c>
      <c r="G235" s="10" t="s">
        <v>1283</v>
      </c>
      <c r="H235" s="10">
        <v>4410234</v>
      </c>
      <c r="I235" s="10" t="s">
        <v>1194</v>
      </c>
      <c r="J235" s="10" t="s">
        <v>1214</v>
      </c>
      <c r="K235" s="10" t="s">
        <v>1214</v>
      </c>
      <c r="L235" s="10" t="s">
        <v>1214</v>
      </c>
      <c r="M235" s="10" t="s">
        <v>1214</v>
      </c>
      <c r="N235" s="10" t="s">
        <v>1284</v>
      </c>
      <c r="O235" s="10" t="s">
        <v>1214</v>
      </c>
      <c r="P235" s="10" t="s">
        <v>1214</v>
      </c>
      <c r="Q235" s="10" t="s">
        <v>1214</v>
      </c>
      <c r="R235" s="10" t="s">
        <v>1214</v>
      </c>
      <c r="S235" s="10" t="s">
        <v>61</v>
      </c>
    </row>
    <row r="236" spans="1:19" ht="29" x14ac:dyDescent="0.35">
      <c r="A236" s="14">
        <v>46022</v>
      </c>
      <c r="B236" s="10" t="s">
        <v>749</v>
      </c>
      <c r="C236" s="10" t="s">
        <v>750</v>
      </c>
      <c r="D236" s="10" t="s">
        <v>1069</v>
      </c>
      <c r="E236" s="10">
        <v>4394063</v>
      </c>
      <c r="F236" s="15">
        <v>100</v>
      </c>
      <c r="G236" s="10" t="s">
        <v>1393</v>
      </c>
      <c r="H236" s="10">
        <v>4394063</v>
      </c>
      <c r="I236" s="10" t="s">
        <v>1194</v>
      </c>
      <c r="J236" s="10" t="s">
        <v>1394</v>
      </c>
      <c r="K236" s="10" t="s">
        <v>1228</v>
      </c>
      <c r="L236" s="10" t="s">
        <v>1394</v>
      </c>
      <c r="M236" s="10" t="s">
        <v>1228</v>
      </c>
      <c r="N236" s="10" t="s">
        <v>69</v>
      </c>
      <c r="O236" s="10" t="s">
        <v>1214</v>
      </c>
      <c r="P236" s="10" t="s">
        <v>1214</v>
      </c>
      <c r="Q236" s="10" t="s">
        <v>1214</v>
      </c>
      <c r="R236" s="10" t="s">
        <v>1214</v>
      </c>
      <c r="S236" s="10" t="s">
        <v>61</v>
      </c>
    </row>
    <row r="237" spans="1:19" ht="29" x14ac:dyDescent="0.35">
      <c r="A237" s="14">
        <v>46022</v>
      </c>
      <c r="B237" s="10" t="s">
        <v>436</v>
      </c>
      <c r="C237" s="10" t="s">
        <v>437</v>
      </c>
      <c r="D237" s="10" t="s">
        <v>939</v>
      </c>
      <c r="E237" s="10">
        <v>4348654</v>
      </c>
      <c r="F237" s="15">
        <v>100</v>
      </c>
      <c r="G237" s="10" t="s">
        <v>1213</v>
      </c>
      <c r="H237" s="10">
        <v>4348654</v>
      </c>
      <c r="I237" s="10" t="s">
        <v>1194</v>
      </c>
      <c r="J237" s="10" t="s">
        <v>1214</v>
      </c>
      <c r="K237" s="10" t="s">
        <v>1214</v>
      </c>
      <c r="L237" s="10" t="s">
        <v>1214</v>
      </c>
      <c r="M237" s="10" t="s">
        <v>1214</v>
      </c>
      <c r="N237" s="10" t="s">
        <v>102</v>
      </c>
      <c r="O237" s="10" t="s">
        <v>1214</v>
      </c>
      <c r="P237" s="10" t="s">
        <v>1214</v>
      </c>
      <c r="Q237" s="10" t="s">
        <v>1214</v>
      </c>
      <c r="R237" s="10" t="s">
        <v>1214</v>
      </c>
      <c r="S237" s="10" t="s">
        <v>61</v>
      </c>
    </row>
    <row r="238" spans="1:19" ht="43.5" x14ac:dyDescent="0.35">
      <c r="A238" s="14">
        <v>46022</v>
      </c>
      <c r="B238" s="10" t="s">
        <v>751</v>
      </c>
      <c r="C238" s="10" t="s">
        <v>752</v>
      </c>
      <c r="D238" s="10" t="s">
        <v>992</v>
      </c>
      <c r="E238" s="10">
        <v>4351589</v>
      </c>
      <c r="F238" s="15">
        <v>100</v>
      </c>
      <c r="G238" s="10" t="s">
        <v>1277</v>
      </c>
      <c r="H238" s="10">
        <v>4351589</v>
      </c>
      <c r="I238" s="10" t="s">
        <v>1194</v>
      </c>
      <c r="J238" s="10" t="s">
        <v>1214</v>
      </c>
      <c r="K238" s="10" t="s">
        <v>1214</v>
      </c>
      <c r="L238" s="10" t="s">
        <v>1214</v>
      </c>
      <c r="M238" s="10" t="s">
        <v>1214</v>
      </c>
      <c r="N238" s="10" t="s">
        <v>753</v>
      </c>
      <c r="O238" s="10" t="s">
        <v>1214</v>
      </c>
      <c r="P238" s="10" t="s">
        <v>1214</v>
      </c>
      <c r="Q238" s="10" t="s">
        <v>1214</v>
      </c>
      <c r="R238" s="10" t="s">
        <v>1214</v>
      </c>
      <c r="S238" s="10" t="s">
        <v>61</v>
      </c>
    </row>
    <row r="239" spans="1:19" ht="87" x14ac:dyDescent="0.35">
      <c r="A239" s="14">
        <v>46022</v>
      </c>
      <c r="B239" s="10" t="s">
        <v>439</v>
      </c>
      <c r="C239" s="10" t="s">
        <v>440</v>
      </c>
      <c r="D239" s="10" t="s">
        <v>1070</v>
      </c>
      <c r="E239" s="10">
        <v>10602702</v>
      </c>
      <c r="F239" s="15">
        <v>40.5</v>
      </c>
      <c r="G239" s="10" t="s">
        <v>1395</v>
      </c>
      <c r="H239" s="10">
        <v>4352491</v>
      </c>
      <c r="I239" s="10">
        <v>10602702</v>
      </c>
      <c r="J239" s="10" t="s">
        <v>1292</v>
      </c>
      <c r="K239" s="10" t="s">
        <v>61</v>
      </c>
      <c r="L239" s="10" t="s">
        <v>1396</v>
      </c>
      <c r="M239" s="10" t="s">
        <v>1252</v>
      </c>
      <c r="N239" s="10" t="s">
        <v>89</v>
      </c>
      <c r="O239" s="10" t="s">
        <v>1397</v>
      </c>
      <c r="P239" s="10" t="s">
        <v>1252</v>
      </c>
      <c r="Q239" s="10" t="s">
        <v>1397</v>
      </c>
      <c r="R239" s="10" t="s">
        <v>1252</v>
      </c>
      <c r="S239" s="10" t="s">
        <v>1252</v>
      </c>
    </row>
    <row r="240" spans="1:19" ht="87" x14ac:dyDescent="0.35">
      <c r="A240" s="14">
        <v>46022</v>
      </c>
      <c r="B240" s="10" t="s">
        <v>439</v>
      </c>
      <c r="C240" s="10" t="s">
        <v>440</v>
      </c>
      <c r="D240" s="10" t="s">
        <v>1071</v>
      </c>
      <c r="E240" s="10">
        <v>4352491</v>
      </c>
      <c r="F240" s="15">
        <v>55</v>
      </c>
      <c r="G240" s="10" t="s">
        <v>1395</v>
      </c>
      <c r="H240" s="10">
        <v>4352491</v>
      </c>
      <c r="I240" s="10">
        <v>10602702</v>
      </c>
      <c r="J240" s="10" t="s">
        <v>1292</v>
      </c>
      <c r="K240" s="10" t="s">
        <v>61</v>
      </c>
      <c r="L240" s="10" t="s">
        <v>1396</v>
      </c>
      <c r="M240" s="10" t="s">
        <v>1252</v>
      </c>
      <c r="N240" s="10" t="s">
        <v>89</v>
      </c>
      <c r="O240" s="10" t="s">
        <v>1397</v>
      </c>
      <c r="P240" s="10" t="s">
        <v>1252</v>
      </c>
      <c r="Q240" s="10" t="s">
        <v>1397</v>
      </c>
      <c r="R240" s="10" t="s">
        <v>1252</v>
      </c>
      <c r="S240" s="10" t="s">
        <v>1252</v>
      </c>
    </row>
    <row r="241" spans="1:19" ht="29" x14ac:dyDescent="0.35">
      <c r="A241" s="14">
        <v>46022</v>
      </c>
      <c r="B241" s="10" t="s">
        <v>754</v>
      </c>
      <c r="C241" s="10" t="s">
        <v>755</v>
      </c>
      <c r="D241" s="10" t="s">
        <v>948</v>
      </c>
      <c r="E241" s="10">
        <v>4113732</v>
      </c>
      <c r="F241" s="15">
        <v>100</v>
      </c>
      <c r="G241" s="10" t="s">
        <v>1398</v>
      </c>
      <c r="H241" s="10">
        <v>4773175</v>
      </c>
      <c r="I241" s="10" t="s">
        <v>1194</v>
      </c>
      <c r="J241" s="10" t="s">
        <v>1214</v>
      </c>
      <c r="K241" s="10" t="s">
        <v>1214</v>
      </c>
      <c r="L241" s="10" t="s">
        <v>1214</v>
      </c>
      <c r="M241" s="10" t="s">
        <v>1214</v>
      </c>
      <c r="N241" s="10" t="s">
        <v>222</v>
      </c>
      <c r="O241" s="10" t="s">
        <v>1214</v>
      </c>
      <c r="P241" s="10" t="s">
        <v>1214</v>
      </c>
      <c r="Q241" s="10" t="s">
        <v>1214</v>
      </c>
      <c r="R241" s="10" t="s">
        <v>1214</v>
      </c>
      <c r="S241" s="10" t="s">
        <v>61</v>
      </c>
    </row>
    <row r="242" spans="1:19" ht="72.5" x14ac:dyDescent="0.35">
      <c r="A242" s="14">
        <v>46022</v>
      </c>
      <c r="B242" s="10" t="s">
        <v>334</v>
      </c>
      <c r="C242" s="10" t="s">
        <v>335</v>
      </c>
      <c r="D242" s="10" t="s">
        <v>1071</v>
      </c>
      <c r="E242" s="10">
        <v>4352491</v>
      </c>
      <c r="F242" s="15">
        <v>100</v>
      </c>
      <c r="G242" s="10" t="s">
        <v>1399</v>
      </c>
      <c r="H242" s="10">
        <v>4352491</v>
      </c>
      <c r="I242" s="10" t="s">
        <v>1194</v>
      </c>
      <c r="J242" s="10" t="s">
        <v>1292</v>
      </c>
      <c r="K242" s="10" t="s">
        <v>61</v>
      </c>
      <c r="L242" s="10" t="s">
        <v>1396</v>
      </c>
      <c r="M242" s="10" t="s">
        <v>1252</v>
      </c>
      <c r="N242" s="10" t="s">
        <v>89</v>
      </c>
      <c r="O242" s="10" t="s">
        <v>1214</v>
      </c>
      <c r="P242" s="10" t="s">
        <v>1214</v>
      </c>
      <c r="Q242" s="10" t="s">
        <v>1214</v>
      </c>
      <c r="R242" s="10" t="s">
        <v>1214</v>
      </c>
      <c r="S242" s="10" t="s">
        <v>61</v>
      </c>
    </row>
    <row r="243" spans="1:19" ht="43.5" x14ac:dyDescent="0.35">
      <c r="A243" s="14">
        <v>46022</v>
      </c>
      <c r="B243" s="10" t="s">
        <v>336</v>
      </c>
      <c r="C243" s="10" t="s">
        <v>337</v>
      </c>
      <c r="D243" s="10" t="s">
        <v>1021</v>
      </c>
      <c r="E243" s="10">
        <v>4350360</v>
      </c>
      <c r="F243" s="15">
        <v>5</v>
      </c>
      <c r="G243" s="10" t="s">
        <v>1400</v>
      </c>
      <c r="H243" s="10">
        <v>4354863</v>
      </c>
      <c r="I243" s="10">
        <v>4350360</v>
      </c>
      <c r="J243" s="10" t="s">
        <v>1214</v>
      </c>
      <c r="K243" s="10" t="s">
        <v>1214</v>
      </c>
      <c r="L243" s="10" t="s">
        <v>1214</v>
      </c>
      <c r="M243" s="10" t="s">
        <v>1214</v>
      </c>
      <c r="N243" s="10" t="s">
        <v>89</v>
      </c>
      <c r="O243" s="10" t="s">
        <v>213</v>
      </c>
      <c r="P243" s="10" t="s">
        <v>213</v>
      </c>
      <c r="Q243" s="10" t="s">
        <v>213</v>
      </c>
      <c r="R243" s="10" t="s">
        <v>213</v>
      </c>
      <c r="S243" s="10" t="s">
        <v>213</v>
      </c>
    </row>
    <row r="244" spans="1:19" ht="43.5" x14ac:dyDescent="0.35">
      <c r="A244" s="14">
        <v>46022</v>
      </c>
      <c r="B244" s="10" t="s">
        <v>336</v>
      </c>
      <c r="C244" s="10" t="s">
        <v>337</v>
      </c>
      <c r="D244" s="10" t="s">
        <v>1072</v>
      </c>
      <c r="E244" s="10">
        <v>4354863</v>
      </c>
      <c r="F244" s="15">
        <v>95</v>
      </c>
      <c r="G244" s="10" t="s">
        <v>1400</v>
      </c>
      <c r="H244" s="10">
        <v>4354863</v>
      </c>
      <c r="I244" s="10">
        <v>4350360</v>
      </c>
      <c r="J244" s="10" t="s">
        <v>1214</v>
      </c>
      <c r="K244" s="10" t="s">
        <v>1214</v>
      </c>
      <c r="L244" s="10" t="s">
        <v>1214</v>
      </c>
      <c r="M244" s="10" t="s">
        <v>1214</v>
      </c>
      <c r="N244" s="10" t="s">
        <v>89</v>
      </c>
      <c r="O244" s="10" t="s">
        <v>213</v>
      </c>
      <c r="P244" s="10" t="s">
        <v>213</v>
      </c>
      <c r="Q244" s="10" t="s">
        <v>213</v>
      </c>
      <c r="R244" s="10" t="s">
        <v>213</v>
      </c>
      <c r="S244" s="10" t="s">
        <v>213</v>
      </c>
    </row>
    <row r="245" spans="1:19" ht="72.5" x14ac:dyDescent="0.35">
      <c r="A245" s="14">
        <v>46022</v>
      </c>
      <c r="B245" s="10" t="s">
        <v>269</v>
      </c>
      <c r="C245" s="10" t="s">
        <v>270</v>
      </c>
      <c r="D245" s="10" t="s">
        <v>1073</v>
      </c>
      <c r="E245" s="10">
        <v>4349148</v>
      </c>
      <c r="F245" s="15">
        <v>71.25</v>
      </c>
      <c r="G245" s="10" t="s">
        <v>1401</v>
      </c>
      <c r="H245" s="10">
        <v>4349148</v>
      </c>
      <c r="I245" s="10">
        <v>6582136</v>
      </c>
      <c r="J245" s="10" t="s">
        <v>1214</v>
      </c>
      <c r="K245" s="10" t="s">
        <v>1214</v>
      </c>
      <c r="L245" s="10" t="s">
        <v>1214</v>
      </c>
      <c r="M245" s="10" t="s">
        <v>1214</v>
      </c>
      <c r="N245" s="10" t="s">
        <v>61</v>
      </c>
      <c r="O245" s="10" t="s">
        <v>1214</v>
      </c>
      <c r="P245" s="10" t="s">
        <v>1214</v>
      </c>
      <c r="Q245" s="10" t="s">
        <v>1214</v>
      </c>
      <c r="R245" s="10" t="s">
        <v>1214</v>
      </c>
      <c r="S245" s="10" t="s">
        <v>61</v>
      </c>
    </row>
    <row r="246" spans="1:19" ht="87" x14ac:dyDescent="0.35">
      <c r="A246" s="14">
        <v>46022</v>
      </c>
      <c r="B246" s="10" t="s">
        <v>269</v>
      </c>
      <c r="C246" s="10" t="s">
        <v>270</v>
      </c>
      <c r="D246" s="10" t="s">
        <v>1074</v>
      </c>
      <c r="E246" s="10">
        <v>6582136</v>
      </c>
      <c r="F246" s="15">
        <v>23.75</v>
      </c>
      <c r="G246" s="10" t="s">
        <v>1401</v>
      </c>
      <c r="H246" s="10">
        <v>4349148</v>
      </c>
      <c r="I246" s="10">
        <v>6582136</v>
      </c>
      <c r="J246" s="10" t="s">
        <v>1214</v>
      </c>
      <c r="K246" s="10" t="s">
        <v>1214</v>
      </c>
      <c r="L246" s="10" t="s">
        <v>1214</v>
      </c>
      <c r="M246" s="10" t="s">
        <v>1214</v>
      </c>
      <c r="N246" s="10" t="s">
        <v>61</v>
      </c>
      <c r="O246" s="10" t="s">
        <v>1214</v>
      </c>
      <c r="P246" s="10" t="s">
        <v>1214</v>
      </c>
      <c r="Q246" s="10" t="s">
        <v>1214</v>
      </c>
      <c r="R246" s="10" t="s">
        <v>1214</v>
      </c>
      <c r="S246" s="10" t="s">
        <v>61</v>
      </c>
    </row>
    <row r="247" spans="1:19" ht="43.5" x14ac:dyDescent="0.35">
      <c r="A247" s="14">
        <v>46022</v>
      </c>
      <c r="B247" s="10" t="s">
        <v>338</v>
      </c>
      <c r="C247" s="10" t="s">
        <v>339</v>
      </c>
      <c r="D247" s="10" t="s">
        <v>1021</v>
      </c>
      <c r="E247" s="10">
        <v>4350360</v>
      </c>
      <c r="F247" s="15">
        <v>33</v>
      </c>
      <c r="G247" s="10" t="s">
        <v>1402</v>
      </c>
      <c r="H247" s="10">
        <v>4355642</v>
      </c>
      <c r="I247" s="10">
        <v>4350360</v>
      </c>
      <c r="J247" s="10" t="s">
        <v>1214</v>
      </c>
      <c r="K247" s="10" t="s">
        <v>1214</v>
      </c>
      <c r="L247" s="10" t="s">
        <v>1214</v>
      </c>
      <c r="M247" s="10" t="s">
        <v>1214</v>
      </c>
      <c r="N247" s="10" t="s">
        <v>61</v>
      </c>
      <c r="O247" s="10" t="s">
        <v>213</v>
      </c>
      <c r="P247" s="10" t="s">
        <v>213</v>
      </c>
      <c r="Q247" s="10" t="s">
        <v>213</v>
      </c>
      <c r="R247" s="10" t="s">
        <v>213</v>
      </c>
      <c r="S247" s="10" t="s">
        <v>213</v>
      </c>
    </row>
    <row r="248" spans="1:19" ht="58" x14ac:dyDescent="0.35">
      <c r="A248" s="14">
        <v>46022</v>
      </c>
      <c r="B248" s="10" t="s">
        <v>338</v>
      </c>
      <c r="C248" s="10" t="s">
        <v>339</v>
      </c>
      <c r="D248" s="10" t="s">
        <v>958</v>
      </c>
      <c r="E248" s="10">
        <v>4355642</v>
      </c>
      <c r="F248" s="15">
        <v>67</v>
      </c>
      <c r="G248" s="10" t="s">
        <v>1402</v>
      </c>
      <c r="H248" s="10">
        <v>4355642</v>
      </c>
      <c r="I248" s="10">
        <v>4350360</v>
      </c>
      <c r="J248" s="10" t="s">
        <v>1214</v>
      </c>
      <c r="K248" s="10" t="s">
        <v>1214</v>
      </c>
      <c r="L248" s="10" t="s">
        <v>1214</v>
      </c>
      <c r="M248" s="10" t="s">
        <v>1214</v>
      </c>
      <c r="N248" s="10" t="s">
        <v>61</v>
      </c>
      <c r="O248" s="10" t="s">
        <v>213</v>
      </c>
      <c r="P248" s="10" t="s">
        <v>213</v>
      </c>
      <c r="Q248" s="10" t="s">
        <v>213</v>
      </c>
      <c r="R248" s="10" t="s">
        <v>213</v>
      </c>
      <c r="S248" s="10" t="s">
        <v>213</v>
      </c>
    </row>
    <row r="249" spans="1:19" ht="101.5" x14ac:dyDescent="0.35">
      <c r="A249" s="14">
        <v>46022</v>
      </c>
      <c r="B249" s="10" t="s">
        <v>271</v>
      </c>
      <c r="C249" s="10" t="s">
        <v>272</v>
      </c>
      <c r="D249" s="10" t="s">
        <v>1075</v>
      </c>
      <c r="E249" s="10">
        <v>4396728</v>
      </c>
      <c r="F249" s="15">
        <v>79.400000000000006</v>
      </c>
      <c r="G249" s="10" t="s">
        <v>1403</v>
      </c>
      <c r="H249" s="10">
        <v>4396728</v>
      </c>
      <c r="I249" s="10">
        <v>4355602</v>
      </c>
      <c r="J249" s="10" t="s">
        <v>1404</v>
      </c>
      <c r="K249" s="10" t="s">
        <v>1405</v>
      </c>
      <c r="L249" s="10" t="s">
        <v>1404</v>
      </c>
      <c r="M249" s="10" t="s">
        <v>1405</v>
      </c>
      <c r="N249" s="10" t="s">
        <v>1405</v>
      </c>
      <c r="O249" s="10" t="s">
        <v>1295</v>
      </c>
      <c r="P249" s="10" t="s">
        <v>122</v>
      </c>
      <c r="Q249" s="10" t="s">
        <v>1295</v>
      </c>
      <c r="R249" s="10" t="s">
        <v>122</v>
      </c>
      <c r="S249" s="10" t="s">
        <v>122</v>
      </c>
    </row>
    <row r="250" spans="1:19" ht="101.5" x14ac:dyDescent="0.35">
      <c r="A250" s="14">
        <v>46022</v>
      </c>
      <c r="B250" s="10" t="s">
        <v>271</v>
      </c>
      <c r="C250" s="10" t="s">
        <v>272</v>
      </c>
      <c r="D250" s="10" t="s">
        <v>1002</v>
      </c>
      <c r="E250" s="10">
        <v>4355602</v>
      </c>
      <c r="F250" s="15">
        <v>20.6</v>
      </c>
      <c r="G250" s="10" t="s">
        <v>1403</v>
      </c>
      <c r="H250" s="10">
        <v>4396728</v>
      </c>
      <c r="I250" s="10">
        <v>4355602</v>
      </c>
      <c r="J250" s="10" t="s">
        <v>1404</v>
      </c>
      <c r="K250" s="10" t="s">
        <v>1405</v>
      </c>
      <c r="L250" s="10" t="s">
        <v>1404</v>
      </c>
      <c r="M250" s="10" t="s">
        <v>1405</v>
      </c>
      <c r="N250" s="10" t="s">
        <v>1405</v>
      </c>
      <c r="O250" s="10" t="s">
        <v>1295</v>
      </c>
      <c r="P250" s="10" t="s">
        <v>122</v>
      </c>
      <c r="Q250" s="10" t="s">
        <v>1295</v>
      </c>
      <c r="R250" s="10" t="s">
        <v>122</v>
      </c>
      <c r="S250" s="10" t="s">
        <v>122</v>
      </c>
    </row>
    <row r="251" spans="1:19" ht="58" x14ac:dyDescent="0.35">
      <c r="A251" s="14">
        <v>46022</v>
      </c>
      <c r="B251" s="10" t="s">
        <v>370</v>
      </c>
      <c r="C251" s="10" t="s">
        <v>371</v>
      </c>
      <c r="D251" s="10" t="s">
        <v>1076</v>
      </c>
      <c r="E251" s="10">
        <v>4349033</v>
      </c>
      <c r="F251" s="15">
        <v>100</v>
      </c>
      <c r="G251" s="10" t="s">
        <v>1406</v>
      </c>
      <c r="H251" s="10">
        <v>4349033</v>
      </c>
      <c r="I251" s="10" t="s">
        <v>1194</v>
      </c>
      <c r="J251" s="10" t="s">
        <v>1214</v>
      </c>
      <c r="K251" s="10" t="s">
        <v>1214</v>
      </c>
      <c r="L251" s="10" t="s">
        <v>1214</v>
      </c>
      <c r="M251" s="10" t="s">
        <v>1214</v>
      </c>
      <c r="N251" s="10" t="s">
        <v>1219</v>
      </c>
      <c r="O251" s="10" t="s">
        <v>1214</v>
      </c>
      <c r="P251" s="10" t="s">
        <v>1214</v>
      </c>
      <c r="Q251" s="10" t="s">
        <v>1214</v>
      </c>
      <c r="R251" s="10" t="s">
        <v>1214</v>
      </c>
      <c r="S251" s="10" t="s">
        <v>61</v>
      </c>
    </row>
    <row r="252" spans="1:19" ht="43.5" x14ac:dyDescent="0.35">
      <c r="A252" s="14">
        <v>46022</v>
      </c>
      <c r="B252" s="10" t="s">
        <v>756</v>
      </c>
      <c r="C252" s="10" t="s">
        <v>757</v>
      </c>
      <c r="D252" s="10" t="s">
        <v>1077</v>
      </c>
      <c r="E252" s="10">
        <v>4379789</v>
      </c>
      <c r="F252" s="15">
        <v>100</v>
      </c>
      <c r="G252" s="10" t="s">
        <v>1407</v>
      </c>
      <c r="H252" s="10">
        <v>4379789</v>
      </c>
      <c r="I252" s="10" t="s">
        <v>1194</v>
      </c>
      <c r="J252" s="10" t="s">
        <v>1214</v>
      </c>
      <c r="K252" s="10" t="s">
        <v>1214</v>
      </c>
      <c r="L252" s="10" t="s">
        <v>1214</v>
      </c>
      <c r="M252" s="10" t="s">
        <v>1214</v>
      </c>
      <c r="N252" s="10" t="s">
        <v>105</v>
      </c>
      <c r="O252" s="10" t="s">
        <v>1214</v>
      </c>
      <c r="P252" s="10" t="s">
        <v>1214</v>
      </c>
      <c r="Q252" s="10" t="s">
        <v>1214</v>
      </c>
      <c r="R252" s="10" t="s">
        <v>1214</v>
      </c>
      <c r="S252" s="10" t="s">
        <v>61</v>
      </c>
    </row>
    <row r="253" spans="1:19" ht="116" x14ac:dyDescent="0.35">
      <c r="A253" s="14">
        <v>46022</v>
      </c>
      <c r="B253" s="10" t="s">
        <v>758</v>
      </c>
      <c r="C253" s="10" t="s">
        <v>759</v>
      </c>
      <c r="D253" s="10" t="s">
        <v>1078</v>
      </c>
      <c r="E253" s="10">
        <v>12230912</v>
      </c>
      <c r="F253" s="15">
        <v>30</v>
      </c>
      <c r="G253" s="10" t="s">
        <v>1408</v>
      </c>
      <c r="H253" s="10">
        <v>4355642</v>
      </c>
      <c r="I253" s="10">
        <v>12230912</v>
      </c>
      <c r="J253" s="10" t="s">
        <v>1214</v>
      </c>
      <c r="K253" s="10" t="s">
        <v>1214</v>
      </c>
      <c r="L253" s="10" t="s">
        <v>1214</v>
      </c>
      <c r="M253" s="10" t="s">
        <v>1214</v>
      </c>
      <c r="N253" s="10" t="s">
        <v>61</v>
      </c>
      <c r="O253" s="10" t="s">
        <v>1214</v>
      </c>
      <c r="P253" s="10" t="s">
        <v>1214</v>
      </c>
      <c r="Q253" s="10" t="s">
        <v>1214</v>
      </c>
      <c r="R253" s="10" t="s">
        <v>1214</v>
      </c>
      <c r="S253" s="10" t="s">
        <v>61</v>
      </c>
    </row>
    <row r="254" spans="1:19" ht="58" x14ac:dyDescent="0.35">
      <c r="A254" s="14">
        <v>46022</v>
      </c>
      <c r="B254" s="10" t="s">
        <v>758</v>
      </c>
      <c r="C254" s="10" t="s">
        <v>759</v>
      </c>
      <c r="D254" s="10" t="s">
        <v>958</v>
      </c>
      <c r="E254" s="10">
        <v>4355642</v>
      </c>
      <c r="F254" s="15">
        <v>70</v>
      </c>
      <c r="G254" s="10" t="s">
        <v>1408</v>
      </c>
      <c r="H254" s="10">
        <v>4355642</v>
      </c>
      <c r="I254" s="10">
        <v>12230912</v>
      </c>
      <c r="J254" s="10" t="s">
        <v>1214</v>
      </c>
      <c r="K254" s="10" t="s">
        <v>1214</v>
      </c>
      <c r="L254" s="10" t="s">
        <v>1214</v>
      </c>
      <c r="M254" s="10" t="s">
        <v>1214</v>
      </c>
      <c r="N254" s="10" t="s">
        <v>61</v>
      </c>
      <c r="O254" s="10" t="s">
        <v>1214</v>
      </c>
      <c r="P254" s="10" t="s">
        <v>1214</v>
      </c>
      <c r="Q254" s="10" t="s">
        <v>1214</v>
      </c>
      <c r="R254" s="10" t="s">
        <v>1214</v>
      </c>
      <c r="S254" s="10" t="s">
        <v>61</v>
      </c>
    </row>
    <row r="255" spans="1:19" ht="58" x14ac:dyDescent="0.35">
      <c r="A255" s="14">
        <v>46022</v>
      </c>
      <c r="B255" s="10" t="s">
        <v>273</v>
      </c>
      <c r="C255" s="10" t="s">
        <v>274</v>
      </c>
      <c r="D255" s="10" t="s">
        <v>980</v>
      </c>
      <c r="E255" s="10">
        <v>4354459</v>
      </c>
      <c r="F255" s="15">
        <v>98.1</v>
      </c>
      <c r="G255" s="10" t="s">
        <v>1409</v>
      </c>
      <c r="H255" s="10">
        <v>4354459</v>
      </c>
      <c r="I255" s="10">
        <v>4400798</v>
      </c>
      <c r="J255" s="10" t="s">
        <v>1267</v>
      </c>
      <c r="K255" s="10" t="s">
        <v>111</v>
      </c>
      <c r="L255" s="10" t="s">
        <v>1268</v>
      </c>
      <c r="M255" s="10" t="s">
        <v>79</v>
      </c>
      <c r="N255" s="10" t="s">
        <v>79</v>
      </c>
      <c r="O255" s="10" t="s">
        <v>1214</v>
      </c>
      <c r="P255" s="10" t="s">
        <v>1214</v>
      </c>
      <c r="Q255" s="10" t="s">
        <v>1214</v>
      </c>
      <c r="R255" s="10" t="s">
        <v>1214</v>
      </c>
      <c r="S255" s="10" t="s">
        <v>79</v>
      </c>
    </row>
    <row r="256" spans="1:19" ht="58" x14ac:dyDescent="0.35">
      <c r="A256" s="14">
        <v>46022</v>
      </c>
      <c r="B256" s="10" t="s">
        <v>372</v>
      </c>
      <c r="C256" s="10" t="s">
        <v>373</v>
      </c>
      <c r="D256" s="10" t="s">
        <v>980</v>
      </c>
      <c r="E256" s="10">
        <v>4354459</v>
      </c>
      <c r="F256" s="15">
        <v>98.1</v>
      </c>
      <c r="G256" s="10" t="s">
        <v>1410</v>
      </c>
      <c r="H256" s="10">
        <v>4354459</v>
      </c>
      <c r="I256" s="10">
        <v>4400798</v>
      </c>
      <c r="J256" s="10" t="s">
        <v>1267</v>
      </c>
      <c r="K256" s="10" t="s">
        <v>111</v>
      </c>
      <c r="L256" s="10" t="s">
        <v>1268</v>
      </c>
      <c r="M256" s="10" t="s">
        <v>79</v>
      </c>
      <c r="N256" s="10" t="s">
        <v>79</v>
      </c>
      <c r="O256" s="10" t="s">
        <v>1214</v>
      </c>
      <c r="P256" s="10" t="s">
        <v>1214</v>
      </c>
      <c r="Q256" s="10" t="s">
        <v>1214</v>
      </c>
      <c r="R256" s="10" t="s">
        <v>1214</v>
      </c>
      <c r="S256" s="10" t="s">
        <v>79</v>
      </c>
    </row>
    <row r="257" spans="1:19" ht="43.5" x14ac:dyDescent="0.35">
      <c r="A257" s="14">
        <v>46022</v>
      </c>
      <c r="B257" s="10" t="s">
        <v>442</v>
      </c>
      <c r="C257" s="10" t="s">
        <v>443</v>
      </c>
      <c r="D257" s="10" t="s">
        <v>1010</v>
      </c>
      <c r="E257" s="10">
        <v>4351119</v>
      </c>
      <c r="F257" s="15">
        <v>100</v>
      </c>
      <c r="G257" s="10" t="s">
        <v>1308</v>
      </c>
      <c r="H257" s="10">
        <v>4351119</v>
      </c>
      <c r="I257" s="10" t="s">
        <v>1194</v>
      </c>
      <c r="J257" s="10" t="s">
        <v>1214</v>
      </c>
      <c r="K257" s="10" t="s">
        <v>1214</v>
      </c>
      <c r="L257" s="10" t="s">
        <v>1214</v>
      </c>
      <c r="M257" s="10" t="s">
        <v>1214</v>
      </c>
      <c r="N257" s="10" t="s">
        <v>222</v>
      </c>
      <c r="O257" s="10" t="s">
        <v>1214</v>
      </c>
      <c r="P257" s="10" t="s">
        <v>1214</v>
      </c>
      <c r="Q257" s="10" t="s">
        <v>1214</v>
      </c>
      <c r="R257" s="10" t="s">
        <v>1214</v>
      </c>
      <c r="S257" s="10" t="s">
        <v>61</v>
      </c>
    </row>
    <row r="258" spans="1:19" ht="29" x14ac:dyDescent="0.35">
      <c r="A258" s="14">
        <v>46022</v>
      </c>
      <c r="B258" s="10" t="s">
        <v>374</v>
      </c>
      <c r="C258" s="10" t="s">
        <v>375</v>
      </c>
      <c r="D258" s="10" t="s">
        <v>962</v>
      </c>
      <c r="E258" s="10">
        <v>4353456</v>
      </c>
      <c r="F258" s="15">
        <v>100</v>
      </c>
      <c r="G258" s="10" t="s">
        <v>1296</v>
      </c>
      <c r="H258" s="10">
        <v>4353456</v>
      </c>
      <c r="I258" s="10" t="s">
        <v>1194</v>
      </c>
      <c r="J258" s="10" t="s">
        <v>1214</v>
      </c>
      <c r="K258" s="10" t="s">
        <v>1214</v>
      </c>
      <c r="L258" s="10" t="s">
        <v>1214</v>
      </c>
      <c r="M258" s="10" t="s">
        <v>1214</v>
      </c>
      <c r="N258" s="10" t="s">
        <v>61</v>
      </c>
      <c r="O258" s="10" t="s">
        <v>1214</v>
      </c>
      <c r="P258" s="10" t="s">
        <v>1214</v>
      </c>
      <c r="Q258" s="10" t="s">
        <v>1214</v>
      </c>
      <c r="R258" s="10" t="s">
        <v>1214</v>
      </c>
      <c r="S258" s="10" t="s">
        <v>61</v>
      </c>
    </row>
    <row r="259" spans="1:19" ht="58" x14ac:dyDescent="0.35">
      <c r="A259" s="14">
        <v>46022</v>
      </c>
      <c r="B259" s="10" t="s">
        <v>760</v>
      </c>
      <c r="C259" s="10" t="s">
        <v>761</v>
      </c>
      <c r="D259" s="10" t="s">
        <v>1079</v>
      </c>
      <c r="E259" s="10">
        <v>10931158</v>
      </c>
      <c r="F259" s="15">
        <v>100</v>
      </c>
      <c r="G259" s="10" t="s">
        <v>1411</v>
      </c>
      <c r="H259" s="10">
        <v>10931158</v>
      </c>
      <c r="I259" s="10" t="s">
        <v>1194</v>
      </c>
      <c r="J259" s="10" t="s">
        <v>1214</v>
      </c>
      <c r="K259" s="10" t="s">
        <v>1214</v>
      </c>
      <c r="L259" s="10" t="s">
        <v>1214</v>
      </c>
      <c r="M259" s="10" t="s">
        <v>1214</v>
      </c>
      <c r="N259" s="10" t="s">
        <v>61</v>
      </c>
      <c r="O259" s="10" t="s">
        <v>1214</v>
      </c>
      <c r="P259" s="10" t="s">
        <v>1214</v>
      </c>
      <c r="Q259" s="10" t="s">
        <v>1214</v>
      </c>
      <c r="R259" s="10" t="s">
        <v>1214</v>
      </c>
      <c r="S259" s="10" t="s">
        <v>61</v>
      </c>
    </row>
    <row r="260" spans="1:19" ht="29" x14ac:dyDescent="0.35">
      <c r="A260" s="14">
        <v>46022</v>
      </c>
      <c r="B260" s="10" t="s">
        <v>376</v>
      </c>
      <c r="C260" s="10" t="s">
        <v>377</v>
      </c>
      <c r="D260" s="10" t="s">
        <v>962</v>
      </c>
      <c r="E260" s="10">
        <v>4353456</v>
      </c>
      <c r="F260" s="15">
        <v>100</v>
      </c>
      <c r="G260" s="10" t="s">
        <v>1296</v>
      </c>
      <c r="H260" s="10">
        <v>4353456</v>
      </c>
      <c r="I260" s="10" t="s">
        <v>1194</v>
      </c>
      <c r="J260" s="10" t="s">
        <v>1214</v>
      </c>
      <c r="K260" s="10" t="s">
        <v>1214</v>
      </c>
      <c r="L260" s="10" t="s">
        <v>1214</v>
      </c>
      <c r="M260" s="10" t="s">
        <v>1214</v>
      </c>
      <c r="N260" s="10" t="s">
        <v>61</v>
      </c>
      <c r="O260" s="10" t="s">
        <v>1214</v>
      </c>
      <c r="P260" s="10" t="s">
        <v>1214</v>
      </c>
      <c r="Q260" s="10" t="s">
        <v>1214</v>
      </c>
      <c r="R260" s="10" t="s">
        <v>1214</v>
      </c>
      <c r="S260" s="10" t="s">
        <v>61</v>
      </c>
    </row>
    <row r="261" spans="1:19" ht="58" x14ac:dyDescent="0.35">
      <c r="A261" s="14">
        <v>46022</v>
      </c>
      <c r="B261" s="10" t="s">
        <v>762</v>
      </c>
      <c r="C261" s="10" t="s">
        <v>763</v>
      </c>
      <c r="D261" s="10" t="s">
        <v>1080</v>
      </c>
      <c r="E261" s="10">
        <v>10947962</v>
      </c>
      <c r="F261" s="15">
        <v>100</v>
      </c>
      <c r="G261" s="10" t="s">
        <v>1412</v>
      </c>
      <c r="H261" s="10">
        <v>10947962</v>
      </c>
      <c r="I261" s="10" t="s">
        <v>1194</v>
      </c>
      <c r="J261" s="10" t="s">
        <v>1214</v>
      </c>
      <c r="K261" s="10" t="s">
        <v>1214</v>
      </c>
      <c r="L261" s="10" t="s">
        <v>1214</v>
      </c>
      <c r="M261" s="10" t="s">
        <v>1214</v>
      </c>
      <c r="N261" s="10" t="s">
        <v>61</v>
      </c>
      <c r="O261" s="10" t="s">
        <v>1214</v>
      </c>
      <c r="P261" s="10" t="s">
        <v>1214</v>
      </c>
      <c r="Q261" s="10" t="s">
        <v>1214</v>
      </c>
      <c r="R261" s="10" t="s">
        <v>1214</v>
      </c>
      <c r="S261" s="10" t="s">
        <v>61</v>
      </c>
    </row>
    <row r="262" spans="1:19" ht="58" x14ac:dyDescent="0.35">
      <c r="A262" s="14">
        <v>46022</v>
      </c>
      <c r="B262" s="10" t="s">
        <v>277</v>
      </c>
      <c r="C262" s="10" t="s">
        <v>278</v>
      </c>
      <c r="D262" s="10" t="s">
        <v>1042</v>
      </c>
      <c r="E262" s="10">
        <v>4347844</v>
      </c>
      <c r="F262" s="15">
        <v>100</v>
      </c>
      <c r="G262" s="10" t="s">
        <v>1357</v>
      </c>
      <c r="H262" s="10">
        <v>4347844</v>
      </c>
      <c r="I262" s="10" t="s">
        <v>1194</v>
      </c>
      <c r="J262" s="10" t="s">
        <v>1214</v>
      </c>
      <c r="K262" s="10" t="s">
        <v>1214</v>
      </c>
      <c r="L262" s="10" t="s">
        <v>1214</v>
      </c>
      <c r="M262" s="10" t="s">
        <v>1214</v>
      </c>
      <c r="N262" s="10" t="s">
        <v>222</v>
      </c>
      <c r="O262" s="10" t="s">
        <v>1214</v>
      </c>
      <c r="P262" s="10" t="s">
        <v>1214</v>
      </c>
      <c r="Q262" s="10" t="s">
        <v>1214</v>
      </c>
      <c r="R262" s="10" t="s">
        <v>1214</v>
      </c>
      <c r="S262" s="10" t="s">
        <v>61</v>
      </c>
    </row>
    <row r="263" spans="1:19" ht="87" x14ac:dyDescent="0.35">
      <c r="A263" s="14">
        <v>46022</v>
      </c>
      <c r="B263" s="10" t="s">
        <v>279</v>
      </c>
      <c r="C263" s="10" t="s">
        <v>280</v>
      </c>
      <c r="D263" s="10" t="s">
        <v>1081</v>
      </c>
      <c r="E263" s="10">
        <v>4199168</v>
      </c>
      <c r="F263" s="15">
        <v>15</v>
      </c>
      <c r="G263" s="10" t="s">
        <v>1413</v>
      </c>
      <c r="H263" s="10">
        <v>4352491</v>
      </c>
      <c r="I263" s="10">
        <v>10602702</v>
      </c>
      <c r="J263" s="10" t="s">
        <v>1292</v>
      </c>
      <c r="K263" s="10" t="s">
        <v>61</v>
      </c>
      <c r="L263" s="10" t="s">
        <v>1396</v>
      </c>
      <c r="M263" s="10" t="s">
        <v>1252</v>
      </c>
      <c r="N263" s="10" t="s">
        <v>89</v>
      </c>
      <c r="O263" s="10" t="s">
        <v>1397</v>
      </c>
      <c r="P263" s="10" t="s">
        <v>1252</v>
      </c>
      <c r="Q263" s="10" t="s">
        <v>1397</v>
      </c>
      <c r="R263" s="10" t="s">
        <v>1252</v>
      </c>
      <c r="S263" s="10" t="s">
        <v>1252</v>
      </c>
    </row>
    <row r="264" spans="1:19" ht="87" x14ac:dyDescent="0.35">
      <c r="A264" s="14">
        <v>46022</v>
      </c>
      <c r="B264" s="10" t="s">
        <v>279</v>
      </c>
      <c r="C264" s="10" t="s">
        <v>280</v>
      </c>
      <c r="D264" s="10" t="s">
        <v>1070</v>
      </c>
      <c r="E264" s="10">
        <v>10602702</v>
      </c>
      <c r="F264" s="15">
        <v>20.25</v>
      </c>
      <c r="G264" s="10" t="s">
        <v>1413</v>
      </c>
      <c r="H264" s="10">
        <v>4352491</v>
      </c>
      <c r="I264" s="10">
        <v>10602702</v>
      </c>
      <c r="J264" s="10" t="s">
        <v>1292</v>
      </c>
      <c r="K264" s="10" t="s">
        <v>61</v>
      </c>
      <c r="L264" s="10" t="s">
        <v>1396</v>
      </c>
      <c r="M264" s="10" t="s">
        <v>1252</v>
      </c>
      <c r="N264" s="10" t="s">
        <v>89</v>
      </c>
      <c r="O264" s="10" t="s">
        <v>1397</v>
      </c>
      <c r="P264" s="10" t="s">
        <v>1252</v>
      </c>
      <c r="Q264" s="10" t="s">
        <v>1397</v>
      </c>
      <c r="R264" s="10" t="s">
        <v>1252</v>
      </c>
      <c r="S264" s="10" t="s">
        <v>1252</v>
      </c>
    </row>
    <row r="265" spans="1:19" ht="87" x14ac:dyDescent="0.35">
      <c r="A265" s="14">
        <v>46022</v>
      </c>
      <c r="B265" s="10" t="s">
        <v>279</v>
      </c>
      <c r="C265" s="10" t="s">
        <v>280</v>
      </c>
      <c r="D265" s="10" t="s">
        <v>1071</v>
      </c>
      <c r="E265" s="10">
        <v>4352491</v>
      </c>
      <c r="F265" s="15">
        <v>62.5</v>
      </c>
      <c r="G265" s="10" t="s">
        <v>1413</v>
      </c>
      <c r="H265" s="10">
        <v>4352491</v>
      </c>
      <c r="I265" s="10">
        <v>10602702</v>
      </c>
      <c r="J265" s="10" t="s">
        <v>1292</v>
      </c>
      <c r="K265" s="10" t="s">
        <v>61</v>
      </c>
      <c r="L265" s="10" t="s">
        <v>1396</v>
      </c>
      <c r="M265" s="10" t="s">
        <v>1252</v>
      </c>
      <c r="N265" s="10" t="s">
        <v>89</v>
      </c>
      <c r="O265" s="10" t="s">
        <v>1397</v>
      </c>
      <c r="P265" s="10" t="s">
        <v>1252</v>
      </c>
      <c r="Q265" s="10" t="s">
        <v>1397</v>
      </c>
      <c r="R265" s="10" t="s">
        <v>1252</v>
      </c>
      <c r="S265" s="10" t="s">
        <v>1252</v>
      </c>
    </row>
    <row r="266" spans="1:19" ht="43.5" x14ac:dyDescent="0.35">
      <c r="A266" s="14">
        <v>46022</v>
      </c>
      <c r="B266" s="10" t="s">
        <v>281</v>
      </c>
      <c r="C266" s="10" t="s">
        <v>282</v>
      </c>
      <c r="D266" s="10" t="s">
        <v>1082</v>
      </c>
      <c r="E266" s="10">
        <v>4350256</v>
      </c>
      <c r="F266" s="15">
        <v>100</v>
      </c>
      <c r="G266" s="10" t="s">
        <v>1414</v>
      </c>
      <c r="H266" s="10">
        <v>4350256</v>
      </c>
      <c r="I266" s="10" t="s">
        <v>1194</v>
      </c>
      <c r="J266" s="10" t="s">
        <v>1214</v>
      </c>
      <c r="K266" s="10" t="s">
        <v>1214</v>
      </c>
      <c r="L266" s="10" t="s">
        <v>1214</v>
      </c>
      <c r="M266" s="10" t="s">
        <v>1214</v>
      </c>
      <c r="N266" s="10" t="s">
        <v>222</v>
      </c>
      <c r="O266" s="10" t="s">
        <v>1214</v>
      </c>
      <c r="P266" s="10" t="s">
        <v>1214</v>
      </c>
      <c r="Q266" s="10" t="s">
        <v>1214</v>
      </c>
      <c r="R266" s="10" t="s">
        <v>1214</v>
      </c>
      <c r="S266" s="10" t="s">
        <v>61</v>
      </c>
    </row>
    <row r="267" spans="1:19" ht="29" x14ac:dyDescent="0.35">
      <c r="A267" s="14">
        <v>46022</v>
      </c>
      <c r="B267" s="10" t="s">
        <v>312</v>
      </c>
      <c r="C267" s="10" t="s">
        <v>313</v>
      </c>
      <c r="D267" s="10" t="s">
        <v>962</v>
      </c>
      <c r="E267" s="10">
        <v>4353456</v>
      </c>
      <c r="F267" s="15">
        <v>100</v>
      </c>
      <c r="G267" s="10" t="s">
        <v>1296</v>
      </c>
      <c r="H267" s="10">
        <v>4353456</v>
      </c>
      <c r="I267" s="10" t="s">
        <v>1194</v>
      </c>
      <c r="J267" s="10" t="s">
        <v>1214</v>
      </c>
      <c r="K267" s="10" t="s">
        <v>1214</v>
      </c>
      <c r="L267" s="10" t="s">
        <v>1214</v>
      </c>
      <c r="M267" s="10" t="s">
        <v>1214</v>
      </c>
      <c r="N267" s="10" t="s">
        <v>61</v>
      </c>
      <c r="O267" s="10" t="s">
        <v>1214</v>
      </c>
      <c r="P267" s="10" t="s">
        <v>1214</v>
      </c>
      <c r="Q267" s="10" t="s">
        <v>1214</v>
      </c>
      <c r="R267" s="10" t="s">
        <v>1214</v>
      </c>
      <c r="S267" s="10" t="s">
        <v>61</v>
      </c>
    </row>
    <row r="268" spans="1:19" ht="72.5" x14ac:dyDescent="0.35">
      <c r="A268" s="14">
        <v>46022</v>
      </c>
      <c r="B268" s="10" t="s">
        <v>378</v>
      </c>
      <c r="C268" s="10" t="s">
        <v>379</v>
      </c>
      <c r="D268" s="10" t="s">
        <v>1083</v>
      </c>
      <c r="E268" s="10">
        <v>10947963</v>
      </c>
      <c r="F268" s="15">
        <v>100</v>
      </c>
      <c r="G268" s="10" t="s">
        <v>1415</v>
      </c>
      <c r="H268" s="10">
        <v>10947963</v>
      </c>
      <c r="I268" s="10" t="s">
        <v>1194</v>
      </c>
      <c r="J268" s="10" t="s">
        <v>1214</v>
      </c>
      <c r="K268" s="10" t="s">
        <v>1214</v>
      </c>
      <c r="L268" s="10" t="s">
        <v>1214</v>
      </c>
      <c r="M268" s="10" t="s">
        <v>1214</v>
      </c>
      <c r="N268" s="10" t="s">
        <v>61</v>
      </c>
      <c r="O268" s="10" t="s">
        <v>1214</v>
      </c>
      <c r="P268" s="10" t="s">
        <v>1214</v>
      </c>
      <c r="Q268" s="10" t="s">
        <v>1214</v>
      </c>
      <c r="R268" s="10" t="s">
        <v>1214</v>
      </c>
      <c r="S268" s="10" t="s">
        <v>61</v>
      </c>
    </row>
    <row r="269" spans="1:19" ht="29" x14ac:dyDescent="0.35">
      <c r="A269" s="14">
        <v>46022</v>
      </c>
      <c r="B269" s="10" t="s">
        <v>575</v>
      </c>
      <c r="C269" s="10" t="s">
        <v>576</v>
      </c>
      <c r="D269" s="10" t="s">
        <v>948</v>
      </c>
      <c r="E269" s="10">
        <v>4113732</v>
      </c>
      <c r="F269" s="15">
        <v>100</v>
      </c>
      <c r="G269" s="10" t="s">
        <v>1229</v>
      </c>
      <c r="H269" s="10">
        <v>4113732</v>
      </c>
      <c r="I269" s="10" t="s">
        <v>1194</v>
      </c>
      <c r="J269" s="10" t="s">
        <v>1214</v>
      </c>
      <c r="K269" s="10" t="s">
        <v>1214</v>
      </c>
      <c r="L269" s="10" t="s">
        <v>1214</v>
      </c>
      <c r="M269" s="10" t="s">
        <v>1214</v>
      </c>
      <c r="N269" s="10" t="s">
        <v>1228</v>
      </c>
      <c r="O269" s="10" t="s">
        <v>1214</v>
      </c>
      <c r="P269" s="10" t="s">
        <v>1214</v>
      </c>
      <c r="Q269" s="10" t="s">
        <v>1214</v>
      </c>
      <c r="R269" s="10" t="s">
        <v>1214</v>
      </c>
      <c r="S269" s="10" t="s">
        <v>61</v>
      </c>
    </row>
    <row r="270" spans="1:19" ht="72.5" x14ac:dyDescent="0.35">
      <c r="A270" s="14">
        <v>46022</v>
      </c>
      <c r="B270" s="10" t="s">
        <v>764</v>
      </c>
      <c r="C270" s="10" t="s">
        <v>765</v>
      </c>
      <c r="D270" s="10" t="s">
        <v>1084</v>
      </c>
      <c r="E270" s="10">
        <v>10405484</v>
      </c>
      <c r="F270" s="15">
        <v>100</v>
      </c>
      <c r="G270" s="10" t="s">
        <v>1416</v>
      </c>
      <c r="H270" s="10">
        <v>10405484</v>
      </c>
      <c r="I270" s="10" t="s">
        <v>1194</v>
      </c>
      <c r="J270" s="10" t="s">
        <v>1214</v>
      </c>
      <c r="K270" s="10" t="s">
        <v>1214</v>
      </c>
      <c r="L270" s="10" t="s">
        <v>1214</v>
      </c>
      <c r="M270" s="10" t="s">
        <v>1214</v>
      </c>
      <c r="N270" s="10" t="s">
        <v>61</v>
      </c>
      <c r="O270" s="10" t="s">
        <v>1214</v>
      </c>
      <c r="P270" s="10" t="s">
        <v>1214</v>
      </c>
      <c r="Q270" s="10" t="s">
        <v>1214</v>
      </c>
      <c r="R270" s="10" t="s">
        <v>1214</v>
      </c>
      <c r="S270" s="10" t="s">
        <v>61</v>
      </c>
    </row>
    <row r="271" spans="1:19" ht="87" x14ac:dyDescent="0.35">
      <c r="A271" s="14">
        <v>46022</v>
      </c>
      <c r="B271" s="10" t="s">
        <v>314</v>
      </c>
      <c r="C271" s="10" t="s">
        <v>315</v>
      </c>
      <c r="D271" s="10" t="s">
        <v>1007</v>
      </c>
      <c r="E271" s="10">
        <v>4193273</v>
      </c>
      <c r="F271" s="15">
        <v>50.06</v>
      </c>
      <c r="G271" s="10" t="s">
        <v>1417</v>
      </c>
      <c r="H271" s="10">
        <v>4193273</v>
      </c>
      <c r="I271" s="10">
        <v>4065098</v>
      </c>
      <c r="J271" s="10" t="s">
        <v>1214</v>
      </c>
      <c r="K271" s="10" t="s">
        <v>1214</v>
      </c>
      <c r="L271" s="10" t="s">
        <v>1214</v>
      </c>
      <c r="M271" s="10" t="s">
        <v>1214</v>
      </c>
      <c r="N271" s="10" t="s">
        <v>1219</v>
      </c>
      <c r="O271" s="10" t="s">
        <v>1214</v>
      </c>
      <c r="P271" s="10" t="s">
        <v>1214</v>
      </c>
      <c r="Q271" s="10" t="s">
        <v>1214</v>
      </c>
      <c r="R271" s="10" t="s">
        <v>1214</v>
      </c>
      <c r="S271" s="10" t="s">
        <v>1235</v>
      </c>
    </row>
    <row r="272" spans="1:19" ht="87" x14ac:dyDescent="0.35">
      <c r="A272" s="14">
        <v>46022</v>
      </c>
      <c r="B272" s="10" t="s">
        <v>314</v>
      </c>
      <c r="C272" s="10" t="s">
        <v>315</v>
      </c>
      <c r="D272" s="10" t="s">
        <v>945</v>
      </c>
      <c r="E272" s="10">
        <v>4349314</v>
      </c>
      <c r="F272" s="15">
        <v>20</v>
      </c>
      <c r="G272" s="10" t="s">
        <v>1417</v>
      </c>
      <c r="H272" s="10">
        <v>4193273</v>
      </c>
      <c r="I272" s="10">
        <v>4065098</v>
      </c>
      <c r="J272" s="10" t="s">
        <v>1214</v>
      </c>
      <c r="K272" s="10" t="s">
        <v>1214</v>
      </c>
      <c r="L272" s="10" t="s">
        <v>1214</v>
      </c>
      <c r="M272" s="10" t="s">
        <v>1214</v>
      </c>
      <c r="N272" s="10" t="s">
        <v>1219</v>
      </c>
      <c r="O272" s="10" t="s">
        <v>1214</v>
      </c>
      <c r="P272" s="10" t="s">
        <v>1214</v>
      </c>
      <c r="Q272" s="10" t="s">
        <v>1214</v>
      </c>
      <c r="R272" s="10" t="s">
        <v>1214</v>
      </c>
      <c r="S272" s="10" t="s">
        <v>1235</v>
      </c>
    </row>
    <row r="273" spans="1:19" ht="87" x14ac:dyDescent="0.35">
      <c r="A273" s="14">
        <v>46022</v>
      </c>
      <c r="B273" s="10" t="s">
        <v>314</v>
      </c>
      <c r="C273" s="10" t="s">
        <v>315</v>
      </c>
      <c r="D273" s="10" t="s">
        <v>949</v>
      </c>
      <c r="E273" s="10">
        <v>4065098</v>
      </c>
      <c r="F273" s="15">
        <v>20.440000000000001</v>
      </c>
      <c r="G273" s="10" t="s">
        <v>1417</v>
      </c>
      <c r="H273" s="10">
        <v>4193273</v>
      </c>
      <c r="I273" s="10">
        <v>4065098</v>
      </c>
      <c r="J273" s="10" t="s">
        <v>1214</v>
      </c>
      <c r="K273" s="10" t="s">
        <v>1214</v>
      </c>
      <c r="L273" s="10" t="s">
        <v>1214</v>
      </c>
      <c r="M273" s="10" t="s">
        <v>1214</v>
      </c>
      <c r="N273" s="10" t="s">
        <v>1219</v>
      </c>
      <c r="O273" s="10" t="s">
        <v>1214</v>
      </c>
      <c r="P273" s="10" t="s">
        <v>1214</v>
      </c>
      <c r="Q273" s="10" t="s">
        <v>1214</v>
      </c>
      <c r="R273" s="10" t="s">
        <v>1214</v>
      </c>
      <c r="S273" s="10" t="s">
        <v>1235</v>
      </c>
    </row>
    <row r="274" spans="1:19" ht="87" x14ac:dyDescent="0.35">
      <c r="A274" s="14">
        <v>46022</v>
      </c>
      <c r="B274" s="10" t="s">
        <v>314</v>
      </c>
      <c r="C274" s="10" t="s">
        <v>315</v>
      </c>
      <c r="D274" s="10" t="s">
        <v>1008</v>
      </c>
      <c r="E274" s="10">
        <v>4086798</v>
      </c>
      <c r="F274" s="15">
        <v>9.5</v>
      </c>
      <c r="G274" s="10" t="s">
        <v>1417</v>
      </c>
      <c r="H274" s="10">
        <v>4193273</v>
      </c>
      <c r="I274" s="10">
        <v>4065098</v>
      </c>
      <c r="J274" s="10" t="s">
        <v>1214</v>
      </c>
      <c r="K274" s="10" t="s">
        <v>1214</v>
      </c>
      <c r="L274" s="10" t="s">
        <v>1214</v>
      </c>
      <c r="M274" s="10" t="s">
        <v>1214</v>
      </c>
      <c r="N274" s="10" t="s">
        <v>1219</v>
      </c>
      <c r="O274" s="10" t="s">
        <v>1214</v>
      </c>
      <c r="P274" s="10" t="s">
        <v>1214</v>
      </c>
      <c r="Q274" s="10" t="s">
        <v>1214</v>
      </c>
      <c r="R274" s="10" t="s">
        <v>1214</v>
      </c>
      <c r="S274" s="10" t="s">
        <v>1235</v>
      </c>
    </row>
    <row r="275" spans="1:19" ht="87" x14ac:dyDescent="0.35">
      <c r="A275" s="14">
        <v>46022</v>
      </c>
      <c r="B275" s="10" t="s">
        <v>316</v>
      </c>
      <c r="C275" s="10" t="s">
        <v>317</v>
      </c>
      <c r="D275" s="10" t="s">
        <v>1007</v>
      </c>
      <c r="E275" s="10">
        <v>4193273</v>
      </c>
      <c r="F275" s="15">
        <v>50.06</v>
      </c>
      <c r="G275" s="10" t="s">
        <v>1418</v>
      </c>
      <c r="H275" s="10">
        <v>4193273</v>
      </c>
      <c r="I275" s="10">
        <v>4065098</v>
      </c>
      <c r="J275" s="10" t="s">
        <v>1214</v>
      </c>
      <c r="K275" s="10" t="s">
        <v>1214</v>
      </c>
      <c r="L275" s="10" t="s">
        <v>1214</v>
      </c>
      <c r="M275" s="10" t="s">
        <v>1214</v>
      </c>
      <c r="N275" s="10" t="s">
        <v>1219</v>
      </c>
      <c r="O275" s="10" t="s">
        <v>1214</v>
      </c>
      <c r="P275" s="10" t="s">
        <v>1214</v>
      </c>
      <c r="Q275" s="10" t="s">
        <v>1214</v>
      </c>
      <c r="R275" s="10" t="s">
        <v>1214</v>
      </c>
      <c r="S275" s="10" t="s">
        <v>1235</v>
      </c>
    </row>
    <row r="276" spans="1:19" ht="87" x14ac:dyDescent="0.35">
      <c r="A276" s="14">
        <v>46022</v>
      </c>
      <c r="B276" s="10" t="s">
        <v>316</v>
      </c>
      <c r="C276" s="10" t="s">
        <v>317</v>
      </c>
      <c r="D276" s="10" t="s">
        <v>945</v>
      </c>
      <c r="E276" s="10">
        <v>4349314</v>
      </c>
      <c r="F276" s="15">
        <v>20</v>
      </c>
      <c r="G276" s="10" t="s">
        <v>1418</v>
      </c>
      <c r="H276" s="10">
        <v>4193273</v>
      </c>
      <c r="I276" s="10">
        <v>4065098</v>
      </c>
      <c r="J276" s="10" t="s">
        <v>1214</v>
      </c>
      <c r="K276" s="10" t="s">
        <v>1214</v>
      </c>
      <c r="L276" s="10" t="s">
        <v>1214</v>
      </c>
      <c r="M276" s="10" t="s">
        <v>1214</v>
      </c>
      <c r="N276" s="10" t="s">
        <v>1219</v>
      </c>
      <c r="O276" s="10" t="s">
        <v>1214</v>
      </c>
      <c r="P276" s="10" t="s">
        <v>1214</v>
      </c>
      <c r="Q276" s="10" t="s">
        <v>1214</v>
      </c>
      <c r="R276" s="10" t="s">
        <v>1214</v>
      </c>
      <c r="S276" s="10" t="s">
        <v>1235</v>
      </c>
    </row>
    <row r="277" spans="1:19" ht="87" x14ac:dyDescent="0.35">
      <c r="A277" s="14">
        <v>46022</v>
      </c>
      <c r="B277" s="10" t="s">
        <v>316</v>
      </c>
      <c r="C277" s="10" t="s">
        <v>317</v>
      </c>
      <c r="D277" s="10" t="s">
        <v>949</v>
      </c>
      <c r="E277" s="10">
        <v>4065098</v>
      </c>
      <c r="F277" s="15">
        <v>20.440000000000001</v>
      </c>
      <c r="G277" s="10" t="s">
        <v>1418</v>
      </c>
      <c r="H277" s="10">
        <v>4193273</v>
      </c>
      <c r="I277" s="10">
        <v>4065098</v>
      </c>
      <c r="J277" s="10" t="s">
        <v>1214</v>
      </c>
      <c r="K277" s="10" t="s">
        <v>1214</v>
      </c>
      <c r="L277" s="10" t="s">
        <v>1214</v>
      </c>
      <c r="M277" s="10" t="s">
        <v>1214</v>
      </c>
      <c r="N277" s="10" t="s">
        <v>1219</v>
      </c>
      <c r="O277" s="10" t="s">
        <v>1214</v>
      </c>
      <c r="P277" s="10" t="s">
        <v>1214</v>
      </c>
      <c r="Q277" s="10" t="s">
        <v>1214</v>
      </c>
      <c r="R277" s="10" t="s">
        <v>1214</v>
      </c>
      <c r="S277" s="10" t="s">
        <v>1235</v>
      </c>
    </row>
    <row r="278" spans="1:19" ht="87" x14ac:dyDescent="0.35">
      <c r="A278" s="14">
        <v>46022</v>
      </c>
      <c r="B278" s="10" t="s">
        <v>316</v>
      </c>
      <c r="C278" s="10" t="s">
        <v>317</v>
      </c>
      <c r="D278" s="10" t="s">
        <v>1008</v>
      </c>
      <c r="E278" s="10">
        <v>4086798</v>
      </c>
      <c r="F278" s="15">
        <v>9.5</v>
      </c>
      <c r="G278" s="10" t="s">
        <v>1418</v>
      </c>
      <c r="H278" s="10">
        <v>4193273</v>
      </c>
      <c r="I278" s="10">
        <v>4065098</v>
      </c>
      <c r="J278" s="10" t="s">
        <v>1214</v>
      </c>
      <c r="K278" s="10" t="s">
        <v>1214</v>
      </c>
      <c r="L278" s="10" t="s">
        <v>1214</v>
      </c>
      <c r="M278" s="10" t="s">
        <v>1214</v>
      </c>
      <c r="N278" s="10" t="s">
        <v>1219</v>
      </c>
      <c r="O278" s="10" t="s">
        <v>1214</v>
      </c>
      <c r="P278" s="10" t="s">
        <v>1214</v>
      </c>
      <c r="Q278" s="10" t="s">
        <v>1214</v>
      </c>
      <c r="R278" s="10" t="s">
        <v>1214</v>
      </c>
      <c r="S278" s="10" t="s">
        <v>1235</v>
      </c>
    </row>
    <row r="279" spans="1:19" ht="101.5" x14ac:dyDescent="0.35">
      <c r="A279" s="14">
        <v>46022</v>
      </c>
      <c r="B279" s="10" t="s">
        <v>766</v>
      </c>
      <c r="C279" s="10" t="s">
        <v>767</v>
      </c>
      <c r="D279" s="10" t="s">
        <v>951</v>
      </c>
      <c r="E279" s="10">
        <v>4348083</v>
      </c>
      <c r="F279" s="15">
        <v>60</v>
      </c>
      <c r="G279" s="10" t="s">
        <v>1419</v>
      </c>
      <c r="H279" s="10">
        <v>4348083</v>
      </c>
      <c r="I279" s="10">
        <v>4361542</v>
      </c>
      <c r="J279" s="10" t="s">
        <v>1232</v>
      </c>
      <c r="K279" s="10" t="s">
        <v>1233</v>
      </c>
      <c r="L279" s="10" t="s">
        <v>1234</v>
      </c>
      <c r="M279" s="10" t="s">
        <v>1233</v>
      </c>
      <c r="N279" s="10" t="s">
        <v>1219</v>
      </c>
      <c r="O279" s="10" t="s">
        <v>1214</v>
      </c>
      <c r="P279" s="10" t="s">
        <v>1214</v>
      </c>
      <c r="Q279" s="10" t="s">
        <v>1214</v>
      </c>
      <c r="R279" s="10" t="s">
        <v>1214</v>
      </c>
      <c r="S279" s="10" t="s">
        <v>1235</v>
      </c>
    </row>
    <row r="280" spans="1:19" ht="101.5" x14ac:dyDescent="0.35">
      <c r="A280" s="14">
        <v>46022</v>
      </c>
      <c r="B280" s="10" t="s">
        <v>766</v>
      </c>
      <c r="C280" s="10" t="s">
        <v>767</v>
      </c>
      <c r="D280" s="10" t="s">
        <v>994</v>
      </c>
      <c r="E280" s="10">
        <v>4361542</v>
      </c>
      <c r="F280" s="15">
        <v>12.52</v>
      </c>
      <c r="G280" s="10" t="s">
        <v>1419</v>
      </c>
      <c r="H280" s="10">
        <v>4348083</v>
      </c>
      <c r="I280" s="10">
        <v>4361542</v>
      </c>
      <c r="J280" s="10" t="s">
        <v>1232</v>
      </c>
      <c r="K280" s="10" t="s">
        <v>1233</v>
      </c>
      <c r="L280" s="10" t="s">
        <v>1234</v>
      </c>
      <c r="M280" s="10" t="s">
        <v>1233</v>
      </c>
      <c r="N280" s="10" t="s">
        <v>1219</v>
      </c>
      <c r="O280" s="10" t="s">
        <v>1214</v>
      </c>
      <c r="P280" s="10" t="s">
        <v>1214</v>
      </c>
      <c r="Q280" s="10" t="s">
        <v>1214</v>
      </c>
      <c r="R280" s="10" t="s">
        <v>1214</v>
      </c>
      <c r="S280" s="10" t="s">
        <v>1235</v>
      </c>
    </row>
    <row r="281" spans="1:19" ht="101.5" x14ac:dyDescent="0.35">
      <c r="A281" s="14">
        <v>46022</v>
      </c>
      <c r="B281" s="10" t="s">
        <v>766</v>
      </c>
      <c r="C281" s="10" t="s">
        <v>767</v>
      </c>
      <c r="D281" s="10" t="s">
        <v>952</v>
      </c>
      <c r="E281" s="10">
        <v>4041871</v>
      </c>
      <c r="F281" s="15">
        <v>12.48</v>
      </c>
      <c r="G281" s="10" t="s">
        <v>1419</v>
      </c>
      <c r="H281" s="10">
        <v>4348083</v>
      </c>
      <c r="I281" s="10">
        <v>4361542</v>
      </c>
      <c r="J281" s="10" t="s">
        <v>1232</v>
      </c>
      <c r="K281" s="10" t="s">
        <v>1233</v>
      </c>
      <c r="L281" s="10" t="s">
        <v>1234</v>
      </c>
      <c r="M281" s="10" t="s">
        <v>1233</v>
      </c>
      <c r="N281" s="10" t="s">
        <v>1219</v>
      </c>
      <c r="O281" s="10" t="s">
        <v>1214</v>
      </c>
      <c r="P281" s="10" t="s">
        <v>1214</v>
      </c>
      <c r="Q281" s="10" t="s">
        <v>1214</v>
      </c>
      <c r="R281" s="10" t="s">
        <v>1214</v>
      </c>
      <c r="S281" s="10" t="s">
        <v>1235</v>
      </c>
    </row>
    <row r="282" spans="1:19" ht="101.5" x14ac:dyDescent="0.35">
      <c r="A282" s="14">
        <v>46022</v>
      </c>
      <c r="B282" s="10" t="s">
        <v>766</v>
      </c>
      <c r="C282" s="10" t="s">
        <v>767</v>
      </c>
      <c r="D282" s="10" t="s">
        <v>949</v>
      </c>
      <c r="E282" s="10">
        <v>4065098</v>
      </c>
      <c r="F282" s="15">
        <v>5</v>
      </c>
      <c r="G282" s="10" t="s">
        <v>1419</v>
      </c>
      <c r="H282" s="10">
        <v>4348083</v>
      </c>
      <c r="I282" s="10">
        <v>4361542</v>
      </c>
      <c r="J282" s="10" t="s">
        <v>1232</v>
      </c>
      <c r="K282" s="10" t="s">
        <v>1233</v>
      </c>
      <c r="L282" s="10" t="s">
        <v>1234</v>
      </c>
      <c r="M282" s="10" t="s">
        <v>1233</v>
      </c>
      <c r="N282" s="10" t="s">
        <v>1219</v>
      </c>
      <c r="O282" s="10" t="s">
        <v>1214</v>
      </c>
      <c r="P282" s="10" t="s">
        <v>1214</v>
      </c>
      <c r="Q282" s="10" t="s">
        <v>1214</v>
      </c>
      <c r="R282" s="10" t="s">
        <v>1214</v>
      </c>
      <c r="S282" s="10" t="s">
        <v>1235</v>
      </c>
    </row>
    <row r="283" spans="1:19" ht="101.5" x14ac:dyDescent="0.35">
      <c r="A283" s="14">
        <v>46022</v>
      </c>
      <c r="B283" s="10" t="s">
        <v>766</v>
      </c>
      <c r="C283" s="10" t="s">
        <v>767</v>
      </c>
      <c r="D283" s="10" t="s">
        <v>1033</v>
      </c>
      <c r="E283" s="10">
        <v>4212961</v>
      </c>
      <c r="F283" s="15">
        <v>10</v>
      </c>
      <c r="G283" s="10" t="s">
        <v>1419</v>
      </c>
      <c r="H283" s="10">
        <v>4348083</v>
      </c>
      <c r="I283" s="10">
        <v>4361542</v>
      </c>
      <c r="J283" s="10" t="s">
        <v>1232</v>
      </c>
      <c r="K283" s="10" t="s">
        <v>1233</v>
      </c>
      <c r="L283" s="10" t="s">
        <v>1234</v>
      </c>
      <c r="M283" s="10" t="s">
        <v>1233</v>
      </c>
      <c r="N283" s="10" t="s">
        <v>1219</v>
      </c>
      <c r="O283" s="10" t="s">
        <v>1214</v>
      </c>
      <c r="P283" s="10" t="s">
        <v>1214</v>
      </c>
      <c r="Q283" s="10" t="s">
        <v>1214</v>
      </c>
      <c r="R283" s="10" t="s">
        <v>1214</v>
      </c>
      <c r="S283" s="10" t="s">
        <v>1235</v>
      </c>
    </row>
    <row r="284" spans="1:19" ht="101.5" x14ac:dyDescent="0.35">
      <c r="A284" s="14">
        <v>46022</v>
      </c>
      <c r="B284" s="10" t="s">
        <v>318</v>
      </c>
      <c r="C284" s="10" t="s">
        <v>319</v>
      </c>
      <c r="D284" s="10" t="s">
        <v>1085</v>
      </c>
      <c r="E284" s="10">
        <v>4983224</v>
      </c>
      <c r="F284" s="15">
        <v>80</v>
      </c>
      <c r="G284" s="10" t="s">
        <v>1420</v>
      </c>
      <c r="H284" s="10">
        <v>4983224</v>
      </c>
      <c r="I284" s="10">
        <v>4355602</v>
      </c>
      <c r="J284" s="10" t="s">
        <v>1421</v>
      </c>
      <c r="K284" s="10" t="s">
        <v>61</v>
      </c>
      <c r="L284" s="10" t="s">
        <v>1421</v>
      </c>
      <c r="M284" s="10" t="s">
        <v>61</v>
      </c>
      <c r="N284" s="10" t="s">
        <v>61</v>
      </c>
      <c r="O284" s="10" t="s">
        <v>1295</v>
      </c>
      <c r="P284" s="10" t="s">
        <v>122</v>
      </c>
      <c r="Q284" s="10" t="s">
        <v>1295</v>
      </c>
      <c r="R284" s="10" t="s">
        <v>122</v>
      </c>
      <c r="S284" s="10" t="s">
        <v>122</v>
      </c>
    </row>
    <row r="285" spans="1:19" ht="101.5" x14ac:dyDescent="0.35">
      <c r="A285" s="14">
        <v>46022</v>
      </c>
      <c r="B285" s="10" t="s">
        <v>318</v>
      </c>
      <c r="C285" s="10" t="s">
        <v>319</v>
      </c>
      <c r="D285" s="10" t="s">
        <v>1002</v>
      </c>
      <c r="E285" s="10">
        <v>4355602</v>
      </c>
      <c r="F285" s="15">
        <v>20</v>
      </c>
      <c r="G285" s="10" t="s">
        <v>1420</v>
      </c>
      <c r="H285" s="10">
        <v>4983224</v>
      </c>
      <c r="I285" s="10">
        <v>4355602</v>
      </c>
      <c r="J285" s="10" t="s">
        <v>1421</v>
      </c>
      <c r="K285" s="10" t="s">
        <v>61</v>
      </c>
      <c r="L285" s="10" t="s">
        <v>1421</v>
      </c>
      <c r="M285" s="10" t="s">
        <v>61</v>
      </c>
      <c r="N285" s="10" t="s">
        <v>61</v>
      </c>
      <c r="O285" s="10" t="s">
        <v>1295</v>
      </c>
      <c r="P285" s="10" t="s">
        <v>122</v>
      </c>
      <c r="Q285" s="10" t="s">
        <v>1295</v>
      </c>
      <c r="R285" s="10" t="s">
        <v>122</v>
      </c>
      <c r="S285" s="10" t="s">
        <v>122</v>
      </c>
    </row>
    <row r="286" spans="1:19" ht="43.5" x14ac:dyDescent="0.35">
      <c r="A286" s="14">
        <v>46022</v>
      </c>
      <c r="B286" s="10" t="s">
        <v>768</v>
      </c>
      <c r="C286" s="10" t="s">
        <v>769</v>
      </c>
      <c r="D286" s="10" t="s">
        <v>981</v>
      </c>
      <c r="E286" s="10">
        <v>4120225</v>
      </c>
      <c r="F286" s="15">
        <v>100</v>
      </c>
      <c r="G286" s="10" t="s">
        <v>1422</v>
      </c>
      <c r="H286" s="10">
        <v>4120225</v>
      </c>
      <c r="I286" s="10" t="s">
        <v>1194</v>
      </c>
      <c r="J286" s="10" t="s">
        <v>1214</v>
      </c>
      <c r="K286" s="10" t="s">
        <v>1214</v>
      </c>
      <c r="L286" s="10" t="s">
        <v>1214</v>
      </c>
      <c r="M286" s="10" t="s">
        <v>1214</v>
      </c>
      <c r="N286" s="10" t="s">
        <v>222</v>
      </c>
      <c r="O286" s="10" t="s">
        <v>1214</v>
      </c>
      <c r="P286" s="10" t="s">
        <v>1214</v>
      </c>
      <c r="Q286" s="10" t="s">
        <v>1214</v>
      </c>
      <c r="R286" s="10" t="s">
        <v>1214</v>
      </c>
      <c r="S286" s="10" t="s">
        <v>61</v>
      </c>
    </row>
    <row r="287" spans="1:19" ht="87" x14ac:dyDescent="0.35">
      <c r="A287" s="14">
        <v>46022</v>
      </c>
      <c r="B287" s="10" t="s">
        <v>770</v>
      </c>
      <c r="C287" s="10" t="s">
        <v>771</v>
      </c>
      <c r="D287" s="10" t="s">
        <v>1086</v>
      </c>
      <c r="E287" s="10">
        <v>10931251</v>
      </c>
      <c r="F287" s="15">
        <v>100</v>
      </c>
      <c r="G287" s="10" t="s">
        <v>1423</v>
      </c>
      <c r="H287" s="10">
        <v>10931251</v>
      </c>
      <c r="I287" s="10" t="s">
        <v>1194</v>
      </c>
      <c r="J287" s="10" t="s">
        <v>1214</v>
      </c>
      <c r="K287" s="10" t="s">
        <v>1214</v>
      </c>
      <c r="L287" s="10" t="s">
        <v>1214</v>
      </c>
      <c r="M287" s="10" t="s">
        <v>1214</v>
      </c>
      <c r="N287" s="10" t="s">
        <v>61</v>
      </c>
      <c r="O287" s="10" t="s">
        <v>1214</v>
      </c>
      <c r="P287" s="10" t="s">
        <v>1214</v>
      </c>
      <c r="Q287" s="10" t="s">
        <v>1214</v>
      </c>
      <c r="R287" s="10" t="s">
        <v>1214</v>
      </c>
      <c r="S287" s="10" t="s">
        <v>61</v>
      </c>
    </row>
    <row r="288" spans="1:19" ht="72.5" x14ac:dyDescent="0.35">
      <c r="A288" s="14">
        <v>46022</v>
      </c>
      <c r="B288" s="10" t="s">
        <v>320</v>
      </c>
      <c r="C288" s="10" t="s">
        <v>321</v>
      </c>
      <c r="D288" s="10" t="s">
        <v>1087</v>
      </c>
      <c r="E288" s="10">
        <v>10931198</v>
      </c>
      <c r="F288" s="15">
        <v>100</v>
      </c>
      <c r="G288" s="10" t="s">
        <v>1424</v>
      </c>
      <c r="H288" s="10">
        <v>10931198</v>
      </c>
      <c r="I288" s="10" t="s">
        <v>1194</v>
      </c>
      <c r="J288" s="10" t="s">
        <v>1214</v>
      </c>
      <c r="K288" s="10" t="s">
        <v>1214</v>
      </c>
      <c r="L288" s="10" t="s">
        <v>1214</v>
      </c>
      <c r="M288" s="10" t="s">
        <v>1214</v>
      </c>
      <c r="N288" s="10" t="s">
        <v>61</v>
      </c>
      <c r="O288" s="10" t="s">
        <v>1214</v>
      </c>
      <c r="P288" s="10" t="s">
        <v>1214</v>
      </c>
      <c r="Q288" s="10" t="s">
        <v>1214</v>
      </c>
      <c r="R288" s="10" t="s">
        <v>1214</v>
      </c>
      <c r="S288" s="10" t="s">
        <v>61</v>
      </c>
    </row>
    <row r="289" spans="1:19" ht="58" x14ac:dyDescent="0.35">
      <c r="A289" s="14">
        <v>46022</v>
      </c>
      <c r="B289" s="10" t="s">
        <v>772</v>
      </c>
      <c r="C289" s="10" t="s">
        <v>773</v>
      </c>
      <c r="D289" s="10" t="s">
        <v>1088</v>
      </c>
      <c r="E289" s="10">
        <v>10948013</v>
      </c>
      <c r="F289" s="15">
        <v>100</v>
      </c>
      <c r="G289" s="10" t="s">
        <v>1425</v>
      </c>
      <c r="H289" s="10">
        <v>10948013</v>
      </c>
      <c r="I289" s="10" t="s">
        <v>1194</v>
      </c>
      <c r="J289" s="10" t="s">
        <v>1214</v>
      </c>
      <c r="K289" s="10" t="s">
        <v>1214</v>
      </c>
      <c r="L289" s="10" t="s">
        <v>1214</v>
      </c>
      <c r="M289" s="10" t="s">
        <v>1214</v>
      </c>
      <c r="N289" s="10" t="s">
        <v>61</v>
      </c>
      <c r="O289" s="10" t="s">
        <v>1214</v>
      </c>
      <c r="P289" s="10" t="s">
        <v>1214</v>
      </c>
      <c r="Q289" s="10" t="s">
        <v>1214</v>
      </c>
      <c r="R289" s="10" t="s">
        <v>1214</v>
      </c>
      <c r="S289" s="10" t="s">
        <v>61</v>
      </c>
    </row>
    <row r="290" spans="1:19" ht="87" x14ac:dyDescent="0.35">
      <c r="A290" s="14">
        <v>46022</v>
      </c>
      <c r="B290" s="10" t="s">
        <v>577</v>
      </c>
      <c r="C290" s="10" t="s">
        <v>578</v>
      </c>
      <c r="D290" s="10" t="s">
        <v>1001</v>
      </c>
      <c r="E290" s="10">
        <v>4349160</v>
      </c>
      <c r="F290" s="15">
        <v>42</v>
      </c>
      <c r="G290" s="10" t="s">
        <v>1426</v>
      </c>
      <c r="H290" s="10">
        <v>4349160</v>
      </c>
      <c r="I290" s="10">
        <v>19378802</v>
      </c>
      <c r="J290" s="10" t="s">
        <v>1292</v>
      </c>
      <c r="K290" s="10" t="s">
        <v>61</v>
      </c>
      <c r="L290" s="10" t="s">
        <v>1293</v>
      </c>
      <c r="M290" s="10" t="s">
        <v>1294</v>
      </c>
      <c r="N290" s="10" t="s">
        <v>61</v>
      </c>
      <c r="O290" s="10" t="s">
        <v>1214</v>
      </c>
      <c r="P290" s="10" t="s">
        <v>1214</v>
      </c>
      <c r="Q290" s="10" t="s">
        <v>1214</v>
      </c>
      <c r="R290" s="10" t="s">
        <v>1214</v>
      </c>
      <c r="S290" s="10" t="s">
        <v>79</v>
      </c>
    </row>
    <row r="291" spans="1:19" ht="87" x14ac:dyDescent="0.35">
      <c r="A291" s="14">
        <v>46022</v>
      </c>
      <c r="B291" s="10" t="s">
        <v>577</v>
      </c>
      <c r="C291" s="10" t="s">
        <v>578</v>
      </c>
      <c r="D291" s="10" t="s">
        <v>1089</v>
      </c>
      <c r="E291" s="10">
        <v>19378802</v>
      </c>
      <c r="F291" s="15">
        <v>35</v>
      </c>
      <c r="G291" s="10" t="s">
        <v>1426</v>
      </c>
      <c r="H291" s="10">
        <v>4349160</v>
      </c>
      <c r="I291" s="10">
        <v>19378802</v>
      </c>
      <c r="J291" s="10" t="s">
        <v>1292</v>
      </c>
      <c r="K291" s="10" t="s">
        <v>61</v>
      </c>
      <c r="L291" s="10" t="s">
        <v>1293</v>
      </c>
      <c r="M291" s="10" t="s">
        <v>1294</v>
      </c>
      <c r="N291" s="10" t="s">
        <v>61</v>
      </c>
      <c r="O291" s="10" t="s">
        <v>1214</v>
      </c>
      <c r="P291" s="10" t="s">
        <v>1214</v>
      </c>
      <c r="Q291" s="10" t="s">
        <v>1214</v>
      </c>
      <c r="R291" s="10" t="s">
        <v>1214</v>
      </c>
      <c r="S291" s="10" t="s">
        <v>79</v>
      </c>
    </row>
    <row r="292" spans="1:19" x14ac:dyDescent="0.35">
      <c r="A292" s="14">
        <v>46022</v>
      </c>
      <c r="B292" s="10" t="s">
        <v>322</v>
      </c>
      <c r="C292" s="10" t="s">
        <v>323</v>
      </c>
      <c r="D292" s="10" t="s">
        <v>1090</v>
      </c>
      <c r="E292" s="10">
        <v>4223919</v>
      </c>
      <c r="F292" s="15">
        <v>100</v>
      </c>
      <c r="G292" s="10" t="s">
        <v>1427</v>
      </c>
      <c r="H292" s="10">
        <v>4223919</v>
      </c>
      <c r="I292" s="10" t="s">
        <v>1194</v>
      </c>
      <c r="J292" s="10" t="s">
        <v>1214</v>
      </c>
      <c r="K292" s="10" t="s">
        <v>1214</v>
      </c>
      <c r="L292" s="10" t="s">
        <v>1214</v>
      </c>
      <c r="M292" s="10" t="s">
        <v>1214</v>
      </c>
      <c r="N292" s="10" t="s">
        <v>55</v>
      </c>
      <c r="O292" s="10" t="s">
        <v>1214</v>
      </c>
      <c r="P292" s="10" t="s">
        <v>1214</v>
      </c>
      <c r="Q292" s="10" t="s">
        <v>1214</v>
      </c>
      <c r="R292" s="10" t="s">
        <v>1214</v>
      </c>
      <c r="S292" s="10" t="s">
        <v>61</v>
      </c>
    </row>
    <row r="293" spans="1:19" ht="43.5" x14ac:dyDescent="0.35">
      <c r="A293" s="14">
        <v>46022</v>
      </c>
      <c r="B293" s="10" t="s">
        <v>774</v>
      </c>
      <c r="C293" s="10" t="s">
        <v>775</v>
      </c>
      <c r="D293" s="10" t="s">
        <v>1013</v>
      </c>
      <c r="E293" s="10">
        <v>4348938</v>
      </c>
      <c r="F293" s="15">
        <v>100</v>
      </c>
      <c r="G293" s="10" t="s">
        <v>1313</v>
      </c>
      <c r="H293" s="10">
        <v>4348938</v>
      </c>
      <c r="I293" s="10" t="s">
        <v>1194</v>
      </c>
      <c r="J293" s="10" t="s">
        <v>1214</v>
      </c>
      <c r="K293" s="10" t="s">
        <v>1214</v>
      </c>
      <c r="L293" s="10" t="s">
        <v>1214</v>
      </c>
      <c r="M293" s="10" t="s">
        <v>1214</v>
      </c>
      <c r="N293" s="10" t="s">
        <v>222</v>
      </c>
      <c r="O293" s="10" t="s">
        <v>1214</v>
      </c>
      <c r="P293" s="10" t="s">
        <v>1214</v>
      </c>
      <c r="Q293" s="10" t="s">
        <v>1214</v>
      </c>
      <c r="R293" s="10" t="s">
        <v>1214</v>
      </c>
      <c r="S293" s="10" t="s">
        <v>61</v>
      </c>
    </row>
    <row r="294" spans="1:19" ht="43.5" x14ac:dyDescent="0.35">
      <c r="A294" s="14">
        <v>46022</v>
      </c>
      <c r="B294" s="10" t="s">
        <v>579</v>
      </c>
      <c r="C294" s="10" t="s">
        <v>580</v>
      </c>
      <c r="D294" s="10" t="s">
        <v>1013</v>
      </c>
      <c r="E294" s="10">
        <v>4348938</v>
      </c>
      <c r="F294" s="15">
        <v>100</v>
      </c>
      <c r="G294" s="10" t="s">
        <v>1313</v>
      </c>
      <c r="H294" s="10">
        <v>4348938</v>
      </c>
      <c r="I294" s="10" t="s">
        <v>1194</v>
      </c>
      <c r="J294" s="10" t="s">
        <v>1214</v>
      </c>
      <c r="K294" s="10" t="s">
        <v>1214</v>
      </c>
      <c r="L294" s="10" t="s">
        <v>1214</v>
      </c>
      <c r="M294" s="10" t="s">
        <v>1214</v>
      </c>
      <c r="N294" s="10" t="s">
        <v>222</v>
      </c>
      <c r="O294" s="10" t="s">
        <v>1214</v>
      </c>
      <c r="P294" s="10" t="s">
        <v>1214</v>
      </c>
      <c r="Q294" s="10" t="s">
        <v>1214</v>
      </c>
      <c r="R294" s="10" t="s">
        <v>1214</v>
      </c>
      <c r="S294" s="10" t="s">
        <v>61</v>
      </c>
    </row>
    <row r="295" spans="1:19" ht="58" x14ac:dyDescent="0.35">
      <c r="A295" s="14">
        <v>46022</v>
      </c>
      <c r="B295" s="10" t="s">
        <v>581</v>
      </c>
      <c r="C295" s="10" t="s">
        <v>582</v>
      </c>
      <c r="D295" s="10" t="s">
        <v>1013</v>
      </c>
      <c r="E295" s="10">
        <v>4348938</v>
      </c>
      <c r="F295" s="15">
        <v>69.989999999999995</v>
      </c>
      <c r="G295" s="10" t="s">
        <v>1428</v>
      </c>
      <c r="H295" s="10">
        <v>4348938</v>
      </c>
      <c r="I295" s="10">
        <v>4212961</v>
      </c>
      <c r="J295" s="10" t="s">
        <v>1214</v>
      </c>
      <c r="K295" s="10" t="s">
        <v>1214</v>
      </c>
      <c r="L295" s="10" t="s">
        <v>1214</v>
      </c>
      <c r="M295" s="10" t="s">
        <v>1214</v>
      </c>
      <c r="N295" s="10" t="s">
        <v>222</v>
      </c>
      <c r="O295" s="10" t="s">
        <v>1214</v>
      </c>
      <c r="P295" s="10" t="s">
        <v>1214</v>
      </c>
      <c r="Q295" s="10" t="s">
        <v>1214</v>
      </c>
      <c r="R295" s="10" t="s">
        <v>1214</v>
      </c>
      <c r="S295" s="10" t="s">
        <v>1235</v>
      </c>
    </row>
    <row r="296" spans="1:19" ht="58" x14ac:dyDescent="0.35">
      <c r="A296" s="14">
        <v>46022</v>
      </c>
      <c r="B296" s="10" t="s">
        <v>581</v>
      </c>
      <c r="C296" s="10" t="s">
        <v>582</v>
      </c>
      <c r="D296" s="10" t="s">
        <v>1033</v>
      </c>
      <c r="E296" s="10">
        <v>4212961</v>
      </c>
      <c r="F296" s="15">
        <v>30</v>
      </c>
      <c r="G296" s="10" t="s">
        <v>1428</v>
      </c>
      <c r="H296" s="10">
        <v>4348938</v>
      </c>
      <c r="I296" s="10">
        <v>4212961</v>
      </c>
      <c r="J296" s="10" t="s">
        <v>1214</v>
      </c>
      <c r="K296" s="10" t="s">
        <v>1214</v>
      </c>
      <c r="L296" s="10" t="s">
        <v>1214</v>
      </c>
      <c r="M296" s="10" t="s">
        <v>1214</v>
      </c>
      <c r="N296" s="10" t="s">
        <v>222</v>
      </c>
      <c r="O296" s="10" t="s">
        <v>1214</v>
      </c>
      <c r="P296" s="10" t="s">
        <v>1214</v>
      </c>
      <c r="Q296" s="10" t="s">
        <v>1214</v>
      </c>
      <c r="R296" s="10" t="s">
        <v>1214</v>
      </c>
      <c r="S296" s="10" t="s">
        <v>1235</v>
      </c>
    </row>
    <row r="297" spans="1:19" ht="58" x14ac:dyDescent="0.35">
      <c r="A297" s="14">
        <v>46022</v>
      </c>
      <c r="B297" s="10" t="s">
        <v>380</v>
      </c>
      <c r="C297" s="10" t="s">
        <v>381</v>
      </c>
      <c r="D297" s="10" t="s">
        <v>1013</v>
      </c>
      <c r="E297" s="10">
        <v>4348938</v>
      </c>
      <c r="F297" s="15">
        <v>69.989999999999995</v>
      </c>
      <c r="G297" s="10" t="s">
        <v>1429</v>
      </c>
      <c r="H297" s="10">
        <v>4348938</v>
      </c>
      <c r="I297" s="10">
        <v>4212961</v>
      </c>
      <c r="J297" s="10" t="s">
        <v>1214</v>
      </c>
      <c r="K297" s="10" t="s">
        <v>1214</v>
      </c>
      <c r="L297" s="10" t="s">
        <v>1214</v>
      </c>
      <c r="M297" s="10" t="s">
        <v>1214</v>
      </c>
      <c r="N297" s="10" t="s">
        <v>222</v>
      </c>
      <c r="O297" s="10" t="s">
        <v>1214</v>
      </c>
      <c r="P297" s="10" t="s">
        <v>1214</v>
      </c>
      <c r="Q297" s="10" t="s">
        <v>1214</v>
      </c>
      <c r="R297" s="10" t="s">
        <v>1214</v>
      </c>
      <c r="S297" s="10" t="s">
        <v>1235</v>
      </c>
    </row>
    <row r="298" spans="1:19" ht="58" x14ac:dyDescent="0.35">
      <c r="A298" s="14">
        <v>46022</v>
      </c>
      <c r="B298" s="10" t="s">
        <v>380</v>
      </c>
      <c r="C298" s="10" t="s">
        <v>381</v>
      </c>
      <c r="D298" s="10" t="s">
        <v>1033</v>
      </c>
      <c r="E298" s="10">
        <v>4212961</v>
      </c>
      <c r="F298" s="15">
        <v>30</v>
      </c>
      <c r="G298" s="10" t="s">
        <v>1429</v>
      </c>
      <c r="H298" s="10">
        <v>4348938</v>
      </c>
      <c r="I298" s="10">
        <v>4212961</v>
      </c>
      <c r="J298" s="10" t="s">
        <v>1214</v>
      </c>
      <c r="K298" s="10" t="s">
        <v>1214</v>
      </c>
      <c r="L298" s="10" t="s">
        <v>1214</v>
      </c>
      <c r="M298" s="10" t="s">
        <v>1214</v>
      </c>
      <c r="N298" s="10" t="s">
        <v>222</v>
      </c>
      <c r="O298" s="10" t="s">
        <v>1214</v>
      </c>
      <c r="P298" s="10" t="s">
        <v>1214</v>
      </c>
      <c r="Q298" s="10" t="s">
        <v>1214</v>
      </c>
      <c r="R298" s="10" t="s">
        <v>1214</v>
      </c>
      <c r="S298" s="10" t="s">
        <v>1235</v>
      </c>
    </row>
    <row r="299" spans="1:19" ht="29" x14ac:dyDescent="0.35">
      <c r="A299" s="14">
        <v>46022</v>
      </c>
      <c r="B299" s="10" t="s">
        <v>583</v>
      </c>
      <c r="C299" s="10" t="s">
        <v>584</v>
      </c>
      <c r="D299" s="10" t="s">
        <v>962</v>
      </c>
      <c r="E299" s="10">
        <v>4353456</v>
      </c>
      <c r="F299" s="15">
        <v>100</v>
      </c>
      <c r="G299" s="10" t="s">
        <v>1296</v>
      </c>
      <c r="H299" s="10">
        <v>4353456</v>
      </c>
      <c r="I299" s="10" t="s">
        <v>1194</v>
      </c>
      <c r="J299" s="10" t="s">
        <v>1214</v>
      </c>
      <c r="K299" s="10" t="s">
        <v>1214</v>
      </c>
      <c r="L299" s="10" t="s">
        <v>1214</v>
      </c>
      <c r="M299" s="10" t="s">
        <v>1214</v>
      </c>
      <c r="N299" s="10" t="s">
        <v>61</v>
      </c>
      <c r="O299" s="10" t="s">
        <v>1214</v>
      </c>
      <c r="P299" s="10" t="s">
        <v>1214</v>
      </c>
      <c r="Q299" s="10" t="s">
        <v>1214</v>
      </c>
      <c r="R299" s="10" t="s">
        <v>1214</v>
      </c>
      <c r="S299" s="10" t="s">
        <v>61</v>
      </c>
    </row>
    <row r="300" spans="1:19" ht="58" x14ac:dyDescent="0.35">
      <c r="A300" s="14">
        <v>46022</v>
      </c>
      <c r="B300" s="10" t="s">
        <v>324</v>
      </c>
      <c r="C300" s="10" t="s">
        <v>325</v>
      </c>
      <c r="D300" s="10" t="s">
        <v>959</v>
      </c>
      <c r="E300" s="10">
        <v>4352362</v>
      </c>
      <c r="F300" s="15">
        <v>99.99</v>
      </c>
      <c r="G300" s="10" t="s">
        <v>1242</v>
      </c>
      <c r="H300" s="10">
        <v>4352362</v>
      </c>
      <c r="I300" s="10">
        <v>4400798</v>
      </c>
      <c r="J300" s="10" t="s">
        <v>1214</v>
      </c>
      <c r="K300" s="10" t="s">
        <v>1214</v>
      </c>
      <c r="L300" s="10" t="s">
        <v>1214</v>
      </c>
      <c r="M300" s="10" t="s">
        <v>1214</v>
      </c>
      <c r="N300" s="10" t="s">
        <v>111</v>
      </c>
      <c r="O300" s="10" t="s">
        <v>1214</v>
      </c>
      <c r="P300" s="10" t="s">
        <v>1214</v>
      </c>
      <c r="Q300" s="10" t="s">
        <v>1214</v>
      </c>
      <c r="R300" s="10" t="s">
        <v>1214</v>
      </c>
      <c r="S300" s="10" t="s">
        <v>79</v>
      </c>
    </row>
    <row r="301" spans="1:19" ht="58" x14ac:dyDescent="0.35">
      <c r="A301" s="14">
        <v>46022</v>
      </c>
      <c r="B301" s="10" t="s">
        <v>776</v>
      </c>
      <c r="C301" s="10" t="s">
        <v>777</v>
      </c>
      <c r="D301" s="10" t="s">
        <v>1091</v>
      </c>
      <c r="E301" s="10">
        <v>4351200</v>
      </c>
      <c r="F301" s="15">
        <v>19.36</v>
      </c>
      <c r="G301" s="10" t="s">
        <v>1430</v>
      </c>
      <c r="H301" s="10">
        <v>4379789</v>
      </c>
      <c r="I301" s="10">
        <v>4351200</v>
      </c>
      <c r="J301" s="10" t="s">
        <v>1214</v>
      </c>
      <c r="K301" s="10" t="s">
        <v>1214</v>
      </c>
      <c r="L301" s="10" t="s">
        <v>1214</v>
      </c>
      <c r="M301" s="10" t="s">
        <v>1214</v>
      </c>
      <c r="N301" s="10" t="s">
        <v>105</v>
      </c>
      <c r="O301" s="10" t="s">
        <v>1431</v>
      </c>
      <c r="P301" s="10" t="s">
        <v>105</v>
      </c>
      <c r="Q301" s="10" t="s">
        <v>1432</v>
      </c>
      <c r="R301" s="10" t="s">
        <v>105</v>
      </c>
      <c r="S301" s="10" t="s">
        <v>105</v>
      </c>
    </row>
    <row r="302" spans="1:19" ht="58" x14ac:dyDescent="0.35">
      <c r="A302" s="14">
        <v>46022</v>
      </c>
      <c r="B302" s="10" t="s">
        <v>776</v>
      </c>
      <c r="C302" s="10" t="s">
        <v>777</v>
      </c>
      <c r="D302" s="10" t="s">
        <v>1077</v>
      </c>
      <c r="E302" s="10">
        <v>4379789</v>
      </c>
      <c r="F302" s="15">
        <v>80.64</v>
      </c>
      <c r="G302" s="10" t="s">
        <v>1430</v>
      </c>
      <c r="H302" s="10">
        <v>4379789</v>
      </c>
      <c r="I302" s="10">
        <v>4351200</v>
      </c>
      <c r="J302" s="10" t="s">
        <v>1214</v>
      </c>
      <c r="K302" s="10" t="s">
        <v>1214</v>
      </c>
      <c r="L302" s="10" t="s">
        <v>1214</v>
      </c>
      <c r="M302" s="10" t="s">
        <v>1214</v>
      </c>
      <c r="N302" s="10" t="s">
        <v>105</v>
      </c>
      <c r="O302" s="10" t="s">
        <v>1431</v>
      </c>
      <c r="P302" s="10" t="s">
        <v>105</v>
      </c>
      <c r="Q302" s="10" t="s">
        <v>1432</v>
      </c>
      <c r="R302" s="10" t="s">
        <v>105</v>
      </c>
      <c r="S302" s="10" t="s">
        <v>105</v>
      </c>
    </row>
    <row r="303" spans="1:19" ht="43.5" x14ac:dyDescent="0.35">
      <c r="A303" s="14">
        <v>46022</v>
      </c>
      <c r="B303" s="10" t="s">
        <v>382</v>
      </c>
      <c r="C303" s="10" t="s">
        <v>383</v>
      </c>
      <c r="D303" s="10" t="s">
        <v>1092</v>
      </c>
      <c r="E303" s="10">
        <v>4354011</v>
      </c>
      <c r="F303" s="15">
        <v>100</v>
      </c>
      <c r="G303" s="10" t="s">
        <v>1433</v>
      </c>
      <c r="H303" s="10">
        <v>4354011</v>
      </c>
      <c r="I303" s="10" t="s">
        <v>1194</v>
      </c>
      <c r="J303" s="10" t="s">
        <v>1214</v>
      </c>
      <c r="K303" s="10" t="s">
        <v>1214</v>
      </c>
      <c r="L303" s="10" t="s">
        <v>1214</v>
      </c>
      <c r="M303" s="10" t="s">
        <v>1214</v>
      </c>
      <c r="N303" s="10" t="s">
        <v>89</v>
      </c>
      <c r="O303" s="10" t="s">
        <v>1214</v>
      </c>
      <c r="P303" s="10" t="s">
        <v>1214</v>
      </c>
      <c r="Q303" s="10" t="s">
        <v>1214</v>
      </c>
      <c r="R303" s="10" t="s">
        <v>1214</v>
      </c>
      <c r="S303" s="10" t="s">
        <v>61</v>
      </c>
    </row>
    <row r="304" spans="1:19" ht="58" x14ac:dyDescent="0.35">
      <c r="A304" s="14">
        <v>46022</v>
      </c>
      <c r="B304" s="10" t="s">
        <v>356</v>
      </c>
      <c r="C304" s="10" t="s">
        <v>357</v>
      </c>
      <c r="D304" s="10" t="s">
        <v>1093</v>
      </c>
      <c r="E304" s="10">
        <v>8380433</v>
      </c>
      <c r="F304" s="15">
        <v>100</v>
      </c>
      <c r="G304" s="10" t="s">
        <v>1434</v>
      </c>
      <c r="H304" s="10">
        <v>8380433</v>
      </c>
      <c r="I304" s="10" t="s">
        <v>1194</v>
      </c>
      <c r="J304" s="10" t="s">
        <v>1435</v>
      </c>
      <c r="K304" s="10" t="s">
        <v>1240</v>
      </c>
      <c r="L304" s="10" t="s">
        <v>1435</v>
      </c>
      <c r="M304" s="10" t="s">
        <v>1240</v>
      </c>
      <c r="N304" s="10" t="s">
        <v>69</v>
      </c>
      <c r="O304" s="10" t="s">
        <v>1214</v>
      </c>
      <c r="P304" s="10" t="s">
        <v>1214</v>
      </c>
      <c r="Q304" s="10" t="s">
        <v>1214</v>
      </c>
      <c r="R304" s="10" t="s">
        <v>1214</v>
      </c>
      <c r="S304" s="10" t="s">
        <v>61</v>
      </c>
    </row>
    <row r="305" spans="1:19" ht="43.5" x14ac:dyDescent="0.35">
      <c r="A305" s="14">
        <v>46022</v>
      </c>
      <c r="B305" s="10" t="s">
        <v>778</v>
      </c>
      <c r="C305" s="10" t="s">
        <v>779</v>
      </c>
      <c r="D305" s="10" t="s">
        <v>963</v>
      </c>
      <c r="E305" s="10">
        <v>4004107</v>
      </c>
      <c r="F305" s="15">
        <v>100</v>
      </c>
      <c r="G305" s="10" t="s">
        <v>1245</v>
      </c>
      <c r="H305" s="10">
        <v>4004107</v>
      </c>
      <c r="I305" s="10" t="s">
        <v>1194</v>
      </c>
      <c r="J305" s="10" t="s">
        <v>1214</v>
      </c>
      <c r="K305" s="10" t="s">
        <v>1214</v>
      </c>
      <c r="L305" s="10" t="s">
        <v>1214</v>
      </c>
      <c r="M305" s="10" t="s">
        <v>1214</v>
      </c>
      <c r="N305" s="10" t="s">
        <v>79</v>
      </c>
      <c r="O305" s="10" t="s">
        <v>1214</v>
      </c>
      <c r="P305" s="10" t="s">
        <v>1214</v>
      </c>
      <c r="Q305" s="10" t="s">
        <v>1214</v>
      </c>
      <c r="R305" s="10" t="s">
        <v>1214</v>
      </c>
      <c r="S305" s="10" t="s">
        <v>61</v>
      </c>
    </row>
    <row r="306" spans="1:19" ht="43.5" x14ac:dyDescent="0.35">
      <c r="A306" s="14">
        <v>46022</v>
      </c>
      <c r="B306" s="10" t="s">
        <v>414</v>
      </c>
      <c r="C306" s="10" t="s">
        <v>415</v>
      </c>
      <c r="D306" s="10" t="s">
        <v>990</v>
      </c>
      <c r="E306" s="10">
        <v>4351226</v>
      </c>
      <c r="F306" s="15">
        <v>100</v>
      </c>
      <c r="G306" s="10" t="s">
        <v>1275</v>
      </c>
      <c r="H306" s="10">
        <v>4351226</v>
      </c>
      <c r="I306" s="10" t="s">
        <v>1194</v>
      </c>
      <c r="J306" s="10" t="s">
        <v>1214</v>
      </c>
      <c r="K306" s="10" t="s">
        <v>1214</v>
      </c>
      <c r="L306" s="10" t="s">
        <v>1214</v>
      </c>
      <c r="M306" s="10" t="s">
        <v>1214</v>
      </c>
      <c r="N306" s="10" t="s">
        <v>111</v>
      </c>
      <c r="O306" s="10" t="s">
        <v>1214</v>
      </c>
      <c r="P306" s="10" t="s">
        <v>1214</v>
      </c>
      <c r="Q306" s="10" t="s">
        <v>1214</v>
      </c>
      <c r="R306" s="10" t="s">
        <v>1214</v>
      </c>
      <c r="S306" s="10" t="s">
        <v>61</v>
      </c>
    </row>
    <row r="307" spans="1:19" ht="58" x14ac:dyDescent="0.35">
      <c r="A307" s="14">
        <v>46022</v>
      </c>
      <c r="B307" s="10" t="s">
        <v>585</v>
      </c>
      <c r="C307" s="10" t="s">
        <v>586</v>
      </c>
      <c r="D307" s="10" t="s">
        <v>1053</v>
      </c>
      <c r="E307" s="10">
        <v>4351190</v>
      </c>
      <c r="F307" s="15">
        <v>50</v>
      </c>
      <c r="G307" s="10" t="s">
        <v>1436</v>
      </c>
      <c r="H307" s="10">
        <v>4351190</v>
      </c>
      <c r="I307" s="10">
        <v>4379789</v>
      </c>
      <c r="J307" s="10" t="s">
        <v>1214</v>
      </c>
      <c r="K307" s="10" t="s">
        <v>1214</v>
      </c>
      <c r="L307" s="10" t="s">
        <v>1214</v>
      </c>
      <c r="M307" s="10" t="s">
        <v>1214</v>
      </c>
      <c r="N307" s="10" t="s">
        <v>105</v>
      </c>
      <c r="O307" s="10" t="s">
        <v>1214</v>
      </c>
      <c r="P307" s="10" t="s">
        <v>1214</v>
      </c>
      <c r="Q307" s="10" t="s">
        <v>1214</v>
      </c>
      <c r="R307" s="10" t="s">
        <v>1214</v>
      </c>
      <c r="S307" s="10" t="s">
        <v>105</v>
      </c>
    </row>
    <row r="308" spans="1:19" ht="43.5" x14ac:dyDescent="0.35">
      <c r="A308" s="14">
        <v>46022</v>
      </c>
      <c r="B308" s="10" t="s">
        <v>585</v>
      </c>
      <c r="C308" s="10" t="s">
        <v>586</v>
      </c>
      <c r="D308" s="10" t="s">
        <v>1077</v>
      </c>
      <c r="E308" s="10">
        <v>4379789</v>
      </c>
      <c r="F308" s="15">
        <v>50</v>
      </c>
      <c r="G308" s="10" t="s">
        <v>1436</v>
      </c>
      <c r="H308" s="10">
        <v>4351190</v>
      </c>
      <c r="I308" s="10">
        <v>4379789</v>
      </c>
      <c r="J308" s="10" t="s">
        <v>1214</v>
      </c>
      <c r="K308" s="10" t="s">
        <v>1214</v>
      </c>
      <c r="L308" s="10" t="s">
        <v>1214</v>
      </c>
      <c r="M308" s="10" t="s">
        <v>1214</v>
      </c>
      <c r="N308" s="10" t="s">
        <v>105</v>
      </c>
      <c r="O308" s="10" t="s">
        <v>1214</v>
      </c>
      <c r="P308" s="10" t="s">
        <v>1214</v>
      </c>
      <c r="Q308" s="10" t="s">
        <v>1214</v>
      </c>
      <c r="R308" s="10" t="s">
        <v>1214</v>
      </c>
      <c r="S308" s="10" t="s">
        <v>105</v>
      </c>
    </row>
    <row r="309" spans="1:19" ht="87" x14ac:dyDescent="0.35">
      <c r="A309" s="14">
        <v>46022</v>
      </c>
      <c r="B309" s="10" t="s">
        <v>416</v>
      </c>
      <c r="C309" s="10" t="s">
        <v>417</v>
      </c>
      <c r="D309" s="10" t="s">
        <v>1094</v>
      </c>
      <c r="E309" s="10">
        <v>4361447</v>
      </c>
      <c r="F309" s="15">
        <v>77</v>
      </c>
      <c r="G309" s="10" t="s">
        <v>1437</v>
      </c>
      <c r="H309" s="10">
        <v>4361447</v>
      </c>
      <c r="I309" s="10">
        <v>4354398</v>
      </c>
      <c r="J309" s="10" t="s">
        <v>1380</v>
      </c>
      <c r="K309" s="10" t="s">
        <v>61</v>
      </c>
      <c r="L309" s="10" t="s">
        <v>1438</v>
      </c>
      <c r="M309" s="10" t="s">
        <v>1294</v>
      </c>
      <c r="N309" s="10" t="s">
        <v>1252</v>
      </c>
      <c r="O309" s="10" t="s">
        <v>1214</v>
      </c>
      <c r="P309" s="10" t="s">
        <v>1214</v>
      </c>
      <c r="Q309" s="10" t="s">
        <v>1214</v>
      </c>
      <c r="R309" s="10" t="s">
        <v>1214</v>
      </c>
      <c r="S309" s="10" t="s">
        <v>213</v>
      </c>
    </row>
    <row r="310" spans="1:19" ht="72.5" x14ac:dyDescent="0.35">
      <c r="A310" s="14">
        <v>46022</v>
      </c>
      <c r="B310" s="10" t="s">
        <v>416</v>
      </c>
      <c r="C310" s="10" t="s">
        <v>417</v>
      </c>
      <c r="D310" s="10" t="s">
        <v>1095</v>
      </c>
      <c r="E310" s="10">
        <v>4354398</v>
      </c>
      <c r="F310" s="15">
        <v>23</v>
      </c>
      <c r="G310" s="10" t="s">
        <v>1437</v>
      </c>
      <c r="H310" s="10">
        <v>4361447</v>
      </c>
      <c r="I310" s="10">
        <v>4354398</v>
      </c>
      <c r="J310" s="10" t="s">
        <v>1380</v>
      </c>
      <c r="K310" s="10" t="s">
        <v>61</v>
      </c>
      <c r="L310" s="10" t="s">
        <v>1438</v>
      </c>
      <c r="M310" s="10" t="s">
        <v>1294</v>
      </c>
      <c r="N310" s="10" t="s">
        <v>1252</v>
      </c>
      <c r="O310" s="10" t="s">
        <v>1214</v>
      </c>
      <c r="P310" s="10" t="s">
        <v>1214</v>
      </c>
      <c r="Q310" s="10" t="s">
        <v>1214</v>
      </c>
      <c r="R310" s="10" t="s">
        <v>1214</v>
      </c>
      <c r="S310" s="10" t="s">
        <v>213</v>
      </c>
    </row>
    <row r="311" spans="1:19" ht="29" x14ac:dyDescent="0.35">
      <c r="A311" s="14">
        <v>46022</v>
      </c>
      <c r="B311" s="10" t="s">
        <v>358</v>
      </c>
      <c r="C311" s="10" t="s">
        <v>359</v>
      </c>
      <c r="D311" s="10" t="s">
        <v>945</v>
      </c>
      <c r="E311" s="10">
        <v>4349314</v>
      </c>
      <c r="F311" s="15">
        <v>100</v>
      </c>
      <c r="G311" s="10" t="s">
        <v>1225</v>
      </c>
      <c r="H311" s="10">
        <v>4349314</v>
      </c>
      <c r="I311" s="10" t="s">
        <v>1194</v>
      </c>
      <c r="J311" s="10" t="s">
        <v>58</v>
      </c>
      <c r="K311" s="10" t="s">
        <v>58</v>
      </c>
      <c r="L311" s="10" t="s">
        <v>58</v>
      </c>
      <c r="M311" s="10" t="s">
        <v>58</v>
      </c>
      <c r="N311" s="10" t="s">
        <v>58</v>
      </c>
      <c r="O311" s="10" t="s">
        <v>1214</v>
      </c>
      <c r="P311" s="10" t="s">
        <v>1214</v>
      </c>
      <c r="Q311" s="10" t="s">
        <v>1214</v>
      </c>
      <c r="R311" s="10" t="s">
        <v>1214</v>
      </c>
      <c r="S311" s="10" t="s">
        <v>61</v>
      </c>
    </row>
    <row r="312" spans="1:19" ht="159.5" x14ac:dyDescent="0.35">
      <c r="A312" s="14">
        <v>46022</v>
      </c>
      <c r="B312" s="10" t="s">
        <v>780</v>
      </c>
      <c r="C312" s="10" t="s">
        <v>781</v>
      </c>
      <c r="D312" s="10" t="s">
        <v>1096</v>
      </c>
      <c r="E312" s="10">
        <v>6585621</v>
      </c>
      <c r="F312" s="15">
        <v>30</v>
      </c>
      <c r="G312" s="10" t="s">
        <v>1439</v>
      </c>
      <c r="H312" s="10">
        <v>4314727</v>
      </c>
      <c r="I312" s="10">
        <v>6585621</v>
      </c>
      <c r="J312" s="10" t="s">
        <v>1214</v>
      </c>
      <c r="K312" s="10" t="s">
        <v>1214</v>
      </c>
      <c r="L312" s="10" t="s">
        <v>1214</v>
      </c>
      <c r="M312" s="10" t="s">
        <v>1214</v>
      </c>
      <c r="N312" s="10" t="s">
        <v>61</v>
      </c>
      <c r="O312" s="10" t="s">
        <v>1292</v>
      </c>
      <c r="P312" s="10" t="s">
        <v>61</v>
      </c>
      <c r="Q312" s="10" t="s">
        <v>1440</v>
      </c>
      <c r="R312" s="10" t="s">
        <v>61</v>
      </c>
      <c r="S312" s="10" t="s">
        <v>61</v>
      </c>
    </row>
    <row r="313" spans="1:19" ht="159.5" x14ac:dyDescent="0.35">
      <c r="A313" s="14">
        <v>46022</v>
      </c>
      <c r="B313" s="10" t="s">
        <v>780</v>
      </c>
      <c r="C313" s="10" t="s">
        <v>781</v>
      </c>
      <c r="D313" s="10" t="s">
        <v>1024</v>
      </c>
      <c r="E313" s="10">
        <v>4314727</v>
      </c>
      <c r="F313" s="15">
        <v>70</v>
      </c>
      <c r="G313" s="10" t="s">
        <v>1439</v>
      </c>
      <c r="H313" s="10">
        <v>4314727</v>
      </c>
      <c r="I313" s="10">
        <v>6585621</v>
      </c>
      <c r="J313" s="10" t="s">
        <v>1214</v>
      </c>
      <c r="K313" s="10" t="s">
        <v>1214</v>
      </c>
      <c r="L313" s="10" t="s">
        <v>1214</v>
      </c>
      <c r="M313" s="10" t="s">
        <v>1214</v>
      </c>
      <c r="N313" s="10" t="s">
        <v>61</v>
      </c>
      <c r="O313" s="10" t="s">
        <v>1292</v>
      </c>
      <c r="P313" s="10" t="s">
        <v>61</v>
      </c>
      <c r="Q313" s="10" t="s">
        <v>1440</v>
      </c>
      <c r="R313" s="10" t="s">
        <v>61</v>
      </c>
      <c r="S313" s="10" t="s">
        <v>61</v>
      </c>
    </row>
    <row r="314" spans="1:19" ht="43.5" x14ac:dyDescent="0.35">
      <c r="A314" s="14">
        <v>46022</v>
      </c>
      <c r="B314" s="10" t="s">
        <v>587</v>
      </c>
      <c r="C314" s="10" t="s">
        <v>588</v>
      </c>
      <c r="D314" s="10" t="s">
        <v>1097</v>
      </c>
      <c r="E314" s="10">
        <v>4350827</v>
      </c>
      <c r="F314" s="15">
        <v>100</v>
      </c>
      <c r="G314" s="10" t="s">
        <v>1441</v>
      </c>
      <c r="H314" s="10">
        <v>4350827</v>
      </c>
      <c r="I314" s="10" t="s">
        <v>1194</v>
      </c>
      <c r="J314" s="10" t="s">
        <v>1214</v>
      </c>
      <c r="K314" s="10" t="s">
        <v>1214</v>
      </c>
      <c r="L314" s="10" t="s">
        <v>1214</v>
      </c>
      <c r="M314" s="10" t="s">
        <v>1214</v>
      </c>
      <c r="N314" s="10" t="s">
        <v>111</v>
      </c>
      <c r="O314" s="10" t="s">
        <v>1214</v>
      </c>
      <c r="P314" s="10" t="s">
        <v>1214</v>
      </c>
      <c r="Q314" s="10" t="s">
        <v>1214</v>
      </c>
      <c r="R314" s="10" t="s">
        <v>1214</v>
      </c>
      <c r="S314" s="10" t="s">
        <v>61</v>
      </c>
    </row>
    <row r="315" spans="1:19" ht="58" x14ac:dyDescent="0.35">
      <c r="A315" s="14">
        <v>46022</v>
      </c>
      <c r="B315" s="10" t="s">
        <v>360</v>
      </c>
      <c r="C315" s="10" t="s">
        <v>361</v>
      </c>
      <c r="D315" s="10" t="s">
        <v>1098</v>
      </c>
      <c r="E315" s="10">
        <v>4188197</v>
      </c>
      <c r="F315" s="15">
        <v>41.5</v>
      </c>
      <c r="G315" s="10" t="s">
        <v>1442</v>
      </c>
      <c r="H315" s="10">
        <v>4348055</v>
      </c>
      <c r="I315" s="10">
        <v>4188197</v>
      </c>
      <c r="J315" s="10" t="s">
        <v>1214</v>
      </c>
      <c r="K315" s="10" t="s">
        <v>1214</v>
      </c>
      <c r="L315" s="10" t="s">
        <v>1214</v>
      </c>
      <c r="M315" s="10" t="s">
        <v>1214</v>
      </c>
      <c r="N315" s="10" t="s">
        <v>105</v>
      </c>
      <c r="O315" s="10" t="s">
        <v>1214</v>
      </c>
      <c r="P315" s="10" t="s">
        <v>1214</v>
      </c>
      <c r="Q315" s="10" t="s">
        <v>1214</v>
      </c>
      <c r="R315" s="10" t="s">
        <v>1214</v>
      </c>
      <c r="S315" s="10" t="s">
        <v>105</v>
      </c>
    </row>
    <row r="316" spans="1:19" ht="58" x14ac:dyDescent="0.35">
      <c r="A316" s="14">
        <v>46022</v>
      </c>
      <c r="B316" s="10" t="s">
        <v>360</v>
      </c>
      <c r="C316" s="10" t="s">
        <v>361</v>
      </c>
      <c r="D316" s="10" t="s">
        <v>962</v>
      </c>
      <c r="E316" s="10">
        <v>4353456</v>
      </c>
      <c r="F316" s="15">
        <v>8.5</v>
      </c>
      <c r="G316" s="10" t="s">
        <v>1442</v>
      </c>
      <c r="H316" s="10">
        <v>4348055</v>
      </c>
      <c r="I316" s="10">
        <v>4188197</v>
      </c>
      <c r="J316" s="10" t="s">
        <v>1214</v>
      </c>
      <c r="K316" s="10" t="s">
        <v>1214</v>
      </c>
      <c r="L316" s="10" t="s">
        <v>1214</v>
      </c>
      <c r="M316" s="10" t="s">
        <v>1214</v>
      </c>
      <c r="N316" s="10" t="s">
        <v>105</v>
      </c>
      <c r="O316" s="10" t="s">
        <v>1214</v>
      </c>
      <c r="P316" s="10" t="s">
        <v>1214</v>
      </c>
      <c r="Q316" s="10" t="s">
        <v>1214</v>
      </c>
      <c r="R316" s="10" t="s">
        <v>1214</v>
      </c>
      <c r="S316" s="10" t="s">
        <v>105</v>
      </c>
    </row>
    <row r="317" spans="1:19" ht="58" x14ac:dyDescent="0.35">
      <c r="A317" s="14">
        <v>46022</v>
      </c>
      <c r="B317" s="10" t="s">
        <v>360</v>
      </c>
      <c r="C317" s="10" t="s">
        <v>361</v>
      </c>
      <c r="D317" s="10" t="s">
        <v>943</v>
      </c>
      <c r="E317" s="10">
        <v>4348055</v>
      </c>
      <c r="F317" s="15">
        <v>50</v>
      </c>
      <c r="G317" s="10" t="s">
        <v>1442</v>
      </c>
      <c r="H317" s="10">
        <v>4348055</v>
      </c>
      <c r="I317" s="10">
        <v>4188197</v>
      </c>
      <c r="J317" s="10" t="s">
        <v>1214</v>
      </c>
      <c r="K317" s="10" t="s">
        <v>1214</v>
      </c>
      <c r="L317" s="10" t="s">
        <v>1214</v>
      </c>
      <c r="M317" s="10" t="s">
        <v>1214</v>
      </c>
      <c r="N317" s="10" t="s">
        <v>105</v>
      </c>
      <c r="O317" s="10" t="s">
        <v>1214</v>
      </c>
      <c r="P317" s="10" t="s">
        <v>1214</v>
      </c>
      <c r="Q317" s="10" t="s">
        <v>1214</v>
      </c>
      <c r="R317" s="10" t="s">
        <v>1214</v>
      </c>
      <c r="S317" s="10" t="s">
        <v>105</v>
      </c>
    </row>
    <row r="318" spans="1:19" ht="43.5" x14ac:dyDescent="0.35">
      <c r="A318" s="14">
        <v>46022</v>
      </c>
      <c r="B318" s="10" t="s">
        <v>589</v>
      </c>
      <c r="C318" s="10" t="s">
        <v>590</v>
      </c>
      <c r="D318" s="10" t="s">
        <v>943</v>
      </c>
      <c r="E318" s="10">
        <v>4348055</v>
      </c>
      <c r="F318" s="15">
        <v>100</v>
      </c>
      <c r="G318" s="10" t="s">
        <v>1223</v>
      </c>
      <c r="H318" s="10">
        <v>4348055</v>
      </c>
      <c r="I318" s="10" t="s">
        <v>1194</v>
      </c>
      <c r="J318" s="10" t="s">
        <v>1214</v>
      </c>
      <c r="K318" s="10" t="s">
        <v>1214</v>
      </c>
      <c r="L318" s="10" t="s">
        <v>1214</v>
      </c>
      <c r="M318" s="10" t="s">
        <v>1214</v>
      </c>
      <c r="N318" s="10" t="s">
        <v>105</v>
      </c>
      <c r="O318" s="10" t="s">
        <v>1214</v>
      </c>
      <c r="P318" s="10" t="s">
        <v>1214</v>
      </c>
      <c r="Q318" s="10" t="s">
        <v>1214</v>
      </c>
      <c r="R318" s="10" t="s">
        <v>1214</v>
      </c>
      <c r="S318" s="10" t="s">
        <v>61</v>
      </c>
    </row>
    <row r="319" spans="1:19" ht="58" x14ac:dyDescent="0.35">
      <c r="A319" s="14">
        <v>46022</v>
      </c>
      <c r="B319" s="10" t="s">
        <v>783</v>
      </c>
      <c r="C319" s="10" t="s">
        <v>784</v>
      </c>
      <c r="D319" s="10" t="s">
        <v>963</v>
      </c>
      <c r="E319" s="10">
        <v>4004107</v>
      </c>
      <c r="F319" s="15">
        <v>72</v>
      </c>
      <c r="G319" s="10" t="s">
        <v>1443</v>
      </c>
      <c r="H319" s="10">
        <v>4004107</v>
      </c>
      <c r="I319" s="10">
        <v>4354638</v>
      </c>
      <c r="J319" s="10" t="s">
        <v>1214</v>
      </c>
      <c r="K319" s="10" t="s">
        <v>1214</v>
      </c>
      <c r="L319" s="10" t="s">
        <v>1214</v>
      </c>
      <c r="M319" s="10" t="s">
        <v>1214</v>
      </c>
      <c r="N319" s="10" t="s">
        <v>79</v>
      </c>
      <c r="O319" s="10" t="s">
        <v>1214</v>
      </c>
      <c r="P319" s="10" t="s">
        <v>1214</v>
      </c>
      <c r="Q319" s="10" t="s">
        <v>1214</v>
      </c>
      <c r="R319" s="10" t="s">
        <v>1214</v>
      </c>
      <c r="S319" s="10" t="s">
        <v>1235</v>
      </c>
    </row>
    <row r="320" spans="1:19" ht="58" x14ac:dyDescent="0.35">
      <c r="A320" s="14">
        <v>46022</v>
      </c>
      <c r="B320" s="10" t="s">
        <v>783</v>
      </c>
      <c r="C320" s="10" t="s">
        <v>784</v>
      </c>
      <c r="D320" s="10" t="s">
        <v>988</v>
      </c>
      <c r="E320" s="10">
        <v>4047416</v>
      </c>
      <c r="F320" s="15">
        <v>3</v>
      </c>
      <c r="G320" s="10" t="s">
        <v>1443</v>
      </c>
      <c r="H320" s="10">
        <v>4004107</v>
      </c>
      <c r="I320" s="10">
        <v>4354638</v>
      </c>
      <c r="J320" s="10" t="s">
        <v>1214</v>
      </c>
      <c r="K320" s="10" t="s">
        <v>1214</v>
      </c>
      <c r="L320" s="10" t="s">
        <v>1214</v>
      </c>
      <c r="M320" s="10" t="s">
        <v>1214</v>
      </c>
      <c r="N320" s="10" t="s">
        <v>79</v>
      </c>
      <c r="O320" s="10" t="s">
        <v>1214</v>
      </c>
      <c r="P320" s="10" t="s">
        <v>1214</v>
      </c>
      <c r="Q320" s="10" t="s">
        <v>1214</v>
      </c>
      <c r="R320" s="10" t="s">
        <v>1214</v>
      </c>
      <c r="S320" s="10" t="s">
        <v>1235</v>
      </c>
    </row>
    <row r="321" spans="1:19" ht="58" x14ac:dyDescent="0.35">
      <c r="A321" s="14">
        <v>46022</v>
      </c>
      <c r="B321" s="10" t="s">
        <v>783</v>
      </c>
      <c r="C321" s="10" t="s">
        <v>784</v>
      </c>
      <c r="D321" s="10" t="s">
        <v>989</v>
      </c>
      <c r="E321" s="10">
        <v>4354638</v>
      </c>
      <c r="F321" s="15">
        <v>25</v>
      </c>
      <c r="G321" s="10" t="s">
        <v>1443</v>
      </c>
      <c r="H321" s="10">
        <v>4004107</v>
      </c>
      <c r="I321" s="10">
        <v>4354638</v>
      </c>
      <c r="J321" s="10" t="s">
        <v>1214</v>
      </c>
      <c r="K321" s="10" t="s">
        <v>1214</v>
      </c>
      <c r="L321" s="10" t="s">
        <v>1214</v>
      </c>
      <c r="M321" s="10" t="s">
        <v>1214</v>
      </c>
      <c r="N321" s="10" t="s">
        <v>79</v>
      </c>
      <c r="O321" s="10" t="s">
        <v>1214</v>
      </c>
      <c r="P321" s="10" t="s">
        <v>1214</v>
      </c>
      <c r="Q321" s="10" t="s">
        <v>1214</v>
      </c>
      <c r="R321" s="10" t="s">
        <v>1214</v>
      </c>
      <c r="S321" s="10" t="s">
        <v>1235</v>
      </c>
    </row>
    <row r="322" spans="1:19" ht="58" x14ac:dyDescent="0.35">
      <c r="A322" s="14">
        <v>46022</v>
      </c>
      <c r="B322" s="10" t="s">
        <v>418</v>
      </c>
      <c r="C322" s="10" t="s">
        <v>419</v>
      </c>
      <c r="D322" s="10" t="s">
        <v>963</v>
      </c>
      <c r="E322" s="10">
        <v>4004107</v>
      </c>
      <c r="F322" s="15">
        <v>72</v>
      </c>
      <c r="G322" s="10" t="s">
        <v>1444</v>
      </c>
      <c r="H322" s="10">
        <v>4004107</v>
      </c>
      <c r="I322" s="10">
        <v>4354638</v>
      </c>
      <c r="J322" s="10" t="s">
        <v>1214</v>
      </c>
      <c r="K322" s="10" t="s">
        <v>1214</v>
      </c>
      <c r="L322" s="10" t="s">
        <v>1214</v>
      </c>
      <c r="M322" s="10" t="s">
        <v>1214</v>
      </c>
      <c r="N322" s="10" t="s">
        <v>79</v>
      </c>
      <c r="O322" s="10" t="s">
        <v>1214</v>
      </c>
      <c r="P322" s="10" t="s">
        <v>1214</v>
      </c>
      <c r="Q322" s="10" t="s">
        <v>1214</v>
      </c>
      <c r="R322" s="10" t="s">
        <v>1214</v>
      </c>
      <c r="S322" s="10" t="s">
        <v>1235</v>
      </c>
    </row>
    <row r="323" spans="1:19" ht="58" x14ac:dyDescent="0.35">
      <c r="A323" s="14">
        <v>46022</v>
      </c>
      <c r="B323" s="10" t="s">
        <v>418</v>
      </c>
      <c r="C323" s="10" t="s">
        <v>419</v>
      </c>
      <c r="D323" s="10" t="s">
        <v>988</v>
      </c>
      <c r="E323" s="10">
        <v>4047416</v>
      </c>
      <c r="F323" s="15">
        <v>3</v>
      </c>
      <c r="G323" s="10" t="s">
        <v>1444</v>
      </c>
      <c r="H323" s="10">
        <v>4004107</v>
      </c>
      <c r="I323" s="10">
        <v>4354638</v>
      </c>
      <c r="J323" s="10" t="s">
        <v>1214</v>
      </c>
      <c r="K323" s="10" t="s">
        <v>1214</v>
      </c>
      <c r="L323" s="10" t="s">
        <v>1214</v>
      </c>
      <c r="M323" s="10" t="s">
        <v>1214</v>
      </c>
      <c r="N323" s="10" t="s">
        <v>79</v>
      </c>
      <c r="O323" s="10" t="s">
        <v>1214</v>
      </c>
      <c r="P323" s="10" t="s">
        <v>1214</v>
      </c>
      <c r="Q323" s="10" t="s">
        <v>1214</v>
      </c>
      <c r="R323" s="10" t="s">
        <v>1214</v>
      </c>
      <c r="S323" s="10" t="s">
        <v>1235</v>
      </c>
    </row>
    <row r="324" spans="1:19" ht="58" x14ac:dyDescent="0.35">
      <c r="A324" s="14">
        <v>46022</v>
      </c>
      <c r="B324" s="10" t="s">
        <v>418</v>
      </c>
      <c r="C324" s="10" t="s">
        <v>419</v>
      </c>
      <c r="D324" s="10" t="s">
        <v>989</v>
      </c>
      <c r="E324" s="10">
        <v>4354638</v>
      </c>
      <c r="F324" s="15">
        <v>25</v>
      </c>
      <c r="G324" s="10" t="s">
        <v>1444</v>
      </c>
      <c r="H324" s="10">
        <v>4004107</v>
      </c>
      <c r="I324" s="10">
        <v>4354638</v>
      </c>
      <c r="J324" s="10" t="s">
        <v>1214</v>
      </c>
      <c r="K324" s="10" t="s">
        <v>1214</v>
      </c>
      <c r="L324" s="10" t="s">
        <v>1214</v>
      </c>
      <c r="M324" s="10" t="s">
        <v>1214</v>
      </c>
      <c r="N324" s="10" t="s">
        <v>79</v>
      </c>
      <c r="O324" s="10" t="s">
        <v>1214</v>
      </c>
      <c r="P324" s="10" t="s">
        <v>1214</v>
      </c>
      <c r="Q324" s="10" t="s">
        <v>1214</v>
      </c>
      <c r="R324" s="10" t="s">
        <v>1214</v>
      </c>
      <c r="S324" s="10" t="s">
        <v>1235</v>
      </c>
    </row>
    <row r="325" spans="1:19" ht="43.5" x14ac:dyDescent="0.35">
      <c r="A325" s="14">
        <v>46022</v>
      </c>
      <c r="B325" s="10" t="s">
        <v>362</v>
      </c>
      <c r="C325" s="10" t="s">
        <v>363</v>
      </c>
      <c r="D325" s="10" t="s">
        <v>943</v>
      </c>
      <c r="E325" s="10">
        <v>4348055</v>
      </c>
      <c r="F325" s="15">
        <v>100</v>
      </c>
      <c r="G325" s="10" t="s">
        <v>1223</v>
      </c>
      <c r="H325" s="10">
        <v>4348055</v>
      </c>
      <c r="I325" s="10" t="s">
        <v>1194</v>
      </c>
      <c r="J325" s="10" t="s">
        <v>1214</v>
      </c>
      <c r="K325" s="10" t="s">
        <v>1214</v>
      </c>
      <c r="L325" s="10" t="s">
        <v>1214</v>
      </c>
      <c r="M325" s="10" t="s">
        <v>1214</v>
      </c>
      <c r="N325" s="10" t="s">
        <v>105</v>
      </c>
      <c r="O325" s="10" t="s">
        <v>1214</v>
      </c>
      <c r="P325" s="10" t="s">
        <v>1214</v>
      </c>
      <c r="Q325" s="10" t="s">
        <v>1214</v>
      </c>
      <c r="R325" s="10" t="s">
        <v>1214</v>
      </c>
      <c r="S325" s="10" t="s">
        <v>61</v>
      </c>
    </row>
    <row r="326" spans="1:19" ht="43.5" x14ac:dyDescent="0.35">
      <c r="A326" s="14">
        <v>46022</v>
      </c>
      <c r="B326" s="10" t="s">
        <v>591</v>
      </c>
      <c r="C326" s="10" t="s">
        <v>592</v>
      </c>
      <c r="D326" s="10" t="s">
        <v>1077</v>
      </c>
      <c r="E326" s="10">
        <v>4379789</v>
      </c>
      <c r="F326" s="15">
        <v>100</v>
      </c>
      <c r="G326" s="10" t="s">
        <v>1407</v>
      </c>
      <c r="H326" s="10">
        <v>4379789</v>
      </c>
      <c r="I326" s="10" t="s">
        <v>1194</v>
      </c>
      <c r="J326" s="10" t="s">
        <v>1214</v>
      </c>
      <c r="K326" s="10" t="s">
        <v>1214</v>
      </c>
      <c r="L326" s="10" t="s">
        <v>1214</v>
      </c>
      <c r="M326" s="10" t="s">
        <v>1214</v>
      </c>
      <c r="N326" s="10" t="s">
        <v>105</v>
      </c>
      <c r="O326" s="10" t="s">
        <v>1214</v>
      </c>
      <c r="P326" s="10" t="s">
        <v>1214</v>
      </c>
      <c r="Q326" s="10" t="s">
        <v>1214</v>
      </c>
      <c r="R326" s="10" t="s">
        <v>1214</v>
      </c>
      <c r="S326" s="10" t="s">
        <v>61</v>
      </c>
    </row>
    <row r="327" spans="1:19" ht="29" x14ac:dyDescent="0.35">
      <c r="A327" s="14">
        <v>46022</v>
      </c>
      <c r="B327" s="10" t="s">
        <v>364</v>
      </c>
      <c r="C327" s="10" t="s">
        <v>365</v>
      </c>
      <c r="D327" s="10" t="s">
        <v>1099</v>
      </c>
      <c r="E327" s="10">
        <v>4349027</v>
      </c>
      <c r="F327" s="15">
        <v>100</v>
      </c>
      <c r="G327" s="10" t="s">
        <v>1445</v>
      </c>
      <c r="H327" s="10">
        <v>4349027</v>
      </c>
      <c r="I327" s="10" t="s">
        <v>1194</v>
      </c>
      <c r="J327" s="10" t="s">
        <v>1214</v>
      </c>
      <c r="K327" s="10" t="s">
        <v>1214</v>
      </c>
      <c r="L327" s="10" t="s">
        <v>1214</v>
      </c>
      <c r="M327" s="10" t="s">
        <v>1214</v>
      </c>
      <c r="N327" s="10" t="s">
        <v>222</v>
      </c>
      <c r="O327" s="10" t="s">
        <v>1214</v>
      </c>
      <c r="P327" s="10" t="s">
        <v>1214</v>
      </c>
      <c r="Q327" s="10" t="s">
        <v>1214</v>
      </c>
      <c r="R327" s="10" t="s">
        <v>1214</v>
      </c>
      <c r="S327" s="10" t="s">
        <v>61</v>
      </c>
    </row>
    <row r="328" spans="1:19" ht="29" x14ac:dyDescent="0.35">
      <c r="A328" s="14">
        <v>46022</v>
      </c>
      <c r="B328" s="10" t="s">
        <v>366</v>
      </c>
      <c r="C328" s="10" t="s">
        <v>367</v>
      </c>
      <c r="D328" s="10" t="s">
        <v>948</v>
      </c>
      <c r="E328" s="10">
        <v>4113732</v>
      </c>
      <c r="F328" s="15">
        <v>100</v>
      </c>
      <c r="G328" s="10" t="s">
        <v>1229</v>
      </c>
      <c r="H328" s="10">
        <v>4113732</v>
      </c>
      <c r="I328" s="10" t="s">
        <v>1194</v>
      </c>
      <c r="J328" s="10" t="s">
        <v>1214</v>
      </c>
      <c r="K328" s="10" t="s">
        <v>1214</v>
      </c>
      <c r="L328" s="10" t="s">
        <v>1214</v>
      </c>
      <c r="M328" s="10" t="s">
        <v>1214</v>
      </c>
      <c r="N328" s="10" t="s">
        <v>1228</v>
      </c>
      <c r="O328" s="10" t="s">
        <v>1214</v>
      </c>
      <c r="P328" s="10" t="s">
        <v>1214</v>
      </c>
      <c r="Q328" s="10" t="s">
        <v>1214</v>
      </c>
      <c r="R328" s="10" t="s">
        <v>1214</v>
      </c>
      <c r="S328" s="10" t="s">
        <v>61</v>
      </c>
    </row>
    <row r="329" spans="1:19" ht="101.5" x14ac:dyDescent="0.35">
      <c r="A329" s="14">
        <v>46022</v>
      </c>
      <c r="B329" s="10" t="s">
        <v>593</v>
      </c>
      <c r="C329" s="10" t="s">
        <v>594</v>
      </c>
      <c r="D329" s="10" t="s">
        <v>1100</v>
      </c>
      <c r="E329" s="10">
        <v>118448206</v>
      </c>
      <c r="F329" s="15">
        <v>51</v>
      </c>
      <c r="G329" s="10" t="s">
        <v>1446</v>
      </c>
      <c r="H329" s="10">
        <v>118448206</v>
      </c>
      <c r="I329" s="10">
        <v>4355602</v>
      </c>
      <c r="J329" s="10" t="s">
        <v>1447</v>
      </c>
      <c r="K329" s="10" t="s">
        <v>1347</v>
      </c>
      <c r="L329" s="10" t="s">
        <v>1448</v>
      </c>
      <c r="M329" s="10" t="s">
        <v>1347</v>
      </c>
      <c r="N329" s="10" t="s">
        <v>1347</v>
      </c>
      <c r="O329" s="10" t="s">
        <v>1295</v>
      </c>
      <c r="P329" s="10" t="s">
        <v>122</v>
      </c>
      <c r="Q329" s="10" t="s">
        <v>1295</v>
      </c>
      <c r="R329" s="10" t="s">
        <v>122</v>
      </c>
      <c r="S329" s="10" t="s">
        <v>122</v>
      </c>
    </row>
    <row r="330" spans="1:19" ht="101.5" x14ac:dyDescent="0.35">
      <c r="A330" s="14">
        <v>46022</v>
      </c>
      <c r="B330" s="10" t="s">
        <v>593</v>
      </c>
      <c r="C330" s="10" t="s">
        <v>594</v>
      </c>
      <c r="D330" s="10" t="s">
        <v>1002</v>
      </c>
      <c r="E330" s="10">
        <v>4355602</v>
      </c>
      <c r="F330" s="15">
        <v>49</v>
      </c>
      <c r="G330" s="10" t="s">
        <v>1446</v>
      </c>
      <c r="H330" s="10">
        <v>118448206</v>
      </c>
      <c r="I330" s="10">
        <v>4355602</v>
      </c>
      <c r="J330" s="10" t="s">
        <v>1447</v>
      </c>
      <c r="K330" s="10" t="s">
        <v>1347</v>
      </c>
      <c r="L330" s="10" t="s">
        <v>1448</v>
      </c>
      <c r="M330" s="10" t="s">
        <v>1347</v>
      </c>
      <c r="N330" s="10" t="s">
        <v>1347</v>
      </c>
      <c r="O330" s="10" t="s">
        <v>1295</v>
      </c>
      <c r="P330" s="10" t="s">
        <v>122</v>
      </c>
      <c r="Q330" s="10" t="s">
        <v>1295</v>
      </c>
      <c r="R330" s="10" t="s">
        <v>122</v>
      </c>
      <c r="S330" s="10" t="s">
        <v>122</v>
      </c>
    </row>
    <row r="331" spans="1:19" ht="101.5" x14ac:dyDescent="0.35">
      <c r="A331" s="14">
        <v>46022</v>
      </c>
      <c r="B331" s="10" t="s">
        <v>420</v>
      </c>
      <c r="C331" s="10" t="s">
        <v>421</v>
      </c>
      <c r="D331" s="10" t="s">
        <v>1002</v>
      </c>
      <c r="E331" s="10">
        <v>4355602</v>
      </c>
      <c r="F331" s="15">
        <v>100</v>
      </c>
      <c r="G331" s="10" t="s">
        <v>1449</v>
      </c>
      <c r="H331" s="10">
        <v>4355602</v>
      </c>
      <c r="I331" s="10" t="s">
        <v>1194</v>
      </c>
      <c r="J331" s="10" t="s">
        <v>1295</v>
      </c>
      <c r="K331" s="10" t="s">
        <v>122</v>
      </c>
      <c r="L331" s="10" t="s">
        <v>1295</v>
      </c>
      <c r="M331" s="10" t="s">
        <v>122</v>
      </c>
      <c r="N331" s="10" t="s">
        <v>122</v>
      </c>
      <c r="O331" s="10" t="s">
        <v>1214</v>
      </c>
      <c r="P331" s="10" t="s">
        <v>1214</v>
      </c>
      <c r="Q331" s="10" t="s">
        <v>1214</v>
      </c>
      <c r="R331" s="10" t="s">
        <v>1214</v>
      </c>
      <c r="S331" s="10" t="s">
        <v>61</v>
      </c>
    </row>
    <row r="332" spans="1:19" ht="159.5" x14ac:dyDescent="0.35">
      <c r="A332" s="14">
        <v>46022</v>
      </c>
      <c r="B332" s="10" t="s">
        <v>595</v>
      </c>
      <c r="C332" s="10" t="s">
        <v>596</v>
      </c>
      <c r="D332" s="10" t="s">
        <v>1101</v>
      </c>
      <c r="E332" s="10">
        <v>4616696</v>
      </c>
      <c r="F332" s="15">
        <v>68</v>
      </c>
      <c r="G332" s="10" t="s">
        <v>1450</v>
      </c>
      <c r="H332" s="10">
        <v>4616696</v>
      </c>
      <c r="I332" s="10">
        <v>4361447</v>
      </c>
      <c r="J332" s="10" t="s">
        <v>1214</v>
      </c>
      <c r="K332" s="10" t="s">
        <v>1214</v>
      </c>
      <c r="L332" s="10" t="s">
        <v>1214</v>
      </c>
      <c r="M332" s="10" t="s">
        <v>1214</v>
      </c>
      <c r="N332" s="10" t="s">
        <v>1219</v>
      </c>
      <c r="O332" s="10" t="s">
        <v>1380</v>
      </c>
      <c r="P332" s="10" t="s">
        <v>61</v>
      </c>
      <c r="Q332" s="10" t="s">
        <v>1438</v>
      </c>
      <c r="R332" s="10" t="s">
        <v>1294</v>
      </c>
      <c r="S332" s="10" t="s">
        <v>1252</v>
      </c>
    </row>
    <row r="333" spans="1:19" ht="159.5" x14ac:dyDescent="0.35">
      <c r="A333" s="14">
        <v>46022</v>
      </c>
      <c r="B333" s="10" t="s">
        <v>595</v>
      </c>
      <c r="C333" s="10" t="s">
        <v>596</v>
      </c>
      <c r="D333" s="10" t="s">
        <v>1094</v>
      </c>
      <c r="E333" s="10">
        <v>4361447</v>
      </c>
      <c r="F333" s="15">
        <v>32</v>
      </c>
      <c r="G333" s="10" t="s">
        <v>1450</v>
      </c>
      <c r="H333" s="10">
        <v>4616696</v>
      </c>
      <c r="I333" s="10">
        <v>4361447</v>
      </c>
      <c r="J333" s="10" t="s">
        <v>1214</v>
      </c>
      <c r="K333" s="10" t="s">
        <v>1214</v>
      </c>
      <c r="L333" s="10" t="s">
        <v>1214</v>
      </c>
      <c r="M333" s="10" t="s">
        <v>1214</v>
      </c>
      <c r="N333" s="10" t="s">
        <v>1219</v>
      </c>
      <c r="O333" s="10" t="s">
        <v>1380</v>
      </c>
      <c r="P333" s="10" t="s">
        <v>61</v>
      </c>
      <c r="Q333" s="10" t="s">
        <v>1438</v>
      </c>
      <c r="R333" s="10" t="s">
        <v>1294</v>
      </c>
      <c r="S333" s="10" t="s">
        <v>1252</v>
      </c>
    </row>
    <row r="334" spans="1:19" ht="72.5" x14ac:dyDescent="0.35">
      <c r="A334" s="14">
        <v>46022</v>
      </c>
      <c r="B334" s="10" t="s">
        <v>422</v>
      </c>
      <c r="C334" s="10" t="s">
        <v>423</v>
      </c>
      <c r="D334" s="10" t="s">
        <v>213</v>
      </c>
      <c r="E334" s="10">
        <v>4350734</v>
      </c>
      <c r="F334" s="15">
        <v>5</v>
      </c>
      <c r="G334" s="10" t="s">
        <v>1451</v>
      </c>
      <c r="H334" s="10">
        <v>4361447</v>
      </c>
      <c r="I334" s="10">
        <v>4350360</v>
      </c>
      <c r="J334" s="10" t="s">
        <v>1380</v>
      </c>
      <c r="K334" s="10" t="s">
        <v>61</v>
      </c>
      <c r="L334" s="10" t="s">
        <v>1438</v>
      </c>
      <c r="M334" s="10" t="s">
        <v>1294</v>
      </c>
      <c r="N334" s="10" t="s">
        <v>1252</v>
      </c>
      <c r="O334" s="10" t="s">
        <v>213</v>
      </c>
      <c r="P334" s="10" t="s">
        <v>213</v>
      </c>
      <c r="Q334" s="10" t="s">
        <v>213</v>
      </c>
      <c r="R334" s="10" t="s">
        <v>213</v>
      </c>
      <c r="S334" s="10" t="s">
        <v>213</v>
      </c>
    </row>
    <row r="335" spans="1:19" ht="72.5" x14ac:dyDescent="0.35">
      <c r="A335" s="14">
        <v>46022</v>
      </c>
      <c r="B335" s="10" t="s">
        <v>422</v>
      </c>
      <c r="C335" s="10" t="s">
        <v>423</v>
      </c>
      <c r="D335" s="10" t="s">
        <v>1021</v>
      </c>
      <c r="E335" s="10">
        <v>4350360</v>
      </c>
      <c r="F335" s="15">
        <v>25</v>
      </c>
      <c r="G335" s="10" t="s">
        <v>1451</v>
      </c>
      <c r="H335" s="10">
        <v>4361447</v>
      </c>
      <c r="I335" s="10">
        <v>4350360</v>
      </c>
      <c r="J335" s="10" t="s">
        <v>1380</v>
      </c>
      <c r="K335" s="10" t="s">
        <v>61</v>
      </c>
      <c r="L335" s="10" t="s">
        <v>1438</v>
      </c>
      <c r="M335" s="10" t="s">
        <v>1294</v>
      </c>
      <c r="N335" s="10" t="s">
        <v>1252</v>
      </c>
      <c r="O335" s="10" t="s">
        <v>213</v>
      </c>
      <c r="P335" s="10" t="s">
        <v>213</v>
      </c>
      <c r="Q335" s="10" t="s">
        <v>213</v>
      </c>
      <c r="R335" s="10" t="s">
        <v>213</v>
      </c>
      <c r="S335" s="10" t="s">
        <v>213</v>
      </c>
    </row>
    <row r="336" spans="1:19" ht="87" x14ac:dyDescent="0.35">
      <c r="A336" s="14">
        <v>46022</v>
      </c>
      <c r="B336" s="10" t="s">
        <v>422</v>
      </c>
      <c r="C336" s="10" t="s">
        <v>423</v>
      </c>
      <c r="D336" s="10" t="s">
        <v>1094</v>
      </c>
      <c r="E336" s="10">
        <v>4361447</v>
      </c>
      <c r="F336" s="15">
        <v>70</v>
      </c>
      <c r="G336" s="10" t="s">
        <v>1451</v>
      </c>
      <c r="H336" s="10">
        <v>4361447</v>
      </c>
      <c r="I336" s="10">
        <v>4350360</v>
      </c>
      <c r="J336" s="10" t="s">
        <v>1380</v>
      </c>
      <c r="K336" s="10" t="s">
        <v>61</v>
      </c>
      <c r="L336" s="10" t="s">
        <v>1438</v>
      </c>
      <c r="M336" s="10" t="s">
        <v>1294</v>
      </c>
      <c r="N336" s="10" t="s">
        <v>1252</v>
      </c>
      <c r="O336" s="10" t="s">
        <v>213</v>
      </c>
      <c r="P336" s="10" t="s">
        <v>213</v>
      </c>
      <c r="Q336" s="10" t="s">
        <v>213</v>
      </c>
      <c r="R336" s="10" t="s">
        <v>213</v>
      </c>
      <c r="S336" s="10" t="s">
        <v>213</v>
      </c>
    </row>
    <row r="337" spans="1:19" ht="43.5" x14ac:dyDescent="0.35">
      <c r="A337" s="14">
        <v>46022</v>
      </c>
      <c r="B337" s="10" t="s">
        <v>368</v>
      </c>
      <c r="C337" s="10" t="s">
        <v>369</v>
      </c>
      <c r="D337" s="10" t="s">
        <v>213</v>
      </c>
      <c r="E337" s="10">
        <v>4350734</v>
      </c>
      <c r="F337" s="15">
        <v>5</v>
      </c>
      <c r="G337" s="10" t="s">
        <v>1452</v>
      </c>
      <c r="H337" s="10">
        <v>4113732</v>
      </c>
      <c r="I337" s="10">
        <v>4350734</v>
      </c>
      <c r="J337" s="10" t="s">
        <v>1214</v>
      </c>
      <c r="K337" s="10" t="s">
        <v>1214</v>
      </c>
      <c r="L337" s="10" t="s">
        <v>1214</v>
      </c>
      <c r="M337" s="10" t="s">
        <v>1214</v>
      </c>
      <c r="N337" s="10" t="s">
        <v>1228</v>
      </c>
      <c r="O337" s="10" t="s">
        <v>1214</v>
      </c>
      <c r="P337" s="10" t="s">
        <v>1214</v>
      </c>
      <c r="Q337" s="10" t="s">
        <v>1214</v>
      </c>
      <c r="R337" s="10" t="s">
        <v>1214</v>
      </c>
      <c r="S337" s="10" t="s">
        <v>213</v>
      </c>
    </row>
    <row r="338" spans="1:19" ht="43.5" x14ac:dyDescent="0.35">
      <c r="A338" s="14">
        <v>46022</v>
      </c>
      <c r="B338" s="10" t="s">
        <v>368</v>
      </c>
      <c r="C338" s="10" t="s">
        <v>369</v>
      </c>
      <c r="D338" s="10" t="s">
        <v>948</v>
      </c>
      <c r="E338" s="10">
        <v>4113732</v>
      </c>
      <c r="F338" s="15">
        <v>95</v>
      </c>
      <c r="G338" s="10" t="s">
        <v>1452</v>
      </c>
      <c r="H338" s="10">
        <v>4113732</v>
      </c>
      <c r="I338" s="10">
        <v>4350734</v>
      </c>
      <c r="J338" s="10" t="s">
        <v>1214</v>
      </c>
      <c r="K338" s="10" t="s">
        <v>1214</v>
      </c>
      <c r="L338" s="10" t="s">
        <v>1214</v>
      </c>
      <c r="M338" s="10" t="s">
        <v>1214</v>
      </c>
      <c r="N338" s="10" t="s">
        <v>1228</v>
      </c>
      <c r="O338" s="10" t="s">
        <v>1214</v>
      </c>
      <c r="P338" s="10" t="s">
        <v>1214</v>
      </c>
      <c r="Q338" s="10" t="s">
        <v>1214</v>
      </c>
      <c r="R338" s="10" t="s">
        <v>1214</v>
      </c>
      <c r="S338" s="10" t="s">
        <v>213</v>
      </c>
    </row>
    <row r="339" spans="1:19" ht="29" x14ac:dyDescent="0.35">
      <c r="A339" s="14">
        <v>46022</v>
      </c>
      <c r="B339" s="10" t="s">
        <v>597</v>
      </c>
      <c r="C339" s="10" t="s">
        <v>598</v>
      </c>
      <c r="D339" s="10" t="s">
        <v>948</v>
      </c>
      <c r="E339" s="10">
        <v>4113732</v>
      </c>
      <c r="F339" s="15">
        <v>100</v>
      </c>
      <c r="G339" s="10" t="s">
        <v>1229</v>
      </c>
      <c r="H339" s="10">
        <v>4113732</v>
      </c>
      <c r="I339" s="10" t="s">
        <v>1194</v>
      </c>
      <c r="J339" s="10" t="s">
        <v>1214</v>
      </c>
      <c r="K339" s="10" t="s">
        <v>1214</v>
      </c>
      <c r="L339" s="10" t="s">
        <v>1214</v>
      </c>
      <c r="M339" s="10" t="s">
        <v>1214</v>
      </c>
      <c r="N339" s="10" t="s">
        <v>1228</v>
      </c>
      <c r="O339" s="10" t="s">
        <v>1214</v>
      </c>
      <c r="P339" s="10" t="s">
        <v>1214</v>
      </c>
      <c r="Q339" s="10" t="s">
        <v>1214</v>
      </c>
      <c r="R339" s="10" t="s">
        <v>1214</v>
      </c>
      <c r="S339" s="10" t="s">
        <v>61</v>
      </c>
    </row>
    <row r="340" spans="1:19" ht="43.5" x14ac:dyDescent="0.35">
      <c r="A340" s="14">
        <v>46022</v>
      </c>
      <c r="B340" s="10" t="s">
        <v>785</v>
      </c>
      <c r="C340" s="10" t="s">
        <v>786</v>
      </c>
      <c r="D340" s="10" t="s">
        <v>1102</v>
      </c>
      <c r="E340" s="10">
        <v>6220799</v>
      </c>
      <c r="F340" s="15">
        <v>100</v>
      </c>
      <c r="G340" s="10" t="s">
        <v>1453</v>
      </c>
      <c r="H340" s="10">
        <v>6220799</v>
      </c>
      <c r="I340" s="10" t="s">
        <v>1194</v>
      </c>
      <c r="J340" s="10" t="s">
        <v>1454</v>
      </c>
      <c r="K340" s="10" t="s">
        <v>1336</v>
      </c>
      <c r="L340" s="10" t="s">
        <v>1455</v>
      </c>
      <c r="M340" s="10" t="s">
        <v>1456</v>
      </c>
      <c r="N340" s="10" t="s">
        <v>1456</v>
      </c>
      <c r="O340" s="10" t="s">
        <v>1214</v>
      </c>
      <c r="P340" s="10" t="s">
        <v>1214</v>
      </c>
      <c r="Q340" s="10" t="s">
        <v>1214</v>
      </c>
      <c r="R340" s="10" t="s">
        <v>1214</v>
      </c>
      <c r="S340" s="10" t="s">
        <v>61</v>
      </c>
    </row>
    <row r="341" spans="1:19" ht="29" x14ac:dyDescent="0.35">
      <c r="A341" s="14">
        <v>46022</v>
      </c>
      <c r="B341" s="10" t="s">
        <v>787</v>
      </c>
      <c r="C341" s="10" t="s">
        <v>788</v>
      </c>
      <c r="D341" s="10" t="s">
        <v>962</v>
      </c>
      <c r="E341" s="10">
        <v>4353456</v>
      </c>
      <c r="F341" s="15">
        <v>100</v>
      </c>
      <c r="G341" s="10" t="s">
        <v>1296</v>
      </c>
      <c r="H341" s="10">
        <v>4353456</v>
      </c>
      <c r="I341" s="10" t="s">
        <v>1194</v>
      </c>
      <c r="J341" s="10" t="s">
        <v>1214</v>
      </c>
      <c r="K341" s="10" t="s">
        <v>1214</v>
      </c>
      <c r="L341" s="10" t="s">
        <v>1214</v>
      </c>
      <c r="M341" s="10" t="s">
        <v>1214</v>
      </c>
      <c r="N341" s="10" t="s">
        <v>61</v>
      </c>
      <c r="O341" s="10" t="s">
        <v>1214</v>
      </c>
      <c r="P341" s="10" t="s">
        <v>1214</v>
      </c>
      <c r="Q341" s="10" t="s">
        <v>1214</v>
      </c>
      <c r="R341" s="10" t="s">
        <v>1214</v>
      </c>
      <c r="S341" s="10" t="s">
        <v>61</v>
      </c>
    </row>
    <row r="342" spans="1:19" ht="101.5" x14ac:dyDescent="0.35">
      <c r="A342" s="14">
        <v>46022</v>
      </c>
      <c r="B342" s="10" t="s">
        <v>424</v>
      </c>
      <c r="C342" s="10" t="s">
        <v>425</v>
      </c>
      <c r="D342" s="10" t="s">
        <v>1075</v>
      </c>
      <c r="E342" s="10">
        <v>4396728</v>
      </c>
      <c r="F342" s="15">
        <v>79.400000000000006</v>
      </c>
      <c r="G342" s="10" t="s">
        <v>1457</v>
      </c>
      <c r="H342" s="10">
        <v>4396728</v>
      </c>
      <c r="I342" s="10">
        <v>4355602</v>
      </c>
      <c r="J342" s="10" t="s">
        <v>1404</v>
      </c>
      <c r="K342" s="10" t="s">
        <v>1405</v>
      </c>
      <c r="L342" s="10" t="s">
        <v>1404</v>
      </c>
      <c r="M342" s="10" t="s">
        <v>1405</v>
      </c>
      <c r="N342" s="10" t="s">
        <v>1405</v>
      </c>
      <c r="O342" s="10" t="s">
        <v>1295</v>
      </c>
      <c r="P342" s="10" t="s">
        <v>122</v>
      </c>
      <c r="Q342" s="10" t="s">
        <v>1295</v>
      </c>
      <c r="R342" s="10" t="s">
        <v>122</v>
      </c>
      <c r="S342" s="10" t="s">
        <v>122</v>
      </c>
    </row>
    <row r="343" spans="1:19" ht="101.5" x14ac:dyDescent="0.35">
      <c r="A343" s="14">
        <v>46022</v>
      </c>
      <c r="B343" s="10" t="s">
        <v>424</v>
      </c>
      <c r="C343" s="10" t="s">
        <v>425</v>
      </c>
      <c r="D343" s="10" t="s">
        <v>1002</v>
      </c>
      <c r="E343" s="10">
        <v>4355602</v>
      </c>
      <c r="F343" s="15">
        <v>20.6</v>
      </c>
      <c r="G343" s="10" t="s">
        <v>1457</v>
      </c>
      <c r="H343" s="10">
        <v>4396728</v>
      </c>
      <c r="I343" s="10">
        <v>4355602</v>
      </c>
      <c r="J343" s="10" t="s">
        <v>1404</v>
      </c>
      <c r="K343" s="10" t="s">
        <v>1405</v>
      </c>
      <c r="L343" s="10" t="s">
        <v>1404</v>
      </c>
      <c r="M343" s="10" t="s">
        <v>1405</v>
      </c>
      <c r="N343" s="10" t="s">
        <v>1405</v>
      </c>
      <c r="O343" s="10" t="s">
        <v>1295</v>
      </c>
      <c r="P343" s="10" t="s">
        <v>122</v>
      </c>
      <c r="Q343" s="10" t="s">
        <v>1295</v>
      </c>
      <c r="R343" s="10" t="s">
        <v>122</v>
      </c>
      <c r="S343" s="10" t="s">
        <v>122</v>
      </c>
    </row>
    <row r="344" spans="1:19" ht="101.5" x14ac:dyDescent="0.35">
      <c r="A344" s="14">
        <v>46022</v>
      </c>
      <c r="B344" s="10" t="s">
        <v>399</v>
      </c>
      <c r="C344" s="10" t="s">
        <v>400</v>
      </c>
      <c r="D344" s="10" t="s">
        <v>1075</v>
      </c>
      <c r="E344" s="10">
        <v>4396728</v>
      </c>
      <c r="F344" s="15">
        <v>79.400000000000006</v>
      </c>
      <c r="G344" s="10" t="s">
        <v>1403</v>
      </c>
      <c r="H344" s="10">
        <v>4396728</v>
      </c>
      <c r="I344" s="10">
        <v>4355602</v>
      </c>
      <c r="J344" s="10" t="s">
        <v>1404</v>
      </c>
      <c r="K344" s="10" t="s">
        <v>1405</v>
      </c>
      <c r="L344" s="10" t="s">
        <v>1404</v>
      </c>
      <c r="M344" s="10" t="s">
        <v>1405</v>
      </c>
      <c r="N344" s="10" t="s">
        <v>1405</v>
      </c>
      <c r="O344" s="10" t="s">
        <v>1295</v>
      </c>
      <c r="P344" s="10" t="s">
        <v>122</v>
      </c>
      <c r="Q344" s="10" t="s">
        <v>1295</v>
      </c>
      <c r="R344" s="10" t="s">
        <v>122</v>
      </c>
      <c r="S344" s="10" t="s">
        <v>122</v>
      </c>
    </row>
    <row r="345" spans="1:19" ht="101.5" x14ac:dyDescent="0.35">
      <c r="A345" s="14">
        <v>46022</v>
      </c>
      <c r="B345" s="10" t="s">
        <v>399</v>
      </c>
      <c r="C345" s="10" t="s">
        <v>400</v>
      </c>
      <c r="D345" s="10" t="s">
        <v>1002</v>
      </c>
      <c r="E345" s="10">
        <v>4355602</v>
      </c>
      <c r="F345" s="15">
        <v>20.6</v>
      </c>
      <c r="G345" s="10" t="s">
        <v>1403</v>
      </c>
      <c r="H345" s="10">
        <v>4396728</v>
      </c>
      <c r="I345" s="10">
        <v>4355602</v>
      </c>
      <c r="J345" s="10" t="s">
        <v>1404</v>
      </c>
      <c r="K345" s="10" t="s">
        <v>1405</v>
      </c>
      <c r="L345" s="10" t="s">
        <v>1404</v>
      </c>
      <c r="M345" s="10" t="s">
        <v>1405</v>
      </c>
      <c r="N345" s="10" t="s">
        <v>1405</v>
      </c>
      <c r="O345" s="10" t="s">
        <v>1295</v>
      </c>
      <c r="P345" s="10" t="s">
        <v>122</v>
      </c>
      <c r="Q345" s="10" t="s">
        <v>1295</v>
      </c>
      <c r="R345" s="10" t="s">
        <v>122</v>
      </c>
      <c r="S345" s="10" t="s">
        <v>122</v>
      </c>
    </row>
    <row r="346" spans="1:19" ht="58" x14ac:dyDescent="0.35">
      <c r="A346" s="14">
        <v>46022</v>
      </c>
      <c r="B346" s="10" t="s">
        <v>426</v>
      </c>
      <c r="C346" s="10" t="s">
        <v>427</v>
      </c>
      <c r="D346" s="10" t="s">
        <v>981</v>
      </c>
      <c r="E346" s="10">
        <v>4120225</v>
      </c>
      <c r="F346" s="15">
        <v>61.5</v>
      </c>
      <c r="G346" s="10" t="s">
        <v>1458</v>
      </c>
      <c r="H346" s="10">
        <v>4120225</v>
      </c>
      <c r="I346" s="10">
        <v>4075105</v>
      </c>
      <c r="J346" s="10" t="s">
        <v>1214</v>
      </c>
      <c r="K346" s="10" t="s">
        <v>1214</v>
      </c>
      <c r="L346" s="10" t="s">
        <v>1214</v>
      </c>
      <c r="M346" s="10" t="s">
        <v>1214</v>
      </c>
      <c r="N346" s="10" t="s">
        <v>222</v>
      </c>
      <c r="O346" s="10" t="s">
        <v>1214</v>
      </c>
      <c r="P346" s="10" t="s">
        <v>1214</v>
      </c>
      <c r="Q346" s="10" t="s">
        <v>1214</v>
      </c>
      <c r="R346" s="10" t="s">
        <v>1214</v>
      </c>
      <c r="S346" s="10" t="s">
        <v>79</v>
      </c>
    </row>
    <row r="347" spans="1:19" ht="58" x14ac:dyDescent="0.35">
      <c r="A347" s="14">
        <v>46022</v>
      </c>
      <c r="B347" s="10" t="s">
        <v>426</v>
      </c>
      <c r="C347" s="10" t="s">
        <v>427</v>
      </c>
      <c r="D347" s="10" t="s">
        <v>976</v>
      </c>
      <c r="E347" s="10">
        <v>4075105</v>
      </c>
      <c r="F347" s="15">
        <v>38.5</v>
      </c>
      <c r="G347" s="10" t="s">
        <v>1458</v>
      </c>
      <c r="H347" s="10">
        <v>4120225</v>
      </c>
      <c r="I347" s="10">
        <v>4075105</v>
      </c>
      <c r="J347" s="10" t="s">
        <v>1214</v>
      </c>
      <c r="K347" s="10" t="s">
        <v>1214</v>
      </c>
      <c r="L347" s="10" t="s">
        <v>1214</v>
      </c>
      <c r="M347" s="10" t="s">
        <v>1214</v>
      </c>
      <c r="N347" s="10" t="s">
        <v>222</v>
      </c>
      <c r="O347" s="10" t="s">
        <v>1214</v>
      </c>
      <c r="P347" s="10" t="s">
        <v>1214</v>
      </c>
      <c r="Q347" s="10" t="s">
        <v>1214</v>
      </c>
      <c r="R347" s="10" t="s">
        <v>1214</v>
      </c>
      <c r="S347" s="10" t="s">
        <v>79</v>
      </c>
    </row>
    <row r="348" spans="1:19" ht="29" x14ac:dyDescent="0.35">
      <c r="A348" s="14">
        <v>46022</v>
      </c>
      <c r="B348" s="10" t="s">
        <v>599</v>
      </c>
      <c r="C348" s="10" t="s">
        <v>600</v>
      </c>
      <c r="D348" s="10" t="s">
        <v>1103</v>
      </c>
      <c r="E348" s="10">
        <v>4352755</v>
      </c>
      <c r="F348" s="15">
        <v>100</v>
      </c>
      <c r="G348" s="10" t="s">
        <v>1459</v>
      </c>
      <c r="H348" s="10">
        <v>4349317</v>
      </c>
      <c r="I348" s="10" t="s">
        <v>1194</v>
      </c>
      <c r="J348" s="10" t="s">
        <v>1214</v>
      </c>
      <c r="K348" s="10" t="s">
        <v>1214</v>
      </c>
      <c r="L348" s="10" t="s">
        <v>1214</v>
      </c>
      <c r="M348" s="10" t="s">
        <v>1214</v>
      </c>
      <c r="N348" s="10" t="s">
        <v>79</v>
      </c>
      <c r="O348" s="10" t="s">
        <v>1214</v>
      </c>
      <c r="P348" s="10" t="s">
        <v>1214</v>
      </c>
      <c r="Q348" s="10" t="s">
        <v>1214</v>
      </c>
      <c r="R348" s="10" t="s">
        <v>1214</v>
      </c>
      <c r="S348" s="10" t="s">
        <v>61</v>
      </c>
    </row>
    <row r="349" spans="1:19" ht="29" x14ac:dyDescent="0.35">
      <c r="A349" s="14">
        <v>46022</v>
      </c>
      <c r="B349" s="10" t="s">
        <v>601</v>
      </c>
      <c r="C349" s="10" t="s">
        <v>602</v>
      </c>
      <c r="D349" s="10" t="s">
        <v>1104</v>
      </c>
      <c r="E349" s="10">
        <v>4413345</v>
      </c>
      <c r="F349" s="15">
        <v>65</v>
      </c>
      <c r="G349" s="10" t="s">
        <v>1460</v>
      </c>
      <c r="H349" s="10">
        <v>4413345</v>
      </c>
      <c r="I349" s="10">
        <v>4418919</v>
      </c>
      <c r="J349" s="10" t="s">
        <v>1214</v>
      </c>
      <c r="K349" s="10" t="s">
        <v>1214</v>
      </c>
      <c r="L349" s="10" t="s">
        <v>1214</v>
      </c>
      <c r="M349" s="10" t="s">
        <v>1214</v>
      </c>
      <c r="N349" s="10" t="s">
        <v>61</v>
      </c>
      <c r="O349" s="10" t="s">
        <v>1214</v>
      </c>
      <c r="P349" s="10" t="s">
        <v>1214</v>
      </c>
      <c r="Q349" s="10" t="s">
        <v>1214</v>
      </c>
      <c r="R349" s="10" t="s">
        <v>1214</v>
      </c>
      <c r="S349" s="10" t="s">
        <v>61</v>
      </c>
    </row>
    <row r="350" spans="1:19" ht="43.5" x14ac:dyDescent="0.35">
      <c r="A350" s="14">
        <v>46022</v>
      </c>
      <c r="B350" s="10" t="s">
        <v>601</v>
      </c>
      <c r="C350" s="10" t="s">
        <v>602</v>
      </c>
      <c r="D350" s="10" t="s">
        <v>1105</v>
      </c>
      <c r="E350" s="10">
        <v>4418919</v>
      </c>
      <c r="F350" s="15">
        <v>35</v>
      </c>
      <c r="G350" s="10" t="s">
        <v>1460</v>
      </c>
      <c r="H350" s="10">
        <v>4413345</v>
      </c>
      <c r="I350" s="10">
        <v>4418919</v>
      </c>
      <c r="J350" s="10" t="s">
        <v>1214</v>
      </c>
      <c r="K350" s="10" t="s">
        <v>1214</v>
      </c>
      <c r="L350" s="10" t="s">
        <v>1214</v>
      </c>
      <c r="M350" s="10" t="s">
        <v>1214</v>
      </c>
      <c r="N350" s="10" t="s">
        <v>61</v>
      </c>
      <c r="O350" s="10" t="s">
        <v>1214</v>
      </c>
      <c r="P350" s="10" t="s">
        <v>1214</v>
      </c>
      <c r="Q350" s="10" t="s">
        <v>1214</v>
      </c>
      <c r="R350" s="10" t="s">
        <v>1214</v>
      </c>
      <c r="S350" s="10" t="s">
        <v>61</v>
      </c>
    </row>
    <row r="351" spans="1:19" ht="101.5" x14ac:dyDescent="0.35">
      <c r="A351" s="14">
        <v>46022</v>
      </c>
      <c r="B351" s="10" t="s">
        <v>603</v>
      </c>
      <c r="C351" s="10" t="s">
        <v>604</v>
      </c>
      <c r="D351" s="10" t="s">
        <v>1100</v>
      </c>
      <c r="E351" s="10">
        <v>118448206</v>
      </c>
      <c r="F351" s="15">
        <v>51</v>
      </c>
      <c r="G351" s="10" t="s">
        <v>1461</v>
      </c>
      <c r="H351" s="10">
        <v>118448206</v>
      </c>
      <c r="I351" s="10">
        <v>4355602</v>
      </c>
      <c r="J351" s="10" t="s">
        <v>1447</v>
      </c>
      <c r="K351" s="10" t="s">
        <v>1347</v>
      </c>
      <c r="L351" s="10" t="s">
        <v>1448</v>
      </c>
      <c r="M351" s="10" t="s">
        <v>1347</v>
      </c>
      <c r="N351" s="10" t="s">
        <v>1347</v>
      </c>
      <c r="O351" s="10" t="s">
        <v>1295</v>
      </c>
      <c r="P351" s="10" t="s">
        <v>122</v>
      </c>
      <c r="Q351" s="10" t="s">
        <v>1295</v>
      </c>
      <c r="R351" s="10" t="s">
        <v>122</v>
      </c>
      <c r="S351" s="10" t="s">
        <v>122</v>
      </c>
    </row>
    <row r="352" spans="1:19" ht="101.5" x14ac:dyDescent="0.35">
      <c r="A352" s="14">
        <v>46022</v>
      </c>
      <c r="B352" s="10" t="s">
        <v>603</v>
      </c>
      <c r="C352" s="10" t="s">
        <v>604</v>
      </c>
      <c r="D352" s="10" t="s">
        <v>1002</v>
      </c>
      <c r="E352" s="10">
        <v>4355602</v>
      </c>
      <c r="F352" s="15">
        <v>49</v>
      </c>
      <c r="G352" s="10" t="s">
        <v>1461</v>
      </c>
      <c r="H352" s="10">
        <v>118448206</v>
      </c>
      <c r="I352" s="10">
        <v>4355602</v>
      </c>
      <c r="J352" s="10" t="s">
        <v>1447</v>
      </c>
      <c r="K352" s="10" t="s">
        <v>1347</v>
      </c>
      <c r="L352" s="10" t="s">
        <v>1448</v>
      </c>
      <c r="M352" s="10" t="s">
        <v>1347</v>
      </c>
      <c r="N352" s="10" t="s">
        <v>1347</v>
      </c>
      <c r="O352" s="10" t="s">
        <v>1295</v>
      </c>
      <c r="P352" s="10" t="s">
        <v>122</v>
      </c>
      <c r="Q352" s="10" t="s">
        <v>1295</v>
      </c>
      <c r="R352" s="10" t="s">
        <v>122</v>
      </c>
      <c r="S352" s="10" t="s">
        <v>122</v>
      </c>
    </row>
    <row r="353" spans="1:19" ht="101.5" x14ac:dyDescent="0.35">
      <c r="A353" s="14">
        <v>46022</v>
      </c>
      <c r="B353" s="10" t="s">
        <v>605</v>
      </c>
      <c r="C353" s="10" t="s">
        <v>606</v>
      </c>
      <c r="D353" s="10" t="s">
        <v>984</v>
      </c>
      <c r="E353" s="10">
        <v>4352853</v>
      </c>
      <c r="F353" s="15">
        <v>100</v>
      </c>
      <c r="G353" s="10" t="s">
        <v>1462</v>
      </c>
      <c r="H353" s="10">
        <v>4352853</v>
      </c>
      <c r="I353" s="10" t="s">
        <v>1194</v>
      </c>
      <c r="J353" s="10" t="s">
        <v>1214</v>
      </c>
      <c r="K353" s="10" t="s">
        <v>1214</v>
      </c>
      <c r="L353" s="10" t="s">
        <v>1214</v>
      </c>
      <c r="M353" s="10" t="s">
        <v>1214</v>
      </c>
      <c r="N353" s="10" t="s">
        <v>86</v>
      </c>
      <c r="O353" s="10" t="s">
        <v>1214</v>
      </c>
      <c r="P353" s="10" t="s">
        <v>1214</v>
      </c>
      <c r="Q353" s="10" t="s">
        <v>1214</v>
      </c>
      <c r="R353" s="10" t="s">
        <v>1214</v>
      </c>
      <c r="S353" s="10" t="s">
        <v>61</v>
      </c>
    </row>
    <row r="354" spans="1:19" ht="58" x14ac:dyDescent="0.35">
      <c r="A354" s="14">
        <v>46022</v>
      </c>
      <c r="B354" s="10" t="s">
        <v>401</v>
      </c>
      <c r="C354" s="10" t="s">
        <v>402</v>
      </c>
      <c r="D354" s="10" t="s">
        <v>1031</v>
      </c>
      <c r="E354" s="10">
        <v>4350088</v>
      </c>
      <c r="F354" s="15">
        <v>80</v>
      </c>
      <c r="G354" s="10" t="s">
        <v>1463</v>
      </c>
      <c r="H354" s="10">
        <v>4350088</v>
      </c>
      <c r="I354" s="10">
        <v>4354638</v>
      </c>
      <c r="J354" s="10" t="s">
        <v>1214</v>
      </c>
      <c r="K354" s="10" t="s">
        <v>1214</v>
      </c>
      <c r="L354" s="10" t="s">
        <v>1214</v>
      </c>
      <c r="M354" s="10" t="s">
        <v>1214</v>
      </c>
      <c r="N354" s="10" t="s">
        <v>89</v>
      </c>
      <c r="O354" s="10" t="s">
        <v>1214</v>
      </c>
      <c r="P354" s="10" t="s">
        <v>1214</v>
      </c>
      <c r="Q354" s="10" t="s">
        <v>1214</v>
      </c>
      <c r="R354" s="10" t="s">
        <v>1214</v>
      </c>
      <c r="S354" s="10" t="s">
        <v>1235</v>
      </c>
    </row>
    <row r="355" spans="1:19" ht="58" x14ac:dyDescent="0.35">
      <c r="A355" s="14">
        <v>46022</v>
      </c>
      <c r="B355" s="10" t="s">
        <v>401</v>
      </c>
      <c r="C355" s="10" t="s">
        <v>402</v>
      </c>
      <c r="D355" s="10" t="s">
        <v>988</v>
      </c>
      <c r="E355" s="10">
        <v>4047416</v>
      </c>
      <c r="F355" s="15">
        <v>6.7</v>
      </c>
      <c r="G355" s="10" t="s">
        <v>1463</v>
      </c>
      <c r="H355" s="10">
        <v>4350088</v>
      </c>
      <c r="I355" s="10">
        <v>4354638</v>
      </c>
      <c r="J355" s="10" t="s">
        <v>1214</v>
      </c>
      <c r="K355" s="10" t="s">
        <v>1214</v>
      </c>
      <c r="L355" s="10" t="s">
        <v>1214</v>
      </c>
      <c r="M355" s="10" t="s">
        <v>1214</v>
      </c>
      <c r="N355" s="10" t="s">
        <v>89</v>
      </c>
      <c r="O355" s="10" t="s">
        <v>1214</v>
      </c>
      <c r="P355" s="10" t="s">
        <v>1214</v>
      </c>
      <c r="Q355" s="10" t="s">
        <v>1214</v>
      </c>
      <c r="R355" s="10" t="s">
        <v>1214</v>
      </c>
      <c r="S355" s="10" t="s">
        <v>1235</v>
      </c>
    </row>
    <row r="356" spans="1:19" ht="58" x14ac:dyDescent="0.35">
      <c r="A356" s="14">
        <v>46022</v>
      </c>
      <c r="B356" s="10" t="s">
        <v>401</v>
      </c>
      <c r="C356" s="10" t="s">
        <v>402</v>
      </c>
      <c r="D356" s="10" t="s">
        <v>989</v>
      </c>
      <c r="E356" s="10">
        <v>4354638</v>
      </c>
      <c r="F356" s="15">
        <v>13.3</v>
      </c>
      <c r="G356" s="10" t="s">
        <v>1463</v>
      </c>
      <c r="H356" s="10">
        <v>4350088</v>
      </c>
      <c r="I356" s="10">
        <v>4354638</v>
      </c>
      <c r="J356" s="10" t="s">
        <v>1214</v>
      </c>
      <c r="K356" s="10" t="s">
        <v>1214</v>
      </c>
      <c r="L356" s="10" t="s">
        <v>1214</v>
      </c>
      <c r="M356" s="10" t="s">
        <v>1214</v>
      </c>
      <c r="N356" s="10" t="s">
        <v>89</v>
      </c>
      <c r="O356" s="10" t="s">
        <v>1214</v>
      </c>
      <c r="P356" s="10" t="s">
        <v>1214</v>
      </c>
      <c r="Q356" s="10" t="s">
        <v>1214</v>
      </c>
      <c r="R356" s="10" t="s">
        <v>1214</v>
      </c>
      <c r="S356" s="10" t="s">
        <v>1235</v>
      </c>
    </row>
    <row r="357" spans="1:19" x14ac:dyDescent="0.35">
      <c r="A357" s="14">
        <v>46022</v>
      </c>
      <c r="B357" s="10" t="s">
        <v>444</v>
      </c>
      <c r="C357" s="10" t="s">
        <v>445</v>
      </c>
      <c r="D357" s="10" t="s">
        <v>1106</v>
      </c>
      <c r="E357" s="10">
        <v>4351204</v>
      </c>
      <c r="F357" s="15">
        <v>100</v>
      </c>
      <c r="G357" s="10" t="s">
        <v>1464</v>
      </c>
      <c r="H357" s="10">
        <v>4351204</v>
      </c>
      <c r="I357" s="10" t="s">
        <v>1194</v>
      </c>
      <c r="J357" s="10" t="s">
        <v>1214</v>
      </c>
      <c r="K357" s="10" t="s">
        <v>1214</v>
      </c>
      <c r="L357" s="10" t="s">
        <v>1214</v>
      </c>
      <c r="M357" s="10" t="s">
        <v>1214</v>
      </c>
      <c r="N357" s="10" t="s">
        <v>89</v>
      </c>
      <c r="O357" s="10" t="s">
        <v>1214</v>
      </c>
      <c r="P357" s="10" t="s">
        <v>1214</v>
      </c>
      <c r="Q357" s="10" t="s">
        <v>1214</v>
      </c>
      <c r="R357" s="10" t="s">
        <v>1214</v>
      </c>
      <c r="S357" s="10" t="s">
        <v>61</v>
      </c>
    </row>
    <row r="358" spans="1:19" ht="101.5" x14ac:dyDescent="0.35">
      <c r="A358" s="14">
        <v>46022</v>
      </c>
      <c r="B358" s="10" t="s">
        <v>789</v>
      </c>
      <c r="C358" s="10" t="s">
        <v>790</v>
      </c>
      <c r="D358" s="10" t="s">
        <v>1107</v>
      </c>
      <c r="E358" s="10">
        <v>10930041</v>
      </c>
      <c r="F358" s="15">
        <v>100</v>
      </c>
      <c r="G358" s="10" t="s">
        <v>1465</v>
      </c>
      <c r="H358" s="10">
        <v>10930041</v>
      </c>
      <c r="I358" s="10" t="s">
        <v>1194</v>
      </c>
      <c r="J358" s="10" t="s">
        <v>1214</v>
      </c>
      <c r="K358" s="10" t="s">
        <v>1214</v>
      </c>
      <c r="L358" s="10" t="s">
        <v>1214</v>
      </c>
      <c r="M358" s="10" t="s">
        <v>1214</v>
      </c>
      <c r="N358" s="10" t="s">
        <v>61</v>
      </c>
      <c r="O358" s="10" t="s">
        <v>1214</v>
      </c>
      <c r="P358" s="10" t="s">
        <v>1214</v>
      </c>
      <c r="Q358" s="10" t="s">
        <v>1214</v>
      </c>
      <c r="R358" s="10" t="s">
        <v>1214</v>
      </c>
      <c r="S358" s="10" t="s">
        <v>61</v>
      </c>
    </row>
    <row r="359" spans="1:19" ht="101.5" x14ac:dyDescent="0.35">
      <c r="A359" s="14">
        <v>46022</v>
      </c>
      <c r="B359" s="10" t="s">
        <v>607</v>
      </c>
      <c r="C359" s="10" t="s">
        <v>608</v>
      </c>
      <c r="D359" s="10" t="s">
        <v>1108</v>
      </c>
      <c r="E359" s="10">
        <v>4353027</v>
      </c>
      <c r="F359" s="15">
        <v>100</v>
      </c>
      <c r="G359" s="10" t="s">
        <v>1466</v>
      </c>
      <c r="H359" s="10">
        <v>4353027</v>
      </c>
      <c r="I359" s="10" t="s">
        <v>1194</v>
      </c>
      <c r="J359" s="10" t="s">
        <v>1467</v>
      </c>
      <c r="K359" s="10" t="s">
        <v>250</v>
      </c>
      <c r="L359" s="10" t="s">
        <v>1467</v>
      </c>
      <c r="M359" s="10" t="s">
        <v>250</v>
      </c>
      <c r="N359" s="10" t="s">
        <v>250</v>
      </c>
      <c r="O359" s="10" t="s">
        <v>1214</v>
      </c>
      <c r="P359" s="10" t="s">
        <v>1214</v>
      </c>
      <c r="Q359" s="10" t="s">
        <v>1214</v>
      </c>
      <c r="R359" s="10" t="s">
        <v>1214</v>
      </c>
      <c r="S359" s="10" t="s">
        <v>61</v>
      </c>
    </row>
    <row r="360" spans="1:19" ht="43.5" x14ac:dyDescent="0.35">
      <c r="A360" s="14">
        <v>46022</v>
      </c>
      <c r="B360" s="10" t="s">
        <v>609</v>
      </c>
      <c r="C360" s="10" t="s">
        <v>610</v>
      </c>
      <c r="D360" s="10" t="s">
        <v>947</v>
      </c>
      <c r="E360" s="10">
        <v>4121840</v>
      </c>
      <c r="F360" s="15">
        <v>100</v>
      </c>
      <c r="G360" s="10" t="s">
        <v>1230</v>
      </c>
      <c r="H360" s="10">
        <v>4121840</v>
      </c>
      <c r="I360" s="10" t="s">
        <v>1194</v>
      </c>
      <c r="J360" s="10" t="s">
        <v>1214</v>
      </c>
      <c r="K360" s="10" t="s">
        <v>1214</v>
      </c>
      <c r="L360" s="10" t="s">
        <v>1214</v>
      </c>
      <c r="M360" s="10" t="s">
        <v>1214</v>
      </c>
      <c r="N360" s="10" t="s">
        <v>89</v>
      </c>
      <c r="O360" s="10" t="s">
        <v>1214</v>
      </c>
      <c r="P360" s="10" t="s">
        <v>1214</v>
      </c>
      <c r="Q360" s="10" t="s">
        <v>1214</v>
      </c>
      <c r="R360" s="10" t="s">
        <v>1214</v>
      </c>
      <c r="S360" s="10" t="s">
        <v>61</v>
      </c>
    </row>
    <row r="361" spans="1:19" x14ac:dyDescent="0.35">
      <c r="A361" s="14">
        <v>46022</v>
      </c>
      <c r="B361" s="10" t="s">
        <v>611</v>
      </c>
      <c r="C361" s="10" t="s">
        <v>612</v>
      </c>
      <c r="D361" s="10" t="s">
        <v>1090</v>
      </c>
      <c r="E361" s="10">
        <v>4223919</v>
      </c>
      <c r="F361" s="15">
        <v>100</v>
      </c>
      <c r="G361" s="10" t="s">
        <v>1427</v>
      </c>
      <c r="H361" s="10">
        <v>4223919</v>
      </c>
      <c r="I361" s="10" t="s">
        <v>1194</v>
      </c>
      <c r="J361" s="10" t="s">
        <v>1214</v>
      </c>
      <c r="K361" s="10" t="s">
        <v>1214</v>
      </c>
      <c r="L361" s="10" t="s">
        <v>1214</v>
      </c>
      <c r="M361" s="10" t="s">
        <v>1214</v>
      </c>
      <c r="N361" s="10" t="s">
        <v>55</v>
      </c>
      <c r="O361" s="10" t="s">
        <v>1214</v>
      </c>
      <c r="P361" s="10" t="s">
        <v>1214</v>
      </c>
      <c r="Q361" s="10" t="s">
        <v>1214</v>
      </c>
      <c r="R361" s="10" t="s">
        <v>1214</v>
      </c>
      <c r="S361" s="10" t="s">
        <v>61</v>
      </c>
    </row>
    <row r="362" spans="1:19" ht="29" x14ac:dyDescent="0.35">
      <c r="A362" s="14">
        <v>46022</v>
      </c>
      <c r="B362" s="10" t="s">
        <v>446</v>
      </c>
      <c r="C362" s="10" t="s">
        <v>447</v>
      </c>
      <c r="D362" s="10" t="s">
        <v>351</v>
      </c>
      <c r="E362" s="10">
        <v>4350708</v>
      </c>
      <c r="F362" s="15">
        <v>34</v>
      </c>
      <c r="G362" s="10" t="s">
        <v>1468</v>
      </c>
      <c r="H362" s="10">
        <v>4149660</v>
      </c>
      <c r="I362" s="10">
        <v>4350708</v>
      </c>
      <c r="J362" s="10" t="s">
        <v>1214</v>
      </c>
      <c r="K362" s="10" t="s">
        <v>1214</v>
      </c>
      <c r="L362" s="10" t="s">
        <v>1214</v>
      </c>
      <c r="M362" s="10" t="s">
        <v>1214</v>
      </c>
      <c r="N362" s="10" t="s">
        <v>1219</v>
      </c>
      <c r="O362" s="10" t="s">
        <v>1214</v>
      </c>
      <c r="P362" s="10" t="s">
        <v>1214</v>
      </c>
      <c r="Q362" s="10" t="s">
        <v>1214</v>
      </c>
      <c r="R362" s="10" t="s">
        <v>1214</v>
      </c>
      <c r="S362" s="10" t="s">
        <v>351</v>
      </c>
    </row>
    <row r="363" spans="1:19" ht="29" x14ac:dyDescent="0.35">
      <c r="A363" s="14">
        <v>46022</v>
      </c>
      <c r="B363" s="10" t="s">
        <v>446</v>
      </c>
      <c r="C363" s="10" t="s">
        <v>447</v>
      </c>
      <c r="D363" s="10" t="s">
        <v>971</v>
      </c>
      <c r="E363" s="10">
        <v>4149660</v>
      </c>
      <c r="F363" s="15">
        <v>66</v>
      </c>
      <c r="G363" s="10" t="s">
        <v>1468</v>
      </c>
      <c r="H363" s="10">
        <v>4149660</v>
      </c>
      <c r="I363" s="10">
        <v>4350708</v>
      </c>
      <c r="J363" s="10" t="s">
        <v>1214</v>
      </c>
      <c r="K363" s="10" t="s">
        <v>1214</v>
      </c>
      <c r="L363" s="10" t="s">
        <v>1214</v>
      </c>
      <c r="M363" s="10" t="s">
        <v>1214</v>
      </c>
      <c r="N363" s="10" t="s">
        <v>1219</v>
      </c>
      <c r="O363" s="10" t="s">
        <v>1214</v>
      </c>
      <c r="P363" s="10" t="s">
        <v>1214</v>
      </c>
      <c r="Q363" s="10" t="s">
        <v>1214</v>
      </c>
      <c r="R363" s="10" t="s">
        <v>1214</v>
      </c>
      <c r="S363" s="10" t="s">
        <v>351</v>
      </c>
    </row>
    <row r="364" spans="1:19" ht="43.5" x14ac:dyDescent="0.35">
      <c r="A364" s="14">
        <v>46022</v>
      </c>
      <c r="B364" s="10" t="s">
        <v>791</v>
      </c>
      <c r="C364" s="10" t="s">
        <v>792</v>
      </c>
      <c r="D364" s="10" t="s">
        <v>1109</v>
      </c>
      <c r="E364" s="10">
        <v>4353322</v>
      </c>
      <c r="F364" s="15">
        <v>100</v>
      </c>
      <c r="G364" s="10" t="s">
        <v>1469</v>
      </c>
      <c r="H364" s="10">
        <v>4353322</v>
      </c>
      <c r="I364" s="10" t="s">
        <v>1194</v>
      </c>
      <c r="J364" s="10" t="s">
        <v>1214</v>
      </c>
      <c r="K364" s="10" t="s">
        <v>1214</v>
      </c>
      <c r="L364" s="10" t="s">
        <v>1214</v>
      </c>
      <c r="M364" s="10" t="s">
        <v>1214</v>
      </c>
      <c r="N364" s="10" t="s">
        <v>157</v>
      </c>
      <c r="O364" s="10" t="s">
        <v>1214</v>
      </c>
      <c r="P364" s="10" t="s">
        <v>1214</v>
      </c>
      <c r="Q364" s="10" t="s">
        <v>1214</v>
      </c>
      <c r="R364" s="10" t="s">
        <v>1214</v>
      </c>
      <c r="S364" s="10" t="s">
        <v>61</v>
      </c>
    </row>
    <row r="365" spans="1:19" ht="159.5" x14ac:dyDescent="0.35">
      <c r="A365" s="14">
        <v>46022</v>
      </c>
      <c r="B365" s="10" t="s">
        <v>613</v>
      </c>
      <c r="C365" s="10" t="s">
        <v>614</v>
      </c>
      <c r="D365" s="10" t="s">
        <v>1110</v>
      </c>
      <c r="E365" s="10">
        <v>4314058</v>
      </c>
      <c r="F365" s="15">
        <v>5</v>
      </c>
      <c r="G365" s="10" t="s">
        <v>1470</v>
      </c>
      <c r="H365" s="10">
        <v>4567463</v>
      </c>
      <c r="I365" s="10">
        <v>4281822</v>
      </c>
      <c r="J365" s="10" t="s">
        <v>1471</v>
      </c>
      <c r="K365" s="10" t="s">
        <v>61</v>
      </c>
      <c r="L365" s="10" t="s">
        <v>1471</v>
      </c>
      <c r="M365" s="10" t="s">
        <v>61</v>
      </c>
      <c r="N365" s="10" t="s">
        <v>61</v>
      </c>
      <c r="O365" s="10" t="s">
        <v>1214</v>
      </c>
      <c r="P365" s="10" t="s">
        <v>1214</v>
      </c>
      <c r="Q365" s="10" t="s">
        <v>1214</v>
      </c>
      <c r="R365" s="10" t="s">
        <v>1214</v>
      </c>
      <c r="S365" s="10" t="s">
        <v>105</v>
      </c>
    </row>
    <row r="366" spans="1:19" ht="159.5" x14ac:dyDescent="0.35">
      <c r="A366" s="14">
        <v>46022</v>
      </c>
      <c r="B366" s="10" t="s">
        <v>613</v>
      </c>
      <c r="C366" s="10" t="s">
        <v>614</v>
      </c>
      <c r="D366" s="10" t="s">
        <v>1111</v>
      </c>
      <c r="E366" s="10">
        <v>4528240</v>
      </c>
      <c r="F366" s="15">
        <v>20</v>
      </c>
      <c r="G366" s="10" t="s">
        <v>1470</v>
      </c>
      <c r="H366" s="10">
        <v>4567463</v>
      </c>
      <c r="I366" s="10">
        <v>4281822</v>
      </c>
      <c r="J366" s="10" t="s">
        <v>1471</v>
      </c>
      <c r="K366" s="10" t="s">
        <v>61</v>
      </c>
      <c r="L366" s="10" t="s">
        <v>1471</v>
      </c>
      <c r="M366" s="10" t="s">
        <v>61</v>
      </c>
      <c r="N366" s="10" t="s">
        <v>61</v>
      </c>
      <c r="O366" s="10" t="s">
        <v>1214</v>
      </c>
      <c r="P366" s="10" t="s">
        <v>1214</v>
      </c>
      <c r="Q366" s="10" t="s">
        <v>1214</v>
      </c>
      <c r="R366" s="10" t="s">
        <v>1214</v>
      </c>
      <c r="S366" s="10" t="s">
        <v>105</v>
      </c>
    </row>
    <row r="367" spans="1:19" ht="159.5" x14ac:dyDescent="0.35">
      <c r="A367" s="14">
        <v>46022</v>
      </c>
      <c r="B367" s="10" t="s">
        <v>613</v>
      </c>
      <c r="C367" s="10" t="s">
        <v>614</v>
      </c>
      <c r="D367" s="10" t="s">
        <v>1112</v>
      </c>
      <c r="E367" s="10">
        <v>4567463</v>
      </c>
      <c r="F367" s="15">
        <v>35</v>
      </c>
      <c r="G367" s="10" t="s">
        <v>1470</v>
      </c>
      <c r="H367" s="10">
        <v>4567463</v>
      </c>
      <c r="I367" s="10">
        <v>4281822</v>
      </c>
      <c r="J367" s="10" t="s">
        <v>1471</v>
      </c>
      <c r="K367" s="10" t="s">
        <v>61</v>
      </c>
      <c r="L367" s="10" t="s">
        <v>1471</v>
      </c>
      <c r="M367" s="10" t="s">
        <v>61</v>
      </c>
      <c r="N367" s="10" t="s">
        <v>61</v>
      </c>
      <c r="O367" s="10" t="s">
        <v>1214</v>
      </c>
      <c r="P367" s="10" t="s">
        <v>1214</v>
      </c>
      <c r="Q367" s="10" t="s">
        <v>1214</v>
      </c>
      <c r="R367" s="10" t="s">
        <v>1214</v>
      </c>
      <c r="S367" s="10" t="s">
        <v>105</v>
      </c>
    </row>
    <row r="368" spans="1:19" ht="159.5" x14ac:dyDescent="0.35">
      <c r="A368" s="14">
        <v>46022</v>
      </c>
      <c r="B368" s="10" t="s">
        <v>613</v>
      </c>
      <c r="C368" s="10" t="s">
        <v>614</v>
      </c>
      <c r="D368" s="10" t="s">
        <v>1113</v>
      </c>
      <c r="E368" s="10">
        <v>4429101</v>
      </c>
      <c r="F368" s="15">
        <v>20</v>
      </c>
      <c r="G368" s="10" t="s">
        <v>1470</v>
      </c>
      <c r="H368" s="10">
        <v>4567463</v>
      </c>
      <c r="I368" s="10">
        <v>4281822</v>
      </c>
      <c r="J368" s="10" t="s">
        <v>1471</v>
      </c>
      <c r="K368" s="10" t="s">
        <v>61</v>
      </c>
      <c r="L368" s="10" t="s">
        <v>1471</v>
      </c>
      <c r="M368" s="10" t="s">
        <v>61</v>
      </c>
      <c r="N368" s="10" t="s">
        <v>61</v>
      </c>
      <c r="O368" s="10" t="s">
        <v>1214</v>
      </c>
      <c r="P368" s="10" t="s">
        <v>1214</v>
      </c>
      <c r="Q368" s="10" t="s">
        <v>1214</v>
      </c>
      <c r="R368" s="10" t="s">
        <v>1214</v>
      </c>
      <c r="S368" s="10" t="s">
        <v>105</v>
      </c>
    </row>
    <row r="369" spans="1:19" ht="159.5" x14ac:dyDescent="0.35">
      <c r="A369" s="14">
        <v>46022</v>
      </c>
      <c r="B369" s="10" t="s">
        <v>613</v>
      </c>
      <c r="C369" s="10" t="s">
        <v>614</v>
      </c>
      <c r="D369" s="10" t="s">
        <v>1114</v>
      </c>
      <c r="E369" s="10">
        <v>4281822</v>
      </c>
      <c r="F369" s="15">
        <v>20</v>
      </c>
      <c r="G369" s="10" t="s">
        <v>1470</v>
      </c>
      <c r="H369" s="10">
        <v>4567463</v>
      </c>
      <c r="I369" s="10">
        <v>4281822</v>
      </c>
      <c r="J369" s="10" t="s">
        <v>1471</v>
      </c>
      <c r="K369" s="10" t="s">
        <v>61</v>
      </c>
      <c r="L369" s="10" t="s">
        <v>1471</v>
      </c>
      <c r="M369" s="10" t="s">
        <v>61</v>
      </c>
      <c r="N369" s="10" t="s">
        <v>61</v>
      </c>
      <c r="O369" s="10" t="s">
        <v>1214</v>
      </c>
      <c r="P369" s="10" t="s">
        <v>1214</v>
      </c>
      <c r="Q369" s="10" t="s">
        <v>1214</v>
      </c>
      <c r="R369" s="10" t="s">
        <v>1214</v>
      </c>
      <c r="S369" s="10" t="s">
        <v>105</v>
      </c>
    </row>
    <row r="370" spans="1:19" ht="72.5" x14ac:dyDescent="0.35">
      <c r="A370" s="14">
        <v>46022</v>
      </c>
      <c r="B370" s="10" t="s">
        <v>448</v>
      </c>
      <c r="C370" s="10" t="s">
        <v>449</v>
      </c>
      <c r="D370" s="10" t="s">
        <v>1115</v>
      </c>
      <c r="E370" s="10">
        <v>6621126</v>
      </c>
      <c r="F370" s="15">
        <v>100</v>
      </c>
      <c r="G370" s="10" t="s">
        <v>1472</v>
      </c>
      <c r="H370" s="10">
        <v>6621126</v>
      </c>
      <c r="I370" s="10" t="s">
        <v>1194</v>
      </c>
      <c r="J370" s="10" t="s">
        <v>1473</v>
      </c>
      <c r="K370" s="10" t="s">
        <v>1228</v>
      </c>
      <c r="L370" s="10" t="s">
        <v>1474</v>
      </c>
      <c r="M370" s="10" t="s">
        <v>1475</v>
      </c>
      <c r="N370" s="10" t="s">
        <v>148</v>
      </c>
      <c r="O370" s="10" t="s">
        <v>1214</v>
      </c>
      <c r="P370" s="10" t="s">
        <v>1214</v>
      </c>
      <c r="Q370" s="10" t="s">
        <v>1214</v>
      </c>
      <c r="R370" s="10" t="s">
        <v>1214</v>
      </c>
      <c r="S370" s="10" t="s">
        <v>61</v>
      </c>
    </row>
    <row r="371" spans="1:19" ht="72.5" x14ac:dyDescent="0.35">
      <c r="A371" s="14">
        <v>46022</v>
      </c>
      <c r="B371" s="10" t="s">
        <v>450</v>
      </c>
      <c r="C371" s="10" t="s">
        <v>451</v>
      </c>
      <c r="D371" s="10" t="s">
        <v>1115</v>
      </c>
      <c r="E371" s="10">
        <v>6621126</v>
      </c>
      <c r="F371" s="15">
        <v>100</v>
      </c>
      <c r="G371" s="10" t="s">
        <v>1472</v>
      </c>
      <c r="H371" s="10">
        <v>6621126</v>
      </c>
      <c r="I371" s="10" t="s">
        <v>1194</v>
      </c>
      <c r="J371" s="10" t="s">
        <v>1473</v>
      </c>
      <c r="K371" s="10" t="s">
        <v>1228</v>
      </c>
      <c r="L371" s="10" t="s">
        <v>1474</v>
      </c>
      <c r="M371" s="10" t="s">
        <v>1475</v>
      </c>
      <c r="N371" s="10" t="s">
        <v>148</v>
      </c>
      <c r="O371" s="10" t="s">
        <v>1214</v>
      </c>
      <c r="P371" s="10" t="s">
        <v>1214</v>
      </c>
      <c r="Q371" s="10" t="s">
        <v>1214</v>
      </c>
      <c r="R371" s="10" t="s">
        <v>1214</v>
      </c>
      <c r="S371" s="10" t="s">
        <v>61</v>
      </c>
    </row>
    <row r="372" spans="1:19" ht="43.5" x14ac:dyDescent="0.35">
      <c r="A372" s="14">
        <v>46022</v>
      </c>
      <c r="B372" s="10" t="s">
        <v>452</v>
      </c>
      <c r="C372" s="10" t="s">
        <v>453</v>
      </c>
      <c r="D372" s="10" t="s">
        <v>1116</v>
      </c>
      <c r="E372" s="10">
        <v>4355535</v>
      </c>
      <c r="F372" s="15">
        <v>100</v>
      </c>
      <c r="G372" s="10" t="s">
        <v>1476</v>
      </c>
      <c r="H372" s="10">
        <v>4355535</v>
      </c>
      <c r="I372" s="10">
        <v>4442585</v>
      </c>
      <c r="J372" s="10" t="s">
        <v>1214</v>
      </c>
      <c r="K372" s="10" t="s">
        <v>1214</v>
      </c>
      <c r="L372" s="10" t="s">
        <v>1214</v>
      </c>
      <c r="M372" s="10" t="s">
        <v>1214</v>
      </c>
      <c r="N372" s="10" t="s">
        <v>89</v>
      </c>
      <c r="O372" s="10" t="s">
        <v>1214</v>
      </c>
      <c r="P372" s="10" t="s">
        <v>1214</v>
      </c>
      <c r="Q372" s="10" t="s">
        <v>1214</v>
      </c>
      <c r="R372" s="10" t="s">
        <v>1214</v>
      </c>
      <c r="S372" s="10" t="s">
        <v>89</v>
      </c>
    </row>
    <row r="373" spans="1:19" ht="29" x14ac:dyDescent="0.35">
      <c r="A373" s="14">
        <v>46022</v>
      </c>
      <c r="B373" s="10" t="s">
        <v>405</v>
      </c>
      <c r="C373" s="10" t="s">
        <v>406</v>
      </c>
      <c r="D373" s="10" t="s">
        <v>407</v>
      </c>
      <c r="E373" s="10">
        <v>4350701</v>
      </c>
      <c r="F373" s="15">
        <v>10</v>
      </c>
      <c r="G373" s="10" t="s">
        <v>1477</v>
      </c>
      <c r="H373" s="10">
        <v>4353207</v>
      </c>
      <c r="I373" s="10">
        <v>4350701</v>
      </c>
      <c r="J373" s="10" t="s">
        <v>1214</v>
      </c>
      <c r="K373" s="10" t="s">
        <v>1214</v>
      </c>
      <c r="L373" s="10" t="s">
        <v>1214</v>
      </c>
      <c r="M373" s="10" t="s">
        <v>1214</v>
      </c>
      <c r="N373" s="10" t="s">
        <v>89</v>
      </c>
      <c r="O373" s="10" t="s">
        <v>1214</v>
      </c>
      <c r="P373" s="10" t="s">
        <v>1214</v>
      </c>
      <c r="Q373" s="10" t="s">
        <v>1214</v>
      </c>
      <c r="R373" s="10" t="s">
        <v>1214</v>
      </c>
      <c r="S373" s="10" t="s">
        <v>407</v>
      </c>
    </row>
    <row r="374" spans="1:19" ht="29" x14ac:dyDescent="0.35">
      <c r="A374" s="14">
        <v>46022</v>
      </c>
      <c r="B374" s="10" t="s">
        <v>405</v>
      </c>
      <c r="C374" s="10" t="s">
        <v>406</v>
      </c>
      <c r="D374" s="10" t="s">
        <v>1117</v>
      </c>
      <c r="E374" s="10">
        <v>4353207</v>
      </c>
      <c r="F374" s="15">
        <v>90</v>
      </c>
      <c r="G374" s="10" t="s">
        <v>1477</v>
      </c>
      <c r="H374" s="10">
        <v>4353207</v>
      </c>
      <c r="I374" s="10">
        <v>4350701</v>
      </c>
      <c r="J374" s="10" t="s">
        <v>1214</v>
      </c>
      <c r="K374" s="10" t="s">
        <v>1214</v>
      </c>
      <c r="L374" s="10" t="s">
        <v>1214</v>
      </c>
      <c r="M374" s="10" t="s">
        <v>1214</v>
      </c>
      <c r="N374" s="10" t="s">
        <v>89</v>
      </c>
      <c r="O374" s="10" t="s">
        <v>1214</v>
      </c>
      <c r="P374" s="10" t="s">
        <v>1214</v>
      </c>
      <c r="Q374" s="10" t="s">
        <v>1214</v>
      </c>
      <c r="R374" s="10" t="s">
        <v>1214</v>
      </c>
      <c r="S374" s="10" t="s">
        <v>407</v>
      </c>
    </row>
    <row r="375" spans="1:19" ht="43.5" x14ac:dyDescent="0.35">
      <c r="A375" s="14">
        <v>46022</v>
      </c>
      <c r="B375" s="10" t="s">
        <v>454</v>
      </c>
      <c r="C375" s="10" t="s">
        <v>455</v>
      </c>
      <c r="D375" s="10" t="s">
        <v>1118</v>
      </c>
      <c r="E375" s="10">
        <v>4353382</v>
      </c>
      <c r="F375" s="15">
        <v>100</v>
      </c>
      <c r="G375" s="10" t="s">
        <v>1478</v>
      </c>
      <c r="H375" s="10">
        <v>4353382</v>
      </c>
      <c r="I375" s="10" t="s">
        <v>1194</v>
      </c>
      <c r="J375" s="10" t="s">
        <v>1214</v>
      </c>
      <c r="K375" s="10" t="s">
        <v>1214</v>
      </c>
      <c r="L375" s="10" t="s">
        <v>1214</v>
      </c>
      <c r="M375" s="10" t="s">
        <v>1214</v>
      </c>
      <c r="N375" s="10" t="s">
        <v>1479</v>
      </c>
      <c r="O375" s="10" t="s">
        <v>1214</v>
      </c>
      <c r="P375" s="10" t="s">
        <v>1214</v>
      </c>
      <c r="Q375" s="10" t="s">
        <v>1214</v>
      </c>
      <c r="R375" s="10" t="s">
        <v>1214</v>
      </c>
      <c r="S375" s="10" t="s">
        <v>61</v>
      </c>
    </row>
    <row r="376" spans="1:19" ht="43.5" x14ac:dyDescent="0.35">
      <c r="A376" s="14">
        <v>46022</v>
      </c>
      <c r="B376" s="10" t="s">
        <v>793</v>
      </c>
      <c r="C376" s="10" t="s">
        <v>794</v>
      </c>
      <c r="D376" s="10" t="s">
        <v>1013</v>
      </c>
      <c r="E376" s="10">
        <v>4348938</v>
      </c>
      <c r="F376" s="15">
        <v>100</v>
      </c>
      <c r="G376" s="10" t="s">
        <v>1313</v>
      </c>
      <c r="H376" s="10">
        <v>4348938</v>
      </c>
      <c r="I376" s="10" t="s">
        <v>1194</v>
      </c>
      <c r="J376" s="10" t="s">
        <v>1214</v>
      </c>
      <c r="K376" s="10" t="s">
        <v>1214</v>
      </c>
      <c r="L376" s="10" t="s">
        <v>1214</v>
      </c>
      <c r="M376" s="10" t="s">
        <v>1214</v>
      </c>
      <c r="N376" s="10" t="s">
        <v>222</v>
      </c>
      <c r="O376" s="10" t="s">
        <v>1214</v>
      </c>
      <c r="P376" s="10" t="s">
        <v>1214</v>
      </c>
      <c r="Q376" s="10" t="s">
        <v>1214</v>
      </c>
      <c r="R376" s="10" t="s">
        <v>1214</v>
      </c>
      <c r="S376" s="10" t="s">
        <v>61</v>
      </c>
    </row>
    <row r="377" spans="1:19" ht="43.5" x14ac:dyDescent="0.35">
      <c r="A377" s="14">
        <v>46022</v>
      </c>
      <c r="B377" s="10" t="s">
        <v>615</v>
      </c>
      <c r="C377" s="10" t="s">
        <v>616</v>
      </c>
      <c r="D377" s="10" t="s">
        <v>1013</v>
      </c>
      <c r="E377" s="10">
        <v>4348938</v>
      </c>
      <c r="F377" s="15">
        <v>100</v>
      </c>
      <c r="G377" s="10" t="s">
        <v>1313</v>
      </c>
      <c r="H377" s="10">
        <v>4348938</v>
      </c>
      <c r="I377" s="10" t="s">
        <v>1194</v>
      </c>
      <c r="J377" s="10" t="s">
        <v>1214</v>
      </c>
      <c r="K377" s="10" t="s">
        <v>1214</v>
      </c>
      <c r="L377" s="10" t="s">
        <v>1214</v>
      </c>
      <c r="M377" s="10" t="s">
        <v>1214</v>
      </c>
      <c r="N377" s="10" t="s">
        <v>222</v>
      </c>
      <c r="O377" s="10" t="s">
        <v>1214</v>
      </c>
      <c r="P377" s="10" t="s">
        <v>1214</v>
      </c>
      <c r="Q377" s="10" t="s">
        <v>1214</v>
      </c>
      <c r="R377" s="10" t="s">
        <v>1214</v>
      </c>
      <c r="S377" s="10" t="s">
        <v>61</v>
      </c>
    </row>
    <row r="378" spans="1:19" ht="72.5" x14ac:dyDescent="0.35">
      <c r="A378" s="14">
        <v>46022</v>
      </c>
      <c r="B378" s="10" t="s">
        <v>456</v>
      </c>
      <c r="C378" s="10" t="s">
        <v>457</v>
      </c>
      <c r="D378" s="10" t="s">
        <v>1119</v>
      </c>
      <c r="E378" s="10">
        <v>4239757</v>
      </c>
      <c r="F378" s="15">
        <v>8.3000000000000007</v>
      </c>
      <c r="G378" s="10" t="s">
        <v>1480</v>
      </c>
      <c r="H378" s="10">
        <v>4379789</v>
      </c>
      <c r="I378" s="10">
        <v>4239757</v>
      </c>
      <c r="J378" s="10" t="s">
        <v>1214</v>
      </c>
      <c r="K378" s="10" t="s">
        <v>1214</v>
      </c>
      <c r="L378" s="10" t="s">
        <v>1214</v>
      </c>
      <c r="M378" s="10" t="s">
        <v>1214</v>
      </c>
      <c r="N378" s="10" t="s">
        <v>105</v>
      </c>
      <c r="O378" s="10" t="s">
        <v>1214</v>
      </c>
      <c r="P378" s="10" t="s">
        <v>1214</v>
      </c>
      <c r="Q378" s="10" t="s">
        <v>1214</v>
      </c>
      <c r="R378" s="10" t="s">
        <v>1214</v>
      </c>
      <c r="S378" s="10" t="s">
        <v>105</v>
      </c>
    </row>
    <row r="379" spans="1:19" ht="58" x14ac:dyDescent="0.35">
      <c r="A379" s="14">
        <v>46022</v>
      </c>
      <c r="B379" s="10" t="s">
        <v>456</v>
      </c>
      <c r="C379" s="10" t="s">
        <v>457</v>
      </c>
      <c r="D379" s="10" t="s">
        <v>1077</v>
      </c>
      <c r="E379" s="10">
        <v>4379789</v>
      </c>
      <c r="F379" s="15">
        <v>91.7</v>
      </c>
      <c r="G379" s="10" t="s">
        <v>1480</v>
      </c>
      <c r="H379" s="10">
        <v>4379789</v>
      </c>
      <c r="I379" s="10">
        <v>4239757</v>
      </c>
      <c r="J379" s="10" t="s">
        <v>1214</v>
      </c>
      <c r="K379" s="10" t="s">
        <v>1214</v>
      </c>
      <c r="L379" s="10" t="s">
        <v>1214</v>
      </c>
      <c r="M379" s="10" t="s">
        <v>1214</v>
      </c>
      <c r="N379" s="10" t="s">
        <v>105</v>
      </c>
      <c r="O379" s="10" t="s">
        <v>1214</v>
      </c>
      <c r="P379" s="10" t="s">
        <v>1214</v>
      </c>
      <c r="Q379" s="10" t="s">
        <v>1214</v>
      </c>
      <c r="R379" s="10" t="s">
        <v>1214</v>
      </c>
      <c r="S379" s="10" t="s">
        <v>105</v>
      </c>
    </row>
    <row r="380" spans="1:19" ht="101.5" x14ac:dyDescent="0.35">
      <c r="A380" s="14">
        <v>46022</v>
      </c>
      <c r="B380" s="10" t="s">
        <v>473</v>
      </c>
      <c r="C380" s="10" t="s">
        <v>474</v>
      </c>
      <c r="D380" s="10" t="s">
        <v>1120</v>
      </c>
      <c r="E380" s="10">
        <v>4348597</v>
      </c>
      <c r="F380" s="15">
        <v>26</v>
      </c>
      <c r="G380" s="10" t="s">
        <v>1481</v>
      </c>
      <c r="H380" s="10">
        <v>4351368</v>
      </c>
      <c r="I380" s="10">
        <v>4348597</v>
      </c>
      <c r="J380" s="10" t="s">
        <v>1214</v>
      </c>
      <c r="K380" s="10" t="s">
        <v>1214</v>
      </c>
      <c r="L380" s="10" t="s">
        <v>1214</v>
      </c>
      <c r="M380" s="10" t="s">
        <v>1214</v>
      </c>
      <c r="N380" s="10" t="s">
        <v>222</v>
      </c>
      <c r="O380" s="10" t="s">
        <v>1482</v>
      </c>
      <c r="P380" s="10" t="s">
        <v>105</v>
      </c>
      <c r="Q380" s="10" t="s">
        <v>1482</v>
      </c>
      <c r="R380" s="10" t="s">
        <v>105</v>
      </c>
      <c r="S380" s="10" t="s">
        <v>105</v>
      </c>
    </row>
    <row r="381" spans="1:19" ht="101.5" x14ac:dyDescent="0.35">
      <c r="A381" s="14">
        <v>46022</v>
      </c>
      <c r="B381" s="10" t="s">
        <v>473</v>
      </c>
      <c r="C381" s="10" t="s">
        <v>474</v>
      </c>
      <c r="D381" s="10" t="s">
        <v>1066</v>
      </c>
      <c r="E381" s="10">
        <v>4351368</v>
      </c>
      <c r="F381" s="15">
        <v>64</v>
      </c>
      <c r="G381" s="10" t="s">
        <v>1481</v>
      </c>
      <c r="H381" s="10">
        <v>4351368</v>
      </c>
      <c r="I381" s="10">
        <v>4348597</v>
      </c>
      <c r="J381" s="10" t="s">
        <v>1214</v>
      </c>
      <c r="K381" s="10" t="s">
        <v>1214</v>
      </c>
      <c r="L381" s="10" t="s">
        <v>1214</v>
      </c>
      <c r="M381" s="10" t="s">
        <v>1214</v>
      </c>
      <c r="N381" s="10" t="s">
        <v>222</v>
      </c>
      <c r="O381" s="10" t="s">
        <v>1482</v>
      </c>
      <c r="P381" s="10" t="s">
        <v>105</v>
      </c>
      <c r="Q381" s="10" t="s">
        <v>1482</v>
      </c>
      <c r="R381" s="10" t="s">
        <v>105</v>
      </c>
      <c r="S381" s="10" t="s">
        <v>105</v>
      </c>
    </row>
    <row r="382" spans="1:19" ht="72.5" x14ac:dyDescent="0.35">
      <c r="A382" s="14">
        <v>46022</v>
      </c>
      <c r="B382" s="10" t="s">
        <v>795</v>
      </c>
      <c r="C382" s="10" t="s">
        <v>796</v>
      </c>
      <c r="D382" s="10" t="s">
        <v>947</v>
      </c>
      <c r="E382" s="10">
        <v>4121840</v>
      </c>
      <c r="F382" s="15">
        <v>100</v>
      </c>
      <c r="G382" s="10" t="s">
        <v>1483</v>
      </c>
      <c r="H382" s="10">
        <v>4121840</v>
      </c>
      <c r="I382" s="10">
        <v>4248891</v>
      </c>
      <c r="J382" s="10" t="s">
        <v>1214</v>
      </c>
      <c r="K382" s="10" t="s">
        <v>1214</v>
      </c>
      <c r="L382" s="10" t="s">
        <v>1214</v>
      </c>
      <c r="M382" s="10" t="s">
        <v>1214</v>
      </c>
      <c r="N382" s="10" t="s">
        <v>89</v>
      </c>
      <c r="O382" s="10" t="s">
        <v>1484</v>
      </c>
      <c r="P382" s="10" t="s">
        <v>89</v>
      </c>
      <c r="Q382" s="10" t="s">
        <v>1485</v>
      </c>
      <c r="R382" s="10" t="s">
        <v>89</v>
      </c>
      <c r="S382" s="10" t="s">
        <v>89</v>
      </c>
    </row>
    <row r="383" spans="1:19" ht="58" x14ac:dyDescent="0.35">
      <c r="A383" s="14">
        <v>46022</v>
      </c>
      <c r="B383" s="10" t="s">
        <v>617</v>
      </c>
      <c r="C383" s="10" t="s">
        <v>618</v>
      </c>
      <c r="D383" s="10" t="s">
        <v>1121</v>
      </c>
      <c r="E383" s="10">
        <v>4349943</v>
      </c>
      <c r="F383" s="15">
        <v>100</v>
      </c>
      <c r="G383" s="10" t="s">
        <v>1486</v>
      </c>
      <c r="H383" s="10">
        <v>4349943</v>
      </c>
      <c r="I383" s="10">
        <v>4519709</v>
      </c>
      <c r="J383" s="10" t="s">
        <v>1214</v>
      </c>
      <c r="K383" s="10" t="s">
        <v>1214</v>
      </c>
      <c r="L383" s="10" t="s">
        <v>1214</v>
      </c>
      <c r="M383" s="10" t="s">
        <v>1214</v>
      </c>
      <c r="N383" s="10" t="s">
        <v>344</v>
      </c>
      <c r="O383" s="10" t="s">
        <v>1214</v>
      </c>
      <c r="P383" s="10" t="s">
        <v>1214</v>
      </c>
      <c r="Q383" s="10" t="s">
        <v>1214</v>
      </c>
      <c r="R383" s="10" t="s">
        <v>1214</v>
      </c>
      <c r="S383" s="10" t="s">
        <v>344</v>
      </c>
    </row>
    <row r="384" spans="1:19" ht="87" x14ac:dyDescent="0.35">
      <c r="A384" s="14">
        <v>46022</v>
      </c>
      <c r="B384" s="10" t="s">
        <v>619</v>
      </c>
      <c r="C384" s="10" t="s">
        <v>620</v>
      </c>
      <c r="D384" s="10" t="s">
        <v>1122</v>
      </c>
      <c r="E384" s="10">
        <v>4349747</v>
      </c>
      <c r="F384" s="15">
        <v>8.33</v>
      </c>
      <c r="G384" s="10" t="s">
        <v>1487</v>
      </c>
      <c r="H384" s="10">
        <v>4355551</v>
      </c>
      <c r="I384" s="10">
        <v>4355556</v>
      </c>
      <c r="J384" s="10" t="s">
        <v>1292</v>
      </c>
      <c r="K384" s="10" t="s">
        <v>61</v>
      </c>
      <c r="L384" s="10" t="s">
        <v>1315</v>
      </c>
      <c r="M384" s="10" t="s">
        <v>61</v>
      </c>
      <c r="N384" s="10" t="s">
        <v>61</v>
      </c>
      <c r="O384" s="10" t="s">
        <v>1214</v>
      </c>
      <c r="P384" s="10" t="s">
        <v>1214</v>
      </c>
      <c r="Q384" s="10" t="s">
        <v>1214</v>
      </c>
      <c r="R384" s="10" t="s">
        <v>1214</v>
      </c>
      <c r="S384" s="10" t="s">
        <v>61</v>
      </c>
    </row>
    <row r="385" spans="1:19" ht="72.5" x14ac:dyDescent="0.35">
      <c r="A385" s="14">
        <v>46022</v>
      </c>
      <c r="B385" s="10" t="s">
        <v>619</v>
      </c>
      <c r="C385" s="10" t="s">
        <v>620</v>
      </c>
      <c r="D385" s="10" t="s">
        <v>1014</v>
      </c>
      <c r="E385" s="10">
        <v>4355551</v>
      </c>
      <c r="F385" s="15">
        <v>70</v>
      </c>
      <c r="G385" s="10" t="s">
        <v>1487</v>
      </c>
      <c r="H385" s="10">
        <v>4355551</v>
      </c>
      <c r="I385" s="10">
        <v>4355556</v>
      </c>
      <c r="J385" s="10" t="s">
        <v>1292</v>
      </c>
      <c r="K385" s="10" t="s">
        <v>61</v>
      </c>
      <c r="L385" s="10" t="s">
        <v>1315</v>
      </c>
      <c r="M385" s="10" t="s">
        <v>61</v>
      </c>
      <c r="N385" s="10" t="s">
        <v>61</v>
      </c>
      <c r="O385" s="10" t="s">
        <v>1214</v>
      </c>
      <c r="P385" s="10" t="s">
        <v>1214</v>
      </c>
      <c r="Q385" s="10" t="s">
        <v>1214</v>
      </c>
      <c r="R385" s="10" t="s">
        <v>1214</v>
      </c>
      <c r="S385" s="10" t="s">
        <v>61</v>
      </c>
    </row>
    <row r="386" spans="1:19" ht="72.5" x14ac:dyDescent="0.35">
      <c r="A386" s="14">
        <v>46022</v>
      </c>
      <c r="B386" s="10" t="s">
        <v>619</v>
      </c>
      <c r="C386" s="10" t="s">
        <v>620</v>
      </c>
      <c r="D386" s="10" t="s">
        <v>1123</v>
      </c>
      <c r="E386" s="10">
        <v>4355556</v>
      </c>
      <c r="F386" s="15">
        <v>20</v>
      </c>
      <c r="G386" s="10" t="s">
        <v>1487</v>
      </c>
      <c r="H386" s="10">
        <v>4355551</v>
      </c>
      <c r="I386" s="10">
        <v>4355556</v>
      </c>
      <c r="J386" s="10" t="s">
        <v>1292</v>
      </c>
      <c r="K386" s="10" t="s">
        <v>61</v>
      </c>
      <c r="L386" s="10" t="s">
        <v>1315</v>
      </c>
      <c r="M386" s="10" t="s">
        <v>61</v>
      </c>
      <c r="N386" s="10" t="s">
        <v>61</v>
      </c>
      <c r="O386" s="10" t="s">
        <v>1214</v>
      </c>
      <c r="P386" s="10" t="s">
        <v>1214</v>
      </c>
      <c r="Q386" s="10" t="s">
        <v>1214</v>
      </c>
      <c r="R386" s="10" t="s">
        <v>1214</v>
      </c>
      <c r="S386" s="10" t="s">
        <v>61</v>
      </c>
    </row>
    <row r="387" spans="1:19" ht="43.5" x14ac:dyDescent="0.35">
      <c r="A387" s="14">
        <v>46022</v>
      </c>
      <c r="B387" s="10" t="s">
        <v>797</v>
      </c>
      <c r="C387" s="10" t="s">
        <v>798</v>
      </c>
      <c r="D387" s="10" t="s">
        <v>1124</v>
      </c>
      <c r="E387" s="10">
        <v>105915055</v>
      </c>
      <c r="F387" s="15">
        <v>100</v>
      </c>
      <c r="G387" s="10" t="s">
        <v>1488</v>
      </c>
      <c r="H387" s="10">
        <v>105915055</v>
      </c>
      <c r="I387" s="10">
        <v>4531467</v>
      </c>
      <c r="J387" s="10" t="s">
        <v>1214</v>
      </c>
      <c r="K387" s="10" t="s">
        <v>1214</v>
      </c>
      <c r="L387" s="10" t="s">
        <v>1214</v>
      </c>
      <c r="M387" s="10" t="s">
        <v>1214</v>
      </c>
      <c r="N387" s="10" t="s">
        <v>222</v>
      </c>
      <c r="O387" s="10" t="s">
        <v>1214</v>
      </c>
      <c r="P387" s="10" t="s">
        <v>1214</v>
      </c>
      <c r="Q387" s="10" t="s">
        <v>1214</v>
      </c>
      <c r="R387" s="10" t="s">
        <v>1214</v>
      </c>
      <c r="S387" s="10" t="s">
        <v>79</v>
      </c>
    </row>
    <row r="388" spans="1:19" ht="58" x14ac:dyDescent="0.35">
      <c r="A388" s="14">
        <v>46022</v>
      </c>
      <c r="B388" s="10" t="s">
        <v>799</v>
      </c>
      <c r="C388" s="10" t="s">
        <v>800</v>
      </c>
      <c r="D388" s="10" t="s">
        <v>1125</v>
      </c>
      <c r="E388" s="10">
        <v>19556549</v>
      </c>
      <c r="F388" s="15">
        <v>100</v>
      </c>
      <c r="G388" s="10" t="s">
        <v>1489</v>
      </c>
      <c r="H388" s="10">
        <v>19556549</v>
      </c>
      <c r="I388" s="10" t="s">
        <v>1194</v>
      </c>
      <c r="J388" s="10" t="s">
        <v>1214</v>
      </c>
      <c r="K388" s="10" t="s">
        <v>1214</v>
      </c>
      <c r="L388" s="10" t="s">
        <v>1214</v>
      </c>
      <c r="M388" s="10" t="s">
        <v>1214</v>
      </c>
      <c r="N388" s="10" t="s">
        <v>222</v>
      </c>
      <c r="O388" s="10" t="s">
        <v>1214</v>
      </c>
      <c r="P388" s="10" t="s">
        <v>1214</v>
      </c>
      <c r="Q388" s="10" t="s">
        <v>1214</v>
      </c>
      <c r="R388" s="10" t="s">
        <v>1214</v>
      </c>
      <c r="S388" s="10" t="s">
        <v>61</v>
      </c>
    </row>
    <row r="389" spans="1:19" ht="29" x14ac:dyDescent="0.35">
      <c r="A389" s="14">
        <v>46022</v>
      </c>
      <c r="B389" s="10" t="s">
        <v>408</v>
      </c>
      <c r="C389" s="10" t="s">
        <v>409</v>
      </c>
      <c r="D389" s="10" t="s">
        <v>962</v>
      </c>
      <c r="E389" s="10">
        <v>4353456</v>
      </c>
      <c r="F389" s="15">
        <v>100</v>
      </c>
      <c r="G389" s="10" t="s">
        <v>1296</v>
      </c>
      <c r="H389" s="10">
        <v>4353456</v>
      </c>
      <c r="I389" s="10" t="s">
        <v>1194</v>
      </c>
      <c r="J389" s="10" t="s">
        <v>1214</v>
      </c>
      <c r="K389" s="10" t="s">
        <v>1214</v>
      </c>
      <c r="L389" s="10" t="s">
        <v>1214</v>
      </c>
      <c r="M389" s="10" t="s">
        <v>1214</v>
      </c>
      <c r="N389" s="10" t="s">
        <v>61</v>
      </c>
      <c r="O389" s="10" t="s">
        <v>1214</v>
      </c>
      <c r="P389" s="10" t="s">
        <v>1214</v>
      </c>
      <c r="Q389" s="10" t="s">
        <v>1214</v>
      </c>
      <c r="R389" s="10" t="s">
        <v>1214</v>
      </c>
      <c r="S389" s="10" t="s">
        <v>61</v>
      </c>
    </row>
    <row r="390" spans="1:19" ht="72.5" x14ac:dyDescent="0.35">
      <c r="A390" s="14">
        <v>46022</v>
      </c>
      <c r="B390" s="10" t="s">
        <v>410</v>
      </c>
      <c r="C390" s="10" t="s">
        <v>411</v>
      </c>
      <c r="D390" s="10" t="s">
        <v>1126</v>
      </c>
      <c r="E390" s="10">
        <v>10930082</v>
      </c>
      <c r="F390" s="15">
        <v>100</v>
      </c>
      <c r="G390" s="10" t="s">
        <v>1490</v>
      </c>
      <c r="H390" s="10">
        <v>10930082</v>
      </c>
      <c r="I390" s="10" t="s">
        <v>1194</v>
      </c>
      <c r="J390" s="10" t="s">
        <v>1214</v>
      </c>
      <c r="K390" s="10" t="s">
        <v>1214</v>
      </c>
      <c r="L390" s="10" t="s">
        <v>1214</v>
      </c>
      <c r="M390" s="10" t="s">
        <v>1214</v>
      </c>
      <c r="N390" s="10" t="s">
        <v>61</v>
      </c>
      <c r="O390" s="10" t="s">
        <v>1214</v>
      </c>
      <c r="P390" s="10" t="s">
        <v>1214</v>
      </c>
      <c r="Q390" s="10" t="s">
        <v>1214</v>
      </c>
      <c r="R390" s="10" t="s">
        <v>1214</v>
      </c>
      <c r="S390" s="10" t="s">
        <v>61</v>
      </c>
    </row>
    <row r="391" spans="1:19" ht="87" x14ac:dyDescent="0.35">
      <c r="A391" s="14">
        <v>46022</v>
      </c>
      <c r="B391" s="10" t="s">
        <v>801</v>
      </c>
      <c r="C391" s="10" t="s">
        <v>802</v>
      </c>
      <c r="D391" s="10" t="s">
        <v>945</v>
      </c>
      <c r="E391" s="10">
        <v>4349314</v>
      </c>
      <c r="F391" s="15">
        <v>10</v>
      </c>
      <c r="G391" s="10" t="s">
        <v>1491</v>
      </c>
      <c r="H391" s="10">
        <v>4141965</v>
      </c>
      <c r="I391" s="10">
        <v>4354638</v>
      </c>
      <c r="J391" s="10" t="s">
        <v>1214</v>
      </c>
      <c r="K391" s="10" t="s">
        <v>1214</v>
      </c>
      <c r="L391" s="10" t="s">
        <v>1214</v>
      </c>
      <c r="M391" s="10" t="s">
        <v>1214</v>
      </c>
      <c r="N391" s="10" t="s">
        <v>222</v>
      </c>
      <c r="O391" s="10" t="s">
        <v>1214</v>
      </c>
      <c r="P391" s="10" t="s">
        <v>1214</v>
      </c>
      <c r="Q391" s="10" t="s">
        <v>1214</v>
      </c>
      <c r="R391" s="10" t="s">
        <v>1214</v>
      </c>
      <c r="S391" s="10" t="s">
        <v>1235</v>
      </c>
    </row>
    <row r="392" spans="1:19" ht="87" x14ac:dyDescent="0.35">
      <c r="A392" s="14">
        <v>46022</v>
      </c>
      <c r="B392" s="10" t="s">
        <v>801</v>
      </c>
      <c r="C392" s="10" t="s">
        <v>802</v>
      </c>
      <c r="D392" s="10" t="s">
        <v>988</v>
      </c>
      <c r="E392" s="10">
        <v>4047416</v>
      </c>
      <c r="F392" s="15">
        <v>5</v>
      </c>
      <c r="G392" s="10" t="s">
        <v>1491</v>
      </c>
      <c r="H392" s="10">
        <v>4141965</v>
      </c>
      <c r="I392" s="10">
        <v>4354638</v>
      </c>
      <c r="J392" s="10" t="s">
        <v>1214</v>
      </c>
      <c r="K392" s="10" t="s">
        <v>1214</v>
      </c>
      <c r="L392" s="10" t="s">
        <v>1214</v>
      </c>
      <c r="M392" s="10" t="s">
        <v>1214</v>
      </c>
      <c r="N392" s="10" t="s">
        <v>222</v>
      </c>
      <c r="O392" s="10" t="s">
        <v>1214</v>
      </c>
      <c r="P392" s="10" t="s">
        <v>1214</v>
      </c>
      <c r="Q392" s="10" t="s">
        <v>1214</v>
      </c>
      <c r="R392" s="10" t="s">
        <v>1214</v>
      </c>
      <c r="S392" s="10" t="s">
        <v>1235</v>
      </c>
    </row>
    <row r="393" spans="1:19" ht="87" x14ac:dyDescent="0.35">
      <c r="A393" s="14">
        <v>46022</v>
      </c>
      <c r="B393" s="10" t="s">
        <v>801</v>
      </c>
      <c r="C393" s="10" t="s">
        <v>802</v>
      </c>
      <c r="D393" s="10" t="s">
        <v>989</v>
      </c>
      <c r="E393" s="10">
        <v>4354638</v>
      </c>
      <c r="F393" s="15">
        <v>25</v>
      </c>
      <c r="G393" s="10" t="s">
        <v>1491</v>
      </c>
      <c r="H393" s="10">
        <v>4141965</v>
      </c>
      <c r="I393" s="10">
        <v>4354638</v>
      </c>
      <c r="J393" s="10" t="s">
        <v>1214</v>
      </c>
      <c r="K393" s="10" t="s">
        <v>1214</v>
      </c>
      <c r="L393" s="10" t="s">
        <v>1214</v>
      </c>
      <c r="M393" s="10" t="s">
        <v>1214</v>
      </c>
      <c r="N393" s="10" t="s">
        <v>222</v>
      </c>
      <c r="O393" s="10" t="s">
        <v>1214</v>
      </c>
      <c r="P393" s="10" t="s">
        <v>1214</v>
      </c>
      <c r="Q393" s="10" t="s">
        <v>1214</v>
      </c>
      <c r="R393" s="10" t="s">
        <v>1214</v>
      </c>
      <c r="S393" s="10" t="s">
        <v>1235</v>
      </c>
    </row>
    <row r="394" spans="1:19" ht="87" x14ac:dyDescent="0.35">
      <c r="A394" s="14">
        <v>46022</v>
      </c>
      <c r="B394" s="10" t="s">
        <v>801</v>
      </c>
      <c r="C394" s="10" t="s">
        <v>802</v>
      </c>
      <c r="D394" s="10" t="s">
        <v>950</v>
      </c>
      <c r="E394" s="10">
        <v>4141965</v>
      </c>
      <c r="F394" s="15">
        <v>60</v>
      </c>
      <c r="G394" s="10" t="s">
        <v>1491</v>
      </c>
      <c r="H394" s="10">
        <v>4141965</v>
      </c>
      <c r="I394" s="10">
        <v>4354638</v>
      </c>
      <c r="J394" s="10" t="s">
        <v>1214</v>
      </c>
      <c r="K394" s="10" t="s">
        <v>1214</v>
      </c>
      <c r="L394" s="10" t="s">
        <v>1214</v>
      </c>
      <c r="M394" s="10" t="s">
        <v>1214</v>
      </c>
      <c r="N394" s="10" t="s">
        <v>222</v>
      </c>
      <c r="O394" s="10" t="s">
        <v>1214</v>
      </c>
      <c r="P394" s="10" t="s">
        <v>1214</v>
      </c>
      <c r="Q394" s="10" t="s">
        <v>1214</v>
      </c>
      <c r="R394" s="10" t="s">
        <v>1214</v>
      </c>
      <c r="S394" s="10" t="s">
        <v>1235</v>
      </c>
    </row>
    <row r="395" spans="1:19" ht="43.5" x14ac:dyDescent="0.35">
      <c r="A395" s="14">
        <v>46022</v>
      </c>
      <c r="B395" s="10" t="s">
        <v>803</v>
      </c>
      <c r="C395" s="10" t="s">
        <v>804</v>
      </c>
      <c r="D395" s="10" t="s">
        <v>1007</v>
      </c>
      <c r="E395" s="10">
        <v>4193273</v>
      </c>
      <c r="F395" s="15">
        <v>60</v>
      </c>
      <c r="G395" s="10" t="s">
        <v>1492</v>
      </c>
      <c r="H395" s="10">
        <v>4193273</v>
      </c>
      <c r="I395" s="10">
        <v>4065098</v>
      </c>
      <c r="J395" s="10" t="s">
        <v>1214</v>
      </c>
      <c r="K395" s="10" t="s">
        <v>1214</v>
      </c>
      <c r="L395" s="10" t="s">
        <v>1214</v>
      </c>
      <c r="M395" s="10" t="s">
        <v>1214</v>
      </c>
      <c r="N395" s="10" t="s">
        <v>1219</v>
      </c>
      <c r="O395" s="10" t="s">
        <v>1214</v>
      </c>
      <c r="P395" s="10" t="s">
        <v>1214</v>
      </c>
      <c r="Q395" s="10" t="s">
        <v>1214</v>
      </c>
      <c r="R395" s="10" t="s">
        <v>1214</v>
      </c>
      <c r="S395" s="10" t="s">
        <v>1235</v>
      </c>
    </row>
    <row r="396" spans="1:19" ht="43.5" x14ac:dyDescent="0.35">
      <c r="A396" s="14">
        <v>46022</v>
      </c>
      <c r="B396" s="10" t="s">
        <v>803</v>
      </c>
      <c r="C396" s="10" t="s">
        <v>804</v>
      </c>
      <c r="D396" s="10" t="s">
        <v>949</v>
      </c>
      <c r="E396" s="10">
        <v>4065098</v>
      </c>
      <c r="F396" s="15">
        <v>40</v>
      </c>
      <c r="G396" s="10" t="s">
        <v>1492</v>
      </c>
      <c r="H396" s="10">
        <v>4193273</v>
      </c>
      <c r="I396" s="10">
        <v>4065098</v>
      </c>
      <c r="J396" s="10" t="s">
        <v>1214</v>
      </c>
      <c r="K396" s="10" t="s">
        <v>1214</v>
      </c>
      <c r="L396" s="10" t="s">
        <v>1214</v>
      </c>
      <c r="M396" s="10" t="s">
        <v>1214</v>
      </c>
      <c r="N396" s="10" t="s">
        <v>1219</v>
      </c>
      <c r="O396" s="10" t="s">
        <v>1214</v>
      </c>
      <c r="P396" s="10" t="s">
        <v>1214</v>
      </c>
      <c r="Q396" s="10" t="s">
        <v>1214</v>
      </c>
      <c r="R396" s="10" t="s">
        <v>1214</v>
      </c>
      <c r="S396" s="10" t="s">
        <v>1235</v>
      </c>
    </row>
    <row r="397" spans="1:19" ht="72.5" x14ac:dyDescent="0.35">
      <c r="A397" s="14">
        <v>46022</v>
      </c>
      <c r="B397" s="10" t="s">
        <v>805</v>
      </c>
      <c r="C397" s="10" t="s">
        <v>806</v>
      </c>
      <c r="D397" s="10" t="s">
        <v>962</v>
      </c>
      <c r="E397" s="10">
        <v>4353456</v>
      </c>
      <c r="F397" s="15">
        <v>25</v>
      </c>
      <c r="G397" s="10" t="s">
        <v>1493</v>
      </c>
      <c r="H397" s="10">
        <v>4355642</v>
      </c>
      <c r="I397" s="10">
        <v>4353456</v>
      </c>
      <c r="J397" s="10" t="s">
        <v>1214</v>
      </c>
      <c r="K397" s="10" t="s">
        <v>1214</v>
      </c>
      <c r="L397" s="10" t="s">
        <v>1214</v>
      </c>
      <c r="M397" s="10" t="s">
        <v>1214</v>
      </c>
      <c r="N397" s="10" t="s">
        <v>61</v>
      </c>
      <c r="O397" s="10" t="s">
        <v>1214</v>
      </c>
      <c r="P397" s="10" t="s">
        <v>1214</v>
      </c>
      <c r="Q397" s="10" t="s">
        <v>1214</v>
      </c>
      <c r="R397" s="10" t="s">
        <v>1214</v>
      </c>
      <c r="S397" s="10" t="s">
        <v>61</v>
      </c>
    </row>
    <row r="398" spans="1:19" ht="72.5" x14ac:dyDescent="0.35">
      <c r="A398" s="14">
        <v>46022</v>
      </c>
      <c r="B398" s="10" t="s">
        <v>805</v>
      </c>
      <c r="C398" s="10" t="s">
        <v>806</v>
      </c>
      <c r="D398" s="10" t="s">
        <v>1127</v>
      </c>
      <c r="E398" s="10">
        <v>4993645</v>
      </c>
      <c r="F398" s="15">
        <v>16.84</v>
      </c>
      <c r="G398" s="10" t="s">
        <v>1493</v>
      </c>
      <c r="H398" s="10">
        <v>4355642</v>
      </c>
      <c r="I398" s="10">
        <v>4353456</v>
      </c>
      <c r="J398" s="10" t="s">
        <v>1214</v>
      </c>
      <c r="K398" s="10" t="s">
        <v>1214</v>
      </c>
      <c r="L398" s="10" t="s">
        <v>1214</v>
      </c>
      <c r="M398" s="10" t="s">
        <v>1214</v>
      </c>
      <c r="N398" s="10" t="s">
        <v>61</v>
      </c>
      <c r="O398" s="10" t="s">
        <v>1214</v>
      </c>
      <c r="P398" s="10" t="s">
        <v>1214</v>
      </c>
      <c r="Q398" s="10" t="s">
        <v>1214</v>
      </c>
      <c r="R398" s="10" t="s">
        <v>1214</v>
      </c>
      <c r="S398" s="10" t="s">
        <v>61</v>
      </c>
    </row>
    <row r="399" spans="1:19" ht="72.5" x14ac:dyDescent="0.35">
      <c r="A399" s="14">
        <v>46022</v>
      </c>
      <c r="B399" s="10" t="s">
        <v>805</v>
      </c>
      <c r="C399" s="10" t="s">
        <v>806</v>
      </c>
      <c r="D399" s="10" t="s">
        <v>958</v>
      </c>
      <c r="E399" s="10">
        <v>4355642</v>
      </c>
      <c r="F399" s="15">
        <v>58.16</v>
      </c>
      <c r="G399" s="10" t="s">
        <v>1493</v>
      </c>
      <c r="H399" s="10">
        <v>4355642</v>
      </c>
      <c r="I399" s="10">
        <v>4353456</v>
      </c>
      <c r="J399" s="10" t="s">
        <v>1214</v>
      </c>
      <c r="K399" s="10" t="s">
        <v>1214</v>
      </c>
      <c r="L399" s="10" t="s">
        <v>1214</v>
      </c>
      <c r="M399" s="10" t="s">
        <v>1214</v>
      </c>
      <c r="N399" s="10" t="s">
        <v>61</v>
      </c>
      <c r="O399" s="10" t="s">
        <v>1214</v>
      </c>
      <c r="P399" s="10" t="s">
        <v>1214</v>
      </c>
      <c r="Q399" s="10" t="s">
        <v>1214</v>
      </c>
      <c r="R399" s="10" t="s">
        <v>1214</v>
      </c>
      <c r="S399" s="10" t="s">
        <v>61</v>
      </c>
    </row>
    <row r="400" spans="1:19" ht="29" x14ac:dyDescent="0.35">
      <c r="A400" s="14">
        <v>46022</v>
      </c>
      <c r="B400" s="10" t="s">
        <v>621</v>
      </c>
      <c r="C400" s="10" t="s">
        <v>622</v>
      </c>
      <c r="D400" s="10" t="s">
        <v>945</v>
      </c>
      <c r="E400" s="10">
        <v>4349314</v>
      </c>
      <c r="F400" s="15">
        <v>100</v>
      </c>
      <c r="G400" s="10" t="s">
        <v>1225</v>
      </c>
      <c r="H400" s="10">
        <v>4349314</v>
      </c>
      <c r="I400" s="10" t="s">
        <v>1194</v>
      </c>
      <c r="J400" s="10" t="s">
        <v>58</v>
      </c>
      <c r="K400" s="10" t="s">
        <v>58</v>
      </c>
      <c r="L400" s="10" t="s">
        <v>58</v>
      </c>
      <c r="M400" s="10" t="s">
        <v>58</v>
      </c>
      <c r="N400" s="10" t="s">
        <v>58</v>
      </c>
      <c r="O400" s="10" t="s">
        <v>1214</v>
      </c>
      <c r="P400" s="10" t="s">
        <v>1214</v>
      </c>
      <c r="Q400" s="10" t="s">
        <v>1214</v>
      </c>
      <c r="R400" s="10" t="s">
        <v>1214</v>
      </c>
      <c r="S400" s="10" t="s">
        <v>61</v>
      </c>
    </row>
    <row r="401" spans="1:19" ht="29" x14ac:dyDescent="0.35">
      <c r="A401" s="14">
        <v>46022</v>
      </c>
      <c r="B401" s="10" t="s">
        <v>412</v>
      </c>
      <c r="C401" s="10" t="s">
        <v>413</v>
      </c>
      <c r="D401" s="10" t="s">
        <v>948</v>
      </c>
      <c r="E401" s="10">
        <v>4113732</v>
      </c>
      <c r="F401" s="15">
        <v>100</v>
      </c>
      <c r="G401" s="10" t="s">
        <v>1229</v>
      </c>
      <c r="H401" s="10">
        <v>4113732</v>
      </c>
      <c r="I401" s="10" t="s">
        <v>1194</v>
      </c>
      <c r="J401" s="10" t="s">
        <v>1214</v>
      </c>
      <c r="K401" s="10" t="s">
        <v>1214</v>
      </c>
      <c r="L401" s="10" t="s">
        <v>1214</v>
      </c>
      <c r="M401" s="10" t="s">
        <v>1214</v>
      </c>
      <c r="N401" s="10" t="s">
        <v>1228</v>
      </c>
      <c r="O401" s="10" t="s">
        <v>1214</v>
      </c>
      <c r="P401" s="10" t="s">
        <v>1214</v>
      </c>
      <c r="Q401" s="10" t="s">
        <v>1214</v>
      </c>
      <c r="R401" s="10" t="s">
        <v>1214</v>
      </c>
      <c r="S401" s="10" t="s">
        <v>61</v>
      </c>
    </row>
    <row r="402" spans="1:19" ht="43.5" x14ac:dyDescent="0.35">
      <c r="A402" s="14">
        <v>46022</v>
      </c>
      <c r="B402" s="10" t="s">
        <v>807</v>
      </c>
      <c r="C402" s="10" t="s">
        <v>808</v>
      </c>
      <c r="D402" s="10" t="s">
        <v>1097</v>
      </c>
      <c r="E402" s="10">
        <v>4350827</v>
      </c>
      <c r="F402" s="15">
        <v>100</v>
      </c>
      <c r="G402" s="10" t="s">
        <v>1441</v>
      </c>
      <c r="H402" s="10">
        <v>4350827</v>
      </c>
      <c r="I402" s="10" t="s">
        <v>1194</v>
      </c>
      <c r="J402" s="10" t="s">
        <v>1214</v>
      </c>
      <c r="K402" s="10" t="s">
        <v>1214</v>
      </c>
      <c r="L402" s="10" t="s">
        <v>1214</v>
      </c>
      <c r="M402" s="10" t="s">
        <v>1214</v>
      </c>
      <c r="N402" s="10" t="s">
        <v>111</v>
      </c>
      <c r="O402" s="10" t="s">
        <v>1214</v>
      </c>
      <c r="P402" s="10" t="s">
        <v>1214</v>
      </c>
      <c r="Q402" s="10" t="s">
        <v>1214</v>
      </c>
      <c r="R402" s="10" t="s">
        <v>1214</v>
      </c>
      <c r="S402" s="10" t="s">
        <v>61</v>
      </c>
    </row>
    <row r="403" spans="1:19" ht="43.5" x14ac:dyDescent="0.35">
      <c r="A403" s="14">
        <v>46022</v>
      </c>
      <c r="B403" s="10" t="s">
        <v>623</v>
      </c>
      <c r="C403" s="10" t="s">
        <v>624</v>
      </c>
      <c r="D403" s="10" t="s">
        <v>1097</v>
      </c>
      <c r="E403" s="10">
        <v>4350827</v>
      </c>
      <c r="F403" s="15">
        <v>100</v>
      </c>
      <c r="G403" s="10" t="s">
        <v>1441</v>
      </c>
      <c r="H403" s="10">
        <v>4350827</v>
      </c>
      <c r="I403" s="10" t="s">
        <v>1194</v>
      </c>
      <c r="J403" s="10" t="s">
        <v>1214</v>
      </c>
      <c r="K403" s="10" t="s">
        <v>1214</v>
      </c>
      <c r="L403" s="10" t="s">
        <v>1214</v>
      </c>
      <c r="M403" s="10" t="s">
        <v>1214</v>
      </c>
      <c r="N403" s="10" t="s">
        <v>111</v>
      </c>
      <c r="O403" s="10" t="s">
        <v>1214</v>
      </c>
      <c r="P403" s="10" t="s">
        <v>1214</v>
      </c>
      <c r="Q403" s="10" t="s">
        <v>1214</v>
      </c>
      <c r="R403" s="10" t="s">
        <v>1214</v>
      </c>
      <c r="S403" s="10" t="s">
        <v>61</v>
      </c>
    </row>
    <row r="404" spans="1:19" ht="43.5" x14ac:dyDescent="0.35">
      <c r="A404" s="14">
        <v>46022</v>
      </c>
      <c r="B404" s="10" t="s">
        <v>458</v>
      </c>
      <c r="C404" s="10" t="s">
        <v>459</v>
      </c>
      <c r="D404" s="10" t="s">
        <v>1128</v>
      </c>
      <c r="E404" s="10">
        <v>4351191</v>
      </c>
      <c r="F404" s="15">
        <v>30</v>
      </c>
      <c r="G404" s="10" t="s">
        <v>1494</v>
      </c>
      <c r="H404" s="10">
        <v>4075105</v>
      </c>
      <c r="I404" s="10">
        <v>4351191</v>
      </c>
      <c r="J404" s="10" t="s">
        <v>1214</v>
      </c>
      <c r="K404" s="10" t="s">
        <v>1214</v>
      </c>
      <c r="L404" s="10" t="s">
        <v>1214</v>
      </c>
      <c r="M404" s="10" t="s">
        <v>1214</v>
      </c>
      <c r="N404" s="10" t="s">
        <v>79</v>
      </c>
      <c r="O404" s="10" t="s">
        <v>1214</v>
      </c>
      <c r="P404" s="10" t="s">
        <v>1214</v>
      </c>
      <c r="Q404" s="10" t="s">
        <v>1214</v>
      </c>
      <c r="R404" s="10" t="s">
        <v>1214</v>
      </c>
      <c r="S404" s="10" t="s">
        <v>222</v>
      </c>
    </row>
    <row r="405" spans="1:19" ht="43.5" x14ac:dyDescent="0.35">
      <c r="A405" s="14">
        <v>46022</v>
      </c>
      <c r="B405" s="10" t="s">
        <v>458</v>
      </c>
      <c r="C405" s="10" t="s">
        <v>459</v>
      </c>
      <c r="D405" s="10" t="s">
        <v>976</v>
      </c>
      <c r="E405" s="10">
        <v>4075105</v>
      </c>
      <c r="F405" s="15">
        <v>70</v>
      </c>
      <c r="G405" s="10" t="s">
        <v>1494</v>
      </c>
      <c r="H405" s="10">
        <v>4075105</v>
      </c>
      <c r="I405" s="10">
        <v>4351191</v>
      </c>
      <c r="J405" s="10" t="s">
        <v>1214</v>
      </c>
      <c r="K405" s="10" t="s">
        <v>1214</v>
      </c>
      <c r="L405" s="10" t="s">
        <v>1214</v>
      </c>
      <c r="M405" s="10" t="s">
        <v>1214</v>
      </c>
      <c r="N405" s="10" t="s">
        <v>79</v>
      </c>
      <c r="O405" s="10" t="s">
        <v>1214</v>
      </c>
      <c r="P405" s="10" t="s">
        <v>1214</v>
      </c>
      <c r="Q405" s="10" t="s">
        <v>1214</v>
      </c>
      <c r="R405" s="10" t="s">
        <v>1214</v>
      </c>
      <c r="S405" s="10" t="s">
        <v>222</v>
      </c>
    </row>
    <row r="406" spans="1:19" ht="43.5" x14ac:dyDescent="0.35">
      <c r="A406" s="14">
        <v>46022</v>
      </c>
      <c r="B406" s="10" t="s">
        <v>809</v>
      </c>
      <c r="C406" s="10" t="s">
        <v>810</v>
      </c>
      <c r="D406" s="10" t="s">
        <v>992</v>
      </c>
      <c r="E406" s="10">
        <v>4351589</v>
      </c>
      <c r="F406" s="15">
        <v>100</v>
      </c>
      <c r="G406" s="10" t="s">
        <v>1277</v>
      </c>
      <c r="H406" s="10">
        <v>4351589</v>
      </c>
      <c r="I406" s="10" t="s">
        <v>1194</v>
      </c>
      <c r="J406" s="10" t="s">
        <v>1214</v>
      </c>
      <c r="K406" s="10" t="s">
        <v>1214</v>
      </c>
      <c r="L406" s="10" t="s">
        <v>1214</v>
      </c>
      <c r="M406" s="10" t="s">
        <v>1214</v>
      </c>
      <c r="N406" s="10" t="s">
        <v>753</v>
      </c>
      <c r="O406" s="10" t="s">
        <v>1214</v>
      </c>
      <c r="P406" s="10" t="s">
        <v>1214</v>
      </c>
      <c r="Q406" s="10" t="s">
        <v>1214</v>
      </c>
      <c r="R406" s="10" t="s">
        <v>1214</v>
      </c>
      <c r="S406" s="10" t="s">
        <v>61</v>
      </c>
    </row>
    <row r="407" spans="1:19" ht="72.5" x14ac:dyDescent="0.35">
      <c r="A407" s="14">
        <v>46022</v>
      </c>
      <c r="B407" s="10" t="s">
        <v>625</v>
      </c>
      <c r="C407" s="10" t="s">
        <v>626</v>
      </c>
      <c r="D407" s="10" t="s">
        <v>1071</v>
      </c>
      <c r="E407" s="10">
        <v>4352491</v>
      </c>
      <c r="F407" s="15">
        <v>100</v>
      </c>
      <c r="G407" s="10" t="s">
        <v>1399</v>
      </c>
      <c r="H407" s="10">
        <v>4352491</v>
      </c>
      <c r="I407" s="10" t="s">
        <v>1194</v>
      </c>
      <c r="J407" s="10" t="s">
        <v>1292</v>
      </c>
      <c r="K407" s="10" t="s">
        <v>61</v>
      </c>
      <c r="L407" s="10" t="s">
        <v>1396</v>
      </c>
      <c r="M407" s="10" t="s">
        <v>1252</v>
      </c>
      <c r="N407" s="10" t="s">
        <v>89</v>
      </c>
      <c r="O407" s="10" t="s">
        <v>1214</v>
      </c>
      <c r="P407" s="10" t="s">
        <v>1214</v>
      </c>
      <c r="Q407" s="10" t="s">
        <v>1214</v>
      </c>
      <c r="R407" s="10" t="s">
        <v>1214</v>
      </c>
      <c r="S407" s="10" t="s">
        <v>61</v>
      </c>
    </row>
    <row r="408" spans="1:19" ht="72.5" x14ac:dyDescent="0.35">
      <c r="A408" s="14">
        <v>46022</v>
      </c>
      <c r="B408" s="10" t="s">
        <v>627</v>
      </c>
      <c r="C408" s="10" t="s">
        <v>628</v>
      </c>
      <c r="D408" s="10" t="s">
        <v>213</v>
      </c>
      <c r="E408" s="10">
        <v>4350734</v>
      </c>
      <c r="F408" s="15">
        <v>5</v>
      </c>
      <c r="G408" s="10" t="s">
        <v>1495</v>
      </c>
      <c r="H408" s="10">
        <v>4361447</v>
      </c>
      <c r="I408" s="10">
        <v>4350360</v>
      </c>
      <c r="J408" s="10" t="s">
        <v>1380</v>
      </c>
      <c r="K408" s="10" t="s">
        <v>61</v>
      </c>
      <c r="L408" s="10" t="s">
        <v>1438</v>
      </c>
      <c r="M408" s="10" t="s">
        <v>1294</v>
      </c>
      <c r="N408" s="10" t="s">
        <v>1252</v>
      </c>
      <c r="O408" s="10" t="s">
        <v>213</v>
      </c>
      <c r="P408" s="10" t="s">
        <v>213</v>
      </c>
      <c r="Q408" s="10" t="s">
        <v>213</v>
      </c>
      <c r="R408" s="10" t="s">
        <v>213</v>
      </c>
      <c r="S408" s="10" t="s">
        <v>213</v>
      </c>
    </row>
    <row r="409" spans="1:19" ht="72.5" x14ac:dyDescent="0.35">
      <c r="A409" s="14">
        <v>46022</v>
      </c>
      <c r="B409" s="10" t="s">
        <v>627</v>
      </c>
      <c r="C409" s="10" t="s">
        <v>628</v>
      </c>
      <c r="D409" s="10" t="s">
        <v>1021</v>
      </c>
      <c r="E409" s="10">
        <v>4350360</v>
      </c>
      <c r="F409" s="15">
        <v>25</v>
      </c>
      <c r="G409" s="10" t="s">
        <v>1495</v>
      </c>
      <c r="H409" s="10">
        <v>4361447</v>
      </c>
      <c r="I409" s="10">
        <v>4350360</v>
      </c>
      <c r="J409" s="10" t="s">
        <v>1380</v>
      </c>
      <c r="K409" s="10" t="s">
        <v>61</v>
      </c>
      <c r="L409" s="10" t="s">
        <v>1438</v>
      </c>
      <c r="M409" s="10" t="s">
        <v>1294</v>
      </c>
      <c r="N409" s="10" t="s">
        <v>1252</v>
      </c>
      <c r="O409" s="10" t="s">
        <v>213</v>
      </c>
      <c r="P409" s="10" t="s">
        <v>213</v>
      </c>
      <c r="Q409" s="10" t="s">
        <v>213</v>
      </c>
      <c r="R409" s="10" t="s">
        <v>213</v>
      </c>
      <c r="S409" s="10" t="s">
        <v>213</v>
      </c>
    </row>
    <row r="410" spans="1:19" ht="87" x14ac:dyDescent="0.35">
      <c r="A410" s="14">
        <v>46022</v>
      </c>
      <c r="B410" s="10" t="s">
        <v>627</v>
      </c>
      <c r="C410" s="10" t="s">
        <v>628</v>
      </c>
      <c r="D410" s="10" t="s">
        <v>1094</v>
      </c>
      <c r="E410" s="10">
        <v>4361447</v>
      </c>
      <c r="F410" s="15">
        <v>70</v>
      </c>
      <c r="G410" s="10" t="s">
        <v>1495</v>
      </c>
      <c r="H410" s="10">
        <v>4361447</v>
      </c>
      <c r="I410" s="10">
        <v>4350360</v>
      </c>
      <c r="J410" s="10" t="s">
        <v>1380</v>
      </c>
      <c r="K410" s="10" t="s">
        <v>61</v>
      </c>
      <c r="L410" s="10" t="s">
        <v>1438</v>
      </c>
      <c r="M410" s="10" t="s">
        <v>1294</v>
      </c>
      <c r="N410" s="10" t="s">
        <v>1252</v>
      </c>
      <c r="O410" s="10" t="s">
        <v>213</v>
      </c>
      <c r="P410" s="10" t="s">
        <v>213</v>
      </c>
      <c r="Q410" s="10" t="s">
        <v>213</v>
      </c>
      <c r="R410" s="10" t="s">
        <v>213</v>
      </c>
      <c r="S410" s="10" t="s">
        <v>213</v>
      </c>
    </row>
    <row r="411" spans="1:19" ht="101.5" x14ac:dyDescent="0.35">
      <c r="A411" s="14">
        <v>46022</v>
      </c>
      <c r="B411" s="10" t="s">
        <v>811</v>
      </c>
      <c r="C411" s="10" t="s">
        <v>812</v>
      </c>
      <c r="D411" s="10" t="s">
        <v>1129</v>
      </c>
      <c r="E411" s="10">
        <v>4600007</v>
      </c>
      <c r="F411" s="15">
        <v>100</v>
      </c>
      <c r="G411" s="10" t="s">
        <v>1496</v>
      </c>
      <c r="H411" s="10">
        <v>4600007</v>
      </c>
      <c r="I411" s="10" t="s">
        <v>1194</v>
      </c>
      <c r="J411" s="10" t="s">
        <v>1251</v>
      </c>
      <c r="K411" s="10" t="s">
        <v>1252</v>
      </c>
      <c r="L411" s="10" t="s">
        <v>1497</v>
      </c>
      <c r="M411" s="10" t="s">
        <v>86</v>
      </c>
      <c r="N411" s="10" t="s">
        <v>86</v>
      </c>
      <c r="O411" s="10" t="s">
        <v>1214</v>
      </c>
      <c r="P411" s="10" t="s">
        <v>1214</v>
      </c>
      <c r="Q411" s="10" t="s">
        <v>1214</v>
      </c>
      <c r="R411" s="10" t="s">
        <v>1214</v>
      </c>
      <c r="S411" s="10" t="s">
        <v>61</v>
      </c>
    </row>
    <row r="412" spans="1:19" ht="43.5" x14ac:dyDescent="0.35">
      <c r="A412" s="14">
        <v>46022</v>
      </c>
      <c r="B412" s="10" t="s">
        <v>813</v>
      </c>
      <c r="C412" s="10" t="s">
        <v>814</v>
      </c>
      <c r="D412" s="10" t="s">
        <v>1130</v>
      </c>
      <c r="E412" s="10">
        <v>25460448</v>
      </c>
      <c r="F412" s="15">
        <v>26</v>
      </c>
      <c r="G412" s="10" t="s">
        <v>1498</v>
      </c>
      <c r="H412" s="10">
        <v>4379789</v>
      </c>
      <c r="I412" s="10">
        <v>25460448</v>
      </c>
      <c r="J412" s="10" t="s">
        <v>1214</v>
      </c>
      <c r="K412" s="10" t="s">
        <v>1214</v>
      </c>
      <c r="L412" s="10" t="s">
        <v>1214</v>
      </c>
      <c r="M412" s="10" t="s">
        <v>1214</v>
      </c>
      <c r="N412" s="10" t="s">
        <v>105</v>
      </c>
      <c r="O412" s="10" t="s">
        <v>1214</v>
      </c>
      <c r="P412" s="10" t="s">
        <v>1214</v>
      </c>
      <c r="Q412" s="10" t="s">
        <v>1214</v>
      </c>
      <c r="R412" s="10" t="s">
        <v>1214</v>
      </c>
      <c r="S412" s="10" t="s">
        <v>79</v>
      </c>
    </row>
    <row r="413" spans="1:19" ht="43.5" x14ac:dyDescent="0.35">
      <c r="A413" s="14">
        <v>46022</v>
      </c>
      <c r="B413" s="10" t="s">
        <v>813</v>
      </c>
      <c r="C413" s="10" t="s">
        <v>814</v>
      </c>
      <c r="D413" s="10" t="s">
        <v>1077</v>
      </c>
      <c r="E413" s="10">
        <v>4379789</v>
      </c>
      <c r="F413" s="15">
        <v>74</v>
      </c>
      <c r="G413" s="10" t="s">
        <v>1498</v>
      </c>
      <c r="H413" s="10">
        <v>4379789</v>
      </c>
      <c r="I413" s="10">
        <v>25460448</v>
      </c>
      <c r="J413" s="10" t="s">
        <v>1214</v>
      </c>
      <c r="K413" s="10" t="s">
        <v>1214</v>
      </c>
      <c r="L413" s="10" t="s">
        <v>1214</v>
      </c>
      <c r="M413" s="10" t="s">
        <v>1214</v>
      </c>
      <c r="N413" s="10" t="s">
        <v>105</v>
      </c>
      <c r="O413" s="10" t="s">
        <v>1214</v>
      </c>
      <c r="P413" s="10" t="s">
        <v>1214</v>
      </c>
      <c r="Q413" s="10" t="s">
        <v>1214</v>
      </c>
      <c r="R413" s="10" t="s">
        <v>1214</v>
      </c>
      <c r="S413" s="10" t="s">
        <v>79</v>
      </c>
    </row>
    <row r="414" spans="1:19" ht="43.5" x14ac:dyDescent="0.35">
      <c r="A414" s="14">
        <v>46022</v>
      </c>
      <c r="B414" s="10" t="s">
        <v>475</v>
      </c>
      <c r="C414" s="10" t="s">
        <v>476</v>
      </c>
      <c r="D414" s="10" t="s">
        <v>990</v>
      </c>
      <c r="E414" s="10">
        <v>4351226</v>
      </c>
      <c r="F414" s="15">
        <v>100</v>
      </c>
      <c r="G414" s="10" t="s">
        <v>1275</v>
      </c>
      <c r="H414" s="10">
        <v>4351226</v>
      </c>
      <c r="I414" s="10" t="s">
        <v>1194</v>
      </c>
      <c r="J414" s="10" t="s">
        <v>1214</v>
      </c>
      <c r="K414" s="10" t="s">
        <v>1214</v>
      </c>
      <c r="L414" s="10" t="s">
        <v>1214</v>
      </c>
      <c r="M414" s="10" t="s">
        <v>1214</v>
      </c>
      <c r="N414" s="10" t="s">
        <v>111</v>
      </c>
      <c r="O414" s="10" t="s">
        <v>1214</v>
      </c>
      <c r="P414" s="10" t="s">
        <v>1214</v>
      </c>
      <c r="Q414" s="10" t="s">
        <v>1214</v>
      </c>
      <c r="R414" s="10" t="s">
        <v>1214</v>
      </c>
      <c r="S414" s="10" t="s">
        <v>61</v>
      </c>
    </row>
    <row r="415" spans="1:19" ht="43.5" x14ac:dyDescent="0.35">
      <c r="A415" s="14">
        <v>46022</v>
      </c>
      <c r="B415" s="10" t="s">
        <v>815</v>
      </c>
      <c r="C415" s="10" t="s">
        <v>816</v>
      </c>
      <c r="D415" s="10" t="s">
        <v>963</v>
      </c>
      <c r="E415" s="10">
        <v>4004107</v>
      </c>
      <c r="F415" s="15">
        <v>100</v>
      </c>
      <c r="G415" s="10" t="s">
        <v>1245</v>
      </c>
      <c r="H415" s="10">
        <v>4004107</v>
      </c>
      <c r="I415" s="10" t="s">
        <v>1194</v>
      </c>
      <c r="J415" s="10" t="s">
        <v>1214</v>
      </c>
      <c r="K415" s="10" t="s">
        <v>1214</v>
      </c>
      <c r="L415" s="10" t="s">
        <v>1214</v>
      </c>
      <c r="M415" s="10" t="s">
        <v>1214</v>
      </c>
      <c r="N415" s="10" t="s">
        <v>79</v>
      </c>
      <c r="O415" s="10" t="s">
        <v>1214</v>
      </c>
      <c r="P415" s="10" t="s">
        <v>1214</v>
      </c>
      <c r="Q415" s="10" t="s">
        <v>1214</v>
      </c>
      <c r="R415" s="10" t="s">
        <v>1214</v>
      </c>
      <c r="S415" s="10" t="s">
        <v>61</v>
      </c>
    </row>
    <row r="416" spans="1:19" x14ac:dyDescent="0.35">
      <c r="A416" s="14">
        <v>46022</v>
      </c>
      <c r="B416" s="10" t="s">
        <v>477</v>
      </c>
      <c r="C416" s="10" t="s">
        <v>478</v>
      </c>
      <c r="D416" s="10" t="s">
        <v>1090</v>
      </c>
      <c r="E416" s="10">
        <v>4223919</v>
      </c>
      <c r="F416" s="15">
        <v>100</v>
      </c>
      <c r="G416" s="10" t="s">
        <v>1427</v>
      </c>
      <c r="H416" s="10">
        <v>4223919</v>
      </c>
      <c r="I416" s="10" t="s">
        <v>1194</v>
      </c>
      <c r="J416" s="10" t="s">
        <v>1214</v>
      </c>
      <c r="K416" s="10" t="s">
        <v>1214</v>
      </c>
      <c r="L416" s="10" t="s">
        <v>1214</v>
      </c>
      <c r="M416" s="10" t="s">
        <v>1214</v>
      </c>
      <c r="N416" s="10" t="s">
        <v>55</v>
      </c>
      <c r="O416" s="10" t="s">
        <v>1214</v>
      </c>
      <c r="P416" s="10" t="s">
        <v>1214</v>
      </c>
      <c r="Q416" s="10" t="s">
        <v>1214</v>
      </c>
      <c r="R416" s="10" t="s">
        <v>1214</v>
      </c>
      <c r="S416" s="10" t="s">
        <v>61</v>
      </c>
    </row>
    <row r="417" spans="1:19" ht="29" x14ac:dyDescent="0.35">
      <c r="A417" s="14">
        <v>46022</v>
      </c>
      <c r="B417" s="10" t="s">
        <v>629</v>
      </c>
      <c r="C417" s="10" t="s">
        <v>630</v>
      </c>
      <c r="D417" s="10" t="s">
        <v>945</v>
      </c>
      <c r="E417" s="10">
        <v>4349314</v>
      </c>
      <c r="F417" s="15">
        <v>100</v>
      </c>
      <c r="G417" s="10" t="s">
        <v>1225</v>
      </c>
      <c r="H417" s="10">
        <v>4349314</v>
      </c>
      <c r="I417" s="10" t="s">
        <v>1194</v>
      </c>
      <c r="J417" s="10" t="s">
        <v>58</v>
      </c>
      <c r="K417" s="10" t="s">
        <v>58</v>
      </c>
      <c r="L417" s="10" t="s">
        <v>58</v>
      </c>
      <c r="M417" s="10" t="s">
        <v>58</v>
      </c>
      <c r="N417" s="10" t="s">
        <v>58</v>
      </c>
      <c r="O417" s="10" t="s">
        <v>1214</v>
      </c>
      <c r="P417" s="10" t="s">
        <v>1214</v>
      </c>
      <c r="Q417" s="10" t="s">
        <v>1214</v>
      </c>
      <c r="R417" s="10" t="s">
        <v>1214</v>
      </c>
      <c r="S417" s="10" t="s">
        <v>61</v>
      </c>
    </row>
    <row r="418" spans="1:19" ht="58" x14ac:dyDescent="0.35">
      <c r="A418" s="14">
        <v>46022</v>
      </c>
      <c r="B418" s="10" t="s">
        <v>460</v>
      </c>
      <c r="C418" s="10" t="s">
        <v>461</v>
      </c>
      <c r="D418" s="10" t="s">
        <v>959</v>
      </c>
      <c r="E418" s="10">
        <v>4352362</v>
      </c>
      <c r="F418" s="15">
        <v>99.16</v>
      </c>
      <c r="G418" s="10" t="s">
        <v>1499</v>
      </c>
      <c r="H418" s="10">
        <v>4352362</v>
      </c>
      <c r="I418" s="10">
        <v>4400798</v>
      </c>
      <c r="J418" s="10" t="s">
        <v>1214</v>
      </c>
      <c r="K418" s="10" t="s">
        <v>1214</v>
      </c>
      <c r="L418" s="10" t="s">
        <v>1214</v>
      </c>
      <c r="M418" s="10" t="s">
        <v>1214</v>
      </c>
      <c r="N418" s="10" t="s">
        <v>111</v>
      </c>
      <c r="O418" s="10" t="s">
        <v>1214</v>
      </c>
      <c r="P418" s="10" t="s">
        <v>1214</v>
      </c>
      <c r="Q418" s="10" t="s">
        <v>1214</v>
      </c>
      <c r="R418" s="10" t="s">
        <v>1214</v>
      </c>
      <c r="S418" s="10" t="s">
        <v>79</v>
      </c>
    </row>
    <row r="419" spans="1:19" ht="58" x14ac:dyDescent="0.35">
      <c r="A419" s="14">
        <v>46022</v>
      </c>
      <c r="B419" s="10" t="s">
        <v>631</v>
      </c>
      <c r="C419" s="10" t="s">
        <v>632</v>
      </c>
      <c r="D419" s="10" t="s">
        <v>980</v>
      </c>
      <c r="E419" s="10">
        <v>4354459</v>
      </c>
      <c r="F419" s="15">
        <v>100</v>
      </c>
      <c r="G419" s="10" t="s">
        <v>1298</v>
      </c>
      <c r="H419" s="10">
        <v>4354459</v>
      </c>
      <c r="I419" s="10" t="s">
        <v>1194</v>
      </c>
      <c r="J419" s="10" t="s">
        <v>1267</v>
      </c>
      <c r="K419" s="10" t="s">
        <v>111</v>
      </c>
      <c r="L419" s="10" t="s">
        <v>1268</v>
      </c>
      <c r="M419" s="10" t="s">
        <v>79</v>
      </c>
      <c r="N419" s="10" t="s">
        <v>79</v>
      </c>
      <c r="O419" s="10" t="s">
        <v>1214</v>
      </c>
      <c r="P419" s="10" t="s">
        <v>1214</v>
      </c>
      <c r="Q419" s="10" t="s">
        <v>1214</v>
      </c>
      <c r="R419" s="10" t="s">
        <v>1214</v>
      </c>
      <c r="S419" s="10" t="s">
        <v>61</v>
      </c>
    </row>
    <row r="420" spans="1:19" ht="58" x14ac:dyDescent="0.35">
      <c r="A420" s="14">
        <v>46022</v>
      </c>
      <c r="B420" s="10" t="s">
        <v>633</v>
      </c>
      <c r="C420" s="10" t="s">
        <v>634</v>
      </c>
      <c r="D420" s="10" t="s">
        <v>1049</v>
      </c>
      <c r="E420" s="10">
        <v>4353203</v>
      </c>
      <c r="F420" s="15">
        <v>95</v>
      </c>
      <c r="G420" s="10" t="s">
        <v>1500</v>
      </c>
      <c r="H420" s="10">
        <v>4353203</v>
      </c>
      <c r="I420" s="10">
        <v>6220799</v>
      </c>
      <c r="J420" s="10" t="s">
        <v>1214</v>
      </c>
      <c r="K420" s="10" t="s">
        <v>1214</v>
      </c>
      <c r="L420" s="10" t="s">
        <v>1214</v>
      </c>
      <c r="M420" s="10" t="s">
        <v>1214</v>
      </c>
      <c r="N420" s="10" t="s">
        <v>222</v>
      </c>
      <c r="O420" s="10" t="s">
        <v>1454</v>
      </c>
      <c r="P420" s="10" t="s">
        <v>1336</v>
      </c>
      <c r="Q420" s="10" t="s">
        <v>1455</v>
      </c>
      <c r="R420" s="10" t="s">
        <v>1456</v>
      </c>
      <c r="S420" s="10" t="s">
        <v>1456</v>
      </c>
    </row>
    <row r="421" spans="1:19" ht="58" x14ac:dyDescent="0.35">
      <c r="A421" s="14">
        <v>46022</v>
      </c>
      <c r="B421" s="10" t="s">
        <v>633</v>
      </c>
      <c r="C421" s="10" t="s">
        <v>634</v>
      </c>
      <c r="D421" s="10" t="s">
        <v>1102</v>
      </c>
      <c r="E421" s="10">
        <v>6220799</v>
      </c>
      <c r="F421" s="15">
        <v>5</v>
      </c>
      <c r="G421" s="10" t="s">
        <v>1500</v>
      </c>
      <c r="H421" s="10">
        <v>4353203</v>
      </c>
      <c r="I421" s="10">
        <v>6220799</v>
      </c>
      <c r="J421" s="10" t="s">
        <v>1214</v>
      </c>
      <c r="K421" s="10" t="s">
        <v>1214</v>
      </c>
      <c r="L421" s="10" t="s">
        <v>1214</v>
      </c>
      <c r="M421" s="10" t="s">
        <v>1214</v>
      </c>
      <c r="N421" s="10" t="s">
        <v>222</v>
      </c>
      <c r="O421" s="10" t="s">
        <v>1454</v>
      </c>
      <c r="P421" s="10" t="s">
        <v>1336</v>
      </c>
      <c r="Q421" s="10" t="s">
        <v>1455</v>
      </c>
      <c r="R421" s="10" t="s">
        <v>1456</v>
      </c>
      <c r="S421" s="10" t="s">
        <v>1456</v>
      </c>
    </row>
    <row r="422" spans="1:19" ht="58" x14ac:dyDescent="0.35">
      <c r="A422" s="14">
        <v>46022</v>
      </c>
      <c r="B422" s="10" t="s">
        <v>462</v>
      </c>
      <c r="C422" s="10" t="s">
        <v>463</v>
      </c>
      <c r="D422" s="10" t="s">
        <v>1131</v>
      </c>
      <c r="E422" s="10">
        <v>4546566</v>
      </c>
      <c r="F422" s="15">
        <v>100</v>
      </c>
      <c r="G422" s="10" t="s">
        <v>1501</v>
      </c>
      <c r="H422" s="10">
        <v>4546566</v>
      </c>
      <c r="I422" s="10" t="s">
        <v>1194</v>
      </c>
      <c r="J422" s="10" t="s">
        <v>1214</v>
      </c>
      <c r="K422" s="10" t="s">
        <v>1214</v>
      </c>
      <c r="L422" s="10" t="s">
        <v>1214</v>
      </c>
      <c r="M422" s="10" t="s">
        <v>1214</v>
      </c>
      <c r="N422" s="10" t="s">
        <v>1219</v>
      </c>
      <c r="O422" s="10" t="s">
        <v>1214</v>
      </c>
      <c r="P422" s="10" t="s">
        <v>1214</v>
      </c>
      <c r="Q422" s="10" t="s">
        <v>1214</v>
      </c>
      <c r="R422" s="10" t="s">
        <v>1214</v>
      </c>
      <c r="S422" s="10" t="s">
        <v>61</v>
      </c>
    </row>
    <row r="423" spans="1:19" ht="72.5" x14ac:dyDescent="0.35">
      <c r="A423" s="14">
        <v>46022</v>
      </c>
      <c r="B423" s="10" t="s">
        <v>817</v>
      </c>
      <c r="C423" s="10" t="s">
        <v>818</v>
      </c>
      <c r="D423" s="10" t="s">
        <v>1056</v>
      </c>
      <c r="E423" s="10">
        <v>4355632</v>
      </c>
      <c r="F423" s="15">
        <v>51</v>
      </c>
      <c r="G423" s="10" t="s">
        <v>1502</v>
      </c>
      <c r="H423" s="10">
        <v>4355632</v>
      </c>
      <c r="I423" s="10">
        <v>4400798</v>
      </c>
      <c r="J423" s="10" t="s">
        <v>1292</v>
      </c>
      <c r="K423" s="10" t="s">
        <v>61</v>
      </c>
      <c r="L423" s="10" t="s">
        <v>1378</v>
      </c>
      <c r="M423" s="10" t="s">
        <v>61</v>
      </c>
      <c r="N423" s="10" t="s">
        <v>61</v>
      </c>
      <c r="O423" s="10" t="s">
        <v>1214</v>
      </c>
      <c r="P423" s="10" t="s">
        <v>1214</v>
      </c>
      <c r="Q423" s="10" t="s">
        <v>1214</v>
      </c>
      <c r="R423" s="10" t="s">
        <v>1214</v>
      </c>
      <c r="S423" s="10" t="s">
        <v>79</v>
      </c>
    </row>
    <row r="424" spans="1:19" ht="43.5" x14ac:dyDescent="0.35">
      <c r="A424" s="14">
        <v>46022</v>
      </c>
      <c r="B424" s="10" t="s">
        <v>464</v>
      </c>
      <c r="C424" s="10" t="s">
        <v>465</v>
      </c>
      <c r="D424" s="10" t="s">
        <v>1132</v>
      </c>
      <c r="E424" s="10">
        <v>4352692</v>
      </c>
      <c r="F424" s="15">
        <v>100</v>
      </c>
      <c r="G424" s="10" t="s">
        <v>1503</v>
      </c>
      <c r="H424" s="10">
        <v>4352692</v>
      </c>
      <c r="I424" s="10" t="s">
        <v>1194</v>
      </c>
      <c r="J424" s="10" t="s">
        <v>1214</v>
      </c>
      <c r="K424" s="10" t="s">
        <v>1214</v>
      </c>
      <c r="L424" s="10" t="s">
        <v>1214</v>
      </c>
      <c r="M424" s="10" t="s">
        <v>1214</v>
      </c>
      <c r="N424" s="10" t="s">
        <v>466</v>
      </c>
      <c r="O424" s="10" t="s">
        <v>1214</v>
      </c>
      <c r="P424" s="10" t="s">
        <v>1214</v>
      </c>
      <c r="Q424" s="10" t="s">
        <v>1214</v>
      </c>
      <c r="R424" s="10" t="s">
        <v>1214</v>
      </c>
      <c r="S424" s="10" t="s">
        <v>61</v>
      </c>
    </row>
    <row r="425" spans="1:19" ht="72.5" x14ac:dyDescent="0.35">
      <c r="A425" s="14">
        <v>46022</v>
      </c>
      <c r="B425" s="10" t="s">
        <v>467</v>
      </c>
      <c r="C425" s="10" t="s">
        <v>468</v>
      </c>
      <c r="D425" s="10" t="s">
        <v>1133</v>
      </c>
      <c r="E425" s="10">
        <v>10930063</v>
      </c>
      <c r="F425" s="15">
        <v>100</v>
      </c>
      <c r="G425" s="10" t="s">
        <v>1504</v>
      </c>
      <c r="H425" s="10">
        <v>10930063</v>
      </c>
      <c r="I425" s="10" t="s">
        <v>1194</v>
      </c>
      <c r="J425" s="10" t="s">
        <v>1214</v>
      </c>
      <c r="K425" s="10" t="s">
        <v>1214</v>
      </c>
      <c r="L425" s="10" t="s">
        <v>1214</v>
      </c>
      <c r="M425" s="10" t="s">
        <v>1214</v>
      </c>
      <c r="N425" s="10" t="s">
        <v>61</v>
      </c>
      <c r="O425" s="10" t="s">
        <v>1214</v>
      </c>
      <c r="P425" s="10" t="s">
        <v>1214</v>
      </c>
      <c r="Q425" s="10" t="s">
        <v>1214</v>
      </c>
      <c r="R425" s="10" t="s">
        <v>1214</v>
      </c>
      <c r="S425" s="10" t="s">
        <v>61</v>
      </c>
    </row>
    <row r="426" spans="1:19" ht="87" x14ac:dyDescent="0.35">
      <c r="A426" s="14">
        <v>46022</v>
      </c>
      <c r="B426" s="10" t="s">
        <v>636</v>
      </c>
      <c r="C426" s="10" t="s">
        <v>637</v>
      </c>
      <c r="D426" s="10" t="s">
        <v>1134</v>
      </c>
      <c r="E426" s="10">
        <v>10405589</v>
      </c>
      <c r="F426" s="15">
        <v>100</v>
      </c>
      <c r="G426" s="10" t="s">
        <v>1505</v>
      </c>
      <c r="H426" s="10">
        <v>10405589</v>
      </c>
      <c r="I426" s="10" t="s">
        <v>1194</v>
      </c>
      <c r="J426" s="10" t="s">
        <v>1214</v>
      </c>
      <c r="K426" s="10" t="s">
        <v>1214</v>
      </c>
      <c r="L426" s="10" t="s">
        <v>1214</v>
      </c>
      <c r="M426" s="10" t="s">
        <v>1214</v>
      </c>
      <c r="N426" s="10" t="s">
        <v>61</v>
      </c>
      <c r="O426" s="10" t="s">
        <v>1214</v>
      </c>
      <c r="P426" s="10" t="s">
        <v>1214</v>
      </c>
      <c r="Q426" s="10" t="s">
        <v>1214</v>
      </c>
      <c r="R426" s="10" t="s">
        <v>1214</v>
      </c>
      <c r="S426" s="10" t="s">
        <v>61</v>
      </c>
    </row>
    <row r="427" spans="1:19" ht="72.5" x14ac:dyDescent="0.35">
      <c r="A427" s="14">
        <v>46022</v>
      </c>
      <c r="B427" s="10" t="s">
        <v>819</v>
      </c>
      <c r="C427" s="10" t="s">
        <v>820</v>
      </c>
      <c r="D427" s="10" t="s">
        <v>1024</v>
      </c>
      <c r="E427" s="10">
        <v>4314727</v>
      </c>
      <c r="F427" s="15">
        <v>100</v>
      </c>
      <c r="G427" s="10" t="s">
        <v>1326</v>
      </c>
      <c r="H427" s="10">
        <v>4314727</v>
      </c>
      <c r="I427" s="10" t="s">
        <v>1194</v>
      </c>
      <c r="J427" s="10" t="s">
        <v>1214</v>
      </c>
      <c r="K427" s="10" t="s">
        <v>1214</v>
      </c>
      <c r="L427" s="10" t="s">
        <v>1214</v>
      </c>
      <c r="M427" s="10" t="s">
        <v>1214</v>
      </c>
      <c r="N427" s="10" t="s">
        <v>61</v>
      </c>
      <c r="O427" s="10" t="s">
        <v>1214</v>
      </c>
      <c r="P427" s="10" t="s">
        <v>1214</v>
      </c>
      <c r="Q427" s="10" t="s">
        <v>1214</v>
      </c>
      <c r="R427" s="10" t="s">
        <v>1214</v>
      </c>
      <c r="S427" s="10" t="s">
        <v>61</v>
      </c>
    </row>
    <row r="428" spans="1:19" ht="29" x14ac:dyDescent="0.35">
      <c r="A428" s="14">
        <v>46022</v>
      </c>
      <c r="B428" s="10" t="s">
        <v>479</v>
      </c>
      <c r="C428" s="10" t="s">
        <v>480</v>
      </c>
      <c r="D428" s="10" t="s">
        <v>962</v>
      </c>
      <c r="E428" s="10">
        <v>4353456</v>
      </c>
      <c r="F428" s="15">
        <v>100</v>
      </c>
      <c r="G428" s="10" t="s">
        <v>1296</v>
      </c>
      <c r="H428" s="10">
        <v>4353456</v>
      </c>
      <c r="I428" s="10" t="s">
        <v>1194</v>
      </c>
      <c r="J428" s="10" t="s">
        <v>1214</v>
      </c>
      <c r="K428" s="10" t="s">
        <v>1214</v>
      </c>
      <c r="L428" s="10" t="s">
        <v>1214</v>
      </c>
      <c r="M428" s="10" t="s">
        <v>1214</v>
      </c>
      <c r="N428" s="10" t="s">
        <v>61</v>
      </c>
      <c r="O428" s="10" t="s">
        <v>1214</v>
      </c>
      <c r="P428" s="10" t="s">
        <v>1214</v>
      </c>
      <c r="Q428" s="10" t="s">
        <v>1214</v>
      </c>
      <c r="R428" s="10" t="s">
        <v>1214</v>
      </c>
      <c r="S428" s="10" t="s">
        <v>61</v>
      </c>
    </row>
    <row r="429" spans="1:19" ht="43.5" x14ac:dyDescent="0.35">
      <c r="A429" s="14">
        <v>46022</v>
      </c>
      <c r="B429" s="10" t="s">
        <v>469</v>
      </c>
      <c r="C429" s="10" t="s">
        <v>470</v>
      </c>
      <c r="D429" s="10" t="s">
        <v>1135</v>
      </c>
      <c r="E429" s="10">
        <v>10928473</v>
      </c>
      <c r="F429" s="15">
        <v>100</v>
      </c>
      <c r="G429" s="10" t="s">
        <v>1506</v>
      </c>
      <c r="H429" s="10">
        <v>10928473</v>
      </c>
      <c r="I429" s="10" t="s">
        <v>1194</v>
      </c>
      <c r="J429" s="10" t="s">
        <v>1214</v>
      </c>
      <c r="K429" s="10" t="s">
        <v>1214</v>
      </c>
      <c r="L429" s="10" t="s">
        <v>1214</v>
      </c>
      <c r="M429" s="10" t="s">
        <v>1214</v>
      </c>
      <c r="N429" s="10" t="s">
        <v>61</v>
      </c>
      <c r="O429" s="10" t="s">
        <v>1214</v>
      </c>
      <c r="P429" s="10" t="s">
        <v>1214</v>
      </c>
      <c r="Q429" s="10" t="s">
        <v>1214</v>
      </c>
      <c r="R429" s="10" t="s">
        <v>1214</v>
      </c>
      <c r="S429" s="10" t="s">
        <v>61</v>
      </c>
    </row>
    <row r="430" spans="1:19" ht="29" x14ac:dyDescent="0.35">
      <c r="A430" s="14">
        <v>46022</v>
      </c>
      <c r="B430" s="10" t="s">
        <v>821</v>
      </c>
      <c r="C430" s="10" t="s">
        <v>822</v>
      </c>
      <c r="D430" s="10" t="s">
        <v>962</v>
      </c>
      <c r="E430" s="10">
        <v>4353456</v>
      </c>
      <c r="F430" s="15">
        <v>100</v>
      </c>
      <c r="G430" s="10" t="s">
        <v>1296</v>
      </c>
      <c r="H430" s="10">
        <v>4353456</v>
      </c>
      <c r="I430" s="10" t="s">
        <v>1194</v>
      </c>
      <c r="J430" s="10" t="s">
        <v>1214</v>
      </c>
      <c r="K430" s="10" t="s">
        <v>1214</v>
      </c>
      <c r="L430" s="10" t="s">
        <v>1214</v>
      </c>
      <c r="M430" s="10" t="s">
        <v>1214</v>
      </c>
      <c r="N430" s="10" t="s">
        <v>61</v>
      </c>
      <c r="O430" s="10" t="s">
        <v>1214</v>
      </c>
      <c r="P430" s="10" t="s">
        <v>1214</v>
      </c>
      <c r="Q430" s="10" t="s">
        <v>1214</v>
      </c>
      <c r="R430" s="10" t="s">
        <v>1214</v>
      </c>
      <c r="S430" s="10" t="s">
        <v>61</v>
      </c>
    </row>
    <row r="431" spans="1:19" ht="29" x14ac:dyDescent="0.35">
      <c r="A431" s="14">
        <v>46022</v>
      </c>
      <c r="B431" s="10" t="s">
        <v>471</v>
      </c>
      <c r="C431" s="10" t="s">
        <v>472</v>
      </c>
      <c r="D431" s="10" t="s">
        <v>962</v>
      </c>
      <c r="E431" s="10">
        <v>4353456</v>
      </c>
      <c r="F431" s="15">
        <v>100</v>
      </c>
      <c r="G431" s="10" t="s">
        <v>1296</v>
      </c>
      <c r="H431" s="10">
        <v>4353456</v>
      </c>
      <c r="I431" s="10" t="s">
        <v>1194</v>
      </c>
      <c r="J431" s="10" t="s">
        <v>1214</v>
      </c>
      <c r="K431" s="10" t="s">
        <v>1214</v>
      </c>
      <c r="L431" s="10" t="s">
        <v>1214</v>
      </c>
      <c r="M431" s="10" t="s">
        <v>1214</v>
      </c>
      <c r="N431" s="10" t="s">
        <v>61</v>
      </c>
      <c r="O431" s="10" t="s">
        <v>1214</v>
      </c>
      <c r="P431" s="10" t="s">
        <v>1214</v>
      </c>
      <c r="Q431" s="10" t="s">
        <v>1214</v>
      </c>
      <c r="R431" s="10" t="s">
        <v>1214</v>
      </c>
      <c r="S431" s="10" t="s">
        <v>61</v>
      </c>
    </row>
    <row r="432" spans="1:19" ht="58" x14ac:dyDescent="0.35">
      <c r="A432" s="14">
        <v>46022</v>
      </c>
      <c r="B432" s="10" t="s">
        <v>481</v>
      </c>
      <c r="C432" s="10" t="s">
        <v>482</v>
      </c>
      <c r="D432" s="10" t="s">
        <v>1136</v>
      </c>
      <c r="E432" s="10">
        <v>10948121</v>
      </c>
      <c r="F432" s="15">
        <v>100</v>
      </c>
      <c r="G432" s="10" t="s">
        <v>1507</v>
      </c>
      <c r="H432" s="10">
        <v>10948121</v>
      </c>
      <c r="I432" s="10" t="s">
        <v>1194</v>
      </c>
      <c r="J432" s="10" t="s">
        <v>1214</v>
      </c>
      <c r="K432" s="10" t="s">
        <v>1214</v>
      </c>
      <c r="L432" s="10" t="s">
        <v>1214</v>
      </c>
      <c r="M432" s="10" t="s">
        <v>1214</v>
      </c>
      <c r="N432" s="10" t="s">
        <v>61</v>
      </c>
      <c r="O432" s="10" t="s">
        <v>1214</v>
      </c>
      <c r="P432" s="10" t="s">
        <v>1214</v>
      </c>
      <c r="Q432" s="10" t="s">
        <v>1214</v>
      </c>
      <c r="R432" s="10" t="s">
        <v>1214</v>
      </c>
      <c r="S432" s="10" t="s">
        <v>61</v>
      </c>
    </row>
    <row r="433" spans="1:19" ht="58" x14ac:dyDescent="0.35">
      <c r="A433" s="14">
        <v>46022</v>
      </c>
      <c r="B433" s="10" t="s">
        <v>487</v>
      </c>
      <c r="C433" s="10" t="s">
        <v>488</v>
      </c>
      <c r="D433" s="10" t="s">
        <v>1136</v>
      </c>
      <c r="E433" s="10">
        <v>10948121</v>
      </c>
      <c r="F433" s="15">
        <v>100</v>
      </c>
      <c r="G433" s="10" t="s">
        <v>1507</v>
      </c>
      <c r="H433" s="10">
        <v>10948121</v>
      </c>
      <c r="I433" s="10" t="s">
        <v>1194</v>
      </c>
      <c r="J433" s="10" t="s">
        <v>1214</v>
      </c>
      <c r="K433" s="10" t="s">
        <v>1214</v>
      </c>
      <c r="L433" s="10" t="s">
        <v>1214</v>
      </c>
      <c r="M433" s="10" t="s">
        <v>1214</v>
      </c>
      <c r="N433" s="10" t="s">
        <v>61</v>
      </c>
      <c r="O433" s="10" t="s">
        <v>1214</v>
      </c>
      <c r="P433" s="10" t="s">
        <v>1214</v>
      </c>
      <c r="Q433" s="10" t="s">
        <v>1214</v>
      </c>
      <c r="R433" s="10" t="s">
        <v>1214</v>
      </c>
      <c r="S433" s="10" t="s">
        <v>61</v>
      </c>
    </row>
    <row r="434" spans="1:19" ht="58" x14ac:dyDescent="0.35">
      <c r="A434" s="14">
        <v>46022</v>
      </c>
      <c r="B434" s="10" t="s">
        <v>823</v>
      </c>
      <c r="C434" s="10" t="s">
        <v>824</v>
      </c>
      <c r="D434" s="10" t="s">
        <v>1137</v>
      </c>
      <c r="E434" s="10">
        <v>10928398</v>
      </c>
      <c r="F434" s="15">
        <v>100</v>
      </c>
      <c r="G434" s="10" t="s">
        <v>1508</v>
      </c>
      <c r="H434" s="10">
        <v>10928398</v>
      </c>
      <c r="I434" s="10" t="s">
        <v>1194</v>
      </c>
      <c r="J434" s="10" t="s">
        <v>1214</v>
      </c>
      <c r="K434" s="10" t="s">
        <v>1214</v>
      </c>
      <c r="L434" s="10" t="s">
        <v>1214</v>
      </c>
      <c r="M434" s="10" t="s">
        <v>1214</v>
      </c>
      <c r="N434" s="10" t="s">
        <v>61</v>
      </c>
      <c r="O434" s="10" t="s">
        <v>1214</v>
      </c>
      <c r="P434" s="10" t="s">
        <v>1214</v>
      </c>
      <c r="Q434" s="10" t="s">
        <v>1214</v>
      </c>
      <c r="R434" s="10" t="s">
        <v>1214</v>
      </c>
      <c r="S434" s="10" t="s">
        <v>61</v>
      </c>
    </row>
    <row r="435" spans="1:19" ht="87" x14ac:dyDescent="0.35">
      <c r="A435" s="14">
        <v>46022</v>
      </c>
      <c r="B435" s="10" t="s">
        <v>489</v>
      </c>
      <c r="C435" s="10" t="s">
        <v>490</v>
      </c>
      <c r="D435" s="10" t="s">
        <v>1019</v>
      </c>
      <c r="E435" s="10">
        <v>10393182</v>
      </c>
      <c r="F435" s="15">
        <v>100</v>
      </c>
      <c r="G435" s="10" t="s">
        <v>1319</v>
      </c>
      <c r="H435" s="10">
        <v>10393182</v>
      </c>
      <c r="I435" s="10" t="s">
        <v>1194</v>
      </c>
      <c r="J435" s="10" t="s">
        <v>1214</v>
      </c>
      <c r="K435" s="10" t="s">
        <v>1214</v>
      </c>
      <c r="L435" s="10" t="s">
        <v>1214</v>
      </c>
      <c r="M435" s="10" t="s">
        <v>1214</v>
      </c>
      <c r="N435" s="10" t="s">
        <v>61</v>
      </c>
      <c r="O435" s="10" t="s">
        <v>1214</v>
      </c>
      <c r="P435" s="10" t="s">
        <v>1214</v>
      </c>
      <c r="Q435" s="10" t="s">
        <v>1214</v>
      </c>
      <c r="R435" s="10" t="s">
        <v>1214</v>
      </c>
      <c r="S435" s="10" t="s">
        <v>61</v>
      </c>
    </row>
    <row r="436" spans="1:19" ht="43.5" x14ac:dyDescent="0.35">
      <c r="A436" s="14">
        <v>46022</v>
      </c>
      <c r="B436" s="10" t="s">
        <v>638</v>
      </c>
      <c r="C436" s="10" t="s">
        <v>639</v>
      </c>
      <c r="D436" s="10" t="s">
        <v>1138</v>
      </c>
      <c r="E436" s="10">
        <v>4351588</v>
      </c>
      <c r="F436" s="15">
        <v>55</v>
      </c>
      <c r="G436" s="10" t="s">
        <v>1509</v>
      </c>
      <c r="H436" s="10">
        <v>4351588</v>
      </c>
      <c r="I436" s="10">
        <v>4583665</v>
      </c>
      <c r="J436" s="10" t="s">
        <v>1510</v>
      </c>
      <c r="K436" s="10" t="s">
        <v>753</v>
      </c>
      <c r="L436" s="10" t="s">
        <v>1511</v>
      </c>
      <c r="M436" s="10" t="s">
        <v>753</v>
      </c>
      <c r="N436" s="10" t="s">
        <v>222</v>
      </c>
      <c r="O436" s="10" t="s">
        <v>1214</v>
      </c>
      <c r="P436" s="10" t="s">
        <v>1214</v>
      </c>
      <c r="Q436" s="10" t="s">
        <v>1214</v>
      </c>
      <c r="R436" s="10" t="s">
        <v>1214</v>
      </c>
      <c r="S436" s="10" t="s">
        <v>89</v>
      </c>
    </row>
    <row r="437" spans="1:19" ht="43.5" x14ac:dyDescent="0.35">
      <c r="A437" s="14">
        <v>46022</v>
      </c>
      <c r="B437" s="10" t="s">
        <v>638</v>
      </c>
      <c r="C437" s="10" t="s">
        <v>639</v>
      </c>
      <c r="D437" s="10" t="s">
        <v>1139</v>
      </c>
      <c r="E437" s="10">
        <v>4583665</v>
      </c>
      <c r="F437" s="15">
        <v>45</v>
      </c>
      <c r="G437" s="10" t="s">
        <v>1509</v>
      </c>
      <c r="H437" s="10">
        <v>4351588</v>
      </c>
      <c r="I437" s="10">
        <v>4583665</v>
      </c>
      <c r="J437" s="10" t="s">
        <v>1510</v>
      </c>
      <c r="K437" s="10" t="s">
        <v>753</v>
      </c>
      <c r="L437" s="10" t="s">
        <v>1511</v>
      </c>
      <c r="M437" s="10" t="s">
        <v>753</v>
      </c>
      <c r="N437" s="10" t="s">
        <v>222</v>
      </c>
      <c r="O437" s="10" t="s">
        <v>1214</v>
      </c>
      <c r="P437" s="10" t="s">
        <v>1214</v>
      </c>
      <c r="Q437" s="10" t="s">
        <v>1214</v>
      </c>
      <c r="R437" s="10" t="s">
        <v>1214</v>
      </c>
      <c r="S437" s="10" t="s">
        <v>89</v>
      </c>
    </row>
    <row r="438" spans="1:19" ht="43.5" x14ac:dyDescent="0.35">
      <c r="A438" s="14">
        <v>46022</v>
      </c>
      <c r="B438" s="10" t="s">
        <v>491</v>
      </c>
      <c r="C438" s="10" t="s">
        <v>492</v>
      </c>
      <c r="D438" s="10" t="s">
        <v>963</v>
      </c>
      <c r="E438" s="10">
        <v>4004107</v>
      </c>
      <c r="F438" s="15">
        <v>100</v>
      </c>
      <c r="G438" s="10" t="s">
        <v>1245</v>
      </c>
      <c r="H438" s="10">
        <v>4004107</v>
      </c>
      <c r="I438" s="10" t="s">
        <v>1194</v>
      </c>
      <c r="J438" s="10" t="s">
        <v>1214</v>
      </c>
      <c r="K438" s="10" t="s">
        <v>1214</v>
      </c>
      <c r="L438" s="10" t="s">
        <v>1214</v>
      </c>
      <c r="M438" s="10" t="s">
        <v>1214</v>
      </c>
      <c r="N438" s="10" t="s">
        <v>79</v>
      </c>
      <c r="O438" s="10" t="s">
        <v>1214</v>
      </c>
      <c r="P438" s="10" t="s">
        <v>1214</v>
      </c>
      <c r="Q438" s="10" t="s">
        <v>1214</v>
      </c>
      <c r="R438" s="10" t="s">
        <v>1214</v>
      </c>
      <c r="S438" s="10" t="s">
        <v>61</v>
      </c>
    </row>
    <row r="439" spans="1:19" ht="43.5" x14ac:dyDescent="0.35">
      <c r="A439" s="14">
        <v>46022</v>
      </c>
      <c r="B439" s="10" t="s">
        <v>493</v>
      </c>
      <c r="C439" s="10" t="s">
        <v>494</v>
      </c>
      <c r="D439" s="10" t="s">
        <v>963</v>
      </c>
      <c r="E439" s="10">
        <v>4004107</v>
      </c>
      <c r="F439" s="15">
        <v>100</v>
      </c>
      <c r="G439" s="10" t="s">
        <v>1245</v>
      </c>
      <c r="H439" s="10">
        <v>4004107</v>
      </c>
      <c r="I439" s="10" t="s">
        <v>1194</v>
      </c>
      <c r="J439" s="10" t="s">
        <v>1214</v>
      </c>
      <c r="K439" s="10" t="s">
        <v>1214</v>
      </c>
      <c r="L439" s="10" t="s">
        <v>1214</v>
      </c>
      <c r="M439" s="10" t="s">
        <v>1214</v>
      </c>
      <c r="N439" s="10" t="s">
        <v>79</v>
      </c>
      <c r="O439" s="10" t="s">
        <v>1214</v>
      </c>
      <c r="P439" s="10" t="s">
        <v>1214</v>
      </c>
      <c r="Q439" s="10" t="s">
        <v>1214</v>
      </c>
      <c r="R439" s="10" t="s">
        <v>1214</v>
      </c>
      <c r="S439" s="10" t="s">
        <v>61</v>
      </c>
    </row>
    <row r="440" spans="1:19" ht="43.5" x14ac:dyDescent="0.35">
      <c r="A440" s="14">
        <v>46022</v>
      </c>
      <c r="B440" s="10" t="s">
        <v>483</v>
      </c>
      <c r="C440" s="10" t="s">
        <v>484</v>
      </c>
      <c r="D440" s="10" t="s">
        <v>1097</v>
      </c>
      <c r="E440" s="10">
        <v>4350827</v>
      </c>
      <c r="F440" s="15">
        <v>100</v>
      </c>
      <c r="G440" s="10" t="s">
        <v>1441</v>
      </c>
      <c r="H440" s="10">
        <v>4350827</v>
      </c>
      <c r="I440" s="10" t="s">
        <v>1194</v>
      </c>
      <c r="J440" s="10" t="s">
        <v>1214</v>
      </c>
      <c r="K440" s="10" t="s">
        <v>1214</v>
      </c>
      <c r="L440" s="10" t="s">
        <v>1214</v>
      </c>
      <c r="M440" s="10" t="s">
        <v>1214</v>
      </c>
      <c r="N440" s="10" t="s">
        <v>111</v>
      </c>
      <c r="O440" s="10" t="s">
        <v>1214</v>
      </c>
      <c r="P440" s="10" t="s">
        <v>1214</v>
      </c>
      <c r="Q440" s="10" t="s">
        <v>1214</v>
      </c>
      <c r="R440" s="10" t="s">
        <v>1214</v>
      </c>
      <c r="S440" s="10" t="s">
        <v>61</v>
      </c>
    </row>
    <row r="441" spans="1:19" ht="58" x14ac:dyDescent="0.35">
      <c r="A441" s="14">
        <v>46022</v>
      </c>
      <c r="B441" s="10" t="s">
        <v>495</v>
      </c>
      <c r="C441" s="10" t="s">
        <v>496</v>
      </c>
      <c r="D441" s="10" t="s">
        <v>1140</v>
      </c>
      <c r="E441" s="10">
        <v>6609766</v>
      </c>
      <c r="F441" s="15">
        <v>100</v>
      </c>
      <c r="G441" s="10" t="s">
        <v>1512</v>
      </c>
      <c r="H441" s="10">
        <v>6609766</v>
      </c>
      <c r="I441" s="10" t="s">
        <v>1194</v>
      </c>
      <c r="J441" s="10" t="s">
        <v>1214</v>
      </c>
      <c r="K441" s="10" t="s">
        <v>1214</v>
      </c>
      <c r="L441" s="10" t="s">
        <v>1214</v>
      </c>
      <c r="M441" s="10" t="s">
        <v>1214</v>
      </c>
      <c r="N441" s="10" t="s">
        <v>61</v>
      </c>
      <c r="O441" s="10" t="s">
        <v>1214</v>
      </c>
      <c r="P441" s="10" t="s">
        <v>1214</v>
      </c>
      <c r="Q441" s="10" t="s">
        <v>1214</v>
      </c>
      <c r="R441" s="10" t="s">
        <v>1214</v>
      </c>
      <c r="S441" s="10" t="s">
        <v>61</v>
      </c>
    </row>
    <row r="442" spans="1:19" ht="29" x14ac:dyDescent="0.35">
      <c r="A442" s="14">
        <v>46022</v>
      </c>
      <c r="B442" s="10" t="s">
        <v>640</v>
      </c>
      <c r="C442" s="10" t="s">
        <v>641</v>
      </c>
      <c r="D442" s="10" t="s">
        <v>939</v>
      </c>
      <c r="E442" s="10">
        <v>4348654</v>
      </c>
      <c r="F442" s="15">
        <v>100</v>
      </c>
      <c r="G442" s="10" t="s">
        <v>1213</v>
      </c>
      <c r="H442" s="10">
        <v>4348654</v>
      </c>
      <c r="I442" s="10" t="s">
        <v>1194</v>
      </c>
      <c r="J442" s="10" t="s">
        <v>1214</v>
      </c>
      <c r="K442" s="10" t="s">
        <v>1214</v>
      </c>
      <c r="L442" s="10" t="s">
        <v>1214</v>
      </c>
      <c r="M442" s="10" t="s">
        <v>1214</v>
      </c>
      <c r="N442" s="10" t="s">
        <v>102</v>
      </c>
      <c r="O442" s="10" t="s">
        <v>1214</v>
      </c>
      <c r="P442" s="10" t="s">
        <v>1214</v>
      </c>
      <c r="Q442" s="10" t="s">
        <v>1214</v>
      </c>
      <c r="R442" s="10" t="s">
        <v>1214</v>
      </c>
      <c r="S442" s="10" t="s">
        <v>61</v>
      </c>
    </row>
    <row r="443" spans="1:19" ht="29" x14ac:dyDescent="0.35">
      <c r="A443" s="14">
        <v>46022</v>
      </c>
      <c r="B443" s="10" t="s">
        <v>485</v>
      </c>
      <c r="C443" s="10" t="s">
        <v>486</v>
      </c>
      <c r="D443" s="10" t="s">
        <v>962</v>
      </c>
      <c r="E443" s="10">
        <v>4353456</v>
      </c>
      <c r="F443" s="15">
        <v>100</v>
      </c>
      <c r="G443" s="10" t="s">
        <v>1296</v>
      </c>
      <c r="H443" s="10">
        <v>4353456</v>
      </c>
      <c r="I443" s="10" t="s">
        <v>1194</v>
      </c>
      <c r="J443" s="10" t="s">
        <v>1214</v>
      </c>
      <c r="K443" s="10" t="s">
        <v>1214</v>
      </c>
      <c r="L443" s="10" t="s">
        <v>1214</v>
      </c>
      <c r="M443" s="10" t="s">
        <v>1214</v>
      </c>
      <c r="N443" s="10" t="s">
        <v>61</v>
      </c>
      <c r="O443" s="10" t="s">
        <v>1214</v>
      </c>
      <c r="P443" s="10" t="s">
        <v>1214</v>
      </c>
      <c r="Q443" s="10" t="s">
        <v>1214</v>
      </c>
      <c r="R443" s="10" t="s">
        <v>1214</v>
      </c>
      <c r="S443" s="10" t="s">
        <v>61</v>
      </c>
    </row>
    <row r="444" spans="1:19" x14ac:dyDescent="0.35">
      <c r="A444" s="14">
        <v>46022</v>
      </c>
      <c r="B444" s="10" t="s">
        <v>497</v>
      </c>
      <c r="C444" s="10" t="s">
        <v>498</v>
      </c>
      <c r="D444" s="10" t="s">
        <v>1090</v>
      </c>
      <c r="E444" s="10">
        <v>4223919</v>
      </c>
      <c r="F444" s="15">
        <v>100</v>
      </c>
      <c r="G444" s="10" t="s">
        <v>1427</v>
      </c>
      <c r="H444" s="10">
        <v>4223919</v>
      </c>
      <c r="I444" s="10" t="s">
        <v>1194</v>
      </c>
      <c r="J444" s="10" t="s">
        <v>1214</v>
      </c>
      <c r="K444" s="10" t="s">
        <v>1214</v>
      </c>
      <c r="L444" s="10" t="s">
        <v>1214</v>
      </c>
      <c r="M444" s="10" t="s">
        <v>1214</v>
      </c>
      <c r="N444" s="10" t="s">
        <v>55</v>
      </c>
      <c r="O444" s="10" t="s">
        <v>1214</v>
      </c>
      <c r="P444" s="10" t="s">
        <v>1214</v>
      </c>
      <c r="Q444" s="10" t="s">
        <v>1214</v>
      </c>
      <c r="R444" s="10" t="s">
        <v>1214</v>
      </c>
      <c r="S444" s="10" t="s">
        <v>61</v>
      </c>
    </row>
    <row r="445" spans="1:19" ht="43.5" x14ac:dyDescent="0.35">
      <c r="A445" s="14">
        <v>46022</v>
      </c>
      <c r="B445" s="10" t="s">
        <v>642</v>
      </c>
      <c r="C445" s="10" t="s">
        <v>643</v>
      </c>
      <c r="D445" s="10" t="s">
        <v>947</v>
      </c>
      <c r="E445" s="10">
        <v>4121840</v>
      </c>
      <c r="F445" s="15">
        <v>100</v>
      </c>
      <c r="G445" s="10" t="s">
        <v>1230</v>
      </c>
      <c r="H445" s="10">
        <v>4121840</v>
      </c>
      <c r="I445" s="10" t="s">
        <v>1194</v>
      </c>
      <c r="J445" s="10" t="s">
        <v>1214</v>
      </c>
      <c r="K445" s="10" t="s">
        <v>1214</v>
      </c>
      <c r="L445" s="10" t="s">
        <v>1214</v>
      </c>
      <c r="M445" s="10" t="s">
        <v>1214</v>
      </c>
      <c r="N445" s="10" t="s">
        <v>89</v>
      </c>
      <c r="O445" s="10" t="s">
        <v>1214</v>
      </c>
      <c r="P445" s="10" t="s">
        <v>1214</v>
      </c>
      <c r="Q445" s="10" t="s">
        <v>1214</v>
      </c>
      <c r="R445" s="10" t="s">
        <v>1214</v>
      </c>
      <c r="S445" s="10" t="s">
        <v>61</v>
      </c>
    </row>
    <row r="446" spans="1:19" ht="43.5" x14ac:dyDescent="0.35">
      <c r="A446" s="14">
        <v>46022</v>
      </c>
      <c r="B446" s="10" t="s">
        <v>825</v>
      </c>
      <c r="C446" s="10" t="s">
        <v>826</v>
      </c>
      <c r="D446" s="10" t="s">
        <v>947</v>
      </c>
      <c r="E446" s="10">
        <v>4121840</v>
      </c>
      <c r="F446" s="15">
        <v>100</v>
      </c>
      <c r="G446" s="10" t="s">
        <v>1230</v>
      </c>
      <c r="H446" s="10">
        <v>4121840</v>
      </c>
      <c r="I446" s="10" t="s">
        <v>1194</v>
      </c>
      <c r="J446" s="10" t="s">
        <v>1214</v>
      </c>
      <c r="K446" s="10" t="s">
        <v>1214</v>
      </c>
      <c r="L446" s="10" t="s">
        <v>1214</v>
      </c>
      <c r="M446" s="10" t="s">
        <v>1214</v>
      </c>
      <c r="N446" s="10" t="s">
        <v>89</v>
      </c>
      <c r="O446" s="10" t="s">
        <v>1214</v>
      </c>
      <c r="P446" s="10" t="s">
        <v>1214</v>
      </c>
      <c r="Q446" s="10" t="s">
        <v>1214</v>
      </c>
      <c r="R446" s="10" t="s">
        <v>1214</v>
      </c>
      <c r="S446" s="10" t="s">
        <v>61</v>
      </c>
    </row>
    <row r="447" spans="1:19" ht="43.5" x14ac:dyDescent="0.35">
      <c r="A447" s="14">
        <v>46022</v>
      </c>
      <c r="B447" s="10" t="s">
        <v>501</v>
      </c>
      <c r="C447" s="10" t="s">
        <v>502</v>
      </c>
      <c r="D447" s="10" t="s">
        <v>1077</v>
      </c>
      <c r="E447" s="10">
        <v>4379789</v>
      </c>
      <c r="F447" s="15">
        <v>100</v>
      </c>
      <c r="G447" s="10" t="s">
        <v>1407</v>
      </c>
      <c r="H447" s="10">
        <v>4379789</v>
      </c>
      <c r="I447" s="10" t="s">
        <v>1194</v>
      </c>
      <c r="J447" s="10" t="s">
        <v>1214</v>
      </c>
      <c r="K447" s="10" t="s">
        <v>1214</v>
      </c>
      <c r="L447" s="10" t="s">
        <v>1214</v>
      </c>
      <c r="M447" s="10" t="s">
        <v>1214</v>
      </c>
      <c r="N447" s="10" t="s">
        <v>105</v>
      </c>
      <c r="O447" s="10" t="s">
        <v>1214</v>
      </c>
      <c r="P447" s="10" t="s">
        <v>1214</v>
      </c>
      <c r="Q447" s="10" t="s">
        <v>1214</v>
      </c>
      <c r="R447" s="10" t="s">
        <v>1214</v>
      </c>
      <c r="S447" s="10" t="s">
        <v>61</v>
      </c>
    </row>
    <row r="448" spans="1:19" ht="29" x14ac:dyDescent="0.35">
      <c r="A448" s="14">
        <v>46022</v>
      </c>
      <c r="B448" s="10" t="s">
        <v>499</v>
      </c>
      <c r="C448" s="10" t="s">
        <v>500</v>
      </c>
      <c r="D448" s="10" t="s">
        <v>948</v>
      </c>
      <c r="E448" s="10">
        <v>4113732</v>
      </c>
      <c r="F448" s="15">
        <v>100</v>
      </c>
      <c r="G448" s="10" t="s">
        <v>1229</v>
      </c>
      <c r="H448" s="10">
        <v>4113732</v>
      </c>
      <c r="I448" s="10" t="s">
        <v>1194</v>
      </c>
      <c r="J448" s="10" t="s">
        <v>1214</v>
      </c>
      <c r="K448" s="10" t="s">
        <v>1214</v>
      </c>
      <c r="L448" s="10" t="s">
        <v>1214</v>
      </c>
      <c r="M448" s="10" t="s">
        <v>1214</v>
      </c>
      <c r="N448" s="10" t="s">
        <v>1228</v>
      </c>
      <c r="O448" s="10" t="s">
        <v>1214</v>
      </c>
      <c r="P448" s="10" t="s">
        <v>1214</v>
      </c>
      <c r="Q448" s="10" t="s">
        <v>1214</v>
      </c>
      <c r="R448" s="10" t="s">
        <v>1214</v>
      </c>
      <c r="S448" s="10" t="s">
        <v>61</v>
      </c>
    </row>
    <row r="449" spans="1:19" ht="29" x14ac:dyDescent="0.35">
      <c r="A449" s="14">
        <v>46022</v>
      </c>
      <c r="B449" s="10" t="s">
        <v>503</v>
      </c>
      <c r="C449" s="10" t="s">
        <v>504</v>
      </c>
      <c r="D449" s="10" t="s">
        <v>962</v>
      </c>
      <c r="E449" s="10">
        <v>4353456</v>
      </c>
      <c r="F449" s="15">
        <v>100</v>
      </c>
      <c r="G449" s="10" t="s">
        <v>1296</v>
      </c>
      <c r="H449" s="10">
        <v>4353456</v>
      </c>
      <c r="I449" s="10" t="s">
        <v>1194</v>
      </c>
      <c r="J449" s="10" t="s">
        <v>1214</v>
      </c>
      <c r="K449" s="10" t="s">
        <v>1214</v>
      </c>
      <c r="L449" s="10" t="s">
        <v>1214</v>
      </c>
      <c r="M449" s="10" t="s">
        <v>1214</v>
      </c>
      <c r="N449" s="10" t="s">
        <v>61</v>
      </c>
      <c r="O449" s="10" t="s">
        <v>1214</v>
      </c>
      <c r="P449" s="10" t="s">
        <v>1214</v>
      </c>
      <c r="Q449" s="10" t="s">
        <v>1214</v>
      </c>
      <c r="R449" s="10" t="s">
        <v>1214</v>
      </c>
      <c r="S449" s="10" t="s">
        <v>61</v>
      </c>
    </row>
    <row r="450" spans="1:19" ht="29" x14ac:dyDescent="0.35">
      <c r="A450" s="14">
        <v>46022</v>
      </c>
      <c r="B450" s="10" t="s">
        <v>515</v>
      </c>
      <c r="C450" s="10" t="s">
        <v>516</v>
      </c>
      <c r="D450" s="10" t="s">
        <v>962</v>
      </c>
      <c r="E450" s="10">
        <v>4353456</v>
      </c>
      <c r="F450" s="15">
        <v>100</v>
      </c>
      <c r="G450" s="10" t="s">
        <v>1296</v>
      </c>
      <c r="H450" s="10">
        <v>4353456</v>
      </c>
      <c r="I450" s="10" t="s">
        <v>1194</v>
      </c>
      <c r="J450" s="10" t="s">
        <v>1214</v>
      </c>
      <c r="K450" s="10" t="s">
        <v>1214</v>
      </c>
      <c r="L450" s="10" t="s">
        <v>1214</v>
      </c>
      <c r="M450" s="10" t="s">
        <v>1214</v>
      </c>
      <c r="N450" s="10" t="s">
        <v>61</v>
      </c>
      <c r="O450" s="10" t="s">
        <v>1214</v>
      </c>
      <c r="P450" s="10" t="s">
        <v>1214</v>
      </c>
      <c r="Q450" s="10" t="s">
        <v>1214</v>
      </c>
      <c r="R450" s="10" t="s">
        <v>1214</v>
      </c>
      <c r="S450" s="10" t="s">
        <v>61</v>
      </c>
    </row>
    <row r="451" spans="1:19" ht="29" x14ac:dyDescent="0.35">
      <c r="A451" s="14">
        <v>46022</v>
      </c>
      <c r="B451" s="10" t="s">
        <v>827</v>
      </c>
      <c r="C451" s="10" t="s">
        <v>828</v>
      </c>
      <c r="D451" s="10" t="s">
        <v>962</v>
      </c>
      <c r="E451" s="10">
        <v>4353456</v>
      </c>
      <c r="F451" s="15">
        <v>100</v>
      </c>
      <c r="G451" s="10" t="s">
        <v>1296</v>
      </c>
      <c r="H451" s="10">
        <v>4353456</v>
      </c>
      <c r="I451" s="10" t="s">
        <v>1194</v>
      </c>
      <c r="J451" s="10" t="s">
        <v>1214</v>
      </c>
      <c r="K451" s="10" t="s">
        <v>1214</v>
      </c>
      <c r="L451" s="10" t="s">
        <v>1214</v>
      </c>
      <c r="M451" s="10" t="s">
        <v>1214</v>
      </c>
      <c r="N451" s="10" t="s">
        <v>61</v>
      </c>
      <c r="O451" s="10" t="s">
        <v>1214</v>
      </c>
      <c r="P451" s="10" t="s">
        <v>1214</v>
      </c>
      <c r="Q451" s="10" t="s">
        <v>1214</v>
      </c>
      <c r="R451" s="10" t="s">
        <v>1214</v>
      </c>
      <c r="S451" s="10" t="s">
        <v>61</v>
      </c>
    </row>
    <row r="452" spans="1:19" ht="29" x14ac:dyDescent="0.35">
      <c r="A452" s="14">
        <v>46022</v>
      </c>
      <c r="B452" s="10" t="s">
        <v>644</v>
      </c>
      <c r="C452" s="10" t="s">
        <v>645</v>
      </c>
      <c r="D452" s="10" t="s">
        <v>962</v>
      </c>
      <c r="E452" s="10">
        <v>4353456</v>
      </c>
      <c r="F452" s="15">
        <v>100</v>
      </c>
      <c r="G452" s="10" t="s">
        <v>1296</v>
      </c>
      <c r="H452" s="10">
        <v>4353456</v>
      </c>
      <c r="I452" s="10" t="s">
        <v>1194</v>
      </c>
      <c r="J452" s="10" t="s">
        <v>1214</v>
      </c>
      <c r="K452" s="10" t="s">
        <v>1214</v>
      </c>
      <c r="L452" s="10" t="s">
        <v>1214</v>
      </c>
      <c r="M452" s="10" t="s">
        <v>1214</v>
      </c>
      <c r="N452" s="10" t="s">
        <v>61</v>
      </c>
      <c r="O452" s="10" t="s">
        <v>1214</v>
      </c>
      <c r="P452" s="10" t="s">
        <v>1214</v>
      </c>
      <c r="Q452" s="10" t="s">
        <v>1214</v>
      </c>
      <c r="R452" s="10" t="s">
        <v>1214</v>
      </c>
      <c r="S452" s="10" t="s">
        <v>61</v>
      </c>
    </row>
    <row r="453" spans="1:19" ht="58" x14ac:dyDescent="0.35">
      <c r="A453" s="14">
        <v>46022</v>
      </c>
      <c r="B453" s="10" t="s">
        <v>646</v>
      </c>
      <c r="C453" s="10" t="s">
        <v>647</v>
      </c>
      <c r="D453" s="10" t="s">
        <v>1141</v>
      </c>
      <c r="E453" s="10">
        <v>4851749</v>
      </c>
      <c r="F453" s="15">
        <v>20</v>
      </c>
      <c r="G453" s="10" t="s">
        <v>1513</v>
      </c>
      <c r="H453" s="10">
        <v>11707121</v>
      </c>
      <c r="I453" s="10">
        <v>4851749</v>
      </c>
      <c r="J453" s="10" t="s">
        <v>1214</v>
      </c>
      <c r="K453" s="10" t="s">
        <v>1214</v>
      </c>
      <c r="L453" s="10" t="s">
        <v>1214</v>
      </c>
      <c r="M453" s="10" t="s">
        <v>1214</v>
      </c>
      <c r="N453" s="10" t="s">
        <v>648</v>
      </c>
      <c r="O453" s="10" t="s">
        <v>1214</v>
      </c>
      <c r="P453" s="10" t="s">
        <v>1214</v>
      </c>
      <c r="Q453" s="10" t="s">
        <v>1214</v>
      </c>
      <c r="R453" s="10" t="s">
        <v>1214</v>
      </c>
      <c r="S453" s="10" t="s">
        <v>89</v>
      </c>
    </row>
    <row r="454" spans="1:19" ht="43.5" x14ac:dyDescent="0.35">
      <c r="A454" s="14">
        <v>46022</v>
      </c>
      <c r="B454" s="10" t="s">
        <v>646</v>
      </c>
      <c r="C454" s="10" t="s">
        <v>647</v>
      </c>
      <c r="D454" s="10" t="s">
        <v>1142</v>
      </c>
      <c r="E454" s="10">
        <v>11707121</v>
      </c>
      <c r="F454" s="15">
        <v>80</v>
      </c>
      <c r="G454" s="10" t="s">
        <v>1513</v>
      </c>
      <c r="H454" s="10">
        <v>11707121</v>
      </c>
      <c r="I454" s="10">
        <v>4851749</v>
      </c>
      <c r="J454" s="10" t="s">
        <v>1214</v>
      </c>
      <c r="K454" s="10" t="s">
        <v>1214</v>
      </c>
      <c r="L454" s="10" t="s">
        <v>1214</v>
      </c>
      <c r="M454" s="10" t="s">
        <v>1214</v>
      </c>
      <c r="N454" s="10" t="s">
        <v>648</v>
      </c>
      <c r="O454" s="10" t="s">
        <v>1214</v>
      </c>
      <c r="P454" s="10" t="s">
        <v>1214</v>
      </c>
      <c r="Q454" s="10" t="s">
        <v>1214</v>
      </c>
      <c r="R454" s="10" t="s">
        <v>1214</v>
      </c>
      <c r="S454" s="10" t="s">
        <v>89</v>
      </c>
    </row>
    <row r="455" spans="1:19" ht="87" x14ac:dyDescent="0.35">
      <c r="A455" s="14">
        <v>46022</v>
      </c>
      <c r="B455" s="10" t="s">
        <v>505</v>
      </c>
      <c r="C455" s="10" t="s">
        <v>506</v>
      </c>
      <c r="D455" s="10" t="s">
        <v>1019</v>
      </c>
      <c r="E455" s="10">
        <v>10393182</v>
      </c>
      <c r="F455" s="15">
        <v>100</v>
      </c>
      <c r="G455" s="10" t="s">
        <v>1319</v>
      </c>
      <c r="H455" s="10">
        <v>10393182</v>
      </c>
      <c r="I455" s="10" t="s">
        <v>1194</v>
      </c>
      <c r="J455" s="10" t="s">
        <v>1214</v>
      </c>
      <c r="K455" s="10" t="s">
        <v>1214</v>
      </c>
      <c r="L455" s="10" t="s">
        <v>1214</v>
      </c>
      <c r="M455" s="10" t="s">
        <v>1214</v>
      </c>
      <c r="N455" s="10" t="s">
        <v>61</v>
      </c>
      <c r="O455" s="10" t="s">
        <v>1214</v>
      </c>
      <c r="P455" s="10" t="s">
        <v>1214</v>
      </c>
      <c r="Q455" s="10" t="s">
        <v>1214</v>
      </c>
      <c r="R455" s="10" t="s">
        <v>1214</v>
      </c>
      <c r="S455" s="10" t="s">
        <v>61</v>
      </c>
    </row>
    <row r="456" spans="1:19" ht="87" x14ac:dyDescent="0.35">
      <c r="A456" s="14">
        <v>46022</v>
      </c>
      <c r="B456" s="10" t="s">
        <v>649</v>
      </c>
      <c r="C456" s="10" t="s">
        <v>650</v>
      </c>
      <c r="D456" s="10" t="s">
        <v>1143</v>
      </c>
      <c r="E456" s="10">
        <v>8296610</v>
      </c>
      <c r="F456" s="15">
        <v>100</v>
      </c>
      <c r="G456" s="10" t="s">
        <v>1514</v>
      </c>
      <c r="H456" s="10">
        <v>8296610</v>
      </c>
      <c r="I456" s="10" t="s">
        <v>1194</v>
      </c>
      <c r="J456" s="10" t="s">
        <v>1214</v>
      </c>
      <c r="K456" s="10" t="s">
        <v>1214</v>
      </c>
      <c r="L456" s="10" t="s">
        <v>1214</v>
      </c>
      <c r="M456" s="10" t="s">
        <v>1214</v>
      </c>
      <c r="N456" s="10" t="s">
        <v>61</v>
      </c>
      <c r="O456" s="10" t="s">
        <v>1214</v>
      </c>
      <c r="P456" s="10" t="s">
        <v>1214</v>
      </c>
      <c r="Q456" s="10" t="s">
        <v>1214</v>
      </c>
      <c r="R456" s="10" t="s">
        <v>1214</v>
      </c>
      <c r="S456" s="10" t="s">
        <v>61</v>
      </c>
    </row>
    <row r="457" spans="1:19" ht="58" x14ac:dyDescent="0.35">
      <c r="A457" s="14">
        <v>46022</v>
      </c>
      <c r="B457" s="10" t="s">
        <v>507</v>
      </c>
      <c r="C457" s="10" t="s">
        <v>508</v>
      </c>
      <c r="D457" s="10" t="s">
        <v>959</v>
      </c>
      <c r="E457" s="10">
        <v>4352362</v>
      </c>
      <c r="F457" s="15">
        <v>90.2</v>
      </c>
      <c r="G457" s="10" t="s">
        <v>1515</v>
      </c>
      <c r="H457" s="10">
        <v>4352362</v>
      </c>
      <c r="I457" s="10">
        <v>4352406</v>
      </c>
      <c r="J457" s="10" t="s">
        <v>1214</v>
      </c>
      <c r="K457" s="10" t="s">
        <v>1214</v>
      </c>
      <c r="L457" s="10" t="s">
        <v>1214</v>
      </c>
      <c r="M457" s="10" t="s">
        <v>1214</v>
      </c>
      <c r="N457" s="10" t="s">
        <v>111</v>
      </c>
      <c r="O457" s="10" t="s">
        <v>1516</v>
      </c>
      <c r="P457" s="10" t="s">
        <v>111</v>
      </c>
      <c r="Q457" s="10" t="s">
        <v>1516</v>
      </c>
      <c r="R457" s="10" t="s">
        <v>111</v>
      </c>
      <c r="S457" s="10" t="s">
        <v>111</v>
      </c>
    </row>
    <row r="458" spans="1:19" ht="58" x14ac:dyDescent="0.35">
      <c r="A458" s="14">
        <v>46022</v>
      </c>
      <c r="B458" s="10" t="s">
        <v>507</v>
      </c>
      <c r="C458" s="10" t="s">
        <v>508</v>
      </c>
      <c r="D458" s="10" t="s">
        <v>1144</v>
      </c>
      <c r="E458" s="10">
        <v>4352406</v>
      </c>
      <c r="F458" s="15">
        <v>9.8000000000000007</v>
      </c>
      <c r="G458" s="10" t="s">
        <v>1515</v>
      </c>
      <c r="H458" s="10">
        <v>4352362</v>
      </c>
      <c r="I458" s="10">
        <v>4352406</v>
      </c>
      <c r="J458" s="10" t="s">
        <v>1214</v>
      </c>
      <c r="K458" s="10" t="s">
        <v>1214</v>
      </c>
      <c r="L458" s="10" t="s">
        <v>1214</v>
      </c>
      <c r="M458" s="10" t="s">
        <v>1214</v>
      </c>
      <c r="N458" s="10" t="s">
        <v>111</v>
      </c>
      <c r="O458" s="10" t="s">
        <v>1516</v>
      </c>
      <c r="P458" s="10" t="s">
        <v>111</v>
      </c>
      <c r="Q458" s="10" t="s">
        <v>1516</v>
      </c>
      <c r="R458" s="10" t="s">
        <v>111</v>
      </c>
      <c r="S458" s="10" t="s">
        <v>111</v>
      </c>
    </row>
    <row r="459" spans="1:19" ht="43.5" x14ac:dyDescent="0.35">
      <c r="A459" s="14">
        <v>46022</v>
      </c>
      <c r="B459" s="10" t="s">
        <v>517</v>
      </c>
      <c r="C459" s="10" t="s">
        <v>518</v>
      </c>
      <c r="D459" s="10" t="s">
        <v>1145</v>
      </c>
      <c r="E459" s="10">
        <v>4350797</v>
      </c>
      <c r="F459" s="15">
        <v>100</v>
      </c>
      <c r="G459" s="10" t="s">
        <v>1517</v>
      </c>
      <c r="H459" s="10">
        <v>4350797</v>
      </c>
      <c r="I459" s="10" t="s">
        <v>1194</v>
      </c>
      <c r="J459" s="10" t="s">
        <v>1214</v>
      </c>
      <c r="K459" s="10" t="s">
        <v>1214</v>
      </c>
      <c r="L459" s="10" t="s">
        <v>1214</v>
      </c>
      <c r="M459" s="10" t="s">
        <v>1214</v>
      </c>
      <c r="N459" s="10" t="s">
        <v>89</v>
      </c>
      <c r="O459" s="10" t="s">
        <v>1214</v>
      </c>
      <c r="P459" s="10" t="s">
        <v>1214</v>
      </c>
      <c r="Q459" s="10" t="s">
        <v>1214</v>
      </c>
      <c r="R459" s="10" t="s">
        <v>1214</v>
      </c>
      <c r="S459" s="10" t="s">
        <v>61</v>
      </c>
    </row>
    <row r="460" spans="1:19" ht="43.5" x14ac:dyDescent="0.35">
      <c r="A460" s="14">
        <v>46022</v>
      </c>
      <c r="B460" s="10" t="s">
        <v>829</v>
      </c>
      <c r="C460" s="10" t="s">
        <v>830</v>
      </c>
      <c r="D460" s="10" t="s">
        <v>1073</v>
      </c>
      <c r="E460" s="10">
        <v>4349148</v>
      </c>
      <c r="F460" s="15">
        <v>80</v>
      </c>
      <c r="G460" s="10" t="s">
        <v>1518</v>
      </c>
      <c r="H460" s="10">
        <v>4349148</v>
      </c>
      <c r="I460" s="10">
        <v>4350360</v>
      </c>
      <c r="J460" s="10" t="s">
        <v>1214</v>
      </c>
      <c r="K460" s="10" t="s">
        <v>1214</v>
      </c>
      <c r="L460" s="10" t="s">
        <v>1214</v>
      </c>
      <c r="M460" s="10" t="s">
        <v>1214</v>
      </c>
      <c r="N460" s="10" t="s">
        <v>61</v>
      </c>
      <c r="O460" s="10" t="s">
        <v>213</v>
      </c>
      <c r="P460" s="10" t="s">
        <v>213</v>
      </c>
      <c r="Q460" s="10" t="s">
        <v>213</v>
      </c>
      <c r="R460" s="10" t="s">
        <v>213</v>
      </c>
      <c r="S460" s="10" t="s">
        <v>213</v>
      </c>
    </row>
    <row r="461" spans="1:19" ht="43.5" x14ac:dyDescent="0.35">
      <c r="A461" s="14">
        <v>46022</v>
      </c>
      <c r="B461" s="10" t="s">
        <v>829</v>
      </c>
      <c r="C461" s="10" t="s">
        <v>830</v>
      </c>
      <c r="D461" s="10" t="s">
        <v>1021</v>
      </c>
      <c r="E461" s="10">
        <v>4350360</v>
      </c>
      <c r="F461" s="15">
        <v>20</v>
      </c>
      <c r="G461" s="10" t="s">
        <v>1518</v>
      </c>
      <c r="H461" s="10">
        <v>4349148</v>
      </c>
      <c r="I461" s="10">
        <v>4350360</v>
      </c>
      <c r="J461" s="10" t="s">
        <v>1214</v>
      </c>
      <c r="K461" s="10" t="s">
        <v>1214</v>
      </c>
      <c r="L461" s="10" t="s">
        <v>1214</v>
      </c>
      <c r="M461" s="10" t="s">
        <v>1214</v>
      </c>
      <c r="N461" s="10" t="s">
        <v>61</v>
      </c>
      <c r="O461" s="10" t="s">
        <v>213</v>
      </c>
      <c r="P461" s="10" t="s">
        <v>213</v>
      </c>
      <c r="Q461" s="10" t="s">
        <v>213</v>
      </c>
      <c r="R461" s="10" t="s">
        <v>213</v>
      </c>
      <c r="S461" s="10" t="s">
        <v>213</v>
      </c>
    </row>
    <row r="462" spans="1:19" ht="58" x14ac:dyDescent="0.35">
      <c r="A462" s="14">
        <v>46022</v>
      </c>
      <c r="B462" s="10" t="s">
        <v>831</v>
      </c>
      <c r="C462" s="10" t="s">
        <v>832</v>
      </c>
      <c r="D462" s="10" t="s">
        <v>1146</v>
      </c>
      <c r="E462" s="10">
        <v>10402280</v>
      </c>
      <c r="F462" s="15">
        <v>100</v>
      </c>
      <c r="G462" s="10" t="s">
        <v>1519</v>
      </c>
      <c r="H462" s="10">
        <v>10402280</v>
      </c>
      <c r="I462" s="10" t="s">
        <v>1194</v>
      </c>
      <c r="J462" s="10" t="s">
        <v>1214</v>
      </c>
      <c r="K462" s="10" t="s">
        <v>1214</v>
      </c>
      <c r="L462" s="10" t="s">
        <v>1214</v>
      </c>
      <c r="M462" s="10" t="s">
        <v>1214</v>
      </c>
      <c r="N462" s="10" t="s">
        <v>61</v>
      </c>
      <c r="O462" s="10" t="s">
        <v>1214</v>
      </c>
      <c r="P462" s="10" t="s">
        <v>1214</v>
      </c>
      <c r="Q462" s="10" t="s">
        <v>1214</v>
      </c>
      <c r="R462" s="10" t="s">
        <v>1214</v>
      </c>
      <c r="S462" s="10" t="s">
        <v>61</v>
      </c>
    </row>
    <row r="463" spans="1:19" ht="58" x14ac:dyDescent="0.35">
      <c r="A463" s="14">
        <v>46022</v>
      </c>
      <c r="B463" s="10" t="s">
        <v>519</v>
      </c>
      <c r="C463" s="10" t="s">
        <v>520</v>
      </c>
      <c r="D463" s="10" t="s">
        <v>958</v>
      </c>
      <c r="E463" s="10">
        <v>4355642</v>
      </c>
      <c r="F463" s="15">
        <v>100</v>
      </c>
      <c r="G463" s="10" t="s">
        <v>1320</v>
      </c>
      <c r="H463" s="10">
        <v>4355642</v>
      </c>
      <c r="I463" s="10" t="s">
        <v>1194</v>
      </c>
      <c r="J463" s="10" t="s">
        <v>1214</v>
      </c>
      <c r="K463" s="10" t="s">
        <v>1214</v>
      </c>
      <c r="L463" s="10" t="s">
        <v>1214</v>
      </c>
      <c r="M463" s="10" t="s">
        <v>1214</v>
      </c>
      <c r="N463" s="10" t="s">
        <v>61</v>
      </c>
      <c r="O463" s="10" t="s">
        <v>1214</v>
      </c>
      <c r="P463" s="10" t="s">
        <v>1214</v>
      </c>
      <c r="Q463" s="10" t="s">
        <v>1214</v>
      </c>
      <c r="R463" s="10" t="s">
        <v>1214</v>
      </c>
      <c r="S463" s="10" t="s">
        <v>61</v>
      </c>
    </row>
    <row r="464" spans="1:19" ht="58" x14ac:dyDescent="0.35">
      <c r="A464" s="14">
        <v>46022</v>
      </c>
      <c r="B464" s="10" t="s">
        <v>833</v>
      </c>
      <c r="C464" s="10" t="s">
        <v>834</v>
      </c>
      <c r="D464" s="10" t="s">
        <v>1147</v>
      </c>
      <c r="E464" s="10">
        <v>4358892</v>
      </c>
      <c r="F464" s="15">
        <v>39</v>
      </c>
      <c r="G464" s="10" t="s">
        <v>1520</v>
      </c>
      <c r="H464" s="10">
        <v>4351226</v>
      </c>
      <c r="I464" s="10">
        <v>4358892</v>
      </c>
      <c r="J464" s="10" t="s">
        <v>1214</v>
      </c>
      <c r="K464" s="10" t="s">
        <v>1214</v>
      </c>
      <c r="L464" s="10" t="s">
        <v>1214</v>
      </c>
      <c r="M464" s="10" t="s">
        <v>1214</v>
      </c>
      <c r="N464" s="10" t="s">
        <v>111</v>
      </c>
      <c r="O464" s="10" t="s">
        <v>1214</v>
      </c>
      <c r="P464" s="10" t="s">
        <v>1214</v>
      </c>
      <c r="Q464" s="10" t="s">
        <v>1214</v>
      </c>
      <c r="R464" s="10" t="s">
        <v>1214</v>
      </c>
      <c r="S464" s="10" t="s">
        <v>1235</v>
      </c>
    </row>
    <row r="465" spans="1:19" ht="58" x14ac:dyDescent="0.35">
      <c r="A465" s="14">
        <v>46022</v>
      </c>
      <c r="B465" s="10" t="s">
        <v>833</v>
      </c>
      <c r="C465" s="10" t="s">
        <v>834</v>
      </c>
      <c r="D465" s="10" t="s">
        <v>990</v>
      </c>
      <c r="E465" s="10">
        <v>4351226</v>
      </c>
      <c r="F465" s="15">
        <v>51</v>
      </c>
      <c r="G465" s="10" t="s">
        <v>1520</v>
      </c>
      <c r="H465" s="10">
        <v>4351226</v>
      </c>
      <c r="I465" s="10">
        <v>4358892</v>
      </c>
      <c r="J465" s="10" t="s">
        <v>1214</v>
      </c>
      <c r="K465" s="10" t="s">
        <v>1214</v>
      </c>
      <c r="L465" s="10" t="s">
        <v>1214</v>
      </c>
      <c r="M465" s="10" t="s">
        <v>1214</v>
      </c>
      <c r="N465" s="10" t="s">
        <v>111</v>
      </c>
      <c r="O465" s="10" t="s">
        <v>1214</v>
      </c>
      <c r="P465" s="10" t="s">
        <v>1214</v>
      </c>
      <c r="Q465" s="10" t="s">
        <v>1214</v>
      </c>
      <c r="R465" s="10" t="s">
        <v>1214</v>
      </c>
      <c r="S465" s="10" t="s">
        <v>1235</v>
      </c>
    </row>
    <row r="466" spans="1:19" ht="58" x14ac:dyDescent="0.35">
      <c r="A466" s="14">
        <v>46022</v>
      </c>
      <c r="B466" s="10" t="s">
        <v>833</v>
      </c>
      <c r="C466" s="10" t="s">
        <v>834</v>
      </c>
      <c r="D466" s="10" t="s">
        <v>988</v>
      </c>
      <c r="E466" s="10">
        <v>4047416</v>
      </c>
      <c r="F466" s="15">
        <v>10</v>
      </c>
      <c r="G466" s="10" t="s">
        <v>1520</v>
      </c>
      <c r="H466" s="10">
        <v>4351226</v>
      </c>
      <c r="I466" s="10">
        <v>4358892</v>
      </c>
      <c r="J466" s="10" t="s">
        <v>1214</v>
      </c>
      <c r="K466" s="10" t="s">
        <v>1214</v>
      </c>
      <c r="L466" s="10" t="s">
        <v>1214</v>
      </c>
      <c r="M466" s="10" t="s">
        <v>1214</v>
      </c>
      <c r="N466" s="10" t="s">
        <v>111</v>
      </c>
      <c r="O466" s="10" t="s">
        <v>1214</v>
      </c>
      <c r="P466" s="10" t="s">
        <v>1214</v>
      </c>
      <c r="Q466" s="10" t="s">
        <v>1214</v>
      </c>
      <c r="R466" s="10" t="s">
        <v>1214</v>
      </c>
      <c r="S466" s="10" t="s">
        <v>1235</v>
      </c>
    </row>
    <row r="467" spans="1:19" ht="87" x14ac:dyDescent="0.35">
      <c r="A467" s="14">
        <v>46022</v>
      </c>
      <c r="B467" s="10" t="s">
        <v>509</v>
      </c>
      <c r="C467" s="10" t="s">
        <v>510</v>
      </c>
      <c r="D467" s="10" t="s">
        <v>1019</v>
      </c>
      <c r="E467" s="10">
        <v>10393182</v>
      </c>
      <c r="F467" s="15">
        <v>100</v>
      </c>
      <c r="G467" s="10" t="s">
        <v>1319</v>
      </c>
      <c r="H467" s="10">
        <v>10393182</v>
      </c>
      <c r="I467" s="10" t="s">
        <v>1194</v>
      </c>
      <c r="J467" s="10" t="s">
        <v>1214</v>
      </c>
      <c r="K467" s="10" t="s">
        <v>1214</v>
      </c>
      <c r="L467" s="10" t="s">
        <v>1214</v>
      </c>
      <c r="M467" s="10" t="s">
        <v>1214</v>
      </c>
      <c r="N467" s="10" t="s">
        <v>61</v>
      </c>
      <c r="O467" s="10" t="s">
        <v>1214</v>
      </c>
      <c r="P467" s="10" t="s">
        <v>1214</v>
      </c>
      <c r="Q467" s="10" t="s">
        <v>1214</v>
      </c>
      <c r="R467" s="10" t="s">
        <v>1214</v>
      </c>
      <c r="S467" s="10" t="s">
        <v>61</v>
      </c>
    </row>
    <row r="468" spans="1:19" ht="72.5" x14ac:dyDescent="0.35">
      <c r="A468" s="14">
        <v>46022</v>
      </c>
      <c r="B468" s="10" t="s">
        <v>521</v>
      </c>
      <c r="C468" s="10" t="s">
        <v>522</v>
      </c>
      <c r="D468" s="10" t="s">
        <v>1148</v>
      </c>
      <c r="E468" s="10">
        <v>10947964</v>
      </c>
      <c r="F468" s="15">
        <v>100</v>
      </c>
      <c r="G468" s="10" t="s">
        <v>1521</v>
      </c>
      <c r="H468" s="10">
        <v>10947964</v>
      </c>
      <c r="I468" s="10" t="s">
        <v>1194</v>
      </c>
      <c r="J468" s="10" t="s">
        <v>1214</v>
      </c>
      <c r="K468" s="10" t="s">
        <v>1214</v>
      </c>
      <c r="L468" s="10" t="s">
        <v>1214</v>
      </c>
      <c r="M468" s="10" t="s">
        <v>1214</v>
      </c>
      <c r="N468" s="10" t="s">
        <v>61</v>
      </c>
      <c r="O468" s="10" t="s">
        <v>1214</v>
      </c>
      <c r="P468" s="10" t="s">
        <v>1214</v>
      </c>
      <c r="Q468" s="10" t="s">
        <v>1214</v>
      </c>
      <c r="R468" s="10" t="s">
        <v>1214</v>
      </c>
      <c r="S468" s="10" t="s">
        <v>61</v>
      </c>
    </row>
    <row r="469" spans="1:19" ht="87" x14ac:dyDescent="0.35">
      <c r="A469" s="14">
        <v>46022</v>
      </c>
      <c r="B469" s="10" t="s">
        <v>523</v>
      </c>
      <c r="C469" s="10" t="s">
        <v>524</v>
      </c>
      <c r="D469" s="10" t="s">
        <v>1019</v>
      </c>
      <c r="E469" s="10">
        <v>10393182</v>
      </c>
      <c r="F469" s="15">
        <v>100</v>
      </c>
      <c r="G469" s="10" t="s">
        <v>1319</v>
      </c>
      <c r="H469" s="10">
        <v>10393182</v>
      </c>
      <c r="I469" s="10" t="s">
        <v>1194</v>
      </c>
      <c r="J469" s="10" t="s">
        <v>1214</v>
      </c>
      <c r="K469" s="10" t="s">
        <v>1214</v>
      </c>
      <c r="L469" s="10" t="s">
        <v>1214</v>
      </c>
      <c r="M469" s="10" t="s">
        <v>1214</v>
      </c>
      <c r="N469" s="10" t="s">
        <v>61</v>
      </c>
      <c r="O469" s="10" t="s">
        <v>1214</v>
      </c>
      <c r="P469" s="10" t="s">
        <v>1214</v>
      </c>
      <c r="Q469" s="10" t="s">
        <v>1214</v>
      </c>
      <c r="R469" s="10" t="s">
        <v>1214</v>
      </c>
      <c r="S469" s="10" t="s">
        <v>61</v>
      </c>
    </row>
    <row r="470" spans="1:19" ht="87" x14ac:dyDescent="0.35">
      <c r="A470" s="14">
        <v>46022</v>
      </c>
      <c r="B470" s="10" t="s">
        <v>525</v>
      </c>
      <c r="C470" s="10" t="s">
        <v>526</v>
      </c>
      <c r="D470" s="10" t="s">
        <v>1036</v>
      </c>
      <c r="E470" s="10">
        <v>4349131</v>
      </c>
      <c r="F470" s="15">
        <v>95.35</v>
      </c>
      <c r="G470" s="10" t="s">
        <v>1349</v>
      </c>
      <c r="H470" s="10">
        <v>4349131</v>
      </c>
      <c r="I470" s="10">
        <v>4400798</v>
      </c>
      <c r="J470" s="10" t="s">
        <v>1292</v>
      </c>
      <c r="K470" s="10" t="s">
        <v>61</v>
      </c>
      <c r="L470" s="10" t="s">
        <v>1350</v>
      </c>
      <c r="M470" s="10" t="s">
        <v>61</v>
      </c>
      <c r="N470" s="10" t="s">
        <v>1252</v>
      </c>
      <c r="O470" s="10" t="s">
        <v>1214</v>
      </c>
      <c r="P470" s="10" t="s">
        <v>1214</v>
      </c>
      <c r="Q470" s="10" t="s">
        <v>1214</v>
      </c>
      <c r="R470" s="10" t="s">
        <v>1214</v>
      </c>
      <c r="S470" s="10" t="s">
        <v>79</v>
      </c>
    </row>
    <row r="471" spans="1:19" ht="72.5" x14ac:dyDescent="0.35">
      <c r="A471" s="14">
        <v>46022</v>
      </c>
      <c r="B471" s="10" t="s">
        <v>527</v>
      </c>
      <c r="C471" s="10" t="s">
        <v>528</v>
      </c>
      <c r="D471" s="10" t="s">
        <v>1024</v>
      </c>
      <c r="E471" s="10">
        <v>4314727</v>
      </c>
      <c r="F471" s="15">
        <v>100</v>
      </c>
      <c r="G471" s="10" t="s">
        <v>1326</v>
      </c>
      <c r="H471" s="10">
        <v>4314727</v>
      </c>
      <c r="I471" s="10" t="s">
        <v>1194</v>
      </c>
      <c r="J471" s="10" t="s">
        <v>1214</v>
      </c>
      <c r="K471" s="10" t="s">
        <v>1214</v>
      </c>
      <c r="L471" s="10" t="s">
        <v>1214</v>
      </c>
      <c r="M471" s="10" t="s">
        <v>1214</v>
      </c>
      <c r="N471" s="10" t="s">
        <v>61</v>
      </c>
      <c r="O471" s="10" t="s">
        <v>1214</v>
      </c>
      <c r="P471" s="10" t="s">
        <v>1214</v>
      </c>
      <c r="Q471" s="10" t="s">
        <v>1214</v>
      </c>
      <c r="R471" s="10" t="s">
        <v>1214</v>
      </c>
      <c r="S471" s="10" t="s">
        <v>61</v>
      </c>
    </row>
    <row r="472" spans="1:19" ht="159.5" x14ac:dyDescent="0.35">
      <c r="A472" s="14">
        <v>46022</v>
      </c>
      <c r="B472" s="10" t="s">
        <v>511</v>
      </c>
      <c r="C472" s="10" t="s">
        <v>512</v>
      </c>
      <c r="D472" s="10" t="s">
        <v>1036</v>
      </c>
      <c r="E472" s="10">
        <v>4349131</v>
      </c>
      <c r="F472" s="15">
        <v>95.35</v>
      </c>
      <c r="G472" s="10" t="s">
        <v>1522</v>
      </c>
      <c r="H472" s="10">
        <v>4349131</v>
      </c>
      <c r="I472" s="10">
        <v>4349159</v>
      </c>
      <c r="J472" s="10" t="s">
        <v>1292</v>
      </c>
      <c r="K472" s="10" t="s">
        <v>61</v>
      </c>
      <c r="L472" s="10" t="s">
        <v>1350</v>
      </c>
      <c r="M472" s="10" t="s">
        <v>61</v>
      </c>
      <c r="N472" s="10" t="s">
        <v>1252</v>
      </c>
      <c r="O472" s="10" t="s">
        <v>1292</v>
      </c>
      <c r="P472" s="10" t="s">
        <v>61</v>
      </c>
      <c r="Q472" s="10" t="s">
        <v>1292</v>
      </c>
      <c r="R472" s="10" t="s">
        <v>61</v>
      </c>
      <c r="S472" s="10" t="s">
        <v>61</v>
      </c>
    </row>
    <row r="473" spans="1:19" ht="159.5" x14ac:dyDescent="0.35">
      <c r="A473" s="14">
        <v>46022</v>
      </c>
      <c r="B473" s="10" t="s">
        <v>511</v>
      </c>
      <c r="C473" s="10" t="s">
        <v>512</v>
      </c>
      <c r="D473" s="10" t="s">
        <v>1149</v>
      </c>
      <c r="E473" s="10">
        <v>4349159</v>
      </c>
      <c r="F473" s="15">
        <v>4.6500000000000004</v>
      </c>
      <c r="G473" s="10" t="s">
        <v>1522</v>
      </c>
      <c r="H473" s="10">
        <v>4349131</v>
      </c>
      <c r="I473" s="10">
        <v>4349159</v>
      </c>
      <c r="J473" s="10" t="s">
        <v>1292</v>
      </c>
      <c r="K473" s="10" t="s">
        <v>61</v>
      </c>
      <c r="L473" s="10" t="s">
        <v>1350</v>
      </c>
      <c r="M473" s="10" t="s">
        <v>61</v>
      </c>
      <c r="N473" s="10" t="s">
        <v>1252</v>
      </c>
      <c r="O473" s="10" t="s">
        <v>1292</v>
      </c>
      <c r="P473" s="10" t="s">
        <v>61</v>
      </c>
      <c r="Q473" s="10" t="s">
        <v>1292</v>
      </c>
      <c r="R473" s="10" t="s">
        <v>61</v>
      </c>
      <c r="S473" s="10" t="s">
        <v>61</v>
      </c>
    </row>
    <row r="474" spans="1:19" ht="87" x14ac:dyDescent="0.35">
      <c r="A474" s="14">
        <v>46022</v>
      </c>
      <c r="B474" s="10" t="s">
        <v>651</v>
      </c>
      <c r="C474" s="10" t="s">
        <v>652</v>
      </c>
      <c r="D474" s="10" t="s">
        <v>1150</v>
      </c>
      <c r="E474" s="10">
        <v>10929882</v>
      </c>
      <c r="F474" s="15">
        <v>100</v>
      </c>
      <c r="G474" s="10" t="s">
        <v>1523</v>
      </c>
      <c r="H474" s="10">
        <v>10929882</v>
      </c>
      <c r="I474" s="10" t="s">
        <v>1194</v>
      </c>
      <c r="J474" s="10" t="s">
        <v>1214</v>
      </c>
      <c r="K474" s="10" t="s">
        <v>1214</v>
      </c>
      <c r="L474" s="10" t="s">
        <v>1214</v>
      </c>
      <c r="M474" s="10" t="s">
        <v>1214</v>
      </c>
      <c r="N474" s="10" t="s">
        <v>61</v>
      </c>
      <c r="O474" s="10" t="s">
        <v>1214</v>
      </c>
      <c r="P474" s="10" t="s">
        <v>1214</v>
      </c>
      <c r="Q474" s="10" t="s">
        <v>1214</v>
      </c>
      <c r="R474" s="10" t="s">
        <v>1214</v>
      </c>
      <c r="S474" s="10" t="s">
        <v>61</v>
      </c>
    </row>
    <row r="475" spans="1:19" ht="58" x14ac:dyDescent="0.35">
      <c r="A475" s="14">
        <v>46022</v>
      </c>
      <c r="B475" s="10" t="s">
        <v>653</v>
      </c>
      <c r="C475" s="10" t="s">
        <v>654</v>
      </c>
      <c r="D475" s="10" t="s">
        <v>980</v>
      </c>
      <c r="E475" s="10">
        <v>4354459</v>
      </c>
      <c r="F475" s="15">
        <v>100</v>
      </c>
      <c r="G475" s="10" t="s">
        <v>1298</v>
      </c>
      <c r="H475" s="10">
        <v>4354459</v>
      </c>
      <c r="I475" s="10" t="s">
        <v>1194</v>
      </c>
      <c r="J475" s="10" t="s">
        <v>1267</v>
      </c>
      <c r="K475" s="10" t="s">
        <v>111</v>
      </c>
      <c r="L475" s="10" t="s">
        <v>1268</v>
      </c>
      <c r="M475" s="10" t="s">
        <v>79</v>
      </c>
      <c r="N475" s="10" t="s">
        <v>79</v>
      </c>
      <c r="O475" s="10" t="s">
        <v>1214</v>
      </c>
      <c r="P475" s="10" t="s">
        <v>1214</v>
      </c>
      <c r="Q475" s="10" t="s">
        <v>1214</v>
      </c>
      <c r="R475" s="10" t="s">
        <v>1214</v>
      </c>
      <c r="S475" s="10" t="s">
        <v>61</v>
      </c>
    </row>
    <row r="476" spans="1:19" ht="58" x14ac:dyDescent="0.35">
      <c r="A476" s="14">
        <v>46022</v>
      </c>
      <c r="B476" s="10" t="s">
        <v>655</v>
      </c>
      <c r="C476" s="10" t="s">
        <v>656</v>
      </c>
      <c r="D476" s="10" t="s">
        <v>980</v>
      </c>
      <c r="E476" s="10">
        <v>4354459</v>
      </c>
      <c r="F476" s="15">
        <v>100</v>
      </c>
      <c r="G476" s="10" t="s">
        <v>1298</v>
      </c>
      <c r="H476" s="10">
        <v>4354459</v>
      </c>
      <c r="I476" s="10" t="s">
        <v>1194</v>
      </c>
      <c r="J476" s="10" t="s">
        <v>1267</v>
      </c>
      <c r="K476" s="10" t="s">
        <v>111</v>
      </c>
      <c r="L476" s="10" t="s">
        <v>1268</v>
      </c>
      <c r="M476" s="10" t="s">
        <v>79</v>
      </c>
      <c r="N476" s="10" t="s">
        <v>79</v>
      </c>
      <c r="O476" s="10" t="s">
        <v>1214</v>
      </c>
      <c r="P476" s="10" t="s">
        <v>1214</v>
      </c>
      <c r="Q476" s="10" t="s">
        <v>1214</v>
      </c>
      <c r="R476" s="10" t="s">
        <v>1214</v>
      </c>
      <c r="S476" s="10" t="s">
        <v>61</v>
      </c>
    </row>
    <row r="477" spans="1:19" ht="72.5" x14ac:dyDescent="0.35">
      <c r="A477" s="14">
        <v>46022</v>
      </c>
      <c r="B477" s="10" t="s">
        <v>657</v>
      </c>
      <c r="C477" s="10" t="s">
        <v>658</v>
      </c>
      <c r="D477" s="10" t="s">
        <v>1151</v>
      </c>
      <c r="E477" s="10">
        <v>4199226</v>
      </c>
      <c r="F477" s="15">
        <v>100</v>
      </c>
      <c r="G477" s="10" t="s">
        <v>1524</v>
      </c>
      <c r="H477" s="10">
        <v>4199226</v>
      </c>
      <c r="I477" s="10" t="s">
        <v>1194</v>
      </c>
      <c r="J477" s="10" t="s">
        <v>1292</v>
      </c>
      <c r="K477" s="10" t="s">
        <v>61</v>
      </c>
      <c r="L477" s="10" t="s">
        <v>1525</v>
      </c>
      <c r="M477" s="10" t="s">
        <v>61</v>
      </c>
      <c r="N477" s="10" t="s">
        <v>61</v>
      </c>
      <c r="O477" s="10" t="s">
        <v>1214</v>
      </c>
      <c r="P477" s="10" t="s">
        <v>1214</v>
      </c>
      <c r="Q477" s="10" t="s">
        <v>1214</v>
      </c>
      <c r="R477" s="10" t="s">
        <v>1214</v>
      </c>
      <c r="S477" s="10" t="s">
        <v>61</v>
      </c>
    </row>
    <row r="478" spans="1:19" ht="58" x14ac:dyDescent="0.35">
      <c r="A478" s="14">
        <v>46022</v>
      </c>
      <c r="B478" s="10" t="s">
        <v>835</v>
      </c>
      <c r="C478" s="10" t="s">
        <v>836</v>
      </c>
      <c r="D478" s="10" t="s">
        <v>995</v>
      </c>
      <c r="E478" s="10">
        <v>4350215</v>
      </c>
      <c r="F478" s="15">
        <v>100</v>
      </c>
      <c r="G478" s="10" t="s">
        <v>1281</v>
      </c>
      <c r="H478" s="10">
        <v>4350215</v>
      </c>
      <c r="I478" s="10" t="s">
        <v>1194</v>
      </c>
      <c r="J478" s="10" t="s">
        <v>1214</v>
      </c>
      <c r="K478" s="10" t="s">
        <v>1214</v>
      </c>
      <c r="L478" s="10" t="s">
        <v>1214</v>
      </c>
      <c r="M478" s="10" t="s">
        <v>1214</v>
      </c>
      <c r="N478" s="10" t="s">
        <v>222</v>
      </c>
      <c r="O478" s="10" t="s">
        <v>1214</v>
      </c>
      <c r="P478" s="10" t="s">
        <v>1214</v>
      </c>
      <c r="Q478" s="10" t="s">
        <v>1214</v>
      </c>
      <c r="R478" s="10" t="s">
        <v>1214</v>
      </c>
      <c r="S478" s="10" t="s">
        <v>61</v>
      </c>
    </row>
    <row r="479" spans="1:19" ht="43.5" x14ac:dyDescent="0.35">
      <c r="A479" s="14">
        <v>46022</v>
      </c>
      <c r="B479" s="10" t="s">
        <v>545</v>
      </c>
      <c r="C479" s="10" t="s">
        <v>546</v>
      </c>
      <c r="D479" s="10" t="s">
        <v>1152</v>
      </c>
      <c r="E479" s="10">
        <v>4275208</v>
      </c>
      <c r="F479" s="15">
        <v>100</v>
      </c>
      <c r="G479" s="10" t="s">
        <v>1526</v>
      </c>
      <c r="H479" s="10">
        <v>4275208</v>
      </c>
      <c r="I479" s="10" t="s">
        <v>1194</v>
      </c>
      <c r="J479" s="10" t="s">
        <v>1214</v>
      </c>
      <c r="K479" s="10" t="s">
        <v>1214</v>
      </c>
      <c r="L479" s="10" t="s">
        <v>1214</v>
      </c>
      <c r="M479" s="10" t="s">
        <v>1214</v>
      </c>
      <c r="N479" s="10" t="s">
        <v>89</v>
      </c>
      <c r="O479" s="10" t="s">
        <v>1214</v>
      </c>
      <c r="P479" s="10" t="s">
        <v>1214</v>
      </c>
      <c r="Q479" s="10" t="s">
        <v>1214</v>
      </c>
      <c r="R479" s="10" t="s">
        <v>1214</v>
      </c>
      <c r="S479" s="10" t="s">
        <v>61</v>
      </c>
    </row>
    <row r="480" spans="1:19" ht="43.5" x14ac:dyDescent="0.35">
      <c r="A480" s="14">
        <v>46022</v>
      </c>
      <c r="B480" s="10" t="s">
        <v>547</v>
      </c>
      <c r="C480" s="10" t="s">
        <v>548</v>
      </c>
      <c r="D480" s="10" t="s">
        <v>1092</v>
      </c>
      <c r="E480" s="10">
        <v>4354011</v>
      </c>
      <c r="F480" s="15">
        <v>100</v>
      </c>
      <c r="G480" s="10" t="s">
        <v>1527</v>
      </c>
      <c r="H480" s="10">
        <v>4354011</v>
      </c>
      <c r="I480" s="10">
        <v>4567711</v>
      </c>
      <c r="J480" s="10" t="s">
        <v>1214</v>
      </c>
      <c r="K480" s="10" t="s">
        <v>1214</v>
      </c>
      <c r="L480" s="10" t="s">
        <v>1214</v>
      </c>
      <c r="M480" s="10" t="s">
        <v>1214</v>
      </c>
      <c r="N480" s="10" t="s">
        <v>89</v>
      </c>
      <c r="O480" s="10" t="s">
        <v>1214</v>
      </c>
      <c r="P480" s="10" t="s">
        <v>1214</v>
      </c>
      <c r="Q480" s="10" t="s">
        <v>1214</v>
      </c>
      <c r="R480" s="10" t="s">
        <v>1214</v>
      </c>
      <c r="S480" s="10" t="s">
        <v>1219</v>
      </c>
    </row>
    <row r="481" spans="1:19" ht="43.5" x14ac:dyDescent="0.35">
      <c r="A481" s="14">
        <v>46022</v>
      </c>
      <c r="B481" s="10" t="s">
        <v>659</v>
      </c>
      <c r="C481" s="10" t="s">
        <v>660</v>
      </c>
      <c r="D481" s="10" t="s">
        <v>991</v>
      </c>
      <c r="E481" s="10">
        <v>8252418</v>
      </c>
      <c r="F481" s="15">
        <v>99.6</v>
      </c>
      <c r="G481" s="10" t="s">
        <v>1276</v>
      </c>
      <c r="H481" s="10">
        <v>8252418</v>
      </c>
      <c r="I481" s="10">
        <v>4400798</v>
      </c>
      <c r="J481" s="10" t="s">
        <v>1214</v>
      </c>
      <c r="K481" s="10" t="s">
        <v>1214</v>
      </c>
      <c r="L481" s="10" t="s">
        <v>1214</v>
      </c>
      <c r="M481" s="10" t="s">
        <v>1214</v>
      </c>
      <c r="N481" s="10" t="s">
        <v>222</v>
      </c>
      <c r="O481" s="10" t="s">
        <v>1214</v>
      </c>
      <c r="P481" s="10" t="s">
        <v>1214</v>
      </c>
      <c r="Q481" s="10" t="s">
        <v>1214</v>
      </c>
      <c r="R481" s="10" t="s">
        <v>1214</v>
      </c>
      <c r="S481" s="10" t="s">
        <v>79</v>
      </c>
    </row>
    <row r="482" spans="1:19" ht="87" x14ac:dyDescent="0.35">
      <c r="A482" s="14">
        <v>46022</v>
      </c>
      <c r="B482" s="10" t="s">
        <v>837</v>
      </c>
      <c r="C482" s="10" t="s">
        <v>838</v>
      </c>
      <c r="D482" s="10" t="s">
        <v>1019</v>
      </c>
      <c r="E482" s="10">
        <v>10393182</v>
      </c>
      <c r="F482" s="15">
        <v>100</v>
      </c>
      <c r="G482" s="10" t="s">
        <v>1319</v>
      </c>
      <c r="H482" s="10">
        <v>10393182</v>
      </c>
      <c r="I482" s="10" t="s">
        <v>1194</v>
      </c>
      <c r="J482" s="10" t="s">
        <v>1214</v>
      </c>
      <c r="K482" s="10" t="s">
        <v>1214</v>
      </c>
      <c r="L482" s="10" t="s">
        <v>1214</v>
      </c>
      <c r="M482" s="10" t="s">
        <v>1214</v>
      </c>
      <c r="N482" s="10" t="s">
        <v>61</v>
      </c>
      <c r="O482" s="10" t="s">
        <v>1214</v>
      </c>
      <c r="P482" s="10" t="s">
        <v>1214</v>
      </c>
      <c r="Q482" s="10" t="s">
        <v>1214</v>
      </c>
      <c r="R482" s="10" t="s">
        <v>1214</v>
      </c>
      <c r="S482" s="10" t="s">
        <v>61</v>
      </c>
    </row>
    <row r="483" spans="1:19" ht="87" x14ac:dyDescent="0.35">
      <c r="A483" s="14">
        <v>46022</v>
      </c>
      <c r="B483" s="10" t="s">
        <v>661</v>
      </c>
      <c r="C483" s="10" t="s">
        <v>662</v>
      </c>
      <c r="D483" s="10" t="s">
        <v>1019</v>
      </c>
      <c r="E483" s="10">
        <v>10393182</v>
      </c>
      <c r="F483" s="15">
        <v>100</v>
      </c>
      <c r="G483" s="10" t="s">
        <v>1319</v>
      </c>
      <c r="H483" s="10">
        <v>10393182</v>
      </c>
      <c r="I483" s="10" t="s">
        <v>1194</v>
      </c>
      <c r="J483" s="10" t="s">
        <v>1214</v>
      </c>
      <c r="K483" s="10" t="s">
        <v>1214</v>
      </c>
      <c r="L483" s="10" t="s">
        <v>1214</v>
      </c>
      <c r="M483" s="10" t="s">
        <v>1214</v>
      </c>
      <c r="N483" s="10" t="s">
        <v>61</v>
      </c>
      <c r="O483" s="10" t="s">
        <v>1214</v>
      </c>
      <c r="P483" s="10" t="s">
        <v>1214</v>
      </c>
      <c r="Q483" s="10" t="s">
        <v>1214</v>
      </c>
      <c r="R483" s="10" t="s">
        <v>1214</v>
      </c>
      <c r="S483" s="10" t="s">
        <v>61</v>
      </c>
    </row>
    <row r="484" spans="1:19" ht="72.5" x14ac:dyDescent="0.35">
      <c r="A484" s="14">
        <v>46022</v>
      </c>
      <c r="B484" s="10" t="s">
        <v>663</v>
      </c>
      <c r="C484" s="10" t="s">
        <v>664</v>
      </c>
      <c r="D484" s="10" t="s">
        <v>1153</v>
      </c>
      <c r="E484" s="10">
        <v>4994804</v>
      </c>
      <c r="F484" s="15">
        <v>49</v>
      </c>
      <c r="G484" s="10" t="s">
        <v>1528</v>
      </c>
      <c r="H484" s="10">
        <v>4355551</v>
      </c>
      <c r="I484" s="10">
        <v>4994804</v>
      </c>
      <c r="J484" s="10" t="s">
        <v>1292</v>
      </c>
      <c r="K484" s="10" t="s">
        <v>61</v>
      </c>
      <c r="L484" s="10" t="s">
        <v>1315</v>
      </c>
      <c r="M484" s="10" t="s">
        <v>61</v>
      </c>
      <c r="N484" s="10" t="s">
        <v>61</v>
      </c>
      <c r="O484" s="10" t="s">
        <v>1214</v>
      </c>
      <c r="P484" s="10" t="s">
        <v>1214</v>
      </c>
      <c r="Q484" s="10" t="s">
        <v>1214</v>
      </c>
      <c r="R484" s="10" t="s">
        <v>1214</v>
      </c>
      <c r="S484" s="10" t="s">
        <v>61</v>
      </c>
    </row>
    <row r="485" spans="1:19" ht="72.5" x14ac:dyDescent="0.35">
      <c r="A485" s="14">
        <v>46022</v>
      </c>
      <c r="B485" s="10" t="s">
        <v>663</v>
      </c>
      <c r="C485" s="10" t="s">
        <v>664</v>
      </c>
      <c r="D485" s="10" t="s">
        <v>1014</v>
      </c>
      <c r="E485" s="10">
        <v>4355551</v>
      </c>
      <c r="F485" s="15">
        <v>51</v>
      </c>
      <c r="G485" s="10" t="s">
        <v>1528</v>
      </c>
      <c r="H485" s="10">
        <v>4355551</v>
      </c>
      <c r="I485" s="10">
        <v>4994804</v>
      </c>
      <c r="J485" s="10" t="s">
        <v>1292</v>
      </c>
      <c r="K485" s="10" t="s">
        <v>61</v>
      </c>
      <c r="L485" s="10" t="s">
        <v>1315</v>
      </c>
      <c r="M485" s="10" t="s">
        <v>61</v>
      </c>
      <c r="N485" s="10" t="s">
        <v>61</v>
      </c>
      <c r="O485" s="10" t="s">
        <v>1214</v>
      </c>
      <c r="P485" s="10" t="s">
        <v>1214</v>
      </c>
      <c r="Q485" s="10" t="s">
        <v>1214</v>
      </c>
      <c r="R485" s="10" t="s">
        <v>1214</v>
      </c>
      <c r="S485" s="10" t="s">
        <v>61</v>
      </c>
    </row>
    <row r="486" spans="1:19" ht="58" x14ac:dyDescent="0.35">
      <c r="A486" s="14">
        <v>46022</v>
      </c>
      <c r="B486" s="10" t="s">
        <v>839</v>
      </c>
      <c r="C486" s="10" t="s">
        <v>840</v>
      </c>
      <c r="D486" s="10" t="s">
        <v>1098</v>
      </c>
      <c r="E486" s="10">
        <v>4188197</v>
      </c>
      <c r="F486" s="15">
        <v>54</v>
      </c>
      <c r="G486" s="10" t="s">
        <v>1529</v>
      </c>
      <c r="H486" s="10">
        <v>4188197</v>
      </c>
      <c r="I486" s="10">
        <v>4351190</v>
      </c>
      <c r="J486" s="10" t="s">
        <v>1214</v>
      </c>
      <c r="K486" s="10" t="s">
        <v>1214</v>
      </c>
      <c r="L486" s="10" t="s">
        <v>1214</v>
      </c>
      <c r="M486" s="10" t="s">
        <v>1214</v>
      </c>
      <c r="N486" s="10" t="s">
        <v>105</v>
      </c>
      <c r="O486" s="10" t="s">
        <v>1214</v>
      </c>
      <c r="P486" s="10" t="s">
        <v>1214</v>
      </c>
      <c r="Q486" s="10" t="s">
        <v>1214</v>
      </c>
      <c r="R486" s="10" t="s">
        <v>1214</v>
      </c>
      <c r="S486" s="10" t="s">
        <v>105</v>
      </c>
    </row>
    <row r="487" spans="1:19" ht="58" x14ac:dyDescent="0.35">
      <c r="A487" s="14">
        <v>46022</v>
      </c>
      <c r="B487" s="10" t="s">
        <v>839</v>
      </c>
      <c r="C487" s="10" t="s">
        <v>840</v>
      </c>
      <c r="D487" s="10" t="s">
        <v>1053</v>
      </c>
      <c r="E487" s="10">
        <v>4351190</v>
      </c>
      <c r="F487" s="15">
        <v>46</v>
      </c>
      <c r="G487" s="10" t="s">
        <v>1529</v>
      </c>
      <c r="H487" s="10">
        <v>4188197</v>
      </c>
      <c r="I487" s="10">
        <v>4351190</v>
      </c>
      <c r="J487" s="10" t="s">
        <v>1214</v>
      </c>
      <c r="K487" s="10" t="s">
        <v>1214</v>
      </c>
      <c r="L487" s="10" t="s">
        <v>1214</v>
      </c>
      <c r="M487" s="10" t="s">
        <v>1214</v>
      </c>
      <c r="N487" s="10" t="s">
        <v>105</v>
      </c>
      <c r="O487" s="10" t="s">
        <v>1214</v>
      </c>
      <c r="P487" s="10" t="s">
        <v>1214</v>
      </c>
      <c r="Q487" s="10" t="s">
        <v>1214</v>
      </c>
      <c r="R487" s="10" t="s">
        <v>1214</v>
      </c>
      <c r="S487" s="10" t="s">
        <v>105</v>
      </c>
    </row>
    <row r="488" spans="1:19" ht="43.5" x14ac:dyDescent="0.35">
      <c r="A488" s="14">
        <v>46022</v>
      </c>
      <c r="B488" s="10" t="s">
        <v>513</v>
      </c>
      <c r="C488" s="10" t="s">
        <v>514</v>
      </c>
      <c r="D488" s="10" t="s">
        <v>963</v>
      </c>
      <c r="E488" s="10">
        <v>4004107</v>
      </c>
      <c r="F488" s="15">
        <v>100</v>
      </c>
      <c r="G488" s="10" t="s">
        <v>1245</v>
      </c>
      <c r="H488" s="10">
        <v>4004107</v>
      </c>
      <c r="I488" s="10" t="s">
        <v>1194</v>
      </c>
      <c r="J488" s="10" t="s">
        <v>1214</v>
      </c>
      <c r="K488" s="10" t="s">
        <v>1214</v>
      </c>
      <c r="L488" s="10" t="s">
        <v>1214</v>
      </c>
      <c r="M488" s="10" t="s">
        <v>1214</v>
      </c>
      <c r="N488" s="10" t="s">
        <v>79</v>
      </c>
      <c r="O488" s="10" t="s">
        <v>1214</v>
      </c>
      <c r="P488" s="10" t="s">
        <v>1214</v>
      </c>
      <c r="Q488" s="10" t="s">
        <v>1214</v>
      </c>
      <c r="R488" s="10" t="s">
        <v>1214</v>
      </c>
      <c r="S488" s="10" t="s">
        <v>61</v>
      </c>
    </row>
    <row r="489" spans="1:19" ht="58" x14ac:dyDescent="0.35">
      <c r="A489" s="14">
        <v>46022</v>
      </c>
      <c r="B489" s="10" t="s">
        <v>549</v>
      </c>
      <c r="C489" s="10" t="s">
        <v>550</v>
      </c>
      <c r="D489" s="10" t="s">
        <v>968</v>
      </c>
      <c r="E489" s="10">
        <v>4355114</v>
      </c>
      <c r="F489" s="15">
        <v>100</v>
      </c>
      <c r="G489" s="10" t="s">
        <v>1354</v>
      </c>
      <c r="H489" s="10">
        <v>4355114</v>
      </c>
      <c r="I489" s="10" t="s">
        <v>1194</v>
      </c>
      <c r="J489" s="10" t="s">
        <v>1251</v>
      </c>
      <c r="K489" s="10" t="s">
        <v>1252</v>
      </c>
      <c r="L489" s="10" t="s">
        <v>1253</v>
      </c>
      <c r="M489" s="10" t="s">
        <v>1254</v>
      </c>
      <c r="N489" s="10" t="s">
        <v>86</v>
      </c>
      <c r="O489" s="10" t="s">
        <v>1214</v>
      </c>
      <c r="P489" s="10" t="s">
        <v>1214</v>
      </c>
      <c r="Q489" s="10" t="s">
        <v>1214</v>
      </c>
      <c r="R489" s="10" t="s">
        <v>1214</v>
      </c>
      <c r="S489" s="10" t="s">
        <v>61</v>
      </c>
    </row>
    <row r="490" spans="1:19" ht="43.5" x14ac:dyDescent="0.35">
      <c r="A490" s="14">
        <v>46022</v>
      </c>
      <c r="B490" s="10" t="s">
        <v>529</v>
      </c>
      <c r="C490" s="10" t="s">
        <v>530</v>
      </c>
      <c r="D490" s="10" t="s">
        <v>1154</v>
      </c>
      <c r="E490" s="10">
        <v>4348411</v>
      </c>
      <c r="F490" s="15">
        <v>15</v>
      </c>
      <c r="G490" s="10" t="s">
        <v>1530</v>
      </c>
      <c r="H490" s="10">
        <v>4379793</v>
      </c>
      <c r="I490" s="10">
        <v>4348411</v>
      </c>
      <c r="J490" s="10" t="s">
        <v>1214</v>
      </c>
      <c r="K490" s="10" t="s">
        <v>1214</v>
      </c>
      <c r="L490" s="10" t="s">
        <v>1214</v>
      </c>
      <c r="M490" s="10" t="s">
        <v>1214</v>
      </c>
      <c r="N490" s="10" t="s">
        <v>105</v>
      </c>
      <c r="O490" s="10" t="s">
        <v>1214</v>
      </c>
      <c r="P490" s="10" t="s">
        <v>1214</v>
      </c>
      <c r="Q490" s="10" t="s">
        <v>1214</v>
      </c>
      <c r="R490" s="10" t="s">
        <v>1214</v>
      </c>
      <c r="S490" s="10" t="s">
        <v>105</v>
      </c>
    </row>
    <row r="491" spans="1:19" ht="58" x14ac:dyDescent="0.35">
      <c r="A491" s="14">
        <v>46022</v>
      </c>
      <c r="B491" s="10" t="s">
        <v>529</v>
      </c>
      <c r="C491" s="10" t="s">
        <v>530</v>
      </c>
      <c r="D491" s="10" t="s">
        <v>1155</v>
      </c>
      <c r="E491" s="10">
        <v>4379793</v>
      </c>
      <c r="F491" s="15">
        <v>85</v>
      </c>
      <c r="G491" s="10" t="s">
        <v>1530</v>
      </c>
      <c r="H491" s="10">
        <v>4379793</v>
      </c>
      <c r="I491" s="10">
        <v>4348411</v>
      </c>
      <c r="J491" s="10" t="s">
        <v>1214</v>
      </c>
      <c r="K491" s="10" t="s">
        <v>1214</v>
      </c>
      <c r="L491" s="10" t="s">
        <v>1214</v>
      </c>
      <c r="M491" s="10" t="s">
        <v>1214</v>
      </c>
      <c r="N491" s="10" t="s">
        <v>105</v>
      </c>
      <c r="O491" s="10" t="s">
        <v>1214</v>
      </c>
      <c r="P491" s="10" t="s">
        <v>1214</v>
      </c>
      <c r="Q491" s="10" t="s">
        <v>1214</v>
      </c>
      <c r="R491" s="10" t="s">
        <v>1214</v>
      </c>
      <c r="S491" s="10" t="s">
        <v>105</v>
      </c>
    </row>
    <row r="492" spans="1:19" ht="43.5" x14ac:dyDescent="0.35">
      <c r="A492" s="14">
        <v>46022</v>
      </c>
      <c r="B492" s="10" t="s">
        <v>531</v>
      </c>
      <c r="C492" s="10" t="s">
        <v>532</v>
      </c>
      <c r="D492" s="10" t="s">
        <v>943</v>
      </c>
      <c r="E492" s="10">
        <v>4348055</v>
      </c>
      <c r="F492" s="15">
        <v>100</v>
      </c>
      <c r="G492" s="10" t="s">
        <v>1223</v>
      </c>
      <c r="H492" s="10">
        <v>4348055</v>
      </c>
      <c r="I492" s="10" t="s">
        <v>1194</v>
      </c>
      <c r="J492" s="10" t="s">
        <v>1214</v>
      </c>
      <c r="K492" s="10" t="s">
        <v>1214</v>
      </c>
      <c r="L492" s="10" t="s">
        <v>1214</v>
      </c>
      <c r="M492" s="10" t="s">
        <v>1214</v>
      </c>
      <c r="N492" s="10" t="s">
        <v>105</v>
      </c>
      <c r="O492" s="10" t="s">
        <v>1214</v>
      </c>
      <c r="P492" s="10" t="s">
        <v>1214</v>
      </c>
      <c r="Q492" s="10" t="s">
        <v>1214</v>
      </c>
      <c r="R492" s="10" t="s">
        <v>1214</v>
      </c>
      <c r="S492" s="10" t="s">
        <v>61</v>
      </c>
    </row>
    <row r="493" spans="1:19" ht="43.5" x14ac:dyDescent="0.35">
      <c r="A493" s="14">
        <v>46022</v>
      </c>
      <c r="B493" s="10" t="s">
        <v>1156</v>
      </c>
      <c r="C493" s="10" t="s">
        <v>1157</v>
      </c>
      <c r="D493" s="10" t="s">
        <v>1003</v>
      </c>
      <c r="E493" s="10">
        <v>4349826</v>
      </c>
      <c r="F493" s="15">
        <v>100</v>
      </c>
      <c r="G493" s="10" t="s">
        <v>1299</v>
      </c>
      <c r="H493" s="10">
        <v>4349826</v>
      </c>
      <c r="I493" s="10" t="s">
        <v>1194</v>
      </c>
      <c r="J493" s="10" t="s">
        <v>1214</v>
      </c>
      <c r="K493" s="10" t="s">
        <v>1214</v>
      </c>
      <c r="L493" s="10" t="s">
        <v>1214</v>
      </c>
      <c r="M493" s="10" t="s">
        <v>1214</v>
      </c>
      <c r="N493" s="10" t="s">
        <v>222</v>
      </c>
      <c r="O493" s="10" t="s">
        <v>1214</v>
      </c>
      <c r="P493" s="10" t="s">
        <v>1214</v>
      </c>
      <c r="Q493" s="10" t="s">
        <v>1214</v>
      </c>
      <c r="R493" s="10" t="s">
        <v>1214</v>
      </c>
      <c r="S493" s="10" t="s">
        <v>61</v>
      </c>
    </row>
    <row r="494" spans="1:19" ht="43.5" x14ac:dyDescent="0.35">
      <c r="A494" s="14">
        <v>46022</v>
      </c>
      <c r="B494" s="10" t="s">
        <v>841</v>
      </c>
      <c r="C494" s="10" t="s">
        <v>842</v>
      </c>
      <c r="D494" s="10" t="s">
        <v>1158</v>
      </c>
      <c r="E494" s="10">
        <v>4353406</v>
      </c>
      <c r="F494" s="15">
        <v>100</v>
      </c>
      <c r="G494" s="10" t="s">
        <v>1531</v>
      </c>
      <c r="H494" s="10">
        <v>4353406</v>
      </c>
      <c r="I494" s="10" t="s">
        <v>1194</v>
      </c>
      <c r="J494" s="10" t="s">
        <v>1214</v>
      </c>
      <c r="K494" s="10" t="s">
        <v>1214</v>
      </c>
      <c r="L494" s="10" t="s">
        <v>1214</v>
      </c>
      <c r="M494" s="10" t="s">
        <v>1214</v>
      </c>
      <c r="N494" s="10" t="s">
        <v>69</v>
      </c>
      <c r="O494" s="10" t="s">
        <v>1214</v>
      </c>
      <c r="P494" s="10" t="s">
        <v>1214</v>
      </c>
      <c r="Q494" s="10" t="s">
        <v>1214</v>
      </c>
      <c r="R494" s="10" t="s">
        <v>1214</v>
      </c>
      <c r="S494" s="10" t="s">
        <v>61</v>
      </c>
    </row>
    <row r="495" spans="1:19" ht="43.5" x14ac:dyDescent="0.35">
      <c r="A495" s="14">
        <v>46022</v>
      </c>
      <c r="B495" s="10" t="s">
        <v>843</v>
      </c>
      <c r="C495" s="10" t="s">
        <v>844</v>
      </c>
      <c r="D495" s="10" t="s">
        <v>990</v>
      </c>
      <c r="E495" s="10">
        <v>4351226</v>
      </c>
      <c r="F495" s="15">
        <v>100</v>
      </c>
      <c r="G495" s="10" t="s">
        <v>1275</v>
      </c>
      <c r="H495" s="10">
        <v>4351226</v>
      </c>
      <c r="I495" s="10" t="s">
        <v>1194</v>
      </c>
      <c r="J495" s="10" t="s">
        <v>1214</v>
      </c>
      <c r="K495" s="10" t="s">
        <v>1214</v>
      </c>
      <c r="L495" s="10" t="s">
        <v>1214</v>
      </c>
      <c r="M495" s="10" t="s">
        <v>1214</v>
      </c>
      <c r="N495" s="10" t="s">
        <v>111</v>
      </c>
      <c r="O495" s="10" t="s">
        <v>1214</v>
      </c>
      <c r="P495" s="10" t="s">
        <v>1214</v>
      </c>
      <c r="Q495" s="10" t="s">
        <v>1214</v>
      </c>
      <c r="R495" s="10" t="s">
        <v>1214</v>
      </c>
      <c r="S495" s="10" t="s">
        <v>61</v>
      </c>
    </row>
    <row r="496" spans="1:19" x14ac:dyDescent="0.35">
      <c r="A496" s="14">
        <v>46022</v>
      </c>
      <c r="B496" s="10" t="s">
        <v>551</v>
      </c>
      <c r="C496" s="10" t="s">
        <v>552</v>
      </c>
      <c r="D496" s="10" t="s">
        <v>1090</v>
      </c>
      <c r="E496" s="10">
        <v>4223919</v>
      </c>
      <c r="F496" s="15">
        <v>100</v>
      </c>
      <c r="G496" s="10" t="s">
        <v>1427</v>
      </c>
      <c r="H496" s="10">
        <v>4223919</v>
      </c>
      <c r="I496" s="10" t="s">
        <v>1194</v>
      </c>
      <c r="J496" s="10" t="s">
        <v>1214</v>
      </c>
      <c r="K496" s="10" t="s">
        <v>1214</v>
      </c>
      <c r="L496" s="10" t="s">
        <v>1214</v>
      </c>
      <c r="M496" s="10" t="s">
        <v>1214</v>
      </c>
      <c r="N496" s="10" t="s">
        <v>55</v>
      </c>
      <c r="O496" s="10" t="s">
        <v>1214</v>
      </c>
      <c r="P496" s="10" t="s">
        <v>1214</v>
      </c>
      <c r="Q496" s="10" t="s">
        <v>1214</v>
      </c>
      <c r="R496" s="10" t="s">
        <v>1214</v>
      </c>
      <c r="S496" s="10" t="s">
        <v>61</v>
      </c>
    </row>
    <row r="497" spans="1:19" ht="116" x14ac:dyDescent="0.35">
      <c r="A497" s="14">
        <v>46022</v>
      </c>
      <c r="B497" s="10" t="s">
        <v>665</v>
      </c>
      <c r="C497" s="10" t="s">
        <v>666</v>
      </c>
      <c r="D497" s="10" t="s">
        <v>1159</v>
      </c>
      <c r="E497" s="10">
        <v>4361081</v>
      </c>
      <c r="F497" s="15">
        <v>100</v>
      </c>
      <c r="G497" s="10" t="s">
        <v>1532</v>
      </c>
      <c r="H497" s="10">
        <v>4361081</v>
      </c>
      <c r="I497" s="10">
        <v>4348524</v>
      </c>
      <c r="J497" s="10" t="s">
        <v>1214</v>
      </c>
      <c r="K497" s="10" t="s">
        <v>1214</v>
      </c>
      <c r="L497" s="10" t="s">
        <v>1214</v>
      </c>
      <c r="M497" s="10" t="s">
        <v>1214</v>
      </c>
      <c r="N497" s="10" t="s">
        <v>61</v>
      </c>
      <c r="O497" s="10" t="s">
        <v>1533</v>
      </c>
      <c r="P497" s="10" t="s">
        <v>1533</v>
      </c>
      <c r="Q497" s="10" t="s">
        <v>1533</v>
      </c>
      <c r="R497" s="10" t="s">
        <v>1533</v>
      </c>
      <c r="S497" s="10" t="s">
        <v>1533</v>
      </c>
    </row>
    <row r="498" spans="1:19" ht="72.5" x14ac:dyDescent="0.35">
      <c r="A498" s="14">
        <v>46022</v>
      </c>
      <c r="B498" s="10" t="s">
        <v>845</v>
      </c>
      <c r="C498" s="10" t="s">
        <v>846</v>
      </c>
      <c r="D498" s="10" t="s">
        <v>1160</v>
      </c>
      <c r="E498" s="10">
        <v>4513816</v>
      </c>
      <c r="F498" s="15">
        <v>100</v>
      </c>
      <c r="G498" s="10" t="s">
        <v>1534</v>
      </c>
      <c r="H498" s="10">
        <v>4513816</v>
      </c>
      <c r="I498" s="10" t="s">
        <v>1194</v>
      </c>
      <c r="J498" s="10" t="s">
        <v>1535</v>
      </c>
      <c r="K498" s="10" t="s">
        <v>61</v>
      </c>
      <c r="L498" s="10" t="s">
        <v>1536</v>
      </c>
      <c r="M498" s="10" t="s">
        <v>61</v>
      </c>
      <c r="N498" s="10" t="s">
        <v>61</v>
      </c>
      <c r="O498" s="10" t="s">
        <v>1214</v>
      </c>
      <c r="P498" s="10" t="s">
        <v>1214</v>
      </c>
      <c r="Q498" s="10" t="s">
        <v>1214</v>
      </c>
      <c r="R498" s="10" t="s">
        <v>1214</v>
      </c>
      <c r="S498" s="10" t="s">
        <v>61</v>
      </c>
    </row>
    <row r="499" spans="1:19" ht="43.5" x14ac:dyDescent="0.35">
      <c r="A499" s="14">
        <v>46022</v>
      </c>
      <c r="B499" s="10" t="s">
        <v>553</v>
      </c>
      <c r="C499" s="10" t="s">
        <v>554</v>
      </c>
      <c r="D499" s="10" t="s">
        <v>1077</v>
      </c>
      <c r="E499" s="10">
        <v>4379789</v>
      </c>
      <c r="F499" s="15">
        <v>100</v>
      </c>
      <c r="G499" s="10" t="s">
        <v>1407</v>
      </c>
      <c r="H499" s="10">
        <v>4379789</v>
      </c>
      <c r="I499" s="10" t="s">
        <v>1194</v>
      </c>
      <c r="J499" s="10" t="s">
        <v>1214</v>
      </c>
      <c r="K499" s="10" t="s">
        <v>1214</v>
      </c>
      <c r="L499" s="10" t="s">
        <v>1214</v>
      </c>
      <c r="M499" s="10" t="s">
        <v>1214</v>
      </c>
      <c r="N499" s="10" t="s">
        <v>105</v>
      </c>
      <c r="O499" s="10" t="s">
        <v>1214</v>
      </c>
      <c r="P499" s="10" t="s">
        <v>1214</v>
      </c>
      <c r="Q499" s="10" t="s">
        <v>1214</v>
      </c>
      <c r="R499" s="10" t="s">
        <v>1214</v>
      </c>
      <c r="S499" s="10" t="s">
        <v>61</v>
      </c>
    </row>
    <row r="500" spans="1:19" ht="43.5" x14ac:dyDescent="0.35">
      <c r="A500" s="14">
        <v>46022</v>
      </c>
      <c r="B500" s="10" t="s">
        <v>534</v>
      </c>
      <c r="C500" s="10" t="s">
        <v>535</v>
      </c>
      <c r="D500" s="10" t="s">
        <v>1161</v>
      </c>
      <c r="E500" s="10">
        <v>4498058</v>
      </c>
      <c r="F500" s="15">
        <v>0.01</v>
      </c>
      <c r="G500" s="10" t="s">
        <v>1537</v>
      </c>
      <c r="H500" s="10">
        <v>4602189</v>
      </c>
      <c r="I500" s="10">
        <v>4498058</v>
      </c>
      <c r="J500" s="10" t="s">
        <v>1214</v>
      </c>
      <c r="K500" s="10" t="s">
        <v>1214</v>
      </c>
      <c r="L500" s="10" t="s">
        <v>1214</v>
      </c>
      <c r="M500" s="10" t="s">
        <v>1214</v>
      </c>
      <c r="N500" s="10" t="s">
        <v>536</v>
      </c>
      <c r="O500" s="10" t="s">
        <v>1538</v>
      </c>
      <c r="P500" s="10" t="s">
        <v>1539</v>
      </c>
      <c r="Q500" s="10" t="s">
        <v>1538</v>
      </c>
      <c r="R500" s="10" t="s">
        <v>1539</v>
      </c>
      <c r="S500" s="10" t="s">
        <v>1539</v>
      </c>
    </row>
    <row r="501" spans="1:19" ht="58" x14ac:dyDescent="0.35">
      <c r="A501" s="14">
        <v>46022</v>
      </c>
      <c r="B501" s="10" t="s">
        <v>534</v>
      </c>
      <c r="C501" s="10" t="s">
        <v>535</v>
      </c>
      <c r="D501" s="10" t="s">
        <v>1162</v>
      </c>
      <c r="E501" s="10">
        <v>4602189</v>
      </c>
      <c r="F501" s="15">
        <v>99.99</v>
      </c>
      <c r="G501" s="10" t="s">
        <v>1537</v>
      </c>
      <c r="H501" s="10">
        <v>4602189</v>
      </c>
      <c r="I501" s="10">
        <v>4498058</v>
      </c>
      <c r="J501" s="10" t="s">
        <v>1214</v>
      </c>
      <c r="K501" s="10" t="s">
        <v>1214</v>
      </c>
      <c r="L501" s="10" t="s">
        <v>1214</v>
      </c>
      <c r="M501" s="10" t="s">
        <v>1214</v>
      </c>
      <c r="N501" s="10" t="s">
        <v>536</v>
      </c>
      <c r="O501" s="10" t="s">
        <v>1538</v>
      </c>
      <c r="P501" s="10" t="s">
        <v>1539</v>
      </c>
      <c r="Q501" s="10" t="s">
        <v>1538</v>
      </c>
      <c r="R501" s="10" t="s">
        <v>1539</v>
      </c>
      <c r="S501" s="10" t="s">
        <v>1539</v>
      </c>
    </row>
    <row r="502" spans="1:19" ht="43.5" x14ac:dyDescent="0.35">
      <c r="A502" s="14">
        <v>46022</v>
      </c>
      <c r="B502" s="10" t="s">
        <v>537</v>
      </c>
      <c r="C502" s="10" t="s">
        <v>538</v>
      </c>
      <c r="D502" s="10" t="s">
        <v>1163</v>
      </c>
      <c r="E502" s="10">
        <v>4355196</v>
      </c>
      <c r="F502" s="15">
        <v>100</v>
      </c>
      <c r="G502" s="10" t="s">
        <v>1540</v>
      </c>
      <c r="H502" s="10">
        <v>4355196</v>
      </c>
      <c r="I502" s="10">
        <v>6356830</v>
      </c>
      <c r="J502" s="10" t="s">
        <v>1214</v>
      </c>
      <c r="K502" s="10" t="s">
        <v>1214</v>
      </c>
      <c r="L502" s="10" t="s">
        <v>1214</v>
      </c>
      <c r="M502" s="10" t="s">
        <v>1214</v>
      </c>
      <c r="N502" s="10" t="s">
        <v>89</v>
      </c>
      <c r="O502" s="10" t="s">
        <v>1214</v>
      </c>
      <c r="P502" s="10" t="s">
        <v>1214</v>
      </c>
      <c r="Q502" s="10" t="s">
        <v>1214</v>
      </c>
      <c r="R502" s="10" t="s">
        <v>1214</v>
      </c>
      <c r="S502" s="10" t="s">
        <v>89</v>
      </c>
    </row>
    <row r="503" spans="1:19" ht="159.5" x14ac:dyDescent="0.35">
      <c r="A503" s="14">
        <v>46022</v>
      </c>
      <c r="B503" s="10" t="s">
        <v>555</v>
      </c>
      <c r="C503" s="10" t="s">
        <v>556</v>
      </c>
      <c r="D503" s="10" t="s">
        <v>1164</v>
      </c>
      <c r="E503" s="10">
        <v>4349151</v>
      </c>
      <c r="F503" s="15">
        <v>10</v>
      </c>
      <c r="G503" s="10" t="s">
        <v>1541</v>
      </c>
      <c r="H503" s="10">
        <v>4355632</v>
      </c>
      <c r="I503" s="10">
        <v>4349151</v>
      </c>
      <c r="J503" s="10" t="s">
        <v>1292</v>
      </c>
      <c r="K503" s="10" t="s">
        <v>61</v>
      </c>
      <c r="L503" s="10" t="s">
        <v>1378</v>
      </c>
      <c r="M503" s="10" t="s">
        <v>61</v>
      </c>
      <c r="N503" s="10" t="s">
        <v>61</v>
      </c>
      <c r="O503" s="10" t="s">
        <v>1292</v>
      </c>
      <c r="P503" s="10" t="s">
        <v>61</v>
      </c>
      <c r="Q503" s="10" t="s">
        <v>1292</v>
      </c>
      <c r="R503" s="10" t="s">
        <v>61</v>
      </c>
      <c r="S503" s="10" t="s">
        <v>61</v>
      </c>
    </row>
    <row r="504" spans="1:19" ht="159.5" x14ac:dyDescent="0.35">
      <c r="A504" s="14">
        <v>46022</v>
      </c>
      <c r="B504" s="10" t="s">
        <v>555</v>
      </c>
      <c r="C504" s="10" t="s">
        <v>556</v>
      </c>
      <c r="D504" s="10" t="s">
        <v>1056</v>
      </c>
      <c r="E504" s="10">
        <v>4355632</v>
      </c>
      <c r="F504" s="15">
        <v>90</v>
      </c>
      <c r="G504" s="10" t="s">
        <v>1541</v>
      </c>
      <c r="H504" s="10">
        <v>4355632</v>
      </c>
      <c r="I504" s="10">
        <v>4349151</v>
      </c>
      <c r="J504" s="10" t="s">
        <v>1292</v>
      </c>
      <c r="K504" s="10" t="s">
        <v>61</v>
      </c>
      <c r="L504" s="10" t="s">
        <v>1378</v>
      </c>
      <c r="M504" s="10" t="s">
        <v>61</v>
      </c>
      <c r="N504" s="10" t="s">
        <v>61</v>
      </c>
      <c r="O504" s="10" t="s">
        <v>1292</v>
      </c>
      <c r="P504" s="10" t="s">
        <v>61</v>
      </c>
      <c r="Q504" s="10" t="s">
        <v>1292</v>
      </c>
      <c r="R504" s="10" t="s">
        <v>61</v>
      </c>
      <c r="S504" s="10" t="s">
        <v>61</v>
      </c>
    </row>
    <row r="505" spans="1:19" ht="72.5" x14ac:dyDescent="0.35">
      <c r="A505" s="14">
        <v>46022</v>
      </c>
      <c r="B505" s="10" t="s">
        <v>847</v>
      </c>
      <c r="C505" s="10" t="s">
        <v>848</v>
      </c>
      <c r="D505" s="10" t="s">
        <v>1004</v>
      </c>
      <c r="E505" s="10">
        <v>4351423</v>
      </c>
      <c r="F505" s="15">
        <v>100</v>
      </c>
      <c r="G505" s="10" t="s">
        <v>1300</v>
      </c>
      <c r="H505" s="10">
        <v>4351423</v>
      </c>
      <c r="I505" s="10" t="s">
        <v>1194</v>
      </c>
      <c r="J505" s="10" t="s">
        <v>1301</v>
      </c>
      <c r="K505" s="10" t="s">
        <v>61</v>
      </c>
      <c r="L505" s="10" t="s">
        <v>1302</v>
      </c>
      <c r="M505" s="10" t="s">
        <v>61</v>
      </c>
      <c r="N505" s="10" t="s">
        <v>61</v>
      </c>
      <c r="O505" s="10" t="s">
        <v>1214</v>
      </c>
      <c r="P505" s="10" t="s">
        <v>1214</v>
      </c>
      <c r="Q505" s="10" t="s">
        <v>1214</v>
      </c>
      <c r="R505" s="10" t="s">
        <v>1214</v>
      </c>
      <c r="S505" s="10" t="s">
        <v>61</v>
      </c>
    </row>
    <row r="506" spans="1:19" ht="116" x14ac:dyDescent="0.35">
      <c r="A506" s="14">
        <v>46022</v>
      </c>
      <c r="B506" s="10" t="s">
        <v>557</v>
      </c>
      <c r="C506" s="10" t="s">
        <v>558</v>
      </c>
      <c r="D506" s="10" t="s">
        <v>1165</v>
      </c>
      <c r="E506" s="10">
        <v>10931162</v>
      </c>
      <c r="F506" s="15">
        <v>100</v>
      </c>
      <c r="G506" s="10" t="s">
        <v>1542</v>
      </c>
      <c r="H506" s="10">
        <v>10931162</v>
      </c>
      <c r="I506" s="10" t="s">
        <v>1194</v>
      </c>
      <c r="J506" s="10" t="s">
        <v>1214</v>
      </c>
      <c r="K506" s="10" t="s">
        <v>1214</v>
      </c>
      <c r="L506" s="10" t="s">
        <v>1214</v>
      </c>
      <c r="M506" s="10" t="s">
        <v>1214</v>
      </c>
      <c r="N506" s="10" t="s">
        <v>61</v>
      </c>
      <c r="O506" s="10" t="s">
        <v>1214</v>
      </c>
      <c r="P506" s="10" t="s">
        <v>1214</v>
      </c>
      <c r="Q506" s="10" t="s">
        <v>1214</v>
      </c>
      <c r="R506" s="10" t="s">
        <v>1214</v>
      </c>
      <c r="S506" s="10" t="s">
        <v>61</v>
      </c>
    </row>
    <row r="507" spans="1:19" ht="29" x14ac:dyDescent="0.35">
      <c r="A507" s="14">
        <v>46022</v>
      </c>
      <c r="B507" s="10" t="s">
        <v>563</v>
      </c>
      <c r="C507" s="10" t="s">
        <v>564</v>
      </c>
      <c r="D507" s="10" t="s">
        <v>962</v>
      </c>
      <c r="E507" s="10">
        <v>4353456</v>
      </c>
      <c r="F507" s="15">
        <v>100</v>
      </c>
      <c r="G507" s="10" t="s">
        <v>1296</v>
      </c>
      <c r="H507" s="10">
        <v>4353456</v>
      </c>
      <c r="I507" s="10" t="s">
        <v>1194</v>
      </c>
      <c r="J507" s="10" t="s">
        <v>1214</v>
      </c>
      <c r="K507" s="10" t="s">
        <v>1214</v>
      </c>
      <c r="L507" s="10" t="s">
        <v>1214</v>
      </c>
      <c r="M507" s="10" t="s">
        <v>1214</v>
      </c>
      <c r="N507" s="10" t="s">
        <v>61</v>
      </c>
      <c r="O507" s="10" t="s">
        <v>1214</v>
      </c>
      <c r="P507" s="10" t="s">
        <v>1214</v>
      </c>
      <c r="Q507" s="10" t="s">
        <v>1214</v>
      </c>
      <c r="R507" s="10" t="s">
        <v>1214</v>
      </c>
      <c r="S507" s="10" t="s">
        <v>61</v>
      </c>
    </row>
    <row r="508" spans="1:19" ht="58" x14ac:dyDescent="0.35">
      <c r="A508" s="14">
        <v>46022</v>
      </c>
      <c r="B508" s="10" t="s">
        <v>849</v>
      </c>
      <c r="C508" s="10" t="s">
        <v>850</v>
      </c>
      <c r="D508" s="10" t="s">
        <v>1166</v>
      </c>
      <c r="E508" s="10">
        <v>9267495</v>
      </c>
      <c r="F508" s="15">
        <v>100</v>
      </c>
      <c r="G508" s="10" t="s">
        <v>1543</v>
      </c>
      <c r="H508" s="10">
        <v>9267495</v>
      </c>
      <c r="I508" s="10" t="s">
        <v>1194</v>
      </c>
      <c r="J508" s="10" t="s">
        <v>1214</v>
      </c>
      <c r="K508" s="10" t="s">
        <v>1214</v>
      </c>
      <c r="L508" s="10" t="s">
        <v>1214</v>
      </c>
      <c r="M508" s="10" t="s">
        <v>1214</v>
      </c>
      <c r="N508" s="10" t="s">
        <v>61</v>
      </c>
      <c r="O508" s="10" t="s">
        <v>1214</v>
      </c>
      <c r="P508" s="10" t="s">
        <v>1214</v>
      </c>
      <c r="Q508" s="10" t="s">
        <v>1214</v>
      </c>
      <c r="R508" s="10" t="s">
        <v>1214</v>
      </c>
      <c r="S508" s="10" t="s">
        <v>61</v>
      </c>
    </row>
    <row r="509" spans="1:19" ht="87" x14ac:dyDescent="0.35">
      <c r="A509" s="14">
        <v>46022</v>
      </c>
      <c r="B509" s="10" t="s">
        <v>667</v>
      </c>
      <c r="C509" s="10" t="s">
        <v>668</v>
      </c>
      <c r="D509" s="10" t="s">
        <v>1036</v>
      </c>
      <c r="E509" s="10">
        <v>4349131</v>
      </c>
      <c r="F509" s="15">
        <v>55</v>
      </c>
      <c r="G509" s="10" t="s">
        <v>1544</v>
      </c>
      <c r="H509" s="10">
        <v>4349131</v>
      </c>
      <c r="I509" s="10">
        <v>4400798</v>
      </c>
      <c r="J509" s="10" t="s">
        <v>1292</v>
      </c>
      <c r="K509" s="10" t="s">
        <v>61</v>
      </c>
      <c r="L509" s="10" t="s">
        <v>1350</v>
      </c>
      <c r="M509" s="10" t="s">
        <v>61</v>
      </c>
      <c r="N509" s="10" t="s">
        <v>1252</v>
      </c>
      <c r="O509" s="10" t="s">
        <v>1214</v>
      </c>
      <c r="P509" s="10" t="s">
        <v>1214</v>
      </c>
      <c r="Q509" s="10" t="s">
        <v>1214</v>
      </c>
      <c r="R509" s="10" t="s">
        <v>1214</v>
      </c>
      <c r="S509" s="10" t="s">
        <v>79</v>
      </c>
    </row>
    <row r="510" spans="1:19" ht="72.5" x14ac:dyDescent="0.35">
      <c r="A510" s="14">
        <v>46022</v>
      </c>
      <c r="B510" s="10" t="s">
        <v>851</v>
      </c>
      <c r="C510" s="10" t="s">
        <v>852</v>
      </c>
      <c r="D510" s="10" t="s">
        <v>1167</v>
      </c>
      <c r="E510" s="10">
        <v>7132181</v>
      </c>
      <c r="F510" s="15">
        <v>100</v>
      </c>
      <c r="G510" s="10" t="s">
        <v>1545</v>
      </c>
      <c r="H510" s="10">
        <v>7132181</v>
      </c>
      <c r="I510" s="10" t="s">
        <v>1194</v>
      </c>
      <c r="J510" s="10" t="s">
        <v>1214</v>
      </c>
      <c r="K510" s="10" t="s">
        <v>1214</v>
      </c>
      <c r="L510" s="10" t="s">
        <v>1214</v>
      </c>
      <c r="M510" s="10" t="s">
        <v>1214</v>
      </c>
      <c r="N510" s="10" t="s">
        <v>61</v>
      </c>
      <c r="O510" s="10" t="s">
        <v>1214</v>
      </c>
      <c r="P510" s="10" t="s">
        <v>1214</v>
      </c>
      <c r="Q510" s="10" t="s">
        <v>1214</v>
      </c>
      <c r="R510" s="10" t="s">
        <v>1214</v>
      </c>
      <c r="S510" s="10" t="s">
        <v>61</v>
      </c>
    </row>
    <row r="511" spans="1:19" ht="58" x14ac:dyDescent="0.35">
      <c r="A511" s="14">
        <v>46022</v>
      </c>
      <c r="B511" s="10" t="s">
        <v>565</v>
      </c>
      <c r="C511" s="10" t="s">
        <v>566</v>
      </c>
      <c r="D511" s="10" t="s">
        <v>1168</v>
      </c>
      <c r="E511" s="10">
        <v>4355279</v>
      </c>
      <c r="F511" s="15">
        <v>100</v>
      </c>
      <c r="G511" s="10" t="s">
        <v>1546</v>
      </c>
      <c r="H511" s="10">
        <v>4355279</v>
      </c>
      <c r="I511" s="10">
        <v>4348797</v>
      </c>
      <c r="J511" s="10" t="s">
        <v>1214</v>
      </c>
      <c r="K511" s="10" t="s">
        <v>1214</v>
      </c>
      <c r="L511" s="10" t="s">
        <v>1214</v>
      </c>
      <c r="M511" s="10" t="s">
        <v>1214</v>
      </c>
      <c r="N511" s="10" t="s">
        <v>61</v>
      </c>
      <c r="O511" s="10" t="s">
        <v>1214</v>
      </c>
      <c r="P511" s="10" t="s">
        <v>1214</v>
      </c>
      <c r="Q511" s="10" t="s">
        <v>1214</v>
      </c>
      <c r="R511" s="10" t="s">
        <v>1214</v>
      </c>
      <c r="S511" s="10" t="s">
        <v>61</v>
      </c>
    </row>
    <row r="512" spans="1:19" ht="159.5" x14ac:dyDescent="0.35">
      <c r="A512" s="14">
        <v>46022</v>
      </c>
      <c r="B512" s="10" t="s">
        <v>539</v>
      </c>
      <c r="C512" s="10" t="s">
        <v>540</v>
      </c>
      <c r="D512" s="10" t="s">
        <v>1122</v>
      </c>
      <c r="E512" s="10">
        <v>4349747</v>
      </c>
      <c r="F512" s="15">
        <v>8.33</v>
      </c>
      <c r="G512" s="10" t="s">
        <v>1547</v>
      </c>
      <c r="H512" s="10">
        <v>4355551</v>
      </c>
      <c r="I512" s="10">
        <v>4589586</v>
      </c>
      <c r="J512" s="10" t="s">
        <v>1292</v>
      </c>
      <c r="K512" s="10" t="s">
        <v>61</v>
      </c>
      <c r="L512" s="10" t="s">
        <v>1315</v>
      </c>
      <c r="M512" s="10" t="s">
        <v>61</v>
      </c>
      <c r="N512" s="10" t="s">
        <v>61</v>
      </c>
      <c r="O512" s="10" t="s">
        <v>1292</v>
      </c>
      <c r="P512" s="10" t="s">
        <v>61</v>
      </c>
      <c r="Q512" s="10" t="s">
        <v>1318</v>
      </c>
      <c r="R512" s="10" t="s">
        <v>61</v>
      </c>
      <c r="S512" s="10" t="s">
        <v>61</v>
      </c>
    </row>
    <row r="513" spans="1:19" ht="159.5" x14ac:dyDescent="0.35">
      <c r="A513" s="14">
        <v>46022</v>
      </c>
      <c r="B513" s="10" t="s">
        <v>539</v>
      </c>
      <c r="C513" s="10" t="s">
        <v>540</v>
      </c>
      <c r="D513" s="10" t="s">
        <v>1014</v>
      </c>
      <c r="E513" s="10">
        <v>4355551</v>
      </c>
      <c r="F513" s="15">
        <v>75</v>
      </c>
      <c r="G513" s="10" t="s">
        <v>1547</v>
      </c>
      <c r="H513" s="10">
        <v>4355551</v>
      </c>
      <c r="I513" s="10">
        <v>4589586</v>
      </c>
      <c r="J513" s="10" t="s">
        <v>1292</v>
      </c>
      <c r="K513" s="10" t="s">
        <v>61</v>
      </c>
      <c r="L513" s="10" t="s">
        <v>1315</v>
      </c>
      <c r="M513" s="10" t="s">
        <v>61</v>
      </c>
      <c r="N513" s="10" t="s">
        <v>61</v>
      </c>
      <c r="O513" s="10" t="s">
        <v>1292</v>
      </c>
      <c r="P513" s="10" t="s">
        <v>61</v>
      </c>
      <c r="Q513" s="10" t="s">
        <v>1318</v>
      </c>
      <c r="R513" s="10" t="s">
        <v>61</v>
      </c>
      <c r="S513" s="10" t="s">
        <v>61</v>
      </c>
    </row>
    <row r="514" spans="1:19" ht="159.5" x14ac:dyDescent="0.35">
      <c r="A514" s="14">
        <v>46022</v>
      </c>
      <c r="B514" s="10" t="s">
        <v>539</v>
      </c>
      <c r="C514" s="10" t="s">
        <v>540</v>
      </c>
      <c r="D514" s="10" t="s">
        <v>1169</v>
      </c>
      <c r="E514" s="10">
        <v>4589586</v>
      </c>
      <c r="F514" s="15">
        <v>16.670000000000002</v>
      </c>
      <c r="G514" s="10" t="s">
        <v>1547</v>
      </c>
      <c r="H514" s="10">
        <v>4355551</v>
      </c>
      <c r="I514" s="10">
        <v>4589586</v>
      </c>
      <c r="J514" s="10" t="s">
        <v>1292</v>
      </c>
      <c r="K514" s="10" t="s">
        <v>61</v>
      </c>
      <c r="L514" s="10" t="s">
        <v>1315</v>
      </c>
      <c r="M514" s="10" t="s">
        <v>61</v>
      </c>
      <c r="N514" s="10" t="s">
        <v>61</v>
      </c>
      <c r="O514" s="10" t="s">
        <v>1292</v>
      </c>
      <c r="P514" s="10" t="s">
        <v>61</v>
      </c>
      <c r="Q514" s="10" t="s">
        <v>1318</v>
      </c>
      <c r="R514" s="10" t="s">
        <v>61</v>
      </c>
      <c r="S514" s="10" t="s">
        <v>61</v>
      </c>
    </row>
    <row r="515" spans="1:19" ht="72.5" x14ac:dyDescent="0.35">
      <c r="A515" s="14">
        <v>46022</v>
      </c>
      <c r="B515" s="10" t="s">
        <v>669</v>
      </c>
      <c r="C515" s="10" t="s">
        <v>670</v>
      </c>
      <c r="D515" s="10" t="s">
        <v>1170</v>
      </c>
      <c r="E515" s="10">
        <v>10929939</v>
      </c>
      <c r="F515" s="15">
        <v>100</v>
      </c>
      <c r="G515" s="10" t="s">
        <v>1548</v>
      </c>
      <c r="H515" s="10">
        <v>10929939</v>
      </c>
      <c r="I515" s="10" t="s">
        <v>1194</v>
      </c>
      <c r="J515" s="10" t="s">
        <v>1214</v>
      </c>
      <c r="K515" s="10" t="s">
        <v>1214</v>
      </c>
      <c r="L515" s="10" t="s">
        <v>1214</v>
      </c>
      <c r="M515" s="10" t="s">
        <v>1214</v>
      </c>
      <c r="N515" s="10" t="s">
        <v>61</v>
      </c>
      <c r="O515" s="10" t="s">
        <v>1214</v>
      </c>
      <c r="P515" s="10" t="s">
        <v>1214</v>
      </c>
      <c r="Q515" s="10" t="s">
        <v>1214</v>
      </c>
      <c r="R515" s="10" t="s">
        <v>1214</v>
      </c>
      <c r="S515" s="10" t="s">
        <v>61</v>
      </c>
    </row>
    <row r="516" spans="1:19" ht="58" x14ac:dyDescent="0.35">
      <c r="A516" s="14">
        <v>46022</v>
      </c>
      <c r="B516" s="10" t="s">
        <v>671</v>
      </c>
      <c r="C516" s="10" t="s">
        <v>672</v>
      </c>
      <c r="D516" s="10" t="s">
        <v>1005</v>
      </c>
      <c r="E516" s="10">
        <v>4355250</v>
      </c>
      <c r="F516" s="15">
        <v>100</v>
      </c>
      <c r="G516" s="10" t="s">
        <v>1549</v>
      </c>
      <c r="H516" s="10">
        <v>4355250</v>
      </c>
      <c r="I516" s="10">
        <v>4349966</v>
      </c>
      <c r="J516" s="10" t="s">
        <v>1304</v>
      </c>
      <c r="K516" s="10" t="s">
        <v>283</v>
      </c>
      <c r="L516" s="10" t="s">
        <v>1305</v>
      </c>
      <c r="M516" s="10" t="s">
        <v>1228</v>
      </c>
      <c r="N516" s="10" t="s">
        <v>50</v>
      </c>
      <c r="O516" s="10" t="s">
        <v>1214</v>
      </c>
      <c r="P516" s="10" t="s">
        <v>1214</v>
      </c>
      <c r="Q516" s="10" t="s">
        <v>1214</v>
      </c>
      <c r="R516" s="10" t="s">
        <v>1214</v>
      </c>
      <c r="S516" s="10" t="s">
        <v>50</v>
      </c>
    </row>
    <row r="517" spans="1:19" ht="29" x14ac:dyDescent="0.35">
      <c r="A517" s="14">
        <v>46022</v>
      </c>
      <c r="B517" s="10" t="s">
        <v>541</v>
      </c>
      <c r="C517" s="10" t="s">
        <v>542</v>
      </c>
      <c r="D517" s="10" t="s">
        <v>977</v>
      </c>
      <c r="E517" s="10">
        <v>29771747</v>
      </c>
      <c r="F517" s="15">
        <v>97.6</v>
      </c>
      <c r="G517" s="10" t="s">
        <v>1550</v>
      </c>
      <c r="H517" s="10">
        <v>29771747</v>
      </c>
      <c r="I517" s="10">
        <v>4353456</v>
      </c>
      <c r="J517" s="10" t="s">
        <v>1214</v>
      </c>
      <c r="K517" s="10" t="s">
        <v>1214</v>
      </c>
      <c r="L517" s="10" t="s">
        <v>1214</v>
      </c>
      <c r="M517" s="10" t="s">
        <v>1214</v>
      </c>
      <c r="N517" s="10" t="s">
        <v>50</v>
      </c>
      <c r="O517" s="10" t="s">
        <v>1214</v>
      </c>
      <c r="P517" s="10" t="s">
        <v>1214</v>
      </c>
      <c r="Q517" s="10" t="s">
        <v>1214</v>
      </c>
      <c r="R517" s="10" t="s">
        <v>1214</v>
      </c>
      <c r="S517" s="10" t="s">
        <v>61</v>
      </c>
    </row>
    <row r="518" spans="1:19" ht="29" x14ac:dyDescent="0.35">
      <c r="A518" s="14">
        <v>46022</v>
      </c>
      <c r="B518" s="10" t="s">
        <v>541</v>
      </c>
      <c r="C518" s="10" t="s">
        <v>542</v>
      </c>
      <c r="D518" s="10" t="s">
        <v>962</v>
      </c>
      <c r="E518" s="10">
        <v>4353456</v>
      </c>
      <c r="F518" s="15">
        <v>2.4</v>
      </c>
      <c r="G518" s="10" t="s">
        <v>1550</v>
      </c>
      <c r="H518" s="10">
        <v>29771747</v>
      </c>
      <c r="I518" s="10">
        <v>4353456</v>
      </c>
      <c r="J518" s="10" t="s">
        <v>1214</v>
      </c>
      <c r="K518" s="10" t="s">
        <v>1214</v>
      </c>
      <c r="L518" s="10" t="s">
        <v>1214</v>
      </c>
      <c r="M518" s="10" t="s">
        <v>1214</v>
      </c>
      <c r="N518" s="10" t="s">
        <v>50</v>
      </c>
      <c r="O518" s="10" t="s">
        <v>1214</v>
      </c>
      <c r="P518" s="10" t="s">
        <v>1214</v>
      </c>
      <c r="Q518" s="10" t="s">
        <v>1214</v>
      </c>
      <c r="R518" s="10" t="s">
        <v>1214</v>
      </c>
      <c r="S518" s="10" t="s">
        <v>61</v>
      </c>
    </row>
    <row r="519" spans="1:19" ht="29" x14ac:dyDescent="0.35">
      <c r="A519" s="14">
        <v>46022</v>
      </c>
      <c r="B519" s="10" t="s">
        <v>853</v>
      </c>
      <c r="C519" s="10" t="s">
        <v>854</v>
      </c>
      <c r="D519" s="10" t="s">
        <v>977</v>
      </c>
      <c r="E519" s="10">
        <v>29771747</v>
      </c>
      <c r="F519" s="15">
        <v>81.84</v>
      </c>
      <c r="G519" s="10" t="s">
        <v>1551</v>
      </c>
      <c r="H519" s="10">
        <v>29771747</v>
      </c>
      <c r="I519" s="10">
        <v>4353456</v>
      </c>
      <c r="J519" s="10" t="s">
        <v>1214</v>
      </c>
      <c r="K519" s="10" t="s">
        <v>1214</v>
      </c>
      <c r="L519" s="10" t="s">
        <v>1214</v>
      </c>
      <c r="M519" s="10" t="s">
        <v>1214</v>
      </c>
      <c r="N519" s="10" t="s">
        <v>50</v>
      </c>
      <c r="O519" s="10" t="s">
        <v>1214</v>
      </c>
      <c r="P519" s="10" t="s">
        <v>1214</v>
      </c>
      <c r="Q519" s="10" t="s">
        <v>1214</v>
      </c>
      <c r="R519" s="10" t="s">
        <v>1214</v>
      </c>
      <c r="S519" s="10" t="s">
        <v>61</v>
      </c>
    </row>
    <row r="520" spans="1:19" ht="29" x14ac:dyDescent="0.35">
      <c r="A520" s="14">
        <v>46022</v>
      </c>
      <c r="B520" s="10" t="s">
        <v>853</v>
      </c>
      <c r="C520" s="10" t="s">
        <v>854</v>
      </c>
      <c r="D520" s="10" t="s">
        <v>962</v>
      </c>
      <c r="E520" s="10">
        <v>4353456</v>
      </c>
      <c r="F520" s="15">
        <v>18.16</v>
      </c>
      <c r="G520" s="10" t="s">
        <v>1551</v>
      </c>
      <c r="H520" s="10">
        <v>29771747</v>
      </c>
      <c r="I520" s="10">
        <v>4353456</v>
      </c>
      <c r="J520" s="10" t="s">
        <v>1214</v>
      </c>
      <c r="K520" s="10" t="s">
        <v>1214</v>
      </c>
      <c r="L520" s="10" t="s">
        <v>1214</v>
      </c>
      <c r="M520" s="10" t="s">
        <v>1214</v>
      </c>
      <c r="N520" s="10" t="s">
        <v>50</v>
      </c>
      <c r="O520" s="10" t="s">
        <v>1214</v>
      </c>
      <c r="P520" s="10" t="s">
        <v>1214</v>
      </c>
      <c r="Q520" s="10" t="s">
        <v>1214</v>
      </c>
      <c r="R520" s="10" t="s">
        <v>1214</v>
      </c>
      <c r="S520" s="10" t="s">
        <v>61</v>
      </c>
    </row>
    <row r="521" spans="1:19" ht="58" x14ac:dyDescent="0.35">
      <c r="A521" s="14">
        <v>46022</v>
      </c>
      <c r="B521" s="10" t="s">
        <v>567</v>
      </c>
      <c r="C521" s="10" t="s">
        <v>568</v>
      </c>
      <c r="D521" s="10" t="s">
        <v>1171</v>
      </c>
      <c r="E521" s="10">
        <v>4354122</v>
      </c>
      <c r="F521" s="15">
        <v>100</v>
      </c>
      <c r="G521" s="10" t="s">
        <v>1552</v>
      </c>
      <c r="H521" s="10">
        <v>4354122</v>
      </c>
      <c r="I521" s="10" t="s">
        <v>1194</v>
      </c>
      <c r="J521" s="10" t="s">
        <v>1553</v>
      </c>
      <c r="K521" s="10" t="s">
        <v>61</v>
      </c>
      <c r="L521" s="10" t="s">
        <v>1554</v>
      </c>
      <c r="M521" s="10" t="s">
        <v>61</v>
      </c>
      <c r="N521" s="10" t="s">
        <v>61</v>
      </c>
      <c r="O521" s="10" t="s">
        <v>1214</v>
      </c>
      <c r="P521" s="10" t="s">
        <v>1214</v>
      </c>
      <c r="Q521" s="10" t="s">
        <v>1214</v>
      </c>
      <c r="R521" s="10" t="s">
        <v>1214</v>
      </c>
      <c r="S521" s="10" t="s">
        <v>61</v>
      </c>
    </row>
    <row r="522" spans="1:19" ht="29" x14ac:dyDescent="0.35">
      <c r="A522" s="14">
        <v>46022</v>
      </c>
      <c r="B522" s="10" t="s">
        <v>543</v>
      </c>
      <c r="C522" s="10" t="s">
        <v>544</v>
      </c>
      <c r="D522" s="10" t="s">
        <v>962</v>
      </c>
      <c r="E522" s="10">
        <v>4353456</v>
      </c>
      <c r="F522" s="15">
        <v>100</v>
      </c>
      <c r="G522" s="10" t="s">
        <v>1296</v>
      </c>
      <c r="H522" s="10">
        <v>4353456</v>
      </c>
      <c r="I522" s="10" t="s">
        <v>1194</v>
      </c>
      <c r="J522" s="10" t="s">
        <v>1214</v>
      </c>
      <c r="K522" s="10" t="s">
        <v>1214</v>
      </c>
      <c r="L522" s="10" t="s">
        <v>1214</v>
      </c>
      <c r="M522" s="10" t="s">
        <v>1214</v>
      </c>
      <c r="N522" s="10" t="s">
        <v>61</v>
      </c>
      <c r="O522" s="10" t="s">
        <v>1214</v>
      </c>
      <c r="P522" s="10" t="s">
        <v>1214</v>
      </c>
      <c r="Q522" s="10" t="s">
        <v>1214</v>
      </c>
      <c r="R522" s="10" t="s">
        <v>1214</v>
      </c>
      <c r="S522" s="10" t="s">
        <v>61</v>
      </c>
    </row>
    <row r="523" spans="1:19" ht="29" x14ac:dyDescent="0.35">
      <c r="A523" s="14">
        <v>46022</v>
      </c>
      <c r="B523" s="10" t="s">
        <v>559</v>
      </c>
      <c r="C523" s="10" t="s">
        <v>560</v>
      </c>
      <c r="D523" s="10" t="s">
        <v>962</v>
      </c>
      <c r="E523" s="10">
        <v>4353456</v>
      </c>
      <c r="F523" s="15">
        <v>100</v>
      </c>
      <c r="G523" s="10" t="s">
        <v>1296</v>
      </c>
      <c r="H523" s="10">
        <v>4353456</v>
      </c>
      <c r="I523" s="10" t="s">
        <v>1194</v>
      </c>
      <c r="J523" s="10" t="s">
        <v>1214</v>
      </c>
      <c r="K523" s="10" t="s">
        <v>1214</v>
      </c>
      <c r="L523" s="10" t="s">
        <v>1214</v>
      </c>
      <c r="M523" s="10" t="s">
        <v>1214</v>
      </c>
      <c r="N523" s="10" t="s">
        <v>61</v>
      </c>
      <c r="O523" s="10" t="s">
        <v>1214</v>
      </c>
      <c r="P523" s="10" t="s">
        <v>1214</v>
      </c>
      <c r="Q523" s="10" t="s">
        <v>1214</v>
      </c>
      <c r="R523" s="10" t="s">
        <v>1214</v>
      </c>
      <c r="S523" s="10" t="s">
        <v>61</v>
      </c>
    </row>
    <row r="524" spans="1:19" ht="43.5" x14ac:dyDescent="0.35">
      <c r="A524" s="14">
        <v>46022</v>
      </c>
      <c r="B524" s="10" t="s">
        <v>855</v>
      </c>
      <c r="C524" s="10" t="s">
        <v>856</v>
      </c>
      <c r="D524" s="10" t="s">
        <v>1135</v>
      </c>
      <c r="E524" s="10">
        <v>10928473</v>
      </c>
      <c r="F524" s="15">
        <v>100</v>
      </c>
      <c r="G524" s="10" t="s">
        <v>1506</v>
      </c>
      <c r="H524" s="10">
        <v>10928473</v>
      </c>
      <c r="I524" s="10" t="s">
        <v>1194</v>
      </c>
      <c r="J524" s="10" t="s">
        <v>1214</v>
      </c>
      <c r="K524" s="10" t="s">
        <v>1214</v>
      </c>
      <c r="L524" s="10" t="s">
        <v>1214</v>
      </c>
      <c r="M524" s="10" t="s">
        <v>1214</v>
      </c>
      <c r="N524" s="10" t="s">
        <v>61</v>
      </c>
      <c r="O524" s="10" t="s">
        <v>1214</v>
      </c>
      <c r="P524" s="10" t="s">
        <v>1214</v>
      </c>
      <c r="Q524" s="10" t="s">
        <v>1214</v>
      </c>
      <c r="R524" s="10" t="s">
        <v>1214</v>
      </c>
      <c r="S524" s="10" t="s">
        <v>61</v>
      </c>
    </row>
    <row r="525" spans="1:19" ht="72.5" x14ac:dyDescent="0.35">
      <c r="A525" s="14">
        <v>46022</v>
      </c>
      <c r="B525" s="10" t="s">
        <v>857</v>
      </c>
      <c r="C525" s="10" t="s">
        <v>858</v>
      </c>
      <c r="D525" s="10" t="s">
        <v>1004</v>
      </c>
      <c r="E525" s="10">
        <v>4351423</v>
      </c>
      <c r="F525" s="15">
        <v>100</v>
      </c>
      <c r="G525" s="10" t="s">
        <v>1300</v>
      </c>
      <c r="H525" s="10">
        <v>4351423</v>
      </c>
      <c r="I525" s="10" t="s">
        <v>1194</v>
      </c>
      <c r="J525" s="10" t="s">
        <v>1301</v>
      </c>
      <c r="K525" s="10" t="s">
        <v>61</v>
      </c>
      <c r="L525" s="10" t="s">
        <v>1302</v>
      </c>
      <c r="M525" s="10" t="s">
        <v>61</v>
      </c>
      <c r="N525" s="10" t="s">
        <v>61</v>
      </c>
      <c r="O525" s="10" t="s">
        <v>1214</v>
      </c>
      <c r="P525" s="10" t="s">
        <v>1214</v>
      </c>
      <c r="Q525" s="10" t="s">
        <v>1214</v>
      </c>
      <c r="R525" s="10" t="s">
        <v>1214</v>
      </c>
      <c r="S525" s="10" t="s">
        <v>61</v>
      </c>
    </row>
    <row r="526" spans="1:19" ht="72.5" x14ac:dyDescent="0.35">
      <c r="A526" s="14">
        <v>46022</v>
      </c>
      <c r="B526" s="10" t="s">
        <v>859</v>
      </c>
      <c r="C526" s="10" t="s">
        <v>860</v>
      </c>
      <c r="D526" s="10" t="s">
        <v>1004</v>
      </c>
      <c r="E526" s="10">
        <v>4351423</v>
      </c>
      <c r="F526" s="15">
        <v>100</v>
      </c>
      <c r="G526" s="10" t="s">
        <v>1300</v>
      </c>
      <c r="H526" s="10">
        <v>4351423</v>
      </c>
      <c r="I526" s="10" t="s">
        <v>1194</v>
      </c>
      <c r="J526" s="10" t="s">
        <v>1301</v>
      </c>
      <c r="K526" s="10" t="s">
        <v>61</v>
      </c>
      <c r="L526" s="10" t="s">
        <v>1302</v>
      </c>
      <c r="M526" s="10" t="s">
        <v>61</v>
      </c>
      <c r="N526" s="10" t="s">
        <v>61</v>
      </c>
      <c r="O526" s="10" t="s">
        <v>1214</v>
      </c>
      <c r="P526" s="10" t="s">
        <v>1214</v>
      </c>
      <c r="Q526" s="10" t="s">
        <v>1214</v>
      </c>
      <c r="R526" s="10" t="s">
        <v>1214</v>
      </c>
      <c r="S526" s="10" t="s">
        <v>61</v>
      </c>
    </row>
    <row r="527" spans="1:19" ht="29" x14ac:dyDescent="0.35">
      <c r="A527" s="14">
        <v>46022</v>
      </c>
      <c r="B527" s="10" t="s">
        <v>561</v>
      </c>
      <c r="C527" s="10" t="s">
        <v>562</v>
      </c>
      <c r="D527" s="10" t="s">
        <v>1045</v>
      </c>
      <c r="E527" s="10">
        <v>4400798</v>
      </c>
      <c r="F527" s="15">
        <v>100</v>
      </c>
      <c r="G527" s="10" t="s">
        <v>1360</v>
      </c>
      <c r="H527" s="10">
        <v>4400798</v>
      </c>
      <c r="I527" s="10" t="s">
        <v>1194</v>
      </c>
      <c r="J527" s="10" t="s">
        <v>1214</v>
      </c>
      <c r="K527" s="10" t="s">
        <v>1214</v>
      </c>
      <c r="L527" s="10" t="s">
        <v>1214</v>
      </c>
      <c r="M527" s="10" t="s">
        <v>1214</v>
      </c>
      <c r="N527" s="10" t="s">
        <v>79</v>
      </c>
      <c r="O527" s="10" t="s">
        <v>1214</v>
      </c>
      <c r="P527" s="10" t="s">
        <v>1214</v>
      </c>
      <c r="Q527" s="10" t="s">
        <v>1214</v>
      </c>
      <c r="R527" s="10" t="s">
        <v>1214</v>
      </c>
      <c r="S527" s="10" t="s">
        <v>61</v>
      </c>
    </row>
    <row r="528" spans="1:19" ht="72.5" x14ac:dyDescent="0.35">
      <c r="A528" s="14">
        <v>46022</v>
      </c>
      <c r="B528" s="10" t="s">
        <v>569</v>
      </c>
      <c r="C528" s="10" t="s">
        <v>570</v>
      </c>
      <c r="D528" s="10" t="s">
        <v>1024</v>
      </c>
      <c r="E528" s="10">
        <v>4314727</v>
      </c>
      <c r="F528" s="15">
        <v>100</v>
      </c>
      <c r="G528" s="10" t="s">
        <v>1326</v>
      </c>
      <c r="H528" s="10">
        <v>4314727</v>
      </c>
      <c r="I528" s="10" t="s">
        <v>1194</v>
      </c>
      <c r="J528" s="10" t="s">
        <v>1214</v>
      </c>
      <c r="K528" s="10" t="s">
        <v>1214</v>
      </c>
      <c r="L528" s="10" t="s">
        <v>1214</v>
      </c>
      <c r="M528" s="10" t="s">
        <v>1214</v>
      </c>
      <c r="N528" s="10" t="s">
        <v>61</v>
      </c>
      <c r="O528" s="10" t="s">
        <v>1214</v>
      </c>
      <c r="P528" s="10" t="s">
        <v>1214</v>
      </c>
      <c r="Q528" s="10" t="s">
        <v>1214</v>
      </c>
      <c r="R528" s="10" t="s">
        <v>1214</v>
      </c>
      <c r="S528" s="10" t="s">
        <v>61</v>
      </c>
    </row>
    <row r="529" spans="1:19" ht="145" x14ac:dyDescent="0.35">
      <c r="A529" s="14">
        <v>46022</v>
      </c>
      <c r="B529" s="10" t="s">
        <v>861</v>
      </c>
      <c r="C529" s="10" t="s">
        <v>862</v>
      </c>
      <c r="D529" s="10" t="s">
        <v>1172</v>
      </c>
      <c r="E529" s="10">
        <v>4349081</v>
      </c>
      <c r="F529" s="15">
        <v>8</v>
      </c>
      <c r="G529" s="10" t="s">
        <v>1555</v>
      </c>
      <c r="H529" s="10">
        <v>4355346</v>
      </c>
      <c r="I529" s="10">
        <v>4355642</v>
      </c>
      <c r="J529" s="10" t="s">
        <v>1368</v>
      </c>
      <c r="K529" s="10" t="s">
        <v>61</v>
      </c>
      <c r="L529" s="10" t="s">
        <v>1369</v>
      </c>
      <c r="M529" s="10" t="s">
        <v>61</v>
      </c>
      <c r="N529" s="10" t="s">
        <v>61</v>
      </c>
      <c r="O529" s="10" t="s">
        <v>1214</v>
      </c>
      <c r="P529" s="10" t="s">
        <v>1214</v>
      </c>
      <c r="Q529" s="10" t="s">
        <v>1214</v>
      </c>
      <c r="R529" s="10" t="s">
        <v>1214</v>
      </c>
      <c r="S529" s="10" t="s">
        <v>61</v>
      </c>
    </row>
    <row r="530" spans="1:19" ht="145" x14ac:dyDescent="0.35">
      <c r="A530" s="14">
        <v>46022</v>
      </c>
      <c r="B530" s="10" t="s">
        <v>861</v>
      </c>
      <c r="C530" s="10" t="s">
        <v>862</v>
      </c>
      <c r="D530" s="10" t="s">
        <v>1173</v>
      </c>
      <c r="E530" s="10">
        <v>4354855</v>
      </c>
      <c r="F530" s="15">
        <v>10</v>
      </c>
      <c r="G530" s="10" t="s">
        <v>1555</v>
      </c>
      <c r="H530" s="10">
        <v>4355346</v>
      </c>
      <c r="I530" s="10">
        <v>4355642</v>
      </c>
      <c r="J530" s="10" t="s">
        <v>1368</v>
      </c>
      <c r="K530" s="10" t="s">
        <v>61</v>
      </c>
      <c r="L530" s="10" t="s">
        <v>1369</v>
      </c>
      <c r="M530" s="10" t="s">
        <v>61</v>
      </c>
      <c r="N530" s="10" t="s">
        <v>61</v>
      </c>
      <c r="O530" s="10" t="s">
        <v>1214</v>
      </c>
      <c r="P530" s="10" t="s">
        <v>1214</v>
      </c>
      <c r="Q530" s="10" t="s">
        <v>1214</v>
      </c>
      <c r="R530" s="10" t="s">
        <v>1214</v>
      </c>
      <c r="S530" s="10" t="s">
        <v>61</v>
      </c>
    </row>
    <row r="531" spans="1:19" ht="145" x14ac:dyDescent="0.35">
      <c r="A531" s="14">
        <v>46022</v>
      </c>
      <c r="B531" s="10" t="s">
        <v>861</v>
      </c>
      <c r="C531" s="10" t="s">
        <v>862</v>
      </c>
      <c r="D531" s="10" t="s">
        <v>1051</v>
      </c>
      <c r="E531" s="10">
        <v>4355346</v>
      </c>
      <c r="F531" s="15">
        <v>58</v>
      </c>
      <c r="G531" s="10" t="s">
        <v>1555</v>
      </c>
      <c r="H531" s="10">
        <v>4355346</v>
      </c>
      <c r="I531" s="10">
        <v>4355642</v>
      </c>
      <c r="J531" s="10" t="s">
        <v>1368</v>
      </c>
      <c r="K531" s="10" t="s">
        <v>61</v>
      </c>
      <c r="L531" s="10" t="s">
        <v>1369</v>
      </c>
      <c r="M531" s="10" t="s">
        <v>61</v>
      </c>
      <c r="N531" s="10" t="s">
        <v>61</v>
      </c>
      <c r="O531" s="10" t="s">
        <v>1214</v>
      </c>
      <c r="P531" s="10" t="s">
        <v>1214</v>
      </c>
      <c r="Q531" s="10" t="s">
        <v>1214</v>
      </c>
      <c r="R531" s="10" t="s">
        <v>1214</v>
      </c>
      <c r="S531" s="10" t="s">
        <v>61</v>
      </c>
    </row>
    <row r="532" spans="1:19" ht="145" x14ac:dyDescent="0.35">
      <c r="A532" s="14">
        <v>46022</v>
      </c>
      <c r="B532" s="10" t="s">
        <v>861</v>
      </c>
      <c r="C532" s="10" t="s">
        <v>862</v>
      </c>
      <c r="D532" s="10" t="s">
        <v>1174</v>
      </c>
      <c r="E532" s="10">
        <v>4354854</v>
      </c>
      <c r="F532" s="15">
        <v>2</v>
      </c>
      <c r="G532" s="10" t="s">
        <v>1555</v>
      </c>
      <c r="H532" s="10">
        <v>4355346</v>
      </c>
      <c r="I532" s="10">
        <v>4355642</v>
      </c>
      <c r="J532" s="10" t="s">
        <v>1368</v>
      </c>
      <c r="K532" s="10" t="s">
        <v>61</v>
      </c>
      <c r="L532" s="10" t="s">
        <v>1369</v>
      </c>
      <c r="M532" s="10" t="s">
        <v>61</v>
      </c>
      <c r="N532" s="10" t="s">
        <v>61</v>
      </c>
      <c r="O532" s="10" t="s">
        <v>1214</v>
      </c>
      <c r="P532" s="10" t="s">
        <v>1214</v>
      </c>
      <c r="Q532" s="10" t="s">
        <v>1214</v>
      </c>
      <c r="R532" s="10" t="s">
        <v>1214</v>
      </c>
      <c r="S532" s="10" t="s">
        <v>61</v>
      </c>
    </row>
    <row r="533" spans="1:19" ht="145" x14ac:dyDescent="0.35">
      <c r="A533" s="14">
        <v>46022</v>
      </c>
      <c r="B533" s="10" t="s">
        <v>861</v>
      </c>
      <c r="C533" s="10" t="s">
        <v>862</v>
      </c>
      <c r="D533" s="10" t="s">
        <v>958</v>
      </c>
      <c r="E533" s="10">
        <v>4355642</v>
      </c>
      <c r="F533" s="15">
        <v>22</v>
      </c>
      <c r="G533" s="10" t="s">
        <v>1555</v>
      </c>
      <c r="H533" s="10">
        <v>4355346</v>
      </c>
      <c r="I533" s="10">
        <v>4355642</v>
      </c>
      <c r="J533" s="10" t="s">
        <v>1368</v>
      </c>
      <c r="K533" s="10" t="s">
        <v>61</v>
      </c>
      <c r="L533" s="10" t="s">
        <v>1369</v>
      </c>
      <c r="M533" s="10" t="s">
        <v>61</v>
      </c>
      <c r="N533" s="10" t="s">
        <v>61</v>
      </c>
      <c r="O533" s="10" t="s">
        <v>1214</v>
      </c>
      <c r="P533" s="10" t="s">
        <v>1214</v>
      </c>
      <c r="Q533" s="10" t="s">
        <v>1214</v>
      </c>
      <c r="R533" s="10" t="s">
        <v>1214</v>
      </c>
      <c r="S533" s="10" t="s">
        <v>61</v>
      </c>
    </row>
    <row r="534" spans="1:19" ht="43.5" x14ac:dyDescent="0.35">
      <c r="A534" s="14">
        <v>46022</v>
      </c>
      <c r="B534" s="10" t="s">
        <v>673</v>
      </c>
      <c r="C534" s="10" t="s">
        <v>674</v>
      </c>
      <c r="D534" s="10" t="s">
        <v>951</v>
      </c>
      <c r="E534" s="10">
        <v>4348083</v>
      </c>
      <c r="F534" s="15">
        <v>50</v>
      </c>
      <c r="G534" s="10" t="s">
        <v>1556</v>
      </c>
      <c r="H534" s="10">
        <v>4120225</v>
      </c>
      <c r="I534" s="10">
        <v>4348083</v>
      </c>
      <c r="J534" s="10" t="s">
        <v>1214</v>
      </c>
      <c r="K534" s="10" t="s">
        <v>1214</v>
      </c>
      <c r="L534" s="10" t="s">
        <v>1214</v>
      </c>
      <c r="M534" s="10" t="s">
        <v>1214</v>
      </c>
      <c r="N534" s="10" t="s">
        <v>222</v>
      </c>
      <c r="O534" s="10" t="s">
        <v>1232</v>
      </c>
      <c r="P534" s="10" t="s">
        <v>1233</v>
      </c>
      <c r="Q534" s="10" t="s">
        <v>1234</v>
      </c>
      <c r="R534" s="10" t="s">
        <v>1233</v>
      </c>
      <c r="S534" s="10" t="s">
        <v>1219</v>
      </c>
    </row>
    <row r="535" spans="1:19" ht="43.5" x14ac:dyDescent="0.35">
      <c r="A535" s="14">
        <v>46022</v>
      </c>
      <c r="B535" s="10" t="s">
        <v>673</v>
      </c>
      <c r="C535" s="10" t="s">
        <v>674</v>
      </c>
      <c r="D535" s="10" t="s">
        <v>981</v>
      </c>
      <c r="E535" s="10">
        <v>4120225</v>
      </c>
      <c r="F535" s="15">
        <v>50</v>
      </c>
      <c r="G535" s="10" t="s">
        <v>1556</v>
      </c>
      <c r="H535" s="10">
        <v>4120225</v>
      </c>
      <c r="I535" s="10">
        <v>4348083</v>
      </c>
      <c r="J535" s="10" t="s">
        <v>1214</v>
      </c>
      <c r="K535" s="10" t="s">
        <v>1214</v>
      </c>
      <c r="L535" s="10" t="s">
        <v>1214</v>
      </c>
      <c r="M535" s="10" t="s">
        <v>1214</v>
      </c>
      <c r="N535" s="10" t="s">
        <v>222</v>
      </c>
      <c r="O535" s="10" t="s">
        <v>1232</v>
      </c>
      <c r="P535" s="10" t="s">
        <v>1233</v>
      </c>
      <c r="Q535" s="10" t="s">
        <v>1234</v>
      </c>
      <c r="R535" s="10" t="s">
        <v>1233</v>
      </c>
      <c r="S535" s="10" t="s">
        <v>1219</v>
      </c>
    </row>
    <row r="536" spans="1:19" ht="87" x14ac:dyDescent="0.35">
      <c r="A536" s="14">
        <v>46022</v>
      </c>
      <c r="B536" s="10" t="s">
        <v>863</v>
      </c>
      <c r="C536" s="10" t="s">
        <v>864</v>
      </c>
      <c r="D536" s="10" t="s">
        <v>1175</v>
      </c>
      <c r="E536" s="10">
        <v>4355591</v>
      </c>
      <c r="F536" s="15">
        <v>100</v>
      </c>
      <c r="G536" s="10" t="s">
        <v>1557</v>
      </c>
      <c r="H536" s="10">
        <v>4355591</v>
      </c>
      <c r="I536" s="10" t="s">
        <v>1194</v>
      </c>
      <c r="J536" s="10" t="s">
        <v>1214</v>
      </c>
      <c r="K536" s="10" t="s">
        <v>1214</v>
      </c>
      <c r="L536" s="10" t="s">
        <v>1214</v>
      </c>
      <c r="M536" s="10" t="s">
        <v>1214</v>
      </c>
      <c r="N536" s="10" t="s">
        <v>748</v>
      </c>
      <c r="O536" s="10" t="s">
        <v>1214</v>
      </c>
      <c r="P536" s="10" t="s">
        <v>1214</v>
      </c>
      <c r="Q536" s="10" t="s">
        <v>1214</v>
      </c>
      <c r="R536" s="10" t="s">
        <v>1214</v>
      </c>
      <c r="S536" s="10" t="s">
        <v>61</v>
      </c>
    </row>
    <row r="537" spans="1:19" ht="43.5" x14ac:dyDescent="0.35">
      <c r="A537" s="14">
        <v>46022</v>
      </c>
      <c r="B537" s="10" t="s">
        <v>675</v>
      </c>
      <c r="C537" s="10" t="s">
        <v>676</v>
      </c>
      <c r="D537" s="10" t="s">
        <v>996</v>
      </c>
      <c r="E537" s="10">
        <v>4410234</v>
      </c>
      <c r="F537" s="15">
        <v>100</v>
      </c>
      <c r="G537" s="10" t="s">
        <v>1283</v>
      </c>
      <c r="H537" s="10">
        <v>4410234</v>
      </c>
      <c r="I537" s="10" t="s">
        <v>1194</v>
      </c>
      <c r="J537" s="10" t="s">
        <v>1214</v>
      </c>
      <c r="K537" s="10" t="s">
        <v>1214</v>
      </c>
      <c r="L537" s="10" t="s">
        <v>1214</v>
      </c>
      <c r="M537" s="10" t="s">
        <v>1214</v>
      </c>
      <c r="N537" s="10" t="s">
        <v>1284</v>
      </c>
      <c r="O537" s="10" t="s">
        <v>1214</v>
      </c>
      <c r="P537" s="10" t="s">
        <v>1214</v>
      </c>
      <c r="Q537" s="10" t="s">
        <v>1214</v>
      </c>
      <c r="R537" s="10" t="s">
        <v>1214</v>
      </c>
      <c r="S537" s="10" t="s">
        <v>61</v>
      </c>
    </row>
    <row r="538" spans="1:19" ht="72.5" x14ac:dyDescent="0.35">
      <c r="A538" s="14">
        <v>46022</v>
      </c>
      <c r="B538" s="10" t="s">
        <v>677</v>
      </c>
      <c r="C538" s="10" t="s">
        <v>678</v>
      </c>
      <c r="D538" s="10" t="s">
        <v>962</v>
      </c>
      <c r="E538" s="10">
        <v>4353456</v>
      </c>
      <c r="F538" s="15">
        <v>25</v>
      </c>
      <c r="G538" s="10" t="s">
        <v>1558</v>
      </c>
      <c r="H538" s="10">
        <v>4355642</v>
      </c>
      <c r="I538" s="10">
        <v>4353456</v>
      </c>
      <c r="J538" s="10" t="s">
        <v>1214</v>
      </c>
      <c r="K538" s="10" t="s">
        <v>1214</v>
      </c>
      <c r="L538" s="10" t="s">
        <v>1214</v>
      </c>
      <c r="M538" s="10" t="s">
        <v>1214</v>
      </c>
      <c r="N538" s="10" t="s">
        <v>61</v>
      </c>
      <c r="O538" s="10" t="s">
        <v>1214</v>
      </c>
      <c r="P538" s="10" t="s">
        <v>1214</v>
      </c>
      <c r="Q538" s="10" t="s">
        <v>1214</v>
      </c>
      <c r="R538" s="10" t="s">
        <v>1214</v>
      </c>
      <c r="S538" s="10" t="s">
        <v>61</v>
      </c>
    </row>
    <row r="539" spans="1:19" ht="72.5" x14ac:dyDescent="0.35">
      <c r="A539" s="14">
        <v>46022</v>
      </c>
      <c r="B539" s="10" t="s">
        <v>677</v>
      </c>
      <c r="C539" s="10" t="s">
        <v>678</v>
      </c>
      <c r="D539" s="10" t="s">
        <v>1127</v>
      </c>
      <c r="E539" s="10">
        <v>4993645</v>
      </c>
      <c r="F539" s="15">
        <v>24.9</v>
      </c>
      <c r="G539" s="10" t="s">
        <v>1558</v>
      </c>
      <c r="H539" s="10">
        <v>4355642</v>
      </c>
      <c r="I539" s="10">
        <v>4353456</v>
      </c>
      <c r="J539" s="10" t="s">
        <v>1214</v>
      </c>
      <c r="K539" s="10" t="s">
        <v>1214</v>
      </c>
      <c r="L539" s="10" t="s">
        <v>1214</v>
      </c>
      <c r="M539" s="10" t="s">
        <v>1214</v>
      </c>
      <c r="N539" s="10" t="s">
        <v>61</v>
      </c>
      <c r="O539" s="10" t="s">
        <v>1214</v>
      </c>
      <c r="P539" s="10" t="s">
        <v>1214</v>
      </c>
      <c r="Q539" s="10" t="s">
        <v>1214</v>
      </c>
      <c r="R539" s="10" t="s">
        <v>1214</v>
      </c>
      <c r="S539" s="10" t="s">
        <v>61</v>
      </c>
    </row>
    <row r="540" spans="1:19" ht="72.5" x14ac:dyDescent="0.35">
      <c r="A540" s="14">
        <v>46022</v>
      </c>
      <c r="B540" s="10" t="s">
        <v>677</v>
      </c>
      <c r="C540" s="10" t="s">
        <v>678</v>
      </c>
      <c r="D540" s="10" t="s">
        <v>958</v>
      </c>
      <c r="E540" s="10">
        <v>4355642</v>
      </c>
      <c r="F540" s="15">
        <v>50.1</v>
      </c>
      <c r="G540" s="10" t="s">
        <v>1558</v>
      </c>
      <c r="H540" s="10">
        <v>4355642</v>
      </c>
      <c r="I540" s="10">
        <v>4353456</v>
      </c>
      <c r="J540" s="10" t="s">
        <v>1214</v>
      </c>
      <c r="K540" s="10" t="s">
        <v>1214</v>
      </c>
      <c r="L540" s="10" t="s">
        <v>1214</v>
      </c>
      <c r="M540" s="10" t="s">
        <v>1214</v>
      </c>
      <c r="N540" s="10" t="s">
        <v>61</v>
      </c>
      <c r="O540" s="10" t="s">
        <v>1214</v>
      </c>
      <c r="P540" s="10" t="s">
        <v>1214</v>
      </c>
      <c r="Q540" s="10" t="s">
        <v>1214</v>
      </c>
      <c r="R540" s="10" t="s">
        <v>1214</v>
      </c>
      <c r="S540" s="10" t="s">
        <v>61</v>
      </c>
    </row>
    <row r="541" spans="1:19" ht="43.5" x14ac:dyDescent="0.35">
      <c r="A541" s="14">
        <v>46022</v>
      </c>
      <c r="B541" s="10" t="s">
        <v>571</v>
      </c>
      <c r="C541" s="10" t="s">
        <v>572</v>
      </c>
      <c r="D541" s="10" t="s">
        <v>571</v>
      </c>
      <c r="E541" s="10">
        <v>10948290</v>
      </c>
      <c r="F541" s="15">
        <v>100</v>
      </c>
      <c r="G541" s="10" t="s">
        <v>1559</v>
      </c>
      <c r="H541" s="10">
        <v>10948290</v>
      </c>
      <c r="I541" s="10" t="s">
        <v>1194</v>
      </c>
      <c r="J541" s="10" t="s">
        <v>1214</v>
      </c>
      <c r="K541" s="10" t="s">
        <v>1214</v>
      </c>
      <c r="L541" s="10" t="s">
        <v>1214</v>
      </c>
      <c r="M541" s="10" t="s">
        <v>1214</v>
      </c>
      <c r="N541" s="10" t="s">
        <v>61</v>
      </c>
      <c r="O541" s="10" t="s">
        <v>1214</v>
      </c>
      <c r="P541" s="10" t="s">
        <v>1214</v>
      </c>
      <c r="Q541" s="10" t="s">
        <v>1214</v>
      </c>
      <c r="R541" s="10" t="s">
        <v>1214</v>
      </c>
      <c r="S541" s="10" t="s">
        <v>61</v>
      </c>
    </row>
    <row r="542" spans="1:19" ht="58" x14ac:dyDescent="0.35">
      <c r="A542" s="14">
        <v>46022</v>
      </c>
      <c r="B542" s="10" t="s">
        <v>865</v>
      </c>
      <c r="C542" s="10" t="s">
        <v>866</v>
      </c>
      <c r="D542" s="10" t="s">
        <v>1176</v>
      </c>
      <c r="E542" s="10">
        <v>10928421</v>
      </c>
      <c r="F542" s="15">
        <v>100</v>
      </c>
      <c r="G542" s="10" t="s">
        <v>1560</v>
      </c>
      <c r="H542" s="10">
        <v>10928421</v>
      </c>
      <c r="I542" s="10" t="s">
        <v>1194</v>
      </c>
      <c r="J542" s="10" t="s">
        <v>1214</v>
      </c>
      <c r="K542" s="10" t="s">
        <v>1214</v>
      </c>
      <c r="L542" s="10" t="s">
        <v>1214</v>
      </c>
      <c r="M542" s="10" t="s">
        <v>1214</v>
      </c>
      <c r="N542" s="10" t="s">
        <v>61</v>
      </c>
      <c r="O542" s="10" t="s">
        <v>1214</v>
      </c>
      <c r="P542" s="10" t="s">
        <v>1214</v>
      </c>
      <c r="Q542" s="10" t="s">
        <v>1214</v>
      </c>
      <c r="R542" s="10" t="s">
        <v>1214</v>
      </c>
      <c r="S542" s="10" t="s">
        <v>61</v>
      </c>
    </row>
    <row r="543" spans="1:19" ht="58" x14ac:dyDescent="0.35">
      <c r="A543" s="14">
        <v>46022</v>
      </c>
      <c r="B543" s="10" t="s">
        <v>867</v>
      </c>
      <c r="C543" s="10" t="s">
        <v>868</v>
      </c>
      <c r="D543" s="10" t="s">
        <v>958</v>
      </c>
      <c r="E543" s="10">
        <v>4355642</v>
      </c>
      <c r="F543" s="15">
        <v>100</v>
      </c>
      <c r="G543" s="10" t="s">
        <v>1320</v>
      </c>
      <c r="H543" s="10">
        <v>4355642</v>
      </c>
      <c r="I543" s="10" t="s">
        <v>1194</v>
      </c>
      <c r="J543" s="10" t="s">
        <v>1214</v>
      </c>
      <c r="K543" s="10" t="s">
        <v>1214</v>
      </c>
      <c r="L543" s="10" t="s">
        <v>1214</v>
      </c>
      <c r="M543" s="10" t="s">
        <v>1214</v>
      </c>
      <c r="N543" s="10" t="s">
        <v>61</v>
      </c>
      <c r="O543" s="10" t="s">
        <v>1214</v>
      </c>
      <c r="P543" s="10" t="s">
        <v>1214</v>
      </c>
      <c r="Q543" s="10" t="s">
        <v>1214</v>
      </c>
      <c r="R543" s="10" t="s">
        <v>1214</v>
      </c>
      <c r="S543" s="10" t="s">
        <v>61</v>
      </c>
    </row>
    <row r="544" spans="1:19" ht="58" x14ac:dyDescent="0.35">
      <c r="A544" s="14">
        <v>46022</v>
      </c>
      <c r="B544" s="10" t="s">
        <v>869</v>
      </c>
      <c r="C544" s="10" t="s">
        <v>870</v>
      </c>
      <c r="D544" s="10" t="s">
        <v>958</v>
      </c>
      <c r="E544" s="10">
        <v>4355642</v>
      </c>
      <c r="F544" s="15">
        <v>100</v>
      </c>
      <c r="G544" s="10" t="s">
        <v>1320</v>
      </c>
      <c r="H544" s="10">
        <v>4355642</v>
      </c>
      <c r="I544" s="10" t="s">
        <v>1194</v>
      </c>
      <c r="J544" s="10" t="s">
        <v>1214</v>
      </c>
      <c r="K544" s="10" t="s">
        <v>1214</v>
      </c>
      <c r="L544" s="10" t="s">
        <v>1214</v>
      </c>
      <c r="M544" s="10" t="s">
        <v>1214</v>
      </c>
      <c r="N544" s="10" t="s">
        <v>61</v>
      </c>
      <c r="O544" s="10" t="s">
        <v>1214</v>
      </c>
      <c r="P544" s="10" t="s">
        <v>1214</v>
      </c>
      <c r="Q544" s="10" t="s">
        <v>1214</v>
      </c>
      <c r="R544" s="10" t="s">
        <v>1214</v>
      </c>
      <c r="S544" s="10" t="s">
        <v>61</v>
      </c>
    </row>
    <row r="545" spans="1:19" ht="43.5" x14ac:dyDescent="0.35">
      <c r="A545" s="14">
        <v>46022</v>
      </c>
      <c r="B545" s="10" t="s">
        <v>573</v>
      </c>
      <c r="C545" s="10" t="s">
        <v>574</v>
      </c>
      <c r="D545" s="10" t="s">
        <v>1177</v>
      </c>
      <c r="E545" s="10">
        <v>4355649</v>
      </c>
      <c r="F545" s="15">
        <v>100</v>
      </c>
      <c r="G545" s="10" t="s">
        <v>1561</v>
      </c>
      <c r="H545" s="10">
        <v>4355649</v>
      </c>
      <c r="I545" s="10" t="s">
        <v>1194</v>
      </c>
      <c r="J545" s="10" t="s">
        <v>1562</v>
      </c>
      <c r="K545" s="10" t="s">
        <v>105</v>
      </c>
      <c r="L545" s="10" t="s">
        <v>1563</v>
      </c>
      <c r="M545" s="10" t="s">
        <v>1218</v>
      </c>
      <c r="N545" s="10" t="s">
        <v>1479</v>
      </c>
      <c r="O545" s="10" t="s">
        <v>1214</v>
      </c>
      <c r="P545" s="10" t="s">
        <v>1214</v>
      </c>
      <c r="Q545" s="10" t="s">
        <v>1214</v>
      </c>
      <c r="R545" s="10" t="s">
        <v>1214</v>
      </c>
      <c r="S545" s="10" t="s">
        <v>61</v>
      </c>
    </row>
    <row r="546" spans="1:19" ht="29" x14ac:dyDescent="0.35">
      <c r="A546" s="14">
        <v>46022</v>
      </c>
      <c r="B546" s="10" t="s">
        <v>871</v>
      </c>
      <c r="C546" s="10" t="s">
        <v>872</v>
      </c>
      <c r="D546" s="10" t="s">
        <v>939</v>
      </c>
      <c r="E546" s="10">
        <v>4348654</v>
      </c>
      <c r="F546" s="15">
        <v>100</v>
      </c>
      <c r="G546" s="10" t="s">
        <v>1213</v>
      </c>
      <c r="H546" s="10">
        <v>4348654</v>
      </c>
      <c r="I546" s="10" t="s">
        <v>1194</v>
      </c>
      <c r="J546" s="10" t="s">
        <v>1214</v>
      </c>
      <c r="K546" s="10" t="s">
        <v>1214</v>
      </c>
      <c r="L546" s="10" t="s">
        <v>1214</v>
      </c>
      <c r="M546" s="10" t="s">
        <v>1214</v>
      </c>
      <c r="N546" s="10" t="s">
        <v>102</v>
      </c>
      <c r="O546" s="10" t="s">
        <v>1214</v>
      </c>
      <c r="P546" s="10" t="s">
        <v>1214</v>
      </c>
      <c r="Q546" s="10" t="s">
        <v>1214</v>
      </c>
      <c r="R546" s="10" t="s">
        <v>1214</v>
      </c>
      <c r="S546" s="10" t="s">
        <v>61</v>
      </c>
    </row>
    <row r="547" spans="1:19" ht="58" x14ac:dyDescent="0.35">
      <c r="A547" s="14">
        <v>46022</v>
      </c>
      <c r="B547" s="10" t="s">
        <v>681</v>
      </c>
      <c r="C547" s="10" t="s">
        <v>682</v>
      </c>
      <c r="D547" s="10" t="s">
        <v>978</v>
      </c>
      <c r="E547" s="10">
        <v>4264043</v>
      </c>
      <c r="F547" s="15">
        <v>100</v>
      </c>
      <c r="G547" s="10" t="s">
        <v>1564</v>
      </c>
      <c r="H547" s="10">
        <v>4264043</v>
      </c>
      <c r="I547" s="10">
        <v>4348055</v>
      </c>
      <c r="J547" s="10" t="s">
        <v>1214</v>
      </c>
      <c r="K547" s="10" t="s">
        <v>1214</v>
      </c>
      <c r="L547" s="10" t="s">
        <v>1214</v>
      </c>
      <c r="M547" s="10" t="s">
        <v>1214</v>
      </c>
      <c r="N547" s="10" t="s">
        <v>105</v>
      </c>
      <c r="O547" s="10" t="s">
        <v>1214</v>
      </c>
      <c r="P547" s="10" t="s">
        <v>1214</v>
      </c>
      <c r="Q547" s="10" t="s">
        <v>1214</v>
      </c>
      <c r="R547" s="10" t="s">
        <v>1214</v>
      </c>
      <c r="S547" s="10" t="s">
        <v>105</v>
      </c>
    </row>
  </sheetData>
  <pageMargins left="0.7" right="0.7" top="0.75" bottom="0.75" header="0.3" footer="0.3"/>
  <headerFooter>
    <oddFooter>&amp;C_x000D_&amp;1#&amp;"Aptos"&amp;10&amp;K0000FF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0039-DF8C-4E20-A721-3F483810D06C}">
  <dimension ref="A1:S543"/>
  <sheetViews>
    <sheetView tabSelected="1" zoomScaleNormal="100" workbookViewId="0">
      <pane ySplit="1" topLeftCell="A2" activePane="bottomLeft" state="frozen"/>
      <selection pane="bottomLeft" activeCell="J5" sqref="J5"/>
    </sheetView>
  </sheetViews>
  <sheetFormatPr defaultRowHeight="14.5" x14ac:dyDescent="0.35"/>
  <cols>
    <col min="1" max="1" width="9" customWidth="1"/>
    <col min="2" max="2" width="14.6328125" customWidth="1"/>
    <col min="4" max="4" width="20.1796875" customWidth="1"/>
    <col min="6" max="6" width="8.1796875" customWidth="1"/>
    <col min="7" max="7" width="18.1796875" customWidth="1"/>
    <col min="10" max="10" width="17.1796875" customWidth="1"/>
    <col min="11" max="11" width="18.26953125" customWidth="1"/>
    <col min="12" max="12" width="17.36328125" customWidth="1"/>
    <col min="13" max="13" width="16.6328125" customWidth="1"/>
  </cols>
  <sheetData>
    <row r="1" spans="1:19" ht="72.5" x14ac:dyDescent="0.35">
      <c r="A1" s="16" t="s">
        <v>2</v>
      </c>
      <c r="B1" s="16" t="s">
        <v>3</v>
      </c>
      <c r="C1" s="16" t="s">
        <v>4</v>
      </c>
      <c r="D1" s="16" t="s">
        <v>936</v>
      </c>
      <c r="E1" s="16" t="s">
        <v>937</v>
      </c>
      <c r="F1" s="16" t="s">
        <v>938</v>
      </c>
      <c r="G1" s="16" t="s">
        <v>1179</v>
      </c>
      <c r="H1" s="16" t="s">
        <v>1180</v>
      </c>
      <c r="I1" s="16" t="s">
        <v>1181</v>
      </c>
      <c r="J1" s="16" t="s">
        <v>1182</v>
      </c>
      <c r="K1" s="16" t="s">
        <v>1183</v>
      </c>
      <c r="L1" s="16" t="s">
        <v>1205</v>
      </c>
      <c r="M1" s="16" t="s">
        <v>1206</v>
      </c>
      <c r="N1" s="16" t="s">
        <v>1207</v>
      </c>
      <c r="O1" s="16" t="s">
        <v>1208</v>
      </c>
      <c r="P1" s="16" t="s">
        <v>1209</v>
      </c>
      <c r="Q1" s="16" t="s">
        <v>1210</v>
      </c>
      <c r="R1" s="16" t="s">
        <v>1211</v>
      </c>
      <c r="S1" s="16" t="s">
        <v>1212</v>
      </c>
    </row>
    <row r="2" spans="1:19" x14ac:dyDescent="0.35">
      <c r="A2" s="10"/>
      <c r="B2" s="10"/>
      <c r="C2" s="10"/>
      <c r="D2" s="10"/>
      <c r="E2" s="10"/>
      <c r="F2" s="10"/>
      <c r="G2" s="10"/>
      <c r="H2" s="10"/>
      <c r="I2" s="10"/>
      <c r="J2" s="10"/>
      <c r="K2" s="10"/>
      <c r="L2" s="10"/>
      <c r="M2" s="10"/>
      <c r="N2" s="10"/>
      <c r="O2" s="10"/>
      <c r="P2" s="10"/>
      <c r="Q2" s="10"/>
      <c r="R2" s="10"/>
      <c r="S2" s="10"/>
    </row>
    <row r="3" spans="1:19" x14ac:dyDescent="0.35">
      <c r="A3" s="10"/>
      <c r="B3" s="10"/>
      <c r="C3" s="10"/>
      <c r="D3" s="10"/>
      <c r="E3" s="10"/>
      <c r="F3" s="10"/>
      <c r="G3" s="10"/>
      <c r="H3" s="10"/>
      <c r="I3" s="10"/>
      <c r="J3" s="10"/>
      <c r="K3" s="10"/>
      <c r="L3" s="10"/>
      <c r="M3" s="10"/>
      <c r="N3" s="10"/>
      <c r="O3" s="10"/>
      <c r="P3" s="10"/>
      <c r="Q3" s="10"/>
      <c r="R3" s="10"/>
      <c r="S3" s="10"/>
    </row>
    <row r="4" spans="1:19" x14ac:dyDescent="0.35">
      <c r="A4" s="10"/>
      <c r="B4" s="10"/>
      <c r="C4" s="10"/>
      <c r="D4" s="10"/>
      <c r="E4" s="10"/>
      <c r="F4" s="10"/>
      <c r="G4" s="10"/>
      <c r="H4" s="10"/>
      <c r="I4" s="10"/>
      <c r="J4" s="10"/>
      <c r="K4" s="10"/>
      <c r="L4" s="10"/>
      <c r="M4" s="10"/>
      <c r="N4" s="10"/>
      <c r="O4" s="10"/>
      <c r="P4" s="10"/>
      <c r="Q4" s="10"/>
      <c r="R4" s="10"/>
      <c r="S4" s="10"/>
    </row>
    <row r="5" spans="1:19" ht="29" x14ac:dyDescent="0.35">
      <c r="A5" s="14">
        <v>46022</v>
      </c>
      <c r="B5" s="10" t="s">
        <v>178</v>
      </c>
      <c r="C5" s="10" t="s">
        <v>179</v>
      </c>
      <c r="D5" s="10" t="s">
        <v>939</v>
      </c>
      <c r="E5" s="10">
        <v>4348654</v>
      </c>
      <c r="F5" s="15">
        <v>100</v>
      </c>
      <c r="G5" s="10" t="s">
        <v>1213</v>
      </c>
      <c r="H5" s="10">
        <v>4348654</v>
      </c>
      <c r="I5" s="10" t="s">
        <v>1194</v>
      </c>
      <c r="J5" s="10" t="s">
        <v>1214</v>
      </c>
      <c r="K5" s="10" t="s">
        <v>1214</v>
      </c>
      <c r="L5" s="10" t="s">
        <v>1214</v>
      </c>
      <c r="M5" s="10" t="s">
        <v>1214</v>
      </c>
      <c r="N5" s="10" t="s">
        <v>102</v>
      </c>
      <c r="O5" s="10" t="s">
        <v>1214</v>
      </c>
      <c r="P5" s="10" t="s">
        <v>1214</v>
      </c>
      <c r="Q5" s="10" t="s">
        <v>1214</v>
      </c>
      <c r="R5" s="10" t="s">
        <v>1214</v>
      </c>
      <c r="S5" s="10" t="s">
        <v>61</v>
      </c>
    </row>
    <row r="6" spans="1:19" ht="29" x14ac:dyDescent="0.35">
      <c r="A6" s="14">
        <v>46022</v>
      </c>
      <c r="B6" s="10" t="s">
        <v>180</v>
      </c>
      <c r="C6" s="10" t="s">
        <v>181</v>
      </c>
      <c r="D6" s="10" t="s">
        <v>940</v>
      </c>
      <c r="E6" s="10">
        <v>4199214</v>
      </c>
      <c r="F6" s="15">
        <v>100</v>
      </c>
      <c r="G6" s="10" t="s">
        <v>1215</v>
      </c>
      <c r="H6" s="10">
        <v>4199214</v>
      </c>
      <c r="I6" s="10" t="s">
        <v>1194</v>
      </c>
      <c r="J6" s="10" t="s">
        <v>1216</v>
      </c>
      <c r="K6" s="10" t="s">
        <v>69</v>
      </c>
      <c r="L6" s="10" t="s">
        <v>1217</v>
      </c>
      <c r="M6" s="10" t="s">
        <v>1218</v>
      </c>
      <c r="N6" s="10" t="s">
        <v>1219</v>
      </c>
      <c r="O6" s="10" t="s">
        <v>1214</v>
      </c>
      <c r="P6" s="10" t="s">
        <v>1214</v>
      </c>
      <c r="Q6" s="10" t="s">
        <v>1214</v>
      </c>
      <c r="R6" s="10" t="s">
        <v>1214</v>
      </c>
      <c r="S6" s="10" t="s">
        <v>61</v>
      </c>
    </row>
    <row r="7" spans="1:19" ht="58" x14ac:dyDescent="0.35">
      <c r="A7" s="14">
        <v>46022</v>
      </c>
      <c r="B7" s="10" t="s">
        <v>67</v>
      </c>
      <c r="C7" s="10" t="s">
        <v>68</v>
      </c>
      <c r="D7" s="10" t="s">
        <v>940</v>
      </c>
      <c r="E7" s="10">
        <v>4199214</v>
      </c>
      <c r="F7" s="15">
        <v>100</v>
      </c>
      <c r="G7" s="10" t="s">
        <v>1215</v>
      </c>
      <c r="H7" s="10">
        <v>4199214</v>
      </c>
      <c r="I7" s="10" t="s">
        <v>1194</v>
      </c>
      <c r="J7" s="10" t="s">
        <v>1216</v>
      </c>
      <c r="K7" s="10" t="s">
        <v>69</v>
      </c>
      <c r="L7" s="10" t="s">
        <v>1217</v>
      </c>
      <c r="M7" s="10" t="s">
        <v>1218</v>
      </c>
      <c r="N7" s="10" t="s">
        <v>1219</v>
      </c>
      <c r="O7" s="10" t="s">
        <v>1214</v>
      </c>
      <c r="P7" s="10" t="s">
        <v>1214</v>
      </c>
      <c r="Q7" s="10" t="s">
        <v>1214</v>
      </c>
      <c r="R7" s="10" t="s">
        <v>1214</v>
      </c>
      <c r="S7" s="10" t="s">
        <v>61</v>
      </c>
    </row>
    <row r="8" spans="1:19" ht="87" x14ac:dyDescent="0.35">
      <c r="A8" s="14">
        <v>46022</v>
      </c>
      <c r="B8" s="10" t="s">
        <v>70</v>
      </c>
      <c r="C8" s="10" t="s">
        <v>71</v>
      </c>
      <c r="D8" s="10" t="s">
        <v>941</v>
      </c>
      <c r="E8" s="10">
        <v>4355482</v>
      </c>
      <c r="F8" s="15">
        <v>100</v>
      </c>
      <c r="G8" s="10" t="s">
        <v>1220</v>
      </c>
      <c r="H8" s="10">
        <v>4355482</v>
      </c>
      <c r="I8" s="10" t="s">
        <v>1194</v>
      </c>
      <c r="J8" s="10" t="s">
        <v>1221</v>
      </c>
      <c r="K8" s="10" t="s">
        <v>61</v>
      </c>
      <c r="L8" s="10" t="s">
        <v>1221</v>
      </c>
      <c r="M8" s="10" t="s">
        <v>61</v>
      </c>
      <c r="N8" s="10" t="s">
        <v>61</v>
      </c>
      <c r="O8" s="10" t="s">
        <v>1214</v>
      </c>
      <c r="P8" s="10" t="s">
        <v>1214</v>
      </c>
      <c r="Q8" s="10" t="s">
        <v>1214</v>
      </c>
      <c r="R8" s="10" t="s">
        <v>1214</v>
      </c>
      <c r="S8" s="10" t="s">
        <v>61</v>
      </c>
    </row>
    <row r="9" spans="1:19" ht="43.5" x14ac:dyDescent="0.35">
      <c r="A9" s="14">
        <v>46022</v>
      </c>
      <c r="B9" s="10" t="s">
        <v>72</v>
      </c>
      <c r="C9" s="10" t="s">
        <v>73</v>
      </c>
      <c r="D9" s="10" t="s">
        <v>942</v>
      </c>
      <c r="E9" s="10">
        <v>4360795</v>
      </c>
      <c r="F9" s="15">
        <v>100</v>
      </c>
      <c r="G9" s="10" t="s">
        <v>1222</v>
      </c>
      <c r="H9" s="10">
        <v>4360795</v>
      </c>
      <c r="I9" s="10" t="s">
        <v>1194</v>
      </c>
      <c r="J9" s="10" t="s">
        <v>1214</v>
      </c>
      <c r="K9" s="10" t="s">
        <v>1214</v>
      </c>
      <c r="L9" s="10" t="s">
        <v>1214</v>
      </c>
      <c r="M9" s="10" t="s">
        <v>1214</v>
      </c>
      <c r="N9" s="10" t="s">
        <v>74</v>
      </c>
      <c r="O9" s="10" t="s">
        <v>1214</v>
      </c>
      <c r="P9" s="10" t="s">
        <v>1214</v>
      </c>
      <c r="Q9" s="10" t="s">
        <v>1214</v>
      </c>
      <c r="R9" s="10" t="s">
        <v>1214</v>
      </c>
      <c r="S9" s="10" t="s">
        <v>61</v>
      </c>
    </row>
    <row r="10" spans="1:19" ht="58" x14ac:dyDescent="0.35">
      <c r="A10" s="14">
        <v>46022</v>
      </c>
      <c r="B10" s="10" t="s">
        <v>164</v>
      </c>
      <c r="C10" s="10" t="s">
        <v>165</v>
      </c>
      <c r="D10" s="10" t="s">
        <v>943</v>
      </c>
      <c r="E10" s="10">
        <v>4348055</v>
      </c>
      <c r="F10" s="15">
        <v>100</v>
      </c>
      <c r="G10" s="10" t="s">
        <v>1223</v>
      </c>
      <c r="H10" s="10">
        <v>4348055</v>
      </c>
      <c r="I10" s="10" t="s">
        <v>1194</v>
      </c>
      <c r="J10" s="10" t="s">
        <v>1214</v>
      </c>
      <c r="K10" s="10" t="s">
        <v>1214</v>
      </c>
      <c r="L10" s="10" t="s">
        <v>1214</v>
      </c>
      <c r="M10" s="10" t="s">
        <v>1214</v>
      </c>
      <c r="N10" s="10" t="s">
        <v>105</v>
      </c>
      <c r="O10" s="10" t="s">
        <v>1214</v>
      </c>
      <c r="P10" s="10" t="s">
        <v>1214</v>
      </c>
      <c r="Q10" s="10" t="s">
        <v>1214</v>
      </c>
      <c r="R10" s="10" t="s">
        <v>1214</v>
      </c>
      <c r="S10" s="10" t="s">
        <v>61</v>
      </c>
    </row>
    <row r="11" spans="1:19" ht="159.5" x14ac:dyDescent="0.35">
      <c r="A11" s="14">
        <v>46022</v>
      </c>
      <c r="B11" s="10" t="s">
        <v>166</v>
      </c>
      <c r="C11" s="10" t="s">
        <v>167</v>
      </c>
      <c r="D11" s="10" t="s">
        <v>944</v>
      </c>
      <c r="E11" s="10">
        <v>10930027</v>
      </c>
      <c r="F11" s="15">
        <v>100</v>
      </c>
      <c r="G11" s="10" t="s">
        <v>1224</v>
      </c>
      <c r="H11" s="10">
        <v>10930027</v>
      </c>
      <c r="I11" s="10" t="s">
        <v>1194</v>
      </c>
      <c r="J11" s="10" t="s">
        <v>1214</v>
      </c>
      <c r="K11" s="10" t="s">
        <v>1214</v>
      </c>
      <c r="L11" s="10" t="s">
        <v>1214</v>
      </c>
      <c r="M11" s="10" t="s">
        <v>1214</v>
      </c>
      <c r="N11" s="10" t="s">
        <v>61</v>
      </c>
      <c r="O11" s="10" t="s">
        <v>1214</v>
      </c>
      <c r="P11" s="10" t="s">
        <v>1214</v>
      </c>
      <c r="Q11" s="10" t="s">
        <v>1214</v>
      </c>
      <c r="R11" s="10" t="s">
        <v>1214</v>
      </c>
      <c r="S11" s="10" t="s">
        <v>61</v>
      </c>
    </row>
    <row r="12" spans="1:19" ht="43.5" x14ac:dyDescent="0.35">
      <c r="A12" s="14">
        <v>46022</v>
      </c>
      <c r="B12" s="10" t="s">
        <v>168</v>
      </c>
      <c r="C12" s="10" t="s">
        <v>169</v>
      </c>
      <c r="D12" s="10" t="s">
        <v>945</v>
      </c>
      <c r="E12" s="10">
        <v>4349314</v>
      </c>
      <c r="F12" s="15">
        <v>100</v>
      </c>
      <c r="G12" s="10" t="s">
        <v>1225</v>
      </c>
      <c r="H12" s="10">
        <v>4349314</v>
      </c>
      <c r="I12" s="10" t="s">
        <v>1194</v>
      </c>
      <c r="J12" s="10" t="s">
        <v>58</v>
      </c>
      <c r="K12" s="10" t="s">
        <v>58</v>
      </c>
      <c r="L12" s="10" t="s">
        <v>58</v>
      </c>
      <c r="M12" s="10" t="s">
        <v>58</v>
      </c>
      <c r="N12" s="10" t="s">
        <v>58</v>
      </c>
      <c r="O12" s="10" t="s">
        <v>1214</v>
      </c>
      <c r="P12" s="10" t="s">
        <v>1214</v>
      </c>
      <c r="Q12" s="10" t="s">
        <v>1214</v>
      </c>
      <c r="R12" s="10" t="s">
        <v>1214</v>
      </c>
      <c r="S12" s="10" t="s">
        <v>61</v>
      </c>
    </row>
    <row r="13" spans="1:19" ht="188.5" x14ac:dyDescent="0.35">
      <c r="A13" s="14">
        <v>46022</v>
      </c>
      <c r="B13" s="10" t="s">
        <v>75</v>
      </c>
      <c r="C13" s="10" t="s">
        <v>76</v>
      </c>
      <c r="D13" s="10" t="s">
        <v>946</v>
      </c>
      <c r="E13" s="10">
        <v>4354915</v>
      </c>
      <c r="F13" s="15">
        <v>100</v>
      </c>
      <c r="G13" s="10" t="s">
        <v>1226</v>
      </c>
      <c r="H13" s="10">
        <v>4354915</v>
      </c>
      <c r="I13" s="10">
        <v>4314727</v>
      </c>
      <c r="J13" s="10" t="s">
        <v>1214</v>
      </c>
      <c r="K13" s="10" t="s">
        <v>1214</v>
      </c>
      <c r="L13" s="10" t="s">
        <v>1214</v>
      </c>
      <c r="M13" s="10" t="s">
        <v>1214</v>
      </c>
      <c r="N13" s="10" t="s">
        <v>61</v>
      </c>
      <c r="O13" s="10" t="s">
        <v>1214</v>
      </c>
      <c r="P13" s="10" t="s">
        <v>1214</v>
      </c>
      <c r="Q13" s="10" t="s">
        <v>1214</v>
      </c>
      <c r="R13" s="10" t="s">
        <v>1214</v>
      </c>
      <c r="S13" s="10" t="s">
        <v>61</v>
      </c>
    </row>
    <row r="14" spans="1:19" ht="130.5" x14ac:dyDescent="0.35">
      <c r="A14" s="14">
        <v>46022</v>
      </c>
      <c r="B14" s="10" t="s">
        <v>48</v>
      </c>
      <c r="C14" s="10" t="s">
        <v>49</v>
      </c>
      <c r="D14" s="10" t="s">
        <v>947</v>
      </c>
      <c r="E14" s="10">
        <v>4121840</v>
      </c>
      <c r="F14" s="15">
        <v>33.75</v>
      </c>
      <c r="G14" s="10" t="s">
        <v>1227</v>
      </c>
      <c r="H14" s="10">
        <v>4113732</v>
      </c>
      <c r="I14" s="10">
        <v>4121840</v>
      </c>
      <c r="J14" s="10" t="s">
        <v>1214</v>
      </c>
      <c r="K14" s="10" t="s">
        <v>1214</v>
      </c>
      <c r="L14" s="10" t="s">
        <v>1214</v>
      </c>
      <c r="M14" s="10" t="s">
        <v>1214</v>
      </c>
      <c r="N14" s="10" t="s">
        <v>1228</v>
      </c>
      <c r="O14" s="10" t="s">
        <v>1214</v>
      </c>
      <c r="P14" s="10" t="s">
        <v>1214</v>
      </c>
      <c r="Q14" s="10" t="s">
        <v>1214</v>
      </c>
      <c r="R14" s="10" t="s">
        <v>1214</v>
      </c>
      <c r="S14" s="10" t="s">
        <v>89</v>
      </c>
    </row>
    <row r="15" spans="1:19" ht="130.5" x14ac:dyDescent="0.35">
      <c r="A15" s="14">
        <v>46022</v>
      </c>
      <c r="B15" s="10" t="s">
        <v>48</v>
      </c>
      <c r="C15" s="10" t="s">
        <v>49</v>
      </c>
      <c r="D15" s="10" t="s">
        <v>948</v>
      </c>
      <c r="E15" s="10">
        <v>4113732</v>
      </c>
      <c r="F15" s="15">
        <v>33.75</v>
      </c>
      <c r="G15" s="10" t="s">
        <v>1227</v>
      </c>
      <c r="H15" s="10">
        <v>4113732</v>
      </c>
      <c r="I15" s="10">
        <v>4121840</v>
      </c>
      <c r="J15" s="10" t="s">
        <v>1214</v>
      </c>
      <c r="K15" s="10" t="s">
        <v>1214</v>
      </c>
      <c r="L15" s="10" t="s">
        <v>1214</v>
      </c>
      <c r="M15" s="10" t="s">
        <v>1214</v>
      </c>
      <c r="N15" s="10" t="s">
        <v>1228</v>
      </c>
      <c r="O15" s="10" t="s">
        <v>1214</v>
      </c>
      <c r="P15" s="10" t="s">
        <v>1214</v>
      </c>
      <c r="Q15" s="10" t="s">
        <v>1214</v>
      </c>
      <c r="R15" s="10" t="s">
        <v>1214</v>
      </c>
      <c r="S15" s="10" t="s">
        <v>89</v>
      </c>
    </row>
    <row r="16" spans="1:19" ht="130.5" x14ac:dyDescent="0.35">
      <c r="A16" s="14">
        <v>46022</v>
      </c>
      <c r="B16" s="10" t="s">
        <v>48</v>
      </c>
      <c r="C16" s="10" t="s">
        <v>49</v>
      </c>
      <c r="D16" s="10" t="s">
        <v>949</v>
      </c>
      <c r="E16" s="10">
        <v>4065098</v>
      </c>
      <c r="F16" s="15">
        <v>10</v>
      </c>
      <c r="G16" s="10" t="s">
        <v>1227</v>
      </c>
      <c r="H16" s="10">
        <v>4113732</v>
      </c>
      <c r="I16" s="10">
        <v>4121840</v>
      </c>
      <c r="J16" s="10" t="s">
        <v>1214</v>
      </c>
      <c r="K16" s="10" t="s">
        <v>1214</v>
      </c>
      <c r="L16" s="10" t="s">
        <v>1214</v>
      </c>
      <c r="M16" s="10" t="s">
        <v>1214</v>
      </c>
      <c r="N16" s="10" t="s">
        <v>1228</v>
      </c>
      <c r="O16" s="10" t="s">
        <v>1214</v>
      </c>
      <c r="P16" s="10" t="s">
        <v>1214</v>
      </c>
      <c r="Q16" s="10" t="s">
        <v>1214</v>
      </c>
      <c r="R16" s="10" t="s">
        <v>1214</v>
      </c>
      <c r="S16" s="10" t="s">
        <v>89</v>
      </c>
    </row>
    <row r="17" spans="1:19" ht="130.5" x14ac:dyDescent="0.35">
      <c r="A17" s="14">
        <v>46022</v>
      </c>
      <c r="B17" s="10" t="s">
        <v>48</v>
      </c>
      <c r="C17" s="10" t="s">
        <v>49</v>
      </c>
      <c r="D17" s="10" t="s">
        <v>950</v>
      </c>
      <c r="E17" s="10">
        <v>4141965</v>
      </c>
      <c r="F17" s="15">
        <v>22.5</v>
      </c>
      <c r="G17" s="10" t="s">
        <v>1227</v>
      </c>
      <c r="H17" s="10">
        <v>4113732</v>
      </c>
      <c r="I17" s="10">
        <v>4121840</v>
      </c>
      <c r="J17" s="10" t="s">
        <v>1214</v>
      </c>
      <c r="K17" s="10" t="s">
        <v>1214</v>
      </c>
      <c r="L17" s="10" t="s">
        <v>1214</v>
      </c>
      <c r="M17" s="10" t="s">
        <v>1214</v>
      </c>
      <c r="N17" s="10" t="s">
        <v>1228</v>
      </c>
      <c r="O17" s="10" t="s">
        <v>1214</v>
      </c>
      <c r="P17" s="10" t="s">
        <v>1214</v>
      </c>
      <c r="Q17" s="10" t="s">
        <v>1214</v>
      </c>
      <c r="R17" s="10" t="s">
        <v>1214</v>
      </c>
      <c r="S17" s="10" t="s">
        <v>89</v>
      </c>
    </row>
    <row r="18" spans="1:19" ht="29" x14ac:dyDescent="0.35">
      <c r="A18" s="14">
        <v>46022</v>
      </c>
      <c r="B18" s="10" t="s">
        <v>51</v>
      </c>
      <c r="C18" s="10" t="s">
        <v>52</v>
      </c>
      <c r="D18" s="10" t="s">
        <v>948</v>
      </c>
      <c r="E18" s="10">
        <v>4113732</v>
      </c>
      <c r="F18" s="15">
        <v>100</v>
      </c>
      <c r="G18" s="10" t="s">
        <v>1229</v>
      </c>
      <c r="H18" s="10">
        <v>4113732</v>
      </c>
      <c r="I18" s="10" t="s">
        <v>1194</v>
      </c>
      <c r="J18" s="10" t="s">
        <v>1214</v>
      </c>
      <c r="K18" s="10" t="s">
        <v>1214</v>
      </c>
      <c r="L18" s="10" t="s">
        <v>1214</v>
      </c>
      <c r="M18" s="10" t="s">
        <v>1214</v>
      </c>
      <c r="N18" s="10" t="s">
        <v>1228</v>
      </c>
      <c r="O18" s="10" t="s">
        <v>1214</v>
      </c>
      <c r="P18" s="10" t="s">
        <v>1214</v>
      </c>
      <c r="Q18" s="10" t="s">
        <v>1214</v>
      </c>
      <c r="R18" s="10" t="s">
        <v>1214</v>
      </c>
      <c r="S18" s="10" t="s">
        <v>61</v>
      </c>
    </row>
    <row r="19" spans="1:19" ht="29" x14ac:dyDescent="0.35">
      <c r="A19" s="14">
        <v>46022</v>
      </c>
      <c r="B19" s="10" t="s">
        <v>53</v>
      </c>
      <c r="C19" s="10" t="s">
        <v>54</v>
      </c>
      <c r="D19" s="10" t="s">
        <v>947</v>
      </c>
      <c r="E19" s="10">
        <v>4121840</v>
      </c>
      <c r="F19" s="15">
        <v>100</v>
      </c>
      <c r="G19" s="10" t="s">
        <v>1230</v>
      </c>
      <c r="H19" s="10">
        <v>4121840</v>
      </c>
      <c r="I19" s="10" t="s">
        <v>1194</v>
      </c>
      <c r="J19" s="10" t="s">
        <v>1214</v>
      </c>
      <c r="K19" s="10" t="s">
        <v>1214</v>
      </c>
      <c r="L19" s="10" t="s">
        <v>1214</v>
      </c>
      <c r="M19" s="10" t="s">
        <v>1214</v>
      </c>
      <c r="N19" s="10" t="s">
        <v>89</v>
      </c>
      <c r="O19" s="10" t="s">
        <v>1214</v>
      </c>
      <c r="P19" s="10" t="s">
        <v>1214</v>
      </c>
      <c r="Q19" s="10" t="s">
        <v>1214</v>
      </c>
      <c r="R19" s="10" t="s">
        <v>1214</v>
      </c>
      <c r="S19" s="10" t="s">
        <v>61</v>
      </c>
    </row>
    <row r="20" spans="1:19" ht="72.5" x14ac:dyDescent="0.35">
      <c r="A20" s="14">
        <v>46022</v>
      </c>
      <c r="B20" s="10" t="s">
        <v>56</v>
      </c>
      <c r="C20" s="10" t="s">
        <v>57</v>
      </c>
      <c r="D20" s="10" t="s">
        <v>951</v>
      </c>
      <c r="E20" s="10">
        <v>4348083</v>
      </c>
      <c r="F20" s="15">
        <v>70</v>
      </c>
      <c r="G20" s="10" t="s">
        <v>1231</v>
      </c>
      <c r="H20" s="10">
        <v>4348083</v>
      </c>
      <c r="I20" s="10">
        <v>4041871</v>
      </c>
      <c r="J20" s="10" t="s">
        <v>1232</v>
      </c>
      <c r="K20" s="10" t="s">
        <v>1233</v>
      </c>
      <c r="L20" s="10" t="s">
        <v>1234</v>
      </c>
      <c r="M20" s="10" t="s">
        <v>1233</v>
      </c>
      <c r="N20" s="10" t="s">
        <v>1219</v>
      </c>
      <c r="O20" s="10" t="s">
        <v>1214</v>
      </c>
      <c r="P20" s="10" t="s">
        <v>1214</v>
      </c>
      <c r="Q20" s="10" t="s">
        <v>1214</v>
      </c>
      <c r="R20" s="10" t="s">
        <v>1214</v>
      </c>
      <c r="S20" s="10" t="s">
        <v>1235</v>
      </c>
    </row>
    <row r="21" spans="1:19" ht="72.5" x14ac:dyDescent="0.35">
      <c r="A21" s="14">
        <v>46022</v>
      </c>
      <c r="B21" s="10" t="s">
        <v>56</v>
      </c>
      <c r="C21" s="10" t="s">
        <v>57</v>
      </c>
      <c r="D21" s="10" t="s">
        <v>952</v>
      </c>
      <c r="E21" s="10">
        <v>4041871</v>
      </c>
      <c r="F21" s="15">
        <v>30</v>
      </c>
      <c r="G21" s="10" t="s">
        <v>1231</v>
      </c>
      <c r="H21" s="10">
        <v>4348083</v>
      </c>
      <c r="I21" s="10">
        <v>4041871</v>
      </c>
      <c r="J21" s="10" t="s">
        <v>1232</v>
      </c>
      <c r="K21" s="10" t="s">
        <v>1233</v>
      </c>
      <c r="L21" s="10" t="s">
        <v>1234</v>
      </c>
      <c r="M21" s="10" t="s">
        <v>1233</v>
      </c>
      <c r="N21" s="10" t="s">
        <v>1219</v>
      </c>
      <c r="O21" s="10" t="s">
        <v>1214</v>
      </c>
      <c r="P21" s="10" t="s">
        <v>1214</v>
      </c>
      <c r="Q21" s="10" t="s">
        <v>1214</v>
      </c>
      <c r="R21" s="10" t="s">
        <v>1214</v>
      </c>
      <c r="S21" s="10" t="s">
        <v>1235</v>
      </c>
    </row>
    <row r="22" spans="1:19" ht="29" x14ac:dyDescent="0.35">
      <c r="A22" s="14">
        <v>46022</v>
      </c>
      <c r="B22" s="10" t="s">
        <v>170</v>
      </c>
      <c r="C22" s="10" t="s">
        <v>171</v>
      </c>
      <c r="D22" s="10" t="s">
        <v>953</v>
      </c>
      <c r="E22" s="10">
        <v>4348292</v>
      </c>
      <c r="F22" s="15">
        <v>100</v>
      </c>
      <c r="G22" s="10" t="s">
        <v>1236</v>
      </c>
      <c r="H22" s="10">
        <v>4348292</v>
      </c>
      <c r="I22" s="10" t="s">
        <v>1194</v>
      </c>
      <c r="J22" s="10" t="s">
        <v>1214</v>
      </c>
      <c r="K22" s="10" t="s">
        <v>1214</v>
      </c>
      <c r="L22" s="10" t="s">
        <v>1214</v>
      </c>
      <c r="M22" s="10" t="s">
        <v>1214</v>
      </c>
      <c r="N22" s="10" t="s">
        <v>79</v>
      </c>
      <c r="O22" s="10" t="s">
        <v>1214</v>
      </c>
      <c r="P22" s="10" t="s">
        <v>1214</v>
      </c>
      <c r="Q22" s="10" t="s">
        <v>1214</v>
      </c>
      <c r="R22" s="10" t="s">
        <v>1214</v>
      </c>
      <c r="S22" s="10" t="s">
        <v>61</v>
      </c>
    </row>
    <row r="23" spans="1:19" ht="58" x14ac:dyDescent="0.35">
      <c r="A23" s="14">
        <v>46022</v>
      </c>
      <c r="B23" s="10" t="s">
        <v>182</v>
      </c>
      <c r="C23" s="10" t="s">
        <v>183</v>
      </c>
      <c r="D23" s="10" t="s">
        <v>954</v>
      </c>
      <c r="E23" s="10">
        <v>4666985</v>
      </c>
      <c r="F23" s="15">
        <v>100</v>
      </c>
      <c r="G23" s="10" t="s">
        <v>1237</v>
      </c>
      <c r="H23" s="10">
        <v>4666985</v>
      </c>
      <c r="I23" s="10">
        <v>7927584</v>
      </c>
      <c r="J23" s="10" t="s">
        <v>1238</v>
      </c>
      <c r="K23" s="10" t="s">
        <v>55</v>
      </c>
      <c r="L23" s="10" t="s">
        <v>1239</v>
      </c>
      <c r="M23" s="10" t="s">
        <v>55</v>
      </c>
      <c r="N23" s="10" t="s">
        <v>1240</v>
      </c>
      <c r="O23" s="10" t="s">
        <v>1214</v>
      </c>
      <c r="P23" s="10" t="s">
        <v>1214</v>
      </c>
      <c r="Q23" s="10" t="s">
        <v>1214</v>
      </c>
      <c r="R23" s="10" t="s">
        <v>1214</v>
      </c>
      <c r="S23" s="10" t="s">
        <v>50</v>
      </c>
    </row>
    <row r="24" spans="1:19" ht="58" x14ac:dyDescent="0.35">
      <c r="A24" s="14">
        <v>46022</v>
      </c>
      <c r="B24" s="10" t="s">
        <v>182</v>
      </c>
      <c r="C24" s="10" t="s">
        <v>183</v>
      </c>
      <c r="D24" s="10" t="s">
        <v>955</v>
      </c>
      <c r="E24" s="10">
        <v>7927584</v>
      </c>
      <c r="F24" s="15">
        <v>100</v>
      </c>
      <c r="G24" s="10" t="s">
        <v>1237</v>
      </c>
      <c r="H24" s="10">
        <v>4666985</v>
      </c>
      <c r="I24" s="10">
        <v>7927584</v>
      </c>
      <c r="J24" s="10" t="s">
        <v>1238</v>
      </c>
      <c r="K24" s="10" t="s">
        <v>55</v>
      </c>
      <c r="L24" s="10" t="s">
        <v>1239</v>
      </c>
      <c r="M24" s="10" t="s">
        <v>55</v>
      </c>
      <c r="N24" s="10" t="s">
        <v>1240</v>
      </c>
      <c r="O24" s="10" t="s">
        <v>1214</v>
      </c>
      <c r="P24" s="10" t="s">
        <v>1214</v>
      </c>
      <c r="Q24" s="10" t="s">
        <v>1214</v>
      </c>
      <c r="R24" s="10" t="s">
        <v>1214</v>
      </c>
      <c r="S24" s="10" t="s">
        <v>50</v>
      </c>
    </row>
    <row r="25" spans="1:19" ht="159.5" x14ac:dyDescent="0.35">
      <c r="A25" s="14">
        <v>46022</v>
      </c>
      <c r="B25" s="10" t="s">
        <v>59</v>
      </c>
      <c r="C25" s="10" t="s">
        <v>60</v>
      </c>
      <c r="D25" s="10" t="s">
        <v>956</v>
      </c>
      <c r="E25" s="10">
        <v>4350334</v>
      </c>
      <c r="F25" s="15">
        <v>15</v>
      </c>
      <c r="G25" s="10" t="s">
        <v>1241</v>
      </c>
      <c r="H25" s="10">
        <v>4355642</v>
      </c>
      <c r="I25" s="10">
        <v>4415549</v>
      </c>
      <c r="J25" s="10" t="s">
        <v>1214</v>
      </c>
      <c r="K25" s="10" t="s">
        <v>1214</v>
      </c>
      <c r="L25" s="10" t="s">
        <v>1214</v>
      </c>
      <c r="M25" s="10" t="s">
        <v>1214</v>
      </c>
      <c r="N25" s="10" t="s">
        <v>61</v>
      </c>
      <c r="O25" s="10" t="s">
        <v>1214</v>
      </c>
      <c r="P25" s="10" t="s">
        <v>1214</v>
      </c>
      <c r="Q25" s="10" t="s">
        <v>1214</v>
      </c>
      <c r="R25" s="10" t="s">
        <v>1214</v>
      </c>
      <c r="S25" s="10" t="s">
        <v>61</v>
      </c>
    </row>
    <row r="26" spans="1:19" ht="159.5" x14ac:dyDescent="0.35">
      <c r="A26" s="14">
        <v>46022</v>
      </c>
      <c r="B26" s="10" t="s">
        <v>59</v>
      </c>
      <c r="C26" s="10" t="s">
        <v>60</v>
      </c>
      <c r="D26" s="10" t="s">
        <v>957</v>
      </c>
      <c r="E26" s="10">
        <v>4415549</v>
      </c>
      <c r="F26" s="15">
        <v>34</v>
      </c>
      <c r="G26" s="10" t="s">
        <v>1241</v>
      </c>
      <c r="H26" s="10">
        <v>4355642</v>
      </c>
      <c r="I26" s="10">
        <v>4415549</v>
      </c>
      <c r="J26" s="10" t="s">
        <v>1214</v>
      </c>
      <c r="K26" s="10" t="s">
        <v>1214</v>
      </c>
      <c r="L26" s="10" t="s">
        <v>1214</v>
      </c>
      <c r="M26" s="10" t="s">
        <v>1214</v>
      </c>
      <c r="N26" s="10" t="s">
        <v>61</v>
      </c>
      <c r="O26" s="10" t="s">
        <v>1214</v>
      </c>
      <c r="P26" s="10" t="s">
        <v>1214</v>
      </c>
      <c r="Q26" s="10" t="s">
        <v>1214</v>
      </c>
      <c r="R26" s="10" t="s">
        <v>1214</v>
      </c>
      <c r="S26" s="10" t="s">
        <v>61</v>
      </c>
    </row>
    <row r="27" spans="1:19" ht="159.5" x14ac:dyDescent="0.35">
      <c r="A27" s="14">
        <v>46022</v>
      </c>
      <c r="B27" s="10" t="s">
        <v>59</v>
      </c>
      <c r="C27" s="10" t="s">
        <v>60</v>
      </c>
      <c r="D27" s="10" t="s">
        <v>958</v>
      </c>
      <c r="E27" s="10">
        <v>4355642</v>
      </c>
      <c r="F27" s="15">
        <v>51</v>
      </c>
      <c r="G27" s="10" t="s">
        <v>1241</v>
      </c>
      <c r="H27" s="10">
        <v>4355642</v>
      </c>
      <c r="I27" s="10">
        <v>4415549</v>
      </c>
      <c r="J27" s="10" t="s">
        <v>1214</v>
      </c>
      <c r="K27" s="10" t="s">
        <v>1214</v>
      </c>
      <c r="L27" s="10" t="s">
        <v>1214</v>
      </c>
      <c r="M27" s="10" t="s">
        <v>1214</v>
      </c>
      <c r="N27" s="10" t="s">
        <v>61</v>
      </c>
      <c r="O27" s="10" t="s">
        <v>1214</v>
      </c>
      <c r="P27" s="10" t="s">
        <v>1214</v>
      </c>
      <c r="Q27" s="10" t="s">
        <v>1214</v>
      </c>
      <c r="R27" s="10" t="s">
        <v>1214</v>
      </c>
      <c r="S27" s="10" t="s">
        <v>61</v>
      </c>
    </row>
    <row r="28" spans="1:19" ht="72.5" x14ac:dyDescent="0.35">
      <c r="A28" s="14">
        <v>46022</v>
      </c>
      <c r="B28" s="10" t="s">
        <v>172</v>
      </c>
      <c r="C28" s="10" t="s">
        <v>173</v>
      </c>
      <c r="D28" s="10" t="s">
        <v>959</v>
      </c>
      <c r="E28" s="10">
        <v>4352362</v>
      </c>
      <c r="F28" s="15">
        <v>99.99</v>
      </c>
      <c r="G28" s="10" t="s">
        <v>1242</v>
      </c>
      <c r="H28" s="10">
        <v>4352362</v>
      </c>
      <c r="I28" s="10">
        <v>4400798</v>
      </c>
      <c r="J28" s="10" t="s">
        <v>1214</v>
      </c>
      <c r="K28" s="10" t="s">
        <v>1214</v>
      </c>
      <c r="L28" s="10" t="s">
        <v>1214</v>
      </c>
      <c r="M28" s="10" t="s">
        <v>1214</v>
      </c>
      <c r="N28" s="10" t="s">
        <v>111</v>
      </c>
      <c r="O28" s="10" t="s">
        <v>1214</v>
      </c>
      <c r="P28" s="10" t="s">
        <v>1214</v>
      </c>
      <c r="Q28" s="10" t="s">
        <v>1214</v>
      </c>
      <c r="R28" s="10" t="s">
        <v>1214</v>
      </c>
      <c r="S28" s="10" t="s">
        <v>79</v>
      </c>
    </row>
    <row r="29" spans="1:19" ht="58" x14ac:dyDescent="0.35">
      <c r="A29" s="14">
        <v>46022</v>
      </c>
      <c r="B29" s="10" t="s">
        <v>184</v>
      </c>
      <c r="C29" s="10" t="s">
        <v>185</v>
      </c>
      <c r="D29" s="10" t="s">
        <v>960</v>
      </c>
      <c r="E29" s="10">
        <v>4348270</v>
      </c>
      <c r="F29" s="15">
        <v>100</v>
      </c>
      <c r="G29" s="10" t="s">
        <v>1243</v>
      </c>
      <c r="H29" s="10">
        <v>4348270</v>
      </c>
      <c r="I29" s="10" t="s">
        <v>1194</v>
      </c>
      <c r="J29" s="10" t="s">
        <v>1214</v>
      </c>
      <c r="K29" s="10" t="s">
        <v>1214</v>
      </c>
      <c r="L29" s="10" t="s">
        <v>1214</v>
      </c>
      <c r="M29" s="10" t="s">
        <v>1214</v>
      </c>
      <c r="N29" s="10" t="s">
        <v>157</v>
      </c>
      <c r="O29" s="10" t="s">
        <v>1214</v>
      </c>
      <c r="P29" s="10" t="s">
        <v>1214</v>
      </c>
      <c r="Q29" s="10" t="s">
        <v>1214</v>
      </c>
      <c r="R29" s="10" t="s">
        <v>1214</v>
      </c>
      <c r="S29" s="10" t="s">
        <v>61</v>
      </c>
    </row>
    <row r="30" spans="1:19" ht="116" x14ac:dyDescent="0.35">
      <c r="A30" s="14">
        <v>46022</v>
      </c>
      <c r="B30" s="10" t="s">
        <v>186</v>
      </c>
      <c r="C30" s="10" t="s">
        <v>187</v>
      </c>
      <c r="D30" s="10" t="s">
        <v>961</v>
      </c>
      <c r="E30" s="10">
        <v>4348363</v>
      </c>
      <c r="F30" s="15">
        <v>99.67</v>
      </c>
      <c r="G30" s="10" t="s">
        <v>1244</v>
      </c>
      <c r="H30" s="10">
        <v>4348363</v>
      </c>
      <c r="I30" s="10">
        <v>4353456</v>
      </c>
      <c r="J30" s="10" t="s">
        <v>1214</v>
      </c>
      <c r="K30" s="10" t="s">
        <v>1214</v>
      </c>
      <c r="L30" s="10" t="s">
        <v>1214</v>
      </c>
      <c r="M30" s="10" t="s">
        <v>1214</v>
      </c>
      <c r="N30" s="10" t="s">
        <v>222</v>
      </c>
      <c r="O30" s="10" t="s">
        <v>1214</v>
      </c>
      <c r="P30" s="10" t="s">
        <v>1214</v>
      </c>
      <c r="Q30" s="10" t="s">
        <v>1214</v>
      </c>
      <c r="R30" s="10" t="s">
        <v>1214</v>
      </c>
      <c r="S30" s="10" t="s">
        <v>61</v>
      </c>
    </row>
    <row r="31" spans="1:19" ht="116" x14ac:dyDescent="0.35">
      <c r="A31" s="14">
        <v>46022</v>
      </c>
      <c r="B31" s="10" t="s">
        <v>186</v>
      </c>
      <c r="C31" s="10" t="s">
        <v>187</v>
      </c>
      <c r="D31" s="10" t="s">
        <v>962</v>
      </c>
      <c r="E31" s="10">
        <v>4353456</v>
      </c>
      <c r="F31" s="15">
        <v>0.33</v>
      </c>
      <c r="G31" s="10" t="s">
        <v>1244</v>
      </c>
      <c r="H31" s="10">
        <v>4348363</v>
      </c>
      <c r="I31" s="10">
        <v>4353456</v>
      </c>
      <c r="J31" s="10" t="s">
        <v>1214</v>
      </c>
      <c r="K31" s="10" t="s">
        <v>1214</v>
      </c>
      <c r="L31" s="10" t="s">
        <v>1214</v>
      </c>
      <c r="M31" s="10" t="s">
        <v>1214</v>
      </c>
      <c r="N31" s="10" t="s">
        <v>222</v>
      </c>
      <c r="O31" s="10" t="s">
        <v>1214</v>
      </c>
      <c r="P31" s="10" t="s">
        <v>1214</v>
      </c>
      <c r="Q31" s="10" t="s">
        <v>1214</v>
      </c>
      <c r="R31" s="10" t="s">
        <v>1214</v>
      </c>
      <c r="S31" s="10" t="s">
        <v>61</v>
      </c>
    </row>
    <row r="32" spans="1:19" ht="29" x14ac:dyDescent="0.35">
      <c r="A32" s="14">
        <v>46022</v>
      </c>
      <c r="B32" s="10" t="s">
        <v>77</v>
      </c>
      <c r="C32" s="10" t="s">
        <v>78</v>
      </c>
      <c r="D32" s="10" t="s">
        <v>963</v>
      </c>
      <c r="E32" s="10">
        <v>4004107</v>
      </c>
      <c r="F32" s="15">
        <v>100</v>
      </c>
      <c r="G32" s="10" t="s">
        <v>1245</v>
      </c>
      <c r="H32" s="10">
        <v>4004107</v>
      </c>
      <c r="I32" s="10" t="s">
        <v>1194</v>
      </c>
      <c r="J32" s="10" t="s">
        <v>1214</v>
      </c>
      <c r="K32" s="10" t="s">
        <v>1214</v>
      </c>
      <c r="L32" s="10" t="s">
        <v>1214</v>
      </c>
      <c r="M32" s="10" t="s">
        <v>1214</v>
      </c>
      <c r="N32" s="10" t="s">
        <v>79</v>
      </c>
      <c r="O32" s="10" t="s">
        <v>1214</v>
      </c>
      <c r="P32" s="10" t="s">
        <v>1214</v>
      </c>
      <c r="Q32" s="10" t="s">
        <v>1214</v>
      </c>
      <c r="R32" s="10" t="s">
        <v>1214</v>
      </c>
      <c r="S32" s="10" t="s">
        <v>61</v>
      </c>
    </row>
    <row r="33" spans="1:19" ht="43.5" x14ac:dyDescent="0.35">
      <c r="A33" s="14">
        <v>46022</v>
      </c>
      <c r="B33" s="10" t="s">
        <v>62</v>
      </c>
      <c r="C33" s="10" t="s">
        <v>63</v>
      </c>
      <c r="D33" s="10" t="s">
        <v>964</v>
      </c>
      <c r="E33" s="10">
        <v>10930039</v>
      </c>
      <c r="F33" s="15">
        <v>100</v>
      </c>
      <c r="G33" s="10" t="s">
        <v>1246</v>
      </c>
      <c r="H33" s="10">
        <v>10930039</v>
      </c>
      <c r="I33" s="10" t="s">
        <v>1194</v>
      </c>
      <c r="J33" s="10" t="s">
        <v>1214</v>
      </c>
      <c r="K33" s="10" t="s">
        <v>1214</v>
      </c>
      <c r="L33" s="10" t="s">
        <v>1214</v>
      </c>
      <c r="M33" s="10" t="s">
        <v>1214</v>
      </c>
      <c r="N33" s="10" t="s">
        <v>61</v>
      </c>
      <c r="O33" s="10" t="s">
        <v>1214</v>
      </c>
      <c r="P33" s="10" t="s">
        <v>1214</v>
      </c>
      <c r="Q33" s="10" t="s">
        <v>1214</v>
      </c>
      <c r="R33" s="10" t="s">
        <v>1214</v>
      </c>
      <c r="S33" s="10" t="s">
        <v>61</v>
      </c>
    </row>
    <row r="34" spans="1:19" ht="29" x14ac:dyDescent="0.35">
      <c r="A34" s="14">
        <v>46022</v>
      </c>
      <c r="B34" s="10" t="s">
        <v>64</v>
      </c>
      <c r="C34" s="10" t="s">
        <v>65</v>
      </c>
      <c r="D34" s="10" t="s">
        <v>965</v>
      </c>
      <c r="E34" s="10">
        <v>4347817</v>
      </c>
      <c r="F34" s="15">
        <v>100</v>
      </c>
      <c r="G34" s="10" t="s">
        <v>1247</v>
      </c>
      <c r="H34" s="10">
        <v>4347817</v>
      </c>
      <c r="I34" s="10" t="s">
        <v>1194</v>
      </c>
      <c r="J34" s="10" t="s">
        <v>1214</v>
      </c>
      <c r="K34" s="10" t="s">
        <v>1214</v>
      </c>
      <c r="L34" s="10" t="s">
        <v>1214</v>
      </c>
      <c r="M34" s="10" t="s">
        <v>1214</v>
      </c>
      <c r="N34" s="10" t="s">
        <v>1219</v>
      </c>
      <c r="O34" s="10" t="s">
        <v>1214</v>
      </c>
      <c r="P34" s="10" t="s">
        <v>1214</v>
      </c>
      <c r="Q34" s="10" t="s">
        <v>1214</v>
      </c>
      <c r="R34" s="10" t="s">
        <v>1214</v>
      </c>
      <c r="S34" s="10" t="s">
        <v>61</v>
      </c>
    </row>
    <row r="35" spans="1:19" ht="29" x14ac:dyDescent="0.35">
      <c r="A35" s="14">
        <v>46022</v>
      </c>
      <c r="B35" s="10" t="s">
        <v>174</v>
      </c>
      <c r="C35" s="10" t="s">
        <v>175</v>
      </c>
      <c r="D35" s="10" t="s">
        <v>966</v>
      </c>
      <c r="E35" s="10">
        <v>10948123</v>
      </c>
      <c r="F35" s="15">
        <v>100</v>
      </c>
      <c r="G35" s="10" t="s">
        <v>1248</v>
      </c>
      <c r="H35" s="10">
        <v>10948123</v>
      </c>
      <c r="I35" s="10" t="s">
        <v>1194</v>
      </c>
      <c r="J35" s="10" t="s">
        <v>1214</v>
      </c>
      <c r="K35" s="10" t="s">
        <v>1214</v>
      </c>
      <c r="L35" s="10" t="s">
        <v>1214</v>
      </c>
      <c r="M35" s="10" t="s">
        <v>1214</v>
      </c>
      <c r="N35" s="10" t="s">
        <v>61</v>
      </c>
      <c r="O35" s="10" t="s">
        <v>1214</v>
      </c>
      <c r="P35" s="10" t="s">
        <v>1214</v>
      </c>
      <c r="Q35" s="10" t="s">
        <v>1214</v>
      </c>
      <c r="R35" s="10" t="s">
        <v>1214</v>
      </c>
      <c r="S35" s="10" t="s">
        <v>61</v>
      </c>
    </row>
    <row r="36" spans="1:19" ht="43.5" x14ac:dyDescent="0.35">
      <c r="A36" s="14">
        <v>46022</v>
      </c>
      <c r="B36" s="10" t="s">
        <v>176</v>
      </c>
      <c r="C36" s="10" t="s">
        <v>177</v>
      </c>
      <c r="D36" s="10" t="s">
        <v>967</v>
      </c>
      <c r="E36" s="10">
        <v>10931218</v>
      </c>
      <c r="F36" s="15">
        <v>100</v>
      </c>
      <c r="G36" s="10" t="s">
        <v>1249</v>
      </c>
      <c r="H36" s="10">
        <v>10931218</v>
      </c>
      <c r="I36" s="10" t="s">
        <v>1194</v>
      </c>
      <c r="J36" s="10" t="s">
        <v>1214</v>
      </c>
      <c r="K36" s="10" t="s">
        <v>1214</v>
      </c>
      <c r="L36" s="10" t="s">
        <v>1214</v>
      </c>
      <c r="M36" s="10" t="s">
        <v>1214</v>
      </c>
      <c r="N36" s="10" t="s">
        <v>61</v>
      </c>
      <c r="O36" s="10" t="s">
        <v>1214</v>
      </c>
      <c r="P36" s="10" t="s">
        <v>1214</v>
      </c>
      <c r="Q36" s="10" t="s">
        <v>1214</v>
      </c>
      <c r="R36" s="10" t="s">
        <v>1214</v>
      </c>
      <c r="S36" s="10" t="s">
        <v>61</v>
      </c>
    </row>
    <row r="37" spans="1:19" ht="43.5" x14ac:dyDescent="0.35">
      <c r="A37" s="14">
        <v>46022</v>
      </c>
      <c r="B37" s="10" t="s">
        <v>84</v>
      </c>
      <c r="C37" s="10" t="s">
        <v>85</v>
      </c>
      <c r="D37" s="10" t="s">
        <v>968</v>
      </c>
      <c r="E37" s="10">
        <v>4355114</v>
      </c>
      <c r="F37" s="15">
        <v>79.78</v>
      </c>
      <c r="G37" s="10" t="s">
        <v>1250</v>
      </c>
      <c r="H37" s="10">
        <v>4355114</v>
      </c>
      <c r="I37" s="10" t="s">
        <v>1194</v>
      </c>
      <c r="J37" s="10" t="s">
        <v>1251</v>
      </c>
      <c r="K37" s="10" t="s">
        <v>1252</v>
      </c>
      <c r="L37" s="10" t="s">
        <v>1253</v>
      </c>
      <c r="M37" s="10" t="s">
        <v>1254</v>
      </c>
      <c r="N37" s="10" t="s">
        <v>86</v>
      </c>
      <c r="O37" s="10" t="s">
        <v>1214</v>
      </c>
      <c r="P37" s="10" t="s">
        <v>1214</v>
      </c>
      <c r="Q37" s="10" t="s">
        <v>1214</v>
      </c>
      <c r="R37" s="10" t="s">
        <v>1214</v>
      </c>
      <c r="S37" s="10" t="s">
        <v>61</v>
      </c>
    </row>
    <row r="38" spans="1:19" ht="72.5" x14ac:dyDescent="0.35">
      <c r="A38" s="14">
        <v>46022</v>
      </c>
      <c r="B38" s="10" t="s">
        <v>683</v>
      </c>
      <c r="C38" s="10" t="s">
        <v>684</v>
      </c>
      <c r="D38" s="10" t="s">
        <v>969</v>
      </c>
      <c r="E38" s="10">
        <v>4754148</v>
      </c>
      <c r="F38" s="15">
        <v>99.99</v>
      </c>
      <c r="G38" s="10" t="s">
        <v>1255</v>
      </c>
      <c r="H38" s="10">
        <v>4754148</v>
      </c>
      <c r="I38" s="10">
        <v>7700419</v>
      </c>
      <c r="J38" s="10" t="s">
        <v>1214</v>
      </c>
      <c r="K38" s="10" t="s">
        <v>1214</v>
      </c>
      <c r="L38" s="10" t="s">
        <v>1214</v>
      </c>
      <c r="M38" s="10" t="s">
        <v>1214</v>
      </c>
      <c r="N38" s="10" t="s">
        <v>536</v>
      </c>
      <c r="O38" s="10" t="s">
        <v>1214</v>
      </c>
      <c r="P38" s="10" t="s">
        <v>1214</v>
      </c>
      <c r="Q38" s="10" t="s">
        <v>1214</v>
      </c>
      <c r="R38" s="10" t="s">
        <v>1214</v>
      </c>
      <c r="S38" s="10" t="s">
        <v>536</v>
      </c>
    </row>
    <row r="39" spans="1:19" ht="72.5" x14ac:dyDescent="0.35">
      <c r="A39" s="14">
        <v>46022</v>
      </c>
      <c r="B39" s="10" t="s">
        <v>683</v>
      </c>
      <c r="C39" s="10" t="s">
        <v>684</v>
      </c>
      <c r="D39" s="10" t="s">
        <v>970</v>
      </c>
      <c r="E39" s="10">
        <v>7700419</v>
      </c>
      <c r="F39" s="15">
        <v>0.01</v>
      </c>
      <c r="G39" s="10" t="s">
        <v>1255</v>
      </c>
      <c r="H39" s="10">
        <v>4754148</v>
      </c>
      <c r="I39" s="10">
        <v>7700419</v>
      </c>
      <c r="J39" s="10" t="s">
        <v>1214</v>
      </c>
      <c r="K39" s="10" t="s">
        <v>1214</v>
      </c>
      <c r="L39" s="10" t="s">
        <v>1214</v>
      </c>
      <c r="M39" s="10" t="s">
        <v>1214</v>
      </c>
      <c r="N39" s="10" t="s">
        <v>536</v>
      </c>
      <c r="O39" s="10" t="s">
        <v>1214</v>
      </c>
      <c r="P39" s="10" t="s">
        <v>1214</v>
      </c>
      <c r="Q39" s="10" t="s">
        <v>1214</v>
      </c>
      <c r="R39" s="10" t="s">
        <v>1214</v>
      </c>
      <c r="S39" s="10" t="s">
        <v>536</v>
      </c>
    </row>
    <row r="40" spans="1:19" ht="29" x14ac:dyDescent="0.35">
      <c r="A40" s="14">
        <v>46022</v>
      </c>
      <c r="B40" s="10" t="s">
        <v>80</v>
      </c>
      <c r="C40" s="10" t="s">
        <v>81</v>
      </c>
      <c r="D40" s="10" t="s">
        <v>971</v>
      </c>
      <c r="E40" s="10">
        <v>4149660</v>
      </c>
      <c r="F40" s="15">
        <v>100</v>
      </c>
      <c r="G40" s="10" t="s">
        <v>1256</v>
      </c>
      <c r="H40" s="10">
        <v>4149660</v>
      </c>
      <c r="I40" s="10" t="s">
        <v>1194</v>
      </c>
      <c r="J40" s="10" t="s">
        <v>1214</v>
      </c>
      <c r="K40" s="10" t="s">
        <v>1214</v>
      </c>
      <c r="L40" s="10" t="s">
        <v>1214</v>
      </c>
      <c r="M40" s="10" t="s">
        <v>1214</v>
      </c>
      <c r="N40" s="10" t="s">
        <v>1219</v>
      </c>
      <c r="O40" s="10" t="s">
        <v>1214</v>
      </c>
      <c r="P40" s="10" t="s">
        <v>1214</v>
      </c>
      <c r="Q40" s="10" t="s">
        <v>1214</v>
      </c>
      <c r="R40" s="10" t="s">
        <v>1214</v>
      </c>
      <c r="S40" s="10" t="s">
        <v>61</v>
      </c>
    </row>
    <row r="41" spans="1:19" ht="87" x14ac:dyDescent="0.35">
      <c r="A41" s="14">
        <v>46022</v>
      </c>
      <c r="B41" s="10" t="s">
        <v>685</v>
      </c>
      <c r="C41" s="10" t="s">
        <v>686</v>
      </c>
      <c r="D41" s="10" t="s">
        <v>972</v>
      </c>
      <c r="E41" s="10">
        <v>4350038</v>
      </c>
      <c r="F41" s="15">
        <v>45</v>
      </c>
      <c r="G41" s="10" t="s">
        <v>1257</v>
      </c>
      <c r="H41" s="10">
        <v>4355642</v>
      </c>
      <c r="I41" s="10">
        <v>4350038</v>
      </c>
      <c r="J41" s="10" t="s">
        <v>1214</v>
      </c>
      <c r="K41" s="10" t="s">
        <v>1214</v>
      </c>
      <c r="L41" s="10" t="s">
        <v>1214</v>
      </c>
      <c r="M41" s="10" t="s">
        <v>1214</v>
      </c>
      <c r="N41" s="10" t="s">
        <v>61</v>
      </c>
      <c r="O41" s="10" t="s">
        <v>1214</v>
      </c>
      <c r="P41" s="10" t="s">
        <v>1214</v>
      </c>
      <c r="Q41" s="10" t="s">
        <v>1214</v>
      </c>
      <c r="R41" s="10" t="s">
        <v>1214</v>
      </c>
      <c r="S41" s="10" t="s">
        <v>687</v>
      </c>
    </row>
    <row r="42" spans="1:19" ht="87" x14ac:dyDescent="0.35">
      <c r="A42" s="14">
        <v>46022</v>
      </c>
      <c r="B42" s="10" t="s">
        <v>685</v>
      </c>
      <c r="C42" s="10" t="s">
        <v>686</v>
      </c>
      <c r="D42" s="10" t="s">
        <v>958</v>
      </c>
      <c r="E42" s="10">
        <v>4355642</v>
      </c>
      <c r="F42" s="15">
        <v>55</v>
      </c>
      <c r="G42" s="10" t="s">
        <v>1257</v>
      </c>
      <c r="H42" s="10">
        <v>4355642</v>
      </c>
      <c r="I42" s="10">
        <v>4350038</v>
      </c>
      <c r="J42" s="10" t="s">
        <v>1214</v>
      </c>
      <c r="K42" s="10" t="s">
        <v>1214</v>
      </c>
      <c r="L42" s="10" t="s">
        <v>1214</v>
      </c>
      <c r="M42" s="10" t="s">
        <v>1214</v>
      </c>
      <c r="N42" s="10" t="s">
        <v>61</v>
      </c>
      <c r="O42" s="10" t="s">
        <v>1214</v>
      </c>
      <c r="P42" s="10" t="s">
        <v>1214</v>
      </c>
      <c r="Q42" s="10" t="s">
        <v>1214</v>
      </c>
      <c r="R42" s="10" t="s">
        <v>1214</v>
      </c>
      <c r="S42" s="10" t="s">
        <v>687</v>
      </c>
    </row>
    <row r="43" spans="1:19" ht="87" x14ac:dyDescent="0.35">
      <c r="A43" s="14">
        <v>46022</v>
      </c>
      <c r="B43" s="10" t="s">
        <v>82</v>
      </c>
      <c r="C43" s="10" t="s">
        <v>83</v>
      </c>
      <c r="D43" s="10" t="s">
        <v>973</v>
      </c>
      <c r="E43" s="10">
        <v>10931202</v>
      </c>
      <c r="F43" s="15">
        <v>100</v>
      </c>
      <c r="G43" s="10" t="s">
        <v>1258</v>
      </c>
      <c r="H43" s="10">
        <v>10931202</v>
      </c>
      <c r="I43" s="10" t="s">
        <v>1194</v>
      </c>
      <c r="J43" s="10" t="s">
        <v>1214</v>
      </c>
      <c r="K43" s="10" t="s">
        <v>1214</v>
      </c>
      <c r="L43" s="10" t="s">
        <v>1214</v>
      </c>
      <c r="M43" s="10" t="s">
        <v>1214</v>
      </c>
      <c r="N43" s="10" t="s">
        <v>61</v>
      </c>
      <c r="O43" s="10" t="s">
        <v>1214</v>
      </c>
      <c r="P43" s="10" t="s">
        <v>1214</v>
      </c>
      <c r="Q43" s="10" t="s">
        <v>1214</v>
      </c>
      <c r="R43" s="10" t="s">
        <v>1214</v>
      </c>
      <c r="S43" s="10" t="s">
        <v>61</v>
      </c>
    </row>
    <row r="44" spans="1:19" ht="72.5" x14ac:dyDescent="0.35">
      <c r="A44" s="14">
        <v>46022</v>
      </c>
      <c r="B44" s="10" t="s">
        <v>688</v>
      </c>
      <c r="C44" s="10" t="s">
        <v>689</v>
      </c>
      <c r="D44" s="10" t="s">
        <v>974</v>
      </c>
      <c r="E44" s="10">
        <v>4226974</v>
      </c>
      <c r="F44" s="15">
        <v>26</v>
      </c>
      <c r="G44" s="10" t="s">
        <v>1259</v>
      </c>
      <c r="H44" s="10">
        <v>4354101</v>
      </c>
      <c r="I44" s="10">
        <v>4226974</v>
      </c>
      <c r="J44" s="10" t="s">
        <v>1214</v>
      </c>
      <c r="K44" s="10" t="s">
        <v>1214</v>
      </c>
      <c r="L44" s="10" t="s">
        <v>1214</v>
      </c>
      <c r="M44" s="10" t="s">
        <v>1214</v>
      </c>
      <c r="N44" s="10" t="s">
        <v>1260</v>
      </c>
      <c r="O44" s="10" t="s">
        <v>1214</v>
      </c>
      <c r="P44" s="10" t="s">
        <v>1214</v>
      </c>
      <c r="Q44" s="10" t="s">
        <v>1214</v>
      </c>
      <c r="R44" s="10" t="s">
        <v>1214</v>
      </c>
      <c r="S44" s="10" t="s">
        <v>105</v>
      </c>
    </row>
    <row r="45" spans="1:19" ht="72.5" x14ac:dyDescent="0.35">
      <c r="A45" s="14">
        <v>46022</v>
      </c>
      <c r="B45" s="10" t="s">
        <v>688</v>
      </c>
      <c r="C45" s="10" t="s">
        <v>689</v>
      </c>
      <c r="D45" s="10" t="s">
        <v>975</v>
      </c>
      <c r="E45" s="10">
        <v>4354101</v>
      </c>
      <c r="F45" s="15">
        <v>74</v>
      </c>
      <c r="G45" s="10" t="s">
        <v>1259</v>
      </c>
      <c r="H45" s="10">
        <v>4354101</v>
      </c>
      <c r="I45" s="10">
        <v>4226974</v>
      </c>
      <c r="J45" s="10" t="s">
        <v>1214</v>
      </c>
      <c r="K45" s="10" t="s">
        <v>1214</v>
      </c>
      <c r="L45" s="10" t="s">
        <v>1214</v>
      </c>
      <c r="M45" s="10" t="s">
        <v>1214</v>
      </c>
      <c r="N45" s="10" t="s">
        <v>1260</v>
      </c>
      <c r="O45" s="10" t="s">
        <v>1214</v>
      </c>
      <c r="P45" s="10" t="s">
        <v>1214</v>
      </c>
      <c r="Q45" s="10" t="s">
        <v>1214</v>
      </c>
      <c r="R45" s="10" t="s">
        <v>1214</v>
      </c>
      <c r="S45" s="10" t="s">
        <v>105</v>
      </c>
    </row>
    <row r="46" spans="1:19" ht="29" x14ac:dyDescent="0.35">
      <c r="A46" s="14">
        <v>46022</v>
      </c>
      <c r="B46" s="10" t="s">
        <v>87</v>
      </c>
      <c r="C46" s="10" t="s">
        <v>88</v>
      </c>
      <c r="D46" s="10" t="s">
        <v>976</v>
      </c>
      <c r="E46" s="10">
        <v>4075105</v>
      </c>
      <c r="F46" s="15">
        <v>100</v>
      </c>
      <c r="G46" s="10" t="s">
        <v>1261</v>
      </c>
      <c r="H46" s="10">
        <v>4075105</v>
      </c>
      <c r="I46" s="10" t="s">
        <v>1194</v>
      </c>
      <c r="J46" s="10" t="s">
        <v>1214</v>
      </c>
      <c r="K46" s="10" t="s">
        <v>1214</v>
      </c>
      <c r="L46" s="10" t="s">
        <v>1214</v>
      </c>
      <c r="M46" s="10" t="s">
        <v>1214</v>
      </c>
      <c r="N46" s="10" t="s">
        <v>79</v>
      </c>
      <c r="O46" s="10" t="s">
        <v>1214</v>
      </c>
      <c r="P46" s="10" t="s">
        <v>1214</v>
      </c>
      <c r="Q46" s="10" t="s">
        <v>1214</v>
      </c>
      <c r="R46" s="10" t="s">
        <v>1214</v>
      </c>
      <c r="S46" s="10" t="s">
        <v>61</v>
      </c>
    </row>
    <row r="47" spans="1:19" ht="29" x14ac:dyDescent="0.35">
      <c r="A47" s="14">
        <v>46022</v>
      </c>
      <c r="B47" s="10" t="s">
        <v>100</v>
      </c>
      <c r="C47" s="10" t="s">
        <v>101</v>
      </c>
      <c r="D47" s="10" t="s">
        <v>939</v>
      </c>
      <c r="E47" s="10">
        <v>4348654</v>
      </c>
      <c r="F47" s="15">
        <v>100</v>
      </c>
      <c r="G47" s="10" t="s">
        <v>1213</v>
      </c>
      <c r="H47" s="10">
        <v>4348654</v>
      </c>
      <c r="I47" s="10" t="s">
        <v>1194</v>
      </c>
      <c r="J47" s="10" t="s">
        <v>1214</v>
      </c>
      <c r="K47" s="10" t="s">
        <v>1214</v>
      </c>
      <c r="L47" s="10" t="s">
        <v>1214</v>
      </c>
      <c r="M47" s="10" t="s">
        <v>1214</v>
      </c>
      <c r="N47" s="10" t="s">
        <v>102</v>
      </c>
      <c r="O47" s="10" t="s">
        <v>1214</v>
      </c>
      <c r="P47" s="10" t="s">
        <v>1214</v>
      </c>
      <c r="Q47" s="10" t="s">
        <v>1214</v>
      </c>
      <c r="R47" s="10" t="s">
        <v>1214</v>
      </c>
      <c r="S47" s="10" t="s">
        <v>61</v>
      </c>
    </row>
    <row r="48" spans="1:19" ht="29" x14ac:dyDescent="0.35">
      <c r="A48" s="14">
        <v>46022</v>
      </c>
      <c r="B48" s="10" t="s">
        <v>690</v>
      </c>
      <c r="C48" s="10" t="s">
        <v>691</v>
      </c>
      <c r="D48" s="10" t="s">
        <v>977</v>
      </c>
      <c r="E48" s="10">
        <v>29771747</v>
      </c>
      <c r="F48" s="15">
        <v>100</v>
      </c>
      <c r="G48" s="10" t="s">
        <v>1262</v>
      </c>
      <c r="H48" s="10">
        <v>29771747</v>
      </c>
      <c r="I48" s="10" t="s">
        <v>1194</v>
      </c>
      <c r="J48" s="10" t="s">
        <v>1214</v>
      </c>
      <c r="K48" s="10" t="s">
        <v>1214</v>
      </c>
      <c r="L48" s="10" t="s">
        <v>1214</v>
      </c>
      <c r="M48" s="10" t="s">
        <v>1214</v>
      </c>
      <c r="N48" s="10" t="s">
        <v>50</v>
      </c>
      <c r="O48" s="10" t="s">
        <v>1214</v>
      </c>
      <c r="P48" s="10" t="s">
        <v>1214</v>
      </c>
      <c r="Q48" s="10" t="s">
        <v>1214</v>
      </c>
      <c r="R48" s="10" t="s">
        <v>1214</v>
      </c>
      <c r="S48" s="10" t="s">
        <v>61</v>
      </c>
    </row>
    <row r="49" spans="1:19" ht="43.5" x14ac:dyDescent="0.35">
      <c r="A49" s="14">
        <v>46022</v>
      </c>
      <c r="B49" s="10" t="s">
        <v>692</v>
      </c>
      <c r="C49" s="10" t="s">
        <v>693</v>
      </c>
      <c r="D49" s="10" t="s">
        <v>978</v>
      </c>
      <c r="E49" s="10">
        <v>4264043</v>
      </c>
      <c r="F49" s="15">
        <v>100</v>
      </c>
      <c r="G49" s="10" t="s">
        <v>1263</v>
      </c>
      <c r="H49" s="10">
        <v>4264043</v>
      </c>
      <c r="I49" s="10" t="s">
        <v>1194</v>
      </c>
      <c r="J49" s="10" t="s">
        <v>1214</v>
      </c>
      <c r="K49" s="10" t="s">
        <v>1214</v>
      </c>
      <c r="L49" s="10" t="s">
        <v>1214</v>
      </c>
      <c r="M49" s="10" t="s">
        <v>1214</v>
      </c>
      <c r="N49" s="10" t="s">
        <v>105</v>
      </c>
      <c r="O49" s="10" t="s">
        <v>1214</v>
      </c>
      <c r="P49" s="10" t="s">
        <v>1214</v>
      </c>
      <c r="Q49" s="10" t="s">
        <v>1214</v>
      </c>
      <c r="R49" s="10" t="s">
        <v>1214</v>
      </c>
      <c r="S49" s="10" t="s">
        <v>61</v>
      </c>
    </row>
    <row r="50" spans="1:19" ht="43.5" x14ac:dyDescent="0.35">
      <c r="A50" s="14">
        <v>46022</v>
      </c>
      <c r="B50" s="10" t="s">
        <v>103</v>
      </c>
      <c r="C50" s="10" t="s">
        <v>104</v>
      </c>
      <c r="D50" s="10" t="s">
        <v>978</v>
      </c>
      <c r="E50" s="10">
        <v>4264043</v>
      </c>
      <c r="F50" s="15">
        <v>100</v>
      </c>
      <c r="G50" s="10" t="s">
        <v>1263</v>
      </c>
      <c r="H50" s="10">
        <v>4264043</v>
      </c>
      <c r="I50" s="10" t="s">
        <v>1194</v>
      </c>
      <c r="J50" s="10" t="s">
        <v>1214</v>
      </c>
      <c r="K50" s="10" t="s">
        <v>1214</v>
      </c>
      <c r="L50" s="10" t="s">
        <v>1214</v>
      </c>
      <c r="M50" s="10" t="s">
        <v>1214</v>
      </c>
      <c r="N50" s="10" t="s">
        <v>105</v>
      </c>
      <c r="O50" s="10" t="s">
        <v>1214</v>
      </c>
      <c r="P50" s="10" t="s">
        <v>1214</v>
      </c>
      <c r="Q50" s="10" t="s">
        <v>1214</v>
      </c>
      <c r="R50" s="10" t="s">
        <v>1214</v>
      </c>
      <c r="S50" s="10" t="s">
        <v>61</v>
      </c>
    </row>
    <row r="51" spans="1:19" ht="87" x14ac:dyDescent="0.35">
      <c r="A51" s="14">
        <v>46022</v>
      </c>
      <c r="B51" s="10" t="s">
        <v>190</v>
      </c>
      <c r="C51" s="10" t="s">
        <v>191</v>
      </c>
      <c r="D51" s="10" t="s">
        <v>979</v>
      </c>
      <c r="E51" s="10">
        <v>4428541</v>
      </c>
      <c r="F51" s="15">
        <v>37</v>
      </c>
      <c r="G51" s="10" t="s">
        <v>1264</v>
      </c>
      <c r="H51" s="10">
        <v>4355642</v>
      </c>
      <c r="I51" s="10">
        <v>4428541</v>
      </c>
      <c r="J51" s="10" t="s">
        <v>1214</v>
      </c>
      <c r="K51" s="10" t="s">
        <v>1214</v>
      </c>
      <c r="L51" s="10" t="s">
        <v>1214</v>
      </c>
      <c r="M51" s="10" t="s">
        <v>1214</v>
      </c>
      <c r="N51" s="10" t="s">
        <v>61</v>
      </c>
      <c r="O51" s="10" t="s">
        <v>1265</v>
      </c>
      <c r="P51" s="10" t="s">
        <v>61</v>
      </c>
      <c r="Q51" s="10" t="s">
        <v>1265</v>
      </c>
      <c r="R51" s="10" t="s">
        <v>61</v>
      </c>
      <c r="S51" s="10" t="s">
        <v>192</v>
      </c>
    </row>
    <row r="52" spans="1:19" ht="87" x14ac:dyDescent="0.35">
      <c r="A52" s="14">
        <v>46022</v>
      </c>
      <c r="B52" s="10" t="s">
        <v>190</v>
      </c>
      <c r="C52" s="10" t="s">
        <v>191</v>
      </c>
      <c r="D52" s="10" t="s">
        <v>958</v>
      </c>
      <c r="E52" s="10">
        <v>4355642</v>
      </c>
      <c r="F52" s="15">
        <v>63</v>
      </c>
      <c r="G52" s="10" t="s">
        <v>1264</v>
      </c>
      <c r="H52" s="10">
        <v>4355642</v>
      </c>
      <c r="I52" s="10">
        <v>4428541</v>
      </c>
      <c r="J52" s="10" t="s">
        <v>1214</v>
      </c>
      <c r="K52" s="10" t="s">
        <v>1214</v>
      </c>
      <c r="L52" s="10" t="s">
        <v>1214</v>
      </c>
      <c r="M52" s="10" t="s">
        <v>1214</v>
      </c>
      <c r="N52" s="10" t="s">
        <v>61</v>
      </c>
      <c r="O52" s="10" t="s">
        <v>1265</v>
      </c>
      <c r="P52" s="10" t="s">
        <v>61</v>
      </c>
      <c r="Q52" s="10" t="s">
        <v>1265</v>
      </c>
      <c r="R52" s="10" t="s">
        <v>61</v>
      </c>
      <c r="S52" s="10" t="s">
        <v>192</v>
      </c>
    </row>
    <row r="53" spans="1:19" ht="29" x14ac:dyDescent="0.35">
      <c r="A53" s="14">
        <v>46022</v>
      </c>
      <c r="B53" s="10" t="s">
        <v>253</v>
      </c>
      <c r="C53" s="10" t="s">
        <v>254</v>
      </c>
      <c r="D53" s="10" t="s">
        <v>940</v>
      </c>
      <c r="E53" s="10">
        <v>4199214</v>
      </c>
      <c r="F53" s="15">
        <v>100</v>
      </c>
      <c r="G53" s="10" t="s">
        <v>1215</v>
      </c>
      <c r="H53" s="10">
        <v>4199214</v>
      </c>
      <c r="I53" s="10" t="s">
        <v>1194</v>
      </c>
      <c r="J53" s="10" t="s">
        <v>1216</v>
      </c>
      <c r="K53" s="10" t="s">
        <v>69</v>
      </c>
      <c r="L53" s="10" t="s">
        <v>1217</v>
      </c>
      <c r="M53" s="10" t="s">
        <v>1218</v>
      </c>
      <c r="N53" s="10" t="s">
        <v>1219</v>
      </c>
      <c r="O53" s="10" t="s">
        <v>1214</v>
      </c>
      <c r="P53" s="10" t="s">
        <v>1214</v>
      </c>
      <c r="Q53" s="10" t="s">
        <v>1214</v>
      </c>
      <c r="R53" s="10" t="s">
        <v>1214</v>
      </c>
      <c r="S53" s="10" t="s">
        <v>61</v>
      </c>
    </row>
    <row r="54" spans="1:19" ht="29" x14ac:dyDescent="0.35">
      <c r="A54" s="14">
        <v>46022</v>
      </c>
      <c r="B54" s="10" t="s">
        <v>106</v>
      </c>
      <c r="C54" s="10" t="s">
        <v>107</v>
      </c>
      <c r="D54" s="10" t="s">
        <v>940</v>
      </c>
      <c r="E54" s="10">
        <v>4199214</v>
      </c>
      <c r="F54" s="15">
        <v>100</v>
      </c>
      <c r="G54" s="10" t="s">
        <v>1215</v>
      </c>
      <c r="H54" s="10">
        <v>4199214</v>
      </c>
      <c r="I54" s="10" t="s">
        <v>1194</v>
      </c>
      <c r="J54" s="10" t="s">
        <v>1216</v>
      </c>
      <c r="K54" s="10" t="s">
        <v>69</v>
      </c>
      <c r="L54" s="10" t="s">
        <v>1217</v>
      </c>
      <c r="M54" s="10" t="s">
        <v>1218</v>
      </c>
      <c r="N54" s="10" t="s">
        <v>1219</v>
      </c>
      <c r="O54" s="10" t="s">
        <v>1214</v>
      </c>
      <c r="P54" s="10" t="s">
        <v>1214</v>
      </c>
      <c r="Q54" s="10" t="s">
        <v>1214</v>
      </c>
      <c r="R54" s="10" t="s">
        <v>1214</v>
      </c>
      <c r="S54" s="10" t="s">
        <v>61</v>
      </c>
    </row>
    <row r="55" spans="1:19" ht="72.5" x14ac:dyDescent="0.35">
      <c r="A55" s="14">
        <v>46022</v>
      </c>
      <c r="B55" s="10" t="s">
        <v>109</v>
      </c>
      <c r="C55" s="10" t="s">
        <v>110</v>
      </c>
      <c r="D55" s="10" t="s">
        <v>111</v>
      </c>
      <c r="E55" s="10">
        <v>4437706</v>
      </c>
      <c r="F55" s="15">
        <v>1.7</v>
      </c>
      <c r="G55" s="10" t="s">
        <v>1266</v>
      </c>
      <c r="H55" s="10">
        <v>4354459</v>
      </c>
      <c r="I55" s="10">
        <v>4437706</v>
      </c>
      <c r="J55" s="10" t="s">
        <v>1267</v>
      </c>
      <c r="K55" s="10" t="s">
        <v>111</v>
      </c>
      <c r="L55" s="10" t="s">
        <v>1268</v>
      </c>
      <c r="M55" s="10" t="s">
        <v>79</v>
      </c>
      <c r="N55" s="10" t="s">
        <v>79</v>
      </c>
      <c r="O55" s="10" t="s">
        <v>1214</v>
      </c>
      <c r="P55" s="10" t="s">
        <v>1214</v>
      </c>
      <c r="Q55" s="10" t="s">
        <v>1214</v>
      </c>
      <c r="R55" s="10" t="s">
        <v>1214</v>
      </c>
      <c r="S55" s="10" t="s">
        <v>111</v>
      </c>
    </row>
    <row r="56" spans="1:19" ht="72.5" x14ac:dyDescent="0.35">
      <c r="A56" s="14">
        <v>46022</v>
      </c>
      <c r="B56" s="10" t="s">
        <v>109</v>
      </c>
      <c r="C56" s="10" t="s">
        <v>110</v>
      </c>
      <c r="D56" s="10" t="s">
        <v>980</v>
      </c>
      <c r="E56" s="10">
        <v>4354459</v>
      </c>
      <c r="F56" s="15">
        <v>98.3</v>
      </c>
      <c r="G56" s="10" t="s">
        <v>1266</v>
      </c>
      <c r="H56" s="10">
        <v>4354459</v>
      </c>
      <c r="I56" s="10">
        <v>4437706</v>
      </c>
      <c r="J56" s="10" t="s">
        <v>1267</v>
      </c>
      <c r="K56" s="10" t="s">
        <v>111</v>
      </c>
      <c r="L56" s="10" t="s">
        <v>1268</v>
      </c>
      <c r="M56" s="10" t="s">
        <v>79</v>
      </c>
      <c r="N56" s="10" t="s">
        <v>79</v>
      </c>
      <c r="O56" s="10" t="s">
        <v>1214</v>
      </c>
      <c r="P56" s="10" t="s">
        <v>1214</v>
      </c>
      <c r="Q56" s="10" t="s">
        <v>1214</v>
      </c>
      <c r="R56" s="10" t="s">
        <v>1214</v>
      </c>
      <c r="S56" s="10" t="s">
        <v>111</v>
      </c>
    </row>
    <row r="57" spans="1:19" ht="58" x14ac:dyDescent="0.35">
      <c r="A57" s="14">
        <v>46022</v>
      </c>
      <c r="B57" s="10" t="s">
        <v>112</v>
      </c>
      <c r="C57" s="10" t="s">
        <v>113</v>
      </c>
      <c r="D57" s="10" t="s">
        <v>111</v>
      </c>
      <c r="E57" s="10">
        <v>4437706</v>
      </c>
      <c r="F57" s="15">
        <v>1.7</v>
      </c>
      <c r="G57" s="10" t="s">
        <v>1269</v>
      </c>
      <c r="H57" s="10">
        <v>4354459</v>
      </c>
      <c r="I57" s="10">
        <v>4437706</v>
      </c>
      <c r="J57" s="10" t="s">
        <v>1267</v>
      </c>
      <c r="K57" s="10" t="s">
        <v>111</v>
      </c>
      <c r="L57" s="10" t="s">
        <v>1268</v>
      </c>
      <c r="M57" s="10" t="s">
        <v>79</v>
      </c>
      <c r="N57" s="10" t="s">
        <v>79</v>
      </c>
      <c r="O57" s="10" t="s">
        <v>1214</v>
      </c>
      <c r="P57" s="10" t="s">
        <v>1214</v>
      </c>
      <c r="Q57" s="10" t="s">
        <v>1214</v>
      </c>
      <c r="R57" s="10" t="s">
        <v>1214</v>
      </c>
      <c r="S57" s="10" t="s">
        <v>111</v>
      </c>
    </row>
    <row r="58" spans="1:19" ht="58" x14ac:dyDescent="0.35">
      <c r="A58" s="14">
        <v>46022</v>
      </c>
      <c r="B58" s="10" t="s">
        <v>112</v>
      </c>
      <c r="C58" s="10" t="s">
        <v>113</v>
      </c>
      <c r="D58" s="10" t="s">
        <v>980</v>
      </c>
      <c r="E58" s="10">
        <v>4354459</v>
      </c>
      <c r="F58" s="15">
        <v>98.3</v>
      </c>
      <c r="G58" s="10" t="s">
        <v>1269</v>
      </c>
      <c r="H58" s="10">
        <v>4354459</v>
      </c>
      <c r="I58" s="10">
        <v>4437706</v>
      </c>
      <c r="J58" s="10" t="s">
        <v>1267</v>
      </c>
      <c r="K58" s="10" t="s">
        <v>111</v>
      </c>
      <c r="L58" s="10" t="s">
        <v>1268</v>
      </c>
      <c r="M58" s="10" t="s">
        <v>79</v>
      </c>
      <c r="N58" s="10" t="s">
        <v>79</v>
      </c>
      <c r="O58" s="10" t="s">
        <v>1214</v>
      </c>
      <c r="P58" s="10" t="s">
        <v>1214</v>
      </c>
      <c r="Q58" s="10" t="s">
        <v>1214</v>
      </c>
      <c r="R58" s="10" t="s">
        <v>1214</v>
      </c>
      <c r="S58" s="10" t="s">
        <v>111</v>
      </c>
    </row>
    <row r="59" spans="1:19" ht="43.5" x14ac:dyDescent="0.35">
      <c r="A59" s="14">
        <v>46022</v>
      </c>
      <c r="B59" s="10" t="s">
        <v>255</v>
      </c>
      <c r="C59" s="10" t="s">
        <v>256</v>
      </c>
      <c r="D59" s="10" t="s">
        <v>981</v>
      </c>
      <c r="E59" s="10">
        <v>4120225</v>
      </c>
      <c r="F59" s="15">
        <v>84</v>
      </c>
      <c r="G59" s="10" t="s">
        <v>1270</v>
      </c>
      <c r="H59" s="10">
        <v>4120225</v>
      </c>
      <c r="I59" s="10">
        <v>4350733</v>
      </c>
      <c r="J59" s="10" t="s">
        <v>1214</v>
      </c>
      <c r="K59" s="10" t="s">
        <v>1214</v>
      </c>
      <c r="L59" s="10" t="s">
        <v>1214</v>
      </c>
      <c r="M59" s="10" t="s">
        <v>1214</v>
      </c>
      <c r="N59" s="10" t="s">
        <v>222</v>
      </c>
      <c r="O59" s="10" t="s">
        <v>1214</v>
      </c>
      <c r="P59" s="10" t="s">
        <v>1214</v>
      </c>
      <c r="Q59" s="10" t="s">
        <v>1214</v>
      </c>
      <c r="R59" s="10" t="s">
        <v>1214</v>
      </c>
      <c r="S59" s="10" t="s">
        <v>257</v>
      </c>
    </row>
    <row r="60" spans="1:19" ht="43.5" x14ac:dyDescent="0.35">
      <c r="A60" s="14">
        <v>46022</v>
      </c>
      <c r="B60" s="10" t="s">
        <v>255</v>
      </c>
      <c r="C60" s="10" t="s">
        <v>256</v>
      </c>
      <c r="D60" s="10" t="s">
        <v>257</v>
      </c>
      <c r="E60" s="10">
        <v>4350733</v>
      </c>
      <c r="F60" s="15">
        <v>16</v>
      </c>
      <c r="G60" s="10" t="s">
        <v>1270</v>
      </c>
      <c r="H60" s="10">
        <v>4120225</v>
      </c>
      <c r="I60" s="10">
        <v>4350733</v>
      </c>
      <c r="J60" s="10" t="s">
        <v>1214</v>
      </c>
      <c r="K60" s="10" t="s">
        <v>1214</v>
      </c>
      <c r="L60" s="10" t="s">
        <v>1214</v>
      </c>
      <c r="M60" s="10" t="s">
        <v>1214</v>
      </c>
      <c r="N60" s="10" t="s">
        <v>222</v>
      </c>
      <c r="O60" s="10" t="s">
        <v>1214</v>
      </c>
      <c r="P60" s="10" t="s">
        <v>1214</v>
      </c>
      <c r="Q60" s="10" t="s">
        <v>1214</v>
      </c>
      <c r="R60" s="10" t="s">
        <v>1214</v>
      </c>
      <c r="S60" s="10" t="s">
        <v>257</v>
      </c>
    </row>
    <row r="61" spans="1:19" ht="101.5" x14ac:dyDescent="0.35">
      <c r="A61" s="14">
        <v>46022</v>
      </c>
      <c r="B61" s="10" t="s">
        <v>114</v>
      </c>
      <c r="C61" s="10" t="s">
        <v>115</v>
      </c>
      <c r="D61" s="10" t="s">
        <v>956</v>
      </c>
      <c r="E61" s="10">
        <v>4350334</v>
      </c>
      <c r="F61" s="15">
        <v>35.340000000000003</v>
      </c>
      <c r="G61" s="10" t="s">
        <v>1271</v>
      </c>
      <c r="H61" s="10">
        <v>4355114</v>
      </c>
      <c r="I61" s="10">
        <v>4350334</v>
      </c>
      <c r="J61" s="10" t="s">
        <v>1251</v>
      </c>
      <c r="K61" s="10" t="s">
        <v>1252</v>
      </c>
      <c r="L61" s="10" t="s">
        <v>1253</v>
      </c>
      <c r="M61" s="10" t="s">
        <v>1254</v>
      </c>
      <c r="N61" s="10" t="s">
        <v>86</v>
      </c>
      <c r="O61" s="10" t="s">
        <v>1214</v>
      </c>
      <c r="P61" s="10" t="s">
        <v>1214</v>
      </c>
      <c r="Q61" s="10" t="s">
        <v>1214</v>
      </c>
      <c r="R61" s="10" t="s">
        <v>1214</v>
      </c>
      <c r="S61" s="10" t="s">
        <v>61</v>
      </c>
    </row>
    <row r="62" spans="1:19" ht="101.5" x14ac:dyDescent="0.35">
      <c r="A62" s="14">
        <v>46022</v>
      </c>
      <c r="B62" s="10" t="s">
        <v>114</v>
      </c>
      <c r="C62" s="10" t="s">
        <v>115</v>
      </c>
      <c r="D62" s="10" t="s">
        <v>968</v>
      </c>
      <c r="E62" s="10">
        <v>4355114</v>
      </c>
      <c r="F62" s="15">
        <v>64.66</v>
      </c>
      <c r="G62" s="10" t="s">
        <v>1271</v>
      </c>
      <c r="H62" s="10">
        <v>4355114</v>
      </c>
      <c r="I62" s="10">
        <v>4350334</v>
      </c>
      <c r="J62" s="10" t="s">
        <v>1251</v>
      </c>
      <c r="K62" s="10" t="s">
        <v>1252</v>
      </c>
      <c r="L62" s="10" t="s">
        <v>1253</v>
      </c>
      <c r="M62" s="10" t="s">
        <v>1254</v>
      </c>
      <c r="N62" s="10" t="s">
        <v>86</v>
      </c>
      <c r="O62" s="10" t="s">
        <v>1214</v>
      </c>
      <c r="P62" s="10" t="s">
        <v>1214</v>
      </c>
      <c r="Q62" s="10" t="s">
        <v>1214</v>
      </c>
      <c r="R62" s="10" t="s">
        <v>1214</v>
      </c>
      <c r="S62" s="10" t="s">
        <v>61</v>
      </c>
    </row>
    <row r="63" spans="1:19" ht="145" x14ac:dyDescent="0.35">
      <c r="A63" s="14">
        <v>46022</v>
      </c>
      <c r="B63" s="10" t="s">
        <v>90</v>
      </c>
      <c r="C63" s="10" t="s">
        <v>91</v>
      </c>
      <c r="D63" s="10" t="s">
        <v>982</v>
      </c>
      <c r="E63" s="10">
        <v>6168783</v>
      </c>
      <c r="F63" s="15">
        <v>36.659999999999997</v>
      </c>
      <c r="G63" s="10" t="s">
        <v>1272</v>
      </c>
      <c r="H63" s="10">
        <v>4352853</v>
      </c>
      <c r="I63" s="10">
        <v>6168783</v>
      </c>
      <c r="J63" s="10" t="s">
        <v>1214</v>
      </c>
      <c r="K63" s="10" t="s">
        <v>1214</v>
      </c>
      <c r="L63" s="10" t="s">
        <v>1214</v>
      </c>
      <c r="M63" s="10" t="s">
        <v>1214</v>
      </c>
      <c r="N63" s="10" t="s">
        <v>86</v>
      </c>
      <c r="O63" s="10" t="s">
        <v>1214</v>
      </c>
      <c r="P63" s="10" t="s">
        <v>1214</v>
      </c>
      <c r="Q63" s="10" t="s">
        <v>1214</v>
      </c>
      <c r="R63" s="10" t="s">
        <v>1214</v>
      </c>
      <c r="S63" s="10" t="s">
        <v>86</v>
      </c>
    </row>
    <row r="64" spans="1:19" ht="145" x14ac:dyDescent="0.35">
      <c r="A64" s="14">
        <v>46022</v>
      </c>
      <c r="B64" s="10" t="s">
        <v>90</v>
      </c>
      <c r="C64" s="10" t="s">
        <v>91</v>
      </c>
      <c r="D64" s="10" t="s">
        <v>983</v>
      </c>
      <c r="E64" s="10">
        <v>4649896</v>
      </c>
      <c r="F64" s="15">
        <v>13.33</v>
      </c>
      <c r="G64" s="10" t="s">
        <v>1272</v>
      </c>
      <c r="H64" s="10">
        <v>4352853</v>
      </c>
      <c r="I64" s="10">
        <v>6168783</v>
      </c>
      <c r="J64" s="10" t="s">
        <v>1214</v>
      </c>
      <c r="K64" s="10" t="s">
        <v>1214</v>
      </c>
      <c r="L64" s="10" t="s">
        <v>1214</v>
      </c>
      <c r="M64" s="10" t="s">
        <v>1214</v>
      </c>
      <c r="N64" s="10" t="s">
        <v>86</v>
      </c>
      <c r="O64" s="10" t="s">
        <v>1214</v>
      </c>
      <c r="P64" s="10" t="s">
        <v>1214</v>
      </c>
      <c r="Q64" s="10" t="s">
        <v>1214</v>
      </c>
      <c r="R64" s="10" t="s">
        <v>1214</v>
      </c>
      <c r="S64" s="10" t="s">
        <v>86</v>
      </c>
    </row>
    <row r="65" spans="1:19" ht="145" x14ac:dyDescent="0.35">
      <c r="A65" s="14">
        <v>46022</v>
      </c>
      <c r="B65" s="10" t="s">
        <v>90</v>
      </c>
      <c r="C65" s="10" t="s">
        <v>91</v>
      </c>
      <c r="D65" s="10" t="s">
        <v>984</v>
      </c>
      <c r="E65" s="10">
        <v>4352853</v>
      </c>
      <c r="F65" s="15">
        <v>50.01</v>
      </c>
      <c r="G65" s="10" t="s">
        <v>1272</v>
      </c>
      <c r="H65" s="10">
        <v>4352853</v>
      </c>
      <c r="I65" s="10">
        <v>6168783</v>
      </c>
      <c r="J65" s="10" t="s">
        <v>1214</v>
      </c>
      <c r="K65" s="10" t="s">
        <v>1214</v>
      </c>
      <c r="L65" s="10" t="s">
        <v>1214</v>
      </c>
      <c r="M65" s="10" t="s">
        <v>1214</v>
      </c>
      <c r="N65" s="10" t="s">
        <v>86</v>
      </c>
      <c r="O65" s="10" t="s">
        <v>1214</v>
      </c>
      <c r="P65" s="10" t="s">
        <v>1214</v>
      </c>
      <c r="Q65" s="10" t="s">
        <v>1214</v>
      </c>
      <c r="R65" s="10" t="s">
        <v>1214</v>
      </c>
      <c r="S65" s="10" t="s">
        <v>86</v>
      </c>
    </row>
    <row r="66" spans="1:19" ht="72.5" x14ac:dyDescent="0.35">
      <c r="A66" s="14">
        <v>46022</v>
      </c>
      <c r="B66" s="10" t="s">
        <v>258</v>
      </c>
      <c r="C66" s="10" t="s">
        <v>259</v>
      </c>
      <c r="D66" s="10" t="s">
        <v>985</v>
      </c>
      <c r="E66" s="10">
        <v>4354402</v>
      </c>
      <c r="F66" s="15">
        <v>99.9</v>
      </c>
      <c r="G66" s="10" t="s">
        <v>1273</v>
      </c>
      <c r="H66" s="10">
        <v>4354402</v>
      </c>
      <c r="I66" s="10">
        <v>4622758</v>
      </c>
      <c r="J66" s="10" t="s">
        <v>1214</v>
      </c>
      <c r="K66" s="10" t="s">
        <v>1214</v>
      </c>
      <c r="L66" s="10" t="s">
        <v>1214</v>
      </c>
      <c r="M66" s="10" t="s">
        <v>1214</v>
      </c>
      <c r="N66" s="10" t="s">
        <v>222</v>
      </c>
      <c r="O66" s="10" t="s">
        <v>1214</v>
      </c>
      <c r="P66" s="10" t="s">
        <v>1214</v>
      </c>
      <c r="Q66" s="10" t="s">
        <v>1214</v>
      </c>
      <c r="R66" s="10" t="s">
        <v>1214</v>
      </c>
      <c r="S66" s="10" t="s">
        <v>111</v>
      </c>
    </row>
    <row r="67" spans="1:19" ht="72.5" x14ac:dyDescent="0.35">
      <c r="A67" s="14">
        <v>46022</v>
      </c>
      <c r="B67" s="10" t="s">
        <v>258</v>
      </c>
      <c r="C67" s="10" t="s">
        <v>259</v>
      </c>
      <c r="D67" s="10" t="s">
        <v>986</v>
      </c>
      <c r="E67" s="10">
        <v>4622758</v>
      </c>
      <c r="F67" s="15">
        <v>0.1</v>
      </c>
      <c r="G67" s="10" t="s">
        <v>1273</v>
      </c>
      <c r="H67" s="10">
        <v>4354402</v>
      </c>
      <c r="I67" s="10">
        <v>4622758</v>
      </c>
      <c r="J67" s="10" t="s">
        <v>1214</v>
      </c>
      <c r="K67" s="10" t="s">
        <v>1214</v>
      </c>
      <c r="L67" s="10" t="s">
        <v>1214</v>
      </c>
      <c r="M67" s="10" t="s">
        <v>1214</v>
      </c>
      <c r="N67" s="10" t="s">
        <v>222</v>
      </c>
      <c r="O67" s="10" t="s">
        <v>1214</v>
      </c>
      <c r="P67" s="10" t="s">
        <v>1214</v>
      </c>
      <c r="Q67" s="10" t="s">
        <v>1214</v>
      </c>
      <c r="R67" s="10" t="s">
        <v>1214</v>
      </c>
      <c r="S67" s="10" t="s">
        <v>111</v>
      </c>
    </row>
    <row r="68" spans="1:19" ht="159.5" x14ac:dyDescent="0.35">
      <c r="A68" s="14">
        <v>46022</v>
      </c>
      <c r="B68" s="10" t="s">
        <v>92</v>
      </c>
      <c r="C68" s="10" t="s">
        <v>93</v>
      </c>
      <c r="D68" s="10" t="s">
        <v>987</v>
      </c>
      <c r="E68" s="10">
        <v>4351931</v>
      </c>
      <c r="F68" s="15">
        <v>80</v>
      </c>
      <c r="G68" s="10" t="s">
        <v>1274</v>
      </c>
      <c r="H68" s="10">
        <v>4351931</v>
      </c>
      <c r="I68" s="10">
        <v>4354638</v>
      </c>
      <c r="J68" s="10" t="s">
        <v>1214</v>
      </c>
      <c r="K68" s="10" t="s">
        <v>1214</v>
      </c>
      <c r="L68" s="10" t="s">
        <v>1214</v>
      </c>
      <c r="M68" s="10" t="s">
        <v>1214</v>
      </c>
      <c r="N68" s="10" t="s">
        <v>222</v>
      </c>
      <c r="O68" s="10" t="s">
        <v>1214</v>
      </c>
      <c r="P68" s="10" t="s">
        <v>1214</v>
      </c>
      <c r="Q68" s="10" t="s">
        <v>1214</v>
      </c>
      <c r="R68" s="10" t="s">
        <v>1214</v>
      </c>
      <c r="S68" s="10" t="s">
        <v>1235</v>
      </c>
    </row>
    <row r="69" spans="1:19" ht="159.5" x14ac:dyDescent="0.35">
      <c r="A69" s="14">
        <v>46022</v>
      </c>
      <c r="B69" s="10" t="s">
        <v>92</v>
      </c>
      <c r="C69" s="10" t="s">
        <v>93</v>
      </c>
      <c r="D69" s="10" t="s">
        <v>988</v>
      </c>
      <c r="E69" s="10">
        <v>4047416</v>
      </c>
      <c r="F69" s="15">
        <v>4</v>
      </c>
      <c r="G69" s="10" t="s">
        <v>1274</v>
      </c>
      <c r="H69" s="10">
        <v>4351931</v>
      </c>
      <c r="I69" s="10">
        <v>4354638</v>
      </c>
      <c r="J69" s="10" t="s">
        <v>1214</v>
      </c>
      <c r="K69" s="10" t="s">
        <v>1214</v>
      </c>
      <c r="L69" s="10" t="s">
        <v>1214</v>
      </c>
      <c r="M69" s="10" t="s">
        <v>1214</v>
      </c>
      <c r="N69" s="10" t="s">
        <v>222</v>
      </c>
      <c r="O69" s="10" t="s">
        <v>1214</v>
      </c>
      <c r="P69" s="10" t="s">
        <v>1214</v>
      </c>
      <c r="Q69" s="10" t="s">
        <v>1214</v>
      </c>
      <c r="R69" s="10" t="s">
        <v>1214</v>
      </c>
      <c r="S69" s="10" t="s">
        <v>1235</v>
      </c>
    </row>
    <row r="70" spans="1:19" ht="159.5" x14ac:dyDescent="0.35">
      <c r="A70" s="14">
        <v>46022</v>
      </c>
      <c r="B70" s="10" t="s">
        <v>92</v>
      </c>
      <c r="C70" s="10" t="s">
        <v>93</v>
      </c>
      <c r="D70" s="10" t="s">
        <v>989</v>
      </c>
      <c r="E70" s="10">
        <v>4354638</v>
      </c>
      <c r="F70" s="15">
        <v>16</v>
      </c>
      <c r="G70" s="10" t="s">
        <v>1274</v>
      </c>
      <c r="H70" s="10">
        <v>4351931</v>
      </c>
      <c r="I70" s="10">
        <v>4354638</v>
      </c>
      <c r="J70" s="10" t="s">
        <v>1214</v>
      </c>
      <c r="K70" s="10" t="s">
        <v>1214</v>
      </c>
      <c r="L70" s="10" t="s">
        <v>1214</v>
      </c>
      <c r="M70" s="10" t="s">
        <v>1214</v>
      </c>
      <c r="N70" s="10" t="s">
        <v>222</v>
      </c>
      <c r="O70" s="10" t="s">
        <v>1214</v>
      </c>
      <c r="P70" s="10" t="s">
        <v>1214</v>
      </c>
      <c r="Q70" s="10" t="s">
        <v>1214</v>
      </c>
      <c r="R70" s="10" t="s">
        <v>1214</v>
      </c>
      <c r="S70" s="10" t="s">
        <v>1235</v>
      </c>
    </row>
    <row r="71" spans="1:19" ht="29" x14ac:dyDescent="0.35">
      <c r="A71" s="14">
        <v>46022</v>
      </c>
      <c r="B71" s="10" t="s">
        <v>116</v>
      </c>
      <c r="C71" s="10" t="s">
        <v>117</v>
      </c>
      <c r="D71" s="10" t="s">
        <v>990</v>
      </c>
      <c r="E71" s="10">
        <v>4351226</v>
      </c>
      <c r="F71" s="15">
        <v>100</v>
      </c>
      <c r="G71" s="10" t="s">
        <v>1275</v>
      </c>
      <c r="H71" s="10">
        <v>4351226</v>
      </c>
      <c r="I71" s="10" t="s">
        <v>1194</v>
      </c>
      <c r="J71" s="10" t="s">
        <v>1214</v>
      </c>
      <c r="K71" s="10" t="s">
        <v>1214</v>
      </c>
      <c r="L71" s="10" t="s">
        <v>1214</v>
      </c>
      <c r="M71" s="10" t="s">
        <v>1214</v>
      </c>
      <c r="N71" s="10" t="s">
        <v>111</v>
      </c>
      <c r="O71" s="10" t="s">
        <v>1214</v>
      </c>
      <c r="P71" s="10" t="s">
        <v>1214</v>
      </c>
      <c r="Q71" s="10" t="s">
        <v>1214</v>
      </c>
      <c r="R71" s="10" t="s">
        <v>1214</v>
      </c>
      <c r="S71" s="10" t="s">
        <v>61</v>
      </c>
    </row>
    <row r="72" spans="1:19" ht="58" x14ac:dyDescent="0.35">
      <c r="A72" s="14">
        <v>46022</v>
      </c>
      <c r="B72" s="10" t="s">
        <v>694</v>
      </c>
      <c r="C72" s="10" t="s">
        <v>695</v>
      </c>
      <c r="D72" s="10" t="s">
        <v>991</v>
      </c>
      <c r="E72" s="10">
        <v>8252418</v>
      </c>
      <c r="F72" s="15">
        <v>99.6</v>
      </c>
      <c r="G72" s="10" t="s">
        <v>1276</v>
      </c>
      <c r="H72" s="10">
        <v>8252418</v>
      </c>
      <c r="I72" s="10">
        <v>4400798</v>
      </c>
      <c r="J72" s="10" t="s">
        <v>1214</v>
      </c>
      <c r="K72" s="10" t="s">
        <v>1214</v>
      </c>
      <c r="L72" s="10" t="s">
        <v>1214</v>
      </c>
      <c r="M72" s="10" t="s">
        <v>1214</v>
      </c>
      <c r="N72" s="10" t="s">
        <v>222</v>
      </c>
      <c r="O72" s="10" t="s">
        <v>1214</v>
      </c>
      <c r="P72" s="10" t="s">
        <v>1214</v>
      </c>
      <c r="Q72" s="10" t="s">
        <v>1214</v>
      </c>
      <c r="R72" s="10" t="s">
        <v>1214</v>
      </c>
      <c r="S72" s="10" t="s">
        <v>79</v>
      </c>
    </row>
    <row r="73" spans="1:19" ht="29" x14ac:dyDescent="0.35">
      <c r="A73" s="14">
        <v>46022</v>
      </c>
      <c r="B73" s="10" t="s">
        <v>696</v>
      </c>
      <c r="C73" s="10" t="s">
        <v>697</v>
      </c>
      <c r="D73" s="10" t="s">
        <v>992</v>
      </c>
      <c r="E73" s="10">
        <v>4351589</v>
      </c>
      <c r="F73" s="15">
        <v>100</v>
      </c>
      <c r="G73" s="10" t="s">
        <v>1277</v>
      </c>
      <c r="H73" s="10">
        <v>4351589</v>
      </c>
      <c r="I73" s="10" t="s">
        <v>1194</v>
      </c>
      <c r="J73" s="10" t="s">
        <v>1214</v>
      </c>
      <c r="K73" s="10" t="s">
        <v>1214</v>
      </c>
      <c r="L73" s="10" t="s">
        <v>1214</v>
      </c>
      <c r="M73" s="10" t="s">
        <v>1214</v>
      </c>
      <c r="N73" s="10" t="s">
        <v>753</v>
      </c>
      <c r="O73" s="10" t="s">
        <v>1214</v>
      </c>
      <c r="P73" s="10" t="s">
        <v>1214</v>
      </c>
      <c r="Q73" s="10" t="s">
        <v>1214</v>
      </c>
      <c r="R73" s="10" t="s">
        <v>1214</v>
      </c>
      <c r="S73" s="10" t="s">
        <v>61</v>
      </c>
    </row>
    <row r="74" spans="1:19" ht="72.5" x14ac:dyDescent="0.35">
      <c r="A74" s="14">
        <v>46022</v>
      </c>
      <c r="B74" s="10" t="s">
        <v>698</v>
      </c>
      <c r="C74" s="10" t="s">
        <v>699</v>
      </c>
      <c r="D74" s="10" t="s">
        <v>993</v>
      </c>
      <c r="E74" s="10">
        <v>4349977</v>
      </c>
      <c r="F74" s="15">
        <v>10</v>
      </c>
      <c r="G74" s="10" t="s">
        <v>1278</v>
      </c>
      <c r="H74" s="10">
        <v>4141965</v>
      </c>
      <c r="I74" s="10">
        <v>4349977</v>
      </c>
      <c r="J74" s="10" t="s">
        <v>1214</v>
      </c>
      <c r="K74" s="10" t="s">
        <v>1214</v>
      </c>
      <c r="L74" s="10" t="s">
        <v>1214</v>
      </c>
      <c r="M74" s="10" t="s">
        <v>1214</v>
      </c>
      <c r="N74" s="10" t="s">
        <v>222</v>
      </c>
      <c r="O74" s="10" t="s">
        <v>1214</v>
      </c>
      <c r="P74" s="10" t="s">
        <v>1214</v>
      </c>
      <c r="Q74" s="10" t="s">
        <v>1214</v>
      </c>
      <c r="R74" s="10" t="s">
        <v>1214</v>
      </c>
      <c r="S74" s="10" t="s">
        <v>58</v>
      </c>
    </row>
    <row r="75" spans="1:19" ht="72.5" x14ac:dyDescent="0.35">
      <c r="A75" s="14">
        <v>46022</v>
      </c>
      <c r="B75" s="10" t="s">
        <v>698</v>
      </c>
      <c r="C75" s="10" t="s">
        <v>699</v>
      </c>
      <c r="D75" s="10" t="s">
        <v>950</v>
      </c>
      <c r="E75" s="10">
        <v>4141965</v>
      </c>
      <c r="F75" s="15">
        <v>90</v>
      </c>
      <c r="G75" s="10" t="s">
        <v>1278</v>
      </c>
      <c r="H75" s="10">
        <v>4141965</v>
      </c>
      <c r="I75" s="10">
        <v>4349977</v>
      </c>
      <c r="J75" s="10" t="s">
        <v>1214</v>
      </c>
      <c r="K75" s="10" t="s">
        <v>1214</v>
      </c>
      <c r="L75" s="10" t="s">
        <v>1214</v>
      </c>
      <c r="M75" s="10" t="s">
        <v>1214</v>
      </c>
      <c r="N75" s="10" t="s">
        <v>222</v>
      </c>
      <c r="O75" s="10" t="s">
        <v>1214</v>
      </c>
      <c r="P75" s="10" t="s">
        <v>1214</v>
      </c>
      <c r="Q75" s="10" t="s">
        <v>1214</v>
      </c>
      <c r="R75" s="10" t="s">
        <v>1214</v>
      </c>
      <c r="S75" s="10" t="s">
        <v>58</v>
      </c>
    </row>
    <row r="76" spans="1:19" ht="29" x14ac:dyDescent="0.35">
      <c r="A76" s="14">
        <v>46022</v>
      </c>
      <c r="B76" s="10" t="s">
        <v>133</v>
      </c>
      <c r="C76" s="10" t="s">
        <v>134</v>
      </c>
      <c r="D76" s="10" t="s">
        <v>947</v>
      </c>
      <c r="E76" s="10">
        <v>4121840</v>
      </c>
      <c r="F76" s="15">
        <v>100</v>
      </c>
      <c r="G76" s="10" t="s">
        <v>1230</v>
      </c>
      <c r="H76" s="10">
        <v>4121840</v>
      </c>
      <c r="I76" s="10" t="s">
        <v>1194</v>
      </c>
      <c r="J76" s="10" t="s">
        <v>1214</v>
      </c>
      <c r="K76" s="10" t="s">
        <v>1214</v>
      </c>
      <c r="L76" s="10" t="s">
        <v>1214</v>
      </c>
      <c r="M76" s="10" t="s">
        <v>1214</v>
      </c>
      <c r="N76" s="10" t="s">
        <v>89</v>
      </c>
      <c r="O76" s="10" t="s">
        <v>1214</v>
      </c>
      <c r="P76" s="10" t="s">
        <v>1214</v>
      </c>
      <c r="Q76" s="10" t="s">
        <v>1214</v>
      </c>
      <c r="R76" s="10" t="s">
        <v>1214</v>
      </c>
      <c r="S76" s="10" t="s">
        <v>61</v>
      </c>
    </row>
    <row r="77" spans="1:19" ht="87" x14ac:dyDescent="0.35">
      <c r="A77" s="14">
        <v>46022</v>
      </c>
      <c r="B77" s="10" t="s">
        <v>94</v>
      </c>
      <c r="C77" s="10" t="s">
        <v>95</v>
      </c>
      <c r="D77" s="10" t="s">
        <v>994</v>
      </c>
      <c r="E77" s="10">
        <v>4361542</v>
      </c>
      <c r="F77" s="15">
        <v>30</v>
      </c>
      <c r="G77" s="10" t="s">
        <v>1279</v>
      </c>
      <c r="H77" s="10">
        <v>4351931</v>
      </c>
      <c r="I77" s="10">
        <v>4361542</v>
      </c>
      <c r="J77" s="10" t="s">
        <v>1214</v>
      </c>
      <c r="K77" s="10" t="s">
        <v>1214</v>
      </c>
      <c r="L77" s="10" t="s">
        <v>1214</v>
      </c>
      <c r="M77" s="10" t="s">
        <v>1214</v>
      </c>
      <c r="N77" s="10" t="s">
        <v>222</v>
      </c>
      <c r="O77" s="10" t="s">
        <v>1214</v>
      </c>
      <c r="P77" s="10" t="s">
        <v>1214</v>
      </c>
      <c r="Q77" s="10" t="s">
        <v>1214</v>
      </c>
      <c r="R77" s="10" t="s">
        <v>1214</v>
      </c>
      <c r="S77" s="10" t="s">
        <v>1235</v>
      </c>
    </row>
    <row r="78" spans="1:19" ht="87" x14ac:dyDescent="0.35">
      <c r="A78" s="14">
        <v>46022</v>
      </c>
      <c r="B78" s="10" t="s">
        <v>94</v>
      </c>
      <c r="C78" s="10" t="s">
        <v>95</v>
      </c>
      <c r="D78" s="10" t="s">
        <v>987</v>
      </c>
      <c r="E78" s="10">
        <v>4351931</v>
      </c>
      <c r="F78" s="15">
        <v>70</v>
      </c>
      <c r="G78" s="10" t="s">
        <v>1279</v>
      </c>
      <c r="H78" s="10">
        <v>4351931</v>
      </c>
      <c r="I78" s="10">
        <v>4361542</v>
      </c>
      <c r="J78" s="10" t="s">
        <v>1214</v>
      </c>
      <c r="K78" s="10" t="s">
        <v>1214</v>
      </c>
      <c r="L78" s="10" t="s">
        <v>1214</v>
      </c>
      <c r="M78" s="10" t="s">
        <v>1214</v>
      </c>
      <c r="N78" s="10" t="s">
        <v>222</v>
      </c>
      <c r="O78" s="10" t="s">
        <v>1214</v>
      </c>
      <c r="P78" s="10" t="s">
        <v>1214</v>
      </c>
      <c r="Q78" s="10" t="s">
        <v>1214</v>
      </c>
      <c r="R78" s="10" t="s">
        <v>1214</v>
      </c>
      <c r="S78" s="10" t="s">
        <v>1235</v>
      </c>
    </row>
    <row r="79" spans="1:19" ht="29" x14ac:dyDescent="0.35">
      <c r="A79" s="14">
        <v>46022</v>
      </c>
      <c r="B79" s="10" t="s">
        <v>700</v>
      </c>
      <c r="C79" s="10" t="s">
        <v>701</v>
      </c>
      <c r="D79" s="10" t="s">
        <v>994</v>
      </c>
      <c r="E79" s="10">
        <v>4361542</v>
      </c>
      <c r="F79" s="15">
        <v>100</v>
      </c>
      <c r="G79" s="10" t="s">
        <v>1280</v>
      </c>
      <c r="H79" s="10">
        <v>4361542</v>
      </c>
      <c r="I79" s="10" t="s">
        <v>1194</v>
      </c>
      <c r="J79" s="10" t="s">
        <v>1214</v>
      </c>
      <c r="K79" s="10" t="s">
        <v>1214</v>
      </c>
      <c r="L79" s="10" t="s">
        <v>1214</v>
      </c>
      <c r="M79" s="10" t="s">
        <v>1214</v>
      </c>
      <c r="N79" s="10" t="s">
        <v>1235</v>
      </c>
      <c r="O79" s="10" t="s">
        <v>1214</v>
      </c>
      <c r="P79" s="10" t="s">
        <v>1214</v>
      </c>
      <c r="Q79" s="10" t="s">
        <v>1214</v>
      </c>
      <c r="R79" s="10" t="s">
        <v>1214</v>
      </c>
      <c r="S79" s="10" t="s">
        <v>61</v>
      </c>
    </row>
    <row r="80" spans="1:19" ht="29" x14ac:dyDescent="0.35">
      <c r="A80" s="14">
        <v>46022</v>
      </c>
      <c r="B80" s="10" t="s">
        <v>135</v>
      </c>
      <c r="C80" s="10" t="s">
        <v>136</v>
      </c>
      <c r="D80" s="10" t="s">
        <v>995</v>
      </c>
      <c r="E80" s="10">
        <v>4350215</v>
      </c>
      <c r="F80" s="15">
        <v>100</v>
      </c>
      <c r="G80" s="10" t="s">
        <v>1281</v>
      </c>
      <c r="H80" s="10">
        <v>4350215</v>
      </c>
      <c r="I80" s="10" t="s">
        <v>1194</v>
      </c>
      <c r="J80" s="10" t="s">
        <v>1214</v>
      </c>
      <c r="K80" s="10" t="s">
        <v>1214</v>
      </c>
      <c r="L80" s="10" t="s">
        <v>1214</v>
      </c>
      <c r="M80" s="10" t="s">
        <v>1214</v>
      </c>
      <c r="N80" s="10" t="s">
        <v>222</v>
      </c>
      <c r="O80" s="10" t="s">
        <v>1214</v>
      </c>
      <c r="P80" s="10" t="s">
        <v>1214</v>
      </c>
      <c r="Q80" s="10" t="s">
        <v>1214</v>
      </c>
      <c r="R80" s="10" t="s">
        <v>1214</v>
      </c>
      <c r="S80" s="10" t="s">
        <v>61</v>
      </c>
    </row>
    <row r="81" spans="1:19" ht="72.5" x14ac:dyDescent="0.35">
      <c r="A81" s="14">
        <v>46022</v>
      </c>
      <c r="B81" s="10" t="s">
        <v>138</v>
      </c>
      <c r="C81" s="10" t="s">
        <v>139</v>
      </c>
      <c r="D81" s="10" t="s">
        <v>951</v>
      </c>
      <c r="E81" s="10">
        <v>4348083</v>
      </c>
      <c r="F81" s="15">
        <v>70</v>
      </c>
      <c r="G81" s="10" t="s">
        <v>1282</v>
      </c>
      <c r="H81" s="10">
        <v>4348083</v>
      </c>
      <c r="I81" s="10">
        <v>4041871</v>
      </c>
      <c r="J81" s="10" t="s">
        <v>1232</v>
      </c>
      <c r="K81" s="10" t="s">
        <v>1233</v>
      </c>
      <c r="L81" s="10" t="s">
        <v>1234</v>
      </c>
      <c r="M81" s="10" t="s">
        <v>1233</v>
      </c>
      <c r="N81" s="10" t="s">
        <v>1219</v>
      </c>
      <c r="O81" s="10" t="s">
        <v>1214</v>
      </c>
      <c r="P81" s="10" t="s">
        <v>1214</v>
      </c>
      <c r="Q81" s="10" t="s">
        <v>1214</v>
      </c>
      <c r="R81" s="10" t="s">
        <v>1214</v>
      </c>
      <c r="S81" s="10" t="s">
        <v>1235</v>
      </c>
    </row>
    <row r="82" spans="1:19" ht="72.5" x14ac:dyDescent="0.35">
      <c r="A82" s="14">
        <v>46022</v>
      </c>
      <c r="B82" s="10" t="s">
        <v>138</v>
      </c>
      <c r="C82" s="10" t="s">
        <v>139</v>
      </c>
      <c r="D82" s="10" t="s">
        <v>952</v>
      </c>
      <c r="E82" s="10">
        <v>4041871</v>
      </c>
      <c r="F82" s="15">
        <v>30</v>
      </c>
      <c r="G82" s="10" t="s">
        <v>1282</v>
      </c>
      <c r="H82" s="10">
        <v>4348083</v>
      </c>
      <c r="I82" s="10">
        <v>4041871</v>
      </c>
      <c r="J82" s="10" t="s">
        <v>1232</v>
      </c>
      <c r="K82" s="10" t="s">
        <v>1233</v>
      </c>
      <c r="L82" s="10" t="s">
        <v>1234</v>
      </c>
      <c r="M82" s="10" t="s">
        <v>1233</v>
      </c>
      <c r="N82" s="10" t="s">
        <v>1219</v>
      </c>
      <c r="O82" s="10" t="s">
        <v>1214</v>
      </c>
      <c r="P82" s="10" t="s">
        <v>1214</v>
      </c>
      <c r="Q82" s="10" t="s">
        <v>1214</v>
      </c>
      <c r="R82" s="10" t="s">
        <v>1214</v>
      </c>
      <c r="S82" s="10" t="s">
        <v>1235</v>
      </c>
    </row>
    <row r="83" spans="1:19" ht="72.5" x14ac:dyDescent="0.35">
      <c r="A83" s="14">
        <v>46022</v>
      </c>
      <c r="B83" s="10" t="s">
        <v>96</v>
      </c>
      <c r="C83" s="10" t="s">
        <v>97</v>
      </c>
      <c r="D83" s="10" t="s">
        <v>951</v>
      </c>
      <c r="E83" s="10">
        <v>4348083</v>
      </c>
      <c r="F83" s="15">
        <v>70</v>
      </c>
      <c r="G83" s="10" t="s">
        <v>1282</v>
      </c>
      <c r="H83" s="10">
        <v>4348083</v>
      </c>
      <c r="I83" s="10">
        <v>4041871</v>
      </c>
      <c r="J83" s="10" t="s">
        <v>1232</v>
      </c>
      <c r="K83" s="10" t="s">
        <v>1233</v>
      </c>
      <c r="L83" s="10" t="s">
        <v>1234</v>
      </c>
      <c r="M83" s="10" t="s">
        <v>1233</v>
      </c>
      <c r="N83" s="10" t="s">
        <v>1219</v>
      </c>
      <c r="O83" s="10" t="s">
        <v>1214</v>
      </c>
      <c r="P83" s="10" t="s">
        <v>1214</v>
      </c>
      <c r="Q83" s="10" t="s">
        <v>1214</v>
      </c>
      <c r="R83" s="10" t="s">
        <v>1214</v>
      </c>
      <c r="S83" s="10" t="s">
        <v>1235</v>
      </c>
    </row>
    <row r="84" spans="1:19" ht="72.5" x14ac:dyDescent="0.35">
      <c r="A84" s="14">
        <v>46022</v>
      </c>
      <c r="B84" s="10" t="s">
        <v>96</v>
      </c>
      <c r="C84" s="10" t="s">
        <v>97</v>
      </c>
      <c r="D84" s="10" t="s">
        <v>952</v>
      </c>
      <c r="E84" s="10">
        <v>4041871</v>
      </c>
      <c r="F84" s="15">
        <v>30</v>
      </c>
      <c r="G84" s="10" t="s">
        <v>1282</v>
      </c>
      <c r="H84" s="10">
        <v>4348083</v>
      </c>
      <c r="I84" s="10">
        <v>4041871</v>
      </c>
      <c r="J84" s="10" t="s">
        <v>1232</v>
      </c>
      <c r="K84" s="10" t="s">
        <v>1233</v>
      </c>
      <c r="L84" s="10" t="s">
        <v>1234</v>
      </c>
      <c r="M84" s="10" t="s">
        <v>1233</v>
      </c>
      <c r="N84" s="10" t="s">
        <v>1219</v>
      </c>
      <c r="O84" s="10" t="s">
        <v>1214</v>
      </c>
      <c r="P84" s="10" t="s">
        <v>1214</v>
      </c>
      <c r="Q84" s="10" t="s">
        <v>1214</v>
      </c>
      <c r="R84" s="10" t="s">
        <v>1214</v>
      </c>
      <c r="S84" s="10" t="s">
        <v>1235</v>
      </c>
    </row>
    <row r="85" spans="1:19" ht="29" x14ac:dyDescent="0.35">
      <c r="A85" s="14">
        <v>46022</v>
      </c>
      <c r="B85" s="10" t="s">
        <v>702</v>
      </c>
      <c r="C85" s="10" t="s">
        <v>703</v>
      </c>
      <c r="D85" s="10" t="s">
        <v>996</v>
      </c>
      <c r="E85" s="10">
        <v>4410234</v>
      </c>
      <c r="F85" s="15">
        <v>100</v>
      </c>
      <c r="G85" s="10" t="s">
        <v>1283</v>
      </c>
      <c r="H85" s="10">
        <v>4410234</v>
      </c>
      <c r="I85" s="10" t="s">
        <v>1194</v>
      </c>
      <c r="J85" s="10" t="s">
        <v>1214</v>
      </c>
      <c r="K85" s="10" t="s">
        <v>1214</v>
      </c>
      <c r="L85" s="10" t="s">
        <v>1214</v>
      </c>
      <c r="M85" s="10" t="s">
        <v>1214</v>
      </c>
      <c r="N85" s="10" t="s">
        <v>1284</v>
      </c>
      <c r="O85" s="10" t="s">
        <v>1214</v>
      </c>
      <c r="P85" s="10" t="s">
        <v>1214</v>
      </c>
      <c r="Q85" s="10" t="s">
        <v>1214</v>
      </c>
      <c r="R85" s="10" t="s">
        <v>1214</v>
      </c>
      <c r="S85" s="10" t="s">
        <v>61</v>
      </c>
    </row>
    <row r="86" spans="1:19" ht="101.5" x14ac:dyDescent="0.35">
      <c r="A86" s="14">
        <v>46022</v>
      </c>
      <c r="B86" s="10" t="s">
        <v>140</v>
      </c>
      <c r="C86" s="10" t="s">
        <v>141</v>
      </c>
      <c r="D86" s="10" t="s">
        <v>997</v>
      </c>
      <c r="E86" s="10">
        <v>4144674</v>
      </c>
      <c r="F86" s="15">
        <v>99.53</v>
      </c>
      <c r="G86" s="10" t="s">
        <v>1285</v>
      </c>
      <c r="H86" s="10">
        <v>4144674</v>
      </c>
      <c r="I86" s="10">
        <v>4353456</v>
      </c>
      <c r="J86" s="10" t="s">
        <v>1214</v>
      </c>
      <c r="K86" s="10" t="s">
        <v>1214</v>
      </c>
      <c r="L86" s="10" t="s">
        <v>1214</v>
      </c>
      <c r="M86" s="10" t="s">
        <v>1214</v>
      </c>
      <c r="N86" s="10" t="s">
        <v>105</v>
      </c>
      <c r="O86" s="10" t="s">
        <v>1214</v>
      </c>
      <c r="P86" s="10" t="s">
        <v>1214</v>
      </c>
      <c r="Q86" s="10" t="s">
        <v>1214</v>
      </c>
      <c r="R86" s="10" t="s">
        <v>1214</v>
      </c>
      <c r="S86" s="10" t="s">
        <v>61</v>
      </c>
    </row>
    <row r="87" spans="1:19" ht="101.5" x14ac:dyDescent="0.35">
      <c r="A87" s="14">
        <v>46022</v>
      </c>
      <c r="B87" s="10" t="s">
        <v>140</v>
      </c>
      <c r="C87" s="10" t="s">
        <v>141</v>
      </c>
      <c r="D87" s="10" t="s">
        <v>962</v>
      </c>
      <c r="E87" s="10">
        <v>4353456</v>
      </c>
      <c r="F87" s="15">
        <v>0.47</v>
      </c>
      <c r="G87" s="10" t="s">
        <v>1285</v>
      </c>
      <c r="H87" s="10">
        <v>4144674</v>
      </c>
      <c r="I87" s="10">
        <v>4353456</v>
      </c>
      <c r="J87" s="10" t="s">
        <v>1214</v>
      </c>
      <c r="K87" s="10" t="s">
        <v>1214</v>
      </c>
      <c r="L87" s="10" t="s">
        <v>1214</v>
      </c>
      <c r="M87" s="10" t="s">
        <v>1214</v>
      </c>
      <c r="N87" s="10" t="s">
        <v>105</v>
      </c>
      <c r="O87" s="10" t="s">
        <v>1214</v>
      </c>
      <c r="P87" s="10" t="s">
        <v>1214</v>
      </c>
      <c r="Q87" s="10" t="s">
        <v>1214</v>
      </c>
      <c r="R87" s="10" t="s">
        <v>1214</v>
      </c>
      <c r="S87" s="10" t="s">
        <v>61</v>
      </c>
    </row>
    <row r="88" spans="1:19" ht="43.5" x14ac:dyDescent="0.35">
      <c r="A88" s="14">
        <v>46022</v>
      </c>
      <c r="B88" s="10" t="s">
        <v>260</v>
      </c>
      <c r="C88" s="10" t="s">
        <v>261</v>
      </c>
      <c r="D88" s="10" t="s">
        <v>998</v>
      </c>
      <c r="E88" s="10">
        <v>4355633</v>
      </c>
      <c r="F88" s="15">
        <v>100</v>
      </c>
      <c r="G88" s="10" t="s">
        <v>1286</v>
      </c>
      <c r="H88" s="10">
        <v>4355633</v>
      </c>
      <c r="I88" s="10" t="s">
        <v>1194</v>
      </c>
      <c r="J88" s="10" t="s">
        <v>1214</v>
      </c>
      <c r="K88" s="10" t="s">
        <v>1214</v>
      </c>
      <c r="L88" s="10" t="s">
        <v>1214</v>
      </c>
      <c r="M88" s="10" t="s">
        <v>1214</v>
      </c>
      <c r="N88" s="10" t="s">
        <v>61</v>
      </c>
      <c r="O88" s="10" t="s">
        <v>1214</v>
      </c>
      <c r="P88" s="10" t="s">
        <v>1214</v>
      </c>
      <c r="Q88" s="10" t="s">
        <v>1214</v>
      </c>
      <c r="R88" s="10" t="s">
        <v>1214</v>
      </c>
      <c r="S88" s="10" t="s">
        <v>61</v>
      </c>
    </row>
    <row r="89" spans="1:19" ht="29" x14ac:dyDescent="0.35">
      <c r="A89" s="14">
        <v>46022</v>
      </c>
      <c r="B89" s="10" t="s">
        <v>142</v>
      </c>
      <c r="C89" s="10" t="s">
        <v>143</v>
      </c>
      <c r="D89" s="10" t="s">
        <v>999</v>
      </c>
      <c r="E89" s="10">
        <v>4349227</v>
      </c>
      <c r="F89" s="15">
        <v>100</v>
      </c>
      <c r="G89" s="10" t="s">
        <v>1287</v>
      </c>
      <c r="H89" s="10">
        <v>4349227</v>
      </c>
      <c r="I89" s="10" t="s">
        <v>1194</v>
      </c>
      <c r="J89" s="10" t="s">
        <v>1238</v>
      </c>
      <c r="K89" s="10" t="s">
        <v>55</v>
      </c>
      <c r="L89" s="10" t="s">
        <v>1288</v>
      </c>
      <c r="M89" s="10" t="s">
        <v>50</v>
      </c>
      <c r="N89" s="10" t="s">
        <v>50</v>
      </c>
      <c r="O89" s="10" t="s">
        <v>1214</v>
      </c>
      <c r="P89" s="10" t="s">
        <v>1214</v>
      </c>
      <c r="Q89" s="10" t="s">
        <v>1214</v>
      </c>
      <c r="R89" s="10" t="s">
        <v>1214</v>
      </c>
      <c r="S89" s="10" t="s">
        <v>61</v>
      </c>
    </row>
    <row r="90" spans="1:19" ht="188.5" x14ac:dyDescent="0.35">
      <c r="A90" s="14">
        <v>46022</v>
      </c>
      <c r="B90" s="10" t="s">
        <v>98</v>
      </c>
      <c r="C90" s="10" t="s">
        <v>99</v>
      </c>
      <c r="D90" s="10" t="s">
        <v>1000</v>
      </c>
      <c r="E90" s="10">
        <v>4349204</v>
      </c>
      <c r="F90" s="15">
        <v>19.579999999999998</v>
      </c>
      <c r="G90" s="10" t="s">
        <v>1289</v>
      </c>
      <c r="H90" s="10">
        <v>4004107</v>
      </c>
      <c r="I90" s="10">
        <v>4349204</v>
      </c>
      <c r="J90" s="10" t="s">
        <v>1214</v>
      </c>
      <c r="K90" s="10" t="s">
        <v>1214</v>
      </c>
      <c r="L90" s="10" t="s">
        <v>1214</v>
      </c>
      <c r="M90" s="10" t="s">
        <v>1214</v>
      </c>
      <c r="N90" s="10" t="s">
        <v>79</v>
      </c>
      <c r="O90" s="10" t="s">
        <v>1214</v>
      </c>
      <c r="P90" s="10" t="s">
        <v>1214</v>
      </c>
      <c r="Q90" s="10" t="s">
        <v>1214</v>
      </c>
      <c r="R90" s="10" t="s">
        <v>1214</v>
      </c>
      <c r="S90" s="10" t="s">
        <v>50</v>
      </c>
    </row>
    <row r="91" spans="1:19" ht="188.5" x14ac:dyDescent="0.35">
      <c r="A91" s="14">
        <v>46022</v>
      </c>
      <c r="B91" s="10" t="s">
        <v>98</v>
      </c>
      <c r="C91" s="10" t="s">
        <v>99</v>
      </c>
      <c r="D91" s="10" t="s">
        <v>963</v>
      </c>
      <c r="E91" s="10">
        <v>4004107</v>
      </c>
      <c r="F91" s="15">
        <v>55.08</v>
      </c>
      <c r="G91" s="10" t="s">
        <v>1289</v>
      </c>
      <c r="H91" s="10">
        <v>4004107</v>
      </c>
      <c r="I91" s="10">
        <v>4349204</v>
      </c>
      <c r="J91" s="10" t="s">
        <v>1214</v>
      </c>
      <c r="K91" s="10" t="s">
        <v>1214</v>
      </c>
      <c r="L91" s="10" t="s">
        <v>1214</v>
      </c>
      <c r="M91" s="10" t="s">
        <v>1214</v>
      </c>
      <c r="N91" s="10" t="s">
        <v>79</v>
      </c>
      <c r="O91" s="10" t="s">
        <v>1214</v>
      </c>
      <c r="P91" s="10" t="s">
        <v>1214</v>
      </c>
      <c r="Q91" s="10" t="s">
        <v>1214</v>
      </c>
      <c r="R91" s="10" t="s">
        <v>1214</v>
      </c>
      <c r="S91" s="10" t="s">
        <v>50</v>
      </c>
    </row>
    <row r="92" spans="1:19" ht="188.5" x14ac:dyDescent="0.35">
      <c r="A92" s="14">
        <v>46022</v>
      </c>
      <c r="B92" s="10" t="s">
        <v>98</v>
      </c>
      <c r="C92" s="10" t="s">
        <v>99</v>
      </c>
      <c r="D92" s="10" t="s">
        <v>988</v>
      </c>
      <c r="E92" s="10">
        <v>4047416</v>
      </c>
      <c r="F92" s="15">
        <v>4.2</v>
      </c>
      <c r="G92" s="10" t="s">
        <v>1289</v>
      </c>
      <c r="H92" s="10">
        <v>4004107</v>
      </c>
      <c r="I92" s="10">
        <v>4349204</v>
      </c>
      <c r="J92" s="10" t="s">
        <v>1214</v>
      </c>
      <c r="K92" s="10" t="s">
        <v>1214</v>
      </c>
      <c r="L92" s="10" t="s">
        <v>1214</v>
      </c>
      <c r="M92" s="10" t="s">
        <v>1214</v>
      </c>
      <c r="N92" s="10" t="s">
        <v>79</v>
      </c>
      <c r="O92" s="10" t="s">
        <v>1214</v>
      </c>
      <c r="P92" s="10" t="s">
        <v>1214</v>
      </c>
      <c r="Q92" s="10" t="s">
        <v>1214</v>
      </c>
      <c r="R92" s="10" t="s">
        <v>1214</v>
      </c>
      <c r="S92" s="10" t="s">
        <v>50</v>
      </c>
    </row>
    <row r="93" spans="1:19" ht="188.5" x14ac:dyDescent="0.35">
      <c r="A93" s="14">
        <v>46022</v>
      </c>
      <c r="B93" s="10" t="s">
        <v>98</v>
      </c>
      <c r="C93" s="10" t="s">
        <v>99</v>
      </c>
      <c r="D93" s="10" t="s">
        <v>989</v>
      </c>
      <c r="E93" s="10">
        <v>4354638</v>
      </c>
      <c r="F93" s="15">
        <v>16.8</v>
      </c>
      <c r="G93" s="10" t="s">
        <v>1289</v>
      </c>
      <c r="H93" s="10">
        <v>4004107</v>
      </c>
      <c r="I93" s="10">
        <v>4349204</v>
      </c>
      <c r="J93" s="10" t="s">
        <v>1214</v>
      </c>
      <c r="K93" s="10" t="s">
        <v>1214</v>
      </c>
      <c r="L93" s="10" t="s">
        <v>1214</v>
      </c>
      <c r="M93" s="10" t="s">
        <v>1214</v>
      </c>
      <c r="N93" s="10" t="s">
        <v>79</v>
      </c>
      <c r="O93" s="10" t="s">
        <v>1214</v>
      </c>
      <c r="P93" s="10" t="s">
        <v>1214</v>
      </c>
      <c r="Q93" s="10" t="s">
        <v>1214</v>
      </c>
      <c r="R93" s="10" t="s">
        <v>1214</v>
      </c>
      <c r="S93" s="10" t="s">
        <v>50</v>
      </c>
    </row>
    <row r="94" spans="1:19" ht="159.5" x14ac:dyDescent="0.35">
      <c r="A94" s="14">
        <v>46022</v>
      </c>
      <c r="B94" s="10" t="s">
        <v>118</v>
      </c>
      <c r="C94" s="10" t="s">
        <v>119</v>
      </c>
      <c r="D94" s="10" t="s">
        <v>1000</v>
      </c>
      <c r="E94" s="10">
        <v>4349204</v>
      </c>
      <c r="F94" s="15">
        <v>19.579999999999998</v>
      </c>
      <c r="G94" s="10" t="s">
        <v>1290</v>
      </c>
      <c r="H94" s="10">
        <v>4004107</v>
      </c>
      <c r="I94" s="10">
        <v>4354638</v>
      </c>
      <c r="J94" s="10" t="s">
        <v>1214</v>
      </c>
      <c r="K94" s="10" t="s">
        <v>1214</v>
      </c>
      <c r="L94" s="10" t="s">
        <v>1214</v>
      </c>
      <c r="M94" s="10" t="s">
        <v>1214</v>
      </c>
      <c r="N94" s="10" t="s">
        <v>79</v>
      </c>
      <c r="O94" s="10" t="s">
        <v>1214</v>
      </c>
      <c r="P94" s="10" t="s">
        <v>1214</v>
      </c>
      <c r="Q94" s="10" t="s">
        <v>1214</v>
      </c>
      <c r="R94" s="10" t="s">
        <v>1214</v>
      </c>
      <c r="S94" s="10" t="s">
        <v>1235</v>
      </c>
    </row>
    <row r="95" spans="1:19" ht="159.5" x14ac:dyDescent="0.35">
      <c r="A95" s="14">
        <v>46022</v>
      </c>
      <c r="B95" s="10" t="s">
        <v>118</v>
      </c>
      <c r="C95" s="10" t="s">
        <v>119</v>
      </c>
      <c r="D95" s="10" t="s">
        <v>963</v>
      </c>
      <c r="E95" s="10">
        <v>4004107</v>
      </c>
      <c r="F95" s="15">
        <v>55.08</v>
      </c>
      <c r="G95" s="10" t="s">
        <v>1290</v>
      </c>
      <c r="H95" s="10">
        <v>4004107</v>
      </c>
      <c r="I95" s="10">
        <v>4354638</v>
      </c>
      <c r="J95" s="10" t="s">
        <v>1214</v>
      </c>
      <c r="K95" s="10" t="s">
        <v>1214</v>
      </c>
      <c r="L95" s="10" t="s">
        <v>1214</v>
      </c>
      <c r="M95" s="10" t="s">
        <v>1214</v>
      </c>
      <c r="N95" s="10" t="s">
        <v>79</v>
      </c>
      <c r="O95" s="10" t="s">
        <v>1214</v>
      </c>
      <c r="P95" s="10" t="s">
        <v>1214</v>
      </c>
      <c r="Q95" s="10" t="s">
        <v>1214</v>
      </c>
      <c r="R95" s="10" t="s">
        <v>1214</v>
      </c>
      <c r="S95" s="10" t="s">
        <v>1235</v>
      </c>
    </row>
    <row r="96" spans="1:19" ht="159.5" x14ac:dyDescent="0.35">
      <c r="A96" s="14">
        <v>46022</v>
      </c>
      <c r="B96" s="10" t="s">
        <v>118</v>
      </c>
      <c r="C96" s="10" t="s">
        <v>119</v>
      </c>
      <c r="D96" s="10" t="s">
        <v>989</v>
      </c>
      <c r="E96" s="10">
        <v>4354638</v>
      </c>
      <c r="F96" s="15">
        <v>21</v>
      </c>
      <c r="G96" s="10" t="s">
        <v>1290</v>
      </c>
      <c r="H96" s="10">
        <v>4004107</v>
      </c>
      <c r="I96" s="10">
        <v>4354638</v>
      </c>
      <c r="J96" s="10" t="s">
        <v>1214</v>
      </c>
      <c r="K96" s="10" t="s">
        <v>1214</v>
      </c>
      <c r="L96" s="10" t="s">
        <v>1214</v>
      </c>
      <c r="M96" s="10" t="s">
        <v>1214</v>
      </c>
      <c r="N96" s="10" t="s">
        <v>79</v>
      </c>
      <c r="O96" s="10" t="s">
        <v>1214</v>
      </c>
      <c r="P96" s="10" t="s">
        <v>1214</v>
      </c>
      <c r="Q96" s="10" t="s">
        <v>1214</v>
      </c>
      <c r="R96" s="10" t="s">
        <v>1214</v>
      </c>
      <c r="S96" s="10" t="s">
        <v>1235</v>
      </c>
    </row>
    <row r="97" spans="1:19" ht="101.5" x14ac:dyDescent="0.35">
      <c r="A97" s="14">
        <v>46022</v>
      </c>
      <c r="B97" s="10" t="s">
        <v>120</v>
      </c>
      <c r="C97" s="10" t="s">
        <v>121</v>
      </c>
      <c r="D97" s="10" t="s">
        <v>1001</v>
      </c>
      <c r="E97" s="10">
        <v>4349160</v>
      </c>
      <c r="F97" s="15">
        <v>85</v>
      </c>
      <c r="G97" s="10" t="s">
        <v>1291</v>
      </c>
      <c r="H97" s="10">
        <v>4349160</v>
      </c>
      <c r="I97" s="10">
        <v>4355602</v>
      </c>
      <c r="J97" s="10" t="s">
        <v>1292</v>
      </c>
      <c r="K97" s="10" t="s">
        <v>61</v>
      </c>
      <c r="L97" s="10" t="s">
        <v>1293</v>
      </c>
      <c r="M97" s="10" t="s">
        <v>1294</v>
      </c>
      <c r="N97" s="10" t="s">
        <v>61</v>
      </c>
      <c r="O97" s="10" t="s">
        <v>1295</v>
      </c>
      <c r="P97" s="10" t="s">
        <v>122</v>
      </c>
      <c r="Q97" s="10" t="s">
        <v>1295</v>
      </c>
      <c r="R97" s="10" t="s">
        <v>122</v>
      </c>
      <c r="S97" s="10" t="s">
        <v>122</v>
      </c>
    </row>
    <row r="98" spans="1:19" ht="101.5" x14ac:dyDescent="0.35">
      <c r="A98" s="14">
        <v>46022</v>
      </c>
      <c r="B98" s="10" t="s">
        <v>120</v>
      </c>
      <c r="C98" s="10" t="s">
        <v>121</v>
      </c>
      <c r="D98" s="10" t="s">
        <v>1002</v>
      </c>
      <c r="E98" s="10">
        <v>4355602</v>
      </c>
      <c r="F98" s="15">
        <v>15</v>
      </c>
      <c r="G98" s="10" t="s">
        <v>1291</v>
      </c>
      <c r="H98" s="10">
        <v>4349160</v>
      </c>
      <c r="I98" s="10">
        <v>4355602</v>
      </c>
      <c r="J98" s="10" t="s">
        <v>1292</v>
      </c>
      <c r="K98" s="10" t="s">
        <v>61</v>
      </c>
      <c r="L98" s="10" t="s">
        <v>1293</v>
      </c>
      <c r="M98" s="10" t="s">
        <v>1294</v>
      </c>
      <c r="N98" s="10" t="s">
        <v>61</v>
      </c>
      <c r="O98" s="10" t="s">
        <v>1295</v>
      </c>
      <c r="P98" s="10" t="s">
        <v>122</v>
      </c>
      <c r="Q98" s="10" t="s">
        <v>1295</v>
      </c>
      <c r="R98" s="10" t="s">
        <v>122</v>
      </c>
      <c r="S98" s="10" t="s">
        <v>122</v>
      </c>
    </row>
    <row r="99" spans="1:19" ht="29" x14ac:dyDescent="0.35">
      <c r="A99" s="14">
        <v>46022</v>
      </c>
      <c r="B99" s="10" t="s">
        <v>704</v>
      </c>
      <c r="C99" s="10" t="s">
        <v>705</v>
      </c>
      <c r="D99" s="10" t="s">
        <v>962</v>
      </c>
      <c r="E99" s="10">
        <v>4353456</v>
      </c>
      <c r="F99" s="15">
        <v>100</v>
      </c>
      <c r="G99" s="10" t="s">
        <v>1296</v>
      </c>
      <c r="H99" s="10">
        <v>4353456</v>
      </c>
      <c r="I99" s="10" t="s">
        <v>1194</v>
      </c>
      <c r="J99" s="10" t="s">
        <v>1214</v>
      </c>
      <c r="K99" s="10" t="s">
        <v>1214</v>
      </c>
      <c r="L99" s="10" t="s">
        <v>1214</v>
      </c>
      <c r="M99" s="10" t="s">
        <v>1214</v>
      </c>
      <c r="N99" s="10" t="s">
        <v>61</v>
      </c>
      <c r="O99" s="10" t="s">
        <v>1214</v>
      </c>
      <c r="P99" s="10" t="s">
        <v>1214</v>
      </c>
      <c r="Q99" s="10" t="s">
        <v>1214</v>
      </c>
      <c r="R99" s="10" t="s">
        <v>1214</v>
      </c>
      <c r="S99" s="10" t="s">
        <v>61</v>
      </c>
    </row>
    <row r="100" spans="1:19" ht="29" x14ac:dyDescent="0.35">
      <c r="A100" s="14">
        <v>46022</v>
      </c>
      <c r="B100" s="10" t="s">
        <v>144</v>
      </c>
      <c r="C100" s="10" t="s">
        <v>145</v>
      </c>
      <c r="D100" s="10" t="s">
        <v>987</v>
      </c>
      <c r="E100" s="10">
        <v>4351931</v>
      </c>
      <c r="F100" s="15">
        <v>100</v>
      </c>
      <c r="G100" s="10" t="s">
        <v>1297</v>
      </c>
      <c r="H100" s="10">
        <v>4351931</v>
      </c>
      <c r="I100" s="10" t="s">
        <v>1194</v>
      </c>
      <c r="J100" s="10" t="s">
        <v>1214</v>
      </c>
      <c r="K100" s="10" t="s">
        <v>1214</v>
      </c>
      <c r="L100" s="10" t="s">
        <v>1214</v>
      </c>
      <c r="M100" s="10" t="s">
        <v>1214</v>
      </c>
      <c r="N100" s="10" t="s">
        <v>222</v>
      </c>
      <c r="O100" s="10" t="s">
        <v>1214</v>
      </c>
      <c r="P100" s="10" t="s">
        <v>1214</v>
      </c>
      <c r="Q100" s="10" t="s">
        <v>1214</v>
      </c>
      <c r="R100" s="10" t="s">
        <v>1214</v>
      </c>
      <c r="S100" s="10" t="s">
        <v>61</v>
      </c>
    </row>
    <row r="101" spans="1:19" ht="29" x14ac:dyDescent="0.35">
      <c r="A101" s="14">
        <v>46022</v>
      </c>
      <c r="B101" s="10" t="s">
        <v>706</v>
      </c>
      <c r="C101" s="10" t="s">
        <v>707</v>
      </c>
      <c r="D101" s="10" t="s">
        <v>980</v>
      </c>
      <c r="E101" s="10">
        <v>4354459</v>
      </c>
      <c r="F101" s="15">
        <v>100</v>
      </c>
      <c r="G101" s="10" t="s">
        <v>1298</v>
      </c>
      <c r="H101" s="10">
        <v>4354459</v>
      </c>
      <c r="I101" s="10" t="s">
        <v>1194</v>
      </c>
      <c r="J101" s="10" t="s">
        <v>1267</v>
      </c>
      <c r="K101" s="10" t="s">
        <v>111</v>
      </c>
      <c r="L101" s="10" t="s">
        <v>1268</v>
      </c>
      <c r="M101" s="10" t="s">
        <v>79</v>
      </c>
      <c r="N101" s="10" t="s">
        <v>79</v>
      </c>
      <c r="O101" s="10" t="s">
        <v>1214</v>
      </c>
      <c r="P101" s="10" t="s">
        <v>1214</v>
      </c>
      <c r="Q101" s="10" t="s">
        <v>1214</v>
      </c>
      <c r="R101" s="10" t="s">
        <v>1214</v>
      </c>
      <c r="S101" s="10" t="s">
        <v>61</v>
      </c>
    </row>
    <row r="102" spans="1:19" ht="29" x14ac:dyDescent="0.35">
      <c r="A102" s="14">
        <v>46022</v>
      </c>
      <c r="B102" s="10" t="s">
        <v>146</v>
      </c>
      <c r="C102" s="10" t="s">
        <v>147</v>
      </c>
      <c r="D102" s="10" t="s">
        <v>1003</v>
      </c>
      <c r="E102" s="10">
        <v>4349826</v>
      </c>
      <c r="F102" s="15">
        <v>100</v>
      </c>
      <c r="G102" s="10" t="s">
        <v>1299</v>
      </c>
      <c r="H102" s="10">
        <v>4349826</v>
      </c>
      <c r="I102" s="10" t="s">
        <v>1194</v>
      </c>
      <c r="J102" s="10" t="s">
        <v>1214</v>
      </c>
      <c r="K102" s="10" t="s">
        <v>1214</v>
      </c>
      <c r="L102" s="10" t="s">
        <v>1214</v>
      </c>
      <c r="M102" s="10" t="s">
        <v>1214</v>
      </c>
      <c r="N102" s="10" t="s">
        <v>222</v>
      </c>
      <c r="O102" s="10" t="s">
        <v>1214</v>
      </c>
      <c r="P102" s="10" t="s">
        <v>1214</v>
      </c>
      <c r="Q102" s="10" t="s">
        <v>1214</v>
      </c>
      <c r="R102" s="10" t="s">
        <v>1214</v>
      </c>
      <c r="S102" s="10" t="s">
        <v>61</v>
      </c>
    </row>
    <row r="103" spans="1:19" ht="72.5" x14ac:dyDescent="0.35">
      <c r="A103" s="14">
        <v>46022</v>
      </c>
      <c r="B103" s="10" t="s">
        <v>263</v>
      </c>
      <c r="C103" s="10" t="s">
        <v>264</v>
      </c>
      <c r="D103" s="10" t="s">
        <v>1004</v>
      </c>
      <c r="E103" s="10">
        <v>4351423</v>
      </c>
      <c r="F103" s="15">
        <v>100</v>
      </c>
      <c r="G103" s="10" t="s">
        <v>1300</v>
      </c>
      <c r="H103" s="10">
        <v>4351423</v>
      </c>
      <c r="I103" s="10" t="s">
        <v>1194</v>
      </c>
      <c r="J103" s="10" t="s">
        <v>1301</v>
      </c>
      <c r="K103" s="10" t="s">
        <v>61</v>
      </c>
      <c r="L103" s="10" t="s">
        <v>1302</v>
      </c>
      <c r="M103" s="10" t="s">
        <v>61</v>
      </c>
      <c r="N103" s="10" t="s">
        <v>61</v>
      </c>
      <c r="O103" s="10" t="s">
        <v>1214</v>
      </c>
      <c r="P103" s="10" t="s">
        <v>1214</v>
      </c>
      <c r="Q103" s="10" t="s">
        <v>1214</v>
      </c>
      <c r="R103" s="10" t="s">
        <v>1214</v>
      </c>
      <c r="S103" s="10" t="s">
        <v>61</v>
      </c>
    </row>
    <row r="104" spans="1:19" ht="29" x14ac:dyDescent="0.35">
      <c r="A104" s="14">
        <v>46022</v>
      </c>
      <c r="B104" s="10" t="s">
        <v>125</v>
      </c>
      <c r="C104" s="10" t="s">
        <v>126</v>
      </c>
      <c r="D104" s="10" t="s">
        <v>963</v>
      </c>
      <c r="E104" s="10">
        <v>4004107</v>
      </c>
      <c r="F104" s="15">
        <v>100</v>
      </c>
      <c r="G104" s="10" t="s">
        <v>1245</v>
      </c>
      <c r="H104" s="10">
        <v>4004107</v>
      </c>
      <c r="I104" s="10" t="s">
        <v>1194</v>
      </c>
      <c r="J104" s="10" t="s">
        <v>1214</v>
      </c>
      <c r="K104" s="10" t="s">
        <v>1214</v>
      </c>
      <c r="L104" s="10" t="s">
        <v>1214</v>
      </c>
      <c r="M104" s="10" t="s">
        <v>1214</v>
      </c>
      <c r="N104" s="10" t="s">
        <v>79</v>
      </c>
      <c r="O104" s="10" t="s">
        <v>1214</v>
      </c>
      <c r="P104" s="10" t="s">
        <v>1214</v>
      </c>
      <c r="Q104" s="10" t="s">
        <v>1214</v>
      </c>
      <c r="R104" s="10" t="s">
        <v>1214</v>
      </c>
      <c r="S104" s="10" t="s">
        <v>61</v>
      </c>
    </row>
    <row r="105" spans="1:19" ht="29" x14ac:dyDescent="0.35">
      <c r="A105" s="14">
        <v>46022</v>
      </c>
      <c r="B105" s="10" t="s">
        <v>265</v>
      </c>
      <c r="C105" s="10" t="s">
        <v>266</v>
      </c>
      <c r="D105" s="10" t="s">
        <v>963</v>
      </c>
      <c r="E105" s="10">
        <v>4004107</v>
      </c>
      <c r="F105" s="15">
        <v>100</v>
      </c>
      <c r="G105" s="10" t="s">
        <v>1245</v>
      </c>
      <c r="H105" s="10">
        <v>4004107</v>
      </c>
      <c r="I105" s="10" t="s">
        <v>1194</v>
      </c>
      <c r="J105" s="10" t="s">
        <v>1214</v>
      </c>
      <c r="K105" s="10" t="s">
        <v>1214</v>
      </c>
      <c r="L105" s="10" t="s">
        <v>1214</v>
      </c>
      <c r="M105" s="10" t="s">
        <v>1214</v>
      </c>
      <c r="N105" s="10" t="s">
        <v>79</v>
      </c>
      <c r="O105" s="10" t="s">
        <v>1214</v>
      </c>
      <c r="P105" s="10" t="s">
        <v>1214</v>
      </c>
      <c r="Q105" s="10" t="s">
        <v>1214</v>
      </c>
      <c r="R105" s="10" t="s">
        <v>1214</v>
      </c>
      <c r="S105" s="10" t="s">
        <v>61</v>
      </c>
    </row>
    <row r="106" spans="1:19" ht="29" x14ac:dyDescent="0.35">
      <c r="A106" s="14">
        <v>46022</v>
      </c>
      <c r="B106" s="10" t="s">
        <v>708</v>
      </c>
      <c r="C106" s="10" t="s">
        <v>709</v>
      </c>
      <c r="D106" s="10" t="s">
        <v>1005</v>
      </c>
      <c r="E106" s="10">
        <v>4355250</v>
      </c>
      <c r="F106" s="15">
        <v>100</v>
      </c>
      <c r="G106" s="10" t="s">
        <v>1303</v>
      </c>
      <c r="H106" s="10">
        <v>4355250</v>
      </c>
      <c r="I106" s="10" t="s">
        <v>1194</v>
      </c>
      <c r="J106" s="10" t="s">
        <v>1304</v>
      </c>
      <c r="K106" s="10" t="s">
        <v>283</v>
      </c>
      <c r="L106" s="10" t="s">
        <v>1305</v>
      </c>
      <c r="M106" s="10" t="s">
        <v>1228</v>
      </c>
      <c r="N106" s="10" t="s">
        <v>50</v>
      </c>
      <c r="O106" s="10" t="s">
        <v>1214</v>
      </c>
      <c r="P106" s="10" t="s">
        <v>1214</v>
      </c>
      <c r="Q106" s="10" t="s">
        <v>1214</v>
      </c>
      <c r="R106" s="10" t="s">
        <v>1214</v>
      </c>
      <c r="S106" s="10" t="s">
        <v>61</v>
      </c>
    </row>
    <row r="107" spans="1:19" ht="43.5" x14ac:dyDescent="0.35">
      <c r="A107" s="14">
        <v>46022</v>
      </c>
      <c r="B107" s="10" t="s">
        <v>127</v>
      </c>
      <c r="C107" s="10" t="s">
        <v>128</v>
      </c>
      <c r="D107" s="10" t="s">
        <v>945</v>
      </c>
      <c r="E107" s="10">
        <v>4349314</v>
      </c>
      <c r="F107" s="15">
        <v>100</v>
      </c>
      <c r="G107" s="10" t="s">
        <v>1225</v>
      </c>
      <c r="H107" s="10">
        <v>4349314</v>
      </c>
      <c r="I107" s="10" t="s">
        <v>1194</v>
      </c>
      <c r="J107" s="10" t="s">
        <v>58</v>
      </c>
      <c r="K107" s="10" t="s">
        <v>58</v>
      </c>
      <c r="L107" s="10" t="s">
        <v>58</v>
      </c>
      <c r="M107" s="10" t="s">
        <v>58</v>
      </c>
      <c r="N107" s="10" t="s">
        <v>58</v>
      </c>
      <c r="O107" s="10" t="s">
        <v>1214</v>
      </c>
      <c r="P107" s="10" t="s">
        <v>1214</v>
      </c>
      <c r="Q107" s="10" t="s">
        <v>1214</v>
      </c>
      <c r="R107" s="10" t="s">
        <v>1214</v>
      </c>
      <c r="S107" s="10" t="s">
        <v>61</v>
      </c>
    </row>
    <row r="108" spans="1:19" ht="43.5" x14ac:dyDescent="0.35">
      <c r="A108" s="14">
        <v>46022</v>
      </c>
      <c r="B108" s="10" t="s">
        <v>267</v>
      </c>
      <c r="C108" s="10" t="s">
        <v>268</v>
      </c>
      <c r="D108" s="10" t="s">
        <v>1006</v>
      </c>
      <c r="E108" s="10">
        <v>4155293</v>
      </c>
      <c r="F108" s="15">
        <v>100</v>
      </c>
      <c r="G108" s="10" t="s">
        <v>1306</v>
      </c>
      <c r="H108" s="10">
        <v>4155293</v>
      </c>
      <c r="I108" s="10" t="s">
        <v>1194</v>
      </c>
      <c r="J108" s="10" t="s">
        <v>1214</v>
      </c>
      <c r="K108" s="10" t="s">
        <v>1214</v>
      </c>
      <c r="L108" s="10" t="s">
        <v>1214</v>
      </c>
      <c r="M108" s="10" t="s">
        <v>1214</v>
      </c>
      <c r="N108" s="10" t="s">
        <v>105</v>
      </c>
      <c r="O108" s="10" t="s">
        <v>1214</v>
      </c>
      <c r="P108" s="10" t="s">
        <v>1214</v>
      </c>
      <c r="Q108" s="10" t="s">
        <v>1214</v>
      </c>
      <c r="R108" s="10" t="s">
        <v>1214</v>
      </c>
      <c r="S108" s="10" t="s">
        <v>61</v>
      </c>
    </row>
    <row r="109" spans="1:19" ht="130.5" x14ac:dyDescent="0.35">
      <c r="A109" s="14">
        <v>46022</v>
      </c>
      <c r="B109" s="10" t="s">
        <v>298</v>
      </c>
      <c r="C109" s="10" t="s">
        <v>299</v>
      </c>
      <c r="D109" s="10" t="s">
        <v>1007</v>
      </c>
      <c r="E109" s="10">
        <v>4193273</v>
      </c>
      <c r="F109" s="15">
        <v>44</v>
      </c>
      <c r="G109" s="10" t="s">
        <v>1307</v>
      </c>
      <c r="H109" s="10">
        <v>4113732</v>
      </c>
      <c r="I109" s="10">
        <v>4193273</v>
      </c>
      <c r="J109" s="10" t="s">
        <v>1214</v>
      </c>
      <c r="K109" s="10" t="s">
        <v>1214</v>
      </c>
      <c r="L109" s="10" t="s">
        <v>1214</v>
      </c>
      <c r="M109" s="10" t="s">
        <v>1214</v>
      </c>
      <c r="N109" s="10" t="s">
        <v>1228</v>
      </c>
      <c r="O109" s="10" t="s">
        <v>1214</v>
      </c>
      <c r="P109" s="10" t="s">
        <v>1214</v>
      </c>
      <c r="Q109" s="10" t="s">
        <v>1214</v>
      </c>
      <c r="R109" s="10" t="s">
        <v>1214</v>
      </c>
      <c r="S109" s="10" t="s">
        <v>1219</v>
      </c>
    </row>
    <row r="110" spans="1:19" ht="130.5" x14ac:dyDescent="0.35">
      <c r="A110" s="14">
        <v>46022</v>
      </c>
      <c r="B110" s="10" t="s">
        <v>298</v>
      </c>
      <c r="C110" s="10" t="s">
        <v>299</v>
      </c>
      <c r="D110" s="10" t="s">
        <v>948</v>
      </c>
      <c r="E110" s="10">
        <v>4113732</v>
      </c>
      <c r="F110" s="15">
        <v>44</v>
      </c>
      <c r="G110" s="10" t="s">
        <v>1307</v>
      </c>
      <c r="H110" s="10">
        <v>4113732</v>
      </c>
      <c r="I110" s="10">
        <v>4193273</v>
      </c>
      <c r="J110" s="10" t="s">
        <v>1214</v>
      </c>
      <c r="K110" s="10" t="s">
        <v>1214</v>
      </c>
      <c r="L110" s="10" t="s">
        <v>1214</v>
      </c>
      <c r="M110" s="10" t="s">
        <v>1214</v>
      </c>
      <c r="N110" s="10" t="s">
        <v>1228</v>
      </c>
      <c r="O110" s="10" t="s">
        <v>1214</v>
      </c>
      <c r="P110" s="10" t="s">
        <v>1214</v>
      </c>
      <c r="Q110" s="10" t="s">
        <v>1214</v>
      </c>
      <c r="R110" s="10" t="s">
        <v>1214</v>
      </c>
      <c r="S110" s="10" t="s">
        <v>1219</v>
      </c>
    </row>
    <row r="111" spans="1:19" ht="130.5" x14ac:dyDescent="0.35">
      <c r="A111" s="14">
        <v>46022</v>
      </c>
      <c r="B111" s="10" t="s">
        <v>298</v>
      </c>
      <c r="C111" s="10" t="s">
        <v>299</v>
      </c>
      <c r="D111" s="10" t="s">
        <v>1008</v>
      </c>
      <c r="E111" s="10">
        <v>4086798</v>
      </c>
      <c r="F111" s="15">
        <v>11.03</v>
      </c>
      <c r="G111" s="10" t="s">
        <v>1307</v>
      </c>
      <c r="H111" s="10">
        <v>4113732</v>
      </c>
      <c r="I111" s="10">
        <v>4193273</v>
      </c>
      <c r="J111" s="10" t="s">
        <v>1214</v>
      </c>
      <c r="K111" s="10" t="s">
        <v>1214</v>
      </c>
      <c r="L111" s="10" t="s">
        <v>1214</v>
      </c>
      <c r="M111" s="10" t="s">
        <v>1214</v>
      </c>
      <c r="N111" s="10" t="s">
        <v>1228</v>
      </c>
      <c r="O111" s="10" t="s">
        <v>1214</v>
      </c>
      <c r="P111" s="10" t="s">
        <v>1214</v>
      </c>
      <c r="Q111" s="10" t="s">
        <v>1214</v>
      </c>
      <c r="R111" s="10" t="s">
        <v>1214</v>
      </c>
      <c r="S111" s="10" t="s">
        <v>1219</v>
      </c>
    </row>
    <row r="112" spans="1:19" ht="130.5" x14ac:dyDescent="0.35">
      <c r="A112" s="14">
        <v>46022</v>
      </c>
      <c r="B112" s="10" t="s">
        <v>298</v>
      </c>
      <c r="C112" s="10" t="s">
        <v>299</v>
      </c>
      <c r="D112" s="10" t="s">
        <v>1009</v>
      </c>
      <c r="E112" s="10">
        <v>4352523</v>
      </c>
      <c r="F112" s="15">
        <v>0.97</v>
      </c>
      <c r="G112" s="10" t="s">
        <v>1307</v>
      </c>
      <c r="H112" s="10">
        <v>4113732</v>
      </c>
      <c r="I112" s="10">
        <v>4193273</v>
      </c>
      <c r="J112" s="10" t="s">
        <v>1214</v>
      </c>
      <c r="K112" s="10" t="s">
        <v>1214</v>
      </c>
      <c r="L112" s="10" t="s">
        <v>1214</v>
      </c>
      <c r="M112" s="10" t="s">
        <v>1214</v>
      </c>
      <c r="N112" s="10" t="s">
        <v>1228</v>
      </c>
      <c r="O112" s="10" t="s">
        <v>1214</v>
      </c>
      <c r="P112" s="10" t="s">
        <v>1214</v>
      </c>
      <c r="Q112" s="10" t="s">
        <v>1214</v>
      </c>
      <c r="R112" s="10" t="s">
        <v>1214</v>
      </c>
      <c r="S112" s="10" t="s">
        <v>1219</v>
      </c>
    </row>
    <row r="113" spans="1:19" ht="29" x14ac:dyDescent="0.35">
      <c r="A113" s="14">
        <v>46022</v>
      </c>
      <c r="B113" s="10" t="s">
        <v>710</v>
      </c>
      <c r="C113" s="10" t="s">
        <v>711</v>
      </c>
      <c r="D113" s="10" t="s">
        <v>1010</v>
      </c>
      <c r="E113" s="10">
        <v>4351119</v>
      </c>
      <c r="F113" s="15">
        <v>100</v>
      </c>
      <c r="G113" s="10" t="s">
        <v>1308</v>
      </c>
      <c r="H113" s="10">
        <v>4351119</v>
      </c>
      <c r="I113" s="10" t="s">
        <v>1194</v>
      </c>
      <c r="J113" s="10" t="s">
        <v>1214</v>
      </c>
      <c r="K113" s="10" t="s">
        <v>1214</v>
      </c>
      <c r="L113" s="10" t="s">
        <v>1214</v>
      </c>
      <c r="M113" s="10" t="s">
        <v>1214</v>
      </c>
      <c r="N113" s="10" t="s">
        <v>222</v>
      </c>
      <c r="O113" s="10" t="s">
        <v>1214</v>
      </c>
      <c r="P113" s="10" t="s">
        <v>1214</v>
      </c>
      <c r="Q113" s="10" t="s">
        <v>1214</v>
      </c>
      <c r="R113" s="10" t="s">
        <v>1214</v>
      </c>
      <c r="S113" s="10" t="s">
        <v>61</v>
      </c>
    </row>
    <row r="114" spans="1:19" ht="29" x14ac:dyDescent="0.35">
      <c r="A114" s="14">
        <v>46022</v>
      </c>
      <c r="B114" s="10" t="s">
        <v>300</v>
      </c>
      <c r="C114" s="10" t="s">
        <v>301</v>
      </c>
      <c r="D114" s="10" t="s">
        <v>1011</v>
      </c>
      <c r="E114" s="10">
        <v>4495972</v>
      </c>
      <c r="F114" s="15">
        <v>100</v>
      </c>
      <c r="G114" s="10" t="s">
        <v>1309</v>
      </c>
      <c r="H114" s="10">
        <v>4495972</v>
      </c>
      <c r="I114" s="10" t="s">
        <v>1194</v>
      </c>
      <c r="J114" s="10" t="s">
        <v>1310</v>
      </c>
      <c r="K114" s="10" t="s">
        <v>79</v>
      </c>
      <c r="L114" s="10" t="s">
        <v>1311</v>
      </c>
      <c r="M114" s="10" t="s">
        <v>79</v>
      </c>
      <c r="N114" s="10" t="s">
        <v>79</v>
      </c>
      <c r="O114" s="10" t="s">
        <v>1214</v>
      </c>
      <c r="P114" s="10" t="s">
        <v>1214</v>
      </c>
      <c r="Q114" s="10" t="s">
        <v>1214</v>
      </c>
      <c r="R114" s="10" t="s">
        <v>1214</v>
      </c>
      <c r="S114" s="10" t="s">
        <v>61</v>
      </c>
    </row>
    <row r="115" spans="1:19" ht="29" x14ac:dyDescent="0.35">
      <c r="A115" s="14">
        <v>46022</v>
      </c>
      <c r="B115" s="10" t="s">
        <v>302</v>
      </c>
      <c r="C115" s="10" t="s">
        <v>303</v>
      </c>
      <c r="D115" s="10" t="s">
        <v>1010</v>
      </c>
      <c r="E115" s="10">
        <v>4351119</v>
      </c>
      <c r="F115" s="15">
        <v>100</v>
      </c>
      <c r="G115" s="10" t="s">
        <v>1308</v>
      </c>
      <c r="H115" s="10">
        <v>4351119</v>
      </c>
      <c r="I115" s="10" t="s">
        <v>1194</v>
      </c>
      <c r="J115" s="10" t="s">
        <v>1214</v>
      </c>
      <c r="K115" s="10" t="s">
        <v>1214</v>
      </c>
      <c r="L115" s="10" t="s">
        <v>1214</v>
      </c>
      <c r="M115" s="10" t="s">
        <v>1214</v>
      </c>
      <c r="N115" s="10" t="s">
        <v>222</v>
      </c>
      <c r="O115" s="10" t="s">
        <v>1214</v>
      </c>
      <c r="P115" s="10" t="s">
        <v>1214</v>
      </c>
      <c r="Q115" s="10" t="s">
        <v>1214</v>
      </c>
      <c r="R115" s="10" t="s">
        <v>1214</v>
      </c>
      <c r="S115" s="10" t="s">
        <v>61</v>
      </c>
    </row>
    <row r="116" spans="1:19" ht="43.5" x14ac:dyDescent="0.35">
      <c r="A116" s="14">
        <v>46022</v>
      </c>
      <c r="B116" s="10" t="s">
        <v>129</v>
      </c>
      <c r="C116" s="10" t="s">
        <v>130</v>
      </c>
      <c r="D116" s="10" t="s">
        <v>1012</v>
      </c>
      <c r="E116" s="10">
        <v>4354065</v>
      </c>
      <c r="F116" s="15">
        <v>100</v>
      </c>
      <c r="G116" s="10" t="s">
        <v>1312</v>
      </c>
      <c r="H116" s="10">
        <v>4354065</v>
      </c>
      <c r="I116" s="10" t="s">
        <v>1194</v>
      </c>
      <c r="J116" s="10" t="s">
        <v>1214</v>
      </c>
      <c r="K116" s="10" t="s">
        <v>1214</v>
      </c>
      <c r="L116" s="10" t="s">
        <v>1214</v>
      </c>
      <c r="M116" s="10" t="s">
        <v>1214</v>
      </c>
      <c r="N116" s="10" t="s">
        <v>222</v>
      </c>
      <c r="O116" s="10" t="s">
        <v>1214</v>
      </c>
      <c r="P116" s="10" t="s">
        <v>1214</v>
      </c>
      <c r="Q116" s="10" t="s">
        <v>1214</v>
      </c>
      <c r="R116" s="10" t="s">
        <v>1214</v>
      </c>
      <c r="S116" s="10" t="s">
        <v>61</v>
      </c>
    </row>
    <row r="117" spans="1:19" ht="29" x14ac:dyDescent="0.35">
      <c r="A117" s="14">
        <v>46022</v>
      </c>
      <c r="B117" s="10" t="s">
        <v>131</v>
      </c>
      <c r="C117" s="10" t="s">
        <v>132</v>
      </c>
      <c r="D117" s="10" t="s">
        <v>1013</v>
      </c>
      <c r="E117" s="10">
        <v>4348938</v>
      </c>
      <c r="F117" s="15">
        <v>100</v>
      </c>
      <c r="G117" s="10" t="s">
        <v>1313</v>
      </c>
      <c r="H117" s="10">
        <v>4348938</v>
      </c>
      <c r="I117" s="10" t="s">
        <v>1194</v>
      </c>
      <c r="J117" s="10" t="s">
        <v>1214</v>
      </c>
      <c r="K117" s="10" t="s">
        <v>1214</v>
      </c>
      <c r="L117" s="10" t="s">
        <v>1214</v>
      </c>
      <c r="M117" s="10" t="s">
        <v>1214</v>
      </c>
      <c r="N117" s="10" t="s">
        <v>222</v>
      </c>
      <c r="O117" s="10" t="s">
        <v>1214</v>
      </c>
      <c r="P117" s="10" t="s">
        <v>1214</v>
      </c>
      <c r="Q117" s="10" t="s">
        <v>1214</v>
      </c>
      <c r="R117" s="10" t="s">
        <v>1214</v>
      </c>
      <c r="S117" s="10" t="s">
        <v>61</v>
      </c>
    </row>
    <row r="118" spans="1:19" ht="29" x14ac:dyDescent="0.35">
      <c r="A118" s="14">
        <v>46022</v>
      </c>
      <c r="B118" s="10" t="s">
        <v>712</v>
      </c>
      <c r="C118" s="10" t="s">
        <v>713</v>
      </c>
      <c r="D118" s="10" t="s">
        <v>980</v>
      </c>
      <c r="E118" s="10">
        <v>4354459</v>
      </c>
      <c r="F118" s="15">
        <v>100</v>
      </c>
      <c r="G118" s="10" t="s">
        <v>1298</v>
      </c>
      <c r="H118" s="10">
        <v>4354459</v>
      </c>
      <c r="I118" s="10" t="s">
        <v>1194</v>
      </c>
      <c r="J118" s="10" t="s">
        <v>1267</v>
      </c>
      <c r="K118" s="10" t="s">
        <v>111</v>
      </c>
      <c r="L118" s="10" t="s">
        <v>1268</v>
      </c>
      <c r="M118" s="10" t="s">
        <v>79</v>
      </c>
      <c r="N118" s="10" t="s">
        <v>79</v>
      </c>
      <c r="O118" s="10" t="s">
        <v>1214</v>
      </c>
      <c r="P118" s="10" t="s">
        <v>1214</v>
      </c>
      <c r="Q118" s="10" t="s">
        <v>1214</v>
      </c>
      <c r="R118" s="10" t="s">
        <v>1214</v>
      </c>
      <c r="S118" s="10" t="s">
        <v>61</v>
      </c>
    </row>
    <row r="119" spans="1:19" ht="72.5" x14ac:dyDescent="0.35">
      <c r="A119" s="14">
        <v>46022</v>
      </c>
      <c r="B119" s="10" t="s">
        <v>149</v>
      </c>
      <c r="C119" s="10" t="s">
        <v>150</v>
      </c>
      <c r="D119" s="10" t="s">
        <v>1014</v>
      </c>
      <c r="E119" s="10">
        <v>4355551</v>
      </c>
      <c r="F119" s="15">
        <v>100</v>
      </c>
      <c r="G119" s="10" t="s">
        <v>1314</v>
      </c>
      <c r="H119" s="10">
        <v>4355551</v>
      </c>
      <c r="I119" s="10" t="s">
        <v>1194</v>
      </c>
      <c r="J119" s="10" t="s">
        <v>1292</v>
      </c>
      <c r="K119" s="10" t="s">
        <v>61</v>
      </c>
      <c r="L119" s="10" t="s">
        <v>1315</v>
      </c>
      <c r="M119" s="10" t="s">
        <v>61</v>
      </c>
      <c r="N119" s="10" t="s">
        <v>61</v>
      </c>
      <c r="O119" s="10" t="s">
        <v>1214</v>
      </c>
      <c r="P119" s="10" t="s">
        <v>1214</v>
      </c>
      <c r="Q119" s="10" t="s">
        <v>1214</v>
      </c>
      <c r="R119" s="10" t="s">
        <v>1214</v>
      </c>
      <c r="S119" s="10" t="s">
        <v>61</v>
      </c>
    </row>
    <row r="120" spans="1:19" ht="43.5" x14ac:dyDescent="0.35">
      <c r="A120" s="14">
        <v>46022</v>
      </c>
      <c r="B120" s="10" t="s">
        <v>195</v>
      </c>
      <c r="C120" s="10" t="s">
        <v>196</v>
      </c>
      <c r="D120" s="10" t="s">
        <v>1015</v>
      </c>
      <c r="E120" s="10">
        <v>10948224</v>
      </c>
      <c r="F120" s="15">
        <v>100</v>
      </c>
      <c r="G120" s="10" t="s">
        <v>1316</v>
      </c>
      <c r="H120" s="10">
        <v>10948224</v>
      </c>
      <c r="I120" s="10" t="s">
        <v>1194</v>
      </c>
      <c r="J120" s="10" t="s">
        <v>1214</v>
      </c>
      <c r="K120" s="10" t="s">
        <v>1214</v>
      </c>
      <c r="L120" s="10" t="s">
        <v>1214</v>
      </c>
      <c r="M120" s="10" t="s">
        <v>1214</v>
      </c>
      <c r="N120" s="10" t="s">
        <v>61</v>
      </c>
      <c r="O120" s="10" t="s">
        <v>1214</v>
      </c>
      <c r="P120" s="10" t="s">
        <v>1214</v>
      </c>
      <c r="Q120" s="10" t="s">
        <v>1214</v>
      </c>
      <c r="R120" s="10" t="s">
        <v>1214</v>
      </c>
      <c r="S120" s="10" t="s">
        <v>61</v>
      </c>
    </row>
    <row r="121" spans="1:19" ht="29" x14ac:dyDescent="0.35">
      <c r="A121" s="14">
        <v>46022</v>
      </c>
      <c r="B121" s="10" t="s">
        <v>304</v>
      </c>
      <c r="C121" s="10" t="s">
        <v>305</v>
      </c>
      <c r="D121" s="10" t="s">
        <v>962</v>
      </c>
      <c r="E121" s="10">
        <v>4353456</v>
      </c>
      <c r="F121" s="15">
        <v>100</v>
      </c>
      <c r="G121" s="10" t="s">
        <v>1296</v>
      </c>
      <c r="H121" s="10">
        <v>4353456</v>
      </c>
      <c r="I121" s="10" t="s">
        <v>1194</v>
      </c>
      <c r="J121" s="10" t="s">
        <v>1214</v>
      </c>
      <c r="K121" s="10" t="s">
        <v>1214</v>
      </c>
      <c r="L121" s="10" t="s">
        <v>1214</v>
      </c>
      <c r="M121" s="10" t="s">
        <v>1214</v>
      </c>
      <c r="N121" s="10" t="s">
        <v>61</v>
      </c>
      <c r="O121" s="10" t="s">
        <v>1214</v>
      </c>
      <c r="P121" s="10" t="s">
        <v>1214</v>
      </c>
      <c r="Q121" s="10" t="s">
        <v>1214</v>
      </c>
      <c r="R121" s="10" t="s">
        <v>1214</v>
      </c>
      <c r="S121" s="10" t="s">
        <v>61</v>
      </c>
    </row>
    <row r="122" spans="1:19" ht="130.5" x14ac:dyDescent="0.35">
      <c r="A122" s="14">
        <v>46022</v>
      </c>
      <c r="B122" s="10" t="s">
        <v>151</v>
      </c>
      <c r="C122" s="10" t="s">
        <v>152</v>
      </c>
      <c r="D122" s="10" t="s">
        <v>1016</v>
      </c>
      <c r="E122" s="10">
        <v>4350764</v>
      </c>
      <c r="F122" s="15">
        <v>40</v>
      </c>
      <c r="G122" s="10" t="s">
        <v>1317</v>
      </c>
      <c r="H122" s="10">
        <v>6496329</v>
      </c>
      <c r="I122" s="10">
        <v>4350764</v>
      </c>
      <c r="J122" s="10" t="s">
        <v>1292</v>
      </c>
      <c r="K122" s="10" t="s">
        <v>61</v>
      </c>
      <c r="L122" s="10" t="s">
        <v>1318</v>
      </c>
      <c r="M122" s="10" t="s">
        <v>61</v>
      </c>
      <c r="N122" s="10" t="s">
        <v>61</v>
      </c>
      <c r="O122" s="10" t="s">
        <v>1214</v>
      </c>
      <c r="P122" s="10" t="s">
        <v>1214</v>
      </c>
      <c r="Q122" s="10" t="s">
        <v>1214</v>
      </c>
      <c r="R122" s="10" t="s">
        <v>1214</v>
      </c>
      <c r="S122" s="10" t="s">
        <v>1294</v>
      </c>
    </row>
    <row r="123" spans="1:19" ht="130.5" x14ac:dyDescent="0.35">
      <c r="A123" s="14">
        <v>46022</v>
      </c>
      <c r="B123" s="10" t="s">
        <v>151</v>
      </c>
      <c r="C123" s="10" t="s">
        <v>152</v>
      </c>
      <c r="D123" s="10" t="s">
        <v>1017</v>
      </c>
      <c r="E123" s="10">
        <v>6730095</v>
      </c>
      <c r="F123" s="15">
        <v>10</v>
      </c>
      <c r="G123" s="10" t="s">
        <v>1317</v>
      </c>
      <c r="H123" s="10">
        <v>6496329</v>
      </c>
      <c r="I123" s="10">
        <v>4350764</v>
      </c>
      <c r="J123" s="10" t="s">
        <v>1292</v>
      </c>
      <c r="K123" s="10" t="s">
        <v>61</v>
      </c>
      <c r="L123" s="10" t="s">
        <v>1318</v>
      </c>
      <c r="M123" s="10" t="s">
        <v>61</v>
      </c>
      <c r="N123" s="10" t="s">
        <v>61</v>
      </c>
      <c r="O123" s="10" t="s">
        <v>1214</v>
      </c>
      <c r="P123" s="10" t="s">
        <v>1214</v>
      </c>
      <c r="Q123" s="10" t="s">
        <v>1214</v>
      </c>
      <c r="R123" s="10" t="s">
        <v>1214</v>
      </c>
      <c r="S123" s="10" t="s">
        <v>1294</v>
      </c>
    </row>
    <row r="124" spans="1:19" ht="130.5" x14ac:dyDescent="0.35">
      <c r="A124" s="14">
        <v>46022</v>
      </c>
      <c r="B124" s="10" t="s">
        <v>151</v>
      </c>
      <c r="C124" s="10" t="s">
        <v>152</v>
      </c>
      <c r="D124" s="10" t="s">
        <v>1018</v>
      </c>
      <c r="E124" s="10">
        <v>6496329</v>
      </c>
      <c r="F124" s="15">
        <v>50</v>
      </c>
      <c r="G124" s="10" t="s">
        <v>1317</v>
      </c>
      <c r="H124" s="10">
        <v>6496329</v>
      </c>
      <c r="I124" s="10">
        <v>4350764</v>
      </c>
      <c r="J124" s="10" t="s">
        <v>1292</v>
      </c>
      <c r="K124" s="10" t="s">
        <v>61</v>
      </c>
      <c r="L124" s="10" t="s">
        <v>1318</v>
      </c>
      <c r="M124" s="10" t="s">
        <v>61</v>
      </c>
      <c r="N124" s="10" t="s">
        <v>61</v>
      </c>
      <c r="O124" s="10" t="s">
        <v>1214</v>
      </c>
      <c r="P124" s="10" t="s">
        <v>1214</v>
      </c>
      <c r="Q124" s="10" t="s">
        <v>1214</v>
      </c>
      <c r="R124" s="10" t="s">
        <v>1214</v>
      </c>
      <c r="S124" s="10" t="s">
        <v>1294</v>
      </c>
    </row>
    <row r="125" spans="1:19" ht="43.5" x14ac:dyDescent="0.35">
      <c r="A125" s="14">
        <v>46022</v>
      </c>
      <c r="B125" s="10" t="s">
        <v>153</v>
      </c>
      <c r="C125" s="10" t="s">
        <v>154</v>
      </c>
      <c r="D125" s="10" t="s">
        <v>1019</v>
      </c>
      <c r="E125" s="10">
        <v>10393182</v>
      </c>
      <c r="F125" s="15">
        <v>100</v>
      </c>
      <c r="G125" s="10" t="s">
        <v>1319</v>
      </c>
      <c r="H125" s="10">
        <v>10393182</v>
      </c>
      <c r="I125" s="10" t="s">
        <v>1194</v>
      </c>
      <c r="J125" s="10" t="s">
        <v>1214</v>
      </c>
      <c r="K125" s="10" t="s">
        <v>1214</v>
      </c>
      <c r="L125" s="10" t="s">
        <v>1214</v>
      </c>
      <c r="M125" s="10" t="s">
        <v>1214</v>
      </c>
      <c r="N125" s="10" t="s">
        <v>61</v>
      </c>
      <c r="O125" s="10" t="s">
        <v>1214</v>
      </c>
      <c r="P125" s="10" t="s">
        <v>1214</v>
      </c>
      <c r="Q125" s="10" t="s">
        <v>1214</v>
      </c>
      <c r="R125" s="10" t="s">
        <v>1214</v>
      </c>
      <c r="S125" s="10" t="s">
        <v>61</v>
      </c>
    </row>
    <row r="126" spans="1:19" ht="43.5" x14ac:dyDescent="0.35">
      <c r="A126" s="14">
        <v>46022</v>
      </c>
      <c r="B126" s="10" t="s">
        <v>714</v>
      </c>
      <c r="C126" s="10" t="s">
        <v>715</v>
      </c>
      <c r="D126" s="10" t="s">
        <v>958</v>
      </c>
      <c r="E126" s="10">
        <v>4355642</v>
      </c>
      <c r="F126" s="15">
        <v>100</v>
      </c>
      <c r="G126" s="10" t="s">
        <v>1320</v>
      </c>
      <c r="H126" s="10">
        <v>4355642</v>
      </c>
      <c r="I126" s="10" t="s">
        <v>1194</v>
      </c>
      <c r="J126" s="10" t="s">
        <v>1214</v>
      </c>
      <c r="K126" s="10" t="s">
        <v>1214</v>
      </c>
      <c r="L126" s="10" t="s">
        <v>1214</v>
      </c>
      <c r="M126" s="10" t="s">
        <v>1214</v>
      </c>
      <c r="N126" s="10" t="s">
        <v>61</v>
      </c>
      <c r="O126" s="10" t="s">
        <v>1214</v>
      </c>
      <c r="P126" s="10" t="s">
        <v>1214</v>
      </c>
      <c r="Q126" s="10" t="s">
        <v>1214</v>
      </c>
      <c r="R126" s="10" t="s">
        <v>1214</v>
      </c>
      <c r="S126" s="10" t="s">
        <v>61</v>
      </c>
    </row>
    <row r="127" spans="1:19" ht="29" x14ac:dyDescent="0.35">
      <c r="A127" s="14">
        <v>46022</v>
      </c>
      <c r="B127" s="10" t="s">
        <v>197</v>
      </c>
      <c r="C127" s="10" t="s">
        <v>198</v>
      </c>
      <c r="D127" s="10" t="s">
        <v>1020</v>
      </c>
      <c r="E127" s="10">
        <v>4353673</v>
      </c>
      <c r="F127" s="15">
        <v>100</v>
      </c>
      <c r="G127" s="10" t="s">
        <v>1321</v>
      </c>
      <c r="H127" s="10">
        <v>4353673</v>
      </c>
      <c r="I127" s="10" t="s">
        <v>1194</v>
      </c>
      <c r="J127" s="10" t="s">
        <v>1214</v>
      </c>
      <c r="K127" s="10" t="s">
        <v>1214</v>
      </c>
      <c r="L127" s="10" t="s">
        <v>1214</v>
      </c>
      <c r="M127" s="10" t="s">
        <v>1214</v>
      </c>
      <c r="N127" s="10" t="s">
        <v>89</v>
      </c>
      <c r="O127" s="10" t="s">
        <v>1214</v>
      </c>
      <c r="P127" s="10" t="s">
        <v>1214</v>
      </c>
      <c r="Q127" s="10" t="s">
        <v>1214</v>
      </c>
      <c r="R127" s="10" t="s">
        <v>1214</v>
      </c>
      <c r="S127" s="10" t="s">
        <v>61</v>
      </c>
    </row>
    <row r="128" spans="1:19" ht="72.5" x14ac:dyDescent="0.35">
      <c r="A128" s="14">
        <v>46022</v>
      </c>
      <c r="B128" s="10" t="s">
        <v>716</v>
      </c>
      <c r="C128" s="10" t="s">
        <v>717</v>
      </c>
      <c r="D128" s="10" t="s">
        <v>1004</v>
      </c>
      <c r="E128" s="10">
        <v>4351423</v>
      </c>
      <c r="F128" s="15">
        <v>100</v>
      </c>
      <c r="G128" s="10" t="s">
        <v>1300</v>
      </c>
      <c r="H128" s="10">
        <v>4351423</v>
      </c>
      <c r="I128" s="10" t="s">
        <v>1194</v>
      </c>
      <c r="J128" s="10" t="s">
        <v>1301</v>
      </c>
      <c r="K128" s="10" t="s">
        <v>61</v>
      </c>
      <c r="L128" s="10" t="s">
        <v>1302</v>
      </c>
      <c r="M128" s="10" t="s">
        <v>61</v>
      </c>
      <c r="N128" s="10" t="s">
        <v>61</v>
      </c>
      <c r="O128" s="10" t="s">
        <v>1214</v>
      </c>
      <c r="P128" s="10" t="s">
        <v>1214</v>
      </c>
      <c r="Q128" s="10" t="s">
        <v>1214</v>
      </c>
      <c r="R128" s="10" t="s">
        <v>1214</v>
      </c>
      <c r="S128" s="10" t="s">
        <v>61</v>
      </c>
    </row>
    <row r="129" spans="1:19" ht="72.5" x14ac:dyDescent="0.35">
      <c r="A129" s="14">
        <v>46022</v>
      </c>
      <c r="B129" s="10" t="s">
        <v>306</v>
      </c>
      <c r="C129" s="10" t="s">
        <v>307</v>
      </c>
      <c r="D129" s="10" t="s">
        <v>1001</v>
      </c>
      <c r="E129" s="10">
        <v>4349160</v>
      </c>
      <c r="F129" s="15">
        <v>51</v>
      </c>
      <c r="G129" s="10" t="s">
        <v>1322</v>
      </c>
      <c r="H129" s="10">
        <v>4349160</v>
      </c>
      <c r="I129" s="10">
        <v>4350360</v>
      </c>
      <c r="J129" s="10" t="s">
        <v>1292</v>
      </c>
      <c r="K129" s="10" t="s">
        <v>61</v>
      </c>
      <c r="L129" s="10" t="s">
        <v>1293</v>
      </c>
      <c r="M129" s="10" t="s">
        <v>1294</v>
      </c>
      <c r="N129" s="10" t="s">
        <v>61</v>
      </c>
      <c r="O129" s="10" t="s">
        <v>213</v>
      </c>
      <c r="P129" s="10" t="s">
        <v>213</v>
      </c>
      <c r="Q129" s="10" t="s">
        <v>213</v>
      </c>
      <c r="R129" s="10" t="s">
        <v>213</v>
      </c>
      <c r="S129" s="10" t="s">
        <v>213</v>
      </c>
    </row>
    <row r="130" spans="1:19" ht="72.5" x14ac:dyDescent="0.35">
      <c r="A130" s="14">
        <v>46022</v>
      </c>
      <c r="B130" s="10" t="s">
        <v>306</v>
      </c>
      <c r="C130" s="10" t="s">
        <v>307</v>
      </c>
      <c r="D130" s="10" t="s">
        <v>1021</v>
      </c>
      <c r="E130" s="10">
        <v>4350360</v>
      </c>
      <c r="F130" s="15">
        <v>49</v>
      </c>
      <c r="G130" s="10" t="s">
        <v>1322</v>
      </c>
      <c r="H130" s="10">
        <v>4349160</v>
      </c>
      <c r="I130" s="10">
        <v>4350360</v>
      </c>
      <c r="J130" s="10" t="s">
        <v>1292</v>
      </c>
      <c r="K130" s="10" t="s">
        <v>61</v>
      </c>
      <c r="L130" s="10" t="s">
        <v>1293</v>
      </c>
      <c r="M130" s="10" t="s">
        <v>1294</v>
      </c>
      <c r="N130" s="10" t="s">
        <v>61</v>
      </c>
      <c r="O130" s="10" t="s">
        <v>213</v>
      </c>
      <c r="P130" s="10" t="s">
        <v>213</v>
      </c>
      <c r="Q130" s="10" t="s">
        <v>213</v>
      </c>
      <c r="R130" s="10" t="s">
        <v>213</v>
      </c>
      <c r="S130" s="10" t="s">
        <v>213</v>
      </c>
    </row>
    <row r="131" spans="1:19" ht="72.5" x14ac:dyDescent="0.35">
      <c r="A131" s="14">
        <v>46022</v>
      </c>
      <c r="B131" s="10" t="s">
        <v>155</v>
      </c>
      <c r="C131" s="10" t="s">
        <v>156</v>
      </c>
      <c r="D131" s="10" t="s">
        <v>1022</v>
      </c>
      <c r="E131" s="10">
        <v>4352997</v>
      </c>
      <c r="F131" s="15">
        <v>80</v>
      </c>
      <c r="G131" s="10" t="s">
        <v>1323</v>
      </c>
      <c r="H131" s="10">
        <v>4352997</v>
      </c>
      <c r="I131" s="10">
        <v>4353456</v>
      </c>
      <c r="J131" s="10" t="s">
        <v>1214</v>
      </c>
      <c r="K131" s="10" t="s">
        <v>1214</v>
      </c>
      <c r="L131" s="10" t="s">
        <v>1214</v>
      </c>
      <c r="M131" s="10" t="s">
        <v>1214</v>
      </c>
      <c r="N131" s="10" t="s">
        <v>222</v>
      </c>
      <c r="O131" s="10" t="s">
        <v>1214</v>
      </c>
      <c r="P131" s="10" t="s">
        <v>1214</v>
      </c>
      <c r="Q131" s="10" t="s">
        <v>1214</v>
      </c>
      <c r="R131" s="10" t="s">
        <v>1214</v>
      </c>
      <c r="S131" s="10" t="s">
        <v>61</v>
      </c>
    </row>
    <row r="132" spans="1:19" ht="72.5" x14ac:dyDescent="0.35">
      <c r="A132" s="14">
        <v>46022</v>
      </c>
      <c r="B132" s="10" t="s">
        <v>155</v>
      </c>
      <c r="C132" s="10" t="s">
        <v>156</v>
      </c>
      <c r="D132" s="10" t="s">
        <v>962</v>
      </c>
      <c r="E132" s="10">
        <v>4353456</v>
      </c>
      <c r="F132" s="15">
        <v>20</v>
      </c>
      <c r="G132" s="10" t="s">
        <v>1323</v>
      </c>
      <c r="H132" s="10">
        <v>4352997</v>
      </c>
      <c r="I132" s="10">
        <v>4353456</v>
      </c>
      <c r="J132" s="10" t="s">
        <v>1214</v>
      </c>
      <c r="K132" s="10" t="s">
        <v>1214</v>
      </c>
      <c r="L132" s="10" t="s">
        <v>1214</v>
      </c>
      <c r="M132" s="10" t="s">
        <v>1214</v>
      </c>
      <c r="N132" s="10" t="s">
        <v>222</v>
      </c>
      <c r="O132" s="10" t="s">
        <v>1214</v>
      </c>
      <c r="P132" s="10" t="s">
        <v>1214</v>
      </c>
      <c r="Q132" s="10" t="s">
        <v>1214</v>
      </c>
      <c r="R132" s="10" t="s">
        <v>1214</v>
      </c>
      <c r="S132" s="10" t="s">
        <v>61</v>
      </c>
    </row>
    <row r="133" spans="1:19" ht="43.5" x14ac:dyDescent="0.35">
      <c r="A133" s="14">
        <v>46022</v>
      </c>
      <c r="B133" s="10" t="s">
        <v>718</v>
      </c>
      <c r="C133" s="10" t="s">
        <v>719</v>
      </c>
      <c r="D133" s="10" t="s">
        <v>1023</v>
      </c>
      <c r="E133" s="10">
        <v>4120762</v>
      </c>
      <c r="F133" s="15">
        <v>100</v>
      </c>
      <c r="G133" s="10" t="s">
        <v>1324</v>
      </c>
      <c r="H133" s="10">
        <v>4120762</v>
      </c>
      <c r="I133" s="10" t="s">
        <v>1194</v>
      </c>
      <c r="J133" s="10" t="s">
        <v>1325</v>
      </c>
      <c r="K133" s="10" t="s">
        <v>79</v>
      </c>
      <c r="L133" s="10" t="s">
        <v>1325</v>
      </c>
      <c r="M133" s="10" t="s">
        <v>79</v>
      </c>
      <c r="N133" s="10" t="s">
        <v>79</v>
      </c>
      <c r="O133" s="10" t="s">
        <v>1214</v>
      </c>
      <c r="P133" s="10" t="s">
        <v>1214</v>
      </c>
      <c r="Q133" s="10" t="s">
        <v>1214</v>
      </c>
      <c r="R133" s="10" t="s">
        <v>1214</v>
      </c>
      <c r="S133" s="10" t="s">
        <v>61</v>
      </c>
    </row>
    <row r="134" spans="1:19" ht="43.5" x14ac:dyDescent="0.35">
      <c r="A134" s="14">
        <v>46022</v>
      </c>
      <c r="B134" s="10" t="s">
        <v>308</v>
      </c>
      <c r="C134" s="10" t="s">
        <v>309</v>
      </c>
      <c r="D134" s="10" t="s">
        <v>1024</v>
      </c>
      <c r="E134" s="10">
        <v>4314727</v>
      </c>
      <c r="F134" s="15">
        <v>100</v>
      </c>
      <c r="G134" s="10" t="s">
        <v>1326</v>
      </c>
      <c r="H134" s="10">
        <v>4314727</v>
      </c>
      <c r="I134" s="10" t="s">
        <v>1194</v>
      </c>
      <c r="J134" s="10" t="s">
        <v>1214</v>
      </c>
      <c r="K134" s="10" t="s">
        <v>1214</v>
      </c>
      <c r="L134" s="10" t="s">
        <v>1214</v>
      </c>
      <c r="M134" s="10" t="s">
        <v>1214</v>
      </c>
      <c r="N134" s="10" t="s">
        <v>61</v>
      </c>
      <c r="O134" s="10" t="s">
        <v>1214</v>
      </c>
      <c r="P134" s="10" t="s">
        <v>1214</v>
      </c>
      <c r="Q134" s="10" t="s">
        <v>1214</v>
      </c>
      <c r="R134" s="10" t="s">
        <v>1214</v>
      </c>
      <c r="S134" s="10" t="s">
        <v>61</v>
      </c>
    </row>
    <row r="135" spans="1:19" ht="43.5" x14ac:dyDescent="0.35">
      <c r="A135" s="14">
        <v>46022</v>
      </c>
      <c r="B135" s="10" t="s">
        <v>199</v>
      </c>
      <c r="C135" s="10" t="s">
        <v>200</v>
      </c>
      <c r="D135" s="10" t="s">
        <v>1025</v>
      </c>
      <c r="E135" s="10">
        <v>10947811</v>
      </c>
      <c r="F135" s="15">
        <v>100</v>
      </c>
      <c r="G135" s="10" t="s">
        <v>1327</v>
      </c>
      <c r="H135" s="10">
        <v>10947811</v>
      </c>
      <c r="I135" s="10" t="s">
        <v>1194</v>
      </c>
      <c r="J135" s="10" t="s">
        <v>1214</v>
      </c>
      <c r="K135" s="10" t="s">
        <v>1214</v>
      </c>
      <c r="L135" s="10" t="s">
        <v>1214</v>
      </c>
      <c r="M135" s="10" t="s">
        <v>1214</v>
      </c>
      <c r="N135" s="10" t="s">
        <v>61</v>
      </c>
      <c r="O135" s="10" t="s">
        <v>1214</v>
      </c>
      <c r="P135" s="10" t="s">
        <v>1214</v>
      </c>
      <c r="Q135" s="10" t="s">
        <v>1214</v>
      </c>
      <c r="R135" s="10" t="s">
        <v>1214</v>
      </c>
      <c r="S135" s="10" t="s">
        <v>61</v>
      </c>
    </row>
    <row r="136" spans="1:19" ht="58" x14ac:dyDescent="0.35">
      <c r="A136" s="14">
        <v>46022</v>
      </c>
      <c r="B136" s="10" t="s">
        <v>201</v>
      </c>
      <c r="C136" s="10" t="s">
        <v>202</v>
      </c>
      <c r="D136" s="10" t="s">
        <v>1026</v>
      </c>
      <c r="E136" s="10">
        <v>4403566</v>
      </c>
      <c r="F136" s="15">
        <v>100</v>
      </c>
      <c r="G136" s="10" t="s">
        <v>1328</v>
      </c>
      <c r="H136" s="10">
        <v>4403566</v>
      </c>
      <c r="I136" s="10" t="s">
        <v>1194</v>
      </c>
      <c r="J136" s="10" t="s">
        <v>1329</v>
      </c>
      <c r="K136" s="10" t="s">
        <v>61</v>
      </c>
      <c r="L136" s="10" t="s">
        <v>1329</v>
      </c>
      <c r="M136" s="10" t="s">
        <v>61</v>
      </c>
      <c r="N136" s="10" t="s">
        <v>61</v>
      </c>
      <c r="O136" s="10" t="s">
        <v>1214</v>
      </c>
      <c r="P136" s="10" t="s">
        <v>1214</v>
      </c>
      <c r="Q136" s="10" t="s">
        <v>1214</v>
      </c>
      <c r="R136" s="10" t="s">
        <v>1214</v>
      </c>
      <c r="S136" s="10" t="s">
        <v>61</v>
      </c>
    </row>
    <row r="137" spans="1:19" ht="43.5" x14ac:dyDescent="0.35">
      <c r="A137" s="14">
        <v>46022</v>
      </c>
      <c r="B137" s="10" t="s">
        <v>203</v>
      </c>
      <c r="C137" s="10" t="s">
        <v>204</v>
      </c>
      <c r="D137" s="10" t="s">
        <v>958</v>
      </c>
      <c r="E137" s="10">
        <v>4355642</v>
      </c>
      <c r="F137" s="15">
        <v>100</v>
      </c>
      <c r="G137" s="10" t="s">
        <v>1320</v>
      </c>
      <c r="H137" s="10">
        <v>4355642</v>
      </c>
      <c r="I137" s="10" t="s">
        <v>1194</v>
      </c>
      <c r="J137" s="10" t="s">
        <v>1214</v>
      </c>
      <c r="K137" s="10" t="s">
        <v>1214</v>
      </c>
      <c r="L137" s="10" t="s">
        <v>1214</v>
      </c>
      <c r="M137" s="10" t="s">
        <v>1214</v>
      </c>
      <c r="N137" s="10" t="s">
        <v>61</v>
      </c>
      <c r="O137" s="10" t="s">
        <v>1214</v>
      </c>
      <c r="P137" s="10" t="s">
        <v>1214</v>
      </c>
      <c r="Q137" s="10" t="s">
        <v>1214</v>
      </c>
      <c r="R137" s="10" t="s">
        <v>1214</v>
      </c>
      <c r="S137" s="10" t="s">
        <v>61</v>
      </c>
    </row>
    <row r="138" spans="1:19" ht="29" x14ac:dyDescent="0.35">
      <c r="A138" s="14">
        <v>46022</v>
      </c>
      <c r="B138" s="10" t="s">
        <v>158</v>
      </c>
      <c r="C138" s="10" t="s">
        <v>159</v>
      </c>
      <c r="D138" s="10" t="s">
        <v>987</v>
      </c>
      <c r="E138" s="10">
        <v>4351931</v>
      </c>
      <c r="F138" s="15">
        <v>100</v>
      </c>
      <c r="G138" s="10" t="s">
        <v>1330</v>
      </c>
      <c r="H138" s="10">
        <v>4354713</v>
      </c>
      <c r="I138" s="10" t="s">
        <v>1194</v>
      </c>
      <c r="J138" s="10" t="s">
        <v>1214</v>
      </c>
      <c r="K138" s="10" t="s">
        <v>1214</v>
      </c>
      <c r="L138" s="10" t="s">
        <v>1214</v>
      </c>
      <c r="M138" s="10" t="s">
        <v>1214</v>
      </c>
      <c r="N138" s="10" t="s">
        <v>1294</v>
      </c>
      <c r="O138" s="10" t="s">
        <v>1214</v>
      </c>
      <c r="P138" s="10" t="s">
        <v>1214</v>
      </c>
      <c r="Q138" s="10" t="s">
        <v>1214</v>
      </c>
      <c r="R138" s="10" t="s">
        <v>1214</v>
      </c>
      <c r="S138" s="10" t="s">
        <v>61</v>
      </c>
    </row>
    <row r="139" spans="1:19" ht="29" x14ac:dyDescent="0.35">
      <c r="A139" s="14">
        <v>46022</v>
      </c>
      <c r="B139" s="10" t="s">
        <v>160</v>
      </c>
      <c r="C139" s="10" t="s">
        <v>161</v>
      </c>
      <c r="D139" s="10" t="s">
        <v>940</v>
      </c>
      <c r="E139" s="10">
        <v>4199214</v>
      </c>
      <c r="F139" s="15">
        <v>100</v>
      </c>
      <c r="G139" s="10" t="s">
        <v>1215</v>
      </c>
      <c r="H139" s="10">
        <v>4199214</v>
      </c>
      <c r="I139" s="10" t="s">
        <v>1194</v>
      </c>
      <c r="J139" s="10" t="s">
        <v>1216</v>
      </c>
      <c r="K139" s="10" t="s">
        <v>69</v>
      </c>
      <c r="L139" s="10" t="s">
        <v>1217</v>
      </c>
      <c r="M139" s="10" t="s">
        <v>1218</v>
      </c>
      <c r="N139" s="10" t="s">
        <v>1219</v>
      </c>
      <c r="O139" s="10" t="s">
        <v>1214</v>
      </c>
      <c r="P139" s="10" t="s">
        <v>1214</v>
      </c>
      <c r="Q139" s="10" t="s">
        <v>1214</v>
      </c>
      <c r="R139" s="10" t="s">
        <v>1214</v>
      </c>
      <c r="S139" s="10" t="s">
        <v>61</v>
      </c>
    </row>
    <row r="140" spans="1:19" ht="58" x14ac:dyDescent="0.35">
      <c r="A140" s="14">
        <v>46022</v>
      </c>
      <c r="B140" s="10" t="s">
        <v>205</v>
      </c>
      <c r="C140" s="10" t="s">
        <v>206</v>
      </c>
      <c r="D140" s="10" t="s">
        <v>941</v>
      </c>
      <c r="E140" s="10">
        <v>4355482</v>
      </c>
      <c r="F140" s="15">
        <v>100</v>
      </c>
      <c r="G140" s="10" t="s">
        <v>1220</v>
      </c>
      <c r="H140" s="10">
        <v>4355482</v>
      </c>
      <c r="I140" s="10" t="s">
        <v>1194</v>
      </c>
      <c r="J140" s="10" t="s">
        <v>1221</v>
      </c>
      <c r="K140" s="10" t="s">
        <v>61</v>
      </c>
      <c r="L140" s="10" t="s">
        <v>1221</v>
      </c>
      <c r="M140" s="10" t="s">
        <v>61</v>
      </c>
      <c r="N140" s="10" t="s">
        <v>61</v>
      </c>
      <c r="O140" s="10" t="s">
        <v>1214</v>
      </c>
      <c r="P140" s="10" t="s">
        <v>1214</v>
      </c>
      <c r="Q140" s="10" t="s">
        <v>1214</v>
      </c>
      <c r="R140" s="10" t="s">
        <v>1214</v>
      </c>
      <c r="S140" s="10" t="s">
        <v>61</v>
      </c>
    </row>
    <row r="141" spans="1:19" ht="87" x14ac:dyDescent="0.35">
      <c r="A141" s="14">
        <v>46022</v>
      </c>
      <c r="B141" s="10" t="s">
        <v>310</v>
      </c>
      <c r="C141" s="10" t="s">
        <v>311</v>
      </c>
      <c r="D141" s="10" t="s">
        <v>945</v>
      </c>
      <c r="E141" s="10">
        <v>4349314</v>
      </c>
      <c r="F141" s="15">
        <v>49</v>
      </c>
      <c r="G141" s="10" t="s">
        <v>1331</v>
      </c>
      <c r="H141" s="10">
        <v>4004107</v>
      </c>
      <c r="I141" s="10">
        <v>4349314</v>
      </c>
      <c r="J141" s="10" t="s">
        <v>1214</v>
      </c>
      <c r="K141" s="10" t="s">
        <v>1214</v>
      </c>
      <c r="L141" s="10" t="s">
        <v>1214</v>
      </c>
      <c r="M141" s="10" t="s">
        <v>1214</v>
      </c>
      <c r="N141" s="10" t="s">
        <v>79</v>
      </c>
      <c r="O141" s="10" t="s">
        <v>58</v>
      </c>
      <c r="P141" s="10" t="s">
        <v>58</v>
      </c>
      <c r="Q141" s="10" t="s">
        <v>58</v>
      </c>
      <c r="R141" s="10" t="s">
        <v>58</v>
      </c>
      <c r="S141" s="10" t="s">
        <v>58</v>
      </c>
    </row>
    <row r="142" spans="1:19" ht="87" x14ac:dyDescent="0.35">
      <c r="A142" s="14">
        <v>46022</v>
      </c>
      <c r="B142" s="10" t="s">
        <v>310</v>
      </c>
      <c r="C142" s="10" t="s">
        <v>311</v>
      </c>
      <c r="D142" s="10" t="s">
        <v>963</v>
      </c>
      <c r="E142" s="10">
        <v>4004107</v>
      </c>
      <c r="F142" s="15">
        <v>51</v>
      </c>
      <c r="G142" s="10" t="s">
        <v>1331</v>
      </c>
      <c r="H142" s="10">
        <v>4004107</v>
      </c>
      <c r="I142" s="10">
        <v>4349314</v>
      </c>
      <c r="J142" s="10" t="s">
        <v>1214</v>
      </c>
      <c r="K142" s="10" t="s">
        <v>1214</v>
      </c>
      <c r="L142" s="10" t="s">
        <v>1214</v>
      </c>
      <c r="M142" s="10" t="s">
        <v>1214</v>
      </c>
      <c r="N142" s="10" t="s">
        <v>79</v>
      </c>
      <c r="O142" s="10" t="s">
        <v>58</v>
      </c>
      <c r="P142" s="10" t="s">
        <v>58</v>
      </c>
      <c r="Q142" s="10" t="s">
        <v>58</v>
      </c>
      <c r="R142" s="10" t="s">
        <v>58</v>
      </c>
      <c r="S142" s="10" t="s">
        <v>58</v>
      </c>
    </row>
    <row r="143" spans="1:19" ht="72.5" x14ac:dyDescent="0.35">
      <c r="A143" s="14">
        <v>46022</v>
      </c>
      <c r="B143" s="10" t="s">
        <v>207</v>
      </c>
      <c r="C143" s="10" t="s">
        <v>208</v>
      </c>
      <c r="D143" s="10" t="s">
        <v>1000</v>
      </c>
      <c r="E143" s="10">
        <v>4349204</v>
      </c>
      <c r="F143" s="15">
        <v>61.43</v>
      </c>
      <c r="G143" s="10" t="s">
        <v>1332</v>
      </c>
      <c r="H143" s="10">
        <v>4349204</v>
      </c>
      <c r="I143" s="10">
        <v>4400798</v>
      </c>
      <c r="J143" s="10" t="s">
        <v>1214</v>
      </c>
      <c r="K143" s="10" t="s">
        <v>1214</v>
      </c>
      <c r="L143" s="10" t="s">
        <v>1214</v>
      </c>
      <c r="M143" s="10" t="s">
        <v>1214</v>
      </c>
      <c r="N143" s="10" t="s">
        <v>50</v>
      </c>
      <c r="O143" s="10" t="s">
        <v>1214</v>
      </c>
      <c r="P143" s="10" t="s">
        <v>1214</v>
      </c>
      <c r="Q143" s="10" t="s">
        <v>1214</v>
      </c>
      <c r="R143" s="10" t="s">
        <v>1214</v>
      </c>
      <c r="S143" s="10" t="s">
        <v>79</v>
      </c>
    </row>
    <row r="144" spans="1:19" ht="29" x14ac:dyDescent="0.35">
      <c r="A144" s="14">
        <v>46022</v>
      </c>
      <c r="B144" s="10" t="s">
        <v>720</v>
      </c>
      <c r="C144" s="10" t="s">
        <v>721</v>
      </c>
      <c r="D144" s="10" t="s">
        <v>999</v>
      </c>
      <c r="E144" s="10">
        <v>4349227</v>
      </c>
      <c r="F144" s="15">
        <v>100</v>
      </c>
      <c r="G144" s="10" t="s">
        <v>1287</v>
      </c>
      <c r="H144" s="10">
        <v>4349227</v>
      </c>
      <c r="I144" s="10" t="s">
        <v>1194</v>
      </c>
      <c r="J144" s="10" t="s">
        <v>1238</v>
      </c>
      <c r="K144" s="10" t="s">
        <v>55</v>
      </c>
      <c r="L144" s="10" t="s">
        <v>1288</v>
      </c>
      <c r="M144" s="10" t="s">
        <v>50</v>
      </c>
      <c r="N144" s="10" t="s">
        <v>50</v>
      </c>
      <c r="O144" s="10" t="s">
        <v>1214</v>
      </c>
      <c r="P144" s="10" t="s">
        <v>1214</v>
      </c>
      <c r="Q144" s="10" t="s">
        <v>1214</v>
      </c>
      <c r="R144" s="10" t="s">
        <v>1214</v>
      </c>
      <c r="S144" s="10" t="s">
        <v>61</v>
      </c>
    </row>
    <row r="145" spans="1:19" ht="145" x14ac:dyDescent="0.35">
      <c r="A145" s="14">
        <v>46022</v>
      </c>
      <c r="B145" s="10" t="s">
        <v>162</v>
      </c>
      <c r="C145" s="10" t="s">
        <v>163</v>
      </c>
      <c r="D145" s="10" t="s">
        <v>1007</v>
      </c>
      <c r="E145" s="10">
        <v>4193273</v>
      </c>
      <c r="F145" s="15">
        <v>50.06</v>
      </c>
      <c r="G145" s="10" t="s">
        <v>1333</v>
      </c>
      <c r="H145" s="10">
        <v>4193273</v>
      </c>
      <c r="I145" s="10">
        <v>4065098</v>
      </c>
      <c r="J145" s="10" t="s">
        <v>1214</v>
      </c>
      <c r="K145" s="10" t="s">
        <v>1214</v>
      </c>
      <c r="L145" s="10" t="s">
        <v>1214</v>
      </c>
      <c r="M145" s="10" t="s">
        <v>1214</v>
      </c>
      <c r="N145" s="10" t="s">
        <v>1219</v>
      </c>
      <c r="O145" s="10" t="s">
        <v>1214</v>
      </c>
      <c r="P145" s="10" t="s">
        <v>1214</v>
      </c>
      <c r="Q145" s="10" t="s">
        <v>1214</v>
      </c>
      <c r="R145" s="10" t="s">
        <v>1214</v>
      </c>
      <c r="S145" s="10" t="s">
        <v>1235</v>
      </c>
    </row>
    <row r="146" spans="1:19" ht="145" x14ac:dyDescent="0.35">
      <c r="A146" s="14">
        <v>46022</v>
      </c>
      <c r="B146" s="10" t="s">
        <v>162</v>
      </c>
      <c r="C146" s="10" t="s">
        <v>163</v>
      </c>
      <c r="D146" s="10" t="s">
        <v>945</v>
      </c>
      <c r="E146" s="10">
        <v>4349314</v>
      </c>
      <c r="F146" s="15">
        <v>20</v>
      </c>
      <c r="G146" s="10" t="s">
        <v>1333</v>
      </c>
      <c r="H146" s="10">
        <v>4193273</v>
      </c>
      <c r="I146" s="10">
        <v>4065098</v>
      </c>
      <c r="J146" s="10" t="s">
        <v>1214</v>
      </c>
      <c r="K146" s="10" t="s">
        <v>1214</v>
      </c>
      <c r="L146" s="10" t="s">
        <v>1214</v>
      </c>
      <c r="M146" s="10" t="s">
        <v>1214</v>
      </c>
      <c r="N146" s="10" t="s">
        <v>1219</v>
      </c>
      <c r="O146" s="10" t="s">
        <v>1214</v>
      </c>
      <c r="P146" s="10" t="s">
        <v>1214</v>
      </c>
      <c r="Q146" s="10" t="s">
        <v>1214</v>
      </c>
      <c r="R146" s="10" t="s">
        <v>1214</v>
      </c>
      <c r="S146" s="10" t="s">
        <v>1235</v>
      </c>
    </row>
    <row r="147" spans="1:19" ht="145" x14ac:dyDescent="0.35">
      <c r="A147" s="14">
        <v>46022</v>
      </c>
      <c r="B147" s="10" t="s">
        <v>162</v>
      </c>
      <c r="C147" s="10" t="s">
        <v>163</v>
      </c>
      <c r="D147" s="10" t="s">
        <v>949</v>
      </c>
      <c r="E147" s="10">
        <v>4065098</v>
      </c>
      <c r="F147" s="15">
        <v>20.440000000000001</v>
      </c>
      <c r="G147" s="10" t="s">
        <v>1333</v>
      </c>
      <c r="H147" s="10">
        <v>4193273</v>
      </c>
      <c r="I147" s="10">
        <v>4065098</v>
      </c>
      <c r="J147" s="10" t="s">
        <v>1214</v>
      </c>
      <c r="K147" s="10" t="s">
        <v>1214</v>
      </c>
      <c r="L147" s="10" t="s">
        <v>1214</v>
      </c>
      <c r="M147" s="10" t="s">
        <v>1214</v>
      </c>
      <c r="N147" s="10" t="s">
        <v>1219</v>
      </c>
      <c r="O147" s="10" t="s">
        <v>1214</v>
      </c>
      <c r="P147" s="10" t="s">
        <v>1214</v>
      </c>
      <c r="Q147" s="10" t="s">
        <v>1214</v>
      </c>
      <c r="R147" s="10" t="s">
        <v>1214</v>
      </c>
      <c r="S147" s="10" t="s">
        <v>1235</v>
      </c>
    </row>
    <row r="148" spans="1:19" ht="145" x14ac:dyDescent="0.35">
      <c r="A148" s="14">
        <v>46022</v>
      </c>
      <c r="B148" s="10" t="s">
        <v>162</v>
      </c>
      <c r="C148" s="10" t="s">
        <v>163</v>
      </c>
      <c r="D148" s="10" t="s">
        <v>1008</v>
      </c>
      <c r="E148" s="10">
        <v>4086798</v>
      </c>
      <c r="F148" s="15">
        <v>9.5</v>
      </c>
      <c r="G148" s="10" t="s">
        <v>1333</v>
      </c>
      <c r="H148" s="10">
        <v>4193273</v>
      </c>
      <c r="I148" s="10">
        <v>4065098</v>
      </c>
      <c r="J148" s="10" t="s">
        <v>1214</v>
      </c>
      <c r="K148" s="10" t="s">
        <v>1214</v>
      </c>
      <c r="L148" s="10" t="s">
        <v>1214</v>
      </c>
      <c r="M148" s="10" t="s">
        <v>1214</v>
      </c>
      <c r="N148" s="10" t="s">
        <v>1219</v>
      </c>
      <c r="O148" s="10" t="s">
        <v>1214</v>
      </c>
      <c r="P148" s="10" t="s">
        <v>1214</v>
      </c>
      <c r="Q148" s="10" t="s">
        <v>1214</v>
      </c>
      <c r="R148" s="10" t="s">
        <v>1214</v>
      </c>
      <c r="S148" s="10" t="s">
        <v>1235</v>
      </c>
    </row>
    <row r="149" spans="1:19" ht="43.5" x14ac:dyDescent="0.35">
      <c r="A149" s="14">
        <v>46022</v>
      </c>
      <c r="B149" s="10" t="s">
        <v>340</v>
      </c>
      <c r="C149" s="10" t="s">
        <v>341</v>
      </c>
      <c r="D149" s="10" t="s">
        <v>945</v>
      </c>
      <c r="E149" s="10">
        <v>4349314</v>
      </c>
      <c r="F149" s="15">
        <v>100</v>
      </c>
      <c r="G149" s="10" t="s">
        <v>1225</v>
      </c>
      <c r="H149" s="10">
        <v>4349314</v>
      </c>
      <c r="I149" s="10" t="s">
        <v>1194</v>
      </c>
      <c r="J149" s="10" t="s">
        <v>58</v>
      </c>
      <c r="K149" s="10" t="s">
        <v>58</v>
      </c>
      <c r="L149" s="10" t="s">
        <v>58</v>
      </c>
      <c r="M149" s="10" t="s">
        <v>58</v>
      </c>
      <c r="N149" s="10" t="s">
        <v>58</v>
      </c>
      <c r="O149" s="10" t="s">
        <v>1214</v>
      </c>
      <c r="P149" s="10" t="s">
        <v>1214</v>
      </c>
      <c r="Q149" s="10" t="s">
        <v>1214</v>
      </c>
      <c r="R149" s="10" t="s">
        <v>1214</v>
      </c>
      <c r="S149" s="10" t="s">
        <v>61</v>
      </c>
    </row>
    <row r="150" spans="1:19" ht="43.5" x14ac:dyDescent="0.35">
      <c r="A150" s="14">
        <v>46022</v>
      </c>
      <c r="B150" s="10" t="s">
        <v>223</v>
      </c>
      <c r="C150" s="10" t="s">
        <v>224</v>
      </c>
      <c r="D150" s="10" t="s">
        <v>945</v>
      </c>
      <c r="E150" s="10">
        <v>4349314</v>
      </c>
      <c r="F150" s="15">
        <v>100</v>
      </c>
      <c r="G150" s="10" t="s">
        <v>1225</v>
      </c>
      <c r="H150" s="10">
        <v>4349314</v>
      </c>
      <c r="I150" s="10" t="s">
        <v>1194</v>
      </c>
      <c r="J150" s="10" t="s">
        <v>58</v>
      </c>
      <c r="K150" s="10" t="s">
        <v>58</v>
      </c>
      <c r="L150" s="10" t="s">
        <v>58</v>
      </c>
      <c r="M150" s="10" t="s">
        <v>58</v>
      </c>
      <c r="N150" s="10" t="s">
        <v>58</v>
      </c>
      <c r="O150" s="10" t="s">
        <v>1214</v>
      </c>
      <c r="P150" s="10" t="s">
        <v>1214</v>
      </c>
      <c r="Q150" s="10" t="s">
        <v>1214</v>
      </c>
      <c r="R150" s="10" t="s">
        <v>1214</v>
      </c>
      <c r="S150" s="10" t="s">
        <v>61</v>
      </c>
    </row>
    <row r="151" spans="1:19" ht="29" x14ac:dyDescent="0.35">
      <c r="A151" s="14">
        <v>46022</v>
      </c>
      <c r="B151" s="10" t="s">
        <v>342</v>
      </c>
      <c r="C151" s="10" t="s">
        <v>343</v>
      </c>
      <c r="D151" s="10" t="s">
        <v>1027</v>
      </c>
      <c r="E151" s="10">
        <v>4353125</v>
      </c>
      <c r="F151" s="15">
        <v>100</v>
      </c>
      <c r="G151" s="10" t="s">
        <v>1334</v>
      </c>
      <c r="H151" s="10">
        <v>4353125</v>
      </c>
      <c r="I151" s="10" t="s">
        <v>1194</v>
      </c>
      <c r="J151" s="10" t="s">
        <v>1335</v>
      </c>
      <c r="K151" s="10" t="s">
        <v>1336</v>
      </c>
      <c r="L151" s="10" t="s">
        <v>1337</v>
      </c>
      <c r="M151" s="10" t="s">
        <v>1254</v>
      </c>
      <c r="N151" s="10" t="s">
        <v>222</v>
      </c>
      <c r="O151" s="10" t="s">
        <v>1214</v>
      </c>
      <c r="P151" s="10" t="s">
        <v>1214</v>
      </c>
      <c r="Q151" s="10" t="s">
        <v>1214</v>
      </c>
      <c r="R151" s="10" t="s">
        <v>1214</v>
      </c>
      <c r="S151" s="10" t="s">
        <v>61</v>
      </c>
    </row>
    <row r="152" spans="1:19" ht="43.5" x14ac:dyDescent="0.35">
      <c r="A152" s="14">
        <v>46022</v>
      </c>
      <c r="B152" s="10" t="s">
        <v>345</v>
      </c>
      <c r="C152" s="10" t="s">
        <v>346</v>
      </c>
      <c r="D152" s="10" t="s">
        <v>978</v>
      </c>
      <c r="E152" s="10">
        <v>4264043</v>
      </c>
      <c r="F152" s="15">
        <v>100</v>
      </c>
      <c r="G152" s="10" t="s">
        <v>1263</v>
      </c>
      <c r="H152" s="10">
        <v>4264043</v>
      </c>
      <c r="I152" s="10" t="s">
        <v>1194</v>
      </c>
      <c r="J152" s="10" t="s">
        <v>1214</v>
      </c>
      <c r="K152" s="10" t="s">
        <v>1214</v>
      </c>
      <c r="L152" s="10" t="s">
        <v>1214</v>
      </c>
      <c r="M152" s="10" t="s">
        <v>1214</v>
      </c>
      <c r="N152" s="10" t="s">
        <v>105</v>
      </c>
      <c r="O152" s="10" t="s">
        <v>1214</v>
      </c>
      <c r="P152" s="10" t="s">
        <v>1214</v>
      </c>
      <c r="Q152" s="10" t="s">
        <v>1214</v>
      </c>
      <c r="R152" s="10" t="s">
        <v>1214</v>
      </c>
      <c r="S152" s="10" t="s">
        <v>61</v>
      </c>
    </row>
    <row r="153" spans="1:19" ht="29" x14ac:dyDescent="0.35">
      <c r="A153" s="14">
        <v>46022</v>
      </c>
      <c r="B153" s="10" t="s">
        <v>347</v>
      </c>
      <c r="C153" s="10" t="s">
        <v>348</v>
      </c>
      <c r="D153" s="10" t="s">
        <v>1028</v>
      </c>
      <c r="E153" s="10">
        <v>4502292</v>
      </c>
      <c r="F153" s="15">
        <v>100</v>
      </c>
      <c r="G153" s="10" t="s">
        <v>1338</v>
      </c>
      <c r="H153" s="10">
        <v>4502292</v>
      </c>
      <c r="I153" s="10" t="s">
        <v>1194</v>
      </c>
      <c r="J153" s="10" t="s">
        <v>1214</v>
      </c>
      <c r="K153" s="10" t="s">
        <v>1214</v>
      </c>
      <c r="L153" s="10" t="s">
        <v>1214</v>
      </c>
      <c r="M153" s="10" t="s">
        <v>1214</v>
      </c>
      <c r="N153" s="10" t="s">
        <v>148</v>
      </c>
      <c r="O153" s="10" t="s">
        <v>1214</v>
      </c>
      <c r="P153" s="10" t="s">
        <v>1214</v>
      </c>
      <c r="Q153" s="10" t="s">
        <v>1214</v>
      </c>
      <c r="R153" s="10" t="s">
        <v>1214</v>
      </c>
      <c r="S153" s="10" t="s">
        <v>61</v>
      </c>
    </row>
    <row r="154" spans="1:19" ht="29" x14ac:dyDescent="0.35">
      <c r="A154" s="14">
        <v>46022</v>
      </c>
      <c r="B154" s="10" t="s">
        <v>722</v>
      </c>
      <c r="C154" s="10" t="s">
        <v>723</v>
      </c>
      <c r="D154" s="10" t="s">
        <v>1029</v>
      </c>
      <c r="E154" s="10">
        <v>8967572</v>
      </c>
      <c r="F154" s="15">
        <v>100</v>
      </c>
      <c r="G154" s="10" t="s">
        <v>1339</v>
      </c>
      <c r="H154" s="10">
        <v>8967572</v>
      </c>
      <c r="I154" s="10" t="s">
        <v>1194</v>
      </c>
      <c r="J154" s="10" t="s">
        <v>1214</v>
      </c>
      <c r="K154" s="10" t="s">
        <v>1214</v>
      </c>
      <c r="L154" s="10" t="s">
        <v>1214</v>
      </c>
      <c r="M154" s="10" t="s">
        <v>1214</v>
      </c>
      <c r="N154" s="10" t="s">
        <v>89</v>
      </c>
      <c r="O154" s="10" t="s">
        <v>1214</v>
      </c>
      <c r="P154" s="10" t="s">
        <v>1214</v>
      </c>
      <c r="Q154" s="10" t="s">
        <v>1214</v>
      </c>
      <c r="R154" s="10" t="s">
        <v>1214</v>
      </c>
      <c r="S154" s="10" t="s">
        <v>61</v>
      </c>
    </row>
    <row r="155" spans="1:19" ht="72.5" x14ac:dyDescent="0.35">
      <c r="A155" s="14">
        <v>46022</v>
      </c>
      <c r="B155" s="10" t="s">
        <v>349</v>
      </c>
      <c r="C155" s="10" t="s">
        <v>350</v>
      </c>
      <c r="D155" s="10" t="s">
        <v>351</v>
      </c>
      <c r="E155" s="10">
        <v>4350708</v>
      </c>
      <c r="F155" s="15">
        <v>51</v>
      </c>
      <c r="G155" s="10" t="s">
        <v>1340</v>
      </c>
      <c r="H155" s="10">
        <v>4350708</v>
      </c>
      <c r="I155" s="10">
        <v>4757905</v>
      </c>
      <c r="J155" s="10" t="s">
        <v>1214</v>
      </c>
      <c r="K155" s="10" t="s">
        <v>1214</v>
      </c>
      <c r="L155" s="10" t="s">
        <v>1214</v>
      </c>
      <c r="M155" s="10" t="s">
        <v>1214</v>
      </c>
      <c r="N155" s="10" t="s">
        <v>351</v>
      </c>
      <c r="O155" s="10" t="s">
        <v>1214</v>
      </c>
      <c r="P155" s="10" t="s">
        <v>1214</v>
      </c>
      <c r="Q155" s="10" t="s">
        <v>1214</v>
      </c>
      <c r="R155" s="10" t="s">
        <v>1214</v>
      </c>
      <c r="S155" s="10" t="s">
        <v>351</v>
      </c>
    </row>
    <row r="156" spans="1:19" ht="72.5" x14ac:dyDescent="0.35">
      <c r="A156" s="14">
        <v>46022</v>
      </c>
      <c r="B156" s="10" t="s">
        <v>349</v>
      </c>
      <c r="C156" s="10" t="s">
        <v>350</v>
      </c>
      <c r="D156" s="10" t="s">
        <v>1030</v>
      </c>
      <c r="E156" s="10">
        <v>4757905</v>
      </c>
      <c r="F156" s="15">
        <v>49</v>
      </c>
      <c r="G156" s="10" t="s">
        <v>1340</v>
      </c>
      <c r="H156" s="10">
        <v>4350708</v>
      </c>
      <c r="I156" s="10">
        <v>4757905</v>
      </c>
      <c r="J156" s="10" t="s">
        <v>1214</v>
      </c>
      <c r="K156" s="10" t="s">
        <v>1214</v>
      </c>
      <c r="L156" s="10" t="s">
        <v>1214</v>
      </c>
      <c r="M156" s="10" t="s">
        <v>1214</v>
      </c>
      <c r="N156" s="10" t="s">
        <v>351</v>
      </c>
      <c r="O156" s="10" t="s">
        <v>1214</v>
      </c>
      <c r="P156" s="10" t="s">
        <v>1214</v>
      </c>
      <c r="Q156" s="10" t="s">
        <v>1214</v>
      </c>
      <c r="R156" s="10" t="s">
        <v>1214</v>
      </c>
      <c r="S156" s="10" t="s">
        <v>351</v>
      </c>
    </row>
    <row r="157" spans="1:19" ht="29" x14ac:dyDescent="0.35">
      <c r="A157" s="14">
        <v>46022</v>
      </c>
      <c r="B157" s="10" t="s">
        <v>225</v>
      </c>
      <c r="C157" s="10" t="s">
        <v>226</v>
      </c>
      <c r="D157" s="10" t="s">
        <v>1031</v>
      </c>
      <c r="E157" s="10">
        <v>4350088</v>
      </c>
      <c r="F157" s="15">
        <v>100</v>
      </c>
      <c r="G157" s="10" t="s">
        <v>1341</v>
      </c>
      <c r="H157" s="10">
        <v>4350088</v>
      </c>
      <c r="I157" s="10" t="s">
        <v>1194</v>
      </c>
      <c r="J157" s="10" t="s">
        <v>1214</v>
      </c>
      <c r="K157" s="10" t="s">
        <v>1214</v>
      </c>
      <c r="L157" s="10" t="s">
        <v>1214</v>
      </c>
      <c r="M157" s="10" t="s">
        <v>1214</v>
      </c>
      <c r="N157" s="10" t="s">
        <v>89</v>
      </c>
      <c r="O157" s="10" t="s">
        <v>1214</v>
      </c>
      <c r="P157" s="10" t="s">
        <v>1214</v>
      </c>
      <c r="Q157" s="10" t="s">
        <v>1214</v>
      </c>
      <c r="R157" s="10" t="s">
        <v>1214</v>
      </c>
      <c r="S157" s="10" t="s">
        <v>61</v>
      </c>
    </row>
    <row r="158" spans="1:19" ht="43.5" x14ac:dyDescent="0.35">
      <c r="A158" s="14">
        <v>46022</v>
      </c>
      <c r="B158" s="10" t="s">
        <v>227</v>
      </c>
      <c r="C158" s="10" t="s">
        <v>228</v>
      </c>
      <c r="D158" s="10" t="s">
        <v>1032</v>
      </c>
      <c r="E158" s="10">
        <v>10930084</v>
      </c>
      <c r="F158" s="15">
        <v>100</v>
      </c>
      <c r="G158" s="10" t="s">
        <v>1342</v>
      </c>
      <c r="H158" s="10">
        <v>10930084</v>
      </c>
      <c r="I158" s="10" t="s">
        <v>1194</v>
      </c>
      <c r="J158" s="10" t="s">
        <v>1214</v>
      </c>
      <c r="K158" s="10" t="s">
        <v>1214</v>
      </c>
      <c r="L158" s="10" t="s">
        <v>1214</v>
      </c>
      <c r="M158" s="10" t="s">
        <v>1214</v>
      </c>
      <c r="N158" s="10" t="s">
        <v>61</v>
      </c>
      <c r="O158" s="10" t="s">
        <v>1214</v>
      </c>
      <c r="P158" s="10" t="s">
        <v>1214</v>
      </c>
      <c r="Q158" s="10" t="s">
        <v>1214</v>
      </c>
      <c r="R158" s="10" t="s">
        <v>1214</v>
      </c>
      <c r="S158" s="10" t="s">
        <v>61</v>
      </c>
    </row>
    <row r="159" spans="1:19" ht="188.5" x14ac:dyDescent="0.35">
      <c r="A159" s="14">
        <v>46022</v>
      </c>
      <c r="B159" s="10" t="s">
        <v>724</v>
      </c>
      <c r="C159" s="10" t="s">
        <v>725</v>
      </c>
      <c r="D159" s="10" t="s">
        <v>947</v>
      </c>
      <c r="E159" s="10">
        <v>4121840</v>
      </c>
      <c r="F159" s="15">
        <v>57.5</v>
      </c>
      <c r="G159" s="10" t="s">
        <v>1343</v>
      </c>
      <c r="H159" s="10">
        <v>4121840</v>
      </c>
      <c r="I159" s="10">
        <v>4149660</v>
      </c>
      <c r="J159" s="10" t="s">
        <v>1214</v>
      </c>
      <c r="K159" s="10" t="s">
        <v>1214</v>
      </c>
      <c r="L159" s="10" t="s">
        <v>1214</v>
      </c>
      <c r="M159" s="10" t="s">
        <v>1214</v>
      </c>
      <c r="N159" s="10" t="s">
        <v>89</v>
      </c>
      <c r="O159" s="10" t="s">
        <v>1214</v>
      </c>
      <c r="P159" s="10" t="s">
        <v>1214</v>
      </c>
      <c r="Q159" s="10" t="s">
        <v>1214</v>
      </c>
      <c r="R159" s="10" t="s">
        <v>1214</v>
      </c>
      <c r="S159" s="10" t="s">
        <v>1219</v>
      </c>
    </row>
    <row r="160" spans="1:19" ht="188.5" x14ac:dyDescent="0.35">
      <c r="A160" s="14">
        <v>46022</v>
      </c>
      <c r="B160" s="10" t="s">
        <v>724</v>
      </c>
      <c r="C160" s="10" t="s">
        <v>725</v>
      </c>
      <c r="D160" s="10" t="s">
        <v>994</v>
      </c>
      <c r="E160" s="10">
        <v>4361542</v>
      </c>
      <c r="F160" s="15">
        <v>3</v>
      </c>
      <c r="G160" s="10" t="s">
        <v>1343</v>
      </c>
      <c r="H160" s="10">
        <v>4121840</v>
      </c>
      <c r="I160" s="10">
        <v>4149660</v>
      </c>
      <c r="J160" s="10" t="s">
        <v>1214</v>
      </c>
      <c r="K160" s="10" t="s">
        <v>1214</v>
      </c>
      <c r="L160" s="10" t="s">
        <v>1214</v>
      </c>
      <c r="M160" s="10" t="s">
        <v>1214</v>
      </c>
      <c r="N160" s="10" t="s">
        <v>89</v>
      </c>
      <c r="O160" s="10" t="s">
        <v>1214</v>
      </c>
      <c r="P160" s="10" t="s">
        <v>1214</v>
      </c>
      <c r="Q160" s="10" t="s">
        <v>1214</v>
      </c>
      <c r="R160" s="10" t="s">
        <v>1214</v>
      </c>
      <c r="S160" s="10" t="s">
        <v>1219</v>
      </c>
    </row>
    <row r="161" spans="1:19" ht="188.5" x14ac:dyDescent="0.35">
      <c r="A161" s="14">
        <v>46022</v>
      </c>
      <c r="B161" s="10" t="s">
        <v>724</v>
      </c>
      <c r="C161" s="10" t="s">
        <v>725</v>
      </c>
      <c r="D161" s="10" t="s">
        <v>949</v>
      </c>
      <c r="E161" s="10">
        <v>4065098</v>
      </c>
      <c r="F161" s="15">
        <v>8.25</v>
      </c>
      <c r="G161" s="10" t="s">
        <v>1343</v>
      </c>
      <c r="H161" s="10">
        <v>4121840</v>
      </c>
      <c r="I161" s="10">
        <v>4149660</v>
      </c>
      <c r="J161" s="10" t="s">
        <v>1214</v>
      </c>
      <c r="K161" s="10" t="s">
        <v>1214</v>
      </c>
      <c r="L161" s="10" t="s">
        <v>1214</v>
      </c>
      <c r="M161" s="10" t="s">
        <v>1214</v>
      </c>
      <c r="N161" s="10" t="s">
        <v>89</v>
      </c>
      <c r="O161" s="10" t="s">
        <v>1214</v>
      </c>
      <c r="P161" s="10" t="s">
        <v>1214</v>
      </c>
      <c r="Q161" s="10" t="s">
        <v>1214</v>
      </c>
      <c r="R161" s="10" t="s">
        <v>1214</v>
      </c>
      <c r="S161" s="10" t="s">
        <v>1219</v>
      </c>
    </row>
    <row r="162" spans="1:19" ht="188.5" x14ac:dyDescent="0.35">
      <c r="A162" s="14">
        <v>46022</v>
      </c>
      <c r="B162" s="10" t="s">
        <v>724</v>
      </c>
      <c r="C162" s="10" t="s">
        <v>725</v>
      </c>
      <c r="D162" s="10" t="s">
        <v>1033</v>
      </c>
      <c r="E162" s="10">
        <v>4212961</v>
      </c>
      <c r="F162" s="15">
        <v>1.25</v>
      </c>
      <c r="G162" s="10" t="s">
        <v>1343</v>
      </c>
      <c r="H162" s="10">
        <v>4121840</v>
      </c>
      <c r="I162" s="10">
        <v>4149660</v>
      </c>
      <c r="J162" s="10" t="s">
        <v>1214</v>
      </c>
      <c r="K162" s="10" t="s">
        <v>1214</v>
      </c>
      <c r="L162" s="10" t="s">
        <v>1214</v>
      </c>
      <c r="M162" s="10" t="s">
        <v>1214</v>
      </c>
      <c r="N162" s="10" t="s">
        <v>89</v>
      </c>
      <c r="O162" s="10" t="s">
        <v>1214</v>
      </c>
      <c r="P162" s="10" t="s">
        <v>1214</v>
      </c>
      <c r="Q162" s="10" t="s">
        <v>1214</v>
      </c>
      <c r="R162" s="10" t="s">
        <v>1214</v>
      </c>
      <c r="S162" s="10" t="s">
        <v>1219</v>
      </c>
    </row>
    <row r="163" spans="1:19" ht="188.5" x14ac:dyDescent="0.35">
      <c r="A163" s="14">
        <v>46022</v>
      </c>
      <c r="B163" s="10" t="s">
        <v>724</v>
      </c>
      <c r="C163" s="10" t="s">
        <v>725</v>
      </c>
      <c r="D163" s="10" t="s">
        <v>971</v>
      </c>
      <c r="E163" s="10">
        <v>4149660</v>
      </c>
      <c r="F163" s="15">
        <v>30</v>
      </c>
      <c r="G163" s="10" t="s">
        <v>1343</v>
      </c>
      <c r="H163" s="10">
        <v>4121840</v>
      </c>
      <c r="I163" s="10">
        <v>4149660</v>
      </c>
      <c r="J163" s="10" t="s">
        <v>1214</v>
      </c>
      <c r="K163" s="10" t="s">
        <v>1214</v>
      </c>
      <c r="L163" s="10" t="s">
        <v>1214</v>
      </c>
      <c r="M163" s="10" t="s">
        <v>1214</v>
      </c>
      <c r="N163" s="10" t="s">
        <v>89</v>
      </c>
      <c r="O163" s="10" t="s">
        <v>1214</v>
      </c>
      <c r="P163" s="10" t="s">
        <v>1214</v>
      </c>
      <c r="Q163" s="10" t="s">
        <v>1214</v>
      </c>
      <c r="R163" s="10" t="s">
        <v>1214</v>
      </c>
      <c r="S163" s="10" t="s">
        <v>1219</v>
      </c>
    </row>
    <row r="164" spans="1:19" ht="188.5" x14ac:dyDescent="0.35">
      <c r="A164" s="14">
        <v>46022</v>
      </c>
      <c r="B164" s="10" t="s">
        <v>726</v>
      </c>
      <c r="C164" s="10" t="s">
        <v>727</v>
      </c>
      <c r="D164" s="10" t="s">
        <v>947</v>
      </c>
      <c r="E164" s="10">
        <v>4121840</v>
      </c>
      <c r="F164" s="15">
        <v>57.5</v>
      </c>
      <c r="G164" s="10" t="s">
        <v>1344</v>
      </c>
      <c r="H164" s="10">
        <v>4121840</v>
      </c>
      <c r="I164" s="10">
        <v>4149660</v>
      </c>
      <c r="J164" s="10" t="s">
        <v>1214</v>
      </c>
      <c r="K164" s="10" t="s">
        <v>1214</v>
      </c>
      <c r="L164" s="10" t="s">
        <v>1214</v>
      </c>
      <c r="M164" s="10" t="s">
        <v>1214</v>
      </c>
      <c r="N164" s="10" t="s">
        <v>89</v>
      </c>
      <c r="O164" s="10" t="s">
        <v>1214</v>
      </c>
      <c r="P164" s="10" t="s">
        <v>1214</v>
      </c>
      <c r="Q164" s="10" t="s">
        <v>1214</v>
      </c>
      <c r="R164" s="10" t="s">
        <v>1214</v>
      </c>
      <c r="S164" s="10" t="s">
        <v>1219</v>
      </c>
    </row>
    <row r="165" spans="1:19" ht="188.5" x14ac:dyDescent="0.35">
      <c r="A165" s="14">
        <v>46022</v>
      </c>
      <c r="B165" s="10" t="s">
        <v>726</v>
      </c>
      <c r="C165" s="10" t="s">
        <v>727</v>
      </c>
      <c r="D165" s="10" t="s">
        <v>994</v>
      </c>
      <c r="E165" s="10">
        <v>4361542</v>
      </c>
      <c r="F165" s="15">
        <v>3</v>
      </c>
      <c r="G165" s="10" t="s">
        <v>1344</v>
      </c>
      <c r="H165" s="10">
        <v>4121840</v>
      </c>
      <c r="I165" s="10">
        <v>4149660</v>
      </c>
      <c r="J165" s="10" t="s">
        <v>1214</v>
      </c>
      <c r="K165" s="10" t="s">
        <v>1214</v>
      </c>
      <c r="L165" s="10" t="s">
        <v>1214</v>
      </c>
      <c r="M165" s="10" t="s">
        <v>1214</v>
      </c>
      <c r="N165" s="10" t="s">
        <v>89</v>
      </c>
      <c r="O165" s="10" t="s">
        <v>1214</v>
      </c>
      <c r="P165" s="10" t="s">
        <v>1214</v>
      </c>
      <c r="Q165" s="10" t="s">
        <v>1214</v>
      </c>
      <c r="R165" s="10" t="s">
        <v>1214</v>
      </c>
      <c r="S165" s="10" t="s">
        <v>1219</v>
      </c>
    </row>
    <row r="166" spans="1:19" ht="188.5" x14ac:dyDescent="0.35">
      <c r="A166" s="14">
        <v>46022</v>
      </c>
      <c r="B166" s="10" t="s">
        <v>726</v>
      </c>
      <c r="C166" s="10" t="s">
        <v>727</v>
      </c>
      <c r="D166" s="10" t="s">
        <v>949</v>
      </c>
      <c r="E166" s="10">
        <v>4065098</v>
      </c>
      <c r="F166" s="15">
        <v>8.25</v>
      </c>
      <c r="G166" s="10" t="s">
        <v>1344</v>
      </c>
      <c r="H166" s="10">
        <v>4121840</v>
      </c>
      <c r="I166" s="10">
        <v>4149660</v>
      </c>
      <c r="J166" s="10" t="s">
        <v>1214</v>
      </c>
      <c r="K166" s="10" t="s">
        <v>1214</v>
      </c>
      <c r="L166" s="10" t="s">
        <v>1214</v>
      </c>
      <c r="M166" s="10" t="s">
        <v>1214</v>
      </c>
      <c r="N166" s="10" t="s">
        <v>89</v>
      </c>
      <c r="O166" s="10" t="s">
        <v>1214</v>
      </c>
      <c r="P166" s="10" t="s">
        <v>1214</v>
      </c>
      <c r="Q166" s="10" t="s">
        <v>1214</v>
      </c>
      <c r="R166" s="10" t="s">
        <v>1214</v>
      </c>
      <c r="S166" s="10" t="s">
        <v>1219</v>
      </c>
    </row>
    <row r="167" spans="1:19" ht="188.5" x14ac:dyDescent="0.35">
      <c r="A167" s="14">
        <v>46022</v>
      </c>
      <c r="B167" s="10" t="s">
        <v>726</v>
      </c>
      <c r="C167" s="10" t="s">
        <v>727</v>
      </c>
      <c r="D167" s="10" t="s">
        <v>1033</v>
      </c>
      <c r="E167" s="10">
        <v>4212961</v>
      </c>
      <c r="F167" s="15">
        <v>1.25</v>
      </c>
      <c r="G167" s="10" t="s">
        <v>1344</v>
      </c>
      <c r="H167" s="10">
        <v>4121840</v>
      </c>
      <c r="I167" s="10">
        <v>4149660</v>
      </c>
      <c r="J167" s="10" t="s">
        <v>1214</v>
      </c>
      <c r="K167" s="10" t="s">
        <v>1214</v>
      </c>
      <c r="L167" s="10" t="s">
        <v>1214</v>
      </c>
      <c r="M167" s="10" t="s">
        <v>1214</v>
      </c>
      <c r="N167" s="10" t="s">
        <v>89</v>
      </c>
      <c r="O167" s="10" t="s">
        <v>1214</v>
      </c>
      <c r="P167" s="10" t="s">
        <v>1214</v>
      </c>
      <c r="Q167" s="10" t="s">
        <v>1214</v>
      </c>
      <c r="R167" s="10" t="s">
        <v>1214</v>
      </c>
      <c r="S167" s="10" t="s">
        <v>1219</v>
      </c>
    </row>
    <row r="168" spans="1:19" ht="188.5" x14ac:dyDescent="0.35">
      <c r="A168" s="14">
        <v>46022</v>
      </c>
      <c r="B168" s="10" t="s">
        <v>726</v>
      </c>
      <c r="C168" s="10" t="s">
        <v>727</v>
      </c>
      <c r="D168" s="10" t="s">
        <v>971</v>
      </c>
      <c r="E168" s="10">
        <v>4149660</v>
      </c>
      <c r="F168" s="15">
        <v>30</v>
      </c>
      <c r="G168" s="10" t="s">
        <v>1344</v>
      </c>
      <c r="H168" s="10">
        <v>4121840</v>
      </c>
      <c r="I168" s="10">
        <v>4149660</v>
      </c>
      <c r="J168" s="10" t="s">
        <v>1214</v>
      </c>
      <c r="K168" s="10" t="s">
        <v>1214</v>
      </c>
      <c r="L168" s="10" t="s">
        <v>1214</v>
      </c>
      <c r="M168" s="10" t="s">
        <v>1214</v>
      </c>
      <c r="N168" s="10" t="s">
        <v>89</v>
      </c>
      <c r="O168" s="10" t="s">
        <v>1214</v>
      </c>
      <c r="P168" s="10" t="s">
        <v>1214</v>
      </c>
      <c r="Q168" s="10" t="s">
        <v>1214</v>
      </c>
      <c r="R168" s="10" t="s">
        <v>1214</v>
      </c>
      <c r="S168" s="10" t="s">
        <v>1219</v>
      </c>
    </row>
    <row r="169" spans="1:19" ht="43.5" x14ac:dyDescent="0.35">
      <c r="A169" s="14">
        <v>46022</v>
      </c>
      <c r="B169" s="10" t="s">
        <v>211</v>
      </c>
      <c r="C169" s="10" t="s">
        <v>212</v>
      </c>
      <c r="D169" s="10" t="s">
        <v>213</v>
      </c>
      <c r="E169" s="10">
        <v>4350734</v>
      </c>
      <c r="F169" s="15">
        <v>5</v>
      </c>
      <c r="G169" s="10" t="s">
        <v>1345</v>
      </c>
      <c r="H169" s="10">
        <v>4365787</v>
      </c>
      <c r="I169" s="10">
        <v>4350734</v>
      </c>
      <c r="J169" s="10" t="s">
        <v>1346</v>
      </c>
      <c r="K169" s="10" t="s">
        <v>1347</v>
      </c>
      <c r="L169" s="10" t="s">
        <v>1346</v>
      </c>
      <c r="M169" s="10" t="s">
        <v>1347</v>
      </c>
      <c r="N169" s="10" t="s">
        <v>1219</v>
      </c>
      <c r="O169" s="10" t="s">
        <v>1214</v>
      </c>
      <c r="P169" s="10" t="s">
        <v>1214</v>
      </c>
      <c r="Q169" s="10" t="s">
        <v>1214</v>
      </c>
      <c r="R169" s="10" t="s">
        <v>1214</v>
      </c>
      <c r="S169" s="10" t="s">
        <v>213</v>
      </c>
    </row>
    <row r="170" spans="1:19" ht="43.5" x14ac:dyDescent="0.35">
      <c r="A170" s="14">
        <v>46022</v>
      </c>
      <c r="B170" s="10" t="s">
        <v>211</v>
      </c>
      <c r="C170" s="10" t="s">
        <v>212</v>
      </c>
      <c r="D170" s="10" t="s">
        <v>1034</v>
      </c>
      <c r="E170" s="10">
        <v>4365787</v>
      </c>
      <c r="F170" s="15">
        <v>95</v>
      </c>
      <c r="G170" s="10" t="s">
        <v>1345</v>
      </c>
      <c r="H170" s="10">
        <v>4365787</v>
      </c>
      <c r="I170" s="10">
        <v>4350734</v>
      </c>
      <c r="J170" s="10" t="s">
        <v>1346</v>
      </c>
      <c r="K170" s="10" t="s">
        <v>1347</v>
      </c>
      <c r="L170" s="10" t="s">
        <v>1346</v>
      </c>
      <c r="M170" s="10" t="s">
        <v>1347</v>
      </c>
      <c r="N170" s="10" t="s">
        <v>1219</v>
      </c>
      <c r="O170" s="10" t="s">
        <v>1214</v>
      </c>
      <c r="P170" s="10" t="s">
        <v>1214</v>
      </c>
      <c r="Q170" s="10" t="s">
        <v>1214</v>
      </c>
      <c r="R170" s="10" t="s">
        <v>1214</v>
      </c>
      <c r="S170" s="10" t="s">
        <v>213</v>
      </c>
    </row>
    <row r="171" spans="1:19" ht="43.5" x14ac:dyDescent="0.35">
      <c r="A171" s="14">
        <v>46022</v>
      </c>
      <c r="B171" s="10" t="s">
        <v>214</v>
      </c>
      <c r="C171" s="10" t="s">
        <v>215</v>
      </c>
      <c r="D171" s="10" t="s">
        <v>1024</v>
      </c>
      <c r="E171" s="10">
        <v>4314727</v>
      </c>
      <c r="F171" s="15">
        <v>100</v>
      </c>
      <c r="G171" s="10" t="s">
        <v>1326</v>
      </c>
      <c r="H171" s="10">
        <v>4314727</v>
      </c>
      <c r="I171" s="10" t="s">
        <v>1194</v>
      </c>
      <c r="J171" s="10" t="s">
        <v>1214</v>
      </c>
      <c r="K171" s="10" t="s">
        <v>1214</v>
      </c>
      <c r="L171" s="10" t="s">
        <v>1214</v>
      </c>
      <c r="M171" s="10" t="s">
        <v>1214</v>
      </c>
      <c r="N171" s="10" t="s">
        <v>61</v>
      </c>
      <c r="O171" s="10" t="s">
        <v>1214</v>
      </c>
      <c r="P171" s="10" t="s">
        <v>1214</v>
      </c>
      <c r="Q171" s="10" t="s">
        <v>1214</v>
      </c>
      <c r="R171" s="10" t="s">
        <v>1214</v>
      </c>
      <c r="S171" s="10" t="s">
        <v>61</v>
      </c>
    </row>
    <row r="172" spans="1:19" ht="43.5" x14ac:dyDescent="0.35">
      <c r="A172" s="14">
        <v>46022</v>
      </c>
      <c r="B172" s="10" t="s">
        <v>229</v>
      </c>
      <c r="C172" s="10" t="s">
        <v>230</v>
      </c>
      <c r="D172" s="10" t="s">
        <v>1035</v>
      </c>
      <c r="E172" s="10">
        <v>10930017</v>
      </c>
      <c r="F172" s="15">
        <v>100</v>
      </c>
      <c r="G172" s="10" t="s">
        <v>1348</v>
      </c>
      <c r="H172" s="10">
        <v>10930017</v>
      </c>
      <c r="I172" s="10" t="s">
        <v>1194</v>
      </c>
      <c r="J172" s="10" t="s">
        <v>1214</v>
      </c>
      <c r="K172" s="10" t="s">
        <v>1214</v>
      </c>
      <c r="L172" s="10" t="s">
        <v>1214</v>
      </c>
      <c r="M172" s="10" t="s">
        <v>1214</v>
      </c>
      <c r="N172" s="10" t="s">
        <v>61</v>
      </c>
      <c r="O172" s="10" t="s">
        <v>1214</v>
      </c>
      <c r="P172" s="10" t="s">
        <v>1214</v>
      </c>
      <c r="Q172" s="10" t="s">
        <v>1214</v>
      </c>
      <c r="R172" s="10" t="s">
        <v>1214</v>
      </c>
      <c r="S172" s="10" t="s">
        <v>61</v>
      </c>
    </row>
    <row r="173" spans="1:19" ht="87" x14ac:dyDescent="0.35">
      <c r="A173" s="14">
        <v>46022</v>
      </c>
      <c r="B173" s="10" t="s">
        <v>728</v>
      </c>
      <c r="C173" s="10" t="s">
        <v>729</v>
      </c>
      <c r="D173" s="10" t="s">
        <v>1036</v>
      </c>
      <c r="E173" s="10">
        <v>4349131</v>
      </c>
      <c r="F173" s="15">
        <v>95.35</v>
      </c>
      <c r="G173" s="10" t="s">
        <v>1349</v>
      </c>
      <c r="H173" s="10">
        <v>4349131</v>
      </c>
      <c r="I173" s="10">
        <v>4400798</v>
      </c>
      <c r="J173" s="10" t="s">
        <v>1292</v>
      </c>
      <c r="K173" s="10" t="s">
        <v>61</v>
      </c>
      <c r="L173" s="10" t="s">
        <v>1350</v>
      </c>
      <c r="M173" s="10" t="s">
        <v>61</v>
      </c>
      <c r="N173" s="10" t="s">
        <v>1252</v>
      </c>
      <c r="O173" s="10" t="s">
        <v>1214</v>
      </c>
      <c r="P173" s="10" t="s">
        <v>1214</v>
      </c>
      <c r="Q173" s="10" t="s">
        <v>1214</v>
      </c>
      <c r="R173" s="10" t="s">
        <v>1214</v>
      </c>
      <c r="S173" s="10" t="s">
        <v>79</v>
      </c>
    </row>
    <row r="174" spans="1:19" ht="29" x14ac:dyDescent="0.35">
      <c r="A174" s="14">
        <v>46022</v>
      </c>
      <c r="B174" s="10" t="s">
        <v>352</v>
      </c>
      <c r="C174" s="10" t="s">
        <v>353</v>
      </c>
      <c r="D174" s="10" t="s">
        <v>1037</v>
      </c>
      <c r="E174" s="10">
        <v>4350830</v>
      </c>
      <c r="F174" s="15">
        <v>100</v>
      </c>
      <c r="G174" s="10" t="s">
        <v>1351</v>
      </c>
      <c r="H174" s="10">
        <v>4350830</v>
      </c>
      <c r="I174" s="10" t="s">
        <v>1194</v>
      </c>
      <c r="J174" s="10" t="s">
        <v>1214</v>
      </c>
      <c r="K174" s="10" t="s">
        <v>1214</v>
      </c>
      <c r="L174" s="10" t="s">
        <v>1214</v>
      </c>
      <c r="M174" s="10" t="s">
        <v>1214</v>
      </c>
      <c r="N174" s="10" t="s">
        <v>58</v>
      </c>
      <c r="O174" s="10" t="s">
        <v>1214</v>
      </c>
      <c r="P174" s="10" t="s">
        <v>1214</v>
      </c>
      <c r="Q174" s="10" t="s">
        <v>1214</v>
      </c>
      <c r="R174" s="10" t="s">
        <v>1214</v>
      </c>
      <c r="S174" s="10" t="s">
        <v>61</v>
      </c>
    </row>
    <row r="175" spans="1:19" ht="72.5" x14ac:dyDescent="0.35">
      <c r="A175" s="14">
        <v>46022</v>
      </c>
      <c r="B175" s="10" t="s">
        <v>216</v>
      </c>
      <c r="C175" s="10" t="s">
        <v>217</v>
      </c>
      <c r="D175" s="10" t="s">
        <v>213</v>
      </c>
      <c r="E175" s="10">
        <v>4350734</v>
      </c>
      <c r="F175" s="15">
        <v>5</v>
      </c>
      <c r="G175" s="10" t="s">
        <v>1352</v>
      </c>
      <c r="H175" s="10">
        <v>4581024</v>
      </c>
      <c r="I175" s="10">
        <v>4350734</v>
      </c>
      <c r="J175" s="10" t="s">
        <v>1214</v>
      </c>
      <c r="K175" s="10" t="s">
        <v>1214</v>
      </c>
      <c r="L175" s="10" t="s">
        <v>1214</v>
      </c>
      <c r="M175" s="10" t="s">
        <v>1214</v>
      </c>
      <c r="N175" s="10" t="s">
        <v>1240</v>
      </c>
      <c r="O175" s="10" t="s">
        <v>1214</v>
      </c>
      <c r="P175" s="10" t="s">
        <v>1214</v>
      </c>
      <c r="Q175" s="10" t="s">
        <v>1214</v>
      </c>
      <c r="R175" s="10" t="s">
        <v>1214</v>
      </c>
      <c r="S175" s="10" t="s">
        <v>213</v>
      </c>
    </row>
    <row r="176" spans="1:19" ht="72.5" x14ac:dyDescent="0.35">
      <c r="A176" s="14">
        <v>46022</v>
      </c>
      <c r="B176" s="10" t="s">
        <v>216</v>
      </c>
      <c r="C176" s="10" t="s">
        <v>217</v>
      </c>
      <c r="D176" s="10" t="s">
        <v>1038</v>
      </c>
      <c r="E176" s="10">
        <v>4581024</v>
      </c>
      <c r="F176" s="15">
        <v>95</v>
      </c>
      <c r="G176" s="10" t="s">
        <v>1352</v>
      </c>
      <c r="H176" s="10">
        <v>4581024</v>
      </c>
      <c r="I176" s="10">
        <v>4350734</v>
      </c>
      <c r="J176" s="10" t="s">
        <v>1214</v>
      </c>
      <c r="K176" s="10" t="s">
        <v>1214</v>
      </c>
      <c r="L176" s="10" t="s">
        <v>1214</v>
      </c>
      <c r="M176" s="10" t="s">
        <v>1214</v>
      </c>
      <c r="N176" s="10" t="s">
        <v>1240</v>
      </c>
      <c r="O176" s="10" t="s">
        <v>1214</v>
      </c>
      <c r="P176" s="10" t="s">
        <v>1214</v>
      </c>
      <c r="Q176" s="10" t="s">
        <v>1214</v>
      </c>
      <c r="R176" s="10" t="s">
        <v>1214</v>
      </c>
      <c r="S176" s="10" t="s">
        <v>213</v>
      </c>
    </row>
    <row r="177" spans="1:19" ht="58" x14ac:dyDescent="0.35">
      <c r="A177" s="14">
        <v>46022</v>
      </c>
      <c r="B177" s="10" t="s">
        <v>218</v>
      </c>
      <c r="C177" s="10" t="s">
        <v>219</v>
      </c>
      <c r="D177" s="10" t="s">
        <v>1039</v>
      </c>
      <c r="E177" s="10">
        <v>10930033</v>
      </c>
      <c r="F177" s="15">
        <v>100</v>
      </c>
      <c r="G177" s="10" t="s">
        <v>1353</v>
      </c>
      <c r="H177" s="10">
        <v>10930033</v>
      </c>
      <c r="I177" s="10" t="s">
        <v>1194</v>
      </c>
      <c r="J177" s="10" t="s">
        <v>1214</v>
      </c>
      <c r="K177" s="10" t="s">
        <v>1214</v>
      </c>
      <c r="L177" s="10" t="s">
        <v>1214</v>
      </c>
      <c r="M177" s="10" t="s">
        <v>1214</v>
      </c>
      <c r="N177" s="10" t="s">
        <v>61</v>
      </c>
      <c r="O177" s="10" t="s">
        <v>1214</v>
      </c>
      <c r="P177" s="10" t="s">
        <v>1214</v>
      </c>
      <c r="Q177" s="10" t="s">
        <v>1214</v>
      </c>
      <c r="R177" s="10" t="s">
        <v>1214</v>
      </c>
      <c r="S177" s="10" t="s">
        <v>61</v>
      </c>
    </row>
    <row r="178" spans="1:19" ht="43.5" x14ac:dyDescent="0.35">
      <c r="A178" s="14">
        <v>46022</v>
      </c>
      <c r="B178" s="10" t="s">
        <v>730</v>
      </c>
      <c r="C178" s="10" t="s">
        <v>731</v>
      </c>
      <c r="D178" s="10" t="s">
        <v>945</v>
      </c>
      <c r="E178" s="10">
        <v>4349314</v>
      </c>
      <c r="F178" s="15">
        <v>100</v>
      </c>
      <c r="G178" s="10" t="s">
        <v>1225</v>
      </c>
      <c r="H178" s="10">
        <v>4349314</v>
      </c>
      <c r="I178" s="10" t="s">
        <v>1194</v>
      </c>
      <c r="J178" s="10" t="s">
        <v>58</v>
      </c>
      <c r="K178" s="10" t="s">
        <v>58</v>
      </c>
      <c r="L178" s="10" t="s">
        <v>58</v>
      </c>
      <c r="M178" s="10" t="s">
        <v>58</v>
      </c>
      <c r="N178" s="10" t="s">
        <v>58</v>
      </c>
      <c r="O178" s="10" t="s">
        <v>1214</v>
      </c>
      <c r="P178" s="10" t="s">
        <v>1214</v>
      </c>
      <c r="Q178" s="10" t="s">
        <v>1214</v>
      </c>
      <c r="R178" s="10" t="s">
        <v>1214</v>
      </c>
      <c r="S178" s="10" t="s">
        <v>61</v>
      </c>
    </row>
    <row r="179" spans="1:19" ht="43.5" x14ac:dyDescent="0.35">
      <c r="A179" s="14">
        <v>46022</v>
      </c>
      <c r="B179" s="10" t="s">
        <v>354</v>
      </c>
      <c r="C179" s="10" t="s">
        <v>355</v>
      </c>
      <c r="D179" s="10" t="s">
        <v>968</v>
      </c>
      <c r="E179" s="10">
        <v>4355114</v>
      </c>
      <c r="F179" s="15">
        <v>100</v>
      </c>
      <c r="G179" s="10" t="s">
        <v>1354</v>
      </c>
      <c r="H179" s="10">
        <v>4355114</v>
      </c>
      <c r="I179" s="10" t="s">
        <v>1194</v>
      </c>
      <c r="J179" s="10" t="s">
        <v>1251</v>
      </c>
      <c r="K179" s="10" t="s">
        <v>1252</v>
      </c>
      <c r="L179" s="10" t="s">
        <v>1253</v>
      </c>
      <c r="M179" s="10" t="s">
        <v>1254</v>
      </c>
      <c r="N179" s="10" t="s">
        <v>86</v>
      </c>
      <c r="O179" s="10" t="s">
        <v>1214</v>
      </c>
      <c r="P179" s="10" t="s">
        <v>1214</v>
      </c>
      <c r="Q179" s="10" t="s">
        <v>1214</v>
      </c>
      <c r="R179" s="10" t="s">
        <v>1214</v>
      </c>
      <c r="S179" s="10" t="s">
        <v>61</v>
      </c>
    </row>
    <row r="180" spans="1:19" ht="29" x14ac:dyDescent="0.35">
      <c r="A180" s="14">
        <v>46022</v>
      </c>
      <c r="B180" s="10" t="s">
        <v>231</v>
      </c>
      <c r="C180" s="10" t="s">
        <v>232</v>
      </c>
      <c r="D180" s="10" t="s">
        <v>939</v>
      </c>
      <c r="E180" s="10">
        <v>4348654</v>
      </c>
      <c r="F180" s="15">
        <v>100</v>
      </c>
      <c r="G180" s="10" t="s">
        <v>1213</v>
      </c>
      <c r="H180" s="10">
        <v>4348654</v>
      </c>
      <c r="I180" s="10" t="s">
        <v>1194</v>
      </c>
      <c r="J180" s="10" t="s">
        <v>1214</v>
      </c>
      <c r="K180" s="10" t="s">
        <v>1214</v>
      </c>
      <c r="L180" s="10" t="s">
        <v>1214</v>
      </c>
      <c r="M180" s="10" t="s">
        <v>1214</v>
      </c>
      <c r="N180" s="10" t="s">
        <v>102</v>
      </c>
      <c r="O180" s="10" t="s">
        <v>1214</v>
      </c>
      <c r="P180" s="10" t="s">
        <v>1214</v>
      </c>
      <c r="Q180" s="10" t="s">
        <v>1214</v>
      </c>
      <c r="R180" s="10" t="s">
        <v>1214</v>
      </c>
      <c r="S180" s="10" t="s">
        <v>61</v>
      </c>
    </row>
    <row r="181" spans="1:19" ht="29" x14ac:dyDescent="0.35">
      <c r="A181" s="14">
        <v>46022</v>
      </c>
      <c r="B181" s="10" t="s">
        <v>220</v>
      </c>
      <c r="C181" s="10" t="s">
        <v>221</v>
      </c>
      <c r="D181" s="10" t="s">
        <v>1040</v>
      </c>
      <c r="E181" s="10">
        <v>4354747</v>
      </c>
      <c r="F181" s="15">
        <v>100</v>
      </c>
      <c r="G181" s="10" t="s">
        <v>1355</v>
      </c>
      <c r="H181" s="10">
        <v>4354747</v>
      </c>
      <c r="I181" s="10" t="s">
        <v>1194</v>
      </c>
      <c r="J181" s="10" t="s">
        <v>1214</v>
      </c>
      <c r="K181" s="10" t="s">
        <v>1214</v>
      </c>
      <c r="L181" s="10" t="s">
        <v>1214</v>
      </c>
      <c r="M181" s="10" t="s">
        <v>1214</v>
      </c>
      <c r="N181" s="10" t="s">
        <v>222</v>
      </c>
      <c r="O181" s="10" t="s">
        <v>1214</v>
      </c>
      <c r="P181" s="10" t="s">
        <v>1214</v>
      </c>
      <c r="Q181" s="10" t="s">
        <v>1214</v>
      </c>
      <c r="R181" s="10" t="s">
        <v>1214</v>
      </c>
      <c r="S181" s="10" t="s">
        <v>61</v>
      </c>
    </row>
    <row r="182" spans="1:19" ht="29" x14ac:dyDescent="0.35">
      <c r="A182" s="14">
        <v>46022</v>
      </c>
      <c r="B182" s="10" t="s">
        <v>384</v>
      </c>
      <c r="C182" s="10" t="s">
        <v>385</v>
      </c>
      <c r="D182" s="10" t="s">
        <v>1041</v>
      </c>
      <c r="E182" s="10">
        <v>29181633</v>
      </c>
      <c r="F182" s="15">
        <v>100</v>
      </c>
      <c r="G182" s="10" t="s">
        <v>1356</v>
      </c>
      <c r="H182" s="10">
        <v>29181633</v>
      </c>
      <c r="I182" s="10" t="s">
        <v>1194</v>
      </c>
      <c r="J182" s="10" t="s">
        <v>1214</v>
      </c>
      <c r="K182" s="10" t="s">
        <v>1214</v>
      </c>
      <c r="L182" s="10" t="s">
        <v>1214</v>
      </c>
      <c r="M182" s="10" t="s">
        <v>1214</v>
      </c>
      <c r="N182" s="10" t="s">
        <v>89</v>
      </c>
      <c r="O182" s="10" t="s">
        <v>1214</v>
      </c>
      <c r="P182" s="10" t="s">
        <v>1214</v>
      </c>
      <c r="Q182" s="10" t="s">
        <v>1214</v>
      </c>
      <c r="R182" s="10" t="s">
        <v>1214</v>
      </c>
      <c r="S182" s="10" t="s">
        <v>61</v>
      </c>
    </row>
    <row r="183" spans="1:19" ht="29" x14ac:dyDescent="0.35">
      <c r="A183" s="14">
        <v>46022</v>
      </c>
      <c r="B183" s="10" t="s">
        <v>386</v>
      </c>
      <c r="C183" s="10" t="s">
        <v>387</v>
      </c>
      <c r="D183" s="10" t="s">
        <v>1042</v>
      </c>
      <c r="E183" s="10">
        <v>4347844</v>
      </c>
      <c r="F183" s="15">
        <v>100</v>
      </c>
      <c r="G183" s="10" t="s">
        <v>1357</v>
      </c>
      <c r="H183" s="10">
        <v>4347844</v>
      </c>
      <c r="I183" s="10" t="s">
        <v>1194</v>
      </c>
      <c r="J183" s="10" t="s">
        <v>1214</v>
      </c>
      <c r="K183" s="10" t="s">
        <v>1214</v>
      </c>
      <c r="L183" s="10" t="s">
        <v>1214</v>
      </c>
      <c r="M183" s="10" t="s">
        <v>1214</v>
      </c>
      <c r="N183" s="10" t="s">
        <v>222</v>
      </c>
      <c r="O183" s="10" t="s">
        <v>1214</v>
      </c>
      <c r="P183" s="10" t="s">
        <v>1214</v>
      </c>
      <c r="Q183" s="10" t="s">
        <v>1214</v>
      </c>
      <c r="R183" s="10" t="s">
        <v>1214</v>
      </c>
      <c r="S183" s="10" t="s">
        <v>61</v>
      </c>
    </row>
    <row r="184" spans="1:19" ht="87" x14ac:dyDescent="0.35">
      <c r="A184" s="14">
        <v>46022</v>
      </c>
      <c r="B184" s="10" t="s">
        <v>732</v>
      </c>
      <c r="C184" s="10" t="s">
        <v>733</v>
      </c>
      <c r="D184" s="10" t="s">
        <v>963</v>
      </c>
      <c r="E184" s="10">
        <v>4004107</v>
      </c>
      <c r="F184" s="15">
        <v>48.76</v>
      </c>
      <c r="G184" s="10" t="s">
        <v>1358</v>
      </c>
      <c r="H184" s="10">
        <v>4557433</v>
      </c>
      <c r="I184" s="10">
        <v>4004107</v>
      </c>
      <c r="J184" s="10" t="s">
        <v>536</v>
      </c>
      <c r="K184" s="10" t="s">
        <v>536</v>
      </c>
      <c r="L184" s="10" t="s">
        <v>536</v>
      </c>
      <c r="M184" s="10" t="s">
        <v>536</v>
      </c>
      <c r="N184" s="10" t="s">
        <v>536</v>
      </c>
      <c r="O184" s="10" t="s">
        <v>1214</v>
      </c>
      <c r="P184" s="10" t="s">
        <v>1214</v>
      </c>
      <c r="Q184" s="10" t="s">
        <v>1214</v>
      </c>
      <c r="R184" s="10" t="s">
        <v>1214</v>
      </c>
      <c r="S184" s="10" t="s">
        <v>79</v>
      </c>
    </row>
    <row r="185" spans="1:19" ht="87" x14ac:dyDescent="0.35">
      <c r="A185" s="14">
        <v>46022</v>
      </c>
      <c r="B185" s="10" t="s">
        <v>732</v>
      </c>
      <c r="C185" s="10" t="s">
        <v>733</v>
      </c>
      <c r="D185" s="10" t="s">
        <v>1043</v>
      </c>
      <c r="E185" s="10">
        <v>4557433</v>
      </c>
      <c r="F185" s="15">
        <v>51.24</v>
      </c>
      <c r="G185" s="10" t="s">
        <v>1358</v>
      </c>
      <c r="H185" s="10">
        <v>4557433</v>
      </c>
      <c r="I185" s="10">
        <v>4004107</v>
      </c>
      <c r="J185" s="10" t="s">
        <v>536</v>
      </c>
      <c r="K185" s="10" t="s">
        <v>536</v>
      </c>
      <c r="L185" s="10" t="s">
        <v>536</v>
      </c>
      <c r="M185" s="10" t="s">
        <v>536</v>
      </c>
      <c r="N185" s="10" t="s">
        <v>536</v>
      </c>
      <c r="O185" s="10" t="s">
        <v>1214</v>
      </c>
      <c r="P185" s="10" t="s">
        <v>1214</v>
      </c>
      <c r="Q185" s="10" t="s">
        <v>1214</v>
      </c>
      <c r="R185" s="10" t="s">
        <v>1214</v>
      </c>
      <c r="S185" s="10" t="s">
        <v>79</v>
      </c>
    </row>
    <row r="186" spans="1:19" ht="29" x14ac:dyDescent="0.35">
      <c r="A186" s="14">
        <v>46022</v>
      </c>
      <c r="B186" s="10" t="s">
        <v>233</v>
      </c>
      <c r="C186" s="10" t="s">
        <v>234</v>
      </c>
      <c r="D186" s="10" t="s">
        <v>995</v>
      </c>
      <c r="E186" s="10">
        <v>4350215</v>
      </c>
      <c r="F186" s="15">
        <v>100</v>
      </c>
      <c r="G186" s="10" t="s">
        <v>1281</v>
      </c>
      <c r="H186" s="10">
        <v>4350215</v>
      </c>
      <c r="I186" s="10" t="s">
        <v>1194</v>
      </c>
      <c r="J186" s="10" t="s">
        <v>1214</v>
      </c>
      <c r="K186" s="10" t="s">
        <v>1214</v>
      </c>
      <c r="L186" s="10" t="s">
        <v>1214</v>
      </c>
      <c r="M186" s="10" t="s">
        <v>1214</v>
      </c>
      <c r="N186" s="10" t="s">
        <v>222</v>
      </c>
      <c r="O186" s="10" t="s">
        <v>1214</v>
      </c>
      <c r="P186" s="10" t="s">
        <v>1214</v>
      </c>
      <c r="Q186" s="10" t="s">
        <v>1214</v>
      </c>
      <c r="R186" s="10" t="s">
        <v>1214</v>
      </c>
      <c r="S186" s="10" t="s">
        <v>61</v>
      </c>
    </row>
    <row r="187" spans="1:19" ht="43.5" x14ac:dyDescent="0.35">
      <c r="A187" s="14">
        <v>46022</v>
      </c>
      <c r="B187" s="10" t="s">
        <v>734</v>
      </c>
      <c r="C187" s="10" t="s">
        <v>735</v>
      </c>
      <c r="D187" s="10" t="s">
        <v>1044</v>
      </c>
      <c r="E187" s="10">
        <v>10931228</v>
      </c>
      <c r="F187" s="15">
        <v>100</v>
      </c>
      <c r="G187" s="10" t="s">
        <v>1359</v>
      </c>
      <c r="H187" s="10">
        <v>10931228</v>
      </c>
      <c r="I187" s="10" t="s">
        <v>1194</v>
      </c>
      <c r="J187" s="10" t="s">
        <v>1214</v>
      </c>
      <c r="K187" s="10" t="s">
        <v>1214</v>
      </c>
      <c r="L187" s="10" t="s">
        <v>1214</v>
      </c>
      <c r="M187" s="10" t="s">
        <v>1214</v>
      </c>
      <c r="N187" s="10" t="s">
        <v>61</v>
      </c>
      <c r="O187" s="10" t="s">
        <v>1214</v>
      </c>
      <c r="P187" s="10" t="s">
        <v>1214</v>
      </c>
      <c r="Q187" s="10" t="s">
        <v>1214</v>
      </c>
      <c r="R187" s="10" t="s">
        <v>1214</v>
      </c>
      <c r="S187" s="10" t="s">
        <v>61</v>
      </c>
    </row>
    <row r="188" spans="1:19" ht="29" x14ac:dyDescent="0.35">
      <c r="A188" s="14">
        <v>46022</v>
      </c>
      <c r="B188" s="10" t="s">
        <v>388</v>
      </c>
      <c r="C188" s="10" t="s">
        <v>389</v>
      </c>
      <c r="D188" s="10" t="s">
        <v>1045</v>
      </c>
      <c r="E188" s="10">
        <v>4400798</v>
      </c>
      <c r="F188" s="15">
        <v>100</v>
      </c>
      <c r="G188" s="10" t="s">
        <v>1360</v>
      </c>
      <c r="H188" s="10">
        <v>4400798</v>
      </c>
      <c r="I188" s="10" t="s">
        <v>1194</v>
      </c>
      <c r="J188" s="10" t="s">
        <v>1214</v>
      </c>
      <c r="K188" s="10" t="s">
        <v>1214</v>
      </c>
      <c r="L188" s="10" t="s">
        <v>1214</v>
      </c>
      <c r="M188" s="10" t="s">
        <v>1214</v>
      </c>
      <c r="N188" s="10" t="s">
        <v>79</v>
      </c>
      <c r="O188" s="10" t="s">
        <v>1214</v>
      </c>
      <c r="P188" s="10" t="s">
        <v>1214</v>
      </c>
      <c r="Q188" s="10" t="s">
        <v>1214</v>
      </c>
      <c r="R188" s="10" t="s">
        <v>1214</v>
      </c>
      <c r="S188" s="10" t="s">
        <v>61</v>
      </c>
    </row>
    <row r="189" spans="1:19" ht="58" x14ac:dyDescent="0.35">
      <c r="A189" s="14">
        <v>46022</v>
      </c>
      <c r="B189" s="10" t="s">
        <v>284</v>
      </c>
      <c r="C189" s="10" t="s">
        <v>285</v>
      </c>
      <c r="D189" s="10" t="s">
        <v>1046</v>
      </c>
      <c r="E189" s="10">
        <v>10928331</v>
      </c>
      <c r="F189" s="15">
        <v>100</v>
      </c>
      <c r="G189" s="10" t="s">
        <v>1361</v>
      </c>
      <c r="H189" s="10">
        <v>10928331</v>
      </c>
      <c r="I189" s="10" t="s">
        <v>1194</v>
      </c>
      <c r="J189" s="10" t="s">
        <v>1214</v>
      </c>
      <c r="K189" s="10" t="s">
        <v>1214</v>
      </c>
      <c r="L189" s="10" t="s">
        <v>1214</v>
      </c>
      <c r="M189" s="10" t="s">
        <v>1214</v>
      </c>
      <c r="N189" s="10" t="s">
        <v>61</v>
      </c>
      <c r="O189" s="10" t="s">
        <v>1214</v>
      </c>
      <c r="P189" s="10" t="s">
        <v>1214</v>
      </c>
      <c r="Q189" s="10" t="s">
        <v>1214</v>
      </c>
      <c r="R189" s="10" t="s">
        <v>1214</v>
      </c>
      <c r="S189" s="10" t="s">
        <v>61</v>
      </c>
    </row>
    <row r="190" spans="1:19" ht="29" x14ac:dyDescent="0.35">
      <c r="A190" s="14">
        <v>46022</v>
      </c>
      <c r="B190" s="10" t="s">
        <v>236</v>
      </c>
      <c r="C190" s="10" t="s">
        <v>237</v>
      </c>
      <c r="D190" s="10" t="s">
        <v>950</v>
      </c>
      <c r="E190" s="10">
        <v>4141965</v>
      </c>
      <c r="F190" s="15">
        <v>100</v>
      </c>
      <c r="G190" s="10" t="s">
        <v>1362</v>
      </c>
      <c r="H190" s="10">
        <v>4141965</v>
      </c>
      <c r="I190" s="10" t="s">
        <v>1194</v>
      </c>
      <c r="J190" s="10" t="s">
        <v>1214</v>
      </c>
      <c r="K190" s="10" t="s">
        <v>1214</v>
      </c>
      <c r="L190" s="10" t="s">
        <v>1214</v>
      </c>
      <c r="M190" s="10" t="s">
        <v>1214</v>
      </c>
      <c r="N190" s="10" t="s">
        <v>222</v>
      </c>
      <c r="O190" s="10" t="s">
        <v>1214</v>
      </c>
      <c r="P190" s="10" t="s">
        <v>1214</v>
      </c>
      <c r="Q190" s="10" t="s">
        <v>1214</v>
      </c>
      <c r="R190" s="10" t="s">
        <v>1214</v>
      </c>
      <c r="S190" s="10" t="s">
        <v>61</v>
      </c>
    </row>
    <row r="191" spans="1:19" ht="43.5" x14ac:dyDescent="0.35">
      <c r="A191" s="14">
        <v>46022</v>
      </c>
      <c r="B191" s="10" t="s">
        <v>286</v>
      </c>
      <c r="C191" s="10" t="s">
        <v>287</v>
      </c>
      <c r="D191" s="10" t="s">
        <v>1047</v>
      </c>
      <c r="E191" s="10">
        <v>10930015</v>
      </c>
      <c r="F191" s="15">
        <v>100</v>
      </c>
      <c r="G191" s="10" t="s">
        <v>1363</v>
      </c>
      <c r="H191" s="10">
        <v>10930015</v>
      </c>
      <c r="I191" s="10" t="s">
        <v>1194</v>
      </c>
      <c r="J191" s="10" t="s">
        <v>1214</v>
      </c>
      <c r="K191" s="10" t="s">
        <v>1214</v>
      </c>
      <c r="L191" s="10" t="s">
        <v>1214</v>
      </c>
      <c r="M191" s="10" t="s">
        <v>1214</v>
      </c>
      <c r="N191" s="10" t="s">
        <v>61</v>
      </c>
      <c r="O191" s="10" t="s">
        <v>1214</v>
      </c>
      <c r="P191" s="10" t="s">
        <v>1214</v>
      </c>
      <c r="Q191" s="10" t="s">
        <v>1214</v>
      </c>
      <c r="R191" s="10" t="s">
        <v>1214</v>
      </c>
      <c r="S191" s="10" t="s">
        <v>61</v>
      </c>
    </row>
    <row r="192" spans="1:19" ht="72.5" x14ac:dyDescent="0.35">
      <c r="A192" s="14">
        <v>46022</v>
      </c>
      <c r="B192" s="10" t="s">
        <v>390</v>
      </c>
      <c r="C192" s="10" t="s">
        <v>391</v>
      </c>
      <c r="D192" s="10" t="s">
        <v>1001</v>
      </c>
      <c r="E192" s="10">
        <v>4349160</v>
      </c>
      <c r="F192" s="15">
        <v>67.5</v>
      </c>
      <c r="G192" s="10" t="s">
        <v>1364</v>
      </c>
      <c r="H192" s="10">
        <v>4349160</v>
      </c>
      <c r="I192" s="10">
        <v>4475609</v>
      </c>
      <c r="J192" s="10" t="s">
        <v>1292</v>
      </c>
      <c r="K192" s="10" t="s">
        <v>61</v>
      </c>
      <c r="L192" s="10" t="s">
        <v>1293</v>
      </c>
      <c r="M192" s="10" t="s">
        <v>1294</v>
      </c>
      <c r="N192" s="10" t="s">
        <v>61</v>
      </c>
      <c r="O192" s="10" t="s">
        <v>1214</v>
      </c>
      <c r="P192" s="10" t="s">
        <v>1214</v>
      </c>
      <c r="Q192" s="10" t="s">
        <v>1214</v>
      </c>
      <c r="R192" s="10" t="s">
        <v>1214</v>
      </c>
      <c r="S192" s="10" t="s">
        <v>122</v>
      </c>
    </row>
    <row r="193" spans="1:19" ht="72.5" x14ac:dyDescent="0.35">
      <c r="A193" s="14">
        <v>46022</v>
      </c>
      <c r="B193" s="10" t="s">
        <v>390</v>
      </c>
      <c r="C193" s="10" t="s">
        <v>391</v>
      </c>
      <c r="D193" s="10" t="s">
        <v>1048</v>
      </c>
      <c r="E193" s="10">
        <v>4475609</v>
      </c>
      <c r="F193" s="15">
        <v>32.5</v>
      </c>
      <c r="G193" s="10" t="s">
        <v>1364</v>
      </c>
      <c r="H193" s="10">
        <v>4349160</v>
      </c>
      <c r="I193" s="10">
        <v>4475609</v>
      </c>
      <c r="J193" s="10" t="s">
        <v>1292</v>
      </c>
      <c r="K193" s="10" t="s">
        <v>61</v>
      </c>
      <c r="L193" s="10" t="s">
        <v>1293</v>
      </c>
      <c r="M193" s="10" t="s">
        <v>1294</v>
      </c>
      <c r="N193" s="10" t="s">
        <v>61</v>
      </c>
      <c r="O193" s="10" t="s">
        <v>1214</v>
      </c>
      <c r="P193" s="10" t="s">
        <v>1214</v>
      </c>
      <c r="Q193" s="10" t="s">
        <v>1214</v>
      </c>
      <c r="R193" s="10" t="s">
        <v>1214</v>
      </c>
      <c r="S193" s="10" t="s">
        <v>122</v>
      </c>
    </row>
    <row r="194" spans="1:19" ht="29" x14ac:dyDescent="0.35">
      <c r="A194" s="14">
        <v>46022</v>
      </c>
      <c r="B194" s="10" t="s">
        <v>392</v>
      </c>
      <c r="C194" s="10" t="s">
        <v>393</v>
      </c>
      <c r="D194" s="10" t="s">
        <v>1049</v>
      </c>
      <c r="E194" s="10">
        <v>4353203</v>
      </c>
      <c r="F194" s="15">
        <v>100</v>
      </c>
      <c r="G194" s="10" t="s">
        <v>1365</v>
      </c>
      <c r="H194" s="10">
        <v>4353203</v>
      </c>
      <c r="I194" s="10" t="s">
        <v>1194</v>
      </c>
      <c r="J194" s="10" t="s">
        <v>1214</v>
      </c>
      <c r="K194" s="10" t="s">
        <v>1214</v>
      </c>
      <c r="L194" s="10" t="s">
        <v>1214</v>
      </c>
      <c r="M194" s="10" t="s">
        <v>1214</v>
      </c>
      <c r="N194" s="10" t="s">
        <v>222</v>
      </c>
      <c r="O194" s="10" t="s">
        <v>1214</v>
      </c>
      <c r="P194" s="10" t="s">
        <v>1214</v>
      </c>
      <c r="Q194" s="10" t="s">
        <v>1214</v>
      </c>
      <c r="R194" s="10" t="s">
        <v>1214</v>
      </c>
      <c r="S194" s="10" t="s">
        <v>61</v>
      </c>
    </row>
    <row r="195" spans="1:19" ht="29" x14ac:dyDescent="0.35">
      <c r="A195" s="14">
        <v>46022</v>
      </c>
      <c r="B195" s="10" t="s">
        <v>394</v>
      </c>
      <c r="C195" s="10" t="s">
        <v>395</v>
      </c>
      <c r="D195" s="10" t="s">
        <v>1050</v>
      </c>
      <c r="E195" s="10">
        <v>4673335</v>
      </c>
      <c r="F195" s="15">
        <v>100</v>
      </c>
      <c r="G195" s="10" t="s">
        <v>1366</v>
      </c>
      <c r="H195" s="10">
        <v>4673335</v>
      </c>
      <c r="I195" s="10" t="s">
        <v>1194</v>
      </c>
      <c r="J195" s="10" t="s">
        <v>1214</v>
      </c>
      <c r="K195" s="10" t="s">
        <v>1214</v>
      </c>
      <c r="L195" s="10" t="s">
        <v>1214</v>
      </c>
      <c r="M195" s="10" t="s">
        <v>1214</v>
      </c>
      <c r="N195" s="10" t="s">
        <v>61</v>
      </c>
      <c r="O195" s="10" t="s">
        <v>1214</v>
      </c>
      <c r="P195" s="10" t="s">
        <v>1214</v>
      </c>
      <c r="Q195" s="10" t="s">
        <v>1214</v>
      </c>
      <c r="R195" s="10" t="s">
        <v>1214</v>
      </c>
      <c r="S195" s="10" t="s">
        <v>61</v>
      </c>
    </row>
    <row r="196" spans="1:19" ht="43.5" x14ac:dyDescent="0.35">
      <c r="A196" s="14">
        <v>46022</v>
      </c>
      <c r="B196" s="10" t="s">
        <v>238</v>
      </c>
      <c r="C196" s="10" t="s">
        <v>239</v>
      </c>
      <c r="D196" s="10" t="s">
        <v>958</v>
      </c>
      <c r="E196" s="10">
        <v>4355642</v>
      </c>
      <c r="F196" s="15">
        <v>100</v>
      </c>
      <c r="G196" s="10" t="s">
        <v>1320</v>
      </c>
      <c r="H196" s="10">
        <v>4355642</v>
      </c>
      <c r="I196" s="10" t="s">
        <v>1194</v>
      </c>
      <c r="J196" s="10" t="s">
        <v>1214</v>
      </c>
      <c r="K196" s="10" t="s">
        <v>1214</v>
      </c>
      <c r="L196" s="10" t="s">
        <v>1214</v>
      </c>
      <c r="M196" s="10" t="s">
        <v>1214</v>
      </c>
      <c r="N196" s="10" t="s">
        <v>61</v>
      </c>
      <c r="O196" s="10" t="s">
        <v>1214</v>
      </c>
      <c r="P196" s="10" t="s">
        <v>1214</v>
      </c>
      <c r="Q196" s="10" t="s">
        <v>1214</v>
      </c>
      <c r="R196" s="10" t="s">
        <v>1214</v>
      </c>
      <c r="S196" s="10" t="s">
        <v>61</v>
      </c>
    </row>
    <row r="197" spans="1:19" ht="72.5" x14ac:dyDescent="0.35">
      <c r="A197" s="14">
        <v>46022</v>
      </c>
      <c r="B197" s="10" t="s">
        <v>736</v>
      </c>
      <c r="C197" s="10" t="s">
        <v>737</v>
      </c>
      <c r="D197" s="10" t="s">
        <v>1051</v>
      </c>
      <c r="E197" s="10">
        <v>4355346</v>
      </c>
      <c r="F197" s="15">
        <v>100</v>
      </c>
      <c r="G197" s="10" t="s">
        <v>1367</v>
      </c>
      <c r="H197" s="10">
        <v>4355346</v>
      </c>
      <c r="I197" s="10" t="s">
        <v>1194</v>
      </c>
      <c r="J197" s="10" t="s">
        <v>1368</v>
      </c>
      <c r="K197" s="10" t="s">
        <v>61</v>
      </c>
      <c r="L197" s="10" t="s">
        <v>1369</v>
      </c>
      <c r="M197" s="10" t="s">
        <v>61</v>
      </c>
      <c r="N197" s="10" t="s">
        <v>61</v>
      </c>
      <c r="O197" s="10" t="s">
        <v>1214</v>
      </c>
      <c r="P197" s="10" t="s">
        <v>1214</v>
      </c>
      <c r="Q197" s="10" t="s">
        <v>1214</v>
      </c>
      <c r="R197" s="10" t="s">
        <v>1214</v>
      </c>
      <c r="S197" s="10" t="s">
        <v>61</v>
      </c>
    </row>
    <row r="198" spans="1:19" ht="43.5" x14ac:dyDescent="0.35">
      <c r="A198" s="14">
        <v>46022</v>
      </c>
      <c r="B198" s="10" t="s">
        <v>288</v>
      </c>
      <c r="C198" s="10" t="s">
        <v>289</v>
      </c>
      <c r="D198" s="10" t="s">
        <v>1052</v>
      </c>
      <c r="E198" s="10">
        <v>10947692</v>
      </c>
      <c r="F198" s="15">
        <v>100</v>
      </c>
      <c r="G198" s="10" t="s">
        <v>1370</v>
      </c>
      <c r="H198" s="10">
        <v>10947692</v>
      </c>
      <c r="I198" s="10" t="s">
        <v>1194</v>
      </c>
      <c r="J198" s="10" t="s">
        <v>1214</v>
      </c>
      <c r="K198" s="10" t="s">
        <v>1214</v>
      </c>
      <c r="L198" s="10" t="s">
        <v>1214</v>
      </c>
      <c r="M198" s="10" t="s">
        <v>1214</v>
      </c>
      <c r="N198" s="10" t="s">
        <v>61</v>
      </c>
      <c r="O198" s="10" t="s">
        <v>1214</v>
      </c>
      <c r="P198" s="10" t="s">
        <v>1214</v>
      </c>
      <c r="Q198" s="10" t="s">
        <v>1214</v>
      </c>
      <c r="R198" s="10" t="s">
        <v>1214</v>
      </c>
      <c r="S198" s="10" t="s">
        <v>61</v>
      </c>
    </row>
    <row r="199" spans="1:19" ht="29" x14ac:dyDescent="0.35">
      <c r="A199" s="14">
        <v>46022</v>
      </c>
      <c r="B199" s="10" t="s">
        <v>290</v>
      </c>
      <c r="C199" s="10" t="s">
        <v>291</v>
      </c>
      <c r="D199" s="10" t="s">
        <v>980</v>
      </c>
      <c r="E199" s="10">
        <v>4354459</v>
      </c>
      <c r="F199" s="15">
        <v>100</v>
      </c>
      <c r="G199" s="10" t="s">
        <v>1298</v>
      </c>
      <c r="H199" s="10">
        <v>4354459</v>
      </c>
      <c r="I199" s="10" t="s">
        <v>1194</v>
      </c>
      <c r="J199" s="10" t="s">
        <v>1267</v>
      </c>
      <c r="K199" s="10" t="s">
        <v>111</v>
      </c>
      <c r="L199" s="10" t="s">
        <v>1268</v>
      </c>
      <c r="M199" s="10" t="s">
        <v>79</v>
      </c>
      <c r="N199" s="10" t="s">
        <v>79</v>
      </c>
      <c r="O199" s="10" t="s">
        <v>1214</v>
      </c>
      <c r="P199" s="10" t="s">
        <v>1214</v>
      </c>
      <c r="Q199" s="10" t="s">
        <v>1214</v>
      </c>
      <c r="R199" s="10" t="s">
        <v>1214</v>
      </c>
      <c r="S199" s="10" t="s">
        <v>61</v>
      </c>
    </row>
    <row r="200" spans="1:19" ht="72.5" x14ac:dyDescent="0.35">
      <c r="A200" s="14">
        <v>46022</v>
      </c>
      <c r="B200" s="10" t="s">
        <v>240</v>
      </c>
      <c r="C200" s="10" t="s">
        <v>241</v>
      </c>
      <c r="D200" s="10" t="s">
        <v>1053</v>
      </c>
      <c r="E200" s="10">
        <v>4351190</v>
      </c>
      <c r="F200" s="15">
        <v>87</v>
      </c>
      <c r="G200" s="10" t="s">
        <v>1371</v>
      </c>
      <c r="H200" s="10">
        <v>4351190</v>
      </c>
      <c r="I200" s="10">
        <v>4353456</v>
      </c>
      <c r="J200" s="10" t="s">
        <v>1214</v>
      </c>
      <c r="K200" s="10" t="s">
        <v>1214</v>
      </c>
      <c r="L200" s="10" t="s">
        <v>1214</v>
      </c>
      <c r="M200" s="10" t="s">
        <v>1214</v>
      </c>
      <c r="N200" s="10" t="s">
        <v>105</v>
      </c>
      <c r="O200" s="10" t="s">
        <v>1214</v>
      </c>
      <c r="P200" s="10" t="s">
        <v>1214</v>
      </c>
      <c r="Q200" s="10" t="s">
        <v>1214</v>
      </c>
      <c r="R200" s="10" t="s">
        <v>1214</v>
      </c>
      <c r="S200" s="10" t="s">
        <v>61</v>
      </c>
    </row>
    <row r="201" spans="1:19" ht="72.5" x14ac:dyDescent="0.35">
      <c r="A201" s="14">
        <v>46022</v>
      </c>
      <c r="B201" s="10" t="s">
        <v>240</v>
      </c>
      <c r="C201" s="10" t="s">
        <v>241</v>
      </c>
      <c r="D201" s="10" t="s">
        <v>962</v>
      </c>
      <c r="E201" s="10">
        <v>4353456</v>
      </c>
      <c r="F201" s="15">
        <v>13</v>
      </c>
      <c r="G201" s="10" t="s">
        <v>1371</v>
      </c>
      <c r="H201" s="10">
        <v>4351190</v>
      </c>
      <c r="I201" s="10">
        <v>4353456</v>
      </c>
      <c r="J201" s="10" t="s">
        <v>1214</v>
      </c>
      <c r="K201" s="10" t="s">
        <v>1214</v>
      </c>
      <c r="L201" s="10" t="s">
        <v>1214</v>
      </c>
      <c r="M201" s="10" t="s">
        <v>1214</v>
      </c>
      <c r="N201" s="10" t="s">
        <v>105</v>
      </c>
      <c r="O201" s="10" t="s">
        <v>1214</v>
      </c>
      <c r="P201" s="10" t="s">
        <v>1214</v>
      </c>
      <c r="Q201" s="10" t="s">
        <v>1214</v>
      </c>
      <c r="R201" s="10" t="s">
        <v>1214</v>
      </c>
      <c r="S201" s="10" t="s">
        <v>61</v>
      </c>
    </row>
    <row r="202" spans="1:19" ht="43.5" x14ac:dyDescent="0.35">
      <c r="A202" s="14">
        <v>46022</v>
      </c>
      <c r="B202" s="10" t="s">
        <v>738</v>
      </c>
      <c r="C202" s="10" t="s">
        <v>739</v>
      </c>
      <c r="D202" s="10" t="s">
        <v>1053</v>
      </c>
      <c r="E202" s="10">
        <v>4351190</v>
      </c>
      <c r="F202" s="15">
        <v>100</v>
      </c>
      <c r="G202" s="10" t="s">
        <v>1372</v>
      </c>
      <c r="H202" s="10">
        <v>4351190</v>
      </c>
      <c r="I202" s="10" t="s">
        <v>1194</v>
      </c>
      <c r="J202" s="10" t="s">
        <v>1214</v>
      </c>
      <c r="K202" s="10" t="s">
        <v>1214</v>
      </c>
      <c r="L202" s="10" t="s">
        <v>1214</v>
      </c>
      <c r="M202" s="10" t="s">
        <v>1214</v>
      </c>
      <c r="N202" s="10" t="s">
        <v>105</v>
      </c>
      <c r="O202" s="10" t="s">
        <v>1214</v>
      </c>
      <c r="P202" s="10" t="s">
        <v>1214</v>
      </c>
      <c r="Q202" s="10" t="s">
        <v>1214</v>
      </c>
      <c r="R202" s="10" t="s">
        <v>1214</v>
      </c>
      <c r="S202" s="10" t="s">
        <v>61</v>
      </c>
    </row>
    <row r="203" spans="1:19" ht="101.5" x14ac:dyDescent="0.35">
      <c r="A203" s="14">
        <v>46022</v>
      </c>
      <c r="B203" s="10" t="s">
        <v>396</v>
      </c>
      <c r="C203" s="10" t="s">
        <v>397</v>
      </c>
      <c r="D203" s="10" t="s">
        <v>981</v>
      </c>
      <c r="E203" s="10">
        <v>4120225</v>
      </c>
      <c r="F203" s="15">
        <v>50</v>
      </c>
      <c r="G203" s="10" t="s">
        <v>1373</v>
      </c>
      <c r="H203" s="10">
        <v>4120225</v>
      </c>
      <c r="I203" s="10">
        <v>4351955</v>
      </c>
      <c r="J203" s="10" t="s">
        <v>1214</v>
      </c>
      <c r="K203" s="10" t="s">
        <v>1214</v>
      </c>
      <c r="L203" s="10" t="s">
        <v>1214</v>
      </c>
      <c r="M203" s="10" t="s">
        <v>1214</v>
      </c>
      <c r="N203" s="10" t="s">
        <v>222</v>
      </c>
      <c r="O203" s="10" t="s">
        <v>398</v>
      </c>
      <c r="P203" s="10" t="s">
        <v>398</v>
      </c>
      <c r="Q203" s="10" t="s">
        <v>1374</v>
      </c>
      <c r="R203" s="10" t="s">
        <v>398</v>
      </c>
      <c r="S203" s="10" t="s">
        <v>398</v>
      </c>
    </row>
    <row r="204" spans="1:19" ht="101.5" x14ac:dyDescent="0.35">
      <c r="A204" s="14">
        <v>46022</v>
      </c>
      <c r="B204" s="10" t="s">
        <v>396</v>
      </c>
      <c r="C204" s="10" t="s">
        <v>397</v>
      </c>
      <c r="D204" s="10" t="s">
        <v>1054</v>
      </c>
      <c r="E204" s="10">
        <v>4351955</v>
      </c>
      <c r="F204" s="15">
        <v>50</v>
      </c>
      <c r="G204" s="10" t="s">
        <v>1373</v>
      </c>
      <c r="H204" s="10">
        <v>4120225</v>
      </c>
      <c r="I204" s="10">
        <v>4351955</v>
      </c>
      <c r="J204" s="10" t="s">
        <v>1214</v>
      </c>
      <c r="K204" s="10" t="s">
        <v>1214</v>
      </c>
      <c r="L204" s="10" t="s">
        <v>1214</v>
      </c>
      <c r="M204" s="10" t="s">
        <v>1214</v>
      </c>
      <c r="N204" s="10" t="s">
        <v>222</v>
      </c>
      <c r="O204" s="10" t="s">
        <v>398</v>
      </c>
      <c r="P204" s="10" t="s">
        <v>398</v>
      </c>
      <c r="Q204" s="10" t="s">
        <v>1374</v>
      </c>
      <c r="R204" s="10" t="s">
        <v>398</v>
      </c>
      <c r="S204" s="10" t="s">
        <v>398</v>
      </c>
    </row>
    <row r="205" spans="1:19" ht="72.5" x14ac:dyDescent="0.35">
      <c r="A205" s="14">
        <v>46022</v>
      </c>
      <c r="B205" s="10" t="s">
        <v>292</v>
      </c>
      <c r="C205" s="10" t="s">
        <v>293</v>
      </c>
      <c r="D205" s="10" t="s">
        <v>1055</v>
      </c>
      <c r="E205" s="10">
        <v>4349139</v>
      </c>
      <c r="F205" s="15">
        <v>100</v>
      </c>
      <c r="G205" s="10" t="s">
        <v>1375</v>
      </c>
      <c r="H205" s="10">
        <v>4349139</v>
      </c>
      <c r="I205" s="10" t="s">
        <v>1194</v>
      </c>
      <c r="J205" s="10" t="s">
        <v>1292</v>
      </c>
      <c r="K205" s="10" t="s">
        <v>61</v>
      </c>
      <c r="L205" s="10" t="s">
        <v>1376</v>
      </c>
      <c r="M205" s="10" t="s">
        <v>1252</v>
      </c>
      <c r="N205" s="10" t="s">
        <v>222</v>
      </c>
      <c r="O205" s="10" t="s">
        <v>1214</v>
      </c>
      <c r="P205" s="10" t="s">
        <v>1214</v>
      </c>
      <c r="Q205" s="10" t="s">
        <v>1214</v>
      </c>
      <c r="R205" s="10" t="s">
        <v>1214</v>
      </c>
      <c r="S205" s="10" t="s">
        <v>61</v>
      </c>
    </row>
    <row r="206" spans="1:19" ht="72.5" x14ac:dyDescent="0.35">
      <c r="A206" s="14">
        <v>46022</v>
      </c>
      <c r="B206" s="10" t="s">
        <v>294</v>
      </c>
      <c r="C206" s="10" t="s">
        <v>295</v>
      </c>
      <c r="D206" s="10" t="s">
        <v>1056</v>
      </c>
      <c r="E206" s="10">
        <v>4355632</v>
      </c>
      <c r="F206" s="15">
        <v>55</v>
      </c>
      <c r="G206" s="10" t="s">
        <v>1377</v>
      </c>
      <c r="H206" s="10">
        <v>4355632</v>
      </c>
      <c r="I206" s="10">
        <v>4400798</v>
      </c>
      <c r="J206" s="10" t="s">
        <v>1292</v>
      </c>
      <c r="K206" s="10" t="s">
        <v>61</v>
      </c>
      <c r="L206" s="10" t="s">
        <v>1378</v>
      </c>
      <c r="M206" s="10" t="s">
        <v>61</v>
      </c>
      <c r="N206" s="10" t="s">
        <v>61</v>
      </c>
      <c r="O206" s="10" t="s">
        <v>1214</v>
      </c>
      <c r="P206" s="10" t="s">
        <v>1214</v>
      </c>
      <c r="Q206" s="10" t="s">
        <v>1214</v>
      </c>
      <c r="R206" s="10" t="s">
        <v>1214</v>
      </c>
      <c r="S206" s="10" t="s">
        <v>79</v>
      </c>
    </row>
    <row r="207" spans="1:19" ht="72.5" x14ac:dyDescent="0.35">
      <c r="A207" s="14">
        <v>46022</v>
      </c>
      <c r="B207" s="10" t="s">
        <v>242</v>
      </c>
      <c r="C207" s="10" t="s">
        <v>243</v>
      </c>
      <c r="D207" s="10" t="s">
        <v>1057</v>
      </c>
      <c r="E207" s="10">
        <v>4351437</v>
      </c>
      <c r="F207" s="15">
        <v>100</v>
      </c>
      <c r="G207" s="10" t="s">
        <v>1379</v>
      </c>
      <c r="H207" s="10">
        <v>4351437</v>
      </c>
      <c r="I207" s="10" t="s">
        <v>1194</v>
      </c>
      <c r="J207" s="10" t="s">
        <v>1380</v>
      </c>
      <c r="K207" s="10" t="s">
        <v>61</v>
      </c>
      <c r="L207" s="10" t="s">
        <v>1380</v>
      </c>
      <c r="M207" s="10" t="s">
        <v>61</v>
      </c>
      <c r="N207" s="10" t="s">
        <v>61</v>
      </c>
      <c r="O207" s="10" t="s">
        <v>1214</v>
      </c>
      <c r="P207" s="10" t="s">
        <v>1214</v>
      </c>
      <c r="Q207" s="10" t="s">
        <v>1214</v>
      </c>
      <c r="R207" s="10" t="s">
        <v>1214</v>
      </c>
      <c r="S207" s="10" t="s">
        <v>61</v>
      </c>
    </row>
    <row r="208" spans="1:19" ht="29" x14ac:dyDescent="0.35">
      <c r="A208" s="14">
        <v>46022</v>
      </c>
      <c r="B208" s="10" t="s">
        <v>244</v>
      </c>
      <c r="C208" s="10" t="s">
        <v>245</v>
      </c>
      <c r="D208" s="10" t="s">
        <v>962</v>
      </c>
      <c r="E208" s="10">
        <v>4353456</v>
      </c>
      <c r="F208" s="15">
        <v>100</v>
      </c>
      <c r="G208" s="10" t="s">
        <v>1296</v>
      </c>
      <c r="H208" s="10">
        <v>4353456</v>
      </c>
      <c r="I208" s="10" t="s">
        <v>1194</v>
      </c>
      <c r="J208" s="10" t="s">
        <v>1214</v>
      </c>
      <c r="K208" s="10" t="s">
        <v>1214</v>
      </c>
      <c r="L208" s="10" t="s">
        <v>1214</v>
      </c>
      <c r="M208" s="10" t="s">
        <v>1214</v>
      </c>
      <c r="N208" s="10" t="s">
        <v>61</v>
      </c>
      <c r="O208" s="10" t="s">
        <v>1214</v>
      </c>
      <c r="P208" s="10" t="s">
        <v>1214</v>
      </c>
      <c r="Q208" s="10" t="s">
        <v>1214</v>
      </c>
      <c r="R208" s="10" t="s">
        <v>1214</v>
      </c>
      <c r="S208" s="10" t="s">
        <v>61</v>
      </c>
    </row>
    <row r="209" spans="1:19" ht="43.5" x14ac:dyDescent="0.35">
      <c r="A209" s="14">
        <v>46022</v>
      </c>
      <c r="B209" s="10" t="s">
        <v>740</v>
      </c>
      <c r="C209" s="10" t="s">
        <v>741</v>
      </c>
      <c r="D209" s="10" t="s">
        <v>1058</v>
      </c>
      <c r="E209" s="10">
        <v>10947965</v>
      </c>
      <c r="F209" s="15">
        <v>100</v>
      </c>
      <c r="G209" s="10" t="s">
        <v>1381</v>
      </c>
      <c r="H209" s="10">
        <v>10947965</v>
      </c>
      <c r="I209" s="10" t="s">
        <v>1194</v>
      </c>
      <c r="J209" s="10" t="s">
        <v>1214</v>
      </c>
      <c r="K209" s="10" t="s">
        <v>1214</v>
      </c>
      <c r="L209" s="10" t="s">
        <v>1214</v>
      </c>
      <c r="M209" s="10" t="s">
        <v>1214</v>
      </c>
      <c r="N209" s="10" t="s">
        <v>61</v>
      </c>
      <c r="O209" s="10" t="s">
        <v>1214</v>
      </c>
      <c r="P209" s="10" t="s">
        <v>1214</v>
      </c>
      <c r="Q209" s="10" t="s">
        <v>1214</v>
      </c>
      <c r="R209" s="10" t="s">
        <v>1214</v>
      </c>
      <c r="S209" s="10" t="s">
        <v>61</v>
      </c>
    </row>
    <row r="210" spans="1:19" ht="43.5" x14ac:dyDescent="0.35">
      <c r="A210" s="14">
        <v>46022</v>
      </c>
      <c r="B210" s="10" t="s">
        <v>430</v>
      </c>
      <c r="C210" s="10" t="s">
        <v>431</v>
      </c>
      <c r="D210" s="10" t="s">
        <v>1059</v>
      </c>
      <c r="E210" s="10">
        <v>10931001</v>
      </c>
      <c r="F210" s="15">
        <v>100</v>
      </c>
      <c r="G210" s="10" t="s">
        <v>1382</v>
      </c>
      <c r="H210" s="10">
        <v>10931001</v>
      </c>
      <c r="I210" s="10" t="s">
        <v>1194</v>
      </c>
      <c r="J210" s="10" t="s">
        <v>1214</v>
      </c>
      <c r="K210" s="10" t="s">
        <v>1214</v>
      </c>
      <c r="L210" s="10" t="s">
        <v>1214</v>
      </c>
      <c r="M210" s="10" t="s">
        <v>1214</v>
      </c>
      <c r="N210" s="10" t="s">
        <v>61</v>
      </c>
      <c r="O210" s="10" t="s">
        <v>1214</v>
      </c>
      <c r="P210" s="10" t="s">
        <v>1214</v>
      </c>
      <c r="Q210" s="10" t="s">
        <v>1214</v>
      </c>
      <c r="R210" s="10" t="s">
        <v>1214</v>
      </c>
      <c r="S210" s="10" t="s">
        <v>61</v>
      </c>
    </row>
    <row r="211" spans="1:19" ht="43.5" x14ac:dyDescent="0.35">
      <c r="A211" s="14">
        <v>46022</v>
      </c>
      <c r="B211" s="10" t="s">
        <v>432</v>
      </c>
      <c r="C211" s="10" t="s">
        <v>433</v>
      </c>
      <c r="D211" s="10" t="s">
        <v>1060</v>
      </c>
      <c r="E211" s="10">
        <v>10929924</v>
      </c>
      <c r="F211" s="15">
        <v>100</v>
      </c>
      <c r="G211" s="10" t="s">
        <v>1383</v>
      </c>
      <c r="H211" s="10">
        <v>10929924</v>
      </c>
      <c r="I211" s="10" t="s">
        <v>1194</v>
      </c>
      <c r="J211" s="10" t="s">
        <v>1214</v>
      </c>
      <c r="K211" s="10" t="s">
        <v>1214</v>
      </c>
      <c r="L211" s="10" t="s">
        <v>1214</v>
      </c>
      <c r="M211" s="10" t="s">
        <v>1214</v>
      </c>
      <c r="N211" s="10" t="s">
        <v>61</v>
      </c>
      <c r="O211" s="10" t="s">
        <v>1214</v>
      </c>
      <c r="P211" s="10" t="s">
        <v>1214</v>
      </c>
      <c r="Q211" s="10" t="s">
        <v>1214</v>
      </c>
      <c r="R211" s="10" t="s">
        <v>1214</v>
      </c>
      <c r="S211" s="10" t="s">
        <v>61</v>
      </c>
    </row>
    <row r="212" spans="1:19" ht="58" x14ac:dyDescent="0.35">
      <c r="A212" s="14">
        <v>46022</v>
      </c>
      <c r="B212" s="10" t="s">
        <v>246</v>
      </c>
      <c r="C212" s="10" t="s">
        <v>247</v>
      </c>
      <c r="D212" s="10" t="s">
        <v>1061</v>
      </c>
      <c r="E212" s="10">
        <v>10931172</v>
      </c>
      <c r="F212" s="15">
        <v>100</v>
      </c>
      <c r="G212" s="10" t="s">
        <v>1384</v>
      </c>
      <c r="H212" s="10">
        <v>10931172</v>
      </c>
      <c r="I212" s="10" t="s">
        <v>1194</v>
      </c>
      <c r="J212" s="10" t="s">
        <v>1214</v>
      </c>
      <c r="K212" s="10" t="s">
        <v>1214</v>
      </c>
      <c r="L212" s="10" t="s">
        <v>1214</v>
      </c>
      <c r="M212" s="10" t="s">
        <v>1214</v>
      </c>
      <c r="N212" s="10" t="s">
        <v>61</v>
      </c>
      <c r="O212" s="10" t="s">
        <v>1214</v>
      </c>
      <c r="P212" s="10" t="s">
        <v>1214</v>
      </c>
      <c r="Q212" s="10" t="s">
        <v>1214</v>
      </c>
      <c r="R212" s="10" t="s">
        <v>1214</v>
      </c>
      <c r="S212" s="10" t="s">
        <v>61</v>
      </c>
    </row>
    <row r="213" spans="1:19" ht="43.5" x14ac:dyDescent="0.35">
      <c r="A213" s="14">
        <v>46022</v>
      </c>
      <c r="B213" s="10" t="s">
        <v>296</v>
      </c>
      <c r="C213" s="10" t="s">
        <v>297</v>
      </c>
      <c r="D213" s="10" t="s">
        <v>1000</v>
      </c>
      <c r="E213" s="10">
        <v>4349204</v>
      </c>
      <c r="F213" s="15">
        <v>100</v>
      </c>
      <c r="G213" s="10" t="s">
        <v>1385</v>
      </c>
      <c r="H213" s="10">
        <v>4349204</v>
      </c>
      <c r="I213" s="10" t="s">
        <v>1194</v>
      </c>
      <c r="J213" s="10" t="s">
        <v>1214</v>
      </c>
      <c r="K213" s="10" t="s">
        <v>1214</v>
      </c>
      <c r="L213" s="10" t="s">
        <v>1214</v>
      </c>
      <c r="M213" s="10" t="s">
        <v>1214</v>
      </c>
      <c r="N213" s="10" t="s">
        <v>50</v>
      </c>
      <c r="O213" s="10" t="s">
        <v>1214</v>
      </c>
      <c r="P213" s="10" t="s">
        <v>1214</v>
      </c>
      <c r="Q213" s="10" t="s">
        <v>1214</v>
      </c>
      <c r="R213" s="10" t="s">
        <v>1214</v>
      </c>
      <c r="S213" s="10" t="s">
        <v>61</v>
      </c>
    </row>
    <row r="214" spans="1:19" ht="29" x14ac:dyDescent="0.35">
      <c r="A214" s="14">
        <v>46022</v>
      </c>
      <c r="B214" s="10" t="s">
        <v>248</v>
      </c>
      <c r="C214" s="10" t="s">
        <v>249</v>
      </c>
      <c r="D214" s="10" t="s">
        <v>1062</v>
      </c>
      <c r="E214" s="10">
        <v>4494844</v>
      </c>
      <c r="F214" s="15">
        <v>100</v>
      </c>
      <c r="G214" s="10" t="s">
        <v>1386</v>
      </c>
      <c r="H214" s="10">
        <v>4494844</v>
      </c>
      <c r="I214" s="10" t="s">
        <v>1194</v>
      </c>
      <c r="J214" s="10" t="s">
        <v>1214</v>
      </c>
      <c r="K214" s="10" t="s">
        <v>1214</v>
      </c>
      <c r="L214" s="10" t="s">
        <v>1214</v>
      </c>
      <c r="M214" s="10" t="s">
        <v>1214</v>
      </c>
      <c r="N214" s="10" t="s">
        <v>222</v>
      </c>
      <c r="O214" s="10" t="s">
        <v>1214</v>
      </c>
      <c r="P214" s="10" t="s">
        <v>1214</v>
      </c>
      <c r="Q214" s="10" t="s">
        <v>1214</v>
      </c>
      <c r="R214" s="10" t="s">
        <v>1214</v>
      </c>
      <c r="S214" s="10" t="s">
        <v>61</v>
      </c>
    </row>
    <row r="215" spans="1:19" ht="58" x14ac:dyDescent="0.35">
      <c r="A215" s="14">
        <v>46022</v>
      </c>
      <c r="B215" s="10" t="s">
        <v>434</v>
      </c>
      <c r="C215" s="10" t="s">
        <v>435</v>
      </c>
      <c r="D215" s="10" t="s">
        <v>941</v>
      </c>
      <c r="E215" s="10">
        <v>4355482</v>
      </c>
      <c r="F215" s="15">
        <v>100</v>
      </c>
      <c r="G215" s="10" t="s">
        <v>1220</v>
      </c>
      <c r="H215" s="10">
        <v>4355482</v>
      </c>
      <c r="I215" s="10" t="s">
        <v>1194</v>
      </c>
      <c r="J215" s="10" t="s">
        <v>1221</v>
      </c>
      <c r="K215" s="10" t="s">
        <v>61</v>
      </c>
      <c r="L215" s="10" t="s">
        <v>1221</v>
      </c>
      <c r="M215" s="10" t="s">
        <v>61</v>
      </c>
      <c r="N215" s="10" t="s">
        <v>61</v>
      </c>
      <c r="O215" s="10" t="s">
        <v>1214</v>
      </c>
      <c r="P215" s="10" t="s">
        <v>1214</v>
      </c>
      <c r="Q215" s="10" t="s">
        <v>1214</v>
      </c>
      <c r="R215" s="10" t="s">
        <v>1214</v>
      </c>
      <c r="S215" s="10" t="s">
        <v>61</v>
      </c>
    </row>
    <row r="216" spans="1:19" ht="174" x14ac:dyDescent="0.35">
      <c r="A216" s="14">
        <v>46022</v>
      </c>
      <c r="B216" s="10" t="s">
        <v>251</v>
      </c>
      <c r="C216" s="10" t="s">
        <v>252</v>
      </c>
      <c r="D216" s="10" t="s">
        <v>1063</v>
      </c>
      <c r="E216" s="10">
        <v>4649760</v>
      </c>
      <c r="F216" s="15">
        <v>85</v>
      </c>
      <c r="G216" s="10" t="s">
        <v>1387</v>
      </c>
      <c r="H216" s="10">
        <v>4649760</v>
      </c>
      <c r="I216" s="10">
        <v>4567062</v>
      </c>
      <c r="J216" s="10" t="s">
        <v>1214</v>
      </c>
      <c r="K216" s="10" t="s">
        <v>1214</v>
      </c>
      <c r="L216" s="10" t="s">
        <v>1214</v>
      </c>
      <c r="M216" s="10" t="s">
        <v>1214</v>
      </c>
      <c r="N216" s="10" t="s">
        <v>61</v>
      </c>
      <c r="O216" s="10" t="s">
        <v>1214</v>
      </c>
      <c r="P216" s="10" t="s">
        <v>1214</v>
      </c>
      <c r="Q216" s="10" t="s">
        <v>1214</v>
      </c>
      <c r="R216" s="10" t="s">
        <v>1214</v>
      </c>
      <c r="S216" s="10" t="s">
        <v>213</v>
      </c>
    </row>
    <row r="217" spans="1:19" ht="174" x14ac:dyDescent="0.35">
      <c r="A217" s="14">
        <v>46022</v>
      </c>
      <c r="B217" s="10" t="s">
        <v>251</v>
      </c>
      <c r="C217" s="10" t="s">
        <v>252</v>
      </c>
      <c r="D217" s="10" t="s">
        <v>213</v>
      </c>
      <c r="E217" s="10">
        <v>4350734</v>
      </c>
      <c r="F217" s="15">
        <v>5</v>
      </c>
      <c r="G217" s="10" t="s">
        <v>1387</v>
      </c>
      <c r="H217" s="10">
        <v>4649760</v>
      </c>
      <c r="I217" s="10">
        <v>4567062</v>
      </c>
      <c r="J217" s="10" t="s">
        <v>1214</v>
      </c>
      <c r="K217" s="10" t="s">
        <v>1214</v>
      </c>
      <c r="L217" s="10" t="s">
        <v>1214</v>
      </c>
      <c r="M217" s="10" t="s">
        <v>1214</v>
      </c>
      <c r="N217" s="10" t="s">
        <v>61</v>
      </c>
      <c r="O217" s="10" t="s">
        <v>1214</v>
      </c>
      <c r="P217" s="10" t="s">
        <v>1214</v>
      </c>
      <c r="Q217" s="10" t="s">
        <v>1214</v>
      </c>
      <c r="R217" s="10" t="s">
        <v>1214</v>
      </c>
      <c r="S217" s="10" t="s">
        <v>213</v>
      </c>
    </row>
    <row r="218" spans="1:19" ht="174" x14ac:dyDescent="0.35">
      <c r="A218" s="14">
        <v>46022</v>
      </c>
      <c r="B218" s="10" t="s">
        <v>251</v>
      </c>
      <c r="C218" s="10" t="s">
        <v>252</v>
      </c>
      <c r="D218" s="10" t="s">
        <v>1064</v>
      </c>
      <c r="E218" s="10">
        <v>4567062</v>
      </c>
      <c r="F218" s="15">
        <v>10</v>
      </c>
      <c r="G218" s="10" t="s">
        <v>1387</v>
      </c>
      <c r="H218" s="10">
        <v>4649760</v>
      </c>
      <c r="I218" s="10">
        <v>4567062</v>
      </c>
      <c r="J218" s="10" t="s">
        <v>1214</v>
      </c>
      <c r="K218" s="10" t="s">
        <v>1214</v>
      </c>
      <c r="L218" s="10" t="s">
        <v>1214</v>
      </c>
      <c r="M218" s="10" t="s">
        <v>1214</v>
      </c>
      <c r="N218" s="10" t="s">
        <v>61</v>
      </c>
      <c r="O218" s="10" t="s">
        <v>1214</v>
      </c>
      <c r="P218" s="10" t="s">
        <v>1214</v>
      </c>
      <c r="Q218" s="10" t="s">
        <v>1214</v>
      </c>
      <c r="R218" s="10" t="s">
        <v>1214</v>
      </c>
      <c r="S218" s="10" t="s">
        <v>213</v>
      </c>
    </row>
    <row r="219" spans="1:19" ht="145" x14ac:dyDescent="0.35">
      <c r="A219" s="14">
        <v>46022</v>
      </c>
      <c r="B219" s="10" t="s">
        <v>742</v>
      </c>
      <c r="C219" s="10" t="s">
        <v>743</v>
      </c>
      <c r="D219" s="10" t="s">
        <v>1065</v>
      </c>
      <c r="E219" s="10">
        <v>4591875</v>
      </c>
      <c r="F219" s="15">
        <v>0.8</v>
      </c>
      <c r="G219" s="10" t="s">
        <v>1388</v>
      </c>
      <c r="H219" s="10">
        <v>4351368</v>
      </c>
      <c r="I219" s="10">
        <v>4355642</v>
      </c>
      <c r="J219" s="10" t="s">
        <v>1214</v>
      </c>
      <c r="K219" s="10" t="s">
        <v>1214</v>
      </c>
      <c r="L219" s="10" t="s">
        <v>1214</v>
      </c>
      <c r="M219" s="10" t="s">
        <v>1214</v>
      </c>
      <c r="N219" s="10" t="s">
        <v>222</v>
      </c>
      <c r="O219" s="10" t="s">
        <v>1214</v>
      </c>
      <c r="P219" s="10" t="s">
        <v>1214</v>
      </c>
      <c r="Q219" s="10" t="s">
        <v>1214</v>
      </c>
      <c r="R219" s="10" t="s">
        <v>1214</v>
      </c>
      <c r="S219" s="10" t="s">
        <v>61</v>
      </c>
    </row>
    <row r="220" spans="1:19" ht="145" x14ac:dyDescent="0.35">
      <c r="A220" s="14">
        <v>46022</v>
      </c>
      <c r="B220" s="10" t="s">
        <v>742</v>
      </c>
      <c r="C220" s="10" t="s">
        <v>743</v>
      </c>
      <c r="D220" s="10" t="s">
        <v>213</v>
      </c>
      <c r="E220" s="10">
        <v>4350734</v>
      </c>
      <c r="F220" s="15">
        <v>20</v>
      </c>
      <c r="G220" s="10" t="s">
        <v>1388</v>
      </c>
      <c r="H220" s="10">
        <v>4351368</v>
      </c>
      <c r="I220" s="10">
        <v>4355642</v>
      </c>
      <c r="J220" s="10" t="s">
        <v>1214</v>
      </c>
      <c r="K220" s="10" t="s">
        <v>1214</v>
      </c>
      <c r="L220" s="10" t="s">
        <v>1214</v>
      </c>
      <c r="M220" s="10" t="s">
        <v>1214</v>
      </c>
      <c r="N220" s="10" t="s">
        <v>222</v>
      </c>
      <c r="O220" s="10" t="s">
        <v>1214</v>
      </c>
      <c r="P220" s="10" t="s">
        <v>1214</v>
      </c>
      <c r="Q220" s="10" t="s">
        <v>1214</v>
      </c>
      <c r="R220" s="10" t="s">
        <v>1214</v>
      </c>
      <c r="S220" s="10" t="s">
        <v>61</v>
      </c>
    </row>
    <row r="221" spans="1:19" ht="145" x14ac:dyDescent="0.35">
      <c r="A221" s="14">
        <v>46022</v>
      </c>
      <c r="B221" s="10" t="s">
        <v>742</v>
      </c>
      <c r="C221" s="10" t="s">
        <v>743</v>
      </c>
      <c r="D221" s="10" t="s">
        <v>1066</v>
      </c>
      <c r="E221" s="10">
        <v>4351368</v>
      </c>
      <c r="F221" s="15">
        <v>39.6</v>
      </c>
      <c r="G221" s="10" t="s">
        <v>1388</v>
      </c>
      <c r="H221" s="10">
        <v>4351368</v>
      </c>
      <c r="I221" s="10">
        <v>4355642</v>
      </c>
      <c r="J221" s="10" t="s">
        <v>1214</v>
      </c>
      <c r="K221" s="10" t="s">
        <v>1214</v>
      </c>
      <c r="L221" s="10" t="s">
        <v>1214</v>
      </c>
      <c r="M221" s="10" t="s">
        <v>1214</v>
      </c>
      <c r="N221" s="10" t="s">
        <v>222</v>
      </c>
      <c r="O221" s="10" t="s">
        <v>1214</v>
      </c>
      <c r="P221" s="10" t="s">
        <v>1214</v>
      </c>
      <c r="Q221" s="10" t="s">
        <v>1214</v>
      </c>
      <c r="R221" s="10" t="s">
        <v>1214</v>
      </c>
      <c r="S221" s="10" t="s">
        <v>61</v>
      </c>
    </row>
    <row r="222" spans="1:19" ht="145" x14ac:dyDescent="0.35">
      <c r="A222" s="14">
        <v>46022</v>
      </c>
      <c r="B222" s="10" t="s">
        <v>742</v>
      </c>
      <c r="C222" s="10" t="s">
        <v>743</v>
      </c>
      <c r="D222" s="10" t="s">
        <v>958</v>
      </c>
      <c r="E222" s="10">
        <v>4355642</v>
      </c>
      <c r="F222" s="15">
        <v>39.6</v>
      </c>
      <c r="G222" s="10" t="s">
        <v>1388</v>
      </c>
      <c r="H222" s="10">
        <v>4351368</v>
      </c>
      <c r="I222" s="10">
        <v>4355642</v>
      </c>
      <c r="J222" s="10" t="s">
        <v>1214</v>
      </c>
      <c r="K222" s="10" t="s">
        <v>1214</v>
      </c>
      <c r="L222" s="10" t="s">
        <v>1214</v>
      </c>
      <c r="M222" s="10" t="s">
        <v>1214</v>
      </c>
      <c r="N222" s="10" t="s">
        <v>222</v>
      </c>
      <c r="O222" s="10" t="s">
        <v>1214</v>
      </c>
      <c r="P222" s="10" t="s">
        <v>1214</v>
      </c>
      <c r="Q222" s="10" t="s">
        <v>1214</v>
      </c>
      <c r="R222" s="10" t="s">
        <v>1214</v>
      </c>
      <c r="S222" s="10" t="s">
        <v>61</v>
      </c>
    </row>
    <row r="223" spans="1:19" ht="43.5" x14ac:dyDescent="0.35">
      <c r="A223" s="14">
        <v>46022</v>
      </c>
      <c r="B223" s="10" t="s">
        <v>326</v>
      </c>
      <c r="C223" s="10" t="s">
        <v>327</v>
      </c>
      <c r="D223" s="10" t="s">
        <v>213</v>
      </c>
      <c r="E223" s="10">
        <v>4350734</v>
      </c>
      <c r="F223" s="15">
        <v>25</v>
      </c>
      <c r="G223" s="10" t="s">
        <v>1389</v>
      </c>
      <c r="H223" s="10">
        <v>4113732</v>
      </c>
      <c r="I223" s="10">
        <v>4350734</v>
      </c>
      <c r="J223" s="10" t="s">
        <v>1214</v>
      </c>
      <c r="K223" s="10" t="s">
        <v>1214</v>
      </c>
      <c r="L223" s="10" t="s">
        <v>1214</v>
      </c>
      <c r="M223" s="10" t="s">
        <v>1214</v>
      </c>
      <c r="N223" s="10" t="s">
        <v>1228</v>
      </c>
      <c r="O223" s="10" t="s">
        <v>1214</v>
      </c>
      <c r="P223" s="10" t="s">
        <v>1214</v>
      </c>
      <c r="Q223" s="10" t="s">
        <v>1214</v>
      </c>
      <c r="R223" s="10" t="s">
        <v>1214</v>
      </c>
      <c r="S223" s="10" t="s">
        <v>213</v>
      </c>
    </row>
    <row r="224" spans="1:19" ht="43.5" x14ac:dyDescent="0.35">
      <c r="A224" s="14">
        <v>46022</v>
      </c>
      <c r="B224" s="10" t="s">
        <v>326</v>
      </c>
      <c r="C224" s="10" t="s">
        <v>327</v>
      </c>
      <c r="D224" s="10" t="s">
        <v>948</v>
      </c>
      <c r="E224" s="10">
        <v>4113732</v>
      </c>
      <c r="F224" s="15">
        <v>75</v>
      </c>
      <c r="G224" s="10" t="s">
        <v>1389</v>
      </c>
      <c r="H224" s="10">
        <v>4113732</v>
      </c>
      <c r="I224" s="10">
        <v>4350734</v>
      </c>
      <c r="J224" s="10" t="s">
        <v>1214</v>
      </c>
      <c r="K224" s="10" t="s">
        <v>1214</v>
      </c>
      <c r="L224" s="10" t="s">
        <v>1214</v>
      </c>
      <c r="M224" s="10" t="s">
        <v>1214</v>
      </c>
      <c r="N224" s="10" t="s">
        <v>1228</v>
      </c>
      <c r="O224" s="10" t="s">
        <v>1214</v>
      </c>
      <c r="P224" s="10" t="s">
        <v>1214</v>
      </c>
      <c r="Q224" s="10" t="s">
        <v>1214</v>
      </c>
      <c r="R224" s="10" t="s">
        <v>1214</v>
      </c>
      <c r="S224" s="10" t="s">
        <v>213</v>
      </c>
    </row>
    <row r="225" spans="1:19" ht="29" x14ac:dyDescent="0.35">
      <c r="A225" s="14">
        <v>46022</v>
      </c>
      <c r="B225" s="10" t="s">
        <v>328</v>
      </c>
      <c r="C225" s="10" t="s">
        <v>329</v>
      </c>
      <c r="D225" s="10" t="s">
        <v>1067</v>
      </c>
      <c r="E225" s="10">
        <v>4351054</v>
      </c>
      <c r="F225" s="15">
        <v>100</v>
      </c>
      <c r="G225" s="10" t="s">
        <v>1390</v>
      </c>
      <c r="H225" s="10">
        <v>4351054</v>
      </c>
      <c r="I225" s="10" t="s">
        <v>1194</v>
      </c>
      <c r="J225" s="10" t="s">
        <v>1214</v>
      </c>
      <c r="K225" s="10" t="s">
        <v>1214</v>
      </c>
      <c r="L225" s="10" t="s">
        <v>1214</v>
      </c>
      <c r="M225" s="10" t="s">
        <v>1214</v>
      </c>
      <c r="N225" s="10" t="s">
        <v>89</v>
      </c>
      <c r="O225" s="10" t="s">
        <v>1214</v>
      </c>
      <c r="P225" s="10" t="s">
        <v>1214</v>
      </c>
      <c r="Q225" s="10" t="s">
        <v>1214</v>
      </c>
      <c r="R225" s="10" t="s">
        <v>1214</v>
      </c>
      <c r="S225" s="10" t="s">
        <v>61</v>
      </c>
    </row>
    <row r="226" spans="1:19" ht="101.5" x14ac:dyDescent="0.35">
      <c r="A226" s="14">
        <v>46022</v>
      </c>
      <c r="B226" s="10" t="s">
        <v>744</v>
      </c>
      <c r="C226" s="10" t="s">
        <v>745</v>
      </c>
      <c r="D226" s="10" t="s">
        <v>995</v>
      </c>
      <c r="E226" s="10">
        <v>4350215</v>
      </c>
      <c r="F226" s="15">
        <v>80</v>
      </c>
      <c r="G226" s="10" t="s">
        <v>1391</v>
      </c>
      <c r="H226" s="10">
        <v>4350215</v>
      </c>
      <c r="I226" s="10">
        <v>4355602</v>
      </c>
      <c r="J226" s="10" t="s">
        <v>1214</v>
      </c>
      <c r="K226" s="10" t="s">
        <v>1214</v>
      </c>
      <c r="L226" s="10" t="s">
        <v>1214</v>
      </c>
      <c r="M226" s="10" t="s">
        <v>1214</v>
      </c>
      <c r="N226" s="10" t="s">
        <v>222</v>
      </c>
      <c r="O226" s="10" t="s">
        <v>1295</v>
      </c>
      <c r="P226" s="10" t="s">
        <v>122</v>
      </c>
      <c r="Q226" s="10" t="s">
        <v>1295</v>
      </c>
      <c r="R226" s="10" t="s">
        <v>122</v>
      </c>
      <c r="S226" s="10" t="s">
        <v>122</v>
      </c>
    </row>
    <row r="227" spans="1:19" ht="101.5" x14ac:dyDescent="0.35">
      <c r="A227" s="14">
        <v>46022</v>
      </c>
      <c r="B227" s="10" t="s">
        <v>744</v>
      </c>
      <c r="C227" s="10" t="s">
        <v>745</v>
      </c>
      <c r="D227" s="10" t="s">
        <v>1002</v>
      </c>
      <c r="E227" s="10">
        <v>4355602</v>
      </c>
      <c r="F227" s="15">
        <v>20</v>
      </c>
      <c r="G227" s="10" t="s">
        <v>1391</v>
      </c>
      <c r="H227" s="10">
        <v>4350215</v>
      </c>
      <c r="I227" s="10">
        <v>4355602</v>
      </c>
      <c r="J227" s="10" t="s">
        <v>1214</v>
      </c>
      <c r="K227" s="10" t="s">
        <v>1214</v>
      </c>
      <c r="L227" s="10" t="s">
        <v>1214</v>
      </c>
      <c r="M227" s="10" t="s">
        <v>1214</v>
      </c>
      <c r="N227" s="10" t="s">
        <v>222</v>
      </c>
      <c r="O227" s="10" t="s">
        <v>1295</v>
      </c>
      <c r="P227" s="10" t="s">
        <v>122</v>
      </c>
      <c r="Q227" s="10" t="s">
        <v>1295</v>
      </c>
      <c r="R227" s="10" t="s">
        <v>122</v>
      </c>
      <c r="S227" s="10" t="s">
        <v>122</v>
      </c>
    </row>
    <row r="228" spans="1:19" ht="101.5" x14ac:dyDescent="0.35">
      <c r="A228" s="14">
        <v>46022</v>
      </c>
      <c r="B228" s="10" t="s">
        <v>330</v>
      </c>
      <c r="C228" s="10" t="s">
        <v>331</v>
      </c>
      <c r="D228" s="10" t="s">
        <v>995</v>
      </c>
      <c r="E228" s="10">
        <v>4350215</v>
      </c>
      <c r="F228" s="15">
        <v>80</v>
      </c>
      <c r="G228" s="10" t="s">
        <v>1391</v>
      </c>
      <c r="H228" s="10">
        <v>4350215</v>
      </c>
      <c r="I228" s="10">
        <v>4355602</v>
      </c>
      <c r="J228" s="10" t="s">
        <v>1214</v>
      </c>
      <c r="K228" s="10" t="s">
        <v>1214</v>
      </c>
      <c r="L228" s="10" t="s">
        <v>1214</v>
      </c>
      <c r="M228" s="10" t="s">
        <v>1214</v>
      </c>
      <c r="N228" s="10" t="s">
        <v>222</v>
      </c>
      <c r="O228" s="10" t="s">
        <v>1295</v>
      </c>
      <c r="P228" s="10" t="s">
        <v>122</v>
      </c>
      <c r="Q228" s="10" t="s">
        <v>1295</v>
      </c>
      <c r="R228" s="10" t="s">
        <v>122</v>
      </c>
      <c r="S228" s="10" t="s">
        <v>122</v>
      </c>
    </row>
    <row r="229" spans="1:19" ht="101.5" x14ac:dyDescent="0.35">
      <c r="A229" s="14">
        <v>46022</v>
      </c>
      <c r="B229" s="10" t="s">
        <v>330</v>
      </c>
      <c r="C229" s="10" t="s">
        <v>331</v>
      </c>
      <c r="D229" s="10" t="s">
        <v>1002</v>
      </c>
      <c r="E229" s="10">
        <v>4355602</v>
      </c>
      <c r="F229" s="15">
        <v>20</v>
      </c>
      <c r="G229" s="10" t="s">
        <v>1391</v>
      </c>
      <c r="H229" s="10">
        <v>4350215</v>
      </c>
      <c r="I229" s="10">
        <v>4355602</v>
      </c>
      <c r="J229" s="10" t="s">
        <v>1214</v>
      </c>
      <c r="K229" s="10" t="s">
        <v>1214</v>
      </c>
      <c r="L229" s="10" t="s">
        <v>1214</v>
      </c>
      <c r="M229" s="10" t="s">
        <v>1214</v>
      </c>
      <c r="N229" s="10" t="s">
        <v>222</v>
      </c>
      <c r="O229" s="10" t="s">
        <v>1295</v>
      </c>
      <c r="P229" s="10" t="s">
        <v>122</v>
      </c>
      <c r="Q229" s="10" t="s">
        <v>1295</v>
      </c>
      <c r="R229" s="10" t="s">
        <v>122</v>
      </c>
      <c r="S229" s="10" t="s">
        <v>122</v>
      </c>
    </row>
    <row r="230" spans="1:19" ht="29" x14ac:dyDescent="0.35">
      <c r="A230" s="14">
        <v>46022</v>
      </c>
      <c r="B230" s="10" t="s">
        <v>746</v>
      </c>
      <c r="C230" s="10" t="s">
        <v>747</v>
      </c>
      <c r="D230" s="10" t="s">
        <v>1068</v>
      </c>
      <c r="E230" s="10">
        <v>112903991</v>
      </c>
      <c r="F230" s="15">
        <v>100</v>
      </c>
      <c r="G230" s="10" t="s">
        <v>1392</v>
      </c>
      <c r="H230" s="10">
        <v>112903991</v>
      </c>
      <c r="I230" s="10" t="s">
        <v>1194</v>
      </c>
      <c r="J230" s="10" t="s">
        <v>1214</v>
      </c>
      <c r="K230" s="10" t="s">
        <v>1214</v>
      </c>
      <c r="L230" s="10" t="s">
        <v>1214</v>
      </c>
      <c r="M230" s="10" t="s">
        <v>1214</v>
      </c>
      <c r="N230" s="10" t="s">
        <v>748</v>
      </c>
      <c r="O230" s="10" t="s">
        <v>1214</v>
      </c>
      <c r="P230" s="10" t="s">
        <v>1214</v>
      </c>
      <c r="Q230" s="10" t="s">
        <v>1214</v>
      </c>
      <c r="R230" s="10" t="s">
        <v>1214</v>
      </c>
      <c r="S230" s="10" t="s">
        <v>61</v>
      </c>
    </row>
    <row r="231" spans="1:19" ht="29" x14ac:dyDescent="0.35">
      <c r="A231" s="14">
        <v>46022</v>
      </c>
      <c r="B231" s="10" t="s">
        <v>332</v>
      </c>
      <c r="C231" s="10" t="s">
        <v>333</v>
      </c>
      <c r="D231" s="10" t="s">
        <v>996</v>
      </c>
      <c r="E231" s="10">
        <v>4410234</v>
      </c>
      <c r="F231" s="15">
        <v>100</v>
      </c>
      <c r="G231" s="10" t="s">
        <v>1283</v>
      </c>
      <c r="H231" s="10">
        <v>4410234</v>
      </c>
      <c r="I231" s="10" t="s">
        <v>1194</v>
      </c>
      <c r="J231" s="10" t="s">
        <v>1214</v>
      </c>
      <c r="K231" s="10" t="s">
        <v>1214</v>
      </c>
      <c r="L231" s="10" t="s">
        <v>1214</v>
      </c>
      <c r="M231" s="10" t="s">
        <v>1214</v>
      </c>
      <c r="N231" s="10" t="s">
        <v>1284</v>
      </c>
      <c r="O231" s="10" t="s">
        <v>1214</v>
      </c>
      <c r="P231" s="10" t="s">
        <v>1214</v>
      </c>
      <c r="Q231" s="10" t="s">
        <v>1214</v>
      </c>
      <c r="R231" s="10" t="s">
        <v>1214</v>
      </c>
      <c r="S231" s="10" t="s">
        <v>61</v>
      </c>
    </row>
    <row r="232" spans="1:19" ht="29" x14ac:dyDescent="0.35">
      <c r="A232" s="14">
        <v>46022</v>
      </c>
      <c r="B232" s="10" t="s">
        <v>749</v>
      </c>
      <c r="C232" s="10" t="s">
        <v>750</v>
      </c>
      <c r="D232" s="10" t="s">
        <v>1069</v>
      </c>
      <c r="E232" s="10">
        <v>4394063</v>
      </c>
      <c r="F232" s="15">
        <v>100</v>
      </c>
      <c r="G232" s="10" t="s">
        <v>1393</v>
      </c>
      <c r="H232" s="10">
        <v>4394063</v>
      </c>
      <c r="I232" s="10" t="s">
        <v>1194</v>
      </c>
      <c r="J232" s="10" t="s">
        <v>1394</v>
      </c>
      <c r="K232" s="10" t="s">
        <v>1228</v>
      </c>
      <c r="L232" s="10" t="s">
        <v>1394</v>
      </c>
      <c r="M232" s="10" t="s">
        <v>1228</v>
      </c>
      <c r="N232" s="10" t="s">
        <v>69</v>
      </c>
      <c r="O232" s="10" t="s">
        <v>1214</v>
      </c>
      <c r="P232" s="10" t="s">
        <v>1214</v>
      </c>
      <c r="Q232" s="10" t="s">
        <v>1214</v>
      </c>
      <c r="R232" s="10" t="s">
        <v>1214</v>
      </c>
      <c r="S232" s="10" t="s">
        <v>61</v>
      </c>
    </row>
    <row r="233" spans="1:19" ht="29" x14ac:dyDescent="0.35">
      <c r="A233" s="14">
        <v>46022</v>
      </c>
      <c r="B233" s="10" t="s">
        <v>436</v>
      </c>
      <c r="C233" s="10" t="s">
        <v>437</v>
      </c>
      <c r="D233" s="10" t="s">
        <v>939</v>
      </c>
      <c r="E233" s="10">
        <v>4348654</v>
      </c>
      <c r="F233" s="15">
        <v>100</v>
      </c>
      <c r="G233" s="10" t="s">
        <v>1213</v>
      </c>
      <c r="H233" s="10">
        <v>4348654</v>
      </c>
      <c r="I233" s="10" t="s">
        <v>1194</v>
      </c>
      <c r="J233" s="10" t="s">
        <v>1214</v>
      </c>
      <c r="K233" s="10" t="s">
        <v>1214</v>
      </c>
      <c r="L233" s="10" t="s">
        <v>1214</v>
      </c>
      <c r="M233" s="10" t="s">
        <v>1214</v>
      </c>
      <c r="N233" s="10" t="s">
        <v>102</v>
      </c>
      <c r="O233" s="10" t="s">
        <v>1214</v>
      </c>
      <c r="P233" s="10" t="s">
        <v>1214</v>
      </c>
      <c r="Q233" s="10" t="s">
        <v>1214</v>
      </c>
      <c r="R233" s="10" t="s">
        <v>1214</v>
      </c>
      <c r="S233" s="10" t="s">
        <v>61</v>
      </c>
    </row>
    <row r="234" spans="1:19" ht="29" x14ac:dyDescent="0.35">
      <c r="A234" s="14">
        <v>46022</v>
      </c>
      <c r="B234" s="10" t="s">
        <v>751</v>
      </c>
      <c r="C234" s="10" t="s">
        <v>752</v>
      </c>
      <c r="D234" s="10" t="s">
        <v>992</v>
      </c>
      <c r="E234" s="10">
        <v>4351589</v>
      </c>
      <c r="F234" s="15">
        <v>100</v>
      </c>
      <c r="G234" s="10" t="s">
        <v>1277</v>
      </c>
      <c r="H234" s="10">
        <v>4351589</v>
      </c>
      <c r="I234" s="10" t="s">
        <v>1194</v>
      </c>
      <c r="J234" s="10" t="s">
        <v>1214</v>
      </c>
      <c r="K234" s="10" t="s">
        <v>1214</v>
      </c>
      <c r="L234" s="10" t="s">
        <v>1214</v>
      </c>
      <c r="M234" s="10" t="s">
        <v>1214</v>
      </c>
      <c r="N234" s="10" t="s">
        <v>753</v>
      </c>
      <c r="O234" s="10" t="s">
        <v>1214</v>
      </c>
      <c r="P234" s="10" t="s">
        <v>1214</v>
      </c>
      <c r="Q234" s="10" t="s">
        <v>1214</v>
      </c>
      <c r="R234" s="10" t="s">
        <v>1214</v>
      </c>
      <c r="S234" s="10" t="s">
        <v>61</v>
      </c>
    </row>
    <row r="235" spans="1:19" ht="87" x14ac:dyDescent="0.35">
      <c r="A235" s="14">
        <v>46022</v>
      </c>
      <c r="B235" s="10" t="s">
        <v>439</v>
      </c>
      <c r="C235" s="10" t="s">
        <v>440</v>
      </c>
      <c r="D235" s="10" t="s">
        <v>1070</v>
      </c>
      <c r="E235" s="10">
        <v>10602702</v>
      </c>
      <c r="F235" s="15">
        <v>40.5</v>
      </c>
      <c r="G235" s="10" t="s">
        <v>1395</v>
      </c>
      <c r="H235" s="10">
        <v>4352491</v>
      </c>
      <c r="I235" s="10">
        <v>10602702</v>
      </c>
      <c r="J235" s="10" t="s">
        <v>1292</v>
      </c>
      <c r="K235" s="10" t="s">
        <v>61</v>
      </c>
      <c r="L235" s="10" t="s">
        <v>1396</v>
      </c>
      <c r="M235" s="10" t="s">
        <v>1252</v>
      </c>
      <c r="N235" s="10" t="s">
        <v>89</v>
      </c>
      <c r="O235" s="10" t="s">
        <v>1397</v>
      </c>
      <c r="P235" s="10" t="s">
        <v>1252</v>
      </c>
      <c r="Q235" s="10" t="s">
        <v>1397</v>
      </c>
      <c r="R235" s="10" t="s">
        <v>1252</v>
      </c>
      <c r="S235" s="10" t="s">
        <v>1252</v>
      </c>
    </row>
    <row r="236" spans="1:19" ht="87" x14ac:dyDescent="0.35">
      <c r="A236" s="14">
        <v>46022</v>
      </c>
      <c r="B236" s="10" t="s">
        <v>439</v>
      </c>
      <c r="C236" s="10" t="s">
        <v>440</v>
      </c>
      <c r="D236" s="10" t="s">
        <v>1071</v>
      </c>
      <c r="E236" s="10">
        <v>4352491</v>
      </c>
      <c r="F236" s="15">
        <v>55</v>
      </c>
      <c r="G236" s="10" t="s">
        <v>1395</v>
      </c>
      <c r="H236" s="10">
        <v>4352491</v>
      </c>
      <c r="I236" s="10">
        <v>10602702</v>
      </c>
      <c r="J236" s="10" t="s">
        <v>1292</v>
      </c>
      <c r="K236" s="10" t="s">
        <v>61</v>
      </c>
      <c r="L236" s="10" t="s">
        <v>1396</v>
      </c>
      <c r="M236" s="10" t="s">
        <v>1252</v>
      </c>
      <c r="N236" s="10" t="s">
        <v>89</v>
      </c>
      <c r="O236" s="10" t="s">
        <v>1397</v>
      </c>
      <c r="P236" s="10" t="s">
        <v>1252</v>
      </c>
      <c r="Q236" s="10" t="s">
        <v>1397</v>
      </c>
      <c r="R236" s="10" t="s">
        <v>1252</v>
      </c>
      <c r="S236" s="10" t="s">
        <v>1252</v>
      </c>
    </row>
    <row r="237" spans="1:19" ht="29" x14ac:dyDescent="0.35">
      <c r="A237" s="14">
        <v>46022</v>
      </c>
      <c r="B237" s="10" t="s">
        <v>754</v>
      </c>
      <c r="C237" s="10" t="s">
        <v>755</v>
      </c>
      <c r="D237" s="10" t="s">
        <v>948</v>
      </c>
      <c r="E237" s="10">
        <v>4113732</v>
      </c>
      <c r="F237" s="15">
        <v>100</v>
      </c>
      <c r="G237" s="10" t="s">
        <v>1398</v>
      </c>
      <c r="H237" s="10">
        <v>4773175</v>
      </c>
      <c r="I237" s="10" t="s">
        <v>1194</v>
      </c>
      <c r="J237" s="10" t="s">
        <v>1214</v>
      </c>
      <c r="K237" s="10" t="s">
        <v>1214</v>
      </c>
      <c r="L237" s="10" t="s">
        <v>1214</v>
      </c>
      <c r="M237" s="10" t="s">
        <v>1214</v>
      </c>
      <c r="N237" s="10" t="s">
        <v>222</v>
      </c>
      <c r="O237" s="10" t="s">
        <v>1214</v>
      </c>
      <c r="P237" s="10" t="s">
        <v>1214</v>
      </c>
      <c r="Q237" s="10" t="s">
        <v>1214</v>
      </c>
      <c r="R237" s="10" t="s">
        <v>1214</v>
      </c>
      <c r="S237" s="10" t="s">
        <v>61</v>
      </c>
    </row>
    <row r="238" spans="1:19" ht="72.5" x14ac:dyDescent="0.35">
      <c r="A238" s="14">
        <v>46022</v>
      </c>
      <c r="B238" s="10" t="s">
        <v>334</v>
      </c>
      <c r="C238" s="10" t="s">
        <v>335</v>
      </c>
      <c r="D238" s="10" t="s">
        <v>1071</v>
      </c>
      <c r="E238" s="10">
        <v>4352491</v>
      </c>
      <c r="F238" s="15">
        <v>100</v>
      </c>
      <c r="G238" s="10" t="s">
        <v>1399</v>
      </c>
      <c r="H238" s="10">
        <v>4352491</v>
      </c>
      <c r="I238" s="10" t="s">
        <v>1194</v>
      </c>
      <c r="J238" s="10" t="s">
        <v>1292</v>
      </c>
      <c r="K238" s="10" t="s">
        <v>61</v>
      </c>
      <c r="L238" s="10" t="s">
        <v>1396</v>
      </c>
      <c r="M238" s="10" t="s">
        <v>1252</v>
      </c>
      <c r="N238" s="10" t="s">
        <v>89</v>
      </c>
      <c r="O238" s="10" t="s">
        <v>1214</v>
      </c>
      <c r="P238" s="10" t="s">
        <v>1214</v>
      </c>
      <c r="Q238" s="10" t="s">
        <v>1214</v>
      </c>
      <c r="R238" s="10" t="s">
        <v>1214</v>
      </c>
      <c r="S238" s="10" t="s">
        <v>61</v>
      </c>
    </row>
    <row r="239" spans="1:19" ht="58" x14ac:dyDescent="0.35">
      <c r="A239" s="14">
        <v>46022</v>
      </c>
      <c r="B239" s="10" t="s">
        <v>336</v>
      </c>
      <c r="C239" s="10" t="s">
        <v>337</v>
      </c>
      <c r="D239" s="10" t="s">
        <v>1021</v>
      </c>
      <c r="E239" s="10">
        <v>4350360</v>
      </c>
      <c r="F239" s="15">
        <v>5</v>
      </c>
      <c r="G239" s="10" t="s">
        <v>1400</v>
      </c>
      <c r="H239" s="10">
        <v>4354863</v>
      </c>
      <c r="I239" s="10">
        <v>4350360</v>
      </c>
      <c r="J239" s="10" t="s">
        <v>1214</v>
      </c>
      <c r="K239" s="10" t="s">
        <v>1214</v>
      </c>
      <c r="L239" s="10" t="s">
        <v>1214</v>
      </c>
      <c r="M239" s="10" t="s">
        <v>1214</v>
      </c>
      <c r="N239" s="10" t="s">
        <v>89</v>
      </c>
      <c r="O239" s="10" t="s">
        <v>213</v>
      </c>
      <c r="P239" s="10" t="s">
        <v>213</v>
      </c>
      <c r="Q239" s="10" t="s">
        <v>213</v>
      </c>
      <c r="R239" s="10" t="s">
        <v>213</v>
      </c>
      <c r="S239" s="10" t="s">
        <v>213</v>
      </c>
    </row>
    <row r="240" spans="1:19" ht="58" x14ac:dyDescent="0.35">
      <c r="A240" s="14">
        <v>46022</v>
      </c>
      <c r="B240" s="10" t="s">
        <v>336</v>
      </c>
      <c r="C240" s="10" t="s">
        <v>337</v>
      </c>
      <c r="D240" s="10" t="s">
        <v>1072</v>
      </c>
      <c r="E240" s="10">
        <v>4354863</v>
      </c>
      <c r="F240" s="15">
        <v>95</v>
      </c>
      <c r="G240" s="10" t="s">
        <v>1400</v>
      </c>
      <c r="H240" s="10">
        <v>4354863</v>
      </c>
      <c r="I240" s="10">
        <v>4350360</v>
      </c>
      <c r="J240" s="10" t="s">
        <v>1214</v>
      </c>
      <c r="K240" s="10" t="s">
        <v>1214</v>
      </c>
      <c r="L240" s="10" t="s">
        <v>1214</v>
      </c>
      <c r="M240" s="10" t="s">
        <v>1214</v>
      </c>
      <c r="N240" s="10" t="s">
        <v>89</v>
      </c>
      <c r="O240" s="10" t="s">
        <v>213</v>
      </c>
      <c r="P240" s="10" t="s">
        <v>213</v>
      </c>
      <c r="Q240" s="10" t="s">
        <v>213</v>
      </c>
      <c r="R240" s="10" t="s">
        <v>213</v>
      </c>
      <c r="S240" s="10" t="s">
        <v>213</v>
      </c>
    </row>
    <row r="241" spans="1:19" ht="145" x14ac:dyDescent="0.35">
      <c r="A241" s="14">
        <v>46022</v>
      </c>
      <c r="B241" s="10" t="s">
        <v>269</v>
      </c>
      <c r="C241" s="10" t="s">
        <v>270</v>
      </c>
      <c r="D241" s="10" t="s">
        <v>1073</v>
      </c>
      <c r="E241" s="10">
        <v>4349148</v>
      </c>
      <c r="F241" s="15">
        <v>71.25</v>
      </c>
      <c r="G241" s="10" t="s">
        <v>1401</v>
      </c>
      <c r="H241" s="10">
        <v>4349148</v>
      </c>
      <c r="I241" s="10">
        <v>6582136</v>
      </c>
      <c r="J241" s="10" t="s">
        <v>1214</v>
      </c>
      <c r="K241" s="10" t="s">
        <v>1214</v>
      </c>
      <c r="L241" s="10" t="s">
        <v>1214</v>
      </c>
      <c r="M241" s="10" t="s">
        <v>1214</v>
      </c>
      <c r="N241" s="10" t="s">
        <v>61</v>
      </c>
      <c r="O241" s="10" t="s">
        <v>1214</v>
      </c>
      <c r="P241" s="10" t="s">
        <v>1214</v>
      </c>
      <c r="Q241" s="10" t="s">
        <v>1214</v>
      </c>
      <c r="R241" s="10" t="s">
        <v>1214</v>
      </c>
      <c r="S241" s="10" t="s">
        <v>61</v>
      </c>
    </row>
    <row r="242" spans="1:19" ht="145" x14ac:dyDescent="0.35">
      <c r="A242" s="14">
        <v>46022</v>
      </c>
      <c r="B242" s="10" t="s">
        <v>269</v>
      </c>
      <c r="C242" s="10" t="s">
        <v>270</v>
      </c>
      <c r="D242" s="10" t="s">
        <v>1074</v>
      </c>
      <c r="E242" s="10">
        <v>6582136</v>
      </c>
      <c r="F242" s="15">
        <v>23.75</v>
      </c>
      <c r="G242" s="10" t="s">
        <v>1401</v>
      </c>
      <c r="H242" s="10">
        <v>4349148</v>
      </c>
      <c r="I242" s="10">
        <v>6582136</v>
      </c>
      <c r="J242" s="10" t="s">
        <v>1214</v>
      </c>
      <c r="K242" s="10" t="s">
        <v>1214</v>
      </c>
      <c r="L242" s="10" t="s">
        <v>1214</v>
      </c>
      <c r="M242" s="10" t="s">
        <v>1214</v>
      </c>
      <c r="N242" s="10" t="s">
        <v>61</v>
      </c>
      <c r="O242" s="10" t="s">
        <v>1214</v>
      </c>
      <c r="P242" s="10" t="s">
        <v>1214</v>
      </c>
      <c r="Q242" s="10" t="s">
        <v>1214</v>
      </c>
      <c r="R242" s="10" t="s">
        <v>1214</v>
      </c>
      <c r="S242" s="10" t="s">
        <v>61</v>
      </c>
    </row>
    <row r="243" spans="1:19" ht="72.5" x14ac:dyDescent="0.35">
      <c r="A243" s="14">
        <v>46022</v>
      </c>
      <c r="B243" s="10" t="s">
        <v>338</v>
      </c>
      <c r="C243" s="10" t="s">
        <v>339</v>
      </c>
      <c r="D243" s="10" t="s">
        <v>1021</v>
      </c>
      <c r="E243" s="10">
        <v>4350360</v>
      </c>
      <c r="F243" s="15">
        <v>33</v>
      </c>
      <c r="G243" s="10" t="s">
        <v>1402</v>
      </c>
      <c r="H243" s="10">
        <v>4355642</v>
      </c>
      <c r="I243" s="10">
        <v>4350360</v>
      </c>
      <c r="J243" s="10" t="s">
        <v>1214</v>
      </c>
      <c r="K243" s="10" t="s">
        <v>1214</v>
      </c>
      <c r="L243" s="10" t="s">
        <v>1214</v>
      </c>
      <c r="M243" s="10" t="s">
        <v>1214</v>
      </c>
      <c r="N243" s="10" t="s">
        <v>61</v>
      </c>
      <c r="O243" s="10" t="s">
        <v>213</v>
      </c>
      <c r="P243" s="10" t="s">
        <v>213</v>
      </c>
      <c r="Q243" s="10" t="s">
        <v>213</v>
      </c>
      <c r="R243" s="10" t="s">
        <v>213</v>
      </c>
      <c r="S243" s="10" t="s">
        <v>213</v>
      </c>
    </row>
    <row r="244" spans="1:19" ht="72.5" x14ac:dyDescent="0.35">
      <c r="A244" s="14">
        <v>46022</v>
      </c>
      <c r="B244" s="10" t="s">
        <v>338</v>
      </c>
      <c r="C244" s="10" t="s">
        <v>339</v>
      </c>
      <c r="D244" s="10" t="s">
        <v>958</v>
      </c>
      <c r="E244" s="10">
        <v>4355642</v>
      </c>
      <c r="F244" s="15">
        <v>67</v>
      </c>
      <c r="G244" s="10" t="s">
        <v>1402</v>
      </c>
      <c r="H244" s="10">
        <v>4355642</v>
      </c>
      <c r="I244" s="10">
        <v>4350360</v>
      </c>
      <c r="J244" s="10" t="s">
        <v>1214</v>
      </c>
      <c r="K244" s="10" t="s">
        <v>1214</v>
      </c>
      <c r="L244" s="10" t="s">
        <v>1214</v>
      </c>
      <c r="M244" s="10" t="s">
        <v>1214</v>
      </c>
      <c r="N244" s="10" t="s">
        <v>61</v>
      </c>
      <c r="O244" s="10" t="s">
        <v>213</v>
      </c>
      <c r="P244" s="10" t="s">
        <v>213</v>
      </c>
      <c r="Q244" s="10" t="s">
        <v>213</v>
      </c>
      <c r="R244" s="10" t="s">
        <v>213</v>
      </c>
      <c r="S244" s="10" t="s">
        <v>213</v>
      </c>
    </row>
    <row r="245" spans="1:19" ht="101.5" x14ac:dyDescent="0.35">
      <c r="A245" s="14">
        <v>46022</v>
      </c>
      <c r="B245" s="10" t="s">
        <v>271</v>
      </c>
      <c r="C245" s="10" t="s">
        <v>272</v>
      </c>
      <c r="D245" s="10" t="s">
        <v>1075</v>
      </c>
      <c r="E245" s="10">
        <v>4396728</v>
      </c>
      <c r="F245" s="15">
        <v>79.400000000000006</v>
      </c>
      <c r="G245" s="10" t="s">
        <v>1403</v>
      </c>
      <c r="H245" s="10">
        <v>4396728</v>
      </c>
      <c r="I245" s="10">
        <v>4355602</v>
      </c>
      <c r="J245" s="10" t="s">
        <v>1404</v>
      </c>
      <c r="K245" s="10" t="s">
        <v>1405</v>
      </c>
      <c r="L245" s="10" t="s">
        <v>1404</v>
      </c>
      <c r="M245" s="10" t="s">
        <v>1405</v>
      </c>
      <c r="N245" s="10" t="s">
        <v>1405</v>
      </c>
      <c r="O245" s="10" t="s">
        <v>1295</v>
      </c>
      <c r="P245" s="10" t="s">
        <v>122</v>
      </c>
      <c r="Q245" s="10" t="s">
        <v>1295</v>
      </c>
      <c r="R245" s="10" t="s">
        <v>122</v>
      </c>
      <c r="S245" s="10" t="s">
        <v>122</v>
      </c>
    </row>
    <row r="246" spans="1:19" ht="101.5" x14ac:dyDescent="0.35">
      <c r="A246" s="14">
        <v>46022</v>
      </c>
      <c r="B246" s="10" t="s">
        <v>271</v>
      </c>
      <c r="C246" s="10" t="s">
        <v>272</v>
      </c>
      <c r="D246" s="10" t="s">
        <v>1002</v>
      </c>
      <c r="E246" s="10">
        <v>4355602</v>
      </c>
      <c r="F246" s="15">
        <v>20.6</v>
      </c>
      <c r="G246" s="10" t="s">
        <v>1403</v>
      </c>
      <c r="H246" s="10">
        <v>4396728</v>
      </c>
      <c r="I246" s="10">
        <v>4355602</v>
      </c>
      <c r="J246" s="10" t="s">
        <v>1404</v>
      </c>
      <c r="K246" s="10" t="s">
        <v>1405</v>
      </c>
      <c r="L246" s="10" t="s">
        <v>1404</v>
      </c>
      <c r="M246" s="10" t="s">
        <v>1405</v>
      </c>
      <c r="N246" s="10" t="s">
        <v>1405</v>
      </c>
      <c r="O246" s="10" t="s">
        <v>1295</v>
      </c>
      <c r="P246" s="10" t="s">
        <v>122</v>
      </c>
      <c r="Q246" s="10" t="s">
        <v>1295</v>
      </c>
      <c r="R246" s="10" t="s">
        <v>122</v>
      </c>
      <c r="S246" s="10" t="s">
        <v>122</v>
      </c>
    </row>
    <row r="247" spans="1:19" ht="29" x14ac:dyDescent="0.35">
      <c r="A247" s="14">
        <v>46022</v>
      </c>
      <c r="B247" s="10" t="s">
        <v>370</v>
      </c>
      <c r="C247" s="10" t="s">
        <v>371</v>
      </c>
      <c r="D247" s="10" t="s">
        <v>1076</v>
      </c>
      <c r="E247" s="10">
        <v>4349033</v>
      </c>
      <c r="F247" s="15">
        <v>100</v>
      </c>
      <c r="G247" s="10" t="s">
        <v>1406</v>
      </c>
      <c r="H247" s="10">
        <v>4349033</v>
      </c>
      <c r="I247" s="10" t="s">
        <v>1194</v>
      </c>
      <c r="J247" s="10" t="s">
        <v>1214</v>
      </c>
      <c r="K247" s="10" t="s">
        <v>1214</v>
      </c>
      <c r="L247" s="10" t="s">
        <v>1214</v>
      </c>
      <c r="M247" s="10" t="s">
        <v>1214</v>
      </c>
      <c r="N247" s="10" t="s">
        <v>1219</v>
      </c>
      <c r="O247" s="10" t="s">
        <v>1214</v>
      </c>
      <c r="P247" s="10" t="s">
        <v>1214</v>
      </c>
      <c r="Q247" s="10" t="s">
        <v>1214</v>
      </c>
      <c r="R247" s="10" t="s">
        <v>1214</v>
      </c>
      <c r="S247" s="10" t="s">
        <v>61</v>
      </c>
    </row>
    <row r="248" spans="1:19" ht="29" x14ac:dyDescent="0.35">
      <c r="A248" s="14">
        <v>46022</v>
      </c>
      <c r="B248" s="10" t="s">
        <v>756</v>
      </c>
      <c r="C248" s="10" t="s">
        <v>757</v>
      </c>
      <c r="D248" s="10" t="s">
        <v>1077</v>
      </c>
      <c r="E248" s="10">
        <v>4379789</v>
      </c>
      <c r="F248" s="15">
        <v>100</v>
      </c>
      <c r="G248" s="10" t="s">
        <v>1407</v>
      </c>
      <c r="H248" s="10">
        <v>4379789</v>
      </c>
      <c r="I248" s="10" t="s">
        <v>1194</v>
      </c>
      <c r="J248" s="10" t="s">
        <v>1214</v>
      </c>
      <c r="K248" s="10" t="s">
        <v>1214</v>
      </c>
      <c r="L248" s="10" t="s">
        <v>1214</v>
      </c>
      <c r="M248" s="10" t="s">
        <v>1214</v>
      </c>
      <c r="N248" s="10" t="s">
        <v>105</v>
      </c>
      <c r="O248" s="10" t="s">
        <v>1214</v>
      </c>
      <c r="P248" s="10" t="s">
        <v>1214</v>
      </c>
      <c r="Q248" s="10" t="s">
        <v>1214</v>
      </c>
      <c r="R248" s="10" t="s">
        <v>1214</v>
      </c>
      <c r="S248" s="10" t="s">
        <v>61</v>
      </c>
    </row>
    <row r="249" spans="1:19" ht="116" x14ac:dyDescent="0.35">
      <c r="A249" s="14">
        <v>46022</v>
      </c>
      <c r="B249" s="10" t="s">
        <v>758</v>
      </c>
      <c r="C249" s="10" t="s">
        <v>759</v>
      </c>
      <c r="D249" s="10" t="s">
        <v>1078</v>
      </c>
      <c r="E249" s="10">
        <v>12230912</v>
      </c>
      <c r="F249" s="15">
        <v>30</v>
      </c>
      <c r="G249" s="10" t="s">
        <v>1408</v>
      </c>
      <c r="H249" s="10">
        <v>4355642</v>
      </c>
      <c r="I249" s="10">
        <v>12230912</v>
      </c>
      <c r="J249" s="10" t="s">
        <v>1214</v>
      </c>
      <c r="K249" s="10" t="s">
        <v>1214</v>
      </c>
      <c r="L249" s="10" t="s">
        <v>1214</v>
      </c>
      <c r="M249" s="10" t="s">
        <v>1214</v>
      </c>
      <c r="N249" s="10" t="s">
        <v>61</v>
      </c>
      <c r="O249" s="10" t="s">
        <v>1214</v>
      </c>
      <c r="P249" s="10" t="s">
        <v>1214</v>
      </c>
      <c r="Q249" s="10" t="s">
        <v>1214</v>
      </c>
      <c r="R249" s="10" t="s">
        <v>1214</v>
      </c>
      <c r="S249" s="10" t="s">
        <v>61</v>
      </c>
    </row>
    <row r="250" spans="1:19" ht="116" x14ac:dyDescent="0.35">
      <c r="A250" s="14">
        <v>46022</v>
      </c>
      <c r="B250" s="10" t="s">
        <v>758</v>
      </c>
      <c r="C250" s="10" t="s">
        <v>759</v>
      </c>
      <c r="D250" s="10" t="s">
        <v>958</v>
      </c>
      <c r="E250" s="10">
        <v>4355642</v>
      </c>
      <c r="F250" s="15">
        <v>70</v>
      </c>
      <c r="G250" s="10" t="s">
        <v>1408</v>
      </c>
      <c r="H250" s="10">
        <v>4355642</v>
      </c>
      <c r="I250" s="10">
        <v>12230912</v>
      </c>
      <c r="J250" s="10" t="s">
        <v>1214</v>
      </c>
      <c r="K250" s="10" t="s">
        <v>1214</v>
      </c>
      <c r="L250" s="10" t="s">
        <v>1214</v>
      </c>
      <c r="M250" s="10" t="s">
        <v>1214</v>
      </c>
      <c r="N250" s="10" t="s">
        <v>61</v>
      </c>
      <c r="O250" s="10" t="s">
        <v>1214</v>
      </c>
      <c r="P250" s="10" t="s">
        <v>1214</v>
      </c>
      <c r="Q250" s="10" t="s">
        <v>1214</v>
      </c>
      <c r="R250" s="10" t="s">
        <v>1214</v>
      </c>
      <c r="S250" s="10" t="s">
        <v>61</v>
      </c>
    </row>
    <row r="251" spans="1:19" ht="72.5" x14ac:dyDescent="0.35">
      <c r="A251" s="14">
        <v>46022</v>
      </c>
      <c r="B251" s="10" t="s">
        <v>273</v>
      </c>
      <c r="C251" s="10" t="s">
        <v>274</v>
      </c>
      <c r="D251" s="10" t="s">
        <v>980</v>
      </c>
      <c r="E251" s="10">
        <v>4354459</v>
      </c>
      <c r="F251" s="15">
        <v>98.1</v>
      </c>
      <c r="G251" s="10" t="s">
        <v>1409</v>
      </c>
      <c r="H251" s="10">
        <v>4354459</v>
      </c>
      <c r="I251" s="10">
        <v>4400798</v>
      </c>
      <c r="J251" s="10" t="s">
        <v>1267</v>
      </c>
      <c r="K251" s="10" t="s">
        <v>111</v>
      </c>
      <c r="L251" s="10" t="s">
        <v>1268</v>
      </c>
      <c r="M251" s="10" t="s">
        <v>79</v>
      </c>
      <c r="N251" s="10" t="s">
        <v>79</v>
      </c>
      <c r="O251" s="10" t="s">
        <v>1214</v>
      </c>
      <c r="P251" s="10" t="s">
        <v>1214</v>
      </c>
      <c r="Q251" s="10" t="s">
        <v>1214</v>
      </c>
      <c r="R251" s="10" t="s">
        <v>1214</v>
      </c>
      <c r="S251" s="10" t="s">
        <v>79</v>
      </c>
    </row>
    <row r="252" spans="1:19" ht="72.5" x14ac:dyDescent="0.35">
      <c r="A252" s="14">
        <v>46022</v>
      </c>
      <c r="B252" s="10" t="s">
        <v>372</v>
      </c>
      <c r="C252" s="10" t="s">
        <v>373</v>
      </c>
      <c r="D252" s="10" t="s">
        <v>980</v>
      </c>
      <c r="E252" s="10">
        <v>4354459</v>
      </c>
      <c r="F252" s="15">
        <v>98.1</v>
      </c>
      <c r="G252" s="10" t="s">
        <v>1410</v>
      </c>
      <c r="H252" s="10">
        <v>4354459</v>
      </c>
      <c r="I252" s="10">
        <v>4400798</v>
      </c>
      <c r="J252" s="10" t="s">
        <v>1267</v>
      </c>
      <c r="K252" s="10" t="s">
        <v>111</v>
      </c>
      <c r="L252" s="10" t="s">
        <v>1268</v>
      </c>
      <c r="M252" s="10" t="s">
        <v>79</v>
      </c>
      <c r="N252" s="10" t="s">
        <v>79</v>
      </c>
      <c r="O252" s="10" t="s">
        <v>1214</v>
      </c>
      <c r="P252" s="10" t="s">
        <v>1214</v>
      </c>
      <c r="Q252" s="10" t="s">
        <v>1214</v>
      </c>
      <c r="R252" s="10" t="s">
        <v>1214</v>
      </c>
      <c r="S252" s="10" t="s">
        <v>79</v>
      </c>
    </row>
    <row r="253" spans="1:19" ht="29" x14ac:dyDescent="0.35">
      <c r="A253" s="14">
        <v>46022</v>
      </c>
      <c r="B253" s="10" t="s">
        <v>442</v>
      </c>
      <c r="C253" s="10" t="s">
        <v>443</v>
      </c>
      <c r="D253" s="10" t="s">
        <v>1010</v>
      </c>
      <c r="E253" s="10">
        <v>4351119</v>
      </c>
      <c r="F253" s="15">
        <v>100</v>
      </c>
      <c r="G253" s="10" t="s">
        <v>1308</v>
      </c>
      <c r="H253" s="10">
        <v>4351119</v>
      </c>
      <c r="I253" s="10" t="s">
        <v>1194</v>
      </c>
      <c r="J253" s="10" t="s">
        <v>1214</v>
      </c>
      <c r="K253" s="10" t="s">
        <v>1214</v>
      </c>
      <c r="L253" s="10" t="s">
        <v>1214</v>
      </c>
      <c r="M253" s="10" t="s">
        <v>1214</v>
      </c>
      <c r="N253" s="10" t="s">
        <v>222</v>
      </c>
      <c r="O253" s="10" t="s">
        <v>1214</v>
      </c>
      <c r="P253" s="10" t="s">
        <v>1214</v>
      </c>
      <c r="Q253" s="10" t="s">
        <v>1214</v>
      </c>
      <c r="R253" s="10" t="s">
        <v>1214</v>
      </c>
      <c r="S253" s="10" t="s">
        <v>61</v>
      </c>
    </row>
    <row r="254" spans="1:19" ht="29" x14ac:dyDescent="0.35">
      <c r="A254" s="14">
        <v>46022</v>
      </c>
      <c r="B254" s="10" t="s">
        <v>374</v>
      </c>
      <c r="C254" s="10" t="s">
        <v>375</v>
      </c>
      <c r="D254" s="10" t="s">
        <v>962</v>
      </c>
      <c r="E254" s="10">
        <v>4353456</v>
      </c>
      <c r="F254" s="15">
        <v>100</v>
      </c>
      <c r="G254" s="10" t="s">
        <v>1296</v>
      </c>
      <c r="H254" s="10">
        <v>4353456</v>
      </c>
      <c r="I254" s="10" t="s">
        <v>1194</v>
      </c>
      <c r="J254" s="10" t="s">
        <v>1214</v>
      </c>
      <c r="K254" s="10" t="s">
        <v>1214</v>
      </c>
      <c r="L254" s="10" t="s">
        <v>1214</v>
      </c>
      <c r="M254" s="10" t="s">
        <v>1214</v>
      </c>
      <c r="N254" s="10" t="s">
        <v>61</v>
      </c>
      <c r="O254" s="10" t="s">
        <v>1214</v>
      </c>
      <c r="P254" s="10" t="s">
        <v>1214</v>
      </c>
      <c r="Q254" s="10" t="s">
        <v>1214</v>
      </c>
      <c r="R254" s="10" t="s">
        <v>1214</v>
      </c>
      <c r="S254" s="10" t="s">
        <v>61</v>
      </c>
    </row>
    <row r="255" spans="1:19" ht="43.5" x14ac:dyDescent="0.35">
      <c r="A255" s="14">
        <v>46022</v>
      </c>
      <c r="B255" s="10" t="s">
        <v>760</v>
      </c>
      <c r="C255" s="10" t="s">
        <v>761</v>
      </c>
      <c r="D255" s="10" t="s">
        <v>1079</v>
      </c>
      <c r="E255" s="10">
        <v>10931158</v>
      </c>
      <c r="F255" s="15">
        <v>100</v>
      </c>
      <c r="G255" s="10" t="s">
        <v>1411</v>
      </c>
      <c r="H255" s="10">
        <v>10931158</v>
      </c>
      <c r="I255" s="10" t="s">
        <v>1194</v>
      </c>
      <c r="J255" s="10" t="s">
        <v>1214</v>
      </c>
      <c r="K255" s="10" t="s">
        <v>1214</v>
      </c>
      <c r="L255" s="10" t="s">
        <v>1214</v>
      </c>
      <c r="M255" s="10" t="s">
        <v>1214</v>
      </c>
      <c r="N255" s="10" t="s">
        <v>61</v>
      </c>
      <c r="O255" s="10" t="s">
        <v>1214</v>
      </c>
      <c r="P255" s="10" t="s">
        <v>1214</v>
      </c>
      <c r="Q255" s="10" t="s">
        <v>1214</v>
      </c>
      <c r="R255" s="10" t="s">
        <v>1214</v>
      </c>
      <c r="S255" s="10" t="s">
        <v>61</v>
      </c>
    </row>
    <row r="256" spans="1:19" ht="43.5" x14ac:dyDescent="0.35">
      <c r="A256" s="14">
        <v>46022</v>
      </c>
      <c r="B256" s="10" t="s">
        <v>376</v>
      </c>
      <c r="C256" s="10" t="s">
        <v>377</v>
      </c>
      <c r="D256" s="10" t="s">
        <v>962</v>
      </c>
      <c r="E256" s="10">
        <v>4353456</v>
      </c>
      <c r="F256" s="15">
        <v>100</v>
      </c>
      <c r="G256" s="10" t="s">
        <v>1296</v>
      </c>
      <c r="H256" s="10">
        <v>4353456</v>
      </c>
      <c r="I256" s="10" t="s">
        <v>1194</v>
      </c>
      <c r="J256" s="10" t="s">
        <v>1214</v>
      </c>
      <c r="K256" s="10" t="s">
        <v>1214</v>
      </c>
      <c r="L256" s="10" t="s">
        <v>1214</v>
      </c>
      <c r="M256" s="10" t="s">
        <v>1214</v>
      </c>
      <c r="N256" s="10" t="s">
        <v>61</v>
      </c>
      <c r="O256" s="10" t="s">
        <v>1214</v>
      </c>
      <c r="P256" s="10" t="s">
        <v>1214</v>
      </c>
      <c r="Q256" s="10" t="s">
        <v>1214</v>
      </c>
      <c r="R256" s="10" t="s">
        <v>1214</v>
      </c>
      <c r="S256" s="10" t="s">
        <v>61</v>
      </c>
    </row>
    <row r="257" spans="1:19" ht="43.5" x14ac:dyDescent="0.35">
      <c r="A257" s="14">
        <v>46022</v>
      </c>
      <c r="B257" s="10" t="s">
        <v>762</v>
      </c>
      <c r="C257" s="10" t="s">
        <v>763</v>
      </c>
      <c r="D257" s="10" t="s">
        <v>1080</v>
      </c>
      <c r="E257" s="10">
        <v>10947962</v>
      </c>
      <c r="F257" s="15">
        <v>100</v>
      </c>
      <c r="G257" s="10" t="s">
        <v>1412</v>
      </c>
      <c r="H257" s="10">
        <v>10947962</v>
      </c>
      <c r="I257" s="10" t="s">
        <v>1194</v>
      </c>
      <c r="J257" s="10" t="s">
        <v>1214</v>
      </c>
      <c r="K257" s="10" t="s">
        <v>1214</v>
      </c>
      <c r="L257" s="10" t="s">
        <v>1214</v>
      </c>
      <c r="M257" s="10" t="s">
        <v>1214</v>
      </c>
      <c r="N257" s="10" t="s">
        <v>61</v>
      </c>
      <c r="O257" s="10" t="s">
        <v>1214</v>
      </c>
      <c r="P257" s="10" t="s">
        <v>1214</v>
      </c>
      <c r="Q257" s="10" t="s">
        <v>1214</v>
      </c>
      <c r="R257" s="10" t="s">
        <v>1214</v>
      </c>
      <c r="S257" s="10" t="s">
        <v>61</v>
      </c>
    </row>
    <row r="258" spans="1:19" ht="29" x14ac:dyDescent="0.35">
      <c r="A258" s="14">
        <v>46022</v>
      </c>
      <c r="B258" s="10" t="s">
        <v>277</v>
      </c>
      <c r="C258" s="10" t="s">
        <v>278</v>
      </c>
      <c r="D258" s="10" t="s">
        <v>1042</v>
      </c>
      <c r="E258" s="10">
        <v>4347844</v>
      </c>
      <c r="F258" s="15">
        <v>100</v>
      </c>
      <c r="G258" s="10" t="s">
        <v>1357</v>
      </c>
      <c r="H258" s="10">
        <v>4347844</v>
      </c>
      <c r="I258" s="10" t="s">
        <v>1194</v>
      </c>
      <c r="J258" s="10" t="s">
        <v>1214</v>
      </c>
      <c r="K258" s="10" t="s">
        <v>1214</v>
      </c>
      <c r="L258" s="10" t="s">
        <v>1214</v>
      </c>
      <c r="M258" s="10" t="s">
        <v>1214</v>
      </c>
      <c r="N258" s="10" t="s">
        <v>222</v>
      </c>
      <c r="O258" s="10" t="s">
        <v>1214</v>
      </c>
      <c r="P258" s="10" t="s">
        <v>1214</v>
      </c>
      <c r="Q258" s="10" t="s">
        <v>1214</v>
      </c>
      <c r="R258" s="10" t="s">
        <v>1214</v>
      </c>
      <c r="S258" s="10" t="s">
        <v>61</v>
      </c>
    </row>
    <row r="259" spans="1:19" ht="116" x14ac:dyDescent="0.35">
      <c r="A259" s="14">
        <v>46022</v>
      </c>
      <c r="B259" s="10" t="s">
        <v>279</v>
      </c>
      <c r="C259" s="10" t="s">
        <v>280</v>
      </c>
      <c r="D259" s="10" t="s">
        <v>1081</v>
      </c>
      <c r="E259" s="10">
        <v>4199168</v>
      </c>
      <c r="F259" s="15">
        <v>15</v>
      </c>
      <c r="G259" s="10" t="s">
        <v>1413</v>
      </c>
      <c r="H259" s="10">
        <v>4352491</v>
      </c>
      <c r="I259" s="10">
        <v>10602702</v>
      </c>
      <c r="J259" s="10" t="s">
        <v>1292</v>
      </c>
      <c r="K259" s="10" t="s">
        <v>61</v>
      </c>
      <c r="L259" s="10" t="s">
        <v>1396</v>
      </c>
      <c r="M259" s="10" t="s">
        <v>1252</v>
      </c>
      <c r="N259" s="10" t="s">
        <v>89</v>
      </c>
      <c r="O259" s="10" t="s">
        <v>1397</v>
      </c>
      <c r="P259" s="10" t="s">
        <v>1252</v>
      </c>
      <c r="Q259" s="10" t="s">
        <v>1397</v>
      </c>
      <c r="R259" s="10" t="s">
        <v>1252</v>
      </c>
      <c r="S259" s="10" t="s">
        <v>1252</v>
      </c>
    </row>
    <row r="260" spans="1:19" ht="116" x14ac:dyDescent="0.35">
      <c r="A260" s="14">
        <v>46022</v>
      </c>
      <c r="B260" s="10" t="s">
        <v>279</v>
      </c>
      <c r="C260" s="10" t="s">
        <v>280</v>
      </c>
      <c r="D260" s="10" t="s">
        <v>1070</v>
      </c>
      <c r="E260" s="10">
        <v>10602702</v>
      </c>
      <c r="F260" s="15">
        <v>20.25</v>
      </c>
      <c r="G260" s="10" t="s">
        <v>1413</v>
      </c>
      <c r="H260" s="10">
        <v>4352491</v>
      </c>
      <c r="I260" s="10">
        <v>10602702</v>
      </c>
      <c r="J260" s="10" t="s">
        <v>1292</v>
      </c>
      <c r="K260" s="10" t="s">
        <v>61</v>
      </c>
      <c r="L260" s="10" t="s">
        <v>1396</v>
      </c>
      <c r="M260" s="10" t="s">
        <v>1252</v>
      </c>
      <c r="N260" s="10" t="s">
        <v>89</v>
      </c>
      <c r="O260" s="10" t="s">
        <v>1397</v>
      </c>
      <c r="P260" s="10" t="s">
        <v>1252</v>
      </c>
      <c r="Q260" s="10" t="s">
        <v>1397</v>
      </c>
      <c r="R260" s="10" t="s">
        <v>1252</v>
      </c>
      <c r="S260" s="10" t="s">
        <v>1252</v>
      </c>
    </row>
    <row r="261" spans="1:19" ht="116" x14ac:dyDescent="0.35">
      <c r="A261" s="14">
        <v>46022</v>
      </c>
      <c r="B261" s="10" t="s">
        <v>279</v>
      </c>
      <c r="C261" s="10" t="s">
        <v>280</v>
      </c>
      <c r="D261" s="10" t="s">
        <v>1071</v>
      </c>
      <c r="E261" s="10">
        <v>4352491</v>
      </c>
      <c r="F261" s="15">
        <v>62.5</v>
      </c>
      <c r="G261" s="10" t="s">
        <v>1413</v>
      </c>
      <c r="H261" s="10">
        <v>4352491</v>
      </c>
      <c r="I261" s="10">
        <v>10602702</v>
      </c>
      <c r="J261" s="10" t="s">
        <v>1292</v>
      </c>
      <c r="K261" s="10" t="s">
        <v>61</v>
      </c>
      <c r="L261" s="10" t="s">
        <v>1396</v>
      </c>
      <c r="M261" s="10" t="s">
        <v>1252</v>
      </c>
      <c r="N261" s="10" t="s">
        <v>89</v>
      </c>
      <c r="O261" s="10" t="s">
        <v>1397</v>
      </c>
      <c r="P261" s="10" t="s">
        <v>1252</v>
      </c>
      <c r="Q261" s="10" t="s">
        <v>1397</v>
      </c>
      <c r="R261" s="10" t="s">
        <v>1252</v>
      </c>
      <c r="S261" s="10" t="s">
        <v>1252</v>
      </c>
    </row>
    <row r="262" spans="1:19" ht="29" x14ac:dyDescent="0.35">
      <c r="A262" s="14">
        <v>46022</v>
      </c>
      <c r="B262" s="10" t="s">
        <v>281</v>
      </c>
      <c r="C262" s="10" t="s">
        <v>282</v>
      </c>
      <c r="D262" s="10" t="s">
        <v>1082</v>
      </c>
      <c r="E262" s="10">
        <v>4350256</v>
      </c>
      <c r="F262" s="15">
        <v>100</v>
      </c>
      <c r="G262" s="10" t="s">
        <v>1414</v>
      </c>
      <c r="H262" s="10">
        <v>4350256</v>
      </c>
      <c r="I262" s="10" t="s">
        <v>1194</v>
      </c>
      <c r="J262" s="10" t="s">
        <v>1214</v>
      </c>
      <c r="K262" s="10" t="s">
        <v>1214</v>
      </c>
      <c r="L262" s="10" t="s">
        <v>1214</v>
      </c>
      <c r="M262" s="10" t="s">
        <v>1214</v>
      </c>
      <c r="N262" s="10" t="s">
        <v>222</v>
      </c>
      <c r="O262" s="10" t="s">
        <v>1214</v>
      </c>
      <c r="P262" s="10" t="s">
        <v>1214</v>
      </c>
      <c r="Q262" s="10" t="s">
        <v>1214</v>
      </c>
      <c r="R262" s="10" t="s">
        <v>1214</v>
      </c>
      <c r="S262" s="10" t="s">
        <v>61</v>
      </c>
    </row>
    <row r="263" spans="1:19" ht="29" x14ac:dyDescent="0.35">
      <c r="A263" s="14">
        <v>46022</v>
      </c>
      <c r="B263" s="10" t="s">
        <v>312</v>
      </c>
      <c r="C263" s="10" t="s">
        <v>313</v>
      </c>
      <c r="D263" s="10" t="s">
        <v>962</v>
      </c>
      <c r="E263" s="10">
        <v>4353456</v>
      </c>
      <c r="F263" s="15">
        <v>100</v>
      </c>
      <c r="G263" s="10" t="s">
        <v>1296</v>
      </c>
      <c r="H263" s="10">
        <v>4353456</v>
      </c>
      <c r="I263" s="10" t="s">
        <v>1194</v>
      </c>
      <c r="J263" s="10" t="s">
        <v>1214</v>
      </c>
      <c r="K263" s="10" t="s">
        <v>1214</v>
      </c>
      <c r="L263" s="10" t="s">
        <v>1214</v>
      </c>
      <c r="M263" s="10" t="s">
        <v>1214</v>
      </c>
      <c r="N263" s="10" t="s">
        <v>61</v>
      </c>
      <c r="O263" s="10" t="s">
        <v>1214</v>
      </c>
      <c r="P263" s="10" t="s">
        <v>1214</v>
      </c>
      <c r="Q263" s="10" t="s">
        <v>1214</v>
      </c>
      <c r="R263" s="10" t="s">
        <v>1214</v>
      </c>
      <c r="S263" s="10" t="s">
        <v>61</v>
      </c>
    </row>
    <row r="264" spans="1:19" ht="43.5" x14ac:dyDescent="0.35">
      <c r="A264" s="14">
        <v>46022</v>
      </c>
      <c r="B264" s="10" t="s">
        <v>378</v>
      </c>
      <c r="C264" s="10" t="s">
        <v>379</v>
      </c>
      <c r="D264" s="10" t="s">
        <v>1083</v>
      </c>
      <c r="E264" s="10">
        <v>10947963</v>
      </c>
      <c r="F264" s="15">
        <v>100</v>
      </c>
      <c r="G264" s="10" t="s">
        <v>1415</v>
      </c>
      <c r="H264" s="10">
        <v>10947963</v>
      </c>
      <c r="I264" s="10" t="s">
        <v>1194</v>
      </c>
      <c r="J264" s="10" t="s">
        <v>1214</v>
      </c>
      <c r="K264" s="10" t="s">
        <v>1214</v>
      </c>
      <c r="L264" s="10" t="s">
        <v>1214</v>
      </c>
      <c r="M264" s="10" t="s">
        <v>1214</v>
      </c>
      <c r="N264" s="10" t="s">
        <v>61</v>
      </c>
      <c r="O264" s="10" t="s">
        <v>1214</v>
      </c>
      <c r="P264" s="10" t="s">
        <v>1214</v>
      </c>
      <c r="Q264" s="10" t="s">
        <v>1214</v>
      </c>
      <c r="R264" s="10" t="s">
        <v>1214</v>
      </c>
      <c r="S264" s="10" t="s">
        <v>61</v>
      </c>
    </row>
    <row r="265" spans="1:19" ht="29" x14ac:dyDescent="0.35">
      <c r="A265" s="14">
        <v>46022</v>
      </c>
      <c r="B265" s="10" t="s">
        <v>575</v>
      </c>
      <c r="C265" s="10" t="s">
        <v>576</v>
      </c>
      <c r="D265" s="10" t="s">
        <v>948</v>
      </c>
      <c r="E265" s="10">
        <v>4113732</v>
      </c>
      <c r="F265" s="15">
        <v>100</v>
      </c>
      <c r="G265" s="10" t="s">
        <v>1229</v>
      </c>
      <c r="H265" s="10">
        <v>4113732</v>
      </c>
      <c r="I265" s="10" t="s">
        <v>1194</v>
      </c>
      <c r="J265" s="10" t="s">
        <v>1214</v>
      </c>
      <c r="K265" s="10" t="s">
        <v>1214</v>
      </c>
      <c r="L265" s="10" t="s">
        <v>1214</v>
      </c>
      <c r="M265" s="10" t="s">
        <v>1214</v>
      </c>
      <c r="N265" s="10" t="s">
        <v>1228</v>
      </c>
      <c r="O265" s="10" t="s">
        <v>1214</v>
      </c>
      <c r="P265" s="10" t="s">
        <v>1214</v>
      </c>
      <c r="Q265" s="10" t="s">
        <v>1214</v>
      </c>
      <c r="R265" s="10" t="s">
        <v>1214</v>
      </c>
      <c r="S265" s="10" t="s">
        <v>61</v>
      </c>
    </row>
    <row r="266" spans="1:19" ht="43.5" x14ac:dyDescent="0.35">
      <c r="A266" s="14">
        <v>46022</v>
      </c>
      <c r="B266" s="10" t="s">
        <v>764</v>
      </c>
      <c r="C266" s="10" t="s">
        <v>765</v>
      </c>
      <c r="D266" s="10" t="s">
        <v>1084</v>
      </c>
      <c r="E266" s="10">
        <v>10405484</v>
      </c>
      <c r="F266" s="15">
        <v>100</v>
      </c>
      <c r="G266" s="10" t="s">
        <v>1416</v>
      </c>
      <c r="H266" s="10">
        <v>10405484</v>
      </c>
      <c r="I266" s="10" t="s">
        <v>1194</v>
      </c>
      <c r="J266" s="10" t="s">
        <v>1214</v>
      </c>
      <c r="K266" s="10" t="s">
        <v>1214</v>
      </c>
      <c r="L266" s="10" t="s">
        <v>1214</v>
      </c>
      <c r="M266" s="10" t="s">
        <v>1214</v>
      </c>
      <c r="N266" s="10" t="s">
        <v>61</v>
      </c>
      <c r="O266" s="10" t="s">
        <v>1214</v>
      </c>
      <c r="P266" s="10" t="s">
        <v>1214</v>
      </c>
      <c r="Q266" s="10" t="s">
        <v>1214</v>
      </c>
      <c r="R266" s="10" t="s">
        <v>1214</v>
      </c>
      <c r="S266" s="10" t="s">
        <v>61</v>
      </c>
    </row>
    <row r="267" spans="1:19" ht="159.5" x14ac:dyDescent="0.35">
      <c r="A267" s="14">
        <v>46022</v>
      </c>
      <c r="B267" s="10" t="s">
        <v>314</v>
      </c>
      <c r="C267" s="10" t="s">
        <v>315</v>
      </c>
      <c r="D267" s="10" t="s">
        <v>1007</v>
      </c>
      <c r="E267" s="10">
        <v>4193273</v>
      </c>
      <c r="F267" s="15">
        <v>50.06</v>
      </c>
      <c r="G267" s="10" t="s">
        <v>1417</v>
      </c>
      <c r="H267" s="10">
        <v>4193273</v>
      </c>
      <c r="I267" s="10">
        <v>4065098</v>
      </c>
      <c r="J267" s="10" t="s">
        <v>1214</v>
      </c>
      <c r="K267" s="10" t="s">
        <v>1214</v>
      </c>
      <c r="L267" s="10" t="s">
        <v>1214</v>
      </c>
      <c r="M267" s="10" t="s">
        <v>1214</v>
      </c>
      <c r="N267" s="10" t="s">
        <v>1219</v>
      </c>
      <c r="O267" s="10" t="s">
        <v>1214</v>
      </c>
      <c r="P267" s="10" t="s">
        <v>1214</v>
      </c>
      <c r="Q267" s="10" t="s">
        <v>1214</v>
      </c>
      <c r="R267" s="10" t="s">
        <v>1214</v>
      </c>
      <c r="S267" s="10" t="s">
        <v>1235</v>
      </c>
    </row>
    <row r="268" spans="1:19" ht="159.5" x14ac:dyDescent="0.35">
      <c r="A268" s="14">
        <v>46022</v>
      </c>
      <c r="B268" s="10" t="s">
        <v>314</v>
      </c>
      <c r="C268" s="10" t="s">
        <v>315</v>
      </c>
      <c r="D268" s="10" t="s">
        <v>945</v>
      </c>
      <c r="E268" s="10">
        <v>4349314</v>
      </c>
      <c r="F268" s="15">
        <v>20</v>
      </c>
      <c r="G268" s="10" t="s">
        <v>1417</v>
      </c>
      <c r="H268" s="10">
        <v>4193273</v>
      </c>
      <c r="I268" s="10">
        <v>4065098</v>
      </c>
      <c r="J268" s="10" t="s">
        <v>1214</v>
      </c>
      <c r="K268" s="10" t="s">
        <v>1214</v>
      </c>
      <c r="L268" s="10" t="s">
        <v>1214</v>
      </c>
      <c r="M268" s="10" t="s">
        <v>1214</v>
      </c>
      <c r="N268" s="10" t="s">
        <v>1219</v>
      </c>
      <c r="O268" s="10" t="s">
        <v>1214</v>
      </c>
      <c r="P268" s="10" t="s">
        <v>1214</v>
      </c>
      <c r="Q268" s="10" t="s">
        <v>1214</v>
      </c>
      <c r="R268" s="10" t="s">
        <v>1214</v>
      </c>
      <c r="S268" s="10" t="s">
        <v>1235</v>
      </c>
    </row>
    <row r="269" spans="1:19" ht="159.5" x14ac:dyDescent="0.35">
      <c r="A269" s="14">
        <v>46022</v>
      </c>
      <c r="B269" s="10" t="s">
        <v>314</v>
      </c>
      <c r="C269" s="10" t="s">
        <v>315</v>
      </c>
      <c r="D269" s="10" t="s">
        <v>949</v>
      </c>
      <c r="E269" s="10">
        <v>4065098</v>
      </c>
      <c r="F269" s="15">
        <v>20.440000000000001</v>
      </c>
      <c r="G269" s="10" t="s">
        <v>1417</v>
      </c>
      <c r="H269" s="10">
        <v>4193273</v>
      </c>
      <c r="I269" s="10">
        <v>4065098</v>
      </c>
      <c r="J269" s="10" t="s">
        <v>1214</v>
      </c>
      <c r="K269" s="10" t="s">
        <v>1214</v>
      </c>
      <c r="L269" s="10" t="s">
        <v>1214</v>
      </c>
      <c r="M269" s="10" t="s">
        <v>1214</v>
      </c>
      <c r="N269" s="10" t="s">
        <v>1219</v>
      </c>
      <c r="O269" s="10" t="s">
        <v>1214</v>
      </c>
      <c r="P269" s="10" t="s">
        <v>1214</v>
      </c>
      <c r="Q269" s="10" t="s">
        <v>1214</v>
      </c>
      <c r="R269" s="10" t="s">
        <v>1214</v>
      </c>
      <c r="S269" s="10" t="s">
        <v>1235</v>
      </c>
    </row>
    <row r="270" spans="1:19" ht="159.5" x14ac:dyDescent="0.35">
      <c r="A270" s="14">
        <v>46022</v>
      </c>
      <c r="B270" s="10" t="s">
        <v>314</v>
      </c>
      <c r="C270" s="10" t="s">
        <v>315</v>
      </c>
      <c r="D270" s="10" t="s">
        <v>1008</v>
      </c>
      <c r="E270" s="10">
        <v>4086798</v>
      </c>
      <c r="F270" s="15">
        <v>9.5</v>
      </c>
      <c r="G270" s="10" t="s">
        <v>1417</v>
      </c>
      <c r="H270" s="10">
        <v>4193273</v>
      </c>
      <c r="I270" s="10">
        <v>4065098</v>
      </c>
      <c r="J270" s="10" t="s">
        <v>1214</v>
      </c>
      <c r="K270" s="10" t="s">
        <v>1214</v>
      </c>
      <c r="L270" s="10" t="s">
        <v>1214</v>
      </c>
      <c r="M270" s="10" t="s">
        <v>1214</v>
      </c>
      <c r="N270" s="10" t="s">
        <v>1219</v>
      </c>
      <c r="O270" s="10" t="s">
        <v>1214</v>
      </c>
      <c r="P270" s="10" t="s">
        <v>1214</v>
      </c>
      <c r="Q270" s="10" t="s">
        <v>1214</v>
      </c>
      <c r="R270" s="10" t="s">
        <v>1214</v>
      </c>
      <c r="S270" s="10" t="s">
        <v>1235</v>
      </c>
    </row>
    <row r="271" spans="1:19" ht="159.5" x14ac:dyDescent="0.35">
      <c r="A271" s="14">
        <v>46022</v>
      </c>
      <c r="B271" s="10" t="s">
        <v>316</v>
      </c>
      <c r="C271" s="10" t="s">
        <v>317</v>
      </c>
      <c r="D271" s="10" t="s">
        <v>1007</v>
      </c>
      <c r="E271" s="10">
        <v>4193273</v>
      </c>
      <c r="F271" s="15">
        <v>50.06</v>
      </c>
      <c r="G271" s="10" t="s">
        <v>1418</v>
      </c>
      <c r="H271" s="10">
        <v>4193273</v>
      </c>
      <c r="I271" s="10">
        <v>4065098</v>
      </c>
      <c r="J271" s="10" t="s">
        <v>1214</v>
      </c>
      <c r="K271" s="10" t="s">
        <v>1214</v>
      </c>
      <c r="L271" s="10" t="s">
        <v>1214</v>
      </c>
      <c r="M271" s="10" t="s">
        <v>1214</v>
      </c>
      <c r="N271" s="10" t="s">
        <v>1219</v>
      </c>
      <c r="O271" s="10" t="s">
        <v>1214</v>
      </c>
      <c r="P271" s="10" t="s">
        <v>1214</v>
      </c>
      <c r="Q271" s="10" t="s">
        <v>1214</v>
      </c>
      <c r="R271" s="10" t="s">
        <v>1214</v>
      </c>
      <c r="S271" s="10" t="s">
        <v>1235</v>
      </c>
    </row>
    <row r="272" spans="1:19" ht="159.5" x14ac:dyDescent="0.35">
      <c r="A272" s="14">
        <v>46022</v>
      </c>
      <c r="B272" s="10" t="s">
        <v>316</v>
      </c>
      <c r="C272" s="10" t="s">
        <v>317</v>
      </c>
      <c r="D272" s="10" t="s">
        <v>945</v>
      </c>
      <c r="E272" s="10">
        <v>4349314</v>
      </c>
      <c r="F272" s="15">
        <v>20</v>
      </c>
      <c r="G272" s="10" t="s">
        <v>1418</v>
      </c>
      <c r="H272" s="10">
        <v>4193273</v>
      </c>
      <c r="I272" s="10">
        <v>4065098</v>
      </c>
      <c r="J272" s="10" t="s">
        <v>1214</v>
      </c>
      <c r="K272" s="10" t="s">
        <v>1214</v>
      </c>
      <c r="L272" s="10" t="s">
        <v>1214</v>
      </c>
      <c r="M272" s="10" t="s">
        <v>1214</v>
      </c>
      <c r="N272" s="10" t="s">
        <v>1219</v>
      </c>
      <c r="O272" s="10" t="s">
        <v>1214</v>
      </c>
      <c r="P272" s="10" t="s">
        <v>1214</v>
      </c>
      <c r="Q272" s="10" t="s">
        <v>1214</v>
      </c>
      <c r="R272" s="10" t="s">
        <v>1214</v>
      </c>
      <c r="S272" s="10" t="s">
        <v>1235</v>
      </c>
    </row>
    <row r="273" spans="1:19" ht="159.5" x14ac:dyDescent="0.35">
      <c r="A273" s="14">
        <v>46022</v>
      </c>
      <c r="B273" s="10" t="s">
        <v>316</v>
      </c>
      <c r="C273" s="10" t="s">
        <v>317</v>
      </c>
      <c r="D273" s="10" t="s">
        <v>949</v>
      </c>
      <c r="E273" s="10">
        <v>4065098</v>
      </c>
      <c r="F273" s="15">
        <v>20.440000000000001</v>
      </c>
      <c r="G273" s="10" t="s">
        <v>1418</v>
      </c>
      <c r="H273" s="10">
        <v>4193273</v>
      </c>
      <c r="I273" s="10">
        <v>4065098</v>
      </c>
      <c r="J273" s="10" t="s">
        <v>1214</v>
      </c>
      <c r="K273" s="10" t="s">
        <v>1214</v>
      </c>
      <c r="L273" s="10" t="s">
        <v>1214</v>
      </c>
      <c r="M273" s="10" t="s">
        <v>1214</v>
      </c>
      <c r="N273" s="10" t="s">
        <v>1219</v>
      </c>
      <c r="O273" s="10" t="s">
        <v>1214</v>
      </c>
      <c r="P273" s="10" t="s">
        <v>1214</v>
      </c>
      <c r="Q273" s="10" t="s">
        <v>1214</v>
      </c>
      <c r="R273" s="10" t="s">
        <v>1214</v>
      </c>
      <c r="S273" s="10" t="s">
        <v>1235</v>
      </c>
    </row>
    <row r="274" spans="1:19" ht="159.5" x14ac:dyDescent="0.35">
      <c r="A274" s="14">
        <v>46022</v>
      </c>
      <c r="B274" s="10" t="s">
        <v>316</v>
      </c>
      <c r="C274" s="10" t="s">
        <v>317</v>
      </c>
      <c r="D274" s="10" t="s">
        <v>1008</v>
      </c>
      <c r="E274" s="10">
        <v>4086798</v>
      </c>
      <c r="F274" s="15">
        <v>9.5</v>
      </c>
      <c r="G274" s="10" t="s">
        <v>1418</v>
      </c>
      <c r="H274" s="10">
        <v>4193273</v>
      </c>
      <c r="I274" s="10">
        <v>4065098</v>
      </c>
      <c r="J274" s="10" t="s">
        <v>1214</v>
      </c>
      <c r="K274" s="10" t="s">
        <v>1214</v>
      </c>
      <c r="L274" s="10" t="s">
        <v>1214</v>
      </c>
      <c r="M274" s="10" t="s">
        <v>1214</v>
      </c>
      <c r="N274" s="10" t="s">
        <v>1219</v>
      </c>
      <c r="O274" s="10" t="s">
        <v>1214</v>
      </c>
      <c r="P274" s="10" t="s">
        <v>1214</v>
      </c>
      <c r="Q274" s="10" t="s">
        <v>1214</v>
      </c>
      <c r="R274" s="10" t="s">
        <v>1214</v>
      </c>
      <c r="S274" s="10" t="s">
        <v>1235</v>
      </c>
    </row>
    <row r="275" spans="1:19" ht="203" x14ac:dyDescent="0.35">
      <c r="A275" s="14">
        <v>46022</v>
      </c>
      <c r="B275" s="10" t="s">
        <v>766</v>
      </c>
      <c r="C275" s="10" t="s">
        <v>767</v>
      </c>
      <c r="D275" s="10" t="s">
        <v>951</v>
      </c>
      <c r="E275" s="10">
        <v>4348083</v>
      </c>
      <c r="F275" s="15">
        <v>60</v>
      </c>
      <c r="G275" s="10" t="s">
        <v>1419</v>
      </c>
      <c r="H275" s="10">
        <v>4348083</v>
      </c>
      <c r="I275" s="10">
        <v>4361542</v>
      </c>
      <c r="J275" s="10" t="s">
        <v>1232</v>
      </c>
      <c r="K275" s="10" t="s">
        <v>1233</v>
      </c>
      <c r="L275" s="10" t="s">
        <v>1234</v>
      </c>
      <c r="M275" s="10" t="s">
        <v>1233</v>
      </c>
      <c r="N275" s="10" t="s">
        <v>1219</v>
      </c>
      <c r="O275" s="10" t="s">
        <v>1214</v>
      </c>
      <c r="P275" s="10" t="s">
        <v>1214</v>
      </c>
      <c r="Q275" s="10" t="s">
        <v>1214</v>
      </c>
      <c r="R275" s="10" t="s">
        <v>1214</v>
      </c>
      <c r="S275" s="10" t="s">
        <v>1235</v>
      </c>
    </row>
    <row r="276" spans="1:19" ht="203" x14ac:dyDescent="0.35">
      <c r="A276" s="14">
        <v>46022</v>
      </c>
      <c r="B276" s="10" t="s">
        <v>766</v>
      </c>
      <c r="C276" s="10" t="s">
        <v>767</v>
      </c>
      <c r="D276" s="10" t="s">
        <v>994</v>
      </c>
      <c r="E276" s="10">
        <v>4361542</v>
      </c>
      <c r="F276" s="15">
        <v>12.52</v>
      </c>
      <c r="G276" s="10" t="s">
        <v>1419</v>
      </c>
      <c r="H276" s="10">
        <v>4348083</v>
      </c>
      <c r="I276" s="10">
        <v>4361542</v>
      </c>
      <c r="J276" s="10" t="s">
        <v>1232</v>
      </c>
      <c r="K276" s="10" t="s">
        <v>1233</v>
      </c>
      <c r="L276" s="10" t="s">
        <v>1234</v>
      </c>
      <c r="M276" s="10" t="s">
        <v>1233</v>
      </c>
      <c r="N276" s="10" t="s">
        <v>1219</v>
      </c>
      <c r="O276" s="10" t="s">
        <v>1214</v>
      </c>
      <c r="P276" s="10" t="s">
        <v>1214</v>
      </c>
      <c r="Q276" s="10" t="s">
        <v>1214</v>
      </c>
      <c r="R276" s="10" t="s">
        <v>1214</v>
      </c>
      <c r="S276" s="10" t="s">
        <v>1235</v>
      </c>
    </row>
    <row r="277" spans="1:19" ht="203" x14ac:dyDescent="0.35">
      <c r="A277" s="14">
        <v>46022</v>
      </c>
      <c r="B277" s="10" t="s">
        <v>766</v>
      </c>
      <c r="C277" s="10" t="s">
        <v>767</v>
      </c>
      <c r="D277" s="10" t="s">
        <v>952</v>
      </c>
      <c r="E277" s="10">
        <v>4041871</v>
      </c>
      <c r="F277" s="15">
        <v>12.48</v>
      </c>
      <c r="G277" s="10" t="s">
        <v>1419</v>
      </c>
      <c r="H277" s="10">
        <v>4348083</v>
      </c>
      <c r="I277" s="10">
        <v>4361542</v>
      </c>
      <c r="J277" s="10" t="s">
        <v>1232</v>
      </c>
      <c r="K277" s="10" t="s">
        <v>1233</v>
      </c>
      <c r="L277" s="10" t="s">
        <v>1234</v>
      </c>
      <c r="M277" s="10" t="s">
        <v>1233</v>
      </c>
      <c r="N277" s="10" t="s">
        <v>1219</v>
      </c>
      <c r="O277" s="10" t="s">
        <v>1214</v>
      </c>
      <c r="P277" s="10" t="s">
        <v>1214</v>
      </c>
      <c r="Q277" s="10" t="s">
        <v>1214</v>
      </c>
      <c r="R277" s="10" t="s">
        <v>1214</v>
      </c>
      <c r="S277" s="10" t="s">
        <v>1235</v>
      </c>
    </row>
    <row r="278" spans="1:19" ht="203" x14ac:dyDescent="0.35">
      <c r="A278" s="14">
        <v>46022</v>
      </c>
      <c r="B278" s="10" t="s">
        <v>766</v>
      </c>
      <c r="C278" s="10" t="s">
        <v>767</v>
      </c>
      <c r="D278" s="10" t="s">
        <v>949</v>
      </c>
      <c r="E278" s="10">
        <v>4065098</v>
      </c>
      <c r="F278" s="15">
        <v>5</v>
      </c>
      <c r="G278" s="10" t="s">
        <v>1419</v>
      </c>
      <c r="H278" s="10">
        <v>4348083</v>
      </c>
      <c r="I278" s="10">
        <v>4361542</v>
      </c>
      <c r="J278" s="10" t="s">
        <v>1232</v>
      </c>
      <c r="K278" s="10" t="s">
        <v>1233</v>
      </c>
      <c r="L278" s="10" t="s">
        <v>1234</v>
      </c>
      <c r="M278" s="10" t="s">
        <v>1233</v>
      </c>
      <c r="N278" s="10" t="s">
        <v>1219</v>
      </c>
      <c r="O278" s="10" t="s">
        <v>1214</v>
      </c>
      <c r="P278" s="10" t="s">
        <v>1214</v>
      </c>
      <c r="Q278" s="10" t="s">
        <v>1214</v>
      </c>
      <c r="R278" s="10" t="s">
        <v>1214</v>
      </c>
      <c r="S278" s="10" t="s">
        <v>1235</v>
      </c>
    </row>
    <row r="279" spans="1:19" ht="203" x14ac:dyDescent="0.35">
      <c r="A279" s="14">
        <v>46022</v>
      </c>
      <c r="B279" s="10" t="s">
        <v>766</v>
      </c>
      <c r="C279" s="10" t="s">
        <v>767</v>
      </c>
      <c r="D279" s="10" t="s">
        <v>1033</v>
      </c>
      <c r="E279" s="10">
        <v>4212961</v>
      </c>
      <c r="F279" s="15">
        <v>10</v>
      </c>
      <c r="G279" s="10" t="s">
        <v>1419</v>
      </c>
      <c r="H279" s="10">
        <v>4348083</v>
      </c>
      <c r="I279" s="10">
        <v>4361542</v>
      </c>
      <c r="J279" s="10" t="s">
        <v>1232</v>
      </c>
      <c r="K279" s="10" t="s">
        <v>1233</v>
      </c>
      <c r="L279" s="10" t="s">
        <v>1234</v>
      </c>
      <c r="M279" s="10" t="s">
        <v>1233</v>
      </c>
      <c r="N279" s="10" t="s">
        <v>1219</v>
      </c>
      <c r="O279" s="10" t="s">
        <v>1214</v>
      </c>
      <c r="P279" s="10" t="s">
        <v>1214</v>
      </c>
      <c r="Q279" s="10" t="s">
        <v>1214</v>
      </c>
      <c r="R279" s="10" t="s">
        <v>1214</v>
      </c>
      <c r="S279" s="10" t="s">
        <v>1235</v>
      </c>
    </row>
    <row r="280" spans="1:19" ht="101.5" x14ac:dyDescent="0.35">
      <c r="A280" s="14">
        <v>46022</v>
      </c>
      <c r="B280" s="10" t="s">
        <v>318</v>
      </c>
      <c r="C280" s="10" t="s">
        <v>319</v>
      </c>
      <c r="D280" s="10" t="s">
        <v>1085</v>
      </c>
      <c r="E280" s="10">
        <v>4983224</v>
      </c>
      <c r="F280" s="15">
        <v>80</v>
      </c>
      <c r="G280" s="10" t="s">
        <v>1420</v>
      </c>
      <c r="H280" s="10">
        <v>4983224</v>
      </c>
      <c r="I280" s="10">
        <v>4355602</v>
      </c>
      <c r="J280" s="10" t="s">
        <v>1421</v>
      </c>
      <c r="K280" s="10" t="s">
        <v>61</v>
      </c>
      <c r="L280" s="10" t="s">
        <v>1421</v>
      </c>
      <c r="M280" s="10" t="s">
        <v>61</v>
      </c>
      <c r="N280" s="10" t="s">
        <v>61</v>
      </c>
      <c r="O280" s="10" t="s">
        <v>1295</v>
      </c>
      <c r="P280" s="10" t="s">
        <v>122</v>
      </c>
      <c r="Q280" s="10" t="s">
        <v>1295</v>
      </c>
      <c r="R280" s="10" t="s">
        <v>122</v>
      </c>
      <c r="S280" s="10" t="s">
        <v>122</v>
      </c>
    </row>
    <row r="281" spans="1:19" ht="101.5" x14ac:dyDescent="0.35">
      <c r="A281" s="14">
        <v>46022</v>
      </c>
      <c r="B281" s="10" t="s">
        <v>318</v>
      </c>
      <c r="C281" s="10" t="s">
        <v>319</v>
      </c>
      <c r="D281" s="10" t="s">
        <v>1002</v>
      </c>
      <c r="E281" s="10">
        <v>4355602</v>
      </c>
      <c r="F281" s="15">
        <v>20</v>
      </c>
      <c r="G281" s="10" t="s">
        <v>1420</v>
      </c>
      <c r="H281" s="10">
        <v>4983224</v>
      </c>
      <c r="I281" s="10">
        <v>4355602</v>
      </c>
      <c r="J281" s="10" t="s">
        <v>1421</v>
      </c>
      <c r="K281" s="10" t="s">
        <v>61</v>
      </c>
      <c r="L281" s="10" t="s">
        <v>1421</v>
      </c>
      <c r="M281" s="10" t="s">
        <v>61</v>
      </c>
      <c r="N281" s="10" t="s">
        <v>61</v>
      </c>
      <c r="O281" s="10" t="s">
        <v>1295</v>
      </c>
      <c r="P281" s="10" t="s">
        <v>122</v>
      </c>
      <c r="Q281" s="10" t="s">
        <v>1295</v>
      </c>
      <c r="R281" s="10" t="s">
        <v>122</v>
      </c>
      <c r="S281" s="10" t="s">
        <v>122</v>
      </c>
    </row>
    <row r="282" spans="1:19" ht="29" x14ac:dyDescent="0.35">
      <c r="A282" s="14">
        <v>46022</v>
      </c>
      <c r="B282" s="10" t="s">
        <v>768</v>
      </c>
      <c r="C282" s="10" t="s">
        <v>769</v>
      </c>
      <c r="D282" s="10" t="s">
        <v>981</v>
      </c>
      <c r="E282" s="10">
        <v>4120225</v>
      </c>
      <c r="F282" s="15">
        <v>100</v>
      </c>
      <c r="G282" s="10" t="s">
        <v>1422</v>
      </c>
      <c r="H282" s="10">
        <v>4120225</v>
      </c>
      <c r="I282" s="10" t="s">
        <v>1194</v>
      </c>
      <c r="J282" s="10" t="s">
        <v>1214</v>
      </c>
      <c r="K282" s="10" t="s">
        <v>1214</v>
      </c>
      <c r="L282" s="10" t="s">
        <v>1214</v>
      </c>
      <c r="M282" s="10" t="s">
        <v>1214</v>
      </c>
      <c r="N282" s="10" t="s">
        <v>222</v>
      </c>
      <c r="O282" s="10" t="s">
        <v>1214</v>
      </c>
      <c r="P282" s="10" t="s">
        <v>1214</v>
      </c>
      <c r="Q282" s="10" t="s">
        <v>1214</v>
      </c>
      <c r="R282" s="10" t="s">
        <v>1214</v>
      </c>
      <c r="S282" s="10" t="s">
        <v>61</v>
      </c>
    </row>
    <row r="283" spans="1:19" ht="58" x14ac:dyDescent="0.35">
      <c r="A283" s="14">
        <v>46022</v>
      </c>
      <c r="B283" s="10" t="s">
        <v>770</v>
      </c>
      <c r="C283" s="10" t="s">
        <v>771</v>
      </c>
      <c r="D283" s="10" t="s">
        <v>1086</v>
      </c>
      <c r="E283" s="10">
        <v>10931251</v>
      </c>
      <c r="F283" s="15">
        <v>100</v>
      </c>
      <c r="G283" s="10" t="s">
        <v>1423</v>
      </c>
      <c r="H283" s="10">
        <v>10931251</v>
      </c>
      <c r="I283" s="10" t="s">
        <v>1194</v>
      </c>
      <c r="J283" s="10" t="s">
        <v>1214</v>
      </c>
      <c r="K283" s="10" t="s">
        <v>1214</v>
      </c>
      <c r="L283" s="10" t="s">
        <v>1214</v>
      </c>
      <c r="M283" s="10" t="s">
        <v>1214</v>
      </c>
      <c r="N283" s="10" t="s">
        <v>61</v>
      </c>
      <c r="O283" s="10" t="s">
        <v>1214</v>
      </c>
      <c r="P283" s="10" t="s">
        <v>1214</v>
      </c>
      <c r="Q283" s="10" t="s">
        <v>1214</v>
      </c>
      <c r="R283" s="10" t="s">
        <v>1214</v>
      </c>
      <c r="S283" s="10" t="s">
        <v>61</v>
      </c>
    </row>
    <row r="284" spans="1:19" ht="43.5" x14ac:dyDescent="0.35">
      <c r="A284" s="14">
        <v>46022</v>
      </c>
      <c r="B284" s="10" t="s">
        <v>320</v>
      </c>
      <c r="C284" s="10" t="s">
        <v>321</v>
      </c>
      <c r="D284" s="10" t="s">
        <v>1087</v>
      </c>
      <c r="E284" s="10">
        <v>10931198</v>
      </c>
      <c r="F284" s="15">
        <v>100</v>
      </c>
      <c r="G284" s="10" t="s">
        <v>1424</v>
      </c>
      <c r="H284" s="10">
        <v>10931198</v>
      </c>
      <c r="I284" s="10" t="s">
        <v>1194</v>
      </c>
      <c r="J284" s="10" t="s">
        <v>1214</v>
      </c>
      <c r="K284" s="10" t="s">
        <v>1214</v>
      </c>
      <c r="L284" s="10" t="s">
        <v>1214</v>
      </c>
      <c r="M284" s="10" t="s">
        <v>1214</v>
      </c>
      <c r="N284" s="10" t="s">
        <v>61</v>
      </c>
      <c r="O284" s="10" t="s">
        <v>1214</v>
      </c>
      <c r="P284" s="10" t="s">
        <v>1214</v>
      </c>
      <c r="Q284" s="10" t="s">
        <v>1214</v>
      </c>
      <c r="R284" s="10" t="s">
        <v>1214</v>
      </c>
      <c r="S284" s="10" t="s">
        <v>61</v>
      </c>
    </row>
    <row r="285" spans="1:19" ht="29" x14ac:dyDescent="0.35">
      <c r="A285" s="14">
        <v>46022</v>
      </c>
      <c r="B285" s="10" t="s">
        <v>772</v>
      </c>
      <c r="C285" s="10" t="s">
        <v>773</v>
      </c>
      <c r="D285" s="10" t="s">
        <v>1088</v>
      </c>
      <c r="E285" s="10">
        <v>10948013</v>
      </c>
      <c r="F285" s="15">
        <v>100</v>
      </c>
      <c r="G285" s="10" t="s">
        <v>1425</v>
      </c>
      <c r="H285" s="10">
        <v>10948013</v>
      </c>
      <c r="I285" s="10" t="s">
        <v>1194</v>
      </c>
      <c r="J285" s="10" t="s">
        <v>1214</v>
      </c>
      <c r="K285" s="10" t="s">
        <v>1214</v>
      </c>
      <c r="L285" s="10" t="s">
        <v>1214</v>
      </c>
      <c r="M285" s="10" t="s">
        <v>1214</v>
      </c>
      <c r="N285" s="10" t="s">
        <v>61</v>
      </c>
      <c r="O285" s="10" t="s">
        <v>1214</v>
      </c>
      <c r="P285" s="10" t="s">
        <v>1214</v>
      </c>
      <c r="Q285" s="10" t="s">
        <v>1214</v>
      </c>
      <c r="R285" s="10" t="s">
        <v>1214</v>
      </c>
      <c r="S285" s="10" t="s">
        <v>61</v>
      </c>
    </row>
    <row r="286" spans="1:19" ht="101.5" x14ac:dyDescent="0.35">
      <c r="A286" s="14">
        <v>46022</v>
      </c>
      <c r="B286" s="10" t="s">
        <v>577</v>
      </c>
      <c r="C286" s="10" t="s">
        <v>578</v>
      </c>
      <c r="D286" s="10" t="s">
        <v>1001</v>
      </c>
      <c r="E286" s="10">
        <v>4349160</v>
      </c>
      <c r="F286" s="15">
        <v>42</v>
      </c>
      <c r="G286" s="10" t="s">
        <v>1426</v>
      </c>
      <c r="H286" s="10">
        <v>4349160</v>
      </c>
      <c r="I286" s="10">
        <v>19378802</v>
      </c>
      <c r="J286" s="10" t="s">
        <v>1292</v>
      </c>
      <c r="K286" s="10" t="s">
        <v>61</v>
      </c>
      <c r="L286" s="10" t="s">
        <v>1293</v>
      </c>
      <c r="M286" s="10" t="s">
        <v>1294</v>
      </c>
      <c r="N286" s="10" t="s">
        <v>61</v>
      </c>
      <c r="O286" s="10" t="s">
        <v>1214</v>
      </c>
      <c r="P286" s="10" t="s">
        <v>1214</v>
      </c>
      <c r="Q286" s="10" t="s">
        <v>1214</v>
      </c>
      <c r="R286" s="10" t="s">
        <v>1214</v>
      </c>
      <c r="S286" s="10" t="s">
        <v>79</v>
      </c>
    </row>
    <row r="287" spans="1:19" ht="101.5" x14ac:dyDescent="0.35">
      <c r="A287" s="14">
        <v>46022</v>
      </c>
      <c r="B287" s="10" t="s">
        <v>577</v>
      </c>
      <c r="C287" s="10" t="s">
        <v>578</v>
      </c>
      <c r="D287" s="10" t="s">
        <v>1089</v>
      </c>
      <c r="E287" s="10">
        <v>19378802</v>
      </c>
      <c r="F287" s="15">
        <v>35</v>
      </c>
      <c r="G287" s="10" t="s">
        <v>1426</v>
      </c>
      <c r="H287" s="10">
        <v>4349160</v>
      </c>
      <c r="I287" s="10">
        <v>19378802</v>
      </c>
      <c r="J287" s="10" t="s">
        <v>1292</v>
      </c>
      <c r="K287" s="10" t="s">
        <v>61</v>
      </c>
      <c r="L287" s="10" t="s">
        <v>1293</v>
      </c>
      <c r="M287" s="10" t="s">
        <v>1294</v>
      </c>
      <c r="N287" s="10" t="s">
        <v>61</v>
      </c>
      <c r="O287" s="10" t="s">
        <v>1214</v>
      </c>
      <c r="P287" s="10" t="s">
        <v>1214</v>
      </c>
      <c r="Q287" s="10" t="s">
        <v>1214</v>
      </c>
      <c r="R287" s="10" t="s">
        <v>1214</v>
      </c>
      <c r="S287" s="10" t="s">
        <v>79</v>
      </c>
    </row>
    <row r="288" spans="1:19" ht="29" x14ac:dyDescent="0.35">
      <c r="A288" s="14">
        <v>46022</v>
      </c>
      <c r="B288" s="10" t="s">
        <v>322</v>
      </c>
      <c r="C288" s="10" t="s">
        <v>323</v>
      </c>
      <c r="D288" s="10" t="s">
        <v>1090</v>
      </c>
      <c r="E288" s="10">
        <v>4223919</v>
      </c>
      <c r="F288" s="15">
        <v>100</v>
      </c>
      <c r="G288" s="10" t="s">
        <v>1427</v>
      </c>
      <c r="H288" s="10">
        <v>4223919</v>
      </c>
      <c r="I288" s="10" t="s">
        <v>1194</v>
      </c>
      <c r="J288" s="10" t="s">
        <v>1214</v>
      </c>
      <c r="K288" s="10" t="s">
        <v>1214</v>
      </c>
      <c r="L288" s="10" t="s">
        <v>1214</v>
      </c>
      <c r="M288" s="10" t="s">
        <v>1214</v>
      </c>
      <c r="N288" s="10" t="s">
        <v>55</v>
      </c>
      <c r="O288" s="10" t="s">
        <v>1214</v>
      </c>
      <c r="P288" s="10" t="s">
        <v>1214</v>
      </c>
      <c r="Q288" s="10" t="s">
        <v>1214</v>
      </c>
      <c r="R288" s="10" t="s">
        <v>1214</v>
      </c>
      <c r="S288" s="10" t="s">
        <v>61</v>
      </c>
    </row>
    <row r="289" spans="1:19" ht="29" x14ac:dyDescent="0.35">
      <c r="A289" s="14">
        <v>46022</v>
      </c>
      <c r="B289" s="10" t="s">
        <v>774</v>
      </c>
      <c r="C289" s="10" t="s">
        <v>775</v>
      </c>
      <c r="D289" s="10" t="s">
        <v>1013</v>
      </c>
      <c r="E289" s="10">
        <v>4348938</v>
      </c>
      <c r="F289" s="15">
        <v>100</v>
      </c>
      <c r="G289" s="10" t="s">
        <v>1313</v>
      </c>
      <c r="H289" s="10">
        <v>4348938</v>
      </c>
      <c r="I289" s="10" t="s">
        <v>1194</v>
      </c>
      <c r="J289" s="10" t="s">
        <v>1214</v>
      </c>
      <c r="K289" s="10" t="s">
        <v>1214</v>
      </c>
      <c r="L289" s="10" t="s">
        <v>1214</v>
      </c>
      <c r="M289" s="10" t="s">
        <v>1214</v>
      </c>
      <c r="N289" s="10" t="s">
        <v>222</v>
      </c>
      <c r="O289" s="10" t="s">
        <v>1214</v>
      </c>
      <c r="P289" s="10" t="s">
        <v>1214</v>
      </c>
      <c r="Q289" s="10" t="s">
        <v>1214</v>
      </c>
      <c r="R289" s="10" t="s">
        <v>1214</v>
      </c>
      <c r="S289" s="10" t="s">
        <v>61</v>
      </c>
    </row>
    <row r="290" spans="1:19" ht="29" x14ac:dyDescent="0.35">
      <c r="A290" s="14">
        <v>46022</v>
      </c>
      <c r="B290" s="10" t="s">
        <v>579</v>
      </c>
      <c r="C290" s="10" t="s">
        <v>580</v>
      </c>
      <c r="D290" s="10" t="s">
        <v>1013</v>
      </c>
      <c r="E290" s="10">
        <v>4348938</v>
      </c>
      <c r="F290" s="15">
        <v>100</v>
      </c>
      <c r="G290" s="10" t="s">
        <v>1313</v>
      </c>
      <c r="H290" s="10">
        <v>4348938</v>
      </c>
      <c r="I290" s="10" t="s">
        <v>1194</v>
      </c>
      <c r="J290" s="10" t="s">
        <v>1214</v>
      </c>
      <c r="K290" s="10" t="s">
        <v>1214</v>
      </c>
      <c r="L290" s="10" t="s">
        <v>1214</v>
      </c>
      <c r="M290" s="10" t="s">
        <v>1214</v>
      </c>
      <c r="N290" s="10" t="s">
        <v>222</v>
      </c>
      <c r="O290" s="10" t="s">
        <v>1214</v>
      </c>
      <c r="P290" s="10" t="s">
        <v>1214</v>
      </c>
      <c r="Q290" s="10" t="s">
        <v>1214</v>
      </c>
      <c r="R290" s="10" t="s">
        <v>1214</v>
      </c>
      <c r="S290" s="10" t="s">
        <v>61</v>
      </c>
    </row>
    <row r="291" spans="1:19" ht="116" x14ac:dyDescent="0.35">
      <c r="A291" s="14">
        <v>46022</v>
      </c>
      <c r="B291" s="10" t="s">
        <v>581</v>
      </c>
      <c r="C291" s="10" t="s">
        <v>582</v>
      </c>
      <c r="D291" s="10" t="s">
        <v>1013</v>
      </c>
      <c r="E291" s="10">
        <v>4348938</v>
      </c>
      <c r="F291" s="15">
        <v>69.989999999999995</v>
      </c>
      <c r="G291" s="10" t="s">
        <v>1428</v>
      </c>
      <c r="H291" s="10">
        <v>4348938</v>
      </c>
      <c r="I291" s="10">
        <v>4212961</v>
      </c>
      <c r="J291" s="10" t="s">
        <v>1214</v>
      </c>
      <c r="K291" s="10" t="s">
        <v>1214</v>
      </c>
      <c r="L291" s="10" t="s">
        <v>1214</v>
      </c>
      <c r="M291" s="10" t="s">
        <v>1214</v>
      </c>
      <c r="N291" s="10" t="s">
        <v>222</v>
      </c>
      <c r="O291" s="10" t="s">
        <v>1214</v>
      </c>
      <c r="P291" s="10" t="s">
        <v>1214</v>
      </c>
      <c r="Q291" s="10" t="s">
        <v>1214</v>
      </c>
      <c r="R291" s="10" t="s">
        <v>1214</v>
      </c>
      <c r="S291" s="10" t="s">
        <v>1235</v>
      </c>
    </row>
    <row r="292" spans="1:19" ht="116" x14ac:dyDescent="0.35">
      <c r="A292" s="14">
        <v>46022</v>
      </c>
      <c r="B292" s="10" t="s">
        <v>581</v>
      </c>
      <c r="C292" s="10" t="s">
        <v>582</v>
      </c>
      <c r="D292" s="10" t="s">
        <v>1033</v>
      </c>
      <c r="E292" s="10">
        <v>4212961</v>
      </c>
      <c r="F292" s="15">
        <v>30</v>
      </c>
      <c r="G292" s="10" t="s">
        <v>1428</v>
      </c>
      <c r="H292" s="10">
        <v>4348938</v>
      </c>
      <c r="I292" s="10">
        <v>4212961</v>
      </c>
      <c r="J292" s="10" t="s">
        <v>1214</v>
      </c>
      <c r="K292" s="10" t="s">
        <v>1214</v>
      </c>
      <c r="L292" s="10" t="s">
        <v>1214</v>
      </c>
      <c r="M292" s="10" t="s">
        <v>1214</v>
      </c>
      <c r="N292" s="10" t="s">
        <v>222</v>
      </c>
      <c r="O292" s="10" t="s">
        <v>1214</v>
      </c>
      <c r="P292" s="10" t="s">
        <v>1214</v>
      </c>
      <c r="Q292" s="10" t="s">
        <v>1214</v>
      </c>
      <c r="R292" s="10" t="s">
        <v>1214</v>
      </c>
      <c r="S292" s="10" t="s">
        <v>1235</v>
      </c>
    </row>
    <row r="293" spans="1:19" ht="116" x14ac:dyDescent="0.35">
      <c r="A293" s="14">
        <v>46022</v>
      </c>
      <c r="B293" s="10" t="s">
        <v>380</v>
      </c>
      <c r="C293" s="10" t="s">
        <v>381</v>
      </c>
      <c r="D293" s="10" t="s">
        <v>1013</v>
      </c>
      <c r="E293" s="10">
        <v>4348938</v>
      </c>
      <c r="F293" s="15">
        <v>69.989999999999995</v>
      </c>
      <c r="G293" s="10" t="s">
        <v>1429</v>
      </c>
      <c r="H293" s="10">
        <v>4348938</v>
      </c>
      <c r="I293" s="10">
        <v>4212961</v>
      </c>
      <c r="J293" s="10" t="s">
        <v>1214</v>
      </c>
      <c r="K293" s="10" t="s">
        <v>1214</v>
      </c>
      <c r="L293" s="10" t="s">
        <v>1214</v>
      </c>
      <c r="M293" s="10" t="s">
        <v>1214</v>
      </c>
      <c r="N293" s="10" t="s">
        <v>222</v>
      </c>
      <c r="O293" s="10" t="s">
        <v>1214</v>
      </c>
      <c r="P293" s="10" t="s">
        <v>1214</v>
      </c>
      <c r="Q293" s="10" t="s">
        <v>1214</v>
      </c>
      <c r="R293" s="10" t="s">
        <v>1214</v>
      </c>
      <c r="S293" s="10" t="s">
        <v>1235</v>
      </c>
    </row>
    <row r="294" spans="1:19" ht="116" x14ac:dyDescent="0.35">
      <c r="A294" s="14">
        <v>46022</v>
      </c>
      <c r="B294" s="10" t="s">
        <v>380</v>
      </c>
      <c r="C294" s="10" t="s">
        <v>381</v>
      </c>
      <c r="D294" s="10" t="s">
        <v>1033</v>
      </c>
      <c r="E294" s="10">
        <v>4212961</v>
      </c>
      <c r="F294" s="15">
        <v>30</v>
      </c>
      <c r="G294" s="10" t="s">
        <v>1429</v>
      </c>
      <c r="H294" s="10">
        <v>4348938</v>
      </c>
      <c r="I294" s="10">
        <v>4212961</v>
      </c>
      <c r="J294" s="10" t="s">
        <v>1214</v>
      </c>
      <c r="K294" s="10" t="s">
        <v>1214</v>
      </c>
      <c r="L294" s="10" t="s">
        <v>1214</v>
      </c>
      <c r="M294" s="10" t="s">
        <v>1214</v>
      </c>
      <c r="N294" s="10" t="s">
        <v>222</v>
      </c>
      <c r="O294" s="10" t="s">
        <v>1214</v>
      </c>
      <c r="P294" s="10" t="s">
        <v>1214</v>
      </c>
      <c r="Q294" s="10" t="s">
        <v>1214</v>
      </c>
      <c r="R294" s="10" t="s">
        <v>1214</v>
      </c>
      <c r="S294" s="10" t="s">
        <v>1235</v>
      </c>
    </row>
    <row r="295" spans="1:19" ht="29" x14ac:dyDescent="0.35">
      <c r="A295" s="14">
        <v>46022</v>
      </c>
      <c r="B295" s="10" t="s">
        <v>583</v>
      </c>
      <c r="C295" s="10" t="s">
        <v>584</v>
      </c>
      <c r="D295" s="10" t="s">
        <v>962</v>
      </c>
      <c r="E295" s="10">
        <v>4353456</v>
      </c>
      <c r="F295" s="15">
        <v>100</v>
      </c>
      <c r="G295" s="10" t="s">
        <v>1296</v>
      </c>
      <c r="H295" s="10">
        <v>4353456</v>
      </c>
      <c r="I295" s="10" t="s">
        <v>1194</v>
      </c>
      <c r="J295" s="10" t="s">
        <v>1214</v>
      </c>
      <c r="K295" s="10" t="s">
        <v>1214</v>
      </c>
      <c r="L295" s="10" t="s">
        <v>1214</v>
      </c>
      <c r="M295" s="10" t="s">
        <v>1214</v>
      </c>
      <c r="N295" s="10" t="s">
        <v>61</v>
      </c>
      <c r="O295" s="10" t="s">
        <v>1214</v>
      </c>
      <c r="P295" s="10" t="s">
        <v>1214</v>
      </c>
      <c r="Q295" s="10" t="s">
        <v>1214</v>
      </c>
      <c r="R295" s="10" t="s">
        <v>1214</v>
      </c>
      <c r="S295" s="10" t="s">
        <v>61</v>
      </c>
    </row>
    <row r="296" spans="1:19" ht="72.5" x14ac:dyDescent="0.35">
      <c r="A296" s="14">
        <v>46022</v>
      </c>
      <c r="B296" s="10" t="s">
        <v>324</v>
      </c>
      <c r="C296" s="10" t="s">
        <v>325</v>
      </c>
      <c r="D296" s="10" t="s">
        <v>959</v>
      </c>
      <c r="E296" s="10">
        <v>4352362</v>
      </c>
      <c r="F296" s="15">
        <v>99.99</v>
      </c>
      <c r="G296" s="10" t="s">
        <v>1242</v>
      </c>
      <c r="H296" s="10">
        <v>4352362</v>
      </c>
      <c r="I296" s="10">
        <v>4400798</v>
      </c>
      <c r="J296" s="10" t="s">
        <v>1214</v>
      </c>
      <c r="K296" s="10" t="s">
        <v>1214</v>
      </c>
      <c r="L296" s="10" t="s">
        <v>1214</v>
      </c>
      <c r="M296" s="10" t="s">
        <v>1214</v>
      </c>
      <c r="N296" s="10" t="s">
        <v>111</v>
      </c>
      <c r="O296" s="10" t="s">
        <v>1214</v>
      </c>
      <c r="P296" s="10" t="s">
        <v>1214</v>
      </c>
      <c r="Q296" s="10" t="s">
        <v>1214</v>
      </c>
      <c r="R296" s="10" t="s">
        <v>1214</v>
      </c>
      <c r="S296" s="10" t="s">
        <v>79</v>
      </c>
    </row>
    <row r="297" spans="1:19" ht="87" x14ac:dyDescent="0.35">
      <c r="A297" s="14">
        <v>46022</v>
      </c>
      <c r="B297" s="10" t="s">
        <v>776</v>
      </c>
      <c r="C297" s="10" t="s">
        <v>777</v>
      </c>
      <c r="D297" s="10" t="s">
        <v>1091</v>
      </c>
      <c r="E297" s="10">
        <v>4351200</v>
      </c>
      <c r="F297" s="15">
        <v>19.36</v>
      </c>
      <c r="G297" s="10" t="s">
        <v>1430</v>
      </c>
      <c r="H297" s="10">
        <v>4379789</v>
      </c>
      <c r="I297" s="10">
        <v>4351200</v>
      </c>
      <c r="J297" s="10" t="s">
        <v>1214</v>
      </c>
      <c r="K297" s="10" t="s">
        <v>1214</v>
      </c>
      <c r="L297" s="10" t="s">
        <v>1214</v>
      </c>
      <c r="M297" s="10" t="s">
        <v>1214</v>
      </c>
      <c r="N297" s="10" t="s">
        <v>105</v>
      </c>
      <c r="O297" s="10" t="s">
        <v>1431</v>
      </c>
      <c r="P297" s="10" t="s">
        <v>105</v>
      </c>
      <c r="Q297" s="10" t="s">
        <v>1432</v>
      </c>
      <c r="R297" s="10" t="s">
        <v>105</v>
      </c>
      <c r="S297" s="10" t="s">
        <v>105</v>
      </c>
    </row>
    <row r="298" spans="1:19" ht="87" x14ac:dyDescent="0.35">
      <c r="A298" s="14">
        <v>46022</v>
      </c>
      <c r="B298" s="10" t="s">
        <v>776</v>
      </c>
      <c r="C298" s="10" t="s">
        <v>777</v>
      </c>
      <c r="D298" s="10" t="s">
        <v>1077</v>
      </c>
      <c r="E298" s="10">
        <v>4379789</v>
      </c>
      <c r="F298" s="15">
        <v>80.64</v>
      </c>
      <c r="G298" s="10" t="s">
        <v>1430</v>
      </c>
      <c r="H298" s="10">
        <v>4379789</v>
      </c>
      <c r="I298" s="10">
        <v>4351200</v>
      </c>
      <c r="J298" s="10" t="s">
        <v>1214</v>
      </c>
      <c r="K298" s="10" t="s">
        <v>1214</v>
      </c>
      <c r="L298" s="10" t="s">
        <v>1214</v>
      </c>
      <c r="M298" s="10" t="s">
        <v>1214</v>
      </c>
      <c r="N298" s="10" t="s">
        <v>105</v>
      </c>
      <c r="O298" s="10" t="s">
        <v>1431</v>
      </c>
      <c r="P298" s="10" t="s">
        <v>105</v>
      </c>
      <c r="Q298" s="10" t="s">
        <v>1432</v>
      </c>
      <c r="R298" s="10" t="s">
        <v>105</v>
      </c>
      <c r="S298" s="10" t="s">
        <v>105</v>
      </c>
    </row>
    <row r="299" spans="1:19" ht="29" x14ac:dyDescent="0.35">
      <c r="A299" s="14">
        <v>46022</v>
      </c>
      <c r="B299" s="10" t="s">
        <v>382</v>
      </c>
      <c r="C299" s="10" t="s">
        <v>383</v>
      </c>
      <c r="D299" s="10" t="s">
        <v>1092</v>
      </c>
      <c r="E299" s="10">
        <v>4354011</v>
      </c>
      <c r="F299" s="15">
        <v>100</v>
      </c>
      <c r="G299" s="10" t="s">
        <v>1433</v>
      </c>
      <c r="H299" s="10">
        <v>4354011</v>
      </c>
      <c r="I299" s="10" t="s">
        <v>1194</v>
      </c>
      <c r="J299" s="10" t="s">
        <v>1214</v>
      </c>
      <c r="K299" s="10" t="s">
        <v>1214</v>
      </c>
      <c r="L299" s="10" t="s">
        <v>1214</v>
      </c>
      <c r="M299" s="10" t="s">
        <v>1214</v>
      </c>
      <c r="N299" s="10" t="s">
        <v>89</v>
      </c>
      <c r="O299" s="10" t="s">
        <v>1214</v>
      </c>
      <c r="P299" s="10" t="s">
        <v>1214</v>
      </c>
      <c r="Q299" s="10" t="s">
        <v>1214</v>
      </c>
      <c r="R299" s="10" t="s">
        <v>1214</v>
      </c>
      <c r="S299" s="10" t="s">
        <v>61</v>
      </c>
    </row>
    <row r="300" spans="1:19" ht="29" x14ac:dyDescent="0.35">
      <c r="A300" s="14">
        <v>46022</v>
      </c>
      <c r="B300" s="10" t="s">
        <v>356</v>
      </c>
      <c r="C300" s="10" t="s">
        <v>357</v>
      </c>
      <c r="D300" s="10" t="s">
        <v>1093</v>
      </c>
      <c r="E300" s="10">
        <v>8380433</v>
      </c>
      <c r="F300" s="15">
        <v>100</v>
      </c>
      <c r="G300" s="10" t="s">
        <v>1434</v>
      </c>
      <c r="H300" s="10">
        <v>8380433</v>
      </c>
      <c r="I300" s="10" t="s">
        <v>1194</v>
      </c>
      <c r="J300" s="10" t="s">
        <v>1435</v>
      </c>
      <c r="K300" s="10" t="s">
        <v>1240</v>
      </c>
      <c r="L300" s="10" t="s">
        <v>1435</v>
      </c>
      <c r="M300" s="10" t="s">
        <v>1240</v>
      </c>
      <c r="N300" s="10" t="s">
        <v>69</v>
      </c>
      <c r="O300" s="10" t="s">
        <v>1214</v>
      </c>
      <c r="P300" s="10" t="s">
        <v>1214</v>
      </c>
      <c r="Q300" s="10" t="s">
        <v>1214</v>
      </c>
      <c r="R300" s="10" t="s">
        <v>1214</v>
      </c>
      <c r="S300" s="10" t="s">
        <v>61</v>
      </c>
    </row>
    <row r="301" spans="1:19" ht="29" x14ac:dyDescent="0.35">
      <c r="A301" s="14">
        <v>46022</v>
      </c>
      <c r="B301" s="10" t="s">
        <v>778</v>
      </c>
      <c r="C301" s="10" t="s">
        <v>779</v>
      </c>
      <c r="D301" s="10" t="s">
        <v>963</v>
      </c>
      <c r="E301" s="10">
        <v>4004107</v>
      </c>
      <c r="F301" s="15">
        <v>100</v>
      </c>
      <c r="G301" s="10" t="s">
        <v>1245</v>
      </c>
      <c r="H301" s="10">
        <v>4004107</v>
      </c>
      <c r="I301" s="10" t="s">
        <v>1194</v>
      </c>
      <c r="J301" s="10" t="s">
        <v>1214</v>
      </c>
      <c r="K301" s="10" t="s">
        <v>1214</v>
      </c>
      <c r="L301" s="10" t="s">
        <v>1214</v>
      </c>
      <c r="M301" s="10" t="s">
        <v>1214</v>
      </c>
      <c r="N301" s="10" t="s">
        <v>79</v>
      </c>
      <c r="O301" s="10" t="s">
        <v>1214</v>
      </c>
      <c r="P301" s="10" t="s">
        <v>1214</v>
      </c>
      <c r="Q301" s="10" t="s">
        <v>1214</v>
      </c>
      <c r="R301" s="10" t="s">
        <v>1214</v>
      </c>
      <c r="S301" s="10" t="s">
        <v>61</v>
      </c>
    </row>
    <row r="302" spans="1:19" ht="29" x14ac:dyDescent="0.35">
      <c r="A302" s="14">
        <v>46022</v>
      </c>
      <c r="B302" s="10" t="s">
        <v>414</v>
      </c>
      <c r="C302" s="10" t="s">
        <v>415</v>
      </c>
      <c r="D302" s="10" t="s">
        <v>990</v>
      </c>
      <c r="E302" s="10">
        <v>4351226</v>
      </c>
      <c r="F302" s="15">
        <v>100</v>
      </c>
      <c r="G302" s="10" t="s">
        <v>1275</v>
      </c>
      <c r="H302" s="10">
        <v>4351226</v>
      </c>
      <c r="I302" s="10" t="s">
        <v>1194</v>
      </c>
      <c r="J302" s="10" t="s">
        <v>1214</v>
      </c>
      <c r="K302" s="10" t="s">
        <v>1214</v>
      </c>
      <c r="L302" s="10" t="s">
        <v>1214</v>
      </c>
      <c r="M302" s="10" t="s">
        <v>1214</v>
      </c>
      <c r="N302" s="10" t="s">
        <v>111</v>
      </c>
      <c r="O302" s="10" t="s">
        <v>1214</v>
      </c>
      <c r="P302" s="10" t="s">
        <v>1214</v>
      </c>
      <c r="Q302" s="10" t="s">
        <v>1214</v>
      </c>
      <c r="R302" s="10" t="s">
        <v>1214</v>
      </c>
      <c r="S302" s="10" t="s">
        <v>61</v>
      </c>
    </row>
    <row r="303" spans="1:19" ht="87" x14ac:dyDescent="0.35">
      <c r="A303" s="14">
        <v>46022</v>
      </c>
      <c r="B303" s="10" t="s">
        <v>585</v>
      </c>
      <c r="C303" s="10" t="s">
        <v>586</v>
      </c>
      <c r="D303" s="10" t="s">
        <v>1053</v>
      </c>
      <c r="E303" s="10">
        <v>4351190</v>
      </c>
      <c r="F303" s="15">
        <v>50</v>
      </c>
      <c r="G303" s="10" t="s">
        <v>1436</v>
      </c>
      <c r="H303" s="10">
        <v>4351190</v>
      </c>
      <c r="I303" s="10">
        <v>4379789</v>
      </c>
      <c r="J303" s="10" t="s">
        <v>1214</v>
      </c>
      <c r="K303" s="10" t="s">
        <v>1214</v>
      </c>
      <c r="L303" s="10" t="s">
        <v>1214</v>
      </c>
      <c r="M303" s="10" t="s">
        <v>1214</v>
      </c>
      <c r="N303" s="10" t="s">
        <v>105</v>
      </c>
      <c r="O303" s="10" t="s">
        <v>1214</v>
      </c>
      <c r="P303" s="10" t="s">
        <v>1214</v>
      </c>
      <c r="Q303" s="10" t="s">
        <v>1214</v>
      </c>
      <c r="R303" s="10" t="s">
        <v>1214</v>
      </c>
      <c r="S303" s="10" t="s">
        <v>105</v>
      </c>
    </row>
    <row r="304" spans="1:19" ht="87" x14ac:dyDescent="0.35">
      <c r="A304" s="14">
        <v>46022</v>
      </c>
      <c r="B304" s="10" t="s">
        <v>585</v>
      </c>
      <c r="C304" s="10" t="s">
        <v>586</v>
      </c>
      <c r="D304" s="10" t="s">
        <v>1077</v>
      </c>
      <c r="E304" s="10">
        <v>4379789</v>
      </c>
      <c r="F304" s="15">
        <v>50</v>
      </c>
      <c r="G304" s="10" t="s">
        <v>1436</v>
      </c>
      <c r="H304" s="10">
        <v>4351190</v>
      </c>
      <c r="I304" s="10">
        <v>4379789</v>
      </c>
      <c r="J304" s="10" t="s">
        <v>1214</v>
      </c>
      <c r="K304" s="10" t="s">
        <v>1214</v>
      </c>
      <c r="L304" s="10" t="s">
        <v>1214</v>
      </c>
      <c r="M304" s="10" t="s">
        <v>1214</v>
      </c>
      <c r="N304" s="10" t="s">
        <v>105</v>
      </c>
      <c r="O304" s="10" t="s">
        <v>1214</v>
      </c>
      <c r="P304" s="10" t="s">
        <v>1214</v>
      </c>
      <c r="Q304" s="10" t="s">
        <v>1214</v>
      </c>
      <c r="R304" s="10" t="s">
        <v>1214</v>
      </c>
      <c r="S304" s="10" t="s">
        <v>105</v>
      </c>
    </row>
    <row r="305" spans="1:19" ht="87" x14ac:dyDescent="0.35">
      <c r="A305" s="14">
        <v>46022</v>
      </c>
      <c r="B305" s="10" t="s">
        <v>416</v>
      </c>
      <c r="C305" s="10" t="s">
        <v>417</v>
      </c>
      <c r="D305" s="10" t="s">
        <v>1094</v>
      </c>
      <c r="E305" s="10">
        <v>4361447</v>
      </c>
      <c r="F305" s="15">
        <v>77</v>
      </c>
      <c r="G305" s="10" t="s">
        <v>1437</v>
      </c>
      <c r="H305" s="10">
        <v>4361447</v>
      </c>
      <c r="I305" s="10">
        <v>4354398</v>
      </c>
      <c r="J305" s="10" t="s">
        <v>1380</v>
      </c>
      <c r="K305" s="10" t="s">
        <v>61</v>
      </c>
      <c r="L305" s="10" t="s">
        <v>1438</v>
      </c>
      <c r="M305" s="10" t="s">
        <v>1294</v>
      </c>
      <c r="N305" s="10" t="s">
        <v>1252</v>
      </c>
      <c r="O305" s="10" t="s">
        <v>1214</v>
      </c>
      <c r="P305" s="10" t="s">
        <v>1214</v>
      </c>
      <c r="Q305" s="10" t="s">
        <v>1214</v>
      </c>
      <c r="R305" s="10" t="s">
        <v>1214</v>
      </c>
      <c r="S305" s="10" t="s">
        <v>213</v>
      </c>
    </row>
    <row r="306" spans="1:19" ht="87" x14ac:dyDescent="0.35">
      <c r="A306" s="14">
        <v>46022</v>
      </c>
      <c r="B306" s="10" t="s">
        <v>416</v>
      </c>
      <c r="C306" s="10" t="s">
        <v>417</v>
      </c>
      <c r="D306" s="10" t="s">
        <v>1095</v>
      </c>
      <c r="E306" s="10">
        <v>4354398</v>
      </c>
      <c r="F306" s="15">
        <v>23</v>
      </c>
      <c r="G306" s="10" t="s">
        <v>1437</v>
      </c>
      <c r="H306" s="10">
        <v>4361447</v>
      </c>
      <c r="I306" s="10">
        <v>4354398</v>
      </c>
      <c r="J306" s="10" t="s">
        <v>1380</v>
      </c>
      <c r="K306" s="10" t="s">
        <v>61</v>
      </c>
      <c r="L306" s="10" t="s">
        <v>1438</v>
      </c>
      <c r="M306" s="10" t="s">
        <v>1294</v>
      </c>
      <c r="N306" s="10" t="s">
        <v>1252</v>
      </c>
      <c r="O306" s="10" t="s">
        <v>1214</v>
      </c>
      <c r="P306" s="10" t="s">
        <v>1214</v>
      </c>
      <c r="Q306" s="10" t="s">
        <v>1214</v>
      </c>
      <c r="R306" s="10" t="s">
        <v>1214</v>
      </c>
      <c r="S306" s="10" t="s">
        <v>213</v>
      </c>
    </row>
    <row r="307" spans="1:19" ht="43.5" x14ac:dyDescent="0.35">
      <c r="A307" s="14">
        <v>46022</v>
      </c>
      <c r="B307" s="10" t="s">
        <v>358</v>
      </c>
      <c r="C307" s="10" t="s">
        <v>359</v>
      </c>
      <c r="D307" s="10" t="s">
        <v>945</v>
      </c>
      <c r="E307" s="10">
        <v>4349314</v>
      </c>
      <c r="F307" s="15">
        <v>100</v>
      </c>
      <c r="G307" s="10" t="s">
        <v>1225</v>
      </c>
      <c r="H307" s="10">
        <v>4349314</v>
      </c>
      <c r="I307" s="10" t="s">
        <v>1194</v>
      </c>
      <c r="J307" s="10" t="s">
        <v>58</v>
      </c>
      <c r="K307" s="10" t="s">
        <v>58</v>
      </c>
      <c r="L307" s="10" t="s">
        <v>58</v>
      </c>
      <c r="M307" s="10" t="s">
        <v>58</v>
      </c>
      <c r="N307" s="10" t="s">
        <v>58</v>
      </c>
      <c r="O307" s="10" t="s">
        <v>1214</v>
      </c>
      <c r="P307" s="10" t="s">
        <v>1214</v>
      </c>
      <c r="Q307" s="10" t="s">
        <v>1214</v>
      </c>
      <c r="R307" s="10" t="s">
        <v>1214</v>
      </c>
      <c r="S307" s="10" t="s">
        <v>61</v>
      </c>
    </row>
    <row r="308" spans="1:19" ht="159.5" x14ac:dyDescent="0.35">
      <c r="A308" s="14">
        <v>46022</v>
      </c>
      <c r="B308" s="10" t="s">
        <v>780</v>
      </c>
      <c r="C308" s="10" t="s">
        <v>781</v>
      </c>
      <c r="D308" s="10" t="s">
        <v>1096</v>
      </c>
      <c r="E308" s="10">
        <v>6585621</v>
      </c>
      <c r="F308" s="15">
        <v>30</v>
      </c>
      <c r="G308" s="10" t="s">
        <v>1439</v>
      </c>
      <c r="H308" s="10">
        <v>4314727</v>
      </c>
      <c r="I308" s="10">
        <v>6585621</v>
      </c>
      <c r="J308" s="10" t="s">
        <v>1214</v>
      </c>
      <c r="K308" s="10" t="s">
        <v>1214</v>
      </c>
      <c r="L308" s="10" t="s">
        <v>1214</v>
      </c>
      <c r="M308" s="10" t="s">
        <v>1214</v>
      </c>
      <c r="N308" s="10" t="s">
        <v>61</v>
      </c>
      <c r="O308" s="10" t="s">
        <v>1292</v>
      </c>
      <c r="P308" s="10" t="s">
        <v>61</v>
      </c>
      <c r="Q308" s="10" t="s">
        <v>1440</v>
      </c>
      <c r="R308" s="10" t="s">
        <v>61</v>
      </c>
      <c r="S308" s="10" t="s">
        <v>61</v>
      </c>
    </row>
    <row r="309" spans="1:19" ht="159.5" x14ac:dyDescent="0.35">
      <c r="A309" s="14">
        <v>46022</v>
      </c>
      <c r="B309" s="10" t="s">
        <v>780</v>
      </c>
      <c r="C309" s="10" t="s">
        <v>781</v>
      </c>
      <c r="D309" s="10" t="s">
        <v>1024</v>
      </c>
      <c r="E309" s="10">
        <v>4314727</v>
      </c>
      <c r="F309" s="15">
        <v>70</v>
      </c>
      <c r="G309" s="10" t="s">
        <v>1439</v>
      </c>
      <c r="H309" s="10">
        <v>4314727</v>
      </c>
      <c r="I309" s="10">
        <v>6585621</v>
      </c>
      <c r="J309" s="10" t="s">
        <v>1214</v>
      </c>
      <c r="K309" s="10" t="s">
        <v>1214</v>
      </c>
      <c r="L309" s="10" t="s">
        <v>1214</v>
      </c>
      <c r="M309" s="10" t="s">
        <v>1214</v>
      </c>
      <c r="N309" s="10" t="s">
        <v>61</v>
      </c>
      <c r="O309" s="10" t="s">
        <v>1292</v>
      </c>
      <c r="P309" s="10" t="s">
        <v>61</v>
      </c>
      <c r="Q309" s="10" t="s">
        <v>1440</v>
      </c>
      <c r="R309" s="10" t="s">
        <v>61</v>
      </c>
      <c r="S309" s="10" t="s">
        <v>61</v>
      </c>
    </row>
    <row r="310" spans="1:19" ht="29" x14ac:dyDescent="0.35">
      <c r="A310" s="14">
        <v>46022</v>
      </c>
      <c r="B310" s="10" t="s">
        <v>587</v>
      </c>
      <c r="C310" s="10" t="s">
        <v>588</v>
      </c>
      <c r="D310" s="10" t="s">
        <v>1097</v>
      </c>
      <c r="E310" s="10">
        <v>4350827</v>
      </c>
      <c r="F310" s="15">
        <v>100</v>
      </c>
      <c r="G310" s="10" t="s">
        <v>1441</v>
      </c>
      <c r="H310" s="10">
        <v>4350827</v>
      </c>
      <c r="I310" s="10" t="s">
        <v>1194</v>
      </c>
      <c r="J310" s="10" t="s">
        <v>1214</v>
      </c>
      <c r="K310" s="10" t="s">
        <v>1214</v>
      </c>
      <c r="L310" s="10" t="s">
        <v>1214</v>
      </c>
      <c r="M310" s="10" t="s">
        <v>1214</v>
      </c>
      <c r="N310" s="10" t="s">
        <v>111</v>
      </c>
      <c r="O310" s="10" t="s">
        <v>1214</v>
      </c>
      <c r="P310" s="10" t="s">
        <v>1214</v>
      </c>
      <c r="Q310" s="10" t="s">
        <v>1214</v>
      </c>
      <c r="R310" s="10" t="s">
        <v>1214</v>
      </c>
      <c r="S310" s="10" t="s">
        <v>61</v>
      </c>
    </row>
    <row r="311" spans="1:19" ht="116" x14ac:dyDescent="0.35">
      <c r="A311" s="14">
        <v>46022</v>
      </c>
      <c r="B311" s="10" t="s">
        <v>360</v>
      </c>
      <c r="C311" s="10" t="s">
        <v>361</v>
      </c>
      <c r="D311" s="10" t="s">
        <v>1098</v>
      </c>
      <c r="E311" s="10">
        <v>4188197</v>
      </c>
      <c r="F311" s="15">
        <v>41.5</v>
      </c>
      <c r="G311" s="10" t="s">
        <v>1442</v>
      </c>
      <c r="H311" s="10">
        <v>4348055</v>
      </c>
      <c r="I311" s="10">
        <v>4188197</v>
      </c>
      <c r="J311" s="10" t="s">
        <v>1214</v>
      </c>
      <c r="K311" s="10" t="s">
        <v>1214</v>
      </c>
      <c r="L311" s="10" t="s">
        <v>1214</v>
      </c>
      <c r="M311" s="10" t="s">
        <v>1214</v>
      </c>
      <c r="N311" s="10" t="s">
        <v>105</v>
      </c>
      <c r="O311" s="10" t="s">
        <v>1214</v>
      </c>
      <c r="P311" s="10" t="s">
        <v>1214</v>
      </c>
      <c r="Q311" s="10" t="s">
        <v>1214</v>
      </c>
      <c r="R311" s="10" t="s">
        <v>1214</v>
      </c>
      <c r="S311" s="10" t="s">
        <v>105</v>
      </c>
    </row>
    <row r="312" spans="1:19" ht="116" x14ac:dyDescent="0.35">
      <c r="A312" s="14">
        <v>46022</v>
      </c>
      <c r="B312" s="10" t="s">
        <v>360</v>
      </c>
      <c r="C312" s="10" t="s">
        <v>361</v>
      </c>
      <c r="D312" s="10" t="s">
        <v>962</v>
      </c>
      <c r="E312" s="10">
        <v>4353456</v>
      </c>
      <c r="F312" s="15">
        <v>8.5</v>
      </c>
      <c r="G312" s="10" t="s">
        <v>1442</v>
      </c>
      <c r="H312" s="10">
        <v>4348055</v>
      </c>
      <c r="I312" s="10">
        <v>4188197</v>
      </c>
      <c r="J312" s="10" t="s">
        <v>1214</v>
      </c>
      <c r="K312" s="10" t="s">
        <v>1214</v>
      </c>
      <c r="L312" s="10" t="s">
        <v>1214</v>
      </c>
      <c r="M312" s="10" t="s">
        <v>1214</v>
      </c>
      <c r="N312" s="10" t="s">
        <v>105</v>
      </c>
      <c r="O312" s="10" t="s">
        <v>1214</v>
      </c>
      <c r="P312" s="10" t="s">
        <v>1214</v>
      </c>
      <c r="Q312" s="10" t="s">
        <v>1214</v>
      </c>
      <c r="R312" s="10" t="s">
        <v>1214</v>
      </c>
      <c r="S312" s="10" t="s">
        <v>105</v>
      </c>
    </row>
    <row r="313" spans="1:19" ht="116" x14ac:dyDescent="0.35">
      <c r="A313" s="14">
        <v>46022</v>
      </c>
      <c r="B313" s="10" t="s">
        <v>360</v>
      </c>
      <c r="C313" s="10" t="s">
        <v>361</v>
      </c>
      <c r="D313" s="10" t="s">
        <v>943</v>
      </c>
      <c r="E313" s="10">
        <v>4348055</v>
      </c>
      <c r="F313" s="15">
        <v>50</v>
      </c>
      <c r="G313" s="10" t="s">
        <v>1442</v>
      </c>
      <c r="H313" s="10">
        <v>4348055</v>
      </c>
      <c r="I313" s="10">
        <v>4188197</v>
      </c>
      <c r="J313" s="10" t="s">
        <v>1214</v>
      </c>
      <c r="K313" s="10" t="s">
        <v>1214</v>
      </c>
      <c r="L313" s="10" t="s">
        <v>1214</v>
      </c>
      <c r="M313" s="10" t="s">
        <v>1214</v>
      </c>
      <c r="N313" s="10" t="s">
        <v>105</v>
      </c>
      <c r="O313" s="10" t="s">
        <v>1214</v>
      </c>
      <c r="P313" s="10" t="s">
        <v>1214</v>
      </c>
      <c r="Q313" s="10" t="s">
        <v>1214</v>
      </c>
      <c r="R313" s="10" t="s">
        <v>1214</v>
      </c>
      <c r="S313" s="10" t="s">
        <v>105</v>
      </c>
    </row>
    <row r="314" spans="1:19" ht="29" x14ac:dyDescent="0.35">
      <c r="A314" s="14">
        <v>46022</v>
      </c>
      <c r="B314" s="10" t="s">
        <v>589</v>
      </c>
      <c r="C314" s="10" t="s">
        <v>590</v>
      </c>
      <c r="D314" s="10" t="s">
        <v>943</v>
      </c>
      <c r="E314" s="10">
        <v>4348055</v>
      </c>
      <c r="F314" s="15">
        <v>100</v>
      </c>
      <c r="G314" s="10" t="s">
        <v>1223</v>
      </c>
      <c r="H314" s="10">
        <v>4348055</v>
      </c>
      <c r="I314" s="10" t="s">
        <v>1194</v>
      </c>
      <c r="J314" s="10" t="s">
        <v>1214</v>
      </c>
      <c r="K314" s="10" t="s">
        <v>1214</v>
      </c>
      <c r="L314" s="10" t="s">
        <v>1214</v>
      </c>
      <c r="M314" s="10" t="s">
        <v>1214</v>
      </c>
      <c r="N314" s="10" t="s">
        <v>105</v>
      </c>
      <c r="O314" s="10" t="s">
        <v>1214</v>
      </c>
      <c r="P314" s="10" t="s">
        <v>1214</v>
      </c>
      <c r="Q314" s="10" t="s">
        <v>1214</v>
      </c>
      <c r="R314" s="10" t="s">
        <v>1214</v>
      </c>
      <c r="S314" s="10" t="s">
        <v>61</v>
      </c>
    </row>
    <row r="315" spans="1:19" ht="116" x14ac:dyDescent="0.35">
      <c r="A315" s="14">
        <v>46022</v>
      </c>
      <c r="B315" s="10" t="s">
        <v>783</v>
      </c>
      <c r="C315" s="10" t="s">
        <v>784</v>
      </c>
      <c r="D315" s="10" t="s">
        <v>963</v>
      </c>
      <c r="E315" s="10">
        <v>4004107</v>
      </c>
      <c r="F315" s="15">
        <v>72</v>
      </c>
      <c r="G315" s="10" t="s">
        <v>1443</v>
      </c>
      <c r="H315" s="10">
        <v>4004107</v>
      </c>
      <c r="I315" s="10">
        <v>4354638</v>
      </c>
      <c r="J315" s="10" t="s">
        <v>1214</v>
      </c>
      <c r="K315" s="10" t="s">
        <v>1214</v>
      </c>
      <c r="L315" s="10" t="s">
        <v>1214</v>
      </c>
      <c r="M315" s="10" t="s">
        <v>1214</v>
      </c>
      <c r="N315" s="10" t="s">
        <v>79</v>
      </c>
      <c r="O315" s="10" t="s">
        <v>1214</v>
      </c>
      <c r="P315" s="10" t="s">
        <v>1214</v>
      </c>
      <c r="Q315" s="10" t="s">
        <v>1214</v>
      </c>
      <c r="R315" s="10" t="s">
        <v>1214</v>
      </c>
      <c r="S315" s="10" t="s">
        <v>1235</v>
      </c>
    </row>
    <row r="316" spans="1:19" ht="116" x14ac:dyDescent="0.35">
      <c r="A316" s="14">
        <v>46022</v>
      </c>
      <c r="B316" s="10" t="s">
        <v>783</v>
      </c>
      <c r="C316" s="10" t="s">
        <v>784</v>
      </c>
      <c r="D316" s="10" t="s">
        <v>988</v>
      </c>
      <c r="E316" s="10">
        <v>4047416</v>
      </c>
      <c r="F316" s="15">
        <v>3</v>
      </c>
      <c r="G316" s="10" t="s">
        <v>1443</v>
      </c>
      <c r="H316" s="10">
        <v>4004107</v>
      </c>
      <c r="I316" s="10">
        <v>4354638</v>
      </c>
      <c r="J316" s="10" t="s">
        <v>1214</v>
      </c>
      <c r="K316" s="10" t="s">
        <v>1214</v>
      </c>
      <c r="L316" s="10" t="s">
        <v>1214</v>
      </c>
      <c r="M316" s="10" t="s">
        <v>1214</v>
      </c>
      <c r="N316" s="10" t="s">
        <v>79</v>
      </c>
      <c r="O316" s="10" t="s">
        <v>1214</v>
      </c>
      <c r="P316" s="10" t="s">
        <v>1214</v>
      </c>
      <c r="Q316" s="10" t="s">
        <v>1214</v>
      </c>
      <c r="R316" s="10" t="s">
        <v>1214</v>
      </c>
      <c r="S316" s="10" t="s">
        <v>1235</v>
      </c>
    </row>
    <row r="317" spans="1:19" ht="116" x14ac:dyDescent="0.35">
      <c r="A317" s="14">
        <v>46022</v>
      </c>
      <c r="B317" s="10" t="s">
        <v>783</v>
      </c>
      <c r="C317" s="10" t="s">
        <v>784</v>
      </c>
      <c r="D317" s="10" t="s">
        <v>989</v>
      </c>
      <c r="E317" s="10">
        <v>4354638</v>
      </c>
      <c r="F317" s="15">
        <v>25</v>
      </c>
      <c r="G317" s="10" t="s">
        <v>1443</v>
      </c>
      <c r="H317" s="10">
        <v>4004107</v>
      </c>
      <c r="I317" s="10">
        <v>4354638</v>
      </c>
      <c r="J317" s="10" t="s">
        <v>1214</v>
      </c>
      <c r="K317" s="10" t="s">
        <v>1214</v>
      </c>
      <c r="L317" s="10" t="s">
        <v>1214</v>
      </c>
      <c r="M317" s="10" t="s">
        <v>1214</v>
      </c>
      <c r="N317" s="10" t="s">
        <v>79</v>
      </c>
      <c r="O317" s="10" t="s">
        <v>1214</v>
      </c>
      <c r="P317" s="10" t="s">
        <v>1214</v>
      </c>
      <c r="Q317" s="10" t="s">
        <v>1214</v>
      </c>
      <c r="R317" s="10" t="s">
        <v>1214</v>
      </c>
      <c r="S317" s="10" t="s">
        <v>1235</v>
      </c>
    </row>
    <row r="318" spans="1:19" ht="116" x14ac:dyDescent="0.35">
      <c r="A318" s="14">
        <v>46022</v>
      </c>
      <c r="B318" s="10" t="s">
        <v>418</v>
      </c>
      <c r="C318" s="10" t="s">
        <v>419</v>
      </c>
      <c r="D318" s="10" t="s">
        <v>963</v>
      </c>
      <c r="E318" s="10">
        <v>4004107</v>
      </c>
      <c r="F318" s="15">
        <v>72</v>
      </c>
      <c r="G318" s="10" t="s">
        <v>1444</v>
      </c>
      <c r="H318" s="10">
        <v>4004107</v>
      </c>
      <c r="I318" s="10">
        <v>4354638</v>
      </c>
      <c r="J318" s="10" t="s">
        <v>1214</v>
      </c>
      <c r="K318" s="10" t="s">
        <v>1214</v>
      </c>
      <c r="L318" s="10" t="s">
        <v>1214</v>
      </c>
      <c r="M318" s="10" t="s">
        <v>1214</v>
      </c>
      <c r="N318" s="10" t="s">
        <v>79</v>
      </c>
      <c r="O318" s="10" t="s">
        <v>1214</v>
      </c>
      <c r="P318" s="10" t="s">
        <v>1214</v>
      </c>
      <c r="Q318" s="10" t="s">
        <v>1214</v>
      </c>
      <c r="R318" s="10" t="s">
        <v>1214</v>
      </c>
      <c r="S318" s="10" t="s">
        <v>1235</v>
      </c>
    </row>
    <row r="319" spans="1:19" ht="116" x14ac:dyDescent="0.35">
      <c r="A319" s="14">
        <v>46022</v>
      </c>
      <c r="B319" s="10" t="s">
        <v>418</v>
      </c>
      <c r="C319" s="10" t="s">
        <v>419</v>
      </c>
      <c r="D319" s="10" t="s">
        <v>988</v>
      </c>
      <c r="E319" s="10">
        <v>4047416</v>
      </c>
      <c r="F319" s="15">
        <v>3</v>
      </c>
      <c r="G319" s="10" t="s">
        <v>1444</v>
      </c>
      <c r="H319" s="10">
        <v>4004107</v>
      </c>
      <c r="I319" s="10">
        <v>4354638</v>
      </c>
      <c r="J319" s="10" t="s">
        <v>1214</v>
      </c>
      <c r="K319" s="10" t="s">
        <v>1214</v>
      </c>
      <c r="L319" s="10" t="s">
        <v>1214</v>
      </c>
      <c r="M319" s="10" t="s">
        <v>1214</v>
      </c>
      <c r="N319" s="10" t="s">
        <v>79</v>
      </c>
      <c r="O319" s="10" t="s">
        <v>1214</v>
      </c>
      <c r="P319" s="10" t="s">
        <v>1214</v>
      </c>
      <c r="Q319" s="10" t="s">
        <v>1214</v>
      </c>
      <c r="R319" s="10" t="s">
        <v>1214</v>
      </c>
      <c r="S319" s="10" t="s">
        <v>1235</v>
      </c>
    </row>
    <row r="320" spans="1:19" ht="116" x14ac:dyDescent="0.35">
      <c r="A320" s="14">
        <v>46022</v>
      </c>
      <c r="B320" s="10" t="s">
        <v>418</v>
      </c>
      <c r="C320" s="10" t="s">
        <v>419</v>
      </c>
      <c r="D320" s="10" t="s">
        <v>989</v>
      </c>
      <c r="E320" s="10">
        <v>4354638</v>
      </c>
      <c r="F320" s="15">
        <v>25</v>
      </c>
      <c r="G320" s="10" t="s">
        <v>1444</v>
      </c>
      <c r="H320" s="10">
        <v>4004107</v>
      </c>
      <c r="I320" s="10">
        <v>4354638</v>
      </c>
      <c r="J320" s="10" t="s">
        <v>1214</v>
      </c>
      <c r="K320" s="10" t="s">
        <v>1214</v>
      </c>
      <c r="L320" s="10" t="s">
        <v>1214</v>
      </c>
      <c r="M320" s="10" t="s">
        <v>1214</v>
      </c>
      <c r="N320" s="10" t="s">
        <v>79</v>
      </c>
      <c r="O320" s="10" t="s">
        <v>1214</v>
      </c>
      <c r="P320" s="10" t="s">
        <v>1214</v>
      </c>
      <c r="Q320" s="10" t="s">
        <v>1214</v>
      </c>
      <c r="R320" s="10" t="s">
        <v>1214</v>
      </c>
      <c r="S320" s="10" t="s">
        <v>1235</v>
      </c>
    </row>
    <row r="321" spans="1:19" ht="29" x14ac:dyDescent="0.35">
      <c r="A321" s="14">
        <v>46022</v>
      </c>
      <c r="B321" s="10" t="s">
        <v>362</v>
      </c>
      <c r="C321" s="10" t="s">
        <v>363</v>
      </c>
      <c r="D321" s="10" t="s">
        <v>943</v>
      </c>
      <c r="E321" s="10">
        <v>4348055</v>
      </c>
      <c r="F321" s="15">
        <v>100</v>
      </c>
      <c r="G321" s="10" t="s">
        <v>1223</v>
      </c>
      <c r="H321" s="10">
        <v>4348055</v>
      </c>
      <c r="I321" s="10" t="s">
        <v>1194</v>
      </c>
      <c r="J321" s="10" t="s">
        <v>1214</v>
      </c>
      <c r="K321" s="10" t="s">
        <v>1214</v>
      </c>
      <c r="L321" s="10" t="s">
        <v>1214</v>
      </c>
      <c r="M321" s="10" t="s">
        <v>1214</v>
      </c>
      <c r="N321" s="10" t="s">
        <v>105</v>
      </c>
      <c r="O321" s="10" t="s">
        <v>1214</v>
      </c>
      <c r="P321" s="10" t="s">
        <v>1214</v>
      </c>
      <c r="Q321" s="10" t="s">
        <v>1214</v>
      </c>
      <c r="R321" s="10" t="s">
        <v>1214</v>
      </c>
      <c r="S321" s="10" t="s">
        <v>61</v>
      </c>
    </row>
    <row r="322" spans="1:19" ht="29" x14ac:dyDescent="0.35">
      <c r="A322" s="14">
        <v>46022</v>
      </c>
      <c r="B322" s="10" t="s">
        <v>591</v>
      </c>
      <c r="C322" s="10" t="s">
        <v>592</v>
      </c>
      <c r="D322" s="10" t="s">
        <v>1077</v>
      </c>
      <c r="E322" s="10">
        <v>4379789</v>
      </c>
      <c r="F322" s="15">
        <v>100</v>
      </c>
      <c r="G322" s="10" t="s">
        <v>1407</v>
      </c>
      <c r="H322" s="10">
        <v>4379789</v>
      </c>
      <c r="I322" s="10" t="s">
        <v>1194</v>
      </c>
      <c r="J322" s="10" t="s">
        <v>1214</v>
      </c>
      <c r="K322" s="10" t="s">
        <v>1214</v>
      </c>
      <c r="L322" s="10" t="s">
        <v>1214</v>
      </c>
      <c r="M322" s="10" t="s">
        <v>1214</v>
      </c>
      <c r="N322" s="10" t="s">
        <v>105</v>
      </c>
      <c r="O322" s="10" t="s">
        <v>1214</v>
      </c>
      <c r="P322" s="10" t="s">
        <v>1214</v>
      </c>
      <c r="Q322" s="10" t="s">
        <v>1214</v>
      </c>
      <c r="R322" s="10" t="s">
        <v>1214</v>
      </c>
      <c r="S322" s="10" t="s">
        <v>61</v>
      </c>
    </row>
    <row r="323" spans="1:19" ht="29" x14ac:dyDescent="0.35">
      <c r="A323" s="14">
        <v>46022</v>
      </c>
      <c r="B323" s="10" t="s">
        <v>364</v>
      </c>
      <c r="C323" s="10" t="s">
        <v>365</v>
      </c>
      <c r="D323" s="10" t="s">
        <v>1099</v>
      </c>
      <c r="E323" s="10">
        <v>4349027</v>
      </c>
      <c r="F323" s="15">
        <v>100</v>
      </c>
      <c r="G323" s="10" t="s">
        <v>1445</v>
      </c>
      <c r="H323" s="10">
        <v>4349027</v>
      </c>
      <c r="I323" s="10" t="s">
        <v>1194</v>
      </c>
      <c r="J323" s="10" t="s">
        <v>1214</v>
      </c>
      <c r="K323" s="10" t="s">
        <v>1214</v>
      </c>
      <c r="L323" s="10" t="s">
        <v>1214</v>
      </c>
      <c r="M323" s="10" t="s">
        <v>1214</v>
      </c>
      <c r="N323" s="10" t="s">
        <v>222</v>
      </c>
      <c r="O323" s="10" t="s">
        <v>1214</v>
      </c>
      <c r="P323" s="10" t="s">
        <v>1214</v>
      </c>
      <c r="Q323" s="10" t="s">
        <v>1214</v>
      </c>
      <c r="R323" s="10" t="s">
        <v>1214</v>
      </c>
      <c r="S323" s="10" t="s">
        <v>61</v>
      </c>
    </row>
    <row r="324" spans="1:19" ht="29" x14ac:dyDescent="0.35">
      <c r="A324" s="14">
        <v>46022</v>
      </c>
      <c r="B324" s="10" t="s">
        <v>366</v>
      </c>
      <c r="C324" s="10" t="s">
        <v>367</v>
      </c>
      <c r="D324" s="10" t="s">
        <v>948</v>
      </c>
      <c r="E324" s="10">
        <v>4113732</v>
      </c>
      <c r="F324" s="15">
        <v>100</v>
      </c>
      <c r="G324" s="10" t="s">
        <v>1229</v>
      </c>
      <c r="H324" s="10">
        <v>4113732</v>
      </c>
      <c r="I324" s="10" t="s">
        <v>1194</v>
      </c>
      <c r="J324" s="10" t="s">
        <v>1214</v>
      </c>
      <c r="K324" s="10" t="s">
        <v>1214</v>
      </c>
      <c r="L324" s="10" t="s">
        <v>1214</v>
      </c>
      <c r="M324" s="10" t="s">
        <v>1214</v>
      </c>
      <c r="N324" s="10" t="s">
        <v>1228</v>
      </c>
      <c r="O324" s="10" t="s">
        <v>1214</v>
      </c>
      <c r="P324" s="10" t="s">
        <v>1214</v>
      </c>
      <c r="Q324" s="10" t="s">
        <v>1214</v>
      </c>
      <c r="R324" s="10" t="s">
        <v>1214</v>
      </c>
      <c r="S324" s="10" t="s">
        <v>61</v>
      </c>
    </row>
    <row r="325" spans="1:19" ht="101.5" x14ac:dyDescent="0.35">
      <c r="A325" s="14">
        <v>46022</v>
      </c>
      <c r="B325" s="10" t="s">
        <v>593</v>
      </c>
      <c r="C325" s="10" t="s">
        <v>594</v>
      </c>
      <c r="D325" s="10" t="s">
        <v>1100</v>
      </c>
      <c r="E325" s="10">
        <v>118448206</v>
      </c>
      <c r="F325" s="15">
        <v>51</v>
      </c>
      <c r="G325" s="10" t="s">
        <v>1446</v>
      </c>
      <c r="H325" s="10">
        <v>118448206</v>
      </c>
      <c r="I325" s="10">
        <v>4355602</v>
      </c>
      <c r="J325" s="10" t="s">
        <v>1447</v>
      </c>
      <c r="K325" s="10" t="s">
        <v>1347</v>
      </c>
      <c r="L325" s="10" t="s">
        <v>1448</v>
      </c>
      <c r="M325" s="10" t="s">
        <v>1347</v>
      </c>
      <c r="N325" s="10" t="s">
        <v>1347</v>
      </c>
      <c r="O325" s="10" t="s">
        <v>1295</v>
      </c>
      <c r="P325" s="10" t="s">
        <v>122</v>
      </c>
      <c r="Q325" s="10" t="s">
        <v>1295</v>
      </c>
      <c r="R325" s="10" t="s">
        <v>122</v>
      </c>
      <c r="S325" s="10" t="s">
        <v>122</v>
      </c>
    </row>
    <row r="326" spans="1:19" ht="101.5" x14ac:dyDescent="0.35">
      <c r="A326" s="14">
        <v>46022</v>
      </c>
      <c r="B326" s="10" t="s">
        <v>593</v>
      </c>
      <c r="C326" s="10" t="s">
        <v>594</v>
      </c>
      <c r="D326" s="10" t="s">
        <v>1002</v>
      </c>
      <c r="E326" s="10">
        <v>4355602</v>
      </c>
      <c r="F326" s="15">
        <v>49</v>
      </c>
      <c r="G326" s="10" t="s">
        <v>1446</v>
      </c>
      <c r="H326" s="10">
        <v>118448206</v>
      </c>
      <c r="I326" s="10">
        <v>4355602</v>
      </c>
      <c r="J326" s="10" t="s">
        <v>1447</v>
      </c>
      <c r="K326" s="10" t="s">
        <v>1347</v>
      </c>
      <c r="L326" s="10" t="s">
        <v>1448</v>
      </c>
      <c r="M326" s="10" t="s">
        <v>1347</v>
      </c>
      <c r="N326" s="10" t="s">
        <v>1347</v>
      </c>
      <c r="O326" s="10" t="s">
        <v>1295</v>
      </c>
      <c r="P326" s="10" t="s">
        <v>122</v>
      </c>
      <c r="Q326" s="10" t="s">
        <v>1295</v>
      </c>
      <c r="R326" s="10" t="s">
        <v>122</v>
      </c>
      <c r="S326" s="10" t="s">
        <v>122</v>
      </c>
    </row>
    <row r="327" spans="1:19" ht="58" x14ac:dyDescent="0.35">
      <c r="A327" s="14">
        <v>46022</v>
      </c>
      <c r="B327" s="10" t="s">
        <v>420</v>
      </c>
      <c r="C327" s="10" t="s">
        <v>421</v>
      </c>
      <c r="D327" s="10" t="s">
        <v>1002</v>
      </c>
      <c r="E327" s="10">
        <v>4355602</v>
      </c>
      <c r="F327" s="15">
        <v>100</v>
      </c>
      <c r="G327" s="10" t="s">
        <v>1449</v>
      </c>
      <c r="H327" s="10">
        <v>4355602</v>
      </c>
      <c r="I327" s="10" t="s">
        <v>1194</v>
      </c>
      <c r="J327" s="10" t="s">
        <v>1295</v>
      </c>
      <c r="K327" s="10" t="s">
        <v>122</v>
      </c>
      <c r="L327" s="10" t="s">
        <v>1295</v>
      </c>
      <c r="M327" s="10" t="s">
        <v>122</v>
      </c>
      <c r="N327" s="10" t="s">
        <v>122</v>
      </c>
      <c r="O327" s="10" t="s">
        <v>1214</v>
      </c>
      <c r="P327" s="10" t="s">
        <v>1214</v>
      </c>
      <c r="Q327" s="10" t="s">
        <v>1214</v>
      </c>
      <c r="R327" s="10" t="s">
        <v>1214</v>
      </c>
      <c r="S327" s="10" t="s">
        <v>61</v>
      </c>
    </row>
    <row r="328" spans="1:19" ht="174" x14ac:dyDescent="0.35">
      <c r="A328" s="14">
        <v>46022</v>
      </c>
      <c r="B328" s="10" t="s">
        <v>595</v>
      </c>
      <c r="C328" s="10" t="s">
        <v>596</v>
      </c>
      <c r="D328" s="10" t="s">
        <v>1101</v>
      </c>
      <c r="E328" s="10">
        <v>4616696</v>
      </c>
      <c r="F328" s="15">
        <v>68</v>
      </c>
      <c r="G328" s="10" t="s">
        <v>1450</v>
      </c>
      <c r="H328" s="10">
        <v>4616696</v>
      </c>
      <c r="I328" s="10">
        <v>4361447</v>
      </c>
      <c r="J328" s="10" t="s">
        <v>1214</v>
      </c>
      <c r="K328" s="10" t="s">
        <v>1214</v>
      </c>
      <c r="L328" s="10" t="s">
        <v>1214</v>
      </c>
      <c r="M328" s="10" t="s">
        <v>1214</v>
      </c>
      <c r="N328" s="10" t="s">
        <v>1219</v>
      </c>
      <c r="O328" s="10" t="s">
        <v>1380</v>
      </c>
      <c r="P328" s="10" t="s">
        <v>61</v>
      </c>
      <c r="Q328" s="10" t="s">
        <v>1438</v>
      </c>
      <c r="R328" s="10" t="s">
        <v>1294</v>
      </c>
      <c r="S328" s="10" t="s">
        <v>1252</v>
      </c>
    </row>
    <row r="329" spans="1:19" ht="174" x14ac:dyDescent="0.35">
      <c r="A329" s="14">
        <v>46022</v>
      </c>
      <c r="B329" s="10" t="s">
        <v>595</v>
      </c>
      <c r="C329" s="10" t="s">
        <v>596</v>
      </c>
      <c r="D329" s="10" t="s">
        <v>1094</v>
      </c>
      <c r="E329" s="10">
        <v>4361447</v>
      </c>
      <c r="F329" s="15">
        <v>32</v>
      </c>
      <c r="G329" s="10" t="s">
        <v>1450</v>
      </c>
      <c r="H329" s="10">
        <v>4616696</v>
      </c>
      <c r="I329" s="10">
        <v>4361447</v>
      </c>
      <c r="J329" s="10" t="s">
        <v>1214</v>
      </c>
      <c r="K329" s="10" t="s">
        <v>1214</v>
      </c>
      <c r="L329" s="10" t="s">
        <v>1214</v>
      </c>
      <c r="M329" s="10" t="s">
        <v>1214</v>
      </c>
      <c r="N329" s="10" t="s">
        <v>1219</v>
      </c>
      <c r="O329" s="10" t="s">
        <v>1380</v>
      </c>
      <c r="P329" s="10" t="s">
        <v>61</v>
      </c>
      <c r="Q329" s="10" t="s">
        <v>1438</v>
      </c>
      <c r="R329" s="10" t="s">
        <v>1294</v>
      </c>
      <c r="S329" s="10" t="s">
        <v>1252</v>
      </c>
    </row>
    <row r="330" spans="1:19" ht="116" x14ac:dyDescent="0.35">
      <c r="A330" s="14">
        <v>46022</v>
      </c>
      <c r="B330" s="10" t="s">
        <v>422</v>
      </c>
      <c r="C330" s="10" t="s">
        <v>423</v>
      </c>
      <c r="D330" s="10" t="s">
        <v>213</v>
      </c>
      <c r="E330" s="10">
        <v>4350734</v>
      </c>
      <c r="F330" s="15">
        <v>5</v>
      </c>
      <c r="G330" s="10" t="s">
        <v>1451</v>
      </c>
      <c r="H330" s="10">
        <v>4361447</v>
      </c>
      <c r="I330" s="10">
        <v>4350360</v>
      </c>
      <c r="J330" s="10" t="s">
        <v>1380</v>
      </c>
      <c r="K330" s="10" t="s">
        <v>61</v>
      </c>
      <c r="L330" s="10" t="s">
        <v>1438</v>
      </c>
      <c r="M330" s="10" t="s">
        <v>1294</v>
      </c>
      <c r="N330" s="10" t="s">
        <v>1252</v>
      </c>
      <c r="O330" s="10" t="s">
        <v>213</v>
      </c>
      <c r="P330" s="10" t="s">
        <v>213</v>
      </c>
      <c r="Q330" s="10" t="s">
        <v>213</v>
      </c>
      <c r="R330" s="10" t="s">
        <v>213</v>
      </c>
      <c r="S330" s="10" t="s">
        <v>213</v>
      </c>
    </row>
    <row r="331" spans="1:19" ht="116" x14ac:dyDescent="0.35">
      <c r="A331" s="14">
        <v>46022</v>
      </c>
      <c r="B331" s="10" t="s">
        <v>422</v>
      </c>
      <c r="C331" s="10" t="s">
        <v>423</v>
      </c>
      <c r="D331" s="10" t="s">
        <v>1021</v>
      </c>
      <c r="E331" s="10">
        <v>4350360</v>
      </c>
      <c r="F331" s="15">
        <v>25</v>
      </c>
      <c r="G331" s="10" t="s">
        <v>1451</v>
      </c>
      <c r="H331" s="10">
        <v>4361447</v>
      </c>
      <c r="I331" s="10">
        <v>4350360</v>
      </c>
      <c r="J331" s="10" t="s">
        <v>1380</v>
      </c>
      <c r="K331" s="10" t="s">
        <v>61</v>
      </c>
      <c r="L331" s="10" t="s">
        <v>1438</v>
      </c>
      <c r="M331" s="10" t="s">
        <v>1294</v>
      </c>
      <c r="N331" s="10" t="s">
        <v>1252</v>
      </c>
      <c r="O331" s="10" t="s">
        <v>213</v>
      </c>
      <c r="P331" s="10" t="s">
        <v>213</v>
      </c>
      <c r="Q331" s="10" t="s">
        <v>213</v>
      </c>
      <c r="R331" s="10" t="s">
        <v>213</v>
      </c>
      <c r="S331" s="10" t="s">
        <v>213</v>
      </c>
    </row>
    <row r="332" spans="1:19" ht="116" x14ac:dyDescent="0.35">
      <c r="A332" s="14">
        <v>46022</v>
      </c>
      <c r="B332" s="10" t="s">
        <v>422</v>
      </c>
      <c r="C332" s="10" t="s">
        <v>423</v>
      </c>
      <c r="D332" s="10" t="s">
        <v>1094</v>
      </c>
      <c r="E332" s="10">
        <v>4361447</v>
      </c>
      <c r="F332" s="15">
        <v>70</v>
      </c>
      <c r="G332" s="10" t="s">
        <v>1451</v>
      </c>
      <c r="H332" s="10">
        <v>4361447</v>
      </c>
      <c r="I332" s="10">
        <v>4350360</v>
      </c>
      <c r="J332" s="10" t="s">
        <v>1380</v>
      </c>
      <c r="K332" s="10" t="s">
        <v>61</v>
      </c>
      <c r="L332" s="10" t="s">
        <v>1438</v>
      </c>
      <c r="M332" s="10" t="s">
        <v>1294</v>
      </c>
      <c r="N332" s="10" t="s">
        <v>1252</v>
      </c>
      <c r="O332" s="10" t="s">
        <v>213</v>
      </c>
      <c r="P332" s="10" t="s">
        <v>213</v>
      </c>
      <c r="Q332" s="10" t="s">
        <v>213</v>
      </c>
      <c r="R332" s="10" t="s">
        <v>213</v>
      </c>
      <c r="S332" s="10" t="s">
        <v>213</v>
      </c>
    </row>
    <row r="333" spans="1:19" ht="58" x14ac:dyDescent="0.35">
      <c r="A333" s="14">
        <v>46022</v>
      </c>
      <c r="B333" s="10" t="s">
        <v>368</v>
      </c>
      <c r="C333" s="10" t="s">
        <v>369</v>
      </c>
      <c r="D333" s="10" t="s">
        <v>213</v>
      </c>
      <c r="E333" s="10">
        <v>4350734</v>
      </c>
      <c r="F333" s="15">
        <v>5</v>
      </c>
      <c r="G333" s="10" t="s">
        <v>1452</v>
      </c>
      <c r="H333" s="10">
        <v>4113732</v>
      </c>
      <c r="I333" s="10">
        <v>4350734</v>
      </c>
      <c r="J333" s="10" t="s">
        <v>1214</v>
      </c>
      <c r="K333" s="10" t="s">
        <v>1214</v>
      </c>
      <c r="L333" s="10" t="s">
        <v>1214</v>
      </c>
      <c r="M333" s="10" t="s">
        <v>1214</v>
      </c>
      <c r="N333" s="10" t="s">
        <v>1228</v>
      </c>
      <c r="O333" s="10" t="s">
        <v>1214</v>
      </c>
      <c r="P333" s="10" t="s">
        <v>1214</v>
      </c>
      <c r="Q333" s="10" t="s">
        <v>1214</v>
      </c>
      <c r="R333" s="10" t="s">
        <v>1214</v>
      </c>
      <c r="S333" s="10" t="s">
        <v>213</v>
      </c>
    </row>
    <row r="334" spans="1:19" ht="58" x14ac:dyDescent="0.35">
      <c r="A334" s="14">
        <v>46022</v>
      </c>
      <c r="B334" s="10" t="s">
        <v>368</v>
      </c>
      <c r="C334" s="10" t="s">
        <v>369</v>
      </c>
      <c r="D334" s="10" t="s">
        <v>948</v>
      </c>
      <c r="E334" s="10">
        <v>4113732</v>
      </c>
      <c r="F334" s="15">
        <v>95</v>
      </c>
      <c r="G334" s="10" t="s">
        <v>1452</v>
      </c>
      <c r="H334" s="10">
        <v>4113732</v>
      </c>
      <c r="I334" s="10">
        <v>4350734</v>
      </c>
      <c r="J334" s="10" t="s">
        <v>1214</v>
      </c>
      <c r="K334" s="10" t="s">
        <v>1214</v>
      </c>
      <c r="L334" s="10" t="s">
        <v>1214</v>
      </c>
      <c r="M334" s="10" t="s">
        <v>1214</v>
      </c>
      <c r="N334" s="10" t="s">
        <v>1228</v>
      </c>
      <c r="O334" s="10" t="s">
        <v>1214</v>
      </c>
      <c r="P334" s="10" t="s">
        <v>1214</v>
      </c>
      <c r="Q334" s="10" t="s">
        <v>1214</v>
      </c>
      <c r="R334" s="10" t="s">
        <v>1214</v>
      </c>
      <c r="S334" s="10" t="s">
        <v>213</v>
      </c>
    </row>
    <row r="335" spans="1:19" ht="29" x14ac:dyDescent="0.35">
      <c r="A335" s="14">
        <v>46022</v>
      </c>
      <c r="B335" s="10" t="s">
        <v>597</v>
      </c>
      <c r="C335" s="10" t="s">
        <v>598</v>
      </c>
      <c r="D335" s="10" t="s">
        <v>948</v>
      </c>
      <c r="E335" s="10">
        <v>4113732</v>
      </c>
      <c r="F335" s="15">
        <v>100</v>
      </c>
      <c r="G335" s="10" t="s">
        <v>1229</v>
      </c>
      <c r="H335" s="10">
        <v>4113732</v>
      </c>
      <c r="I335" s="10" t="s">
        <v>1194</v>
      </c>
      <c r="J335" s="10" t="s">
        <v>1214</v>
      </c>
      <c r="K335" s="10" t="s">
        <v>1214</v>
      </c>
      <c r="L335" s="10" t="s">
        <v>1214</v>
      </c>
      <c r="M335" s="10" t="s">
        <v>1214</v>
      </c>
      <c r="N335" s="10" t="s">
        <v>1228</v>
      </c>
      <c r="O335" s="10" t="s">
        <v>1214</v>
      </c>
      <c r="P335" s="10" t="s">
        <v>1214</v>
      </c>
      <c r="Q335" s="10" t="s">
        <v>1214</v>
      </c>
      <c r="R335" s="10" t="s">
        <v>1214</v>
      </c>
      <c r="S335" s="10" t="s">
        <v>61</v>
      </c>
    </row>
    <row r="336" spans="1:19" ht="29" x14ac:dyDescent="0.35">
      <c r="A336" s="14">
        <v>46022</v>
      </c>
      <c r="B336" s="10" t="s">
        <v>785</v>
      </c>
      <c r="C336" s="10" t="s">
        <v>786</v>
      </c>
      <c r="D336" s="10" t="s">
        <v>1102</v>
      </c>
      <c r="E336" s="10">
        <v>6220799</v>
      </c>
      <c r="F336" s="15">
        <v>100</v>
      </c>
      <c r="G336" s="10" t="s">
        <v>1453</v>
      </c>
      <c r="H336" s="10">
        <v>6220799</v>
      </c>
      <c r="I336" s="10" t="s">
        <v>1194</v>
      </c>
      <c r="J336" s="10" t="s">
        <v>1454</v>
      </c>
      <c r="K336" s="10" t="s">
        <v>1336</v>
      </c>
      <c r="L336" s="10" t="s">
        <v>1455</v>
      </c>
      <c r="M336" s="10" t="s">
        <v>1456</v>
      </c>
      <c r="N336" s="10" t="s">
        <v>1456</v>
      </c>
      <c r="O336" s="10" t="s">
        <v>1214</v>
      </c>
      <c r="P336" s="10" t="s">
        <v>1214</v>
      </c>
      <c r="Q336" s="10" t="s">
        <v>1214</v>
      </c>
      <c r="R336" s="10" t="s">
        <v>1214</v>
      </c>
      <c r="S336" s="10" t="s">
        <v>61</v>
      </c>
    </row>
    <row r="337" spans="1:19" ht="29" x14ac:dyDescent="0.35">
      <c r="A337" s="14">
        <v>46022</v>
      </c>
      <c r="B337" s="10" t="s">
        <v>787</v>
      </c>
      <c r="C337" s="10" t="s">
        <v>788</v>
      </c>
      <c r="D337" s="10" t="s">
        <v>962</v>
      </c>
      <c r="E337" s="10">
        <v>4353456</v>
      </c>
      <c r="F337" s="15">
        <v>100</v>
      </c>
      <c r="G337" s="10" t="s">
        <v>1296</v>
      </c>
      <c r="H337" s="10">
        <v>4353456</v>
      </c>
      <c r="I337" s="10" t="s">
        <v>1194</v>
      </c>
      <c r="J337" s="10" t="s">
        <v>1214</v>
      </c>
      <c r="K337" s="10" t="s">
        <v>1214</v>
      </c>
      <c r="L337" s="10" t="s">
        <v>1214</v>
      </c>
      <c r="M337" s="10" t="s">
        <v>1214</v>
      </c>
      <c r="N337" s="10" t="s">
        <v>61</v>
      </c>
      <c r="O337" s="10" t="s">
        <v>1214</v>
      </c>
      <c r="P337" s="10" t="s">
        <v>1214</v>
      </c>
      <c r="Q337" s="10" t="s">
        <v>1214</v>
      </c>
      <c r="R337" s="10" t="s">
        <v>1214</v>
      </c>
      <c r="S337" s="10" t="s">
        <v>61</v>
      </c>
    </row>
    <row r="338" spans="1:19" ht="101.5" x14ac:dyDescent="0.35">
      <c r="A338" s="14">
        <v>46022</v>
      </c>
      <c r="B338" s="10" t="s">
        <v>424</v>
      </c>
      <c r="C338" s="10" t="s">
        <v>425</v>
      </c>
      <c r="D338" s="10" t="s">
        <v>1075</v>
      </c>
      <c r="E338" s="10">
        <v>4396728</v>
      </c>
      <c r="F338" s="15">
        <v>79.400000000000006</v>
      </c>
      <c r="G338" s="10" t="s">
        <v>1457</v>
      </c>
      <c r="H338" s="10">
        <v>4396728</v>
      </c>
      <c r="I338" s="10">
        <v>4355602</v>
      </c>
      <c r="J338" s="10" t="s">
        <v>1404</v>
      </c>
      <c r="K338" s="10" t="s">
        <v>1405</v>
      </c>
      <c r="L338" s="10" t="s">
        <v>1404</v>
      </c>
      <c r="M338" s="10" t="s">
        <v>1405</v>
      </c>
      <c r="N338" s="10" t="s">
        <v>1405</v>
      </c>
      <c r="O338" s="10" t="s">
        <v>1295</v>
      </c>
      <c r="P338" s="10" t="s">
        <v>122</v>
      </c>
      <c r="Q338" s="10" t="s">
        <v>1295</v>
      </c>
      <c r="R338" s="10" t="s">
        <v>122</v>
      </c>
      <c r="S338" s="10" t="s">
        <v>122</v>
      </c>
    </row>
    <row r="339" spans="1:19" ht="101.5" x14ac:dyDescent="0.35">
      <c r="A339" s="14">
        <v>46022</v>
      </c>
      <c r="B339" s="10" t="s">
        <v>424</v>
      </c>
      <c r="C339" s="10" t="s">
        <v>425</v>
      </c>
      <c r="D339" s="10" t="s">
        <v>1002</v>
      </c>
      <c r="E339" s="10">
        <v>4355602</v>
      </c>
      <c r="F339" s="15">
        <v>20.6</v>
      </c>
      <c r="G339" s="10" t="s">
        <v>1457</v>
      </c>
      <c r="H339" s="10">
        <v>4396728</v>
      </c>
      <c r="I339" s="10">
        <v>4355602</v>
      </c>
      <c r="J339" s="10" t="s">
        <v>1404</v>
      </c>
      <c r="K339" s="10" t="s">
        <v>1405</v>
      </c>
      <c r="L339" s="10" t="s">
        <v>1404</v>
      </c>
      <c r="M339" s="10" t="s">
        <v>1405</v>
      </c>
      <c r="N339" s="10" t="s">
        <v>1405</v>
      </c>
      <c r="O339" s="10" t="s">
        <v>1295</v>
      </c>
      <c r="P339" s="10" t="s">
        <v>122</v>
      </c>
      <c r="Q339" s="10" t="s">
        <v>1295</v>
      </c>
      <c r="R339" s="10" t="s">
        <v>122</v>
      </c>
      <c r="S339" s="10" t="s">
        <v>122</v>
      </c>
    </row>
    <row r="340" spans="1:19" ht="101.5" x14ac:dyDescent="0.35">
      <c r="A340" s="14">
        <v>46022</v>
      </c>
      <c r="B340" s="10" t="s">
        <v>399</v>
      </c>
      <c r="C340" s="10" t="s">
        <v>400</v>
      </c>
      <c r="D340" s="10" t="s">
        <v>1075</v>
      </c>
      <c r="E340" s="10">
        <v>4396728</v>
      </c>
      <c r="F340" s="15">
        <v>79.400000000000006</v>
      </c>
      <c r="G340" s="10" t="s">
        <v>1403</v>
      </c>
      <c r="H340" s="10">
        <v>4396728</v>
      </c>
      <c r="I340" s="10">
        <v>4355602</v>
      </c>
      <c r="J340" s="10" t="s">
        <v>1404</v>
      </c>
      <c r="K340" s="10" t="s">
        <v>1405</v>
      </c>
      <c r="L340" s="10" t="s">
        <v>1404</v>
      </c>
      <c r="M340" s="10" t="s">
        <v>1405</v>
      </c>
      <c r="N340" s="10" t="s">
        <v>1405</v>
      </c>
      <c r="O340" s="10" t="s">
        <v>1295</v>
      </c>
      <c r="P340" s="10" t="s">
        <v>122</v>
      </c>
      <c r="Q340" s="10" t="s">
        <v>1295</v>
      </c>
      <c r="R340" s="10" t="s">
        <v>122</v>
      </c>
      <c r="S340" s="10" t="s">
        <v>122</v>
      </c>
    </row>
    <row r="341" spans="1:19" ht="101.5" x14ac:dyDescent="0.35">
      <c r="A341" s="14">
        <v>46022</v>
      </c>
      <c r="B341" s="10" t="s">
        <v>399</v>
      </c>
      <c r="C341" s="10" t="s">
        <v>400</v>
      </c>
      <c r="D341" s="10" t="s">
        <v>1002</v>
      </c>
      <c r="E341" s="10">
        <v>4355602</v>
      </c>
      <c r="F341" s="15">
        <v>20.6</v>
      </c>
      <c r="G341" s="10" t="s">
        <v>1403</v>
      </c>
      <c r="H341" s="10">
        <v>4396728</v>
      </c>
      <c r="I341" s="10">
        <v>4355602</v>
      </c>
      <c r="J341" s="10" t="s">
        <v>1404</v>
      </c>
      <c r="K341" s="10" t="s">
        <v>1405</v>
      </c>
      <c r="L341" s="10" t="s">
        <v>1404</v>
      </c>
      <c r="M341" s="10" t="s">
        <v>1405</v>
      </c>
      <c r="N341" s="10" t="s">
        <v>1405</v>
      </c>
      <c r="O341" s="10" t="s">
        <v>1295</v>
      </c>
      <c r="P341" s="10" t="s">
        <v>122</v>
      </c>
      <c r="Q341" s="10" t="s">
        <v>1295</v>
      </c>
      <c r="R341" s="10" t="s">
        <v>122</v>
      </c>
      <c r="S341" s="10" t="s">
        <v>122</v>
      </c>
    </row>
    <row r="342" spans="1:19" ht="101.5" x14ac:dyDescent="0.35">
      <c r="A342" s="14">
        <v>46022</v>
      </c>
      <c r="B342" s="10" t="s">
        <v>426</v>
      </c>
      <c r="C342" s="10" t="s">
        <v>427</v>
      </c>
      <c r="D342" s="10" t="s">
        <v>981</v>
      </c>
      <c r="E342" s="10">
        <v>4120225</v>
      </c>
      <c r="F342" s="15">
        <v>61.5</v>
      </c>
      <c r="G342" s="10" t="s">
        <v>1458</v>
      </c>
      <c r="H342" s="10">
        <v>4120225</v>
      </c>
      <c r="I342" s="10">
        <v>4075105</v>
      </c>
      <c r="J342" s="10" t="s">
        <v>1214</v>
      </c>
      <c r="K342" s="10" t="s">
        <v>1214</v>
      </c>
      <c r="L342" s="10" t="s">
        <v>1214</v>
      </c>
      <c r="M342" s="10" t="s">
        <v>1214</v>
      </c>
      <c r="N342" s="10" t="s">
        <v>222</v>
      </c>
      <c r="O342" s="10" t="s">
        <v>1214</v>
      </c>
      <c r="P342" s="10" t="s">
        <v>1214</v>
      </c>
      <c r="Q342" s="10" t="s">
        <v>1214</v>
      </c>
      <c r="R342" s="10" t="s">
        <v>1214</v>
      </c>
      <c r="S342" s="10" t="s">
        <v>79</v>
      </c>
    </row>
    <row r="343" spans="1:19" ht="101.5" x14ac:dyDescent="0.35">
      <c r="A343" s="14">
        <v>46022</v>
      </c>
      <c r="B343" s="10" t="s">
        <v>426</v>
      </c>
      <c r="C343" s="10" t="s">
        <v>427</v>
      </c>
      <c r="D343" s="10" t="s">
        <v>976</v>
      </c>
      <c r="E343" s="10">
        <v>4075105</v>
      </c>
      <c r="F343" s="15">
        <v>38.5</v>
      </c>
      <c r="G343" s="10" t="s">
        <v>1458</v>
      </c>
      <c r="H343" s="10">
        <v>4120225</v>
      </c>
      <c r="I343" s="10">
        <v>4075105</v>
      </c>
      <c r="J343" s="10" t="s">
        <v>1214</v>
      </c>
      <c r="K343" s="10" t="s">
        <v>1214</v>
      </c>
      <c r="L343" s="10" t="s">
        <v>1214</v>
      </c>
      <c r="M343" s="10" t="s">
        <v>1214</v>
      </c>
      <c r="N343" s="10" t="s">
        <v>222</v>
      </c>
      <c r="O343" s="10" t="s">
        <v>1214</v>
      </c>
      <c r="P343" s="10" t="s">
        <v>1214</v>
      </c>
      <c r="Q343" s="10" t="s">
        <v>1214</v>
      </c>
      <c r="R343" s="10" t="s">
        <v>1214</v>
      </c>
      <c r="S343" s="10" t="s">
        <v>79</v>
      </c>
    </row>
    <row r="344" spans="1:19" ht="29" x14ac:dyDescent="0.35">
      <c r="A344" s="14">
        <v>46022</v>
      </c>
      <c r="B344" s="10" t="s">
        <v>599</v>
      </c>
      <c r="C344" s="10" t="s">
        <v>600</v>
      </c>
      <c r="D344" s="10" t="s">
        <v>1103</v>
      </c>
      <c r="E344" s="10">
        <v>4352755</v>
      </c>
      <c r="F344" s="15">
        <v>100</v>
      </c>
      <c r="G344" s="10" t="s">
        <v>1459</v>
      </c>
      <c r="H344" s="10">
        <v>4349317</v>
      </c>
      <c r="I344" s="10" t="s">
        <v>1194</v>
      </c>
      <c r="J344" s="10" t="s">
        <v>1214</v>
      </c>
      <c r="K344" s="10" t="s">
        <v>1214</v>
      </c>
      <c r="L344" s="10" t="s">
        <v>1214</v>
      </c>
      <c r="M344" s="10" t="s">
        <v>1214</v>
      </c>
      <c r="N344" s="10" t="s">
        <v>79</v>
      </c>
      <c r="O344" s="10" t="s">
        <v>1214</v>
      </c>
      <c r="P344" s="10" t="s">
        <v>1214</v>
      </c>
      <c r="Q344" s="10" t="s">
        <v>1214</v>
      </c>
      <c r="R344" s="10" t="s">
        <v>1214</v>
      </c>
      <c r="S344" s="10" t="s">
        <v>61</v>
      </c>
    </row>
    <row r="345" spans="1:19" ht="72.5" x14ac:dyDescent="0.35">
      <c r="A345" s="14">
        <v>46022</v>
      </c>
      <c r="B345" s="10" t="s">
        <v>601</v>
      </c>
      <c r="C345" s="10" t="s">
        <v>602</v>
      </c>
      <c r="D345" s="10" t="s">
        <v>1104</v>
      </c>
      <c r="E345" s="10">
        <v>4413345</v>
      </c>
      <c r="F345" s="15">
        <v>65</v>
      </c>
      <c r="G345" s="10" t="s">
        <v>1460</v>
      </c>
      <c r="H345" s="10">
        <v>4413345</v>
      </c>
      <c r="I345" s="10">
        <v>4418919</v>
      </c>
      <c r="J345" s="10" t="s">
        <v>1214</v>
      </c>
      <c r="K345" s="10" t="s">
        <v>1214</v>
      </c>
      <c r="L345" s="10" t="s">
        <v>1214</v>
      </c>
      <c r="M345" s="10" t="s">
        <v>1214</v>
      </c>
      <c r="N345" s="10" t="s">
        <v>61</v>
      </c>
      <c r="O345" s="10" t="s">
        <v>1214</v>
      </c>
      <c r="P345" s="10" t="s">
        <v>1214</v>
      </c>
      <c r="Q345" s="10" t="s">
        <v>1214</v>
      </c>
      <c r="R345" s="10" t="s">
        <v>1214</v>
      </c>
      <c r="S345" s="10" t="s">
        <v>61</v>
      </c>
    </row>
    <row r="346" spans="1:19" ht="72.5" x14ac:dyDescent="0.35">
      <c r="A346" s="14">
        <v>46022</v>
      </c>
      <c r="B346" s="10" t="s">
        <v>601</v>
      </c>
      <c r="C346" s="10" t="s">
        <v>602</v>
      </c>
      <c r="D346" s="10" t="s">
        <v>1105</v>
      </c>
      <c r="E346" s="10">
        <v>4418919</v>
      </c>
      <c r="F346" s="15">
        <v>35</v>
      </c>
      <c r="G346" s="10" t="s">
        <v>1460</v>
      </c>
      <c r="H346" s="10">
        <v>4413345</v>
      </c>
      <c r="I346" s="10">
        <v>4418919</v>
      </c>
      <c r="J346" s="10" t="s">
        <v>1214</v>
      </c>
      <c r="K346" s="10" t="s">
        <v>1214</v>
      </c>
      <c r="L346" s="10" t="s">
        <v>1214</v>
      </c>
      <c r="M346" s="10" t="s">
        <v>1214</v>
      </c>
      <c r="N346" s="10" t="s">
        <v>61</v>
      </c>
      <c r="O346" s="10" t="s">
        <v>1214</v>
      </c>
      <c r="P346" s="10" t="s">
        <v>1214</v>
      </c>
      <c r="Q346" s="10" t="s">
        <v>1214</v>
      </c>
      <c r="R346" s="10" t="s">
        <v>1214</v>
      </c>
      <c r="S346" s="10" t="s">
        <v>61</v>
      </c>
    </row>
    <row r="347" spans="1:19" ht="101.5" x14ac:dyDescent="0.35">
      <c r="A347" s="14">
        <v>46022</v>
      </c>
      <c r="B347" s="10" t="s">
        <v>603</v>
      </c>
      <c r="C347" s="10" t="s">
        <v>604</v>
      </c>
      <c r="D347" s="10" t="s">
        <v>1100</v>
      </c>
      <c r="E347" s="10">
        <v>118448206</v>
      </c>
      <c r="F347" s="15">
        <v>51</v>
      </c>
      <c r="G347" s="10" t="s">
        <v>1461</v>
      </c>
      <c r="H347" s="10">
        <v>118448206</v>
      </c>
      <c r="I347" s="10">
        <v>4355602</v>
      </c>
      <c r="J347" s="10" t="s">
        <v>1447</v>
      </c>
      <c r="K347" s="10" t="s">
        <v>1347</v>
      </c>
      <c r="L347" s="10" t="s">
        <v>1448</v>
      </c>
      <c r="M347" s="10" t="s">
        <v>1347</v>
      </c>
      <c r="N347" s="10" t="s">
        <v>1347</v>
      </c>
      <c r="O347" s="10" t="s">
        <v>1295</v>
      </c>
      <c r="P347" s="10" t="s">
        <v>122</v>
      </c>
      <c r="Q347" s="10" t="s">
        <v>1295</v>
      </c>
      <c r="R347" s="10" t="s">
        <v>122</v>
      </c>
      <c r="S347" s="10" t="s">
        <v>122</v>
      </c>
    </row>
    <row r="348" spans="1:19" ht="101.5" x14ac:dyDescent="0.35">
      <c r="A348" s="14">
        <v>46022</v>
      </c>
      <c r="B348" s="10" t="s">
        <v>603</v>
      </c>
      <c r="C348" s="10" t="s">
        <v>604</v>
      </c>
      <c r="D348" s="10" t="s">
        <v>1002</v>
      </c>
      <c r="E348" s="10">
        <v>4355602</v>
      </c>
      <c r="F348" s="15">
        <v>49</v>
      </c>
      <c r="G348" s="10" t="s">
        <v>1461</v>
      </c>
      <c r="H348" s="10">
        <v>118448206</v>
      </c>
      <c r="I348" s="10">
        <v>4355602</v>
      </c>
      <c r="J348" s="10" t="s">
        <v>1447</v>
      </c>
      <c r="K348" s="10" t="s">
        <v>1347</v>
      </c>
      <c r="L348" s="10" t="s">
        <v>1448</v>
      </c>
      <c r="M348" s="10" t="s">
        <v>1347</v>
      </c>
      <c r="N348" s="10" t="s">
        <v>1347</v>
      </c>
      <c r="O348" s="10" t="s">
        <v>1295</v>
      </c>
      <c r="P348" s="10" t="s">
        <v>122</v>
      </c>
      <c r="Q348" s="10" t="s">
        <v>1295</v>
      </c>
      <c r="R348" s="10" t="s">
        <v>122</v>
      </c>
      <c r="S348" s="10" t="s">
        <v>122</v>
      </c>
    </row>
    <row r="349" spans="1:19" ht="72.5" x14ac:dyDescent="0.35">
      <c r="A349" s="14">
        <v>46022</v>
      </c>
      <c r="B349" s="10" t="s">
        <v>605</v>
      </c>
      <c r="C349" s="10" t="s">
        <v>606</v>
      </c>
      <c r="D349" s="10" t="s">
        <v>984</v>
      </c>
      <c r="E349" s="10">
        <v>4352853</v>
      </c>
      <c r="F349" s="15">
        <v>100</v>
      </c>
      <c r="G349" s="10" t="s">
        <v>1462</v>
      </c>
      <c r="H349" s="10">
        <v>4352853</v>
      </c>
      <c r="I349" s="10" t="s">
        <v>1194</v>
      </c>
      <c r="J349" s="10" t="s">
        <v>1214</v>
      </c>
      <c r="K349" s="10" t="s">
        <v>1214</v>
      </c>
      <c r="L349" s="10" t="s">
        <v>1214</v>
      </c>
      <c r="M349" s="10" t="s">
        <v>1214</v>
      </c>
      <c r="N349" s="10" t="s">
        <v>86</v>
      </c>
      <c r="O349" s="10" t="s">
        <v>1214</v>
      </c>
      <c r="P349" s="10" t="s">
        <v>1214</v>
      </c>
      <c r="Q349" s="10" t="s">
        <v>1214</v>
      </c>
      <c r="R349" s="10" t="s">
        <v>1214</v>
      </c>
      <c r="S349" s="10" t="s">
        <v>61</v>
      </c>
    </row>
    <row r="350" spans="1:19" ht="130.5" x14ac:dyDescent="0.35">
      <c r="A350" s="14">
        <v>46022</v>
      </c>
      <c r="B350" s="10" t="s">
        <v>401</v>
      </c>
      <c r="C350" s="10" t="s">
        <v>402</v>
      </c>
      <c r="D350" s="10" t="s">
        <v>1031</v>
      </c>
      <c r="E350" s="10">
        <v>4350088</v>
      </c>
      <c r="F350" s="15">
        <v>80</v>
      </c>
      <c r="G350" s="10" t="s">
        <v>1463</v>
      </c>
      <c r="H350" s="10">
        <v>4350088</v>
      </c>
      <c r="I350" s="10">
        <v>4354638</v>
      </c>
      <c r="J350" s="10" t="s">
        <v>1214</v>
      </c>
      <c r="K350" s="10" t="s">
        <v>1214</v>
      </c>
      <c r="L350" s="10" t="s">
        <v>1214</v>
      </c>
      <c r="M350" s="10" t="s">
        <v>1214</v>
      </c>
      <c r="N350" s="10" t="s">
        <v>89</v>
      </c>
      <c r="O350" s="10" t="s">
        <v>1214</v>
      </c>
      <c r="P350" s="10" t="s">
        <v>1214</v>
      </c>
      <c r="Q350" s="10" t="s">
        <v>1214</v>
      </c>
      <c r="R350" s="10" t="s">
        <v>1214</v>
      </c>
      <c r="S350" s="10" t="s">
        <v>1235</v>
      </c>
    </row>
    <row r="351" spans="1:19" ht="130.5" x14ac:dyDescent="0.35">
      <c r="A351" s="14">
        <v>46022</v>
      </c>
      <c r="B351" s="10" t="s">
        <v>401</v>
      </c>
      <c r="C351" s="10" t="s">
        <v>402</v>
      </c>
      <c r="D351" s="10" t="s">
        <v>988</v>
      </c>
      <c r="E351" s="10">
        <v>4047416</v>
      </c>
      <c r="F351" s="15">
        <v>6.7</v>
      </c>
      <c r="G351" s="10" t="s">
        <v>1463</v>
      </c>
      <c r="H351" s="10">
        <v>4350088</v>
      </c>
      <c r="I351" s="10">
        <v>4354638</v>
      </c>
      <c r="J351" s="10" t="s">
        <v>1214</v>
      </c>
      <c r="K351" s="10" t="s">
        <v>1214</v>
      </c>
      <c r="L351" s="10" t="s">
        <v>1214</v>
      </c>
      <c r="M351" s="10" t="s">
        <v>1214</v>
      </c>
      <c r="N351" s="10" t="s">
        <v>89</v>
      </c>
      <c r="O351" s="10" t="s">
        <v>1214</v>
      </c>
      <c r="P351" s="10" t="s">
        <v>1214</v>
      </c>
      <c r="Q351" s="10" t="s">
        <v>1214</v>
      </c>
      <c r="R351" s="10" t="s">
        <v>1214</v>
      </c>
      <c r="S351" s="10" t="s">
        <v>1235</v>
      </c>
    </row>
    <row r="352" spans="1:19" ht="130.5" x14ac:dyDescent="0.35">
      <c r="A352" s="14">
        <v>46022</v>
      </c>
      <c r="B352" s="10" t="s">
        <v>401</v>
      </c>
      <c r="C352" s="10" t="s">
        <v>402</v>
      </c>
      <c r="D352" s="10" t="s">
        <v>989</v>
      </c>
      <c r="E352" s="10">
        <v>4354638</v>
      </c>
      <c r="F352" s="15">
        <v>13.3</v>
      </c>
      <c r="G352" s="10" t="s">
        <v>1463</v>
      </c>
      <c r="H352" s="10">
        <v>4350088</v>
      </c>
      <c r="I352" s="10">
        <v>4354638</v>
      </c>
      <c r="J352" s="10" t="s">
        <v>1214</v>
      </c>
      <c r="K352" s="10" t="s">
        <v>1214</v>
      </c>
      <c r="L352" s="10" t="s">
        <v>1214</v>
      </c>
      <c r="M352" s="10" t="s">
        <v>1214</v>
      </c>
      <c r="N352" s="10" t="s">
        <v>89</v>
      </c>
      <c r="O352" s="10" t="s">
        <v>1214</v>
      </c>
      <c r="P352" s="10" t="s">
        <v>1214</v>
      </c>
      <c r="Q352" s="10" t="s">
        <v>1214</v>
      </c>
      <c r="R352" s="10" t="s">
        <v>1214</v>
      </c>
      <c r="S352" s="10" t="s">
        <v>1235</v>
      </c>
    </row>
    <row r="353" spans="1:19" x14ac:dyDescent="0.35">
      <c r="A353" s="14">
        <v>46022</v>
      </c>
      <c r="B353" s="10" t="s">
        <v>444</v>
      </c>
      <c r="C353" s="10" t="s">
        <v>445</v>
      </c>
      <c r="D353" s="10" t="s">
        <v>1106</v>
      </c>
      <c r="E353" s="10">
        <v>4351204</v>
      </c>
      <c r="F353" s="15">
        <v>100</v>
      </c>
      <c r="G353" s="10" t="s">
        <v>1464</v>
      </c>
      <c r="H353" s="10">
        <v>4351204</v>
      </c>
      <c r="I353" s="10" t="s">
        <v>1194</v>
      </c>
      <c r="J353" s="10" t="s">
        <v>1214</v>
      </c>
      <c r="K353" s="10" t="s">
        <v>1214</v>
      </c>
      <c r="L353" s="10" t="s">
        <v>1214</v>
      </c>
      <c r="M353" s="10" t="s">
        <v>1214</v>
      </c>
      <c r="N353" s="10" t="s">
        <v>89</v>
      </c>
      <c r="O353" s="10" t="s">
        <v>1214</v>
      </c>
      <c r="P353" s="10" t="s">
        <v>1214</v>
      </c>
      <c r="Q353" s="10" t="s">
        <v>1214</v>
      </c>
      <c r="R353" s="10" t="s">
        <v>1214</v>
      </c>
      <c r="S353" s="10" t="s">
        <v>61</v>
      </c>
    </row>
    <row r="354" spans="1:19" ht="58" x14ac:dyDescent="0.35">
      <c r="A354" s="14">
        <v>46022</v>
      </c>
      <c r="B354" s="10" t="s">
        <v>789</v>
      </c>
      <c r="C354" s="10" t="s">
        <v>790</v>
      </c>
      <c r="D354" s="10" t="s">
        <v>1107</v>
      </c>
      <c r="E354" s="10">
        <v>10930041</v>
      </c>
      <c r="F354" s="15">
        <v>100</v>
      </c>
      <c r="G354" s="10" t="s">
        <v>1465</v>
      </c>
      <c r="H354" s="10">
        <v>10930041</v>
      </c>
      <c r="I354" s="10" t="s">
        <v>1194</v>
      </c>
      <c r="J354" s="10" t="s">
        <v>1214</v>
      </c>
      <c r="K354" s="10" t="s">
        <v>1214</v>
      </c>
      <c r="L354" s="10" t="s">
        <v>1214</v>
      </c>
      <c r="M354" s="10" t="s">
        <v>1214</v>
      </c>
      <c r="N354" s="10" t="s">
        <v>61</v>
      </c>
      <c r="O354" s="10" t="s">
        <v>1214</v>
      </c>
      <c r="P354" s="10" t="s">
        <v>1214</v>
      </c>
      <c r="Q354" s="10" t="s">
        <v>1214</v>
      </c>
      <c r="R354" s="10" t="s">
        <v>1214</v>
      </c>
      <c r="S354" s="10" t="s">
        <v>61</v>
      </c>
    </row>
    <row r="355" spans="1:19" ht="43.5" x14ac:dyDescent="0.35">
      <c r="A355" s="14">
        <v>46022</v>
      </c>
      <c r="B355" s="10" t="s">
        <v>607</v>
      </c>
      <c r="C355" s="10" t="s">
        <v>608</v>
      </c>
      <c r="D355" s="10" t="s">
        <v>1108</v>
      </c>
      <c r="E355" s="10">
        <v>4353027</v>
      </c>
      <c r="F355" s="15">
        <v>100</v>
      </c>
      <c r="G355" s="10" t="s">
        <v>1466</v>
      </c>
      <c r="H355" s="10">
        <v>4353027</v>
      </c>
      <c r="I355" s="10" t="s">
        <v>1194</v>
      </c>
      <c r="J355" s="10" t="s">
        <v>1467</v>
      </c>
      <c r="K355" s="10" t="s">
        <v>250</v>
      </c>
      <c r="L355" s="10" t="s">
        <v>1467</v>
      </c>
      <c r="M355" s="10" t="s">
        <v>250</v>
      </c>
      <c r="N355" s="10" t="s">
        <v>250</v>
      </c>
      <c r="O355" s="10" t="s">
        <v>1214</v>
      </c>
      <c r="P355" s="10" t="s">
        <v>1214</v>
      </c>
      <c r="Q355" s="10" t="s">
        <v>1214</v>
      </c>
      <c r="R355" s="10" t="s">
        <v>1214</v>
      </c>
      <c r="S355" s="10" t="s">
        <v>61</v>
      </c>
    </row>
    <row r="356" spans="1:19" ht="29" x14ac:dyDescent="0.35">
      <c r="A356" s="14">
        <v>46022</v>
      </c>
      <c r="B356" s="10" t="s">
        <v>609</v>
      </c>
      <c r="C356" s="10" t="s">
        <v>610</v>
      </c>
      <c r="D356" s="10" t="s">
        <v>947</v>
      </c>
      <c r="E356" s="10">
        <v>4121840</v>
      </c>
      <c r="F356" s="15">
        <v>100</v>
      </c>
      <c r="G356" s="10" t="s">
        <v>1230</v>
      </c>
      <c r="H356" s="10">
        <v>4121840</v>
      </c>
      <c r="I356" s="10" t="s">
        <v>1194</v>
      </c>
      <c r="J356" s="10" t="s">
        <v>1214</v>
      </c>
      <c r="K356" s="10" t="s">
        <v>1214</v>
      </c>
      <c r="L356" s="10" t="s">
        <v>1214</v>
      </c>
      <c r="M356" s="10" t="s">
        <v>1214</v>
      </c>
      <c r="N356" s="10" t="s">
        <v>89</v>
      </c>
      <c r="O356" s="10" t="s">
        <v>1214</v>
      </c>
      <c r="P356" s="10" t="s">
        <v>1214</v>
      </c>
      <c r="Q356" s="10" t="s">
        <v>1214</v>
      </c>
      <c r="R356" s="10" t="s">
        <v>1214</v>
      </c>
      <c r="S356" s="10" t="s">
        <v>61</v>
      </c>
    </row>
    <row r="357" spans="1:19" x14ac:dyDescent="0.35">
      <c r="A357" s="14">
        <v>46022</v>
      </c>
      <c r="B357" s="10" t="s">
        <v>611</v>
      </c>
      <c r="C357" s="10" t="s">
        <v>612</v>
      </c>
      <c r="D357" s="10" t="s">
        <v>1090</v>
      </c>
      <c r="E357" s="10">
        <v>4223919</v>
      </c>
      <c r="F357" s="15">
        <v>100</v>
      </c>
      <c r="G357" s="10" t="s">
        <v>1427</v>
      </c>
      <c r="H357" s="10">
        <v>4223919</v>
      </c>
      <c r="I357" s="10" t="s">
        <v>1194</v>
      </c>
      <c r="J357" s="10" t="s">
        <v>1214</v>
      </c>
      <c r="K357" s="10" t="s">
        <v>1214</v>
      </c>
      <c r="L357" s="10" t="s">
        <v>1214</v>
      </c>
      <c r="M357" s="10" t="s">
        <v>1214</v>
      </c>
      <c r="N357" s="10" t="s">
        <v>55</v>
      </c>
      <c r="O357" s="10" t="s">
        <v>1214</v>
      </c>
      <c r="P357" s="10" t="s">
        <v>1214</v>
      </c>
      <c r="Q357" s="10" t="s">
        <v>1214</v>
      </c>
      <c r="R357" s="10" t="s">
        <v>1214</v>
      </c>
      <c r="S357" s="10" t="s">
        <v>61</v>
      </c>
    </row>
    <row r="358" spans="1:19" ht="58" x14ac:dyDescent="0.35">
      <c r="A358" s="14">
        <v>46022</v>
      </c>
      <c r="B358" s="10" t="s">
        <v>446</v>
      </c>
      <c r="C358" s="10" t="s">
        <v>447</v>
      </c>
      <c r="D358" s="10" t="s">
        <v>351</v>
      </c>
      <c r="E358" s="10">
        <v>4350708</v>
      </c>
      <c r="F358" s="15">
        <v>34</v>
      </c>
      <c r="G358" s="10" t="s">
        <v>1468</v>
      </c>
      <c r="H358" s="10">
        <v>4149660</v>
      </c>
      <c r="I358" s="10">
        <v>4350708</v>
      </c>
      <c r="J358" s="10" t="s">
        <v>1214</v>
      </c>
      <c r="K358" s="10" t="s">
        <v>1214</v>
      </c>
      <c r="L358" s="10" t="s">
        <v>1214</v>
      </c>
      <c r="M358" s="10" t="s">
        <v>1214</v>
      </c>
      <c r="N358" s="10" t="s">
        <v>1219</v>
      </c>
      <c r="O358" s="10" t="s">
        <v>1214</v>
      </c>
      <c r="P358" s="10" t="s">
        <v>1214</v>
      </c>
      <c r="Q358" s="10" t="s">
        <v>1214</v>
      </c>
      <c r="R358" s="10" t="s">
        <v>1214</v>
      </c>
      <c r="S358" s="10" t="s">
        <v>351</v>
      </c>
    </row>
    <row r="359" spans="1:19" ht="58" x14ac:dyDescent="0.35">
      <c r="A359" s="14">
        <v>46022</v>
      </c>
      <c r="B359" s="10" t="s">
        <v>446</v>
      </c>
      <c r="C359" s="10" t="s">
        <v>447</v>
      </c>
      <c r="D359" s="10" t="s">
        <v>971</v>
      </c>
      <c r="E359" s="10">
        <v>4149660</v>
      </c>
      <c r="F359" s="15">
        <v>66</v>
      </c>
      <c r="G359" s="10" t="s">
        <v>1468</v>
      </c>
      <c r="H359" s="10">
        <v>4149660</v>
      </c>
      <c r="I359" s="10">
        <v>4350708</v>
      </c>
      <c r="J359" s="10" t="s">
        <v>1214</v>
      </c>
      <c r="K359" s="10" t="s">
        <v>1214</v>
      </c>
      <c r="L359" s="10" t="s">
        <v>1214</v>
      </c>
      <c r="M359" s="10" t="s">
        <v>1214</v>
      </c>
      <c r="N359" s="10" t="s">
        <v>1219</v>
      </c>
      <c r="O359" s="10" t="s">
        <v>1214</v>
      </c>
      <c r="P359" s="10" t="s">
        <v>1214</v>
      </c>
      <c r="Q359" s="10" t="s">
        <v>1214</v>
      </c>
      <c r="R359" s="10" t="s">
        <v>1214</v>
      </c>
      <c r="S359" s="10" t="s">
        <v>351</v>
      </c>
    </row>
    <row r="360" spans="1:19" ht="29" x14ac:dyDescent="0.35">
      <c r="A360" s="14">
        <v>46022</v>
      </c>
      <c r="B360" s="10" t="s">
        <v>791</v>
      </c>
      <c r="C360" s="10" t="s">
        <v>792</v>
      </c>
      <c r="D360" s="10" t="s">
        <v>1109</v>
      </c>
      <c r="E360" s="10">
        <v>4353322</v>
      </c>
      <c r="F360" s="15">
        <v>100</v>
      </c>
      <c r="G360" s="10" t="s">
        <v>1469</v>
      </c>
      <c r="H360" s="10">
        <v>4353322</v>
      </c>
      <c r="I360" s="10" t="s">
        <v>1194</v>
      </c>
      <c r="J360" s="10" t="s">
        <v>1214</v>
      </c>
      <c r="K360" s="10" t="s">
        <v>1214</v>
      </c>
      <c r="L360" s="10" t="s">
        <v>1214</v>
      </c>
      <c r="M360" s="10" t="s">
        <v>1214</v>
      </c>
      <c r="N360" s="10" t="s">
        <v>157</v>
      </c>
      <c r="O360" s="10" t="s">
        <v>1214</v>
      </c>
      <c r="P360" s="10" t="s">
        <v>1214</v>
      </c>
      <c r="Q360" s="10" t="s">
        <v>1214</v>
      </c>
      <c r="R360" s="10" t="s">
        <v>1214</v>
      </c>
      <c r="S360" s="10" t="s">
        <v>61</v>
      </c>
    </row>
    <row r="361" spans="1:19" ht="232" x14ac:dyDescent="0.35">
      <c r="A361" s="14">
        <v>46022</v>
      </c>
      <c r="B361" s="10" t="s">
        <v>613</v>
      </c>
      <c r="C361" s="10" t="s">
        <v>614</v>
      </c>
      <c r="D361" s="10" t="s">
        <v>1110</v>
      </c>
      <c r="E361" s="10">
        <v>4314058</v>
      </c>
      <c r="F361" s="15">
        <v>5</v>
      </c>
      <c r="G361" s="10" t="s">
        <v>1470</v>
      </c>
      <c r="H361" s="10">
        <v>4567463</v>
      </c>
      <c r="I361" s="10">
        <v>4281822</v>
      </c>
      <c r="J361" s="10" t="s">
        <v>1471</v>
      </c>
      <c r="K361" s="10" t="s">
        <v>61</v>
      </c>
      <c r="L361" s="10" t="s">
        <v>1471</v>
      </c>
      <c r="M361" s="10" t="s">
        <v>61</v>
      </c>
      <c r="N361" s="10" t="s">
        <v>61</v>
      </c>
      <c r="O361" s="10" t="s">
        <v>1214</v>
      </c>
      <c r="P361" s="10" t="s">
        <v>1214</v>
      </c>
      <c r="Q361" s="10" t="s">
        <v>1214</v>
      </c>
      <c r="R361" s="10" t="s">
        <v>1214</v>
      </c>
      <c r="S361" s="10" t="s">
        <v>105</v>
      </c>
    </row>
    <row r="362" spans="1:19" ht="232" x14ac:dyDescent="0.35">
      <c r="A362" s="14">
        <v>46022</v>
      </c>
      <c r="B362" s="10" t="s">
        <v>613</v>
      </c>
      <c r="C362" s="10" t="s">
        <v>614</v>
      </c>
      <c r="D362" s="10" t="s">
        <v>1111</v>
      </c>
      <c r="E362" s="10">
        <v>4528240</v>
      </c>
      <c r="F362" s="15">
        <v>20</v>
      </c>
      <c r="G362" s="10" t="s">
        <v>1470</v>
      </c>
      <c r="H362" s="10">
        <v>4567463</v>
      </c>
      <c r="I362" s="10">
        <v>4281822</v>
      </c>
      <c r="J362" s="10" t="s">
        <v>1471</v>
      </c>
      <c r="K362" s="10" t="s">
        <v>61</v>
      </c>
      <c r="L362" s="10" t="s">
        <v>1471</v>
      </c>
      <c r="M362" s="10" t="s">
        <v>61</v>
      </c>
      <c r="N362" s="10" t="s">
        <v>61</v>
      </c>
      <c r="O362" s="10" t="s">
        <v>1214</v>
      </c>
      <c r="P362" s="10" t="s">
        <v>1214</v>
      </c>
      <c r="Q362" s="10" t="s">
        <v>1214</v>
      </c>
      <c r="R362" s="10" t="s">
        <v>1214</v>
      </c>
      <c r="S362" s="10" t="s">
        <v>105</v>
      </c>
    </row>
    <row r="363" spans="1:19" ht="232" x14ac:dyDescent="0.35">
      <c r="A363" s="14">
        <v>46022</v>
      </c>
      <c r="B363" s="10" t="s">
        <v>613</v>
      </c>
      <c r="C363" s="10" t="s">
        <v>614</v>
      </c>
      <c r="D363" s="10" t="s">
        <v>1112</v>
      </c>
      <c r="E363" s="10">
        <v>4567463</v>
      </c>
      <c r="F363" s="15">
        <v>35</v>
      </c>
      <c r="G363" s="10" t="s">
        <v>1470</v>
      </c>
      <c r="H363" s="10">
        <v>4567463</v>
      </c>
      <c r="I363" s="10">
        <v>4281822</v>
      </c>
      <c r="J363" s="10" t="s">
        <v>1471</v>
      </c>
      <c r="K363" s="10" t="s">
        <v>61</v>
      </c>
      <c r="L363" s="10" t="s">
        <v>1471</v>
      </c>
      <c r="M363" s="10" t="s">
        <v>61</v>
      </c>
      <c r="N363" s="10" t="s">
        <v>61</v>
      </c>
      <c r="O363" s="10" t="s">
        <v>1214</v>
      </c>
      <c r="P363" s="10" t="s">
        <v>1214</v>
      </c>
      <c r="Q363" s="10" t="s">
        <v>1214</v>
      </c>
      <c r="R363" s="10" t="s">
        <v>1214</v>
      </c>
      <c r="S363" s="10" t="s">
        <v>105</v>
      </c>
    </row>
    <row r="364" spans="1:19" ht="232" x14ac:dyDescent="0.35">
      <c r="A364" s="14">
        <v>46022</v>
      </c>
      <c r="B364" s="10" t="s">
        <v>613</v>
      </c>
      <c r="C364" s="10" t="s">
        <v>614</v>
      </c>
      <c r="D364" s="10" t="s">
        <v>1113</v>
      </c>
      <c r="E364" s="10">
        <v>4429101</v>
      </c>
      <c r="F364" s="15">
        <v>20</v>
      </c>
      <c r="G364" s="10" t="s">
        <v>1470</v>
      </c>
      <c r="H364" s="10">
        <v>4567463</v>
      </c>
      <c r="I364" s="10">
        <v>4281822</v>
      </c>
      <c r="J364" s="10" t="s">
        <v>1471</v>
      </c>
      <c r="K364" s="10" t="s">
        <v>61</v>
      </c>
      <c r="L364" s="10" t="s">
        <v>1471</v>
      </c>
      <c r="M364" s="10" t="s">
        <v>61</v>
      </c>
      <c r="N364" s="10" t="s">
        <v>61</v>
      </c>
      <c r="O364" s="10" t="s">
        <v>1214</v>
      </c>
      <c r="P364" s="10" t="s">
        <v>1214</v>
      </c>
      <c r="Q364" s="10" t="s">
        <v>1214</v>
      </c>
      <c r="R364" s="10" t="s">
        <v>1214</v>
      </c>
      <c r="S364" s="10" t="s">
        <v>105</v>
      </c>
    </row>
    <row r="365" spans="1:19" ht="232" x14ac:dyDescent="0.35">
      <c r="A365" s="14">
        <v>46022</v>
      </c>
      <c r="B365" s="10" t="s">
        <v>613</v>
      </c>
      <c r="C365" s="10" t="s">
        <v>614</v>
      </c>
      <c r="D365" s="10" t="s">
        <v>1114</v>
      </c>
      <c r="E365" s="10">
        <v>4281822</v>
      </c>
      <c r="F365" s="15">
        <v>20</v>
      </c>
      <c r="G365" s="10" t="s">
        <v>1470</v>
      </c>
      <c r="H365" s="10">
        <v>4567463</v>
      </c>
      <c r="I365" s="10">
        <v>4281822</v>
      </c>
      <c r="J365" s="10" t="s">
        <v>1471</v>
      </c>
      <c r="K365" s="10" t="s">
        <v>61</v>
      </c>
      <c r="L365" s="10" t="s">
        <v>1471</v>
      </c>
      <c r="M365" s="10" t="s">
        <v>61</v>
      </c>
      <c r="N365" s="10" t="s">
        <v>61</v>
      </c>
      <c r="O365" s="10" t="s">
        <v>1214</v>
      </c>
      <c r="P365" s="10" t="s">
        <v>1214</v>
      </c>
      <c r="Q365" s="10" t="s">
        <v>1214</v>
      </c>
      <c r="R365" s="10" t="s">
        <v>1214</v>
      </c>
      <c r="S365" s="10" t="s">
        <v>105</v>
      </c>
    </row>
    <row r="366" spans="1:19" ht="58" x14ac:dyDescent="0.35">
      <c r="A366" s="14">
        <v>46022</v>
      </c>
      <c r="B366" s="10" t="s">
        <v>448</v>
      </c>
      <c r="C366" s="10" t="s">
        <v>449</v>
      </c>
      <c r="D366" s="10" t="s">
        <v>1115</v>
      </c>
      <c r="E366" s="10">
        <v>6621126</v>
      </c>
      <c r="F366" s="15">
        <v>100</v>
      </c>
      <c r="G366" s="10" t="s">
        <v>1472</v>
      </c>
      <c r="H366" s="10">
        <v>6621126</v>
      </c>
      <c r="I366" s="10" t="s">
        <v>1194</v>
      </c>
      <c r="J366" s="10" t="s">
        <v>1473</v>
      </c>
      <c r="K366" s="10" t="s">
        <v>1228</v>
      </c>
      <c r="L366" s="10" t="s">
        <v>1474</v>
      </c>
      <c r="M366" s="10" t="s">
        <v>1475</v>
      </c>
      <c r="N366" s="10" t="s">
        <v>148</v>
      </c>
      <c r="O366" s="10" t="s">
        <v>1214</v>
      </c>
      <c r="P366" s="10" t="s">
        <v>1214</v>
      </c>
      <c r="Q366" s="10" t="s">
        <v>1214</v>
      </c>
      <c r="R366" s="10" t="s">
        <v>1214</v>
      </c>
      <c r="S366" s="10" t="s">
        <v>61</v>
      </c>
    </row>
    <row r="367" spans="1:19" ht="29" x14ac:dyDescent="0.35">
      <c r="A367" s="14">
        <v>46022</v>
      </c>
      <c r="B367" s="10" t="s">
        <v>450</v>
      </c>
      <c r="C367" s="10" t="s">
        <v>451</v>
      </c>
      <c r="D367" s="10" t="s">
        <v>1115</v>
      </c>
      <c r="E367" s="10">
        <v>6621126</v>
      </c>
      <c r="F367" s="15">
        <v>100</v>
      </c>
      <c r="G367" s="10" t="s">
        <v>1472</v>
      </c>
      <c r="H367" s="10">
        <v>6621126</v>
      </c>
      <c r="I367" s="10" t="s">
        <v>1194</v>
      </c>
      <c r="J367" s="10" t="s">
        <v>1473</v>
      </c>
      <c r="K367" s="10" t="s">
        <v>1228</v>
      </c>
      <c r="L367" s="10" t="s">
        <v>1474</v>
      </c>
      <c r="M367" s="10" t="s">
        <v>1475</v>
      </c>
      <c r="N367" s="10" t="s">
        <v>148</v>
      </c>
      <c r="O367" s="10" t="s">
        <v>1214</v>
      </c>
      <c r="P367" s="10" t="s">
        <v>1214</v>
      </c>
      <c r="Q367" s="10" t="s">
        <v>1214</v>
      </c>
      <c r="R367" s="10" t="s">
        <v>1214</v>
      </c>
      <c r="S367" s="10" t="s">
        <v>61</v>
      </c>
    </row>
    <row r="368" spans="1:19" ht="72.5" x14ac:dyDescent="0.35">
      <c r="A368" s="14">
        <v>46022</v>
      </c>
      <c r="B368" s="10" t="s">
        <v>452</v>
      </c>
      <c r="C368" s="10" t="s">
        <v>453</v>
      </c>
      <c r="D368" s="10" t="s">
        <v>1116</v>
      </c>
      <c r="E368" s="10">
        <v>4355535</v>
      </c>
      <c r="F368" s="15">
        <v>100</v>
      </c>
      <c r="G368" s="10" t="s">
        <v>1476</v>
      </c>
      <c r="H368" s="10">
        <v>4355535</v>
      </c>
      <c r="I368" s="10">
        <v>4442585</v>
      </c>
      <c r="J368" s="10" t="s">
        <v>1214</v>
      </c>
      <c r="K368" s="10" t="s">
        <v>1214</v>
      </c>
      <c r="L368" s="10" t="s">
        <v>1214</v>
      </c>
      <c r="M368" s="10" t="s">
        <v>1214</v>
      </c>
      <c r="N368" s="10" t="s">
        <v>89</v>
      </c>
      <c r="O368" s="10" t="s">
        <v>1214</v>
      </c>
      <c r="P368" s="10" t="s">
        <v>1214</v>
      </c>
      <c r="Q368" s="10" t="s">
        <v>1214</v>
      </c>
      <c r="R368" s="10" t="s">
        <v>1214</v>
      </c>
      <c r="S368" s="10" t="s">
        <v>89</v>
      </c>
    </row>
    <row r="369" spans="1:19" ht="43.5" x14ac:dyDescent="0.35">
      <c r="A369" s="14">
        <v>46022</v>
      </c>
      <c r="B369" s="10" t="s">
        <v>405</v>
      </c>
      <c r="C369" s="10" t="s">
        <v>406</v>
      </c>
      <c r="D369" s="10" t="s">
        <v>407</v>
      </c>
      <c r="E369" s="10">
        <v>4350701</v>
      </c>
      <c r="F369" s="15">
        <v>10</v>
      </c>
      <c r="G369" s="10" t="s">
        <v>1477</v>
      </c>
      <c r="H369" s="10">
        <v>4353207</v>
      </c>
      <c r="I369" s="10">
        <v>4350701</v>
      </c>
      <c r="J369" s="10" t="s">
        <v>1214</v>
      </c>
      <c r="K369" s="10" t="s">
        <v>1214</v>
      </c>
      <c r="L369" s="10" t="s">
        <v>1214</v>
      </c>
      <c r="M369" s="10" t="s">
        <v>1214</v>
      </c>
      <c r="N369" s="10" t="s">
        <v>89</v>
      </c>
      <c r="O369" s="10" t="s">
        <v>1214</v>
      </c>
      <c r="P369" s="10" t="s">
        <v>1214</v>
      </c>
      <c r="Q369" s="10" t="s">
        <v>1214</v>
      </c>
      <c r="R369" s="10" t="s">
        <v>1214</v>
      </c>
      <c r="S369" s="10" t="s">
        <v>407</v>
      </c>
    </row>
    <row r="370" spans="1:19" ht="43.5" x14ac:dyDescent="0.35">
      <c r="A370" s="14">
        <v>46022</v>
      </c>
      <c r="B370" s="10" t="s">
        <v>405</v>
      </c>
      <c r="C370" s="10" t="s">
        <v>406</v>
      </c>
      <c r="D370" s="10" t="s">
        <v>1117</v>
      </c>
      <c r="E370" s="10">
        <v>4353207</v>
      </c>
      <c r="F370" s="15">
        <v>90</v>
      </c>
      <c r="G370" s="10" t="s">
        <v>1477</v>
      </c>
      <c r="H370" s="10">
        <v>4353207</v>
      </c>
      <c r="I370" s="10">
        <v>4350701</v>
      </c>
      <c r="J370" s="10" t="s">
        <v>1214</v>
      </c>
      <c r="K370" s="10" t="s">
        <v>1214</v>
      </c>
      <c r="L370" s="10" t="s">
        <v>1214</v>
      </c>
      <c r="M370" s="10" t="s">
        <v>1214</v>
      </c>
      <c r="N370" s="10" t="s">
        <v>89</v>
      </c>
      <c r="O370" s="10" t="s">
        <v>1214</v>
      </c>
      <c r="P370" s="10" t="s">
        <v>1214</v>
      </c>
      <c r="Q370" s="10" t="s">
        <v>1214</v>
      </c>
      <c r="R370" s="10" t="s">
        <v>1214</v>
      </c>
      <c r="S370" s="10" t="s">
        <v>407</v>
      </c>
    </row>
    <row r="371" spans="1:19" ht="29" x14ac:dyDescent="0.35">
      <c r="A371" s="14">
        <v>46022</v>
      </c>
      <c r="B371" s="10" t="s">
        <v>454</v>
      </c>
      <c r="C371" s="10" t="s">
        <v>455</v>
      </c>
      <c r="D371" s="10" t="s">
        <v>1118</v>
      </c>
      <c r="E371" s="10">
        <v>4353382</v>
      </c>
      <c r="F371" s="15">
        <v>100</v>
      </c>
      <c r="G371" s="10" t="s">
        <v>1478</v>
      </c>
      <c r="H371" s="10">
        <v>4353382</v>
      </c>
      <c r="I371" s="10" t="s">
        <v>1194</v>
      </c>
      <c r="J371" s="10" t="s">
        <v>1214</v>
      </c>
      <c r="K371" s="10" t="s">
        <v>1214</v>
      </c>
      <c r="L371" s="10" t="s">
        <v>1214</v>
      </c>
      <c r="M371" s="10" t="s">
        <v>1214</v>
      </c>
      <c r="N371" s="10" t="s">
        <v>1479</v>
      </c>
      <c r="O371" s="10" t="s">
        <v>1214</v>
      </c>
      <c r="P371" s="10" t="s">
        <v>1214</v>
      </c>
      <c r="Q371" s="10" t="s">
        <v>1214</v>
      </c>
      <c r="R371" s="10" t="s">
        <v>1214</v>
      </c>
      <c r="S371" s="10" t="s">
        <v>61</v>
      </c>
    </row>
    <row r="372" spans="1:19" ht="29" x14ac:dyDescent="0.35">
      <c r="A372" s="14">
        <v>46022</v>
      </c>
      <c r="B372" s="10" t="s">
        <v>793</v>
      </c>
      <c r="C372" s="10" t="s">
        <v>794</v>
      </c>
      <c r="D372" s="10" t="s">
        <v>1013</v>
      </c>
      <c r="E372" s="10">
        <v>4348938</v>
      </c>
      <c r="F372" s="15">
        <v>100</v>
      </c>
      <c r="G372" s="10" t="s">
        <v>1313</v>
      </c>
      <c r="H372" s="10">
        <v>4348938</v>
      </c>
      <c r="I372" s="10" t="s">
        <v>1194</v>
      </c>
      <c r="J372" s="10" t="s">
        <v>1214</v>
      </c>
      <c r="K372" s="10" t="s">
        <v>1214</v>
      </c>
      <c r="L372" s="10" t="s">
        <v>1214</v>
      </c>
      <c r="M372" s="10" t="s">
        <v>1214</v>
      </c>
      <c r="N372" s="10" t="s">
        <v>222</v>
      </c>
      <c r="O372" s="10" t="s">
        <v>1214</v>
      </c>
      <c r="P372" s="10" t="s">
        <v>1214</v>
      </c>
      <c r="Q372" s="10" t="s">
        <v>1214</v>
      </c>
      <c r="R372" s="10" t="s">
        <v>1214</v>
      </c>
      <c r="S372" s="10" t="s">
        <v>61</v>
      </c>
    </row>
    <row r="373" spans="1:19" ht="29" x14ac:dyDescent="0.35">
      <c r="A373" s="14">
        <v>46022</v>
      </c>
      <c r="B373" s="10" t="s">
        <v>615</v>
      </c>
      <c r="C373" s="10" t="s">
        <v>616</v>
      </c>
      <c r="D373" s="10" t="s">
        <v>1013</v>
      </c>
      <c r="E373" s="10">
        <v>4348938</v>
      </c>
      <c r="F373" s="15">
        <v>100</v>
      </c>
      <c r="G373" s="10" t="s">
        <v>1313</v>
      </c>
      <c r="H373" s="10">
        <v>4348938</v>
      </c>
      <c r="I373" s="10" t="s">
        <v>1194</v>
      </c>
      <c r="J373" s="10" t="s">
        <v>1214</v>
      </c>
      <c r="K373" s="10" t="s">
        <v>1214</v>
      </c>
      <c r="L373" s="10" t="s">
        <v>1214</v>
      </c>
      <c r="M373" s="10" t="s">
        <v>1214</v>
      </c>
      <c r="N373" s="10" t="s">
        <v>222</v>
      </c>
      <c r="O373" s="10" t="s">
        <v>1214</v>
      </c>
      <c r="P373" s="10" t="s">
        <v>1214</v>
      </c>
      <c r="Q373" s="10" t="s">
        <v>1214</v>
      </c>
      <c r="R373" s="10" t="s">
        <v>1214</v>
      </c>
      <c r="S373" s="10" t="s">
        <v>61</v>
      </c>
    </row>
    <row r="374" spans="1:19" ht="101.5" x14ac:dyDescent="0.35">
      <c r="A374" s="14">
        <v>46022</v>
      </c>
      <c r="B374" s="10" t="s">
        <v>456</v>
      </c>
      <c r="C374" s="10" t="s">
        <v>457</v>
      </c>
      <c r="D374" s="10" t="s">
        <v>1119</v>
      </c>
      <c r="E374" s="10">
        <v>4239757</v>
      </c>
      <c r="F374" s="15">
        <v>8.3000000000000007</v>
      </c>
      <c r="G374" s="10" t="s">
        <v>1480</v>
      </c>
      <c r="H374" s="10">
        <v>4379789</v>
      </c>
      <c r="I374" s="10">
        <v>4239757</v>
      </c>
      <c r="J374" s="10" t="s">
        <v>1214</v>
      </c>
      <c r="K374" s="10" t="s">
        <v>1214</v>
      </c>
      <c r="L374" s="10" t="s">
        <v>1214</v>
      </c>
      <c r="M374" s="10" t="s">
        <v>1214</v>
      </c>
      <c r="N374" s="10" t="s">
        <v>105</v>
      </c>
      <c r="O374" s="10" t="s">
        <v>1214</v>
      </c>
      <c r="P374" s="10" t="s">
        <v>1214</v>
      </c>
      <c r="Q374" s="10" t="s">
        <v>1214</v>
      </c>
      <c r="R374" s="10" t="s">
        <v>1214</v>
      </c>
      <c r="S374" s="10" t="s">
        <v>105</v>
      </c>
    </row>
    <row r="375" spans="1:19" ht="101.5" x14ac:dyDescent="0.35">
      <c r="A375" s="14">
        <v>46022</v>
      </c>
      <c r="B375" s="10" t="s">
        <v>456</v>
      </c>
      <c r="C375" s="10" t="s">
        <v>457</v>
      </c>
      <c r="D375" s="10" t="s">
        <v>1077</v>
      </c>
      <c r="E375" s="10">
        <v>4379789</v>
      </c>
      <c r="F375" s="15">
        <v>91.7</v>
      </c>
      <c r="G375" s="10" t="s">
        <v>1480</v>
      </c>
      <c r="H375" s="10">
        <v>4379789</v>
      </c>
      <c r="I375" s="10">
        <v>4239757</v>
      </c>
      <c r="J375" s="10" t="s">
        <v>1214</v>
      </c>
      <c r="K375" s="10" t="s">
        <v>1214</v>
      </c>
      <c r="L375" s="10" t="s">
        <v>1214</v>
      </c>
      <c r="M375" s="10" t="s">
        <v>1214</v>
      </c>
      <c r="N375" s="10" t="s">
        <v>105</v>
      </c>
      <c r="O375" s="10" t="s">
        <v>1214</v>
      </c>
      <c r="P375" s="10" t="s">
        <v>1214</v>
      </c>
      <c r="Q375" s="10" t="s">
        <v>1214</v>
      </c>
      <c r="R375" s="10" t="s">
        <v>1214</v>
      </c>
      <c r="S375" s="10" t="s">
        <v>105</v>
      </c>
    </row>
    <row r="376" spans="1:19" ht="188.5" x14ac:dyDescent="0.35">
      <c r="A376" s="14">
        <v>46022</v>
      </c>
      <c r="B376" s="10" t="s">
        <v>473</v>
      </c>
      <c r="C376" s="10" t="s">
        <v>474</v>
      </c>
      <c r="D376" s="10" t="s">
        <v>1120</v>
      </c>
      <c r="E376" s="10">
        <v>4348597</v>
      </c>
      <c r="F376" s="15">
        <v>26</v>
      </c>
      <c r="G376" s="10" t="s">
        <v>1481</v>
      </c>
      <c r="H376" s="10">
        <v>4351368</v>
      </c>
      <c r="I376" s="10">
        <v>4348597</v>
      </c>
      <c r="J376" s="10" t="s">
        <v>1214</v>
      </c>
      <c r="K376" s="10" t="s">
        <v>1214</v>
      </c>
      <c r="L376" s="10" t="s">
        <v>1214</v>
      </c>
      <c r="M376" s="10" t="s">
        <v>1214</v>
      </c>
      <c r="N376" s="10" t="s">
        <v>222</v>
      </c>
      <c r="O376" s="10" t="s">
        <v>1482</v>
      </c>
      <c r="P376" s="10" t="s">
        <v>105</v>
      </c>
      <c r="Q376" s="10" t="s">
        <v>1482</v>
      </c>
      <c r="R376" s="10" t="s">
        <v>105</v>
      </c>
      <c r="S376" s="10" t="s">
        <v>105</v>
      </c>
    </row>
    <row r="377" spans="1:19" ht="188.5" x14ac:dyDescent="0.35">
      <c r="A377" s="14">
        <v>46022</v>
      </c>
      <c r="B377" s="10" t="s">
        <v>473</v>
      </c>
      <c r="C377" s="10" t="s">
        <v>474</v>
      </c>
      <c r="D377" s="10" t="s">
        <v>1066</v>
      </c>
      <c r="E377" s="10">
        <v>4351368</v>
      </c>
      <c r="F377" s="15">
        <v>64</v>
      </c>
      <c r="G377" s="10" t="s">
        <v>1481</v>
      </c>
      <c r="H377" s="10">
        <v>4351368</v>
      </c>
      <c r="I377" s="10">
        <v>4348597</v>
      </c>
      <c r="J377" s="10" t="s">
        <v>1214</v>
      </c>
      <c r="K377" s="10" t="s">
        <v>1214</v>
      </c>
      <c r="L377" s="10" t="s">
        <v>1214</v>
      </c>
      <c r="M377" s="10" t="s">
        <v>1214</v>
      </c>
      <c r="N377" s="10" t="s">
        <v>222</v>
      </c>
      <c r="O377" s="10" t="s">
        <v>1482</v>
      </c>
      <c r="P377" s="10" t="s">
        <v>105</v>
      </c>
      <c r="Q377" s="10" t="s">
        <v>1482</v>
      </c>
      <c r="R377" s="10" t="s">
        <v>105</v>
      </c>
      <c r="S377" s="10" t="s">
        <v>105</v>
      </c>
    </row>
    <row r="378" spans="1:19" ht="72.5" x14ac:dyDescent="0.35">
      <c r="A378" s="14">
        <v>46022</v>
      </c>
      <c r="B378" s="10" t="s">
        <v>795</v>
      </c>
      <c r="C378" s="10" t="s">
        <v>796</v>
      </c>
      <c r="D378" s="10" t="s">
        <v>947</v>
      </c>
      <c r="E378" s="10">
        <v>4121840</v>
      </c>
      <c r="F378" s="15">
        <v>100</v>
      </c>
      <c r="G378" s="10" t="s">
        <v>1483</v>
      </c>
      <c r="H378" s="10">
        <v>4121840</v>
      </c>
      <c r="I378" s="10">
        <v>4248891</v>
      </c>
      <c r="J378" s="10" t="s">
        <v>1214</v>
      </c>
      <c r="K378" s="10" t="s">
        <v>1214</v>
      </c>
      <c r="L378" s="10" t="s">
        <v>1214</v>
      </c>
      <c r="M378" s="10" t="s">
        <v>1214</v>
      </c>
      <c r="N378" s="10" t="s">
        <v>89</v>
      </c>
      <c r="O378" s="10" t="s">
        <v>1484</v>
      </c>
      <c r="P378" s="10" t="s">
        <v>89</v>
      </c>
      <c r="Q378" s="10" t="s">
        <v>1485</v>
      </c>
      <c r="R378" s="10" t="s">
        <v>89</v>
      </c>
      <c r="S378" s="10" t="s">
        <v>89</v>
      </c>
    </row>
    <row r="379" spans="1:19" ht="58" x14ac:dyDescent="0.35">
      <c r="A379" s="14">
        <v>46022</v>
      </c>
      <c r="B379" s="10" t="s">
        <v>617</v>
      </c>
      <c r="C379" s="10" t="s">
        <v>618</v>
      </c>
      <c r="D379" s="10" t="s">
        <v>1121</v>
      </c>
      <c r="E379" s="10">
        <v>4349943</v>
      </c>
      <c r="F379" s="15">
        <v>100</v>
      </c>
      <c r="G379" s="10" t="s">
        <v>1486</v>
      </c>
      <c r="H379" s="10">
        <v>4349943</v>
      </c>
      <c r="I379" s="10">
        <v>4519709</v>
      </c>
      <c r="J379" s="10" t="s">
        <v>1214</v>
      </c>
      <c r="K379" s="10" t="s">
        <v>1214</v>
      </c>
      <c r="L379" s="10" t="s">
        <v>1214</v>
      </c>
      <c r="M379" s="10" t="s">
        <v>1214</v>
      </c>
      <c r="N379" s="10" t="s">
        <v>344</v>
      </c>
      <c r="O379" s="10" t="s">
        <v>1214</v>
      </c>
      <c r="P379" s="10" t="s">
        <v>1214</v>
      </c>
      <c r="Q379" s="10" t="s">
        <v>1214</v>
      </c>
      <c r="R379" s="10" t="s">
        <v>1214</v>
      </c>
      <c r="S379" s="10" t="s">
        <v>344</v>
      </c>
    </row>
    <row r="380" spans="1:19" ht="145" x14ac:dyDescent="0.35">
      <c r="A380" s="14">
        <v>46022</v>
      </c>
      <c r="B380" s="10" t="s">
        <v>619</v>
      </c>
      <c r="C380" s="10" t="s">
        <v>620</v>
      </c>
      <c r="D380" s="10" t="s">
        <v>1122</v>
      </c>
      <c r="E380" s="10">
        <v>4349747</v>
      </c>
      <c r="F380" s="15">
        <v>8.33</v>
      </c>
      <c r="G380" s="10" t="s">
        <v>1487</v>
      </c>
      <c r="H380" s="10">
        <v>4355551</v>
      </c>
      <c r="I380" s="10">
        <v>4355556</v>
      </c>
      <c r="J380" s="10" t="s">
        <v>1292</v>
      </c>
      <c r="K380" s="10" t="s">
        <v>61</v>
      </c>
      <c r="L380" s="10" t="s">
        <v>1315</v>
      </c>
      <c r="M380" s="10" t="s">
        <v>61</v>
      </c>
      <c r="N380" s="10" t="s">
        <v>61</v>
      </c>
      <c r="O380" s="10" t="s">
        <v>1214</v>
      </c>
      <c r="P380" s="10" t="s">
        <v>1214</v>
      </c>
      <c r="Q380" s="10" t="s">
        <v>1214</v>
      </c>
      <c r="R380" s="10" t="s">
        <v>1214</v>
      </c>
      <c r="S380" s="10" t="s">
        <v>61</v>
      </c>
    </row>
    <row r="381" spans="1:19" ht="145" x14ac:dyDescent="0.35">
      <c r="A381" s="14">
        <v>46022</v>
      </c>
      <c r="B381" s="10" t="s">
        <v>619</v>
      </c>
      <c r="C381" s="10" t="s">
        <v>620</v>
      </c>
      <c r="D381" s="10" t="s">
        <v>1014</v>
      </c>
      <c r="E381" s="10">
        <v>4355551</v>
      </c>
      <c r="F381" s="15">
        <v>70</v>
      </c>
      <c r="G381" s="10" t="s">
        <v>1487</v>
      </c>
      <c r="H381" s="10">
        <v>4355551</v>
      </c>
      <c r="I381" s="10">
        <v>4355556</v>
      </c>
      <c r="J381" s="10" t="s">
        <v>1292</v>
      </c>
      <c r="K381" s="10" t="s">
        <v>61</v>
      </c>
      <c r="L381" s="10" t="s">
        <v>1315</v>
      </c>
      <c r="M381" s="10" t="s">
        <v>61</v>
      </c>
      <c r="N381" s="10" t="s">
        <v>61</v>
      </c>
      <c r="O381" s="10" t="s">
        <v>1214</v>
      </c>
      <c r="P381" s="10" t="s">
        <v>1214</v>
      </c>
      <c r="Q381" s="10" t="s">
        <v>1214</v>
      </c>
      <c r="R381" s="10" t="s">
        <v>1214</v>
      </c>
      <c r="S381" s="10" t="s">
        <v>61</v>
      </c>
    </row>
    <row r="382" spans="1:19" ht="145" x14ac:dyDescent="0.35">
      <c r="A382" s="14">
        <v>46022</v>
      </c>
      <c r="B382" s="10" t="s">
        <v>619</v>
      </c>
      <c r="C382" s="10" t="s">
        <v>620</v>
      </c>
      <c r="D382" s="10" t="s">
        <v>1123</v>
      </c>
      <c r="E382" s="10">
        <v>4355556</v>
      </c>
      <c r="F382" s="15">
        <v>20</v>
      </c>
      <c r="G382" s="10" t="s">
        <v>1487</v>
      </c>
      <c r="H382" s="10">
        <v>4355551</v>
      </c>
      <c r="I382" s="10">
        <v>4355556</v>
      </c>
      <c r="J382" s="10" t="s">
        <v>1292</v>
      </c>
      <c r="K382" s="10" t="s">
        <v>61</v>
      </c>
      <c r="L382" s="10" t="s">
        <v>1315</v>
      </c>
      <c r="M382" s="10" t="s">
        <v>61</v>
      </c>
      <c r="N382" s="10" t="s">
        <v>61</v>
      </c>
      <c r="O382" s="10" t="s">
        <v>1214</v>
      </c>
      <c r="P382" s="10" t="s">
        <v>1214</v>
      </c>
      <c r="Q382" s="10" t="s">
        <v>1214</v>
      </c>
      <c r="R382" s="10" t="s">
        <v>1214</v>
      </c>
      <c r="S382" s="10" t="s">
        <v>61</v>
      </c>
    </row>
    <row r="383" spans="1:19" ht="72.5" x14ac:dyDescent="0.35">
      <c r="A383" s="14">
        <v>46022</v>
      </c>
      <c r="B383" s="10" t="s">
        <v>797</v>
      </c>
      <c r="C383" s="10" t="s">
        <v>798</v>
      </c>
      <c r="D383" s="10" t="s">
        <v>1124</v>
      </c>
      <c r="E383" s="10">
        <v>105915055</v>
      </c>
      <c r="F383" s="15">
        <v>100</v>
      </c>
      <c r="G383" s="10" t="s">
        <v>1488</v>
      </c>
      <c r="H383" s="10">
        <v>105915055</v>
      </c>
      <c r="I383" s="10">
        <v>4531467</v>
      </c>
      <c r="J383" s="10" t="s">
        <v>1214</v>
      </c>
      <c r="K383" s="10" t="s">
        <v>1214</v>
      </c>
      <c r="L383" s="10" t="s">
        <v>1214</v>
      </c>
      <c r="M383" s="10" t="s">
        <v>1214</v>
      </c>
      <c r="N383" s="10" t="s">
        <v>222</v>
      </c>
      <c r="O383" s="10" t="s">
        <v>1214</v>
      </c>
      <c r="P383" s="10" t="s">
        <v>1214</v>
      </c>
      <c r="Q383" s="10" t="s">
        <v>1214</v>
      </c>
      <c r="R383" s="10" t="s">
        <v>1214</v>
      </c>
      <c r="S383" s="10" t="s">
        <v>79</v>
      </c>
    </row>
    <row r="384" spans="1:19" ht="43.5" x14ac:dyDescent="0.35">
      <c r="A384" s="14">
        <v>46022</v>
      </c>
      <c r="B384" s="10" t="s">
        <v>799</v>
      </c>
      <c r="C384" s="10" t="s">
        <v>800</v>
      </c>
      <c r="D384" s="10" t="s">
        <v>1125</v>
      </c>
      <c r="E384" s="10">
        <v>19556549</v>
      </c>
      <c r="F384" s="15">
        <v>100</v>
      </c>
      <c r="G384" s="10" t="s">
        <v>1489</v>
      </c>
      <c r="H384" s="10">
        <v>19556549</v>
      </c>
      <c r="I384" s="10" t="s">
        <v>1194</v>
      </c>
      <c r="J384" s="10" t="s">
        <v>1214</v>
      </c>
      <c r="K384" s="10" t="s">
        <v>1214</v>
      </c>
      <c r="L384" s="10" t="s">
        <v>1214</v>
      </c>
      <c r="M384" s="10" t="s">
        <v>1214</v>
      </c>
      <c r="N384" s="10" t="s">
        <v>222</v>
      </c>
      <c r="O384" s="10" t="s">
        <v>1214</v>
      </c>
      <c r="P384" s="10" t="s">
        <v>1214</v>
      </c>
      <c r="Q384" s="10" t="s">
        <v>1214</v>
      </c>
      <c r="R384" s="10" t="s">
        <v>1214</v>
      </c>
      <c r="S384" s="10" t="s">
        <v>61</v>
      </c>
    </row>
    <row r="385" spans="1:19" ht="29" x14ac:dyDescent="0.35">
      <c r="A385" s="14">
        <v>46022</v>
      </c>
      <c r="B385" s="10" t="s">
        <v>408</v>
      </c>
      <c r="C385" s="10" t="s">
        <v>409</v>
      </c>
      <c r="D385" s="10" t="s">
        <v>962</v>
      </c>
      <c r="E385" s="10">
        <v>4353456</v>
      </c>
      <c r="F385" s="15">
        <v>100</v>
      </c>
      <c r="G385" s="10" t="s">
        <v>1296</v>
      </c>
      <c r="H385" s="10">
        <v>4353456</v>
      </c>
      <c r="I385" s="10" t="s">
        <v>1194</v>
      </c>
      <c r="J385" s="10" t="s">
        <v>1214</v>
      </c>
      <c r="K385" s="10" t="s">
        <v>1214</v>
      </c>
      <c r="L385" s="10" t="s">
        <v>1214</v>
      </c>
      <c r="M385" s="10" t="s">
        <v>1214</v>
      </c>
      <c r="N385" s="10" t="s">
        <v>61</v>
      </c>
      <c r="O385" s="10" t="s">
        <v>1214</v>
      </c>
      <c r="P385" s="10" t="s">
        <v>1214</v>
      </c>
      <c r="Q385" s="10" t="s">
        <v>1214</v>
      </c>
      <c r="R385" s="10" t="s">
        <v>1214</v>
      </c>
      <c r="S385" s="10" t="s">
        <v>61</v>
      </c>
    </row>
    <row r="386" spans="1:19" ht="43.5" x14ac:dyDescent="0.35">
      <c r="A386" s="14">
        <v>46022</v>
      </c>
      <c r="B386" s="10" t="s">
        <v>410</v>
      </c>
      <c r="C386" s="10" t="s">
        <v>411</v>
      </c>
      <c r="D386" s="10" t="s">
        <v>1126</v>
      </c>
      <c r="E386" s="10">
        <v>10930082</v>
      </c>
      <c r="F386" s="15">
        <v>100</v>
      </c>
      <c r="G386" s="10" t="s">
        <v>1490</v>
      </c>
      <c r="H386" s="10">
        <v>10930082</v>
      </c>
      <c r="I386" s="10" t="s">
        <v>1194</v>
      </c>
      <c r="J386" s="10" t="s">
        <v>1214</v>
      </c>
      <c r="K386" s="10" t="s">
        <v>1214</v>
      </c>
      <c r="L386" s="10" t="s">
        <v>1214</v>
      </c>
      <c r="M386" s="10" t="s">
        <v>1214</v>
      </c>
      <c r="N386" s="10" t="s">
        <v>61</v>
      </c>
      <c r="O386" s="10" t="s">
        <v>1214</v>
      </c>
      <c r="P386" s="10" t="s">
        <v>1214</v>
      </c>
      <c r="Q386" s="10" t="s">
        <v>1214</v>
      </c>
      <c r="R386" s="10" t="s">
        <v>1214</v>
      </c>
      <c r="S386" s="10" t="s">
        <v>61</v>
      </c>
    </row>
    <row r="387" spans="1:19" ht="174" x14ac:dyDescent="0.35">
      <c r="A387" s="14">
        <v>46022</v>
      </c>
      <c r="B387" s="10" t="s">
        <v>801</v>
      </c>
      <c r="C387" s="10" t="s">
        <v>802</v>
      </c>
      <c r="D387" s="10" t="s">
        <v>945</v>
      </c>
      <c r="E387" s="10">
        <v>4349314</v>
      </c>
      <c r="F387" s="15">
        <v>10</v>
      </c>
      <c r="G387" s="10" t="s">
        <v>1491</v>
      </c>
      <c r="H387" s="10">
        <v>4141965</v>
      </c>
      <c r="I387" s="10">
        <v>4354638</v>
      </c>
      <c r="J387" s="10" t="s">
        <v>1214</v>
      </c>
      <c r="K387" s="10" t="s">
        <v>1214</v>
      </c>
      <c r="L387" s="10" t="s">
        <v>1214</v>
      </c>
      <c r="M387" s="10" t="s">
        <v>1214</v>
      </c>
      <c r="N387" s="10" t="s">
        <v>222</v>
      </c>
      <c r="O387" s="10" t="s">
        <v>1214</v>
      </c>
      <c r="P387" s="10" t="s">
        <v>1214</v>
      </c>
      <c r="Q387" s="10" t="s">
        <v>1214</v>
      </c>
      <c r="R387" s="10" t="s">
        <v>1214</v>
      </c>
      <c r="S387" s="10" t="s">
        <v>1235</v>
      </c>
    </row>
    <row r="388" spans="1:19" ht="174" x14ac:dyDescent="0.35">
      <c r="A388" s="14">
        <v>46022</v>
      </c>
      <c r="B388" s="10" t="s">
        <v>801</v>
      </c>
      <c r="C388" s="10" t="s">
        <v>802</v>
      </c>
      <c r="D388" s="10" t="s">
        <v>988</v>
      </c>
      <c r="E388" s="10">
        <v>4047416</v>
      </c>
      <c r="F388" s="15">
        <v>5</v>
      </c>
      <c r="G388" s="10" t="s">
        <v>1491</v>
      </c>
      <c r="H388" s="10">
        <v>4141965</v>
      </c>
      <c r="I388" s="10">
        <v>4354638</v>
      </c>
      <c r="J388" s="10" t="s">
        <v>1214</v>
      </c>
      <c r="K388" s="10" t="s">
        <v>1214</v>
      </c>
      <c r="L388" s="10" t="s">
        <v>1214</v>
      </c>
      <c r="M388" s="10" t="s">
        <v>1214</v>
      </c>
      <c r="N388" s="10" t="s">
        <v>222</v>
      </c>
      <c r="O388" s="10" t="s">
        <v>1214</v>
      </c>
      <c r="P388" s="10" t="s">
        <v>1214</v>
      </c>
      <c r="Q388" s="10" t="s">
        <v>1214</v>
      </c>
      <c r="R388" s="10" t="s">
        <v>1214</v>
      </c>
      <c r="S388" s="10" t="s">
        <v>1235</v>
      </c>
    </row>
    <row r="389" spans="1:19" ht="174" x14ac:dyDescent="0.35">
      <c r="A389" s="14">
        <v>46022</v>
      </c>
      <c r="B389" s="10" t="s">
        <v>801</v>
      </c>
      <c r="C389" s="10" t="s">
        <v>802</v>
      </c>
      <c r="D389" s="10" t="s">
        <v>989</v>
      </c>
      <c r="E389" s="10">
        <v>4354638</v>
      </c>
      <c r="F389" s="15">
        <v>25</v>
      </c>
      <c r="G389" s="10" t="s">
        <v>1491</v>
      </c>
      <c r="H389" s="10">
        <v>4141965</v>
      </c>
      <c r="I389" s="10">
        <v>4354638</v>
      </c>
      <c r="J389" s="10" t="s">
        <v>1214</v>
      </c>
      <c r="K389" s="10" t="s">
        <v>1214</v>
      </c>
      <c r="L389" s="10" t="s">
        <v>1214</v>
      </c>
      <c r="M389" s="10" t="s">
        <v>1214</v>
      </c>
      <c r="N389" s="10" t="s">
        <v>222</v>
      </c>
      <c r="O389" s="10" t="s">
        <v>1214</v>
      </c>
      <c r="P389" s="10" t="s">
        <v>1214</v>
      </c>
      <c r="Q389" s="10" t="s">
        <v>1214</v>
      </c>
      <c r="R389" s="10" t="s">
        <v>1214</v>
      </c>
      <c r="S389" s="10" t="s">
        <v>1235</v>
      </c>
    </row>
    <row r="390" spans="1:19" ht="174" x14ac:dyDescent="0.35">
      <c r="A390" s="14">
        <v>46022</v>
      </c>
      <c r="B390" s="10" t="s">
        <v>801</v>
      </c>
      <c r="C390" s="10" t="s">
        <v>802</v>
      </c>
      <c r="D390" s="10" t="s">
        <v>950</v>
      </c>
      <c r="E390" s="10">
        <v>4141965</v>
      </c>
      <c r="F390" s="15">
        <v>60</v>
      </c>
      <c r="G390" s="10" t="s">
        <v>1491</v>
      </c>
      <c r="H390" s="10">
        <v>4141965</v>
      </c>
      <c r="I390" s="10">
        <v>4354638</v>
      </c>
      <c r="J390" s="10" t="s">
        <v>1214</v>
      </c>
      <c r="K390" s="10" t="s">
        <v>1214</v>
      </c>
      <c r="L390" s="10" t="s">
        <v>1214</v>
      </c>
      <c r="M390" s="10" t="s">
        <v>1214</v>
      </c>
      <c r="N390" s="10" t="s">
        <v>222</v>
      </c>
      <c r="O390" s="10" t="s">
        <v>1214</v>
      </c>
      <c r="P390" s="10" t="s">
        <v>1214</v>
      </c>
      <c r="Q390" s="10" t="s">
        <v>1214</v>
      </c>
      <c r="R390" s="10" t="s">
        <v>1214</v>
      </c>
      <c r="S390" s="10" t="s">
        <v>1235</v>
      </c>
    </row>
    <row r="391" spans="1:19" ht="72.5" x14ac:dyDescent="0.35">
      <c r="A391" s="14">
        <v>46022</v>
      </c>
      <c r="B391" s="10" t="s">
        <v>803</v>
      </c>
      <c r="C391" s="10" t="s">
        <v>804</v>
      </c>
      <c r="D391" s="10" t="s">
        <v>1007</v>
      </c>
      <c r="E391" s="10">
        <v>4193273</v>
      </c>
      <c r="F391" s="15">
        <v>60</v>
      </c>
      <c r="G391" s="10" t="s">
        <v>1492</v>
      </c>
      <c r="H391" s="10">
        <v>4193273</v>
      </c>
      <c r="I391" s="10">
        <v>4065098</v>
      </c>
      <c r="J391" s="10" t="s">
        <v>1214</v>
      </c>
      <c r="K391" s="10" t="s">
        <v>1214</v>
      </c>
      <c r="L391" s="10" t="s">
        <v>1214</v>
      </c>
      <c r="M391" s="10" t="s">
        <v>1214</v>
      </c>
      <c r="N391" s="10" t="s">
        <v>1219</v>
      </c>
      <c r="O391" s="10" t="s">
        <v>1214</v>
      </c>
      <c r="P391" s="10" t="s">
        <v>1214</v>
      </c>
      <c r="Q391" s="10" t="s">
        <v>1214</v>
      </c>
      <c r="R391" s="10" t="s">
        <v>1214</v>
      </c>
      <c r="S391" s="10" t="s">
        <v>1235</v>
      </c>
    </row>
    <row r="392" spans="1:19" ht="72.5" x14ac:dyDescent="0.35">
      <c r="A392" s="14">
        <v>46022</v>
      </c>
      <c r="B392" s="10" t="s">
        <v>803</v>
      </c>
      <c r="C392" s="10" t="s">
        <v>804</v>
      </c>
      <c r="D392" s="10" t="s">
        <v>949</v>
      </c>
      <c r="E392" s="10">
        <v>4065098</v>
      </c>
      <c r="F392" s="15">
        <v>40</v>
      </c>
      <c r="G392" s="10" t="s">
        <v>1492</v>
      </c>
      <c r="H392" s="10">
        <v>4193273</v>
      </c>
      <c r="I392" s="10">
        <v>4065098</v>
      </c>
      <c r="J392" s="10" t="s">
        <v>1214</v>
      </c>
      <c r="K392" s="10" t="s">
        <v>1214</v>
      </c>
      <c r="L392" s="10" t="s">
        <v>1214</v>
      </c>
      <c r="M392" s="10" t="s">
        <v>1214</v>
      </c>
      <c r="N392" s="10" t="s">
        <v>1219</v>
      </c>
      <c r="O392" s="10" t="s">
        <v>1214</v>
      </c>
      <c r="P392" s="10" t="s">
        <v>1214</v>
      </c>
      <c r="Q392" s="10" t="s">
        <v>1214</v>
      </c>
      <c r="R392" s="10" t="s">
        <v>1214</v>
      </c>
      <c r="S392" s="10" t="s">
        <v>1235</v>
      </c>
    </row>
    <row r="393" spans="1:19" ht="116" x14ac:dyDescent="0.35">
      <c r="A393" s="14">
        <v>46022</v>
      </c>
      <c r="B393" s="10" t="s">
        <v>805</v>
      </c>
      <c r="C393" s="10" t="s">
        <v>806</v>
      </c>
      <c r="D393" s="10" t="s">
        <v>962</v>
      </c>
      <c r="E393" s="10">
        <v>4353456</v>
      </c>
      <c r="F393" s="15">
        <v>25</v>
      </c>
      <c r="G393" s="10" t="s">
        <v>1493</v>
      </c>
      <c r="H393" s="10">
        <v>4355642</v>
      </c>
      <c r="I393" s="10">
        <v>4353456</v>
      </c>
      <c r="J393" s="10" t="s">
        <v>1214</v>
      </c>
      <c r="K393" s="10" t="s">
        <v>1214</v>
      </c>
      <c r="L393" s="10" t="s">
        <v>1214</v>
      </c>
      <c r="M393" s="10" t="s">
        <v>1214</v>
      </c>
      <c r="N393" s="10" t="s">
        <v>61</v>
      </c>
      <c r="O393" s="10" t="s">
        <v>1214</v>
      </c>
      <c r="P393" s="10" t="s">
        <v>1214</v>
      </c>
      <c r="Q393" s="10" t="s">
        <v>1214</v>
      </c>
      <c r="R393" s="10" t="s">
        <v>1214</v>
      </c>
      <c r="S393" s="10" t="s">
        <v>61</v>
      </c>
    </row>
    <row r="394" spans="1:19" ht="116" x14ac:dyDescent="0.35">
      <c r="A394" s="14">
        <v>46022</v>
      </c>
      <c r="B394" s="10" t="s">
        <v>805</v>
      </c>
      <c r="C394" s="10" t="s">
        <v>806</v>
      </c>
      <c r="D394" s="10" t="s">
        <v>1127</v>
      </c>
      <c r="E394" s="10">
        <v>4993645</v>
      </c>
      <c r="F394" s="15">
        <v>16.84</v>
      </c>
      <c r="G394" s="10" t="s">
        <v>1493</v>
      </c>
      <c r="H394" s="10">
        <v>4355642</v>
      </c>
      <c r="I394" s="10">
        <v>4353456</v>
      </c>
      <c r="J394" s="10" t="s">
        <v>1214</v>
      </c>
      <c r="K394" s="10" t="s">
        <v>1214</v>
      </c>
      <c r="L394" s="10" t="s">
        <v>1214</v>
      </c>
      <c r="M394" s="10" t="s">
        <v>1214</v>
      </c>
      <c r="N394" s="10" t="s">
        <v>61</v>
      </c>
      <c r="O394" s="10" t="s">
        <v>1214</v>
      </c>
      <c r="P394" s="10" t="s">
        <v>1214</v>
      </c>
      <c r="Q394" s="10" t="s">
        <v>1214</v>
      </c>
      <c r="R394" s="10" t="s">
        <v>1214</v>
      </c>
      <c r="S394" s="10" t="s">
        <v>61</v>
      </c>
    </row>
    <row r="395" spans="1:19" ht="116" x14ac:dyDescent="0.35">
      <c r="A395" s="14">
        <v>46022</v>
      </c>
      <c r="B395" s="10" t="s">
        <v>805</v>
      </c>
      <c r="C395" s="10" t="s">
        <v>806</v>
      </c>
      <c r="D395" s="10" t="s">
        <v>958</v>
      </c>
      <c r="E395" s="10">
        <v>4355642</v>
      </c>
      <c r="F395" s="15">
        <v>58.16</v>
      </c>
      <c r="G395" s="10" t="s">
        <v>1493</v>
      </c>
      <c r="H395" s="10">
        <v>4355642</v>
      </c>
      <c r="I395" s="10">
        <v>4353456</v>
      </c>
      <c r="J395" s="10" t="s">
        <v>1214</v>
      </c>
      <c r="K395" s="10" t="s">
        <v>1214</v>
      </c>
      <c r="L395" s="10" t="s">
        <v>1214</v>
      </c>
      <c r="M395" s="10" t="s">
        <v>1214</v>
      </c>
      <c r="N395" s="10" t="s">
        <v>61</v>
      </c>
      <c r="O395" s="10" t="s">
        <v>1214</v>
      </c>
      <c r="P395" s="10" t="s">
        <v>1214</v>
      </c>
      <c r="Q395" s="10" t="s">
        <v>1214</v>
      </c>
      <c r="R395" s="10" t="s">
        <v>1214</v>
      </c>
      <c r="S395" s="10" t="s">
        <v>61</v>
      </c>
    </row>
    <row r="396" spans="1:19" ht="43.5" x14ac:dyDescent="0.35">
      <c r="A396" s="14">
        <v>46022</v>
      </c>
      <c r="B396" s="10" t="s">
        <v>621</v>
      </c>
      <c r="C396" s="10" t="s">
        <v>622</v>
      </c>
      <c r="D396" s="10" t="s">
        <v>945</v>
      </c>
      <c r="E396" s="10">
        <v>4349314</v>
      </c>
      <c r="F396" s="15">
        <v>100</v>
      </c>
      <c r="G396" s="10" t="s">
        <v>1225</v>
      </c>
      <c r="H396" s="10">
        <v>4349314</v>
      </c>
      <c r="I396" s="10" t="s">
        <v>1194</v>
      </c>
      <c r="J396" s="10" t="s">
        <v>58</v>
      </c>
      <c r="K396" s="10" t="s">
        <v>58</v>
      </c>
      <c r="L396" s="10" t="s">
        <v>58</v>
      </c>
      <c r="M396" s="10" t="s">
        <v>58</v>
      </c>
      <c r="N396" s="10" t="s">
        <v>58</v>
      </c>
      <c r="O396" s="10" t="s">
        <v>1214</v>
      </c>
      <c r="P396" s="10" t="s">
        <v>1214</v>
      </c>
      <c r="Q396" s="10" t="s">
        <v>1214</v>
      </c>
      <c r="R396" s="10" t="s">
        <v>1214</v>
      </c>
      <c r="S396" s="10" t="s">
        <v>61</v>
      </c>
    </row>
    <row r="397" spans="1:19" ht="29" x14ac:dyDescent="0.35">
      <c r="A397" s="14">
        <v>46022</v>
      </c>
      <c r="B397" s="10" t="s">
        <v>412</v>
      </c>
      <c r="C397" s="10" t="s">
        <v>413</v>
      </c>
      <c r="D397" s="10" t="s">
        <v>948</v>
      </c>
      <c r="E397" s="10">
        <v>4113732</v>
      </c>
      <c r="F397" s="15">
        <v>100</v>
      </c>
      <c r="G397" s="10" t="s">
        <v>1229</v>
      </c>
      <c r="H397" s="10">
        <v>4113732</v>
      </c>
      <c r="I397" s="10" t="s">
        <v>1194</v>
      </c>
      <c r="J397" s="10" t="s">
        <v>1214</v>
      </c>
      <c r="K397" s="10" t="s">
        <v>1214</v>
      </c>
      <c r="L397" s="10" t="s">
        <v>1214</v>
      </c>
      <c r="M397" s="10" t="s">
        <v>1214</v>
      </c>
      <c r="N397" s="10" t="s">
        <v>1228</v>
      </c>
      <c r="O397" s="10" t="s">
        <v>1214</v>
      </c>
      <c r="P397" s="10" t="s">
        <v>1214</v>
      </c>
      <c r="Q397" s="10" t="s">
        <v>1214</v>
      </c>
      <c r="R397" s="10" t="s">
        <v>1214</v>
      </c>
      <c r="S397" s="10" t="s">
        <v>61</v>
      </c>
    </row>
    <row r="398" spans="1:19" ht="29" x14ac:dyDescent="0.35">
      <c r="A398" s="14">
        <v>46022</v>
      </c>
      <c r="B398" s="10" t="s">
        <v>807</v>
      </c>
      <c r="C398" s="10" t="s">
        <v>808</v>
      </c>
      <c r="D398" s="10" t="s">
        <v>1097</v>
      </c>
      <c r="E398" s="10">
        <v>4350827</v>
      </c>
      <c r="F398" s="15">
        <v>100</v>
      </c>
      <c r="G398" s="10" t="s">
        <v>1441</v>
      </c>
      <c r="H398" s="10">
        <v>4350827</v>
      </c>
      <c r="I398" s="10" t="s">
        <v>1194</v>
      </c>
      <c r="J398" s="10" t="s">
        <v>1214</v>
      </c>
      <c r="K398" s="10" t="s">
        <v>1214</v>
      </c>
      <c r="L398" s="10" t="s">
        <v>1214</v>
      </c>
      <c r="M398" s="10" t="s">
        <v>1214</v>
      </c>
      <c r="N398" s="10" t="s">
        <v>111</v>
      </c>
      <c r="O398" s="10" t="s">
        <v>1214</v>
      </c>
      <c r="P398" s="10" t="s">
        <v>1214</v>
      </c>
      <c r="Q398" s="10" t="s">
        <v>1214</v>
      </c>
      <c r="R398" s="10" t="s">
        <v>1214</v>
      </c>
      <c r="S398" s="10" t="s">
        <v>61</v>
      </c>
    </row>
    <row r="399" spans="1:19" ht="29" x14ac:dyDescent="0.35">
      <c r="A399" s="14">
        <v>46022</v>
      </c>
      <c r="B399" s="10" t="s">
        <v>623</v>
      </c>
      <c r="C399" s="10" t="s">
        <v>624</v>
      </c>
      <c r="D399" s="10" t="s">
        <v>1097</v>
      </c>
      <c r="E399" s="10">
        <v>4350827</v>
      </c>
      <c r="F399" s="15">
        <v>100</v>
      </c>
      <c r="G399" s="10" t="s">
        <v>1441</v>
      </c>
      <c r="H399" s="10">
        <v>4350827</v>
      </c>
      <c r="I399" s="10" t="s">
        <v>1194</v>
      </c>
      <c r="J399" s="10" t="s">
        <v>1214</v>
      </c>
      <c r="K399" s="10" t="s">
        <v>1214</v>
      </c>
      <c r="L399" s="10" t="s">
        <v>1214</v>
      </c>
      <c r="M399" s="10" t="s">
        <v>1214</v>
      </c>
      <c r="N399" s="10" t="s">
        <v>111</v>
      </c>
      <c r="O399" s="10" t="s">
        <v>1214</v>
      </c>
      <c r="P399" s="10" t="s">
        <v>1214</v>
      </c>
      <c r="Q399" s="10" t="s">
        <v>1214</v>
      </c>
      <c r="R399" s="10" t="s">
        <v>1214</v>
      </c>
      <c r="S399" s="10" t="s">
        <v>61</v>
      </c>
    </row>
    <row r="400" spans="1:19" ht="87" x14ac:dyDescent="0.35">
      <c r="A400" s="14">
        <v>46022</v>
      </c>
      <c r="B400" s="10" t="s">
        <v>458</v>
      </c>
      <c r="C400" s="10" t="s">
        <v>459</v>
      </c>
      <c r="D400" s="10" t="s">
        <v>1128</v>
      </c>
      <c r="E400" s="10">
        <v>4351191</v>
      </c>
      <c r="F400" s="15">
        <v>30</v>
      </c>
      <c r="G400" s="10" t="s">
        <v>1494</v>
      </c>
      <c r="H400" s="10">
        <v>4075105</v>
      </c>
      <c r="I400" s="10">
        <v>4351191</v>
      </c>
      <c r="J400" s="10" t="s">
        <v>1214</v>
      </c>
      <c r="K400" s="10" t="s">
        <v>1214</v>
      </c>
      <c r="L400" s="10" t="s">
        <v>1214</v>
      </c>
      <c r="M400" s="10" t="s">
        <v>1214</v>
      </c>
      <c r="N400" s="10" t="s">
        <v>79</v>
      </c>
      <c r="O400" s="10" t="s">
        <v>1214</v>
      </c>
      <c r="P400" s="10" t="s">
        <v>1214</v>
      </c>
      <c r="Q400" s="10" t="s">
        <v>1214</v>
      </c>
      <c r="R400" s="10" t="s">
        <v>1214</v>
      </c>
      <c r="S400" s="10" t="s">
        <v>222</v>
      </c>
    </row>
    <row r="401" spans="1:19" ht="87" x14ac:dyDescent="0.35">
      <c r="A401" s="14">
        <v>46022</v>
      </c>
      <c r="B401" s="10" t="s">
        <v>458</v>
      </c>
      <c r="C401" s="10" t="s">
        <v>459</v>
      </c>
      <c r="D401" s="10" t="s">
        <v>976</v>
      </c>
      <c r="E401" s="10">
        <v>4075105</v>
      </c>
      <c r="F401" s="15">
        <v>70</v>
      </c>
      <c r="G401" s="10" t="s">
        <v>1494</v>
      </c>
      <c r="H401" s="10">
        <v>4075105</v>
      </c>
      <c r="I401" s="10">
        <v>4351191</v>
      </c>
      <c r="J401" s="10" t="s">
        <v>1214</v>
      </c>
      <c r="K401" s="10" t="s">
        <v>1214</v>
      </c>
      <c r="L401" s="10" t="s">
        <v>1214</v>
      </c>
      <c r="M401" s="10" t="s">
        <v>1214</v>
      </c>
      <c r="N401" s="10" t="s">
        <v>79</v>
      </c>
      <c r="O401" s="10" t="s">
        <v>1214</v>
      </c>
      <c r="P401" s="10" t="s">
        <v>1214</v>
      </c>
      <c r="Q401" s="10" t="s">
        <v>1214</v>
      </c>
      <c r="R401" s="10" t="s">
        <v>1214</v>
      </c>
      <c r="S401" s="10" t="s">
        <v>222</v>
      </c>
    </row>
    <row r="402" spans="1:19" ht="29" x14ac:dyDescent="0.35">
      <c r="A402" s="14">
        <v>46022</v>
      </c>
      <c r="B402" s="10" t="s">
        <v>809</v>
      </c>
      <c r="C402" s="10" t="s">
        <v>810</v>
      </c>
      <c r="D402" s="10" t="s">
        <v>992</v>
      </c>
      <c r="E402" s="10">
        <v>4351589</v>
      </c>
      <c r="F402" s="15">
        <v>100</v>
      </c>
      <c r="G402" s="10" t="s">
        <v>1277</v>
      </c>
      <c r="H402" s="10">
        <v>4351589</v>
      </c>
      <c r="I402" s="10" t="s">
        <v>1194</v>
      </c>
      <c r="J402" s="10" t="s">
        <v>1214</v>
      </c>
      <c r="K402" s="10" t="s">
        <v>1214</v>
      </c>
      <c r="L402" s="10" t="s">
        <v>1214</v>
      </c>
      <c r="M402" s="10" t="s">
        <v>1214</v>
      </c>
      <c r="N402" s="10" t="s">
        <v>753</v>
      </c>
      <c r="O402" s="10" t="s">
        <v>1214</v>
      </c>
      <c r="P402" s="10" t="s">
        <v>1214</v>
      </c>
      <c r="Q402" s="10" t="s">
        <v>1214</v>
      </c>
      <c r="R402" s="10" t="s">
        <v>1214</v>
      </c>
      <c r="S402" s="10" t="s">
        <v>61</v>
      </c>
    </row>
    <row r="403" spans="1:19" ht="72.5" x14ac:dyDescent="0.35">
      <c r="A403" s="14">
        <v>46022</v>
      </c>
      <c r="B403" s="10" t="s">
        <v>625</v>
      </c>
      <c r="C403" s="10" t="s">
        <v>626</v>
      </c>
      <c r="D403" s="10" t="s">
        <v>1071</v>
      </c>
      <c r="E403" s="10">
        <v>4352491</v>
      </c>
      <c r="F403" s="15">
        <v>100</v>
      </c>
      <c r="G403" s="10" t="s">
        <v>1399</v>
      </c>
      <c r="H403" s="10">
        <v>4352491</v>
      </c>
      <c r="I403" s="10" t="s">
        <v>1194</v>
      </c>
      <c r="J403" s="10" t="s">
        <v>1292</v>
      </c>
      <c r="K403" s="10" t="s">
        <v>61</v>
      </c>
      <c r="L403" s="10" t="s">
        <v>1396</v>
      </c>
      <c r="M403" s="10" t="s">
        <v>1252</v>
      </c>
      <c r="N403" s="10" t="s">
        <v>89</v>
      </c>
      <c r="O403" s="10" t="s">
        <v>1214</v>
      </c>
      <c r="P403" s="10" t="s">
        <v>1214</v>
      </c>
      <c r="Q403" s="10" t="s">
        <v>1214</v>
      </c>
      <c r="R403" s="10" t="s">
        <v>1214</v>
      </c>
      <c r="S403" s="10" t="s">
        <v>61</v>
      </c>
    </row>
    <row r="404" spans="1:19" ht="116" x14ac:dyDescent="0.35">
      <c r="A404" s="14">
        <v>46022</v>
      </c>
      <c r="B404" s="10" t="s">
        <v>627</v>
      </c>
      <c r="C404" s="10" t="s">
        <v>628</v>
      </c>
      <c r="D404" s="10" t="s">
        <v>213</v>
      </c>
      <c r="E404" s="10">
        <v>4350734</v>
      </c>
      <c r="F404" s="15">
        <v>5</v>
      </c>
      <c r="G404" s="10" t="s">
        <v>1495</v>
      </c>
      <c r="H404" s="10">
        <v>4361447</v>
      </c>
      <c r="I404" s="10">
        <v>4350360</v>
      </c>
      <c r="J404" s="10" t="s">
        <v>1380</v>
      </c>
      <c r="K404" s="10" t="s">
        <v>61</v>
      </c>
      <c r="L404" s="10" t="s">
        <v>1438</v>
      </c>
      <c r="M404" s="10" t="s">
        <v>1294</v>
      </c>
      <c r="N404" s="10" t="s">
        <v>1252</v>
      </c>
      <c r="O404" s="10" t="s">
        <v>213</v>
      </c>
      <c r="P404" s="10" t="s">
        <v>213</v>
      </c>
      <c r="Q404" s="10" t="s">
        <v>213</v>
      </c>
      <c r="R404" s="10" t="s">
        <v>213</v>
      </c>
      <c r="S404" s="10" t="s">
        <v>213</v>
      </c>
    </row>
    <row r="405" spans="1:19" ht="116" x14ac:dyDescent="0.35">
      <c r="A405" s="14">
        <v>46022</v>
      </c>
      <c r="B405" s="10" t="s">
        <v>627</v>
      </c>
      <c r="C405" s="10" t="s">
        <v>628</v>
      </c>
      <c r="D405" s="10" t="s">
        <v>1021</v>
      </c>
      <c r="E405" s="10">
        <v>4350360</v>
      </c>
      <c r="F405" s="15">
        <v>25</v>
      </c>
      <c r="G405" s="10" t="s">
        <v>1495</v>
      </c>
      <c r="H405" s="10">
        <v>4361447</v>
      </c>
      <c r="I405" s="10">
        <v>4350360</v>
      </c>
      <c r="J405" s="10" t="s">
        <v>1380</v>
      </c>
      <c r="K405" s="10" t="s">
        <v>61</v>
      </c>
      <c r="L405" s="10" t="s">
        <v>1438</v>
      </c>
      <c r="M405" s="10" t="s">
        <v>1294</v>
      </c>
      <c r="N405" s="10" t="s">
        <v>1252</v>
      </c>
      <c r="O405" s="10" t="s">
        <v>213</v>
      </c>
      <c r="P405" s="10" t="s">
        <v>213</v>
      </c>
      <c r="Q405" s="10" t="s">
        <v>213</v>
      </c>
      <c r="R405" s="10" t="s">
        <v>213</v>
      </c>
      <c r="S405" s="10" t="s">
        <v>213</v>
      </c>
    </row>
    <row r="406" spans="1:19" ht="116" x14ac:dyDescent="0.35">
      <c r="A406" s="14">
        <v>46022</v>
      </c>
      <c r="B406" s="10" t="s">
        <v>627</v>
      </c>
      <c r="C406" s="10" t="s">
        <v>628</v>
      </c>
      <c r="D406" s="10" t="s">
        <v>1094</v>
      </c>
      <c r="E406" s="10">
        <v>4361447</v>
      </c>
      <c r="F406" s="15">
        <v>70</v>
      </c>
      <c r="G406" s="10" t="s">
        <v>1495</v>
      </c>
      <c r="H406" s="10">
        <v>4361447</v>
      </c>
      <c r="I406" s="10">
        <v>4350360</v>
      </c>
      <c r="J406" s="10" t="s">
        <v>1380</v>
      </c>
      <c r="K406" s="10" t="s">
        <v>61</v>
      </c>
      <c r="L406" s="10" t="s">
        <v>1438</v>
      </c>
      <c r="M406" s="10" t="s">
        <v>1294</v>
      </c>
      <c r="N406" s="10" t="s">
        <v>1252</v>
      </c>
      <c r="O406" s="10" t="s">
        <v>213</v>
      </c>
      <c r="P406" s="10" t="s">
        <v>213</v>
      </c>
      <c r="Q406" s="10" t="s">
        <v>213</v>
      </c>
      <c r="R406" s="10" t="s">
        <v>213</v>
      </c>
      <c r="S406" s="10" t="s">
        <v>213</v>
      </c>
    </row>
    <row r="407" spans="1:19" ht="58" x14ac:dyDescent="0.35">
      <c r="A407" s="14">
        <v>46022</v>
      </c>
      <c r="B407" s="10" t="s">
        <v>811</v>
      </c>
      <c r="C407" s="10" t="s">
        <v>812</v>
      </c>
      <c r="D407" s="10" t="s">
        <v>1129</v>
      </c>
      <c r="E407" s="10">
        <v>4600007</v>
      </c>
      <c r="F407" s="15">
        <v>100</v>
      </c>
      <c r="G407" s="10" t="s">
        <v>1496</v>
      </c>
      <c r="H407" s="10">
        <v>4600007</v>
      </c>
      <c r="I407" s="10" t="s">
        <v>1194</v>
      </c>
      <c r="J407" s="10" t="s">
        <v>1251</v>
      </c>
      <c r="K407" s="10" t="s">
        <v>1252</v>
      </c>
      <c r="L407" s="10" t="s">
        <v>1497</v>
      </c>
      <c r="M407" s="10" t="s">
        <v>86</v>
      </c>
      <c r="N407" s="10" t="s">
        <v>86</v>
      </c>
      <c r="O407" s="10" t="s">
        <v>1214</v>
      </c>
      <c r="P407" s="10" t="s">
        <v>1214</v>
      </c>
      <c r="Q407" s="10" t="s">
        <v>1214</v>
      </c>
      <c r="R407" s="10" t="s">
        <v>1214</v>
      </c>
      <c r="S407" s="10" t="s">
        <v>61</v>
      </c>
    </row>
    <row r="408" spans="1:19" ht="72.5" x14ac:dyDescent="0.35">
      <c r="A408" s="14">
        <v>46022</v>
      </c>
      <c r="B408" s="10" t="s">
        <v>813</v>
      </c>
      <c r="C408" s="10" t="s">
        <v>814</v>
      </c>
      <c r="D408" s="10" t="s">
        <v>1130</v>
      </c>
      <c r="E408" s="10">
        <v>25460448</v>
      </c>
      <c r="F408" s="15">
        <v>26</v>
      </c>
      <c r="G408" s="10" t="s">
        <v>1498</v>
      </c>
      <c r="H408" s="10">
        <v>4379789</v>
      </c>
      <c r="I408" s="10">
        <v>25460448</v>
      </c>
      <c r="J408" s="10" t="s">
        <v>1214</v>
      </c>
      <c r="K408" s="10" t="s">
        <v>1214</v>
      </c>
      <c r="L408" s="10" t="s">
        <v>1214</v>
      </c>
      <c r="M408" s="10" t="s">
        <v>1214</v>
      </c>
      <c r="N408" s="10" t="s">
        <v>105</v>
      </c>
      <c r="O408" s="10" t="s">
        <v>1214</v>
      </c>
      <c r="P408" s="10" t="s">
        <v>1214</v>
      </c>
      <c r="Q408" s="10" t="s">
        <v>1214</v>
      </c>
      <c r="R408" s="10" t="s">
        <v>1214</v>
      </c>
      <c r="S408" s="10" t="s">
        <v>79</v>
      </c>
    </row>
    <row r="409" spans="1:19" ht="72.5" x14ac:dyDescent="0.35">
      <c r="A409" s="14">
        <v>46022</v>
      </c>
      <c r="B409" s="10" t="s">
        <v>813</v>
      </c>
      <c r="C409" s="10" t="s">
        <v>814</v>
      </c>
      <c r="D409" s="10" t="s">
        <v>1077</v>
      </c>
      <c r="E409" s="10">
        <v>4379789</v>
      </c>
      <c r="F409" s="15">
        <v>74</v>
      </c>
      <c r="G409" s="10" t="s">
        <v>1498</v>
      </c>
      <c r="H409" s="10">
        <v>4379789</v>
      </c>
      <c r="I409" s="10">
        <v>25460448</v>
      </c>
      <c r="J409" s="10" t="s">
        <v>1214</v>
      </c>
      <c r="K409" s="10" t="s">
        <v>1214</v>
      </c>
      <c r="L409" s="10" t="s">
        <v>1214</v>
      </c>
      <c r="M409" s="10" t="s">
        <v>1214</v>
      </c>
      <c r="N409" s="10" t="s">
        <v>105</v>
      </c>
      <c r="O409" s="10" t="s">
        <v>1214</v>
      </c>
      <c r="P409" s="10" t="s">
        <v>1214</v>
      </c>
      <c r="Q409" s="10" t="s">
        <v>1214</v>
      </c>
      <c r="R409" s="10" t="s">
        <v>1214</v>
      </c>
      <c r="S409" s="10" t="s">
        <v>79</v>
      </c>
    </row>
    <row r="410" spans="1:19" ht="29" x14ac:dyDescent="0.35">
      <c r="A410" s="14">
        <v>46022</v>
      </c>
      <c r="B410" s="10" t="s">
        <v>475</v>
      </c>
      <c r="C410" s="10" t="s">
        <v>476</v>
      </c>
      <c r="D410" s="10" t="s">
        <v>990</v>
      </c>
      <c r="E410" s="10">
        <v>4351226</v>
      </c>
      <c r="F410" s="15">
        <v>100</v>
      </c>
      <c r="G410" s="10" t="s">
        <v>1275</v>
      </c>
      <c r="H410" s="10">
        <v>4351226</v>
      </c>
      <c r="I410" s="10" t="s">
        <v>1194</v>
      </c>
      <c r="J410" s="10" t="s">
        <v>1214</v>
      </c>
      <c r="K410" s="10" t="s">
        <v>1214</v>
      </c>
      <c r="L410" s="10" t="s">
        <v>1214</v>
      </c>
      <c r="M410" s="10" t="s">
        <v>1214</v>
      </c>
      <c r="N410" s="10" t="s">
        <v>111</v>
      </c>
      <c r="O410" s="10" t="s">
        <v>1214</v>
      </c>
      <c r="P410" s="10" t="s">
        <v>1214</v>
      </c>
      <c r="Q410" s="10" t="s">
        <v>1214</v>
      </c>
      <c r="R410" s="10" t="s">
        <v>1214</v>
      </c>
      <c r="S410" s="10" t="s">
        <v>61</v>
      </c>
    </row>
    <row r="411" spans="1:19" ht="29" x14ac:dyDescent="0.35">
      <c r="A411" s="14">
        <v>46022</v>
      </c>
      <c r="B411" s="10" t="s">
        <v>815</v>
      </c>
      <c r="C411" s="10" t="s">
        <v>816</v>
      </c>
      <c r="D411" s="10" t="s">
        <v>963</v>
      </c>
      <c r="E411" s="10">
        <v>4004107</v>
      </c>
      <c r="F411" s="15">
        <v>100</v>
      </c>
      <c r="G411" s="10" t="s">
        <v>1245</v>
      </c>
      <c r="H411" s="10">
        <v>4004107</v>
      </c>
      <c r="I411" s="10" t="s">
        <v>1194</v>
      </c>
      <c r="J411" s="10" t="s">
        <v>1214</v>
      </c>
      <c r="K411" s="10" t="s">
        <v>1214</v>
      </c>
      <c r="L411" s="10" t="s">
        <v>1214</v>
      </c>
      <c r="M411" s="10" t="s">
        <v>1214</v>
      </c>
      <c r="N411" s="10" t="s">
        <v>79</v>
      </c>
      <c r="O411" s="10" t="s">
        <v>1214</v>
      </c>
      <c r="P411" s="10" t="s">
        <v>1214</v>
      </c>
      <c r="Q411" s="10" t="s">
        <v>1214</v>
      </c>
      <c r="R411" s="10" t="s">
        <v>1214</v>
      </c>
      <c r="S411" s="10" t="s">
        <v>61</v>
      </c>
    </row>
    <row r="412" spans="1:19" x14ac:dyDescent="0.35">
      <c r="A412" s="14">
        <v>46022</v>
      </c>
      <c r="B412" s="10" t="s">
        <v>477</v>
      </c>
      <c r="C412" s="10" t="s">
        <v>478</v>
      </c>
      <c r="D412" s="10" t="s">
        <v>1090</v>
      </c>
      <c r="E412" s="10">
        <v>4223919</v>
      </c>
      <c r="F412" s="15">
        <v>100</v>
      </c>
      <c r="G412" s="10" t="s">
        <v>1427</v>
      </c>
      <c r="H412" s="10">
        <v>4223919</v>
      </c>
      <c r="I412" s="10" t="s">
        <v>1194</v>
      </c>
      <c r="J412" s="10" t="s">
        <v>1214</v>
      </c>
      <c r="K412" s="10" t="s">
        <v>1214</v>
      </c>
      <c r="L412" s="10" t="s">
        <v>1214</v>
      </c>
      <c r="M412" s="10" t="s">
        <v>1214</v>
      </c>
      <c r="N412" s="10" t="s">
        <v>55</v>
      </c>
      <c r="O412" s="10" t="s">
        <v>1214</v>
      </c>
      <c r="P412" s="10" t="s">
        <v>1214</v>
      </c>
      <c r="Q412" s="10" t="s">
        <v>1214</v>
      </c>
      <c r="R412" s="10" t="s">
        <v>1214</v>
      </c>
      <c r="S412" s="10" t="s">
        <v>61</v>
      </c>
    </row>
    <row r="413" spans="1:19" ht="43.5" x14ac:dyDescent="0.35">
      <c r="A413" s="14">
        <v>46022</v>
      </c>
      <c r="B413" s="10" t="s">
        <v>629</v>
      </c>
      <c r="C413" s="10" t="s">
        <v>630</v>
      </c>
      <c r="D413" s="10" t="s">
        <v>945</v>
      </c>
      <c r="E413" s="10">
        <v>4349314</v>
      </c>
      <c r="F413" s="15">
        <v>100</v>
      </c>
      <c r="G413" s="10" t="s">
        <v>1225</v>
      </c>
      <c r="H413" s="10">
        <v>4349314</v>
      </c>
      <c r="I413" s="10" t="s">
        <v>1194</v>
      </c>
      <c r="J413" s="10" t="s">
        <v>58</v>
      </c>
      <c r="K413" s="10" t="s">
        <v>58</v>
      </c>
      <c r="L413" s="10" t="s">
        <v>58</v>
      </c>
      <c r="M413" s="10" t="s">
        <v>58</v>
      </c>
      <c r="N413" s="10" t="s">
        <v>58</v>
      </c>
      <c r="O413" s="10" t="s">
        <v>1214</v>
      </c>
      <c r="P413" s="10" t="s">
        <v>1214</v>
      </c>
      <c r="Q413" s="10" t="s">
        <v>1214</v>
      </c>
      <c r="R413" s="10" t="s">
        <v>1214</v>
      </c>
      <c r="S413" s="10" t="s">
        <v>61</v>
      </c>
    </row>
    <row r="414" spans="1:19" ht="72.5" x14ac:dyDescent="0.35">
      <c r="A414" s="14">
        <v>46022</v>
      </c>
      <c r="B414" s="10" t="s">
        <v>460</v>
      </c>
      <c r="C414" s="10" t="s">
        <v>461</v>
      </c>
      <c r="D414" s="10" t="s">
        <v>959</v>
      </c>
      <c r="E414" s="10">
        <v>4352362</v>
      </c>
      <c r="F414" s="15">
        <v>99.16</v>
      </c>
      <c r="G414" s="10" t="s">
        <v>1499</v>
      </c>
      <c r="H414" s="10">
        <v>4352362</v>
      </c>
      <c r="I414" s="10">
        <v>4400798</v>
      </c>
      <c r="J414" s="10" t="s">
        <v>1214</v>
      </c>
      <c r="K414" s="10" t="s">
        <v>1214</v>
      </c>
      <c r="L414" s="10" t="s">
        <v>1214</v>
      </c>
      <c r="M414" s="10" t="s">
        <v>1214</v>
      </c>
      <c r="N414" s="10" t="s">
        <v>111</v>
      </c>
      <c r="O414" s="10" t="s">
        <v>1214</v>
      </c>
      <c r="P414" s="10" t="s">
        <v>1214</v>
      </c>
      <c r="Q414" s="10" t="s">
        <v>1214</v>
      </c>
      <c r="R414" s="10" t="s">
        <v>1214</v>
      </c>
      <c r="S414" s="10" t="s">
        <v>79</v>
      </c>
    </row>
    <row r="415" spans="1:19" ht="29" x14ac:dyDescent="0.35">
      <c r="A415" s="14">
        <v>46022</v>
      </c>
      <c r="B415" s="10" t="s">
        <v>631</v>
      </c>
      <c r="C415" s="10" t="s">
        <v>632</v>
      </c>
      <c r="D415" s="10" t="s">
        <v>980</v>
      </c>
      <c r="E415" s="10">
        <v>4354459</v>
      </c>
      <c r="F415" s="15">
        <v>100</v>
      </c>
      <c r="G415" s="10" t="s">
        <v>1298</v>
      </c>
      <c r="H415" s="10">
        <v>4354459</v>
      </c>
      <c r="I415" s="10" t="s">
        <v>1194</v>
      </c>
      <c r="J415" s="10" t="s">
        <v>1267</v>
      </c>
      <c r="K415" s="10" t="s">
        <v>111</v>
      </c>
      <c r="L415" s="10" t="s">
        <v>1268</v>
      </c>
      <c r="M415" s="10" t="s">
        <v>79</v>
      </c>
      <c r="N415" s="10" t="s">
        <v>79</v>
      </c>
      <c r="O415" s="10" t="s">
        <v>1214</v>
      </c>
      <c r="P415" s="10" t="s">
        <v>1214</v>
      </c>
      <c r="Q415" s="10" t="s">
        <v>1214</v>
      </c>
      <c r="R415" s="10" t="s">
        <v>1214</v>
      </c>
      <c r="S415" s="10" t="s">
        <v>61</v>
      </c>
    </row>
    <row r="416" spans="1:19" ht="72.5" x14ac:dyDescent="0.35">
      <c r="A416" s="14">
        <v>46022</v>
      </c>
      <c r="B416" s="10" t="s">
        <v>633</v>
      </c>
      <c r="C416" s="10" t="s">
        <v>634</v>
      </c>
      <c r="D416" s="10" t="s">
        <v>1049</v>
      </c>
      <c r="E416" s="10">
        <v>4353203</v>
      </c>
      <c r="F416" s="15">
        <v>95</v>
      </c>
      <c r="G416" s="10" t="s">
        <v>1500</v>
      </c>
      <c r="H416" s="10">
        <v>4353203</v>
      </c>
      <c r="I416" s="10">
        <v>6220799</v>
      </c>
      <c r="J416" s="10" t="s">
        <v>1214</v>
      </c>
      <c r="K416" s="10" t="s">
        <v>1214</v>
      </c>
      <c r="L416" s="10" t="s">
        <v>1214</v>
      </c>
      <c r="M416" s="10" t="s">
        <v>1214</v>
      </c>
      <c r="N416" s="10" t="s">
        <v>222</v>
      </c>
      <c r="O416" s="10" t="s">
        <v>1454</v>
      </c>
      <c r="P416" s="10" t="s">
        <v>1336</v>
      </c>
      <c r="Q416" s="10" t="s">
        <v>1455</v>
      </c>
      <c r="R416" s="10" t="s">
        <v>1456</v>
      </c>
      <c r="S416" s="10" t="s">
        <v>1456</v>
      </c>
    </row>
    <row r="417" spans="1:19" ht="72.5" x14ac:dyDescent="0.35">
      <c r="A417" s="14">
        <v>46022</v>
      </c>
      <c r="B417" s="10" t="s">
        <v>633</v>
      </c>
      <c r="C417" s="10" t="s">
        <v>634</v>
      </c>
      <c r="D417" s="10" t="s">
        <v>1102</v>
      </c>
      <c r="E417" s="10">
        <v>6220799</v>
      </c>
      <c r="F417" s="15">
        <v>5</v>
      </c>
      <c r="G417" s="10" t="s">
        <v>1500</v>
      </c>
      <c r="H417" s="10">
        <v>4353203</v>
      </c>
      <c r="I417" s="10">
        <v>6220799</v>
      </c>
      <c r="J417" s="10" t="s">
        <v>1214</v>
      </c>
      <c r="K417" s="10" t="s">
        <v>1214</v>
      </c>
      <c r="L417" s="10" t="s">
        <v>1214</v>
      </c>
      <c r="M417" s="10" t="s">
        <v>1214</v>
      </c>
      <c r="N417" s="10" t="s">
        <v>222</v>
      </c>
      <c r="O417" s="10" t="s">
        <v>1454</v>
      </c>
      <c r="P417" s="10" t="s">
        <v>1336</v>
      </c>
      <c r="Q417" s="10" t="s">
        <v>1455</v>
      </c>
      <c r="R417" s="10" t="s">
        <v>1456</v>
      </c>
      <c r="S417" s="10" t="s">
        <v>1456</v>
      </c>
    </row>
    <row r="418" spans="1:19" ht="29" x14ac:dyDescent="0.35">
      <c r="A418" s="14">
        <v>46022</v>
      </c>
      <c r="B418" s="10" t="s">
        <v>462</v>
      </c>
      <c r="C418" s="10" t="s">
        <v>463</v>
      </c>
      <c r="D418" s="10" t="s">
        <v>1131</v>
      </c>
      <c r="E418" s="10">
        <v>4546566</v>
      </c>
      <c r="F418" s="15">
        <v>100</v>
      </c>
      <c r="G418" s="10" t="s">
        <v>1501</v>
      </c>
      <c r="H418" s="10">
        <v>4546566</v>
      </c>
      <c r="I418" s="10" t="s">
        <v>1194</v>
      </c>
      <c r="J418" s="10" t="s">
        <v>1214</v>
      </c>
      <c r="K418" s="10" t="s">
        <v>1214</v>
      </c>
      <c r="L418" s="10" t="s">
        <v>1214</v>
      </c>
      <c r="M418" s="10" t="s">
        <v>1214</v>
      </c>
      <c r="N418" s="10" t="s">
        <v>1219</v>
      </c>
      <c r="O418" s="10" t="s">
        <v>1214</v>
      </c>
      <c r="P418" s="10" t="s">
        <v>1214</v>
      </c>
      <c r="Q418" s="10" t="s">
        <v>1214</v>
      </c>
      <c r="R418" s="10" t="s">
        <v>1214</v>
      </c>
      <c r="S418" s="10" t="s">
        <v>61</v>
      </c>
    </row>
    <row r="419" spans="1:19" ht="72.5" x14ac:dyDescent="0.35">
      <c r="A419" s="14">
        <v>46022</v>
      </c>
      <c r="B419" s="10" t="s">
        <v>817</v>
      </c>
      <c r="C419" s="10" t="s">
        <v>818</v>
      </c>
      <c r="D419" s="10" t="s">
        <v>1056</v>
      </c>
      <c r="E419" s="10">
        <v>4355632</v>
      </c>
      <c r="F419" s="15">
        <v>51</v>
      </c>
      <c r="G419" s="10" t="s">
        <v>1502</v>
      </c>
      <c r="H419" s="10">
        <v>4355632</v>
      </c>
      <c r="I419" s="10">
        <v>4400798</v>
      </c>
      <c r="J419" s="10" t="s">
        <v>1292</v>
      </c>
      <c r="K419" s="10" t="s">
        <v>61</v>
      </c>
      <c r="L419" s="10" t="s">
        <v>1378</v>
      </c>
      <c r="M419" s="10" t="s">
        <v>61</v>
      </c>
      <c r="N419" s="10" t="s">
        <v>61</v>
      </c>
      <c r="O419" s="10" t="s">
        <v>1214</v>
      </c>
      <c r="P419" s="10" t="s">
        <v>1214</v>
      </c>
      <c r="Q419" s="10" t="s">
        <v>1214</v>
      </c>
      <c r="R419" s="10" t="s">
        <v>1214</v>
      </c>
      <c r="S419" s="10" t="s">
        <v>79</v>
      </c>
    </row>
    <row r="420" spans="1:19" ht="43.5" x14ac:dyDescent="0.35">
      <c r="A420" s="14">
        <v>46022</v>
      </c>
      <c r="B420" s="10" t="s">
        <v>464</v>
      </c>
      <c r="C420" s="10" t="s">
        <v>465</v>
      </c>
      <c r="D420" s="10" t="s">
        <v>1132</v>
      </c>
      <c r="E420" s="10">
        <v>4352692</v>
      </c>
      <c r="F420" s="15">
        <v>100</v>
      </c>
      <c r="G420" s="10" t="s">
        <v>1503</v>
      </c>
      <c r="H420" s="10">
        <v>4352692</v>
      </c>
      <c r="I420" s="10" t="s">
        <v>1194</v>
      </c>
      <c r="J420" s="10" t="s">
        <v>1214</v>
      </c>
      <c r="K420" s="10" t="s">
        <v>1214</v>
      </c>
      <c r="L420" s="10" t="s">
        <v>1214</v>
      </c>
      <c r="M420" s="10" t="s">
        <v>1214</v>
      </c>
      <c r="N420" s="10" t="s">
        <v>466</v>
      </c>
      <c r="O420" s="10" t="s">
        <v>1214</v>
      </c>
      <c r="P420" s="10" t="s">
        <v>1214</v>
      </c>
      <c r="Q420" s="10" t="s">
        <v>1214</v>
      </c>
      <c r="R420" s="10" t="s">
        <v>1214</v>
      </c>
      <c r="S420" s="10" t="s">
        <v>61</v>
      </c>
    </row>
    <row r="421" spans="1:19" ht="43.5" x14ac:dyDescent="0.35">
      <c r="A421" s="14">
        <v>46022</v>
      </c>
      <c r="B421" s="10" t="s">
        <v>467</v>
      </c>
      <c r="C421" s="10" t="s">
        <v>468</v>
      </c>
      <c r="D421" s="10" t="s">
        <v>1133</v>
      </c>
      <c r="E421" s="10">
        <v>10930063</v>
      </c>
      <c r="F421" s="15">
        <v>100</v>
      </c>
      <c r="G421" s="10" t="s">
        <v>1504</v>
      </c>
      <c r="H421" s="10">
        <v>10930063</v>
      </c>
      <c r="I421" s="10" t="s">
        <v>1194</v>
      </c>
      <c r="J421" s="10" t="s">
        <v>1214</v>
      </c>
      <c r="K421" s="10" t="s">
        <v>1214</v>
      </c>
      <c r="L421" s="10" t="s">
        <v>1214</v>
      </c>
      <c r="M421" s="10" t="s">
        <v>1214</v>
      </c>
      <c r="N421" s="10" t="s">
        <v>61</v>
      </c>
      <c r="O421" s="10" t="s">
        <v>1214</v>
      </c>
      <c r="P421" s="10" t="s">
        <v>1214</v>
      </c>
      <c r="Q421" s="10" t="s">
        <v>1214</v>
      </c>
      <c r="R421" s="10" t="s">
        <v>1214</v>
      </c>
      <c r="S421" s="10" t="s">
        <v>61</v>
      </c>
    </row>
    <row r="422" spans="1:19" ht="43.5" x14ac:dyDescent="0.35">
      <c r="A422" s="14">
        <v>46022</v>
      </c>
      <c r="B422" s="10" t="s">
        <v>636</v>
      </c>
      <c r="C422" s="10" t="s">
        <v>637</v>
      </c>
      <c r="D422" s="10" t="s">
        <v>1134</v>
      </c>
      <c r="E422" s="10">
        <v>10405589</v>
      </c>
      <c r="F422" s="15">
        <v>100</v>
      </c>
      <c r="G422" s="10" t="s">
        <v>1505</v>
      </c>
      <c r="H422" s="10">
        <v>10405589</v>
      </c>
      <c r="I422" s="10" t="s">
        <v>1194</v>
      </c>
      <c r="J422" s="10" t="s">
        <v>1214</v>
      </c>
      <c r="K422" s="10" t="s">
        <v>1214</v>
      </c>
      <c r="L422" s="10" t="s">
        <v>1214</v>
      </c>
      <c r="M422" s="10" t="s">
        <v>1214</v>
      </c>
      <c r="N422" s="10" t="s">
        <v>61</v>
      </c>
      <c r="O422" s="10" t="s">
        <v>1214</v>
      </c>
      <c r="P422" s="10" t="s">
        <v>1214</v>
      </c>
      <c r="Q422" s="10" t="s">
        <v>1214</v>
      </c>
      <c r="R422" s="10" t="s">
        <v>1214</v>
      </c>
      <c r="S422" s="10" t="s">
        <v>61</v>
      </c>
    </row>
    <row r="423" spans="1:19" ht="43.5" x14ac:dyDescent="0.35">
      <c r="A423" s="14">
        <v>46022</v>
      </c>
      <c r="B423" s="10" t="s">
        <v>819</v>
      </c>
      <c r="C423" s="10" t="s">
        <v>820</v>
      </c>
      <c r="D423" s="10" t="s">
        <v>1024</v>
      </c>
      <c r="E423" s="10">
        <v>4314727</v>
      </c>
      <c r="F423" s="15">
        <v>100</v>
      </c>
      <c r="G423" s="10" t="s">
        <v>1326</v>
      </c>
      <c r="H423" s="10">
        <v>4314727</v>
      </c>
      <c r="I423" s="10" t="s">
        <v>1194</v>
      </c>
      <c r="J423" s="10" t="s">
        <v>1214</v>
      </c>
      <c r="K423" s="10" t="s">
        <v>1214</v>
      </c>
      <c r="L423" s="10" t="s">
        <v>1214</v>
      </c>
      <c r="M423" s="10" t="s">
        <v>1214</v>
      </c>
      <c r="N423" s="10" t="s">
        <v>61</v>
      </c>
      <c r="O423" s="10" t="s">
        <v>1214</v>
      </c>
      <c r="P423" s="10" t="s">
        <v>1214</v>
      </c>
      <c r="Q423" s="10" t="s">
        <v>1214</v>
      </c>
      <c r="R423" s="10" t="s">
        <v>1214</v>
      </c>
      <c r="S423" s="10" t="s">
        <v>61</v>
      </c>
    </row>
    <row r="424" spans="1:19" ht="29" x14ac:dyDescent="0.35">
      <c r="A424" s="14">
        <v>46022</v>
      </c>
      <c r="B424" s="10" t="s">
        <v>479</v>
      </c>
      <c r="C424" s="10" t="s">
        <v>480</v>
      </c>
      <c r="D424" s="10" t="s">
        <v>962</v>
      </c>
      <c r="E424" s="10">
        <v>4353456</v>
      </c>
      <c r="F424" s="15">
        <v>100</v>
      </c>
      <c r="G424" s="10" t="s">
        <v>1296</v>
      </c>
      <c r="H424" s="10">
        <v>4353456</v>
      </c>
      <c r="I424" s="10" t="s">
        <v>1194</v>
      </c>
      <c r="J424" s="10" t="s">
        <v>1214</v>
      </c>
      <c r="K424" s="10" t="s">
        <v>1214</v>
      </c>
      <c r="L424" s="10" t="s">
        <v>1214</v>
      </c>
      <c r="M424" s="10" t="s">
        <v>1214</v>
      </c>
      <c r="N424" s="10" t="s">
        <v>61</v>
      </c>
      <c r="O424" s="10" t="s">
        <v>1214</v>
      </c>
      <c r="P424" s="10" t="s">
        <v>1214</v>
      </c>
      <c r="Q424" s="10" t="s">
        <v>1214</v>
      </c>
      <c r="R424" s="10" t="s">
        <v>1214</v>
      </c>
      <c r="S424" s="10" t="s">
        <v>61</v>
      </c>
    </row>
    <row r="425" spans="1:19" ht="29" x14ac:dyDescent="0.35">
      <c r="A425" s="14">
        <v>46022</v>
      </c>
      <c r="B425" s="10" t="s">
        <v>469</v>
      </c>
      <c r="C425" s="10" t="s">
        <v>470</v>
      </c>
      <c r="D425" s="10" t="s">
        <v>1135</v>
      </c>
      <c r="E425" s="10">
        <v>10928473</v>
      </c>
      <c r="F425" s="15">
        <v>100</v>
      </c>
      <c r="G425" s="10" t="s">
        <v>1506</v>
      </c>
      <c r="H425" s="10">
        <v>10928473</v>
      </c>
      <c r="I425" s="10" t="s">
        <v>1194</v>
      </c>
      <c r="J425" s="10" t="s">
        <v>1214</v>
      </c>
      <c r="K425" s="10" t="s">
        <v>1214</v>
      </c>
      <c r="L425" s="10" t="s">
        <v>1214</v>
      </c>
      <c r="M425" s="10" t="s">
        <v>1214</v>
      </c>
      <c r="N425" s="10" t="s">
        <v>61</v>
      </c>
      <c r="O425" s="10" t="s">
        <v>1214</v>
      </c>
      <c r="P425" s="10" t="s">
        <v>1214</v>
      </c>
      <c r="Q425" s="10" t="s">
        <v>1214</v>
      </c>
      <c r="R425" s="10" t="s">
        <v>1214</v>
      </c>
      <c r="S425" s="10" t="s">
        <v>61</v>
      </c>
    </row>
    <row r="426" spans="1:19" ht="29" x14ac:dyDescent="0.35">
      <c r="A426" s="14">
        <v>46022</v>
      </c>
      <c r="B426" s="10" t="s">
        <v>821</v>
      </c>
      <c r="C426" s="10" t="s">
        <v>822</v>
      </c>
      <c r="D426" s="10" t="s">
        <v>962</v>
      </c>
      <c r="E426" s="10">
        <v>4353456</v>
      </c>
      <c r="F426" s="15">
        <v>100</v>
      </c>
      <c r="G426" s="10" t="s">
        <v>1296</v>
      </c>
      <c r="H426" s="10">
        <v>4353456</v>
      </c>
      <c r="I426" s="10" t="s">
        <v>1194</v>
      </c>
      <c r="J426" s="10" t="s">
        <v>1214</v>
      </c>
      <c r="K426" s="10" t="s">
        <v>1214</v>
      </c>
      <c r="L426" s="10" t="s">
        <v>1214</v>
      </c>
      <c r="M426" s="10" t="s">
        <v>1214</v>
      </c>
      <c r="N426" s="10" t="s">
        <v>61</v>
      </c>
      <c r="O426" s="10" t="s">
        <v>1214</v>
      </c>
      <c r="P426" s="10" t="s">
        <v>1214</v>
      </c>
      <c r="Q426" s="10" t="s">
        <v>1214</v>
      </c>
      <c r="R426" s="10" t="s">
        <v>1214</v>
      </c>
      <c r="S426" s="10" t="s">
        <v>61</v>
      </c>
    </row>
    <row r="427" spans="1:19" ht="29" x14ac:dyDescent="0.35">
      <c r="A427" s="14">
        <v>46022</v>
      </c>
      <c r="B427" s="10" t="s">
        <v>471</v>
      </c>
      <c r="C427" s="10" t="s">
        <v>472</v>
      </c>
      <c r="D427" s="10" t="s">
        <v>962</v>
      </c>
      <c r="E427" s="10">
        <v>4353456</v>
      </c>
      <c r="F427" s="15">
        <v>100</v>
      </c>
      <c r="G427" s="10" t="s">
        <v>1296</v>
      </c>
      <c r="H427" s="10">
        <v>4353456</v>
      </c>
      <c r="I427" s="10" t="s">
        <v>1194</v>
      </c>
      <c r="J427" s="10" t="s">
        <v>1214</v>
      </c>
      <c r="K427" s="10" t="s">
        <v>1214</v>
      </c>
      <c r="L427" s="10" t="s">
        <v>1214</v>
      </c>
      <c r="M427" s="10" t="s">
        <v>1214</v>
      </c>
      <c r="N427" s="10" t="s">
        <v>61</v>
      </c>
      <c r="O427" s="10" t="s">
        <v>1214</v>
      </c>
      <c r="P427" s="10" t="s">
        <v>1214</v>
      </c>
      <c r="Q427" s="10" t="s">
        <v>1214</v>
      </c>
      <c r="R427" s="10" t="s">
        <v>1214</v>
      </c>
      <c r="S427" s="10" t="s">
        <v>61</v>
      </c>
    </row>
    <row r="428" spans="1:19" ht="43.5" x14ac:dyDescent="0.35">
      <c r="A428" s="14">
        <v>46022</v>
      </c>
      <c r="B428" s="10" t="s">
        <v>481</v>
      </c>
      <c r="C428" s="10" t="s">
        <v>482</v>
      </c>
      <c r="D428" s="10" t="s">
        <v>1136</v>
      </c>
      <c r="E428" s="10">
        <v>10948121</v>
      </c>
      <c r="F428" s="15">
        <v>100</v>
      </c>
      <c r="G428" s="10" t="s">
        <v>1507</v>
      </c>
      <c r="H428" s="10">
        <v>10948121</v>
      </c>
      <c r="I428" s="10" t="s">
        <v>1194</v>
      </c>
      <c r="J428" s="10" t="s">
        <v>1214</v>
      </c>
      <c r="K428" s="10" t="s">
        <v>1214</v>
      </c>
      <c r="L428" s="10" t="s">
        <v>1214</v>
      </c>
      <c r="M428" s="10" t="s">
        <v>1214</v>
      </c>
      <c r="N428" s="10" t="s">
        <v>61</v>
      </c>
      <c r="O428" s="10" t="s">
        <v>1214</v>
      </c>
      <c r="P428" s="10" t="s">
        <v>1214</v>
      </c>
      <c r="Q428" s="10" t="s">
        <v>1214</v>
      </c>
      <c r="R428" s="10" t="s">
        <v>1214</v>
      </c>
      <c r="S428" s="10" t="s">
        <v>61</v>
      </c>
    </row>
    <row r="429" spans="1:19" ht="43.5" x14ac:dyDescent="0.35">
      <c r="A429" s="14">
        <v>46022</v>
      </c>
      <c r="B429" s="10" t="s">
        <v>487</v>
      </c>
      <c r="C429" s="10" t="s">
        <v>488</v>
      </c>
      <c r="D429" s="10" t="s">
        <v>1136</v>
      </c>
      <c r="E429" s="10">
        <v>10948121</v>
      </c>
      <c r="F429" s="15">
        <v>100</v>
      </c>
      <c r="G429" s="10" t="s">
        <v>1507</v>
      </c>
      <c r="H429" s="10">
        <v>10948121</v>
      </c>
      <c r="I429" s="10" t="s">
        <v>1194</v>
      </c>
      <c r="J429" s="10" t="s">
        <v>1214</v>
      </c>
      <c r="K429" s="10" t="s">
        <v>1214</v>
      </c>
      <c r="L429" s="10" t="s">
        <v>1214</v>
      </c>
      <c r="M429" s="10" t="s">
        <v>1214</v>
      </c>
      <c r="N429" s="10" t="s">
        <v>61</v>
      </c>
      <c r="O429" s="10" t="s">
        <v>1214</v>
      </c>
      <c r="P429" s="10" t="s">
        <v>1214</v>
      </c>
      <c r="Q429" s="10" t="s">
        <v>1214</v>
      </c>
      <c r="R429" s="10" t="s">
        <v>1214</v>
      </c>
      <c r="S429" s="10" t="s">
        <v>61</v>
      </c>
    </row>
    <row r="430" spans="1:19" ht="43.5" x14ac:dyDescent="0.35">
      <c r="A430" s="14">
        <v>46022</v>
      </c>
      <c r="B430" s="10" t="s">
        <v>823</v>
      </c>
      <c r="C430" s="10" t="s">
        <v>824</v>
      </c>
      <c r="D430" s="10" t="s">
        <v>1137</v>
      </c>
      <c r="E430" s="10">
        <v>10928398</v>
      </c>
      <c r="F430" s="15">
        <v>100</v>
      </c>
      <c r="G430" s="10" t="s">
        <v>1508</v>
      </c>
      <c r="H430" s="10">
        <v>10928398</v>
      </c>
      <c r="I430" s="10" t="s">
        <v>1194</v>
      </c>
      <c r="J430" s="10" t="s">
        <v>1214</v>
      </c>
      <c r="K430" s="10" t="s">
        <v>1214</v>
      </c>
      <c r="L430" s="10" t="s">
        <v>1214</v>
      </c>
      <c r="M430" s="10" t="s">
        <v>1214</v>
      </c>
      <c r="N430" s="10" t="s">
        <v>61</v>
      </c>
      <c r="O430" s="10" t="s">
        <v>1214</v>
      </c>
      <c r="P430" s="10" t="s">
        <v>1214</v>
      </c>
      <c r="Q430" s="10" t="s">
        <v>1214</v>
      </c>
      <c r="R430" s="10" t="s">
        <v>1214</v>
      </c>
      <c r="S430" s="10" t="s">
        <v>61</v>
      </c>
    </row>
    <row r="431" spans="1:19" ht="43.5" x14ac:dyDescent="0.35">
      <c r="A431" s="14">
        <v>46022</v>
      </c>
      <c r="B431" s="10" t="s">
        <v>489</v>
      </c>
      <c r="C431" s="10" t="s">
        <v>490</v>
      </c>
      <c r="D431" s="10" t="s">
        <v>1019</v>
      </c>
      <c r="E431" s="10">
        <v>10393182</v>
      </c>
      <c r="F431" s="15">
        <v>100</v>
      </c>
      <c r="G431" s="10" t="s">
        <v>1319</v>
      </c>
      <c r="H431" s="10">
        <v>10393182</v>
      </c>
      <c r="I431" s="10" t="s">
        <v>1194</v>
      </c>
      <c r="J431" s="10" t="s">
        <v>1214</v>
      </c>
      <c r="K431" s="10" t="s">
        <v>1214</v>
      </c>
      <c r="L431" s="10" t="s">
        <v>1214</v>
      </c>
      <c r="M431" s="10" t="s">
        <v>1214</v>
      </c>
      <c r="N431" s="10" t="s">
        <v>61</v>
      </c>
      <c r="O431" s="10" t="s">
        <v>1214</v>
      </c>
      <c r="P431" s="10" t="s">
        <v>1214</v>
      </c>
      <c r="Q431" s="10" t="s">
        <v>1214</v>
      </c>
      <c r="R431" s="10" t="s">
        <v>1214</v>
      </c>
      <c r="S431" s="10" t="s">
        <v>61</v>
      </c>
    </row>
    <row r="432" spans="1:19" ht="58" x14ac:dyDescent="0.35">
      <c r="A432" s="14">
        <v>46022</v>
      </c>
      <c r="B432" s="10" t="s">
        <v>638</v>
      </c>
      <c r="C432" s="10" t="s">
        <v>639</v>
      </c>
      <c r="D432" s="10" t="s">
        <v>1138</v>
      </c>
      <c r="E432" s="10">
        <v>4351588</v>
      </c>
      <c r="F432" s="15">
        <v>55</v>
      </c>
      <c r="G432" s="10" t="s">
        <v>1509</v>
      </c>
      <c r="H432" s="10">
        <v>4351588</v>
      </c>
      <c r="I432" s="10">
        <v>4583665</v>
      </c>
      <c r="J432" s="10" t="s">
        <v>1510</v>
      </c>
      <c r="K432" s="10" t="s">
        <v>753</v>
      </c>
      <c r="L432" s="10" t="s">
        <v>1511</v>
      </c>
      <c r="M432" s="10" t="s">
        <v>753</v>
      </c>
      <c r="N432" s="10" t="s">
        <v>222</v>
      </c>
      <c r="O432" s="10" t="s">
        <v>1214</v>
      </c>
      <c r="P432" s="10" t="s">
        <v>1214</v>
      </c>
      <c r="Q432" s="10" t="s">
        <v>1214</v>
      </c>
      <c r="R432" s="10" t="s">
        <v>1214</v>
      </c>
      <c r="S432" s="10" t="s">
        <v>89</v>
      </c>
    </row>
    <row r="433" spans="1:19" ht="58" x14ac:dyDescent="0.35">
      <c r="A433" s="14">
        <v>46022</v>
      </c>
      <c r="B433" s="10" t="s">
        <v>638</v>
      </c>
      <c r="C433" s="10" t="s">
        <v>639</v>
      </c>
      <c r="D433" s="10" t="s">
        <v>1139</v>
      </c>
      <c r="E433" s="10">
        <v>4583665</v>
      </c>
      <c r="F433" s="15">
        <v>45</v>
      </c>
      <c r="G433" s="10" t="s">
        <v>1509</v>
      </c>
      <c r="H433" s="10">
        <v>4351588</v>
      </c>
      <c r="I433" s="10">
        <v>4583665</v>
      </c>
      <c r="J433" s="10" t="s">
        <v>1510</v>
      </c>
      <c r="K433" s="10" t="s">
        <v>753</v>
      </c>
      <c r="L433" s="10" t="s">
        <v>1511</v>
      </c>
      <c r="M433" s="10" t="s">
        <v>753</v>
      </c>
      <c r="N433" s="10" t="s">
        <v>222</v>
      </c>
      <c r="O433" s="10" t="s">
        <v>1214</v>
      </c>
      <c r="P433" s="10" t="s">
        <v>1214</v>
      </c>
      <c r="Q433" s="10" t="s">
        <v>1214</v>
      </c>
      <c r="R433" s="10" t="s">
        <v>1214</v>
      </c>
      <c r="S433" s="10" t="s">
        <v>89</v>
      </c>
    </row>
    <row r="434" spans="1:19" ht="29" x14ac:dyDescent="0.35">
      <c r="A434" s="14">
        <v>46022</v>
      </c>
      <c r="B434" s="10" t="s">
        <v>491</v>
      </c>
      <c r="C434" s="10" t="s">
        <v>492</v>
      </c>
      <c r="D434" s="10" t="s">
        <v>963</v>
      </c>
      <c r="E434" s="10">
        <v>4004107</v>
      </c>
      <c r="F434" s="15">
        <v>100</v>
      </c>
      <c r="G434" s="10" t="s">
        <v>1245</v>
      </c>
      <c r="H434" s="10">
        <v>4004107</v>
      </c>
      <c r="I434" s="10" t="s">
        <v>1194</v>
      </c>
      <c r="J434" s="10" t="s">
        <v>1214</v>
      </c>
      <c r="K434" s="10" t="s">
        <v>1214</v>
      </c>
      <c r="L434" s="10" t="s">
        <v>1214</v>
      </c>
      <c r="M434" s="10" t="s">
        <v>1214</v>
      </c>
      <c r="N434" s="10" t="s">
        <v>79</v>
      </c>
      <c r="O434" s="10" t="s">
        <v>1214</v>
      </c>
      <c r="P434" s="10" t="s">
        <v>1214</v>
      </c>
      <c r="Q434" s="10" t="s">
        <v>1214</v>
      </c>
      <c r="R434" s="10" t="s">
        <v>1214</v>
      </c>
      <c r="S434" s="10" t="s">
        <v>61</v>
      </c>
    </row>
    <row r="435" spans="1:19" ht="29" x14ac:dyDescent="0.35">
      <c r="A435" s="14">
        <v>46022</v>
      </c>
      <c r="B435" s="10" t="s">
        <v>493</v>
      </c>
      <c r="C435" s="10" t="s">
        <v>494</v>
      </c>
      <c r="D435" s="10" t="s">
        <v>963</v>
      </c>
      <c r="E435" s="10">
        <v>4004107</v>
      </c>
      <c r="F435" s="15">
        <v>100</v>
      </c>
      <c r="G435" s="10" t="s">
        <v>1245</v>
      </c>
      <c r="H435" s="10">
        <v>4004107</v>
      </c>
      <c r="I435" s="10" t="s">
        <v>1194</v>
      </c>
      <c r="J435" s="10" t="s">
        <v>1214</v>
      </c>
      <c r="K435" s="10" t="s">
        <v>1214</v>
      </c>
      <c r="L435" s="10" t="s">
        <v>1214</v>
      </c>
      <c r="M435" s="10" t="s">
        <v>1214</v>
      </c>
      <c r="N435" s="10" t="s">
        <v>79</v>
      </c>
      <c r="O435" s="10" t="s">
        <v>1214</v>
      </c>
      <c r="P435" s="10" t="s">
        <v>1214</v>
      </c>
      <c r="Q435" s="10" t="s">
        <v>1214</v>
      </c>
      <c r="R435" s="10" t="s">
        <v>1214</v>
      </c>
      <c r="S435" s="10" t="s">
        <v>61</v>
      </c>
    </row>
    <row r="436" spans="1:19" ht="29" x14ac:dyDescent="0.35">
      <c r="A436" s="14">
        <v>46022</v>
      </c>
      <c r="B436" s="10" t="s">
        <v>483</v>
      </c>
      <c r="C436" s="10" t="s">
        <v>484</v>
      </c>
      <c r="D436" s="10" t="s">
        <v>1097</v>
      </c>
      <c r="E436" s="10">
        <v>4350827</v>
      </c>
      <c r="F436" s="15">
        <v>100</v>
      </c>
      <c r="G436" s="10" t="s">
        <v>1441</v>
      </c>
      <c r="H436" s="10">
        <v>4350827</v>
      </c>
      <c r="I436" s="10" t="s">
        <v>1194</v>
      </c>
      <c r="J436" s="10" t="s">
        <v>1214</v>
      </c>
      <c r="K436" s="10" t="s">
        <v>1214</v>
      </c>
      <c r="L436" s="10" t="s">
        <v>1214</v>
      </c>
      <c r="M436" s="10" t="s">
        <v>1214</v>
      </c>
      <c r="N436" s="10" t="s">
        <v>111</v>
      </c>
      <c r="O436" s="10" t="s">
        <v>1214</v>
      </c>
      <c r="P436" s="10" t="s">
        <v>1214</v>
      </c>
      <c r="Q436" s="10" t="s">
        <v>1214</v>
      </c>
      <c r="R436" s="10" t="s">
        <v>1214</v>
      </c>
      <c r="S436" s="10" t="s">
        <v>61</v>
      </c>
    </row>
    <row r="437" spans="1:19" ht="43.5" x14ac:dyDescent="0.35">
      <c r="A437" s="14">
        <v>46022</v>
      </c>
      <c r="B437" s="10" t="s">
        <v>495</v>
      </c>
      <c r="C437" s="10" t="s">
        <v>496</v>
      </c>
      <c r="D437" s="10" t="s">
        <v>1140</v>
      </c>
      <c r="E437" s="10">
        <v>6609766</v>
      </c>
      <c r="F437" s="15">
        <v>100</v>
      </c>
      <c r="G437" s="10" t="s">
        <v>1512</v>
      </c>
      <c r="H437" s="10">
        <v>6609766</v>
      </c>
      <c r="I437" s="10" t="s">
        <v>1194</v>
      </c>
      <c r="J437" s="10" t="s">
        <v>1214</v>
      </c>
      <c r="K437" s="10" t="s">
        <v>1214</v>
      </c>
      <c r="L437" s="10" t="s">
        <v>1214</v>
      </c>
      <c r="M437" s="10" t="s">
        <v>1214</v>
      </c>
      <c r="N437" s="10" t="s">
        <v>61</v>
      </c>
      <c r="O437" s="10" t="s">
        <v>1214</v>
      </c>
      <c r="P437" s="10" t="s">
        <v>1214</v>
      </c>
      <c r="Q437" s="10" t="s">
        <v>1214</v>
      </c>
      <c r="R437" s="10" t="s">
        <v>1214</v>
      </c>
      <c r="S437" s="10" t="s">
        <v>61</v>
      </c>
    </row>
    <row r="438" spans="1:19" ht="29" x14ac:dyDescent="0.35">
      <c r="A438" s="14">
        <v>46022</v>
      </c>
      <c r="B438" s="10" t="s">
        <v>640</v>
      </c>
      <c r="C438" s="10" t="s">
        <v>641</v>
      </c>
      <c r="D438" s="10" t="s">
        <v>939</v>
      </c>
      <c r="E438" s="10">
        <v>4348654</v>
      </c>
      <c r="F438" s="15">
        <v>100</v>
      </c>
      <c r="G438" s="10" t="s">
        <v>1213</v>
      </c>
      <c r="H438" s="10">
        <v>4348654</v>
      </c>
      <c r="I438" s="10" t="s">
        <v>1194</v>
      </c>
      <c r="J438" s="10" t="s">
        <v>1214</v>
      </c>
      <c r="K438" s="10" t="s">
        <v>1214</v>
      </c>
      <c r="L438" s="10" t="s">
        <v>1214</v>
      </c>
      <c r="M438" s="10" t="s">
        <v>1214</v>
      </c>
      <c r="N438" s="10" t="s">
        <v>102</v>
      </c>
      <c r="O438" s="10" t="s">
        <v>1214</v>
      </c>
      <c r="P438" s="10" t="s">
        <v>1214</v>
      </c>
      <c r="Q438" s="10" t="s">
        <v>1214</v>
      </c>
      <c r="R438" s="10" t="s">
        <v>1214</v>
      </c>
      <c r="S438" s="10" t="s">
        <v>61</v>
      </c>
    </row>
    <row r="439" spans="1:19" ht="29" x14ac:dyDescent="0.35">
      <c r="A439" s="14">
        <v>46022</v>
      </c>
      <c r="B439" s="10" t="s">
        <v>485</v>
      </c>
      <c r="C439" s="10" t="s">
        <v>486</v>
      </c>
      <c r="D439" s="10" t="s">
        <v>962</v>
      </c>
      <c r="E439" s="10">
        <v>4353456</v>
      </c>
      <c r="F439" s="15">
        <v>100</v>
      </c>
      <c r="G439" s="10" t="s">
        <v>1296</v>
      </c>
      <c r="H439" s="10">
        <v>4353456</v>
      </c>
      <c r="I439" s="10" t="s">
        <v>1194</v>
      </c>
      <c r="J439" s="10" t="s">
        <v>1214</v>
      </c>
      <c r="K439" s="10" t="s">
        <v>1214</v>
      </c>
      <c r="L439" s="10" t="s">
        <v>1214</v>
      </c>
      <c r="M439" s="10" t="s">
        <v>1214</v>
      </c>
      <c r="N439" s="10" t="s">
        <v>61</v>
      </c>
      <c r="O439" s="10" t="s">
        <v>1214</v>
      </c>
      <c r="P439" s="10" t="s">
        <v>1214</v>
      </c>
      <c r="Q439" s="10" t="s">
        <v>1214</v>
      </c>
      <c r="R439" s="10" t="s">
        <v>1214</v>
      </c>
      <c r="S439" s="10" t="s">
        <v>61</v>
      </c>
    </row>
    <row r="440" spans="1:19" x14ac:dyDescent="0.35">
      <c r="A440" s="14">
        <v>46022</v>
      </c>
      <c r="B440" s="10" t="s">
        <v>497</v>
      </c>
      <c r="C440" s="10" t="s">
        <v>498</v>
      </c>
      <c r="D440" s="10" t="s">
        <v>1090</v>
      </c>
      <c r="E440" s="10">
        <v>4223919</v>
      </c>
      <c r="F440" s="15">
        <v>100</v>
      </c>
      <c r="G440" s="10" t="s">
        <v>1427</v>
      </c>
      <c r="H440" s="10">
        <v>4223919</v>
      </c>
      <c r="I440" s="10" t="s">
        <v>1194</v>
      </c>
      <c r="J440" s="10" t="s">
        <v>1214</v>
      </c>
      <c r="K440" s="10" t="s">
        <v>1214</v>
      </c>
      <c r="L440" s="10" t="s">
        <v>1214</v>
      </c>
      <c r="M440" s="10" t="s">
        <v>1214</v>
      </c>
      <c r="N440" s="10" t="s">
        <v>55</v>
      </c>
      <c r="O440" s="10" t="s">
        <v>1214</v>
      </c>
      <c r="P440" s="10" t="s">
        <v>1214</v>
      </c>
      <c r="Q440" s="10" t="s">
        <v>1214</v>
      </c>
      <c r="R440" s="10" t="s">
        <v>1214</v>
      </c>
      <c r="S440" s="10" t="s">
        <v>61</v>
      </c>
    </row>
    <row r="441" spans="1:19" ht="29" x14ac:dyDescent="0.35">
      <c r="A441" s="14">
        <v>46022</v>
      </c>
      <c r="B441" s="10" t="s">
        <v>642</v>
      </c>
      <c r="C441" s="10" t="s">
        <v>643</v>
      </c>
      <c r="D441" s="10" t="s">
        <v>947</v>
      </c>
      <c r="E441" s="10">
        <v>4121840</v>
      </c>
      <c r="F441" s="15">
        <v>100</v>
      </c>
      <c r="G441" s="10" t="s">
        <v>1230</v>
      </c>
      <c r="H441" s="10">
        <v>4121840</v>
      </c>
      <c r="I441" s="10" t="s">
        <v>1194</v>
      </c>
      <c r="J441" s="10" t="s">
        <v>1214</v>
      </c>
      <c r="K441" s="10" t="s">
        <v>1214</v>
      </c>
      <c r="L441" s="10" t="s">
        <v>1214</v>
      </c>
      <c r="M441" s="10" t="s">
        <v>1214</v>
      </c>
      <c r="N441" s="10" t="s">
        <v>89</v>
      </c>
      <c r="O441" s="10" t="s">
        <v>1214</v>
      </c>
      <c r="P441" s="10" t="s">
        <v>1214</v>
      </c>
      <c r="Q441" s="10" t="s">
        <v>1214</v>
      </c>
      <c r="R441" s="10" t="s">
        <v>1214</v>
      </c>
      <c r="S441" s="10" t="s">
        <v>61</v>
      </c>
    </row>
    <row r="442" spans="1:19" ht="29" x14ac:dyDescent="0.35">
      <c r="A442" s="14">
        <v>46022</v>
      </c>
      <c r="B442" s="10" t="s">
        <v>825</v>
      </c>
      <c r="C442" s="10" t="s">
        <v>826</v>
      </c>
      <c r="D442" s="10" t="s">
        <v>947</v>
      </c>
      <c r="E442" s="10">
        <v>4121840</v>
      </c>
      <c r="F442" s="15">
        <v>100</v>
      </c>
      <c r="G442" s="10" t="s">
        <v>1230</v>
      </c>
      <c r="H442" s="10">
        <v>4121840</v>
      </c>
      <c r="I442" s="10" t="s">
        <v>1194</v>
      </c>
      <c r="J442" s="10" t="s">
        <v>1214</v>
      </c>
      <c r="K442" s="10" t="s">
        <v>1214</v>
      </c>
      <c r="L442" s="10" t="s">
        <v>1214</v>
      </c>
      <c r="M442" s="10" t="s">
        <v>1214</v>
      </c>
      <c r="N442" s="10" t="s">
        <v>89</v>
      </c>
      <c r="O442" s="10" t="s">
        <v>1214</v>
      </c>
      <c r="P442" s="10" t="s">
        <v>1214</v>
      </c>
      <c r="Q442" s="10" t="s">
        <v>1214</v>
      </c>
      <c r="R442" s="10" t="s">
        <v>1214</v>
      </c>
      <c r="S442" s="10" t="s">
        <v>61</v>
      </c>
    </row>
    <row r="443" spans="1:19" ht="29" x14ac:dyDescent="0.35">
      <c r="A443" s="14">
        <v>46022</v>
      </c>
      <c r="B443" s="10" t="s">
        <v>501</v>
      </c>
      <c r="C443" s="10" t="s">
        <v>502</v>
      </c>
      <c r="D443" s="10" t="s">
        <v>1077</v>
      </c>
      <c r="E443" s="10">
        <v>4379789</v>
      </c>
      <c r="F443" s="15">
        <v>100</v>
      </c>
      <c r="G443" s="10" t="s">
        <v>1407</v>
      </c>
      <c r="H443" s="10">
        <v>4379789</v>
      </c>
      <c r="I443" s="10" t="s">
        <v>1194</v>
      </c>
      <c r="J443" s="10" t="s">
        <v>1214</v>
      </c>
      <c r="K443" s="10" t="s">
        <v>1214</v>
      </c>
      <c r="L443" s="10" t="s">
        <v>1214</v>
      </c>
      <c r="M443" s="10" t="s">
        <v>1214</v>
      </c>
      <c r="N443" s="10" t="s">
        <v>105</v>
      </c>
      <c r="O443" s="10" t="s">
        <v>1214</v>
      </c>
      <c r="P443" s="10" t="s">
        <v>1214</v>
      </c>
      <c r="Q443" s="10" t="s">
        <v>1214</v>
      </c>
      <c r="R443" s="10" t="s">
        <v>1214</v>
      </c>
      <c r="S443" s="10" t="s">
        <v>61</v>
      </c>
    </row>
    <row r="444" spans="1:19" ht="29" x14ac:dyDescent="0.35">
      <c r="A444" s="14">
        <v>46022</v>
      </c>
      <c r="B444" s="10" t="s">
        <v>499</v>
      </c>
      <c r="C444" s="10" t="s">
        <v>500</v>
      </c>
      <c r="D444" s="10" t="s">
        <v>948</v>
      </c>
      <c r="E444" s="10">
        <v>4113732</v>
      </c>
      <c r="F444" s="15">
        <v>100</v>
      </c>
      <c r="G444" s="10" t="s">
        <v>1229</v>
      </c>
      <c r="H444" s="10">
        <v>4113732</v>
      </c>
      <c r="I444" s="10" t="s">
        <v>1194</v>
      </c>
      <c r="J444" s="10" t="s">
        <v>1214</v>
      </c>
      <c r="K444" s="10" t="s">
        <v>1214</v>
      </c>
      <c r="L444" s="10" t="s">
        <v>1214</v>
      </c>
      <c r="M444" s="10" t="s">
        <v>1214</v>
      </c>
      <c r="N444" s="10" t="s">
        <v>1228</v>
      </c>
      <c r="O444" s="10" t="s">
        <v>1214</v>
      </c>
      <c r="P444" s="10" t="s">
        <v>1214</v>
      </c>
      <c r="Q444" s="10" t="s">
        <v>1214</v>
      </c>
      <c r="R444" s="10" t="s">
        <v>1214</v>
      </c>
      <c r="S444" s="10" t="s">
        <v>61</v>
      </c>
    </row>
    <row r="445" spans="1:19" ht="29" x14ac:dyDescent="0.35">
      <c r="A445" s="14">
        <v>46022</v>
      </c>
      <c r="B445" s="10" t="s">
        <v>503</v>
      </c>
      <c r="C445" s="10" t="s">
        <v>504</v>
      </c>
      <c r="D445" s="10" t="s">
        <v>962</v>
      </c>
      <c r="E445" s="10">
        <v>4353456</v>
      </c>
      <c r="F445" s="15">
        <v>100</v>
      </c>
      <c r="G445" s="10" t="s">
        <v>1296</v>
      </c>
      <c r="H445" s="10">
        <v>4353456</v>
      </c>
      <c r="I445" s="10" t="s">
        <v>1194</v>
      </c>
      <c r="J445" s="10" t="s">
        <v>1214</v>
      </c>
      <c r="K445" s="10" t="s">
        <v>1214</v>
      </c>
      <c r="L445" s="10" t="s">
        <v>1214</v>
      </c>
      <c r="M445" s="10" t="s">
        <v>1214</v>
      </c>
      <c r="N445" s="10" t="s">
        <v>61</v>
      </c>
      <c r="O445" s="10" t="s">
        <v>1214</v>
      </c>
      <c r="P445" s="10" t="s">
        <v>1214</v>
      </c>
      <c r="Q445" s="10" t="s">
        <v>1214</v>
      </c>
      <c r="R445" s="10" t="s">
        <v>1214</v>
      </c>
      <c r="S445" s="10" t="s">
        <v>61</v>
      </c>
    </row>
    <row r="446" spans="1:19" ht="29" x14ac:dyDescent="0.35">
      <c r="A446" s="14">
        <v>46022</v>
      </c>
      <c r="B446" s="10" t="s">
        <v>515</v>
      </c>
      <c r="C446" s="10" t="s">
        <v>516</v>
      </c>
      <c r="D446" s="10" t="s">
        <v>962</v>
      </c>
      <c r="E446" s="10">
        <v>4353456</v>
      </c>
      <c r="F446" s="15">
        <v>100</v>
      </c>
      <c r="G446" s="10" t="s">
        <v>1296</v>
      </c>
      <c r="H446" s="10">
        <v>4353456</v>
      </c>
      <c r="I446" s="10" t="s">
        <v>1194</v>
      </c>
      <c r="J446" s="10" t="s">
        <v>1214</v>
      </c>
      <c r="K446" s="10" t="s">
        <v>1214</v>
      </c>
      <c r="L446" s="10" t="s">
        <v>1214</v>
      </c>
      <c r="M446" s="10" t="s">
        <v>1214</v>
      </c>
      <c r="N446" s="10" t="s">
        <v>61</v>
      </c>
      <c r="O446" s="10" t="s">
        <v>1214</v>
      </c>
      <c r="P446" s="10" t="s">
        <v>1214</v>
      </c>
      <c r="Q446" s="10" t="s">
        <v>1214</v>
      </c>
      <c r="R446" s="10" t="s">
        <v>1214</v>
      </c>
      <c r="S446" s="10" t="s">
        <v>61</v>
      </c>
    </row>
    <row r="447" spans="1:19" ht="29" x14ac:dyDescent="0.35">
      <c r="A447" s="14">
        <v>46022</v>
      </c>
      <c r="B447" s="10" t="s">
        <v>827</v>
      </c>
      <c r="C447" s="10" t="s">
        <v>828</v>
      </c>
      <c r="D447" s="10" t="s">
        <v>962</v>
      </c>
      <c r="E447" s="10">
        <v>4353456</v>
      </c>
      <c r="F447" s="15">
        <v>100</v>
      </c>
      <c r="G447" s="10" t="s">
        <v>1296</v>
      </c>
      <c r="H447" s="10">
        <v>4353456</v>
      </c>
      <c r="I447" s="10" t="s">
        <v>1194</v>
      </c>
      <c r="J447" s="10" t="s">
        <v>1214</v>
      </c>
      <c r="K447" s="10" t="s">
        <v>1214</v>
      </c>
      <c r="L447" s="10" t="s">
        <v>1214</v>
      </c>
      <c r="M447" s="10" t="s">
        <v>1214</v>
      </c>
      <c r="N447" s="10" t="s">
        <v>61</v>
      </c>
      <c r="O447" s="10" t="s">
        <v>1214</v>
      </c>
      <c r="P447" s="10" t="s">
        <v>1214</v>
      </c>
      <c r="Q447" s="10" t="s">
        <v>1214</v>
      </c>
      <c r="R447" s="10" t="s">
        <v>1214</v>
      </c>
      <c r="S447" s="10" t="s">
        <v>61</v>
      </c>
    </row>
    <row r="448" spans="1:19" ht="29" x14ac:dyDescent="0.35">
      <c r="A448" s="14">
        <v>46022</v>
      </c>
      <c r="B448" s="10" t="s">
        <v>644</v>
      </c>
      <c r="C448" s="10" t="s">
        <v>645</v>
      </c>
      <c r="D448" s="10" t="s">
        <v>962</v>
      </c>
      <c r="E448" s="10">
        <v>4353456</v>
      </c>
      <c r="F448" s="15">
        <v>100</v>
      </c>
      <c r="G448" s="10" t="s">
        <v>1296</v>
      </c>
      <c r="H448" s="10">
        <v>4353456</v>
      </c>
      <c r="I448" s="10" t="s">
        <v>1194</v>
      </c>
      <c r="J448" s="10" t="s">
        <v>1214</v>
      </c>
      <c r="K448" s="10" t="s">
        <v>1214</v>
      </c>
      <c r="L448" s="10" t="s">
        <v>1214</v>
      </c>
      <c r="M448" s="10" t="s">
        <v>1214</v>
      </c>
      <c r="N448" s="10" t="s">
        <v>61</v>
      </c>
      <c r="O448" s="10" t="s">
        <v>1214</v>
      </c>
      <c r="P448" s="10" t="s">
        <v>1214</v>
      </c>
      <c r="Q448" s="10" t="s">
        <v>1214</v>
      </c>
      <c r="R448" s="10" t="s">
        <v>1214</v>
      </c>
      <c r="S448" s="10" t="s">
        <v>61</v>
      </c>
    </row>
    <row r="449" spans="1:19" ht="72.5" x14ac:dyDescent="0.35">
      <c r="A449" s="14">
        <v>46022</v>
      </c>
      <c r="B449" s="10" t="s">
        <v>646</v>
      </c>
      <c r="C449" s="10" t="s">
        <v>647</v>
      </c>
      <c r="D449" s="10" t="s">
        <v>1141</v>
      </c>
      <c r="E449" s="10">
        <v>4851749</v>
      </c>
      <c r="F449" s="15">
        <v>20</v>
      </c>
      <c r="G449" s="10" t="s">
        <v>1513</v>
      </c>
      <c r="H449" s="10">
        <v>11707121</v>
      </c>
      <c r="I449" s="10">
        <v>4851749</v>
      </c>
      <c r="J449" s="10" t="s">
        <v>1214</v>
      </c>
      <c r="K449" s="10" t="s">
        <v>1214</v>
      </c>
      <c r="L449" s="10" t="s">
        <v>1214</v>
      </c>
      <c r="M449" s="10" t="s">
        <v>1214</v>
      </c>
      <c r="N449" s="10" t="s">
        <v>648</v>
      </c>
      <c r="O449" s="10" t="s">
        <v>1214</v>
      </c>
      <c r="P449" s="10" t="s">
        <v>1214</v>
      </c>
      <c r="Q449" s="10" t="s">
        <v>1214</v>
      </c>
      <c r="R449" s="10" t="s">
        <v>1214</v>
      </c>
      <c r="S449" s="10" t="s">
        <v>89</v>
      </c>
    </row>
    <row r="450" spans="1:19" ht="72.5" x14ac:dyDescent="0.35">
      <c r="A450" s="14">
        <v>46022</v>
      </c>
      <c r="B450" s="10" t="s">
        <v>646</v>
      </c>
      <c r="C450" s="10" t="s">
        <v>647</v>
      </c>
      <c r="D450" s="10" t="s">
        <v>1142</v>
      </c>
      <c r="E450" s="10">
        <v>11707121</v>
      </c>
      <c r="F450" s="15">
        <v>80</v>
      </c>
      <c r="G450" s="10" t="s">
        <v>1513</v>
      </c>
      <c r="H450" s="10">
        <v>11707121</v>
      </c>
      <c r="I450" s="10">
        <v>4851749</v>
      </c>
      <c r="J450" s="10" t="s">
        <v>1214</v>
      </c>
      <c r="K450" s="10" t="s">
        <v>1214</v>
      </c>
      <c r="L450" s="10" t="s">
        <v>1214</v>
      </c>
      <c r="M450" s="10" t="s">
        <v>1214</v>
      </c>
      <c r="N450" s="10" t="s">
        <v>648</v>
      </c>
      <c r="O450" s="10" t="s">
        <v>1214</v>
      </c>
      <c r="P450" s="10" t="s">
        <v>1214</v>
      </c>
      <c r="Q450" s="10" t="s">
        <v>1214</v>
      </c>
      <c r="R450" s="10" t="s">
        <v>1214</v>
      </c>
      <c r="S450" s="10" t="s">
        <v>89</v>
      </c>
    </row>
    <row r="451" spans="1:19" ht="43.5" x14ac:dyDescent="0.35">
      <c r="A451" s="14">
        <v>46022</v>
      </c>
      <c r="B451" s="10" t="s">
        <v>505</v>
      </c>
      <c r="C451" s="10" t="s">
        <v>506</v>
      </c>
      <c r="D451" s="10" t="s">
        <v>1019</v>
      </c>
      <c r="E451" s="10">
        <v>10393182</v>
      </c>
      <c r="F451" s="15">
        <v>100</v>
      </c>
      <c r="G451" s="10" t="s">
        <v>1319</v>
      </c>
      <c r="H451" s="10">
        <v>10393182</v>
      </c>
      <c r="I451" s="10" t="s">
        <v>1194</v>
      </c>
      <c r="J451" s="10" t="s">
        <v>1214</v>
      </c>
      <c r="K451" s="10" t="s">
        <v>1214</v>
      </c>
      <c r="L451" s="10" t="s">
        <v>1214</v>
      </c>
      <c r="M451" s="10" t="s">
        <v>1214</v>
      </c>
      <c r="N451" s="10" t="s">
        <v>61</v>
      </c>
      <c r="O451" s="10" t="s">
        <v>1214</v>
      </c>
      <c r="P451" s="10" t="s">
        <v>1214</v>
      </c>
      <c r="Q451" s="10" t="s">
        <v>1214</v>
      </c>
      <c r="R451" s="10" t="s">
        <v>1214</v>
      </c>
      <c r="S451" s="10" t="s">
        <v>61</v>
      </c>
    </row>
    <row r="452" spans="1:19" ht="43.5" x14ac:dyDescent="0.35">
      <c r="A452" s="14">
        <v>46022</v>
      </c>
      <c r="B452" s="10" t="s">
        <v>649</v>
      </c>
      <c r="C452" s="10" t="s">
        <v>650</v>
      </c>
      <c r="D452" s="10" t="s">
        <v>1143</v>
      </c>
      <c r="E452" s="10">
        <v>8296610</v>
      </c>
      <c r="F452" s="15">
        <v>100</v>
      </c>
      <c r="G452" s="10" t="s">
        <v>1514</v>
      </c>
      <c r="H452" s="10">
        <v>8296610</v>
      </c>
      <c r="I452" s="10" t="s">
        <v>1194</v>
      </c>
      <c r="J452" s="10" t="s">
        <v>1214</v>
      </c>
      <c r="K452" s="10" t="s">
        <v>1214</v>
      </c>
      <c r="L452" s="10" t="s">
        <v>1214</v>
      </c>
      <c r="M452" s="10" t="s">
        <v>1214</v>
      </c>
      <c r="N452" s="10" t="s">
        <v>61</v>
      </c>
      <c r="O452" s="10" t="s">
        <v>1214</v>
      </c>
      <c r="P452" s="10" t="s">
        <v>1214</v>
      </c>
      <c r="Q452" s="10" t="s">
        <v>1214</v>
      </c>
      <c r="R452" s="10" t="s">
        <v>1214</v>
      </c>
      <c r="S452" s="10" t="s">
        <v>61</v>
      </c>
    </row>
    <row r="453" spans="1:19" ht="72.5" x14ac:dyDescent="0.35">
      <c r="A453" s="14">
        <v>46022</v>
      </c>
      <c r="B453" s="10" t="s">
        <v>507</v>
      </c>
      <c r="C453" s="10" t="s">
        <v>508</v>
      </c>
      <c r="D453" s="10" t="s">
        <v>959</v>
      </c>
      <c r="E453" s="10">
        <v>4352362</v>
      </c>
      <c r="F453" s="15">
        <v>90.2</v>
      </c>
      <c r="G453" s="10" t="s">
        <v>1515</v>
      </c>
      <c r="H453" s="10">
        <v>4352362</v>
      </c>
      <c r="I453" s="10">
        <v>4352406</v>
      </c>
      <c r="J453" s="10" t="s">
        <v>1214</v>
      </c>
      <c r="K453" s="10" t="s">
        <v>1214</v>
      </c>
      <c r="L453" s="10" t="s">
        <v>1214</v>
      </c>
      <c r="M453" s="10" t="s">
        <v>1214</v>
      </c>
      <c r="N453" s="10" t="s">
        <v>111</v>
      </c>
      <c r="O453" s="10" t="s">
        <v>1516</v>
      </c>
      <c r="P453" s="10" t="s">
        <v>111</v>
      </c>
      <c r="Q453" s="10" t="s">
        <v>1516</v>
      </c>
      <c r="R453" s="10" t="s">
        <v>111</v>
      </c>
      <c r="S453" s="10" t="s">
        <v>111</v>
      </c>
    </row>
    <row r="454" spans="1:19" ht="72.5" x14ac:dyDescent="0.35">
      <c r="A454" s="14">
        <v>46022</v>
      </c>
      <c r="B454" s="10" t="s">
        <v>507</v>
      </c>
      <c r="C454" s="10" t="s">
        <v>508</v>
      </c>
      <c r="D454" s="10" t="s">
        <v>1144</v>
      </c>
      <c r="E454" s="10">
        <v>4352406</v>
      </c>
      <c r="F454" s="15">
        <v>9.8000000000000007</v>
      </c>
      <c r="G454" s="10" t="s">
        <v>1515</v>
      </c>
      <c r="H454" s="10">
        <v>4352362</v>
      </c>
      <c r="I454" s="10">
        <v>4352406</v>
      </c>
      <c r="J454" s="10" t="s">
        <v>1214</v>
      </c>
      <c r="K454" s="10" t="s">
        <v>1214</v>
      </c>
      <c r="L454" s="10" t="s">
        <v>1214</v>
      </c>
      <c r="M454" s="10" t="s">
        <v>1214</v>
      </c>
      <c r="N454" s="10" t="s">
        <v>111</v>
      </c>
      <c r="O454" s="10" t="s">
        <v>1516</v>
      </c>
      <c r="P454" s="10" t="s">
        <v>111</v>
      </c>
      <c r="Q454" s="10" t="s">
        <v>1516</v>
      </c>
      <c r="R454" s="10" t="s">
        <v>111</v>
      </c>
      <c r="S454" s="10" t="s">
        <v>111</v>
      </c>
    </row>
    <row r="455" spans="1:19" ht="29" x14ac:dyDescent="0.35">
      <c r="A455" s="14">
        <v>46022</v>
      </c>
      <c r="B455" s="10" t="s">
        <v>517</v>
      </c>
      <c r="C455" s="10" t="s">
        <v>518</v>
      </c>
      <c r="D455" s="10" t="s">
        <v>1145</v>
      </c>
      <c r="E455" s="10">
        <v>4350797</v>
      </c>
      <c r="F455" s="15">
        <v>100</v>
      </c>
      <c r="G455" s="10" t="s">
        <v>1517</v>
      </c>
      <c r="H455" s="10">
        <v>4350797</v>
      </c>
      <c r="I455" s="10" t="s">
        <v>1194</v>
      </c>
      <c r="J455" s="10" t="s">
        <v>1214</v>
      </c>
      <c r="K455" s="10" t="s">
        <v>1214</v>
      </c>
      <c r="L455" s="10" t="s">
        <v>1214</v>
      </c>
      <c r="M455" s="10" t="s">
        <v>1214</v>
      </c>
      <c r="N455" s="10" t="s">
        <v>89</v>
      </c>
      <c r="O455" s="10" t="s">
        <v>1214</v>
      </c>
      <c r="P455" s="10" t="s">
        <v>1214</v>
      </c>
      <c r="Q455" s="10" t="s">
        <v>1214</v>
      </c>
      <c r="R455" s="10" t="s">
        <v>1214</v>
      </c>
      <c r="S455" s="10" t="s">
        <v>61</v>
      </c>
    </row>
    <row r="456" spans="1:19" ht="72.5" x14ac:dyDescent="0.35">
      <c r="A456" s="14">
        <v>46022</v>
      </c>
      <c r="B456" s="10" t="s">
        <v>829</v>
      </c>
      <c r="C456" s="10" t="s">
        <v>830</v>
      </c>
      <c r="D456" s="10" t="s">
        <v>1073</v>
      </c>
      <c r="E456" s="10">
        <v>4349148</v>
      </c>
      <c r="F456" s="15">
        <v>80</v>
      </c>
      <c r="G456" s="10" t="s">
        <v>1518</v>
      </c>
      <c r="H456" s="10">
        <v>4349148</v>
      </c>
      <c r="I456" s="10">
        <v>4350360</v>
      </c>
      <c r="J456" s="10" t="s">
        <v>1214</v>
      </c>
      <c r="K456" s="10" t="s">
        <v>1214</v>
      </c>
      <c r="L456" s="10" t="s">
        <v>1214</v>
      </c>
      <c r="M456" s="10" t="s">
        <v>1214</v>
      </c>
      <c r="N456" s="10" t="s">
        <v>61</v>
      </c>
      <c r="O456" s="10" t="s">
        <v>213</v>
      </c>
      <c r="P456" s="10" t="s">
        <v>213</v>
      </c>
      <c r="Q456" s="10" t="s">
        <v>213</v>
      </c>
      <c r="R456" s="10" t="s">
        <v>213</v>
      </c>
      <c r="S456" s="10" t="s">
        <v>213</v>
      </c>
    </row>
    <row r="457" spans="1:19" ht="72.5" x14ac:dyDescent="0.35">
      <c r="A457" s="14">
        <v>46022</v>
      </c>
      <c r="B457" s="10" t="s">
        <v>829</v>
      </c>
      <c r="C457" s="10" t="s">
        <v>830</v>
      </c>
      <c r="D457" s="10" t="s">
        <v>1021</v>
      </c>
      <c r="E457" s="10">
        <v>4350360</v>
      </c>
      <c r="F457" s="15">
        <v>20</v>
      </c>
      <c r="G457" s="10" t="s">
        <v>1518</v>
      </c>
      <c r="H457" s="10">
        <v>4349148</v>
      </c>
      <c r="I457" s="10">
        <v>4350360</v>
      </c>
      <c r="J457" s="10" t="s">
        <v>1214</v>
      </c>
      <c r="K457" s="10" t="s">
        <v>1214</v>
      </c>
      <c r="L457" s="10" t="s">
        <v>1214</v>
      </c>
      <c r="M457" s="10" t="s">
        <v>1214</v>
      </c>
      <c r="N457" s="10" t="s">
        <v>61</v>
      </c>
      <c r="O457" s="10" t="s">
        <v>213</v>
      </c>
      <c r="P457" s="10" t="s">
        <v>213</v>
      </c>
      <c r="Q457" s="10" t="s">
        <v>213</v>
      </c>
      <c r="R457" s="10" t="s">
        <v>213</v>
      </c>
      <c r="S457" s="10" t="s">
        <v>213</v>
      </c>
    </row>
    <row r="458" spans="1:19" ht="29" x14ac:dyDescent="0.35">
      <c r="A458" s="14">
        <v>46022</v>
      </c>
      <c r="B458" s="10" t="s">
        <v>831</v>
      </c>
      <c r="C458" s="10" t="s">
        <v>832</v>
      </c>
      <c r="D458" s="10" t="s">
        <v>1146</v>
      </c>
      <c r="E458" s="10">
        <v>10402280</v>
      </c>
      <c r="F458" s="15">
        <v>100</v>
      </c>
      <c r="G458" s="10" t="s">
        <v>1519</v>
      </c>
      <c r="H458" s="10">
        <v>10402280</v>
      </c>
      <c r="I458" s="10" t="s">
        <v>1194</v>
      </c>
      <c r="J458" s="10" t="s">
        <v>1214</v>
      </c>
      <c r="K458" s="10" t="s">
        <v>1214</v>
      </c>
      <c r="L458" s="10" t="s">
        <v>1214</v>
      </c>
      <c r="M458" s="10" t="s">
        <v>1214</v>
      </c>
      <c r="N458" s="10" t="s">
        <v>61</v>
      </c>
      <c r="O458" s="10" t="s">
        <v>1214</v>
      </c>
      <c r="P458" s="10" t="s">
        <v>1214</v>
      </c>
      <c r="Q458" s="10" t="s">
        <v>1214</v>
      </c>
      <c r="R458" s="10" t="s">
        <v>1214</v>
      </c>
      <c r="S458" s="10" t="s">
        <v>61</v>
      </c>
    </row>
    <row r="459" spans="1:19" ht="43.5" x14ac:dyDescent="0.35">
      <c r="A459" s="14">
        <v>46022</v>
      </c>
      <c r="B459" s="10" t="s">
        <v>519</v>
      </c>
      <c r="C459" s="10" t="s">
        <v>520</v>
      </c>
      <c r="D459" s="10" t="s">
        <v>958</v>
      </c>
      <c r="E459" s="10">
        <v>4355642</v>
      </c>
      <c r="F459" s="15">
        <v>100</v>
      </c>
      <c r="G459" s="10" t="s">
        <v>1320</v>
      </c>
      <c r="H459" s="10">
        <v>4355642</v>
      </c>
      <c r="I459" s="10" t="s">
        <v>1194</v>
      </c>
      <c r="J459" s="10" t="s">
        <v>1214</v>
      </c>
      <c r="K459" s="10" t="s">
        <v>1214</v>
      </c>
      <c r="L459" s="10" t="s">
        <v>1214</v>
      </c>
      <c r="M459" s="10" t="s">
        <v>1214</v>
      </c>
      <c r="N459" s="10" t="s">
        <v>61</v>
      </c>
      <c r="O459" s="10" t="s">
        <v>1214</v>
      </c>
      <c r="P459" s="10" t="s">
        <v>1214</v>
      </c>
      <c r="Q459" s="10" t="s">
        <v>1214</v>
      </c>
      <c r="R459" s="10" t="s">
        <v>1214</v>
      </c>
      <c r="S459" s="10" t="s">
        <v>61</v>
      </c>
    </row>
    <row r="460" spans="1:19" ht="116" x14ac:dyDescent="0.35">
      <c r="A460" s="14">
        <v>46022</v>
      </c>
      <c r="B460" s="10" t="s">
        <v>833</v>
      </c>
      <c r="C460" s="10" t="s">
        <v>834</v>
      </c>
      <c r="D460" s="10" t="s">
        <v>1147</v>
      </c>
      <c r="E460" s="10">
        <v>4358892</v>
      </c>
      <c r="F460" s="15">
        <v>39</v>
      </c>
      <c r="G460" s="10" t="s">
        <v>1520</v>
      </c>
      <c r="H460" s="10">
        <v>4351226</v>
      </c>
      <c r="I460" s="10">
        <v>4358892</v>
      </c>
      <c r="J460" s="10" t="s">
        <v>1214</v>
      </c>
      <c r="K460" s="10" t="s">
        <v>1214</v>
      </c>
      <c r="L460" s="10" t="s">
        <v>1214</v>
      </c>
      <c r="M460" s="10" t="s">
        <v>1214</v>
      </c>
      <c r="N460" s="10" t="s">
        <v>111</v>
      </c>
      <c r="O460" s="10" t="s">
        <v>1214</v>
      </c>
      <c r="P460" s="10" t="s">
        <v>1214</v>
      </c>
      <c r="Q460" s="10" t="s">
        <v>1214</v>
      </c>
      <c r="R460" s="10" t="s">
        <v>1214</v>
      </c>
      <c r="S460" s="10" t="s">
        <v>1235</v>
      </c>
    </row>
    <row r="461" spans="1:19" ht="116" x14ac:dyDescent="0.35">
      <c r="A461" s="14">
        <v>46022</v>
      </c>
      <c r="B461" s="10" t="s">
        <v>833</v>
      </c>
      <c r="C461" s="10" t="s">
        <v>834</v>
      </c>
      <c r="D461" s="10" t="s">
        <v>990</v>
      </c>
      <c r="E461" s="10">
        <v>4351226</v>
      </c>
      <c r="F461" s="15">
        <v>51</v>
      </c>
      <c r="G461" s="10" t="s">
        <v>1520</v>
      </c>
      <c r="H461" s="10">
        <v>4351226</v>
      </c>
      <c r="I461" s="10">
        <v>4358892</v>
      </c>
      <c r="J461" s="10" t="s">
        <v>1214</v>
      </c>
      <c r="K461" s="10" t="s">
        <v>1214</v>
      </c>
      <c r="L461" s="10" t="s">
        <v>1214</v>
      </c>
      <c r="M461" s="10" t="s">
        <v>1214</v>
      </c>
      <c r="N461" s="10" t="s">
        <v>111</v>
      </c>
      <c r="O461" s="10" t="s">
        <v>1214</v>
      </c>
      <c r="P461" s="10" t="s">
        <v>1214</v>
      </c>
      <c r="Q461" s="10" t="s">
        <v>1214</v>
      </c>
      <c r="R461" s="10" t="s">
        <v>1214</v>
      </c>
      <c r="S461" s="10" t="s">
        <v>1235</v>
      </c>
    </row>
    <row r="462" spans="1:19" ht="116" x14ac:dyDescent="0.35">
      <c r="A462" s="14">
        <v>46022</v>
      </c>
      <c r="B462" s="10" t="s">
        <v>833</v>
      </c>
      <c r="C462" s="10" t="s">
        <v>834</v>
      </c>
      <c r="D462" s="10" t="s">
        <v>988</v>
      </c>
      <c r="E462" s="10">
        <v>4047416</v>
      </c>
      <c r="F462" s="15">
        <v>10</v>
      </c>
      <c r="G462" s="10" t="s">
        <v>1520</v>
      </c>
      <c r="H462" s="10">
        <v>4351226</v>
      </c>
      <c r="I462" s="10">
        <v>4358892</v>
      </c>
      <c r="J462" s="10" t="s">
        <v>1214</v>
      </c>
      <c r="K462" s="10" t="s">
        <v>1214</v>
      </c>
      <c r="L462" s="10" t="s">
        <v>1214</v>
      </c>
      <c r="M462" s="10" t="s">
        <v>1214</v>
      </c>
      <c r="N462" s="10" t="s">
        <v>111</v>
      </c>
      <c r="O462" s="10" t="s">
        <v>1214</v>
      </c>
      <c r="P462" s="10" t="s">
        <v>1214</v>
      </c>
      <c r="Q462" s="10" t="s">
        <v>1214</v>
      </c>
      <c r="R462" s="10" t="s">
        <v>1214</v>
      </c>
      <c r="S462" s="10" t="s">
        <v>1235</v>
      </c>
    </row>
    <row r="463" spans="1:19" ht="43.5" x14ac:dyDescent="0.35">
      <c r="A463" s="14">
        <v>46022</v>
      </c>
      <c r="B463" s="10" t="s">
        <v>509</v>
      </c>
      <c r="C463" s="10" t="s">
        <v>510</v>
      </c>
      <c r="D463" s="10" t="s">
        <v>1019</v>
      </c>
      <c r="E463" s="10">
        <v>10393182</v>
      </c>
      <c r="F463" s="15">
        <v>100</v>
      </c>
      <c r="G463" s="10" t="s">
        <v>1319</v>
      </c>
      <c r="H463" s="10">
        <v>10393182</v>
      </c>
      <c r="I463" s="10" t="s">
        <v>1194</v>
      </c>
      <c r="J463" s="10" t="s">
        <v>1214</v>
      </c>
      <c r="K463" s="10" t="s">
        <v>1214</v>
      </c>
      <c r="L463" s="10" t="s">
        <v>1214</v>
      </c>
      <c r="M463" s="10" t="s">
        <v>1214</v>
      </c>
      <c r="N463" s="10" t="s">
        <v>61</v>
      </c>
      <c r="O463" s="10" t="s">
        <v>1214</v>
      </c>
      <c r="P463" s="10" t="s">
        <v>1214</v>
      </c>
      <c r="Q463" s="10" t="s">
        <v>1214</v>
      </c>
      <c r="R463" s="10" t="s">
        <v>1214</v>
      </c>
      <c r="S463" s="10" t="s">
        <v>61</v>
      </c>
    </row>
    <row r="464" spans="1:19" ht="43.5" x14ac:dyDescent="0.35">
      <c r="A464" s="14">
        <v>46022</v>
      </c>
      <c r="B464" s="10" t="s">
        <v>521</v>
      </c>
      <c r="C464" s="10" t="s">
        <v>522</v>
      </c>
      <c r="D464" s="10" t="s">
        <v>1148</v>
      </c>
      <c r="E464" s="10">
        <v>10947964</v>
      </c>
      <c r="F464" s="15">
        <v>100</v>
      </c>
      <c r="G464" s="10" t="s">
        <v>1521</v>
      </c>
      <c r="H464" s="10">
        <v>10947964</v>
      </c>
      <c r="I464" s="10" t="s">
        <v>1194</v>
      </c>
      <c r="J464" s="10" t="s">
        <v>1214</v>
      </c>
      <c r="K464" s="10" t="s">
        <v>1214</v>
      </c>
      <c r="L464" s="10" t="s">
        <v>1214</v>
      </c>
      <c r="M464" s="10" t="s">
        <v>1214</v>
      </c>
      <c r="N464" s="10" t="s">
        <v>61</v>
      </c>
      <c r="O464" s="10" t="s">
        <v>1214</v>
      </c>
      <c r="P464" s="10" t="s">
        <v>1214</v>
      </c>
      <c r="Q464" s="10" t="s">
        <v>1214</v>
      </c>
      <c r="R464" s="10" t="s">
        <v>1214</v>
      </c>
      <c r="S464" s="10" t="s">
        <v>61</v>
      </c>
    </row>
    <row r="465" spans="1:19" ht="43.5" x14ac:dyDescent="0.35">
      <c r="A465" s="14">
        <v>46022</v>
      </c>
      <c r="B465" s="10" t="s">
        <v>523</v>
      </c>
      <c r="C465" s="10" t="s">
        <v>524</v>
      </c>
      <c r="D465" s="10" t="s">
        <v>1019</v>
      </c>
      <c r="E465" s="10">
        <v>10393182</v>
      </c>
      <c r="F465" s="15">
        <v>100</v>
      </c>
      <c r="G465" s="10" t="s">
        <v>1319</v>
      </c>
      <c r="H465" s="10">
        <v>10393182</v>
      </c>
      <c r="I465" s="10" t="s">
        <v>1194</v>
      </c>
      <c r="J465" s="10" t="s">
        <v>1214</v>
      </c>
      <c r="K465" s="10" t="s">
        <v>1214</v>
      </c>
      <c r="L465" s="10" t="s">
        <v>1214</v>
      </c>
      <c r="M465" s="10" t="s">
        <v>1214</v>
      </c>
      <c r="N465" s="10" t="s">
        <v>61</v>
      </c>
      <c r="O465" s="10" t="s">
        <v>1214</v>
      </c>
      <c r="P465" s="10" t="s">
        <v>1214</v>
      </c>
      <c r="Q465" s="10" t="s">
        <v>1214</v>
      </c>
      <c r="R465" s="10" t="s">
        <v>1214</v>
      </c>
      <c r="S465" s="10" t="s">
        <v>61</v>
      </c>
    </row>
    <row r="466" spans="1:19" ht="87" x14ac:dyDescent="0.35">
      <c r="A466" s="14">
        <v>46022</v>
      </c>
      <c r="B466" s="10" t="s">
        <v>525</v>
      </c>
      <c r="C466" s="10" t="s">
        <v>526</v>
      </c>
      <c r="D466" s="10" t="s">
        <v>1036</v>
      </c>
      <c r="E466" s="10">
        <v>4349131</v>
      </c>
      <c r="F466" s="15">
        <v>95.35</v>
      </c>
      <c r="G466" s="10" t="s">
        <v>1349</v>
      </c>
      <c r="H466" s="10">
        <v>4349131</v>
      </c>
      <c r="I466" s="10">
        <v>4400798</v>
      </c>
      <c r="J466" s="10" t="s">
        <v>1292</v>
      </c>
      <c r="K466" s="10" t="s">
        <v>61</v>
      </c>
      <c r="L466" s="10" t="s">
        <v>1350</v>
      </c>
      <c r="M466" s="10" t="s">
        <v>61</v>
      </c>
      <c r="N466" s="10" t="s">
        <v>1252</v>
      </c>
      <c r="O466" s="10" t="s">
        <v>1214</v>
      </c>
      <c r="P466" s="10" t="s">
        <v>1214</v>
      </c>
      <c r="Q466" s="10" t="s">
        <v>1214</v>
      </c>
      <c r="R466" s="10" t="s">
        <v>1214</v>
      </c>
      <c r="S466" s="10" t="s">
        <v>79</v>
      </c>
    </row>
    <row r="467" spans="1:19" ht="43.5" x14ac:dyDescent="0.35">
      <c r="A467" s="14">
        <v>46022</v>
      </c>
      <c r="B467" s="10" t="s">
        <v>527</v>
      </c>
      <c r="C467" s="10" t="s">
        <v>528</v>
      </c>
      <c r="D467" s="10" t="s">
        <v>1024</v>
      </c>
      <c r="E467" s="10">
        <v>4314727</v>
      </c>
      <c r="F467" s="15">
        <v>100</v>
      </c>
      <c r="G467" s="10" t="s">
        <v>1326</v>
      </c>
      <c r="H467" s="10">
        <v>4314727</v>
      </c>
      <c r="I467" s="10" t="s">
        <v>1194</v>
      </c>
      <c r="J467" s="10" t="s">
        <v>1214</v>
      </c>
      <c r="K467" s="10" t="s">
        <v>1214</v>
      </c>
      <c r="L467" s="10" t="s">
        <v>1214</v>
      </c>
      <c r="M467" s="10" t="s">
        <v>1214</v>
      </c>
      <c r="N467" s="10" t="s">
        <v>61</v>
      </c>
      <c r="O467" s="10" t="s">
        <v>1214</v>
      </c>
      <c r="P467" s="10" t="s">
        <v>1214</v>
      </c>
      <c r="Q467" s="10" t="s">
        <v>1214</v>
      </c>
      <c r="R467" s="10" t="s">
        <v>1214</v>
      </c>
      <c r="S467" s="10" t="s">
        <v>61</v>
      </c>
    </row>
    <row r="468" spans="1:19" ht="159.5" x14ac:dyDescent="0.35">
      <c r="A468" s="14">
        <v>46022</v>
      </c>
      <c r="B468" s="10" t="s">
        <v>511</v>
      </c>
      <c r="C468" s="10" t="s">
        <v>512</v>
      </c>
      <c r="D468" s="10" t="s">
        <v>1036</v>
      </c>
      <c r="E468" s="10">
        <v>4349131</v>
      </c>
      <c r="F468" s="15">
        <v>95.35</v>
      </c>
      <c r="G468" s="10" t="s">
        <v>1522</v>
      </c>
      <c r="H468" s="10">
        <v>4349131</v>
      </c>
      <c r="I468" s="10">
        <v>4349159</v>
      </c>
      <c r="J468" s="10" t="s">
        <v>1292</v>
      </c>
      <c r="K468" s="10" t="s">
        <v>61</v>
      </c>
      <c r="L468" s="10" t="s">
        <v>1350</v>
      </c>
      <c r="M468" s="10" t="s">
        <v>61</v>
      </c>
      <c r="N468" s="10" t="s">
        <v>1252</v>
      </c>
      <c r="O468" s="10" t="s">
        <v>1292</v>
      </c>
      <c r="P468" s="10" t="s">
        <v>61</v>
      </c>
      <c r="Q468" s="10" t="s">
        <v>1292</v>
      </c>
      <c r="R468" s="10" t="s">
        <v>61</v>
      </c>
      <c r="S468" s="10" t="s">
        <v>61</v>
      </c>
    </row>
    <row r="469" spans="1:19" ht="159.5" x14ac:dyDescent="0.35">
      <c r="A469" s="14">
        <v>46022</v>
      </c>
      <c r="B469" s="10" t="s">
        <v>511</v>
      </c>
      <c r="C469" s="10" t="s">
        <v>512</v>
      </c>
      <c r="D469" s="10" t="s">
        <v>1149</v>
      </c>
      <c r="E469" s="10">
        <v>4349159</v>
      </c>
      <c r="F469" s="15">
        <v>4.6500000000000004</v>
      </c>
      <c r="G469" s="10" t="s">
        <v>1522</v>
      </c>
      <c r="H469" s="10">
        <v>4349131</v>
      </c>
      <c r="I469" s="10">
        <v>4349159</v>
      </c>
      <c r="J469" s="10" t="s">
        <v>1292</v>
      </c>
      <c r="K469" s="10" t="s">
        <v>61</v>
      </c>
      <c r="L469" s="10" t="s">
        <v>1350</v>
      </c>
      <c r="M469" s="10" t="s">
        <v>61</v>
      </c>
      <c r="N469" s="10" t="s">
        <v>1252</v>
      </c>
      <c r="O469" s="10" t="s">
        <v>1292</v>
      </c>
      <c r="P469" s="10" t="s">
        <v>61</v>
      </c>
      <c r="Q469" s="10" t="s">
        <v>1292</v>
      </c>
      <c r="R469" s="10" t="s">
        <v>61</v>
      </c>
      <c r="S469" s="10" t="s">
        <v>61</v>
      </c>
    </row>
    <row r="470" spans="1:19" ht="43.5" x14ac:dyDescent="0.35">
      <c r="A470" s="14">
        <v>46022</v>
      </c>
      <c r="B470" s="10" t="s">
        <v>651</v>
      </c>
      <c r="C470" s="10" t="s">
        <v>652</v>
      </c>
      <c r="D470" s="10" t="s">
        <v>1150</v>
      </c>
      <c r="E470" s="10">
        <v>10929882</v>
      </c>
      <c r="F470" s="15">
        <v>100</v>
      </c>
      <c r="G470" s="10" t="s">
        <v>1523</v>
      </c>
      <c r="H470" s="10">
        <v>10929882</v>
      </c>
      <c r="I470" s="10" t="s">
        <v>1194</v>
      </c>
      <c r="J470" s="10" t="s">
        <v>1214</v>
      </c>
      <c r="K470" s="10" t="s">
        <v>1214</v>
      </c>
      <c r="L470" s="10" t="s">
        <v>1214</v>
      </c>
      <c r="M470" s="10" t="s">
        <v>1214</v>
      </c>
      <c r="N470" s="10" t="s">
        <v>61</v>
      </c>
      <c r="O470" s="10" t="s">
        <v>1214</v>
      </c>
      <c r="P470" s="10" t="s">
        <v>1214</v>
      </c>
      <c r="Q470" s="10" t="s">
        <v>1214</v>
      </c>
      <c r="R470" s="10" t="s">
        <v>1214</v>
      </c>
      <c r="S470" s="10" t="s">
        <v>61</v>
      </c>
    </row>
    <row r="471" spans="1:19" ht="29" x14ac:dyDescent="0.35">
      <c r="A471" s="14">
        <v>46022</v>
      </c>
      <c r="B471" s="10" t="s">
        <v>653</v>
      </c>
      <c r="C471" s="10" t="s">
        <v>654</v>
      </c>
      <c r="D471" s="10" t="s">
        <v>980</v>
      </c>
      <c r="E471" s="10">
        <v>4354459</v>
      </c>
      <c r="F471" s="15">
        <v>100</v>
      </c>
      <c r="G471" s="10" t="s">
        <v>1298</v>
      </c>
      <c r="H471" s="10">
        <v>4354459</v>
      </c>
      <c r="I471" s="10" t="s">
        <v>1194</v>
      </c>
      <c r="J471" s="10" t="s">
        <v>1267</v>
      </c>
      <c r="K471" s="10" t="s">
        <v>111</v>
      </c>
      <c r="L471" s="10" t="s">
        <v>1268</v>
      </c>
      <c r="M471" s="10" t="s">
        <v>79</v>
      </c>
      <c r="N471" s="10" t="s">
        <v>79</v>
      </c>
      <c r="O471" s="10" t="s">
        <v>1214</v>
      </c>
      <c r="P471" s="10" t="s">
        <v>1214</v>
      </c>
      <c r="Q471" s="10" t="s">
        <v>1214</v>
      </c>
      <c r="R471" s="10" t="s">
        <v>1214</v>
      </c>
      <c r="S471" s="10" t="s">
        <v>61</v>
      </c>
    </row>
    <row r="472" spans="1:19" ht="29" x14ac:dyDescent="0.35">
      <c r="A472" s="14">
        <v>46022</v>
      </c>
      <c r="B472" s="10" t="s">
        <v>655</v>
      </c>
      <c r="C472" s="10" t="s">
        <v>656</v>
      </c>
      <c r="D472" s="10" t="s">
        <v>980</v>
      </c>
      <c r="E472" s="10">
        <v>4354459</v>
      </c>
      <c r="F472" s="15">
        <v>100</v>
      </c>
      <c r="G472" s="10" t="s">
        <v>1298</v>
      </c>
      <c r="H472" s="10">
        <v>4354459</v>
      </c>
      <c r="I472" s="10" t="s">
        <v>1194</v>
      </c>
      <c r="J472" s="10" t="s">
        <v>1267</v>
      </c>
      <c r="K472" s="10" t="s">
        <v>111</v>
      </c>
      <c r="L472" s="10" t="s">
        <v>1268</v>
      </c>
      <c r="M472" s="10" t="s">
        <v>79</v>
      </c>
      <c r="N472" s="10" t="s">
        <v>79</v>
      </c>
      <c r="O472" s="10" t="s">
        <v>1214</v>
      </c>
      <c r="P472" s="10" t="s">
        <v>1214</v>
      </c>
      <c r="Q472" s="10" t="s">
        <v>1214</v>
      </c>
      <c r="R472" s="10" t="s">
        <v>1214</v>
      </c>
      <c r="S472" s="10" t="s">
        <v>61</v>
      </c>
    </row>
    <row r="473" spans="1:19" ht="72.5" x14ac:dyDescent="0.35">
      <c r="A473" s="14">
        <v>46022</v>
      </c>
      <c r="B473" s="10" t="s">
        <v>657</v>
      </c>
      <c r="C473" s="10" t="s">
        <v>658</v>
      </c>
      <c r="D473" s="10" t="s">
        <v>1151</v>
      </c>
      <c r="E473" s="10">
        <v>4199226</v>
      </c>
      <c r="F473" s="15">
        <v>100</v>
      </c>
      <c r="G473" s="10" t="s">
        <v>1524</v>
      </c>
      <c r="H473" s="10">
        <v>4199226</v>
      </c>
      <c r="I473" s="10" t="s">
        <v>1194</v>
      </c>
      <c r="J473" s="10" t="s">
        <v>1292</v>
      </c>
      <c r="K473" s="10" t="s">
        <v>61</v>
      </c>
      <c r="L473" s="10" t="s">
        <v>1525</v>
      </c>
      <c r="M473" s="10" t="s">
        <v>61</v>
      </c>
      <c r="N473" s="10" t="s">
        <v>61</v>
      </c>
      <c r="O473" s="10" t="s">
        <v>1214</v>
      </c>
      <c r="P473" s="10" t="s">
        <v>1214</v>
      </c>
      <c r="Q473" s="10" t="s">
        <v>1214</v>
      </c>
      <c r="R473" s="10" t="s">
        <v>1214</v>
      </c>
      <c r="S473" s="10" t="s">
        <v>61</v>
      </c>
    </row>
    <row r="474" spans="1:19" ht="29" x14ac:dyDescent="0.35">
      <c r="A474" s="14">
        <v>46022</v>
      </c>
      <c r="B474" s="10" t="s">
        <v>835</v>
      </c>
      <c r="C474" s="10" t="s">
        <v>836</v>
      </c>
      <c r="D474" s="10" t="s">
        <v>995</v>
      </c>
      <c r="E474" s="10">
        <v>4350215</v>
      </c>
      <c r="F474" s="15">
        <v>100</v>
      </c>
      <c r="G474" s="10" t="s">
        <v>1281</v>
      </c>
      <c r="H474" s="10">
        <v>4350215</v>
      </c>
      <c r="I474" s="10" t="s">
        <v>1194</v>
      </c>
      <c r="J474" s="10" t="s">
        <v>1214</v>
      </c>
      <c r="K474" s="10" t="s">
        <v>1214</v>
      </c>
      <c r="L474" s="10" t="s">
        <v>1214</v>
      </c>
      <c r="M474" s="10" t="s">
        <v>1214</v>
      </c>
      <c r="N474" s="10" t="s">
        <v>222</v>
      </c>
      <c r="O474" s="10" t="s">
        <v>1214</v>
      </c>
      <c r="P474" s="10" t="s">
        <v>1214</v>
      </c>
      <c r="Q474" s="10" t="s">
        <v>1214</v>
      </c>
      <c r="R474" s="10" t="s">
        <v>1214</v>
      </c>
      <c r="S474" s="10" t="s">
        <v>61</v>
      </c>
    </row>
    <row r="475" spans="1:19" ht="29" x14ac:dyDescent="0.35">
      <c r="A475" s="14">
        <v>46022</v>
      </c>
      <c r="B475" s="10" t="s">
        <v>545</v>
      </c>
      <c r="C475" s="10" t="s">
        <v>546</v>
      </c>
      <c r="D475" s="10" t="s">
        <v>1152</v>
      </c>
      <c r="E475" s="10">
        <v>4275208</v>
      </c>
      <c r="F475" s="15">
        <v>100</v>
      </c>
      <c r="G475" s="10" t="s">
        <v>1526</v>
      </c>
      <c r="H475" s="10">
        <v>4275208</v>
      </c>
      <c r="I475" s="10" t="s">
        <v>1194</v>
      </c>
      <c r="J475" s="10" t="s">
        <v>1214</v>
      </c>
      <c r="K475" s="10" t="s">
        <v>1214</v>
      </c>
      <c r="L475" s="10" t="s">
        <v>1214</v>
      </c>
      <c r="M475" s="10" t="s">
        <v>1214</v>
      </c>
      <c r="N475" s="10" t="s">
        <v>89</v>
      </c>
      <c r="O475" s="10" t="s">
        <v>1214</v>
      </c>
      <c r="P475" s="10" t="s">
        <v>1214</v>
      </c>
      <c r="Q475" s="10" t="s">
        <v>1214</v>
      </c>
      <c r="R475" s="10" t="s">
        <v>1214</v>
      </c>
      <c r="S475" s="10" t="s">
        <v>61</v>
      </c>
    </row>
    <row r="476" spans="1:19" ht="72.5" x14ac:dyDescent="0.35">
      <c r="A476" s="14">
        <v>46022</v>
      </c>
      <c r="B476" s="10" t="s">
        <v>547</v>
      </c>
      <c r="C476" s="10" t="s">
        <v>548</v>
      </c>
      <c r="D476" s="10" t="s">
        <v>1092</v>
      </c>
      <c r="E476" s="10">
        <v>4354011</v>
      </c>
      <c r="F476" s="15">
        <v>100</v>
      </c>
      <c r="G476" s="10" t="s">
        <v>1527</v>
      </c>
      <c r="H476" s="10">
        <v>4354011</v>
      </c>
      <c r="I476" s="10">
        <v>4567711</v>
      </c>
      <c r="J476" s="10" t="s">
        <v>1214</v>
      </c>
      <c r="K476" s="10" t="s">
        <v>1214</v>
      </c>
      <c r="L476" s="10" t="s">
        <v>1214</v>
      </c>
      <c r="M476" s="10" t="s">
        <v>1214</v>
      </c>
      <c r="N476" s="10" t="s">
        <v>89</v>
      </c>
      <c r="O476" s="10" t="s">
        <v>1214</v>
      </c>
      <c r="P476" s="10" t="s">
        <v>1214</v>
      </c>
      <c r="Q476" s="10" t="s">
        <v>1214</v>
      </c>
      <c r="R476" s="10" t="s">
        <v>1214</v>
      </c>
      <c r="S476" s="10" t="s">
        <v>1219</v>
      </c>
    </row>
    <row r="477" spans="1:19" ht="58" x14ac:dyDescent="0.35">
      <c r="A477" s="14">
        <v>46022</v>
      </c>
      <c r="B477" s="10" t="s">
        <v>659</v>
      </c>
      <c r="C477" s="10" t="s">
        <v>660</v>
      </c>
      <c r="D477" s="10" t="s">
        <v>991</v>
      </c>
      <c r="E477" s="10">
        <v>8252418</v>
      </c>
      <c r="F477" s="15">
        <v>99.6</v>
      </c>
      <c r="G477" s="10" t="s">
        <v>1276</v>
      </c>
      <c r="H477" s="10">
        <v>8252418</v>
      </c>
      <c r="I477" s="10">
        <v>4400798</v>
      </c>
      <c r="J477" s="10" t="s">
        <v>1214</v>
      </c>
      <c r="K477" s="10" t="s">
        <v>1214</v>
      </c>
      <c r="L477" s="10" t="s">
        <v>1214</v>
      </c>
      <c r="M477" s="10" t="s">
        <v>1214</v>
      </c>
      <c r="N477" s="10" t="s">
        <v>222</v>
      </c>
      <c r="O477" s="10" t="s">
        <v>1214</v>
      </c>
      <c r="P477" s="10" t="s">
        <v>1214</v>
      </c>
      <c r="Q477" s="10" t="s">
        <v>1214</v>
      </c>
      <c r="R477" s="10" t="s">
        <v>1214</v>
      </c>
      <c r="S477" s="10" t="s">
        <v>79</v>
      </c>
    </row>
    <row r="478" spans="1:19" ht="43.5" x14ac:dyDescent="0.35">
      <c r="A478" s="14">
        <v>46022</v>
      </c>
      <c r="B478" s="10" t="s">
        <v>837</v>
      </c>
      <c r="C478" s="10" t="s">
        <v>838</v>
      </c>
      <c r="D478" s="10" t="s">
        <v>1019</v>
      </c>
      <c r="E478" s="10">
        <v>10393182</v>
      </c>
      <c r="F478" s="15">
        <v>100</v>
      </c>
      <c r="G478" s="10" t="s">
        <v>1319</v>
      </c>
      <c r="H478" s="10">
        <v>10393182</v>
      </c>
      <c r="I478" s="10" t="s">
        <v>1194</v>
      </c>
      <c r="J478" s="10" t="s">
        <v>1214</v>
      </c>
      <c r="K478" s="10" t="s">
        <v>1214</v>
      </c>
      <c r="L478" s="10" t="s">
        <v>1214</v>
      </c>
      <c r="M478" s="10" t="s">
        <v>1214</v>
      </c>
      <c r="N478" s="10" t="s">
        <v>61</v>
      </c>
      <c r="O478" s="10" t="s">
        <v>1214</v>
      </c>
      <c r="P478" s="10" t="s">
        <v>1214</v>
      </c>
      <c r="Q478" s="10" t="s">
        <v>1214</v>
      </c>
      <c r="R478" s="10" t="s">
        <v>1214</v>
      </c>
      <c r="S478" s="10" t="s">
        <v>61</v>
      </c>
    </row>
    <row r="479" spans="1:19" ht="43.5" x14ac:dyDescent="0.35">
      <c r="A479" s="14">
        <v>46022</v>
      </c>
      <c r="B479" s="10" t="s">
        <v>661</v>
      </c>
      <c r="C479" s="10" t="s">
        <v>662</v>
      </c>
      <c r="D479" s="10" t="s">
        <v>1019</v>
      </c>
      <c r="E479" s="10">
        <v>10393182</v>
      </c>
      <c r="F479" s="15">
        <v>100</v>
      </c>
      <c r="G479" s="10" t="s">
        <v>1319</v>
      </c>
      <c r="H479" s="10">
        <v>10393182</v>
      </c>
      <c r="I479" s="10" t="s">
        <v>1194</v>
      </c>
      <c r="J479" s="10" t="s">
        <v>1214</v>
      </c>
      <c r="K479" s="10" t="s">
        <v>1214</v>
      </c>
      <c r="L479" s="10" t="s">
        <v>1214</v>
      </c>
      <c r="M479" s="10" t="s">
        <v>1214</v>
      </c>
      <c r="N479" s="10" t="s">
        <v>61</v>
      </c>
      <c r="O479" s="10" t="s">
        <v>1214</v>
      </c>
      <c r="P479" s="10" t="s">
        <v>1214</v>
      </c>
      <c r="Q479" s="10" t="s">
        <v>1214</v>
      </c>
      <c r="R479" s="10" t="s">
        <v>1214</v>
      </c>
      <c r="S479" s="10" t="s">
        <v>61</v>
      </c>
    </row>
    <row r="480" spans="1:19" ht="72.5" x14ac:dyDescent="0.35">
      <c r="A480" s="14">
        <v>46022</v>
      </c>
      <c r="B480" s="10" t="s">
        <v>663</v>
      </c>
      <c r="C480" s="10" t="s">
        <v>664</v>
      </c>
      <c r="D480" s="10" t="s">
        <v>1153</v>
      </c>
      <c r="E480" s="10">
        <v>4994804</v>
      </c>
      <c r="F480" s="15">
        <v>49</v>
      </c>
      <c r="G480" s="10" t="s">
        <v>1528</v>
      </c>
      <c r="H480" s="10">
        <v>4355551</v>
      </c>
      <c r="I480" s="10">
        <v>4994804</v>
      </c>
      <c r="J480" s="10" t="s">
        <v>1292</v>
      </c>
      <c r="K480" s="10" t="s">
        <v>61</v>
      </c>
      <c r="L480" s="10" t="s">
        <v>1315</v>
      </c>
      <c r="M480" s="10" t="s">
        <v>61</v>
      </c>
      <c r="N480" s="10" t="s">
        <v>61</v>
      </c>
      <c r="O480" s="10" t="s">
        <v>1214</v>
      </c>
      <c r="P480" s="10" t="s">
        <v>1214</v>
      </c>
      <c r="Q480" s="10" t="s">
        <v>1214</v>
      </c>
      <c r="R480" s="10" t="s">
        <v>1214</v>
      </c>
      <c r="S480" s="10" t="s">
        <v>61</v>
      </c>
    </row>
    <row r="481" spans="1:19" ht="72.5" x14ac:dyDescent="0.35">
      <c r="A481" s="14">
        <v>46022</v>
      </c>
      <c r="B481" s="10" t="s">
        <v>663</v>
      </c>
      <c r="C481" s="10" t="s">
        <v>664</v>
      </c>
      <c r="D481" s="10" t="s">
        <v>1014</v>
      </c>
      <c r="E481" s="10">
        <v>4355551</v>
      </c>
      <c r="F481" s="15">
        <v>51</v>
      </c>
      <c r="G481" s="10" t="s">
        <v>1528</v>
      </c>
      <c r="H481" s="10">
        <v>4355551</v>
      </c>
      <c r="I481" s="10">
        <v>4994804</v>
      </c>
      <c r="J481" s="10" t="s">
        <v>1292</v>
      </c>
      <c r="K481" s="10" t="s">
        <v>61</v>
      </c>
      <c r="L481" s="10" t="s">
        <v>1315</v>
      </c>
      <c r="M481" s="10" t="s">
        <v>61</v>
      </c>
      <c r="N481" s="10" t="s">
        <v>61</v>
      </c>
      <c r="O481" s="10" t="s">
        <v>1214</v>
      </c>
      <c r="P481" s="10" t="s">
        <v>1214</v>
      </c>
      <c r="Q481" s="10" t="s">
        <v>1214</v>
      </c>
      <c r="R481" s="10" t="s">
        <v>1214</v>
      </c>
      <c r="S481" s="10" t="s">
        <v>61</v>
      </c>
    </row>
    <row r="482" spans="1:19" ht="87" x14ac:dyDescent="0.35">
      <c r="A482" s="14">
        <v>46022</v>
      </c>
      <c r="B482" s="10" t="s">
        <v>839</v>
      </c>
      <c r="C482" s="10" t="s">
        <v>840</v>
      </c>
      <c r="D482" s="10" t="s">
        <v>1098</v>
      </c>
      <c r="E482" s="10">
        <v>4188197</v>
      </c>
      <c r="F482" s="15">
        <v>54</v>
      </c>
      <c r="G482" s="10" t="s">
        <v>1529</v>
      </c>
      <c r="H482" s="10">
        <v>4188197</v>
      </c>
      <c r="I482" s="10">
        <v>4351190</v>
      </c>
      <c r="J482" s="10" t="s">
        <v>1214</v>
      </c>
      <c r="K482" s="10" t="s">
        <v>1214</v>
      </c>
      <c r="L482" s="10" t="s">
        <v>1214</v>
      </c>
      <c r="M482" s="10" t="s">
        <v>1214</v>
      </c>
      <c r="N482" s="10" t="s">
        <v>105</v>
      </c>
      <c r="O482" s="10" t="s">
        <v>1214</v>
      </c>
      <c r="P482" s="10" t="s">
        <v>1214</v>
      </c>
      <c r="Q482" s="10" t="s">
        <v>1214</v>
      </c>
      <c r="R482" s="10" t="s">
        <v>1214</v>
      </c>
      <c r="S482" s="10" t="s">
        <v>105</v>
      </c>
    </row>
    <row r="483" spans="1:19" ht="87" x14ac:dyDescent="0.35">
      <c r="A483" s="14">
        <v>46022</v>
      </c>
      <c r="B483" s="10" t="s">
        <v>839</v>
      </c>
      <c r="C483" s="10" t="s">
        <v>840</v>
      </c>
      <c r="D483" s="10" t="s">
        <v>1053</v>
      </c>
      <c r="E483" s="10">
        <v>4351190</v>
      </c>
      <c r="F483" s="15">
        <v>46</v>
      </c>
      <c r="G483" s="10" t="s">
        <v>1529</v>
      </c>
      <c r="H483" s="10">
        <v>4188197</v>
      </c>
      <c r="I483" s="10">
        <v>4351190</v>
      </c>
      <c r="J483" s="10" t="s">
        <v>1214</v>
      </c>
      <c r="K483" s="10" t="s">
        <v>1214</v>
      </c>
      <c r="L483" s="10" t="s">
        <v>1214</v>
      </c>
      <c r="M483" s="10" t="s">
        <v>1214</v>
      </c>
      <c r="N483" s="10" t="s">
        <v>105</v>
      </c>
      <c r="O483" s="10" t="s">
        <v>1214</v>
      </c>
      <c r="P483" s="10" t="s">
        <v>1214</v>
      </c>
      <c r="Q483" s="10" t="s">
        <v>1214</v>
      </c>
      <c r="R483" s="10" t="s">
        <v>1214</v>
      </c>
      <c r="S483" s="10" t="s">
        <v>105</v>
      </c>
    </row>
    <row r="484" spans="1:19" ht="29" x14ac:dyDescent="0.35">
      <c r="A484" s="14">
        <v>46022</v>
      </c>
      <c r="B484" s="10" t="s">
        <v>513</v>
      </c>
      <c r="C484" s="10" t="s">
        <v>514</v>
      </c>
      <c r="D484" s="10" t="s">
        <v>963</v>
      </c>
      <c r="E484" s="10">
        <v>4004107</v>
      </c>
      <c r="F484" s="15">
        <v>100</v>
      </c>
      <c r="G484" s="10" t="s">
        <v>1245</v>
      </c>
      <c r="H484" s="10">
        <v>4004107</v>
      </c>
      <c r="I484" s="10" t="s">
        <v>1194</v>
      </c>
      <c r="J484" s="10" t="s">
        <v>1214</v>
      </c>
      <c r="K484" s="10" t="s">
        <v>1214</v>
      </c>
      <c r="L484" s="10" t="s">
        <v>1214</v>
      </c>
      <c r="M484" s="10" t="s">
        <v>1214</v>
      </c>
      <c r="N484" s="10" t="s">
        <v>79</v>
      </c>
      <c r="O484" s="10" t="s">
        <v>1214</v>
      </c>
      <c r="P484" s="10" t="s">
        <v>1214</v>
      </c>
      <c r="Q484" s="10" t="s">
        <v>1214</v>
      </c>
      <c r="R484" s="10" t="s">
        <v>1214</v>
      </c>
      <c r="S484" s="10" t="s">
        <v>61</v>
      </c>
    </row>
    <row r="485" spans="1:19" ht="43.5" x14ac:dyDescent="0.35">
      <c r="A485" s="14">
        <v>46022</v>
      </c>
      <c r="B485" s="10" t="s">
        <v>549</v>
      </c>
      <c r="C485" s="10" t="s">
        <v>550</v>
      </c>
      <c r="D485" s="10" t="s">
        <v>968</v>
      </c>
      <c r="E485" s="10">
        <v>4355114</v>
      </c>
      <c r="F485" s="15">
        <v>100</v>
      </c>
      <c r="G485" s="10" t="s">
        <v>1354</v>
      </c>
      <c r="H485" s="10">
        <v>4355114</v>
      </c>
      <c r="I485" s="10" t="s">
        <v>1194</v>
      </c>
      <c r="J485" s="10" t="s">
        <v>1251</v>
      </c>
      <c r="K485" s="10" t="s">
        <v>1252</v>
      </c>
      <c r="L485" s="10" t="s">
        <v>1253</v>
      </c>
      <c r="M485" s="10" t="s">
        <v>1254</v>
      </c>
      <c r="N485" s="10" t="s">
        <v>86</v>
      </c>
      <c r="O485" s="10" t="s">
        <v>1214</v>
      </c>
      <c r="P485" s="10" t="s">
        <v>1214</v>
      </c>
      <c r="Q485" s="10" t="s">
        <v>1214</v>
      </c>
      <c r="R485" s="10" t="s">
        <v>1214</v>
      </c>
      <c r="S485" s="10" t="s">
        <v>61</v>
      </c>
    </row>
    <row r="486" spans="1:19" ht="72.5" x14ac:dyDescent="0.35">
      <c r="A486" s="14">
        <v>46022</v>
      </c>
      <c r="B486" s="10" t="s">
        <v>529</v>
      </c>
      <c r="C486" s="10" t="s">
        <v>530</v>
      </c>
      <c r="D486" s="10" t="s">
        <v>1154</v>
      </c>
      <c r="E486" s="10">
        <v>4348411</v>
      </c>
      <c r="F486" s="15">
        <v>15</v>
      </c>
      <c r="G486" s="10" t="s">
        <v>1530</v>
      </c>
      <c r="H486" s="10">
        <v>4379793</v>
      </c>
      <c r="I486" s="10">
        <v>4348411</v>
      </c>
      <c r="J486" s="10" t="s">
        <v>1214</v>
      </c>
      <c r="K486" s="10" t="s">
        <v>1214</v>
      </c>
      <c r="L486" s="10" t="s">
        <v>1214</v>
      </c>
      <c r="M486" s="10" t="s">
        <v>1214</v>
      </c>
      <c r="N486" s="10" t="s">
        <v>105</v>
      </c>
      <c r="O486" s="10" t="s">
        <v>1214</v>
      </c>
      <c r="P486" s="10" t="s">
        <v>1214</v>
      </c>
      <c r="Q486" s="10" t="s">
        <v>1214</v>
      </c>
      <c r="R486" s="10" t="s">
        <v>1214</v>
      </c>
      <c r="S486" s="10" t="s">
        <v>105</v>
      </c>
    </row>
    <row r="487" spans="1:19" ht="72.5" x14ac:dyDescent="0.35">
      <c r="A487" s="14">
        <v>46022</v>
      </c>
      <c r="B487" s="10" t="s">
        <v>529</v>
      </c>
      <c r="C487" s="10" t="s">
        <v>530</v>
      </c>
      <c r="D487" s="10" t="s">
        <v>1155</v>
      </c>
      <c r="E487" s="10">
        <v>4379793</v>
      </c>
      <c r="F487" s="15">
        <v>85</v>
      </c>
      <c r="G487" s="10" t="s">
        <v>1530</v>
      </c>
      <c r="H487" s="10">
        <v>4379793</v>
      </c>
      <c r="I487" s="10">
        <v>4348411</v>
      </c>
      <c r="J487" s="10" t="s">
        <v>1214</v>
      </c>
      <c r="K487" s="10" t="s">
        <v>1214</v>
      </c>
      <c r="L487" s="10" t="s">
        <v>1214</v>
      </c>
      <c r="M487" s="10" t="s">
        <v>1214</v>
      </c>
      <c r="N487" s="10" t="s">
        <v>105</v>
      </c>
      <c r="O487" s="10" t="s">
        <v>1214</v>
      </c>
      <c r="P487" s="10" t="s">
        <v>1214</v>
      </c>
      <c r="Q487" s="10" t="s">
        <v>1214</v>
      </c>
      <c r="R487" s="10" t="s">
        <v>1214</v>
      </c>
      <c r="S487" s="10" t="s">
        <v>105</v>
      </c>
    </row>
    <row r="488" spans="1:19" ht="29" x14ac:dyDescent="0.35">
      <c r="A488" s="14">
        <v>46022</v>
      </c>
      <c r="B488" s="10" t="s">
        <v>531</v>
      </c>
      <c r="C488" s="10" t="s">
        <v>532</v>
      </c>
      <c r="D488" s="10" t="s">
        <v>943</v>
      </c>
      <c r="E488" s="10">
        <v>4348055</v>
      </c>
      <c r="F488" s="15">
        <v>100</v>
      </c>
      <c r="G488" s="10" t="s">
        <v>1223</v>
      </c>
      <c r="H488" s="10">
        <v>4348055</v>
      </c>
      <c r="I488" s="10" t="s">
        <v>1194</v>
      </c>
      <c r="J488" s="10" t="s">
        <v>1214</v>
      </c>
      <c r="K488" s="10" t="s">
        <v>1214</v>
      </c>
      <c r="L488" s="10" t="s">
        <v>1214</v>
      </c>
      <c r="M488" s="10" t="s">
        <v>1214</v>
      </c>
      <c r="N488" s="10" t="s">
        <v>105</v>
      </c>
      <c r="O488" s="10" t="s">
        <v>1214</v>
      </c>
      <c r="P488" s="10" t="s">
        <v>1214</v>
      </c>
      <c r="Q488" s="10" t="s">
        <v>1214</v>
      </c>
      <c r="R488" s="10" t="s">
        <v>1214</v>
      </c>
      <c r="S488" s="10" t="s">
        <v>61</v>
      </c>
    </row>
    <row r="489" spans="1:19" ht="29" x14ac:dyDescent="0.35">
      <c r="A489" s="14">
        <v>46022</v>
      </c>
      <c r="B489" s="10" t="s">
        <v>1156</v>
      </c>
      <c r="C489" s="10" t="s">
        <v>1157</v>
      </c>
      <c r="D489" s="10" t="s">
        <v>1003</v>
      </c>
      <c r="E489" s="10">
        <v>4349826</v>
      </c>
      <c r="F489" s="15">
        <v>100</v>
      </c>
      <c r="G489" s="10" t="s">
        <v>1299</v>
      </c>
      <c r="H489" s="10">
        <v>4349826</v>
      </c>
      <c r="I489" s="10" t="s">
        <v>1194</v>
      </c>
      <c r="J489" s="10" t="s">
        <v>1214</v>
      </c>
      <c r="K489" s="10" t="s">
        <v>1214</v>
      </c>
      <c r="L489" s="10" t="s">
        <v>1214</v>
      </c>
      <c r="M489" s="10" t="s">
        <v>1214</v>
      </c>
      <c r="N489" s="10" t="s">
        <v>222</v>
      </c>
      <c r="O489" s="10" t="s">
        <v>1214</v>
      </c>
      <c r="P489" s="10" t="s">
        <v>1214</v>
      </c>
      <c r="Q489" s="10" t="s">
        <v>1214</v>
      </c>
      <c r="R489" s="10" t="s">
        <v>1214</v>
      </c>
      <c r="S489" s="10" t="s">
        <v>61</v>
      </c>
    </row>
    <row r="490" spans="1:19" ht="29" x14ac:dyDescent="0.35">
      <c r="A490" s="14">
        <v>46022</v>
      </c>
      <c r="B490" s="10" t="s">
        <v>841</v>
      </c>
      <c r="C490" s="10" t="s">
        <v>842</v>
      </c>
      <c r="D490" s="10" t="s">
        <v>1158</v>
      </c>
      <c r="E490" s="10">
        <v>4353406</v>
      </c>
      <c r="F490" s="15">
        <v>100</v>
      </c>
      <c r="G490" s="10" t="s">
        <v>1531</v>
      </c>
      <c r="H490" s="10">
        <v>4353406</v>
      </c>
      <c r="I490" s="10" t="s">
        <v>1194</v>
      </c>
      <c r="J490" s="10" t="s">
        <v>1214</v>
      </c>
      <c r="K490" s="10" t="s">
        <v>1214</v>
      </c>
      <c r="L490" s="10" t="s">
        <v>1214</v>
      </c>
      <c r="M490" s="10" t="s">
        <v>1214</v>
      </c>
      <c r="N490" s="10" t="s">
        <v>69</v>
      </c>
      <c r="O490" s="10" t="s">
        <v>1214</v>
      </c>
      <c r="P490" s="10" t="s">
        <v>1214</v>
      </c>
      <c r="Q490" s="10" t="s">
        <v>1214</v>
      </c>
      <c r="R490" s="10" t="s">
        <v>1214</v>
      </c>
      <c r="S490" s="10" t="s">
        <v>61</v>
      </c>
    </row>
    <row r="491" spans="1:19" ht="29" x14ac:dyDescent="0.35">
      <c r="A491" s="14">
        <v>46022</v>
      </c>
      <c r="B491" s="10" t="s">
        <v>843</v>
      </c>
      <c r="C491" s="10" t="s">
        <v>844</v>
      </c>
      <c r="D491" s="10" t="s">
        <v>990</v>
      </c>
      <c r="E491" s="10">
        <v>4351226</v>
      </c>
      <c r="F491" s="15">
        <v>100</v>
      </c>
      <c r="G491" s="10" t="s">
        <v>1275</v>
      </c>
      <c r="H491" s="10">
        <v>4351226</v>
      </c>
      <c r="I491" s="10" t="s">
        <v>1194</v>
      </c>
      <c r="J491" s="10" t="s">
        <v>1214</v>
      </c>
      <c r="K491" s="10" t="s">
        <v>1214</v>
      </c>
      <c r="L491" s="10" t="s">
        <v>1214</v>
      </c>
      <c r="M491" s="10" t="s">
        <v>1214</v>
      </c>
      <c r="N491" s="10" t="s">
        <v>111</v>
      </c>
      <c r="O491" s="10" t="s">
        <v>1214</v>
      </c>
      <c r="P491" s="10" t="s">
        <v>1214</v>
      </c>
      <c r="Q491" s="10" t="s">
        <v>1214</v>
      </c>
      <c r="R491" s="10" t="s">
        <v>1214</v>
      </c>
      <c r="S491" s="10" t="s">
        <v>61</v>
      </c>
    </row>
    <row r="492" spans="1:19" x14ac:dyDescent="0.35">
      <c r="A492" s="14">
        <v>46022</v>
      </c>
      <c r="B492" s="10" t="s">
        <v>551</v>
      </c>
      <c r="C492" s="10" t="s">
        <v>552</v>
      </c>
      <c r="D492" s="10" t="s">
        <v>1090</v>
      </c>
      <c r="E492" s="10">
        <v>4223919</v>
      </c>
      <c r="F492" s="15">
        <v>100</v>
      </c>
      <c r="G492" s="10" t="s">
        <v>1427</v>
      </c>
      <c r="H492" s="10">
        <v>4223919</v>
      </c>
      <c r="I492" s="10" t="s">
        <v>1194</v>
      </c>
      <c r="J492" s="10" t="s">
        <v>1214</v>
      </c>
      <c r="K492" s="10" t="s">
        <v>1214</v>
      </c>
      <c r="L492" s="10" t="s">
        <v>1214</v>
      </c>
      <c r="M492" s="10" t="s">
        <v>1214</v>
      </c>
      <c r="N492" s="10" t="s">
        <v>55</v>
      </c>
      <c r="O492" s="10" t="s">
        <v>1214</v>
      </c>
      <c r="P492" s="10" t="s">
        <v>1214</v>
      </c>
      <c r="Q492" s="10" t="s">
        <v>1214</v>
      </c>
      <c r="R492" s="10" t="s">
        <v>1214</v>
      </c>
      <c r="S492" s="10" t="s">
        <v>61</v>
      </c>
    </row>
    <row r="493" spans="1:19" ht="203" x14ac:dyDescent="0.35">
      <c r="A493" s="14">
        <v>46022</v>
      </c>
      <c r="B493" s="10" t="s">
        <v>665</v>
      </c>
      <c r="C493" s="10" t="s">
        <v>666</v>
      </c>
      <c r="D493" s="10" t="s">
        <v>1159</v>
      </c>
      <c r="E493" s="10">
        <v>4361081</v>
      </c>
      <c r="F493" s="15">
        <v>100</v>
      </c>
      <c r="G493" s="10" t="s">
        <v>1532</v>
      </c>
      <c r="H493" s="10">
        <v>4361081</v>
      </c>
      <c r="I493" s="10">
        <v>4348524</v>
      </c>
      <c r="J493" s="10" t="s">
        <v>1214</v>
      </c>
      <c r="K493" s="10" t="s">
        <v>1214</v>
      </c>
      <c r="L493" s="10" t="s">
        <v>1214</v>
      </c>
      <c r="M493" s="10" t="s">
        <v>1214</v>
      </c>
      <c r="N493" s="10" t="s">
        <v>61</v>
      </c>
      <c r="O493" s="10" t="s">
        <v>1533</v>
      </c>
      <c r="P493" s="10" t="s">
        <v>1533</v>
      </c>
      <c r="Q493" s="10" t="s">
        <v>1533</v>
      </c>
      <c r="R493" s="10" t="s">
        <v>1533</v>
      </c>
      <c r="S493" s="10" t="s">
        <v>1533</v>
      </c>
    </row>
    <row r="494" spans="1:19" ht="72.5" x14ac:dyDescent="0.35">
      <c r="A494" s="14">
        <v>46022</v>
      </c>
      <c r="B494" s="10" t="s">
        <v>845</v>
      </c>
      <c r="C494" s="10" t="s">
        <v>846</v>
      </c>
      <c r="D494" s="10" t="s">
        <v>1160</v>
      </c>
      <c r="E494" s="10">
        <v>4513816</v>
      </c>
      <c r="F494" s="15">
        <v>100</v>
      </c>
      <c r="G494" s="10" t="s">
        <v>1534</v>
      </c>
      <c r="H494" s="10">
        <v>4513816</v>
      </c>
      <c r="I494" s="10" t="s">
        <v>1194</v>
      </c>
      <c r="J494" s="10" t="s">
        <v>1535</v>
      </c>
      <c r="K494" s="10" t="s">
        <v>61</v>
      </c>
      <c r="L494" s="10" t="s">
        <v>1536</v>
      </c>
      <c r="M494" s="10" t="s">
        <v>61</v>
      </c>
      <c r="N494" s="10" t="s">
        <v>61</v>
      </c>
      <c r="O494" s="10" t="s">
        <v>1214</v>
      </c>
      <c r="P494" s="10" t="s">
        <v>1214</v>
      </c>
      <c r="Q494" s="10" t="s">
        <v>1214</v>
      </c>
      <c r="R494" s="10" t="s">
        <v>1214</v>
      </c>
      <c r="S494" s="10" t="s">
        <v>61</v>
      </c>
    </row>
    <row r="495" spans="1:19" ht="29" x14ac:dyDescent="0.35">
      <c r="A495" s="14">
        <v>46022</v>
      </c>
      <c r="B495" s="10" t="s">
        <v>553</v>
      </c>
      <c r="C495" s="10" t="s">
        <v>554</v>
      </c>
      <c r="D495" s="10" t="s">
        <v>1077</v>
      </c>
      <c r="E495" s="10">
        <v>4379789</v>
      </c>
      <c r="F495" s="15">
        <v>100</v>
      </c>
      <c r="G495" s="10" t="s">
        <v>1407</v>
      </c>
      <c r="H495" s="10">
        <v>4379789</v>
      </c>
      <c r="I495" s="10" t="s">
        <v>1194</v>
      </c>
      <c r="J495" s="10" t="s">
        <v>1214</v>
      </c>
      <c r="K495" s="10" t="s">
        <v>1214</v>
      </c>
      <c r="L495" s="10" t="s">
        <v>1214</v>
      </c>
      <c r="M495" s="10" t="s">
        <v>1214</v>
      </c>
      <c r="N495" s="10" t="s">
        <v>105</v>
      </c>
      <c r="O495" s="10" t="s">
        <v>1214</v>
      </c>
      <c r="P495" s="10" t="s">
        <v>1214</v>
      </c>
      <c r="Q495" s="10" t="s">
        <v>1214</v>
      </c>
      <c r="R495" s="10" t="s">
        <v>1214</v>
      </c>
      <c r="S495" s="10" t="s">
        <v>61</v>
      </c>
    </row>
    <row r="496" spans="1:19" ht="87" x14ac:dyDescent="0.35">
      <c r="A496" s="14">
        <v>46022</v>
      </c>
      <c r="B496" s="10" t="s">
        <v>534</v>
      </c>
      <c r="C496" s="10" t="s">
        <v>535</v>
      </c>
      <c r="D496" s="10" t="s">
        <v>1161</v>
      </c>
      <c r="E496" s="10">
        <v>4498058</v>
      </c>
      <c r="F496" s="15">
        <v>0.01</v>
      </c>
      <c r="G496" s="10" t="s">
        <v>1537</v>
      </c>
      <c r="H496" s="10">
        <v>4602189</v>
      </c>
      <c r="I496" s="10">
        <v>4498058</v>
      </c>
      <c r="J496" s="10" t="s">
        <v>1214</v>
      </c>
      <c r="K496" s="10" t="s">
        <v>1214</v>
      </c>
      <c r="L496" s="10" t="s">
        <v>1214</v>
      </c>
      <c r="M496" s="10" t="s">
        <v>1214</v>
      </c>
      <c r="N496" s="10" t="s">
        <v>536</v>
      </c>
      <c r="O496" s="10" t="s">
        <v>1538</v>
      </c>
      <c r="P496" s="10" t="s">
        <v>1539</v>
      </c>
      <c r="Q496" s="10" t="s">
        <v>1538</v>
      </c>
      <c r="R496" s="10" t="s">
        <v>1539</v>
      </c>
      <c r="S496" s="10" t="s">
        <v>1539</v>
      </c>
    </row>
    <row r="497" spans="1:19" ht="87" x14ac:dyDescent="0.35">
      <c r="A497" s="14">
        <v>46022</v>
      </c>
      <c r="B497" s="10" t="s">
        <v>534</v>
      </c>
      <c r="C497" s="10" t="s">
        <v>535</v>
      </c>
      <c r="D497" s="10" t="s">
        <v>1162</v>
      </c>
      <c r="E497" s="10">
        <v>4602189</v>
      </c>
      <c r="F497" s="15">
        <v>99.99</v>
      </c>
      <c r="G497" s="10" t="s">
        <v>1537</v>
      </c>
      <c r="H497" s="10">
        <v>4602189</v>
      </c>
      <c r="I497" s="10">
        <v>4498058</v>
      </c>
      <c r="J497" s="10" t="s">
        <v>1214</v>
      </c>
      <c r="K497" s="10" t="s">
        <v>1214</v>
      </c>
      <c r="L497" s="10" t="s">
        <v>1214</v>
      </c>
      <c r="M497" s="10" t="s">
        <v>1214</v>
      </c>
      <c r="N497" s="10" t="s">
        <v>536</v>
      </c>
      <c r="O497" s="10" t="s">
        <v>1538</v>
      </c>
      <c r="P497" s="10" t="s">
        <v>1539</v>
      </c>
      <c r="Q497" s="10" t="s">
        <v>1538</v>
      </c>
      <c r="R497" s="10" t="s">
        <v>1539</v>
      </c>
      <c r="S497" s="10" t="s">
        <v>1539</v>
      </c>
    </row>
    <row r="498" spans="1:19" ht="58" x14ac:dyDescent="0.35">
      <c r="A498" s="14">
        <v>46022</v>
      </c>
      <c r="B498" s="10" t="s">
        <v>537</v>
      </c>
      <c r="C498" s="10" t="s">
        <v>538</v>
      </c>
      <c r="D498" s="10" t="s">
        <v>1163</v>
      </c>
      <c r="E498" s="10">
        <v>4355196</v>
      </c>
      <c r="F498" s="15">
        <v>100</v>
      </c>
      <c r="G498" s="10" t="s">
        <v>1540</v>
      </c>
      <c r="H498" s="10">
        <v>4355196</v>
      </c>
      <c r="I498" s="10">
        <v>6356830</v>
      </c>
      <c r="J498" s="10" t="s">
        <v>1214</v>
      </c>
      <c r="K498" s="10" t="s">
        <v>1214</v>
      </c>
      <c r="L498" s="10" t="s">
        <v>1214</v>
      </c>
      <c r="M498" s="10" t="s">
        <v>1214</v>
      </c>
      <c r="N498" s="10" t="s">
        <v>89</v>
      </c>
      <c r="O498" s="10" t="s">
        <v>1214</v>
      </c>
      <c r="P498" s="10" t="s">
        <v>1214</v>
      </c>
      <c r="Q498" s="10" t="s">
        <v>1214</v>
      </c>
      <c r="R498" s="10" t="s">
        <v>1214</v>
      </c>
      <c r="S498" s="10" t="s">
        <v>89</v>
      </c>
    </row>
    <row r="499" spans="1:19" ht="159.5" x14ac:dyDescent="0.35">
      <c r="A499" s="14">
        <v>46022</v>
      </c>
      <c r="B499" s="10" t="s">
        <v>555</v>
      </c>
      <c r="C499" s="10" t="s">
        <v>556</v>
      </c>
      <c r="D499" s="10" t="s">
        <v>1164</v>
      </c>
      <c r="E499" s="10">
        <v>4349151</v>
      </c>
      <c r="F499" s="15">
        <v>10</v>
      </c>
      <c r="G499" s="10" t="s">
        <v>1541</v>
      </c>
      <c r="H499" s="10">
        <v>4355632</v>
      </c>
      <c r="I499" s="10">
        <v>4349151</v>
      </c>
      <c r="J499" s="10" t="s">
        <v>1292</v>
      </c>
      <c r="K499" s="10" t="s">
        <v>61</v>
      </c>
      <c r="L499" s="10" t="s">
        <v>1378</v>
      </c>
      <c r="M499" s="10" t="s">
        <v>61</v>
      </c>
      <c r="N499" s="10" t="s">
        <v>61</v>
      </c>
      <c r="O499" s="10" t="s">
        <v>1292</v>
      </c>
      <c r="P499" s="10" t="s">
        <v>61</v>
      </c>
      <c r="Q499" s="10" t="s">
        <v>1292</v>
      </c>
      <c r="R499" s="10" t="s">
        <v>61</v>
      </c>
      <c r="S499" s="10" t="s">
        <v>61</v>
      </c>
    </row>
    <row r="500" spans="1:19" ht="159.5" x14ac:dyDescent="0.35">
      <c r="A500" s="14">
        <v>46022</v>
      </c>
      <c r="B500" s="10" t="s">
        <v>555</v>
      </c>
      <c r="C500" s="10" t="s">
        <v>556</v>
      </c>
      <c r="D500" s="10" t="s">
        <v>1056</v>
      </c>
      <c r="E500" s="10">
        <v>4355632</v>
      </c>
      <c r="F500" s="15">
        <v>90</v>
      </c>
      <c r="G500" s="10" t="s">
        <v>1541</v>
      </c>
      <c r="H500" s="10">
        <v>4355632</v>
      </c>
      <c r="I500" s="10">
        <v>4349151</v>
      </c>
      <c r="J500" s="10" t="s">
        <v>1292</v>
      </c>
      <c r="K500" s="10" t="s">
        <v>61</v>
      </c>
      <c r="L500" s="10" t="s">
        <v>1378</v>
      </c>
      <c r="M500" s="10" t="s">
        <v>61</v>
      </c>
      <c r="N500" s="10" t="s">
        <v>61</v>
      </c>
      <c r="O500" s="10" t="s">
        <v>1292</v>
      </c>
      <c r="P500" s="10" t="s">
        <v>61</v>
      </c>
      <c r="Q500" s="10" t="s">
        <v>1292</v>
      </c>
      <c r="R500" s="10" t="s">
        <v>61</v>
      </c>
      <c r="S500" s="10" t="s">
        <v>61</v>
      </c>
    </row>
    <row r="501" spans="1:19" ht="72.5" x14ac:dyDescent="0.35">
      <c r="A501" s="14">
        <v>46022</v>
      </c>
      <c r="B501" s="10" t="s">
        <v>847</v>
      </c>
      <c r="C501" s="10" t="s">
        <v>848</v>
      </c>
      <c r="D501" s="10" t="s">
        <v>1004</v>
      </c>
      <c r="E501" s="10">
        <v>4351423</v>
      </c>
      <c r="F501" s="15">
        <v>100</v>
      </c>
      <c r="G501" s="10" t="s">
        <v>1300</v>
      </c>
      <c r="H501" s="10">
        <v>4351423</v>
      </c>
      <c r="I501" s="10" t="s">
        <v>1194</v>
      </c>
      <c r="J501" s="10" t="s">
        <v>1301</v>
      </c>
      <c r="K501" s="10" t="s">
        <v>61</v>
      </c>
      <c r="L501" s="10" t="s">
        <v>1302</v>
      </c>
      <c r="M501" s="10" t="s">
        <v>61</v>
      </c>
      <c r="N501" s="10" t="s">
        <v>61</v>
      </c>
      <c r="O501" s="10" t="s">
        <v>1214</v>
      </c>
      <c r="P501" s="10" t="s">
        <v>1214</v>
      </c>
      <c r="Q501" s="10" t="s">
        <v>1214</v>
      </c>
      <c r="R501" s="10" t="s">
        <v>1214</v>
      </c>
      <c r="S501" s="10" t="s">
        <v>61</v>
      </c>
    </row>
    <row r="502" spans="1:19" ht="58" x14ac:dyDescent="0.35">
      <c r="A502" s="14">
        <v>46022</v>
      </c>
      <c r="B502" s="10" t="s">
        <v>557</v>
      </c>
      <c r="C502" s="10" t="s">
        <v>558</v>
      </c>
      <c r="D502" s="10" t="s">
        <v>1165</v>
      </c>
      <c r="E502" s="10">
        <v>10931162</v>
      </c>
      <c r="F502" s="15">
        <v>100</v>
      </c>
      <c r="G502" s="10" t="s">
        <v>1542</v>
      </c>
      <c r="H502" s="10">
        <v>10931162</v>
      </c>
      <c r="I502" s="10" t="s">
        <v>1194</v>
      </c>
      <c r="J502" s="10" t="s">
        <v>1214</v>
      </c>
      <c r="K502" s="10" t="s">
        <v>1214</v>
      </c>
      <c r="L502" s="10" t="s">
        <v>1214</v>
      </c>
      <c r="M502" s="10" t="s">
        <v>1214</v>
      </c>
      <c r="N502" s="10" t="s">
        <v>61</v>
      </c>
      <c r="O502" s="10" t="s">
        <v>1214</v>
      </c>
      <c r="P502" s="10" t="s">
        <v>1214</v>
      </c>
      <c r="Q502" s="10" t="s">
        <v>1214</v>
      </c>
      <c r="R502" s="10" t="s">
        <v>1214</v>
      </c>
      <c r="S502" s="10" t="s">
        <v>61</v>
      </c>
    </row>
    <row r="503" spans="1:19" ht="29" x14ac:dyDescent="0.35">
      <c r="A503" s="14">
        <v>46022</v>
      </c>
      <c r="B503" s="10" t="s">
        <v>563</v>
      </c>
      <c r="C503" s="10" t="s">
        <v>564</v>
      </c>
      <c r="D503" s="10" t="s">
        <v>962</v>
      </c>
      <c r="E503" s="10">
        <v>4353456</v>
      </c>
      <c r="F503" s="15">
        <v>100</v>
      </c>
      <c r="G503" s="10" t="s">
        <v>1296</v>
      </c>
      <c r="H503" s="10">
        <v>4353456</v>
      </c>
      <c r="I503" s="10" t="s">
        <v>1194</v>
      </c>
      <c r="J503" s="10" t="s">
        <v>1214</v>
      </c>
      <c r="K503" s="10" t="s">
        <v>1214</v>
      </c>
      <c r="L503" s="10" t="s">
        <v>1214</v>
      </c>
      <c r="M503" s="10" t="s">
        <v>1214</v>
      </c>
      <c r="N503" s="10" t="s">
        <v>61</v>
      </c>
      <c r="O503" s="10" t="s">
        <v>1214</v>
      </c>
      <c r="P503" s="10" t="s">
        <v>1214</v>
      </c>
      <c r="Q503" s="10" t="s">
        <v>1214</v>
      </c>
      <c r="R503" s="10" t="s">
        <v>1214</v>
      </c>
      <c r="S503" s="10" t="s">
        <v>61</v>
      </c>
    </row>
    <row r="504" spans="1:19" ht="43.5" x14ac:dyDescent="0.35">
      <c r="A504" s="14">
        <v>46022</v>
      </c>
      <c r="B504" s="10" t="s">
        <v>849</v>
      </c>
      <c r="C504" s="10" t="s">
        <v>850</v>
      </c>
      <c r="D504" s="10" t="s">
        <v>1166</v>
      </c>
      <c r="E504" s="10">
        <v>9267495</v>
      </c>
      <c r="F504" s="15">
        <v>100</v>
      </c>
      <c r="G504" s="10" t="s">
        <v>1543</v>
      </c>
      <c r="H504" s="10">
        <v>9267495</v>
      </c>
      <c r="I504" s="10" t="s">
        <v>1194</v>
      </c>
      <c r="J504" s="10" t="s">
        <v>1214</v>
      </c>
      <c r="K504" s="10" t="s">
        <v>1214</v>
      </c>
      <c r="L504" s="10" t="s">
        <v>1214</v>
      </c>
      <c r="M504" s="10" t="s">
        <v>1214</v>
      </c>
      <c r="N504" s="10" t="s">
        <v>61</v>
      </c>
      <c r="O504" s="10" t="s">
        <v>1214</v>
      </c>
      <c r="P504" s="10" t="s">
        <v>1214</v>
      </c>
      <c r="Q504" s="10" t="s">
        <v>1214</v>
      </c>
      <c r="R504" s="10" t="s">
        <v>1214</v>
      </c>
      <c r="S504" s="10" t="s">
        <v>61</v>
      </c>
    </row>
    <row r="505" spans="1:19" ht="87" x14ac:dyDescent="0.35">
      <c r="A505" s="14">
        <v>46022</v>
      </c>
      <c r="B505" s="10" t="s">
        <v>667</v>
      </c>
      <c r="C505" s="10" t="s">
        <v>668</v>
      </c>
      <c r="D505" s="10" t="s">
        <v>1036</v>
      </c>
      <c r="E505" s="10">
        <v>4349131</v>
      </c>
      <c r="F505" s="15">
        <v>55</v>
      </c>
      <c r="G505" s="10" t="s">
        <v>1544</v>
      </c>
      <c r="H505" s="10">
        <v>4349131</v>
      </c>
      <c r="I505" s="10">
        <v>4400798</v>
      </c>
      <c r="J505" s="10" t="s">
        <v>1292</v>
      </c>
      <c r="K505" s="10" t="s">
        <v>61</v>
      </c>
      <c r="L505" s="10" t="s">
        <v>1350</v>
      </c>
      <c r="M505" s="10" t="s">
        <v>61</v>
      </c>
      <c r="N505" s="10" t="s">
        <v>1252</v>
      </c>
      <c r="O505" s="10" t="s">
        <v>1214</v>
      </c>
      <c r="P505" s="10" t="s">
        <v>1214</v>
      </c>
      <c r="Q505" s="10" t="s">
        <v>1214</v>
      </c>
      <c r="R505" s="10" t="s">
        <v>1214</v>
      </c>
      <c r="S505" s="10" t="s">
        <v>79</v>
      </c>
    </row>
    <row r="506" spans="1:19" ht="43.5" x14ac:dyDescent="0.35">
      <c r="A506" s="14">
        <v>46022</v>
      </c>
      <c r="B506" s="10" t="s">
        <v>851</v>
      </c>
      <c r="C506" s="10" t="s">
        <v>852</v>
      </c>
      <c r="D506" s="10" t="s">
        <v>1167</v>
      </c>
      <c r="E506" s="10">
        <v>7132181</v>
      </c>
      <c r="F506" s="15">
        <v>100</v>
      </c>
      <c r="G506" s="10" t="s">
        <v>1545</v>
      </c>
      <c r="H506" s="10">
        <v>7132181</v>
      </c>
      <c r="I506" s="10" t="s">
        <v>1194</v>
      </c>
      <c r="J506" s="10" t="s">
        <v>1214</v>
      </c>
      <c r="K506" s="10" t="s">
        <v>1214</v>
      </c>
      <c r="L506" s="10" t="s">
        <v>1214</v>
      </c>
      <c r="M506" s="10" t="s">
        <v>1214</v>
      </c>
      <c r="N506" s="10" t="s">
        <v>61</v>
      </c>
      <c r="O506" s="10" t="s">
        <v>1214</v>
      </c>
      <c r="P506" s="10" t="s">
        <v>1214</v>
      </c>
      <c r="Q506" s="10" t="s">
        <v>1214</v>
      </c>
      <c r="R506" s="10" t="s">
        <v>1214</v>
      </c>
      <c r="S506" s="10" t="s">
        <v>61</v>
      </c>
    </row>
    <row r="507" spans="1:19" ht="72.5" x14ac:dyDescent="0.35">
      <c r="A507" s="14">
        <v>46022</v>
      </c>
      <c r="B507" s="10" t="s">
        <v>565</v>
      </c>
      <c r="C507" s="10" t="s">
        <v>566</v>
      </c>
      <c r="D507" s="10" t="s">
        <v>1168</v>
      </c>
      <c r="E507" s="10">
        <v>4355279</v>
      </c>
      <c r="F507" s="15">
        <v>100</v>
      </c>
      <c r="G507" s="10" t="s">
        <v>1546</v>
      </c>
      <c r="H507" s="10">
        <v>4355279</v>
      </c>
      <c r="I507" s="10">
        <v>4348797</v>
      </c>
      <c r="J507" s="10" t="s">
        <v>1214</v>
      </c>
      <c r="K507" s="10" t="s">
        <v>1214</v>
      </c>
      <c r="L507" s="10" t="s">
        <v>1214</v>
      </c>
      <c r="M507" s="10" t="s">
        <v>1214</v>
      </c>
      <c r="N507" s="10" t="s">
        <v>61</v>
      </c>
      <c r="O507" s="10" t="s">
        <v>1214</v>
      </c>
      <c r="P507" s="10" t="s">
        <v>1214</v>
      </c>
      <c r="Q507" s="10" t="s">
        <v>1214</v>
      </c>
      <c r="R507" s="10" t="s">
        <v>1214</v>
      </c>
      <c r="S507" s="10" t="s">
        <v>61</v>
      </c>
    </row>
    <row r="508" spans="1:19" ht="159.5" x14ac:dyDescent="0.35">
      <c r="A508" s="14">
        <v>46022</v>
      </c>
      <c r="B508" s="10" t="s">
        <v>539</v>
      </c>
      <c r="C508" s="10" t="s">
        <v>540</v>
      </c>
      <c r="D508" s="10" t="s">
        <v>1122</v>
      </c>
      <c r="E508" s="10">
        <v>4349747</v>
      </c>
      <c r="F508" s="15">
        <v>8.33</v>
      </c>
      <c r="G508" s="10" t="s">
        <v>1547</v>
      </c>
      <c r="H508" s="10">
        <v>4355551</v>
      </c>
      <c r="I508" s="10">
        <v>4589586</v>
      </c>
      <c r="J508" s="10" t="s">
        <v>1292</v>
      </c>
      <c r="K508" s="10" t="s">
        <v>61</v>
      </c>
      <c r="L508" s="10" t="s">
        <v>1315</v>
      </c>
      <c r="M508" s="10" t="s">
        <v>61</v>
      </c>
      <c r="N508" s="10" t="s">
        <v>61</v>
      </c>
      <c r="O508" s="10" t="s">
        <v>1292</v>
      </c>
      <c r="P508" s="10" t="s">
        <v>61</v>
      </c>
      <c r="Q508" s="10" t="s">
        <v>1318</v>
      </c>
      <c r="R508" s="10" t="s">
        <v>61</v>
      </c>
      <c r="S508" s="10" t="s">
        <v>61</v>
      </c>
    </row>
    <row r="509" spans="1:19" ht="159.5" x14ac:dyDescent="0.35">
      <c r="A509" s="14">
        <v>46022</v>
      </c>
      <c r="B509" s="10" t="s">
        <v>539</v>
      </c>
      <c r="C509" s="10" t="s">
        <v>540</v>
      </c>
      <c r="D509" s="10" t="s">
        <v>1014</v>
      </c>
      <c r="E509" s="10">
        <v>4355551</v>
      </c>
      <c r="F509" s="15">
        <v>75</v>
      </c>
      <c r="G509" s="10" t="s">
        <v>1547</v>
      </c>
      <c r="H509" s="10">
        <v>4355551</v>
      </c>
      <c r="I509" s="10">
        <v>4589586</v>
      </c>
      <c r="J509" s="10" t="s">
        <v>1292</v>
      </c>
      <c r="K509" s="10" t="s">
        <v>61</v>
      </c>
      <c r="L509" s="10" t="s">
        <v>1315</v>
      </c>
      <c r="M509" s="10" t="s">
        <v>61</v>
      </c>
      <c r="N509" s="10" t="s">
        <v>61</v>
      </c>
      <c r="O509" s="10" t="s">
        <v>1292</v>
      </c>
      <c r="P509" s="10" t="s">
        <v>61</v>
      </c>
      <c r="Q509" s="10" t="s">
        <v>1318</v>
      </c>
      <c r="R509" s="10" t="s">
        <v>61</v>
      </c>
      <c r="S509" s="10" t="s">
        <v>61</v>
      </c>
    </row>
    <row r="510" spans="1:19" ht="159.5" x14ac:dyDescent="0.35">
      <c r="A510" s="14">
        <v>46022</v>
      </c>
      <c r="B510" s="10" t="s">
        <v>539</v>
      </c>
      <c r="C510" s="10" t="s">
        <v>540</v>
      </c>
      <c r="D510" s="10" t="s">
        <v>1169</v>
      </c>
      <c r="E510" s="10">
        <v>4589586</v>
      </c>
      <c r="F510" s="15">
        <v>16.670000000000002</v>
      </c>
      <c r="G510" s="10" t="s">
        <v>1547</v>
      </c>
      <c r="H510" s="10">
        <v>4355551</v>
      </c>
      <c r="I510" s="10">
        <v>4589586</v>
      </c>
      <c r="J510" s="10" t="s">
        <v>1292</v>
      </c>
      <c r="K510" s="10" t="s">
        <v>61</v>
      </c>
      <c r="L510" s="10" t="s">
        <v>1315</v>
      </c>
      <c r="M510" s="10" t="s">
        <v>61</v>
      </c>
      <c r="N510" s="10" t="s">
        <v>61</v>
      </c>
      <c r="O510" s="10" t="s">
        <v>1292</v>
      </c>
      <c r="P510" s="10" t="s">
        <v>61</v>
      </c>
      <c r="Q510" s="10" t="s">
        <v>1318</v>
      </c>
      <c r="R510" s="10" t="s">
        <v>61</v>
      </c>
      <c r="S510" s="10" t="s">
        <v>61</v>
      </c>
    </row>
    <row r="511" spans="1:19" ht="43.5" x14ac:dyDescent="0.35">
      <c r="A511" s="14">
        <v>46022</v>
      </c>
      <c r="B511" s="10" t="s">
        <v>669</v>
      </c>
      <c r="C511" s="10" t="s">
        <v>670</v>
      </c>
      <c r="D511" s="10" t="s">
        <v>1170</v>
      </c>
      <c r="E511" s="10">
        <v>10929939</v>
      </c>
      <c r="F511" s="15">
        <v>100</v>
      </c>
      <c r="G511" s="10" t="s">
        <v>1548</v>
      </c>
      <c r="H511" s="10">
        <v>10929939</v>
      </c>
      <c r="I511" s="10" t="s">
        <v>1194</v>
      </c>
      <c r="J511" s="10" t="s">
        <v>1214</v>
      </c>
      <c r="K511" s="10" t="s">
        <v>1214</v>
      </c>
      <c r="L511" s="10" t="s">
        <v>1214</v>
      </c>
      <c r="M511" s="10" t="s">
        <v>1214</v>
      </c>
      <c r="N511" s="10" t="s">
        <v>61</v>
      </c>
      <c r="O511" s="10" t="s">
        <v>1214</v>
      </c>
      <c r="P511" s="10" t="s">
        <v>1214</v>
      </c>
      <c r="Q511" s="10" t="s">
        <v>1214</v>
      </c>
      <c r="R511" s="10" t="s">
        <v>1214</v>
      </c>
      <c r="S511" s="10" t="s">
        <v>61</v>
      </c>
    </row>
    <row r="512" spans="1:19" ht="72.5" x14ac:dyDescent="0.35">
      <c r="A512" s="14">
        <v>46022</v>
      </c>
      <c r="B512" s="10" t="s">
        <v>671</v>
      </c>
      <c r="C512" s="10" t="s">
        <v>672</v>
      </c>
      <c r="D512" s="10" t="s">
        <v>1005</v>
      </c>
      <c r="E512" s="10">
        <v>4355250</v>
      </c>
      <c r="F512" s="15">
        <v>100</v>
      </c>
      <c r="G512" s="10" t="s">
        <v>1549</v>
      </c>
      <c r="H512" s="10">
        <v>4355250</v>
      </c>
      <c r="I512" s="10">
        <v>4349966</v>
      </c>
      <c r="J512" s="10" t="s">
        <v>1304</v>
      </c>
      <c r="K512" s="10" t="s">
        <v>283</v>
      </c>
      <c r="L512" s="10" t="s">
        <v>1305</v>
      </c>
      <c r="M512" s="10" t="s">
        <v>1228</v>
      </c>
      <c r="N512" s="10" t="s">
        <v>50</v>
      </c>
      <c r="O512" s="10" t="s">
        <v>1214</v>
      </c>
      <c r="P512" s="10" t="s">
        <v>1214</v>
      </c>
      <c r="Q512" s="10" t="s">
        <v>1214</v>
      </c>
      <c r="R512" s="10" t="s">
        <v>1214</v>
      </c>
      <c r="S512" s="10" t="s">
        <v>50</v>
      </c>
    </row>
    <row r="513" spans="1:19" ht="58" x14ac:dyDescent="0.35">
      <c r="A513" s="14">
        <v>46022</v>
      </c>
      <c r="B513" s="10" t="s">
        <v>541</v>
      </c>
      <c r="C513" s="10" t="s">
        <v>542</v>
      </c>
      <c r="D513" s="10" t="s">
        <v>977</v>
      </c>
      <c r="E513" s="10">
        <v>29771747</v>
      </c>
      <c r="F513" s="15">
        <v>97.6</v>
      </c>
      <c r="G513" s="10" t="s">
        <v>1550</v>
      </c>
      <c r="H513" s="10">
        <v>29771747</v>
      </c>
      <c r="I513" s="10">
        <v>4353456</v>
      </c>
      <c r="J513" s="10" t="s">
        <v>1214</v>
      </c>
      <c r="K513" s="10" t="s">
        <v>1214</v>
      </c>
      <c r="L513" s="10" t="s">
        <v>1214</v>
      </c>
      <c r="M513" s="10" t="s">
        <v>1214</v>
      </c>
      <c r="N513" s="10" t="s">
        <v>50</v>
      </c>
      <c r="O513" s="10" t="s">
        <v>1214</v>
      </c>
      <c r="P513" s="10" t="s">
        <v>1214</v>
      </c>
      <c r="Q513" s="10" t="s">
        <v>1214</v>
      </c>
      <c r="R513" s="10" t="s">
        <v>1214</v>
      </c>
      <c r="S513" s="10" t="s">
        <v>61</v>
      </c>
    </row>
    <row r="514" spans="1:19" ht="58" x14ac:dyDescent="0.35">
      <c r="A514" s="14">
        <v>46022</v>
      </c>
      <c r="B514" s="10" t="s">
        <v>541</v>
      </c>
      <c r="C514" s="10" t="s">
        <v>542</v>
      </c>
      <c r="D514" s="10" t="s">
        <v>962</v>
      </c>
      <c r="E514" s="10">
        <v>4353456</v>
      </c>
      <c r="F514" s="15">
        <v>2.4</v>
      </c>
      <c r="G514" s="10" t="s">
        <v>1550</v>
      </c>
      <c r="H514" s="10">
        <v>29771747</v>
      </c>
      <c r="I514" s="10">
        <v>4353456</v>
      </c>
      <c r="J514" s="10" t="s">
        <v>1214</v>
      </c>
      <c r="K514" s="10" t="s">
        <v>1214</v>
      </c>
      <c r="L514" s="10" t="s">
        <v>1214</v>
      </c>
      <c r="M514" s="10" t="s">
        <v>1214</v>
      </c>
      <c r="N514" s="10" t="s">
        <v>50</v>
      </c>
      <c r="O514" s="10" t="s">
        <v>1214</v>
      </c>
      <c r="P514" s="10" t="s">
        <v>1214</v>
      </c>
      <c r="Q514" s="10" t="s">
        <v>1214</v>
      </c>
      <c r="R514" s="10" t="s">
        <v>1214</v>
      </c>
      <c r="S514" s="10" t="s">
        <v>61</v>
      </c>
    </row>
    <row r="515" spans="1:19" ht="58" x14ac:dyDescent="0.35">
      <c r="A515" s="14">
        <v>46022</v>
      </c>
      <c r="B515" s="10" t="s">
        <v>853</v>
      </c>
      <c r="C515" s="10" t="s">
        <v>854</v>
      </c>
      <c r="D515" s="10" t="s">
        <v>977</v>
      </c>
      <c r="E515" s="10">
        <v>29771747</v>
      </c>
      <c r="F515" s="15">
        <v>81.84</v>
      </c>
      <c r="G515" s="10" t="s">
        <v>1551</v>
      </c>
      <c r="H515" s="10">
        <v>29771747</v>
      </c>
      <c r="I515" s="10">
        <v>4353456</v>
      </c>
      <c r="J515" s="10" t="s">
        <v>1214</v>
      </c>
      <c r="K515" s="10" t="s">
        <v>1214</v>
      </c>
      <c r="L515" s="10" t="s">
        <v>1214</v>
      </c>
      <c r="M515" s="10" t="s">
        <v>1214</v>
      </c>
      <c r="N515" s="10" t="s">
        <v>50</v>
      </c>
      <c r="O515" s="10" t="s">
        <v>1214</v>
      </c>
      <c r="P515" s="10" t="s">
        <v>1214</v>
      </c>
      <c r="Q515" s="10" t="s">
        <v>1214</v>
      </c>
      <c r="R515" s="10" t="s">
        <v>1214</v>
      </c>
      <c r="S515" s="10" t="s">
        <v>61</v>
      </c>
    </row>
    <row r="516" spans="1:19" ht="58" x14ac:dyDescent="0.35">
      <c r="A516" s="14">
        <v>46022</v>
      </c>
      <c r="B516" s="10" t="s">
        <v>853</v>
      </c>
      <c r="C516" s="10" t="s">
        <v>854</v>
      </c>
      <c r="D516" s="10" t="s">
        <v>962</v>
      </c>
      <c r="E516" s="10">
        <v>4353456</v>
      </c>
      <c r="F516" s="15">
        <v>18.16</v>
      </c>
      <c r="G516" s="10" t="s">
        <v>1551</v>
      </c>
      <c r="H516" s="10">
        <v>29771747</v>
      </c>
      <c r="I516" s="10">
        <v>4353456</v>
      </c>
      <c r="J516" s="10" t="s">
        <v>1214</v>
      </c>
      <c r="K516" s="10" t="s">
        <v>1214</v>
      </c>
      <c r="L516" s="10" t="s">
        <v>1214</v>
      </c>
      <c r="M516" s="10" t="s">
        <v>1214</v>
      </c>
      <c r="N516" s="10" t="s">
        <v>50</v>
      </c>
      <c r="O516" s="10" t="s">
        <v>1214</v>
      </c>
      <c r="P516" s="10" t="s">
        <v>1214</v>
      </c>
      <c r="Q516" s="10" t="s">
        <v>1214</v>
      </c>
      <c r="R516" s="10" t="s">
        <v>1214</v>
      </c>
      <c r="S516" s="10" t="s">
        <v>61</v>
      </c>
    </row>
    <row r="517" spans="1:19" ht="43.5" x14ac:dyDescent="0.35">
      <c r="A517" s="14">
        <v>46022</v>
      </c>
      <c r="B517" s="10" t="s">
        <v>567</v>
      </c>
      <c r="C517" s="10" t="s">
        <v>568</v>
      </c>
      <c r="D517" s="10" t="s">
        <v>1171</v>
      </c>
      <c r="E517" s="10">
        <v>4354122</v>
      </c>
      <c r="F517" s="15">
        <v>100</v>
      </c>
      <c r="G517" s="10" t="s">
        <v>1552</v>
      </c>
      <c r="H517" s="10">
        <v>4354122</v>
      </c>
      <c r="I517" s="10" t="s">
        <v>1194</v>
      </c>
      <c r="J517" s="10" t="s">
        <v>1553</v>
      </c>
      <c r="K517" s="10" t="s">
        <v>61</v>
      </c>
      <c r="L517" s="10" t="s">
        <v>1554</v>
      </c>
      <c r="M517" s="10" t="s">
        <v>61</v>
      </c>
      <c r="N517" s="10" t="s">
        <v>61</v>
      </c>
      <c r="O517" s="10" t="s">
        <v>1214</v>
      </c>
      <c r="P517" s="10" t="s">
        <v>1214</v>
      </c>
      <c r="Q517" s="10" t="s">
        <v>1214</v>
      </c>
      <c r="R517" s="10" t="s">
        <v>1214</v>
      </c>
      <c r="S517" s="10" t="s">
        <v>61</v>
      </c>
    </row>
    <row r="518" spans="1:19" ht="29" x14ac:dyDescent="0.35">
      <c r="A518" s="14">
        <v>46022</v>
      </c>
      <c r="B518" s="10" t="s">
        <v>543</v>
      </c>
      <c r="C518" s="10" t="s">
        <v>544</v>
      </c>
      <c r="D518" s="10" t="s">
        <v>962</v>
      </c>
      <c r="E518" s="10">
        <v>4353456</v>
      </c>
      <c r="F518" s="15">
        <v>100</v>
      </c>
      <c r="G518" s="10" t="s">
        <v>1296</v>
      </c>
      <c r="H518" s="10">
        <v>4353456</v>
      </c>
      <c r="I518" s="10" t="s">
        <v>1194</v>
      </c>
      <c r="J518" s="10" t="s">
        <v>1214</v>
      </c>
      <c r="K518" s="10" t="s">
        <v>1214</v>
      </c>
      <c r="L518" s="10" t="s">
        <v>1214</v>
      </c>
      <c r="M518" s="10" t="s">
        <v>1214</v>
      </c>
      <c r="N518" s="10" t="s">
        <v>61</v>
      </c>
      <c r="O518" s="10" t="s">
        <v>1214</v>
      </c>
      <c r="P518" s="10" t="s">
        <v>1214</v>
      </c>
      <c r="Q518" s="10" t="s">
        <v>1214</v>
      </c>
      <c r="R518" s="10" t="s">
        <v>1214</v>
      </c>
      <c r="S518" s="10" t="s">
        <v>61</v>
      </c>
    </row>
    <row r="519" spans="1:19" ht="29" x14ac:dyDescent="0.35">
      <c r="A519" s="14">
        <v>46022</v>
      </c>
      <c r="B519" s="10" t="s">
        <v>559</v>
      </c>
      <c r="C519" s="10" t="s">
        <v>560</v>
      </c>
      <c r="D519" s="10" t="s">
        <v>962</v>
      </c>
      <c r="E519" s="10">
        <v>4353456</v>
      </c>
      <c r="F519" s="15">
        <v>100</v>
      </c>
      <c r="G519" s="10" t="s">
        <v>1296</v>
      </c>
      <c r="H519" s="10">
        <v>4353456</v>
      </c>
      <c r="I519" s="10" t="s">
        <v>1194</v>
      </c>
      <c r="J519" s="10" t="s">
        <v>1214</v>
      </c>
      <c r="K519" s="10" t="s">
        <v>1214</v>
      </c>
      <c r="L519" s="10" t="s">
        <v>1214</v>
      </c>
      <c r="M519" s="10" t="s">
        <v>1214</v>
      </c>
      <c r="N519" s="10" t="s">
        <v>61</v>
      </c>
      <c r="O519" s="10" t="s">
        <v>1214</v>
      </c>
      <c r="P519" s="10" t="s">
        <v>1214</v>
      </c>
      <c r="Q519" s="10" t="s">
        <v>1214</v>
      </c>
      <c r="R519" s="10" t="s">
        <v>1214</v>
      </c>
      <c r="S519" s="10" t="s">
        <v>61</v>
      </c>
    </row>
    <row r="520" spans="1:19" ht="29" x14ac:dyDescent="0.35">
      <c r="A520" s="14">
        <v>46022</v>
      </c>
      <c r="B520" s="10" t="s">
        <v>855</v>
      </c>
      <c r="C520" s="10" t="s">
        <v>856</v>
      </c>
      <c r="D520" s="10" t="s">
        <v>1135</v>
      </c>
      <c r="E520" s="10">
        <v>10928473</v>
      </c>
      <c r="F520" s="15">
        <v>100</v>
      </c>
      <c r="G520" s="10" t="s">
        <v>1506</v>
      </c>
      <c r="H520" s="10">
        <v>10928473</v>
      </c>
      <c r="I520" s="10" t="s">
        <v>1194</v>
      </c>
      <c r="J520" s="10" t="s">
        <v>1214</v>
      </c>
      <c r="K520" s="10" t="s">
        <v>1214</v>
      </c>
      <c r="L520" s="10" t="s">
        <v>1214</v>
      </c>
      <c r="M520" s="10" t="s">
        <v>1214</v>
      </c>
      <c r="N520" s="10" t="s">
        <v>61</v>
      </c>
      <c r="O520" s="10" t="s">
        <v>1214</v>
      </c>
      <c r="P520" s="10" t="s">
        <v>1214</v>
      </c>
      <c r="Q520" s="10" t="s">
        <v>1214</v>
      </c>
      <c r="R520" s="10" t="s">
        <v>1214</v>
      </c>
      <c r="S520" s="10" t="s">
        <v>61</v>
      </c>
    </row>
    <row r="521" spans="1:19" ht="72.5" x14ac:dyDescent="0.35">
      <c r="A521" s="14">
        <v>46022</v>
      </c>
      <c r="B521" s="10" t="s">
        <v>857</v>
      </c>
      <c r="C521" s="10" t="s">
        <v>858</v>
      </c>
      <c r="D521" s="10" t="s">
        <v>1004</v>
      </c>
      <c r="E521" s="10">
        <v>4351423</v>
      </c>
      <c r="F521" s="15">
        <v>100</v>
      </c>
      <c r="G521" s="10" t="s">
        <v>1300</v>
      </c>
      <c r="H521" s="10">
        <v>4351423</v>
      </c>
      <c r="I521" s="10" t="s">
        <v>1194</v>
      </c>
      <c r="J521" s="10" t="s">
        <v>1301</v>
      </c>
      <c r="K521" s="10" t="s">
        <v>61</v>
      </c>
      <c r="L521" s="10" t="s">
        <v>1302</v>
      </c>
      <c r="M521" s="10" t="s">
        <v>61</v>
      </c>
      <c r="N521" s="10" t="s">
        <v>61</v>
      </c>
      <c r="O521" s="10" t="s">
        <v>1214</v>
      </c>
      <c r="P521" s="10" t="s">
        <v>1214</v>
      </c>
      <c r="Q521" s="10" t="s">
        <v>1214</v>
      </c>
      <c r="R521" s="10" t="s">
        <v>1214</v>
      </c>
      <c r="S521" s="10" t="s">
        <v>61</v>
      </c>
    </row>
    <row r="522" spans="1:19" ht="72.5" x14ac:dyDescent="0.35">
      <c r="A522" s="14">
        <v>46022</v>
      </c>
      <c r="B522" s="10" t="s">
        <v>859</v>
      </c>
      <c r="C522" s="10" t="s">
        <v>860</v>
      </c>
      <c r="D522" s="10" t="s">
        <v>1004</v>
      </c>
      <c r="E522" s="10">
        <v>4351423</v>
      </c>
      <c r="F522" s="15">
        <v>100</v>
      </c>
      <c r="G522" s="10" t="s">
        <v>1300</v>
      </c>
      <c r="H522" s="10">
        <v>4351423</v>
      </c>
      <c r="I522" s="10" t="s">
        <v>1194</v>
      </c>
      <c r="J522" s="10" t="s">
        <v>1301</v>
      </c>
      <c r="K522" s="10" t="s">
        <v>61</v>
      </c>
      <c r="L522" s="10" t="s">
        <v>1302</v>
      </c>
      <c r="M522" s="10" t="s">
        <v>61</v>
      </c>
      <c r="N522" s="10" t="s">
        <v>61</v>
      </c>
      <c r="O522" s="10" t="s">
        <v>1214</v>
      </c>
      <c r="P522" s="10" t="s">
        <v>1214</v>
      </c>
      <c r="Q522" s="10" t="s">
        <v>1214</v>
      </c>
      <c r="R522" s="10" t="s">
        <v>1214</v>
      </c>
      <c r="S522" s="10" t="s">
        <v>61</v>
      </c>
    </row>
    <row r="523" spans="1:19" ht="29" x14ac:dyDescent="0.35">
      <c r="A523" s="14">
        <v>46022</v>
      </c>
      <c r="B523" s="10" t="s">
        <v>561</v>
      </c>
      <c r="C523" s="10" t="s">
        <v>562</v>
      </c>
      <c r="D523" s="10" t="s">
        <v>1045</v>
      </c>
      <c r="E523" s="10">
        <v>4400798</v>
      </c>
      <c r="F523" s="15">
        <v>100</v>
      </c>
      <c r="G523" s="10" t="s">
        <v>1360</v>
      </c>
      <c r="H523" s="10">
        <v>4400798</v>
      </c>
      <c r="I523" s="10" t="s">
        <v>1194</v>
      </c>
      <c r="J523" s="10" t="s">
        <v>1214</v>
      </c>
      <c r="K523" s="10" t="s">
        <v>1214</v>
      </c>
      <c r="L523" s="10" t="s">
        <v>1214</v>
      </c>
      <c r="M523" s="10" t="s">
        <v>1214</v>
      </c>
      <c r="N523" s="10" t="s">
        <v>79</v>
      </c>
      <c r="O523" s="10" t="s">
        <v>1214</v>
      </c>
      <c r="P523" s="10" t="s">
        <v>1214</v>
      </c>
      <c r="Q523" s="10" t="s">
        <v>1214</v>
      </c>
      <c r="R523" s="10" t="s">
        <v>1214</v>
      </c>
      <c r="S523" s="10" t="s">
        <v>61</v>
      </c>
    </row>
    <row r="524" spans="1:19" ht="43.5" x14ac:dyDescent="0.35">
      <c r="A524" s="14">
        <v>46022</v>
      </c>
      <c r="B524" s="10" t="s">
        <v>569</v>
      </c>
      <c r="C524" s="10" t="s">
        <v>570</v>
      </c>
      <c r="D524" s="10" t="s">
        <v>1024</v>
      </c>
      <c r="E524" s="10">
        <v>4314727</v>
      </c>
      <c r="F524" s="15">
        <v>100</v>
      </c>
      <c r="G524" s="10" t="s">
        <v>1326</v>
      </c>
      <c r="H524" s="10">
        <v>4314727</v>
      </c>
      <c r="I524" s="10" t="s">
        <v>1194</v>
      </c>
      <c r="J524" s="10" t="s">
        <v>1214</v>
      </c>
      <c r="K524" s="10" t="s">
        <v>1214</v>
      </c>
      <c r="L524" s="10" t="s">
        <v>1214</v>
      </c>
      <c r="M524" s="10" t="s">
        <v>1214</v>
      </c>
      <c r="N524" s="10" t="s">
        <v>61</v>
      </c>
      <c r="O524" s="10" t="s">
        <v>1214</v>
      </c>
      <c r="P524" s="10" t="s">
        <v>1214</v>
      </c>
      <c r="Q524" s="10" t="s">
        <v>1214</v>
      </c>
      <c r="R524" s="10" t="s">
        <v>1214</v>
      </c>
      <c r="S524" s="10" t="s">
        <v>61</v>
      </c>
    </row>
    <row r="525" spans="1:19" ht="275.5" x14ac:dyDescent="0.35">
      <c r="A525" s="14">
        <v>46022</v>
      </c>
      <c r="B525" s="10" t="s">
        <v>861</v>
      </c>
      <c r="C525" s="10" t="s">
        <v>862</v>
      </c>
      <c r="D525" s="10" t="s">
        <v>1172</v>
      </c>
      <c r="E525" s="10">
        <v>4349081</v>
      </c>
      <c r="F525" s="15">
        <v>8</v>
      </c>
      <c r="G525" s="10" t="s">
        <v>1555</v>
      </c>
      <c r="H525" s="10">
        <v>4355346</v>
      </c>
      <c r="I525" s="10">
        <v>4355642</v>
      </c>
      <c r="J525" s="10" t="s">
        <v>1368</v>
      </c>
      <c r="K525" s="10" t="s">
        <v>61</v>
      </c>
      <c r="L525" s="10" t="s">
        <v>1369</v>
      </c>
      <c r="M525" s="10" t="s">
        <v>61</v>
      </c>
      <c r="N525" s="10" t="s">
        <v>61</v>
      </c>
      <c r="O525" s="10" t="s">
        <v>1214</v>
      </c>
      <c r="P525" s="10" t="s">
        <v>1214</v>
      </c>
      <c r="Q525" s="10" t="s">
        <v>1214</v>
      </c>
      <c r="R525" s="10" t="s">
        <v>1214</v>
      </c>
      <c r="S525" s="10" t="s">
        <v>61</v>
      </c>
    </row>
    <row r="526" spans="1:19" ht="275.5" x14ac:dyDescent="0.35">
      <c r="A526" s="14">
        <v>46022</v>
      </c>
      <c r="B526" s="10" t="s">
        <v>861</v>
      </c>
      <c r="C526" s="10" t="s">
        <v>862</v>
      </c>
      <c r="D526" s="10" t="s">
        <v>1173</v>
      </c>
      <c r="E526" s="10">
        <v>4354855</v>
      </c>
      <c r="F526" s="15">
        <v>10</v>
      </c>
      <c r="G526" s="10" t="s">
        <v>1555</v>
      </c>
      <c r="H526" s="10">
        <v>4355346</v>
      </c>
      <c r="I526" s="10">
        <v>4355642</v>
      </c>
      <c r="J526" s="10" t="s">
        <v>1368</v>
      </c>
      <c r="K526" s="10" t="s">
        <v>61</v>
      </c>
      <c r="L526" s="10" t="s">
        <v>1369</v>
      </c>
      <c r="M526" s="10" t="s">
        <v>61</v>
      </c>
      <c r="N526" s="10" t="s">
        <v>61</v>
      </c>
      <c r="O526" s="10" t="s">
        <v>1214</v>
      </c>
      <c r="P526" s="10" t="s">
        <v>1214</v>
      </c>
      <c r="Q526" s="10" t="s">
        <v>1214</v>
      </c>
      <c r="R526" s="10" t="s">
        <v>1214</v>
      </c>
      <c r="S526" s="10" t="s">
        <v>61</v>
      </c>
    </row>
    <row r="527" spans="1:19" ht="275.5" x14ac:dyDescent="0.35">
      <c r="A527" s="14">
        <v>46022</v>
      </c>
      <c r="B527" s="10" t="s">
        <v>861</v>
      </c>
      <c r="C527" s="10" t="s">
        <v>862</v>
      </c>
      <c r="D527" s="10" t="s">
        <v>1051</v>
      </c>
      <c r="E527" s="10">
        <v>4355346</v>
      </c>
      <c r="F527" s="15">
        <v>58</v>
      </c>
      <c r="G527" s="10" t="s">
        <v>1555</v>
      </c>
      <c r="H527" s="10">
        <v>4355346</v>
      </c>
      <c r="I527" s="10">
        <v>4355642</v>
      </c>
      <c r="J527" s="10" t="s">
        <v>1368</v>
      </c>
      <c r="K527" s="10" t="s">
        <v>61</v>
      </c>
      <c r="L527" s="10" t="s">
        <v>1369</v>
      </c>
      <c r="M527" s="10" t="s">
        <v>61</v>
      </c>
      <c r="N527" s="10" t="s">
        <v>61</v>
      </c>
      <c r="O527" s="10" t="s">
        <v>1214</v>
      </c>
      <c r="P527" s="10" t="s">
        <v>1214</v>
      </c>
      <c r="Q527" s="10" t="s">
        <v>1214</v>
      </c>
      <c r="R527" s="10" t="s">
        <v>1214</v>
      </c>
      <c r="S527" s="10" t="s">
        <v>61</v>
      </c>
    </row>
    <row r="528" spans="1:19" ht="275.5" x14ac:dyDescent="0.35">
      <c r="A528" s="14">
        <v>46022</v>
      </c>
      <c r="B528" s="10" t="s">
        <v>861</v>
      </c>
      <c r="C528" s="10" t="s">
        <v>862</v>
      </c>
      <c r="D528" s="10" t="s">
        <v>1174</v>
      </c>
      <c r="E528" s="10">
        <v>4354854</v>
      </c>
      <c r="F528" s="15">
        <v>2</v>
      </c>
      <c r="G528" s="10" t="s">
        <v>1555</v>
      </c>
      <c r="H528" s="10">
        <v>4355346</v>
      </c>
      <c r="I528" s="10">
        <v>4355642</v>
      </c>
      <c r="J528" s="10" t="s">
        <v>1368</v>
      </c>
      <c r="K528" s="10" t="s">
        <v>61</v>
      </c>
      <c r="L528" s="10" t="s">
        <v>1369</v>
      </c>
      <c r="M528" s="10" t="s">
        <v>61</v>
      </c>
      <c r="N528" s="10" t="s">
        <v>61</v>
      </c>
      <c r="O528" s="10" t="s">
        <v>1214</v>
      </c>
      <c r="P528" s="10" t="s">
        <v>1214</v>
      </c>
      <c r="Q528" s="10" t="s">
        <v>1214</v>
      </c>
      <c r="R528" s="10" t="s">
        <v>1214</v>
      </c>
      <c r="S528" s="10" t="s">
        <v>61</v>
      </c>
    </row>
    <row r="529" spans="1:19" ht="275.5" x14ac:dyDescent="0.35">
      <c r="A529" s="14">
        <v>46022</v>
      </c>
      <c r="B529" s="10" t="s">
        <v>861</v>
      </c>
      <c r="C529" s="10" t="s">
        <v>862</v>
      </c>
      <c r="D529" s="10" t="s">
        <v>958</v>
      </c>
      <c r="E529" s="10">
        <v>4355642</v>
      </c>
      <c r="F529" s="15">
        <v>22</v>
      </c>
      <c r="G529" s="10" t="s">
        <v>1555</v>
      </c>
      <c r="H529" s="10">
        <v>4355346</v>
      </c>
      <c r="I529" s="10">
        <v>4355642</v>
      </c>
      <c r="J529" s="10" t="s">
        <v>1368</v>
      </c>
      <c r="K529" s="10" t="s">
        <v>61</v>
      </c>
      <c r="L529" s="10" t="s">
        <v>1369</v>
      </c>
      <c r="M529" s="10" t="s">
        <v>61</v>
      </c>
      <c r="N529" s="10" t="s">
        <v>61</v>
      </c>
      <c r="O529" s="10" t="s">
        <v>1214</v>
      </c>
      <c r="P529" s="10" t="s">
        <v>1214</v>
      </c>
      <c r="Q529" s="10" t="s">
        <v>1214</v>
      </c>
      <c r="R529" s="10" t="s">
        <v>1214</v>
      </c>
      <c r="S529" s="10" t="s">
        <v>61</v>
      </c>
    </row>
    <row r="530" spans="1:19" ht="72.5" x14ac:dyDescent="0.35">
      <c r="A530" s="14">
        <v>46022</v>
      </c>
      <c r="B530" s="10" t="s">
        <v>673</v>
      </c>
      <c r="C530" s="10" t="s">
        <v>674</v>
      </c>
      <c r="D530" s="10" t="s">
        <v>951</v>
      </c>
      <c r="E530" s="10">
        <v>4348083</v>
      </c>
      <c r="F530" s="15">
        <v>50</v>
      </c>
      <c r="G530" s="10" t="s">
        <v>1556</v>
      </c>
      <c r="H530" s="10">
        <v>4120225</v>
      </c>
      <c r="I530" s="10">
        <v>4348083</v>
      </c>
      <c r="J530" s="10" t="s">
        <v>1214</v>
      </c>
      <c r="K530" s="10" t="s">
        <v>1214</v>
      </c>
      <c r="L530" s="10" t="s">
        <v>1214</v>
      </c>
      <c r="M530" s="10" t="s">
        <v>1214</v>
      </c>
      <c r="N530" s="10" t="s">
        <v>222</v>
      </c>
      <c r="O530" s="10" t="s">
        <v>1232</v>
      </c>
      <c r="P530" s="10" t="s">
        <v>1233</v>
      </c>
      <c r="Q530" s="10" t="s">
        <v>1234</v>
      </c>
      <c r="R530" s="10" t="s">
        <v>1233</v>
      </c>
      <c r="S530" s="10" t="s">
        <v>1219</v>
      </c>
    </row>
    <row r="531" spans="1:19" ht="72.5" x14ac:dyDescent="0.35">
      <c r="A531" s="14">
        <v>46022</v>
      </c>
      <c r="B531" s="10" t="s">
        <v>673</v>
      </c>
      <c r="C531" s="10" t="s">
        <v>674</v>
      </c>
      <c r="D531" s="10" t="s">
        <v>981</v>
      </c>
      <c r="E531" s="10">
        <v>4120225</v>
      </c>
      <c r="F531" s="15">
        <v>50</v>
      </c>
      <c r="G531" s="10" t="s">
        <v>1556</v>
      </c>
      <c r="H531" s="10">
        <v>4120225</v>
      </c>
      <c r="I531" s="10">
        <v>4348083</v>
      </c>
      <c r="J531" s="10" t="s">
        <v>1214</v>
      </c>
      <c r="K531" s="10" t="s">
        <v>1214</v>
      </c>
      <c r="L531" s="10" t="s">
        <v>1214</v>
      </c>
      <c r="M531" s="10" t="s">
        <v>1214</v>
      </c>
      <c r="N531" s="10" t="s">
        <v>222</v>
      </c>
      <c r="O531" s="10" t="s">
        <v>1232</v>
      </c>
      <c r="P531" s="10" t="s">
        <v>1233</v>
      </c>
      <c r="Q531" s="10" t="s">
        <v>1234</v>
      </c>
      <c r="R531" s="10" t="s">
        <v>1233</v>
      </c>
      <c r="S531" s="10" t="s">
        <v>1219</v>
      </c>
    </row>
    <row r="532" spans="1:19" ht="43.5" x14ac:dyDescent="0.35">
      <c r="A532" s="14">
        <v>46022</v>
      </c>
      <c r="B532" s="10" t="s">
        <v>863</v>
      </c>
      <c r="C532" s="10" t="s">
        <v>864</v>
      </c>
      <c r="D532" s="10" t="s">
        <v>1175</v>
      </c>
      <c r="E532" s="10">
        <v>4355591</v>
      </c>
      <c r="F532" s="15">
        <v>100</v>
      </c>
      <c r="G532" s="10" t="s">
        <v>1557</v>
      </c>
      <c r="H532" s="10">
        <v>4355591</v>
      </c>
      <c r="I532" s="10" t="s">
        <v>1194</v>
      </c>
      <c r="J532" s="10" t="s">
        <v>1214</v>
      </c>
      <c r="K532" s="10" t="s">
        <v>1214</v>
      </c>
      <c r="L532" s="10" t="s">
        <v>1214</v>
      </c>
      <c r="M532" s="10" t="s">
        <v>1214</v>
      </c>
      <c r="N532" s="10" t="s">
        <v>748</v>
      </c>
      <c r="O532" s="10" t="s">
        <v>1214</v>
      </c>
      <c r="P532" s="10" t="s">
        <v>1214</v>
      </c>
      <c r="Q532" s="10" t="s">
        <v>1214</v>
      </c>
      <c r="R532" s="10" t="s">
        <v>1214</v>
      </c>
      <c r="S532" s="10" t="s">
        <v>61</v>
      </c>
    </row>
    <row r="533" spans="1:19" ht="29" x14ac:dyDescent="0.35">
      <c r="A533" s="14">
        <v>46022</v>
      </c>
      <c r="B533" s="10" t="s">
        <v>675</v>
      </c>
      <c r="C533" s="10" t="s">
        <v>676</v>
      </c>
      <c r="D533" s="10" t="s">
        <v>996</v>
      </c>
      <c r="E533" s="10">
        <v>4410234</v>
      </c>
      <c r="F533" s="15">
        <v>100</v>
      </c>
      <c r="G533" s="10" t="s">
        <v>1283</v>
      </c>
      <c r="H533" s="10">
        <v>4410234</v>
      </c>
      <c r="I533" s="10" t="s">
        <v>1194</v>
      </c>
      <c r="J533" s="10" t="s">
        <v>1214</v>
      </c>
      <c r="K533" s="10" t="s">
        <v>1214</v>
      </c>
      <c r="L533" s="10" t="s">
        <v>1214</v>
      </c>
      <c r="M533" s="10" t="s">
        <v>1214</v>
      </c>
      <c r="N533" s="10" t="s">
        <v>1284</v>
      </c>
      <c r="O533" s="10" t="s">
        <v>1214</v>
      </c>
      <c r="P533" s="10" t="s">
        <v>1214</v>
      </c>
      <c r="Q533" s="10" t="s">
        <v>1214</v>
      </c>
      <c r="R533" s="10" t="s">
        <v>1214</v>
      </c>
      <c r="S533" s="10" t="s">
        <v>61</v>
      </c>
    </row>
    <row r="534" spans="1:19" ht="116" x14ac:dyDescent="0.35">
      <c r="A534" s="14">
        <v>46022</v>
      </c>
      <c r="B534" s="10" t="s">
        <v>677</v>
      </c>
      <c r="C534" s="10" t="s">
        <v>678</v>
      </c>
      <c r="D534" s="10" t="s">
        <v>962</v>
      </c>
      <c r="E534" s="10">
        <v>4353456</v>
      </c>
      <c r="F534" s="15">
        <v>25</v>
      </c>
      <c r="G534" s="10" t="s">
        <v>1558</v>
      </c>
      <c r="H534" s="10">
        <v>4355642</v>
      </c>
      <c r="I534" s="10">
        <v>4353456</v>
      </c>
      <c r="J534" s="10" t="s">
        <v>1214</v>
      </c>
      <c r="K534" s="10" t="s">
        <v>1214</v>
      </c>
      <c r="L534" s="10" t="s">
        <v>1214</v>
      </c>
      <c r="M534" s="10" t="s">
        <v>1214</v>
      </c>
      <c r="N534" s="10" t="s">
        <v>61</v>
      </c>
      <c r="O534" s="10" t="s">
        <v>1214</v>
      </c>
      <c r="P534" s="10" t="s">
        <v>1214</v>
      </c>
      <c r="Q534" s="10" t="s">
        <v>1214</v>
      </c>
      <c r="R534" s="10" t="s">
        <v>1214</v>
      </c>
      <c r="S534" s="10" t="s">
        <v>61</v>
      </c>
    </row>
    <row r="535" spans="1:19" ht="116" x14ac:dyDescent="0.35">
      <c r="A535" s="14">
        <v>46022</v>
      </c>
      <c r="B535" s="10" t="s">
        <v>677</v>
      </c>
      <c r="C535" s="10" t="s">
        <v>678</v>
      </c>
      <c r="D535" s="10" t="s">
        <v>1127</v>
      </c>
      <c r="E535" s="10">
        <v>4993645</v>
      </c>
      <c r="F535" s="15">
        <v>24.9</v>
      </c>
      <c r="G535" s="10" t="s">
        <v>1558</v>
      </c>
      <c r="H535" s="10">
        <v>4355642</v>
      </c>
      <c r="I535" s="10">
        <v>4353456</v>
      </c>
      <c r="J535" s="10" t="s">
        <v>1214</v>
      </c>
      <c r="K535" s="10" t="s">
        <v>1214</v>
      </c>
      <c r="L535" s="10" t="s">
        <v>1214</v>
      </c>
      <c r="M535" s="10" t="s">
        <v>1214</v>
      </c>
      <c r="N535" s="10" t="s">
        <v>61</v>
      </c>
      <c r="O535" s="10" t="s">
        <v>1214</v>
      </c>
      <c r="P535" s="10" t="s">
        <v>1214</v>
      </c>
      <c r="Q535" s="10" t="s">
        <v>1214</v>
      </c>
      <c r="R535" s="10" t="s">
        <v>1214</v>
      </c>
      <c r="S535" s="10" t="s">
        <v>61</v>
      </c>
    </row>
    <row r="536" spans="1:19" ht="116" x14ac:dyDescent="0.35">
      <c r="A536" s="14">
        <v>46022</v>
      </c>
      <c r="B536" s="10" t="s">
        <v>677</v>
      </c>
      <c r="C536" s="10" t="s">
        <v>678</v>
      </c>
      <c r="D536" s="10" t="s">
        <v>958</v>
      </c>
      <c r="E536" s="10">
        <v>4355642</v>
      </c>
      <c r="F536" s="15">
        <v>50.1</v>
      </c>
      <c r="G536" s="10" t="s">
        <v>1558</v>
      </c>
      <c r="H536" s="10">
        <v>4355642</v>
      </c>
      <c r="I536" s="10">
        <v>4353456</v>
      </c>
      <c r="J536" s="10" t="s">
        <v>1214</v>
      </c>
      <c r="K536" s="10" t="s">
        <v>1214</v>
      </c>
      <c r="L536" s="10" t="s">
        <v>1214</v>
      </c>
      <c r="M536" s="10" t="s">
        <v>1214</v>
      </c>
      <c r="N536" s="10" t="s">
        <v>61</v>
      </c>
      <c r="O536" s="10" t="s">
        <v>1214</v>
      </c>
      <c r="P536" s="10" t="s">
        <v>1214</v>
      </c>
      <c r="Q536" s="10" t="s">
        <v>1214</v>
      </c>
      <c r="R536" s="10" t="s">
        <v>1214</v>
      </c>
      <c r="S536" s="10" t="s">
        <v>61</v>
      </c>
    </row>
    <row r="537" spans="1:19" ht="29" x14ac:dyDescent="0.35">
      <c r="A537" s="14">
        <v>46022</v>
      </c>
      <c r="B537" s="10" t="s">
        <v>571</v>
      </c>
      <c r="C537" s="10" t="s">
        <v>572</v>
      </c>
      <c r="D537" s="10" t="s">
        <v>571</v>
      </c>
      <c r="E537" s="10">
        <v>10948290</v>
      </c>
      <c r="F537" s="15">
        <v>100</v>
      </c>
      <c r="G537" s="10" t="s">
        <v>1559</v>
      </c>
      <c r="H537" s="10">
        <v>10948290</v>
      </c>
      <c r="I537" s="10" t="s">
        <v>1194</v>
      </c>
      <c r="J537" s="10" t="s">
        <v>1214</v>
      </c>
      <c r="K537" s="10" t="s">
        <v>1214</v>
      </c>
      <c r="L537" s="10" t="s">
        <v>1214</v>
      </c>
      <c r="M537" s="10" t="s">
        <v>1214</v>
      </c>
      <c r="N537" s="10" t="s">
        <v>61</v>
      </c>
      <c r="O537" s="10" t="s">
        <v>1214</v>
      </c>
      <c r="P537" s="10" t="s">
        <v>1214</v>
      </c>
      <c r="Q537" s="10" t="s">
        <v>1214</v>
      </c>
      <c r="R537" s="10" t="s">
        <v>1214</v>
      </c>
      <c r="S537" s="10" t="s">
        <v>61</v>
      </c>
    </row>
    <row r="538" spans="1:19" ht="43.5" x14ac:dyDescent="0.35">
      <c r="A538" s="14">
        <v>46022</v>
      </c>
      <c r="B538" s="10" t="s">
        <v>865</v>
      </c>
      <c r="C538" s="10" t="s">
        <v>866</v>
      </c>
      <c r="D538" s="10" t="s">
        <v>1176</v>
      </c>
      <c r="E538" s="10">
        <v>10928421</v>
      </c>
      <c r="F538" s="15">
        <v>100</v>
      </c>
      <c r="G538" s="10" t="s">
        <v>1560</v>
      </c>
      <c r="H538" s="10">
        <v>10928421</v>
      </c>
      <c r="I538" s="10" t="s">
        <v>1194</v>
      </c>
      <c r="J538" s="10" t="s">
        <v>1214</v>
      </c>
      <c r="K538" s="10" t="s">
        <v>1214</v>
      </c>
      <c r="L538" s="10" t="s">
        <v>1214</v>
      </c>
      <c r="M538" s="10" t="s">
        <v>1214</v>
      </c>
      <c r="N538" s="10" t="s">
        <v>61</v>
      </c>
      <c r="O538" s="10" t="s">
        <v>1214</v>
      </c>
      <c r="P538" s="10" t="s">
        <v>1214</v>
      </c>
      <c r="Q538" s="10" t="s">
        <v>1214</v>
      </c>
      <c r="R538" s="10" t="s">
        <v>1214</v>
      </c>
      <c r="S538" s="10" t="s">
        <v>61</v>
      </c>
    </row>
    <row r="539" spans="1:19" ht="43.5" x14ac:dyDescent="0.35">
      <c r="A539" s="14">
        <v>46022</v>
      </c>
      <c r="B539" s="10" t="s">
        <v>867</v>
      </c>
      <c r="C539" s="10" t="s">
        <v>868</v>
      </c>
      <c r="D539" s="10" t="s">
        <v>958</v>
      </c>
      <c r="E539" s="10">
        <v>4355642</v>
      </c>
      <c r="F539" s="15">
        <v>100</v>
      </c>
      <c r="G539" s="10" t="s">
        <v>1320</v>
      </c>
      <c r="H539" s="10">
        <v>4355642</v>
      </c>
      <c r="I539" s="10" t="s">
        <v>1194</v>
      </c>
      <c r="J539" s="10" t="s">
        <v>1214</v>
      </c>
      <c r="K539" s="10" t="s">
        <v>1214</v>
      </c>
      <c r="L539" s="10" t="s">
        <v>1214</v>
      </c>
      <c r="M539" s="10" t="s">
        <v>1214</v>
      </c>
      <c r="N539" s="10" t="s">
        <v>61</v>
      </c>
      <c r="O539" s="10" t="s">
        <v>1214</v>
      </c>
      <c r="P539" s="10" t="s">
        <v>1214</v>
      </c>
      <c r="Q539" s="10" t="s">
        <v>1214</v>
      </c>
      <c r="R539" s="10" t="s">
        <v>1214</v>
      </c>
      <c r="S539" s="10" t="s">
        <v>61</v>
      </c>
    </row>
    <row r="540" spans="1:19" ht="43.5" x14ac:dyDescent="0.35">
      <c r="A540" s="14">
        <v>46022</v>
      </c>
      <c r="B540" s="10" t="s">
        <v>869</v>
      </c>
      <c r="C540" s="10" t="s">
        <v>870</v>
      </c>
      <c r="D540" s="10" t="s">
        <v>958</v>
      </c>
      <c r="E540" s="10">
        <v>4355642</v>
      </c>
      <c r="F540" s="15">
        <v>100</v>
      </c>
      <c r="G540" s="10" t="s">
        <v>1320</v>
      </c>
      <c r="H540" s="10">
        <v>4355642</v>
      </c>
      <c r="I540" s="10" t="s">
        <v>1194</v>
      </c>
      <c r="J540" s="10" t="s">
        <v>1214</v>
      </c>
      <c r="K540" s="10" t="s">
        <v>1214</v>
      </c>
      <c r="L540" s="10" t="s">
        <v>1214</v>
      </c>
      <c r="M540" s="10" t="s">
        <v>1214</v>
      </c>
      <c r="N540" s="10" t="s">
        <v>61</v>
      </c>
      <c r="O540" s="10" t="s">
        <v>1214</v>
      </c>
      <c r="P540" s="10" t="s">
        <v>1214</v>
      </c>
      <c r="Q540" s="10" t="s">
        <v>1214</v>
      </c>
      <c r="R540" s="10" t="s">
        <v>1214</v>
      </c>
      <c r="S540" s="10" t="s">
        <v>61</v>
      </c>
    </row>
    <row r="541" spans="1:19" ht="29" x14ac:dyDescent="0.35">
      <c r="A541" s="14">
        <v>46022</v>
      </c>
      <c r="B541" s="10" t="s">
        <v>573</v>
      </c>
      <c r="C541" s="10" t="s">
        <v>574</v>
      </c>
      <c r="D541" s="10" t="s">
        <v>1177</v>
      </c>
      <c r="E541" s="10">
        <v>4355649</v>
      </c>
      <c r="F541" s="15">
        <v>100</v>
      </c>
      <c r="G541" s="10" t="s">
        <v>1561</v>
      </c>
      <c r="H541" s="10">
        <v>4355649</v>
      </c>
      <c r="I541" s="10" t="s">
        <v>1194</v>
      </c>
      <c r="J541" s="10" t="s">
        <v>1562</v>
      </c>
      <c r="K541" s="10" t="s">
        <v>105</v>
      </c>
      <c r="L541" s="10" t="s">
        <v>1563</v>
      </c>
      <c r="M541" s="10" t="s">
        <v>1218</v>
      </c>
      <c r="N541" s="10" t="s">
        <v>1479</v>
      </c>
      <c r="O541" s="10" t="s">
        <v>1214</v>
      </c>
      <c r="P541" s="10" t="s">
        <v>1214</v>
      </c>
      <c r="Q541" s="10" t="s">
        <v>1214</v>
      </c>
      <c r="R541" s="10" t="s">
        <v>1214</v>
      </c>
      <c r="S541" s="10" t="s">
        <v>61</v>
      </c>
    </row>
    <row r="542" spans="1:19" ht="29" x14ac:dyDescent="0.35">
      <c r="A542" s="14">
        <v>46022</v>
      </c>
      <c r="B542" s="10" t="s">
        <v>871</v>
      </c>
      <c r="C542" s="10" t="s">
        <v>872</v>
      </c>
      <c r="D542" s="10" t="s">
        <v>939</v>
      </c>
      <c r="E542" s="10">
        <v>4348654</v>
      </c>
      <c r="F542" s="15">
        <v>100</v>
      </c>
      <c r="G542" s="10" t="s">
        <v>1213</v>
      </c>
      <c r="H542" s="10">
        <v>4348654</v>
      </c>
      <c r="I542" s="10" t="s">
        <v>1194</v>
      </c>
      <c r="J542" s="10" t="s">
        <v>1214</v>
      </c>
      <c r="K542" s="10" t="s">
        <v>1214</v>
      </c>
      <c r="L542" s="10" t="s">
        <v>1214</v>
      </c>
      <c r="M542" s="10" t="s">
        <v>1214</v>
      </c>
      <c r="N542" s="10" t="s">
        <v>102</v>
      </c>
      <c r="O542" s="10" t="s">
        <v>1214</v>
      </c>
      <c r="P542" s="10" t="s">
        <v>1214</v>
      </c>
      <c r="Q542" s="10" t="s">
        <v>1214</v>
      </c>
      <c r="R542" s="10" t="s">
        <v>1214</v>
      </c>
      <c r="S542" s="10" t="s">
        <v>61</v>
      </c>
    </row>
    <row r="543" spans="1:19" ht="72.5" x14ac:dyDescent="0.35">
      <c r="A543" s="14">
        <v>46022</v>
      </c>
      <c r="B543" s="10" t="s">
        <v>681</v>
      </c>
      <c r="C543" s="10" t="s">
        <v>682</v>
      </c>
      <c r="D543" s="10" t="s">
        <v>978</v>
      </c>
      <c r="E543" s="10">
        <v>4264043</v>
      </c>
      <c r="F543" s="15">
        <v>100</v>
      </c>
      <c r="G543" s="10" t="s">
        <v>1564</v>
      </c>
      <c r="H543" s="10">
        <v>4264043</v>
      </c>
      <c r="I543" s="10">
        <v>4348055</v>
      </c>
      <c r="J543" s="10" t="s">
        <v>1214</v>
      </c>
      <c r="K543" s="10" t="s">
        <v>1214</v>
      </c>
      <c r="L543" s="10" t="s">
        <v>1214</v>
      </c>
      <c r="M543" s="10" t="s">
        <v>1214</v>
      </c>
      <c r="N543" s="10" t="s">
        <v>105</v>
      </c>
      <c r="O543" s="10" t="s">
        <v>1214</v>
      </c>
      <c r="P543" s="10" t="s">
        <v>1214</v>
      </c>
      <c r="Q543" s="10" t="s">
        <v>1214</v>
      </c>
      <c r="R543" s="10" t="s">
        <v>1214</v>
      </c>
      <c r="S543" s="10" t="s">
        <v>105</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231B-3632-429A-BC59-D5BCAEAC7104}">
  <dimension ref="A1:D11"/>
  <sheetViews>
    <sheetView topLeftCell="A4" zoomScale="57" workbookViewId="0">
      <selection activeCell="C5" sqref="C5"/>
    </sheetView>
  </sheetViews>
  <sheetFormatPr defaultRowHeight="14.5" x14ac:dyDescent="0.35"/>
  <cols>
    <col min="1" max="1" width="27.81640625" customWidth="1"/>
    <col min="2" max="2" width="23.453125" customWidth="1"/>
    <col min="3" max="3" width="22.1796875" customWidth="1"/>
    <col min="4" max="4" width="19.453125" customWidth="1"/>
  </cols>
  <sheetData>
    <row r="1" spans="1:4" ht="29" x14ac:dyDescent="0.35">
      <c r="A1" s="9" t="str">
        <f>_xll.SNL.Clients.Office.Excel.Functions.SPGRANGEV(Ownership!H10, "SP_INVESTOR_NAME", "1", "10", "All")</f>
        <v>SPGRANGEV</v>
      </c>
      <c r="B1" s="9" t="str">
        <f>_xll.SNL.Clients.Office.Excel.Functions.SPGRANGEV(Ownership!H10, "SP_INVESTOR_STAKE", "1", "10", "All")</f>
        <v>SPGRANGEV</v>
      </c>
      <c r="C1" s="9" t="str">
        <f>_xll.SNL.Clients.Office.Excel.Functions.SPGRANGEV(Ownership!H10, "SP_PCT_HELD_BY_INST_OWNER", "1", "10", , "Summary")</f>
        <v>SPGRANGEV</v>
      </c>
      <c r="D1" s="12" t="str">
        <f>_xll.SNL.Clients.Office.Excel.Functions.SPGRANGEV(Ownership!H10, "SP_INSTITUTIONAL_NAME", "1", "10", , "Summary")</f>
        <v>SPGRANGEV</v>
      </c>
    </row>
    <row r="2" spans="1:4" ht="29" x14ac:dyDescent="0.35">
      <c r="A2" t="s">
        <v>1184</v>
      </c>
      <c r="B2" s="13">
        <v>1.8</v>
      </c>
      <c r="C2" s="13">
        <v>6.61</v>
      </c>
      <c r="D2" s="10" t="s">
        <v>1195</v>
      </c>
    </row>
    <row r="3" spans="1:4" ht="29" x14ac:dyDescent="0.35">
      <c r="A3" t="s">
        <v>1185</v>
      </c>
      <c r="B3" s="13">
        <v>5</v>
      </c>
      <c r="C3" s="13">
        <v>5.61</v>
      </c>
      <c r="D3" s="10" t="s">
        <v>1196</v>
      </c>
    </row>
    <row r="4" spans="1:4" ht="72.5" x14ac:dyDescent="0.35">
      <c r="A4" t="s">
        <v>1186</v>
      </c>
      <c r="B4" s="13">
        <v>5.14</v>
      </c>
      <c r="C4" s="13">
        <v>3</v>
      </c>
      <c r="D4" s="10" t="s">
        <v>1197</v>
      </c>
    </row>
    <row r="5" spans="1:4" ht="58" x14ac:dyDescent="0.35">
      <c r="A5" t="s">
        <v>1187</v>
      </c>
      <c r="B5" s="13">
        <v>5</v>
      </c>
      <c r="C5" s="13">
        <v>2.98</v>
      </c>
      <c r="D5" s="10" t="s">
        <v>1198</v>
      </c>
    </row>
    <row r="6" spans="1:4" x14ac:dyDescent="0.35">
      <c r="A6" t="s">
        <v>1188</v>
      </c>
      <c r="B6" s="13" t="s">
        <v>1194</v>
      </c>
      <c r="C6" s="13">
        <v>2.6</v>
      </c>
      <c r="D6" s="10" t="s">
        <v>1199</v>
      </c>
    </row>
    <row r="7" spans="1:4" ht="29" x14ac:dyDescent="0.35">
      <c r="A7" t="s">
        <v>1189</v>
      </c>
      <c r="B7" s="13" t="s">
        <v>1194</v>
      </c>
      <c r="C7" s="13">
        <v>2.41</v>
      </c>
      <c r="D7" s="10" t="s">
        <v>1200</v>
      </c>
    </row>
    <row r="8" spans="1:4" x14ac:dyDescent="0.35">
      <c r="A8" t="s">
        <v>1190</v>
      </c>
      <c r="B8" s="13">
        <v>0.06</v>
      </c>
      <c r="C8" s="13">
        <v>1.9</v>
      </c>
      <c r="D8" s="10" t="s">
        <v>1201</v>
      </c>
    </row>
    <row r="9" spans="1:4" ht="29" x14ac:dyDescent="0.35">
      <c r="A9" t="s">
        <v>1191</v>
      </c>
      <c r="B9" s="13">
        <v>7.0000000000000007E-2</v>
      </c>
      <c r="C9" s="13">
        <v>1.8</v>
      </c>
      <c r="D9" s="10" t="s">
        <v>1202</v>
      </c>
    </row>
    <row r="10" spans="1:4" ht="29" x14ac:dyDescent="0.35">
      <c r="A10" t="s">
        <v>1192</v>
      </c>
      <c r="B10" s="13">
        <v>0</v>
      </c>
      <c r="C10" s="13">
        <v>1.35</v>
      </c>
      <c r="D10" s="10" t="s">
        <v>1203</v>
      </c>
    </row>
    <row r="11" spans="1:4" ht="58" x14ac:dyDescent="0.35">
      <c r="A11" t="s">
        <v>1193</v>
      </c>
      <c r="B11" s="13" t="s">
        <v>1194</v>
      </c>
      <c r="C11" s="13">
        <v>1.32</v>
      </c>
      <c r="D11" s="10" t="s">
        <v>1204</v>
      </c>
    </row>
  </sheetData>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Ore</vt:lpstr>
      <vt:lpstr>Production Costs Co Product</vt:lpstr>
      <vt:lpstr>Production Costs By Product</vt:lpstr>
      <vt:lpstr>Cash Flow</vt:lpstr>
      <vt:lpstr>Ownership</vt:lpstr>
      <vt:lpstr>Sheet1</vt:lpstr>
      <vt:lpstr>Sheet3</vt:lpstr>
      <vt:lpstr>Sheet2</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2026-07-07T16:39:00Z</dcterms:created>
  <dcterms:modified xsi:type="dcterms:W3CDTF">2026-07-22T11:42:03Z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2026-07-08T09:01:20Z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87156b68-0336-4f4e-8549-b1bde1f2950e</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