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https://oecd-my.sharepoint.com/personal/wafa_houhamdi_oecd_org/Documents/Documents/cost curve/inputs/"/>
    </mc:Choice>
  </mc:AlternateContent>
  <xr:revisionPtr revIDLastSave="24" documentId="8_{A2E24AFD-FF14-49BB-9DD3-31AFD752DDAB}" xr6:coauthVersionLast="47" xr6:coauthVersionMax="47" xr10:uidLastSave="{A9EAEBEC-0DE7-40A5-82C9-297307CFAE47}"/>
  <bookViews>
    <workbookView xWindow="-110" yWindow="-110" windowWidth="19420" windowHeight="11500" firstSheet="3" activeTab="6" xr2:uid="{00000000-000D-0000-FFFF-FFFF00000000}"/>
  </bookViews>
  <sheets>
    <sheet name="__snloffice" sheetId="7" state="veryHidden" r:id="rId1"/>
    <sheet name="Ore" sheetId="1" r:id="rId2"/>
    <sheet name="Production Costs Co Product" sheetId="2" r:id="rId3"/>
    <sheet name="Production Costs By Product" sheetId="3" r:id="rId4"/>
    <sheet name="Sheet1" sheetId="6" r:id="rId5"/>
    <sheet name="Cash Flow" sheetId="4" r:id="rId6"/>
    <sheet name="Ownership" sheetId="5" r:id="rId7"/>
  </sheets>
  <externalReferences>
    <externalReference r:id="rId8"/>
  </externalReference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9" i="5" l="1"/>
  <c r="S82" i="5" l="1"/>
  <c r="R82" i="5"/>
  <c r="Q82" i="5"/>
  <c r="P82" i="5"/>
  <c r="O82" i="5"/>
  <c r="N82" i="5"/>
  <c r="M82" i="5"/>
  <c r="L82" i="5"/>
  <c r="K82" i="5"/>
  <c r="J82" i="5"/>
  <c r="S81" i="5"/>
  <c r="R81" i="5"/>
  <c r="Q81" i="5"/>
  <c r="P81" i="5"/>
  <c r="O81" i="5"/>
  <c r="N81" i="5"/>
  <c r="M81" i="5"/>
  <c r="L81" i="5"/>
  <c r="K81" i="5"/>
  <c r="J81" i="5"/>
  <c r="S80" i="5"/>
  <c r="R80" i="5"/>
  <c r="Q80" i="5"/>
  <c r="P80" i="5"/>
  <c r="O80" i="5"/>
  <c r="N80" i="5"/>
  <c r="M80" i="5"/>
  <c r="L80" i="5"/>
  <c r="K80" i="5"/>
  <c r="J80" i="5"/>
  <c r="S79" i="5"/>
  <c r="R79" i="5"/>
  <c r="Q79" i="5"/>
  <c r="P79" i="5"/>
  <c r="O79" i="5"/>
  <c r="N79" i="5"/>
  <c r="M79" i="5"/>
  <c r="L79" i="5"/>
  <c r="K79" i="5"/>
  <c r="J79" i="5"/>
  <c r="S78" i="5"/>
  <c r="R78" i="5"/>
  <c r="Q78" i="5"/>
  <c r="P78" i="5"/>
  <c r="O78" i="5"/>
  <c r="N78" i="5"/>
  <c r="M78" i="5"/>
  <c r="L78" i="5"/>
  <c r="K78" i="5"/>
  <c r="J78" i="5"/>
  <c r="S77" i="5"/>
  <c r="R77" i="5"/>
  <c r="Q77" i="5"/>
  <c r="P77" i="5"/>
  <c r="O77" i="5"/>
  <c r="N77" i="5"/>
  <c r="M77" i="5"/>
  <c r="L77" i="5"/>
  <c r="K77" i="5"/>
  <c r="J77" i="5"/>
  <c r="S76" i="5"/>
  <c r="R76" i="5"/>
  <c r="Q76" i="5"/>
  <c r="P76" i="5"/>
  <c r="O76" i="5"/>
  <c r="N76" i="5"/>
  <c r="M76" i="5"/>
  <c r="L76" i="5"/>
  <c r="K76" i="5"/>
  <c r="J76" i="5"/>
  <c r="S75" i="5"/>
  <c r="R75" i="5"/>
  <c r="Q75" i="5"/>
  <c r="P75" i="5"/>
  <c r="O75" i="5"/>
  <c r="N75" i="5"/>
  <c r="M75" i="5"/>
  <c r="L75" i="5"/>
  <c r="K75" i="5"/>
  <c r="J75" i="5"/>
  <c r="S74" i="5"/>
  <c r="R74" i="5"/>
  <c r="Q74" i="5"/>
  <c r="P74" i="5"/>
  <c r="O74" i="5"/>
  <c r="N74" i="5"/>
  <c r="M74" i="5"/>
  <c r="L74" i="5"/>
  <c r="K74" i="5"/>
  <c r="J74" i="5"/>
  <c r="S73" i="5"/>
  <c r="R73" i="5"/>
  <c r="Q73" i="5"/>
  <c r="P73" i="5"/>
  <c r="O73" i="5"/>
  <c r="N73" i="5"/>
  <c r="M73" i="5"/>
  <c r="L73" i="5"/>
  <c r="K73" i="5"/>
  <c r="J73" i="5"/>
  <c r="S72" i="5"/>
  <c r="R72" i="5"/>
  <c r="Q72" i="5"/>
  <c r="P72" i="5"/>
  <c r="O72" i="5"/>
  <c r="N72" i="5"/>
  <c r="M72" i="5"/>
  <c r="L72" i="5"/>
  <c r="K72" i="5"/>
  <c r="J72" i="5"/>
  <c r="S71" i="5"/>
  <c r="R71" i="5"/>
  <c r="Q71" i="5"/>
  <c r="P71" i="5"/>
  <c r="O71" i="5"/>
  <c r="N71" i="5"/>
  <c r="M71" i="5"/>
  <c r="L71" i="5"/>
  <c r="K71" i="5"/>
  <c r="J71" i="5"/>
  <c r="S70" i="5"/>
  <c r="R70" i="5"/>
  <c r="Q70" i="5"/>
  <c r="P70" i="5"/>
  <c r="O70" i="5"/>
  <c r="N70" i="5"/>
  <c r="M70" i="5"/>
  <c r="L70" i="5"/>
  <c r="K70" i="5"/>
  <c r="J70" i="5"/>
  <c r="S69" i="5"/>
  <c r="R69" i="5"/>
  <c r="Q69" i="5"/>
  <c r="P69" i="5"/>
  <c r="O69" i="5"/>
  <c r="N69" i="5"/>
  <c r="M69" i="5"/>
  <c r="L69" i="5"/>
  <c r="K69" i="5"/>
  <c r="J69" i="5"/>
  <c r="S68" i="5"/>
  <c r="R68" i="5"/>
  <c r="Q68" i="5"/>
  <c r="P68" i="5"/>
  <c r="O68" i="5"/>
  <c r="N68" i="5"/>
  <c r="M68" i="5"/>
  <c r="L68" i="5"/>
  <c r="K68" i="5"/>
  <c r="J68" i="5"/>
  <c r="S67" i="5"/>
  <c r="R67" i="5"/>
  <c r="Q67" i="5"/>
  <c r="P67" i="5"/>
  <c r="O67" i="5"/>
  <c r="N67" i="5"/>
  <c r="M67" i="5"/>
  <c r="L67" i="5"/>
  <c r="K67" i="5"/>
  <c r="J67" i="5"/>
  <c r="S66" i="5"/>
  <c r="R66" i="5"/>
  <c r="Q66" i="5"/>
  <c r="P66" i="5"/>
  <c r="O66" i="5"/>
  <c r="N66" i="5"/>
  <c r="M66" i="5"/>
  <c r="L66" i="5"/>
  <c r="K66" i="5"/>
  <c r="J66" i="5"/>
  <c r="S65" i="5"/>
  <c r="R65" i="5"/>
  <c r="Q65" i="5"/>
  <c r="P65" i="5"/>
  <c r="O65" i="5"/>
  <c r="N65" i="5"/>
  <c r="M65" i="5"/>
  <c r="L65" i="5"/>
  <c r="K65" i="5"/>
  <c r="J65" i="5"/>
  <c r="S64" i="5"/>
  <c r="R64" i="5"/>
  <c r="Q64" i="5"/>
  <c r="P64" i="5"/>
  <c r="O64" i="5"/>
  <c r="N64" i="5"/>
  <c r="M64" i="5"/>
  <c r="L64" i="5"/>
  <c r="K64" i="5"/>
  <c r="J64" i="5"/>
  <c r="S63" i="5"/>
  <c r="R63" i="5"/>
  <c r="Q63" i="5"/>
  <c r="P63" i="5"/>
  <c r="O63" i="5"/>
  <c r="N63" i="5"/>
  <c r="M63" i="5"/>
  <c r="L63" i="5"/>
  <c r="K63" i="5"/>
  <c r="J63" i="5"/>
  <c r="S62" i="5"/>
  <c r="R62" i="5"/>
  <c r="Q62" i="5"/>
  <c r="P62" i="5"/>
  <c r="O62" i="5"/>
  <c r="N62" i="5"/>
  <c r="M62" i="5"/>
  <c r="L62" i="5"/>
  <c r="K62" i="5"/>
  <c r="J62" i="5"/>
  <c r="S61" i="5"/>
  <c r="R61" i="5"/>
  <c r="Q61" i="5"/>
  <c r="P61" i="5"/>
  <c r="O61" i="5"/>
  <c r="N61" i="5"/>
  <c r="M61" i="5"/>
  <c r="L61" i="5"/>
  <c r="K61" i="5"/>
  <c r="J61" i="5"/>
  <c r="S60" i="5"/>
  <c r="R60" i="5"/>
  <c r="Q60" i="5"/>
  <c r="P60" i="5"/>
  <c r="O60" i="5"/>
  <c r="N60" i="5"/>
  <c r="M60" i="5"/>
  <c r="L60" i="5"/>
  <c r="K60" i="5"/>
  <c r="J60" i="5"/>
  <c r="S59" i="5"/>
  <c r="R59" i="5"/>
  <c r="Q59" i="5"/>
  <c r="P59" i="5"/>
  <c r="O59" i="5"/>
  <c r="N59" i="5"/>
  <c r="M59" i="5"/>
  <c r="L59" i="5"/>
  <c r="K59" i="5"/>
  <c r="J59" i="5"/>
  <c r="S58" i="5"/>
  <c r="R58" i="5"/>
  <c r="Q58" i="5"/>
  <c r="P58" i="5"/>
  <c r="O58" i="5"/>
  <c r="N58" i="5"/>
  <c r="M58" i="5"/>
  <c r="L58" i="5"/>
  <c r="K58" i="5"/>
  <c r="J58" i="5"/>
  <c r="S57" i="5"/>
  <c r="R57" i="5"/>
  <c r="Q57" i="5"/>
  <c r="P57" i="5"/>
  <c r="O57" i="5"/>
  <c r="N57" i="5"/>
  <c r="M57" i="5"/>
  <c r="L57" i="5"/>
  <c r="K57" i="5"/>
  <c r="J57" i="5"/>
  <c r="S56" i="5"/>
  <c r="R56" i="5"/>
  <c r="Q56" i="5"/>
  <c r="P56" i="5"/>
  <c r="O56" i="5"/>
  <c r="N56" i="5"/>
  <c r="M56" i="5"/>
  <c r="L56" i="5"/>
  <c r="K56" i="5"/>
  <c r="J56" i="5"/>
  <c r="S55" i="5"/>
  <c r="R55" i="5"/>
  <c r="Q55" i="5"/>
  <c r="P55" i="5"/>
  <c r="O55" i="5"/>
  <c r="N55" i="5"/>
  <c r="M55" i="5"/>
  <c r="L55" i="5"/>
  <c r="K55" i="5"/>
  <c r="J55" i="5"/>
  <c r="S54" i="5"/>
  <c r="R54" i="5"/>
  <c r="Q54" i="5"/>
  <c r="P54" i="5"/>
  <c r="O54" i="5"/>
  <c r="N54" i="5"/>
  <c r="M54" i="5"/>
  <c r="L54" i="5"/>
  <c r="K54" i="5"/>
  <c r="J54" i="5"/>
  <c r="S53" i="5"/>
  <c r="R53" i="5"/>
  <c r="Q53" i="5"/>
  <c r="P53" i="5"/>
  <c r="O53" i="5"/>
  <c r="N53" i="5"/>
  <c r="M53" i="5"/>
  <c r="L53" i="5"/>
  <c r="K53" i="5"/>
  <c r="J53" i="5"/>
  <c r="S52" i="5"/>
  <c r="R52" i="5"/>
  <c r="Q52" i="5"/>
  <c r="P52" i="5"/>
  <c r="O52" i="5"/>
  <c r="N52" i="5"/>
  <c r="M52" i="5"/>
  <c r="L52" i="5"/>
  <c r="K52" i="5"/>
  <c r="J52" i="5"/>
  <c r="S51" i="5"/>
  <c r="R51" i="5"/>
  <c r="Q51" i="5"/>
  <c r="P51" i="5"/>
  <c r="O51" i="5"/>
  <c r="N51" i="5"/>
  <c r="M51" i="5"/>
  <c r="L51" i="5"/>
  <c r="K51" i="5"/>
  <c r="J51" i="5"/>
  <c r="S50" i="5"/>
  <c r="R50" i="5"/>
  <c r="Q50" i="5"/>
  <c r="P50" i="5"/>
  <c r="O50" i="5"/>
  <c r="N50" i="5"/>
  <c r="M50" i="5"/>
  <c r="L50" i="5"/>
  <c r="K50" i="5"/>
  <c r="J50" i="5"/>
  <c r="S49" i="5"/>
  <c r="R49" i="5"/>
  <c r="Q49" i="5"/>
  <c r="P49" i="5"/>
  <c r="O49" i="5"/>
  <c r="N49" i="5"/>
  <c r="M49" i="5"/>
  <c r="K49" i="5"/>
  <c r="J49" i="5"/>
  <c r="S48" i="5"/>
  <c r="R48" i="5"/>
  <c r="Q48" i="5"/>
  <c r="P48" i="5"/>
  <c r="O48" i="5"/>
  <c r="N48" i="5"/>
  <c r="M48" i="5"/>
  <c r="L48" i="5"/>
  <c r="K48" i="5"/>
  <c r="J48" i="5"/>
  <c r="S47" i="5"/>
  <c r="R47" i="5"/>
  <c r="Q47" i="5"/>
  <c r="P47" i="5"/>
  <c r="O47" i="5"/>
  <c r="N47" i="5"/>
  <c r="M47" i="5"/>
  <c r="L47" i="5"/>
  <c r="K47" i="5"/>
  <c r="J47" i="5"/>
  <c r="S46" i="5"/>
  <c r="R46" i="5"/>
  <c r="Q46" i="5"/>
  <c r="P46" i="5"/>
  <c r="O46" i="5"/>
  <c r="N46" i="5"/>
  <c r="M46" i="5"/>
  <c r="L46" i="5"/>
  <c r="K46" i="5"/>
  <c r="J46" i="5"/>
  <c r="S45" i="5"/>
  <c r="R45" i="5"/>
  <c r="Q45" i="5"/>
  <c r="P45" i="5"/>
  <c r="O45" i="5"/>
  <c r="N45" i="5"/>
  <c r="M45" i="5"/>
  <c r="L45" i="5"/>
  <c r="K45" i="5"/>
  <c r="J45" i="5"/>
  <c r="S44" i="5"/>
  <c r="R44" i="5"/>
  <c r="Q44" i="5"/>
  <c r="P44" i="5"/>
  <c r="O44" i="5"/>
  <c r="N44" i="5"/>
  <c r="M44" i="5"/>
  <c r="L44" i="5"/>
  <c r="K44" i="5"/>
  <c r="J44" i="5"/>
  <c r="S43" i="5"/>
  <c r="R43" i="5"/>
  <c r="Q43" i="5"/>
  <c r="P43" i="5"/>
  <c r="O43" i="5"/>
  <c r="N43" i="5"/>
  <c r="M43" i="5"/>
  <c r="L43" i="5"/>
  <c r="K43" i="5"/>
  <c r="J43" i="5"/>
  <c r="S42" i="5"/>
  <c r="R42" i="5"/>
  <c r="Q42" i="5"/>
  <c r="P42" i="5"/>
  <c r="O42" i="5"/>
  <c r="N42" i="5"/>
  <c r="M42" i="5"/>
  <c r="L42" i="5"/>
  <c r="K42" i="5"/>
  <c r="J42" i="5"/>
  <c r="S41" i="5"/>
  <c r="R41" i="5"/>
  <c r="Q41" i="5"/>
  <c r="P41" i="5"/>
  <c r="O41" i="5"/>
  <c r="N41" i="5"/>
  <c r="M41" i="5"/>
  <c r="L41" i="5"/>
  <c r="K41" i="5"/>
  <c r="J41" i="5"/>
  <c r="S40" i="5"/>
  <c r="R40" i="5"/>
  <c r="Q40" i="5"/>
  <c r="P40" i="5"/>
  <c r="O40" i="5"/>
  <c r="N40" i="5"/>
  <c r="M40" i="5"/>
  <c r="L40" i="5"/>
  <c r="K40" i="5"/>
  <c r="J40" i="5"/>
  <c r="S39" i="5"/>
  <c r="R39" i="5"/>
  <c r="Q39" i="5"/>
  <c r="P39" i="5"/>
  <c r="O39" i="5"/>
  <c r="N39" i="5"/>
  <c r="M39" i="5"/>
  <c r="L39" i="5"/>
  <c r="K39" i="5"/>
  <c r="J39" i="5"/>
  <c r="S38" i="5"/>
  <c r="R38" i="5"/>
  <c r="Q38" i="5"/>
  <c r="P38" i="5"/>
  <c r="O38" i="5"/>
  <c r="N38" i="5"/>
  <c r="M38" i="5"/>
  <c r="L38" i="5"/>
  <c r="K38" i="5"/>
  <c r="J38" i="5"/>
  <c r="S37" i="5"/>
  <c r="R37" i="5"/>
  <c r="Q37" i="5"/>
  <c r="P37" i="5"/>
  <c r="O37" i="5"/>
  <c r="N37" i="5"/>
  <c r="M37" i="5"/>
  <c r="L37" i="5"/>
  <c r="K37" i="5"/>
  <c r="J37" i="5"/>
  <c r="S36" i="5"/>
  <c r="R36" i="5"/>
  <c r="Q36" i="5"/>
  <c r="P36" i="5"/>
  <c r="O36" i="5"/>
  <c r="N36" i="5"/>
  <c r="M36" i="5"/>
  <c r="L36" i="5"/>
  <c r="K36" i="5"/>
  <c r="J36" i="5"/>
  <c r="S35" i="5"/>
  <c r="R35" i="5"/>
  <c r="Q35" i="5"/>
  <c r="P35" i="5"/>
  <c r="O35" i="5"/>
  <c r="N35" i="5"/>
  <c r="M35" i="5"/>
  <c r="L35" i="5"/>
  <c r="K35" i="5"/>
  <c r="J35" i="5"/>
  <c r="S34" i="5"/>
  <c r="R34" i="5"/>
  <c r="Q34" i="5"/>
  <c r="P34" i="5"/>
  <c r="O34" i="5"/>
  <c r="N34" i="5"/>
  <c r="M34" i="5"/>
  <c r="L34" i="5"/>
  <c r="K34" i="5"/>
  <c r="J34" i="5"/>
  <c r="S33" i="5"/>
  <c r="R33" i="5"/>
  <c r="Q33" i="5"/>
  <c r="P33" i="5"/>
  <c r="O33" i="5"/>
  <c r="N33" i="5"/>
  <c r="M33" i="5"/>
  <c r="L33" i="5"/>
  <c r="K33" i="5"/>
  <c r="J33" i="5"/>
  <c r="S32" i="5"/>
  <c r="R32" i="5"/>
  <c r="Q32" i="5"/>
  <c r="P32" i="5"/>
  <c r="O32" i="5"/>
  <c r="N32" i="5"/>
  <c r="M32" i="5"/>
  <c r="L32" i="5"/>
  <c r="K32" i="5"/>
  <c r="J32" i="5"/>
  <c r="S31" i="5"/>
  <c r="R31" i="5"/>
  <c r="Q31" i="5"/>
  <c r="P31" i="5"/>
  <c r="O31" i="5"/>
  <c r="N31" i="5"/>
  <c r="M31" i="5"/>
  <c r="L31" i="5"/>
  <c r="K31" i="5"/>
  <c r="J31" i="5"/>
  <c r="S30" i="5"/>
  <c r="R30" i="5"/>
  <c r="Q30" i="5"/>
  <c r="P30" i="5"/>
  <c r="O30" i="5"/>
  <c r="N30" i="5"/>
  <c r="M30" i="5"/>
  <c r="L30" i="5"/>
  <c r="K30" i="5"/>
  <c r="J30" i="5"/>
  <c r="S29" i="5"/>
  <c r="R29" i="5"/>
  <c r="Q29" i="5"/>
  <c r="P29" i="5"/>
  <c r="O29" i="5"/>
  <c r="N29" i="5"/>
  <c r="M29" i="5"/>
  <c r="L29" i="5"/>
  <c r="K29" i="5"/>
  <c r="J29" i="5"/>
  <c r="S28" i="5"/>
  <c r="R28" i="5"/>
  <c r="Q28" i="5"/>
  <c r="P28" i="5"/>
  <c r="O28" i="5"/>
  <c r="N28" i="5"/>
  <c r="M28" i="5"/>
  <c r="L28" i="5"/>
  <c r="K28" i="5"/>
  <c r="J28" i="5"/>
  <c r="S27" i="5"/>
  <c r="R27" i="5"/>
  <c r="Q27" i="5"/>
  <c r="P27" i="5"/>
  <c r="O27" i="5"/>
  <c r="N27" i="5"/>
  <c r="M27" i="5"/>
  <c r="L27" i="5"/>
  <c r="K27" i="5"/>
  <c r="J27" i="5"/>
  <c r="S26" i="5"/>
  <c r="R26" i="5"/>
  <c r="Q26" i="5"/>
  <c r="P26" i="5"/>
  <c r="O26" i="5"/>
  <c r="N26" i="5"/>
  <c r="M26" i="5"/>
  <c r="L26" i="5"/>
  <c r="K26" i="5"/>
  <c r="J26" i="5"/>
  <c r="S25" i="5"/>
  <c r="R25" i="5"/>
  <c r="Q25" i="5"/>
  <c r="P25" i="5"/>
  <c r="O25" i="5"/>
  <c r="N25" i="5"/>
  <c r="M25" i="5"/>
  <c r="L25" i="5"/>
  <c r="K25" i="5"/>
  <c r="J25" i="5"/>
  <c r="S24" i="5"/>
  <c r="R24" i="5"/>
  <c r="Q24" i="5"/>
  <c r="P24" i="5"/>
  <c r="O24" i="5"/>
  <c r="N24" i="5"/>
  <c r="M24" i="5"/>
  <c r="L24" i="5"/>
  <c r="K24" i="5"/>
  <c r="J24" i="5"/>
  <c r="S23" i="5"/>
  <c r="R23" i="5"/>
  <c r="Q23" i="5"/>
  <c r="P23" i="5"/>
  <c r="O23" i="5"/>
  <c r="N23" i="5"/>
  <c r="M23" i="5"/>
  <c r="L23" i="5"/>
  <c r="K23" i="5"/>
  <c r="J23" i="5"/>
  <c r="S22" i="5"/>
  <c r="R22" i="5"/>
  <c r="Q22" i="5"/>
  <c r="P22" i="5"/>
  <c r="O22" i="5"/>
  <c r="N22" i="5"/>
  <c r="M22" i="5"/>
  <c r="L22" i="5"/>
  <c r="K22" i="5"/>
  <c r="J22" i="5"/>
  <c r="S21" i="5"/>
  <c r="R21" i="5"/>
  <c r="Q21" i="5"/>
  <c r="P21" i="5"/>
  <c r="O21" i="5"/>
  <c r="N21" i="5"/>
  <c r="M21" i="5"/>
  <c r="L21" i="5"/>
  <c r="K21" i="5"/>
  <c r="J21" i="5"/>
  <c r="S20" i="5"/>
  <c r="R20" i="5"/>
  <c r="Q20" i="5"/>
  <c r="P20" i="5"/>
  <c r="O20" i="5"/>
  <c r="N20" i="5"/>
  <c r="M20" i="5"/>
  <c r="L20" i="5"/>
  <c r="K20" i="5"/>
  <c r="J20" i="5"/>
  <c r="S19" i="5"/>
  <c r="R19" i="5"/>
  <c r="Q19" i="5"/>
  <c r="P19" i="5"/>
  <c r="O19" i="5"/>
  <c r="N19" i="5"/>
  <c r="M19" i="5"/>
  <c r="L19" i="5"/>
  <c r="K19" i="5"/>
  <c r="J19" i="5"/>
  <c r="S18" i="5"/>
  <c r="R18" i="5"/>
  <c r="Q18" i="5"/>
  <c r="P18" i="5"/>
  <c r="O18" i="5"/>
  <c r="N18" i="5"/>
  <c r="M18" i="5"/>
  <c r="L18" i="5"/>
  <c r="K18" i="5"/>
  <c r="J18" i="5"/>
  <c r="S17" i="5"/>
  <c r="R17" i="5"/>
  <c r="Q17" i="5"/>
  <c r="P17" i="5"/>
  <c r="O17" i="5"/>
  <c r="N17" i="5"/>
  <c r="M17" i="5"/>
  <c r="L17" i="5"/>
  <c r="K17" i="5"/>
  <c r="J17" i="5"/>
  <c r="S16" i="5"/>
  <c r="R16" i="5"/>
  <c r="Q16" i="5"/>
  <c r="P16" i="5"/>
  <c r="O16" i="5"/>
  <c r="N16" i="5"/>
  <c r="M16" i="5"/>
  <c r="L16" i="5"/>
  <c r="K16" i="5"/>
  <c r="J16" i="5"/>
  <c r="S15" i="5"/>
  <c r="R15" i="5"/>
  <c r="Q15" i="5"/>
  <c r="P15" i="5"/>
  <c r="O15" i="5"/>
  <c r="N15" i="5"/>
  <c r="M15" i="5"/>
  <c r="L15" i="5"/>
  <c r="K15" i="5"/>
  <c r="J15" i="5"/>
  <c r="S14" i="5"/>
  <c r="R14" i="5"/>
  <c r="Q14" i="5"/>
  <c r="P14" i="5"/>
  <c r="O14" i="5"/>
  <c r="N14" i="5"/>
  <c r="M14" i="5"/>
  <c r="L14" i="5"/>
  <c r="K14" i="5"/>
  <c r="J14" i="5"/>
  <c r="S13" i="5"/>
  <c r="R13" i="5"/>
  <c r="Q13" i="5"/>
  <c r="P13" i="5"/>
  <c r="O13" i="5"/>
  <c r="N13" i="5"/>
  <c r="M13" i="5"/>
  <c r="L13" i="5"/>
  <c r="K13" i="5"/>
  <c r="J13" i="5"/>
  <c r="S12" i="5"/>
  <c r="R12" i="5"/>
  <c r="Q12" i="5"/>
  <c r="P12" i="5"/>
  <c r="O12" i="5"/>
  <c r="N12" i="5"/>
  <c r="M12" i="5"/>
  <c r="L12" i="5"/>
  <c r="K12" i="5"/>
  <c r="J12" i="5"/>
  <c r="S11" i="5"/>
  <c r="R11" i="5"/>
  <c r="Q11" i="5"/>
  <c r="P11" i="5"/>
  <c r="O11" i="5"/>
  <c r="N11" i="5"/>
  <c r="M11" i="5"/>
  <c r="L11" i="5"/>
  <c r="K11" i="5"/>
  <c r="J11" i="5"/>
  <c r="S10" i="5"/>
  <c r="R10" i="5"/>
  <c r="Q10" i="5"/>
  <c r="P10" i="5"/>
  <c r="O10" i="5"/>
  <c r="N10" i="5"/>
  <c r="M10" i="5"/>
  <c r="L10" i="5"/>
  <c r="K10" i="5"/>
  <c r="J10" i="5"/>
  <c r="I82" i="5"/>
  <c r="H82" i="5"/>
  <c r="G82" i="5"/>
  <c r="I81" i="5"/>
  <c r="H81" i="5"/>
  <c r="G81" i="5"/>
  <c r="I80" i="5"/>
  <c r="H80" i="5"/>
  <c r="G80" i="5"/>
  <c r="I79" i="5"/>
  <c r="H79" i="5"/>
  <c r="G79" i="5"/>
  <c r="I78" i="5"/>
  <c r="H78" i="5"/>
  <c r="G78" i="5"/>
  <c r="I77" i="5"/>
  <c r="H77" i="5"/>
  <c r="G77" i="5"/>
  <c r="I76" i="5"/>
  <c r="H76" i="5"/>
  <c r="G76" i="5"/>
  <c r="I75" i="5"/>
  <c r="H75" i="5"/>
  <c r="G75" i="5"/>
  <c r="I74" i="5"/>
  <c r="H74" i="5"/>
  <c r="G74" i="5"/>
  <c r="I73" i="5"/>
  <c r="H73" i="5"/>
  <c r="G73" i="5"/>
  <c r="I72" i="5"/>
  <c r="H72" i="5"/>
  <c r="G72" i="5"/>
  <c r="I71" i="5"/>
  <c r="H71" i="5"/>
  <c r="G71" i="5"/>
  <c r="I70" i="5"/>
  <c r="H70" i="5"/>
  <c r="G70" i="5"/>
  <c r="I69" i="5"/>
  <c r="H69" i="5"/>
  <c r="G69" i="5"/>
  <c r="I68" i="5"/>
  <c r="H68" i="5"/>
  <c r="G68" i="5"/>
  <c r="I67" i="5"/>
  <c r="H67" i="5"/>
  <c r="G67" i="5"/>
  <c r="I66" i="5"/>
  <c r="H66" i="5"/>
  <c r="G66" i="5"/>
  <c r="I65" i="5"/>
  <c r="H65" i="5"/>
  <c r="G65" i="5"/>
  <c r="I64" i="5"/>
  <c r="H64" i="5"/>
  <c r="G64" i="5"/>
  <c r="I63" i="5"/>
  <c r="H63" i="5"/>
  <c r="G63" i="5"/>
  <c r="I62" i="5"/>
  <c r="H62" i="5"/>
  <c r="G62" i="5"/>
  <c r="I61" i="5"/>
  <c r="H61" i="5"/>
  <c r="G61" i="5"/>
  <c r="I60" i="5"/>
  <c r="H60" i="5"/>
  <c r="G60" i="5"/>
  <c r="I59" i="5"/>
  <c r="H59" i="5"/>
  <c r="G59" i="5"/>
  <c r="I58" i="5"/>
  <c r="H58" i="5"/>
  <c r="G58" i="5"/>
  <c r="I57" i="5"/>
  <c r="H57" i="5"/>
  <c r="G57" i="5"/>
  <c r="I56" i="5"/>
  <c r="H56" i="5"/>
  <c r="G56" i="5"/>
  <c r="I55" i="5"/>
  <c r="H55" i="5"/>
  <c r="G55" i="5"/>
  <c r="I54" i="5"/>
  <c r="H54" i="5"/>
  <c r="G54" i="5"/>
  <c r="I53" i="5"/>
  <c r="H53" i="5"/>
  <c r="G53" i="5"/>
  <c r="I52" i="5"/>
  <c r="H52" i="5"/>
  <c r="G52" i="5"/>
  <c r="I51" i="5"/>
  <c r="H51" i="5"/>
  <c r="G51" i="5"/>
  <c r="I50" i="5"/>
  <c r="H50" i="5"/>
  <c r="G50" i="5"/>
  <c r="I49" i="5"/>
  <c r="H49" i="5"/>
  <c r="G49" i="5"/>
  <c r="I48" i="5"/>
  <c r="H48" i="5"/>
  <c r="G48" i="5"/>
  <c r="I47" i="5"/>
  <c r="H47" i="5"/>
  <c r="G47" i="5"/>
  <c r="I46" i="5"/>
  <c r="H46" i="5"/>
  <c r="G46" i="5"/>
  <c r="I45" i="5"/>
  <c r="H45" i="5"/>
  <c r="G45" i="5"/>
  <c r="I44" i="5"/>
  <c r="H44" i="5"/>
  <c r="G44" i="5"/>
  <c r="I43" i="5"/>
  <c r="H43" i="5"/>
  <c r="G43" i="5"/>
  <c r="I42" i="5"/>
  <c r="H42" i="5"/>
  <c r="G42" i="5"/>
  <c r="I41" i="5"/>
  <c r="H41" i="5"/>
  <c r="G41" i="5"/>
  <c r="I40" i="5"/>
  <c r="H40" i="5"/>
  <c r="G40" i="5"/>
  <c r="I39" i="5"/>
  <c r="H39" i="5"/>
  <c r="G39" i="5"/>
  <c r="I38" i="5"/>
  <c r="H38" i="5"/>
  <c r="G38" i="5"/>
  <c r="I37" i="5"/>
  <c r="H37" i="5"/>
  <c r="G37" i="5"/>
  <c r="I36" i="5"/>
  <c r="H36" i="5"/>
  <c r="G36" i="5"/>
  <c r="I35" i="5"/>
  <c r="H35" i="5"/>
  <c r="G35" i="5"/>
  <c r="I34" i="5"/>
  <c r="H34" i="5"/>
  <c r="G34" i="5"/>
  <c r="I33" i="5"/>
  <c r="H33" i="5"/>
  <c r="G33" i="5"/>
  <c r="I32" i="5"/>
  <c r="H32" i="5"/>
  <c r="G32" i="5"/>
  <c r="I31" i="5"/>
  <c r="H31" i="5"/>
  <c r="G31" i="5"/>
  <c r="I30" i="5"/>
  <c r="H30" i="5"/>
  <c r="G30" i="5"/>
  <c r="I29" i="5"/>
  <c r="H29" i="5"/>
  <c r="G29" i="5"/>
  <c r="I28" i="5"/>
  <c r="H28" i="5"/>
  <c r="G28" i="5"/>
  <c r="I27" i="5"/>
  <c r="H27" i="5"/>
  <c r="G27" i="5"/>
  <c r="I26" i="5"/>
  <c r="H26" i="5"/>
  <c r="G26" i="5"/>
  <c r="I25" i="5"/>
  <c r="H25" i="5"/>
  <c r="G25" i="5"/>
  <c r="I24" i="5"/>
  <c r="H24" i="5"/>
  <c r="G24" i="5"/>
  <c r="I23" i="5"/>
  <c r="H23" i="5"/>
  <c r="G23" i="5"/>
  <c r="I22" i="5"/>
  <c r="H22" i="5"/>
  <c r="G22" i="5"/>
  <c r="I21" i="5"/>
  <c r="H21" i="5"/>
  <c r="G21" i="5"/>
  <c r="I20" i="5"/>
  <c r="H20" i="5"/>
  <c r="G20" i="5"/>
  <c r="I19" i="5"/>
  <c r="H19" i="5"/>
  <c r="G19" i="5"/>
  <c r="I18" i="5"/>
  <c r="H18" i="5"/>
  <c r="G18" i="5"/>
  <c r="I17" i="5"/>
  <c r="H17" i="5"/>
  <c r="G17" i="5"/>
  <c r="I16" i="5"/>
  <c r="H16" i="5"/>
  <c r="G16" i="5"/>
  <c r="I15" i="5"/>
  <c r="H15" i="5"/>
  <c r="G15" i="5"/>
  <c r="I14" i="5"/>
  <c r="H14" i="5"/>
  <c r="G14" i="5"/>
  <c r="I13" i="5"/>
  <c r="H13" i="5"/>
  <c r="G13" i="5"/>
  <c r="I12" i="5"/>
  <c r="H12" i="5"/>
  <c r="G12" i="5"/>
  <c r="I11" i="5"/>
  <c r="H11" i="5"/>
  <c r="G11" i="5"/>
  <c r="I10" i="5"/>
  <c r="H10" i="5"/>
  <c r="G10" i="5"/>
</calcChain>
</file>

<file path=xl/sharedStrings.xml><?xml version="1.0" encoding="utf-8"?>
<sst xmlns="http://schemas.openxmlformats.org/spreadsheetml/2006/main" count="1986" uniqueCount="342">
  <si>
    <t>Commodity: Cobalt</t>
  </si>
  <si>
    <t>Scenario:  Market Intelligence 2024 Constant USD</t>
  </si>
  <si>
    <t/>
  </si>
  <si>
    <t xml:space="preserve"> Period Ended</t>
  </si>
  <si>
    <t xml:space="preserve"> Property</t>
  </si>
  <si>
    <t xml:space="preserve"> Property ID</t>
  </si>
  <si>
    <t xml:space="preserve"> Country/Region</t>
  </si>
  <si>
    <t xml:space="preserve"> Waste Mined:
Open Pit
(kilotonnes)</t>
  </si>
  <si>
    <t xml:space="preserve"> Waste Mined:
Underground (kilotonnes)</t>
  </si>
  <si>
    <t xml:space="preserve"> Waste Mined:
Total (kilotonnes)</t>
  </si>
  <si>
    <t xml:space="preserve"> Open Pit
Strip Ratio
(x)</t>
  </si>
  <si>
    <t xml:space="preserve"> Ore Mined:
Open Pit
(kilotonnes)</t>
  </si>
  <si>
    <t xml:space="preserve"> Ore Mined:
Underground (kilotonnes)</t>
  </si>
  <si>
    <t xml:space="preserve"> Ore Mined:
Total (kilotonnes)</t>
  </si>
  <si>
    <t xml:space="preserve"> Ore Treated
(kilotonnes)</t>
  </si>
  <si>
    <t xml:space="preserve"> Mine: Labor
Cost ($/tonne)</t>
  </si>
  <si>
    <t xml:space="preserve"> Mine: Fuel
Cost ($/tonne)</t>
  </si>
  <si>
    <t xml:space="preserve"> Mine: Electricity
Cost ($/tonne)</t>
  </si>
  <si>
    <t xml:space="preserve"> Mine: Other
Cost ($/tonne)</t>
  </si>
  <si>
    <t xml:space="preserve"> Mine: Total
Cost ($/tonne)</t>
  </si>
  <si>
    <t xml:space="preserve"> Mill: Labor
Cost ($/tonne)</t>
  </si>
  <si>
    <t xml:space="preserve"> Mill: Reagents
Cost ($/tonne)</t>
  </si>
  <si>
    <t xml:space="preserve"> Mill: Electricity
Cost ($/tonne)</t>
  </si>
  <si>
    <t xml:space="preserve"> Mill: Other
Cost ($/tonne)</t>
  </si>
  <si>
    <t xml:space="preserve"> Mill: Total
Cost ($/tonne)</t>
  </si>
  <si>
    <t xml:space="preserve"> Total Minesite
Cost ($/tonne)</t>
  </si>
  <si>
    <t xml:space="preserve"> Transport and
Offsite Cost
($/tonne)</t>
  </si>
  <si>
    <t xml:space="preserve"> Treatment &amp;
Refining Charges
($/tonne)</t>
  </si>
  <si>
    <t xml:space="preserve"> Cash Operating
Cost ($/tonne)</t>
  </si>
  <si>
    <t xml:space="preserve"> Royalty Cost
($/tonne)</t>
  </si>
  <si>
    <t xml:space="preserve"> Total Cash
Cost ($/tonne)</t>
  </si>
  <si>
    <t xml:space="preserve"> Reclamation, Closure
Provision ($/tonne)</t>
  </si>
  <si>
    <t xml:space="preserve"> Depreciation ($/tonne)</t>
  </si>
  <si>
    <t xml:space="preserve"> Deferred Stripping
Amortized ($/tonne)</t>
  </si>
  <si>
    <t xml:space="preserve"> Inventory Change
($/tonne)</t>
  </si>
  <si>
    <t xml:space="preserve"> Total Production
Cost ($/tonne)</t>
  </si>
  <si>
    <t xml:space="preserve"> Corporate Overhead
Charges ($/tonne)</t>
  </si>
  <si>
    <t xml:space="preserve"> Exploration and
Other Sustaining
Costs ($/tonne)</t>
  </si>
  <si>
    <t xml:space="preserve"> Sustaining Capex
($/tonne)</t>
  </si>
  <si>
    <t xml:space="preserve"> All-in-Sustaining Cost
($/tonne)</t>
  </si>
  <si>
    <t xml:space="preserve"> Development and
Expansion Capex
($/tonne)</t>
  </si>
  <si>
    <t xml:space="preserve"> Interest Charges
($/tonne)</t>
  </si>
  <si>
    <t xml:space="preserve"> Extraordinary Cash
Charges ($/tonne)</t>
  </si>
  <si>
    <t xml:space="preserve"> Extraordinary Non-Cash
Charges ($/tonne)</t>
  </si>
  <si>
    <t xml:space="preserve"> Other All-in-Cost
($/tonne)</t>
  </si>
  <si>
    <t xml:space="preserve"> All-in-Cost ($/tonne)</t>
  </si>
  <si>
    <t xml:space="preserve"> Gross Revenue
($/tonne)</t>
  </si>
  <si>
    <t xml:space="preserve"> Cash Operating
Margin ($/tonne)</t>
  </si>
  <si>
    <t xml:space="preserve"> Total Cash
Margin ($/tonne)</t>
  </si>
  <si>
    <t>Ambatovy</t>
  </si>
  <si>
    <t>30428</t>
  </si>
  <si>
    <t>Madagascar</t>
  </si>
  <si>
    <t>Chambishi</t>
  </si>
  <si>
    <t>28268</t>
  </si>
  <si>
    <t>Zambia</t>
  </si>
  <si>
    <t>Deerni</t>
  </si>
  <si>
    <t>30531</t>
  </si>
  <si>
    <t>China</t>
  </si>
  <si>
    <t>Kalatongke</t>
  </si>
  <si>
    <t>34844</t>
  </si>
  <si>
    <t>Kalongwe</t>
  </si>
  <si>
    <t>38132</t>
  </si>
  <si>
    <t>Dem. Rep. Congo</t>
  </si>
  <si>
    <t>Kisanfu</t>
  </si>
  <si>
    <t>35320</t>
  </si>
  <si>
    <t>Kolwezi</t>
  </si>
  <si>
    <t>78612</t>
  </si>
  <si>
    <t>Alex</t>
  </si>
  <si>
    <t>81253</t>
  </si>
  <si>
    <t>Eagle</t>
  </si>
  <si>
    <t>33795</t>
  </si>
  <si>
    <t>USA</t>
  </si>
  <si>
    <t>Etoile</t>
  </si>
  <si>
    <t>36399</t>
  </si>
  <si>
    <t>Goro</t>
  </si>
  <si>
    <t>27742</t>
  </si>
  <si>
    <t>New Caledonia</t>
  </si>
  <si>
    <t>Impala Bafokeng</t>
  </si>
  <si>
    <t>30267</t>
  </si>
  <si>
    <t>South Africa</t>
  </si>
  <si>
    <t>Kamoto SX-EW</t>
  </si>
  <si>
    <t>79271</t>
  </si>
  <si>
    <t>Kevitsa</t>
  </si>
  <si>
    <t>29179</t>
  </si>
  <si>
    <t>Finland</t>
  </si>
  <si>
    <t>Jinchuan</t>
  </si>
  <si>
    <t>27136</t>
  </si>
  <si>
    <t>Manitoba Division</t>
  </si>
  <si>
    <t>26560</t>
  </si>
  <si>
    <t>Canada</t>
  </si>
  <si>
    <t>Metalkol RTR</t>
  </si>
  <si>
    <t>29829</t>
  </si>
  <si>
    <t>Mimosa</t>
  </si>
  <si>
    <t>27951</t>
  </si>
  <si>
    <t>Zimbabwe</t>
  </si>
  <si>
    <t>Ontario Division</t>
  </si>
  <si>
    <t>27672</t>
  </si>
  <si>
    <t>Piaui</t>
  </si>
  <si>
    <t>37657</t>
  </si>
  <si>
    <t>Brazil</t>
  </si>
  <si>
    <t>Sudbury Operations</t>
  </si>
  <si>
    <t>27146</t>
  </si>
  <si>
    <t>Moa Bay</t>
  </si>
  <si>
    <t>28629</t>
  </si>
  <si>
    <t>Cuba</t>
  </si>
  <si>
    <t>Mutanda SX-EW</t>
  </si>
  <si>
    <t>76076</t>
  </si>
  <si>
    <t>Ta Khoa</t>
  </si>
  <si>
    <t>27531</t>
  </si>
  <si>
    <t>Vietnam</t>
  </si>
  <si>
    <t>Munali</t>
  </si>
  <si>
    <t>27453</t>
  </si>
  <si>
    <t>Musonoi</t>
  </si>
  <si>
    <t>37355</t>
  </si>
  <si>
    <t>Nchanga</t>
  </si>
  <si>
    <t>28264</t>
  </si>
  <si>
    <t>Norilsk</t>
  </si>
  <si>
    <t>75972</t>
  </si>
  <si>
    <t>Russia</t>
  </si>
  <si>
    <t>Raglan</t>
  </si>
  <si>
    <t>26073</t>
  </si>
  <si>
    <t>Ramu</t>
  </si>
  <si>
    <t>27187</t>
  </si>
  <si>
    <t>Papua New Guinea</t>
  </si>
  <si>
    <t>Ruashi</t>
  </si>
  <si>
    <t>29830</t>
  </si>
  <si>
    <t>Terrafame</t>
  </si>
  <si>
    <t>35352</t>
  </si>
  <si>
    <t>Voisey's Bay</t>
  </si>
  <si>
    <t>28992</t>
  </si>
  <si>
    <t>Zimplats</t>
  </si>
  <si>
    <t>29249</t>
  </si>
  <si>
    <t>East Yellow Mountain</t>
  </si>
  <si>
    <t>33386</t>
  </si>
  <si>
    <t>Murrin Murrin</t>
  </si>
  <si>
    <t>28725</t>
  </si>
  <si>
    <t>Australia</t>
  </si>
  <si>
    <t>Rio Tuba</t>
  </si>
  <si>
    <t>34257</t>
  </si>
  <si>
    <t>Philippines</t>
  </si>
  <si>
    <t>Sichuan La-La</t>
  </si>
  <si>
    <t>31591</t>
  </si>
  <si>
    <t>Taganito</t>
  </si>
  <si>
    <t>29157</t>
  </si>
  <si>
    <t>Tenke Fungurume</t>
  </si>
  <si>
    <t>28371</t>
  </si>
  <si>
    <t>Santa Rita</t>
  </si>
  <si>
    <t>33832</t>
  </si>
  <si>
    <t>Tulaergen</t>
  </si>
  <si>
    <t>80826</t>
  </si>
  <si>
    <t>Ore</t>
  </si>
  <si>
    <t xml:space="preserve"> Head Grade
(%)</t>
  </si>
  <si>
    <t xml:space="preserve"> Recovery Rate
(%)</t>
  </si>
  <si>
    <t xml:space="preserve"> Recovered Cobalt
(kilotonnes)</t>
  </si>
  <si>
    <t xml:space="preserve"> Payability (%)</t>
  </si>
  <si>
    <t xml:space="preserve"> Paid Cobalt
Produced (kilotonnes)</t>
  </si>
  <si>
    <t xml:space="preserve"> Commodity Net
Revenue (%)</t>
  </si>
  <si>
    <t xml:space="preserve"> Mine: Labor
Cost (¢/lb)</t>
  </si>
  <si>
    <t xml:space="preserve"> Mine: Fuel
Cost (¢/lb)</t>
  </si>
  <si>
    <t xml:space="preserve"> Mine: Electricity
Cost (¢/lb)</t>
  </si>
  <si>
    <t xml:space="preserve"> Mine: Other
Cost (¢/lb)</t>
  </si>
  <si>
    <t xml:space="preserve"> Mine: Total
Cost (¢/lb)</t>
  </si>
  <si>
    <t xml:space="preserve"> Mill: Labor
Cost (¢/lb)</t>
  </si>
  <si>
    <t xml:space="preserve"> Mill: Reagents
Cost (¢/lb)</t>
  </si>
  <si>
    <t xml:space="preserve"> Mill: Electricity
Cost (¢/lb)</t>
  </si>
  <si>
    <t xml:space="preserve"> Mill: Other
Cost (¢/lb)</t>
  </si>
  <si>
    <t xml:space="preserve"> Mill: Total
Cost (¢/lb)</t>
  </si>
  <si>
    <t xml:space="preserve"> Total Minesite
Cost (¢/lb)</t>
  </si>
  <si>
    <t xml:space="preserve"> Transport and
Offsite Cost
(¢/lb)</t>
  </si>
  <si>
    <t xml:space="preserve"> Treatment &amp;
Refining Charges
(¢/lb)</t>
  </si>
  <si>
    <t xml:space="preserve"> Cash Operating
Cost (¢/lb)</t>
  </si>
  <si>
    <t xml:space="preserve"> Royalty Cost
(¢/lb)</t>
  </si>
  <si>
    <t xml:space="preserve"> Total Cash
Cost (¢/lb)</t>
  </si>
  <si>
    <t xml:space="preserve"> Reclamation, Closure
Provision (¢/lb)</t>
  </si>
  <si>
    <t xml:space="preserve"> Depreciation (¢/lb)</t>
  </si>
  <si>
    <t xml:space="preserve"> Deferred Stripping
Amortized (¢/lb)</t>
  </si>
  <si>
    <t xml:space="preserve"> Inventory Change
(¢/lb)</t>
  </si>
  <si>
    <t xml:space="preserve"> Total Production
Cost (¢/lb)</t>
  </si>
  <si>
    <t xml:space="preserve"> Corporate Overhead
Charges (¢/lb)</t>
  </si>
  <si>
    <t xml:space="preserve"> Exploration and
Other Sustaining
Costs (¢/lb)</t>
  </si>
  <si>
    <t xml:space="preserve"> Sustaining Capex
(¢/lb)</t>
  </si>
  <si>
    <t xml:space="preserve"> All-in-Sustaining Cost
(¢/lb)</t>
  </si>
  <si>
    <t xml:space="preserve"> Development and
Expansion Capex
(¢/lb)</t>
  </si>
  <si>
    <t xml:space="preserve"> Interest Charges
(¢/lb)</t>
  </si>
  <si>
    <t xml:space="preserve"> Extraordinary Cash
Charges (¢/lb)</t>
  </si>
  <si>
    <t xml:space="preserve"> Extraordinary Non-Cash
Charges (¢/lb)</t>
  </si>
  <si>
    <t xml:space="preserve"> Other All-in-Cost
(¢/lb)</t>
  </si>
  <si>
    <t xml:space="preserve"> All-in-Cost (¢/lb)</t>
  </si>
  <si>
    <t xml:space="preserve"> Realized Price
(¢/lb)</t>
  </si>
  <si>
    <t xml:space="preserve"> Gross Revenue
($M)</t>
  </si>
  <si>
    <t xml:space="preserve"> Cash Operating
Margin (¢/lb)</t>
  </si>
  <si>
    <t xml:space="preserve"> Total Cash
Margin (¢/lb)</t>
  </si>
  <si>
    <t>Production Costs Co Product</t>
  </si>
  <si>
    <t xml:space="preserve"> By-product Credits
(¢/lb)</t>
  </si>
  <si>
    <t>Production Costs By Product</t>
  </si>
  <si>
    <t xml:space="preserve"> Realization Cost
($M)</t>
  </si>
  <si>
    <t xml:space="preserve"> Net Revenue
($M)</t>
  </si>
  <si>
    <t xml:space="preserve"> Royalties ($M)</t>
  </si>
  <si>
    <t xml:space="preserve"> Total Minesite
Costs ($M)</t>
  </si>
  <si>
    <t xml:space="preserve"> Indirect and
Extraordinary Costs
($M)</t>
  </si>
  <si>
    <t xml:space="preserve"> Working Capital
($M)</t>
  </si>
  <si>
    <t xml:space="preserve"> Sustaining Capex
($M)</t>
  </si>
  <si>
    <t xml:space="preserve"> Development and
Expansion Capex
($M)</t>
  </si>
  <si>
    <t xml:space="preserve"> Pre-tax Cash
Flow ($M)</t>
  </si>
  <si>
    <t xml:space="preserve"> Tax ($M)</t>
  </si>
  <si>
    <t xml:space="preserve"> Post-tax Cash
Flow ($M)</t>
  </si>
  <si>
    <t xml:space="preserve"> Corporate Tax
Rate (%)</t>
  </si>
  <si>
    <t xml:space="preserve"> Depreciation ($M)</t>
  </si>
  <si>
    <t xml:space="preserve"> NPV Discounted
at 8%
($M)</t>
  </si>
  <si>
    <t xml:space="preserve"> NPV Discounted
at 10%
($M)</t>
  </si>
  <si>
    <t xml:space="preserve"> NPV Discounted
at 12%
($M)</t>
  </si>
  <si>
    <t xml:space="preserve"> NPV Discounted
at 14%
($M)</t>
  </si>
  <si>
    <t>Cash Flow</t>
  </si>
  <si>
    <t xml:space="preserve"> Owner</t>
  </si>
  <si>
    <t xml:space="preserve"> KeyInstn</t>
  </si>
  <si>
    <t xml:space="preserve"> Equity Ownership
(%)</t>
  </si>
  <si>
    <t>Xinjiang Xinxin Mining Industry Co. Ltd.</t>
  </si>
  <si>
    <t>Korea Mine Rehabilitation and Mineral Resources Corp.</t>
  </si>
  <si>
    <t>Sumitomo Corp.</t>
  </si>
  <si>
    <t>China Nonferrous Mining Corp. Ltd.</t>
  </si>
  <si>
    <t>ZCCM Investments Holdings PLC</t>
  </si>
  <si>
    <t>Zijin Mining Group Co. Ltd.</t>
  </si>
  <si>
    <t>Lundin Mining Corp.</t>
  </si>
  <si>
    <t>Shalina Resources Ltd.</t>
  </si>
  <si>
    <t>Prony Resources New Caledonia consortium</t>
  </si>
  <si>
    <t>Societe de Participation Miniere du Sud Caledonia SAS</t>
  </si>
  <si>
    <t>Impala Platinum Holdings Ltd.</t>
  </si>
  <si>
    <t>Private Interest</t>
  </si>
  <si>
    <t>JinChuan Group Co.Ltd.</t>
  </si>
  <si>
    <t>Chengtun Mining Group Co. Ltd.</t>
  </si>
  <si>
    <t>La Generale Industrielle et Commerciale au Congo SPRL</t>
  </si>
  <si>
    <t>Glencore PLC</t>
  </si>
  <si>
    <t>Boliden AB (publ)</t>
  </si>
  <si>
    <t>CMOC Group Ltd.</t>
  </si>
  <si>
    <t>Contemporary Amperex Technology Co. Ltd.</t>
  </si>
  <si>
    <t>Gécamines SA</t>
  </si>
  <si>
    <t>Vale SA</t>
  </si>
  <si>
    <t>Eurasian Group LLP</t>
  </si>
  <si>
    <t>Sibanye Stillwater Ltd.</t>
  </si>
  <si>
    <t>General Nickel Company SA</t>
  </si>
  <si>
    <t>Sherritt International Corp.</t>
  </si>
  <si>
    <t>Consolidated Mining and Investments Ltd</t>
  </si>
  <si>
    <t>Jinchuan Group International Resources Co. Ltd.</t>
  </si>
  <si>
    <t>Vedanta Inc.</t>
  </si>
  <si>
    <t>PJSC Mining and Metallurgical Co. Norilsk Nickel</t>
  </si>
  <si>
    <t>Brazilian Nickel Plc</t>
  </si>
  <si>
    <t>Ji Lin Ji En Nickel Industry Co. Ltd.</t>
  </si>
  <si>
    <t>Jiuquan Iron and Steel (Group) Co. Ltd.</t>
  </si>
  <si>
    <t>Metallurgical Corp. of China Ltd.</t>
  </si>
  <si>
    <t>Mineral Resources Development Corp.</t>
  </si>
  <si>
    <t>Nickel 28 Capital Corp.</t>
  </si>
  <si>
    <t>Nickel Asia Corporation</t>
  </si>
  <si>
    <t>Pacific Metals Co. Ltd.</t>
  </si>
  <si>
    <t>Sojitz Corp.</t>
  </si>
  <si>
    <t>Appian Capital Advisory LLP</t>
  </si>
  <si>
    <t>China State-Owned Mining Enterprise</t>
  </si>
  <si>
    <t>Sorowako</t>
  </si>
  <si>
    <t>27363</t>
  </si>
  <si>
    <t>PT Vale Indonesia Tbk</t>
  </si>
  <si>
    <t>Blackstone Minerals Ltd.</t>
  </si>
  <si>
    <t>Xalotho Co. Ltd</t>
  </si>
  <si>
    <t>Terrafame Oy</t>
  </si>
  <si>
    <t>Zimplats Holdings Ltd.</t>
  </si>
  <si>
    <t>Ownership</t>
  </si>
  <si>
    <t>List of owners</t>
  </si>
  <si>
    <t>Owner 1 SNL institution key</t>
  </si>
  <si>
    <t>Owner 2 SNL institution key</t>
  </si>
  <si>
    <t>Ultimate parent company name owner 1</t>
  </si>
  <si>
    <t>Ultimate parent company country owner 1</t>
  </si>
  <si>
    <t>Parent company Owner 1</t>
  </si>
  <si>
    <t>Parent company country onwer 1</t>
  </si>
  <si>
    <t>Country name owner 1</t>
  </si>
  <si>
    <t>Ultimate parent company name owner 2</t>
  </si>
  <si>
    <t>Ultimate parent company country owner 2</t>
  </si>
  <si>
    <t>Parent company Owner 2</t>
  </si>
  <si>
    <t>Parent company country onwer 2</t>
  </si>
  <si>
    <t>Country name owner 2</t>
  </si>
  <si>
    <t>Xinjiang Xinxin Mining Industry Co., Ltd.  100%</t>
  </si>
  <si>
    <t>NA</t>
  </si>
  <si>
    <t>Xinjiang NonFerrous Metal Industry (Group) Co.Ltd</t>
  </si>
  <si>
    <t>Unnamed Owner (Fractional) %; Korea Mine Rehabilitation and Mineral Resources Corporation (Venturer) 45.82%; Sumitomo Corporation (Venturer) 54.17%</t>
  </si>
  <si>
    <t>Japan</t>
  </si>
  <si>
    <t>South Korea</t>
  </si>
  <si>
    <t>ZCCM Investments Holdings Plc (Venturer) 15%; China Nonferrous Mining Corporation Limited (Venturer) 85%</t>
  </si>
  <si>
    <t>State-owned Assets Supervision and Administration Commission of the State Counci</t>
  </si>
  <si>
    <t>China Nonferrous Mining Development Limited</t>
  </si>
  <si>
    <t>BVI</t>
  </si>
  <si>
    <t>Industrial Development Corporation (Zambia) Limited</t>
  </si>
  <si>
    <t>Zijin Mining Group Company Limited  100%</t>
  </si>
  <si>
    <t>Talon Metals Corp.  100%</t>
  </si>
  <si>
    <t>Shalina Resources Ltd  95%; Dem. Rep. Congo (Carried) 5%</t>
  </si>
  <si>
    <t>Shalina Group Limited</t>
  </si>
  <si>
    <t>United Arab Emirates</t>
  </si>
  <si>
    <t>United Kingdom</t>
  </si>
  <si>
    <t>Societe de Participation Miniere du Sud Caledonia SAS (Venturer) 5%; Prony Resources New Caledonia consortium (Venturer) 95%</t>
  </si>
  <si>
    <t>France</t>
  </si>
  <si>
    <t>Private Interest (Venturer) 13%; Impala Platinum Holdings Limited (Venturer) 87%</t>
  </si>
  <si>
    <t>JinChuan Group Co.,Ltd  100%</t>
  </si>
  <si>
    <t>State-Owned Assets Supervision And Administration Commission Of Gansu Provincial</t>
  </si>
  <si>
    <t>Chengtun Mining Group Co., Ltd. (Venturer) 85%; Dem. Rep. Congo (Carried) 5%; La Generale Industrielle et Commerciale au Congo SPRL (Venturer) 10%; Ivanhoe Mines Ltd. (Fractional) %</t>
  </si>
  <si>
    <t>Glencore plc  75%; Dem. Rep. Congo (Venturer) 25%</t>
  </si>
  <si>
    <t>Switzerland</t>
  </si>
  <si>
    <t>Boliden AB (publ)  100%</t>
  </si>
  <si>
    <t>Sweden</t>
  </si>
  <si>
    <t>CMOC Group Limited (Venturer) 71.25%; Contemporary Amperex Technology Co., Limited (Venturer) 23.75%; Unnamed Owner (Fractional) %</t>
  </si>
  <si>
    <t>Zijin Mining Group Company Limited (Venturer) 67%; Gécamines SA (Venturer) 33%</t>
  </si>
  <si>
    <t>Vale S.A.  100%</t>
  </si>
  <si>
    <t>Eurasian Group LLP  100%</t>
  </si>
  <si>
    <t>Eurasian Resources Group S.à r.l.</t>
  </si>
  <si>
    <t>Luxembourg</t>
  </si>
  <si>
    <t>Kazakhstan</t>
  </si>
  <si>
    <t>Sibanye Stillwater Limited (Venturer) 50%; Impala Platinum Holdings Limited (Venturer) 50%</t>
  </si>
  <si>
    <t>General Nickel Company S.A.  50%; Sherritt International Corporation (Venturer) 50%</t>
  </si>
  <si>
    <t>Consolidated Mining and Investments Ltd (Optionee) 68%; Jinchuan Group International Resources Co. Ltd (Optionor) 32%</t>
  </si>
  <si>
    <t>Jinchuan (BVI) Limited</t>
  </si>
  <si>
    <t>Hong Kong</t>
  </si>
  <si>
    <t>Glencore plc  100%</t>
  </si>
  <si>
    <t>Dem. Rep. Congo (Venturer) 5%; Jinchuan Group International Resources Co. Ltd (Venturer) 70%; Gécamines SA (Venturer) 25%</t>
  </si>
  <si>
    <t>Vedanta Incorporated (Venturer) 79.4%; ZCCM Investments Holdings Plc (Venturer) 20.6%</t>
  </si>
  <si>
    <t>Conclave PTC Limited</t>
  </si>
  <si>
    <t>Bahamas</t>
  </si>
  <si>
    <t>Public Joint Stock Company Mining and Metallurgical Company Norilsk Nickel  100%</t>
  </si>
  <si>
    <t>Brazilian Nickel Plc  100%</t>
  </si>
  <si>
    <t>Jiuquan Iron and Steel (Group) Co., Ltd. (Venturer) 11.05%; Nickel 28 Capital Corp. (Carried) 8.56%; Jinchuan Group International Resources Co. Ltd (Venturer) 5.93%; Metallurgical Corporation of China Ltd. (Venturer) 56.97%; Ji Lin Ji En Nickel Industry Co., Ltd. (Venturer) 11.05%; Mineral Resources Development Corp (Venturer) 3.94%; Private Interest (Venturer) 2.5%</t>
  </si>
  <si>
    <t>China Minmetals Co., Ltd</t>
  </si>
  <si>
    <t>Pacific Metals Co., Ltd. (Venturer) 36%; Nickel Asia Corporation (Venturer) 60%; Sojitz Corporation (Venturer) 4%</t>
  </si>
  <si>
    <t>Jinchuan Group International Resources Co. Ltd (Venturer) 70%; Gécamines SA (Venturer) 25%; Dem. Rep. Congo (Venturer) 5%</t>
  </si>
  <si>
    <t>Appian Capital Advisory LLP  100%</t>
  </si>
  <si>
    <t>China State-Owned Mining Enterprise  100%</t>
  </si>
  <si>
    <t>PT Vale Indonesia Tbk  100%</t>
  </si>
  <si>
    <t>Indonesia</t>
  </si>
  <si>
    <t>Xalotho Company Limited (Optionee) 80%; Blackstone Minerals Limited (Optionor) 20%</t>
  </si>
  <si>
    <t>Nickel Asia Corporation (Venturer) 65%; Pacific Metals Co., Ltd. (Venturer) 33.5%; Sojitz Corporation (Venturer) 1.5%</t>
  </si>
  <si>
    <t>Gécamines SA (Carried) 20%; CMOC Group Limited (Venturer) 80%</t>
  </si>
  <si>
    <t>Terrafame Oy  100%</t>
  </si>
  <si>
    <t>Finnish Minerals Group Oy</t>
  </si>
  <si>
    <t>Zimplats Holdings Limited  100%</t>
  </si>
  <si>
    <t>Impala Platinum Holdings Limited</t>
  </si>
  <si>
    <t>Impala Platinum BV</t>
  </si>
  <si>
    <t>Netherlands</t>
  </si>
  <si>
    <t>Guernsey</t>
  </si>
  <si>
    <t>允䅁䥁䅉䅁歂䅁䅁睒獂䝁䅕杢橂䝁䄸杣求䍁䅁䅣獂䝁䅍䅉杁䑁䅣兎汁䑁䅳䅉䕂䝁䅕兢畁䍁䅁杕求䡁䅁杌杁䕁䅍睢畂䝁䅣睢杁䍁䅧杖求䝁䄴䅤ㅂ䡁䅉党祂䍁䅫䅉祁䑁䅕兊䅁䑁䅑䅁楃䅁䅁䅕祂䝁䅫杤桂䡁䅑党杁䕁䅫杢あ䝁䅕杣求䡁䅍䅤杁䍁䅧杖求䝁䄴䅤ㅂ䡁䅉党祂䍁䅫䅉硁䑁䅍兊㝁䍁䅁兓瑂䡁䅁兙獂䝁䅅䅉兂䝁䅷兙あ䝁䅫杢ㅂ䝁䄰䅉䥂䝁䄸䅢歂䝁䅫杢湂䡁䅍䅉䵂䝁䅫兢灂䡁䅑党歂䍁䅁䅋坂䝁䅕杢あ䡁䅕杣求䡁䅉克杁䑁䅧睎汁䅁䅁兌䅁䍁䉧䅁噂䝁䄴杢桂䝁䄰党歂䍁䅁睔㍂䝁䄴党祂䍁䅁䅋䝂䡁䅉兙橂䡁䅑兡療䝁䄴兙獂䍁䅫䅉汁䑁䅳䅉䱂䝁䄸杣求䝁䅅䅉乂䝁䅫杢求䍁䅁杕求䝁䅧兙楂䝁䅫䅢灂䡁䅑兙あ䝁䅫睢畂䍁䅁兙畂䝁䅑䅉乂䝁䅫杢求䡁䅉兙獂䍁䅁杕求䡁䅍睢ㅂ䡁䅉睙求䡁䅍䅉䑂䝁䄸杣睂䝁䄸杣桂䡁䅑兡療䝁䄴䅉潁䙁䅙党畂䡁䅑兤祂䝁䅕杣灁䍁䅁䅎ㅁ䍁䄴䅏祁䍁䅕睏杁䙁䅍兤瑂䝁䅫䅤療䝁䄰睢杁䕁䅍睢祂䡁䅁睢祂䝁䅅䅤灂䝁䄸杢杁䍁䅧杖求䝁䄴䅤ㅂ䡁䅉党祂䍁䅫䅉ㅁ䑁䅑杌硁䑁䅣兊䅁䅁䅣䅁獄䅁䅁杔灂䝁䅍睡求䝁䅷䅉䉂䡁䅍兡桂䍁䅁睑療䡁䅉䅣療䡁䅉兙あ䝁䅫睢畂䍁䅁䅋坂䝁䅕杢あ䡁䅕杣求䡁䅉克杁䑁䅙兎汁䑁䅳䅉兂䝁䅅睙灂䝁䅙兡橂䍁䅁兔求䡁䅑兙獂䡁䅍䅉䑂䝁䄸杌獁䍁䅁䅔あ䝁䅑杌杁䍁䅧杖求䝁䄴䅤ㅂ䡁䅉党祂䍁䅫䅉穁䑁䅍杌ㅁ䍁䅕睏杁䙁䅍睢煂䝁䅫䅤㙂䍁䅁睑療䡁䅉䅣療䡁䅉兙あ䝁䅫睢畂䍁䅁䅋坂䝁䅕杢あ䡁䅕杣求䡁䅉克杁䑁䅅杌ㅁ䍁䅕䅁㡁䅁䅁䅄䅁䑁䅍䅏硁䑁䅍杍䅁䍁䅧䅁獄䅁䅁睑療䝁䄴督療䝁䅷兡歂䝁䅅䅤求䝁䅑䅉乂䝁䅫杢灂䝁䄴睚杁䝁䅅杢歂䍁䅁兓畂䡁䅙党穂䡁䅑兢求䝁䄴䅤穂䍁䅁䅔あ䝁䅑䅉潁䕁䄸䅣あ䝁䅫睢畂䝁䅕党灁䍁䅁李㑁䍁䅕睏杁䕁䅯兡畂䝁䅍䅡ㅂ䝁䅅杢杁䕁䅣杣療䡁䅕䅣杁䕁䅫杢あ䝁䅕杣畂䝁䅅䅤灂䝁䄸杢桂䝁䅷䅉卂䝁䅕督療䡁䅕杣橂䝁䅕督杁䕁䅍睢畁䍁䅁䅔あ䝁䅑䅉潁䕁䄸䅣あ䝁䅫睢畂䝁䄸杣灁䍁䅁睍祁䍁䅕䅁呁䅁䅁杄䅁䑁䅉䅎穁䑁䅍杍㍁䅁䅁䅁䅁䅁䅷䅁祁䑁䅣睎ぁ䑁䅉䅁䉁䅁䅁䅄䅁䑁䅉兏祁䑁䅑兏䅁䅁䅑䅁䵁䅁䅁杍㕁䑁䅅睎㕁䅁䅁睈䅁䅁䅷䅁㑁䑁䅁䅏祁䑁䅙䅁塁䅁䅁杆䅁䕁䄸睖佂䕁䅕杕時䕁䅷兓呂䙁䅑䅁䍁䅁䅁䄹䅁䕁䅑党瑂䍁䄴䅉卂䝁䅕䅣畁䍁䅁睑療䝁䄴睚療䍁䅁䅋坂䝁䅕杢あ䡁䅕杣求䡁䅉克杁䑁䅕兊㝁䍁䅁杓灂䝁䄴睙潂䡁䅕兙畂䍁䅁睒祂䝁䄸兤睂䍁䅁兓畂䡁䅑党祂䝁䄴兙あ䝁䅫睢畂䝁䅅䅢杁䙁䅉党穂䝁䄸兤祂䝁䅍党穂䍁䅁睑療䍁䄴䅉䵂䡁䅑䅚杁䍁䅧杖求䝁䄴䅤ㅂ䡁䅉党祂䍁䅫䅉㍁䑁䅁兊㝁䍁䅁睒灄䝁䅍兙瑂䝁䅫杢求䡁䅍䅉呂䕁䅅䅉潁䙁䅙党畂䡁䅑兤祂䝁䅕杣灁䍁䅁杍ㅁ䍁䅕䅁⭁䅁䅁䅄䅁䑁䅍䅍ぁ䑁䅉䅏䅁䅁䅙䅁㙁䅁䅁杓灂䝁䄴睑潂䡁䅕兙畂䍁䅁睒祂䝁䄸兤睂䍁䅁睑療䍁䄴䅌䵂䡁䅑䅚杁䍁䅁免睁䑁䅁兊䅁䑁䅅䅁祁䅁䅁兒ㅂ䡁䅉兙穂䝁䅫兙畂䍁䅁睒祂䝁䄸兤睂䍁䅁䅔䵂䙁䅁䅉杁䑁䅅䅍睁䍁䅕䅁敁䅁䅁末䅁䙁䅍睢橂䝁䅫党あ䝁䅕䅉歂䝁䅕䅉兂䝁䅅杣あ䝁䅫睙灂䡁䅁兙あ䝁䅫睢畂䍁䅁兔灂䝁䄴兡求䡁䅉党杁䝁䅑兤杁䙁䅍兤歂䍁䅁睑桂䝁䅷党歂䝁䄸杢灂䝁䅅䅉呂䕁䅅睕杁䍁䅧杖求䝁䄴䅤ㅂ䡁䅉党祂䍁䅫䅉ㅁ䍁䅕睏杁䙁䅁杣療䝁䄴入杁䙁䅉党穂䝁䄸兤祂䝁䅍党穂䍁䅁杔求䡁䅣䅉䑂䝁䅅䅢求䝁䅑睢畂䝁䅫兙杁䝁䅍睢畂䡁䅍睢祂䡁䅑兡ㅂ䝁䄰䅉潁䙁䅙党畂䡁䅑兤祂䝁䅕杣灁䍁䅁兏ㅁ䍁䅕䅁䑁䅁䅁杮䅁䙁䅯兡煂䝁䅫杢杁䕁䄰兡畂䝁䅫杢湂䍁䅁睒祂䝁䄸兤睂䍁䅁睑療䝁䄰䅣桂䝁䄴入杁䕁䅷兡瑂䝁䅫䅤求䝁䅑䅉潁䙁䅙党畂䡁䅑兤祂䝁䅕杣灁䍁䅁李㍁䍁䅕睏杁䕁䅣儶橂䝁䅅兢灂䝁䄴党穂䍁䅁睕䉂䍁䅁䅋坂䝁䅕杢あ䡁䅕杣求䡁䅉克杁䑁䅍睍汁䅁䅁䅏䅁䕁䅁䅁慂䝁䅫兢睂䝁䅷兙あ䡁䅍䅉䥂䝁䄸䅢歂䝁䅫杢湂䡁䅍䅉䵂䝁䅫兢灂䡁䅑党歂䍁䅁䅉硁䑁䅁䅍汁䅁䅁兂䅁䅁䅷䅁穁䑁䅁杍㉁䑁䅣䅁獁䅁䅁䅅䅁䕁䄸睤畂䝁䅕杣杁䑁䅅䅁䩁䅁䅁䅄䅁䑁䅉䅏祁䑁䅙䅏䅁䉁䅑䅁潁䅁䅁睔塂䕁䄴兒卂䙁䄸睕佂䕁䅷睘䩂䕁䄴睕啂䕁䄴睘䱂䕁䅕兗䅁䅁䅧䅁䵁䅁䅁睍ぁ䑁䅧䅎ぁ䅁䅁睋䅁䅁䅷䅁穁䑁䅅兎㕁䑁䅅䅁䭁䅁䅁䅄䅁䑁䅣兏祁䑁䅣免䅁䅁䅳䅁允䅁䅁睔㍂䝁䄴党祂䍁䅁杍䅁䅁䅷䅁䵁䅁䅁睍穁䑁䅍䅏㉁䅁䅁兄䅁䝁䅁䅁奂䝁䅫杢煂䝁䅫兙畂䝁䅣䅉奂䝁䅫杢㑂䝁䅫杢杁䕁䄰兡畂䝁䅫杢湂䍁䅁兓畂䝁䅑兤穂䡁䅑杣㕂䍁䅁睑療䍁䄴䅌杁䕁䅷䅤歂䍁䄴䅉杁䑁䅅䅍睁䍁䅕䅁佁䅁䅁䅄䅁䑁䅧免祁䑁䅕睍䅁䅁䄸䅁䵁䅁䅁睍穁䑁䅣兏ㅁ䅁䅁睉䅁䅁䅷䅁祁䑁䅣睍㉁䑁䅍䅁允䅁䅁䅏䅁䙁䅁䅖杁䙁䅙兙獂䝁䅕䅉䩂䝁䄴䅚療䝁䄴党穂䝁䅫兙杁䙁䅑杙牂䍁䅁䅉硁䑁䅁䅍汁䅁䅁充䅁䍁䅑䅁呂䙁䅁睘兂䕁䅅杕䙂䕁䄴䅖時䕁䅍睔噂䕁䄴䅖卂䙁䅫䅁婂䅁䅁䅄䅁䑁䅉䅏㉁䑁䅉兏䅁䑁䅙䅁䵁䅁䅁睍㍁䑁䅍兎ㅁ䅁䅁兎䅁䅁䅷䅁祁䑁䅣䅎ㅁ䑁䅍䅁十䅁䅁朰䅁䙁䅯睑䑂䕁䄰䅉䩂䝁䄴杤求䡁䅍䅤瑂䝁䅕杢あ䡁䅍䅉䥂䝁䄸䅢歂䝁䅫杢湂䡁䅍䅉兂䝁䅷睙杁䍁䅧杖求䝁䄴䅤ㅂ䡁䅉党祂䍁䅫䅉硁䑁䅕兊㝁䍁䅁睑潂䝁䅫杢桂䍁䅁杔療䝁䄴杚求䡁䅉杣療䡁䅕督杁䕁䄰兡畂䝁䅫杢湂䍁䅁睑療䡁䅉䅣療䡁䅉兙あ䝁䅫睢畂䍁䅁䅔灂䝁䄰兡あ䝁䅕䅚杁䍁䅧杖求䝁䄴䅤ㅂ䡁䅉党祂䍁䅫䅉㑁䑁䅕兊䅁䉁䅕䅁䵁䅁䅁睍ㅁ䑁䅍兎祁䅁䅁杆䅁䅁䅙䅁佂䕁䅅䅁奁䅁䅁䅄䅁䑁䅍兎穁䑁䅉䅍䅁䉁䅫䅁䵁䅁䅁睎㑁䑁䅙免祁䅁䅁睎䅁䅁䉙䅁䑂䕁䄰睔䑂䍁䅁睒祂䝁䄸兤睂䍁䅁䅔灂䝁䄰兡あ䝁䅕䅚杁䍁䅧杖求䝁䄴䅤ㅂ䡁䅉党祂䍁䅫䅉㍁䑁䅅杌祁䑁䅕兊㝁䍁䅁睑療䝁䄴䅤求䝁䄰䅣療䡁䅉兙祂䡁䅫䅉䉂䝁䄰䅣求䡁䅉党㑂䍁䅁䅖求䝁䅍䅡畂䝁䄸䅢療䝁䅣入杁䕁䅍睢畁䍁䅷䅉䵂䝁䅫兢灂䡁䅑党歂䍁䅁䅋坂䝁䅕杢あ䡁䅕杣求䡁䅉克杁䑁䅉睍畁䑁䅣兎汁䑁䅳䅉噂䝁䄴杢桂䝁䄰党歂䍁䅁睔㍂䝁䄴党祂䍁䅁䅋䝂䡁䅉兙橂䡁䅑兡療䝁䄴兙獂䍁䅫䅉汁䅁䅁杇䅁䅁䅷䅁祁䑁䅣兏ㅁ䑁䅅䅁祁䅁䅁䅄䅁䑁䅉李睁䑁䅣睍䅁䉁䅳䅁流䅁䅁睒獂䝁䅕杢橂䝁䄸杣求䍁䅁䅣獂䝁䅍䅉杁䑁䅅䅍睁䍁䅕䅁捁䅁䅁䅉䅁䙁䅙兙獂䝁䅕䅉呂䍁䄴兑畁䍁䅁䅉硁䑁䅁䅍汁䅁䅁睌䅁䅁䅷䅁祁䑁䅫䅏祁䑁䅫䅁摁䅁䅁杆䅁䕁䅳兙㙂䝁䅅睡潂䡁䅍䅤桂䝁䄴䅁穂䅁䅁䅍䅁䕁䅉睢獂䝁䅫䅚求䝁䄴䅉䉂䕁䅉䅉潁䡁䅁兤楂䝁䅷克杁䍁䅁免睁䑁䅁兊䅁䍁䅁䅁卂䅁䅁杗灂䝁䅯兡畂䍁䅁兔灂䝁䄴兡畂䝁䅣䅉䡂䡁䅉睢ㅂ䡁䅁䅉䑂䝁䄸兢睂䝁䅅杢㕂䍁䅁䅔灂䝁䄰兡あ䝁䅕䅚杁䍁䅁免睁䑁䅁兊䅁䍁䅉䅁䵁䅁䅁睍睁䑁䅕睍硁䅁䅁光䅁䑁䅉䅁啂䝁䅅䅢療䝁䄴䅉乂䝁䅕䅤桂䝁䅷督杁䕁䅍睢祂䡁䅁杌杁䍁䅁免睁䑁䅁兊䅁䍁䅑䅁䵁䅁䅁睍㉁䑁䅍兏㕁䅁䅁兊䅁䅁䅷䅁穁䑁䅣李ㅁ䑁䅣䅁流䅁䅁李䅁䕁䅉杣桂䡁䅯兡獂䝁䅫兙畂䍁䅁杔灂䝁䅍睡求䝁䅷䅉兂䝁䅷睙杁䍁䅁免睁䑁䅁兊䅁䍁䅣䅁獂允䅁睑潂䝁䅕杢湂䡁䅑兤畂䍁䅁兔灂䝁䄴兡畂䝁䅣䅉䡂䡁䅉睢ㅂ䡁䅁䅉䑂䝁䄸杌獁䍁䅁䅔あ䝁䅑杌杁䍁䅧杖求䝁䄴䅤ㅂ䡁䅉党祂䍁䅫䅉㑁䑁䅕兊㝁䍁䅁䅒求䝁䄰杌杁䙁䅉党睂䍁䄴䅉䑂䝁䄸杢湂䝁䄸䅉潁䕁䅍兙祂䡁䅉兡求䝁䅑克杁䑁䅕兊㝁䍁䅁䅔桂䍁䅁睒求䝁䄴党祂䝁䅅䅢求䍁䅁兓畂䝁䅑兤穂䡁䅑杣灂䝁䅕䅢獂䝁䅕䅉求䡁䅑䅉䑂䝁䄸兢瑂䝁䅕杣橂䝁䅫兙獂䝁䅕䅉桂䡁䅕䅉䑂䝁䄸杢湂䝁䄸䅉呂䙁䅁杕䵂䍁䅁䅋坂䝁䅕杢あ䡁䅕杣求䡁䅉克杁䑁䅅䅍汁䑁䅳䅉䩂䡁䅙兙畂䝁䅧睢求䍁䅁兔灂䝁䄴党穂䍁䅁䅔あ䝁䅑杌杁䍁䅧杒祂䝁䅅睙あ䝁䅫睢畂䝁䅅䅢灁䍁䅁兊䅁䍁䅫䅁潃䅁䅁睒求䝁䄴党祂䝁䅅䅢杁䕁䄴兡橂䝁䅳党獂䍁䅁睑療䝁䄰䅣桂䝁䄴入杁䙁䅍杌䉂䍁䄴䅉杁䑁䅕䅍汁䑁䅳䅉呂䝁䅧党祂䡁䅉兡あ䡁䅑䅉䩂䝁䄴䅤求䡁䅉杢桂䡁䅑兡療䝁䄴兙獂䍁䅁睑療䡁䅉䅣療䡁䅉兙あ䝁䅫睢畂䍁䅁䅋坂䝁䅕杢あ䡁䅕杣求䡁䅉克杁䑁䅕䅍汁䅁䅁児䅁䡁䅉䅁呂䝁䅧兙獂䝁䅫杢桂䍁䅁杕求䡁䅍睢ㅂ䡁䅉睙求䡁䅍䅉䵂䡁䅑䅚杁䍁䅁兏ㅁ䍁䅕睏杁䕁䅑党瑂䍁䄴䅉卂䝁䅕䅣畁䍁䅁睑療䝁䄴睚療䍁䅁䅋䑂䝁䅅杣祂䝁䅫党歂䍁䅫䅉ㅁ䍁䅕䅁煁䅁䅁䅄䅁䑁䅉李ㅁ䑁䅙䅍䅁䍁䄴䅁䵁䅁䅁杍㍁䑁䅅睍㉁䅁䅁䅍䅁䅁䅷䅁穁䑁䅍䅏穁䑁䅉䅁穁䅁䅁杴䅁䙁䅍兡楂䝁䅅杢㕂䝁䅕䅉呂䡁䅑兡獂䝁䅷睤桂䡁䅑党祂䍁䅁䅔灂䝁䄰兡あ䝁䅕䅚杁䍁䅧杖求䝁䄴䅤ㅂ䡁䅉党祂䍁䅫䅉ㅁ䑁䅁兊㝁䍁䅁兓瑂䡁䅁兙獂䝁䅅䅉兂䝁䅷兙あ䝁䅫杢ㅂ䝁䄰䅉䥂䝁䄸䅢歂䝁䅫杢湂䡁䅍䅉䵂䝁䅫兢灂䡁䅑党歂䍁䅁䅋坂䝁䅕杢あ䡁䅕杣求䡁䅉克杁䑁䅕䅍汁䅁䅁兏䅁䅁䅷䅁祁䑁䅧睎祁䑁䅕䅁㙁䅁䅁䅄䅁䑁䅣李睁䑁䅣李䅁䑁䄸䅁䵁䅁䅁杍㕁䑁䅅兎㍁䅁䅁睏䅁䙁䅑䅁䑂䝁䅧兡畂䝁䅅䅉呂䡁䅑兙あ䝁䅕兌偂䡁䅣杢求䝁䅑䅉乂䝁䅫杢灂䝁䄴睚杁䕁䅕杢あ䝁䅕杣睂䡁䅉兡穂䝁䅕䅉杁䑁䅅䅍睁䍁䅕䅁䅂䅁䅁䅄䅁䑁䅉䅏祁䑁䅙䅎䅁䕁䅅䅁獃䅁䅁杖求䝁䅑兙畂䡁䅑兙杁䕁䅫杢橂䝁䄸杣睂䝁䄸杣桂䡁䅑党歂䍁䅁䅋坂䝁䅕杢あ䡁䅕杣求䡁䅉克杁䑁䅣兏畁䑁䅑兊㝁䍁䅁杗䑂䕁䅍兔杁䕁䅫杢㉂䝁䅕督あ䝁䄰党畂䡁䅑督杁䕁䅧睢獂䝁䅑兡畂䝁䅣督杁䙁䅁䅢橂䍁䅁䅋坂䝁䅕杢あ䡁䅕杣求䡁䅉克杁䑁䅉䅍畁䑁䅙兊䅁䕁䅉䅁䵁䅁䅁睎ㅁ䑁䅫睎祁䅁䅁睑䅁䭁䅉䅁兂䡁䅕杙獂䝁䅫睙杁䕁䅯睢灂䝁䄴䅤杁䙁䅍䅤療䝁䅍睡杁䕁䅍睢瑂䡁䅁兙畂䡁䅫䅉乂䝁䅫杢灂䝁䄴睚杁䝁䅅杢歂䍁䅁兔求䡁䅑兙獂䝁䅷兤祂䝁䅣兡橂䝁䅅䅢杁䕁䅍睢瑂䡁䅁兙畂䡁䅫䅉佂䝁䄸杣灂䝁䅷督牂䍁䅁杔灂䝁䅍睡求䝁䅷䅉杁䑁䅅䅍睁䍁䅕䅁䕂䅁䅁䅄䅁䑁䅉睎㉁䑁䅣杍䅁䕁䅕䅁䵁䅁䅁杍㍁䑁䅅䅏㍁䅁䅁杒䅁佁䍉䅁䭂䝁䅫兤硂䡁䅕兙畂䍁䅁兓祂䝁䄸杢杁䝁䅅杢歂䍁䅁睕あ䝁䅕党獂䍁䅁䅋䡂䡁䅉睢ㅂ䡁䅁克杁䕁䅍睢畁䍁䅷䅉䵂䡁䅑䅚畁䍁䅁䅋坂䝁䅕杢あ䡁䅕杣求䡁䅉克杁䑁䅅免畁䑁䅁兎汁䑁䅳䅉佂䝁䅫睙牂䝁䅕䅢杁䑁䅉䅏杁䕁䅍兙睂䝁䅫䅤桂䝁䅷䅉䑂䝁䄸杣睂䍁䄴䅉潁䕁䅍兙祂䡁䅉兡求䝁䅑克杁䑁䅧杌ㅁ䑁䅙兊㝁䍁䅁杓灂䝁䄴睙潂䡁䅕兙畂䍁䅁睒祂䝁䄸兤睂䍁䅁兓畂䡁䅑党祂䝁䄴兙あ䝁䅫睢畂䝁䅅䅢杁䙁䅉党穂䝁䄸兤祂䝁䅍党穂䍁䅁睑療䍁䄴䅉䵂䡁䅑䅚杁䍁䅧杖求䝁䄴䅤ㅂ䡁䅉党祂䍁䅫䅉ㅁ䍁䄴兏穁䍁䅕睏杁䕁䄰党あ䝁䅅䅢獂䡁䅕杣湂䝁䅫睙桂䝁䅷䅉䑂䝁䄸杣睂䝁䄸杣桂䡁䅑兡療䝁䄴䅉療䝁䅙䅉䑂䝁䅧兡畂䝁䅅䅉䵂䡁䅑䅚畁䍁䅁䅋坂䝁䅕杢あ䡁䅕杣求䡁䅉克杁䑁䅕李畁䑁䅫睎汁䑁䅳䅉䭂䝁䅫䅉䵂䝁䅫杢杁䕁䅯兡杁䕁䅕杢杁䕁䄴兡橂䝁䅳党獂䍁䅁兓畂䝁䅑兤穂䡁䅑杣㕂䍁䅁睑療䍁䄴䅌杁䕁䅷䅤歂䍁䄴䅉潁䙁䅙党畂䡁䅑兤祂䝁䅕杣灁䍁䅁免硁䍁䄴䅍ㅁ䍁䅕睏杁䕁䄰兡畂䝁䅕杣桂䝁䅷䅉卂䝁䅕督療䡁䅕杣橂䝁䅕督杁䕁䅑党㉂䝁䅕䅢療䡁䅁兢求䝁䄴䅤杁䕁䅍睢祂䡁䅁䅉潁䙁䅙党畂䡁䅑兤祂䝁䅕杣灁䍁䅁睍畁䑁䅫䅎汁䑁䅳䅉兂䡁䅉兡㉂䝁䅅䅤求䍁䅁兓畂䡁䅑党祂䝁䅕督あ䍁䅁䅋坂䝁䅕杢あ䡁䅕杣求䡁䅉克杁䑁䅉杌ㅁ䍁䅕䅁䡂䅁䅁䅄䅁䑁䅍䅎祁䑁䅕睎䅁䕁䅧䅁歄䅁䅁䅕桂䝁䅍兡浂䝁䅫睙杁䕁䄰党あ䝁䅅䅢穂䍁䅁睑療䍁䄴䅌杁䕁䅷䅤歂䍁䄴䅉潁䙁䅙党畂䡁䅑兤祂䝁䅕杣灁䍁䅁睍㉁䍁䅕睏杁䕁䄴兡橂䝁䅳党獂䍁䅁兑穂䝁䅫兙杁䕁䅍睢祂䡁䅁睢祂䝁䅅䅤灂䝁䄸杢杁䍁䅧杖求䝁䄴䅤ㅂ䡁䅉党祂䍁䅫䅉㉁䑁䅁兊㝁䍁䅁睕療䝁䅯兡あ䡁䅯䅉䑂䝁䄸杣睂䝁䄸杣桂䡁䅑兡療䝁䄴䅉潁䙁䅙党畂䡁䅑兤祂䝁䅕杣灁䍁䅁䅎汁䅁䅁兓䅁䍁䄴䅁呂䙁䅁睘兂䕁䅅杕䙂䕁䄴䅖時䕁䅍睔乂䙁䅁兑佂䙁䅫睘佂䕁䅅兔䙂䅁䅁杖䅁䅁䅷䅁祁䑁䅫䅏穁䑁䅁䅁䭂䅁䅁䄹䅁䕁䅯兡畂䝁䅍䅡ㅂ䝁䅅杢杁䕁䅣杣療䡁䅕䅣杁䕁䅫杢あ䝁䅕杣畂䝁䅅䅤灂䝁䄸杢桂䝁䅷䅉卂䝁䅕督療䡁䅕杣橂䝁䅕督杁䕁䅍睢畁䍁䅁䅔あ䝁䅑䅉潁䙁䅙党畂䡁䅑兤祂䝁䅕杣灁䍁䅁睎睁䍁䅕睏杁䕁䅣儶橂䝁䅅兢灂䝁䄴党穂䍁䅁睕䉂䍁䅁䅋坂䝁䅕杢あ䡁䅕杣求䡁䅉克杁䑁䅉兎汁䑁䅳䅉䕂䝁䅕兢畁䍁䅁杕求䡁䅁杌杁䕁䅍睢畂䝁䅣睢杁䍁䅧杖求䝁䄴䅤ㅂ䡁䅉党祂䍁䅫䅉ㅁ䍁䅕䅁䱂䅁䅁䅒䅁䕁䅅䅣睂䝁䅫兙畂䍁䅁睑桂䡁䅁兡あ䝁䅅䅢杁䕁䅅䅚㉂䝁䅫督療䡁䅉入杁䕁䅷䅔兂䍁䅁䅉硁䑁䅁䅍汁䅁䅁䅔䅁䅁䅷䅁祁䑁䅣免ぁ䑁䅙䅁乂䅁䅁䅄䅁䑁䅉䅏㕁䑁䅫杍䅁䕁䄴䅁䵁䅁䅁杍㍁䑁䅕睍硁䅁䅁睔䅁䭁䅙䅁奂䝁䅅䅢療䡁䅑䅡療䍁䅁睑療䝁䄰䅣桂䝁䄴入杁䕁䅷兡瑂䝁䅫䅤求䝁䅑䅉潁䕁䄸䅣あ䝁䅫睢畂䝁䅕党灁䍁䅁䅏睁䍁䅕睏杁䕁䅉䅢桂䝁䅍睡穂䡁䅑睢畂䝁䅕䅉乂䝁䅫杢求䡁䅉兙獂䡁䅍䅉䵂䝁䅫兢灂䡁䅑党歂䍁䅁䅋偂䡁䅁䅤灂䝁䄸杢療䡁䅉克杁䑁䅉䅍汁䅁䅁䅕䅁䅁䅷䅁祁䑁䅧睍㍁䑁䅅䅁剂䅁䅁䅦䅁䕁䅣儶橂䝁䅅兢灂䝁䄴党穂䍁䅁睕䉂䍁䅁䅋䑂䝁䅅杣祂䝁䅫党歂䍁䅫䅉祁䑁䅁兊㝁䍁䅁睑乂䕁䄸睑杁䕁䅣杣療䡁䅕䅣杁䕁䅷兡瑂䝁䅫䅤求䝁䅑䅉潁䙁䅙党畂䡁䅑兤祂䝁䅕杣灁䍁䅁䅏睁䍁䅕䅁卂䅁䅁杊䅁䙁䅑党祂䡁䅉兙浂䝁䅅兢求䍁䅁睔㕂䍁䅁䅉硁䑁䅁䅍汁䅁䅁睕䅁䑁䅙䅁呂䙁䅁睘噂䕁䅷䅖時䙁䅁兑卂䕁䅕杔啂䙁䄸睑偂䕁䄰䅕䉂䕁䄴兗時䕁䄴兑乂䕁䅕䅁啂䅁䅁䅚䅁䙁䅧兡畂䝁䅯兡桂䝁䄴睚杁䕁䄴睢畂䕁䅙党祂䡁䅉睢ㅂ䡁䅍䅉乂䝁䅕䅤桂䝁䅷䅉䩂䝁䄴䅚ㅂ䡁䅍䅤祂䡁䅫䅉潁䕁䅣杣療䡁䅕䅣灁䍁䅁睑療䍁䄴䅔あ䝁䅑䅁噂䅁䅁䅌䅁䙁䅍䅕時䙁䅕䅔啂䙁䄸䅕䉂䙁䅉兒佂䙁䅑睘䑂䕁䄸兖佂䙁䅑杕婂䅁䅁睖䅁䅁䅷䅁䑂䝁䅧兡畂䝁䅅䅁奂䅁䅁䅉䅁䙁䅍䅕時䕁䅍睔噂䕁䄴䅖卂䙁䅫睘佂䕁䅅兔䙂䅁䅁杗䅁䅁䅉䅁䅁䙁䅳䅁杁䅁䅁䅒求䝁䄰杌杁䙁䅉党睂䍁䄴䅉䑂䝁䄸杢湂䝁䄸䅁捂䅁䅁䅆䅁䕁䅧睢畂䝁䅣䅉䱂䝁䄸杢湂䅁䅁兘䅁䍁䅯䅁䑂䝁䄸杢橂䝁䅷兙㉂䝁䅕䅉兂䙁䅑睑杁䕁䅷兡瑂䝁䅫䅤求䝁䅑䅁敂䅁䅁杍䅁䕁䅍䅡灂䝁䄴兙杁䕁䄰兡畂䝁䄰党あ䝁䅅䅢穂䍁䅁睑療䍁䄴䅌杁䕁䅷䅤歂䅁䅁睘䅁䍁䄴䅁䭂䝁䅫杢橂䝁䅧兤桂䝁䄴䅉潁䕁䅉杖䩂䍁䅫䅉䵂䝁䅫兢灂䡁䅑党歂䅁䅁䅙䅁䅁䄴䅁呂䡁䅣党歂䝁䅕杢䅁䝁䅅䅁楃䅁䅁睕あ䝁䅅䅤求䍁䄰睢㍂䝁䄴党歂䍁䅁兑穂䡁䅍党あ䡁䅍䅉呂䡁䅕䅣求䡁䅉杤灂䡁䅍兡療䝁䄴䅉桂䝁䄴䅚杁䕁䅅䅚瑂䝁䅫杢灂䡁䅍䅤祂䝁䅅䅤灂䝁䄸杢杁䕁䅍睢瑂䝁䄰兡穂䡁䅍兡療䝁䄴䅉療䝁䅙䅉あ䝁䅧党杁䙁䅍䅤桂䡁䅑党杁䕁䅍睢ㅂ䝁䄴睙灂䅁䅁杙䅁䉁䄴䅁噂䝁䄴兡あ䝁䅕䅚杁䕁䅳兡畂䝁䅣䅚療䝁䄰䅁橂䅁䅁䅇䅁䙁䅁䅡灂䝁䅷兡睂䡁䅁兡畂䝁䅕督䅁䝁䅑䅁奁䅁䅁睕療䡁䅕䅤潂䍁䅁睓療䡁䅉党桂䅁䅁党䅁䉁䅁䅁䍂䝁䅅䅡桂䝁䄰兙穂䅁䅁杚䅁䅁䅷䅁䭂䝁䅅䅣桂䝁䄴䅁湂䅁䅁䅗䅁䕁䅍䅡灂䝁䄴兙杁䕁䄴睢畂䝁䅙党祂䡁䅉睢ㅂ䡁䅍䅉乂䝁䅫杢灂䝁䄴睚杁䕁䅑党㉂䝁䅕䅢療䡁䅁兢求䝁䄴䅤杁䕁䅷兡瑂䝁䅫䅤求䝁䅑䅁祂䅁䅁䅃䅁䕁䅉杖䩂䅁䅁䅡䅁䉁䅯䅁呂䝁䄸兤あ䝁䅧䅉䉂䝁䅙杣灂䝁䅍兙䅁䝁䅫䅁佁䅁䅁杗桂䝁䄰杙灂䝁䅅䅁煂䅁䅁杯䅁䙁䅍䅤桂䡁䅑党瑁䕁䄸睤畂䝁䅕䅚杁䕁䅅督穂䝁䅕䅤穂䍁䅁睕ㅂ䡁䅁党祂䡁䅙兡穂䝁䅫睢畂䍁䅁兑畂䝁䅑䅉䉂䝁䅑兢灂䝁䄴兡穂䡁䅑杣桂䡁䅑兡療䝁䄴䅉䑂䝁䄸兢瑂䝁䅫督穂䝁䅫睢畂䍁䅁睔浂䍁䅁睒桂䝁䄴督ㅂ䍁䅁䅕祂䝁䄸杤灂䝁䄴睙灂䝁䅅䅢䅁䝁䅳䅁潂䅁䅁兓畂䝁䅑兤穂䡁䅑杣灂䝁䅅䅢杁䕁䅑党㉂䝁䅕䅢療䡁䅁兢求䝁䄴䅤杁䕁䅍睢祂䡁䅁睢祂䝁䅅䅤灂䝁䄸杢杁䍁䅧杗桂䝁䄰杙灂䝁䅅克杁䕁䅷兡瑂䝁䅫䅤求䝁䅑䅁獂䅁䅁权䅁䕁䅍兤楂䝁䅅䅁瑂䅁䅁䅇䅁䙁䅍睤灂䡁䅑来求䡁䅉䅢桂䝁䄴䅚䅁䝁䄴䅁佁䅁䅁睑桂䝁䄴兙歂䝁䅅䅁療䅁䅁䅆䅁䕁䅫杢歂䝁䄸杢求䡁䅍兡桂䅁䅁䅣䅁䉁䅙䅁䵂䡁䅕䅥求䝁䄰杙療䡁䅕杣湂䅁䅁兣䅁䕁䅑䅁䙂䡁䅕杣桂䡁䅍兡桂䝁䄴䅉卂䝁䅕督療䡁䅕杣橂䝁䅕督杁䕁䅣杣療䡁䅕䅣杁䙁䅍杌杄䍁䅁杣畁䝁䅷杌䅁䡁䅑䅁佁䅁䅁村祂䝁䅅来灂䝁䅷䅁ㅂ䅁䅁䅆䅁䕁䅅兤穂䡁䅑杣桂䝁䅷兡桂䅁䅁杤䅁䉁䅉䅁䡂䡁䅕党祂䝁䄴督求䡁䅫䅁㍂䅁䅁杄䅁䕁䅙杣桂䝁䄴睙求䅁䅁䅥䅁䍁䅯䅁噂䝁䄴兡あ䝁䅕䅚杁䕁䅅杣桂䝁䅉䅉䙂䝁䄰兡祂䝁䅅䅤求䡁䅍䅁㕂䅁䅁䅌䅁䙁䅍䅡桂䝁䅷兡畂䝁䅅䅉䡂䡁䅉睢ㅂ䡁䅁䅉䵂䝁䅫兢灂䡁䅑党歂䅁䅁来䅁䑁䅑䅁䝂䝁䅫杢畂䝁䅫督潂䍁䅁兔灂䝁䄴党祂䝁䅅䅢穂䍁䅁睒祂䝁䄸兤睂䍁䅁睔㕂䅁䅁睥䅁䉁䅁䅁䝂䝁䅫杢獂䝁䅅杢歂䅁䅁䅦䅁䅁䄴䅁卂䡁䅕督穂䝁䅫兙䅁䡁䄰䅁奁䅁䅁杔求䡁䅑䅡求䡁䅉䅢桂䝁䄴䅚穂䅁䅁杦䅁䍁䅙䅁䩂䝁䄰䅣桂䝁䅷兙杁䙁䅁䅢桂䡁䅑兡畂䡁䅕兢杁䕁䅉杖䅁䡁䄸䅁䍂䅁䅁兓瑂䡁䅁兙獂䝁䅅䅉兂䝁䅷兙あ䝁䅫杢ㅂ䝁䄰䅉䥂䝁䄸䅢歂䝁䅫杢湂䡁䅍䅉䵂䝁䅫兢灂䡁䅑党歂䅁䅁䅧䅁䉁䅁䅁坂䝁䅫党あ䝁䄴兙瑂䅁䅁內䅁䙁䉧䅁䵁䅉䅅䅁䕁䅁䅁睁䅁䅁䅁权䅁䅁䅁权䉁䅁䅁权䍁䅁䅁允䅁䅁䅅䅁䭁䅁䅍䅁䵁䅉䅅䅁䙁䅁䅁睁䅁䅁䅁权䅁䅁䅁权䝁䅁䅁权䥁䅁䅁权䩁䅁䅁允䅁䅁䅅䅁䑁䑁䍪児䵁䅉䅅䅁䙁䅁䅁睁䅁䅁䅁权䅁䅁䅁权䕁䅁䅁权䥁䅁䅁权䩁䅁䅁允䅁䅁䅅䅁䑁䕁㉆村䵁䅉䅅䅁䙁䅁䅁睁䅁䅁䅁权䅁䅁䅁权䭁䅁䅁权䥁䅁䅁权䩁䅁䅁允䅁䅁䅅䅁䑁䙁圶杮䵁䅉䅅䅁䕁䅁䅁睁䅁䅁䅁权䅁䅁䅁权䕁䅁䅁权䍁䅁䅁允䅁䅁䅅䅁䭁䅁䅕䅁䵁䅉䅅䅁䕁䅁䅁睁䅁䅁䅁权䅁䅁䅁权摁䅁䅁权䍁䅁䅁允䅁䅁䅅䅁䭁䉁䄴䅁䵁䅉䅅䅁䙁䅁䅁睁䅁䅁䅁权䅁䅁䅁权⽁䅁䅁权䥁䅁䅁权䩁䅁䅁允䅁䅁䅅䅁䑁䕁䙔材䵁䅉䅅䅁䙁䅁䅁睁䅁䅁䅁权䅁䅁䅁权穁䅁䅁权䥁䅁䅁权䵁䅁䅁允䅁䅁䅅䅁䭁䉁䅧䅁䵁䅉䅅䅁䑁䅁䅁睁䵁䅁䅁兂䅁䅁䅃噁剨兑䅯兗䅁䅁䅅䅁䉁䅁䅁权扂䅁䅁䍄䉁䅁䅁䅂䅁䅁䅍䅁䅁䅁䅯䅁䅁䅁䅯杂䅁䅁䅯杁䅁䅁䅅䅁䉁䅁䅁权䡁䅁䅁䍄䉁䅁䅁睁䅁䅁䅍䅄䅁䅁䅕䅁䅁䉁乚ご䭅䙁䅫䅁䉁䅁䅁允䅁䅁䅯睗䅁䅁杷允䅁䅁䅕䅁䑁䅁䅁䅁䭁䅁䅁䅁䭁䉁䅙䅁䭁䅁䅧䅁䭁䅁䅫䅁䉁䅁䅁允䅁䅁䅍佥䜹䅁杷允䅁䅁䅑䅁䑁䅁䅁䅁䭁䅁䅁䅁䭁䅁䄸䅁䭁䅁䅉䅁䉁䅁䅁允䅁䅁䅯杄䅁䅁杷允䅁䅁䅑䅁䑁䅁䅁䅁䭁䅁䅁䅁䭁䍁䅷䅁䭁䅁䅉䅁䉁䅁䅁允䅁䅁䅯兌䅁䅁杷允䅁䅁䅕䅁䑁䅁䅁䅁䭁䅁䅁䅁䭁䑁䅉䅁䭁䅁䅧䅁䭁䅁䅫䅁䉁䅁䅁允䅁䅁䅍洱䍒䅁杷允䅁䅁䅕䅁䑁䅁䅁䅁䭁䅁䅁䅁䭁䅁䅳䅁䭁䅁䅧䅁䭁䅁䅷䅁䉁䅁䅁允䅁䅁䅍浄䍎䅁杷允䅁䅁䅑䅁䑁䅁䅁䅁䭁䅁䅁䅁䭁䅁䄰䅁䭁䅁䅉䅁䉁䅁䅁允䅁䅁䅯杄䅁䅁杷允䅁䅁䅑䅁䑁䅁䅁䅁䭁䅁䅁䅁䭁䕁䄸䅁䭁䅁䅉䅁䉁䅁䅁允䅁䅁䅯䅕䅁䅁杷允䅁䅁䅍䅁䑁䅁䅷䅁䙁䅁䅁䵁䱄洰䉎权慂䅁䅁允䅁䅁䅅䅁䭁䙁䅧䅁䵁䅉䅅䅁䕁䅁䅁睁䅁䅁䅁权䅁䅁䅁权䙂䅁䅁权䍁䅁䅁允䅁䅁䅅䅁䭁䍁䄸䅁䵁䅉䅅䅁䙁䅁䅁睁䅁䅁䅁权䅁䅁䅁权獁䅁䅁权䥁䅁䅁权䵁䅁䅁允䅁䅁䅅䅁䑁䱁瑂村䵁䅉䅅䅁䑁䅁䅁睁䵁䅁䅁兂䅁䅁䅁爳剴兑䅯睖䅁䅁䅅䅁䉁䅁䅁权㡂䅁䅁䍄䉁䅁䅁䅂䅁䅁䅍䅁䅁䅁䅯䅁䅁䅁䅯䅅䅁䅁䅯杁䅁䅁䅅䅁䉁䅁䅁权剁䅁䅁䍄䉁䅁䅁兂䅁䅁䅍䅁䅁䅁䅯䅁䅁䅁䅯杅䅁䅁䅯䅃䅁䅁䅯䅄䅁䅁䅅䅁䉁䅁䅁睁湄䕪䅉䍄䉁䅁䅁兂䅁䅁䅍䅁䅁䅁䅯䅁䅁䅁䅯䅍䅁䅁䅯䅃䅁䅁䅯元䅁䅁䅅䅁䉁䅁䅁睁乄啚䅉䍄䉁䅁䅁兂䅁䅁䅍䅁䅁䅁䅯䅁䅁䅁䅯睄䅁䅁䅯䅃䅁䅁䅯元䅁䅁䅅䅁䉁䅁䅁睁慃啤䅉䍄䉁䅁䅁兂䅁䅁䅍䅁䅁䅁䅯䅁䅁䅁䅯兒䅁䅁䅯䅃䅁䅁䅯元䅁䅁䅅䅁䉁䅁䅁睁癃っ䅁䍄䉁䅁䅁䅂䅁䅁䅍䅁䅁䅁䅯䅁䅁䅁䅯杅䅁䅁䅯杁䅁䅁䅅䅁䉁䅁䅁权呁䅁䅁䍄䉁䅁䅁䅂䅁䅁䅍䅁䅁䅁䅯䅁䅁䅁䅯䅆䅁䅁䅯杁䅁䅁䅅䅁䉁䅁䅁权噁䅁䅁䍄䉁䅁䅁兂䅁䅁䅍䅁䅁䅁䅯䅁䅁䅁䅯䅍䅁䅁䅯䅃䅁䅁䅯䅄䅁䅁䅅䅁䉁䅁䅁权奁䅁䅁䍄䉁䅁䅁䅂䅁䅁䅍䅁䅁䅁䅯䅁䅁䅁䅯兊䅁䅁䅯杁䅁䅁䅅䅁䉁䅁䅁权煁䅁䅁䍄䉁䅁䅁兂䅁䅁䅍䅁䅁䅁䅯䅁䅁䅁䅯杂䅁䅁䅯䅃䅁䅁䅯䅄䅁䅁䅅䅁䉁䅁䅁睁㍃歚䅉䍄䉁䅁䅁兂䅁䅁䅍䅁䅁䅁䅯䅁䅁䅁䅯兊䅁䅁䅯䅃䅁䅁䅯䅄䅁䅁䅅䅁䉁䅁䅁睁佁す䅉䍄䉁䅁䅁睁䅁䅁䅍䅄䅁䅁䅕䅁䅁䵑潖歘䭅䙁䅫䅁䉁䅁䅁允䅁䅁䅯睗䅁䅁杷允䅁䅁䅕䅁䑁䅁䅁䅁䭁䅁䅁䅁䭁䉁䅣䅁䭁䅁䅧䅁䭁䅁䅷䅁䉁䅁䅁允䅁䅁䅯䅇䅁䅁杷允䅁䅁䅕䅁䑁䅁䅁䅁䭁䅁䅁䅁䭁䅁䅅䅁䭁䅁䅧䅁䭁䅁䅷䅁䉁䅁䅁允䅁䅁䅍䭥䕰䅁杷允䅁䅁䅕䅁䑁䅁䅁䅁䭁䅁䅁䅁䭁䕁䄴䅁䭁䅁䅧䅁䭁䅁䅷䅁䉁䅁䅁允䅁䅁䅯䅇䅁䅁杷允䅁䅁䅑䅁䑁䅁䅁䅁䭁䅁䅁䅁䭁䉁䅫䅁䭁䅁䅉䅁䉁䅁䅁允䅁䅁䅯杇䅁䅁杷允䅁䅁䅕䅁䑁䅁䅁䅁䭁䅁䅁䅁䭁䅁䅳䅁䭁䅁䅧䅁䭁䅁䅫䅁䉁䅁䅁允䅁䅁䅍䵒⭕䅁杷允䅁䅁䅑䅁䑁䅁䅁䅁䭁䅁䅁䅁䭁䍁䅙䅁䭁䅁䅉䅁䉁䅁䅁允䅁䅁䅯睊䅁䅁杷允䅁䅁䅕䅁䑁䅁䅁䅁䭁䅁䅁䅁䭁䕁䅙䅁䭁䅁䅧䅁䭁䅁䅷䅁䉁䅁䅁允䅁䅁䅍㉹䍖䅁杷允䅁䅁䅕䅁䑁䅁䅁䅁䭁䅁䅁䅁䭁䕁䄸䅁䭁䅁䅧䅁䭁䅁䅫䅁䉁䅁䅁允䅁䅁䅍愸祋䅁杷允䅁䅁䅕䅁䑁䅁䅁䅁䭁䅁䅁䅁䭁䅁䄸䅁䭁䅁䅧䅁䭁䅁䅷䅁䉁䅁䅁允䅁䅁䅯䅇䅁䅁杷允䅁䅁䅑䅁䑁䅁䅁䅁䭁䅁䅁䅁䭁䉁䅳䅁䭁䅁䅉䅁䉁䅁䅁允䅁䅁䅯䅈䅁䅁杷允䅁䅁䅕䅁䑁䅁䅁䅁䭁䅁䅁䅁䭁䍁䅧䅁䭁䅁䅧䅁䭁䅁䅫䅁䉁䅁䅁允䅁䅁䅍偉䝎䅁杷允䅁䅁䅕䅁䑁䅁䅁䅁䭁䅁䅁䅁䭁䕁䅧䅁䭁䅁䅧䅁䭁䅁䅫䅁䉁䅁䅁允䅁䅁䅍䝊䍴䅁杷允䅁䅁䅍䅁䑁䅁䅷䅁䙁䅁䅁䵁㉂ㅰ䉂权婂䅁䅁允䅁䅁䅅䅁䭁䡁䅫䅁䵁䅉䅅䅁䑁䅁䅁睁䵁䅁䅁兂䅁䅁䅂奃半兑䅯杗䅁䅁䅅䅁䉁䅁䅁权㉂䅁䅁䍄䉁䅁䅁䅂䅁䅁䅍䅁䅁䅁䅯䅁䅁䅁䅯睈䅁䅁䅯杁䅁䅁䅅䅁䉁䅁䅁权杁䅁䅁䍄䉁䅁䅁兂䅁䅁䅍䅁䅁䅁䅯䅁䅁䅁䅯杒䅁䅁䅯䅃䅁䅁䅯元䅁䅁䅅䅁䉁䅁䅁睁汄䕡䅉䍄䉁䅁䅁睁䅁䅁䅍䅄䅁䅁䅕䅁䅁䵁慭䕕䭅䙁䅑䅁䉁䅁䅁允䅁䅁䅯睗䅁䅁杷允䅁䅁䅍䅁䑁䅁䅷䅁䙁䅁䅁䕁橁噴䉂权慂䅁䅁允䅁䅁䅅䅁䭁䝁䅫䅁䵁䅉䅅䅁䙁䅁䅁睁䅁䅁䅁权䅁䅁䅁权啁䅁䅁权䥁䅁䅁权䩁䅁䅁允䅁䅁䅅䅁䑁佁捨村䵁䅉䅅䅁䙁䅁䅁睁䅁䅁䅁权䅁䅁䅁权啁䅁䅁权䥁䅁䅁权䵁䅁䅁允䅁䅁䅅䅁䑁䉁㉊村䵁䅉䅅䅁䑁䅁䅁睁䵁䅁䅁兂䅁䅁䅁佈但兑䅯睖䅁䅁䅅䅁䉁䅁䅁权扂䅁䅁䍄䉁䅁䅁䅂䅁䅁䅍䅁䅁䅁䅯䅁䅁䅁䅯光䅁䅁䅯杁䅁䅁䅅䅁䉁䅁䅁权楁䅁䅁䍄䉁䅁䅁睁䅁䅁䅍䅄䅁䅁䅕䅁䅁䅑㑔じ䭅䙁䅣䅁䉁䅁䅁允䅁䅁䅯兣䅁䅁杷允䅁䅁䅕䅁䑁䅁䅁䅁䭁䅁䅁䅁䭁䍁䅅䅁䭁䅁䅧䅁䭁䅁䅫䅁䉁䅁䅁允䅁䅁䅍湏䍚䅁杷允䅁䅁䅕䅁䑁䅁䅁䅁䭁䅁䅁䅁䭁䍁䅍䅁䭁䅁䅧䅁䭁䅁䅫䅁䉁䅁䅁允䅁䅁䅍塭䍊䅁杷允䅁䅁䅍䅁䑁䅁䅷䅁䙁䅁䅁䵁敃汙䉆权婂䅁䅁允䅁䅁䅅䅁䭁䙁䅳䅁䵁䅉䅅䅁䕁䅁䅁睁䅁䅁䅁权䅁䅁䅁权橁䅁䅁权䍁䅁䅁允䅁䅁䅅䅁䭁䍁䅑䅁䵁䅉䅅䅁䙁䅁䅁睁䅁䅁䅁权䅁䅁䅁权十䅁䅁权䥁䅁䅁权䩁䅁䅁允䅁䅁䅅䅁䑁偁硨杒䵁䅉䅅䅁䙁䅁䅁睁䅁䅁䅁权䅁䅁䅁权桁䅁䅁权䥁䅁䅁权䵁䅁䅁允䅁䅁䅅䅁䭁䉁䅧䅁䵁䅉䅅䅁䙁䅁䅁睁䅁䅁䅁权䅁䅁䅁权婁䅁䅁权䥁䅁䅁权䩁䅁䅁允䅁䅁䅅䅁䑁乁捸村䵁䅉䅅䅁䙁䅁䅁睁䅁䅁䅁权䅁䅁䅁权汁䅁䅁权䥁䅁䅁权䩁䅁䅁允䅁䅁䅅䅁䑁乁摵村䵁䅉䅅䅁䕁䅁䅁睁䅁䅁䅁权䅁䅁䅁权潁䅁䅁权䍁䅁䅁允䅁䅁䅅䅁䭁䍁䅫䅁䵁䅉䅅䅁䑁䅁䅁睁䵁䅁䅁兂䅁䅁䅁爳剴兑䅯䅖䅁䅁䅅䅁䉁䅁䅁权㝂䅁䅁䍄䉁䅁䅁䅂䅁䅁䅍䅁䅁䅁䅯䅁䅁䅁䅯䅍䅁䅁䅯杁䅁䅁䅅䅁䉁䅁䅁权硁䅁䅁䍄䉁䅁䅁睁䅁䅁䅍䅄䅁䅁䅕䅁䅁䍑ㅏ䕕䭅䙁䅣䅁䉁䅁䅁允䅁䅁䅯睗䅁䅁杷允䅁䅁䅕䅁䑁䅁䅁䅁䭁䅁䅁䅁䭁䍁䅍䅁䭁䅁䅧䅁䭁䅁䅷䅁䉁䅁䅁允䅁䅁䅯䅇䅁䅁杷允䅁䅁䅍䅁䑁䅁䅷䅁䙁䅁䅁䕁䩁汧䉊权婂䅁䅁允䅁䅁䅅䅁䭁䙁䅳䅁䵁䅉䅅䅁䙁䅁䅁睁䅁䅁䅁权䅁䅁䅁权乁䅁䅁权䥁䅁䅁权䩁䅁䅁允䅁䅁䅅䅁䑁䩁ㅰ村䵁䅉䅅䅁䙁䅁䅁睁䅁䅁䅁权䅁䅁䅁权乁䅁䅁权䥁䅁䅁权䵁䅁䅁允䅁䅁䅅䅁䭁䉁䅧䅁䵁䅉䅅䅁䙁䅁䅁睁䅁䅁䅁权䅁䅁䅁权牁䅁䅁权䥁䅁䅁权䩁䅁䅁允䅁䅁䅅䅁䑁䩁ㅰ村䵁䅉䅅䅁䙁䅁䅁睁䅁䅁䅁权䅁䅁䅁权潁䅁䅁权䥁䅁䅁权䵁䅁䅁允䅁䅁䅅䅁䑁䉁睡兒䵁䅉䅅䅁䙁䅁䅁睁䅁䅁䅁权䅁䅁䅁权䉁䅁䅁权䥁䅁䅁权䩁䅁䅁允䅁䅁䅅䅁䑁䝁桪兴䵅䅉䅅䅁䙁䅁䅁睁䅁䅁䅁权䅁䅁䅁权獁䅁䅁权䥁䅁䅁权䩁䅁䅁允䅁䅁䅅䅁䑁乁歚村䵁䅉䅅䅁䕁䅁䅁睁䅁䅁䅁权䅁䅁䅁权畁䅁䅁权䍁䅁䅁允䅁䅁䅅䅁䭁䍁䄸䅁䵁䅉䅅䅁䙁䅁䅁睁䅁䅁䅁权䅁䅁䅁权㉁䅁䅁权䥁䅁䅁权䩁䅁䅁允䅁䅁䅅䅁䑁䍁慹材䵁䅉䅅䅁䙁䅁䅁睁䅁䅁䅁权䅁䅁䅁权⽁䅁䅁权䥁䅁䅁权䵁䅁䅁允䅁䅁䅅䅁䭁䉁䅧䅁䵁䅉䅅䅁䙁䅁䅁睁䅁䅁䅁权䅁䅁䅁权扁䅁䅁权䥁䅁䅁权䩁䅁䅁允䅁䅁䅅䅁䑁䕁䙔材䵁䅉䅅䅁䙁䅁䅁睁䅁䅁䅁权䅁䅁䅁权牁䅁䅁权䥁䅁䅁权䵁䅁䅁允䅁䅁䅅䅁䭁䉁䅧䅁䵁䅉䅅䅁䑁䅁䅁睁䵁䅁䅁兂䅁䅁䅂䩫儱兑䅯兗䅁䅁䅅䅁䉁䅁䅁权⭂䅁䅁䍄䉁䅁䅁兂䅁䅁䅍䅁䅁䅁䅯䅁䅁䅁䅯杍䅁䅁䅯䅃䅁䅁䅯䅄䅁䅁䅅䅁䉁䅁䅁睁乃䔱䅉䍄䉁䅁䅁䅂䅁䅁䅍䅁䅁䅁䅯䅁䅁䅁䅯睋䅁䅁䅯杁䅁䅁䅅䅁䉁䅁䅁权佁䅁䅁䍄䉁䅁䅁兂䅁䅁䅍䅁䅁䅁䅯䅁䅁䅁䅯先䅁䅁䅯䅃䅁䅁䅯䅄䅁䅁䅅䅁䉁䅁䅁权奁䅁䅁䍄䉁䅁䅁兂䅁䅁䅍䅁䅁䅁䅯䅁䅁䅁䅯睈䅁䅁䅯䅃䅁䅁䅯䅄䅁䅁䅅䅁䉁䅁䅁权奁䅁䅁䍄䉁䅁䅁睁䅁䅁䅍䅄䅁䅁䅕䅁䅁䑁塥䕕䭅䙁䅙䅁䉁䅁䅁允䅁䅁䅯睗䅁䅁杷允䅁䅁䅍䅁䑁䅁䅷䅁䙁䅁䅁䕁橁噴䉂权啂䅁䅁允䅁䅁䅅䅁䭁䙁䅳䅁䵁䅉䅅䅁䑁䅁䅁睁䵁䅁䅁兂䅁䅁䅃坂剸兑䅯杖䅁䅁䅅䅁䉁䅁䅁权扂䅁䅁䍄䉁䅁䅁兂䅁䅁䅍䅁䅁䅁䅯䅁䅁䅁䅯先䅁䅁䅯䅃䅁䅁䅯元䅁䅁䅅䅁䉁䅁䅁睁剁䠴䄸䍄䉁䅁䅁兂䅁䅁䅍䅁䅁䅁䅯䅁䅁䅁䅯杌䅁䅁䅯䅃䅁䅁䅯元䅁䅁䅅䅁䉁䅁䅁睁癃っ䅁䍄䉁䅁䅁䅂䅁䅁䅍䅁䅁䅁䅯䅁䅁䅁䅯睃䅁䅁䅯杁䅁䅁䅅䅁䉁䅁䅁权ぁ䅁䅁䍄䉁䅁䅁睁䅁䅁䅍䅄䅁䅁䅕䅁䅁䩷椵啕䭅䙁䅑䅁䉁䅁䅁允䅁䅁䅯睗䅁䅁杷允䅁䅁䅍䅁䑁䅁䅷䅁䙁䅁䅁䅁敄ㅵ䉆权坂䅁䅁允䅁䅁䅅䅁䭁䡁䅳䅁䵁䅉䅅䅁䕁䅁䅁睁䅁䅁䅁权䅁䅁䅁权䝂䅁䅁权䍁䅁䅁允䅁䅁䅅䅁䭁䕁䅣䅁䵁䅉䅅䅁䙁䅁䅁睁䅁䅁䅁权䅁䅁䅁权晁䅁䅁权䥁䅁䅁权䩁䅁䅁允䅁䅁䅅䅁䑁佁愵村䵁䅉䅅䅁䙁䅁䅁睁䅁䅁䅁权䅁䅁䅁权ㅁ䅁䅁权䥁䅁䅁权䵁䅁䅁允䅁䅁䅅䅁䑁䩁桨村䵁䅉䅅䅁䑁䅁䅁睁䵁䅁䅁兂䅁䅁䅃灚儱兑䅯兗䅁䅁䅅䅁䉁䅁䅁权奂䅁䅁䍄䉁䅁䅁兂䅁䅁䅍䅁䅁䅁䅯䅁䅁䅁䅯兇䅁䅁䅯䅃䅁䅁䅯䅄䅁䅁䅅䅁䉁䅁䅁睁㑂㉢䅑䍄䉁䅁䅁睁䅁䅁䅍䅄䅁䅁䅕䅁䅁䝁奡䕕䭅䙁䅙䅁䉁䅁䅁允䅁䅁䅯䅘䅁䅁杷允䅁䅁䅑䅁䑁䅁䅁䅁䭁䅁䅁䅁䭁䑁䅣䅁䭁䅁䅉䅁䉁䅁䅁允䅁䅁䅯䅏䅁䅁杷允䅁䅁䅕䅁䑁䅁䅁䅁䭁䅁䅁䅁䭁䑁䅣䅁䭁䅁䅧䅁䭁䅁䅫䅁䉁䅁䅁允䅁䅁䅍湏䍚䅁杷允䅁䅁䅍䅁䑁䅁䅷䅁䙁䅁䅁䥁坁湘䉴权坂䅁䅁允䅁䅁䅅䅁䭁䙁䅳䅁䵁䅉䅅䅁䑁䅁䅁睁䵁䅁䅁权奁䅁䅁权啂䅁䅁允䅁䅁䅅䅁䭁䙁䅳䅁䵁䅉䅅䅁䙁䅁䅁睁䅁䅁䅁权䅁䅁䅁权㍁䅁䅁权䥁䅁䅁权䵁䅁䅁允䅁䅁䅅䅁䑁䩁桨村䵁䅉䅅䅁䑁䅁䅁睁䵁䅁䅁兂䅁䅁䅂偂晨兑䅯杗䅁䅁䅅䅁䉁䅁䅁权穂䅁䅁䍄䉁䅁䅁兂䅁䅁䅍䅁䅁䅁䅯䅁䅁䅁䅯杌䅁䅁䅯䅃䅁䅁䅯䅄䅁䅁䅅䅁䉁䅁䅁权奁䅁䅁䍄䉁䅁䅁䅂䅁䅁䅍䅁䅁䅁䅯䅁䅁䅁䅯杍䅁䅁䅯杁䅁䅁䅅䅁䉁䅁䅁权㕁䅁䅁䍄䉁䅁䅁䅂䅁䅁䅍䅁䅁䅁䅯䅁䅁䅁䅯睐䅁䅁䅯杁䅁䅁䅅䅁䉁䅁䅁权捁䅁䅁䍄䉁䅁䅁睁䅁䅁䅍䅄䅁䅁䅕䅁䅁䥧搶䕕䭅䙁䅑䅁䉁䅁䅁允䅁䅁䅯睗䅁䅁杷允䅁䅁䅑䅁䑁䅁䅁䅁䭁䅁䅁䅁䭁䑁䅯䅁䭁䅁䅉䅁䉁䅁䅁允䅁䅁䅯䅈䅁䅁杷允䅁䅁䅑䅁䑁䅁䅁䅁䭁䅁䅁䅁䭁䅁䅯䅁䭁䅁䅉䅁䉁䅁䅁允䅁䅁䅯䅑䅁䅁杷允䅁䅁䅑䅁䑁䅁䅁䅁䭁䅁䅁䅁䭁䑁䅳䅁䭁䅁䅉䅁䉁䅁䅁允䅁䅁䅯䅐䅁䅁杷允䅁䅁䅑䅁䑁䅁䅁䅁䭁䅁䅁䅁䭁䑁䅙䅁䭁䅁䅉䅁䉁䅁䅁允䅁䅁䅯児䅁䅁杷允䅁䅁䅕䅁䑁䅁䅁䅁䭁䅁䅁䅁䭁䑁䅙䅁䭁䅁䅧䅁䭁䅁䅷䅁䉁䅁䅁允䅁䅁䅍片䕊䅁杷允䅁䅁䅕䅁䑁䅁䅁䅁䭁䅁䅁䅁䭁䑁䅯䅁䭁䅁䅧䅁䭁䅁䅫䅁䉁䅁䅁允䅁䅁䅍䵒⭕䅁杷允䅁䅁䅕䅁䑁䅁䅁䅁䭁䅁䅁䅁䭁䑁䅯䅁䭁䅁䅧䅁䭁䅁䅷䅁䉁䅁䅁允䅁䅁䅯䅇䅁䅁杷允䅁䅁䅍䅁䑁䅁䅷䅁䙁䅁䅁䅁楃歙䈹权慂䅁䅁允䅁䅁䅅䅁䭁䝁䄴䅁䵁䅉䅅䅁䕁䅁䅁睁䅁䅁䅁权䅁䅁䅁权ㅁ䅁䅁权䍁䅁䅁允䅁䅁䅅䅁䭁䑁䄴䅁䵁䅉䅅䅁䑁䅁䅁睁䵁䅁䅁兂䅁䅁䅂䩦兴兑䅯杗䅁䅁䅅䅁䉁䅁䅁权睂䅁䅁䍄䉁䅁䅁兂䅁䅁䅍䅁䅁䅁䅯䅁䅁䅁䅯睏䅁䅁䅯䅃䅁䅁䅯䅄䅁䅁䅅䅁䉁䅁䅁睁㝂歩䅕䍄䉁䅁䅁睁䅁䅁䅍䅄䅁䅁䅕䅁䅁䵧奏䕕䭅䙁䅑䅁䉁䅁䅁允䅁䅁䅯睗䅁䅁杷允䅁䅁䅍䅁䑁䅁䅷䅁䙁䅁䅁䵁㉂ㅰ䉂权慂䅁䅁允䅁䅁䅅䅁䭁䝁䅍䅁䵁䅉䅅䅁䑁䅁䅁睁䵁䅁䅁兂䅁䅁䅂奃半兑䅯杖䅁䅁䅅䅁䉁䅁䅁权扂䅁䅁䍄䉁䅁䅁兂䅁䅁䅍䅁䅁䅁䅯䅁䅁䅁䅯兎䅁䅁䅯䅃䅁䅁䅯元䅁䅁䅅䅁䉁䅁䅁睁湄䕪䅉䍄䉁䅁䅁䅂䅁䅁䅍䅁䅁䅁䅯䅁䅁䅁䅯兑䅁䅁䅯杁䅁䅁䅅䅁䉁䅁䅁权䍂䅁䅁䍄䉁䅁䅁睁䅁䅁䅍䅄䅁䅁䅕䅁䅁䑑慭䕕䭅䙁䅫䅁䉁䅁䅁允䅁䅁䅯䅗䅁䅁杷允䅁䅁䅕䅁䑁䅁䅁䅁䭁䅁䅁䅁䭁䕁䅅䅁䭁䅁䅧䅁䭁䅁䅫䅁䉁䅁䅁允䅁䅁䅍䉵䑚䅁杷允䅁䅁䅕䅁䑁䅁䅁䅁䭁䅁䅁䅁䭁䕁䅅䅁䭁䅁䅧䅁䭁䅁䅷䅁䉁䅁䅁允䅁䅁䅍湅䍚䅁杷允䅁䅁䅑䅁䑁䅁䅁䅁䭁䅁䅁䅁䭁䕁䅍䅁䭁䅁䅉䅁䉁䅁䅁允䅁䅁䅯䅒䅁䅁杷允䅁䅁䅕䅁䑁䅁䅁䅁䭁䅁䅁䅁䭁䕁䅍䅁䭁䅁䅧䅁䭁䅁䅫䅁䉁䅁䅁允䅁䅁䅍坖䍴䅁杷允䅁䅁䅍䅁䑁䅁䅷䅁䙁䅁䅁䅁浂䙭䉂权婂䅁䅁允䅁䅁䅅䅁䭁䙁䅷䅁䵁䅉䅅䅁䑁䅁䅁睁䵁䅁䅁兂䅁䅁䅁楮剰兑䅯杖䅁䅁䅅䅁䉁䅁䅁权扂䅁䅁䍄䉁䅁䅁兂䅁䅁䅍䅁䅁䅁䅯䅁䅁䅁䅯睑䅁䅁䅯䅃䅁䅁䅯䅄䅁䅁䅅䅁䉁䅁䅁权奁䅁䅁䍄䉁䅁䅁兂䅁䅁䅍䅁䅁䅁䅯䅁䅁䅁䅯兒䅁䅁䅯䅃䅁䅁䅯䅄䅁䅁䅅䅁䉁䅁䅁权奁䅁䅁䍄䉁䅁䅁睁䅁䅁䅍䅄䅁䅁䅕䅁䅁䑁塥䕕䭅䙁䅑䅁䉁䅁䅁允䅁䅁䅯睗䅁䅁杷允䅁䅁䅕䅁䑁䅁䅁䅁䭁䅁䅁䅁䭁䍁䅙䅁䭁䅁䅧䅁䭁䅁䅫䅁䉁䅁䅁允䅁䅁䅍慆㕎䅁杷允䅁䅁䅍䅁䑁䅁䅷䅁䙁䅁䅁䵁㕁ㅯ䉂权坂䅁䅁允䅁䅁䅅䅁䭁䝁䅁䅁䵁䅉䅅䅁䙁䅁䅁睁䅁䅁䅁权䅁䅁䅁权流䅁䅁权䥁䅁䅁权䵁䅁䅁允䅁䅁䅅䅁䭁䉁䅧䅁䵁䅉䅅䅁䙁䅁䅁睁䅁䅁䅁权䅁䅁䅁权扁䅁䅁权䥁䅁䅁权䵁䅁䅁允䅁䅁䅅䅁䭁䉁䅧䅁䵁䅉䅅䅁䕁䅁䅁睁䅁䅁䅁权䅁䅁䅁权䥂䅁䅁权䍁䅁䅁允䅁䅁䅅䅁䭁䕁䅫䅁䵁䅉䅅䅁䙁䅁䅁睁䅁䅁䅁权䅁䅁䅁权䥂䅁䅁权䥁䅁䅁权䵁䅁䅁允䅁䅁䅅䅁䑁䡁䭵兒䵁䅉䅅䅁䑁䅁䅁睁䵁䅁䅁兂䅁䅁䅂娱兰兑䅯杖䅁䅁䅅䅁䉁䅁䅁权扂䅁䅁䍄䉁䅁䅁睁䅁䅁䅍䅄䅁䅁䅕䅁䅁䩑摃䕕䭅䙁䅑䅁䉁䅁䅁允䅁䅁䅯䅧䅁䅁杷允䅁䅁䅑䅁䑁䅁䅁䅁䭁䅁䅁䅁䭁䕁䅯䅁䭁䅁䅉䅁䉁䅁䅁允䅁䅁䅯睓䅁䅁杷允䅁䅁䅍䅁䑁䅁䅷䅁䙁䅁䅁䥁䝃䙌䉆权慂䅁䅁允䅁䅁䅅䅁䭁䝁䄰䅁䵁䅉䅅䅁䙁䅁䅁睁䅁䅁䅁权䅁䅁䅁权䭂䅁䅁权䥁䅁䅁权䩁䅁䅁允䅁䅁䅅䅁䑁佁䵥村䵁䅉䅅䅁䑁䅁䅁睁䵁䅁䅁兂䅁䅁䅄浮削兑䅯睖䅁䅁䅅䅁䉁䅁䅁权扂䅁䅁䍄䉁䅁䅁兂䅁䅁䅍䅁䅁䅁䅯䅁䅁䅁䅯杓䅁䅁䅯䅃䅁䅁䅯䅄䅁䅁䅅䅁䉁䅁䅁睁奃啙䅉䍄䉁䅁䅁䅂䅁䅁䅍䅁䅁䅁䅯䅁䅁䅁䅯睍䅁䅁䅯杁䅁䅁䅅䅁䉁䅁䅁权䵂䅁䅁䍄䉁䅁䅁兂䅁䅁䅍䅁䅁䅁䅯䅁䅁䅁䅯睍䅁䅁䅯䅃䅁䅁䅯元䅁䅁䅅䅁䉁䅁䅁睁䝁䕙䅕䍄䉁䅁䅁兂䅁䅁䅍䅁䅁䅁䅯䅁䅁䅁䅯权䅁䅁䅯䅃䅁䅁䅯䅄䅁䅁䅅䅁䉁䅁䅁权奁䅁䅁䍄䉁䅁䅁兂䅁䅁䅍䅁䅁䅁䅯䅁䅁䅁䅯䅅䅁䅁䅯䅃䅁䅁䅯元䅁䅁䅅䅁䉁䅁䅁睁硄啢䅉䍄䉁䅁䅁兂䅁䅁䅍䅁䅁䅁䅯䅁䅁䅁䅯䅅䅁䅁䅯䅃䅁䅁䅯䅄䅁䅁䅅䅁䉁䅁䅁权奁䅁䅁䍄䉁䅁䅁䅂䅁䅁䅍䅁䅁䅁䅯䅁䅁䅁䅯兔䅁䅁䅯杁䅁䅁䅅䅁䉁䅁䅁权捁䅁䅁䍄䉁䅁䅁䅂䅁䅁䅍䅁䅁䅁䅯䅁䅁䅁䅯杔䅁䅁䅯杁䅁䅁䅅䅁䉁䅁䅁权癁䅁䅁䍄䉁䅁䅁兂䅁䅁䅍䅁䅁䅁䅯䅁䅁䅁䅯兔䅁䅁䅯䅃䅁䅁䅯元䅁䅁䅅䅁䉁䅁䅁睁䕂呸䄴䍄䉁䅁䅁睁䅁䅁䅍䅄䅁䅁䅕䅁䅁䩑摃䕕䭅䙁䅯䅁䉁䅁䅁允䅁䅁䅯睤䅁䅁杷允䅁䅁䅕䅁䑁䅁䅁䅁䭁䅁䅁䅁䭁䕁䄰䅁䭁䅁䅧䅁䭁䅁䅷䅁䉁䅁䅁允䅁䅁䅯䅇䅁䅁杷允䅁䅁䅕䅁䑁䅁䅁䅁䭁䅁䅁䅁䭁䕁䄸䅁䭁䅁䅧䅁䭁䅁䅷䅁䉁䅁䅁允䅁䅁䅍兊䭨䅁杷允䅁䅁䅍䅁䑁䅁䅷䅁䙁䅁䅁䕁橁噴䉂权婂䅁䅁允䅁䅁䅅䅁䭁䙁䅳䅁䵁䅉䅅䅁䑁䅁䅁睁䵁䅁䅁兂䅁䅁䅁楮剰兑䅯杗䅁䅁䅅䅁䉁䅁䅁权㑂䅁䅁䍄䉁䅁䅁兂䅁䅁䅍䅁䅁䅁䅯䅁䅁䅁䅯睏䅁䅁䅯䅃䅁䅁䅯元䅁䅁䅅䅁䉁䅁䅁睁歁ち䅉䍄䉁䅁䅁䅂䅁䅁䅍䅁䅁䅁䅯䅁䅁䅁䅯兕䅁䅁䅯杁䅁䅁䅅䅁䉁䅁䅁权卂䅁䅁䍄䉁䅁䅁睁䅁䅁䅍䅄䅁䅁䅕䅁䅁䝁批䕕䭅䙁䅫䅁䉁䅁䅁允䅁䅁䅯睗䅁䅁杷允䅁䅁䅕䅁䑁䅁䅁䅁䭁䅁䅁䅁䭁䙁䅅䅁䭁䅁䅧䅁䭁䅁䅫䅁䉁䅁䅁允䅁䅁䅍䘳䍸䅁杷允䅁䅁䅕䅁䑁䅁䅁䅁䭁䅁䅁䅁䭁䙁䅅䅁䭁䅁䅧䅁䭁䅁䅷䅁䉁䅁䅁允䅁䅁䅍䝭䍆䅁杷允䅁䅁䅑䅁䑁䅁䅁䅁䭁䅁䅁䅁䭁䉁䅙䅁䭁䅁䅉䅁䉁䅁䅁允䅁䅁䅯睕䅁䅁杷允䅁䅁䅕䅁䑁䅁䅁䅁䭁䅁䅁䅁䭁䉁䅙䅁䭁䅁䅧䅁䭁䅁䅷䅁䉁䅁䅁允䅁䅁䅯䅇䅁䅁杷允䅁䅁䅑䅁䑁䅁䅁䅁䭁䅁䅁䅁䭁䉁䅣䅁䭁䅁䅉䅁䉁䅁䅁允䅁䅁䅯䅑䅁䅁杷允䅁䅁䅍䅁䑁䅁䅷䅁䙁䅁䅁䅁䩄汭䉂权婂䅁䅁允䅁䅁䅅䅁䭁䙁䅳䅁䵁䅉䅅䅁䙁䅁䅁睁䅁䅁䅁权䅁䅁䅁权塁䅁䅁权䥁䅁䅁权䩁䅁䅁允䅁䅁䅅䅁䑁䙁圶杮䵁䅉䅅䅁䑁䅁䅁睁䵁䅁䅁兂䅁䅁䅁獲兖兑䅯䅖䅁䅁䅅䅁䉁䅁䅁权敂䅁䅁䍄䉁䅁䅁睁䅁䅁䅍䅄䅁䅁䅕䅁䅁䵑潖歘䭅䙁䅣䅁䉁䅁䅁允䅁䅁䅯睗䅁䅁杷允䅁䅁䅕䅁䑁䅁䅁䅁䭁䅁䅁䅁䭁䕁䄴䅁䭁䅁䅧䅁䭁䅁䅫䅁䉁䅁䅁允䅁䅁䅍㍲䅎䅁杷允䅁䅁䅍䅁䑁䅁䅷䅁䙁䅁䅁䅁敃汋䉆权婂䅁䅁允䅁䅁䅅䅁䭁䙁䅳䅁䵁䅉䅅䅁䙁䅁䅁睁䅁䅁䅁权䅁䅁䅁权䕁䅁䅁权䥁䅁䅁权䵁䅁䅁允䅁䅁䅅䅁䭁䉁䅧䅁䵁䅉䅅䅁䑁䅁䅁睁䵁䅁䅁兂䅁䅁䅃灚儱兑䅯䅖䅁䅁䅅䅁䉁䅁䅁权噂䅁䅁䍄䉁䅁䅁睁䅁䅁䅍䅄䅁䅁䅕䅁䅁䡁挶啕䭅䙁䅫䅁䉁䅁䅁允䅁䅁䅯睗䅁䅁杷允䅁䅁䅍䅁䑁䅁䅷䅁䙁䅁䅁䥁浂噮䉂权坂䅁䅁允䅁䅁䅅䅁䭁䙁䅕䅁䵁䅉䅅䅁䑁䅁䅁睁䵁䅁䅁兂䅁䅁䅃灚儱兑䅯睖䅁䅁䅅䅁䉁䅁䅁权奂䅁䅁䍄䉁䅁䅁睁䅁䅁䅍䅄䅁䅁䅕䅁䅁䱧坵䕕䭅䙁䅫䅁䉁䅁䅁允䅁䅁䅯睗䅁䅁杷允䅁䅁䅍䅁䑁䅁䅷䅁䙁䅁䅁䥁浂噮䉂权慂䅁䅁允䅁䅁䅅䅁䭁䙁䅧䅁䵁䅉䅅䅁䑁䅁䅁睁䵁䅁䅁兂䅁䅁䅁灚全兑䅯杗䅁䅁䅅䅁䉁䅁䅁权捂䅁䅁䍄䉁䅁䅁睁䅁䅁䅍䅄䅁䅁䅕䅁䅁䝁奡䕕䭅䙁䅑䅁䉁䅁䅁允䅁䅁䅯䅘䅁䅁杷允䅁䅁䅍䅁䑁䅁䅷䅁䙁䅁䅁䅁獂ㅭ䉂权塂䅁䅁允䅁䅁䅅䅁䭁䙁䅳䅁䵁䅉䅅䅁䑁䅁䅁睁䵁䅁䅁兂䅁䅁䅂䩦兴兑䅯睖䅁䅁䅅䅁䉁䅁䅁权扂䅁䅁䍄䉁䅁䅁睁䅁䅁䅍䅄䅁䅁䅕䅁䅁䑷橭䕕䭅䙁䅯䅁䉁䅁䅁允䅁䅁䅯兘䅁䅁杷允䅁䅁䅍䅁䑁䅁䅷䅁䙁䅁䅁䕁元噮䉂权塂䅁䅁允䅁䅁䅅䅁䭁䝁䅫䅁䵁䅉䅅䅁䑁䅁䅁睁䵁䅁䅁兂䅁䅁䅁䱹剸兑䅯䅖䅁䅁䅅䅁䉁䅁䅁权扂䅁䅁䍄䉁䅁䅁睁䅁䅁䅍䅄䅁䅁䅕䅁䅁䝁奡䕕䭅䙁䅣䅁䉁䅁䅁允䅁䅁䅯䅘䅁䅁杷允䅁䅁䅍䅁䑁䅁䅷䅁䙁䅁䅁䕁㕁汭䉂权坂䅁䅁允䅁䅁䅅䅁䭁䙁䄸䅁䵁䅉䅅䅁䑁䅁䅁睁䵁䅁䅁兂䅁䅁䅃楨剸兑䅯兗䅁䅁䅅䅁䉁䅁䅁权扂䅁䅁䍄䉁䅁䅁睁䅁䅁䅍䅄䅁䅁䅕䅁䅁䑧婗䕕䭅䙁䅙䅁䉁䅁䅁允䅁䅁䅯睗䅁䅁杷允䅁䅁䅍䅁䑁䅁䅷䅁䙁䅁䅁䥁䉁䙗䉆权坂䅁䅁允䅁䅁䅅䅁䭁䙁䅳䅁䵁䅉䅅䅁䑁䅁䅁睁䵁䅁䅁兂䅁䅁䅃㕵党兑䅯杗䅁䅁䅅䅁䉁䅁䅁权桂䅁䅁䍄䉁䅁䅁睁䅁䅁䅍䅄䅁䅁䅕䅁䅁䡷婋䕕䭅䙁䅫䅁䉁䅁䅁允䅁䅁䅯睗䅁䅁杷允䅁䅁䅍䅁䑁䅁䅷䅁䙁䅁䅁䅁畃噸䉂权坂䅁䅁允䅁䅁䅅䅁䭁䙁䄴䅁䵁䅉䅅䅁䑁䅁䅁睁䵁䅁䅁兂䅁䅁䅂䩦兴兑䅯䅖䅁䅁䅅䅁䉁䅁䅁权扂䅁䅁䍄䉁䅁䅁睁䅁䅁䅍䅄䅁䅁䅕䅁䅁佷捳䕕䭅䙁䅑䅁䉁䅁䅁允䅁䅁䅯睗䅁䅁杷允䅁䅁䅍䅁䑁䅁䅷䅁䙁䅁䅁䥁㝃汬䉂权坂䅁䅁允䅁䅁䅅䅁䭁䙁䅳䅁䵁䅉䅅䅁䑁䅁䅁睁䵁䅁䅁兂䅁䅁䅂婏兰兑䅯䅖䅁䅁䅅䅁䉁䅁䅁权楂䅁䅁䍄䉁䅁䅁睁䅁䅁䅍䅄䅁䅁䅕䅁䅁䱧坵䕕䭅䙁䅣䅁䉁䅁䅁允䅁䅁䅯睗䅁䅁杷允䅁䅁䅍䅁䑁䅁䅷䅁䙁䅁䅁䍁敂䝖䉚权啂䅁䅁允䅁䅁䅅䅁䭁䙁䅳䅁䵁䅉䅅䅁䑁䅁䅁睁䵁䅁䅁兂䅁䅁䅂䩦兴兑䅯杖䅁䅁䅅䅁䉁䅁䅁权扂䅁䅁䍄䉁䅁䅁睁䅁䅁䅍䅄䅁䅁䅕䅁䅁䱧坵䕕䭅䙁䅑䅁䉁䅁䅁允䅁䅁䅯睗䅁䅁杷允䅁䅁䅍䅁䑁䅁䅷䅁䙁䅁䅁䅁䥄䙶䉆权慂䅁䅁允䅁䅁䅅䅁䭁䙁䅧䅁䵁䅉䅅䅁䑁䅁䅁睁䵁䅁䅁兂䅁䅁䅂㕣公兑䅯䅖䅁䅁䅅䅁䉁䅁䅁权牂䅁䅁䍄䉁䅁䅁睁䅁䅁䅍䅄䅁䅁䅕䅁䅁䡑婏䕕䭅䙁䅯䅁䉁䅁䅁允䅁䅁䅯䅗䅁䅁杷允䅁䅁䅍䅁䑁䅁䅷䅁䙁䅁䅁䥁䕃噮䉂权婂䅁䅁允䅁䅁䅅䅁䭁䝁䅯䅁䵁䅉䅅䅁䑁䅁䅁睁䵁䅁䅁兂䅁䅁䅁䱹剸兑䅯兗䅁䅁䅅䅁䉁䅁䅁权扂䅁䅁䍄䉁䅁䅁睁䅁䅁䅍䅄䅁䅁䅕䅁䅁䵁慭䕕䭅䙁䅯䅁䉁䅁䅁允䅁䅁䅯䅚䅁䅁杷允䅁䅁䅍䅁䑁䅁䅷䅁䙁䅁䅁䅁䥄䙶䉆权坂䅁䅁允䅁䅁䅅䅁䭁䙁䅳䅁䵁䅉䅅䅁䑁䅁䅁睁䵁䅁䅁兂䅁䅁䅂婏兰兑䅯睖䅁䅁䅅䅁䉁䅁䅁权奂䅁䅁䍄䉁䅁䅁睁䅁䅁䅍䅄䅁䅁䅕䅁䅁䵁㡩啕䭅䙁䅣䅁䉁䅁䅁允䅁䅁䅯睗䅁䅁杷允䅁䅁䅍䅁䑁䅁䅷䅁䙁䅁䅁䵁㕁ㅯ䉂权塂䅁䅁允䅁䅁䅅䅁䭁䙁䅧䅁䵁䅉䅅䅁䑁䅁䅁睁䵁䅁䅁兂䅁䅁䅄灣公兑䅯杖䅁䅁䅅䅁䉁䅁䅁权扂䅁䅁䍄䉁䅁䅁睁䅁䅁䅍䅄䅁䅁䅕䅁䅁䵁慭䕕䭅䙁䅣䅁䉁䅁䅁允䅁䅁䅯睗䅁䅁杷允䅁䅁䅍䅁䑁䅁䅷䅁䙁䅁䅁䅁敄ㅵ䉆权慂䅁䅁允䅁䅁䅅䅁䭁䡁䅷䅁䵁䅉䅅䅁䑁䅁䅁睁䵁䅁䅁兂䅁䅁䅄婲公兑䅯杗䅁䅁䅅䅁䉁䅁䅁权求䅁䅁䍄䉁䅁䅁睁䅁䅁䅍䅄䅁䅁䅕䅁䅁䵁慭䕕䭅䙁䅙䅁䉁䅁䅁允䅁䅁䅯睗䅁䅁杷允䅁䅁䅍䅁䑁䅁䅷䅁䙁䅁䅁䥁䝃䙌䉆权啂䅁䅁允䅁䅁䅅䅁䭁䙁䅳䅁䵁䅉䅅䅁䑁䅁䅁睁䵁䅁䅁兂䅁䅁䅃汆㜵兑䅯兗䅁䅁䅅䅁䉁䅁䅁权扂䅁䅁䍄䉁䅁䅁睁䅁䅁䅍䅄䅁䅁䅕䅁䅁䡷婋䕕䭅䙁䅣䅁䉁䅁䅁允䅁䅁䅯睗䅁䅁杷允䅁䅁䅍䅁䑁䅁䅷䅁䙁䅁䅁䵁祂噭䉂权啂䅁䅁允䅁䅁䅅䅁䭁䙁䅳䅁䵁䅉䅅䅁䑁䅁䅁睁䵁䅁䅁兂䅁䅁䅁獲兖兑䅯杗䅁䅁䅅䅁䉁䅁䅁权浂䅁䅁䍄䉁䅁䅁睁䅁䅁䅍䅄䅁䅁䅕䅁䅁䩷椵啕䭅䙁䅯䅁䉁䅁䅁允䅁䅁䅯睚䅁䅁杷允䅁䅁䅍䅁䑁䅁䅷䅁䙁䅁䅁䵁㕁ㅯ䉂权婂䅁䅁允䅁䅁䅅䅁䭁䝁䅧䅁䵁䅉䅅䅁䑁䅁䅁睁䵁䅁䅁兂䅁䅁䅃汆㜵兑䅯睖䅁䅁䅅䅁䉁䅁䅁权扂䅁䅁䍄䉁䅁䅁睁䅁䅁䅍䅄䅁䅁䅕䅁䅁䉁乚ご䭅䙁䅑䅁䉁䅁䅁允䅁䅁䅯睗䅁䅁杷允䅁䅁䅍䅁䑁䅁䅷䅁䙁䅁䅁䥁䙁䙢䉆权啂䅁䅁允䅁䅁䅅䅁䭁䙁䅳䅁䵁䅉䅅䅁䑁䅁䅁睁䵁䅁䅁权奁䅁䅁权慂䅁䅁允䅁䅁䅅䅁䭁䙁䅧䅁䵁䅉䅅䅁䑁䅁䅁睁䵁䅁䅁权奁䅁䅁权塂䅁䅁允䅁䅁䅅䅁䭁䙁䅳䅁䵁䅉䅅䅁䑁䅁䅁睁䵁䅁䅁兂䅁䅁䅄㥹橊兑䅯兗䅁䅁䅅䅁䉁䅁䅁权扂䅁䅁䍄䉁䅁䅁睁䅁䅁䅍䅄䅁䅁䅕䅁䅁䵷卶す䭅䙁䅙䅁䉁䅁䅁允䅁䅁䅯睗䅁䅁杷允䅁䅁䅍䅁䑁䅁䅷䅁䙁䅁䅁䵁䱄洰䉎权塂䅁䅁允䅁䅁䅅䅁䭁䙁䅳䅁䵁䅉䅅䅁䑁䅁䅁睁䵁䅁䅁兂䅁䅁䅄㥹橊兑䅯䅖䅁䅁䅅䅁䉁䅁䅁权扂䅁䅁䍄䉁䅁䅁睁䅁䅁䅍䅄䅁䅁䅕䅁䅁䭷娲䕕䭅䙁䅙䅁䉁䅁䅁允䅁䅁䅯党䅁䅁杷允䅁䅁䅍䅁䑁䅁䅷䅁䙁䅁䅁䵁㕁ㅯ䉂权啂䅁䅁允䅁䅁䅅䅁䭁䝁䅳䅁䵁䅉䅅䅁䑁䅁䅁睁䵁䅁䅁兂䅁䅁䅂娱兰兑䅯兗䅁䅁䅅䅁䉁䅁䅁权扂䅁䅁䍄䉁䅁䅁睁䅁䅁䅍䅄䅁䅁䅕䅁䅁䅧奆啕䭅䙁䅑䅁䉁䅁䅁允䅁䅁䅯睗䅁䅁杷允䅁䅁䅍䅁䑁䅁䅷䅁䙁䅁䅁䅁敄ㅇ䉬权婂䅁䅁允䅁䅁䅅䅁䭁䙁䅳䅁䵁䅉䅅䅁䑁䅁䅁睁䵁䅁䅁兂䅁䅁䅄灣公兑䅯杗䅁䅁䅅䅁䉁䅁䅁权奂䅁䅁䍄䉁䅁䅁睁䅁䅁䅍䅄䅁䅁䅕䅁䅁乑慗䕕䭅䙁䅣䅁䉁䅁䅁允䅁䅁䅯睗䅁䅁杷允䅁䅁䅍䅁䑁䅁䅷䅁䙁䅁䅁䥁䕃噮䉂权啂䅁䅁允䅁䅁䅅䅁䭁䝁䅷䅁䵁䅉䅅䅁䑁䅁䅁睁䵁䅁䅁兂䅁䅁䅃坂剸兑䅯兗䅁䅁䅅䅁䉁䅁䅁权扂䅁䅁䍄䉁䅁䅁睁䅁䅁䅍䅄䅁䅁䅯䅇䅁䅁䅯杖䅁䅁䅅䅁䉁䅁䅁权扂䅁䅁䍄䉁䅁䅁睁䅁䅁䅍䅄䅁䅁䅕䅁䅁䥧獙啕䭅䙁䅣䅁䉁䅁䅁允䅁䅁䅯睗䅁䅁杷允䅁䅁䅍䅁䑁䅁䅷䅁䙁䅁䅁䕁䕁䘫䈹权啂䅁䅁允䅁䅁䅅䅁䭁䡁䅑䅁䵁䅉䅅䅁䑁䅁䅁睁䵁䅁䅁权奁䅁䅁权婂䅁䅁允䅁䅁䅅䅁䭁䙁䅳䅁䵁䅉䅅䅁䑁䅁䅁睁䵁䅁䅁兂䅁䅁䅃䩨儱兑䅯睖䅁䅁䅅䅁䉁䅁䅁权煂䅁䅁䍄䉁䅁䅁睁䅁䅁䅍䅄䅁䅁䅕䅁䅁乑慗䕕䭅䙁䅯䅁䉁䅁䅁允䅁䅁䅯兦䅁䅁杷允䅁䅁䅍䅁䑁䅁䅷䅁䙁䅁䅁䕁䙄䙡䈵权慂䅁䅁允䅁䅁䅅䅁䭁䝁䅍䅁䵁䅉䅅䅁䑁䅁䅁睁䵁䅁䅁兂䅁䅁䅃䩨儱兑䅯杗䅁䅁䅅䅁䉁䅁䅁权煂䅁䅁䍄䉁䅁䅁睁䅁䅁䅍䅄䅁䅁䅕䅁䅁䩷椵啕䭅䙁䅙䅁䉁䅁䅁允䅁䅁䅯睗䅁䅁杷允䅁䅁䅍䅁䑁䅁䅷䅁䙁䅁䅁䅁⭂䙮䉆权坂䅁䅁允䅁䅁䅅䅁䭁䙁䅳䅁䵁䅉䅅䅁䑁䅁䅁睁䵁䅁䅁兂䅁䅁䅁歆倱兑䅯杗䅁䅁䅅䅁䉁䅁䅁权療䅁䅁䍄䉁䅁䅁睁䅁䅁䅍䅄䅁䅁䅕䅁䅁䡷湡䕕䭅䙁䅙䅁䉁䅁䅁允䅁䅁䅯来䅁䅁杷允䅁䅁䅍䅁䑁䅁䅷䅁䙁䅁䅁䅁⭂䙮䉆权慂䅁䅁允䅁䅁䅅䅁䭁䝁䅍䅁䵁䅉䅅䅁䑁䅁䅁睁䵁䅁䅁兂䅁䅁䅁歆倱兑䅯睖䅁䅁䅅䅁䉁䅁䅁权扂䅁䅁䍄䉁䅁䅁睁䅁䅁䅍䅄䅁䅁䅕䅁䅁䭁楊ご䭅䙁䅫䅁䉁䅁䅁允䅁䅁䅯睗䅁䅁杷允䅁䅁䅍䅁䑁䅁䅷䅁䙁䅁䅁䕁橁噴䉂权坂䅁䅁允䅁䅁䅅䅁䭁䙁䅳䅁䵁䅉䅅䅁䑁䅁䅁睁䵁䅁䅁兂䅁䅁䅂婏兰兑䅯杗䅁䅁䅅䅁䉁䅁䅁权奂䅁䅁䍄䉁䅁䅁睁䅁䅁䅍䅄䅁䅁䅕䅁䅁䭁楊ご䭅䙁䅣䅁䉁䅁䅁允䅁䅁䅯睗䅁䅁杷允䅁䅁䅍䅁䑁䅁䅷䅁䙁䅁䅁䅁畃噸䉂权婂䅁䅁允䅁䅁䅅䅁䭁䝁䅙䅁䵁䅉䅅䅁䑁䅁䅁睁䵁䅁䅁兂䅁䅁䅄砶典兑䅯兗䅁䅁䅅䅁䉁䅁䅁权扂䅁䅁䍄䉁䅁䅁睁䅁䅁䅍䅄䅁䅁䅕䅁䅁䥧摓䕕䭅䙁䅙䅁䉁䅁䅁允䅁䅁䅯䅢䅁䅁杷允䅁䅁䅍䅁䑁䅁䅷䅁䙁䅁䅁䅁坁啔䈹权坂䅁䅁允䅁䅁䅅䅁䭁䙁䅳䅁䵁䅉䅅䅁䑁䅁䅁睁䵁䅁䅁兂䅁䅁杁汘浒兑䅯睖䅁䅁䅅䅁䉁䅁䅁权扂䅁䅁䍄䉁䅁䅁睁䅁䅁䅍䅄䅁䅁䅕䅁䅁䭁楊ご䭅䙁䅑䅁䉁䅁䅁允䅁䅁䅯睗䅁䅁杷允䅁䅁䅍䅁䑁䅁䅷䅁䙁䅁䅁䅁畃噸䉂权塂䅁䅁允䅁䅁䅅䅁䭁䝁䅙䅁䵁䅉䅅䅁䑁䅁䅁睁䵁䅁䅁兂䅁䅁䅁灦剸兑䅯䅖䅁䅁䅅䅁䉁䅁䅁权扂䅁䅁䍄䉁䅁䅁睁䅁䅁䅍䅄䅁䅁䅕䅁䅁䵑潖歘䭅䙁䅑䅁䉁䅁䅁允䅁䅁䅯睗䅁䅁杷允䅁䅁䅍䅁䑁䅁䅷䅁䙁䅁䅁䅁⭂䙮䉆权塂䅁䅁允䅁䅁䅅䅁䭁䙁䅳䅁䵁䅉䅅䅁䑁䅁䅁睁䵁䅁䅁兂䅁䅁䅃婎公兑䅯杗䅁䅁䅅䅁䉁䅁䅁权灂䅁䅁䍄䉁䅁䅁睁䅁䅁䅍䅄䅁䅁䅕䅁䅁䑧婗䕕䭅䙁䅑䅁䉁䅁䅁允䅁䅁䅯睗䅁䅁杷允䅁䅁䅍䅁䑁䅁䅷䅁䙁䅁䅁䥁䝃䙌䉆权坂䅁䅁允䅁䅁䅅䅁䭁䙁䅳䅁䵁䅉䅅䅁䑁䅁䅁睁䵁䅁䅁兂䅁䅁䅁浯偊兑䅯杖䅁䅁䅅䅁䉁䅁䅁权扂䅁䅁䍄䉁䅁䅁睁䅁䅁䅍䅄䅁䅁䅕䅁䅁䑁塱䕕䭅䙁䅯䅁䉁䅁䅁允䅁䅁䅯䅗䅁䅁杷允䅁䅁䅍䅁䑁䅁䅷䅁䙁䅁䅁䵁瑃噭䉂权塂䅁䅁允䅁䅁䅅䅁䭁䝁䅕䅁䵁䅉䅅䅁䑁䅁䅁睁䵁䅁䅁兂䅁䅁䅂奃半兑䅯䅖䅁䅁䅅䅁䉁䅁䅁权扂䅁䅁䍄䉁䅁䅁睁䅁䅁䅍䅄䅁䅁䅕䅁䅁䩁焴啕䭅䙁䅣䅁䉁䅁䅁允䅁䅁䅯睗䅁䅁杷允䅁䅁䅍䅁䑁䅁䅷䅁䙁䅁䅁䅁㙁ㅬ䉂权塂䅁䅁允䅁䅁䅅䅁䭁䙁䅧䅁䵁䅉䅅䅁䑁䅁䅁睁䵁䅁䅁兂䅁䅁䅁灏兤兑䅯杖䅁䅁䅅䅁䉁䅁䅁权祂䅁䅁䍄䉁䅁䅁睁䅁䅁䅍䅄䅁䅁䅕䅁䅁䑧婗䕕䭅䙁䅣䅁䉁䅁䅁允䅁䅁䅯睗䅁䅁杷允䅁䅁䅍䅁䑁䅁䅷䅁䙁䅁䅁䥁ㅁ噭䉂权婂䅁䅁允䅁䅁䅅䅁䭁䙁䅳䅁䵁䅉䅅䅁䑁䅁䅁睁䵁䅁䅁兂䅁䅁䅂偂晨兑䅯兗䅁䅁䅅䅁䉁䅁䅁权硂䅁䅁䍄䉁䅁䅁睁䅁䅁䅍䅄䅁䅁䅕䅁䅁䅑㑔じ䭅䙁䅙䅁䉁䅁䅁允䅁䅁䅯䅤䅁䅁杷允䅁䅁䅍䅁䑁䅁䅷䅁䙁䅁䅁䵁牄䙈䉂权慂䅁䅁允䅁䅁䅅䅁䭁䡁䅕䅁䵁䅉䅅䅁䑁䅁䅁睁䵁䅁䅁兂䅁䅁䅄砶典兑䅯杖䅁䅁䅅䅁䉁䅁䅁权扂䅁䅁䍄䉁䅁䅁睁䅁䅁䅍䅄䅁䅁䅕䅁䅁佷捳䕕䭅䙁䅣䅁䉁䅁䅁允䅁䅁䅯睗䅁䅁杷允䅁䅁䅍䅁䑁䅁䅷䅁䙁䅁䅁䥁佃噮䉂权婂䅁䅁允䅁䅁䅅䅁䭁䙁䅳䅁䵁䅉䅅䅁䑁䅁䅁睁䵁䅁䅁兂䅁䅁䅃灪儱兑䅯杖䅁䅁䅅䅁䉁䅁䅁权扂䅁䅁䍄䉁䅁䅁睁䅁䅁䅍䅄䅁䅁䅕䅁䅁䅑䍭歕䭅䙁䅣䅁䉁䅁䅁允䅁䅁䅯睗䅁䅁杷允䅁䅁䅍䅁䑁䅁䅷䅁䙁䅁䅁䥁佃噮䉂权塂䅁䅁允䅁䅁䅅䅁䭁䙁䅳䅁䵁䅉䅅䅁䑁䅁䅁睁䵁䅁䅁兂䅁䅁䅃灪儱兑䅯杗䅁䅁䅅䅁䉁䅁䅁权奂䅁䅁䍄䉁䅁䅁睁䅁䅁䅍䅄䅁䅁䅕䅁䅁䵧奏䕕䭅䙁䅯䅁䉁䅁䅁允䅁䅁䅯䅘䅁䅁杷允䅁䅁䅍䅁䑁䅁䅷䅁䙁䅁䅁䅁敄ㅇ䉬权坂䅁䅁允䅁䅁䅅䅁䭁䙁䅳䅁䵁䅉䅅䅁䑁䅁䅁睁䵁䅁䅁兂䅁䅁䅁栳婴兑䅯睖䅁䅁䅅䅁䉁䅁䅁权扂䅁䅁䍄䉁䅁䅁睁䅁䅁䅍䅄䅁䅁䅕䅁䅁乁戴啗䭅䙁䅯䅁䉁䅁䅁允䅁䅁䅯䅗䅁䅁杷允䅁䅁䅍䅁䑁䅁䅷䅁䙁䅁䅁䅁敄ㅇ䉬权啂䅁䅁允䅁䅁䅅䅁䭁䙁䅳䅁䵁䅉䅅䅁䑁䅁䅁睁䵁䅁䅁兂䅁䅁䅁㕎兤兑䅯兗䅁䅁䅅䅁䉁䅁䅁权扂䅁䅁䍄䉁䅁䅁睁䅁䅁䅍䅄䅁䅁䅕䅁䅁䵧奏䕕䭅䙁䅫䅁䉁䅁䅁允䅁䅁䅯睗䅁䅁杷允䅁䅁䅍䅁䑁䅁䅷䅁䙁䅁䅁䕁穂噭䉂权塂䅁䅁允䅁䅁䅅䅁䭁䙁䅧䅁䵁䅉䅅䅁䑁䅁䅁睁䵁䅁䅁兂䅁䅁䅁㕎兤兑䅯杗䅁䅁䅅䅁䉁䅁䅁权奂䅁䅁䍄䉁䅁䅁睁䅁䅁䅍䅄䅁䅁䅕䅁䅁䑁塥䕕䭅䙁䅣䅁䉁䅁䅁允䅁䅁䅯睗䅁䅁杷允䅁䅁䅍䅁䑁䅁䅷䅁䙁䅁䅁䥁䑄䙭䉂权塂䅁䅁允䅁䅁䅅䅁䭁䙁䅳䅁䵁䅉䅅䅁䑁䅁䅁睁䵁䅁䅁兂䅁䅁䅃汆㜵兑䅯杗䅁䅁䅅䅁䉁䅁䅁权㑂䅁䅁䍄䉁䅁䅁睁䅁䅁䅍䅄䅁䅁䅕䅁䅁䵧奏䕕䭅䙁䅙䅁䉁䅁䅁允䅁䅁䅯睗䅁䅁杷允䅁䅁䅍䅁䑁䅁䅷䅁䙁䅁䅁䥁䙁䙢䉆权塂䅁䅁允䅁䅁䅅䅁䭁䙁䅳䅁䵁䅉䅅䅁䑁䅁䅁睁䵁䅁䅁兂䅁䅁䅄婲公兑䅯兗䅁䅁䅅䅁䉁䅁䅁权求䅁䅁䍄䉁䅁䅁睁䅁䅁䅍䅄䅁䅁䅕䅁䅁䅧獖啕䭅䙁䅯䅁䉁䅁䅁允䅁䅁䅯䅘䅁䅁杷允䅁䅁䅍䅁䑁䅁䅷䅁䙁䅁䅁䅁捁唴䈵权啂䅁䅁允䅁䅁䅅䅁䭁䙁䅳䅁䵁䅉䅅䅁䑁䅁䅁睁䵁䅁䅁兂䅁䅁䅂灰典兑䅯䅖䅁䅁䅅䅁䉁䅁䅁权扂䅁䅁䍄䉁䅁䅁睁䅁䅁䅍䅄䅁䅁䅕䅁䅁䡑婏䕕䭅䙁䅙䅁䉁䅁䅁允䅁䅁䅯睡䅁䅁杷允䅁䅁䅍䅁䑁䅁䅷䅁䙁䅁䅁䅁獂ㅭ䉂权啂䅁䅁允䅁䅁䅅䅁䭁䙁䅳䅁䵁䅉䅅䅁䑁䅁䅁睁䵁䅁䅁兂䅁䅁䅂㕣公兑䅯兗䅁䅁䅅䅁䉁䅁䅁权奂䅁䅁䍄䉁䅁䅁睁䅁䅁䅍䅄䅁䅁䅕䅁䅁䝁批䕕䭅䙁䅯䅁䉁䅁䅁允䅁䅁䅯䅗䅁䅁杷允䅁䅁䅍䅁䑁䅁䅷䅁䙁䅁䅁䅁獂ㅭ䉂权坂䅁䅁允䅁䅁䅅䅁䭁䙁䅳䅁䵁䅉䅅䅁䑁䅁䅁睁䵁䅁䅁兂䅁䅁䅄婲公兑䅯䅖䅁䅁䅅䅁䉁䅁䅁权求䅁䅁䍄䉁䅁䅁睁䅁䅁䅍䅄䅁䅁䅕䅁䅁䑁塱䕕䭅䙁䅫䅁䉁䅁䅁允䅁䅁䅯䅡䅁䅁杷允䅁䅁䅍䅁䑁䅁䅷䅁䙁䅁䅁䅁㙁ㅬ䉂权啂䅁䅁允䅁䅁䅅䅁䭁䝁䅉䅁䵁䅉䅅䅁䑁䅁䅁睁䵁䅁䅁兂䅁䅁䅁佈但兑䅯杖䅁䅁䅅䅁䉁䅁䅁权扂䅁䅁䍄䉁䅁䅁睁䅁䅁䅍䅄䅁䅁䅕䅁䅁䉁桺歔䭅䙁䅫䅁䉁䅁䅁允䅁䅁䅯睗䅁䅁杷允䅁䅁䅍䅁䑁䅁䅷䅁䙁䅁䅁䅁捁唴䈵权慂䅁䅁允䅁䅁䅅䅁䭁䝁䅣䅁䵁䅉䅅䅁䑁䅁䅁睁䵁䅁䅁兂䅁䅁杁汘浒兑䅯兗䅁䅁䅅䅁䉁䅁䅁权扂䅁䅁䍄䉁䅁䅁睁䅁䅁䅍䅄䅁䅁䅕䅁䅁䙉唵歚䭅䙁䅙䅁䉁䅁䅁允䅁䅁䅯睗䅁䅁杷允䅁䅁䅍䅁䑁䅁䅷䅁䙁䅁䅁䕁㡂ㅭ䉂权婂䅁䅁允䅁䅁䅅䅁䭁䙁䅳䅁䵁䅉䅅䅁䑁䅁䅁睁䵁䅁䅁兂䅁䅁䅃噁剨兑䅯杗䅁䅁䅅䅁䉁䅁䅁权橂䅁䅁䍄䉁䅁䅁睁䅁䅁䅍䅄䅁䅁䅕䅁䅁乑慗䕕䭅䙁䅑䅁䉁䅁䅁允䅁䅁䅯睗䅁䅁杷允䅁䅁䅍䅁䑁䅁䅷䅁䙁䅁䅁䵁㉂ㅰ䉂权塂䅁䅁允䅁䅁䅅䅁䭁䡁䅫䅁䵁䅉䅅䅁䑁䅁䅁睁䵁䅁䅁兂䅁䅁䅂灰典兑䅯杖䅁䅁䅅䅁䉁䅁䅁权扂䅁䅁䍄䉁䅁䅁睁䅁䅁䅍䅄䅁䅁䅕䅁䅁乁㜶啕䭅䙁䅫䅁䉁䅁䅁允䅁䅁䅯䅦䅁䅁杷允䅁䅁䅍䅁䑁䅁䅷䅁䙁䅁䅁䥁䉁䙗䉆权塂䅁䅁允䅁䅁䅅䅁䭁䙁䅳䅁䵁䅉䅅䅁䑁䅁䅁睁䵁䅁䅁兂䅁䅁䅄煤兤兑䅯䅖䅁䅁䅅䅁䉁䅁䅁权㙂䅁䅁䍄䉁䅁䅁睁䅁䅁䅍䅄䅁䅁䅕䅁䅁䩑摃䕕䭅䙁䅙䅁䉁䅁䅁允䅁䅁䅯睦䅁䅁杷允䅁䅁䅍䅁䑁䅁䅷䅁䙁䅁䅁䕁浃䙮䉂权婂䅁䅁允䅁䅁䅅䅁䭁䙁䅳䅁䵁䅉䅅䅁䑁䅁䅁睁䵁䅁䅁兂䅁䅁䅁楮剰兑䅯䅖䅁䅁䅅䅁䉁䅁䅁权扂䅁䅁䍄䉁䅁䅁睁䅁䅁䅍䅄䅁䅁䅕䅁䅁䙉唵歚䭅䙁䅯䅁䉁䅁䅁允䅁䅁䅯內䅁䅁杷允䅁䅁䅍䅁䑁䅁䅷䅁䙁䅁䅁䥁坁湘䉴权啂䅁䅁允䅁䅁䅅䅁䭁䙁䅳䅁䵁䅉䅅䅁䑁䅁䅁睁䵁䅁䅁兂䅁䅁䅂坸敨兑䅯杖䅁䅁䅅䅁䉁䅁䅁权扂䅁䅁䍄䉁䅁䅁睁䅁䅁䅍䅄䅁䅁䅕䅁䅁䭑捡䕕䭅䙁䅯䅁䉁䅁䅁允䅁䅁䅯䅡䅁䅁杷允䅁䅁䅍䅁䑁䅁䅷䅁䙁䅁䅁䕁浃䙮䉂权塂䅁䅁允䅁䅁䅅䅁䭁䙁䅳䅁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</si>
</sst>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
  </numFmts>
  <fonts count="3" x14ac:knownFonts="1">
    <font>
      <sz val="11"/>
      <color theme="1"/>
      <name val="Calibri"/>
      <family val="2"/>
      <scheme val="minor"/>
    </font>
    <font>
      <b/>
      <sz val="14"/>
      <name val="Calibri"/>
      <family val="2"/>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9">
    <xf numFmtId="0" fontId="0" fillId="0" borderId="0" xfId="0"/>
    <xf numFmtId="0" fontId="1" fillId="0" borderId="0" xfId="0" applyFont="1" applyAlignment="1">
      <alignment horizontal="left"/>
    </xf>
    <xf numFmtId="0" fontId="1" fillId="0" borderId="0" xfId="0" applyFont="1"/>
    <xf numFmtId="0" fontId="2" fillId="0" borderId="0" xfId="0" applyFont="1" applyAlignment="1">
      <alignment horizontal="left" vertical="top"/>
    </xf>
    <xf numFmtId="0" fontId="0" fillId="0" borderId="0" xfId="0" applyAlignment="1">
      <alignment horizontal="left" vertical="top"/>
    </xf>
    <xf numFmtId="14" fontId="0" fillId="0" borderId="0" xfId="0" applyNumberFormat="1" applyAlignment="1">
      <alignment horizontal="left" vertical="top"/>
    </xf>
    <xf numFmtId="164" fontId="0" fillId="0" borderId="0" xfId="0" applyNumberFormat="1" applyAlignment="1">
      <alignment horizontal="right" vertical="top"/>
    </xf>
    <xf numFmtId="165" fontId="0" fillId="0" borderId="0" xfId="0" applyNumberFormat="1" applyAlignment="1">
      <alignment horizontal="right" vertical="top"/>
    </xf>
    <xf numFmtId="0" fontId="0" fillId="0" borderId="0" xfId="0" applyAlignment="1">
      <alignment horizontal="right" vertical="top"/>
    </xf>
    <xf numFmtId="0" fontId="0" fillId="0" borderId="0" xfId="0" applyAlignment="1">
      <alignment horizontal="left" wrapText="1"/>
    </xf>
    <xf numFmtId="0" fontId="0" fillId="0" borderId="0" xfId="0" applyAlignment="1">
      <alignment horizontal="left"/>
    </xf>
    <xf numFmtId="0" fontId="0" fillId="0" borderId="0" xfId="0" applyAlignment="1">
      <alignment wrapText="1"/>
    </xf>
    <xf numFmtId="0" fontId="1" fillId="0" borderId="0" xfId="0" applyFont="1" applyAlignment="1">
      <alignment wrapText="1"/>
    </xf>
    <xf numFmtId="14" fontId="0" fillId="0" borderId="0" xfId="0" applyNumberFormat="1"/>
    <xf numFmtId="165" fontId="0" fillId="0" borderId="0" xfId="0" applyNumberFormat="1"/>
    <xf numFmtId="0" fontId="0" fillId="0" borderId="0" xfId="0" applyAlignment="1">
      <alignment horizontal="center"/>
    </xf>
    <xf numFmtId="0" fontId="2" fillId="0" borderId="0" xfId="0" applyFont="1" applyAlignment="1">
      <alignment horizontal="left" vertical="top" wrapText="1"/>
    </xf>
    <xf numFmtId="0" fontId="2" fillId="0" borderId="0" xfId="0" applyFont="1" applyAlignment="1">
      <alignment horizontal="righ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Program%20Files/SNL%20Financial/SNLxl/SNLXLAddin.xla" TargetMode="External"/><Relationship Id="rId2" Type="http://schemas.openxmlformats.org/officeDocument/2006/relationships/externalLinkPath" Target="file:///C:\Program%20Files\SNL%20Financial\SNLxl\SNLXLAddin.xla" TargetMode="External"/><Relationship Id="rId1" Type="http://schemas.openxmlformats.org/officeDocument/2006/relationships/externalLinkPath" Target="/Program%20Files/SNL%20Financial/SNLxl/SNLXLAddin.xl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heet1"/>
      <sheetName val="Sheet2"/>
      <sheetName val="Sheet3"/>
      <sheetName val="SNLXLAddin"/>
    </sheetNames>
    <definedNames>
      <definedName name="SNLData"/>
    </definedNames>
    <sheetDataSet>
      <sheetData sheetId="0"/>
      <sheetData sheetId="1"/>
      <sheetData sheetId="2"/>
      <sheetData sheetId="3"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B59F0-7FA0-423E-8175-5D7A172C3E4A}">
  <dimension ref="A1"/>
  <sheetViews>
    <sheetView workbookViewId="0"/>
  </sheetViews>
  <sheetFormatPr defaultRowHeight="14.5" x14ac:dyDescent="0.35"/>
  <sheetData>
    <row r="1" spans="1:1" x14ac:dyDescent="0.35">
      <c r="A1" t="s">
        <v>341</v>
      </c>
    </row>
  </sheetData>
  <pageMargins left="0.7" right="0.7" top="0.75" bottom="0.75" header="0.3" footer="0.3"/>
  <headerFooter>
    <oddFooter>&amp;C_x000D_&amp;1#&amp;"Aptos"&amp;10&amp;K0000FF Restricted Use - À usage restreint</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51"/>
  <sheetViews>
    <sheetView workbookViewId="0">
      <selection sqref="A1:D1"/>
    </sheetView>
  </sheetViews>
  <sheetFormatPr defaultRowHeight="14.5" x14ac:dyDescent="0.35"/>
  <cols>
    <col min="1" max="1" width="48.54296875" customWidth="1"/>
    <col min="2" max="2" width="23.7265625" customWidth="1"/>
    <col min="3" max="3" width="16.1796875" customWidth="1"/>
    <col min="4" max="4" width="20.81640625" customWidth="1"/>
    <col min="5" max="5" width="23.54296875" customWidth="1"/>
    <col min="6" max="6" width="16.1796875" customWidth="1"/>
    <col min="7" max="7" width="23.54296875" customWidth="1"/>
    <col min="8" max="8" width="17.54296875" customWidth="1"/>
    <col min="9" max="9" width="23.54296875" customWidth="1"/>
    <col min="10" max="10" width="19.54296875" customWidth="1"/>
    <col min="11" max="12" width="23.54296875" customWidth="1"/>
    <col min="13" max="13" width="23.81640625" customWidth="1"/>
    <col min="14" max="14" width="17.54296875" customWidth="1"/>
    <col min="15" max="15" width="25.1796875" customWidth="1"/>
    <col min="16" max="17" width="21.1796875" customWidth="1"/>
    <col min="18" max="18" width="22.453125" customWidth="1"/>
    <col min="19" max="20" width="21.1796875" customWidth="1"/>
    <col min="21" max="21" width="22.453125" customWidth="1"/>
    <col min="22" max="23" width="21.1796875" customWidth="1"/>
    <col min="24" max="25" width="22.453125" customWidth="1"/>
    <col min="26" max="28" width="21.1796875" customWidth="1"/>
    <col min="29" max="29" width="23.81640625" customWidth="1"/>
    <col min="30" max="30" width="21.1796875" customWidth="1"/>
    <col min="31" max="32" width="16.1796875" customWidth="1"/>
    <col min="33" max="33" width="21.1796875" customWidth="1"/>
    <col min="34" max="36" width="22.453125" customWidth="1"/>
    <col min="37" max="37" width="21.1796875" customWidth="1"/>
    <col min="38" max="38" width="17.54296875" customWidth="1"/>
    <col min="39" max="39" width="21.1796875" customWidth="1"/>
    <col min="40" max="41" width="16.1796875" customWidth="1"/>
    <col min="42" max="42" width="20.54296875" customWidth="1"/>
    <col min="43" max="44" width="21.1796875" customWidth="1"/>
    <col min="45" max="46" width="22" customWidth="1"/>
  </cols>
  <sheetData>
    <row r="1" spans="1:46" ht="40" customHeight="1" x14ac:dyDescent="0.35">
      <c r="A1" s="15"/>
      <c r="B1" s="15"/>
      <c r="C1" s="15"/>
      <c r="D1" s="15"/>
    </row>
    <row r="2" spans="1:46" ht="30" customHeight="1" x14ac:dyDescent="0.45">
      <c r="A2" s="1" t="s">
        <v>150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row>
    <row r="3" spans="1:46" x14ac:dyDescent="0.35">
      <c r="A3" s="3" t="s">
        <v>0</v>
      </c>
    </row>
    <row r="4" spans="1:46" x14ac:dyDescent="0.35">
      <c r="A4" s="3" t="s">
        <v>1</v>
      </c>
    </row>
    <row r="5" spans="1:46" x14ac:dyDescent="0.35">
      <c r="A5" s="4"/>
    </row>
    <row r="6" spans="1:46" x14ac:dyDescent="0.35">
      <c r="A6" s="16" t="s">
        <v>3</v>
      </c>
      <c r="B6" s="16" t="s">
        <v>4</v>
      </c>
      <c r="C6" s="16" t="s">
        <v>5</v>
      </c>
      <c r="D6" s="16" t="s">
        <v>6</v>
      </c>
      <c r="E6" s="17" t="s">
        <v>7</v>
      </c>
      <c r="F6" s="17" t="s">
        <v>8</v>
      </c>
      <c r="G6" s="17" t="s">
        <v>9</v>
      </c>
      <c r="H6" s="17" t="s">
        <v>10</v>
      </c>
      <c r="I6" s="17" t="s">
        <v>11</v>
      </c>
      <c r="J6" s="17" t="s">
        <v>12</v>
      </c>
      <c r="K6" s="17" t="s">
        <v>13</v>
      </c>
      <c r="L6" s="17" t="s">
        <v>14</v>
      </c>
      <c r="M6" s="17" t="s">
        <v>15</v>
      </c>
      <c r="N6" s="17" t="s">
        <v>16</v>
      </c>
      <c r="O6" s="17" t="s">
        <v>17</v>
      </c>
      <c r="P6" s="17" t="s">
        <v>18</v>
      </c>
      <c r="Q6" s="17" t="s">
        <v>19</v>
      </c>
      <c r="R6" s="17" t="s">
        <v>20</v>
      </c>
      <c r="S6" s="17" t="s">
        <v>21</v>
      </c>
      <c r="T6" s="17" t="s">
        <v>22</v>
      </c>
      <c r="U6" s="17" t="s">
        <v>23</v>
      </c>
      <c r="V6" s="17" t="s">
        <v>24</v>
      </c>
      <c r="W6" s="17" t="s">
        <v>25</v>
      </c>
      <c r="X6" s="17" t="s">
        <v>26</v>
      </c>
      <c r="Y6" s="17" t="s">
        <v>27</v>
      </c>
      <c r="Z6" s="17" t="s">
        <v>28</v>
      </c>
      <c r="AA6" s="17" t="s">
        <v>29</v>
      </c>
      <c r="AB6" s="17" t="s">
        <v>30</v>
      </c>
      <c r="AC6" s="17" t="s">
        <v>31</v>
      </c>
      <c r="AD6" s="17" t="s">
        <v>32</v>
      </c>
      <c r="AE6" s="17" t="s">
        <v>33</v>
      </c>
      <c r="AF6" s="17" t="s">
        <v>34</v>
      </c>
      <c r="AG6" s="17" t="s">
        <v>35</v>
      </c>
      <c r="AH6" s="17" t="s">
        <v>36</v>
      </c>
      <c r="AI6" s="17" t="s">
        <v>37</v>
      </c>
      <c r="AJ6" s="17" t="s">
        <v>38</v>
      </c>
      <c r="AK6" s="17" t="s">
        <v>39</v>
      </c>
      <c r="AL6" s="17" t="s">
        <v>40</v>
      </c>
      <c r="AM6" s="17" t="s">
        <v>41</v>
      </c>
      <c r="AN6" s="17" t="s">
        <v>42</v>
      </c>
      <c r="AO6" s="17" t="s">
        <v>43</v>
      </c>
      <c r="AP6" s="17" t="s">
        <v>44</v>
      </c>
      <c r="AQ6" s="17" t="s">
        <v>45</v>
      </c>
      <c r="AR6" s="17" t="s">
        <v>46</v>
      </c>
      <c r="AS6" s="17" t="s">
        <v>47</v>
      </c>
      <c r="AT6" s="17" t="s">
        <v>48</v>
      </c>
    </row>
    <row r="7" spans="1:46" x14ac:dyDescent="0.35">
      <c r="A7" s="16"/>
      <c r="B7" s="16"/>
      <c r="C7" s="16"/>
      <c r="D7" s="16"/>
      <c r="E7" s="17"/>
      <c r="F7" s="17"/>
      <c r="G7" s="17"/>
      <c r="H7" s="17"/>
      <c r="I7" s="17"/>
      <c r="J7" s="17"/>
      <c r="K7" s="17"/>
      <c r="L7" s="17"/>
      <c r="M7" s="17"/>
      <c r="N7" s="17"/>
      <c r="O7" s="17"/>
      <c r="P7" s="17"/>
      <c r="Q7" s="17"/>
      <c r="R7" s="17"/>
      <c r="S7" s="17"/>
      <c r="T7" s="17"/>
      <c r="U7" s="17"/>
      <c r="V7" s="17"/>
      <c r="W7" s="17"/>
      <c r="X7" s="17"/>
      <c r="Y7" s="17"/>
      <c r="Z7" s="17"/>
      <c r="AA7" s="17"/>
      <c r="AB7" s="17"/>
      <c r="AC7" s="17"/>
      <c r="AD7" s="17"/>
      <c r="AE7" s="17"/>
      <c r="AF7" s="17"/>
      <c r="AG7" s="17"/>
      <c r="AH7" s="17"/>
      <c r="AI7" s="17"/>
      <c r="AJ7" s="17"/>
      <c r="AK7" s="17"/>
      <c r="AL7" s="17"/>
      <c r="AM7" s="17"/>
      <c r="AN7" s="17"/>
      <c r="AO7" s="17"/>
      <c r="AP7" s="17"/>
      <c r="AQ7" s="17"/>
      <c r="AR7" s="17"/>
      <c r="AS7" s="17"/>
      <c r="AT7" s="17"/>
    </row>
    <row r="8" spans="1:46" x14ac:dyDescent="0.35">
      <c r="A8" s="16"/>
      <c r="B8" s="16"/>
      <c r="C8" s="16"/>
      <c r="D8" s="16"/>
      <c r="E8" s="17"/>
      <c r="F8" s="17"/>
      <c r="G8" s="17"/>
      <c r="H8" s="17"/>
      <c r="I8" s="17"/>
      <c r="J8" s="17"/>
      <c r="K8" s="17"/>
      <c r="L8" s="17"/>
      <c r="M8" s="17"/>
      <c r="N8" s="17"/>
      <c r="O8" s="17"/>
      <c r="P8" s="17"/>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c r="AR8" s="17"/>
      <c r="AS8" s="17"/>
      <c r="AT8" s="17"/>
    </row>
    <row r="9" spans="1:46" x14ac:dyDescent="0.35">
      <c r="A9" s="16"/>
      <c r="B9" s="16"/>
      <c r="C9" s="16"/>
      <c r="D9" s="16"/>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row>
    <row r="10" spans="1:46" x14ac:dyDescent="0.35">
      <c r="A10" s="5">
        <v>46022</v>
      </c>
      <c r="B10" s="4" t="s">
        <v>49</v>
      </c>
      <c r="C10" s="4" t="s">
        <v>50</v>
      </c>
      <c r="D10" s="4" t="s">
        <v>51</v>
      </c>
      <c r="E10" s="6">
        <v>1450.0546810000001</v>
      </c>
      <c r="F10" s="6">
        <v>0</v>
      </c>
      <c r="G10" s="6">
        <v>1450.0546810000001</v>
      </c>
      <c r="H10" s="6">
        <v>0.269787</v>
      </c>
      <c r="I10" s="6">
        <v>5374.8216130000001</v>
      </c>
      <c r="J10" s="6">
        <v>0</v>
      </c>
      <c r="K10" s="6">
        <v>5374.8216130000001</v>
      </c>
      <c r="L10" s="6">
        <v>3045.8785459999999</v>
      </c>
      <c r="M10" s="7">
        <v>8.6891359999999995</v>
      </c>
      <c r="N10" s="7">
        <v>0.86759699999999995</v>
      </c>
      <c r="O10" s="7">
        <v>9.2355389999999993</v>
      </c>
      <c r="P10" s="7">
        <v>69.208303999999998</v>
      </c>
      <c r="Q10" s="7">
        <v>88.000575999999995</v>
      </c>
      <c r="R10" s="7">
        <v>9.1557019999999998</v>
      </c>
      <c r="S10" s="7">
        <v>15.744299</v>
      </c>
      <c r="T10" s="7">
        <v>8.6165850000000006</v>
      </c>
      <c r="U10" s="7">
        <v>26.234753999999999</v>
      </c>
      <c r="V10" s="7">
        <v>59.751339999999999</v>
      </c>
      <c r="W10" s="7">
        <v>147.75191599999999</v>
      </c>
      <c r="X10" s="7">
        <v>8.1876885231807925</v>
      </c>
      <c r="Y10" s="7">
        <v>19.424472538376349</v>
      </c>
      <c r="Z10" s="7">
        <v>175.36407706155711</v>
      </c>
      <c r="AA10" s="7">
        <v>2.6507828254636778</v>
      </c>
      <c r="AB10" s="7">
        <v>178.0148598870208</v>
      </c>
      <c r="AC10" s="7">
        <v>0</v>
      </c>
      <c r="AD10" s="7">
        <v>84.048000000000016</v>
      </c>
      <c r="AE10" s="7">
        <v>0</v>
      </c>
      <c r="AF10" s="7">
        <v>0</v>
      </c>
      <c r="AG10" s="7">
        <v>262.06285988702081</v>
      </c>
      <c r="AH10" s="7">
        <v>14.574709</v>
      </c>
      <c r="AI10" s="7">
        <v>2.954812</v>
      </c>
      <c r="AJ10" s="7">
        <v>26.265000000000001</v>
      </c>
      <c r="AK10" s="7">
        <v>221.80938088702081</v>
      </c>
      <c r="AL10" s="7">
        <v>0</v>
      </c>
      <c r="AM10" s="7">
        <v>2.5974119999999998</v>
      </c>
      <c r="AN10" s="7">
        <v>0</v>
      </c>
      <c r="AO10" s="7">
        <v>0</v>
      </c>
      <c r="AP10" s="7">
        <v>0</v>
      </c>
      <c r="AQ10" s="7">
        <v>224.4067928870208</v>
      </c>
      <c r="AR10" s="7">
        <v>172.64721582741441</v>
      </c>
      <c r="AS10" s="7">
        <v>-2.7168612341427099</v>
      </c>
      <c r="AT10" s="7">
        <v>-5.3676440596063877</v>
      </c>
    </row>
    <row r="11" spans="1:46" x14ac:dyDescent="0.35">
      <c r="A11" s="5">
        <v>46022</v>
      </c>
      <c r="B11" s="4" t="s">
        <v>52</v>
      </c>
      <c r="C11" s="4" t="s">
        <v>53</v>
      </c>
      <c r="D11" s="4" t="s">
        <v>54</v>
      </c>
      <c r="E11" s="6">
        <v>0</v>
      </c>
      <c r="F11" s="6">
        <v>0</v>
      </c>
      <c r="G11" s="6">
        <v>0</v>
      </c>
      <c r="H11" s="6">
        <v>0</v>
      </c>
      <c r="I11" s="6">
        <v>0</v>
      </c>
      <c r="J11" s="6">
        <v>5600</v>
      </c>
      <c r="K11" s="6">
        <v>5600</v>
      </c>
      <c r="L11" s="6">
        <v>5600</v>
      </c>
      <c r="M11" s="7">
        <v>17.379308000000002</v>
      </c>
      <c r="N11" s="7">
        <v>1.124978</v>
      </c>
      <c r="O11" s="7">
        <v>1.4244760000000001</v>
      </c>
      <c r="P11" s="7">
        <v>13.723706</v>
      </c>
      <c r="Q11" s="7">
        <v>33.652467999999999</v>
      </c>
      <c r="R11" s="7">
        <v>2.092158</v>
      </c>
      <c r="S11" s="7">
        <v>1.160952</v>
      </c>
      <c r="T11" s="7">
        <v>2.8474390000000001</v>
      </c>
      <c r="U11" s="7">
        <v>4.66099</v>
      </c>
      <c r="V11" s="7">
        <v>10.761539000000001</v>
      </c>
      <c r="W11" s="7">
        <v>44.414006999999998</v>
      </c>
      <c r="X11" s="7">
        <v>0.88857489910214293</v>
      </c>
      <c r="Y11" s="7">
        <v>12.690147900730469</v>
      </c>
      <c r="Z11" s="7">
        <v>57.99272979983261</v>
      </c>
      <c r="AA11" s="7">
        <v>11.16775277193544</v>
      </c>
      <c r="AB11" s="7">
        <v>69.160482571768057</v>
      </c>
      <c r="AC11" s="7">
        <v>0</v>
      </c>
      <c r="AD11" s="7">
        <v>18.163267999999999</v>
      </c>
      <c r="AE11" s="7">
        <v>0</v>
      </c>
      <c r="AF11" s="7">
        <v>0</v>
      </c>
      <c r="AG11" s="7">
        <v>87.323750571768059</v>
      </c>
      <c r="AH11" s="7">
        <v>1.9791529999999999</v>
      </c>
      <c r="AI11" s="7">
        <v>0</v>
      </c>
      <c r="AJ11" s="7">
        <v>4.3532270000000004</v>
      </c>
      <c r="AK11" s="7">
        <v>75.492862571768057</v>
      </c>
      <c r="AL11" s="7">
        <v>0</v>
      </c>
      <c r="AM11" s="7">
        <v>0</v>
      </c>
      <c r="AN11" s="7">
        <v>0</v>
      </c>
      <c r="AO11" s="7">
        <v>0</v>
      </c>
      <c r="AP11" s="7">
        <v>0</v>
      </c>
      <c r="AQ11" s="7">
        <v>75.492862571768057</v>
      </c>
      <c r="AR11" s="7">
        <v>148.90365017527839</v>
      </c>
      <c r="AS11" s="7">
        <v>90.910920375445798</v>
      </c>
      <c r="AT11" s="7">
        <v>79.743167603510358</v>
      </c>
    </row>
    <row r="12" spans="1:46" x14ac:dyDescent="0.35">
      <c r="A12" s="5">
        <v>46022</v>
      </c>
      <c r="B12" s="4" t="s">
        <v>55</v>
      </c>
      <c r="C12" s="4" t="s">
        <v>56</v>
      </c>
      <c r="D12" s="4" t="s">
        <v>57</v>
      </c>
      <c r="E12" s="6">
        <v>1428.0961150000001</v>
      </c>
      <c r="F12" s="6">
        <v>0</v>
      </c>
      <c r="G12" s="6">
        <v>1428.0961150000001</v>
      </c>
      <c r="H12" s="6">
        <v>1.9860720000000001</v>
      </c>
      <c r="I12" s="6">
        <v>719.05570799999998</v>
      </c>
      <c r="J12" s="6">
        <v>0</v>
      </c>
      <c r="K12" s="6">
        <v>719.05570799999998</v>
      </c>
      <c r="L12" s="6">
        <v>719.05570799999998</v>
      </c>
      <c r="M12" s="7">
        <v>8.0157150000000001</v>
      </c>
      <c r="N12" s="7">
        <v>0.89746499999999996</v>
      </c>
      <c r="O12" s="7">
        <v>9.3023999999999996E-2</v>
      </c>
      <c r="P12" s="7">
        <v>2.9356629999999999</v>
      </c>
      <c r="Q12" s="7">
        <v>11.941867</v>
      </c>
      <c r="R12" s="7">
        <v>3.2059989999999998</v>
      </c>
      <c r="S12" s="7">
        <v>0.52496900000000002</v>
      </c>
      <c r="T12" s="7">
        <v>4.3355969999999999</v>
      </c>
      <c r="U12" s="7">
        <v>4.5520810000000003</v>
      </c>
      <c r="V12" s="7">
        <v>12.618646</v>
      </c>
      <c r="W12" s="7">
        <v>24.560513</v>
      </c>
      <c r="X12" s="7">
        <v>1.8544912559502269</v>
      </c>
      <c r="Y12" s="7">
        <v>12.109377471011809</v>
      </c>
      <c r="Z12" s="7">
        <v>38.524381726962041</v>
      </c>
      <c r="AA12" s="7">
        <v>4.5308844130767829</v>
      </c>
      <c r="AB12" s="7">
        <v>43.055266140038817</v>
      </c>
      <c r="AC12" s="7">
        <v>0</v>
      </c>
      <c r="AD12" s="7">
        <v>2.1774249999999999</v>
      </c>
      <c r="AE12" s="7">
        <v>0</v>
      </c>
      <c r="AF12" s="7">
        <v>0</v>
      </c>
      <c r="AG12" s="7">
        <v>45.232691140038817</v>
      </c>
      <c r="AH12" s="7">
        <v>2.9346070000000002</v>
      </c>
      <c r="AI12" s="7">
        <v>0</v>
      </c>
      <c r="AJ12" s="7">
        <v>2.6311719999999998</v>
      </c>
      <c r="AK12" s="7">
        <v>48.621045140038817</v>
      </c>
      <c r="AL12" s="7">
        <v>0</v>
      </c>
      <c r="AM12" s="7">
        <v>0</v>
      </c>
      <c r="AN12" s="7">
        <v>0</v>
      </c>
      <c r="AO12" s="7">
        <v>0</v>
      </c>
      <c r="AP12" s="7">
        <v>0</v>
      </c>
      <c r="AQ12" s="7">
        <v>48.621045140038817</v>
      </c>
      <c r="AR12" s="7">
        <v>101.74007345579371</v>
      </c>
      <c r="AS12" s="7">
        <v>63.215691728831651</v>
      </c>
      <c r="AT12" s="7">
        <v>58.684807315754867</v>
      </c>
    </row>
    <row r="13" spans="1:46" x14ac:dyDescent="0.35">
      <c r="A13" s="5">
        <v>46022</v>
      </c>
      <c r="B13" s="4" t="s">
        <v>58</v>
      </c>
      <c r="C13" s="4" t="s">
        <v>59</v>
      </c>
      <c r="D13" s="4" t="s">
        <v>57</v>
      </c>
      <c r="E13" s="6">
        <v>0</v>
      </c>
      <c r="F13" s="6">
        <v>0</v>
      </c>
      <c r="G13" s="6">
        <v>0</v>
      </c>
      <c r="H13" s="6">
        <v>0</v>
      </c>
      <c r="I13" s="6">
        <v>0</v>
      </c>
      <c r="J13" s="6">
        <v>1000</v>
      </c>
      <c r="K13" s="6">
        <v>1000</v>
      </c>
      <c r="L13" s="6">
        <v>1000</v>
      </c>
      <c r="M13" s="7">
        <v>10.206897</v>
      </c>
      <c r="N13" s="7">
        <v>0.58650800000000003</v>
      </c>
      <c r="O13" s="7">
        <v>1.3786369999999999</v>
      </c>
      <c r="P13" s="7">
        <v>5.1442119999999996</v>
      </c>
      <c r="Q13" s="7">
        <v>17.316254000000001</v>
      </c>
      <c r="R13" s="7">
        <v>3.291039</v>
      </c>
      <c r="S13" s="7">
        <v>1.480966</v>
      </c>
      <c r="T13" s="7">
        <v>3.6191979999999999</v>
      </c>
      <c r="U13" s="7">
        <v>8.4341790000000003</v>
      </c>
      <c r="V13" s="7">
        <v>16.825382000000001</v>
      </c>
      <c r="W13" s="7">
        <v>34.141635999999998</v>
      </c>
      <c r="X13" s="7">
        <v>0.32970631190439997</v>
      </c>
      <c r="Y13" s="7">
        <v>18.49761667546348</v>
      </c>
      <c r="Z13" s="7">
        <v>52.968958987367877</v>
      </c>
      <c r="AA13" s="7">
        <v>3.0961640090817322</v>
      </c>
      <c r="AB13" s="7">
        <v>56.06512299644961</v>
      </c>
      <c r="AC13" s="7">
        <v>0</v>
      </c>
      <c r="AD13" s="7">
        <v>4.2143709999999999</v>
      </c>
      <c r="AE13" s="7">
        <v>0</v>
      </c>
      <c r="AF13" s="7">
        <v>0</v>
      </c>
      <c r="AG13" s="7">
        <v>60.279493996449609</v>
      </c>
      <c r="AH13" s="7">
        <v>2.8484050000000001</v>
      </c>
      <c r="AI13" s="7">
        <v>1.5264409999999999</v>
      </c>
      <c r="AJ13" s="7">
        <v>1.7174199999999999</v>
      </c>
      <c r="AK13" s="7">
        <v>62.157388996449612</v>
      </c>
      <c r="AL13" s="7">
        <v>0</v>
      </c>
      <c r="AM13" s="7">
        <v>0</v>
      </c>
      <c r="AN13" s="7">
        <v>0</v>
      </c>
      <c r="AO13" s="7">
        <v>0</v>
      </c>
      <c r="AP13" s="7">
        <v>0</v>
      </c>
      <c r="AQ13" s="7">
        <v>62.157388996449612</v>
      </c>
      <c r="AR13" s="7">
        <v>126.2168529963658</v>
      </c>
      <c r="AS13" s="7">
        <v>73.247894008997903</v>
      </c>
      <c r="AT13" s="7">
        <v>70.151729999916185</v>
      </c>
    </row>
    <row r="14" spans="1:46" x14ac:dyDescent="0.35">
      <c r="A14" s="5">
        <v>46022</v>
      </c>
      <c r="B14" s="4" t="s">
        <v>60</v>
      </c>
      <c r="C14" s="4" t="s">
        <v>61</v>
      </c>
      <c r="D14" s="4" t="s">
        <v>62</v>
      </c>
      <c r="E14" s="6">
        <v>1510</v>
      </c>
      <c r="F14" s="6">
        <v>0</v>
      </c>
      <c r="G14" s="6">
        <v>1510</v>
      </c>
      <c r="H14" s="6">
        <v>1.51</v>
      </c>
      <c r="I14" s="6">
        <v>1000</v>
      </c>
      <c r="J14" s="6">
        <v>0</v>
      </c>
      <c r="K14" s="6">
        <v>1000</v>
      </c>
      <c r="L14" s="6">
        <v>2100</v>
      </c>
      <c r="M14" s="7">
        <v>3.1402030000000001</v>
      </c>
      <c r="N14" s="7">
        <v>4.6438449999999998</v>
      </c>
      <c r="O14" s="7">
        <v>1.4705859999999999</v>
      </c>
      <c r="P14" s="7">
        <v>16.034414999999999</v>
      </c>
      <c r="Q14" s="7">
        <v>25.289048999999999</v>
      </c>
      <c r="R14" s="7">
        <v>4.649114</v>
      </c>
      <c r="S14" s="7">
        <v>2.0886689999999999</v>
      </c>
      <c r="T14" s="7">
        <v>5.8373249999999999</v>
      </c>
      <c r="U14" s="7">
        <v>5.6927240000000001</v>
      </c>
      <c r="V14" s="7">
        <v>18.267831999999999</v>
      </c>
      <c r="W14" s="7">
        <v>43.556880999999997</v>
      </c>
      <c r="X14" s="7">
        <v>2.362579000521714</v>
      </c>
      <c r="Y14" s="7">
        <v>51.140688191907643</v>
      </c>
      <c r="Z14" s="7">
        <v>97.060148192429367</v>
      </c>
      <c r="AA14" s="7">
        <v>27.26642882517254</v>
      </c>
      <c r="AB14" s="7">
        <v>124.32657701760191</v>
      </c>
      <c r="AC14" s="7">
        <v>1.4762000000000001E-2</v>
      </c>
      <c r="AD14" s="7">
        <v>11.770244999999999</v>
      </c>
      <c r="AE14" s="7">
        <v>0</v>
      </c>
      <c r="AF14" s="7">
        <v>0</v>
      </c>
      <c r="AG14" s="7">
        <v>136.1115840176019</v>
      </c>
      <c r="AH14" s="7">
        <v>0.37440600000000002</v>
      </c>
      <c r="AI14" s="7">
        <v>1.019048</v>
      </c>
      <c r="AJ14" s="7">
        <v>0.238095</v>
      </c>
      <c r="AK14" s="7">
        <v>125.9728880176019</v>
      </c>
      <c r="AL14" s="7">
        <v>0</v>
      </c>
      <c r="AM14" s="7">
        <v>0</v>
      </c>
      <c r="AN14" s="7">
        <v>0</v>
      </c>
      <c r="AO14" s="7">
        <v>0</v>
      </c>
      <c r="AP14" s="7">
        <v>0</v>
      </c>
      <c r="AQ14" s="7">
        <v>125.9728880176019</v>
      </c>
      <c r="AR14" s="7">
        <v>324.94197341225117</v>
      </c>
      <c r="AS14" s="7">
        <v>227.88182521982179</v>
      </c>
      <c r="AT14" s="7">
        <v>200.61539639464931</v>
      </c>
    </row>
    <row r="15" spans="1:46" x14ac:dyDescent="0.35">
      <c r="A15" s="5">
        <v>46022</v>
      </c>
      <c r="B15" s="4" t="s">
        <v>63</v>
      </c>
      <c r="C15" s="4" t="s">
        <v>64</v>
      </c>
      <c r="D15" s="4" t="s">
        <v>62</v>
      </c>
      <c r="E15" s="6">
        <v>46038.900678999998</v>
      </c>
      <c r="F15" s="6">
        <v>0</v>
      </c>
      <c r="G15" s="6">
        <v>46038.900678999998</v>
      </c>
      <c r="H15" s="6">
        <v>6</v>
      </c>
      <c r="I15" s="6">
        <v>7673.1501129999997</v>
      </c>
      <c r="J15" s="6">
        <v>0</v>
      </c>
      <c r="K15" s="6">
        <v>7673.1501129999997</v>
      </c>
      <c r="L15" s="6">
        <v>7673.1501129999997</v>
      </c>
      <c r="M15" s="7">
        <v>4.2177220000000002</v>
      </c>
      <c r="N15" s="7">
        <v>4.3070959999999996</v>
      </c>
      <c r="O15" s="7">
        <v>0.53629599999999999</v>
      </c>
      <c r="P15" s="7">
        <v>7.7865789999999997</v>
      </c>
      <c r="Q15" s="7">
        <v>16.847693</v>
      </c>
      <c r="R15" s="7">
        <v>2.6321340000000002</v>
      </c>
      <c r="S15" s="7">
        <v>44.088315000000001</v>
      </c>
      <c r="T15" s="7">
        <v>5.1562970000000012</v>
      </c>
      <c r="U15" s="7">
        <v>3.446615</v>
      </c>
      <c r="V15" s="7">
        <v>55.323361000000013</v>
      </c>
      <c r="W15" s="7">
        <v>72.171054000000012</v>
      </c>
      <c r="X15" s="7">
        <v>0</v>
      </c>
      <c r="Y15" s="7">
        <v>46.528900786887156</v>
      </c>
      <c r="Z15" s="7">
        <v>118.6999547868872</v>
      </c>
      <c r="AA15" s="7">
        <v>30.609296836970771</v>
      </c>
      <c r="AB15" s="7">
        <v>149.3092516238579</v>
      </c>
      <c r="AC15" s="7">
        <v>1.9873350000000001</v>
      </c>
      <c r="AD15" s="7">
        <v>10.682774</v>
      </c>
      <c r="AE15" s="7">
        <v>0</v>
      </c>
      <c r="AF15" s="7">
        <v>0</v>
      </c>
      <c r="AG15" s="7">
        <v>161.9793606238579</v>
      </c>
      <c r="AH15" s="7">
        <v>0.81273799999999996</v>
      </c>
      <c r="AI15" s="7">
        <v>0</v>
      </c>
      <c r="AJ15" s="7">
        <v>0.28438099999999999</v>
      </c>
      <c r="AK15" s="7">
        <v>152.3937056238579</v>
      </c>
      <c r="AL15" s="7">
        <v>12.120184999999999</v>
      </c>
      <c r="AM15" s="7">
        <v>0</v>
      </c>
      <c r="AN15" s="7">
        <v>0</v>
      </c>
      <c r="AO15" s="7">
        <v>0</v>
      </c>
      <c r="AP15" s="7">
        <v>0</v>
      </c>
      <c r="AQ15" s="7">
        <v>164.51389062385789</v>
      </c>
      <c r="AR15" s="7">
        <v>346.25204370572698</v>
      </c>
      <c r="AS15" s="7">
        <v>227.5520889188399</v>
      </c>
      <c r="AT15" s="7">
        <v>196.9427920818691</v>
      </c>
    </row>
    <row r="16" spans="1:46" x14ac:dyDescent="0.35">
      <c r="A16" s="5">
        <v>46022</v>
      </c>
      <c r="B16" s="4" t="s">
        <v>65</v>
      </c>
      <c r="C16" s="4" t="s">
        <v>66</v>
      </c>
      <c r="D16" s="4" t="s">
        <v>62</v>
      </c>
      <c r="E16" s="6">
        <v>13399.479901999999</v>
      </c>
      <c r="F16" s="6">
        <v>0</v>
      </c>
      <c r="G16" s="6">
        <v>13399.479901999999</v>
      </c>
      <c r="H16" s="6">
        <v>3.3171020000000002</v>
      </c>
      <c r="I16" s="6">
        <v>4039.5137890000001</v>
      </c>
      <c r="J16" s="6">
        <v>0</v>
      </c>
      <c r="K16" s="6">
        <v>4039.5137890000001</v>
      </c>
      <c r="L16" s="6">
        <v>4039.5137890000001</v>
      </c>
      <c r="M16" s="7">
        <v>6.0651359999999999</v>
      </c>
      <c r="N16" s="7">
        <v>14.922669000000001</v>
      </c>
      <c r="O16" s="7">
        <v>2.2164799999999998</v>
      </c>
      <c r="P16" s="7">
        <v>26.851189000000002</v>
      </c>
      <c r="Q16" s="7">
        <v>50.055473999999997</v>
      </c>
      <c r="R16" s="7">
        <v>3.54217</v>
      </c>
      <c r="S16" s="7">
        <v>3.2957139999999998</v>
      </c>
      <c r="T16" s="7">
        <v>9.0870149999999992</v>
      </c>
      <c r="U16" s="7">
        <v>11.799246999999999</v>
      </c>
      <c r="V16" s="7">
        <v>27.724146000000001</v>
      </c>
      <c r="W16" s="7">
        <v>77.779619999999994</v>
      </c>
      <c r="X16" s="7">
        <v>5.5144317829268337</v>
      </c>
      <c r="Y16" s="7">
        <v>12.152331452294581</v>
      </c>
      <c r="Z16" s="7">
        <v>95.446383235221418</v>
      </c>
      <c r="AA16" s="7">
        <v>8.5994387203602436</v>
      </c>
      <c r="AB16" s="7">
        <v>104.0458219555817</v>
      </c>
      <c r="AC16" s="7">
        <v>0</v>
      </c>
      <c r="AD16" s="7">
        <v>13.088615000000001</v>
      </c>
      <c r="AE16" s="7">
        <v>0</v>
      </c>
      <c r="AF16" s="7">
        <v>0</v>
      </c>
      <c r="AG16" s="7">
        <v>117.13443695558171</v>
      </c>
      <c r="AH16" s="7">
        <v>1.21</v>
      </c>
      <c r="AI16" s="7">
        <v>0</v>
      </c>
      <c r="AJ16" s="7">
        <v>2.95</v>
      </c>
      <c r="AK16" s="7">
        <v>108.2058219555817</v>
      </c>
      <c r="AL16" s="7">
        <v>0</v>
      </c>
      <c r="AM16" s="7">
        <v>0</v>
      </c>
      <c r="AN16" s="7">
        <v>0</v>
      </c>
      <c r="AO16" s="7">
        <v>0</v>
      </c>
      <c r="AP16" s="7">
        <v>0</v>
      </c>
      <c r="AQ16" s="7">
        <v>108.2058219555817</v>
      </c>
      <c r="AR16" s="7">
        <v>245.6984204572133</v>
      </c>
      <c r="AS16" s="7">
        <v>150.25203722199191</v>
      </c>
      <c r="AT16" s="7">
        <v>141.65259850163159</v>
      </c>
    </row>
    <row r="17" spans="1:46" x14ac:dyDescent="0.35">
      <c r="A17" s="5">
        <v>46022</v>
      </c>
      <c r="B17" s="4" t="s">
        <v>67</v>
      </c>
      <c r="C17" s="4" t="s">
        <v>68</v>
      </c>
      <c r="D17" s="4" t="s">
        <v>57</v>
      </c>
      <c r="E17" s="6">
        <v>0</v>
      </c>
      <c r="F17" s="6">
        <v>0</v>
      </c>
      <c r="G17" s="6">
        <v>0</v>
      </c>
      <c r="H17" s="6">
        <v>0</v>
      </c>
      <c r="I17" s="6">
        <v>0</v>
      </c>
      <c r="J17" s="6">
        <v>165</v>
      </c>
      <c r="K17" s="6">
        <v>165</v>
      </c>
      <c r="L17" s="6">
        <v>165</v>
      </c>
      <c r="M17" s="7">
        <v>3.209079</v>
      </c>
      <c r="N17" s="7">
        <v>0</v>
      </c>
      <c r="O17" s="7">
        <v>0.84201700000000002</v>
      </c>
      <c r="P17" s="7">
        <v>5.391343</v>
      </c>
      <c r="Q17" s="7">
        <v>9.4424390000000002</v>
      </c>
      <c r="R17" s="7">
        <v>3.4739140000000002</v>
      </c>
      <c r="S17" s="7">
        <v>1.7833669999999999</v>
      </c>
      <c r="T17" s="7">
        <v>2.8105519999999999</v>
      </c>
      <c r="U17" s="7">
        <v>2.4982540000000002</v>
      </c>
      <c r="V17" s="7">
        <v>10.566087</v>
      </c>
      <c r="W17" s="7">
        <v>20.008526</v>
      </c>
      <c r="X17" s="7">
        <v>5.9160325099830304</v>
      </c>
      <c r="Y17" s="7">
        <v>12.75393673590915</v>
      </c>
      <c r="Z17" s="7">
        <v>38.678495245892179</v>
      </c>
      <c r="AA17" s="7">
        <v>7.4754258571483829</v>
      </c>
      <c r="AB17" s="7">
        <v>46.15392110304056</v>
      </c>
      <c r="AC17" s="7">
        <v>0</v>
      </c>
      <c r="AD17" s="7">
        <v>3.919365</v>
      </c>
      <c r="AE17" s="7">
        <v>0</v>
      </c>
      <c r="AF17" s="7">
        <v>0</v>
      </c>
      <c r="AG17" s="7">
        <v>50.073286103040559</v>
      </c>
      <c r="AH17" s="7">
        <v>2.247665</v>
      </c>
      <c r="AI17" s="7">
        <v>0</v>
      </c>
      <c r="AJ17" s="7">
        <v>1.0816889999999999</v>
      </c>
      <c r="AK17" s="7">
        <v>49.483275103040562</v>
      </c>
      <c r="AL17" s="7">
        <v>0</v>
      </c>
      <c r="AM17" s="7">
        <v>0</v>
      </c>
      <c r="AN17" s="7">
        <v>0</v>
      </c>
      <c r="AO17" s="7">
        <v>0</v>
      </c>
      <c r="AP17" s="7">
        <v>0</v>
      </c>
      <c r="AQ17" s="7">
        <v>49.483275103040562</v>
      </c>
      <c r="AR17" s="7">
        <v>49.386031568977522</v>
      </c>
      <c r="AS17" s="7">
        <v>10.707536323085341</v>
      </c>
      <c r="AT17" s="7">
        <v>3.2321104659369562</v>
      </c>
    </row>
    <row r="18" spans="1:46" x14ac:dyDescent="0.35">
      <c r="A18" s="5">
        <v>46022</v>
      </c>
      <c r="B18" s="4" t="s">
        <v>69</v>
      </c>
      <c r="C18" s="4" t="s">
        <v>70</v>
      </c>
      <c r="D18" s="4" t="s">
        <v>71</v>
      </c>
      <c r="E18" s="6">
        <v>0</v>
      </c>
      <c r="F18" s="6">
        <v>0</v>
      </c>
      <c r="G18" s="6">
        <v>0</v>
      </c>
      <c r="H18" s="6">
        <v>0</v>
      </c>
      <c r="I18" s="6">
        <v>0</v>
      </c>
      <c r="J18" s="6">
        <v>684</v>
      </c>
      <c r="K18" s="6">
        <v>684</v>
      </c>
      <c r="L18" s="6">
        <v>684</v>
      </c>
      <c r="M18" s="7">
        <v>28.923463999999999</v>
      </c>
      <c r="N18" s="7">
        <v>28.070563</v>
      </c>
      <c r="O18" s="7">
        <v>7.9793979999999998</v>
      </c>
      <c r="P18" s="7">
        <v>25.373466000000001</v>
      </c>
      <c r="Q18" s="7">
        <v>90.346890999999999</v>
      </c>
      <c r="R18" s="7">
        <v>13.207618</v>
      </c>
      <c r="S18" s="7">
        <v>6.7431419999999997</v>
      </c>
      <c r="T18" s="7">
        <v>11.63256</v>
      </c>
      <c r="U18" s="7">
        <v>18.534276999999999</v>
      </c>
      <c r="V18" s="7">
        <v>50.117597000000004</v>
      </c>
      <c r="W18" s="7">
        <v>140.46448799999999</v>
      </c>
      <c r="X18" s="7">
        <v>6.0276686289122807</v>
      </c>
      <c r="Y18" s="7">
        <v>60.021592101226467</v>
      </c>
      <c r="Z18" s="7">
        <v>206.5137487301387</v>
      </c>
      <c r="AA18" s="7">
        <v>14.41890192297058</v>
      </c>
      <c r="AB18" s="7">
        <v>220.93265065310931</v>
      </c>
      <c r="AC18" s="7">
        <v>0</v>
      </c>
      <c r="AD18" s="7">
        <v>88.792868999999996</v>
      </c>
      <c r="AE18" s="7">
        <v>0</v>
      </c>
      <c r="AF18" s="7">
        <v>0</v>
      </c>
      <c r="AG18" s="7">
        <v>309.7255196531093</v>
      </c>
      <c r="AH18" s="7">
        <v>13.630139</v>
      </c>
      <c r="AI18" s="7">
        <v>0</v>
      </c>
      <c r="AJ18" s="7">
        <v>36.549708000000003</v>
      </c>
      <c r="AK18" s="7">
        <v>271.1124976531093</v>
      </c>
      <c r="AL18" s="7">
        <v>0</v>
      </c>
      <c r="AM18" s="7">
        <v>0</v>
      </c>
      <c r="AN18" s="7">
        <v>0</v>
      </c>
      <c r="AO18" s="7">
        <v>0</v>
      </c>
      <c r="AP18" s="7">
        <v>0</v>
      </c>
      <c r="AQ18" s="7">
        <v>271.1124976531093</v>
      </c>
      <c r="AR18" s="7">
        <v>364.20827662377968</v>
      </c>
      <c r="AS18" s="7">
        <v>157.6945278936409</v>
      </c>
      <c r="AT18" s="7">
        <v>143.27562597067029</v>
      </c>
    </row>
    <row r="19" spans="1:46" x14ac:dyDescent="0.35">
      <c r="A19" s="5">
        <v>46022</v>
      </c>
      <c r="B19" s="4" t="s">
        <v>72</v>
      </c>
      <c r="C19" s="4" t="s">
        <v>73</v>
      </c>
      <c r="D19" s="4" t="s">
        <v>62</v>
      </c>
      <c r="E19" s="6">
        <v>4926.4612390000002</v>
      </c>
      <c r="F19" s="6">
        <v>0</v>
      </c>
      <c r="G19" s="6">
        <v>4926.4612390000002</v>
      </c>
      <c r="H19" s="6">
        <v>3.4347840000000001</v>
      </c>
      <c r="I19" s="6">
        <v>1434.2857140000001</v>
      </c>
      <c r="J19" s="6">
        <v>0</v>
      </c>
      <c r="K19" s="6">
        <v>1434.2857140000001</v>
      </c>
      <c r="L19" s="6">
        <v>1434.2857140000001</v>
      </c>
      <c r="M19" s="7">
        <v>9.6338229999999996</v>
      </c>
      <c r="N19" s="7">
        <v>7.1443479999999999</v>
      </c>
      <c r="O19" s="7">
        <v>2.227646</v>
      </c>
      <c r="P19" s="7">
        <v>21.152474999999999</v>
      </c>
      <c r="Q19" s="7">
        <v>40.158292000000003</v>
      </c>
      <c r="R19" s="7">
        <v>7.6295840000000013</v>
      </c>
      <c r="S19" s="7">
        <v>15.646722</v>
      </c>
      <c r="T19" s="7">
        <v>25.903389000000001</v>
      </c>
      <c r="U19" s="7">
        <v>12.650836</v>
      </c>
      <c r="V19" s="7">
        <v>61.830531000000008</v>
      </c>
      <c r="W19" s="7">
        <v>101.988823</v>
      </c>
      <c r="X19" s="7">
        <v>1.1845952046884149</v>
      </c>
      <c r="Y19" s="7">
        <v>0.180905426039769</v>
      </c>
      <c r="Z19" s="7">
        <v>103.3543236307282</v>
      </c>
      <c r="AA19" s="7">
        <v>10.529851108775141</v>
      </c>
      <c r="AB19" s="7">
        <v>113.88417473950329</v>
      </c>
      <c r="AC19" s="7">
        <v>0</v>
      </c>
      <c r="AD19" s="7">
        <v>12.878450000000001</v>
      </c>
      <c r="AE19" s="7">
        <v>0</v>
      </c>
      <c r="AF19" s="7">
        <v>0</v>
      </c>
      <c r="AG19" s="7">
        <v>126.76262473950329</v>
      </c>
      <c r="AH19" s="7">
        <v>1.857572</v>
      </c>
      <c r="AI19" s="7">
        <v>0</v>
      </c>
      <c r="AJ19" s="7">
        <v>7.3761429999999999</v>
      </c>
      <c r="AK19" s="7">
        <v>123.1178897395033</v>
      </c>
      <c r="AL19" s="7">
        <v>0</v>
      </c>
      <c r="AM19" s="7">
        <v>0</v>
      </c>
      <c r="AN19" s="7">
        <v>0</v>
      </c>
      <c r="AO19" s="7">
        <v>0</v>
      </c>
      <c r="AP19" s="7">
        <v>0</v>
      </c>
      <c r="AQ19" s="7">
        <v>123.1178897395033</v>
      </c>
      <c r="AR19" s="7">
        <v>210.08056794794291</v>
      </c>
      <c r="AS19" s="7">
        <v>106.72624431721469</v>
      </c>
      <c r="AT19" s="7">
        <v>96.196393208439545</v>
      </c>
    </row>
    <row r="20" spans="1:46" x14ac:dyDescent="0.35">
      <c r="A20" s="5">
        <v>46022</v>
      </c>
      <c r="B20" s="4" t="s">
        <v>74</v>
      </c>
      <c r="C20" s="4" t="s">
        <v>75</v>
      </c>
      <c r="D20" s="4" t="s">
        <v>76</v>
      </c>
      <c r="E20" s="6">
        <v>6123.4570309999999</v>
      </c>
      <c r="F20" s="6">
        <v>0</v>
      </c>
      <c r="G20" s="6">
        <v>6123.4570309999999</v>
      </c>
      <c r="H20" s="6">
        <v>2</v>
      </c>
      <c r="I20" s="6">
        <v>3061.7285160000001</v>
      </c>
      <c r="J20" s="6">
        <v>0</v>
      </c>
      <c r="K20" s="6">
        <v>3061.7285160000001</v>
      </c>
      <c r="L20" s="6">
        <v>2296.2963869999999</v>
      </c>
      <c r="M20" s="7">
        <v>13.054637080332411</v>
      </c>
      <c r="N20" s="7">
        <v>10.172679</v>
      </c>
      <c r="O20" s="7">
        <v>3.8392434387100538</v>
      </c>
      <c r="P20" s="7">
        <v>48.419694096510277</v>
      </c>
      <c r="Q20" s="7">
        <v>75.486253615552741</v>
      </c>
      <c r="R20" s="7">
        <v>13.27775569631337</v>
      </c>
      <c r="S20" s="7">
        <v>85.137464141663969</v>
      </c>
      <c r="T20" s="7">
        <v>20.983163220354911</v>
      </c>
      <c r="U20" s="7">
        <v>29.599269509173901</v>
      </c>
      <c r="V20" s="7">
        <v>148.99765256750609</v>
      </c>
      <c r="W20" s="7">
        <v>224.48390618305891</v>
      </c>
      <c r="X20" s="7">
        <v>1.171095897251974</v>
      </c>
      <c r="Y20" s="7">
        <v>65.303129272272486</v>
      </c>
      <c r="Z20" s="7">
        <v>290.95813135258339</v>
      </c>
      <c r="AA20" s="7">
        <v>0</v>
      </c>
      <c r="AB20" s="7">
        <v>290.95813135258339</v>
      </c>
      <c r="AC20" s="7">
        <v>0</v>
      </c>
      <c r="AD20" s="7">
        <v>61.480649140570897</v>
      </c>
      <c r="AE20" s="7">
        <v>0</v>
      </c>
      <c r="AF20" s="7">
        <v>0</v>
      </c>
      <c r="AG20" s="7">
        <v>352.43878049315418</v>
      </c>
      <c r="AH20" s="7">
        <v>6.9464171758527078</v>
      </c>
      <c r="AI20" s="7">
        <v>0</v>
      </c>
      <c r="AJ20" s="7">
        <v>31.413471093415769</v>
      </c>
      <c r="AK20" s="7">
        <v>329.31801962185182</v>
      </c>
      <c r="AL20" s="7">
        <v>0</v>
      </c>
      <c r="AM20" s="7">
        <v>0</v>
      </c>
      <c r="AN20" s="7">
        <v>0</v>
      </c>
      <c r="AO20" s="7">
        <v>0</v>
      </c>
      <c r="AP20" s="7">
        <v>0</v>
      </c>
      <c r="AQ20" s="7">
        <v>329.31801962185182</v>
      </c>
      <c r="AR20" s="7">
        <v>251.03563840331029</v>
      </c>
      <c r="AS20" s="7">
        <v>-39.922492949273021</v>
      </c>
      <c r="AT20" s="7">
        <v>-39.922492949273021</v>
      </c>
    </row>
    <row r="21" spans="1:46" x14ac:dyDescent="0.35">
      <c r="A21" s="5">
        <v>46022</v>
      </c>
      <c r="B21" s="4" t="s">
        <v>77</v>
      </c>
      <c r="C21" s="4" t="s">
        <v>78</v>
      </c>
      <c r="D21" s="4" t="s">
        <v>79</v>
      </c>
      <c r="E21" s="6">
        <v>0</v>
      </c>
      <c r="F21" s="6">
        <v>0</v>
      </c>
      <c r="G21" s="6">
        <v>0</v>
      </c>
      <c r="H21" s="6">
        <v>0</v>
      </c>
      <c r="I21" s="6">
        <v>0</v>
      </c>
      <c r="J21" s="6">
        <v>4540</v>
      </c>
      <c r="K21" s="6">
        <v>4540</v>
      </c>
      <c r="L21" s="6">
        <v>4540</v>
      </c>
      <c r="M21" s="7">
        <v>62.126660999999991</v>
      </c>
      <c r="N21" s="7">
        <v>0.70789599999999997</v>
      </c>
      <c r="O21" s="7">
        <v>17.476870999999999</v>
      </c>
      <c r="P21" s="7">
        <v>25.787011</v>
      </c>
      <c r="Q21" s="7">
        <v>106.098439</v>
      </c>
      <c r="R21" s="7">
        <v>3.5362450000000001</v>
      </c>
      <c r="S21" s="7">
        <v>1.8480799999999999</v>
      </c>
      <c r="T21" s="7">
        <v>6.6289399999999992</v>
      </c>
      <c r="U21" s="7">
        <v>8.0463459999999998</v>
      </c>
      <c r="V21" s="7">
        <v>20.059611</v>
      </c>
      <c r="W21" s="7">
        <v>126.15805</v>
      </c>
      <c r="X21" s="7">
        <v>0.106300272</v>
      </c>
      <c r="Y21" s="7">
        <v>5.7621602927086357</v>
      </c>
      <c r="Z21" s="7">
        <v>132.02651056470859</v>
      </c>
      <c r="AA21" s="7">
        <v>1.9717262937683679</v>
      </c>
      <c r="AB21" s="7">
        <v>133.99823685847699</v>
      </c>
      <c r="AC21" s="7">
        <v>0</v>
      </c>
      <c r="AD21" s="7">
        <v>30.956178999999999</v>
      </c>
      <c r="AE21" s="7">
        <v>0</v>
      </c>
      <c r="AF21" s="7">
        <v>0</v>
      </c>
      <c r="AG21" s="7">
        <v>164.95441585847701</v>
      </c>
      <c r="AH21" s="7">
        <v>0.72082299999999988</v>
      </c>
      <c r="AI21" s="7">
        <v>0</v>
      </c>
      <c r="AJ21" s="7">
        <v>18.923708000000001</v>
      </c>
      <c r="AK21" s="7">
        <v>153.64276785847699</v>
      </c>
      <c r="AL21" s="7">
        <v>0</v>
      </c>
      <c r="AM21" s="7">
        <v>0</v>
      </c>
      <c r="AN21" s="7">
        <v>0</v>
      </c>
      <c r="AO21" s="7">
        <v>0</v>
      </c>
      <c r="AP21" s="7">
        <v>0</v>
      </c>
      <c r="AQ21" s="7">
        <v>153.64276785847699</v>
      </c>
      <c r="AR21" s="7">
        <v>143.8399565600144</v>
      </c>
      <c r="AS21" s="7">
        <v>11.81344599530575</v>
      </c>
      <c r="AT21" s="7">
        <v>9.8417197015373841</v>
      </c>
    </row>
    <row r="22" spans="1:46" x14ac:dyDescent="0.35">
      <c r="A22" s="5">
        <v>46022</v>
      </c>
      <c r="B22" s="4" t="s">
        <v>80</v>
      </c>
      <c r="C22" s="4" t="s">
        <v>81</v>
      </c>
      <c r="D22" s="4" t="s">
        <v>62</v>
      </c>
      <c r="E22" s="6">
        <v>84500</v>
      </c>
      <c r="F22" s="6">
        <v>0</v>
      </c>
      <c r="G22" s="6">
        <v>84500</v>
      </c>
      <c r="H22" s="6">
        <v>12.518519</v>
      </c>
      <c r="I22" s="6">
        <v>6750</v>
      </c>
      <c r="J22" s="6">
        <v>700</v>
      </c>
      <c r="K22" s="6">
        <v>7450</v>
      </c>
      <c r="L22" s="6">
        <v>8450</v>
      </c>
      <c r="M22" s="7">
        <v>9.6213780000000018</v>
      </c>
      <c r="N22" s="7">
        <v>10.666748999999999</v>
      </c>
      <c r="O22" s="7">
        <v>2.5202429999999998</v>
      </c>
      <c r="P22" s="7">
        <v>19.112535000000001</v>
      </c>
      <c r="Q22" s="7">
        <v>41.920904999999998</v>
      </c>
      <c r="R22" s="7">
        <v>2.17347</v>
      </c>
      <c r="S22" s="7">
        <v>13.256164</v>
      </c>
      <c r="T22" s="7">
        <v>33.155878999999999</v>
      </c>
      <c r="U22" s="7">
        <v>23.796147000000001</v>
      </c>
      <c r="V22" s="7">
        <v>72.381659999999997</v>
      </c>
      <c r="W22" s="7">
        <v>114.302565</v>
      </c>
      <c r="X22" s="7">
        <v>6.8874830769230773</v>
      </c>
      <c r="Y22" s="7">
        <v>10.584483294674561</v>
      </c>
      <c r="Z22" s="7">
        <v>131.77453137159759</v>
      </c>
      <c r="AA22" s="7">
        <v>16.086007898819609</v>
      </c>
      <c r="AB22" s="7">
        <v>147.86053927041721</v>
      </c>
      <c r="AC22" s="7">
        <v>0.55683899999999997</v>
      </c>
      <c r="AD22" s="7">
        <v>64.498697000000007</v>
      </c>
      <c r="AE22" s="7">
        <v>0</v>
      </c>
      <c r="AF22" s="7">
        <v>0</v>
      </c>
      <c r="AG22" s="7">
        <v>212.91607527041731</v>
      </c>
      <c r="AH22" s="7">
        <v>1.1393310000000001</v>
      </c>
      <c r="AI22" s="7">
        <v>0</v>
      </c>
      <c r="AJ22" s="7">
        <v>38.80097700000001</v>
      </c>
      <c r="AK22" s="7">
        <v>188.3576862704173</v>
      </c>
      <c r="AL22" s="7">
        <v>0</v>
      </c>
      <c r="AM22" s="7">
        <v>0</v>
      </c>
      <c r="AN22" s="7">
        <v>0</v>
      </c>
      <c r="AO22" s="7">
        <v>0</v>
      </c>
      <c r="AP22" s="7">
        <v>0</v>
      </c>
      <c r="AQ22" s="7">
        <v>188.3576862704173</v>
      </c>
      <c r="AR22" s="7">
        <v>234.07226623659011</v>
      </c>
      <c r="AS22" s="7">
        <v>102.29773486499251</v>
      </c>
      <c r="AT22" s="7">
        <v>86.211726966172904</v>
      </c>
    </row>
    <row r="23" spans="1:46" x14ac:dyDescent="0.35">
      <c r="A23" s="5">
        <v>46022</v>
      </c>
      <c r="B23" s="4" t="s">
        <v>82</v>
      </c>
      <c r="C23" s="4" t="s">
        <v>83</v>
      </c>
      <c r="D23" s="4" t="s">
        <v>84</v>
      </c>
      <c r="E23" s="6">
        <v>21422.666667000001</v>
      </c>
      <c r="F23" s="6">
        <v>0</v>
      </c>
      <c r="G23" s="6">
        <v>21422.666667000001</v>
      </c>
      <c r="H23" s="6">
        <v>2.1351499999999999</v>
      </c>
      <c r="I23" s="6">
        <v>10033.333333</v>
      </c>
      <c r="J23" s="6">
        <v>0</v>
      </c>
      <c r="K23" s="6">
        <v>10033.333333</v>
      </c>
      <c r="L23" s="6">
        <v>10033.333333</v>
      </c>
      <c r="M23" s="7">
        <v>0.78895499999999996</v>
      </c>
      <c r="N23" s="7">
        <v>0.41878500000000002</v>
      </c>
      <c r="O23" s="7">
        <v>4.3568000000000003E-2</v>
      </c>
      <c r="P23" s="7">
        <v>1.089772</v>
      </c>
      <c r="Q23" s="7">
        <v>2.3410799999999998</v>
      </c>
      <c r="R23" s="7">
        <v>0.33812500000000001</v>
      </c>
      <c r="S23" s="7">
        <v>0.88496699999999995</v>
      </c>
      <c r="T23" s="7">
        <v>1.1640280000000001</v>
      </c>
      <c r="U23" s="7">
        <v>0.54234300000000002</v>
      </c>
      <c r="V23" s="7">
        <v>2.9294630000000002</v>
      </c>
      <c r="W23" s="7">
        <v>5.270543</v>
      </c>
      <c r="X23" s="7">
        <v>2.2312527007745229</v>
      </c>
      <c r="Y23" s="7">
        <v>6.4463036519407346</v>
      </c>
      <c r="Z23" s="7">
        <v>13.948099352715261</v>
      </c>
      <c r="AA23" s="7">
        <v>0</v>
      </c>
      <c r="AB23" s="7">
        <v>13.948099352715261</v>
      </c>
      <c r="AC23" s="7">
        <v>0</v>
      </c>
      <c r="AD23" s="7">
        <v>0.84586300000000014</v>
      </c>
      <c r="AE23" s="7">
        <v>0</v>
      </c>
      <c r="AF23" s="7">
        <v>0</v>
      </c>
      <c r="AG23" s="7">
        <v>14.79396235271526</v>
      </c>
      <c r="AH23" s="7">
        <v>0.647841</v>
      </c>
      <c r="AI23" s="7">
        <v>0</v>
      </c>
      <c r="AJ23" s="7">
        <v>11.165891999999999</v>
      </c>
      <c r="AK23" s="7">
        <v>25.76183235271526</v>
      </c>
      <c r="AL23" s="7">
        <v>1.0605279999999999</v>
      </c>
      <c r="AM23" s="7">
        <v>0</v>
      </c>
      <c r="AN23" s="7">
        <v>0</v>
      </c>
      <c r="AO23" s="7">
        <v>0</v>
      </c>
      <c r="AP23" s="7">
        <v>0</v>
      </c>
      <c r="AQ23" s="7">
        <v>26.822360352715261</v>
      </c>
      <c r="AR23" s="7">
        <v>45.54317694059047</v>
      </c>
      <c r="AS23" s="7">
        <v>31.59507758787521</v>
      </c>
      <c r="AT23" s="7">
        <v>31.59507758787521</v>
      </c>
    </row>
    <row r="24" spans="1:46" x14ac:dyDescent="0.35">
      <c r="A24" s="5">
        <v>46022</v>
      </c>
      <c r="B24" s="4" t="s">
        <v>85</v>
      </c>
      <c r="C24" s="4" t="s">
        <v>86</v>
      </c>
      <c r="D24" s="4" t="s">
        <v>57</v>
      </c>
      <c r="E24" s="6">
        <v>0</v>
      </c>
      <c r="F24" s="6">
        <v>0</v>
      </c>
      <c r="G24" s="6">
        <v>0</v>
      </c>
      <c r="H24" s="6">
        <v>0</v>
      </c>
      <c r="I24" s="6">
        <v>0</v>
      </c>
      <c r="J24" s="6">
        <v>12000</v>
      </c>
      <c r="K24" s="6">
        <v>12000</v>
      </c>
      <c r="L24" s="6">
        <v>13500</v>
      </c>
      <c r="M24" s="7">
        <v>33.463132000000002</v>
      </c>
      <c r="N24" s="7">
        <v>0.86302199999999996</v>
      </c>
      <c r="O24" s="7">
        <v>1.7986759999999999</v>
      </c>
      <c r="P24" s="7">
        <v>6.9927359999999998</v>
      </c>
      <c r="Q24" s="7">
        <v>43.117565999999997</v>
      </c>
      <c r="R24" s="7">
        <v>1.1343399999999999</v>
      </c>
      <c r="S24" s="7">
        <v>0.70357899999999995</v>
      </c>
      <c r="T24" s="7">
        <v>2.373335</v>
      </c>
      <c r="U24" s="7">
        <v>1.8374889999999999</v>
      </c>
      <c r="V24" s="7">
        <v>6.048743</v>
      </c>
      <c r="W24" s="7">
        <v>49.166308999999998</v>
      </c>
      <c r="X24" s="7">
        <v>1.2008003088000001</v>
      </c>
      <c r="Y24" s="7">
        <v>19.037828709271931</v>
      </c>
      <c r="Z24" s="7">
        <v>69.404938018071931</v>
      </c>
      <c r="AA24" s="7">
        <v>3.6086366000158381</v>
      </c>
      <c r="AB24" s="7">
        <v>73.013574618087773</v>
      </c>
      <c r="AC24" s="7">
        <v>0</v>
      </c>
      <c r="AD24" s="7">
        <v>17.847380000000001</v>
      </c>
      <c r="AE24" s="7">
        <v>0</v>
      </c>
      <c r="AF24" s="7">
        <v>0</v>
      </c>
      <c r="AG24" s="7">
        <v>90.860954618087774</v>
      </c>
      <c r="AH24" s="7">
        <v>2.5925929999999999</v>
      </c>
      <c r="AI24" s="7">
        <v>0</v>
      </c>
      <c r="AJ24" s="7">
        <v>13.333333</v>
      </c>
      <c r="AK24" s="7">
        <v>88.939500618087763</v>
      </c>
      <c r="AL24" s="7">
        <v>0</v>
      </c>
      <c r="AM24" s="7">
        <v>0</v>
      </c>
      <c r="AN24" s="7">
        <v>0</v>
      </c>
      <c r="AO24" s="7">
        <v>0</v>
      </c>
      <c r="AP24" s="7">
        <v>0</v>
      </c>
      <c r="AQ24" s="7">
        <v>88.939500618087763</v>
      </c>
      <c r="AR24" s="7">
        <v>235.89031317092429</v>
      </c>
      <c r="AS24" s="7">
        <v>166.48537515285241</v>
      </c>
      <c r="AT24" s="7">
        <v>162.87673855283651</v>
      </c>
    </row>
    <row r="25" spans="1:46" x14ac:dyDescent="0.35">
      <c r="A25" s="5">
        <v>46022</v>
      </c>
      <c r="B25" s="4" t="s">
        <v>87</v>
      </c>
      <c r="C25" s="4" t="s">
        <v>88</v>
      </c>
      <c r="D25" s="4" t="s">
        <v>89</v>
      </c>
      <c r="E25" s="6">
        <v>0</v>
      </c>
      <c r="F25" s="6">
        <v>0</v>
      </c>
      <c r="G25" s="6">
        <v>0</v>
      </c>
      <c r="H25" s="6">
        <v>0</v>
      </c>
      <c r="I25" s="6">
        <v>0</v>
      </c>
      <c r="J25" s="6">
        <v>880</v>
      </c>
      <c r="K25" s="6">
        <v>880</v>
      </c>
      <c r="L25" s="6">
        <v>880</v>
      </c>
      <c r="M25" s="7">
        <v>37.408580802919708</v>
      </c>
      <c r="N25" s="7">
        <v>2.8194710000000001</v>
      </c>
      <c r="O25" s="7">
        <v>7.8738428467153287</v>
      </c>
      <c r="P25" s="7">
        <v>95.184980875912416</v>
      </c>
      <c r="Q25" s="7">
        <v>143.28687552554749</v>
      </c>
      <c r="R25" s="7">
        <v>16.14708839416058</v>
      </c>
      <c r="S25" s="7">
        <v>11.03860649635037</v>
      </c>
      <c r="T25" s="7">
        <v>11.33048306569343</v>
      </c>
      <c r="U25" s="7">
        <v>20.58796810218978</v>
      </c>
      <c r="V25" s="7">
        <v>59.104146058394157</v>
      </c>
      <c r="W25" s="7">
        <v>202.39102158394161</v>
      </c>
      <c r="X25" s="7">
        <v>53.314783629137949</v>
      </c>
      <c r="Y25" s="7">
        <v>55.60179271362513</v>
      </c>
      <c r="Z25" s="7">
        <v>311.30759792670472</v>
      </c>
      <c r="AA25" s="7">
        <v>0</v>
      </c>
      <c r="AB25" s="7">
        <v>311.30759792670472</v>
      </c>
      <c r="AC25" s="7">
        <v>0</v>
      </c>
      <c r="AD25" s="7">
        <v>38.960198175182491</v>
      </c>
      <c r="AE25" s="7">
        <v>0</v>
      </c>
      <c r="AF25" s="7">
        <v>0</v>
      </c>
      <c r="AG25" s="7">
        <v>350.2677961018872</v>
      </c>
      <c r="AH25" s="7">
        <v>1.725282189781022</v>
      </c>
      <c r="AI25" s="7">
        <v>0</v>
      </c>
      <c r="AJ25" s="7">
        <v>22.0932504379562</v>
      </c>
      <c r="AK25" s="7">
        <v>335.12613055444189</v>
      </c>
      <c r="AL25" s="7">
        <v>0</v>
      </c>
      <c r="AM25" s="7">
        <v>0</v>
      </c>
      <c r="AN25" s="7">
        <v>0</v>
      </c>
      <c r="AO25" s="7">
        <v>0</v>
      </c>
      <c r="AP25" s="7">
        <v>0</v>
      </c>
      <c r="AQ25" s="7">
        <v>335.12613055444189</v>
      </c>
      <c r="AR25" s="7">
        <v>315.16019842095682</v>
      </c>
      <c r="AS25" s="7">
        <v>3.852600494252064</v>
      </c>
      <c r="AT25" s="7">
        <v>3.852600494252064</v>
      </c>
    </row>
    <row r="26" spans="1:46" x14ac:dyDescent="0.35">
      <c r="A26" s="5">
        <v>46022</v>
      </c>
      <c r="B26" s="4" t="s">
        <v>90</v>
      </c>
      <c r="C26" s="4" t="s">
        <v>91</v>
      </c>
      <c r="D26" s="4" t="s">
        <v>62</v>
      </c>
      <c r="E26" s="6">
        <v>0</v>
      </c>
      <c r="F26" s="6">
        <v>0</v>
      </c>
      <c r="G26" s="6">
        <v>0</v>
      </c>
      <c r="H26" s="6">
        <v>0</v>
      </c>
      <c r="I26" s="6">
        <v>8200</v>
      </c>
      <c r="J26" s="6">
        <v>0</v>
      </c>
      <c r="K26" s="6">
        <v>8200</v>
      </c>
      <c r="L26" s="6">
        <v>8200</v>
      </c>
      <c r="M26" s="7">
        <v>0.49427500000000002</v>
      </c>
      <c r="N26" s="7">
        <v>8.3409999999999998E-2</v>
      </c>
      <c r="O26" s="7">
        <v>0.86991600000000013</v>
      </c>
      <c r="P26" s="7">
        <v>6.1452E-2</v>
      </c>
      <c r="Q26" s="7">
        <v>1.509053</v>
      </c>
      <c r="R26" s="7">
        <v>0.52680000000000005</v>
      </c>
      <c r="S26" s="7">
        <v>4.0822190000000003</v>
      </c>
      <c r="T26" s="7">
        <v>8.3208409999999997</v>
      </c>
      <c r="U26" s="7">
        <v>0.581013</v>
      </c>
      <c r="V26" s="7">
        <v>13.510873</v>
      </c>
      <c r="W26" s="7">
        <v>15.019926</v>
      </c>
      <c r="X26" s="7">
        <v>3.400909599907707</v>
      </c>
      <c r="Y26" s="7">
        <v>0</v>
      </c>
      <c r="Z26" s="7">
        <v>18.420835599907711</v>
      </c>
      <c r="AA26" s="7">
        <v>11.78611356434007</v>
      </c>
      <c r="AB26" s="7">
        <v>30.206949164247781</v>
      </c>
      <c r="AC26" s="7">
        <v>0</v>
      </c>
      <c r="AD26" s="7">
        <v>7.4949589999999997</v>
      </c>
      <c r="AE26" s="7">
        <v>0</v>
      </c>
      <c r="AF26" s="7">
        <v>0</v>
      </c>
      <c r="AG26" s="7">
        <v>37.701908164247783</v>
      </c>
      <c r="AH26" s="7">
        <v>3.3512970000000002</v>
      </c>
      <c r="AI26" s="7">
        <v>0</v>
      </c>
      <c r="AJ26" s="7">
        <v>1.5019929999999999</v>
      </c>
      <c r="AK26" s="7">
        <v>35.060239164247783</v>
      </c>
      <c r="AL26" s="7">
        <v>0</v>
      </c>
      <c r="AM26" s="7">
        <v>0</v>
      </c>
      <c r="AN26" s="7">
        <v>0</v>
      </c>
      <c r="AO26" s="7">
        <v>0</v>
      </c>
      <c r="AP26" s="7">
        <v>0</v>
      </c>
      <c r="AQ26" s="7">
        <v>35.060239164247783</v>
      </c>
      <c r="AR26" s="7">
        <v>167.5314054061983</v>
      </c>
      <c r="AS26" s="7">
        <v>149.11056980629061</v>
      </c>
      <c r="AT26" s="7">
        <v>137.32445624195049</v>
      </c>
    </row>
    <row r="27" spans="1:46" x14ac:dyDescent="0.35">
      <c r="A27" s="5">
        <v>46022</v>
      </c>
      <c r="B27" s="4" t="s">
        <v>92</v>
      </c>
      <c r="C27" s="4" t="s">
        <v>93</v>
      </c>
      <c r="D27" s="4" t="s">
        <v>94</v>
      </c>
      <c r="E27" s="6">
        <v>0</v>
      </c>
      <c r="F27" s="6">
        <v>0</v>
      </c>
      <c r="G27" s="6">
        <v>0</v>
      </c>
      <c r="H27" s="6">
        <v>0</v>
      </c>
      <c r="I27" s="6">
        <v>0</v>
      </c>
      <c r="J27" s="6">
        <v>2770</v>
      </c>
      <c r="K27" s="6">
        <v>2770</v>
      </c>
      <c r="L27" s="6">
        <v>2780</v>
      </c>
      <c r="M27" s="7">
        <v>23.911916999999999</v>
      </c>
      <c r="N27" s="7">
        <v>4.504874</v>
      </c>
      <c r="O27" s="7">
        <v>12.308109</v>
      </c>
      <c r="P27" s="7">
        <v>27.052257999999998</v>
      </c>
      <c r="Q27" s="7">
        <v>67.777158</v>
      </c>
      <c r="R27" s="7">
        <v>0.87679200000000002</v>
      </c>
      <c r="S27" s="7">
        <v>2.4020549999999998</v>
      </c>
      <c r="T27" s="7">
        <v>22.311806000000001</v>
      </c>
      <c r="U27" s="7">
        <v>0.902563</v>
      </c>
      <c r="V27" s="7">
        <v>26.493216</v>
      </c>
      <c r="W27" s="7">
        <v>94.270374000000004</v>
      </c>
      <c r="X27" s="7">
        <v>1.274936676</v>
      </c>
      <c r="Y27" s="7">
        <v>11.641278576928149</v>
      </c>
      <c r="Z27" s="7">
        <v>107.1865892529282</v>
      </c>
      <c r="AA27" s="7">
        <v>4.8945439051000621</v>
      </c>
      <c r="AB27" s="7">
        <v>112.08113315802819</v>
      </c>
      <c r="AC27" s="7">
        <v>0</v>
      </c>
      <c r="AD27" s="7">
        <v>20.367115999999999</v>
      </c>
      <c r="AE27" s="7">
        <v>0</v>
      </c>
      <c r="AF27" s="7">
        <v>0</v>
      </c>
      <c r="AG27" s="7">
        <v>132.4482491580282</v>
      </c>
      <c r="AH27" s="7">
        <v>2.3896009999999999</v>
      </c>
      <c r="AI27" s="7">
        <v>0</v>
      </c>
      <c r="AJ27" s="7">
        <v>19.475429999999999</v>
      </c>
      <c r="AK27" s="7">
        <v>133.94616415802821</v>
      </c>
      <c r="AL27" s="7">
        <v>0</v>
      </c>
      <c r="AM27" s="7">
        <v>0</v>
      </c>
      <c r="AN27" s="7">
        <v>0</v>
      </c>
      <c r="AO27" s="7">
        <v>0</v>
      </c>
      <c r="AP27" s="7">
        <v>0</v>
      </c>
      <c r="AQ27" s="7">
        <v>133.94616415802821</v>
      </c>
      <c r="AR27" s="7">
        <v>129.32729930714879</v>
      </c>
      <c r="AS27" s="7">
        <v>22.14071005422069</v>
      </c>
      <c r="AT27" s="7">
        <v>17.246166149120629</v>
      </c>
    </row>
    <row r="28" spans="1:46" x14ac:dyDescent="0.35">
      <c r="A28" s="5">
        <v>46022</v>
      </c>
      <c r="B28" s="4" t="s">
        <v>95</v>
      </c>
      <c r="C28" s="4" t="s">
        <v>96</v>
      </c>
      <c r="D28" s="4" t="s">
        <v>89</v>
      </c>
      <c r="E28" s="6">
        <v>0</v>
      </c>
      <c r="F28" s="6">
        <v>0</v>
      </c>
      <c r="G28" s="6">
        <v>0</v>
      </c>
      <c r="H28" s="6">
        <v>0</v>
      </c>
      <c r="I28" s="6">
        <v>0</v>
      </c>
      <c r="J28" s="6">
        <v>3500</v>
      </c>
      <c r="K28" s="6">
        <v>3500</v>
      </c>
      <c r="L28" s="6">
        <v>4200</v>
      </c>
      <c r="M28" s="7">
        <v>43.224615693430657</v>
      </c>
      <c r="N28" s="7">
        <v>11.523400000000001</v>
      </c>
      <c r="O28" s="7">
        <v>9.8304775912408768</v>
      </c>
      <c r="P28" s="7">
        <v>86.032045255474458</v>
      </c>
      <c r="Q28" s="7">
        <v>150.610538540146</v>
      </c>
      <c r="R28" s="7">
        <v>15.32159408759124</v>
      </c>
      <c r="S28" s="7">
        <v>10.8076297080292</v>
      </c>
      <c r="T28" s="7">
        <v>11.712817810218979</v>
      </c>
      <c r="U28" s="7">
        <v>13.0195797080292</v>
      </c>
      <c r="V28" s="7">
        <v>50.861621313868611</v>
      </c>
      <c r="W28" s="7">
        <v>201.47215985401459</v>
      </c>
      <c r="X28" s="7">
        <v>2.5208646903092862</v>
      </c>
      <c r="Y28" s="7">
        <v>48.967267703951563</v>
      </c>
      <c r="Z28" s="7">
        <v>252.96029224827549</v>
      </c>
      <c r="AA28" s="7">
        <v>0</v>
      </c>
      <c r="AB28" s="7">
        <v>252.96029224827549</v>
      </c>
      <c r="AC28" s="7">
        <v>0</v>
      </c>
      <c r="AD28" s="7">
        <v>44.700288394160587</v>
      </c>
      <c r="AE28" s="7">
        <v>0</v>
      </c>
      <c r="AF28" s="7">
        <v>0</v>
      </c>
      <c r="AG28" s="7">
        <v>297.660580642436</v>
      </c>
      <c r="AH28" s="7">
        <v>4.9486682481751831</v>
      </c>
      <c r="AI28" s="7">
        <v>0</v>
      </c>
      <c r="AJ28" s="7">
        <v>38.435884452554752</v>
      </c>
      <c r="AK28" s="7">
        <v>296.34484494900539</v>
      </c>
      <c r="AL28" s="7">
        <v>0</v>
      </c>
      <c r="AM28" s="7">
        <v>0</v>
      </c>
      <c r="AN28" s="7">
        <v>0</v>
      </c>
      <c r="AO28" s="7">
        <v>0</v>
      </c>
      <c r="AP28" s="7">
        <v>0</v>
      </c>
      <c r="AQ28" s="7">
        <v>296.34484494900539</v>
      </c>
      <c r="AR28" s="7">
        <v>371.76362717175999</v>
      </c>
      <c r="AS28" s="7">
        <v>118.8033349234846</v>
      </c>
      <c r="AT28" s="7">
        <v>118.8033349234846</v>
      </c>
    </row>
    <row r="29" spans="1:46" x14ac:dyDescent="0.35">
      <c r="A29" s="5">
        <v>46022</v>
      </c>
      <c r="B29" s="4" t="s">
        <v>97</v>
      </c>
      <c r="C29" s="4" t="s">
        <v>98</v>
      </c>
      <c r="D29" s="4" t="s">
        <v>99</v>
      </c>
      <c r="E29" s="6">
        <v>5450</v>
      </c>
      <c r="F29" s="6">
        <v>0</v>
      </c>
      <c r="G29" s="6">
        <v>5450</v>
      </c>
      <c r="H29" s="6">
        <v>1.816667</v>
      </c>
      <c r="I29" s="6">
        <v>3000</v>
      </c>
      <c r="J29" s="6">
        <v>0</v>
      </c>
      <c r="K29" s="6">
        <v>3000</v>
      </c>
      <c r="L29" s="6">
        <v>2500</v>
      </c>
      <c r="M29" s="7">
        <v>0.63358599999999987</v>
      </c>
      <c r="N29" s="7">
        <v>0.15995799999999999</v>
      </c>
      <c r="O29" s="7">
        <v>4.4399000000000001E-2</v>
      </c>
      <c r="P29" s="7">
        <v>0.734545</v>
      </c>
      <c r="Q29" s="7">
        <v>1.5724880000000001</v>
      </c>
      <c r="R29" s="7">
        <v>1.043928</v>
      </c>
      <c r="S29" s="7">
        <v>28.567529</v>
      </c>
      <c r="T29" s="7">
        <v>3.4298099999999998</v>
      </c>
      <c r="U29" s="7">
        <v>15.766895</v>
      </c>
      <c r="V29" s="7">
        <v>48.808162000000003</v>
      </c>
      <c r="W29" s="7">
        <v>50.380650000000003</v>
      </c>
      <c r="X29" s="7">
        <v>0.85131507285887997</v>
      </c>
      <c r="Y29" s="7">
        <v>29.86607334483125</v>
      </c>
      <c r="Z29" s="7">
        <v>81.098038417690134</v>
      </c>
      <c r="AA29" s="7">
        <v>9.2436605526549283</v>
      </c>
      <c r="AB29" s="7">
        <v>90.341698970345064</v>
      </c>
      <c r="AC29" s="7">
        <v>0</v>
      </c>
      <c r="AD29" s="7">
        <v>17.742628</v>
      </c>
      <c r="AE29" s="7">
        <v>0</v>
      </c>
      <c r="AF29" s="7">
        <v>0</v>
      </c>
      <c r="AG29" s="7">
        <v>108.0843269703451</v>
      </c>
      <c r="AH29" s="7">
        <v>0.59999999999999987</v>
      </c>
      <c r="AI29" s="7">
        <v>0</v>
      </c>
      <c r="AJ29" s="7">
        <v>7.557097999999999</v>
      </c>
      <c r="AK29" s="7">
        <v>98.498796970345055</v>
      </c>
      <c r="AL29" s="7">
        <v>0</v>
      </c>
      <c r="AM29" s="7">
        <v>0</v>
      </c>
      <c r="AN29" s="7">
        <v>0</v>
      </c>
      <c r="AO29" s="7">
        <v>0</v>
      </c>
      <c r="AP29" s="7">
        <v>0</v>
      </c>
      <c r="AQ29" s="7">
        <v>98.498796970345055</v>
      </c>
      <c r="AR29" s="7">
        <v>168.0663189712545</v>
      </c>
      <c r="AS29" s="7">
        <v>86.968280553564398</v>
      </c>
      <c r="AT29" s="7">
        <v>77.724620000909468</v>
      </c>
    </row>
    <row r="30" spans="1:46" x14ac:dyDescent="0.35">
      <c r="A30" s="5">
        <v>46022</v>
      </c>
      <c r="B30" s="4" t="s">
        <v>100</v>
      </c>
      <c r="C30" s="4" t="s">
        <v>101</v>
      </c>
      <c r="D30" s="4" t="s">
        <v>89</v>
      </c>
      <c r="E30" s="6">
        <v>0</v>
      </c>
      <c r="F30" s="6">
        <v>300</v>
      </c>
      <c r="G30" s="6">
        <v>300</v>
      </c>
      <c r="H30" s="6">
        <v>0</v>
      </c>
      <c r="I30" s="6">
        <v>0</v>
      </c>
      <c r="J30" s="6">
        <v>1000</v>
      </c>
      <c r="K30" s="6">
        <v>1000</v>
      </c>
      <c r="L30" s="6">
        <v>1000</v>
      </c>
      <c r="M30" s="7">
        <v>68.086607999999998</v>
      </c>
      <c r="N30" s="7">
        <v>9.9942130000000002</v>
      </c>
      <c r="O30" s="7">
        <v>9.6457300000000004</v>
      </c>
      <c r="P30" s="7">
        <v>115.817108</v>
      </c>
      <c r="Q30" s="7">
        <v>203.54365899999999</v>
      </c>
      <c r="R30" s="7">
        <v>4.3315429999999999</v>
      </c>
      <c r="S30" s="7">
        <v>7.8041669999999996</v>
      </c>
      <c r="T30" s="7">
        <v>3.148301</v>
      </c>
      <c r="U30" s="7">
        <v>12.194663</v>
      </c>
      <c r="V30" s="7">
        <v>27.478674000000002</v>
      </c>
      <c r="W30" s="7">
        <v>231.022333</v>
      </c>
      <c r="X30" s="7">
        <v>12.3457448149216</v>
      </c>
      <c r="Y30" s="7">
        <v>32.708790361245413</v>
      </c>
      <c r="Z30" s="7">
        <v>276.07686817616701</v>
      </c>
      <c r="AA30" s="7">
        <v>0</v>
      </c>
      <c r="AB30" s="7">
        <v>276.07686817616701</v>
      </c>
      <c r="AC30" s="7">
        <v>0</v>
      </c>
      <c r="AD30" s="7">
        <v>110.48586299999999</v>
      </c>
      <c r="AE30" s="7">
        <v>0</v>
      </c>
      <c r="AF30" s="7">
        <v>0</v>
      </c>
      <c r="AG30" s="7">
        <v>386.56273117616701</v>
      </c>
      <c r="AH30" s="7">
        <v>1.0373760000000001</v>
      </c>
      <c r="AI30" s="7">
        <v>0</v>
      </c>
      <c r="AJ30" s="7">
        <v>41.53421800000001</v>
      </c>
      <c r="AK30" s="7">
        <v>318.64846217616702</v>
      </c>
      <c r="AL30" s="7">
        <v>200</v>
      </c>
      <c r="AM30" s="7">
        <v>0</v>
      </c>
      <c r="AN30" s="7">
        <v>0</v>
      </c>
      <c r="AO30" s="7">
        <v>0</v>
      </c>
      <c r="AP30" s="7">
        <v>0</v>
      </c>
      <c r="AQ30" s="7">
        <v>518.64846217616696</v>
      </c>
      <c r="AR30" s="7">
        <v>268.04984798736371</v>
      </c>
      <c r="AS30" s="7">
        <v>-8.0270201888032808</v>
      </c>
      <c r="AT30" s="7">
        <v>-8.0270201888032808</v>
      </c>
    </row>
    <row r="31" spans="1:46" x14ac:dyDescent="0.35">
      <c r="A31" s="5">
        <v>46022</v>
      </c>
      <c r="B31" s="4" t="s">
        <v>102</v>
      </c>
      <c r="C31" s="4" t="s">
        <v>103</v>
      </c>
      <c r="D31" s="4" t="s">
        <v>104</v>
      </c>
      <c r="E31" s="6">
        <v>2537.6931709999999</v>
      </c>
      <c r="F31" s="6">
        <v>0</v>
      </c>
      <c r="G31" s="6">
        <v>2537.6931709999999</v>
      </c>
      <c r="H31" s="6">
        <v>0.72505500000000001</v>
      </c>
      <c r="I31" s="6">
        <v>3500</v>
      </c>
      <c r="J31" s="6">
        <v>0</v>
      </c>
      <c r="K31" s="6">
        <v>3500</v>
      </c>
      <c r="L31" s="6">
        <v>3500</v>
      </c>
      <c r="M31" s="7">
        <v>0.22810154166666671</v>
      </c>
      <c r="N31" s="7">
        <v>2.4339409999999999</v>
      </c>
      <c r="O31" s="7">
        <v>3.1921250000000001E-3</v>
      </c>
      <c r="P31" s="7">
        <v>0.22908387499999999</v>
      </c>
      <c r="Q31" s="7">
        <v>2.8943185416666668</v>
      </c>
      <c r="R31" s="7">
        <v>0.3732775416666666</v>
      </c>
      <c r="S31" s="7">
        <v>1.333124666666667</v>
      </c>
      <c r="T31" s="7">
        <v>1.189648041666667</v>
      </c>
      <c r="U31" s="7">
        <v>0.83776941666666671</v>
      </c>
      <c r="V31" s="7">
        <v>3.7338196666666672</v>
      </c>
      <c r="W31" s="7">
        <v>6.6281382083333327</v>
      </c>
      <c r="X31" s="7">
        <v>14.94299241913863</v>
      </c>
      <c r="Y31" s="7">
        <v>53.028937574809738</v>
      </c>
      <c r="Z31" s="7">
        <v>74.600068202281705</v>
      </c>
      <c r="AA31" s="7">
        <v>9.3059164925889828</v>
      </c>
      <c r="AB31" s="7">
        <v>83.905984694870682</v>
      </c>
      <c r="AC31" s="7">
        <v>8.3333333333333329E-2</v>
      </c>
      <c r="AD31" s="7">
        <v>0.93864912499999997</v>
      </c>
      <c r="AE31" s="7">
        <v>0</v>
      </c>
      <c r="AF31" s="7">
        <v>0</v>
      </c>
      <c r="AG31" s="7">
        <v>84.927967153204023</v>
      </c>
      <c r="AH31" s="7">
        <v>0.2310579583333334</v>
      </c>
      <c r="AI31" s="7">
        <v>0</v>
      </c>
      <c r="AJ31" s="7">
        <v>0.71428570833333327</v>
      </c>
      <c r="AK31" s="7">
        <v>84.934661694870684</v>
      </c>
      <c r="AL31" s="7">
        <v>2.8571430000000002</v>
      </c>
      <c r="AM31" s="7">
        <v>0</v>
      </c>
      <c r="AN31" s="7">
        <v>0</v>
      </c>
      <c r="AO31" s="7">
        <v>0</v>
      </c>
      <c r="AP31" s="7">
        <v>0</v>
      </c>
      <c r="AQ31" s="7">
        <v>87.791804694870677</v>
      </c>
      <c r="AR31" s="7">
        <v>186.11820976324819</v>
      </c>
      <c r="AS31" s="7">
        <v>111.5181415609664</v>
      </c>
      <c r="AT31" s="7">
        <v>102.21222506837751</v>
      </c>
    </row>
    <row r="32" spans="1:46" x14ac:dyDescent="0.35">
      <c r="A32" s="5">
        <v>46022</v>
      </c>
      <c r="B32" s="4" t="s">
        <v>105</v>
      </c>
      <c r="C32" s="4" t="s">
        <v>106</v>
      </c>
      <c r="D32" s="4" t="s">
        <v>62</v>
      </c>
      <c r="E32" s="6">
        <v>6750</v>
      </c>
      <c r="F32" s="6">
        <v>0</v>
      </c>
      <c r="G32" s="6">
        <v>6750</v>
      </c>
      <c r="H32" s="6">
        <v>3</v>
      </c>
      <c r="I32" s="6">
        <v>2250</v>
      </c>
      <c r="J32" s="6">
        <v>0</v>
      </c>
      <c r="K32" s="6">
        <v>2250</v>
      </c>
      <c r="L32" s="6">
        <v>2500</v>
      </c>
      <c r="M32" s="7">
        <v>12.28691797961674</v>
      </c>
      <c r="N32" s="7">
        <v>7.1170600000000004</v>
      </c>
      <c r="O32" s="7">
        <v>2.1311456519216359</v>
      </c>
      <c r="P32" s="7">
        <v>21.056125917717591</v>
      </c>
      <c r="Q32" s="7">
        <v>42.59124954925597</v>
      </c>
      <c r="R32" s="7">
        <v>13.42407264828177</v>
      </c>
      <c r="S32" s="7">
        <v>4.4578581469007599</v>
      </c>
      <c r="T32" s="7">
        <v>8.0442676829889734</v>
      </c>
      <c r="U32" s="7">
        <v>1.0868525222353069</v>
      </c>
      <c r="V32" s="7">
        <v>27.013051000406811</v>
      </c>
      <c r="W32" s="7">
        <v>69.604300549662767</v>
      </c>
      <c r="X32" s="7">
        <v>9.9553373673240007</v>
      </c>
      <c r="Y32" s="7">
        <v>26.464730877197081</v>
      </c>
      <c r="Z32" s="7">
        <v>106.0243687941838</v>
      </c>
      <c r="AA32" s="7">
        <v>25.08262352572423</v>
      </c>
      <c r="AB32" s="7">
        <v>131.1069923199081</v>
      </c>
      <c r="AC32" s="7">
        <v>0</v>
      </c>
      <c r="AD32" s="7">
        <v>44.042180593962101</v>
      </c>
      <c r="AE32" s="7">
        <v>0</v>
      </c>
      <c r="AF32" s="7">
        <v>0</v>
      </c>
      <c r="AG32" s="7">
        <v>175.14917291387019</v>
      </c>
      <c r="AH32" s="7">
        <v>0.4953916948078364</v>
      </c>
      <c r="AI32" s="7">
        <v>0</v>
      </c>
      <c r="AJ32" s="7">
        <v>21.847400472090779</v>
      </c>
      <c r="AK32" s="7">
        <v>153.44978448680669</v>
      </c>
      <c r="AL32" s="7">
        <v>0</v>
      </c>
      <c r="AM32" s="7">
        <v>0</v>
      </c>
      <c r="AN32" s="7">
        <v>0</v>
      </c>
      <c r="AO32" s="7">
        <v>0</v>
      </c>
      <c r="AP32" s="7">
        <v>0</v>
      </c>
      <c r="AQ32" s="7">
        <v>153.44978448680669</v>
      </c>
      <c r="AR32" s="7">
        <v>231.61254669459171</v>
      </c>
      <c r="AS32" s="7">
        <v>125.5881779004078</v>
      </c>
      <c r="AT32" s="7">
        <v>100.5055543746836</v>
      </c>
    </row>
    <row r="33" spans="1:46" x14ac:dyDescent="0.35">
      <c r="A33" s="5">
        <v>46022</v>
      </c>
      <c r="B33" s="4" t="s">
        <v>107</v>
      </c>
      <c r="C33" s="4" t="s">
        <v>108</v>
      </c>
      <c r="D33" s="4" t="s">
        <v>109</v>
      </c>
      <c r="E33" s="6">
        <v>27620</v>
      </c>
      <c r="F33" s="6">
        <v>0</v>
      </c>
      <c r="G33" s="6">
        <v>27620</v>
      </c>
      <c r="H33" s="6">
        <v>15.873563000000001</v>
      </c>
      <c r="I33" s="6">
        <v>1740</v>
      </c>
      <c r="J33" s="6">
        <v>0</v>
      </c>
      <c r="K33" s="6">
        <v>1740</v>
      </c>
      <c r="L33" s="6">
        <v>1740</v>
      </c>
      <c r="M33" s="7">
        <v>0.31725900000000001</v>
      </c>
      <c r="N33" s="7">
        <v>1.1703600000000001</v>
      </c>
      <c r="O33" s="7">
        <v>0.48348999999999998</v>
      </c>
      <c r="P33" s="7">
        <v>5.0328989999999996</v>
      </c>
      <c r="Q33" s="7">
        <v>7.0040079999999998</v>
      </c>
      <c r="R33" s="7">
        <v>0.74605699999999997</v>
      </c>
      <c r="S33" s="7">
        <v>0.83452999999999999</v>
      </c>
      <c r="T33" s="7">
        <v>1.2781260000000001</v>
      </c>
      <c r="U33" s="7">
        <v>6.2082899999999999</v>
      </c>
      <c r="V33" s="7">
        <v>9.0670029999999997</v>
      </c>
      <c r="W33" s="7">
        <v>16.071010999999999</v>
      </c>
      <c r="X33" s="7">
        <v>0.18965517241379309</v>
      </c>
      <c r="Y33" s="7">
        <v>6.0938160026131882</v>
      </c>
      <c r="Z33" s="7">
        <v>22.35448217502698</v>
      </c>
      <c r="AA33" s="7">
        <v>1.8616430406814199</v>
      </c>
      <c r="AB33" s="7">
        <v>24.216125215708399</v>
      </c>
      <c r="AC33" s="7">
        <v>3.28E-4</v>
      </c>
      <c r="AD33" s="7">
        <v>10.153327000000001</v>
      </c>
      <c r="AE33" s="7">
        <v>0</v>
      </c>
      <c r="AF33" s="7">
        <v>0</v>
      </c>
      <c r="AG33" s="7">
        <v>34.369780215708403</v>
      </c>
      <c r="AH33" s="7">
        <v>1.1494249999999999</v>
      </c>
      <c r="AI33" s="7">
        <v>0</v>
      </c>
      <c r="AJ33" s="7">
        <v>3.6810339999999999</v>
      </c>
      <c r="AK33" s="7">
        <v>29.046912215708399</v>
      </c>
      <c r="AL33" s="7">
        <v>1.1494249999999999</v>
      </c>
      <c r="AM33" s="7">
        <v>0</v>
      </c>
      <c r="AN33" s="7">
        <v>0</v>
      </c>
      <c r="AO33" s="7">
        <v>0</v>
      </c>
      <c r="AP33" s="7">
        <v>0</v>
      </c>
      <c r="AQ33" s="7">
        <v>30.1963372157084</v>
      </c>
      <c r="AR33" s="7">
        <v>29.271557551346572</v>
      </c>
      <c r="AS33" s="7">
        <v>6.9170753763195902</v>
      </c>
      <c r="AT33" s="7">
        <v>5.0554323356381703</v>
      </c>
    </row>
    <row r="34" spans="1:46" x14ac:dyDescent="0.35">
      <c r="A34" s="5">
        <v>46022</v>
      </c>
      <c r="B34" s="4" t="s">
        <v>110</v>
      </c>
      <c r="C34" s="4" t="s">
        <v>111</v>
      </c>
      <c r="D34" s="4" t="s">
        <v>54</v>
      </c>
      <c r="E34" s="6">
        <v>0</v>
      </c>
      <c r="F34" s="6">
        <v>0</v>
      </c>
      <c r="G34" s="6">
        <v>0</v>
      </c>
      <c r="H34" s="6">
        <v>0</v>
      </c>
      <c r="I34" s="6">
        <v>0</v>
      </c>
      <c r="J34" s="6">
        <v>564.02439800000002</v>
      </c>
      <c r="K34" s="6">
        <v>564.02439800000002</v>
      </c>
      <c r="L34" s="6">
        <v>564.02439800000002</v>
      </c>
      <c r="M34" s="7">
        <v>4.7019219999999997</v>
      </c>
      <c r="N34" s="7">
        <v>5.4781959999999996</v>
      </c>
      <c r="O34" s="7">
        <v>2.9246669999999999</v>
      </c>
      <c r="P34" s="7">
        <v>11.113153000000001</v>
      </c>
      <c r="Q34" s="7">
        <v>24.217938</v>
      </c>
      <c r="R34" s="7">
        <v>0.88205699999999998</v>
      </c>
      <c r="S34" s="7">
        <v>1.747803</v>
      </c>
      <c r="T34" s="7">
        <v>4.533747</v>
      </c>
      <c r="U34" s="7">
        <v>6.2532269999999999</v>
      </c>
      <c r="V34" s="7">
        <v>13.416834</v>
      </c>
      <c r="W34" s="7">
        <v>37.634771999999998</v>
      </c>
      <c r="X34" s="7">
        <v>12.79491499986336</v>
      </c>
      <c r="Y34" s="7">
        <v>15.83811773068471</v>
      </c>
      <c r="Z34" s="7">
        <v>66.267804730548065</v>
      </c>
      <c r="AA34" s="7">
        <v>5.8518374749914237</v>
      </c>
      <c r="AB34" s="7">
        <v>72.119642205539492</v>
      </c>
      <c r="AC34" s="7">
        <v>0.53189200000000003</v>
      </c>
      <c r="AD34" s="7">
        <v>41.278582</v>
      </c>
      <c r="AE34" s="7">
        <v>0</v>
      </c>
      <c r="AF34" s="7">
        <v>0</v>
      </c>
      <c r="AG34" s="7">
        <v>113.93011620553951</v>
      </c>
      <c r="AH34" s="7">
        <v>7.6256779999999997</v>
      </c>
      <c r="AI34" s="7">
        <v>0</v>
      </c>
      <c r="AJ34" s="7">
        <v>8.5102700000000002</v>
      </c>
      <c r="AK34" s="7">
        <v>88.78748220553949</v>
      </c>
      <c r="AL34" s="7">
        <v>0</v>
      </c>
      <c r="AM34" s="7">
        <v>0</v>
      </c>
      <c r="AN34" s="7">
        <v>0</v>
      </c>
      <c r="AO34" s="7">
        <v>0</v>
      </c>
      <c r="AP34" s="7">
        <v>0</v>
      </c>
      <c r="AQ34" s="7">
        <v>88.78748220553949</v>
      </c>
      <c r="AR34" s="7">
        <v>117.03721040642471</v>
      </c>
      <c r="AS34" s="7">
        <v>50.769405675876641</v>
      </c>
      <c r="AT34" s="7">
        <v>44.917568200885221</v>
      </c>
    </row>
    <row r="35" spans="1:46" x14ac:dyDescent="0.35">
      <c r="A35" s="5">
        <v>46022</v>
      </c>
      <c r="B35" s="4" t="s">
        <v>112</v>
      </c>
      <c r="C35" s="4" t="s">
        <v>113</v>
      </c>
      <c r="D35" s="4" t="s">
        <v>62</v>
      </c>
      <c r="E35" s="6">
        <v>0</v>
      </c>
      <c r="F35" s="6">
        <v>0</v>
      </c>
      <c r="G35" s="6">
        <v>0</v>
      </c>
      <c r="H35" s="6">
        <v>0</v>
      </c>
      <c r="I35" s="6">
        <v>0</v>
      </c>
      <c r="J35" s="6">
        <v>1230.1587300000001</v>
      </c>
      <c r="K35" s="6">
        <v>1230.1587300000001</v>
      </c>
      <c r="L35" s="6">
        <v>1230.1587300000001</v>
      </c>
      <c r="M35" s="7">
        <v>30.835650999999999</v>
      </c>
      <c r="N35" s="7">
        <v>4.0874300000000003</v>
      </c>
      <c r="O35" s="7">
        <v>7.5149439999999998</v>
      </c>
      <c r="P35" s="7">
        <v>29.977764000000001</v>
      </c>
      <c r="Q35" s="7">
        <v>72.415789000000004</v>
      </c>
      <c r="R35" s="7">
        <v>9.7072880000000001</v>
      </c>
      <c r="S35" s="7">
        <v>1.1921029999999999</v>
      </c>
      <c r="T35" s="7">
        <v>8.9247460000000007</v>
      </c>
      <c r="U35" s="7">
        <v>9.8673260000000003</v>
      </c>
      <c r="V35" s="7">
        <v>29.691462999999999</v>
      </c>
      <c r="W35" s="7">
        <v>102.107252</v>
      </c>
      <c r="X35" s="7">
        <v>21.26447634563468</v>
      </c>
      <c r="Y35" s="7">
        <v>36.982889118582797</v>
      </c>
      <c r="Z35" s="7">
        <v>160.35461746421751</v>
      </c>
      <c r="AA35" s="7">
        <v>36.469616385377442</v>
      </c>
      <c r="AB35" s="7">
        <v>196.82423384959489</v>
      </c>
      <c r="AC35" s="7">
        <v>0</v>
      </c>
      <c r="AD35" s="7">
        <v>37.825876000000001</v>
      </c>
      <c r="AE35" s="7">
        <v>0</v>
      </c>
      <c r="AF35" s="7">
        <v>0</v>
      </c>
      <c r="AG35" s="7">
        <v>234.65010984959491</v>
      </c>
      <c r="AH35" s="7">
        <v>6.2593550000000011</v>
      </c>
      <c r="AI35" s="7">
        <v>0</v>
      </c>
      <c r="AJ35" s="7">
        <v>6.5032259999999997</v>
      </c>
      <c r="AK35" s="7">
        <v>209.5868148495949</v>
      </c>
      <c r="AL35" s="7">
        <v>0</v>
      </c>
      <c r="AM35" s="7">
        <v>0</v>
      </c>
      <c r="AN35" s="7">
        <v>0</v>
      </c>
      <c r="AO35" s="7">
        <v>0</v>
      </c>
      <c r="AP35" s="7">
        <v>0</v>
      </c>
      <c r="AQ35" s="7">
        <v>209.5868148495949</v>
      </c>
      <c r="AR35" s="7">
        <v>356.90742295521738</v>
      </c>
      <c r="AS35" s="7">
        <v>196.5528054909999</v>
      </c>
      <c r="AT35" s="7">
        <v>160.08318910562249</v>
      </c>
    </row>
    <row r="36" spans="1:46" x14ac:dyDescent="0.35">
      <c r="A36" s="5">
        <v>46022</v>
      </c>
      <c r="B36" s="4" t="s">
        <v>114</v>
      </c>
      <c r="C36" s="4" t="s">
        <v>115</v>
      </c>
      <c r="D36" s="4" t="s">
        <v>54</v>
      </c>
      <c r="E36" s="6">
        <v>3406.3120570000001</v>
      </c>
      <c r="F36" s="6">
        <v>0</v>
      </c>
      <c r="G36" s="6">
        <v>3406.3120570000001</v>
      </c>
      <c r="H36" s="6">
        <v>3</v>
      </c>
      <c r="I36" s="6">
        <v>1135.4373519999999</v>
      </c>
      <c r="J36" s="6">
        <v>820.03808800000002</v>
      </c>
      <c r="K36" s="6">
        <v>1955.4754399999999</v>
      </c>
      <c r="L36" s="6">
        <v>1955.4754399999999</v>
      </c>
      <c r="M36" s="7">
        <v>21.348671</v>
      </c>
      <c r="N36" s="7">
        <v>13.820074999999999</v>
      </c>
      <c r="O36" s="7">
        <v>2.5167090000000001</v>
      </c>
      <c r="P36" s="7">
        <v>4.6312490000000004</v>
      </c>
      <c r="Q36" s="7">
        <v>42.316704000000001</v>
      </c>
      <c r="R36" s="7">
        <v>10.659794</v>
      </c>
      <c r="S36" s="7">
        <v>1.582408</v>
      </c>
      <c r="T36" s="7">
        <v>8.5298370000000006</v>
      </c>
      <c r="U36" s="7">
        <v>3.6578970000000002</v>
      </c>
      <c r="V36" s="7">
        <v>24.429936000000001</v>
      </c>
      <c r="W36" s="7">
        <v>66.746639999999999</v>
      </c>
      <c r="X36" s="7">
        <v>0.1283398885337062</v>
      </c>
      <c r="Y36" s="7">
        <v>2.9630472490028579</v>
      </c>
      <c r="Z36" s="7">
        <v>69.838027137536557</v>
      </c>
      <c r="AA36" s="7">
        <v>4.4445930833020544</v>
      </c>
      <c r="AB36" s="7">
        <v>74.282620220838623</v>
      </c>
      <c r="AC36" s="7">
        <v>0</v>
      </c>
      <c r="AD36" s="7">
        <v>2.5182380000000002</v>
      </c>
      <c r="AE36" s="7">
        <v>0</v>
      </c>
      <c r="AF36" s="7">
        <v>0</v>
      </c>
      <c r="AG36" s="7">
        <v>76.80085822083862</v>
      </c>
      <c r="AH36" s="7">
        <v>0.69699299999999997</v>
      </c>
      <c r="AI36" s="7">
        <v>0</v>
      </c>
      <c r="AJ36" s="7">
        <v>2.0541960000000001</v>
      </c>
      <c r="AK36" s="7">
        <v>77.03380922083862</v>
      </c>
      <c r="AL36" s="7">
        <v>0</v>
      </c>
      <c r="AM36" s="7">
        <v>0</v>
      </c>
      <c r="AN36" s="7">
        <v>0</v>
      </c>
      <c r="AO36" s="7">
        <v>0</v>
      </c>
      <c r="AP36" s="7">
        <v>0</v>
      </c>
      <c r="AQ36" s="7">
        <v>77.03380922083862</v>
      </c>
      <c r="AR36" s="7">
        <v>44.445561077931188</v>
      </c>
      <c r="AS36" s="7">
        <v>-25.392466059605368</v>
      </c>
      <c r="AT36" s="7">
        <v>-29.837059142907421</v>
      </c>
    </row>
    <row r="37" spans="1:46" x14ac:dyDescent="0.35">
      <c r="A37" s="5">
        <v>46022</v>
      </c>
      <c r="B37" s="4" t="s">
        <v>116</v>
      </c>
      <c r="C37" s="4" t="s">
        <v>117</v>
      </c>
      <c r="D37" s="4" t="s">
        <v>118</v>
      </c>
      <c r="E37" s="6">
        <v>18000</v>
      </c>
      <c r="F37" s="6">
        <v>0</v>
      </c>
      <c r="G37" s="6">
        <v>18000</v>
      </c>
      <c r="H37" s="6">
        <v>3</v>
      </c>
      <c r="I37" s="6">
        <v>6000</v>
      </c>
      <c r="J37" s="6">
        <v>27740</v>
      </c>
      <c r="K37" s="6">
        <v>33740</v>
      </c>
      <c r="L37" s="6">
        <v>33740</v>
      </c>
      <c r="M37" s="7">
        <v>31.17626383622353</v>
      </c>
      <c r="N37" s="7">
        <v>2.860535</v>
      </c>
      <c r="O37" s="7">
        <v>1.798213454208456</v>
      </c>
      <c r="P37" s="7">
        <v>28.69123264730705</v>
      </c>
      <c r="Q37" s="7">
        <v>64.526244937739037</v>
      </c>
      <c r="R37" s="7">
        <v>1.962037422346276</v>
      </c>
      <c r="S37" s="7">
        <v>1.835029795462771</v>
      </c>
      <c r="T37" s="7">
        <v>2.0133684472504649</v>
      </c>
      <c r="U37" s="7">
        <v>2.8935857293140912</v>
      </c>
      <c r="V37" s="7">
        <v>8.7040213943736031</v>
      </c>
      <c r="W37" s="7">
        <v>73.230266332112635</v>
      </c>
      <c r="X37" s="7">
        <v>4.655598037192326</v>
      </c>
      <c r="Y37" s="7">
        <v>33.674814461964218</v>
      </c>
      <c r="Z37" s="7">
        <v>111.5606788312692</v>
      </c>
      <c r="AA37" s="7">
        <v>25.776469696234511</v>
      </c>
      <c r="AB37" s="7">
        <v>137.3371485275037</v>
      </c>
      <c r="AC37" s="7">
        <v>0</v>
      </c>
      <c r="AD37" s="7">
        <v>26.94366399898265</v>
      </c>
      <c r="AE37" s="7">
        <v>0</v>
      </c>
      <c r="AF37" s="7">
        <v>0</v>
      </c>
      <c r="AG37" s="7">
        <v>164.2808125264863</v>
      </c>
      <c r="AH37" s="7">
        <v>20.376122428467671</v>
      </c>
      <c r="AI37" s="7">
        <v>0</v>
      </c>
      <c r="AJ37" s="7">
        <v>27.299921281251759</v>
      </c>
      <c r="AK37" s="7">
        <v>185.01319223722311</v>
      </c>
      <c r="AL37" s="7">
        <v>0</v>
      </c>
      <c r="AM37" s="7">
        <v>4.5858405191194933</v>
      </c>
      <c r="AN37" s="7">
        <v>0</v>
      </c>
      <c r="AO37" s="7">
        <v>0</v>
      </c>
      <c r="AP37" s="7">
        <v>1.481921</v>
      </c>
      <c r="AQ37" s="7">
        <v>191.08095375634261</v>
      </c>
      <c r="AR37" s="7">
        <v>384.51395079116497</v>
      </c>
      <c r="AS37" s="7">
        <v>272.9532719598958</v>
      </c>
      <c r="AT37" s="7">
        <v>247.1768022636613</v>
      </c>
    </row>
    <row r="38" spans="1:46" x14ac:dyDescent="0.35">
      <c r="A38" s="5">
        <v>46022</v>
      </c>
      <c r="B38" s="4" t="s">
        <v>119</v>
      </c>
      <c r="C38" s="4" t="s">
        <v>120</v>
      </c>
      <c r="D38" s="4" t="s">
        <v>89</v>
      </c>
      <c r="E38" s="6">
        <v>0</v>
      </c>
      <c r="F38" s="6">
        <v>0</v>
      </c>
      <c r="G38" s="6">
        <v>0</v>
      </c>
      <c r="H38" s="6">
        <v>0</v>
      </c>
      <c r="I38" s="6">
        <v>0</v>
      </c>
      <c r="J38" s="6">
        <v>1350</v>
      </c>
      <c r="K38" s="6">
        <v>1350</v>
      </c>
      <c r="L38" s="6">
        <v>1350</v>
      </c>
      <c r="M38" s="7">
        <v>86.881849000000017</v>
      </c>
      <c r="N38" s="7">
        <v>6.9469159999999999</v>
      </c>
      <c r="O38" s="7">
        <v>11.850735</v>
      </c>
      <c r="P38" s="7">
        <v>166.048169</v>
      </c>
      <c r="Q38" s="7">
        <v>271.72766899999999</v>
      </c>
      <c r="R38" s="7">
        <v>10.242015</v>
      </c>
      <c r="S38" s="7">
        <v>9.4480459999999997</v>
      </c>
      <c r="T38" s="7">
        <v>6.485671</v>
      </c>
      <c r="U38" s="7">
        <v>27.329287000000001</v>
      </c>
      <c r="V38" s="7">
        <v>53.505019000000011</v>
      </c>
      <c r="W38" s="7">
        <v>325.232688</v>
      </c>
      <c r="X38" s="7">
        <v>30.0768551428297</v>
      </c>
      <c r="Y38" s="7">
        <v>72.864782839862755</v>
      </c>
      <c r="Z38" s="7">
        <v>428.17432598269249</v>
      </c>
      <c r="AA38" s="7">
        <v>23.587163531603782</v>
      </c>
      <c r="AB38" s="7">
        <v>451.76148951429627</v>
      </c>
      <c r="AC38" s="7">
        <v>0</v>
      </c>
      <c r="AD38" s="7">
        <v>127.77133499999999</v>
      </c>
      <c r="AE38" s="7">
        <v>0</v>
      </c>
      <c r="AF38" s="7">
        <v>0</v>
      </c>
      <c r="AG38" s="7">
        <v>579.53282451429629</v>
      </c>
      <c r="AH38" s="7">
        <v>1.601561</v>
      </c>
      <c r="AI38" s="7">
        <v>0</v>
      </c>
      <c r="AJ38" s="7">
        <v>33.659337999999998</v>
      </c>
      <c r="AK38" s="7">
        <v>487.02238851429632</v>
      </c>
      <c r="AL38" s="7">
        <v>0</v>
      </c>
      <c r="AM38" s="7">
        <v>0</v>
      </c>
      <c r="AN38" s="7">
        <v>0</v>
      </c>
      <c r="AO38" s="7">
        <v>0</v>
      </c>
      <c r="AP38" s="7">
        <v>0</v>
      </c>
      <c r="AQ38" s="7">
        <v>487.02238851429632</v>
      </c>
      <c r="AR38" s="7">
        <v>593.16027555786366</v>
      </c>
      <c r="AS38" s="7">
        <v>164.98594957517111</v>
      </c>
      <c r="AT38" s="7">
        <v>141.3987860435673</v>
      </c>
    </row>
    <row r="39" spans="1:46" x14ac:dyDescent="0.35">
      <c r="A39" s="5">
        <v>46022</v>
      </c>
      <c r="B39" s="4" t="s">
        <v>121</v>
      </c>
      <c r="C39" s="4" t="s">
        <v>122</v>
      </c>
      <c r="D39" s="4" t="s">
        <v>123</v>
      </c>
      <c r="E39" s="6">
        <v>2991.15</v>
      </c>
      <c r="F39" s="6">
        <v>0</v>
      </c>
      <c r="G39" s="6">
        <v>2991.15</v>
      </c>
      <c r="H39" s="6">
        <v>0.51</v>
      </c>
      <c r="I39" s="6">
        <v>5865</v>
      </c>
      <c r="J39" s="6">
        <v>0</v>
      </c>
      <c r="K39" s="6">
        <v>5865</v>
      </c>
      <c r="L39" s="6">
        <v>3450</v>
      </c>
      <c r="M39" s="7">
        <v>6.4676590000000003</v>
      </c>
      <c r="N39" s="7">
        <v>4.6543830000000002</v>
      </c>
      <c r="O39" s="7">
        <v>0.26098199999999999</v>
      </c>
      <c r="P39" s="7">
        <v>9.1878810000000009</v>
      </c>
      <c r="Q39" s="7">
        <v>20.570905</v>
      </c>
      <c r="R39" s="7">
        <v>5.6604359999999998</v>
      </c>
      <c r="S39" s="7">
        <v>7.1833710000000002</v>
      </c>
      <c r="T39" s="7">
        <v>29.642658999999998</v>
      </c>
      <c r="U39" s="7">
        <v>12.475237</v>
      </c>
      <c r="V39" s="7">
        <v>54.961703</v>
      </c>
      <c r="W39" s="7">
        <v>75.532607999999996</v>
      </c>
      <c r="X39" s="7">
        <v>0.78974405797101455</v>
      </c>
      <c r="Y39" s="7">
        <v>47.401138217585483</v>
      </c>
      <c r="Z39" s="7">
        <v>123.7234902755565</v>
      </c>
      <c r="AA39" s="7">
        <v>3.0126933302988879</v>
      </c>
      <c r="AB39" s="7">
        <v>126.7361836058554</v>
      </c>
      <c r="AC39" s="7">
        <v>0.10397000000000001</v>
      </c>
      <c r="AD39" s="7">
        <v>24.933166</v>
      </c>
      <c r="AE39" s="7">
        <v>0</v>
      </c>
      <c r="AF39" s="7">
        <v>0</v>
      </c>
      <c r="AG39" s="7">
        <v>151.77331960585539</v>
      </c>
      <c r="AH39" s="7">
        <v>5.3043480000000001</v>
      </c>
      <c r="AI39" s="7">
        <v>0</v>
      </c>
      <c r="AJ39" s="7">
        <v>2.2608700000000002</v>
      </c>
      <c r="AK39" s="7">
        <v>134.40537160585541</v>
      </c>
      <c r="AL39" s="7">
        <v>0</v>
      </c>
      <c r="AM39" s="7">
        <v>0</v>
      </c>
      <c r="AN39" s="7">
        <v>0</v>
      </c>
      <c r="AO39" s="7">
        <v>0</v>
      </c>
      <c r="AP39" s="7">
        <v>0</v>
      </c>
      <c r="AQ39" s="7">
        <v>134.40537160585541</v>
      </c>
      <c r="AR39" s="7">
        <v>172.15433347217649</v>
      </c>
      <c r="AS39" s="7">
        <v>48.430843196619989</v>
      </c>
      <c r="AT39" s="7">
        <v>45.418149866321102</v>
      </c>
    </row>
    <row r="40" spans="1:46" x14ac:dyDescent="0.35">
      <c r="A40" s="5">
        <v>46022</v>
      </c>
      <c r="B40" s="4" t="s">
        <v>124</v>
      </c>
      <c r="C40" s="4" t="s">
        <v>125</v>
      </c>
      <c r="D40" s="4" t="s">
        <v>62</v>
      </c>
      <c r="E40" s="6">
        <v>8000</v>
      </c>
      <c r="F40" s="6">
        <v>0</v>
      </c>
      <c r="G40" s="6">
        <v>8000</v>
      </c>
      <c r="H40" s="6">
        <v>4</v>
      </c>
      <c r="I40" s="6">
        <v>2000</v>
      </c>
      <c r="J40" s="6">
        <v>0</v>
      </c>
      <c r="K40" s="6">
        <v>2000</v>
      </c>
      <c r="L40" s="6">
        <v>1500</v>
      </c>
      <c r="M40" s="7">
        <v>11.330092</v>
      </c>
      <c r="N40" s="7">
        <v>8.4105100000000004</v>
      </c>
      <c r="O40" s="7">
        <v>0.41845399999999999</v>
      </c>
      <c r="P40" s="7">
        <v>5.568638</v>
      </c>
      <c r="Q40" s="7">
        <v>25.727694</v>
      </c>
      <c r="R40" s="7">
        <v>7.8801519999999998</v>
      </c>
      <c r="S40" s="7">
        <v>23.805702</v>
      </c>
      <c r="T40" s="7">
        <v>8.0439500000000006</v>
      </c>
      <c r="U40" s="7">
        <v>3.5759449999999999</v>
      </c>
      <c r="V40" s="7">
        <v>43.305748999999999</v>
      </c>
      <c r="W40" s="7">
        <v>69.033443000000005</v>
      </c>
      <c r="X40" s="7">
        <v>9.5528136161266666</v>
      </c>
      <c r="Y40" s="7">
        <v>0</v>
      </c>
      <c r="Z40" s="7">
        <v>78.586256616126676</v>
      </c>
      <c r="AA40" s="7">
        <v>12.57329747640331</v>
      </c>
      <c r="AB40" s="7">
        <v>91.159554092529973</v>
      </c>
      <c r="AC40" s="7">
        <v>0</v>
      </c>
      <c r="AD40" s="7">
        <v>15.524632</v>
      </c>
      <c r="AE40" s="7">
        <v>0</v>
      </c>
      <c r="AF40" s="7">
        <v>0</v>
      </c>
      <c r="AG40" s="7">
        <v>106.68418609253</v>
      </c>
      <c r="AH40" s="7">
        <v>4.3333329999999997</v>
      </c>
      <c r="AI40" s="7">
        <v>0</v>
      </c>
      <c r="AJ40" s="7">
        <v>0.73333300000000012</v>
      </c>
      <c r="AK40" s="7">
        <v>96.226220092529985</v>
      </c>
      <c r="AL40" s="7">
        <v>0</v>
      </c>
      <c r="AM40" s="7">
        <v>0</v>
      </c>
      <c r="AN40" s="7">
        <v>0</v>
      </c>
      <c r="AO40" s="7">
        <v>0</v>
      </c>
      <c r="AP40" s="7">
        <v>0</v>
      </c>
      <c r="AQ40" s="7">
        <v>96.226220092529985</v>
      </c>
      <c r="AR40" s="7">
        <v>188.40860122619119</v>
      </c>
      <c r="AS40" s="7">
        <v>109.8223446100645</v>
      </c>
      <c r="AT40" s="7">
        <v>97.249047133661165</v>
      </c>
    </row>
    <row r="41" spans="1:46" x14ac:dyDescent="0.35">
      <c r="A41" s="5">
        <v>46022</v>
      </c>
      <c r="B41" s="4" t="s">
        <v>126</v>
      </c>
      <c r="C41" s="4" t="s">
        <v>127</v>
      </c>
      <c r="D41" s="4" t="s">
        <v>84</v>
      </c>
      <c r="E41" s="6">
        <v>18000</v>
      </c>
      <c r="F41" s="6">
        <v>0</v>
      </c>
      <c r="G41" s="6">
        <v>18000</v>
      </c>
      <c r="H41" s="6">
        <v>1</v>
      </c>
      <c r="I41" s="6">
        <v>18000</v>
      </c>
      <c r="J41" s="6">
        <v>0</v>
      </c>
      <c r="K41" s="6">
        <v>18000</v>
      </c>
      <c r="L41" s="6">
        <v>18000</v>
      </c>
      <c r="M41" s="7">
        <v>1.6158819719316511</v>
      </c>
      <c r="N41" s="7">
        <v>1.0399719999999999</v>
      </c>
      <c r="O41" s="7">
        <v>0.1648519547882934</v>
      </c>
      <c r="P41" s="7">
        <v>2.7009477811951341</v>
      </c>
      <c r="Q41" s="7">
        <v>5.5216537079150783</v>
      </c>
      <c r="R41" s="7">
        <v>1.9793045894367529</v>
      </c>
      <c r="S41" s="7">
        <v>12.15341489009008</v>
      </c>
      <c r="T41" s="7">
        <v>1.5449034870937459</v>
      </c>
      <c r="U41" s="7">
        <v>3.7376696268151619</v>
      </c>
      <c r="V41" s="7">
        <v>19.415292593435741</v>
      </c>
      <c r="W41" s="7">
        <v>24.936946301350819</v>
      </c>
      <c r="X41" s="7">
        <v>0.46778779319444441</v>
      </c>
      <c r="Y41" s="7">
        <v>4.3061743880495182</v>
      </c>
      <c r="Z41" s="7">
        <v>29.710908482594778</v>
      </c>
      <c r="AA41" s="7">
        <v>0</v>
      </c>
      <c r="AB41" s="7">
        <v>29.710908482594778</v>
      </c>
      <c r="AC41" s="7">
        <v>0</v>
      </c>
      <c r="AD41" s="7">
        <v>6.8183758676761492</v>
      </c>
      <c r="AE41" s="7">
        <v>0</v>
      </c>
      <c r="AF41" s="7">
        <v>0</v>
      </c>
      <c r="AG41" s="7">
        <v>36.529284350270927</v>
      </c>
      <c r="AH41" s="7">
        <v>1.148429858846832</v>
      </c>
      <c r="AI41" s="7">
        <v>0.28710772310845217</v>
      </c>
      <c r="AJ41" s="7">
        <v>4.2210141732478901</v>
      </c>
      <c r="AK41" s="7">
        <v>35.367460237797957</v>
      </c>
      <c r="AL41" s="7">
        <v>0</v>
      </c>
      <c r="AM41" s="7">
        <v>0</v>
      </c>
      <c r="AN41" s="7">
        <v>0</v>
      </c>
      <c r="AO41" s="7">
        <v>0</v>
      </c>
      <c r="AP41" s="7">
        <v>0</v>
      </c>
      <c r="AQ41" s="7">
        <v>35.367460237797957</v>
      </c>
      <c r="AR41" s="7">
        <v>36.65278510248757</v>
      </c>
      <c r="AS41" s="7">
        <v>6.9418766198927893</v>
      </c>
      <c r="AT41" s="7">
        <v>6.9418766198927893</v>
      </c>
    </row>
    <row r="42" spans="1:46" x14ac:dyDescent="0.35">
      <c r="A42" s="5">
        <v>46022</v>
      </c>
      <c r="B42" s="4" t="s">
        <v>128</v>
      </c>
      <c r="C42" s="4" t="s">
        <v>129</v>
      </c>
      <c r="D42" s="4" t="s">
        <v>89</v>
      </c>
      <c r="E42" s="6">
        <v>0</v>
      </c>
      <c r="F42" s="6">
        <v>0</v>
      </c>
      <c r="G42" s="6">
        <v>0</v>
      </c>
      <c r="H42" s="6">
        <v>0</v>
      </c>
      <c r="I42" s="6">
        <v>0</v>
      </c>
      <c r="J42" s="6">
        <v>1900</v>
      </c>
      <c r="K42" s="6">
        <v>1900</v>
      </c>
      <c r="L42" s="6">
        <v>2100</v>
      </c>
      <c r="M42" s="7">
        <v>57.065989927007301</v>
      </c>
      <c r="N42" s="7">
        <v>29.422446999999998</v>
      </c>
      <c r="O42" s="7">
        <v>17.599277591240881</v>
      </c>
      <c r="P42" s="7">
        <v>157.56700766423361</v>
      </c>
      <c r="Q42" s="7">
        <v>261.65472218248181</v>
      </c>
      <c r="R42" s="7">
        <v>17.135251605839422</v>
      </c>
      <c r="S42" s="7">
        <v>11.266532554744529</v>
      </c>
      <c r="T42" s="7">
        <v>11.30644255474453</v>
      </c>
      <c r="U42" s="7">
        <v>20.368299416058392</v>
      </c>
      <c r="V42" s="7">
        <v>60.076526131386863</v>
      </c>
      <c r="W42" s="7">
        <v>321.7312483138686</v>
      </c>
      <c r="X42" s="7">
        <v>0</v>
      </c>
      <c r="Y42" s="7">
        <v>48.86302245832163</v>
      </c>
      <c r="Z42" s="7">
        <v>370.59427077219033</v>
      </c>
      <c r="AA42" s="7">
        <v>7.6250884014860798</v>
      </c>
      <c r="AB42" s="7">
        <v>378.21935917367631</v>
      </c>
      <c r="AC42" s="7">
        <v>0</v>
      </c>
      <c r="AD42" s="7">
        <v>154.35380810218979</v>
      </c>
      <c r="AE42" s="7">
        <v>0</v>
      </c>
      <c r="AF42" s="7">
        <v>0</v>
      </c>
      <c r="AG42" s="7">
        <v>532.57316727586613</v>
      </c>
      <c r="AH42" s="7">
        <v>4.9128821897810218</v>
      </c>
      <c r="AI42" s="7">
        <v>0</v>
      </c>
      <c r="AJ42" s="7">
        <v>20.073877883211679</v>
      </c>
      <c r="AK42" s="7">
        <v>403.206119246669</v>
      </c>
      <c r="AL42" s="7">
        <v>24.761904999999999</v>
      </c>
      <c r="AM42" s="7">
        <v>0</v>
      </c>
      <c r="AN42" s="7">
        <v>0</v>
      </c>
      <c r="AO42" s="7">
        <v>0</v>
      </c>
      <c r="AP42" s="7">
        <v>0</v>
      </c>
      <c r="AQ42" s="7">
        <v>427.96802424666902</v>
      </c>
      <c r="AR42" s="7">
        <v>272.32199682709353</v>
      </c>
      <c r="AS42" s="7">
        <v>-98.272273945096742</v>
      </c>
      <c r="AT42" s="7">
        <v>-105.8973623465828</v>
      </c>
    </row>
    <row r="43" spans="1:46" x14ac:dyDescent="0.35">
      <c r="A43" s="5">
        <v>46022</v>
      </c>
      <c r="B43" s="4" t="s">
        <v>130</v>
      </c>
      <c r="C43" s="4" t="s">
        <v>131</v>
      </c>
      <c r="D43" s="4" t="s">
        <v>94</v>
      </c>
      <c r="E43" s="6">
        <v>0</v>
      </c>
      <c r="F43" s="6">
        <v>0</v>
      </c>
      <c r="G43" s="6">
        <v>0</v>
      </c>
      <c r="H43" s="6">
        <v>0</v>
      </c>
      <c r="I43" s="6">
        <v>0</v>
      </c>
      <c r="J43" s="6">
        <v>7560</v>
      </c>
      <c r="K43" s="6">
        <v>7560</v>
      </c>
      <c r="L43" s="6">
        <v>7560</v>
      </c>
      <c r="M43" s="7">
        <v>10.507244999999999</v>
      </c>
      <c r="N43" s="7">
        <v>0.48755599999999999</v>
      </c>
      <c r="O43" s="7">
        <v>0.58813700000000002</v>
      </c>
      <c r="P43" s="7">
        <v>34.178694</v>
      </c>
      <c r="Q43" s="7">
        <v>45.761631999999999</v>
      </c>
      <c r="R43" s="7">
        <v>3.0943320000000001</v>
      </c>
      <c r="S43" s="7">
        <v>0.66054900000000005</v>
      </c>
      <c r="T43" s="7">
        <v>4.6249880000000001</v>
      </c>
      <c r="U43" s="7">
        <v>5.9076680000000001</v>
      </c>
      <c r="V43" s="7">
        <v>14.287537</v>
      </c>
      <c r="W43" s="7">
        <v>60.049168999999999</v>
      </c>
      <c r="X43" s="7">
        <v>0</v>
      </c>
      <c r="Y43" s="7">
        <v>14.516270165387841</v>
      </c>
      <c r="Z43" s="7">
        <v>74.565439165387843</v>
      </c>
      <c r="AA43" s="7">
        <v>4.0532799633628773</v>
      </c>
      <c r="AB43" s="7">
        <v>78.618719128750726</v>
      </c>
      <c r="AC43" s="7">
        <v>0</v>
      </c>
      <c r="AD43" s="7">
        <v>24.135255000000001</v>
      </c>
      <c r="AE43" s="7">
        <v>0</v>
      </c>
      <c r="AF43" s="7">
        <v>0</v>
      </c>
      <c r="AG43" s="7">
        <v>102.7539741287507</v>
      </c>
      <c r="AH43" s="7">
        <v>6.0363199999999999</v>
      </c>
      <c r="AI43" s="7">
        <v>0</v>
      </c>
      <c r="AJ43" s="7">
        <v>16.203382999999999</v>
      </c>
      <c r="AK43" s="7">
        <v>100.8584221287507</v>
      </c>
      <c r="AL43" s="7">
        <v>13.227513</v>
      </c>
      <c r="AM43" s="7">
        <v>0</v>
      </c>
      <c r="AN43" s="7">
        <v>0</v>
      </c>
      <c r="AO43" s="7">
        <v>0</v>
      </c>
      <c r="AP43" s="7">
        <v>0</v>
      </c>
      <c r="AQ43" s="7">
        <v>114.08593512875071</v>
      </c>
      <c r="AR43" s="7">
        <v>123.222615564905</v>
      </c>
      <c r="AS43" s="7">
        <v>48.65717639951712</v>
      </c>
      <c r="AT43" s="7">
        <v>44.603896436154237</v>
      </c>
    </row>
    <row r="44" spans="1:46" x14ac:dyDescent="0.35">
      <c r="A44" s="5">
        <v>46022</v>
      </c>
      <c r="B44" s="4" t="s">
        <v>132</v>
      </c>
      <c r="C44" s="4" t="s">
        <v>133</v>
      </c>
      <c r="D44" s="4" t="s">
        <v>57</v>
      </c>
      <c r="E44" s="6">
        <v>0</v>
      </c>
      <c r="F44" s="6">
        <v>0</v>
      </c>
      <c r="G44" s="6">
        <v>0</v>
      </c>
      <c r="H44" s="6">
        <v>0</v>
      </c>
      <c r="I44" s="6">
        <v>0</v>
      </c>
      <c r="J44" s="6">
        <v>1500</v>
      </c>
      <c r="K44" s="6">
        <v>1500</v>
      </c>
      <c r="L44" s="6">
        <v>1500</v>
      </c>
      <c r="M44" s="7">
        <v>12.863141000000001</v>
      </c>
      <c r="N44" s="7">
        <v>2.3866499999999999</v>
      </c>
      <c r="O44" s="7">
        <v>0.76189200000000001</v>
      </c>
      <c r="P44" s="7">
        <v>4.3155570000000001</v>
      </c>
      <c r="Q44" s="7">
        <v>20.32724</v>
      </c>
      <c r="R44" s="7">
        <v>3.4367380000000001</v>
      </c>
      <c r="S44" s="7">
        <v>1.8297669999999999</v>
      </c>
      <c r="T44" s="7">
        <v>2.4054579999999999</v>
      </c>
      <c r="U44" s="7">
        <v>3.1986669999999999</v>
      </c>
      <c r="V44" s="7">
        <v>10.87063</v>
      </c>
      <c r="W44" s="7">
        <v>31.197870000000002</v>
      </c>
      <c r="X44" s="7">
        <v>7.2390580216610667</v>
      </c>
      <c r="Y44" s="7">
        <v>16.976567266116732</v>
      </c>
      <c r="Z44" s="7">
        <v>55.413495287777799</v>
      </c>
      <c r="AA44" s="7">
        <v>6.0026608446215386</v>
      </c>
      <c r="AB44" s="7">
        <v>61.41615613239933</v>
      </c>
      <c r="AC44" s="7">
        <v>0</v>
      </c>
      <c r="AD44" s="7">
        <v>4.110417</v>
      </c>
      <c r="AE44" s="7">
        <v>0</v>
      </c>
      <c r="AF44" s="7">
        <v>0</v>
      </c>
      <c r="AG44" s="7">
        <v>65.526573132399335</v>
      </c>
      <c r="AH44" s="7">
        <v>2.247665</v>
      </c>
      <c r="AI44" s="7">
        <v>1.407977</v>
      </c>
      <c r="AJ44" s="7">
        <v>1.0816889999999999</v>
      </c>
      <c r="AK44" s="7">
        <v>66.153487132399334</v>
      </c>
      <c r="AL44" s="7">
        <v>0</v>
      </c>
      <c r="AM44" s="7">
        <v>0</v>
      </c>
      <c r="AN44" s="7">
        <v>0</v>
      </c>
      <c r="AO44" s="7">
        <v>0</v>
      </c>
      <c r="AP44" s="7">
        <v>0</v>
      </c>
      <c r="AQ44" s="7">
        <v>66.153487132399334</v>
      </c>
      <c r="AR44" s="7">
        <v>100.04396387397919</v>
      </c>
      <c r="AS44" s="7">
        <v>44.630468586201403</v>
      </c>
      <c r="AT44" s="7">
        <v>38.627807741579858</v>
      </c>
    </row>
    <row r="45" spans="1:46" x14ac:dyDescent="0.35">
      <c r="A45" s="5">
        <v>46022</v>
      </c>
      <c r="B45" s="4" t="s">
        <v>134</v>
      </c>
      <c r="C45" s="4" t="s">
        <v>135</v>
      </c>
      <c r="D45" s="4" t="s">
        <v>136</v>
      </c>
      <c r="E45" s="6">
        <v>9152.9833020000005</v>
      </c>
      <c r="F45" s="6">
        <v>0</v>
      </c>
      <c r="G45" s="6">
        <v>9152.9833020000005</v>
      </c>
      <c r="H45" s="6">
        <v>2</v>
      </c>
      <c r="I45" s="6">
        <v>4576.4916510000003</v>
      </c>
      <c r="J45" s="6">
        <v>0</v>
      </c>
      <c r="K45" s="6">
        <v>4576.4916510000003</v>
      </c>
      <c r="L45" s="6">
        <v>3850.0167390000001</v>
      </c>
      <c r="M45" s="7">
        <v>43.522627677631583</v>
      </c>
      <c r="N45" s="7">
        <v>11.71421</v>
      </c>
      <c r="O45" s="7">
        <v>1.504931565789474</v>
      </c>
      <c r="P45" s="7">
        <v>21.207650980263161</v>
      </c>
      <c r="Q45" s="7">
        <v>77.949420223684214</v>
      </c>
      <c r="R45" s="7">
        <v>20.216435322368419</v>
      </c>
      <c r="S45" s="7">
        <v>22.760304506578951</v>
      </c>
      <c r="T45" s="7">
        <v>13.93170107894737</v>
      </c>
      <c r="U45" s="7">
        <v>16.444956006578948</v>
      </c>
      <c r="V45" s="7">
        <v>73.353396914473677</v>
      </c>
      <c r="W45" s="7">
        <v>151.30281713815791</v>
      </c>
      <c r="X45" s="7">
        <v>2.147169263044781</v>
      </c>
      <c r="Y45" s="7">
        <v>6.4832365829014886</v>
      </c>
      <c r="Z45" s="7">
        <v>159.93322298410419</v>
      </c>
      <c r="AA45" s="7">
        <v>4.2978976291641011</v>
      </c>
      <c r="AB45" s="7">
        <v>164.2311206132683</v>
      </c>
      <c r="AC45" s="7">
        <v>0</v>
      </c>
      <c r="AD45" s="7">
        <v>11.717311907894739</v>
      </c>
      <c r="AE45" s="7">
        <v>0</v>
      </c>
      <c r="AF45" s="7">
        <v>0</v>
      </c>
      <c r="AG45" s="7">
        <v>175.948432521163</v>
      </c>
      <c r="AH45" s="7">
        <v>0.94129326973684213</v>
      </c>
      <c r="AI45" s="7">
        <v>0</v>
      </c>
      <c r="AJ45" s="7">
        <v>6.9574432171052631</v>
      </c>
      <c r="AK45" s="7">
        <v>172.1298571001104</v>
      </c>
      <c r="AL45" s="7">
        <v>0</v>
      </c>
      <c r="AM45" s="7">
        <v>0</v>
      </c>
      <c r="AN45" s="7">
        <v>0</v>
      </c>
      <c r="AO45" s="7">
        <v>0</v>
      </c>
      <c r="AP45" s="7">
        <v>0</v>
      </c>
      <c r="AQ45" s="7">
        <v>172.1298571001104</v>
      </c>
      <c r="AR45" s="7">
        <v>165.3226877829496</v>
      </c>
      <c r="AS45" s="7">
        <v>5.389464798845446</v>
      </c>
      <c r="AT45" s="7">
        <v>1.0915671696813449</v>
      </c>
    </row>
    <row r="46" spans="1:46" x14ac:dyDescent="0.35">
      <c r="A46" s="5">
        <v>46022</v>
      </c>
      <c r="B46" s="4" t="s">
        <v>137</v>
      </c>
      <c r="C46" s="4" t="s">
        <v>138</v>
      </c>
      <c r="D46" s="4" t="s">
        <v>139</v>
      </c>
      <c r="E46" s="6">
        <v>330</v>
      </c>
      <c r="F46" s="6">
        <v>0</v>
      </c>
      <c r="G46" s="6">
        <v>330</v>
      </c>
      <c r="H46" s="6">
        <v>0.1</v>
      </c>
      <c r="I46" s="6">
        <v>3300</v>
      </c>
      <c r="J46" s="6">
        <v>0</v>
      </c>
      <c r="K46" s="6">
        <v>3300</v>
      </c>
      <c r="L46" s="6">
        <v>2211</v>
      </c>
      <c r="M46" s="7">
        <v>4.2643820124019829</v>
      </c>
      <c r="N46" s="7">
        <v>2.089537</v>
      </c>
      <c r="O46" s="7">
        <v>0.31055195732116703</v>
      </c>
      <c r="P46" s="7">
        <v>9.5883234703459195</v>
      </c>
      <c r="Q46" s="7">
        <v>16.252794440069071</v>
      </c>
      <c r="R46" s="7">
        <v>5.1895030308999299</v>
      </c>
      <c r="S46" s="7">
        <v>30.781888779106509</v>
      </c>
      <c r="T46" s="7">
        <v>4.9969435169527516</v>
      </c>
      <c r="U46" s="7">
        <v>13.48056176089438</v>
      </c>
      <c r="V46" s="7">
        <v>54.448897087853567</v>
      </c>
      <c r="W46" s="7">
        <v>70.701691527922634</v>
      </c>
      <c r="X46" s="7">
        <v>0.6982631026684758</v>
      </c>
      <c r="Y46" s="7">
        <v>59.835444694879307</v>
      </c>
      <c r="Z46" s="7">
        <v>131.23539932547041</v>
      </c>
      <c r="AA46" s="7">
        <v>0</v>
      </c>
      <c r="AB46" s="7">
        <v>131.23539932547041</v>
      </c>
      <c r="AC46" s="7">
        <v>0</v>
      </c>
      <c r="AD46" s="7">
        <v>16.817002287382859</v>
      </c>
      <c r="AE46" s="7">
        <v>0</v>
      </c>
      <c r="AF46" s="7">
        <v>0</v>
      </c>
      <c r="AG46" s="7">
        <v>148.05240161285329</v>
      </c>
      <c r="AH46" s="7">
        <v>2.6140415667581092</v>
      </c>
      <c r="AI46" s="7">
        <v>0</v>
      </c>
      <c r="AJ46" s="7">
        <v>8.7134728524680867</v>
      </c>
      <c r="AK46" s="7">
        <v>142.5629137446966</v>
      </c>
      <c r="AL46" s="7">
        <v>0</v>
      </c>
      <c r="AM46" s="7">
        <v>0</v>
      </c>
      <c r="AN46" s="7">
        <v>0</v>
      </c>
      <c r="AO46" s="7">
        <v>0</v>
      </c>
      <c r="AP46" s="7">
        <v>0</v>
      </c>
      <c r="AQ46" s="7">
        <v>142.5629137446966</v>
      </c>
      <c r="AR46" s="7">
        <v>187.82667497521749</v>
      </c>
      <c r="AS46" s="7">
        <v>56.591275649747097</v>
      </c>
      <c r="AT46" s="7">
        <v>56.591275649747097</v>
      </c>
    </row>
    <row r="47" spans="1:46" x14ac:dyDescent="0.35">
      <c r="A47" s="5">
        <v>46022</v>
      </c>
      <c r="B47" s="4" t="s">
        <v>140</v>
      </c>
      <c r="C47" s="4" t="s">
        <v>141</v>
      </c>
      <c r="D47" s="4" t="s">
        <v>57</v>
      </c>
      <c r="E47" s="6">
        <v>4900</v>
      </c>
      <c r="F47" s="6">
        <v>0</v>
      </c>
      <c r="G47" s="6">
        <v>4900</v>
      </c>
      <c r="H47" s="6">
        <v>2.8</v>
      </c>
      <c r="I47" s="6">
        <v>1750</v>
      </c>
      <c r="J47" s="6">
        <v>0</v>
      </c>
      <c r="K47" s="6">
        <v>1750</v>
      </c>
      <c r="L47" s="6">
        <v>1750</v>
      </c>
      <c r="M47" s="7">
        <v>1.642123</v>
      </c>
      <c r="N47" s="7">
        <v>0.37498399999999998</v>
      </c>
      <c r="O47" s="7">
        <v>0.97783600000000015</v>
      </c>
      <c r="P47" s="7">
        <v>2.630709</v>
      </c>
      <c r="Q47" s="7">
        <v>5.6256519999999997</v>
      </c>
      <c r="R47" s="7">
        <v>0.70722099999999999</v>
      </c>
      <c r="S47" s="7">
        <v>1.027512</v>
      </c>
      <c r="T47" s="7">
        <v>4.1020459999999996</v>
      </c>
      <c r="U47" s="7">
        <v>3.0832030000000001</v>
      </c>
      <c r="V47" s="7">
        <v>8.9199819999999992</v>
      </c>
      <c r="W47" s="7">
        <v>14.545634</v>
      </c>
      <c r="X47" s="7">
        <v>1.6496363126711999</v>
      </c>
      <c r="Y47" s="7">
        <v>4.9292278912906999</v>
      </c>
      <c r="Z47" s="7">
        <v>21.124498203961899</v>
      </c>
      <c r="AA47" s="7">
        <v>7.056983694026469</v>
      </c>
      <c r="AB47" s="7">
        <v>28.18148189798837</v>
      </c>
      <c r="AC47" s="7">
        <v>0</v>
      </c>
      <c r="AD47" s="7">
        <v>2.4541689999999998</v>
      </c>
      <c r="AE47" s="7">
        <v>0</v>
      </c>
      <c r="AF47" s="7">
        <v>0</v>
      </c>
      <c r="AG47" s="7">
        <v>30.63565089798837</v>
      </c>
      <c r="AH47" s="7">
        <v>0.81196900000000005</v>
      </c>
      <c r="AI47" s="7">
        <v>0</v>
      </c>
      <c r="AJ47" s="7">
        <v>2.799747</v>
      </c>
      <c r="AK47" s="7">
        <v>31.793197897988371</v>
      </c>
      <c r="AL47" s="7">
        <v>0</v>
      </c>
      <c r="AM47" s="7">
        <v>0</v>
      </c>
      <c r="AN47" s="7">
        <v>0</v>
      </c>
      <c r="AO47" s="7">
        <v>0</v>
      </c>
      <c r="AP47" s="7">
        <v>0</v>
      </c>
      <c r="AQ47" s="7">
        <v>31.793197897988371</v>
      </c>
      <c r="AR47" s="7">
        <v>82.167410303441926</v>
      </c>
      <c r="AS47" s="7">
        <v>61.042912099480027</v>
      </c>
      <c r="AT47" s="7">
        <v>53.985928405453564</v>
      </c>
    </row>
    <row r="48" spans="1:46" x14ac:dyDescent="0.35">
      <c r="A48" s="5">
        <v>46022</v>
      </c>
      <c r="B48" s="4" t="s">
        <v>142</v>
      </c>
      <c r="C48" s="4" t="s">
        <v>143</v>
      </c>
      <c r="D48" s="4" t="s">
        <v>139</v>
      </c>
      <c r="E48" s="6">
        <v>2181.0825420000001</v>
      </c>
      <c r="F48" s="6">
        <v>0</v>
      </c>
      <c r="G48" s="6">
        <v>2181.0825420000001</v>
      </c>
      <c r="H48" s="6">
        <v>0.5</v>
      </c>
      <c r="I48" s="6">
        <v>4362.1650829999999</v>
      </c>
      <c r="J48" s="6">
        <v>0</v>
      </c>
      <c r="K48" s="6">
        <v>4362.1650829999999</v>
      </c>
      <c r="L48" s="6">
        <v>3350</v>
      </c>
      <c r="M48" s="7">
        <v>1.119674115983027E-2</v>
      </c>
      <c r="N48" s="7">
        <v>1.3226260000000001</v>
      </c>
      <c r="O48" s="7">
        <v>8.8046732673267326E-3</v>
      </c>
      <c r="P48" s="7">
        <v>2.3068578161244702</v>
      </c>
      <c r="Q48" s="7">
        <v>3.649485230551627</v>
      </c>
      <c r="R48" s="7">
        <v>4.6818976690240452</v>
      </c>
      <c r="S48" s="7">
        <v>18.073176803394631</v>
      </c>
      <c r="T48" s="7">
        <v>4.4564326110325316</v>
      </c>
      <c r="U48" s="7">
        <v>14.80968121074965</v>
      </c>
      <c r="V48" s="7">
        <v>42.021188294200847</v>
      </c>
      <c r="W48" s="7">
        <v>45.67067352475248</v>
      </c>
      <c r="X48" s="7">
        <v>0.59575761194029853</v>
      </c>
      <c r="Y48" s="7">
        <v>41.135811672225678</v>
      </c>
      <c r="Z48" s="7">
        <v>87.402242808918444</v>
      </c>
      <c r="AA48" s="7">
        <v>6.5861143338427768</v>
      </c>
      <c r="AB48" s="7">
        <v>93.988357142761231</v>
      </c>
      <c r="AC48" s="7">
        <v>0</v>
      </c>
      <c r="AD48" s="7">
        <v>23.740333007072142</v>
      </c>
      <c r="AE48" s="7">
        <v>0</v>
      </c>
      <c r="AF48" s="7">
        <v>0</v>
      </c>
      <c r="AG48" s="7">
        <v>117.7286901498334</v>
      </c>
      <c r="AH48" s="7">
        <v>2.2673056520509189</v>
      </c>
      <c r="AI48" s="7">
        <v>0</v>
      </c>
      <c r="AJ48" s="7">
        <v>6.0461480678925037</v>
      </c>
      <c r="AK48" s="7">
        <v>102.3018108627047</v>
      </c>
      <c r="AL48" s="7">
        <v>0</v>
      </c>
      <c r="AM48" s="7">
        <v>0</v>
      </c>
      <c r="AN48" s="7">
        <v>0</v>
      </c>
      <c r="AO48" s="7">
        <v>0</v>
      </c>
      <c r="AP48" s="7">
        <v>0</v>
      </c>
      <c r="AQ48" s="7">
        <v>102.3018108627047</v>
      </c>
      <c r="AR48" s="7">
        <v>180.09455965204251</v>
      </c>
      <c r="AS48" s="7">
        <v>92.692316843124075</v>
      </c>
      <c r="AT48" s="7">
        <v>86.106202509281303</v>
      </c>
    </row>
    <row r="49" spans="1:46" x14ac:dyDescent="0.35">
      <c r="A49" s="5">
        <v>46022</v>
      </c>
      <c r="B49" s="4" t="s">
        <v>144</v>
      </c>
      <c r="C49" s="4" t="s">
        <v>145</v>
      </c>
      <c r="D49" s="4" t="s">
        <v>62</v>
      </c>
      <c r="E49" s="6">
        <v>46214</v>
      </c>
      <c r="F49" s="6">
        <v>0</v>
      </c>
      <c r="G49" s="6">
        <v>46214</v>
      </c>
      <c r="H49" s="6">
        <v>2.0107910000000002</v>
      </c>
      <c r="I49" s="6">
        <v>22983</v>
      </c>
      <c r="J49" s="6">
        <v>0</v>
      </c>
      <c r="K49" s="6">
        <v>22983</v>
      </c>
      <c r="L49" s="6">
        <v>20258.980785</v>
      </c>
      <c r="M49" s="7">
        <v>2.4694660000000002</v>
      </c>
      <c r="N49" s="7">
        <v>2.3432379999999999</v>
      </c>
      <c r="O49" s="7">
        <v>3.2708010000000001</v>
      </c>
      <c r="P49" s="7">
        <v>33.388720999999997</v>
      </c>
      <c r="Q49" s="7">
        <v>41.472225999999999</v>
      </c>
      <c r="R49" s="7">
        <v>3.1422319999999999</v>
      </c>
      <c r="S49" s="7">
        <v>19.829716000000001</v>
      </c>
      <c r="T49" s="7">
        <v>41.338574999999999</v>
      </c>
      <c r="U49" s="7">
        <v>21.32386</v>
      </c>
      <c r="V49" s="7">
        <v>85.634383</v>
      </c>
      <c r="W49" s="7">
        <v>127.10660900000001</v>
      </c>
      <c r="X49" s="7">
        <v>0</v>
      </c>
      <c r="Y49" s="7">
        <v>22.238458415047301</v>
      </c>
      <c r="Z49" s="7">
        <v>149.34506741504731</v>
      </c>
      <c r="AA49" s="7">
        <v>13.90697646992821</v>
      </c>
      <c r="AB49" s="7">
        <v>163.25204388497551</v>
      </c>
      <c r="AC49" s="7">
        <v>0</v>
      </c>
      <c r="AD49" s="7">
        <v>17.256067000000002</v>
      </c>
      <c r="AE49" s="7">
        <v>0</v>
      </c>
      <c r="AF49" s="7">
        <v>0</v>
      </c>
      <c r="AG49" s="7">
        <v>180.50811088497551</v>
      </c>
      <c r="AH49" s="7">
        <v>2.0364450000000001</v>
      </c>
      <c r="AI49" s="7">
        <v>0</v>
      </c>
      <c r="AJ49" s="7">
        <v>0.32807900000000001</v>
      </c>
      <c r="AK49" s="7">
        <v>165.6165678849755</v>
      </c>
      <c r="AL49" s="7">
        <v>2.5667629999999999</v>
      </c>
      <c r="AM49" s="7">
        <v>0</v>
      </c>
      <c r="AN49" s="7">
        <v>0</v>
      </c>
      <c r="AO49" s="7">
        <v>0</v>
      </c>
      <c r="AP49" s="7">
        <v>0</v>
      </c>
      <c r="AQ49" s="7">
        <v>168.1833308849755</v>
      </c>
      <c r="AR49" s="7">
        <v>286.36101250022602</v>
      </c>
      <c r="AS49" s="7">
        <v>137.0159450851786</v>
      </c>
      <c r="AT49" s="7">
        <v>123.1089686152504</v>
      </c>
    </row>
    <row r="50" spans="1:46" x14ac:dyDescent="0.35">
      <c r="A50" s="5">
        <v>46022</v>
      </c>
      <c r="B50" s="4" t="s">
        <v>146</v>
      </c>
      <c r="C50" s="4" t="s">
        <v>147</v>
      </c>
      <c r="D50" s="4" t="s">
        <v>99</v>
      </c>
      <c r="E50" s="6">
        <v>33000</v>
      </c>
      <c r="F50" s="6">
        <v>0</v>
      </c>
      <c r="G50" s="6">
        <v>33000</v>
      </c>
      <c r="H50" s="6">
        <v>5</v>
      </c>
      <c r="I50" s="6">
        <v>6600</v>
      </c>
      <c r="J50" s="6">
        <v>0</v>
      </c>
      <c r="K50" s="6">
        <v>6600</v>
      </c>
      <c r="L50" s="6">
        <v>6600</v>
      </c>
      <c r="M50" s="7">
        <v>1.386412</v>
      </c>
      <c r="N50" s="7">
        <v>1.9798709999999999</v>
      </c>
      <c r="O50" s="7">
        <v>0.11181199999999999</v>
      </c>
      <c r="P50" s="7">
        <v>3.0547119999999999</v>
      </c>
      <c r="Q50" s="7">
        <v>6.532807</v>
      </c>
      <c r="R50" s="7">
        <v>0.62582099999999985</v>
      </c>
      <c r="S50" s="7">
        <v>1.6257870000000001</v>
      </c>
      <c r="T50" s="7">
        <v>1.7122390000000001</v>
      </c>
      <c r="U50" s="7">
        <v>3.2195589999999998</v>
      </c>
      <c r="V50" s="7">
        <v>7.1834059999999997</v>
      </c>
      <c r="W50" s="7">
        <v>13.716213</v>
      </c>
      <c r="X50" s="7">
        <v>0.4421016516423788</v>
      </c>
      <c r="Y50" s="7">
        <v>6.0064147553832816</v>
      </c>
      <c r="Z50" s="7">
        <v>20.164729407025661</v>
      </c>
      <c r="AA50" s="7">
        <v>2.2946225906798001</v>
      </c>
      <c r="AB50" s="7">
        <v>22.459351997705461</v>
      </c>
      <c r="AC50" s="7">
        <v>0.15151500000000001</v>
      </c>
      <c r="AD50" s="7">
        <v>10.734522999999999</v>
      </c>
      <c r="AE50" s="7">
        <v>0</v>
      </c>
      <c r="AF50" s="7">
        <v>0</v>
      </c>
      <c r="AG50" s="7">
        <v>33.34538999770546</v>
      </c>
      <c r="AH50" s="7">
        <v>1.1363639999999999</v>
      </c>
      <c r="AI50" s="7">
        <v>0</v>
      </c>
      <c r="AJ50" s="7">
        <v>5.4864850000000001</v>
      </c>
      <c r="AK50" s="7">
        <v>29.23371599770546</v>
      </c>
      <c r="AL50" s="7">
        <v>0</v>
      </c>
      <c r="AM50" s="7">
        <v>0</v>
      </c>
      <c r="AN50" s="7">
        <v>0</v>
      </c>
      <c r="AO50" s="7">
        <v>0</v>
      </c>
      <c r="AP50" s="7">
        <v>0</v>
      </c>
      <c r="AQ50" s="7">
        <v>29.23371599770546</v>
      </c>
      <c r="AR50" s="7">
        <v>43.27252914942828</v>
      </c>
      <c r="AS50" s="7">
        <v>23.107799742402619</v>
      </c>
      <c r="AT50" s="7">
        <v>20.813177151722819</v>
      </c>
    </row>
    <row r="51" spans="1:46" x14ac:dyDescent="0.35">
      <c r="A51" s="5">
        <v>46022</v>
      </c>
      <c r="B51" s="4" t="s">
        <v>148</v>
      </c>
      <c r="C51" s="4" t="s">
        <v>149</v>
      </c>
      <c r="D51" s="4" t="s">
        <v>57</v>
      </c>
      <c r="E51" s="6">
        <v>0</v>
      </c>
      <c r="F51" s="6">
        <v>0</v>
      </c>
      <c r="G51" s="6">
        <v>0</v>
      </c>
      <c r="H51" s="6">
        <v>0</v>
      </c>
      <c r="I51" s="6">
        <v>0</v>
      </c>
      <c r="J51" s="6">
        <v>705</v>
      </c>
      <c r="K51" s="6">
        <v>705</v>
      </c>
      <c r="L51" s="6">
        <v>705</v>
      </c>
      <c r="M51" s="7">
        <v>5.7118830000000003</v>
      </c>
      <c r="N51" s="7">
        <v>1.158515</v>
      </c>
      <c r="O51" s="7">
        <v>0.68005899999999997</v>
      </c>
      <c r="P51" s="7">
        <v>3.6288689999999999</v>
      </c>
      <c r="Q51" s="7">
        <v>11.179326</v>
      </c>
      <c r="R51" s="7">
        <v>1.515506</v>
      </c>
      <c r="S51" s="7">
        <v>1.6082920000000001</v>
      </c>
      <c r="T51" s="7">
        <v>3.1755849999999999</v>
      </c>
      <c r="U51" s="7">
        <v>2.7208909999999999</v>
      </c>
      <c r="V51" s="7">
        <v>9.0202740000000006</v>
      </c>
      <c r="W51" s="7">
        <v>20.1996</v>
      </c>
      <c r="X51" s="7">
        <v>2.0462986226825528</v>
      </c>
      <c r="Y51" s="7">
        <v>15.431001278306059</v>
      </c>
      <c r="Z51" s="7">
        <v>37.676899900988609</v>
      </c>
      <c r="AA51" s="7">
        <v>1.4475184893998549</v>
      </c>
      <c r="AB51" s="7">
        <v>39.12441839038847</v>
      </c>
      <c r="AC51" s="7">
        <v>0</v>
      </c>
      <c r="AD51" s="7">
        <v>0.31045899999999998</v>
      </c>
      <c r="AE51" s="7">
        <v>0</v>
      </c>
      <c r="AF51" s="7">
        <v>0</v>
      </c>
      <c r="AG51" s="7">
        <v>39.434877390388472</v>
      </c>
      <c r="AH51" s="7">
        <v>3.2071360000000002</v>
      </c>
      <c r="AI51" s="7">
        <v>0</v>
      </c>
      <c r="AJ51" s="7">
        <v>2.4302869999999999</v>
      </c>
      <c r="AK51" s="7">
        <v>44.761841390388469</v>
      </c>
      <c r="AL51" s="7">
        <v>0</v>
      </c>
      <c r="AM51" s="7">
        <v>0</v>
      </c>
      <c r="AN51" s="7">
        <v>0</v>
      </c>
      <c r="AO51" s="7">
        <v>0</v>
      </c>
      <c r="AP51" s="7">
        <v>0</v>
      </c>
      <c r="AQ51" s="7">
        <v>44.761841390388469</v>
      </c>
      <c r="AR51" s="7">
        <v>69.967010102109683</v>
      </c>
      <c r="AS51" s="7">
        <v>32.290110201121067</v>
      </c>
      <c r="AT51" s="7">
        <v>30.842591711721209</v>
      </c>
    </row>
  </sheetData>
  <mergeCells count="47">
    <mergeCell ref="AS6:AS9"/>
    <mergeCell ref="AT6:AT9"/>
    <mergeCell ref="AN6:AN9"/>
    <mergeCell ref="AO6:AO9"/>
    <mergeCell ref="AP6:AP9"/>
    <mergeCell ref="AQ6:AQ9"/>
    <mergeCell ref="AR6:AR9"/>
    <mergeCell ref="AI6:AI9"/>
    <mergeCell ref="AJ6:AJ9"/>
    <mergeCell ref="AK6:AK9"/>
    <mergeCell ref="AL6:AL9"/>
    <mergeCell ref="AM6:AM9"/>
    <mergeCell ref="AD6:AD9"/>
    <mergeCell ref="AE6:AE9"/>
    <mergeCell ref="AF6:AF9"/>
    <mergeCell ref="AG6:AG9"/>
    <mergeCell ref="AH6:AH9"/>
    <mergeCell ref="Y6:Y9"/>
    <mergeCell ref="Z6:Z9"/>
    <mergeCell ref="AA6:AA9"/>
    <mergeCell ref="AB6:AB9"/>
    <mergeCell ref="AC6:AC9"/>
    <mergeCell ref="T6:T9"/>
    <mergeCell ref="U6:U9"/>
    <mergeCell ref="V6:V9"/>
    <mergeCell ref="W6:W9"/>
    <mergeCell ref="X6:X9"/>
    <mergeCell ref="O6:O9"/>
    <mergeCell ref="P6:P9"/>
    <mergeCell ref="Q6:Q9"/>
    <mergeCell ref="R6:R9"/>
    <mergeCell ref="S6:S9"/>
    <mergeCell ref="J6:J9"/>
    <mergeCell ref="K6:K9"/>
    <mergeCell ref="L6:L9"/>
    <mergeCell ref="M6:M9"/>
    <mergeCell ref="N6:N9"/>
    <mergeCell ref="E6:E9"/>
    <mergeCell ref="F6:F9"/>
    <mergeCell ref="G6:G9"/>
    <mergeCell ref="H6:H9"/>
    <mergeCell ref="I6:I9"/>
    <mergeCell ref="A1:D1"/>
    <mergeCell ref="A6:A9"/>
    <mergeCell ref="B6:B9"/>
    <mergeCell ref="C6:C9"/>
    <mergeCell ref="D6:D9"/>
  </mergeCells>
  <pageMargins left="0.7" right="0.7" top="0.75" bottom="0.75" header="0.3" footer="0.3"/>
  <pageSetup orientation="landscape"/>
  <headerFooter>
    <oddFooter>&amp;C_x000D_&amp;1#&amp;"Aptos"&amp;10&amp;K0000FF Restricted Use - À usage restreint</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T51"/>
  <sheetViews>
    <sheetView topLeftCell="Y2" workbookViewId="0">
      <selection sqref="A1:D1"/>
    </sheetView>
  </sheetViews>
  <sheetFormatPr defaultRowHeight="14.5" x14ac:dyDescent="0.35"/>
  <cols>
    <col min="1" max="1" width="48.54296875" customWidth="1"/>
    <col min="2" max="2" width="23.7265625" customWidth="1"/>
    <col min="3" max="3" width="16.1796875" customWidth="1"/>
    <col min="4" max="4" width="20.81640625" customWidth="1"/>
    <col min="5" max="5" width="23.54296875" customWidth="1"/>
    <col min="6" max="6" width="20.54296875" customWidth="1"/>
    <col min="7" max="7" width="17.54296875" customWidth="1"/>
    <col min="8" max="9" width="16.1796875" customWidth="1"/>
    <col min="10" max="10" width="17.54296875" customWidth="1"/>
    <col min="11" max="11" width="22.453125" customWidth="1"/>
    <col min="12" max="12" width="23.81640625" customWidth="1"/>
    <col min="13" max="13" width="22.453125" customWidth="1"/>
    <col min="14" max="14" width="23.81640625" customWidth="1"/>
    <col min="15" max="15" width="22.453125" customWidth="1"/>
    <col min="16" max="22" width="21.1796875" customWidth="1"/>
    <col min="23" max="23" width="22.453125" customWidth="1"/>
    <col min="24" max="27" width="21.1796875" customWidth="1"/>
    <col min="28" max="28" width="23.81640625" customWidth="1"/>
    <col min="29" max="29" width="21.1796875" customWidth="1"/>
    <col min="30" max="31" width="16.1796875" customWidth="1"/>
    <col min="32" max="32" width="21.1796875" customWidth="1"/>
    <col min="33" max="33" width="22.453125" customWidth="1"/>
    <col min="34" max="34" width="21.1796875" customWidth="1"/>
    <col min="35" max="35" width="22.453125" customWidth="1"/>
    <col min="36" max="38" width="21.1796875" customWidth="1"/>
    <col min="39" max="40" width="16.1796875" customWidth="1"/>
    <col min="41" max="43" width="21.1796875" customWidth="1"/>
    <col min="44" max="44" width="21.54296875" customWidth="1"/>
    <col min="45" max="46" width="22" customWidth="1"/>
  </cols>
  <sheetData>
    <row r="1" spans="1:46" ht="40" customHeight="1" x14ac:dyDescent="0.35">
      <c r="A1" s="15"/>
      <c r="B1" s="15"/>
      <c r="C1" s="15"/>
      <c r="D1" s="15"/>
    </row>
    <row r="2" spans="1:46" ht="30" customHeight="1" x14ac:dyDescent="0.45">
      <c r="A2" s="1" t="s">
        <v>192</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row>
    <row r="3" spans="1:46" x14ac:dyDescent="0.35">
      <c r="A3" s="3" t="s">
        <v>0</v>
      </c>
    </row>
    <row r="4" spans="1:46" x14ac:dyDescent="0.35">
      <c r="A4" s="3" t="s">
        <v>1</v>
      </c>
    </row>
    <row r="5" spans="1:46" x14ac:dyDescent="0.35">
      <c r="A5" s="4"/>
    </row>
    <row r="6" spans="1:46" x14ac:dyDescent="0.35">
      <c r="A6" s="16" t="s">
        <v>3</v>
      </c>
      <c r="B6" s="16" t="s">
        <v>4</v>
      </c>
      <c r="C6" s="16" t="s">
        <v>5</v>
      </c>
      <c r="D6" s="16" t="s">
        <v>6</v>
      </c>
      <c r="E6" s="17" t="s">
        <v>14</v>
      </c>
      <c r="F6" s="17" t="s">
        <v>151</v>
      </c>
      <c r="G6" s="17" t="s">
        <v>152</v>
      </c>
      <c r="H6" s="17" t="s">
        <v>153</v>
      </c>
      <c r="I6" s="17" t="s">
        <v>154</v>
      </c>
      <c r="J6" s="17" t="s">
        <v>155</v>
      </c>
      <c r="K6" s="17" t="s">
        <v>156</v>
      </c>
      <c r="L6" s="17" t="s">
        <v>157</v>
      </c>
      <c r="M6" s="17" t="s">
        <v>158</v>
      </c>
      <c r="N6" s="17" t="s">
        <v>159</v>
      </c>
      <c r="O6" s="17" t="s">
        <v>160</v>
      </c>
      <c r="P6" s="17" t="s">
        <v>161</v>
      </c>
      <c r="Q6" s="17" t="s">
        <v>162</v>
      </c>
      <c r="R6" s="17" t="s">
        <v>163</v>
      </c>
      <c r="S6" s="17" t="s">
        <v>164</v>
      </c>
      <c r="T6" s="17" t="s">
        <v>165</v>
      </c>
      <c r="U6" s="17" t="s">
        <v>166</v>
      </c>
      <c r="V6" s="17" t="s">
        <v>167</v>
      </c>
      <c r="W6" s="17" t="s">
        <v>168</v>
      </c>
      <c r="X6" s="17" t="s">
        <v>169</v>
      </c>
      <c r="Y6" s="17" t="s">
        <v>170</v>
      </c>
      <c r="Z6" s="17" t="s">
        <v>171</v>
      </c>
      <c r="AA6" s="17" t="s">
        <v>172</v>
      </c>
      <c r="AB6" s="17" t="s">
        <v>173</v>
      </c>
      <c r="AC6" s="17" t="s">
        <v>174</v>
      </c>
      <c r="AD6" s="17" t="s">
        <v>175</v>
      </c>
      <c r="AE6" s="17" t="s">
        <v>176</v>
      </c>
      <c r="AF6" s="17" t="s">
        <v>177</v>
      </c>
      <c r="AG6" s="17" t="s">
        <v>178</v>
      </c>
      <c r="AH6" s="17" t="s">
        <v>179</v>
      </c>
      <c r="AI6" s="17" t="s">
        <v>180</v>
      </c>
      <c r="AJ6" s="17" t="s">
        <v>181</v>
      </c>
      <c r="AK6" s="17" t="s">
        <v>182</v>
      </c>
      <c r="AL6" s="17" t="s">
        <v>183</v>
      </c>
      <c r="AM6" s="17" t="s">
        <v>184</v>
      </c>
      <c r="AN6" s="17" t="s">
        <v>185</v>
      </c>
      <c r="AO6" s="17" t="s">
        <v>186</v>
      </c>
      <c r="AP6" s="17" t="s">
        <v>187</v>
      </c>
      <c r="AQ6" s="17" t="s">
        <v>188</v>
      </c>
      <c r="AR6" s="17" t="s">
        <v>189</v>
      </c>
      <c r="AS6" s="17" t="s">
        <v>190</v>
      </c>
      <c r="AT6" s="17" t="s">
        <v>191</v>
      </c>
    </row>
    <row r="7" spans="1:46" x14ac:dyDescent="0.35">
      <c r="A7" s="16"/>
      <c r="B7" s="16"/>
      <c r="C7" s="16"/>
      <c r="D7" s="16"/>
      <c r="E7" s="17"/>
      <c r="F7" s="17"/>
      <c r="G7" s="17"/>
      <c r="H7" s="17"/>
      <c r="I7" s="17"/>
      <c r="J7" s="17"/>
      <c r="K7" s="17"/>
      <c r="L7" s="17"/>
      <c r="M7" s="17"/>
      <c r="N7" s="17"/>
      <c r="O7" s="17"/>
      <c r="P7" s="17"/>
      <c r="Q7" s="17"/>
      <c r="R7" s="17"/>
      <c r="S7" s="17"/>
      <c r="T7" s="17"/>
      <c r="U7" s="17"/>
      <c r="V7" s="17"/>
      <c r="W7" s="17"/>
      <c r="X7" s="17"/>
      <c r="Y7" s="17"/>
      <c r="Z7" s="17"/>
      <c r="AA7" s="17"/>
      <c r="AB7" s="17"/>
      <c r="AC7" s="17"/>
      <c r="AD7" s="17"/>
      <c r="AE7" s="17"/>
      <c r="AF7" s="17"/>
      <c r="AG7" s="17"/>
      <c r="AH7" s="17"/>
      <c r="AI7" s="17"/>
      <c r="AJ7" s="17"/>
      <c r="AK7" s="17"/>
      <c r="AL7" s="17"/>
      <c r="AM7" s="17"/>
      <c r="AN7" s="17"/>
      <c r="AO7" s="17"/>
      <c r="AP7" s="17"/>
      <c r="AQ7" s="17"/>
      <c r="AR7" s="17"/>
      <c r="AS7" s="17"/>
      <c r="AT7" s="17"/>
    </row>
    <row r="8" spans="1:46" x14ac:dyDescent="0.35">
      <c r="A8" s="16"/>
      <c r="B8" s="16"/>
      <c r="C8" s="16"/>
      <c r="D8" s="16"/>
      <c r="E8" s="17"/>
      <c r="F8" s="17"/>
      <c r="G8" s="17"/>
      <c r="H8" s="17"/>
      <c r="I8" s="17"/>
      <c r="J8" s="17"/>
      <c r="K8" s="17"/>
      <c r="L8" s="17"/>
      <c r="M8" s="17"/>
      <c r="N8" s="17"/>
      <c r="O8" s="17"/>
      <c r="P8" s="17"/>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c r="AR8" s="17"/>
      <c r="AS8" s="17"/>
      <c r="AT8" s="17"/>
    </row>
    <row r="9" spans="1:46" x14ac:dyDescent="0.35">
      <c r="A9" s="16"/>
      <c r="B9" s="16"/>
      <c r="C9" s="16"/>
      <c r="D9" s="16"/>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row>
    <row r="10" spans="1:46" x14ac:dyDescent="0.35">
      <c r="A10" s="5">
        <v>46022</v>
      </c>
      <c r="B10" s="4" t="s">
        <v>67</v>
      </c>
      <c r="C10" s="4" t="s">
        <v>68</v>
      </c>
      <c r="D10" s="4" t="s">
        <v>57</v>
      </c>
      <c r="E10" s="6">
        <v>165</v>
      </c>
      <c r="F10" s="7">
        <v>2.9000000000000001E-2</v>
      </c>
      <c r="G10" s="6">
        <v>60</v>
      </c>
      <c r="H10" s="6">
        <v>2.9000000000000001E-2</v>
      </c>
      <c r="I10" s="6">
        <v>95</v>
      </c>
      <c r="J10" s="6">
        <v>2.7274E-2</v>
      </c>
      <c r="K10" s="8">
        <v>7.3604261011137382</v>
      </c>
      <c r="L10" s="6">
        <v>64.81629670439446</v>
      </c>
      <c r="M10" s="6">
        <v>0</v>
      </c>
      <c r="N10" s="6">
        <v>17.006880697590841</v>
      </c>
      <c r="O10" s="6">
        <v>108.8932019196661</v>
      </c>
      <c r="P10" s="6">
        <v>190.7163793216514</v>
      </c>
      <c r="Q10" s="6">
        <v>70.165377838797298</v>
      </c>
      <c r="R10" s="6">
        <v>36.020068251615442</v>
      </c>
      <c r="S10" s="6">
        <v>56.76693292222761</v>
      </c>
      <c r="T10" s="6">
        <v>50.459204185045088</v>
      </c>
      <c r="U10" s="6">
        <v>213.41158319768539</v>
      </c>
      <c r="V10" s="6">
        <v>404.12796251933679</v>
      </c>
      <c r="W10" s="6">
        <v>164.43149500268811</v>
      </c>
      <c r="X10" s="6">
        <v>422.3216612034812</v>
      </c>
      <c r="Y10" s="6">
        <v>990.88111872550621</v>
      </c>
      <c r="Z10" s="6">
        <v>150.98706524477331</v>
      </c>
      <c r="AA10" s="6">
        <v>1141.868183970279</v>
      </c>
      <c r="AB10" s="6">
        <v>0</v>
      </c>
      <c r="AC10" s="6">
        <v>79.162502616114779</v>
      </c>
      <c r="AD10" s="6">
        <v>0</v>
      </c>
      <c r="AE10" s="6">
        <v>0</v>
      </c>
      <c r="AF10" s="6">
        <v>1221.030686586394</v>
      </c>
      <c r="AG10" s="6">
        <v>45.397860735769598</v>
      </c>
      <c r="AH10" s="6">
        <v>0</v>
      </c>
      <c r="AI10" s="6">
        <v>21.847724897355199</v>
      </c>
      <c r="AJ10" s="6">
        <v>1209.1137696034041</v>
      </c>
      <c r="AK10" s="6">
        <v>0</v>
      </c>
      <c r="AL10" s="6">
        <v>0</v>
      </c>
      <c r="AM10" s="6">
        <v>0</v>
      </c>
      <c r="AN10" s="6">
        <v>0</v>
      </c>
      <c r="AO10" s="6">
        <v>0</v>
      </c>
      <c r="AP10" s="6">
        <v>1209.1137696034041</v>
      </c>
      <c r="AQ10" s="6">
        <v>1207.1496653365989</v>
      </c>
      <c r="AR10" s="6">
        <v>8.148695</v>
      </c>
      <c r="AS10" s="6">
        <v>216.2685466110932</v>
      </c>
      <c r="AT10" s="6">
        <v>65.281481366319866</v>
      </c>
    </row>
    <row r="11" spans="1:46" x14ac:dyDescent="0.35">
      <c r="A11" s="5">
        <v>46022</v>
      </c>
      <c r="B11" s="4" t="s">
        <v>49</v>
      </c>
      <c r="C11" s="4" t="s">
        <v>50</v>
      </c>
      <c r="D11" s="4" t="s">
        <v>51</v>
      </c>
      <c r="E11" s="6">
        <v>3045.8785459999999</v>
      </c>
      <c r="F11" s="7">
        <v>0.1</v>
      </c>
      <c r="G11" s="6">
        <v>75</v>
      </c>
      <c r="H11" s="6">
        <v>2.2839999999999998</v>
      </c>
      <c r="I11" s="6">
        <v>100</v>
      </c>
      <c r="J11" s="6">
        <v>2.2844090000000001</v>
      </c>
      <c r="K11" s="8">
        <v>11.782001796964892</v>
      </c>
      <c r="L11" s="6">
        <v>61.915607624176843</v>
      </c>
      <c r="M11" s="6">
        <v>6.1821791519793168</v>
      </c>
      <c r="N11" s="6">
        <v>65.809075714982782</v>
      </c>
      <c r="O11" s="6">
        <v>493.15308159508021</v>
      </c>
      <c r="P11" s="6">
        <v>627.05994408621916</v>
      </c>
      <c r="Q11" s="6">
        <v>65.240186430030704</v>
      </c>
      <c r="R11" s="6">
        <v>112.1881207983993</v>
      </c>
      <c r="S11" s="6">
        <v>61.398635712499832</v>
      </c>
      <c r="T11" s="6">
        <v>186.93926931064311</v>
      </c>
      <c r="U11" s="6">
        <v>425.76621225157288</v>
      </c>
      <c r="V11" s="6">
        <v>1052.8261563377921</v>
      </c>
      <c r="W11" s="6">
        <v>59.706295061976412</v>
      </c>
      <c r="X11" s="6">
        <v>112.82215650717541</v>
      </c>
      <c r="Y11" s="6">
        <v>1225.354607906944</v>
      </c>
      <c r="Z11" s="6">
        <v>18.88850966520906</v>
      </c>
      <c r="AA11" s="6">
        <v>1244.2431175721531</v>
      </c>
      <c r="AB11" s="6">
        <v>0</v>
      </c>
      <c r="AC11" s="6">
        <v>598.89533200962865</v>
      </c>
      <c r="AD11" s="6">
        <v>0</v>
      </c>
      <c r="AE11" s="6">
        <v>0</v>
      </c>
      <c r="AF11" s="6">
        <v>1843.1384495817811</v>
      </c>
      <c r="AG11" s="6">
        <v>103.8540498940929</v>
      </c>
      <c r="AH11" s="6">
        <v>21.054910453146231</v>
      </c>
      <c r="AI11" s="6">
        <v>187.15479125300891</v>
      </c>
      <c r="AJ11" s="6">
        <v>1556.3068691724011</v>
      </c>
      <c r="AK11" s="6">
        <v>0</v>
      </c>
      <c r="AL11" s="6">
        <v>18.508208667735019</v>
      </c>
      <c r="AM11" s="6">
        <v>0</v>
      </c>
      <c r="AN11" s="6">
        <v>0</v>
      </c>
      <c r="AO11" s="6">
        <v>0</v>
      </c>
      <c r="AP11" s="6">
        <v>1574.8150778401359</v>
      </c>
      <c r="AQ11" s="6">
        <v>1205.995247650352</v>
      </c>
      <c r="AR11" s="6">
        <v>525.86245099999996</v>
      </c>
      <c r="AS11" s="6">
        <v>-19.359360256591319</v>
      </c>
      <c r="AT11" s="6">
        <v>-38.24786992180038</v>
      </c>
    </row>
    <row r="12" spans="1:46" x14ac:dyDescent="0.35">
      <c r="A12" s="5">
        <v>46022</v>
      </c>
      <c r="B12" s="4" t="s">
        <v>52</v>
      </c>
      <c r="C12" s="4" t="s">
        <v>53</v>
      </c>
      <c r="D12" s="4" t="s">
        <v>54</v>
      </c>
      <c r="E12" s="6">
        <v>5600</v>
      </c>
      <c r="F12" s="7">
        <v>0.16769999999999999</v>
      </c>
      <c r="G12" s="6">
        <v>60</v>
      </c>
      <c r="H12" s="6">
        <v>5.6349999999999998</v>
      </c>
      <c r="I12" s="6">
        <v>100</v>
      </c>
      <c r="J12" s="6">
        <v>5.6349130000000001</v>
      </c>
      <c r="K12" s="8">
        <v>15.629156718497969</v>
      </c>
      <c r="L12" s="6">
        <v>122.44317383331131</v>
      </c>
      <c r="M12" s="6">
        <v>7.9258550923115534</v>
      </c>
      <c r="N12" s="6">
        <v>10.03592102110049</v>
      </c>
      <c r="O12" s="6">
        <v>96.688206423135924</v>
      </c>
      <c r="P12" s="6">
        <v>237.09315636985929</v>
      </c>
      <c r="Q12" s="6">
        <v>14.73996926003918</v>
      </c>
      <c r="R12" s="6">
        <v>8.179304236286649</v>
      </c>
      <c r="S12" s="6">
        <v>20.061182439297941</v>
      </c>
      <c r="T12" s="6">
        <v>32.838270016580971</v>
      </c>
      <c r="U12" s="6">
        <v>75.81872595220473</v>
      </c>
      <c r="V12" s="6">
        <v>312.911882322064</v>
      </c>
      <c r="W12" s="6">
        <v>2.587358088882731</v>
      </c>
      <c r="X12" s="6">
        <v>249.99942323865511</v>
      </c>
      <c r="Y12" s="6">
        <v>565.49866364960189</v>
      </c>
      <c r="Z12" s="6">
        <v>78.680641023309789</v>
      </c>
      <c r="AA12" s="6">
        <v>644.17930467291171</v>
      </c>
      <c r="AB12" s="6">
        <v>0</v>
      </c>
      <c r="AC12" s="6">
        <v>127.9664403844515</v>
      </c>
      <c r="AD12" s="6">
        <v>0</v>
      </c>
      <c r="AE12" s="6">
        <v>0</v>
      </c>
      <c r="AF12" s="6">
        <v>772.14574505736323</v>
      </c>
      <c r="AG12" s="6">
        <v>13.94381035319241</v>
      </c>
      <c r="AH12" s="6">
        <v>0</v>
      </c>
      <c r="AI12" s="6">
        <v>30.669974333665319</v>
      </c>
      <c r="AJ12" s="6">
        <v>688.7930893597694</v>
      </c>
      <c r="AK12" s="6">
        <v>0</v>
      </c>
      <c r="AL12" s="6">
        <v>0</v>
      </c>
      <c r="AM12" s="6">
        <v>0</v>
      </c>
      <c r="AN12" s="6">
        <v>0</v>
      </c>
      <c r="AO12" s="6">
        <v>0</v>
      </c>
      <c r="AP12" s="6">
        <v>688.7930893597694</v>
      </c>
      <c r="AQ12" s="6">
        <v>1205.997216691934</v>
      </c>
      <c r="AR12" s="6">
        <v>833.86044100000004</v>
      </c>
      <c r="AS12" s="6">
        <v>640.49855304233245</v>
      </c>
      <c r="AT12" s="6">
        <v>561.81791201902286</v>
      </c>
    </row>
    <row r="13" spans="1:46" x14ac:dyDescent="0.35">
      <c r="A13" s="5">
        <v>46022</v>
      </c>
      <c r="B13" s="4" t="s">
        <v>55</v>
      </c>
      <c r="C13" s="4" t="s">
        <v>56</v>
      </c>
      <c r="D13" s="4" t="s">
        <v>57</v>
      </c>
      <c r="E13" s="6">
        <v>719.05570799999998</v>
      </c>
      <c r="F13" s="7">
        <v>0.09</v>
      </c>
      <c r="G13" s="6">
        <v>65</v>
      </c>
      <c r="H13" s="6">
        <v>0.42099999999999999</v>
      </c>
      <c r="I13" s="6">
        <v>90</v>
      </c>
      <c r="J13" s="6">
        <v>0.378583</v>
      </c>
      <c r="K13" s="8">
        <v>7.7773368503888776</v>
      </c>
      <c r="L13" s="6">
        <v>53.708169041314612</v>
      </c>
      <c r="M13" s="6">
        <v>6.0133377906603984</v>
      </c>
      <c r="N13" s="6">
        <v>0.6232942060563843</v>
      </c>
      <c r="O13" s="6">
        <v>19.669996332495948</v>
      </c>
      <c r="P13" s="6">
        <v>80.014797370527333</v>
      </c>
      <c r="Q13" s="6">
        <v>21.481344613460632</v>
      </c>
      <c r="R13" s="6">
        <v>3.5174808227899681</v>
      </c>
      <c r="S13" s="6">
        <v>29.050056865921071</v>
      </c>
      <c r="T13" s="6">
        <v>30.500577407973768</v>
      </c>
      <c r="U13" s="6">
        <v>84.549459710145442</v>
      </c>
      <c r="V13" s="6">
        <v>164.5642570806728</v>
      </c>
      <c r="W13" s="6">
        <v>7.894668752084721</v>
      </c>
      <c r="X13" s="6">
        <v>610.02739161557702</v>
      </c>
      <c r="Y13" s="6">
        <v>782.48631744833449</v>
      </c>
      <c r="Z13" s="6">
        <v>30.358552663634551</v>
      </c>
      <c r="AA13" s="6">
        <v>812.84487011196904</v>
      </c>
      <c r="AB13" s="6">
        <v>0</v>
      </c>
      <c r="AC13" s="6">
        <v>14.58952943995445</v>
      </c>
      <c r="AD13" s="6">
        <v>0</v>
      </c>
      <c r="AE13" s="6">
        <v>0</v>
      </c>
      <c r="AF13" s="6">
        <v>827.43439955192355</v>
      </c>
      <c r="AG13" s="6">
        <v>19.662920753273429</v>
      </c>
      <c r="AH13" s="6">
        <v>0</v>
      </c>
      <c r="AI13" s="6">
        <v>17.629797286052941</v>
      </c>
      <c r="AJ13" s="6">
        <v>850.13758815129552</v>
      </c>
      <c r="AK13" s="6">
        <v>0</v>
      </c>
      <c r="AL13" s="6">
        <v>0</v>
      </c>
      <c r="AM13" s="6">
        <v>0</v>
      </c>
      <c r="AN13" s="6">
        <v>0</v>
      </c>
      <c r="AO13" s="6">
        <v>0</v>
      </c>
      <c r="AP13" s="6">
        <v>850.13758815129552</v>
      </c>
      <c r="AQ13" s="6">
        <v>1206.054153559739</v>
      </c>
      <c r="AR13" s="6">
        <v>73.156780999999995</v>
      </c>
      <c r="AS13" s="6">
        <v>423.56783611140418</v>
      </c>
      <c r="AT13" s="6">
        <v>393.20928344776962</v>
      </c>
    </row>
    <row r="14" spans="1:46" x14ac:dyDescent="0.35">
      <c r="A14" s="5">
        <v>46022</v>
      </c>
      <c r="B14" s="4" t="s">
        <v>69</v>
      </c>
      <c r="C14" s="4" t="s">
        <v>70</v>
      </c>
      <c r="D14" s="4" t="s">
        <v>71</v>
      </c>
      <c r="E14" s="6">
        <v>684</v>
      </c>
      <c r="F14" s="7">
        <v>0.04</v>
      </c>
      <c r="G14" s="6">
        <v>84.2</v>
      </c>
      <c r="H14" s="6">
        <v>0.23</v>
      </c>
      <c r="I14" s="6">
        <v>75</v>
      </c>
      <c r="J14" s="6">
        <v>0.17277799999999999</v>
      </c>
      <c r="K14" s="8">
        <v>1.9297216131813699</v>
      </c>
      <c r="L14" s="6">
        <v>100.2255309335079</v>
      </c>
      <c r="M14" s="6">
        <v>97.270060054960268</v>
      </c>
      <c r="N14" s="6">
        <v>27.65019435707185</v>
      </c>
      <c r="O14" s="6">
        <v>87.924084800952954</v>
      </c>
      <c r="P14" s="6">
        <v>313.06987014649292</v>
      </c>
      <c r="Q14" s="6">
        <v>45.767012084615978</v>
      </c>
      <c r="R14" s="6">
        <v>23.36632248163761</v>
      </c>
      <c r="S14" s="6">
        <v>40.309124180834161</v>
      </c>
      <c r="T14" s="6">
        <v>64.224940442600627</v>
      </c>
      <c r="U14" s="6">
        <v>173.66739918968841</v>
      </c>
      <c r="V14" s="6">
        <v>486.73726933618133</v>
      </c>
      <c r="W14" s="6">
        <v>22.789658753018958</v>
      </c>
      <c r="X14" s="6">
        <v>150.18386221018139</v>
      </c>
      <c r="Y14" s="6">
        <v>659.71079029938176</v>
      </c>
      <c r="Z14" s="6">
        <v>49.964350767525779</v>
      </c>
      <c r="AA14" s="6">
        <v>709.67514106690749</v>
      </c>
      <c r="AB14" s="6">
        <v>0</v>
      </c>
      <c r="AC14" s="6">
        <v>307.68487614880468</v>
      </c>
      <c r="AD14" s="6">
        <v>0</v>
      </c>
      <c r="AE14" s="6">
        <v>0</v>
      </c>
      <c r="AF14" s="6">
        <v>1017.360017215712</v>
      </c>
      <c r="AG14" s="6">
        <v>47.231131028168413</v>
      </c>
      <c r="AH14" s="6">
        <v>0</v>
      </c>
      <c r="AI14" s="6">
        <v>126.6519767398774</v>
      </c>
      <c r="AJ14" s="6">
        <v>883.55824883495325</v>
      </c>
      <c r="AK14" s="6">
        <v>0</v>
      </c>
      <c r="AL14" s="6">
        <v>0</v>
      </c>
      <c r="AM14" s="6">
        <v>0</v>
      </c>
      <c r="AN14" s="6">
        <v>0</v>
      </c>
      <c r="AO14" s="6">
        <v>0</v>
      </c>
      <c r="AP14" s="6">
        <v>883.55824883495325</v>
      </c>
      <c r="AQ14" s="6">
        <v>1206.1535602058159</v>
      </c>
      <c r="AR14" s="6">
        <v>249.118461</v>
      </c>
      <c r="AS14" s="6">
        <v>546.44276990643391</v>
      </c>
      <c r="AT14" s="6">
        <v>496.47841913890812</v>
      </c>
    </row>
    <row r="15" spans="1:46" x14ac:dyDescent="0.35">
      <c r="A15" s="5">
        <v>46022</v>
      </c>
      <c r="B15" s="4" t="s">
        <v>132</v>
      </c>
      <c r="C15" s="4" t="s">
        <v>133</v>
      </c>
      <c r="D15" s="4" t="s">
        <v>57</v>
      </c>
      <c r="E15" s="6">
        <v>1500</v>
      </c>
      <c r="F15" s="7">
        <v>2.8400000000000002E-2</v>
      </c>
      <c r="G15" s="6">
        <v>60</v>
      </c>
      <c r="H15" s="6">
        <v>0.255</v>
      </c>
      <c r="I15" s="6">
        <v>95</v>
      </c>
      <c r="J15" s="6">
        <v>0.24258099999999999</v>
      </c>
      <c r="K15" s="8">
        <v>0.85032832383585699</v>
      </c>
      <c r="L15" s="6">
        <v>30.678483882099631</v>
      </c>
      <c r="M15" s="6">
        <v>5.6921403222753337</v>
      </c>
      <c r="N15" s="6">
        <v>1.8171060584580889</v>
      </c>
      <c r="O15" s="6">
        <v>10.29256741155074</v>
      </c>
      <c r="P15" s="6">
        <v>48.480297674383792</v>
      </c>
      <c r="Q15" s="6">
        <v>8.1965914343937687</v>
      </c>
      <c r="R15" s="6">
        <v>4.3639790170610571</v>
      </c>
      <c r="S15" s="6">
        <v>5.7369972452348614</v>
      </c>
      <c r="T15" s="6">
        <v>7.6287940872065354</v>
      </c>
      <c r="U15" s="6">
        <v>25.926361783896219</v>
      </c>
      <c r="V15" s="6">
        <v>74.406659458280004</v>
      </c>
      <c r="W15" s="6">
        <v>17.15210356057683</v>
      </c>
      <c r="X15" s="6">
        <v>1008.092400211372</v>
      </c>
      <c r="Y15" s="6">
        <v>1099.651163230229</v>
      </c>
      <c r="Z15" s="6">
        <v>14.31629599422352</v>
      </c>
      <c r="AA15" s="6">
        <v>1113.9674592244521</v>
      </c>
      <c r="AB15" s="6">
        <v>0</v>
      </c>
      <c r="AC15" s="6">
        <v>9.8033102244007342</v>
      </c>
      <c r="AD15" s="6">
        <v>0</v>
      </c>
      <c r="AE15" s="6">
        <v>0</v>
      </c>
      <c r="AF15" s="6">
        <v>1123.7707694488529</v>
      </c>
      <c r="AG15" s="6">
        <v>5.360662257753332</v>
      </c>
      <c r="AH15" s="6">
        <v>3.3580133888656731</v>
      </c>
      <c r="AI15" s="6">
        <v>2.5798192332607139</v>
      </c>
      <c r="AJ15" s="6">
        <v>1125.265954104332</v>
      </c>
      <c r="AK15" s="6">
        <v>0</v>
      </c>
      <c r="AL15" s="6">
        <v>0</v>
      </c>
      <c r="AM15" s="6">
        <v>0</v>
      </c>
      <c r="AN15" s="6">
        <v>0</v>
      </c>
      <c r="AO15" s="6">
        <v>0</v>
      </c>
      <c r="AP15" s="6">
        <v>1125.265954104332</v>
      </c>
      <c r="AQ15" s="6">
        <v>1206.0944581589199</v>
      </c>
      <c r="AR15" s="6">
        <v>150.065946</v>
      </c>
      <c r="AS15" s="6">
        <v>106.4432949286907</v>
      </c>
      <c r="AT15" s="6">
        <v>92.126998934467153</v>
      </c>
    </row>
    <row r="16" spans="1:46" x14ac:dyDescent="0.35">
      <c r="A16" s="5">
        <v>46022</v>
      </c>
      <c r="B16" s="4" t="s">
        <v>72</v>
      </c>
      <c r="C16" s="4" t="s">
        <v>73</v>
      </c>
      <c r="D16" s="4" t="s">
        <v>62</v>
      </c>
      <c r="E16" s="6">
        <v>1434.2857140000001</v>
      </c>
      <c r="F16" s="7">
        <v>0.5857</v>
      </c>
      <c r="G16" s="6">
        <v>31.43</v>
      </c>
      <c r="H16" s="6">
        <v>2.64</v>
      </c>
      <c r="I16" s="6">
        <v>100</v>
      </c>
      <c r="J16" s="6">
        <v>2.6402800000000002</v>
      </c>
      <c r="K16" s="8">
        <v>23.250349545993604</v>
      </c>
      <c r="L16" s="6">
        <v>55.19243776769175</v>
      </c>
      <c r="M16" s="6">
        <v>40.930166807168142</v>
      </c>
      <c r="N16" s="6">
        <v>12.76224539556596</v>
      </c>
      <c r="O16" s="6">
        <v>121.1831128795033</v>
      </c>
      <c r="P16" s="6">
        <v>230.06796284992919</v>
      </c>
      <c r="Q16" s="6">
        <v>43.710097239006437</v>
      </c>
      <c r="R16" s="6">
        <v>89.640502036769135</v>
      </c>
      <c r="S16" s="6">
        <v>148.40123026495411</v>
      </c>
      <c r="T16" s="6">
        <v>72.476988485181266</v>
      </c>
      <c r="U16" s="6">
        <v>354.22881802591098</v>
      </c>
      <c r="V16" s="6">
        <v>584.29678087584023</v>
      </c>
      <c r="W16" s="6">
        <v>5.8171354321871842</v>
      </c>
      <c r="X16" s="6">
        <v>4.4576197660096648</v>
      </c>
      <c r="Y16" s="6">
        <v>594.571536074037</v>
      </c>
      <c r="Z16" s="6">
        <v>60.325807524607001</v>
      </c>
      <c r="AA16" s="6">
        <v>654.89734359864406</v>
      </c>
      <c r="AB16" s="6">
        <v>0</v>
      </c>
      <c r="AC16" s="6">
        <v>73.78099537113458</v>
      </c>
      <c r="AD16" s="6">
        <v>0</v>
      </c>
      <c r="AE16" s="6">
        <v>0</v>
      </c>
      <c r="AF16" s="6">
        <v>728.67833896977857</v>
      </c>
      <c r="AG16" s="6">
        <v>10.64208123908927</v>
      </c>
      <c r="AH16" s="6">
        <v>0</v>
      </c>
      <c r="AI16" s="6">
        <v>42.258126757476766</v>
      </c>
      <c r="AJ16" s="6">
        <v>707.79755159521005</v>
      </c>
      <c r="AK16" s="6">
        <v>0</v>
      </c>
      <c r="AL16" s="6">
        <v>0</v>
      </c>
      <c r="AM16" s="6">
        <v>0</v>
      </c>
      <c r="AN16" s="6">
        <v>0</v>
      </c>
      <c r="AO16" s="6">
        <v>0</v>
      </c>
      <c r="AP16" s="6">
        <v>707.79755159521005</v>
      </c>
      <c r="AQ16" s="6">
        <v>1206.0091343833831</v>
      </c>
      <c r="AR16" s="6">
        <v>301.31555700000001</v>
      </c>
      <c r="AS16" s="6">
        <v>611.43759830934584</v>
      </c>
      <c r="AT16" s="6">
        <v>551.11179078473879</v>
      </c>
    </row>
    <row r="17" spans="1:46" x14ac:dyDescent="0.35">
      <c r="A17" s="5">
        <v>46022</v>
      </c>
      <c r="B17" s="4" t="s">
        <v>74</v>
      </c>
      <c r="C17" s="4" t="s">
        <v>75</v>
      </c>
      <c r="D17" s="4" t="s">
        <v>76</v>
      </c>
      <c r="E17" s="6">
        <v>2296.2963869999999</v>
      </c>
      <c r="F17" s="7">
        <v>0.12</v>
      </c>
      <c r="G17" s="6">
        <v>72</v>
      </c>
      <c r="H17" s="6">
        <v>1.984</v>
      </c>
      <c r="I17" s="6">
        <v>90</v>
      </c>
      <c r="J17" s="6">
        <v>1.7856000000000001</v>
      </c>
      <c r="K17" s="8">
        <v>7.4904566535965742</v>
      </c>
      <c r="L17" s="6">
        <v>57.04040544859263</v>
      </c>
      <c r="M17" s="6">
        <v>44.448093890911053</v>
      </c>
      <c r="N17" s="6">
        <v>16.77503564536428</v>
      </c>
      <c r="O17" s="6">
        <v>211.56306115339731</v>
      </c>
      <c r="P17" s="6">
        <v>329.8265961382653</v>
      </c>
      <c r="Q17" s="6">
        <v>58.015290942564441</v>
      </c>
      <c r="R17" s="6">
        <v>371.99620668289572</v>
      </c>
      <c r="S17" s="6">
        <v>91.6829882223401</v>
      </c>
      <c r="T17" s="6">
        <v>129.32985600412059</v>
      </c>
      <c r="U17" s="6">
        <v>651.02434185192089</v>
      </c>
      <c r="V17" s="6">
        <v>980.85093799018625</v>
      </c>
      <c r="W17" s="6">
        <v>6.0782627064968171</v>
      </c>
      <c r="X17" s="6">
        <v>393.506531</v>
      </c>
      <c r="Y17" s="6">
        <v>1380.435731696683</v>
      </c>
      <c r="Z17" s="6">
        <v>0</v>
      </c>
      <c r="AA17" s="6">
        <v>1380.435731696683</v>
      </c>
      <c r="AB17" s="6">
        <v>0</v>
      </c>
      <c r="AC17" s="6">
        <v>268.63107205823121</v>
      </c>
      <c r="AD17" s="6">
        <v>0</v>
      </c>
      <c r="AE17" s="6">
        <v>0</v>
      </c>
      <c r="AF17" s="6">
        <v>1649.066803754914</v>
      </c>
      <c r="AG17" s="6">
        <v>30.351395422753271</v>
      </c>
      <c r="AH17" s="6">
        <v>0</v>
      </c>
      <c r="AI17" s="6">
        <v>137.25675533451559</v>
      </c>
      <c r="AJ17" s="6">
        <v>1548.0438824539519</v>
      </c>
      <c r="AK17" s="6">
        <v>0</v>
      </c>
      <c r="AL17" s="6">
        <v>0</v>
      </c>
      <c r="AM17" s="6">
        <v>0</v>
      </c>
      <c r="AN17" s="6">
        <v>0</v>
      </c>
      <c r="AO17" s="6">
        <v>0</v>
      </c>
      <c r="AP17" s="6">
        <v>1548.0438824539519</v>
      </c>
      <c r="AQ17" s="6">
        <v>1205.9999989886601</v>
      </c>
      <c r="AR17" s="6">
        <v>576.45222899999999</v>
      </c>
      <c r="AS17" s="6">
        <v>-174.43573270802329</v>
      </c>
      <c r="AT17" s="6">
        <v>-174.43573270802329</v>
      </c>
    </row>
    <row r="18" spans="1:46" x14ac:dyDescent="0.35">
      <c r="A18" s="5">
        <v>46022</v>
      </c>
      <c r="B18" s="4" t="s">
        <v>77</v>
      </c>
      <c r="C18" s="4" t="s">
        <v>78</v>
      </c>
      <c r="D18" s="4" t="s">
        <v>79</v>
      </c>
      <c r="E18" s="6">
        <v>4540</v>
      </c>
      <c r="F18" s="7">
        <v>4.1999999999999997E-3</v>
      </c>
      <c r="G18" s="6">
        <v>40</v>
      </c>
      <c r="H18" s="6">
        <v>7.6999999999999999E-2</v>
      </c>
      <c r="I18" s="6">
        <v>95</v>
      </c>
      <c r="J18" s="6">
        <v>7.2811000000000001E-2</v>
      </c>
      <c r="K18" s="8">
        <v>0.30876868363650301</v>
      </c>
      <c r="L18" s="6">
        <v>542.54511435463439</v>
      </c>
      <c r="M18" s="6">
        <v>6.1819758230880666</v>
      </c>
      <c r="N18" s="6">
        <v>152.6235407252322</v>
      </c>
      <c r="O18" s="6">
        <v>225.19505485510021</v>
      </c>
      <c r="P18" s="6">
        <v>926.5456857580549</v>
      </c>
      <c r="Q18" s="6">
        <v>30.881628225779011</v>
      </c>
      <c r="R18" s="6">
        <v>16.139073930538661</v>
      </c>
      <c r="S18" s="6">
        <v>57.88978439304843</v>
      </c>
      <c r="T18" s="6">
        <v>70.267830918950494</v>
      </c>
      <c r="U18" s="6">
        <v>175.17831746831661</v>
      </c>
      <c r="V18" s="6">
        <v>1101.724003226371</v>
      </c>
      <c r="W18" s="6">
        <v>0.92830827003759553</v>
      </c>
      <c r="X18" s="6">
        <v>0</v>
      </c>
      <c r="Y18" s="6">
        <v>1102.6523114964091</v>
      </c>
      <c r="Z18" s="6">
        <v>17.21886305025469</v>
      </c>
      <c r="AA18" s="6">
        <v>1119.871174546664</v>
      </c>
      <c r="AB18" s="6">
        <v>0</v>
      </c>
      <c r="AC18" s="6">
        <v>270.33681522877163</v>
      </c>
      <c r="AD18" s="6">
        <v>0</v>
      </c>
      <c r="AE18" s="6">
        <v>0</v>
      </c>
      <c r="AF18" s="6">
        <v>1390.207989775435</v>
      </c>
      <c r="AG18" s="6">
        <v>6.2948658542014782</v>
      </c>
      <c r="AH18" s="6">
        <v>0</v>
      </c>
      <c r="AI18" s="6">
        <v>165.25860485039931</v>
      </c>
      <c r="AJ18" s="6">
        <v>1291.424645251265</v>
      </c>
      <c r="AK18" s="6">
        <v>0</v>
      </c>
      <c r="AL18" s="6">
        <v>0</v>
      </c>
      <c r="AM18" s="6">
        <v>0</v>
      </c>
      <c r="AN18" s="6">
        <v>0</v>
      </c>
      <c r="AO18" s="6">
        <v>0</v>
      </c>
      <c r="AP18" s="6">
        <v>1291.424645251265</v>
      </c>
      <c r="AQ18" s="6">
        <v>1205.817801243966</v>
      </c>
      <c r="AR18" s="6">
        <v>653.03340300000002</v>
      </c>
      <c r="AS18" s="6">
        <v>103.1654897475572</v>
      </c>
      <c r="AT18" s="6">
        <v>85.946626697302463</v>
      </c>
    </row>
    <row r="19" spans="1:46" x14ac:dyDescent="0.35">
      <c r="A19" s="5">
        <v>46022</v>
      </c>
      <c r="B19" s="4" t="s">
        <v>85</v>
      </c>
      <c r="C19" s="4" t="s">
        <v>86</v>
      </c>
      <c r="D19" s="4" t="s">
        <v>57</v>
      </c>
      <c r="E19" s="6">
        <v>13500</v>
      </c>
      <c r="F19" s="7">
        <v>0.03</v>
      </c>
      <c r="G19" s="6">
        <v>75</v>
      </c>
      <c r="H19" s="6">
        <v>3.0369999999999999</v>
      </c>
      <c r="I19" s="6">
        <v>95</v>
      </c>
      <c r="J19" s="6">
        <v>2.8856250000000001</v>
      </c>
      <c r="K19" s="8">
        <v>1.0977968054403271</v>
      </c>
      <c r="L19" s="6">
        <v>77.955752190260355</v>
      </c>
      <c r="M19" s="6">
        <v>2.0104970797934532</v>
      </c>
      <c r="N19" s="6">
        <v>4.1901977533534129</v>
      </c>
      <c r="O19" s="6">
        <v>16.290286119897932</v>
      </c>
      <c r="P19" s="6">
        <v>100.4467331433052</v>
      </c>
      <c r="Q19" s="6">
        <v>2.642559815964026</v>
      </c>
      <c r="R19" s="6">
        <v>1.639058476961188</v>
      </c>
      <c r="S19" s="6">
        <v>5.5289240446611974</v>
      </c>
      <c r="T19" s="6">
        <v>4.2806165644127177</v>
      </c>
      <c r="U19" s="6">
        <v>14.09115890199913</v>
      </c>
      <c r="V19" s="6">
        <v>114.5378920453043</v>
      </c>
      <c r="W19" s="6">
        <v>2.7973858304811312</v>
      </c>
      <c r="X19" s="6">
        <v>700.80974438799217</v>
      </c>
      <c r="Y19" s="6">
        <v>818.14502226377761</v>
      </c>
      <c r="Z19" s="6">
        <v>8.4066841243532835</v>
      </c>
      <c r="AA19" s="6">
        <v>826.55170638813092</v>
      </c>
      <c r="AB19" s="6">
        <v>0</v>
      </c>
      <c r="AC19" s="6">
        <v>41.577277719413971</v>
      </c>
      <c r="AD19" s="6">
        <v>0</v>
      </c>
      <c r="AE19" s="6">
        <v>0</v>
      </c>
      <c r="AF19" s="6">
        <v>868.12898410754485</v>
      </c>
      <c r="AG19" s="6">
        <v>6.0397077427840182</v>
      </c>
      <c r="AH19" s="6">
        <v>0</v>
      </c>
      <c r="AI19" s="6">
        <v>31.06134844814348</v>
      </c>
      <c r="AJ19" s="6">
        <v>863.65276257905839</v>
      </c>
      <c r="AK19" s="6">
        <v>0</v>
      </c>
      <c r="AL19" s="6">
        <v>0</v>
      </c>
      <c r="AM19" s="6">
        <v>0</v>
      </c>
      <c r="AN19" s="6">
        <v>0</v>
      </c>
      <c r="AO19" s="6">
        <v>0</v>
      </c>
      <c r="AP19" s="6">
        <v>863.65276257905839</v>
      </c>
      <c r="AQ19" s="6">
        <v>1205.989550645588</v>
      </c>
      <c r="AR19" s="6">
        <v>3184.5192280000001</v>
      </c>
      <c r="AS19" s="6">
        <v>387.8445283818109</v>
      </c>
      <c r="AT19" s="6">
        <v>379.43784425745758</v>
      </c>
    </row>
    <row r="20" spans="1:46" x14ac:dyDescent="0.35">
      <c r="A20" s="5">
        <v>46022</v>
      </c>
      <c r="B20" s="4" t="s">
        <v>58</v>
      </c>
      <c r="C20" s="4" t="s">
        <v>59</v>
      </c>
      <c r="D20" s="4" t="s">
        <v>57</v>
      </c>
      <c r="E20" s="6">
        <v>1000</v>
      </c>
      <c r="F20" s="7">
        <v>2.5999999999999999E-2</v>
      </c>
      <c r="G20" s="6">
        <v>70</v>
      </c>
      <c r="H20" s="6">
        <v>0.182</v>
      </c>
      <c r="I20" s="6">
        <v>95</v>
      </c>
      <c r="J20" s="6">
        <v>0.172925</v>
      </c>
      <c r="K20" s="8">
        <v>2.1080498652281059</v>
      </c>
      <c r="L20" s="6">
        <v>56.439423395003921</v>
      </c>
      <c r="M20" s="6">
        <v>3.2431181912149172</v>
      </c>
      <c r="N20" s="6">
        <v>7.6232254867486189</v>
      </c>
      <c r="O20" s="6">
        <v>28.445115014059599</v>
      </c>
      <c r="P20" s="6">
        <v>95.750882087027065</v>
      </c>
      <c r="Q20" s="6">
        <v>18.19792474936019</v>
      </c>
      <c r="R20" s="6">
        <v>8.1890575664284047</v>
      </c>
      <c r="S20" s="6">
        <v>20.01249236397226</v>
      </c>
      <c r="T20" s="6">
        <v>46.637112098833839</v>
      </c>
      <c r="U20" s="6">
        <v>93.036586778594696</v>
      </c>
      <c r="V20" s="6">
        <v>188.7874688656218</v>
      </c>
      <c r="W20" s="6">
        <v>2.0993625102192208</v>
      </c>
      <c r="X20" s="6">
        <v>609.91181147896486</v>
      </c>
      <c r="Y20" s="6">
        <v>800.79864285480585</v>
      </c>
      <c r="Z20" s="6">
        <v>17.120356109103149</v>
      </c>
      <c r="AA20" s="6">
        <v>817.91899896390896</v>
      </c>
      <c r="AB20" s="6">
        <v>0</v>
      </c>
      <c r="AC20" s="6">
        <v>23.30352400074441</v>
      </c>
      <c r="AD20" s="6">
        <v>0</v>
      </c>
      <c r="AE20" s="6">
        <v>0</v>
      </c>
      <c r="AF20" s="6">
        <v>841.22252296465342</v>
      </c>
      <c r="AG20" s="6">
        <v>15.750363288220321</v>
      </c>
      <c r="AH20" s="6">
        <v>8.4405133006136115</v>
      </c>
      <c r="AI20" s="6">
        <v>9.4965389115857288</v>
      </c>
      <c r="AJ20" s="6">
        <v>851.60641446432874</v>
      </c>
      <c r="AK20" s="6">
        <v>0</v>
      </c>
      <c r="AL20" s="6">
        <v>0</v>
      </c>
      <c r="AM20" s="6">
        <v>0</v>
      </c>
      <c r="AN20" s="6">
        <v>0</v>
      </c>
      <c r="AO20" s="6">
        <v>0</v>
      </c>
      <c r="AP20" s="6">
        <v>851.60641446432874</v>
      </c>
      <c r="AQ20" s="6">
        <v>1205.825645945579</v>
      </c>
      <c r="AR20" s="6">
        <v>126.216853</v>
      </c>
      <c r="AS20" s="6">
        <v>405.02700309077329</v>
      </c>
      <c r="AT20" s="6">
        <v>387.90664698167012</v>
      </c>
    </row>
    <row r="21" spans="1:46" x14ac:dyDescent="0.35">
      <c r="A21" s="5">
        <v>46022</v>
      </c>
      <c r="B21" s="4" t="s">
        <v>60</v>
      </c>
      <c r="C21" s="4" t="s">
        <v>61</v>
      </c>
      <c r="D21" s="4" t="s">
        <v>62</v>
      </c>
      <c r="E21" s="6">
        <v>2100</v>
      </c>
      <c r="F21" s="7">
        <v>0.55000000000000004</v>
      </c>
      <c r="G21" s="6">
        <v>68</v>
      </c>
      <c r="H21" s="6">
        <v>7.8540000000000001</v>
      </c>
      <c r="I21" s="6">
        <v>100</v>
      </c>
      <c r="J21" s="6">
        <v>7.8540000000000001</v>
      </c>
      <c r="K21" s="8">
        <v>21.751121402745795</v>
      </c>
      <c r="L21" s="6">
        <v>8.2838745795907016</v>
      </c>
      <c r="M21" s="6">
        <v>12.250491304880409</v>
      </c>
      <c r="N21" s="6">
        <v>3.8794147965918029</v>
      </c>
      <c r="O21" s="6">
        <v>42.298884122175487</v>
      </c>
      <c r="P21" s="6">
        <v>66.712664803238397</v>
      </c>
      <c r="Q21" s="6">
        <v>12.264390958870891</v>
      </c>
      <c r="R21" s="6">
        <v>5.5099215032528566</v>
      </c>
      <c r="S21" s="6">
        <v>15.39889879103653</v>
      </c>
      <c r="T21" s="6">
        <v>15.01744047509855</v>
      </c>
      <c r="U21" s="6">
        <v>48.190651728258828</v>
      </c>
      <c r="V21" s="6">
        <v>114.9033165314972</v>
      </c>
      <c r="W21" s="6">
        <v>6.2324977454403019</v>
      </c>
      <c r="X21" s="6">
        <v>483.71054620834741</v>
      </c>
      <c r="Y21" s="6">
        <v>604.84636048528489</v>
      </c>
      <c r="Z21" s="6">
        <v>71.929004787609585</v>
      </c>
      <c r="AA21" s="6">
        <v>676.77536527289453</v>
      </c>
      <c r="AB21" s="6">
        <v>3.8942245626769331E-2</v>
      </c>
      <c r="AC21" s="6">
        <v>31.049977772473479</v>
      </c>
      <c r="AD21" s="6">
        <v>0</v>
      </c>
      <c r="AE21" s="6">
        <v>0</v>
      </c>
      <c r="AF21" s="6">
        <v>707.86428529099476</v>
      </c>
      <c r="AG21" s="6">
        <v>0.98768530118792841</v>
      </c>
      <c r="AH21" s="6">
        <v>2.6882548111006659</v>
      </c>
      <c r="AI21" s="6">
        <v>0.62809605558228176</v>
      </c>
      <c r="AJ21" s="6">
        <v>681.11834368639222</v>
      </c>
      <c r="AK21" s="6">
        <v>0</v>
      </c>
      <c r="AL21" s="6">
        <v>0</v>
      </c>
      <c r="AM21" s="6">
        <v>0</v>
      </c>
      <c r="AN21" s="6">
        <v>0</v>
      </c>
      <c r="AO21" s="6">
        <v>0</v>
      </c>
      <c r="AP21" s="6">
        <v>681.11834368639222</v>
      </c>
      <c r="AQ21" s="6">
        <v>1205.9999989886601</v>
      </c>
      <c r="AR21" s="6">
        <v>682.37814400000002</v>
      </c>
      <c r="AS21" s="6">
        <v>601.15363850337485</v>
      </c>
      <c r="AT21" s="6">
        <v>529.22463371576521</v>
      </c>
    </row>
    <row r="22" spans="1:46" x14ac:dyDescent="0.35">
      <c r="A22" s="5">
        <v>46022</v>
      </c>
      <c r="B22" s="4" t="s">
        <v>80</v>
      </c>
      <c r="C22" s="4" t="s">
        <v>81</v>
      </c>
      <c r="D22" s="4" t="s">
        <v>62</v>
      </c>
      <c r="E22" s="6">
        <v>8450</v>
      </c>
      <c r="F22" s="7">
        <v>0.58260000000000001</v>
      </c>
      <c r="G22" s="6">
        <v>45</v>
      </c>
      <c r="H22" s="6">
        <v>22.152999999999999</v>
      </c>
      <c r="I22" s="6">
        <v>100</v>
      </c>
      <c r="J22" s="6">
        <v>22.152958000000002</v>
      </c>
      <c r="K22" s="8">
        <v>26.245287211490684</v>
      </c>
      <c r="L22" s="6">
        <v>43.689727152280973</v>
      </c>
      <c r="M22" s="6">
        <v>48.436653607400707</v>
      </c>
      <c r="N22" s="6">
        <v>11.44417452754128</v>
      </c>
      <c r="O22" s="6">
        <v>86.788133606061464</v>
      </c>
      <c r="P22" s="6">
        <v>190.35868889328441</v>
      </c>
      <c r="Q22" s="6">
        <v>9.8695125868319611</v>
      </c>
      <c r="R22" s="6">
        <v>60.194931354520058</v>
      </c>
      <c r="S22" s="6">
        <v>150.55757158735909</v>
      </c>
      <c r="T22" s="6">
        <v>108.0559530771548</v>
      </c>
      <c r="U22" s="6">
        <v>328.677968605866</v>
      </c>
      <c r="V22" s="6">
        <v>519.03665749915035</v>
      </c>
      <c r="W22" s="6">
        <v>39.311342282415907</v>
      </c>
      <c r="X22" s="6">
        <v>183.13037604793141</v>
      </c>
      <c r="Y22" s="6">
        <v>741.47837582949762</v>
      </c>
      <c r="Z22" s="6">
        <v>73.044972982962008</v>
      </c>
      <c r="AA22" s="6">
        <v>814.52334881245974</v>
      </c>
      <c r="AB22" s="6">
        <v>2.5285508975688291</v>
      </c>
      <c r="AC22" s="6">
        <v>292.88221225770809</v>
      </c>
      <c r="AD22" s="6">
        <v>0</v>
      </c>
      <c r="AE22" s="6">
        <v>0</v>
      </c>
      <c r="AF22" s="6">
        <v>1109.934111967737</v>
      </c>
      <c r="AG22" s="6">
        <v>5.1735895342782952</v>
      </c>
      <c r="AH22" s="6">
        <v>0</v>
      </c>
      <c r="AI22" s="6">
        <v>176.19140401426171</v>
      </c>
      <c r="AJ22" s="6">
        <v>998.41689325856851</v>
      </c>
      <c r="AK22" s="6">
        <v>0</v>
      </c>
      <c r="AL22" s="6">
        <v>0</v>
      </c>
      <c r="AM22" s="6">
        <v>0</v>
      </c>
      <c r="AN22" s="6">
        <v>0</v>
      </c>
      <c r="AO22" s="6">
        <v>0</v>
      </c>
      <c r="AP22" s="6">
        <v>998.41689325856851</v>
      </c>
      <c r="AQ22" s="6">
        <v>1206.0022854553231</v>
      </c>
      <c r="AR22" s="6">
        <v>1977.91065</v>
      </c>
      <c r="AS22" s="6">
        <v>464.52390962582513</v>
      </c>
      <c r="AT22" s="6">
        <v>391.47893664286312</v>
      </c>
    </row>
    <row r="23" spans="1:46" x14ac:dyDescent="0.35">
      <c r="A23" s="5">
        <v>46022</v>
      </c>
      <c r="B23" s="4" t="s">
        <v>82</v>
      </c>
      <c r="C23" s="4" t="s">
        <v>83</v>
      </c>
      <c r="D23" s="4" t="s">
        <v>84</v>
      </c>
      <c r="E23" s="6">
        <v>10033.333333</v>
      </c>
      <c r="F23" s="7">
        <v>1.06E-2</v>
      </c>
      <c r="G23" s="6">
        <v>48.69</v>
      </c>
      <c r="H23" s="6">
        <v>0.52</v>
      </c>
      <c r="I23" s="6">
        <v>50</v>
      </c>
      <c r="J23" s="6">
        <v>0.26</v>
      </c>
      <c r="K23" s="8">
        <v>0.706554433263203</v>
      </c>
      <c r="L23" s="6">
        <v>9.7574310714576313</v>
      </c>
      <c r="M23" s="6">
        <v>5.1793394696280322</v>
      </c>
      <c r="N23" s="6">
        <v>0.53882890268933725</v>
      </c>
      <c r="O23" s="6">
        <v>13.47779679906272</v>
      </c>
      <c r="P23" s="6">
        <v>28.953396242837719</v>
      </c>
      <c r="Q23" s="6">
        <v>4.1817738413935039</v>
      </c>
      <c r="R23" s="6">
        <v>10.94486314557186</v>
      </c>
      <c r="S23" s="6">
        <v>14.396160712900841</v>
      </c>
      <c r="T23" s="6">
        <v>6.7074477499826308</v>
      </c>
      <c r="U23" s="6">
        <v>36.230245449848837</v>
      </c>
      <c r="V23" s="6">
        <v>65.18364169268655</v>
      </c>
      <c r="W23" s="6">
        <v>40.638734658771263</v>
      </c>
      <c r="X23" s="6">
        <v>709.42429480348744</v>
      </c>
      <c r="Y23" s="6">
        <v>815.24667115494515</v>
      </c>
      <c r="Z23" s="6">
        <v>0</v>
      </c>
      <c r="AA23" s="6">
        <v>815.24667115494515</v>
      </c>
      <c r="AB23" s="6">
        <v>0</v>
      </c>
      <c r="AC23" s="6">
        <v>10.46124293324254</v>
      </c>
      <c r="AD23" s="6">
        <v>0</v>
      </c>
      <c r="AE23" s="6">
        <v>0</v>
      </c>
      <c r="AF23" s="6">
        <v>825.70791408818775</v>
      </c>
      <c r="AG23" s="6">
        <v>8.0121982911118934</v>
      </c>
      <c r="AH23" s="6">
        <v>0</v>
      </c>
      <c r="AI23" s="6">
        <v>138.09459543489831</v>
      </c>
      <c r="AJ23" s="6">
        <v>961.35346488095536</v>
      </c>
      <c r="AK23" s="6">
        <v>13.11612051302142</v>
      </c>
      <c r="AL23" s="6">
        <v>0</v>
      </c>
      <c r="AM23" s="6">
        <v>0</v>
      </c>
      <c r="AN23" s="6">
        <v>0</v>
      </c>
      <c r="AO23" s="6">
        <v>0</v>
      </c>
      <c r="AP23" s="6">
        <v>974.46958539397679</v>
      </c>
      <c r="AQ23" s="6">
        <v>1205.9999989886601</v>
      </c>
      <c r="AR23" s="6">
        <v>456.94987500000002</v>
      </c>
      <c r="AS23" s="6">
        <v>390.75332783371448</v>
      </c>
      <c r="AT23" s="6">
        <v>390.75332783371448</v>
      </c>
    </row>
    <row r="24" spans="1:46" x14ac:dyDescent="0.35">
      <c r="A24" s="5">
        <v>46022</v>
      </c>
      <c r="B24" s="4" t="s">
        <v>63</v>
      </c>
      <c r="C24" s="4" t="s">
        <v>64</v>
      </c>
      <c r="D24" s="4" t="s">
        <v>62</v>
      </c>
      <c r="E24" s="6">
        <v>7673.1501129999997</v>
      </c>
      <c r="F24" s="7">
        <v>1.1200000000000001</v>
      </c>
      <c r="G24" s="6">
        <v>72</v>
      </c>
      <c r="H24" s="6">
        <v>61.875999999999998</v>
      </c>
      <c r="I24" s="6">
        <v>63</v>
      </c>
      <c r="J24" s="6">
        <v>38.982058000000002</v>
      </c>
      <c r="K24" s="8">
        <v>29.542435700449072</v>
      </c>
      <c r="L24" s="6">
        <v>11.12497187545171</v>
      </c>
      <c r="M24" s="6">
        <v>11.360711271361779</v>
      </c>
      <c r="N24" s="6">
        <v>1.41457353446179</v>
      </c>
      <c r="O24" s="6">
        <v>20.538449992906809</v>
      </c>
      <c r="P24" s="6">
        <v>44.4387066741821</v>
      </c>
      <c r="Q24" s="6">
        <v>6.9427090553669073</v>
      </c>
      <c r="R24" s="6">
        <v>116.2905626333494</v>
      </c>
      <c r="S24" s="6">
        <v>13.60062590812672</v>
      </c>
      <c r="T24" s="6">
        <v>9.0910436819946892</v>
      </c>
      <c r="U24" s="6">
        <v>145.92494127883779</v>
      </c>
      <c r="V24" s="6">
        <v>190.36364795301989</v>
      </c>
      <c r="W24" s="6">
        <v>0</v>
      </c>
      <c r="X24" s="6">
        <v>415.42962592346379</v>
      </c>
      <c r="Y24" s="6">
        <v>605.79327387648368</v>
      </c>
      <c r="Z24" s="6">
        <v>80.737318969494169</v>
      </c>
      <c r="AA24" s="6">
        <v>686.53059284597794</v>
      </c>
      <c r="AB24" s="6">
        <v>5.2419400762072108</v>
      </c>
      <c r="AC24" s="6">
        <v>28.177665645532539</v>
      </c>
      <c r="AD24" s="6">
        <v>0</v>
      </c>
      <c r="AE24" s="6">
        <v>0</v>
      </c>
      <c r="AF24" s="6">
        <v>719.95019856771762</v>
      </c>
      <c r="AG24" s="6">
        <v>2.1437371624092041</v>
      </c>
      <c r="AH24" s="6">
        <v>0</v>
      </c>
      <c r="AI24" s="6">
        <v>0.75010411471235738</v>
      </c>
      <c r="AJ24" s="6">
        <v>694.66637419930657</v>
      </c>
      <c r="AK24" s="6">
        <v>31.969085978229881</v>
      </c>
      <c r="AL24" s="6">
        <v>0</v>
      </c>
      <c r="AM24" s="6">
        <v>0</v>
      </c>
      <c r="AN24" s="6">
        <v>0</v>
      </c>
      <c r="AO24" s="6">
        <v>0</v>
      </c>
      <c r="AP24" s="6">
        <v>726.63546017753652</v>
      </c>
      <c r="AQ24" s="6">
        <v>1206.0012983556651</v>
      </c>
      <c r="AR24" s="6">
        <v>2656.8439079999998</v>
      </c>
      <c r="AS24" s="6">
        <v>600.20802447918106</v>
      </c>
      <c r="AT24" s="6">
        <v>519.47070550968692</v>
      </c>
    </row>
    <row r="25" spans="1:46" x14ac:dyDescent="0.35">
      <c r="A25" s="5">
        <v>46022</v>
      </c>
      <c r="B25" s="4" t="s">
        <v>65</v>
      </c>
      <c r="C25" s="4" t="s">
        <v>66</v>
      </c>
      <c r="D25" s="4" t="s">
        <v>62</v>
      </c>
      <c r="E25" s="6">
        <v>4039.5137890000001</v>
      </c>
      <c r="F25" s="7">
        <v>6.1600000000000002E-2</v>
      </c>
      <c r="G25" s="6">
        <v>9.77</v>
      </c>
      <c r="H25" s="6">
        <v>0.24299999999999999</v>
      </c>
      <c r="I25" s="6">
        <v>70</v>
      </c>
      <c r="J25" s="6">
        <v>0.1701</v>
      </c>
      <c r="K25" s="8">
        <v>0.38386904494497398</v>
      </c>
      <c r="L25" s="6">
        <v>25.079227651504809</v>
      </c>
      <c r="M25" s="6">
        <v>61.704966388066751</v>
      </c>
      <c r="N25" s="6">
        <v>9.1651047074636693</v>
      </c>
      <c r="O25" s="6">
        <v>111.0291808204436</v>
      </c>
      <c r="P25" s="6">
        <v>206.97847956747881</v>
      </c>
      <c r="Q25" s="6">
        <v>14.6468088778769</v>
      </c>
      <c r="R25" s="6">
        <v>13.62771777586711</v>
      </c>
      <c r="S25" s="6">
        <v>37.574642655603917</v>
      </c>
      <c r="T25" s="6">
        <v>48.789672915716181</v>
      </c>
      <c r="U25" s="6">
        <v>114.6388422250641</v>
      </c>
      <c r="V25" s="6">
        <v>321.6173217925429</v>
      </c>
      <c r="W25" s="6">
        <v>13.093221099384801</v>
      </c>
      <c r="X25" s="6">
        <v>250</v>
      </c>
      <c r="Y25" s="6">
        <v>584.71054289192773</v>
      </c>
      <c r="Z25" s="6">
        <v>35.558523558759397</v>
      </c>
      <c r="AA25" s="6">
        <v>620.26906645068709</v>
      </c>
      <c r="AB25" s="6">
        <v>0</v>
      </c>
      <c r="AC25" s="6">
        <v>54.121186273135613</v>
      </c>
      <c r="AD25" s="6">
        <v>0</v>
      </c>
      <c r="AE25" s="6">
        <v>0</v>
      </c>
      <c r="AF25" s="6">
        <v>674.39025272382275</v>
      </c>
      <c r="AG25" s="6">
        <v>5.0033281130581111</v>
      </c>
      <c r="AH25" s="6">
        <v>0</v>
      </c>
      <c r="AI25" s="6">
        <v>12.19819663927391</v>
      </c>
      <c r="AJ25" s="6">
        <v>637.47059120301913</v>
      </c>
      <c r="AK25" s="6">
        <v>0</v>
      </c>
      <c r="AL25" s="6">
        <v>0</v>
      </c>
      <c r="AM25" s="6">
        <v>0</v>
      </c>
      <c r="AN25" s="6">
        <v>0</v>
      </c>
      <c r="AO25" s="6">
        <v>0</v>
      </c>
      <c r="AP25" s="6">
        <v>637.47059120301913</v>
      </c>
      <c r="AQ25" s="6">
        <v>1205.9999989886601</v>
      </c>
      <c r="AR25" s="6">
        <v>992.50215700000001</v>
      </c>
      <c r="AS25" s="6">
        <v>621.28945609673201</v>
      </c>
      <c r="AT25" s="6">
        <v>585.73093253797265</v>
      </c>
    </row>
    <row r="26" spans="1:46" x14ac:dyDescent="0.35">
      <c r="A26" s="5">
        <v>46022</v>
      </c>
      <c r="B26" s="4" t="s">
        <v>87</v>
      </c>
      <c r="C26" s="4" t="s">
        <v>88</v>
      </c>
      <c r="D26" s="4" t="s">
        <v>89</v>
      </c>
      <c r="E26" s="6">
        <v>880</v>
      </c>
      <c r="F26" s="7">
        <v>0.03</v>
      </c>
      <c r="G26" s="6">
        <v>44.5</v>
      </c>
      <c r="H26" s="6">
        <v>0.11700000000000001</v>
      </c>
      <c r="I26" s="6">
        <v>100</v>
      </c>
      <c r="J26" s="6">
        <v>0.11748</v>
      </c>
      <c r="K26" s="8">
        <v>0.57146840577745195</v>
      </c>
      <c r="L26" s="6">
        <v>72.63533304695423</v>
      </c>
      <c r="M26" s="6">
        <v>5.4744983826075853</v>
      </c>
      <c r="N26" s="6">
        <v>15.28844947483034</v>
      </c>
      <c r="O26" s="6">
        <v>184.81836623030219</v>
      </c>
      <c r="P26" s="6">
        <v>278.21664713469443</v>
      </c>
      <c r="Q26" s="6">
        <v>31.352409475981069</v>
      </c>
      <c r="R26" s="6">
        <v>21.433394211365059</v>
      </c>
      <c r="S26" s="6">
        <v>22.000123859157029</v>
      </c>
      <c r="T26" s="6">
        <v>39.975157778396913</v>
      </c>
      <c r="U26" s="6">
        <v>114.76108532490009</v>
      </c>
      <c r="V26" s="6">
        <v>392.97773245959439</v>
      </c>
      <c r="W26" s="6">
        <v>82.772244688595066</v>
      </c>
      <c r="X26" s="6">
        <v>722.97483254596534</v>
      </c>
      <c r="Y26" s="6">
        <v>1198.7248096941551</v>
      </c>
      <c r="Z26" s="6">
        <v>0</v>
      </c>
      <c r="AA26" s="6">
        <v>1198.7248096941551</v>
      </c>
      <c r="AB26" s="6">
        <v>0</v>
      </c>
      <c r="AC26" s="6">
        <v>75.648070824671535</v>
      </c>
      <c r="AD26" s="6">
        <v>0</v>
      </c>
      <c r="AE26" s="6">
        <v>0</v>
      </c>
      <c r="AF26" s="6">
        <v>1274.3728805188259</v>
      </c>
      <c r="AG26" s="6">
        <v>3.3499385372283941</v>
      </c>
      <c r="AH26" s="6">
        <v>0</v>
      </c>
      <c r="AI26" s="6">
        <v>42.897927940785898</v>
      </c>
      <c r="AJ26" s="6">
        <v>1244.972676172169</v>
      </c>
      <c r="AK26" s="6">
        <v>0</v>
      </c>
      <c r="AL26" s="6">
        <v>0</v>
      </c>
      <c r="AM26" s="6">
        <v>0</v>
      </c>
      <c r="AN26" s="6">
        <v>0</v>
      </c>
      <c r="AO26" s="6">
        <v>0</v>
      </c>
      <c r="AP26" s="6">
        <v>1244.972676172169</v>
      </c>
      <c r="AQ26" s="6">
        <v>1206.205310530878</v>
      </c>
      <c r="AR26" s="6">
        <v>277.34097500000001</v>
      </c>
      <c r="AS26" s="6">
        <v>7.4805008367229604</v>
      </c>
      <c r="AT26" s="6">
        <v>7.4805008367229604</v>
      </c>
    </row>
    <row r="27" spans="1:46" x14ac:dyDescent="0.35">
      <c r="A27" s="5">
        <v>46022</v>
      </c>
      <c r="B27" s="4" t="s">
        <v>90</v>
      </c>
      <c r="C27" s="4" t="s">
        <v>91</v>
      </c>
      <c r="D27" s="4" t="s">
        <v>62</v>
      </c>
      <c r="E27" s="6">
        <v>8200</v>
      </c>
      <c r="F27" s="7">
        <v>0.32200000000000001</v>
      </c>
      <c r="G27" s="6">
        <v>85</v>
      </c>
      <c r="H27" s="6">
        <v>22.443000000000001</v>
      </c>
      <c r="I27" s="6">
        <v>69.5</v>
      </c>
      <c r="J27" s="6">
        <v>15.598163</v>
      </c>
      <c r="K27" s="8">
        <v>30.14087161440262</v>
      </c>
      <c r="L27" s="6">
        <v>3.5524714017430981</v>
      </c>
      <c r="M27" s="6">
        <v>0.59948741008424811</v>
      </c>
      <c r="N27" s="6">
        <v>6.2522921691745461</v>
      </c>
      <c r="O27" s="6">
        <v>0.44167006743192933</v>
      </c>
      <c r="P27" s="6">
        <v>10.845921048433819</v>
      </c>
      <c r="Q27" s="6">
        <v>3.7862362742163049</v>
      </c>
      <c r="R27" s="6">
        <v>29.33987406434132</v>
      </c>
      <c r="S27" s="6">
        <v>59.803853504529741</v>
      </c>
      <c r="T27" s="6">
        <v>4.1758779354427444</v>
      </c>
      <c r="U27" s="6">
        <v>97.105841778530106</v>
      </c>
      <c r="V27" s="6">
        <v>107.9517628269639</v>
      </c>
      <c r="W27" s="6">
        <v>26.358142688720431</v>
      </c>
      <c r="X27" s="6">
        <v>0</v>
      </c>
      <c r="Y27" s="6">
        <v>134.30990551568439</v>
      </c>
      <c r="Z27" s="6">
        <v>84.709587527215646</v>
      </c>
      <c r="AA27" s="6">
        <v>219.0194930429</v>
      </c>
      <c r="AB27" s="6">
        <v>0</v>
      </c>
      <c r="AC27" s="6">
        <v>53.868044114586098</v>
      </c>
      <c r="AD27" s="6">
        <v>0</v>
      </c>
      <c r="AE27" s="6">
        <v>0</v>
      </c>
      <c r="AF27" s="6">
        <v>272.88753715748612</v>
      </c>
      <c r="AG27" s="6">
        <v>24.08656466794282</v>
      </c>
      <c r="AH27" s="6">
        <v>0</v>
      </c>
      <c r="AI27" s="6">
        <v>10.795179157591059</v>
      </c>
      <c r="AJ27" s="6">
        <v>253.9012368684339</v>
      </c>
      <c r="AK27" s="6">
        <v>0</v>
      </c>
      <c r="AL27" s="6">
        <v>0</v>
      </c>
      <c r="AM27" s="6">
        <v>0</v>
      </c>
      <c r="AN27" s="6">
        <v>0</v>
      </c>
      <c r="AO27" s="6">
        <v>0</v>
      </c>
      <c r="AP27" s="6">
        <v>253.9012368684339</v>
      </c>
      <c r="AQ27" s="6">
        <v>1206.0028597101409</v>
      </c>
      <c r="AR27" s="6">
        <v>1373.7575240000001</v>
      </c>
      <c r="AS27" s="6">
        <v>1071.6929541944569</v>
      </c>
      <c r="AT27" s="6">
        <v>986.98336666724094</v>
      </c>
    </row>
    <row r="28" spans="1:46" x14ac:dyDescent="0.35">
      <c r="A28" s="5">
        <v>46022</v>
      </c>
      <c r="B28" s="4" t="s">
        <v>92</v>
      </c>
      <c r="C28" s="4" t="s">
        <v>93</v>
      </c>
      <c r="D28" s="4" t="s">
        <v>94</v>
      </c>
      <c r="E28" s="6">
        <v>2780</v>
      </c>
      <c r="F28" s="7">
        <v>0.01</v>
      </c>
      <c r="G28" s="6">
        <v>60</v>
      </c>
      <c r="H28" s="6">
        <v>0.16700000000000001</v>
      </c>
      <c r="I28" s="6">
        <v>90</v>
      </c>
      <c r="J28" s="6">
        <v>0.15012</v>
      </c>
      <c r="K28" s="8">
        <v>1.0979561324016309</v>
      </c>
      <c r="L28" s="6">
        <v>220.53187199778611</v>
      </c>
      <c r="M28" s="6">
        <v>41.546995012326057</v>
      </c>
      <c r="N28" s="6">
        <v>113.5137060957011</v>
      </c>
      <c r="O28" s="6">
        <v>249.4942207480515</v>
      </c>
      <c r="P28" s="6">
        <v>625.08679385386483</v>
      </c>
      <c r="Q28" s="6">
        <v>8.0863688642229263</v>
      </c>
      <c r="R28" s="6">
        <v>22.153375900043571</v>
      </c>
      <c r="S28" s="6">
        <v>205.77456608064659</v>
      </c>
      <c r="T28" s="6">
        <v>8.324046457084048</v>
      </c>
      <c r="U28" s="6">
        <v>244.33835730199709</v>
      </c>
      <c r="V28" s="6">
        <v>869.42515115586195</v>
      </c>
      <c r="W28" s="6">
        <v>11.75832835870086</v>
      </c>
      <c r="X28" s="6">
        <v>120.45924446775911</v>
      </c>
      <c r="Y28" s="6">
        <v>1001.642723982322</v>
      </c>
      <c r="Z28" s="6">
        <v>45.140794440155972</v>
      </c>
      <c r="AA28" s="6">
        <v>1046.783518422478</v>
      </c>
      <c r="AB28" s="6">
        <v>0</v>
      </c>
      <c r="AC28" s="6">
        <v>187.83931956087261</v>
      </c>
      <c r="AD28" s="6">
        <v>0</v>
      </c>
      <c r="AE28" s="6">
        <v>0</v>
      </c>
      <c r="AF28" s="6">
        <v>1234.6228379833501</v>
      </c>
      <c r="AG28" s="6">
        <v>22.038516688468839</v>
      </c>
      <c r="AH28" s="6">
        <v>0</v>
      </c>
      <c r="AI28" s="6">
        <v>179.6155881547198</v>
      </c>
      <c r="AJ28" s="6">
        <v>1248.4376232656659</v>
      </c>
      <c r="AK28" s="6">
        <v>0</v>
      </c>
      <c r="AL28" s="6">
        <v>0</v>
      </c>
      <c r="AM28" s="6">
        <v>0</v>
      </c>
      <c r="AN28" s="6">
        <v>0</v>
      </c>
      <c r="AO28" s="6">
        <v>0</v>
      </c>
      <c r="AP28" s="6">
        <v>1248.4376232656659</v>
      </c>
      <c r="AQ28" s="6">
        <v>1205.839327525965</v>
      </c>
      <c r="AR28" s="6">
        <v>359.52989200000002</v>
      </c>
      <c r="AS28" s="6">
        <v>204.19660354364279</v>
      </c>
      <c r="AT28" s="6">
        <v>159.05580910348681</v>
      </c>
    </row>
    <row r="29" spans="1:46" x14ac:dyDescent="0.35">
      <c r="A29" s="5">
        <v>46022</v>
      </c>
      <c r="B29" s="4" t="s">
        <v>102</v>
      </c>
      <c r="C29" s="4" t="s">
        <v>103</v>
      </c>
      <c r="D29" s="4" t="s">
        <v>104</v>
      </c>
      <c r="E29" s="6">
        <v>3500</v>
      </c>
      <c r="F29" s="7">
        <v>0.12</v>
      </c>
      <c r="G29" s="6">
        <v>82</v>
      </c>
      <c r="H29" s="6">
        <v>3.444</v>
      </c>
      <c r="I29" s="6">
        <v>100</v>
      </c>
      <c r="J29" s="6">
        <v>3.444</v>
      </c>
      <c r="K29" s="8">
        <v>15.844367110404336</v>
      </c>
      <c r="L29" s="6">
        <v>1.665995250751346</v>
      </c>
      <c r="M29" s="6">
        <v>17.77688180878063</v>
      </c>
      <c r="N29" s="6">
        <v>2.3314463597866118E-2</v>
      </c>
      <c r="O29" s="6">
        <v>1.673169961873552</v>
      </c>
      <c r="P29" s="6">
        <v>21.139361485003391</v>
      </c>
      <c r="Q29" s="6">
        <v>2.7263235797747432</v>
      </c>
      <c r="R29" s="6">
        <v>9.7368011943195842</v>
      </c>
      <c r="S29" s="6">
        <v>8.6888846651400602</v>
      </c>
      <c r="T29" s="6">
        <v>6.1188532931136894</v>
      </c>
      <c r="U29" s="6">
        <v>27.270862732348078</v>
      </c>
      <c r="V29" s="6">
        <v>48.41022421735147</v>
      </c>
      <c r="W29" s="6">
        <v>109.1397900748418</v>
      </c>
      <c r="X29" s="6">
        <v>233.95003500000001</v>
      </c>
      <c r="Y29" s="6">
        <v>391.5000492921933</v>
      </c>
      <c r="Z29" s="6">
        <v>67.96803111132796</v>
      </c>
      <c r="AA29" s="6">
        <v>459.46808040352118</v>
      </c>
      <c r="AB29" s="6">
        <v>0.60864532763874946</v>
      </c>
      <c r="AC29" s="6">
        <v>6.8556528506814063</v>
      </c>
      <c r="AD29" s="6">
        <v>0</v>
      </c>
      <c r="AE29" s="6">
        <v>0</v>
      </c>
      <c r="AF29" s="6">
        <v>466.93237858184142</v>
      </c>
      <c r="AG29" s="6">
        <v>1.6875881610399861</v>
      </c>
      <c r="AH29" s="6">
        <v>0</v>
      </c>
      <c r="AI29" s="6">
        <v>5.2169599077146147</v>
      </c>
      <c r="AJ29" s="6">
        <v>466.98127379991462</v>
      </c>
      <c r="AK29" s="6">
        <v>20.867840848149122</v>
      </c>
      <c r="AL29" s="6">
        <v>0</v>
      </c>
      <c r="AM29" s="6">
        <v>0</v>
      </c>
      <c r="AN29" s="6">
        <v>0</v>
      </c>
      <c r="AO29" s="6">
        <v>0</v>
      </c>
      <c r="AP29" s="6">
        <v>487.84911464806368</v>
      </c>
      <c r="AQ29" s="6">
        <v>1205.9999989886601</v>
      </c>
      <c r="AR29" s="6">
        <v>651.41373399999998</v>
      </c>
      <c r="AS29" s="6">
        <v>814.4999496964665</v>
      </c>
      <c r="AT29" s="6">
        <v>746.53191858513856</v>
      </c>
    </row>
    <row r="30" spans="1:46" x14ac:dyDescent="0.35">
      <c r="A30" s="5">
        <v>46022</v>
      </c>
      <c r="B30" s="4" t="s">
        <v>110</v>
      </c>
      <c r="C30" s="4" t="s">
        <v>111</v>
      </c>
      <c r="D30" s="4" t="s">
        <v>54</v>
      </c>
      <c r="E30" s="6">
        <v>564.02439800000002</v>
      </c>
      <c r="F30" s="7">
        <v>5.3499999999999999E-2</v>
      </c>
      <c r="G30" s="6">
        <v>70</v>
      </c>
      <c r="H30" s="6">
        <v>0.21099999999999999</v>
      </c>
      <c r="I30" s="6">
        <v>30</v>
      </c>
      <c r="J30" s="6">
        <v>6.3377000000000003E-2</v>
      </c>
      <c r="K30" s="8">
        <v>1.4524552419962371</v>
      </c>
      <c r="L30" s="6">
        <v>27.568309271934599</v>
      </c>
      <c r="M30" s="6">
        <v>32.119759022007393</v>
      </c>
      <c r="N30" s="6">
        <v>17.14790767975758</v>
      </c>
      <c r="O30" s="6">
        <v>65.158639145933904</v>
      </c>
      <c r="P30" s="6">
        <v>141.99461511963349</v>
      </c>
      <c r="Q30" s="6">
        <v>5.1716766402068801</v>
      </c>
      <c r="R30" s="6">
        <v>10.24771862451464</v>
      </c>
      <c r="S30" s="6">
        <v>26.582265604726249</v>
      </c>
      <c r="T30" s="6">
        <v>36.663920814426902</v>
      </c>
      <c r="U30" s="6">
        <v>78.665581683874663</v>
      </c>
      <c r="V30" s="6">
        <v>220.66019680350809</v>
      </c>
      <c r="W30" s="6">
        <v>97.99670864750145</v>
      </c>
      <c r="X30" s="6">
        <v>590.10957866380306</v>
      </c>
      <c r="Y30" s="6">
        <v>908.76648411481267</v>
      </c>
      <c r="Z30" s="6">
        <v>34.310493734192193</v>
      </c>
      <c r="AA30" s="6">
        <v>943.07697784900495</v>
      </c>
      <c r="AB30" s="6">
        <v>3.1185891971980482</v>
      </c>
      <c r="AC30" s="6">
        <v>242.02458375168979</v>
      </c>
      <c r="AD30" s="6">
        <v>0</v>
      </c>
      <c r="AE30" s="6">
        <v>0</v>
      </c>
      <c r="AF30" s="6">
        <v>1188.220150797893</v>
      </c>
      <c r="AG30" s="6">
        <v>44.710875576453127</v>
      </c>
      <c r="AH30" s="6">
        <v>0</v>
      </c>
      <c r="AI30" s="6">
        <v>49.897415428768667</v>
      </c>
      <c r="AJ30" s="6">
        <v>1040.8038580514251</v>
      </c>
      <c r="AK30" s="6">
        <v>0</v>
      </c>
      <c r="AL30" s="6">
        <v>0</v>
      </c>
      <c r="AM30" s="6">
        <v>0</v>
      </c>
      <c r="AN30" s="6">
        <v>0</v>
      </c>
      <c r="AO30" s="6">
        <v>0</v>
      </c>
      <c r="AP30" s="6">
        <v>1040.8038580514251</v>
      </c>
      <c r="AQ30" s="6">
        <v>1206.4376656497</v>
      </c>
      <c r="AR30" s="6">
        <v>66.011842000000001</v>
      </c>
      <c r="AS30" s="6">
        <v>297.67118153488701</v>
      </c>
      <c r="AT30" s="6">
        <v>263.36068780069479</v>
      </c>
    </row>
    <row r="31" spans="1:46" x14ac:dyDescent="0.35">
      <c r="A31" s="5">
        <v>46022</v>
      </c>
      <c r="B31" s="4" t="s">
        <v>134</v>
      </c>
      <c r="C31" s="4" t="s">
        <v>135</v>
      </c>
      <c r="D31" s="4" t="s">
        <v>136</v>
      </c>
      <c r="E31" s="6">
        <v>3850.0167390000001</v>
      </c>
      <c r="F31" s="7">
        <v>8.6599999999999996E-2</v>
      </c>
      <c r="G31" s="6">
        <v>68.959999999999994</v>
      </c>
      <c r="H31" s="6">
        <v>2.2999999999999998</v>
      </c>
      <c r="I31" s="6">
        <v>99.99</v>
      </c>
      <c r="J31" s="6">
        <v>2.2997700000000001</v>
      </c>
      <c r="K31" s="8">
        <v>9.6040422256875289</v>
      </c>
      <c r="L31" s="6">
        <v>317.40453146682268</v>
      </c>
      <c r="M31" s="6">
        <v>85.430120720052628</v>
      </c>
      <c r="N31" s="6">
        <v>10.97525871064396</v>
      </c>
      <c r="O31" s="6">
        <v>154.66447873417189</v>
      </c>
      <c r="P31" s="6">
        <v>568.47438963169134</v>
      </c>
      <c r="Q31" s="6">
        <v>147.4356794115071</v>
      </c>
      <c r="R31" s="6">
        <v>165.98776713258491</v>
      </c>
      <c r="S31" s="6">
        <v>101.6019778551145</v>
      </c>
      <c r="T31" s="6">
        <v>119.9308000179264</v>
      </c>
      <c r="U31" s="6">
        <v>534.95622441713294</v>
      </c>
      <c r="V31" s="6">
        <v>1103.4306140488241</v>
      </c>
      <c r="W31" s="6">
        <v>15.849560024711691</v>
      </c>
      <c r="X31" s="6">
        <v>47.430932165484172</v>
      </c>
      <c r="Y31" s="6">
        <v>1166.71110623902</v>
      </c>
      <c r="Z31" s="6">
        <v>31.343975675860101</v>
      </c>
      <c r="AA31" s="6">
        <v>1198.05508191488</v>
      </c>
      <c r="AB31" s="6">
        <v>0</v>
      </c>
      <c r="AC31" s="6">
        <v>85.452742507258918</v>
      </c>
      <c r="AD31" s="6">
        <v>0</v>
      </c>
      <c r="AE31" s="6">
        <v>0</v>
      </c>
      <c r="AF31" s="6">
        <v>1283.507824422139</v>
      </c>
      <c r="AG31" s="6">
        <v>6.864722219133129</v>
      </c>
      <c r="AH31" s="6">
        <v>0</v>
      </c>
      <c r="AI31" s="6">
        <v>50.739675483042731</v>
      </c>
      <c r="AJ31" s="6">
        <v>1255.6594796170559</v>
      </c>
      <c r="AK31" s="6">
        <v>0</v>
      </c>
      <c r="AL31" s="6">
        <v>0</v>
      </c>
      <c r="AM31" s="6">
        <v>0</v>
      </c>
      <c r="AN31" s="6">
        <v>0</v>
      </c>
      <c r="AO31" s="6">
        <v>0</v>
      </c>
      <c r="AP31" s="6">
        <v>1255.6594796170559</v>
      </c>
      <c r="AQ31" s="6">
        <v>1206.0157309966301</v>
      </c>
      <c r="AR31" s="6">
        <v>636.49511500000006</v>
      </c>
      <c r="AS31" s="6">
        <v>39.304624757609837</v>
      </c>
      <c r="AT31" s="6">
        <v>7.9606490817497404</v>
      </c>
    </row>
    <row r="32" spans="1:46" x14ac:dyDescent="0.35">
      <c r="A32" s="5">
        <v>46022</v>
      </c>
      <c r="B32" s="4" t="s">
        <v>112</v>
      </c>
      <c r="C32" s="4" t="s">
        <v>113</v>
      </c>
      <c r="D32" s="4" t="s">
        <v>62</v>
      </c>
      <c r="E32" s="6">
        <v>1230.1587300000001</v>
      </c>
      <c r="F32" s="7">
        <v>0.87</v>
      </c>
      <c r="G32" s="6">
        <v>81</v>
      </c>
      <c r="H32" s="6">
        <v>8.6690000000000005</v>
      </c>
      <c r="I32" s="6">
        <v>70</v>
      </c>
      <c r="J32" s="6">
        <v>6.0682499999999999</v>
      </c>
      <c r="K32" s="8">
        <v>32.157078267180907</v>
      </c>
      <c r="L32" s="6">
        <v>91.178644879895472</v>
      </c>
      <c r="M32" s="6">
        <v>12.08621567423471</v>
      </c>
      <c r="N32" s="6">
        <v>22.22111056673657</v>
      </c>
      <c r="O32" s="6">
        <v>88.641939099950093</v>
      </c>
      <c r="P32" s="6">
        <v>214.1279102208168</v>
      </c>
      <c r="Q32" s="6">
        <v>28.703702908651771</v>
      </c>
      <c r="R32" s="6">
        <v>3.5249567488378322</v>
      </c>
      <c r="S32" s="6">
        <v>26.389786490230659</v>
      </c>
      <c r="T32" s="6">
        <v>29.176922947667279</v>
      </c>
      <c r="U32" s="6">
        <v>87.795369095387557</v>
      </c>
      <c r="V32" s="6">
        <v>301.9232793162044</v>
      </c>
      <c r="W32" s="6">
        <v>62.877418717112242</v>
      </c>
      <c r="X32" s="6">
        <v>259.99785770197337</v>
      </c>
      <c r="Y32" s="6">
        <v>624.79855573529005</v>
      </c>
      <c r="Z32" s="6">
        <v>107.83784656624719</v>
      </c>
      <c r="AA32" s="6">
        <v>732.63640230153715</v>
      </c>
      <c r="AB32" s="6">
        <v>0</v>
      </c>
      <c r="AC32" s="6">
        <v>111.84820178030169</v>
      </c>
      <c r="AD32" s="6">
        <v>0</v>
      </c>
      <c r="AE32" s="6">
        <v>0</v>
      </c>
      <c r="AF32" s="6">
        <v>844.48460408183894</v>
      </c>
      <c r="AG32" s="6">
        <v>18.50843060593072</v>
      </c>
      <c r="AH32" s="6">
        <v>0</v>
      </c>
      <c r="AI32" s="6">
        <v>19.229538368679261</v>
      </c>
      <c r="AJ32" s="6">
        <v>770.37437127614714</v>
      </c>
      <c r="AK32" s="6">
        <v>0</v>
      </c>
      <c r="AL32" s="6">
        <v>0</v>
      </c>
      <c r="AM32" s="6">
        <v>0</v>
      </c>
      <c r="AN32" s="6">
        <v>0</v>
      </c>
      <c r="AO32" s="6">
        <v>0</v>
      </c>
      <c r="AP32" s="6">
        <v>770.37437127614714</v>
      </c>
      <c r="AQ32" s="6">
        <v>1205.9900620216681</v>
      </c>
      <c r="AR32" s="6">
        <v>439.05278199999998</v>
      </c>
      <c r="AS32" s="6">
        <v>581.19150628637772</v>
      </c>
      <c r="AT32" s="6">
        <v>473.35365972013051</v>
      </c>
    </row>
    <row r="33" spans="1:46" x14ac:dyDescent="0.35">
      <c r="A33" s="5">
        <v>46022</v>
      </c>
      <c r="B33" s="4" t="s">
        <v>105</v>
      </c>
      <c r="C33" s="4" t="s">
        <v>106</v>
      </c>
      <c r="D33" s="4" t="s">
        <v>62</v>
      </c>
      <c r="E33" s="6">
        <v>2500</v>
      </c>
      <c r="F33" s="7">
        <v>0.6</v>
      </c>
      <c r="G33" s="6">
        <v>70.2</v>
      </c>
      <c r="H33" s="6">
        <v>10.53</v>
      </c>
      <c r="I33" s="6">
        <v>95</v>
      </c>
      <c r="J33" s="6">
        <v>10.003500000000001</v>
      </c>
      <c r="K33" s="8">
        <v>38.713268672936238</v>
      </c>
      <c r="L33" s="6">
        <v>53.920830608228627</v>
      </c>
      <c r="M33" s="6">
        <v>31.233038856874501</v>
      </c>
      <c r="N33" s="6">
        <v>9.3524791074021554</v>
      </c>
      <c r="O33" s="6">
        <v>92.404279149440313</v>
      </c>
      <c r="P33" s="6">
        <v>186.91062772194559</v>
      </c>
      <c r="Q33" s="6">
        <v>58.911205278765479</v>
      </c>
      <c r="R33" s="6">
        <v>19.56319838818079</v>
      </c>
      <c r="S33" s="6">
        <v>35.302066459731179</v>
      </c>
      <c r="T33" s="6">
        <v>4.769624965739701</v>
      </c>
      <c r="U33" s="6">
        <v>118.5460950924172</v>
      </c>
      <c r="V33" s="6">
        <v>305.45672281436282</v>
      </c>
      <c r="W33" s="6">
        <v>49.402715278715583</v>
      </c>
      <c r="X33" s="6">
        <v>300</v>
      </c>
      <c r="Y33" s="6">
        <v>654.85943809307832</v>
      </c>
      <c r="Z33" s="6">
        <v>110.07446265892089</v>
      </c>
      <c r="AA33" s="6">
        <v>764.9339007519992</v>
      </c>
      <c r="AB33" s="6">
        <v>0</v>
      </c>
      <c r="AC33" s="6">
        <v>193.27800212906769</v>
      </c>
      <c r="AD33" s="6">
        <v>0</v>
      </c>
      <c r="AE33" s="6">
        <v>0</v>
      </c>
      <c r="AF33" s="6">
        <v>958.21190288106686</v>
      </c>
      <c r="AG33" s="6">
        <v>2.1740139964122922</v>
      </c>
      <c r="AH33" s="6">
        <v>0</v>
      </c>
      <c r="AI33" s="6">
        <v>95.876767635303025</v>
      </c>
      <c r="AJ33" s="6">
        <v>862.98468238371447</v>
      </c>
      <c r="AK33" s="6">
        <v>0</v>
      </c>
      <c r="AL33" s="6">
        <v>0</v>
      </c>
      <c r="AM33" s="6">
        <v>0</v>
      </c>
      <c r="AN33" s="6">
        <v>0</v>
      </c>
      <c r="AO33" s="6">
        <v>0</v>
      </c>
      <c r="AP33" s="6">
        <v>862.98468238371447</v>
      </c>
      <c r="AQ33" s="6">
        <v>1205.9999989886601</v>
      </c>
      <c r="AR33" s="6">
        <v>579.03136700000005</v>
      </c>
      <c r="AS33" s="6">
        <v>551.1405608955813</v>
      </c>
      <c r="AT33" s="6">
        <v>441.06609823666042</v>
      </c>
    </row>
    <row r="34" spans="1:46" x14ac:dyDescent="0.35">
      <c r="A34" s="5">
        <v>46022</v>
      </c>
      <c r="B34" s="4" t="s">
        <v>114</v>
      </c>
      <c r="C34" s="4" t="s">
        <v>115</v>
      </c>
      <c r="D34" s="4" t="s">
        <v>54</v>
      </c>
      <c r="E34" s="6">
        <v>1955.4754399999999</v>
      </c>
      <c r="F34" s="7">
        <v>0.12</v>
      </c>
      <c r="G34" s="6">
        <v>37</v>
      </c>
      <c r="H34" s="6">
        <v>0.86799999999999999</v>
      </c>
      <c r="I34" s="6">
        <v>15</v>
      </c>
      <c r="J34" s="6">
        <v>0.13023499999999999</v>
      </c>
      <c r="K34" s="8">
        <v>2.4879225828161831</v>
      </c>
      <c r="L34" s="6">
        <v>361.74130300536041</v>
      </c>
      <c r="M34" s="6">
        <v>234.17344986635501</v>
      </c>
      <c r="N34" s="6">
        <v>42.644227968350712</v>
      </c>
      <c r="O34" s="6">
        <v>78.473926915744443</v>
      </c>
      <c r="P34" s="6">
        <v>717.03290775581058</v>
      </c>
      <c r="Q34" s="6">
        <v>180.62425390923511</v>
      </c>
      <c r="R34" s="6">
        <v>26.81301949925157</v>
      </c>
      <c r="S34" s="6">
        <v>144.53332251002109</v>
      </c>
      <c r="T34" s="6">
        <v>61.981021068683809</v>
      </c>
      <c r="U34" s="6">
        <v>413.95161698719153</v>
      </c>
      <c r="V34" s="6">
        <v>1130.9845247430021</v>
      </c>
      <c r="W34" s="6">
        <v>5.0868914037148478</v>
      </c>
      <c r="X34" s="6">
        <v>499.86562751948401</v>
      </c>
      <c r="Y34" s="6">
        <v>1635.9370436662009</v>
      </c>
      <c r="Z34" s="6">
        <v>75.311146688348771</v>
      </c>
      <c r="AA34" s="6">
        <v>1711.2481903545499</v>
      </c>
      <c r="AB34" s="6">
        <v>0</v>
      </c>
      <c r="AC34" s="6">
        <v>42.67013601912798</v>
      </c>
      <c r="AD34" s="6">
        <v>0</v>
      </c>
      <c r="AE34" s="6">
        <v>0</v>
      </c>
      <c r="AF34" s="6">
        <v>1753.9183263736779</v>
      </c>
      <c r="AG34" s="6">
        <v>11.8101569884896</v>
      </c>
      <c r="AH34" s="6">
        <v>0</v>
      </c>
      <c r="AI34" s="6">
        <v>34.807203580419568</v>
      </c>
      <c r="AJ34" s="6">
        <v>1757.8655509234591</v>
      </c>
      <c r="AK34" s="6">
        <v>0</v>
      </c>
      <c r="AL34" s="6">
        <v>0</v>
      </c>
      <c r="AM34" s="6">
        <v>0</v>
      </c>
      <c r="AN34" s="6">
        <v>0</v>
      </c>
      <c r="AO34" s="6">
        <v>0</v>
      </c>
      <c r="AP34" s="6">
        <v>1757.8655509234591</v>
      </c>
      <c r="AQ34" s="6">
        <v>1205.6758925659269</v>
      </c>
      <c r="AR34" s="6">
        <v>86.912203000000005</v>
      </c>
      <c r="AS34" s="6">
        <v>-430.26115110027399</v>
      </c>
      <c r="AT34" s="6">
        <v>-505.57229778862279</v>
      </c>
    </row>
    <row r="35" spans="1:46" x14ac:dyDescent="0.35">
      <c r="A35" s="5">
        <v>46022</v>
      </c>
      <c r="B35" s="4" t="s">
        <v>116</v>
      </c>
      <c r="C35" s="4" t="s">
        <v>117</v>
      </c>
      <c r="D35" s="4" t="s">
        <v>118</v>
      </c>
      <c r="E35" s="6">
        <v>33740</v>
      </c>
      <c r="F35" s="7">
        <v>0.02</v>
      </c>
      <c r="G35" s="6">
        <v>70</v>
      </c>
      <c r="H35" s="6">
        <v>4.7236000000000002</v>
      </c>
      <c r="I35" s="6">
        <v>91</v>
      </c>
      <c r="J35" s="6">
        <v>4.298476</v>
      </c>
      <c r="K35" s="8">
        <v>0.63296859948285999</v>
      </c>
      <c r="L35" s="6">
        <v>70.25909422570102</v>
      </c>
      <c r="M35" s="6">
        <v>6.4465260865350951</v>
      </c>
      <c r="N35" s="6">
        <v>4.0524691855590644</v>
      </c>
      <c r="O35" s="6">
        <v>64.658806732206472</v>
      </c>
      <c r="P35" s="6">
        <v>145.4168962300017</v>
      </c>
      <c r="Q35" s="6">
        <v>4.4216642781554301</v>
      </c>
      <c r="R35" s="6">
        <v>4.1354388063840899</v>
      </c>
      <c r="S35" s="6">
        <v>4.5373443139156766</v>
      </c>
      <c r="T35" s="6">
        <v>6.5210094921575754</v>
      </c>
      <c r="U35" s="6">
        <v>19.615456890612769</v>
      </c>
      <c r="V35" s="6">
        <v>165.0323531206144</v>
      </c>
      <c r="W35" s="6">
        <v>8.4111143078290844</v>
      </c>
      <c r="X35" s="6">
        <v>417.42670860941269</v>
      </c>
      <c r="Y35" s="6">
        <v>590.87017603785625</v>
      </c>
      <c r="Z35" s="6">
        <v>58.090072072377062</v>
      </c>
      <c r="AA35" s="6">
        <v>648.96024811023324</v>
      </c>
      <c r="AB35" s="6">
        <v>0</v>
      </c>
      <c r="AC35" s="6">
        <v>60.720471113368014</v>
      </c>
      <c r="AD35" s="6">
        <v>0</v>
      </c>
      <c r="AE35" s="6">
        <v>0</v>
      </c>
      <c r="AF35" s="6">
        <v>709.68071922360116</v>
      </c>
      <c r="AG35" s="6">
        <v>45.919803385572862</v>
      </c>
      <c r="AH35" s="6">
        <v>0</v>
      </c>
      <c r="AI35" s="6">
        <v>61.523335564831093</v>
      </c>
      <c r="AJ35" s="6">
        <v>756.40338706063721</v>
      </c>
      <c r="AK35" s="6">
        <v>0</v>
      </c>
      <c r="AL35" s="6">
        <v>10.33468932741374</v>
      </c>
      <c r="AM35" s="6">
        <v>0</v>
      </c>
      <c r="AN35" s="6">
        <v>0</v>
      </c>
      <c r="AO35" s="6">
        <v>3.3396698116555732</v>
      </c>
      <c r="AP35" s="6">
        <v>770.07774619970655</v>
      </c>
      <c r="AQ35" s="6">
        <v>1205.9999989886601</v>
      </c>
      <c r="AR35" s="6">
        <v>12973.500700000001</v>
      </c>
      <c r="AS35" s="6">
        <v>615.1298229508036</v>
      </c>
      <c r="AT35" s="6">
        <v>557.0397508784265</v>
      </c>
    </row>
    <row r="36" spans="1:46" x14ac:dyDescent="0.35">
      <c r="A36" s="5">
        <v>46022</v>
      </c>
      <c r="B36" s="4" t="s">
        <v>95</v>
      </c>
      <c r="C36" s="4" t="s">
        <v>96</v>
      </c>
      <c r="D36" s="4" t="s">
        <v>89</v>
      </c>
      <c r="E36" s="6">
        <v>4200</v>
      </c>
      <c r="F36" s="7">
        <v>0.03</v>
      </c>
      <c r="G36" s="6">
        <v>27.78</v>
      </c>
      <c r="H36" s="6">
        <v>0.35</v>
      </c>
      <c r="I36" s="6">
        <v>100</v>
      </c>
      <c r="J36" s="6">
        <v>0.35</v>
      </c>
      <c r="K36" s="8">
        <v>0.27232339500936598</v>
      </c>
      <c r="L36" s="6">
        <v>64.071232746794777</v>
      </c>
      <c r="M36" s="6">
        <v>17.0809718395397</v>
      </c>
      <c r="N36" s="6">
        <v>14.57157704368602</v>
      </c>
      <c r="O36" s="6">
        <v>127.5240764276832</v>
      </c>
      <c r="P36" s="6">
        <v>223.2478580577037</v>
      </c>
      <c r="Q36" s="6">
        <v>22.71098088645746</v>
      </c>
      <c r="R36" s="6">
        <v>16.019995721316569</v>
      </c>
      <c r="S36" s="6">
        <v>17.36174316417112</v>
      </c>
      <c r="T36" s="6">
        <v>19.298737729792361</v>
      </c>
      <c r="U36" s="6">
        <v>75.391457501737506</v>
      </c>
      <c r="V36" s="6">
        <v>298.63931555944117</v>
      </c>
      <c r="W36" s="6">
        <v>3.9515021499652341</v>
      </c>
      <c r="X36" s="6">
        <v>727.30868851917876</v>
      </c>
      <c r="Y36" s="6">
        <v>1029.8995062285851</v>
      </c>
      <c r="Z36" s="6">
        <v>0</v>
      </c>
      <c r="AA36" s="6">
        <v>1029.8995062285851</v>
      </c>
      <c r="AB36" s="6">
        <v>0</v>
      </c>
      <c r="AC36" s="6">
        <v>66.258601391946854</v>
      </c>
      <c r="AD36" s="6">
        <v>0</v>
      </c>
      <c r="AE36" s="6">
        <v>0</v>
      </c>
      <c r="AF36" s="6">
        <v>1096.1581076205321</v>
      </c>
      <c r="AG36" s="6">
        <v>7.3353405236566083</v>
      </c>
      <c r="AH36" s="6">
        <v>0</v>
      </c>
      <c r="AI36" s="6">
        <v>56.972964573119867</v>
      </c>
      <c r="AJ36" s="6">
        <v>1094.2078113253619</v>
      </c>
      <c r="AK36" s="6">
        <v>0</v>
      </c>
      <c r="AL36" s="6">
        <v>0</v>
      </c>
      <c r="AM36" s="6">
        <v>0</v>
      </c>
      <c r="AN36" s="6">
        <v>0</v>
      </c>
      <c r="AO36" s="6">
        <v>0</v>
      </c>
      <c r="AP36" s="6">
        <v>1094.2078113253619</v>
      </c>
      <c r="AQ36" s="6">
        <v>1205.9999989886601</v>
      </c>
      <c r="AR36" s="6">
        <v>1561.407234</v>
      </c>
      <c r="AS36" s="6">
        <v>176.10049276007459</v>
      </c>
      <c r="AT36" s="6">
        <v>176.10049276007459</v>
      </c>
    </row>
    <row r="37" spans="1:46" x14ac:dyDescent="0.35">
      <c r="A37" s="5">
        <v>46022</v>
      </c>
      <c r="B37" s="4" t="s">
        <v>97</v>
      </c>
      <c r="C37" s="4" t="s">
        <v>98</v>
      </c>
      <c r="D37" s="4" t="s">
        <v>99</v>
      </c>
      <c r="E37" s="6">
        <v>2500</v>
      </c>
      <c r="F37" s="7">
        <v>0.05</v>
      </c>
      <c r="G37" s="6">
        <v>75</v>
      </c>
      <c r="H37" s="6">
        <v>0.93799999999999994</v>
      </c>
      <c r="I37" s="6">
        <v>100</v>
      </c>
      <c r="J37" s="6">
        <v>0.9375</v>
      </c>
      <c r="K37" s="8">
        <v>7.2144631536316703</v>
      </c>
      <c r="L37" s="6">
        <v>5.5289678530997337</v>
      </c>
      <c r="M37" s="6">
        <v>1.395868342807649</v>
      </c>
      <c r="N37" s="6">
        <v>0.38744644564396169</v>
      </c>
      <c r="O37" s="6">
        <v>6.4099833197942253</v>
      </c>
      <c r="P37" s="6">
        <v>13.72226596134557</v>
      </c>
      <c r="Q37" s="6">
        <v>9.1098041196470554</v>
      </c>
      <c r="R37" s="6">
        <v>249.2936230969346</v>
      </c>
      <c r="S37" s="6">
        <v>29.93012666353107</v>
      </c>
      <c r="T37" s="6">
        <v>137.58930215976829</v>
      </c>
      <c r="U37" s="6">
        <v>425.92285603988103</v>
      </c>
      <c r="V37" s="6">
        <v>439.64512200122653</v>
      </c>
      <c r="W37" s="6">
        <v>7.428973605703912</v>
      </c>
      <c r="X37" s="6">
        <v>0</v>
      </c>
      <c r="Y37" s="6">
        <v>447.07409560693043</v>
      </c>
      <c r="Z37" s="6">
        <v>80.664506539909695</v>
      </c>
      <c r="AA37" s="6">
        <v>527.73860214684009</v>
      </c>
      <c r="AB37" s="6">
        <v>0</v>
      </c>
      <c r="AC37" s="6">
        <v>154.83047264539809</v>
      </c>
      <c r="AD37" s="6">
        <v>0</v>
      </c>
      <c r="AE37" s="6">
        <v>0</v>
      </c>
      <c r="AF37" s="6">
        <v>682.56907479223833</v>
      </c>
      <c r="AG37" s="6">
        <v>5.2358807042135398</v>
      </c>
      <c r="AH37" s="6">
        <v>0</v>
      </c>
      <c r="AI37" s="6">
        <v>65.946772663417903</v>
      </c>
      <c r="AJ37" s="6">
        <v>598.92125551447157</v>
      </c>
      <c r="AK37" s="6">
        <v>0</v>
      </c>
      <c r="AL37" s="6">
        <v>0</v>
      </c>
      <c r="AM37" s="6">
        <v>0</v>
      </c>
      <c r="AN37" s="6">
        <v>0</v>
      </c>
      <c r="AO37" s="6">
        <v>0</v>
      </c>
      <c r="AP37" s="6">
        <v>598.92125551447157</v>
      </c>
      <c r="AQ37" s="6">
        <v>1205.9999989886601</v>
      </c>
      <c r="AR37" s="6">
        <v>420.165797</v>
      </c>
      <c r="AS37" s="6">
        <v>758.92590338172931</v>
      </c>
      <c r="AT37" s="6">
        <v>678.26139684181965</v>
      </c>
    </row>
    <row r="38" spans="1:46" x14ac:dyDescent="0.35">
      <c r="A38" s="5">
        <v>46022</v>
      </c>
      <c r="B38" s="4" t="s">
        <v>119</v>
      </c>
      <c r="C38" s="4" t="s">
        <v>120</v>
      </c>
      <c r="D38" s="4" t="s">
        <v>89</v>
      </c>
      <c r="E38" s="6">
        <v>1350</v>
      </c>
      <c r="F38" s="7">
        <v>5.9200000000000003E-2</v>
      </c>
      <c r="G38" s="6">
        <v>88</v>
      </c>
      <c r="H38" s="6">
        <v>0.70399999999999996</v>
      </c>
      <c r="I38" s="6">
        <v>70</v>
      </c>
      <c r="J38" s="6">
        <v>0.49252200000000002</v>
      </c>
      <c r="K38" s="8">
        <v>1.702679995820271</v>
      </c>
      <c r="L38" s="6">
        <v>183.92296659327491</v>
      </c>
      <c r="M38" s="6">
        <v>14.706148799783101</v>
      </c>
      <c r="N38" s="6">
        <v>25.087200175847482</v>
      </c>
      <c r="O38" s="6">
        <v>351.51268292945127</v>
      </c>
      <c r="P38" s="6">
        <v>575.22899849835687</v>
      </c>
      <c r="Q38" s="6">
        <v>21.68164932462269</v>
      </c>
      <c r="R38" s="6">
        <v>20.000870939449332</v>
      </c>
      <c r="S38" s="6">
        <v>13.729724498243259</v>
      </c>
      <c r="T38" s="6">
        <v>57.854242258576051</v>
      </c>
      <c r="U38" s="6">
        <v>113.2664870208913</v>
      </c>
      <c r="V38" s="6">
        <v>688.49548551924818</v>
      </c>
      <c r="W38" s="6">
        <v>63.67065718239526</v>
      </c>
      <c r="X38" s="6">
        <v>104.515949976958</v>
      </c>
      <c r="Y38" s="6">
        <v>856.68209267860152</v>
      </c>
      <c r="Z38" s="6">
        <v>49.932421330642647</v>
      </c>
      <c r="AA38" s="6">
        <v>906.61451400924409</v>
      </c>
      <c r="AB38" s="6">
        <v>0</v>
      </c>
      <c r="AC38" s="6">
        <v>270.48322807659332</v>
      </c>
      <c r="AD38" s="6">
        <v>0</v>
      </c>
      <c r="AE38" s="6">
        <v>0</v>
      </c>
      <c r="AF38" s="6">
        <v>1177.0977420858369</v>
      </c>
      <c r="AG38" s="6">
        <v>3.3903957350181622</v>
      </c>
      <c r="AH38" s="6">
        <v>0</v>
      </c>
      <c r="AI38" s="6">
        <v>71.254529798574495</v>
      </c>
      <c r="AJ38" s="6">
        <v>981.25943954283684</v>
      </c>
      <c r="AK38" s="6">
        <v>0</v>
      </c>
      <c r="AL38" s="6">
        <v>0</v>
      </c>
      <c r="AM38" s="6">
        <v>0</v>
      </c>
      <c r="AN38" s="6">
        <v>0</v>
      </c>
      <c r="AO38" s="6">
        <v>0</v>
      </c>
      <c r="AP38" s="6">
        <v>981.25943954283684</v>
      </c>
      <c r="AQ38" s="6">
        <v>1205.9461293138479</v>
      </c>
      <c r="AR38" s="6">
        <v>800.76637200000005</v>
      </c>
      <c r="AS38" s="6">
        <v>349.26403663524621</v>
      </c>
      <c r="AT38" s="6">
        <v>299.33161530460359</v>
      </c>
    </row>
    <row r="39" spans="1:46" x14ac:dyDescent="0.35">
      <c r="A39" s="5">
        <v>46022</v>
      </c>
      <c r="B39" s="4" t="s">
        <v>121</v>
      </c>
      <c r="C39" s="4" t="s">
        <v>122</v>
      </c>
      <c r="D39" s="4" t="s">
        <v>123</v>
      </c>
      <c r="E39" s="6">
        <v>3450</v>
      </c>
      <c r="F39" s="7">
        <v>9.4E-2</v>
      </c>
      <c r="G39" s="6">
        <v>88</v>
      </c>
      <c r="H39" s="6">
        <v>2.8540000000000001</v>
      </c>
      <c r="I39" s="6">
        <v>100</v>
      </c>
      <c r="J39" s="6">
        <v>2.8538399999999999</v>
      </c>
      <c r="K39" s="8">
        <v>9.7043016363689496</v>
      </c>
      <c r="L39" s="6">
        <v>34.416493154355379</v>
      </c>
      <c r="M39" s="6">
        <v>24.767468516390249</v>
      </c>
      <c r="N39" s="6">
        <v>1.3887691383250069</v>
      </c>
      <c r="O39" s="6">
        <v>48.8916690783376</v>
      </c>
      <c r="P39" s="6">
        <v>109.46439988740821</v>
      </c>
      <c r="Q39" s="6">
        <v>30.12100001633771</v>
      </c>
      <c r="R39" s="6">
        <v>38.225026836865538</v>
      </c>
      <c r="S39" s="6">
        <v>157.7381198591934</v>
      </c>
      <c r="T39" s="6">
        <v>66.384747372961513</v>
      </c>
      <c r="U39" s="6">
        <v>292.46889408535822</v>
      </c>
      <c r="V39" s="6">
        <v>401.93329397276642</v>
      </c>
      <c r="W39" s="6">
        <v>4.2024820685603306</v>
      </c>
      <c r="X39" s="6">
        <v>542.13123027226482</v>
      </c>
      <c r="Y39" s="6">
        <v>948.26700631359154</v>
      </c>
      <c r="Z39" s="6">
        <v>16.03150991392771</v>
      </c>
      <c r="AA39" s="6">
        <v>964.29851622751914</v>
      </c>
      <c r="AB39" s="6">
        <v>0.55325780058261098</v>
      </c>
      <c r="AC39" s="6">
        <v>132.67739331269729</v>
      </c>
      <c r="AD39" s="6">
        <v>0</v>
      </c>
      <c r="AE39" s="6">
        <v>0</v>
      </c>
      <c r="AF39" s="6">
        <v>1097.5291673407989</v>
      </c>
      <c r="AG39" s="6">
        <v>28.226141271566519</v>
      </c>
      <c r="AH39" s="6">
        <v>0</v>
      </c>
      <c r="AI39" s="6">
        <v>12.03081623163612</v>
      </c>
      <c r="AJ39" s="6">
        <v>1005.108731531304</v>
      </c>
      <c r="AK39" s="6">
        <v>0</v>
      </c>
      <c r="AL39" s="6">
        <v>0</v>
      </c>
      <c r="AM39" s="6">
        <v>0</v>
      </c>
      <c r="AN39" s="6">
        <v>0</v>
      </c>
      <c r="AO39" s="6">
        <v>0</v>
      </c>
      <c r="AP39" s="6">
        <v>1005.108731531304</v>
      </c>
      <c r="AQ39" s="6">
        <v>1205.9830954481811</v>
      </c>
      <c r="AR39" s="6">
        <v>593.93245000000002</v>
      </c>
      <c r="AS39" s="6">
        <v>257.71608913458959</v>
      </c>
      <c r="AT39" s="6">
        <v>241.6845792206619</v>
      </c>
    </row>
    <row r="40" spans="1:46" x14ac:dyDescent="0.35">
      <c r="A40" s="5">
        <v>46022</v>
      </c>
      <c r="B40" s="4" t="s">
        <v>137</v>
      </c>
      <c r="C40" s="4" t="s">
        <v>138</v>
      </c>
      <c r="D40" s="4" t="s">
        <v>139</v>
      </c>
      <c r="E40" s="6">
        <v>2211</v>
      </c>
      <c r="F40" s="7">
        <v>9.1228000000000004E-2</v>
      </c>
      <c r="G40" s="6">
        <v>74.365936000000005</v>
      </c>
      <c r="H40" s="6">
        <v>1.5</v>
      </c>
      <c r="I40" s="6">
        <v>100</v>
      </c>
      <c r="J40" s="6">
        <v>1.5</v>
      </c>
      <c r="K40" s="8">
        <v>9.4945949139843346</v>
      </c>
      <c r="L40" s="6">
        <v>27.070468198946362</v>
      </c>
      <c r="M40" s="6">
        <v>13.264464755858199</v>
      </c>
      <c r="N40" s="6">
        <v>1.9713962914987391</v>
      </c>
      <c r="O40" s="6">
        <v>60.86706229187206</v>
      </c>
      <c r="P40" s="6">
        <v>103.17339153817539</v>
      </c>
      <c r="Q40" s="6">
        <v>32.943173561315952</v>
      </c>
      <c r="R40" s="6">
        <v>195.4046656408598</v>
      </c>
      <c r="S40" s="6">
        <v>31.720798036901918</v>
      </c>
      <c r="T40" s="6">
        <v>85.575147205602619</v>
      </c>
      <c r="U40" s="6">
        <v>345.64378444468031</v>
      </c>
      <c r="V40" s="6">
        <v>448.8171759828557</v>
      </c>
      <c r="W40" s="6">
        <v>4.4326024491573293</v>
      </c>
      <c r="X40" s="6">
        <v>393.506531</v>
      </c>
      <c r="Y40" s="6">
        <v>846.75630943201304</v>
      </c>
      <c r="Z40" s="6">
        <v>0</v>
      </c>
      <c r="AA40" s="6">
        <v>846.75630943201304</v>
      </c>
      <c r="AB40" s="6">
        <v>0</v>
      </c>
      <c r="AC40" s="6">
        <v>106.755005601804</v>
      </c>
      <c r="AD40" s="6">
        <v>0</v>
      </c>
      <c r="AE40" s="6">
        <v>0</v>
      </c>
      <c r="AF40" s="6">
        <v>953.51131503381703</v>
      </c>
      <c r="AG40" s="6">
        <v>16.59404080071867</v>
      </c>
      <c r="AH40" s="6">
        <v>0</v>
      </c>
      <c r="AI40" s="6">
        <v>55.313475450633398</v>
      </c>
      <c r="AJ40" s="6">
        <v>918.66382568336508</v>
      </c>
      <c r="AK40" s="6">
        <v>0</v>
      </c>
      <c r="AL40" s="6">
        <v>0</v>
      </c>
      <c r="AM40" s="6">
        <v>0</v>
      </c>
      <c r="AN40" s="6">
        <v>0</v>
      </c>
      <c r="AO40" s="6">
        <v>0</v>
      </c>
      <c r="AP40" s="6">
        <v>918.66382568336508</v>
      </c>
      <c r="AQ40" s="6">
        <v>1205.9999989886601</v>
      </c>
      <c r="AR40" s="6">
        <v>415.28477800000002</v>
      </c>
      <c r="AS40" s="6">
        <v>359.2436895566467</v>
      </c>
      <c r="AT40" s="6">
        <v>359.2436895566467</v>
      </c>
    </row>
    <row r="41" spans="1:46" x14ac:dyDescent="0.35">
      <c r="A41" s="5">
        <v>46022</v>
      </c>
      <c r="B41" s="4" t="s">
        <v>124</v>
      </c>
      <c r="C41" s="4" t="s">
        <v>125</v>
      </c>
      <c r="D41" s="4" t="s">
        <v>62</v>
      </c>
      <c r="E41" s="6">
        <v>1500</v>
      </c>
      <c r="F41" s="7">
        <v>0.2</v>
      </c>
      <c r="G41" s="6">
        <v>65.400000000000006</v>
      </c>
      <c r="H41" s="6">
        <v>1.962</v>
      </c>
      <c r="I41" s="6">
        <v>69.5</v>
      </c>
      <c r="J41" s="6">
        <v>1.3635900000000001</v>
      </c>
      <c r="K41" s="8">
        <v>12.76168524200642</v>
      </c>
      <c r="L41" s="6">
        <v>72.146398647627265</v>
      </c>
      <c r="M41" s="6">
        <v>53.555435144732762</v>
      </c>
      <c r="N41" s="6">
        <v>2.6645811084053168</v>
      </c>
      <c r="O41" s="6">
        <v>35.4593040438088</v>
      </c>
      <c r="P41" s="6">
        <v>163.82571894457411</v>
      </c>
      <c r="Q41" s="6">
        <v>50.1782851892021</v>
      </c>
      <c r="R41" s="6">
        <v>151.58708919385799</v>
      </c>
      <c r="S41" s="6">
        <v>51.221298415015632</v>
      </c>
      <c r="T41" s="6">
        <v>22.770472959265419</v>
      </c>
      <c r="U41" s="6">
        <v>275.75714575734122</v>
      </c>
      <c r="V41" s="6">
        <v>439.5828647019153</v>
      </c>
      <c r="W41" s="6">
        <v>67.11244656538976</v>
      </c>
      <c r="X41" s="6">
        <v>0</v>
      </c>
      <c r="Y41" s="6">
        <v>506.6953112673051</v>
      </c>
      <c r="Z41" s="6">
        <v>80.062733122361152</v>
      </c>
      <c r="AA41" s="6">
        <v>586.75804438966634</v>
      </c>
      <c r="AB41" s="6">
        <v>0</v>
      </c>
      <c r="AC41" s="6">
        <v>98.855886530286867</v>
      </c>
      <c r="AD41" s="6">
        <v>0</v>
      </c>
      <c r="AE41" s="6">
        <v>0</v>
      </c>
      <c r="AF41" s="6">
        <v>685.61393091995308</v>
      </c>
      <c r="AG41" s="6">
        <v>27.59327727355776</v>
      </c>
      <c r="AH41" s="6">
        <v>0</v>
      </c>
      <c r="AI41" s="6">
        <v>4.6696297752445819</v>
      </c>
      <c r="AJ41" s="6">
        <v>619.02095143846861</v>
      </c>
      <c r="AK41" s="6">
        <v>0</v>
      </c>
      <c r="AL41" s="6">
        <v>0</v>
      </c>
      <c r="AM41" s="6">
        <v>0</v>
      </c>
      <c r="AN41" s="6">
        <v>0</v>
      </c>
      <c r="AO41" s="6">
        <v>0</v>
      </c>
      <c r="AP41" s="6">
        <v>619.02095143846861</v>
      </c>
      <c r="AQ41" s="6">
        <v>1206.0088432893581</v>
      </c>
      <c r="AR41" s="6">
        <v>282.61290200000002</v>
      </c>
      <c r="AS41" s="6">
        <v>699.31353202205344</v>
      </c>
      <c r="AT41" s="6">
        <v>619.2507988996922</v>
      </c>
    </row>
    <row r="42" spans="1:46" x14ac:dyDescent="0.35">
      <c r="A42" s="5">
        <v>46022</v>
      </c>
      <c r="B42" s="4" t="s">
        <v>146</v>
      </c>
      <c r="C42" s="4" t="s">
        <v>147</v>
      </c>
      <c r="D42" s="4" t="s">
        <v>99</v>
      </c>
      <c r="E42" s="6">
        <v>6600</v>
      </c>
      <c r="F42" s="7">
        <v>1.0999999999999999E-2</v>
      </c>
      <c r="G42" s="6">
        <v>40</v>
      </c>
      <c r="H42" s="6">
        <v>0.28999999999999998</v>
      </c>
      <c r="I42" s="6">
        <v>100</v>
      </c>
      <c r="J42" s="6">
        <v>0.29039999999999999</v>
      </c>
      <c r="K42" s="8">
        <v>1.2576309375554691</v>
      </c>
      <c r="L42" s="6">
        <v>17.97457312605512</v>
      </c>
      <c r="M42" s="6">
        <v>25.668658428847909</v>
      </c>
      <c r="N42" s="6">
        <v>1.4496217360860091</v>
      </c>
      <c r="O42" s="6">
        <v>39.603771622748582</v>
      </c>
      <c r="P42" s="6">
        <v>84.696624913737622</v>
      </c>
      <c r="Q42" s="6">
        <v>8.1136525998916227</v>
      </c>
      <c r="R42" s="6">
        <v>21.078025376936861</v>
      </c>
      <c r="S42" s="6">
        <v>22.19885944061614</v>
      </c>
      <c r="T42" s="6">
        <v>41.740982247087381</v>
      </c>
      <c r="U42" s="6">
        <v>93.131519664531993</v>
      </c>
      <c r="V42" s="6">
        <v>177.82814457826959</v>
      </c>
      <c r="W42" s="6">
        <v>5.7317654898313153</v>
      </c>
      <c r="X42" s="6">
        <v>722.85177299999998</v>
      </c>
      <c r="Y42" s="6">
        <v>906.41168306810096</v>
      </c>
      <c r="Z42" s="6">
        <v>29.749354126242501</v>
      </c>
      <c r="AA42" s="6">
        <v>936.16103719434352</v>
      </c>
      <c r="AB42" s="6">
        <v>1.9643637296808181</v>
      </c>
      <c r="AC42" s="6">
        <v>139.17108957281141</v>
      </c>
      <c r="AD42" s="6">
        <v>0</v>
      </c>
      <c r="AE42" s="6">
        <v>0</v>
      </c>
      <c r="AF42" s="6">
        <v>1077.296490496836</v>
      </c>
      <c r="AG42" s="6">
        <v>14.7327474198265</v>
      </c>
      <c r="AH42" s="6">
        <v>0</v>
      </c>
      <c r="AI42" s="6">
        <v>71.131255238345133</v>
      </c>
      <c r="AJ42" s="6">
        <v>1023.989403582196</v>
      </c>
      <c r="AK42" s="6">
        <v>0</v>
      </c>
      <c r="AL42" s="6">
        <v>0</v>
      </c>
      <c r="AM42" s="6">
        <v>0</v>
      </c>
      <c r="AN42" s="6">
        <v>0</v>
      </c>
      <c r="AO42" s="6">
        <v>0</v>
      </c>
      <c r="AP42" s="6">
        <v>1023.989403582196</v>
      </c>
      <c r="AQ42" s="6">
        <v>1205.9999989886601</v>
      </c>
      <c r="AR42" s="6">
        <v>285.59869200000003</v>
      </c>
      <c r="AS42" s="6">
        <v>299.58831592055878</v>
      </c>
      <c r="AT42" s="6">
        <v>269.83896179431628</v>
      </c>
    </row>
    <row r="43" spans="1:46" x14ac:dyDescent="0.35">
      <c r="A43" s="5">
        <v>46022</v>
      </c>
      <c r="B43" s="4" t="s">
        <v>140</v>
      </c>
      <c r="C43" s="4" t="s">
        <v>141</v>
      </c>
      <c r="D43" s="4" t="s">
        <v>57</v>
      </c>
      <c r="E43" s="6">
        <v>1750</v>
      </c>
      <c r="F43" s="7">
        <v>2.3400000000000001E-2</v>
      </c>
      <c r="G43" s="6">
        <v>40</v>
      </c>
      <c r="H43" s="6">
        <v>0.16400000000000001</v>
      </c>
      <c r="I43" s="6">
        <v>90</v>
      </c>
      <c r="J43" s="6">
        <v>0.14716699999999999</v>
      </c>
      <c r="K43" s="8">
        <v>1.440331407246364</v>
      </c>
      <c r="L43" s="6">
        <v>12.75737927363781</v>
      </c>
      <c r="M43" s="6">
        <v>2.913188055672931</v>
      </c>
      <c r="N43" s="6">
        <v>7.5966445384522991</v>
      </c>
      <c r="O43" s="6">
        <v>20.43753876632411</v>
      </c>
      <c r="P43" s="6">
        <v>43.704750634087162</v>
      </c>
      <c r="Q43" s="6">
        <v>5.4942818091466998</v>
      </c>
      <c r="R43" s="6">
        <v>7.9825690841758723</v>
      </c>
      <c r="S43" s="6">
        <v>31.868110135421581</v>
      </c>
      <c r="T43" s="6">
        <v>23.9528890641066</v>
      </c>
      <c r="U43" s="6">
        <v>69.297850092850751</v>
      </c>
      <c r="V43" s="6">
        <v>113.0026007269379</v>
      </c>
      <c r="W43" s="6">
        <v>8.8988553483948412</v>
      </c>
      <c r="X43" s="6">
        <v>610.13678338214413</v>
      </c>
      <c r="Y43" s="6">
        <v>732.03823945747695</v>
      </c>
      <c r="Z43" s="6">
        <v>54.824527463882589</v>
      </c>
      <c r="AA43" s="6">
        <v>786.86276692135948</v>
      </c>
      <c r="AB43" s="6">
        <v>0</v>
      </c>
      <c r="AC43" s="6">
        <v>19.066028996977959</v>
      </c>
      <c r="AD43" s="6">
        <v>0</v>
      </c>
      <c r="AE43" s="6">
        <v>0</v>
      </c>
      <c r="AF43" s="6">
        <v>805.92879591833741</v>
      </c>
      <c r="AG43" s="6">
        <v>6.3080515232028418</v>
      </c>
      <c r="AH43" s="6">
        <v>0</v>
      </c>
      <c r="AI43" s="6">
        <v>21.750766750864361</v>
      </c>
      <c r="AJ43" s="6">
        <v>814.9215851954267</v>
      </c>
      <c r="AK43" s="6">
        <v>0</v>
      </c>
      <c r="AL43" s="6">
        <v>0</v>
      </c>
      <c r="AM43" s="6">
        <v>0</v>
      </c>
      <c r="AN43" s="6">
        <v>0</v>
      </c>
      <c r="AO43" s="6">
        <v>0</v>
      </c>
      <c r="AP43" s="6">
        <v>814.9215851954267</v>
      </c>
      <c r="AQ43" s="6">
        <v>1206.2704264619831</v>
      </c>
      <c r="AR43" s="6">
        <v>143.792968</v>
      </c>
      <c r="AS43" s="6">
        <v>474.23218700450661</v>
      </c>
      <c r="AT43" s="6">
        <v>419.40765954062402</v>
      </c>
    </row>
    <row r="44" spans="1:46" x14ac:dyDescent="0.35">
      <c r="A44" s="5">
        <v>46022</v>
      </c>
      <c r="B44" s="4" t="s">
        <v>100</v>
      </c>
      <c r="C44" s="4" t="s">
        <v>101</v>
      </c>
      <c r="D44" s="4" t="s">
        <v>89</v>
      </c>
      <c r="E44" s="6">
        <v>1000</v>
      </c>
      <c r="F44" s="7">
        <v>3.9300000000000002E-2</v>
      </c>
      <c r="G44" s="6">
        <v>55</v>
      </c>
      <c r="H44" s="6">
        <v>0.216</v>
      </c>
      <c r="I44" s="6">
        <v>70</v>
      </c>
      <c r="J44" s="6">
        <v>0.15116599999999999</v>
      </c>
      <c r="K44" s="8">
        <v>1.5146649974999811</v>
      </c>
      <c r="L44" s="6">
        <v>309.44958686813959</v>
      </c>
      <c r="M44" s="6">
        <v>45.423104113545939</v>
      </c>
      <c r="N44" s="6">
        <v>43.839269589426749</v>
      </c>
      <c r="O44" s="6">
        <v>526.38187267109424</v>
      </c>
      <c r="P44" s="6">
        <v>925.09383324220641</v>
      </c>
      <c r="Q44" s="6">
        <v>19.686605504735699</v>
      </c>
      <c r="R44" s="6">
        <v>35.46947520134897</v>
      </c>
      <c r="S44" s="6">
        <v>14.30884093662811</v>
      </c>
      <c r="T44" s="6">
        <v>55.42401858741718</v>
      </c>
      <c r="U44" s="6">
        <v>124.88894023013</v>
      </c>
      <c r="V44" s="6">
        <v>1049.982773472336</v>
      </c>
      <c r="W44" s="6">
        <v>63.323092354432411</v>
      </c>
      <c r="X44" s="6">
        <v>129.44771433350729</v>
      </c>
      <c r="Y44" s="6">
        <v>1242.753580160276</v>
      </c>
      <c r="Z44" s="6">
        <v>0</v>
      </c>
      <c r="AA44" s="6">
        <v>1242.753580160276</v>
      </c>
      <c r="AB44" s="6">
        <v>0</v>
      </c>
      <c r="AC44" s="6">
        <v>502.15168099018632</v>
      </c>
      <c r="AD44" s="6">
        <v>0</v>
      </c>
      <c r="AE44" s="6">
        <v>0</v>
      </c>
      <c r="AF44" s="6">
        <v>1744.9052611504619</v>
      </c>
      <c r="AG44" s="6">
        <v>4.7148122671483819</v>
      </c>
      <c r="AH44" s="6">
        <v>0</v>
      </c>
      <c r="AI44" s="6">
        <v>188.77055236752651</v>
      </c>
      <c r="AJ44" s="6">
        <v>1436.2389447949511</v>
      </c>
      <c r="AK44" s="6">
        <v>908.98811369231237</v>
      </c>
      <c r="AL44" s="6">
        <v>0</v>
      </c>
      <c r="AM44" s="6">
        <v>0</v>
      </c>
      <c r="AN44" s="6">
        <v>0</v>
      </c>
      <c r="AO44" s="6">
        <v>0</v>
      </c>
      <c r="AP44" s="6">
        <v>2345.2270584872631</v>
      </c>
      <c r="AQ44" s="6">
        <v>1206.2712504603239</v>
      </c>
      <c r="AR44" s="6">
        <v>268.049848</v>
      </c>
      <c r="AS44" s="6">
        <v>-36.482329699952018</v>
      </c>
      <c r="AT44" s="6">
        <v>-36.482329699952018</v>
      </c>
    </row>
    <row r="45" spans="1:46" x14ac:dyDescent="0.35">
      <c r="A45" s="5">
        <v>46022</v>
      </c>
      <c r="B45" s="4" t="s">
        <v>107</v>
      </c>
      <c r="C45" s="4" t="s">
        <v>108</v>
      </c>
      <c r="D45" s="4" t="s">
        <v>109</v>
      </c>
      <c r="E45" s="6">
        <v>1740</v>
      </c>
      <c r="F45" s="7">
        <v>4.5100000000000001E-2</v>
      </c>
      <c r="G45" s="6">
        <v>74</v>
      </c>
      <c r="H45" s="6">
        <v>0.58099999999999996</v>
      </c>
      <c r="I45" s="6">
        <v>30</v>
      </c>
      <c r="J45" s="6">
        <v>0.17430000000000001</v>
      </c>
      <c r="K45" s="8">
        <v>7.2619385339436597</v>
      </c>
      <c r="L45" s="6">
        <v>10.43239738011974</v>
      </c>
      <c r="M45" s="6">
        <v>38.484836041836303</v>
      </c>
      <c r="N45" s="6">
        <v>15.89855546828961</v>
      </c>
      <c r="O45" s="6">
        <v>165.49633687935491</v>
      </c>
      <c r="P45" s="6">
        <v>230.31212576960061</v>
      </c>
      <c r="Q45" s="6">
        <v>24.532521038709682</v>
      </c>
      <c r="R45" s="6">
        <v>27.4417702433385</v>
      </c>
      <c r="S45" s="6">
        <v>42.028495121849737</v>
      </c>
      <c r="T45" s="6">
        <v>204.14660681343511</v>
      </c>
      <c r="U45" s="6">
        <v>298.149393217333</v>
      </c>
      <c r="V45" s="6">
        <v>528.46151898693358</v>
      </c>
      <c r="W45" s="6">
        <v>6.2364129124799152</v>
      </c>
      <c r="X45" s="6">
        <v>443.84853847695382</v>
      </c>
      <c r="Y45" s="6">
        <v>978.54647037636732</v>
      </c>
      <c r="Z45" s="6">
        <v>61.216230210405371</v>
      </c>
      <c r="AA45" s="6">
        <v>1039.762700586773</v>
      </c>
      <c r="AB45" s="6">
        <v>1.078559265672298E-2</v>
      </c>
      <c r="AC45" s="6">
        <v>333.87088150154619</v>
      </c>
      <c r="AD45" s="6">
        <v>0</v>
      </c>
      <c r="AE45" s="6">
        <v>0</v>
      </c>
      <c r="AF45" s="6">
        <v>1373.6443676809761</v>
      </c>
      <c r="AG45" s="6">
        <v>37.796432437359172</v>
      </c>
      <c r="AH45" s="6">
        <v>0</v>
      </c>
      <c r="AI45" s="6">
        <v>121.0430892669135</v>
      </c>
      <c r="AJ45" s="6">
        <v>1198.613007883702</v>
      </c>
      <c r="AK45" s="6">
        <v>37.796432437359172</v>
      </c>
      <c r="AL45" s="6">
        <v>0</v>
      </c>
      <c r="AM45" s="6">
        <v>0</v>
      </c>
      <c r="AN45" s="6">
        <v>0</v>
      </c>
      <c r="AO45" s="6">
        <v>0</v>
      </c>
      <c r="AP45" s="6">
        <v>1236.4094403210611</v>
      </c>
      <c r="AQ45" s="6">
        <v>1205.9999989886601</v>
      </c>
      <c r="AR45" s="6">
        <v>50.932510000000001</v>
      </c>
      <c r="AS45" s="6">
        <v>227.45352861229239</v>
      </c>
      <c r="AT45" s="6">
        <v>166.23729840188699</v>
      </c>
    </row>
    <row r="46" spans="1:46" x14ac:dyDescent="0.35">
      <c r="A46" s="5">
        <v>46022</v>
      </c>
      <c r="B46" s="4" t="s">
        <v>142</v>
      </c>
      <c r="C46" s="4" t="s">
        <v>143</v>
      </c>
      <c r="D46" s="4" t="s">
        <v>139</v>
      </c>
      <c r="E46" s="6">
        <v>3350</v>
      </c>
      <c r="F46" s="7">
        <v>0.1079</v>
      </c>
      <c r="G46" s="6">
        <v>69.02</v>
      </c>
      <c r="H46" s="6">
        <v>2.4950000000000001</v>
      </c>
      <c r="I46" s="6">
        <v>100</v>
      </c>
      <c r="J46" s="6">
        <v>2.4947370000000002</v>
      </c>
      <c r="K46" s="8">
        <v>10.684309565238738</v>
      </c>
      <c r="L46" s="6">
        <v>7.2865824027841655E-2</v>
      </c>
      <c r="M46" s="6">
        <v>8.6073467265996015</v>
      </c>
      <c r="N46" s="6">
        <v>5.7298794690489811E-2</v>
      </c>
      <c r="O46" s="6">
        <v>15.01250169915733</v>
      </c>
      <c r="P46" s="6">
        <v>23.75001304447526</v>
      </c>
      <c r="Q46" s="6">
        <v>30.46871645933803</v>
      </c>
      <c r="R46" s="6">
        <v>117.6160904125237</v>
      </c>
      <c r="S46" s="6">
        <v>29.001441561622539</v>
      </c>
      <c r="T46" s="6">
        <v>96.378009423169956</v>
      </c>
      <c r="U46" s="6">
        <v>273.46425785665423</v>
      </c>
      <c r="V46" s="6">
        <v>297.21427090112951</v>
      </c>
      <c r="W46" s="6">
        <v>4.3637261843950412</v>
      </c>
      <c r="X46" s="6">
        <v>301.18377201015579</v>
      </c>
      <c r="Y46" s="6">
        <v>602.76176909568028</v>
      </c>
      <c r="Z46" s="6">
        <v>42.860921872405612</v>
      </c>
      <c r="AA46" s="6">
        <v>645.62269096808586</v>
      </c>
      <c r="AB46" s="6">
        <v>0</v>
      </c>
      <c r="AC46" s="6">
        <v>154.49664349317709</v>
      </c>
      <c r="AD46" s="6">
        <v>0</v>
      </c>
      <c r="AE46" s="6">
        <v>0</v>
      </c>
      <c r="AF46" s="6">
        <v>800.11933446126295</v>
      </c>
      <c r="AG46" s="6">
        <v>14.755105284775331</v>
      </c>
      <c r="AH46" s="6">
        <v>0</v>
      </c>
      <c r="AI46" s="6">
        <v>39.346945229196351</v>
      </c>
      <c r="AJ46" s="6">
        <v>699.72474148205765</v>
      </c>
      <c r="AK46" s="6">
        <v>0</v>
      </c>
      <c r="AL46" s="6">
        <v>0</v>
      </c>
      <c r="AM46" s="6">
        <v>0</v>
      </c>
      <c r="AN46" s="6">
        <v>0</v>
      </c>
      <c r="AO46" s="6">
        <v>0</v>
      </c>
      <c r="AP46" s="6">
        <v>699.72474148205765</v>
      </c>
      <c r="AQ46" s="6">
        <v>1205.98211253411</v>
      </c>
      <c r="AR46" s="6">
        <v>603.31677500000001</v>
      </c>
      <c r="AS46" s="6">
        <v>603.22034343843018</v>
      </c>
      <c r="AT46" s="6">
        <v>560.35942156602448</v>
      </c>
    </row>
    <row r="47" spans="1:46" x14ac:dyDescent="0.35">
      <c r="A47" s="5">
        <v>46022</v>
      </c>
      <c r="B47" s="4" t="s">
        <v>144</v>
      </c>
      <c r="C47" s="4" t="s">
        <v>145</v>
      </c>
      <c r="D47" s="4" t="s">
        <v>62</v>
      </c>
      <c r="E47" s="6">
        <v>20258.980785</v>
      </c>
      <c r="F47" s="7">
        <v>0.28999999999999998</v>
      </c>
      <c r="G47" s="6">
        <v>83.9</v>
      </c>
      <c r="H47" s="6">
        <v>49.292000000000002</v>
      </c>
      <c r="I47" s="6">
        <v>100</v>
      </c>
      <c r="J47" s="6">
        <v>49.292126000000003</v>
      </c>
      <c r="K47" s="8">
        <v>16.072901844381445</v>
      </c>
      <c r="L47" s="6">
        <v>7.3995128167330559</v>
      </c>
      <c r="M47" s="6">
        <v>7.0212829873567522</v>
      </c>
      <c r="N47" s="6">
        <v>9.8006345989308183</v>
      </c>
      <c r="O47" s="6">
        <v>100.0460297788364</v>
      </c>
      <c r="P47" s="6">
        <v>124.2674601818571</v>
      </c>
      <c r="Q47" s="6">
        <v>9.4153901925147956</v>
      </c>
      <c r="R47" s="6">
        <v>59.417800323704213</v>
      </c>
      <c r="S47" s="6">
        <v>123.8669880605688</v>
      </c>
      <c r="T47" s="6">
        <v>63.894856366607733</v>
      </c>
      <c r="U47" s="6">
        <v>256.5950349433956</v>
      </c>
      <c r="V47" s="6">
        <v>380.86249512525262</v>
      </c>
      <c r="W47" s="6">
        <v>0</v>
      </c>
      <c r="X47" s="6">
        <v>414.5820183268774</v>
      </c>
      <c r="Y47" s="6">
        <v>795.44451345212997</v>
      </c>
      <c r="Z47" s="6">
        <v>41.670891857283628</v>
      </c>
      <c r="AA47" s="6">
        <v>837.11540530941363</v>
      </c>
      <c r="AB47" s="6">
        <v>0</v>
      </c>
      <c r="AC47" s="6">
        <v>51.706113359286718</v>
      </c>
      <c r="AD47" s="6">
        <v>0</v>
      </c>
      <c r="AE47" s="6">
        <v>0</v>
      </c>
      <c r="AF47" s="6">
        <v>888.82151866870026</v>
      </c>
      <c r="AG47" s="6">
        <v>6.1020078341114834</v>
      </c>
      <c r="AH47" s="6">
        <v>0</v>
      </c>
      <c r="AI47" s="6">
        <v>0.98305656583284162</v>
      </c>
      <c r="AJ47" s="6">
        <v>844.20046970935789</v>
      </c>
      <c r="AK47" s="6">
        <v>7.6910537403698553</v>
      </c>
      <c r="AL47" s="6">
        <v>0</v>
      </c>
      <c r="AM47" s="6">
        <v>0</v>
      </c>
      <c r="AN47" s="6">
        <v>0</v>
      </c>
      <c r="AO47" s="6">
        <v>0</v>
      </c>
      <c r="AP47" s="6">
        <v>851.89152344972786</v>
      </c>
      <c r="AQ47" s="6">
        <v>1205.9993628627201</v>
      </c>
      <c r="AR47" s="6">
        <v>5801.3822499999997</v>
      </c>
      <c r="AS47" s="6">
        <v>410.5548494105899</v>
      </c>
      <c r="AT47" s="6">
        <v>368.88395755330629</v>
      </c>
    </row>
    <row r="48" spans="1:46" x14ac:dyDescent="0.35">
      <c r="A48" s="5">
        <v>46022</v>
      </c>
      <c r="B48" s="4" t="s">
        <v>126</v>
      </c>
      <c r="C48" s="4" t="s">
        <v>127</v>
      </c>
      <c r="D48" s="4" t="s">
        <v>84</v>
      </c>
      <c r="E48" s="6">
        <v>18000</v>
      </c>
      <c r="F48" s="7">
        <v>1.4999999999999999E-2</v>
      </c>
      <c r="G48" s="6">
        <v>45</v>
      </c>
      <c r="H48" s="6">
        <v>1.2150000000000001</v>
      </c>
      <c r="I48" s="6">
        <v>30</v>
      </c>
      <c r="J48" s="6">
        <v>0.36449999999999999</v>
      </c>
      <c r="K48" s="8">
        <v>1.2316186832810281</v>
      </c>
      <c r="L48" s="6">
        <v>44.5786196869945</v>
      </c>
      <c r="M48" s="6">
        <v>28.690533763244439</v>
      </c>
      <c r="N48" s="6">
        <v>4.5479018423480442</v>
      </c>
      <c r="O48" s="6">
        <v>74.513192190885107</v>
      </c>
      <c r="P48" s="6">
        <v>152.33024748347211</v>
      </c>
      <c r="Q48" s="6">
        <v>54.604648154930949</v>
      </c>
      <c r="R48" s="6">
        <v>335.28591177728549</v>
      </c>
      <c r="S48" s="6">
        <v>42.62047983735831</v>
      </c>
      <c r="T48" s="6">
        <v>103.1140613631845</v>
      </c>
      <c r="U48" s="6">
        <v>535.62510113275926</v>
      </c>
      <c r="V48" s="6">
        <v>687.95534861623128</v>
      </c>
      <c r="W48" s="6">
        <v>5.7924948389501454</v>
      </c>
      <c r="X48" s="6">
        <v>320.74109029007627</v>
      </c>
      <c r="Y48" s="6">
        <v>1014.488933745258</v>
      </c>
      <c r="Z48" s="6">
        <v>0</v>
      </c>
      <c r="AA48" s="6">
        <v>1014.488933745258</v>
      </c>
      <c r="AB48" s="6">
        <v>0</v>
      </c>
      <c r="AC48" s="6">
        <v>188.10395187760221</v>
      </c>
      <c r="AD48" s="6">
        <v>0</v>
      </c>
      <c r="AE48" s="6">
        <v>0</v>
      </c>
      <c r="AF48" s="6">
        <v>1202.59288562286</v>
      </c>
      <c r="AG48" s="6">
        <v>31.682646878918941</v>
      </c>
      <c r="AH48" s="6">
        <v>7.9206688483259979</v>
      </c>
      <c r="AI48" s="6">
        <v>116.44847135567301</v>
      </c>
      <c r="AJ48" s="6">
        <v>1170.5407208281761</v>
      </c>
      <c r="AK48" s="6">
        <v>0</v>
      </c>
      <c r="AL48" s="6">
        <v>0</v>
      </c>
      <c r="AM48" s="6">
        <v>0</v>
      </c>
      <c r="AN48" s="6">
        <v>0</v>
      </c>
      <c r="AO48" s="6">
        <v>0</v>
      </c>
      <c r="AP48" s="6">
        <v>1170.5407208281761</v>
      </c>
      <c r="AQ48" s="6">
        <v>1205.9999989886601</v>
      </c>
      <c r="AR48" s="6">
        <v>659.75013200000001</v>
      </c>
      <c r="AS48" s="6">
        <v>191.51106524340199</v>
      </c>
      <c r="AT48" s="6">
        <v>191.51106524340199</v>
      </c>
    </row>
    <row r="49" spans="1:46" x14ac:dyDescent="0.35">
      <c r="A49" s="5">
        <v>46022</v>
      </c>
      <c r="B49" s="4" t="s">
        <v>148</v>
      </c>
      <c r="C49" s="4" t="s">
        <v>149</v>
      </c>
      <c r="D49" s="4" t="s">
        <v>57</v>
      </c>
      <c r="E49" s="6">
        <v>705</v>
      </c>
      <c r="F49" s="7">
        <v>2.4E-2</v>
      </c>
      <c r="G49" s="6">
        <v>90</v>
      </c>
      <c r="H49" s="6">
        <v>0.152</v>
      </c>
      <c r="I49" s="6">
        <v>92</v>
      </c>
      <c r="J49" s="6">
        <v>0.140098</v>
      </c>
      <c r="K49" s="8">
        <v>4.4203127525369652</v>
      </c>
      <c r="L49" s="6">
        <v>57.630876308587943</v>
      </c>
      <c r="M49" s="6">
        <v>11.68900600146112</v>
      </c>
      <c r="N49" s="6">
        <v>6.8615544316194859</v>
      </c>
      <c r="O49" s="6">
        <v>36.61400285668828</v>
      </c>
      <c r="P49" s="6">
        <v>112.79543959835679</v>
      </c>
      <c r="Q49" s="6">
        <v>15.290918744470581</v>
      </c>
      <c r="R49" s="6">
        <v>16.22709661946709</v>
      </c>
      <c r="S49" s="6">
        <v>32.04052785086936</v>
      </c>
      <c r="T49" s="6">
        <v>27.452826444475519</v>
      </c>
      <c r="U49" s="6">
        <v>91.011369659282536</v>
      </c>
      <c r="V49" s="6">
        <v>203.8068092576394</v>
      </c>
      <c r="W49" s="6">
        <v>21.301639902700369</v>
      </c>
      <c r="X49" s="6">
        <v>655.11299164629315</v>
      </c>
      <c r="Y49" s="6">
        <v>880.22144080663293</v>
      </c>
      <c r="Z49" s="6">
        <v>14.60494884383961</v>
      </c>
      <c r="AA49" s="6">
        <v>894.82638965047249</v>
      </c>
      <c r="AB49" s="6">
        <v>0</v>
      </c>
      <c r="AC49" s="6">
        <v>3.1324213447453149</v>
      </c>
      <c r="AD49" s="6">
        <v>0</v>
      </c>
      <c r="AE49" s="6">
        <v>0</v>
      </c>
      <c r="AF49" s="6">
        <v>897.95881099521785</v>
      </c>
      <c r="AG49" s="6">
        <v>32.358866265436369</v>
      </c>
      <c r="AH49" s="6">
        <v>0</v>
      </c>
      <c r="AI49" s="6">
        <v>24.520735017045912</v>
      </c>
      <c r="AJ49" s="6">
        <v>951.70599093295482</v>
      </c>
      <c r="AK49" s="6">
        <v>0</v>
      </c>
      <c r="AL49" s="6">
        <v>0</v>
      </c>
      <c r="AM49" s="6">
        <v>0</v>
      </c>
      <c r="AN49" s="6">
        <v>0</v>
      </c>
      <c r="AO49" s="6">
        <v>0</v>
      </c>
      <c r="AP49" s="6">
        <v>951.70599093295482</v>
      </c>
      <c r="AQ49" s="6">
        <v>1206.0172155085099</v>
      </c>
      <c r="AR49" s="6">
        <v>49.326742000000003</v>
      </c>
      <c r="AS49" s="6">
        <v>325.79577470187712</v>
      </c>
      <c r="AT49" s="6">
        <v>311.1908258580375</v>
      </c>
    </row>
    <row r="50" spans="1:46" x14ac:dyDescent="0.35">
      <c r="A50" s="5">
        <v>46022</v>
      </c>
      <c r="B50" s="4" t="s">
        <v>128</v>
      </c>
      <c r="C50" s="4" t="s">
        <v>129</v>
      </c>
      <c r="D50" s="4" t="s">
        <v>89</v>
      </c>
      <c r="E50" s="6">
        <v>2100</v>
      </c>
      <c r="F50" s="7">
        <v>0.12</v>
      </c>
      <c r="G50" s="6">
        <v>50</v>
      </c>
      <c r="H50" s="6">
        <v>1.26</v>
      </c>
      <c r="I50" s="6">
        <v>100</v>
      </c>
      <c r="J50" s="6">
        <v>1.26</v>
      </c>
      <c r="K50" s="8">
        <v>5.455669843453375</v>
      </c>
      <c r="L50" s="6">
        <v>235.36394033014949</v>
      </c>
      <c r="M50" s="6">
        <v>121.35044128617911</v>
      </c>
      <c r="N50" s="6">
        <v>72.586760102415795</v>
      </c>
      <c r="O50" s="6">
        <v>649.87204878634009</v>
      </c>
      <c r="P50" s="6">
        <v>1079.173190505084</v>
      </c>
      <c r="Q50" s="6">
        <v>70.672923428779455</v>
      </c>
      <c r="R50" s="6">
        <v>46.467878667037809</v>
      </c>
      <c r="S50" s="6">
        <v>46.63248415045431</v>
      </c>
      <c r="T50" s="6">
        <v>84.007360855734035</v>
      </c>
      <c r="U50" s="6">
        <v>247.78064710200559</v>
      </c>
      <c r="V50" s="6">
        <v>1326.95383760709</v>
      </c>
      <c r="W50" s="6">
        <v>0</v>
      </c>
      <c r="X50" s="6">
        <v>284.36200100000002</v>
      </c>
      <c r="Y50" s="6">
        <v>1611.31583860709</v>
      </c>
      <c r="Z50" s="6">
        <v>31.449044410427909</v>
      </c>
      <c r="AA50" s="6">
        <v>1642.7648830175181</v>
      </c>
      <c r="AB50" s="6">
        <v>0</v>
      </c>
      <c r="AC50" s="6">
        <v>636.61947381205005</v>
      </c>
      <c r="AD50" s="6">
        <v>0</v>
      </c>
      <c r="AE50" s="6">
        <v>0</v>
      </c>
      <c r="AF50" s="6">
        <v>2279.3843568295679</v>
      </c>
      <c r="AG50" s="6">
        <v>20.262774939043538</v>
      </c>
      <c r="AH50" s="6">
        <v>0</v>
      </c>
      <c r="AI50" s="6">
        <v>82.793043673512528</v>
      </c>
      <c r="AJ50" s="6">
        <v>1745.8207016300739</v>
      </c>
      <c r="AK50" s="6">
        <v>102.1284225216361</v>
      </c>
      <c r="AL50" s="6">
        <v>0</v>
      </c>
      <c r="AM50" s="6">
        <v>0</v>
      </c>
      <c r="AN50" s="6">
        <v>0</v>
      </c>
      <c r="AO50" s="6">
        <v>0</v>
      </c>
      <c r="AP50" s="6">
        <v>1847.9491241517101</v>
      </c>
      <c r="AQ50" s="6">
        <v>1205.9999989886601</v>
      </c>
      <c r="AR50" s="6">
        <v>571.87619299999994</v>
      </c>
      <c r="AS50" s="6">
        <v>-405.31583961843029</v>
      </c>
      <c r="AT50" s="6">
        <v>-436.76488402885821</v>
      </c>
    </row>
    <row r="51" spans="1:46" x14ac:dyDescent="0.35">
      <c r="A51" s="5">
        <v>46022</v>
      </c>
      <c r="B51" s="4" t="s">
        <v>130</v>
      </c>
      <c r="C51" s="4" t="s">
        <v>131</v>
      </c>
      <c r="D51" s="4" t="s">
        <v>94</v>
      </c>
      <c r="E51" s="6">
        <v>7560</v>
      </c>
      <c r="F51" s="7">
        <v>1.1000000000000001E-3</v>
      </c>
      <c r="G51" s="6">
        <v>70</v>
      </c>
      <c r="H51" s="6">
        <v>5.7000000000000002E-2</v>
      </c>
      <c r="I51" s="6">
        <v>100</v>
      </c>
      <c r="J51" s="6">
        <v>5.7089000000000001E-2</v>
      </c>
      <c r="K51" s="8">
        <v>0.17095237235709901</v>
      </c>
      <c r="L51" s="6">
        <v>107.8944464557289</v>
      </c>
      <c r="M51" s="6">
        <v>5.0065059619500047</v>
      </c>
      <c r="N51" s="6">
        <v>6.0393296297110277</v>
      </c>
      <c r="O51" s="6">
        <v>350.96652545074789</v>
      </c>
      <c r="P51" s="6">
        <v>469.90680749813788</v>
      </c>
      <c r="Q51" s="6">
        <v>31.774384083577441</v>
      </c>
      <c r="R51" s="6">
        <v>6.7828977730970683</v>
      </c>
      <c r="S51" s="6">
        <v>47.492041931485261</v>
      </c>
      <c r="T51" s="6">
        <v>60.663339315322261</v>
      </c>
      <c r="U51" s="6">
        <v>146.71266310348199</v>
      </c>
      <c r="V51" s="6">
        <v>616.61947060161992</v>
      </c>
      <c r="W51" s="6">
        <v>0</v>
      </c>
      <c r="X51" s="6">
        <v>89.972976450669876</v>
      </c>
      <c r="Y51" s="6">
        <v>706.5924470522898</v>
      </c>
      <c r="Z51" s="6">
        <v>41.621414364767823</v>
      </c>
      <c r="AA51" s="6">
        <v>748.21386141705761</v>
      </c>
      <c r="AB51" s="6">
        <v>0</v>
      </c>
      <c r="AC51" s="6">
        <v>247.834706271041</v>
      </c>
      <c r="AD51" s="6">
        <v>0</v>
      </c>
      <c r="AE51" s="6">
        <v>0</v>
      </c>
      <c r="AF51" s="6">
        <v>996.04856768809861</v>
      </c>
      <c r="AG51" s="6">
        <v>61.984412186985807</v>
      </c>
      <c r="AH51" s="6">
        <v>0</v>
      </c>
      <c r="AI51" s="6">
        <v>166.3856738369733</v>
      </c>
      <c r="AJ51" s="6">
        <v>976.58394744101668</v>
      </c>
      <c r="AK51" s="6">
        <v>135.82772583307599</v>
      </c>
      <c r="AL51" s="6">
        <v>0</v>
      </c>
      <c r="AM51" s="6">
        <v>0</v>
      </c>
      <c r="AN51" s="6">
        <v>0</v>
      </c>
      <c r="AO51" s="6">
        <v>0</v>
      </c>
      <c r="AP51" s="6">
        <v>1112.4116732740929</v>
      </c>
      <c r="AQ51" s="6">
        <v>1206.2323730009721</v>
      </c>
      <c r="AR51" s="6">
        <v>931.56297400000005</v>
      </c>
      <c r="AS51" s="6">
        <v>499.63992594868182</v>
      </c>
      <c r="AT51" s="6">
        <v>458.01851158391401</v>
      </c>
    </row>
  </sheetData>
  <mergeCells count="47">
    <mergeCell ref="AS6:AS9"/>
    <mergeCell ref="AT6:AT9"/>
    <mergeCell ref="AN6:AN9"/>
    <mergeCell ref="AO6:AO9"/>
    <mergeCell ref="AP6:AP9"/>
    <mergeCell ref="AQ6:AQ9"/>
    <mergeCell ref="AR6:AR9"/>
    <mergeCell ref="AI6:AI9"/>
    <mergeCell ref="AJ6:AJ9"/>
    <mergeCell ref="AK6:AK9"/>
    <mergeCell ref="AL6:AL9"/>
    <mergeCell ref="AM6:AM9"/>
    <mergeCell ref="AD6:AD9"/>
    <mergeCell ref="AE6:AE9"/>
    <mergeCell ref="AF6:AF9"/>
    <mergeCell ref="AG6:AG9"/>
    <mergeCell ref="AH6:AH9"/>
    <mergeCell ref="Y6:Y9"/>
    <mergeCell ref="Z6:Z9"/>
    <mergeCell ref="AA6:AA9"/>
    <mergeCell ref="AB6:AB9"/>
    <mergeCell ref="AC6:AC9"/>
    <mergeCell ref="T6:T9"/>
    <mergeCell ref="U6:U9"/>
    <mergeCell ref="V6:V9"/>
    <mergeCell ref="W6:W9"/>
    <mergeCell ref="X6:X9"/>
    <mergeCell ref="O6:O9"/>
    <mergeCell ref="P6:P9"/>
    <mergeCell ref="Q6:Q9"/>
    <mergeCell ref="R6:R9"/>
    <mergeCell ref="S6:S9"/>
    <mergeCell ref="J6:J9"/>
    <mergeCell ref="K6:K9"/>
    <mergeCell ref="L6:L9"/>
    <mergeCell ref="M6:M9"/>
    <mergeCell ref="N6:N9"/>
    <mergeCell ref="E6:E9"/>
    <mergeCell ref="F6:F9"/>
    <mergeCell ref="G6:G9"/>
    <mergeCell ref="H6:H9"/>
    <mergeCell ref="I6:I9"/>
    <mergeCell ref="A1:D1"/>
    <mergeCell ref="A6:A9"/>
    <mergeCell ref="B6:B9"/>
    <mergeCell ref="C6:C9"/>
    <mergeCell ref="D6:D9"/>
  </mergeCells>
  <pageMargins left="0.7" right="0.7" top="0.75" bottom="0.75" header="0.3" footer="0.3"/>
  <pageSetup orientation="landscape"/>
  <headerFooter>
    <oddFooter>&amp;C_x000D_&amp;1#&amp;"Aptos"&amp;10&amp;K0000FF Restricted Use - À usage restreint</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U51"/>
  <sheetViews>
    <sheetView topLeftCell="X1" workbookViewId="0">
      <selection activeCell="Z14" sqref="Z14"/>
    </sheetView>
  </sheetViews>
  <sheetFormatPr defaultRowHeight="14.5" x14ac:dyDescent="0.35"/>
  <cols>
    <col min="1" max="1" width="48.54296875" customWidth="1"/>
    <col min="2" max="2" width="23.7265625" customWidth="1"/>
    <col min="3" max="3" width="16.1796875" customWidth="1"/>
    <col min="4" max="4" width="20.81640625" customWidth="1"/>
    <col min="5" max="5" width="23.54296875" customWidth="1"/>
    <col min="6" max="6" width="20.54296875" customWidth="1"/>
    <col min="7" max="7" width="17.54296875" customWidth="1"/>
    <col min="8" max="9" width="16.1796875" customWidth="1"/>
    <col min="10" max="10" width="17.54296875" customWidth="1"/>
    <col min="11" max="12" width="22.453125" customWidth="1"/>
    <col min="13" max="13" width="21.1796875" customWidth="1"/>
    <col min="14" max="14" width="22.453125" customWidth="1"/>
    <col min="15" max="24" width="21.1796875" customWidth="1"/>
    <col min="25" max="26" width="22" customWidth="1"/>
    <col min="27" max="27" width="21.1796875" customWidth="1"/>
    <col min="28" max="28" width="22" customWidth="1"/>
    <col min="29" max="29" width="22.453125" customWidth="1"/>
    <col min="30" max="30" width="21.1796875" customWidth="1"/>
    <col min="31" max="32" width="16.1796875" customWidth="1"/>
    <col min="33" max="33" width="22" customWidth="1"/>
    <col min="34" max="36" width="21.1796875" customWidth="1"/>
    <col min="37" max="37" width="22" customWidth="1"/>
    <col min="38" max="39" width="21.1796875" customWidth="1"/>
    <col min="40" max="41" width="16.1796875" customWidth="1"/>
    <col min="42" max="42" width="21.1796875" customWidth="1"/>
    <col min="43" max="43" width="22" customWidth="1"/>
    <col min="44" max="44" width="21.1796875" customWidth="1"/>
    <col min="45" max="45" width="21.54296875" customWidth="1"/>
    <col min="46" max="47" width="22" customWidth="1"/>
  </cols>
  <sheetData>
    <row r="1" spans="1:47" ht="40" customHeight="1" x14ac:dyDescent="0.35">
      <c r="A1" s="15"/>
      <c r="B1" s="15"/>
      <c r="C1" s="15"/>
      <c r="D1" s="15"/>
    </row>
    <row r="2" spans="1:47" ht="30" customHeight="1" x14ac:dyDescent="0.45">
      <c r="A2" s="1" t="s">
        <v>194</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row>
    <row r="3" spans="1:47" x14ac:dyDescent="0.35">
      <c r="A3" s="3" t="s">
        <v>0</v>
      </c>
    </row>
    <row r="4" spans="1:47" x14ac:dyDescent="0.35">
      <c r="A4" s="3" t="s">
        <v>1</v>
      </c>
    </row>
    <row r="5" spans="1:47" x14ac:dyDescent="0.35">
      <c r="A5" s="4"/>
    </row>
    <row r="6" spans="1:47" x14ac:dyDescent="0.35">
      <c r="A6" s="16" t="s">
        <v>3</v>
      </c>
      <c r="B6" s="16" t="s">
        <v>4</v>
      </c>
      <c r="C6" s="16" t="s">
        <v>5</v>
      </c>
      <c r="D6" s="16" t="s">
        <v>6</v>
      </c>
      <c r="E6" s="17" t="s">
        <v>14</v>
      </c>
      <c r="F6" s="17" t="s">
        <v>151</v>
      </c>
      <c r="G6" s="17" t="s">
        <v>152</v>
      </c>
      <c r="H6" s="17" t="s">
        <v>153</v>
      </c>
      <c r="I6" s="17" t="s">
        <v>154</v>
      </c>
      <c r="J6" s="17" t="s">
        <v>155</v>
      </c>
      <c r="K6" s="17" t="s">
        <v>156</v>
      </c>
      <c r="L6" s="17" t="s">
        <v>157</v>
      </c>
      <c r="M6" s="17" t="s">
        <v>158</v>
      </c>
      <c r="N6" s="17" t="s">
        <v>159</v>
      </c>
      <c r="O6" s="17" t="s">
        <v>160</v>
      </c>
      <c r="P6" s="17" t="s">
        <v>161</v>
      </c>
      <c r="Q6" s="17" t="s">
        <v>162</v>
      </c>
      <c r="R6" s="17" t="s">
        <v>163</v>
      </c>
      <c r="S6" s="17" t="s">
        <v>164</v>
      </c>
      <c r="T6" s="17" t="s">
        <v>165</v>
      </c>
      <c r="U6" s="17" t="s">
        <v>166</v>
      </c>
      <c r="V6" s="17" t="s">
        <v>167</v>
      </c>
      <c r="W6" s="17" t="s">
        <v>168</v>
      </c>
      <c r="X6" s="17" t="s">
        <v>169</v>
      </c>
      <c r="Y6" s="17" t="s">
        <v>193</v>
      </c>
      <c r="Z6" s="17" t="s">
        <v>170</v>
      </c>
      <c r="AA6" s="17" t="s">
        <v>171</v>
      </c>
      <c r="AB6" s="17" t="s">
        <v>172</v>
      </c>
      <c r="AC6" s="17" t="s">
        <v>173</v>
      </c>
      <c r="AD6" s="17" t="s">
        <v>174</v>
      </c>
      <c r="AE6" s="17" t="s">
        <v>175</v>
      </c>
      <c r="AF6" s="17" t="s">
        <v>176</v>
      </c>
      <c r="AG6" s="17" t="s">
        <v>177</v>
      </c>
      <c r="AH6" s="17" t="s">
        <v>178</v>
      </c>
      <c r="AI6" s="17" t="s">
        <v>179</v>
      </c>
      <c r="AJ6" s="17" t="s">
        <v>180</v>
      </c>
      <c r="AK6" s="17" t="s">
        <v>181</v>
      </c>
      <c r="AL6" s="17" t="s">
        <v>182</v>
      </c>
      <c r="AM6" s="17" t="s">
        <v>183</v>
      </c>
      <c r="AN6" s="17" t="s">
        <v>184</v>
      </c>
      <c r="AO6" s="17" t="s">
        <v>185</v>
      </c>
      <c r="AP6" s="17" t="s">
        <v>186</v>
      </c>
      <c r="AQ6" s="17" t="s">
        <v>187</v>
      </c>
      <c r="AR6" s="17" t="s">
        <v>188</v>
      </c>
      <c r="AS6" s="17" t="s">
        <v>189</v>
      </c>
      <c r="AT6" s="17" t="s">
        <v>190</v>
      </c>
      <c r="AU6" s="17" t="s">
        <v>191</v>
      </c>
    </row>
    <row r="7" spans="1:47" x14ac:dyDescent="0.35">
      <c r="A7" s="16"/>
      <c r="B7" s="16"/>
      <c r="C7" s="16"/>
      <c r="D7" s="16"/>
      <c r="E7" s="17"/>
      <c r="F7" s="17"/>
      <c r="G7" s="17"/>
      <c r="H7" s="17"/>
      <c r="I7" s="17"/>
      <c r="J7" s="17"/>
      <c r="K7" s="17"/>
      <c r="L7" s="17"/>
      <c r="M7" s="17"/>
      <c r="N7" s="17"/>
      <c r="O7" s="17"/>
      <c r="P7" s="17"/>
      <c r="Q7" s="17"/>
      <c r="R7" s="17"/>
      <c r="S7" s="17"/>
      <c r="T7" s="17"/>
      <c r="U7" s="17"/>
      <c r="V7" s="17"/>
      <c r="W7" s="17"/>
      <c r="X7" s="17"/>
      <c r="Y7" s="17"/>
      <c r="Z7" s="17"/>
      <c r="AA7" s="17"/>
      <c r="AB7" s="17"/>
      <c r="AC7" s="17"/>
      <c r="AD7" s="17"/>
      <c r="AE7" s="17"/>
      <c r="AF7" s="17"/>
      <c r="AG7" s="17"/>
      <c r="AH7" s="17"/>
      <c r="AI7" s="17"/>
      <c r="AJ7" s="17"/>
      <c r="AK7" s="17"/>
      <c r="AL7" s="17"/>
      <c r="AM7" s="17"/>
      <c r="AN7" s="17"/>
      <c r="AO7" s="17"/>
      <c r="AP7" s="17"/>
      <c r="AQ7" s="17"/>
      <c r="AR7" s="17"/>
      <c r="AS7" s="17"/>
      <c r="AT7" s="17"/>
      <c r="AU7" s="17"/>
    </row>
    <row r="8" spans="1:47" x14ac:dyDescent="0.35">
      <c r="A8" s="16"/>
      <c r="B8" s="16"/>
      <c r="C8" s="16"/>
      <c r="D8" s="16"/>
      <c r="E8" s="17"/>
      <c r="F8" s="17"/>
      <c r="G8" s="17"/>
      <c r="H8" s="17"/>
      <c r="I8" s="17"/>
      <c r="J8" s="17"/>
      <c r="K8" s="17"/>
      <c r="L8" s="17"/>
      <c r="M8" s="17"/>
      <c r="N8" s="17"/>
      <c r="O8" s="17"/>
      <c r="P8" s="17"/>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c r="AR8" s="17"/>
      <c r="AS8" s="17"/>
      <c r="AT8" s="17"/>
      <c r="AU8" s="17"/>
    </row>
    <row r="9" spans="1:47" x14ac:dyDescent="0.35">
      <c r="A9" s="16"/>
      <c r="B9" s="16"/>
      <c r="C9" s="16"/>
      <c r="D9" s="16"/>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row>
    <row r="10" spans="1:47" x14ac:dyDescent="0.35">
      <c r="A10" s="5">
        <v>46022</v>
      </c>
      <c r="B10" s="4" t="s">
        <v>67</v>
      </c>
      <c r="C10" s="4" t="s">
        <v>68</v>
      </c>
      <c r="D10" s="4" t="s">
        <v>57</v>
      </c>
      <c r="E10" s="6">
        <v>165</v>
      </c>
      <c r="F10" s="7">
        <v>2.9000000000000001E-2</v>
      </c>
      <c r="G10" s="6">
        <v>60</v>
      </c>
      <c r="H10" s="6">
        <v>2.9000000000000001E-2</v>
      </c>
      <c r="I10" s="6">
        <v>95</v>
      </c>
      <c r="J10" s="6">
        <v>2.7274E-2</v>
      </c>
      <c r="K10" s="8">
        <v>7.3440000000000003</v>
      </c>
      <c r="L10" s="6">
        <v>880.60522331155289</v>
      </c>
      <c r="M10" s="6">
        <v>0</v>
      </c>
      <c r="N10" s="6">
        <v>231.05837167521389</v>
      </c>
      <c r="O10" s="6">
        <v>1479.4415489503931</v>
      </c>
      <c r="P10" s="6">
        <v>2591.1051439371599</v>
      </c>
      <c r="Q10" s="6">
        <v>953.27874874228087</v>
      </c>
      <c r="R10" s="6">
        <v>489.374769297189</v>
      </c>
      <c r="S10" s="6">
        <v>771.24519888377063</v>
      </c>
      <c r="T10" s="6">
        <v>685.54732418833578</v>
      </c>
      <c r="U10" s="6">
        <v>2899.4460411115761</v>
      </c>
      <c r="V10" s="6">
        <v>5490.5511850487364</v>
      </c>
      <c r="W10" s="6">
        <v>1255.301550909757</v>
      </c>
      <c r="X10" s="6">
        <v>3224.084511807474</v>
      </c>
      <c r="Y10" s="6">
        <v>-11701.048904598651</v>
      </c>
      <c r="Z10" s="6">
        <v>-1731.111656832679</v>
      </c>
      <c r="AA10" s="6">
        <v>2051.335930428359</v>
      </c>
      <c r="AB10" s="6">
        <v>320.22427359568042</v>
      </c>
      <c r="AC10" s="6">
        <v>0</v>
      </c>
      <c r="AD10" s="6">
        <v>1075.5152151332161</v>
      </c>
      <c r="AE10" s="6">
        <v>0</v>
      </c>
      <c r="AF10" s="6">
        <v>0</v>
      </c>
      <c r="AG10" s="6">
        <v>1395.739488728896</v>
      </c>
      <c r="AH10" s="6">
        <v>616.78305185212378</v>
      </c>
      <c r="AI10" s="6">
        <v>0</v>
      </c>
      <c r="AJ10" s="6">
        <v>296.82690373114849</v>
      </c>
      <c r="AK10" s="6">
        <v>1233.8342291789529</v>
      </c>
      <c r="AL10" s="6">
        <v>0</v>
      </c>
      <c r="AM10" s="6">
        <v>0</v>
      </c>
      <c r="AN10" s="6">
        <v>0</v>
      </c>
      <c r="AO10" s="6">
        <v>0</v>
      </c>
      <c r="AP10" s="6">
        <v>0</v>
      </c>
      <c r="AQ10" s="6">
        <v>1233.8342291789529</v>
      </c>
      <c r="AR10" s="6">
        <v>1207.1496653365989</v>
      </c>
      <c r="AS10" s="6">
        <v>8.148695</v>
      </c>
      <c r="AT10" s="6">
        <v>2938.2613221692782</v>
      </c>
      <c r="AU10" s="6">
        <v>886.92539174091894</v>
      </c>
    </row>
    <row r="11" spans="1:47" x14ac:dyDescent="0.35">
      <c r="A11" s="5">
        <v>46022</v>
      </c>
      <c r="B11" s="4" t="s">
        <v>49</v>
      </c>
      <c r="C11" s="4" t="s">
        <v>50</v>
      </c>
      <c r="D11" s="4" t="s">
        <v>51</v>
      </c>
      <c r="E11" s="6">
        <v>3045.8785459999999</v>
      </c>
      <c r="F11" s="7">
        <v>0.1</v>
      </c>
      <c r="G11" s="6">
        <v>75</v>
      </c>
      <c r="H11" s="6">
        <v>2.2839999999999998</v>
      </c>
      <c r="I11" s="6">
        <v>100</v>
      </c>
      <c r="J11" s="6">
        <v>2.2844090000000001</v>
      </c>
      <c r="K11" s="8">
        <v>11.778</v>
      </c>
      <c r="L11" s="6">
        <v>525.51008471350474</v>
      </c>
      <c r="M11" s="6">
        <v>52.471381845926047</v>
      </c>
      <c r="N11" s="6">
        <v>558.55598097036068</v>
      </c>
      <c r="O11" s="6">
        <v>4185.6476521852101</v>
      </c>
      <c r="P11" s="6">
        <v>5322.1850997150013</v>
      </c>
      <c r="Q11" s="6">
        <v>553.72752062248821</v>
      </c>
      <c r="R11" s="6">
        <v>952.19914859713867</v>
      </c>
      <c r="S11" s="6">
        <v>521.12227421588454</v>
      </c>
      <c r="T11" s="6">
        <v>1586.6511695728959</v>
      </c>
      <c r="U11" s="6">
        <v>3613.7001130084068</v>
      </c>
      <c r="V11" s="6">
        <v>8935.8852127234095</v>
      </c>
      <c r="W11" s="6">
        <v>495.18305265615919</v>
      </c>
      <c r="X11" s="6">
        <v>112.82215650717541</v>
      </c>
      <c r="Y11" s="6">
        <v>-7973.2207923149344</v>
      </c>
      <c r="Z11" s="6">
        <v>1570.6696295718091</v>
      </c>
      <c r="AA11" s="6">
        <v>160.3166422031513</v>
      </c>
      <c r="AB11" s="6">
        <v>1730.98627177496</v>
      </c>
      <c r="AC11" s="6">
        <v>0</v>
      </c>
      <c r="AD11" s="6">
        <v>5083.1373337925252</v>
      </c>
      <c r="AE11" s="6">
        <v>0</v>
      </c>
      <c r="AF11" s="6">
        <v>0</v>
      </c>
      <c r="AG11" s="6">
        <v>6814.1236055674854</v>
      </c>
      <c r="AH11" s="6">
        <v>881.46353806232048</v>
      </c>
      <c r="AI11" s="6">
        <v>178.70401665165329</v>
      </c>
      <c r="AJ11" s="6">
        <v>1588.4804168101639</v>
      </c>
      <c r="AK11" s="6">
        <v>4379.6342432990978</v>
      </c>
      <c r="AL11" s="6">
        <v>0</v>
      </c>
      <c r="AM11" s="6">
        <v>157.088829102902</v>
      </c>
      <c r="AN11" s="6">
        <v>0</v>
      </c>
      <c r="AO11" s="6">
        <v>0</v>
      </c>
      <c r="AP11" s="6">
        <v>0</v>
      </c>
      <c r="AQ11" s="6">
        <v>4536.7230724020001</v>
      </c>
      <c r="AR11" s="6">
        <v>1205.995247650352</v>
      </c>
      <c r="AS11" s="6">
        <v>525.86245099999996</v>
      </c>
      <c r="AT11" s="6">
        <v>-364.67438192145647</v>
      </c>
      <c r="AU11" s="6">
        <v>-524.99102412460775</v>
      </c>
    </row>
    <row r="12" spans="1:47" x14ac:dyDescent="0.35">
      <c r="A12" s="5">
        <v>46022</v>
      </c>
      <c r="B12" s="4" t="s">
        <v>52</v>
      </c>
      <c r="C12" s="4" t="s">
        <v>53</v>
      </c>
      <c r="D12" s="4" t="s">
        <v>54</v>
      </c>
      <c r="E12" s="6">
        <v>5600</v>
      </c>
      <c r="F12" s="7">
        <v>0.16769999999999999</v>
      </c>
      <c r="G12" s="6">
        <v>60</v>
      </c>
      <c r="H12" s="6">
        <v>5.6349999999999998</v>
      </c>
      <c r="I12" s="6">
        <v>100</v>
      </c>
      <c r="J12" s="6">
        <v>5.6349130000000001</v>
      </c>
      <c r="K12" s="8">
        <v>15.602</v>
      </c>
      <c r="L12" s="6">
        <v>783.42789722233113</v>
      </c>
      <c r="M12" s="6">
        <v>50.711981683124762</v>
      </c>
      <c r="N12" s="6">
        <v>64.212812001702105</v>
      </c>
      <c r="O12" s="6">
        <v>618.63994433365747</v>
      </c>
      <c r="P12" s="6">
        <v>1516.9926352408149</v>
      </c>
      <c r="Q12" s="6">
        <v>94.310713786583321</v>
      </c>
      <c r="R12" s="6">
        <v>52.333624798873451</v>
      </c>
      <c r="S12" s="6">
        <v>128.35742068895129</v>
      </c>
      <c r="T12" s="6">
        <v>210.1090328035105</v>
      </c>
      <c r="U12" s="6">
        <v>485.11079207791857</v>
      </c>
      <c r="V12" s="6">
        <v>2002.103427318734</v>
      </c>
      <c r="W12" s="6">
        <v>2.587358088882731</v>
      </c>
      <c r="X12" s="6">
        <v>249.99942323865511</v>
      </c>
      <c r="Y12" s="6">
        <v>-5146.7935139647689</v>
      </c>
      <c r="Z12" s="6">
        <v>-2892.103305318497</v>
      </c>
      <c r="AA12" s="6">
        <v>503.42217715551419</v>
      </c>
      <c r="AB12" s="6">
        <v>-2388.681128162983</v>
      </c>
      <c r="AC12" s="6">
        <v>0</v>
      </c>
      <c r="AD12" s="6">
        <v>818.76740178180023</v>
      </c>
      <c r="AE12" s="6">
        <v>0</v>
      </c>
      <c r="AF12" s="6">
        <v>0</v>
      </c>
      <c r="AG12" s="6">
        <v>-1569.9137263811831</v>
      </c>
      <c r="AH12" s="6">
        <v>89.21665195595061</v>
      </c>
      <c r="AI12" s="6">
        <v>0</v>
      </c>
      <c r="AJ12" s="6">
        <v>196.2356311736622</v>
      </c>
      <c r="AK12" s="6">
        <v>-2103.2288450333699</v>
      </c>
      <c r="AL12" s="6">
        <v>0</v>
      </c>
      <c r="AM12" s="6">
        <v>0</v>
      </c>
      <c r="AN12" s="6">
        <v>0</v>
      </c>
      <c r="AO12" s="6">
        <v>0</v>
      </c>
      <c r="AP12" s="6">
        <v>0</v>
      </c>
      <c r="AQ12" s="6">
        <v>-2103.2288450333699</v>
      </c>
      <c r="AR12" s="6">
        <v>1205.997216691934</v>
      </c>
      <c r="AS12" s="6">
        <v>833.86044100000004</v>
      </c>
      <c r="AT12" s="6">
        <v>4098.1005220104307</v>
      </c>
      <c r="AU12" s="6">
        <v>3594.6783448549172</v>
      </c>
    </row>
    <row r="13" spans="1:47" x14ac:dyDescent="0.35">
      <c r="A13" s="5">
        <v>46022</v>
      </c>
      <c r="B13" s="4" t="s">
        <v>55</v>
      </c>
      <c r="C13" s="4" t="s">
        <v>56</v>
      </c>
      <c r="D13" s="4" t="s">
        <v>57</v>
      </c>
      <c r="E13" s="6">
        <v>719.05570799999998</v>
      </c>
      <c r="F13" s="7">
        <v>0.09</v>
      </c>
      <c r="G13" s="6">
        <v>65</v>
      </c>
      <c r="H13" s="6">
        <v>0.42099999999999999</v>
      </c>
      <c r="I13" s="6">
        <v>90</v>
      </c>
      <c r="J13" s="6">
        <v>0.378583</v>
      </c>
      <c r="K13" s="8">
        <v>7.7519999999999998</v>
      </c>
      <c r="L13" s="6">
        <v>690.57275098775142</v>
      </c>
      <c r="M13" s="6">
        <v>77.318726272730785</v>
      </c>
      <c r="N13" s="6">
        <v>8.0142369817146175</v>
      </c>
      <c r="O13" s="6">
        <v>252.9142907255254</v>
      </c>
      <c r="P13" s="6">
        <v>1028.8200049677221</v>
      </c>
      <c r="Q13" s="6">
        <v>276.20437466825848</v>
      </c>
      <c r="R13" s="6">
        <v>45.227317402538489</v>
      </c>
      <c r="S13" s="6">
        <v>373.521906338267</v>
      </c>
      <c r="T13" s="6">
        <v>392.17251347996711</v>
      </c>
      <c r="U13" s="6">
        <v>1087.1261118890311</v>
      </c>
      <c r="V13" s="6">
        <v>2115.9461168567532</v>
      </c>
      <c r="W13" s="6">
        <v>7.894668752084721</v>
      </c>
      <c r="X13" s="6">
        <v>610.02739161557702</v>
      </c>
      <c r="Y13" s="6">
        <v>-6973.9948974007521</v>
      </c>
      <c r="Z13" s="6">
        <v>-4240.1267201763367</v>
      </c>
      <c r="AA13" s="6">
        <v>390.34637752788831</v>
      </c>
      <c r="AB13" s="6">
        <v>-3849.7803426484488</v>
      </c>
      <c r="AC13" s="6">
        <v>0</v>
      </c>
      <c r="AD13" s="6">
        <v>187.59029884664119</v>
      </c>
      <c r="AE13" s="6">
        <v>0</v>
      </c>
      <c r="AF13" s="6">
        <v>0</v>
      </c>
      <c r="AG13" s="6">
        <v>-3662.1900438018079</v>
      </c>
      <c r="AH13" s="6">
        <v>252.82331383512411</v>
      </c>
      <c r="AI13" s="6">
        <v>0</v>
      </c>
      <c r="AJ13" s="6">
        <v>226.68167298387519</v>
      </c>
      <c r="AK13" s="6">
        <v>-3370.2753558294498</v>
      </c>
      <c r="AL13" s="6">
        <v>0</v>
      </c>
      <c r="AM13" s="6">
        <v>0</v>
      </c>
      <c r="AN13" s="6">
        <v>0</v>
      </c>
      <c r="AO13" s="6">
        <v>0</v>
      </c>
      <c r="AP13" s="6">
        <v>0</v>
      </c>
      <c r="AQ13" s="6">
        <v>-3370.2753558294498</v>
      </c>
      <c r="AR13" s="6">
        <v>1206.054153559739</v>
      </c>
      <c r="AS13" s="6">
        <v>73.156780999999995</v>
      </c>
      <c r="AT13" s="6">
        <v>5446.1808737360761</v>
      </c>
      <c r="AU13" s="6">
        <v>5055.8344962081883</v>
      </c>
    </row>
    <row r="14" spans="1:47" x14ac:dyDescent="0.35">
      <c r="A14" s="5">
        <v>46022</v>
      </c>
      <c r="B14" s="4" t="s">
        <v>69</v>
      </c>
      <c r="C14" s="4" t="s">
        <v>70</v>
      </c>
      <c r="D14" s="4" t="s">
        <v>71</v>
      </c>
      <c r="E14" s="6">
        <v>684</v>
      </c>
      <c r="F14" s="7">
        <v>0.04</v>
      </c>
      <c r="G14" s="6">
        <v>84.2</v>
      </c>
      <c r="H14" s="6">
        <v>0.23</v>
      </c>
      <c r="I14" s="6">
        <v>75</v>
      </c>
      <c r="J14" s="6">
        <v>0.17277799999999999</v>
      </c>
      <c r="K14" s="8">
        <v>1.9279999999999999</v>
      </c>
      <c r="L14" s="6">
        <v>5193.7818516876341</v>
      </c>
      <c r="M14" s="6">
        <v>5040.6265541379971</v>
      </c>
      <c r="N14" s="6">
        <v>1432.8592356639101</v>
      </c>
      <c r="O14" s="6">
        <v>4556.309272817849</v>
      </c>
      <c r="P14" s="6">
        <v>16223.57691430739</v>
      </c>
      <c r="Q14" s="6">
        <v>2371.6898733990829</v>
      </c>
      <c r="R14" s="6">
        <v>1210.8649414521251</v>
      </c>
      <c r="S14" s="6">
        <v>2088.8569576820919</v>
      </c>
      <c r="T14" s="6">
        <v>3328.1971867806542</v>
      </c>
      <c r="U14" s="6">
        <v>8999.608959313955</v>
      </c>
      <c r="V14" s="6">
        <v>25223.18587362134</v>
      </c>
      <c r="W14" s="6">
        <v>784.76663294761602</v>
      </c>
      <c r="X14" s="6">
        <v>5171.6124908689071</v>
      </c>
      <c r="Y14" s="6">
        <v>-58290.592806933411</v>
      </c>
      <c r="Z14" s="6">
        <v>-27111.027809495539</v>
      </c>
      <c r="AA14" s="6">
        <v>2589.1999356919541</v>
      </c>
      <c r="AB14" s="6">
        <v>-24521.827873803592</v>
      </c>
      <c r="AC14" s="6">
        <v>0</v>
      </c>
      <c r="AD14" s="6">
        <v>15944.52142978025</v>
      </c>
      <c r="AE14" s="6">
        <v>0</v>
      </c>
      <c r="AF14" s="6">
        <v>0</v>
      </c>
      <c r="AG14" s="6">
        <v>-8577.3064440233393</v>
      </c>
      <c r="AH14" s="6">
        <v>2447.5619024809698</v>
      </c>
      <c r="AI14" s="6">
        <v>0</v>
      </c>
      <c r="AJ14" s="6">
        <v>6563.2252794783626</v>
      </c>
      <c r="AK14" s="6">
        <v>-15511.04069184426</v>
      </c>
      <c r="AL14" s="6">
        <v>0</v>
      </c>
      <c r="AM14" s="6">
        <v>0</v>
      </c>
      <c r="AN14" s="6">
        <v>0</v>
      </c>
      <c r="AO14" s="6">
        <v>0</v>
      </c>
      <c r="AP14" s="6">
        <v>0</v>
      </c>
      <c r="AQ14" s="6">
        <v>-15511.04069184426</v>
      </c>
      <c r="AR14" s="6">
        <v>1206.1535602058159</v>
      </c>
      <c r="AS14" s="6">
        <v>249.118461</v>
      </c>
      <c r="AT14" s="6">
        <v>28317.18136970136</v>
      </c>
      <c r="AU14" s="6">
        <v>25727.981434009402</v>
      </c>
    </row>
    <row r="15" spans="1:47" x14ac:dyDescent="0.35">
      <c r="A15" s="5">
        <v>46022</v>
      </c>
      <c r="B15" s="4" t="s">
        <v>132</v>
      </c>
      <c r="C15" s="4" t="s">
        <v>133</v>
      </c>
      <c r="D15" s="4" t="s">
        <v>57</v>
      </c>
      <c r="E15" s="6">
        <v>1500</v>
      </c>
      <c r="F15" s="7">
        <v>2.8400000000000002E-2</v>
      </c>
      <c r="G15" s="6">
        <v>60</v>
      </c>
      <c r="H15" s="6">
        <v>0.255</v>
      </c>
      <c r="I15" s="6">
        <v>95</v>
      </c>
      <c r="J15" s="6">
        <v>0.24258099999999999</v>
      </c>
      <c r="K15" s="8">
        <v>0.84599999999999997</v>
      </c>
      <c r="L15" s="6">
        <v>3607.8398216477199</v>
      </c>
      <c r="M15" s="6">
        <v>669.40500071759527</v>
      </c>
      <c r="N15" s="6">
        <v>213.69464094304999</v>
      </c>
      <c r="O15" s="6">
        <v>1210.422741785274</v>
      </c>
      <c r="P15" s="6">
        <v>5701.3622050936392</v>
      </c>
      <c r="Q15" s="6">
        <v>963.93254283459555</v>
      </c>
      <c r="R15" s="6">
        <v>513.21106150798494</v>
      </c>
      <c r="S15" s="6">
        <v>674.68024813698923</v>
      </c>
      <c r="T15" s="6">
        <v>897.15864723790605</v>
      </c>
      <c r="U15" s="6">
        <v>3048.982499717476</v>
      </c>
      <c r="V15" s="6">
        <v>8750.3447048111157</v>
      </c>
      <c r="W15" s="6">
        <v>1762.9904298907829</v>
      </c>
      <c r="X15" s="6">
        <v>2475.2897692694842</v>
      </c>
      <c r="Y15" s="6">
        <v>-24300.43586556986</v>
      </c>
      <c r="Z15" s="6">
        <v>-11311.81096159847</v>
      </c>
      <c r="AA15" s="6">
        <v>1683.619796367864</v>
      </c>
      <c r="AB15" s="6">
        <v>-9628.1911652306117</v>
      </c>
      <c r="AC15" s="6">
        <v>0</v>
      </c>
      <c r="AD15" s="6">
        <v>1152.8852973140661</v>
      </c>
      <c r="AE15" s="6">
        <v>0</v>
      </c>
      <c r="AF15" s="6">
        <v>0</v>
      </c>
      <c r="AG15" s="6">
        <v>-8475.3058679165442</v>
      </c>
      <c r="AH15" s="6">
        <v>630.42263881922941</v>
      </c>
      <c r="AI15" s="6">
        <v>394.90786026244223</v>
      </c>
      <c r="AJ15" s="6">
        <v>303.3909562865166</v>
      </c>
      <c r="AK15" s="6">
        <v>-8299.469709862422</v>
      </c>
      <c r="AL15" s="6">
        <v>0</v>
      </c>
      <c r="AM15" s="6">
        <v>0</v>
      </c>
      <c r="AN15" s="6">
        <v>0</v>
      </c>
      <c r="AO15" s="6">
        <v>0</v>
      </c>
      <c r="AP15" s="6">
        <v>0</v>
      </c>
      <c r="AQ15" s="6">
        <v>-8299.469709862422</v>
      </c>
      <c r="AR15" s="6">
        <v>1206.0944581589199</v>
      </c>
      <c r="AS15" s="6">
        <v>150.065946</v>
      </c>
      <c r="AT15" s="6">
        <v>12517.90541975739</v>
      </c>
      <c r="AU15" s="6">
        <v>10834.285623389531</v>
      </c>
    </row>
    <row r="16" spans="1:47" x14ac:dyDescent="0.35">
      <c r="A16" s="5">
        <v>46022</v>
      </c>
      <c r="B16" s="4" t="s">
        <v>72</v>
      </c>
      <c r="C16" s="4" t="s">
        <v>73</v>
      </c>
      <c r="D16" s="4" t="s">
        <v>62</v>
      </c>
      <c r="E16" s="6">
        <v>1434.2857140000001</v>
      </c>
      <c r="F16" s="7">
        <v>0.5857</v>
      </c>
      <c r="G16" s="6">
        <v>31.43</v>
      </c>
      <c r="H16" s="6">
        <v>2.64</v>
      </c>
      <c r="I16" s="6">
        <v>100</v>
      </c>
      <c r="J16" s="6">
        <v>2.6402800000000002</v>
      </c>
      <c r="K16" s="8">
        <v>23.218</v>
      </c>
      <c r="L16" s="6">
        <v>237.38326023232739</v>
      </c>
      <c r="M16" s="6">
        <v>176.0410815596579</v>
      </c>
      <c r="N16" s="6">
        <v>54.890552807904321</v>
      </c>
      <c r="O16" s="6">
        <v>521.20985381221965</v>
      </c>
      <c r="P16" s="6">
        <v>989.52474841210926</v>
      </c>
      <c r="Q16" s="6">
        <v>187.9975918320693</v>
      </c>
      <c r="R16" s="6">
        <v>385.54475002383612</v>
      </c>
      <c r="S16" s="6">
        <v>638.27526537348751</v>
      </c>
      <c r="T16" s="6">
        <v>311.72429619523803</v>
      </c>
      <c r="U16" s="6">
        <v>1523.5419034246311</v>
      </c>
      <c r="V16" s="6">
        <v>2513.0666518367402</v>
      </c>
      <c r="W16" s="6">
        <v>5.8171354321871842</v>
      </c>
      <c r="X16" s="6">
        <v>4.4576197660096648</v>
      </c>
      <c r="Y16" s="6">
        <v>-3947.1318714666031</v>
      </c>
      <c r="Z16" s="6">
        <v>-1423.7904644316659</v>
      </c>
      <c r="AA16" s="6">
        <v>259.46193800343133</v>
      </c>
      <c r="AB16" s="6">
        <v>-1164.328526428234</v>
      </c>
      <c r="AC16" s="6">
        <v>0</v>
      </c>
      <c r="AD16" s="6">
        <v>317.33284364255161</v>
      </c>
      <c r="AE16" s="6">
        <v>0</v>
      </c>
      <c r="AF16" s="6">
        <v>0</v>
      </c>
      <c r="AG16" s="6">
        <v>-846.99568278568279</v>
      </c>
      <c r="AH16" s="6">
        <v>45.771704283573079</v>
      </c>
      <c r="AI16" s="6">
        <v>0</v>
      </c>
      <c r="AJ16" s="6">
        <v>181.75265139081961</v>
      </c>
      <c r="AK16" s="6">
        <v>-936.80417075384173</v>
      </c>
      <c r="AL16" s="6">
        <v>0</v>
      </c>
      <c r="AM16" s="6">
        <v>0</v>
      </c>
      <c r="AN16" s="6">
        <v>0</v>
      </c>
      <c r="AO16" s="6">
        <v>0</v>
      </c>
      <c r="AP16" s="6">
        <v>0</v>
      </c>
      <c r="AQ16" s="6">
        <v>-936.80417075384173</v>
      </c>
      <c r="AR16" s="6">
        <v>1206.0091343833831</v>
      </c>
      <c r="AS16" s="6">
        <v>301.31555700000001</v>
      </c>
      <c r="AT16" s="6">
        <v>2629.7995988150492</v>
      </c>
      <c r="AU16" s="6">
        <v>2370.3376608116168</v>
      </c>
    </row>
    <row r="17" spans="1:47" x14ac:dyDescent="0.35">
      <c r="A17" s="5">
        <v>46022</v>
      </c>
      <c r="B17" s="4" t="s">
        <v>74</v>
      </c>
      <c r="C17" s="4" t="s">
        <v>75</v>
      </c>
      <c r="D17" s="4" t="s">
        <v>76</v>
      </c>
      <c r="E17" s="6">
        <v>2296.2963869999999</v>
      </c>
      <c r="F17" s="7">
        <v>0.12</v>
      </c>
      <c r="G17" s="6">
        <v>72</v>
      </c>
      <c r="H17" s="6">
        <v>1.984</v>
      </c>
      <c r="I17" s="6">
        <v>90</v>
      </c>
      <c r="J17" s="6">
        <v>1.7856000000000001</v>
      </c>
      <c r="K17" s="8">
        <v>7.9486680030822798</v>
      </c>
      <c r="L17" s="6">
        <v>761.50771690540967</v>
      </c>
      <c r="M17" s="6">
        <v>593.39631675952785</v>
      </c>
      <c r="N17" s="6">
        <v>223.9521089453161</v>
      </c>
      <c r="O17" s="6">
        <v>2824.4347566154652</v>
      </c>
      <c r="P17" s="6">
        <v>4403.290899225718</v>
      </c>
      <c r="Q17" s="6">
        <v>774.52275108898937</v>
      </c>
      <c r="R17" s="6">
        <v>4966.2687321510648</v>
      </c>
      <c r="S17" s="6">
        <v>1223.9973136793751</v>
      </c>
      <c r="T17" s="6">
        <v>1726.5950793804061</v>
      </c>
      <c r="U17" s="6">
        <v>8691.3838762998366</v>
      </c>
      <c r="V17" s="6">
        <v>13094.674775525549</v>
      </c>
      <c r="W17" s="6">
        <v>6.0782627064968171</v>
      </c>
      <c r="X17" s="6">
        <v>393.506531</v>
      </c>
      <c r="Y17" s="6">
        <v>-9959.4867205076098</v>
      </c>
      <c r="Z17" s="6">
        <v>3534.7728487244408</v>
      </c>
      <c r="AA17" s="6">
        <v>0</v>
      </c>
      <c r="AB17" s="6">
        <v>3534.7728487244408</v>
      </c>
      <c r="AC17" s="6">
        <v>0</v>
      </c>
      <c r="AD17" s="6">
        <v>3586.311015220238</v>
      </c>
      <c r="AE17" s="6">
        <v>0</v>
      </c>
      <c r="AF17" s="6">
        <v>0</v>
      </c>
      <c r="AG17" s="6">
        <v>7121.0838639446793</v>
      </c>
      <c r="AH17" s="6">
        <v>405.2008686036508</v>
      </c>
      <c r="AI17" s="6">
        <v>0</v>
      </c>
      <c r="AJ17" s="6">
        <v>1832.4217291693581</v>
      </c>
      <c r="AK17" s="6">
        <v>5772.3954464974486</v>
      </c>
      <c r="AL17" s="6">
        <v>0</v>
      </c>
      <c r="AM17" s="6">
        <v>0</v>
      </c>
      <c r="AN17" s="6">
        <v>0</v>
      </c>
      <c r="AO17" s="6">
        <v>0</v>
      </c>
      <c r="AP17" s="6">
        <v>0</v>
      </c>
      <c r="AQ17" s="6">
        <v>5772.3954464974486</v>
      </c>
      <c r="AR17" s="6">
        <v>1205.9999989886601</v>
      </c>
      <c r="AS17" s="6">
        <v>576.45222899999999</v>
      </c>
      <c r="AT17" s="6">
        <v>-2328.7728497357812</v>
      </c>
      <c r="AU17" s="6">
        <v>-2328.7728497357812</v>
      </c>
    </row>
    <row r="18" spans="1:47" x14ac:dyDescent="0.35">
      <c r="A18" s="5">
        <v>46022</v>
      </c>
      <c r="B18" s="4" t="s">
        <v>77</v>
      </c>
      <c r="C18" s="4" t="s">
        <v>78</v>
      </c>
      <c r="D18" s="4" t="s">
        <v>79</v>
      </c>
      <c r="E18" s="6">
        <v>4540</v>
      </c>
      <c r="F18" s="7">
        <v>4.1999999999999997E-3</v>
      </c>
      <c r="G18" s="6">
        <v>40</v>
      </c>
      <c r="H18" s="6">
        <v>7.6999999999999999E-2</v>
      </c>
      <c r="I18" s="6">
        <v>95</v>
      </c>
      <c r="J18" s="6">
        <v>7.2811000000000001E-2</v>
      </c>
      <c r="K18" s="8">
        <v>0.35599999999999998</v>
      </c>
      <c r="L18" s="6">
        <v>175712.48093065829</v>
      </c>
      <c r="M18" s="6">
        <v>2002.138218902337</v>
      </c>
      <c r="N18" s="6">
        <v>49429.734559774181</v>
      </c>
      <c r="O18" s="6">
        <v>72933.256120044432</v>
      </c>
      <c r="P18" s="6">
        <v>300077.60982937919</v>
      </c>
      <c r="Q18" s="6">
        <v>10001.54156246439</v>
      </c>
      <c r="R18" s="6">
        <v>5226.9141223979659</v>
      </c>
      <c r="S18" s="6">
        <v>18748.593189974879</v>
      </c>
      <c r="T18" s="6">
        <v>22757.434494773159</v>
      </c>
      <c r="U18" s="6">
        <v>56734.483369610403</v>
      </c>
      <c r="V18" s="6">
        <v>356812.09319898958</v>
      </c>
      <c r="W18" s="6">
        <v>300.64845295200701</v>
      </c>
      <c r="X18" s="6">
        <v>0</v>
      </c>
      <c r="Y18" s="6">
        <v>-389318.82599117549</v>
      </c>
      <c r="Z18" s="6">
        <v>-32206.084339233908</v>
      </c>
      <c r="AA18" s="6">
        <v>5576.6222297742988</v>
      </c>
      <c r="AB18" s="6">
        <v>-26629.462109459611</v>
      </c>
      <c r="AC18" s="6">
        <v>0</v>
      </c>
      <c r="AD18" s="6">
        <v>87553.184489080217</v>
      </c>
      <c r="AE18" s="6">
        <v>0</v>
      </c>
      <c r="AF18" s="6">
        <v>0</v>
      </c>
      <c r="AG18" s="6">
        <v>60923.722379620587</v>
      </c>
      <c r="AH18" s="6">
        <v>2038.6995792656539</v>
      </c>
      <c r="AI18" s="6">
        <v>0</v>
      </c>
      <c r="AJ18" s="6">
        <v>53521.815393995603</v>
      </c>
      <c r="AK18" s="6">
        <v>28931.05286380164</v>
      </c>
      <c r="AL18" s="6">
        <v>0</v>
      </c>
      <c r="AM18" s="6">
        <v>0</v>
      </c>
      <c r="AN18" s="6">
        <v>0</v>
      </c>
      <c r="AO18" s="6">
        <v>0</v>
      </c>
      <c r="AP18" s="6">
        <v>0</v>
      </c>
      <c r="AQ18" s="6">
        <v>28931.05286380164</v>
      </c>
      <c r="AR18" s="6">
        <v>1205.817801243966</v>
      </c>
      <c r="AS18" s="6">
        <v>653.03340300000002</v>
      </c>
      <c r="AT18" s="6">
        <v>33411.902140477883</v>
      </c>
      <c r="AU18" s="6">
        <v>27835.279910703579</v>
      </c>
    </row>
    <row r="19" spans="1:47" x14ac:dyDescent="0.35">
      <c r="A19" s="5">
        <v>46022</v>
      </c>
      <c r="B19" s="4" t="s">
        <v>85</v>
      </c>
      <c r="C19" s="4" t="s">
        <v>86</v>
      </c>
      <c r="D19" s="4" t="s">
        <v>57</v>
      </c>
      <c r="E19" s="6">
        <v>13500</v>
      </c>
      <c r="F19" s="7">
        <v>0.03</v>
      </c>
      <c r="G19" s="6">
        <v>75</v>
      </c>
      <c r="H19" s="6">
        <v>3.0369999999999999</v>
      </c>
      <c r="I19" s="6">
        <v>95</v>
      </c>
      <c r="J19" s="6">
        <v>2.8856250000000001</v>
      </c>
      <c r="K19" s="8">
        <v>2.976</v>
      </c>
      <c r="L19" s="6">
        <v>7101.1094042118548</v>
      </c>
      <c r="M19" s="6">
        <v>183.13927220684911</v>
      </c>
      <c r="N19" s="6">
        <v>381.69156009455901</v>
      </c>
      <c r="O19" s="6">
        <v>1483.907225742372</v>
      </c>
      <c r="P19" s="6">
        <v>9149.847462255635</v>
      </c>
      <c r="Q19" s="6">
        <v>240.71483929160229</v>
      </c>
      <c r="R19" s="6">
        <v>149.30435840572159</v>
      </c>
      <c r="S19" s="6">
        <v>503.63819763927478</v>
      </c>
      <c r="T19" s="6">
        <v>389.92794870593212</v>
      </c>
      <c r="U19" s="6">
        <v>1283.585344042531</v>
      </c>
      <c r="V19" s="6">
        <v>10433.432806298169</v>
      </c>
      <c r="W19" s="6">
        <v>254.81817916506381</v>
      </c>
      <c r="X19" s="6">
        <v>700.80974438799217</v>
      </c>
      <c r="Y19" s="6">
        <v>-45512.425980849672</v>
      </c>
      <c r="Z19" s="6">
        <v>-34123.365250998453</v>
      </c>
      <c r="AA19" s="6">
        <v>765.77779081633958</v>
      </c>
      <c r="AB19" s="6">
        <v>-33357.587460182112</v>
      </c>
      <c r="AC19" s="6">
        <v>0</v>
      </c>
      <c r="AD19" s="6">
        <v>3787.3381953172402</v>
      </c>
      <c r="AE19" s="6">
        <v>0</v>
      </c>
      <c r="AF19" s="6">
        <v>0</v>
      </c>
      <c r="AG19" s="6">
        <v>-29570.249264864869</v>
      </c>
      <c r="AH19" s="6">
        <v>550.16627055691686</v>
      </c>
      <c r="AI19" s="6">
        <v>0</v>
      </c>
      <c r="AJ19" s="6">
        <v>2829.426018932963</v>
      </c>
      <c r="AK19" s="6">
        <v>-29977.995170692229</v>
      </c>
      <c r="AL19" s="6">
        <v>0</v>
      </c>
      <c r="AM19" s="6">
        <v>0</v>
      </c>
      <c r="AN19" s="6">
        <v>0</v>
      </c>
      <c r="AO19" s="6">
        <v>0</v>
      </c>
      <c r="AP19" s="6">
        <v>0</v>
      </c>
      <c r="AQ19" s="6">
        <v>-29977.995170692229</v>
      </c>
      <c r="AR19" s="6">
        <v>1205.989550645588</v>
      </c>
      <c r="AS19" s="6">
        <v>3184.5192280000001</v>
      </c>
      <c r="AT19" s="6">
        <v>35329.35480164404</v>
      </c>
      <c r="AU19" s="6">
        <v>34563.577010827699</v>
      </c>
    </row>
    <row r="20" spans="1:47" x14ac:dyDescent="0.35">
      <c r="A20" s="5">
        <v>46022</v>
      </c>
      <c r="B20" s="4" t="s">
        <v>58</v>
      </c>
      <c r="C20" s="4" t="s">
        <v>59</v>
      </c>
      <c r="D20" s="4" t="s">
        <v>57</v>
      </c>
      <c r="E20" s="6">
        <v>1000</v>
      </c>
      <c r="F20" s="7">
        <v>2.5999999999999999E-2</v>
      </c>
      <c r="G20" s="6">
        <v>70</v>
      </c>
      <c r="H20" s="6">
        <v>0.182</v>
      </c>
      <c r="I20" s="6">
        <v>95</v>
      </c>
      <c r="J20" s="6">
        <v>0.172925</v>
      </c>
      <c r="K20" s="8">
        <v>2.1030000000000002</v>
      </c>
      <c r="L20" s="6">
        <v>2677.3286688309322</v>
      </c>
      <c r="M20" s="6">
        <v>153.84447231109439</v>
      </c>
      <c r="N20" s="6">
        <v>361.62453329460169</v>
      </c>
      <c r="O20" s="6">
        <v>1349.356838434257</v>
      </c>
      <c r="P20" s="6">
        <v>4542.1545128708858</v>
      </c>
      <c r="Q20" s="6">
        <v>863.25874209768972</v>
      </c>
      <c r="R20" s="6">
        <v>388.46602736991179</v>
      </c>
      <c r="S20" s="6">
        <v>949.33676352133</v>
      </c>
      <c r="T20" s="6">
        <v>2212.3343886738362</v>
      </c>
      <c r="U20" s="6">
        <v>4413.3959216627673</v>
      </c>
      <c r="V20" s="6">
        <v>8955.5504345336522</v>
      </c>
      <c r="W20" s="6">
        <v>79.077964272765414</v>
      </c>
      <c r="X20" s="6">
        <v>609.91181147896486</v>
      </c>
      <c r="Y20" s="6">
        <v>-27652.064883400759</v>
      </c>
      <c r="Z20" s="6">
        <v>-18007.524673115371</v>
      </c>
      <c r="AA20" s="6">
        <v>812.14189434036962</v>
      </c>
      <c r="AB20" s="6">
        <v>-17195.382778775001</v>
      </c>
      <c r="AC20" s="6">
        <v>0</v>
      </c>
      <c r="AD20" s="6">
        <v>1105.454115916883</v>
      </c>
      <c r="AE20" s="6">
        <v>0</v>
      </c>
      <c r="AF20" s="6">
        <v>0</v>
      </c>
      <c r="AG20" s="6">
        <v>-16089.928662858119</v>
      </c>
      <c r="AH20" s="6">
        <v>747.15325989293046</v>
      </c>
      <c r="AI20" s="6">
        <v>400.39438534345521</v>
      </c>
      <c r="AJ20" s="6">
        <v>450.48929193893298</v>
      </c>
      <c r="AK20" s="6">
        <v>-15597.34584159969</v>
      </c>
      <c r="AL20" s="6">
        <v>0</v>
      </c>
      <c r="AM20" s="6">
        <v>0</v>
      </c>
      <c r="AN20" s="6">
        <v>0</v>
      </c>
      <c r="AO20" s="6">
        <v>0</v>
      </c>
      <c r="AP20" s="6">
        <v>0</v>
      </c>
      <c r="AQ20" s="6">
        <v>-15597.34584159969</v>
      </c>
      <c r="AR20" s="6">
        <v>1205.825645945579</v>
      </c>
      <c r="AS20" s="6">
        <v>126.216853</v>
      </c>
      <c r="AT20" s="6">
        <v>19213.350319060952</v>
      </c>
      <c r="AU20" s="6">
        <v>18401.208424720578</v>
      </c>
    </row>
    <row r="21" spans="1:47" x14ac:dyDescent="0.35">
      <c r="A21" s="5">
        <v>46022</v>
      </c>
      <c r="B21" s="4" t="s">
        <v>60</v>
      </c>
      <c r="C21" s="4" t="s">
        <v>61</v>
      </c>
      <c r="D21" s="4" t="s">
        <v>62</v>
      </c>
      <c r="E21" s="6">
        <v>2100</v>
      </c>
      <c r="F21" s="7">
        <v>0.55000000000000004</v>
      </c>
      <c r="G21" s="6">
        <v>68</v>
      </c>
      <c r="H21" s="6">
        <v>7.8540000000000001</v>
      </c>
      <c r="I21" s="6">
        <v>100</v>
      </c>
      <c r="J21" s="6">
        <v>7.8540000000000001</v>
      </c>
      <c r="K21" s="8">
        <v>33.542000000000002</v>
      </c>
      <c r="L21" s="6">
        <v>38.084816070885289</v>
      </c>
      <c r="M21" s="6">
        <v>56.321194103279403</v>
      </c>
      <c r="N21" s="6">
        <v>17.835470294888228</v>
      </c>
      <c r="O21" s="6">
        <v>194.4676016420735</v>
      </c>
      <c r="P21" s="6">
        <v>306.70908211112641</v>
      </c>
      <c r="Q21" s="6">
        <v>56.385097263641171</v>
      </c>
      <c r="R21" s="6">
        <v>25.331666359773529</v>
      </c>
      <c r="S21" s="6">
        <v>70.795884524338234</v>
      </c>
      <c r="T21" s="6">
        <v>69.042143607376474</v>
      </c>
      <c r="U21" s="6">
        <v>221.5547917551294</v>
      </c>
      <c r="V21" s="6">
        <v>528.26387386625595</v>
      </c>
      <c r="W21" s="6">
        <v>28.65368471013036</v>
      </c>
      <c r="X21" s="6">
        <v>620.24133583952937</v>
      </c>
      <c r="Y21" s="6">
        <v>-2734.9411741770919</v>
      </c>
      <c r="Z21" s="6">
        <v>-1557.7822797611771</v>
      </c>
      <c r="AA21" s="6">
        <v>330.69101797450071</v>
      </c>
      <c r="AB21" s="6">
        <v>-1227.0912617866761</v>
      </c>
      <c r="AC21" s="6">
        <v>0.1790355766294118</v>
      </c>
      <c r="AD21" s="6">
        <v>142.75115842327941</v>
      </c>
      <c r="AE21" s="6">
        <v>0</v>
      </c>
      <c r="AF21" s="6">
        <v>0</v>
      </c>
      <c r="AG21" s="6">
        <v>-1084.161067786767</v>
      </c>
      <c r="AH21" s="6">
        <v>4.5408477241235303</v>
      </c>
      <c r="AI21" s="6">
        <v>12.3591550124</v>
      </c>
      <c r="AJ21" s="6">
        <v>2.8876490731323532</v>
      </c>
      <c r="AK21" s="6">
        <v>-1207.1245744003911</v>
      </c>
      <c r="AL21" s="6">
        <v>0</v>
      </c>
      <c r="AM21" s="6">
        <v>0</v>
      </c>
      <c r="AN21" s="6">
        <v>0</v>
      </c>
      <c r="AO21" s="6">
        <v>0</v>
      </c>
      <c r="AP21" s="6">
        <v>0</v>
      </c>
      <c r="AQ21" s="6">
        <v>-1207.1245744003911</v>
      </c>
      <c r="AR21" s="6">
        <v>1205.9999989886601</v>
      </c>
      <c r="AS21" s="6">
        <v>682.37814400000002</v>
      </c>
      <c r="AT21" s="6">
        <v>2763.7822787498362</v>
      </c>
      <c r="AU21" s="6">
        <v>2433.0912607753362</v>
      </c>
    </row>
    <row r="22" spans="1:47" x14ac:dyDescent="0.35">
      <c r="A22" s="5">
        <v>46022</v>
      </c>
      <c r="B22" s="4" t="s">
        <v>80</v>
      </c>
      <c r="C22" s="4" t="s">
        <v>81</v>
      </c>
      <c r="D22" s="4" t="s">
        <v>62</v>
      </c>
      <c r="E22" s="6">
        <v>8450</v>
      </c>
      <c r="F22" s="7">
        <v>0.58260000000000001</v>
      </c>
      <c r="G22" s="6">
        <v>45</v>
      </c>
      <c r="H22" s="6">
        <v>22.152999999999999</v>
      </c>
      <c r="I22" s="6">
        <v>100</v>
      </c>
      <c r="J22" s="6">
        <v>22.152958000000002</v>
      </c>
      <c r="K22" s="8">
        <v>26.206</v>
      </c>
      <c r="L22" s="6">
        <v>166.4669424274876</v>
      </c>
      <c r="M22" s="6">
        <v>184.5537189861432</v>
      </c>
      <c r="N22" s="6">
        <v>43.60468390123313</v>
      </c>
      <c r="O22" s="6">
        <v>330.68083007323298</v>
      </c>
      <c r="P22" s="6">
        <v>725.30617538809702</v>
      </c>
      <c r="Q22" s="6">
        <v>37.604894575171201</v>
      </c>
      <c r="R22" s="6">
        <v>229.35520144799781</v>
      </c>
      <c r="S22" s="6">
        <v>573.65564481779495</v>
      </c>
      <c r="T22" s="6">
        <v>411.71564329403049</v>
      </c>
      <c r="U22" s="6">
        <v>1252.3313841349941</v>
      </c>
      <c r="V22" s="6">
        <v>1977.6375595230911</v>
      </c>
      <c r="W22" s="6">
        <v>39.311342282415907</v>
      </c>
      <c r="X22" s="6">
        <v>183.13037604793141</v>
      </c>
      <c r="Y22" s="6">
        <v>-2764.0096507278531</v>
      </c>
      <c r="Z22" s="6">
        <v>-563.93037287441393</v>
      </c>
      <c r="AA22" s="6">
        <v>278.31653124749022</v>
      </c>
      <c r="AB22" s="6">
        <v>-285.61384162692372</v>
      </c>
      <c r="AC22" s="6">
        <v>9.6343045408235461</v>
      </c>
      <c r="AD22" s="6">
        <v>1115.942111425928</v>
      </c>
      <c r="AE22" s="6">
        <v>0</v>
      </c>
      <c r="AF22" s="6">
        <v>0</v>
      </c>
      <c r="AG22" s="6">
        <v>839.9625743398276</v>
      </c>
      <c r="AH22" s="6">
        <v>19.712451582595751</v>
      </c>
      <c r="AI22" s="6">
        <v>0</v>
      </c>
      <c r="AJ22" s="6">
        <v>671.32587498269709</v>
      </c>
      <c r="AK22" s="6">
        <v>415.05878947919268</v>
      </c>
      <c r="AL22" s="6">
        <v>0</v>
      </c>
      <c r="AM22" s="6">
        <v>0</v>
      </c>
      <c r="AN22" s="6">
        <v>0</v>
      </c>
      <c r="AO22" s="6">
        <v>0</v>
      </c>
      <c r="AP22" s="6">
        <v>0</v>
      </c>
      <c r="AQ22" s="6">
        <v>415.05878947919268</v>
      </c>
      <c r="AR22" s="6">
        <v>1206.0022854553231</v>
      </c>
      <c r="AS22" s="6">
        <v>1977.91065</v>
      </c>
      <c r="AT22" s="6">
        <v>1769.932658329737</v>
      </c>
      <c r="AU22" s="6">
        <v>1491.6161270822461</v>
      </c>
    </row>
    <row r="23" spans="1:47" x14ac:dyDescent="0.35">
      <c r="A23" s="5">
        <v>46022</v>
      </c>
      <c r="B23" s="4" t="s">
        <v>82</v>
      </c>
      <c r="C23" s="4" t="s">
        <v>83</v>
      </c>
      <c r="D23" s="4" t="s">
        <v>84</v>
      </c>
      <c r="E23" s="6">
        <v>10033.333333</v>
      </c>
      <c r="F23" s="7">
        <v>1.06E-2</v>
      </c>
      <c r="G23" s="6">
        <v>48.69</v>
      </c>
      <c r="H23" s="6">
        <v>0.52</v>
      </c>
      <c r="I23" s="6">
        <v>50</v>
      </c>
      <c r="J23" s="6">
        <v>0.26</v>
      </c>
      <c r="K23" s="8">
        <v>0.70499999999999996</v>
      </c>
      <c r="L23" s="6">
        <v>1380.987877521791</v>
      </c>
      <c r="M23" s="6">
        <v>733.0418189731522</v>
      </c>
      <c r="N23" s="6">
        <v>76.261484936237679</v>
      </c>
      <c r="O23" s="6">
        <v>1907.538352963955</v>
      </c>
      <c r="P23" s="6">
        <v>4097.8295343951359</v>
      </c>
      <c r="Q23" s="6">
        <v>591.85444808266084</v>
      </c>
      <c r="R23" s="6">
        <v>1549.0474095567261</v>
      </c>
      <c r="S23" s="6">
        <v>2037.5161537678771</v>
      </c>
      <c r="T23" s="6">
        <v>949.31790591199854</v>
      </c>
      <c r="U23" s="6">
        <v>5127.7359173192617</v>
      </c>
      <c r="V23" s="6">
        <v>9225.5654517143976</v>
      </c>
      <c r="W23" s="6">
        <v>2376.6201193168422</v>
      </c>
      <c r="X23" s="6">
        <v>5116.7890133817382</v>
      </c>
      <c r="Y23" s="6">
        <v>-70817.040265875927</v>
      </c>
      <c r="Z23" s="6">
        <v>-54098.06568146294</v>
      </c>
      <c r="AA23" s="6">
        <v>0</v>
      </c>
      <c r="AB23" s="6">
        <v>-54098.06568146294</v>
      </c>
      <c r="AC23" s="6">
        <v>0</v>
      </c>
      <c r="AD23" s="6">
        <v>1480.599716136174</v>
      </c>
      <c r="AE23" s="6">
        <v>0</v>
      </c>
      <c r="AF23" s="6">
        <v>0</v>
      </c>
      <c r="AG23" s="6">
        <v>-52617.465965326774</v>
      </c>
      <c r="AH23" s="6">
        <v>1133.981744917764</v>
      </c>
      <c r="AI23" s="6">
        <v>0</v>
      </c>
      <c r="AJ23" s="6">
        <v>19544.792153820621</v>
      </c>
      <c r="AK23" s="6">
        <v>-33419.291782724562</v>
      </c>
      <c r="AL23" s="6">
        <v>1856.3496166098571</v>
      </c>
      <c r="AM23" s="6">
        <v>0</v>
      </c>
      <c r="AN23" s="6">
        <v>0</v>
      </c>
      <c r="AO23" s="6">
        <v>0</v>
      </c>
      <c r="AP23" s="6">
        <v>0</v>
      </c>
      <c r="AQ23" s="6">
        <v>-31562.942166114699</v>
      </c>
      <c r="AR23" s="6">
        <v>1205.9999989886601</v>
      </c>
      <c r="AS23" s="6">
        <v>456.94987500000002</v>
      </c>
      <c r="AT23" s="6">
        <v>55304.065680451597</v>
      </c>
      <c r="AU23" s="6">
        <v>55304.065680451597</v>
      </c>
    </row>
    <row r="24" spans="1:47" x14ac:dyDescent="0.35">
      <c r="A24" s="5">
        <v>46022</v>
      </c>
      <c r="B24" s="4" t="s">
        <v>63</v>
      </c>
      <c r="C24" s="4" t="s">
        <v>64</v>
      </c>
      <c r="D24" s="4" t="s">
        <v>62</v>
      </c>
      <c r="E24" s="6">
        <v>7673.1501129999997</v>
      </c>
      <c r="F24" s="7">
        <v>1.1200000000000001</v>
      </c>
      <c r="G24" s="6">
        <v>72</v>
      </c>
      <c r="H24" s="6">
        <v>61.875999999999998</v>
      </c>
      <c r="I24" s="6">
        <v>63</v>
      </c>
      <c r="J24" s="6">
        <v>38.982058000000002</v>
      </c>
      <c r="K24" s="8">
        <v>28.686</v>
      </c>
      <c r="L24" s="6">
        <v>37.657598676884326</v>
      </c>
      <c r="M24" s="6">
        <v>38.455567396526781</v>
      </c>
      <c r="N24" s="6">
        <v>4.7882765957591218</v>
      </c>
      <c r="O24" s="6">
        <v>69.521857307773075</v>
      </c>
      <c r="P24" s="6">
        <v>150.4232999769433</v>
      </c>
      <c r="Q24" s="6">
        <v>23.500801104430838</v>
      </c>
      <c r="R24" s="6">
        <v>393.63904795291381</v>
      </c>
      <c r="S24" s="6">
        <v>46.037591639473298</v>
      </c>
      <c r="T24" s="6">
        <v>30.772830562026058</v>
      </c>
      <c r="U24" s="6">
        <v>493.950271258844</v>
      </c>
      <c r="V24" s="6">
        <v>644.37357123578727</v>
      </c>
      <c r="W24" s="6">
        <v>0</v>
      </c>
      <c r="X24" s="6">
        <v>415.42962592346379</v>
      </c>
      <c r="Y24" s="6">
        <v>-1885.4828018152241</v>
      </c>
      <c r="Z24" s="6">
        <v>-825.67960465597332</v>
      </c>
      <c r="AA24" s="6">
        <v>273.29269593118511</v>
      </c>
      <c r="AB24" s="6">
        <v>-552.38690872478821</v>
      </c>
      <c r="AC24" s="6">
        <v>17.743764019185221</v>
      </c>
      <c r="AD24" s="6">
        <v>95.380306252487543</v>
      </c>
      <c r="AE24" s="6">
        <v>0</v>
      </c>
      <c r="AF24" s="6">
        <v>0</v>
      </c>
      <c r="AG24" s="6">
        <v>-439.26283845311548</v>
      </c>
      <c r="AH24" s="6">
        <v>7.2564672193789939</v>
      </c>
      <c r="AI24" s="6">
        <v>0</v>
      </c>
      <c r="AJ24" s="6">
        <v>2.539073359821022</v>
      </c>
      <c r="AK24" s="6">
        <v>-524.84760412640298</v>
      </c>
      <c r="AL24" s="6">
        <v>108.2141171512947</v>
      </c>
      <c r="AM24" s="6">
        <v>0</v>
      </c>
      <c r="AN24" s="6">
        <v>0</v>
      </c>
      <c r="AO24" s="6">
        <v>0</v>
      </c>
      <c r="AP24" s="6">
        <v>0</v>
      </c>
      <c r="AQ24" s="6">
        <v>-416.63348697510821</v>
      </c>
      <c r="AR24" s="6">
        <v>1206.0012983556651</v>
      </c>
      <c r="AS24" s="6">
        <v>2656.8439079999998</v>
      </c>
      <c r="AT24" s="6">
        <v>2031.6809030116381</v>
      </c>
      <c r="AU24" s="6">
        <v>1758.388207080453</v>
      </c>
    </row>
    <row r="25" spans="1:47" x14ac:dyDescent="0.35">
      <c r="A25" s="5">
        <v>46022</v>
      </c>
      <c r="B25" s="4" t="s">
        <v>65</v>
      </c>
      <c r="C25" s="4" t="s">
        <v>66</v>
      </c>
      <c r="D25" s="4" t="s">
        <v>62</v>
      </c>
      <c r="E25" s="6">
        <v>4039.5137890000001</v>
      </c>
      <c r="F25" s="7">
        <v>6.1600000000000002E-2</v>
      </c>
      <c r="G25" s="6">
        <v>9.77</v>
      </c>
      <c r="H25" s="6">
        <v>0.24299999999999999</v>
      </c>
      <c r="I25" s="6">
        <v>70</v>
      </c>
      <c r="J25" s="6">
        <v>0.1701</v>
      </c>
      <c r="K25" s="8">
        <v>0.38300000000000001</v>
      </c>
      <c r="L25" s="6">
        <v>6533.276903090692</v>
      </c>
      <c r="M25" s="6">
        <v>16074.48352521155</v>
      </c>
      <c r="N25" s="6">
        <v>2387.5602443477701</v>
      </c>
      <c r="O25" s="6">
        <v>28923.712990808919</v>
      </c>
      <c r="P25" s="6">
        <v>53919.033663458933</v>
      </c>
      <c r="Q25" s="6">
        <v>3815.5743659863119</v>
      </c>
      <c r="R25" s="6">
        <v>3550.0955222426401</v>
      </c>
      <c r="S25" s="6">
        <v>9788.4013182125946</v>
      </c>
      <c r="T25" s="6">
        <v>12709.978457030829</v>
      </c>
      <c r="U25" s="6">
        <v>29864.049663472371</v>
      </c>
      <c r="V25" s="6">
        <v>83783.083326931315</v>
      </c>
      <c r="W25" s="6">
        <v>13.093221099384801</v>
      </c>
      <c r="X25" s="6">
        <v>250</v>
      </c>
      <c r="Y25" s="6">
        <v>-244689.50091998579</v>
      </c>
      <c r="Z25" s="6">
        <v>-160643.3243719551</v>
      </c>
      <c r="AA25" s="6">
        <v>9263.1911916358258</v>
      </c>
      <c r="AB25" s="6">
        <v>-151380.1331803193</v>
      </c>
      <c r="AC25" s="6">
        <v>0</v>
      </c>
      <c r="AD25" s="6">
        <v>14098.86704485215</v>
      </c>
      <c r="AE25" s="6">
        <v>0</v>
      </c>
      <c r="AF25" s="6">
        <v>0</v>
      </c>
      <c r="AG25" s="6">
        <v>-137281.26613546719</v>
      </c>
      <c r="AH25" s="6">
        <v>1303.3945244986651</v>
      </c>
      <c r="AI25" s="6">
        <v>0</v>
      </c>
      <c r="AJ25" s="6">
        <v>3177.6973944388951</v>
      </c>
      <c r="AK25" s="6">
        <v>-146899.04126138179</v>
      </c>
      <c r="AL25" s="6">
        <v>0</v>
      </c>
      <c r="AM25" s="6">
        <v>0</v>
      </c>
      <c r="AN25" s="6">
        <v>0</v>
      </c>
      <c r="AO25" s="6">
        <v>0</v>
      </c>
      <c r="AP25" s="6">
        <v>0</v>
      </c>
      <c r="AQ25" s="6">
        <v>-146899.04126138179</v>
      </c>
      <c r="AR25" s="6">
        <v>1205.9999989886601</v>
      </c>
      <c r="AS25" s="6">
        <v>992.50215700000001</v>
      </c>
      <c r="AT25" s="6">
        <v>161849.3243709438</v>
      </c>
      <c r="AU25" s="6">
        <v>152586.133179308</v>
      </c>
    </row>
    <row r="26" spans="1:47" x14ac:dyDescent="0.35">
      <c r="A26" s="5">
        <v>46022</v>
      </c>
      <c r="B26" s="4" t="s">
        <v>87</v>
      </c>
      <c r="C26" s="4" t="s">
        <v>88</v>
      </c>
      <c r="D26" s="4" t="s">
        <v>89</v>
      </c>
      <c r="E26" s="6">
        <v>880</v>
      </c>
      <c r="F26" s="7">
        <v>0.03</v>
      </c>
      <c r="G26" s="6">
        <v>44.5</v>
      </c>
      <c r="H26" s="6">
        <v>0.11700000000000001</v>
      </c>
      <c r="I26" s="6">
        <v>100</v>
      </c>
      <c r="J26" s="6">
        <v>0.11748</v>
      </c>
      <c r="K26" s="8">
        <v>0.57999999999999996</v>
      </c>
      <c r="L26" s="6">
        <v>12710.2972469909</v>
      </c>
      <c r="M26" s="6">
        <v>957.97043673128826</v>
      </c>
      <c r="N26" s="6">
        <v>2675.2921631828858</v>
      </c>
      <c r="O26" s="6">
        <v>32340.9595984343</v>
      </c>
      <c r="P26" s="6">
        <v>48684.519445339371</v>
      </c>
      <c r="Q26" s="6">
        <v>5486.2892084695077</v>
      </c>
      <c r="R26" s="6">
        <v>3750.5825334658871</v>
      </c>
      <c r="S26" s="6">
        <v>3849.7533086237818</v>
      </c>
      <c r="T26" s="6">
        <v>6995.1649774956286</v>
      </c>
      <c r="U26" s="6">
        <v>20081.790028054798</v>
      </c>
      <c r="V26" s="6">
        <v>68766.309473394169</v>
      </c>
      <c r="W26" s="6">
        <v>10908.84582132528</v>
      </c>
      <c r="X26" s="6">
        <v>722.97483254596534</v>
      </c>
      <c r="Y26" s="6">
        <v>-80500.921147202855</v>
      </c>
      <c r="Z26" s="6">
        <v>-102.7910199374361</v>
      </c>
      <c r="AA26" s="6">
        <v>0</v>
      </c>
      <c r="AB26" s="6">
        <v>-102.7910199374361</v>
      </c>
      <c r="AC26" s="6">
        <v>0</v>
      </c>
      <c r="AD26" s="6">
        <v>13237.48960745371</v>
      </c>
      <c r="AE26" s="6">
        <v>0</v>
      </c>
      <c r="AF26" s="6">
        <v>0</v>
      </c>
      <c r="AG26" s="6">
        <v>13134.69858751627</v>
      </c>
      <c r="AH26" s="6">
        <v>586.19838006109615</v>
      </c>
      <c r="AI26" s="6">
        <v>0</v>
      </c>
      <c r="AJ26" s="6">
        <v>7506.6141027386448</v>
      </c>
      <c r="AK26" s="6">
        <v>7990.0214628623062</v>
      </c>
      <c r="AL26" s="6">
        <v>0</v>
      </c>
      <c r="AM26" s="6">
        <v>0</v>
      </c>
      <c r="AN26" s="6">
        <v>0</v>
      </c>
      <c r="AO26" s="6">
        <v>0</v>
      </c>
      <c r="AP26" s="6">
        <v>0</v>
      </c>
      <c r="AQ26" s="6">
        <v>7990.0214628623062</v>
      </c>
      <c r="AR26" s="6">
        <v>1206.205310530878</v>
      </c>
      <c r="AS26" s="6">
        <v>277.34097500000001</v>
      </c>
      <c r="AT26" s="6">
        <v>1308.996330468314</v>
      </c>
      <c r="AU26" s="6">
        <v>1308.996330468314</v>
      </c>
    </row>
    <row r="27" spans="1:47" x14ac:dyDescent="0.35">
      <c r="A27" s="5">
        <v>46022</v>
      </c>
      <c r="B27" s="4" t="s">
        <v>90</v>
      </c>
      <c r="C27" s="4" t="s">
        <v>91</v>
      </c>
      <c r="D27" s="4" t="s">
        <v>62</v>
      </c>
      <c r="E27" s="6">
        <v>8200</v>
      </c>
      <c r="F27" s="7">
        <v>0.32200000000000001</v>
      </c>
      <c r="G27" s="6">
        <v>85</v>
      </c>
      <c r="H27" s="6">
        <v>22.443000000000001</v>
      </c>
      <c r="I27" s="6">
        <v>69.5</v>
      </c>
      <c r="J27" s="6">
        <v>15.598163</v>
      </c>
      <c r="K27" s="8">
        <v>30.103000000000002</v>
      </c>
      <c r="L27" s="6">
        <v>11.786226513919299</v>
      </c>
      <c r="M27" s="6">
        <v>1.9889518052218069</v>
      </c>
      <c r="N27" s="6">
        <v>20.743567900627429</v>
      </c>
      <c r="O27" s="6">
        <v>1.4653526715560541</v>
      </c>
      <c r="P27" s="6">
        <v>35.984098891324592</v>
      </c>
      <c r="Q27" s="6">
        <v>12.561800875085099</v>
      </c>
      <c r="R27" s="6">
        <v>97.342487104193282</v>
      </c>
      <c r="S27" s="6">
        <v>198.41447941390271</v>
      </c>
      <c r="T27" s="6">
        <v>13.85453608928591</v>
      </c>
      <c r="U27" s="6">
        <v>322.17330348246702</v>
      </c>
      <c r="V27" s="6">
        <v>358.15740237379163</v>
      </c>
      <c r="W27" s="6">
        <v>26.358142688720431</v>
      </c>
      <c r="X27" s="6">
        <v>0</v>
      </c>
      <c r="Y27" s="6">
        <v>-2734.126366045949</v>
      </c>
      <c r="Z27" s="6">
        <v>-2349.610820983437</v>
      </c>
      <c r="AA27" s="6">
        <v>281.0455802702723</v>
      </c>
      <c r="AB27" s="6">
        <v>-2068.5652407131652</v>
      </c>
      <c r="AC27" s="6">
        <v>0</v>
      </c>
      <c r="AD27" s="6">
        <v>178.72092354769731</v>
      </c>
      <c r="AE27" s="6">
        <v>0</v>
      </c>
      <c r="AF27" s="6">
        <v>0</v>
      </c>
      <c r="AG27" s="6">
        <v>-1889.8443171654681</v>
      </c>
      <c r="AH27" s="6">
        <v>79.913298381302326</v>
      </c>
      <c r="AI27" s="6">
        <v>0</v>
      </c>
      <c r="AJ27" s="6">
        <v>35.815749775572691</v>
      </c>
      <c r="AK27" s="6">
        <v>-1952.8361925562899</v>
      </c>
      <c r="AL27" s="6">
        <v>0</v>
      </c>
      <c r="AM27" s="6">
        <v>0</v>
      </c>
      <c r="AN27" s="6">
        <v>0</v>
      </c>
      <c r="AO27" s="6">
        <v>0</v>
      </c>
      <c r="AP27" s="6">
        <v>0</v>
      </c>
      <c r="AQ27" s="6">
        <v>-1952.8361925562899</v>
      </c>
      <c r="AR27" s="6">
        <v>1206.0028597101409</v>
      </c>
      <c r="AS27" s="6">
        <v>1373.7575240000001</v>
      </c>
      <c r="AT27" s="6">
        <v>3555.6136806935779</v>
      </c>
      <c r="AU27" s="6">
        <v>3274.5681004233061</v>
      </c>
    </row>
    <row r="28" spans="1:47" x14ac:dyDescent="0.35">
      <c r="A28" s="5">
        <v>46022</v>
      </c>
      <c r="B28" s="4" t="s">
        <v>92</v>
      </c>
      <c r="C28" s="4" t="s">
        <v>93</v>
      </c>
      <c r="D28" s="4" t="s">
        <v>94</v>
      </c>
      <c r="E28" s="6">
        <v>2780</v>
      </c>
      <c r="F28" s="7">
        <v>0.01</v>
      </c>
      <c r="G28" s="6">
        <v>60</v>
      </c>
      <c r="H28" s="6">
        <v>0.16700000000000001</v>
      </c>
      <c r="I28" s="6">
        <v>90</v>
      </c>
      <c r="J28" s="6">
        <v>0.15012</v>
      </c>
      <c r="K28" s="8">
        <v>1.179</v>
      </c>
      <c r="L28" s="6">
        <v>20085.672413469048</v>
      </c>
      <c r="M28" s="6">
        <v>3784.0305077988519</v>
      </c>
      <c r="N28" s="6">
        <v>10338.63765097839</v>
      </c>
      <c r="O28" s="6">
        <v>22723.514481613809</v>
      </c>
      <c r="P28" s="6">
        <v>56931.855053860098</v>
      </c>
      <c r="Q28" s="6">
        <v>736.49289125377766</v>
      </c>
      <c r="R28" s="6">
        <v>2017.6922598525</v>
      </c>
      <c r="S28" s="6">
        <v>18741.60178244485</v>
      </c>
      <c r="T28" s="6">
        <v>758.14016711909255</v>
      </c>
      <c r="U28" s="6">
        <v>22253.927100670218</v>
      </c>
      <c r="V28" s="6">
        <v>79185.782154530316</v>
      </c>
      <c r="W28" s="6">
        <v>1070.928793456967</v>
      </c>
      <c r="X28" s="6">
        <v>120.45924446775911</v>
      </c>
      <c r="Y28" s="6">
        <v>-97769.214493017425</v>
      </c>
      <c r="Z28" s="6">
        <v>-17392.044300562371</v>
      </c>
      <c r="AA28" s="6">
        <v>4111.3477221914673</v>
      </c>
      <c r="AB28" s="6">
        <v>-13280.696578370909</v>
      </c>
      <c r="AC28" s="6">
        <v>0</v>
      </c>
      <c r="AD28" s="6">
        <v>17108.089660194291</v>
      </c>
      <c r="AE28" s="6">
        <v>0</v>
      </c>
      <c r="AF28" s="6">
        <v>0</v>
      </c>
      <c r="AG28" s="6">
        <v>3827.393081823388</v>
      </c>
      <c r="AH28" s="6">
        <v>2007.2310758229071</v>
      </c>
      <c r="AI28" s="6">
        <v>0</v>
      </c>
      <c r="AJ28" s="6">
        <v>16359.086019387219</v>
      </c>
      <c r="AK28" s="6">
        <v>5085.6205168392207</v>
      </c>
      <c r="AL28" s="6">
        <v>0</v>
      </c>
      <c r="AM28" s="6">
        <v>0</v>
      </c>
      <c r="AN28" s="6">
        <v>0</v>
      </c>
      <c r="AO28" s="6">
        <v>0</v>
      </c>
      <c r="AP28" s="6">
        <v>0</v>
      </c>
      <c r="AQ28" s="6">
        <v>5085.6205168392207</v>
      </c>
      <c r="AR28" s="6">
        <v>1205.839327525965</v>
      </c>
      <c r="AS28" s="6">
        <v>359.52989200000002</v>
      </c>
      <c r="AT28" s="6">
        <v>18597.883628088341</v>
      </c>
      <c r="AU28" s="6">
        <v>14486.53590589687</v>
      </c>
    </row>
    <row r="29" spans="1:47" x14ac:dyDescent="0.35">
      <c r="A29" s="5">
        <v>46022</v>
      </c>
      <c r="B29" s="4" t="s">
        <v>102</v>
      </c>
      <c r="C29" s="4" t="s">
        <v>103</v>
      </c>
      <c r="D29" s="4" t="s">
        <v>104</v>
      </c>
      <c r="E29" s="6">
        <v>3500</v>
      </c>
      <c r="F29" s="7">
        <v>0.12</v>
      </c>
      <c r="G29" s="6">
        <v>82</v>
      </c>
      <c r="H29" s="6">
        <v>3.444</v>
      </c>
      <c r="I29" s="6">
        <v>100</v>
      </c>
      <c r="J29" s="6">
        <v>3.444</v>
      </c>
      <c r="K29" s="8">
        <v>15.84</v>
      </c>
      <c r="L29" s="6">
        <v>10.514747854190761</v>
      </c>
      <c r="M29" s="6">
        <v>112.1968563648547</v>
      </c>
      <c r="N29" s="6">
        <v>0.1471467016347815</v>
      </c>
      <c r="O29" s="6">
        <v>10.560030263214809</v>
      </c>
      <c r="P29" s="6">
        <v>133.41878118389499</v>
      </c>
      <c r="Q29" s="6">
        <v>17.206894795971252</v>
      </c>
      <c r="R29" s="6">
        <v>61.452761896218831</v>
      </c>
      <c r="S29" s="6">
        <v>54.838950679414843</v>
      </c>
      <c r="T29" s="6">
        <v>38.61847715643809</v>
      </c>
      <c r="U29" s="6">
        <v>172.11708452804299</v>
      </c>
      <c r="V29" s="6">
        <v>305.53586571193802</v>
      </c>
      <c r="W29" s="6">
        <v>688.82391730580525</v>
      </c>
      <c r="X29" s="6">
        <v>233.95003500000001</v>
      </c>
      <c r="Y29" s="6">
        <v>-5162.9376839853921</v>
      </c>
      <c r="Z29" s="6">
        <v>-3934.6278659676491</v>
      </c>
      <c r="AA29" s="6">
        <v>428.97283708287841</v>
      </c>
      <c r="AB29" s="6">
        <v>-3505.6550288847711</v>
      </c>
      <c r="AC29" s="6">
        <v>3.841398797425474</v>
      </c>
      <c r="AD29" s="6">
        <v>43.268707439753683</v>
      </c>
      <c r="AE29" s="6">
        <v>0</v>
      </c>
      <c r="AF29" s="6">
        <v>0</v>
      </c>
      <c r="AG29" s="6">
        <v>-3458.5449226475912</v>
      </c>
      <c r="AH29" s="6">
        <v>10.65102915932702</v>
      </c>
      <c r="AI29" s="6">
        <v>0</v>
      </c>
      <c r="AJ29" s="6">
        <v>32.926275132118427</v>
      </c>
      <c r="AK29" s="6">
        <v>-3458.2363257959</v>
      </c>
      <c r="AL29" s="6">
        <v>131.70510821127129</v>
      </c>
      <c r="AM29" s="6">
        <v>0</v>
      </c>
      <c r="AN29" s="6">
        <v>0</v>
      </c>
      <c r="AO29" s="6">
        <v>0</v>
      </c>
      <c r="AP29" s="6">
        <v>0</v>
      </c>
      <c r="AQ29" s="6">
        <v>-3326.5312175846279</v>
      </c>
      <c r="AR29" s="6">
        <v>1205.9999989886601</v>
      </c>
      <c r="AS29" s="6">
        <v>651.41373399999998</v>
      </c>
      <c r="AT29" s="6">
        <v>5140.6278649563092</v>
      </c>
      <c r="AU29" s="6">
        <v>4711.6550278734303</v>
      </c>
    </row>
    <row r="30" spans="1:47" x14ac:dyDescent="0.35">
      <c r="A30" s="5">
        <v>46022</v>
      </c>
      <c r="B30" s="4" t="s">
        <v>110</v>
      </c>
      <c r="C30" s="4" t="s">
        <v>111</v>
      </c>
      <c r="D30" s="4" t="s">
        <v>54</v>
      </c>
      <c r="E30" s="6">
        <v>564.02439800000002</v>
      </c>
      <c r="F30" s="7">
        <v>5.3499999999999999E-2</v>
      </c>
      <c r="G30" s="6">
        <v>70</v>
      </c>
      <c r="H30" s="6">
        <v>0.21099999999999999</v>
      </c>
      <c r="I30" s="6">
        <v>30</v>
      </c>
      <c r="J30" s="6">
        <v>6.3377000000000003E-2</v>
      </c>
      <c r="K30" s="8">
        <v>1.4530000000000001</v>
      </c>
      <c r="L30" s="6">
        <v>1898.048798670384</v>
      </c>
      <c r="M30" s="6">
        <v>2211.4112774905461</v>
      </c>
      <c r="N30" s="6">
        <v>1180.6152220009001</v>
      </c>
      <c r="O30" s="6">
        <v>4486.103066169574</v>
      </c>
      <c r="P30" s="6">
        <v>9776.1783643314029</v>
      </c>
      <c r="Q30" s="6">
        <v>356.06444113892212</v>
      </c>
      <c r="R30" s="6">
        <v>705.5445378427147</v>
      </c>
      <c r="S30" s="6">
        <v>1830.160739975154</v>
      </c>
      <c r="T30" s="6">
        <v>2524.2719881706262</v>
      </c>
      <c r="U30" s="6">
        <v>5416.0417071274169</v>
      </c>
      <c r="V30" s="6">
        <v>15192.22007145882</v>
      </c>
      <c r="W30" s="6">
        <v>4707.5030683892865</v>
      </c>
      <c r="X30" s="6">
        <v>4820.0910649535308</v>
      </c>
      <c r="Y30" s="6">
        <v>-44007.721208246243</v>
      </c>
      <c r="Z30" s="6">
        <v>-19287.907003444601</v>
      </c>
      <c r="AA30" s="6">
        <v>2362.2410345007429</v>
      </c>
      <c r="AB30" s="6">
        <v>-16925.66596894386</v>
      </c>
      <c r="AC30" s="6">
        <v>214.7115523444217</v>
      </c>
      <c r="AD30" s="6">
        <v>16663.13541056549</v>
      </c>
      <c r="AE30" s="6">
        <v>0</v>
      </c>
      <c r="AF30" s="6">
        <v>0</v>
      </c>
      <c r="AG30" s="6">
        <v>-47.819006033944</v>
      </c>
      <c r="AH30" s="6">
        <v>3078.2962726619398</v>
      </c>
      <c r="AI30" s="6">
        <v>0</v>
      </c>
      <c r="AJ30" s="6">
        <v>3435.3840301605619</v>
      </c>
      <c r="AK30" s="6">
        <v>-10197.274113776941</v>
      </c>
      <c r="AL30" s="6">
        <v>0</v>
      </c>
      <c r="AM30" s="6">
        <v>0</v>
      </c>
      <c r="AN30" s="6">
        <v>0</v>
      </c>
      <c r="AO30" s="6">
        <v>0</v>
      </c>
      <c r="AP30" s="6">
        <v>0</v>
      </c>
      <c r="AQ30" s="6">
        <v>-10197.274113776941</v>
      </c>
      <c r="AR30" s="6">
        <v>1206.4376656497</v>
      </c>
      <c r="AS30" s="6">
        <v>66.011842000000001</v>
      </c>
      <c r="AT30" s="6">
        <v>20494.344669094298</v>
      </c>
      <c r="AU30" s="6">
        <v>18132.103634593561</v>
      </c>
    </row>
    <row r="31" spans="1:47" x14ac:dyDescent="0.35">
      <c r="A31" s="5">
        <v>46022</v>
      </c>
      <c r="B31" s="4" t="s">
        <v>134</v>
      </c>
      <c r="C31" s="4" t="s">
        <v>135</v>
      </c>
      <c r="D31" s="4" t="s">
        <v>136</v>
      </c>
      <c r="E31" s="6">
        <v>3850.0167390000001</v>
      </c>
      <c r="F31" s="7">
        <v>8.6599999999999996E-2</v>
      </c>
      <c r="G31" s="6">
        <v>68.959999999999994</v>
      </c>
      <c r="H31" s="6">
        <v>2.2999999999999998</v>
      </c>
      <c r="I31" s="6">
        <v>99.99</v>
      </c>
      <c r="J31" s="6">
        <v>2.2997700000000001</v>
      </c>
      <c r="K31" s="8">
        <v>9.173</v>
      </c>
      <c r="L31" s="6">
        <v>3304.9056221126789</v>
      </c>
      <c r="M31" s="6">
        <v>889.52254386758398</v>
      </c>
      <c r="N31" s="6">
        <v>114.2774932964049</v>
      </c>
      <c r="O31" s="6">
        <v>1610.410232480001</v>
      </c>
      <c r="P31" s="6">
        <v>5919.1158917566681</v>
      </c>
      <c r="Q31" s="6">
        <v>1535.1419323955811</v>
      </c>
      <c r="R31" s="6">
        <v>1728.3115091750051</v>
      </c>
      <c r="S31" s="6">
        <v>1057.9084875674951</v>
      </c>
      <c r="T31" s="6">
        <v>1248.753360300235</v>
      </c>
      <c r="U31" s="6">
        <v>5570.1152894383158</v>
      </c>
      <c r="V31" s="6">
        <v>11489.23118119498</v>
      </c>
      <c r="W31" s="6">
        <v>163.0460325517366</v>
      </c>
      <c r="X31" s="6">
        <v>47.430932165484172</v>
      </c>
      <c r="Y31" s="6">
        <v>-10759.89461193133</v>
      </c>
      <c r="Z31" s="6">
        <v>939.81353398087765</v>
      </c>
      <c r="AA31" s="6">
        <v>326.3623268130338</v>
      </c>
      <c r="AB31" s="6">
        <v>1266.1758607939109</v>
      </c>
      <c r="AC31" s="6">
        <v>0</v>
      </c>
      <c r="AD31" s="6">
        <v>889.75808830475637</v>
      </c>
      <c r="AE31" s="6">
        <v>0</v>
      </c>
      <c r="AF31" s="6">
        <v>0</v>
      </c>
      <c r="AG31" s="6">
        <v>2155.9339490986681</v>
      </c>
      <c r="AH31" s="6">
        <v>71.47742646083276</v>
      </c>
      <c r="AI31" s="6">
        <v>0</v>
      </c>
      <c r="AJ31" s="6">
        <v>528.31583088349464</v>
      </c>
      <c r="AK31" s="6">
        <v>1865.9691181382391</v>
      </c>
      <c r="AL31" s="6">
        <v>0</v>
      </c>
      <c r="AM31" s="6">
        <v>0</v>
      </c>
      <c r="AN31" s="6">
        <v>0</v>
      </c>
      <c r="AO31" s="6">
        <v>0</v>
      </c>
      <c r="AP31" s="6">
        <v>0</v>
      </c>
      <c r="AQ31" s="6">
        <v>1865.9691181382391</v>
      </c>
      <c r="AR31" s="6">
        <v>1206.0157309966301</v>
      </c>
      <c r="AS31" s="6">
        <v>636.49511500000006</v>
      </c>
      <c r="AT31" s="6">
        <v>266.20219701575229</v>
      </c>
      <c r="AU31" s="6">
        <v>-60.160129797281563</v>
      </c>
    </row>
    <row r="32" spans="1:47" x14ac:dyDescent="0.35">
      <c r="A32" s="5">
        <v>46022</v>
      </c>
      <c r="B32" s="4" t="s">
        <v>112</v>
      </c>
      <c r="C32" s="4" t="s">
        <v>113</v>
      </c>
      <c r="D32" s="4" t="s">
        <v>62</v>
      </c>
      <c r="E32" s="6">
        <v>1230.1587300000001</v>
      </c>
      <c r="F32" s="7">
        <v>0.87</v>
      </c>
      <c r="G32" s="6">
        <v>81</v>
      </c>
      <c r="H32" s="6">
        <v>8.6690000000000005</v>
      </c>
      <c r="I32" s="6">
        <v>70</v>
      </c>
      <c r="J32" s="6">
        <v>6.0682499999999999</v>
      </c>
      <c r="K32" s="8">
        <v>32.112000000000002</v>
      </c>
      <c r="L32" s="6">
        <v>283.54144652796771</v>
      </c>
      <c r="M32" s="6">
        <v>37.58493098724626</v>
      </c>
      <c r="N32" s="6">
        <v>69.101770944828502</v>
      </c>
      <c r="O32" s="6">
        <v>275.65296313134547</v>
      </c>
      <c r="P32" s="6">
        <v>665.88111159138793</v>
      </c>
      <c r="Q32" s="6">
        <v>89.260916897249317</v>
      </c>
      <c r="R32" s="6">
        <v>10.961682275828389</v>
      </c>
      <c r="S32" s="6">
        <v>82.065249432700284</v>
      </c>
      <c r="T32" s="6">
        <v>90.732505936165438</v>
      </c>
      <c r="U32" s="6">
        <v>273.02035454194339</v>
      </c>
      <c r="V32" s="6">
        <v>938.90146613333127</v>
      </c>
      <c r="W32" s="6">
        <v>195.5321255484767</v>
      </c>
      <c r="X32" s="6">
        <v>259.99785770197337</v>
      </c>
      <c r="Y32" s="6">
        <v>-1995.793101707477</v>
      </c>
      <c r="Z32" s="6">
        <v>-601.36165232369603</v>
      </c>
      <c r="AA32" s="6">
        <v>335.3471533398141</v>
      </c>
      <c r="AB32" s="6">
        <v>-266.01449898388188</v>
      </c>
      <c r="AC32" s="6">
        <v>0</v>
      </c>
      <c r="AD32" s="6">
        <v>347.81829633587228</v>
      </c>
      <c r="AE32" s="6">
        <v>0</v>
      </c>
      <c r="AF32" s="6">
        <v>0</v>
      </c>
      <c r="AG32" s="6">
        <v>81.803797351990397</v>
      </c>
      <c r="AH32" s="6">
        <v>57.556319178475178</v>
      </c>
      <c r="AI32" s="6">
        <v>0</v>
      </c>
      <c r="AJ32" s="6">
        <v>59.798773411279342</v>
      </c>
      <c r="AK32" s="6">
        <v>-148.65940639412739</v>
      </c>
      <c r="AL32" s="6">
        <v>0</v>
      </c>
      <c r="AM32" s="6">
        <v>0</v>
      </c>
      <c r="AN32" s="6">
        <v>0</v>
      </c>
      <c r="AO32" s="6">
        <v>0</v>
      </c>
      <c r="AP32" s="6">
        <v>0</v>
      </c>
      <c r="AQ32" s="6">
        <v>-148.65940639412739</v>
      </c>
      <c r="AR32" s="6">
        <v>1205.9900620216681</v>
      </c>
      <c r="AS32" s="6">
        <v>439.05278199999998</v>
      </c>
      <c r="AT32" s="6">
        <v>1807.3517143453639</v>
      </c>
      <c r="AU32" s="6">
        <v>1472.0045610055499</v>
      </c>
    </row>
    <row r="33" spans="1:47" x14ac:dyDescent="0.35">
      <c r="A33" s="5">
        <v>46022</v>
      </c>
      <c r="B33" s="4" t="s">
        <v>105</v>
      </c>
      <c r="C33" s="4" t="s">
        <v>106</v>
      </c>
      <c r="D33" s="4" t="s">
        <v>62</v>
      </c>
      <c r="E33" s="6">
        <v>2500</v>
      </c>
      <c r="F33" s="7">
        <v>0.6</v>
      </c>
      <c r="G33" s="6">
        <v>70.2</v>
      </c>
      <c r="H33" s="6">
        <v>10.53</v>
      </c>
      <c r="I33" s="6">
        <v>95</v>
      </c>
      <c r="J33" s="6">
        <v>10.003500000000001</v>
      </c>
      <c r="K33" s="8">
        <v>38.659999999999997</v>
      </c>
      <c r="L33" s="6">
        <v>139.28255726420679</v>
      </c>
      <c r="M33" s="6">
        <v>80.677865567856244</v>
      </c>
      <c r="N33" s="6">
        <v>24.158329761341768</v>
      </c>
      <c r="O33" s="6">
        <v>238.68891033228229</v>
      </c>
      <c r="P33" s="6">
        <v>482.80766292568711</v>
      </c>
      <c r="Q33" s="6">
        <v>152.1731625827536</v>
      </c>
      <c r="R33" s="6">
        <v>50.533574298408652</v>
      </c>
      <c r="S33" s="6">
        <v>91.188545090252816</v>
      </c>
      <c r="T33" s="6">
        <v>12.32038814917755</v>
      </c>
      <c r="U33" s="6">
        <v>306.21567012059262</v>
      </c>
      <c r="V33" s="6">
        <v>789.02333304627973</v>
      </c>
      <c r="W33" s="6">
        <v>49.402715278715583</v>
      </c>
      <c r="X33" s="6">
        <v>300</v>
      </c>
      <c r="Y33" s="6">
        <v>-1356.0737524600349</v>
      </c>
      <c r="Z33" s="6">
        <v>-217.64770413503999</v>
      </c>
      <c r="AA33" s="6">
        <v>284.33264984382993</v>
      </c>
      <c r="AB33" s="6">
        <v>66.684945708789897</v>
      </c>
      <c r="AC33" s="6">
        <v>0</v>
      </c>
      <c r="AD33" s="6">
        <v>499.25518757393098</v>
      </c>
      <c r="AE33" s="6">
        <v>0</v>
      </c>
      <c r="AF33" s="6">
        <v>0</v>
      </c>
      <c r="AG33" s="6">
        <v>565.94013328272092</v>
      </c>
      <c r="AH33" s="6">
        <v>5.6156818345130004</v>
      </c>
      <c r="AI33" s="6">
        <v>0</v>
      </c>
      <c r="AJ33" s="6">
        <v>247.6586734261702</v>
      </c>
      <c r="AK33" s="6">
        <v>319.95930096947308</v>
      </c>
      <c r="AL33" s="6">
        <v>0</v>
      </c>
      <c r="AM33" s="6">
        <v>0</v>
      </c>
      <c r="AN33" s="6">
        <v>0</v>
      </c>
      <c r="AO33" s="6">
        <v>0</v>
      </c>
      <c r="AP33" s="6">
        <v>0</v>
      </c>
      <c r="AQ33" s="6">
        <v>319.95930096947308</v>
      </c>
      <c r="AR33" s="6">
        <v>1205.9999989886601</v>
      </c>
      <c r="AS33" s="6">
        <v>579.03136700000005</v>
      </c>
      <c r="AT33" s="6">
        <v>1423.6477031237</v>
      </c>
      <c r="AU33" s="6">
        <v>1139.31505327987</v>
      </c>
    </row>
    <row r="34" spans="1:47" x14ac:dyDescent="0.35">
      <c r="A34" s="5">
        <v>46022</v>
      </c>
      <c r="B34" s="4" t="s">
        <v>114</v>
      </c>
      <c r="C34" s="4" t="s">
        <v>115</v>
      </c>
      <c r="D34" s="4" t="s">
        <v>54</v>
      </c>
      <c r="E34" s="6">
        <v>1955.4754399999999</v>
      </c>
      <c r="F34" s="7">
        <v>0.12</v>
      </c>
      <c r="G34" s="6">
        <v>37</v>
      </c>
      <c r="H34" s="6">
        <v>0.86799999999999999</v>
      </c>
      <c r="I34" s="6">
        <v>15</v>
      </c>
      <c r="J34" s="6">
        <v>0.13023499999999999</v>
      </c>
      <c r="K34" s="8">
        <v>2.4820000000000002</v>
      </c>
      <c r="L34" s="6">
        <v>14539.89386582481</v>
      </c>
      <c r="M34" s="6">
        <v>9412.409030882478</v>
      </c>
      <c r="N34" s="6">
        <v>1714.0496357438881</v>
      </c>
      <c r="O34" s="6">
        <v>3154.1948876446372</v>
      </c>
      <c r="P34" s="6">
        <v>28820.54742009582</v>
      </c>
      <c r="Q34" s="6">
        <v>7260.0431844940676</v>
      </c>
      <c r="R34" s="6">
        <v>1077.7272445873621</v>
      </c>
      <c r="S34" s="6">
        <v>5809.3979092555946</v>
      </c>
      <c r="T34" s="6">
        <v>2491.2761151323662</v>
      </c>
      <c r="U34" s="6">
        <v>16638.44445346939</v>
      </c>
      <c r="V34" s="6">
        <v>45458.99187356521</v>
      </c>
      <c r="W34" s="6">
        <v>23.999454401343719</v>
      </c>
      <c r="X34" s="6">
        <v>499.86562751948401</v>
      </c>
      <c r="Y34" s="6">
        <v>-27483.188142868879</v>
      </c>
      <c r="Z34" s="6">
        <v>18499.668812617161</v>
      </c>
      <c r="AA34" s="6">
        <v>3027.0695402065512</v>
      </c>
      <c r="AB34" s="6">
        <v>21526.738352823711</v>
      </c>
      <c r="AC34" s="6">
        <v>0</v>
      </c>
      <c r="AD34" s="6">
        <v>1715.090988515723</v>
      </c>
      <c r="AE34" s="6">
        <v>0</v>
      </c>
      <c r="AF34" s="6">
        <v>0</v>
      </c>
      <c r="AG34" s="6">
        <v>23241.829341339431</v>
      </c>
      <c r="AH34" s="6">
        <v>474.69953727905761</v>
      </c>
      <c r="AI34" s="6">
        <v>0</v>
      </c>
      <c r="AJ34" s="6">
        <v>1399.0468924085189</v>
      </c>
      <c r="AK34" s="6">
        <v>23400.484782511281</v>
      </c>
      <c r="AL34" s="6">
        <v>0</v>
      </c>
      <c r="AM34" s="6">
        <v>0</v>
      </c>
      <c r="AN34" s="6">
        <v>0</v>
      </c>
      <c r="AO34" s="6">
        <v>0</v>
      </c>
      <c r="AP34" s="6">
        <v>0</v>
      </c>
      <c r="AQ34" s="6">
        <v>23400.484782511281</v>
      </c>
      <c r="AR34" s="6">
        <v>1205.6758925659269</v>
      </c>
      <c r="AS34" s="6">
        <v>86.912203000000005</v>
      </c>
      <c r="AT34" s="6">
        <v>-17293.992920051231</v>
      </c>
      <c r="AU34" s="6">
        <v>-20321.062460257781</v>
      </c>
    </row>
    <row r="35" spans="1:47" x14ac:dyDescent="0.35">
      <c r="A35" s="5">
        <v>46022</v>
      </c>
      <c r="B35" s="4" t="s">
        <v>116</v>
      </c>
      <c r="C35" s="4" t="s">
        <v>117</v>
      </c>
      <c r="D35" s="4" t="s">
        <v>118</v>
      </c>
      <c r="E35" s="6">
        <v>33740</v>
      </c>
      <c r="F35" s="7">
        <v>0.02</v>
      </c>
      <c r="G35" s="6">
        <v>70</v>
      </c>
      <c r="H35" s="6">
        <v>4.7236000000000002</v>
      </c>
      <c r="I35" s="6">
        <v>91</v>
      </c>
      <c r="J35" s="6">
        <v>4.298476</v>
      </c>
      <c r="K35" s="8">
        <v>0.79221624135971103</v>
      </c>
      <c r="L35" s="6">
        <v>11099.933595932431</v>
      </c>
      <c r="M35" s="6">
        <v>1018.459066026648</v>
      </c>
      <c r="N35" s="6">
        <v>640.23226252770814</v>
      </c>
      <c r="O35" s="6">
        <v>10215.16814341709</v>
      </c>
      <c r="P35" s="6">
        <v>22973.79306790388</v>
      </c>
      <c r="Q35" s="6">
        <v>698.55981509477101</v>
      </c>
      <c r="R35" s="6">
        <v>653.34027782148621</v>
      </c>
      <c r="S35" s="6">
        <v>716.8356088473771</v>
      </c>
      <c r="T35" s="6">
        <v>1030.2263805005939</v>
      </c>
      <c r="U35" s="6">
        <v>3098.9620822642291</v>
      </c>
      <c r="V35" s="6">
        <v>26072.755150168108</v>
      </c>
      <c r="W35" s="6">
        <v>903.31828866980436</v>
      </c>
      <c r="X35" s="6">
        <v>2962.4329671441469</v>
      </c>
      <c r="Y35" s="6">
        <v>-125914.235687564</v>
      </c>
      <c r="Z35" s="6">
        <v>-95975.729281581967</v>
      </c>
      <c r="AA35" s="6">
        <v>9177.4018679342153</v>
      </c>
      <c r="AB35" s="6">
        <v>-86798.327413647756</v>
      </c>
      <c r="AC35" s="6">
        <v>0</v>
      </c>
      <c r="AD35" s="6">
        <v>9592.9673546171252</v>
      </c>
      <c r="AE35" s="6">
        <v>0</v>
      </c>
      <c r="AF35" s="6">
        <v>0</v>
      </c>
      <c r="AG35" s="6">
        <v>-77205.360059030616</v>
      </c>
      <c r="AH35" s="6">
        <v>7254.673205446471</v>
      </c>
      <c r="AI35" s="6">
        <v>0</v>
      </c>
      <c r="AJ35" s="6">
        <v>9719.8084731369108</v>
      </c>
      <c r="AK35" s="6">
        <v>-69823.845735064373</v>
      </c>
      <c r="AL35" s="6">
        <v>0</v>
      </c>
      <c r="AM35" s="6">
        <v>1632.7333355647099</v>
      </c>
      <c r="AN35" s="6">
        <v>0</v>
      </c>
      <c r="AO35" s="6">
        <v>0</v>
      </c>
      <c r="AP35" s="6">
        <v>527.62014014346153</v>
      </c>
      <c r="AQ35" s="6">
        <v>-67663.492259356193</v>
      </c>
      <c r="AR35" s="6">
        <v>1205.9999989886601</v>
      </c>
      <c r="AS35" s="6">
        <v>12973.500700000001</v>
      </c>
      <c r="AT35" s="6">
        <v>97181.729280570624</v>
      </c>
      <c r="AU35" s="6">
        <v>88004.327412636412</v>
      </c>
    </row>
    <row r="36" spans="1:47" x14ac:dyDescent="0.35">
      <c r="A36" s="5">
        <v>46022</v>
      </c>
      <c r="B36" s="4" t="s">
        <v>95</v>
      </c>
      <c r="C36" s="4" t="s">
        <v>96</v>
      </c>
      <c r="D36" s="4" t="s">
        <v>89</v>
      </c>
      <c r="E36" s="6">
        <v>4200</v>
      </c>
      <c r="F36" s="7">
        <v>0.03</v>
      </c>
      <c r="G36" s="6">
        <v>27.78</v>
      </c>
      <c r="H36" s="6">
        <v>0.35</v>
      </c>
      <c r="I36" s="6">
        <v>100</v>
      </c>
      <c r="J36" s="6">
        <v>0.35</v>
      </c>
      <c r="K36" s="8">
        <v>0.27500000000000002</v>
      </c>
      <c r="L36" s="6">
        <v>23527.627049666891</v>
      </c>
      <c r="M36" s="6">
        <v>6272.3115797496002</v>
      </c>
      <c r="N36" s="6">
        <v>5350.835554611409</v>
      </c>
      <c r="O36" s="6">
        <v>46828.1751640535</v>
      </c>
      <c r="P36" s="6">
        <v>81978.949348081384</v>
      </c>
      <c r="Q36" s="6">
        <v>8339.7098092421984</v>
      </c>
      <c r="R36" s="6">
        <v>5882.7100480168456</v>
      </c>
      <c r="S36" s="6">
        <v>6375.413747898524</v>
      </c>
      <c r="T36" s="6">
        <v>7086.6984194026463</v>
      </c>
      <c r="U36" s="6">
        <v>27684.532024560209</v>
      </c>
      <c r="V36" s="6">
        <v>109663.4813726416</v>
      </c>
      <c r="W36" s="6">
        <v>900.46294457148542</v>
      </c>
      <c r="X36" s="6">
        <v>5739.2569850044274</v>
      </c>
      <c r="Y36" s="6">
        <v>-179763.14486628689</v>
      </c>
      <c r="Z36" s="6">
        <v>-63459.94356406937</v>
      </c>
      <c r="AA36" s="6">
        <v>0</v>
      </c>
      <c r="AB36" s="6">
        <v>-63459.94356406937</v>
      </c>
      <c r="AC36" s="6">
        <v>0</v>
      </c>
      <c r="AD36" s="6">
        <v>24330.851702868949</v>
      </c>
      <c r="AE36" s="6">
        <v>0</v>
      </c>
      <c r="AF36" s="6">
        <v>0</v>
      </c>
      <c r="AG36" s="6">
        <v>-39129.091861200417</v>
      </c>
      <c r="AH36" s="6">
        <v>2693.6137908402352</v>
      </c>
      <c r="AI36" s="6">
        <v>0</v>
      </c>
      <c r="AJ36" s="6">
        <v>20921.068706256548</v>
      </c>
      <c r="AK36" s="6">
        <v>-39845.261066972576</v>
      </c>
      <c r="AL36" s="6">
        <v>0</v>
      </c>
      <c r="AM36" s="6">
        <v>0</v>
      </c>
      <c r="AN36" s="6">
        <v>0</v>
      </c>
      <c r="AO36" s="6">
        <v>0</v>
      </c>
      <c r="AP36" s="6">
        <v>0</v>
      </c>
      <c r="AQ36" s="6">
        <v>-39845.261066972576</v>
      </c>
      <c r="AR36" s="6">
        <v>1205.9999989886601</v>
      </c>
      <c r="AS36" s="6">
        <v>1561.407234</v>
      </c>
      <c r="AT36" s="6">
        <v>64665.943563058026</v>
      </c>
      <c r="AU36" s="6">
        <v>64665.943563058026</v>
      </c>
    </row>
    <row r="37" spans="1:47" x14ac:dyDescent="0.35">
      <c r="A37" s="5">
        <v>46022</v>
      </c>
      <c r="B37" s="4" t="s">
        <v>97</v>
      </c>
      <c r="C37" s="4" t="s">
        <v>98</v>
      </c>
      <c r="D37" s="4" t="s">
        <v>99</v>
      </c>
      <c r="E37" s="6">
        <v>2500</v>
      </c>
      <c r="F37" s="7">
        <v>0.05</v>
      </c>
      <c r="G37" s="6">
        <v>75</v>
      </c>
      <c r="H37" s="6">
        <v>0.93799999999999994</v>
      </c>
      <c r="I37" s="6">
        <v>100</v>
      </c>
      <c r="J37" s="6">
        <v>0.9375</v>
      </c>
      <c r="K37" s="8">
        <v>7.0060000000000002</v>
      </c>
      <c r="L37" s="6">
        <v>76.637273423685315</v>
      </c>
      <c r="M37" s="6">
        <v>19.348194218789331</v>
      </c>
      <c r="N37" s="6">
        <v>5.370412702834666</v>
      </c>
      <c r="O37" s="6">
        <v>88.849068645773315</v>
      </c>
      <c r="P37" s="6">
        <v>190.2049489910826</v>
      </c>
      <c r="Q37" s="6">
        <v>126.27140683449601</v>
      </c>
      <c r="R37" s="6">
        <v>3455.470182440994</v>
      </c>
      <c r="S37" s="6">
        <v>414.86283907991992</v>
      </c>
      <c r="T37" s="6">
        <v>1907.1315388243061</v>
      </c>
      <c r="U37" s="6">
        <v>5903.7359671797167</v>
      </c>
      <c r="V37" s="6">
        <v>6093.940916170799</v>
      </c>
      <c r="W37" s="6">
        <v>102.9733390706085</v>
      </c>
      <c r="X37" s="6">
        <v>0</v>
      </c>
      <c r="Y37" s="6">
        <v>-15510.42051967678</v>
      </c>
      <c r="Z37" s="6">
        <v>-9313.5062644353675</v>
      </c>
      <c r="AA37" s="6">
        <v>1118.0943726811361</v>
      </c>
      <c r="AB37" s="6">
        <v>-8195.4118917542328</v>
      </c>
      <c r="AC37" s="6">
        <v>0</v>
      </c>
      <c r="AD37" s="6">
        <v>2146.1121825462292</v>
      </c>
      <c r="AE37" s="6">
        <v>0</v>
      </c>
      <c r="AF37" s="6">
        <v>0</v>
      </c>
      <c r="AG37" s="6">
        <v>-6049.2997092080041</v>
      </c>
      <c r="AH37" s="6">
        <v>72.574779199999995</v>
      </c>
      <c r="AI37" s="6">
        <v>0</v>
      </c>
      <c r="AJ37" s="6">
        <v>914.0911979046025</v>
      </c>
      <c r="AK37" s="6">
        <v>-7208.7459146496303</v>
      </c>
      <c r="AL37" s="6">
        <v>0</v>
      </c>
      <c r="AM37" s="6">
        <v>0</v>
      </c>
      <c r="AN37" s="6">
        <v>0</v>
      </c>
      <c r="AO37" s="6">
        <v>0</v>
      </c>
      <c r="AP37" s="6">
        <v>0</v>
      </c>
      <c r="AQ37" s="6">
        <v>-7208.7459146496303</v>
      </c>
      <c r="AR37" s="6">
        <v>1205.9999989886601</v>
      </c>
      <c r="AS37" s="6">
        <v>420.165797</v>
      </c>
      <c r="AT37" s="6">
        <v>10519.506263424029</v>
      </c>
      <c r="AU37" s="6">
        <v>9401.4118907428929</v>
      </c>
    </row>
    <row r="38" spans="1:47" x14ac:dyDescent="0.35">
      <c r="A38" s="5">
        <v>46022</v>
      </c>
      <c r="B38" s="4" t="s">
        <v>119</v>
      </c>
      <c r="C38" s="4" t="s">
        <v>120</v>
      </c>
      <c r="D38" s="4" t="s">
        <v>89</v>
      </c>
      <c r="E38" s="6">
        <v>1350</v>
      </c>
      <c r="F38" s="7">
        <v>5.9200000000000003E-2</v>
      </c>
      <c r="G38" s="6">
        <v>88</v>
      </c>
      <c r="H38" s="6">
        <v>0.70399999999999996</v>
      </c>
      <c r="I38" s="6">
        <v>70</v>
      </c>
      <c r="J38" s="6">
        <v>0.49252200000000002</v>
      </c>
      <c r="K38" s="8">
        <v>1.704</v>
      </c>
      <c r="L38" s="6">
        <v>10801.969074915311</v>
      </c>
      <c r="M38" s="6">
        <v>863.7059715204075</v>
      </c>
      <c r="N38" s="6">
        <v>1473.3948973049189</v>
      </c>
      <c r="O38" s="6">
        <v>20644.670977068072</v>
      </c>
      <c r="P38" s="6">
        <v>33783.740920808712</v>
      </c>
      <c r="Q38" s="6">
        <v>1273.3836879417549</v>
      </c>
      <c r="R38" s="6">
        <v>1174.6699901653481</v>
      </c>
      <c r="S38" s="6">
        <v>806.35965254463042</v>
      </c>
      <c r="T38" s="6">
        <v>3397.8341438553521</v>
      </c>
      <c r="U38" s="6">
        <v>6652.2474745070858</v>
      </c>
      <c r="V38" s="6">
        <v>40435.988395315791</v>
      </c>
      <c r="W38" s="6">
        <v>3739.4376715388948</v>
      </c>
      <c r="X38" s="6">
        <v>6138.3201919985049</v>
      </c>
      <c r="Y38" s="6">
        <v>-69620.405998391172</v>
      </c>
      <c r="Z38" s="6">
        <v>-19306.659739537979</v>
      </c>
      <c r="AA38" s="6">
        <v>2932.5781387704369</v>
      </c>
      <c r="AB38" s="6">
        <v>-16374.08160076754</v>
      </c>
      <c r="AC38" s="6">
        <v>0</v>
      </c>
      <c r="AD38" s="6">
        <v>15885.73476757664</v>
      </c>
      <c r="AE38" s="6">
        <v>0</v>
      </c>
      <c r="AF38" s="6">
        <v>0</v>
      </c>
      <c r="AG38" s="6">
        <v>-488.34683319090237</v>
      </c>
      <c r="AH38" s="6">
        <v>199.1211351129329</v>
      </c>
      <c r="AI38" s="6">
        <v>0</v>
      </c>
      <c r="AJ38" s="6">
        <v>4184.8456535279502</v>
      </c>
      <c r="AK38" s="6">
        <v>-11990.11481212666</v>
      </c>
      <c r="AL38" s="6">
        <v>0</v>
      </c>
      <c r="AM38" s="6">
        <v>0</v>
      </c>
      <c r="AN38" s="6">
        <v>0</v>
      </c>
      <c r="AO38" s="6">
        <v>0</v>
      </c>
      <c r="AP38" s="6">
        <v>0</v>
      </c>
      <c r="AQ38" s="6">
        <v>-11990.11481212666</v>
      </c>
      <c r="AR38" s="6">
        <v>1205.9461293138479</v>
      </c>
      <c r="AS38" s="6">
        <v>800.76637200000005</v>
      </c>
      <c r="AT38" s="6">
        <v>20512.605868851831</v>
      </c>
      <c r="AU38" s="6">
        <v>17580.02773008139</v>
      </c>
    </row>
    <row r="39" spans="1:47" x14ac:dyDescent="0.35">
      <c r="A39" s="5">
        <v>46022</v>
      </c>
      <c r="B39" s="4" t="s">
        <v>121</v>
      </c>
      <c r="C39" s="4" t="s">
        <v>122</v>
      </c>
      <c r="D39" s="4" t="s">
        <v>123</v>
      </c>
      <c r="E39" s="6">
        <v>3450</v>
      </c>
      <c r="F39" s="7">
        <v>9.4E-2</v>
      </c>
      <c r="G39" s="6">
        <v>88</v>
      </c>
      <c r="H39" s="6">
        <v>2.8540000000000001</v>
      </c>
      <c r="I39" s="6">
        <v>100</v>
      </c>
      <c r="J39" s="6">
        <v>2.8538399999999999</v>
      </c>
      <c r="K39" s="8">
        <v>9.6959999999999997</v>
      </c>
      <c r="L39" s="6">
        <v>354.65193111240688</v>
      </c>
      <c r="M39" s="6">
        <v>255.22154447022609</v>
      </c>
      <c r="N39" s="6">
        <v>14.31086120736702</v>
      </c>
      <c r="O39" s="6">
        <v>503.81440015328462</v>
      </c>
      <c r="P39" s="6">
        <v>1127.9987369432849</v>
      </c>
      <c r="Q39" s="6">
        <v>310.38812626611701</v>
      </c>
      <c r="R39" s="6">
        <v>393.89776069623667</v>
      </c>
      <c r="S39" s="6">
        <v>1625.44535165762</v>
      </c>
      <c r="T39" s="6">
        <v>684.07547354227393</v>
      </c>
      <c r="U39" s="6">
        <v>3013.8067121622471</v>
      </c>
      <c r="V39" s="6">
        <v>4141.8054491055318</v>
      </c>
      <c r="W39" s="6">
        <v>43.305352870948958</v>
      </c>
      <c r="X39" s="6">
        <v>542.13123027226482</v>
      </c>
      <c r="Y39" s="6">
        <v>-6176.9481207545841</v>
      </c>
      <c r="Z39" s="6">
        <v>-1449.7060885058379</v>
      </c>
      <c r="AA39" s="6">
        <v>165.20003720665679</v>
      </c>
      <c r="AB39" s="6">
        <v>-1284.506051299182</v>
      </c>
      <c r="AC39" s="6">
        <v>5.701160385505319</v>
      </c>
      <c r="AD39" s="6">
        <v>1367.201868658537</v>
      </c>
      <c r="AE39" s="6">
        <v>0</v>
      </c>
      <c r="AF39" s="6">
        <v>0</v>
      </c>
      <c r="AG39" s="6">
        <v>88.396977744861005</v>
      </c>
      <c r="AH39" s="6">
        <v>290.86215916643619</v>
      </c>
      <c r="AI39" s="6">
        <v>0</v>
      </c>
      <c r="AJ39" s="6">
        <v>123.974054830984</v>
      </c>
      <c r="AK39" s="6">
        <v>-863.96867691625596</v>
      </c>
      <c r="AL39" s="6">
        <v>0</v>
      </c>
      <c r="AM39" s="6">
        <v>0</v>
      </c>
      <c r="AN39" s="6">
        <v>0</v>
      </c>
      <c r="AO39" s="6">
        <v>0</v>
      </c>
      <c r="AP39" s="6">
        <v>0</v>
      </c>
      <c r="AQ39" s="6">
        <v>-863.96867691625596</v>
      </c>
      <c r="AR39" s="6">
        <v>1205.9830954481811</v>
      </c>
      <c r="AS39" s="6">
        <v>593.93245000000002</v>
      </c>
      <c r="AT39" s="6">
        <v>2655.689183954019</v>
      </c>
      <c r="AU39" s="6">
        <v>2490.4891467473631</v>
      </c>
    </row>
    <row r="40" spans="1:47" x14ac:dyDescent="0.35">
      <c r="A40" s="5">
        <v>46022</v>
      </c>
      <c r="B40" s="4" t="s">
        <v>137</v>
      </c>
      <c r="C40" s="4" t="s">
        <v>138</v>
      </c>
      <c r="D40" s="4" t="s">
        <v>139</v>
      </c>
      <c r="E40" s="6">
        <v>2211</v>
      </c>
      <c r="F40" s="7">
        <v>9.1228000000000004E-2</v>
      </c>
      <c r="G40" s="6">
        <v>74.365936000000005</v>
      </c>
      <c r="H40" s="6">
        <v>1.5</v>
      </c>
      <c r="I40" s="6">
        <v>100</v>
      </c>
      <c r="J40" s="6">
        <v>1.5</v>
      </c>
      <c r="K40" s="8">
        <v>9.8362636566162092</v>
      </c>
      <c r="L40" s="6">
        <v>285.1145145652817</v>
      </c>
      <c r="M40" s="6">
        <v>139.70543110081849</v>
      </c>
      <c r="N40" s="6">
        <v>20.76335335376049</v>
      </c>
      <c r="O40" s="6">
        <v>641.07066013129838</v>
      </c>
      <c r="P40" s="6">
        <v>1086.6539591511589</v>
      </c>
      <c r="Q40" s="6">
        <v>346.96765749105128</v>
      </c>
      <c r="R40" s="6">
        <v>2058.0621649592808</v>
      </c>
      <c r="S40" s="6">
        <v>334.09322171482222</v>
      </c>
      <c r="T40" s="6">
        <v>901.30382581737399</v>
      </c>
      <c r="U40" s="6">
        <v>3640.4268699825288</v>
      </c>
      <c r="V40" s="6">
        <v>4727.080829133688</v>
      </c>
      <c r="W40" s="6">
        <v>46.685532622822421</v>
      </c>
      <c r="X40" s="6">
        <v>393.506531</v>
      </c>
      <c r="Y40" s="6">
        <v>-7744.9376891469856</v>
      </c>
      <c r="Z40" s="6">
        <v>-2577.6647963904761</v>
      </c>
      <c r="AA40" s="6">
        <v>0</v>
      </c>
      <c r="AB40" s="6">
        <v>-2577.6647963904761</v>
      </c>
      <c r="AC40" s="6">
        <v>0</v>
      </c>
      <c r="AD40" s="6">
        <v>1124.3766223724549</v>
      </c>
      <c r="AE40" s="6">
        <v>0</v>
      </c>
      <c r="AF40" s="6">
        <v>0</v>
      </c>
      <c r="AG40" s="6">
        <v>-1453.288174018021</v>
      </c>
      <c r="AH40" s="6">
        <v>174.77355222683329</v>
      </c>
      <c r="AI40" s="6">
        <v>0</v>
      </c>
      <c r="AJ40" s="6">
        <v>582.57857182683665</v>
      </c>
      <c r="AK40" s="6">
        <v>-1820.3126723368059</v>
      </c>
      <c r="AL40" s="6">
        <v>0</v>
      </c>
      <c r="AM40" s="6">
        <v>0</v>
      </c>
      <c r="AN40" s="6">
        <v>0</v>
      </c>
      <c r="AO40" s="6">
        <v>0</v>
      </c>
      <c r="AP40" s="6">
        <v>0</v>
      </c>
      <c r="AQ40" s="6">
        <v>-1820.3126723368059</v>
      </c>
      <c r="AR40" s="6">
        <v>1205.9999989886601</v>
      </c>
      <c r="AS40" s="6">
        <v>415.28477800000002</v>
      </c>
      <c r="AT40" s="6">
        <v>3783.6647953791348</v>
      </c>
      <c r="AU40" s="6">
        <v>3783.6647953791348</v>
      </c>
    </row>
    <row r="41" spans="1:47" x14ac:dyDescent="0.35">
      <c r="A41" s="5">
        <v>46022</v>
      </c>
      <c r="B41" s="4" t="s">
        <v>124</v>
      </c>
      <c r="C41" s="4" t="s">
        <v>125</v>
      </c>
      <c r="D41" s="4" t="s">
        <v>62</v>
      </c>
      <c r="E41" s="6">
        <v>1500</v>
      </c>
      <c r="F41" s="7">
        <v>0.2</v>
      </c>
      <c r="G41" s="6">
        <v>65.400000000000006</v>
      </c>
      <c r="H41" s="6">
        <v>1.962</v>
      </c>
      <c r="I41" s="6">
        <v>69.5</v>
      </c>
      <c r="J41" s="6">
        <v>1.3635900000000001</v>
      </c>
      <c r="K41" s="8">
        <v>10.128</v>
      </c>
      <c r="L41" s="6">
        <v>565.33598250918965</v>
      </c>
      <c r="M41" s="6">
        <v>419.65801639151431</v>
      </c>
      <c r="N41" s="6">
        <v>20.87953947990011</v>
      </c>
      <c r="O41" s="6">
        <v>277.85753504631822</v>
      </c>
      <c r="P41" s="6">
        <v>1283.731073426922</v>
      </c>
      <c r="Q41" s="6">
        <v>393.19481900427252</v>
      </c>
      <c r="R41" s="6">
        <v>1187.8297130765559</v>
      </c>
      <c r="S41" s="6">
        <v>401.36782441879518</v>
      </c>
      <c r="T41" s="6">
        <v>178.42841699553929</v>
      </c>
      <c r="U41" s="6">
        <v>2160.8207734951629</v>
      </c>
      <c r="V41" s="6">
        <v>3444.5518469220851</v>
      </c>
      <c r="W41" s="6">
        <v>67.11244656538976</v>
      </c>
      <c r="X41" s="6">
        <v>0</v>
      </c>
      <c r="Y41" s="6">
        <v>-7785.4452924963562</v>
      </c>
      <c r="Z41" s="6">
        <v>-4273.7809990088808</v>
      </c>
      <c r="AA41" s="6">
        <v>627.36802862702098</v>
      </c>
      <c r="AB41" s="6">
        <v>-3646.4129703818599</v>
      </c>
      <c r="AC41" s="6">
        <v>0</v>
      </c>
      <c r="AD41" s="6">
        <v>774.63034588012226</v>
      </c>
      <c r="AE41" s="6">
        <v>0</v>
      </c>
      <c r="AF41" s="6">
        <v>0</v>
      </c>
      <c r="AG41" s="6">
        <v>-2871.7826245017382</v>
      </c>
      <c r="AH41" s="6">
        <v>216.21969787134071</v>
      </c>
      <c r="AI41" s="6">
        <v>0</v>
      </c>
      <c r="AJ41" s="6">
        <v>36.591011976020283</v>
      </c>
      <c r="AK41" s="6">
        <v>-3393.6022605344988</v>
      </c>
      <c r="AL41" s="6">
        <v>0</v>
      </c>
      <c r="AM41" s="6">
        <v>0</v>
      </c>
      <c r="AN41" s="6">
        <v>0</v>
      </c>
      <c r="AO41" s="6">
        <v>0</v>
      </c>
      <c r="AP41" s="6">
        <v>0</v>
      </c>
      <c r="AQ41" s="6">
        <v>-3393.6022605344988</v>
      </c>
      <c r="AR41" s="6">
        <v>1206.0088432893581</v>
      </c>
      <c r="AS41" s="6">
        <v>282.61290200000002</v>
      </c>
      <c r="AT41" s="6">
        <v>5479.7898422982398</v>
      </c>
      <c r="AU41" s="6">
        <v>4852.4218136712188</v>
      </c>
    </row>
    <row r="42" spans="1:47" x14ac:dyDescent="0.35">
      <c r="A42" s="5">
        <v>46022</v>
      </c>
      <c r="B42" s="4" t="s">
        <v>146</v>
      </c>
      <c r="C42" s="4" t="s">
        <v>147</v>
      </c>
      <c r="D42" s="4" t="s">
        <v>99</v>
      </c>
      <c r="E42" s="6">
        <v>6600</v>
      </c>
      <c r="F42" s="7">
        <v>1.0999999999999999E-2</v>
      </c>
      <c r="G42" s="6">
        <v>40</v>
      </c>
      <c r="H42" s="6">
        <v>0.28999999999999998</v>
      </c>
      <c r="I42" s="6">
        <v>100</v>
      </c>
      <c r="J42" s="6">
        <v>0.29039999999999999</v>
      </c>
      <c r="K42" s="8">
        <v>17.245000000000001</v>
      </c>
      <c r="L42" s="6">
        <v>1429.2406929010001</v>
      </c>
      <c r="M42" s="6">
        <v>2041.0326799642501</v>
      </c>
      <c r="N42" s="6">
        <v>115.266068351</v>
      </c>
      <c r="O42" s="6">
        <v>3149.0773994259998</v>
      </c>
      <c r="P42" s="6">
        <v>6734.6168406422494</v>
      </c>
      <c r="Q42" s="6">
        <v>645.15370587674988</v>
      </c>
      <c r="R42" s="6">
        <v>1676.0104055572499</v>
      </c>
      <c r="S42" s="6">
        <v>1765.1330591282499</v>
      </c>
      <c r="T42" s="6">
        <v>3319.01681173825</v>
      </c>
      <c r="U42" s="6">
        <v>7405.3139823004994</v>
      </c>
      <c r="V42" s="6">
        <v>14139.93082294275</v>
      </c>
      <c r="W42" s="6">
        <v>455.75894533950219</v>
      </c>
      <c r="X42" s="6">
        <v>722.85177299999998</v>
      </c>
      <c r="Y42" s="6">
        <v>-37934.181706629272</v>
      </c>
      <c r="Z42" s="6">
        <v>-22615.64016534702</v>
      </c>
      <c r="AA42" s="6">
        <v>2365.5074980954319</v>
      </c>
      <c r="AB42" s="6">
        <v>-20250.132667251579</v>
      </c>
      <c r="AC42" s="6">
        <v>156.19556350125001</v>
      </c>
      <c r="AD42" s="6">
        <v>11066.131200885249</v>
      </c>
      <c r="AE42" s="6">
        <v>0</v>
      </c>
      <c r="AF42" s="6">
        <v>0</v>
      </c>
      <c r="AG42" s="6">
        <v>-9027.8059028650841</v>
      </c>
      <c r="AH42" s="6">
        <v>1171.4682725969999</v>
      </c>
      <c r="AI42" s="6">
        <v>0</v>
      </c>
      <c r="AJ42" s="6">
        <v>5655.972122998749</v>
      </c>
      <c r="AK42" s="6">
        <v>-13266.49670815458</v>
      </c>
      <c r="AL42" s="6">
        <v>0</v>
      </c>
      <c r="AM42" s="6">
        <v>0</v>
      </c>
      <c r="AN42" s="6">
        <v>0</v>
      </c>
      <c r="AO42" s="6">
        <v>0</v>
      </c>
      <c r="AP42" s="6">
        <v>0</v>
      </c>
      <c r="AQ42" s="6">
        <v>-13266.49670815458</v>
      </c>
      <c r="AR42" s="6">
        <v>1205.9999989886601</v>
      </c>
      <c r="AS42" s="6">
        <v>285.59869200000003</v>
      </c>
      <c r="AT42" s="6">
        <v>23821.640164335669</v>
      </c>
      <c r="AU42" s="6">
        <v>21456.132666240239</v>
      </c>
    </row>
    <row r="43" spans="1:47" x14ac:dyDescent="0.35">
      <c r="A43" s="5">
        <v>46022</v>
      </c>
      <c r="B43" s="4" t="s">
        <v>140</v>
      </c>
      <c r="C43" s="4" t="s">
        <v>141</v>
      </c>
      <c r="D43" s="4" t="s">
        <v>57</v>
      </c>
      <c r="E43" s="6">
        <v>1750</v>
      </c>
      <c r="F43" s="7">
        <v>2.3400000000000001E-2</v>
      </c>
      <c r="G43" s="6">
        <v>40</v>
      </c>
      <c r="H43" s="6">
        <v>0.16400000000000001</v>
      </c>
      <c r="I43" s="6">
        <v>90</v>
      </c>
      <c r="J43" s="6">
        <v>0.14716699999999999</v>
      </c>
      <c r="K43" s="8">
        <v>1.4330000000000001</v>
      </c>
      <c r="L43" s="6">
        <v>885.72527193775954</v>
      </c>
      <c r="M43" s="6">
        <v>202.2581775983339</v>
      </c>
      <c r="N43" s="6">
        <v>527.42337633084185</v>
      </c>
      <c r="O43" s="6">
        <v>1418.9469634212001</v>
      </c>
      <c r="P43" s="6">
        <v>3034.353789288135</v>
      </c>
      <c r="Q43" s="6">
        <v>381.4595572591665</v>
      </c>
      <c r="R43" s="6">
        <v>554.21752549553912</v>
      </c>
      <c r="S43" s="6">
        <v>2212.5539979960081</v>
      </c>
      <c r="T43" s="6">
        <v>1663.0123417151549</v>
      </c>
      <c r="U43" s="6">
        <v>4811.2434224658691</v>
      </c>
      <c r="V43" s="6">
        <v>7845.5972117540041</v>
      </c>
      <c r="W43" s="6">
        <v>8.8988553483948412</v>
      </c>
      <c r="X43" s="6">
        <v>610.13678338214413</v>
      </c>
      <c r="Y43" s="6">
        <v>-40183.575570520901</v>
      </c>
      <c r="Z43" s="6">
        <v>-31718.942720036361</v>
      </c>
      <c r="AA43" s="6">
        <v>3806.3828357875309</v>
      </c>
      <c r="AB43" s="6">
        <v>-27912.559884248822</v>
      </c>
      <c r="AC43" s="6">
        <v>0</v>
      </c>
      <c r="AD43" s="6">
        <v>1323.725144161685</v>
      </c>
      <c r="AE43" s="6">
        <v>0</v>
      </c>
      <c r="AF43" s="6">
        <v>0</v>
      </c>
      <c r="AG43" s="6">
        <v>-26588.834740087139</v>
      </c>
      <c r="AH43" s="6">
        <v>437.95834010608871</v>
      </c>
      <c r="AI43" s="6">
        <v>0</v>
      </c>
      <c r="AJ43" s="6">
        <v>1510.1223677714311</v>
      </c>
      <c r="AK43" s="6">
        <v>-25964.4791763713</v>
      </c>
      <c r="AL43" s="6">
        <v>0</v>
      </c>
      <c r="AM43" s="6">
        <v>0</v>
      </c>
      <c r="AN43" s="6">
        <v>0</v>
      </c>
      <c r="AO43" s="6">
        <v>0</v>
      </c>
      <c r="AP43" s="6">
        <v>0</v>
      </c>
      <c r="AQ43" s="6">
        <v>-25964.4791763713</v>
      </c>
      <c r="AR43" s="6">
        <v>1206.2704264619831</v>
      </c>
      <c r="AS43" s="6">
        <v>143.792968</v>
      </c>
      <c r="AT43" s="6">
        <v>32925.213146498339</v>
      </c>
      <c r="AU43" s="6">
        <v>29118.830310710811</v>
      </c>
    </row>
    <row r="44" spans="1:47" x14ac:dyDescent="0.35">
      <c r="A44" s="5">
        <v>46022</v>
      </c>
      <c r="B44" s="4" t="s">
        <v>100</v>
      </c>
      <c r="C44" s="4" t="s">
        <v>101</v>
      </c>
      <c r="D44" s="4" t="s">
        <v>89</v>
      </c>
      <c r="E44" s="6">
        <v>1000</v>
      </c>
      <c r="F44" s="7">
        <v>3.9300000000000002E-2</v>
      </c>
      <c r="G44" s="6">
        <v>55</v>
      </c>
      <c r="H44" s="6">
        <v>0.216</v>
      </c>
      <c r="I44" s="6">
        <v>70</v>
      </c>
      <c r="J44" s="6">
        <v>0.15116599999999999</v>
      </c>
      <c r="K44" s="8">
        <v>1.5129999999999999</v>
      </c>
      <c r="L44" s="6">
        <v>20430.232914796288</v>
      </c>
      <c r="M44" s="6">
        <v>2998.887819321018</v>
      </c>
      <c r="N44" s="6">
        <v>2894.3211642036572</v>
      </c>
      <c r="O44" s="6">
        <v>34752.362637276878</v>
      </c>
      <c r="P44" s="6">
        <v>61075.804535597839</v>
      </c>
      <c r="Q44" s="6">
        <v>1299.7333098229169</v>
      </c>
      <c r="R44" s="6">
        <v>2341.7372989996361</v>
      </c>
      <c r="S44" s="6">
        <v>944.68684232126941</v>
      </c>
      <c r="T44" s="6">
        <v>3659.1601891439282</v>
      </c>
      <c r="U44" s="6">
        <v>8245.3176402877507</v>
      </c>
      <c r="V44" s="6">
        <v>69321.122175885597</v>
      </c>
      <c r="W44" s="6">
        <v>2908.5843670193399</v>
      </c>
      <c r="X44" s="6">
        <v>5945.849835466388</v>
      </c>
      <c r="Y44" s="6">
        <v>-74560.67784580744</v>
      </c>
      <c r="Z44" s="6">
        <v>3614.8785325638769</v>
      </c>
      <c r="AA44" s="6">
        <v>0</v>
      </c>
      <c r="AB44" s="6">
        <v>3614.8785325638769</v>
      </c>
      <c r="AC44" s="6">
        <v>0</v>
      </c>
      <c r="AD44" s="6">
        <v>33152.656317998299</v>
      </c>
      <c r="AE44" s="6">
        <v>0</v>
      </c>
      <c r="AF44" s="6">
        <v>0</v>
      </c>
      <c r="AG44" s="6">
        <v>36767.534850562181</v>
      </c>
      <c r="AH44" s="6">
        <v>311.27756137036113</v>
      </c>
      <c r="AI44" s="6">
        <v>0</v>
      </c>
      <c r="AJ44" s="6">
        <v>12462.85830062095</v>
      </c>
      <c r="AK44" s="6">
        <v>16389.01439455519</v>
      </c>
      <c r="AL44" s="6">
        <v>60012.485611843927</v>
      </c>
      <c r="AM44" s="6">
        <v>0</v>
      </c>
      <c r="AN44" s="6">
        <v>0</v>
      </c>
      <c r="AO44" s="6">
        <v>0</v>
      </c>
      <c r="AP44" s="6">
        <v>0</v>
      </c>
      <c r="AQ44" s="6">
        <v>76401.500006399117</v>
      </c>
      <c r="AR44" s="6">
        <v>1206.2712504603239</v>
      </c>
      <c r="AS44" s="6">
        <v>268.049848</v>
      </c>
      <c r="AT44" s="6">
        <v>-2408.6072821035532</v>
      </c>
      <c r="AU44" s="6">
        <v>-2408.6072821035532</v>
      </c>
    </row>
    <row r="45" spans="1:47" x14ac:dyDescent="0.35">
      <c r="A45" s="5">
        <v>46022</v>
      </c>
      <c r="B45" s="4" t="s">
        <v>107</v>
      </c>
      <c r="C45" s="4" t="s">
        <v>108</v>
      </c>
      <c r="D45" s="4" t="s">
        <v>109</v>
      </c>
      <c r="E45" s="6">
        <v>1740</v>
      </c>
      <c r="F45" s="7">
        <v>4.5100000000000001E-2</v>
      </c>
      <c r="G45" s="6">
        <v>74</v>
      </c>
      <c r="H45" s="6">
        <v>0.58099999999999996</v>
      </c>
      <c r="I45" s="6">
        <v>30</v>
      </c>
      <c r="J45" s="6">
        <v>0.17430000000000001</v>
      </c>
      <c r="K45" s="8">
        <v>8.2149999999999999</v>
      </c>
      <c r="L45" s="6">
        <v>143.65857451638789</v>
      </c>
      <c r="M45" s="6">
        <v>529.9526546796144</v>
      </c>
      <c r="N45" s="6">
        <v>218.9299096099036</v>
      </c>
      <c r="O45" s="6">
        <v>2278.9553520150862</v>
      </c>
      <c r="P45" s="6">
        <v>3171.4964908209922</v>
      </c>
      <c r="Q45" s="6">
        <v>337.8233088043927</v>
      </c>
      <c r="R45" s="6">
        <v>377.88491482089148</v>
      </c>
      <c r="S45" s="6">
        <v>578.75035605714208</v>
      </c>
      <c r="T45" s="6">
        <v>2811.1861021573732</v>
      </c>
      <c r="U45" s="6">
        <v>4105.644681839799</v>
      </c>
      <c r="V45" s="6">
        <v>7277.1411726607921</v>
      </c>
      <c r="W45" s="6">
        <v>85.87807349397589</v>
      </c>
      <c r="X45" s="6">
        <v>1637.2263483915549</v>
      </c>
      <c r="Y45" s="6">
        <v>-10926.377978697161</v>
      </c>
      <c r="Z45" s="6">
        <v>-1926.1323841508331</v>
      </c>
      <c r="AA45" s="6">
        <v>842.97367602699001</v>
      </c>
      <c r="AB45" s="6">
        <v>-1083.1587081238431</v>
      </c>
      <c r="AC45" s="6">
        <v>0.1485222245590361</v>
      </c>
      <c r="AD45" s="6">
        <v>4597.5448558394046</v>
      </c>
      <c r="AE45" s="6">
        <v>0</v>
      </c>
      <c r="AF45" s="6">
        <v>0</v>
      </c>
      <c r="AG45" s="6">
        <v>3514.5346699401211</v>
      </c>
      <c r="AH45" s="6">
        <v>520.47304257246981</v>
      </c>
      <c r="AI45" s="6">
        <v>0</v>
      </c>
      <c r="AJ45" s="6">
        <v>1666.8151169434359</v>
      </c>
      <c r="AK45" s="6">
        <v>1104.2779736166219</v>
      </c>
      <c r="AL45" s="6">
        <v>520.47304257246981</v>
      </c>
      <c r="AM45" s="6">
        <v>0</v>
      </c>
      <c r="AN45" s="6">
        <v>0</v>
      </c>
      <c r="AO45" s="6">
        <v>0</v>
      </c>
      <c r="AP45" s="6">
        <v>0</v>
      </c>
      <c r="AQ45" s="6">
        <v>1624.7510161890909</v>
      </c>
      <c r="AR45" s="6">
        <v>1205.9999989886601</v>
      </c>
      <c r="AS45" s="6">
        <v>50.932510000000001</v>
      </c>
      <c r="AT45" s="6">
        <v>3132.132383139493</v>
      </c>
      <c r="AU45" s="6">
        <v>2289.1587071125032</v>
      </c>
    </row>
    <row r="46" spans="1:47" x14ac:dyDescent="0.35">
      <c r="A46" s="5">
        <v>46022</v>
      </c>
      <c r="B46" s="4" t="s">
        <v>142</v>
      </c>
      <c r="C46" s="4" t="s">
        <v>143</v>
      </c>
      <c r="D46" s="4" t="s">
        <v>139</v>
      </c>
      <c r="E46" s="6">
        <v>3350</v>
      </c>
      <c r="F46" s="7">
        <v>0.1079</v>
      </c>
      <c r="G46" s="6">
        <v>69.02</v>
      </c>
      <c r="H46" s="6">
        <v>2.4950000000000001</v>
      </c>
      <c r="I46" s="6">
        <v>100</v>
      </c>
      <c r="J46" s="6">
        <v>2.4947370000000002</v>
      </c>
      <c r="K46" s="8">
        <v>10.679</v>
      </c>
      <c r="L46" s="6">
        <v>0.68198907550291932</v>
      </c>
      <c r="M46" s="6">
        <v>80.560626534104671</v>
      </c>
      <c r="N46" s="6">
        <v>0.5362891662827769</v>
      </c>
      <c r="O46" s="6">
        <v>140.50979717023839</v>
      </c>
      <c r="P46" s="6">
        <v>222.2887019461287</v>
      </c>
      <c r="Q46" s="6">
        <v>285.17253523304493</v>
      </c>
      <c r="R46" s="6">
        <v>1100.830050780128</v>
      </c>
      <c r="S46" s="6">
        <v>271.43954772686823</v>
      </c>
      <c r="T46" s="6">
        <v>902.05182501202103</v>
      </c>
      <c r="U46" s="6">
        <v>2559.4939587520621</v>
      </c>
      <c r="V46" s="6">
        <v>2781.7826606981912</v>
      </c>
      <c r="W46" s="6">
        <v>36.287360508845623</v>
      </c>
      <c r="X46" s="6">
        <v>301.18377201015579</v>
      </c>
      <c r="Y46" s="6">
        <v>-6619.2171872628151</v>
      </c>
      <c r="Z46" s="6">
        <v>-3499.963394045622</v>
      </c>
      <c r="AA46" s="6">
        <v>401.15761913014069</v>
      </c>
      <c r="AB46" s="6">
        <v>-3098.8057749154809</v>
      </c>
      <c r="AC46" s="6">
        <v>0</v>
      </c>
      <c r="AD46" s="6">
        <v>1446.0142936688201</v>
      </c>
      <c r="AE46" s="6">
        <v>0</v>
      </c>
      <c r="AF46" s="6">
        <v>0</v>
      </c>
      <c r="AG46" s="6">
        <v>-1652.791481246662</v>
      </c>
      <c r="AH46" s="6">
        <v>138.1006905002161</v>
      </c>
      <c r="AI46" s="6">
        <v>0</v>
      </c>
      <c r="AJ46" s="6">
        <v>368.2684874389181</v>
      </c>
      <c r="AK46" s="6">
        <v>-2592.4365969763471</v>
      </c>
      <c r="AL46" s="6">
        <v>0</v>
      </c>
      <c r="AM46" s="6">
        <v>0</v>
      </c>
      <c r="AN46" s="6">
        <v>0</v>
      </c>
      <c r="AO46" s="6">
        <v>0</v>
      </c>
      <c r="AP46" s="6">
        <v>0</v>
      </c>
      <c r="AQ46" s="6">
        <v>-2592.4365969763471</v>
      </c>
      <c r="AR46" s="6">
        <v>1205.98211253411</v>
      </c>
      <c r="AS46" s="6">
        <v>603.31677500000001</v>
      </c>
      <c r="AT46" s="6">
        <v>4705.9455065797329</v>
      </c>
      <c r="AU46" s="6">
        <v>4304.7878874495918</v>
      </c>
    </row>
    <row r="47" spans="1:47" x14ac:dyDescent="0.35">
      <c r="A47" s="5">
        <v>46022</v>
      </c>
      <c r="B47" s="4" t="s">
        <v>144</v>
      </c>
      <c r="C47" s="4" t="s">
        <v>145</v>
      </c>
      <c r="D47" s="4" t="s">
        <v>62</v>
      </c>
      <c r="E47" s="6">
        <v>20258.980785</v>
      </c>
      <c r="F47" s="7">
        <v>0.28999999999999998</v>
      </c>
      <c r="G47" s="6">
        <v>83.9</v>
      </c>
      <c r="H47" s="6">
        <v>49.292000000000002</v>
      </c>
      <c r="I47" s="6">
        <v>100</v>
      </c>
      <c r="J47" s="6">
        <v>49.292126000000003</v>
      </c>
      <c r="K47" s="8">
        <v>15.677</v>
      </c>
      <c r="L47" s="6">
        <v>46.037192837830219</v>
      </c>
      <c r="M47" s="6">
        <v>43.683978508281378</v>
      </c>
      <c r="N47" s="6">
        <v>60.976136691563241</v>
      </c>
      <c r="O47" s="6">
        <v>622.45156940225593</v>
      </c>
      <c r="P47" s="6">
        <v>773.14887743993074</v>
      </c>
      <c r="Q47" s="6">
        <v>58.579280105577851</v>
      </c>
      <c r="R47" s="6">
        <v>369.67686917390529</v>
      </c>
      <c r="S47" s="6">
        <v>770.65727931306094</v>
      </c>
      <c r="T47" s="6">
        <v>397.53155332646583</v>
      </c>
      <c r="U47" s="6">
        <v>1596.4449819190099</v>
      </c>
      <c r="V47" s="6">
        <v>2369.5938593589408</v>
      </c>
      <c r="W47" s="6">
        <v>0</v>
      </c>
      <c r="X47" s="6">
        <v>414.5820183268774</v>
      </c>
      <c r="Y47" s="6">
        <v>-4132.5058657275013</v>
      </c>
      <c r="Z47" s="6">
        <v>-1348.329988041683</v>
      </c>
      <c r="AA47" s="6">
        <v>259.26178272438341</v>
      </c>
      <c r="AB47" s="6">
        <v>-1089.0682053173</v>
      </c>
      <c r="AC47" s="6">
        <v>0</v>
      </c>
      <c r="AD47" s="6">
        <v>321.69743746280312</v>
      </c>
      <c r="AE47" s="6">
        <v>0</v>
      </c>
      <c r="AF47" s="6">
        <v>0</v>
      </c>
      <c r="AG47" s="6">
        <v>-767.37076785449688</v>
      </c>
      <c r="AH47" s="6">
        <v>37.964568521548848</v>
      </c>
      <c r="AI47" s="6">
        <v>0</v>
      </c>
      <c r="AJ47" s="6">
        <v>6.1162357323577243</v>
      </c>
      <c r="AK47" s="6">
        <v>-1044.987401063393</v>
      </c>
      <c r="AL47" s="6">
        <v>47.851058973886502</v>
      </c>
      <c r="AM47" s="6">
        <v>0</v>
      </c>
      <c r="AN47" s="6">
        <v>0</v>
      </c>
      <c r="AO47" s="6">
        <v>0</v>
      </c>
      <c r="AP47" s="6">
        <v>0</v>
      </c>
      <c r="AQ47" s="6">
        <v>-997.13634208950691</v>
      </c>
      <c r="AR47" s="6">
        <v>1205.9993628627201</v>
      </c>
      <c r="AS47" s="6">
        <v>5801.3822499999997</v>
      </c>
      <c r="AT47" s="6">
        <v>2554.3293509044029</v>
      </c>
      <c r="AU47" s="6">
        <v>2295.0675681800199</v>
      </c>
    </row>
    <row r="48" spans="1:47" x14ac:dyDescent="0.35">
      <c r="A48" s="5">
        <v>46022</v>
      </c>
      <c r="B48" s="4" t="s">
        <v>126</v>
      </c>
      <c r="C48" s="4" t="s">
        <v>127</v>
      </c>
      <c r="D48" s="4" t="s">
        <v>84</v>
      </c>
      <c r="E48" s="6">
        <v>18000</v>
      </c>
      <c r="F48" s="7">
        <v>1.4999999999999999E-2</v>
      </c>
      <c r="G48" s="6">
        <v>45</v>
      </c>
      <c r="H48" s="6">
        <v>1.2150000000000001</v>
      </c>
      <c r="I48" s="6">
        <v>30</v>
      </c>
      <c r="J48" s="6">
        <v>0.36449999999999999</v>
      </c>
      <c r="K48" s="8">
        <v>2.3507285118103001</v>
      </c>
      <c r="L48" s="6">
        <v>3619.5147322901289</v>
      </c>
      <c r="M48" s="6">
        <v>2329.4980948821722</v>
      </c>
      <c r="N48" s="6">
        <v>369.26216726693758</v>
      </c>
      <c r="O48" s="6">
        <v>6050.0212608323072</v>
      </c>
      <c r="P48" s="6">
        <v>12368.296255271551</v>
      </c>
      <c r="Q48" s="6">
        <v>4433.5677020962648</v>
      </c>
      <c r="R48" s="6">
        <v>27223.191425132089</v>
      </c>
      <c r="S48" s="6">
        <v>3460.5256006524278</v>
      </c>
      <c r="T48" s="6">
        <v>8372.2391323659485</v>
      </c>
      <c r="U48" s="6">
        <v>43489.523860246729</v>
      </c>
      <c r="V48" s="6">
        <v>55857.820115518283</v>
      </c>
      <c r="W48" s="6">
        <v>375.34102602036558</v>
      </c>
      <c r="X48" s="6">
        <v>1643.9773925925931</v>
      </c>
      <c r="Y48" s="6">
        <v>-72220.679258469463</v>
      </c>
      <c r="Z48" s="6">
        <v>-14343.540724338231</v>
      </c>
      <c r="AA48" s="6">
        <v>0</v>
      </c>
      <c r="AB48" s="6">
        <v>-14343.540724338231</v>
      </c>
      <c r="AC48" s="6">
        <v>0</v>
      </c>
      <c r="AD48" s="6">
        <v>15272.905033926079</v>
      </c>
      <c r="AE48" s="6">
        <v>0</v>
      </c>
      <c r="AF48" s="6">
        <v>0</v>
      </c>
      <c r="AG48" s="6">
        <v>929.36430958784615</v>
      </c>
      <c r="AH48" s="6">
        <v>2572.4396121140749</v>
      </c>
      <c r="AI48" s="6">
        <v>643.11048182748925</v>
      </c>
      <c r="AJ48" s="6">
        <v>9454.9127044301276</v>
      </c>
      <c r="AK48" s="6">
        <v>-1673.0779259665389</v>
      </c>
      <c r="AL48" s="6">
        <v>0</v>
      </c>
      <c r="AM48" s="6">
        <v>0</v>
      </c>
      <c r="AN48" s="6">
        <v>0</v>
      </c>
      <c r="AO48" s="6">
        <v>0</v>
      </c>
      <c r="AP48" s="6">
        <v>0</v>
      </c>
      <c r="AQ48" s="6">
        <v>-1673.0779259665389</v>
      </c>
      <c r="AR48" s="6">
        <v>1205.9999989886601</v>
      </c>
      <c r="AS48" s="6">
        <v>659.75013200000001</v>
      </c>
      <c r="AT48" s="6">
        <v>15549.540723326891</v>
      </c>
      <c r="AU48" s="6">
        <v>15549.540723326891</v>
      </c>
    </row>
    <row r="49" spans="1:47" x14ac:dyDescent="0.35">
      <c r="A49" s="5">
        <v>46022</v>
      </c>
      <c r="B49" s="4" t="s">
        <v>148</v>
      </c>
      <c r="C49" s="4" t="s">
        <v>149</v>
      </c>
      <c r="D49" s="4" t="s">
        <v>57</v>
      </c>
      <c r="E49" s="6">
        <v>705</v>
      </c>
      <c r="F49" s="7">
        <v>2.4E-2</v>
      </c>
      <c r="G49" s="6">
        <v>90</v>
      </c>
      <c r="H49" s="6">
        <v>0.152</v>
      </c>
      <c r="I49" s="6">
        <v>92</v>
      </c>
      <c r="J49" s="6">
        <v>0.140098</v>
      </c>
      <c r="K49" s="8">
        <v>4.3979999999999997</v>
      </c>
      <c r="L49" s="6">
        <v>1303.7737267688051</v>
      </c>
      <c r="M49" s="6">
        <v>264.43843808907889</v>
      </c>
      <c r="N49" s="6">
        <v>155.22780436025511</v>
      </c>
      <c r="O49" s="6">
        <v>828.31249521143673</v>
      </c>
      <c r="P49" s="6">
        <v>2551.7524644295759</v>
      </c>
      <c r="Q49" s="6">
        <v>345.92391082949081</v>
      </c>
      <c r="R49" s="6">
        <v>367.10290714506141</v>
      </c>
      <c r="S49" s="6">
        <v>724.84753103680794</v>
      </c>
      <c r="T49" s="6">
        <v>621.06072536879697</v>
      </c>
      <c r="U49" s="6">
        <v>2058.9350743801569</v>
      </c>
      <c r="V49" s="6">
        <v>4610.6875388097333</v>
      </c>
      <c r="W49" s="6">
        <v>343.03519103306729</v>
      </c>
      <c r="X49" s="6">
        <v>1336.3544995242969</v>
      </c>
      <c r="Y49" s="6">
        <v>-12454.48370684202</v>
      </c>
      <c r="Z49" s="6">
        <v>-6164.4064774749259</v>
      </c>
      <c r="AA49" s="6">
        <v>330.40532789127508</v>
      </c>
      <c r="AB49" s="6">
        <v>-5834.0011495836507</v>
      </c>
      <c r="AC49" s="6">
        <v>0</v>
      </c>
      <c r="AD49" s="6">
        <v>70.864246946045014</v>
      </c>
      <c r="AE49" s="6">
        <v>0</v>
      </c>
      <c r="AF49" s="6">
        <v>0</v>
      </c>
      <c r="AG49" s="6">
        <v>-5763.136902637606</v>
      </c>
      <c r="AH49" s="6">
        <v>732.04924802808443</v>
      </c>
      <c r="AI49" s="6">
        <v>0</v>
      </c>
      <c r="AJ49" s="6">
        <v>554.72850881360466</v>
      </c>
      <c r="AK49" s="6">
        <v>-4547.223392741962</v>
      </c>
      <c r="AL49" s="6">
        <v>0</v>
      </c>
      <c r="AM49" s="6">
        <v>0</v>
      </c>
      <c r="AN49" s="6">
        <v>0</v>
      </c>
      <c r="AO49" s="6">
        <v>0</v>
      </c>
      <c r="AP49" s="6">
        <v>0</v>
      </c>
      <c r="AQ49" s="6">
        <v>-4547.223392741962</v>
      </c>
      <c r="AR49" s="6">
        <v>1206.0172155085099</v>
      </c>
      <c r="AS49" s="6">
        <v>49.326742000000003</v>
      </c>
      <c r="AT49" s="6">
        <v>7370.423692983436</v>
      </c>
      <c r="AU49" s="6">
        <v>7040.0183650921608</v>
      </c>
    </row>
    <row r="50" spans="1:47" x14ac:dyDescent="0.35">
      <c r="A50" s="5">
        <v>46022</v>
      </c>
      <c r="B50" s="4" t="s">
        <v>128</v>
      </c>
      <c r="C50" s="4" t="s">
        <v>129</v>
      </c>
      <c r="D50" s="4" t="s">
        <v>89</v>
      </c>
      <c r="E50" s="6">
        <v>2100</v>
      </c>
      <c r="F50" s="7">
        <v>0.12</v>
      </c>
      <c r="G50" s="6">
        <v>50</v>
      </c>
      <c r="H50" s="6">
        <v>1.26</v>
      </c>
      <c r="I50" s="6">
        <v>100</v>
      </c>
      <c r="J50" s="6">
        <v>1.26</v>
      </c>
      <c r="K50" s="8">
        <v>1.1919999999999999</v>
      </c>
      <c r="L50" s="6">
        <v>4314.1162695645608</v>
      </c>
      <c r="M50" s="6">
        <v>2224.2995776548978</v>
      </c>
      <c r="N50" s="6">
        <v>1330.48300548314</v>
      </c>
      <c r="O50" s="6">
        <v>11911.86540670465</v>
      </c>
      <c r="P50" s="6">
        <v>19780.764259407239</v>
      </c>
      <c r="Q50" s="6">
        <v>1295.4032310731679</v>
      </c>
      <c r="R50" s="6">
        <v>851.73553386478727</v>
      </c>
      <c r="S50" s="6">
        <v>854.7526791125706</v>
      </c>
      <c r="T50" s="6">
        <v>1539.8175341665899</v>
      </c>
      <c r="U50" s="6">
        <v>4541.7089782171161</v>
      </c>
      <c r="V50" s="6">
        <v>24322.473237624359</v>
      </c>
      <c r="W50" s="6">
        <v>0</v>
      </c>
      <c r="X50" s="6">
        <v>284.36200100000002</v>
      </c>
      <c r="Y50" s="6">
        <v>-15971.576291041551</v>
      </c>
      <c r="Z50" s="6">
        <v>8635.2589475828063</v>
      </c>
      <c r="AA50" s="6">
        <v>576.446986581597</v>
      </c>
      <c r="AB50" s="6">
        <v>9211.7059341644035</v>
      </c>
      <c r="AC50" s="6">
        <v>0</v>
      </c>
      <c r="AD50" s="6">
        <v>11668.951605932911</v>
      </c>
      <c r="AE50" s="6">
        <v>0</v>
      </c>
      <c r="AF50" s="6">
        <v>0</v>
      </c>
      <c r="AG50" s="6">
        <v>20880.657540097309</v>
      </c>
      <c r="AH50" s="6">
        <v>371.40764599892719</v>
      </c>
      <c r="AI50" s="6">
        <v>0</v>
      </c>
      <c r="AJ50" s="6">
        <v>1517.5596406894281</v>
      </c>
      <c r="AK50" s="6">
        <v>11100.673220852759</v>
      </c>
      <c r="AL50" s="6">
        <v>1871.968529110808</v>
      </c>
      <c r="AM50" s="6">
        <v>0</v>
      </c>
      <c r="AN50" s="6">
        <v>0</v>
      </c>
      <c r="AO50" s="6">
        <v>0</v>
      </c>
      <c r="AP50" s="6">
        <v>0</v>
      </c>
      <c r="AQ50" s="6">
        <v>12972.64174996357</v>
      </c>
      <c r="AR50" s="6">
        <v>1205.9999989886601</v>
      </c>
      <c r="AS50" s="6">
        <v>571.87619299999994</v>
      </c>
      <c r="AT50" s="6">
        <v>-7429.2589485941462</v>
      </c>
      <c r="AU50" s="6">
        <v>-8005.7059351757434</v>
      </c>
    </row>
    <row r="51" spans="1:47" x14ac:dyDescent="0.35">
      <c r="A51" s="5">
        <v>46022</v>
      </c>
      <c r="B51" s="4" t="s">
        <v>130</v>
      </c>
      <c r="C51" s="4" t="s">
        <v>131</v>
      </c>
      <c r="D51" s="4" t="s">
        <v>94</v>
      </c>
      <c r="E51" s="6">
        <v>7560</v>
      </c>
      <c r="F51" s="7">
        <v>1.1000000000000001E-3</v>
      </c>
      <c r="G51" s="6">
        <v>70</v>
      </c>
      <c r="H51" s="6">
        <v>5.7000000000000002E-2</v>
      </c>
      <c r="I51" s="6">
        <v>100</v>
      </c>
      <c r="J51" s="6">
        <v>5.7089000000000001E-2</v>
      </c>
      <c r="K51" s="8">
        <v>0.192</v>
      </c>
      <c r="L51" s="6">
        <v>63113.746225381612</v>
      </c>
      <c r="M51" s="6">
        <v>2928.59694950124</v>
      </c>
      <c r="N51" s="6">
        <v>3532.7556713255731</v>
      </c>
      <c r="O51" s="6">
        <v>205300.76337146159</v>
      </c>
      <c r="P51" s="6">
        <v>274875.86221767002</v>
      </c>
      <c r="Q51" s="6">
        <v>18586.68800290443</v>
      </c>
      <c r="R51" s="6">
        <v>3967.711988768664</v>
      </c>
      <c r="S51" s="6">
        <v>27780.861579551562</v>
      </c>
      <c r="T51" s="6">
        <v>35485.520603717508</v>
      </c>
      <c r="U51" s="6">
        <v>85820.782174942171</v>
      </c>
      <c r="V51" s="6">
        <v>360696.64439261222</v>
      </c>
      <c r="W51" s="6">
        <v>0</v>
      </c>
      <c r="X51" s="6">
        <v>52630.434552481391</v>
      </c>
      <c r="Y51" s="6">
        <v>-704389.34161714115</v>
      </c>
      <c r="Z51" s="6">
        <v>-291062.2626720476</v>
      </c>
      <c r="AA51" s="6">
        <v>24346.78957120622</v>
      </c>
      <c r="AB51" s="6">
        <v>-266715.47310084139</v>
      </c>
      <c r="AC51" s="6">
        <v>0</v>
      </c>
      <c r="AD51" s="6">
        <v>144972.95524705789</v>
      </c>
      <c r="AE51" s="6">
        <v>0</v>
      </c>
      <c r="AF51" s="6">
        <v>0</v>
      </c>
      <c r="AG51" s="6">
        <v>-121742.5178537835</v>
      </c>
      <c r="AH51" s="6">
        <v>36258.293074463909</v>
      </c>
      <c r="AI51" s="6">
        <v>0</v>
      </c>
      <c r="AJ51" s="6">
        <v>97328.6720405456</v>
      </c>
      <c r="AK51" s="6">
        <v>-133128.50798583191</v>
      </c>
      <c r="AL51" s="6">
        <v>79453.548354010607</v>
      </c>
      <c r="AM51" s="6">
        <v>0</v>
      </c>
      <c r="AN51" s="6">
        <v>0</v>
      </c>
      <c r="AO51" s="6">
        <v>0</v>
      </c>
      <c r="AP51" s="6">
        <v>0</v>
      </c>
      <c r="AQ51" s="6">
        <v>-53674.959631821257</v>
      </c>
      <c r="AR51" s="6">
        <v>1206.2323730009721</v>
      </c>
      <c r="AS51" s="6">
        <v>931.56297400000005</v>
      </c>
      <c r="AT51" s="6">
        <v>292268.49504504859</v>
      </c>
      <c r="AU51" s="6">
        <v>267921.70547384239</v>
      </c>
    </row>
  </sheetData>
  <mergeCells count="48">
    <mergeCell ref="AS6:AS9"/>
    <mergeCell ref="AT6:AT9"/>
    <mergeCell ref="AU6:AU9"/>
    <mergeCell ref="AN6:AN9"/>
    <mergeCell ref="AO6:AO9"/>
    <mergeCell ref="AP6:AP9"/>
    <mergeCell ref="AQ6:AQ9"/>
    <mergeCell ref="AR6:AR9"/>
    <mergeCell ref="AI6:AI9"/>
    <mergeCell ref="AJ6:AJ9"/>
    <mergeCell ref="AK6:AK9"/>
    <mergeCell ref="AL6:AL9"/>
    <mergeCell ref="AM6:AM9"/>
    <mergeCell ref="AD6:AD9"/>
    <mergeCell ref="AE6:AE9"/>
    <mergeCell ref="AF6:AF9"/>
    <mergeCell ref="AG6:AG9"/>
    <mergeCell ref="AH6:AH9"/>
    <mergeCell ref="Y6:Y9"/>
    <mergeCell ref="Z6:Z9"/>
    <mergeCell ref="AA6:AA9"/>
    <mergeCell ref="AB6:AB9"/>
    <mergeCell ref="AC6:AC9"/>
    <mergeCell ref="T6:T9"/>
    <mergeCell ref="U6:U9"/>
    <mergeCell ref="V6:V9"/>
    <mergeCell ref="W6:W9"/>
    <mergeCell ref="X6:X9"/>
    <mergeCell ref="O6:O9"/>
    <mergeCell ref="P6:P9"/>
    <mergeCell ref="Q6:Q9"/>
    <mergeCell ref="R6:R9"/>
    <mergeCell ref="S6:S9"/>
    <mergeCell ref="J6:J9"/>
    <mergeCell ref="K6:K9"/>
    <mergeCell ref="L6:L9"/>
    <mergeCell ref="M6:M9"/>
    <mergeCell ref="N6:N9"/>
    <mergeCell ref="E6:E9"/>
    <mergeCell ref="F6:F9"/>
    <mergeCell ref="G6:G9"/>
    <mergeCell ref="H6:H9"/>
    <mergeCell ref="I6:I9"/>
    <mergeCell ref="A1:D1"/>
    <mergeCell ref="A6:A9"/>
    <mergeCell ref="B6:B9"/>
    <mergeCell ref="C6:C9"/>
    <mergeCell ref="D6:D9"/>
  </mergeCells>
  <pageMargins left="0.7" right="0.7" top="0.75" bottom="0.75" header="0.3" footer="0.3"/>
  <pageSetup orientation="landscape"/>
  <headerFooter>
    <oddFooter>&amp;C_x000D_&amp;1#&amp;"Aptos"&amp;10&amp;K0000FF Restricted Use - À usage restreint</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7035B-5B1F-4071-A01C-A488A4570C10}">
  <dimension ref="A1:S81"/>
  <sheetViews>
    <sheetView topLeftCell="A2" workbookViewId="0">
      <selection activeCell="G48" sqref="G48"/>
    </sheetView>
  </sheetViews>
  <sheetFormatPr defaultRowHeight="14.5" x14ac:dyDescent="0.35"/>
  <sheetData>
    <row r="1" spans="1:19" x14ac:dyDescent="0.35">
      <c r="A1" t="s">
        <v>263</v>
      </c>
    </row>
    <row r="2" spans="1:19" x14ac:dyDescent="0.35">
      <c r="A2" t="s">
        <v>0</v>
      </c>
    </row>
    <row r="3" spans="1:19" x14ac:dyDescent="0.35">
      <c r="A3" t="s">
        <v>1</v>
      </c>
    </row>
    <row r="5" spans="1:19" x14ac:dyDescent="0.35">
      <c r="A5" t="s">
        <v>3</v>
      </c>
      <c r="B5" t="s">
        <v>4</v>
      </c>
      <c r="C5" t="s">
        <v>5</v>
      </c>
      <c r="D5" t="s">
        <v>213</v>
      </c>
      <c r="E5" t="s">
        <v>214</v>
      </c>
      <c r="F5" t="s">
        <v>215</v>
      </c>
      <c r="G5" t="s">
        <v>264</v>
      </c>
      <c r="H5" t="s">
        <v>265</v>
      </c>
      <c r="I5" t="s">
        <v>266</v>
      </c>
      <c r="J5" t="s">
        <v>267</v>
      </c>
      <c r="K5" t="s">
        <v>268</v>
      </c>
      <c r="L5" t="s">
        <v>269</v>
      </c>
      <c r="M5" t="s">
        <v>270</v>
      </c>
      <c r="N5" t="s">
        <v>271</v>
      </c>
      <c r="O5" t="s">
        <v>272</v>
      </c>
      <c r="P5" t="s">
        <v>273</v>
      </c>
      <c r="Q5" t="s">
        <v>274</v>
      </c>
      <c r="R5" t="s">
        <v>275</v>
      </c>
      <c r="S5" t="s">
        <v>276</v>
      </c>
    </row>
    <row r="9" spans="1:19" x14ac:dyDescent="0.35">
      <c r="A9" s="13">
        <v>46022</v>
      </c>
      <c r="B9" t="s">
        <v>67</v>
      </c>
      <c r="C9" t="s">
        <v>68</v>
      </c>
      <c r="D9" t="s">
        <v>216</v>
      </c>
      <c r="E9">
        <v>4355482</v>
      </c>
      <c r="F9" s="14">
        <v>100</v>
      </c>
      <c r="G9" t="s">
        <v>277</v>
      </c>
      <c r="H9">
        <v>4355482</v>
      </c>
      <c r="I9" t="s">
        <v>278</v>
      </c>
      <c r="J9" t="s">
        <v>279</v>
      </c>
      <c r="K9" t="s">
        <v>57</v>
      </c>
      <c r="L9" t="s">
        <v>279</v>
      </c>
      <c r="M9" t="s">
        <v>57</v>
      </c>
      <c r="N9" t="s">
        <v>57</v>
      </c>
      <c r="O9" t="s">
        <v>2</v>
      </c>
      <c r="P9" t="s">
        <v>2</v>
      </c>
      <c r="Q9" t="s">
        <v>2</v>
      </c>
      <c r="R9" t="s">
        <v>2</v>
      </c>
      <c r="S9" t="s">
        <v>57</v>
      </c>
    </row>
    <row r="10" spans="1:19" x14ac:dyDescent="0.35">
      <c r="A10" s="13">
        <v>46022</v>
      </c>
      <c r="B10" t="s">
        <v>49</v>
      </c>
      <c r="C10" t="s">
        <v>50</v>
      </c>
      <c r="D10" t="s">
        <v>217</v>
      </c>
      <c r="E10">
        <v>4351671</v>
      </c>
      <c r="F10" s="14">
        <v>45.82</v>
      </c>
      <c r="G10" t="s">
        <v>280</v>
      </c>
      <c r="H10">
        <v>4047416</v>
      </c>
      <c r="I10">
        <v>4351671</v>
      </c>
      <c r="J10" t="s">
        <v>2</v>
      </c>
      <c r="K10" t="s">
        <v>2</v>
      </c>
      <c r="L10" t="s">
        <v>2</v>
      </c>
      <c r="M10" t="s">
        <v>2</v>
      </c>
      <c r="N10" t="s">
        <v>281</v>
      </c>
      <c r="O10" t="s">
        <v>282</v>
      </c>
      <c r="P10" t="s">
        <v>282</v>
      </c>
      <c r="Q10" t="s">
        <v>282</v>
      </c>
      <c r="R10" t="s">
        <v>282</v>
      </c>
      <c r="S10" t="s">
        <v>282</v>
      </c>
    </row>
    <row r="11" spans="1:19" x14ac:dyDescent="0.35">
      <c r="A11" s="13">
        <v>46022</v>
      </c>
      <c r="B11" t="s">
        <v>49</v>
      </c>
      <c r="C11" t="s">
        <v>50</v>
      </c>
      <c r="D11" t="s">
        <v>218</v>
      </c>
      <c r="E11">
        <v>4047416</v>
      </c>
      <c r="F11" s="14">
        <v>54.17</v>
      </c>
      <c r="G11" t="s">
        <v>280</v>
      </c>
      <c r="H11">
        <v>4047416</v>
      </c>
      <c r="I11">
        <v>4351671</v>
      </c>
      <c r="J11" t="s">
        <v>2</v>
      </c>
      <c r="K11" t="s">
        <v>2</v>
      </c>
      <c r="L11" t="s">
        <v>2</v>
      </c>
      <c r="M11" t="s">
        <v>2</v>
      </c>
      <c r="N11" t="s">
        <v>281</v>
      </c>
      <c r="O11" t="s">
        <v>282</v>
      </c>
      <c r="P11" t="s">
        <v>282</v>
      </c>
      <c r="Q11" t="s">
        <v>282</v>
      </c>
      <c r="R11" t="s">
        <v>282</v>
      </c>
      <c r="S11" t="s">
        <v>282</v>
      </c>
    </row>
    <row r="12" spans="1:19" x14ac:dyDescent="0.35">
      <c r="A12" s="13">
        <v>46022</v>
      </c>
      <c r="B12" t="s">
        <v>52</v>
      </c>
      <c r="C12" t="s">
        <v>53</v>
      </c>
      <c r="D12" t="s">
        <v>219</v>
      </c>
      <c r="E12">
        <v>4349160</v>
      </c>
      <c r="F12" s="14">
        <v>85</v>
      </c>
      <c r="G12" t="s">
        <v>283</v>
      </c>
      <c r="H12">
        <v>4349160</v>
      </c>
      <c r="I12">
        <v>4355602</v>
      </c>
      <c r="J12" t="s">
        <v>284</v>
      </c>
      <c r="K12" t="s">
        <v>57</v>
      </c>
      <c r="L12" t="s">
        <v>285</v>
      </c>
      <c r="M12" t="s">
        <v>286</v>
      </c>
      <c r="N12" t="s">
        <v>57</v>
      </c>
      <c r="O12" t="s">
        <v>287</v>
      </c>
      <c r="P12" t="s">
        <v>54</v>
      </c>
      <c r="Q12" t="s">
        <v>287</v>
      </c>
      <c r="R12" t="s">
        <v>54</v>
      </c>
      <c r="S12" t="s">
        <v>54</v>
      </c>
    </row>
    <row r="13" spans="1:19" x14ac:dyDescent="0.35">
      <c r="A13" s="13">
        <v>46022</v>
      </c>
      <c r="B13" t="s">
        <v>52</v>
      </c>
      <c r="C13" t="s">
        <v>53</v>
      </c>
      <c r="D13" t="s">
        <v>220</v>
      </c>
      <c r="E13">
        <v>4355602</v>
      </c>
      <c r="F13" s="14">
        <v>15</v>
      </c>
      <c r="G13" t="s">
        <v>283</v>
      </c>
      <c r="H13">
        <v>4349160</v>
      </c>
      <c r="I13">
        <v>4355602</v>
      </c>
      <c r="J13" t="s">
        <v>284</v>
      </c>
      <c r="K13" t="s">
        <v>57</v>
      </c>
      <c r="L13" t="s">
        <v>285</v>
      </c>
      <c r="M13" t="s">
        <v>286</v>
      </c>
      <c r="N13" t="s">
        <v>57</v>
      </c>
      <c r="O13" t="s">
        <v>287</v>
      </c>
      <c r="P13" t="s">
        <v>54</v>
      </c>
      <c r="Q13" t="s">
        <v>287</v>
      </c>
      <c r="R13" t="s">
        <v>54</v>
      </c>
      <c r="S13" t="s">
        <v>54</v>
      </c>
    </row>
    <row r="14" spans="1:19" x14ac:dyDescent="0.35">
      <c r="A14" s="13">
        <v>46022</v>
      </c>
      <c r="B14" t="s">
        <v>55</v>
      </c>
      <c r="C14" t="s">
        <v>56</v>
      </c>
      <c r="D14" t="s">
        <v>221</v>
      </c>
      <c r="E14">
        <v>4355642</v>
      </c>
      <c r="F14" s="14">
        <v>100</v>
      </c>
      <c r="G14" t="s">
        <v>288</v>
      </c>
      <c r="H14">
        <v>4355642</v>
      </c>
      <c r="I14" t="s">
        <v>278</v>
      </c>
      <c r="J14" t="s">
        <v>2</v>
      </c>
      <c r="K14" t="s">
        <v>2</v>
      </c>
      <c r="L14" t="s">
        <v>2</v>
      </c>
      <c r="M14" t="s">
        <v>2</v>
      </c>
      <c r="N14" t="s">
        <v>57</v>
      </c>
      <c r="O14" t="s">
        <v>2</v>
      </c>
      <c r="P14" t="s">
        <v>2</v>
      </c>
      <c r="Q14" t="s">
        <v>2</v>
      </c>
      <c r="R14" t="s">
        <v>2</v>
      </c>
      <c r="S14" t="s">
        <v>57</v>
      </c>
    </row>
    <row r="15" spans="1:19" x14ac:dyDescent="0.35">
      <c r="A15" s="13">
        <v>46022</v>
      </c>
      <c r="B15" t="s">
        <v>69</v>
      </c>
      <c r="C15" t="s">
        <v>70</v>
      </c>
      <c r="D15" t="s">
        <v>222</v>
      </c>
      <c r="E15">
        <v>4351931</v>
      </c>
      <c r="F15" s="14">
        <v>100</v>
      </c>
      <c r="G15" t="s">
        <v>289</v>
      </c>
      <c r="H15">
        <v>4354713</v>
      </c>
      <c r="I15" t="s">
        <v>278</v>
      </c>
      <c r="J15" t="s">
        <v>2</v>
      </c>
      <c r="K15" t="s">
        <v>2</v>
      </c>
      <c r="L15" t="s">
        <v>2</v>
      </c>
      <c r="M15" t="s">
        <v>2</v>
      </c>
      <c r="N15" t="s">
        <v>286</v>
      </c>
      <c r="O15" t="s">
        <v>2</v>
      </c>
      <c r="P15" t="s">
        <v>2</v>
      </c>
      <c r="Q15" t="s">
        <v>2</v>
      </c>
      <c r="R15" t="s">
        <v>2</v>
      </c>
      <c r="S15" t="s">
        <v>57</v>
      </c>
    </row>
    <row r="16" spans="1:19" x14ac:dyDescent="0.35">
      <c r="A16" s="13">
        <v>46022</v>
      </c>
      <c r="B16" t="s">
        <v>132</v>
      </c>
      <c r="C16" t="s">
        <v>133</v>
      </c>
      <c r="D16" t="s">
        <v>216</v>
      </c>
      <c r="E16">
        <v>4355482</v>
      </c>
      <c r="F16" s="14">
        <v>100</v>
      </c>
      <c r="G16" t="s">
        <v>277</v>
      </c>
      <c r="H16">
        <v>4355482</v>
      </c>
      <c r="I16" t="s">
        <v>278</v>
      </c>
      <c r="J16" t="s">
        <v>279</v>
      </c>
      <c r="K16" t="s">
        <v>57</v>
      </c>
      <c r="L16" t="s">
        <v>279</v>
      </c>
      <c r="M16" t="s">
        <v>57</v>
      </c>
      <c r="N16" t="s">
        <v>57</v>
      </c>
      <c r="O16" t="s">
        <v>2</v>
      </c>
      <c r="P16" t="s">
        <v>2</v>
      </c>
      <c r="Q16" t="s">
        <v>2</v>
      </c>
      <c r="R16" t="s">
        <v>2</v>
      </c>
      <c r="S16" t="s">
        <v>57</v>
      </c>
    </row>
    <row r="17" spans="1:19" x14ac:dyDescent="0.35">
      <c r="A17" s="13">
        <v>46022</v>
      </c>
      <c r="B17" t="s">
        <v>72</v>
      </c>
      <c r="C17" t="s">
        <v>73</v>
      </c>
      <c r="D17" t="s">
        <v>62</v>
      </c>
      <c r="E17">
        <v>4350734</v>
      </c>
      <c r="F17" s="14">
        <v>5</v>
      </c>
      <c r="G17" t="s">
        <v>290</v>
      </c>
      <c r="H17">
        <v>4365787</v>
      </c>
      <c r="I17">
        <v>4350734</v>
      </c>
      <c r="J17" t="s">
        <v>291</v>
      </c>
      <c r="K17" t="s">
        <v>292</v>
      </c>
      <c r="L17" t="s">
        <v>291</v>
      </c>
      <c r="M17" t="s">
        <v>292</v>
      </c>
      <c r="N17" t="s">
        <v>293</v>
      </c>
      <c r="O17" t="s">
        <v>2</v>
      </c>
      <c r="P17" t="s">
        <v>2</v>
      </c>
      <c r="Q17" t="s">
        <v>2</v>
      </c>
      <c r="R17" t="s">
        <v>2</v>
      </c>
      <c r="S17" t="s">
        <v>62</v>
      </c>
    </row>
    <row r="18" spans="1:19" x14ac:dyDescent="0.35">
      <c r="A18" s="13">
        <v>46022</v>
      </c>
      <c r="B18" t="s">
        <v>72</v>
      </c>
      <c r="C18" t="s">
        <v>73</v>
      </c>
      <c r="D18" t="s">
        <v>223</v>
      </c>
      <c r="E18">
        <v>4365787</v>
      </c>
      <c r="F18" s="14">
        <v>95</v>
      </c>
      <c r="G18" t="s">
        <v>290</v>
      </c>
      <c r="H18">
        <v>4365787</v>
      </c>
      <c r="I18">
        <v>4350734</v>
      </c>
      <c r="J18" t="s">
        <v>291</v>
      </c>
      <c r="K18" t="s">
        <v>292</v>
      </c>
      <c r="L18" t="s">
        <v>291</v>
      </c>
      <c r="M18" t="s">
        <v>292</v>
      </c>
      <c r="N18" t="s">
        <v>293</v>
      </c>
      <c r="O18" t="s">
        <v>2</v>
      </c>
      <c r="P18" t="s">
        <v>2</v>
      </c>
      <c r="Q18" t="s">
        <v>2</v>
      </c>
      <c r="R18" t="s">
        <v>2</v>
      </c>
      <c r="S18" t="s">
        <v>62</v>
      </c>
    </row>
    <row r="19" spans="1:19" x14ac:dyDescent="0.35">
      <c r="A19" s="13">
        <v>46022</v>
      </c>
      <c r="B19" t="s">
        <v>74</v>
      </c>
      <c r="C19" t="s">
        <v>75</v>
      </c>
      <c r="D19" t="s">
        <v>224</v>
      </c>
      <c r="E19">
        <v>28696936</v>
      </c>
      <c r="F19" s="14">
        <v>95</v>
      </c>
      <c r="G19" t="s">
        <v>294</v>
      </c>
      <c r="H19">
        <v>28696936</v>
      </c>
      <c r="I19">
        <v>4500088</v>
      </c>
      <c r="J19" t="s">
        <v>2</v>
      </c>
      <c r="K19" t="s">
        <v>2</v>
      </c>
      <c r="L19" t="s">
        <v>2</v>
      </c>
      <c r="M19" t="s">
        <v>2</v>
      </c>
      <c r="N19" t="s">
        <v>295</v>
      </c>
      <c r="O19" t="s">
        <v>2</v>
      </c>
      <c r="P19" t="s">
        <v>2</v>
      </c>
      <c r="Q19" t="s">
        <v>2</v>
      </c>
      <c r="R19" t="s">
        <v>2</v>
      </c>
      <c r="S19" t="s">
        <v>295</v>
      </c>
    </row>
    <row r="20" spans="1:19" x14ac:dyDescent="0.35">
      <c r="A20" s="13">
        <v>46022</v>
      </c>
      <c r="B20" t="s">
        <v>74</v>
      </c>
      <c r="C20" t="s">
        <v>75</v>
      </c>
      <c r="D20" t="s">
        <v>225</v>
      </c>
      <c r="E20">
        <v>4500088</v>
      </c>
      <c r="F20" s="14">
        <v>5</v>
      </c>
      <c r="G20" t="s">
        <v>294</v>
      </c>
      <c r="H20">
        <v>28696936</v>
      </c>
      <c r="I20">
        <v>4500088</v>
      </c>
      <c r="J20" t="s">
        <v>2</v>
      </c>
      <c r="K20" t="s">
        <v>2</v>
      </c>
      <c r="L20" t="s">
        <v>2</v>
      </c>
      <c r="M20" t="s">
        <v>2</v>
      </c>
      <c r="N20" t="s">
        <v>295</v>
      </c>
      <c r="O20" t="s">
        <v>2</v>
      </c>
      <c r="P20" t="s">
        <v>2</v>
      </c>
      <c r="Q20" t="s">
        <v>2</v>
      </c>
      <c r="R20" t="s">
        <v>2</v>
      </c>
      <c r="S20" t="s">
        <v>295</v>
      </c>
    </row>
    <row r="21" spans="1:19" x14ac:dyDescent="0.35">
      <c r="A21" s="13">
        <v>46022</v>
      </c>
      <c r="B21" t="s">
        <v>77</v>
      </c>
      <c r="C21" t="s">
        <v>78</v>
      </c>
      <c r="D21" t="s">
        <v>226</v>
      </c>
      <c r="E21">
        <v>4351190</v>
      </c>
      <c r="F21" s="14">
        <v>87</v>
      </c>
      <c r="G21" t="s">
        <v>296</v>
      </c>
      <c r="H21">
        <v>4351190</v>
      </c>
      <c r="I21">
        <v>4353456</v>
      </c>
      <c r="J21" t="s">
        <v>2</v>
      </c>
      <c r="K21" t="s">
        <v>2</v>
      </c>
      <c r="L21" t="s">
        <v>2</v>
      </c>
      <c r="M21" t="s">
        <v>2</v>
      </c>
      <c r="N21" t="s">
        <v>79</v>
      </c>
      <c r="O21" t="s">
        <v>2</v>
      </c>
      <c r="P21" t="s">
        <v>2</v>
      </c>
      <c r="Q21" t="s">
        <v>2</v>
      </c>
      <c r="R21" t="s">
        <v>2</v>
      </c>
      <c r="S21" t="s">
        <v>57</v>
      </c>
    </row>
    <row r="22" spans="1:19" x14ac:dyDescent="0.35">
      <c r="A22" s="13">
        <v>46022</v>
      </c>
      <c r="B22" t="s">
        <v>77</v>
      </c>
      <c r="C22" t="s">
        <v>78</v>
      </c>
      <c r="D22" t="s">
        <v>227</v>
      </c>
      <c r="E22">
        <v>4353456</v>
      </c>
      <c r="F22" s="14">
        <v>13</v>
      </c>
      <c r="G22" t="s">
        <v>296</v>
      </c>
      <c r="H22">
        <v>4351190</v>
      </c>
      <c r="I22">
        <v>4353456</v>
      </c>
      <c r="J22" t="s">
        <v>2</v>
      </c>
      <c r="K22" t="s">
        <v>2</v>
      </c>
      <c r="L22" t="s">
        <v>2</v>
      </c>
      <c r="M22" t="s">
        <v>2</v>
      </c>
      <c r="N22" t="s">
        <v>79</v>
      </c>
      <c r="O22" t="s">
        <v>2</v>
      </c>
      <c r="P22" t="s">
        <v>2</v>
      </c>
      <c r="Q22" t="s">
        <v>2</v>
      </c>
      <c r="R22" t="s">
        <v>2</v>
      </c>
      <c r="S22" t="s">
        <v>57</v>
      </c>
    </row>
    <row r="23" spans="1:19" x14ac:dyDescent="0.35">
      <c r="A23" s="13">
        <v>46022</v>
      </c>
      <c r="B23" t="s">
        <v>85</v>
      </c>
      <c r="C23" t="s">
        <v>86</v>
      </c>
      <c r="D23" t="s">
        <v>228</v>
      </c>
      <c r="E23">
        <v>4351437</v>
      </c>
      <c r="F23" s="14">
        <v>100</v>
      </c>
      <c r="G23" t="s">
        <v>297</v>
      </c>
      <c r="H23">
        <v>4351437</v>
      </c>
      <c r="I23" t="s">
        <v>278</v>
      </c>
      <c r="J23" t="s">
        <v>298</v>
      </c>
      <c r="K23" t="s">
        <v>57</v>
      </c>
      <c r="L23" t="s">
        <v>298</v>
      </c>
      <c r="M23" t="s">
        <v>57</v>
      </c>
      <c r="N23" t="s">
        <v>57</v>
      </c>
      <c r="O23" t="s">
        <v>2</v>
      </c>
      <c r="P23" t="s">
        <v>2</v>
      </c>
      <c r="Q23" t="s">
        <v>2</v>
      </c>
      <c r="R23" t="s">
        <v>2</v>
      </c>
      <c r="S23" t="s">
        <v>57</v>
      </c>
    </row>
    <row r="24" spans="1:19" x14ac:dyDescent="0.35">
      <c r="A24" s="13">
        <v>46022</v>
      </c>
      <c r="B24" t="s">
        <v>58</v>
      </c>
      <c r="C24" t="s">
        <v>59</v>
      </c>
      <c r="D24" t="s">
        <v>216</v>
      </c>
      <c r="E24">
        <v>4355482</v>
      </c>
      <c r="F24" s="14">
        <v>100</v>
      </c>
      <c r="G24" t="s">
        <v>277</v>
      </c>
      <c r="H24">
        <v>4355482</v>
      </c>
      <c r="I24" t="s">
        <v>278</v>
      </c>
      <c r="J24" t="s">
        <v>279</v>
      </c>
      <c r="K24" t="s">
        <v>57</v>
      </c>
      <c r="L24" t="s">
        <v>279</v>
      </c>
      <c r="M24" t="s">
        <v>57</v>
      </c>
      <c r="N24" t="s">
        <v>57</v>
      </c>
      <c r="O24" t="s">
        <v>2</v>
      </c>
      <c r="P24" t="s">
        <v>2</v>
      </c>
      <c r="Q24" t="s">
        <v>2</v>
      </c>
      <c r="R24" t="s">
        <v>2</v>
      </c>
      <c r="S24" t="s">
        <v>57</v>
      </c>
    </row>
    <row r="25" spans="1:19" x14ac:dyDescent="0.35">
      <c r="A25" s="13">
        <v>46022</v>
      </c>
      <c r="B25" t="s">
        <v>60</v>
      </c>
      <c r="C25" t="s">
        <v>61</v>
      </c>
      <c r="D25" t="s">
        <v>229</v>
      </c>
      <c r="E25">
        <v>4649760</v>
      </c>
      <c r="F25" s="14">
        <v>85</v>
      </c>
      <c r="G25" t="s">
        <v>299</v>
      </c>
      <c r="H25">
        <v>4649760</v>
      </c>
      <c r="I25">
        <v>4567062</v>
      </c>
      <c r="J25" t="s">
        <v>2</v>
      </c>
      <c r="K25" t="s">
        <v>2</v>
      </c>
      <c r="L25" t="s">
        <v>2</v>
      </c>
      <c r="M25" t="s">
        <v>2</v>
      </c>
      <c r="N25" t="s">
        <v>57</v>
      </c>
      <c r="O25" t="s">
        <v>2</v>
      </c>
      <c r="P25" t="s">
        <v>2</v>
      </c>
      <c r="Q25" t="s">
        <v>2</v>
      </c>
      <c r="R25" t="s">
        <v>2</v>
      </c>
      <c r="S25" t="s">
        <v>62</v>
      </c>
    </row>
    <row r="26" spans="1:19" x14ac:dyDescent="0.35">
      <c r="A26" s="13">
        <v>46022</v>
      </c>
      <c r="B26" t="s">
        <v>60</v>
      </c>
      <c r="C26" t="s">
        <v>61</v>
      </c>
      <c r="D26" t="s">
        <v>62</v>
      </c>
      <c r="E26">
        <v>4350734</v>
      </c>
      <c r="F26" s="14">
        <v>5</v>
      </c>
      <c r="G26" t="s">
        <v>299</v>
      </c>
      <c r="H26">
        <v>4649760</v>
      </c>
      <c r="I26">
        <v>4567062</v>
      </c>
      <c r="J26" t="s">
        <v>2</v>
      </c>
      <c r="K26" t="s">
        <v>2</v>
      </c>
      <c r="L26" t="s">
        <v>2</v>
      </c>
      <c r="M26" t="s">
        <v>2</v>
      </c>
      <c r="N26" t="s">
        <v>57</v>
      </c>
      <c r="O26" t="s">
        <v>2</v>
      </c>
      <c r="P26" t="s">
        <v>2</v>
      </c>
      <c r="Q26" t="s">
        <v>2</v>
      </c>
      <c r="R26" t="s">
        <v>2</v>
      </c>
      <c r="S26" t="s">
        <v>62</v>
      </c>
    </row>
    <row r="27" spans="1:19" x14ac:dyDescent="0.35">
      <c r="A27" s="13">
        <v>46022</v>
      </c>
      <c r="B27" t="s">
        <v>60</v>
      </c>
      <c r="C27" t="s">
        <v>61</v>
      </c>
      <c r="D27" t="s">
        <v>230</v>
      </c>
      <c r="E27">
        <v>4567062</v>
      </c>
      <c r="F27" s="14">
        <v>10</v>
      </c>
      <c r="G27" t="s">
        <v>299</v>
      </c>
      <c r="H27">
        <v>4649760</v>
      </c>
      <c r="I27">
        <v>4567062</v>
      </c>
      <c r="J27" t="s">
        <v>2</v>
      </c>
      <c r="K27" t="s">
        <v>2</v>
      </c>
      <c r="L27" t="s">
        <v>2</v>
      </c>
      <c r="M27" t="s">
        <v>2</v>
      </c>
      <c r="N27" t="s">
        <v>57</v>
      </c>
      <c r="O27" t="s">
        <v>2</v>
      </c>
      <c r="P27" t="s">
        <v>2</v>
      </c>
      <c r="Q27" t="s">
        <v>2</v>
      </c>
      <c r="R27" t="s">
        <v>2</v>
      </c>
      <c r="S27" t="s">
        <v>62</v>
      </c>
    </row>
    <row r="28" spans="1:19" x14ac:dyDescent="0.35">
      <c r="A28" s="13">
        <v>46022</v>
      </c>
      <c r="B28" t="s">
        <v>80</v>
      </c>
      <c r="C28" t="s">
        <v>81</v>
      </c>
      <c r="D28" t="s">
        <v>62</v>
      </c>
      <c r="E28">
        <v>4350734</v>
      </c>
      <c r="F28" s="14">
        <v>25</v>
      </c>
      <c r="G28" t="s">
        <v>300</v>
      </c>
      <c r="H28">
        <v>4113732</v>
      </c>
      <c r="I28">
        <v>4350734</v>
      </c>
      <c r="J28" t="s">
        <v>2</v>
      </c>
      <c r="K28" t="s">
        <v>2</v>
      </c>
      <c r="L28" t="s">
        <v>2</v>
      </c>
      <c r="M28" t="s">
        <v>2</v>
      </c>
      <c r="N28" t="s">
        <v>301</v>
      </c>
      <c r="O28" t="s">
        <v>2</v>
      </c>
      <c r="P28" t="s">
        <v>2</v>
      </c>
      <c r="Q28" t="s">
        <v>2</v>
      </c>
      <c r="R28" t="s">
        <v>2</v>
      </c>
      <c r="S28" t="s">
        <v>62</v>
      </c>
    </row>
    <row r="29" spans="1:19" x14ac:dyDescent="0.35">
      <c r="A29" s="13">
        <v>46022</v>
      </c>
      <c r="B29" t="s">
        <v>80</v>
      </c>
      <c r="C29" t="s">
        <v>81</v>
      </c>
      <c r="D29" t="s">
        <v>231</v>
      </c>
      <c r="E29">
        <v>4113732</v>
      </c>
      <c r="F29" s="14">
        <v>75</v>
      </c>
      <c r="G29" t="s">
        <v>300</v>
      </c>
      <c r="H29">
        <v>4113732</v>
      </c>
      <c r="I29">
        <v>4350734</v>
      </c>
      <c r="J29" t="s">
        <v>2</v>
      </c>
      <c r="K29" t="s">
        <v>2</v>
      </c>
      <c r="L29" t="s">
        <v>2</v>
      </c>
      <c r="M29" t="s">
        <v>2</v>
      </c>
      <c r="N29" t="s">
        <v>301</v>
      </c>
      <c r="O29" t="s">
        <v>2</v>
      </c>
      <c r="P29" t="s">
        <v>2</v>
      </c>
      <c r="Q29" t="s">
        <v>2</v>
      </c>
      <c r="R29" t="s">
        <v>2</v>
      </c>
      <c r="S29" t="s">
        <v>62</v>
      </c>
    </row>
    <row r="30" spans="1:19" x14ac:dyDescent="0.35">
      <c r="A30" s="13">
        <v>46022</v>
      </c>
      <c r="B30" t="s">
        <v>82</v>
      </c>
      <c r="C30" t="s">
        <v>83</v>
      </c>
      <c r="D30" t="s">
        <v>232</v>
      </c>
      <c r="E30">
        <v>4348654</v>
      </c>
      <c r="F30" s="14">
        <v>100</v>
      </c>
      <c r="G30" t="s">
        <v>302</v>
      </c>
      <c r="H30">
        <v>4348654</v>
      </c>
      <c r="I30" t="s">
        <v>278</v>
      </c>
      <c r="J30" t="s">
        <v>2</v>
      </c>
      <c r="K30" t="s">
        <v>2</v>
      </c>
      <c r="L30" t="s">
        <v>2</v>
      </c>
      <c r="M30" t="s">
        <v>2</v>
      </c>
      <c r="N30" t="s">
        <v>303</v>
      </c>
      <c r="O30" t="s">
        <v>2</v>
      </c>
      <c r="P30" t="s">
        <v>2</v>
      </c>
      <c r="Q30" t="s">
        <v>2</v>
      </c>
      <c r="R30" t="s">
        <v>2</v>
      </c>
      <c r="S30" t="s">
        <v>57</v>
      </c>
    </row>
    <row r="31" spans="1:19" x14ac:dyDescent="0.35">
      <c r="A31" s="13">
        <v>46022</v>
      </c>
      <c r="B31" t="s">
        <v>63</v>
      </c>
      <c r="C31" t="s">
        <v>64</v>
      </c>
      <c r="D31" t="s">
        <v>233</v>
      </c>
      <c r="E31">
        <v>4349148</v>
      </c>
      <c r="F31" s="14">
        <v>71.25</v>
      </c>
      <c r="G31" t="s">
        <v>304</v>
      </c>
      <c r="H31">
        <v>4349148</v>
      </c>
      <c r="I31">
        <v>6582136</v>
      </c>
      <c r="J31" t="s">
        <v>2</v>
      </c>
      <c r="K31" t="s">
        <v>2</v>
      </c>
      <c r="L31" t="s">
        <v>2</v>
      </c>
      <c r="M31" t="s">
        <v>2</v>
      </c>
      <c r="N31" t="s">
        <v>57</v>
      </c>
      <c r="O31" t="s">
        <v>2</v>
      </c>
      <c r="P31" t="s">
        <v>2</v>
      </c>
      <c r="Q31" t="s">
        <v>2</v>
      </c>
      <c r="R31" t="s">
        <v>2</v>
      </c>
      <c r="S31" t="s">
        <v>57</v>
      </c>
    </row>
    <row r="32" spans="1:19" x14ac:dyDescent="0.35">
      <c r="A32" s="13">
        <v>46022</v>
      </c>
      <c r="B32" t="s">
        <v>63</v>
      </c>
      <c r="C32" t="s">
        <v>64</v>
      </c>
      <c r="D32" t="s">
        <v>234</v>
      </c>
      <c r="E32">
        <v>6582136</v>
      </c>
      <c r="F32" s="14">
        <v>23.75</v>
      </c>
      <c r="G32" t="s">
        <v>304</v>
      </c>
      <c r="H32">
        <v>4349148</v>
      </c>
      <c r="I32">
        <v>6582136</v>
      </c>
      <c r="J32" t="s">
        <v>2</v>
      </c>
      <c r="K32" t="s">
        <v>2</v>
      </c>
      <c r="L32" t="s">
        <v>2</v>
      </c>
      <c r="M32" t="s">
        <v>2</v>
      </c>
      <c r="N32" t="s">
        <v>57</v>
      </c>
      <c r="O32" t="s">
        <v>2</v>
      </c>
      <c r="P32" t="s">
        <v>2</v>
      </c>
      <c r="Q32" t="s">
        <v>2</v>
      </c>
      <c r="R32" t="s">
        <v>2</v>
      </c>
      <c r="S32" t="s">
        <v>57</v>
      </c>
    </row>
    <row r="33" spans="1:19" x14ac:dyDescent="0.35">
      <c r="A33" s="13">
        <v>46022</v>
      </c>
      <c r="B33" t="s">
        <v>65</v>
      </c>
      <c r="C33" t="s">
        <v>66</v>
      </c>
      <c r="D33" t="s">
        <v>235</v>
      </c>
      <c r="E33">
        <v>4350360</v>
      </c>
      <c r="F33" s="14">
        <v>33</v>
      </c>
      <c r="G33" t="s">
        <v>305</v>
      </c>
      <c r="H33">
        <v>4355642</v>
      </c>
      <c r="I33">
        <v>4350360</v>
      </c>
      <c r="J33" t="s">
        <v>2</v>
      </c>
      <c r="K33" t="s">
        <v>2</v>
      </c>
      <c r="L33" t="s">
        <v>2</v>
      </c>
      <c r="M33" t="s">
        <v>2</v>
      </c>
      <c r="N33" t="s">
        <v>57</v>
      </c>
      <c r="O33" t="s">
        <v>62</v>
      </c>
      <c r="P33" t="s">
        <v>62</v>
      </c>
      <c r="Q33" t="s">
        <v>62</v>
      </c>
      <c r="R33" t="s">
        <v>62</v>
      </c>
      <c r="S33" t="s">
        <v>62</v>
      </c>
    </row>
    <row r="34" spans="1:19" x14ac:dyDescent="0.35">
      <c r="A34" s="13">
        <v>46022</v>
      </c>
      <c r="B34" t="s">
        <v>65</v>
      </c>
      <c r="C34" t="s">
        <v>66</v>
      </c>
      <c r="D34" t="s">
        <v>221</v>
      </c>
      <c r="E34">
        <v>4355642</v>
      </c>
      <c r="F34" s="14">
        <v>67</v>
      </c>
      <c r="G34" t="s">
        <v>305</v>
      </c>
      <c r="H34">
        <v>4355642</v>
      </c>
      <c r="I34">
        <v>4350360</v>
      </c>
      <c r="J34" t="s">
        <v>2</v>
      </c>
      <c r="K34" t="s">
        <v>2</v>
      </c>
      <c r="L34" t="s">
        <v>2</v>
      </c>
      <c r="M34" t="s">
        <v>2</v>
      </c>
      <c r="N34" t="s">
        <v>57</v>
      </c>
      <c r="O34" t="s">
        <v>62</v>
      </c>
      <c r="P34" t="s">
        <v>62</v>
      </c>
      <c r="Q34" t="s">
        <v>62</v>
      </c>
      <c r="R34" t="s">
        <v>62</v>
      </c>
      <c r="S34" t="s">
        <v>62</v>
      </c>
    </row>
    <row r="35" spans="1:19" x14ac:dyDescent="0.35">
      <c r="A35" s="13">
        <v>46022</v>
      </c>
      <c r="B35" t="s">
        <v>87</v>
      </c>
      <c r="C35" t="s">
        <v>88</v>
      </c>
      <c r="D35" t="s">
        <v>236</v>
      </c>
      <c r="E35">
        <v>4223919</v>
      </c>
      <c r="F35" s="14">
        <v>100</v>
      </c>
      <c r="G35" t="s">
        <v>306</v>
      </c>
      <c r="H35">
        <v>4223919</v>
      </c>
      <c r="I35" t="s">
        <v>278</v>
      </c>
      <c r="J35" t="s">
        <v>2</v>
      </c>
      <c r="K35" t="s">
        <v>2</v>
      </c>
      <c r="L35" t="s">
        <v>2</v>
      </c>
      <c r="M35" t="s">
        <v>2</v>
      </c>
      <c r="N35" t="s">
        <v>99</v>
      </c>
      <c r="O35" t="s">
        <v>2</v>
      </c>
      <c r="P35" t="s">
        <v>2</v>
      </c>
      <c r="Q35" t="s">
        <v>2</v>
      </c>
      <c r="R35" t="s">
        <v>2</v>
      </c>
      <c r="S35" t="s">
        <v>57</v>
      </c>
    </row>
    <row r="36" spans="1:19" x14ac:dyDescent="0.35">
      <c r="A36" s="13">
        <v>46022</v>
      </c>
      <c r="B36" t="s">
        <v>90</v>
      </c>
      <c r="C36" t="s">
        <v>91</v>
      </c>
      <c r="D36" t="s">
        <v>237</v>
      </c>
      <c r="E36">
        <v>8380433</v>
      </c>
      <c r="F36" s="14">
        <v>100</v>
      </c>
      <c r="G36" t="s">
        <v>307</v>
      </c>
      <c r="H36">
        <v>8380433</v>
      </c>
      <c r="I36" t="s">
        <v>278</v>
      </c>
      <c r="J36" t="s">
        <v>308</v>
      </c>
      <c r="K36" t="s">
        <v>309</v>
      </c>
      <c r="L36" t="s">
        <v>308</v>
      </c>
      <c r="M36" t="s">
        <v>309</v>
      </c>
      <c r="N36" t="s">
        <v>310</v>
      </c>
      <c r="O36" t="s">
        <v>2</v>
      </c>
      <c r="P36" t="s">
        <v>2</v>
      </c>
      <c r="Q36" t="s">
        <v>2</v>
      </c>
      <c r="R36" t="s">
        <v>2</v>
      </c>
      <c r="S36" t="s">
        <v>57</v>
      </c>
    </row>
    <row r="37" spans="1:19" x14ac:dyDescent="0.35">
      <c r="A37" s="13">
        <v>46022</v>
      </c>
      <c r="B37" t="s">
        <v>92</v>
      </c>
      <c r="C37" t="s">
        <v>93</v>
      </c>
      <c r="D37" t="s">
        <v>226</v>
      </c>
      <c r="E37">
        <v>4351190</v>
      </c>
      <c r="F37" s="14">
        <v>50</v>
      </c>
      <c r="G37" t="s">
        <v>311</v>
      </c>
      <c r="H37">
        <v>4351190</v>
      </c>
      <c r="I37">
        <v>4379789</v>
      </c>
      <c r="J37" t="s">
        <v>2</v>
      </c>
      <c r="K37" t="s">
        <v>2</v>
      </c>
      <c r="L37" t="s">
        <v>2</v>
      </c>
      <c r="M37" t="s">
        <v>2</v>
      </c>
      <c r="N37" t="s">
        <v>79</v>
      </c>
      <c r="O37" t="s">
        <v>2</v>
      </c>
      <c r="P37" t="s">
        <v>2</v>
      </c>
      <c r="Q37" t="s">
        <v>2</v>
      </c>
      <c r="R37" t="s">
        <v>2</v>
      </c>
      <c r="S37" t="s">
        <v>79</v>
      </c>
    </row>
    <row r="38" spans="1:19" x14ac:dyDescent="0.35">
      <c r="A38" s="13">
        <v>46022</v>
      </c>
      <c r="B38" t="s">
        <v>92</v>
      </c>
      <c r="C38" t="s">
        <v>93</v>
      </c>
      <c r="D38" t="s">
        <v>238</v>
      </c>
      <c r="E38">
        <v>4379789</v>
      </c>
      <c r="F38" s="14">
        <v>50</v>
      </c>
      <c r="G38" t="s">
        <v>311</v>
      </c>
      <c r="H38">
        <v>4351190</v>
      </c>
      <c r="I38">
        <v>4379789</v>
      </c>
      <c r="J38" t="s">
        <v>2</v>
      </c>
      <c r="K38" t="s">
        <v>2</v>
      </c>
      <c r="L38" t="s">
        <v>2</v>
      </c>
      <c r="M38" t="s">
        <v>2</v>
      </c>
      <c r="N38" t="s">
        <v>79</v>
      </c>
      <c r="O38" t="s">
        <v>2</v>
      </c>
      <c r="P38" t="s">
        <v>2</v>
      </c>
      <c r="Q38" t="s">
        <v>2</v>
      </c>
      <c r="R38" t="s">
        <v>2</v>
      </c>
      <c r="S38" t="s">
        <v>79</v>
      </c>
    </row>
    <row r="39" spans="1:19" x14ac:dyDescent="0.35">
      <c r="A39" s="13">
        <v>46022</v>
      </c>
      <c r="B39" t="s">
        <v>102</v>
      </c>
      <c r="C39" t="s">
        <v>103</v>
      </c>
      <c r="D39" t="s">
        <v>239</v>
      </c>
      <c r="E39">
        <v>4502042</v>
      </c>
      <c r="F39" s="14">
        <v>50</v>
      </c>
      <c r="G39" t="s">
        <v>312</v>
      </c>
      <c r="H39">
        <v>4102700</v>
      </c>
      <c r="I39">
        <v>4502042</v>
      </c>
      <c r="J39" t="s">
        <v>2</v>
      </c>
      <c r="K39" t="s">
        <v>2</v>
      </c>
      <c r="L39" t="s">
        <v>2</v>
      </c>
      <c r="M39" t="s">
        <v>2</v>
      </c>
      <c r="N39" t="s">
        <v>89</v>
      </c>
      <c r="O39" t="s">
        <v>2</v>
      </c>
      <c r="P39" t="s">
        <v>2</v>
      </c>
      <c r="Q39" t="s">
        <v>2</v>
      </c>
      <c r="R39" t="s">
        <v>2</v>
      </c>
      <c r="S39" t="s">
        <v>104</v>
      </c>
    </row>
    <row r="40" spans="1:19" x14ac:dyDescent="0.35">
      <c r="A40" s="13">
        <v>46022</v>
      </c>
      <c r="B40" t="s">
        <v>102</v>
      </c>
      <c r="C40" t="s">
        <v>103</v>
      </c>
      <c r="D40" t="s">
        <v>240</v>
      </c>
      <c r="E40">
        <v>4102700</v>
      </c>
      <c r="F40" s="14">
        <v>50</v>
      </c>
      <c r="G40" t="s">
        <v>312</v>
      </c>
      <c r="H40">
        <v>4102700</v>
      </c>
      <c r="I40">
        <v>4502042</v>
      </c>
      <c r="J40" t="s">
        <v>2</v>
      </c>
      <c r="K40" t="s">
        <v>2</v>
      </c>
      <c r="L40" t="s">
        <v>2</v>
      </c>
      <c r="M40" t="s">
        <v>2</v>
      </c>
      <c r="N40" t="s">
        <v>89</v>
      </c>
      <c r="O40" t="s">
        <v>2</v>
      </c>
      <c r="P40" t="s">
        <v>2</v>
      </c>
      <c r="Q40" t="s">
        <v>2</v>
      </c>
      <c r="R40" t="s">
        <v>2</v>
      </c>
      <c r="S40" t="s">
        <v>104</v>
      </c>
    </row>
    <row r="41" spans="1:19" x14ac:dyDescent="0.35">
      <c r="A41" s="13">
        <v>46022</v>
      </c>
      <c r="B41" t="s">
        <v>110</v>
      </c>
      <c r="C41" t="s">
        <v>111</v>
      </c>
      <c r="D41" t="s">
        <v>241</v>
      </c>
      <c r="E41">
        <v>4616696</v>
      </c>
      <c r="F41" s="14">
        <v>68</v>
      </c>
      <c r="G41" t="s">
        <v>313</v>
      </c>
      <c r="H41">
        <v>4616696</v>
      </c>
      <c r="I41">
        <v>4361447</v>
      </c>
      <c r="J41" t="s">
        <v>2</v>
      </c>
      <c r="K41" t="s">
        <v>2</v>
      </c>
      <c r="L41" t="s">
        <v>2</v>
      </c>
      <c r="M41" t="s">
        <v>2</v>
      </c>
      <c r="N41" t="s">
        <v>293</v>
      </c>
      <c r="O41" t="s">
        <v>298</v>
      </c>
      <c r="P41" t="s">
        <v>57</v>
      </c>
      <c r="Q41" t="s">
        <v>314</v>
      </c>
      <c r="R41" t="s">
        <v>286</v>
      </c>
      <c r="S41" t="s">
        <v>315</v>
      </c>
    </row>
    <row r="42" spans="1:19" x14ac:dyDescent="0.35">
      <c r="A42" s="13">
        <v>46022</v>
      </c>
      <c r="B42" t="s">
        <v>110</v>
      </c>
      <c r="C42" t="s">
        <v>111</v>
      </c>
      <c r="D42" t="s">
        <v>242</v>
      </c>
      <c r="E42">
        <v>4361447</v>
      </c>
      <c r="F42" s="14">
        <v>32</v>
      </c>
      <c r="G42" t="s">
        <v>313</v>
      </c>
      <c r="H42">
        <v>4616696</v>
      </c>
      <c r="I42">
        <v>4361447</v>
      </c>
      <c r="J42" t="s">
        <v>2</v>
      </c>
      <c r="K42" t="s">
        <v>2</v>
      </c>
      <c r="L42" t="s">
        <v>2</v>
      </c>
      <c r="M42" t="s">
        <v>2</v>
      </c>
      <c r="N42" t="s">
        <v>293</v>
      </c>
      <c r="O42" t="s">
        <v>298</v>
      </c>
      <c r="P42" t="s">
        <v>57</v>
      </c>
      <c r="Q42" t="s">
        <v>314</v>
      </c>
      <c r="R42" t="s">
        <v>286</v>
      </c>
      <c r="S42" t="s">
        <v>315</v>
      </c>
    </row>
    <row r="43" spans="1:19" x14ac:dyDescent="0.35">
      <c r="A43" s="13">
        <v>46022</v>
      </c>
      <c r="B43" t="s">
        <v>134</v>
      </c>
      <c r="C43" t="s">
        <v>135</v>
      </c>
      <c r="D43" t="s">
        <v>231</v>
      </c>
      <c r="E43">
        <v>4113732</v>
      </c>
      <c r="F43" s="14">
        <v>100</v>
      </c>
      <c r="G43" t="s">
        <v>316</v>
      </c>
      <c r="H43">
        <v>4113732</v>
      </c>
      <c r="I43" t="s">
        <v>278</v>
      </c>
      <c r="J43" t="s">
        <v>2</v>
      </c>
      <c r="K43" t="s">
        <v>2</v>
      </c>
      <c r="L43" t="s">
        <v>2</v>
      </c>
      <c r="M43" t="s">
        <v>2</v>
      </c>
      <c r="N43" t="s">
        <v>301</v>
      </c>
      <c r="O43" t="s">
        <v>2</v>
      </c>
      <c r="P43" t="s">
        <v>2</v>
      </c>
      <c r="Q43" t="s">
        <v>2</v>
      </c>
      <c r="R43" t="s">
        <v>2</v>
      </c>
      <c r="S43" t="s">
        <v>57</v>
      </c>
    </row>
    <row r="44" spans="1:19" x14ac:dyDescent="0.35">
      <c r="A44" s="13">
        <v>46022</v>
      </c>
      <c r="B44" t="s">
        <v>112</v>
      </c>
      <c r="C44" t="s">
        <v>113</v>
      </c>
      <c r="D44" t="s">
        <v>62</v>
      </c>
      <c r="E44">
        <v>4350734</v>
      </c>
      <c r="F44" s="14">
        <v>5</v>
      </c>
      <c r="G44" t="s">
        <v>317</v>
      </c>
      <c r="H44">
        <v>4361447</v>
      </c>
      <c r="I44">
        <v>4350360</v>
      </c>
      <c r="J44" t="s">
        <v>298</v>
      </c>
      <c r="K44" t="s">
        <v>57</v>
      </c>
      <c r="L44" t="s">
        <v>314</v>
      </c>
      <c r="M44" t="s">
        <v>286</v>
      </c>
      <c r="N44" t="s">
        <v>315</v>
      </c>
      <c r="O44" t="s">
        <v>62</v>
      </c>
      <c r="P44" t="s">
        <v>62</v>
      </c>
      <c r="Q44" t="s">
        <v>62</v>
      </c>
      <c r="R44" t="s">
        <v>62</v>
      </c>
      <c r="S44" t="s">
        <v>62</v>
      </c>
    </row>
    <row r="45" spans="1:19" x14ac:dyDescent="0.35">
      <c r="A45" s="13">
        <v>46022</v>
      </c>
      <c r="B45" t="s">
        <v>112</v>
      </c>
      <c r="C45" t="s">
        <v>113</v>
      </c>
      <c r="D45" t="s">
        <v>235</v>
      </c>
      <c r="E45">
        <v>4350360</v>
      </c>
      <c r="F45" s="14">
        <v>25</v>
      </c>
      <c r="G45" t="s">
        <v>317</v>
      </c>
      <c r="H45">
        <v>4361447</v>
      </c>
      <c r="I45">
        <v>4350360</v>
      </c>
      <c r="J45" t="s">
        <v>298</v>
      </c>
      <c r="K45" t="s">
        <v>57</v>
      </c>
      <c r="L45" t="s">
        <v>314</v>
      </c>
      <c r="M45" t="s">
        <v>286</v>
      </c>
      <c r="N45" t="s">
        <v>315</v>
      </c>
      <c r="O45" t="s">
        <v>62</v>
      </c>
      <c r="P45" t="s">
        <v>62</v>
      </c>
      <c r="Q45" t="s">
        <v>62</v>
      </c>
      <c r="R45" t="s">
        <v>62</v>
      </c>
      <c r="S45" t="s">
        <v>62</v>
      </c>
    </row>
    <row r="46" spans="1:19" x14ac:dyDescent="0.35">
      <c r="A46" s="13">
        <v>46022</v>
      </c>
      <c r="B46" t="s">
        <v>112</v>
      </c>
      <c r="C46" t="s">
        <v>113</v>
      </c>
      <c r="D46" t="s">
        <v>242</v>
      </c>
      <c r="E46">
        <v>4361447</v>
      </c>
      <c r="F46" s="14">
        <v>70</v>
      </c>
      <c r="G46" t="s">
        <v>317</v>
      </c>
      <c r="H46">
        <v>4361447</v>
      </c>
      <c r="I46">
        <v>4350360</v>
      </c>
      <c r="J46" t="s">
        <v>298</v>
      </c>
      <c r="K46" t="s">
        <v>57</v>
      </c>
      <c r="L46" t="s">
        <v>314</v>
      </c>
      <c r="M46" t="s">
        <v>286</v>
      </c>
      <c r="N46" t="s">
        <v>315</v>
      </c>
      <c r="O46" t="s">
        <v>62</v>
      </c>
      <c r="P46" t="s">
        <v>62</v>
      </c>
      <c r="Q46" t="s">
        <v>62</v>
      </c>
      <c r="R46" t="s">
        <v>62</v>
      </c>
      <c r="S46" t="s">
        <v>62</v>
      </c>
    </row>
    <row r="47" spans="1:19" x14ac:dyDescent="0.35">
      <c r="A47" s="13">
        <v>46022</v>
      </c>
      <c r="B47" t="s">
        <v>105</v>
      </c>
      <c r="C47" t="s">
        <v>106</v>
      </c>
      <c r="D47" t="s">
        <v>231</v>
      </c>
      <c r="E47">
        <v>4113732</v>
      </c>
      <c r="F47" s="14">
        <v>100</v>
      </c>
      <c r="G47" t="s">
        <v>316</v>
      </c>
      <c r="H47">
        <v>4113732</v>
      </c>
      <c r="I47" t="s">
        <v>278</v>
      </c>
      <c r="J47" t="s">
        <v>2</v>
      </c>
      <c r="K47" t="s">
        <v>2</v>
      </c>
      <c r="L47" t="s">
        <v>2</v>
      </c>
      <c r="M47" t="s">
        <v>2</v>
      </c>
      <c r="N47" t="s">
        <v>301</v>
      </c>
      <c r="O47" t="s">
        <v>2</v>
      </c>
      <c r="P47" t="s">
        <v>2</v>
      </c>
      <c r="Q47" t="s">
        <v>2</v>
      </c>
      <c r="R47" t="s">
        <v>2</v>
      </c>
      <c r="S47" t="s">
        <v>57</v>
      </c>
    </row>
    <row r="48" spans="1:19" x14ac:dyDescent="0.35">
      <c r="A48" s="13">
        <v>46022</v>
      </c>
      <c r="B48" t="s">
        <v>114</v>
      </c>
      <c r="C48" t="s">
        <v>115</v>
      </c>
      <c r="D48" t="s">
        <v>243</v>
      </c>
      <c r="E48">
        <v>4396728</v>
      </c>
      <c r="F48" s="14">
        <v>79.400000000000006</v>
      </c>
      <c r="G48" t="s">
        <v>318</v>
      </c>
      <c r="H48">
        <v>4396728</v>
      </c>
      <c r="I48">
        <v>4355602</v>
      </c>
      <c r="J48" t="s">
        <v>319</v>
      </c>
      <c r="K48" t="s">
        <v>320</v>
      </c>
      <c r="L48" t="s">
        <v>319</v>
      </c>
      <c r="M48" t="s">
        <v>320</v>
      </c>
      <c r="N48" t="s">
        <v>320</v>
      </c>
      <c r="O48" t="s">
        <v>287</v>
      </c>
      <c r="P48" t="s">
        <v>54</v>
      </c>
      <c r="Q48" t="s">
        <v>287</v>
      </c>
      <c r="R48" t="s">
        <v>54</v>
      </c>
      <c r="S48" t="s">
        <v>54</v>
      </c>
    </row>
    <row r="49" spans="1:19" x14ac:dyDescent="0.35">
      <c r="A49" s="13">
        <v>46022</v>
      </c>
      <c r="B49" t="s">
        <v>114</v>
      </c>
      <c r="C49" t="s">
        <v>115</v>
      </c>
      <c r="D49" t="s">
        <v>220</v>
      </c>
      <c r="E49">
        <v>4355602</v>
      </c>
      <c r="F49" s="14">
        <v>20.6</v>
      </c>
      <c r="G49" t="s">
        <v>318</v>
      </c>
      <c r="H49">
        <v>4396728</v>
      </c>
      <c r="I49">
        <v>4355602</v>
      </c>
      <c r="J49" t="s">
        <v>319</v>
      </c>
      <c r="K49" t="s">
        <v>320</v>
      </c>
      <c r="L49" t="s">
        <v>319</v>
      </c>
      <c r="M49" t="s">
        <v>320</v>
      </c>
      <c r="N49" t="s">
        <v>320</v>
      </c>
      <c r="O49" t="s">
        <v>287</v>
      </c>
      <c r="P49" t="s">
        <v>54</v>
      </c>
      <c r="Q49" t="s">
        <v>287</v>
      </c>
      <c r="R49" t="s">
        <v>54</v>
      </c>
      <c r="S49" t="s">
        <v>54</v>
      </c>
    </row>
    <row r="50" spans="1:19" x14ac:dyDescent="0.35">
      <c r="A50" s="13">
        <v>46022</v>
      </c>
      <c r="B50" t="s">
        <v>116</v>
      </c>
      <c r="C50" t="s">
        <v>117</v>
      </c>
      <c r="D50" t="s">
        <v>244</v>
      </c>
      <c r="E50">
        <v>4352853</v>
      </c>
      <c r="F50" s="14">
        <v>100</v>
      </c>
      <c r="G50" t="s">
        <v>321</v>
      </c>
      <c r="H50">
        <v>4352853</v>
      </c>
      <c r="I50" t="s">
        <v>278</v>
      </c>
      <c r="J50" t="s">
        <v>2</v>
      </c>
      <c r="K50" t="s">
        <v>2</v>
      </c>
      <c r="L50" t="s">
        <v>2</v>
      </c>
      <c r="M50" t="s">
        <v>2</v>
      </c>
      <c r="N50" t="s">
        <v>118</v>
      </c>
      <c r="O50" t="s">
        <v>2</v>
      </c>
      <c r="P50" t="s">
        <v>2</v>
      </c>
      <c r="Q50" t="s">
        <v>2</v>
      </c>
      <c r="R50" t="s">
        <v>2</v>
      </c>
      <c r="S50" t="s">
        <v>57</v>
      </c>
    </row>
    <row r="51" spans="1:19" x14ac:dyDescent="0.35">
      <c r="A51" s="13">
        <v>46022</v>
      </c>
      <c r="B51" t="s">
        <v>95</v>
      </c>
      <c r="C51" t="s">
        <v>96</v>
      </c>
      <c r="D51" t="s">
        <v>236</v>
      </c>
      <c r="E51">
        <v>4223919</v>
      </c>
      <c r="F51" s="14">
        <v>100</v>
      </c>
      <c r="G51" t="s">
        <v>306</v>
      </c>
      <c r="H51">
        <v>4223919</v>
      </c>
      <c r="I51" t="s">
        <v>278</v>
      </c>
      <c r="J51" t="s">
        <v>2</v>
      </c>
      <c r="K51" t="s">
        <v>2</v>
      </c>
      <c r="L51" t="s">
        <v>2</v>
      </c>
      <c r="M51" t="s">
        <v>2</v>
      </c>
      <c r="N51" t="s">
        <v>99</v>
      </c>
      <c r="O51" t="s">
        <v>2</v>
      </c>
      <c r="P51" t="s">
        <v>2</v>
      </c>
      <c r="Q51" t="s">
        <v>2</v>
      </c>
      <c r="R51" t="s">
        <v>2</v>
      </c>
      <c r="S51" t="s">
        <v>57</v>
      </c>
    </row>
    <row r="52" spans="1:19" x14ac:dyDescent="0.35">
      <c r="A52" s="13">
        <v>46022</v>
      </c>
      <c r="B52" t="s">
        <v>97</v>
      </c>
      <c r="C52" t="s">
        <v>98</v>
      </c>
      <c r="D52" t="s">
        <v>245</v>
      </c>
      <c r="E52">
        <v>7971605</v>
      </c>
      <c r="F52" s="14">
        <v>100</v>
      </c>
      <c r="G52" t="s">
        <v>322</v>
      </c>
      <c r="H52">
        <v>7971605</v>
      </c>
      <c r="I52" t="s">
        <v>278</v>
      </c>
      <c r="J52" t="s">
        <v>2</v>
      </c>
      <c r="K52" t="s">
        <v>2</v>
      </c>
      <c r="L52" t="s">
        <v>2</v>
      </c>
      <c r="M52" t="s">
        <v>2</v>
      </c>
      <c r="N52" t="s">
        <v>293</v>
      </c>
      <c r="O52" t="s">
        <v>2</v>
      </c>
      <c r="P52" t="s">
        <v>2</v>
      </c>
      <c r="Q52" t="s">
        <v>2</v>
      </c>
      <c r="R52" t="s">
        <v>2</v>
      </c>
      <c r="S52" t="s">
        <v>57</v>
      </c>
    </row>
    <row r="53" spans="1:19" x14ac:dyDescent="0.35">
      <c r="A53" s="13">
        <v>46022</v>
      </c>
      <c r="B53" t="s">
        <v>119</v>
      </c>
      <c r="C53" t="s">
        <v>120</v>
      </c>
      <c r="D53" t="s">
        <v>231</v>
      </c>
      <c r="E53">
        <v>4113732</v>
      </c>
      <c r="F53" s="14">
        <v>100</v>
      </c>
      <c r="G53" t="s">
        <v>316</v>
      </c>
      <c r="H53">
        <v>4113732</v>
      </c>
      <c r="I53" t="s">
        <v>278</v>
      </c>
      <c r="J53" t="s">
        <v>2</v>
      </c>
      <c r="K53" t="s">
        <v>2</v>
      </c>
      <c r="L53" t="s">
        <v>2</v>
      </c>
      <c r="M53" t="s">
        <v>2</v>
      </c>
      <c r="N53" t="s">
        <v>301</v>
      </c>
      <c r="O53" t="s">
        <v>2</v>
      </c>
      <c r="P53" t="s">
        <v>2</v>
      </c>
      <c r="Q53" t="s">
        <v>2</v>
      </c>
      <c r="R53" t="s">
        <v>2</v>
      </c>
      <c r="S53" t="s">
        <v>57</v>
      </c>
    </row>
    <row r="54" spans="1:19" x14ac:dyDescent="0.35">
      <c r="A54" s="13">
        <v>46022</v>
      </c>
      <c r="B54" t="s">
        <v>121</v>
      </c>
      <c r="C54" t="s">
        <v>122</v>
      </c>
      <c r="D54" t="s">
        <v>246</v>
      </c>
      <c r="E54">
        <v>4351435</v>
      </c>
      <c r="F54" s="14">
        <v>11.05</v>
      </c>
      <c r="G54" t="s">
        <v>323</v>
      </c>
      <c r="H54">
        <v>4352229</v>
      </c>
      <c r="I54">
        <v>4351435</v>
      </c>
      <c r="J54" t="s">
        <v>284</v>
      </c>
      <c r="K54" t="s">
        <v>57</v>
      </c>
      <c r="L54" t="s">
        <v>324</v>
      </c>
      <c r="M54" t="s">
        <v>57</v>
      </c>
      <c r="N54" t="s">
        <v>57</v>
      </c>
      <c r="O54" t="s">
        <v>2</v>
      </c>
      <c r="P54" t="s">
        <v>2</v>
      </c>
      <c r="Q54" t="s">
        <v>2</v>
      </c>
      <c r="R54" t="s">
        <v>2</v>
      </c>
      <c r="S54" t="s">
        <v>57</v>
      </c>
    </row>
    <row r="55" spans="1:19" x14ac:dyDescent="0.35">
      <c r="A55" s="13">
        <v>46022</v>
      </c>
      <c r="B55" t="s">
        <v>121</v>
      </c>
      <c r="C55" t="s">
        <v>122</v>
      </c>
      <c r="D55" t="s">
        <v>242</v>
      </c>
      <c r="E55">
        <v>4361447</v>
      </c>
      <c r="F55" s="14">
        <v>5.93</v>
      </c>
      <c r="G55" t="s">
        <v>323</v>
      </c>
      <c r="H55">
        <v>4352229</v>
      </c>
      <c r="I55">
        <v>4351435</v>
      </c>
      <c r="J55" t="s">
        <v>284</v>
      </c>
      <c r="K55" t="s">
        <v>57</v>
      </c>
      <c r="L55" t="s">
        <v>324</v>
      </c>
      <c r="M55" t="s">
        <v>57</v>
      </c>
      <c r="N55" t="s">
        <v>57</v>
      </c>
      <c r="O55" t="s">
        <v>2</v>
      </c>
      <c r="P55" t="s">
        <v>2</v>
      </c>
      <c r="Q55" t="s">
        <v>2</v>
      </c>
      <c r="R55" t="s">
        <v>2</v>
      </c>
      <c r="S55" t="s">
        <v>57</v>
      </c>
    </row>
    <row r="56" spans="1:19" x14ac:dyDescent="0.35">
      <c r="A56" s="13">
        <v>46022</v>
      </c>
      <c r="B56" t="s">
        <v>121</v>
      </c>
      <c r="C56" t="s">
        <v>122</v>
      </c>
      <c r="D56" t="s">
        <v>247</v>
      </c>
      <c r="E56">
        <v>4351456</v>
      </c>
      <c r="F56" s="14">
        <v>11.05</v>
      </c>
      <c r="G56" t="s">
        <v>323</v>
      </c>
      <c r="H56">
        <v>4352229</v>
      </c>
      <c r="I56">
        <v>4351435</v>
      </c>
      <c r="J56" t="s">
        <v>284</v>
      </c>
      <c r="K56" t="s">
        <v>57</v>
      </c>
      <c r="L56" t="s">
        <v>324</v>
      </c>
      <c r="M56" t="s">
        <v>57</v>
      </c>
      <c r="N56" t="s">
        <v>57</v>
      </c>
      <c r="O56" t="s">
        <v>2</v>
      </c>
      <c r="P56" t="s">
        <v>2</v>
      </c>
      <c r="Q56" t="s">
        <v>2</v>
      </c>
      <c r="R56" t="s">
        <v>2</v>
      </c>
      <c r="S56" t="s">
        <v>57</v>
      </c>
    </row>
    <row r="57" spans="1:19" x14ac:dyDescent="0.35">
      <c r="A57" s="13">
        <v>46022</v>
      </c>
      <c r="B57" t="s">
        <v>121</v>
      </c>
      <c r="C57" t="s">
        <v>122</v>
      </c>
      <c r="D57" t="s">
        <v>248</v>
      </c>
      <c r="E57">
        <v>4352229</v>
      </c>
      <c r="F57" s="14">
        <v>56.97</v>
      </c>
      <c r="G57" t="s">
        <v>323</v>
      </c>
      <c r="H57">
        <v>4352229</v>
      </c>
      <c r="I57">
        <v>4351435</v>
      </c>
      <c r="J57" t="s">
        <v>284</v>
      </c>
      <c r="K57" t="s">
        <v>57</v>
      </c>
      <c r="L57" t="s">
        <v>324</v>
      </c>
      <c r="M57" t="s">
        <v>57</v>
      </c>
      <c r="N57" t="s">
        <v>57</v>
      </c>
      <c r="O57" t="s">
        <v>2</v>
      </c>
      <c r="P57" t="s">
        <v>2</v>
      </c>
      <c r="Q57" t="s">
        <v>2</v>
      </c>
      <c r="R57" t="s">
        <v>2</v>
      </c>
      <c r="S57" t="s">
        <v>57</v>
      </c>
    </row>
    <row r="58" spans="1:19" x14ac:dyDescent="0.35">
      <c r="A58" s="13">
        <v>46022</v>
      </c>
      <c r="B58" t="s">
        <v>121</v>
      </c>
      <c r="C58" t="s">
        <v>122</v>
      </c>
      <c r="D58" t="s">
        <v>249</v>
      </c>
      <c r="E58">
        <v>4352437</v>
      </c>
      <c r="F58" s="14">
        <v>3.94</v>
      </c>
      <c r="G58" t="s">
        <v>323</v>
      </c>
      <c r="H58">
        <v>4352229</v>
      </c>
      <c r="I58">
        <v>4351435</v>
      </c>
      <c r="J58" t="s">
        <v>284</v>
      </c>
      <c r="K58" t="s">
        <v>57</v>
      </c>
      <c r="L58" t="s">
        <v>324</v>
      </c>
      <c r="M58" t="s">
        <v>57</v>
      </c>
      <c r="N58" t="s">
        <v>57</v>
      </c>
      <c r="O58" t="s">
        <v>2</v>
      </c>
      <c r="P58" t="s">
        <v>2</v>
      </c>
      <c r="Q58" t="s">
        <v>2</v>
      </c>
      <c r="R58" t="s">
        <v>2</v>
      </c>
      <c r="S58" t="s">
        <v>57</v>
      </c>
    </row>
    <row r="59" spans="1:19" x14ac:dyDescent="0.35">
      <c r="A59" s="13">
        <v>46022</v>
      </c>
      <c r="B59" t="s">
        <v>121</v>
      </c>
      <c r="C59" t="s">
        <v>122</v>
      </c>
      <c r="D59" t="s">
        <v>250</v>
      </c>
      <c r="E59">
        <v>19394423</v>
      </c>
      <c r="F59" s="14">
        <v>8.56</v>
      </c>
      <c r="G59" t="s">
        <v>323</v>
      </c>
      <c r="H59">
        <v>4352229</v>
      </c>
      <c r="I59">
        <v>4351435</v>
      </c>
      <c r="J59" t="s">
        <v>284</v>
      </c>
      <c r="K59" t="s">
        <v>57</v>
      </c>
      <c r="L59" t="s">
        <v>324</v>
      </c>
      <c r="M59" t="s">
        <v>57</v>
      </c>
      <c r="N59" t="s">
        <v>57</v>
      </c>
      <c r="O59" t="s">
        <v>2</v>
      </c>
      <c r="P59" t="s">
        <v>2</v>
      </c>
      <c r="Q59" t="s">
        <v>2</v>
      </c>
      <c r="R59" t="s">
        <v>2</v>
      </c>
      <c r="S59" t="s">
        <v>57</v>
      </c>
    </row>
    <row r="60" spans="1:19" x14ac:dyDescent="0.35">
      <c r="A60" s="13">
        <v>46022</v>
      </c>
      <c r="B60" t="s">
        <v>121</v>
      </c>
      <c r="C60" t="s">
        <v>122</v>
      </c>
      <c r="D60" t="s">
        <v>227</v>
      </c>
      <c r="E60">
        <v>4353456</v>
      </c>
      <c r="F60" s="14">
        <v>2.5</v>
      </c>
      <c r="G60" t="s">
        <v>323</v>
      </c>
      <c r="H60">
        <v>4352229</v>
      </c>
      <c r="I60">
        <v>4351435</v>
      </c>
      <c r="J60" t="s">
        <v>284</v>
      </c>
      <c r="K60" t="s">
        <v>57</v>
      </c>
      <c r="L60" t="s">
        <v>324</v>
      </c>
      <c r="M60" t="s">
        <v>57</v>
      </c>
      <c r="N60" t="s">
        <v>57</v>
      </c>
      <c r="O60" t="s">
        <v>2</v>
      </c>
      <c r="P60" t="s">
        <v>2</v>
      </c>
      <c r="Q60" t="s">
        <v>2</v>
      </c>
      <c r="R60" t="s">
        <v>2</v>
      </c>
      <c r="S60" t="s">
        <v>57</v>
      </c>
    </row>
    <row r="61" spans="1:19" x14ac:dyDescent="0.35">
      <c r="A61" s="13">
        <v>46022</v>
      </c>
      <c r="B61" t="s">
        <v>137</v>
      </c>
      <c r="C61" t="s">
        <v>138</v>
      </c>
      <c r="D61" t="s">
        <v>251</v>
      </c>
      <c r="E61">
        <v>4352804</v>
      </c>
      <c r="F61" s="14">
        <v>60</v>
      </c>
      <c r="G61" t="s">
        <v>325</v>
      </c>
      <c r="H61">
        <v>4352804</v>
      </c>
      <c r="I61">
        <v>4557435</v>
      </c>
      <c r="J61" t="s">
        <v>2</v>
      </c>
      <c r="K61" t="s">
        <v>2</v>
      </c>
      <c r="L61" t="s">
        <v>2</v>
      </c>
      <c r="M61" t="s">
        <v>2</v>
      </c>
      <c r="N61" t="s">
        <v>139</v>
      </c>
      <c r="O61" t="s">
        <v>2</v>
      </c>
      <c r="P61" t="s">
        <v>2</v>
      </c>
      <c r="Q61" t="s">
        <v>2</v>
      </c>
      <c r="R61" t="s">
        <v>2</v>
      </c>
      <c r="S61" t="s">
        <v>281</v>
      </c>
    </row>
    <row r="62" spans="1:19" x14ac:dyDescent="0.35">
      <c r="A62" s="13">
        <v>46022</v>
      </c>
      <c r="B62" t="s">
        <v>137</v>
      </c>
      <c r="C62" t="s">
        <v>138</v>
      </c>
      <c r="D62" t="s">
        <v>252</v>
      </c>
      <c r="E62">
        <v>4557435</v>
      </c>
      <c r="F62" s="14">
        <v>36</v>
      </c>
      <c r="G62" t="s">
        <v>325</v>
      </c>
      <c r="H62">
        <v>4352804</v>
      </c>
      <c r="I62">
        <v>4557435</v>
      </c>
      <c r="J62" t="s">
        <v>2</v>
      </c>
      <c r="K62" t="s">
        <v>2</v>
      </c>
      <c r="L62" t="s">
        <v>2</v>
      </c>
      <c r="M62" t="s">
        <v>2</v>
      </c>
      <c r="N62" t="s">
        <v>139</v>
      </c>
      <c r="O62" t="s">
        <v>2</v>
      </c>
      <c r="P62" t="s">
        <v>2</v>
      </c>
      <c r="Q62" t="s">
        <v>2</v>
      </c>
      <c r="R62" t="s">
        <v>2</v>
      </c>
      <c r="S62" t="s">
        <v>281</v>
      </c>
    </row>
    <row r="63" spans="1:19" x14ac:dyDescent="0.35">
      <c r="A63" s="13">
        <v>46022</v>
      </c>
      <c r="B63" t="s">
        <v>137</v>
      </c>
      <c r="C63" t="s">
        <v>138</v>
      </c>
      <c r="D63" t="s">
        <v>253</v>
      </c>
      <c r="E63">
        <v>4096231</v>
      </c>
      <c r="F63" s="14">
        <v>4</v>
      </c>
      <c r="G63" t="s">
        <v>325</v>
      </c>
      <c r="H63">
        <v>4352804</v>
      </c>
      <c r="I63">
        <v>4557435</v>
      </c>
      <c r="J63" t="s">
        <v>2</v>
      </c>
      <c r="K63" t="s">
        <v>2</v>
      </c>
      <c r="L63" t="s">
        <v>2</v>
      </c>
      <c r="M63" t="s">
        <v>2</v>
      </c>
      <c r="N63" t="s">
        <v>139</v>
      </c>
      <c r="O63" t="s">
        <v>2</v>
      </c>
      <c r="P63" t="s">
        <v>2</v>
      </c>
      <c r="Q63" t="s">
        <v>2</v>
      </c>
      <c r="R63" t="s">
        <v>2</v>
      </c>
      <c r="S63" t="s">
        <v>281</v>
      </c>
    </row>
    <row r="64" spans="1:19" x14ac:dyDescent="0.35">
      <c r="A64" s="13">
        <v>46022</v>
      </c>
      <c r="B64" t="s">
        <v>124</v>
      </c>
      <c r="C64" t="s">
        <v>125</v>
      </c>
      <c r="D64" t="s">
        <v>62</v>
      </c>
      <c r="E64">
        <v>4350734</v>
      </c>
      <c r="F64" s="14">
        <v>5</v>
      </c>
      <c r="G64" t="s">
        <v>326</v>
      </c>
      <c r="H64">
        <v>4361447</v>
      </c>
      <c r="I64">
        <v>4350360</v>
      </c>
      <c r="J64" t="s">
        <v>298</v>
      </c>
      <c r="K64" t="s">
        <v>57</v>
      </c>
      <c r="L64" t="s">
        <v>314</v>
      </c>
      <c r="M64" t="s">
        <v>286</v>
      </c>
      <c r="N64" t="s">
        <v>315</v>
      </c>
      <c r="O64" t="s">
        <v>62</v>
      </c>
      <c r="P64" t="s">
        <v>62</v>
      </c>
      <c r="Q64" t="s">
        <v>62</v>
      </c>
      <c r="R64" t="s">
        <v>62</v>
      </c>
      <c r="S64" t="s">
        <v>62</v>
      </c>
    </row>
    <row r="65" spans="1:19" x14ac:dyDescent="0.35">
      <c r="A65" s="13">
        <v>46022</v>
      </c>
      <c r="B65" t="s">
        <v>124</v>
      </c>
      <c r="C65" t="s">
        <v>125</v>
      </c>
      <c r="D65" t="s">
        <v>235</v>
      </c>
      <c r="E65">
        <v>4350360</v>
      </c>
      <c r="F65" s="14">
        <v>25</v>
      </c>
      <c r="G65" t="s">
        <v>326</v>
      </c>
      <c r="H65">
        <v>4361447</v>
      </c>
      <c r="I65">
        <v>4350360</v>
      </c>
      <c r="J65" t="s">
        <v>298</v>
      </c>
      <c r="K65" t="s">
        <v>57</v>
      </c>
      <c r="L65" t="s">
        <v>314</v>
      </c>
      <c r="M65" t="s">
        <v>286</v>
      </c>
      <c r="N65" t="s">
        <v>315</v>
      </c>
      <c r="O65" t="s">
        <v>62</v>
      </c>
      <c r="P65" t="s">
        <v>62</v>
      </c>
      <c r="Q65" t="s">
        <v>62</v>
      </c>
      <c r="R65" t="s">
        <v>62</v>
      </c>
      <c r="S65" t="s">
        <v>62</v>
      </c>
    </row>
    <row r="66" spans="1:19" x14ac:dyDescent="0.35">
      <c r="A66" s="13">
        <v>46022</v>
      </c>
      <c r="B66" t="s">
        <v>124</v>
      </c>
      <c r="C66" t="s">
        <v>125</v>
      </c>
      <c r="D66" t="s">
        <v>242</v>
      </c>
      <c r="E66">
        <v>4361447</v>
      </c>
      <c r="F66" s="14">
        <v>70</v>
      </c>
      <c r="G66" t="s">
        <v>326</v>
      </c>
      <c r="H66">
        <v>4361447</v>
      </c>
      <c r="I66">
        <v>4350360</v>
      </c>
      <c r="J66" t="s">
        <v>298</v>
      </c>
      <c r="K66" t="s">
        <v>57</v>
      </c>
      <c r="L66" t="s">
        <v>314</v>
      </c>
      <c r="M66" t="s">
        <v>286</v>
      </c>
      <c r="N66" t="s">
        <v>315</v>
      </c>
      <c r="O66" t="s">
        <v>62</v>
      </c>
      <c r="P66" t="s">
        <v>62</v>
      </c>
      <c r="Q66" t="s">
        <v>62</v>
      </c>
      <c r="R66" t="s">
        <v>62</v>
      </c>
      <c r="S66" t="s">
        <v>62</v>
      </c>
    </row>
    <row r="67" spans="1:19" x14ac:dyDescent="0.35">
      <c r="A67" s="13">
        <v>46022</v>
      </c>
      <c r="B67" t="s">
        <v>146</v>
      </c>
      <c r="C67" t="s">
        <v>147</v>
      </c>
      <c r="D67" t="s">
        <v>254</v>
      </c>
      <c r="E67">
        <v>4546566</v>
      </c>
      <c r="F67" s="14">
        <v>100</v>
      </c>
      <c r="G67" t="s">
        <v>327</v>
      </c>
      <c r="H67">
        <v>4546566</v>
      </c>
      <c r="I67" t="s">
        <v>278</v>
      </c>
      <c r="J67" t="s">
        <v>2</v>
      </c>
      <c r="K67" t="s">
        <v>2</v>
      </c>
      <c r="L67" t="s">
        <v>2</v>
      </c>
      <c r="M67" t="s">
        <v>2</v>
      </c>
      <c r="N67" t="s">
        <v>293</v>
      </c>
      <c r="O67" t="s">
        <v>2</v>
      </c>
      <c r="P67" t="s">
        <v>2</v>
      </c>
      <c r="Q67" t="s">
        <v>2</v>
      </c>
      <c r="R67" t="s">
        <v>2</v>
      </c>
      <c r="S67" t="s">
        <v>57</v>
      </c>
    </row>
    <row r="68" spans="1:19" x14ac:dyDescent="0.35">
      <c r="A68" s="13">
        <v>46022</v>
      </c>
      <c r="B68" t="s">
        <v>140</v>
      </c>
      <c r="C68" t="s">
        <v>141</v>
      </c>
      <c r="D68" t="s">
        <v>255</v>
      </c>
      <c r="E68">
        <v>10393182</v>
      </c>
      <c r="F68" s="14">
        <v>100</v>
      </c>
      <c r="G68" t="s">
        <v>328</v>
      </c>
      <c r="H68">
        <v>10393182</v>
      </c>
      <c r="I68" t="s">
        <v>278</v>
      </c>
      <c r="J68" t="s">
        <v>2</v>
      </c>
      <c r="K68" t="s">
        <v>2</v>
      </c>
      <c r="L68" t="s">
        <v>2</v>
      </c>
      <c r="M68" t="s">
        <v>2</v>
      </c>
      <c r="N68" t="s">
        <v>57</v>
      </c>
      <c r="O68" t="s">
        <v>2</v>
      </c>
      <c r="P68" t="s">
        <v>2</v>
      </c>
      <c r="Q68" t="s">
        <v>2</v>
      </c>
      <c r="R68" t="s">
        <v>2</v>
      </c>
      <c r="S68" t="s">
        <v>57</v>
      </c>
    </row>
    <row r="69" spans="1:19" x14ac:dyDescent="0.35">
      <c r="A69" s="13">
        <v>46022</v>
      </c>
      <c r="B69" t="s">
        <v>256</v>
      </c>
      <c r="C69" t="s">
        <v>257</v>
      </c>
      <c r="D69" t="s">
        <v>258</v>
      </c>
      <c r="E69">
        <v>4353521</v>
      </c>
      <c r="F69" s="14">
        <v>100</v>
      </c>
      <c r="G69" t="s">
        <v>329</v>
      </c>
      <c r="H69">
        <v>4353521</v>
      </c>
      <c r="I69" t="s">
        <v>278</v>
      </c>
      <c r="J69" t="s">
        <v>2</v>
      </c>
      <c r="K69" t="s">
        <v>2</v>
      </c>
      <c r="L69" t="s">
        <v>2</v>
      </c>
      <c r="M69" t="s">
        <v>2</v>
      </c>
      <c r="N69" t="s">
        <v>330</v>
      </c>
      <c r="O69" t="s">
        <v>2</v>
      </c>
      <c r="P69" t="s">
        <v>2</v>
      </c>
      <c r="Q69" t="s">
        <v>2</v>
      </c>
      <c r="R69" t="s">
        <v>2</v>
      </c>
      <c r="S69" t="s">
        <v>57</v>
      </c>
    </row>
    <row r="70" spans="1:19" x14ac:dyDescent="0.35">
      <c r="A70" s="13">
        <v>46022</v>
      </c>
      <c r="B70" t="s">
        <v>100</v>
      </c>
      <c r="C70" t="s">
        <v>101</v>
      </c>
      <c r="D70" t="s">
        <v>231</v>
      </c>
      <c r="E70">
        <v>4113732</v>
      </c>
      <c r="F70" s="14">
        <v>100</v>
      </c>
      <c r="G70" t="s">
        <v>316</v>
      </c>
      <c r="H70">
        <v>4113732</v>
      </c>
      <c r="I70" t="s">
        <v>278</v>
      </c>
      <c r="J70" t="s">
        <v>2</v>
      </c>
      <c r="K70" t="s">
        <v>2</v>
      </c>
      <c r="L70" t="s">
        <v>2</v>
      </c>
      <c r="M70" t="s">
        <v>2</v>
      </c>
      <c r="N70" t="s">
        <v>301</v>
      </c>
      <c r="O70" t="s">
        <v>2</v>
      </c>
      <c r="P70" t="s">
        <v>2</v>
      </c>
      <c r="Q70" t="s">
        <v>2</v>
      </c>
      <c r="R70" t="s">
        <v>2</v>
      </c>
      <c r="S70" t="s">
        <v>57</v>
      </c>
    </row>
    <row r="71" spans="1:19" x14ac:dyDescent="0.35">
      <c r="A71" s="13">
        <v>46022</v>
      </c>
      <c r="B71" t="s">
        <v>107</v>
      </c>
      <c r="C71" t="s">
        <v>108</v>
      </c>
      <c r="D71" t="s">
        <v>259</v>
      </c>
      <c r="E71">
        <v>4851749</v>
      </c>
      <c r="F71" s="14">
        <v>20</v>
      </c>
      <c r="G71" t="s">
        <v>331</v>
      </c>
      <c r="H71">
        <v>11707121</v>
      </c>
      <c r="I71">
        <v>4851749</v>
      </c>
      <c r="J71" t="s">
        <v>2</v>
      </c>
      <c r="K71" t="s">
        <v>2</v>
      </c>
      <c r="L71" t="s">
        <v>2</v>
      </c>
      <c r="M71" t="s">
        <v>2</v>
      </c>
      <c r="N71" t="s">
        <v>109</v>
      </c>
      <c r="O71" t="s">
        <v>2</v>
      </c>
      <c r="P71" t="s">
        <v>2</v>
      </c>
      <c r="Q71" t="s">
        <v>2</v>
      </c>
      <c r="R71" t="s">
        <v>2</v>
      </c>
      <c r="S71" t="s">
        <v>136</v>
      </c>
    </row>
    <row r="72" spans="1:19" x14ac:dyDescent="0.35">
      <c r="A72" s="13">
        <v>46022</v>
      </c>
      <c r="B72" t="s">
        <v>107</v>
      </c>
      <c r="C72" t="s">
        <v>108</v>
      </c>
      <c r="D72" t="s">
        <v>260</v>
      </c>
      <c r="E72">
        <v>11707121</v>
      </c>
      <c r="F72" s="14">
        <v>80</v>
      </c>
      <c r="G72" t="s">
        <v>331</v>
      </c>
      <c r="H72">
        <v>11707121</v>
      </c>
      <c r="I72">
        <v>4851749</v>
      </c>
      <c r="J72" t="s">
        <v>2</v>
      </c>
      <c r="K72" t="s">
        <v>2</v>
      </c>
      <c r="L72" t="s">
        <v>2</v>
      </c>
      <c r="M72" t="s">
        <v>2</v>
      </c>
      <c r="N72" t="s">
        <v>109</v>
      </c>
      <c r="O72" t="s">
        <v>2</v>
      </c>
      <c r="P72" t="s">
        <v>2</v>
      </c>
      <c r="Q72" t="s">
        <v>2</v>
      </c>
      <c r="R72" t="s">
        <v>2</v>
      </c>
      <c r="S72" t="s">
        <v>136</v>
      </c>
    </row>
    <row r="73" spans="1:19" x14ac:dyDescent="0.35">
      <c r="A73" s="13">
        <v>46022</v>
      </c>
      <c r="B73" t="s">
        <v>142</v>
      </c>
      <c r="C73" t="s">
        <v>143</v>
      </c>
      <c r="D73" t="s">
        <v>251</v>
      </c>
      <c r="E73">
        <v>4352804</v>
      </c>
      <c r="F73" s="14">
        <v>65</v>
      </c>
      <c r="G73" t="s">
        <v>332</v>
      </c>
      <c r="H73">
        <v>4352804</v>
      </c>
      <c r="I73">
        <v>4557435</v>
      </c>
      <c r="J73" t="s">
        <v>2</v>
      </c>
      <c r="K73" t="s">
        <v>2</v>
      </c>
      <c r="L73" t="s">
        <v>2</v>
      </c>
      <c r="M73" t="s">
        <v>2</v>
      </c>
      <c r="N73" t="s">
        <v>139</v>
      </c>
      <c r="O73" t="s">
        <v>2</v>
      </c>
      <c r="P73" t="s">
        <v>2</v>
      </c>
      <c r="Q73" t="s">
        <v>2</v>
      </c>
      <c r="R73" t="s">
        <v>2</v>
      </c>
      <c r="S73" t="s">
        <v>281</v>
      </c>
    </row>
    <row r="74" spans="1:19" x14ac:dyDescent="0.35">
      <c r="A74" s="13">
        <v>46022</v>
      </c>
      <c r="B74" t="s">
        <v>142</v>
      </c>
      <c r="C74" t="s">
        <v>143</v>
      </c>
      <c r="D74" t="s">
        <v>252</v>
      </c>
      <c r="E74">
        <v>4557435</v>
      </c>
      <c r="F74" s="14">
        <v>33.5</v>
      </c>
      <c r="G74" t="s">
        <v>332</v>
      </c>
      <c r="H74">
        <v>4352804</v>
      </c>
      <c r="I74">
        <v>4557435</v>
      </c>
      <c r="J74" t="s">
        <v>2</v>
      </c>
      <c r="K74" t="s">
        <v>2</v>
      </c>
      <c r="L74" t="s">
        <v>2</v>
      </c>
      <c r="M74" t="s">
        <v>2</v>
      </c>
      <c r="N74" t="s">
        <v>139</v>
      </c>
      <c r="O74" t="s">
        <v>2</v>
      </c>
      <c r="P74" t="s">
        <v>2</v>
      </c>
      <c r="Q74" t="s">
        <v>2</v>
      </c>
      <c r="R74" t="s">
        <v>2</v>
      </c>
      <c r="S74" t="s">
        <v>281</v>
      </c>
    </row>
    <row r="75" spans="1:19" x14ac:dyDescent="0.35">
      <c r="A75" s="13">
        <v>46022</v>
      </c>
      <c r="B75" t="s">
        <v>142</v>
      </c>
      <c r="C75" t="s">
        <v>143</v>
      </c>
      <c r="D75" t="s">
        <v>253</v>
      </c>
      <c r="E75">
        <v>4096231</v>
      </c>
      <c r="F75" s="14">
        <v>1.5</v>
      </c>
      <c r="G75" t="s">
        <v>332</v>
      </c>
      <c r="H75">
        <v>4352804</v>
      </c>
      <c r="I75">
        <v>4557435</v>
      </c>
      <c r="J75" t="s">
        <v>2</v>
      </c>
      <c r="K75" t="s">
        <v>2</v>
      </c>
      <c r="L75" t="s">
        <v>2</v>
      </c>
      <c r="M75" t="s">
        <v>2</v>
      </c>
      <c r="N75" t="s">
        <v>139</v>
      </c>
      <c r="O75" t="s">
        <v>2</v>
      </c>
      <c r="P75" t="s">
        <v>2</v>
      </c>
      <c r="Q75" t="s">
        <v>2</v>
      </c>
      <c r="R75" t="s">
        <v>2</v>
      </c>
      <c r="S75" t="s">
        <v>281</v>
      </c>
    </row>
    <row r="76" spans="1:19" x14ac:dyDescent="0.35">
      <c r="A76" s="13">
        <v>46022</v>
      </c>
      <c r="B76" t="s">
        <v>144</v>
      </c>
      <c r="C76" t="s">
        <v>145</v>
      </c>
      <c r="D76" t="s">
        <v>233</v>
      </c>
      <c r="E76">
        <v>4349148</v>
      </c>
      <c r="F76" s="14">
        <v>80</v>
      </c>
      <c r="G76" t="s">
        <v>333</v>
      </c>
      <c r="H76">
        <v>4349148</v>
      </c>
      <c r="I76">
        <v>4350360</v>
      </c>
      <c r="J76" t="s">
        <v>2</v>
      </c>
      <c r="K76" t="s">
        <v>2</v>
      </c>
      <c r="L76" t="s">
        <v>2</v>
      </c>
      <c r="M76" t="s">
        <v>2</v>
      </c>
      <c r="N76" t="s">
        <v>57</v>
      </c>
      <c r="O76" t="s">
        <v>62</v>
      </c>
      <c r="P76" t="s">
        <v>62</v>
      </c>
      <c r="Q76" t="s">
        <v>62</v>
      </c>
      <c r="R76" t="s">
        <v>62</v>
      </c>
      <c r="S76" t="s">
        <v>62</v>
      </c>
    </row>
    <row r="77" spans="1:19" x14ac:dyDescent="0.35">
      <c r="A77" s="13">
        <v>46022</v>
      </c>
      <c r="B77" t="s">
        <v>144</v>
      </c>
      <c r="C77" t="s">
        <v>145</v>
      </c>
      <c r="D77" t="s">
        <v>235</v>
      </c>
      <c r="E77">
        <v>4350360</v>
      </c>
      <c r="F77" s="14">
        <v>20</v>
      </c>
      <c r="G77" t="s">
        <v>333</v>
      </c>
      <c r="H77">
        <v>4349148</v>
      </c>
      <c r="I77">
        <v>4350360</v>
      </c>
      <c r="J77" t="s">
        <v>2</v>
      </c>
      <c r="K77" t="s">
        <v>2</v>
      </c>
      <c r="L77" t="s">
        <v>2</v>
      </c>
      <c r="M77" t="s">
        <v>2</v>
      </c>
      <c r="N77" t="s">
        <v>57</v>
      </c>
      <c r="O77" t="s">
        <v>62</v>
      </c>
      <c r="P77" t="s">
        <v>62</v>
      </c>
      <c r="Q77" t="s">
        <v>62</v>
      </c>
      <c r="R77" t="s">
        <v>62</v>
      </c>
      <c r="S77" t="s">
        <v>62</v>
      </c>
    </row>
    <row r="78" spans="1:19" x14ac:dyDescent="0.35">
      <c r="A78" s="13">
        <v>46022</v>
      </c>
      <c r="B78" t="s">
        <v>126</v>
      </c>
      <c r="C78" t="s">
        <v>127</v>
      </c>
      <c r="D78" t="s">
        <v>261</v>
      </c>
      <c r="E78">
        <v>4648824</v>
      </c>
      <c r="F78" s="14">
        <v>100</v>
      </c>
      <c r="G78" t="s">
        <v>334</v>
      </c>
      <c r="H78">
        <v>4648824</v>
      </c>
      <c r="I78" t="s">
        <v>278</v>
      </c>
      <c r="J78" t="s">
        <v>335</v>
      </c>
      <c r="K78" t="s">
        <v>84</v>
      </c>
      <c r="L78" t="s">
        <v>335</v>
      </c>
      <c r="M78" t="s">
        <v>84</v>
      </c>
      <c r="N78" t="s">
        <v>84</v>
      </c>
      <c r="O78" t="s">
        <v>2</v>
      </c>
      <c r="P78" t="s">
        <v>2</v>
      </c>
      <c r="Q78" t="s">
        <v>2</v>
      </c>
      <c r="R78" t="s">
        <v>2</v>
      </c>
      <c r="S78" t="s">
        <v>57</v>
      </c>
    </row>
    <row r="79" spans="1:19" x14ac:dyDescent="0.35">
      <c r="A79" s="13">
        <v>46022</v>
      </c>
      <c r="B79" t="s">
        <v>148</v>
      </c>
      <c r="C79" t="s">
        <v>149</v>
      </c>
      <c r="D79" t="s">
        <v>255</v>
      </c>
      <c r="E79">
        <v>10393182</v>
      </c>
      <c r="F79" s="14">
        <v>100</v>
      </c>
      <c r="G79" t="s">
        <v>328</v>
      </c>
      <c r="H79">
        <v>10393182</v>
      </c>
      <c r="I79" t="s">
        <v>278</v>
      </c>
      <c r="J79" t="s">
        <v>2</v>
      </c>
      <c r="K79" t="s">
        <v>2</v>
      </c>
      <c r="L79" t="s">
        <v>2</v>
      </c>
      <c r="M79" t="s">
        <v>2</v>
      </c>
      <c r="N79" t="s">
        <v>57</v>
      </c>
      <c r="O79" t="s">
        <v>2</v>
      </c>
      <c r="P79" t="s">
        <v>2</v>
      </c>
      <c r="Q79" t="s">
        <v>2</v>
      </c>
      <c r="R79" t="s">
        <v>2</v>
      </c>
      <c r="S79" t="s">
        <v>57</v>
      </c>
    </row>
    <row r="80" spans="1:19" x14ac:dyDescent="0.35">
      <c r="A80" s="13">
        <v>46022</v>
      </c>
      <c r="B80" t="s">
        <v>128</v>
      </c>
      <c r="C80" t="s">
        <v>129</v>
      </c>
      <c r="D80" t="s">
        <v>236</v>
      </c>
      <c r="E80">
        <v>4223919</v>
      </c>
      <c r="F80" s="14">
        <v>100</v>
      </c>
      <c r="G80" t="s">
        <v>306</v>
      </c>
      <c r="H80">
        <v>4223919</v>
      </c>
      <c r="I80" t="s">
        <v>278</v>
      </c>
      <c r="J80" t="s">
        <v>2</v>
      </c>
      <c r="K80" t="s">
        <v>2</v>
      </c>
      <c r="L80" t="s">
        <v>2</v>
      </c>
      <c r="M80" t="s">
        <v>2</v>
      </c>
      <c r="N80" t="s">
        <v>99</v>
      </c>
      <c r="O80" t="s">
        <v>2</v>
      </c>
      <c r="P80" t="s">
        <v>2</v>
      </c>
      <c r="Q80" t="s">
        <v>2</v>
      </c>
      <c r="R80" t="s">
        <v>2</v>
      </c>
      <c r="S80" t="s">
        <v>57</v>
      </c>
    </row>
    <row r="81" spans="1:19" x14ac:dyDescent="0.35">
      <c r="A81" s="13">
        <v>46022</v>
      </c>
      <c r="B81" t="s">
        <v>130</v>
      </c>
      <c r="C81" t="s">
        <v>131</v>
      </c>
      <c r="D81" t="s">
        <v>262</v>
      </c>
      <c r="E81">
        <v>4355649</v>
      </c>
      <c r="F81" s="14">
        <v>100</v>
      </c>
      <c r="G81" t="s">
        <v>336</v>
      </c>
      <c r="H81">
        <v>4355649</v>
      </c>
      <c r="I81" t="s">
        <v>278</v>
      </c>
      <c r="J81" t="s">
        <v>337</v>
      </c>
      <c r="K81" t="s">
        <v>79</v>
      </c>
      <c r="L81" t="s">
        <v>338</v>
      </c>
      <c r="M81" t="s">
        <v>339</v>
      </c>
      <c r="N81" t="s">
        <v>340</v>
      </c>
      <c r="O81" t="s">
        <v>2</v>
      </c>
      <c r="P81" t="s">
        <v>2</v>
      </c>
      <c r="Q81" t="s">
        <v>2</v>
      </c>
      <c r="R81" t="s">
        <v>2</v>
      </c>
      <c r="S81" t="s">
        <v>57</v>
      </c>
    </row>
  </sheetData>
  <pageMargins left="0.7" right="0.7" top="0.75" bottom="0.75" header="0.3" footer="0.3"/>
  <headerFooter>
    <oddFooter>&amp;C_x000D_&amp;1#&amp;"Aptos"&amp;10&amp;K0000FF Restricted Use - À usage restreint</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51"/>
  <sheetViews>
    <sheetView workbookViewId="0"/>
  </sheetViews>
  <sheetFormatPr defaultRowHeight="14.5" x14ac:dyDescent="0.35"/>
  <cols>
    <col min="1" max="1" width="48.54296875" customWidth="1"/>
    <col min="2" max="2" width="23.7265625" customWidth="1"/>
    <col min="3" max="3" width="16.1796875" customWidth="1"/>
    <col min="4" max="4" width="20.81640625" customWidth="1"/>
    <col min="5" max="6" width="21.54296875" customWidth="1"/>
    <col min="7" max="7" width="23.54296875" customWidth="1"/>
    <col min="8" max="8" width="19.54296875" customWidth="1"/>
    <col min="9" max="9" width="21.54296875" customWidth="1"/>
    <col min="10" max="10" width="19.54296875" customWidth="1"/>
    <col min="11" max="11" width="20.7265625" customWidth="1"/>
    <col min="12" max="12" width="19.54296875" customWidth="1"/>
    <col min="13" max="13" width="17.54296875" customWidth="1"/>
    <col min="14" max="16" width="21.54296875" customWidth="1"/>
    <col min="17" max="17" width="16.1796875" customWidth="1"/>
    <col min="18" max="18" width="19.54296875" customWidth="1"/>
    <col min="19" max="22" width="23.54296875" customWidth="1"/>
  </cols>
  <sheetData>
    <row r="1" spans="1:22" ht="40" customHeight="1" x14ac:dyDescent="0.35">
      <c r="A1" s="15"/>
      <c r="B1" s="15"/>
      <c r="C1" s="15"/>
      <c r="D1" s="15"/>
    </row>
    <row r="2" spans="1:22" ht="30" customHeight="1" x14ac:dyDescent="0.45">
      <c r="A2" s="1" t="s">
        <v>212</v>
      </c>
      <c r="B2" s="2"/>
      <c r="C2" s="2"/>
      <c r="D2" s="2"/>
      <c r="E2" s="2"/>
      <c r="F2" s="2"/>
      <c r="G2" s="2"/>
      <c r="H2" s="2"/>
      <c r="I2" s="2"/>
      <c r="J2" s="2"/>
      <c r="K2" s="2"/>
      <c r="L2" s="2"/>
      <c r="M2" s="2"/>
      <c r="N2" s="2"/>
      <c r="O2" s="2"/>
      <c r="P2" s="2"/>
      <c r="Q2" s="2"/>
      <c r="R2" s="2"/>
      <c r="S2" s="2"/>
      <c r="T2" s="2"/>
      <c r="U2" s="2"/>
      <c r="V2" s="2"/>
    </row>
    <row r="3" spans="1:22" x14ac:dyDescent="0.35">
      <c r="A3" s="3" t="s">
        <v>0</v>
      </c>
    </row>
    <row r="4" spans="1:22" x14ac:dyDescent="0.35">
      <c r="A4" s="3" t="s">
        <v>1</v>
      </c>
    </row>
    <row r="5" spans="1:22" x14ac:dyDescent="0.35">
      <c r="A5" s="4"/>
    </row>
    <row r="6" spans="1:22" x14ac:dyDescent="0.35">
      <c r="A6" s="16" t="s">
        <v>3</v>
      </c>
      <c r="B6" s="16" t="s">
        <v>4</v>
      </c>
      <c r="C6" s="16" t="s">
        <v>5</v>
      </c>
      <c r="D6" s="16" t="s">
        <v>6</v>
      </c>
      <c r="E6" s="17" t="s">
        <v>189</v>
      </c>
      <c r="F6" s="17" t="s">
        <v>195</v>
      </c>
      <c r="G6" s="17" t="s">
        <v>196</v>
      </c>
      <c r="H6" s="17" t="s">
        <v>197</v>
      </c>
      <c r="I6" s="17" t="s">
        <v>198</v>
      </c>
      <c r="J6" s="17" t="s">
        <v>199</v>
      </c>
      <c r="K6" s="17" t="s">
        <v>200</v>
      </c>
      <c r="L6" s="17" t="s">
        <v>201</v>
      </c>
      <c r="M6" s="17" t="s">
        <v>202</v>
      </c>
      <c r="N6" s="17" t="s">
        <v>203</v>
      </c>
      <c r="O6" s="17" t="s">
        <v>204</v>
      </c>
      <c r="P6" s="17" t="s">
        <v>205</v>
      </c>
      <c r="Q6" s="17" t="s">
        <v>206</v>
      </c>
      <c r="R6" s="17" t="s">
        <v>207</v>
      </c>
      <c r="S6" s="17" t="s">
        <v>208</v>
      </c>
      <c r="T6" s="17" t="s">
        <v>209</v>
      </c>
      <c r="U6" s="17" t="s">
        <v>210</v>
      </c>
      <c r="V6" s="17" t="s">
        <v>211</v>
      </c>
    </row>
    <row r="7" spans="1:22" x14ac:dyDescent="0.35">
      <c r="A7" s="16"/>
      <c r="B7" s="16"/>
      <c r="C7" s="16"/>
      <c r="D7" s="16"/>
      <c r="E7" s="17"/>
      <c r="F7" s="17"/>
      <c r="G7" s="17"/>
      <c r="H7" s="17"/>
      <c r="I7" s="17"/>
      <c r="J7" s="17"/>
      <c r="K7" s="17"/>
      <c r="L7" s="17"/>
      <c r="M7" s="17"/>
      <c r="N7" s="17"/>
      <c r="O7" s="17"/>
      <c r="P7" s="17"/>
      <c r="Q7" s="17"/>
      <c r="R7" s="17"/>
      <c r="S7" s="17"/>
      <c r="T7" s="17"/>
      <c r="U7" s="17"/>
      <c r="V7" s="17"/>
    </row>
    <row r="8" spans="1:22" x14ac:dyDescent="0.35">
      <c r="A8" s="16"/>
      <c r="B8" s="16"/>
      <c r="C8" s="16"/>
      <c r="D8" s="16"/>
      <c r="E8" s="17"/>
      <c r="F8" s="17"/>
      <c r="G8" s="17"/>
      <c r="H8" s="17"/>
      <c r="I8" s="17"/>
      <c r="J8" s="17"/>
      <c r="K8" s="17"/>
      <c r="L8" s="17"/>
      <c r="M8" s="17"/>
      <c r="N8" s="17"/>
      <c r="O8" s="17"/>
      <c r="P8" s="17"/>
      <c r="Q8" s="17"/>
      <c r="R8" s="17"/>
      <c r="S8" s="17"/>
      <c r="T8" s="17"/>
      <c r="U8" s="17"/>
      <c r="V8" s="17"/>
    </row>
    <row r="9" spans="1:22" x14ac:dyDescent="0.35">
      <c r="A9" s="16"/>
      <c r="B9" s="16"/>
      <c r="C9" s="16"/>
      <c r="D9" s="16"/>
      <c r="E9" s="17"/>
      <c r="F9" s="17"/>
      <c r="G9" s="17"/>
      <c r="H9" s="17"/>
      <c r="I9" s="17"/>
      <c r="J9" s="17"/>
      <c r="K9" s="17"/>
      <c r="L9" s="17"/>
      <c r="M9" s="17"/>
      <c r="N9" s="17"/>
      <c r="O9" s="17"/>
      <c r="P9" s="17"/>
      <c r="Q9" s="17"/>
      <c r="R9" s="17"/>
      <c r="S9" s="17"/>
      <c r="T9" s="17"/>
      <c r="U9" s="17"/>
      <c r="V9" s="17"/>
    </row>
    <row r="10" spans="1:22" x14ac:dyDescent="0.35">
      <c r="A10" s="5">
        <v>46022</v>
      </c>
      <c r="B10" s="4" t="s">
        <v>49</v>
      </c>
      <c r="C10" s="4" t="s">
        <v>50</v>
      </c>
      <c r="D10" s="4" t="s">
        <v>51</v>
      </c>
      <c r="E10" s="6">
        <v>525.86245099999996</v>
      </c>
      <c r="F10" s="6">
        <v>84.103289000000004</v>
      </c>
      <c r="G10" s="6">
        <v>441.759162</v>
      </c>
      <c r="H10" s="6">
        <v>8.0739629999999991</v>
      </c>
      <c r="I10" s="6">
        <v>450.03439100000003</v>
      </c>
      <c r="J10" s="6">
        <v>53.392792</v>
      </c>
      <c r="K10" s="6">
        <v>6.1836000000000002E-2</v>
      </c>
      <c r="L10" s="6">
        <v>80</v>
      </c>
      <c r="M10" s="6">
        <v>0</v>
      </c>
      <c r="N10" s="6">
        <v>-149.80382</v>
      </c>
      <c r="O10" s="6">
        <v>0</v>
      </c>
      <c r="P10" s="6">
        <v>-149.80382</v>
      </c>
      <c r="Q10" s="7">
        <v>20</v>
      </c>
      <c r="R10" s="6">
        <v>256</v>
      </c>
      <c r="S10" s="6">
        <v>-713.07228799999996</v>
      </c>
      <c r="T10" s="6">
        <v>-626.921108</v>
      </c>
      <c r="U10" s="6">
        <v>-555.82557599999996</v>
      </c>
      <c r="V10" s="6">
        <v>-496.81897099999998</v>
      </c>
    </row>
    <row r="11" spans="1:22" x14ac:dyDescent="0.35">
      <c r="A11" s="5">
        <v>46022</v>
      </c>
      <c r="B11" s="4" t="s">
        <v>52</v>
      </c>
      <c r="C11" s="4" t="s">
        <v>53</v>
      </c>
      <c r="D11" s="4" t="s">
        <v>54</v>
      </c>
      <c r="E11" s="6">
        <v>833.86044100000004</v>
      </c>
      <c r="F11" s="6">
        <v>76.040847999999997</v>
      </c>
      <c r="G11" s="6">
        <v>757.81959300000005</v>
      </c>
      <c r="H11" s="6">
        <v>62.539416000000003</v>
      </c>
      <c r="I11" s="6">
        <v>248.71843899999999</v>
      </c>
      <c r="J11" s="6">
        <v>11.083257</v>
      </c>
      <c r="K11" s="6">
        <v>12.696196</v>
      </c>
      <c r="L11" s="6">
        <v>24.378070999999998</v>
      </c>
      <c r="M11" s="6">
        <v>0</v>
      </c>
      <c r="N11" s="6">
        <v>398.40421500000002</v>
      </c>
      <c r="O11" s="6">
        <v>116.817463</v>
      </c>
      <c r="P11" s="6">
        <v>281.58675099999999</v>
      </c>
      <c r="Q11" s="7">
        <v>35</v>
      </c>
      <c r="R11" s="6">
        <v>101.71430100000001</v>
      </c>
      <c r="S11" s="6">
        <v>1725.338606</v>
      </c>
      <c r="T11" s="6">
        <v>1567.7406470000001</v>
      </c>
      <c r="U11" s="6">
        <v>1436.3412579999999</v>
      </c>
      <c r="V11" s="6">
        <v>1325.052238</v>
      </c>
    </row>
    <row r="12" spans="1:22" x14ac:dyDescent="0.35">
      <c r="A12" s="5">
        <v>46022</v>
      </c>
      <c r="B12" s="4" t="s">
        <v>55</v>
      </c>
      <c r="C12" s="4" t="s">
        <v>56</v>
      </c>
      <c r="D12" s="4" t="s">
        <v>57</v>
      </c>
      <c r="E12" s="6">
        <v>73.156780999999995</v>
      </c>
      <c r="F12" s="6">
        <v>10.040800000000001</v>
      </c>
      <c r="G12" s="6">
        <v>63.115980999999998</v>
      </c>
      <c r="H12" s="6">
        <v>3.2579579999999999</v>
      </c>
      <c r="I12" s="6">
        <v>17.660377</v>
      </c>
      <c r="J12" s="6">
        <v>2.1101459999999999</v>
      </c>
      <c r="K12" s="6">
        <v>-8.5554000000000005E-2</v>
      </c>
      <c r="L12" s="6">
        <v>1.8919589999999999</v>
      </c>
      <c r="M12" s="6">
        <v>0</v>
      </c>
      <c r="N12" s="6">
        <v>38.281095000000001</v>
      </c>
      <c r="O12" s="6">
        <v>9.630452</v>
      </c>
      <c r="P12" s="6">
        <v>28.650642000000001</v>
      </c>
      <c r="Q12" s="7">
        <v>25</v>
      </c>
      <c r="R12" s="6">
        <v>1.56569</v>
      </c>
      <c r="S12" s="6">
        <v>268.79905000000002</v>
      </c>
      <c r="T12" s="6">
        <v>233.71507600000001</v>
      </c>
      <c r="U12" s="6">
        <v>205.58562499999999</v>
      </c>
      <c r="V12" s="6">
        <v>182.74210199999999</v>
      </c>
    </row>
    <row r="13" spans="1:22" x14ac:dyDescent="0.35">
      <c r="A13" s="5">
        <v>46022</v>
      </c>
      <c r="B13" s="4" t="s">
        <v>58</v>
      </c>
      <c r="C13" s="4" t="s">
        <v>59</v>
      </c>
      <c r="D13" s="4" t="s">
        <v>57</v>
      </c>
      <c r="E13" s="6">
        <v>126.216853</v>
      </c>
      <c r="F13" s="6">
        <v>18.827323</v>
      </c>
      <c r="G13" s="6">
        <v>107.38952999999999</v>
      </c>
      <c r="H13" s="6">
        <v>3.0961639999999999</v>
      </c>
      <c r="I13" s="6">
        <v>34.141635999999998</v>
      </c>
      <c r="J13" s="6">
        <v>4.3748459999999998</v>
      </c>
      <c r="K13" s="6">
        <v>0.49551200000000001</v>
      </c>
      <c r="L13" s="6">
        <v>1.7174199999999999</v>
      </c>
      <c r="M13" s="6">
        <v>0</v>
      </c>
      <c r="N13" s="6">
        <v>63.563952</v>
      </c>
      <c r="O13" s="6">
        <v>9.2343770000000003</v>
      </c>
      <c r="P13" s="6">
        <v>54.329574999999998</v>
      </c>
      <c r="Q13" s="7">
        <v>15</v>
      </c>
      <c r="R13" s="6">
        <v>4.2143709999999999</v>
      </c>
      <c r="S13" s="6">
        <v>462.13207799999998</v>
      </c>
      <c r="T13" s="6">
        <v>409.68100500000003</v>
      </c>
      <c r="U13" s="6">
        <v>366.23570000000001</v>
      </c>
      <c r="V13" s="6">
        <v>329.91973200000001</v>
      </c>
    </row>
    <row r="14" spans="1:22" x14ac:dyDescent="0.35">
      <c r="A14" s="5">
        <v>46022</v>
      </c>
      <c r="B14" s="4" t="s">
        <v>60</v>
      </c>
      <c r="C14" s="4" t="s">
        <v>61</v>
      </c>
      <c r="D14" s="4" t="s">
        <v>62</v>
      </c>
      <c r="E14" s="6">
        <v>682.37814400000002</v>
      </c>
      <c r="F14" s="6">
        <v>112.35686099999999</v>
      </c>
      <c r="G14" s="6">
        <v>570.02128300000004</v>
      </c>
      <c r="H14" s="6">
        <v>57.259501</v>
      </c>
      <c r="I14" s="6">
        <v>91.469449999999995</v>
      </c>
      <c r="J14" s="6">
        <v>2.9572539999999998</v>
      </c>
      <c r="K14" s="6">
        <v>47.025463999999999</v>
      </c>
      <c r="L14" s="6">
        <v>0.5</v>
      </c>
      <c r="M14" s="6">
        <v>0</v>
      </c>
      <c r="N14" s="6">
        <v>370.80961600000001</v>
      </c>
      <c r="O14" s="6">
        <v>118.085269</v>
      </c>
      <c r="P14" s="6">
        <v>252.724346</v>
      </c>
      <c r="Q14" s="7">
        <v>30</v>
      </c>
      <c r="R14" s="6">
        <v>24.717514000000001</v>
      </c>
      <c r="S14" s="6">
        <v>1146.817648</v>
      </c>
      <c r="T14" s="6">
        <v>1082.403722</v>
      </c>
      <c r="U14" s="6">
        <v>1023.558781</v>
      </c>
      <c r="V14" s="6">
        <v>969.675478</v>
      </c>
    </row>
    <row r="15" spans="1:22" x14ac:dyDescent="0.35">
      <c r="A15" s="5">
        <v>46022</v>
      </c>
      <c r="B15" s="4" t="s">
        <v>63</v>
      </c>
      <c r="C15" s="4" t="s">
        <v>64</v>
      </c>
      <c r="D15" s="4" t="s">
        <v>62</v>
      </c>
      <c r="E15" s="6">
        <v>2656.8439079999998</v>
      </c>
      <c r="F15" s="6">
        <v>357.02323999999999</v>
      </c>
      <c r="G15" s="6">
        <v>2299.8206679999998</v>
      </c>
      <c r="H15" s="6">
        <v>234.86972900000001</v>
      </c>
      <c r="I15" s="6">
        <v>553.77933099999996</v>
      </c>
      <c r="J15" s="6">
        <v>21.485379999999999</v>
      </c>
      <c r="K15" s="6">
        <v>35.110253999999998</v>
      </c>
      <c r="L15" s="6">
        <v>2.1820979999999999</v>
      </c>
      <c r="M15" s="6">
        <v>92.999999000000003</v>
      </c>
      <c r="N15" s="6">
        <v>1359.3938760000001</v>
      </c>
      <c r="O15" s="6">
        <v>422.31470999999999</v>
      </c>
      <c r="P15" s="6">
        <v>937.07916699999998</v>
      </c>
      <c r="Q15" s="7">
        <v>30</v>
      </c>
      <c r="R15" s="6">
        <v>81.970528999999999</v>
      </c>
      <c r="S15" s="6">
        <v>8753.4360049999996</v>
      </c>
      <c r="T15" s="6">
        <v>7777.9773729999997</v>
      </c>
      <c r="U15" s="6">
        <v>6965.8779910000003</v>
      </c>
      <c r="V15" s="6">
        <v>6283.857763</v>
      </c>
    </row>
    <row r="16" spans="1:22" x14ac:dyDescent="0.35">
      <c r="A16" s="5">
        <v>46022</v>
      </c>
      <c r="B16" s="4" t="s">
        <v>65</v>
      </c>
      <c r="C16" s="4" t="s">
        <v>66</v>
      </c>
      <c r="D16" s="4" t="s">
        <v>62</v>
      </c>
      <c r="E16" s="6">
        <v>992.50215700000001</v>
      </c>
      <c r="F16" s="6">
        <v>71.365133999999998</v>
      </c>
      <c r="G16" s="6">
        <v>921.137024</v>
      </c>
      <c r="H16" s="6">
        <v>34.737551000000003</v>
      </c>
      <c r="I16" s="6">
        <v>314.191847</v>
      </c>
      <c r="J16" s="6">
        <v>4.8878120000000003</v>
      </c>
      <c r="K16" s="6">
        <v>19.409519</v>
      </c>
      <c r="L16" s="6">
        <v>11.916566</v>
      </c>
      <c r="M16" s="6">
        <v>0</v>
      </c>
      <c r="N16" s="6">
        <v>535.99372900000003</v>
      </c>
      <c r="O16" s="6">
        <v>180.05686</v>
      </c>
      <c r="P16" s="6">
        <v>355.936868</v>
      </c>
      <c r="Q16" s="7">
        <v>35</v>
      </c>
      <c r="R16" s="6">
        <v>52.871640999999997</v>
      </c>
      <c r="S16" s="6">
        <v>1928.3800309999999</v>
      </c>
      <c r="T16" s="6">
        <v>1777.277006</v>
      </c>
      <c r="U16" s="6">
        <v>1644.5049730000001</v>
      </c>
      <c r="V16" s="6">
        <v>1527.3099589999999</v>
      </c>
    </row>
    <row r="17" spans="1:22" x14ac:dyDescent="0.35">
      <c r="A17" s="5">
        <v>46022</v>
      </c>
      <c r="B17" s="4" t="s">
        <v>67</v>
      </c>
      <c r="C17" s="4" t="s">
        <v>68</v>
      </c>
      <c r="D17" s="4" t="s">
        <v>57</v>
      </c>
      <c r="E17" s="6">
        <v>8.148695</v>
      </c>
      <c r="F17" s="6">
        <v>3.0805449999999999</v>
      </c>
      <c r="G17" s="6">
        <v>5.0681500000000002</v>
      </c>
      <c r="H17" s="6">
        <v>1.2334449999999999</v>
      </c>
      <c r="I17" s="6">
        <v>3.3014070000000002</v>
      </c>
      <c r="J17" s="6">
        <v>0.370865</v>
      </c>
      <c r="K17" s="6">
        <v>5.9199999999999997E-4</v>
      </c>
      <c r="L17" s="6">
        <v>0.178479</v>
      </c>
      <c r="M17" s="6">
        <v>0</v>
      </c>
      <c r="N17" s="6">
        <v>-1.6638E-2</v>
      </c>
      <c r="O17" s="6">
        <v>0</v>
      </c>
      <c r="P17" s="6">
        <v>-1.6638E-2</v>
      </c>
      <c r="Q17" s="7">
        <v>25</v>
      </c>
      <c r="R17" s="6">
        <v>0.64669500000000002</v>
      </c>
      <c r="S17" s="6">
        <v>-2.9160999999999999E-2</v>
      </c>
      <c r="T17" s="6">
        <v>-2.8386000000000002E-2</v>
      </c>
      <c r="U17" s="6">
        <v>-2.7646E-2</v>
      </c>
      <c r="V17" s="6">
        <v>-2.6941E-2</v>
      </c>
    </row>
    <row r="18" spans="1:22" x14ac:dyDescent="0.35">
      <c r="A18" s="5">
        <v>46022</v>
      </c>
      <c r="B18" s="4" t="s">
        <v>69</v>
      </c>
      <c r="C18" s="4" t="s">
        <v>70</v>
      </c>
      <c r="D18" s="4" t="s">
        <v>71</v>
      </c>
      <c r="E18" s="6">
        <v>249.118461</v>
      </c>
      <c r="F18" s="6">
        <v>45.177694000000002</v>
      </c>
      <c r="G18" s="6">
        <v>203.94076699999999</v>
      </c>
      <c r="H18" s="6">
        <v>9.8625290000000003</v>
      </c>
      <c r="I18" s="6">
        <v>96.077709999999996</v>
      </c>
      <c r="J18" s="6">
        <v>9.3230149999999998</v>
      </c>
      <c r="K18" s="6">
        <v>7.4008050000000001</v>
      </c>
      <c r="L18" s="6">
        <v>25</v>
      </c>
      <c r="M18" s="6">
        <v>0</v>
      </c>
      <c r="N18" s="6">
        <v>56.276707999999999</v>
      </c>
      <c r="O18" s="6">
        <v>7.5446609999999996</v>
      </c>
      <c r="P18" s="6">
        <v>48.732045999999997</v>
      </c>
      <c r="Q18" s="7">
        <v>27</v>
      </c>
      <c r="R18" s="6">
        <v>60.734321999999999</v>
      </c>
      <c r="S18" s="6">
        <v>57.246267000000003</v>
      </c>
      <c r="T18" s="6">
        <v>55.952384000000002</v>
      </c>
      <c r="U18" s="6">
        <v>54.714848000000003</v>
      </c>
      <c r="V18" s="6">
        <v>53.530104999999999</v>
      </c>
    </row>
    <row r="19" spans="1:22" x14ac:dyDescent="0.35">
      <c r="A19" s="5">
        <v>46022</v>
      </c>
      <c r="B19" s="4" t="s">
        <v>72</v>
      </c>
      <c r="C19" s="4" t="s">
        <v>73</v>
      </c>
      <c r="D19" s="4" t="s">
        <v>62</v>
      </c>
      <c r="E19" s="6">
        <v>301.31555700000001</v>
      </c>
      <c r="F19" s="6">
        <v>1.958518</v>
      </c>
      <c r="G19" s="6">
        <v>299.35703899999999</v>
      </c>
      <c r="H19" s="6">
        <v>15.102815</v>
      </c>
      <c r="I19" s="6">
        <v>146.28111200000001</v>
      </c>
      <c r="J19" s="6">
        <v>2.6642890000000001</v>
      </c>
      <c r="K19" s="6">
        <v>0.67088300000000001</v>
      </c>
      <c r="L19" s="6">
        <v>10.579497</v>
      </c>
      <c r="M19" s="6">
        <v>0</v>
      </c>
      <c r="N19" s="6">
        <v>124.05844399999999</v>
      </c>
      <c r="O19" s="6">
        <v>35.051234000000001</v>
      </c>
      <c r="P19" s="6">
        <v>89.007210000000001</v>
      </c>
      <c r="Q19" s="7">
        <v>30</v>
      </c>
      <c r="R19" s="6">
        <v>18.471377</v>
      </c>
      <c r="S19" s="6">
        <v>499.33357899999999</v>
      </c>
      <c r="T19" s="6">
        <v>465.894926</v>
      </c>
      <c r="U19" s="6">
        <v>435.79984100000001</v>
      </c>
      <c r="V19" s="6">
        <v>408.635356</v>
      </c>
    </row>
    <row r="20" spans="1:22" x14ac:dyDescent="0.35">
      <c r="A20" s="5">
        <v>46022</v>
      </c>
      <c r="B20" s="4" t="s">
        <v>74</v>
      </c>
      <c r="C20" s="4" t="s">
        <v>75</v>
      </c>
      <c r="D20" s="4" t="s">
        <v>76</v>
      </c>
      <c r="E20" s="6">
        <v>576.45222899999999</v>
      </c>
      <c r="F20" s="6">
        <v>152.64452299999999</v>
      </c>
      <c r="G20" s="6">
        <v>423.807706</v>
      </c>
      <c r="H20" s="6">
        <v>0</v>
      </c>
      <c r="I20" s="6">
        <v>515.481583</v>
      </c>
      <c r="J20" s="6">
        <v>15.951033000000001</v>
      </c>
      <c r="K20" s="6">
        <v>-21.194997999999998</v>
      </c>
      <c r="L20" s="6">
        <v>72.134640000000005</v>
      </c>
      <c r="M20" s="6">
        <v>0</v>
      </c>
      <c r="N20" s="6">
        <v>-158.56455099999999</v>
      </c>
      <c r="O20" s="6">
        <v>0</v>
      </c>
      <c r="P20" s="6">
        <v>-158.56455099999999</v>
      </c>
      <c r="Q20" s="7">
        <v>35</v>
      </c>
      <c r="R20" s="6">
        <v>141.17779200000001</v>
      </c>
      <c r="S20" s="6">
        <v>-1591.631167</v>
      </c>
      <c r="T20" s="6">
        <v>-1403.6001209999999</v>
      </c>
      <c r="U20" s="6">
        <v>-1248.2890130000001</v>
      </c>
      <c r="V20" s="6">
        <v>-1118.8541070000001</v>
      </c>
    </row>
    <row r="21" spans="1:22" x14ac:dyDescent="0.35">
      <c r="A21" s="5">
        <v>46022</v>
      </c>
      <c r="B21" s="4" t="s">
        <v>77</v>
      </c>
      <c r="C21" s="4" t="s">
        <v>78</v>
      </c>
      <c r="D21" s="4" t="s">
        <v>79</v>
      </c>
      <c r="E21" s="6">
        <v>653.03340300000002</v>
      </c>
      <c r="F21" s="6">
        <v>26.642810999999998</v>
      </c>
      <c r="G21" s="6">
        <v>626.39059199999997</v>
      </c>
      <c r="H21" s="6">
        <v>8.9516369999999998</v>
      </c>
      <c r="I21" s="6">
        <v>572.75754700000005</v>
      </c>
      <c r="J21" s="6">
        <v>3.2725360000000001</v>
      </c>
      <c r="K21" s="6">
        <v>11.973136999999999</v>
      </c>
      <c r="L21" s="6">
        <v>85.913634000000002</v>
      </c>
      <c r="M21" s="6">
        <v>0</v>
      </c>
      <c r="N21" s="6">
        <v>-56.477901000000003</v>
      </c>
      <c r="O21" s="6">
        <v>0</v>
      </c>
      <c r="P21" s="6">
        <v>-56.477901000000003</v>
      </c>
      <c r="Q21" s="7">
        <v>27</v>
      </c>
      <c r="R21" s="6">
        <v>140.54105300000001</v>
      </c>
      <c r="S21" s="6">
        <v>-416.10983199999998</v>
      </c>
      <c r="T21" s="6">
        <v>-348.90926400000001</v>
      </c>
      <c r="U21" s="6">
        <v>-298.74026800000001</v>
      </c>
      <c r="V21" s="6">
        <v>-260.49148200000002</v>
      </c>
    </row>
    <row r="22" spans="1:22" x14ac:dyDescent="0.35">
      <c r="A22" s="5">
        <v>46022</v>
      </c>
      <c r="B22" s="4" t="s">
        <v>80</v>
      </c>
      <c r="C22" s="4" t="s">
        <v>81</v>
      </c>
      <c r="D22" s="4" t="s">
        <v>62</v>
      </c>
      <c r="E22" s="6">
        <v>1977.91065</v>
      </c>
      <c r="F22" s="6">
        <v>147.638116</v>
      </c>
      <c r="G22" s="6">
        <v>1830.272534</v>
      </c>
      <c r="H22" s="6">
        <v>135.92676700000001</v>
      </c>
      <c r="I22" s="6">
        <v>965.856674</v>
      </c>
      <c r="J22" s="6">
        <v>14.332637</v>
      </c>
      <c r="K22" s="6">
        <v>-33.808497000000003</v>
      </c>
      <c r="L22" s="6">
        <v>327.86825599999997</v>
      </c>
      <c r="M22" s="6">
        <v>0</v>
      </c>
      <c r="N22" s="6">
        <v>420.096698</v>
      </c>
      <c r="O22" s="6">
        <v>59.199863000000001</v>
      </c>
      <c r="P22" s="6">
        <v>360.89683500000001</v>
      </c>
      <c r="Q22" s="7">
        <v>35</v>
      </c>
      <c r="R22" s="6">
        <v>545.01399000000004</v>
      </c>
      <c r="S22" s="6">
        <v>6201.6439540000001</v>
      </c>
      <c r="T22" s="6">
        <v>5413.8514020000002</v>
      </c>
      <c r="U22" s="6">
        <v>4766.6258129999997</v>
      </c>
      <c r="V22" s="6">
        <v>4230.095577</v>
      </c>
    </row>
    <row r="23" spans="1:22" x14ac:dyDescent="0.35">
      <c r="A23" s="5">
        <v>46022</v>
      </c>
      <c r="B23" s="4" t="s">
        <v>82</v>
      </c>
      <c r="C23" s="4" t="s">
        <v>83</v>
      </c>
      <c r="D23" s="4" t="s">
        <v>84</v>
      </c>
      <c r="E23" s="6">
        <v>456.94987500000002</v>
      </c>
      <c r="F23" s="6">
        <v>87.064814999999996</v>
      </c>
      <c r="G23" s="6">
        <v>369.88506000000001</v>
      </c>
      <c r="H23" s="6">
        <v>0</v>
      </c>
      <c r="I23" s="6">
        <v>52.881115000000001</v>
      </c>
      <c r="J23" s="6">
        <v>6.5000049999999998</v>
      </c>
      <c r="K23" s="6">
        <v>-2.8262640000000001</v>
      </c>
      <c r="L23" s="6">
        <v>112.031116</v>
      </c>
      <c r="M23" s="6">
        <v>10.640631000000001</v>
      </c>
      <c r="N23" s="6">
        <v>190.658457</v>
      </c>
      <c r="O23" s="6">
        <v>60.403422999999997</v>
      </c>
      <c r="P23" s="6">
        <v>130.25503399999999</v>
      </c>
      <c r="Q23" s="7">
        <v>20</v>
      </c>
      <c r="R23" s="6">
        <v>8.4868249999999996</v>
      </c>
      <c r="S23" s="6">
        <v>991.94268899999997</v>
      </c>
      <c r="T23" s="6">
        <v>918.43934400000001</v>
      </c>
      <c r="U23" s="6">
        <v>852.88245300000005</v>
      </c>
      <c r="V23" s="6">
        <v>794.21925899999997</v>
      </c>
    </row>
    <row r="24" spans="1:22" x14ac:dyDescent="0.35">
      <c r="A24" s="5">
        <v>46022</v>
      </c>
      <c r="B24" s="4" t="s">
        <v>85</v>
      </c>
      <c r="C24" s="4" t="s">
        <v>86</v>
      </c>
      <c r="D24" s="4" t="s">
        <v>57</v>
      </c>
      <c r="E24" s="6">
        <v>3184.5192280000001</v>
      </c>
      <c r="F24" s="6">
        <v>273.22149200000001</v>
      </c>
      <c r="G24" s="6">
        <v>2911.297736</v>
      </c>
      <c r="H24" s="6">
        <v>48.716594000000001</v>
      </c>
      <c r="I24" s="6">
        <v>663.74517200000003</v>
      </c>
      <c r="J24" s="6">
        <v>35.000005000000002</v>
      </c>
      <c r="K24" s="6">
        <v>-93.335697999999994</v>
      </c>
      <c r="L24" s="6">
        <v>179.99999600000001</v>
      </c>
      <c r="M24" s="6">
        <v>0</v>
      </c>
      <c r="N24" s="6">
        <v>2077.171668</v>
      </c>
      <c r="O24" s="6">
        <v>480.724084</v>
      </c>
      <c r="P24" s="6">
        <v>1596.447584</v>
      </c>
      <c r="Q24" s="7">
        <v>25</v>
      </c>
      <c r="R24" s="6">
        <v>240.93962999999999</v>
      </c>
      <c r="S24" s="6">
        <v>13102.889639000001</v>
      </c>
      <c r="T24" s="6">
        <v>11623.905826</v>
      </c>
      <c r="U24" s="6">
        <v>10395.851436000001</v>
      </c>
      <c r="V24" s="6">
        <v>9367.1929650000002</v>
      </c>
    </row>
    <row r="25" spans="1:22" x14ac:dyDescent="0.35">
      <c r="A25" s="5">
        <v>46022</v>
      </c>
      <c r="B25" s="4" t="s">
        <v>87</v>
      </c>
      <c r="C25" s="4" t="s">
        <v>88</v>
      </c>
      <c r="D25" s="4" t="s">
        <v>89</v>
      </c>
      <c r="E25" s="6">
        <v>277.34097500000001</v>
      </c>
      <c r="F25" s="6">
        <v>95.846587</v>
      </c>
      <c r="G25" s="6">
        <v>181.49438699999999</v>
      </c>
      <c r="H25" s="6">
        <v>0</v>
      </c>
      <c r="I25" s="6">
        <v>178.10409899999999</v>
      </c>
      <c r="J25" s="6">
        <v>1.518248</v>
      </c>
      <c r="K25" s="6">
        <v>3.6203829999999999</v>
      </c>
      <c r="L25" s="6">
        <v>19.442060000000001</v>
      </c>
      <c r="M25" s="6">
        <v>0</v>
      </c>
      <c r="N25" s="6">
        <v>-21.190403</v>
      </c>
      <c r="O25" s="6">
        <v>0</v>
      </c>
      <c r="P25" s="6">
        <v>-21.190403</v>
      </c>
      <c r="Q25" s="7">
        <v>26.5</v>
      </c>
      <c r="R25" s="6">
        <v>34.284973999999998</v>
      </c>
      <c r="S25" s="6">
        <v>-50.294263000000001</v>
      </c>
      <c r="T25" s="6">
        <v>-49.315286</v>
      </c>
      <c r="U25" s="6">
        <v>-48.195498999999998</v>
      </c>
      <c r="V25" s="6">
        <v>-46.988275999999999</v>
      </c>
    </row>
    <row r="26" spans="1:22" x14ac:dyDescent="0.35">
      <c r="A26" s="5">
        <v>46022</v>
      </c>
      <c r="B26" s="4" t="s">
        <v>90</v>
      </c>
      <c r="C26" s="4" t="s">
        <v>91</v>
      </c>
      <c r="D26" s="4" t="s">
        <v>62</v>
      </c>
      <c r="E26" s="6">
        <v>1373.7575240000001</v>
      </c>
      <c r="F26" s="6">
        <v>27.887459</v>
      </c>
      <c r="G26" s="6">
        <v>1345.870066</v>
      </c>
      <c r="H26" s="6">
        <v>96.646130999999997</v>
      </c>
      <c r="I26" s="6">
        <v>123.163393</v>
      </c>
      <c r="J26" s="6">
        <v>27.480634999999999</v>
      </c>
      <c r="K26" s="6">
        <v>-4.5081000000000003E-2</v>
      </c>
      <c r="L26" s="6">
        <v>12.316343</v>
      </c>
      <c r="M26" s="6">
        <v>0</v>
      </c>
      <c r="N26" s="6">
        <v>1086.3086450000001</v>
      </c>
      <c r="O26" s="6">
        <v>362.992435</v>
      </c>
      <c r="P26" s="6">
        <v>723.31620999999996</v>
      </c>
      <c r="Q26" s="7">
        <v>35</v>
      </c>
      <c r="R26" s="6">
        <v>61.458663999999999</v>
      </c>
      <c r="S26" s="6">
        <v>4387.0117369999998</v>
      </c>
      <c r="T26" s="6">
        <v>4054.407385</v>
      </c>
      <c r="U26" s="6">
        <v>3759.7021669999999</v>
      </c>
      <c r="V26" s="6">
        <v>3497.5825690000001</v>
      </c>
    </row>
    <row r="27" spans="1:22" x14ac:dyDescent="0.35">
      <c r="A27" s="5">
        <v>46022</v>
      </c>
      <c r="B27" s="4" t="s">
        <v>92</v>
      </c>
      <c r="C27" s="4" t="s">
        <v>93</v>
      </c>
      <c r="D27" s="4" t="s">
        <v>94</v>
      </c>
      <c r="E27" s="6">
        <v>359.52989200000002</v>
      </c>
      <c r="F27" s="6">
        <v>35.907077999999998</v>
      </c>
      <c r="G27" s="6">
        <v>323.62281400000001</v>
      </c>
      <c r="H27" s="6">
        <v>13.606832000000001</v>
      </c>
      <c r="I27" s="6">
        <v>262.07164</v>
      </c>
      <c r="J27" s="6">
        <v>6.6430910000000001</v>
      </c>
      <c r="K27" s="6">
        <v>-2.447282</v>
      </c>
      <c r="L27" s="6">
        <v>54.141694999999999</v>
      </c>
      <c r="M27" s="6">
        <v>0</v>
      </c>
      <c r="N27" s="6">
        <v>-10.393162</v>
      </c>
      <c r="O27" s="6">
        <v>0</v>
      </c>
      <c r="P27" s="6">
        <v>-10.393162</v>
      </c>
      <c r="Q27" s="7">
        <v>24.72</v>
      </c>
      <c r="R27" s="6">
        <v>56.620581999999999</v>
      </c>
      <c r="S27" s="6">
        <v>-81.842534999999998</v>
      </c>
      <c r="T27" s="6">
        <v>-75.289433000000002</v>
      </c>
      <c r="U27" s="6">
        <v>-69.504925</v>
      </c>
      <c r="V27" s="6">
        <v>-64.378879999999995</v>
      </c>
    </row>
    <row r="28" spans="1:22" x14ac:dyDescent="0.35">
      <c r="A28" s="5">
        <v>46022</v>
      </c>
      <c r="B28" s="4" t="s">
        <v>95</v>
      </c>
      <c r="C28" s="4" t="s">
        <v>96</v>
      </c>
      <c r="D28" s="4" t="s">
        <v>89</v>
      </c>
      <c r="E28" s="6">
        <v>1561.407234</v>
      </c>
      <c r="F28" s="6">
        <v>216.250156</v>
      </c>
      <c r="G28" s="6">
        <v>1345.157078</v>
      </c>
      <c r="H28" s="6">
        <v>0</v>
      </c>
      <c r="I28" s="6">
        <v>846.18307100000004</v>
      </c>
      <c r="J28" s="6">
        <v>20.784407000000002</v>
      </c>
      <c r="K28" s="6">
        <v>36.684888999999998</v>
      </c>
      <c r="L28" s="6">
        <v>161.43071499999999</v>
      </c>
      <c r="M28" s="6">
        <v>0</v>
      </c>
      <c r="N28" s="6">
        <v>280.07399600000002</v>
      </c>
      <c r="O28" s="6">
        <v>76.968823</v>
      </c>
      <c r="P28" s="6">
        <v>203.10517300000001</v>
      </c>
      <c r="Q28" s="7">
        <v>26.5</v>
      </c>
      <c r="R28" s="6">
        <v>187.74121099999999</v>
      </c>
      <c r="S28" s="6">
        <v>2369.210337</v>
      </c>
      <c r="T28" s="6">
        <v>2041.3699469999999</v>
      </c>
      <c r="U28" s="6">
        <v>1781.12033</v>
      </c>
      <c r="V28" s="6">
        <v>1571.6869799999999</v>
      </c>
    </row>
    <row r="29" spans="1:22" x14ac:dyDescent="0.35">
      <c r="A29" s="5">
        <v>46022</v>
      </c>
      <c r="B29" s="4" t="s">
        <v>97</v>
      </c>
      <c r="C29" s="4" t="s">
        <v>98</v>
      </c>
      <c r="D29" s="4" t="s">
        <v>99</v>
      </c>
      <c r="E29" s="6">
        <v>420.165797</v>
      </c>
      <c r="F29" s="6">
        <v>76.793470999999997</v>
      </c>
      <c r="G29" s="6">
        <v>343.37232599999999</v>
      </c>
      <c r="H29" s="6">
        <v>23.109151000000001</v>
      </c>
      <c r="I29" s="6">
        <v>125.95162500000001</v>
      </c>
      <c r="J29" s="6">
        <v>1.5</v>
      </c>
      <c r="K29" s="6">
        <v>21.163851000000001</v>
      </c>
      <c r="L29" s="6">
        <v>18.892745000000001</v>
      </c>
      <c r="M29" s="6">
        <v>0</v>
      </c>
      <c r="N29" s="6">
        <v>152.754954</v>
      </c>
      <c r="O29" s="6">
        <v>50.474693000000002</v>
      </c>
      <c r="P29" s="6">
        <v>102.280261</v>
      </c>
      <c r="Q29" s="7">
        <v>34</v>
      </c>
      <c r="R29" s="6">
        <v>44.356569999999998</v>
      </c>
      <c r="S29" s="6">
        <v>1157.9724180000001</v>
      </c>
      <c r="T29" s="6">
        <v>1025.079958</v>
      </c>
      <c r="U29" s="6">
        <v>914.74844800000005</v>
      </c>
      <c r="V29" s="6">
        <v>822.35062200000004</v>
      </c>
    </row>
    <row r="30" spans="1:22" x14ac:dyDescent="0.35">
      <c r="A30" s="5">
        <v>46022</v>
      </c>
      <c r="B30" s="4" t="s">
        <v>100</v>
      </c>
      <c r="C30" s="4" t="s">
        <v>101</v>
      </c>
      <c r="D30" s="4" t="s">
        <v>89</v>
      </c>
      <c r="E30" s="6">
        <v>268.049848</v>
      </c>
      <c r="F30" s="6">
        <v>45.054535000000001</v>
      </c>
      <c r="G30" s="6">
        <v>222.99531300000001</v>
      </c>
      <c r="H30" s="6">
        <v>0</v>
      </c>
      <c r="I30" s="6">
        <v>231.022333</v>
      </c>
      <c r="J30" s="6">
        <v>1.0373760000000001</v>
      </c>
      <c r="K30" s="6">
        <v>-0.16750899999999999</v>
      </c>
      <c r="L30" s="6">
        <v>41.534218000000003</v>
      </c>
      <c r="M30" s="6">
        <v>200</v>
      </c>
      <c r="N30" s="6">
        <v>-250.431105</v>
      </c>
      <c r="O30" s="6">
        <v>0</v>
      </c>
      <c r="P30" s="6">
        <v>-250.431105</v>
      </c>
      <c r="Q30" s="7">
        <v>26.3</v>
      </c>
      <c r="R30" s="6">
        <v>110.48586299999999</v>
      </c>
      <c r="S30" s="6">
        <v>147.24093500000001</v>
      </c>
      <c r="T30" s="6">
        <v>82.792170999999996</v>
      </c>
      <c r="U30" s="6">
        <v>31.089046</v>
      </c>
      <c r="V30" s="6">
        <v>-10.578538</v>
      </c>
    </row>
    <row r="31" spans="1:22" x14ac:dyDescent="0.35">
      <c r="A31" s="5">
        <v>46022</v>
      </c>
      <c r="B31" s="4" t="s">
        <v>102</v>
      </c>
      <c r="C31" s="4" t="s">
        <v>103</v>
      </c>
      <c r="D31" s="4" t="s">
        <v>104</v>
      </c>
      <c r="E31" s="6">
        <v>651.41373399999998</v>
      </c>
      <c r="F31" s="6">
        <v>237.90175500000001</v>
      </c>
      <c r="G31" s="6">
        <v>413.511979</v>
      </c>
      <c r="H31" s="6">
        <v>32.570708000000003</v>
      </c>
      <c r="I31" s="6">
        <v>23.198484000000001</v>
      </c>
      <c r="J31" s="6">
        <v>1.1003700000000001</v>
      </c>
      <c r="K31" s="6">
        <v>38.368862</v>
      </c>
      <c r="L31" s="6">
        <v>2.5</v>
      </c>
      <c r="M31" s="6">
        <v>10.000000999999999</v>
      </c>
      <c r="N31" s="6">
        <v>305.77355599999999</v>
      </c>
      <c r="O31" s="6">
        <v>0</v>
      </c>
      <c r="P31" s="6">
        <v>305.77355599999999</v>
      </c>
      <c r="Q31" s="7">
        <v>0</v>
      </c>
      <c r="R31" s="6">
        <v>3.285272</v>
      </c>
      <c r="S31" s="6">
        <v>3517.6745310000001</v>
      </c>
      <c r="T31" s="6">
        <v>3007.2424470000001</v>
      </c>
      <c r="U31" s="6">
        <v>2609.3484830000002</v>
      </c>
      <c r="V31" s="6">
        <v>2293.9194379999999</v>
      </c>
    </row>
    <row r="32" spans="1:22" x14ac:dyDescent="0.35">
      <c r="A32" s="5">
        <v>46022</v>
      </c>
      <c r="B32" s="4" t="s">
        <v>105</v>
      </c>
      <c r="C32" s="4" t="s">
        <v>106</v>
      </c>
      <c r="D32" s="4" t="s">
        <v>62</v>
      </c>
      <c r="E32" s="6">
        <v>579.03136700000005</v>
      </c>
      <c r="F32" s="6">
        <v>91.050171000000006</v>
      </c>
      <c r="G32" s="6">
        <v>487.98119600000001</v>
      </c>
      <c r="H32" s="6">
        <v>62.706558999999999</v>
      </c>
      <c r="I32" s="6">
        <v>174.010751</v>
      </c>
      <c r="J32" s="6">
        <v>1.2384790000000001</v>
      </c>
      <c r="K32" s="6">
        <v>13.712875</v>
      </c>
      <c r="L32" s="6">
        <v>54.618501000000002</v>
      </c>
      <c r="M32" s="6">
        <v>0</v>
      </c>
      <c r="N32" s="6">
        <v>181.69403</v>
      </c>
      <c r="O32" s="6">
        <v>41.975987000000003</v>
      </c>
      <c r="P32" s="6">
        <v>139.71804399999999</v>
      </c>
      <c r="Q32" s="7">
        <v>30</v>
      </c>
      <c r="R32" s="6">
        <v>110.105451</v>
      </c>
      <c r="S32" s="6">
        <v>663.71887200000003</v>
      </c>
      <c r="T32" s="6">
        <v>625.92734700000005</v>
      </c>
      <c r="U32" s="6">
        <v>591.43384900000001</v>
      </c>
      <c r="V32" s="6">
        <v>559.875497</v>
      </c>
    </row>
    <row r="33" spans="1:22" x14ac:dyDescent="0.35">
      <c r="A33" s="5">
        <v>46022</v>
      </c>
      <c r="B33" s="4" t="s">
        <v>107</v>
      </c>
      <c r="C33" s="4" t="s">
        <v>108</v>
      </c>
      <c r="D33" s="4" t="s">
        <v>109</v>
      </c>
      <c r="E33" s="6">
        <v>50.932510000000001</v>
      </c>
      <c r="F33" s="6">
        <v>10.93324</v>
      </c>
      <c r="G33" s="6">
        <v>39.999270000000003</v>
      </c>
      <c r="H33" s="6">
        <v>3.2392590000000001</v>
      </c>
      <c r="I33" s="6">
        <v>27.963559</v>
      </c>
      <c r="J33" s="6">
        <v>2.0005700000000002</v>
      </c>
      <c r="K33" s="6">
        <v>5.1754699999999998</v>
      </c>
      <c r="L33" s="6">
        <v>6.4049990000000001</v>
      </c>
      <c r="M33" s="6">
        <v>1.9999990000000001</v>
      </c>
      <c r="N33" s="6">
        <v>-6.7845870000000001</v>
      </c>
      <c r="O33" s="6">
        <v>0</v>
      </c>
      <c r="P33" s="6">
        <v>-6.7845870000000001</v>
      </c>
      <c r="Q33" s="7">
        <v>50</v>
      </c>
      <c r="R33" s="6">
        <v>17.666789000000001</v>
      </c>
      <c r="S33" s="6">
        <v>-203.90649500000001</v>
      </c>
      <c r="T33" s="6">
        <v>-189.61282</v>
      </c>
      <c r="U33" s="6">
        <v>-176.68725499999999</v>
      </c>
      <c r="V33" s="6">
        <v>-164.971239</v>
      </c>
    </row>
    <row r="34" spans="1:22" x14ac:dyDescent="0.35">
      <c r="A34" s="5">
        <v>46022</v>
      </c>
      <c r="B34" s="4" t="s">
        <v>110</v>
      </c>
      <c r="C34" s="4" t="s">
        <v>111</v>
      </c>
      <c r="D34" s="4" t="s">
        <v>54</v>
      </c>
      <c r="E34" s="6">
        <v>66.011842000000001</v>
      </c>
      <c r="F34" s="6">
        <v>16.149729000000001</v>
      </c>
      <c r="G34" s="6">
        <v>49.862113000000001</v>
      </c>
      <c r="H34" s="6">
        <v>3.3005789999999999</v>
      </c>
      <c r="I34" s="6">
        <v>21.226929999999999</v>
      </c>
      <c r="J34" s="6">
        <v>4.6010689999999999</v>
      </c>
      <c r="K34" s="6">
        <v>1.1038969999999999</v>
      </c>
      <c r="L34" s="6">
        <v>4.8</v>
      </c>
      <c r="M34" s="6">
        <v>0</v>
      </c>
      <c r="N34" s="6">
        <v>14.829639</v>
      </c>
      <c r="O34" s="6">
        <v>0</v>
      </c>
      <c r="P34" s="6">
        <v>14.829639</v>
      </c>
      <c r="Q34" s="7">
        <v>35</v>
      </c>
      <c r="R34" s="6">
        <v>23.282126999999999</v>
      </c>
      <c r="S34" s="6">
        <v>91.495197000000005</v>
      </c>
      <c r="T34" s="6">
        <v>85.837744000000001</v>
      </c>
      <c r="U34" s="6">
        <v>80.697924</v>
      </c>
      <c r="V34" s="6">
        <v>76.016963000000004</v>
      </c>
    </row>
    <row r="35" spans="1:22" x14ac:dyDescent="0.35">
      <c r="A35" s="5">
        <v>46022</v>
      </c>
      <c r="B35" s="4" t="s">
        <v>112</v>
      </c>
      <c r="C35" s="4" t="s">
        <v>113</v>
      </c>
      <c r="D35" s="4" t="s">
        <v>62</v>
      </c>
      <c r="E35" s="6">
        <v>439.05278199999998</v>
      </c>
      <c r="F35" s="6">
        <v>71.653504999999996</v>
      </c>
      <c r="G35" s="6">
        <v>367.39927699999998</v>
      </c>
      <c r="H35" s="6">
        <v>44.863416999999998</v>
      </c>
      <c r="I35" s="6">
        <v>125.608127</v>
      </c>
      <c r="J35" s="6">
        <v>7.7</v>
      </c>
      <c r="K35" s="6">
        <v>18.016862</v>
      </c>
      <c r="L35" s="6">
        <v>8</v>
      </c>
      <c r="M35" s="6">
        <v>0</v>
      </c>
      <c r="N35" s="6">
        <v>163.21087</v>
      </c>
      <c r="O35" s="6">
        <v>49.943565</v>
      </c>
      <c r="P35" s="6">
        <v>113.26730499999999</v>
      </c>
      <c r="Q35" s="7">
        <v>35</v>
      </c>
      <c r="R35" s="6">
        <v>46.531832000000001</v>
      </c>
      <c r="S35" s="6">
        <v>1186.1916799999999</v>
      </c>
      <c r="T35" s="6">
        <v>1048.6104290000001</v>
      </c>
      <c r="U35" s="6">
        <v>934.69497100000001</v>
      </c>
      <c r="V35" s="6">
        <v>839.52185099999997</v>
      </c>
    </row>
    <row r="36" spans="1:22" x14ac:dyDescent="0.35">
      <c r="A36" s="5">
        <v>46022</v>
      </c>
      <c r="B36" s="4" t="s">
        <v>114</v>
      </c>
      <c r="C36" s="4" t="s">
        <v>115</v>
      </c>
      <c r="D36" s="4" t="s">
        <v>54</v>
      </c>
      <c r="E36" s="6">
        <v>86.912203000000005</v>
      </c>
      <c r="F36" s="6">
        <v>6.0451319999999997</v>
      </c>
      <c r="G36" s="6">
        <v>80.867070999999996</v>
      </c>
      <c r="H36" s="6">
        <v>8.6912929999999999</v>
      </c>
      <c r="I36" s="6">
        <v>130.52141499999999</v>
      </c>
      <c r="J36" s="6">
        <v>1.3629530000000001</v>
      </c>
      <c r="K36" s="6">
        <v>3.1151300000000002</v>
      </c>
      <c r="L36" s="6">
        <v>4.0169300000000003</v>
      </c>
      <c r="M36" s="6">
        <v>0</v>
      </c>
      <c r="N36" s="6">
        <v>-66.840648999999999</v>
      </c>
      <c r="O36" s="6">
        <v>0</v>
      </c>
      <c r="P36" s="6">
        <v>-66.840648999999999</v>
      </c>
      <c r="Q36" s="7">
        <v>35</v>
      </c>
      <c r="R36" s="6">
        <v>4.924353</v>
      </c>
      <c r="S36" s="6">
        <v>-457.17895800000002</v>
      </c>
      <c r="T36" s="6">
        <v>-391.15255300000001</v>
      </c>
      <c r="U36" s="6">
        <v>-340.38237500000002</v>
      </c>
      <c r="V36" s="6">
        <v>-300.57791900000001</v>
      </c>
    </row>
    <row r="37" spans="1:22" x14ac:dyDescent="0.35">
      <c r="A37" s="5">
        <v>46022</v>
      </c>
      <c r="B37" s="4" t="s">
        <v>116</v>
      </c>
      <c r="C37" s="4" t="s">
        <v>117</v>
      </c>
      <c r="D37" s="4" t="s">
        <v>118</v>
      </c>
      <c r="E37" s="6">
        <v>12973.500700000001</v>
      </c>
      <c r="F37" s="6">
        <v>1293.268118</v>
      </c>
      <c r="G37" s="6">
        <v>11680.232582000001</v>
      </c>
      <c r="H37" s="6">
        <v>869.69808799999998</v>
      </c>
      <c r="I37" s="6">
        <v>2470.789186</v>
      </c>
      <c r="J37" s="6">
        <v>687.49037099999998</v>
      </c>
      <c r="K37" s="6">
        <v>-218.41431299999999</v>
      </c>
      <c r="L37" s="6">
        <v>921.09934399999997</v>
      </c>
      <c r="M37" s="6">
        <v>0</v>
      </c>
      <c r="N37" s="6">
        <v>6949.5699070000001</v>
      </c>
      <c r="O37" s="6">
        <v>1348.635143</v>
      </c>
      <c r="P37" s="6">
        <v>5600.9347639999996</v>
      </c>
      <c r="Q37" s="7">
        <v>20</v>
      </c>
      <c r="R37" s="6">
        <v>909.07922299999996</v>
      </c>
      <c r="S37" s="6">
        <v>45629.862123999999</v>
      </c>
      <c r="T37" s="6">
        <v>40529.839362999999</v>
      </c>
      <c r="U37" s="6">
        <v>36295.332324000003</v>
      </c>
      <c r="V37" s="6">
        <v>32747.614527000002</v>
      </c>
    </row>
    <row r="38" spans="1:22" x14ac:dyDescent="0.35">
      <c r="A38" s="5">
        <v>46022</v>
      </c>
      <c r="B38" s="4" t="s">
        <v>119</v>
      </c>
      <c r="C38" s="4" t="s">
        <v>120</v>
      </c>
      <c r="D38" s="4" t="s">
        <v>89</v>
      </c>
      <c r="E38" s="6">
        <v>800.76637200000005</v>
      </c>
      <c r="F38" s="6">
        <v>138.97121100000001</v>
      </c>
      <c r="G38" s="6">
        <v>661.79516100000001</v>
      </c>
      <c r="H38" s="6">
        <v>31.842670999999999</v>
      </c>
      <c r="I38" s="6">
        <v>439.06412899999998</v>
      </c>
      <c r="J38" s="6">
        <v>2.1621069999999998</v>
      </c>
      <c r="K38" s="6">
        <v>-13.231147999999999</v>
      </c>
      <c r="L38" s="6">
        <v>45.440106</v>
      </c>
      <c r="M38" s="6">
        <v>0</v>
      </c>
      <c r="N38" s="6">
        <v>156.51729599999999</v>
      </c>
      <c r="O38" s="6">
        <v>4.2697919999999998</v>
      </c>
      <c r="P38" s="6">
        <v>152.24750299999999</v>
      </c>
      <c r="Q38" s="7">
        <v>26.3</v>
      </c>
      <c r="R38" s="6">
        <v>172.49130199999999</v>
      </c>
      <c r="S38" s="6">
        <v>605.79816300000005</v>
      </c>
      <c r="T38" s="6">
        <v>559.16337999999996</v>
      </c>
      <c r="U38" s="6">
        <v>518.28038900000001</v>
      </c>
      <c r="V38" s="6">
        <v>482.27167700000001</v>
      </c>
    </row>
    <row r="39" spans="1:22" x14ac:dyDescent="0.35">
      <c r="A39" s="5">
        <v>46022</v>
      </c>
      <c r="B39" s="4" t="s">
        <v>121</v>
      </c>
      <c r="C39" s="4" t="s">
        <v>122</v>
      </c>
      <c r="D39" s="4" t="s">
        <v>123</v>
      </c>
      <c r="E39" s="6">
        <v>593.93245000000002</v>
      </c>
      <c r="F39" s="6">
        <v>166.258544</v>
      </c>
      <c r="G39" s="6">
        <v>427.67390699999999</v>
      </c>
      <c r="H39" s="6">
        <v>10.393791999999999</v>
      </c>
      <c r="I39" s="6">
        <v>260.58749799999998</v>
      </c>
      <c r="J39" s="6">
        <v>18.658697</v>
      </c>
      <c r="K39" s="6">
        <v>3.8017789999999998</v>
      </c>
      <c r="L39" s="6">
        <v>7.8000020000000001</v>
      </c>
      <c r="M39" s="6">
        <v>0</v>
      </c>
      <c r="N39" s="6">
        <v>126.43213900000001</v>
      </c>
      <c r="O39" s="6">
        <v>15.604348999999999</v>
      </c>
      <c r="P39" s="6">
        <v>110.82778999999999</v>
      </c>
      <c r="Q39" s="7">
        <v>30</v>
      </c>
      <c r="R39" s="6">
        <v>86.019423000000003</v>
      </c>
      <c r="S39" s="6">
        <v>858.24320899999998</v>
      </c>
      <c r="T39" s="6">
        <v>763.24742400000002</v>
      </c>
      <c r="U39" s="6">
        <v>684.28070700000001</v>
      </c>
      <c r="V39" s="6">
        <v>618.04830900000002</v>
      </c>
    </row>
    <row r="40" spans="1:22" x14ac:dyDescent="0.35">
      <c r="A40" s="5">
        <v>46022</v>
      </c>
      <c r="B40" s="4" t="s">
        <v>124</v>
      </c>
      <c r="C40" s="4" t="s">
        <v>125</v>
      </c>
      <c r="D40" s="4" t="s">
        <v>62</v>
      </c>
      <c r="E40" s="6">
        <v>282.61290200000002</v>
      </c>
      <c r="F40" s="6">
        <v>14.329219999999999</v>
      </c>
      <c r="G40" s="6">
        <v>268.283681</v>
      </c>
      <c r="H40" s="6">
        <v>18.859946000000001</v>
      </c>
      <c r="I40" s="6">
        <v>103.55016500000001</v>
      </c>
      <c r="J40" s="6">
        <v>6.4999989999999999</v>
      </c>
      <c r="K40" s="6">
        <v>-0.75034800000000001</v>
      </c>
      <c r="L40" s="6">
        <v>1.1000000000000001</v>
      </c>
      <c r="M40" s="6">
        <v>0</v>
      </c>
      <c r="N40" s="6">
        <v>139.02392</v>
      </c>
      <c r="O40" s="6">
        <v>40.630318000000003</v>
      </c>
      <c r="P40" s="6">
        <v>98.393602000000001</v>
      </c>
      <c r="Q40" s="7">
        <v>35</v>
      </c>
      <c r="R40" s="6">
        <v>23.286947999999999</v>
      </c>
      <c r="S40" s="6">
        <v>495.20372900000001</v>
      </c>
      <c r="T40" s="6">
        <v>462.52869800000002</v>
      </c>
      <c r="U40" s="6">
        <v>433.12614500000001</v>
      </c>
      <c r="V40" s="6">
        <v>406.59022599999997</v>
      </c>
    </row>
    <row r="41" spans="1:22" x14ac:dyDescent="0.35">
      <c r="A41" s="5">
        <v>46022</v>
      </c>
      <c r="B41" s="4" t="s">
        <v>126</v>
      </c>
      <c r="C41" s="4" t="s">
        <v>127</v>
      </c>
      <c r="D41" s="4" t="s">
        <v>84</v>
      </c>
      <c r="E41" s="6">
        <v>659.75013200000001</v>
      </c>
      <c r="F41" s="6">
        <v>85.931319000000002</v>
      </c>
      <c r="G41" s="6">
        <v>573.81881299999998</v>
      </c>
      <c r="H41" s="6">
        <v>0</v>
      </c>
      <c r="I41" s="6">
        <v>448.86503299999998</v>
      </c>
      <c r="J41" s="6">
        <v>25.839676000000001</v>
      </c>
      <c r="K41" s="6">
        <v>-50.066937000000003</v>
      </c>
      <c r="L41" s="6">
        <v>75.978255000000004</v>
      </c>
      <c r="M41" s="6">
        <v>0</v>
      </c>
      <c r="N41" s="6">
        <v>73.202783999999994</v>
      </c>
      <c r="O41" s="6">
        <v>0</v>
      </c>
      <c r="P41" s="6">
        <v>73.202783999999994</v>
      </c>
      <c r="Q41" s="7">
        <v>20</v>
      </c>
      <c r="R41" s="6">
        <v>122.730766</v>
      </c>
      <c r="S41" s="6">
        <v>250.691079</v>
      </c>
      <c r="T41" s="6">
        <v>226.15006199999999</v>
      </c>
      <c r="U41" s="6">
        <v>205.73857599999999</v>
      </c>
      <c r="V41" s="6">
        <v>188.600076</v>
      </c>
    </row>
    <row r="42" spans="1:22" x14ac:dyDescent="0.35">
      <c r="A42" s="5">
        <v>46022</v>
      </c>
      <c r="B42" s="4" t="s">
        <v>128</v>
      </c>
      <c r="C42" s="4" t="s">
        <v>129</v>
      </c>
      <c r="D42" s="4" t="s">
        <v>89</v>
      </c>
      <c r="E42" s="6">
        <v>571.87619299999994</v>
      </c>
      <c r="F42" s="6">
        <v>102.612347</v>
      </c>
      <c r="G42" s="6">
        <v>469.263846</v>
      </c>
      <c r="H42" s="6">
        <v>16.012685999999999</v>
      </c>
      <c r="I42" s="6">
        <v>675.63562100000001</v>
      </c>
      <c r="J42" s="6">
        <v>10.317053</v>
      </c>
      <c r="K42" s="6">
        <v>11.260429999999999</v>
      </c>
      <c r="L42" s="6">
        <v>42.155144</v>
      </c>
      <c r="M42" s="6">
        <v>52</v>
      </c>
      <c r="N42" s="6">
        <v>-338.11708800000002</v>
      </c>
      <c r="O42" s="6">
        <v>0</v>
      </c>
      <c r="P42" s="6">
        <v>-338.11708800000002</v>
      </c>
      <c r="Q42" s="7">
        <v>26.5</v>
      </c>
      <c r="R42" s="6">
        <v>324.14299699999998</v>
      </c>
      <c r="S42" s="6">
        <v>-2607.5667779999999</v>
      </c>
      <c r="T42" s="6">
        <v>-2362.5077460000002</v>
      </c>
      <c r="U42" s="6">
        <v>-2150.8092240000001</v>
      </c>
      <c r="V42" s="6">
        <v>-1966.9915659999999</v>
      </c>
    </row>
    <row r="43" spans="1:22" x14ac:dyDescent="0.35">
      <c r="A43" s="5">
        <v>46022</v>
      </c>
      <c r="B43" s="4" t="s">
        <v>130</v>
      </c>
      <c r="C43" s="4" t="s">
        <v>131</v>
      </c>
      <c r="D43" s="4" t="s">
        <v>94</v>
      </c>
      <c r="E43" s="6">
        <v>931.56297400000005</v>
      </c>
      <c r="F43" s="6">
        <v>109.743002</v>
      </c>
      <c r="G43" s="6">
        <v>821.81997100000001</v>
      </c>
      <c r="H43" s="6">
        <v>30.642797000000002</v>
      </c>
      <c r="I43" s="6">
        <v>453.97171800000001</v>
      </c>
      <c r="J43" s="6">
        <v>45.634579000000002</v>
      </c>
      <c r="K43" s="6">
        <v>23.047618</v>
      </c>
      <c r="L43" s="6">
        <v>122.497575</v>
      </c>
      <c r="M43" s="6">
        <v>99.999998000000005</v>
      </c>
      <c r="N43" s="6">
        <v>46.025686</v>
      </c>
      <c r="O43" s="6">
        <v>27.277087999999999</v>
      </c>
      <c r="P43" s="6">
        <v>18.748598999999999</v>
      </c>
      <c r="Q43" s="7">
        <v>25</v>
      </c>
      <c r="R43" s="6">
        <v>182.46252799999999</v>
      </c>
      <c r="S43" s="6">
        <v>1306.010933</v>
      </c>
      <c r="T43" s="6">
        <v>1108.7061409999999</v>
      </c>
      <c r="U43" s="6">
        <v>954.23820699999999</v>
      </c>
      <c r="V43" s="6">
        <v>831.40682100000004</v>
      </c>
    </row>
    <row r="44" spans="1:22" x14ac:dyDescent="0.35">
      <c r="A44" s="5">
        <v>46022</v>
      </c>
      <c r="B44" s="4" t="s">
        <v>132</v>
      </c>
      <c r="C44" s="4" t="s">
        <v>133</v>
      </c>
      <c r="D44" s="4" t="s">
        <v>57</v>
      </c>
      <c r="E44" s="6">
        <v>150.065946</v>
      </c>
      <c r="F44" s="6">
        <v>36.323438000000003</v>
      </c>
      <c r="G44" s="6">
        <v>113.742508</v>
      </c>
      <c r="H44" s="6">
        <v>9.0039909999999992</v>
      </c>
      <c r="I44" s="6">
        <v>46.796804999999999</v>
      </c>
      <c r="J44" s="6">
        <v>5.4834630000000004</v>
      </c>
      <c r="K44" s="6">
        <v>1.6712340000000001</v>
      </c>
      <c r="L44" s="6">
        <v>1.622533</v>
      </c>
      <c r="M44" s="6">
        <v>0</v>
      </c>
      <c r="N44" s="6">
        <v>49.164482</v>
      </c>
      <c r="O44" s="6">
        <v>6.9438930000000001</v>
      </c>
      <c r="P44" s="6">
        <v>42.220587999999999</v>
      </c>
      <c r="Q44" s="7">
        <v>15</v>
      </c>
      <c r="R44" s="6">
        <v>6.1656259999999996</v>
      </c>
      <c r="S44" s="6">
        <v>355.26693899999998</v>
      </c>
      <c r="T44" s="6">
        <v>316.72362500000003</v>
      </c>
      <c r="U44" s="6">
        <v>284.48176100000001</v>
      </c>
      <c r="V44" s="6">
        <v>257.28963099999999</v>
      </c>
    </row>
    <row r="45" spans="1:22" x14ac:dyDescent="0.35">
      <c r="A45" s="5">
        <v>46022</v>
      </c>
      <c r="B45" s="4" t="s">
        <v>134</v>
      </c>
      <c r="C45" s="4" t="s">
        <v>135</v>
      </c>
      <c r="D45" s="4" t="s">
        <v>136</v>
      </c>
      <c r="E45" s="6">
        <v>636.49511500000006</v>
      </c>
      <c r="F45" s="6">
        <v>33.227207</v>
      </c>
      <c r="G45" s="6">
        <v>603.26790800000003</v>
      </c>
      <c r="H45" s="6">
        <v>16.546977999999999</v>
      </c>
      <c r="I45" s="6">
        <v>582.51837899999998</v>
      </c>
      <c r="J45" s="6">
        <v>3.6239949999999999</v>
      </c>
      <c r="K45" s="6">
        <v>-8.5284390000000005</v>
      </c>
      <c r="L45" s="6">
        <v>26.786273000000001</v>
      </c>
      <c r="M45" s="6">
        <v>0</v>
      </c>
      <c r="N45" s="6">
        <v>-17.679276999999999</v>
      </c>
      <c r="O45" s="6">
        <v>0</v>
      </c>
      <c r="P45" s="6">
        <v>-17.679276999999999</v>
      </c>
      <c r="Q45" s="7">
        <v>30</v>
      </c>
      <c r="R45" s="6">
        <v>45.111846999999997</v>
      </c>
      <c r="S45" s="6">
        <v>378.25216999999998</v>
      </c>
      <c r="T45" s="6">
        <v>280.64890100000002</v>
      </c>
      <c r="U45" s="6">
        <v>211.15465499999999</v>
      </c>
      <c r="V45" s="6">
        <v>160.86180100000001</v>
      </c>
    </row>
    <row r="46" spans="1:22" x14ac:dyDescent="0.35">
      <c r="A46" s="5">
        <v>46022</v>
      </c>
      <c r="B46" s="4" t="s">
        <v>137</v>
      </c>
      <c r="C46" s="4" t="s">
        <v>138</v>
      </c>
      <c r="D46" s="4" t="s">
        <v>139</v>
      </c>
      <c r="E46" s="6">
        <v>415.28477800000002</v>
      </c>
      <c r="F46" s="6">
        <v>133.84002799999999</v>
      </c>
      <c r="G46" s="6">
        <v>281.44475</v>
      </c>
      <c r="H46" s="6">
        <v>0</v>
      </c>
      <c r="I46" s="6">
        <v>156.32144</v>
      </c>
      <c r="J46" s="6">
        <v>5.7796459999999996</v>
      </c>
      <c r="K46" s="6">
        <v>-18.247897999999999</v>
      </c>
      <c r="L46" s="6">
        <v>19.265488000000001</v>
      </c>
      <c r="M46" s="6">
        <v>0</v>
      </c>
      <c r="N46" s="6">
        <v>118.32607400000001</v>
      </c>
      <c r="O46" s="6">
        <v>24.648382000000002</v>
      </c>
      <c r="P46" s="6">
        <v>93.677691999999993</v>
      </c>
      <c r="Q46" s="7">
        <v>30</v>
      </c>
      <c r="R46" s="6">
        <v>37.182392</v>
      </c>
      <c r="S46" s="6">
        <v>363.751237</v>
      </c>
      <c r="T46" s="6">
        <v>344.99284399999999</v>
      </c>
      <c r="U46" s="6">
        <v>327.73317700000001</v>
      </c>
      <c r="V46" s="6">
        <v>311.82049799999999</v>
      </c>
    </row>
    <row r="47" spans="1:22" x14ac:dyDescent="0.35">
      <c r="A47" s="5">
        <v>46022</v>
      </c>
      <c r="B47" s="4" t="s">
        <v>140</v>
      </c>
      <c r="C47" s="4" t="s">
        <v>141</v>
      </c>
      <c r="D47" s="4" t="s">
        <v>57</v>
      </c>
      <c r="E47" s="6">
        <v>143.792968</v>
      </c>
      <c r="F47" s="6">
        <v>11.513012</v>
      </c>
      <c r="G47" s="6">
        <v>132.279956</v>
      </c>
      <c r="H47" s="6">
        <v>12.349721000000001</v>
      </c>
      <c r="I47" s="6">
        <v>25.45486</v>
      </c>
      <c r="J47" s="6">
        <v>1.420946</v>
      </c>
      <c r="K47" s="6">
        <v>-5.6294999999999998E-2</v>
      </c>
      <c r="L47" s="6">
        <v>4.8995569999999997</v>
      </c>
      <c r="M47" s="6">
        <v>0</v>
      </c>
      <c r="N47" s="6">
        <v>88.211167000000003</v>
      </c>
      <c r="O47" s="6">
        <v>22.189907999999999</v>
      </c>
      <c r="P47" s="6">
        <v>66.021259000000001</v>
      </c>
      <c r="Q47" s="7">
        <v>25</v>
      </c>
      <c r="R47" s="6">
        <v>4.2947959999999998</v>
      </c>
      <c r="S47" s="6">
        <v>117.685119</v>
      </c>
      <c r="T47" s="6">
        <v>114.535825</v>
      </c>
      <c r="U47" s="6">
        <v>111.534417</v>
      </c>
      <c r="V47" s="6">
        <v>108.67128200000001</v>
      </c>
    </row>
    <row r="48" spans="1:22" x14ac:dyDescent="0.35">
      <c r="A48" s="5">
        <v>46022</v>
      </c>
      <c r="B48" s="4" t="s">
        <v>142</v>
      </c>
      <c r="C48" s="4" t="s">
        <v>143</v>
      </c>
      <c r="D48" s="4" t="s">
        <v>139</v>
      </c>
      <c r="E48" s="6">
        <v>603.31677500000001</v>
      </c>
      <c r="F48" s="6">
        <v>139.800757</v>
      </c>
      <c r="G48" s="6">
        <v>463.51601799999997</v>
      </c>
      <c r="H48" s="6">
        <v>22.063483000000002</v>
      </c>
      <c r="I48" s="6">
        <v>152.996756</v>
      </c>
      <c r="J48" s="6">
        <v>7.5954740000000003</v>
      </c>
      <c r="K48" s="6">
        <v>-8.8429380000000002</v>
      </c>
      <c r="L48" s="6">
        <v>20.254595999999999</v>
      </c>
      <c r="M48" s="6">
        <v>0</v>
      </c>
      <c r="N48" s="6">
        <v>269.44864699999999</v>
      </c>
      <c r="O48" s="6">
        <v>50.332546999999998</v>
      </c>
      <c r="P48" s="6">
        <v>219.11609899999999</v>
      </c>
      <c r="Q48" s="7">
        <v>25</v>
      </c>
      <c r="R48" s="6">
        <v>79.530116000000007</v>
      </c>
      <c r="S48" s="6">
        <v>2027.901055</v>
      </c>
      <c r="T48" s="6">
        <v>1767.197349</v>
      </c>
      <c r="U48" s="6">
        <v>1556.894372</v>
      </c>
      <c r="V48" s="6">
        <v>1385.2501319999999</v>
      </c>
    </row>
    <row r="49" spans="1:22" x14ac:dyDescent="0.35">
      <c r="A49" s="5">
        <v>46022</v>
      </c>
      <c r="B49" s="4" t="s">
        <v>144</v>
      </c>
      <c r="C49" s="4" t="s">
        <v>145</v>
      </c>
      <c r="D49" s="4" t="s">
        <v>62</v>
      </c>
      <c r="E49" s="6">
        <v>5801.3822499999997</v>
      </c>
      <c r="F49" s="6">
        <v>450.528502</v>
      </c>
      <c r="G49" s="6">
        <v>5350.8537480000005</v>
      </c>
      <c r="H49" s="6">
        <v>281.74116900000001</v>
      </c>
      <c r="I49" s="6">
        <v>2575.0503490000001</v>
      </c>
      <c r="J49" s="6">
        <v>41.256300000000003</v>
      </c>
      <c r="K49" s="6">
        <v>52.404778</v>
      </c>
      <c r="L49" s="6">
        <v>6.6465459999999998</v>
      </c>
      <c r="M49" s="6">
        <v>52.000002000000002</v>
      </c>
      <c r="N49" s="6">
        <v>2341.7546029999999</v>
      </c>
      <c r="O49" s="6">
        <v>630.96468000000004</v>
      </c>
      <c r="P49" s="6">
        <v>1710.789923</v>
      </c>
      <c r="Q49" s="7">
        <v>30</v>
      </c>
      <c r="R49" s="6">
        <v>349.59032999999999</v>
      </c>
      <c r="S49" s="6">
        <v>13404.948016</v>
      </c>
      <c r="T49" s="6">
        <v>12093.733076</v>
      </c>
      <c r="U49" s="6">
        <v>10975.037235</v>
      </c>
      <c r="V49" s="6">
        <v>10014.411904000001</v>
      </c>
    </row>
    <row r="50" spans="1:22" x14ac:dyDescent="0.35">
      <c r="A50" s="5">
        <v>46022</v>
      </c>
      <c r="B50" s="4" t="s">
        <v>146</v>
      </c>
      <c r="C50" s="4" t="s">
        <v>147</v>
      </c>
      <c r="D50" s="4" t="s">
        <v>99</v>
      </c>
      <c r="E50" s="6">
        <v>285.59869200000003</v>
      </c>
      <c r="F50" s="6">
        <v>42.560208000000003</v>
      </c>
      <c r="G50" s="6">
        <v>243.03848400000001</v>
      </c>
      <c r="H50" s="6">
        <v>15.144508999999999</v>
      </c>
      <c r="I50" s="6">
        <v>90.527006</v>
      </c>
      <c r="J50" s="6">
        <v>8.5000009999999993</v>
      </c>
      <c r="K50" s="6">
        <v>-7.7597160000000001</v>
      </c>
      <c r="L50" s="6">
        <v>36.210800999999996</v>
      </c>
      <c r="M50" s="6">
        <v>0</v>
      </c>
      <c r="N50" s="6">
        <v>100.415882</v>
      </c>
      <c r="O50" s="6">
        <v>19.726499</v>
      </c>
      <c r="P50" s="6">
        <v>80.689383000000007</v>
      </c>
      <c r="Q50" s="7">
        <v>34</v>
      </c>
      <c r="R50" s="6">
        <v>70.847852000000003</v>
      </c>
      <c r="S50" s="6">
        <v>282.37928499999998</v>
      </c>
      <c r="T50" s="6">
        <v>268.88841400000001</v>
      </c>
      <c r="U50" s="6">
        <v>256.42336299999999</v>
      </c>
      <c r="V50" s="6">
        <v>244.88378</v>
      </c>
    </row>
    <row r="51" spans="1:22" x14ac:dyDescent="0.35">
      <c r="A51" s="5">
        <v>46022</v>
      </c>
      <c r="B51" s="4" t="s">
        <v>148</v>
      </c>
      <c r="C51" s="4" t="s">
        <v>149</v>
      </c>
      <c r="D51" s="4" t="s">
        <v>57</v>
      </c>
      <c r="E51" s="6">
        <v>49.326742000000003</v>
      </c>
      <c r="F51" s="6">
        <v>12.321496</v>
      </c>
      <c r="G51" s="6">
        <v>37.005246</v>
      </c>
      <c r="H51" s="6">
        <v>1.0205010000000001</v>
      </c>
      <c r="I51" s="6">
        <v>14.240717999999999</v>
      </c>
      <c r="J51" s="6">
        <v>2.261031</v>
      </c>
      <c r="K51" s="6">
        <v>7.8960000000000002E-3</v>
      </c>
      <c r="L51" s="6">
        <v>1.713352</v>
      </c>
      <c r="M51" s="6">
        <v>0</v>
      </c>
      <c r="N51" s="6">
        <v>17.761748000000001</v>
      </c>
      <c r="O51" s="6">
        <v>4.8160309999999997</v>
      </c>
      <c r="P51" s="6">
        <v>12.945717</v>
      </c>
      <c r="Q51" s="7">
        <v>25</v>
      </c>
      <c r="R51" s="6">
        <v>0.21887400000000001</v>
      </c>
      <c r="S51" s="6">
        <v>116.383275</v>
      </c>
      <c r="T51" s="6">
        <v>102.621758</v>
      </c>
      <c r="U51" s="6">
        <v>91.289927000000006</v>
      </c>
      <c r="V51" s="6">
        <v>81.870345999999998</v>
      </c>
    </row>
  </sheetData>
  <mergeCells count="23">
    <mergeCell ref="T6:T9"/>
    <mergeCell ref="U6:U9"/>
    <mergeCell ref="V6:V9"/>
    <mergeCell ref="O6:O9"/>
    <mergeCell ref="P6:P9"/>
    <mergeCell ref="Q6:Q9"/>
    <mergeCell ref="R6:R9"/>
    <mergeCell ref="S6:S9"/>
    <mergeCell ref="J6:J9"/>
    <mergeCell ref="K6:K9"/>
    <mergeCell ref="L6:L9"/>
    <mergeCell ref="M6:M9"/>
    <mergeCell ref="N6:N9"/>
    <mergeCell ref="E6:E9"/>
    <mergeCell ref="F6:F9"/>
    <mergeCell ref="G6:G9"/>
    <mergeCell ref="H6:H9"/>
    <mergeCell ref="I6:I9"/>
    <mergeCell ref="A1:D1"/>
    <mergeCell ref="A6:A9"/>
    <mergeCell ref="B6:B9"/>
    <mergeCell ref="C6:C9"/>
    <mergeCell ref="D6:D9"/>
  </mergeCells>
  <pageMargins left="0.7" right="0.7" top="0.75" bottom="0.75" header="0.3" footer="0.3"/>
  <pageSetup orientation="landscape"/>
  <headerFooter>
    <oddFooter>&amp;C_x000D_&amp;1#&amp;"Aptos"&amp;10&amp;K0000FF Restricted Use - À usage restreint</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82"/>
  <sheetViews>
    <sheetView tabSelected="1" topLeftCell="B46" zoomScale="50" zoomScaleNormal="50" workbookViewId="0">
      <selection activeCell="B48" sqref="B48"/>
    </sheetView>
  </sheetViews>
  <sheetFormatPr defaultRowHeight="14.5" x14ac:dyDescent="0.35"/>
  <cols>
    <col min="1" max="1" width="48.54296875" customWidth="1"/>
    <col min="2" max="2" width="23.7265625" customWidth="1"/>
    <col min="3" max="3" width="16.1796875" customWidth="1"/>
    <col min="4" max="4" width="48.54296875" customWidth="1"/>
    <col min="5" max="5" width="16.54296875" customWidth="1"/>
    <col min="6" max="6" width="16.1796875" customWidth="1"/>
    <col min="7" max="7" width="62.54296875" style="11" customWidth="1"/>
    <col min="8" max="8" width="16" customWidth="1"/>
    <col min="9" max="9" width="13.26953125" customWidth="1"/>
    <col min="10" max="10" width="16.90625" customWidth="1"/>
    <col min="11" max="11" width="18.453125" customWidth="1"/>
    <col min="12" max="12" width="21.54296875" customWidth="1"/>
    <col min="13" max="13" width="16.90625" customWidth="1"/>
    <col min="14" max="14" width="20.6328125" customWidth="1"/>
    <col min="15" max="15" width="21.1796875" customWidth="1"/>
    <col min="16" max="16" width="12.7265625" customWidth="1"/>
    <col min="17" max="17" width="24" customWidth="1"/>
  </cols>
  <sheetData>
    <row r="1" spans="1:19" ht="40" customHeight="1" x14ac:dyDescent="0.35">
      <c r="A1" s="15"/>
      <c r="B1" s="15"/>
      <c r="C1" s="15"/>
      <c r="D1" s="15"/>
    </row>
    <row r="2" spans="1:19" ht="30" customHeight="1" x14ac:dyDescent="0.45">
      <c r="A2" s="1" t="s">
        <v>263</v>
      </c>
      <c r="B2" s="2"/>
      <c r="C2" s="2"/>
      <c r="D2" s="2"/>
      <c r="E2" s="2"/>
      <c r="F2" s="2"/>
      <c r="G2" s="12"/>
      <c r="H2" s="2"/>
      <c r="I2" s="2"/>
      <c r="J2" s="2"/>
      <c r="K2" s="2"/>
      <c r="L2" s="2"/>
    </row>
    <row r="3" spans="1:19" x14ac:dyDescent="0.35">
      <c r="A3" s="3" t="s">
        <v>0</v>
      </c>
    </row>
    <row r="4" spans="1:19" x14ac:dyDescent="0.35">
      <c r="A4" s="3" t="s">
        <v>1</v>
      </c>
    </row>
    <row r="5" spans="1:19" x14ac:dyDescent="0.35">
      <c r="A5" s="4"/>
    </row>
    <row r="6" spans="1:19" x14ac:dyDescent="0.35">
      <c r="A6" s="16" t="s">
        <v>3</v>
      </c>
      <c r="B6" s="16" t="s">
        <v>4</v>
      </c>
      <c r="C6" s="16" t="s">
        <v>5</v>
      </c>
      <c r="D6" s="16" t="s">
        <v>213</v>
      </c>
      <c r="E6" s="17" t="s">
        <v>214</v>
      </c>
      <c r="F6" s="17" t="s">
        <v>215</v>
      </c>
      <c r="G6" s="16" t="s">
        <v>264</v>
      </c>
      <c r="H6" s="16" t="s">
        <v>265</v>
      </c>
      <c r="I6" s="16" t="s">
        <v>266</v>
      </c>
      <c r="J6" s="16" t="s">
        <v>267</v>
      </c>
      <c r="K6" s="16" t="s">
        <v>268</v>
      </c>
      <c r="L6" s="16" t="s">
        <v>269</v>
      </c>
      <c r="M6" s="16" t="s">
        <v>270</v>
      </c>
      <c r="N6" s="16" t="s">
        <v>271</v>
      </c>
      <c r="O6" s="16" t="s">
        <v>272</v>
      </c>
      <c r="P6" s="16" t="s">
        <v>273</v>
      </c>
      <c r="Q6" s="16" t="s">
        <v>274</v>
      </c>
      <c r="R6" s="16" t="s">
        <v>275</v>
      </c>
      <c r="S6" s="16" t="s">
        <v>276</v>
      </c>
    </row>
    <row r="7" spans="1:19" x14ac:dyDescent="0.35">
      <c r="A7" s="16"/>
      <c r="B7" s="16"/>
      <c r="C7" s="16"/>
      <c r="D7" s="16"/>
      <c r="E7" s="17"/>
      <c r="F7" s="17"/>
      <c r="G7" s="18"/>
      <c r="H7" s="16"/>
      <c r="I7" s="16"/>
      <c r="J7" s="16"/>
      <c r="K7" s="16"/>
      <c r="L7" s="16"/>
      <c r="M7" s="16"/>
      <c r="N7" s="16"/>
      <c r="O7" s="16"/>
      <c r="P7" s="16"/>
      <c r="Q7" s="16"/>
      <c r="R7" s="16"/>
      <c r="S7" s="16"/>
    </row>
    <row r="8" spans="1:19" x14ac:dyDescent="0.35">
      <c r="A8" s="16"/>
      <c r="B8" s="16"/>
      <c r="C8" s="16"/>
      <c r="D8" s="16"/>
      <c r="E8" s="17"/>
      <c r="F8" s="17"/>
      <c r="G8" s="18"/>
      <c r="H8" s="16"/>
      <c r="I8" s="16"/>
      <c r="J8" s="16"/>
      <c r="K8" s="16"/>
      <c r="L8" s="16"/>
      <c r="M8" s="16"/>
      <c r="N8" s="16"/>
      <c r="O8" s="16"/>
      <c r="P8" s="16"/>
      <c r="Q8" s="16"/>
      <c r="R8" s="16"/>
      <c r="S8" s="16"/>
    </row>
    <row r="9" spans="1:19" x14ac:dyDescent="0.35">
      <c r="A9" s="16"/>
      <c r="B9" s="16"/>
      <c r="C9" s="16"/>
      <c r="D9" s="16"/>
      <c r="E9" s="17"/>
      <c r="F9" s="17"/>
      <c r="G9" s="18"/>
      <c r="H9" s="16"/>
      <c r="I9" s="16"/>
      <c r="J9" s="16"/>
      <c r="K9" s="16"/>
      <c r="L9" s="16"/>
      <c r="M9" s="16"/>
      <c r="N9" s="16"/>
      <c r="O9" s="16"/>
      <c r="P9" s="16"/>
      <c r="Q9" s="16"/>
      <c r="R9" s="16"/>
      <c r="S9" s="16"/>
    </row>
    <row r="10" spans="1:19" ht="87" x14ac:dyDescent="0.35">
      <c r="A10" s="5">
        <v>46022</v>
      </c>
      <c r="B10" s="4" t="s">
        <v>67</v>
      </c>
      <c r="C10" s="4" t="s">
        <v>68</v>
      </c>
      <c r="D10" s="4" t="s">
        <v>216</v>
      </c>
      <c r="E10" s="8">
        <v>4355482</v>
      </c>
      <c r="F10" s="7">
        <v>100</v>
      </c>
      <c r="G10" s="9" t="str">
        <f>[1]!SNLData("243327", $C10, "OWNER_LIST")</f>
        <v>Xinjiang Xinxin Mining Industry Co., Ltd.  100%</v>
      </c>
      <c r="H10" s="10">
        <f>[1]!SNLData("243327", C10, "OWNER_SNL_INSTN_KEY", "Owner 1")</f>
        <v>4355482</v>
      </c>
      <c r="I10" s="10" t="str">
        <f>[1]!SNLData("243327", C10, "OWNER_SNL_INSTN_KEY", "Owner 2")</f>
        <v>NA</v>
      </c>
      <c r="J10" s="9" t="str">
        <f>_xll.SNL.Clients.Office.Excel.Functions.SPG(H10, "SP_ULT_PARENT_COMPANY_NAME")</f>
        <v>Xinjiang NonFerrous Metal Industry (Group) Co.Ltd</v>
      </c>
      <c r="K10" s="9" t="str">
        <f>_xll.SNL.Clients.Office.Excel.Functions.SPG(H10, "SP_ULT_PARENT_COUNTRY")</f>
        <v>China</v>
      </c>
      <c r="L10" s="9" t="str">
        <f>_xll.SNL.Clients.Office.Excel.Functions.SPG(H10, "SP_PARENT_COMPANY_NAME")</f>
        <v>Xinjiang NonFerrous Metal Industry (Group) Co.Ltd</v>
      </c>
      <c r="M10" s="9" t="str">
        <f>_xll.SNL.Clients.Office.Excel.Functions.SPG(H10, "SP_PARENT_COUNTRY")</f>
        <v>China</v>
      </c>
      <c r="N10" s="9" t="str">
        <f>_xll.SNL.Clients.Office.Excel.Functions.SPG(H10, "SP_COUNTRY_NAME")</f>
        <v>China</v>
      </c>
      <c r="O10" s="9" t="str">
        <f>_xll.SNL.Clients.Office.Excel.Functions.SPG(I10, "SP_ULT_PARENT_COMPANY_NAME")</f>
        <v/>
      </c>
      <c r="P10" s="9" t="str">
        <f>_xll.SNL.Clients.Office.Excel.Functions.SPG(I10, "SP_ULT_PARENT_COUNTRY")</f>
        <v/>
      </c>
      <c r="Q10" s="9" t="str">
        <f>_xll.SNL.Clients.Office.Excel.Functions.SPG(I10, "SP_PARENT_COMPANY_NAME")</f>
        <v/>
      </c>
      <c r="R10" s="9" t="str">
        <f>_xll.SNL.Clients.Office.Excel.Functions.SPG(I10, "SP_PARENT_COUNTRY")</f>
        <v/>
      </c>
      <c r="S10" s="9" t="str">
        <f>_xll.SNL.Clients.Office.Excel.Functions.SPG(I10, "SP_COUNTRY_NAME")</f>
        <v>China</v>
      </c>
    </row>
    <row r="11" spans="1:19" ht="101.5" x14ac:dyDescent="0.35">
      <c r="A11" s="5">
        <v>46022</v>
      </c>
      <c r="B11" s="4" t="s">
        <v>49</v>
      </c>
      <c r="C11" s="4" t="s">
        <v>50</v>
      </c>
      <c r="D11" s="4" t="s">
        <v>217</v>
      </c>
      <c r="E11" s="8">
        <v>4351671</v>
      </c>
      <c r="F11" s="7">
        <v>45.82</v>
      </c>
      <c r="G11" s="9" t="str">
        <f>[1]!SNLData("243327", $C11, "OWNER_LIST")</f>
        <v>Unnamed Owner (Fractional) %; Korea Mine Rehabilitation and Mineral Resources Corporation (Venturer) 45.82%; Sumitomo Corporation (Venturer) 54.17%</v>
      </c>
      <c r="H11" s="10">
        <f>[1]!SNLData("243327", C11, "OWNER_SNL_INSTN_KEY", "Owner 1")</f>
        <v>4047416</v>
      </c>
      <c r="I11" s="10">
        <f>[1]!SNLData("243327", C11, "OWNER_SNL_INSTN_KEY", "Owner 2")</f>
        <v>4351671</v>
      </c>
      <c r="J11" s="9" t="str">
        <f>_xll.SNL.Clients.Office.Excel.Functions.SPG(H11, "SP_ULT_PARENT_COMPANY_NAME")</f>
        <v/>
      </c>
      <c r="K11" s="9" t="str">
        <f>_xll.SNL.Clients.Office.Excel.Functions.SPG(H11, "SP_ULT_PARENT_COUNTRY")</f>
        <v/>
      </c>
      <c r="L11" s="9" t="str">
        <f>_xll.SNL.Clients.Office.Excel.Functions.SPG(H11, "SP_PARENT_COMPANY_NAME")</f>
        <v/>
      </c>
      <c r="M11" s="9" t="str">
        <f>_xll.SNL.Clients.Office.Excel.Functions.SPG(H11, "SP_PARENT_COUNTRY")</f>
        <v/>
      </c>
      <c r="N11" s="9" t="str">
        <f>_xll.SNL.Clients.Office.Excel.Functions.SPG(H11, "SP_COUNTRY_NAME")</f>
        <v>Japan</v>
      </c>
      <c r="O11" s="9" t="str">
        <f>_xll.SNL.Clients.Office.Excel.Functions.SPG(I11, "SP_ULT_PARENT_COMPANY_NAME")</f>
        <v>South Korea</v>
      </c>
      <c r="P11" s="9" t="str">
        <f>_xll.SNL.Clients.Office.Excel.Functions.SPG(I11, "SP_ULT_PARENT_COUNTRY")</f>
        <v>South Korea</v>
      </c>
      <c r="Q11" s="9" t="str">
        <f>_xll.SNL.Clients.Office.Excel.Functions.SPG(I11, "SP_PARENT_COMPANY_NAME")</f>
        <v>South Korea</v>
      </c>
      <c r="R11" s="9" t="str">
        <f>_xll.SNL.Clients.Office.Excel.Functions.SPG(I11, "SP_PARENT_COUNTRY")</f>
        <v>South Korea</v>
      </c>
      <c r="S11" s="9" t="str">
        <f>_xll.SNL.Clients.Office.Excel.Functions.SPG(I11, "SP_COUNTRY_NAME")</f>
        <v>South Korea</v>
      </c>
    </row>
    <row r="12" spans="1:19" ht="101.5" x14ac:dyDescent="0.35">
      <c r="A12" s="5">
        <v>46022</v>
      </c>
      <c r="B12" s="4" t="s">
        <v>49</v>
      </c>
      <c r="C12" s="4" t="s">
        <v>50</v>
      </c>
      <c r="D12" s="4" t="s">
        <v>218</v>
      </c>
      <c r="E12" s="8">
        <v>4047416</v>
      </c>
      <c r="F12" s="7">
        <v>54.17</v>
      </c>
      <c r="G12" s="9" t="str">
        <f>[1]!SNLData("243327", $C12, "OWNER_LIST")</f>
        <v>Unnamed Owner (Fractional) %; Korea Mine Rehabilitation and Mineral Resources Corporation (Venturer) 45.82%; Sumitomo Corporation (Venturer) 54.17%</v>
      </c>
      <c r="H12" s="10">
        <f>[1]!SNLData("243327", C12, "OWNER_SNL_INSTN_KEY", "Owner 1")</f>
        <v>4047416</v>
      </c>
      <c r="I12" s="10">
        <f>[1]!SNLData("243327", C12, "OWNER_SNL_INSTN_KEY", "Owner 2")</f>
        <v>4351671</v>
      </c>
      <c r="J12" s="9" t="str">
        <f>_xll.SNL.Clients.Office.Excel.Functions.SPG(H12, "SP_ULT_PARENT_COMPANY_NAME")</f>
        <v/>
      </c>
      <c r="K12" s="9" t="str">
        <f>_xll.SNL.Clients.Office.Excel.Functions.SPG(H12, "SP_ULT_PARENT_COUNTRY")</f>
        <v/>
      </c>
      <c r="L12" s="9" t="str">
        <f>_xll.SNL.Clients.Office.Excel.Functions.SPG(H12, "SP_PARENT_COMPANY_NAME")</f>
        <v/>
      </c>
      <c r="M12" s="9" t="str">
        <f>_xll.SNL.Clients.Office.Excel.Functions.SPG(H12, "SP_PARENT_COUNTRY")</f>
        <v/>
      </c>
      <c r="N12" s="9" t="str">
        <f>_xll.SNL.Clients.Office.Excel.Functions.SPG(H12, "SP_COUNTRY_NAME")</f>
        <v>Japan</v>
      </c>
      <c r="O12" s="9" t="str">
        <f>_xll.SNL.Clients.Office.Excel.Functions.SPG(I12, "SP_ULT_PARENT_COMPANY_NAME")</f>
        <v>South Korea</v>
      </c>
      <c r="P12" s="9" t="str">
        <f>_xll.SNL.Clients.Office.Excel.Functions.SPG(I12, "SP_ULT_PARENT_COUNTRY")</f>
        <v>South Korea</v>
      </c>
      <c r="Q12" s="9" t="str">
        <f>_xll.SNL.Clients.Office.Excel.Functions.SPG(I12, "SP_PARENT_COMPANY_NAME")</f>
        <v>South Korea</v>
      </c>
      <c r="R12" s="9" t="str">
        <f>_xll.SNL.Clients.Office.Excel.Functions.SPG(I12, "SP_PARENT_COUNTRY")</f>
        <v>South Korea</v>
      </c>
      <c r="S12" s="9" t="str">
        <f>_xll.SNL.Clients.Office.Excel.Functions.SPG(I12, "SP_COUNTRY_NAME")</f>
        <v>South Korea</v>
      </c>
    </row>
    <row r="13" spans="1:19" ht="159.5" x14ac:dyDescent="0.35">
      <c r="A13" s="5">
        <v>46022</v>
      </c>
      <c r="B13" s="4" t="s">
        <v>52</v>
      </c>
      <c r="C13" s="4" t="s">
        <v>53</v>
      </c>
      <c r="D13" s="4" t="s">
        <v>219</v>
      </c>
      <c r="E13" s="8">
        <v>4349160</v>
      </c>
      <c r="F13" s="7">
        <v>85</v>
      </c>
      <c r="G13" s="9" t="str">
        <f>[1]!SNLData("243327", $C13, "OWNER_LIST")</f>
        <v>ZCCM Investments Holdings Plc (Venturer) 15%; China Nonferrous Mining Corporation Limited (Venturer) 85%</v>
      </c>
      <c r="H13" s="10">
        <f>[1]!SNLData("243327", C13, "OWNER_SNL_INSTN_KEY", "Owner 1")</f>
        <v>4349160</v>
      </c>
      <c r="I13" s="10">
        <f>[1]!SNLData("243327", C13, "OWNER_SNL_INSTN_KEY", "Owner 2")</f>
        <v>4355602</v>
      </c>
      <c r="J13" s="9" t="str">
        <f>_xll.SNL.Clients.Office.Excel.Functions.SPG(H13, "SP_ULT_PARENT_COMPANY_NAME")</f>
        <v>State-owned Assets Supervision and Administration Commission of the State Counci</v>
      </c>
      <c r="K13" s="9" t="str">
        <f>_xll.SNL.Clients.Office.Excel.Functions.SPG(H13, "SP_ULT_PARENT_COUNTRY")</f>
        <v>China</v>
      </c>
      <c r="L13" s="9" t="str">
        <f>_xll.SNL.Clients.Office.Excel.Functions.SPG(H13, "SP_PARENT_COMPANY_NAME")</f>
        <v>China Nonferrous Mining Development Limited</v>
      </c>
      <c r="M13" s="9" t="str">
        <f>_xll.SNL.Clients.Office.Excel.Functions.SPG(H13, "SP_PARENT_COUNTRY")</f>
        <v>BVI</v>
      </c>
      <c r="N13" s="9" t="str">
        <f>_xll.SNL.Clients.Office.Excel.Functions.SPG(H13, "SP_COUNTRY_NAME")</f>
        <v>China</v>
      </c>
      <c r="O13" s="9" t="str">
        <f>_xll.SNL.Clients.Office.Excel.Functions.SPG(I13, "SP_ULT_PARENT_COMPANY_NAME")</f>
        <v>Industrial Development Corporation (Zambia) Limited</v>
      </c>
      <c r="P13" s="9" t="str">
        <f>_xll.SNL.Clients.Office.Excel.Functions.SPG(I13, "SP_ULT_PARENT_COUNTRY")</f>
        <v>Zambia</v>
      </c>
      <c r="Q13" s="9" t="str">
        <f>_xll.SNL.Clients.Office.Excel.Functions.SPG(I13, "SP_PARENT_COMPANY_NAME")</f>
        <v>Industrial Development Corporation (Zambia) Limited</v>
      </c>
      <c r="R13" s="9" t="str">
        <f>_xll.SNL.Clients.Office.Excel.Functions.SPG(I13, "SP_PARENT_COUNTRY")</f>
        <v>Zambia</v>
      </c>
      <c r="S13" s="9" t="str">
        <f>_xll.SNL.Clients.Office.Excel.Functions.SPG(I13, "SP_COUNTRY_NAME")</f>
        <v>Zambia</v>
      </c>
    </row>
    <row r="14" spans="1:19" ht="159.5" x14ac:dyDescent="0.35">
      <c r="A14" s="5">
        <v>46022</v>
      </c>
      <c r="B14" s="4" t="s">
        <v>52</v>
      </c>
      <c r="C14" s="4" t="s">
        <v>53</v>
      </c>
      <c r="D14" s="4" t="s">
        <v>220</v>
      </c>
      <c r="E14" s="8">
        <v>4355602</v>
      </c>
      <c r="F14" s="7">
        <v>15</v>
      </c>
      <c r="G14" s="9" t="str">
        <f>[1]!SNLData("243327", $C14, "OWNER_LIST")</f>
        <v>ZCCM Investments Holdings Plc (Venturer) 15%; China Nonferrous Mining Corporation Limited (Venturer) 85%</v>
      </c>
      <c r="H14" s="10">
        <f>[1]!SNLData("243327", C14, "OWNER_SNL_INSTN_KEY", "Owner 1")</f>
        <v>4349160</v>
      </c>
      <c r="I14" s="10">
        <f>[1]!SNLData("243327", C14, "OWNER_SNL_INSTN_KEY", "Owner 2")</f>
        <v>4355602</v>
      </c>
      <c r="J14" s="9" t="str">
        <f>_xll.SNL.Clients.Office.Excel.Functions.SPG(H14, "SP_ULT_PARENT_COMPANY_NAME")</f>
        <v>State-owned Assets Supervision and Administration Commission of the State Counci</v>
      </c>
      <c r="K14" s="9" t="str">
        <f>_xll.SNL.Clients.Office.Excel.Functions.SPG(H14, "SP_ULT_PARENT_COUNTRY")</f>
        <v>China</v>
      </c>
      <c r="L14" s="9" t="str">
        <f>_xll.SNL.Clients.Office.Excel.Functions.SPG(H14, "SP_PARENT_COMPANY_NAME")</f>
        <v>China Nonferrous Mining Development Limited</v>
      </c>
      <c r="M14" s="9" t="str">
        <f>_xll.SNL.Clients.Office.Excel.Functions.SPG(H14, "SP_PARENT_COUNTRY")</f>
        <v>BVI</v>
      </c>
      <c r="N14" s="9" t="str">
        <f>_xll.SNL.Clients.Office.Excel.Functions.SPG(H14, "SP_COUNTRY_NAME")</f>
        <v>China</v>
      </c>
      <c r="O14" s="9" t="str">
        <f>_xll.SNL.Clients.Office.Excel.Functions.SPG(I14, "SP_ULT_PARENT_COMPANY_NAME")</f>
        <v>Industrial Development Corporation (Zambia) Limited</v>
      </c>
      <c r="P14" s="9" t="str">
        <f>_xll.SNL.Clients.Office.Excel.Functions.SPG(I14, "SP_ULT_PARENT_COUNTRY")</f>
        <v>Zambia</v>
      </c>
      <c r="Q14" s="9" t="str">
        <f>_xll.SNL.Clients.Office.Excel.Functions.SPG(I14, "SP_PARENT_COMPANY_NAME")</f>
        <v>Industrial Development Corporation (Zambia) Limited</v>
      </c>
      <c r="R14" s="9" t="str">
        <f>_xll.SNL.Clients.Office.Excel.Functions.SPG(I14, "SP_PARENT_COUNTRY")</f>
        <v>Zambia</v>
      </c>
      <c r="S14" s="9" t="str">
        <f>_xll.SNL.Clients.Office.Excel.Functions.SPG(I14, "SP_COUNTRY_NAME")</f>
        <v>Zambia</v>
      </c>
    </row>
    <row r="15" spans="1:19" ht="29" x14ac:dyDescent="0.35">
      <c r="A15" s="5">
        <v>46022</v>
      </c>
      <c r="B15" s="4" t="s">
        <v>55</v>
      </c>
      <c r="C15" s="4" t="s">
        <v>56</v>
      </c>
      <c r="D15" s="4" t="s">
        <v>221</v>
      </c>
      <c r="E15" s="8">
        <v>4355642</v>
      </c>
      <c r="F15" s="7">
        <v>100</v>
      </c>
      <c r="G15" s="9" t="str">
        <f>[1]!SNLData("243327", $C15, "OWNER_LIST")</f>
        <v>Zijin Mining Group Company Limited  100%</v>
      </c>
      <c r="H15" s="10">
        <f>[1]!SNLData("243327", C15, "OWNER_SNL_INSTN_KEY", "Owner 1")</f>
        <v>4355642</v>
      </c>
      <c r="I15" s="10" t="str">
        <f>[1]!SNLData("243327", C15, "OWNER_SNL_INSTN_KEY", "Owner 2")</f>
        <v>NA</v>
      </c>
      <c r="J15" s="9" t="str">
        <f>_xll.SNL.Clients.Office.Excel.Functions.SPG(H15, "SP_ULT_PARENT_COMPANY_NAME")</f>
        <v/>
      </c>
      <c r="K15" s="9" t="str">
        <f>_xll.SNL.Clients.Office.Excel.Functions.SPG(H15, "SP_ULT_PARENT_COUNTRY")</f>
        <v/>
      </c>
      <c r="L15" s="9" t="str">
        <f>_xll.SNL.Clients.Office.Excel.Functions.SPG(H15, "SP_PARENT_COMPANY_NAME")</f>
        <v/>
      </c>
      <c r="M15" s="9" t="str">
        <f>_xll.SNL.Clients.Office.Excel.Functions.SPG(H15, "SP_PARENT_COUNTRY")</f>
        <v/>
      </c>
      <c r="N15" s="9" t="str">
        <f>_xll.SNL.Clients.Office.Excel.Functions.SPG(H15, "SP_COUNTRY_NAME")</f>
        <v>China</v>
      </c>
      <c r="O15" s="9" t="str">
        <f>_xll.SNL.Clients.Office.Excel.Functions.SPG(I15, "SP_ULT_PARENT_COMPANY_NAME")</f>
        <v/>
      </c>
      <c r="P15" s="9" t="str">
        <f>_xll.SNL.Clients.Office.Excel.Functions.SPG(I15, "SP_ULT_PARENT_COUNTRY")</f>
        <v/>
      </c>
      <c r="Q15" s="9" t="str">
        <f>_xll.SNL.Clients.Office.Excel.Functions.SPG(I15, "SP_PARENT_COMPANY_NAME")</f>
        <v/>
      </c>
      <c r="R15" s="9" t="str">
        <f>_xll.SNL.Clients.Office.Excel.Functions.SPG(I15, "SP_PARENT_COUNTRY")</f>
        <v/>
      </c>
      <c r="S15" s="9" t="str">
        <f>_xll.SNL.Clients.Office.Excel.Functions.SPG(I15, "SP_COUNTRY_NAME")</f>
        <v>China</v>
      </c>
    </row>
    <row r="16" spans="1:19" x14ac:dyDescent="0.35">
      <c r="A16" s="5">
        <v>46022</v>
      </c>
      <c r="B16" s="4" t="s">
        <v>69</v>
      </c>
      <c r="C16" s="4" t="s">
        <v>70</v>
      </c>
      <c r="D16" s="4" t="s">
        <v>222</v>
      </c>
      <c r="E16" s="8">
        <v>4351931</v>
      </c>
      <c r="F16" s="7">
        <v>100</v>
      </c>
      <c r="G16" s="9" t="str">
        <f>[1]!SNLData("243327", $C16, "OWNER_LIST")</f>
        <v>Talon Metals Corp.  100%</v>
      </c>
      <c r="H16" s="10">
        <f>[1]!SNLData("243327", C16, "OWNER_SNL_INSTN_KEY", "Owner 1")</f>
        <v>4354713</v>
      </c>
      <c r="I16" s="10" t="str">
        <f>[1]!SNLData("243327", C16, "OWNER_SNL_INSTN_KEY", "Owner 2")</f>
        <v>NA</v>
      </c>
      <c r="J16" s="9" t="str">
        <f>_xll.SNL.Clients.Office.Excel.Functions.SPG(H16, "SP_ULT_PARENT_COMPANY_NAME")</f>
        <v/>
      </c>
      <c r="K16" s="9" t="str">
        <f>_xll.SNL.Clients.Office.Excel.Functions.SPG(H16, "SP_ULT_PARENT_COUNTRY")</f>
        <v/>
      </c>
      <c r="L16" s="9" t="str">
        <f>_xll.SNL.Clients.Office.Excel.Functions.SPG(H16, "SP_PARENT_COMPANY_NAME")</f>
        <v/>
      </c>
      <c r="M16" s="9" t="str">
        <f>_xll.SNL.Clients.Office.Excel.Functions.SPG(H16, "SP_PARENT_COUNTRY")</f>
        <v/>
      </c>
      <c r="N16" s="9" t="str">
        <f>_xll.SNL.Clients.Office.Excel.Functions.SPG(H16, "SP_COUNTRY_NAME")</f>
        <v>BVI</v>
      </c>
      <c r="O16" s="9" t="str">
        <f>_xll.SNL.Clients.Office.Excel.Functions.SPG(I16, "SP_ULT_PARENT_COMPANY_NAME")</f>
        <v/>
      </c>
      <c r="P16" s="9" t="str">
        <f>_xll.SNL.Clients.Office.Excel.Functions.SPG(I16, "SP_ULT_PARENT_COUNTRY")</f>
        <v/>
      </c>
      <c r="Q16" s="9" t="str">
        <f>_xll.SNL.Clients.Office.Excel.Functions.SPG(I16, "SP_PARENT_COMPANY_NAME")</f>
        <v/>
      </c>
      <c r="R16" s="9" t="str">
        <f>_xll.SNL.Clients.Office.Excel.Functions.SPG(I16, "SP_PARENT_COUNTRY")</f>
        <v/>
      </c>
      <c r="S16" s="9" t="str">
        <f>_xll.SNL.Clients.Office.Excel.Functions.SPG(I16, "SP_COUNTRY_NAME")</f>
        <v>China</v>
      </c>
    </row>
    <row r="17" spans="1:19" ht="87" x14ac:dyDescent="0.35">
      <c r="A17" s="5">
        <v>46022</v>
      </c>
      <c r="B17" s="4" t="s">
        <v>132</v>
      </c>
      <c r="C17" s="4" t="s">
        <v>133</v>
      </c>
      <c r="D17" s="4" t="s">
        <v>216</v>
      </c>
      <c r="E17" s="8">
        <v>4355482</v>
      </c>
      <c r="F17" s="7">
        <v>100</v>
      </c>
      <c r="G17" s="9" t="str">
        <f>[1]!SNLData("243327", $C17, "OWNER_LIST")</f>
        <v>Xinjiang Xinxin Mining Industry Co., Ltd.  100%</v>
      </c>
      <c r="H17" s="10">
        <f>[1]!SNLData("243327", C17, "OWNER_SNL_INSTN_KEY", "Owner 1")</f>
        <v>4355482</v>
      </c>
      <c r="I17" s="10" t="str">
        <f>[1]!SNLData("243327", C17, "OWNER_SNL_INSTN_KEY", "Owner 2")</f>
        <v>NA</v>
      </c>
      <c r="J17" s="9" t="str">
        <f>_xll.SNL.Clients.Office.Excel.Functions.SPG(H17, "SP_ULT_PARENT_COMPANY_NAME")</f>
        <v>Xinjiang NonFerrous Metal Industry (Group) Co.Ltd</v>
      </c>
      <c r="K17" s="9" t="str">
        <f>_xll.SNL.Clients.Office.Excel.Functions.SPG(H17, "SP_ULT_PARENT_COUNTRY")</f>
        <v>China</v>
      </c>
      <c r="L17" s="9" t="str">
        <f>_xll.SNL.Clients.Office.Excel.Functions.SPG(H17, "SP_PARENT_COMPANY_NAME")</f>
        <v>Xinjiang NonFerrous Metal Industry (Group) Co.Ltd</v>
      </c>
      <c r="M17" s="9" t="str">
        <f>_xll.SNL.Clients.Office.Excel.Functions.SPG(H17, "SP_PARENT_COUNTRY")</f>
        <v>China</v>
      </c>
      <c r="N17" s="9" t="str">
        <f>_xll.SNL.Clients.Office.Excel.Functions.SPG(H17, "SP_COUNTRY_NAME")</f>
        <v>China</v>
      </c>
      <c r="O17" s="9" t="str">
        <f>_xll.SNL.Clients.Office.Excel.Functions.SPG(I17, "SP_ULT_PARENT_COMPANY_NAME")</f>
        <v/>
      </c>
      <c r="P17" s="9" t="str">
        <f>_xll.SNL.Clients.Office.Excel.Functions.SPG(I17, "SP_ULT_PARENT_COUNTRY")</f>
        <v/>
      </c>
      <c r="Q17" s="9" t="str">
        <f>_xll.SNL.Clients.Office.Excel.Functions.SPG(I17, "SP_PARENT_COMPANY_NAME")</f>
        <v/>
      </c>
      <c r="R17" s="9" t="str">
        <f>_xll.SNL.Clients.Office.Excel.Functions.SPG(I17, "SP_PARENT_COUNTRY")</f>
        <v/>
      </c>
      <c r="S17" s="9" t="str">
        <f>_xll.SNL.Clients.Office.Excel.Functions.SPG(I17, "SP_COUNTRY_NAME")</f>
        <v>China</v>
      </c>
    </row>
    <row r="18" spans="1:19" ht="43.5" x14ac:dyDescent="0.35">
      <c r="A18" s="5">
        <v>46022</v>
      </c>
      <c r="B18" s="4" t="s">
        <v>72</v>
      </c>
      <c r="C18" s="4" t="s">
        <v>73</v>
      </c>
      <c r="D18" s="4" t="s">
        <v>62</v>
      </c>
      <c r="E18" s="8">
        <v>4350734</v>
      </c>
      <c r="F18" s="7">
        <v>5</v>
      </c>
      <c r="G18" s="9" t="str">
        <f>[1]!SNLData("243327", $C18, "OWNER_LIST")</f>
        <v>Shalina Resources Ltd  95%; Dem. Rep. Congo (Carried) 5%</v>
      </c>
      <c r="H18" s="10">
        <f>[1]!SNLData("243327", C18, "OWNER_SNL_INSTN_KEY", "Owner 1")</f>
        <v>4365787</v>
      </c>
      <c r="I18" s="10">
        <f>[1]!SNLData("243327", C18, "OWNER_SNL_INSTN_KEY", "Owner 2")</f>
        <v>4350734</v>
      </c>
      <c r="J18" s="9" t="str">
        <f>_xll.SNL.Clients.Office.Excel.Functions.SPG(H18, "SP_ULT_PARENT_COMPANY_NAME")</f>
        <v>Shalina Group Limited</v>
      </c>
      <c r="K18" s="9" t="str">
        <f>_xll.SNL.Clients.Office.Excel.Functions.SPG(H18, "SP_ULT_PARENT_COUNTRY")</f>
        <v>United Arab Emirates</v>
      </c>
      <c r="L18" s="9" t="str">
        <f>_xll.SNL.Clients.Office.Excel.Functions.SPG(H18, "SP_PARENT_COMPANY_NAME")</f>
        <v>Shalina Group Limited</v>
      </c>
      <c r="M18" s="9" t="str">
        <f>_xll.SNL.Clients.Office.Excel.Functions.SPG(H18, "SP_PARENT_COUNTRY")</f>
        <v>United Arab Emirates</v>
      </c>
      <c r="N18" s="9" t="str">
        <f>_xll.SNL.Clients.Office.Excel.Functions.SPG(H18, "SP_COUNTRY_NAME")</f>
        <v>United Kingdom</v>
      </c>
      <c r="O18" s="9" t="str">
        <f>_xll.SNL.Clients.Office.Excel.Functions.SPG(I18, "SP_ULT_PARENT_COMPANY_NAME")</f>
        <v/>
      </c>
      <c r="P18" s="9" t="str">
        <f>_xll.SNL.Clients.Office.Excel.Functions.SPG(I18, "SP_ULT_PARENT_COUNTRY")</f>
        <v/>
      </c>
      <c r="Q18" s="9" t="str">
        <f>_xll.SNL.Clients.Office.Excel.Functions.SPG(I18, "SP_PARENT_COMPANY_NAME")</f>
        <v/>
      </c>
      <c r="R18" s="9" t="str">
        <f>_xll.SNL.Clients.Office.Excel.Functions.SPG(I18, "SP_PARENT_COUNTRY")</f>
        <v/>
      </c>
      <c r="S18" s="9" t="str">
        <f>_xll.SNL.Clients.Office.Excel.Functions.SPG(I18, "SP_COUNTRY_NAME")</f>
        <v>Dem. Rep. Congo</v>
      </c>
    </row>
    <row r="19" spans="1:19" ht="43.5" x14ac:dyDescent="0.35">
      <c r="A19" s="5">
        <v>46022</v>
      </c>
      <c r="B19" s="4" t="s">
        <v>72</v>
      </c>
      <c r="C19" s="4" t="s">
        <v>73</v>
      </c>
      <c r="D19" s="4" t="s">
        <v>223</v>
      </c>
      <c r="E19" s="8">
        <v>4365787</v>
      </c>
      <c r="F19" s="7">
        <v>95</v>
      </c>
      <c r="G19" s="9" t="str">
        <f>[1]!SNLData("243327", $C19, "OWNER_LIST")</f>
        <v>Shalina Resources Ltd  95%; Dem. Rep. Congo (Carried) 5%</v>
      </c>
      <c r="H19" s="10">
        <f>[1]!SNLData("243327", C19, "OWNER_SNL_INSTN_KEY", "Owner 1")</f>
        <v>4365787</v>
      </c>
      <c r="I19" s="10">
        <f>[1]!SNLData("243327", C19, "OWNER_SNL_INSTN_KEY", "Owner 2")</f>
        <v>4350734</v>
      </c>
      <c r="J19" s="9" t="str">
        <f>_xll.SNL.Clients.Office.Excel.Functions.SPG(H19, "SP_ULT_PARENT_COMPANY_NAME")</f>
        <v>Shalina Group Limited</v>
      </c>
      <c r="K19" s="9" t="str">
        <f>_xll.SNL.Clients.Office.Excel.Functions.SPG(H19, "SP_ULT_PARENT_COUNTRY")</f>
        <v>United Arab Emirates</v>
      </c>
      <c r="L19" s="9" t="str">
        <f>_xll.SNL.Clients.Office.Excel.Functions.SPG(H19, "SP_PARENT_COMPANY_NAME")</f>
        <v>Shalina Group Limited</v>
      </c>
      <c r="M19" s="9" t="str">
        <f>_xll.SNL.Clients.Office.Excel.Functions.SPG(H19, "SP_PARENT_COUNTRY")</f>
        <v>United Arab Emirates</v>
      </c>
      <c r="N19" s="9" t="str">
        <f>_xll.SNL.Clients.Office.Excel.Functions.SPG(H19, "SP_COUNTRY_NAME")</f>
        <v>United Kingdom</v>
      </c>
      <c r="O19" s="9" t="str">
        <f>_xll.SNL.Clients.Office.Excel.Functions.SPG(I19, "SP_ULT_PARENT_COMPANY_NAME")</f>
        <v/>
      </c>
      <c r="P19" s="9" t="str">
        <f>_xll.SNL.Clients.Office.Excel.Functions.SPG(I19, "SP_ULT_PARENT_COUNTRY")</f>
        <v/>
      </c>
      <c r="Q19" s="9" t="str">
        <f>_xll.SNL.Clients.Office.Excel.Functions.SPG(I19, "SP_PARENT_COMPANY_NAME")</f>
        <v/>
      </c>
      <c r="R19" s="9" t="str">
        <f>_xll.SNL.Clients.Office.Excel.Functions.SPG(I19, "SP_PARENT_COUNTRY")</f>
        <v/>
      </c>
      <c r="S19" s="9" t="str">
        <f>_xll.SNL.Clients.Office.Excel.Functions.SPG(I19, "SP_COUNTRY_NAME")</f>
        <v>Dem. Rep. Congo</v>
      </c>
    </row>
    <row r="20" spans="1:19" ht="72.5" x14ac:dyDescent="0.35">
      <c r="A20" s="5">
        <v>46022</v>
      </c>
      <c r="B20" s="4" t="s">
        <v>74</v>
      </c>
      <c r="C20" s="4" t="s">
        <v>75</v>
      </c>
      <c r="D20" s="4" t="s">
        <v>224</v>
      </c>
      <c r="E20" s="8">
        <v>28696936</v>
      </c>
      <c r="F20" s="7">
        <v>95</v>
      </c>
      <c r="G20" s="9" t="str">
        <f>[1]!SNLData("243327", $C20, "OWNER_LIST")</f>
        <v>Societe de Participation Miniere du Sud Caledonia SAS (Venturer) 5%; Prony Resources New Caledonia consortium (Venturer) 95%</v>
      </c>
      <c r="H20" s="10">
        <f>[1]!SNLData("243327", C20, "OWNER_SNL_INSTN_KEY", "Owner 1")</f>
        <v>28696936</v>
      </c>
      <c r="I20" s="10">
        <f>[1]!SNLData("243327", C20, "OWNER_SNL_INSTN_KEY", "Owner 2")</f>
        <v>4500088</v>
      </c>
      <c r="J20" s="9" t="str">
        <f>_xll.SNL.Clients.Office.Excel.Functions.SPG(H20, "SP_ULT_PARENT_COMPANY_NAME")</f>
        <v/>
      </c>
      <c r="K20" s="9" t="str">
        <f>_xll.SNL.Clients.Office.Excel.Functions.SPG(H20, "SP_ULT_PARENT_COUNTRY")</f>
        <v/>
      </c>
      <c r="L20" s="9" t="str">
        <f>_xll.SNL.Clients.Office.Excel.Functions.SPG(H20, "SP_PARENT_COMPANY_NAME")</f>
        <v/>
      </c>
      <c r="M20" s="9" t="str">
        <f>_xll.SNL.Clients.Office.Excel.Functions.SPG(H20, "SP_PARENT_COUNTRY")</f>
        <v/>
      </c>
      <c r="N20" s="9" t="str">
        <f>_xll.SNL.Clients.Office.Excel.Functions.SPG(H20, "SP_COUNTRY_NAME")</f>
        <v>France</v>
      </c>
      <c r="O20" s="9" t="str">
        <f>_xll.SNL.Clients.Office.Excel.Functions.SPG(I20, "SP_ULT_PARENT_COMPANY_NAME")</f>
        <v/>
      </c>
      <c r="P20" s="9" t="str">
        <f>_xll.SNL.Clients.Office.Excel.Functions.SPG(I20, "SP_ULT_PARENT_COUNTRY")</f>
        <v/>
      </c>
      <c r="Q20" s="9" t="str">
        <f>_xll.SNL.Clients.Office.Excel.Functions.SPG(I20, "SP_PARENT_COMPANY_NAME")</f>
        <v/>
      </c>
      <c r="R20" s="9" t="str">
        <f>_xll.SNL.Clients.Office.Excel.Functions.SPG(I20, "SP_PARENT_COUNTRY")</f>
        <v/>
      </c>
      <c r="S20" s="9" t="str">
        <f>_xll.SNL.Clients.Office.Excel.Functions.SPG(I20, "SP_COUNTRY_NAME")</f>
        <v>France</v>
      </c>
    </row>
    <row r="21" spans="1:19" ht="72.5" x14ac:dyDescent="0.35">
      <c r="A21" s="5">
        <v>46022</v>
      </c>
      <c r="B21" s="4" t="s">
        <v>74</v>
      </c>
      <c r="C21" s="4" t="s">
        <v>75</v>
      </c>
      <c r="D21" s="4" t="s">
        <v>225</v>
      </c>
      <c r="E21" s="8">
        <v>4500088</v>
      </c>
      <c r="F21" s="7">
        <v>5</v>
      </c>
      <c r="G21" s="9" t="str">
        <f>[1]!SNLData("243327", $C21, "OWNER_LIST")</f>
        <v>Societe de Participation Miniere du Sud Caledonia SAS (Venturer) 5%; Prony Resources New Caledonia consortium (Venturer) 95%</v>
      </c>
      <c r="H21" s="10">
        <f>[1]!SNLData("243327", C21, "OWNER_SNL_INSTN_KEY", "Owner 1")</f>
        <v>28696936</v>
      </c>
      <c r="I21" s="10">
        <f>[1]!SNLData("243327", C21, "OWNER_SNL_INSTN_KEY", "Owner 2")</f>
        <v>4500088</v>
      </c>
      <c r="J21" s="9" t="str">
        <f>_xll.SNL.Clients.Office.Excel.Functions.SPG(H21, "SP_ULT_PARENT_COMPANY_NAME")</f>
        <v/>
      </c>
      <c r="K21" s="9" t="str">
        <f>_xll.SNL.Clients.Office.Excel.Functions.SPG(H21, "SP_ULT_PARENT_COUNTRY")</f>
        <v/>
      </c>
      <c r="L21" s="9" t="str">
        <f>_xll.SNL.Clients.Office.Excel.Functions.SPG(H21, "SP_PARENT_COMPANY_NAME")</f>
        <v/>
      </c>
      <c r="M21" s="9" t="str">
        <f>_xll.SNL.Clients.Office.Excel.Functions.SPG(H21, "SP_PARENT_COUNTRY")</f>
        <v/>
      </c>
      <c r="N21" s="9" t="str">
        <f>_xll.SNL.Clients.Office.Excel.Functions.SPG(H21, "SP_COUNTRY_NAME")</f>
        <v>France</v>
      </c>
      <c r="O21" s="9" t="str">
        <f>_xll.SNL.Clients.Office.Excel.Functions.SPG(I21, "SP_ULT_PARENT_COMPANY_NAME")</f>
        <v/>
      </c>
      <c r="P21" s="9" t="str">
        <f>_xll.SNL.Clients.Office.Excel.Functions.SPG(I21, "SP_ULT_PARENT_COUNTRY")</f>
        <v/>
      </c>
      <c r="Q21" s="9" t="str">
        <f>_xll.SNL.Clients.Office.Excel.Functions.SPG(I21, "SP_PARENT_COMPANY_NAME")</f>
        <v/>
      </c>
      <c r="R21" s="9" t="str">
        <f>_xll.SNL.Clients.Office.Excel.Functions.SPG(I21, "SP_PARENT_COUNTRY")</f>
        <v/>
      </c>
      <c r="S21" s="9" t="str">
        <f>_xll.SNL.Clients.Office.Excel.Functions.SPG(I21, "SP_COUNTRY_NAME")</f>
        <v>France</v>
      </c>
    </row>
    <row r="22" spans="1:19" ht="58" x14ac:dyDescent="0.35">
      <c r="A22" s="5">
        <v>46022</v>
      </c>
      <c r="B22" s="4" t="s">
        <v>77</v>
      </c>
      <c r="C22" s="4" t="s">
        <v>78</v>
      </c>
      <c r="D22" s="4" t="s">
        <v>226</v>
      </c>
      <c r="E22" s="8">
        <v>4351190</v>
      </c>
      <c r="F22" s="7">
        <v>87</v>
      </c>
      <c r="G22" s="9" t="str">
        <f>[1]!SNLData("243327", $C22, "OWNER_LIST")</f>
        <v>Private Interest (Venturer) 13%; Impala Platinum Holdings Limited (Venturer) 87%</v>
      </c>
      <c r="H22" s="10">
        <f>[1]!SNLData("243327", C22, "OWNER_SNL_INSTN_KEY", "Owner 1")</f>
        <v>4351190</v>
      </c>
      <c r="I22" s="10">
        <f>[1]!SNLData("243327", C22, "OWNER_SNL_INSTN_KEY", "Owner 2")</f>
        <v>4353456</v>
      </c>
      <c r="J22" s="9" t="str">
        <f>_xll.SNL.Clients.Office.Excel.Functions.SPG(H22, "SP_ULT_PARENT_COMPANY_NAME")</f>
        <v/>
      </c>
      <c r="K22" s="9" t="str">
        <f>_xll.SNL.Clients.Office.Excel.Functions.SPG(H22, "SP_ULT_PARENT_COUNTRY")</f>
        <v/>
      </c>
      <c r="L22" s="9" t="str">
        <f>_xll.SNL.Clients.Office.Excel.Functions.SPG(H22, "SP_PARENT_COMPANY_NAME")</f>
        <v/>
      </c>
      <c r="M22" s="9" t="str">
        <f>_xll.SNL.Clients.Office.Excel.Functions.SPG(H22, "SP_PARENT_COUNTRY")</f>
        <v/>
      </c>
      <c r="N22" s="9" t="str">
        <f>_xll.SNL.Clients.Office.Excel.Functions.SPG(H22, "SP_COUNTRY_NAME")</f>
        <v>South Africa</v>
      </c>
      <c r="O22" s="9" t="str">
        <f>_xll.SNL.Clients.Office.Excel.Functions.SPG(I22, "SP_ULT_PARENT_COMPANY_NAME")</f>
        <v/>
      </c>
      <c r="P22" s="9" t="str">
        <f>_xll.SNL.Clients.Office.Excel.Functions.SPG(I22, "SP_ULT_PARENT_COUNTRY")</f>
        <v/>
      </c>
      <c r="Q22" s="9" t="str">
        <f>_xll.SNL.Clients.Office.Excel.Functions.SPG(I22, "SP_PARENT_COMPANY_NAME")</f>
        <v/>
      </c>
      <c r="R22" s="9" t="str">
        <f>_xll.SNL.Clients.Office.Excel.Functions.SPG(I22, "SP_PARENT_COUNTRY")</f>
        <v/>
      </c>
      <c r="S22" s="9" t="str">
        <f>_xll.SNL.Clients.Office.Excel.Functions.SPG(I22, "SP_COUNTRY_NAME")</f>
        <v>China</v>
      </c>
    </row>
    <row r="23" spans="1:19" ht="58" x14ac:dyDescent="0.35">
      <c r="A23" s="5">
        <v>46022</v>
      </c>
      <c r="B23" s="4" t="s">
        <v>77</v>
      </c>
      <c r="C23" s="4" t="s">
        <v>78</v>
      </c>
      <c r="D23" s="4" t="s">
        <v>227</v>
      </c>
      <c r="E23" s="8">
        <v>4353456</v>
      </c>
      <c r="F23" s="7">
        <v>13</v>
      </c>
      <c r="G23" s="9" t="str">
        <f>[1]!SNLData("243327", $C23, "OWNER_LIST")</f>
        <v>Private Interest (Venturer) 13%; Impala Platinum Holdings Limited (Venturer) 87%</v>
      </c>
      <c r="H23" s="10">
        <f>[1]!SNLData("243327", C23, "OWNER_SNL_INSTN_KEY", "Owner 1")</f>
        <v>4351190</v>
      </c>
      <c r="I23" s="10">
        <f>[1]!SNLData("243327", C23, "OWNER_SNL_INSTN_KEY", "Owner 2")</f>
        <v>4353456</v>
      </c>
      <c r="J23" s="9" t="str">
        <f>_xll.SNL.Clients.Office.Excel.Functions.SPG(H23, "SP_ULT_PARENT_COMPANY_NAME")</f>
        <v/>
      </c>
      <c r="K23" s="9" t="str">
        <f>_xll.SNL.Clients.Office.Excel.Functions.SPG(H23, "SP_ULT_PARENT_COUNTRY")</f>
        <v/>
      </c>
      <c r="L23" s="9" t="str">
        <f>_xll.SNL.Clients.Office.Excel.Functions.SPG(H23, "SP_PARENT_COMPANY_NAME")</f>
        <v/>
      </c>
      <c r="M23" s="9" t="str">
        <f>_xll.SNL.Clients.Office.Excel.Functions.SPG(H23, "SP_PARENT_COUNTRY")</f>
        <v/>
      </c>
      <c r="N23" s="9" t="str">
        <f>_xll.SNL.Clients.Office.Excel.Functions.SPG(H23, "SP_COUNTRY_NAME")</f>
        <v>South Africa</v>
      </c>
      <c r="O23" s="9" t="str">
        <f>_xll.SNL.Clients.Office.Excel.Functions.SPG(I23, "SP_ULT_PARENT_COMPANY_NAME")</f>
        <v/>
      </c>
      <c r="P23" s="9" t="str">
        <f>_xll.SNL.Clients.Office.Excel.Functions.SPG(I23, "SP_ULT_PARENT_COUNTRY")</f>
        <v/>
      </c>
      <c r="Q23" s="9" t="str">
        <f>_xll.SNL.Clients.Office.Excel.Functions.SPG(I23, "SP_PARENT_COMPANY_NAME")</f>
        <v/>
      </c>
      <c r="R23" s="9" t="str">
        <f>_xll.SNL.Clients.Office.Excel.Functions.SPG(I23, "SP_PARENT_COUNTRY")</f>
        <v/>
      </c>
      <c r="S23" s="9" t="str">
        <f>_xll.SNL.Clients.Office.Excel.Functions.SPG(I23, "SP_COUNTRY_NAME")</f>
        <v>China</v>
      </c>
    </row>
    <row r="24" spans="1:19" ht="174" x14ac:dyDescent="0.35">
      <c r="A24" s="5">
        <v>46022</v>
      </c>
      <c r="B24" s="4" t="s">
        <v>85</v>
      </c>
      <c r="C24" s="4" t="s">
        <v>86</v>
      </c>
      <c r="D24" s="4" t="s">
        <v>228</v>
      </c>
      <c r="E24" s="8">
        <v>4351437</v>
      </c>
      <c r="F24" s="7">
        <v>100</v>
      </c>
      <c r="G24" s="9" t="str">
        <f>[1]!SNLData("243327", $C24, "OWNER_LIST")</f>
        <v>JinChuan Group Co.,Ltd  100%</v>
      </c>
      <c r="H24" s="10">
        <f>[1]!SNLData("243327", C24, "OWNER_SNL_INSTN_KEY", "Owner 1")</f>
        <v>4351437</v>
      </c>
      <c r="I24" s="10" t="str">
        <f>[1]!SNLData("243327", C24, "OWNER_SNL_INSTN_KEY", "Owner 2")</f>
        <v>NA</v>
      </c>
      <c r="J24" s="9" t="str">
        <f>_xll.SNL.Clients.Office.Excel.Functions.SPG(H24, "SP_ULT_PARENT_COMPANY_NAME")</f>
        <v>State-Owned Assets Supervision And Administration Commission Of Gansu Provincial</v>
      </c>
      <c r="K24" s="9" t="str">
        <f>_xll.SNL.Clients.Office.Excel.Functions.SPG(H24, "SP_ULT_PARENT_COUNTRY")</f>
        <v>China</v>
      </c>
      <c r="L24" s="9" t="str">
        <f>_xll.SNL.Clients.Office.Excel.Functions.SPG(H24, "SP_PARENT_COMPANY_NAME")</f>
        <v>State-Owned Assets Supervision And Administration Commission Of Gansu Provincial</v>
      </c>
      <c r="M24" s="9" t="str">
        <f>_xll.SNL.Clients.Office.Excel.Functions.SPG(H24, "SP_PARENT_COUNTRY")</f>
        <v>China</v>
      </c>
      <c r="N24" s="9" t="str">
        <f>_xll.SNL.Clients.Office.Excel.Functions.SPG(H24, "SP_COUNTRY_NAME")</f>
        <v>China</v>
      </c>
      <c r="O24" s="9" t="str">
        <f>_xll.SNL.Clients.Office.Excel.Functions.SPG(I24, "SP_ULT_PARENT_COMPANY_NAME")</f>
        <v/>
      </c>
      <c r="P24" s="9" t="str">
        <f>_xll.SNL.Clients.Office.Excel.Functions.SPG(I24, "SP_ULT_PARENT_COUNTRY")</f>
        <v/>
      </c>
      <c r="Q24" s="9" t="str">
        <f>_xll.SNL.Clients.Office.Excel.Functions.SPG(I24, "SP_PARENT_COMPANY_NAME")</f>
        <v/>
      </c>
      <c r="R24" s="9" t="str">
        <f>_xll.SNL.Clients.Office.Excel.Functions.SPG(I24, "SP_PARENT_COUNTRY")</f>
        <v/>
      </c>
      <c r="S24" s="9" t="str">
        <f>_xll.SNL.Clients.Office.Excel.Functions.SPG(I24, "SP_COUNTRY_NAME")</f>
        <v>China</v>
      </c>
    </row>
    <row r="25" spans="1:19" ht="87" x14ac:dyDescent="0.35">
      <c r="A25" s="5">
        <v>46022</v>
      </c>
      <c r="B25" s="4" t="s">
        <v>58</v>
      </c>
      <c r="C25" s="4" t="s">
        <v>59</v>
      </c>
      <c r="D25" s="4" t="s">
        <v>216</v>
      </c>
      <c r="E25" s="8">
        <v>4355482</v>
      </c>
      <c r="F25" s="7">
        <v>100</v>
      </c>
      <c r="G25" s="9" t="str">
        <f>[1]!SNLData("243327", $C25, "OWNER_LIST")</f>
        <v>Xinjiang Xinxin Mining Industry Co., Ltd.  100%</v>
      </c>
      <c r="H25" s="10">
        <f>[1]!SNLData("243327", C25, "OWNER_SNL_INSTN_KEY", "Owner 1")</f>
        <v>4355482</v>
      </c>
      <c r="I25" s="10" t="str">
        <f>[1]!SNLData("243327", C25, "OWNER_SNL_INSTN_KEY", "Owner 2")</f>
        <v>NA</v>
      </c>
      <c r="J25" s="9" t="str">
        <f>_xll.SNL.Clients.Office.Excel.Functions.SPG(H25, "SP_ULT_PARENT_COMPANY_NAME")</f>
        <v>Xinjiang NonFerrous Metal Industry (Group) Co.Ltd</v>
      </c>
      <c r="K25" s="9" t="str">
        <f>_xll.SNL.Clients.Office.Excel.Functions.SPG(H25, "SP_ULT_PARENT_COUNTRY")</f>
        <v>China</v>
      </c>
      <c r="L25" s="9" t="str">
        <f>_xll.SNL.Clients.Office.Excel.Functions.SPG(H25, "SP_PARENT_COMPANY_NAME")</f>
        <v>Xinjiang NonFerrous Metal Industry (Group) Co.Ltd</v>
      </c>
      <c r="M25" s="9" t="str">
        <f>_xll.SNL.Clients.Office.Excel.Functions.SPG(H25, "SP_PARENT_COUNTRY")</f>
        <v>China</v>
      </c>
      <c r="N25" s="9" t="str">
        <f>_xll.SNL.Clients.Office.Excel.Functions.SPG(H25, "SP_COUNTRY_NAME")</f>
        <v>China</v>
      </c>
      <c r="O25" s="9" t="str">
        <f>_xll.SNL.Clients.Office.Excel.Functions.SPG(I25, "SP_ULT_PARENT_COMPANY_NAME")</f>
        <v/>
      </c>
      <c r="P25" s="9" t="str">
        <f>_xll.SNL.Clients.Office.Excel.Functions.SPG(I25, "SP_ULT_PARENT_COUNTRY")</f>
        <v/>
      </c>
      <c r="Q25" s="9" t="str">
        <f>_xll.SNL.Clients.Office.Excel.Functions.SPG(I25, "SP_PARENT_COMPANY_NAME")</f>
        <v/>
      </c>
      <c r="R25" s="9" t="str">
        <f>_xll.SNL.Clients.Office.Excel.Functions.SPG(I25, "SP_PARENT_COUNTRY")</f>
        <v/>
      </c>
      <c r="S25" s="9" t="str">
        <f>_xll.SNL.Clients.Office.Excel.Functions.SPG(I25, "SP_COUNTRY_NAME")</f>
        <v>China</v>
      </c>
    </row>
    <row r="26" spans="1:19" ht="101.5" x14ac:dyDescent="0.35">
      <c r="A26" s="5">
        <v>46022</v>
      </c>
      <c r="B26" s="4" t="s">
        <v>60</v>
      </c>
      <c r="C26" s="4" t="s">
        <v>61</v>
      </c>
      <c r="D26" s="4" t="s">
        <v>229</v>
      </c>
      <c r="E26" s="8">
        <v>4649760</v>
      </c>
      <c r="F26" s="7">
        <v>85</v>
      </c>
      <c r="G26" s="9" t="str">
        <f>[1]!SNLData("243327", $C26, "OWNER_LIST")</f>
        <v>Chengtun Mining Group Co., Ltd. (Venturer) 85%; Dem. Rep. Congo (Carried) 5%; La Generale Industrielle et Commerciale au Congo SPRL (Venturer) 10%; Ivanhoe Mines Ltd. (Fractional) %</v>
      </c>
      <c r="H26" s="10">
        <f>[1]!SNLData("243327", C26, "OWNER_SNL_INSTN_KEY", "Owner 1")</f>
        <v>4649760</v>
      </c>
      <c r="I26" s="10">
        <f>[1]!SNLData("243327", C26, "OWNER_SNL_INSTN_KEY", "Owner 2")</f>
        <v>4567062</v>
      </c>
      <c r="J26" s="9" t="str">
        <f>_xll.SNL.Clients.Office.Excel.Functions.SPG(H26, "SP_ULT_PARENT_COMPANY_NAME")</f>
        <v/>
      </c>
      <c r="K26" s="9" t="str">
        <f>_xll.SNL.Clients.Office.Excel.Functions.SPG(H26, "SP_ULT_PARENT_COUNTRY")</f>
        <v/>
      </c>
      <c r="L26" s="9" t="str">
        <f>_xll.SNL.Clients.Office.Excel.Functions.SPG(H26, "SP_PARENT_COMPANY_NAME")</f>
        <v/>
      </c>
      <c r="M26" s="9" t="str">
        <f>_xll.SNL.Clients.Office.Excel.Functions.SPG(H26, "SP_PARENT_COUNTRY")</f>
        <v/>
      </c>
      <c r="N26" s="9" t="str">
        <f>_xll.SNL.Clients.Office.Excel.Functions.SPG(H26, "SP_COUNTRY_NAME")</f>
        <v>China</v>
      </c>
      <c r="O26" s="9" t="str">
        <f>_xll.SNL.Clients.Office.Excel.Functions.SPG(I26, "SP_ULT_PARENT_COMPANY_NAME")</f>
        <v/>
      </c>
      <c r="P26" s="9" t="str">
        <f>_xll.SNL.Clients.Office.Excel.Functions.SPG(I26, "SP_ULT_PARENT_COUNTRY")</f>
        <v/>
      </c>
      <c r="Q26" s="9" t="str">
        <f>_xll.SNL.Clients.Office.Excel.Functions.SPG(I26, "SP_PARENT_COMPANY_NAME")</f>
        <v/>
      </c>
      <c r="R26" s="9" t="str">
        <f>_xll.SNL.Clients.Office.Excel.Functions.SPG(I26, "SP_PARENT_COUNTRY")</f>
        <v/>
      </c>
      <c r="S26" s="9" t="str">
        <f>_xll.SNL.Clients.Office.Excel.Functions.SPG(I26, "SP_COUNTRY_NAME")</f>
        <v>Dem. Rep. Congo</v>
      </c>
    </row>
    <row r="27" spans="1:19" ht="101.5" x14ac:dyDescent="0.35">
      <c r="A27" s="5">
        <v>46022</v>
      </c>
      <c r="B27" s="4" t="s">
        <v>60</v>
      </c>
      <c r="C27" s="4" t="s">
        <v>61</v>
      </c>
      <c r="D27" s="4" t="s">
        <v>62</v>
      </c>
      <c r="E27" s="8">
        <v>4350734</v>
      </c>
      <c r="F27" s="7">
        <v>5</v>
      </c>
      <c r="G27" s="9" t="str">
        <f>[1]!SNLData("243327", $C27, "OWNER_LIST")</f>
        <v>Chengtun Mining Group Co., Ltd. (Venturer) 85%; Dem. Rep. Congo (Carried) 5%; La Generale Industrielle et Commerciale au Congo SPRL (Venturer) 10%; Ivanhoe Mines Ltd. (Fractional) %</v>
      </c>
      <c r="H27" s="10">
        <f>[1]!SNLData("243327", C27, "OWNER_SNL_INSTN_KEY", "Owner 1")</f>
        <v>4649760</v>
      </c>
      <c r="I27" s="10">
        <f>[1]!SNLData("243327", C27, "OWNER_SNL_INSTN_KEY", "Owner 2")</f>
        <v>4567062</v>
      </c>
      <c r="J27" s="9" t="str">
        <f>_xll.SNL.Clients.Office.Excel.Functions.SPG(H27, "SP_ULT_PARENT_COMPANY_NAME")</f>
        <v/>
      </c>
      <c r="K27" s="9" t="str">
        <f>_xll.SNL.Clients.Office.Excel.Functions.SPG(H27, "SP_ULT_PARENT_COUNTRY")</f>
        <v/>
      </c>
      <c r="L27" s="9" t="str">
        <f>_xll.SNL.Clients.Office.Excel.Functions.SPG(H27, "SP_PARENT_COMPANY_NAME")</f>
        <v/>
      </c>
      <c r="M27" s="9" t="str">
        <f>_xll.SNL.Clients.Office.Excel.Functions.SPG(H27, "SP_PARENT_COUNTRY")</f>
        <v/>
      </c>
      <c r="N27" s="9" t="str">
        <f>_xll.SNL.Clients.Office.Excel.Functions.SPG(H27, "SP_COUNTRY_NAME")</f>
        <v>China</v>
      </c>
      <c r="O27" s="9" t="str">
        <f>_xll.SNL.Clients.Office.Excel.Functions.SPG(I27, "SP_ULT_PARENT_COMPANY_NAME")</f>
        <v/>
      </c>
      <c r="P27" s="9" t="str">
        <f>_xll.SNL.Clients.Office.Excel.Functions.SPG(I27, "SP_ULT_PARENT_COUNTRY")</f>
        <v/>
      </c>
      <c r="Q27" s="9" t="str">
        <f>_xll.SNL.Clients.Office.Excel.Functions.SPG(I27, "SP_PARENT_COMPANY_NAME")</f>
        <v/>
      </c>
      <c r="R27" s="9" t="str">
        <f>_xll.SNL.Clients.Office.Excel.Functions.SPG(I27, "SP_PARENT_COUNTRY")</f>
        <v/>
      </c>
      <c r="S27" s="9" t="str">
        <f>_xll.SNL.Clients.Office.Excel.Functions.SPG(I27, "SP_COUNTRY_NAME")</f>
        <v>Dem. Rep. Congo</v>
      </c>
    </row>
    <row r="28" spans="1:19" ht="101.5" x14ac:dyDescent="0.35">
      <c r="A28" s="5">
        <v>46022</v>
      </c>
      <c r="B28" s="4" t="s">
        <v>60</v>
      </c>
      <c r="C28" s="4" t="s">
        <v>61</v>
      </c>
      <c r="D28" s="4" t="s">
        <v>230</v>
      </c>
      <c r="E28" s="8">
        <v>4567062</v>
      </c>
      <c r="F28" s="7">
        <v>10</v>
      </c>
      <c r="G28" s="9" t="str">
        <f>[1]!SNLData("243327", $C28, "OWNER_LIST")</f>
        <v>Chengtun Mining Group Co., Ltd. (Venturer) 85%; Dem. Rep. Congo (Carried) 5%; La Generale Industrielle et Commerciale au Congo SPRL (Venturer) 10%; Ivanhoe Mines Ltd. (Fractional) %</v>
      </c>
      <c r="H28" s="10">
        <f>[1]!SNLData("243327", C28, "OWNER_SNL_INSTN_KEY", "Owner 1")</f>
        <v>4649760</v>
      </c>
      <c r="I28" s="10">
        <f>[1]!SNLData("243327", C28, "OWNER_SNL_INSTN_KEY", "Owner 2")</f>
        <v>4567062</v>
      </c>
      <c r="J28" s="9" t="str">
        <f>_xll.SNL.Clients.Office.Excel.Functions.SPG(H28, "SP_ULT_PARENT_COMPANY_NAME")</f>
        <v/>
      </c>
      <c r="K28" s="9" t="str">
        <f>_xll.SNL.Clients.Office.Excel.Functions.SPG(H28, "SP_ULT_PARENT_COUNTRY")</f>
        <v/>
      </c>
      <c r="L28" s="9" t="str">
        <f>_xll.SNL.Clients.Office.Excel.Functions.SPG(H28, "SP_PARENT_COMPANY_NAME")</f>
        <v/>
      </c>
      <c r="M28" s="9" t="str">
        <f>_xll.SNL.Clients.Office.Excel.Functions.SPG(H28, "SP_PARENT_COUNTRY")</f>
        <v/>
      </c>
      <c r="N28" s="9" t="str">
        <f>_xll.SNL.Clients.Office.Excel.Functions.SPG(H28, "SP_COUNTRY_NAME")</f>
        <v>China</v>
      </c>
      <c r="O28" s="9" t="str">
        <f>_xll.SNL.Clients.Office.Excel.Functions.SPG(I28, "SP_ULT_PARENT_COMPANY_NAME")</f>
        <v/>
      </c>
      <c r="P28" s="9" t="str">
        <f>_xll.SNL.Clients.Office.Excel.Functions.SPG(I28, "SP_ULT_PARENT_COUNTRY")</f>
        <v/>
      </c>
      <c r="Q28" s="9" t="str">
        <f>_xll.SNL.Clients.Office.Excel.Functions.SPG(I28, "SP_PARENT_COMPANY_NAME")</f>
        <v/>
      </c>
      <c r="R28" s="9" t="str">
        <f>_xll.SNL.Clients.Office.Excel.Functions.SPG(I28, "SP_PARENT_COUNTRY")</f>
        <v/>
      </c>
      <c r="S28" s="9" t="str">
        <f>_xll.SNL.Clients.Office.Excel.Functions.SPG(I28, "SP_COUNTRY_NAME")</f>
        <v>Dem. Rep. Congo</v>
      </c>
    </row>
    <row r="29" spans="1:19" ht="43.5" x14ac:dyDescent="0.35">
      <c r="A29" s="5">
        <v>46022</v>
      </c>
      <c r="B29" s="4" t="s">
        <v>80</v>
      </c>
      <c r="C29" s="4" t="s">
        <v>81</v>
      </c>
      <c r="D29" s="4" t="s">
        <v>62</v>
      </c>
      <c r="E29" s="8">
        <v>4350734</v>
      </c>
      <c r="F29" s="7">
        <v>25</v>
      </c>
      <c r="G29" s="9" t="str">
        <f>[1]!SNLData("243327", $C29, "OWNER_LIST")</f>
        <v>Glencore plc  75%; Dem. Rep. Congo (Venturer) 25%</v>
      </c>
      <c r="H29" s="10">
        <f>[1]!SNLData("243327", C29, "OWNER_SNL_INSTN_KEY", "Owner 1")</f>
        <v>4113732</v>
      </c>
      <c r="I29" s="10">
        <f>[1]!SNLData("243327", C29, "OWNER_SNL_INSTN_KEY", "Owner 2")</f>
        <v>4350734</v>
      </c>
      <c r="J29" s="9" t="str">
        <f>_xll.SNL.Clients.Office.Excel.Functions.SPG(H29, "SP_ULT_PARENT_COMPANY_NAME")</f>
        <v/>
      </c>
      <c r="K29" s="9" t="str">
        <f>_xll.SNL.Clients.Office.Excel.Functions.SPG(H29, "SP_ULT_PARENT_COUNTRY")</f>
        <v/>
      </c>
      <c r="L29" s="9" t="str">
        <f>_xll.SNL.Clients.Office.Excel.Functions.SPG(H29, "SP_PARENT_COMPANY_NAME")</f>
        <v/>
      </c>
      <c r="M29" s="9" t="str">
        <f>_xll.SNL.Clients.Office.Excel.Functions.SPG(H29, "SP_PARENT_COUNTRY")</f>
        <v/>
      </c>
      <c r="N29" s="9" t="str">
        <f>_xll.SNL.Clients.Office.Excel.Functions.SPG(H29, "SP_COUNTRY_NAME")</f>
        <v>Switzerland</v>
      </c>
      <c r="O29" s="9" t="str">
        <f>_xll.SNL.Clients.Office.Excel.Functions.SPG(I29, "SP_ULT_PARENT_COMPANY_NAME")</f>
        <v/>
      </c>
      <c r="P29" s="9" t="str">
        <f>_xll.SNL.Clients.Office.Excel.Functions.SPG(I29, "SP_ULT_PARENT_COUNTRY")</f>
        <v/>
      </c>
      <c r="Q29" s="9" t="str">
        <f>_xll.SNL.Clients.Office.Excel.Functions.SPG(I29, "SP_PARENT_COMPANY_NAME")</f>
        <v/>
      </c>
      <c r="R29" s="9" t="str">
        <f>_xll.SNL.Clients.Office.Excel.Functions.SPG(I29, "SP_PARENT_COUNTRY")</f>
        <v/>
      </c>
      <c r="S29" s="9" t="str">
        <f>_xll.SNL.Clients.Office.Excel.Functions.SPG(I29, "SP_COUNTRY_NAME")</f>
        <v>Dem. Rep. Congo</v>
      </c>
    </row>
    <row r="30" spans="1:19" ht="43.5" x14ac:dyDescent="0.35">
      <c r="A30" s="5">
        <v>46022</v>
      </c>
      <c r="B30" s="4" t="s">
        <v>80</v>
      </c>
      <c r="C30" s="4" t="s">
        <v>81</v>
      </c>
      <c r="D30" s="4" t="s">
        <v>231</v>
      </c>
      <c r="E30" s="8">
        <v>4113732</v>
      </c>
      <c r="F30" s="7">
        <v>75</v>
      </c>
      <c r="G30" s="9" t="str">
        <f>[1]!SNLData("243327", $C30, "OWNER_LIST")</f>
        <v>Glencore plc  75%; Dem. Rep. Congo (Venturer) 25%</v>
      </c>
      <c r="H30" s="10">
        <f>[1]!SNLData("243327", C30, "OWNER_SNL_INSTN_KEY", "Owner 1")</f>
        <v>4113732</v>
      </c>
      <c r="I30" s="10">
        <f>[1]!SNLData("243327", C30, "OWNER_SNL_INSTN_KEY", "Owner 2")</f>
        <v>4350734</v>
      </c>
      <c r="J30" s="9" t="str">
        <f>_xll.SNL.Clients.Office.Excel.Functions.SPG(H30, "SP_ULT_PARENT_COMPANY_NAME")</f>
        <v/>
      </c>
      <c r="K30" s="9" t="str">
        <f>_xll.SNL.Clients.Office.Excel.Functions.SPG(H30, "SP_ULT_PARENT_COUNTRY")</f>
        <v/>
      </c>
      <c r="L30" s="9" t="str">
        <f>_xll.SNL.Clients.Office.Excel.Functions.SPG(H30, "SP_PARENT_COMPANY_NAME")</f>
        <v/>
      </c>
      <c r="M30" s="9" t="str">
        <f>_xll.SNL.Clients.Office.Excel.Functions.SPG(H30, "SP_PARENT_COUNTRY")</f>
        <v/>
      </c>
      <c r="N30" s="9" t="str">
        <f>_xll.SNL.Clients.Office.Excel.Functions.SPG(H30, "SP_COUNTRY_NAME")</f>
        <v>Switzerland</v>
      </c>
      <c r="O30" s="9" t="str">
        <f>_xll.SNL.Clients.Office.Excel.Functions.SPG(I30, "SP_ULT_PARENT_COMPANY_NAME")</f>
        <v/>
      </c>
      <c r="P30" s="9" t="str">
        <f>_xll.SNL.Clients.Office.Excel.Functions.SPG(I30, "SP_ULT_PARENT_COUNTRY")</f>
        <v/>
      </c>
      <c r="Q30" s="9" t="str">
        <f>_xll.SNL.Clients.Office.Excel.Functions.SPG(I30, "SP_PARENT_COMPANY_NAME")</f>
        <v/>
      </c>
      <c r="R30" s="9" t="str">
        <f>_xll.SNL.Clients.Office.Excel.Functions.SPG(I30, "SP_PARENT_COUNTRY")</f>
        <v/>
      </c>
      <c r="S30" s="9" t="str">
        <f>_xll.SNL.Clients.Office.Excel.Functions.SPG(I30, "SP_COUNTRY_NAME")</f>
        <v>Dem. Rep. Congo</v>
      </c>
    </row>
    <row r="31" spans="1:19" x14ac:dyDescent="0.35">
      <c r="A31" s="5">
        <v>46022</v>
      </c>
      <c r="B31" s="4" t="s">
        <v>82</v>
      </c>
      <c r="C31" s="4" t="s">
        <v>83</v>
      </c>
      <c r="D31" s="4" t="s">
        <v>232</v>
      </c>
      <c r="E31" s="8">
        <v>4348654</v>
      </c>
      <c r="F31" s="7">
        <v>100</v>
      </c>
      <c r="G31" s="9" t="str">
        <f>[1]!SNLData("243327", $C31, "OWNER_LIST")</f>
        <v>Boliden AB (publ)  100%</v>
      </c>
      <c r="H31" s="10">
        <f>[1]!SNLData("243327", C31, "OWNER_SNL_INSTN_KEY", "Owner 1")</f>
        <v>4348654</v>
      </c>
      <c r="I31" s="10" t="str">
        <f>[1]!SNLData("243327", C31, "OWNER_SNL_INSTN_KEY", "Owner 2")</f>
        <v>NA</v>
      </c>
      <c r="J31" s="9" t="str">
        <f>_xll.SNL.Clients.Office.Excel.Functions.SPG(H31, "SP_ULT_PARENT_COMPANY_NAME")</f>
        <v/>
      </c>
      <c r="K31" s="9" t="str">
        <f>_xll.SNL.Clients.Office.Excel.Functions.SPG(H31, "SP_ULT_PARENT_COUNTRY")</f>
        <v/>
      </c>
      <c r="L31" s="9" t="str">
        <f>_xll.SNL.Clients.Office.Excel.Functions.SPG(H31, "SP_PARENT_COMPANY_NAME")</f>
        <v/>
      </c>
      <c r="M31" s="9" t="str">
        <f>_xll.SNL.Clients.Office.Excel.Functions.SPG(H31, "SP_PARENT_COUNTRY")</f>
        <v/>
      </c>
      <c r="N31" s="9" t="str">
        <f>_xll.SNL.Clients.Office.Excel.Functions.SPG(H31, "SP_COUNTRY_NAME")</f>
        <v>Sweden</v>
      </c>
      <c r="O31" s="9" t="str">
        <f>_xll.SNL.Clients.Office.Excel.Functions.SPG(I31, "SP_ULT_PARENT_COMPANY_NAME")</f>
        <v/>
      </c>
      <c r="P31" s="9" t="str">
        <f>_xll.SNL.Clients.Office.Excel.Functions.SPG(I31, "SP_ULT_PARENT_COUNTRY")</f>
        <v/>
      </c>
      <c r="Q31" s="9" t="str">
        <f>_xll.SNL.Clients.Office.Excel.Functions.SPG(I31, "SP_PARENT_COMPANY_NAME")</f>
        <v/>
      </c>
      <c r="R31" s="9" t="str">
        <f>_xll.SNL.Clients.Office.Excel.Functions.SPG(I31, "SP_PARENT_COUNTRY")</f>
        <v/>
      </c>
      <c r="S31" s="9" t="str">
        <f>_xll.SNL.Clients.Office.Excel.Functions.SPG(I31, "SP_COUNTRY_NAME")</f>
        <v>China</v>
      </c>
    </row>
    <row r="32" spans="1:19" ht="87" x14ac:dyDescent="0.35">
      <c r="A32" s="5">
        <v>46022</v>
      </c>
      <c r="B32" s="4" t="s">
        <v>63</v>
      </c>
      <c r="C32" s="4" t="s">
        <v>64</v>
      </c>
      <c r="D32" s="4" t="s">
        <v>233</v>
      </c>
      <c r="E32" s="8">
        <v>4349148</v>
      </c>
      <c r="F32" s="7">
        <v>71.25</v>
      </c>
      <c r="G32" s="9" t="str">
        <f>[1]!SNLData("243327", $C32, "OWNER_LIST")</f>
        <v>CMOC Group Limited (Venturer) 71.25%; Contemporary Amperex Technology Co., Limited (Venturer) 23.75%; Unnamed Owner (Fractional) %</v>
      </c>
      <c r="H32" s="10">
        <f>[1]!SNLData("243327", C32, "OWNER_SNL_INSTN_KEY", "Owner 1")</f>
        <v>4349148</v>
      </c>
      <c r="I32" s="10">
        <f>[1]!SNLData("243327", C32, "OWNER_SNL_INSTN_KEY", "Owner 2")</f>
        <v>6582136</v>
      </c>
      <c r="J32" s="9" t="str">
        <f>_xll.SNL.Clients.Office.Excel.Functions.SPG(H32, "SP_ULT_PARENT_COMPANY_NAME")</f>
        <v/>
      </c>
      <c r="K32" s="9" t="str">
        <f>_xll.SNL.Clients.Office.Excel.Functions.SPG(H32, "SP_ULT_PARENT_COUNTRY")</f>
        <v/>
      </c>
      <c r="L32" s="9" t="str">
        <f>_xll.SNL.Clients.Office.Excel.Functions.SPG(H32, "SP_PARENT_COMPANY_NAME")</f>
        <v/>
      </c>
      <c r="M32" s="9" t="str">
        <f>_xll.SNL.Clients.Office.Excel.Functions.SPG(H32, "SP_PARENT_COUNTRY")</f>
        <v/>
      </c>
      <c r="N32" s="9" t="str">
        <f>_xll.SNL.Clients.Office.Excel.Functions.SPG(H32, "SP_COUNTRY_NAME")</f>
        <v>China</v>
      </c>
      <c r="O32" s="9" t="str">
        <f>_xll.SNL.Clients.Office.Excel.Functions.SPG(I32, "SP_ULT_PARENT_COMPANY_NAME")</f>
        <v/>
      </c>
      <c r="P32" s="9" t="str">
        <f>_xll.SNL.Clients.Office.Excel.Functions.SPG(I32, "SP_ULT_PARENT_COUNTRY")</f>
        <v/>
      </c>
      <c r="Q32" s="9" t="str">
        <f>_xll.SNL.Clients.Office.Excel.Functions.SPG(I32, "SP_PARENT_COMPANY_NAME")</f>
        <v/>
      </c>
      <c r="R32" s="9" t="str">
        <f>_xll.SNL.Clients.Office.Excel.Functions.SPG(I32, "SP_PARENT_COUNTRY")</f>
        <v/>
      </c>
      <c r="S32" s="9" t="str">
        <f>_xll.SNL.Clients.Office.Excel.Functions.SPG(I32, "SP_COUNTRY_NAME")</f>
        <v>China</v>
      </c>
    </row>
    <row r="33" spans="1:19" ht="87" x14ac:dyDescent="0.35">
      <c r="A33" s="5">
        <v>46022</v>
      </c>
      <c r="B33" s="4" t="s">
        <v>63</v>
      </c>
      <c r="C33" s="4" t="s">
        <v>64</v>
      </c>
      <c r="D33" s="4" t="s">
        <v>234</v>
      </c>
      <c r="E33" s="8">
        <v>6582136</v>
      </c>
      <c r="F33" s="7">
        <v>23.75</v>
      </c>
      <c r="G33" s="9" t="str">
        <f>[1]!SNLData("243327", $C33, "OWNER_LIST")</f>
        <v>CMOC Group Limited (Venturer) 71.25%; Contemporary Amperex Technology Co., Limited (Venturer) 23.75%; Unnamed Owner (Fractional) %</v>
      </c>
      <c r="H33" s="10">
        <f>[1]!SNLData("243327", C33, "OWNER_SNL_INSTN_KEY", "Owner 1")</f>
        <v>4349148</v>
      </c>
      <c r="I33" s="10">
        <f>[1]!SNLData("243327", C33, "OWNER_SNL_INSTN_KEY", "Owner 2")</f>
        <v>6582136</v>
      </c>
      <c r="J33" s="9" t="str">
        <f>_xll.SNL.Clients.Office.Excel.Functions.SPG(H33, "SP_ULT_PARENT_COMPANY_NAME")</f>
        <v/>
      </c>
      <c r="K33" s="9" t="str">
        <f>_xll.SNL.Clients.Office.Excel.Functions.SPG(H33, "SP_ULT_PARENT_COUNTRY")</f>
        <v/>
      </c>
      <c r="L33" s="9" t="str">
        <f>_xll.SNL.Clients.Office.Excel.Functions.SPG(H33, "SP_PARENT_COMPANY_NAME")</f>
        <v/>
      </c>
      <c r="M33" s="9" t="str">
        <f>_xll.SNL.Clients.Office.Excel.Functions.SPG(H33, "SP_PARENT_COUNTRY")</f>
        <v/>
      </c>
      <c r="N33" s="9" t="str">
        <f>_xll.SNL.Clients.Office.Excel.Functions.SPG(H33, "SP_COUNTRY_NAME")</f>
        <v>China</v>
      </c>
      <c r="O33" s="9" t="str">
        <f>_xll.SNL.Clients.Office.Excel.Functions.SPG(I33, "SP_ULT_PARENT_COMPANY_NAME")</f>
        <v/>
      </c>
      <c r="P33" s="9" t="str">
        <f>_xll.SNL.Clients.Office.Excel.Functions.SPG(I33, "SP_ULT_PARENT_COUNTRY")</f>
        <v/>
      </c>
      <c r="Q33" s="9" t="str">
        <f>_xll.SNL.Clients.Office.Excel.Functions.SPG(I33, "SP_PARENT_COMPANY_NAME")</f>
        <v/>
      </c>
      <c r="R33" s="9" t="str">
        <f>_xll.SNL.Clients.Office.Excel.Functions.SPG(I33, "SP_PARENT_COUNTRY")</f>
        <v/>
      </c>
      <c r="S33" s="9" t="str">
        <f>_xll.SNL.Clients.Office.Excel.Functions.SPG(I33, "SP_COUNTRY_NAME")</f>
        <v>China</v>
      </c>
    </row>
    <row r="34" spans="1:19" ht="43.5" x14ac:dyDescent="0.35">
      <c r="A34" s="5">
        <v>46022</v>
      </c>
      <c r="B34" s="4" t="s">
        <v>65</v>
      </c>
      <c r="C34" s="4" t="s">
        <v>66</v>
      </c>
      <c r="D34" s="4" t="s">
        <v>235</v>
      </c>
      <c r="E34" s="8">
        <v>4350360</v>
      </c>
      <c r="F34" s="7">
        <v>33</v>
      </c>
      <c r="G34" s="9" t="str">
        <f>[1]!SNLData("243327", $C34, "OWNER_LIST")</f>
        <v>Zijin Mining Group Company Limited (Venturer) 67%; Gécamines SA (Venturer) 33%</v>
      </c>
      <c r="H34" s="10">
        <f>[1]!SNLData("243327", C34, "OWNER_SNL_INSTN_KEY", "Owner 1")</f>
        <v>4355642</v>
      </c>
      <c r="I34" s="10">
        <f>[1]!SNLData("243327", C34, "OWNER_SNL_INSTN_KEY", "Owner 2")</f>
        <v>4350360</v>
      </c>
      <c r="J34" s="9" t="str">
        <f>_xll.SNL.Clients.Office.Excel.Functions.SPG(H34, "SP_ULT_PARENT_COMPANY_NAME")</f>
        <v/>
      </c>
      <c r="K34" s="9" t="str">
        <f>_xll.SNL.Clients.Office.Excel.Functions.SPG(H34, "SP_ULT_PARENT_COUNTRY")</f>
        <v/>
      </c>
      <c r="L34" s="9" t="str">
        <f>_xll.SNL.Clients.Office.Excel.Functions.SPG(H34, "SP_PARENT_COMPANY_NAME")</f>
        <v/>
      </c>
      <c r="M34" s="9" t="str">
        <f>_xll.SNL.Clients.Office.Excel.Functions.SPG(H34, "SP_PARENT_COUNTRY")</f>
        <v/>
      </c>
      <c r="N34" s="9" t="str">
        <f>_xll.SNL.Clients.Office.Excel.Functions.SPG(H34, "SP_COUNTRY_NAME")</f>
        <v>China</v>
      </c>
      <c r="O34" s="9" t="str">
        <f>_xll.SNL.Clients.Office.Excel.Functions.SPG(I34, "SP_ULT_PARENT_COMPANY_NAME")</f>
        <v>Dem. Rep. Congo</v>
      </c>
      <c r="P34" s="9" t="str">
        <f>_xll.SNL.Clients.Office.Excel.Functions.SPG(I34, "SP_ULT_PARENT_COUNTRY")</f>
        <v>Dem. Rep. Congo</v>
      </c>
      <c r="Q34" s="9" t="str">
        <f>_xll.SNL.Clients.Office.Excel.Functions.SPG(I34, "SP_PARENT_COMPANY_NAME")</f>
        <v>Dem. Rep. Congo</v>
      </c>
      <c r="R34" s="9" t="str">
        <f>_xll.SNL.Clients.Office.Excel.Functions.SPG(I34, "SP_PARENT_COUNTRY")</f>
        <v>Dem. Rep. Congo</v>
      </c>
      <c r="S34" s="9" t="str">
        <f>_xll.SNL.Clients.Office.Excel.Functions.SPG(I34, "SP_COUNTRY_NAME")</f>
        <v>Dem. Rep. Congo</v>
      </c>
    </row>
    <row r="35" spans="1:19" ht="43.5" x14ac:dyDescent="0.35">
      <c r="A35" s="5">
        <v>46022</v>
      </c>
      <c r="B35" s="4" t="s">
        <v>65</v>
      </c>
      <c r="C35" s="4" t="s">
        <v>66</v>
      </c>
      <c r="D35" s="4" t="s">
        <v>221</v>
      </c>
      <c r="E35" s="8">
        <v>4355642</v>
      </c>
      <c r="F35" s="7">
        <v>67</v>
      </c>
      <c r="G35" s="9" t="str">
        <f>[1]!SNLData("243327", $C35, "OWNER_LIST")</f>
        <v>Zijin Mining Group Company Limited (Venturer) 67%; Gécamines SA (Venturer) 33%</v>
      </c>
      <c r="H35" s="10">
        <f>[1]!SNLData("243327", C35, "OWNER_SNL_INSTN_KEY", "Owner 1")</f>
        <v>4355642</v>
      </c>
      <c r="I35" s="10">
        <f>[1]!SNLData("243327", C35, "OWNER_SNL_INSTN_KEY", "Owner 2")</f>
        <v>4350360</v>
      </c>
      <c r="J35" s="9" t="str">
        <f>_xll.SNL.Clients.Office.Excel.Functions.SPG(H35, "SP_ULT_PARENT_COMPANY_NAME")</f>
        <v/>
      </c>
      <c r="K35" s="9" t="str">
        <f>_xll.SNL.Clients.Office.Excel.Functions.SPG(H35, "SP_ULT_PARENT_COUNTRY")</f>
        <v/>
      </c>
      <c r="L35" s="9" t="str">
        <f>_xll.SNL.Clients.Office.Excel.Functions.SPG(H35, "SP_PARENT_COMPANY_NAME")</f>
        <v/>
      </c>
      <c r="M35" s="9" t="str">
        <f>_xll.SNL.Clients.Office.Excel.Functions.SPG(H35, "SP_PARENT_COUNTRY")</f>
        <v/>
      </c>
      <c r="N35" s="9" t="str">
        <f>_xll.SNL.Clients.Office.Excel.Functions.SPG(H35, "SP_COUNTRY_NAME")</f>
        <v>China</v>
      </c>
      <c r="O35" s="9" t="str">
        <f>_xll.SNL.Clients.Office.Excel.Functions.SPG(I35, "SP_ULT_PARENT_COMPANY_NAME")</f>
        <v>Dem. Rep. Congo</v>
      </c>
      <c r="P35" s="9" t="str">
        <f>_xll.SNL.Clients.Office.Excel.Functions.SPG(I35, "SP_ULT_PARENT_COUNTRY")</f>
        <v>Dem. Rep. Congo</v>
      </c>
      <c r="Q35" s="9" t="str">
        <f>_xll.SNL.Clients.Office.Excel.Functions.SPG(I35, "SP_PARENT_COMPANY_NAME")</f>
        <v>Dem. Rep. Congo</v>
      </c>
      <c r="R35" s="9" t="str">
        <f>_xll.SNL.Clients.Office.Excel.Functions.SPG(I35, "SP_PARENT_COUNTRY")</f>
        <v>Dem. Rep. Congo</v>
      </c>
      <c r="S35" s="9" t="str">
        <f>_xll.SNL.Clients.Office.Excel.Functions.SPG(I35, "SP_COUNTRY_NAME")</f>
        <v>Dem. Rep. Congo</v>
      </c>
    </row>
    <row r="36" spans="1:19" x14ac:dyDescent="0.35">
      <c r="A36" s="5">
        <v>46022</v>
      </c>
      <c r="B36" s="4" t="s">
        <v>87</v>
      </c>
      <c r="C36" s="4" t="s">
        <v>88</v>
      </c>
      <c r="D36" s="4" t="s">
        <v>236</v>
      </c>
      <c r="E36" s="8">
        <v>4223919</v>
      </c>
      <c r="F36" s="7">
        <v>100</v>
      </c>
      <c r="G36" s="9" t="str">
        <f>[1]!SNLData("243327", $C36, "OWNER_LIST")</f>
        <v>Vale S.A.  100%</v>
      </c>
      <c r="H36" s="10">
        <f>[1]!SNLData("243327", C36, "OWNER_SNL_INSTN_KEY", "Owner 1")</f>
        <v>4223919</v>
      </c>
      <c r="I36" s="10" t="str">
        <f>[1]!SNLData("243327", C36, "OWNER_SNL_INSTN_KEY", "Owner 2")</f>
        <v>NA</v>
      </c>
      <c r="J36" s="9" t="str">
        <f>_xll.SNL.Clients.Office.Excel.Functions.SPG(H36, "SP_ULT_PARENT_COMPANY_NAME")</f>
        <v/>
      </c>
      <c r="K36" s="9" t="str">
        <f>_xll.SNL.Clients.Office.Excel.Functions.SPG(H36, "SP_ULT_PARENT_COUNTRY")</f>
        <v/>
      </c>
      <c r="L36" s="9" t="str">
        <f>_xll.SNL.Clients.Office.Excel.Functions.SPG(H36, "SP_PARENT_COMPANY_NAME")</f>
        <v/>
      </c>
      <c r="M36" s="9" t="str">
        <f>_xll.SNL.Clients.Office.Excel.Functions.SPG(H36, "SP_PARENT_COUNTRY")</f>
        <v/>
      </c>
      <c r="N36" s="9" t="str">
        <f>_xll.SNL.Clients.Office.Excel.Functions.SPG(H36, "SP_COUNTRY_NAME")</f>
        <v>Brazil</v>
      </c>
      <c r="O36" s="9" t="str">
        <f>_xll.SNL.Clients.Office.Excel.Functions.SPG(I36, "SP_ULT_PARENT_COMPANY_NAME")</f>
        <v/>
      </c>
      <c r="P36" s="9" t="str">
        <f>_xll.SNL.Clients.Office.Excel.Functions.SPG(I36, "SP_ULT_PARENT_COUNTRY")</f>
        <v/>
      </c>
      <c r="Q36" s="9" t="str">
        <f>_xll.SNL.Clients.Office.Excel.Functions.SPG(I36, "SP_PARENT_COMPANY_NAME")</f>
        <v/>
      </c>
      <c r="R36" s="9" t="str">
        <f>_xll.SNL.Clients.Office.Excel.Functions.SPG(I36, "SP_PARENT_COUNTRY")</f>
        <v/>
      </c>
      <c r="S36" s="9" t="str">
        <f>_xll.SNL.Clients.Office.Excel.Functions.SPG(I36, "SP_COUNTRY_NAME")</f>
        <v>China</v>
      </c>
    </row>
    <row r="37" spans="1:19" ht="58" x14ac:dyDescent="0.35">
      <c r="A37" s="5">
        <v>46022</v>
      </c>
      <c r="B37" s="4" t="s">
        <v>90</v>
      </c>
      <c r="C37" s="4" t="s">
        <v>91</v>
      </c>
      <c r="D37" s="4" t="s">
        <v>237</v>
      </c>
      <c r="E37" s="8">
        <v>8380433</v>
      </c>
      <c r="F37" s="7">
        <v>100</v>
      </c>
      <c r="G37" s="9" t="str">
        <f>[1]!SNLData("243327", $C37, "OWNER_LIST")</f>
        <v>Eurasian Group LLP  100%</v>
      </c>
      <c r="H37" s="10">
        <f>[1]!SNLData("243327", C37, "OWNER_SNL_INSTN_KEY", "Owner 1")</f>
        <v>8380433</v>
      </c>
      <c r="I37" s="10" t="str">
        <f>[1]!SNLData("243327", C37, "OWNER_SNL_INSTN_KEY", "Owner 2")</f>
        <v>NA</v>
      </c>
      <c r="J37" s="9" t="str">
        <f>_xll.SNL.Clients.Office.Excel.Functions.SPG(H37, "SP_ULT_PARENT_COMPANY_NAME")</f>
        <v>Eurasian Resources Group S.à r.l.</v>
      </c>
      <c r="K37" s="9" t="str">
        <f>_xll.SNL.Clients.Office.Excel.Functions.SPG(H37, "SP_ULT_PARENT_COUNTRY")</f>
        <v>Luxembourg</v>
      </c>
      <c r="L37" s="9" t="str">
        <f>_xll.SNL.Clients.Office.Excel.Functions.SPG(H37, "SP_PARENT_COMPANY_NAME")</f>
        <v>Eurasian Resources Group S.à r.l.</v>
      </c>
      <c r="M37" s="9" t="str">
        <f>_xll.SNL.Clients.Office.Excel.Functions.SPG(H37, "SP_PARENT_COUNTRY")</f>
        <v>Luxembourg</v>
      </c>
      <c r="N37" s="9" t="str">
        <f>_xll.SNL.Clients.Office.Excel.Functions.SPG(H37, "SP_COUNTRY_NAME")</f>
        <v>Kazakhstan</v>
      </c>
      <c r="O37" s="9" t="str">
        <f>_xll.SNL.Clients.Office.Excel.Functions.SPG(I37, "SP_ULT_PARENT_COMPANY_NAME")</f>
        <v/>
      </c>
      <c r="P37" s="9" t="str">
        <f>_xll.SNL.Clients.Office.Excel.Functions.SPG(I37, "SP_ULT_PARENT_COUNTRY")</f>
        <v/>
      </c>
      <c r="Q37" s="9" t="str">
        <f>_xll.SNL.Clients.Office.Excel.Functions.SPG(I37, "SP_PARENT_COMPANY_NAME")</f>
        <v/>
      </c>
      <c r="R37" s="9" t="str">
        <f>_xll.SNL.Clients.Office.Excel.Functions.SPG(I37, "SP_PARENT_COUNTRY")</f>
        <v/>
      </c>
      <c r="S37" s="9" t="str">
        <f>_xll.SNL.Clients.Office.Excel.Functions.SPG(I37, "SP_COUNTRY_NAME")</f>
        <v>China</v>
      </c>
    </row>
    <row r="38" spans="1:19" ht="58" x14ac:dyDescent="0.35">
      <c r="A38" s="5">
        <v>46022</v>
      </c>
      <c r="B38" s="4" t="s">
        <v>92</v>
      </c>
      <c r="C38" s="4" t="s">
        <v>93</v>
      </c>
      <c r="D38" s="4" t="s">
        <v>226</v>
      </c>
      <c r="E38" s="8">
        <v>4351190</v>
      </c>
      <c r="F38" s="7">
        <v>50</v>
      </c>
      <c r="G38" s="9" t="str">
        <f>[1]!SNLData("243327", $C38, "OWNER_LIST")</f>
        <v>Sibanye Stillwater Limited (Venturer) 50%; Impala Platinum Holdings Limited (Venturer) 50%</v>
      </c>
      <c r="H38" s="10">
        <f>[1]!SNLData("243327", C38, "OWNER_SNL_INSTN_KEY", "Owner 1")</f>
        <v>4351190</v>
      </c>
      <c r="I38" s="10">
        <f>[1]!SNLData("243327", C38, "OWNER_SNL_INSTN_KEY", "Owner 2")</f>
        <v>4379789</v>
      </c>
      <c r="J38" s="9" t="str">
        <f>_xll.SNL.Clients.Office.Excel.Functions.SPG(H38, "SP_ULT_PARENT_COMPANY_NAME")</f>
        <v/>
      </c>
      <c r="K38" s="9" t="str">
        <f>_xll.SNL.Clients.Office.Excel.Functions.SPG(H38, "SP_ULT_PARENT_COUNTRY")</f>
        <v/>
      </c>
      <c r="L38" s="9" t="str">
        <f>_xll.SNL.Clients.Office.Excel.Functions.SPG(H38, "SP_PARENT_COMPANY_NAME")</f>
        <v/>
      </c>
      <c r="M38" s="9" t="str">
        <f>_xll.SNL.Clients.Office.Excel.Functions.SPG(H38, "SP_PARENT_COUNTRY")</f>
        <v/>
      </c>
      <c r="N38" s="9" t="str">
        <f>_xll.SNL.Clients.Office.Excel.Functions.SPG(H38, "SP_COUNTRY_NAME")</f>
        <v>South Africa</v>
      </c>
      <c r="O38" s="9" t="str">
        <f>_xll.SNL.Clients.Office.Excel.Functions.SPG(I38, "SP_ULT_PARENT_COMPANY_NAME")</f>
        <v/>
      </c>
      <c r="P38" s="9" t="str">
        <f>_xll.SNL.Clients.Office.Excel.Functions.SPG(I38, "SP_ULT_PARENT_COUNTRY")</f>
        <v/>
      </c>
      <c r="Q38" s="9" t="str">
        <f>_xll.SNL.Clients.Office.Excel.Functions.SPG(I38, "SP_PARENT_COMPANY_NAME")</f>
        <v/>
      </c>
      <c r="R38" s="9" t="str">
        <f>_xll.SNL.Clients.Office.Excel.Functions.SPG(I38, "SP_PARENT_COUNTRY")</f>
        <v/>
      </c>
      <c r="S38" s="9" t="str">
        <f>_xll.SNL.Clients.Office.Excel.Functions.SPG(I38, "SP_COUNTRY_NAME")</f>
        <v>South Africa</v>
      </c>
    </row>
    <row r="39" spans="1:19" ht="58" x14ac:dyDescent="0.35">
      <c r="A39" s="5">
        <v>46022</v>
      </c>
      <c r="B39" s="4" t="s">
        <v>92</v>
      </c>
      <c r="C39" s="4" t="s">
        <v>93</v>
      </c>
      <c r="D39" s="4" t="s">
        <v>238</v>
      </c>
      <c r="E39" s="8">
        <v>4379789</v>
      </c>
      <c r="F39" s="7">
        <v>50</v>
      </c>
      <c r="G39" s="9" t="str">
        <f>[1]!SNLData("243327", $C39, "OWNER_LIST")</f>
        <v>Sibanye Stillwater Limited (Venturer) 50%; Impala Platinum Holdings Limited (Venturer) 50%</v>
      </c>
      <c r="H39" s="10">
        <f>[1]!SNLData("243327", C39, "OWNER_SNL_INSTN_KEY", "Owner 1")</f>
        <v>4351190</v>
      </c>
      <c r="I39" s="10">
        <f>[1]!SNLData("243327", C39, "OWNER_SNL_INSTN_KEY", "Owner 2")</f>
        <v>4379789</v>
      </c>
      <c r="J39" s="9" t="str">
        <f>_xll.SNL.Clients.Office.Excel.Functions.SPG(H39, "SP_ULT_PARENT_COMPANY_NAME")</f>
        <v/>
      </c>
      <c r="K39" s="9" t="str">
        <f>_xll.SNL.Clients.Office.Excel.Functions.SPG(H39, "SP_ULT_PARENT_COUNTRY")</f>
        <v/>
      </c>
      <c r="L39" s="9" t="str">
        <f>_xll.SNL.Clients.Office.Excel.Functions.SPG(H39, "SP_PARENT_COMPANY_NAME")</f>
        <v/>
      </c>
      <c r="M39" s="9" t="str">
        <f>_xll.SNL.Clients.Office.Excel.Functions.SPG(H39, "SP_PARENT_COUNTRY")</f>
        <v/>
      </c>
      <c r="N39" s="9" t="str">
        <f>_xll.SNL.Clients.Office.Excel.Functions.SPG(H39, "SP_COUNTRY_NAME")</f>
        <v>South Africa</v>
      </c>
      <c r="O39" s="9" t="str">
        <f>_xll.SNL.Clients.Office.Excel.Functions.SPG(I39, "SP_ULT_PARENT_COMPANY_NAME")</f>
        <v/>
      </c>
      <c r="P39" s="9" t="str">
        <f>_xll.SNL.Clients.Office.Excel.Functions.SPG(I39, "SP_ULT_PARENT_COUNTRY")</f>
        <v/>
      </c>
      <c r="Q39" s="9" t="str">
        <f>_xll.SNL.Clients.Office.Excel.Functions.SPG(I39, "SP_PARENT_COMPANY_NAME")</f>
        <v/>
      </c>
      <c r="R39" s="9" t="str">
        <f>_xll.SNL.Clients.Office.Excel.Functions.SPG(I39, "SP_PARENT_COUNTRY")</f>
        <v/>
      </c>
      <c r="S39" s="9" t="str">
        <f>_xll.SNL.Clients.Office.Excel.Functions.SPG(I39, "SP_COUNTRY_NAME")</f>
        <v>South Africa</v>
      </c>
    </row>
    <row r="40" spans="1:19" ht="43.5" x14ac:dyDescent="0.35">
      <c r="A40" s="5">
        <v>46022</v>
      </c>
      <c r="B40" s="4" t="s">
        <v>102</v>
      </c>
      <c r="C40" s="4" t="s">
        <v>103</v>
      </c>
      <c r="D40" s="4" t="s">
        <v>239</v>
      </c>
      <c r="E40" s="8">
        <v>4502042</v>
      </c>
      <c r="F40" s="7">
        <v>50</v>
      </c>
      <c r="G40" s="9" t="str">
        <f>[1]!SNLData("243327", $C40, "OWNER_LIST")</f>
        <v>General Nickel Company S.A.  50%; Sherritt International Corporation (Venturer) 50%</v>
      </c>
      <c r="H40" s="10">
        <f>[1]!SNLData("243327", C40, "OWNER_SNL_INSTN_KEY", "Owner 1")</f>
        <v>4102700</v>
      </c>
      <c r="I40" s="10">
        <f>[1]!SNLData("243327", C40, "OWNER_SNL_INSTN_KEY", "Owner 2")</f>
        <v>4502042</v>
      </c>
      <c r="J40" s="9" t="str">
        <f>_xll.SNL.Clients.Office.Excel.Functions.SPG(H40, "SP_ULT_PARENT_COMPANY_NAME")</f>
        <v/>
      </c>
      <c r="K40" s="9" t="str">
        <f>_xll.SNL.Clients.Office.Excel.Functions.SPG(H40, "SP_ULT_PARENT_COUNTRY")</f>
        <v/>
      </c>
      <c r="L40" s="9" t="str">
        <f>_xll.SNL.Clients.Office.Excel.Functions.SPG(H40, "SP_PARENT_COMPANY_NAME")</f>
        <v/>
      </c>
      <c r="M40" s="9" t="str">
        <f>_xll.SNL.Clients.Office.Excel.Functions.SPG(H40, "SP_PARENT_COUNTRY")</f>
        <v/>
      </c>
      <c r="N40" s="9" t="str">
        <f>_xll.SNL.Clients.Office.Excel.Functions.SPG(H40, "SP_COUNTRY_NAME")</f>
        <v>Canada</v>
      </c>
      <c r="O40" s="9" t="str">
        <f>_xll.SNL.Clients.Office.Excel.Functions.SPG(I40, "SP_ULT_PARENT_COMPANY_NAME")</f>
        <v/>
      </c>
      <c r="P40" s="9" t="str">
        <f>_xll.SNL.Clients.Office.Excel.Functions.SPG(I40, "SP_ULT_PARENT_COUNTRY")</f>
        <v/>
      </c>
      <c r="Q40" s="9" t="str">
        <f>_xll.SNL.Clients.Office.Excel.Functions.SPG(I40, "SP_PARENT_COMPANY_NAME")</f>
        <v/>
      </c>
      <c r="R40" s="9" t="str">
        <f>_xll.SNL.Clients.Office.Excel.Functions.SPG(I40, "SP_PARENT_COUNTRY")</f>
        <v/>
      </c>
      <c r="S40" s="9" t="str">
        <f>_xll.SNL.Clients.Office.Excel.Functions.SPG(I40, "SP_COUNTRY_NAME")</f>
        <v>Cuba</v>
      </c>
    </row>
    <row r="41" spans="1:19" ht="43.5" x14ac:dyDescent="0.35">
      <c r="A41" s="5">
        <v>46022</v>
      </c>
      <c r="B41" s="4" t="s">
        <v>102</v>
      </c>
      <c r="C41" s="4" t="s">
        <v>103</v>
      </c>
      <c r="D41" s="4" t="s">
        <v>240</v>
      </c>
      <c r="E41" s="8">
        <v>4102700</v>
      </c>
      <c r="F41" s="7">
        <v>50</v>
      </c>
      <c r="G41" s="9" t="str">
        <f>[1]!SNLData("243327", $C41, "OWNER_LIST")</f>
        <v>General Nickel Company S.A.  50%; Sherritt International Corporation (Venturer) 50%</v>
      </c>
      <c r="H41" s="10">
        <f>[1]!SNLData("243327", C41, "OWNER_SNL_INSTN_KEY", "Owner 1")</f>
        <v>4102700</v>
      </c>
      <c r="I41" s="10">
        <f>[1]!SNLData("243327", C41, "OWNER_SNL_INSTN_KEY", "Owner 2")</f>
        <v>4502042</v>
      </c>
      <c r="J41" s="9" t="str">
        <f>_xll.SNL.Clients.Office.Excel.Functions.SPG(H41, "SP_ULT_PARENT_COMPANY_NAME")</f>
        <v/>
      </c>
      <c r="K41" s="9" t="str">
        <f>_xll.SNL.Clients.Office.Excel.Functions.SPG(H41, "SP_ULT_PARENT_COUNTRY")</f>
        <v/>
      </c>
      <c r="L41" s="9" t="str">
        <f>_xll.SNL.Clients.Office.Excel.Functions.SPG(H41, "SP_PARENT_COMPANY_NAME")</f>
        <v/>
      </c>
      <c r="M41" s="9" t="str">
        <f>_xll.SNL.Clients.Office.Excel.Functions.SPG(H41, "SP_PARENT_COUNTRY")</f>
        <v/>
      </c>
      <c r="N41" s="9" t="str">
        <f>_xll.SNL.Clients.Office.Excel.Functions.SPG(H41, "SP_COUNTRY_NAME")</f>
        <v>Canada</v>
      </c>
      <c r="O41" s="9" t="str">
        <f>_xll.SNL.Clients.Office.Excel.Functions.SPG(I41, "SP_ULT_PARENT_COMPANY_NAME")</f>
        <v/>
      </c>
      <c r="P41" s="9" t="str">
        <f>_xll.SNL.Clients.Office.Excel.Functions.SPG(I41, "SP_ULT_PARENT_COUNTRY")</f>
        <v/>
      </c>
      <c r="Q41" s="9" t="str">
        <f>_xll.SNL.Clients.Office.Excel.Functions.SPG(I41, "SP_PARENT_COMPANY_NAME")</f>
        <v/>
      </c>
      <c r="R41" s="9" t="str">
        <f>_xll.SNL.Clients.Office.Excel.Functions.SPG(I41, "SP_PARENT_COUNTRY")</f>
        <v/>
      </c>
      <c r="S41" s="9" t="str">
        <f>_xll.SNL.Clients.Office.Excel.Functions.SPG(I41, "SP_COUNTRY_NAME")</f>
        <v>Cuba</v>
      </c>
    </row>
    <row r="42" spans="1:19" ht="174" x14ac:dyDescent="0.35">
      <c r="A42" s="5">
        <v>46022</v>
      </c>
      <c r="B42" s="4" t="s">
        <v>110</v>
      </c>
      <c r="C42" s="4" t="s">
        <v>111</v>
      </c>
      <c r="D42" s="4" t="s">
        <v>241</v>
      </c>
      <c r="E42" s="8">
        <v>4616696</v>
      </c>
      <c r="F42" s="7">
        <v>68</v>
      </c>
      <c r="G42" s="9" t="str">
        <f>[1]!SNLData("243327", $C42, "OWNER_LIST")</f>
        <v>Consolidated Mining and Investments Ltd (Optionee) 68%; Jinchuan Group International Resources Co. Ltd (Optionor) 32%</v>
      </c>
      <c r="H42" s="10">
        <f>[1]!SNLData("243327", C42, "OWNER_SNL_INSTN_KEY", "Owner 1")</f>
        <v>4616696</v>
      </c>
      <c r="I42" s="10">
        <f>[1]!SNLData("243327", C42, "OWNER_SNL_INSTN_KEY", "Owner 2")</f>
        <v>4361447</v>
      </c>
      <c r="J42" s="9" t="str">
        <f>_xll.SNL.Clients.Office.Excel.Functions.SPG(H42, "SP_ULT_PARENT_COMPANY_NAME")</f>
        <v/>
      </c>
      <c r="K42" s="9" t="str">
        <f>_xll.SNL.Clients.Office.Excel.Functions.SPG(H42, "SP_ULT_PARENT_COUNTRY")</f>
        <v/>
      </c>
      <c r="L42" s="9" t="str">
        <f>_xll.SNL.Clients.Office.Excel.Functions.SPG(H42, "SP_PARENT_COMPANY_NAME")</f>
        <v/>
      </c>
      <c r="M42" s="9" t="str">
        <f>_xll.SNL.Clients.Office.Excel.Functions.SPG(H42, "SP_PARENT_COUNTRY")</f>
        <v/>
      </c>
      <c r="N42" s="9" t="str">
        <f>_xll.SNL.Clients.Office.Excel.Functions.SPG(H42, "SP_COUNTRY_NAME")</f>
        <v>United Kingdom</v>
      </c>
      <c r="O42" s="9" t="str">
        <f>_xll.SNL.Clients.Office.Excel.Functions.SPG(I42, "SP_ULT_PARENT_COMPANY_NAME")</f>
        <v>State-Owned Assets Supervision And Administration Commission Of Gansu Provincial</v>
      </c>
      <c r="P42" s="9" t="str">
        <f>_xll.SNL.Clients.Office.Excel.Functions.SPG(I42, "SP_ULT_PARENT_COUNTRY")</f>
        <v>China</v>
      </c>
      <c r="Q42" s="9" t="str">
        <f>_xll.SNL.Clients.Office.Excel.Functions.SPG(I42, "SP_PARENT_COMPANY_NAME")</f>
        <v>Jinchuan (BVI) Limited</v>
      </c>
      <c r="R42" s="9" t="str">
        <f>_xll.SNL.Clients.Office.Excel.Functions.SPG(I42, "SP_PARENT_COUNTRY")</f>
        <v>BVI</v>
      </c>
      <c r="S42" s="9" t="str">
        <f>_xll.SNL.Clients.Office.Excel.Functions.SPG(I42, "SP_COUNTRY_NAME")</f>
        <v>Hong Kong</v>
      </c>
    </row>
    <row r="43" spans="1:19" ht="174" x14ac:dyDescent="0.35">
      <c r="A43" s="5">
        <v>46022</v>
      </c>
      <c r="B43" s="4" t="s">
        <v>110</v>
      </c>
      <c r="C43" s="4" t="s">
        <v>111</v>
      </c>
      <c r="D43" s="4" t="s">
        <v>242</v>
      </c>
      <c r="E43" s="8">
        <v>4361447</v>
      </c>
      <c r="F43" s="7">
        <v>32</v>
      </c>
      <c r="G43" s="9" t="str">
        <f>[1]!SNLData("243327", $C43, "OWNER_LIST")</f>
        <v>Consolidated Mining and Investments Ltd (Optionee) 68%; Jinchuan Group International Resources Co. Ltd (Optionor) 32%</v>
      </c>
      <c r="H43" s="10">
        <f>[1]!SNLData("243327", C43, "OWNER_SNL_INSTN_KEY", "Owner 1")</f>
        <v>4616696</v>
      </c>
      <c r="I43" s="10">
        <f>[1]!SNLData("243327", C43, "OWNER_SNL_INSTN_KEY", "Owner 2")</f>
        <v>4361447</v>
      </c>
      <c r="J43" s="9" t="str">
        <f>_xll.SNL.Clients.Office.Excel.Functions.SPG(H43, "SP_ULT_PARENT_COMPANY_NAME")</f>
        <v/>
      </c>
      <c r="K43" s="9" t="str">
        <f>_xll.SNL.Clients.Office.Excel.Functions.SPG(H43, "SP_ULT_PARENT_COUNTRY")</f>
        <v/>
      </c>
      <c r="L43" s="9" t="str">
        <f>_xll.SNL.Clients.Office.Excel.Functions.SPG(H43, "SP_PARENT_COMPANY_NAME")</f>
        <v/>
      </c>
      <c r="M43" s="9" t="str">
        <f>_xll.SNL.Clients.Office.Excel.Functions.SPG(H43, "SP_PARENT_COUNTRY")</f>
        <v/>
      </c>
      <c r="N43" s="9" t="str">
        <f>_xll.SNL.Clients.Office.Excel.Functions.SPG(H43, "SP_COUNTRY_NAME")</f>
        <v>United Kingdom</v>
      </c>
      <c r="O43" s="9" t="str">
        <f>_xll.SNL.Clients.Office.Excel.Functions.SPG(I43, "SP_ULT_PARENT_COMPANY_NAME")</f>
        <v>State-Owned Assets Supervision And Administration Commission Of Gansu Provincial</v>
      </c>
      <c r="P43" s="9" t="str">
        <f>_xll.SNL.Clients.Office.Excel.Functions.SPG(I43, "SP_ULT_PARENT_COUNTRY")</f>
        <v>China</v>
      </c>
      <c r="Q43" s="9" t="str">
        <f>_xll.SNL.Clients.Office.Excel.Functions.SPG(I43, "SP_PARENT_COMPANY_NAME")</f>
        <v>Jinchuan (BVI) Limited</v>
      </c>
      <c r="R43" s="9" t="str">
        <f>_xll.SNL.Clients.Office.Excel.Functions.SPG(I43, "SP_PARENT_COUNTRY")</f>
        <v>BVI</v>
      </c>
      <c r="S43" s="9" t="str">
        <f>_xll.SNL.Clients.Office.Excel.Functions.SPG(I43, "SP_COUNTRY_NAME")</f>
        <v>Hong Kong</v>
      </c>
    </row>
    <row r="44" spans="1:19" ht="29" x14ac:dyDescent="0.35">
      <c r="A44" s="5">
        <v>46022</v>
      </c>
      <c r="B44" s="4" t="s">
        <v>134</v>
      </c>
      <c r="C44" s="4" t="s">
        <v>135</v>
      </c>
      <c r="D44" s="4" t="s">
        <v>231</v>
      </c>
      <c r="E44" s="8">
        <v>4113732</v>
      </c>
      <c r="F44" s="7">
        <v>100</v>
      </c>
      <c r="G44" s="9" t="str">
        <f>[1]!SNLData("243327", $C44, "OWNER_LIST")</f>
        <v>Glencore plc  100%</v>
      </c>
      <c r="H44" s="10">
        <f>[1]!SNLData("243327", C44, "OWNER_SNL_INSTN_KEY", "Owner 1")</f>
        <v>4113732</v>
      </c>
      <c r="I44" s="10" t="str">
        <f>[1]!SNLData("243327", C44, "OWNER_SNL_INSTN_KEY", "Owner 2")</f>
        <v>NA</v>
      </c>
      <c r="J44" s="9" t="str">
        <f>_xll.SNL.Clients.Office.Excel.Functions.SPG(H44, "SP_ULT_PARENT_COMPANY_NAME")</f>
        <v/>
      </c>
      <c r="K44" s="9" t="str">
        <f>_xll.SNL.Clients.Office.Excel.Functions.SPG(H44, "SP_ULT_PARENT_COUNTRY")</f>
        <v/>
      </c>
      <c r="L44" s="9" t="str">
        <f>_xll.SNL.Clients.Office.Excel.Functions.SPG(H44, "SP_PARENT_COMPANY_NAME")</f>
        <v/>
      </c>
      <c r="M44" s="9" t="str">
        <f>_xll.SNL.Clients.Office.Excel.Functions.SPG(H44, "SP_PARENT_COUNTRY")</f>
        <v/>
      </c>
      <c r="N44" s="9" t="str">
        <f>_xll.SNL.Clients.Office.Excel.Functions.SPG(H44, "SP_COUNTRY_NAME")</f>
        <v>Switzerland</v>
      </c>
      <c r="O44" s="9" t="str">
        <f>_xll.SNL.Clients.Office.Excel.Functions.SPG(I44, "SP_ULT_PARENT_COMPANY_NAME")</f>
        <v/>
      </c>
      <c r="P44" s="9" t="str">
        <f>_xll.SNL.Clients.Office.Excel.Functions.SPG(I44, "SP_ULT_PARENT_COUNTRY")</f>
        <v/>
      </c>
      <c r="Q44" s="9" t="str">
        <f>_xll.SNL.Clients.Office.Excel.Functions.SPG(I44, "SP_PARENT_COMPANY_NAME")</f>
        <v/>
      </c>
      <c r="R44" s="9" t="str">
        <f>_xll.SNL.Clients.Office.Excel.Functions.SPG(I44, "SP_PARENT_COUNTRY")</f>
        <v/>
      </c>
      <c r="S44" s="9" t="str">
        <f>_xll.SNL.Clients.Office.Excel.Functions.SPG(I44, "SP_COUNTRY_NAME")</f>
        <v>China</v>
      </c>
    </row>
    <row r="45" spans="1:19" ht="174" x14ac:dyDescent="0.35">
      <c r="A45" s="5">
        <v>46022</v>
      </c>
      <c r="B45" s="4" t="s">
        <v>112</v>
      </c>
      <c r="C45" s="4" t="s">
        <v>113</v>
      </c>
      <c r="D45" s="4" t="s">
        <v>62</v>
      </c>
      <c r="E45" s="8">
        <v>4350734</v>
      </c>
      <c r="F45" s="7">
        <v>5</v>
      </c>
      <c r="G45" s="9" t="str">
        <f>[1]!SNLData("243327", $C45, "OWNER_LIST")</f>
        <v>Dem. Rep. Congo (Venturer) 5%; Jinchuan Group International Resources Co. Ltd (Venturer) 70%; Gécamines SA (Venturer) 25%</v>
      </c>
      <c r="H45" s="10">
        <f>[1]!SNLData("243327", C45, "OWNER_SNL_INSTN_KEY", "Owner 1")</f>
        <v>4361447</v>
      </c>
      <c r="I45" s="10">
        <f>[1]!SNLData("243327", C45, "OWNER_SNL_INSTN_KEY", "Owner 2")</f>
        <v>4350360</v>
      </c>
      <c r="J45" s="9" t="str">
        <f>_xll.SNL.Clients.Office.Excel.Functions.SPG(H45, "SP_ULT_PARENT_COMPANY_NAME")</f>
        <v>State-Owned Assets Supervision And Administration Commission Of Gansu Provincial</v>
      </c>
      <c r="K45" s="9" t="str">
        <f>_xll.SNL.Clients.Office.Excel.Functions.SPG(H45, "SP_ULT_PARENT_COUNTRY")</f>
        <v>China</v>
      </c>
      <c r="L45" s="9" t="str">
        <f>_xll.SNL.Clients.Office.Excel.Functions.SPG(H45, "SP_PARENT_COMPANY_NAME")</f>
        <v>Jinchuan (BVI) Limited</v>
      </c>
      <c r="M45" s="9" t="str">
        <f>_xll.SNL.Clients.Office.Excel.Functions.SPG(H45, "SP_PARENT_COUNTRY")</f>
        <v>BVI</v>
      </c>
      <c r="N45" s="9" t="str">
        <f>_xll.SNL.Clients.Office.Excel.Functions.SPG(H45, "SP_COUNTRY_NAME")</f>
        <v>Hong Kong</v>
      </c>
      <c r="O45" s="9" t="str">
        <f>_xll.SNL.Clients.Office.Excel.Functions.SPG(I45, "SP_ULT_PARENT_COMPANY_NAME")</f>
        <v>Dem. Rep. Congo</v>
      </c>
      <c r="P45" s="9" t="str">
        <f>_xll.SNL.Clients.Office.Excel.Functions.SPG(I45, "SP_ULT_PARENT_COUNTRY")</f>
        <v>Dem. Rep. Congo</v>
      </c>
      <c r="Q45" s="9" t="str">
        <f>_xll.SNL.Clients.Office.Excel.Functions.SPG(I45, "SP_PARENT_COMPANY_NAME")</f>
        <v>Dem. Rep. Congo</v>
      </c>
      <c r="R45" s="9" t="str">
        <f>_xll.SNL.Clients.Office.Excel.Functions.SPG(I45, "SP_PARENT_COUNTRY")</f>
        <v>Dem. Rep. Congo</v>
      </c>
      <c r="S45" s="9" t="str">
        <f>_xll.SNL.Clients.Office.Excel.Functions.SPG(I45, "SP_COUNTRY_NAME")</f>
        <v>Dem. Rep. Congo</v>
      </c>
    </row>
    <row r="46" spans="1:19" ht="174" x14ac:dyDescent="0.35">
      <c r="A46" s="5">
        <v>46022</v>
      </c>
      <c r="B46" s="4" t="s">
        <v>112</v>
      </c>
      <c r="C46" s="4" t="s">
        <v>113</v>
      </c>
      <c r="D46" s="4" t="s">
        <v>235</v>
      </c>
      <c r="E46" s="8">
        <v>4350360</v>
      </c>
      <c r="F46" s="7">
        <v>25</v>
      </c>
      <c r="G46" s="9" t="str">
        <f>[1]!SNLData("243327", $C46, "OWNER_LIST")</f>
        <v>Dem. Rep. Congo (Venturer) 5%; Jinchuan Group International Resources Co. Ltd (Venturer) 70%; Gécamines SA (Venturer) 25%</v>
      </c>
      <c r="H46" s="10">
        <f>[1]!SNLData("243327", C46, "OWNER_SNL_INSTN_KEY", "Owner 1")</f>
        <v>4361447</v>
      </c>
      <c r="I46" s="10">
        <f>[1]!SNLData("243327", C46, "OWNER_SNL_INSTN_KEY", "Owner 2")</f>
        <v>4350360</v>
      </c>
      <c r="J46" s="9" t="str">
        <f>_xll.SNL.Clients.Office.Excel.Functions.SPG(H46, "SP_ULT_PARENT_COMPANY_NAME")</f>
        <v>State-Owned Assets Supervision And Administration Commission Of Gansu Provincial</v>
      </c>
      <c r="K46" s="9" t="str">
        <f>_xll.SNL.Clients.Office.Excel.Functions.SPG(H46, "SP_ULT_PARENT_COUNTRY")</f>
        <v>China</v>
      </c>
      <c r="L46" s="9" t="str">
        <f>_xll.SNL.Clients.Office.Excel.Functions.SPG(H46, "SP_PARENT_COMPANY_NAME")</f>
        <v>Jinchuan (BVI) Limited</v>
      </c>
      <c r="M46" s="9" t="str">
        <f>_xll.SNL.Clients.Office.Excel.Functions.SPG(H46, "SP_PARENT_COUNTRY")</f>
        <v>BVI</v>
      </c>
      <c r="N46" s="9" t="str">
        <f>_xll.SNL.Clients.Office.Excel.Functions.SPG(H46, "SP_COUNTRY_NAME")</f>
        <v>Hong Kong</v>
      </c>
      <c r="O46" s="9" t="str">
        <f>_xll.SNL.Clients.Office.Excel.Functions.SPG(I46, "SP_ULT_PARENT_COMPANY_NAME")</f>
        <v>Dem. Rep. Congo</v>
      </c>
      <c r="P46" s="9" t="str">
        <f>_xll.SNL.Clients.Office.Excel.Functions.SPG(I46, "SP_ULT_PARENT_COUNTRY")</f>
        <v>Dem. Rep. Congo</v>
      </c>
      <c r="Q46" s="9" t="str">
        <f>_xll.SNL.Clients.Office.Excel.Functions.SPG(I46, "SP_PARENT_COMPANY_NAME")</f>
        <v>Dem. Rep. Congo</v>
      </c>
      <c r="R46" s="9" t="str">
        <f>_xll.SNL.Clients.Office.Excel.Functions.SPG(I46, "SP_PARENT_COUNTRY")</f>
        <v>Dem. Rep. Congo</v>
      </c>
      <c r="S46" s="9" t="str">
        <f>_xll.SNL.Clients.Office.Excel.Functions.SPG(I46, "SP_COUNTRY_NAME")</f>
        <v>Dem. Rep. Congo</v>
      </c>
    </row>
    <row r="47" spans="1:19" ht="174" x14ac:dyDescent="0.35">
      <c r="A47" s="5">
        <v>46022</v>
      </c>
      <c r="B47" s="4" t="s">
        <v>112</v>
      </c>
      <c r="C47" s="4" t="s">
        <v>113</v>
      </c>
      <c r="D47" s="4" t="s">
        <v>242</v>
      </c>
      <c r="E47" s="8">
        <v>4361447</v>
      </c>
      <c r="F47" s="7">
        <v>70</v>
      </c>
      <c r="G47" s="9" t="str">
        <f>[1]!SNLData("243327", $C47, "OWNER_LIST")</f>
        <v>Dem. Rep. Congo (Venturer) 5%; Jinchuan Group International Resources Co. Ltd (Venturer) 70%; Gécamines SA (Venturer) 25%</v>
      </c>
      <c r="H47" s="10">
        <f>[1]!SNLData("243327", C47, "OWNER_SNL_INSTN_KEY", "Owner 1")</f>
        <v>4361447</v>
      </c>
      <c r="I47" s="10">
        <f>[1]!SNLData("243327", C47, "OWNER_SNL_INSTN_KEY", "Owner 2")</f>
        <v>4350360</v>
      </c>
      <c r="J47" s="9" t="str">
        <f>_xll.SNL.Clients.Office.Excel.Functions.SPG(H47, "SP_ULT_PARENT_COMPANY_NAME")</f>
        <v>State-Owned Assets Supervision And Administration Commission Of Gansu Provincial</v>
      </c>
      <c r="K47" s="9" t="str">
        <f>_xll.SNL.Clients.Office.Excel.Functions.SPG(H47, "SP_ULT_PARENT_COUNTRY")</f>
        <v>China</v>
      </c>
      <c r="L47" s="9" t="str">
        <f>_xll.SNL.Clients.Office.Excel.Functions.SPG(H47, "SP_PARENT_COMPANY_NAME")</f>
        <v>Jinchuan (BVI) Limited</v>
      </c>
      <c r="M47" s="9" t="str">
        <f>_xll.SNL.Clients.Office.Excel.Functions.SPG(H47, "SP_PARENT_COUNTRY")</f>
        <v>BVI</v>
      </c>
      <c r="N47" s="9" t="str">
        <f>_xll.SNL.Clients.Office.Excel.Functions.SPG(H47, "SP_COUNTRY_NAME")</f>
        <v>Hong Kong</v>
      </c>
      <c r="O47" s="9" t="str">
        <f>_xll.SNL.Clients.Office.Excel.Functions.SPG(I47, "SP_ULT_PARENT_COMPANY_NAME")</f>
        <v>Dem. Rep. Congo</v>
      </c>
      <c r="P47" s="9" t="str">
        <f>_xll.SNL.Clients.Office.Excel.Functions.SPG(I47, "SP_ULT_PARENT_COUNTRY")</f>
        <v>Dem. Rep. Congo</v>
      </c>
      <c r="Q47" s="9" t="str">
        <f>_xll.SNL.Clients.Office.Excel.Functions.SPG(I47, "SP_PARENT_COMPANY_NAME")</f>
        <v>Dem. Rep. Congo</v>
      </c>
      <c r="R47" s="9" t="str">
        <f>_xll.SNL.Clients.Office.Excel.Functions.SPG(I47, "SP_PARENT_COUNTRY")</f>
        <v>Dem. Rep. Congo</v>
      </c>
      <c r="S47" s="9" t="str">
        <f>_xll.SNL.Clients.Office.Excel.Functions.SPG(I47, "SP_COUNTRY_NAME")</f>
        <v>Dem. Rep. Congo</v>
      </c>
    </row>
    <row r="48" spans="1:19" ht="29" x14ac:dyDescent="0.35">
      <c r="A48" s="5">
        <v>46022</v>
      </c>
      <c r="B48" s="4" t="s">
        <v>105</v>
      </c>
      <c r="C48" s="4" t="s">
        <v>106</v>
      </c>
      <c r="D48" s="4" t="s">
        <v>231</v>
      </c>
      <c r="E48" s="8">
        <v>4113732</v>
      </c>
      <c r="F48" s="7">
        <v>100</v>
      </c>
      <c r="G48" s="9" t="str">
        <f>[1]!SNLData("243327", $C48, "OWNER_LIST")</f>
        <v>Glencore plc  100%</v>
      </c>
      <c r="H48" s="10">
        <f>[1]!SNLData("243327", C48, "OWNER_SNL_INSTN_KEY", "Owner 1")</f>
        <v>4113732</v>
      </c>
      <c r="I48" s="10" t="str">
        <f>[1]!SNLData("243327", C48, "OWNER_SNL_INSTN_KEY", "Owner 2")</f>
        <v>NA</v>
      </c>
      <c r="J48" s="9" t="str">
        <f>_xll.SNL.Clients.Office.Excel.Functions.SPG(H48, "SP_ULT_PARENT_COMPANY_NAME")</f>
        <v/>
      </c>
      <c r="K48" s="9" t="str">
        <f>_xll.SNL.Clients.Office.Excel.Functions.SPG(H48, "SP_ULT_PARENT_COUNTRY")</f>
        <v/>
      </c>
      <c r="L48" s="9" t="str">
        <f>_xll.SNL.Clients.Office.Excel.Functions.SPG(H48, "SP_PARENT_COMPANY_NAME")</f>
        <v/>
      </c>
      <c r="M48" s="9" t="str">
        <f>_xll.SNL.Clients.Office.Excel.Functions.SPG(H48, "SP_PARENT_COUNTRY")</f>
        <v/>
      </c>
      <c r="N48" s="9" t="str">
        <f>_xll.SNL.Clients.Office.Excel.Functions.SPG(H48, "SP_COUNTRY_NAME")</f>
        <v>Switzerland</v>
      </c>
      <c r="O48" s="9" t="str">
        <f>_xll.SNL.Clients.Office.Excel.Functions.SPG(I48, "SP_ULT_PARENT_COMPANY_NAME")</f>
        <v/>
      </c>
      <c r="P48" s="9" t="str">
        <f>_xll.SNL.Clients.Office.Excel.Functions.SPG(I48, "SP_ULT_PARENT_COUNTRY")</f>
        <v/>
      </c>
      <c r="Q48" s="9" t="str">
        <f>_xll.SNL.Clients.Office.Excel.Functions.SPG(I48, "SP_PARENT_COMPANY_NAME")</f>
        <v/>
      </c>
      <c r="R48" s="9" t="str">
        <f>_xll.SNL.Clients.Office.Excel.Functions.SPG(I48, "SP_PARENT_COUNTRY")</f>
        <v/>
      </c>
      <c r="S48" s="9" t="str">
        <f>_xll.SNL.Clients.Office.Excel.Functions.SPG(I48, "SP_COUNTRY_NAME")</f>
        <v>China</v>
      </c>
    </row>
    <row r="49" spans="1:19" ht="101.5" x14ac:dyDescent="0.35">
      <c r="A49" s="5">
        <v>46022</v>
      </c>
      <c r="B49" s="4" t="s">
        <v>114</v>
      </c>
      <c r="C49" s="4" t="s">
        <v>115</v>
      </c>
      <c r="D49" s="4" t="s">
        <v>243</v>
      </c>
      <c r="E49" s="8">
        <v>4396728</v>
      </c>
      <c r="F49" s="7">
        <v>79.400000000000006</v>
      </c>
      <c r="G49" s="9" t="str">
        <f>[1]!SNLData("243327", $C49, "OWNER_LIST")</f>
        <v>Vedanta Incorporated (Venturer) 79.4%; ZCCM Investments Holdings Plc (Venturer) 20.6%</v>
      </c>
      <c r="H49" s="10">
        <f>[1]!SNLData("243327", C49, "OWNER_SNL_INSTN_KEY", "Owner 1")</f>
        <v>4396728</v>
      </c>
      <c r="I49" s="10">
        <f>[1]!SNLData("243327", C49, "OWNER_SNL_INSTN_KEY", "Owner 2")</f>
        <v>4355602</v>
      </c>
      <c r="J49" s="9" t="str">
        <f>_xll.SNL.Clients.Office.Excel.Functions.SPG(H49, "SP_ULT_PARENT_COMPANY_NAME")</f>
        <v>Conclave PTC Limited</v>
      </c>
      <c r="K49" s="9" t="str">
        <f>_xll.SNL.Clients.Office.Excel.Functions.SPG(H49, "SP_ULT_PARENT_COUNTRY")</f>
        <v>Bahamas</v>
      </c>
      <c r="L49" s="9" t="e">
        <f ca="1">SNL.Clients.Office.Excel.Functions.SPG(H49, "SP_PARENT_COMPANY_NAME")</f>
        <v>#NAME?</v>
      </c>
      <c r="M49" s="9" t="str">
        <f>_xll.SNL.Clients.Office.Excel.Functions.SPG(H49, "SP_PARENT_COUNTRY")</f>
        <v>Bahamas</v>
      </c>
      <c r="N49" s="9" t="str">
        <f>_xll.SNL.Clients.Office.Excel.Functions.SPG(H49, "SP_COUNTRY_NAME")</f>
        <v>Bahamas</v>
      </c>
      <c r="O49" s="9" t="str">
        <f>_xll.SNL.Clients.Office.Excel.Functions.SPG(I49, "SP_ULT_PARENT_COMPANY_NAME")</f>
        <v>Industrial Development Corporation (Zambia) Limited</v>
      </c>
      <c r="P49" s="9" t="str">
        <f>_xll.SNL.Clients.Office.Excel.Functions.SPG(I49, "SP_ULT_PARENT_COUNTRY")</f>
        <v>Zambia</v>
      </c>
      <c r="Q49" s="9" t="str">
        <f>_xll.SNL.Clients.Office.Excel.Functions.SPG(I49, "SP_PARENT_COMPANY_NAME")</f>
        <v>Industrial Development Corporation (Zambia) Limited</v>
      </c>
      <c r="R49" s="9" t="str">
        <f>_xll.SNL.Clients.Office.Excel.Functions.SPG(I49, "SP_PARENT_COUNTRY")</f>
        <v>Zambia</v>
      </c>
      <c r="S49" s="9" t="str">
        <f>_xll.SNL.Clients.Office.Excel.Functions.SPG(I49, "SP_COUNTRY_NAME")</f>
        <v>Zambia</v>
      </c>
    </row>
    <row r="50" spans="1:19" ht="101.5" x14ac:dyDescent="0.35">
      <c r="A50" s="5">
        <v>46022</v>
      </c>
      <c r="B50" s="4" t="s">
        <v>114</v>
      </c>
      <c r="C50" s="4" t="s">
        <v>115</v>
      </c>
      <c r="D50" s="4" t="s">
        <v>220</v>
      </c>
      <c r="E50" s="8">
        <v>4355602</v>
      </c>
      <c r="F50" s="7">
        <v>20.6</v>
      </c>
      <c r="G50" s="9" t="str">
        <f>[1]!SNLData("243327", $C50, "OWNER_LIST")</f>
        <v>Vedanta Incorporated (Venturer) 79.4%; ZCCM Investments Holdings Plc (Venturer) 20.6%</v>
      </c>
      <c r="H50" s="10">
        <f>[1]!SNLData("243327", C50, "OWNER_SNL_INSTN_KEY", "Owner 1")</f>
        <v>4396728</v>
      </c>
      <c r="I50" s="10">
        <f>[1]!SNLData("243327", C50, "OWNER_SNL_INSTN_KEY", "Owner 2")</f>
        <v>4355602</v>
      </c>
      <c r="J50" s="9" t="str">
        <f>_xll.SNL.Clients.Office.Excel.Functions.SPG(H50, "SP_ULT_PARENT_COMPANY_NAME")</f>
        <v>Conclave PTC Limited</v>
      </c>
      <c r="K50" s="9" t="str">
        <f>_xll.SNL.Clients.Office.Excel.Functions.SPG(H50, "SP_ULT_PARENT_COUNTRY")</f>
        <v>Bahamas</v>
      </c>
      <c r="L50" s="9" t="str">
        <f>_xll.SNL.Clients.Office.Excel.Functions.SPG(H50, "SP_PARENT_COMPANY_NAME")</f>
        <v>Conclave PTC Limited</v>
      </c>
      <c r="M50" s="9" t="str">
        <f>_xll.SNL.Clients.Office.Excel.Functions.SPG(H50, "SP_PARENT_COUNTRY")</f>
        <v>Bahamas</v>
      </c>
      <c r="N50" s="9" t="str">
        <f>_xll.SNL.Clients.Office.Excel.Functions.SPG(H50, "SP_COUNTRY_NAME")</f>
        <v>Bahamas</v>
      </c>
      <c r="O50" s="9" t="str">
        <f>_xll.SNL.Clients.Office.Excel.Functions.SPG(I50, "SP_ULT_PARENT_COMPANY_NAME")</f>
        <v>Industrial Development Corporation (Zambia) Limited</v>
      </c>
      <c r="P50" s="9" t="str">
        <f>_xll.SNL.Clients.Office.Excel.Functions.SPG(I50, "SP_ULT_PARENT_COUNTRY")</f>
        <v>Zambia</v>
      </c>
      <c r="Q50" s="9" t="str">
        <f>_xll.SNL.Clients.Office.Excel.Functions.SPG(I50, "SP_PARENT_COMPANY_NAME")</f>
        <v>Industrial Development Corporation (Zambia) Limited</v>
      </c>
      <c r="R50" s="9" t="str">
        <f>_xll.SNL.Clients.Office.Excel.Functions.SPG(I50, "SP_PARENT_COUNTRY")</f>
        <v>Zambia</v>
      </c>
      <c r="S50" s="9" t="str">
        <f>_xll.SNL.Clients.Office.Excel.Functions.SPG(I50, "SP_COUNTRY_NAME")</f>
        <v>Zambia</v>
      </c>
    </row>
    <row r="51" spans="1:19" ht="58" x14ac:dyDescent="0.35">
      <c r="A51" s="5">
        <v>46022</v>
      </c>
      <c r="B51" s="4" t="s">
        <v>116</v>
      </c>
      <c r="C51" s="4" t="s">
        <v>117</v>
      </c>
      <c r="D51" s="4" t="s">
        <v>244</v>
      </c>
      <c r="E51" s="8">
        <v>4352853</v>
      </c>
      <c r="F51" s="7">
        <v>100</v>
      </c>
      <c r="G51" s="9" t="str">
        <f>[1]!SNLData("243327", $C51, "OWNER_LIST")</f>
        <v>Public Joint Stock Company Mining and Metallurgical Company Norilsk Nickel  100%</v>
      </c>
      <c r="H51" s="10">
        <f>[1]!SNLData("243327", C51, "OWNER_SNL_INSTN_KEY", "Owner 1")</f>
        <v>4352853</v>
      </c>
      <c r="I51" s="10" t="str">
        <f>[1]!SNLData("243327", C51, "OWNER_SNL_INSTN_KEY", "Owner 2")</f>
        <v>NA</v>
      </c>
      <c r="J51" s="9" t="str">
        <f>_xll.SNL.Clients.Office.Excel.Functions.SPG(H51, "SP_ULT_PARENT_COMPANY_NAME")</f>
        <v/>
      </c>
      <c r="K51" s="9" t="str">
        <f>_xll.SNL.Clients.Office.Excel.Functions.SPG(H51, "SP_ULT_PARENT_COUNTRY")</f>
        <v/>
      </c>
      <c r="L51" s="9" t="str">
        <f>_xll.SNL.Clients.Office.Excel.Functions.SPG(H51, "SP_PARENT_COMPANY_NAME")</f>
        <v/>
      </c>
      <c r="M51" s="9" t="str">
        <f>_xll.SNL.Clients.Office.Excel.Functions.SPG(H51, "SP_PARENT_COUNTRY")</f>
        <v/>
      </c>
      <c r="N51" s="9" t="str">
        <f>_xll.SNL.Clients.Office.Excel.Functions.SPG(H51, "SP_COUNTRY_NAME")</f>
        <v>Russia</v>
      </c>
      <c r="O51" s="9" t="str">
        <f>_xll.SNL.Clients.Office.Excel.Functions.SPG(I51, "SP_ULT_PARENT_COMPANY_NAME")</f>
        <v/>
      </c>
      <c r="P51" s="9" t="str">
        <f>_xll.SNL.Clients.Office.Excel.Functions.SPG(I51, "SP_ULT_PARENT_COUNTRY")</f>
        <v/>
      </c>
      <c r="Q51" s="9" t="str">
        <f>_xll.SNL.Clients.Office.Excel.Functions.SPG(I51, "SP_PARENT_COMPANY_NAME")</f>
        <v/>
      </c>
      <c r="R51" s="9" t="str">
        <f>_xll.SNL.Clients.Office.Excel.Functions.SPG(I51, "SP_PARENT_COUNTRY")</f>
        <v/>
      </c>
      <c r="S51" s="9" t="str">
        <f>_xll.SNL.Clients.Office.Excel.Functions.SPG(I51, "SP_COUNTRY_NAME")</f>
        <v>China</v>
      </c>
    </row>
    <row r="52" spans="1:19" x14ac:dyDescent="0.35">
      <c r="A52" s="5">
        <v>46022</v>
      </c>
      <c r="B52" s="4" t="s">
        <v>95</v>
      </c>
      <c r="C52" s="4" t="s">
        <v>96</v>
      </c>
      <c r="D52" s="4" t="s">
        <v>236</v>
      </c>
      <c r="E52" s="8">
        <v>4223919</v>
      </c>
      <c r="F52" s="7">
        <v>100</v>
      </c>
      <c r="G52" s="9" t="str">
        <f>[1]!SNLData("243327", $C52, "OWNER_LIST")</f>
        <v>Vale S.A.  100%</v>
      </c>
      <c r="H52" s="10">
        <f>[1]!SNLData("243327", C52, "OWNER_SNL_INSTN_KEY", "Owner 1")</f>
        <v>4223919</v>
      </c>
      <c r="I52" s="10" t="str">
        <f>[1]!SNLData("243327", C52, "OWNER_SNL_INSTN_KEY", "Owner 2")</f>
        <v>NA</v>
      </c>
      <c r="J52" s="9" t="str">
        <f>_xll.SNL.Clients.Office.Excel.Functions.SPG(H52, "SP_ULT_PARENT_COMPANY_NAME")</f>
        <v/>
      </c>
      <c r="K52" s="9" t="str">
        <f>_xll.SNL.Clients.Office.Excel.Functions.SPG(H52, "SP_ULT_PARENT_COUNTRY")</f>
        <v/>
      </c>
      <c r="L52" s="9" t="str">
        <f>_xll.SNL.Clients.Office.Excel.Functions.SPG(H52, "SP_PARENT_COMPANY_NAME")</f>
        <v/>
      </c>
      <c r="M52" s="9" t="str">
        <f>_xll.SNL.Clients.Office.Excel.Functions.SPG(H52, "SP_PARENT_COUNTRY")</f>
        <v/>
      </c>
      <c r="N52" s="9" t="str">
        <f>_xll.SNL.Clients.Office.Excel.Functions.SPG(H52, "SP_COUNTRY_NAME")</f>
        <v>Brazil</v>
      </c>
      <c r="O52" s="9" t="str">
        <f>_xll.SNL.Clients.Office.Excel.Functions.SPG(I52, "SP_ULT_PARENT_COMPANY_NAME")</f>
        <v/>
      </c>
      <c r="P52" s="9" t="str">
        <f>_xll.SNL.Clients.Office.Excel.Functions.SPG(I52, "SP_ULT_PARENT_COUNTRY")</f>
        <v/>
      </c>
      <c r="Q52" s="9" t="str">
        <f>_xll.SNL.Clients.Office.Excel.Functions.SPG(I52, "SP_PARENT_COMPANY_NAME")</f>
        <v/>
      </c>
      <c r="R52" s="9" t="str">
        <f>_xll.SNL.Clients.Office.Excel.Functions.SPG(I52, "SP_PARENT_COUNTRY")</f>
        <v/>
      </c>
      <c r="S52" s="9" t="str">
        <f>_xll.SNL.Clients.Office.Excel.Functions.SPG(I52, "SP_COUNTRY_NAME")</f>
        <v>China</v>
      </c>
    </row>
    <row r="53" spans="1:19" ht="29" x14ac:dyDescent="0.35">
      <c r="A53" s="5">
        <v>46022</v>
      </c>
      <c r="B53" s="4" t="s">
        <v>97</v>
      </c>
      <c r="C53" s="4" t="s">
        <v>98</v>
      </c>
      <c r="D53" s="4" t="s">
        <v>245</v>
      </c>
      <c r="E53" s="8">
        <v>7971605</v>
      </c>
      <c r="F53" s="7">
        <v>100</v>
      </c>
      <c r="G53" s="9" t="str">
        <f>[1]!SNLData("243327", $C53, "OWNER_LIST")</f>
        <v>Brazilian Nickel Plc  100%</v>
      </c>
      <c r="H53" s="10">
        <f>[1]!SNLData("243327", C53, "OWNER_SNL_INSTN_KEY", "Owner 1")</f>
        <v>7971605</v>
      </c>
      <c r="I53" s="10" t="str">
        <f>[1]!SNLData("243327", C53, "OWNER_SNL_INSTN_KEY", "Owner 2")</f>
        <v>NA</v>
      </c>
      <c r="J53" s="9" t="str">
        <f>_xll.SNL.Clients.Office.Excel.Functions.SPG(H53, "SP_ULT_PARENT_COMPANY_NAME")</f>
        <v/>
      </c>
      <c r="K53" s="9" t="str">
        <f>_xll.SNL.Clients.Office.Excel.Functions.SPG(H53, "SP_ULT_PARENT_COUNTRY")</f>
        <v/>
      </c>
      <c r="L53" s="9" t="str">
        <f>_xll.SNL.Clients.Office.Excel.Functions.SPG(H53, "SP_PARENT_COMPANY_NAME")</f>
        <v/>
      </c>
      <c r="M53" s="9" t="str">
        <f>_xll.SNL.Clients.Office.Excel.Functions.SPG(H53, "SP_PARENT_COUNTRY")</f>
        <v/>
      </c>
      <c r="N53" s="9" t="str">
        <f>_xll.SNL.Clients.Office.Excel.Functions.SPG(H53, "SP_COUNTRY_NAME")</f>
        <v>United Kingdom</v>
      </c>
      <c r="O53" s="9" t="str">
        <f>_xll.SNL.Clients.Office.Excel.Functions.SPG(I53, "SP_ULT_PARENT_COMPANY_NAME")</f>
        <v/>
      </c>
      <c r="P53" s="9" t="str">
        <f>_xll.SNL.Clients.Office.Excel.Functions.SPG(I53, "SP_ULT_PARENT_COUNTRY")</f>
        <v/>
      </c>
      <c r="Q53" s="9" t="str">
        <f>_xll.SNL.Clients.Office.Excel.Functions.SPG(I53, "SP_PARENT_COMPANY_NAME")</f>
        <v/>
      </c>
      <c r="R53" s="9" t="str">
        <f>_xll.SNL.Clients.Office.Excel.Functions.SPG(I53, "SP_PARENT_COUNTRY")</f>
        <v/>
      </c>
      <c r="S53" s="9" t="str">
        <f>_xll.SNL.Clients.Office.Excel.Functions.SPG(I53, "SP_COUNTRY_NAME")</f>
        <v>China</v>
      </c>
    </row>
    <row r="54" spans="1:19" ht="29" x14ac:dyDescent="0.35">
      <c r="A54" s="5">
        <v>46022</v>
      </c>
      <c r="B54" s="4" t="s">
        <v>119</v>
      </c>
      <c r="C54" s="4" t="s">
        <v>120</v>
      </c>
      <c r="D54" s="4" t="s">
        <v>231</v>
      </c>
      <c r="E54" s="8">
        <v>4113732</v>
      </c>
      <c r="F54" s="7">
        <v>100</v>
      </c>
      <c r="G54" s="9" t="str">
        <f>[1]!SNLData("243327", $C54, "OWNER_LIST")</f>
        <v>Glencore plc  100%</v>
      </c>
      <c r="H54" s="10">
        <f>[1]!SNLData("243327", C54, "OWNER_SNL_INSTN_KEY", "Owner 1")</f>
        <v>4113732</v>
      </c>
      <c r="I54" s="10" t="str">
        <f>[1]!SNLData("243327", C54, "OWNER_SNL_INSTN_KEY", "Owner 2")</f>
        <v>NA</v>
      </c>
      <c r="J54" s="9" t="str">
        <f>_xll.SNL.Clients.Office.Excel.Functions.SPG(H54, "SP_ULT_PARENT_COMPANY_NAME")</f>
        <v/>
      </c>
      <c r="K54" s="9" t="str">
        <f>_xll.SNL.Clients.Office.Excel.Functions.SPG(H54, "SP_ULT_PARENT_COUNTRY")</f>
        <v/>
      </c>
      <c r="L54" s="9" t="str">
        <f>_xll.SNL.Clients.Office.Excel.Functions.SPG(H54, "SP_PARENT_COMPANY_NAME")</f>
        <v/>
      </c>
      <c r="M54" s="9" t="str">
        <f>_xll.SNL.Clients.Office.Excel.Functions.SPG(H54, "SP_PARENT_COUNTRY")</f>
        <v/>
      </c>
      <c r="N54" s="9" t="str">
        <f>_xll.SNL.Clients.Office.Excel.Functions.SPG(H54, "SP_COUNTRY_NAME")</f>
        <v>Switzerland</v>
      </c>
      <c r="O54" s="9" t="str">
        <f>_xll.SNL.Clients.Office.Excel.Functions.SPG(I54, "SP_ULT_PARENT_COMPANY_NAME")</f>
        <v/>
      </c>
      <c r="P54" s="9" t="str">
        <f>_xll.SNL.Clients.Office.Excel.Functions.SPG(I54, "SP_ULT_PARENT_COUNTRY")</f>
        <v/>
      </c>
      <c r="Q54" s="9" t="str">
        <f>_xll.SNL.Clients.Office.Excel.Functions.SPG(I54, "SP_PARENT_COMPANY_NAME")</f>
        <v/>
      </c>
      <c r="R54" s="9" t="str">
        <f>_xll.SNL.Clients.Office.Excel.Functions.SPG(I54, "SP_PARENT_COUNTRY")</f>
        <v/>
      </c>
      <c r="S54" s="9" t="str">
        <f>_xll.SNL.Clients.Office.Excel.Functions.SPG(I54, "SP_COUNTRY_NAME")</f>
        <v>China</v>
      </c>
    </row>
    <row r="55" spans="1:19" ht="203" x14ac:dyDescent="0.35">
      <c r="A55" s="5">
        <v>46022</v>
      </c>
      <c r="B55" s="4" t="s">
        <v>121</v>
      </c>
      <c r="C55" s="4" t="s">
        <v>122</v>
      </c>
      <c r="D55" s="4" t="s">
        <v>246</v>
      </c>
      <c r="E55" s="8">
        <v>4351435</v>
      </c>
      <c r="F55" s="7">
        <v>11.05</v>
      </c>
      <c r="G55" s="9" t="str">
        <f>[1]!SNLData("243327", $C55, "OWNER_LIST")</f>
        <v>Jiuquan Iron and Steel (Group) Co., Ltd. (Venturer) 11.05%; Nickel 28 Capital Corp. (Carried) 8.56%; Jinchuan Group International Resources Co. Ltd (Venturer) 5.93%; Metallurgical Corporation of China Ltd. (Venturer) 56.97%; Ji Lin Ji En Nickel Industry Co., Ltd. (Venturer) 11.05%; Mineral Resources Development Corp (Venturer) 3.94%; Private Interest (Venturer) 2.5%</v>
      </c>
      <c r="H55" s="10">
        <f>[1]!SNLData("243327", C55, "OWNER_SNL_INSTN_KEY", "Owner 1")</f>
        <v>4352229</v>
      </c>
      <c r="I55" s="10">
        <f>[1]!SNLData("243327", C55, "OWNER_SNL_INSTN_KEY", "Owner 2")</f>
        <v>4351435</v>
      </c>
      <c r="J55" s="9" t="str">
        <f>_xll.SNL.Clients.Office.Excel.Functions.SPG(H55, "SP_ULT_PARENT_COMPANY_NAME")</f>
        <v>State-owned Assets Supervision and Administration Commission of the State Counci</v>
      </c>
      <c r="K55" s="9" t="str">
        <f>_xll.SNL.Clients.Office.Excel.Functions.SPG(H55, "SP_ULT_PARENT_COUNTRY")</f>
        <v>China</v>
      </c>
      <c r="L55" s="9" t="str">
        <f>_xll.SNL.Clients.Office.Excel.Functions.SPG(H55, "SP_PARENT_COMPANY_NAME")</f>
        <v>China Minmetals Co., Ltd</v>
      </c>
      <c r="M55" s="9" t="str">
        <f>_xll.SNL.Clients.Office.Excel.Functions.SPG(H55, "SP_PARENT_COUNTRY")</f>
        <v>China</v>
      </c>
      <c r="N55" s="9" t="str">
        <f>_xll.SNL.Clients.Office.Excel.Functions.SPG(H55, "SP_COUNTRY_NAME")</f>
        <v>China</v>
      </c>
      <c r="O55" s="9" t="str">
        <f>_xll.SNL.Clients.Office.Excel.Functions.SPG(I55, "SP_ULT_PARENT_COMPANY_NAME")</f>
        <v/>
      </c>
      <c r="P55" s="9" t="str">
        <f>_xll.SNL.Clients.Office.Excel.Functions.SPG(I55, "SP_ULT_PARENT_COUNTRY")</f>
        <v/>
      </c>
      <c r="Q55" s="9" t="str">
        <f>_xll.SNL.Clients.Office.Excel.Functions.SPG(I55, "SP_PARENT_COMPANY_NAME")</f>
        <v/>
      </c>
      <c r="R55" s="9" t="str">
        <f>_xll.SNL.Clients.Office.Excel.Functions.SPG(I55, "SP_PARENT_COUNTRY")</f>
        <v/>
      </c>
      <c r="S55" s="9" t="str">
        <f>_xll.SNL.Clients.Office.Excel.Functions.SPG(I55, "SP_COUNTRY_NAME")</f>
        <v>China</v>
      </c>
    </row>
    <row r="56" spans="1:19" ht="203" x14ac:dyDescent="0.35">
      <c r="A56" s="5">
        <v>46022</v>
      </c>
      <c r="B56" s="4" t="s">
        <v>121</v>
      </c>
      <c r="C56" s="4" t="s">
        <v>122</v>
      </c>
      <c r="D56" s="4" t="s">
        <v>242</v>
      </c>
      <c r="E56" s="8">
        <v>4361447</v>
      </c>
      <c r="F56" s="7">
        <v>5.93</v>
      </c>
      <c r="G56" s="9" t="str">
        <f>[1]!SNLData("243327", $C56, "OWNER_LIST")</f>
        <v>Jiuquan Iron and Steel (Group) Co., Ltd. (Venturer) 11.05%; Nickel 28 Capital Corp. (Carried) 8.56%; Jinchuan Group International Resources Co. Ltd (Venturer) 5.93%; Metallurgical Corporation of China Ltd. (Venturer) 56.97%; Ji Lin Ji En Nickel Industry Co., Ltd. (Venturer) 11.05%; Mineral Resources Development Corp (Venturer) 3.94%; Private Interest (Venturer) 2.5%</v>
      </c>
      <c r="H56" s="10">
        <f>[1]!SNLData("243327", C56, "OWNER_SNL_INSTN_KEY", "Owner 1")</f>
        <v>4352229</v>
      </c>
      <c r="I56" s="10">
        <f>[1]!SNLData("243327", C56, "OWNER_SNL_INSTN_KEY", "Owner 2")</f>
        <v>4351435</v>
      </c>
      <c r="J56" s="9" t="str">
        <f>_xll.SNL.Clients.Office.Excel.Functions.SPG(H56, "SP_ULT_PARENT_COMPANY_NAME")</f>
        <v>State-owned Assets Supervision and Administration Commission of the State Counci</v>
      </c>
      <c r="K56" s="9" t="str">
        <f>_xll.SNL.Clients.Office.Excel.Functions.SPG(H56, "SP_ULT_PARENT_COUNTRY")</f>
        <v>China</v>
      </c>
      <c r="L56" s="9" t="str">
        <f>_xll.SNL.Clients.Office.Excel.Functions.SPG(H56, "SP_PARENT_COMPANY_NAME")</f>
        <v>China Minmetals Co., Ltd</v>
      </c>
      <c r="M56" s="9" t="str">
        <f>_xll.SNL.Clients.Office.Excel.Functions.SPG(H56, "SP_PARENT_COUNTRY")</f>
        <v>China</v>
      </c>
      <c r="N56" s="9" t="str">
        <f>_xll.SNL.Clients.Office.Excel.Functions.SPG(H56, "SP_COUNTRY_NAME")</f>
        <v>China</v>
      </c>
      <c r="O56" s="9" t="str">
        <f>_xll.SNL.Clients.Office.Excel.Functions.SPG(I56, "SP_ULT_PARENT_COMPANY_NAME")</f>
        <v/>
      </c>
      <c r="P56" s="9" t="str">
        <f>_xll.SNL.Clients.Office.Excel.Functions.SPG(I56, "SP_ULT_PARENT_COUNTRY")</f>
        <v/>
      </c>
      <c r="Q56" s="9" t="str">
        <f>_xll.SNL.Clients.Office.Excel.Functions.SPG(I56, "SP_PARENT_COMPANY_NAME")</f>
        <v/>
      </c>
      <c r="R56" s="9" t="str">
        <f>_xll.SNL.Clients.Office.Excel.Functions.SPG(I56, "SP_PARENT_COUNTRY")</f>
        <v/>
      </c>
      <c r="S56" s="9" t="str">
        <f>_xll.SNL.Clients.Office.Excel.Functions.SPG(I56, "SP_COUNTRY_NAME")</f>
        <v>China</v>
      </c>
    </row>
    <row r="57" spans="1:19" ht="203" x14ac:dyDescent="0.35">
      <c r="A57" s="5">
        <v>46022</v>
      </c>
      <c r="B57" s="4" t="s">
        <v>121</v>
      </c>
      <c r="C57" s="4" t="s">
        <v>122</v>
      </c>
      <c r="D57" s="4" t="s">
        <v>247</v>
      </c>
      <c r="E57" s="8">
        <v>4351456</v>
      </c>
      <c r="F57" s="7">
        <v>11.05</v>
      </c>
      <c r="G57" s="9" t="str">
        <f>[1]!SNLData("243327", $C57, "OWNER_LIST")</f>
        <v>Jiuquan Iron and Steel (Group) Co., Ltd. (Venturer) 11.05%; Nickel 28 Capital Corp. (Carried) 8.56%; Jinchuan Group International Resources Co. Ltd (Venturer) 5.93%; Metallurgical Corporation of China Ltd. (Venturer) 56.97%; Ji Lin Ji En Nickel Industry Co., Ltd. (Venturer) 11.05%; Mineral Resources Development Corp (Venturer) 3.94%; Private Interest (Venturer) 2.5%</v>
      </c>
      <c r="H57" s="10">
        <f>[1]!SNLData("243327", C57, "OWNER_SNL_INSTN_KEY", "Owner 1")</f>
        <v>4352229</v>
      </c>
      <c r="I57" s="10">
        <f>[1]!SNLData("243327", C57, "OWNER_SNL_INSTN_KEY", "Owner 2")</f>
        <v>4351435</v>
      </c>
      <c r="J57" s="9" t="str">
        <f>_xll.SNL.Clients.Office.Excel.Functions.SPG(H57, "SP_ULT_PARENT_COMPANY_NAME")</f>
        <v>State-owned Assets Supervision and Administration Commission of the State Counci</v>
      </c>
      <c r="K57" s="9" t="str">
        <f>_xll.SNL.Clients.Office.Excel.Functions.SPG(H57, "SP_ULT_PARENT_COUNTRY")</f>
        <v>China</v>
      </c>
      <c r="L57" s="9" t="str">
        <f>_xll.SNL.Clients.Office.Excel.Functions.SPG(H57, "SP_PARENT_COMPANY_NAME")</f>
        <v>China Minmetals Co., Ltd</v>
      </c>
      <c r="M57" s="9" t="str">
        <f>_xll.SNL.Clients.Office.Excel.Functions.SPG(H57, "SP_PARENT_COUNTRY")</f>
        <v>China</v>
      </c>
      <c r="N57" s="9" t="str">
        <f>_xll.SNL.Clients.Office.Excel.Functions.SPG(H57, "SP_COUNTRY_NAME")</f>
        <v>China</v>
      </c>
      <c r="O57" s="9" t="str">
        <f>_xll.SNL.Clients.Office.Excel.Functions.SPG(I57, "SP_ULT_PARENT_COMPANY_NAME")</f>
        <v/>
      </c>
      <c r="P57" s="9" t="str">
        <f>_xll.SNL.Clients.Office.Excel.Functions.SPG(I57, "SP_ULT_PARENT_COUNTRY")</f>
        <v/>
      </c>
      <c r="Q57" s="9" t="str">
        <f>_xll.SNL.Clients.Office.Excel.Functions.SPG(I57, "SP_PARENT_COMPANY_NAME")</f>
        <v/>
      </c>
      <c r="R57" s="9" t="str">
        <f>_xll.SNL.Clients.Office.Excel.Functions.SPG(I57, "SP_PARENT_COUNTRY")</f>
        <v/>
      </c>
      <c r="S57" s="9" t="str">
        <f>_xll.SNL.Clients.Office.Excel.Functions.SPG(I57, "SP_COUNTRY_NAME")</f>
        <v>China</v>
      </c>
    </row>
    <row r="58" spans="1:19" ht="203" x14ac:dyDescent="0.35">
      <c r="A58" s="5">
        <v>46022</v>
      </c>
      <c r="B58" s="4" t="s">
        <v>121</v>
      </c>
      <c r="C58" s="4" t="s">
        <v>122</v>
      </c>
      <c r="D58" s="4" t="s">
        <v>248</v>
      </c>
      <c r="E58" s="8">
        <v>4352229</v>
      </c>
      <c r="F58" s="7">
        <v>56.97</v>
      </c>
      <c r="G58" s="9" t="str">
        <f>[1]!SNLData("243327", $C58, "OWNER_LIST")</f>
        <v>Jiuquan Iron and Steel (Group) Co., Ltd. (Venturer) 11.05%; Nickel 28 Capital Corp. (Carried) 8.56%; Jinchuan Group International Resources Co. Ltd (Venturer) 5.93%; Metallurgical Corporation of China Ltd. (Venturer) 56.97%; Ji Lin Ji En Nickel Industry Co., Ltd. (Venturer) 11.05%; Mineral Resources Development Corp (Venturer) 3.94%; Private Interest (Venturer) 2.5%</v>
      </c>
      <c r="H58" s="10">
        <f>[1]!SNLData("243327", C58, "OWNER_SNL_INSTN_KEY", "Owner 1")</f>
        <v>4352229</v>
      </c>
      <c r="I58" s="10">
        <f>[1]!SNLData("243327", C58, "OWNER_SNL_INSTN_KEY", "Owner 2")</f>
        <v>4351435</v>
      </c>
      <c r="J58" s="9" t="str">
        <f>_xll.SNL.Clients.Office.Excel.Functions.SPG(H58, "SP_ULT_PARENT_COMPANY_NAME")</f>
        <v>State-owned Assets Supervision and Administration Commission of the State Counci</v>
      </c>
      <c r="K58" s="9" t="str">
        <f>_xll.SNL.Clients.Office.Excel.Functions.SPG(H58, "SP_ULT_PARENT_COUNTRY")</f>
        <v>China</v>
      </c>
      <c r="L58" s="9" t="str">
        <f>_xll.SNL.Clients.Office.Excel.Functions.SPG(H58, "SP_PARENT_COMPANY_NAME")</f>
        <v>China Minmetals Co., Ltd</v>
      </c>
      <c r="M58" s="9" t="str">
        <f>_xll.SNL.Clients.Office.Excel.Functions.SPG(H58, "SP_PARENT_COUNTRY")</f>
        <v>China</v>
      </c>
      <c r="N58" s="9" t="str">
        <f>_xll.SNL.Clients.Office.Excel.Functions.SPG(H58, "SP_COUNTRY_NAME")</f>
        <v>China</v>
      </c>
      <c r="O58" s="9" t="str">
        <f>_xll.SNL.Clients.Office.Excel.Functions.SPG(I58, "SP_ULT_PARENT_COMPANY_NAME")</f>
        <v/>
      </c>
      <c r="P58" s="9" t="str">
        <f>_xll.SNL.Clients.Office.Excel.Functions.SPG(I58, "SP_ULT_PARENT_COUNTRY")</f>
        <v/>
      </c>
      <c r="Q58" s="9" t="str">
        <f>_xll.SNL.Clients.Office.Excel.Functions.SPG(I58, "SP_PARENT_COMPANY_NAME")</f>
        <v/>
      </c>
      <c r="R58" s="9" t="str">
        <f>_xll.SNL.Clients.Office.Excel.Functions.SPG(I58, "SP_PARENT_COUNTRY")</f>
        <v/>
      </c>
      <c r="S58" s="9" t="str">
        <f>_xll.SNL.Clients.Office.Excel.Functions.SPG(I58, "SP_COUNTRY_NAME")</f>
        <v>China</v>
      </c>
    </row>
    <row r="59" spans="1:19" ht="203" x14ac:dyDescent="0.35">
      <c r="A59" s="5">
        <v>46022</v>
      </c>
      <c r="B59" s="4" t="s">
        <v>121</v>
      </c>
      <c r="C59" s="4" t="s">
        <v>122</v>
      </c>
      <c r="D59" s="4" t="s">
        <v>249</v>
      </c>
      <c r="E59" s="8">
        <v>4352437</v>
      </c>
      <c r="F59" s="7">
        <v>3.94</v>
      </c>
      <c r="G59" s="9" t="str">
        <f>[1]!SNLData("243327", $C59, "OWNER_LIST")</f>
        <v>Jiuquan Iron and Steel (Group) Co., Ltd. (Venturer) 11.05%; Nickel 28 Capital Corp. (Carried) 8.56%; Jinchuan Group International Resources Co. Ltd (Venturer) 5.93%; Metallurgical Corporation of China Ltd. (Venturer) 56.97%; Ji Lin Ji En Nickel Industry Co., Ltd. (Venturer) 11.05%; Mineral Resources Development Corp (Venturer) 3.94%; Private Interest (Venturer) 2.5%</v>
      </c>
      <c r="H59" s="10">
        <f>[1]!SNLData("243327", C59, "OWNER_SNL_INSTN_KEY", "Owner 1")</f>
        <v>4352229</v>
      </c>
      <c r="I59" s="10">
        <f>[1]!SNLData("243327", C59, "OWNER_SNL_INSTN_KEY", "Owner 2")</f>
        <v>4351435</v>
      </c>
      <c r="J59" s="9" t="str">
        <f>_xll.SNL.Clients.Office.Excel.Functions.SPG(H59, "SP_ULT_PARENT_COMPANY_NAME")</f>
        <v>State-owned Assets Supervision and Administration Commission of the State Counci</v>
      </c>
      <c r="K59" s="9" t="str">
        <f>_xll.SNL.Clients.Office.Excel.Functions.SPG(H59, "SP_ULT_PARENT_COUNTRY")</f>
        <v>China</v>
      </c>
      <c r="L59" s="9" t="str">
        <f>_xll.SNL.Clients.Office.Excel.Functions.SPG(H59, "SP_PARENT_COMPANY_NAME")</f>
        <v>China Minmetals Co., Ltd</v>
      </c>
      <c r="M59" s="9" t="str">
        <f>_xll.SNL.Clients.Office.Excel.Functions.SPG(H59, "SP_PARENT_COUNTRY")</f>
        <v>China</v>
      </c>
      <c r="N59" s="9" t="str">
        <f>_xll.SNL.Clients.Office.Excel.Functions.SPG(H59, "SP_COUNTRY_NAME")</f>
        <v>China</v>
      </c>
      <c r="O59" s="9" t="str">
        <f>_xll.SNL.Clients.Office.Excel.Functions.SPG(I59, "SP_ULT_PARENT_COMPANY_NAME")</f>
        <v/>
      </c>
      <c r="P59" s="9" t="str">
        <f>_xll.SNL.Clients.Office.Excel.Functions.SPG(I59, "SP_ULT_PARENT_COUNTRY")</f>
        <v/>
      </c>
      <c r="Q59" s="9" t="str">
        <f>_xll.SNL.Clients.Office.Excel.Functions.SPG(I59, "SP_PARENT_COMPANY_NAME")</f>
        <v/>
      </c>
      <c r="R59" s="9" t="str">
        <f>_xll.SNL.Clients.Office.Excel.Functions.SPG(I59, "SP_PARENT_COUNTRY")</f>
        <v/>
      </c>
      <c r="S59" s="9" t="str">
        <f>_xll.SNL.Clients.Office.Excel.Functions.SPG(I59, "SP_COUNTRY_NAME")</f>
        <v>China</v>
      </c>
    </row>
    <row r="60" spans="1:19" ht="203" x14ac:dyDescent="0.35">
      <c r="A60" s="5">
        <v>46022</v>
      </c>
      <c r="B60" s="4" t="s">
        <v>121</v>
      </c>
      <c r="C60" s="4" t="s">
        <v>122</v>
      </c>
      <c r="D60" s="4" t="s">
        <v>250</v>
      </c>
      <c r="E60" s="8">
        <v>19394423</v>
      </c>
      <c r="F60" s="7">
        <v>8.56</v>
      </c>
      <c r="G60" s="9" t="str">
        <f>[1]!SNLData("243327", $C60, "OWNER_LIST")</f>
        <v>Jiuquan Iron and Steel (Group) Co., Ltd. (Venturer) 11.05%; Nickel 28 Capital Corp. (Carried) 8.56%; Jinchuan Group International Resources Co. Ltd (Venturer) 5.93%; Metallurgical Corporation of China Ltd. (Venturer) 56.97%; Ji Lin Ji En Nickel Industry Co., Ltd. (Venturer) 11.05%; Mineral Resources Development Corp (Venturer) 3.94%; Private Interest (Venturer) 2.5%</v>
      </c>
      <c r="H60" s="10">
        <f>[1]!SNLData("243327", C60, "OWNER_SNL_INSTN_KEY", "Owner 1")</f>
        <v>4352229</v>
      </c>
      <c r="I60" s="10">
        <f>[1]!SNLData("243327", C60, "OWNER_SNL_INSTN_KEY", "Owner 2")</f>
        <v>4351435</v>
      </c>
      <c r="J60" s="9" t="str">
        <f>_xll.SNL.Clients.Office.Excel.Functions.SPG(H60, "SP_ULT_PARENT_COMPANY_NAME")</f>
        <v>State-owned Assets Supervision and Administration Commission of the State Counci</v>
      </c>
      <c r="K60" s="9" t="str">
        <f>_xll.SNL.Clients.Office.Excel.Functions.SPG(H60, "SP_ULT_PARENT_COUNTRY")</f>
        <v>China</v>
      </c>
      <c r="L60" s="9" t="str">
        <f>_xll.SNL.Clients.Office.Excel.Functions.SPG(H60, "SP_PARENT_COMPANY_NAME")</f>
        <v>China Minmetals Co., Ltd</v>
      </c>
      <c r="M60" s="9" t="str">
        <f>_xll.SNL.Clients.Office.Excel.Functions.SPG(H60, "SP_PARENT_COUNTRY")</f>
        <v>China</v>
      </c>
      <c r="N60" s="9" t="str">
        <f>_xll.SNL.Clients.Office.Excel.Functions.SPG(H60, "SP_COUNTRY_NAME")</f>
        <v>China</v>
      </c>
      <c r="O60" s="9" t="str">
        <f>_xll.SNL.Clients.Office.Excel.Functions.SPG(I60, "SP_ULT_PARENT_COMPANY_NAME")</f>
        <v/>
      </c>
      <c r="P60" s="9" t="str">
        <f>_xll.SNL.Clients.Office.Excel.Functions.SPG(I60, "SP_ULT_PARENT_COUNTRY")</f>
        <v/>
      </c>
      <c r="Q60" s="9" t="str">
        <f>_xll.SNL.Clients.Office.Excel.Functions.SPG(I60, "SP_PARENT_COMPANY_NAME")</f>
        <v/>
      </c>
      <c r="R60" s="9" t="str">
        <f>_xll.SNL.Clients.Office.Excel.Functions.SPG(I60, "SP_PARENT_COUNTRY")</f>
        <v/>
      </c>
      <c r="S60" s="9" t="str">
        <f>_xll.SNL.Clients.Office.Excel.Functions.SPG(I60, "SP_COUNTRY_NAME")</f>
        <v>China</v>
      </c>
    </row>
    <row r="61" spans="1:19" ht="203" x14ac:dyDescent="0.35">
      <c r="A61" s="5">
        <v>46022</v>
      </c>
      <c r="B61" s="4" t="s">
        <v>121</v>
      </c>
      <c r="C61" s="4" t="s">
        <v>122</v>
      </c>
      <c r="D61" s="4" t="s">
        <v>227</v>
      </c>
      <c r="E61" s="8">
        <v>4353456</v>
      </c>
      <c r="F61" s="7">
        <v>2.5</v>
      </c>
      <c r="G61" s="9" t="str">
        <f>[1]!SNLData("243327", $C61, "OWNER_LIST")</f>
        <v>Jiuquan Iron and Steel (Group) Co., Ltd. (Venturer) 11.05%; Nickel 28 Capital Corp. (Carried) 8.56%; Jinchuan Group International Resources Co. Ltd (Venturer) 5.93%; Metallurgical Corporation of China Ltd. (Venturer) 56.97%; Ji Lin Ji En Nickel Industry Co., Ltd. (Venturer) 11.05%; Mineral Resources Development Corp (Venturer) 3.94%; Private Interest (Venturer) 2.5%</v>
      </c>
      <c r="H61" s="10">
        <f>[1]!SNLData("243327", C61, "OWNER_SNL_INSTN_KEY", "Owner 1")</f>
        <v>4352229</v>
      </c>
      <c r="I61" s="10">
        <f>[1]!SNLData("243327", C61, "OWNER_SNL_INSTN_KEY", "Owner 2")</f>
        <v>4351435</v>
      </c>
      <c r="J61" s="9" t="str">
        <f>_xll.SNL.Clients.Office.Excel.Functions.SPG(H61, "SP_ULT_PARENT_COMPANY_NAME")</f>
        <v>State-owned Assets Supervision and Administration Commission of the State Counci</v>
      </c>
      <c r="K61" s="9" t="str">
        <f>_xll.SNL.Clients.Office.Excel.Functions.SPG(H61, "SP_ULT_PARENT_COUNTRY")</f>
        <v>China</v>
      </c>
      <c r="L61" s="9" t="str">
        <f>_xll.SNL.Clients.Office.Excel.Functions.SPG(H61, "SP_PARENT_COMPANY_NAME")</f>
        <v>China Minmetals Co., Ltd</v>
      </c>
      <c r="M61" s="9" t="str">
        <f>_xll.SNL.Clients.Office.Excel.Functions.SPG(H61, "SP_PARENT_COUNTRY")</f>
        <v>China</v>
      </c>
      <c r="N61" s="9" t="str">
        <f>_xll.SNL.Clients.Office.Excel.Functions.SPG(H61, "SP_COUNTRY_NAME")</f>
        <v>China</v>
      </c>
      <c r="O61" s="9" t="str">
        <f>_xll.SNL.Clients.Office.Excel.Functions.SPG(I61, "SP_ULT_PARENT_COMPANY_NAME")</f>
        <v/>
      </c>
      <c r="P61" s="9" t="str">
        <f>_xll.SNL.Clients.Office.Excel.Functions.SPG(I61, "SP_ULT_PARENT_COUNTRY")</f>
        <v/>
      </c>
      <c r="Q61" s="9" t="str">
        <f>_xll.SNL.Clients.Office.Excel.Functions.SPG(I61, "SP_PARENT_COMPANY_NAME")</f>
        <v/>
      </c>
      <c r="R61" s="9" t="str">
        <f>_xll.SNL.Clients.Office.Excel.Functions.SPG(I61, "SP_PARENT_COUNTRY")</f>
        <v/>
      </c>
      <c r="S61" s="9" t="str">
        <f>_xll.SNL.Clients.Office.Excel.Functions.SPG(I61, "SP_COUNTRY_NAME")</f>
        <v>China</v>
      </c>
    </row>
    <row r="62" spans="1:19" ht="72.5" x14ac:dyDescent="0.35">
      <c r="A62" s="5">
        <v>46022</v>
      </c>
      <c r="B62" s="4" t="s">
        <v>137</v>
      </c>
      <c r="C62" s="4" t="s">
        <v>138</v>
      </c>
      <c r="D62" s="4" t="s">
        <v>251</v>
      </c>
      <c r="E62" s="8">
        <v>4352804</v>
      </c>
      <c r="F62" s="7">
        <v>60</v>
      </c>
      <c r="G62" s="9" t="str">
        <f>[1]!SNLData("243327", $C62, "OWNER_LIST")</f>
        <v>Pacific Metals Co., Ltd. (Venturer) 36%; Nickel Asia Corporation (Venturer) 60%; Sojitz Corporation (Venturer) 4%</v>
      </c>
      <c r="H62" s="10">
        <f>[1]!SNLData("243327", C62, "OWNER_SNL_INSTN_KEY", "Owner 1")</f>
        <v>4352804</v>
      </c>
      <c r="I62" s="10">
        <f>[1]!SNLData("243327", C62, "OWNER_SNL_INSTN_KEY", "Owner 2")</f>
        <v>4557435</v>
      </c>
      <c r="J62" s="9" t="str">
        <f>_xll.SNL.Clients.Office.Excel.Functions.SPG(H62, "SP_ULT_PARENT_COMPANY_NAME")</f>
        <v/>
      </c>
      <c r="K62" s="9" t="str">
        <f>_xll.SNL.Clients.Office.Excel.Functions.SPG(H62, "SP_ULT_PARENT_COUNTRY")</f>
        <v/>
      </c>
      <c r="L62" s="9" t="str">
        <f>_xll.SNL.Clients.Office.Excel.Functions.SPG(H62, "SP_PARENT_COMPANY_NAME")</f>
        <v/>
      </c>
      <c r="M62" s="9" t="str">
        <f>_xll.SNL.Clients.Office.Excel.Functions.SPG(H62, "SP_PARENT_COUNTRY")</f>
        <v/>
      </c>
      <c r="N62" s="9" t="str">
        <f>_xll.SNL.Clients.Office.Excel.Functions.SPG(H62, "SP_COUNTRY_NAME")</f>
        <v>Philippines</v>
      </c>
      <c r="O62" s="9" t="str">
        <f>_xll.SNL.Clients.Office.Excel.Functions.SPG(I62, "SP_ULT_PARENT_COMPANY_NAME")</f>
        <v/>
      </c>
      <c r="P62" s="9" t="str">
        <f>_xll.SNL.Clients.Office.Excel.Functions.SPG(I62, "SP_ULT_PARENT_COUNTRY")</f>
        <v/>
      </c>
      <c r="Q62" s="9" t="str">
        <f>_xll.SNL.Clients.Office.Excel.Functions.SPG(I62, "SP_PARENT_COMPANY_NAME")</f>
        <v/>
      </c>
      <c r="R62" s="9" t="str">
        <f>_xll.SNL.Clients.Office.Excel.Functions.SPG(I62, "SP_PARENT_COUNTRY")</f>
        <v/>
      </c>
      <c r="S62" s="9" t="str">
        <f>_xll.SNL.Clients.Office.Excel.Functions.SPG(I62, "SP_COUNTRY_NAME")</f>
        <v>Japan</v>
      </c>
    </row>
    <row r="63" spans="1:19" ht="72.5" x14ac:dyDescent="0.35">
      <c r="A63" s="5">
        <v>46022</v>
      </c>
      <c r="B63" s="4" t="s">
        <v>137</v>
      </c>
      <c r="C63" s="4" t="s">
        <v>138</v>
      </c>
      <c r="D63" s="4" t="s">
        <v>252</v>
      </c>
      <c r="E63" s="8">
        <v>4557435</v>
      </c>
      <c r="F63" s="7">
        <v>36</v>
      </c>
      <c r="G63" s="9" t="str">
        <f>[1]!SNLData("243327", $C63, "OWNER_LIST")</f>
        <v>Pacific Metals Co., Ltd. (Venturer) 36%; Nickel Asia Corporation (Venturer) 60%; Sojitz Corporation (Venturer) 4%</v>
      </c>
      <c r="H63" s="10">
        <f>[1]!SNLData("243327", C63, "OWNER_SNL_INSTN_KEY", "Owner 1")</f>
        <v>4352804</v>
      </c>
      <c r="I63" s="10">
        <f>[1]!SNLData("243327", C63, "OWNER_SNL_INSTN_KEY", "Owner 2")</f>
        <v>4557435</v>
      </c>
      <c r="J63" s="9" t="str">
        <f>_xll.SNL.Clients.Office.Excel.Functions.SPG(H63, "SP_ULT_PARENT_COMPANY_NAME")</f>
        <v/>
      </c>
      <c r="K63" s="9" t="str">
        <f>_xll.SNL.Clients.Office.Excel.Functions.SPG(H63, "SP_ULT_PARENT_COUNTRY")</f>
        <v/>
      </c>
      <c r="L63" s="9" t="str">
        <f>_xll.SNL.Clients.Office.Excel.Functions.SPG(H63, "SP_PARENT_COMPANY_NAME")</f>
        <v/>
      </c>
      <c r="M63" s="9" t="str">
        <f>_xll.SNL.Clients.Office.Excel.Functions.SPG(H63, "SP_PARENT_COUNTRY")</f>
        <v/>
      </c>
      <c r="N63" s="9" t="str">
        <f>_xll.SNL.Clients.Office.Excel.Functions.SPG(H63, "SP_COUNTRY_NAME")</f>
        <v>Philippines</v>
      </c>
      <c r="O63" s="9" t="str">
        <f>_xll.SNL.Clients.Office.Excel.Functions.SPG(I63, "SP_ULT_PARENT_COMPANY_NAME")</f>
        <v/>
      </c>
      <c r="P63" s="9" t="str">
        <f>_xll.SNL.Clients.Office.Excel.Functions.SPG(I63, "SP_ULT_PARENT_COUNTRY")</f>
        <v/>
      </c>
      <c r="Q63" s="9" t="str">
        <f>_xll.SNL.Clients.Office.Excel.Functions.SPG(I63, "SP_PARENT_COMPANY_NAME")</f>
        <v/>
      </c>
      <c r="R63" s="9" t="str">
        <f>_xll.SNL.Clients.Office.Excel.Functions.SPG(I63, "SP_PARENT_COUNTRY")</f>
        <v/>
      </c>
      <c r="S63" s="9" t="str">
        <f>_xll.SNL.Clients.Office.Excel.Functions.SPG(I63, "SP_COUNTRY_NAME")</f>
        <v>Japan</v>
      </c>
    </row>
    <row r="64" spans="1:19" ht="72.5" x14ac:dyDescent="0.35">
      <c r="A64" s="5">
        <v>46022</v>
      </c>
      <c r="B64" s="4" t="s">
        <v>137</v>
      </c>
      <c r="C64" s="4" t="s">
        <v>138</v>
      </c>
      <c r="D64" s="4" t="s">
        <v>253</v>
      </c>
      <c r="E64" s="8">
        <v>4096231</v>
      </c>
      <c r="F64" s="7">
        <v>4</v>
      </c>
      <c r="G64" s="9" t="str">
        <f>[1]!SNLData("243327", $C64, "OWNER_LIST")</f>
        <v>Pacific Metals Co., Ltd. (Venturer) 36%; Nickel Asia Corporation (Venturer) 60%; Sojitz Corporation (Venturer) 4%</v>
      </c>
      <c r="H64" s="10">
        <f>[1]!SNLData("243327", C64, "OWNER_SNL_INSTN_KEY", "Owner 1")</f>
        <v>4352804</v>
      </c>
      <c r="I64" s="10">
        <f>[1]!SNLData("243327", C64, "OWNER_SNL_INSTN_KEY", "Owner 2")</f>
        <v>4557435</v>
      </c>
      <c r="J64" s="9" t="str">
        <f>_xll.SNL.Clients.Office.Excel.Functions.SPG(H64, "SP_ULT_PARENT_COMPANY_NAME")</f>
        <v/>
      </c>
      <c r="K64" s="9" t="str">
        <f>_xll.SNL.Clients.Office.Excel.Functions.SPG(H64, "SP_ULT_PARENT_COUNTRY")</f>
        <v/>
      </c>
      <c r="L64" s="9" t="str">
        <f>_xll.SNL.Clients.Office.Excel.Functions.SPG(H64, "SP_PARENT_COMPANY_NAME")</f>
        <v/>
      </c>
      <c r="M64" s="9" t="str">
        <f>_xll.SNL.Clients.Office.Excel.Functions.SPG(H64, "SP_PARENT_COUNTRY")</f>
        <v/>
      </c>
      <c r="N64" s="9" t="str">
        <f>_xll.SNL.Clients.Office.Excel.Functions.SPG(H64, "SP_COUNTRY_NAME")</f>
        <v>Philippines</v>
      </c>
      <c r="O64" s="9" t="str">
        <f>_xll.SNL.Clients.Office.Excel.Functions.SPG(I64, "SP_ULT_PARENT_COMPANY_NAME")</f>
        <v/>
      </c>
      <c r="P64" s="9" t="str">
        <f>_xll.SNL.Clients.Office.Excel.Functions.SPG(I64, "SP_ULT_PARENT_COUNTRY")</f>
        <v/>
      </c>
      <c r="Q64" s="9" t="str">
        <f>_xll.SNL.Clients.Office.Excel.Functions.SPG(I64, "SP_PARENT_COMPANY_NAME")</f>
        <v/>
      </c>
      <c r="R64" s="9" t="str">
        <f>_xll.SNL.Clients.Office.Excel.Functions.SPG(I64, "SP_PARENT_COUNTRY")</f>
        <v/>
      </c>
      <c r="S64" s="9" t="str">
        <f>_xll.SNL.Clients.Office.Excel.Functions.SPG(I64, "SP_COUNTRY_NAME")</f>
        <v>Japan</v>
      </c>
    </row>
    <row r="65" spans="1:19" ht="174" x14ac:dyDescent="0.35">
      <c r="A65" s="5">
        <v>46022</v>
      </c>
      <c r="B65" s="4" t="s">
        <v>124</v>
      </c>
      <c r="C65" s="4" t="s">
        <v>125</v>
      </c>
      <c r="D65" s="4" t="s">
        <v>62</v>
      </c>
      <c r="E65" s="8">
        <v>4350734</v>
      </c>
      <c r="F65" s="7">
        <v>5</v>
      </c>
      <c r="G65" s="9" t="str">
        <f>[1]!SNLData("243327", $C65, "OWNER_LIST")</f>
        <v>Jinchuan Group International Resources Co. Ltd (Venturer) 70%; Gécamines SA (Venturer) 25%; Dem. Rep. Congo (Venturer) 5%</v>
      </c>
      <c r="H65" s="10">
        <f>[1]!SNLData("243327", C65, "OWNER_SNL_INSTN_KEY", "Owner 1")</f>
        <v>4361447</v>
      </c>
      <c r="I65" s="10">
        <f>[1]!SNLData("243327", C65, "OWNER_SNL_INSTN_KEY", "Owner 2")</f>
        <v>4350360</v>
      </c>
      <c r="J65" s="9" t="str">
        <f>_xll.SNL.Clients.Office.Excel.Functions.SPG(H65, "SP_ULT_PARENT_COMPANY_NAME")</f>
        <v>State-Owned Assets Supervision And Administration Commission Of Gansu Provincial</v>
      </c>
      <c r="K65" s="9" t="str">
        <f>_xll.SNL.Clients.Office.Excel.Functions.SPG(H65, "SP_ULT_PARENT_COUNTRY")</f>
        <v>China</v>
      </c>
      <c r="L65" s="9" t="str">
        <f>_xll.SNL.Clients.Office.Excel.Functions.SPG(H65, "SP_PARENT_COMPANY_NAME")</f>
        <v>Jinchuan (BVI) Limited</v>
      </c>
      <c r="M65" s="9" t="str">
        <f>_xll.SNL.Clients.Office.Excel.Functions.SPG(H65, "SP_PARENT_COUNTRY")</f>
        <v>BVI</v>
      </c>
      <c r="N65" s="9" t="str">
        <f>_xll.SNL.Clients.Office.Excel.Functions.SPG(H65, "SP_COUNTRY_NAME")</f>
        <v>Hong Kong</v>
      </c>
      <c r="O65" s="9" t="str">
        <f>_xll.SNL.Clients.Office.Excel.Functions.SPG(I65, "SP_ULT_PARENT_COMPANY_NAME")</f>
        <v>Dem. Rep. Congo</v>
      </c>
      <c r="P65" s="9" t="str">
        <f>_xll.SNL.Clients.Office.Excel.Functions.SPG(I65, "SP_ULT_PARENT_COUNTRY")</f>
        <v>Dem. Rep. Congo</v>
      </c>
      <c r="Q65" s="9" t="str">
        <f>_xll.SNL.Clients.Office.Excel.Functions.SPG(I65, "SP_PARENT_COMPANY_NAME")</f>
        <v>Dem. Rep. Congo</v>
      </c>
      <c r="R65" s="9" t="str">
        <f>_xll.SNL.Clients.Office.Excel.Functions.SPG(I65, "SP_PARENT_COUNTRY")</f>
        <v>Dem. Rep. Congo</v>
      </c>
      <c r="S65" s="9" t="str">
        <f>_xll.SNL.Clients.Office.Excel.Functions.SPG(I65, "SP_COUNTRY_NAME")</f>
        <v>Dem. Rep. Congo</v>
      </c>
    </row>
    <row r="66" spans="1:19" ht="174" x14ac:dyDescent="0.35">
      <c r="A66" s="5">
        <v>46022</v>
      </c>
      <c r="B66" s="4" t="s">
        <v>124</v>
      </c>
      <c r="C66" s="4" t="s">
        <v>125</v>
      </c>
      <c r="D66" s="4" t="s">
        <v>235</v>
      </c>
      <c r="E66" s="8">
        <v>4350360</v>
      </c>
      <c r="F66" s="7">
        <v>25</v>
      </c>
      <c r="G66" s="9" t="str">
        <f>[1]!SNLData("243327", $C66, "OWNER_LIST")</f>
        <v>Jinchuan Group International Resources Co. Ltd (Venturer) 70%; Gécamines SA (Venturer) 25%; Dem. Rep. Congo (Venturer) 5%</v>
      </c>
      <c r="H66" s="10">
        <f>[1]!SNLData("243327", C66, "OWNER_SNL_INSTN_KEY", "Owner 1")</f>
        <v>4361447</v>
      </c>
      <c r="I66" s="10">
        <f>[1]!SNLData("243327", C66, "OWNER_SNL_INSTN_KEY", "Owner 2")</f>
        <v>4350360</v>
      </c>
      <c r="J66" s="9" t="str">
        <f>_xll.SNL.Clients.Office.Excel.Functions.SPG(H66, "SP_ULT_PARENT_COMPANY_NAME")</f>
        <v>State-Owned Assets Supervision And Administration Commission Of Gansu Provincial</v>
      </c>
      <c r="K66" s="9" t="str">
        <f>_xll.SNL.Clients.Office.Excel.Functions.SPG(H66, "SP_ULT_PARENT_COUNTRY")</f>
        <v>China</v>
      </c>
      <c r="L66" s="9" t="str">
        <f>_xll.SNL.Clients.Office.Excel.Functions.SPG(H66, "SP_PARENT_COMPANY_NAME")</f>
        <v>Jinchuan (BVI) Limited</v>
      </c>
      <c r="M66" s="9" t="str">
        <f>_xll.SNL.Clients.Office.Excel.Functions.SPG(H66, "SP_PARENT_COUNTRY")</f>
        <v>BVI</v>
      </c>
      <c r="N66" s="9" t="str">
        <f>_xll.SNL.Clients.Office.Excel.Functions.SPG(H66, "SP_COUNTRY_NAME")</f>
        <v>Hong Kong</v>
      </c>
      <c r="O66" s="9" t="str">
        <f>_xll.SNL.Clients.Office.Excel.Functions.SPG(I66, "SP_ULT_PARENT_COMPANY_NAME")</f>
        <v>Dem. Rep. Congo</v>
      </c>
      <c r="P66" s="9" t="str">
        <f>_xll.SNL.Clients.Office.Excel.Functions.SPG(I66, "SP_ULT_PARENT_COUNTRY")</f>
        <v>Dem. Rep. Congo</v>
      </c>
      <c r="Q66" s="9" t="str">
        <f>_xll.SNL.Clients.Office.Excel.Functions.SPG(I66, "SP_PARENT_COMPANY_NAME")</f>
        <v>Dem. Rep. Congo</v>
      </c>
      <c r="R66" s="9" t="str">
        <f>_xll.SNL.Clients.Office.Excel.Functions.SPG(I66, "SP_PARENT_COUNTRY")</f>
        <v>Dem. Rep. Congo</v>
      </c>
      <c r="S66" s="9" t="str">
        <f>_xll.SNL.Clients.Office.Excel.Functions.SPG(I66, "SP_COUNTRY_NAME")</f>
        <v>Dem. Rep. Congo</v>
      </c>
    </row>
    <row r="67" spans="1:19" ht="174" x14ac:dyDescent="0.35">
      <c r="A67" s="5">
        <v>46022</v>
      </c>
      <c r="B67" s="4" t="s">
        <v>124</v>
      </c>
      <c r="C67" s="4" t="s">
        <v>125</v>
      </c>
      <c r="D67" s="4" t="s">
        <v>242</v>
      </c>
      <c r="E67" s="8">
        <v>4361447</v>
      </c>
      <c r="F67" s="7">
        <v>70</v>
      </c>
      <c r="G67" s="9" t="str">
        <f>[1]!SNLData("243327", $C67, "OWNER_LIST")</f>
        <v>Jinchuan Group International Resources Co. Ltd (Venturer) 70%; Gécamines SA (Venturer) 25%; Dem. Rep. Congo (Venturer) 5%</v>
      </c>
      <c r="H67" s="10">
        <f>[1]!SNLData("243327", C67, "OWNER_SNL_INSTN_KEY", "Owner 1")</f>
        <v>4361447</v>
      </c>
      <c r="I67" s="10">
        <f>[1]!SNLData("243327", C67, "OWNER_SNL_INSTN_KEY", "Owner 2")</f>
        <v>4350360</v>
      </c>
      <c r="J67" s="9" t="str">
        <f>_xll.SNL.Clients.Office.Excel.Functions.SPG(H67, "SP_ULT_PARENT_COMPANY_NAME")</f>
        <v>State-Owned Assets Supervision And Administration Commission Of Gansu Provincial</v>
      </c>
      <c r="K67" s="9" t="str">
        <f>_xll.SNL.Clients.Office.Excel.Functions.SPG(H67, "SP_ULT_PARENT_COUNTRY")</f>
        <v>China</v>
      </c>
      <c r="L67" s="9" t="str">
        <f>_xll.SNL.Clients.Office.Excel.Functions.SPG(H67, "SP_PARENT_COMPANY_NAME")</f>
        <v>Jinchuan (BVI) Limited</v>
      </c>
      <c r="M67" s="9" t="str">
        <f>_xll.SNL.Clients.Office.Excel.Functions.SPG(H67, "SP_PARENT_COUNTRY")</f>
        <v>BVI</v>
      </c>
      <c r="N67" s="9" t="str">
        <f>_xll.SNL.Clients.Office.Excel.Functions.SPG(H67, "SP_COUNTRY_NAME")</f>
        <v>Hong Kong</v>
      </c>
      <c r="O67" s="9" t="str">
        <f>_xll.SNL.Clients.Office.Excel.Functions.SPG(I67, "SP_ULT_PARENT_COMPANY_NAME")</f>
        <v>Dem. Rep. Congo</v>
      </c>
      <c r="P67" s="9" t="str">
        <f>_xll.SNL.Clients.Office.Excel.Functions.SPG(I67, "SP_ULT_PARENT_COUNTRY")</f>
        <v>Dem. Rep. Congo</v>
      </c>
      <c r="Q67" s="9" t="str">
        <f>_xll.SNL.Clients.Office.Excel.Functions.SPG(I67, "SP_PARENT_COMPANY_NAME")</f>
        <v>Dem. Rep. Congo</v>
      </c>
      <c r="R67" s="9" t="str">
        <f>_xll.SNL.Clients.Office.Excel.Functions.SPG(I67, "SP_PARENT_COUNTRY")</f>
        <v>Dem. Rep. Congo</v>
      </c>
      <c r="S67" s="9" t="str">
        <f>_xll.SNL.Clients.Office.Excel.Functions.SPG(I67, "SP_COUNTRY_NAME")</f>
        <v>Dem. Rep. Congo</v>
      </c>
    </row>
    <row r="68" spans="1:19" ht="29" x14ac:dyDescent="0.35">
      <c r="A68" s="5">
        <v>46022</v>
      </c>
      <c r="B68" s="4" t="s">
        <v>146</v>
      </c>
      <c r="C68" s="4" t="s">
        <v>147</v>
      </c>
      <c r="D68" s="4" t="s">
        <v>254</v>
      </c>
      <c r="E68" s="8">
        <v>4546566</v>
      </c>
      <c r="F68" s="7">
        <v>100</v>
      </c>
      <c r="G68" s="9" t="str">
        <f>[1]!SNLData("243327", $C68, "OWNER_LIST")</f>
        <v>Appian Capital Advisory LLP  100%</v>
      </c>
      <c r="H68" s="10">
        <f>[1]!SNLData("243327", C68, "OWNER_SNL_INSTN_KEY", "Owner 1")</f>
        <v>4546566</v>
      </c>
      <c r="I68" s="10" t="str">
        <f>[1]!SNLData("243327", C68, "OWNER_SNL_INSTN_KEY", "Owner 2")</f>
        <v>NA</v>
      </c>
      <c r="J68" s="9" t="str">
        <f>_xll.SNL.Clients.Office.Excel.Functions.SPG(H68, "SP_ULT_PARENT_COMPANY_NAME")</f>
        <v/>
      </c>
      <c r="K68" s="9" t="str">
        <f>_xll.SNL.Clients.Office.Excel.Functions.SPG(H68, "SP_ULT_PARENT_COUNTRY")</f>
        <v/>
      </c>
      <c r="L68" s="9" t="str">
        <f>_xll.SNL.Clients.Office.Excel.Functions.SPG(H68, "SP_PARENT_COMPANY_NAME")</f>
        <v/>
      </c>
      <c r="M68" s="9" t="str">
        <f>_xll.SNL.Clients.Office.Excel.Functions.SPG(H68, "SP_PARENT_COUNTRY")</f>
        <v/>
      </c>
      <c r="N68" s="9" t="str">
        <f>_xll.SNL.Clients.Office.Excel.Functions.SPG(H68, "SP_COUNTRY_NAME")</f>
        <v>United Kingdom</v>
      </c>
      <c r="O68" s="9" t="str">
        <f>_xll.SNL.Clients.Office.Excel.Functions.SPG(I68, "SP_ULT_PARENT_COMPANY_NAME")</f>
        <v/>
      </c>
      <c r="P68" s="9" t="str">
        <f>_xll.SNL.Clients.Office.Excel.Functions.SPG(I68, "SP_ULT_PARENT_COUNTRY")</f>
        <v/>
      </c>
      <c r="Q68" s="9" t="str">
        <f>_xll.SNL.Clients.Office.Excel.Functions.SPG(I68, "SP_PARENT_COMPANY_NAME")</f>
        <v/>
      </c>
      <c r="R68" s="9" t="str">
        <f>_xll.SNL.Clients.Office.Excel.Functions.SPG(I68, "SP_PARENT_COUNTRY")</f>
        <v/>
      </c>
      <c r="S68" s="9" t="str">
        <f>_xll.SNL.Clients.Office.Excel.Functions.SPG(I68, "SP_COUNTRY_NAME")</f>
        <v>China</v>
      </c>
    </row>
    <row r="69" spans="1:19" ht="29" x14ac:dyDescent="0.35">
      <c r="A69" s="5">
        <v>46022</v>
      </c>
      <c r="B69" s="4" t="s">
        <v>140</v>
      </c>
      <c r="C69" s="4" t="s">
        <v>141</v>
      </c>
      <c r="D69" s="4" t="s">
        <v>255</v>
      </c>
      <c r="E69" s="8">
        <v>10393182</v>
      </c>
      <c r="F69" s="7">
        <v>100</v>
      </c>
      <c r="G69" s="9" t="str">
        <f>[1]!SNLData("243327", $C69, "OWNER_LIST")</f>
        <v>China State-Owned Mining Enterprise  100%</v>
      </c>
      <c r="H69" s="10">
        <f>[1]!SNLData("243327", C69, "OWNER_SNL_INSTN_KEY", "Owner 1")</f>
        <v>10393182</v>
      </c>
      <c r="I69" s="10" t="str">
        <f>[1]!SNLData("243327", C69, "OWNER_SNL_INSTN_KEY", "Owner 2")</f>
        <v>NA</v>
      </c>
      <c r="J69" s="9" t="str">
        <f>_xll.SNL.Clients.Office.Excel.Functions.SPG(H69, "SP_ULT_PARENT_COMPANY_NAME")</f>
        <v/>
      </c>
      <c r="K69" s="9" t="str">
        <f>_xll.SNL.Clients.Office.Excel.Functions.SPG(H69, "SP_ULT_PARENT_COUNTRY")</f>
        <v/>
      </c>
      <c r="L69" s="9" t="str">
        <f>_xll.SNL.Clients.Office.Excel.Functions.SPG(H69, "SP_PARENT_COMPANY_NAME")</f>
        <v/>
      </c>
      <c r="M69" s="9" t="str">
        <f>_xll.SNL.Clients.Office.Excel.Functions.SPG(H69, "SP_PARENT_COUNTRY")</f>
        <v/>
      </c>
      <c r="N69" s="9" t="str">
        <f>_xll.SNL.Clients.Office.Excel.Functions.SPG(H69, "SP_COUNTRY_NAME")</f>
        <v>China</v>
      </c>
      <c r="O69" s="9" t="str">
        <f>_xll.SNL.Clients.Office.Excel.Functions.SPG(I69, "SP_ULT_PARENT_COMPANY_NAME")</f>
        <v/>
      </c>
      <c r="P69" s="9" t="str">
        <f>_xll.SNL.Clients.Office.Excel.Functions.SPG(I69, "SP_ULT_PARENT_COUNTRY")</f>
        <v/>
      </c>
      <c r="Q69" s="9" t="str">
        <f>_xll.SNL.Clients.Office.Excel.Functions.SPG(I69, "SP_PARENT_COMPANY_NAME")</f>
        <v/>
      </c>
      <c r="R69" s="9" t="str">
        <f>_xll.SNL.Clients.Office.Excel.Functions.SPG(I69, "SP_PARENT_COUNTRY")</f>
        <v/>
      </c>
      <c r="S69" s="9" t="str">
        <f>_xll.SNL.Clients.Office.Excel.Functions.SPG(I69, "SP_COUNTRY_NAME")</f>
        <v>China</v>
      </c>
    </row>
    <row r="70" spans="1:19" ht="29" x14ac:dyDescent="0.35">
      <c r="A70" s="5">
        <v>46022</v>
      </c>
      <c r="B70" s="4" t="s">
        <v>256</v>
      </c>
      <c r="C70" s="4" t="s">
        <v>257</v>
      </c>
      <c r="D70" s="4" t="s">
        <v>258</v>
      </c>
      <c r="E70" s="8">
        <v>4353521</v>
      </c>
      <c r="F70" s="7">
        <v>100</v>
      </c>
      <c r="G70" s="9" t="str">
        <f>[1]!SNLData("243327", $C70, "OWNER_LIST")</f>
        <v>PT Vale Indonesia Tbk  100%</v>
      </c>
      <c r="H70" s="10">
        <f>[1]!SNLData("243327", C70, "OWNER_SNL_INSTN_KEY", "Owner 1")</f>
        <v>4353521</v>
      </c>
      <c r="I70" s="10" t="str">
        <f>[1]!SNLData("243327", C70, "OWNER_SNL_INSTN_KEY", "Owner 2")</f>
        <v>NA</v>
      </c>
      <c r="J70" s="9" t="str">
        <f>_xll.SNL.Clients.Office.Excel.Functions.SPG(H70, "SP_ULT_PARENT_COMPANY_NAME")</f>
        <v/>
      </c>
      <c r="K70" s="9" t="str">
        <f>_xll.SNL.Clients.Office.Excel.Functions.SPG(H70, "SP_ULT_PARENT_COUNTRY")</f>
        <v/>
      </c>
      <c r="L70" s="9" t="str">
        <f>_xll.SNL.Clients.Office.Excel.Functions.SPG(H70, "SP_PARENT_COMPANY_NAME")</f>
        <v/>
      </c>
      <c r="M70" s="9" t="str">
        <f>_xll.SNL.Clients.Office.Excel.Functions.SPG(H70, "SP_PARENT_COUNTRY")</f>
        <v/>
      </c>
      <c r="N70" s="9" t="str">
        <f>_xll.SNL.Clients.Office.Excel.Functions.SPG(H70, "SP_COUNTRY_NAME")</f>
        <v>Indonesia</v>
      </c>
      <c r="O70" s="9" t="str">
        <f>_xll.SNL.Clients.Office.Excel.Functions.SPG(I70, "SP_ULT_PARENT_COMPANY_NAME")</f>
        <v/>
      </c>
      <c r="P70" s="9" t="str">
        <f>_xll.SNL.Clients.Office.Excel.Functions.SPG(I70, "SP_ULT_PARENT_COUNTRY")</f>
        <v/>
      </c>
      <c r="Q70" s="9" t="str">
        <f>_xll.SNL.Clients.Office.Excel.Functions.SPG(I70, "SP_PARENT_COMPANY_NAME")</f>
        <v/>
      </c>
      <c r="R70" s="9" t="str">
        <f>_xll.SNL.Clients.Office.Excel.Functions.SPG(I70, "SP_PARENT_COUNTRY")</f>
        <v/>
      </c>
      <c r="S70" s="9" t="str">
        <f>_xll.SNL.Clients.Office.Excel.Functions.SPG(I70, "SP_COUNTRY_NAME")</f>
        <v>China</v>
      </c>
    </row>
    <row r="71" spans="1:19" ht="29" x14ac:dyDescent="0.35">
      <c r="A71" s="5">
        <v>46022</v>
      </c>
      <c r="B71" s="4" t="s">
        <v>100</v>
      </c>
      <c r="C71" s="4" t="s">
        <v>101</v>
      </c>
      <c r="D71" s="4" t="s">
        <v>231</v>
      </c>
      <c r="E71" s="8">
        <v>4113732</v>
      </c>
      <c r="F71" s="7">
        <v>100</v>
      </c>
      <c r="G71" s="9" t="str">
        <f>[1]!SNLData("243327", $C71, "OWNER_LIST")</f>
        <v>Glencore plc  100%</v>
      </c>
      <c r="H71" s="10">
        <f>[1]!SNLData("243327", C71, "OWNER_SNL_INSTN_KEY", "Owner 1")</f>
        <v>4113732</v>
      </c>
      <c r="I71" s="10" t="str">
        <f>[1]!SNLData("243327", C71, "OWNER_SNL_INSTN_KEY", "Owner 2")</f>
        <v>NA</v>
      </c>
      <c r="J71" s="9" t="str">
        <f>_xll.SNL.Clients.Office.Excel.Functions.SPG(H71, "SP_ULT_PARENT_COMPANY_NAME")</f>
        <v/>
      </c>
      <c r="K71" s="9" t="str">
        <f>_xll.SNL.Clients.Office.Excel.Functions.SPG(H71, "SP_ULT_PARENT_COUNTRY")</f>
        <v/>
      </c>
      <c r="L71" s="9" t="str">
        <f>_xll.SNL.Clients.Office.Excel.Functions.SPG(H71, "SP_PARENT_COMPANY_NAME")</f>
        <v/>
      </c>
      <c r="M71" s="9" t="str">
        <f>_xll.SNL.Clients.Office.Excel.Functions.SPG(H71, "SP_PARENT_COUNTRY")</f>
        <v/>
      </c>
      <c r="N71" s="9" t="str">
        <f>_xll.SNL.Clients.Office.Excel.Functions.SPG(H71, "SP_COUNTRY_NAME")</f>
        <v>Switzerland</v>
      </c>
      <c r="O71" s="9" t="str">
        <f>_xll.SNL.Clients.Office.Excel.Functions.SPG(I71, "SP_ULT_PARENT_COMPANY_NAME")</f>
        <v/>
      </c>
      <c r="P71" s="9" t="str">
        <f>_xll.SNL.Clients.Office.Excel.Functions.SPG(I71, "SP_ULT_PARENT_COUNTRY")</f>
        <v/>
      </c>
      <c r="Q71" s="9" t="str">
        <f>_xll.SNL.Clients.Office.Excel.Functions.SPG(I71, "SP_PARENT_COMPANY_NAME")</f>
        <v/>
      </c>
      <c r="R71" s="9" t="str">
        <f>_xll.SNL.Clients.Office.Excel.Functions.SPG(I71, "SP_PARENT_COUNTRY")</f>
        <v/>
      </c>
      <c r="S71" s="9" t="str">
        <f>_xll.SNL.Clients.Office.Excel.Functions.SPG(I71, "SP_COUNTRY_NAME")</f>
        <v>China</v>
      </c>
    </row>
    <row r="72" spans="1:19" ht="58" x14ac:dyDescent="0.35">
      <c r="A72" s="5">
        <v>46022</v>
      </c>
      <c r="B72" s="4" t="s">
        <v>107</v>
      </c>
      <c r="C72" s="4" t="s">
        <v>108</v>
      </c>
      <c r="D72" s="4" t="s">
        <v>259</v>
      </c>
      <c r="E72" s="8">
        <v>4851749</v>
      </c>
      <c r="F72" s="7">
        <v>20</v>
      </c>
      <c r="G72" s="9" t="str">
        <f>[1]!SNLData("243327", $C72, "OWNER_LIST")</f>
        <v>Xalotho Company Limited (Optionee) 80%; Blackstone Minerals Limited (Optionor) 20%</v>
      </c>
      <c r="H72" s="10">
        <f>[1]!SNLData("243327", C72, "OWNER_SNL_INSTN_KEY", "Owner 1")</f>
        <v>11707121</v>
      </c>
      <c r="I72" s="10">
        <f>[1]!SNLData("243327", C72, "OWNER_SNL_INSTN_KEY", "Owner 2")</f>
        <v>4851749</v>
      </c>
      <c r="J72" s="9" t="str">
        <f>_xll.SNL.Clients.Office.Excel.Functions.SPG(H72, "SP_ULT_PARENT_COMPANY_NAME")</f>
        <v/>
      </c>
      <c r="K72" s="9" t="str">
        <f>_xll.SNL.Clients.Office.Excel.Functions.SPG(H72, "SP_ULT_PARENT_COUNTRY")</f>
        <v/>
      </c>
      <c r="L72" s="9" t="str">
        <f>_xll.SNL.Clients.Office.Excel.Functions.SPG(H72, "SP_PARENT_COMPANY_NAME")</f>
        <v/>
      </c>
      <c r="M72" s="9" t="str">
        <f>_xll.SNL.Clients.Office.Excel.Functions.SPG(H72, "SP_PARENT_COUNTRY")</f>
        <v/>
      </c>
      <c r="N72" s="9" t="str">
        <f>_xll.SNL.Clients.Office.Excel.Functions.SPG(H72, "SP_COUNTRY_NAME")</f>
        <v>Vietnam</v>
      </c>
      <c r="O72" s="9" t="str">
        <f>_xll.SNL.Clients.Office.Excel.Functions.SPG(I72, "SP_ULT_PARENT_COMPANY_NAME")</f>
        <v/>
      </c>
      <c r="P72" s="9" t="str">
        <f>_xll.SNL.Clients.Office.Excel.Functions.SPG(I72, "SP_ULT_PARENT_COUNTRY")</f>
        <v/>
      </c>
      <c r="Q72" s="9" t="str">
        <f>_xll.SNL.Clients.Office.Excel.Functions.SPG(I72, "SP_PARENT_COMPANY_NAME")</f>
        <v/>
      </c>
      <c r="R72" s="9" t="str">
        <f>_xll.SNL.Clients.Office.Excel.Functions.SPG(I72, "SP_PARENT_COUNTRY")</f>
        <v/>
      </c>
      <c r="S72" s="9" t="str">
        <f>_xll.SNL.Clients.Office.Excel.Functions.SPG(I72, "SP_COUNTRY_NAME")</f>
        <v>Australia</v>
      </c>
    </row>
    <row r="73" spans="1:19" ht="58" x14ac:dyDescent="0.35">
      <c r="A73" s="5">
        <v>46022</v>
      </c>
      <c r="B73" s="4" t="s">
        <v>107</v>
      </c>
      <c r="C73" s="4" t="s">
        <v>108</v>
      </c>
      <c r="D73" s="4" t="s">
        <v>260</v>
      </c>
      <c r="E73" s="8">
        <v>11707121</v>
      </c>
      <c r="F73" s="7">
        <v>80</v>
      </c>
      <c r="G73" s="9" t="str">
        <f>[1]!SNLData("243327", $C73, "OWNER_LIST")</f>
        <v>Xalotho Company Limited (Optionee) 80%; Blackstone Minerals Limited (Optionor) 20%</v>
      </c>
      <c r="H73" s="10">
        <f>[1]!SNLData("243327", C73, "OWNER_SNL_INSTN_KEY", "Owner 1")</f>
        <v>11707121</v>
      </c>
      <c r="I73" s="10">
        <f>[1]!SNLData("243327", C73, "OWNER_SNL_INSTN_KEY", "Owner 2")</f>
        <v>4851749</v>
      </c>
      <c r="J73" s="9" t="str">
        <f>_xll.SNL.Clients.Office.Excel.Functions.SPG(H73, "SP_ULT_PARENT_COMPANY_NAME")</f>
        <v/>
      </c>
      <c r="K73" s="9" t="str">
        <f>_xll.SNL.Clients.Office.Excel.Functions.SPG(H73, "SP_ULT_PARENT_COUNTRY")</f>
        <v/>
      </c>
      <c r="L73" s="9" t="str">
        <f>_xll.SNL.Clients.Office.Excel.Functions.SPG(H73, "SP_PARENT_COMPANY_NAME")</f>
        <v/>
      </c>
      <c r="M73" s="9" t="str">
        <f>_xll.SNL.Clients.Office.Excel.Functions.SPG(H73, "SP_PARENT_COUNTRY")</f>
        <v/>
      </c>
      <c r="N73" s="9" t="str">
        <f>_xll.SNL.Clients.Office.Excel.Functions.SPG(H73, "SP_COUNTRY_NAME")</f>
        <v>Vietnam</v>
      </c>
      <c r="O73" s="9" t="str">
        <f>_xll.SNL.Clients.Office.Excel.Functions.SPG(I73, "SP_ULT_PARENT_COMPANY_NAME")</f>
        <v/>
      </c>
      <c r="P73" s="9" t="str">
        <f>_xll.SNL.Clients.Office.Excel.Functions.SPG(I73, "SP_ULT_PARENT_COUNTRY")</f>
        <v/>
      </c>
      <c r="Q73" s="9" t="str">
        <f>_xll.SNL.Clients.Office.Excel.Functions.SPG(I73, "SP_PARENT_COMPANY_NAME")</f>
        <v/>
      </c>
      <c r="R73" s="9" t="str">
        <f>_xll.SNL.Clients.Office.Excel.Functions.SPG(I73, "SP_PARENT_COUNTRY")</f>
        <v/>
      </c>
      <c r="S73" s="9" t="str">
        <f>_xll.SNL.Clients.Office.Excel.Functions.SPG(I73, "SP_COUNTRY_NAME")</f>
        <v>Australia</v>
      </c>
    </row>
    <row r="74" spans="1:19" ht="72.5" x14ac:dyDescent="0.35">
      <c r="A74" s="5">
        <v>46022</v>
      </c>
      <c r="B74" s="4" t="s">
        <v>142</v>
      </c>
      <c r="C74" s="4" t="s">
        <v>143</v>
      </c>
      <c r="D74" s="4" t="s">
        <v>251</v>
      </c>
      <c r="E74" s="8">
        <v>4352804</v>
      </c>
      <c r="F74" s="7">
        <v>65</v>
      </c>
      <c r="G74" s="9" t="str">
        <f>[1]!SNLData("243327", $C74, "OWNER_LIST")</f>
        <v>Nickel Asia Corporation (Venturer) 65%; Pacific Metals Co., Ltd. (Venturer) 33.5%; Sojitz Corporation (Venturer) 1.5%</v>
      </c>
      <c r="H74" s="10">
        <f>[1]!SNLData("243327", C74, "OWNER_SNL_INSTN_KEY", "Owner 1")</f>
        <v>4352804</v>
      </c>
      <c r="I74" s="10">
        <f>[1]!SNLData("243327", C74, "OWNER_SNL_INSTN_KEY", "Owner 2")</f>
        <v>4557435</v>
      </c>
      <c r="J74" s="9" t="str">
        <f>_xll.SNL.Clients.Office.Excel.Functions.SPG(H74, "SP_ULT_PARENT_COMPANY_NAME")</f>
        <v/>
      </c>
      <c r="K74" s="9" t="str">
        <f>_xll.SNL.Clients.Office.Excel.Functions.SPG(H74, "SP_ULT_PARENT_COUNTRY")</f>
        <v/>
      </c>
      <c r="L74" s="9" t="str">
        <f>_xll.SNL.Clients.Office.Excel.Functions.SPG(H74, "SP_PARENT_COMPANY_NAME")</f>
        <v/>
      </c>
      <c r="M74" s="9" t="str">
        <f>_xll.SNL.Clients.Office.Excel.Functions.SPG(H74, "SP_PARENT_COUNTRY")</f>
        <v/>
      </c>
      <c r="N74" s="9" t="str">
        <f>_xll.SNL.Clients.Office.Excel.Functions.SPG(H74, "SP_COUNTRY_NAME")</f>
        <v>Philippines</v>
      </c>
      <c r="O74" s="9" t="str">
        <f>_xll.SNL.Clients.Office.Excel.Functions.SPG(I74, "SP_ULT_PARENT_COMPANY_NAME")</f>
        <v/>
      </c>
      <c r="P74" s="9" t="str">
        <f>_xll.SNL.Clients.Office.Excel.Functions.SPG(I74, "SP_ULT_PARENT_COUNTRY")</f>
        <v/>
      </c>
      <c r="Q74" s="9" t="str">
        <f>_xll.SNL.Clients.Office.Excel.Functions.SPG(I74, "SP_PARENT_COMPANY_NAME")</f>
        <v/>
      </c>
      <c r="R74" s="9" t="str">
        <f>_xll.SNL.Clients.Office.Excel.Functions.SPG(I74, "SP_PARENT_COUNTRY")</f>
        <v/>
      </c>
      <c r="S74" s="9" t="str">
        <f>_xll.SNL.Clients.Office.Excel.Functions.SPG(I74, "SP_COUNTRY_NAME")</f>
        <v>Japan</v>
      </c>
    </row>
    <row r="75" spans="1:19" ht="72.5" x14ac:dyDescent="0.35">
      <c r="A75" s="5">
        <v>46022</v>
      </c>
      <c r="B75" s="4" t="s">
        <v>142</v>
      </c>
      <c r="C75" s="4" t="s">
        <v>143</v>
      </c>
      <c r="D75" s="4" t="s">
        <v>252</v>
      </c>
      <c r="E75" s="8">
        <v>4557435</v>
      </c>
      <c r="F75" s="7">
        <v>33.5</v>
      </c>
      <c r="G75" s="9" t="str">
        <f>[1]!SNLData("243327", $C75, "OWNER_LIST")</f>
        <v>Nickel Asia Corporation (Venturer) 65%; Pacific Metals Co., Ltd. (Venturer) 33.5%; Sojitz Corporation (Venturer) 1.5%</v>
      </c>
      <c r="H75" s="10">
        <f>[1]!SNLData("243327", C75, "OWNER_SNL_INSTN_KEY", "Owner 1")</f>
        <v>4352804</v>
      </c>
      <c r="I75" s="10">
        <f>[1]!SNLData("243327", C75, "OWNER_SNL_INSTN_KEY", "Owner 2")</f>
        <v>4557435</v>
      </c>
      <c r="J75" s="9" t="str">
        <f>_xll.SNL.Clients.Office.Excel.Functions.SPG(H75, "SP_ULT_PARENT_COMPANY_NAME")</f>
        <v/>
      </c>
      <c r="K75" s="9" t="str">
        <f>_xll.SNL.Clients.Office.Excel.Functions.SPG(H75, "SP_ULT_PARENT_COUNTRY")</f>
        <v/>
      </c>
      <c r="L75" s="9" t="str">
        <f>_xll.SNL.Clients.Office.Excel.Functions.SPG(H75, "SP_PARENT_COMPANY_NAME")</f>
        <v/>
      </c>
      <c r="M75" s="9" t="str">
        <f>_xll.SNL.Clients.Office.Excel.Functions.SPG(H75, "SP_PARENT_COUNTRY")</f>
        <v/>
      </c>
      <c r="N75" s="9" t="str">
        <f>_xll.SNL.Clients.Office.Excel.Functions.SPG(H75, "SP_COUNTRY_NAME")</f>
        <v>Philippines</v>
      </c>
      <c r="O75" s="9" t="str">
        <f>_xll.SNL.Clients.Office.Excel.Functions.SPG(I75, "SP_ULT_PARENT_COMPANY_NAME")</f>
        <v/>
      </c>
      <c r="P75" s="9" t="str">
        <f>_xll.SNL.Clients.Office.Excel.Functions.SPG(I75, "SP_ULT_PARENT_COUNTRY")</f>
        <v/>
      </c>
      <c r="Q75" s="9" t="str">
        <f>_xll.SNL.Clients.Office.Excel.Functions.SPG(I75, "SP_PARENT_COMPANY_NAME")</f>
        <v/>
      </c>
      <c r="R75" s="9" t="str">
        <f>_xll.SNL.Clients.Office.Excel.Functions.SPG(I75, "SP_PARENT_COUNTRY")</f>
        <v/>
      </c>
      <c r="S75" s="9" t="str">
        <f>_xll.SNL.Clients.Office.Excel.Functions.SPG(I75, "SP_COUNTRY_NAME")</f>
        <v>Japan</v>
      </c>
    </row>
    <row r="76" spans="1:19" ht="72.5" x14ac:dyDescent="0.35">
      <c r="A76" s="5">
        <v>46022</v>
      </c>
      <c r="B76" s="4" t="s">
        <v>142</v>
      </c>
      <c r="C76" s="4" t="s">
        <v>143</v>
      </c>
      <c r="D76" s="4" t="s">
        <v>253</v>
      </c>
      <c r="E76" s="8">
        <v>4096231</v>
      </c>
      <c r="F76" s="7">
        <v>1.5</v>
      </c>
      <c r="G76" s="9" t="str">
        <f>[1]!SNLData("243327", $C76, "OWNER_LIST")</f>
        <v>Nickel Asia Corporation (Venturer) 65%; Pacific Metals Co., Ltd. (Venturer) 33.5%; Sojitz Corporation (Venturer) 1.5%</v>
      </c>
      <c r="H76" s="10">
        <f>[1]!SNLData("243327", C76, "OWNER_SNL_INSTN_KEY", "Owner 1")</f>
        <v>4352804</v>
      </c>
      <c r="I76" s="10">
        <f>[1]!SNLData("243327", C76, "OWNER_SNL_INSTN_KEY", "Owner 2")</f>
        <v>4557435</v>
      </c>
      <c r="J76" s="9" t="str">
        <f>_xll.SNL.Clients.Office.Excel.Functions.SPG(H76, "SP_ULT_PARENT_COMPANY_NAME")</f>
        <v/>
      </c>
      <c r="K76" s="9" t="str">
        <f>_xll.SNL.Clients.Office.Excel.Functions.SPG(H76, "SP_ULT_PARENT_COUNTRY")</f>
        <v/>
      </c>
      <c r="L76" s="9" t="str">
        <f>_xll.SNL.Clients.Office.Excel.Functions.SPG(H76, "SP_PARENT_COMPANY_NAME")</f>
        <v/>
      </c>
      <c r="M76" s="9" t="str">
        <f>_xll.SNL.Clients.Office.Excel.Functions.SPG(H76, "SP_PARENT_COUNTRY")</f>
        <v/>
      </c>
      <c r="N76" s="9" t="str">
        <f>_xll.SNL.Clients.Office.Excel.Functions.SPG(H76, "SP_COUNTRY_NAME")</f>
        <v>Philippines</v>
      </c>
      <c r="O76" s="9" t="str">
        <f>_xll.SNL.Clients.Office.Excel.Functions.SPG(I76, "SP_ULT_PARENT_COMPANY_NAME")</f>
        <v/>
      </c>
      <c r="P76" s="9" t="str">
        <f>_xll.SNL.Clients.Office.Excel.Functions.SPG(I76, "SP_ULT_PARENT_COUNTRY")</f>
        <v/>
      </c>
      <c r="Q76" s="9" t="str">
        <f>_xll.SNL.Clients.Office.Excel.Functions.SPG(I76, "SP_PARENT_COMPANY_NAME")</f>
        <v/>
      </c>
      <c r="R76" s="9" t="str">
        <f>_xll.SNL.Clients.Office.Excel.Functions.SPG(I76, "SP_PARENT_COUNTRY")</f>
        <v/>
      </c>
      <c r="S76" s="9" t="str">
        <f>_xll.SNL.Clients.Office.Excel.Functions.SPG(I76, "SP_COUNTRY_NAME")</f>
        <v>Japan</v>
      </c>
    </row>
    <row r="77" spans="1:19" ht="43.5" x14ac:dyDescent="0.35">
      <c r="A77" s="5">
        <v>46022</v>
      </c>
      <c r="B77" s="4" t="s">
        <v>144</v>
      </c>
      <c r="C77" s="4" t="s">
        <v>145</v>
      </c>
      <c r="D77" s="4" t="s">
        <v>233</v>
      </c>
      <c r="E77" s="8">
        <v>4349148</v>
      </c>
      <c r="F77" s="7">
        <v>80</v>
      </c>
      <c r="G77" s="9" t="str">
        <f>[1]!SNLData("243327", $C77, "OWNER_LIST")</f>
        <v>Gécamines SA (Carried) 20%; CMOC Group Limited (Venturer) 80%</v>
      </c>
      <c r="H77" s="10">
        <f>[1]!SNLData("243327", C77, "OWNER_SNL_INSTN_KEY", "Owner 1")</f>
        <v>4349148</v>
      </c>
      <c r="I77" s="10">
        <f>[1]!SNLData("243327", C77, "OWNER_SNL_INSTN_KEY", "Owner 2")</f>
        <v>4350360</v>
      </c>
      <c r="J77" s="9" t="str">
        <f>_xll.SNL.Clients.Office.Excel.Functions.SPG(H77, "SP_ULT_PARENT_COMPANY_NAME")</f>
        <v/>
      </c>
      <c r="K77" s="9" t="str">
        <f>_xll.SNL.Clients.Office.Excel.Functions.SPG(H77, "SP_ULT_PARENT_COUNTRY")</f>
        <v/>
      </c>
      <c r="L77" s="9" t="str">
        <f>_xll.SNL.Clients.Office.Excel.Functions.SPG(H77, "SP_PARENT_COMPANY_NAME")</f>
        <v/>
      </c>
      <c r="M77" s="9" t="str">
        <f>_xll.SNL.Clients.Office.Excel.Functions.SPG(H77, "SP_PARENT_COUNTRY")</f>
        <v/>
      </c>
      <c r="N77" s="9" t="str">
        <f>_xll.SNL.Clients.Office.Excel.Functions.SPG(H77, "SP_COUNTRY_NAME")</f>
        <v>China</v>
      </c>
      <c r="O77" s="9" t="str">
        <f>_xll.SNL.Clients.Office.Excel.Functions.SPG(I77, "SP_ULT_PARENT_COMPANY_NAME")</f>
        <v>Dem. Rep. Congo</v>
      </c>
      <c r="P77" s="9" t="str">
        <f>_xll.SNL.Clients.Office.Excel.Functions.SPG(I77, "SP_ULT_PARENT_COUNTRY")</f>
        <v>Dem. Rep. Congo</v>
      </c>
      <c r="Q77" s="9" t="str">
        <f>_xll.SNL.Clients.Office.Excel.Functions.SPG(I77, "SP_PARENT_COMPANY_NAME")</f>
        <v>Dem. Rep. Congo</v>
      </c>
      <c r="R77" s="9" t="str">
        <f>_xll.SNL.Clients.Office.Excel.Functions.SPG(I77, "SP_PARENT_COUNTRY")</f>
        <v>Dem. Rep. Congo</v>
      </c>
      <c r="S77" s="9" t="str">
        <f>_xll.SNL.Clients.Office.Excel.Functions.SPG(I77, "SP_COUNTRY_NAME")</f>
        <v>Dem. Rep. Congo</v>
      </c>
    </row>
    <row r="78" spans="1:19" ht="43.5" x14ac:dyDescent="0.35">
      <c r="A78" s="5">
        <v>46022</v>
      </c>
      <c r="B78" s="4" t="s">
        <v>144</v>
      </c>
      <c r="C78" s="4" t="s">
        <v>145</v>
      </c>
      <c r="D78" s="4" t="s">
        <v>235</v>
      </c>
      <c r="E78" s="8">
        <v>4350360</v>
      </c>
      <c r="F78" s="7">
        <v>20</v>
      </c>
      <c r="G78" s="9" t="str">
        <f>[1]!SNLData("243327", $C78, "OWNER_LIST")</f>
        <v>Gécamines SA (Carried) 20%; CMOC Group Limited (Venturer) 80%</v>
      </c>
      <c r="H78" s="10">
        <f>[1]!SNLData("243327", C78, "OWNER_SNL_INSTN_KEY", "Owner 1")</f>
        <v>4349148</v>
      </c>
      <c r="I78" s="10">
        <f>[1]!SNLData("243327", C78, "OWNER_SNL_INSTN_KEY", "Owner 2")</f>
        <v>4350360</v>
      </c>
      <c r="J78" s="9" t="str">
        <f>_xll.SNL.Clients.Office.Excel.Functions.SPG(H78, "SP_ULT_PARENT_COMPANY_NAME")</f>
        <v/>
      </c>
      <c r="K78" s="9" t="str">
        <f>_xll.SNL.Clients.Office.Excel.Functions.SPG(H78, "SP_ULT_PARENT_COUNTRY")</f>
        <v/>
      </c>
      <c r="L78" s="9" t="str">
        <f>_xll.SNL.Clients.Office.Excel.Functions.SPG(H78, "SP_PARENT_COMPANY_NAME")</f>
        <v/>
      </c>
      <c r="M78" s="9" t="str">
        <f>_xll.SNL.Clients.Office.Excel.Functions.SPG(H78, "SP_PARENT_COUNTRY")</f>
        <v/>
      </c>
      <c r="N78" s="9" t="str">
        <f>_xll.SNL.Clients.Office.Excel.Functions.SPG(H78, "SP_COUNTRY_NAME")</f>
        <v>China</v>
      </c>
      <c r="O78" s="9" t="str">
        <f>_xll.SNL.Clients.Office.Excel.Functions.SPG(I78, "SP_ULT_PARENT_COMPANY_NAME")</f>
        <v>Dem. Rep. Congo</v>
      </c>
      <c r="P78" s="9" t="str">
        <f>_xll.SNL.Clients.Office.Excel.Functions.SPG(I78, "SP_ULT_PARENT_COUNTRY")</f>
        <v>Dem. Rep. Congo</v>
      </c>
      <c r="Q78" s="9" t="str">
        <f>_xll.SNL.Clients.Office.Excel.Functions.SPG(I78, "SP_PARENT_COMPANY_NAME")</f>
        <v>Dem. Rep. Congo</v>
      </c>
      <c r="R78" s="9" t="str">
        <f>_xll.SNL.Clients.Office.Excel.Functions.SPG(I78, "SP_PARENT_COUNTRY")</f>
        <v>Dem. Rep. Congo</v>
      </c>
      <c r="S78" s="9" t="str">
        <f>_xll.SNL.Clients.Office.Excel.Functions.SPG(I78, "SP_COUNTRY_NAME")</f>
        <v>Dem. Rep. Congo</v>
      </c>
    </row>
    <row r="79" spans="1:19" ht="58" x14ac:dyDescent="0.35">
      <c r="A79" s="5">
        <v>46022</v>
      </c>
      <c r="B79" s="4" t="s">
        <v>126</v>
      </c>
      <c r="C79" s="4" t="s">
        <v>127</v>
      </c>
      <c r="D79" s="4" t="s">
        <v>261</v>
      </c>
      <c r="E79" s="8">
        <v>4648824</v>
      </c>
      <c r="F79" s="7">
        <v>100</v>
      </c>
      <c r="G79" s="9" t="str">
        <f>[1]!SNLData("243327", $C79, "OWNER_LIST")</f>
        <v>Terrafame Oy  100%</v>
      </c>
      <c r="H79" s="10">
        <f>[1]!SNLData("243327", C79, "OWNER_SNL_INSTN_KEY", "Owner 1")</f>
        <v>4648824</v>
      </c>
      <c r="I79" s="10" t="str">
        <f>[1]!SNLData("243327", C79, "OWNER_SNL_INSTN_KEY", "Owner 2")</f>
        <v>NA</v>
      </c>
      <c r="J79" s="9" t="str">
        <f>_xll.SNL.Clients.Office.Excel.Functions.SPG(H79, "SP_ULT_PARENT_COMPANY_NAME")</f>
        <v>Finnish Minerals Group Oy</v>
      </c>
      <c r="K79" s="9" t="str">
        <f>_xll.SNL.Clients.Office.Excel.Functions.SPG(H79, "SP_ULT_PARENT_COUNTRY")</f>
        <v>Finland</v>
      </c>
      <c r="L79" s="9" t="str">
        <f>_xll.SNL.Clients.Office.Excel.Functions.SPG(H79, "SP_PARENT_COMPANY_NAME")</f>
        <v>Finnish Minerals Group Oy</v>
      </c>
      <c r="M79" s="9" t="str">
        <f>_xll.SNL.Clients.Office.Excel.Functions.SPG(H79, "SP_PARENT_COUNTRY")</f>
        <v>Finland</v>
      </c>
      <c r="N79" s="9" t="str">
        <f>_xll.SNL.Clients.Office.Excel.Functions.SPG(H79, "SP_COUNTRY_NAME")</f>
        <v>Finland</v>
      </c>
      <c r="O79" s="9" t="str">
        <f>_xll.SNL.Clients.Office.Excel.Functions.SPG(I79, "SP_ULT_PARENT_COMPANY_NAME")</f>
        <v/>
      </c>
      <c r="P79" s="9" t="str">
        <f>_xll.SNL.Clients.Office.Excel.Functions.SPG(I79, "SP_ULT_PARENT_COUNTRY")</f>
        <v/>
      </c>
      <c r="Q79" s="9" t="str">
        <f>_xll.SNL.Clients.Office.Excel.Functions.SPG(I79, "SP_PARENT_COMPANY_NAME")</f>
        <v/>
      </c>
      <c r="R79" s="9" t="str">
        <f>_xll.SNL.Clients.Office.Excel.Functions.SPG(I79, "SP_PARENT_COUNTRY")</f>
        <v/>
      </c>
      <c r="S79" s="9" t="str">
        <f>_xll.SNL.Clients.Office.Excel.Functions.SPG(I79, "SP_COUNTRY_NAME")</f>
        <v>China</v>
      </c>
    </row>
    <row r="80" spans="1:19" ht="29" x14ac:dyDescent="0.35">
      <c r="A80" s="5">
        <v>46022</v>
      </c>
      <c r="B80" s="4" t="s">
        <v>148</v>
      </c>
      <c r="C80" s="4" t="s">
        <v>149</v>
      </c>
      <c r="D80" s="4" t="s">
        <v>255</v>
      </c>
      <c r="E80" s="8">
        <v>10393182</v>
      </c>
      <c r="F80" s="7">
        <v>100</v>
      </c>
      <c r="G80" s="9" t="str">
        <f>[1]!SNLData("243327", $C80, "OWNER_LIST")</f>
        <v>China State-Owned Mining Enterprise  100%</v>
      </c>
      <c r="H80" s="10">
        <f>[1]!SNLData("243327", C80, "OWNER_SNL_INSTN_KEY", "Owner 1")</f>
        <v>10393182</v>
      </c>
      <c r="I80" s="10" t="str">
        <f>[1]!SNLData("243327", C80, "OWNER_SNL_INSTN_KEY", "Owner 2")</f>
        <v>NA</v>
      </c>
      <c r="J80" s="9" t="str">
        <f>_xll.SNL.Clients.Office.Excel.Functions.SPG(H80, "SP_ULT_PARENT_COMPANY_NAME")</f>
        <v/>
      </c>
      <c r="K80" s="9" t="str">
        <f>_xll.SNL.Clients.Office.Excel.Functions.SPG(H80, "SP_ULT_PARENT_COUNTRY")</f>
        <v/>
      </c>
      <c r="L80" s="9" t="str">
        <f>_xll.SNL.Clients.Office.Excel.Functions.SPG(H80, "SP_PARENT_COMPANY_NAME")</f>
        <v/>
      </c>
      <c r="M80" s="9" t="str">
        <f>_xll.SNL.Clients.Office.Excel.Functions.SPG(H80, "SP_PARENT_COUNTRY")</f>
        <v/>
      </c>
      <c r="N80" s="9" t="str">
        <f>_xll.SNL.Clients.Office.Excel.Functions.SPG(H80, "SP_COUNTRY_NAME")</f>
        <v>China</v>
      </c>
      <c r="O80" s="9" t="str">
        <f>_xll.SNL.Clients.Office.Excel.Functions.SPG(I80, "SP_ULT_PARENT_COMPANY_NAME")</f>
        <v/>
      </c>
      <c r="P80" s="9" t="str">
        <f>_xll.SNL.Clients.Office.Excel.Functions.SPG(I80, "SP_ULT_PARENT_COUNTRY")</f>
        <v/>
      </c>
      <c r="Q80" s="9" t="str">
        <f>_xll.SNL.Clients.Office.Excel.Functions.SPG(I80, "SP_PARENT_COMPANY_NAME")</f>
        <v/>
      </c>
      <c r="R80" s="9" t="str">
        <f>_xll.SNL.Clients.Office.Excel.Functions.SPG(I80, "SP_PARENT_COUNTRY")</f>
        <v/>
      </c>
      <c r="S80" s="9" t="str">
        <f>_xll.SNL.Clients.Office.Excel.Functions.SPG(I80, "SP_COUNTRY_NAME")</f>
        <v>China</v>
      </c>
    </row>
    <row r="81" spans="1:19" x14ac:dyDescent="0.35">
      <c r="A81" s="5">
        <v>46022</v>
      </c>
      <c r="B81" s="4" t="s">
        <v>128</v>
      </c>
      <c r="C81" s="4" t="s">
        <v>129</v>
      </c>
      <c r="D81" s="4" t="s">
        <v>236</v>
      </c>
      <c r="E81" s="8">
        <v>4223919</v>
      </c>
      <c r="F81" s="7">
        <v>100</v>
      </c>
      <c r="G81" s="9" t="str">
        <f>[1]!SNLData("243327", $C81, "OWNER_LIST")</f>
        <v>Vale S.A.  100%</v>
      </c>
      <c r="H81" s="10">
        <f>[1]!SNLData("243327", C81, "OWNER_SNL_INSTN_KEY", "Owner 1")</f>
        <v>4223919</v>
      </c>
      <c r="I81" s="10" t="str">
        <f>[1]!SNLData("243327", C81, "OWNER_SNL_INSTN_KEY", "Owner 2")</f>
        <v>NA</v>
      </c>
      <c r="J81" s="9" t="str">
        <f>_xll.SNL.Clients.Office.Excel.Functions.SPG(H81, "SP_ULT_PARENT_COMPANY_NAME")</f>
        <v/>
      </c>
      <c r="K81" s="9" t="str">
        <f>_xll.SNL.Clients.Office.Excel.Functions.SPG(H81, "SP_ULT_PARENT_COUNTRY")</f>
        <v/>
      </c>
      <c r="L81" s="9" t="str">
        <f>_xll.SNL.Clients.Office.Excel.Functions.SPG(H81, "SP_PARENT_COMPANY_NAME")</f>
        <v/>
      </c>
      <c r="M81" s="9" t="str">
        <f>_xll.SNL.Clients.Office.Excel.Functions.SPG(H81, "SP_PARENT_COUNTRY")</f>
        <v/>
      </c>
      <c r="N81" s="9" t="str">
        <f>_xll.SNL.Clients.Office.Excel.Functions.SPG(H81, "SP_COUNTRY_NAME")</f>
        <v>Brazil</v>
      </c>
      <c r="O81" s="9" t="str">
        <f>_xll.SNL.Clients.Office.Excel.Functions.SPG(I81, "SP_ULT_PARENT_COMPANY_NAME")</f>
        <v/>
      </c>
      <c r="P81" s="9" t="str">
        <f>_xll.SNL.Clients.Office.Excel.Functions.SPG(I81, "SP_ULT_PARENT_COUNTRY")</f>
        <v/>
      </c>
      <c r="Q81" s="9" t="str">
        <f>_xll.SNL.Clients.Office.Excel.Functions.SPG(I81, "SP_PARENT_COMPANY_NAME")</f>
        <v/>
      </c>
      <c r="R81" s="9" t="str">
        <f>_xll.SNL.Clients.Office.Excel.Functions.SPG(I81, "SP_PARENT_COUNTRY")</f>
        <v/>
      </c>
      <c r="S81" s="9" t="str">
        <f>_xll.SNL.Clients.Office.Excel.Functions.SPG(I81, "SP_COUNTRY_NAME")</f>
        <v>China</v>
      </c>
    </row>
    <row r="82" spans="1:19" ht="58" x14ac:dyDescent="0.35">
      <c r="A82" s="5">
        <v>46022</v>
      </c>
      <c r="B82" s="4" t="s">
        <v>130</v>
      </c>
      <c r="C82" s="4" t="s">
        <v>131</v>
      </c>
      <c r="D82" s="4" t="s">
        <v>262</v>
      </c>
      <c r="E82" s="8">
        <v>4355649</v>
      </c>
      <c r="F82" s="7">
        <v>100</v>
      </c>
      <c r="G82" s="9" t="str">
        <f>[1]!SNLData("243327", $C82, "OWNER_LIST")</f>
        <v>Zimplats Holdings Limited  100%</v>
      </c>
      <c r="H82" s="10">
        <f>[1]!SNLData("243327", C82, "OWNER_SNL_INSTN_KEY", "Owner 1")</f>
        <v>4355649</v>
      </c>
      <c r="I82" s="10" t="str">
        <f>[1]!SNLData("243327", C82, "OWNER_SNL_INSTN_KEY", "Owner 2")</f>
        <v>NA</v>
      </c>
      <c r="J82" s="9" t="str">
        <f>_xll.SNL.Clients.Office.Excel.Functions.SPG(H82, "SP_ULT_PARENT_COMPANY_NAME")</f>
        <v>Impala Platinum Holdings Limited</v>
      </c>
      <c r="K82" s="9" t="str">
        <f>_xll.SNL.Clients.Office.Excel.Functions.SPG(H82, "SP_ULT_PARENT_COUNTRY")</f>
        <v>South Africa</v>
      </c>
      <c r="L82" s="9" t="str">
        <f>_xll.SNL.Clients.Office.Excel.Functions.SPG(H82, "SP_PARENT_COMPANY_NAME")</f>
        <v>Impala Platinum BV</v>
      </c>
      <c r="M82" s="9" t="str">
        <f>_xll.SNL.Clients.Office.Excel.Functions.SPG(H82, "SP_PARENT_COUNTRY")</f>
        <v>Netherlands</v>
      </c>
      <c r="N82" s="9" t="str">
        <f>_xll.SNL.Clients.Office.Excel.Functions.SPG(H82, "SP_COUNTRY_NAME")</f>
        <v>Guernsey</v>
      </c>
      <c r="O82" s="9" t="str">
        <f>_xll.SNL.Clients.Office.Excel.Functions.SPG(I82, "SP_ULT_PARENT_COMPANY_NAME")</f>
        <v/>
      </c>
      <c r="P82" s="9" t="str">
        <f>_xll.SNL.Clients.Office.Excel.Functions.SPG(I82, "SP_ULT_PARENT_COUNTRY")</f>
        <v/>
      </c>
      <c r="Q82" s="9" t="str">
        <f>_xll.SNL.Clients.Office.Excel.Functions.SPG(I82, "SP_PARENT_COMPANY_NAME")</f>
        <v/>
      </c>
      <c r="R82" s="9" t="str">
        <f>_xll.SNL.Clients.Office.Excel.Functions.SPG(I82, "SP_PARENT_COUNTRY")</f>
        <v/>
      </c>
      <c r="S82" s="9" t="str">
        <f>_xll.SNL.Clients.Office.Excel.Functions.SPG(I82, "SP_COUNTRY_NAME")</f>
        <v>China</v>
      </c>
    </row>
  </sheetData>
  <mergeCells count="20">
    <mergeCell ref="O6:O9"/>
    <mergeCell ref="P6:P9"/>
    <mergeCell ref="Q6:Q9"/>
    <mergeCell ref="R6:R9"/>
    <mergeCell ref="S6:S9"/>
    <mergeCell ref="J6:J9"/>
    <mergeCell ref="K6:K9"/>
    <mergeCell ref="L6:L9"/>
    <mergeCell ref="M6:M9"/>
    <mergeCell ref="N6:N9"/>
    <mergeCell ref="E6:E9"/>
    <mergeCell ref="F6:F9"/>
    <mergeCell ref="G6:G9"/>
    <mergeCell ref="H6:H9"/>
    <mergeCell ref="I6:I9"/>
    <mergeCell ref="A1:D1"/>
    <mergeCell ref="A6:A9"/>
    <mergeCell ref="B6:B9"/>
    <mergeCell ref="C6:C9"/>
    <mergeCell ref="D6:D9"/>
  </mergeCells>
  <pageMargins left="0.7" right="0.7" top="0.75" bottom="0.75" header="0.3" footer="0.3"/>
  <pageSetup orientation="landscape"/>
  <headerFooter>
    <oddFooter>&amp;C_x000D_&amp;1#&amp;"Aptos"&amp;10&amp;K0000FF Restricted Use - À usage restreint</oddFooter>
  </headerFooter>
  <drawing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6</vt:i4>
      </vt:variant>
    </vt:vector>
  </HeadingPairs>
  <TitlesOfParts>
    <vt:vector size="6" baseType="lpstr">
      <vt:lpstr>Ore</vt:lpstr>
      <vt:lpstr>Production Costs Co Product</vt:lpstr>
      <vt:lpstr>Production Costs By Product</vt:lpstr>
      <vt:lpstr>Sheet1</vt:lpstr>
      <vt:lpstr>Cash Flow</vt:lpstr>
      <vt:lpstr>Ownership</vt:lpstr>
    </vt:vector>
  </TitlesOfParts>
  <Manager/>
  <Company>SoftArtisans,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HOUHAMDI Wafa, DAF/RBC</cp:lastModifiedBy>
  <dcterms:created xsi:type="dcterms:W3CDTF">2026-07-07T16:36:38Z</dcterms:created>
  <dcterms:modified xsi:type="dcterms:W3CDTF">2026-07-10T14:21:50Z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y fmtid="{D5CDD505-2E9C-101B-9397-08002B2CF9AE}" pid="3" name="MSIP_Label_0e5510b0-e729-4ef0-a3dd-4ba0dfe56c99_Enabled">
    <vt:lpwstr>true</vt:lpwstr>
  </property>
  <property fmtid="{D5CDD505-2E9C-101B-9397-08002B2CF9AE}" pid="4" name="MSIP_Label_0e5510b0-e729-4ef0-a3dd-4ba0dfe56c99_SetDate">
    <vt:lpwstr>2026-07-08T11:59:12Z</vt:lpwstr>
  </property>
  <property fmtid="{D5CDD505-2E9C-101B-9397-08002B2CF9AE}" pid="5" name="MSIP_Label_0e5510b0-e729-4ef0-a3dd-4ba0dfe56c99_Method">
    <vt:lpwstr>Standard</vt:lpwstr>
  </property>
  <property fmtid="{D5CDD505-2E9C-101B-9397-08002B2CF9AE}" pid="6" name="MSIP_Label_0e5510b0-e729-4ef0-a3dd-4ba0dfe56c99_Name">
    <vt:lpwstr>Restricted Use</vt:lpwstr>
  </property>
  <property fmtid="{D5CDD505-2E9C-101B-9397-08002B2CF9AE}" pid="7" name="MSIP_Label_0e5510b0-e729-4ef0-a3dd-4ba0dfe56c99_SiteId">
    <vt:lpwstr>ac41c7d4-1f61-460d-b0f4-fc925a2b471c</vt:lpwstr>
  </property>
  <property fmtid="{D5CDD505-2E9C-101B-9397-08002B2CF9AE}" pid="8" name="MSIP_Label_0e5510b0-e729-4ef0-a3dd-4ba0dfe56c99_ActionId">
    <vt:lpwstr>ff6fada6-972b-45a5-bae0-f9eb3a85829e</vt:lpwstr>
  </property>
  <property fmtid="{D5CDD505-2E9C-101B-9397-08002B2CF9AE}" pid="9" name="MSIP_Label_0e5510b0-e729-4ef0-a3dd-4ba0dfe56c99_ContentBits">
    <vt:lpwstr>2</vt:lpwstr>
  </property>
  <property fmtid="{D5CDD505-2E9C-101B-9397-08002B2CF9AE}" pid="10" name="MSIP_Label_0e5510b0-e729-4ef0-a3dd-4ba0dfe56c99_Tag">
    <vt:lpwstr>10, 3, 0, 1</vt:lpwstr>
  </property>
</Properties>
</file>