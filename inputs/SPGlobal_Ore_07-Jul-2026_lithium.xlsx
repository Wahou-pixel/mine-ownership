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oecd-my.sharepoint.com/personal/wafa_houhamdi_oecd_org/Documents/Documents/cost curve/inputs/"/>
    </mc:Choice>
  </mc:AlternateContent>
  <xr:revisionPtr revIDLastSave="29" documentId="8_{553E57CF-58FF-43DC-A7B8-303D0A3117C9}" xr6:coauthVersionLast="47" xr6:coauthVersionMax="47" xr10:uidLastSave="{887B125B-8EB0-44A6-BCF7-11D764B27FDC}"/>
  <bookViews>
    <workbookView xWindow="10200" yWindow="-21000" windowWidth="26085" windowHeight="18255" firstSheet="5" activeTab="7" xr2:uid="{00000000-000D-0000-FFFF-FFFF00000000}"/>
  </bookViews>
  <sheets>
    <sheet name="__snloffice" sheetId="9" state="veryHidden" r:id="rId1"/>
    <sheet name="Ore" sheetId="1" r:id="rId2"/>
    <sheet name="Products LCE" sheetId="2" r:id="rId3"/>
    <sheet name="Products Tonne" sheetId="3" r:id="rId4"/>
    <sheet name="Consolidated Products LCE" sheetId="4" r:id="rId5"/>
    <sheet name="Consolidated Products Tonne" sheetId="5" r:id="rId6"/>
    <sheet name="Cash Flow" sheetId="6" r:id="rId7"/>
    <sheet name="Ownership" sheetId="7" r:id="rId8"/>
    <sheet name="Sheet1" sheetId="8" r:id="rId9"/>
  </sheets>
  <externalReferences>
    <externalReference r:id="rId10"/>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3" i="7" l="1"/>
  <c r="R63" i="7"/>
  <c r="Q63" i="7"/>
  <c r="P63" i="7"/>
  <c r="O63" i="7"/>
  <c r="N63" i="7"/>
  <c r="M63" i="7"/>
  <c r="L63" i="7"/>
  <c r="K63" i="7"/>
  <c r="J63" i="7"/>
  <c r="S62" i="7"/>
  <c r="R62" i="7"/>
  <c r="Q62" i="7"/>
  <c r="P62" i="7"/>
  <c r="O62" i="7"/>
  <c r="N62" i="7"/>
  <c r="M62" i="7"/>
  <c r="L62" i="7"/>
  <c r="K62" i="7"/>
  <c r="J62" i="7"/>
  <c r="S61" i="7"/>
  <c r="R61" i="7"/>
  <c r="Q61" i="7"/>
  <c r="P61" i="7"/>
  <c r="O61" i="7"/>
  <c r="N61" i="7"/>
  <c r="M61" i="7"/>
  <c r="L61" i="7"/>
  <c r="K61" i="7"/>
  <c r="J61" i="7"/>
  <c r="S60" i="7"/>
  <c r="R60" i="7"/>
  <c r="Q60" i="7"/>
  <c r="P60" i="7"/>
  <c r="O60" i="7"/>
  <c r="N60" i="7"/>
  <c r="M60" i="7"/>
  <c r="L60" i="7"/>
  <c r="K60" i="7"/>
  <c r="J60" i="7"/>
  <c r="S59" i="7"/>
  <c r="R59" i="7"/>
  <c r="Q59" i="7"/>
  <c r="P59" i="7"/>
  <c r="O59" i="7"/>
  <c r="N59" i="7"/>
  <c r="M59" i="7"/>
  <c r="L59" i="7"/>
  <c r="K59" i="7"/>
  <c r="J59" i="7"/>
  <c r="S58" i="7"/>
  <c r="R58" i="7"/>
  <c r="Q58" i="7"/>
  <c r="P58" i="7"/>
  <c r="O58" i="7"/>
  <c r="N58" i="7"/>
  <c r="M58" i="7"/>
  <c r="L58" i="7"/>
  <c r="K58" i="7"/>
  <c r="J58" i="7"/>
  <c r="S57" i="7"/>
  <c r="R57" i="7"/>
  <c r="Q57" i="7"/>
  <c r="P57" i="7"/>
  <c r="O57" i="7"/>
  <c r="N57" i="7"/>
  <c r="M57" i="7"/>
  <c r="L57" i="7"/>
  <c r="K57" i="7"/>
  <c r="J57" i="7"/>
  <c r="S56" i="7"/>
  <c r="R56" i="7"/>
  <c r="Q56" i="7"/>
  <c r="P56" i="7"/>
  <c r="O56" i="7"/>
  <c r="N56" i="7"/>
  <c r="M56" i="7"/>
  <c r="L56" i="7"/>
  <c r="K56" i="7"/>
  <c r="J56" i="7"/>
  <c r="S55" i="7"/>
  <c r="R55" i="7"/>
  <c r="Q55" i="7"/>
  <c r="P55" i="7"/>
  <c r="O55" i="7"/>
  <c r="N55" i="7"/>
  <c r="M55" i="7"/>
  <c r="L55" i="7"/>
  <c r="K55" i="7"/>
  <c r="J55" i="7"/>
  <c r="S54" i="7"/>
  <c r="R54" i="7"/>
  <c r="Q54" i="7"/>
  <c r="P54" i="7"/>
  <c r="O54" i="7"/>
  <c r="N54" i="7"/>
  <c r="M54" i="7"/>
  <c r="L54" i="7"/>
  <c r="K54" i="7"/>
  <c r="J54" i="7"/>
  <c r="S53" i="7"/>
  <c r="R53" i="7"/>
  <c r="Q53" i="7"/>
  <c r="P53" i="7"/>
  <c r="O53" i="7"/>
  <c r="N53" i="7"/>
  <c r="M53" i="7"/>
  <c r="L53" i="7"/>
  <c r="K53" i="7"/>
  <c r="J53" i="7"/>
  <c r="S52" i="7"/>
  <c r="R52" i="7"/>
  <c r="Q52" i="7"/>
  <c r="P52" i="7"/>
  <c r="O52" i="7"/>
  <c r="N52" i="7"/>
  <c r="M52" i="7"/>
  <c r="L52" i="7"/>
  <c r="K52" i="7"/>
  <c r="J52" i="7"/>
  <c r="S51" i="7"/>
  <c r="R51" i="7"/>
  <c r="Q51" i="7"/>
  <c r="P51" i="7"/>
  <c r="O51" i="7"/>
  <c r="N51" i="7"/>
  <c r="M51" i="7"/>
  <c r="L51" i="7"/>
  <c r="K51" i="7"/>
  <c r="J51" i="7"/>
  <c r="S50" i="7"/>
  <c r="R50" i="7"/>
  <c r="Q50" i="7"/>
  <c r="P50" i="7"/>
  <c r="O50" i="7"/>
  <c r="N50" i="7"/>
  <c r="M50" i="7"/>
  <c r="L50" i="7"/>
  <c r="K50" i="7"/>
  <c r="J50" i="7"/>
  <c r="S49" i="7"/>
  <c r="R49" i="7"/>
  <c r="Q49" i="7"/>
  <c r="P49" i="7"/>
  <c r="O49" i="7"/>
  <c r="N49" i="7"/>
  <c r="M49" i="7"/>
  <c r="L49" i="7"/>
  <c r="K49" i="7"/>
  <c r="J49" i="7"/>
  <c r="S48" i="7"/>
  <c r="R48" i="7"/>
  <c r="Q48" i="7"/>
  <c r="P48" i="7"/>
  <c r="O48" i="7"/>
  <c r="N48" i="7"/>
  <c r="M48" i="7"/>
  <c r="L48" i="7"/>
  <c r="K48" i="7"/>
  <c r="J48" i="7"/>
  <c r="S47" i="7"/>
  <c r="R47" i="7"/>
  <c r="Q47" i="7"/>
  <c r="P47" i="7"/>
  <c r="O47" i="7"/>
  <c r="N47" i="7"/>
  <c r="M47" i="7"/>
  <c r="L47" i="7"/>
  <c r="K47" i="7"/>
  <c r="J47" i="7"/>
  <c r="S46" i="7"/>
  <c r="R46" i="7"/>
  <c r="Q46" i="7"/>
  <c r="P46" i="7"/>
  <c r="O46" i="7"/>
  <c r="N46" i="7"/>
  <c r="M46" i="7"/>
  <c r="L46" i="7"/>
  <c r="K46" i="7"/>
  <c r="J46" i="7"/>
  <c r="S45" i="7"/>
  <c r="R45" i="7"/>
  <c r="Q45" i="7"/>
  <c r="P45" i="7"/>
  <c r="O45" i="7"/>
  <c r="N45" i="7"/>
  <c r="M45" i="7"/>
  <c r="L45" i="7"/>
  <c r="K45" i="7"/>
  <c r="J45" i="7"/>
  <c r="S44" i="7"/>
  <c r="R44" i="7"/>
  <c r="Q44" i="7"/>
  <c r="P44" i="7"/>
  <c r="O44" i="7"/>
  <c r="N44" i="7"/>
  <c r="M44" i="7"/>
  <c r="L44" i="7"/>
  <c r="K44" i="7"/>
  <c r="J44" i="7"/>
  <c r="S43" i="7"/>
  <c r="R43" i="7"/>
  <c r="Q43" i="7"/>
  <c r="P43" i="7"/>
  <c r="O43" i="7"/>
  <c r="N43" i="7"/>
  <c r="M43" i="7"/>
  <c r="L43" i="7"/>
  <c r="K43" i="7"/>
  <c r="J43" i="7"/>
  <c r="S42" i="7"/>
  <c r="R42" i="7"/>
  <c r="Q42" i="7"/>
  <c r="P42" i="7"/>
  <c r="O42" i="7"/>
  <c r="N42" i="7"/>
  <c r="M42" i="7"/>
  <c r="L42" i="7"/>
  <c r="K42" i="7"/>
  <c r="J42" i="7"/>
  <c r="S41" i="7"/>
  <c r="R41" i="7"/>
  <c r="Q41" i="7"/>
  <c r="P41" i="7"/>
  <c r="O41" i="7"/>
  <c r="N41" i="7"/>
  <c r="M41" i="7"/>
  <c r="L41" i="7"/>
  <c r="K41" i="7"/>
  <c r="J41" i="7"/>
  <c r="S40" i="7"/>
  <c r="R40" i="7"/>
  <c r="Q40" i="7"/>
  <c r="P40" i="7"/>
  <c r="O40" i="7"/>
  <c r="N40" i="7"/>
  <c r="M40" i="7"/>
  <c r="L40" i="7"/>
  <c r="K40" i="7"/>
  <c r="J40" i="7"/>
  <c r="S39" i="7"/>
  <c r="R39" i="7"/>
  <c r="Q39" i="7"/>
  <c r="P39" i="7"/>
  <c r="O39" i="7"/>
  <c r="N39" i="7"/>
  <c r="M39" i="7"/>
  <c r="L39" i="7"/>
  <c r="K39" i="7"/>
  <c r="J39" i="7"/>
  <c r="S38" i="7"/>
  <c r="R38" i="7"/>
  <c r="Q38" i="7"/>
  <c r="P38" i="7"/>
  <c r="O38" i="7"/>
  <c r="N38" i="7"/>
  <c r="M38" i="7"/>
  <c r="L38" i="7"/>
  <c r="K38" i="7"/>
  <c r="J38" i="7"/>
  <c r="S37" i="7"/>
  <c r="R37" i="7"/>
  <c r="Q37" i="7"/>
  <c r="P37" i="7"/>
  <c r="O37" i="7"/>
  <c r="N37" i="7"/>
  <c r="M37" i="7"/>
  <c r="L37" i="7"/>
  <c r="K37" i="7"/>
  <c r="J37" i="7"/>
  <c r="S36" i="7"/>
  <c r="R36" i="7"/>
  <c r="Q36" i="7"/>
  <c r="P36" i="7"/>
  <c r="O36" i="7"/>
  <c r="N36" i="7"/>
  <c r="M36" i="7"/>
  <c r="L36" i="7"/>
  <c r="K36" i="7"/>
  <c r="J36" i="7"/>
  <c r="S35" i="7"/>
  <c r="R35" i="7"/>
  <c r="Q35" i="7"/>
  <c r="P35" i="7"/>
  <c r="O35" i="7"/>
  <c r="N35" i="7"/>
  <c r="M35" i="7"/>
  <c r="L35" i="7"/>
  <c r="K35" i="7"/>
  <c r="J35" i="7"/>
  <c r="S34" i="7"/>
  <c r="R34" i="7"/>
  <c r="Q34" i="7"/>
  <c r="P34" i="7"/>
  <c r="O34" i="7"/>
  <c r="N34" i="7"/>
  <c r="M34" i="7"/>
  <c r="L34" i="7"/>
  <c r="K34" i="7"/>
  <c r="J34" i="7"/>
  <c r="S33" i="7"/>
  <c r="R33" i="7"/>
  <c r="Q33" i="7"/>
  <c r="P33" i="7"/>
  <c r="O33" i="7"/>
  <c r="N33" i="7"/>
  <c r="M33" i="7"/>
  <c r="L33" i="7"/>
  <c r="K33" i="7"/>
  <c r="J33" i="7"/>
  <c r="S32" i="7"/>
  <c r="R32" i="7"/>
  <c r="Q32" i="7"/>
  <c r="P32" i="7"/>
  <c r="O32" i="7"/>
  <c r="N32" i="7"/>
  <c r="M32" i="7"/>
  <c r="L32" i="7"/>
  <c r="K32" i="7"/>
  <c r="J32" i="7"/>
  <c r="S31" i="7"/>
  <c r="R31" i="7"/>
  <c r="Q31" i="7"/>
  <c r="P31" i="7"/>
  <c r="O31" i="7"/>
  <c r="N31" i="7"/>
  <c r="M31" i="7"/>
  <c r="L31" i="7"/>
  <c r="K31" i="7"/>
  <c r="J31" i="7"/>
  <c r="S30" i="7"/>
  <c r="R30" i="7"/>
  <c r="Q30" i="7"/>
  <c r="P30" i="7"/>
  <c r="O30" i="7"/>
  <c r="N30" i="7"/>
  <c r="M30" i="7"/>
  <c r="L30" i="7"/>
  <c r="K30" i="7"/>
  <c r="J30" i="7"/>
  <c r="S29" i="7"/>
  <c r="R29" i="7"/>
  <c r="Q29" i="7"/>
  <c r="P29" i="7"/>
  <c r="O29" i="7"/>
  <c r="N29" i="7"/>
  <c r="M29" i="7"/>
  <c r="L29" i="7"/>
  <c r="K29" i="7"/>
  <c r="J29" i="7"/>
  <c r="S28" i="7"/>
  <c r="R28" i="7"/>
  <c r="Q28" i="7"/>
  <c r="P28" i="7"/>
  <c r="O28" i="7"/>
  <c r="N28" i="7"/>
  <c r="M28" i="7"/>
  <c r="L28" i="7"/>
  <c r="K28" i="7"/>
  <c r="J28" i="7"/>
  <c r="S27" i="7"/>
  <c r="R27" i="7"/>
  <c r="Q27" i="7"/>
  <c r="P27" i="7"/>
  <c r="O27" i="7"/>
  <c r="N27" i="7"/>
  <c r="M27" i="7"/>
  <c r="L27" i="7"/>
  <c r="K27" i="7"/>
  <c r="J27" i="7"/>
  <c r="S26" i="7"/>
  <c r="R26" i="7"/>
  <c r="Q26" i="7"/>
  <c r="P26" i="7"/>
  <c r="O26" i="7"/>
  <c r="N26" i="7"/>
  <c r="M26" i="7"/>
  <c r="L26" i="7"/>
  <c r="K26" i="7"/>
  <c r="J26" i="7"/>
  <c r="S25" i="7"/>
  <c r="R25" i="7"/>
  <c r="Q25" i="7"/>
  <c r="P25" i="7"/>
  <c r="O25" i="7"/>
  <c r="N25" i="7"/>
  <c r="M25" i="7"/>
  <c r="L25" i="7"/>
  <c r="K25" i="7"/>
  <c r="J25" i="7"/>
  <c r="S24" i="7"/>
  <c r="R24" i="7"/>
  <c r="Q24" i="7"/>
  <c r="P24" i="7"/>
  <c r="O24" i="7"/>
  <c r="N24" i="7"/>
  <c r="M24" i="7"/>
  <c r="L24" i="7"/>
  <c r="K24" i="7"/>
  <c r="J24" i="7"/>
  <c r="S23" i="7"/>
  <c r="R23" i="7"/>
  <c r="Q23" i="7"/>
  <c r="P23" i="7"/>
  <c r="O23" i="7"/>
  <c r="N23" i="7"/>
  <c r="M23" i="7"/>
  <c r="L23" i="7"/>
  <c r="K23" i="7"/>
  <c r="J23" i="7"/>
  <c r="S22" i="7"/>
  <c r="R22" i="7"/>
  <c r="Q22" i="7"/>
  <c r="P22" i="7"/>
  <c r="O22" i="7"/>
  <c r="N22" i="7"/>
  <c r="M22" i="7"/>
  <c r="L22" i="7"/>
  <c r="K22" i="7"/>
  <c r="J22" i="7"/>
  <c r="S21" i="7"/>
  <c r="R21" i="7"/>
  <c r="Q21" i="7"/>
  <c r="P21" i="7"/>
  <c r="O21" i="7"/>
  <c r="N21" i="7"/>
  <c r="M21" i="7"/>
  <c r="L21" i="7"/>
  <c r="K21" i="7"/>
  <c r="J21" i="7"/>
  <c r="S20" i="7"/>
  <c r="R20" i="7"/>
  <c r="Q20" i="7"/>
  <c r="P20" i="7"/>
  <c r="O20" i="7"/>
  <c r="N20" i="7"/>
  <c r="M20" i="7"/>
  <c r="L20" i="7"/>
  <c r="K20" i="7"/>
  <c r="J20" i="7"/>
  <c r="S19" i="7"/>
  <c r="R19" i="7"/>
  <c r="Q19" i="7"/>
  <c r="P19" i="7"/>
  <c r="O19" i="7"/>
  <c r="N19" i="7"/>
  <c r="M19" i="7"/>
  <c r="L19" i="7"/>
  <c r="K19" i="7"/>
  <c r="J19" i="7"/>
  <c r="S18" i="7"/>
  <c r="R18" i="7"/>
  <c r="Q18" i="7"/>
  <c r="P18" i="7"/>
  <c r="O18" i="7"/>
  <c r="N18" i="7"/>
  <c r="M18" i="7"/>
  <c r="L18" i="7"/>
  <c r="K18" i="7"/>
  <c r="J18" i="7"/>
  <c r="S17" i="7"/>
  <c r="R17" i="7"/>
  <c r="Q17" i="7"/>
  <c r="P17" i="7"/>
  <c r="O17" i="7"/>
  <c r="N17" i="7"/>
  <c r="M17" i="7"/>
  <c r="L17" i="7"/>
  <c r="K17" i="7"/>
  <c r="J17" i="7"/>
  <c r="S16" i="7"/>
  <c r="R16" i="7"/>
  <c r="Q16" i="7"/>
  <c r="P16" i="7"/>
  <c r="O16" i="7"/>
  <c r="N16" i="7"/>
  <c r="M16" i="7"/>
  <c r="L16" i="7"/>
  <c r="K16" i="7"/>
  <c r="J16" i="7"/>
  <c r="S15" i="7"/>
  <c r="R15" i="7"/>
  <c r="Q15" i="7"/>
  <c r="P15" i="7"/>
  <c r="O15" i="7"/>
  <c r="N15" i="7"/>
  <c r="M15" i="7"/>
  <c r="L15" i="7"/>
  <c r="K15" i="7"/>
  <c r="J15" i="7"/>
  <c r="S14" i="7"/>
  <c r="R14" i="7"/>
  <c r="Q14" i="7"/>
  <c r="P14" i="7"/>
  <c r="O14" i="7"/>
  <c r="N14" i="7"/>
  <c r="M14" i="7"/>
  <c r="L14" i="7"/>
  <c r="K14" i="7"/>
  <c r="J14" i="7"/>
  <c r="S13" i="7"/>
  <c r="R13" i="7"/>
  <c r="Q13" i="7"/>
  <c r="P13" i="7"/>
  <c r="O13" i="7"/>
  <c r="N13" i="7"/>
  <c r="M13" i="7"/>
  <c r="L13" i="7"/>
  <c r="K13" i="7"/>
  <c r="J13" i="7"/>
  <c r="S12" i="7"/>
  <c r="R12" i="7"/>
  <c r="Q12" i="7"/>
  <c r="P12" i="7"/>
  <c r="O12" i="7"/>
  <c r="N12" i="7"/>
  <c r="M12" i="7"/>
  <c r="L12" i="7"/>
  <c r="K12" i="7"/>
  <c r="J12" i="7"/>
  <c r="S11" i="7"/>
  <c r="R11" i="7"/>
  <c r="Q11" i="7"/>
  <c r="P11" i="7"/>
  <c r="O11" i="7"/>
  <c r="N11" i="7"/>
  <c r="M11" i="7"/>
  <c r="L11" i="7"/>
  <c r="K11" i="7"/>
  <c r="J11" i="7"/>
  <c r="S10" i="7"/>
  <c r="R10" i="7"/>
  <c r="Q10" i="7"/>
  <c r="P10" i="7"/>
  <c r="O10" i="7"/>
  <c r="N10" i="7"/>
  <c r="M10" i="7"/>
  <c r="L10" i="7"/>
  <c r="K10" i="7"/>
  <c r="J10" i="7"/>
  <c r="I63" i="7"/>
  <c r="H63" i="7"/>
  <c r="G63" i="7"/>
  <c r="I62" i="7"/>
  <c r="H62" i="7"/>
  <c r="G62" i="7"/>
  <c r="I61" i="7"/>
  <c r="H61" i="7"/>
  <c r="G61" i="7"/>
  <c r="I60" i="7"/>
  <c r="H60" i="7"/>
  <c r="G60" i="7"/>
  <c r="I59" i="7"/>
  <c r="H59" i="7"/>
  <c r="G59" i="7"/>
  <c r="I58" i="7"/>
  <c r="H58" i="7"/>
  <c r="G58" i="7"/>
  <c r="I57" i="7"/>
  <c r="H57" i="7"/>
  <c r="G57" i="7"/>
  <c r="I56" i="7"/>
  <c r="H56" i="7"/>
  <c r="G56" i="7"/>
  <c r="I55" i="7"/>
  <c r="H55" i="7"/>
  <c r="G55" i="7"/>
  <c r="I54" i="7"/>
  <c r="H54" i="7"/>
  <c r="G54" i="7"/>
  <c r="I53" i="7"/>
  <c r="H53" i="7"/>
  <c r="G53" i="7"/>
  <c r="I52" i="7"/>
  <c r="H52" i="7"/>
  <c r="G52" i="7"/>
  <c r="I51" i="7"/>
  <c r="H51" i="7"/>
  <c r="G51" i="7"/>
  <c r="I50" i="7"/>
  <c r="H50" i="7"/>
  <c r="G50" i="7"/>
  <c r="I49" i="7"/>
  <c r="H49" i="7"/>
  <c r="G49" i="7"/>
  <c r="I48" i="7"/>
  <c r="H48" i="7"/>
  <c r="G48" i="7"/>
  <c r="I47" i="7"/>
  <c r="H47" i="7"/>
  <c r="G47" i="7"/>
  <c r="I46" i="7"/>
  <c r="H46" i="7"/>
  <c r="G46" i="7"/>
  <c r="I45" i="7"/>
  <c r="H45" i="7"/>
  <c r="G45" i="7"/>
  <c r="I44" i="7"/>
  <c r="H44" i="7"/>
  <c r="G44" i="7"/>
  <c r="I43" i="7"/>
  <c r="H43" i="7"/>
  <c r="G43" i="7"/>
  <c r="I42" i="7"/>
  <c r="H42" i="7"/>
  <c r="G42" i="7"/>
  <c r="I41" i="7"/>
  <c r="H41" i="7"/>
  <c r="G41" i="7"/>
  <c r="I40" i="7"/>
  <c r="H40" i="7"/>
  <c r="G40" i="7"/>
  <c r="I39" i="7"/>
  <c r="H39" i="7"/>
  <c r="G39" i="7"/>
  <c r="I38" i="7"/>
  <c r="H38" i="7"/>
  <c r="G38" i="7"/>
  <c r="I37" i="7"/>
  <c r="H37" i="7"/>
  <c r="G37" i="7"/>
  <c r="I36" i="7"/>
  <c r="H36" i="7"/>
  <c r="G36" i="7"/>
  <c r="I35" i="7"/>
  <c r="H35" i="7"/>
  <c r="G35" i="7"/>
  <c r="I34" i="7"/>
  <c r="H34" i="7"/>
  <c r="G34" i="7"/>
  <c r="I33" i="7"/>
  <c r="H33" i="7"/>
  <c r="G33" i="7"/>
  <c r="I32" i="7"/>
  <c r="H32" i="7"/>
  <c r="G32" i="7"/>
  <c r="I31" i="7"/>
  <c r="H31" i="7"/>
  <c r="G31" i="7"/>
  <c r="I30" i="7"/>
  <c r="H30" i="7"/>
  <c r="G30" i="7"/>
  <c r="I29" i="7"/>
  <c r="H29" i="7"/>
  <c r="G29" i="7"/>
  <c r="I28" i="7"/>
  <c r="H28" i="7"/>
  <c r="G28" i="7"/>
  <c r="I27" i="7"/>
  <c r="H27" i="7"/>
  <c r="G27" i="7"/>
  <c r="I26" i="7"/>
  <c r="H26" i="7"/>
  <c r="G26" i="7"/>
  <c r="I25" i="7"/>
  <c r="H25" i="7"/>
  <c r="G25" i="7"/>
  <c r="I24" i="7"/>
  <c r="H24" i="7"/>
  <c r="G24" i="7"/>
  <c r="I23" i="7"/>
  <c r="H23" i="7"/>
  <c r="G23" i="7"/>
  <c r="I22" i="7"/>
  <c r="H22" i="7"/>
  <c r="G22" i="7"/>
  <c r="I21" i="7"/>
  <c r="H21" i="7"/>
  <c r="G21" i="7"/>
  <c r="I20" i="7"/>
  <c r="H20" i="7"/>
  <c r="G20" i="7"/>
  <c r="I19" i="7"/>
  <c r="H19" i="7"/>
  <c r="G19" i="7"/>
  <c r="I18" i="7"/>
  <c r="H18" i="7"/>
  <c r="G18" i="7"/>
  <c r="I17" i="7"/>
  <c r="H17" i="7"/>
  <c r="G17" i="7"/>
  <c r="I16" i="7"/>
  <c r="H16" i="7"/>
  <c r="G16" i="7"/>
  <c r="I15" i="7"/>
  <c r="H15" i="7"/>
  <c r="G15" i="7"/>
  <c r="I14" i="7"/>
  <c r="H14" i="7"/>
  <c r="G14" i="7"/>
  <c r="I13" i="7"/>
  <c r="H13" i="7"/>
  <c r="G13" i="7"/>
  <c r="I12" i="7"/>
  <c r="H12" i="7"/>
  <c r="G12" i="7"/>
  <c r="I11" i="7"/>
  <c r="H11" i="7"/>
  <c r="G11" i="7"/>
  <c r="I10" i="7"/>
  <c r="H10" i="7"/>
  <c r="G10" i="7"/>
</calcChain>
</file>

<file path=xl/sharedStrings.xml><?xml version="1.0" encoding="utf-8"?>
<sst xmlns="http://schemas.openxmlformats.org/spreadsheetml/2006/main" count="2051" uniqueCount="323">
  <si>
    <t>Commodity: Lithium</t>
  </si>
  <si>
    <t>Scenario:  Market Intelligence 2024 Constant USD</t>
  </si>
  <si>
    <t/>
  </si>
  <si>
    <t xml:space="preserve"> Period Ended</t>
  </si>
  <si>
    <t xml:space="preserve"> Property</t>
  </si>
  <si>
    <t xml:space="preserve"> Property ID</t>
  </si>
  <si>
    <t xml:space="preserve"> Country/Region</t>
  </si>
  <si>
    <t xml:space="preserve"> Waste Mined:
Open Pit
(kilotonnes)</t>
  </si>
  <si>
    <t xml:space="preserve"> Waste Mined:
Underground (kilotonnes)</t>
  </si>
  <si>
    <t xml:space="preserve"> Waste Mined:
Total (kilotonnes)</t>
  </si>
  <si>
    <t xml:space="preserve"> Open Pit
Strip Ratio
(x)</t>
  </si>
  <si>
    <t xml:space="preserve"> Ore Mined:
Open Pit
(kilotonnes)</t>
  </si>
  <si>
    <t xml:space="preserve"> Ore Mined:
Underground (kilotonnes)</t>
  </si>
  <si>
    <t xml:space="preserve"> Ore Mined:
Total (kilotonnes)</t>
  </si>
  <si>
    <t xml:space="preserve"> Ore Processed
(kilotonnes)</t>
  </si>
  <si>
    <t xml:space="preserve"> Head Grade
(%)- Li2O</t>
  </si>
  <si>
    <t xml:space="preserve"> Recovery Rate
(%)</t>
  </si>
  <si>
    <t xml:space="preserve"> Concentration (mg/liter)-
Li</t>
  </si>
  <si>
    <t xml:space="preserve"> Pumping Rate
(liters/min)</t>
  </si>
  <si>
    <t xml:space="preserve"> Mine: Labor
Cost ($/tonne)</t>
  </si>
  <si>
    <t xml:space="preserve"> Mine: Fuel
Cost ($/tonne)</t>
  </si>
  <si>
    <t xml:space="preserve"> Mine: Electricity
Cost ($/tonne)</t>
  </si>
  <si>
    <t xml:space="preserve"> Mine: Other
Cost ($/tonne)</t>
  </si>
  <si>
    <t xml:space="preserve"> Mine: Total
Cost ($/tonne)</t>
  </si>
  <si>
    <t xml:space="preserve"> Mill: Labor
Cost ($/tonne)</t>
  </si>
  <si>
    <t xml:space="preserve"> Mill: Reagents
Cost ($/tonne)</t>
  </si>
  <si>
    <t xml:space="preserve"> Mill: Electricity
Cost ($/tonne)</t>
  </si>
  <si>
    <t xml:space="preserve"> Mill: Other
Cost ($/tonne)</t>
  </si>
  <si>
    <t xml:space="preserve"> Mill: Total
Cost ($/tonne)</t>
  </si>
  <si>
    <t xml:space="preserve"> Processing Plant:
Labor Cost
($/tonne)</t>
  </si>
  <si>
    <t xml:space="preserve"> Processing Plant:
Reagent Cost
($/tonne)</t>
  </si>
  <si>
    <t xml:space="preserve"> Processing Plant:
Electricity Cost
($/tonne)</t>
  </si>
  <si>
    <t xml:space="preserve"> Processing Plant:
Other Cost
($/tonne)</t>
  </si>
  <si>
    <t xml:space="preserve"> Processing Plant:
Total Cost
($/tonne)</t>
  </si>
  <si>
    <t xml:space="preserve"> Total Minesite
Cost ($/tonne)</t>
  </si>
  <si>
    <t xml:space="preserve"> Transport and
Offsite Cost
($/tonne)</t>
  </si>
  <si>
    <t xml:space="preserve"> Cash Operating
Cost ($/tonne)</t>
  </si>
  <si>
    <t xml:space="preserve"> Seaborne Shipment
Cost ($/tonne)</t>
  </si>
  <si>
    <t xml:space="preserve"> Royalty Cost
($/tonne)</t>
  </si>
  <si>
    <t xml:space="preserve"> Total Cash
Cost ($/tonne)</t>
  </si>
  <si>
    <t xml:space="preserve"> Gross Revenue
($/tonne)</t>
  </si>
  <si>
    <t xml:space="preserve"> Cash Operating
Margin ($/tonne)</t>
  </si>
  <si>
    <t xml:space="preserve"> Total Cash
Margin ($/tonne)</t>
  </si>
  <si>
    <t>Alvarroes</t>
  </si>
  <si>
    <t>79165</t>
  </si>
  <si>
    <t>Portugal</t>
  </si>
  <si>
    <t>Arcadia</t>
  </si>
  <si>
    <t>77458</t>
  </si>
  <si>
    <t>Zimbabwe</t>
  </si>
  <si>
    <t>Bikita</t>
  </si>
  <si>
    <t>38557</t>
  </si>
  <si>
    <t>Bougouni</t>
  </si>
  <si>
    <t>78022</t>
  </si>
  <si>
    <t>Mali</t>
  </si>
  <si>
    <t>Cachoeira</t>
  </si>
  <si>
    <t>70310</t>
  </si>
  <si>
    <t>Brazil</t>
  </si>
  <si>
    <t>Goulamina</t>
  </si>
  <si>
    <t>77208</t>
  </si>
  <si>
    <t>Greenbushes</t>
  </si>
  <si>
    <t>37326</t>
  </si>
  <si>
    <t>Australia</t>
  </si>
  <si>
    <t>Grota do Cirilo</t>
  </si>
  <si>
    <t>82881</t>
  </si>
  <si>
    <t>Jiajika</t>
  </si>
  <si>
    <t>38547</t>
  </si>
  <si>
    <t>China</t>
  </si>
  <si>
    <t>Kamativi</t>
  </si>
  <si>
    <t>91065</t>
  </si>
  <si>
    <t>Kathleen Valley</t>
  </si>
  <si>
    <t>77779</t>
  </si>
  <si>
    <t>Mount Marion</t>
  </si>
  <si>
    <t>37174</t>
  </si>
  <si>
    <t>Mt Cattlin</t>
  </si>
  <si>
    <t>30688</t>
  </si>
  <si>
    <t>Mt Holland - Lithium</t>
  </si>
  <si>
    <t>78244</t>
  </si>
  <si>
    <t>North American Lithium</t>
  </si>
  <si>
    <t>36505</t>
  </si>
  <si>
    <t>Canada</t>
  </si>
  <si>
    <t>Pilgangoora</t>
  </si>
  <si>
    <t>51956</t>
  </si>
  <si>
    <t>Sabi Star</t>
  </si>
  <si>
    <t>63172</t>
  </si>
  <si>
    <t>Wodgina</t>
  </si>
  <si>
    <t>78512</t>
  </si>
  <si>
    <t>Xiangyuan</t>
  </si>
  <si>
    <t>89287</t>
  </si>
  <si>
    <t>Yichun</t>
  </si>
  <si>
    <t>32105</t>
  </si>
  <si>
    <t>Ore</t>
  </si>
  <si>
    <t xml:space="preserve"> Product Type</t>
  </si>
  <si>
    <t xml:space="preserve"> LCE Production
(kilotonnes)</t>
  </si>
  <si>
    <t xml:space="preserve"> Grade (%)</t>
  </si>
  <si>
    <t xml:space="preserve"> Mine: Labor
Cost ($/LCE)</t>
  </si>
  <si>
    <t xml:space="preserve"> Mine: Fuel
Cost ($/LCE)</t>
  </si>
  <si>
    <t xml:space="preserve"> Mine: Electricity
Cost ($/LCE)</t>
  </si>
  <si>
    <t xml:space="preserve"> Mine: Other
Cost ($/LCE)</t>
  </si>
  <si>
    <t xml:space="preserve"> Mine: Total
Cost ($/LCE)</t>
  </si>
  <si>
    <t xml:space="preserve"> Mill: Labor
Cost ($/LCE)</t>
  </si>
  <si>
    <t xml:space="preserve"> Mill: Reagents
Cost ($/LCE)</t>
  </si>
  <si>
    <t xml:space="preserve"> Mill: Electricity
Cost ($/LCE)</t>
  </si>
  <si>
    <t xml:space="preserve"> Mill: Other
Cost ($/LCE)</t>
  </si>
  <si>
    <t xml:space="preserve"> Mill: Total
Cost ($/LCE)</t>
  </si>
  <si>
    <t xml:space="preserve"> Processing Plant:
Labor Cost
($/LCE)</t>
  </si>
  <si>
    <t xml:space="preserve"> Processing Plant:
Reagent Cost
($/LCE)</t>
  </si>
  <si>
    <t xml:space="preserve"> Processing Plant:
Electricity Cost
($/LCE)</t>
  </si>
  <si>
    <t xml:space="preserve"> Processing Plant:
Other Cost
($/LCE)</t>
  </si>
  <si>
    <t xml:space="preserve"> Processing Plant:
Total Cost
($/LCE)</t>
  </si>
  <si>
    <t xml:space="preserve"> Total Minesite
Cost ($/LCE)</t>
  </si>
  <si>
    <t xml:space="preserve"> Transport and
Offsite Cost
($/LCE)</t>
  </si>
  <si>
    <t xml:space="preserve"> Cash Operating
Cost ($/LCE)</t>
  </si>
  <si>
    <t xml:space="preserve"> Seaborne Shipment
Cost ($/LCE)</t>
  </si>
  <si>
    <t xml:space="preserve"> Royalty Cost
($/LCE)</t>
  </si>
  <si>
    <t xml:space="preserve"> Total Cash
Cost ($/LCE)</t>
  </si>
  <si>
    <t xml:space="preserve"> Reclamation, Closure
Provision ($/LCE)</t>
  </si>
  <si>
    <t xml:space="preserve"> Depreciation ($/LCE)</t>
  </si>
  <si>
    <t xml:space="preserve"> Deferred Stripping
Amortized ($/LCE)</t>
  </si>
  <si>
    <t xml:space="preserve"> Inventory Change
($/LCE)</t>
  </si>
  <si>
    <t xml:space="preserve"> Total Production
Cost ($/LCE)</t>
  </si>
  <si>
    <t xml:space="preserve"> Corporate Overhead
Charges ($/LCE)</t>
  </si>
  <si>
    <t xml:space="preserve"> Exploration and
Other Sustaining
Costs ($/LCE)</t>
  </si>
  <si>
    <t xml:space="preserve"> Sustaining Capex
($/LCE)</t>
  </si>
  <si>
    <t xml:space="preserve"> All-in-Sustaining Cost
($/LCE)</t>
  </si>
  <si>
    <t xml:space="preserve"> Development and
Expansion Capex
($/LCE)</t>
  </si>
  <si>
    <t xml:space="preserve"> Interest Charges
($/LCE)</t>
  </si>
  <si>
    <t xml:space="preserve"> Extraordinary Cash
Charges ($/LCE)</t>
  </si>
  <si>
    <t xml:space="preserve"> Extraordinary Non-Cash
Charges ($/LCE)</t>
  </si>
  <si>
    <t xml:space="preserve"> Other All-in-Cost
($/LCE)</t>
  </si>
  <si>
    <t xml:space="preserve"> All-in-Cost ($/LCE)</t>
  </si>
  <si>
    <t xml:space="preserve"> Cash Operating
Margin ($/LCE)</t>
  </si>
  <si>
    <t xml:space="preserve"> Total Cash
Margin ($/LCE)</t>
  </si>
  <si>
    <t>Concentrate</t>
  </si>
  <si>
    <t>Hydroxide</t>
  </si>
  <si>
    <t>Carbonate</t>
  </si>
  <si>
    <t>Cauchari-Olaroz</t>
  </si>
  <si>
    <t>37624</t>
  </si>
  <si>
    <t>Argentina</t>
  </si>
  <si>
    <t>Chaerhan Lake</t>
  </si>
  <si>
    <t>38549</t>
  </si>
  <si>
    <t>Cuenca Centenario-Ratones</t>
  </si>
  <si>
    <t>52372</t>
  </si>
  <si>
    <t>East Taijinair</t>
  </si>
  <si>
    <t>38543</t>
  </si>
  <si>
    <t>Lakkor Tso Salt Lake</t>
  </si>
  <si>
    <t>88960</t>
  </si>
  <si>
    <t>Lijiagou</t>
  </si>
  <si>
    <t>55333</t>
  </si>
  <si>
    <t>Mariana</t>
  </si>
  <si>
    <t>37586</t>
  </si>
  <si>
    <t>Chloride</t>
  </si>
  <si>
    <t>Qarhan Lake</t>
  </si>
  <si>
    <t>85124</t>
  </si>
  <si>
    <t>Qinghai Yiliping</t>
  </si>
  <si>
    <t>88897</t>
  </si>
  <si>
    <t>Sal de Oro</t>
  </si>
  <si>
    <t>90522</t>
  </si>
  <si>
    <t>Salar de Atacama</t>
  </si>
  <si>
    <t>52581</t>
  </si>
  <si>
    <t>Chile</t>
  </si>
  <si>
    <t>37384</t>
  </si>
  <si>
    <t>Salar de Olaroz</t>
  </si>
  <si>
    <t>37059</t>
  </si>
  <si>
    <t>Salar del Hombre Muerto</t>
  </si>
  <si>
    <t>37612</t>
  </si>
  <si>
    <t>Salar del Rincon</t>
  </si>
  <si>
    <t>36162</t>
  </si>
  <si>
    <t>Silver Peak</t>
  </si>
  <si>
    <t>37600</t>
  </si>
  <si>
    <t>USA</t>
  </si>
  <si>
    <t>Tres Quebradas</t>
  </si>
  <si>
    <t>78031</t>
  </si>
  <si>
    <t>West Taijinair</t>
  </si>
  <si>
    <t>38542</t>
  </si>
  <si>
    <t>Yelonggou</t>
  </si>
  <si>
    <t>89585</t>
  </si>
  <si>
    <t>Zhabuye</t>
  </si>
  <si>
    <t>38538</t>
  </si>
  <si>
    <t>Products LCE</t>
  </si>
  <si>
    <t xml:space="preserve"> Production (kilotonnes)</t>
  </si>
  <si>
    <t xml:space="preserve"> Reclamation, Closure
Provision ($/tonne)</t>
  </si>
  <si>
    <t xml:space="preserve"> Depreciation ($/tonne)</t>
  </si>
  <si>
    <t xml:space="preserve"> Deferred Stripping
Amortized ($/tonne)</t>
  </si>
  <si>
    <t xml:space="preserve"> Inventory Change
($/tonne)</t>
  </si>
  <si>
    <t xml:space="preserve"> Total Production
Cost ($/tonne)</t>
  </si>
  <si>
    <t xml:space="preserve"> Corporate Overhead
Charges ($/tonne)</t>
  </si>
  <si>
    <t xml:space="preserve"> Exploration and
Other Sustaining
Costs ($/tonne)</t>
  </si>
  <si>
    <t xml:space="preserve"> Sustaining Capex
($/tonne)</t>
  </si>
  <si>
    <t xml:space="preserve"> All-in-Sustaining Cost
($/tonne)</t>
  </si>
  <si>
    <t xml:space="preserve"> Development and
Expansion Capex
($/tonne)</t>
  </si>
  <si>
    <t xml:space="preserve"> Interest Charges
($/tonne)</t>
  </si>
  <si>
    <t xml:space="preserve"> Extraordinary Cash
Charges ($/tonne)</t>
  </si>
  <si>
    <t xml:space="preserve"> Extraordinary Non-Cash
Charges ($/tonne)</t>
  </si>
  <si>
    <t xml:space="preserve"> Other All-in-Cost
($/tonne)</t>
  </si>
  <si>
    <t xml:space="preserve"> All-in-Cost ($/tonne)</t>
  </si>
  <si>
    <t>Products Tonne</t>
  </si>
  <si>
    <t>Consolidated Products LCE</t>
  </si>
  <si>
    <t>Consolidated Products Tonne</t>
  </si>
  <si>
    <t xml:space="preserve"> Gross Revenue
($M)</t>
  </si>
  <si>
    <t xml:space="preserve"> Inland Transport
&amp; Offsite
Costs ($M)</t>
  </si>
  <si>
    <t xml:space="preserve"> Seaborne Shipment
Costs ($M)</t>
  </si>
  <si>
    <t xml:space="preserve"> Royalties ($M)</t>
  </si>
  <si>
    <t xml:space="preserve"> Total Minesite
Costs ($M)</t>
  </si>
  <si>
    <t xml:space="preserve"> Indirect and
Extraordinary Costs
($M)</t>
  </si>
  <si>
    <t xml:space="preserve"> Working Capital
($M)</t>
  </si>
  <si>
    <t xml:space="preserve"> Sustaining Capex
($M)</t>
  </si>
  <si>
    <t xml:space="preserve"> Development and
Expansion Capex
($M)</t>
  </si>
  <si>
    <t xml:space="preserve"> Pre-tax Cash
Flow ($M)</t>
  </si>
  <si>
    <t xml:space="preserve"> Tax ($M)</t>
  </si>
  <si>
    <t xml:space="preserve"> Post-tax Cash
Flow ($M)</t>
  </si>
  <si>
    <t xml:space="preserve"> Corporate Tax
Rate (%)</t>
  </si>
  <si>
    <t xml:space="preserve"> Depreciation ($M)</t>
  </si>
  <si>
    <t xml:space="preserve"> NPV Discounted
at 8%
($M)</t>
  </si>
  <si>
    <t xml:space="preserve"> NPV Discounted
at 10%
($M)</t>
  </si>
  <si>
    <t xml:space="preserve"> NPV Discounted
at 12%
($M)</t>
  </si>
  <si>
    <t xml:space="preserve"> NPV Discounted
at 14%
($M)</t>
  </si>
  <si>
    <t>Cash Flow</t>
  </si>
  <si>
    <t xml:space="preserve"> Owner</t>
  </si>
  <si>
    <t xml:space="preserve"> KeyInstn</t>
  </si>
  <si>
    <t xml:space="preserve"> Equity Ownership
(%)</t>
  </si>
  <si>
    <t>Grupo Mota</t>
  </si>
  <si>
    <t>Private Interest</t>
  </si>
  <si>
    <t>Zhejiang Huayou Cobalt Co. Ltd.</t>
  </si>
  <si>
    <t>Bikita Minerals Pty. Ltd.</t>
  </si>
  <si>
    <t>Government of Mali</t>
  </si>
  <si>
    <t>Hainan Mining Co. Ltd.</t>
  </si>
  <si>
    <t>Kodal Minerals PLC</t>
  </si>
  <si>
    <t>Companhia Brasileira de Lítio</t>
  </si>
  <si>
    <t>Jujuy Energia y Mineria Sociedad del Estado</t>
  </si>
  <si>
    <t>Qinghai Salt Lake Industry Co.Ltd.</t>
  </si>
  <si>
    <t>Eramet SA</t>
  </si>
  <si>
    <t>Western Mining Group Co. Ltd.</t>
  </si>
  <si>
    <t>Ganfeng Lithium Group Co. Ltd.</t>
  </si>
  <si>
    <t>Albemarle Corp.</t>
  </si>
  <si>
    <t>IGO Ltd.</t>
  </si>
  <si>
    <t>Tianqi Lithium Corp.</t>
  </si>
  <si>
    <t>Sigma Lithium Corp.</t>
  </si>
  <si>
    <t>YOUNGY Co. Ltd.</t>
  </si>
  <si>
    <t>Sichuan Yahua Industrial Group Co. Ltd.</t>
  </si>
  <si>
    <t>Liontown Ltd.</t>
  </si>
  <si>
    <t>Tibet Shengyuan Mining Group Co. Ltd.</t>
  </si>
  <si>
    <t>Zijin Mining Group Co. Ltd.</t>
  </si>
  <si>
    <t>Sichuan Dexin Mining Resources Co Ltd.</t>
  </si>
  <si>
    <t>Mineral Resources Ltd.</t>
  </si>
  <si>
    <t>Rio Tinto Group</t>
  </si>
  <si>
    <t>Sociedad Química y Minera de Chile SA</t>
  </si>
  <si>
    <t>Wesfarmers Ltd.</t>
  </si>
  <si>
    <t>Elevra Lithium Ltd.</t>
  </si>
  <si>
    <t>PLS Group Ltd.</t>
  </si>
  <si>
    <t>Zangge Mining Company Ltd.</t>
  </si>
  <si>
    <t>China Minmetals Corp.</t>
  </si>
  <si>
    <t>Chengxin Lithium Group Co. Ltd.</t>
  </si>
  <si>
    <t>Max Mind Investment Ltd</t>
  </si>
  <si>
    <t>Posco Holdings Inc.</t>
  </si>
  <si>
    <t>Toyota Tsusho Corp.</t>
  </si>
  <si>
    <t>Yichun Tantalum Co Ltd</t>
  </si>
  <si>
    <t>Xizang Mineral Development Co. LTD</t>
  </si>
  <si>
    <t>Ownership</t>
  </si>
  <si>
    <t>List of owners</t>
  </si>
  <si>
    <t>Owner 1 SNL institution key</t>
  </si>
  <si>
    <t>Owner 2 SNL institution key</t>
  </si>
  <si>
    <t>Ultimate parent company name owner 1</t>
  </si>
  <si>
    <t>Ultimate parent company country owner 1</t>
  </si>
  <si>
    <t>Parent company Owner 1</t>
  </si>
  <si>
    <t>Parent company country onwer 1</t>
  </si>
  <si>
    <t>Country name owner 1</t>
  </si>
  <si>
    <t>Ultimate parent company name owner 2</t>
  </si>
  <si>
    <t>Ultimate parent company country owner 2</t>
  </si>
  <si>
    <t>Parent company Owner 2</t>
  </si>
  <si>
    <t>Parent company country onwer 2</t>
  </si>
  <si>
    <t>Country name owner 2</t>
  </si>
  <si>
    <t>Grupo Mota  100%</t>
  </si>
  <si>
    <t>NA</t>
  </si>
  <si>
    <t>Private Interest (Venturer) 13%; Zhejiang Huayou Cobalt Co., Ltd (Venturer) 87%</t>
  </si>
  <si>
    <t>Zhejiang Huayou Holding Group Co., Ltd.</t>
  </si>
  <si>
    <t>Bikita Minerals (PTY) Ltd  100%</t>
  </si>
  <si>
    <t>China Nonferrous Metals Mining Group Company Limited</t>
  </si>
  <si>
    <t>Sinomine International Exploration (Hong Kong) Co. Ltd.</t>
  </si>
  <si>
    <t>Hong Kong</t>
  </si>
  <si>
    <t>Hainan Mining Co., Ltd. (Venturer) 33.15%; Private Interest (Fractional) %; Kodal Minerals PLC (Venturer) 31.85%; Leo Lithium Limited (Fractional) %; Ganfeng Lithium Group Co., Ltd. (Fractional) %; Government of Mali (Venturer) 35%</t>
  </si>
  <si>
    <t>Companhia Brasileira de Lítio  100%</t>
  </si>
  <si>
    <t>Jujuy Energia y Mineria Sociedad del Estado (Venturer) 8.5%; Ganfeng Lithium Group Co., Ltd. (Venturer) 46.67%; Lithium Argentina AG (Venturer) 44.83%; Grupo Minero Los Boros S.A. (Fractional) %</t>
  </si>
  <si>
    <t>Switzerland</t>
  </si>
  <si>
    <t>Qinghai Salt Lake Industry Co.,Ltd  100%</t>
  </si>
  <si>
    <t>ERAMET S.A.  100%</t>
  </si>
  <si>
    <t>France</t>
  </si>
  <si>
    <t>Western Mining Group Co., Ltd.  100%</t>
  </si>
  <si>
    <t>Qinghai State Owned Assets Supervision &amp; Administration Commission</t>
  </si>
  <si>
    <t>Ganfeng Lithium Group Co., Ltd.  100%</t>
  </si>
  <si>
    <t>Tianqi Lithium Corporation (Venturer) 26.01%; Albemarle Corporation (Venturer) 49%; IGO Limited (Venturer) 24.99%</t>
  </si>
  <si>
    <t>Chengdu Tianqi Industry Group Co., Ltd.</t>
  </si>
  <si>
    <t>Sigma Lithium Corporation  100%</t>
  </si>
  <si>
    <t>YOUNGY Co., Ltd.  100%</t>
  </si>
  <si>
    <t>Sichuan Yahua Industrial Group Co., Ltd. (Venturer) 60%; Private Interest (Venturer) 40%</t>
  </si>
  <si>
    <t>Ramelius Resources Limited (Fractional) %; Liontown Limited  100%</t>
  </si>
  <si>
    <t>Zijin Mining Group Company Limited (Venturer) 70%; Tibet Shengyuan Mining Group Co., Ltd. (Venturer) 30%</t>
  </si>
  <si>
    <t>Sichuan Dexin Mining Resources Co Ltd.  100%</t>
  </si>
  <si>
    <t>Mineral Resources Limited (Venturer) 50%; Ganfeng Lithium Group Co., Ltd. (Venturer) 50%</t>
  </si>
  <si>
    <t>Rio Tinto Group  100%</t>
  </si>
  <si>
    <t>United Kingdom</t>
  </si>
  <si>
    <t>Sociedad Química y Minera de Chile S.A. (Venturer) 50%; Wesfarmers Limited (Venturer) 50%</t>
  </si>
  <si>
    <t>Elevra Lithium Limited  100%</t>
  </si>
  <si>
    <t>Trek Metals Limited (Fractional) %; PLS Group Limited  100%</t>
  </si>
  <si>
    <t>Zangge Mining Company Limited  100%</t>
  </si>
  <si>
    <t>Ganfeng Lithium Group Co., Ltd. (Venturer) 49%; China Minmetals Corporation (Venturer) 51%</t>
  </si>
  <si>
    <t>State-owned Assets Supervision and Administration Commission of the State Counci</t>
  </si>
  <si>
    <t>Shenzhen Chengtun Yixing Technology Co., Ltd (Venturer) 2.14%; Max Mind Investment Limited (Venturer) 49%; Shenzhen Qianhai Ruize No. 13 Investment Partnership Enterprise (L.P.) (Venturer) 2.48%; Shenzhen Chengtun Industrial Development Co., Ltd. (Venturer) 11.61%; Xiamen Tunchu Investment Partnership (Limited Partnership) (Venturer) 1.42%; Shenzhen Chengtun Huize Trading Co., Ltd (Venturer) 3.2%</t>
  </si>
  <si>
    <t>Shenzhen Chengtun Industrial Development Co., Ltd.</t>
  </si>
  <si>
    <t>Chengxin Lithium Group Co., Ltd.</t>
  </si>
  <si>
    <t>POSCO Holdings Inc.  100%</t>
  </si>
  <si>
    <t>South Korea</t>
  </si>
  <si>
    <t>Sociedad Química y Minera de Chile S.A.  100%</t>
  </si>
  <si>
    <t>Albemarle Corporation  100%</t>
  </si>
  <si>
    <t>Toyota Tsusho Corporation (Venturer) 25%; Rio Tinto Group  66.5%; Jujuy Energia y Mineria Sociedad del Estado (Venturer) 8.5%</t>
  </si>
  <si>
    <t>Japan</t>
  </si>
  <si>
    <t>Zijin Mining Group Company Limited  100%</t>
  </si>
  <si>
    <t>Albemarle Corporation (Venturer) 50%; Mineral Resources Limited (Venturer) 50%</t>
  </si>
  <si>
    <t>Unnamed Owner (Venturer) 34%; Zijin Mining Group Company Limited (Venturer) 66%</t>
  </si>
  <si>
    <t>Chengxin Lithium Group Co., Ltd. (Venturer) 75%; Unnamed Owner (Fractional) %</t>
  </si>
  <si>
    <t>Shenzhen Chengtun Group Co., Ltd.</t>
  </si>
  <si>
    <t>Yichun Tantalum Co Ltd  100%</t>
  </si>
  <si>
    <t>Xizang Mineral Development Co. LTD (Optionor) 80%; Tianqi Lithium Corporation (Optionee) 20%</t>
  </si>
  <si>
    <t>允䅁䝁䄴䅁䵁䅁䅁兎祁䑁䅕䅏硁䅁䅁䅋䅁䕁䅁䅁䍂䝁䅫睡灂䡁䅑兙杁䕁䄰兡畂䝁䅕杣桂䝁䅷督杁䍁䅧䅕啂䙁䅫克杁䕁䅷䅤歂䍁䅁䅉硁䑁䅁䅍汁䅁䅁杄䅁䍁䄴䅁婂䕁䄸兖佂䕁䅣兗杁䕁䅍睢畁䍁䅷䅉䵂䡁䅑䅚畁䍁䅁䅉硁䑁䅁䅍汁䅁䅁兇䅁䭁䅁䅁兂䡁䅉兡㉂䝁䅅䅤求䍁䅁兓畂䡁䅑党祂䝁䅕督あ䍁䅁䅋坂䝁䅕杢あ䡁䅕杣求䡁䅉克杁䑁䅅睍汁䑁䅳䅉慂䝁䅧党煂䝁䅫兙畂䝁䅣䅉䥂䡁䅕兙㕂䝁䄸兤杁䕁䅍睢楂䝁䅅䅢あ䍁䅁睑療䍁䄴䅌杁䕁䅷䅤歂䍁䅁䅋坂䝁䅕杢あ䡁䅕杣求䡁䅉克杁䑁䅧睎汁䅁䅁睂䅁䅁䄴䅁祁䑁䅑睍穁䑁䅉睎䅁䅁䅁䅁兄允䅁䅓桂䝁䅫杢桂䝁䄴䅉乂䝁䅫杢灂䝁䄴睚杁䕁䅍睢畁䍁䅷䅉䵂䡁䅑䅚畁䍁䅁䅋坂䝁䅕杢あ䡁䅕杣求䡁䅉克杁䑁䅍睍畁䑁䅅兎汁䑁䅳䅉兂䡁䅉兡㉂䝁䅅䅤求䍁䅁兓畂䡁䅑党祂䝁䅕督あ䍁䅁䅋䝂䡁䅉兙橂䡁䅑兡療䝁䄴兙獂䍁䅫䅉汁䑁䅳䅉䱂䝁䄸䅚桂䝁䅷䅉乂䝁䅫杢求䡁䅉兙獂䡁䅍䅉兂䕁䅷睑杁䍁䅧杖求䝁䄴䅤ㅂ䡁䅉党祂䍁䅫䅉穁䑁䅅杌㑁䑁䅕兊㝁䍁䅁䅔求䝁䄸䅉䵂䝁䅫䅤潂䝁䅫兤瑂䍁䅁䅔灂䝁䄰兡あ䝁䅕䅚杁䍁䅧杒祂䝁䅅睙あ䝁䅫睢畂䝁䅅䅢灁䍁䅁兊㝁䍁䅁睒桂䝁䄴杚求䝁䄴睚杁䕁䅷兡あ䝁䅧兡ㅂ䝁䄰䅉䡂䡁䅉睢ㅂ䡁䅁䅉䑂䝁䄸杌獁䍁䅁䅔あ䝁䅑杌杁䍁䅧杒祂䝁䅅睙あ䝁䅫睢畂䝁䅅䅢灁䍁䅁兊㝁䍁䅁睒療䡁䅙党祂䝁䄴兢求䝁䄴䅤杁䝁䄸杚杁䕁䄰兙獂䝁䅫䅉潁䙁䅙党畂䡁䅑兤祂䝁䅕杣灁䍁䅁睍ㅁ䍁䅕䅁允䅁䅁䅄䅁䑁䅫䅍ㅁ䑁䅉杍䅁䑁䄸䅁捂䅁䅁睕療䝁䅍兡求䝁䅑兙歂䍁䅁兕ㅂ佁䄰兢灂䝁䅍兙杁䡁䅫䅉乂䝁䅫杢求䡁䅉兙杁䝁䅑党杁䕁䅍䅡灂䝁䅷党杁䙁䅍杌䉂䍁䄴䅉杁䑁䅅䅍睁䍁䅕䅁䍂䅁䅁杉䅁䕁䅣杣ㅂ䡁䅁睢杁䕁䄰睢あ䝁䅅䅉杁䑁䅅䅍睁䍁䅕䅁䑁䅁䅁杆䅁䕁䄸睖佂䕁䅕杕時䕁䅷兓呂䙁䅑䅁䍁䅁䅁杕䅁䙁䅅兡畂䝁䅣䅡桂䝁䅫䅉呂䝁䅅䅢あ䍁䅁䅔桂䝁䅳党杁䕁䅫杢歂䡁䅕督あ䡁䅉入杁䕁䅍睢畁䍁䅷䅔あ䝁䅑䅉杁䑁䅅䅍睁䍁䅕䅁乁䅁䅁䅄䅁䑁䅣兏硁䑁䅙兎䅁䅁䅅䅁㙁䅁䅁兒獂䝁䅕杤祂䝁䅅䅉䵂䝁䅫䅤潂䝁䅫兤瑂䍁䅁䅔灂䝁䄰兡あ䝁䅕䅚杁䍁䅁免睁䑁䅁兊䅁䍁䅷䅁䵁䅁䅁兎祁䑁䅍睎祁䅁䅁杇䅁䅁䅷䅁㍁䑁䅣䅎ㅁ䑁䅧䅁䕁䅁䅁䅋䅁䕁䄸睖佂䕁䅕杕時䙁䅍杔䵂䙁䄸兓佂䙁䅍䅖佂䙁䄸睓䙂䙁䅫䅁䙁䅁䅁䅅䅁䕁䄸睤畂䝁䅕杣杁䑁䅅䅁䝁䅁䅁䅄䅁䑁䅫免睁䑁䅙兎䅁䍁䄴䅁䵁䅁䅁睍㍁䑁䅍䅏ぁ䅁䅁䅈䅁䉁䅁䅁偂䡁䅣杢求䡁䅉䅉祁䅁䅁䅃䅁䅁䅷䅁穁䑁䅣兎㑁䑁䅙䅁啁䅁䅁杂䅁䕁䄴兑䅁䅁䅫䅁䵁䅁䅁睍㑁䑁䅕兎㍁䅁䅁权䅁䅁䅷䅁穁䑁䅣李祁䑁䅑䅁䱁䅁䅁朰䅁䙁䅯兡煂䝁䅫杢杁䕁䄰兡畂䝁䅫杢湂䍁䅁睒祂䝁䄸兤睂䍁䅁睑療䝁䄰䅣桂䝁䄴入杁䕁䅷兡瑂䝁䅫䅤求䝁䅑䅉潁䙁䅙党畂䡁䅑兤祂䝁䅕杣灁䍁䅁睎睁䍁䅕睏杁䙁䅑兡楂䝁䅕䅤杁䙁䅍䅡求䝁䄴睚㕂䡁䅕兙畂䍁䅁兔灂䝁䄴兡畂䝁䅣䅉䡂䡁䅉睢ㅂ䡁䅁䅉䑂䝁䄸杌獁䍁䅁䅔あ䝁䅑杌杁䍁䅧杖求䝁䄴䅤ㅂ䡁䅉党祂䍁䅫䅉穁䑁䅁兊䅁䑁䅁䅁歁䅁䅁兒卂䕁䅅兔䙂䙁䅑䅉呂䍁䄴兑畁䍁䅁䅉硁䑁䅁䅍汁䅁䅁睇䅁䅁䅷䅁穁䑁䅧兎ぁ䑁䅫䅁䵁䅁䅁䅄䅁䑁䅧䅏㕁䑁䅙䅍䅁䍁䅯䅁䵁䅁䅁睎㑁䑁䅁杍祁䅁䅁睄䅁䅁䅷䅁ㅁ䑁䅕睍穁䑁䅍䅁剁䅁䅁䅌䅁䙁䅍䅕時䙁䅕䅔啂䙁䄸䅕䉂䙁䅉兒佂䙁䅑睘䑂䕁䄸兖佂䙁䅑杕婂䅁䅁睖䅁䅁䅷䅁㍁䑁䅧杍ぁ䑁䅑䅁坁䅁䅁䅄䅁䑁䅣䅍穁䑁䅅䅍䅁䉁䅉䅁䥂䅁䅁睑療䝁䄰䅣桂䝁䄴䅡灂䝁䅅䅉䍂䡁䅉兙穂䝁䅫䅢求䝁䅫杣桂䍁䅁䅚求䍁䅁䅔瑄䡁䅑兡療䍁䅁䅉硁䑁䅁䅍汁䅁䅁睅䅁䩁䄴䅁䉂䝁䅷杙求䝁䄰兙祂䝁䅷党杁䕁䅍睢祂䡁䅁睢祂䝁䅅䅤灂䝁䄸杢杁䍁䅧杖求䝁䄴䅤ㅂ䡁䅉党祂䍁䅫䅉ㅁ䑁䅁兊㝁䍁䅁兔灂䝁䄴党祂䝁䅅䅢杁䙁䅉党穂䝁䄸兤祂䝁䅍党穂䍁䅁䅔灂䝁䄰兡あ䝁䅕䅚杁䍁䅧杖求䝁䄴䅤ㅂ䡁䅉党祂䍁䅫䅉ㅁ䑁䅁兊䅁䑁䄴䅁䵁䅁䅁睍㑁䑁䅕䅎㍁䅁䅁䅇䅁䕁䅷䅁䡂䝁䅅杢浂䝁䅕杢湂䍁䅁䅔灂䡁䅑䅡灂䡁䅕兢杁䕁䅣杣療䡁䅕䅣杁䕁䅍睢畁䍁䅷䅉䵂䡁䅑䅚畁䍁䅁䅉硁䑁䅁䅍汁䅁䅁兆䅁佁䅑䅁啂䝁䅫兙畂䡁䅅兡杁䕁䅷兡あ䝁䅧兡ㅂ䝁䄰䅉䑂䝁䄸杣睂䝁䄸杣桂䡁䅑兡療䝁䄴䅉潁䙁䅙党畂䡁䅑兤祂䝁䅕杣灁䍁䅁杍㉁䍁䄴䅍硁䍁䅕睏杁䕁䅅䅢楂䝁䅕兢桂䡁䅉䅢求䍁䅁睑療䡁䅉䅣療䡁䅉兙あ䝁䅫睢畂䍁䅁䅋坂䝁䅕杢あ䡁䅕杣求䡁䅉克杁䑁䅑兏汁䑁䅳䅉䩂䕁䅣睔杁䕁䅷兡瑂䝁䅫䅤求䝁䅑䅉潁䙁䅙党畂䡁䅑兤祂䝁䅕杣灁䍁䅁杍ぁ䍁䄴兏㕁䍁䅕䅁湁䅁䅁䅄䅁䑁䅣睎㍁䑁䅣兏䅁䍁䅕䅁䝃允䅁杓ㅂ䝁䅯兤㕂䍁䅁兒畂䝁䅕杣湂䝁䅫兙杁䡁䅫䅉乂䝁䅫杢求䡁䅉兡桂䍁䅁睕療䝁䅍兡求䝁䅑兙歂䍁䅁䅚求䝁䅷䅉䙂䡁䅍䅤桂䝁䅑睢杁䍁䅧杖求䝁䄴䅤ㅂ䡁䅉党祂䍁䅫䅉㑁䍁䄴兎汁䑁䅳䅉䡂䝁䅅杢浂䝁䅕杢湂䍁䅁䅔灂䡁䅑䅡灂䡁䅕兢杁䕁䅣杣療䡁䅕䅣杁䕁䅍睢畁䍁䅷䅉䵂䡁䅑䅚畁䍁䅁䅋坂䝁䅕杢あ䡁䅕杣求䡁䅉克杁䑁䅑李畁䑁䅙睎汁䑁䅳䅉䵂䝁䅫䅤潂䝁䅫兤瑂䍁䅁兑祂䝁䅣党畂䡁䅑兡畂䝁䅅䅉䉂䕁䅣䅉潁䙁䅙党畂䡁䅑兤祂䝁䅕杣灁䍁䅁䅎ぁ䍁䄴䅏穁䍁䅕睏杁䕁䅣杣ㅂ䡁䅁睢杁䕁䄰兡畂䝁䅕杣療䍁䅁䅔療䡁䅍䅉䍂䝁䄸杣療䡁䅍䅉呂䍁䄴兑畁䍁䅁䅋䝂䡁䅉兙橂䡁䅑兡療䝁䄴兙獂䍁䅫䅉汁䅁䅁睆䅁䅁䅷䅁穁䑁䅣免㍁䑁䅑䅁摁䅁䅁杳䅁䙁䅍兡橂䝁䅧兤桂䝁䄴䅉婂䝁䅅䅡ㅂ䝁䅅䅉䩂䝁䄴䅚ㅂ䡁䅍䅤祂䝁䅫兙獂䍁䅁睒祂䝁䄸兤睂䍁䅁睑療䍁䄴䅌杁䕁䅷䅤歂䍁䄴䅉潁䙁䅙党畂䡁䅑兤祂䝁䅕杣灁䍁䅁李睁䍁䅕睏杁䙁䅁杣灂䡁䅙兙あ䝁䅕䅉䩂䝁䄴䅤求䡁䅉党穂䡁䅑䅉潁䙁䅙党畂䡁䅑兤祂䝁䅕杣灁䍁䅁䅎睁䍁䅕䅁癁䅁䅁䅄䅁䑁䅍䅏ㅁ䑁䅑睍䅁䉁䄴䅁祃䅁䅁兔灂䝁䄴党祂䝁䅅䅢杁䙁䅉党穂䝁䄸兤祂䝁䅍党穂䍁䅁䅔灂䝁䄰兡あ䝁䅕䅚杁䍁䅧杖求䝁䄴䅤ㅂ䡁䅉党祂䍁䅫䅉ㅁ䑁䅁兊㝁䍁䅁睒桂䝁䄴杚求䝁䄴睚杁䕁䅷兡あ䝁䅧兡ㅂ䝁䄰䅉䡂䡁䅉睢ㅂ䡁䅁䅉䑂䝁䄸杌獁䍁䅁䅔あ䝁䅑杌杁䍁䅧杖求䝁䄴䅤ㅂ䡁䅉党祂䍁䅫䅉ㅁ䑁䅁兊䅁䉁䄸䅁䵁䅁䅁睎㑁䑁䅕免祁䅁䅁児䅁䅁䅷䅁㉁䑁䅍免㍁䑁䅉䅁㕁䅁䅁杓䅁䙁䅣党穂䡁䅑党祂䝁䄴䅉乂䝁䅫杢灂䝁䄴睚杁䕁䅣杣療䡁䅕䅣杁䕁䅍睢畁䍁䅷䅉䵂䡁䅑䅚畁䍁䅁䅉硁䑁䅁䅍汁䅁䅁䅉䅁䥁䅑䅁卂䝁䅅兢求䝁䅷兡ㅂ䡁䅍䅉卂䝁䅕督療䡁䅕杣橂䝁䅕督杁䕁䅷兡瑂䝁䅫䅤求䝁䅑䅉潁䕁䅙杣桂䝁䅍䅤灂䝁䄸杢桂䝁䅷克杁䍁䅕睏杁䕁䅷兡療䝁䄴䅤療䡁䅣杢杁䕁䅷兡瑂䝁䅫䅤求䝁䅑䅉杁䑁䅅䅍睁䍁䅕䅁硁䅁䅁䅄䅁䑁䅧杍㑁䑁䅧免䅁䍁䅅䅁䅂䅁䅁睕灂䝁䅣兢桂䍁䅁䅔灂䡁䅑䅡灂䡁䅕兢杁䕁䅍睢祂䡁䅁睢祂䝁䅅䅤灂䝁䄸杢杁䍁䅁免睁䑁䅁兊䅁䍁䅉䅁䵁䅁䅁睍㍁䑁䅁兎㕁䅁䅁睉䅁䱁䅑䅁呂䝁䄸睙灂䝁䅕䅚桂䝁䅑䅉剂䡁䅕儷瑂䝁䅫睙桂䍁䅁入杁䕁䄰兡畂䝁䅕杣桂䍁䅁䅚求䍁䅁睑潂䝁䅫䅢求䍁䅁睕畁䕁䅅杌杁䍁䅧杖求䝁䄴䅤ㅂ䡁䅉党祂䍁䅫䅉ㅁ䑁䅁兊㝁䍁䅁睖求䡁䅍杚桂䡁䅉兢求䡁䅉督杁䕁䅷兡瑂䝁䅫䅤求䝁䅑䅉潁䙁䅙党畂䡁䅑兤祂䝁䅕杣灁䍁䅁兎睁䍁䅕䅁㉁䅁䅁䅄䅁䑁䅣睎祁䑁䅁䅏䅁䍁䅑䅁䵁䅁䅁睍㍁䑁䅍杍㉁䅁䅁杊䅁䑁䅧䅁䉂䝁䅷杙求䝁䄰兙祂䝁䅷党杁䕁䅍睢祂䡁䅁睢祂䝁䅅䅤灂䝁䄸杢杁䍁䅁免睁䑁䅁兊䅁䍁䅫䅁䵁䅁䅁睍㉁䑁䅕䅍ㅁ䅁䅁睋䅁䅁䅷䅁穁䑁䅉免睁䑁䅕䅁䑂䅁䅁䅓䅁䙁䅯兙畂䝁䅣睚求䍁䅁兔灂䝁䄴兡畂䝁䅣䅉䑂䝁䄸兢睂䝁䅅杢㕂䍁䅁䅔灂䝁䄰兡あ䝁䅕䅚杁䍁䅁免睁䑁䅁兊䅁䑁䅳䅁捃䅁䅁睑潂䝁䅕杢湂䡁䅧兡畂䍁䅁䅔灂䡁䅑䅡灂䡁䅕兢杁䕁䅣杣療䡁䅕䅣杁䕁䅍睢畁䍁䅷䅉䵂䡁䅑䅚畁䍁䅁䅋坂䝁䅕杢あ䡁䅕杣求䡁䅉克杁䑁䅣兎汁䑁䅳䅉噂䝁䄴杢桂䝁䄰党歂䍁䅁睔㍂䝁䄴党祂䍁䅁䅋䝂䡁䅉兙橂䡁䅑兡療䝁䄴兙獂䍁䅫䅉汁䅁䅁䅔䅁䅁䅷䅁穁䑁䅁李㑁䑁䅧䅁瑁䅁䅁䅄䅁䑁䅧䅏㑁䑁䅫睎䅁䑁䅉䅁㉃䅁䅁睒桂䝁䄴杚求䝁䄴睚杁䕁䅷兡あ䝁䅧兡ㅂ䝁䄰䅉䡂䡁䅉睢ㅂ䡁䅁䅉䑂䝁䄸杌獁䍁䅁䅔あ䝁䅑杌杁䍁䅧杖求䝁䄴䅤ㅂ䡁䅉党祂䍁䅫䅉ぁ䑁䅫兊㝁䍁䅁睑潂䝁䅫杢桂䍁䅁兔灂䝁䄴兢求䡁䅑兙獂䡁䅍䅉䑂䝁䄸杣睂䝁䄸杣桂䡁䅑兡療䝁䄴䅉潁䙁䅙党畂䡁䅑兤祂䝁䅕杣灁䍁䅁兎硁䍁䅕䅁穁䅁䅁杗䅁䙁䅍兡橂䝁䅧兤桂䝁䄴䅉䕂䝁䅕䅥灂䝁䄴䅉乂䝁䅫杢灂䝁䄴睚杁䙁䅉党穂䝁䄸兤祂䝁䅍党穂䍁䅁睑療䍁䅁䅔あ䝁䅑杌杁䍁䅁免睁䑁䅁兊䅁䑁䅑䅁獁䅁䅁杕灂䝁䄸䅉啂䝁䅫杢あ䝁䄸䅉䡂䡁䅉睢ㅂ䡁䅁䅉杁䑁䅅䅍睁䍁䅕䅁ㅁ䅁䅁䅥䅁䙁䅑杣求䝁䅳䅉乂䝁䅕䅤桂䝁䅷督杁䕁䅷兡瑂䝁䅫䅤求䝁䅑䅉潁䕁䅙杣桂䝁䅍䅤灂䝁䄸杢桂䝁䅷克杁䍁䅕睏杁䙁䅁䅔呂䍁䅁睒祂䝁䄸兤睂䍁䅁䅔灂䝁䄰兡あ䝁䅕䅚杁䍁䅁免睁䑁䅁兊䅁䑁䅧䅁䵁䅁䅁兎硁䑁䅫兎㉁䅁䅁睎䅁䅁䅷䅁㑁䑁䅕免祁䑁䅑䅁㙁䅁䅁䅉䅍䙁䅍䅡求䝁䄴来潂䝁䅕杢杁䕁䅍䅡求䝁䄴睚あ䡁䅕杢杁䙁䅫兡㑂䝁䅫杢湂䍁䅁䅖求䝁䅍䅡畂䝁䄸䅢療䝁䅣入杁䕁䅍睢畁䍁䅷䅉䵂䡁䅑䅚杁䍁䅧杖求䝁䄴䅤ㅂ䡁䅉党祂䍁䅫䅉祁䍁䄴免ぁ䍁䅕睏杁䕁䄰兙㑂䍁䅁兔灂䝁䄴䅚杁䕁䅫杢㉂䝁䅕督あ䝁䄰党畂䡁䅑䅉䵂䝁䅫兢灂䡁䅑党歂䍁䅁䅋坂䝁䅕杢あ䡁䅕杣求䡁䅉克杁䑁䅑兏汁䑁䅳䅉呂䝁䅧党畂䡁䅯䅡求䝁䄴䅉剂䝁䅫兙畂䝁䅧兙灂䍁䅁杕ㅂ䝁䅫来求䍁䅁杔療䍁䄴䅉硁䑁䅍䅉䩂䝁䄴杤求䡁䅍䅤瑂䝁䅕杢あ䍁䅁䅕桂䡁䅉䅤畂䝁䅕杣穂䝁䅧兡睂䍁䅁兒畂䡁䅑党祂䡁䅁杣灂䡁䅍党杁䍁䅧䅔畁䙁䅁杌灁䍁䅁䅋坂䝁䅕杢あ䡁䅕杣求䡁䅉克杁䑁䅉杌ぁ䑁䅧兊㝁䍁䅁睕潂䝁䅕杢㙂䝁䅧党畂䍁䅁睑潂䝁䅕杢湂䡁䅑兤畂䍁䅁兓畂䝁䅑兤穂䡁䅑杣灂䝁䅅䅢杁䕁䅑党㉂䝁䅕䅢療䡁䅁兢求䝁䄴䅤杁䕁䅍睢畁䍁䅷䅉䵂䡁䅑䅚畁䍁䅁䅋坂䝁䅕杢あ䡁䅕杣求䡁䅉克杁䑁䅅免畁䑁䅙免汁䑁䅳䅉奂䝁䅫兙瑂䝁䅕杢杁䙁䅑兤畂䝁䅍䅡ㅂ䍁䅁兓畂䡁䅙党穂䡁䅑兢求䝁䄴䅤杁䙁䅁兙祂䡁䅑杢求䡁䅉督潂䝁䅫䅣杁䍁䅧䅔灂䝁䄰兡あ䝁䅕䅚杁䙁䅁兙祂䡁䅑杢求䡁䅉督潂䝁䅫䅣灁䍁䅁䅋坂䝁䅕杢あ䡁䅕杣求䡁䅉克杁䑁䅅杌ぁ䑁䅉兊㝁䍁䅁睕潂䝁䅕杢㙂䝁䅧党畂䍁䅁睑潂䝁䅕杢湂䡁䅑兤畂䍁䅁䅓ㅂ䝁䅫来求䍁䅁䅖祂䝁䅅䅚灂䝁䄴睚杁䕁䅍睢畁䍁䅷䅉䵂䡁䅑䅚杁䍁䅧杖求䝁䄴䅤ㅂ䡁䅉党祂䍁䅫䅉穁䍁䄴杍汁䅁䅁䅐䅁䑁䅑䅁兂䕁䄸睕䑂䕁䄸䅉䥂䝁䄸䅢歂䝁䅫杢湂䡁䅍䅉䩂䝁䄴睙畁䍁䅁䅉硁䑁䅁䅍汁䅁䅁䅑䅁䅁䅷䅁㑁䑁䅫杍㑁䑁䅣䅁䉂䅁䅁䄯䅁䙁䅑睢㕂䝁䄸䅤桂䍁䅁䅖穂䡁䅕督潂䝁䄸䅉䑂䝁䄸杣睂䝁䄸杣桂䡁䅑兡療䝁䄴䅉潁䙁䅙党畂䡁䅑兤祂䝁䅕杣灁䍁䅁杍ㅁ䍁䅕睏杁䙁䅉兡療䍁䅁䅖灂䝁䄴䅤療䍁䅁睒祂䝁䄸兤睂䍁䅁䅉㉁䑁䅙杌ㅁ䍁䅕睏杁䕁䅯兤煂䡁䅕入杁䕁䅕杢求䡁䅉睚灂䝁䅅䅉㕂䍁䅁兔灂䝁䄴党祂䝁䅫兙杁䙁䅍睢橂䝁䅫党歂䝁䅅䅚杁䝁䅑党獂䍁䅁兒穂䡁䅑兙歂䝁䄸䅉潁䙁䅙党畂䡁䅑兤祂䝁䅕杣灁䍁䅁䅏畁䑁䅕兊䅁䕁䅑䅁䵁䅁䅁睍㍁䑁䅙免祁䅁䅁兒䅁䅁䅷䅁穁䑁䅙免㉁䑁䅉䅁䝂䅁䅁䅄䅁䑁䅍睎㉁䑁䅁䅍䅁䕁䅣䅁䵁䅁䅁睎㑁䑁䅁睍硁䅁䅁䅓䅁䙁䅉䅁慂䝁䅫条灂䝁䄴䅉乂䝁䅫杢灂䝁䄴睚杁䕁䅣杣療䡁䅕䅣杁䕁䅍睢瑂䡁䅁兙畂䡁䅫䅉䵂䝁䅫兢灂䡁䅑党歂䍁䅁䅉硁䑁䅁䅍汁䅁䅁兓䅁䭁䅁䅁噂䝁䄴杢桂䝁䄰党歂䍁䅁睔㍂䝁䄴党祂䍁䅁䅋坂䝁䅕杢あ䡁䅕杣求䡁䅉克杁䑁䅍䅎汁䑁䅳䅉慂䝁䅫条灂䝁䄴䅉乂䝁䅫杢灂䝁䄴睚杁䕁䅣杣療䡁䅕䅣杁䕁䅍睢瑂䡁䅁兙畂䡁䅫䅉䵂䝁䅫兢灂䡁䅑党歂䍁䅁䅋坂䝁䅕杢あ䡁䅕杣求䡁䅉克杁䑁䅙李汁䅁䅁杓䅁䅁䅷䅁㑁䑁䅫兎㑁䑁䅕䅁䱂䅁䅁杏䅁䙁䅫兡橂䝁䅧兤畂䍁䅁䅖桂䝁䄴䅤桂䝁䅷兤瑂䍁䅁睑療䍁䅁䅔あ䝁䅑䅉杁䑁䅅䅍睁䍁䅕䅁乂䅁䅁䅄䅁䑁䅍䅏ㅁ䑁䅍䅏䅁䕁䄴䅁㙃䅁䅁䅗灂䡁䅯兙畂䝁䅣䅉乂䝁䅫杢求䡁䅉兙獂䍁䅁䅒求䡁䅙党獂䝁䄸䅣瑂䝁䅕杢あ䍁䅁睑療䍁䄴䅉䵂䙁䅑䅒杁䍁䅧睔睂䡁䅑兡療䝁䄴睢祂䍁䅫䅉㑁䑁䅁兊㝁䍁䅁䅖灂䝁䅅杢硂䝁䅫䅉䵂䝁䅫䅤潂䝁䅫兤瑂䍁䅁睑療䡁䅉䅣療䡁䅉兙あ䝁䅫睢畂䍁䅁䅋偂䡁䅁䅤灂䝁䄸杢求䝁䅕克杁䑁䅉䅍汁䅁䅁睔䅁䍁䄴䅁呂䙁䅁睘兂䕁䅅杕䙂䕁䄴䅖時䕁䅍睔乂䙁䅁兑佂䙁䅫睘佂䕁䅅兔䙂䅁䅁䅕䅁䭁䅉䅁呂䡁䅑兙あ䝁䅕兌療䡁䅣杢求䝁䅑䅉䉂䡁䅍督求䡁䅑督杁䙁䅍兤睂䝁䅕杣㉂䝁䅫督灂䝁䄸杢杁䝁䅅杢歂䍁䅁兑歂䝁䄰兡畂䝁䅫督あ䡁䅉兙あ䝁䅫睢畂䍁䅁睑療䝁䄰兢灂䡁䅍督灂䝁䄸杢杁䝁䄸杚杁䡁䅑䅡求䍁䅁睕あ䝁䅅䅤求䍁䅁睑療䡁䅕杢橂䝁䅫䅁剂䅁䅁䅉䅁䙁䅍䅕時䕁䅍睔噂䕁䄴䅖卂䙁䅫睘佂䕁䅅兔䙂䅁䅁杕䅁䉁䅑䅁䉂䡁䅕督あ䡁䅉兙獂䝁䅫兙䅁䙁䅍䅁䍁䅁䅁䅁啂䅁䅁䅊䅁䙁䅍䅕時䙁䅁兑卂䕁䅕杔啂䙁䄸睑偂䙁䅕杔啂䙁䅉兗䅁䙁䅕䅁㉁䅁䅁睕兂䙁䄸兖䵂䙁䅑睘兂䕁䅅杕䙂䕁䄴䅖時䕁䅍睔乂䙁䅁兑佂䙁䅫睘佂䕁䅅兔䙂䅁䅁杖䅁䅁䅷䅁䑂䝁䅧兡畂䝁䅅䅁奂䅁䅁杅䅁䙁䅁睢祂䡁䅑兤湂䝁䅅䅢䅁䙁䅫䅁浂䅁䅁睕潂䝁䅕杢㙂䝁䅧党畂䍁䅁睑潂䝁䅕杢湂䡁䅑兤畂䍁䅁兓畂䝁䅑兤穂䡁䅑杣灂䝁䅅䅢杁䕁䅑党㉂䝁䅕䅢療䡁䅁兢求䝁䄴䅤杁䕁䅍睢畁䍁䅷䅉䵂䡁䅑䅚畁䅁䅁杗䅁䕁䅑䅁呂䝁䅧党畂䡁䅯䅡求䝁䄴䅉䑂䝁䅧党畂䝁䅣䅤ㅂ䝁䄴䅉䡂䡁䅉睢ㅂ䡁䅁䅉䑂䝁䄸杌獁䍁䅁䅔あ䝁䅑杌䅁䙁䅳䅁敁䅁䅁兖畂䝁䅫䅤求䝁䅑䅉䱂䝁䅫杢湂䝁䅑睢瑂䅁䅁䅘䅁䙁䅁䅁䑂䝁䅧党畂䝁䅣䅚ㅂ䍁䅁䅖灂䝁䅅杢硂䝁䅫䅉䩂䝁䄴䅚ㅂ䡁䅍䅤祂䡁䅫䅉䡂䡁䅉睢ㅂ䡁䅁䅉䑂䝁䄸杌獁䍁䅁䅔あ䝁䅑杌䅁䙁䄰䅁奁䅁䅁睕療䡁䅕䅤潂䍁䅁睓療䡁䅉党桂䅁䅁杘䅁䉁䅑䅁䥂䝁䄸杢湂䍁䅁睓療䝁䄴睚䅁䙁䄸䅁䵁䅁䅁杓桂䡁䅁兙畂䅁䅁䅙䅁䥁䅙䅁剂䝁䅫杢湂䝁䅧兙灂䍁䅁睕あ䝁䅅䅤求䍁䅁睔㍂䝁䄴党歂䍁䅁兑穂䡁䅍党あ䡁䅍䅉呂䡁䅕䅣求䡁䅉杤灂䡁䅍兡療䝁䄴䅉流䍁䅁兑歂䝁䄰兡畂䝁䅫督あ䡁䅉兙あ䝁䅫睢畂䍁䅁睑療䝁䄰兢灂䡁䅍督灂䝁䄸杢䅁䝁䅅䅁䵁䅁䅁睑潂䝁䅫䅢求䅁䅁杙䅁䅁䄴䅁䑂䝁䅅杢桂䝁䅑兙䅁䝁䅍䅁䍂䅁䅁睑潂䝁䅕杢湂䡁䅧兡畂䍁䅁䅔灂䡁䅑䅡灂䡁䅕兢杁䕁䅣杣療䡁䅕䅣杁䕁䅍睢畁䍁䅷䅉䵂䡁䅑䅚畁䅁䅁䅚䅁䙁䅁䅁慂䝁䅧党煂䝁䅫兙畂䝁䅣䅉䥂䡁䅕兙㕂䝁䄸兤杁䕁䅧睢獂䝁䅑兡畂䝁䅣䅉䡂䡁䅉睢ㅂ䡁䅁䅉䑂䝁䄸杌獁䍁䅁䅔あ䝁䅑杌䅁䝁䅕䅁佁䅁䅁杒祂䝁䅅杢橂䝁䅕䅁浂䅁䅁䅃䅁䙁䅕睕䉂䅁䅁睚䅁䅁䄴䅁䍂䡁䅉兙㙂䝁䅫䅢䅁䝁䅧䅁䭁䅁䅁兔桂䝁䅷兡䅁䝁䅫䅁煂䅁䅁睑潂䝁䅫杢桂䍁䅁杔療䝁䄴杚求䡁䅉杣療䡁䅕督杁䕁䄰党あ䝁䅅䅢穂䍁䅁兔灂䝁䄴兡畂䝁䅣䅉䡂䡁䅉睢ㅂ䡁䅁䅉䑂䝁䄸兢睂䝁䅅杢㕂䍁䅁䅔灂䝁䄰兡あ䝁䅕䅚䅁䝁䅯䅁睂䅁䅁睕灂䝁䄴睢瑂䝁䅫杢求䍁䅁兓畂䡁䅑党祂䝁䄴兙あ䝁䅫睢畂䝁䅅䅢杁䕁䅕䅥睂䝁䅷睢祂䝁䅅䅤灂䝁䄸杢杁䍁䅧䅓療䝁䄴睚杁䕁䅳睢畂䝁䅣克杁䕁䅍睢畁䍁䅁䅔あ䝁䅑杌䅁䝁䅳䅁十䅁䅁杗灂䝁䄰杙桂䝁䅉睤求䅁䅁䅢䅁䉁䅧䅁呂䡁䅣兡あ䡁䅯党祂䝁䅷兙畂䝁䅑䅁瑂䅁䅁児䅅䅁杷允䅁䅁䅍䅁䑁䅁䅷䅁䙁䅁䅁䥁䩁ㅋ䉆权塂䅁䅁允䅁䅁䅅䅁䭁䙁䅑䅁䵁䅉䅅䅁䕁䅁䅁睁䅁䅁䅁权䅁䅁䅁权䉁䅁䅁权䍁䅁䅁允䅁䅁䅅䅁䭁䅁䅍䅁䵁䅉䅅䅁䙁䅁䅁睁䅁䅁䅁权䅁䅁䅁权橁䅁䅁权䙁䅁䅁权䥁䅁䅁允䅁䅁䅅䅁䑁䑁䕓睐䵁䅉䅅䅁䑁䅁䅁睁䵁䅁䅁兂䅁䅁䅃漷兖兑䅯睖䅁䅁䅅䅁䉁䅁䅁权奂䅁䅁䍄䉁䅁䅁兂䅁䅁䅍䅁䅁䅁䅯䅁䅁䅁䅯䅂䅁䅁䅯兂䅁䅁䅯杂䅁䅁䅅䅁䉁䅁䅁睁祃〸䅙䍄䉁䅁䅁兂䅁䅁䅍䅁䅁䅁䅯䅁䅁䅁䅯䅈䅁䅁䅯兂䅁䅁䅯䅃䅁䅁䅅䅁䉁䅁䅁权䩁䅁䅁䍄䉁䅁䅁兂䅁䅁䅍䅁䅁䅁䅯䅁䅁䅁䅯允䅁䅁䅯兂䅁䅁䅯杂䅁䅁䅅䅁䉁䅁䅁睁摁䜸䅷䍄䉁䅁䅁䅂䅁䅁䅍䅁䅁䅁䅯䅁䅁䅁䅯睉䅁䅁䅯杁䅁䅁䅅䅁䉁䅁䅁权䕂䅁䅁䍄䉁䅁䅁兂䅁䅁䅍䅁䅁䅁䅯䅁䅁䅁䅯睃䅁䅁䅯兂䅁䅁䅯杂䅁䅁䅅䅁䉁䅁䅁睁佄䕪䅉䍄䉁䅁䅁兂䅁䅁䅍䅁䅁䅁䅯䅁䅁䅁䅯允䅁䅁䅯兂䅁䅁䅯䅃䅁䅁䅅䅁䉁䅁䅁权䩁䅁䅁䍄䉁䅁䅁兂䅁䅁䅍䅁䅁䅁䅯䅁䅁䅁䅯杈䅁䅁䅯兂䅁䅁䅯杂䅁䅁䅅䅁䉁䅁䅁睁灃㕁䄴䍄䉁䅁䅁睁䅁䅁䅍䅄䅁䅁䅕䅁䅁䉁䍲ご䭅䙁䅙䅁䉁䅁䅁允䅁䅁䅯䅖䅁䅁杷允䅁䅁䅍䅁䑁䅁䅷䅁䙁䅁䅁䥁瑂汭䉂权卂䅁䅁允䅁䅁䅅䅁䭁䙁䅍䅁䵁䅉䅅䅁䑁䅁䅁睁䵁䅁䅁兂䅁䅁䅃㕔典兑䅯杖䅁䅁䅅䅁䉁䅁䅁权啂䅁䅁䍄䉁䅁䅁䅂䅁䅁䅍䅁䅁䅁䅯䅁䅁䅁䅯䅂䅁䅁䅯杁䅁䅁䅅䅁䉁䅁䅁权䡁䅁䅁䍄䉁䅁䅁䅂䅁䅁䅍䅁䅁䅁䅯䅁䅁䅁䅯先䅁䅁䅯杁䅁䅁䅅䅁䉁䅁䅁权晁䅁䅁䍄䉁䅁䅁兂䅁䅁䅍䅁䅁䅁䅯䅁䅁䅁䅯权䅁䅁䅯兂䅁䅁䅯杂䅁䅁䅅䅁䉁䅁䅁睁桃䔱䜴䍄䉁䅁䅁兂䅁䅁䅍䅁䅁䅁䅯䅁䅁䅁䅯睃䅁䅁䅯兂䅁䅁䅯䅃䅁䅁䅅䅁䉁䅁䅁睁偁啤䅉䍄䉁䅁䅁睁䅁䅁䅍䅄䅁䅁䅕䅁䅁䩷扩䕕䭅䙁䅣䅁䉁䅁䅁允䅁䅁䅯䅖䅁䅁杷允䅁䅁䅍䅁䑁䅁䅷䅁䙁䅁䅁䍁ㅂ䝷䉎权塂䅁䅁允䅁䅁䅅䅁䭁䙁䅧䅁䵁䅉䅅䅁䙁䅁䅁睁䅁䅁䅁权䅁䅁䅁权䕁䅁䅁权䙁䅁䅁权䥁䅁䅁允䅁䅁䅅䅁䑁䱁瑂村䵁䅉䅅䅁䑁䅁䅁睁䵁䅁䅁兂䅁䅁䅂穂扸兑䅯䅕䅁䅁䅅䅁䉁䅁䅁权啂䅁䅁䍄䉁䅁䅁䅂䅁䅁䅍䅁䅁䅁䅯䅁䅁䅁䅯䅄䅁䅁䅯杁䅁䅁䅅䅁䉁䅁䅁权乁䅁䅁䍄䉁䅁䅁兂䅁䅁䅍䅁䅁䅁䅯䅁䅁䅁䅯睎䅁䅁䅯兂䅁䅁䅯䅃䅁䅁䅅䅁䉁䅁䅁睁䉁此䅉䍄䉁䅁䅁睁䅁䅁䅍䅄䅁䅁䅕䅁䅁䑧橏䕕䭅䙁䅕䅁䉁䅁䅁允䅁䅁䅯䅖䅁䅁杷允䅁䅁䅍䅁䑁䅁䅷䅁䙁䅁䅁䍁ㅂ䝷䉎权卂䅁䅁允䅁䅁䅅䅁䭁䙁䅧䅁䵁䅉䅅䅁䙁䅁䅁睁䅁䅁䅁权䅁䅁䅁权歁䅁䅁权䙁䅁䅁权䝁䅁䅁允䅁䅁䅅䅁䑁䵁䴶村䵁䅉䅅䅁䑁䅁䅁睁䵁䅁䅁兂䅁䅁杁捤橂兑䅯䅕䅁䅁䅅䅁䉁䅁䅁权桂䅁䅁䍄䉁䅁䅁兂䅁䅁䅍䅁䅁䅁䅯䅁䅁䅁䅯兊䅁䅁䅯兂䅁䅁䅯杂䅁䅁䅅䅁䉁䅁䅁睁牂ず䅉䍄䉁䅁䅁䅂䅁䅁䅍䅁䅁䅁䅯䅁䅁䅁䅯权䅁䅁䅯杁䅁䅁䅅䅁䉁䅁䅁权佁䅁䅁䍄䉁䅁䅁兂䅁䅁䅍䅁䅁䅁䅯䅁䅁䅁䅯杇䅁䅁䅯兂䅁䅁䅯杂䅁䅁䅅䅁䉁䅁䅁睁䵂䕙䅉䍄䉁䅁䅁兂䅁䅁䅍䅁䅁䅁䅯䅁䅁䅁䅯先䅁䅁䅯兂䅁䅁䅯䅃䅁䅁䅅䅁䉁䅁䅁睁佄䕪䅉䍄䉁䅁䅁兂䅁䅁䅍䅁䅁䅁䅯䅁䅁䅁䅯权䅁䅁䅯兂䅁䅁䅯䅃䅁䅁䅅䅁䉁䅁䅁权䩁䅁䅁䍄䉁䅁䅁睁䅁䅁䅍䅄䅁䅁䅕䅁䅁䡧湶ご䭅䙁䅁䅁䉁䅁䅁允䅁䅁䅯䅖䅁䅁杷允䅁䅁䅍䅁䑁䅁䅷䅁䙁䅁䅁䵁剂汃䉎权卂䅁䅁允䅁䅁䅅䅁䭁䙁䅧䅁䵁䅉䅅䅁䕁䅁䅁睁䅁䅁䅁权䅁䅁䅁权偁䅁䅁权䍁䅁䅁允䅁䅁䅅䅁䭁䉁䅁䅁䵁䅉䅅䅁䙁䅁䅁睁䅁䅁䅁权䅁䅁䅁权偁䅁䅁权䙁䅁䅁权䝁䅁䅁允䅁䅁䅅䅁䑁偁䡬杦䵧䅉䅅䅁䙁䅁䅁睁䅁䅁䅁权䅁䅁䅁权䵁䅁䅁权䙁䅁䅁权䝁䅁䅁允䅁䅁䅅䅁䑁䑁畊村䵁䅉䅅䅁䙁䅁䅁睁䅁䅁䅁权䅁䅁䅁权剁䅁䅁权䙁䅁䅁权䝁䅁䅁允䅁䅁䅅䅁䑁乁瑺䅒䵁䅉䅅䅁䙁䅁䅁睁䅁䅁䅁权䅁䅁䅁权十䅁䅁权䙁䅁䅁权䝁䅁䅁允䅁䅁䅅䅁䑁偁汮䅢䵁䅉䅅䅁䙁䅁䅁睁䅁䅁䅁权䅁䅁䅁权汁䅁䅁权䙁䅁䅁权䥁䅁䅁允䅁䅁䅅䅁䑁䝁畎村䵁䅉䅅䅁䙁䅁䅁睁䅁䅁䅁权䅁䅁䅁权偁䅁䅁权䙁䅁䅁权䥁䅁䅁允䅁䅁䅅䅁䑁䝁夳䅒䵁䅉䅅䅁䙁䅁䅁睁䅁䅁䅁权䅁䅁䅁权㕁䅁䅁权䙁䅁䅁权䝁䅁䅁允䅁䅁䅅䅁䑁䑁浫䅯䵁䅉䅅䅁䕁䅁䅁睁䅁䅁䅁权䅁䅁䅁权十䅁䅁权䍁䅁䅁允䅁䅁䅅䅁䭁䉁䅍䅁䵁䅉䅅䅁䕁䅁䅁睁䅁䅁䅁权䅁䅁䅁权啁䅁䅁权䍁䅁䅁允䅁䅁䅅䅁䭁䉁䅕䅁䵁䅉䅅䅁䙁䅁䅁睁䅁䅁䅁权䅁䅁䅁权十䅁䅁权䙁䅁䅁权䥁䅁䅁允䅁䅁䅅䅁䭁䅁䅫䅁䵁䅉䅅䅁䙁䅁䅁睁䅁䅁䅁权䅁䅁䅁权奁䅁䅁权䙁䅁䅁权䝁䅁䅁允䅁䅁䅅䅁䑁䕁灣䅔䵁䅉䅅䅁䙁䅁䅁睁䅁䅁䅁权䅁䅁䅁权敁䅁䅁权䙁䅁䅁权䥁䅁䅁允䅁䅁䅅䅁䭁䅁䅫䅁䵁䅉䅅䅁䙁䅁䅁睁䅁䅁䅁权䅁䅁䅁权佂䅁䅁权䙁䅁䅁权䝁䅁䅁允䅁䅁䅅䅁䑁䍁穚村䵁䅉䅅䅁䕁䅁䅁睁䅁䅁䅁权䅁䅁䅁权歁䅁䅁权䍁䅁䅁允䅁䅁䅅䅁䭁䉁䅕䅁䵁䅉䅅䅁䙁䅁䅁睁䅁䅁䅁权䅁䅁䅁权啁䅁䅁权䙁䅁䅁权䥁䅁䅁允䅁䅁䅅䅁䭁䅁䅫䅁䵁䅉䅅䅁䙁䅁䅁睁䅁䅁䅁权䅁䅁䅁权坁䅁䅁权䙁䅁䅁权䝁䅁䅁允䅁䅁䅅䅁䑁偁佦睐䵁䅉䅅䅁䑁䅁䅁睁䵁䅁䅁兂䅁䅁䅃婹典兑䅯睖䅁䅁䅅䅁䉁䅁䅁权啂䅁䅁䍄䉁䅁䅁睁䅁䅁䅍䅄䅁䅁䅕䅁䅁䅁块啘䭅䙁䅁䅁䉁䅁䅁允䅁䅁䅯䅖䅁䅁杷允䅁䅁䅑䅁䑁䅁䅁䅁䭁䅁䅁䅁䭁䅁䅳䅁䭁䅁䅉䅁䉁䅁䅁允䅁䅁䅯睆䅁䅁杷允䅁䅁䅑䅁䑁䅁䅁䅁䭁䅁䅁䅁䭁䉁䅧䅁䭁䅁䅉䅁䉁䅁䅁允䅁䅁䅯兇䅁䅁杷允䅁䅁䅍䅁䑁䅁䅷䅁䙁䅁䅁偁偋䬯䉂权坂䅁䅁允䅁䅁䅅䅁䭁䙁䅑䅁䵁䅉䅅䅁䙁䅁䅁睁䅁䅁䅁权䅁䅁䅁权䵁䅁䅁权䙁䅁䅁权䥁䅁䅁允䅁䅁䅅䅁䭁䅁䅫䅁䵁䅉䅅䅁䑁䅁䅁睁䵁䅁䅁兂䅁䅁䅁獇偊兑䅯兖䅁䅁䅅䅁䉁䅁䅁权啂䅁䅁䍄䉁䅁䅁睁䅁䅁䅍䅄䅁䅁䅕䅁䅁䡑㔴し䭅䙁䅕䅁䉁䅁䅁允䅁䅁䅯䅖䅁䅁杷允䅁䅁䅑䅁䑁䅁䅁䅁䭁䅁䅁䅁䭁䉁䅯䅁䭁䅁䅉䅁䉁䅁䅁允䅁䅁䅯睇䅁䅁杷允䅁䅁䅕䅁䑁䅁䅁䅁䭁䅁䅁䅁䭁䉁䅙䅁䭁䅁䅕䅁䭁䅁䅧䅁䉁䅁䅁允䅁䅁䅍湐䍆䅁杷允䅁䅁䅑䅁䑁䅁䅁䅁䭁䅁䅁䅁䭁䍁䅅䅁䭁䅁䅉䅁䉁䅁䅁允䅁䅁䅯杉䅁䅁杷允䅁䅁䅍䅁䑁䅁䅷䅁䙁䅁䅁䥁摄䕣䈹权塂䅁䅁允䅁䅁䅅䅁䭁䙁䅑䅁䵁䅉䅅䅁䙁䅁䅁睁䅁䅁䅁权䅁䅁䅁权慁䅁䅁权䙁䅁䅁权䥁䅁䅁允䅁䅁䅅䅁䭁䅁䅫䅁䵁䅉䅅䅁䑁䅁䅁睁䵁䅁䅁兂䅁䅁䅁煺偨兑䅯杕䅁䅁䅅䅁䉁䅁䅁权捂䅁䅁䍄䉁䅁䅁睁䅁䅁䅍䅄䅁䅁䅕䅁䅁䕷摏䕕䭅䙁䅉䅁䉁䅁䅁允䅁䅁䅯兢䅁䅁杷允䅁䅁䅑䅁䑁䅁䅁䅁䭁䅁䅁䅁䭁䉁䄴䅁䭁䅁䅉䅁䉁䅁䅁允䅁䅁䅯䅉䅁䅁杷允䅁䅁䅑䅁䑁䅁䅁䅁䭁䅁䅁䅁䭁䕁䅧䅁䭁䅁䅉䅁䉁䅁䅁允䅁䅁䅯兓䅁䅁杷允䅁䅁䅍䅁䑁䅁䅷䅁䙁䅁䅁䥁摄䕣䈹权卂䅁䅁允䅁䅁䅅䅁䭁䝁䅣䅁䵁䅉䅅䅁䙁䅁䅁睁䅁䅁䅁权䅁䅁䅁权橁䅁䅁权䙁䅁䅁权䝁䅁䅁允䅁䅁䅅䅁䑁䩁剸睐䵁䅉䅅䅁䑁䅁䅁睁䵁䅁䅁兂䅁䅁䅃千剴兑䅯杕䅁䅁䅅䅁䉁䅁䅁权奂䅁䅁䍄䉁䅁䅁䅂䅁䅁䅍䅁䅁䅁䅯䅁䅁䅁䅯杌䅁䅁䅯杁䅁䅁䅅䅁䉁䅁䅁权癁䅁䅁䍄䉁䅁䅁兂䅁䅁䅍䅁䅁䅁䅯䅁䅁䅁䅯䅊䅁䅁䅯兂䅁䅁䅯䅃䅁䅁䅅䅁䉁䅁䅁权䩁䅁䅁䍄䉁䅁䅁睁䅁䅁䅍䅄䅁䅁䅯元䅁䅁䅯睖䅁䅁䅅䅁䉁䅁䅁权啂䅁䅁䍄䉁䅁䅁䅂䅁䅁䅍䅁䅁䅁䅯䅁䅁䅁䅯杊䅁䅁䅯杁䅁䅁䅅䅁䉁䅁䅁权湁䅁䅁䍄䉁䅁䅁睁䅁䅁䅍䅄䅁䅁䅕䅁䅁䑧橏䕕䭅䙁䅉䅁䉁䅁䅁允䅁䅁䅯䅗䅁䅁杷允䅁䅁䅑䅁䑁䅁䅁䅁䭁䅁䅁䅁䭁䍁䅧䅁䭁䅁䅉䅁䉁䅁䅁允䅁䅁䅯克䅁䅁杷允䅁䅁䅕䅁䑁䅁䅁䅁䭁䅁䅁䅁䭁䍁䅙䅁䭁䅁䅕䅁䭁䅁䅙䅁䉁䅁䅁允䅁䅁䅍⭵⭅䅁杷允䅁䅁䅍䅁䑁䅁䅷䅁䙁䅁䅁偁偋䬯䉂权兂䅁䅁允䅁䅁䅅䅁䭁䙁䅑䅁䵁䅉䅅䅁䕁䅁䅁睁䅁䅁䅁权䅁䅁䅁权煁䅁䅁权䍁䅁䅁允䅁䅁䅅䅁䭁䑁䅁䅁䵁䅉䅅䅁䙁䅁䅁睁䅁䅁䅁权䅁䅁䅁权流䅁䅁权䙁䅁䅁权䥁䅁䅁允䅁䅁䅅䅁䑁䕁敭村䵁䅉䅅䅁䙁䅁䅁睁䅁䅁䅁权䅁䅁䅁权桁䅁䅁权䙁䅁䅁权䝁䅁䅁允䅁䅁䅅䅁䑁䝁畍入䵁䅉䅅䅁䙁䅁䅁睁䅁䅁䅁权䅁䅁䅁权煁䅁䅁权䙁䅁䅁权䝁䅁䅁允䅁䅁䅅䅁䑁䑁㉰村䵁䅉䅅䅁䙁䅁䅁睁䅁䅁䅁权䅁䅁䅁权煁䅁䅁权䙁䅁䅁权䥁䅁䅁允䅁䅁䅅䅁䑁䱁䉶睗䵅䅉䅅䅁䑁䅁䅁睁䵁䅁䅁兂䅁䅁䅂橦扬兑䅯杖䅁䅁䅅䅁䉁䅁䅁权啂䅁䅁䍄䉁䅁䅁睁䅁䅁䅍䅄䅁䅁䅯元䅁䅁䅯兖䅁䅁䅅䅁䉁䅁䅁权啂䅁䅁䍄䉁䅁䅁䅂䅁䅁䅍䅁䅁䅁䅯䅁䅁䅁䅯充䅁䅁䅯杁䅁䅁䅅䅁䉁䅁䅁权ぁ䅁䅁䍄䉁䅁䅁䅂䅁䅁䅍䅁䅁䅁䅯䅁䅁䅁䅯睋䅁䅁䅯杁䅁䅁䅅䅁䉁䅁䅁权獁䅁䅁䍄䉁䅁䅁兂䅁䅁䅍䅁䅁䅁䅯䅁䅁䅁䅯光䅁䅁䅯兂䅁䅁䅯䅃䅁䅁䅅䅁䉁䅁䅁权䩁䅁䅁䍄䉁䅁䅁睁䅁䅁䅍䅄䅁䅁䅕䅁䅁䡧湶ご䭅䙁䅕䅁䉁䅁䅁允䅁䅁䅯䅖䅁䅁杷允䅁䅁䅕䅁䑁䅁䅁䅁䭁䅁䅁䅁䭁䍁䄰䅁䭁䅁䅕䅁䭁䅁䅙䅁䉁䅁䅁允䅁䅁䅍䙮⽅䅁杷允䅁䅁䅍䅁䑁䅁䅷䅁䙁䅁䅁䥁慁䙂䉎权噂䅁䅁允䅁䅁䅅䅁䭁䙁䅧䅁䵁䅉䅅䅁䙁䅁䅁睁䅁䅁䅁权䅁䅁䅁权奁䅁䅁权䙁䅁䅁权䥁䅁䅁允䅁䅁䅅䅁䭁䅁䅫䅁䵁䅉䅅䅁䙁䅁䅁睁䅁䅁䅁权䅁䅁䅁权畁䅁䅁权䙁䅁䅁权䝁䅁䅁允䅁䅁䅅䅁䑁䙁奅䅔䵁䅉䅅䅁䙁䅁䅁睁䅁䅁䅁权䅁䅁䅁权畁䅁䅁权䙁䅁䅁权䥁䅁䅁允䅁䅁䅅䅁䑁䱁瑂村䵁䅉䅅䅁䑁䅁䅁睁䵁䅁䅁兂䅁䅁䅃䰷剸兑䅯睖䅁䅁䅅䅁䉁䅁䅁权奂䅁䅁䍄䉁䅁䅁睁䅁䅁䅍䅄䅁䅁䅕䅁䅁䩑䵳さ䭅䙁䅣䅁䉁䅁䅁允䅁䅁䅯䅖䅁䅁杷允䅁䅁䅍䅁䑁䅁䅷䅁䙁䅁䅁䍁䡄䝂䉒权坂䅁䅁允䅁䅁䅅䅁䭁䙁䅯䅁䵁䅉䅅䅁䕁䅁䅁睁䅁䅁䅁权䅁䅁䅁权汁䅁䅁权䍁䅁䅁允䅁䅁䅅䅁䭁䑁䅅䅁䵁䅉䅅䅁䕁䅁䅁睁䅁䅁䅁权䅁䅁䅁权䱂䅁䅁权䍁䅁䅁允䅁䅁䅅䅁䭁䕁䅷䅁䵁䅉䅅䅁䑁䅁䅁睁䵁䅁䅁兂䅁䅁䅂橦扬兑䅯杕䅁䅁䅅䅁䉁䅁䅁权潂䅁䅁䍄䉁䅁䅁䅂䅁䅁䅍䅁䅁䅁䅯䅁䅁䅁䅯杍䅁䅁䅯杁䅁䅁䅅䅁䉁䅁䅁权穁䅁䅁䍄䉁䅁䅁䅂䅁䅁䅍䅁䅁䅁䅯䅁䅁䅁䅯睐䅁䅁䅯杁䅁䅁䅅䅁䉁䅁䅁权䅂䅁䅁䍄䉁䅁䅁兂䅁䅁䅍䅁䅁䅁䅯䅁䅁䅁䅯兌䅁䅁䅯兂䅁䅁䅯䅃䅁䅁䅅䅁䉁䅁䅁权䩁䅁䅁䍄䉁䅁䅁兂䅁䅁䅍䅁䅁䅁䅯䅁䅁䅁䅯充䅁䅁䅯兂䅁䅁䅯䅃䅁䅁䅅䅁䉁䅁䅁权䩁䅁䅁䍄䉁䅁䅁睁䅁䅁䅍䅄䅁䅁䅕䅁䅁䕧挫䕕䭅䙁䅕䅁䉁䅁䅁允䅁䅁䅯䅖䅁䅁杷允䅁䅁䅕䅁䑁䅁䅁䅁䭁䅁䅁䅁䭁䉁䅑䅁䭁䅁䅕䅁䭁䅁䅙䅁䉁䅁䅁允䅁䅁䅍潺䍸䅁杷允䅁䅁䅕䅁䑁䅁䅁䅁䭁䅁䅁䅁䭁䉁䄰䅁䭁䅁䅕䅁䭁䅁䅙䅁䉁䅁䅁允䅁䅁䅍浴䍬䅁杷允䅁䅁䅑䅁䑁䅁䅁䅁䭁䅁䅁䅁䭁䍁䄰䅁䭁䅁䅉䅁䉁䅁䅁允䅁䅁䅯兎䅁䅁杷允䅁䅁䅍䅁䑁䅁䅷䅁䙁䅁䅁䥁偂䙮䉂权兂䅁䅁允䅁䅁䅅䅁䭁䙁䅑䅁䵁䅉䅅䅁䕁䅁䅁睁䅁䅁䅁权䅁䅁䅁权坁䅁䅁权䍁䅁䅁允䅁䅁䅅䅁䭁䑁䅙䅁䵁䅉䅅䅁䙁䅁䅁睁䅁䅁䅁权䅁䅁䅁权佂䅁䅁权䙁䅁䅁权䥁䅁䅁允䅁䅁䅅䅁䑁䕁敭村䵁䅉䅅䅁䙁䅁䅁睁䅁䅁䅁权䅁䅁䅁权牁䅁䅁权䙁䅁䅁权䝁䅁䅁允䅁䅁䅅䅁䑁䍁晬村䵁䅉䅅䅁䙁䅁䅁睁䅁䅁䅁权䅁䅁䅁权牁䅁䅁权䙁䅁䅁权䥁䅁䅁允䅁䅁䅅䅁䭁䅁䅫䅁䵁䅉䅅䅁䕁䅁䅁睁䅁䅁䅁权䅁䅁䅁权㍁䅁䅁权䍁䅁䅁允䅁䅁䅅䅁䭁䑁䅧䅁䵁䅉䅅䅁䑁䅁䅁睁䵁䅁䅁兂䅁䅁䅃婹典兑䅯䅕䅁䅁䅅䅁䉁䅁䅁权啂䅁䅁䍄䉁䅁䅁兂䅁䅁䅍䅁䅁䅁䅯䅁䅁䅁䅯睎䅁䅁䅯兂䅁䅁䅯杂䅁䅁䅅䅁䉁䅁䅁睁獄䕭䅉䍄䉁䅁䅁睁䅁䅁䅍䅄䅁䅁䅕䅁䅁䡧湶ご䭅䙁䅉䅁䉁䅁䅁允䅁䅁䅯睕䅁䅁杷允䅁䅁䅑䅁䑁䅁䅁䅁䭁䅁䅁䅁䭁䑁䅯䅁䭁䅁䅉䅁䉁䅁䅁允䅁䅁䅯睏䅁䅁杷允䅁䅁䅍䅁䑁䅁䅷䅁䙁䅁䅁䕁䅃噮䉂权噂䅁䅁允䅁䅁䅅䅁䭁䙁䅑䅁䵁䅉䅅䅁䑁䅁䅁睁䵁䅁䅁兂䅁䅁杁睸歒兑䅯睖䅁䅁䅅䅁䉁䅁䅁权奂䅁䅁䍄䉁䅁䅁兂䅁䅁䅍䅁䅁䅁䅯䅁䅁䅁䅯杏䅁䅁䅯兂䅁䅁䅯杂䅁䅁䅅䅁䉁䅁䅁睁瑂歍䅷䍄䉁䅁䅁睁䅁䅁䅍䅄䅁䅁䅕䅁䅁䝁批䕕䭅䙁䅕䅁䉁䅁䅁允䅁䅁䅯䅖䅁䅁杷允䅁䅁䅕䅁䑁䅁䅁䅁䭁䅁䅁䅁䭁䑁䅯䅁䭁䅁䅕䅁䭁䅁䅧䅁䉁䅁䅁允䅁䅁䅯元䅁䅁杷允䅁䅁䅍䅁䑁䅁䅷䅁䙁䅁䅁䕁䅃噮䉂权坂䅁䅁允䅁䅁䅅䅁䭁䙁䅑䅁䵁䅉䅅䅁䙁䅁䅁睁䅁䅁䅁权䅁䅁䅁权祁䅁䅁权䙁䅁䅁权䝁䅁䅁允䅁䅁䅅䅁䑁䱁塯村䵁䅉䅅䅁䙁䅁䅁睁䅁䅁䅁权䅁䅁䅁权祁䅁䅁权䙁䅁䅁权䥁䅁䅁允䅁䅁䅅䅁䑁䵁䴶村䵁䅉䅅䅁䕁䅁䅁睁䅁䅁䅁权䅁䅁䅁权㕁䅁䅁权䍁䅁䅁允䅁䅁䅅䅁䭁䑁䅷䅁䵁䅉䅅䅁䙁䅁䅁睁䅁䅁䅁权䅁䅁䅁权㕁䅁䅁权䙁䅁䅁权䥁䅁䅁允䅁䅁䅅䅁䑁䉁奒杤䵁䅉䅅䅁䕁䅁䅁睁䅁䅁䅁权䅁䅁䅁权㥁䅁䅁权䍁䅁䅁允䅁䅁䅅䅁䭁䑁䄴䅁䵁䅉䅅䅁䑁䅁䅁睁䵁䅁䅁兂䅁䅁䅃灪儱兑䅯睖䅁䅁䅅䅁䉁䅁䅁权啂䅁䅁䍄䉁䅁䅁兂䅁䅁䅍䅁䅁䅁䅯䅁䅁䅁䅯兑䅁䅁䅯兂䅁䅁䅯杂䅁䅁䅅䅁䉁䅁䅁睁㙁此䅉䍄䉁䅁䅁睁䅁䅁䅍䅄䅁䅁䅯元䅁䅁䅯䅕䅁䅁䅅䅁䉁䅁䅁权啂䅁䅁䍄䉁䅁䅁兂䅁䅁䅍䅁䅁䅁䅯䅁䅁䅁䅯睐䅁䅁䅯兂䅁䅁䅯杂䅁䅁䅅䅁䉁䅁䅁睁㉁歭䅁䍄䉁䅁䅁兂䅁䅁䅍䅁䅁䅁䅯䅁䅁䅁䅯睐䅁䅁䅯兂䅁䅁䅯䅃䅁䅁䅅䅁䉁䅁䅁权䩁䅁䅁䍄䉁䅁䅁䅂䅁䅁䅍䅁䅁䅁䅯䅁䅁䅁䅯䅈䅁䅁䅯杁䅁䅁䅅䅁䉁䅁䅁权䍂䅁䅁䍄䉁䅁䅁兂䅁䅁䅍䅁䅁䅁䅯䅁䅁䅁䅯睑䅁䅁䅯兂䅁䅁䅯䅃䅁䅁䅅䅁䉁䅁䅁权䩁䅁䅁䍄䉁䅁䅁兂䅁䅁䅍䅁䅁䅁䅯䅁䅁䅁䅯䅈䅁䅁䅯兂䅁䅁䅯杂䅁䅁䅅䅁䉁䅁䅁睁⭁啣䅉䍄䉁䅁䅁兂䅁䅁䅍䅁䅁䅁䅯䅁䅁䅁䅯䅋䅁䅁䅯兂䅁䅁䅯杂䅁䅁䅅䅁䉁䅁䅁睁㝃吴䄴䍄䉁䅁䅁兂䅁䅁䅍䅁䅁䅁䅯䅁䅁䅁䅯䅋䅁䅁䅯兂䅁䅁䅯䅃䅁䅁䅅䅁䉁䅁䅁权䩁䅁䅁䍄䉁䅁䅁䅂䅁䅁䅍䅁䅁䅁䅯䅁䅁䅁䅯兒䅁䅁䅯杁䅁䅁䅅䅁䉁䅁䅁权ㅁ䅁䅁䍄䉁䅁䅁兂䅁䅁䅍䅁䅁䅁䅯䅁䅁䅁䅯兒䅁䅁䅯兂䅁䅁䅯杂䅁䅁䅅䅁䉁䅁䅁睁捃呕䄸䍄䉁䅁䅁兂䅁䅁䅍䅁䅁䅁䅯䅁䅁䅁䅯兒䅁䅁䅯兂䅁䅁䅯䅃䅁䅁䅅䅁䉁䅁䅁权䩁䅁䅁䍄䉁䅁䅁䅂䅁䅁䅍䅁䅁䅁䅯䅁䅁䅁䅯杒䅁䅁䅯杁䅁䅁䅅䅁䉁䅁䅁权ㅁ䅁䅁䍄䉁䅁䅁兂䅁䅁䅍䅁䅁䅁䅯䅁䅁䅁䅯杒䅁䅁䅯兂䅁䅁䅯杂䅁䅁䅅䅁䉁䅁䅁睁捃呕䄸䍄䉁䅁䅁兂䅁䅁䅍䅁䅁䅁䅯䅁䅁䅁䅯杒䅁䅁䅯兂䅁䅁䅯䅃䅁䅁䅅䅁䉁䅁䅁权䩁䅁䅁䍄䉁䅁䅁䅂䅁䅁䅍䅁䅁䅁䅯䅁䅁䅁䅯睒䅁䅁䅯杁䅁䅁䅅䅁䉁䅁䅁权灁䅁䅁䍄䉁䅁䅁睁䅁䅁䅍䅄䅁䅁䅕䅁䅁䵧捭䕕䭅䙁䅕䅁䉁䅁䅁允䅁䅁䅯䅖䅁䅁杷允䅁䅁䅕䅁䑁䅁䅁䅁䭁䅁䅁䅁䭁䕁䅣䅁䭁䅁䅕䅁䭁䅁䅙䅁䉁䅁䅁允䅁䅁䅍⭵⭅䅁杷允䅁䅁䅍䅁䑁䅁䅷䅁䙁䅁䅁䅁獂ㅭ䉂权坂䅁䅁允䅁䅁䅅䅁䭁䙁䅑䅁䵁䅉䅅䅁䑁䅁䅁睁䵁䅁䅁兂䅁䅁䅃灪儱兑䅯杕䅁䅁䅅䅁䉁䅁䅁权奂䅁䅁䍄䉁䅁䅁兂䅁䅁䅍䅁䅁䅁䅯䅁䅁䅁䅯睒䅁䅁䅯兂䅁䅁䅯䅃䅁䅁䅅䅁䉁䅁䅁权䩁䅁䅁䍄䉁䅁䅁睁䅁䅁䅍䅄䅁䅁䅕䅁䅁䉑䝑さ䭅䙁䅙䅁䉁䅁䅁允䅁䅁䅯䅖䅁䅁杷允䅁䅁䅕䅁䑁䅁䅁䅁䭁䅁䅁䅁䭁䕁䅧䅁䭁䅁䅕䅁䭁䅁䅙䅁䉁䅁䅁允䅁䅁䅍湏䍚䅁杷允䅁䅁䅍䅁䑁䅁䅷䅁䙁䅁䅁偁偋䬯䉂权噂䅁䅁允䅁䅁䅅䅁䭁䙁䅑䅁䵁䅉䅅䅁䙁䅁䅁睁䅁䅁䅁权䅁䅁䅁权䥂䅁䅁权䙁䅁䅁权䥁䅁䅁允䅁䅁䅅䅁䭁䅁䅫䅁䵁䅉䅅䅁䙁䅁䅁睁䅁䅁䅁权䅁䅁䅁权㥁䅁䅁权䙁䅁䅁权䝁䅁䅁允䅁䅁䅅䅁䑁䱁桶材䵁䅉䅅䅁䑁䅁䅁睁䵁䅁䅁权䩁䅁䅁权坂䅁䅁允䅁䅁䅅䅁䭁䙁䅑䅁䵁䅉䅅䅁䙁䅁䅁睁䅁䅁䅁权䅁䅁䅁权㥁䅁䅁权䙁䅁䅁权䥁䅁䅁允䅁䅁䅅䅁䑁䱁灚村䵁䅉䅅䅁䑁䅁䅁睁䵁䅁䅁兂䅁䅁䅃㡰公兑䅯杖䅁䅁䅅䅁䉁䅁䅁权啂䅁䅁䍄䉁䅁䅁䅂䅁䅁䅍䅁䅁䅁䅯䅁䅁䅁䅯兑䅁䅁䅯杁䅁䅁䅅䅁䉁䅁䅁权䭂䅁䅁䍄䉁䅁䅁兂䅁䅁䅍䅁䅁䅁䅯䅁䅁䅁䅯兑䅁䅁䅯兂䅁䅁䅯䅃䅁䅁䅅䅁䉁䅁䅁睁敃歊䅍䍄䉁䅁䅁兂䅁䅁䅍䅁䅁䅁䅯䅁䅁䅁䅯睓䅁䅁䅯兂䅁䅁䅯杂䅁䅁䅅䅁䉁䅁䅁睁煂䕅䅷䍄䉁䅁䅁兂䅁䅁䅍䅁䅁䅁䅯䅁䅁䅁䅯睓䅁䅁䅯兂䅁䅁䅯䅃䅁䅁䅅䅁䉁䅁䅁睁敃歊䅍䍄䉁䅁䅁䅂䅁䅁䅍䅁䅁䅁䅯䅁䅁䅁䅯睑䅁䅁䅯杁䅁䅁䅅䅁䉁䅁䅁权乂䅁䅁䍄䉁䅁䅁兂䅁䅁䅍䅁䅁䅁䅯䅁䅁䅁䅯睑䅁䅁䅯兂䅁䅁䅯杂䅁䅁䅅䅁䉁䅁䅁睁流䕲䅑䍄䉁䅁䅁䅂䅁䅁䅍䅁䅁䅁䅯䅁䅁䅁䅯杔䅁䅁䅯杁䅁䅁䅅䅁䉁䅁䅁权偂䅁䅁䍄䉁䅁䅁睁䅁䅁䅍䅄䅁䅁䅕䅁䅁佧䘶䕕䭅䙁䅁䅁䉁䅁䅁允䅁䅁䅯兕䅁䅁杷允䅁䅁䅍䅁䑁䅁䅷䅁䙁䅁䅁䅁獂ㅭ䉂权卂䅁䅁允䅁䅁䅅䅁䭁䙁䅧䅁䵁䅉䅅䅁䑁䅁䅁睁䵁䅁䅁兂䅁䅁䅄䩭兴兑䅯杕䅁䅁䅅䅁䉁䅁䅁权呂䅁䅁䍄䉁䅁䅁睁䅁䅁䅍䅄䅁䅁䅕䅁䅁䉑㉳啕䭅䙁䅙䅁䉁䅁䅁允䅁䅁䅯䅖䅁䅁杷允䅁䅁䅍䅁䑁䅁䅷䅁䙁䅁䅁䅁慁歷䈹权塂䅁䅁允䅁䅁䅅䅁䭁䙁䅑䅁䵁䅉䅅䅁䑁䅁䅁睁䵁䅁䅁兂䅁䅁䅂灹兤兑䅯睖䅁䅁䅅䅁䉁䅁䅁权啂䅁䅁䍄䉁䅁䅁睁䅁䅁䅍䅄䅁䅁䅕䅁䅁䵁漶ご䭅䙁䅁䅁䉁䅁䅁允䅁䅁䅯䅖䅁䅁杷允䅁䅁䅍䅁䑁䅁䅷䅁䙁䅁䅁䵁奃ㅭ䉂权兂䅁䅁允䅁䅁䅅䅁䭁䙁䅑䅁䵁䅉䅅䅁䑁䅁䅁睁䵁䅁䅁兂䅁䅁䅃婢兰兑䅯䅕䅁䅁䅅䅁䉁䅁䅁权啂䅁䅁䍄䉁䅁䅁睁䅁䅁䅍䅄䅁䅁䅕䅁䅁佧䘶䕕䭅䙁䅉䅁䉁䅁䅁允䅁䅁䅯䅗䅁䅁杷允䅁䅁䅍䅁䑁䅁䅷䅁䙁䅁䅁䍁䡄䝂䉒权兂䅁䅁允䅁䅁䅅䅁䭁䝁䅑䅁䵁䅉䅅䅁䑁䅁䅁睁䵁䅁䅁兂䅁䅁䅃㡰公兑䅯䅕䅁䅁䅅䅁䉁䅁䅁权啂䅁䅁䍄䉁䅁䅁睁䅁䅁䅍䅄䅁䅁䅕䅁䅁䭧䩦䕕䭅䙁䅕䅁䉁䅁䅁允䅁䅁䅯䅖䅁䅁杷允䅁䅁䅍䅁䑁䅁䅷䅁䙁䅁䅁䥁䩁ㅋ䉆权噂䅁䅁允䅁䅁䅅䅁䭁䙁䅑䅁䵁䅉䅅䅁䑁䅁䅁睁䵁䅁䅁兂䅁䅁䅃䰷剸兑䅯杖䅁䅁䅅䅁䉁䅁䅁权求䅁䅁䍄䉁䅁䅁睁䅁䅁䅍䅄䅁䅁䅕䅁䅁䵑塱䕕䭅䙁䅁䅁䉁䅁䅁允䅁䅁䅯䅖䅁䅁杷允䅁䅁䅍䅁䑁䅁䅷䅁䙁䅁䅁䥁慁䙂䉎权卂䅁䅁允䅁䅁䅅䅁䭁䙁䅧䅁䵁䅉䅅䅁䑁䅁䅁睁䵁䅁䅁兂䅁䅁䅂穂扸兑䅯杕䅁䅁䅅䅁䉁䅁䅁权婂䅁䅁䍄䉁䅁䅁睁䅁䅁䅍䅄䅁䅁䅕䅁䅁䉑㉳啕䭅䙁䅉䅁䉁䅁䅁允䅁䅁䅯䅗䅁䅁杷允䅁䅁䅍䅁䑁䅁䅷䅁䙁䅁䅁䥁獄䙶䉆权噂䅁䅁允䅁䅁䅅䅁䭁䙁䅧䅁䵁䅉䅅䅁䑁䅁䅁睁䵁䅁䅁兂䅁䅁䅃杇呒兑䅯杖䅁䅁䅅䅁䉁䅁䅁权慂䅁䅁䍄䉁䅁䅁睁䅁䅁䅍䅄䅁䅁䅕䅁䅁䉧䕯さ䭅䙁䅣䅁䉁䅁䅁允䅁䅁䅯䅗䅁䅁杷允䅁䅁䅍䅁䑁䅁䅷䅁䙁䅁䅁䅁獂ㅭ䉂权塂䅁䅁允䅁䅁䅅䅁䭁䙁䅑䅁䵁䅉䅅䅁䑁䅁䅁睁䵁䅁䅁兂䅁䅁䅄㕑儱兑䅯兖䅁䅁䅅䅁䉁䅁䅁权啂䅁䅁䍄䉁䅁䅁睁䅁䅁䅍䅄䅁䅁䅕䅁䅁䉁䍲ご䭅䙁䅁䅁䉁䅁䅁允䅁䅁䅯䅖䅁䅁杷允䅁䅁䅍䅁䑁䅁䅷䅁䙁䅁䅁䥁乃汊䉂权兂䅁䅁允䅁䅁䅅䅁䭁䙁䅑䅁䵁䅉䅅䅁䑁䅁䅁睁䵁䅁䅁兂䅁䅁䅃䩪兴兑䅯杖䅁䅁䅅䅁䉁䅁䅁权啂䅁䅁䍄䉁䅁䅁睁䅁䅁䅍䅄䅁䅁䅕䅁䅁䉧䕯さ䭅䙁䅁䅁䉁䅁䅁允䅁䅁䅯睗䅁䅁杷允䅁䅁䅍䅁䑁䅁䅷䅁䙁䅁䅁䥁乃汊䉂权塂䅁䅁允䅁䅁䅅䅁䭁䙁䅑䅁䵁䅉䅅䅁䑁䅁䅁睁䵁䅁䅁兂䅁䅁䅃千剴兑䅯杖䅁䅁䅅䅁䉁䅁䅁权啂䅁䅁䍄䉁䅁䅁睁䅁䅁䅍䅄䅁䅁䅕䅁䅁䅁块啘䭅䙁䅣䅁䉁䅁䅁允䅁䅁䅯䅖䅁䅁杷允䅁䅁䅍䅁䑁䅁䅷䅁䙁䅁䅁䥁摄䕣䈹权噂䅁䅁允䅁䅁䅅䅁䭁䙁䅑䅁䵁䅉䅅䅁䑁䅁䅁睁䵁䅁䅁兂䅁䅁䅃千剴兑䅯䅕䅁䅁䅅䅁䉁䅁䅁权啂䅁䅁䍄䉁䅁䅁睁䅁䅁䅍䅄䅁䅁䅕䅁䅁䉳㡵啤䭅䙁䅣䅁䉁䅁䅁允䅁䅁䅯䅖䅁䅁杷允䅁䅁䅍䅁䑁䅁䅷䅁䙁䅁䅁䕁千ㅰ䉂权塂䅁䅁允䅁䅁䅅䅁䭁䙁䅧䅁䵁䅉䅅䅁䑁䅁䅁睁䵁䅁䅁兂䅁䅁䅁煺偨兑䅯兖䅁䅁䅅䅁䉁䅁䅁权啂䅁䅁䍄䉁䅁䅁睁䅁䅁䅍䅄䅁䅁䅕䅁䅁䅑㡣し䭅䙁䅕䅁䉁䅁䅁允䅁䅁䅯䅖䅁䅁杷允䅁䅁䅍䅁䑁䅁䅷䅁䙁䅁䅁䥁㝂〵䈹权坂䅁䅁允䅁䅁䅅䅁䭁䙁䅑䅁䵁䅉䅅䅁䑁䅁䅁睁䵁䅁䅁兂䅁䅁䅁䩢兴兑䅯䅕䅁䅁䅅䅁䉁䅁䅁权啂䅁䅁䍄䉁䅁䅁睁䅁䅁䅍䅄䅁䅁䅕䅁䅁䅑㡣し䭅䙁䅣䅁䉁䅁䅁允䅁䅁䅯䅖䅁䅁杷允䅁䅁䅍䅁䑁䅁䅷䅁䙁䅁䅁䕁䡁䙐䉴权坂䅁䅁允䅁䅁䅅䅁䭁䙁䅑䅁䵁䅉䅅䅁䑁䅁䅁睁䵁䅁䅁兂䅁䅁䅂煫兤兑䅯䅕䅁䅁䅅䅁䉁䅁䅁权摂䅁䅁䍄䉁䅁䅁睁䅁䅁䅍䅄䅁䅁䅕䅁䅁䙷䭅さ䭅䙁䅁䅁䉁䅁䅁允䅁䅁䅯䅖䅁䅁杷允䅁䅁䅍䅁䑁䅁䅷䅁䙁䅁䅁䍁䡄䝂䉒权噂䅁䅁允䅁䅁䅅䅁䭁䙁䅧䅁䵁䅉䅅䅁䑁䅁䅁睁䵁䅁䅁兂䅁䅁睃㝇ㅸ兑䅯兖䅁䅁䅅䅁䉁䅁䅁权啂䅁䅁䍄䉁䅁䅁睁䅁䅁䅍䅄䅁䅁䅕䅁䅁䥧洰䕕䭅䙁䅉䅁䉁䅁䅁允䅁䅁䅯杘䅁䅁杷允䅁䅁䅍䅁䑁䅁䅷䅁䭁䅁䅫䅁䭁䙁䅉䅁䉁䅁䅁允䅁䅁䅯䅗䅁䅁杷允䅁䅁䅍䅁䑁䅁䅷䅁䙁䅁䅁䅁佄䕱䈹权坂䅁䅁允䅁䅁䅅䅁䭁䙁䅑䅁䵁䅉䅅䅁䑁䅁䅁睁䵁䅁䅁兂䅁䅁䅄䕭整兑䅯䅕䅁䅁䅅䅁䉁䅁䅁权啂䅁䅁䍄䉁䅁䅁睁䅁䅁䅍䅄䅁䅁䅕䅁䅁䥑摃䕕䭅䙁䅣䅁䉁䅁䅁允䅁䅁䅯䅖䅁䅁杷允䅁䅁䅍䅁䑁䅁䅷䅁䙁䅁䅁䵁剂汃䉎权噂䅁䅁允䅁䅁䅅䅁䭁䙁䅑䅁䵁䅉䅅䅁䑁䅁䅁睁䵁䅁䅁兂䅁䅁䅂煫兤兑䅯杕䅁䅁䅅䅁䉁䅁䅁权奂䅁䅁䍄䉁䅁䅁睁䅁䅁䅍䅄䅁䅁䅕䅁䅁䙷䭅さ䭅䙁䅙䅁䉁䅁䅁允䅁䅁䅯䅖䅁䅁杷允䅁䅁䅍䅁䑁䅁䅷䅁䙁䅁䅁䕁啁求䉎权兂䅁䅁允䅁䅁䅅䅁䭁䙁䅑䅁䵁䅉䅅䅁䑁䅁䅁睁䵁䅁䅁兂䅁䅁䅁穤剴兑䅯睖䅁䅁䅅䅁䉁䅁䅁权啂䅁䅁䍄䉁䅁䅁睁䅁䅁䅍䅄䅁䅁䅕䅁䅁乷婱䕕䭅䙁䅕䅁䉁䅁䅁允䅁䅁䅯䅖䅁䅁杷允䅁䅁䅍䅁䑁䅁䅷䅁䙁䅁䅁䥁偂䙮䉂权塂䅁䅁允䅁䅁䅅䅁䭁䙁䅑䅁䵁䅉䅅䅁䑁䅁䅁睁䵁䅁䅁兂䅁䅁杁睸歒兑䅯杕䅁䅁䅅䅁䉁䅁䅁权時䅁䅁䍄䉁䅁䅁睁䅁䅁䅍䅄䅁䅁䅕䅁䅁佧㡹啕䭅䙁䅉䅁䉁䅁䅁允䅁䅁䅯䅗䅁䅁杷允䅁䅁䅍䅁䑁䅁䅷䅁䙁䅁䅁䥁卒㕏䉬权卂䅁䅁允䅁䅁䅅䅁䭁䝁䅷䅁䵁䅉䅅䅁䑁䅁䅁睁䵁䅁䅁兂䅁䅁䅃卪党兑䅯杖䅁䅁䅅䅁䉁䅁䅁权啂䅁䅁䍄䉁䅁䅁睁䅁䅁䅍䅄䅁䅁䅕䅁䅁䙨㝉啭䭅䙁䅣䅁䉁䅁䅁允䅁䅁䅯䅗䅁䅁杷允䅁䅁䅍䅁䑁䅁䅷䅁䙁䅁䅁䅁慁歷䈹权卂䅁䅁允䅁䅁䅅䅁䭁䝁䅁䅁䵁䅉䅅䅁䑁䅁䅁睁䵁䅁䅁兂䅁䅁䅃䩪兴兑䅯杕䅁䅁䅅䅁䉁䅁䅁权奂䅁䅁䍄䉁䅁䅁睁䅁䅁䅍䅄䅁䅁䅕䅁䅁䩷扩䕕䭅䙁䅕䅁䉁䅁䅁允䅁䅁䅯䅖䅁䅁杷允䅁䅁䅍䅁䑁䅁䅷䅁䙁䅁䅁䕁扁汎䉆权噂䅁䅁允䅁䅁䅅䅁䭁䙁䅑䅁䵁䅉䅅䅁䑁䅁䅁睁䵁䅁䅁兂䅁䅁䅃㙍兎兑䅯睖䅁䅁䅅䅁䉁䅁䅁权啂䅁䅁䍄䉁䅁䅁睁䅁䅁䅍䅄䅁䅁䅕䅁䅁䡉䅘す䭅䙁䅙䅁䉁䅁䅁允䅁䅁䅯兙䅁䅁杷允䅁䅁䅍䅁䑁䅁䅷䅁䙁䅁䅁䅁䙁汬䈱权卂䅁䅁允䅁䅁䅅䅁䭁䙁䅧䅁䵁䅉䅅䅁䑁䅁䅁睁䵁䅁䅁兂䅁䅁祄⽪杹兑䅯睖䅁䅁䅅䅁䉁䅁䅁权啂䅁䅁䍄䉁䅁䅁睁䅁䅁䅍䅄䅁䅁䅕䅁䅁䉁奏䕕䭅䙁䅕䅁䉁䅁䅁允䅁䅁䅯䅖䅁䅁杷允䅁䅁䅍䅁䑁䅁䅷䅁䙁䅁䅁䱁扁䡶䉖权卂䅁䅁允䅁䅁䅅䅁䭁䙁䅧䅁䵁䅉䅅䅁䑁䅁䅁睁䵁䅁䅁兂䅁䅁䅃㕔典兑䅯杕䅁䅁䅅䅁䉁䅁䅁权楂䅁䅁䍄䉁䅁䅁睁䅁䅁䅍䅄䅁䅁䅕䅁䅁䡧湶ご䭅䙁䅣䅁䉁䅁䅁允䅁䅁䅯䅖䅁䅁杷允䅁䅁䅍䅁䑁䅁䅷䅁䙁䅁䅁䥁瑂汭䉂权塂䅁䅁允䅁䅁䅅䅁䭁䙁䅑䅁䵁䅉䅅䅁䑁䅁䅁睁䵁䅁䅁兂䅁䅁䅃㙍兎兑䅯杖䅁䅁䅅䅁䉁䅁䅁权啂䅁䅁䍄䉁䅁䅁睁䅁䅁䅍䅄䅁䅁䅕䅁䅁䩑䵳さ䭅䙁䅙䅁䉁䅁䅁允䅁䅁䅯䅖䅁䅁杷允䅁䅁䅍䅁䑁䅁䅷䅁䙁䅁䅁䅁䙁汬䈱权噂䅁䅁允䅁䅁䅅䅁䭁䙁䅑䅁䵁䅉䅅䅁䑁䅁䅁睁䵁䅁䅁兂䅁䅁䅁煺偨兑䅯睖䅁䅁䅅䅁䉁䅁䅁权啂䅁䅁䍄䉁䅁䅁睁䅁䅁䅍䅄䅁䅁䅕䅁䅁䥧搶䕕䭅䙁䅁䅁䉁䅁䅁允䅁䅁䅯䅖䅁䅁杷允䅁䅁䅍䅁䑁䅁䅷䅁䙁䅁䅁䅁㍂ㅏ䉆权兂䅁䅁允䅁䅁䅅䅁䭁䙁䅑䅁䵁䅉䅅䅁䑁䅁䅁睁䵁䅁䅁兂䅁䅁䅃漷兖兑䅯杖䅁䅁䅅䅁䉁䅁䅁权剂䅁䅁䍄䉁䅁䅁睁䅁䅁䅍䅄䅁䅁䅕䅁䅁䕷摏䕕䭅䙁䅁䅁䉁䅁䅁允䅁䅁䅯䅖䅁䅁杷允䅁䅁䅍䅁䑁䅁䅷䅁䙁䅁䅁䕁䅃噮䉂权卂䅁䅁允䅁䅁䅅䅁䭁䙁䅍䅁䵁䅉䅅䅁䑁䅁䅁睁䵁䅁䅁兂䅁䅁䅃䩪兴兑䅯睖䅁䅁䅅䅁䉁䅁䅁权啂䅁䅁䍄䉁䅁䅁睁䅁䅁䅍䅄䅁䅁䅕䅁䅁䩷䱨歘䭅䙁䅉䅁䉁䅁䅁允䅁䅁䅯睙䅁䅁杷允䅁䅁䅍䅁䑁䅁䅷䅁䙁䅁䅁䥁佃噮䉂权噂䅁䅁允䅁䅁䅅䅁䭁䙁䅑䅁䵁䅉䅅䅁䑁䅁䅁睁䵁䅁䅁兂䅁䅁䅃漷兖兑䅯兖䅁䅁䅅䅁䉁䅁䅁权奂䅁䅁䍄䉁䅁䅁睁䅁䅁䅍䅄䅁䅁䅕䅁䅁䉑䝑さ䭅䙁䅉䅁䉁䅁䅁允䅁䅁䅯䅗䅁䅁杷允䅁䅁䅍䅁䑁䅁䅷䅁䙁䅁䅁䕁䅃噮䉂权兂䅁䅁允䅁䅁䅅䅁䭁䙁䅑䅁䵁䅉䅅䅁䑁䅁䅁睁䵁䅁䅁兂䅁䅁䅄兕呰兑䅯睖䅁䅁䅅䅁䉁䅁䅁权啂䅁䅁䍄䉁䅁䅁睁䅁䅁䅍䅄䅁䅁䅕䅁䅁䥧搶䕕䭅䙁䅙䅁䉁䅁䅁允䅁䅁䅯䅖䅁䅁杷允䅁䅁䅍䅁䑁䅁䅷䅁䙁䅁䅁䥁獄䙶䉆权兂䅁䅁允䅁䅁䅅䅁䭁䝁䅕䅁䵁䅉䅅䅁䑁䅁䅁睁䵁䅁䅁兂䅁䅁䅂穇剚兑䅯䅕䅁䅁䅅䅁䉁䅁䅁权啂䅁䅁䍄䉁䅁䅁睁䅁䅁䅍䅄䅁䅁䅕䅁䅁䉁奏䕕䭅䙁䅉䅁䉁䅁䅁允䅁䅁䅯杚䅁䅁杷允䅁䅁䅍䅁䑁䅁䅷䅁䙁䅁䅁䅁呁䙭䉂权塂䅁䅁允䅁䅁䅅䅁䭁䙁䅑䅁䵁䅉䅅䅁䑁䅁䅁睁䵁䅁䅁兂䅁䅁䅁婂摚兑䅯杖䅁䅁䅅䅁䉁䅁䅁权啂䅁䅁䍄䉁䅁䅁睁䅁䅁䅍䅄䅁䅁䅕䅁䅁䩷扩䕕䭅䙁䅙䅁䉁䅁䅁允䅁䅁䅯䅖䅁䅁杷允䅁䅁䅍䅁䑁䅁䅷䅁䙁䅁䅁䕁千ㅰ䉂权噂䅁䅁允䅁䅁䅅䅁䭁䙁䅧䅁䵁䅉䅅䅁䑁䅁䅁睁䵁䅁䅁兂䅁䅁䅃堳偂兑䅯䅕䅁䅁䅅䅁䉁䅁䅁权啂䅁䅁䍄䉁䅁䅁睁䅁䅁䅍䅄䅁䅁䅕䅁䅁乷婱䕕䭅䙁䅉䅁䉁䅁䅁允䅁䅁䅯睕䅁䅁杷允䅁䅁䅍䅁䑁䅁䅷䅁䙁䅁䅁䕁扃䙄䉎权噂䅁䅁允䅁䅁䅅䅁䭁䙁䅑䅁䵁䅉䅅䅁䑁䅁䅁睁䵁䅁䅁兂䅁䅁䅁㙏党兑䅯杕䅁䅁䅅䅁䉁䅁䅁权呂䅁䅁䍄䉁䅁䅁睁䅁䅁䅍䅄䅁䅁䅕䅁䅁乷婱䕕䭅䙁䅁䅁䉁䅁䅁允䅁䅁䅯䅖䅁䅁杷允䅁䅁䅍䅁䑁䅁䅷䅁䙁䅁䅁䵁䑂噮䉂权坂䅁䅁允䅁䅁䅅䅁䭁䙁䅑䅁䵁䅉䅅䅁䑁䅁䅁睁䵁䅁䅁兂䅁䅁䅃㡰公兑䅯杕䅁䅁䅅䅁䉁䅁䅁权湂䅁䅁䍄䉁䅁䅁睁䅁䅁䅍䅄䅁䅁䅕䅁䅁䵑塱䕕䭅䙁䅙䅁䉁䅁䅁允䅁䅁䅯䅖䅁䅁杷允䅁䅁䅍䅁䑁䅁䅷䅁䙁䅁䅁䵁奃ㅓ䈵权塂䅁䅁允䅁䅁䅅䅁䭁䙁䅑䅁䵁䅉䅅䅁䑁䅁䅁睁䵁䅁䅁兂䅁䅁䅃堳偂兑䅯杖䅁䅁䅅䅁䉁䅁䅁权啂䅁䅁䍄䉁䅁䅁睁䅁䅁䅍䅄䅁䅁䅕䅁䅁䉑㉳啕䭅䙁䅣䅁䉁䅁䅁允䅁䅁䅯䅖䅁䅁杷允䅁䅁䅍䅁䑁䅁䅷䅁䙁䅁䅁䥁䩄䙮䉂权卂䅁䅁允䅁䅁䅅䅁䭁䙁䅧䅁䵁䅉䅅䅁䑁䅁䅁睁䵁䅁䅁兂䅁䅁䕃橕婵兑䅯䅕䅁䅁䅅䅁䉁䅁䅁权牂䅁䅁䍄䉁䅁䅁睁䅁䅁䅍䅄䅁䅁䅕䅁䅁漸㠯䕯䭅䙁䅉䅁䉁䅁䅁允䅁䅁䅯兡䅁䅁杷允䅁䅁䅍䅁䑁䅁䅷䅁䙁䅁䅁䕁千ㅰ䉂权坂䅁䅁允䅁䅁䅅䅁䭁䙁䄰䅁䵁䅉䅅䅁䑁䅁䅁睁䵁䅁䅁兂䅁䅁䅃㡰公兑䅯睖䅁䅁䅅䅁䉁䅁䅁权啂䅁䅁䍄䉁䅁䅁睁䅁䅁䅍䅄䅁䅁䅕䅁䅁䝧愲䕕䭅䙁䅕䅁䉁䅁䅁允䅁䅁䅯䅖䅁䅁杷允䅁䅁䅍䅁䑁䅁䅷䅁䙁䅁䅁䥁瑂汭䉂权坂䅁䅁允䅁䅁䅅䅁䭁䙁䅑䅁䵁䅉䅅䅁䑁䅁䅁睁䵁䅁䅁兂䅁䅁䅂䅆呚兑䅯兖䅁䅁䅅䅁䉁䅁䅁权啂䅁䅁䍄䉁䅁䅁睁䅁䅁䅍䅄䅁䅁䅕䅁䅁䥧洰䕕䭅䙁䅕䅁䉁䅁䅁允䅁䅁䅯䅖䅁䅁杷允䅁䅁䅍䅁䑁䅁䅷䅁䙁䅁䅁䥁穁ㅯ䉂权兂䅁䅁允䅁䅁䅅䅁䭁䙁䅑䅁䵁䅉䅅䅁䑁䅁䅁睁䵁䅁䅁兂䅁䅁䅄瀲公兑䅯睖䅁䅁䅅䅁䉁䅁䅁权啂䅁䅁䍄䉁䅁䅁睁䅁䅁䅍䅄䅁䅁䅕䅁䅁䡑㔴し䭅䙁䅣䅁䉁䅁䅁允䅁䅁䅯䅖䅁䅁杷允䅁䅁䅍䅁䑁䅁䅷䅁䙁䅁䅁䕁⭂噏䉴权兂䅁䅁允䅁䅁䅅䅁䭁䙁䅑䅁䵁䅉䅅䅁䑁䅁䅁睁䵁䅁䅁兂䅁䅁䕃橕婵兑䅯杖䅁䅁䅅䅁䉁䅁䅁权煂䅁䅁䍄䉁䅁䅁睁䅁䅁䅍䅄䅁䅁䅕䅁䅁䙨㝉啭䭅䙁䅕䅁䉁䅁䅁允䅁䅁䅯睘䅁䅁杷允䅁䅁䅍䅁䑁䅁䅷䅁䙁䅁䅁䥁䵃ㅭ䉂权噂䅁䅁允䅁䅁䅅䅁䭁䙁䅑䅁䵁䅉䅅䅁䑁䅁䅁睁䵁䅁䅁兂䅁䅁䅁㕅全兑䅯杖䅁䅁䅅䅁䉁䅁䅁权啂䅁䅁䍄䉁䅁䅁睁䅁䅁䅍䅄䅁䅁䅕䅁䅁䡁㝣啕䭅䙁䅙䅁䉁䅁䅁允䅁䅁䅯䅖䅁䅁杷允䅁䅁䅍䅁䑁䅁䅷䅁䙁䅁䅁䕁䭄ㅬ䉂权噂䅁䅁允䅁䅁䅅䅁䭁䙁䅑䅁䵁䅉䅅䅁䑁䅁䅁睁䵁䅁䅁兂䅁䅁䅁㙏党兑䅯睖䅁䅁䅅䅁䉁䅁䅁权啂䅁䅁䍄䉁䅁䅁睁䅁䅁䅍䅄䅁䅁䅕䅁䅁䩑䵳さ䭅䙁䅁䅁䉁䅁䅁允䅁䅁䅯䅖䅁䅁杷允䅁䅁䅍䅁䑁䅁䅷䅁䙁䅁䅁䥁䩄䙮䉂权坂䅁䅁允䅁䅁䅅䅁䭁䙁䅑䅁䵁䅉䅅䅁䑁䅁䅁睁䵁䅁䅁兂䅁䅁䅄㕑儱兑䅯睖䅁䅁䅅䅁䉁䅁䅁权啂䅁䅁䍄䉁䅁䅁睁䅁䅁䅍䅄䅁䅁䅕䅁䅁䥧批䕕䭅䙁䅁䅁䉁䅁䅁允䅁䅁䅯䅖䅁䅁杷允䅁䅁䅍䅁䑁䅁䅷䅁䙁䅁䅁䅁呁䙭䉂权兂䅁䅁允䅁䅁䅅䅁䭁䙁䅑䅁䵁䅉䅅䅁䑁䅁䅁睁䵁䅁䅁兂䅁䅁杁捤橂兑䅯兖䅁䅁䅅䅁䉁䅁䅁权奂䅁䅁䍄䉁䅁䅁睁䅁䅁䅍䅄䅁䅁䅕䅁䅁䩷䱨歘䭅䙁䅕䅁䉁䅁䅁允䅁䅁䅯䅖䅁䅁杷允䅁䅁䅍䅁䑁䅁䅷䅁䙁䅁䅁䵁奃ㅓ䈵权坂䅁䅁允䅁䅁䅅䅁䭁䙁䅑䅁䵁䅉䅅䅁䑁䅁䅁睁䵁䅁䅁兂䅁䅁䅂䅆呚兑䅯睖䅁䅁䅅䅁䉁䅁䅁权啂䅁䅁䍄䉁䅁䅁睁䅁䅁䅍䅄䅁䅁䅕䅁䅁䉳㡵啤䭅䙁䅁䅁䉁䅁䅁允䅁䅁䅯䅖䅁䅁杷允䅁䅁䅍䅁䑁䅁䅷䅁䙁䅁䅁䅁㍂ㅏ䉆权卂䅁䅁允䅁䅁䅅䅁䭁䙁䅧䅁䵁䅉䅅䅁䑁䅁䅁睁䵁䅁䅁兂䅁䅁䅁㙏党兑䅯兖䅁䅁䅅䅁䉁䅁䅁权啂䅁䅁䍄䉁䅁䅁睁䅁䅁䅍䅄䅁䅁䅕䅁䅁䩑䵳さ䭅䙁䅉䅁䉁䅁䅁允䅁䅁䅯䅗䅁䅁杷允䅁䅁䅍䅁䑁䅁䅷䅁䙁䅁䅁䅁㝁汰䉂权坂䅁䅁允䅁䅁䅅䅁䭁䙁䅑䅁䵁䅉䅅䅁䑁䅁䅁睁䵁䅁䅁兂䅁䅁䅂灹兤兑䅯杕䅁䅁䅅䅁䉁䅁䅁权呂䅁䅁䍄䉁䅁䅁睁䅁䅁䅍䅄䅁䅁䅕䅁䅁䑁浵䕕䭅䙁䅁䅁䉁䅁䅁允䅁䅁䅯䅖䅁䅁杷允䅁䅁䅍䅁䑁䅁䅷䅁䙁䅁䅁䵁慄噭䉂权坂䅁䅁允䅁䅁䅅䅁䭁䙁䅑䅁䵁䅉䅅䅁䑁䅁䅁睁䵁䅁䅁兂䅁䅁睃㝇ㅸ兑䅯杖䅁䅁䅅䅁䉁䅁䅁权啂䅁䅁䍄䉁䅁䅁睁䅁䅁䅍䅄䅁䅁䅕䅁䅁䡁㝣啕䭅䙁䅕䅁䉁䅁䅁允䅁䅁䅯䅖䅁䅁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</si>
</sst>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
  </numFmts>
  <fonts count="3" x14ac:knownFonts="1">
    <font>
      <sz val="11"/>
      <color theme="1"/>
      <name val="Calibri"/>
      <family val="2"/>
      <scheme val="minor"/>
    </font>
    <font>
      <b/>
      <sz val="14"/>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left"/>
    </xf>
    <xf numFmtId="0" fontId="1" fillId="0" borderId="0" xfId="0" applyFont="1"/>
    <xf numFmtId="0" fontId="2" fillId="0" borderId="0" xfId="0" applyFont="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164" fontId="0" fillId="0" borderId="0" xfId="0" applyNumberFormat="1" applyAlignment="1">
      <alignment horizontal="right" vertical="top"/>
    </xf>
    <xf numFmtId="165" fontId="0" fillId="0" borderId="0" xfId="0" applyNumberFormat="1" applyAlignment="1">
      <alignment horizontal="right" vertical="top"/>
    </xf>
    <xf numFmtId="0" fontId="0" fillId="0" borderId="0" xfId="0" applyAlignment="1">
      <alignment horizontal="right" vertical="top"/>
    </xf>
    <xf numFmtId="0" fontId="0" fillId="0" borderId="0" xfId="0" applyAlignment="1">
      <alignment horizontal="left" wrapText="1"/>
    </xf>
    <xf numFmtId="14" fontId="0" fillId="0" borderId="0" xfId="0" applyNumberFormat="1"/>
    <xf numFmtId="165" fontId="0" fillId="0" borderId="0" xfId="0" applyNumberFormat="1"/>
    <xf numFmtId="0" fontId="0" fillId="0" borderId="0" xfId="0" applyAlignment="1">
      <alignment horizontal="center"/>
    </xf>
    <xf numFmtId="0" fontId="2" fillId="0" borderId="0" xfId="0" applyFont="1" applyAlignment="1">
      <alignment horizontal="left" vertical="top" wrapText="1"/>
    </xf>
    <xf numFmtId="0" fontId="2" fillId="0" borderId="0" xfId="0" applyFont="1" applyAlignment="1">
      <alignment horizontal="righ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rogram%20Files/SNL%20Financial/SNLxl/SNLXLAddin.xla" TargetMode="External"/><Relationship Id="rId2" Type="http://schemas.openxmlformats.org/officeDocument/2006/relationships/externalLinkPath" Target="file:///C:\Program%20Files\SNL%20Financial\SNLxl\SNLXLAddin.xla" TargetMode="External"/><Relationship Id="rId1" Type="http://schemas.openxmlformats.org/officeDocument/2006/relationships/externalLinkPath" Target="/Program%20Files/SNL%20Financial/SNLxl/SNLXLAddin.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Sheet2"/>
      <sheetName val="Sheet3"/>
      <sheetName val="SNLXLAddin"/>
    </sheetNames>
    <definedNames>
      <definedName name="SNLData"/>
    </definedNames>
    <sheetDataSet>
      <sheetData sheetId="0"/>
      <sheetData sheetId="1"/>
      <sheetData sheetId="2"/>
      <sheetData sheetId="3"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C273-A220-4F5E-B76D-45AEC142BF27}">
  <dimension ref="A1"/>
  <sheetViews>
    <sheetView workbookViewId="0"/>
  </sheetViews>
  <sheetFormatPr defaultRowHeight="14.5" x14ac:dyDescent="0.35"/>
  <sheetData>
    <row r="1" spans="1:1" x14ac:dyDescent="0.35">
      <c r="A1" t="s">
        <v>322</v>
      </c>
    </row>
  </sheetData>
  <pageMargins left="0.7" right="0.7" top="0.75" bottom="0.75" header="0.3" footer="0.3"/>
  <headerFooter>
    <oddFooter>&amp;C_x000D_&amp;1#&amp;"Aptos"&amp;10&amp;K0000FF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29"/>
  <sheetViews>
    <sheetView workbookViewId="0">
      <selection sqref="A1:D1"/>
    </sheetView>
  </sheetViews>
  <sheetFormatPr defaultRowHeight="14.5" x14ac:dyDescent="0.35"/>
  <cols>
    <col min="1" max="1" width="48.54296875" customWidth="1"/>
    <col min="2" max="2" width="26.1796875" customWidth="1"/>
    <col min="3" max="3" width="16.1796875" customWidth="1"/>
    <col min="4" max="4" width="17.453125" customWidth="1"/>
    <col min="5" max="5" width="23.54296875" customWidth="1"/>
    <col min="6" max="6" width="16.1796875" customWidth="1"/>
    <col min="7" max="7" width="23.54296875" customWidth="1"/>
    <col min="8" max="8" width="20.54296875" customWidth="1"/>
    <col min="9" max="9" width="21.54296875" customWidth="1"/>
    <col min="10" max="10" width="18" customWidth="1"/>
    <col min="11" max="12" width="21.54296875" customWidth="1"/>
    <col min="13" max="13" width="20.54296875" customWidth="1"/>
    <col min="14" max="14" width="17.54296875" customWidth="1"/>
    <col min="15" max="16" width="16.1796875" customWidth="1"/>
    <col min="17" max="17" width="21.1796875" customWidth="1"/>
    <col min="18" max="18" width="23.54296875" customWidth="1"/>
    <col min="19" max="19" width="22.453125" customWidth="1"/>
    <col min="20" max="34" width="21.1796875" customWidth="1"/>
    <col min="35" max="36" width="17.54296875" customWidth="1"/>
    <col min="37" max="37" width="21.1796875" customWidth="1"/>
    <col min="38" max="38" width="19.54296875" customWidth="1"/>
    <col min="39" max="40" width="21.1796875" customWidth="1"/>
    <col min="41" max="41" width="22" customWidth="1"/>
    <col min="42" max="43" width="17.54296875" customWidth="1"/>
    <col min="44" max="44" width="22" customWidth="1"/>
  </cols>
  <sheetData>
    <row r="1" spans="1:44" ht="40" customHeight="1" x14ac:dyDescent="0.35">
      <c r="A1" s="12"/>
      <c r="B1" s="12"/>
      <c r="C1" s="12"/>
      <c r="D1" s="12"/>
    </row>
    <row r="2" spans="1:44" ht="30" customHeight="1" x14ac:dyDescent="0.45">
      <c r="A2" s="1" t="s">
        <v>90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row>
    <row r="3" spans="1:44" x14ac:dyDescent="0.35">
      <c r="A3" s="3" t="s">
        <v>0</v>
      </c>
    </row>
    <row r="4" spans="1:44" x14ac:dyDescent="0.35">
      <c r="A4" s="3" t="s">
        <v>1</v>
      </c>
    </row>
    <row r="5" spans="1:44" x14ac:dyDescent="0.35">
      <c r="A5" s="4"/>
    </row>
    <row r="6" spans="1:44" x14ac:dyDescent="0.35">
      <c r="A6" s="13" t="s">
        <v>3</v>
      </c>
      <c r="B6" s="13" t="s">
        <v>4</v>
      </c>
      <c r="C6" s="13" t="s">
        <v>5</v>
      </c>
      <c r="D6" s="13" t="s">
        <v>6</v>
      </c>
      <c r="E6" s="14" t="s">
        <v>7</v>
      </c>
      <c r="F6" s="14" t="s">
        <v>8</v>
      </c>
      <c r="G6" s="14" t="s">
        <v>9</v>
      </c>
      <c r="H6" s="14" t="s">
        <v>10</v>
      </c>
      <c r="I6" s="14" t="s">
        <v>11</v>
      </c>
      <c r="J6" s="14" t="s">
        <v>12</v>
      </c>
      <c r="K6" s="14" t="s">
        <v>13</v>
      </c>
      <c r="L6" s="14" t="s">
        <v>14</v>
      </c>
      <c r="M6" s="14" t="s">
        <v>15</v>
      </c>
      <c r="N6" s="14" t="s">
        <v>16</v>
      </c>
      <c r="O6" s="14" t="s">
        <v>17</v>
      </c>
      <c r="P6" s="14" t="s">
        <v>18</v>
      </c>
      <c r="Q6" s="14" t="s">
        <v>19</v>
      </c>
      <c r="R6" s="14" t="s">
        <v>20</v>
      </c>
      <c r="S6" s="14" t="s">
        <v>21</v>
      </c>
      <c r="T6" s="14" t="s">
        <v>22</v>
      </c>
      <c r="U6" s="14" t="s">
        <v>23</v>
      </c>
      <c r="V6" s="14" t="s">
        <v>24</v>
      </c>
      <c r="W6" s="14" t="s">
        <v>25</v>
      </c>
      <c r="X6" s="14" t="s">
        <v>26</v>
      </c>
      <c r="Y6" s="14" t="s">
        <v>27</v>
      </c>
      <c r="Z6" s="14" t="s">
        <v>28</v>
      </c>
      <c r="AA6" s="14" t="s">
        <v>29</v>
      </c>
      <c r="AB6" s="14" t="s">
        <v>30</v>
      </c>
      <c r="AC6" s="14" t="s">
        <v>31</v>
      </c>
      <c r="AD6" s="14" t="s">
        <v>32</v>
      </c>
      <c r="AE6" s="14" t="s">
        <v>33</v>
      </c>
      <c r="AF6" s="14" t="s">
        <v>34</v>
      </c>
      <c r="AG6" s="14" t="s">
        <v>35</v>
      </c>
      <c r="AH6" s="14" t="s">
        <v>36</v>
      </c>
      <c r="AI6" s="14" t="s">
        <v>37</v>
      </c>
      <c r="AJ6" s="14" t="s">
        <v>38</v>
      </c>
      <c r="AK6" s="14" t="s">
        <v>39</v>
      </c>
      <c r="AL6" s="14" t="s">
        <v>40</v>
      </c>
      <c r="AM6" s="14" t="s">
        <v>35</v>
      </c>
      <c r="AN6" s="14" t="s">
        <v>34</v>
      </c>
      <c r="AO6" s="14" t="s">
        <v>41</v>
      </c>
      <c r="AP6" s="14" t="s">
        <v>37</v>
      </c>
      <c r="AQ6" s="14" t="s">
        <v>38</v>
      </c>
      <c r="AR6" s="14" t="s">
        <v>42</v>
      </c>
    </row>
    <row r="7" spans="1:44" x14ac:dyDescent="0.35">
      <c r="A7" s="13"/>
      <c r="B7" s="13"/>
      <c r="C7" s="13"/>
      <c r="D7" s="13"/>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row>
    <row r="8" spans="1:44" x14ac:dyDescent="0.35">
      <c r="A8" s="13"/>
      <c r="B8" s="13"/>
      <c r="C8" s="13"/>
      <c r="D8" s="13"/>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row>
    <row r="9" spans="1:44" x14ac:dyDescent="0.35">
      <c r="A9" s="13"/>
      <c r="B9" s="13"/>
      <c r="C9" s="13"/>
      <c r="D9" s="13"/>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row>
    <row r="10" spans="1:44" x14ac:dyDescent="0.35">
      <c r="A10" s="5">
        <v>46022</v>
      </c>
      <c r="B10" s="4" t="s">
        <v>43</v>
      </c>
      <c r="C10" s="4" t="s">
        <v>44</v>
      </c>
      <c r="D10" s="4" t="s">
        <v>45</v>
      </c>
      <c r="E10" s="6">
        <v>80.882352999999995</v>
      </c>
      <c r="F10" s="6">
        <v>0</v>
      </c>
      <c r="G10" s="6">
        <v>80.882352999999995</v>
      </c>
      <c r="H10" s="6">
        <v>2</v>
      </c>
      <c r="I10" s="6">
        <v>40.441175999999999</v>
      </c>
      <c r="J10" s="6">
        <v>0</v>
      </c>
      <c r="K10" s="6">
        <v>40.441175999999999</v>
      </c>
      <c r="L10" s="6">
        <v>40.441175999999999</v>
      </c>
      <c r="M10" s="7">
        <v>1</v>
      </c>
      <c r="N10" s="6">
        <v>68</v>
      </c>
      <c r="O10" s="8">
        <v>0</v>
      </c>
      <c r="P10" s="8">
        <v>0</v>
      </c>
      <c r="Q10" s="7">
        <v>12.751689053478261</v>
      </c>
      <c r="R10" s="7">
        <v>8.9774440000000002</v>
      </c>
      <c r="S10" s="7">
        <v>2.8709944865217389</v>
      </c>
      <c r="T10" s="7">
        <v>7.2310215360869563</v>
      </c>
      <c r="U10" s="7">
        <v>31.831149076086959</v>
      </c>
      <c r="V10" s="7">
        <v>16.11923002391304</v>
      </c>
      <c r="W10" s="7">
        <v>0</v>
      </c>
      <c r="X10" s="7">
        <v>1.317945213913043</v>
      </c>
      <c r="Y10" s="7">
        <v>9.2121423626086951</v>
      </c>
      <c r="Z10" s="7">
        <v>26.649317600434781</v>
      </c>
      <c r="AA10" s="7">
        <v>0</v>
      </c>
      <c r="AB10" s="7">
        <v>0</v>
      </c>
      <c r="AC10" s="7">
        <v>0</v>
      </c>
      <c r="AD10" s="7">
        <v>0</v>
      </c>
      <c r="AE10" s="7">
        <v>0</v>
      </c>
      <c r="AF10" s="7">
        <v>58.480466676521743</v>
      </c>
      <c r="AG10" s="7">
        <v>9.3523838904347816</v>
      </c>
      <c r="AH10" s="7">
        <v>67.832850566956523</v>
      </c>
      <c r="AI10" s="7">
        <v>0</v>
      </c>
      <c r="AJ10" s="7">
        <v>0</v>
      </c>
      <c r="AK10" s="7">
        <v>67.832850566956523</v>
      </c>
      <c r="AL10" s="7">
        <v>63.328186000000002</v>
      </c>
      <c r="AM10" s="7">
        <v>9.3523838904347816</v>
      </c>
      <c r="AN10" s="7">
        <v>58.480466676521743</v>
      </c>
      <c r="AO10" s="7">
        <v>-4.5046645669565173</v>
      </c>
      <c r="AP10" s="7">
        <v>0</v>
      </c>
      <c r="AQ10" s="7">
        <v>0</v>
      </c>
      <c r="AR10" s="7">
        <v>-4.5046645669565173</v>
      </c>
    </row>
    <row r="11" spans="1:44" x14ac:dyDescent="0.35">
      <c r="A11" s="5">
        <v>46022</v>
      </c>
      <c r="B11" s="4" t="s">
        <v>46</v>
      </c>
      <c r="C11" s="4" t="s">
        <v>47</v>
      </c>
      <c r="D11" s="4" t="s">
        <v>48</v>
      </c>
      <c r="E11" s="6">
        <v>22500</v>
      </c>
      <c r="F11" s="6">
        <v>0</v>
      </c>
      <c r="G11" s="6">
        <v>22500</v>
      </c>
      <c r="H11" s="6">
        <v>5</v>
      </c>
      <c r="I11" s="6">
        <v>4500</v>
      </c>
      <c r="J11" s="6">
        <v>0</v>
      </c>
      <c r="K11" s="6">
        <v>4500</v>
      </c>
      <c r="L11" s="6">
        <v>4500</v>
      </c>
      <c r="M11" s="7">
        <v>1.2008890000000001</v>
      </c>
      <c r="N11" s="6">
        <v>50</v>
      </c>
      <c r="O11" s="8">
        <v>0</v>
      </c>
      <c r="P11" s="8">
        <v>0</v>
      </c>
      <c r="Q11" s="7">
        <v>7.3669580000000003</v>
      </c>
      <c r="R11" s="7">
        <v>2.3687179999999999</v>
      </c>
      <c r="S11" s="7">
        <v>0.349333</v>
      </c>
      <c r="T11" s="7">
        <v>7.1654159999999996</v>
      </c>
      <c r="U11" s="7">
        <v>17.250425</v>
      </c>
      <c r="V11" s="7">
        <v>2.7756460000000001</v>
      </c>
      <c r="W11" s="7">
        <v>1.6101730000000001</v>
      </c>
      <c r="X11" s="7">
        <v>5.7891459999999997</v>
      </c>
      <c r="Y11" s="7">
        <v>8.9474699999999991</v>
      </c>
      <c r="Z11" s="7">
        <v>19.122434999999999</v>
      </c>
      <c r="AA11" s="7">
        <v>0</v>
      </c>
      <c r="AB11" s="7">
        <v>0</v>
      </c>
      <c r="AC11" s="7">
        <v>0</v>
      </c>
      <c r="AD11" s="7">
        <v>0</v>
      </c>
      <c r="AE11" s="7">
        <v>0</v>
      </c>
      <c r="AF11" s="7">
        <v>36.372860000000003</v>
      </c>
      <c r="AG11" s="7">
        <v>8.9728840000000005</v>
      </c>
      <c r="AH11" s="7">
        <v>45.345744000000003</v>
      </c>
      <c r="AI11" s="7">
        <v>4.0988889999999998</v>
      </c>
      <c r="AJ11" s="7">
        <v>1.460313</v>
      </c>
      <c r="AK11" s="7">
        <v>50.904946000000002</v>
      </c>
      <c r="AL11" s="7">
        <v>79.629981999999998</v>
      </c>
      <c r="AM11" s="7">
        <v>8.9728840000000005</v>
      </c>
      <c r="AN11" s="7">
        <v>36.372860000000003</v>
      </c>
      <c r="AO11" s="7">
        <v>34.284238000000002</v>
      </c>
      <c r="AP11" s="7">
        <v>4.0988889999999998</v>
      </c>
      <c r="AQ11" s="7">
        <v>1.460313</v>
      </c>
      <c r="AR11" s="7">
        <v>28.725035999999999</v>
      </c>
    </row>
    <row r="12" spans="1:44" x14ac:dyDescent="0.35">
      <c r="A12" s="5">
        <v>46022</v>
      </c>
      <c r="B12" s="4" t="s">
        <v>49</v>
      </c>
      <c r="C12" s="4" t="s">
        <v>50</v>
      </c>
      <c r="D12" s="4" t="s">
        <v>48</v>
      </c>
      <c r="E12" s="6">
        <v>3000</v>
      </c>
      <c r="F12" s="6">
        <v>0</v>
      </c>
      <c r="G12" s="6">
        <v>3000</v>
      </c>
      <c r="H12" s="6">
        <v>1</v>
      </c>
      <c r="I12" s="6">
        <v>3000</v>
      </c>
      <c r="J12" s="6">
        <v>0</v>
      </c>
      <c r="K12" s="6">
        <v>3000</v>
      </c>
      <c r="L12" s="6">
        <v>3000</v>
      </c>
      <c r="M12" s="7">
        <v>1.1000000000000001</v>
      </c>
      <c r="N12" s="6">
        <v>70</v>
      </c>
      <c r="O12" s="8">
        <v>0</v>
      </c>
      <c r="P12" s="8">
        <v>0</v>
      </c>
      <c r="Q12" s="7">
        <v>5.2260840000000002</v>
      </c>
      <c r="R12" s="7">
        <v>3.022519</v>
      </c>
      <c r="S12" s="7">
        <v>0.98202999999999996</v>
      </c>
      <c r="T12" s="7">
        <v>16.030536999999999</v>
      </c>
      <c r="U12" s="7">
        <v>25.26117</v>
      </c>
      <c r="V12" s="7">
        <v>4.5436540000000001</v>
      </c>
      <c r="W12" s="7">
        <v>5.0273389999999996</v>
      </c>
      <c r="X12" s="7">
        <v>4.0301030000000004</v>
      </c>
      <c r="Y12" s="7">
        <v>8.1593210000000003</v>
      </c>
      <c r="Z12" s="7">
        <v>21.760417</v>
      </c>
      <c r="AA12" s="7">
        <v>0</v>
      </c>
      <c r="AB12" s="7">
        <v>0</v>
      </c>
      <c r="AC12" s="7">
        <v>0</v>
      </c>
      <c r="AD12" s="7">
        <v>0</v>
      </c>
      <c r="AE12" s="7">
        <v>0</v>
      </c>
      <c r="AF12" s="7">
        <v>47.021586999999997</v>
      </c>
      <c r="AG12" s="7">
        <v>8.0630799999999994</v>
      </c>
      <c r="AH12" s="7">
        <v>55.084667000000003</v>
      </c>
      <c r="AI12" s="7">
        <v>6.125</v>
      </c>
      <c r="AJ12" s="7">
        <v>1.93655</v>
      </c>
      <c r="AK12" s="7">
        <v>63.146217</v>
      </c>
      <c r="AL12" s="7">
        <v>96.827500000000001</v>
      </c>
      <c r="AM12" s="7">
        <v>8.0630799999999994</v>
      </c>
      <c r="AN12" s="7">
        <v>47.021586999999997</v>
      </c>
      <c r="AO12" s="7">
        <v>41.742832999999997</v>
      </c>
      <c r="AP12" s="7">
        <v>6.125</v>
      </c>
      <c r="AQ12" s="7">
        <v>1.93655</v>
      </c>
      <c r="AR12" s="7">
        <v>33.681283000000001</v>
      </c>
    </row>
    <row r="13" spans="1:44" x14ac:dyDescent="0.35">
      <c r="A13" s="5">
        <v>46022</v>
      </c>
      <c r="B13" s="4" t="s">
        <v>51</v>
      </c>
      <c r="C13" s="4" t="s">
        <v>52</v>
      </c>
      <c r="D13" s="4" t="s">
        <v>53</v>
      </c>
      <c r="E13" s="6">
        <v>8100</v>
      </c>
      <c r="F13" s="6">
        <v>0</v>
      </c>
      <c r="G13" s="6">
        <v>8100</v>
      </c>
      <c r="H13" s="6">
        <v>9</v>
      </c>
      <c r="I13" s="6">
        <v>900</v>
      </c>
      <c r="J13" s="6">
        <v>0</v>
      </c>
      <c r="K13" s="6">
        <v>900</v>
      </c>
      <c r="L13" s="6">
        <v>900</v>
      </c>
      <c r="M13" s="7">
        <v>1.1000000000000001</v>
      </c>
      <c r="N13" s="6">
        <v>63</v>
      </c>
      <c r="O13" s="8">
        <v>0</v>
      </c>
      <c r="P13" s="8">
        <v>0</v>
      </c>
      <c r="Q13" s="7">
        <v>7.128658507065011</v>
      </c>
      <c r="R13" s="7">
        <v>17.802378000000001</v>
      </c>
      <c r="S13" s="7">
        <v>0.27966792221727588</v>
      </c>
      <c r="T13" s="7">
        <v>17.800121696684311</v>
      </c>
      <c r="U13" s="7">
        <v>43.010826125966602</v>
      </c>
      <c r="V13" s="7">
        <v>1.979766528367215</v>
      </c>
      <c r="W13" s="7">
        <v>0</v>
      </c>
      <c r="X13" s="7">
        <v>7.2124557833902152</v>
      </c>
      <c r="Y13" s="7">
        <v>9.8100653491220253</v>
      </c>
      <c r="Z13" s="7">
        <v>19.00228766087946</v>
      </c>
      <c r="AA13" s="7">
        <v>0</v>
      </c>
      <c r="AB13" s="7">
        <v>0</v>
      </c>
      <c r="AC13" s="7">
        <v>0</v>
      </c>
      <c r="AD13" s="7">
        <v>0</v>
      </c>
      <c r="AE13" s="7">
        <v>0</v>
      </c>
      <c r="AF13" s="7">
        <v>62.013113786846048</v>
      </c>
      <c r="AG13" s="7">
        <v>21.759735753685838</v>
      </c>
      <c r="AH13" s="7">
        <v>83.772849540531894</v>
      </c>
      <c r="AI13" s="7">
        <v>3.78</v>
      </c>
      <c r="AJ13" s="7">
        <v>4.3394399999999997</v>
      </c>
      <c r="AK13" s="7">
        <v>91.892289540531891</v>
      </c>
      <c r="AL13" s="7">
        <v>103.32</v>
      </c>
      <c r="AM13" s="7">
        <v>21.759735753685838</v>
      </c>
      <c r="AN13" s="7">
        <v>62.013113786846048</v>
      </c>
      <c r="AO13" s="7">
        <v>19.547150459468099</v>
      </c>
      <c r="AP13" s="7">
        <v>3.78</v>
      </c>
      <c r="AQ13" s="7">
        <v>4.3394399999999997</v>
      </c>
      <c r="AR13" s="7">
        <v>11.4277104594681</v>
      </c>
    </row>
    <row r="14" spans="1:44" x14ac:dyDescent="0.35">
      <c r="A14" s="5">
        <v>46022</v>
      </c>
      <c r="B14" s="4" t="s">
        <v>54</v>
      </c>
      <c r="C14" s="4" t="s">
        <v>55</v>
      </c>
      <c r="D14" s="4" t="s">
        <v>56</v>
      </c>
      <c r="E14" s="6">
        <v>0</v>
      </c>
      <c r="F14" s="6">
        <v>0</v>
      </c>
      <c r="G14" s="6">
        <v>0</v>
      </c>
      <c r="H14" s="6">
        <v>0</v>
      </c>
      <c r="I14" s="6">
        <v>0</v>
      </c>
      <c r="J14" s="6">
        <v>103.125</v>
      </c>
      <c r="K14" s="6">
        <v>103.125</v>
      </c>
      <c r="L14" s="6">
        <v>103.125</v>
      </c>
      <c r="M14" s="7">
        <v>1.6</v>
      </c>
      <c r="N14" s="6">
        <v>54.157522</v>
      </c>
      <c r="O14" s="8">
        <v>0</v>
      </c>
      <c r="P14" s="8">
        <v>0</v>
      </c>
      <c r="Q14" s="7">
        <v>10.62494829183674</v>
      </c>
      <c r="R14" s="7">
        <v>3.3831229999999999</v>
      </c>
      <c r="S14" s="7">
        <v>4.713832683673469</v>
      </c>
      <c r="T14" s="7">
        <v>16.65722765927644</v>
      </c>
      <c r="U14" s="7">
        <v>35.379131634786638</v>
      </c>
      <c r="V14" s="7">
        <v>5.5108787393320959</v>
      </c>
      <c r="W14" s="7">
        <v>0</v>
      </c>
      <c r="X14" s="7">
        <v>1.528410204823748</v>
      </c>
      <c r="Y14" s="7">
        <v>15.809425312430429</v>
      </c>
      <c r="Z14" s="7">
        <v>22.84871425658627</v>
      </c>
      <c r="AA14" s="7">
        <v>5.7083354206864572</v>
      </c>
      <c r="AB14" s="7">
        <v>4.3193622798701297</v>
      </c>
      <c r="AC14" s="7">
        <v>4.676643133858998</v>
      </c>
      <c r="AD14" s="7">
        <v>17.50206328135436</v>
      </c>
      <c r="AE14" s="7">
        <v>32.206404115769942</v>
      </c>
      <c r="AF14" s="7">
        <v>90.434250007142865</v>
      </c>
      <c r="AG14" s="7">
        <v>2.4619685958256028</v>
      </c>
      <c r="AH14" s="7">
        <v>92.899206487198526</v>
      </c>
      <c r="AI14" s="7">
        <v>0</v>
      </c>
      <c r="AJ14" s="7">
        <v>1.776432</v>
      </c>
      <c r="AK14" s="7">
        <v>94.675638487198526</v>
      </c>
      <c r="AL14" s="7">
        <v>178.160403</v>
      </c>
      <c r="AM14" s="7">
        <v>2.4619685958256028</v>
      </c>
      <c r="AN14" s="7">
        <v>90.434250007142865</v>
      </c>
      <c r="AO14" s="7">
        <v>85.261196512801476</v>
      </c>
      <c r="AP14" s="7">
        <v>0</v>
      </c>
      <c r="AQ14" s="7">
        <v>1.776432</v>
      </c>
      <c r="AR14" s="7">
        <v>83.484764512801476</v>
      </c>
    </row>
    <row r="15" spans="1:44" x14ac:dyDescent="0.35">
      <c r="A15" s="5">
        <v>46022</v>
      </c>
      <c r="B15" s="4" t="s">
        <v>57</v>
      </c>
      <c r="C15" s="4" t="s">
        <v>58</v>
      </c>
      <c r="D15" s="4" t="s">
        <v>53</v>
      </c>
      <c r="E15" s="6">
        <v>5808</v>
      </c>
      <c r="F15" s="6">
        <v>0</v>
      </c>
      <c r="G15" s="6">
        <v>5808</v>
      </c>
      <c r="H15" s="6">
        <v>3.3</v>
      </c>
      <c r="I15" s="6">
        <v>1760</v>
      </c>
      <c r="J15" s="6">
        <v>0</v>
      </c>
      <c r="K15" s="6">
        <v>1760</v>
      </c>
      <c r="L15" s="6">
        <v>1760</v>
      </c>
      <c r="M15" s="7">
        <v>1.57</v>
      </c>
      <c r="N15" s="6">
        <v>77</v>
      </c>
      <c r="O15" s="8">
        <v>0</v>
      </c>
      <c r="P15" s="8">
        <v>0</v>
      </c>
      <c r="Q15" s="7">
        <v>1.365915504166461</v>
      </c>
      <c r="R15" s="7">
        <v>4.8590309999999999</v>
      </c>
      <c r="S15" s="7">
        <v>2.2690604823267542</v>
      </c>
      <c r="T15" s="7">
        <v>18.93438143695569</v>
      </c>
      <c r="U15" s="7">
        <v>27.428388423448911</v>
      </c>
      <c r="V15" s="7">
        <v>2.9232706396135262</v>
      </c>
      <c r="W15" s="7">
        <v>7.9908653502300044</v>
      </c>
      <c r="X15" s="7">
        <v>9.3026776759888534</v>
      </c>
      <c r="Y15" s="7">
        <v>13.87511875381445</v>
      </c>
      <c r="Z15" s="7">
        <v>34.091932419646831</v>
      </c>
      <c r="AA15" s="7">
        <v>0</v>
      </c>
      <c r="AB15" s="7">
        <v>0</v>
      </c>
      <c r="AC15" s="7">
        <v>0</v>
      </c>
      <c r="AD15" s="7">
        <v>0</v>
      </c>
      <c r="AE15" s="7">
        <v>0</v>
      </c>
      <c r="AF15" s="7">
        <v>61.520320843095739</v>
      </c>
      <c r="AG15" s="7">
        <v>34.795429739460189</v>
      </c>
      <c r="AH15" s="7">
        <v>96.315750582555935</v>
      </c>
      <c r="AI15" s="7">
        <v>6.0445000000000002</v>
      </c>
      <c r="AJ15" s="7">
        <v>10.880100000000001</v>
      </c>
      <c r="AK15" s="7">
        <v>113.24035058255591</v>
      </c>
      <c r="AL15" s="7">
        <v>181.33500000000001</v>
      </c>
      <c r="AM15" s="7">
        <v>34.795429739460189</v>
      </c>
      <c r="AN15" s="7">
        <v>61.520320843095739</v>
      </c>
      <c r="AO15" s="7">
        <v>85.019249417444087</v>
      </c>
      <c r="AP15" s="7">
        <v>6.0445000000000002</v>
      </c>
      <c r="AQ15" s="7">
        <v>10.880100000000001</v>
      </c>
      <c r="AR15" s="7">
        <v>68.094649417444074</v>
      </c>
    </row>
    <row r="16" spans="1:44" x14ac:dyDescent="0.35">
      <c r="A16" s="5">
        <v>46022</v>
      </c>
      <c r="B16" s="4" t="s">
        <v>59</v>
      </c>
      <c r="C16" s="4" t="s">
        <v>60</v>
      </c>
      <c r="D16" s="4" t="s">
        <v>61</v>
      </c>
      <c r="E16" s="6">
        <v>44303.211725000001</v>
      </c>
      <c r="F16" s="6">
        <v>0</v>
      </c>
      <c r="G16" s="6">
        <v>44303.211725000001</v>
      </c>
      <c r="H16" s="6">
        <v>6.9610110000000001</v>
      </c>
      <c r="I16" s="6">
        <v>6364.4793280000004</v>
      </c>
      <c r="J16" s="6">
        <v>0</v>
      </c>
      <c r="K16" s="6">
        <v>6364.4793280000004</v>
      </c>
      <c r="L16" s="6">
        <v>6425.2080779999997</v>
      </c>
      <c r="M16" s="7">
        <v>1.8885940000000001</v>
      </c>
      <c r="N16" s="6">
        <v>69.376808999999994</v>
      </c>
      <c r="O16" s="8">
        <v>0</v>
      </c>
      <c r="P16" s="8">
        <v>0</v>
      </c>
      <c r="Q16" s="7">
        <v>13.272439241842109</v>
      </c>
      <c r="R16" s="7">
        <v>5.8462199999999998</v>
      </c>
      <c r="S16" s="7">
        <v>0.33873460578947368</v>
      </c>
      <c r="T16" s="7">
        <v>14.81082309710526</v>
      </c>
      <c r="U16" s="7">
        <v>34.268216944736842</v>
      </c>
      <c r="V16" s="7">
        <v>6.3915504299999997</v>
      </c>
      <c r="W16" s="7">
        <v>1.4793791542105259</v>
      </c>
      <c r="X16" s="7">
        <v>2.835082357105263</v>
      </c>
      <c r="Y16" s="7">
        <v>11.436287847631579</v>
      </c>
      <c r="Z16" s="7">
        <v>22.142299788947369</v>
      </c>
      <c r="AA16" s="7">
        <v>1.251403998157895</v>
      </c>
      <c r="AB16" s="7">
        <v>1.197030851052632</v>
      </c>
      <c r="AC16" s="7">
        <v>5.1358798184210528</v>
      </c>
      <c r="AD16" s="7">
        <v>4.864191567631579</v>
      </c>
      <c r="AE16" s="7">
        <v>12.44850623526316</v>
      </c>
      <c r="AF16" s="7">
        <v>68.859022968947372</v>
      </c>
      <c r="AG16" s="7">
        <v>5.5226709094736837</v>
      </c>
      <c r="AH16" s="7">
        <v>74.417834643157903</v>
      </c>
      <c r="AI16" s="7">
        <v>10.027729000000001</v>
      </c>
      <c r="AJ16" s="7">
        <v>8.2805719999999994</v>
      </c>
      <c r="AK16" s="7">
        <v>92.726135643157903</v>
      </c>
      <c r="AL16" s="7">
        <v>181.79501200000001</v>
      </c>
      <c r="AM16" s="7">
        <v>5.5226709094736837</v>
      </c>
      <c r="AN16" s="7">
        <v>68.859022968947372</v>
      </c>
      <c r="AO16" s="7">
        <v>107.3771773568421</v>
      </c>
      <c r="AP16" s="7">
        <v>10.027729000000001</v>
      </c>
      <c r="AQ16" s="7">
        <v>8.2805719999999994</v>
      </c>
      <c r="AR16" s="7">
        <v>89.068876356842125</v>
      </c>
    </row>
    <row r="17" spans="1:44" x14ac:dyDescent="0.35">
      <c r="A17" s="5">
        <v>46022</v>
      </c>
      <c r="B17" s="4" t="s">
        <v>62</v>
      </c>
      <c r="C17" s="4" t="s">
        <v>63</v>
      </c>
      <c r="D17" s="4" t="s">
        <v>56</v>
      </c>
      <c r="E17" s="6">
        <v>24000</v>
      </c>
      <c r="F17" s="6">
        <v>0</v>
      </c>
      <c r="G17" s="6">
        <v>24000</v>
      </c>
      <c r="H17" s="6">
        <v>15</v>
      </c>
      <c r="I17" s="6">
        <v>1600</v>
      </c>
      <c r="J17" s="6">
        <v>0</v>
      </c>
      <c r="K17" s="6">
        <v>1600</v>
      </c>
      <c r="L17" s="6">
        <v>1600</v>
      </c>
      <c r="M17" s="7">
        <v>1.25</v>
      </c>
      <c r="N17" s="6">
        <v>63</v>
      </c>
      <c r="O17" s="8">
        <v>0</v>
      </c>
      <c r="P17" s="8">
        <v>0</v>
      </c>
      <c r="Q17" s="7">
        <v>12.329805127179959</v>
      </c>
      <c r="R17" s="7">
        <v>11.215709</v>
      </c>
      <c r="S17" s="7">
        <v>0.74053829805194815</v>
      </c>
      <c r="T17" s="7">
        <v>16.541544391558439</v>
      </c>
      <c r="U17" s="7">
        <v>40.827596816790347</v>
      </c>
      <c r="V17" s="7">
        <v>2.8183895295918369</v>
      </c>
      <c r="W17" s="7">
        <v>0</v>
      </c>
      <c r="X17" s="7">
        <v>1.227996075139147</v>
      </c>
      <c r="Y17" s="7">
        <v>14.78675918821892</v>
      </c>
      <c r="Z17" s="7">
        <v>18.833144792949909</v>
      </c>
      <c r="AA17" s="7">
        <v>0</v>
      </c>
      <c r="AB17" s="7">
        <v>0</v>
      </c>
      <c r="AC17" s="7">
        <v>0</v>
      </c>
      <c r="AD17" s="7">
        <v>0</v>
      </c>
      <c r="AE17" s="7">
        <v>0</v>
      </c>
      <c r="AF17" s="7">
        <v>59.660741609740263</v>
      </c>
      <c r="AG17" s="7">
        <v>7.7059900923005573</v>
      </c>
      <c r="AH17" s="7">
        <v>67.366731702040823</v>
      </c>
      <c r="AI17" s="7">
        <v>8.2920780000000001</v>
      </c>
      <c r="AJ17" s="7">
        <v>3.3172549999999998</v>
      </c>
      <c r="AK17" s="7">
        <v>78.976064702040816</v>
      </c>
      <c r="AL17" s="7">
        <v>95.603215000000006</v>
      </c>
      <c r="AM17" s="7">
        <v>7.7059900923005573</v>
      </c>
      <c r="AN17" s="7">
        <v>59.660741609740263</v>
      </c>
      <c r="AO17" s="7">
        <v>28.23648329795919</v>
      </c>
      <c r="AP17" s="7">
        <v>8.2920780000000001</v>
      </c>
      <c r="AQ17" s="7">
        <v>3.3172549999999998</v>
      </c>
      <c r="AR17" s="7">
        <v>16.62715029795919</v>
      </c>
    </row>
    <row r="18" spans="1:44" x14ac:dyDescent="0.35">
      <c r="A18" s="5">
        <v>46022</v>
      </c>
      <c r="B18" s="4" t="s">
        <v>64</v>
      </c>
      <c r="C18" s="4" t="s">
        <v>65</v>
      </c>
      <c r="D18" s="4" t="s">
        <v>66</v>
      </c>
      <c r="E18" s="6">
        <v>2323.1999999999998</v>
      </c>
      <c r="F18" s="6">
        <v>0</v>
      </c>
      <c r="G18" s="6">
        <v>2323.1999999999998</v>
      </c>
      <c r="H18" s="6">
        <v>2.2000000000000002</v>
      </c>
      <c r="I18" s="6">
        <v>1056</v>
      </c>
      <c r="J18" s="6">
        <v>0</v>
      </c>
      <c r="K18" s="6">
        <v>1056</v>
      </c>
      <c r="L18" s="6">
        <v>1056</v>
      </c>
      <c r="M18" s="7">
        <v>1.4</v>
      </c>
      <c r="N18" s="6">
        <v>75.330353000000002</v>
      </c>
      <c r="O18" s="8">
        <v>0</v>
      </c>
      <c r="P18" s="8">
        <v>0</v>
      </c>
      <c r="Q18" s="7">
        <v>3.9269757069565752</v>
      </c>
      <c r="R18" s="7">
        <v>7.2621987955999998</v>
      </c>
      <c r="S18" s="7">
        <v>1.550186449662921</v>
      </c>
      <c r="T18" s="7">
        <v>19.015464213669102</v>
      </c>
      <c r="U18" s="7">
        <v>31.754825165888601</v>
      </c>
      <c r="V18" s="7">
        <v>1.693725718424359</v>
      </c>
      <c r="W18" s="7">
        <v>2.752433295447287</v>
      </c>
      <c r="X18" s="7">
        <v>3.165093053707865</v>
      </c>
      <c r="Y18" s="7">
        <v>9.205707610825888</v>
      </c>
      <c r="Z18" s="7">
        <v>16.8169596784054</v>
      </c>
      <c r="AA18" s="7">
        <v>0</v>
      </c>
      <c r="AB18" s="7">
        <v>0</v>
      </c>
      <c r="AC18" s="7">
        <v>0</v>
      </c>
      <c r="AD18" s="7">
        <v>0</v>
      </c>
      <c r="AE18" s="7">
        <v>0</v>
      </c>
      <c r="AF18" s="7">
        <v>48.571784844294001</v>
      </c>
      <c r="AG18" s="7">
        <v>2.2476992569075498</v>
      </c>
      <c r="AH18" s="7">
        <v>50.819484101201553</v>
      </c>
      <c r="AI18" s="7">
        <v>0</v>
      </c>
      <c r="AJ18" s="7">
        <v>4.7521680000000002</v>
      </c>
      <c r="AK18" s="7">
        <v>55.571652101201551</v>
      </c>
      <c r="AL18" s="7">
        <v>105.603723</v>
      </c>
      <c r="AM18" s="7">
        <v>2.2476992569075498</v>
      </c>
      <c r="AN18" s="7">
        <v>48.571784844294001</v>
      </c>
      <c r="AO18" s="7">
        <v>54.784238898798463</v>
      </c>
      <c r="AP18" s="7">
        <v>0</v>
      </c>
      <c r="AQ18" s="7">
        <v>4.7521680000000002</v>
      </c>
      <c r="AR18" s="7">
        <v>50.032070898798459</v>
      </c>
    </row>
    <row r="19" spans="1:44" x14ac:dyDescent="0.35">
      <c r="A19" s="5">
        <v>46022</v>
      </c>
      <c r="B19" s="4" t="s">
        <v>67</v>
      </c>
      <c r="C19" s="4" t="s">
        <v>68</v>
      </c>
      <c r="D19" s="4" t="s">
        <v>48</v>
      </c>
      <c r="E19" s="6">
        <v>10000</v>
      </c>
      <c r="F19" s="6">
        <v>0</v>
      </c>
      <c r="G19" s="6">
        <v>10000</v>
      </c>
      <c r="H19" s="6">
        <v>5</v>
      </c>
      <c r="I19" s="6">
        <v>2000</v>
      </c>
      <c r="J19" s="6">
        <v>0</v>
      </c>
      <c r="K19" s="6">
        <v>2000</v>
      </c>
      <c r="L19" s="6">
        <v>2000</v>
      </c>
      <c r="M19" s="7">
        <v>1.2</v>
      </c>
      <c r="N19" s="6">
        <v>69.746376999999995</v>
      </c>
      <c r="O19" s="8">
        <v>0</v>
      </c>
      <c r="P19" s="8">
        <v>0</v>
      </c>
      <c r="Q19" s="7">
        <v>6.7371220000000003</v>
      </c>
      <c r="R19" s="7">
        <v>5.3851599999999999</v>
      </c>
      <c r="S19" s="7">
        <v>0.65639000000000003</v>
      </c>
      <c r="T19" s="7">
        <v>10.436896000000001</v>
      </c>
      <c r="U19" s="7">
        <v>23.215568000000001</v>
      </c>
      <c r="V19" s="7">
        <v>3.0303990000000001</v>
      </c>
      <c r="W19" s="7">
        <v>1.1525350000000001</v>
      </c>
      <c r="X19" s="7">
        <v>6.4980929999999999</v>
      </c>
      <c r="Y19" s="7">
        <v>2.179881</v>
      </c>
      <c r="Z19" s="7">
        <v>12.860908</v>
      </c>
      <c r="AA19" s="7">
        <v>0</v>
      </c>
      <c r="AB19" s="7">
        <v>0</v>
      </c>
      <c r="AC19" s="7">
        <v>0</v>
      </c>
      <c r="AD19" s="7">
        <v>0</v>
      </c>
      <c r="AE19" s="7">
        <v>0</v>
      </c>
      <c r="AF19" s="7">
        <v>36.076476</v>
      </c>
      <c r="AG19" s="7">
        <v>21.757107999999999</v>
      </c>
      <c r="AH19" s="7">
        <v>57.833584000000002</v>
      </c>
      <c r="AI19" s="7">
        <v>5.3260870000000002</v>
      </c>
      <c r="AJ19" s="7">
        <v>2.104228</v>
      </c>
      <c r="AK19" s="7">
        <v>65.263898999999995</v>
      </c>
      <c r="AL19" s="7">
        <v>105.211376</v>
      </c>
      <c r="AM19" s="7">
        <v>21.757107999999999</v>
      </c>
      <c r="AN19" s="7">
        <v>36.076476</v>
      </c>
      <c r="AO19" s="7">
        <v>47.377791999999999</v>
      </c>
      <c r="AP19" s="7">
        <v>5.3260870000000002</v>
      </c>
      <c r="AQ19" s="7">
        <v>2.104228</v>
      </c>
      <c r="AR19" s="7">
        <v>39.947476999999999</v>
      </c>
    </row>
    <row r="20" spans="1:44" x14ac:dyDescent="0.35">
      <c r="A20" s="5">
        <v>46022</v>
      </c>
      <c r="B20" s="4" t="s">
        <v>69</v>
      </c>
      <c r="C20" s="4" t="s">
        <v>70</v>
      </c>
      <c r="D20" s="4" t="s">
        <v>61</v>
      </c>
      <c r="E20" s="6">
        <v>8758.5111109999998</v>
      </c>
      <c r="F20" s="6">
        <v>0</v>
      </c>
      <c r="G20" s="6">
        <v>8758.5111109999998</v>
      </c>
      <c r="H20" s="6">
        <v>6.4909910000000002</v>
      </c>
      <c r="I20" s="6">
        <v>1349.333333</v>
      </c>
      <c r="J20" s="6">
        <v>688</v>
      </c>
      <c r="K20" s="6">
        <v>2037.333333</v>
      </c>
      <c r="L20" s="6">
        <v>2397.7114299999998</v>
      </c>
      <c r="M20" s="7">
        <v>1.2736829999999999</v>
      </c>
      <c r="N20" s="6">
        <v>60.356163000000002</v>
      </c>
      <c r="O20" s="8">
        <v>0</v>
      </c>
      <c r="P20" s="8">
        <v>0</v>
      </c>
      <c r="Q20" s="7">
        <v>20.736465124736839</v>
      </c>
      <c r="R20" s="7">
        <v>11.317451999999999</v>
      </c>
      <c r="S20" s="7">
        <v>2.6251358613157891</v>
      </c>
      <c r="T20" s="7">
        <v>8.3456753305263156</v>
      </c>
      <c r="U20" s="7">
        <v>43.024728316578951</v>
      </c>
      <c r="V20" s="7">
        <v>5.4571022644736846</v>
      </c>
      <c r="W20" s="7">
        <v>6.4444438728947366</v>
      </c>
      <c r="X20" s="7">
        <v>2.9013808831578949</v>
      </c>
      <c r="Y20" s="7">
        <v>6.8366811528947373</v>
      </c>
      <c r="Z20" s="7">
        <v>21.639608173421049</v>
      </c>
      <c r="AA20" s="7">
        <v>0</v>
      </c>
      <c r="AB20" s="7">
        <v>0</v>
      </c>
      <c r="AC20" s="7">
        <v>0</v>
      </c>
      <c r="AD20" s="7">
        <v>0</v>
      </c>
      <c r="AE20" s="7">
        <v>0</v>
      </c>
      <c r="AF20" s="7">
        <v>64.664336489999997</v>
      </c>
      <c r="AG20" s="7">
        <v>15.63499540894737</v>
      </c>
      <c r="AH20" s="7">
        <v>80.299331898947372</v>
      </c>
      <c r="AI20" s="7">
        <v>9.2519639999999992</v>
      </c>
      <c r="AJ20" s="7">
        <v>6.4109230000000004</v>
      </c>
      <c r="AK20" s="7">
        <v>95.96221889894737</v>
      </c>
      <c r="AL20" s="7">
        <v>113.511577</v>
      </c>
      <c r="AM20" s="7">
        <v>15.63499540894737</v>
      </c>
      <c r="AN20" s="7">
        <v>64.664336489999997</v>
      </c>
      <c r="AO20" s="7">
        <v>33.212245101052631</v>
      </c>
      <c r="AP20" s="7">
        <v>9.2519639999999992</v>
      </c>
      <c r="AQ20" s="7">
        <v>6.4109230000000004</v>
      </c>
      <c r="AR20" s="7">
        <v>17.549358101052629</v>
      </c>
    </row>
    <row r="21" spans="1:44" x14ac:dyDescent="0.35">
      <c r="A21" s="5">
        <v>46022</v>
      </c>
      <c r="B21" s="4" t="s">
        <v>71</v>
      </c>
      <c r="C21" s="4" t="s">
        <v>72</v>
      </c>
      <c r="D21" s="4" t="s">
        <v>61</v>
      </c>
      <c r="E21" s="6">
        <v>20298</v>
      </c>
      <c r="F21" s="6">
        <v>0</v>
      </c>
      <c r="G21" s="6">
        <v>20298</v>
      </c>
      <c r="H21" s="6">
        <v>5.2708389999999996</v>
      </c>
      <c r="I21" s="6">
        <v>3851</v>
      </c>
      <c r="J21" s="6">
        <v>0</v>
      </c>
      <c r="K21" s="6">
        <v>3851</v>
      </c>
      <c r="L21" s="6">
        <v>3019.4256759999998</v>
      </c>
      <c r="M21" s="7">
        <v>1.2</v>
      </c>
      <c r="N21" s="6">
        <v>72</v>
      </c>
      <c r="O21" s="8">
        <v>0</v>
      </c>
      <c r="P21" s="8">
        <v>0</v>
      </c>
      <c r="Q21" s="7">
        <v>15.010407675</v>
      </c>
      <c r="R21" s="7">
        <v>5.5509459999999997</v>
      </c>
      <c r="S21" s="7">
        <v>1.004190693157895</v>
      </c>
      <c r="T21" s="7">
        <v>18.777721632631579</v>
      </c>
      <c r="U21" s="7">
        <v>40.343266000789477</v>
      </c>
      <c r="V21" s="7">
        <v>6.2891367513157892</v>
      </c>
      <c r="W21" s="7">
        <v>2.764028636052632</v>
      </c>
      <c r="X21" s="7">
        <v>1.220263403684211</v>
      </c>
      <c r="Y21" s="7">
        <v>9.4447734939473698</v>
      </c>
      <c r="Z21" s="7">
        <v>19.718202285</v>
      </c>
      <c r="AA21" s="7">
        <v>0</v>
      </c>
      <c r="AB21" s="7">
        <v>0</v>
      </c>
      <c r="AC21" s="7">
        <v>0</v>
      </c>
      <c r="AD21" s="7">
        <v>0</v>
      </c>
      <c r="AE21" s="7">
        <v>0</v>
      </c>
      <c r="AF21" s="7">
        <v>60.061468285789481</v>
      </c>
      <c r="AG21" s="7">
        <v>14.375523832105261</v>
      </c>
      <c r="AH21" s="7">
        <v>74.436992117894746</v>
      </c>
      <c r="AI21" s="7">
        <v>5.3930980000000002</v>
      </c>
      <c r="AJ21" s="7">
        <v>7.6209210000000001</v>
      </c>
      <c r="AK21" s="7">
        <v>87.451011117894737</v>
      </c>
      <c r="AL21" s="7">
        <v>114.61895</v>
      </c>
      <c r="AM21" s="7">
        <v>14.375523832105261</v>
      </c>
      <c r="AN21" s="7">
        <v>60.061468285789481</v>
      </c>
      <c r="AO21" s="7">
        <v>40.181957882105259</v>
      </c>
      <c r="AP21" s="7">
        <v>5.3930980000000002</v>
      </c>
      <c r="AQ21" s="7">
        <v>7.6209210000000001</v>
      </c>
      <c r="AR21" s="7">
        <v>27.167938882105261</v>
      </c>
    </row>
    <row r="22" spans="1:44" x14ac:dyDescent="0.35">
      <c r="A22" s="5">
        <v>46022</v>
      </c>
      <c r="B22" s="4" t="s">
        <v>73</v>
      </c>
      <c r="C22" s="4" t="s">
        <v>74</v>
      </c>
      <c r="D22" s="4" t="s">
        <v>61</v>
      </c>
      <c r="E22" s="6">
        <v>3150</v>
      </c>
      <c r="F22" s="6">
        <v>0</v>
      </c>
      <c r="G22" s="6">
        <v>3150</v>
      </c>
      <c r="H22" s="6">
        <v>15</v>
      </c>
      <c r="I22" s="6">
        <v>210</v>
      </c>
      <c r="J22" s="6">
        <v>0</v>
      </c>
      <c r="K22" s="6">
        <v>210</v>
      </c>
      <c r="L22" s="6">
        <v>245</v>
      </c>
      <c r="M22" s="7">
        <v>1.1000000000000001</v>
      </c>
      <c r="N22" s="6">
        <v>60</v>
      </c>
      <c r="O22" s="8">
        <v>0</v>
      </c>
      <c r="P22" s="8">
        <v>0</v>
      </c>
      <c r="Q22" s="7">
        <v>30.453794351052629</v>
      </c>
      <c r="R22" s="7">
        <v>6.5854030000000003</v>
      </c>
      <c r="S22" s="7">
        <v>1.3966852263157901</v>
      </c>
      <c r="T22" s="7">
        <v>25.64073633552632</v>
      </c>
      <c r="U22" s="7">
        <v>64.076618912894745</v>
      </c>
      <c r="V22" s="7">
        <v>13.94106014131579</v>
      </c>
      <c r="W22" s="7">
        <v>0</v>
      </c>
      <c r="X22" s="7">
        <v>3.9131715126315791</v>
      </c>
      <c r="Y22" s="7">
        <v>20.060375906842111</v>
      </c>
      <c r="Z22" s="7">
        <v>37.914607560789477</v>
      </c>
      <c r="AA22" s="7">
        <v>0</v>
      </c>
      <c r="AB22" s="7">
        <v>0</v>
      </c>
      <c r="AC22" s="7">
        <v>0</v>
      </c>
      <c r="AD22" s="7">
        <v>0</v>
      </c>
      <c r="AE22" s="7">
        <v>0</v>
      </c>
      <c r="AF22" s="7">
        <v>101.99122647368419</v>
      </c>
      <c r="AG22" s="7">
        <v>5.2554975513157904</v>
      </c>
      <c r="AH22" s="7">
        <v>107.24672402500001</v>
      </c>
      <c r="AI22" s="7">
        <v>2.9512040000000002</v>
      </c>
      <c r="AJ22" s="7">
        <v>6.0280670000000001</v>
      </c>
      <c r="AK22" s="7">
        <v>116.225995025</v>
      </c>
      <c r="AL22" s="7">
        <v>97.630189000000001</v>
      </c>
      <c r="AM22" s="7">
        <v>5.2554975513157904</v>
      </c>
      <c r="AN22" s="7">
        <v>101.99122647368419</v>
      </c>
      <c r="AO22" s="7">
        <v>-9.6165350250000046</v>
      </c>
      <c r="AP22" s="7">
        <v>2.9512040000000002</v>
      </c>
      <c r="AQ22" s="7">
        <v>6.0280670000000001</v>
      </c>
      <c r="AR22" s="7">
        <v>-18.595806025000002</v>
      </c>
    </row>
    <row r="23" spans="1:44" x14ac:dyDescent="0.35">
      <c r="A23" s="5">
        <v>46022</v>
      </c>
      <c r="B23" s="4" t="s">
        <v>75</v>
      </c>
      <c r="C23" s="4" t="s">
        <v>76</v>
      </c>
      <c r="D23" s="4" t="s">
        <v>61</v>
      </c>
      <c r="E23" s="6">
        <v>3580</v>
      </c>
      <c r="F23" s="6">
        <v>0</v>
      </c>
      <c r="G23" s="6">
        <v>3580</v>
      </c>
      <c r="H23" s="6">
        <v>2.5211269999999999</v>
      </c>
      <c r="I23" s="6">
        <v>1420</v>
      </c>
      <c r="J23" s="6">
        <v>0</v>
      </c>
      <c r="K23" s="6">
        <v>1420</v>
      </c>
      <c r="L23" s="6">
        <v>1420</v>
      </c>
      <c r="M23" s="7">
        <v>1.54</v>
      </c>
      <c r="N23" s="6">
        <v>68.955507999999995</v>
      </c>
      <c r="O23" s="8">
        <v>0</v>
      </c>
      <c r="P23" s="8">
        <v>0</v>
      </c>
      <c r="Q23" s="7">
        <v>27.231326628157898</v>
      </c>
      <c r="R23" s="7">
        <v>20.981695999999999</v>
      </c>
      <c r="S23" s="7">
        <v>1.3315922005263161</v>
      </c>
      <c r="T23" s="7">
        <v>19.940785095789469</v>
      </c>
      <c r="U23" s="7">
        <v>69.485399924473697</v>
      </c>
      <c r="V23" s="7">
        <v>12.979653240789469</v>
      </c>
      <c r="W23" s="7">
        <v>2.0864537313157898</v>
      </c>
      <c r="X23" s="7">
        <v>2.3078978478947372</v>
      </c>
      <c r="Y23" s="7">
        <v>12.25618656631579</v>
      </c>
      <c r="Z23" s="7">
        <v>29.63019138631579</v>
      </c>
      <c r="AA23" s="7">
        <v>3.425329785789474</v>
      </c>
      <c r="AB23" s="7">
        <v>10.14127943921053</v>
      </c>
      <c r="AC23" s="7">
        <v>3.2840499410526318</v>
      </c>
      <c r="AD23" s="7">
        <v>18.55034473973684</v>
      </c>
      <c r="AE23" s="7">
        <v>35.40100390578948</v>
      </c>
      <c r="AF23" s="7">
        <v>134.51659521657899</v>
      </c>
      <c r="AG23" s="7">
        <v>1.2103771050000001</v>
      </c>
      <c r="AH23" s="7">
        <v>135.82974641578949</v>
      </c>
      <c r="AI23" s="7">
        <v>5.4980640000000003</v>
      </c>
      <c r="AJ23" s="7">
        <v>13.576195999999999</v>
      </c>
      <c r="AK23" s="7">
        <v>154.9040064157895</v>
      </c>
      <c r="AL23" s="7">
        <v>271.52391699999998</v>
      </c>
      <c r="AM23" s="7">
        <v>1.2103771050000001</v>
      </c>
      <c r="AN23" s="7">
        <v>134.51659521657899</v>
      </c>
      <c r="AO23" s="7">
        <v>135.6941705842105</v>
      </c>
      <c r="AP23" s="7">
        <v>5.4980640000000003</v>
      </c>
      <c r="AQ23" s="7">
        <v>13.576195999999999</v>
      </c>
      <c r="AR23" s="7">
        <v>116.6199105842105</v>
      </c>
    </row>
    <row r="24" spans="1:44" x14ac:dyDescent="0.35">
      <c r="A24" s="5">
        <v>46022</v>
      </c>
      <c r="B24" s="4" t="s">
        <v>77</v>
      </c>
      <c r="C24" s="4" t="s">
        <v>78</v>
      </c>
      <c r="D24" s="4" t="s">
        <v>79</v>
      </c>
      <c r="E24" s="6">
        <v>16702.973000000002</v>
      </c>
      <c r="F24" s="6">
        <v>0</v>
      </c>
      <c r="G24" s="6">
        <v>16702.973000000002</v>
      </c>
      <c r="H24" s="6">
        <v>12.5</v>
      </c>
      <c r="I24" s="6">
        <v>1336.23784</v>
      </c>
      <c r="J24" s="6">
        <v>0</v>
      </c>
      <c r="K24" s="6">
        <v>1336.23784</v>
      </c>
      <c r="L24" s="6">
        <v>1289.486613</v>
      </c>
      <c r="M24" s="7">
        <v>1.1550290000000001</v>
      </c>
      <c r="N24" s="6">
        <v>71.594581000000005</v>
      </c>
      <c r="O24" s="8">
        <v>0</v>
      </c>
      <c r="P24" s="8">
        <v>0</v>
      </c>
      <c r="Q24" s="7">
        <v>31.22764522883212</v>
      </c>
      <c r="R24" s="7">
        <v>13.628848</v>
      </c>
      <c r="S24" s="7">
        <v>0.52052607635036496</v>
      </c>
      <c r="T24" s="7">
        <v>22.270388138978099</v>
      </c>
      <c r="U24" s="7">
        <v>67.647407444160578</v>
      </c>
      <c r="V24" s="7">
        <v>13.13094815759124</v>
      </c>
      <c r="W24" s="7">
        <v>4.0184752195620437</v>
      </c>
      <c r="X24" s="7">
        <v>3.4610084174452558</v>
      </c>
      <c r="Y24" s="7">
        <v>12.06854052372263</v>
      </c>
      <c r="Z24" s="7">
        <v>32.678972318321172</v>
      </c>
      <c r="AA24" s="7">
        <v>0</v>
      </c>
      <c r="AB24" s="7">
        <v>0</v>
      </c>
      <c r="AC24" s="7">
        <v>0</v>
      </c>
      <c r="AD24" s="7">
        <v>0</v>
      </c>
      <c r="AE24" s="7">
        <v>0</v>
      </c>
      <c r="AF24" s="7">
        <v>100.32637976248181</v>
      </c>
      <c r="AG24" s="7">
        <v>3.9285600545255481</v>
      </c>
      <c r="AH24" s="7">
        <v>104.2549398170073</v>
      </c>
      <c r="AI24" s="7">
        <v>4.7707980000000001</v>
      </c>
      <c r="AJ24" s="7">
        <v>0.89725200000000005</v>
      </c>
      <c r="AK24" s="7">
        <v>109.92298981700731</v>
      </c>
      <c r="AL24" s="7">
        <v>125.330583</v>
      </c>
      <c r="AM24" s="7">
        <v>3.9285600545255481</v>
      </c>
      <c r="AN24" s="7">
        <v>100.32637976248181</v>
      </c>
      <c r="AO24" s="7">
        <v>21.0756431829927</v>
      </c>
      <c r="AP24" s="7">
        <v>4.7707980000000001</v>
      </c>
      <c r="AQ24" s="7">
        <v>0.89725200000000005</v>
      </c>
      <c r="AR24" s="7">
        <v>15.4075931829927</v>
      </c>
    </row>
    <row r="25" spans="1:44" x14ac:dyDescent="0.35">
      <c r="A25" s="5">
        <v>46022</v>
      </c>
      <c r="B25" s="4" t="s">
        <v>80</v>
      </c>
      <c r="C25" s="4" t="s">
        <v>81</v>
      </c>
      <c r="D25" s="4" t="s">
        <v>61</v>
      </c>
      <c r="E25" s="6">
        <v>18852.810079999999</v>
      </c>
      <c r="F25" s="6">
        <v>0</v>
      </c>
      <c r="G25" s="6">
        <v>18852.810079999999</v>
      </c>
      <c r="H25" s="6">
        <v>3.402345</v>
      </c>
      <c r="I25" s="6">
        <v>5541.1219769999998</v>
      </c>
      <c r="J25" s="6">
        <v>0</v>
      </c>
      <c r="K25" s="6">
        <v>5541.1219769999998</v>
      </c>
      <c r="L25" s="6">
        <v>3984.9920000000002</v>
      </c>
      <c r="M25" s="7">
        <v>1.4</v>
      </c>
      <c r="N25" s="6">
        <v>69.016878000000005</v>
      </c>
      <c r="O25" s="8">
        <v>0</v>
      </c>
      <c r="P25" s="8">
        <v>0</v>
      </c>
      <c r="Q25" s="7">
        <v>13.20702315394737</v>
      </c>
      <c r="R25" s="7">
        <v>6.4583760000000003</v>
      </c>
      <c r="S25" s="7">
        <v>0.96558975710526307</v>
      </c>
      <c r="T25" s="7">
        <v>21.429368528684211</v>
      </c>
      <c r="U25" s="7">
        <v>42.06035743973684</v>
      </c>
      <c r="V25" s="7">
        <v>5.7327699623684207</v>
      </c>
      <c r="W25" s="7">
        <v>2.2360933065789479</v>
      </c>
      <c r="X25" s="7">
        <v>7.8293074192105268</v>
      </c>
      <c r="Y25" s="7">
        <v>11.11927218868421</v>
      </c>
      <c r="Z25" s="7">
        <v>26.917442876842109</v>
      </c>
      <c r="AA25" s="7">
        <v>0</v>
      </c>
      <c r="AB25" s="7">
        <v>0</v>
      </c>
      <c r="AC25" s="7">
        <v>0</v>
      </c>
      <c r="AD25" s="7">
        <v>0</v>
      </c>
      <c r="AE25" s="7">
        <v>0</v>
      </c>
      <c r="AF25" s="7">
        <v>68.97780031657895</v>
      </c>
      <c r="AG25" s="7">
        <v>6.0638816984210528</v>
      </c>
      <c r="AH25" s="7">
        <v>75.041682015000006</v>
      </c>
      <c r="AI25" s="7">
        <v>9.4729050000000008</v>
      </c>
      <c r="AJ25" s="7">
        <v>6.5967539999999998</v>
      </c>
      <c r="AK25" s="7">
        <v>91.111341014999994</v>
      </c>
      <c r="AL25" s="7">
        <v>147.108124</v>
      </c>
      <c r="AM25" s="7">
        <v>6.0638816984210528</v>
      </c>
      <c r="AN25" s="7">
        <v>68.97780031657895</v>
      </c>
      <c r="AO25" s="7">
        <v>72.066441984999997</v>
      </c>
      <c r="AP25" s="7">
        <v>9.4729050000000008</v>
      </c>
      <c r="AQ25" s="7">
        <v>6.5967539999999998</v>
      </c>
      <c r="AR25" s="7">
        <v>55.996782985000003</v>
      </c>
    </row>
    <row r="26" spans="1:44" x14ac:dyDescent="0.35">
      <c r="A26" s="5">
        <v>46022</v>
      </c>
      <c r="B26" s="4" t="s">
        <v>82</v>
      </c>
      <c r="C26" s="4" t="s">
        <v>83</v>
      </c>
      <c r="D26" s="4" t="s">
        <v>48</v>
      </c>
      <c r="E26" s="6">
        <v>3000</v>
      </c>
      <c r="F26" s="6">
        <v>0</v>
      </c>
      <c r="G26" s="6">
        <v>3000</v>
      </c>
      <c r="H26" s="6">
        <v>4</v>
      </c>
      <c r="I26" s="6">
        <v>750</v>
      </c>
      <c r="J26" s="6">
        <v>0</v>
      </c>
      <c r="K26" s="6">
        <v>750</v>
      </c>
      <c r="L26" s="6">
        <v>750</v>
      </c>
      <c r="M26" s="7">
        <v>1.8</v>
      </c>
      <c r="N26" s="6">
        <v>65</v>
      </c>
      <c r="O26" s="8">
        <v>0</v>
      </c>
      <c r="P26" s="8">
        <v>0</v>
      </c>
      <c r="Q26" s="7">
        <v>19.217956000000001</v>
      </c>
      <c r="R26" s="7">
        <v>6.6444130000000001</v>
      </c>
      <c r="S26" s="7">
        <v>0.17019899999999999</v>
      </c>
      <c r="T26" s="7">
        <v>8.9446589999999997</v>
      </c>
      <c r="U26" s="7">
        <v>34.977226999999999</v>
      </c>
      <c r="V26" s="7">
        <v>10.453067000000001</v>
      </c>
      <c r="W26" s="7">
        <v>1.0477590000000001</v>
      </c>
      <c r="X26" s="7">
        <v>7.6527919999999998</v>
      </c>
      <c r="Y26" s="7">
        <v>7.8329719999999998</v>
      </c>
      <c r="Z26" s="7">
        <v>26.98659</v>
      </c>
      <c r="AA26" s="7">
        <v>0</v>
      </c>
      <c r="AB26" s="7">
        <v>0</v>
      </c>
      <c r="AC26" s="7">
        <v>0</v>
      </c>
      <c r="AD26" s="7">
        <v>0</v>
      </c>
      <c r="AE26" s="7">
        <v>0</v>
      </c>
      <c r="AF26" s="7">
        <v>61.963816999999999</v>
      </c>
      <c r="AG26" s="7">
        <v>19.742197000000001</v>
      </c>
      <c r="AH26" s="7">
        <v>81.706013999999996</v>
      </c>
      <c r="AI26" s="7">
        <v>10.237500000000001</v>
      </c>
      <c r="AJ26" s="7">
        <v>2.9415460000000002</v>
      </c>
      <c r="AK26" s="7">
        <v>94.885059999999996</v>
      </c>
      <c r="AL26" s="7">
        <v>147.077305</v>
      </c>
      <c r="AM26" s="7">
        <v>19.742197000000001</v>
      </c>
      <c r="AN26" s="7">
        <v>61.963816999999999</v>
      </c>
      <c r="AO26" s="7">
        <v>65.371290999999985</v>
      </c>
      <c r="AP26" s="7">
        <v>10.237500000000001</v>
      </c>
      <c r="AQ26" s="7">
        <v>2.9415460000000002</v>
      </c>
      <c r="AR26" s="7">
        <v>52.192244999999993</v>
      </c>
    </row>
    <row r="27" spans="1:44" x14ac:dyDescent="0.35">
      <c r="A27" s="5">
        <v>46022</v>
      </c>
      <c r="B27" s="4" t="s">
        <v>84</v>
      </c>
      <c r="C27" s="4" t="s">
        <v>85</v>
      </c>
      <c r="D27" s="4" t="s">
        <v>61</v>
      </c>
      <c r="E27" s="6">
        <v>17080</v>
      </c>
      <c r="F27" s="6">
        <v>0</v>
      </c>
      <c r="G27" s="6">
        <v>17080</v>
      </c>
      <c r="H27" s="6">
        <v>3.05</v>
      </c>
      <c r="I27" s="6">
        <v>5600</v>
      </c>
      <c r="J27" s="6">
        <v>0</v>
      </c>
      <c r="K27" s="6">
        <v>5600</v>
      </c>
      <c r="L27" s="6">
        <v>5600</v>
      </c>
      <c r="M27" s="7">
        <v>1.17</v>
      </c>
      <c r="N27" s="6">
        <v>63.174208999999998</v>
      </c>
      <c r="O27" s="8">
        <v>0</v>
      </c>
      <c r="P27" s="8">
        <v>0</v>
      </c>
      <c r="Q27" s="7">
        <v>7.2868634244078949</v>
      </c>
      <c r="R27" s="7">
        <v>6.0074540000000001</v>
      </c>
      <c r="S27" s="7">
        <v>0.73170832578947376</v>
      </c>
      <c r="T27" s="7">
        <v>12.18579559085526</v>
      </c>
      <c r="U27" s="7">
        <v>26.21182134105263</v>
      </c>
      <c r="V27" s="7">
        <v>4.5526324211842111</v>
      </c>
      <c r="W27" s="7">
        <v>3.163658807763158</v>
      </c>
      <c r="X27" s="7">
        <v>3.7328004903947369</v>
      </c>
      <c r="Y27" s="7">
        <v>7.8417571571052633</v>
      </c>
      <c r="Z27" s="7">
        <v>19.29084887644737</v>
      </c>
      <c r="AA27" s="7">
        <v>3.4447025660526318</v>
      </c>
      <c r="AB27" s="7">
        <v>4.5827364015789476</v>
      </c>
      <c r="AC27" s="7">
        <v>3.825427513026316</v>
      </c>
      <c r="AD27" s="7">
        <v>24.162035712631582</v>
      </c>
      <c r="AE27" s="7">
        <v>36.01490219328948</v>
      </c>
      <c r="AF27" s="7">
        <v>81.517572410789484</v>
      </c>
      <c r="AG27" s="7">
        <v>13.512817505921049</v>
      </c>
      <c r="AH27" s="7">
        <v>95.38692472342106</v>
      </c>
      <c r="AI27" s="7">
        <v>3.1789200000000002</v>
      </c>
      <c r="AJ27" s="7">
        <v>40.799818000000002</v>
      </c>
      <c r="AK27" s="7">
        <v>139.36566272342111</v>
      </c>
      <c r="AL27" s="7">
        <v>446.67424799999998</v>
      </c>
      <c r="AM27" s="7">
        <v>13.512817505921049</v>
      </c>
      <c r="AN27" s="7">
        <v>81.517572410789484</v>
      </c>
      <c r="AO27" s="7">
        <v>351.28732327657889</v>
      </c>
      <c r="AP27" s="7">
        <v>3.1789200000000002</v>
      </c>
      <c r="AQ27" s="7">
        <v>40.799818000000002</v>
      </c>
      <c r="AR27" s="7">
        <v>307.30858527657892</v>
      </c>
    </row>
    <row r="28" spans="1:44" x14ac:dyDescent="0.35">
      <c r="A28" s="5">
        <v>46022</v>
      </c>
      <c r="B28" s="4" t="s">
        <v>86</v>
      </c>
      <c r="C28" s="4" t="s">
        <v>87</v>
      </c>
      <c r="D28" s="4" t="s">
        <v>66</v>
      </c>
      <c r="E28" s="6">
        <v>0</v>
      </c>
      <c r="F28" s="6">
        <v>0</v>
      </c>
      <c r="G28" s="6">
        <v>0</v>
      </c>
      <c r="H28" s="6">
        <v>0</v>
      </c>
      <c r="I28" s="6">
        <v>0</v>
      </c>
      <c r="J28" s="6">
        <v>300</v>
      </c>
      <c r="K28" s="6">
        <v>300</v>
      </c>
      <c r="L28" s="6">
        <v>300</v>
      </c>
      <c r="M28" s="7">
        <v>0.55000000000000004</v>
      </c>
      <c r="N28" s="6">
        <v>80</v>
      </c>
      <c r="O28" s="8">
        <v>0</v>
      </c>
      <c r="P28" s="8">
        <v>0</v>
      </c>
      <c r="Q28" s="7">
        <v>12.274396556952251</v>
      </c>
      <c r="R28" s="7">
        <v>1.1435789999999999</v>
      </c>
      <c r="S28" s="7">
        <v>3.0733523876404489</v>
      </c>
      <c r="T28" s="7">
        <v>15.37101704157303</v>
      </c>
      <c r="U28" s="7">
        <v>31.862344986165731</v>
      </c>
      <c r="V28" s="7">
        <v>9.9719607228932574</v>
      </c>
      <c r="W28" s="7">
        <v>0</v>
      </c>
      <c r="X28" s="7">
        <v>1.795181721910112</v>
      </c>
      <c r="Y28" s="7">
        <v>3.1900707929073029</v>
      </c>
      <c r="Z28" s="7">
        <v>14.95721323771067</v>
      </c>
      <c r="AA28" s="7">
        <v>0</v>
      </c>
      <c r="AB28" s="7">
        <v>0</v>
      </c>
      <c r="AC28" s="7">
        <v>0</v>
      </c>
      <c r="AD28" s="7">
        <v>0</v>
      </c>
      <c r="AE28" s="7">
        <v>0</v>
      </c>
      <c r="AF28" s="7">
        <v>46.819558223876399</v>
      </c>
      <c r="AG28" s="7">
        <v>2.3813851979634828</v>
      </c>
      <c r="AH28" s="7">
        <v>49.200943421839888</v>
      </c>
      <c r="AI28" s="7">
        <v>0</v>
      </c>
      <c r="AJ28" s="7">
        <v>1.5948610000000001</v>
      </c>
      <c r="AK28" s="7">
        <v>50.79580442183989</v>
      </c>
      <c r="AL28" s="7">
        <v>35.44135</v>
      </c>
      <c r="AM28" s="7">
        <v>2.3813851979634828</v>
      </c>
      <c r="AN28" s="7">
        <v>46.819558223876399</v>
      </c>
      <c r="AO28" s="7">
        <v>-13.75959342183989</v>
      </c>
      <c r="AP28" s="7">
        <v>0</v>
      </c>
      <c r="AQ28" s="7">
        <v>1.5948610000000001</v>
      </c>
      <c r="AR28" s="7">
        <v>-15.35445442183989</v>
      </c>
    </row>
    <row r="29" spans="1:44" x14ac:dyDescent="0.35">
      <c r="A29" s="5">
        <v>46022</v>
      </c>
      <c r="B29" s="4" t="s">
        <v>88</v>
      </c>
      <c r="C29" s="4" t="s">
        <v>89</v>
      </c>
      <c r="D29" s="4" t="s">
        <v>66</v>
      </c>
      <c r="E29" s="6">
        <v>3200</v>
      </c>
      <c r="F29" s="6">
        <v>0</v>
      </c>
      <c r="G29" s="6">
        <v>3200</v>
      </c>
      <c r="H29" s="6">
        <v>2</v>
      </c>
      <c r="I29" s="6">
        <v>1600</v>
      </c>
      <c r="J29" s="6">
        <v>0</v>
      </c>
      <c r="K29" s="6">
        <v>1600</v>
      </c>
      <c r="L29" s="6">
        <v>1600</v>
      </c>
      <c r="M29" s="7">
        <v>0.65</v>
      </c>
      <c r="N29" s="6">
        <v>60</v>
      </c>
      <c r="O29" s="8">
        <v>0</v>
      </c>
      <c r="P29" s="8">
        <v>0</v>
      </c>
      <c r="Q29" s="7">
        <v>0.64816741910112363</v>
      </c>
      <c r="R29" s="7">
        <v>1.2023699999999999</v>
      </c>
      <c r="S29" s="7">
        <v>7.4284346910112362E-2</v>
      </c>
      <c r="T29" s="7">
        <v>1.233512076123596</v>
      </c>
      <c r="U29" s="7">
        <v>3.1583338421348319</v>
      </c>
      <c r="V29" s="7">
        <v>0.49615045189606738</v>
      </c>
      <c r="W29" s="7">
        <v>0.87003966650280895</v>
      </c>
      <c r="X29" s="7">
        <v>1.615544574789326</v>
      </c>
      <c r="Y29" s="7">
        <v>2.5350168249297749</v>
      </c>
      <c r="Z29" s="7">
        <v>5.5167515181179771</v>
      </c>
      <c r="AA29" s="7">
        <v>0</v>
      </c>
      <c r="AB29" s="7">
        <v>0</v>
      </c>
      <c r="AC29" s="7">
        <v>0</v>
      </c>
      <c r="AD29" s="7">
        <v>0</v>
      </c>
      <c r="AE29" s="7">
        <v>0</v>
      </c>
      <c r="AF29" s="7">
        <v>8.6750853602528082</v>
      </c>
      <c r="AG29" s="7">
        <v>1.155810449297753</v>
      </c>
      <c r="AH29" s="7">
        <v>9.8308958095505616</v>
      </c>
      <c r="AI29" s="7">
        <v>0</v>
      </c>
      <c r="AJ29" s="7">
        <v>1.2336959999999999</v>
      </c>
      <c r="AK29" s="7">
        <v>11.06459180955056</v>
      </c>
      <c r="AL29" s="7">
        <v>16.752282000000001</v>
      </c>
      <c r="AM29" s="7">
        <v>1.155810449297753</v>
      </c>
      <c r="AN29" s="7">
        <v>8.6750853602528082</v>
      </c>
      <c r="AO29" s="7">
        <v>6.9213861904494394</v>
      </c>
      <c r="AP29" s="7">
        <v>0</v>
      </c>
      <c r="AQ29" s="7">
        <v>1.2336959999999999</v>
      </c>
      <c r="AR29" s="7">
        <v>5.6876901904494392</v>
      </c>
    </row>
  </sheetData>
  <mergeCells count="45">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56"/>
  <sheetViews>
    <sheetView workbookViewId="0"/>
  </sheetViews>
  <sheetFormatPr defaultRowHeight="14.5" x14ac:dyDescent="0.35"/>
  <cols>
    <col min="1" max="1" width="48.54296875" customWidth="1"/>
    <col min="2" max="2" width="30.1796875" customWidth="1"/>
    <col min="3" max="3" width="16.1796875" customWidth="1"/>
    <col min="4" max="4" width="17.453125" customWidth="1"/>
    <col min="5" max="5" width="20.453125" customWidth="1"/>
    <col min="6" max="6" width="19.54296875" customWidth="1"/>
    <col min="7" max="7" width="16.1796875" customWidth="1"/>
    <col min="8" max="8" width="21.1796875" customWidth="1"/>
    <col min="9" max="9" width="25.54296875" customWidth="1"/>
    <col min="10" max="30" width="21.1796875" customWidth="1"/>
    <col min="31" max="31" width="16.1796875" customWidth="1"/>
    <col min="32" max="32" width="29.453125" customWidth="1"/>
    <col min="33" max="39" width="21.1796875" customWidth="1"/>
    <col min="40" max="40" width="21.54296875" customWidth="1"/>
    <col min="41" max="41" width="21.1796875" customWidth="1"/>
    <col min="42" max="43" width="16.1796875" customWidth="1"/>
    <col min="44" max="44" width="18.81640625" customWidth="1"/>
    <col min="45" max="45" width="21.1796875" customWidth="1"/>
    <col min="46" max="47" width="22" customWidth="1"/>
  </cols>
  <sheetData>
    <row r="1" spans="1:47" ht="40" customHeight="1" x14ac:dyDescent="0.35">
      <c r="A1" s="12"/>
      <c r="B1" s="12"/>
      <c r="C1" s="12"/>
      <c r="D1" s="12"/>
    </row>
    <row r="2" spans="1:47" ht="30" customHeight="1" x14ac:dyDescent="0.45">
      <c r="A2" s="1" t="s">
        <v>178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spans="1:47" x14ac:dyDescent="0.35">
      <c r="A3" s="3" t="s">
        <v>0</v>
      </c>
    </row>
    <row r="4" spans="1:47" x14ac:dyDescent="0.35">
      <c r="A4" s="3" t="s">
        <v>1</v>
      </c>
    </row>
    <row r="5" spans="1:47" x14ac:dyDescent="0.35">
      <c r="A5" s="4"/>
    </row>
    <row r="6" spans="1:47" x14ac:dyDescent="0.35">
      <c r="A6" s="13" t="s">
        <v>3</v>
      </c>
      <c r="B6" s="13" t="s">
        <v>4</v>
      </c>
      <c r="C6" s="13" t="s">
        <v>5</v>
      </c>
      <c r="D6" s="13" t="s">
        <v>6</v>
      </c>
      <c r="E6" s="13" t="s">
        <v>91</v>
      </c>
      <c r="F6" s="14" t="s">
        <v>92</v>
      </c>
      <c r="G6" s="14" t="s">
        <v>93</v>
      </c>
      <c r="H6" s="14" t="s">
        <v>94</v>
      </c>
      <c r="I6" s="14" t="s">
        <v>95</v>
      </c>
      <c r="J6" s="14" t="s">
        <v>96</v>
      </c>
      <c r="K6" s="14" t="s">
        <v>97</v>
      </c>
      <c r="L6" s="14" t="s">
        <v>98</v>
      </c>
      <c r="M6" s="14" t="s">
        <v>99</v>
      </c>
      <c r="N6" s="14" t="s">
        <v>100</v>
      </c>
      <c r="O6" s="14" t="s">
        <v>101</v>
      </c>
      <c r="P6" s="14" t="s">
        <v>102</v>
      </c>
      <c r="Q6" s="14" t="s">
        <v>103</v>
      </c>
      <c r="R6" s="14" t="s">
        <v>104</v>
      </c>
      <c r="S6" s="14" t="s">
        <v>105</v>
      </c>
      <c r="T6" s="14" t="s">
        <v>106</v>
      </c>
      <c r="U6" s="14" t="s">
        <v>107</v>
      </c>
      <c r="V6" s="14" t="s">
        <v>108</v>
      </c>
      <c r="W6" s="14" t="s">
        <v>109</v>
      </c>
      <c r="X6" s="14" t="s">
        <v>110</v>
      </c>
      <c r="Y6" s="14" t="s">
        <v>111</v>
      </c>
      <c r="Z6" s="14" t="s">
        <v>112</v>
      </c>
      <c r="AA6" s="14" t="s">
        <v>113</v>
      </c>
      <c r="AB6" s="14" t="s">
        <v>114</v>
      </c>
      <c r="AC6" s="14" t="s">
        <v>115</v>
      </c>
      <c r="AD6" s="14" t="s">
        <v>116</v>
      </c>
      <c r="AE6" s="14" t="s">
        <v>117</v>
      </c>
      <c r="AF6" s="14" t="s">
        <v>118</v>
      </c>
      <c r="AG6" s="14" t="s">
        <v>119</v>
      </c>
      <c r="AH6" s="14" t="s">
        <v>114</v>
      </c>
      <c r="AI6" s="14" t="s">
        <v>120</v>
      </c>
      <c r="AJ6" s="14" t="s">
        <v>115</v>
      </c>
      <c r="AK6" s="14" t="s">
        <v>121</v>
      </c>
      <c r="AL6" s="14" t="s">
        <v>122</v>
      </c>
      <c r="AM6" s="14" t="s">
        <v>123</v>
      </c>
      <c r="AN6" s="14" t="s">
        <v>124</v>
      </c>
      <c r="AO6" s="14" t="s">
        <v>125</v>
      </c>
      <c r="AP6" s="14" t="s">
        <v>126</v>
      </c>
      <c r="AQ6" s="14" t="s">
        <v>127</v>
      </c>
      <c r="AR6" s="14" t="s">
        <v>128</v>
      </c>
      <c r="AS6" s="14" t="s">
        <v>129</v>
      </c>
      <c r="AT6" s="14" t="s">
        <v>130</v>
      </c>
      <c r="AU6" s="14" t="s">
        <v>131</v>
      </c>
    </row>
    <row r="7" spans="1:47" x14ac:dyDescent="0.35">
      <c r="A7" s="13"/>
      <c r="B7" s="13"/>
      <c r="C7" s="13"/>
      <c r="D7" s="13"/>
      <c r="E7" s="13"/>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row>
    <row r="8" spans="1:47" x14ac:dyDescent="0.35">
      <c r="A8" s="13"/>
      <c r="B8" s="13"/>
      <c r="C8" s="13"/>
      <c r="D8" s="13"/>
      <c r="E8" s="13"/>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row>
    <row r="9" spans="1:47" x14ac:dyDescent="0.35">
      <c r="A9" s="13"/>
      <c r="B9" s="13"/>
      <c r="C9" s="13"/>
      <c r="D9" s="13"/>
      <c r="E9" s="13"/>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row>
    <row r="10" spans="1:47" x14ac:dyDescent="0.35">
      <c r="A10" s="5">
        <v>46022</v>
      </c>
      <c r="B10" s="4" t="s">
        <v>43</v>
      </c>
      <c r="C10" s="4" t="s">
        <v>44</v>
      </c>
      <c r="D10" s="4" t="s">
        <v>45</v>
      </c>
      <c r="E10" s="4" t="s">
        <v>132</v>
      </c>
      <c r="F10" s="6">
        <v>0.68006800000000001</v>
      </c>
      <c r="G10" s="6">
        <v>2.5</v>
      </c>
      <c r="H10" s="7">
        <v>758.29717643478261</v>
      </c>
      <c r="I10" s="7">
        <v>533.85637999999994</v>
      </c>
      <c r="J10" s="7">
        <v>170.7277374347826</v>
      </c>
      <c r="K10" s="7">
        <v>430.0029169</v>
      </c>
      <c r="L10" s="7">
        <v>1892.884210769565</v>
      </c>
      <c r="M10" s="7">
        <v>958.55279196956519</v>
      </c>
      <c r="N10" s="7">
        <v>0</v>
      </c>
      <c r="O10" s="7">
        <v>78.373485582608694</v>
      </c>
      <c r="P10" s="7">
        <v>547.81304475652178</v>
      </c>
      <c r="Q10" s="7">
        <v>1584.739322308696</v>
      </c>
      <c r="R10" s="7">
        <v>0</v>
      </c>
      <c r="S10" s="7">
        <v>0</v>
      </c>
      <c r="T10" s="7">
        <v>0</v>
      </c>
      <c r="U10" s="7">
        <v>0</v>
      </c>
      <c r="V10" s="7">
        <v>0</v>
      </c>
      <c r="W10" s="7">
        <v>3477.6235330782611</v>
      </c>
      <c r="X10" s="7">
        <v>556.15272031304346</v>
      </c>
      <c r="Y10" s="7">
        <v>4033.7762533913042</v>
      </c>
      <c r="Z10" s="7">
        <v>0</v>
      </c>
      <c r="AA10" s="7">
        <v>0</v>
      </c>
      <c r="AB10" s="7">
        <v>4033.7762533913042</v>
      </c>
      <c r="AC10" s="7">
        <v>0</v>
      </c>
      <c r="AD10" s="7">
        <v>348.0176799434783</v>
      </c>
      <c r="AE10" s="7">
        <v>0</v>
      </c>
      <c r="AF10" s="7">
        <v>0</v>
      </c>
      <c r="AG10" s="7">
        <v>4381.7939333347831</v>
      </c>
      <c r="AH10" s="7">
        <v>4033.7762533913042</v>
      </c>
      <c r="AI10" s="7">
        <v>69.603531969565211</v>
      </c>
      <c r="AJ10" s="7">
        <v>0</v>
      </c>
      <c r="AK10" s="7">
        <v>0</v>
      </c>
      <c r="AL10" s="7">
        <v>348.0176799434783</v>
      </c>
      <c r="AM10" s="7">
        <v>4451.3974653043479</v>
      </c>
      <c r="AN10" s="7">
        <v>0</v>
      </c>
      <c r="AO10" s="7">
        <v>0</v>
      </c>
      <c r="AP10" s="7">
        <v>0</v>
      </c>
      <c r="AQ10" s="7">
        <v>0</v>
      </c>
      <c r="AR10" s="7">
        <v>0</v>
      </c>
      <c r="AS10" s="7">
        <v>4451.3974653043479</v>
      </c>
      <c r="AT10" s="7">
        <v>-312.27625339130429</v>
      </c>
      <c r="AU10" s="7">
        <v>-312.27625339130429</v>
      </c>
    </row>
    <row r="11" spans="1:47" x14ac:dyDescent="0.35">
      <c r="A11" s="5">
        <v>46022</v>
      </c>
      <c r="B11" s="4" t="s">
        <v>46</v>
      </c>
      <c r="C11" s="4" t="s">
        <v>47</v>
      </c>
      <c r="D11" s="4" t="s">
        <v>48</v>
      </c>
      <c r="E11" s="4" t="s">
        <v>132</v>
      </c>
      <c r="F11" s="6">
        <v>66.819727</v>
      </c>
      <c r="G11" s="6">
        <v>5.1269999999999998</v>
      </c>
      <c r="H11" s="7">
        <v>496.13058000000001</v>
      </c>
      <c r="I11" s="7">
        <v>159.52221</v>
      </c>
      <c r="J11" s="7">
        <v>23.52599</v>
      </c>
      <c r="K11" s="7">
        <v>482.55763999999999</v>
      </c>
      <c r="L11" s="7">
        <v>1161.73642</v>
      </c>
      <c r="M11" s="7">
        <v>186.92694</v>
      </c>
      <c r="N11" s="7">
        <v>108.43772</v>
      </c>
      <c r="O11" s="7">
        <v>389.87222000000003</v>
      </c>
      <c r="P11" s="7">
        <v>602.57074999999998</v>
      </c>
      <c r="Q11" s="7">
        <v>1287.80763</v>
      </c>
      <c r="R11" s="7">
        <v>0</v>
      </c>
      <c r="S11" s="7">
        <v>0</v>
      </c>
      <c r="T11" s="7">
        <v>0</v>
      </c>
      <c r="U11" s="7">
        <v>0</v>
      </c>
      <c r="V11" s="7">
        <v>0</v>
      </c>
      <c r="W11" s="7">
        <v>2449.54405</v>
      </c>
      <c r="X11" s="7">
        <v>604.28227000000004</v>
      </c>
      <c r="Y11" s="7">
        <v>3053.8263200000001</v>
      </c>
      <c r="Z11" s="7">
        <v>276.04122999999998</v>
      </c>
      <c r="AA11" s="7">
        <v>97.282177898464909</v>
      </c>
      <c r="AB11" s="7">
        <v>3427.1497278984648</v>
      </c>
      <c r="AC11" s="7">
        <v>0</v>
      </c>
      <c r="AD11" s="7">
        <v>543.16175999999996</v>
      </c>
      <c r="AE11" s="7">
        <v>0</v>
      </c>
      <c r="AF11" s="7">
        <v>0</v>
      </c>
      <c r="AG11" s="7">
        <v>3970.3114878984652</v>
      </c>
      <c r="AH11" s="7">
        <v>3427.1497278984648</v>
      </c>
      <c r="AI11" s="7">
        <v>302.85667000000001</v>
      </c>
      <c r="AJ11" s="7">
        <v>0</v>
      </c>
      <c r="AK11" s="7">
        <v>0</v>
      </c>
      <c r="AL11" s="7">
        <v>74.464830000000006</v>
      </c>
      <c r="AM11" s="7">
        <v>3804.4712278984648</v>
      </c>
      <c r="AN11" s="7">
        <v>0</v>
      </c>
      <c r="AO11" s="7">
        <v>0</v>
      </c>
      <c r="AP11" s="7">
        <v>0</v>
      </c>
      <c r="AQ11" s="7">
        <v>0</v>
      </c>
      <c r="AR11" s="7">
        <v>0</v>
      </c>
      <c r="AS11" s="7">
        <v>3804.4712278984648</v>
      </c>
      <c r="AT11" s="7">
        <v>1805.467118413128</v>
      </c>
      <c r="AU11" s="7">
        <v>1432.1437105146631</v>
      </c>
    </row>
    <row r="12" spans="1:47" x14ac:dyDescent="0.35">
      <c r="A12" s="5">
        <v>46022</v>
      </c>
      <c r="B12" s="4" t="s">
        <v>49</v>
      </c>
      <c r="C12" s="4" t="s">
        <v>50</v>
      </c>
      <c r="D12" s="4" t="s">
        <v>48</v>
      </c>
      <c r="E12" s="4" t="s">
        <v>132</v>
      </c>
      <c r="F12" s="6">
        <v>57.125673999999997</v>
      </c>
      <c r="G12" s="6">
        <v>4.4000000000000004</v>
      </c>
      <c r="H12" s="7">
        <v>274.45191999999997</v>
      </c>
      <c r="I12" s="7">
        <v>158.72997000000001</v>
      </c>
      <c r="J12" s="7">
        <v>51.572069999999997</v>
      </c>
      <c r="K12" s="7">
        <v>841.85634000000005</v>
      </c>
      <c r="L12" s="7">
        <v>1326.6103000000001</v>
      </c>
      <c r="M12" s="7">
        <v>238.61358000000001</v>
      </c>
      <c r="N12" s="7">
        <v>264.0147</v>
      </c>
      <c r="O12" s="7">
        <v>211.64406</v>
      </c>
      <c r="P12" s="7">
        <v>428.49319000000003</v>
      </c>
      <c r="Q12" s="7">
        <v>1142.7655299999999</v>
      </c>
      <c r="R12" s="7">
        <v>0</v>
      </c>
      <c r="S12" s="7">
        <v>0</v>
      </c>
      <c r="T12" s="7">
        <v>0</v>
      </c>
      <c r="U12" s="7">
        <v>0</v>
      </c>
      <c r="V12" s="7">
        <v>0</v>
      </c>
      <c r="W12" s="7">
        <v>2469.37583</v>
      </c>
      <c r="X12" s="7">
        <v>423.43903</v>
      </c>
      <c r="Y12" s="7">
        <v>2892.81486</v>
      </c>
      <c r="Z12" s="7">
        <v>321.65922999999998</v>
      </c>
      <c r="AA12" s="7">
        <v>100.5004231681164</v>
      </c>
      <c r="AB12" s="7">
        <v>3314.9745131681161</v>
      </c>
      <c r="AC12" s="7">
        <v>0</v>
      </c>
      <c r="AD12" s="7">
        <v>528.75836000000004</v>
      </c>
      <c r="AE12" s="7">
        <v>0</v>
      </c>
      <c r="AF12" s="7">
        <v>0</v>
      </c>
      <c r="AG12" s="7">
        <v>3843.7328731681159</v>
      </c>
      <c r="AH12" s="7">
        <v>3314.9745131681161</v>
      </c>
      <c r="AI12" s="7">
        <v>227.56843000000001</v>
      </c>
      <c r="AJ12" s="7">
        <v>0</v>
      </c>
      <c r="AK12" s="7">
        <v>0</v>
      </c>
      <c r="AL12" s="7">
        <v>246.93758</v>
      </c>
      <c r="AM12" s="7">
        <v>3789.4805231681162</v>
      </c>
      <c r="AN12" s="7">
        <v>350.10527999999999</v>
      </c>
      <c r="AO12" s="7">
        <v>0</v>
      </c>
      <c r="AP12" s="7">
        <v>0</v>
      </c>
      <c r="AQ12" s="7">
        <v>0</v>
      </c>
      <c r="AR12" s="7">
        <v>0</v>
      </c>
      <c r="AS12" s="7">
        <v>4139.5858031681164</v>
      </c>
      <c r="AT12" s="7">
        <v>2132.206127202262</v>
      </c>
      <c r="AU12" s="7">
        <v>1710.0464740341461</v>
      </c>
    </row>
    <row r="13" spans="1:47" x14ac:dyDescent="0.35">
      <c r="A13" s="5">
        <v>46022</v>
      </c>
      <c r="B13" s="4" t="s">
        <v>51</v>
      </c>
      <c r="C13" s="4" t="s">
        <v>52</v>
      </c>
      <c r="D13" s="4" t="s">
        <v>53</v>
      </c>
      <c r="E13" s="4" t="s">
        <v>132</v>
      </c>
      <c r="F13" s="6">
        <v>15.423932000000001</v>
      </c>
      <c r="G13" s="6">
        <v>5.5</v>
      </c>
      <c r="H13" s="7">
        <v>415.96352165801062</v>
      </c>
      <c r="I13" s="7">
        <v>1038.7844299999999</v>
      </c>
      <c r="J13" s="7">
        <v>16.318883812237221</v>
      </c>
      <c r="K13" s="7">
        <v>1038.6527650031819</v>
      </c>
      <c r="L13" s="7">
        <v>2509.7196004734301</v>
      </c>
      <c r="M13" s="7">
        <v>115.521120935978</v>
      </c>
      <c r="N13" s="7">
        <v>0</v>
      </c>
      <c r="O13" s="7">
        <v>420.8531177816688</v>
      </c>
      <c r="P13" s="7">
        <v>572.42595759977576</v>
      </c>
      <c r="Q13" s="7">
        <v>1108.8001963174229</v>
      </c>
      <c r="R13" s="7">
        <v>0</v>
      </c>
      <c r="S13" s="7">
        <v>0</v>
      </c>
      <c r="T13" s="7">
        <v>0</v>
      </c>
      <c r="U13" s="7">
        <v>0</v>
      </c>
      <c r="V13" s="7">
        <v>0</v>
      </c>
      <c r="W13" s="7">
        <v>3618.5197967908521</v>
      </c>
      <c r="X13" s="7">
        <v>1269.699736890735</v>
      </c>
      <c r="Y13" s="7">
        <v>4888.2195336815876</v>
      </c>
      <c r="Z13" s="7">
        <v>220.56705732957411</v>
      </c>
      <c r="AA13" s="7">
        <v>250.224792053291</v>
      </c>
      <c r="AB13" s="7">
        <v>5359.0113830644532</v>
      </c>
      <c r="AC13" s="7">
        <v>7.3522342443158397</v>
      </c>
      <c r="AD13" s="7">
        <v>719.64732306870451</v>
      </c>
      <c r="AE13" s="7">
        <v>0</v>
      </c>
      <c r="AF13" s="7">
        <v>0</v>
      </c>
      <c r="AG13" s="7">
        <v>6086.0109403774732</v>
      </c>
      <c r="AH13" s="7">
        <v>5359.0113830644532</v>
      </c>
      <c r="AI13" s="7">
        <v>542.77847983591369</v>
      </c>
      <c r="AJ13" s="7">
        <v>7.3522342443158397</v>
      </c>
      <c r="AK13" s="7">
        <v>0</v>
      </c>
      <c r="AL13" s="7">
        <v>80.874586687507204</v>
      </c>
      <c r="AM13" s="7">
        <v>5990.0166838321893</v>
      </c>
      <c r="AN13" s="7">
        <v>972.51467000000002</v>
      </c>
      <c r="AO13" s="7">
        <v>0</v>
      </c>
      <c r="AP13" s="7">
        <v>0</v>
      </c>
      <c r="AQ13" s="7">
        <v>0</v>
      </c>
      <c r="AR13" s="7">
        <v>0</v>
      </c>
      <c r="AS13" s="7">
        <v>6962.5313538321889</v>
      </c>
      <c r="AT13" s="7">
        <v>1069.513639320882</v>
      </c>
      <c r="AU13" s="7">
        <v>598.72178993801674</v>
      </c>
    </row>
    <row r="14" spans="1:47" x14ac:dyDescent="0.35">
      <c r="A14" s="5">
        <v>46022</v>
      </c>
      <c r="B14" s="4" t="s">
        <v>54</v>
      </c>
      <c r="C14" s="4" t="s">
        <v>55</v>
      </c>
      <c r="D14" s="4" t="s">
        <v>56</v>
      </c>
      <c r="E14" s="4" t="s">
        <v>132</v>
      </c>
      <c r="F14" s="6">
        <v>0.79134300000000002</v>
      </c>
      <c r="G14" s="6">
        <v>5.5</v>
      </c>
      <c r="H14" s="7">
        <v>227.4900850658627</v>
      </c>
      <c r="I14" s="7">
        <v>72.435829999999996</v>
      </c>
      <c r="J14" s="7">
        <v>100.927566648423</v>
      </c>
      <c r="K14" s="7">
        <v>356.6468328089054</v>
      </c>
      <c r="L14" s="7">
        <v>757.50031452319115</v>
      </c>
      <c r="M14" s="7">
        <v>117.9930634313544</v>
      </c>
      <c r="N14" s="7">
        <v>0</v>
      </c>
      <c r="O14" s="7">
        <v>32.724694032467532</v>
      </c>
      <c r="P14" s="7">
        <v>338.49458684693877</v>
      </c>
      <c r="Q14" s="7">
        <v>489.21234431076061</v>
      </c>
      <c r="R14" s="7">
        <v>0</v>
      </c>
      <c r="S14" s="7">
        <v>0</v>
      </c>
      <c r="T14" s="7">
        <v>0</v>
      </c>
      <c r="U14" s="7">
        <v>0</v>
      </c>
      <c r="V14" s="7">
        <v>0</v>
      </c>
      <c r="W14" s="7">
        <v>1246.712658833952</v>
      </c>
      <c r="X14" s="7">
        <v>255.07328608998139</v>
      </c>
      <c r="Y14" s="7">
        <v>1501.7859449239329</v>
      </c>
      <c r="Z14" s="7">
        <v>0</v>
      </c>
      <c r="AA14" s="7">
        <v>39.580774504679653</v>
      </c>
      <c r="AB14" s="7">
        <v>1541.3667194286129</v>
      </c>
      <c r="AC14" s="7">
        <v>0</v>
      </c>
      <c r="AD14" s="7">
        <v>326.00281574582561</v>
      </c>
      <c r="AE14" s="7">
        <v>0</v>
      </c>
      <c r="AF14" s="7">
        <v>0</v>
      </c>
      <c r="AG14" s="7">
        <v>1867.3695351744379</v>
      </c>
      <c r="AH14" s="7">
        <v>1541.3667194286129</v>
      </c>
      <c r="AI14" s="7">
        <v>96.813758298701288</v>
      </c>
      <c r="AJ14" s="7">
        <v>0</v>
      </c>
      <c r="AK14" s="7">
        <v>0</v>
      </c>
      <c r="AL14" s="7">
        <v>214.08949827829309</v>
      </c>
      <c r="AM14" s="7">
        <v>1852.2699760056071</v>
      </c>
      <c r="AN14" s="7">
        <v>0</v>
      </c>
      <c r="AO14" s="7">
        <v>0</v>
      </c>
      <c r="AP14" s="7">
        <v>0</v>
      </c>
      <c r="AQ14" s="7">
        <v>0</v>
      </c>
      <c r="AR14" s="7">
        <v>0</v>
      </c>
      <c r="AS14" s="7">
        <v>1852.2699760056071</v>
      </c>
      <c r="AT14" s="7">
        <v>2467.8140550760668</v>
      </c>
      <c r="AU14" s="7">
        <v>2428.2332805713868</v>
      </c>
    </row>
    <row r="15" spans="1:47" x14ac:dyDescent="0.35">
      <c r="A15" s="5">
        <v>46022</v>
      </c>
      <c r="B15" s="4" t="s">
        <v>54</v>
      </c>
      <c r="C15" s="4" t="s">
        <v>55</v>
      </c>
      <c r="D15" s="4" t="s">
        <v>56</v>
      </c>
      <c r="E15" s="4" t="s">
        <v>133</v>
      </c>
      <c r="F15" s="6">
        <v>0.42420099999999999</v>
      </c>
      <c r="G15" s="6">
        <v>55</v>
      </c>
      <c r="H15" s="7">
        <v>731.92305731354361</v>
      </c>
      <c r="I15" s="7">
        <v>233.05391</v>
      </c>
      <c r="J15" s="7">
        <v>324.72276449999998</v>
      </c>
      <c r="K15" s="7">
        <v>1147.469955787569</v>
      </c>
      <c r="L15" s="7">
        <v>2437.1696876011129</v>
      </c>
      <c r="M15" s="7">
        <v>379.62904068089051</v>
      </c>
      <c r="N15" s="7">
        <v>0</v>
      </c>
      <c r="O15" s="7">
        <v>105.2879221252319</v>
      </c>
      <c r="P15" s="7">
        <v>1089.0671939860849</v>
      </c>
      <c r="Q15" s="7">
        <v>1573.9841567922081</v>
      </c>
      <c r="R15" s="7">
        <v>470.5409565111317</v>
      </c>
      <c r="S15" s="7">
        <v>356.04719843877552</v>
      </c>
      <c r="T15" s="7">
        <v>385.49799620037101</v>
      </c>
      <c r="U15" s="7">
        <v>1442.703856057514</v>
      </c>
      <c r="V15" s="7">
        <v>2654.7900072077919</v>
      </c>
      <c r="W15" s="7">
        <v>6665.9438516011132</v>
      </c>
      <c r="X15" s="7">
        <v>40.892696262523188</v>
      </c>
      <c r="Y15" s="7">
        <v>6706.836547863636</v>
      </c>
      <c r="Z15" s="7">
        <v>0</v>
      </c>
      <c r="AA15" s="7">
        <v>119.66238676761471</v>
      </c>
      <c r="AB15" s="7">
        <v>6826.4989346312514</v>
      </c>
      <c r="AC15" s="7">
        <v>0</v>
      </c>
      <c r="AD15" s="7">
        <v>1048.8763626094619</v>
      </c>
      <c r="AE15" s="7">
        <v>0</v>
      </c>
      <c r="AF15" s="7">
        <v>0</v>
      </c>
      <c r="AG15" s="7">
        <v>7875.3752972407128</v>
      </c>
      <c r="AH15" s="7">
        <v>6826.4989346312514</v>
      </c>
      <c r="AI15" s="7">
        <v>311.48708241372913</v>
      </c>
      <c r="AJ15" s="7">
        <v>0</v>
      </c>
      <c r="AK15" s="7">
        <v>0</v>
      </c>
      <c r="AL15" s="7">
        <v>688.80820720686461</v>
      </c>
      <c r="AM15" s="7">
        <v>7826.7942242518448</v>
      </c>
      <c r="AN15" s="7">
        <v>0</v>
      </c>
      <c r="AO15" s="7">
        <v>0</v>
      </c>
      <c r="AP15" s="7">
        <v>0</v>
      </c>
      <c r="AQ15" s="7">
        <v>0</v>
      </c>
      <c r="AR15" s="7">
        <v>0</v>
      </c>
      <c r="AS15" s="7">
        <v>7826.7942242518448</v>
      </c>
      <c r="AT15" s="7">
        <v>5294.2384888367533</v>
      </c>
      <c r="AU15" s="7">
        <v>5174.5761020691389</v>
      </c>
    </row>
    <row r="16" spans="1:47" x14ac:dyDescent="0.35">
      <c r="A16" s="5">
        <v>46022</v>
      </c>
      <c r="B16" s="4" t="s">
        <v>54</v>
      </c>
      <c r="C16" s="4" t="s">
        <v>55</v>
      </c>
      <c r="D16" s="4" t="s">
        <v>56</v>
      </c>
      <c r="E16" s="4" t="s">
        <v>134</v>
      </c>
      <c r="F16" s="6">
        <v>0.99430300000000005</v>
      </c>
      <c r="G16" s="6">
        <v>99.415000000000006</v>
      </c>
      <c r="H16" s="7">
        <v>608.66044275417437</v>
      </c>
      <c r="I16" s="7">
        <v>193.80547999999999</v>
      </c>
      <c r="J16" s="7">
        <v>270.03644791280152</v>
      </c>
      <c r="K16" s="7">
        <v>954.22540366141004</v>
      </c>
      <c r="L16" s="7">
        <v>2026.727774328386</v>
      </c>
      <c r="M16" s="7">
        <v>315.69599194063079</v>
      </c>
      <c r="N16" s="7">
        <v>0</v>
      </c>
      <c r="O16" s="7">
        <v>87.556457126159557</v>
      </c>
      <c r="P16" s="7">
        <v>905.65819938589982</v>
      </c>
      <c r="Q16" s="7">
        <v>1308.9106484526901</v>
      </c>
      <c r="R16" s="7">
        <v>391.29750816233769</v>
      </c>
      <c r="S16" s="7">
        <v>296.08555125974033</v>
      </c>
      <c r="T16" s="7">
        <v>320.57656915491651</v>
      </c>
      <c r="U16" s="7">
        <v>1199.739176615956</v>
      </c>
      <c r="V16" s="7">
        <v>2207.6988051929502</v>
      </c>
      <c r="W16" s="7">
        <v>5543.3372279740261</v>
      </c>
      <c r="X16" s="7">
        <v>34.892182948051953</v>
      </c>
      <c r="Y16" s="7">
        <v>5578.2294109220784</v>
      </c>
      <c r="Z16" s="7">
        <v>0</v>
      </c>
      <c r="AA16" s="7">
        <v>99.518867530237685</v>
      </c>
      <c r="AB16" s="7">
        <v>5677.7482784523163</v>
      </c>
      <c r="AC16" s="7">
        <v>0</v>
      </c>
      <c r="AD16" s="7">
        <v>872.23588007421142</v>
      </c>
      <c r="AE16" s="7">
        <v>0</v>
      </c>
      <c r="AF16" s="7">
        <v>0</v>
      </c>
      <c r="AG16" s="7">
        <v>6549.9841585265267</v>
      </c>
      <c r="AH16" s="7">
        <v>5677.7482784523163</v>
      </c>
      <c r="AI16" s="7">
        <v>259.02976903525052</v>
      </c>
      <c r="AJ16" s="7">
        <v>0</v>
      </c>
      <c r="AK16" s="7">
        <v>0</v>
      </c>
      <c r="AL16" s="7">
        <v>572.80652902875704</v>
      </c>
      <c r="AM16" s="7">
        <v>6509.5845765163231</v>
      </c>
      <c r="AN16" s="7">
        <v>0</v>
      </c>
      <c r="AO16" s="7">
        <v>0</v>
      </c>
      <c r="AP16" s="7">
        <v>0</v>
      </c>
      <c r="AQ16" s="7">
        <v>0</v>
      </c>
      <c r="AR16" s="7">
        <v>0</v>
      </c>
      <c r="AS16" s="7">
        <v>6509.5845765163231</v>
      </c>
      <c r="AT16" s="7">
        <v>4402.6293656014623</v>
      </c>
      <c r="AU16" s="7">
        <v>4303.1104980712253</v>
      </c>
    </row>
    <row r="17" spans="1:47" x14ac:dyDescent="0.35">
      <c r="A17" s="5">
        <v>46022</v>
      </c>
      <c r="B17" s="4" t="s">
        <v>135</v>
      </c>
      <c r="C17" s="4" t="s">
        <v>136</v>
      </c>
      <c r="D17" s="4" t="s">
        <v>137</v>
      </c>
      <c r="E17" s="4" t="s">
        <v>134</v>
      </c>
      <c r="F17" s="6">
        <v>33.835214000000001</v>
      </c>
      <c r="G17" s="6">
        <v>99.5</v>
      </c>
      <c r="H17" s="7">
        <v>0</v>
      </c>
      <c r="I17" s="7">
        <v>0</v>
      </c>
      <c r="J17" s="7">
        <v>0</v>
      </c>
      <c r="K17" s="7">
        <v>0</v>
      </c>
      <c r="L17" s="7">
        <v>0</v>
      </c>
      <c r="M17" s="7">
        <v>0</v>
      </c>
      <c r="N17" s="7">
        <v>0</v>
      </c>
      <c r="O17" s="7">
        <v>0</v>
      </c>
      <c r="P17" s="7">
        <v>0</v>
      </c>
      <c r="Q17" s="7">
        <v>0</v>
      </c>
      <c r="R17" s="7">
        <v>874.03842921185833</v>
      </c>
      <c r="S17" s="7">
        <v>2618.4562436253759</v>
      </c>
      <c r="T17" s="7">
        <v>480.18469394467002</v>
      </c>
      <c r="U17" s="7">
        <v>2704.0446135184652</v>
      </c>
      <c r="V17" s="7">
        <v>6676.7239803003686</v>
      </c>
      <c r="W17" s="7">
        <v>6676.7239803003686</v>
      </c>
      <c r="X17" s="7">
        <v>292.82899064321958</v>
      </c>
      <c r="Y17" s="7">
        <v>6969.5529709435887</v>
      </c>
      <c r="Z17" s="7">
        <v>43.209349266926402</v>
      </c>
      <c r="AA17" s="7">
        <v>278.97404288551348</v>
      </c>
      <c r="AB17" s="7">
        <v>7291.736363096029</v>
      </c>
      <c r="AC17" s="7">
        <v>23.989020730323471</v>
      </c>
      <c r="AD17" s="7">
        <v>1535.320866702167</v>
      </c>
      <c r="AE17" s="7">
        <v>0</v>
      </c>
      <c r="AF17" s="7">
        <v>0</v>
      </c>
      <c r="AG17" s="7">
        <v>8851.0462505285195</v>
      </c>
      <c r="AH17" s="7">
        <v>7291.736363096029</v>
      </c>
      <c r="AI17" s="7">
        <v>236.43967295170901</v>
      </c>
      <c r="AJ17" s="7">
        <v>23.989020730323471</v>
      </c>
      <c r="AK17" s="7">
        <v>0</v>
      </c>
      <c r="AL17" s="7">
        <v>666.46432900762829</v>
      </c>
      <c r="AM17" s="7">
        <v>8218.6293857856908</v>
      </c>
      <c r="AN17" s="7">
        <v>0</v>
      </c>
      <c r="AO17" s="7">
        <v>0</v>
      </c>
      <c r="AP17" s="7">
        <v>0</v>
      </c>
      <c r="AQ17" s="7">
        <v>0</v>
      </c>
      <c r="AR17" s="7">
        <v>-108.65028</v>
      </c>
      <c r="AS17" s="7">
        <v>8109.9791057856901</v>
      </c>
      <c r="AT17" s="7">
        <v>818.72503997411957</v>
      </c>
      <c r="AU17" s="7">
        <v>496.54164782167982</v>
      </c>
    </row>
    <row r="18" spans="1:47" x14ac:dyDescent="0.35">
      <c r="A18" s="5">
        <v>46022</v>
      </c>
      <c r="B18" s="4" t="s">
        <v>138</v>
      </c>
      <c r="C18" s="4" t="s">
        <v>139</v>
      </c>
      <c r="D18" s="4" t="s">
        <v>66</v>
      </c>
      <c r="E18" s="4" t="s">
        <v>134</v>
      </c>
      <c r="F18" s="6">
        <v>39.768115999999999</v>
      </c>
      <c r="G18" s="6">
        <v>99.4</v>
      </c>
      <c r="H18" s="7">
        <v>0</v>
      </c>
      <c r="I18" s="7">
        <v>0</v>
      </c>
      <c r="J18" s="7">
        <v>0</v>
      </c>
      <c r="K18" s="7">
        <v>0</v>
      </c>
      <c r="L18" s="7">
        <v>0</v>
      </c>
      <c r="M18" s="7">
        <v>0</v>
      </c>
      <c r="N18" s="7">
        <v>0</v>
      </c>
      <c r="O18" s="7">
        <v>0</v>
      </c>
      <c r="P18" s="7">
        <v>0</v>
      </c>
      <c r="Q18" s="7">
        <v>0</v>
      </c>
      <c r="R18" s="7">
        <v>291.3211132373595</v>
      </c>
      <c r="S18" s="7">
        <v>1267.739553759129</v>
      </c>
      <c r="T18" s="7">
        <v>1043.9755349887639</v>
      </c>
      <c r="U18" s="7">
        <v>2926.9017775007019</v>
      </c>
      <c r="V18" s="7">
        <v>5529.9379794859551</v>
      </c>
      <c r="W18" s="7">
        <v>5529.9379794859551</v>
      </c>
      <c r="X18" s="7">
        <v>80.502286674859548</v>
      </c>
      <c r="Y18" s="7">
        <v>5610.4402661608137</v>
      </c>
      <c r="Z18" s="7">
        <v>0</v>
      </c>
      <c r="AA18" s="7">
        <v>926.78306201339376</v>
      </c>
      <c r="AB18" s="7">
        <v>6537.2233281742083</v>
      </c>
      <c r="AC18" s="7">
        <v>0</v>
      </c>
      <c r="AD18" s="7">
        <v>954.45556850632033</v>
      </c>
      <c r="AE18" s="7">
        <v>0</v>
      </c>
      <c r="AF18" s="7">
        <v>0</v>
      </c>
      <c r="AG18" s="7">
        <v>7491.6788966805279</v>
      </c>
      <c r="AH18" s="7">
        <v>6537.2233281742083</v>
      </c>
      <c r="AI18" s="7">
        <v>628.51187088974723</v>
      </c>
      <c r="AJ18" s="7">
        <v>0</v>
      </c>
      <c r="AK18" s="7">
        <v>130.57420559269659</v>
      </c>
      <c r="AL18" s="7">
        <v>276.49689697471911</v>
      </c>
      <c r="AM18" s="7">
        <v>7572.8063016313708</v>
      </c>
      <c r="AN18" s="7">
        <v>1131.5597600000001</v>
      </c>
      <c r="AO18" s="7">
        <v>0</v>
      </c>
      <c r="AP18" s="7">
        <v>0</v>
      </c>
      <c r="AQ18" s="7">
        <v>0</v>
      </c>
      <c r="AR18" s="7">
        <v>0</v>
      </c>
      <c r="AS18" s="7">
        <v>8704.3660616313718</v>
      </c>
      <c r="AT18" s="7">
        <v>4722.2581664369718</v>
      </c>
      <c r="AU18" s="7">
        <v>3795.4751044235782</v>
      </c>
    </row>
    <row r="19" spans="1:47" x14ac:dyDescent="0.35">
      <c r="A19" s="5">
        <v>46022</v>
      </c>
      <c r="B19" s="4" t="s">
        <v>140</v>
      </c>
      <c r="C19" s="4" t="s">
        <v>141</v>
      </c>
      <c r="D19" s="4" t="s">
        <v>137</v>
      </c>
      <c r="E19" s="4" t="s">
        <v>134</v>
      </c>
      <c r="F19" s="6">
        <v>6.6575759999999997</v>
      </c>
      <c r="G19" s="6">
        <v>99.5</v>
      </c>
      <c r="H19" s="7">
        <v>0</v>
      </c>
      <c r="I19" s="7">
        <v>0</v>
      </c>
      <c r="J19" s="7">
        <v>0</v>
      </c>
      <c r="K19" s="7">
        <v>0</v>
      </c>
      <c r="L19" s="7">
        <v>0</v>
      </c>
      <c r="M19" s="7">
        <v>0</v>
      </c>
      <c r="N19" s="7">
        <v>0</v>
      </c>
      <c r="O19" s="7">
        <v>0</v>
      </c>
      <c r="P19" s="7">
        <v>0</v>
      </c>
      <c r="Q19" s="7">
        <v>0</v>
      </c>
      <c r="R19" s="7">
        <v>1816.2874967638979</v>
      </c>
      <c r="S19" s="7">
        <v>3018.1110293963302</v>
      </c>
      <c r="T19" s="7">
        <v>1078.424844634282</v>
      </c>
      <c r="U19" s="7">
        <v>2156.9343891299109</v>
      </c>
      <c r="V19" s="7">
        <v>8069.7577599244196</v>
      </c>
      <c r="W19" s="7">
        <v>8069.7577599244196</v>
      </c>
      <c r="X19" s="7">
        <v>342.21406980056639</v>
      </c>
      <c r="Y19" s="7">
        <v>8411.9718297249856</v>
      </c>
      <c r="Z19" s="7">
        <v>32.844973702657811</v>
      </c>
      <c r="AA19" s="7">
        <v>373.96247121732171</v>
      </c>
      <c r="AB19" s="7">
        <v>8818.7792746449668</v>
      </c>
      <c r="AC19" s="7">
        <v>0</v>
      </c>
      <c r="AD19" s="7">
        <v>6054.7467084680793</v>
      </c>
      <c r="AE19" s="7">
        <v>0</v>
      </c>
      <c r="AF19" s="7">
        <v>0</v>
      </c>
      <c r="AG19" s="7">
        <v>14873.525983113041</v>
      </c>
      <c r="AH19" s="7">
        <v>8818.7792746449668</v>
      </c>
      <c r="AI19" s="7">
        <v>1210.4636684886559</v>
      </c>
      <c r="AJ19" s="7">
        <v>0</v>
      </c>
      <c r="AK19" s="7">
        <v>0</v>
      </c>
      <c r="AL19" s="7">
        <v>4224.7067942166868</v>
      </c>
      <c r="AM19" s="7">
        <v>14253.949737350311</v>
      </c>
      <c r="AN19" s="7">
        <v>15598.942940000001</v>
      </c>
      <c r="AO19" s="7">
        <v>0</v>
      </c>
      <c r="AP19" s="7">
        <v>0</v>
      </c>
      <c r="AQ19" s="7">
        <v>0</v>
      </c>
      <c r="AR19" s="7">
        <v>0</v>
      </c>
      <c r="AS19" s="7">
        <v>29852.892677350312</v>
      </c>
      <c r="AT19" s="7">
        <v>4053.4436825469811</v>
      </c>
      <c r="AU19" s="7">
        <v>3646.6362376270008</v>
      </c>
    </row>
    <row r="20" spans="1:47" x14ac:dyDescent="0.35">
      <c r="A20" s="5">
        <v>46022</v>
      </c>
      <c r="B20" s="4" t="s">
        <v>142</v>
      </c>
      <c r="C20" s="4" t="s">
        <v>143</v>
      </c>
      <c r="D20" s="4" t="s">
        <v>66</v>
      </c>
      <c r="E20" s="4" t="s">
        <v>134</v>
      </c>
      <c r="F20" s="6">
        <v>24.878834000000001</v>
      </c>
      <c r="G20" s="6">
        <v>99.5</v>
      </c>
      <c r="H20" s="7">
        <v>0</v>
      </c>
      <c r="I20" s="7">
        <v>0</v>
      </c>
      <c r="J20" s="7">
        <v>0</v>
      </c>
      <c r="K20" s="7">
        <v>0</v>
      </c>
      <c r="L20" s="7">
        <v>0</v>
      </c>
      <c r="M20" s="7">
        <v>0</v>
      </c>
      <c r="N20" s="7">
        <v>0</v>
      </c>
      <c r="O20" s="7">
        <v>0</v>
      </c>
      <c r="P20" s="7">
        <v>0</v>
      </c>
      <c r="Q20" s="7">
        <v>0</v>
      </c>
      <c r="R20" s="7">
        <v>535.47794486376404</v>
      </c>
      <c r="S20" s="7">
        <v>1107.533242200843</v>
      </c>
      <c r="T20" s="7">
        <v>1036.1979838630621</v>
      </c>
      <c r="U20" s="7">
        <v>2662.0699324831462</v>
      </c>
      <c r="V20" s="7">
        <v>5341.279103410815</v>
      </c>
      <c r="W20" s="7">
        <v>5341.279103410815</v>
      </c>
      <c r="X20" s="7">
        <v>115.87596278511241</v>
      </c>
      <c r="Y20" s="7">
        <v>5457.1550661959272</v>
      </c>
      <c r="Z20" s="7">
        <v>0</v>
      </c>
      <c r="AA20" s="7">
        <v>918.70019868516511</v>
      </c>
      <c r="AB20" s="7">
        <v>6375.8552648810919</v>
      </c>
      <c r="AC20" s="7">
        <v>0</v>
      </c>
      <c r="AD20" s="7">
        <v>754.44523439396062</v>
      </c>
      <c r="AE20" s="7">
        <v>0</v>
      </c>
      <c r="AF20" s="7">
        <v>0</v>
      </c>
      <c r="AG20" s="7">
        <v>7130.300499275053</v>
      </c>
      <c r="AH20" s="7">
        <v>6375.8552648810919</v>
      </c>
      <c r="AI20" s="7">
        <v>480.7151144080056</v>
      </c>
      <c r="AJ20" s="7">
        <v>0</v>
      </c>
      <c r="AK20" s="7">
        <v>0</v>
      </c>
      <c r="AL20" s="7">
        <v>267.06395467064613</v>
      </c>
      <c r="AM20" s="7">
        <v>7123.6343339597443</v>
      </c>
      <c r="AN20" s="7">
        <v>0</v>
      </c>
      <c r="AO20" s="7">
        <v>0</v>
      </c>
      <c r="AP20" s="7">
        <v>0</v>
      </c>
      <c r="AQ20" s="7">
        <v>0</v>
      </c>
      <c r="AR20" s="7">
        <v>0</v>
      </c>
      <c r="AS20" s="7">
        <v>7123.6343339597443</v>
      </c>
      <c r="AT20" s="7">
        <v>4865.1587518435854</v>
      </c>
      <c r="AU20" s="7">
        <v>3946.4585531584189</v>
      </c>
    </row>
    <row r="21" spans="1:47" x14ac:dyDescent="0.35">
      <c r="A21" s="5">
        <v>46022</v>
      </c>
      <c r="B21" s="4" t="s">
        <v>57</v>
      </c>
      <c r="C21" s="4" t="s">
        <v>58</v>
      </c>
      <c r="D21" s="4" t="s">
        <v>53</v>
      </c>
      <c r="E21" s="4" t="s">
        <v>132</v>
      </c>
      <c r="F21" s="6">
        <v>52.616554000000001</v>
      </c>
      <c r="G21" s="6">
        <v>6</v>
      </c>
      <c r="H21" s="7">
        <v>45.689250662313889</v>
      </c>
      <c r="I21" s="7">
        <v>162.53238999999999</v>
      </c>
      <c r="J21" s="7">
        <v>75.89904028042406</v>
      </c>
      <c r="K21" s="7">
        <v>633.34653848807113</v>
      </c>
      <c r="L21" s="7">
        <v>917.467219430809</v>
      </c>
      <c r="M21" s="7">
        <v>97.782092440751171</v>
      </c>
      <c r="N21" s="7">
        <v>267.29083140327441</v>
      </c>
      <c r="O21" s="7">
        <v>311.17038609803632</v>
      </c>
      <c r="P21" s="7">
        <v>464.11646044444439</v>
      </c>
      <c r="Q21" s="7">
        <v>1140.3597703865059</v>
      </c>
      <c r="R21" s="7">
        <v>0</v>
      </c>
      <c r="S21" s="7">
        <v>0</v>
      </c>
      <c r="T21" s="7">
        <v>0</v>
      </c>
      <c r="U21" s="7">
        <v>0</v>
      </c>
      <c r="V21" s="7">
        <v>0</v>
      </c>
      <c r="W21" s="7">
        <v>2057.8269898173148</v>
      </c>
      <c r="X21" s="7">
        <v>1163.891417983149</v>
      </c>
      <c r="Y21" s="7">
        <v>3221.7184078004648</v>
      </c>
      <c r="Z21" s="7">
        <v>202.186466718768</v>
      </c>
      <c r="AA21" s="7">
        <v>359.64365133805421</v>
      </c>
      <c r="AB21" s="7">
        <v>3783.5485258572871</v>
      </c>
      <c r="AC21" s="7">
        <v>5.3916377791627497</v>
      </c>
      <c r="AD21" s="7">
        <v>292.07535313132507</v>
      </c>
      <c r="AE21" s="7">
        <v>0</v>
      </c>
      <c r="AF21" s="7">
        <v>0</v>
      </c>
      <c r="AG21" s="7">
        <v>4081.0155167677749</v>
      </c>
      <c r="AH21" s="7">
        <v>3783.5485258572871</v>
      </c>
      <c r="AI21" s="7">
        <v>102.89137928884929</v>
      </c>
      <c r="AJ21" s="7">
        <v>5.3916377791627497</v>
      </c>
      <c r="AK21" s="7">
        <v>0</v>
      </c>
      <c r="AL21" s="7">
        <v>40.032922010321343</v>
      </c>
      <c r="AM21" s="7">
        <v>3931.8644649356202</v>
      </c>
      <c r="AN21" s="7">
        <v>285.08138000000002</v>
      </c>
      <c r="AO21" s="7">
        <v>0</v>
      </c>
      <c r="AP21" s="7">
        <v>0</v>
      </c>
      <c r="AQ21" s="7">
        <v>0</v>
      </c>
      <c r="AR21" s="7">
        <v>0</v>
      </c>
      <c r="AS21" s="7">
        <v>4216.9458449356198</v>
      </c>
      <c r="AT21" s="7">
        <v>2772.3424119239039</v>
      </c>
      <c r="AU21" s="7">
        <v>2210.5122938670811</v>
      </c>
    </row>
    <row r="22" spans="1:47" x14ac:dyDescent="0.35">
      <c r="A22" s="5">
        <v>46022</v>
      </c>
      <c r="B22" s="4" t="s">
        <v>59</v>
      </c>
      <c r="C22" s="4" t="s">
        <v>60</v>
      </c>
      <c r="D22" s="4" t="s">
        <v>61</v>
      </c>
      <c r="E22" s="4" t="s">
        <v>132</v>
      </c>
      <c r="F22" s="6">
        <v>200.70934800000001</v>
      </c>
      <c r="G22" s="6">
        <v>6</v>
      </c>
      <c r="H22" s="7">
        <v>382.5683004078947</v>
      </c>
      <c r="I22" s="7">
        <v>168.51300000000001</v>
      </c>
      <c r="J22" s="7">
        <v>9.763774389473685</v>
      </c>
      <c r="K22" s="7">
        <v>426.91107708947368</v>
      </c>
      <c r="L22" s="7">
        <v>987.75615188684208</v>
      </c>
      <c r="M22" s="7">
        <v>184.23173934473689</v>
      </c>
      <c r="N22" s="7">
        <v>42.642014234210528</v>
      </c>
      <c r="O22" s="7">
        <v>81.71914781842105</v>
      </c>
      <c r="P22" s="7">
        <v>329.64257124473693</v>
      </c>
      <c r="Q22" s="7">
        <v>638.23547264210526</v>
      </c>
      <c r="R22" s="7">
        <v>0</v>
      </c>
      <c r="S22" s="7">
        <v>0</v>
      </c>
      <c r="T22" s="7">
        <v>0</v>
      </c>
      <c r="U22" s="7">
        <v>0</v>
      </c>
      <c r="V22" s="7">
        <v>0</v>
      </c>
      <c r="W22" s="7">
        <v>1625.9916245289471</v>
      </c>
      <c r="X22" s="7">
        <v>173.13755731578951</v>
      </c>
      <c r="Y22" s="7">
        <v>1799.1291818447371</v>
      </c>
      <c r="Z22" s="7">
        <v>303.02762816842102</v>
      </c>
      <c r="AA22" s="7">
        <v>237.16621827444021</v>
      </c>
      <c r="AB22" s="7">
        <v>2339.3230282875979</v>
      </c>
      <c r="AC22" s="7">
        <v>8.2635298105263164</v>
      </c>
      <c r="AD22" s="7">
        <v>638.96005906578955</v>
      </c>
      <c r="AE22" s="7">
        <v>0</v>
      </c>
      <c r="AF22" s="7">
        <v>0</v>
      </c>
      <c r="AG22" s="7">
        <v>2986.5466171639141</v>
      </c>
      <c r="AH22" s="7">
        <v>2339.3230282875979</v>
      </c>
      <c r="AI22" s="7">
        <v>119.0593738894737</v>
      </c>
      <c r="AJ22" s="7">
        <v>8.2635298105263164</v>
      </c>
      <c r="AK22" s="7">
        <v>1.341944147368421</v>
      </c>
      <c r="AL22" s="7">
        <v>201.1857793815789</v>
      </c>
      <c r="AM22" s="7">
        <v>2669.1736555165462</v>
      </c>
      <c r="AN22" s="7">
        <v>1195.8412900000001</v>
      </c>
      <c r="AO22" s="7">
        <v>0</v>
      </c>
      <c r="AP22" s="7">
        <v>0</v>
      </c>
      <c r="AQ22" s="7">
        <v>0</v>
      </c>
      <c r="AR22" s="7">
        <v>0</v>
      </c>
      <c r="AS22" s="7">
        <v>3865.014945516546</v>
      </c>
      <c r="AT22" s="7">
        <v>3407.7136483830968</v>
      </c>
      <c r="AU22" s="7">
        <v>2867.519801940236</v>
      </c>
    </row>
    <row r="23" spans="1:47" x14ac:dyDescent="0.35">
      <c r="A23" s="5">
        <v>46022</v>
      </c>
      <c r="B23" s="4" t="s">
        <v>59</v>
      </c>
      <c r="C23" s="4" t="s">
        <v>60</v>
      </c>
      <c r="D23" s="4" t="s">
        <v>61</v>
      </c>
      <c r="E23" s="4" t="s">
        <v>133</v>
      </c>
      <c r="F23" s="6">
        <v>7.4804219999999999</v>
      </c>
      <c r="G23" s="6">
        <v>56.5</v>
      </c>
      <c r="H23" s="7">
        <v>1135.3840603578949</v>
      </c>
      <c r="I23" s="7">
        <v>500.11192999999997</v>
      </c>
      <c r="J23" s="7">
        <v>28.976886023684209</v>
      </c>
      <c r="K23" s="7">
        <v>1266.9843063315791</v>
      </c>
      <c r="L23" s="7">
        <v>2931.4571827131581</v>
      </c>
      <c r="M23" s="7">
        <v>546.7619331947368</v>
      </c>
      <c r="N23" s="7">
        <v>126.55271965263159</v>
      </c>
      <c r="O23" s="7">
        <v>242.525633968421</v>
      </c>
      <c r="P23" s="7">
        <v>978.31139440263155</v>
      </c>
      <c r="Q23" s="7">
        <v>1894.1516812184209</v>
      </c>
      <c r="R23" s="7">
        <v>1074.87682138421</v>
      </c>
      <c r="S23" s="7">
        <v>1028.174016197368</v>
      </c>
      <c r="T23" s="7">
        <v>4411.3951593000002</v>
      </c>
      <c r="U23" s="7">
        <v>4178.0325537710532</v>
      </c>
      <c r="V23" s="7">
        <v>10692.47855065263</v>
      </c>
      <c r="W23" s="7">
        <v>15518.08741458421</v>
      </c>
      <c r="X23" s="7">
        <v>98.120861336842111</v>
      </c>
      <c r="Y23" s="7">
        <v>15616.20827592105</v>
      </c>
      <c r="Z23" s="7">
        <v>457.62950716578951</v>
      </c>
      <c r="AA23" s="7">
        <v>665.15484746423556</v>
      </c>
      <c r="AB23" s="7">
        <v>16738.992630551082</v>
      </c>
      <c r="AC23" s="7">
        <v>24.524452065789468</v>
      </c>
      <c r="AD23" s="7">
        <v>1896.302068342105</v>
      </c>
      <c r="AE23" s="7">
        <v>0</v>
      </c>
      <c r="AF23" s="7">
        <v>0</v>
      </c>
      <c r="AG23" s="7">
        <v>18659.819150958971</v>
      </c>
      <c r="AH23" s="7">
        <v>16738.992630551082</v>
      </c>
      <c r="AI23" s="7">
        <v>353.34374340789481</v>
      </c>
      <c r="AJ23" s="7">
        <v>24.524452065789468</v>
      </c>
      <c r="AK23" s="7">
        <v>3.982607928947369</v>
      </c>
      <c r="AL23" s="7">
        <v>597.07801852105274</v>
      </c>
      <c r="AM23" s="7">
        <v>17717.921452474759</v>
      </c>
      <c r="AN23" s="7">
        <v>3549.01109</v>
      </c>
      <c r="AO23" s="7">
        <v>0</v>
      </c>
      <c r="AP23" s="7">
        <v>0</v>
      </c>
      <c r="AQ23" s="7">
        <v>0</v>
      </c>
      <c r="AR23" s="7">
        <v>0</v>
      </c>
      <c r="AS23" s="7">
        <v>21266.932542474759</v>
      </c>
      <c r="AT23" s="7">
        <v>-1013.130246374331</v>
      </c>
      <c r="AU23" s="7">
        <v>-2135.914601004356</v>
      </c>
    </row>
    <row r="24" spans="1:47" x14ac:dyDescent="0.35">
      <c r="A24" s="5">
        <v>46022</v>
      </c>
      <c r="B24" s="4" t="s">
        <v>62</v>
      </c>
      <c r="C24" s="4" t="s">
        <v>63</v>
      </c>
      <c r="D24" s="4" t="s">
        <v>56</v>
      </c>
      <c r="E24" s="4" t="s">
        <v>132</v>
      </c>
      <c r="F24" s="6">
        <v>31.159458000000001</v>
      </c>
      <c r="G24" s="6">
        <v>5.3</v>
      </c>
      <c r="H24" s="7">
        <v>633.12038353246749</v>
      </c>
      <c r="I24" s="7">
        <v>575.91290000000004</v>
      </c>
      <c r="J24" s="7">
        <v>38.025722240259739</v>
      </c>
      <c r="K24" s="7">
        <v>849.38805973469391</v>
      </c>
      <c r="L24" s="7">
        <v>2096.447065507421</v>
      </c>
      <c r="M24" s="7">
        <v>144.7208538144713</v>
      </c>
      <c r="N24" s="7">
        <v>0</v>
      </c>
      <c r="O24" s="7">
        <v>63.056080099257883</v>
      </c>
      <c r="P24" s="7">
        <v>759.28194914749542</v>
      </c>
      <c r="Q24" s="7">
        <v>967.05888306122449</v>
      </c>
      <c r="R24" s="7">
        <v>0</v>
      </c>
      <c r="S24" s="7">
        <v>0</v>
      </c>
      <c r="T24" s="7">
        <v>0</v>
      </c>
      <c r="U24" s="7">
        <v>0</v>
      </c>
      <c r="V24" s="7">
        <v>0</v>
      </c>
      <c r="W24" s="7">
        <v>3063.5059485686461</v>
      </c>
      <c r="X24" s="7">
        <v>395.69312036827461</v>
      </c>
      <c r="Y24" s="7">
        <v>3459.19906893692</v>
      </c>
      <c r="Z24" s="7">
        <v>425.74855203617813</v>
      </c>
      <c r="AA24" s="7">
        <v>168.32870343958919</v>
      </c>
      <c r="AB24" s="7">
        <v>4053.2763244126882</v>
      </c>
      <c r="AC24" s="7">
        <v>224.63005039981451</v>
      </c>
      <c r="AD24" s="7">
        <v>846.73915548144726</v>
      </c>
      <c r="AE24" s="7">
        <v>0</v>
      </c>
      <c r="AF24" s="7">
        <v>0</v>
      </c>
      <c r="AG24" s="7">
        <v>5124.6455302939494</v>
      </c>
      <c r="AH24" s="7">
        <v>4053.2763244126882</v>
      </c>
      <c r="AI24" s="7">
        <v>802.25017285714296</v>
      </c>
      <c r="AJ24" s="7">
        <v>224.63005039981451</v>
      </c>
      <c r="AK24" s="7">
        <v>80.225017285714287</v>
      </c>
      <c r="AL24" s="7">
        <v>520.78692504267156</v>
      </c>
      <c r="AM24" s="7">
        <v>5681.168489998031</v>
      </c>
      <c r="AN24" s="7">
        <v>2246.5088900000001</v>
      </c>
      <c r="AO24" s="7">
        <v>256.72005331447127</v>
      </c>
      <c r="AP24" s="7">
        <v>0</v>
      </c>
      <c r="AQ24" s="7">
        <v>0</v>
      </c>
      <c r="AR24" s="7">
        <v>0</v>
      </c>
      <c r="AS24" s="7">
        <v>8184.3974333125016</v>
      </c>
      <c r="AT24" s="7">
        <v>1392.030427729215</v>
      </c>
      <c r="AU24" s="7">
        <v>797.95317225344809</v>
      </c>
    </row>
    <row r="25" spans="1:47" x14ac:dyDescent="0.35">
      <c r="A25" s="5">
        <v>46022</v>
      </c>
      <c r="B25" s="4" t="s">
        <v>64</v>
      </c>
      <c r="C25" s="4" t="s">
        <v>65</v>
      </c>
      <c r="D25" s="4" t="s">
        <v>66</v>
      </c>
      <c r="E25" s="4" t="s">
        <v>132</v>
      </c>
      <c r="F25" s="6">
        <v>27.541101999999999</v>
      </c>
      <c r="G25" s="6">
        <v>6</v>
      </c>
      <c r="H25" s="7">
        <v>150.57082850537461</v>
      </c>
      <c r="I25" s="7">
        <v>278.45225708800001</v>
      </c>
      <c r="J25" s="7">
        <v>59.438316765730342</v>
      </c>
      <c r="K25" s="7">
        <v>729.10410925106316</v>
      </c>
      <c r="L25" s="7">
        <v>1217.565511610168</v>
      </c>
      <c r="M25" s="7">
        <v>64.942013825897618</v>
      </c>
      <c r="N25" s="7">
        <v>105.53569627303951</v>
      </c>
      <c r="O25" s="7">
        <v>121.3581735724719</v>
      </c>
      <c r="P25" s="7">
        <v>352.97162435818331</v>
      </c>
      <c r="Q25" s="7">
        <v>644.80750802959233</v>
      </c>
      <c r="R25" s="7">
        <v>0</v>
      </c>
      <c r="S25" s="7">
        <v>0</v>
      </c>
      <c r="T25" s="7">
        <v>0</v>
      </c>
      <c r="U25" s="7">
        <v>0</v>
      </c>
      <c r="V25" s="7">
        <v>0</v>
      </c>
      <c r="W25" s="7">
        <v>1862.3730196397601</v>
      </c>
      <c r="X25" s="7">
        <v>86.182829523628143</v>
      </c>
      <c r="Y25" s="7">
        <v>1948.555849163389</v>
      </c>
      <c r="Z25" s="7">
        <v>0</v>
      </c>
      <c r="AA25" s="7">
        <v>238.9691208625004</v>
      </c>
      <c r="AB25" s="7">
        <v>2187.5249700258892</v>
      </c>
      <c r="AC25" s="7">
        <v>53.274566858426972</v>
      </c>
      <c r="AD25" s="7">
        <v>72.289611220786512</v>
      </c>
      <c r="AE25" s="7">
        <v>0</v>
      </c>
      <c r="AF25" s="7">
        <v>0</v>
      </c>
      <c r="AG25" s="7">
        <v>2313.0891481051021</v>
      </c>
      <c r="AH25" s="7">
        <v>2187.5249700258892</v>
      </c>
      <c r="AI25" s="7">
        <v>649.57891026711184</v>
      </c>
      <c r="AJ25" s="7">
        <v>53.274566858426972</v>
      </c>
      <c r="AK25" s="7">
        <v>0</v>
      </c>
      <c r="AL25" s="7">
        <v>14.28434005332303</v>
      </c>
      <c r="AM25" s="7">
        <v>2904.6627872047511</v>
      </c>
      <c r="AN25" s="7">
        <v>0</v>
      </c>
      <c r="AO25" s="7">
        <v>0</v>
      </c>
      <c r="AP25" s="7">
        <v>0</v>
      </c>
      <c r="AQ25" s="7">
        <v>0</v>
      </c>
      <c r="AR25" s="7">
        <v>0</v>
      </c>
      <c r="AS25" s="7">
        <v>2904.6627872047511</v>
      </c>
      <c r="AT25" s="7">
        <v>3361.868966391763</v>
      </c>
      <c r="AU25" s="7">
        <v>3122.8998455292631</v>
      </c>
    </row>
    <row r="26" spans="1:47" x14ac:dyDescent="0.35">
      <c r="A26" s="5">
        <v>46022</v>
      </c>
      <c r="B26" s="4" t="s">
        <v>67</v>
      </c>
      <c r="C26" s="4" t="s">
        <v>68</v>
      </c>
      <c r="D26" s="4" t="s">
        <v>48</v>
      </c>
      <c r="E26" s="4" t="s">
        <v>132</v>
      </c>
      <c r="F26" s="6">
        <v>41.395415999999997</v>
      </c>
      <c r="G26" s="6">
        <v>5.5</v>
      </c>
      <c r="H26" s="7">
        <v>325.50089000000003</v>
      </c>
      <c r="I26" s="7">
        <v>260.18148000000002</v>
      </c>
      <c r="J26" s="7">
        <v>31.713180000000001</v>
      </c>
      <c r="K26" s="7">
        <v>504.25373999999999</v>
      </c>
      <c r="L26" s="7">
        <v>1121.6492900000001</v>
      </c>
      <c r="M26" s="7">
        <v>146.41231999999999</v>
      </c>
      <c r="N26" s="7">
        <v>55.684199999999997</v>
      </c>
      <c r="O26" s="7">
        <v>313.95229</v>
      </c>
      <c r="P26" s="7">
        <v>105.31994</v>
      </c>
      <c r="Q26" s="7">
        <v>621.36874999999998</v>
      </c>
      <c r="R26" s="7">
        <v>0</v>
      </c>
      <c r="S26" s="7">
        <v>0</v>
      </c>
      <c r="T26" s="7">
        <v>0</v>
      </c>
      <c r="U26" s="7">
        <v>0</v>
      </c>
      <c r="V26" s="7">
        <v>0</v>
      </c>
      <c r="W26" s="7">
        <v>1743.0180399999999</v>
      </c>
      <c r="X26" s="7">
        <v>1051.18444</v>
      </c>
      <c r="Y26" s="7">
        <v>2794.2024799999999</v>
      </c>
      <c r="Z26" s="7">
        <v>257.32738000000001</v>
      </c>
      <c r="AA26" s="7">
        <v>100.4661325214574</v>
      </c>
      <c r="AB26" s="7">
        <v>3151.9959925214571</v>
      </c>
      <c r="AC26" s="7">
        <v>0</v>
      </c>
      <c r="AD26" s="7">
        <v>686.95141999999998</v>
      </c>
      <c r="AE26" s="7">
        <v>0</v>
      </c>
      <c r="AF26" s="7">
        <v>0</v>
      </c>
      <c r="AG26" s="7">
        <v>3838.947412521457</v>
      </c>
      <c r="AH26" s="7">
        <v>3151.9959925214571</v>
      </c>
      <c r="AI26" s="7">
        <v>160.11967000000001</v>
      </c>
      <c r="AJ26" s="7">
        <v>0</v>
      </c>
      <c r="AK26" s="7">
        <v>0</v>
      </c>
      <c r="AL26" s="7">
        <v>174.30179999999999</v>
      </c>
      <c r="AM26" s="7">
        <v>3486.4174625214569</v>
      </c>
      <c r="AN26" s="7">
        <v>483.14528999999999</v>
      </c>
      <c r="AO26" s="7">
        <v>0</v>
      </c>
      <c r="AP26" s="7">
        <v>0</v>
      </c>
      <c r="AQ26" s="7">
        <v>0</v>
      </c>
      <c r="AR26" s="7">
        <v>0</v>
      </c>
      <c r="AS26" s="7">
        <v>3969.5627525214568</v>
      </c>
      <c r="AT26" s="7">
        <v>2229.1041308659292</v>
      </c>
      <c r="AU26" s="7">
        <v>1871.3106183444711</v>
      </c>
    </row>
    <row r="27" spans="1:47" x14ac:dyDescent="0.35">
      <c r="A27" s="5">
        <v>46022</v>
      </c>
      <c r="B27" s="4" t="s">
        <v>69</v>
      </c>
      <c r="C27" s="4" t="s">
        <v>70</v>
      </c>
      <c r="D27" s="4" t="s">
        <v>61</v>
      </c>
      <c r="E27" s="4" t="s">
        <v>132</v>
      </c>
      <c r="F27" s="6">
        <v>45.582624000000003</v>
      </c>
      <c r="G27" s="6">
        <v>5.101</v>
      </c>
      <c r="H27" s="7">
        <v>1090.7678375289479</v>
      </c>
      <c r="I27" s="7">
        <v>595.31421999999998</v>
      </c>
      <c r="J27" s="7">
        <v>138.0859171578947</v>
      </c>
      <c r="K27" s="7">
        <v>438.99448725000002</v>
      </c>
      <c r="L27" s="7">
        <v>2263.1624619368422</v>
      </c>
      <c r="M27" s="7">
        <v>287.05141935</v>
      </c>
      <c r="N27" s="7">
        <v>338.98700304473692</v>
      </c>
      <c r="O27" s="7">
        <v>152.61680195526321</v>
      </c>
      <c r="P27" s="7">
        <v>359.61924474473687</v>
      </c>
      <c r="Q27" s="7">
        <v>1138.274469094737</v>
      </c>
      <c r="R27" s="7">
        <v>0</v>
      </c>
      <c r="S27" s="7">
        <v>0</v>
      </c>
      <c r="T27" s="7">
        <v>0</v>
      </c>
      <c r="U27" s="7">
        <v>0</v>
      </c>
      <c r="V27" s="7">
        <v>0</v>
      </c>
      <c r="W27" s="7">
        <v>3401.4369310315792</v>
      </c>
      <c r="X27" s="7">
        <v>822.42317981842109</v>
      </c>
      <c r="Y27" s="7">
        <v>4223.8601108499997</v>
      </c>
      <c r="Z27" s="7">
        <v>485.25780832105272</v>
      </c>
      <c r="AA27" s="7">
        <v>333.31295269498997</v>
      </c>
      <c r="AB27" s="7">
        <v>5042.4308718660432</v>
      </c>
      <c r="AC27" s="7">
        <v>0</v>
      </c>
      <c r="AD27" s="7">
        <v>1466.908049581579</v>
      </c>
      <c r="AE27" s="7">
        <v>0</v>
      </c>
      <c r="AF27" s="7">
        <v>0</v>
      </c>
      <c r="AG27" s="7">
        <v>6509.3389214476219</v>
      </c>
      <c r="AH27" s="7">
        <v>5042.4308718660432</v>
      </c>
      <c r="AI27" s="7">
        <v>204.73883436315791</v>
      </c>
      <c r="AJ27" s="7">
        <v>0</v>
      </c>
      <c r="AK27" s="7">
        <v>0</v>
      </c>
      <c r="AL27" s="7">
        <v>1022.56126081579</v>
      </c>
      <c r="AM27" s="7">
        <v>6269.7309670449904</v>
      </c>
      <c r="AN27" s="7">
        <v>1120.7577000000001</v>
      </c>
      <c r="AO27" s="7">
        <v>0</v>
      </c>
      <c r="AP27" s="7">
        <v>0</v>
      </c>
      <c r="AQ27" s="7">
        <v>0</v>
      </c>
      <c r="AR27" s="7">
        <v>0</v>
      </c>
      <c r="AS27" s="7">
        <v>7390.4886670449896</v>
      </c>
      <c r="AT27" s="7">
        <v>1580.0080849000201</v>
      </c>
      <c r="AU27" s="7">
        <v>761.43732388397711</v>
      </c>
    </row>
    <row r="28" spans="1:47" x14ac:dyDescent="0.35">
      <c r="A28" s="5">
        <v>46022</v>
      </c>
      <c r="B28" s="4" t="s">
        <v>144</v>
      </c>
      <c r="C28" s="4" t="s">
        <v>145</v>
      </c>
      <c r="D28" s="4" t="s">
        <v>66</v>
      </c>
      <c r="E28" s="4" t="s">
        <v>133</v>
      </c>
      <c r="F28" s="6">
        <v>10.551024</v>
      </c>
      <c r="G28" s="6">
        <v>57</v>
      </c>
      <c r="H28" s="7">
        <v>0</v>
      </c>
      <c r="I28" s="7">
        <v>0</v>
      </c>
      <c r="J28" s="7">
        <v>0</v>
      </c>
      <c r="K28" s="7">
        <v>0</v>
      </c>
      <c r="L28" s="7">
        <v>0</v>
      </c>
      <c r="M28" s="7">
        <v>0</v>
      </c>
      <c r="N28" s="7">
        <v>0</v>
      </c>
      <c r="O28" s="7">
        <v>0</v>
      </c>
      <c r="P28" s="7">
        <v>0</v>
      </c>
      <c r="Q28" s="7">
        <v>0</v>
      </c>
      <c r="R28" s="7">
        <v>770.43116586165729</v>
      </c>
      <c r="S28" s="7">
        <v>817.85924188623585</v>
      </c>
      <c r="T28" s="7">
        <v>701.61676633216291</v>
      </c>
      <c r="U28" s="7">
        <v>4248.7795133405898</v>
      </c>
      <c r="V28" s="7">
        <v>6538.6866874206462</v>
      </c>
      <c r="W28" s="7">
        <v>6538.6866874206462</v>
      </c>
      <c r="X28" s="7">
        <v>131.1505141537921</v>
      </c>
      <c r="Y28" s="7">
        <v>6669.837201574439</v>
      </c>
      <c r="Z28" s="7">
        <v>0</v>
      </c>
      <c r="AA28" s="7">
        <v>359.59159424761231</v>
      </c>
      <c r="AB28" s="7">
        <v>7029.4287958220511</v>
      </c>
      <c r="AC28" s="7">
        <v>0</v>
      </c>
      <c r="AD28" s="7">
        <v>1703.439673661517</v>
      </c>
      <c r="AE28" s="7">
        <v>0</v>
      </c>
      <c r="AF28" s="7">
        <v>0</v>
      </c>
      <c r="AG28" s="7">
        <v>8732.8684694835683</v>
      </c>
      <c r="AH28" s="7">
        <v>7029.4287958220511</v>
      </c>
      <c r="AI28" s="7">
        <v>196.16060532162919</v>
      </c>
      <c r="AJ28" s="7">
        <v>0</v>
      </c>
      <c r="AK28" s="7">
        <v>0</v>
      </c>
      <c r="AL28" s="7">
        <v>1634.6716743546349</v>
      </c>
      <c r="AM28" s="7">
        <v>8860.2610754983143</v>
      </c>
      <c r="AN28" s="7">
        <v>0</v>
      </c>
      <c r="AO28" s="7">
        <v>0</v>
      </c>
      <c r="AP28" s="7">
        <v>0</v>
      </c>
      <c r="AQ28" s="7">
        <v>0</v>
      </c>
      <c r="AR28" s="7">
        <v>0</v>
      </c>
      <c r="AS28" s="7">
        <v>8860.2610754983143</v>
      </c>
      <c r="AT28" s="7">
        <v>5316.5498229973773</v>
      </c>
      <c r="AU28" s="7">
        <v>4956.9582287497651</v>
      </c>
    </row>
    <row r="29" spans="1:47" x14ac:dyDescent="0.35">
      <c r="A29" s="5">
        <v>46022</v>
      </c>
      <c r="B29" s="4" t="s">
        <v>146</v>
      </c>
      <c r="C29" s="4" t="s">
        <v>147</v>
      </c>
      <c r="D29" s="4" t="s">
        <v>66</v>
      </c>
      <c r="E29" s="4" t="s">
        <v>132</v>
      </c>
      <c r="F29" s="6">
        <v>23.802364000000001</v>
      </c>
      <c r="G29" s="6">
        <v>5.5</v>
      </c>
      <c r="H29" s="7">
        <v>232.4175853033708</v>
      </c>
      <c r="I29" s="7">
        <v>70.009</v>
      </c>
      <c r="J29" s="7">
        <v>182.7905026502809</v>
      </c>
      <c r="K29" s="7">
        <v>868.20032408637644</v>
      </c>
      <c r="L29" s="7">
        <v>1353.417412040028</v>
      </c>
      <c r="M29" s="7">
        <v>123.18378289185389</v>
      </c>
      <c r="N29" s="7">
        <v>57.153026797050558</v>
      </c>
      <c r="O29" s="7">
        <v>126.17390281811799</v>
      </c>
      <c r="P29" s="7">
        <v>234.41735391502809</v>
      </c>
      <c r="Q29" s="7">
        <v>540.92806642205062</v>
      </c>
      <c r="R29" s="7">
        <v>0</v>
      </c>
      <c r="S29" s="7">
        <v>0</v>
      </c>
      <c r="T29" s="7">
        <v>0</v>
      </c>
      <c r="U29" s="7">
        <v>0</v>
      </c>
      <c r="V29" s="7">
        <v>0</v>
      </c>
      <c r="W29" s="7">
        <v>1894.345478462079</v>
      </c>
      <c r="X29" s="7">
        <v>606.52024493328645</v>
      </c>
      <c r="Y29" s="7">
        <v>2500.865723395365</v>
      </c>
      <c r="Z29" s="7">
        <v>0</v>
      </c>
      <c r="AA29" s="7">
        <v>226.3442303258428</v>
      </c>
      <c r="AB29" s="7">
        <v>2727.209953721208</v>
      </c>
      <c r="AC29" s="7">
        <v>0</v>
      </c>
      <c r="AD29" s="7">
        <v>490.11695326615171</v>
      </c>
      <c r="AE29" s="7">
        <v>0</v>
      </c>
      <c r="AF29" s="7">
        <v>0</v>
      </c>
      <c r="AG29" s="7">
        <v>3217.32690698736</v>
      </c>
      <c r="AH29" s="7">
        <v>2727.209953721208</v>
      </c>
      <c r="AI29" s="7">
        <v>420.03783023735963</v>
      </c>
      <c r="AJ29" s="7">
        <v>0</v>
      </c>
      <c r="AK29" s="7">
        <v>0</v>
      </c>
      <c r="AL29" s="7">
        <v>15.489206136938201</v>
      </c>
      <c r="AM29" s="7">
        <v>3162.7369900955059</v>
      </c>
      <c r="AN29" s="7">
        <v>1680.5053499999999</v>
      </c>
      <c r="AO29" s="7">
        <v>0</v>
      </c>
      <c r="AP29" s="7">
        <v>0</v>
      </c>
      <c r="AQ29" s="7">
        <v>0</v>
      </c>
      <c r="AR29" s="7">
        <v>0</v>
      </c>
      <c r="AS29" s="7">
        <v>4843.2423400955058</v>
      </c>
      <c r="AT29" s="7">
        <v>2529.0060407725632</v>
      </c>
      <c r="AU29" s="7">
        <v>2302.6618104467202</v>
      </c>
    </row>
    <row r="30" spans="1:47" x14ac:dyDescent="0.35">
      <c r="A30" s="5">
        <v>46022</v>
      </c>
      <c r="B30" s="4" t="s">
        <v>148</v>
      </c>
      <c r="C30" s="4" t="s">
        <v>149</v>
      </c>
      <c r="D30" s="4" t="s">
        <v>137</v>
      </c>
      <c r="E30" s="4" t="s">
        <v>150</v>
      </c>
      <c r="F30" s="6">
        <v>3.7641990000000001</v>
      </c>
      <c r="G30" s="6">
        <v>28.8</v>
      </c>
      <c r="H30" s="7">
        <v>0</v>
      </c>
      <c r="I30" s="7">
        <v>0</v>
      </c>
      <c r="J30" s="7">
        <v>0</v>
      </c>
      <c r="K30" s="7">
        <v>0</v>
      </c>
      <c r="L30" s="7">
        <v>0</v>
      </c>
      <c r="M30" s="7">
        <v>0</v>
      </c>
      <c r="N30" s="7">
        <v>0</v>
      </c>
      <c r="O30" s="7">
        <v>0</v>
      </c>
      <c r="P30" s="7">
        <v>0</v>
      </c>
      <c r="Q30" s="7">
        <v>0</v>
      </c>
      <c r="R30" s="7">
        <v>777.22599769239446</v>
      </c>
      <c r="S30" s="7">
        <v>2572.5228188177221</v>
      </c>
      <c r="T30" s="7">
        <v>1041.8012645865469</v>
      </c>
      <c r="U30" s="7">
        <v>2531.5084959575688</v>
      </c>
      <c r="V30" s="7">
        <v>6923.058577054233</v>
      </c>
      <c r="W30" s="7">
        <v>6923.058577054233</v>
      </c>
      <c r="X30" s="7">
        <v>159.39619907075041</v>
      </c>
      <c r="Y30" s="7">
        <v>7082.4547761249833</v>
      </c>
      <c r="Z30" s="7">
        <v>139.4716716869107</v>
      </c>
      <c r="AA30" s="7">
        <v>359.74958020793269</v>
      </c>
      <c r="AB30" s="7">
        <v>7581.6760280198268</v>
      </c>
      <c r="AC30" s="7">
        <v>17.307641667643399</v>
      </c>
      <c r="AD30" s="7">
        <v>7101.1502955206906</v>
      </c>
      <c r="AE30" s="7">
        <v>0</v>
      </c>
      <c r="AF30" s="7">
        <v>0</v>
      </c>
      <c r="AG30" s="7">
        <v>14700.133965208161</v>
      </c>
      <c r="AH30" s="7">
        <v>7581.6760280198268</v>
      </c>
      <c r="AI30" s="7">
        <v>346.15293335270428</v>
      </c>
      <c r="AJ30" s="7">
        <v>17.307641667643399</v>
      </c>
      <c r="AK30" s="7">
        <v>0</v>
      </c>
      <c r="AL30" s="7">
        <v>692.30585670542496</v>
      </c>
      <c r="AM30" s="7">
        <v>8637.4424597455982</v>
      </c>
      <c r="AN30" s="7">
        <v>5313.2153799999996</v>
      </c>
      <c r="AO30" s="7">
        <v>0</v>
      </c>
      <c r="AP30" s="7">
        <v>0</v>
      </c>
      <c r="AQ30" s="7">
        <v>0</v>
      </c>
      <c r="AR30" s="7">
        <v>0</v>
      </c>
      <c r="AS30" s="7">
        <v>13950.6578397456</v>
      </c>
      <c r="AT30" s="7">
        <v>1862.8728540072559</v>
      </c>
      <c r="AU30" s="7">
        <v>1363.651602112413</v>
      </c>
    </row>
    <row r="31" spans="1:47" x14ac:dyDescent="0.35">
      <c r="A31" s="5">
        <v>46022</v>
      </c>
      <c r="B31" s="4" t="s">
        <v>71</v>
      </c>
      <c r="C31" s="4" t="s">
        <v>72</v>
      </c>
      <c r="D31" s="4" t="s">
        <v>61</v>
      </c>
      <c r="E31" s="4" t="s">
        <v>132</v>
      </c>
      <c r="F31" s="6">
        <v>64.514515000000003</v>
      </c>
      <c r="G31" s="6">
        <v>4.5609999999999999</v>
      </c>
      <c r="H31" s="7">
        <v>702.5211223578948</v>
      </c>
      <c r="I31" s="7">
        <v>259.79685000000001</v>
      </c>
      <c r="J31" s="7">
        <v>46.998377099999999</v>
      </c>
      <c r="K31" s="7">
        <v>878.83996395789472</v>
      </c>
      <c r="L31" s="7">
        <v>1888.15631341579</v>
      </c>
      <c r="M31" s="7">
        <v>294.34586255526318</v>
      </c>
      <c r="N31" s="7">
        <v>129.36280158947369</v>
      </c>
      <c r="O31" s="7">
        <v>57.111078505263158</v>
      </c>
      <c r="P31" s="7">
        <v>442.0368049736843</v>
      </c>
      <c r="Q31" s="7">
        <v>922.85654762368426</v>
      </c>
      <c r="R31" s="7">
        <v>0</v>
      </c>
      <c r="S31" s="7">
        <v>0</v>
      </c>
      <c r="T31" s="7">
        <v>0</v>
      </c>
      <c r="U31" s="7">
        <v>0</v>
      </c>
      <c r="V31" s="7">
        <v>0</v>
      </c>
      <c r="W31" s="7">
        <v>2811.012861039474</v>
      </c>
      <c r="X31" s="7">
        <v>672.8071462105263</v>
      </c>
      <c r="Y31" s="7">
        <v>3483.8200072499999</v>
      </c>
      <c r="Z31" s="7">
        <v>251.67855176052629</v>
      </c>
      <c r="AA31" s="7">
        <v>352.47117898445572</v>
      </c>
      <c r="AB31" s="7">
        <v>4087.9697379949821</v>
      </c>
      <c r="AC31" s="7">
        <v>7.7277552394736837</v>
      </c>
      <c r="AD31" s="7">
        <v>1172.8056601894741</v>
      </c>
      <c r="AE31" s="7">
        <v>0</v>
      </c>
      <c r="AF31" s="7">
        <v>0</v>
      </c>
      <c r="AG31" s="7">
        <v>5268.5031534239297</v>
      </c>
      <c r="AH31" s="7">
        <v>4087.9697379949821</v>
      </c>
      <c r="AI31" s="7">
        <v>149.56578947368419</v>
      </c>
      <c r="AJ31" s="7">
        <v>7.7277552394736837</v>
      </c>
      <c r="AK31" s="7">
        <v>139.09966410789471</v>
      </c>
      <c r="AL31" s="7">
        <v>927.33108740526325</v>
      </c>
      <c r="AM31" s="7">
        <v>5311.6940342212984</v>
      </c>
      <c r="AN31" s="7">
        <v>155.00388000000001</v>
      </c>
      <c r="AO31" s="7">
        <v>0</v>
      </c>
      <c r="AP31" s="7">
        <v>0</v>
      </c>
      <c r="AQ31" s="7">
        <v>0</v>
      </c>
      <c r="AR31" s="7">
        <v>0</v>
      </c>
      <c r="AS31" s="7">
        <v>5466.6979142212977</v>
      </c>
      <c r="AT31" s="7">
        <v>1817.3601946340109</v>
      </c>
      <c r="AU31" s="7">
        <v>1213.2104638890289</v>
      </c>
    </row>
    <row r="32" spans="1:47" x14ac:dyDescent="0.35">
      <c r="A32" s="5">
        <v>46022</v>
      </c>
      <c r="B32" s="4" t="s">
        <v>73</v>
      </c>
      <c r="C32" s="4" t="s">
        <v>74</v>
      </c>
      <c r="D32" s="4" t="s">
        <v>61</v>
      </c>
      <c r="E32" s="4" t="s">
        <v>132</v>
      </c>
      <c r="F32" s="6">
        <v>3.9987970000000002</v>
      </c>
      <c r="G32" s="6">
        <v>5.3</v>
      </c>
      <c r="H32" s="7">
        <v>1865.855977626316</v>
      </c>
      <c r="I32" s="7">
        <v>403.47723000000002</v>
      </c>
      <c r="J32" s="7">
        <v>85.572700413157889</v>
      </c>
      <c r="K32" s="7">
        <v>1570.9675402421051</v>
      </c>
      <c r="L32" s="7">
        <v>3925.8734482815789</v>
      </c>
      <c r="M32" s="7">
        <v>854.14680168157895</v>
      </c>
      <c r="N32" s="7">
        <v>0</v>
      </c>
      <c r="O32" s="7">
        <v>239.7538408736842</v>
      </c>
      <c r="P32" s="7">
        <v>1229.0676038526319</v>
      </c>
      <c r="Q32" s="7">
        <v>2322.9682464078951</v>
      </c>
      <c r="R32" s="7">
        <v>0</v>
      </c>
      <c r="S32" s="7">
        <v>0</v>
      </c>
      <c r="T32" s="7">
        <v>0</v>
      </c>
      <c r="U32" s="7">
        <v>0</v>
      </c>
      <c r="V32" s="7">
        <v>0</v>
      </c>
      <c r="W32" s="7">
        <v>6248.841694689474</v>
      </c>
      <c r="X32" s="7">
        <v>321.9960302289474</v>
      </c>
      <c r="Y32" s="7">
        <v>6570.8377249184214</v>
      </c>
      <c r="Z32" s="7">
        <v>180.29217645</v>
      </c>
      <c r="AA32" s="7">
        <v>364.97576355198498</v>
      </c>
      <c r="AB32" s="7">
        <v>7116.1056649204056</v>
      </c>
      <c r="AC32" s="7">
        <v>0</v>
      </c>
      <c r="AD32" s="7">
        <v>1342.1970431763159</v>
      </c>
      <c r="AE32" s="7">
        <v>0</v>
      </c>
      <c r="AF32" s="7">
        <v>0</v>
      </c>
      <c r="AG32" s="7">
        <v>8458.3027080967222</v>
      </c>
      <c r="AH32" s="7">
        <v>7116.1056649204056</v>
      </c>
      <c r="AI32" s="7">
        <v>2493.5129910236842</v>
      </c>
      <c r="AJ32" s="7">
        <v>0</v>
      </c>
      <c r="AK32" s="7">
        <v>0</v>
      </c>
      <c r="AL32" s="7">
        <v>444.8866913526316</v>
      </c>
      <c r="AM32" s="7">
        <v>10054.505347296719</v>
      </c>
      <c r="AN32" s="7">
        <v>0</v>
      </c>
      <c r="AO32" s="7">
        <v>0</v>
      </c>
      <c r="AP32" s="7">
        <v>0</v>
      </c>
      <c r="AQ32" s="7">
        <v>0</v>
      </c>
      <c r="AR32" s="7">
        <v>0</v>
      </c>
      <c r="AS32" s="7">
        <v>10054.505347296719</v>
      </c>
      <c r="AT32" s="7">
        <v>-659.7135946627053</v>
      </c>
      <c r="AU32" s="7">
        <v>-1204.9815346646899</v>
      </c>
    </row>
    <row r="33" spans="1:47" x14ac:dyDescent="0.35">
      <c r="A33" s="5">
        <v>46022</v>
      </c>
      <c r="B33" s="4" t="s">
        <v>75</v>
      </c>
      <c r="C33" s="4" t="s">
        <v>76</v>
      </c>
      <c r="D33" s="4" t="s">
        <v>61</v>
      </c>
      <c r="E33" s="4" t="s">
        <v>132</v>
      </c>
      <c r="F33" s="6">
        <v>20.279613999999999</v>
      </c>
      <c r="G33" s="6">
        <v>5.5</v>
      </c>
      <c r="H33" s="7">
        <v>672.71405646315804</v>
      </c>
      <c r="I33" s="7">
        <v>518.32515999999998</v>
      </c>
      <c r="J33" s="7">
        <v>32.895240489473693</v>
      </c>
      <c r="K33" s="7">
        <v>492.61082148947372</v>
      </c>
      <c r="L33" s="7">
        <v>1716.545278442105</v>
      </c>
      <c r="M33" s="7">
        <v>320.64523178684209</v>
      </c>
      <c r="N33" s="7">
        <v>51.54308317894737</v>
      </c>
      <c r="O33" s="7">
        <v>57.013571581578951</v>
      </c>
      <c r="P33" s="7">
        <v>302.77293757105258</v>
      </c>
      <c r="Q33" s="7">
        <v>731.97482411842111</v>
      </c>
      <c r="R33" s="7">
        <v>0</v>
      </c>
      <c r="S33" s="7">
        <v>0</v>
      </c>
      <c r="T33" s="7">
        <v>0</v>
      </c>
      <c r="U33" s="7">
        <v>0</v>
      </c>
      <c r="V33" s="7">
        <v>0</v>
      </c>
      <c r="W33" s="7">
        <v>2448.5201025605261</v>
      </c>
      <c r="X33" s="7">
        <v>74.941544155263159</v>
      </c>
      <c r="Y33" s="7">
        <v>2523.4616467157898</v>
      </c>
      <c r="Z33" s="7">
        <v>0</v>
      </c>
      <c r="AA33" s="7">
        <v>326.94876920318188</v>
      </c>
      <c r="AB33" s="7">
        <v>2850.410415918971</v>
      </c>
      <c r="AC33" s="7">
        <v>0</v>
      </c>
      <c r="AD33" s="7">
        <v>1140.4982930210531</v>
      </c>
      <c r="AE33" s="7">
        <v>0</v>
      </c>
      <c r="AF33" s="7">
        <v>0</v>
      </c>
      <c r="AG33" s="7">
        <v>3990.9087089400241</v>
      </c>
      <c r="AH33" s="7">
        <v>2850.410415918971</v>
      </c>
      <c r="AI33" s="7">
        <v>259.20078366315789</v>
      </c>
      <c r="AJ33" s="7">
        <v>0</v>
      </c>
      <c r="AK33" s="7">
        <v>0</v>
      </c>
      <c r="AL33" s="7">
        <v>265.72438473157888</v>
      </c>
      <c r="AM33" s="7">
        <v>3375.3355843137078</v>
      </c>
      <c r="AN33" s="7">
        <v>1739.69597</v>
      </c>
      <c r="AO33" s="7">
        <v>0</v>
      </c>
      <c r="AP33" s="7">
        <v>0</v>
      </c>
      <c r="AQ33" s="7">
        <v>0</v>
      </c>
      <c r="AR33" s="7">
        <v>0</v>
      </c>
      <c r="AS33" s="7">
        <v>5115.0315543137076</v>
      </c>
      <c r="AT33" s="7">
        <v>4015.5137947802668</v>
      </c>
      <c r="AU33" s="7">
        <v>3688.5650255770852</v>
      </c>
    </row>
    <row r="34" spans="1:47" x14ac:dyDescent="0.35">
      <c r="A34" s="5">
        <v>46022</v>
      </c>
      <c r="B34" s="4" t="s">
        <v>75</v>
      </c>
      <c r="C34" s="4" t="s">
        <v>76</v>
      </c>
      <c r="D34" s="4" t="s">
        <v>61</v>
      </c>
      <c r="E34" s="4" t="s">
        <v>133</v>
      </c>
      <c r="F34" s="6">
        <v>17.010815000000001</v>
      </c>
      <c r="G34" s="6">
        <v>56.5</v>
      </c>
      <c r="H34" s="7">
        <v>1471.187735052632</v>
      </c>
      <c r="I34" s="7">
        <v>1133.54791</v>
      </c>
      <c r="J34" s="7">
        <v>71.940027978947384</v>
      </c>
      <c r="K34" s="7">
        <v>1077.3120914526321</v>
      </c>
      <c r="L34" s="7">
        <v>3753.9877644842109</v>
      </c>
      <c r="M34" s="7">
        <v>701.23305180789475</v>
      </c>
      <c r="N34" s="7">
        <v>112.7218127210526</v>
      </c>
      <c r="O34" s="7">
        <v>124.68546056842111</v>
      </c>
      <c r="P34" s="7">
        <v>662.14735308947365</v>
      </c>
      <c r="Q34" s="7">
        <v>1600.787678186842</v>
      </c>
      <c r="R34" s="7">
        <v>285.93387374210528</v>
      </c>
      <c r="S34" s="7">
        <v>846.5565173447369</v>
      </c>
      <c r="T34" s="7">
        <v>274.14038190789472</v>
      </c>
      <c r="U34" s="7">
        <v>1548.5142154026321</v>
      </c>
      <c r="V34" s="7">
        <v>2955.1449883973678</v>
      </c>
      <c r="W34" s="7">
        <v>8309.9204310684217</v>
      </c>
      <c r="X34" s="7">
        <v>11.69546641578947</v>
      </c>
      <c r="Y34" s="7">
        <v>8321.615897484211</v>
      </c>
      <c r="Z34" s="7">
        <v>457.62950716578951</v>
      </c>
      <c r="AA34" s="7">
        <v>730.15389825944408</v>
      </c>
      <c r="AB34" s="7">
        <v>9509.3993029094436</v>
      </c>
      <c r="AC34" s="7">
        <v>0</v>
      </c>
      <c r="AD34" s="7">
        <v>2494.2055005710531</v>
      </c>
      <c r="AE34" s="7">
        <v>0</v>
      </c>
      <c r="AF34" s="7">
        <v>0</v>
      </c>
      <c r="AG34" s="7">
        <v>12003.604803480501</v>
      </c>
      <c r="AH34" s="7">
        <v>9509.3993029094436</v>
      </c>
      <c r="AI34" s="7">
        <v>566.85751290000007</v>
      </c>
      <c r="AJ34" s="7">
        <v>0</v>
      </c>
      <c r="AK34" s="7">
        <v>0</v>
      </c>
      <c r="AL34" s="7">
        <v>581.12425454210529</v>
      </c>
      <c r="AM34" s="7">
        <v>10657.38107035155</v>
      </c>
      <c r="AN34" s="7">
        <v>3804.6170400000001</v>
      </c>
      <c r="AO34" s="7">
        <v>0</v>
      </c>
      <c r="AP34" s="7">
        <v>0</v>
      </c>
      <c r="AQ34" s="7">
        <v>0</v>
      </c>
      <c r="AR34" s="7">
        <v>0</v>
      </c>
      <c r="AS34" s="7">
        <v>14461.998110351549</v>
      </c>
      <c r="AT34" s="7">
        <v>6281.462132062511</v>
      </c>
      <c r="AU34" s="7">
        <v>5093.6787266372767</v>
      </c>
    </row>
    <row r="35" spans="1:47" x14ac:dyDescent="0.35">
      <c r="A35" s="5">
        <v>46022</v>
      </c>
      <c r="B35" s="4" t="s">
        <v>77</v>
      </c>
      <c r="C35" s="4" t="s">
        <v>78</v>
      </c>
      <c r="D35" s="4" t="s">
        <v>79</v>
      </c>
      <c r="E35" s="4" t="s">
        <v>132</v>
      </c>
      <c r="F35" s="6">
        <v>26.369948999999998</v>
      </c>
      <c r="G35" s="6">
        <v>5.2</v>
      </c>
      <c r="H35" s="7">
        <v>1527.0272154525551</v>
      </c>
      <c r="I35" s="7">
        <v>666.44865000000004</v>
      </c>
      <c r="J35" s="7">
        <v>25.4536698350365</v>
      </c>
      <c r="K35" s="7">
        <v>1089.018676528467</v>
      </c>
      <c r="L35" s="7">
        <v>3307.948211816059</v>
      </c>
      <c r="M35" s="7">
        <v>642.10139781897817</v>
      </c>
      <c r="N35" s="7">
        <v>196.50286472846719</v>
      </c>
      <c r="O35" s="7">
        <v>169.2427868474453</v>
      </c>
      <c r="P35" s="7">
        <v>590.14984771094885</v>
      </c>
      <c r="Q35" s="7">
        <v>1597.9968971058399</v>
      </c>
      <c r="R35" s="7">
        <v>0</v>
      </c>
      <c r="S35" s="7">
        <v>0</v>
      </c>
      <c r="T35" s="7">
        <v>0</v>
      </c>
      <c r="U35" s="7">
        <v>0</v>
      </c>
      <c r="V35" s="7">
        <v>0</v>
      </c>
      <c r="W35" s="7">
        <v>4905.9451089218983</v>
      </c>
      <c r="X35" s="7">
        <v>192.10602617518251</v>
      </c>
      <c r="Y35" s="7">
        <v>5098.051135097081</v>
      </c>
      <c r="Z35" s="7">
        <v>221.66080162554749</v>
      </c>
      <c r="AA35" s="7">
        <v>41.071431030317022</v>
      </c>
      <c r="AB35" s="7">
        <v>5360.7833677529452</v>
      </c>
      <c r="AC35" s="7">
        <v>53.762699382481763</v>
      </c>
      <c r="AD35" s="7">
        <v>566.66947906423366</v>
      </c>
      <c r="AE35" s="7">
        <v>0</v>
      </c>
      <c r="AF35" s="7">
        <v>198.08231140291969</v>
      </c>
      <c r="AG35" s="7">
        <v>6179.2978576025798</v>
      </c>
      <c r="AH35" s="7">
        <v>5360.7833677529452</v>
      </c>
      <c r="AI35" s="7">
        <v>78.358054841605835</v>
      </c>
      <c r="AJ35" s="7">
        <v>53.762699382481763</v>
      </c>
      <c r="AK35" s="7">
        <v>0</v>
      </c>
      <c r="AL35" s="7">
        <v>594.34204382189785</v>
      </c>
      <c r="AM35" s="7">
        <v>6087.2461657989306</v>
      </c>
      <c r="AN35" s="7">
        <v>0</v>
      </c>
      <c r="AO35" s="7">
        <v>0</v>
      </c>
      <c r="AP35" s="7">
        <v>0</v>
      </c>
      <c r="AQ35" s="7">
        <v>0</v>
      </c>
      <c r="AR35" s="7">
        <v>0</v>
      </c>
      <c r="AS35" s="7">
        <v>6087.2461657989306</v>
      </c>
      <c r="AT35" s="7">
        <v>638.91737268477141</v>
      </c>
      <c r="AU35" s="7">
        <v>376.18514002890691</v>
      </c>
    </row>
    <row r="36" spans="1:47" x14ac:dyDescent="0.35">
      <c r="A36" s="5">
        <v>46022</v>
      </c>
      <c r="B36" s="4" t="s">
        <v>80</v>
      </c>
      <c r="C36" s="4" t="s">
        <v>81</v>
      </c>
      <c r="D36" s="4" t="s">
        <v>61</v>
      </c>
      <c r="E36" s="4" t="s">
        <v>132</v>
      </c>
      <c r="F36" s="6">
        <v>95.220433</v>
      </c>
      <c r="G36" s="6">
        <v>5.0999999999999996</v>
      </c>
      <c r="H36" s="7">
        <v>552.71624698421056</v>
      </c>
      <c r="I36" s="7">
        <v>270.28417000000002</v>
      </c>
      <c r="J36" s="7">
        <v>40.4100938131579</v>
      </c>
      <c r="K36" s="7">
        <v>896.82286706052628</v>
      </c>
      <c r="L36" s="7">
        <v>1760.233377857895</v>
      </c>
      <c r="M36" s="7">
        <v>239.91745587631581</v>
      </c>
      <c r="N36" s="7">
        <v>93.580911450000016</v>
      </c>
      <c r="O36" s="7">
        <v>327.65788307368422</v>
      </c>
      <c r="P36" s="7">
        <v>465.34352229473689</v>
      </c>
      <c r="Q36" s="7">
        <v>1126.499772694737</v>
      </c>
      <c r="R36" s="7">
        <v>0</v>
      </c>
      <c r="S36" s="7">
        <v>0</v>
      </c>
      <c r="T36" s="7">
        <v>0</v>
      </c>
      <c r="U36" s="7">
        <v>0</v>
      </c>
      <c r="V36" s="7">
        <v>0</v>
      </c>
      <c r="W36" s="7">
        <v>2886.7331505526322</v>
      </c>
      <c r="X36" s="7">
        <v>253.77453682105261</v>
      </c>
      <c r="Y36" s="7">
        <v>3140.5076873736839</v>
      </c>
      <c r="Z36" s="7">
        <v>395.29515256578952</v>
      </c>
      <c r="AA36" s="7">
        <v>272.9022637508769</v>
      </c>
      <c r="AB36" s="7">
        <v>3808.7051036903508</v>
      </c>
      <c r="AC36" s="7">
        <v>0</v>
      </c>
      <c r="AD36" s="7">
        <v>653.52419732368423</v>
      </c>
      <c r="AE36" s="7">
        <v>0</v>
      </c>
      <c r="AF36" s="7">
        <v>0</v>
      </c>
      <c r="AG36" s="7">
        <v>4462.2293010140347</v>
      </c>
      <c r="AH36" s="7">
        <v>3808.7051036903508</v>
      </c>
      <c r="AI36" s="7">
        <v>97.835549636842103</v>
      </c>
      <c r="AJ36" s="7">
        <v>0</v>
      </c>
      <c r="AK36" s="7">
        <v>140.46354457105261</v>
      </c>
      <c r="AL36" s="7">
        <v>250.68726959210531</v>
      </c>
      <c r="AM36" s="7">
        <v>4297.691467490351</v>
      </c>
      <c r="AN36" s="7">
        <v>2153.02927</v>
      </c>
      <c r="AO36" s="7">
        <v>0</v>
      </c>
      <c r="AP36" s="7">
        <v>0</v>
      </c>
      <c r="AQ36" s="7">
        <v>0</v>
      </c>
      <c r="AR36" s="7">
        <v>0</v>
      </c>
      <c r="AS36" s="7">
        <v>6450.720737490351</v>
      </c>
      <c r="AT36" s="7">
        <v>2790.3703652910172</v>
      </c>
      <c r="AU36" s="7">
        <v>2122.1729489743511</v>
      </c>
    </row>
    <row r="37" spans="1:47" x14ac:dyDescent="0.35">
      <c r="A37" s="5">
        <v>46022</v>
      </c>
      <c r="B37" s="4" t="s">
        <v>151</v>
      </c>
      <c r="C37" s="4" t="s">
        <v>152</v>
      </c>
      <c r="D37" s="4" t="s">
        <v>66</v>
      </c>
      <c r="E37" s="4" t="s">
        <v>134</v>
      </c>
      <c r="F37" s="6">
        <v>11.509944000000001</v>
      </c>
      <c r="G37" s="6">
        <v>99.5</v>
      </c>
      <c r="H37" s="7">
        <v>0</v>
      </c>
      <c r="I37" s="7">
        <v>0</v>
      </c>
      <c r="J37" s="7">
        <v>0</v>
      </c>
      <c r="K37" s="7">
        <v>0</v>
      </c>
      <c r="L37" s="7">
        <v>0</v>
      </c>
      <c r="M37" s="7">
        <v>0</v>
      </c>
      <c r="N37" s="7">
        <v>0</v>
      </c>
      <c r="O37" s="7">
        <v>0</v>
      </c>
      <c r="P37" s="7">
        <v>0</v>
      </c>
      <c r="Q37" s="7">
        <v>0</v>
      </c>
      <c r="R37" s="7">
        <v>580.04488378300562</v>
      </c>
      <c r="S37" s="7">
        <v>1817.243703041433</v>
      </c>
      <c r="T37" s="7">
        <v>1249.310427117978</v>
      </c>
      <c r="U37" s="7">
        <v>2145.7867229325839</v>
      </c>
      <c r="V37" s="7">
        <v>5792.3857368749996</v>
      </c>
      <c r="W37" s="7">
        <v>5792.3857368749996</v>
      </c>
      <c r="X37" s="7">
        <v>36.663154393258417</v>
      </c>
      <c r="Y37" s="7">
        <v>5829.0488912682576</v>
      </c>
      <c r="Z37" s="7">
        <v>0</v>
      </c>
      <c r="AA37" s="7">
        <v>941.12857967595733</v>
      </c>
      <c r="AB37" s="7">
        <v>6770.1774709442161</v>
      </c>
      <c r="AC37" s="7">
        <v>0</v>
      </c>
      <c r="AD37" s="7">
        <v>960.19055003932579</v>
      </c>
      <c r="AE37" s="7">
        <v>0</v>
      </c>
      <c r="AF37" s="7">
        <v>0</v>
      </c>
      <c r="AG37" s="7">
        <v>7730.3680209835411</v>
      </c>
      <c r="AH37" s="7">
        <v>6770.1774709442161</v>
      </c>
      <c r="AI37" s="7">
        <v>798.98306944592696</v>
      </c>
      <c r="AJ37" s="7">
        <v>0</v>
      </c>
      <c r="AK37" s="7">
        <v>0</v>
      </c>
      <c r="AL37" s="7">
        <v>289.61928184480342</v>
      </c>
      <c r="AM37" s="7">
        <v>7858.7798222349456</v>
      </c>
      <c r="AN37" s="7">
        <v>0</v>
      </c>
      <c r="AO37" s="7">
        <v>0</v>
      </c>
      <c r="AP37" s="7">
        <v>0</v>
      </c>
      <c r="AQ37" s="7">
        <v>0</v>
      </c>
      <c r="AR37" s="7">
        <v>0</v>
      </c>
      <c r="AS37" s="7">
        <v>7858.7798222349456</v>
      </c>
      <c r="AT37" s="7">
        <v>4664.1735518329933</v>
      </c>
      <c r="AU37" s="7">
        <v>3723.0449721570362</v>
      </c>
    </row>
    <row r="38" spans="1:47" x14ac:dyDescent="0.35">
      <c r="A38" s="5">
        <v>46022</v>
      </c>
      <c r="B38" s="4" t="s">
        <v>153</v>
      </c>
      <c r="C38" s="4" t="s">
        <v>154</v>
      </c>
      <c r="D38" s="4" t="s">
        <v>66</v>
      </c>
      <c r="E38" s="4" t="s">
        <v>134</v>
      </c>
      <c r="F38" s="6">
        <v>9.4539570000000008</v>
      </c>
      <c r="G38" s="6">
        <v>99.5</v>
      </c>
      <c r="H38" s="7">
        <v>0</v>
      </c>
      <c r="I38" s="7">
        <v>0</v>
      </c>
      <c r="J38" s="7">
        <v>0</v>
      </c>
      <c r="K38" s="7">
        <v>0</v>
      </c>
      <c r="L38" s="7">
        <v>0</v>
      </c>
      <c r="M38" s="7">
        <v>0</v>
      </c>
      <c r="N38" s="7">
        <v>0</v>
      </c>
      <c r="O38" s="7">
        <v>0</v>
      </c>
      <c r="P38" s="7">
        <v>0</v>
      </c>
      <c r="Q38" s="7">
        <v>0</v>
      </c>
      <c r="R38" s="7">
        <v>560.61962704494385</v>
      </c>
      <c r="S38" s="7">
        <v>1905.6987039318819</v>
      </c>
      <c r="T38" s="7">
        <v>1033.9517971762641</v>
      </c>
      <c r="U38" s="7">
        <v>2303.8937368518259</v>
      </c>
      <c r="V38" s="7">
        <v>5804.1638650049163</v>
      </c>
      <c r="W38" s="7">
        <v>5804.1638650049163</v>
      </c>
      <c r="X38" s="7">
        <v>36.663154393258417</v>
      </c>
      <c r="Y38" s="7">
        <v>5840.8270193981743</v>
      </c>
      <c r="Z38" s="7">
        <v>0</v>
      </c>
      <c r="AA38" s="7">
        <v>927.56919533977896</v>
      </c>
      <c r="AB38" s="7">
        <v>6768.3962147379534</v>
      </c>
      <c r="AC38" s="7">
        <v>0</v>
      </c>
      <c r="AD38" s="7">
        <v>728.92276245224718</v>
      </c>
      <c r="AE38" s="7">
        <v>0</v>
      </c>
      <c r="AF38" s="7">
        <v>0</v>
      </c>
      <c r="AG38" s="7">
        <v>7497.3189771901998</v>
      </c>
      <c r="AH38" s="7">
        <v>6768.3962147379534</v>
      </c>
      <c r="AI38" s="7">
        <v>870.62458325</v>
      </c>
      <c r="AJ38" s="7">
        <v>0</v>
      </c>
      <c r="AK38" s="7">
        <v>0</v>
      </c>
      <c r="AL38" s="7">
        <v>290.20819774929771</v>
      </c>
      <c r="AM38" s="7">
        <v>7929.2289957372514</v>
      </c>
      <c r="AN38" s="7">
        <v>0</v>
      </c>
      <c r="AO38" s="7">
        <v>0</v>
      </c>
      <c r="AP38" s="7">
        <v>0</v>
      </c>
      <c r="AQ38" s="7">
        <v>0</v>
      </c>
      <c r="AR38" s="7">
        <v>0</v>
      </c>
      <c r="AS38" s="7">
        <v>7929.2289957372514</v>
      </c>
      <c r="AT38" s="7">
        <v>4481.4867986413383</v>
      </c>
      <c r="AU38" s="7">
        <v>3553.9176033015592</v>
      </c>
    </row>
    <row r="39" spans="1:47" x14ac:dyDescent="0.35">
      <c r="A39" s="5">
        <v>46022</v>
      </c>
      <c r="B39" s="4" t="s">
        <v>82</v>
      </c>
      <c r="C39" s="4" t="s">
        <v>83</v>
      </c>
      <c r="D39" s="4" t="s">
        <v>48</v>
      </c>
      <c r="E39" s="4" t="s">
        <v>132</v>
      </c>
      <c r="F39" s="6">
        <v>21.700337000000001</v>
      </c>
      <c r="G39" s="6">
        <v>4</v>
      </c>
      <c r="H39" s="7">
        <v>664.20477000000005</v>
      </c>
      <c r="I39" s="7">
        <v>229.64205000000001</v>
      </c>
      <c r="J39" s="7">
        <v>5.8823699999999999</v>
      </c>
      <c r="K39" s="7">
        <v>309.14240000000001</v>
      </c>
      <c r="L39" s="7">
        <v>1208.87159</v>
      </c>
      <c r="M39" s="7">
        <v>361.27551999999997</v>
      </c>
      <c r="N39" s="7">
        <v>36.212319999999998</v>
      </c>
      <c r="O39" s="7">
        <v>264.49329999999998</v>
      </c>
      <c r="P39" s="7">
        <v>270.72063000000003</v>
      </c>
      <c r="Q39" s="7">
        <v>932.70177000000001</v>
      </c>
      <c r="R39" s="7">
        <v>0</v>
      </c>
      <c r="S39" s="7">
        <v>0</v>
      </c>
      <c r="T39" s="7">
        <v>0</v>
      </c>
      <c r="U39" s="7">
        <v>0</v>
      </c>
      <c r="V39" s="7">
        <v>0</v>
      </c>
      <c r="W39" s="7">
        <v>2141.5733599999999</v>
      </c>
      <c r="X39" s="7">
        <v>682.32340999999997</v>
      </c>
      <c r="Y39" s="7">
        <v>2823.8967699999998</v>
      </c>
      <c r="Z39" s="7">
        <v>353.82515000000001</v>
      </c>
      <c r="AA39" s="7">
        <v>100.466130988866</v>
      </c>
      <c r="AB39" s="7">
        <v>3278.1880509888661</v>
      </c>
      <c r="AC39" s="7">
        <v>10.10929</v>
      </c>
      <c r="AD39" s="7">
        <v>1113.8053600000001</v>
      </c>
      <c r="AE39" s="7">
        <v>0</v>
      </c>
      <c r="AF39" s="7">
        <v>0</v>
      </c>
      <c r="AG39" s="7">
        <v>4402.1027009888658</v>
      </c>
      <c r="AH39" s="7">
        <v>3278.1880509888661</v>
      </c>
      <c r="AI39" s="7">
        <v>1010.929</v>
      </c>
      <c r="AJ39" s="7">
        <v>10.10929</v>
      </c>
      <c r="AK39" s="7">
        <v>0</v>
      </c>
      <c r="AL39" s="7">
        <v>101.0929</v>
      </c>
      <c r="AM39" s="7">
        <v>4400.3192409888661</v>
      </c>
      <c r="AN39" s="7">
        <v>230.41117</v>
      </c>
      <c r="AO39" s="7">
        <v>0</v>
      </c>
      <c r="AP39" s="7">
        <v>0</v>
      </c>
      <c r="AQ39" s="7">
        <v>0</v>
      </c>
      <c r="AR39" s="7">
        <v>0</v>
      </c>
      <c r="AS39" s="7">
        <v>4630.7304109888664</v>
      </c>
      <c r="AT39" s="7">
        <v>2199.4098408659288</v>
      </c>
      <c r="AU39" s="7">
        <v>1745.118559877063</v>
      </c>
    </row>
    <row r="40" spans="1:47" x14ac:dyDescent="0.35">
      <c r="A40" s="5">
        <v>46022</v>
      </c>
      <c r="B40" s="4" t="s">
        <v>155</v>
      </c>
      <c r="C40" s="4" t="s">
        <v>156</v>
      </c>
      <c r="D40" s="4" t="s">
        <v>137</v>
      </c>
      <c r="E40" s="4" t="s">
        <v>134</v>
      </c>
      <c r="F40" s="6">
        <v>17.912759999999999</v>
      </c>
      <c r="G40" s="6">
        <v>99.5</v>
      </c>
      <c r="H40" s="7">
        <v>0</v>
      </c>
      <c r="I40" s="7">
        <v>0</v>
      </c>
      <c r="J40" s="7">
        <v>0</v>
      </c>
      <c r="K40" s="7">
        <v>0</v>
      </c>
      <c r="L40" s="7">
        <v>0</v>
      </c>
      <c r="M40" s="7">
        <v>0</v>
      </c>
      <c r="N40" s="7">
        <v>0</v>
      </c>
      <c r="O40" s="7">
        <v>0</v>
      </c>
      <c r="P40" s="7">
        <v>0</v>
      </c>
      <c r="Q40" s="7">
        <v>0</v>
      </c>
      <c r="R40" s="7">
        <v>938.31603399035816</v>
      </c>
      <c r="S40" s="7">
        <v>2329.0260074184462</v>
      </c>
      <c r="T40" s="7">
        <v>933.20180236228066</v>
      </c>
      <c r="U40" s="7">
        <v>2504.4630002306508</v>
      </c>
      <c r="V40" s="7">
        <v>6705.0068440017349</v>
      </c>
      <c r="W40" s="7">
        <v>6705.0068440017349</v>
      </c>
      <c r="X40" s="7">
        <v>149.5710151544329</v>
      </c>
      <c r="Y40" s="7">
        <v>6854.5778591561684</v>
      </c>
      <c r="Z40" s="7">
        <v>75.365146628355816</v>
      </c>
      <c r="AA40" s="7">
        <v>373.96245998312861</v>
      </c>
      <c r="AB40" s="7">
        <v>7303.9054657676534</v>
      </c>
      <c r="AC40" s="7">
        <v>0</v>
      </c>
      <c r="AD40" s="7">
        <v>1737.2963460712581</v>
      </c>
      <c r="AE40" s="7">
        <v>0</v>
      </c>
      <c r="AF40" s="7">
        <v>0</v>
      </c>
      <c r="AG40" s="7">
        <v>9041.2018118389096</v>
      </c>
      <c r="AH40" s="7">
        <v>7303.9054657676534</v>
      </c>
      <c r="AI40" s="7">
        <v>268.20027096007402</v>
      </c>
      <c r="AJ40" s="7">
        <v>0</v>
      </c>
      <c r="AK40" s="7">
        <v>0</v>
      </c>
      <c r="AL40" s="7">
        <v>199.9996726034573</v>
      </c>
      <c r="AM40" s="7">
        <v>7772.1054093311841</v>
      </c>
      <c r="AN40" s="7">
        <v>16747.837579999999</v>
      </c>
      <c r="AO40" s="7">
        <v>0</v>
      </c>
      <c r="AP40" s="7">
        <v>0</v>
      </c>
      <c r="AQ40" s="7">
        <v>0</v>
      </c>
      <c r="AR40" s="7">
        <v>0</v>
      </c>
      <c r="AS40" s="7">
        <v>24519.942989331179</v>
      </c>
      <c r="AT40" s="7">
        <v>5610.8376531157992</v>
      </c>
      <c r="AU40" s="7">
        <v>5161.5100465043142</v>
      </c>
    </row>
    <row r="41" spans="1:47" x14ac:dyDescent="0.35">
      <c r="A41" s="5">
        <v>46022</v>
      </c>
      <c r="B41" s="4" t="s">
        <v>157</v>
      </c>
      <c r="C41" s="4" t="s">
        <v>158</v>
      </c>
      <c r="D41" s="4" t="s">
        <v>159</v>
      </c>
      <c r="E41" s="4" t="s">
        <v>134</v>
      </c>
      <c r="F41" s="6">
        <v>71.651041000000006</v>
      </c>
      <c r="G41" s="6">
        <v>99.5</v>
      </c>
      <c r="H41" s="7">
        <v>0</v>
      </c>
      <c r="I41" s="7">
        <v>0</v>
      </c>
      <c r="J41" s="7">
        <v>0</v>
      </c>
      <c r="K41" s="7">
        <v>0</v>
      </c>
      <c r="L41" s="7">
        <v>0</v>
      </c>
      <c r="M41" s="7">
        <v>0</v>
      </c>
      <c r="N41" s="7">
        <v>0</v>
      </c>
      <c r="O41" s="7">
        <v>0</v>
      </c>
      <c r="P41" s="7">
        <v>0</v>
      </c>
      <c r="Q41" s="7">
        <v>0</v>
      </c>
      <c r="R41" s="7">
        <v>326.51326558199412</v>
      </c>
      <c r="S41" s="7">
        <v>1101.5653422487301</v>
      </c>
      <c r="T41" s="7">
        <v>765.26907934658198</v>
      </c>
      <c r="U41" s="7">
        <v>3911.7551425537958</v>
      </c>
      <c r="V41" s="7">
        <v>6105.1028297311022</v>
      </c>
      <c r="W41" s="7">
        <v>6105.1028297311022</v>
      </c>
      <c r="X41" s="7">
        <v>70.858050309114219</v>
      </c>
      <c r="Y41" s="7">
        <v>6175.9608800402157</v>
      </c>
      <c r="Z41" s="7">
        <v>42.507762158505443</v>
      </c>
      <c r="AA41" s="7">
        <v>1736.188776326848</v>
      </c>
      <c r="AB41" s="7">
        <v>7954.6574185255704</v>
      </c>
      <c r="AC41" s="7">
        <v>36.054507540645758</v>
      </c>
      <c r="AD41" s="7">
        <v>2111.0409631938201</v>
      </c>
      <c r="AE41" s="7">
        <v>0</v>
      </c>
      <c r="AF41" s="7">
        <v>0</v>
      </c>
      <c r="AG41" s="7">
        <v>10101.75288926004</v>
      </c>
      <c r="AH41" s="7">
        <v>7954.6574185255704</v>
      </c>
      <c r="AI41" s="7">
        <v>610.51027897309496</v>
      </c>
      <c r="AJ41" s="7">
        <v>36.054507540645758</v>
      </c>
      <c r="AK41" s="7">
        <v>0</v>
      </c>
      <c r="AL41" s="7">
        <v>1060.7004263573499</v>
      </c>
      <c r="AM41" s="7">
        <v>9661.922631396661</v>
      </c>
      <c r="AN41" s="7">
        <v>558.26125000000002</v>
      </c>
      <c r="AO41" s="7">
        <v>0</v>
      </c>
      <c r="AP41" s="7">
        <v>0</v>
      </c>
      <c r="AQ41" s="7">
        <v>0</v>
      </c>
      <c r="AR41" s="7">
        <v>0</v>
      </c>
      <c r="AS41" s="7">
        <v>10220.183881396661</v>
      </c>
      <c r="AT41" s="7">
        <v>4730.6774729789822</v>
      </c>
      <c r="AU41" s="7">
        <v>2951.9809344936289</v>
      </c>
    </row>
    <row r="42" spans="1:47" x14ac:dyDescent="0.35">
      <c r="A42" s="5">
        <v>46022</v>
      </c>
      <c r="B42" s="4" t="s">
        <v>157</v>
      </c>
      <c r="C42" s="4" t="s">
        <v>160</v>
      </c>
      <c r="D42" s="4" t="s">
        <v>159</v>
      </c>
      <c r="E42" s="4" t="s">
        <v>133</v>
      </c>
      <c r="F42" s="6">
        <v>30.503876000000002</v>
      </c>
      <c r="G42" s="6">
        <v>56.5</v>
      </c>
      <c r="H42" s="7">
        <v>0</v>
      </c>
      <c r="I42" s="7">
        <v>0</v>
      </c>
      <c r="J42" s="7">
        <v>0</v>
      </c>
      <c r="K42" s="7">
        <v>0</v>
      </c>
      <c r="L42" s="7">
        <v>0</v>
      </c>
      <c r="M42" s="7">
        <v>0</v>
      </c>
      <c r="N42" s="7">
        <v>0</v>
      </c>
      <c r="O42" s="7">
        <v>0</v>
      </c>
      <c r="P42" s="7">
        <v>0</v>
      </c>
      <c r="Q42" s="7">
        <v>0</v>
      </c>
      <c r="R42" s="7">
        <v>606.03219189009951</v>
      </c>
      <c r="S42" s="7">
        <v>993.53562013721455</v>
      </c>
      <c r="T42" s="7">
        <v>1924.3276209202261</v>
      </c>
      <c r="U42" s="7">
        <v>4376.1129939849743</v>
      </c>
      <c r="V42" s="7">
        <v>7900.0084269325143</v>
      </c>
      <c r="W42" s="7">
        <v>7900.0084269325143</v>
      </c>
      <c r="X42" s="7">
        <v>80.908138648166243</v>
      </c>
      <c r="Y42" s="7">
        <v>7980.9165655806801</v>
      </c>
      <c r="Z42" s="7">
        <v>57.369978854852761</v>
      </c>
      <c r="AA42" s="7">
        <v>1902.5925319086</v>
      </c>
      <c r="AB42" s="7">
        <v>9940.8790763441339</v>
      </c>
      <c r="AC42" s="7">
        <v>0</v>
      </c>
      <c r="AD42" s="7">
        <v>1744.3464443284811</v>
      </c>
      <c r="AE42" s="7">
        <v>0</v>
      </c>
      <c r="AF42" s="7">
        <v>0</v>
      </c>
      <c r="AG42" s="7">
        <v>11685.225520672609</v>
      </c>
      <c r="AH42" s="7">
        <v>9940.8790763441339</v>
      </c>
      <c r="AI42" s="7">
        <v>751.07887521382645</v>
      </c>
      <c r="AJ42" s="7">
        <v>0</v>
      </c>
      <c r="AK42" s="7">
        <v>0</v>
      </c>
      <c r="AL42" s="7">
        <v>1121.9442699902129</v>
      </c>
      <c r="AM42" s="7">
        <v>11813.902221548169</v>
      </c>
      <c r="AN42" s="7">
        <v>2732.8849799999998</v>
      </c>
      <c r="AO42" s="7">
        <v>0</v>
      </c>
      <c r="AP42" s="7">
        <v>0</v>
      </c>
      <c r="AQ42" s="7">
        <v>0</v>
      </c>
      <c r="AR42" s="7">
        <v>0</v>
      </c>
      <c r="AS42" s="7">
        <v>14546.78720154817</v>
      </c>
      <c r="AT42" s="7">
        <v>4757.5393508815196</v>
      </c>
      <c r="AU42" s="7">
        <v>2797.5768401180671</v>
      </c>
    </row>
    <row r="43" spans="1:47" x14ac:dyDescent="0.35">
      <c r="A43" s="5">
        <v>46022</v>
      </c>
      <c r="B43" s="4" t="s">
        <v>157</v>
      </c>
      <c r="C43" s="4" t="s">
        <v>160</v>
      </c>
      <c r="D43" s="4" t="s">
        <v>159</v>
      </c>
      <c r="E43" s="4" t="s">
        <v>134</v>
      </c>
      <c r="F43" s="6">
        <v>178.626169</v>
      </c>
      <c r="G43" s="6">
        <v>99.5</v>
      </c>
      <c r="H43" s="7">
        <v>0</v>
      </c>
      <c r="I43" s="7">
        <v>0</v>
      </c>
      <c r="J43" s="7">
        <v>0</v>
      </c>
      <c r="K43" s="7">
        <v>0</v>
      </c>
      <c r="L43" s="7">
        <v>0</v>
      </c>
      <c r="M43" s="7">
        <v>0</v>
      </c>
      <c r="N43" s="7">
        <v>0</v>
      </c>
      <c r="O43" s="7">
        <v>0</v>
      </c>
      <c r="P43" s="7">
        <v>0</v>
      </c>
      <c r="Q43" s="7">
        <v>0</v>
      </c>
      <c r="R43" s="7">
        <v>208.6477459489027</v>
      </c>
      <c r="S43" s="7">
        <v>1258.935082582424</v>
      </c>
      <c r="T43" s="7">
        <v>898.70660838373612</v>
      </c>
      <c r="U43" s="7">
        <v>3945.5982516584049</v>
      </c>
      <c r="V43" s="7">
        <v>6311.887688573468</v>
      </c>
      <c r="W43" s="7">
        <v>6311.887688573468</v>
      </c>
      <c r="X43" s="7">
        <v>70.858050309114219</v>
      </c>
      <c r="Y43" s="7">
        <v>6382.7457388825824</v>
      </c>
      <c r="Z43" s="7">
        <v>50.243701669548258</v>
      </c>
      <c r="AA43" s="7">
        <v>1624.2704132347651</v>
      </c>
      <c r="AB43" s="7">
        <v>8057.2598537868953</v>
      </c>
      <c r="AC43" s="7">
        <v>0</v>
      </c>
      <c r="AD43" s="7">
        <v>1488.7560393028391</v>
      </c>
      <c r="AE43" s="7">
        <v>0</v>
      </c>
      <c r="AF43" s="7">
        <v>0</v>
      </c>
      <c r="AG43" s="7">
        <v>9546.0158930897342</v>
      </c>
      <c r="AH43" s="7">
        <v>8057.2598537868953</v>
      </c>
      <c r="AI43" s="7">
        <v>641.02701538826523</v>
      </c>
      <c r="AJ43" s="7">
        <v>0</v>
      </c>
      <c r="AK43" s="7">
        <v>0</v>
      </c>
      <c r="AL43" s="7">
        <v>957.55135286452105</v>
      </c>
      <c r="AM43" s="7">
        <v>9655.8382220396816</v>
      </c>
      <c r="AN43" s="7">
        <v>2332.4489199999998</v>
      </c>
      <c r="AO43" s="7">
        <v>0</v>
      </c>
      <c r="AP43" s="7">
        <v>0</v>
      </c>
      <c r="AQ43" s="7">
        <v>0</v>
      </c>
      <c r="AR43" s="7">
        <v>0</v>
      </c>
      <c r="AS43" s="7">
        <v>11988.28714203968</v>
      </c>
      <c r="AT43" s="7">
        <v>4492.2560101176568</v>
      </c>
      <c r="AU43" s="7">
        <v>2817.7418952133439</v>
      </c>
    </row>
    <row r="44" spans="1:47" x14ac:dyDescent="0.35">
      <c r="A44" s="5">
        <v>46022</v>
      </c>
      <c r="B44" s="4" t="s">
        <v>161</v>
      </c>
      <c r="C44" s="4" t="s">
        <v>162</v>
      </c>
      <c r="D44" s="4" t="s">
        <v>137</v>
      </c>
      <c r="E44" s="4" t="s">
        <v>134</v>
      </c>
      <c r="F44" s="6">
        <v>27.781928000000001</v>
      </c>
      <c r="G44" s="6">
        <v>99.206000000000003</v>
      </c>
      <c r="H44" s="7">
        <v>0</v>
      </c>
      <c r="I44" s="7">
        <v>0</v>
      </c>
      <c r="J44" s="7">
        <v>0</v>
      </c>
      <c r="K44" s="7">
        <v>0</v>
      </c>
      <c r="L44" s="7">
        <v>0</v>
      </c>
      <c r="M44" s="7">
        <v>0</v>
      </c>
      <c r="N44" s="7">
        <v>0</v>
      </c>
      <c r="O44" s="7">
        <v>0</v>
      </c>
      <c r="P44" s="7">
        <v>0</v>
      </c>
      <c r="Q44" s="7">
        <v>0</v>
      </c>
      <c r="R44" s="7">
        <v>1122.6358622614921</v>
      </c>
      <c r="S44" s="7">
        <v>3099.2483765756779</v>
      </c>
      <c r="T44" s="7">
        <v>323.86357984005042</v>
      </c>
      <c r="U44" s="7">
        <v>1167.0320195856309</v>
      </c>
      <c r="V44" s="7">
        <v>5712.7798382628498</v>
      </c>
      <c r="W44" s="7">
        <v>5712.7798382628498</v>
      </c>
      <c r="X44" s="7">
        <v>40.92603300468177</v>
      </c>
      <c r="Y44" s="7">
        <v>5753.7058712675316</v>
      </c>
      <c r="Z44" s="7">
        <v>65.51010276091867</v>
      </c>
      <c r="AA44" s="7">
        <v>1370.4503871437871</v>
      </c>
      <c r="AB44" s="7">
        <v>7189.6663611722379</v>
      </c>
      <c r="AC44" s="7">
        <v>46.792933400651521</v>
      </c>
      <c r="AD44" s="7">
        <v>755.88582262594934</v>
      </c>
      <c r="AE44" s="7">
        <v>0</v>
      </c>
      <c r="AF44" s="7">
        <v>0</v>
      </c>
      <c r="AG44" s="7">
        <v>7992.345117198839</v>
      </c>
      <c r="AH44" s="7">
        <v>7189.6663611722379</v>
      </c>
      <c r="AI44" s="7">
        <v>1043.842331245351</v>
      </c>
      <c r="AJ44" s="7">
        <v>46.792933400651521</v>
      </c>
      <c r="AK44" s="7">
        <v>0</v>
      </c>
      <c r="AL44" s="7">
        <v>575.91300723881943</v>
      </c>
      <c r="AM44" s="7">
        <v>8856.2146330570595</v>
      </c>
      <c r="AN44" s="7">
        <v>2843.5751300000002</v>
      </c>
      <c r="AO44" s="7">
        <v>39.336915606043739</v>
      </c>
      <c r="AP44" s="7">
        <v>0</v>
      </c>
      <c r="AQ44" s="7">
        <v>0</v>
      </c>
      <c r="AR44" s="7">
        <v>0</v>
      </c>
      <c r="AS44" s="7">
        <v>11739.1266786631</v>
      </c>
      <c r="AT44" s="7">
        <v>11376.92410225274</v>
      </c>
      <c r="AU44" s="7">
        <v>9940.9636123480359</v>
      </c>
    </row>
    <row r="45" spans="1:47" x14ac:dyDescent="0.35">
      <c r="A45" s="5">
        <v>46022</v>
      </c>
      <c r="B45" s="4" t="s">
        <v>163</v>
      </c>
      <c r="C45" s="4" t="s">
        <v>164</v>
      </c>
      <c r="D45" s="4" t="s">
        <v>137</v>
      </c>
      <c r="E45" s="4" t="s">
        <v>134</v>
      </c>
      <c r="F45" s="6">
        <v>29.854600000000001</v>
      </c>
      <c r="G45" s="6">
        <v>99.5</v>
      </c>
      <c r="H45" s="7">
        <v>0</v>
      </c>
      <c r="I45" s="7">
        <v>0</v>
      </c>
      <c r="J45" s="7">
        <v>0</v>
      </c>
      <c r="K45" s="7">
        <v>0</v>
      </c>
      <c r="L45" s="7">
        <v>0</v>
      </c>
      <c r="M45" s="7">
        <v>0</v>
      </c>
      <c r="N45" s="7">
        <v>0</v>
      </c>
      <c r="O45" s="7">
        <v>0</v>
      </c>
      <c r="P45" s="7">
        <v>0</v>
      </c>
      <c r="Q45" s="7">
        <v>0</v>
      </c>
      <c r="R45" s="7">
        <v>445.15987127979309</v>
      </c>
      <c r="S45" s="7">
        <v>3085.9689883138421</v>
      </c>
      <c r="T45" s="7">
        <v>667.73626692548453</v>
      </c>
      <c r="U45" s="7">
        <v>2679.8443131340032</v>
      </c>
      <c r="V45" s="7">
        <v>6878.7094396531229</v>
      </c>
      <c r="W45" s="7">
        <v>6878.7094396531229</v>
      </c>
      <c r="X45" s="7">
        <v>102.1373328026781</v>
      </c>
      <c r="Y45" s="7">
        <v>6980.8467724558013</v>
      </c>
      <c r="Z45" s="7">
        <v>65.316463077904004</v>
      </c>
      <c r="AA45" s="7">
        <v>336.5662161281964</v>
      </c>
      <c r="AB45" s="7">
        <v>7382.7294516619022</v>
      </c>
      <c r="AC45" s="7">
        <v>71.019533742060631</v>
      </c>
      <c r="AD45" s="7">
        <v>664.69426190520232</v>
      </c>
      <c r="AE45" s="7">
        <v>0</v>
      </c>
      <c r="AF45" s="7">
        <v>0</v>
      </c>
      <c r="AG45" s="7">
        <v>8118.4432473091647</v>
      </c>
      <c r="AH45" s="7">
        <v>7382.7294516619022</v>
      </c>
      <c r="AI45" s="7">
        <v>602.87228310687863</v>
      </c>
      <c r="AJ45" s="7">
        <v>71.019533742060631</v>
      </c>
      <c r="AK45" s="7">
        <v>0</v>
      </c>
      <c r="AL45" s="7">
        <v>349.79772738622972</v>
      </c>
      <c r="AM45" s="7">
        <v>8406.418995897071</v>
      </c>
      <c r="AN45" s="7">
        <v>1748.9914900000001</v>
      </c>
      <c r="AO45" s="7">
        <v>0</v>
      </c>
      <c r="AP45" s="7">
        <v>0</v>
      </c>
      <c r="AQ45" s="7">
        <v>0</v>
      </c>
      <c r="AR45" s="7">
        <v>0</v>
      </c>
      <c r="AS45" s="7">
        <v>10155.41048589707</v>
      </c>
      <c r="AT45" s="7">
        <v>4238.0271895771803</v>
      </c>
      <c r="AU45" s="7">
        <v>3836.1445103710789</v>
      </c>
    </row>
    <row r="46" spans="1:47" x14ac:dyDescent="0.35">
      <c r="A46" s="5">
        <v>46022</v>
      </c>
      <c r="B46" s="4" t="s">
        <v>163</v>
      </c>
      <c r="C46" s="4" t="s">
        <v>164</v>
      </c>
      <c r="D46" s="4" t="s">
        <v>137</v>
      </c>
      <c r="E46" s="4" t="s">
        <v>150</v>
      </c>
      <c r="F46" s="6">
        <v>1.742685</v>
      </c>
      <c r="G46" s="6">
        <v>40</v>
      </c>
      <c r="H46" s="7">
        <v>0</v>
      </c>
      <c r="I46" s="7">
        <v>0</v>
      </c>
      <c r="J46" s="7">
        <v>0</v>
      </c>
      <c r="K46" s="7">
        <v>0</v>
      </c>
      <c r="L46" s="7">
        <v>0</v>
      </c>
      <c r="M46" s="7">
        <v>0</v>
      </c>
      <c r="N46" s="7">
        <v>0</v>
      </c>
      <c r="O46" s="7">
        <v>0</v>
      </c>
      <c r="P46" s="7">
        <v>0</v>
      </c>
      <c r="Q46" s="7">
        <v>0</v>
      </c>
      <c r="R46" s="7">
        <v>1131.539167686911</v>
      </c>
      <c r="S46" s="7">
        <v>788.62453903314884</v>
      </c>
      <c r="T46" s="7">
        <v>167.0419465547734</v>
      </c>
      <c r="U46" s="7">
        <v>1335.359294036341</v>
      </c>
      <c r="V46" s="7">
        <v>3422.5649473111739</v>
      </c>
      <c r="W46" s="7">
        <v>3422.5649473111739</v>
      </c>
      <c r="X46" s="7">
        <v>291.62563261309913</v>
      </c>
      <c r="Y46" s="7">
        <v>3714.1905799242732</v>
      </c>
      <c r="Z46" s="7">
        <v>186.49355471277499</v>
      </c>
      <c r="AA46" s="7">
        <v>317.12147511371739</v>
      </c>
      <c r="AB46" s="7">
        <v>4217.8056097507651</v>
      </c>
      <c r="AC46" s="7">
        <v>64.882503788289014</v>
      </c>
      <c r="AD46" s="7">
        <v>607.25577593116475</v>
      </c>
      <c r="AE46" s="7">
        <v>0</v>
      </c>
      <c r="AF46" s="7">
        <v>0</v>
      </c>
      <c r="AG46" s="7">
        <v>4889.9438894702189</v>
      </c>
      <c r="AH46" s="7">
        <v>4217.8056097507651</v>
      </c>
      <c r="AI46" s="7">
        <v>550.77604838765387</v>
      </c>
      <c r="AJ46" s="7">
        <v>64.882503788289014</v>
      </c>
      <c r="AK46" s="7">
        <v>0</v>
      </c>
      <c r="AL46" s="7">
        <v>319.57051686773178</v>
      </c>
      <c r="AM46" s="7">
        <v>5153.03467879444</v>
      </c>
      <c r="AN46" s="7">
        <v>1597.8552099999999</v>
      </c>
      <c r="AO46" s="7">
        <v>0</v>
      </c>
      <c r="AP46" s="7">
        <v>0</v>
      </c>
      <c r="AQ46" s="7">
        <v>0</v>
      </c>
      <c r="AR46" s="7">
        <v>0</v>
      </c>
      <c r="AS46" s="7">
        <v>6750.8898887944397</v>
      </c>
      <c r="AT46" s="7">
        <v>6856.5252746164742</v>
      </c>
      <c r="AU46" s="7">
        <v>6352.9102447899813</v>
      </c>
    </row>
    <row r="47" spans="1:47" x14ac:dyDescent="0.35">
      <c r="A47" s="5">
        <v>46022</v>
      </c>
      <c r="B47" s="4" t="s">
        <v>165</v>
      </c>
      <c r="C47" s="4" t="s">
        <v>166</v>
      </c>
      <c r="D47" s="4" t="s">
        <v>137</v>
      </c>
      <c r="E47" s="4" t="s">
        <v>134</v>
      </c>
      <c r="F47" s="6">
        <v>1.990307</v>
      </c>
      <c r="G47" s="6">
        <v>99.5</v>
      </c>
      <c r="H47" s="7">
        <v>0</v>
      </c>
      <c r="I47" s="7">
        <v>0</v>
      </c>
      <c r="J47" s="7">
        <v>0</v>
      </c>
      <c r="K47" s="7">
        <v>0</v>
      </c>
      <c r="L47" s="7">
        <v>0</v>
      </c>
      <c r="M47" s="7">
        <v>0</v>
      </c>
      <c r="N47" s="7">
        <v>0</v>
      </c>
      <c r="O47" s="7">
        <v>0</v>
      </c>
      <c r="P47" s="7">
        <v>0</v>
      </c>
      <c r="Q47" s="7">
        <v>0</v>
      </c>
      <c r="R47" s="7">
        <v>1716.0201009001601</v>
      </c>
      <c r="S47" s="7">
        <v>2671.7119964464869</v>
      </c>
      <c r="T47" s="7">
        <v>559.88448347727865</v>
      </c>
      <c r="U47" s="7">
        <v>1891.970282872282</v>
      </c>
      <c r="V47" s="7">
        <v>6839.5868636962077</v>
      </c>
      <c r="W47" s="7">
        <v>6839.5868636962077</v>
      </c>
      <c r="X47" s="7">
        <v>289.91480541369828</v>
      </c>
      <c r="Y47" s="7">
        <v>7129.5016691099072</v>
      </c>
      <c r="Z47" s="7">
        <v>45.219085977016761</v>
      </c>
      <c r="AA47" s="7">
        <v>373.96252261375503</v>
      </c>
      <c r="AB47" s="7">
        <v>7548.6832777006794</v>
      </c>
      <c r="AC47" s="7">
        <v>0</v>
      </c>
      <c r="AD47" s="7">
        <v>1021.400647982059</v>
      </c>
      <c r="AE47" s="7">
        <v>0</v>
      </c>
      <c r="AF47" s="7">
        <v>0</v>
      </c>
      <c r="AG47" s="7">
        <v>8570.0839256827367</v>
      </c>
      <c r="AH47" s="7">
        <v>7548.6832777006794</v>
      </c>
      <c r="AI47" s="7">
        <v>1025.93803055443</v>
      </c>
      <c r="AJ47" s="7">
        <v>0</v>
      </c>
      <c r="AK47" s="7">
        <v>0</v>
      </c>
      <c r="AL47" s="7">
        <v>683.95869036961426</v>
      </c>
      <c r="AM47" s="7">
        <v>9258.5799986247239</v>
      </c>
      <c r="AN47" s="7">
        <v>5024.3512799999999</v>
      </c>
      <c r="AO47" s="7">
        <v>0</v>
      </c>
      <c r="AP47" s="7">
        <v>0</v>
      </c>
      <c r="AQ47" s="7">
        <v>0</v>
      </c>
      <c r="AR47" s="7">
        <v>0</v>
      </c>
      <c r="AS47" s="7">
        <v>14282.931278624719</v>
      </c>
      <c r="AT47" s="7">
        <v>5335.9138431620604</v>
      </c>
      <c r="AU47" s="7">
        <v>4916.7322345712882</v>
      </c>
    </row>
    <row r="48" spans="1:47" x14ac:dyDescent="0.35">
      <c r="A48" s="5">
        <v>46022</v>
      </c>
      <c r="B48" s="4" t="s">
        <v>167</v>
      </c>
      <c r="C48" s="4" t="s">
        <v>168</v>
      </c>
      <c r="D48" s="4" t="s">
        <v>169</v>
      </c>
      <c r="E48" s="4" t="s">
        <v>134</v>
      </c>
      <c r="F48" s="6">
        <v>3.356617</v>
      </c>
      <c r="G48" s="6">
        <v>99</v>
      </c>
      <c r="H48" s="7">
        <v>0</v>
      </c>
      <c r="I48" s="7">
        <v>0</v>
      </c>
      <c r="J48" s="7">
        <v>0</v>
      </c>
      <c r="K48" s="7">
        <v>0</v>
      </c>
      <c r="L48" s="7">
        <v>0</v>
      </c>
      <c r="M48" s="7">
        <v>0</v>
      </c>
      <c r="N48" s="7">
        <v>0</v>
      </c>
      <c r="O48" s="7">
        <v>0</v>
      </c>
      <c r="P48" s="7">
        <v>0</v>
      </c>
      <c r="Q48" s="7">
        <v>0</v>
      </c>
      <c r="R48" s="7">
        <v>2581.8813700000001</v>
      </c>
      <c r="S48" s="7">
        <v>2968.9795800000002</v>
      </c>
      <c r="T48" s="7">
        <v>517.28288999999995</v>
      </c>
      <c r="U48" s="7">
        <v>2948.3930500000001</v>
      </c>
      <c r="V48" s="7">
        <v>9016.5368899999994</v>
      </c>
      <c r="W48" s="7">
        <v>9016.5368899999994</v>
      </c>
      <c r="X48" s="7">
        <v>276.07731999999999</v>
      </c>
      <c r="Y48" s="7">
        <v>9292.6142099999997</v>
      </c>
      <c r="Z48" s="7">
        <v>0</v>
      </c>
      <c r="AA48" s="7">
        <v>0</v>
      </c>
      <c r="AB48" s="7">
        <v>9292.6142099999997</v>
      </c>
      <c r="AC48" s="7">
        <v>104.27164</v>
      </c>
      <c r="AD48" s="7">
        <v>3315.0206699999999</v>
      </c>
      <c r="AE48" s="7">
        <v>0</v>
      </c>
      <c r="AF48" s="7">
        <v>0</v>
      </c>
      <c r="AG48" s="7">
        <v>12711.90652</v>
      </c>
      <c r="AH48" s="7">
        <v>9292.6142099999997</v>
      </c>
      <c r="AI48" s="7">
        <v>1048.4790599999999</v>
      </c>
      <c r="AJ48" s="7">
        <v>104.27164</v>
      </c>
      <c r="AK48" s="7">
        <v>0</v>
      </c>
      <c r="AL48" s="7">
        <v>2115.2247900000002</v>
      </c>
      <c r="AM48" s="7">
        <v>12560.5897</v>
      </c>
      <c r="AN48" s="7">
        <v>6166.9229800000003</v>
      </c>
      <c r="AO48" s="7">
        <v>0</v>
      </c>
      <c r="AP48" s="7">
        <v>0</v>
      </c>
      <c r="AQ48" s="7">
        <v>0</v>
      </c>
      <c r="AR48" s="7">
        <v>0</v>
      </c>
      <c r="AS48" s="7">
        <v>18727.51268</v>
      </c>
      <c r="AT48" s="7">
        <v>3933.309803936907</v>
      </c>
      <c r="AU48" s="7">
        <v>3933.309803936907</v>
      </c>
    </row>
    <row r="49" spans="1:47" x14ac:dyDescent="0.35">
      <c r="A49" s="5">
        <v>46022</v>
      </c>
      <c r="B49" s="4" t="s">
        <v>170</v>
      </c>
      <c r="C49" s="4" t="s">
        <v>171</v>
      </c>
      <c r="D49" s="4" t="s">
        <v>137</v>
      </c>
      <c r="E49" s="4" t="s">
        <v>134</v>
      </c>
      <c r="F49" s="6">
        <v>4.9757670000000003</v>
      </c>
      <c r="G49" s="6">
        <v>99.5</v>
      </c>
      <c r="H49" s="7">
        <v>0</v>
      </c>
      <c r="I49" s="7">
        <v>0</v>
      </c>
      <c r="J49" s="7">
        <v>0</v>
      </c>
      <c r="K49" s="7">
        <v>0</v>
      </c>
      <c r="L49" s="7">
        <v>0</v>
      </c>
      <c r="M49" s="7">
        <v>0</v>
      </c>
      <c r="N49" s="7">
        <v>0</v>
      </c>
      <c r="O49" s="7">
        <v>0</v>
      </c>
      <c r="P49" s="7">
        <v>0</v>
      </c>
      <c r="Q49" s="7">
        <v>0</v>
      </c>
      <c r="R49" s="7">
        <v>781.44668078319796</v>
      </c>
      <c r="S49" s="7">
        <v>2899.0057743698922</v>
      </c>
      <c r="T49" s="7">
        <v>559.44016420462287</v>
      </c>
      <c r="U49" s="7">
        <v>2150.6706593835452</v>
      </c>
      <c r="V49" s="7">
        <v>6390.5632787412578</v>
      </c>
      <c r="W49" s="7">
        <v>6390.5632787412578</v>
      </c>
      <c r="X49" s="7">
        <v>286.3831111950301</v>
      </c>
      <c r="Y49" s="7">
        <v>6676.9463899362881</v>
      </c>
      <c r="Z49" s="7">
        <v>35.170402426564948</v>
      </c>
      <c r="AA49" s="7">
        <v>486.15123351062311</v>
      </c>
      <c r="AB49" s="7">
        <v>7198.2680258734763</v>
      </c>
      <c r="AC49" s="7">
        <v>263.26552903817441</v>
      </c>
      <c r="AD49" s="7">
        <v>2501.1336056808209</v>
      </c>
      <c r="AE49" s="7">
        <v>0</v>
      </c>
      <c r="AF49" s="7">
        <v>0</v>
      </c>
      <c r="AG49" s="7">
        <v>9962.6671605924712</v>
      </c>
      <c r="AH49" s="7">
        <v>7198.2680258734763</v>
      </c>
      <c r="AI49" s="7">
        <v>255.62253154964969</v>
      </c>
      <c r="AJ49" s="7">
        <v>263.26552903817441</v>
      </c>
      <c r="AK49" s="7">
        <v>0</v>
      </c>
      <c r="AL49" s="7">
        <v>447.33942771189112</v>
      </c>
      <c r="AM49" s="7">
        <v>8164.4955141731907</v>
      </c>
      <c r="AN49" s="7">
        <v>16077.924080000001</v>
      </c>
      <c r="AO49" s="7">
        <v>0</v>
      </c>
      <c r="AP49" s="7">
        <v>0</v>
      </c>
      <c r="AQ49" s="7">
        <v>0</v>
      </c>
      <c r="AR49" s="7">
        <v>0</v>
      </c>
      <c r="AS49" s="7">
        <v>24242.419594173189</v>
      </c>
      <c r="AT49" s="7">
        <v>5788.4691223356785</v>
      </c>
      <c r="AU49" s="7">
        <v>5267.1474863984913</v>
      </c>
    </row>
    <row r="50" spans="1:47" x14ac:dyDescent="0.35">
      <c r="A50" s="5">
        <v>46022</v>
      </c>
      <c r="B50" s="4" t="s">
        <v>172</v>
      </c>
      <c r="C50" s="4" t="s">
        <v>173</v>
      </c>
      <c r="D50" s="4" t="s">
        <v>66</v>
      </c>
      <c r="E50" s="4" t="s">
        <v>134</v>
      </c>
      <c r="F50" s="6">
        <v>49.607644000000001</v>
      </c>
      <c r="G50" s="6">
        <v>99.2</v>
      </c>
      <c r="H50" s="7">
        <v>0</v>
      </c>
      <c r="I50" s="7">
        <v>0</v>
      </c>
      <c r="J50" s="7">
        <v>0</v>
      </c>
      <c r="K50" s="7">
        <v>0</v>
      </c>
      <c r="L50" s="7">
        <v>0</v>
      </c>
      <c r="M50" s="7">
        <v>0</v>
      </c>
      <c r="N50" s="7">
        <v>0</v>
      </c>
      <c r="O50" s="7">
        <v>0</v>
      </c>
      <c r="P50" s="7">
        <v>0</v>
      </c>
      <c r="Q50" s="7">
        <v>0</v>
      </c>
      <c r="R50" s="7">
        <v>301.87157006039331</v>
      </c>
      <c r="S50" s="7">
        <v>1496.8114340646071</v>
      </c>
      <c r="T50" s="7">
        <v>1175.1168310849721</v>
      </c>
      <c r="U50" s="7">
        <v>2848.6680228040732</v>
      </c>
      <c r="V50" s="7">
        <v>5822.4678580140453</v>
      </c>
      <c r="W50" s="7">
        <v>5822.4678580140453</v>
      </c>
      <c r="X50" s="7">
        <v>116.2263989417135</v>
      </c>
      <c r="Y50" s="7">
        <v>5938.6942569557577</v>
      </c>
      <c r="Z50" s="7">
        <v>0</v>
      </c>
      <c r="AA50" s="7">
        <v>927.25573870717596</v>
      </c>
      <c r="AB50" s="7">
        <v>6865.9499956629343</v>
      </c>
      <c r="AC50" s="7">
        <v>0</v>
      </c>
      <c r="AD50" s="7">
        <v>814.48461298314612</v>
      </c>
      <c r="AE50" s="7">
        <v>0</v>
      </c>
      <c r="AF50" s="7">
        <v>0</v>
      </c>
      <c r="AG50" s="7">
        <v>7680.4346086460801</v>
      </c>
      <c r="AH50" s="7">
        <v>6865.9499956629343</v>
      </c>
      <c r="AI50" s="7">
        <v>524.02210882092686</v>
      </c>
      <c r="AJ50" s="7">
        <v>0</v>
      </c>
      <c r="AK50" s="7">
        <v>0</v>
      </c>
      <c r="AL50" s="7">
        <v>291.12339490028091</v>
      </c>
      <c r="AM50" s="7">
        <v>7681.0954993841424</v>
      </c>
      <c r="AN50" s="7">
        <v>0</v>
      </c>
      <c r="AO50" s="7">
        <v>0</v>
      </c>
      <c r="AP50" s="7">
        <v>0</v>
      </c>
      <c r="AQ50" s="7">
        <v>0</v>
      </c>
      <c r="AR50" s="7">
        <v>0</v>
      </c>
      <c r="AS50" s="7">
        <v>7681.0954993841424</v>
      </c>
      <c r="AT50" s="7">
        <v>4414.8362351497153</v>
      </c>
      <c r="AU50" s="7">
        <v>3487.5804964425388</v>
      </c>
    </row>
    <row r="51" spans="1:47" x14ac:dyDescent="0.35">
      <c r="A51" s="5">
        <v>46022</v>
      </c>
      <c r="B51" s="4" t="s">
        <v>84</v>
      </c>
      <c r="C51" s="4" t="s">
        <v>85</v>
      </c>
      <c r="D51" s="4" t="s">
        <v>61</v>
      </c>
      <c r="E51" s="4" t="s">
        <v>132</v>
      </c>
      <c r="F51" s="6">
        <v>58.78369</v>
      </c>
      <c r="G51" s="6">
        <v>5.6</v>
      </c>
      <c r="H51" s="7">
        <v>236.47405385328949</v>
      </c>
      <c r="I51" s="7">
        <v>194.95453000000001</v>
      </c>
      <c r="J51" s="7">
        <v>23.745467601315791</v>
      </c>
      <c r="K51" s="7">
        <v>395.45469724144738</v>
      </c>
      <c r="L51" s="7">
        <v>850.62874869605275</v>
      </c>
      <c r="M51" s="7">
        <v>147.742497375</v>
      </c>
      <c r="N51" s="7">
        <v>102.6673962019737</v>
      </c>
      <c r="O51" s="7">
        <v>121.1372407539474</v>
      </c>
      <c r="P51" s="7">
        <v>254.4815059401316</v>
      </c>
      <c r="Q51" s="7">
        <v>626.02864027105272</v>
      </c>
      <c r="R51" s="7">
        <v>0</v>
      </c>
      <c r="S51" s="7">
        <v>0</v>
      </c>
      <c r="T51" s="7">
        <v>0</v>
      </c>
      <c r="U51" s="7">
        <v>0</v>
      </c>
      <c r="V51" s="7">
        <v>0</v>
      </c>
      <c r="W51" s="7">
        <v>1476.6573889671049</v>
      </c>
      <c r="X51" s="7">
        <v>214.1904344309211</v>
      </c>
      <c r="Y51" s="7">
        <v>1690.8478233980261</v>
      </c>
      <c r="Z51" s="7">
        <v>266.18011353355263</v>
      </c>
      <c r="AA51" s="7">
        <v>326.13037426372182</v>
      </c>
      <c r="AB51" s="7">
        <v>2283.1583111953009</v>
      </c>
      <c r="AC51" s="7">
        <v>0</v>
      </c>
      <c r="AD51" s="7">
        <v>529.69202143421046</v>
      </c>
      <c r="AE51" s="7">
        <v>0</v>
      </c>
      <c r="AF51" s="7">
        <v>0</v>
      </c>
      <c r="AG51" s="7">
        <v>2812.8503326295108</v>
      </c>
      <c r="AH51" s="7">
        <v>2283.1583111953009</v>
      </c>
      <c r="AI51" s="7">
        <v>105.7402261855263</v>
      </c>
      <c r="AJ51" s="7">
        <v>0</v>
      </c>
      <c r="AK51" s="7">
        <v>0</v>
      </c>
      <c r="AL51" s="7">
        <v>264.35056546381583</v>
      </c>
      <c r="AM51" s="7">
        <v>2653.2491028446429</v>
      </c>
      <c r="AN51" s="7">
        <v>0</v>
      </c>
      <c r="AO51" s="7">
        <v>0</v>
      </c>
      <c r="AP51" s="7">
        <v>0</v>
      </c>
      <c r="AQ51" s="7">
        <v>0</v>
      </c>
      <c r="AR51" s="7">
        <v>0</v>
      </c>
      <c r="AS51" s="7">
        <v>2653.2491028446429</v>
      </c>
      <c r="AT51" s="7">
        <v>2368.6748373208738</v>
      </c>
      <c r="AU51" s="7">
        <v>1776.3643495235999</v>
      </c>
    </row>
    <row r="52" spans="1:47" x14ac:dyDescent="0.35">
      <c r="A52" s="5">
        <v>46022</v>
      </c>
      <c r="B52" s="4" t="s">
        <v>84</v>
      </c>
      <c r="C52" s="4" t="s">
        <v>85</v>
      </c>
      <c r="D52" s="4" t="s">
        <v>61</v>
      </c>
      <c r="E52" s="4" t="s">
        <v>133</v>
      </c>
      <c r="F52" s="6">
        <v>43.576965000000001</v>
      </c>
      <c r="G52" s="6">
        <v>56.5</v>
      </c>
      <c r="H52" s="7">
        <v>617.42755818355272</v>
      </c>
      <c r="I52" s="7">
        <v>509.02116000000001</v>
      </c>
      <c r="J52" s="7">
        <v>61.99880204407895</v>
      </c>
      <c r="K52" s="7">
        <v>1032.5218399322371</v>
      </c>
      <c r="L52" s="7">
        <v>2220.9693601598678</v>
      </c>
      <c r="M52" s="7">
        <v>385.75179283618422</v>
      </c>
      <c r="N52" s="7">
        <v>268.0618747105263</v>
      </c>
      <c r="O52" s="7">
        <v>316.28615008421059</v>
      </c>
      <c r="P52" s="7">
        <v>664.44454531776319</v>
      </c>
      <c r="Q52" s="7">
        <v>1634.544362948684</v>
      </c>
      <c r="R52" s="7">
        <v>442.67275385328952</v>
      </c>
      <c r="S52" s="7">
        <v>588.91943927960529</v>
      </c>
      <c r="T52" s="7">
        <v>491.59897023947372</v>
      </c>
      <c r="U52" s="7">
        <v>3105.0211712743421</v>
      </c>
      <c r="V52" s="7">
        <v>4628.2123346467106</v>
      </c>
      <c r="W52" s="7">
        <v>8483.7260577552624</v>
      </c>
      <c r="X52" s="7">
        <v>1447.573810547369</v>
      </c>
      <c r="Y52" s="7">
        <v>9931.2998683026326</v>
      </c>
      <c r="Z52" s="7">
        <v>45.445910283552628</v>
      </c>
      <c r="AA52" s="7">
        <v>856.96627151109033</v>
      </c>
      <c r="AB52" s="7">
        <v>10833.71205009728</v>
      </c>
      <c r="AC52" s="7">
        <v>0</v>
      </c>
      <c r="AD52" s="7">
        <v>1383.0119519289481</v>
      </c>
      <c r="AE52" s="7">
        <v>0</v>
      </c>
      <c r="AF52" s="7">
        <v>0</v>
      </c>
      <c r="AG52" s="7">
        <v>12216.72400202622</v>
      </c>
      <c r="AH52" s="7">
        <v>10833.71205009728</v>
      </c>
      <c r="AI52" s="7">
        <v>276.08495879013162</v>
      </c>
      <c r="AJ52" s="7">
        <v>0</v>
      </c>
      <c r="AK52" s="7">
        <v>0</v>
      </c>
      <c r="AL52" s="7">
        <v>690.21239202434208</v>
      </c>
      <c r="AM52" s="7">
        <v>11800.009400911749</v>
      </c>
      <c r="AN52" s="7">
        <v>0</v>
      </c>
      <c r="AO52" s="7">
        <v>0</v>
      </c>
      <c r="AP52" s="7">
        <v>0</v>
      </c>
      <c r="AQ52" s="7">
        <v>0</v>
      </c>
      <c r="AR52" s="7">
        <v>0</v>
      </c>
      <c r="AS52" s="7">
        <v>11800.009400911749</v>
      </c>
      <c r="AT52" s="7">
        <v>-1209.0080971983091</v>
      </c>
      <c r="AU52" s="7">
        <v>-2111.4202789929518</v>
      </c>
    </row>
    <row r="53" spans="1:47" x14ac:dyDescent="0.35">
      <c r="A53" s="5">
        <v>46022</v>
      </c>
      <c r="B53" s="4" t="s">
        <v>86</v>
      </c>
      <c r="C53" s="4" t="s">
        <v>87</v>
      </c>
      <c r="D53" s="4" t="s">
        <v>66</v>
      </c>
      <c r="E53" s="4" t="s">
        <v>132</v>
      </c>
      <c r="F53" s="6">
        <v>3.2643239999999998</v>
      </c>
      <c r="G53" s="6">
        <v>2</v>
      </c>
      <c r="H53" s="7">
        <v>1128.049409063904</v>
      </c>
      <c r="I53" s="7">
        <v>105.09795</v>
      </c>
      <c r="J53" s="7">
        <v>282.44914272612363</v>
      </c>
      <c r="K53" s="7">
        <v>1412.6370211748599</v>
      </c>
      <c r="L53" s="7">
        <v>2928.2335229648879</v>
      </c>
      <c r="M53" s="7">
        <v>916.44943710323037</v>
      </c>
      <c r="N53" s="7">
        <v>0</v>
      </c>
      <c r="O53" s="7">
        <v>164.9819452436798</v>
      </c>
      <c r="P53" s="7">
        <v>293.17589240098312</v>
      </c>
      <c r="Q53" s="7">
        <v>1374.6072747478929</v>
      </c>
      <c r="R53" s="7">
        <v>0</v>
      </c>
      <c r="S53" s="7">
        <v>0</v>
      </c>
      <c r="T53" s="7">
        <v>0</v>
      </c>
      <c r="U53" s="7">
        <v>0</v>
      </c>
      <c r="V53" s="7">
        <v>0</v>
      </c>
      <c r="W53" s="7">
        <v>4302.8407977127808</v>
      </c>
      <c r="X53" s="7">
        <v>218.8556130625</v>
      </c>
      <c r="Y53" s="7">
        <v>4521.696410775281</v>
      </c>
      <c r="Z53" s="7">
        <v>0</v>
      </c>
      <c r="AA53" s="7">
        <v>144.8438184744966</v>
      </c>
      <c r="AB53" s="7">
        <v>4666.5402292497783</v>
      </c>
      <c r="AC53" s="7">
        <v>0</v>
      </c>
      <c r="AD53" s="7">
        <v>144.96781259269659</v>
      </c>
      <c r="AE53" s="7">
        <v>0</v>
      </c>
      <c r="AF53" s="7">
        <v>0</v>
      </c>
      <c r="AG53" s="7">
        <v>4811.5080418424741</v>
      </c>
      <c r="AH53" s="7">
        <v>4666.5402292497783</v>
      </c>
      <c r="AI53" s="7">
        <v>172.1127426523876</v>
      </c>
      <c r="AJ53" s="7">
        <v>0</v>
      </c>
      <c r="AK53" s="7">
        <v>0</v>
      </c>
      <c r="AL53" s="7">
        <v>25.81690989817416</v>
      </c>
      <c r="AM53" s="7">
        <v>4864.469881800339</v>
      </c>
      <c r="AN53" s="7">
        <v>34427.716079999998</v>
      </c>
      <c r="AO53" s="7">
        <v>0</v>
      </c>
      <c r="AP53" s="7">
        <v>0</v>
      </c>
      <c r="AQ53" s="7">
        <v>0</v>
      </c>
      <c r="AR53" s="7">
        <v>0</v>
      </c>
      <c r="AS53" s="7">
        <v>39292.185961800336</v>
      </c>
      <c r="AT53" s="7">
        <v>-1302.9447447432569</v>
      </c>
      <c r="AU53" s="7">
        <v>-1447.788563217754</v>
      </c>
    </row>
    <row r="54" spans="1:47" x14ac:dyDescent="0.35">
      <c r="A54" s="5">
        <v>46022</v>
      </c>
      <c r="B54" s="4" t="s">
        <v>174</v>
      </c>
      <c r="C54" s="4" t="s">
        <v>175</v>
      </c>
      <c r="D54" s="4" t="s">
        <v>66</v>
      </c>
      <c r="E54" s="4" t="s">
        <v>132</v>
      </c>
      <c r="F54" s="6">
        <v>9.7651520000000005</v>
      </c>
      <c r="G54" s="6">
        <v>6</v>
      </c>
      <c r="H54" s="7">
        <v>249.25891652247191</v>
      </c>
      <c r="I54" s="7">
        <v>188.9633</v>
      </c>
      <c r="J54" s="7">
        <v>134.8837974817416</v>
      </c>
      <c r="K54" s="7">
        <v>1309.496714750702</v>
      </c>
      <c r="L54" s="7">
        <v>1882.6027287549159</v>
      </c>
      <c r="M54" s="7">
        <v>151.4878586980337</v>
      </c>
      <c r="N54" s="7">
        <v>224.77572558497189</v>
      </c>
      <c r="O54" s="7">
        <v>176.05997089817421</v>
      </c>
      <c r="P54" s="7">
        <v>823.93439173946626</v>
      </c>
      <c r="Q54" s="7">
        <v>1376.257946920646</v>
      </c>
      <c r="R54" s="7">
        <v>0</v>
      </c>
      <c r="S54" s="7">
        <v>0</v>
      </c>
      <c r="T54" s="7">
        <v>0</v>
      </c>
      <c r="U54" s="7">
        <v>0</v>
      </c>
      <c r="V54" s="7">
        <v>0</v>
      </c>
      <c r="W54" s="7">
        <v>3258.8606756755621</v>
      </c>
      <c r="X54" s="7">
        <v>513.20943725140455</v>
      </c>
      <c r="Y54" s="7">
        <v>3772.070112926966</v>
      </c>
      <c r="Z54" s="7">
        <v>0</v>
      </c>
      <c r="AA54" s="7">
        <v>226.34423873212771</v>
      </c>
      <c r="AB54" s="7">
        <v>3998.4143516590939</v>
      </c>
      <c r="AC54" s="7">
        <v>158.20991223665729</v>
      </c>
      <c r="AD54" s="7">
        <v>1312.468138616573</v>
      </c>
      <c r="AE54" s="7">
        <v>0</v>
      </c>
      <c r="AF54" s="7">
        <v>0</v>
      </c>
      <c r="AG54" s="7">
        <v>5469.092402512324</v>
      </c>
      <c r="AH54" s="7">
        <v>3998.4143516590939</v>
      </c>
      <c r="AI54" s="7">
        <v>393.07411199297758</v>
      </c>
      <c r="AJ54" s="7">
        <v>158.20991223665729</v>
      </c>
      <c r="AK54" s="7">
        <v>0</v>
      </c>
      <c r="AL54" s="7">
        <v>18.931250834269662</v>
      </c>
      <c r="AM54" s="7">
        <v>4568.6296267229991</v>
      </c>
      <c r="AN54" s="7">
        <v>115.086</v>
      </c>
      <c r="AO54" s="7">
        <v>7.0992240617977531</v>
      </c>
      <c r="AP54" s="7">
        <v>0</v>
      </c>
      <c r="AQ54" s="7">
        <v>0</v>
      </c>
      <c r="AR54" s="7">
        <v>0</v>
      </c>
      <c r="AS54" s="7">
        <v>4690.8148507847964</v>
      </c>
      <c r="AT54" s="7">
        <v>1257.8016512409611</v>
      </c>
      <c r="AU54" s="7">
        <v>1031.4574125088341</v>
      </c>
    </row>
    <row r="55" spans="1:47" x14ac:dyDescent="0.35">
      <c r="A55" s="5">
        <v>46022</v>
      </c>
      <c r="B55" s="4" t="s">
        <v>88</v>
      </c>
      <c r="C55" s="4" t="s">
        <v>89</v>
      </c>
      <c r="D55" s="4" t="s">
        <v>66</v>
      </c>
      <c r="E55" s="4" t="s">
        <v>132</v>
      </c>
      <c r="F55" s="6">
        <v>15.431350999999999</v>
      </c>
      <c r="G55" s="6">
        <v>1.5</v>
      </c>
      <c r="H55" s="7">
        <v>67.205228611657304</v>
      </c>
      <c r="I55" s="7">
        <v>124.66779</v>
      </c>
      <c r="J55" s="7">
        <v>7.7021970042134837</v>
      </c>
      <c r="K55" s="7">
        <v>127.89677977598321</v>
      </c>
      <c r="L55" s="7">
        <v>327.47199539185391</v>
      </c>
      <c r="M55" s="7">
        <v>51.4433799255618</v>
      </c>
      <c r="N55" s="7">
        <v>90.210041070926977</v>
      </c>
      <c r="O55" s="7">
        <v>167.5078329922753</v>
      </c>
      <c r="P55" s="7">
        <v>262.84325405056182</v>
      </c>
      <c r="Q55" s="7">
        <v>572.00450803932586</v>
      </c>
      <c r="R55" s="7">
        <v>0</v>
      </c>
      <c r="S55" s="7">
        <v>0</v>
      </c>
      <c r="T55" s="7">
        <v>0</v>
      </c>
      <c r="U55" s="7">
        <v>0</v>
      </c>
      <c r="V55" s="7">
        <v>0</v>
      </c>
      <c r="W55" s="7">
        <v>899.47650343117982</v>
      </c>
      <c r="X55" s="7">
        <v>119.8402674325843</v>
      </c>
      <c r="Y55" s="7">
        <v>1019.316770863764</v>
      </c>
      <c r="Z55" s="7">
        <v>0</v>
      </c>
      <c r="AA55" s="7">
        <v>126.80516416312039</v>
      </c>
      <c r="AB55" s="7">
        <v>1146.1219350268841</v>
      </c>
      <c r="AC55" s="7">
        <v>64.789487653089893</v>
      </c>
      <c r="AD55" s="7">
        <v>143.7501291811798</v>
      </c>
      <c r="AE55" s="7">
        <v>0</v>
      </c>
      <c r="AF55" s="7">
        <v>0</v>
      </c>
      <c r="AG55" s="7">
        <v>1354.6615518611541</v>
      </c>
      <c r="AH55" s="7">
        <v>1146.1219350268841</v>
      </c>
      <c r="AI55" s="7">
        <v>134.9175303735955</v>
      </c>
      <c r="AJ55" s="7">
        <v>64.789487653089893</v>
      </c>
      <c r="AK55" s="7">
        <v>671.47282821910107</v>
      </c>
      <c r="AL55" s="7">
        <v>89.945026914325851</v>
      </c>
      <c r="AM55" s="7">
        <v>2107.246808186997</v>
      </c>
      <c r="AN55" s="7">
        <v>0</v>
      </c>
      <c r="AO55" s="7">
        <v>0</v>
      </c>
      <c r="AP55" s="7">
        <v>0</v>
      </c>
      <c r="AQ55" s="7">
        <v>0</v>
      </c>
      <c r="AR55" s="7">
        <v>0</v>
      </c>
      <c r="AS55" s="7">
        <v>2107.246808186997</v>
      </c>
      <c r="AT55" s="7">
        <v>244.7599035407608</v>
      </c>
      <c r="AU55" s="7">
        <v>117.95473937764029</v>
      </c>
    </row>
    <row r="56" spans="1:47" x14ac:dyDescent="0.35">
      <c r="A56" s="5">
        <v>46022</v>
      </c>
      <c r="B56" s="4" t="s">
        <v>176</v>
      </c>
      <c r="C56" s="4" t="s">
        <v>177</v>
      </c>
      <c r="D56" s="4" t="s">
        <v>66</v>
      </c>
      <c r="E56" s="4" t="s">
        <v>134</v>
      </c>
      <c r="F56" s="6">
        <v>6.9310679999999998</v>
      </c>
      <c r="G56" s="6">
        <v>99</v>
      </c>
      <c r="H56" s="7">
        <v>0</v>
      </c>
      <c r="I56" s="7">
        <v>0</v>
      </c>
      <c r="J56" s="7">
        <v>0</v>
      </c>
      <c r="K56" s="7">
        <v>0</v>
      </c>
      <c r="L56" s="7">
        <v>0</v>
      </c>
      <c r="M56" s="7">
        <v>0</v>
      </c>
      <c r="N56" s="7">
        <v>0</v>
      </c>
      <c r="O56" s="7">
        <v>0</v>
      </c>
      <c r="P56" s="7">
        <v>0</v>
      </c>
      <c r="Q56" s="7">
        <v>0</v>
      </c>
      <c r="R56" s="7">
        <v>708.30321737289319</v>
      </c>
      <c r="S56" s="7">
        <v>911.74264891081464</v>
      </c>
      <c r="T56" s="7">
        <v>872.98059679424148</v>
      </c>
      <c r="U56" s="7">
        <v>2678.964112566011</v>
      </c>
      <c r="V56" s="7">
        <v>5171.9905756439612</v>
      </c>
      <c r="W56" s="7">
        <v>5171.9905756439612</v>
      </c>
      <c r="X56" s="7">
        <v>219.5383591952247</v>
      </c>
      <c r="Y56" s="7">
        <v>5391.5289348391852</v>
      </c>
      <c r="Z56" s="7">
        <v>0</v>
      </c>
      <c r="AA56" s="7">
        <v>829.9557339101641</v>
      </c>
      <c r="AB56" s="7">
        <v>6221.4846687493491</v>
      </c>
      <c r="AC56" s="7">
        <v>0</v>
      </c>
      <c r="AD56" s="7">
        <v>1996.842308283708</v>
      </c>
      <c r="AE56" s="7">
        <v>0</v>
      </c>
      <c r="AF56" s="7">
        <v>0</v>
      </c>
      <c r="AG56" s="7">
        <v>8218.3269770330571</v>
      </c>
      <c r="AH56" s="7">
        <v>6221.4846687493491</v>
      </c>
      <c r="AI56" s="7">
        <v>1551.597179691714</v>
      </c>
      <c r="AJ56" s="7">
        <v>0</v>
      </c>
      <c r="AK56" s="7">
        <v>0</v>
      </c>
      <c r="AL56" s="7">
        <v>620.63886987710669</v>
      </c>
      <c r="AM56" s="7">
        <v>8393.7207183181708</v>
      </c>
      <c r="AN56" s="7">
        <v>3606.9477000000002</v>
      </c>
      <c r="AO56" s="7">
        <v>0</v>
      </c>
      <c r="AP56" s="7">
        <v>0</v>
      </c>
      <c r="AQ56" s="7">
        <v>0</v>
      </c>
      <c r="AR56" s="7">
        <v>0</v>
      </c>
      <c r="AS56" s="7">
        <v>12000.66841831817</v>
      </c>
      <c r="AT56" s="7">
        <v>4982.9177727366932</v>
      </c>
      <c r="AU56" s="7">
        <v>4152.9620388265294</v>
      </c>
    </row>
  </sheetData>
  <mergeCells count="48">
    <mergeCell ref="AS6:AS9"/>
    <mergeCell ref="AT6:AT9"/>
    <mergeCell ref="AU6:AU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56"/>
  <sheetViews>
    <sheetView workbookViewId="0"/>
  </sheetViews>
  <sheetFormatPr defaultRowHeight="14.5" x14ac:dyDescent="0.35"/>
  <cols>
    <col min="1" max="1" width="48.54296875" customWidth="1"/>
    <col min="2" max="2" width="30.1796875" customWidth="1"/>
    <col min="3" max="3" width="16.1796875" customWidth="1"/>
    <col min="4" max="4" width="17.453125" customWidth="1"/>
    <col min="5" max="5" width="20.453125" customWidth="1"/>
    <col min="6" max="6" width="17.54296875" customWidth="1"/>
    <col min="7" max="7" width="16.1796875" customWidth="1"/>
    <col min="8" max="8" width="21.1796875" customWidth="1"/>
    <col min="9" max="9" width="25.54296875" customWidth="1"/>
    <col min="10" max="10" width="22.453125" customWidth="1"/>
    <col min="11" max="17" width="21.1796875" customWidth="1"/>
    <col min="18" max="22" width="21.54296875" customWidth="1"/>
    <col min="23" max="25" width="21.1796875" customWidth="1"/>
    <col min="26" max="26" width="17.54296875" customWidth="1"/>
    <col min="27" max="28" width="21.1796875" customWidth="1"/>
    <col min="29" max="29" width="22.453125" customWidth="1"/>
    <col min="30" max="30" width="21.1796875" customWidth="1"/>
    <col min="31" max="31" width="16.1796875" customWidth="1"/>
    <col min="32" max="32" width="29.453125" customWidth="1"/>
    <col min="33" max="35" width="21.1796875" customWidth="1"/>
    <col min="36" max="37" width="22.453125" customWidth="1"/>
    <col min="38" max="39" width="21.1796875" customWidth="1"/>
    <col min="40" max="40" width="16.1796875" customWidth="1"/>
    <col min="41" max="41" width="21.1796875" customWidth="1"/>
    <col min="42" max="44" width="16.1796875" customWidth="1"/>
    <col min="45" max="45" width="21.1796875" customWidth="1"/>
    <col min="46" max="47" width="22" customWidth="1"/>
  </cols>
  <sheetData>
    <row r="1" spans="1:47" ht="40" customHeight="1" x14ac:dyDescent="0.35">
      <c r="A1" s="12"/>
      <c r="B1" s="12"/>
      <c r="C1" s="12"/>
      <c r="D1" s="12"/>
    </row>
    <row r="2" spans="1:47" ht="30" customHeight="1" x14ac:dyDescent="0.45">
      <c r="A2" s="1" t="s">
        <v>195</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spans="1:47" x14ac:dyDescent="0.35">
      <c r="A3" s="3" t="s">
        <v>0</v>
      </c>
    </row>
    <row r="4" spans="1:47" x14ac:dyDescent="0.35">
      <c r="A4" s="3" t="s">
        <v>1</v>
      </c>
    </row>
    <row r="5" spans="1:47" x14ac:dyDescent="0.35">
      <c r="A5" s="4"/>
    </row>
    <row r="6" spans="1:47" x14ac:dyDescent="0.35">
      <c r="A6" s="13" t="s">
        <v>3</v>
      </c>
      <c r="B6" s="13" t="s">
        <v>4</v>
      </c>
      <c r="C6" s="13" t="s">
        <v>5</v>
      </c>
      <c r="D6" s="13" t="s">
        <v>6</v>
      </c>
      <c r="E6" s="13" t="s">
        <v>91</v>
      </c>
      <c r="F6" s="14" t="s">
        <v>179</v>
      </c>
      <c r="G6" s="14" t="s">
        <v>93</v>
      </c>
      <c r="H6" s="14" t="s">
        <v>19</v>
      </c>
      <c r="I6" s="14" t="s">
        <v>20</v>
      </c>
      <c r="J6" s="14" t="s">
        <v>21</v>
      </c>
      <c r="K6" s="14" t="s">
        <v>22</v>
      </c>
      <c r="L6" s="14" t="s">
        <v>23</v>
      </c>
      <c r="M6" s="14" t="s">
        <v>24</v>
      </c>
      <c r="N6" s="14" t="s">
        <v>25</v>
      </c>
      <c r="O6" s="14" t="s">
        <v>26</v>
      </c>
      <c r="P6" s="14" t="s">
        <v>27</v>
      </c>
      <c r="Q6" s="14" t="s">
        <v>28</v>
      </c>
      <c r="R6" s="14" t="s">
        <v>29</v>
      </c>
      <c r="S6" s="14" t="s">
        <v>30</v>
      </c>
      <c r="T6" s="14" t="s">
        <v>31</v>
      </c>
      <c r="U6" s="14" t="s">
        <v>32</v>
      </c>
      <c r="V6" s="14" t="s">
        <v>33</v>
      </c>
      <c r="W6" s="14" t="s">
        <v>34</v>
      </c>
      <c r="X6" s="14" t="s">
        <v>35</v>
      </c>
      <c r="Y6" s="14" t="s">
        <v>36</v>
      </c>
      <c r="Z6" s="14" t="s">
        <v>37</v>
      </c>
      <c r="AA6" s="14" t="s">
        <v>38</v>
      </c>
      <c r="AB6" s="14" t="s">
        <v>39</v>
      </c>
      <c r="AC6" s="14" t="s">
        <v>180</v>
      </c>
      <c r="AD6" s="14" t="s">
        <v>181</v>
      </c>
      <c r="AE6" s="14" t="s">
        <v>182</v>
      </c>
      <c r="AF6" s="14" t="s">
        <v>183</v>
      </c>
      <c r="AG6" s="14" t="s">
        <v>184</v>
      </c>
      <c r="AH6" s="14" t="s">
        <v>39</v>
      </c>
      <c r="AI6" s="14" t="s">
        <v>185</v>
      </c>
      <c r="AJ6" s="14" t="s">
        <v>180</v>
      </c>
      <c r="AK6" s="14" t="s">
        <v>186</v>
      </c>
      <c r="AL6" s="14" t="s">
        <v>187</v>
      </c>
      <c r="AM6" s="14" t="s">
        <v>188</v>
      </c>
      <c r="AN6" s="14" t="s">
        <v>189</v>
      </c>
      <c r="AO6" s="14" t="s">
        <v>190</v>
      </c>
      <c r="AP6" s="14" t="s">
        <v>191</v>
      </c>
      <c r="AQ6" s="14" t="s">
        <v>192</v>
      </c>
      <c r="AR6" s="14" t="s">
        <v>193</v>
      </c>
      <c r="AS6" s="14" t="s">
        <v>194</v>
      </c>
      <c r="AT6" s="14" t="s">
        <v>41</v>
      </c>
      <c r="AU6" s="14" t="s">
        <v>42</v>
      </c>
    </row>
    <row r="7" spans="1:47" x14ac:dyDescent="0.35">
      <c r="A7" s="13"/>
      <c r="B7" s="13"/>
      <c r="C7" s="13"/>
      <c r="D7" s="13"/>
      <c r="E7" s="13"/>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row>
    <row r="8" spans="1:47" x14ac:dyDescent="0.35">
      <c r="A8" s="13"/>
      <c r="B8" s="13"/>
      <c r="C8" s="13"/>
      <c r="D8" s="13"/>
      <c r="E8" s="13"/>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row>
    <row r="9" spans="1:47" x14ac:dyDescent="0.35">
      <c r="A9" s="13"/>
      <c r="B9" s="13"/>
      <c r="C9" s="13"/>
      <c r="D9" s="13"/>
      <c r="E9" s="13"/>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row>
    <row r="10" spans="1:47" x14ac:dyDescent="0.35">
      <c r="A10" s="5">
        <v>46022</v>
      </c>
      <c r="B10" s="4" t="s">
        <v>43</v>
      </c>
      <c r="C10" s="4" t="s">
        <v>44</v>
      </c>
      <c r="D10" s="4" t="s">
        <v>45</v>
      </c>
      <c r="E10" s="4" t="s">
        <v>132</v>
      </c>
      <c r="F10" s="6">
        <v>11</v>
      </c>
      <c r="G10" s="6">
        <v>2.5</v>
      </c>
      <c r="H10" s="7">
        <v>46.88120925304348</v>
      </c>
      <c r="I10" s="7">
        <v>33.005308999999997</v>
      </c>
      <c r="J10" s="7">
        <v>10.55512675913044</v>
      </c>
      <c r="K10" s="7">
        <v>26.58463873913044</v>
      </c>
      <c r="L10" s="7">
        <v>117.02628375130431</v>
      </c>
      <c r="M10" s="7">
        <v>59.261876299565223</v>
      </c>
      <c r="N10" s="7">
        <v>0</v>
      </c>
      <c r="O10" s="7">
        <v>4.8453872886956519</v>
      </c>
      <c r="P10" s="7">
        <v>33.868170214347828</v>
      </c>
      <c r="Q10" s="7">
        <v>97.975433802608705</v>
      </c>
      <c r="R10" s="7">
        <v>0</v>
      </c>
      <c r="S10" s="7">
        <v>0</v>
      </c>
      <c r="T10" s="7">
        <v>0</v>
      </c>
      <c r="U10" s="7">
        <v>0</v>
      </c>
      <c r="V10" s="7">
        <v>0</v>
      </c>
      <c r="W10" s="7">
        <v>215.00171755391301</v>
      </c>
      <c r="X10" s="7">
        <v>34.383764362173913</v>
      </c>
      <c r="Y10" s="7">
        <v>249.385481916087</v>
      </c>
      <c r="Z10" s="7">
        <v>0</v>
      </c>
      <c r="AA10" s="7">
        <v>0</v>
      </c>
      <c r="AB10" s="7">
        <v>249.385481916087</v>
      </c>
      <c r="AC10" s="7">
        <v>0</v>
      </c>
      <c r="AD10" s="7">
        <v>21.515956601739131</v>
      </c>
      <c r="AE10" s="7">
        <v>0</v>
      </c>
      <c r="AF10" s="7">
        <v>0</v>
      </c>
      <c r="AG10" s="7">
        <v>270.90143851782608</v>
      </c>
      <c r="AH10" s="7">
        <v>249.385481916087</v>
      </c>
      <c r="AI10" s="7">
        <v>4.3031915213043472</v>
      </c>
      <c r="AJ10" s="7">
        <v>0</v>
      </c>
      <c r="AK10" s="7">
        <v>0</v>
      </c>
      <c r="AL10" s="7">
        <v>21.515956601739131</v>
      </c>
      <c r="AM10" s="7">
        <v>275.20463003913039</v>
      </c>
      <c r="AN10" s="7">
        <v>0</v>
      </c>
      <c r="AO10" s="7">
        <v>0</v>
      </c>
      <c r="AP10" s="7">
        <v>0</v>
      </c>
      <c r="AQ10" s="7">
        <v>0</v>
      </c>
      <c r="AR10" s="7">
        <v>0</v>
      </c>
      <c r="AS10" s="7">
        <v>275.20463003913039</v>
      </c>
      <c r="AT10" s="7">
        <v>-19.306112643359679</v>
      </c>
      <c r="AU10" s="7">
        <v>-19.306112643359679</v>
      </c>
    </row>
    <row r="11" spans="1:47" x14ac:dyDescent="0.35">
      <c r="A11" s="5">
        <v>46022</v>
      </c>
      <c r="B11" s="4" t="s">
        <v>46</v>
      </c>
      <c r="C11" s="4" t="s">
        <v>47</v>
      </c>
      <c r="D11" s="4" t="s">
        <v>48</v>
      </c>
      <c r="E11" s="4" t="s">
        <v>132</v>
      </c>
      <c r="F11" s="6">
        <v>527</v>
      </c>
      <c r="G11" s="6">
        <v>5.1269999999999998</v>
      </c>
      <c r="H11" s="7">
        <v>62.905712000000001</v>
      </c>
      <c r="I11" s="7">
        <v>20.226244000000001</v>
      </c>
      <c r="J11" s="7">
        <v>2.982923</v>
      </c>
      <c r="K11" s="7">
        <v>61.184762999999997</v>
      </c>
      <c r="L11" s="7">
        <v>147.29964200000001</v>
      </c>
      <c r="M11" s="7">
        <v>23.700962000000001</v>
      </c>
      <c r="N11" s="7">
        <v>13.749105</v>
      </c>
      <c r="O11" s="7">
        <v>49.432932000000001</v>
      </c>
      <c r="P11" s="7">
        <v>76.401544000000001</v>
      </c>
      <c r="Q11" s="7">
        <v>163.28454300000001</v>
      </c>
      <c r="R11" s="7">
        <v>0</v>
      </c>
      <c r="S11" s="7">
        <v>0</v>
      </c>
      <c r="T11" s="7">
        <v>0</v>
      </c>
      <c r="U11" s="7">
        <v>0</v>
      </c>
      <c r="V11" s="7">
        <v>0</v>
      </c>
      <c r="W11" s="7">
        <v>310.58418499999999</v>
      </c>
      <c r="X11" s="7">
        <v>76.618550999999997</v>
      </c>
      <c r="Y11" s="7">
        <v>387.20273600000002</v>
      </c>
      <c r="Z11" s="7">
        <v>35</v>
      </c>
      <c r="AA11" s="7">
        <v>12.33466532185548</v>
      </c>
      <c r="AB11" s="7">
        <v>434.5374013218555</v>
      </c>
      <c r="AC11" s="7">
        <v>0</v>
      </c>
      <c r="AD11" s="7">
        <v>68.868920000000003</v>
      </c>
      <c r="AE11" s="7">
        <v>0</v>
      </c>
      <c r="AF11" s="7">
        <v>0</v>
      </c>
      <c r="AG11" s="7">
        <v>503.4063213218555</v>
      </c>
      <c r="AH11" s="7">
        <v>434.5374013218555</v>
      </c>
      <c r="AI11" s="7">
        <v>38.4</v>
      </c>
      <c r="AJ11" s="7">
        <v>0</v>
      </c>
      <c r="AK11" s="7">
        <v>0</v>
      </c>
      <c r="AL11" s="7">
        <v>9.4415929999999992</v>
      </c>
      <c r="AM11" s="7">
        <v>482.37899432185549</v>
      </c>
      <c r="AN11" s="7">
        <v>0</v>
      </c>
      <c r="AO11" s="7">
        <v>0</v>
      </c>
      <c r="AP11" s="7">
        <v>0</v>
      </c>
      <c r="AQ11" s="7">
        <v>0</v>
      </c>
      <c r="AR11" s="7">
        <v>0</v>
      </c>
      <c r="AS11" s="7">
        <v>482.37899432185549</v>
      </c>
      <c r="AT11" s="7">
        <v>228.91996033331409</v>
      </c>
      <c r="AU11" s="7">
        <v>181.58529501145861</v>
      </c>
    </row>
    <row r="12" spans="1:47" x14ac:dyDescent="0.35">
      <c r="A12" s="5">
        <v>46022</v>
      </c>
      <c r="B12" s="4" t="s">
        <v>49</v>
      </c>
      <c r="C12" s="4" t="s">
        <v>50</v>
      </c>
      <c r="D12" s="4" t="s">
        <v>48</v>
      </c>
      <c r="E12" s="4" t="s">
        <v>132</v>
      </c>
      <c r="F12" s="6">
        <v>525</v>
      </c>
      <c r="G12" s="6">
        <v>4.4000000000000004</v>
      </c>
      <c r="H12" s="7">
        <v>29.863334999999999</v>
      </c>
      <c r="I12" s="7">
        <v>17.271536000000001</v>
      </c>
      <c r="J12" s="7">
        <v>5.611599</v>
      </c>
      <c r="K12" s="7">
        <v>91.603067999999993</v>
      </c>
      <c r="L12" s="7">
        <v>144.349538</v>
      </c>
      <c r="M12" s="7">
        <v>25.963736999999998</v>
      </c>
      <c r="N12" s="7">
        <v>28.727651999999999</v>
      </c>
      <c r="O12" s="7">
        <v>23.029160000000001</v>
      </c>
      <c r="P12" s="7">
        <v>46.624690000000001</v>
      </c>
      <c r="Q12" s="7">
        <v>124.34523900000001</v>
      </c>
      <c r="R12" s="7">
        <v>0</v>
      </c>
      <c r="S12" s="7">
        <v>0</v>
      </c>
      <c r="T12" s="7">
        <v>0</v>
      </c>
      <c r="U12" s="7">
        <v>0</v>
      </c>
      <c r="V12" s="7">
        <v>0</v>
      </c>
      <c r="W12" s="7">
        <v>268.69477699999999</v>
      </c>
      <c r="X12" s="7">
        <v>46.074742999999998</v>
      </c>
      <c r="Y12" s="7">
        <v>314.76952</v>
      </c>
      <c r="Z12" s="7">
        <v>35</v>
      </c>
      <c r="AA12" s="7">
        <v>10.93553183840284</v>
      </c>
      <c r="AB12" s="7">
        <v>360.70505183840282</v>
      </c>
      <c r="AC12" s="7">
        <v>0</v>
      </c>
      <c r="AD12" s="7">
        <v>57.534624000000001</v>
      </c>
      <c r="AE12" s="7">
        <v>0</v>
      </c>
      <c r="AF12" s="7">
        <v>0</v>
      </c>
      <c r="AG12" s="7">
        <v>418.23967583840277</v>
      </c>
      <c r="AH12" s="7">
        <v>360.70505183840282</v>
      </c>
      <c r="AI12" s="7">
        <v>24.761904999999999</v>
      </c>
      <c r="AJ12" s="7">
        <v>0</v>
      </c>
      <c r="AK12" s="7">
        <v>0</v>
      </c>
      <c r="AL12" s="7">
        <v>26.869478000000001</v>
      </c>
      <c r="AM12" s="7">
        <v>412.33643483840279</v>
      </c>
      <c r="AN12" s="7">
        <v>0</v>
      </c>
      <c r="AO12" s="7">
        <v>0</v>
      </c>
      <c r="AP12" s="7">
        <v>0</v>
      </c>
      <c r="AQ12" s="7">
        <v>0</v>
      </c>
      <c r="AR12" s="7">
        <v>0</v>
      </c>
      <c r="AS12" s="7">
        <v>412.33643483840279</v>
      </c>
      <c r="AT12" s="7">
        <v>232.0070719201421</v>
      </c>
      <c r="AU12" s="7">
        <v>186.07154008173919</v>
      </c>
    </row>
    <row r="13" spans="1:47" x14ac:dyDescent="0.35">
      <c r="A13" s="5">
        <v>46022</v>
      </c>
      <c r="B13" s="4" t="s">
        <v>51</v>
      </c>
      <c r="C13" s="4" t="s">
        <v>52</v>
      </c>
      <c r="D13" s="4" t="s">
        <v>53</v>
      </c>
      <c r="E13" s="4" t="s">
        <v>132</v>
      </c>
      <c r="F13" s="6">
        <v>113.4</v>
      </c>
      <c r="G13" s="6">
        <v>5.5</v>
      </c>
      <c r="H13" s="7">
        <v>56.576657564017069</v>
      </c>
      <c r="I13" s="7">
        <v>141.288715</v>
      </c>
      <c r="J13" s="7">
        <v>2.21958831919012</v>
      </c>
      <c r="K13" s="7">
        <v>141.2708068467</v>
      </c>
      <c r="L13" s="7">
        <v>341.3557677299072</v>
      </c>
      <c r="M13" s="7">
        <v>15.712432812438379</v>
      </c>
      <c r="N13" s="7">
        <v>0</v>
      </c>
      <c r="O13" s="7">
        <v>57.241708757052642</v>
      </c>
      <c r="P13" s="7">
        <v>77.857661739064483</v>
      </c>
      <c r="Q13" s="7">
        <v>150.81180330855551</v>
      </c>
      <c r="R13" s="7">
        <v>0</v>
      </c>
      <c r="S13" s="7">
        <v>0</v>
      </c>
      <c r="T13" s="7">
        <v>0</v>
      </c>
      <c r="U13" s="7">
        <v>0</v>
      </c>
      <c r="V13" s="7">
        <v>0</v>
      </c>
      <c r="W13" s="7">
        <v>492.1675710384626</v>
      </c>
      <c r="X13" s="7">
        <v>172.6963154736971</v>
      </c>
      <c r="Y13" s="7">
        <v>664.86388651215975</v>
      </c>
      <c r="Z13" s="7">
        <v>30</v>
      </c>
      <c r="AA13" s="7">
        <v>34.033952346123819</v>
      </c>
      <c r="AB13" s="7">
        <v>728.89783885828354</v>
      </c>
      <c r="AC13" s="7">
        <v>1.0000032975548629</v>
      </c>
      <c r="AD13" s="7">
        <v>97.881756769398677</v>
      </c>
      <c r="AE13" s="7">
        <v>0</v>
      </c>
      <c r="AF13" s="7">
        <v>0</v>
      </c>
      <c r="AG13" s="7">
        <v>827.77959892523711</v>
      </c>
      <c r="AH13" s="7">
        <v>728.89783885828354</v>
      </c>
      <c r="AI13" s="7">
        <v>73.825205441862451</v>
      </c>
      <c r="AJ13" s="7">
        <v>1.0000032975548629</v>
      </c>
      <c r="AK13" s="7">
        <v>0</v>
      </c>
      <c r="AL13" s="7">
        <v>11.00003627310349</v>
      </c>
      <c r="AM13" s="7">
        <v>814.72308387080432</v>
      </c>
      <c r="AN13" s="7">
        <v>0</v>
      </c>
      <c r="AO13" s="7">
        <v>0</v>
      </c>
      <c r="AP13" s="7">
        <v>0</v>
      </c>
      <c r="AQ13" s="7">
        <v>0</v>
      </c>
      <c r="AR13" s="7">
        <v>0</v>
      </c>
      <c r="AS13" s="7">
        <v>814.72308387080432</v>
      </c>
      <c r="AT13" s="7">
        <v>145.46831220507411</v>
      </c>
      <c r="AU13" s="7">
        <v>81.434359858950316</v>
      </c>
    </row>
    <row r="14" spans="1:47" x14ac:dyDescent="0.35">
      <c r="A14" s="5">
        <v>46022</v>
      </c>
      <c r="B14" s="4" t="s">
        <v>54</v>
      </c>
      <c r="C14" s="4" t="s">
        <v>55</v>
      </c>
      <c r="D14" s="4" t="s">
        <v>56</v>
      </c>
      <c r="E14" s="4" t="s">
        <v>132</v>
      </c>
      <c r="F14" s="6">
        <v>5.8181200000000004</v>
      </c>
      <c r="G14" s="6">
        <v>5.5</v>
      </c>
      <c r="H14" s="7">
        <v>30.94172544378479</v>
      </c>
      <c r="I14" s="7">
        <v>9.852252</v>
      </c>
      <c r="J14" s="7">
        <v>13.72751245769944</v>
      </c>
      <c r="K14" s="7">
        <v>48.50878769499073</v>
      </c>
      <c r="L14" s="7">
        <v>103.030277596475</v>
      </c>
      <c r="M14" s="7">
        <v>16.048650118831169</v>
      </c>
      <c r="N14" s="7">
        <v>0</v>
      </c>
      <c r="O14" s="7">
        <v>4.4510000674397032</v>
      </c>
      <c r="P14" s="7">
        <v>46.039836746938782</v>
      </c>
      <c r="Q14" s="7">
        <v>66.539486933209645</v>
      </c>
      <c r="R14" s="7">
        <v>0</v>
      </c>
      <c r="S14" s="7">
        <v>0</v>
      </c>
      <c r="T14" s="7">
        <v>0</v>
      </c>
      <c r="U14" s="7">
        <v>0</v>
      </c>
      <c r="V14" s="7">
        <v>0</v>
      </c>
      <c r="W14" s="7">
        <v>169.56976452968459</v>
      </c>
      <c r="X14" s="7">
        <v>34.693412388589977</v>
      </c>
      <c r="Y14" s="7">
        <v>204.26317691827461</v>
      </c>
      <c r="Z14" s="7">
        <v>0</v>
      </c>
      <c r="AA14" s="7">
        <v>5.383519321916916</v>
      </c>
      <c r="AB14" s="7">
        <v>209.64669624019149</v>
      </c>
      <c r="AC14" s="7">
        <v>0</v>
      </c>
      <c r="AD14" s="7">
        <v>44.340786372912802</v>
      </c>
      <c r="AE14" s="7">
        <v>0</v>
      </c>
      <c r="AF14" s="7">
        <v>0</v>
      </c>
      <c r="AG14" s="7">
        <v>253.98748261310431</v>
      </c>
      <c r="AH14" s="7">
        <v>209.64669624019149</v>
      </c>
      <c r="AI14" s="7">
        <v>13.167979367254169</v>
      </c>
      <c r="AJ14" s="7">
        <v>0</v>
      </c>
      <c r="AK14" s="7">
        <v>0</v>
      </c>
      <c r="AL14" s="7">
        <v>29.11906353756957</v>
      </c>
      <c r="AM14" s="7">
        <v>251.93373914501521</v>
      </c>
      <c r="AN14" s="7">
        <v>0</v>
      </c>
      <c r="AO14" s="7">
        <v>0</v>
      </c>
      <c r="AP14" s="7">
        <v>0</v>
      </c>
      <c r="AQ14" s="7">
        <v>0</v>
      </c>
      <c r="AR14" s="7">
        <v>0</v>
      </c>
      <c r="AS14" s="7">
        <v>251.93373914501521</v>
      </c>
      <c r="AT14" s="7">
        <v>335.65610504909631</v>
      </c>
      <c r="AU14" s="7">
        <v>330.27258572717938</v>
      </c>
    </row>
    <row r="15" spans="1:47" x14ac:dyDescent="0.35">
      <c r="A15" s="5">
        <v>46022</v>
      </c>
      <c r="B15" s="4" t="s">
        <v>54</v>
      </c>
      <c r="C15" s="4" t="s">
        <v>55</v>
      </c>
      <c r="D15" s="4" t="s">
        <v>56</v>
      </c>
      <c r="E15" s="4" t="s">
        <v>133</v>
      </c>
      <c r="F15" s="6">
        <v>0.5</v>
      </c>
      <c r="G15" s="6">
        <v>55</v>
      </c>
      <c r="H15" s="7">
        <v>620.96432028673473</v>
      </c>
      <c r="I15" s="7">
        <v>197.723195</v>
      </c>
      <c r="J15" s="7">
        <v>275.49514949276443</v>
      </c>
      <c r="K15" s="7">
        <v>973.51476612968463</v>
      </c>
      <c r="L15" s="7">
        <v>2067.6974309091838</v>
      </c>
      <c r="M15" s="7">
        <v>322.07768889155852</v>
      </c>
      <c r="N15" s="7">
        <v>0</v>
      </c>
      <c r="O15" s="7">
        <v>89.326383924768095</v>
      </c>
      <c r="P15" s="7">
        <v>923.9657989352504</v>
      </c>
      <c r="Q15" s="7">
        <v>1335.369871751577</v>
      </c>
      <c r="R15" s="7">
        <v>399.24449600000003</v>
      </c>
      <c r="S15" s="7">
        <v>302.09885400000002</v>
      </c>
      <c r="T15" s="7">
        <v>327.087266</v>
      </c>
      <c r="U15" s="7">
        <v>1224.105082</v>
      </c>
      <c r="V15" s="7">
        <v>2252.5356980000001</v>
      </c>
      <c r="W15" s="7">
        <v>5655.6030006607607</v>
      </c>
      <c r="X15" s="7">
        <v>34.693412388589977</v>
      </c>
      <c r="Y15" s="7">
        <v>5690.296413049351</v>
      </c>
      <c r="Z15" s="7">
        <v>0</v>
      </c>
      <c r="AA15" s="7">
        <v>101.5217008755215</v>
      </c>
      <c r="AB15" s="7">
        <v>5791.8181139248718</v>
      </c>
      <c r="AC15" s="7">
        <v>0</v>
      </c>
      <c r="AD15" s="7">
        <v>889.86785430333953</v>
      </c>
      <c r="AE15" s="7">
        <v>0</v>
      </c>
      <c r="AF15" s="7">
        <v>0</v>
      </c>
      <c r="AG15" s="7">
        <v>6681.685968228212</v>
      </c>
      <c r="AH15" s="7">
        <v>5791.8181139248718</v>
      </c>
      <c r="AI15" s="7">
        <v>264.26597725658632</v>
      </c>
      <c r="AJ15" s="7">
        <v>0</v>
      </c>
      <c r="AK15" s="7">
        <v>0</v>
      </c>
      <c r="AL15" s="7">
        <v>584.38563480055655</v>
      </c>
      <c r="AM15" s="7">
        <v>6640.469725982015</v>
      </c>
      <c r="AN15" s="7">
        <v>0</v>
      </c>
      <c r="AO15" s="7">
        <v>0</v>
      </c>
      <c r="AP15" s="7">
        <v>0</v>
      </c>
      <c r="AQ15" s="7">
        <v>0</v>
      </c>
      <c r="AR15" s="7">
        <v>0</v>
      </c>
      <c r="AS15" s="7">
        <v>6640.469725982015</v>
      </c>
      <c r="AT15" s="7">
        <v>4491.4396502373329</v>
      </c>
      <c r="AU15" s="7">
        <v>4389.9179493618121</v>
      </c>
    </row>
    <row r="16" spans="1:47" x14ac:dyDescent="0.35">
      <c r="A16" s="5">
        <v>46022</v>
      </c>
      <c r="B16" s="4" t="s">
        <v>54</v>
      </c>
      <c r="C16" s="4" t="s">
        <v>55</v>
      </c>
      <c r="D16" s="4" t="s">
        <v>56</v>
      </c>
      <c r="E16" s="4" t="s">
        <v>134</v>
      </c>
      <c r="F16" s="6">
        <v>1</v>
      </c>
      <c r="G16" s="6">
        <v>99.415000000000006</v>
      </c>
      <c r="H16" s="7">
        <v>605.19303543589979</v>
      </c>
      <c r="I16" s="7">
        <v>192.70141000000001</v>
      </c>
      <c r="J16" s="7">
        <v>268.49810862912801</v>
      </c>
      <c r="K16" s="7">
        <v>948.78938597699437</v>
      </c>
      <c r="L16" s="7">
        <v>2015.181940042022</v>
      </c>
      <c r="M16" s="7">
        <v>313.89754178821892</v>
      </c>
      <c r="N16" s="7">
        <v>0</v>
      </c>
      <c r="O16" s="7">
        <v>87.057667400371045</v>
      </c>
      <c r="P16" s="7">
        <v>900.49886603265304</v>
      </c>
      <c r="Q16" s="7">
        <v>1301.4540752212431</v>
      </c>
      <c r="R16" s="7">
        <v>389.10446300000001</v>
      </c>
      <c r="S16" s="7">
        <v>294.426131</v>
      </c>
      <c r="T16" s="7">
        <v>318.77988599999998</v>
      </c>
      <c r="U16" s="7">
        <v>1193.0151960000001</v>
      </c>
      <c r="V16" s="7">
        <v>2195.3256759999999</v>
      </c>
      <c r="W16" s="7">
        <v>5511.9616912632646</v>
      </c>
      <c r="X16" s="7">
        <v>34.693412388589977</v>
      </c>
      <c r="Y16" s="7">
        <v>5546.6551036518549</v>
      </c>
      <c r="Z16" s="7">
        <v>0</v>
      </c>
      <c r="AA16" s="7">
        <v>98.95193033243774</v>
      </c>
      <c r="AB16" s="7">
        <v>5645.6070339842927</v>
      </c>
      <c r="AC16" s="7">
        <v>0</v>
      </c>
      <c r="AD16" s="7">
        <v>867.26694205742115</v>
      </c>
      <c r="AE16" s="7">
        <v>0</v>
      </c>
      <c r="AF16" s="7">
        <v>0</v>
      </c>
      <c r="AG16" s="7">
        <v>6512.8739760417138</v>
      </c>
      <c r="AH16" s="7">
        <v>5645.6070339842927</v>
      </c>
      <c r="AI16" s="7">
        <v>257.55413593413732</v>
      </c>
      <c r="AJ16" s="7">
        <v>0</v>
      </c>
      <c r="AK16" s="7">
        <v>0</v>
      </c>
      <c r="AL16" s="7">
        <v>569.54337776103898</v>
      </c>
      <c r="AM16" s="7">
        <v>6472.7045476794692</v>
      </c>
      <c r="AN16" s="7">
        <v>0</v>
      </c>
      <c r="AO16" s="7">
        <v>0</v>
      </c>
      <c r="AP16" s="7">
        <v>0</v>
      </c>
      <c r="AQ16" s="7">
        <v>0</v>
      </c>
      <c r="AR16" s="7">
        <v>0</v>
      </c>
      <c r="AS16" s="7">
        <v>6472.7045476794692</v>
      </c>
      <c r="AT16" s="7">
        <v>4377.3427204218297</v>
      </c>
      <c r="AU16" s="7">
        <v>4278.3907900893928</v>
      </c>
    </row>
    <row r="17" spans="1:47" x14ac:dyDescent="0.35">
      <c r="A17" s="5">
        <v>46022</v>
      </c>
      <c r="B17" s="4" t="s">
        <v>135</v>
      </c>
      <c r="C17" s="4" t="s">
        <v>136</v>
      </c>
      <c r="D17" s="4" t="s">
        <v>137</v>
      </c>
      <c r="E17" s="4" t="s">
        <v>134</v>
      </c>
      <c r="F17" s="6">
        <v>34</v>
      </c>
      <c r="G17" s="6">
        <v>99.5</v>
      </c>
      <c r="H17" s="7">
        <v>0</v>
      </c>
      <c r="I17" s="7">
        <v>0</v>
      </c>
      <c r="J17" s="7">
        <v>0</v>
      </c>
      <c r="K17" s="7">
        <v>0</v>
      </c>
      <c r="L17" s="7">
        <v>0</v>
      </c>
      <c r="M17" s="7">
        <v>0</v>
      </c>
      <c r="N17" s="7">
        <v>0</v>
      </c>
      <c r="O17" s="7">
        <v>0</v>
      </c>
      <c r="P17" s="7">
        <v>0</v>
      </c>
      <c r="Q17" s="7">
        <v>0</v>
      </c>
      <c r="R17" s="7">
        <v>869.80369700000006</v>
      </c>
      <c r="S17" s="7">
        <v>2605.7697619999999</v>
      </c>
      <c r="T17" s="7">
        <v>477.85819199999997</v>
      </c>
      <c r="U17" s="7">
        <v>2690.9434580000002</v>
      </c>
      <c r="V17" s="7">
        <v>6644.3751089999996</v>
      </c>
      <c r="W17" s="7">
        <v>6644.3751089999996</v>
      </c>
      <c r="X17" s="7">
        <v>291.40975396648929</v>
      </c>
      <c r="Y17" s="7">
        <v>6935.7848629664886</v>
      </c>
      <c r="Z17" s="7">
        <v>43</v>
      </c>
      <c r="AA17" s="7">
        <v>277.62195717332838</v>
      </c>
      <c r="AB17" s="7">
        <v>7256.4068201398168</v>
      </c>
      <c r="AC17" s="7">
        <v>23.872754920648902</v>
      </c>
      <c r="AD17" s="7">
        <v>1527.8796988832501</v>
      </c>
      <c r="AE17" s="7">
        <v>0</v>
      </c>
      <c r="AF17" s="7">
        <v>0</v>
      </c>
      <c r="AG17" s="7">
        <v>8808.1592739437165</v>
      </c>
      <c r="AH17" s="7">
        <v>7256.4068201398168</v>
      </c>
      <c r="AI17" s="7">
        <v>235.29373282759619</v>
      </c>
      <c r="AJ17" s="7">
        <v>23.872754920648902</v>
      </c>
      <c r="AK17" s="7">
        <v>0</v>
      </c>
      <c r="AL17" s="7">
        <v>663.23420829528868</v>
      </c>
      <c r="AM17" s="7">
        <v>8178.8075161833513</v>
      </c>
      <c r="AN17" s="7">
        <v>0</v>
      </c>
      <c r="AO17" s="7">
        <v>0</v>
      </c>
      <c r="AP17" s="7">
        <v>0</v>
      </c>
      <c r="AQ17" s="7">
        <v>0</v>
      </c>
      <c r="AR17" s="7">
        <v>0</v>
      </c>
      <c r="AS17" s="7">
        <v>8178.8075161833513</v>
      </c>
      <c r="AT17" s="7">
        <v>814.7461132363054</v>
      </c>
      <c r="AU17" s="7">
        <v>494.12415606297702</v>
      </c>
    </row>
    <row r="18" spans="1:47" x14ac:dyDescent="0.35">
      <c r="A18" s="5">
        <v>46022</v>
      </c>
      <c r="B18" s="4" t="s">
        <v>138</v>
      </c>
      <c r="C18" s="4" t="s">
        <v>139</v>
      </c>
      <c r="D18" s="4" t="s">
        <v>66</v>
      </c>
      <c r="E18" s="4" t="s">
        <v>134</v>
      </c>
      <c r="F18" s="6">
        <v>40.002000000000002</v>
      </c>
      <c r="G18" s="6">
        <v>99.4</v>
      </c>
      <c r="H18" s="7">
        <v>0</v>
      </c>
      <c r="I18" s="7">
        <v>0</v>
      </c>
      <c r="J18" s="7">
        <v>0</v>
      </c>
      <c r="K18" s="7">
        <v>0</v>
      </c>
      <c r="L18" s="7">
        <v>0</v>
      </c>
      <c r="M18" s="7">
        <v>0</v>
      </c>
      <c r="N18" s="7">
        <v>0</v>
      </c>
      <c r="O18" s="7">
        <v>0</v>
      </c>
      <c r="P18" s="7">
        <v>0</v>
      </c>
      <c r="Q18" s="7">
        <v>0</v>
      </c>
      <c r="R18" s="7">
        <v>289.67884700000002</v>
      </c>
      <c r="S18" s="7">
        <v>1260.592907</v>
      </c>
      <c r="T18" s="7">
        <v>1038.090316</v>
      </c>
      <c r="U18" s="7">
        <v>2910.4019029999999</v>
      </c>
      <c r="V18" s="7">
        <v>5498.7639730000001</v>
      </c>
      <c r="W18" s="7">
        <v>5498.7639730000001</v>
      </c>
      <c r="X18" s="7">
        <v>80.031604856249999</v>
      </c>
      <c r="Y18" s="7">
        <v>5578.79557785625</v>
      </c>
      <c r="Z18" s="7">
        <v>0</v>
      </c>
      <c r="AA18" s="7">
        <v>921.36434299175335</v>
      </c>
      <c r="AB18" s="7">
        <v>6500.1599208480029</v>
      </c>
      <c r="AC18" s="7">
        <v>0</v>
      </c>
      <c r="AD18" s="7">
        <v>948.87504842542126</v>
      </c>
      <c r="AE18" s="7">
        <v>0</v>
      </c>
      <c r="AF18" s="7">
        <v>0</v>
      </c>
      <c r="AG18" s="7">
        <v>7449.0349692734253</v>
      </c>
      <c r="AH18" s="7">
        <v>6500.1599208480029</v>
      </c>
      <c r="AI18" s="7">
        <v>624.83708723483153</v>
      </c>
      <c r="AJ18" s="7">
        <v>0</v>
      </c>
      <c r="AK18" s="7">
        <v>129.8107604647472</v>
      </c>
      <c r="AL18" s="7">
        <v>274.88027662661523</v>
      </c>
      <c r="AM18" s="7">
        <v>7529.6880451741972</v>
      </c>
      <c r="AN18" s="7">
        <v>0</v>
      </c>
      <c r="AO18" s="7">
        <v>0</v>
      </c>
      <c r="AP18" s="7">
        <v>0</v>
      </c>
      <c r="AQ18" s="7">
        <v>0</v>
      </c>
      <c r="AR18" s="7">
        <v>0</v>
      </c>
      <c r="AS18" s="7">
        <v>7529.6880451741972</v>
      </c>
      <c r="AT18" s="7">
        <v>4693.4895544013098</v>
      </c>
      <c r="AU18" s="7">
        <v>3772.1252114095569</v>
      </c>
    </row>
    <row r="19" spans="1:47" x14ac:dyDescent="0.35">
      <c r="A19" s="5">
        <v>46022</v>
      </c>
      <c r="B19" s="4" t="s">
        <v>140</v>
      </c>
      <c r="C19" s="4" t="s">
        <v>141</v>
      </c>
      <c r="D19" s="4" t="s">
        <v>137</v>
      </c>
      <c r="E19" s="4" t="s">
        <v>134</v>
      </c>
      <c r="F19" s="6">
        <v>6.69</v>
      </c>
      <c r="G19" s="6">
        <v>99.5</v>
      </c>
      <c r="H19" s="7">
        <v>0</v>
      </c>
      <c r="I19" s="7">
        <v>0</v>
      </c>
      <c r="J19" s="7">
        <v>0</v>
      </c>
      <c r="K19" s="7">
        <v>0</v>
      </c>
      <c r="L19" s="7">
        <v>0</v>
      </c>
      <c r="M19" s="7">
        <v>0</v>
      </c>
      <c r="N19" s="7">
        <v>0</v>
      </c>
      <c r="O19" s="7">
        <v>0</v>
      </c>
      <c r="P19" s="7">
        <v>0</v>
      </c>
      <c r="Q19" s="7">
        <v>0</v>
      </c>
      <c r="R19" s="7">
        <v>1807.4875460000001</v>
      </c>
      <c r="S19" s="7">
        <v>3003.4882149999999</v>
      </c>
      <c r="T19" s="7">
        <v>1073.1998490000001</v>
      </c>
      <c r="U19" s="7">
        <v>2146.4839980000002</v>
      </c>
      <c r="V19" s="7">
        <v>8030.6596079999999</v>
      </c>
      <c r="W19" s="7">
        <v>8030.6596079999999</v>
      </c>
      <c r="X19" s="7">
        <v>340.55547751565769</v>
      </c>
      <c r="Y19" s="7">
        <v>8371.2150855156578</v>
      </c>
      <c r="Z19" s="7">
        <v>32.685839999999999</v>
      </c>
      <c r="AA19" s="7">
        <v>372.15000513241949</v>
      </c>
      <c r="AB19" s="7">
        <v>8776.0509306480762</v>
      </c>
      <c r="AC19" s="7">
        <v>0</v>
      </c>
      <c r="AD19" s="7">
        <v>6025.4014635058156</v>
      </c>
      <c r="AE19" s="7">
        <v>0</v>
      </c>
      <c r="AF19" s="7">
        <v>0</v>
      </c>
      <c r="AG19" s="7">
        <v>14801.45239415389</v>
      </c>
      <c r="AH19" s="7">
        <v>8776.0509306480762</v>
      </c>
      <c r="AI19" s="7">
        <v>1204.5969690923571</v>
      </c>
      <c r="AJ19" s="7">
        <v>0</v>
      </c>
      <c r="AK19" s="7">
        <v>0</v>
      </c>
      <c r="AL19" s="7">
        <v>4204.2311187350688</v>
      </c>
      <c r="AM19" s="7">
        <v>14184.8790184755</v>
      </c>
      <c r="AN19" s="7">
        <v>0</v>
      </c>
      <c r="AO19" s="7">
        <v>0</v>
      </c>
      <c r="AP19" s="7">
        <v>0</v>
      </c>
      <c r="AQ19" s="7">
        <v>0</v>
      </c>
      <c r="AR19" s="7">
        <v>0</v>
      </c>
      <c r="AS19" s="7">
        <v>14184.8790184755</v>
      </c>
      <c r="AT19" s="7">
        <v>4033.7850855649922</v>
      </c>
      <c r="AU19" s="7">
        <v>3628.9492404325729</v>
      </c>
    </row>
    <row r="20" spans="1:47" x14ac:dyDescent="0.35">
      <c r="A20" s="5">
        <v>46022</v>
      </c>
      <c r="B20" s="4" t="s">
        <v>142</v>
      </c>
      <c r="C20" s="4" t="s">
        <v>143</v>
      </c>
      <c r="D20" s="4" t="s">
        <v>66</v>
      </c>
      <c r="E20" s="4" t="s">
        <v>134</v>
      </c>
      <c r="F20" s="6">
        <v>25</v>
      </c>
      <c r="G20" s="6">
        <v>99.5</v>
      </c>
      <c r="H20" s="7">
        <v>0</v>
      </c>
      <c r="I20" s="7">
        <v>0</v>
      </c>
      <c r="J20" s="7">
        <v>0</v>
      </c>
      <c r="K20" s="7">
        <v>0</v>
      </c>
      <c r="L20" s="7">
        <v>0</v>
      </c>
      <c r="M20" s="7">
        <v>0</v>
      </c>
      <c r="N20" s="7">
        <v>0</v>
      </c>
      <c r="O20" s="7">
        <v>0</v>
      </c>
      <c r="P20" s="7">
        <v>0</v>
      </c>
      <c r="Q20" s="7">
        <v>0</v>
      </c>
      <c r="R20" s="7">
        <v>532.99496099999999</v>
      </c>
      <c r="S20" s="7">
        <v>1102.397657</v>
      </c>
      <c r="T20" s="7">
        <v>1031.393178</v>
      </c>
      <c r="U20" s="7">
        <v>2649.726036</v>
      </c>
      <c r="V20" s="7">
        <v>5316.5118329999996</v>
      </c>
      <c r="W20" s="7">
        <v>5316.5118329999996</v>
      </c>
      <c r="X20" s="7">
        <v>115.3143571258427</v>
      </c>
      <c r="Y20" s="7">
        <v>5431.826190125842</v>
      </c>
      <c r="Z20" s="7">
        <v>0</v>
      </c>
      <c r="AA20" s="7">
        <v>914.24758234460114</v>
      </c>
      <c r="AB20" s="7">
        <v>6346.0737724704431</v>
      </c>
      <c r="AC20" s="7">
        <v>0</v>
      </c>
      <c r="AD20" s="7">
        <v>750.78870389276688</v>
      </c>
      <c r="AE20" s="7">
        <v>0</v>
      </c>
      <c r="AF20" s="7">
        <v>0</v>
      </c>
      <c r="AG20" s="7">
        <v>7096.8624763632097</v>
      </c>
      <c r="AH20" s="7">
        <v>6346.0737724704431</v>
      </c>
      <c r="AI20" s="7">
        <v>478.3852603514747</v>
      </c>
      <c r="AJ20" s="7">
        <v>0</v>
      </c>
      <c r="AK20" s="7">
        <v>0</v>
      </c>
      <c r="AL20" s="7">
        <v>265.76958941741572</v>
      </c>
      <c r="AM20" s="7">
        <v>7090.2286222393341</v>
      </c>
      <c r="AN20" s="7">
        <v>0</v>
      </c>
      <c r="AO20" s="7">
        <v>0</v>
      </c>
      <c r="AP20" s="7">
        <v>0</v>
      </c>
      <c r="AQ20" s="7">
        <v>0</v>
      </c>
      <c r="AR20" s="7">
        <v>0</v>
      </c>
      <c r="AS20" s="7">
        <v>7090.2286222393341</v>
      </c>
      <c r="AT20" s="7">
        <v>4840.459088870607</v>
      </c>
      <c r="AU20" s="7">
        <v>3926.211506526005</v>
      </c>
    </row>
    <row r="21" spans="1:47" x14ac:dyDescent="0.35">
      <c r="A21" s="5">
        <v>46022</v>
      </c>
      <c r="B21" s="4" t="s">
        <v>57</v>
      </c>
      <c r="C21" s="4" t="s">
        <v>58</v>
      </c>
      <c r="D21" s="4" t="s">
        <v>53</v>
      </c>
      <c r="E21" s="4" t="s">
        <v>132</v>
      </c>
      <c r="F21" s="6">
        <v>354.61067000000003</v>
      </c>
      <c r="G21" s="6">
        <v>6</v>
      </c>
      <c r="H21" s="7">
        <v>6.7792963550279461</v>
      </c>
      <c r="I21" s="7">
        <v>24.116292000000001</v>
      </c>
      <c r="J21" s="7">
        <v>11.26177613620221</v>
      </c>
      <c r="K21" s="7">
        <v>93.974928886461882</v>
      </c>
      <c r="L21" s="7">
        <v>136.13229337769201</v>
      </c>
      <c r="M21" s="7">
        <v>14.508747843234239</v>
      </c>
      <c r="N21" s="7">
        <v>39.66017878118415</v>
      </c>
      <c r="O21" s="7">
        <v>46.170955250755959</v>
      </c>
      <c r="P21" s="7">
        <v>68.86484608485928</v>
      </c>
      <c r="Q21" s="7">
        <v>169.20472796003361</v>
      </c>
      <c r="R21" s="7">
        <v>0</v>
      </c>
      <c r="S21" s="7">
        <v>0</v>
      </c>
      <c r="T21" s="7">
        <v>0</v>
      </c>
      <c r="U21" s="7">
        <v>0</v>
      </c>
      <c r="V21" s="7">
        <v>0</v>
      </c>
      <c r="W21" s="7">
        <v>305.33702133772567</v>
      </c>
      <c r="X21" s="7">
        <v>172.6963154736971</v>
      </c>
      <c r="Y21" s="7">
        <v>478.03333681142271</v>
      </c>
      <c r="Z21" s="7">
        <v>30</v>
      </c>
      <c r="AA21" s="7">
        <v>53.363339760465998</v>
      </c>
      <c r="AB21" s="7">
        <v>561.39667657188875</v>
      </c>
      <c r="AC21" s="7">
        <v>0.80000263804389038</v>
      </c>
      <c r="AD21" s="7">
        <v>43.337664907856421</v>
      </c>
      <c r="AE21" s="7">
        <v>0</v>
      </c>
      <c r="AF21" s="7">
        <v>0</v>
      </c>
      <c r="AG21" s="7">
        <v>605.53434411778903</v>
      </c>
      <c r="AH21" s="7">
        <v>561.39667657188875</v>
      </c>
      <c r="AI21" s="7">
        <v>15.266855343127069</v>
      </c>
      <c r="AJ21" s="7">
        <v>0.80000263804389038</v>
      </c>
      <c r="AK21" s="7">
        <v>0</v>
      </c>
      <c r="AL21" s="7">
        <v>5.9400195874758861</v>
      </c>
      <c r="AM21" s="7">
        <v>583.40355414053556</v>
      </c>
      <c r="AN21" s="7">
        <v>0</v>
      </c>
      <c r="AO21" s="7">
        <v>0</v>
      </c>
      <c r="AP21" s="7">
        <v>0</v>
      </c>
      <c r="AQ21" s="7">
        <v>0</v>
      </c>
      <c r="AR21" s="7">
        <v>0</v>
      </c>
      <c r="AS21" s="7">
        <v>583.40355414053556</v>
      </c>
      <c r="AT21" s="7">
        <v>411.35565083610481</v>
      </c>
      <c r="AU21" s="7">
        <v>327.99231107563878</v>
      </c>
    </row>
    <row r="22" spans="1:47" x14ac:dyDescent="0.35">
      <c r="A22" s="5">
        <v>46022</v>
      </c>
      <c r="B22" s="4" t="s">
        <v>59</v>
      </c>
      <c r="C22" s="4" t="s">
        <v>60</v>
      </c>
      <c r="D22" s="4" t="s">
        <v>61</v>
      </c>
      <c r="E22" s="4" t="s">
        <v>132</v>
      </c>
      <c r="F22" s="6">
        <v>1352.6859999999999</v>
      </c>
      <c r="G22" s="6">
        <v>6</v>
      </c>
      <c r="H22" s="7">
        <v>56.764861621578952</v>
      </c>
      <c r="I22" s="7">
        <v>25.003684</v>
      </c>
      <c r="J22" s="7">
        <v>1.448733123947368</v>
      </c>
      <c r="K22" s="7">
        <v>63.344371379210529</v>
      </c>
      <c r="L22" s="7">
        <v>146.5616501247369</v>
      </c>
      <c r="M22" s="7">
        <v>27.33600573</v>
      </c>
      <c r="N22" s="7">
        <v>6.3271523865789474</v>
      </c>
      <c r="O22" s="7">
        <v>12.12535439052632</v>
      </c>
      <c r="P22" s="7">
        <v>48.91182907973684</v>
      </c>
      <c r="Q22" s="7">
        <v>94.700341586842114</v>
      </c>
      <c r="R22" s="7">
        <v>0</v>
      </c>
      <c r="S22" s="7">
        <v>0</v>
      </c>
      <c r="T22" s="7">
        <v>0</v>
      </c>
      <c r="U22" s="7">
        <v>0</v>
      </c>
      <c r="V22" s="7">
        <v>0</v>
      </c>
      <c r="W22" s="7">
        <v>241.26199171157899</v>
      </c>
      <c r="X22" s="7">
        <v>25.689868697368421</v>
      </c>
      <c r="Y22" s="7">
        <v>266.95186040894743</v>
      </c>
      <c r="Z22" s="7">
        <v>45.09328</v>
      </c>
      <c r="AA22" s="7">
        <v>35.1903367290112</v>
      </c>
      <c r="AB22" s="7">
        <v>347.23547713795858</v>
      </c>
      <c r="AC22" s="7">
        <v>1.226129373947368</v>
      </c>
      <c r="AD22" s="7">
        <v>94.807853464736851</v>
      </c>
      <c r="AE22" s="7">
        <v>0</v>
      </c>
      <c r="AF22" s="7">
        <v>0</v>
      </c>
      <c r="AG22" s="7">
        <v>443.26945997664279</v>
      </c>
      <c r="AH22" s="7">
        <v>347.23547713795858</v>
      </c>
      <c r="AI22" s="7">
        <v>17.665836591315792</v>
      </c>
      <c r="AJ22" s="7">
        <v>1.226129373947368</v>
      </c>
      <c r="AK22" s="7">
        <v>0.1991149413157895</v>
      </c>
      <c r="AL22" s="7">
        <v>29.851618552105268</v>
      </c>
      <c r="AM22" s="7">
        <v>396.1781765966428</v>
      </c>
      <c r="AN22" s="7">
        <v>0</v>
      </c>
      <c r="AO22" s="7">
        <v>0</v>
      </c>
      <c r="AP22" s="7">
        <v>0</v>
      </c>
      <c r="AQ22" s="7">
        <v>0</v>
      </c>
      <c r="AR22" s="7">
        <v>0</v>
      </c>
      <c r="AS22" s="7">
        <v>396.1781765966428</v>
      </c>
      <c r="AT22" s="7">
        <v>505.63100774634017</v>
      </c>
      <c r="AU22" s="7">
        <v>425.34739101732902</v>
      </c>
    </row>
    <row r="23" spans="1:47" x14ac:dyDescent="0.35">
      <c r="A23" s="5">
        <v>46022</v>
      </c>
      <c r="B23" s="4" t="s">
        <v>59</v>
      </c>
      <c r="C23" s="4" t="s">
        <v>60</v>
      </c>
      <c r="D23" s="4" t="s">
        <v>61</v>
      </c>
      <c r="E23" s="4" t="s">
        <v>133</v>
      </c>
      <c r="F23" s="6">
        <v>8.5830000000000002</v>
      </c>
      <c r="G23" s="6">
        <v>56.5</v>
      </c>
      <c r="H23" s="7">
        <v>989.53183488552645</v>
      </c>
      <c r="I23" s="7">
        <v>435.86720500000001</v>
      </c>
      <c r="J23" s="7">
        <v>25.25449664368421</v>
      </c>
      <c r="K23" s="7">
        <v>1104.2266237792101</v>
      </c>
      <c r="L23" s="7">
        <v>2554.8801603084212</v>
      </c>
      <c r="M23" s="7">
        <v>476.52451131078948</v>
      </c>
      <c r="N23" s="7">
        <v>110.29566816000001</v>
      </c>
      <c r="O23" s="7">
        <v>211.37062135263159</v>
      </c>
      <c r="P23" s="7">
        <v>852.63682734947383</v>
      </c>
      <c r="Q23" s="7">
        <v>1650.8276281728949</v>
      </c>
      <c r="R23" s="7">
        <v>939.51704800000005</v>
      </c>
      <c r="S23" s="7">
        <v>898.69555100000002</v>
      </c>
      <c r="T23" s="7">
        <v>3855.8659779999998</v>
      </c>
      <c r="U23" s="7">
        <v>3651.8908449999999</v>
      </c>
      <c r="V23" s="7">
        <v>9345.9694230000005</v>
      </c>
      <c r="W23" s="7">
        <v>13551.677211481319</v>
      </c>
      <c r="X23" s="7">
        <v>85.516184486842107</v>
      </c>
      <c r="Y23" s="7">
        <v>13637.193395968159</v>
      </c>
      <c r="Z23" s="7">
        <v>400</v>
      </c>
      <c r="AA23" s="7">
        <v>579.70859050121635</v>
      </c>
      <c r="AB23" s="7">
        <v>14616.901986469369</v>
      </c>
      <c r="AC23" s="7">
        <v>21.374026195263159</v>
      </c>
      <c r="AD23" s="7">
        <v>1652.7017882226321</v>
      </c>
      <c r="AE23" s="7">
        <v>0</v>
      </c>
      <c r="AF23" s="7">
        <v>0</v>
      </c>
      <c r="AG23" s="7">
        <v>16290.977800887271</v>
      </c>
      <c r="AH23" s="7">
        <v>14616.901986469369</v>
      </c>
      <c r="AI23" s="7">
        <v>307.95295923947373</v>
      </c>
      <c r="AJ23" s="7">
        <v>21.374026195263159</v>
      </c>
      <c r="AK23" s="7">
        <v>3.4709962097368421</v>
      </c>
      <c r="AL23" s="7">
        <v>520.37696347342114</v>
      </c>
      <c r="AM23" s="7">
        <v>15470.076931587269</v>
      </c>
      <c r="AN23" s="7">
        <v>0</v>
      </c>
      <c r="AO23" s="7">
        <v>0</v>
      </c>
      <c r="AP23" s="7">
        <v>0</v>
      </c>
      <c r="AQ23" s="7">
        <v>0</v>
      </c>
      <c r="AR23" s="7">
        <v>0</v>
      </c>
      <c r="AS23" s="7">
        <v>15470.076931587269</v>
      </c>
      <c r="AT23" s="7">
        <v>-910.03667221912633</v>
      </c>
      <c r="AU23" s="7">
        <v>-1889.7452627203429</v>
      </c>
    </row>
    <row r="24" spans="1:47" x14ac:dyDescent="0.35">
      <c r="A24" s="5">
        <v>46022</v>
      </c>
      <c r="B24" s="4" t="s">
        <v>62</v>
      </c>
      <c r="C24" s="4" t="s">
        <v>63</v>
      </c>
      <c r="D24" s="4" t="s">
        <v>56</v>
      </c>
      <c r="E24" s="4" t="s">
        <v>132</v>
      </c>
      <c r="F24" s="6">
        <v>237.73585</v>
      </c>
      <c r="G24" s="6">
        <v>5.3</v>
      </c>
      <c r="H24" s="7">
        <v>82.981544554452697</v>
      </c>
      <c r="I24" s="7">
        <v>75.483500000000006</v>
      </c>
      <c r="J24" s="7">
        <v>4.9839386251391469</v>
      </c>
      <c r="K24" s="7">
        <v>111.3272228412802</v>
      </c>
      <c r="L24" s="7">
        <v>274.776206020872</v>
      </c>
      <c r="M24" s="7">
        <v>18.96820926261595</v>
      </c>
      <c r="N24" s="7">
        <v>0</v>
      </c>
      <c r="O24" s="7">
        <v>8.2646062678107608</v>
      </c>
      <c r="P24" s="7">
        <v>99.51723448914656</v>
      </c>
      <c r="Q24" s="7">
        <v>126.75005001957329</v>
      </c>
      <c r="R24" s="7">
        <v>0</v>
      </c>
      <c r="S24" s="7">
        <v>0</v>
      </c>
      <c r="T24" s="7">
        <v>0</v>
      </c>
      <c r="U24" s="7">
        <v>0</v>
      </c>
      <c r="V24" s="7">
        <v>0</v>
      </c>
      <c r="W24" s="7">
        <v>401.52625604044528</v>
      </c>
      <c r="X24" s="7">
        <v>51.862533557977741</v>
      </c>
      <c r="Y24" s="7">
        <v>453.38878959842299</v>
      </c>
      <c r="Z24" s="7">
        <v>55.807001999999997</v>
      </c>
      <c r="AA24" s="7">
        <v>22.06243308371544</v>
      </c>
      <c r="AB24" s="7">
        <v>531.25822468213835</v>
      </c>
      <c r="AC24" s="7">
        <v>29.44171260445269</v>
      </c>
      <c r="AD24" s="7">
        <v>110.9800370507421</v>
      </c>
      <c r="AE24" s="7">
        <v>0</v>
      </c>
      <c r="AF24" s="7">
        <v>0</v>
      </c>
      <c r="AG24" s="7">
        <v>671.67997433733331</v>
      </c>
      <c r="AH24" s="7">
        <v>531.25822468213835</v>
      </c>
      <c r="AI24" s="7">
        <v>105.14897501577001</v>
      </c>
      <c r="AJ24" s="7">
        <v>29.44171260445269</v>
      </c>
      <c r="AK24" s="7">
        <v>10.514897501576989</v>
      </c>
      <c r="AL24" s="7">
        <v>68.258273476252313</v>
      </c>
      <c r="AM24" s="7">
        <v>744.6220832801904</v>
      </c>
      <c r="AN24" s="7">
        <v>0</v>
      </c>
      <c r="AO24" s="7">
        <v>33.647672405009267</v>
      </c>
      <c r="AP24" s="7">
        <v>0</v>
      </c>
      <c r="AQ24" s="7">
        <v>0</v>
      </c>
      <c r="AR24" s="7">
        <v>0</v>
      </c>
      <c r="AS24" s="7">
        <v>778.2697556851997</v>
      </c>
      <c r="AT24" s="7">
        <v>182.4500279367935</v>
      </c>
      <c r="AU24" s="7">
        <v>104.580592853078</v>
      </c>
    </row>
    <row r="25" spans="1:47" x14ac:dyDescent="0.35">
      <c r="A25" s="5">
        <v>46022</v>
      </c>
      <c r="B25" s="4" t="s">
        <v>64</v>
      </c>
      <c r="C25" s="4" t="s">
        <v>65</v>
      </c>
      <c r="D25" s="4" t="s">
        <v>66</v>
      </c>
      <c r="E25" s="4" t="s">
        <v>132</v>
      </c>
      <c r="F25" s="6">
        <v>185.61399</v>
      </c>
      <c r="G25" s="6">
        <v>6</v>
      </c>
      <c r="H25" s="7">
        <v>22.34145507094857</v>
      </c>
      <c r="I25" s="7">
        <v>41.316292923299997</v>
      </c>
      <c r="J25" s="7">
        <v>8.8193615478089882</v>
      </c>
      <c r="K25" s="7">
        <v>108.1832815749181</v>
      </c>
      <c r="L25" s="7">
        <v>180.6603911169756</v>
      </c>
      <c r="M25" s="7">
        <v>9.6359910836431286</v>
      </c>
      <c r="N25" s="7">
        <v>15.659215183154719</v>
      </c>
      <c r="O25" s="7">
        <v>18.006927971685389</v>
      </c>
      <c r="P25" s="7">
        <v>52.373355023672197</v>
      </c>
      <c r="Q25" s="7">
        <v>95.675489262155438</v>
      </c>
      <c r="R25" s="7">
        <v>0</v>
      </c>
      <c r="S25" s="7">
        <v>0</v>
      </c>
      <c r="T25" s="7">
        <v>0</v>
      </c>
      <c r="U25" s="7">
        <v>0</v>
      </c>
      <c r="V25" s="7">
        <v>0</v>
      </c>
      <c r="W25" s="7">
        <v>276.33588037913108</v>
      </c>
      <c r="X25" s="7">
        <v>12.787668074303941</v>
      </c>
      <c r="Y25" s="7">
        <v>289.12354845343498</v>
      </c>
      <c r="Z25" s="7">
        <v>0</v>
      </c>
      <c r="AA25" s="7">
        <v>35.457849501816497</v>
      </c>
      <c r="AB25" s="7">
        <v>324.58139795525148</v>
      </c>
      <c r="AC25" s="7">
        <v>7.9047931480337077</v>
      </c>
      <c r="AD25" s="7">
        <v>10.726215697471909</v>
      </c>
      <c r="AE25" s="7">
        <v>0</v>
      </c>
      <c r="AF25" s="7">
        <v>0</v>
      </c>
      <c r="AG25" s="7">
        <v>343.21240680075709</v>
      </c>
      <c r="AH25" s="7">
        <v>324.58139795525148</v>
      </c>
      <c r="AI25" s="7">
        <v>96.383462443065994</v>
      </c>
      <c r="AJ25" s="7">
        <v>7.9047931480337077</v>
      </c>
      <c r="AK25" s="7">
        <v>0</v>
      </c>
      <c r="AL25" s="7">
        <v>2.1194877061291351</v>
      </c>
      <c r="AM25" s="7">
        <v>430.98914125248041</v>
      </c>
      <c r="AN25" s="7">
        <v>0</v>
      </c>
      <c r="AO25" s="7">
        <v>0</v>
      </c>
      <c r="AP25" s="7">
        <v>0</v>
      </c>
      <c r="AQ25" s="7">
        <v>0</v>
      </c>
      <c r="AR25" s="7">
        <v>0</v>
      </c>
      <c r="AS25" s="7">
        <v>430.98914125248041</v>
      </c>
      <c r="AT25" s="7">
        <v>498.8286501310339</v>
      </c>
      <c r="AU25" s="7">
        <v>463.3708006292174</v>
      </c>
    </row>
    <row r="26" spans="1:47" x14ac:dyDescent="0.35">
      <c r="A26" s="5">
        <v>46022</v>
      </c>
      <c r="B26" s="4" t="s">
        <v>67</v>
      </c>
      <c r="C26" s="4" t="s">
        <v>68</v>
      </c>
      <c r="D26" s="4" t="s">
        <v>48</v>
      </c>
      <c r="E26" s="4" t="s">
        <v>132</v>
      </c>
      <c r="F26" s="6">
        <v>304.34782999999999</v>
      </c>
      <c r="G26" s="6">
        <v>5.5</v>
      </c>
      <c r="H26" s="7">
        <v>44.272517999999998</v>
      </c>
      <c r="I26" s="7">
        <v>35.388196000000001</v>
      </c>
      <c r="J26" s="7">
        <v>4.3134209999999999</v>
      </c>
      <c r="K26" s="7">
        <v>68.585319999999996</v>
      </c>
      <c r="L26" s="7">
        <v>152.55945500000001</v>
      </c>
      <c r="M26" s="7">
        <v>19.914052999999999</v>
      </c>
      <c r="N26" s="7">
        <v>7.573804</v>
      </c>
      <c r="O26" s="7">
        <v>42.701751999999999</v>
      </c>
      <c r="P26" s="7">
        <v>14.324935</v>
      </c>
      <c r="Q26" s="7">
        <v>84.514544000000001</v>
      </c>
      <c r="R26" s="7">
        <v>0</v>
      </c>
      <c r="S26" s="7">
        <v>0</v>
      </c>
      <c r="T26" s="7">
        <v>0</v>
      </c>
      <c r="U26" s="7">
        <v>0</v>
      </c>
      <c r="V26" s="7">
        <v>0</v>
      </c>
      <c r="W26" s="7">
        <v>237.07399899999999</v>
      </c>
      <c r="X26" s="7">
        <v>142.97528299999999</v>
      </c>
      <c r="Y26" s="7">
        <v>380.04928200000001</v>
      </c>
      <c r="Z26" s="7">
        <v>35</v>
      </c>
      <c r="AA26" s="7">
        <v>13.664751467703169</v>
      </c>
      <c r="AB26" s="7">
        <v>428.71403346770319</v>
      </c>
      <c r="AC26" s="7">
        <v>0</v>
      </c>
      <c r="AD26" s="7">
        <v>93.434672000000006</v>
      </c>
      <c r="AE26" s="7">
        <v>0</v>
      </c>
      <c r="AF26" s="7">
        <v>0</v>
      </c>
      <c r="AG26" s="7">
        <v>522.14870546770317</v>
      </c>
      <c r="AH26" s="7">
        <v>428.71403346770319</v>
      </c>
      <c r="AI26" s="7">
        <v>21.778438000000001</v>
      </c>
      <c r="AJ26" s="7">
        <v>0</v>
      </c>
      <c r="AK26" s="7">
        <v>0</v>
      </c>
      <c r="AL26" s="7">
        <v>23.7074</v>
      </c>
      <c r="AM26" s="7">
        <v>474.19987146770319</v>
      </c>
      <c r="AN26" s="7">
        <v>0</v>
      </c>
      <c r="AO26" s="7">
        <v>0</v>
      </c>
      <c r="AP26" s="7">
        <v>0</v>
      </c>
      <c r="AQ26" s="7">
        <v>0</v>
      </c>
      <c r="AR26" s="7">
        <v>0</v>
      </c>
      <c r="AS26" s="7">
        <v>474.19987146770319</v>
      </c>
      <c r="AT26" s="7">
        <v>303.18827173036578</v>
      </c>
      <c r="AU26" s="7">
        <v>254.52352026266271</v>
      </c>
    </row>
    <row r="27" spans="1:47" x14ac:dyDescent="0.35">
      <c r="A27" s="5">
        <v>46022</v>
      </c>
      <c r="B27" s="4" t="s">
        <v>69</v>
      </c>
      <c r="C27" s="4" t="s">
        <v>70</v>
      </c>
      <c r="D27" s="4" t="s">
        <v>61</v>
      </c>
      <c r="E27" s="4" t="s">
        <v>132</v>
      </c>
      <c r="F27" s="6">
        <v>361.38233000000002</v>
      </c>
      <c r="G27" s="6">
        <v>5.101</v>
      </c>
      <c r="H27" s="7">
        <v>137.58298524</v>
      </c>
      <c r="I27" s="7">
        <v>75.089404999999999</v>
      </c>
      <c r="J27" s="7">
        <v>17.417338017631579</v>
      </c>
      <c r="K27" s="7">
        <v>55.372161824999999</v>
      </c>
      <c r="L27" s="7">
        <v>285.46189008263161</v>
      </c>
      <c r="M27" s="7">
        <v>36.206963092894739</v>
      </c>
      <c r="N27" s="7">
        <v>42.757810062631577</v>
      </c>
      <c r="O27" s="7">
        <v>19.25017802526316</v>
      </c>
      <c r="P27" s="7">
        <v>45.360238845789468</v>
      </c>
      <c r="Q27" s="7">
        <v>143.57519002657901</v>
      </c>
      <c r="R27" s="7">
        <v>0</v>
      </c>
      <c r="S27" s="7">
        <v>0</v>
      </c>
      <c r="T27" s="7">
        <v>0</v>
      </c>
      <c r="U27" s="7">
        <v>0</v>
      </c>
      <c r="V27" s="7">
        <v>0</v>
      </c>
      <c r="W27" s="7">
        <v>429.03708010921048</v>
      </c>
      <c r="X27" s="7">
        <v>103.7355820128947</v>
      </c>
      <c r="Y27" s="7">
        <v>532.77266212210532</v>
      </c>
      <c r="Z27" s="7">
        <v>61.385235999999999</v>
      </c>
      <c r="AA27" s="7">
        <v>42.04211973661635</v>
      </c>
      <c r="AB27" s="7">
        <v>636.20001785872159</v>
      </c>
      <c r="AC27" s="7">
        <v>0</v>
      </c>
      <c r="AD27" s="7">
        <v>185.02708035789479</v>
      </c>
      <c r="AE27" s="7">
        <v>0</v>
      </c>
      <c r="AF27" s="7">
        <v>0</v>
      </c>
      <c r="AG27" s="7">
        <v>821.22709821661635</v>
      </c>
      <c r="AH27" s="7">
        <v>636.20001785872159</v>
      </c>
      <c r="AI27" s="7">
        <v>25.824541722631579</v>
      </c>
      <c r="AJ27" s="7">
        <v>0</v>
      </c>
      <c r="AK27" s="7">
        <v>0</v>
      </c>
      <c r="AL27" s="7">
        <v>128.97981345789481</v>
      </c>
      <c r="AM27" s="7">
        <v>791.00437303924798</v>
      </c>
      <c r="AN27" s="7">
        <v>0</v>
      </c>
      <c r="AO27" s="7">
        <v>0</v>
      </c>
      <c r="AP27" s="7">
        <v>0</v>
      </c>
      <c r="AQ27" s="7">
        <v>0</v>
      </c>
      <c r="AR27" s="7">
        <v>0</v>
      </c>
      <c r="AS27" s="7">
        <v>791.00437303924798</v>
      </c>
      <c r="AT27" s="7">
        <v>199.2928534011123</v>
      </c>
      <c r="AU27" s="7">
        <v>95.865497664495962</v>
      </c>
    </row>
    <row r="28" spans="1:47" x14ac:dyDescent="0.35">
      <c r="A28" s="5">
        <v>46022</v>
      </c>
      <c r="B28" s="4" t="s">
        <v>144</v>
      </c>
      <c r="C28" s="4" t="s">
        <v>145</v>
      </c>
      <c r="D28" s="4" t="s">
        <v>66</v>
      </c>
      <c r="E28" s="4" t="s">
        <v>133</v>
      </c>
      <c r="F28" s="6">
        <v>12</v>
      </c>
      <c r="G28" s="6">
        <v>57</v>
      </c>
      <c r="H28" s="7">
        <v>0</v>
      </c>
      <c r="I28" s="7">
        <v>0</v>
      </c>
      <c r="J28" s="7">
        <v>0</v>
      </c>
      <c r="K28" s="7">
        <v>0</v>
      </c>
      <c r="L28" s="7">
        <v>0</v>
      </c>
      <c r="M28" s="7">
        <v>0</v>
      </c>
      <c r="N28" s="7">
        <v>0</v>
      </c>
      <c r="O28" s="7">
        <v>0</v>
      </c>
      <c r="P28" s="7">
        <v>0</v>
      </c>
      <c r="Q28" s="7">
        <v>0</v>
      </c>
      <c r="R28" s="7">
        <v>677.54591400000004</v>
      </c>
      <c r="S28" s="7">
        <v>719.25593500000002</v>
      </c>
      <c r="T28" s="7">
        <v>617.02796499999999</v>
      </c>
      <c r="U28" s="7">
        <v>3736.5352539999999</v>
      </c>
      <c r="V28" s="7">
        <v>5750.3650680000001</v>
      </c>
      <c r="W28" s="7">
        <v>5750.3650680000001</v>
      </c>
      <c r="X28" s="7">
        <v>115.3143571258427</v>
      </c>
      <c r="Y28" s="7">
        <v>5865.6794251258434</v>
      </c>
      <c r="Z28" s="7">
        <v>0</v>
      </c>
      <c r="AA28" s="7">
        <v>316.17164341796951</v>
      </c>
      <c r="AB28" s="7">
        <v>6181.8510685438123</v>
      </c>
      <c r="AC28" s="7">
        <v>0</v>
      </c>
      <c r="AD28" s="7">
        <v>1497.752808699508</v>
      </c>
      <c r="AE28" s="7">
        <v>0</v>
      </c>
      <c r="AF28" s="7">
        <v>0</v>
      </c>
      <c r="AG28" s="7">
        <v>7679.6038772433212</v>
      </c>
      <c r="AH28" s="7">
        <v>6181.8510685438123</v>
      </c>
      <c r="AI28" s="7">
        <v>172.47460840056181</v>
      </c>
      <c r="AJ28" s="7">
        <v>0</v>
      </c>
      <c r="AK28" s="7">
        <v>0</v>
      </c>
      <c r="AL28" s="7">
        <v>1437.288403671278</v>
      </c>
      <c r="AM28" s="7">
        <v>7791.6140806156518</v>
      </c>
      <c r="AN28" s="7">
        <v>0</v>
      </c>
      <c r="AO28" s="7">
        <v>0</v>
      </c>
      <c r="AP28" s="7">
        <v>0</v>
      </c>
      <c r="AQ28" s="7">
        <v>0</v>
      </c>
      <c r="AR28" s="7">
        <v>0</v>
      </c>
      <c r="AS28" s="7">
        <v>7791.6140806156518</v>
      </c>
      <c r="AT28" s="7">
        <v>4673.375339002976</v>
      </c>
      <c r="AU28" s="7">
        <v>4357.2036955850062</v>
      </c>
    </row>
    <row r="29" spans="1:47" x14ac:dyDescent="0.35">
      <c r="A29" s="5">
        <v>46022</v>
      </c>
      <c r="B29" s="4" t="s">
        <v>146</v>
      </c>
      <c r="C29" s="4" t="s">
        <v>147</v>
      </c>
      <c r="D29" s="4" t="s">
        <v>66</v>
      </c>
      <c r="E29" s="4" t="s">
        <v>132</v>
      </c>
      <c r="F29" s="6">
        <v>175</v>
      </c>
      <c r="G29" s="6">
        <v>5.5</v>
      </c>
      <c r="H29" s="7">
        <v>31.61193177956461</v>
      </c>
      <c r="I29" s="7">
        <v>9.5221699999999991</v>
      </c>
      <c r="J29" s="7">
        <v>24.861978120014051</v>
      </c>
      <c r="K29" s="7">
        <v>118.0869728842697</v>
      </c>
      <c r="L29" s="7">
        <v>184.0830527838483</v>
      </c>
      <c r="M29" s="7">
        <v>16.754658482654499</v>
      </c>
      <c r="N29" s="7">
        <v>7.7735829618679784</v>
      </c>
      <c r="O29" s="7">
        <v>17.161354784199439</v>
      </c>
      <c r="P29" s="7">
        <v>31.883926465238758</v>
      </c>
      <c r="Q29" s="7">
        <v>73.573522693960683</v>
      </c>
      <c r="R29" s="7">
        <v>0</v>
      </c>
      <c r="S29" s="7">
        <v>0</v>
      </c>
      <c r="T29" s="7">
        <v>0</v>
      </c>
      <c r="U29" s="7">
        <v>0</v>
      </c>
      <c r="V29" s="7">
        <v>0</v>
      </c>
      <c r="W29" s="7">
        <v>257.65657547780899</v>
      </c>
      <c r="X29" s="7">
        <v>82.494945784620782</v>
      </c>
      <c r="Y29" s="7">
        <v>340.15152126242981</v>
      </c>
      <c r="Z29" s="7">
        <v>0</v>
      </c>
      <c r="AA29" s="7">
        <v>30.7858727274287</v>
      </c>
      <c r="AB29" s="7">
        <v>370.93739398985849</v>
      </c>
      <c r="AC29" s="7">
        <v>0</v>
      </c>
      <c r="AD29" s="7">
        <v>66.662525969171355</v>
      </c>
      <c r="AE29" s="7">
        <v>0</v>
      </c>
      <c r="AF29" s="7">
        <v>0</v>
      </c>
      <c r="AG29" s="7">
        <v>437.59991995902982</v>
      </c>
      <c r="AH29" s="7">
        <v>370.93739398985849</v>
      </c>
      <c r="AI29" s="7">
        <v>57.130818476755621</v>
      </c>
      <c r="AJ29" s="7">
        <v>0</v>
      </c>
      <c r="AK29" s="7">
        <v>0</v>
      </c>
      <c r="AL29" s="7">
        <v>2.1067420703651689</v>
      </c>
      <c r="AM29" s="7">
        <v>430.17495453697933</v>
      </c>
      <c r="AN29" s="7">
        <v>0</v>
      </c>
      <c r="AO29" s="7">
        <v>0</v>
      </c>
      <c r="AP29" s="7">
        <v>0</v>
      </c>
      <c r="AQ29" s="7">
        <v>0</v>
      </c>
      <c r="AR29" s="7">
        <v>0</v>
      </c>
      <c r="AS29" s="7">
        <v>430.17495453697933</v>
      </c>
      <c r="AT29" s="7">
        <v>343.9789850464112</v>
      </c>
      <c r="AU29" s="7">
        <v>313.19311231898251</v>
      </c>
    </row>
    <row r="30" spans="1:47" x14ac:dyDescent="0.35">
      <c r="A30" s="5">
        <v>46022</v>
      </c>
      <c r="B30" s="4" t="s">
        <v>148</v>
      </c>
      <c r="C30" s="4" t="s">
        <v>149</v>
      </c>
      <c r="D30" s="4" t="s">
        <v>137</v>
      </c>
      <c r="E30" s="4" t="s">
        <v>150</v>
      </c>
      <c r="F30" s="6">
        <v>15</v>
      </c>
      <c r="G30" s="6">
        <v>28.8</v>
      </c>
      <c r="H30" s="7">
        <v>0</v>
      </c>
      <c r="I30" s="7">
        <v>0</v>
      </c>
      <c r="J30" s="7">
        <v>0</v>
      </c>
      <c r="K30" s="7">
        <v>0</v>
      </c>
      <c r="L30" s="7">
        <v>0</v>
      </c>
      <c r="M30" s="7">
        <v>0</v>
      </c>
      <c r="N30" s="7">
        <v>0</v>
      </c>
      <c r="O30" s="7">
        <v>0</v>
      </c>
      <c r="P30" s="7">
        <v>0</v>
      </c>
      <c r="Q30" s="7">
        <v>0</v>
      </c>
      <c r="R30" s="7">
        <v>195.042542</v>
      </c>
      <c r="S30" s="7">
        <v>645.566912</v>
      </c>
      <c r="T30" s="7">
        <v>261.436914</v>
      </c>
      <c r="U30" s="7">
        <v>635.27448900000002</v>
      </c>
      <c r="V30" s="7">
        <v>1737.320856</v>
      </c>
      <c r="W30" s="7">
        <v>1737.320856</v>
      </c>
      <c r="X30" s="7">
        <v>39.999934520691461</v>
      </c>
      <c r="Y30" s="7">
        <v>1777.3207905206921</v>
      </c>
      <c r="Z30" s="7">
        <v>35</v>
      </c>
      <c r="AA30" s="7">
        <v>90.277933132267904</v>
      </c>
      <c r="AB30" s="7">
        <v>1902.5987236529591</v>
      </c>
      <c r="AC30" s="7">
        <v>4.343294890089707</v>
      </c>
      <c r="AD30" s="7">
        <v>1782.009520876444</v>
      </c>
      <c r="AE30" s="7">
        <v>0</v>
      </c>
      <c r="AF30" s="7">
        <v>0</v>
      </c>
      <c r="AG30" s="7">
        <v>3688.9515394194932</v>
      </c>
      <c r="AH30" s="7">
        <v>1902.5987236529591</v>
      </c>
      <c r="AI30" s="7">
        <v>86.865900801789223</v>
      </c>
      <c r="AJ30" s="7">
        <v>4.343294890089707</v>
      </c>
      <c r="AK30" s="7">
        <v>0</v>
      </c>
      <c r="AL30" s="7">
        <v>173.73180160357839</v>
      </c>
      <c r="AM30" s="7">
        <v>2167.5397209484172</v>
      </c>
      <c r="AN30" s="7">
        <v>0</v>
      </c>
      <c r="AO30" s="7">
        <v>0</v>
      </c>
      <c r="AP30" s="7">
        <v>0</v>
      </c>
      <c r="AQ30" s="7">
        <v>0</v>
      </c>
      <c r="AR30" s="7">
        <v>0</v>
      </c>
      <c r="AS30" s="7">
        <v>2167.5397209484172</v>
      </c>
      <c r="AT30" s="7">
        <v>467.47876414705149</v>
      </c>
      <c r="AU30" s="7">
        <v>342.2008310147836</v>
      </c>
    </row>
    <row r="31" spans="1:47" x14ac:dyDescent="0.35">
      <c r="A31" s="5">
        <v>46022</v>
      </c>
      <c r="B31" s="4" t="s">
        <v>71</v>
      </c>
      <c r="C31" s="4" t="s">
        <v>72</v>
      </c>
      <c r="D31" s="4" t="s">
        <v>61</v>
      </c>
      <c r="E31" s="4" t="s">
        <v>132</v>
      </c>
      <c r="F31" s="6">
        <v>572</v>
      </c>
      <c r="G31" s="6">
        <v>4.5609999999999999</v>
      </c>
      <c r="H31" s="7">
        <v>79.23568067289473</v>
      </c>
      <c r="I31" s="7">
        <v>29.301867000000001</v>
      </c>
      <c r="J31" s="7">
        <v>5.3008349305263156</v>
      </c>
      <c r="K31" s="7">
        <v>99.122263126578943</v>
      </c>
      <c r="L31" s="7">
        <v>212.96064573000001</v>
      </c>
      <c r="M31" s="7">
        <v>33.198566890263159</v>
      </c>
      <c r="N31" s="7">
        <v>14.59052266026316</v>
      </c>
      <c r="O31" s="7">
        <v>6.4414226439473694</v>
      </c>
      <c r="P31" s="7">
        <v>49.856276216842112</v>
      </c>
      <c r="Q31" s="7">
        <v>104.08678841131579</v>
      </c>
      <c r="R31" s="7">
        <v>0</v>
      </c>
      <c r="S31" s="7">
        <v>0</v>
      </c>
      <c r="T31" s="7">
        <v>0</v>
      </c>
      <c r="U31" s="7">
        <v>0</v>
      </c>
      <c r="V31" s="7">
        <v>0</v>
      </c>
      <c r="W31" s="7">
        <v>317.04743414131582</v>
      </c>
      <c r="X31" s="7">
        <v>75.884313164210525</v>
      </c>
      <c r="Y31" s="7">
        <v>392.9317473055263</v>
      </c>
      <c r="Z31" s="7">
        <v>28.468631999999999</v>
      </c>
      <c r="AA31" s="7">
        <v>39.754384145010917</v>
      </c>
      <c r="AB31" s="7">
        <v>461.15476345053719</v>
      </c>
      <c r="AC31" s="7">
        <v>0.87159563526315786</v>
      </c>
      <c r="AD31" s="7">
        <v>132.27795249631581</v>
      </c>
      <c r="AE31" s="7">
        <v>0</v>
      </c>
      <c r="AF31" s="7">
        <v>0</v>
      </c>
      <c r="AG31" s="7">
        <v>594.30431158211616</v>
      </c>
      <c r="AH31" s="7">
        <v>461.15476345053719</v>
      </c>
      <c r="AI31" s="7">
        <v>16.869168431052628</v>
      </c>
      <c r="AJ31" s="7">
        <v>0.87159563526315786</v>
      </c>
      <c r="AK31" s="7">
        <v>15.68871944052632</v>
      </c>
      <c r="AL31" s="7">
        <v>104.591461275</v>
      </c>
      <c r="AM31" s="7">
        <v>599.17570823237929</v>
      </c>
      <c r="AN31" s="7">
        <v>0</v>
      </c>
      <c r="AO31" s="7">
        <v>0</v>
      </c>
      <c r="AP31" s="7">
        <v>0</v>
      </c>
      <c r="AQ31" s="7">
        <v>0</v>
      </c>
      <c r="AR31" s="7">
        <v>0</v>
      </c>
      <c r="AS31" s="7">
        <v>599.17570823237929</v>
      </c>
      <c r="AT31" s="7">
        <v>204.97571712130781</v>
      </c>
      <c r="AU31" s="7">
        <v>136.75270097629689</v>
      </c>
    </row>
    <row r="32" spans="1:47" x14ac:dyDescent="0.35">
      <c r="A32" s="5">
        <v>46022</v>
      </c>
      <c r="B32" s="4" t="s">
        <v>73</v>
      </c>
      <c r="C32" s="4" t="s">
        <v>74</v>
      </c>
      <c r="D32" s="4" t="s">
        <v>61</v>
      </c>
      <c r="E32" s="4" t="s">
        <v>132</v>
      </c>
      <c r="F32" s="6">
        <v>30.509429999999998</v>
      </c>
      <c r="G32" s="6">
        <v>5.3</v>
      </c>
      <c r="H32" s="7">
        <v>244.553195671579</v>
      </c>
      <c r="I32" s="7">
        <v>52.882778000000002</v>
      </c>
      <c r="J32" s="7">
        <v>11.21580494052632</v>
      </c>
      <c r="K32" s="7">
        <v>205.90288595763161</v>
      </c>
      <c r="L32" s="7">
        <v>514.55466456973693</v>
      </c>
      <c r="M32" s="7">
        <v>111.9509386768421</v>
      </c>
      <c r="N32" s="7">
        <v>0</v>
      </c>
      <c r="O32" s="7">
        <v>31.423950850263161</v>
      </c>
      <c r="P32" s="7">
        <v>161.09089447263159</v>
      </c>
      <c r="Q32" s="7">
        <v>304.4657839997368</v>
      </c>
      <c r="R32" s="7">
        <v>0</v>
      </c>
      <c r="S32" s="7">
        <v>0</v>
      </c>
      <c r="T32" s="7">
        <v>0</v>
      </c>
      <c r="U32" s="7">
        <v>0</v>
      </c>
      <c r="V32" s="7">
        <v>0</v>
      </c>
      <c r="W32" s="7">
        <v>819.02044856947373</v>
      </c>
      <c r="X32" s="7">
        <v>42.203235071842109</v>
      </c>
      <c r="Y32" s="7">
        <v>861.2236836413158</v>
      </c>
      <c r="Z32" s="7">
        <v>23.699058999999998</v>
      </c>
      <c r="AA32" s="7">
        <v>47.836483255357663</v>
      </c>
      <c r="AB32" s="7">
        <v>932.75922589667346</v>
      </c>
      <c r="AC32" s="7">
        <v>0</v>
      </c>
      <c r="AD32" s="7">
        <v>175.91849586000001</v>
      </c>
      <c r="AE32" s="7">
        <v>0</v>
      </c>
      <c r="AF32" s="7">
        <v>0</v>
      </c>
      <c r="AG32" s="7">
        <v>1108.6777217566739</v>
      </c>
      <c r="AH32" s="7">
        <v>932.75922589667346</v>
      </c>
      <c r="AI32" s="7">
        <v>326.81867042605262</v>
      </c>
      <c r="AJ32" s="7">
        <v>0</v>
      </c>
      <c r="AK32" s="7">
        <v>0</v>
      </c>
      <c r="AL32" s="7">
        <v>58.310215242631578</v>
      </c>
      <c r="AM32" s="7">
        <v>1317.888111565358</v>
      </c>
      <c r="AN32" s="7">
        <v>0</v>
      </c>
      <c r="AO32" s="7">
        <v>0</v>
      </c>
      <c r="AP32" s="7">
        <v>0</v>
      </c>
      <c r="AQ32" s="7">
        <v>0</v>
      </c>
      <c r="AR32" s="7">
        <v>0</v>
      </c>
      <c r="AS32" s="7">
        <v>1317.888111565358</v>
      </c>
      <c r="AT32" s="7">
        <v>-86.466979281576315</v>
      </c>
      <c r="AU32" s="7">
        <v>-158.00252153693401</v>
      </c>
    </row>
    <row r="33" spans="1:47" x14ac:dyDescent="0.35">
      <c r="A33" s="5">
        <v>46022</v>
      </c>
      <c r="B33" s="4" t="s">
        <v>75</v>
      </c>
      <c r="C33" s="4" t="s">
        <v>76</v>
      </c>
      <c r="D33" s="4" t="s">
        <v>61</v>
      </c>
      <c r="E33" s="4" t="s">
        <v>132</v>
      </c>
      <c r="F33" s="6">
        <v>149.1</v>
      </c>
      <c r="G33" s="6">
        <v>5.5</v>
      </c>
      <c r="H33" s="7">
        <v>91.498198857631579</v>
      </c>
      <c r="I33" s="7">
        <v>70.499223000000001</v>
      </c>
      <c r="J33" s="7">
        <v>4.4741967773684221</v>
      </c>
      <c r="K33" s="7">
        <v>67.001725565526314</v>
      </c>
      <c r="L33" s="7">
        <v>233.4733442005263</v>
      </c>
      <c r="M33" s="7">
        <v>43.612082988157901</v>
      </c>
      <c r="N33" s="7">
        <v>7.0105553715789481</v>
      </c>
      <c r="O33" s="7">
        <v>7.7546152610526322</v>
      </c>
      <c r="P33" s="7">
        <v>41.181209156842108</v>
      </c>
      <c r="Q33" s="7">
        <v>99.558462777631576</v>
      </c>
      <c r="R33" s="7">
        <v>0</v>
      </c>
      <c r="S33" s="7">
        <v>0</v>
      </c>
      <c r="T33" s="7">
        <v>0</v>
      </c>
      <c r="U33" s="7">
        <v>0</v>
      </c>
      <c r="V33" s="7">
        <v>0</v>
      </c>
      <c r="W33" s="7">
        <v>333.03180697815787</v>
      </c>
      <c r="X33" s="7">
        <v>10.19306210684211</v>
      </c>
      <c r="Y33" s="7">
        <v>343.22486908500002</v>
      </c>
      <c r="Z33" s="7">
        <v>0</v>
      </c>
      <c r="AA33" s="7">
        <v>44.469449277806611</v>
      </c>
      <c r="AB33" s="7">
        <v>387.6943183628066</v>
      </c>
      <c r="AC33" s="7">
        <v>0</v>
      </c>
      <c r="AD33" s="7">
        <v>155.12317460289469</v>
      </c>
      <c r="AE33" s="7">
        <v>0</v>
      </c>
      <c r="AF33" s="7">
        <v>0</v>
      </c>
      <c r="AG33" s="7">
        <v>542.81749296570138</v>
      </c>
      <c r="AH33" s="7">
        <v>387.6943183628066</v>
      </c>
      <c r="AI33" s="7">
        <v>35.254808332105263</v>
      </c>
      <c r="AJ33" s="7">
        <v>0</v>
      </c>
      <c r="AK33" s="7">
        <v>0</v>
      </c>
      <c r="AL33" s="7">
        <v>36.142106381052628</v>
      </c>
      <c r="AM33" s="7">
        <v>459.09123307596451</v>
      </c>
      <c r="AN33" s="7">
        <v>0</v>
      </c>
      <c r="AO33" s="7">
        <v>0</v>
      </c>
      <c r="AP33" s="7">
        <v>0</v>
      </c>
      <c r="AQ33" s="7">
        <v>0</v>
      </c>
      <c r="AR33" s="7">
        <v>0</v>
      </c>
      <c r="AS33" s="7">
        <v>459.09123307596451</v>
      </c>
      <c r="AT33" s="7">
        <v>546.16411756167747</v>
      </c>
      <c r="AU33" s="7">
        <v>501.6946682838709</v>
      </c>
    </row>
    <row r="34" spans="1:47" x14ac:dyDescent="0.35">
      <c r="A34" s="5">
        <v>46022</v>
      </c>
      <c r="B34" s="4" t="s">
        <v>75</v>
      </c>
      <c r="C34" s="4" t="s">
        <v>76</v>
      </c>
      <c r="D34" s="4" t="s">
        <v>61</v>
      </c>
      <c r="E34" s="4" t="s">
        <v>133</v>
      </c>
      <c r="F34" s="6">
        <v>19.518129999999999</v>
      </c>
      <c r="G34" s="6">
        <v>56.5</v>
      </c>
      <c r="H34" s="7">
        <v>1282.197931038947</v>
      </c>
      <c r="I34" s="7">
        <v>987.93155400000001</v>
      </c>
      <c r="J34" s="7">
        <v>62.698564248157901</v>
      </c>
      <c r="K34" s="7">
        <v>938.91983364473685</v>
      </c>
      <c r="L34" s="7">
        <v>3271.747882931842</v>
      </c>
      <c r="M34" s="7">
        <v>611.15216629026315</v>
      </c>
      <c r="N34" s="7">
        <v>98.241494122894736</v>
      </c>
      <c r="O34" s="7">
        <v>108.6682777034211</v>
      </c>
      <c r="P34" s="7">
        <v>577.0874429739473</v>
      </c>
      <c r="Q34" s="7">
        <v>1395.149381090526</v>
      </c>
      <c r="R34" s="7">
        <v>249.92607699999999</v>
      </c>
      <c r="S34" s="7">
        <v>739.94923600000004</v>
      </c>
      <c r="T34" s="7">
        <v>239.61774500000001</v>
      </c>
      <c r="U34" s="7">
        <v>1353.509057</v>
      </c>
      <c r="V34" s="7">
        <v>2583.0021149999998</v>
      </c>
      <c r="W34" s="7">
        <v>7249.8993790223676</v>
      </c>
      <c r="X34" s="7">
        <v>10.19306210684211</v>
      </c>
      <c r="Y34" s="7">
        <v>7260.0924411292099</v>
      </c>
      <c r="Z34" s="7">
        <v>400</v>
      </c>
      <c r="AA34" s="7">
        <v>636.35781916541259</v>
      </c>
      <c r="AB34" s="7">
        <v>8296.4502602946231</v>
      </c>
      <c r="AC34" s="7">
        <v>0</v>
      </c>
      <c r="AD34" s="7">
        <v>2173.7981222621052</v>
      </c>
      <c r="AE34" s="7">
        <v>0</v>
      </c>
      <c r="AF34" s="7">
        <v>0</v>
      </c>
      <c r="AG34" s="7">
        <v>10470.248382556731</v>
      </c>
      <c r="AH34" s="7">
        <v>8296.4502602946231</v>
      </c>
      <c r="AI34" s="7">
        <v>494.0386014434211</v>
      </c>
      <c r="AJ34" s="7">
        <v>0</v>
      </c>
      <c r="AK34" s="7">
        <v>0</v>
      </c>
      <c r="AL34" s="7">
        <v>506.47263170447371</v>
      </c>
      <c r="AM34" s="7">
        <v>9296.9614934425172</v>
      </c>
      <c r="AN34" s="7">
        <v>0</v>
      </c>
      <c r="AO34" s="7">
        <v>0</v>
      </c>
      <c r="AP34" s="7">
        <v>0</v>
      </c>
      <c r="AQ34" s="7">
        <v>0</v>
      </c>
      <c r="AR34" s="7">
        <v>0</v>
      </c>
      <c r="AS34" s="7">
        <v>9296.9614934425172</v>
      </c>
      <c r="AT34" s="7">
        <v>5467.0621987458098</v>
      </c>
      <c r="AU34" s="7">
        <v>4430.7043795803966</v>
      </c>
    </row>
    <row r="35" spans="1:47" x14ac:dyDescent="0.35">
      <c r="A35" s="5">
        <v>46022</v>
      </c>
      <c r="B35" s="4" t="s">
        <v>77</v>
      </c>
      <c r="C35" s="4" t="s">
        <v>78</v>
      </c>
      <c r="D35" s="4" t="s">
        <v>79</v>
      </c>
      <c r="E35" s="4" t="s">
        <v>132</v>
      </c>
      <c r="F35" s="6">
        <v>205.06267</v>
      </c>
      <c r="G35" s="6">
        <v>5.2</v>
      </c>
      <c r="H35" s="7">
        <v>196.36743852087591</v>
      </c>
      <c r="I35" s="7">
        <v>85.701690999999997</v>
      </c>
      <c r="J35" s="7">
        <v>3.2732035121167891</v>
      </c>
      <c r="K35" s="7">
        <v>140.0419103719708</v>
      </c>
      <c r="L35" s="7">
        <v>425.38424340496351</v>
      </c>
      <c r="M35" s="7">
        <v>82.570765554525551</v>
      </c>
      <c r="N35" s="7">
        <v>25.269204692846721</v>
      </c>
      <c r="O35" s="7">
        <v>21.763707589927009</v>
      </c>
      <c r="P35" s="7">
        <v>75.890078198759113</v>
      </c>
      <c r="Q35" s="7">
        <v>205.49375603605839</v>
      </c>
      <c r="R35" s="7">
        <v>0</v>
      </c>
      <c r="S35" s="7">
        <v>0</v>
      </c>
      <c r="T35" s="7">
        <v>0</v>
      </c>
      <c r="U35" s="7">
        <v>0</v>
      </c>
      <c r="V35" s="7">
        <v>0</v>
      </c>
      <c r="W35" s="7">
        <v>630.87799944102187</v>
      </c>
      <c r="X35" s="7">
        <v>24.703795620437958</v>
      </c>
      <c r="Y35" s="7">
        <v>655.58179506145996</v>
      </c>
      <c r="Z35" s="7">
        <v>30</v>
      </c>
      <c r="AA35" s="7">
        <v>5.281564163936042</v>
      </c>
      <c r="AB35" s="7">
        <v>690.86335922539593</v>
      </c>
      <c r="AC35" s="7">
        <v>6.9135918904379574</v>
      </c>
      <c r="AD35" s="7">
        <v>72.870629224817534</v>
      </c>
      <c r="AE35" s="7">
        <v>0</v>
      </c>
      <c r="AF35" s="7">
        <v>25.472314549708031</v>
      </c>
      <c r="AG35" s="7">
        <v>796.11989489035943</v>
      </c>
      <c r="AH35" s="7">
        <v>690.86335922539593</v>
      </c>
      <c r="AI35" s="7">
        <v>10.07642169416059</v>
      </c>
      <c r="AJ35" s="7">
        <v>6.9135918904379574</v>
      </c>
      <c r="AK35" s="7">
        <v>0</v>
      </c>
      <c r="AL35" s="7">
        <v>76.429171077810224</v>
      </c>
      <c r="AM35" s="7">
        <v>784.28254388780465</v>
      </c>
      <c r="AN35" s="7">
        <v>0</v>
      </c>
      <c r="AO35" s="7">
        <v>0</v>
      </c>
      <c r="AP35" s="7">
        <v>0</v>
      </c>
      <c r="AQ35" s="7">
        <v>0</v>
      </c>
      <c r="AR35" s="7">
        <v>0</v>
      </c>
      <c r="AS35" s="7">
        <v>784.28254388780465</v>
      </c>
      <c r="AT35" s="7">
        <v>82.161290819620007</v>
      </c>
      <c r="AU35" s="7">
        <v>46.879726655683967</v>
      </c>
    </row>
    <row r="36" spans="1:47" x14ac:dyDescent="0.35">
      <c r="A36" s="5">
        <v>46022</v>
      </c>
      <c r="B36" s="4" t="s">
        <v>80</v>
      </c>
      <c r="C36" s="4" t="s">
        <v>81</v>
      </c>
      <c r="D36" s="4" t="s">
        <v>61</v>
      </c>
      <c r="E36" s="4" t="s">
        <v>132</v>
      </c>
      <c r="F36" s="6">
        <v>754.98900000000003</v>
      </c>
      <c r="G36" s="6">
        <v>5.0999999999999996</v>
      </c>
      <c r="H36" s="7">
        <v>69.709466612368431</v>
      </c>
      <c r="I36" s="7">
        <v>34.088676</v>
      </c>
      <c r="J36" s="7">
        <v>5.0965858942105262</v>
      </c>
      <c r="K36" s="7">
        <v>113.108750386579</v>
      </c>
      <c r="L36" s="7">
        <v>222.0034788931579</v>
      </c>
      <c r="M36" s="7">
        <v>30.258777512368422</v>
      </c>
      <c r="N36" s="7">
        <v>11.802575463157901</v>
      </c>
      <c r="O36" s="7">
        <v>41.324741462368422</v>
      </c>
      <c r="P36" s="7">
        <v>58.689877031052632</v>
      </c>
      <c r="Q36" s="7">
        <v>142.07597146894739</v>
      </c>
      <c r="R36" s="7">
        <v>0</v>
      </c>
      <c r="S36" s="7">
        <v>0</v>
      </c>
      <c r="T36" s="7">
        <v>0</v>
      </c>
      <c r="U36" s="7">
        <v>0</v>
      </c>
      <c r="V36" s="7">
        <v>0</v>
      </c>
      <c r="W36" s="7">
        <v>364.07945036210532</v>
      </c>
      <c r="X36" s="7">
        <v>32.006454759473677</v>
      </c>
      <c r="Y36" s="7">
        <v>396.085905121579</v>
      </c>
      <c r="Z36" s="7">
        <v>50</v>
      </c>
      <c r="AA36" s="7">
        <v>34.418875012410354</v>
      </c>
      <c r="AB36" s="7">
        <v>480.5047801339893</v>
      </c>
      <c r="AC36" s="7">
        <v>0</v>
      </c>
      <c r="AD36" s="7">
        <v>82.423528901052634</v>
      </c>
      <c r="AE36" s="7">
        <v>0</v>
      </c>
      <c r="AF36" s="7">
        <v>0</v>
      </c>
      <c r="AG36" s="7">
        <v>562.92830903504205</v>
      </c>
      <c r="AH36" s="7">
        <v>480.5047801339893</v>
      </c>
      <c r="AI36" s="7">
        <v>12.33917763157895</v>
      </c>
      <c r="AJ36" s="7">
        <v>0</v>
      </c>
      <c r="AK36" s="7">
        <v>17.715489442105259</v>
      </c>
      <c r="AL36" s="7">
        <v>31.617084157105261</v>
      </c>
      <c r="AM36" s="7">
        <v>542.17653136477884</v>
      </c>
      <c r="AN36" s="7">
        <v>0</v>
      </c>
      <c r="AO36" s="7">
        <v>0</v>
      </c>
      <c r="AP36" s="7">
        <v>0</v>
      </c>
      <c r="AQ36" s="7">
        <v>0</v>
      </c>
      <c r="AR36" s="7">
        <v>0</v>
      </c>
      <c r="AS36" s="7">
        <v>542.17653136477884</v>
      </c>
      <c r="AT36" s="7">
        <v>351.92602120440682</v>
      </c>
      <c r="AU36" s="7">
        <v>267.50714619199653</v>
      </c>
    </row>
    <row r="37" spans="1:47" x14ac:dyDescent="0.35">
      <c r="A37" s="5">
        <v>46022</v>
      </c>
      <c r="B37" s="4" t="s">
        <v>151</v>
      </c>
      <c r="C37" s="4" t="s">
        <v>152</v>
      </c>
      <c r="D37" s="4" t="s">
        <v>66</v>
      </c>
      <c r="E37" s="4" t="s">
        <v>134</v>
      </c>
      <c r="F37" s="6">
        <v>11.566000000000001</v>
      </c>
      <c r="G37" s="6">
        <v>99.5</v>
      </c>
      <c r="H37" s="7">
        <v>0</v>
      </c>
      <c r="I37" s="7">
        <v>0</v>
      </c>
      <c r="J37" s="7">
        <v>0</v>
      </c>
      <c r="K37" s="7">
        <v>0</v>
      </c>
      <c r="L37" s="7">
        <v>0</v>
      </c>
      <c r="M37" s="7">
        <v>0</v>
      </c>
      <c r="N37" s="7">
        <v>0</v>
      </c>
      <c r="O37" s="7">
        <v>0</v>
      </c>
      <c r="P37" s="7">
        <v>0</v>
      </c>
      <c r="Q37" s="7">
        <v>0</v>
      </c>
      <c r="R37" s="7">
        <v>577.35523899999998</v>
      </c>
      <c r="S37" s="7">
        <v>1808.817231</v>
      </c>
      <c r="T37" s="7">
        <v>1243.5174320000001</v>
      </c>
      <c r="U37" s="7">
        <v>2135.8368099999998</v>
      </c>
      <c r="V37" s="7">
        <v>5765.5267119999999</v>
      </c>
      <c r="W37" s="7">
        <v>5765.5267119999999</v>
      </c>
      <c r="X37" s="7">
        <v>36.485459836797752</v>
      </c>
      <c r="Y37" s="7">
        <v>5802.0121718367982</v>
      </c>
      <c r="Z37" s="7">
        <v>0</v>
      </c>
      <c r="AA37" s="7">
        <v>936.56725719204735</v>
      </c>
      <c r="AB37" s="7">
        <v>6738.579429028845</v>
      </c>
      <c r="AC37" s="7">
        <v>0</v>
      </c>
      <c r="AD37" s="7">
        <v>955.53684566116578</v>
      </c>
      <c r="AE37" s="7">
        <v>0</v>
      </c>
      <c r="AF37" s="7">
        <v>0</v>
      </c>
      <c r="AG37" s="7">
        <v>7694.1162746900109</v>
      </c>
      <c r="AH37" s="7">
        <v>6738.579429028845</v>
      </c>
      <c r="AI37" s="7">
        <v>795.11068142991576</v>
      </c>
      <c r="AJ37" s="7">
        <v>0</v>
      </c>
      <c r="AK37" s="7">
        <v>0</v>
      </c>
      <c r="AL37" s="7">
        <v>288.21560362584268</v>
      </c>
      <c r="AM37" s="7">
        <v>7821.9057140846026</v>
      </c>
      <c r="AN37" s="7">
        <v>0</v>
      </c>
      <c r="AO37" s="7">
        <v>0</v>
      </c>
      <c r="AP37" s="7">
        <v>0</v>
      </c>
      <c r="AQ37" s="7">
        <v>0</v>
      </c>
      <c r="AR37" s="7">
        <v>0</v>
      </c>
      <c r="AS37" s="7">
        <v>7821.9057140846026</v>
      </c>
      <c r="AT37" s="7">
        <v>4640.3536157854214</v>
      </c>
      <c r="AU37" s="7">
        <v>3703.7863585933742</v>
      </c>
    </row>
    <row r="38" spans="1:47" x14ac:dyDescent="0.35">
      <c r="A38" s="5">
        <v>46022</v>
      </c>
      <c r="B38" s="4" t="s">
        <v>153</v>
      </c>
      <c r="C38" s="4" t="s">
        <v>154</v>
      </c>
      <c r="D38" s="4" t="s">
        <v>66</v>
      </c>
      <c r="E38" s="4" t="s">
        <v>134</v>
      </c>
      <c r="F38" s="6">
        <v>9.5</v>
      </c>
      <c r="G38" s="6">
        <v>99.5</v>
      </c>
      <c r="H38" s="7">
        <v>0</v>
      </c>
      <c r="I38" s="7">
        <v>0</v>
      </c>
      <c r="J38" s="7">
        <v>0</v>
      </c>
      <c r="K38" s="7">
        <v>0</v>
      </c>
      <c r="L38" s="7">
        <v>0</v>
      </c>
      <c r="M38" s="7">
        <v>0</v>
      </c>
      <c r="N38" s="7">
        <v>0</v>
      </c>
      <c r="O38" s="7">
        <v>0</v>
      </c>
      <c r="P38" s="7">
        <v>0</v>
      </c>
      <c r="Q38" s="7">
        <v>0</v>
      </c>
      <c r="R38" s="7">
        <v>558.02006400000005</v>
      </c>
      <c r="S38" s="7">
        <v>1896.862065</v>
      </c>
      <c r="T38" s="7">
        <v>1029.1574129999999</v>
      </c>
      <c r="U38" s="7">
        <v>2293.2106910000002</v>
      </c>
      <c r="V38" s="7">
        <v>5777.2502329999998</v>
      </c>
      <c r="W38" s="7">
        <v>5777.2502329999998</v>
      </c>
      <c r="X38" s="7">
        <v>36.485459836797752</v>
      </c>
      <c r="Y38" s="7">
        <v>5813.7356928367981</v>
      </c>
      <c r="Z38" s="7">
        <v>0</v>
      </c>
      <c r="AA38" s="7">
        <v>923.07359478257581</v>
      </c>
      <c r="AB38" s="7">
        <v>6736.8092876193732</v>
      </c>
      <c r="AC38" s="7">
        <v>0</v>
      </c>
      <c r="AD38" s="7">
        <v>725.38992488665735</v>
      </c>
      <c r="AE38" s="7">
        <v>0</v>
      </c>
      <c r="AF38" s="7">
        <v>0</v>
      </c>
      <c r="AG38" s="7">
        <v>7462.1992125060306</v>
      </c>
      <c r="AH38" s="7">
        <v>6736.8092876193732</v>
      </c>
      <c r="AI38" s="7">
        <v>866.40496740133426</v>
      </c>
      <c r="AJ38" s="7">
        <v>0</v>
      </c>
      <c r="AK38" s="7">
        <v>0</v>
      </c>
      <c r="AL38" s="7">
        <v>288.80165613370781</v>
      </c>
      <c r="AM38" s="7">
        <v>7892.0159111544153</v>
      </c>
      <c r="AN38" s="7">
        <v>0</v>
      </c>
      <c r="AO38" s="7">
        <v>0</v>
      </c>
      <c r="AP38" s="7">
        <v>0</v>
      </c>
      <c r="AQ38" s="7">
        <v>0</v>
      </c>
      <c r="AR38" s="7">
        <v>0</v>
      </c>
      <c r="AS38" s="7">
        <v>7892.0159111544153</v>
      </c>
      <c r="AT38" s="7">
        <v>4458.5496730843988</v>
      </c>
      <c r="AU38" s="7">
        <v>3535.4760783018228</v>
      </c>
    </row>
    <row r="39" spans="1:47" x14ac:dyDescent="0.35">
      <c r="A39" s="5">
        <v>46022</v>
      </c>
      <c r="B39" s="4" t="s">
        <v>82</v>
      </c>
      <c r="C39" s="4" t="s">
        <v>83</v>
      </c>
      <c r="D39" s="4" t="s">
        <v>48</v>
      </c>
      <c r="E39" s="4" t="s">
        <v>132</v>
      </c>
      <c r="F39" s="6">
        <v>219.375</v>
      </c>
      <c r="G39" s="6">
        <v>4</v>
      </c>
      <c r="H39" s="7">
        <v>65.702415000000002</v>
      </c>
      <c r="I39" s="7">
        <v>22.715941999999998</v>
      </c>
      <c r="J39" s="7">
        <v>0.58187800000000001</v>
      </c>
      <c r="K39" s="7">
        <v>30.580031000000002</v>
      </c>
      <c r="L39" s="7">
        <v>119.58026599999999</v>
      </c>
      <c r="M39" s="7">
        <v>35.736983000000002</v>
      </c>
      <c r="N39" s="7">
        <v>3.5820829999999999</v>
      </c>
      <c r="O39" s="7">
        <v>26.16339</v>
      </c>
      <c r="P39" s="7">
        <v>26.779391</v>
      </c>
      <c r="Q39" s="7">
        <v>92.261847000000003</v>
      </c>
      <c r="R39" s="7">
        <v>0</v>
      </c>
      <c r="S39" s="7">
        <v>0</v>
      </c>
      <c r="T39" s="7">
        <v>0</v>
      </c>
      <c r="U39" s="7">
        <v>0</v>
      </c>
      <c r="V39" s="7">
        <v>0</v>
      </c>
      <c r="W39" s="7">
        <v>211.84211300000001</v>
      </c>
      <c r="X39" s="7">
        <v>67.494692000000001</v>
      </c>
      <c r="Y39" s="7">
        <v>279.33680500000003</v>
      </c>
      <c r="Z39" s="7">
        <v>35</v>
      </c>
      <c r="AA39" s="7">
        <v>9.9380009158182112</v>
      </c>
      <c r="AB39" s="7">
        <v>324.27480591581821</v>
      </c>
      <c r="AC39" s="7">
        <v>1</v>
      </c>
      <c r="AD39" s="7">
        <v>110.176418</v>
      </c>
      <c r="AE39" s="7">
        <v>0</v>
      </c>
      <c r="AF39" s="7">
        <v>0</v>
      </c>
      <c r="AG39" s="7">
        <v>435.45122391581822</v>
      </c>
      <c r="AH39" s="7">
        <v>324.27480591581821</v>
      </c>
      <c r="AI39" s="7">
        <v>100</v>
      </c>
      <c r="AJ39" s="7">
        <v>1</v>
      </c>
      <c r="AK39" s="7">
        <v>0</v>
      </c>
      <c r="AL39" s="7">
        <v>10</v>
      </c>
      <c r="AM39" s="7">
        <v>435.27480591581821</v>
      </c>
      <c r="AN39" s="7">
        <v>0</v>
      </c>
      <c r="AO39" s="7">
        <v>0</v>
      </c>
      <c r="AP39" s="7">
        <v>0</v>
      </c>
      <c r="AQ39" s="7">
        <v>0</v>
      </c>
      <c r="AR39" s="7">
        <v>0</v>
      </c>
      <c r="AS39" s="7">
        <v>435.27480591581821</v>
      </c>
      <c r="AT39" s="7">
        <v>217.56323516008439</v>
      </c>
      <c r="AU39" s="7">
        <v>172.62523424426621</v>
      </c>
    </row>
    <row r="40" spans="1:47" x14ac:dyDescent="0.35">
      <c r="A40" s="5">
        <v>46022</v>
      </c>
      <c r="B40" s="4" t="s">
        <v>155</v>
      </c>
      <c r="C40" s="4" t="s">
        <v>156</v>
      </c>
      <c r="D40" s="4" t="s">
        <v>137</v>
      </c>
      <c r="E40" s="4" t="s">
        <v>134</v>
      </c>
      <c r="F40" s="6">
        <v>18</v>
      </c>
      <c r="G40" s="6">
        <v>99.5</v>
      </c>
      <c r="H40" s="7">
        <v>0</v>
      </c>
      <c r="I40" s="7">
        <v>0</v>
      </c>
      <c r="J40" s="7">
        <v>0</v>
      </c>
      <c r="K40" s="7">
        <v>0</v>
      </c>
      <c r="L40" s="7">
        <v>0</v>
      </c>
      <c r="M40" s="7">
        <v>0</v>
      </c>
      <c r="N40" s="7">
        <v>0</v>
      </c>
      <c r="O40" s="7">
        <v>0</v>
      </c>
      <c r="P40" s="7">
        <v>0</v>
      </c>
      <c r="Q40" s="7">
        <v>0</v>
      </c>
      <c r="R40" s="7">
        <v>933.76986999999997</v>
      </c>
      <c r="S40" s="7">
        <v>2317.7418309999998</v>
      </c>
      <c r="T40" s="7">
        <v>928.68041500000004</v>
      </c>
      <c r="U40" s="7">
        <v>2492.3288229999998</v>
      </c>
      <c r="V40" s="7">
        <v>6672.520939</v>
      </c>
      <c r="W40" s="7">
        <v>6672.520939</v>
      </c>
      <c r="X40" s="7">
        <v>148.8460963411145</v>
      </c>
      <c r="Y40" s="7">
        <v>6821.3670353411144</v>
      </c>
      <c r="Z40" s="7">
        <v>75</v>
      </c>
      <c r="AA40" s="7">
        <v>372.14999395267461</v>
      </c>
      <c r="AB40" s="7">
        <v>7268.5170292937892</v>
      </c>
      <c r="AC40" s="7">
        <v>0</v>
      </c>
      <c r="AD40" s="7">
        <v>1728.8762768547881</v>
      </c>
      <c r="AE40" s="7">
        <v>0</v>
      </c>
      <c r="AF40" s="7">
        <v>0</v>
      </c>
      <c r="AG40" s="7">
        <v>8997.3933061485768</v>
      </c>
      <c r="AH40" s="7">
        <v>7268.5170292937892</v>
      </c>
      <c r="AI40" s="7">
        <v>266.90040108794199</v>
      </c>
      <c r="AJ40" s="7">
        <v>0</v>
      </c>
      <c r="AK40" s="7">
        <v>0</v>
      </c>
      <c r="AL40" s="7">
        <v>199.03034419023371</v>
      </c>
      <c r="AM40" s="7">
        <v>7734.4477745719651</v>
      </c>
      <c r="AN40" s="7">
        <v>0</v>
      </c>
      <c r="AO40" s="7">
        <v>0</v>
      </c>
      <c r="AP40" s="7">
        <v>0</v>
      </c>
      <c r="AQ40" s="7">
        <v>0</v>
      </c>
      <c r="AR40" s="7">
        <v>0</v>
      </c>
      <c r="AS40" s="7">
        <v>7734.4477745719651</v>
      </c>
      <c r="AT40" s="7">
        <v>5583.6327630813739</v>
      </c>
      <c r="AU40" s="7">
        <v>5136.4827691287001</v>
      </c>
    </row>
    <row r="41" spans="1:47" x14ac:dyDescent="0.35">
      <c r="A41" s="5">
        <v>46022</v>
      </c>
      <c r="B41" s="4" t="s">
        <v>157</v>
      </c>
      <c r="C41" s="4" t="s">
        <v>158</v>
      </c>
      <c r="D41" s="4" t="s">
        <v>159</v>
      </c>
      <c r="E41" s="4" t="s">
        <v>134</v>
      </c>
      <c r="F41" s="6">
        <v>72</v>
      </c>
      <c r="G41" s="6">
        <v>99.5</v>
      </c>
      <c r="H41" s="7">
        <v>0</v>
      </c>
      <c r="I41" s="7">
        <v>0</v>
      </c>
      <c r="J41" s="7">
        <v>0</v>
      </c>
      <c r="K41" s="7">
        <v>0</v>
      </c>
      <c r="L41" s="7">
        <v>0</v>
      </c>
      <c r="M41" s="7">
        <v>0</v>
      </c>
      <c r="N41" s="7">
        <v>0</v>
      </c>
      <c r="O41" s="7">
        <v>0</v>
      </c>
      <c r="P41" s="7">
        <v>0</v>
      </c>
      <c r="Q41" s="7">
        <v>0</v>
      </c>
      <c r="R41" s="7">
        <v>324.92952700000001</v>
      </c>
      <c r="S41" s="7">
        <v>1096.2222529999999</v>
      </c>
      <c r="T41" s="7">
        <v>761.55718400000001</v>
      </c>
      <c r="U41" s="7">
        <v>3892.7813799999999</v>
      </c>
      <c r="V41" s="7">
        <v>6075.4903430000004</v>
      </c>
      <c r="W41" s="7">
        <v>6075.4903430000004</v>
      </c>
      <c r="X41" s="7">
        <v>70.514624999016206</v>
      </c>
      <c r="Y41" s="7">
        <v>6146.004967999017</v>
      </c>
      <c r="Z41" s="7">
        <v>42.301583000000001</v>
      </c>
      <c r="AA41" s="7">
        <v>1727.7740803283059</v>
      </c>
      <c r="AB41" s="7">
        <v>7916.0806313273224</v>
      </c>
      <c r="AC41" s="7">
        <v>35.879766874045501</v>
      </c>
      <c r="AD41" s="7">
        <v>2100.8094861628069</v>
      </c>
      <c r="AE41" s="7">
        <v>0</v>
      </c>
      <c r="AF41" s="7">
        <v>0</v>
      </c>
      <c r="AG41" s="7">
        <v>10052.76988436417</v>
      </c>
      <c r="AH41" s="7">
        <v>7916.0806313273224</v>
      </c>
      <c r="AI41" s="7">
        <v>607.55135168538652</v>
      </c>
      <c r="AJ41" s="7">
        <v>35.879766874045501</v>
      </c>
      <c r="AK41" s="7">
        <v>0</v>
      </c>
      <c r="AL41" s="7">
        <v>1055.5595827460729</v>
      </c>
      <c r="AM41" s="7">
        <v>9615.0713326328278</v>
      </c>
      <c r="AN41" s="7">
        <v>0</v>
      </c>
      <c r="AO41" s="7">
        <v>0</v>
      </c>
      <c r="AP41" s="7">
        <v>0</v>
      </c>
      <c r="AQ41" s="7">
        <v>0</v>
      </c>
      <c r="AR41" s="7">
        <v>0</v>
      </c>
      <c r="AS41" s="7">
        <v>9615.0713326328278</v>
      </c>
      <c r="AT41" s="7">
        <v>4707.7726959503043</v>
      </c>
      <c r="AU41" s="7">
        <v>2937.697032621998</v>
      </c>
    </row>
    <row r="42" spans="1:47" x14ac:dyDescent="0.35">
      <c r="A42" s="5">
        <v>46022</v>
      </c>
      <c r="B42" s="4" t="s">
        <v>157</v>
      </c>
      <c r="C42" s="4" t="s">
        <v>160</v>
      </c>
      <c r="D42" s="4" t="s">
        <v>159</v>
      </c>
      <c r="E42" s="4" t="s">
        <v>133</v>
      </c>
      <c r="F42" s="6">
        <v>35</v>
      </c>
      <c r="G42" s="6">
        <v>56.5</v>
      </c>
      <c r="H42" s="7">
        <v>0</v>
      </c>
      <c r="I42" s="7">
        <v>0</v>
      </c>
      <c r="J42" s="7">
        <v>0</v>
      </c>
      <c r="K42" s="7">
        <v>0</v>
      </c>
      <c r="L42" s="7">
        <v>0</v>
      </c>
      <c r="M42" s="7">
        <v>0</v>
      </c>
      <c r="N42" s="7">
        <v>0</v>
      </c>
      <c r="O42" s="7">
        <v>0</v>
      </c>
      <c r="P42" s="7">
        <v>0</v>
      </c>
      <c r="Q42" s="7">
        <v>0</v>
      </c>
      <c r="R42" s="7">
        <v>528.17885999999999</v>
      </c>
      <c r="S42" s="7">
        <v>865.90203799999995</v>
      </c>
      <c r="T42" s="7">
        <v>1677.1207529999999</v>
      </c>
      <c r="U42" s="7">
        <v>3813.939922</v>
      </c>
      <c r="V42" s="7">
        <v>6885.1415729999999</v>
      </c>
      <c r="W42" s="7">
        <v>6885.1415729999999</v>
      </c>
      <c r="X42" s="7">
        <v>70.514624999016206</v>
      </c>
      <c r="Y42" s="7">
        <v>6955.6561979990156</v>
      </c>
      <c r="Z42" s="7">
        <v>50</v>
      </c>
      <c r="AA42" s="7">
        <v>1658.1841691179461</v>
      </c>
      <c r="AB42" s="7">
        <v>8663.8403671169617</v>
      </c>
      <c r="AC42" s="7">
        <v>0</v>
      </c>
      <c r="AD42" s="7">
        <v>1520.266489508826</v>
      </c>
      <c r="AE42" s="7">
        <v>0</v>
      </c>
      <c r="AF42" s="7">
        <v>0</v>
      </c>
      <c r="AG42" s="7">
        <v>10184.106856625791</v>
      </c>
      <c r="AH42" s="7">
        <v>8663.8403671169617</v>
      </c>
      <c r="AI42" s="7">
        <v>654.59475614644884</v>
      </c>
      <c r="AJ42" s="7">
        <v>0</v>
      </c>
      <c r="AK42" s="7">
        <v>0</v>
      </c>
      <c r="AL42" s="7">
        <v>977.81852917969502</v>
      </c>
      <c r="AM42" s="7">
        <v>10296.253652443111</v>
      </c>
      <c r="AN42" s="7">
        <v>0</v>
      </c>
      <c r="AO42" s="7">
        <v>0</v>
      </c>
      <c r="AP42" s="7">
        <v>0</v>
      </c>
      <c r="AQ42" s="7">
        <v>0</v>
      </c>
      <c r="AR42" s="7">
        <v>0</v>
      </c>
      <c r="AS42" s="7">
        <v>10296.253652443111</v>
      </c>
      <c r="AT42" s="7">
        <v>4146.4089364932497</v>
      </c>
      <c r="AU42" s="7">
        <v>2438.2247673753041</v>
      </c>
    </row>
    <row r="43" spans="1:47" x14ac:dyDescent="0.35">
      <c r="A43" s="5">
        <v>46022</v>
      </c>
      <c r="B43" s="4" t="s">
        <v>157</v>
      </c>
      <c r="C43" s="4" t="s">
        <v>160</v>
      </c>
      <c r="D43" s="4" t="s">
        <v>159</v>
      </c>
      <c r="E43" s="4" t="s">
        <v>134</v>
      </c>
      <c r="F43" s="6">
        <v>179.49611999999999</v>
      </c>
      <c r="G43" s="6">
        <v>99.5</v>
      </c>
      <c r="H43" s="7">
        <v>0</v>
      </c>
      <c r="I43" s="7">
        <v>0</v>
      </c>
      <c r="J43" s="7">
        <v>0</v>
      </c>
      <c r="K43" s="7">
        <v>0</v>
      </c>
      <c r="L43" s="7">
        <v>0</v>
      </c>
      <c r="M43" s="7">
        <v>0</v>
      </c>
      <c r="N43" s="7">
        <v>0</v>
      </c>
      <c r="O43" s="7">
        <v>0</v>
      </c>
      <c r="P43" s="7">
        <v>0</v>
      </c>
      <c r="Q43" s="7">
        <v>0</v>
      </c>
      <c r="R43" s="7">
        <v>207.635706</v>
      </c>
      <c r="S43" s="7">
        <v>1252.8286889999999</v>
      </c>
      <c r="T43" s="7">
        <v>894.34748100000002</v>
      </c>
      <c r="U43" s="7">
        <v>3926.460333</v>
      </c>
      <c r="V43" s="7">
        <v>6281.2722089999997</v>
      </c>
      <c r="W43" s="7">
        <v>6281.2722089999997</v>
      </c>
      <c r="X43" s="7">
        <v>70.514624999016206</v>
      </c>
      <c r="Y43" s="7">
        <v>6351.7868339990164</v>
      </c>
      <c r="Z43" s="7">
        <v>50</v>
      </c>
      <c r="AA43" s="7">
        <v>1616.398145136317</v>
      </c>
      <c r="AB43" s="7">
        <v>8018.1849791353334</v>
      </c>
      <c r="AC43" s="7">
        <v>0</v>
      </c>
      <c r="AD43" s="7">
        <v>1481.5405537772231</v>
      </c>
      <c r="AE43" s="7">
        <v>0</v>
      </c>
      <c r="AF43" s="7">
        <v>0</v>
      </c>
      <c r="AG43" s="7">
        <v>9499.7255329125564</v>
      </c>
      <c r="AH43" s="7">
        <v>8018.1849791353334</v>
      </c>
      <c r="AI43" s="7">
        <v>637.92018353633068</v>
      </c>
      <c r="AJ43" s="7">
        <v>0</v>
      </c>
      <c r="AK43" s="7">
        <v>0</v>
      </c>
      <c r="AL43" s="7">
        <v>952.9104381603712</v>
      </c>
      <c r="AM43" s="7">
        <v>9609.0156008320355</v>
      </c>
      <c r="AN43" s="7">
        <v>0</v>
      </c>
      <c r="AO43" s="7">
        <v>0</v>
      </c>
      <c r="AP43" s="7">
        <v>0</v>
      </c>
      <c r="AQ43" s="7">
        <v>0</v>
      </c>
      <c r="AR43" s="7">
        <v>0</v>
      </c>
      <c r="AS43" s="7">
        <v>9609.0156008320355</v>
      </c>
      <c r="AT43" s="7">
        <v>4470.5078222432048</v>
      </c>
      <c r="AU43" s="7">
        <v>2804.1096771068869</v>
      </c>
    </row>
    <row r="44" spans="1:47" x14ac:dyDescent="0.35">
      <c r="A44" s="5">
        <v>46022</v>
      </c>
      <c r="B44" s="4" t="s">
        <v>161</v>
      </c>
      <c r="C44" s="4" t="s">
        <v>162</v>
      </c>
      <c r="D44" s="4" t="s">
        <v>137</v>
      </c>
      <c r="E44" s="4" t="s">
        <v>134</v>
      </c>
      <c r="F44" s="6">
        <v>28</v>
      </c>
      <c r="G44" s="6">
        <v>99.206000000000003</v>
      </c>
      <c r="H44" s="7">
        <v>0</v>
      </c>
      <c r="I44" s="7">
        <v>0</v>
      </c>
      <c r="J44" s="7">
        <v>0</v>
      </c>
      <c r="K44" s="7">
        <v>0</v>
      </c>
      <c r="L44" s="7">
        <v>0</v>
      </c>
      <c r="M44" s="7">
        <v>0</v>
      </c>
      <c r="N44" s="7">
        <v>0</v>
      </c>
      <c r="O44" s="7">
        <v>0</v>
      </c>
      <c r="P44" s="7">
        <v>0</v>
      </c>
      <c r="Q44" s="7">
        <v>0</v>
      </c>
      <c r="R44" s="7">
        <v>1113.8942810000001</v>
      </c>
      <c r="S44" s="7">
        <v>3075.1155990000002</v>
      </c>
      <c r="T44" s="7">
        <v>321.34176400000001</v>
      </c>
      <c r="U44" s="7">
        <v>1157.944745</v>
      </c>
      <c r="V44" s="7">
        <v>5668.2963890000001</v>
      </c>
      <c r="W44" s="7">
        <v>5668.2963890000001</v>
      </c>
      <c r="X44" s="7">
        <v>40.607294526452002</v>
      </c>
      <c r="Y44" s="7">
        <v>5708.9036835264524</v>
      </c>
      <c r="Z44" s="7">
        <v>65</v>
      </c>
      <c r="AA44" s="7">
        <v>1359.776938625663</v>
      </c>
      <c r="AB44" s="7">
        <v>7133.6806221521147</v>
      </c>
      <c r="AC44" s="7">
        <v>46.428494997231859</v>
      </c>
      <c r="AD44" s="7">
        <v>749.99877226296485</v>
      </c>
      <c r="AE44" s="7">
        <v>0</v>
      </c>
      <c r="AF44" s="7">
        <v>0</v>
      </c>
      <c r="AG44" s="7">
        <v>7930.107889412312</v>
      </c>
      <c r="AH44" s="7">
        <v>7133.6806221521147</v>
      </c>
      <c r="AI44" s="7">
        <v>1035.7125905536179</v>
      </c>
      <c r="AJ44" s="7">
        <v>46.428494997231859</v>
      </c>
      <c r="AK44" s="7">
        <v>0</v>
      </c>
      <c r="AL44" s="7">
        <v>571.4276355813073</v>
      </c>
      <c r="AM44" s="7">
        <v>8787.2493432842712</v>
      </c>
      <c r="AN44" s="7">
        <v>0</v>
      </c>
      <c r="AO44" s="7">
        <v>39.030548107562858</v>
      </c>
      <c r="AP44" s="7">
        <v>0</v>
      </c>
      <c r="AQ44" s="7">
        <v>0</v>
      </c>
      <c r="AR44" s="7">
        <v>0</v>
      </c>
      <c r="AS44" s="7">
        <v>8826.2798913918341</v>
      </c>
      <c r="AT44" s="7">
        <v>11288.308049294341</v>
      </c>
      <c r="AU44" s="7">
        <v>9863.5311106686768</v>
      </c>
    </row>
    <row r="45" spans="1:47" x14ac:dyDescent="0.35">
      <c r="A45" s="5">
        <v>46022</v>
      </c>
      <c r="B45" s="4" t="s">
        <v>163</v>
      </c>
      <c r="C45" s="4" t="s">
        <v>164</v>
      </c>
      <c r="D45" s="4" t="s">
        <v>137</v>
      </c>
      <c r="E45" s="4" t="s">
        <v>134</v>
      </c>
      <c r="F45" s="6">
        <v>30</v>
      </c>
      <c r="G45" s="6">
        <v>99.5</v>
      </c>
      <c r="H45" s="7">
        <v>0</v>
      </c>
      <c r="I45" s="7">
        <v>0</v>
      </c>
      <c r="J45" s="7">
        <v>0</v>
      </c>
      <c r="K45" s="7">
        <v>0</v>
      </c>
      <c r="L45" s="7">
        <v>0</v>
      </c>
      <c r="M45" s="7">
        <v>0</v>
      </c>
      <c r="N45" s="7">
        <v>0</v>
      </c>
      <c r="O45" s="7">
        <v>0</v>
      </c>
      <c r="P45" s="7">
        <v>0</v>
      </c>
      <c r="Q45" s="7">
        <v>0</v>
      </c>
      <c r="R45" s="7">
        <v>443.003061</v>
      </c>
      <c r="S45" s="7">
        <v>3071.0174040000002</v>
      </c>
      <c r="T45" s="7">
        <v>664.50107400000002</v>
      </c>
      <c r="U45" s="7">
        <v>2666.8604059999998</v>
      </c>
      <c r="V45" s="7">
        <v>6845.3819450000001</v>
      </c>
      <c r="W45" s="7">
        <v>6845.3819450000001</v>
      </c>
      <c r="X45" s="7">
        <v>101.64230661302869</v>
      </c>
      <c r="Y45" s="7">
        <v>6947.0242516130293</v>
      </c>
      <c r="Z45" s="7">
        <v>65</v>
      </c>
      <c r="AA45" s="7">
        <v>334.93499767382008</v>
      </c>
      <c r="AB45" s="7">
        <v>7346.9592492868487</v>
      </c>
      <c r="AC45" s="7">
        <v>70.675331305515002</v>
      </c>
      <c r="AD45" s="7">
        <v>661.47271817882233</v>
      </c>
      <c r="AE45" s="7">
        <v>0</v>
      </c>
      <c r="AF45" s="7">
        <v>0</v>
      </c>
      <c r="AG45" s="7">
        <v>8079.1072987711859</v>
      </c>
      <c r="AH45" s="7">
        <v>7346.9592492868487</v>
      </c>
      <c r="AI45" s="7">
        <v>599.95036989000789</v>
      </c>
      <c r="AJ45" s="7">
        <v>70.675331305515002</v>
      </c>
      <c r="AK45" s="7">
        <v>0</v>
      </c>
      <c r="AL45" s="7">
        <v>348.10237816149157</v>
      </c>
      <c r="AM45" s="7">
        <v>8365.6873286438622</v>
      </c>
      <c r="AN45" s="7">
        <v>0</v>
      </c>
      <c r="AO45" s="7">
        <v>0</v>
      </c>
      <c r="AP45" s="7">
        <v>0</v>
      </c>
      <c r="AQ45" s="7">
        <v>0</v>
      </c>
      <c r="AR45" s="7">
        <v>0</v>
      </c>
      <c r="AS45" s="7">
        <v>8365.6873286438622</v>
      </c>
      <c r="AT45" s="7">
        <v>4217.4755679506316</v>
      </c>
      <c r="AU45" s="7">
        <v>3817.5405702768121</v>
      </c>
    </row>
    <row r="46" spans="1:47" x14ac:dyDescent="0.35">
      <c r="A46" s="5">
        <v>46022</v>
      </c>
      <c r="B46" s="4" t="s">
        <v>163</v>
      </c>
      <c r="C46" s="4" t="s">
        <v>164</v>
      </c>
      <c r="D46" s="4" t="s">
        <v>137</v>
      </c>
      <c r="E46" s="4" t="s">
        <v>150</v>
      </c>
      <c r="F46" s="6">
        <v>5</v>
      </c>
      <c r="G46" s="6">
        <v>40</v>
      </c>
      <c r="H46" s="7">
        <v>0</v>
      </c>
      <c r="I46" s="7">
        <v>0</v>
      </c>
      <c r="J46" s="7">
        <v>0</v>
      </c>
      <c r="K46" s="7">
        <v>0</v>
      </c>
      <c r="L46" s="7">
        <v>0</v>
      </c>
      <c r="M46" s="7">
        <v>0</v>
      </c>
      <c r="N46" s="7">
        <v>0</v>
      </c>
      <c r="O46" s="7">
        <v>0</v>
      </c>
      <c r="P46" s="7">
        <v>0</v>
      </c>
      <c r="Q46" s="7">
        <v>0</v>
      </c>
      <c r="R46" s="7">
        <v>394.383849</v>
      </c>
      <c r="S46" s="7">
        <v>274.86523599999998</v>
      </c>
      <c r="T46" s="7">
        <v>58.220385</v>
      </c>
      <c r="U46" s="7">
        <v>465.42281100000002</v>
      </c>
      <c r="V46" s="7">
        <v>1192.8922809999999</v>
      </c>
      <c r="W46" s="7">
        <v>1192.8922809999999</v>
      </c>
      <c r="X46" s="7">
        <v>101.64230661302869</v>
      </c>
      <c r="Y46" s="7">
        <v>1294.5345876130291</v>
      </c>
      <c r="Z46" s="7">
        <v>65</v>
      </c>
      <c r="AA46" s="7">
        <v>110.5285492323606</v>
      </c>
      <c r="AB46" s="7">
        <v>1470.063136845389</v>
      </c>
      <c r="AC46" s="7">
        <v>22.613947981297471</v>
      </c>
      <c r="AD46" s="7">
        <v>211.6510725302858</v>
      </c>
      <c r="AE46" s="7">
        <v>0</v>
      </c>
      <c r="AF46" s="7">
        <v>0</v>
      </c>
      <c r="AG46" s="7">
        <v>1704.328157356973</v>
      </c>
      <c r="AH46" s="7">
        <v>1470.063136845389</v>
      </c>
      <c r="AI46" s="7">
        <v>191.96579875479139</v>
      </c>
      <c r="AJ46" s="7">
        <v>22.613947981297471</v>
      </c>
      <c r="AK46" s="7">
        <v>0</v>
      </c>
      <c r="AL46" s="7">
        <v>111.3821316690774</v>
      </c>
      <c r="AM46" s="7">
        <v>1796.025015250556</v>
      </c>
      <c r="AN46" s="7">
        <v>0</v>
      </c>
      <c r="AO46" s="7">
        <v>0</v>
      </c>
      <c r="AP46" s="7">
        <v>0</v>
      </c>
      <c r="AQ46" s="7">
        <v>0</v>
      </c>
      <c r="AR46" s="7">
        <v>0</v>
      </c>
      <c r="AS46" s="7">
        <v>1796.025015250556</v>
      </c>
      <c r="AT46" s="7">
        <v>2389.7510041810401</v>
      </c>
      <c r="AU46" s="7">
        <v>2214.2224549486791</v>
      </c>
    </row>
    <row r="47" spans="1:47" x14ac:dyDescent="0.35">
      <c r="A47" s="5">
        <v>46022</v>
      </c>
      <c r="B47" s="4" t="s">
        <v>165</v>
      </c>
      <c r="C47" s="4" t="s">
        <v>166</v>
      </c>
      <c r="D47" s="4" t="s">
        <v>137</v>
      </c>
      <c r="E47" s="4" t="s">
        <v>134</v>
      </c>
      <c r="F47" s="6">
        <v>2</v>
      </c>
      <c r="G47" s="6">
        <v>99.5</v>
      </c>
      <c r="H47" s="7">
        <v>0</v>
      </c>
      <c r="I47" s="7">
        <v>0</v>
      </c>
      <c r="J47" s="7">
        <v>0</v>
      </c>
      <c r="K47" s="7">
        <v>0</v>
      </c>
      <c r="L47" s="7">
        <v>0</v>
      </c>
      <c r="M47" s="7">
        <v>0</v>
      </c>
      <c r="N47" s="7">
        <v>0</v>
      </c>
      <c r="O47" s="7">
        <v>0</v>
      </c>
      <c r="P47" s="7">
        <v>0</v>
      </c>
      <c r="Q47" s="7">
        <v>0</v>
      </c>
      <c r="R47" s="7">
        <v>1707.70595</v>
      </c>
      <c r="S47" s="7">
        <v>2658.7674940000002</v>
      </c>
      <c r="T47" s="7">
        <v>557.17183</v>
      </c>
      <c r="U47" s="7">
        <v>1882.8036420000001</v>
      </c>
      <c r="V47" s="7">
        <v>6806.4489160000003</v>
      </c>
      <c r="W47" s="7">
        <v>6806.4489160000003</v>
      </c>
      <c r="X47" s="7">
        <v>288.50969371384559</v>
      </c>
      <c r="Y47" s="7">
        <v>7094.9586097138463</v>
      </c>
      <c r="Z47" s="7">
        <v>45</v>
      </c>
      <c r="AA47" s="7">
        <v>372.15005627975222</v>
      </c>
      <c r="AB47" s="7">
        <v>7512.1086659935982</v>
      </c>
      <c r="AC47" s="7">
        <v>0</v>
      </c>
      <c r="AD47" s="7">
        <v>1016.450278085742</v>
      </c>
      <c r="AE47" s="7">
        <v>0</v>
      </c>
      <c r="AF47" s="7">
        <v>0</v>
      </c>
      <c r="AG47" s="7">
        <v>8528.5589440793392</v>
      </c>
      <c r="AH47" s="7">
        <v>7512.1086659935982</v>
      </c>
      <c r="AI47" s="7">
        <v>1020.965665694118</v>
      </c>
      <c r="AJ47" s="7">
        <v>0</v>
      </c>
      <c r="AK47" s="7">
        <v>0</v>
      </c>
      <c r="AL47" s="7">
        <v>680.64377779607776</v>
      </c>
      <c r="AM47" s="7">
        <v>9213.7181094837943</v>
      </c>
      <c r="AN47" s="7">
        <v>0</v>
      </c>
      <c r="AO47" s="7">
        <v>0</v>
      </c>
      <c r="AP47" s="7">
        <v>0</v>
      </c>
      <c r="AQ47" s="7">
        <v>0</v>
      </c>
      <c r="AR47" s="7">
        <v>0</v>
      </c>
      <c r="AS47" s="7">
        <v>9213.7181094837943</v>
      </c>
      <c r="AT47" s="7">
        <v>5310.0432662778949</v>
      </c>
      <c r="AU47" s="7">
        <v>4892.893209998143</v>
      </c>
    </row>
    <row r="48" spans="1:47" x14ac:dyDescent="0.35">
      <c r="A48" s="5">
        <v>46022</v>
      </c>
      <c r="B48" s="4" t="s">
        <v>167</v>
      </c>
      <c r="C48" s="4" t="s">
        <v>168</v>
      </c>
      <c r="D48" s="4" t="s">
        <v>169</v>
      </c>
      <c r="E48" s="4" t="s">
        <v>134</v>
      </c>
      <c r="F48" s="6">
        <v>3.39</v>
      </c>
      <c r="G48" s="6">
        <v>99</v>
      </c>
      <c r="H48" s="7">
        <v>0</v>
      </c>
      <c r="I48" s="7">
        <v>0</v>
      </c>
      <c r="J48" s="7">
        <v>0</v>
      </c>
      <c r="K48" s="7">
        <v>0</v>
      </c>
      <c r="L48" s="7">
        <v>0</v>
      </c>
      <c r="M48" s="7">
        <v>0</v>
      </c>
      <c r="N48" s="7">
        <v>0</v>
      </c>
      <c r="O48" s="7">
        <v>0</v>
      </c>
      <c r="P48" s="7">
        <v>0</v>
      </c>
      <c r="Q48" s="7">
        <v>0</v>
      </c>
      <c r="R48" s="7">
        <v>2556.4564999999998</v>
      </c>
      <c r="S48" s="7">
        <v>2939.742792</v>
      </c>
      <c r="T48" s="7">
        <v>512.188984</v>
      </c>
      <c r="U48" s="7">
        <v>2919.358984</v>
      </c>
      <c r="V48" s="7">
        <v>8927.7472610000004</v>
      </c>
      <c r="W48" s="7">
        <v>8927.7472610000004</v>
      </c>
      <c r="X48" s="7">
        <v>273.35866600000003</v>
      </c>
      <c r="Y48" s="7">
        <v>9201.1059270000005</v>
      </c>
      <c r="Z48" s="7">
        <v>0</v>
      </c>
      <c r="AA48" s="7">
        <v>0</v>
      </c>
      <c r="AB48" s="7">
        <v>9201.1059270000005</v>
      </c>
      <c r="AC48" s="7">
        <v>103.244838</v>
      </c>
      <c r="AD48" s="7">
        <v>3282.3762630000001</v>
      </c>
      <c r="AE48" s="7">
        <v>0</v>
      </c>
      <c r="AF48" s="7">
        <v>0</v>
      </c>
      <c r="AG48" s="7">
        <v>12586.727027999999</v>
      </c>
      <c r="AH48" s="7">
        <v>9201.1059270000005</v>
      </c>
      <c r="AI48" s="7">
        <v>1038.1542489999999</v>
      </c>
      <c r="AJ48" s="7">
        <v>103.244838</v>
      </c>
      <c r="AK48" s="7">
        <v>0</v>
      </c>
      <c r="AL48" s="7">
        <v>2094.3952800000002</v>
      </c>
      <c r="AM48" s="7">
        <v>12436.900293999999</v>
      </c>
      <c r="AN48" s="7">
        <v>0</v>
      </c>
      <c r="AO48" s="7">
        <v>0</v>
      </c>
      <c r="AP48" s="7">
        <v>0</v>
      </c>
      <c r="AQ48" s="7">
        <v>0</v>
      </c>
      <c r="AR48" s="7">
        <v>0</v>
      </c>
      <c r="AS48" s="7">
        <v>12436.900293999999</v>
      </c>
      <c r="AT48" s="7">
        <v>3894.575897745975</v>
      </c>
      <c r="AU48" s="7">
        <v>3894.575897745975</v>
      </c>
    </row>
    <row r="49" spans="1:47" x14ac:dyDescent="0.35">
      <c r="A49" s="5">
        <v>46022</v>
      </c>
      <c r="B49" s="4" t="s">
        <v>170</v>
      </c>
      <c r="C49" s="4" t="s">
        <v>171</v>
      </c>
      <c r="D49" s="4" t="s">
        <v>137</v>
      </c>
      <c r="E49" s="4" t="s">
        <v>134</v>
      </c>
      <c r="F49" s="6">
        <v>5</v>
      </c>
      <c r="G49" s="6">
        <v>99.5</v>
      </c>
      <c r="H49" s="7">
        <v>0</v>
      </c>
      <c r="I49" s="7">
        <v>0</v>
      </c>
      <c r="J49" s="7">
        <v>0</v>
      </c>
      <c r="K49" s="7">
        <v>0</v>
      </c>
      <c r="L49" s="7">
        <v>0</v>
      </c>
      <c r="M49" s="7">
        <v>0</v>
      </c>
      <c r="N49" s="7">
        <v>0</v>
      </c>
      <c r="O49" s="7">
        <v>0</v>
      </c>
      <c r="P49" s="7">
        <v>0</v>
      </c>
      <c r="Q49" s="7">
        <v>0</v>
      </c>
      <c r="R49" s="7">
        <v>777.66055700000004</v>
      </c>
      <c r="S49" s="7">
        <v>2884.9600260000002</v>
      </c>
      <c r="T49" s="7">
        <v>556.72966199999996</v>
      </c>
      <c r="U49" s="7">
        <v>2140.2506109999999</v>
      </c>
      <c r="V49" s="7">
        <v>6359.600856</v>
      </c>
      <c r="W49" s="7">
        <v>6359.600856</v>
      </c>
      <c r="X49" s="7">
        <v>284.99511546715888</v>
      </c>
      <c r="Y49" s="7">
        <v>6644.595971467159</v>
      </c>
      <c r="Z49" s="7">
        <v>35</v>
      </c>
      <c r="AA49" s="7">
        <v>483.79502454855742</v>
      </c>
      <c r="AB49" s="7">
        <v>7163.3909960157162</v>
      </c>
      <c r="AC49" s="7">
        <v>261.98957112689891</v>
      </c>
      <c r="AD49" s="7">
        <v>2489.0114835245581</v>
      </c>
      <c r="AE49" s="7">
        <v>0</v>
      </c>
      <c r="AF49" s="7">
        <v>0</v>
      </c>
      <c r="AG49" s="7">
        <v>9914.392050667173</v>
      </c>
      <c r="AH49" s="7">
        <v>7163.3909960157162</v>
      </c>
      <c r="AI49" s="7">
        <v>254.38361757773379</v>
      </c>
      <c r="AJ49" s="7">
        <v>261.98957112689891</v>
      </c>
      <c r="AK49" s="7">
        <v>0</v>
      </c>
      <c r="AL49" s="7">
        <v>445.17133126103317</v>
      </c>
      <c r="AM49" s="7">
        <v>8124.9355159813822</v>
      </c>
      <c r="AN49" s="7">
        <v>0</v>
      </c>
      <c r="AO49" s="7">
        <v>0</v>
      </c>
      <c r="AP49" s="7">
        <v>0</v>
      </c>
      <c r="AQ49" s="7">
        <v>0</v>
      </c>
      <c r="AR49" s="7">
        <v>0</v>
      </c>
      <c r="AS49" s="7">
        <v>8124.9355159813822</v>
      </c>
      <c r="AT49" s="7">
        <v>5760.404657983031</v>
      </c>
      <c r="AU49" s="7">
        <v>5241.6096334344729</v>
      </c>
    </row>
    <row r="50" spans="1:47" x14ac:dyDescent="0.35">
      <c r="A50" s="5">
        <v>46022</v>
      </c>
      <c r="B50" s="4" t="s">
        <v>172</v>
      </c>
      <c r="C50" s="4" t="s">
        <v>173</v>
      </c>
      <c r="D50" s="4" t="s">
        <v>66</v>
      </c>
      <c r="E50" s="4" t="s">
        <v>134</v>
      </c>
      <c r="F50" s="6">
        <v>50</v>
      </c>
      <c r="G50" s="6">
        <v>99.2</v>
      </c>
      <c r="H50" s="7">
        <v>0</v>
      </c>
      <c r="I50" s="7">
        <v>0</v>
      </c>
      <c r="J50" s="7">
        <v>0</v>
      </c>
      <c r="K50" s="7">
        <v>0</v>
      </c>
      <c r="L50" s="7">
        <v>0</v>
      </c>
      <c r="M50" s="7">
        <v>0</v>
      </c>
      <c r="N50" s="7">
        <v>0</v>
      </c>
      <c r="O50" s="7">
        <v>0</v>
      </c>
      <c r="P50" s="7">
        <v>0</v>
      </c>
      <c r="Q50" s="7">
        <v>0</v>
      </c>
      <c r="R50" s="7">
        <v>299.56585699999999</v>
      </c>
      <c r="S50" s="7">
        <v>1485.3787179999999</v>
      </c>
      <c r="T50" s="7">
        <v>1166.1412339999999</v>
      </c>
      <c r="U50" s="7">
        <v>2826.9097609999999</v>
      </c>
      <c r="V50" s="7">
        <v>5777.99557</v>
      </c>
      <c r="W50" s="7">
        <v>5777.99557</v>
      </c>
      <c r="X50" s="7">
        <v>115.3143571258427</v>
      </c>
      <c r="Y50" s="7">
        <v>5893.3099271258434</v>
      </c>
      <c r="Z50" s="7">
        <v>0</v>
      </c>
      <c r="AA50" s="7">
        <v>919.97945669781973</v>
      </c>
      <c r="AB50" s="7">
        <v>6813.2893838236623</v>
      </c>
      <c r="AC50" s="7">
        <v>0</v>
      </c>
      <c r="AD50" s="7">
        <v>808.09325776025287</v>
      </c>
      <c r="AE50" s="7">
        <v>0</v>
      </c>
      <c r="AF50" s="7">
        <v>0</v>
      </c>
      <c r="AG50" s="7">
        <v>7621.3826415839148</v>
      </c>
      <c r="AH50" s="7">
        <v>6813.2893838236623</v>
      </c>
      <c r="AI50" s="7">
        <v>519.91004630877808</v>
      </c>
      <c r="AJ50" s="7">
        <v>0</v>
      </c>
      <c r="AK50" s="7">
        <v>0</v>
      </c>
      <c r="AL50" s="7">
        <v>288.83891528251411</v>
      </c>
      <c r="AM50" s="7">
        <v>7622.0383454149551</v>
      </c>
      <c r="AN50" s="7">
        <v>0</v>
      </c>
      <c r="AO50" s="7">
        <v>0</v>
      </c>
      <c r="AP50" s="7">
        <v>0</v>
      </c>
      <c r="AQ50" s="7">
        <v>0</v>
      </c>
      <c r="AR50" s="7">
        <v>0</v>
      </c>
      <c r="AS50" s="7">
        <v>7622.0383454149551</v>
      </c>
      <c r="AT50" s="7">
        <v>4378.9751687844191</v>
      </c>
      <c r="AU50" s="7">
        <v>3458.9957120866002</v>
      </c>
    </row>
    <row r="51" spans="1:47" x14ac:dyDescent="0.35">
      <c r="A51" s="5">
        <v>46022</v>
      </c>
      <c r="B51" s="4" t="s">
        <v>84</v>
      </c>
      <c r="C51" s="4" t="s">
        <v>85</v>
      </c>
      <c r="D51" s="4" t="s">
        <v>61</v>
      </c>
      <c r="E51" s="4" t="s">
        <v>132</v>
      </c>
      <c r="F51" s="6">
        <v>424.47239999999999</v>
      </c>
      <c r="G51" s="6">
        <v>5.6</v>
      </c>
      <c r="H51" s="7">
        <v>32.748459908486851</v>
      </c>
      <c r="I51" s="7">
        <v>26.998567000000001</v>
      </c>
      <c r="J51" s="7">
        <v>3.2884266467763159</v>
      </c>
      <c r="K51" s="7">
        <v>54.765130041907902</v>
      </c>
      <c r="L51" s="7">
        <v>117.8005835971711</v>
      </c>
      <c r="M51" s="7">
        <v>20.46033930197369</v>
      </c>
      <c r="N51" s="7">
        <v>14.218045973684211</v>
      </c>
      <c r="O51" s="7">
        <v>16.77587034513158</v>
      </c>
      <c r="P51" s="7">
        <v>35.24224920631579</v>
      </c>
      <c r="Q51" s="7">
        <v>86.696504827105272</v>
      </c>
      <c r="R51" s="7">
        <v>0</v>
      </c>
      <c r="S51" s="7">
        <v>0</v>
      </c>
      <c r="T51" s="7">
        <v>0</v>
      </c>
      <c r="U51" s="7">
        <v>0</v>
      </c>
      <c r="V51" s="7">
        <v>0</v>
      </c>
      <c r="W51" s="7">
        <v>204.49708842427631</v>
      </c>
      <c r="X51" s="7">
        <v>29.66247911368421</v>
      </c>
      <c r="Y51" s="7">
        <v>234.1595675379605</v>
      </c>
      <c r="Z51" s="7">
        <v>37.227271999999999</v>
      </c>
      <c r="AA51" s="7">
        <v>45.1646481590466</v>
      </c>
      <c r="AB51" s="7">
        <v>316.55148769700708</v>
      </c>
      <c r="AC51" s="7">
        <v>0</v>
      </c>
      <c r="AD51" s="7">
        <v>73.355183564210535</v>
      </c>
      <c r="AE51" s="7">
        <v>0</v>
      </c>
      <c r="AF51" s="7">
        <v>0</v>
      </c>
      <c r="AG51" s="7">
        <v>389.9066712612177</v>
      </c>
      <c r="AH51" s="7">
        <v>316.55148769700708</v>
      </c>
      <c r="AI51" s="7">
        <v>14.64359220453947</v>
      </c>
      <c r="AJ51" s="7">
        <v>0</v>
      </c>
      <c r="AK51" s="7">
        <v>0</v>
      </c>
      <c r="AL51" s="7">
        <v>36.608980016250008</v>
      </c>
      <c r="AM51" s="7">
        <v>367.80405991779662</v>
      </c>
      <c r="AN51" s="7">
        <v>0</v>
      </c>
      <c r="AO51" s="7">
        <v>0</v>
      </c>
      <c r="AP51" s="7">
        <v>0</v>
      </c>
      <c r="AQ51" s="7">
        <v>0</v>
      </c>
      <c r="AR51" s="7">
        <v>0</v>
      </c>
      <c r="AS51" s="7">
        <v>367.80405991779662</v>
      </c>
      <c r="AT51" s="7">
        <v>328.02945025371457</v>
      </c>
      <c r="AU51" s="7">
        <v>245.63753009466799</v>
      </c>
    </row>
    <row r="52" spans="1:47" x14ac:dyDescent="0.35">
      <c r="A52" s="5">
        <v>46022</v>
      </c>
      <c r="B52" s="4" t="s">
        <v>84</v>
      </c>
      <c r="C52" s="4" t="s">
        <v>85</v>
      </c>
      <c r="D52" s="4" t="s">
        <v>61</v>
      </c>
      <c r="E52" s="4" t="s">
        <v>133</v>
      </c>
      <c r="F52" s="6">
        <v>50</v>
      </c>
      <c r="G52" s="6">
        <v>56.5</v>
      </c>
      <c r="H52" s="7">
        <v>538.11238061960535</v>
      </c>
      <c r="I52" s="7">
        <v>443.63195100000002</v>
      </c>
      <c r="J52" s="7">
        <v>54.034390129144739</v>
      </c>
      <c r="K52" s="7">
        <v>899.88336564592112</v>
      </c>
      <c r="L52" s="7">
        <v>1935.6620873946711</v>
      </c>
      <c r="M52" s="7">
        <v>336.19784577927629</v>
      </c>
      <c r="N52" s="7">
        <v>233.62646109453951</v>
      </c>
      <c r="O52" s="7">
        <v>275.65581022125002</v>
      </c>
      <c r="P52" s="7">
        <v>579.08953612065795</v>
      </c>
      <c r="Q52" s="7">
        <v>1424.569653215724</v>
      </c>
      <c r="R52" s="7">
        <v>389.62606499999998</v>
      </c>
      <c r="S52" s="7">
        <v>518.34760500000004</v>
      </c>
      <c r="T52" s="7">
        <v>432.68932100000001</v>
      </c>
      <c r="U52" s="7">
        <v>2732.937977</v>
      </c>
      <c r="V52" s="7">
        <v>4073.6009680000002</v>
      </c>
      <c r="W52" s="7">
        <v>7433.8327086103945</v>
      </c>
      <c r="X52" s="7">
        <v>1261.6174687908549</v>
      </c>
      <c r="Y52" s="7">
        <v>8695.4501774012497</v>
      </c>
      <c r="Z52" s="7">
        <v>40</v>
      </c>
      <c r="AA52" s="7">
        <v>746.8797881913066</v>
      </c>
      <c r="AB52" s="7">
        <v>9482.3299655925566</v>
      </c>
      <c r="AC52" s="7">
        <v>0</v>
      </c>
      <c r="AD52" s="7">
        <v>1205.3492745947369</v>
      </c>
      <c r="AE52" s="7">
        <v>0</v>
      </c>
      <c r="AF52" s="7">
        <v>0</v>
      </c>
      <c r="AG52" s="7">
        <v>10687.67924018729</v>
      </c>
      <c r="AH52" s="7">
        <v>9482.3299655925566</v>
      </c>
      <c r="AI52" s="7">
        <v>240.61888933144741</v>
      </c>
      <c r="AJ52" s="7">
        <v>0</v>
      </c>
      <c r="AK52" s="7">
        <v>0</v>
      </c>
      <c r="AL52" s="7">
        <v>601.54722332861854</v>
      </c>
      <c r="AM52" s="7">
        <v>10324.49607825262</v>
      </c>
      <c r="AN52" s="7">
        <v>0</v>
      </c>
      <c r="AO52" s="7">
        <v>0</v>
      </c>
      <c r="AP52" s="7">
        <v>0</v>
      </c>
      <c r="AQ52" s="7">
        <v>0</v>
      </c>
      <c r="AR52" s="7">
        <v>0</v>
      </c>
      <c r="AS52" s="7">
        <v>10324.49607825262</v>
      </c>
      <c r="AT52" s="7">
        <v>-1093.6301128172281</v>
      </c>
      <c r="AU52" s="7">
        <v>-1880.5099010085351</v>
      </c>
    </row>
    <row r="53" spans="1:47" x14ac:dyDescent="0.35">
      <c r="A53" s="5">
        <v>46022</v>
      </c>
      <c r="B53" s="4" t="s">
        <v>86</v>
      </c>
      <c r="C53" s="4" t="s">
        <v>87</v>
      </c>
      <c r="D53" s="4" t="s">
        <v>66</v>
      </c>
      <c r="E53" s="4" t="s">
        <v>132</v>
      </c>
      <c r="F53" s="6">
        <v>66</v>
      </c>
      <c r="G53" s="6">
        <v>2</v>
      </c>
      <c r="H53" s="7">
        <v>55.792711440730343</v>
      </c>
      <c r="I53" s="7">
        <v>5.1980880000000003</v>
      </c>
      <c r="J53" s="7">
        <v>13.96978130793539</v>
      </c>
      <c r="K53" s="7">
        <v>69.868260461446624</v>
      </c>
      <c r="L53" s="7">
        <v>144.82884121011239</v>
      </c>
      <c r="M53" s="7">
        <v>45.327091740941007</v>
      </c>
      <c r="N53" s="7">
        <v>0</v>
      </c>
      <c r="O53" s="7">
        <v>8.1599175540028099</v>
      </c>
      <c r="P53" s="7">
        <v>14.50032051348315</v>
      </c>
      <c r="Q53" s="7">
        <v>67.987329808426963</v>
      </c>
      <c r="R53" s="7">
        <v>0</v>
      </c>
      <c r="S53" s="7">
        <v>0</v>
      </c>
      <c r="T53" s="7">
        <v>0</v>
      </c>
      <c r="U53" s="7">
        <v>0</v>
      </c>
      <c r="V53" s="7">
        <v>0</v>
      </c>
      <c r="W53" s="7">
        <v>212.81617101853931</v>
      </c>
      <c r="X53" s="7">
        <v>10.82448008125</v>
      </c>
      <c r="Y53" s="7">
        <v>223.6406510997893</v>
      </c>
      <c r="Z53" s="7">
        <v>0</v>
      </c>
      <c r="AA53" s="7">
        <v>7.163896532446131</v>
      </c>
      <c r="AB53" s="7">
        <v>230.80454763223551</v>
      </c>
      <c r="AC53" s="7">
        <v>0</v>
      </c>
      <c r="AD53" s="7">
        <v>7.1700291418539326</v>
      </c>
      <c r="AE53" s="7">
        <v>0</v>
      </c>
      <c r="AF53" s="7">
        <v>0</v>
      </c>
      <c r="AG53" s="7">
        <v>237.9745767740894</v>
      </c>
      <c r="AH53" s="7">
        <v>230.80454763223551</v>
      </c>
      <c r="AI53" s="7">
        <v>8.5126032365870792</v>
      </c>
      <c r="AJ53" s="7">
        <v>0</v>
      </c>
      <c r="AK53" s="7">
        <v>0</v>
      </c>
      <c r="AL53" s="7">
        <v>1.2768909353932589</v>
      </c>
      <c r="AM53" s="7">
        <v>240.59404180421581</v>
      </c>
      <c r="AN53" s="7">
        <v>0</v>
      </c>
      <c r="AO53" s="7">
        <v>0</v>
      </c>
      <c r="AP53" s="7">
        <v>0</v>
      </c>
      <c r="AQ53" s="7">
        <v>0</v>
      </c>
      <c r="AR53" s="7">
        <v>0</v>
      </c>
      <c r="AS53" s="7">
        <v>240.59404180421581</v>
      </c>
      <c r="AT53" s="7">
        <v>-64.442949380572344</v>
      </c>
      <c r="AU53" s="7">
        <v>-71.606845913018475</v>
      </c>
    </row>
    <row r="54" spans="1:47" x14ac:dyDescent="0.35">
      <c r="A54" s="5">
        <v>46022</v>
      </c>
      <c r="B54" s="4" t="s">
        <v>174</v>
      </c>
      <c r="C54" s="4" t="s">
        <v>175</v>
      </c>
      <c r="D54" s="4" t="s">
        <v>66</v>
      </c>
      <c r="E54" s="4" t="s">
        <v>132</v>
      </c>
      <c r="F54" s="6">
        <v>65.8125</v>
      </c>
      <c r="G54" s="6">
        <v>6</v>
      </c>
      <c r="H54" s="7">
        <v>36.984631652036512</v>
      </c>
      <c r="I54" s="7">
        <v>28.038066000000001</v>
      </c>
      <c r="J54" s="7">
        <v>20.013838712921348</v>
      </c>
      <c r="K54" s="7">
        <v>194.30099217661521</v>
      </c>
      <c r="L54" s="7">
        <v>279.33752854157302</v>
      </c>
      <c r="M54" s="7">
        <v>22.477521569241571</v>
      </c>
      <c r="N54" s="7">
        <v>33.351857145014051</v>
      </c>
      <c r="O54" s="7">
        <v>26.123491295786518</v>
      </c>
      <c r="P54" s="7">
        <v>122.2540438051264</v>
      </c>
      <c r="Q54" s="7">
        <v>204.20691381516849</v>
      </c>
      <c r="R54" s="7">
        <v>0</v>
      </c>
      <c r="S54" s="7">
        <v>0</v>
      </c>
      <c r="T54" s="7">
        <v>0</v>
      </c>
      <c r="U54" s="7">
        <v>0</v>
      </c>
      <c r="V54" s="7">
        <v>0</v>
      </c>
      <c r="W54" s="7">
        <v>483.54444235674163</v>
      </c>
      <c r="X54" s="7">
        <v>76.149180954985965</v>
      </c>
      <c r="Y54" s="7">
        <v>559.69362331172749</v>
      </c>
      <c r="Z54" s="7">
        <v>0</v>
      </c>
      <c r="AA54" s="7">
        <v>33.584589407721261</v>
      </c>
      <c r="AB54" s="7">
        <v>593.27821271944879</v>
      </c>
      <c r="AC54" s="7">
        <v>23.47492939691011</v>
      </c>
      <c r="AD54" s="7">
        <v>194.74188727183989</v>
      </c>
      <c r="AE54" s="7">
        <v>0</v>
      </c>
      <c r="AF54" s="7">
        <v>0</v>
      </c>
      <c r="AG54" s="7">
        <v>811.49502938819876</v>
      </c>
      <c r="AH54" s="7">
        <v>593.27821271944879</v>
      </c>
      <c r="AI54" s="7">
        <v>58.323697115098319</v>
      </c>
      <c r="AJ54" s="7">
        <v>23.47492939691011</v>
      </c>
      <c r="AK54" s="7">
        <v>0</v>
      </c>
      <c r="AL54" s="7">
        <v>2.80898909389045</v>
      </c>
      <c r="AM54" s="7">
        <v>677.88582832534769</v>
      </c>
      <c r="AN54" s="7">
        <v>0</v>
      </c>
      <c r="AO54" s="7">
        <v>1.053371035182584</v>
      </c>
      <c r="AP54" s="7">
        <v>0</v>
      </c>
      <c r="AQ54" s="7">
        <v>0</v>
      </c>
      <c r="AR54" s="7">
        <v>0</v>
      </c>
      <c r="AS54" s="7">
        <v>678.93919936053032</v>
      </c>
      <c r="AT54" s="7">
        <v>186.63059044110011</v>
      </c>
      <c r="AU54" s="7">
        <v>153.04600103337879</v>
      </c>
    </row>
    <row r="55" spans="1:47" x14ac:dyDescent="0.35">
      <c r="A55" s="5">
        <v>46022</v>
      </c>
      <c r="B55" s="4" t="s">
        <v>88</v>
      </c>
      <c r="C55" s="4" t="s">
        <v>89</v>
      </c>
      <c r="D55" s="4" t="s">
        <v>66</v>
      </c>
      <c r="E55" s="4" t="s">
        <v>132</v>
      </c>
      <c r="F55" s="6">
        <v>416</v>
      </c>
      <c r="G55" s="6">
        <v>1.5</v>
      </c>
      <c r="H55" s="7">
        <v>2.4929506890449442</v>
      </c>
      <c r="I55" s="7">
        <v>4.6245010000000004</v>
      </c>
      <c r="J55" s="7">
        <v>0.28570979564606741</v>
      </c>
      <c r="K55" s="7">
        <v>4.7442792923455057</v>
      </c>
      <c r="L55" s="7">
        <v>12.14744077703652</v>
      </c>
      <c r="M55" s="7">
        <v>1.9082708919241571</v>
      </c>
      <c r="N55" s="7">
        <v>3.3463048714887642</v>
      </c>
      <c r="O55" s="7">
        <v>6.2136346719101123</v>
      </c>
      <c r="P55" s="7">
        <v>9.7500634807584259</v>
      </c>
      <c r="Q55" s="7">
        <v>21.218273916081461</v>
      </c>
      <c r="R55" s="7">
        <v>0</v>
      </c>
      <c r="S55" s="7">
        <v>0</v>
      </c>
      <c r="T55" s="7">
        <v>0</v>
      </c>
      <c r="U55" s="7">
        <v>0</v>
      </c>
      <c r="V55" s="7">
        <v>0</v>
      </c>
      <c r="W55" s="7">
        <v>33.36571469311798</v>
      </c>
      <c r="X55" s="7">
        <v>4.4454262662219097</v>
      </c>
      <c r="Y55" s="7">
        <v>37.811140959339888</v>
      </c>
      <c r="Z55" s="7">
        <v>0</v>
      </c>
      <c r="AA55" s="7">
        <v>4.7037854203419727</v>
      </c>
      <c r="AB55" s="7">
        <v>42.51492637968186</v>
      </c>
      <c r="AC55" s="7">
        <v>2.4033395717696631</v>
      </c>
      <c r="AD55" s="7">
        <v>5.3323523744382024</v>
      </c>
      <c r="AE55" s="7">
        <v>0</v>
      </c>
      <c r="AF55" s="7">
        <v>0</v>
      </c>
      <c r="AG55" s="7">
        <v>50.250618325889732</v>
      </c>
      <c r="AH55" s="7">
        <v>42.51492637968186</v>
      </c>
      <c r="AI55" s="7">
        <v>5.0047114144662928</v>
      </c>
      <c r="AJ55" s="7">
        <v>2.4033395717696631</v>
      </c>
      <c r="AK55" s="7">
        <v>24.908011419943819</v>
      </c>
      <c r="AL55" s="7">
        <v>3.336473943047753</v>
      </c>
      <c r="AM55" s="7">
        <v>78.167462728909385</v>
      </c>
      <c r="AN55" s="7">
        <v>0</v>
      </c>
      <c r="AO55" s="7">
        <v>0</v>
      </c>
      <c r="AP55" s="7">
        <v>0</v>
      </c>
      <c r="AQ55" s="7">
        <v>0</v>
      </c>
      <c r="AR55" s="7">
        <v>0</v>
      </c>
      <c r="AS55" s="7">
        <v>78.167462728909385</v>
      </c>
      <c r="AT55" s="7">
        <v>9.0792697465469825</v>
      </c>
      <c r="AU55" s="7">
        <v>4.3754843262050098</v>
      </c>
    </row>
    <row r="56" spans="1:47" x14ac:dyDescent="0.35">
      <c r="A56" s="5">
        <v>46022</v>
      </c>
      <c r="B56" s="4" t="s">
        <v>176</v>
      </c>
      <c r="C56" s="4" t="s">
        <v>177</v>
      </c>
      <c r="D56" s="4" t="s">
        <v>66</v>
      </c>
      <c r="E56" s="4" t="s">
        <v>134</v>
      </c>
      <c r="F56" s="6">
        <v>7</v>
      </c>
      <c r="G56" s="6">
        <v>99</v>
      </c>
      <c r="H56" s="7">
        <v>0</v>
      </c>
      <c r="I56" s="7">
        <v>0</v>
      </c>
      <c r="J56" s="7">
        <v>0</v>
      </c>
      <c r="K56" s="7">
        <v>0</v>
      </c>
      <c r="L56" s="7">
        <v>0</v>
      </c>
      <c r="M56" s="7">
        <v>0</v>
      </c>
      <c r="N56" s="7">
        <v>0</v>
      </c>
      <c r="O56" s="7">
        <v>0</v>
      </c>
      <c r="P56" s="7">
        <v>0</v>
      </c>
      <c r="Q56" s="7">
        <v>0</v>
      </c>
      <c r="R56" s="7">
        <v>701.476044</v>
      </c>
      <c r="S56" s="7">
        <v>902.95456799999999</v>
      </c>
      <c r="T56" s="7">
        <v>864.56613200000004</v>
      </c>
      <c r="U56" s="7">
        <v>2653.1421740000001</v>
      </c>
      <c r="V56" s="7">
        <v>5122.138919</v>
      </c>
      <c r="W56" s="7">
        <v>5122.138919</v>
      </c>
      <c r="X56" s="7">
        <v>217.3764697454354</v>
      </c>
      <c r="Y56" s="7">
        <v>5339.5153887454353</v>
      </c>
      <c r="Z56" s="7">
        <v>0</v>
      </c>
      <c r="AA56" s="7">
        <v>821.78280747825875</v>
      </c>
      <c r="AB56" s="7">
        <v>6161.2981962236936</v>
      </c>
      <c r="AC56" s="7">
        <v>0</v>
      </c>
      <c r="AD56" s="7">
        <v>1977.1785568009129</v>
      </c>
      <c r="AE56" s="7">
        <v>0</v>
      </c>
      <c r="AF56" s="7">
        <v>0</v>
      </c>
      <c r="AG56" s="7">
        <v>8138.4767530246072</v>
      </c>
      <c r="AH56" s="7">
        <v>6161.2981962236936</v>
      </c>
      <c r="AI56" s="7">
        <v>1536.317945309831</v>
      </c>
      <c r="AJ56" s="7">
        <v>0</v>
      </c>
      <c r="AK56" s="7">
        <v>0</v>
      </c>
      <c r="AL56" s="7">
        <v>614.52717772401684</v>
      </c>
      <c r="AM56" s="7">
        <v>8312.1433192575423</v>
      </c>
      <c r="AN56" s="7">
        <v>0</v>
      </c>
      <c r="AO56" s="7">
        <v>0</v>
      </c>
      <c r="AP56" s="7">
        <v>0</v>
      </c>
      <c r="AQ56" s="7">
        <v>0</v>
      </c>
      <c r="AR56" s="7">
        <v>0</v>
      </c>
      <c r="AS56" s="7">
        <v>8312.1433192575423</v>
      </c>
      <c r="AT56" s="7">
        <v>4932.7696959094974</v>
      </c>
      <c r="AU56" s="7">
        <v>4110.9868884312382</v>
      </c>
    </row>
  </sheetData>
  <mergeCells count="48">
    <mergeCell ref="AS6:AS9"/>
    <mergeCell ref="AT6:AT9"/>
    <mergeCell ref="AU6:AU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49"/>
  <sheetViews>
    <sheetView workbookViewId="0"/>
  </sheetViews>
  <sheetFormatPr defaultRowHeight="14.5" x14ac:dyDescent="0.35"/>
  <cols>
    <col min="1" max="1" width="48.54296875" customWidth="1"/>
    <col min="2" max="2" width="30.1796875" customWidth="1"/>
    <col min="3" max="3" width="16.1796875" customWidth="1"/>
    <col min="4" max="4" width="17.453125" customWidth="1"/>
    <col min="5" max="5" width="19.54296875" customWidth="1"/>
    <col min="6" max="6" width="17.54296875" customWidth="1"/>
    <col min="7" max="29" width="21.1796875" customWidth="1"/>
    <col min="30" max="30" width="16.1796875" customWidth="1"/>
    <col min="31" max="31" width="29.453125" customWidth="1"/>
    <col min="32" max="40" width="21.1796875" customWidth="1"/>
    <col min="41" max="42" width="16.1796875" customWidth="1"/>
    <col min="43" max="43" width="18.81640625" customWidth="1"/>
    <col min="44" max="44" width="21.1796875" customWidth="1"/>
    <col min="45" max="46" width="22" customWidth="1"/>
  </cols>
  <sheetData>
    <row r="1" spans="1:46" ht="40" customHeight="1" x14ac:dyDescent="0.35">
      <c r="A1" s="12"/>
      <c r="B1" s="12"/>
      <c r="C1" s="12"/>
      <c r="D1" s="12"/>
    </row>
    <row r="2" spans="1:46" ht="30" customHeight="1" x14ac:dyDescent="0.45">
      <c r="A2" s="1" t="s">
        <v>196</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x14ac:dyDescent="0.35">
      <c r="A3" s="3" t="s">
        <v>0</v>
      </c>
    </row>
    <row r="4" spans="1:46" x14ac:dyDescent="0.35">
      <c r="A4" s="3" t="s">
        <v>1</v>
      </c>
    </row>
    <row r="5" spans="1:46" x14ac:dyDescent="0.35">
      <c r="A5" s="4"/>
    </row>
    <row r="6" spans="1:46" x14ac:dyDescent="0.35">
      <c r="A6" s="13" t="s">
        <v>3</v>
      </c>
      <c r="B6" s="13" t="s">
        <v>4</v>
      </c>
      <c r="C6" s="13" t="s">
        <v>5</v>
      </c>
      <c r="D6" s="13" t="s">
        <v>6</v>
      </c>
      <c r="E6" s="14" t="s">
        <v>92</v>
      </c>
      <c r="F6" s="14" t="s">
        <v>93</v>
      </c>
      <c r="G6" s="14" t="s">
        <v>94</v>
      </c>
      <c r="H6" s="14" t="s">
        <v>95</v>
      </c>
      <c r="I6" s="14" t="s">
        <v>96</v>
      </c>
      <c r="J6" s="14" t="s">
        <v>97</v>
      </c>
      <c r="K6" s="14" t="s">
        <v>98</v>
      </c>
      <c r="L6" s="14" t="s">
        <v>99</v>
      </c>
      <c r="M6" s="14" t="s">
        <v>100</v>
      </c>
      <c r="N6" s="14" t="s">
        <v>101</v>
      </c>
      <c r="O6" s="14" t="s">
        <v>102</v>
      </c>
      <c r="P6" s="14" t="s">
        <v>103</v>
      </c>
      <c r="Q6" s="14" t="s">
        <v>104</v>
      </c>
      <c r="R6" s="14" t="s">
        <v>105</v>
      </c>
      <c r="S6" s="14" t="s">
        <v>106</v>
      </c>
      <c r="T6" s="14" t="s">
        <v>107</v>
      </c>
      <c r="U6" s="14" t="s">
        <v>108</v>
      </c>
      <c r="V6" s="14" t="s">
        <v>109</v>
      </c>
      <c r="W6" s="14" t="s">
        <v>110</v>
      </c>
      <c r="X6" s="14" t="s">
        <v>111</v>
      </c>
      <c r="Y6" s="14" t="s">
        <v>112</v>
      </c>
      <c r="Z6" s="14" t="s">
        <v>113</v>
      </c>
      <c r="AA6" s="14" t="s">
        <v>114</v>
      </c>
      <c r="AB6" s="14" t="s">
        <v>115</v>
      </c>
      <c r="AC6" s="14" t="s">
        <v>116</v>
      </c>
      <c r="AD6" s="14" t="s">
        <v>117</v>
      </c>
      <c r="AE6" s="14" t="s">
        <v>118</v>
      </c>
      <c r="AF6" s="14" t="s">
        <v>119</v>
      </c>
      <c r="AG6" s="14" t="s">
        <v>114</v>
      </c>
      <c r="AH6" s="14" t="s">
        <v>120</v>
      </c>
      <c r="AI6" s="14" t="s">
        <v>115</v>
      </c>
      <c r="AJ6" s="14" t="s">
        <v>121</v>
      </c>
      <c r="AK6" s="14" t="s">
        <v>122</v>
      </c>
      <c r="AL6" s="14" t="s">
        <v>123</v>
      </c>
      <c r="AM6" s="14" t="s">
        <v>124</v>
      </c>
      <c r="AN6" s="14" t="s">
        <v>125</v>
      </c>
      <c r="AO6" s="14" t="s">
        <v>126</v>
      </c>
      <c r="AP6" s="14" t="s">
        <v>127</v>
      </c>
      <c r="AQ6" s="14" t="s">
        <v>128</v>
      </c>
      <c r="AR6" s="14" t="s">
        <v>129</v>
      </c>
      <c r="AS6" s="14" t="s">
        <v>130</v>
      </c>
      <c r="AT6" s="14" t="s">
        <v>131</v>
      </c>
    </row>
    <row r="7" spans="1:46" x14ac:dyDescent="0.35">
      <c r="A7" s="13"/>
      <c r="B7" s="13"/>
      <c r="C7" s="13"/>
      <c r="D7" s="13"/>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row>
    <row r="8" spans="1:46" x14ac:dyDescent="0.35">
      <c r="A8" s="13"/>
      <c r="B8" s="13"/>
      <c r="C8" s="13"/>
      <c r="D8" s="13"/>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row>
    <row r="9" spans="1:46" x14ac:dyDescent="0.35">
      <c r="A9" s="13"/>
      <c r="B9" s="13"/>
      <c r="C9" s="13"/>
      <c r="D9" s="13"/>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row>
    <row r="10" spans="1:46" x14ac:dyDescent="0.35">
      <c r="A10" s="5">
        <v>46022</v>
      </c>
      <c r="B10" s="4" t="s">
        <v>43</v>
      </c>
      <c r="C10" s="4" t="s">
        <v>44</v>
      </c>
      <c r="D10" s="4" t="s">
        <v>45</v>
      </c>
      <c r="E10" s="6">
        <v>0.68006800000000001</v>
      </c>
      <c r="F10" s="6">
        <v>2.5</v>
      </c>
      <c r="G10" s="7">
        <v>758.29717643478261</v>
      </c>
      <c r="H10" s="7">
        <v>533.85637999999994</v>
      </c>
      <c r="I10" s="7">
        <v>170.7277374347826</v>
      </c>
      <c r="J10" s="7">
        <v>430.0029169</v>
      </c>
      <c r="K10" s="7">
        <v>1892.884210769565</v>
      </c>
      <c r="L10" s="7">
        <v>958.55279196956519</v>
      </c>
      <c r="M10" s="7">
        <v>0</v>
      </c>
      <c r="N10" s="7">
        <v>78.373485582608694</v>
      </c>
      <c r="O10" s="7">
        <v>547.81304475652178</v>
      </c>
      <c r="P10" s="7">
        <v>1584.739322308696</v>
      </c>
      <c r="Q10" s="7">
        <v>0</v>
      </c>
      <c r="R10" s="7">
        <v>0</v>
      </c>
      <c r="S10" s="7">
        <v>0</v>
      </c>
      <c r="T10" s="7">
        <v>0</v>
      </c>
      <c r="U10" s="7">
        <v>0</v>
      </c>
      <c r="V10" s="7">
        <v>3477.6235330782611</v>
      </c>
      <c r="W10" s="7">
        <v>556.15272031304346</v>
      </c>
      <c r="X10" s="7">
        <v>4033.7762533913042</v>
      </c>
      <c r="Y10" s="7">
        <v>0</v>
      </c>
      <c r="Z10" s="7">
        <v>0</v>
      </c>
      <c r="AA10" s="7">
        <v>4033.7762533913042</v>
      </c>
      <c r="AB10" s="7">
        <v>0</v>
      </c>
      <c r="AC10" s="7">
        <v>348.0176799434783</v>
      </c>
      <c r="AD10" s="7">
        <v>0</v>
      </c>
      <c r="AE10" s="7">
        <v>0</v>
      </c>
      <c r="AF10" s="7">
        <v>4381.7939333347831</v>
      </c>
      <c r="AG10" s="7">
        <v>4033.7762533913042</v>
      </c>
      <c r="AH10" s="7">
        <v>69.603531969565211</v>
      </c>
      <c r="AI10" s="7">
        <v>0</v>
      </c>
      <c r="AJ10" s="7">
        <v>0</v>
      </c>
      <c r="AK10" s="7">
        <v>348.0176799434783</v>
      </c>
      <c r="AL10" s="7">
        <v>4451.3974653043479</v>
      </c>
      <c r="AM10" s="7">
        <v>0</v>
      </c>
      <c r="AN10" s="7">
        <v>0</v>
      </c>
      <c r="AO10" s="7">
        <v>0</v>
      </c>
      <c r="AP10" s="7">
        <v>0</v>
      </c>
      <c r="AQ10" s="7">
        <v>0</v>
      </c>
      <c r="AR10" s="7">
        <v>4451.3974653043479</v>
      </c>
      <c r="AS10" s="7">
        <v>-312.27625339130429</v>
      </c>
      <c r="AT10" s="7">
        <v>-312.27625339130429</v>
      </c>
    </row>
    <row r="11" spans="1:46" x14ac:dyDescent="0.35">
      <c r="A11" s="5">
        <v>46022</v>
      </c>
      <c r="B11" s="4" t="s">
        <v>46</v>
      </c>
      <c r="C11" s="4" t="s">
        <v>47</v>
      </c>
      <c r="D11" s="4" t="s">
        <v>48</v>
      </c>
      <c r="E11" s="6">
        <v>66.819727</v>
      </c>
      <c r="F11" s="6">
        <v>5.1269999999999998</v>
      </c>
      <c r="G11" s="7">
        <v>496.13058000000007</v>
      </c>
      <c r="H11" s="7">
        <v>159.52221</v>
      </c>
      <c r="I11" s="7">
        <v>23.52599</v>
      </c>
      <c r="J11" s="7">
        <v>482.55763999999999</v>
      </c>
      <c r="K11" s="7">
        <v>1161.73642</v>
      </c>
      <c r="L11" s="7">
        <v>186.92694</v>
      </c>
      <c r="M11" s="7">
        <v>108.43772</v>
      </c>
      <c r="N11" s="7">
        <v>389.87222000000003</v>
      </c>
      <c r="O11" s="7">
        <v>602.57074999999998</v>
      </c>
      <c r="P11" s="7">
        <v>1287.80763</v>
      </c>
      <c r="Q11" s="7">
        <v>0</v>
      </c>
      <c r="R11" s="7">
        <v>0</v>
      </c>
      <c r="S11" s="7">
        <v>0</v>
      </c>
      <c r="T11" s="7">
        <v>0</v>
      </c>
      <c r="U11" s="7">
        <v>0</v>
      </c>
      <c r="V11" s="7">
        <v>2449.54405</v>
      </c>
      <c r="W11" s="7">
        <v>604.28227000000004</v>
      </c>
      <c r="X11" s="7">
        <v>3053.8263200000001</v>
      </c>
      <c r="Y11" s="7">
        <v>276.04122999999998</v>
      </c>
      <c r="Z11" s="7">
        <v>97.282177898464909</v>
      </c>
      <c r="AA11" s="7">
        <v>3427.1497278984648</v>
      </c>
      <c r="AB11" s="7">
        <v>0</v>
      </c>
      <c r="AC11" s="7">
        <v>543.16175999999996</v>
      </c>
      <c r="AD11" s="7">
        <v>0</v>
      </c>
      <c r="AE11" s="7">
        <v>0</v>
      </c>
      <c r="AF11" s="7">
        <v>3970.3114878984652</v>
      </c>
      <c r="AG11" s="7">
        <v>3427.1497278984648</v>
      </c>
      <c r="AH11" s="7">
        <v>302.85667000000001</v>
      </c>
      <c r="AI11" s="7">
        <v>0</v>
      </c>
      <c r="AJ11" s="7">
        <v>0</v>
      </c>
      <c r="AK11" s="7">
        <v>74.464830000000006</v>
      </c>
      <c r="AL11" s="7">
        <v>3804.4712278984648</v>
      </c>
      <c r="AM11" s="7">
        <v>0</v>
      </c>
      <c r="AN11" s="7">
        <v>0</v>
      </c>
      <c r="AO11" s="7">
        <v>0</v>
      </c>
      <c r="AP11" s="7">
        <v>0</v>
      </c>
      <c r="AQ11" s="7">
        <v>0</v>
      </c>
      <c r="AR11" s="7">
        <v>3804.4712278984648</v>
      </c>
      <c r="AS11" s="7">
        <v>1805.467118413128</v>
      </c>
      <c r="AT11" s="7">
        <v>1432.1437105146631</v>
      </c>
    </row>
    <row r="12" spans="1:46" x14ac:dyDescent="0.35">
      <c r="A12" s="5">
        <v>46022</v>
      </c>
      <c r="B12" s="4" t="s">
        <v>49</v>
      </c>
      <c r="C12" s="4" t="s">
        <v>50</v>
      </c>
      <c r="D12" s="4" t="s">
        <v>48</v>
      </c>
      <c r="E12" s="6">
        <v>57.125673999999997</v>
      </c>
      <c r="F12" s="6">
        <v>4.4000000000000004</v>
      </c>
      <c r="G12" s="7">
        <v>274.45191999999997</v>
      </c>
      <c r="H12" s="7">
        <v>158.72997000000001</v>
      </c>
      <c r="I12" s="7">
        <v>51.572069999999997</v>
      </c>
      <c r="J12" s="7">
        <v>841.85634000000016</v>
      </c>
      <c r="K12" s="7">
        <v>1326.6103000000001</v>
      </c>
      <c r="L12" s="7">
        <v>238.61358000000001</v>
      </c>
      <c r="M12" s="7">
        <v>264.0147</v>
      </c>
      <c r="N12" s="7">
        <v>211.64406</v>
      </c>
      <c r="O12" s="7">
        <v>428.49319000000003</v>
      </c>
      <c r="P12" s="7">
        <v>1142.7655299999999</v>
      </c>
      <c r="Q12" s="7">
        <v>0</v>
      </c>
      <c r="R12" s="7">
        <v>0</v>
      </c>
      <c r="S12" s="7">
        <v>0</v>
      </c>
      <c r="T12" s="7">
        <v>0</v>
      </c>
      <c r="U12" s="7">
        <v>0</v>
      </c>
      <c r="V12" s="7">
        <v>2469.37583</v>
      </c>
      <c r="W12" s="7">
        <v>423.43903</v>
      </c>
      <c r="X12" s="7">
        <v>2892.81486</v>
      </c>
      <c r="Y12" s="7">
        <v>321.65922999999998</v>
      </c>
      <c r="Z12" s="7">
        <v>100.50042316811638</v>
      </c>
      <c r="AA12" s="7">
        <v>3314.9745131681161</v>
      </c>
      <c r="AB12" s="7">
        <v>0</v>
      </c>
      <c r="AC12" s="7">
        <v>528.75836000000004</v>
      </c>
      <c r="AD12" s="7">
        <v>0</v>
      </c>
      <c r="AE12" s="7">
        <v>0</v>
      </c>
      <c r="AF12" s="7">
        <v>3843.7328731681159</v>
      </c>
      <c r="AG12" s="7">
        <v>3314.9745131681161</v>
      </c>
      <c r="AH12" s="7">
        <v>227.56843000000001</v>
      </c>
      <c r="AI12" s="7">
        <v>0</v>
      </c>
      <c r="AJ12" s="7">
        <v>0</v>
      </c>
      <c r="AK12" s="7">
        <v>246.93758000000003</v>
      </c>
      <c r="AL12" s="7">
        <v>3789.4805231681162</v>
      </c>
      <c r="AM12" s="7">
        <v>350.10527999999999</v>
      </c>
      <c r="AN12" s="7">
        <v>0</v>
      </c>
      <c r="AO12" s="7">
        <v>0</v>
      </c>
      <c r="AP12" s="7">
        <v>0</v>
      </c>
      <c r="AQ12" s="7">
        <v>0</v>
      </c>
      <c r="AR12" s="7">
        <v>4139.5858031681164</v>
      </c>
      <c r="AS12" s="7">
        <v>2132.206127202262</v>
      </c>
      <c r="AT12" s="7">
        <v>1710.0464740341461</v>
      </c>
    </row>
    <row r="13" spans="1:46" x14ac:dyDescent="0.35">
      <c r="A13" s="5">
        <v>46022</v>
      </c>
      <c r="B13" s="4" t="s">
        <v>51</v>
      </c>
      <c r="C13" s="4" t="s">
        <v>52</v>
      </c>
      <c r="D13" s="4" t="s">
        <v>53</v>
      </c>
      <c r="E13" s="6">
        <v>15.423932000000001</v>
      </c>
      <c r="F13" s="6">
        <v>5.5</v>
      </c>
      <c r="G13" s="7">
        <v>415.96352165801062</v>
      </c>
      <c r="H13" s="7">
        <v>1038.7844299999999</v>
      </c>
      <c r="I13" s="7">
        <v>16.318883812237221</v>
      </c>
      <c r="J13" s="7">
        <v>1038.6527650031819</v>
      </c>
      <c r="K13" s="7">
        <v>2509.7196004734301</v>
      </c>
      <c r="L13" s="7">
        <v>115.521120935978</v>
      </c>
      <c r="M13" s="7">
        <v>0</v>
      </c>
      <c r="N13" s="7">
        <v>420.8531177816688</v>
      </c>
      <c r="O13" s="7">
        <v>572.42595759977576</v>
      </c>
      <c r="P13" s="7">
        <v>1108.8001963174229</v>
      </c>
      <c r="Q13" s="7">
        <v>0</v>
      </c>
      <c r="R13" s="7">
        <v>0</v>
      </c>
      <c r="S13" s="7">
        <v>0</v>
      </c>
      <c r="T13" s="7">
        <v>0</v>
      </c>
      <c r="U13" s="7">
        <v>0</v>
      </c>
      <c r="V13" s="7">
        <v>3618.5197967908521</v>
      </c>
      <c r="W13" s="7">
        <v>1269.699736890735</v>
      </c>
      <c r="X13" s="7">
        <v>4888.2195336815876</v>
      </c>
      <c r="Y13" s="7">
        <v>220.56705732957411</v>
      </c>
      <c r="Z13" s="7">
        <v>250.224792053291</v>
      </c>
      <c r="AA13" s="7">
        <v>5359.0113830644532</v>
      </c>
      <c r="AB13" s="7">
        <v>7.3522342443158397</v>
      </c>
      <c r="AC13" s="7">
        <v>719.64732306870451</v>
      </c>
      <c r="AD13" s="7">
        <v>0</v>
      </c>
      <c r="AE13" s="7">
        <v>0</v>
      </c>
      <c r="AF13" s="7">
        <v>6086.0109403774732</v>
      </c>
      <c r="AG13" s="7">
        <v>5359.0113830644532</v>
      </c>
      <c r="AH13" s="7">
        <v>542.77847983591369</v>
      </c>
      <c r="AI13" s="7">
        <v>7.3522342443158397</v>
      </c>
      <c r="AJ13" s="7">
        <v>0</v>
      </c>
      <c r="AK13" s="7">
        <v>80.874586687507204</v>
      </c>
      <c r="AL13" s="7">
        <v>5990.0166838321893</v>
      </c>
      <c r="AM13" s="7">
        <v>972.51467000000002</v>
      </c>
      <c r="AN13" s="7">
        <v>0</v>
      </c>
      <c r="AO13" s="7">
        <v>0</v>
      </c>
      <c r="AP13" s="7">
        <v>0</v>
      </c>
      <c r="AQ13" s="7">
        <v>0</v>
      </c>
      <c r="AR13" s="7">
        <v>6962.5313538321889</v>
      </c>
      <c r="AS13" s="7">
        <v>1069.513639320882</v>
      </c>
      <c r="AT13" s="7">
        <v>598.72178993801674</v>
      </c>
    </row>
    <row r="14" spans="1:46" x14ac:dyDescent="0.35">
      <c r="A14" s="5">
        <v>46022</v>
      </c>
      <c r="B14" s="4" t="s">
        <v>54</v>
      </c>
      <c r="C14" s="4" t="s">
        <v>55</v>
      </c>
      <c r="D14" s="4" t="s">
        <v>56</v>
      </c>
      <c r="E14" s="6">
        <v>2.2098469999999999</v>
      </c>
      <c r="F14" s="6">
        <v>57.258296000000001</v>
      </c>
      <c r="G14" s="7">
        <v>495.82531434689434</v>
      </c>
      <c r="H14" s="7">
        <v>157.87729144870212</v>
      </c>
      <c r="I14" s="7">
        <v>219.97635812206451</v>
      </c>
      <c r="J14" s="7">
        <v>777.32850232042813</v>
      </c>
      <c r="K14" s="7">
        <v>1651.0074662380894</v>
      </c>
      <c r="L14" s="7">
        <v>257.171412932831</v>
      </c>
      <c r="M14" s="7">
        <v>0</v>
      </c>
      <c r="N14" s="7">
        <v>71.32500457863928</v>
      </c>
      <c r="O14" s="7">
        <v>737.76482227923782</v>
      </c>
      <c r="P14" s="7">
        <v>1066.261239790708</v>
      </c>
      <c r="Q14" s="7">
        <v>266.38596724176631</v>
      </c>
      <c r="R14" s="7">
        <v>201.56794995270744</v>
      </c>
      <c r="S14" s="7">
        <v>218.24084650504517</v>
      </c>
      <c r="T14" s="7">
        <v>816.75368519640892</v>
      </c>
      <c r="U14" s="7">
        <v>1502.9484488959274</v>
      </c>
      <c r="V14" s="7">
        <v>4220.217154924725</v>
      </c>
      <c r="W14" s="7">
        <v>114.89057127636423</v>
      </c>
      <c r="X14" s="7">
        <v>4335.1077262010886</v>
      </c>
      <c r="Y14" s="7">
        <v>0</v>
      </c>
      <c r="Z14" s="7">
        <v>81.921862242039197</v>
      </c>
      <c r="AA14" s="7">
        <v>4417.0295884431289</v>
      </c>
      <c r="AB14" s="7">
        <v>0</v>
      </c>
      <c r="AC14" s="7">
        <v>710.53842206337094</v>
      </c>
      <c r="AD14" s="7">
        <v>0</v>
      </c>
      <c r="AE14" s="7">
        <v>0</v>
      </c>
      <c r="AF14" s="7">
        <v>5127.5680105064985</v>
      </c>
      <c r="AG14" s="7">
        <v>4417.0295884431289</v>
      </c>
      <c r="AH14" s="7">
        <v>211.01012795067362</v>
      </c>
      <c r="AI14" s="7">
        <v>0</v>
      </c>
      <c r="AJ14" s="7">
        <v>0</v>
      </c>
      <c r="AK14" s="7">
        <v>466.61809906942824</v>
      </c>
      <c r="AL14" s="7">
        <v>5094.6578154632298</v>
      </c>
      <c r="AM14" s="7">
        <v>0</v>
      </c>
      <c r="AN14" s="7">
        <v>0</v>
      </c>
      <c r="AO14" s="7">
        <v>0</v>
      </c>
      <c r="AP14" s="7">
        <v>0</v>
      </c>
      <c r="AQ14" s="7">
        <v>0</v>
      </c>
      <c r="AR14" s="7">
        <v>5094.6578154632298</v>
      </c>
      <c r="AS14" s="7">
        <v>3880.927604985653</v>
      </c>
      <c r="AT14" s="7">
        <v>3799.0057427436141</v>
      </c>
    </row>
    <row r="15" spans="1:46" x14ac:dyDescent="0.35">
      <c r="A15" s="5">
        <v>46022</v>
      </c>
      <c r="B15" s="4" t="s">
        <v>135</v>
      </c>
      <c r="C15" s="4" t="s">
        <v>136</v>
      </c>
      <c r="D15" s="4" t="s">
        <v>137</v>
      </c>
      <c r="E15" s="6">
        <v>33.835214000000001</v>
      </c>
      <c r="F15" s="6">
        <v>99.5</v>
      </c>
      <c r="G15" s="7">
        <v>0</v>
      </c>
      <c r="H15" s="7">
        <v>0</v>
      </c>
      <c r="I15" s="7">
        <v>0</v>
      </c>
      <c r="J15" s="7">
        <v>0</v>
      </c>
      <c r="K15" s="7">
        <v>0</v>
      </c>
      <c r="L15" s="7">
        <v>0</v>
      </c>
      <c r="M15" s="7">
        <v>0</v>
      </c>
      <c r="N15" s="7">
        <v>0</v>
      </c>
      <c r="O15" s="7">
        <v>0</v>
      </c>
      <c r="P15" s="7">
        <v>0</v>
      </c>
      <c r="Q15" s="7">
        <v>874.03842921185833</v>
      </c>
      <c r="R15" s="7">
        <v>2618.4562436253759</v>
      </c>
      <c r="S15" s="7">
        <v>480.18469394467002</v>
      </c>
      <c r="T15" s="7">
        <v>2704.0446135184652</v>
      </c>
      <c r="U15" s="7">
        <v>6676.7239803003686</v>
      </c>
      <c r="V15" s="7">
        <v>6676.7239803003686</v>
      </c>
      <c r="W15" s="7">
        <v>292.82899064321958</v>
      </c>
      <c r="X15" s="7">
        <v>6969.5529709435887</v>
      </c>
      <c r="Y15" s="7">
        <v>43.209349266926402</v>
      </c>
      <c r="Z15" s="7">
        <v>278.97404288551348</v>
      </c>
      <c r="AA15" s="7">
        <v>7291.736363096029</v>
      </c>
      <c r="AB15" s="7">
        <v>23.989020730323471</v>
      </c>
      <c r="AC15" s="7">
        <v>1535.320866702167</v>
      </c>
      <c r="AD15" s="7">
        <v>0</v>
      </c>
      <c r="AE15" s="7">
        <v>0</v>
      </c>
      <c r="AF15" s="7">
        <v>8851.0462505285195</v>
      </c>
      <c r="AG15" s="7">
        <v>7291.736363096029</v>
      </c>
      <c r="AH15" s="7">
        <v>236.43967295170901</v>
      </c>
      <c r="AI15" s="7">
        <v>23.989020730323471</v>
      </c>
      <c r="AJ15" s="7">
        <v>0</v>
      </c>
      <c r="AK15" s="7">
        <v>666.46432900762829</v>
      </c>
      <c r="AL15" s="7">
        <v>8218.6293857856908</v>
      </c>
      <c r="AM15" s="7">
        <v>0</v>
      </c>
      <c r="AN15" s="7">
        <v>0</v>
      </c>
      <c r="AO15" s="7">
        <v>0</v>
      </c>
      <c r="AP15" s="7">
        <v>0</v>
      </c>
      <c r="AQ15" s="7">
        <v>-108.65028</v>
      </c>
      <c r="AR15" s="7">
        <v>8109.9791057856892</v>
      </c>
      <c r="AS15" s="7">
        <v>818.72503997411957</v>
      </c>
      <c r="AT15" s="7">
        <v>496.54164782167987</v>
      </c>
    </row>
    <row r="16" spans="1:46" x14ac:dyDescent="0.35">
      <c r="A16" s="5">
        <v>46022</v>
      </c>
      <c r="B16" s="4" t="s">
        <v>138</v>
      </c>
      <c r="C16" s="4" t="s">
        <v>139</v>
      </c>
      <c r="D16" s="4" t="s">
        <v>66</v>
      </c>
      <c r="E16" s="6">
        <v>39.768115999999999</v>
      </c>
      <c r="F16" s="6">
        <v>99.4</v>
      </c>
      <c r="G16" s="7">
        <v>0</v>
      </c>
      <c r="H16" s="7">
        <v>0</v>
      </c>
      <c r="I16" s="7">
        <v>0</v>
      </c>
      <c r="J16" s="7">
        <v>0</v>
      </c>
      <c r="K16" s="7">
        <v>0</v>
      </c>
      <c r="L16" s="7">
        <v>0</v>
      </c>
      <c r="M16" s="7">
        <v>0</v>
      </c>
      <c r="N16" s="7">
        <v>0</v>
      </c>
      <c r="O16" s="7">
        <v>0</v>
      </c>
      <c r="P16" s="7">
        <v>0</v>
      </c>
      <c r="Q16" s="7">
        <v>291.3211132373595</v>
      </c>
      <c r="R16" s="7">
        <v>1267.739553759129</v>
      </c>
      <c r="S16" s="7">
        <v>1043.9755349887639</v>
      </c>
      <c r="T16" s="7">
        <v>2926.9017775007019</v>
      </c>
      <c r="U16" s="7">
        <v>5529.9379794859551</v>
      </c>
      <c r="V16" s="7">
        <v>5529.9379794859551</v>
      </c>
      <c r="W16" s="7">
        <v>80.502286674859548</v>
      </c>
      <c r="X16" s="7">
        <v>5610.4402661608137</v>
      </c>
      <c r="Y16" s="7">
        <v>0</v>
      </c>
      <c r="Z16" s="7">
        <v>926.78306201339376</v>
      </c>
      <c r="AA16" s="7">
        <v>6537.2233281742083</v>
      </c>
      <c r="AB16" s="7">
        <v>0</v>
      </c>
      <c r="AC16" s="7">
        <v>954.45556850632033</v>
      </c>
      <c r="AD16" s="7">
        <v>0</v>
      </c>
      <c r="AE16" s="7">
        <v>0</v>
      </c>
      <c r="AF16" s="7">
        <v>7491.6788966805289</v>
      </c>
      <c r="AG16" s="7">
        <v>6537.2233281742083</v>
      </c>
      <c r="AH16" s="7">
        <v>628.51187088974723</v>
      </c>
      <c r="AI16" s="7">
        <v>0</v>
      </c>
      <c r="AJ16" s="7">
        <v>130.57420559269659</v>
      </c>
      <c r="AK16" s="7">
        <v>276.49689697471911</v>
      </c>
      <c r="AL16" s="7">
        <v>7572.8063016313699</v>
      </c>
      <c r="AM16" s="7">
        <v>1131.5597600000001</v>
      </c>
      <c r="AN16" s="7">
        <v>0</v>
      </c>
      <c r="AO16" s="7">
        <v>0</v>
      </c>
      <c r="AP16" s="7">
        <v>0</v>
      </c>
      <c r="AQ16" s="7">
        <v>0</v>
      </c>
      <c r="AR16" s="7">
        <v>8704.3660616313718</v>
      </c>
      <c r="AS16" s="7">
        <v>4722.2581664369718</v>
      </c>
      <c r="AT16" s="7">
        <v>3795.4751044235786</v>
      </c>
    </row>
    <row r="17" spans="1:46" x14ac:dyDescent="0.35">
      <c r="A17" s="5">
        <v>46022</v>
      </c>
      <c r="B17" s="4" t="s">
        <v>140</v>
      </c>
      <c r="C17" s="4" t="s">
        <v>141</v>
      </c>
      <c r="D17" s="4" t="s">
        <v>137</v>
      </c>
      <c r="E17" s="6">
        <v>6.6575759999999997</v>
      </c>
      <c r="F17" s="6">
        <v>99.5</v>
      </c>
      <c r="G17" s="7">
        <v>0</v>
      </c>
      <c r="H17" s="7">
        <v>0</v>
      </c>
      <c r="I17" s="7">
        <v>0</v>
      </c>
      <c r="J17" s="7">
        <v>0</v>
      </c>
      <c r="K17" s="7">
        <v>0</v>
      </c>
      <c r="L17" s="7">
        <v>0</v>
      </c>
      <c r="M17" s="7">
        <v>0</v>
      </c>
      <c r="N17" s="7">
        <v>0</v>
      </c>
      <c r="O17" s="7">
        <v>0</v>
      </c>
      <c r="P17" s="7">
        <v>0</v>
      </c>
      <c r="Q17" s="7">
        <v>1816.2874967638979</v>
      </c>
      <c r="R17" s="7">
        <v>3018.1110293963302</v>
      </c>
      <c r="S17" s="7">
        <v>1078.424844634282</v>
      </c>
      <c r="T17" s="7">
        <v>2156.9343891299109</v>
      </c>
      <c r="U17" s="7">
        <v>8069.7577599244196</v>
      </c>
      <c r="V17" s="7">
        <v>8069.7577599244196</v>
      </c>
      <c r="W17" s="7">
        <v>342.21406980056639</v>
      </c>
      <c r="X17" s="7">
        <v>8411.9718297249856</v>
      </c>
      <c r="Y17" s="7">
        <v>32.844973702657811</v>
      </c>
      <c r="Z17" s="7">
        <v>373.96247121732165</v>
      </c>
      <c r="AA17" s="7">
        <v>8818.7792746449668</v>
      </c>
      <c r="AB17" s="7">
        <v>0</v>
      </c>
      <c r="AC17" s="7">
        <v>6054.7467084680802</v>
      </c>
      <c r="AD17" s="7">
        <v>0</v>
      </c>
      <c r="AE17" s="7">
        <v>0</v>
      </c>
      <c r="AF17" s="7">
        <v>14873.525983113041</v>
      </c>
      <c r="AG17" s="7">
        <v>8818.7792746449668</v>
      </c>
      <c r="AH17" s="7">
        <v>1210.4636684886559</v>
      </c>
      <c r="AI17" s="7">
        <v>0</v>
      </c>
      <c r="AJ17" s="7">
        <v>0</v>
      </c>
      <c r="AK17" s="7">
        <v>4224.7067942166868</v>
      </c>
      <c r="AL17" s="7">
        <v>14253.949737350311</v>
      </c>
      <c r="AM17" s="7">
        <v>15598.942940000001</v>
      </c>
      <c r="AN17" s="7">
        <v>0</v>
      </c>
      <c r="AO17" s="7">
        <v>0</v>
      </c>
      <c r="AP17" s="7">
        <v>0</v>
      </c>
      <c r="AQ17" s="7">
        <v>0</v>
      </c>
      <c r="AR17" s="7">
        <v>29852.892677350312</v>
      </c>
      <c r="AS17" s="7">
        <v>4053.4436825469811</v>
      </c>
      <c r="AT17" s="7">
        <v>3646.6362376270008</v>
      </c>
    </row>
    <row r="18" spans="1:46" x14ac:dyDescent="0.35">
      <c r="A18" s="5">
        <v>46022</v>
      </c>
      <c r="B18" s="4" t="s">
        <v>142</v>
      </c>
      <c r="C18" s="4" t="s">
        <v>143</v>
      </c>
      <c r="D18" s="4" t="s">
        <v>66</v>
      </c>
      <c r="E18" s="6">
        <v>24.878834000000001</v>
      </c>
      <c r="F18" s="6">
        <v>99.5</v>
      </c>
      <c r="G18" s="7">
        <v>0</v>
      </c>
      <c r="H18" s="7">
        <v>0</v>
      </c>
      <c r="I18" s="7">
        <v>0</v>
      </c>
      <c r="J18" s="7">
        <v>0</v>
      </c>
      <c r="K18" s="7">
        <v>0</v>
      </c>
      <c r="L18" s="7">
        <v>0</v>
      </c>
      <c r="M18" s="7">
        <v>0</v>
      </c>
      <c r="N18" s="7">
        <v>0</v>
      </c>
      <c r="O18" s="7">
        <v>0</v>
      </c>
      <c r="P18" s="7">
        <v>0</v>
      </c>
      <c r="Q18" s="7">
        <v>535.47794486376404</v>
      </c>
      <c r="R18" s="7">
        <v>1107.533242200843</v>
      </c>
      <c r="S18" s="7">
        <v>1036.1979838630621</v>
      </c>
      <c r="T18" s="7">
        <v>2662.0699324831462</v>
      </c>
      <c r="U18" s="7">
        <v>5341.2791034108141</v>
      </c>
      <c r="V18" s="7">
        <v>5341.2791034108141</v>
      </c>
      <c r="W18" s="7">
        <v>115.87596278511241</v>
      </c>
      <c r="X18" s="7">
        <v>5457.1550661959272</v>
      </c>
      <c r="Y18" s="7">
        <v>0</v>
      </c>
      <c r="Z18" s="7">
        <v>918.70019868516511</v>
      </c>
      <c r="AA18" s="7">
        <v>6375.8552648810919</v>
      </c>
      <c r="AB18" s="7">
        <v>0</v>
      </c>
      <c r="AC18" s="7">
        <v>754.44523439396062</v>
      </c>
      <c r="AD18" s="7">
        <v>0</v>
      </c>
      <c r="AE18" s="7">
        <v>0</v>
      </c>
      <c r="AF18" s="7">
        <v>7130.300499275053</v>
      </c>
      <c r="AG18" s="7">
        <v>6375.8552648810919</v>
      </c>
      <c r="AH18" s="7">
        <v>480.7151144080056</v>
      </c>
      <c r="AI18" s="7">
        <v>0</v>
      </c>
      <c r="AJ18" s="7">
        <v>0</v>
      </c>
      <c r="AK18" s="7">
        <v>267.06395467064613</v>
      </c>
      <c r="AL18" s="7">
        <v>7123.6343339597443</v>
      </c>
      <c r="AM18" s="7">
        <v>0</v>
      </c>
      <c r="AN18" s="7">
        <v>0</v>
      </c>
      <c r="AO18" s="7">
        <v>0</v>
      </c>
      <c r="AP18" s="7">
        <v>0</v>
      </c>
      <c r="AQ18" s="7">
        <v>0</v>
      </c>
      <c r="AR18" s="7">
        <v>7123.6343339597443</v>
      </c>
      <c r="AS18" s="7">
        <v>4865.1587518435854</v>
      </c>
      <c r="AT18" s="7">
        <v>3946.4585531584189</v>
      </c>
    </row>
    <row r="19" spans="1:46" x14ac:dyDescent="0.35">
      <c r="A19" s="5">
        <v>46022</v>
      </c>
      <c r="B19" s="4" t="s">
        <v>57</v>
      </c>
      <c r="C19" s="4" t="s">
        <v>58</v>
      </c>
      <c r="D19" s="4" t="s">
        <v>53</v>
      </c>
      <c r="E19" s="6">
        <v>52.616554000000001</v>
      </c>
      <c r="F19" s="6">
        <v>6</v>
      </c>
      <c r="G19" s="7">
        <v>45.689250662313896</v>
      </c>
      <c r="H19" s="7">
        <v>162.53238999999999</v>
      </c>
      <c r="I19" s="7">
        <v>75.89904028042406</v>
      </c>
      <c r="J19" s="7">
        <v>633.34653848807113</v>
      </c>
      <c r="K19" s="7">
        <v>917.46721943080911</v>
      </c>
      <c r="L19" s="7">
        <v>97.782092440751171</v>
      </c>
      <c r="M19" s="7">
        <v>267.29083140327441</v>
      </c>
      <c r="N19" s="7">
        <v>311.17038609803632</v>
      </c>
      <c r="O19" s="7">
        <v>464.11646044444439</v>
      </c>
      <c r="P19" s="7">
        <v>1140.3597703865059</v>
      </c>
      <c r="Q19" s="7">
        <v>0</v>
      </c>
      <c r="R19" s="7">
        <v>0</v>
      </c>
      <c r="S19" s="7">
        <v>0</v>
      </c>
      <c r="T19" s="7">
        <v>0</v>
      </c>
      <c r="U19" s="7">
        <v>0</v>
      </c>
      <c r="V19" s="7">
        <v>2057.8269898173148</v>
      </c>
      <c r="W19" s="7">
        <v>1163.891417983149</v>
      </c>
      <c r="X19" s="7">
        <v>3221.7184078004648</v>
      </c>
      <c r="Y19" s="7">
        <v>202.186466718768</v>
      </c>
      <c r="Z19" s="7">
        <v>359.64365133805421</v>
      </c>
      <c r="AA19" s="7">
        <v>3783.5485258572871</v>
      </c>
      <c r="AB19" s="7">
        <v>5.3916377791627497</v>
      </c>
      <c r="AC19" s="7">
        <v>292.07535313132507</v>
      </c>
      <c r="AD19" s="7">
        <v>0</v>
      </c>
      <c r="AE19" s="7">
        <v>0</v>
      </c>
      <c r="AF19" s="7">
        <v>4081.0155167677749</v>
      </c>
      <c r="AG19" s="7">
        <v>3783.5485258572871</v>
      </c>
      <c r="AH19" s="7">
        <v>102.89137928884929</v>
      </c>
      <c r="AI19" s="7">
        <v>5.3916377791627497</v>
      </c>
      <c r="AJ19" s="7">
        <v>0</v>
      </c>
      <c r="AK19" s="7">
        <v>40.032922010321343</v>
      </c>
      <c r="AL19" s="7">
        <v>3931.8644649356202</v>
      </c>
      <c r="AM19" s="7">
        <v>285.08138000000002</v>
      </c>
      <c r="AN19" s="7">
        <v>0</v>
      </c>
      <c r="AO19" s="7">
        <v>0</v>
      </c>
      <c r="AP19" s="7">
        <v>0</v>
      </c>
      <c r="AQ19" s="7">
        <v>0</v>
      </c>
      <c r="AR19" s="7">
        <v>4216.9458449356198</v>
      </c>
      <c r="AS19" s="7">
        <v>2772.3424119239044</v>
      </c>
      <c r="AT19" s="7">
        <v>2210.5122938670811</v>
      </c>
    </row>
    <row r="20" spans="1:46" x14ac:dyDescent="0.35">
      <c r="A20" s="5">
        <v>46022</v>
      </c>
      <c r="B20" s="4" t="s">
        <v>59</v>
      </c>
      <c r="C20" s="4" t="s">
        <v>60</v>
      </c>
      <c r="D20" s="4" t="s">
        <v>61</v>
      </c>
      <c r="E20" s="6">
        <v>208.18977000000001</v>
      </c>
      <c r="F20" s="6">
        <v>7.8145040000000003</v>
      </c>
      <c r="G20" s="7">
        <v>409.61756211117961</v>
      </c>
      <c r="H20" s="7">
        <v>180.42761007497373</v>
      </c>
      <c r="I20" s="7">
        <v>10.454116585235774</v>
      </c>
      <c r="J20" s="7">
        <v>457.09556821809008</v>
      </c>
      <c r="K20" s="7">
        <v>1057.5948569894792</v>
      </c>
      <c r="L20" s="7">
        <v>197.25773403093018</v>
      </c>
      <c r="M20" s="7">
        <v>45.656991804181793</v>
      </c>
      <c r="N20" s="7">
        <v>87.497051203102984</v>
      </c>
      <c r="O20" s="7">
        <v>352.94975168623716</v>
      </c>
      <c r="P20" s="7">
        <v>683.361528724452</v>
      </c>
      <c r="Q20" s="7">
        <v>38.621168667281367</v>
      </c>
      <c r="R20" s="7">
        <v>36.943100184947362</v>
      </c>
      <c r="S20" s="7">
        <v>158.50489387793274</v>
      </c>
      <c r="T20" s="7">
        <v>150.11999212038691</v>
      </c>
      <c r="U20" s="7">
        <v>384.18915485054833</v>
      </c>
      <c r="V20" s="7">
        <v>2125.1455405644792</v>
      </c>
      <c r="W20" s="7">
        <v>170.44214849254027</v>
      </c>
      <c r="X20" s="7">
        <v>2295.5876890570198</v>
      </c>
      <c r="Y20" s="7">
        <v>308.582595143471</v>
      </c>
      <c r="Z20" s="7">
        <v>252.54418596968858</v>
      </c>
      <c r="AA20" s="7">
        <v>2856.7144701701791</v>
      </c>
      <c r="AB20" s="7">
        <v>8.8477975225208105</v>
      </c>
      <c r="AC20" s="7">
        <v>684.13734528746488</v>
      </c>
      <c r="AD20" s="7">
        <v>0</v>
      </c>
      <c r="AE20" s="7">
        <v>0</v>
      </c>
      <c r="AF20" s="7">
        <v>3549.6996129801655</v>
      </c>
      <c r="AG20" s="7">
        <v>2856.7144701701791</v>
      </c>
      <c r="AH20" s="7">
        <v>127.47739535134346</v>
      </c>
      <c r="AI20" s="7">
        <v>8.8477975225208105</v>
      </c>
      <c r="AJ20" s="7">
        <v>1.4368252716730703</v>
      </c>
      <c r="AK20" s="7">
        <v>215.4104985658509</v>
      </c>
      <c r="AL20" s="7">
        <v>3209.8869868815682</v>
      </c>
      <c r="AM20" s="7">
        <v>1280.3925296774137</v>
      </c>
      <c r="AN20" s="7">
        <v>0</v>
      </c>
      <c r="AO20" s="7">
        <v>0</v>
      </c>
      <c r="AP20" s="7">
        <v>0</v>
      </c>
      <c r="AQ20" s="7">
        <v>0</v>
      </c>
      <c r="AR20" s="7">
        <v>4490.2795165589814</v>
      </c>
      <c r="AS20" s="7">
        <v>3248.8692540167972</v>
      </c>
      <c r="AT20" s="7">
        <v>2687.7424729036384</v>
      </c>
    </row>
    <row r="21" spans="1:46" x14ac:dyDescent="0.35">
      <c r="A21" s="5">
        <v>46022</v>
      </c>
      <c r="B21" s="4" t="s">
        <v>62</v>
      </c>
      <c r="C21" s="4" t="s">
        <v>63</v>
      </c>
      <c r="D21" s="4" t="s">
        <v>56</v>
      </c>
      <c r="E21" s="6">
        <v>31.159458000000001</v>
      </c>
      <c r="F21" s="6">
        <v>5.3</v>
      </c>
      <c r="G21" s="7">
        <v>633.12038353246749</v>
      </c>
      <c r="H21" s="7">
        <v>575.91290000000004</v>
      </c>
      <c r="I21" s="7">
        <v>38.025722240259739</v>
      </c>
      <c r="J21" s="7">
        <v>849.38805973469391</v>
      </c>
      <c r="K21" s="7">
        <v>2096.447065507421</v>
      </c>
      <c r="L21" s="7">
        <v>144.7208538144713</v>
      </c>
      <c r="M21" s="7">
        <v>0</v>
      </c>
      <c r="N21" s="7">
        <v>63.056080099257883</v>
      </c>
      <c r="O21" s="7">
        <v>759.28194914749542</v>
      </c>
      <c r="P21" s="7">
        <v>967.05888306122449</v>
      </c>
      <c r="Q21" s="7">
        <v>0</v>
      </c>
      <c r="R21" s="7">
        <v>0</v>
      </c>
      <c r="S21" s="7">
        <v>0</v>
      </c>
      <c r="T21" s="7">
        <v>0</v>
      </c>
      <c r="U21" s="7">
        <v>0</v>
      </c>
      <c r="V21" s="7">
        <v>3063.5059485686456</v>
      </c>
      <c r="W21" s="7">
        <v>395.69312036827461</v>
      </c>
      <c r="X21" s="7">
        <v>3459.19906893692</v>
      </c>
      <c r="Y21" s="7">
        <v>425.74855203617813</v>
      </c>
      <c r="Z21" s="7">
        <v>168.32870343958919</v>
      </c>
      <c r="AA21" s="7">
        <v>4053.2763244126882</v>
      </c>
      <c r="AB21" s="7">
        <v>224.63005039981451</v>
      </c>
      <c r="AC21" s="7">
        <v>846.73915548144726</v>
      </c>
      <c r="AD21" s="7">
        <v>0</v>
      </c>
      <c r="AE21" s="7">
        <v>0</v>
      </c>
      <c r="AF21" s="7">
        <v>5124.6455302939494</v>
      </c>
      <c r="AG21" s="7">
        <v>4053.2763244126882</v>
      </c>
      <c r="AH21" s="7">
        <v>802.25017285714296</v>
      </c>
      <c r="AI21" s="7">
        <v>224.63005039981451</v>
      </c>
      <c r="AJ21" s="7">
        <v>80.225017285714287</v>
      </c>
      <c r="AK21" s="7">
        <v>520.78692504267156</v>
      </c>
      <c r="AL21" s="7">
        <v>5681.1684899980319</v>
      </c>
      <c r="AM21" s="7">
        <v>2246.5088900000001</v>
      </c>
      <c r="AN21" s="7">
        <v>256.72005331447127</v>
      </c>
      <c r="AO21" s="7">
        <v>0</v>
      </c>
      <c r="AP21" s="7">
        <v>0</v>
      </c>
      <c r="AQ21" s="7">
        <v>0</v>
      </c>
      <c r="AR21" s="7">
        <v>8184.3974333125016</v>
      </c>
      <c r="AS21" s="7">
        <v>1392.030427729215</v>
      </c>
      <c r="AT21" s="7">
        <v>797.95317225344809</v>
      </c>
    </row>
    <row r="22" spans="1:46" x14ac:dyDescent="0.35">
      <c r="A22" s="5">
        <v>46022</v>
      </c>
      <c r="B22" s="4" t="s">
        <v>64</v>
      </c>
      <c r="C22" s="4" t="s">
        <v>65</v>
      </c>
      <c r="D22" s="4" t="s">
        <v>66</v>
      </c>
      <c r="E22" s="6">
        <v>27.541101999999999</v>
      </c>
      <c r="F22" s="6">
        <v>6</v>
      </c>
      <c r="G22" s="7">
        <v>150.57082850537461</v>
      </c>
      <c r="H22" s="7">
        <v>278.45225708800001</v>
      </c>
      <c r="I22" s="7">
        <v>59.438316765730349</v>
      </c>
      <c r="J22" s="7">
        <v>729.10410925106316</v>
      </c>
      <c r="K22" s="7">
        <v>1217.565511610168</v>
      </c>
      <c r="L22" s="7">
        <v>64.942013825897618</v>
      </c>
      <c r="M22" s="7">
        <v>105.53569627303951</v>
      </c>
      <c r="N22" s="7">
        <v>121.3581735724719</v>
      </c>
      <c r="O22" s="7">
        <v>352.97162435818331</v>
      </c>
      <c r="P22" s="7">
        <v>644.80750802959233</v>
      </c>
      <c r="Q22" s="7">
        <v>0</v>
      </c>
      <c r="R22" s="7">
        <v>0</v>
      </c>
      <c r="S22" s="7">
        <v>0</v>
      </c>
      <c r="T22" s="7">
        <v>0</v>
      </c>
      <c r="U22" s="7">
        <v>0</v>
      </c>
      <c r="V22" s="7">
        <v>1862.3730196397601</v>
      </c>
      <c r="W22" s="7">
        <v>86.182829523628143</v>
      </c>
      <c r="X22" s="7">
        <v>1948.555849163389</v>
      </c>
      <c r="Y22" s="7">
        <v>0</v>
      </c>
      <c r="Z22" s="7">
        <v>238.9691208625004</v>
      </c>
      <c r="AA22" s="7">
        <v>2187.5249700258892</v>
      </c>
      <c r="AB22" s="7">
        <v>53.274566858426972</v>
      </c>
      <c r="AC22" s="7">
        <v>72.289611220786512</v>
      </c>
      <c r="AD22" s="7">
        <v>0</v>
      </c>
      <c r="AE22" s="7">
        <v>0</v>
      </c>
      <c r="AF22" s="7">
        <v>2313.0891481051021</v>
      </c>
      <c r="AG22" s="7">
        <v>2187.5249700258892</v>
      </c>
      <c r="AH22" s="7">
        <v>649.57891026711172</v>
      </c>
      <c r="AI22" s="7">
        <v>53.274566858426972</v>
      </c>
      <c r="AJ22" s="7">
        <v>0</v>
      </c>
      <c r="AK22" s="7">
        <v>14.28434005332303</v>
      </c>
      <c r="AL22" s="7">
        <v>2904.6627872047511</v>
      </c>
      <c r="AM22" s="7">
        <v>0</v>
      </c>
      <c r="AN22" s="7">
        <v>0</v>
      </c>
      <c r="AO22" s="7">
        <v>0</v>
      </c>
      <c r="AP22" s="7">
        <v>0</v>
      </c>
      <c r="AQ22" s="7">
        <v>0</v>
      </c>
      <c r="AR22" s="7">
        <v>2904.6627872047511</v>
      </c>
      <c r="AS22" s="7">
        <v>3361.868966391763</v>
      </c>
      <c r="AT22" s="7">
        <v>3122.8998455292631</v>
      </c>
    </row>
    <row r="23" spans="1:46" x14ac:dyDescent="0.35">
      <c r="A23" s="5">
        <v>46022</v>
      </c>
      <c r="B23" s="4" t="s">
        <v>67</v>
      </c>
      <c r="C23" s="4" t="s">
        <v>68</v>
      </c>
      <c r="D23" s="4" t="s">
        <v>48</v>
      </c>
      <c r="E23" s="6">
        <v>41.395415999999997</v>
      </c>
      <c r="F23" s="6">
        <v>5.5</v>
      </c>
      <c r="G23" s="7">
        <v>325.50089000000003</v>
      </c>
      <c r="H23" s="7">
        <v>260.18148000000002</v>
      </c>
      <c r="I23" s="7">
        <v>31.713180000000001</v>
      </c>
      <c r="J23" s="7">
        <v>504.25373999999994</v>
      </c>
      <c r="K23" s="7">
        <v>1121.6492900000001</v>
      </c>
      <c r="L23" s="7">
        <v>146.41231999999999</v>
      </c>
      <c r="M23" s="7">
        <v>55.684200000000004</v>
      </c>
      <c r="N23" s="7">
        <v>313.95229</v>
      </c>
      <c r="O23" s="7">
        <v>105.31994</v>
      </c>
      <c r="P23" s="7">
        <v>621.36874999999998</v>
      </c>
      <c r="Q23" s="7">
        <v>0</v>
      </c>
      <c r="R23" s="7">
        <v>0</v>
      </c>
      <c r="S23" s="7">
        <v>0</v>
      </c>
      <c r="T23" s="7">
        <v>0</v>
      </c>
      <c r="U23" s="7">
        <v>0</v>
      </c>
      <c r="V23" s="7">
        <v>1743.0180399999999</v>
      </c>
      <c r="W23" s="7">
        <v>1051.18444</v>
      </c>
      <c r="X23" s="7">
        <v>2794.2024799999999</v>
      </c>
      <c r="Y23" s="7">
        <v>257.32738000000001</v>
      </c>
      <c r="Z23" s="7">
        <v>100.4661325214574</v>
      </c>
      <c r="AA23" s="7">
        <v>3151.9959925214571</v>
      </c>
      <c r="AB23" s="7">
        <v>0</v>
      </c>
      <c r="AC23" s="7">
        <v>686.95141999999998</v>
      </c>
      <c r="AD23" s="7">
        <v>0</v>
      </c>
      <c r="AE23" s="7">
        <v>0</v>
      </c>
      <c r="AF23" s="7">
        <v>3838.9474125214565</v>
      </c>
      <c r="AG23" s="7">
        <v>3151.9959925214571</v>
      </c>
      <c r="AH23" s="7">
        <v>160.11967000000001</v>
      </c>
      <c r="AI23" s="7">
        <v>0</v>
      </c>
      <c r="AJ23" s="7">
        <v>0</v>
      </c>
      <c r="AK23" s="7">
        <v>174.30179999999999</v>
      </c>
      <c r="AL23" s="7">
        <v>3486.4174625214569</v>
      </c>
      <c r="AM23" s="7">
        <v>483.14528999999999</v>
      </c>
      <c r="AN23" s="7">
        <v>0</v>
      </c>
      <c r="AO23" s="7">
        <v>0</v>
      </c>
      <c r="AP23" s="7">
        <v>0</v>
      </c>
      <c r="AQ23" s="7">
        <v>0</v>
      </c>
      <c r="AR23" s="7">
        <v>3969.5627525214568</v>
      </c>
      <c r="AS23" s="7">
        <v>2229.1041308659292</v>
      </c>
      <c r="AT23" s="7">
        <v>1871.3106183444711</v>
      </c>
    </row>
    <row r="24" spans="1:46" x14ac:dyDescent="0.35">
      <c r="A24" s="5">
        <v>46022</v>
      </c>
      <c r="B24" s="4" t="s">
        <v>69</v>
      </c>
      <c r="C24" s="4" t="s">
        <v>70</v>
      </c>
      <c r="D24" s="4" t="s">
        <v>61</v>
      </c>
      <c r="E24" s="6">
        <v>45.582624000000003</v>
      </c>
      <c r="F24" s="6">
        <v>5.101</v>
      </c>
      <c r="G24" s="7">
        <v>1090.7678375289479</v>
      </c>
      <c r="H24" s="7">
        <v>595.31421999999998</v>
      </c>
      <c r="I24" s="7">
        <v>138.0859171578947</v>
      </c>
      <c r="J24" s="7">
        <v>438.99448725000002</v>
      </c>
      <c r="K24" s="7">
        <v>2263.1624619368422</v>
      </c>
      <c r="L24" s="7">
        <v>287.05141935</v>
      </c>
      <c r="M24" s="7">
        <v>338.98700304473692</v>
      </c>
      <c r="N24" s="7">
        <v>152.61680195526321</v>
      </c>
      <c r="O24" s="7">
        <v>359.61924474473682</v>
      </c>
      <c r="P24" s="7">
        <v>1138.274469094737</v>
      </c>
      <c r="Q24" s="7">
        <v>0</v>
      </c>
      <c r="R24" s="7">
        <v>0</v>
      </c>
      <c r="S24" s="7">
        <v>0</v>
      </c>
      <c r="T24" s="7">
        <v>0</v>
      </c>
      <c r="U24" s="7">
        <v>0</v>
      </c>
      <c r="V24" s="7">
        <v>3401.4369310315797</v>
      </c>
      <c r="W24" s="7">
        <v>822.42317981842098</v>
      </c>
      <c r="X24" s="7">
        <v>4223.8601108499997</v>
      </c>
      <c r="Y24" s="7">
        <v>485.25780832105278</v>
      </c>
      <c r="Z24" s="7">
        <v>333.31295269498997</v>
      </c>
      <c r="AA24" s="7">
        <v>5042.4308718660432</v>
      </c>
      <c r="AB24" s="7">
        <v>0</v>
      </c>
      <c r="AC24" s="7">
        <v>1466.908049581579</v>
      </c>
      <c r="AD24" s="7">
        <v>0</v>
      </c>
      <c r="AE24" s="7">
        <v>0</v>
      </c>
      <c r="AF24" s="7">
        <v>6509.3389214476219</v>
      </c>
      <c r="AG24" s="7">
        <v>5042.4308718660432</v>
      </c>
      <c r="AH24" s="7">
        <v>204.73883436315793</v>
      </c>
      <c r="AI24" s="7">
        <v>0</v>
      </c>
      <c r="AJ24" s="7">
        <v>0</v>
      </c>
      <c r="AK24" s="7">
        <v>1022.56126081579</v>
      </c>
      <c r="AL24" s="7">
        <v>6269.7309670449904</v>
      </c>
      <c r="AM24" s="7">
        <v>1120.7577000000001</v>
      </c>
      <c r="AN24" s="7">
        <v>0</v>
      </c>
      <c r="AO24" s="7">
        <v>0</v>
      </c>
      <c r="AP24" s="7">
        <v>0</v>
      </c>
      <c r="AQ24" s="7">
        <v>0</v>
      </c>
      <c r="AR24" s="7">
        <v>7390.4886670449896</v>
      </c>
      <c r="AS24" s="7">
        <v>1580.0080849000201</v>
      </c>
      <c r="AT24" s="7">
        <v>761.43732388397711</v>
      </c>
    </row>
    <row r="25" spans="1:46" x14ac:dyDescent="0.35">
      <c r="A25" s="5">
        <v>46022</v>
      </c>
      <c r="B25" s="4" t="s">
        <v>144</v>
      </c>
      <c r="C25" s="4" t="s">
        <v>145</v>
      </c>
      <c r="D25" s="4" t="s">
        <v>66</v>
      </c>
      <c r="E25" s="6">
        <v>10.551024</v>
      </c>
      <c r="F25" s="6">
        <v>57</v>
      </c>
      <c r="G25" s="7">
        <v>0</v>
      </c>
      <c r="H25" s="7">
        <v>0</v>
      </c>
      <c r="I25" s="7">
        <v>0</v>
      </c>
      <c r="J25" s="7">
        <v>0</v>
      </c>
      <c r="K25" s="7">
        <v>0</v>
      </c>
      <c r="L25" s="7">
        <v>0</v>
      </c>
      <c r="M25" s="7">
        <v>0</v>
      </c>
      <c r="N25" s="7">
        <v>0</v>
      </c>
      <c r="O25" s="7">
        <v>0</v>
      </c>
      <c r="P25" s="7">
        <v>0</v>
      </c>
      <c r="Q25" s="7">
        <v>770.43116586165729</v>
      </c>
      <c r="R25" s="7">
        <v>817.85924188623585</v>
      </c>
      <c r="S25" s="7">
        <v>701.61676633216291</v>
      </c>
      <c r="T25" s="7">
        <v>4248.7795133405898</v>
      </c>
      <c r="U25" s="7">
        <v>6538.6866874206462</v>
      </c>
      <c r="V25" s="7">
        <v>6538.6866874206462</v>
      </c>
      <c r="W25" s="7">
        <v>131.1505141537921</v>
      </c>
      <c r="X25" s="7">
        <v>6669.837201574438</v>
      </c>
      <c r="Y25" s="7">
        <v>0</v>
      </c>
      <c r="Z25" s="7">
        <v>359.59159424761231</v>
      </c>
      <c r="AA25" s="7">
        <v>7029.4287958220511</v>
      </c>
      <c r="AB25" s="7">
        <v>0</v>
      </c>
      <c r="AC25" s="7">
        <v>1703.439673661517</v>
      </c>
      <c r="AD25" s="7">
        <v>0</v>
      </c>
      <c r="AE25" s="7">
        <v>0</v>
      </c>
      <c r="AF25" s="7">
        <v>8732.8684694835683</v>
      </c>
      <c r="AG25" s="7">
        <v>7029.4287958220511</v>
      </c>
      <c r="AH25" s="7">
        <v>196.16060532162922</v>
      </c>
      <c r="AI25" s="7">
        <v>0</v>
      </c>
      <c r="AJ25" s="7">
        <v>0</v>
      </c>
      <c r="AK25" s="7">
        <v>1634.6716743546349</v>
      </c>
      <c r="AL25" s="7">
        <v>8860.2610754983143</v>
      </c>
      <c r="AM25" s="7">
        <v>0</v>
      </c>
      <c r="AN25" s="7">
        <v>0</v>
      </c>
      <c r="AO25" s="7">
        <v>0</v>
      </c>
      <c r="AP25" s="7">
        <v>0</v>
      </c>
      <c r="AQ25" s="7">
        <v>0</v>
      </c>
      <c r="AR25" s="7">
        <v>8860.2610754983143</v>
      </c>
      <c r="AS25" s="7">
        <v>5316.5498229973773</v>
      </c>
      <c r="AT25" s="7">
        <v>4956.9582287497651</v>
      </c>
    </row>
    <row r="26" spans="1:46" x14ac:dyDescent="0.35">
      <c r="A26" s="5">
        <v>46022</v>
      </c>
      <c r="B26" s="4" t="s">
        <v>146</v>
      </c>
      <c r="C26" s="4" t="s">
        <v>147</v>
      </c>
      <c r="D26" s="4" t="s">
        <v>66</v>
      </c>
      <c r="E26" s="6">
        <v>23.802364000000001</v>
      </c>
      <c r="F26" s="6">
        <v>5.5</v>
      </c>
      <c r="G26" s="7">
        <v>232.41758530337083</v>
      </c>
      <c r="H26" s="7">
        <v>70.009</v>
      </c>
      <c r="I26" s="7">
        <v>182.7905026502809</v>
      </c>
      <c r="J26" s="7">
        <v>868.20032408637644</v>
      </c>
      <c r="K26" s="7">
        <v>1353.417412040028</v>
      </c>
      <c r="L26" s="7">
        <v>123.18378289185389</v>
      </c>
      <c r="M26" s="7">
        <v>57.153026797050558</v>
      </c>
      <c r="N26" s="7">
        <v>126.17390281811799</v>
      </c>
      <c r="O26" s="7">
        <v>234.41735391502812</v>
      </c>
      <c r="P26" s="7">
        <v>540.92806642205062</v>
      </c>
      <c r="Q26" s="7">
        <v>0</v>
      </c>
      <c r="R26" s="7">
        <v>0</v>
      </c>
      <c r="S26" s="7">
        <v>0</v>
      </c>
      <c r="T26" s="7">
        <v>0</v>
      </c>
      <c r="U26" s="7">
        <v>0</v>
      </c>
      <c r="V26" s="7">
        <v>1894.345478462079</v>
      </c>
      <c r="W26" s="7">
        <v>606.52024493328645</v>
      </c>
      <c r="X26" s="7">
        <v>2500.865723395365</v>
      </c>
      <c r="Y26" s="7">
        <v>0</v>
      </c>
      <c r="Z26" s="7">
        <v>226.3442303258428</v>
      </c>
      <c r="AA26" s="7">
        <v>2727.209953721208</v>
      </c>
      <c r="AB26" s="7">
        <v>0</v>
      </c>
      <c r="AC26" s="7">
        <v>490.11695326615165</v>
      </c>
      <c r="AD26" s="7">
        <v>0</v>
      </c>
      <c r="AE26" s="7">
        <v>0</v>
      </c>
      <c r="AF26" s="7">
        <v>3217.3269069873604</v>
      </c>
      <c r="AG26" s="7">
        <v>2727.209953721208</v>
      </c>
      <c r="AH26" s="7">
        <v>420.03783023735963</v>
      </c>
      <c r="AI26" s="7">
        <v>0</v>
      </c>
      <c r="AJ26" s="7">
        <v>0</v>
      </c>
      <c r="AK26" s="7">
        <v>15.489206136938202</v>
      </c>
      <c r="AL26" s="7">
        <v>3162.7369900955064</v>
      </c>
      <c r="AM26" s="7">
        <v>1680.5053499999999</v>
      </c>
      <c r="AN26" s="7">
        <v>0</v>
      </c>
      <c r="AO26" s="7">
        <v>0</v>
      </c>
      <c r="AP26" s="7">
        <v>0</v>
      </c>
      <c r="AQ26" s="7">
        <v>0</v>
      </c>
      <c r="AR26" s="7">
        <v>4843.2423400955058</v>
      </c>
      <c r="AS26" s="7">
        <v>2529.0060407725632</v>
      </c>
      <c r="AT26" s="7">
        <v>2302.6618104467202</v>
      </c>
    </row>
    <row r="27" spans="1:46" x14ac:dyDescent="0.35">
      <c r="A27" s="5">
        <v>46022</v>
      </c>
      <c r="B27" s="4" t="s">
        <v>148</v>
      </c>
      <c r="C27" s="4" t="s">
        <v>149</v>
      </c>
      <c r="D27" s="4" t="s">
        <v>137</v>
      </c>
      <c r="E27" s="6">
        <v>3.7641990000000001</v>
      </c>
      <c r="F27" s="6">
        <v>28.8</v>
      </c>
      <c r="G27" s="7">
        <v>0</v>
      </c>
      <c r="H27" s="7">
        <v>0</v>
      </c>
      <c r="I27" s="7">
        <v>0</v>
      </c>
      <c r="J27" s="7">
        <v>0</v>
      </c>
      <c r="K27" s="7">
        <v>0</v>
      </c>
      <c r="L27" s="7">
        <v>0</v>
      </c>
      <c r="M27" s="7">
        <v>0</v>
      </c>
      <c r="N27" s="7">
        <v>0</v>
      </c>
      <c r="O27" s="7">
        <v>0</v>
      </c>
      <c r="P27" s="7">
        <v>0</v>
      </c>
      <c r="Q27" s="7">
        <v>777.22599769239446</v>
      </c>
      <c r="R27" s="7">
        <v>2572.5228188177221</v>
      </c>
      <c r="S27" s="7">
        <v>1041.8012645865469</v>
      </c>
      <c r="T27" s="7">
        <v>2531.5084959575688</v>
      </c>
      <c r="U27" s="7">
        <v>6923.058577054233</v>
      </c>
      <c r="V27" s="7">
        <v>6923.058577054233</v>
      </c>
      <c r="W27" s="7">
        <v>159.39619907075041</v>
      </c>
      <c r="X27" s="7">
        <v>7082.4547761249833</v>
      </c>
      <c r="Y27" s="7">
        <v>139.4716716869107</v>
      </c>
      <c r="Z27" s="7">
        <v>359.74958020793269</v>
      </c>
      <c r="AA27" s="7">
        <v>7581.6760280198268</v>
      </c>
      <c r="AB27" s="7">
        <v>17.307641667643399</v>
      </c>
      <c r="AC27" s="7">
        <v>7101.1502955206906</v>
      </c>
      <c r="AD27" s="7">
        <v>0</v>
      </c>
      <c r="AE27" s="7">
        <v>0</v>
      </c>
      <c r="AF27" s="7">
        <v>14700.133965208161</v>
      </c>
      <c r="AG27" s="7">
        <v>7581.6760280198268</v>
      </c>
      <c r="AH27" s="7">
        <v>346.15293335270428</v>
      </c>
      <c r="AI27" s="7">
        <v>17.307641667643399</v>
      </c>
      <c r="AJ27" s="7">
        <v>0</v>
      </c>
      <c r="AK27" s="7">
        <v>692.30585670542496</v>
      </c>
      <c r="AL27" s="7">
        <v>8637.4424597455982</v>
      </c>
      <c r="AM27" s="7">
        <v>5313.2153799999996</v>
      </c>
      <c r="AN27" s="7">
        <v>0</v>
      </c>
      <c r="AO27" s="7">
        <v>0</v>
      </c>
      <c r="AP27" s="7">
        <v>0</v>
      </c>
      <c r="AQ27" s="7">
        <v>0</v>
      </c>
      <c r="AR27" s="7">
        <v>13950.6578397456</v>
      </c>
      <c r="AS27" s="7">
        <v>1862.8728540072559</v>
      </c>
      <c r="AT27" s="7">
        <v>1363.651602112413</v>
      </c>
    </row>
    <row r="28" spans="1:46" x14ac:dyDescent="0.35">
      <c r="A28" s="5">
        <v>46022</v>
      </c>
      <c r="B28" s="4" t="s">
        <v>71</v>
      </c>
      <c r="C28" s="4" t="s">
        <v>72</v>
      </c>
      <c r="D28" s="4" t="s">
        <v>61</v>
      </c>
      <c r="E28" s="6">
        <v>64.514515000000003</v>
      </c>
      <c r="F28" s="6">
        <v>4.5609999999999999</v>
      </c>
      <c r="G28" s="7">
        <v>702.5211223578948</v>
      </c>
      <c r="H28" s="7">
        <v>259.79685000000001</v>
      </c>
      <c r="I28" s="7">
        <v>46.998377099999999</v>
      </c>
      <c r="J28" s="7">
        <v>878.83996395789472</v>
      </c>
      <c r="K28" s="7">
        <v>1888.15631341579</v>
      </c>
      <c r="L28" s="7">
        <v>294.34586255526318</v>
      </c>
      <c r="M28" s="7">
        <v>129.36280158947369</v>
      </c>
      <c r="N28" s="7">
        <v>57.111078505263158</v>
      </c>
      <c r="O28" s="7">
        <v>442.0368049736843</v>
      </c>
      <c r="P28" s="7">
        <v>922.85654762368426</v>
      </c>
      <c r="Q28" s="7">
        <v>0</v>
      </c>
      <c r="R28" s="7">
        <v>0</v>
      </c>
      <c r="S28" s="7">
        <v>0</v>
      </c>
      <c r="T28" s="7">
        <v>0</v>
      </c>
      <c r="U28" s="7">
        <v>0</v>
      </c>
      <c r="V28" s="7">
        <v>2811.012861039474</v>
      </c>
      <c r="W28" s="7">
        <v>672.8071462105263</v>
      </c>
      <c r="X28" s="7">
        <v>3483.8200072499999</v>
      </c>
      <c r="Y28" s="7">
        <v>251.67855176052629</v>
      </c>
      <c r="Z28" s="7">
        <v>352.47117898445572</v>
      </c>
      <c r="AA28" s="7">
        <v>4087.9697379949816</v>
      </c>
      <c r="AB28" s="7">
        <v>7.7277552394736837</v>
      </c>
      <c r="AC28" s="7">
        <v>1172.8056601894741</v>
      </c>
      <c r="AD28" s="7">
        <v>0</v>
      </c>
      <c r="AE28" s="7">
        <v>0</v>
      </c>
      <c r="AF28" s="7">
        <v>5268.5031534239297</v>
      </c>
      <c r="AG28" s="7">
        <v>4087.9697379949816</v>
      </c>
      <c r="AH28" s="7">
        <v>149.56578947368419</v>
      </c>
      <c r="AI28" s="7">
        <v>7.7277552394736837</v>
      </c>
      <c r="AJ28" s="7">
        <v>139.09966410789471</v>
      </c>
      <c r="AK28" s="7">
        <v>927.33108740526325</v>
      </c>
      <c r="AL28" s="7">
        <v>5311.6940342212984</v>
      </c>
      <c r="AM28" s="7">
        <v>155.00388000000001</v>
      </c>
      <c r="AN28" s="7">
        <v>0</v>
      </c>
      <c r="AO28" s="7">
        <v>0</v>
      </c>
      <c r="AP28" s="7">
        <v>0</v>
      </c>
      <c r="AQ28" s="7">
        <v>0</v>
      </c>
      <c r="AR28" s="7">
        <v>5466.6979142212977</v>
      </c>
      <c r="AS28" s="7">
        <v>1817.3601946340109</v>
      </c>
      <c r="AT28" s="7">
        <v>1213.2104638890289</v>
      </c>
    </row>
    <row r="29" spans="1:46" x14ac:dyDescent="0.35">
      <c r="A29" s="5">
        <v>46022</v>
      </c>
      <c r="B29" s="4" t="s">
        <v>73</v>
      </c>
      <c r="C29" s="4" t="s">
        <v>74</v>
      </c>
      <c r="D29" s="4" t="s">
        <v>61</v>
      </c>
      <c r="E29" s="6">
        <v>3.9987970000000002</v>
      </c>
      <c r="F29" s="6">
        <v>5.3</v>
      </c>
      <c r="G29" s="7">
        <v>1865.855977626316</v>
      </c>
      <c r="H29" s="7">
        <v>403.47723000000002</v>
      </c>
      <c r="I29" s="7">
        <v>85.572700413157889</v>
      </c>
      <c r="J29" s="7">
        <v>1570.9675402421051</v>
      </c>
      <c r="K29" s="7">
        <v>3925.8734482815789</v>
      </c>
      <c r="L29" s="7">
        <v>854.14680168157895</v>
      </c>
      <c r="M29" s="7">
        <v>0</v>
      </c>
      <c r="N29" s="7">
        <v>239.7538408736842</v>
      </c>
      <c r="O29" s="7">
        <v>1229.0676038526319</v>
      </c>
      <c r="P29" s="7">
        <v>2322.9682464078951</v>
      </c>
      <c r="Q29" s="7">
        <v>0</v>
      </c>
      <c r="R29" s="7">
        <v>0</v>
      </c>
      <c r="S29" s="7">
        <v>0</v>
      </c>
      <c r="T29" s="7">
        <v>0</v>
      </c>
      <c r="U29" s="7">
        <v>0</v>
      </c>
      <c r="V29" s="7">
        <v>6248.841694689474</v>
      </c>
      <c r="W29" s="7">
        <v>321.9960302289474</v>
      </c>
      <c r="X29" s="7">
        <v>6570.8377249184214</v>
      </c>
      <c r="Y29" s="7">
        <v>180.29217645</v>
      </c>
      <c r="Z29" s="7">
        <v>364.97576355198498</v>
      </c>
      <c r="AA29" s="7">
        <v>7116.1056649204056</v>
      </c>
      <c r="AB29" s="7">
        <v>0</v>
      </c>
      <c r="AC29" s="7">
        <v>1342.1970431763159</v>
      </c>
      <c r="AD29" s="7">
        <v>0</v>
      </c>
      <c r="AE29" s="7">
        <v>0</v>
      </c>
      <c r="AF29" s="7">
        <v>8458.3027080967222</v>
      </c>
      <c r="AG29" s="7">
        <v>7116.1056649204056</v>
      </c>
      <c r="AH29" s="7">
        <v>2493.5129910236842</v>
      </c>
      <c r="AI29" s="7">
        <v>0</v>
      </c>
      <c r="AJ29" s="7">
        <v>0</v>
      </c>
      <c r="AK29" s="7">
        <v>444.8866913526316</v>
      </c>
      <c r="AL29" s="7">
        <v>10054.505347296719</v>
      </c>
      <c r="AM29" s="7">
        <v>0</v>
      </c>
      <c r="AN29" s="7">
        <v>0</v>
      </c>
      <c r="AO29" s="7">
        <v>0</v>
      </c>
      <c r="AP29" s="7">
        <v>0</v>
      </c>
      <c r="AQ29" s="7">
        <v>0</v>
      </c>
      <c r="AR29" s="7">
        <v>10054.505347296719</v>
      </c>
      <c r="AS29" s="7">
        <v>-659.7135946627053</v>
      </c>
      <c r="AT29" s="7">
        <v>-1204.9815346646899</v>
      </c>
    </row>
    <row r="30" spans="1:46" x14ac:dyDescent="0.35">
      <c r="A30" s="5">
        <v>46022</v>
      </c>
      <c r="B30" s="4" t="s">
        <v>75</v>
      </c>
      <c r="C30" s="4" t="s">
        <v>76</v>
      </c>
      <c r="D30" s="4" t="s">
        <v>61</v>
      </c>
      <c r="E30" s="6">
        <v>37.290429000000003</v>
      </c>
      <c r="F30" s="6">
        <v>28.764724000000001</v>
      </c>
      <c r="G30" s="7">
        <v>1036.954650982867</v>
      </c>
      <c r="H30" s="7">
        <v>798.97198184378328</v>
      </c>
      <c r="I30" s="7">
        <v>50.706343083593787</v>
      </c>
      <c r="J30" s="7">
        <v>759.33462704312774</v>
      </c>
      <c r="K30" s="7">
        <v>2645.9676029533712</v>
      </c>
      <c r="L30" s="7">
        <v>494.2583859190035</v>
      </c>
      <c r="M30" s="7">
        <v>79.451049863261645</v>
      </c>
      <c r="N30" s="7">
        <v>87.883529775294264</v>
      </c>
      <c r="O30" s="7">
        <v>466.70915021470404</v>
      </c>
      <c r="P30" s="7">
        <v>1128.3021157722633</v>
      </c>
      <c r="Q30" s="7">
        <v>130.43476191867651</v>
      </c>
      <c r="R30" s="7">
        <v>386.17459465525616</v>
      </c>
      <c r="S30" s="7">
        <v>125.05491209727151</v>
      </c>
      <c r="T30" s="7">
        <v>706.38739079897221</v>
      </c>
      <c r="U30" s="7">
        <v>1348.0516594701758</v>
      </c>
      <c r="V30" s="7">
        <v>5122.3213781958102</v>
      </c>
      <c r="W30" s="7">
        <v>46.090513026020716</v>
      </c>
      <c r="X30" s="7">
        <v>5168.4118912218319</v>
      </c>
      <c r="Y30" s="7">
        <v>208.75734320295481</v>
      </c>
      <c r="Z30" s="7">
        <v>510.87928546050892</v>
      </c>
      <c r="AA30" s="7">
        <v>5888.0485198852948</v>
      </c>
      <c r="AB30" s="7">
        <v>0</v>
      </c>
      <c r="AC30" s="7">
        <v>1758.0203620699142</v>
      </c>
      <c r="AD30" s="7">
        <v>0</v>
      </c>
      <c r="AE30" s="7">
        <v>0</v>
      </c>
      <c r="AF30" s="7">
        <v>7646.0688819552115</v>
      </c>
      <c r="AG30" s="7">
        <v>5888.0485198852948</v>
      </c>
      <c r="AH30" s="7">
        <v>399.54488387592329</v>
      </c>
      <c r="AI30" s="7">
        <v>0</v>
      </c>
      <c r="AJ30" s="7">
        <v>0</v>
      </c>
      <c r="AK30" s="7">
        <v>409.6006816862465</v>
      </c>
      <c r="AL30" s="7">
        <v>6697.1940854474651</v>
      </c>
      <c r="AM30" s="7">
        <v>2681.6532296328151</v>
      </c>
      <c r="AN30" s="7">
        <v>0</v>
      </c>
      <c r="AO30" s="7">
        <v>0</v>
      </c>
      <c r="AP30" s="7">
        <v>0</v>
      </c>
      <c r="AQ30" s="7">
        <v>0</v>
      </c>
      <c r="AR30" s="7">
        <v>9378.8473150802802</v>
      </c>
      <c r="AS30" s="7">
        <v>5049.1738785799416</v>
      </c>
      <c r="AT30" s="7">
        <v>4329.5372499164778</v>
      </c>
    </row>
    <row r="31" spans="1:46" x14ac:dyDescent="0.35">
      <c r="A31" s="5">
        <v>46022</v>
      </c>
      <c r="B31" s="4" t="s">
        <v>77</v>
      </c>
      <c r="C31" s="4" t="s">
        <v>78</v>
      </c>
      <c r="D31" s="4" t="s">
        <v>79</v>
      </c>
      <c r="E31" s="6">
        <v>26.369948999999998</v>
      </c>
      <c r="F31" s="6">
        <v>5.2</v>
      </c>
      <c r="G31" s="7">
        <v>1527.0272154525553</v>
      </c>
      <c r="H31" s="7">
        <v>666.44865000000004</v>
      </c>
      <c r="I31" s="7">
        <v>25.4536698350365</v>
      </c>
      <c r="J31" s="7">
        <v>1089.018676528467</v>
      </c>
      <c r="K31" s="7">
        <v>3307.948211816059</v>
      </c>
      <c r="L31" s="7">
        <v>642.10139781897817</v>
      </c>
      <c r="M31" s="7">
        <v>196.50286472846719</v>
      </c>
      <c r="N31" s="7">
        <v>169.2427868474453</v>
      </c>
      <c r="O31" s="7">
        <v>590.14984771094885</v>
      </c>
      <c r="P31" s="7">
        <v>1597.9968971058402</v>
      </c>
      <c r="Q31" s="7">
        <v>0</v>
      </c>
      <c r="R31" s="7">
        <v>0</v>
      </c>
      <c r="S31" s="7">
        <v>0</v>
      </c>
      <c r="T31" s="7">
        <v>0</v>
      </c>
      <c r="U31" s="7">
        <v>0</v>
      </c>
      <c r="V31" s="7">
        <v>4905.9451089218983</v>
      </c>
      <c r="W31" s="7">
        <v>192.10602617518251</v>
      </c>
      <c r="X31" s="7">
        <v>5098.051135097081</v>
      </c>
      <c r="Y31" s="7">
        <v>221.66080162554749</v>
      </c>
      <c r="Z31" s="7">
        <v>41.071431030317022</v>
      </c>
      <c r="AA31" s="7">
        <v>5360.7833677529452</v>
      </c>
      <c r="AB31" s="7">
        <v>53.762699382481763</v>
      </c>
      <c r="AC31" s="7">
        <v>566.66947906423366</v>
      </c>
      <c r="AD31" s="7">
        <v>0</v>
      </c>
      <c r="AE31" s="7">
        <v>198.08231140291969</v>
      </c>
      <c r="AF31" s="7">
        <v>6179.2978576025798</v>
      </c>
      <c r="AG31" s="7">
        <v>5360.7833677529452</v>
      </c>
      <c r="AH31" s="7">
        <v>78.358054841605821</v>
      </c>
      <c r="AI31" s="7">
        <v>53.762699382481763</v>
      </c>
      <c r="AJ31" s="7">
        <v>0</v>
      </c>
      <c r="AK31" s="7">
        <v>594.34204382189785</v>
      </c>
      <c r="AL31" s="7">
        <v>6087.2461657989306</v>
      </c>
      <c r="AM31" s="7">
        <v>0</v>
      </c>
      <c r="AN31" s="7">
        <v>0</v>
      </c>
      <c r="AO31" s="7">
        <v>0</v>
      </c>
      <c r="AP31" s="7">
        <v>0</v>
      </c>
      <c r="AQ31" s="7">
        <v>0</v>
      </c>
      <c r="AR31" s="7">
        <v>6087.2461657989306</v>
      </c>
      <c r="AS31" s="7">
        <v>638.91737268477141</v>
      </c>
      <c r="AT31" s="7">
        <v>376.18514002890691</v>
      </c>
    </row>
    <row r="32" spans="1:46" x14ac:dyDescent="0.35">
      <c r="A32" s="5">
        <v>46022</v>
      </c>
      <c r="B32" s="4" t="s">
        <v>80</v>
      </c>
      <c r="C32" s="4" t="s">
        <v>81</v>
      </c>
      <c r="D32" s="4" t="s">
        <v>61</v>
      </c>
      <c r="E32" s="6">
        <v>95.220433</v>
      </c>
      <c r="F32" s="6">
        <v>5.0999999999999996</v>
      </c>
      <c r="G32" s="7">
        <v>552.71624698421056</v>
      </c>
      <c r="H32" s="7">
        <v>270.28417000000002</v>
      </c>
      <c r="I32" s="7">
        <v>40.4100938131579</v>
      </c>
      <c r="J32" s="7">
        <v>896.82286706052628</v>
      </c>
      <c r="K32" s="7">
        <v>1760.233377857895</v>
      </c>
      <c r="L32" s="7">
        <v>239.91745587631581</v>
      </c>
      <c r="M32" s="7">
        <v>93.580911450000016</v>
      </c>
      <c r="N32" s="7">
        <v>327.65788307368422</v>
      </c>
      <c r="O32" s="7">
        <v>465.34352229473689</v>
      </c>
      <c r="P32" s="7">
        <v>1126.499772694737</v>
      </c>
      <c r="Q32" s="7">
        <v>0</v>
      </c>
      <c r="R32" s="7">
        <v>0</v>
      </c>
      <c r="S32" s="7">
        <v>0</v>
      </c>
      <c r="T32" s="7">
        <v>0</v>
      </c>
      <c r="U32" s="7">
        <v>0</v>
      </c>
      <c r="V32" s="7">
        <v>2886.7331505526322</v>
      </c>
      <c r="W32" s="7">
        <v>253.77453682105261</v>
      </c>
      <c r="X32" s="7">
        <v>3140.5076873736839</v>
      </c>
      <c r="Y32" s="7">
        <v>395.29515256578952</v>
      </c>
      <c r="Z32" s="7">
        <v>272.9022637508769</v>
      </c>
      <c r="AA32" s="7">
        <v>3808.7051036903508</v>
      </c>
      <c r="AB32" s="7">
        <v>0</v>
      </c>
      <c r="AC32" s="7">
        <v>653.52419732368423</v>
      </c>
      <c r="AD32" s="7">
        <v>0</v>
      </c>
      <c r="AE32" s="7">
        <v>0</v>
      </c>
      <c r="AF32" s="7">
        <v>4462.2293010140347</v>
      </c>
      <c r="AG32" s="7">
        <v>3808.7051036903508</v>
      </c>
      <c r="AH32" s="7">
        <v>97.835549636842103</v>
      </c>
      <c r="AI32" s="7">
        <v>0</v>
      </c>
      <c r="AJ32" s="7">
        <v>140.46354457105261</v>
      </c>
      <c r="AK32" s="7">
        <v>250.68726959210531</v>
      </c>
      <c r="AL32" s="7">
        <v>4297.691467490351</v>
      </c>
      <c r="AM32" s="7">
        <v>2153.02927</v>
      </c>
      <c r="AN32" s="7">
        <v>0</v>
      </c>
      <c r="AO32" s="7">
        <v>0</v>
      </c>
      <c r="AP32" s="7">
        <v>0</v>
      </c>
      <c r="AQ32" s="7">
        <v>0</v>
      </c>
      <c r="AR32" s="7">
        <v>6450.7207374903501</v>
      </c>
      <c r="AS32" s="7">
        <v>2790.3703652910176</v>
      </c>
      <c r="AT32" s="7">
        <v>2122.1729489743511</v>
      </c>
    </row>
    <row r="33" spans="1:46" x14ac:dyDescent="0.35">
      <c r="A33" s="5">
        <v>46022</v>
      </c>
      <c r="B33" s="4" t="s">
        <v>151</v>
      </c>
      <c r="C33" s="4" t="s">
        <v>152</v>
      </c>
      <c r="D33" s="4" t="s">
        <v>66</v>
      </c>
      <c r="E33" s="6">
        <v>11.509944000000001</v>
      </c>
      <c r="F33" s="6">
        <v>99.5</v>
      </c>
      <c r="G33" s="7">
        <v>0</v>
      </c>
      <c r="H33" s="7">
        <v>0</v>
      </c>
      <c r="I33" s="7">
        <v>0</v>
      </c>
      <c r="J33" s="7">
        <v>0</v>
      </c>
      <c r="K33" s="7">
        <v>0</v>
      </c>
      <c r="L33" s="7">
        <v>0</v>
      </c>
      <c r="M33" s="7">
        <v>0</v>
      </c>
      <c r="N33" s="7">
        <v>0</v>
      </c>
      <c r="O33" s="7">
        <v>0</v>
      </c>
      <c r="P33" s="7">
        <v>0</v>
      </c>
      <c r="Q33" s="7">
        <v>580.04488378300562</v>
      </c>
      <c r="R33" s="7">
        <v>1817.243703041433</v>
      </c>
      <c r="S33" s="7">
        <v>1249.310427117978</v>
      </c>
      <c r="T33" s="7">
        <v>2145.7867229325839</v>
      </c>
      <c r="U33" s="7">
        <v>5792.3857368749996</v>
      </c>
      <c r="V33" s="7">
        <v>5792.3857368749996</v>
      </c>
      <c r="W33" s="7">
        <v>36.663154393258417</v>
      </c>
      <c r="X33" s="7">
        <v>5829.0488912682576</v>
      </c>
      <c r="Y33" s="7">
        <v>0</v>
      </c>
      <c r="Z33" s="7">
        <v>941.12857967595733</v>
      </c>
      <c r="AA33" s="7">
        <v>6770.1774709442161</v>
      </c>
      <c r="AB33" s="7">
        <v>0</v>
      </c>
      <c r="AC33" s="7">
        <v>960.19055003932579</v>
      </c>
      <c r="AD33" s="7">
        <v>0</v>
      </c>
      <c r="AE33" s="7">
        <v>0</v>
      </c>
      <c r="AF33" s="7">
        <v>7730.368020983542</v>
      </c>
      <c r="AG33" s="7">
        <v>6770.1774709442161</v>
      </c>
      <c r="AH33" s="7">
        <v>798.98306944592696</v>
      </c>
      <c r="AI33" s="7">
        <v>0</v>
      </c>
      <c r="AJ33" s="7">
        <v>0</v>
      </c>
      <c r="AK33" s="7">
        <v>289.61928184480342</v>
      </c>
      <c r="AL33" s="7">
        <v>7858.7798222349456</v>
      </c>
      <c r="AM33" s="7">
        <v>0</v>
      </c>
      <c r="AN33" s="7">
        <v>0</v>
      </c>
      <c r="AO33" s="7">
        <v>0</v>
      </c>
      <c r="AP33" s="7">
        <v>0</v>
      </c>
      <c r="AQ33" s="7">
        <v>0</v>
      </c>
      <c r="AR33" s="7">
        <v>7858.7798222349456</v>
      </c>
      <c r="AS33" s="7">
        <v>4664.1735518329933</v>
      </c>
      <c r="AT33" s="7">
        <v>3723.0449721570362</v>
      </c>
    </row>
    <row r="34" spans="1:46" x14ac:dyDescent="0.35">
      <c r="A34" s="5">
        <v>46022</v>
      </c>
      <c r="B34" s="4" t="s">
        <v>153</v>
      </c>
      <c r="C34" s="4" t="s">
        <v>154</v>
      </c>
      <c r="D34" s="4" t="s">
        <v>66</v>
      </c>
      <c r="E34" s="6">
        <v>9.4539570000000008</v>
      </c>
      <c r="F34" s="6">
        <v>99.5</v>
      </c>
      <c r="G34" s="7">
        <v>0</v>
      </c>
      <c r="H34" s="7">
        <v>0</v>
      </c>
      <c r="I34" s="7">
        <v>0</v>
      </c>
      <c r="J34" s="7">
        <v>0</v>
      </c>
      <c r="K34" s="7">
        <v>0</v>
      </c>
      <c r="L34" s="7">
        <v>0</v>
      </c>
      <c r="M34" s="7">
        <v>0</v>
      </c>
      <c r="N34" s="7">
        <v>0</v>
      </c>
      <c r="O34" s="7">
        <v>0</v>
      </c>
      <c r="P34" s="7">
        <v>0</v>
      </c>
      <c r="Q34" s="7">
        <v>560.61962704494385</v>
      </c>
      <c r="R34" s="7">
        <v>1905.6987039318817</v>
      </c>
      <c r="S34" s="7">
        <v>1033.9517971762641</v>
      </c>
      <c r="T34" s="7">
        <v>2303.8937368518259</v>
      </c>
      <c r="U34" s="7">
        <v>5804.1638650049163</v>
      </c>
      <c r="V34" s="7">
        <v>5804.1638650049163</v>
      </c>
      <c r="W34" s="7">
        <v>36.663154393258417</v>
      </c>
      <c r="X34" s="7">
        <v>5840.8270193981743</v>
      </c>
      <c r="Y34" s="7">
        <v>0</v>
      </c>
      <c r="Z34" s="7">
        <v>927.56919533977884</v>
      </c>
      <c r="AA34" s="7">
        <v>6768.3962147379534</v>
      </c>
      <c r="AB34" s="7">
        <v>0</v>
      </c>
      <c r="AC34" s="7">
        <v>728.92276245224718</v>
      </c>
      <c r="AD34" s="7">
        <v>0</v>
      </c>
      <c r="AE34" s="7">
        <v>0</v>
      </c>
      <c r="AF34" s="7">
        <v>7497.3189771902007</v>
      </c>
      <c r="AG34" s="7">
        <v>6768.3962147379534</v>
      </c>
      <c r="AH34" s="7">
        <v>870.62458325</v>
      </c>
      <c r="AI34" s="7">
        <v>0</v>
      </c>
      <c r="AJ34" s="7">
        <v>0</v>
      </c>
      <c r="AK34" s="7">
        <v>290.20819774929771</v>
      </c>
      <c r="AL34" s="7">
        <v>7929.2289957372514</v>
      </c>
      <c r="AM34" s="7">
        <v>0</v>
      </c>
      <c r="AN34" s="7">
        <v>0</v>
      </c>
      <c r="AO34" s="7">
        <v>0</v>
      </c>
      <c r="AP34" s="7">
        <v>0</v>
      </c>
      <c r="AQ34" s="7">
        <v>0</v>
      </c>
      <c r="AR34" s="7">
        <v>7929.2289957372514</v>
      </c>
      <c r="AS34" s="7">
        <v>4481.4867986413383</v>
      </c>
      <c r="AT34" s="7">
        <v>3553.9176033015592</v>
      </c>
    </row>
    <row r="35" spans="1:46" x14ac:dyDescent="0.35">
      <c r="A35" s="5">
        <v>46022</v>
      </c>
      <c r="B35" s="4" t="s">
        <v>82</v>
      </c>
      <c r="C35" s="4" t="s">
        <v>83</v>
      </c>
      <c r="D35" s="4" t="s">
        <v>48</v>
      </c>
      <c r="E35" s="6">
        <v>21.700337000000001</v>
      </c>
      <c r="F35" s="6">
        <v>4</v>
      </c>
      <c r="G35" s="7">
        <v>664.20477000000005</v>
      </c>
      <c r="H35" s="7">
        <v>229.64205000000001</v>
      </c>
      <c r="I35" s="7">
        <v>5.8823699999999999</v>
      </c>
      <c r="J35" s="7">
        <v>309.14240000000001</v>
      </c>
      <c r="K35" s="7">
        <v>1208.87159</v>
      </c>
      <c r="L35" s="7">
        <v>361.27551999999997</v>
      </c>
      <c r="M35" s="7">
        <v>36.212319999999998</v>
      </c>
      <c r="N35" s="7">
        <v>264.49329999999998</v>
      </c>
      <c r="O35" s="7">
        <v>270.72063000000003</v>
      </c>
      <c r="P35" s="7">
        <v>932.70177000000001</v>
      </c>
      <c r="Q35" s="7">
        <v>0</v>
      </c>
      <c r="R35" s="7">
        <v>0</v>
      </c>
      <c r="S35" s="7">
        <v>0</v>
      </c>
      <c r="T35" s="7">
        <v>0</v>
      </c>
      <c r="U35" s="7">
        <v>0</v>
      </c>
      <c r="V35" s="7">
        <v>2141.5733599999999</v>
      </c>
      <c r="W35" s="7">
        <v>682.32340999999997</v>
      </c>
      <c r="X35" s="7">
        <v>2823.8967699999998</v>
      </c>
      <c r="Y35" s="7">
        <v>353.82515000000001</v>
      </c>
      <c r="Z35" s="7">
        <v>100.466130988866</v>
      </c>
      <c r="AA35" s="7">
        <v>3278.1880509888656</v>
      </c>
      <c r="AB35" s="7">
        <v>10.10929</v>
      </c>
      <c r="AC35" s="7">
        <v>1113.8053600000001</v>
      </c>
      <c r="AD35" s="7">
        <v>0</v>
      </c>
      <c r="AE35" s="7">
        <v>0</v>
      </c>
      <c r="AF35" s="7">
        <v>4402.1027009888658</v>
      </c>
      <c r="AG35" s="7">
        <v>3278.1880509888656</v>
      </c>
      <c r="AH35" s="7">
        <v>1010.929</v>
      </c>
      <c r="AI35" s="7">
        <v>10.10929</v>
      </c>
      <c r="AJ35" s="7">
        <v>0</v>
      </c>
      <c r="AK35" s="7">
        <v>101.09290000000001</v>
      </c>
      <c r="AL35" s="7">
        <v>4400.3192409888661</v>
      </c>
      <c r="AM35" s="7">
        <v>230.41117</v>
      </c>
      <c r="AN35" s="7">
        <v>0</v>
      </c>
      <c r="AO35" s="7">
        <v>0</v>
      </c>
      <c r="AP35" s="7">
        <v>0</v>
      </c>
      <c r="AQ35" s="7">
        <v>0</v>
      </c>
      <c r="AR35" s="7">
        <v>4630.7304109888664</v>
      </c>
      <c r="AS35" s="7">
        <v>2199.4098408659288</v>
      </c>
      <c r="AT35" s="7">
        <v>1745.118559877063</v>
      </c>
    </row>
    <row r="36" spans="1:46" x14ac:dyDescent="0.35">
      <c r="A36" s="5">
        <v>46022</v>
      </c>
      <c r="B36" s="4" t="s">
        <v>155</v>
      </c>
      <c r="C36" s="4" t="s">
        <v>156</v>
      </c>
      <c r="D36" s="4" t="s">
        <v>137</v>
      </c>
      <c r="E36" s="6">
        <v>17.912759999999999</v>
      </c>
      <c r="F36" s="6">
        <v>99.5</v>
      </c>
      <c r="G36" s="7">
        <v>0</v>
      </c>
      <c r="H36" s="7">
        <v>0</v>
      </c>
      <c r="I36" s="7">
        <v>0</v>
      </c>
      <c r="J36" s="7">
        <v>0</v>
      </c>
      <c r="K36" s="7">
        <v>0</v>
      </c>
      <c r="L36" s="7">
        <v>0</v>
      </c>
      <c r="M36" s="7">
        <v>0</v>
      </c>
      <c r="N36" s="7">
        <v>0</v>
      </c>
      <c r="O36" s="7">
        <v>0</v>
      </c>
      <c r="P36" s="7">
        <v>0</v>
      </c>
      <c r="Q36" s="7">
        <v>938.31603399035816</v>
      </c>
      <c r="R36" s="7">
        <v>2329.0260074184462</v>
      </c>
      <c r="S36" s="7">
        <v>933.20180236228055</v>
      </c>
      <c r="T36" s="7">
        <v>2504.4630002306508</v>
      </c>
      <c r="U36" s="7">
        <v>6705.0068440017349</v>
      </c>
      <c r="V36" s="7">
        <v>6705.0068440017349</v>
      </c>
      <c r="W36" s="7">
        <v>149.5710151544329</v>
      </c>
      <c r="X36" s="7">
        <v>6854.5778591561684</v>
      </c>
      <c r="Y36" s="7">
        <v>75.365146628355816</v>
      </c>
      <c r="Z36" s="7">
        <v>373.96245998312861</v>
      </c>
      <c r="AA36" s="7">
        <v>7303.9054657676534</v>
      </c>
      <c r="AB36" s="7">
        <v>0</v>
      </c>
      <c r="AC36" s="7">
        <v>1737.2963460712581</v>
      </c>
      <c r="AD36" s="7">
        <v>0</v>
      </c>
      <c r="AE36" s="7">
        <v>0</v>
      </c>
      <c r="AF36" s="7">
        <v>9041.2018118389096</v>
      </c>
      <c r="AG36" s="7">
        <v>7303.9054657676534</v>
      </c>
      <c r="AH36" s="7">
        <v>268.20027096007402</v>
      </c>
      <c r="AI36" s="7">
        <v>0</v>
      </c>
      <c r="AJ36" s="7">
        <v>0</v>
      </c>
      <c r="AK36" s="7">
        <v>199.9996726034573</v>
      </c>
      <c r="AL36" s="7">
        <v>7772.1054093311832</v>
      </c>
      <c r="AM36" s="7">
        <v>16747.837579999999</v>
      </c>
      <c r="AN36" s="7">
        <v>0</v>
      </c>
      <c r="AO36" s="7">
        <v>0</v>
      </c>
      <c r="AP36" s="7">
        <v>0</v>
      </c>
      <c r="AQ36" s="7">
        <v>0</v>
      </c>
      <c r="AR36" s="7">
        <v>24519.942989331179</v>
      </c>
      <c r="AS36" s="7">
        <v>5610.8376531157992</v>
      </c>
      <c r="AT36" s="7">
        <v>5161.5100465043142</v>
      </c>
    </row>
    <row r="37" spans="1:46" x14ac:dyDescent="0.35">
      <c r="A37" s="5">
        <v>46022</v>
      </c>
      <c r="B37" s="4" t="s">
        <v>157</v>
      </c>
      <c r="C37" s="4" t="s">
        <v>160</v>
      </c>
      <c r="D37" s="4" t="s">
        <v>159</v>
      </c>
      <c r="E37" s="6">
        <v>209.130045</v>
      </c>
      <c r="F37" s="6">
        <v>93.227985000000004</v>
      </c>
      <c r="G37" s="7">
        <v>0</v>
      </c>
      <c r="H37" s="7">
        <v>0</v>
      </c>
      <c r="I37" s="7">
        <v>0</v>
      </c>
      <c r="J37" s="7">
        <v>0</v>
      </c>
      <c r="K37" s="7">
        <v>0</v>
      </c>
      <c r="L37" s="7">
        <v>0</v>
      </c>
      <c r="M37" s="7">
        <v>0</v>
      </c>
      <c r="N37" s="7">
        <v>0</v>
      </c>
      <c r="O37" s="7">
        <v>0</v>
      </c>
      <c r="P37" s="7">
        <v>0</v>
      </c>
      <c r="Q37" s="7">
        <v>266.61055977280341</v>
      </c>
      <c r="R37" s="7">
        <v>1220.2237042489314</v>
      </c>
      <c r="S37" s="7">
        <v>1048.3045113986166</v>
      </c>
      <c r="T37" s="7">
        <v>4008.3934770699502</v>
      </c>
      <c r="U37" s="7">
        <v>6543.5322524903022</v>
      </c>
      <c r="V37" s="7">
        <v>6543.5322524903022</v>
      </c>
      <c r="W37" s="7">
        <v>72.323964250286522</v>
      </c>
      <c r="X37" s="7">
        <v>6615.8562167405889</v>
      </c>
      <c r="Y37" s="7">
        <v>51.28314617214069</v>
      </c>
      <c r="Z37" s="7">
        <v>1664.8667005644215</v>
      </c>
      <c r="AA37" s="7">
        <v>8332.0060634771507</v>
      </c>
      <c r="AB37" s="7">
        <v>0</v>
      </c>
      <c r="AC37" s="7">
        <v>1526.0366606582829</v>
      </c>
      <c r="AD37" s="7">
        <v>0</v>
      </c>
      <c r="AE37" s="7">
        <v>0</v>
      </c>
      <c r="AF37" s="7">
        <v>9858.0427241354337</v>
      </c>
      <c r="AG37" s="7">
        <v>8332.0060634771507</v>
      </c>
      <c r="AH37" s="7">
        <v>657.07926787875886</v>
      </c>
      <c r="AI37" s="7">
        <v>0</v>
      </c>
      <c r="AJ37" s="7">
        <v>0</v>
      </c>
      <c r="AK37" s="7">
        <v>981.52983553199419</v>
      </c>
      <c r="AL37" s="7">
        <v>9970.6151668879029</v>
      </c>
      <c r="AM37" s="7">
        <v>2390.8568446966574</v>
      </c>
      <c r="AN37" s="7">
        <v>0</v>
      </c>
      <c r="AO37" s="7">
        <v>0</v>
      </c>
      <c r="AP37" s="7">
        <v>0</v>
      </c>
      <c r="AQ37" s="7">
        <v>0</v>
      </c>
      <c r="AR37" s="7">
        <v>12361.472011584559</v>
      </c>
      <c r="AS37" s="7">
        <v>4530.9504508496266</v>
      </c>
      <c r="AT37" s="7">
        <v>2814.8006041130648</v>
      </c>
    </row>
    <row r="38" spans="1:46" x14ac:dyDescent="0.35">
      <c r="A38" s="5">
        <v>46022</v>
      </c>
      <c r="B38" s="4" t="s">
        <v>157</v>
      </c>
      <c r="C38" s="4" t="s">
        <v>158</v>
      </c>
      <c r="D38" s="4" t="s">
        <v>159</v>
      </c>
      <c r="E38" s="6">
        <v>71.651041000000006</v>
      </c>
      <c r="F38" s="6">
        <v>99.5</v>
      </c>
      <c r="G38" s="7">
        <v>0</v>
      </c>
      <c r="H38" s="7">
        <v>0</v>
      </c>
      <c r="I38" s="7">
        <v>0</v>
      </c>
      <c r="J38" s="7">
        <v>0</v>
      </c>
      <c r="K38" s="7">
        <v>0</v>
      </c>
      <c r="L38" s="7">
        <v>0</v>
      </c>
      <c r="M38" s="7">
        <v>0</v>
      </c>
      <c r="N38" s="7">
        <v>0</v>
      </c>
      <c r="O38" s="7">
        <v>0</v>
      </c>
      <c r="P38" s="7">
        <v>0</v>
      </c>
      <c r="Q38" s="7">
        <v>326.51326558199412</v>
      </c>
      <c r="R38" s="7">
        <v>1101.5653422487301</v>
      </c>
      <c r="S38" s="7">
        <v>765.26907934658198</v>
      </c>
      <c r="T38" s="7">
        <v>3911.7551425537954</v>
      </c>
      <c r="U38" s="7">
        <v>6105.1028297311022</v>
      </c>
      <c r="V38" s="7">
        <v>6105.1028297311022</v>
      </c>
      <c r="W38" s="7">
        <v>70.858050309114219</v>
      </c>
      <c r="X38" s="7">
        <v>6175.9608800402157</v>
      </c>
      <c r="Y38" s="7">
        <v>42.507762158505443</v>
      </c>
      <c r="Z38" s="7">
        <v>1736.188776326848</v>
      </c>
      <c r="AA38" s="7">
        <v>7954.6574185255695</v>
      </c>
      <c r="AB38" s="7">
        <v>36.054507540645758</v>
      </c>
      <c r="AC38" s="7">
        <v>2111.0409631938201</v>
      </c>
      <c r="AD38" s="7">
        <v>0</v>
      </c>
      <c r="AE38" s="7">
        <v>0</v>
      </c>
      <c r="AF38" s="7">
        <v>10101.75288926004</v>
      </c>
      <c r="AG38" s="7">
        <v>7954.6574185255695</v>
      </c>
      <c r="AH38" s="7">
        <v>610.51027897309496</v>
      </c>
      <c r="AI38" s="7">
        <v>36.054507540645758</v>
      </c>
      <c r="AJ38" s="7">
        <v>0</v>
      </c>
      <c r="AK38" s="7">
        <v>1060.7004263573499</v>
      </c>
      <c r="AL38" s="7">
        <v>9661.922631396661</v>
      </c>
      <c r="AM38" s="7">
        <v>558.26125000000002</v>
      </c>
      <c r="AN38" s="7">
        <v>0</v>
      </c>
      <c r="AO38" s="7">
        <v>0</v>
      </c>
      <c r="AP38" s="7">
        <v>0</v>
      </c>
      <c r="AQ38" s="7">
        <v>0</v>
      </c>
      <c r="AR38" s="7">
        <v>10220.183881396661</v>
      </c>
      <c r="AS38" s="7">
        <v>4730.6774729789822</v>
      </c>
      <c r="AT38" s="7">
        <v>2951.9809344936289</v>
      </c>
    </row>
    <row r="39" spans="1:46" x14ac:dyDescent="0.35">
      <c r="A39" s="5">
        <v>46022</v>
      </c>
      <c r="B39" s="4" t="s">
        <v>161</v>
      </c>
      <c r="C39" s="4" t="s">
        <v>162</v>
      </c>
      <c r="D39" s="4" t="s">
        <v>137</v>
      </c>
      <c r="E39" s="6">
        <v>27.781928000000001</v>
      </c>
      <c r="F39" s="6">
        <v>99.206000000000003</v>
      </c>
      <c r="G39" s="7">
        <v>0</v>
      </c>
      <c r="H39" s="7">
        <v>0</v>
      </c>
      <c r="I39" s="7">
        <v>0</v>
      </c>
      <c r="J39" s="7">
        <v>0</v>
      </c>
      <c r="K39" s="7">
        <v>0</v>
      </c>
      <c r="L39" s="7">
        <v>0</v>
      </c>
      <c r="M39" s="7">
        <v>0</v>
      </c>
      <c r="N39" s="7">
        <v>0</v>
      </c>
      <c r="O39" s="7">
        <v>0</v>
      </c>
      <c r="P39" s="7">
        <v>0</v>
      </c>
      <c r="Q39" s="7">
        <v>1122.6358622614921</v>
      </c>
      <c r="R39" s="7">
        <v>3099.2483765756779</v>
      </c>
      <c r="S39" s="7">
        <v>323.86357984005048</v>
      </c>
      <c r="T39" s="7">
        <v>1167.0320195856309</v>
      </c>
      <c r="U39" s="7">
        <v>5712.7798382628498</v>
      </c>
      <c r="V39" s="7">
        <v>5712.7798382628498</v>
      </c>
      <c r="W39" s="7">
        <v>40.92603300468177</v>
      </c>
      <c r="X39" s="7">
        <v>5753.7058712675316</v>
      </c>
      <c r="Y39" s="7">
        <v>65.51010276091867</v>
      </c>
      <c r="Z39" s="7">
        <v>1370.4503871437871</v>
      </c>
      <c r="AA39" s="7">
        <v>7189.6663611722379</v>
      </c>
      <c r="AB39" s="7">
        <v>46.792933400651521</v>
      </c>
      <c r="AC39" s="7">
        <v>755.88582262594934</v>
      </c>
      <c r="AD39" s="7">
        <v>0</v>
      </c>
      <c r="AE39" s="7">
        <v>0</v>
      </c>
      <c r="AF39" s="7">
        <v>7992.345117198839</v>
      </c>
      <c r="AG39" s="7">
        <v>7189.6663611722379</v>
      </c>
      <c r="AH39" s="7">
        <v>1043.842331245351</v>
      </c>
      <c r="AI39" s="7">
        <v>46.792933400651521</v>
      </c>
      <c r="AJ39" s="7">
        <v>0</v>
      </c>
      <c r="AK39" s="7">
        <v>575.91300723881943</v>
      </c>
      <c r="AL39" s="7">
        <v>8856.2146330570595</v>
      </c>
      <c r="AM39" s="7">
        <v>2843.5751300000002</v>
      </c>
      <c r="AN39" s="7">
        <v>39.336915606043739</v>
      </c>
      <c r="AO39" s="7">
        <v>0</v>
      </c>
      <c r="AP39" s="7">
        <v>0</v>
      </c>
      <c r="AQ39" s="7">
        <v>0</v>
      </c>
      <c r="AR39" s="7">
        <v>11739.1266786631</v>
      </c>
      <c r="AS39" s="7">
        <v>11376.92410225274</v>
      </c>
      <c r="AT39" s="7">
        <v>9940.9636123480359</v>
      </c>
    </row>
    <row r="40" spans="1:46" x14ac:dyDescent="0.35">
      <c r="A40" s="5">
        <v>46022</v>
      </c>
      <c r="B40" s="4" t="s">
        <v>163</v>
      </c>
      <c r="C40" s="4" t="s">
        <v>164</v>
      </c>
      <c r="D40" s="4" t="s">
        <v>137</v>
      </c>
      <c r="E40" s="6">
        <v>31.597284999999999</v>
      </c>
      <c r="F40" s="6">
        <v>96.218395999999998</v>
      </c>
      <c r="G40" s="7">
        <v>0</v>
      </c>
      <c r="H40" s="7">
        <v>0</v>
      </c>
      <c r="I40" s="7">
        <v>0</v>
      </c>
      <c r="J40" s="7">
        <v>0</v>
      </c>
      <c r="K40" s="7">
        <v>0</v>
      </c>
      <c r="L40" s="7">
        <v>0</v>
      </c>
      <c r="M40" s="7">
        <v>0</v>
      </c>
      <c r="N40" s="7">
        <v>0</v>
      </c>
      <c r="O40" s="7">
        <v>0</v>
      </c>
      <c r="P40" s="7">
        <v>0</v>
      </c>
      <c r="Q40" s="7">
        <v>483.0157473197516</v>
      </c>
      <c r="R40" s="7">
        <v>2959.2635542363664</v>
      </c>
      <c r="S40" s="7">
        <v>640.12147401858658</v>
      </c>
      <c r="T40" s="7">
        <v>2605.6919334119416</v>
      </c>
      <c r="U40" s="7">
        <v>6688.0927089866445</v>
      </c>
      <c r="V40" s="7">
        <v>6688.0927089866445</v>
      </c>
      <c r="W40" s="7">
        <v>112.58818064467225</v>
      </c>
      <c r="X40" s="7">
        <v>6800.6808896313187</v>
      </c>
      <c r="Y40" s="7">
        <v>71.999742984254041</v>
      </c>
      <c r="Z40" s="7">
        <v>335.49378036370535</v>
      </c>
      <c r="AA40" s="7">
        <v>7208.1744129792778</v>
      </c>
      <c r="AB40" s="7">
        <v>70.681058140597131</v>
      </c>
      <c r="AC40" s="7">
        <v>661.52635719662806</v>
      </c>
      <c r="AD40" s="7">
        <v>0</v>
      </c>
      <c r="AE40" s="7">
        <v>0</v>
      </c>
      <c r="AF40" s="7">
        <v>7940.3818283165028</v>
      </c>
      <c r="AG40" s="7">
        <v>7208.1744129792778</v>
      </c>
      <c r="AH40" s="7">
        <v>599.99901957168345</v>
      </c>
      <c r="AI40" s="7">
        <v>70.681058140597131</v>
      </c>
      <c r="AJ40" s="7">
        <v>0</v>
      </c>
      <c r="AK40" s="7">
        <v>348.13060610152354</v>
      </c>
      <c r="AL40" s="7">
        <v>8226.9850967930834</v>
      </c>
      <c r="AM40" s="7">
        <v>1740.6558710342631</v>
      </c>
      <c r="AN40" s="7">
        <v>0</v>
      </c>
      <c r="AO40" s="7">
        <v>0</v>
      </c>
      <c r="AP40" s="7">
        <v>0</v>
      </c>
      <c r="AQ40" s="7">
        <v>0</v>
      </c>
      <c r="AR40" s="7">
        <v>9967.6409678273449</v>
      </c>
      <c r="AS40" s="7">
        <v>4382.4452095218285</v>
      </c>
      <c r="AT40" s="7">
        <v>3974.9516861738671</v>
      </c>
    </row>
    <row r="41" spans="1:46" x14ac:dyDescent="0.35">
      <c r="A41" s="5">
        <v>46022</v>
      </c>
      <c r="B41" s="4" t="s">
        <v>165</v>
      </c>
      <c r="C41" s="4" t="s">
        <v>166</v>
      </c>
      <c r="D41" s="4" t="s">
        <v>137</v>
      </c>
      <c r="E41" s="6">
        <v>1.990307</v>
      </c>
      <c r="F41" s="6">
        <v>99.5</v>
      </c>
      <c r="G41" s="7">
        <v>0</v>
      </c>
      <c r="H41" s="7">
        <v>0</v>
      </c>
      <c r="I41" s="7">
        <v>0</v>
      </c>
      <c r="J41" s="7">
        <v>0</v>
      </c>
      <c r="K41" s="7">
        <v>0</v>
      </c>
      <c r="L41" s="7">
        <v>0</v>
      </c>
      <c r="M41" s="7">
        <v>0</v>
      </c>
      <c r="N41" s="7">
        <v>0</v>
      </c>
      <c r="O41" s="7">
        <v>0</v>
      </c>
      <c r="P41" s="7">
        <v>0</v>
      </c>
      <c r="Q41" s="7">
        <v>1716.0201009001601</v>
      </c>
      <c r="R41" s="7">
        <v>2671.7119964464869</v>
      </c>
      <c r="S41" s="7">
        <v>559.88448347727865</v>
      </c>
      <c r="T41" s="7">
        <v>1891.970282872282</v>
      </c>
      <c r="U41" s="7">
        <v>6839.5868636962077</v>
      </c>
      <c r="V41" s="7">
        <v>6839.5868636962077</v>
      </c>
      <c r="W41" s="7">
        <v>289.91480541369828</v>
      </c>
      <c r="X41" s="7">
        <v>7129.5016691099072</v>
      </c>
      <c r="Y41" s="7">
        <v>45.219085977016761</v>
      </c>
      <c r="Z41" s="7">
        <v>373.96252261375503</v>
      </c>
      <c r="AA41" s="7">
        <v>7548.6832777006794</v>
      </c>
      <c r="AB41" s="7">
        <v>0</v>
      </c>
      <c r="AC41" s="7">
        <v>1021.400647982059</v>
      </c>
      <c r="AD41" s="7">
        <v>0</v>
      </c>
      <c r="AE41" s="7">
        <v>0</v>
      </c>
      <c r="AF41" s="7">
        <v>8570.0839256827367</v>
      </c>
      <c r="AG41" s="7">
        <v>7548.6832777006794</v>
      </c>
      <c r="AH41" s="7">
        <v>1025.93803055443</v>
      </c>
      <c r="AI41" s="7">
        <v>0</v>
      </c>
      <c r="AJ41" s="7">
        <v>0</v>
      </c>
      <c r="AK41" s="7">
        <v>683.95869036961426</v>
      </c>
      <c r="AL41" s="7">
        <v>9258.5799986247239</v>
      </c>
      <c r="AM41" s="7">
        <v>5024.3512799999999</v>
      </c>
      <c r="AN41" s="7">
        <v>0</v>
      </c>
      <c r="AO41" s="7">
        <v>0</v>
      </c>
      <c r="AP41" s="7">
        <v>0</v>
      </c>
      <c r="AQ41" s="7">
        <v>0</v>
      </c>
      <c r="AR41" s="7">
        <v>14282.931278624719</v>
      </c>
      <c r="AS41" s="7">
        <v>5335.9138431620604</v>
      </c>
      <c r="AT41" s="7">
        <v>4916.7322345712882</v>
      </c>
    </row>
    <row r="42" spans="1:46" x14ac:dyDescent="0.35">
      <c r="A42" s="5">
        <v>46022</v>
      </c>
      <c r="B42" s="4" t="s">
        <v>167</v>
      </c>
      <c r="C42" s="4" t="s">
        <v>168</v>
      </c>
      <c r="D42" s="4" t="s">
        <v>169</v>
      </c>
      <c r="E42" s="6">
        <v>3.356617</v>
      </c>
      <c r="F42" s="6">
        <v>99</v>
      </c>
      <c r="G42" s="7">
        <v>0</v>
      </c>
      <c r="H42" s="7">
        <v>0</v>
      </c>
      <c r="I42" s="7">
        <v>0</v>
      </c>
      <c r="J42" s="7">
        <v>0</v>
      </c>
      <c r="K42" s="7">
        <v>0</v>
      </c>
      <c r="L42" s="7">
        <v>0</v>
      </c>
      <c r="M42" s="7">
        <v>0</v>
      </c>
      <c r="N42" s="7">
        <v>0</v>
      </c>
      <c r="O42" s="7">
        <v>0</v>
      </c>
      <c r="P42" s="7">
        <v>0</v>
      </c>
      <c r="Q42" s="7">
        <v>2581.8813700000001</v>
      </c>
      <c r="R42" s="7">
        <v>2968.9795800000002</v>
      </c>
      <c r="S42" s="7">
        <v>517.28288999999995</v>
      </c>
      <c r="T42" s="7">
        <v>2948.3930500000001</v>
      </c>
      <c r="U42" s="7">
        <v>9016.5368899999994</v>
      </c>
      <c r="V42" s="7">
        <v>9016.5368899999994</v>
      </c>
      <c r="W42" s="7">
        <v>276.07731999999999</v>
      </c>
      <c r="X42" s="7">
        <v>9292.6142099999997</v>
      </c>
      <c r="Y42" s="7">
        <v>0</v>
      </c>
      <c r="Z42" s="7">
        <v>0</v>
      </c>
      <c r="AA42" s="7">
        <v>9292.6142099999997</v>
      </c>
      <c r="AB42" s="7">
        <v>104.27164000000002</v>
      </c>
      <c r="AC42" s="7">
        <v>3315.0206699999999</v>
      </c>
      <c r="AD42" s="7">
        <v>0</v>
      </c>
      <c r="AE42" s="7">
        <v>0</v>
      </c>
      <c r="AF42" s="7">
        <v>12711.906520000002</v>
      </c>
      <c r="AG42" s="7">
        <v>9292.6142099999997</v>
      </c>
      <c r="AH42" s="7">
        <v>1048.4790599999999</v>
      </c>
      <c r="AI42" s="7">
        <v>104.27164000000002</v>
      </c>
      <c r="AJ42" s="7">
        <v>0</v>
      </c>
      <c r="AK42" s="7">
        <v>2115.2247900000002</v>
      </c>
      <c r="AL42" s="7">
        <v>12560.5897</v>
      </c>
      <c r="AM42" s="7">
        <v>6166.9229800000003</v>
      </c>
      <c r="AN42" s="7">
        <v>0</v>
      </c>
      <c r="AO42" s="7">
        <v>0</v>
      </c>
      <c r="AP42" s="7">
        <v>0</v>
      </c>
      <c r="AQ42" s="7">
        <v>0</v>
      </c>
      <c r="AR42" s="7">
        <v>18727.51268</v>
      </c>
      <c r="AS42" s="7">
        <v>3933.3098039369074</v>
      </c>
      <c r="AT42" s="7">
        <v>3933.3098039369074</v>
      </c>
    </row>
    <row r="43" spans="1:46" x14ac:dyDescent="0.35">
      <c r="A43" s="5">
        <v>46022</v>
      </c>
      <c r="B43" s="4" t="s">
        <v>170</v>
      </c>
      <c r="C43" s="4" t="s">
        <v>171</v>
      </c>
      <c r="D43" s="4" t="s">
        <v>137</v>
      </c>
      <c r="E43" s="6">
        <v>4.9757670000000003</v>
      </c>
      <c r="F43" s="6">
        <v>99.5</v>
      </c>
      <c r="G43" s="7">
        <v>0</v>
      </c>
      <c r="H43" s="7">
        <v>0</v>
      </c>
      <c r="I43" s="7">
        <v>0</v>
      </c>
      <c r="J43" s="7">
        <v>0</v>
      </c>
      <c r="K43" s="7">
        <v>0</v>
      </c>
      <c r="L43" s="7">
        <v>0</v>
      </c>
      <c r="M43" s="7">
        <v>0</v>
      </c>
      <c r="N43" s="7">
        <v>0</v>
      </c>
      <c r="O43" s="7">
        <v>0</v>
      </c>
      <c r="P43" s="7">
        <v>0</v>
      </c>
      <c r="Q43" s="7">
        <v>781.44668078319796</v>
      </c>
      <c r="R43" s="7">
        <v>2899.0057743698922</v>
      </c>
      <c r="S43" s="7">
        <v>559.44016420462287</v>
      </c>
      <c r="T43" s="7">
        <v>2150.6706593835452</v>
      </c>
      <c r="U43" s="7">
        <v>6390.5632787412578</v>
      </c>
      <c r="V43" s="7">
        <v>6390.5632787412578</v>
      </c>
      <c r="W43" s="7">
        <v>286.3831111950301</v>
      </c>
      <c r="X43" s="7">
        <v>6676.9463899362881</v>
      </c>
      <c r="Y43" s="7">
        <v>35.170402426564948</v>
      </c>
      <c r="Z43" s="7">
        <v>486.15123351062311</v>
      </c>
      <c r="AA43" s="7">
        <v>7198.2680258734763</v>
      </c>
      <c r="AB43" s="7">
        <v>263.26552903817441</v>
      </c>
      <c r="AC43" s="7">
        <v>2501.1336056808209</v>
      </c>
      <c r="AD43" s="7">
        <v>0</v>
      </c>
      <c r="AE43" s="7">
        <v>0</v>
      </c>
      <c r="AF43" s="7">
        <v>9962.6671605924712</v>
      </c>
      <c r="AG43" s="7">
        <v>7198.2680258734763</v>
      </c>
      <c r="AH43" s="7">
        <v>255.62253154964966</v>
      </c>
      <c r="AI43" s="7">
        <v>263.26552903817441</v>
      </c>
      <c r="AJ43" s="7">
        <v>0</v>
      </c>
      <c r="AK43" s="7">
        <v>447.33942771189112</v>
      </c>
      <c r="AL43" s="7">
        <v>8164.4955141731898</v>
      </c>
      <c r="AM43" s="7">
        <v>16077.924079999999</v>
      </c>
      <c r="AN43" s="7">
        <v>0</v>
      </c>
      <c r="AO43" s="7">
        <v>0</v>
      </c>
      <c r="AP43" s="7">
        <v>0</v>
      </c>
      <c r="AQ43" s="7">
        <v>0</v>
      </c>
      <c r="AR43" s="7">
        <v>24242.419594173189</v>
      </c>
      <c r="AS43" s="7">
        <v>5788.4691223356785</v>
      </c>
      <c r="AT43" s="7">
        <v>5267.1474863984913</v>
      </c>
    </row>
    <row r="44" spans="1:46" x14ac:dyDescent="0.35">
      <c r="A44" s="5">
        <v>46022</v>
      </c>
      <c r="B44" s="4" t="s">
        <v>172</v>
      </c>
      <c r="C44" s="4" t="s">
        <v>173</v>
      </c>
      <c r="D44" s="4" t="s">
        <v>66</v>
      </c>
      <c r="E44" s="6">
        <v>49.607644000000001</v>
      </c>
      <c r="F44" s="6">
        <v>99.2</v>
      </c>
      <c r="G44" s="7">
        <v>0</v>
      </c>
      <c r="H44" s="7">
        <v>0</v>
      </c>
      <c r="I44" s="7">
        <v>0</v>
      </c>
      <c r="J44" s="7">
        <v>0</v>
      </c>
      <c r="K44" s="7">
        <v>0</v>
      </c>
      <c r="L44" s="7">
        <v>0</v>
      </c>
      <c r="M44" s="7">
        <v>0</v>
      </c>
      <c r="N44" s="7">
        <v>0</v>
      </c>
      <c r="O44" s="7">
        <v>0</v>
      </c>
      <c r="P44" s="7">
        <v>0</v>
      </c>
      <c r="Q44" s="7">
        <v>301.87157006039331</v>
      </c>
      <c r="R44" s="7">
        <v>1496.8114340646071</v>
      </c>
      <c r="S44" s="7">
        <v>1175.1168310849721</v>
      </c>
      <c r="T44" s="7">
        <v>2848.6680228040732</v>
      </c>
      <c r="U44" s="7">
        <v>5822.4678580140453</v>
      </c>
      <c r="V44" s="7">
        <v>5822.4678580140453</v>
      </c>
      <c r="W44" s="7">
        <v>116.2263989417135</v>
      </c>
      <c r="X44" s="7">
        <v>5938.6942569557577</v>
      </c>
      <c r="Y44" s="7">
        <v>0</v>
      </c>
      <c r="Z44" s="7">
        <v>927.25573870717596</v>
      </c>
      <c r="AA44" s="7">
        <v>6865.9499956629343</v>
      </c>
      <c r="AB44" s="7">
        <v>0</v>
      </c>
      <c r="AC44" s="7">
        <v>814.48461298314612</v>
      </c>
      <c r="AD44" s="7">
        <v>0</v>
      </c>
      <c r="AE44" s="7">
        <v>0</v>
      </c>
      <c r="AF44" s="7">
        <v>7680.4346086460801</v>
      </c>
      <c r="AG44" s="7">
        <v>6865.9499956629343</v>
      </c>
      <c r="AH44" s="7">
        <v>524.02210882092686</v>
      </c>
      <c r="AI44" s="7">
        <v>0</v>
      </c>
      <c r="AJ44" s="7">
        <v>0</v>
      </c>
      <c r="AK44" s="7">
        <v>291.12339490028091</v>
      </c>
      <c r="AL44" s="7">
        <v>7681.0954993841424</v>
      </c>
      <c r="AM44" s="7">
        <v>0</v>
      </c>
      <c r="AN44" s="7">
        <v>0</v>
      </c>
      <c r="AO44" s="7">
        <v>0</v>
      </c>
      <c r="AP44" s="7">
        <v>0</v>
      </c>
      <c r="AQ44" s="7">
        <v>0</v>
      </c>
      <c r="AR44" s="7">
        <v>7681.0954993841424</v>
      </c>
      <c r="AS44" s="7">
        <v>4414.8362351497153</v>
      </c>
      <c r="AT44" s="7">
        <v>3487.5804964425392</v>
      </c>
    </row>
    <row r="45" spans="1:46" x14ac:dyDescent="0.35">
      <c r="A45" s="5">
        <v>46022</v>
      </c>
      <c r="B45" s="4" t="s">
        <v>84</v>
      </c>
      <c r="C45" s="4" t="s">
        <v>85</v>
      </c>
      <c r="D45" s="4" t="s">
        <v>61</v>
      </c>
      <c r="E45" s="6">
        <v>102.36065499999999</v>
      </c>
      <c r="F45" s="6">
        <v>27.269141000000001</v>
      </c>
      <c r="G45" s="7">
        <v>398.65353116151135</v>
      </c>
      <c r="H45" s="7">
        <v>328.65893569355438</v>
      </c>
      <c r="I45" s="7">
        <v>40.030672264626951</v>
      </c>
      <c r="J45" s="7">
        <v>666.6668400289916</v>
      </c>
      <c r="K45" s="7">
        <v>1434.0099791486841</v>
      </c>
      <c r="L45" s="7">
        <v>249.06778430274278</v>
      </c>
      <c r="M45" s="7">
        <v>173.07911251192161</v>
      </c>
      <c r="N45" s="7">
        <v>204.21600956089821</v>
      </c>
      <c r="O45" s="7">
        <v>429.01091881124574</v>
      </c>
      <c r="P45" s="7">
        <v>1055.3738251868083</v>
      </c>
      <c r="Q45" s="7">
        <v>188.45458834860341</v>
      </c>
      <c r="R45" s="7">
        <v>250.71470862810509</v>
      </c>
      <c r="S45" s="7">
        <v>209.28345095253241</v>
      </c>
      <c r="T45" s="7">
        <v>1321.8692172776837</v>
      </c>
      <c r="U45" s="7">
        <v>1970.3219652069247</v>
      </c>
      <c r="V45" s="7">
        <v>4459.7057695424164</v>
      </c>
      <c r="W45" s="7">
        <v>739.2662481076535</v>
      </c>
      <c r="X45" s="7">
        <v>5198.9720176500705</v>
      </c>
      <c r="Y45" s="7">
        <v>172.20917666012079</v>
      </c>
      <c r="Z45" s="7">
        <v>552.11776478102729</v>
      </c>
      <c r="AA45" s="7">
        <v>5923.2989590912202</v>
      </c>
      <c r="AB45" s="7">
        <v>0</v>
      </c>
      <c r="AC45" s="7">
        <v>892.96727348268189</v>
      </c>
      <c r="AD45" s="7">
        <v>0</v>
      </c>
      <c r="AE45" s="7">
        <v>0</v>
      </c>
      <c r="AF45" s="7">
        <v>6816.2662325738984</v>
      </c>
      <c r="AG45" s="7">
        <v>5923.2989590912202</v>
      </c>
      <c r="AH45" s="7">
        <v>178.25936403830036</v>
      </c>
      <c r="AI45" s="7">
        <v>0</v>
      </c>
      <c r="AJ45" s="7">
        <v>0</v>
      </c>
      <c r="AK45" s="7">
        <v>445.64840798801742</v>
      </c>
      <c r="AL45" s="7">
        <v>6547.206731117536</v>
      </c>
      <c r="AM45" s="7">
        <v>0</v>
      </c>
      <c r="AN45" s="7">
        <v>0</v>
      </c>
      <c r="AO45" s="7">
        <v>0</v>
      </c>
      <c r="AP45" s="7">
        <v>0</v>
      </c>
      <c r="AQ45" s="7">
        <v>0</v>
      </c>
      <c r="AR45" s="7">
        <v>6547.206731117536</v>
      </c>
      <c r="AS45" s="7">
        <v>845.58411443873013</v>
      </c>
      <c r="AT45" s="7">
        <v>121.2571729975823</v>
      </c>
    </row>
    <row r="46" spans="1:46" x14ac:dyDescent="0.35">
      <c r="A46" s="5">
        <v>46022</v>
      </c>
      <c r="B46" s="4" t="s">
        <v>86</v>
      </c>
      <c r="C46" s="4" t="s">
        <v>87</v>
      </c>
      <c r="D46" s="4" t="s">
        <v>66</v>
      </c>
      <c r="E46" s="6">
        <v>3.2643239999999998</v>
      </c>
      <c r="F46" s="6">
        <v>2</v>
      </c>
      <c r="G46" s="7">
        <v>1128.049409063904</v>
      </c>
      <c r="H46" s="7">
        <v>105.09795</v>
      </c>
      <c r="I46" s="7">
        <v>282.44914272612363</v>
      </c>
      <c r="J46" s="7">
        <v>1412.6370211748599</v>
      </c>
      <c r="K46" s="7">
        <v>2928.2335229648879</v>
      </c>
      <c r="L46" s="7">
        <v>916.44943710323037</v>
      </c>
      <c r="M46" s="7">
        <v>0</v>
      </c>
      <c r="N46" s="7">
        <v>164.9819452436798</v>
      </c>
      <c r="O46" s="7">
        <v>293.17589240098312</v>
      </c>
      <c r="P46" s="7">
        <v>1374.6072747478929</v>
      </c>
      <c r="Q46" s="7">
        <v>0</v>
      </c>
      <c r="R46" s="7">
        <v>0</v>
      </c>
      <c r="S46" s="7">
        <v>0</v>
      </c>
      <c r="T46" s="7">
        <v>0</v>
      </c>
      <c r="U46" s="7">
        <v>0</v>
      </c>
      <c r="V46" s="7">
        <v>4302.8407977127808</v>
      </c>
      <c r="W46" s="7">
        <v>218.8556130625</v>
      </c>
      <c r="X46" s="7">
        <v>4521.696410775281</v>
      </c>
      <c r="Y46" s="7">
        <v>0</v>
      </c>
      <c r="Z46" s="7">
        <v>144.8438184744966</v>
      </c>
      <c r="AA46" s="7">
        <v>4666.5402292497783</v>
      </c>
      <c r="AB46" s="7">
        <v>0</v>
      </c>
      <c r="AC46" s="7">
        <v>144.96781259269659</v>
      </c>
      <c r="AD46" s="7">
        <v>0</v>
      </c>
      <c r="AE46" s="7">
        <v>0</v>
      </c>
      <c r="AF46" s="7">
        <v>4811.5080418424741</v>
      </c>
      <c r="AG46" s="7">
        <v>4666.5402292497783</v>
      </c>
      <c r="AH46" s="7">
        <v>172.1127426523876</v>
      </c>
      <c r="AI46" s="7">
        <v>0</v>
      </c>
      <c r="AJ46" s="7">
        <v>0</v>
      </c>
      <c r="AK46" s="7">
        <v>25.81690989817416</v>
      </c>
      <c r="AL46" s="7">
        <v>4864.469881800339</v>
      </c>
      <c r="AM46" s="7">
        <v>34427.716079999998</v>
      </c>
      <c r="AN46" s="7">
        <v>0</v>
      </c>
      <c r="AO46" s="7">
        <v>0</v>
      </c>
      <c r="AP46" s="7">
        <v>0</v>
      </c>
      <c r="AQ46" s="7">
        <v>0</v>
      </c>
      <c r="AR46" s="7">
        <v>39292.185961800336</v>
      </c>
      <c r="AS46" s="7">
        <v>-1302.9447447432569</v>
      </c>
      <c r="AT46" s="7">
        <v>-1447.788563217754</v>
      </c>
    </row>
    <row r="47" spans="1:46" x14ac:dyDescent="0.35">
      <c r="A47" s="5">
        <v>46022</v>
      </c>
      <c r="B47" s="4" t="s">
        <v>174</v>
      </c>
      <c r="C47" s="4" t="s">
        <v>175</v>
      </c>
      <c r="D47" s="4" t="s">
        <v>66</v>
      </c>
      <c r="E47" s="6">
        <v>9.7651520000000005</v>
      </c>
      <c r="F47" s="6">
        <v>6</v>
      </c>
      <c r="G47" s="7">
        <v>249.25891652247191</v>
      </c>
      <c r="H47" s="7">
        <v>188.9633</v>
      </c>
      <c r="I47" s="7">
        <v>134.8837974817416</v>
      </c>
      <c r="J47" s="7">
        <v>1309.496714750702</v>
      </c>
      <c r="K47" s="7">
        <v>1882.6027287549159</v>
      </c>
      <c r="L47" s="7">
        <v>151.4878586980337</v>
      </c>
      <c r="M47" s="7">
        <v>224.77572558497187</v>
      </c>
      <c r="N47" s="7">
        <v>176.05997089817421</v>
      </c>
      <c r="O47" s="7">
        <v>823.93439173946626</v>
      </c>
      <c r="P47" s="7">
        <v>1376.257946920646</v>
      </c>
      <c r="Q47" s="7">
        <v>0</v>
      </c>
      <c r="R47" s="7">
        <v>0</v>
      </c>
      <c r="S47" s="7">
        <v>0</v>
      </c>
      <c r="T47" s="7">
        <v>0</v>
      </c>
      <c r="U47" s="7">
        <v>0</v>
      </c>
      <c r="V47" s="7">
        <v>3258.8606756755621</v>
      </c>
      <c r="W47" s="7">
        <v>513.20943725140455</v>
      </c>
      <c r="X47" s="7">
        <v>3772.0701129269664</v>
      </c>
      <c r="Y47" s="7">
        <v>0</v>
      </c>
      <c r="Z47" s="7">
        <v>226.34423873212771</v>
      </c>
      <c r="AA47" s="7">
        <v>3998.4143516590939</v>
      </c>
      <c r="AB47" s="7">
        <v>158.20991223665729</v>
      </c>
      <c r="AC47" s="7">
        <v>1312.468138616573</v>
      </c>
      <c r="AD47" s="7">
        <v>0</v>
      </c>
      <c r="AE47" s="7">
        <v>0</v>
      </c>
      <c r="AF47" s="7">
        <v>5469.092402512324</v>
      </c>
      <c r="AG47" s="7">
        <v>3998.4143516590939</v>
      </c>
      <c r="AH47" s="7">
        <v>393.07411199297758</v>
      </c>
      <c r="AI47" s="7">
        <v>158.20991223665729</v>
      </c>
      <c r="AJ47" s="7">
        <v>0</v>
      </c>
      <c r="AK47" s="7">
        <v>18.931250834269662</v>
      </c>
      <c r="AL47" s="7">
        <v>4568.6296267229991</v>
      </c>
      <c r="AM47" s="7">
        <v>115.086</v>
      </c>
      <c r="AN47" s="7">
        <v>7.099224061797754</v>
      </c>
      <c r="AO47" s="7">
        <v>0</v>
      </c>
      <c r="AP47" s="7">
        <v>0</v>
      </c>
      <c r="AQ47" s="7">
        <v>0</v>
      </c>
      <c r="AR47" s="7">
        <v>4690.8148507847964</v>
      </c>
      <c r="AS47" s="7">
        <v>1257.8016512409611</v>
      </c>
      <c r="AT47" s="7">
        <v>1031.4574125088341</v>
      </c>
    </row>
    <row r="48" spans="1:46" x14ac:dyDescent="0.35">
      <c r="A48" s="5">
        <v>46022</v>
      </c>
      <c r="B48" s="4" t="s">
        <v>88</v>
      </c>
      <c r="C48" s="4" t="s">
        <v>89</v>
      </c>
      <c r="D48" s="4" t="s">
        <v>66</v>
      </c>
      <c r="E48" s="6">
        <v>15.431350999999999</v>
      </c>
      <c r="F48" s="6">
        <v>1.5</v>
      </c>
      <c r="G48" s="7">
        <v>67.205228611657304</v>
      </c>
      <c r="H48" s="7">
        <v>124.66779</v>
      </c>
      <c r="I48" s="7">
        <v>7.7021970042134837</v>
      </c>
      <c r="J48" s="7">
        <v>127.89677977598319</v>
      </c>
      <c r="K48" s="7">
        <v>327.47199539185391</v>
      </c>
      <c r="L48" s="7">
        <v>51.4433799255618</v>
      </c>
      <c r="M48" s="7">
        <v>90.210041070926977</v>
      </c>
      <c r="N48" s="7">
        <v>167.5078329922753</v>
      </c>
      <c r="O48" s="7">
        <v>262.84325405056182</v>
      </c>
      <c r="P48" s="7">
        <v>572.00450803932586</v>
      </c>
      <c r="Q48" s="7">
        <v>0</v>
      </c>
      <c r="R48" s="7">
        <v>0</v>
      </c>
      <c r="S48" s="7">
        <v>0</v>
      </c>
      <c r="T48" s="7">
        <v>0</v>
      </c>
      <c r="U48" s="7">
        <v>0</v>
      </c>
      <c r="V48" s="7">
        <v>899.47650343117982</v>
      </c>
      <c r="W48" s="7">
        <v>119.8402674325843</v>
      </c>
      <c r="X48" s="7">
        <v>1019.316770863764</v>
      </c>
      <c r="Y48" s="7">
        <v>0</v>
      </c>
      <c r="Z48" s="7">
        <v>126.80516416312039</v>
      </c>
      <c r="AA48" s="7">
        <v>1146.1219350268841</v>
      </c>
      <c r="AB48" s="7">
        <v>64.789487653089893</v>
      </c>
      <c r="AC48" s="7">
        <v>143.7501291811798</v>
      </c>
      <c r="AD48" s="7">
        <v>0</v>
      </c>
      <c r="AE48" s="7">
        <v>0</v>
      </c>
      <c r="AF48" s="7">
        <v>1354.6615518611541</v>
      </c>
      <c r="AG48" s="7">
        <v>1146.1219350268841</v>
      </c>
      <c r="AH48" s="7">
        <v>134.9175303735955</v>
      </c>
      <c r="AI48" s="7">
        <v>64.789487653089893</v>
      </c>
      <c r="AJ48" s="7">
        <v>671.47282821910107</v>
      </c>
      <c r="AK48" s="7">
        <v>89.945026914325851</v>
      </c>
      <c r="AL48" s="7">
        <v>2107.246808186997</v>
      </c>
      <c r="AM48" s="7">
        <v>0</v>
      </c>
      <c r="AN48" s="7">
        <v>0</v>
      </c>
      <c r="AO48" s="7">
        <v>0</v>
      </c>
      <c r="AP48" s="7">
        <v>0</v>
      </c>
      <c r="AQ48" s="7">
        <v>0</v>
      </c>
      <c r="AR48" s="7">
        <v>2107.246808186997</v>
      </c>
      <c r="AS48" s="7">
        <v>244.7599035407608</v>
      </c>
      <c r="AT48" s="7">
        <v>117.95473937764029</v>
      </c>
    </row>
    <row r="49" spans="1:46" x14ac:dyDescent="0.35">
      <c r="A49" s="5">
        <v>46022</v>
      </c>
      <c r="B49" s="4" t="s">
        <v>176</v>
      </c>
      <c r="C49" s="4" t="s">
        <v>177</v>
      </c>
      <c r="D49" s="4" t="s">
        <v>66</v>
      </c>
      <c r="E49" s="6">
        <v>6.9310679999999998</v>
      </c>
      <c r="F49" s="6">
        <v>99</v>
      </c>
      <c r="G49" s="7">
        <v>0</v>
      </c>
      <c r="H49" s="7">
        <v>0</v>
      </c>
      <c r="I49" s="7">
        <v>0</v>
      </c>
      <c r="J49" s="7">
        <v>0</v>
      </c>
      <c r="K49" s="7">
        <v>0</v>
      </c>
      <c r="L49" s="7">
        <v>0</v>
      </c>
      <c r="M49" s="7">
        <v>0</v>
      </c>
      <c r="N49" s="7">
        <v>0</v>
      </c>
      <c r="O49" s="7">
        <v>0</v>
      </c>
      <c r="P49" s="7">
        <v>0</v>
      </c>
      <c r="Q49" s="7">
        <v>708.30321737289319</v>
      </c>
      <c r="R49" s="7">
        <v>911.74264891081475</v>
      </c>
      <c r="S49" s="7">
        <v>872.98059679424148</v>
      </c>
      <c r="T49" s="7">
        <v>2678.964112566011</v>
      </c>
      <c r="U49" s="7">
        <v>5171.9905756439621</v>
      </c>
      <c r="V49" s="7">
        <v>5171.9905756439621</v>
      </c>
      <c r="W49" s="7">
        <v>219.5383591952247</v>
      </c>
      <c r="X49" s="7">
        <v>5391.5289348391852</v>
      </c>
      <c r="Y49" s="7">
        <v>0</v>
      </c>
      <c r="Z49" s="7">
        <v>829.9557339101641</v>
      </c>
      <c r="AA49" s="7">
        <v>6221.4846687493491</v>
      </c>
      <c r="AB49" s="7">
        <v>0</v>
      </c>
      <c r="AC49" s="7">
        <v>1996.8423082837082</v>
      </c>
      <c r="AD49" s="7">
        <v>0</v>
      </c>
      <c r="AE49" s="7">
        <v>0</v>
      </c>
      <c r="AF49" s="7">
        <v>8218.3269770330571</v>
      </c>
      <c r="AG49" s="7">
        <v>6221.4846687493491</v>
      </c>
      <c r="AH49" s="7">
        <v>1551.5971796917142</v>
      </c>
      <c r="AI49" s="7">
        <v>0</v>
      </c>
      <c r="AJ49" s="7">
        <v>0</v>
      </c>
      <c r="AK49" s="7">
        <v>620.63886987710669</v>
      </c>
      <c r="AL49" s="7">
        <v>8393.7207183181708</v>
      </c>
      <c r="AM49" s="7">
        <v>3606.9477000000002</v>
      </c>
      <c r="AN49" s="7">
        <v>0</v>
      </c>
      <c r="AO49" s="7">
        <v>0</v>
      </c>
      <c r="AP49" s="7">
        <v>0</v>
      </c>
      <c r="AQ49" s="7">
        <v>0</v>
      </c>
      <c r="AR49" s="7">
        <v>12000.66841831817</v>
      </c>
      <c r="AS49" s="7">
        <v>4982.9177727366932</v>
      </c>
      <c r="AT49" s="7">
        <v>4152.9620388265294</v>
      </c>
    </row>
  </sheetData>
  <mergeCells count="47">
    <mergeCell ref="AS6:AS9"/>
    <mergeCell ref="AT6:AT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49"/>
  <sheetViews>
    <sheetView workbookViewId="0"/>
  </sheetViews>
  <sheetFormatPr defaultRowHeight="14.5" x14ac:dyDescent="0.35"/>
  <cols>
    <col min="1" max="1" width="48.54296875" customWidth="1"/>
    <col min="2" max="2" width="30.1796875" customWidth="1"/>
    <col min="3" max="3" width="16.1796875" customWidth="1"/>
    <col min="4" max="4" width="17.453125" customWidth="1"/>
    <col min="5" max="5" width="17.54296875" customWidth="1"/>
    <col min="6" max="8" width="21.1796875" customWidth="1"/>
    <col min="9" max="9" width="22.453125" customWidth="1"/>
    <col min="10" max="27" width="21.1796875" customWidth="1"/>
    <col min="28" max="28" width="22.453125" customWidth="1"/>
    <col min="29" max="29" width="21.1796875" customWidth="1"/>
    <col min="30" max="30" width="16.1796875" customWidth="1"/>
    <col min="31" max="31" width="29.453125" customWidth="1"/>
    <col min="32" max="34" width="21.1796875" customWidth="1"/>
    <col min="35" max="36" width="22.453125" customWidth="1"/>
    <col min="37" max="38" width="21.1796875" customWidth="1"/>
    <col min="39" max="39" width="16.1796875" customWidth="1"/>
    <col min="40" max="40" width="21.1796875" customWidth="1"/>
    <col min="41" max="43" width="16.1796875" customWidth="1"/>
    <col min="44" max="44" width="21.1796875" customWidth="1"/>
    <col min="45" max="46" width="22" customWidth="1"/>
  </cols>
  <sheetData>
    <row r="1" spans="1:46" ht="40" customHeight="1" x14ac:dyDescent="0.35">
      <c r="A1" s="12"/>
      <c r="B1" s="12"/>
      <c r="C1" s="12"/>
      <c r="D1" s="12"/>
    </row>
    <row r="2" spans="1:46" ht="30" customHeight="1" x14ac:dyDescent="0.45">
      <c r="A2" s="1" t="s">
        <v>197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x14ac:dyDescent="0.35">
      <c r="A3" s="3" t="s">
        <v>0</v>
      </c>
    </row>
    <row r="4" spans="1:46" x14ac:dyDescent="0.35">
      <c r="A4" s="3" t="s">
        <v>1</v>
      </c>
    </row>
    <row r="5" spans="1:46" x14ac:dyDescent="0.35">
      <c r="A5" s="4"/>
    </row>
    <row r="6" spans="1:46" x14ac:dyDescent="0.35">
      <c r="A6" s="13" t="s">
        <v>3</v>
      </c>
      <c r="B6" s="13" t="s">
        <v>4</v>
      </c>
      <c r="C6" s="13" t="s">
        <v>5</v>
      </c>
      <c r="D6" s="13" t="s">
        <v>6</v>
      </c>
      <c r="E6" s="14" t="s">
        <v>179</v>
      </c>
      <c r="F6" s="14" t="s">
        <v>93</v>
      </c>
      <c r="G6" s="14" t="s">
        <v>19</v>
      </c>
      <c r="H6" s="14" t="s">
        <v>20</v>
      </c>
      <c r="I6" s="14" t="s">
        <v>21</v>
      </c>
      <c r="J6" s="14" t="s">
        <v>22</v>
      </c>
      <c r="K6" s="14" t="s">
        <v>23</v>
      </c>
      <c r="L6" s="14" t="s">
        <v>24</v>
      </c>
      <c r="M6" s="14" t="s">
        <v>25</v>
      </c>
      <c r="N6" s="14" t="s">
        <v>26</v>
      </c>
      <c r="O6" s="14" t="s">
        <v>27</v>
      </c>
      <c r="P6" s="14" t="s">
        <v>28</v>
      </c>
      <c r="Q6" s="14" t="s">
        <v>29</v>
      </c>
      <c r="R6" s="14" t="s">
        <v>30</v>
      </c>
      <c r="S6" s="14" t="s">
        <v>31</v>
      </c>
      <c r="T6" s="14" t="s">
        <v>32</v>
      </c>
      <c r="U6" s="14" t="s">
        <v>33</v>
      </c>
      <c r="V6" s="14" t="s">
        <v>34</v>
      </c>
      <c r="W6" s="14" t="s">
        <v>35</v>
      </c>
      <c r="X6" s="14" t="s">
        <v>36</v>
      </c>
      <c r="Y6" s="14" t="s">
        <v>37</v>
      </c>
      <c r="Z6" s="14" t="s">
        <v>38</v>
      </c>
      <c r="AA6" s="14" t="s">
        <v>39</v>
      </c>
      <c r="AB6" s="14" t="s">
        <v>180</v>
      </c>
      <c r="AC6" s="14" t="s">
        <v>181</v>
      </c>
      <c r="AD6" s="14" t="s">
        <v>182</v>
      </c>
      <c r="AE6" s="14" t="s">
        <v>183</v>
      </c>
      <c r="AF6" s="14" t="s">
        <v>184</v>
      </c>
      <c r="AG6" s="14" t="s">
        <v>39</v>
      </c>
      <c r="AH6" s="14" t="s">
        <v>185</v>
      </c>
      <c r="AI6" s="14" t="s">
        <v>180</v>
      </c>
      <c r="AJ6" s="14" t="s">
        <v>186</v>
      </c>
      <c r="AK6" s="14" t="s">
        <v>187</v>
      </c>
      <c r="AL6" s="14" t="s">
        <v>188</v>
      </c>
      <c r="AM6" s="14" t="s">
        <v>189</v>
      </c>
      <c r="AN6" s="14" t="s">
        <v>190</v>
      </c>
      <c r="AO6" s="14" t="s">
        <v>191</v>
      </c>
      <c r="AP6" s="14" t="s">
        <v>192</v>
      </c>
      <c r="AQ6" s="14" t="s">
        <v>193</v>
      </c>
      <c r="AR6" s="14" t="s">
        <v>194</v>
      </c>
      <c r="AS6" s="14" t="s">
        <v>41</v>
      </c>
      <c r="AT6" s="14" t="s">
        <v>42</v>
      </c>
    </row>
    <row r="7" spans="1:46" x14ac:dyDescent="0.35">
      <c r="A7" s="13"/>
      <c r="B7" s="13"/>
      <c r="C7" s="13"/>
      <c r="D7" s="13"/>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row>
    <row r="8" spans="1:46" x14ac:dyDescent="0.35">
      <c r="A8" s="13"/>
      <c r="B8" s="13"/>
      <c r="C8" s="13"/>
      <c r="D8" s="13"/>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row>
    <row r="9" spans="1:46" x14ac:dyDescent="0.35">
      <c r="A9" s="13"/>
      <c r="B9" s="13"/>
      <c r="C9" s="13"/>
      <c r="D9" s="13"/>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row>
    <row r="10" spans="1:46" x14ac:dyDescent="0.35">
      <c r="A10" s="5">
        <v>46022</v>
      </c>
      <c r="B10" s="4" t="s">
        <v>43</v>
      </c>
      <c r="C10" s="4" t="s">
        <v>44</v>
      </c>
      <c r="D10" s="4" t="s">
        <v>45</v>
      </c>
      <c r="E10" s="6">
        <v>11</v>
      </c>
      <c r="F10" s="6">
        <v>2.5</v>
      </c>
      <c r="G10" s="7">
        <v>46.881209253043487</v>
      </c>
      <c r="H10" s="7">
        <v>33.005308999999997</v>
      </c>
      <c r="I10" s="7">
        <v>10.55512675913044</v>
      </c>
      <c r="J10" s="7">
        <v>26.584638739130437</v>
      </c>
      <c r="K10" s="7">
        <v>117.02628375130431</v>
      </c>
      <c r="L10" s="7">
        <v>59.261876299565216</v>
      </c>
      <c r="M10" s="7">
        <v>0</v>
      </c>
      <c r="N10" s="7">
        <v>4.8453872886956519</v>
      </c>
      <c r="O10" s="7">
        <v>33.868170214347828</v>
      </c>
      <c r="P10" s="7">
        <v>97.975433802608691</v>
      </c>
      <c r="Q10" s="7">
        <v>0</v>
      </c>
      <c r="R10" s="7">
        <v>0</v>
      </c>
      <c r="S10" s="7">
        <v>0</v>
      </c>
      <c r="T10" s="7">
        <v>0</v>
      </c>
      <c r="U10" s="7">
        <v>0</v>
      </c>
      <c r="V10" s="7">
        <v>215.00171755391301</v>
      </c>
      <c r="W10" s="7">
        <v>34.383764362173913</v>
      </c>
      <c r="X10" s="7">
        <v>249.385481916087</v>
      </c>
      <c r="Y10" s="7">
        <v>0</v>
      </c>
      <c r="Z10" s="7">
        <v>0</v>
      </c>
      <c r="AA10" s="7">
        <v>249.385481916087</v>
      </c>
      <c r="AB10" s="7">
        <v>0</v>
      </c>
      <c r="AC10" s="7">
        <v>21.515956601739131</v>
      </c>
      <c r="AD10" s="7">
        <v>0</v>
      </c>
      <c r="AE10" s="7">
        <v>0</v>
      </c>
      <c r="AF10" s="7">
        <v>270.90143851782608</v>
      </c>
      <c r="AG10" s="7">
        <v>249.385481916087</v>
      </c>
      <c r="AH10" s="7">
        <v>4.3031915213043472</v>
      </c>
      <c r="AI10" s="7">
        <v>0</v>
      </c>
      <c r="AJ10" s="7">
        <v>0</v>
      </c>
      <c r="AK10" s="7">
        <v>21.515956601739131</v>
      </c>
      <c r="AL10" s="7">
        <v>275.20463003913039</v>
      </c>
      <c r="AM10" s="7">
        <v>0</v>
      </c>
      <c r="AN10" s="7">
        <v>0</v>
      </c>
      <c r="AO10" s="7">
        <v>0</v>
      </c>
      <c r="AP10" s="7">
        <v>0</v>
      </c>
      <c r="AQ10" s="7">
        <v>0</v>
      </c>
      <c r="AR10" s="7">
        <v>275.20463003913039</v>
      </c>
      <c r="AS10" s="7">
        <v>-19.306112643359679</v>
      </c>
      <c r="AT10" s="7">
        <v>-19.306112643359679</v>
      </c>
    </row>
    <row r="11" spans="1:46" x14ac:dyDescent="0.35">
      <c r="A11" s="5">
        <v>46022</v>
      </c>
      <c r="B11" s="4" t="s">
        <v>46</v>
      </c>
      <c r="C11" s="4" t="s">
        <v>47</v>
      </c>
      <c r="D11" s="4" t="s">
        <v>48</v>
      </c>
      <c r="E11" s="6">
        <v>527</v>
      </c>
      <c r="F11" s="6">
        <v>5.1269999999999998</v>
      </c>
      <c r="G11" s="7">
        <v>62.905712000000001</v>
      </c>
      <c r="H11" s="7">
        <v>20.226244000000001</v>
      </c>
      <c r="I11" s="7">
        <v>2.982923</v>
      </c>
      <c r="J11" s="7">
        <v>61.184762999999997</v>
      </c>
      <c r="K11" s="7">
        <v>147.29964200000001</v>
      </c>
      <c r="L11" s="7">
        <v>23.700962000000001</v>
      </c>
      <c r="M11" s="7">
        <v>13.749105</v>
      </c>
      <c r="N11" s="7">
        <v>49.432932000000001</v>
      </c>
      <c r="O11" s="7">
        <v>76.401544000000001</v>
      </c>
      <c r="P11" s="7">
        <v>163.28454300000001</v>
      </c>
      <c r="Q11" s="7">
        <v>0</v>
      </c>
      <c r="R11" s="7">
        <v>0</v>
      </c>
      <c r="S11" s="7">
        <v>0</v>
      </c>
      <c r="T11" s="7">
        <v>0</v>
      </c>
      <c r="U11" s="7">
        <v>0</v>
      </c>
      <c r="V11" s="7">
        <v>310.58418499999999</v>
      </c>
      <c r="W11" s="7">
        <v>76.618550999999997</v>
      </c>
      <c r="X11" s="7">
        <v>387.20273600000002</v>
      </c>
      <c r="Y11" s="7">
        <v>35</v>
      </c>
      <c r="Z11" s="7">
        <v>12.33466532185548</v>
      </c>
      <c r="AA11" s="7">
        <v>434.5374013218555</v>
      </c>
      <c r="AB11" s="7">
        <v>0</v>
      </c>
      <c r="AC11" s="7">
        <v>68.868920000000003</v>
      </c>
      <c r="AD11" s="7">
        <v>0</v>
      </c>
      <c r="AE11" s="7">
        <v>0</v>
      </c>
      <c r="AF11" s="7">
        <v>503.40632132185556</v>
      </c>
      <c r="AG11" s="7">
        <v>434.5374013218555</v>
      </c>
      <c r="AH11" s="7">
        <v>38.4</v>
      </c>
      <c r="AI11" s="7">
        <v>0</v>
      </c>
      <c r="AJ11" s="7">
        <v>0</v>
      </c>
      <c r="AK11" s="7">
        <v>9.4415929999999992</v>
      </c>
      <c r="AL11" s="7">
        <v>482.37899432185549</v>
      </c>
      <c r="AM11" s="7">
        <v>0</v>
      </c>
      <c r="AN11" s="7">
        <v>0</v>
      </c>
      <c r="AO11" s="7">
        <v>0</v>
      </c>
      <c r="AP11" s="7">
        <v>0</v>
      </c>
      <c r="AQ11" s="7">
        <v>0</v>
      </c>
      <c r="AR11" s="7">
        <v>482.37899432185549</v>
      </c>
      <c r="AS11" s="7">
        <v>228.91996033331409</v>
      </c>
      <c r="AT11" s="7">
        <v>181.58529501145861</v>
      </c>
    </row>
    <row r="12" spans="1:46" x14ac:dyDescent="0.35">
      <c r="A12" s="5">
        <v>46022</v>
      </c>
      <c r="B12" s="4" t="s">
        <v>49</v>
      </c>
      <c r="C12" s="4" t="s">
        <v>50</v>
      </c>
      <c r="D12" s="4" t="s">
        <v>48</v>
      </c>
      <c r="E12" s="6">
        <v>525</v>
      </c>
      <c r="F12" s="6">
        <v>4.4000000000000004</v>
      </c>
      <c r="G12" s="7">
        <v>29.863334999999999</v>
      </c>
      <c r="H12" s="7">
        <v>17.271536000000001</v>
      </c>
      <c r="I12" s="7">
        <v>5.611599</v>
      </c>
      <c r="J12" s="7">
        <v>91.603067999999993</v>
      </c>
      <c r="K12" s="7">
        <v>144.349538</v>
      </c>
      <c r="L12" s="7">
        <v>25.963736999999998</v>
      </c>
      <c r="M12" s="7">
        <v>28.727651999999999</v>
      </c>
      <c r="N12" s="7">
        <v>23.029160000000001</v>
      </c>
      <c r="O12" s="7">
        <v>46.624690000000001</v>
      </c>
      <c r="P12" s="7">
        <v>124.34523900000001</v>
      </c>
      <c r="Q12" s="7">
        <v>0</v>
      </c>
      <c r="R12" s="7">
        <v>0</v>
      </c>
      <c r="S12" s="7">
        <v>0</v>
      </c>
      <c r="T12" s="7">
        <v>0</v>
      </c>
      <c r="U12" s="7">
        <v>0</v>
      </c>
      <c r="V12" s="7">
        <v>268.69477699999999</v>
      </c>
      <c r="W12" s="7">
        <v>46.074742999999998</v>
      </c>
      <c r="X12" s="7">
        <v>314.76952</v>
      </c>
      <c r="Y12" s="7">
        <v>35</v>
      </c>
      <c r="Z12" s="7">
        <v>10.93553183840284</v>
      </c>
      <c r="AA12" s="7">
        <v>360.70505183840282</v>
      </c>
      <c r="AB12" s="7">
        <v>0</v>
      </c>
      <c r="AC12" s="7">
        <v>57.534624000000001</v>
      </c>
      <c r="AD12" s="7">
        <v>0</v>
      </c>
      <c r="AE12" s="7">
        <v>0</v>
      </c>
      <c r="AF12" s="7">
        <v>418.23967583840277</v>
      </c>
      <c r="AG12" s="7">
        <v>360.70505183840282</v>
      </c>
      <c r="AH12" s="7">
        <v>24.761904999999999</v>
      </c>
      <c r="AI12" s="7">
        <v>0</v>
      </c>
      <c r="AJ12" s="7">
        <v>0</v>
      </c>
      <c r="AK12" s="7">
        <v>26.869478000000001</v>
      </c>
      <c r="AL12" s="7">
        <v>412.33643483840279</v>
      </c>
      <c r="AM12" s="7">
        <v>0</v>
      </c>
      <c r="AN12" s="7">
        <v>0</v>
      </c>
      <c r="AO12" s="7">
        <v>0</v>
      </c>
      <c r="AP12" s="7">
        <v>0</v>
      </c>
      <c r="AQ12" s="7">
        <v>0</v>
      </c>
      <c r="AR12" s="7">
        <v>412.33643483840279</v>
      </c>
      <c r="AS12" s="7">
        <v>232.0070719201421</v>
      </c>
      <c r="AT12" s="7">
        <v>186.07154008173919</v>
      </c>
    </row>
    <row r="13" spans="1:46" x14ac:dyDescent="0.35">
      <c r="A13" s="5">
        <v>46022</v>
      </c>
      <c r="B13" s="4" t="s">
        <v>51</v>
      </c>
      <c r="C13" s="4" t="s">
        <v>52</v>
      </c>
      <c r="D13" s="4" t="s">
        <v>53</v>
      </c>
      <c r="E13" s="6">
        <v>113.4</v>
      </c>
      <c r="F13" s="6">
        <v>5.5</v>
      </c>
      <c r="G13" s="7">
        <v>56.576657564017069</v>
      </c>
      <c r="H13" s="7">
        <v>141.288715</v>
      </c>
      <c r="I13" s="7">
        <v>2.21958831919012</v>
      </c>
      <c r="J13" s="7">
        <v>141.2708068467</v>
      </c>
      <c r="K13" s="7">
        <v>341.3557677299072</v>
      </c>
      <c r="L13" s="7">
        <v>15.712432812438379</v>
      </c>
      <c r="M13" s="7">
        <v>0</v>
      </c>
      <c r="N13" s="7">
        <v>57.241708757052642</v>
      </c>
      <c r="O13" s="7">
        <v>77.857661739064483</v>
      </c>
      <c r="P13" s="7">
        <v>150.81180330855551</v>
      </c>
      <c r="Q13" s="7">
        <v>0</v>
      </c>
      <c r="R13" s="7">
        <v>0</v>
      </c>
      <c r="S13" s="7">
        <v>0</v>
      </c>
      <c r="T13" s="7">
        <v>0</v>
      </c>
      <c r="U13" s="7">
        <v>0</v>
      </c>
      <c r="V13" s="7">
        <v>492.1675710384626</v>
      </c>
      <c r="W13" s="7">
        <v>172.6963154736971</v>
      </c>
      <c r="X13" s="7">
        <v>664.86388651215975</v>
      </c>
      <c r="Y13" s="7">
        <v>30</v>
      </c>
      <c r="Z13" s="7">
        <v>34.033952346123819</v>
      </c>
      <c r="AA13" s="7">
        <v>728.89783885828354</v>
      </c>
      <c r="AB13" s="7">
        <v>1.0000032975548629</v>
      </c>
      <c r="AC13" s="7">
        <v>97.881756769398677</v>
      </c>
      <c r="AD13" s="7">
        <v>0</v>
      </c>
      <c r="AE13" s="7">
        <v>0</v>
      </c>
      <c r="AF13" s="7">
        <v>827.77959892523711</v>
      </c>
      <c r="AG13" s="7">
        <v>728.89783885828354</v>
      </c>
      <c r="AH13" s="7">
        <v>73.825205441862451</v>
      </c>
      <c r="AI13" s="7">
        <v>1.0000032975548629</v>
      </c>
      <c r="AJ13" s="7">
        <v>0</v>
      </c>
      <c r="AK13" s="7">
        <v>11.00003627310349</v>
      </c>
      <c r="AL13" s="7">
        <v>814.72308387080432</v>
      </c>
      <c r="AM13" s="7">
        <v>0</v>
      </c>
      <c r="AN13" s="7">
        <v>0</v>
      </c>
      <c r="AO13" s="7">
        <v>0</v>
      </c>
      <c r="AP13" s="7">
        <v>0</v>
      </c>
      <c r="AQ13" s="7">
        <v>0</v>
      </c>
      <c r="AR13" s="7">
        <v>814.72308387080432</v>
      </c>
      <c r="AS13" s="7">
        <v>145.46831220507414</v>
      </c>
      <c r="AT13" s="7">
        <v>81.434359858950316</v>
      </c>
    </row>
    <row r="14" spans="1:46" x14ac:dyDescent="0.35">
      <c r="A14" s="5">
        <v>46022</v>
      </c>
      <c r="B14" s="4" t="s">
        <v>54</v>
      </c>
      <c r="C14" s="4" t="s">
        <v>55</v>
      </c>
      <c r="D14" s="4" t="s">
        <v>56</v>
      </c>
      <c r="E14" s="6">
        <v>7.3181200000000004</v>
      </c>
      <c r="F14" s="6">
        <v>21.715230141074482</v>
      </c>
      <c r="G14" s="7">
        <v>149.72395467937946</v>
      </c>
      <c r="H14" s="7">
        <v>47.674073656381694</v>
      </c>
      <c r="I14" s="7">
        <v>66.426076390644113</v>
      </c>
      <c r="J14" s="7">
        <v>234.72923604775761</v>
      </c>
      <c r="K14" s="7">
        <v>498.55334077416285</v>
      </c>
      <c r="L14" s="7">
        <v>77.657835409008342</v>
      </c>
      <c r="M14" s="7">
        <v>0</v>
      </c>
      <c r="N14" s="7">
        <v>21.537951260040469</v>
      </c>
      <c r="O14" s="7">
        <v>222.78222555442895</v>
      </c>
      <c r="P14" s="7">
        <v>321.97801222347778</v>
      </c>
      <c r="Q14" s="7">
        <v>80.447807770301665</v>
      </c>
      <c r="R14" s="7">
        <v>60.872950703186056</v>
      </c>
      <c r="S14" s="7">
        <v>65.908118341869212</v>
      </c>
      <c r="T14" s="7">
        <v>246.65730228528639</v>
      </c>
      <c r="U14" s="7">
        <v>453.88617910064335</v>
      </c>
      <c r="V14" s="7">
        <v>1274.417532098284</v>
      </c>
      <c r="W14" s="7">
        <v>34.693412388589977</v>
      </c>
      <c r="X14" s="7">
        <v>1309.1109444868741</v>
      </c>
      <c r="Y14" s="7">
        <v>0</v>
      </c>
      <c r="Z14" s="7">
        <v>24.737875602945799</v>
      </c>
      <c r="AA14" s="7">
        <v>1333.8488200898196</v>
      </c>
      <c r="AB14" s="7">
        <v>0</v>
      </c>
      <c r="AC14" s="7">
        <v>214.56069116399598</v>
      </c>
      <c r="AD14" s="7">
        <v>0</v>
      </c>
      <c r="AE14" s="7">
        <v>0</v>
      </c>
      <c r="AF14" s="7">
        <v>1548.4095112538157</v>
      </c>
      <c r="AG14" s="7">
        <v>1333.8488200898196</v>
      </c>
      <c r="AH14" s="7">
        <v>63.718551851929085</v>
      </c>
      <c r="AI14" s="7">
        <v>0</v>
      </c>
      <c r="AJ14" s="7">
        <v>0</v>
      </c>
      <c r="AK14" s="7">
        <v>140.90427611333533</v>
      </c>
      <c r="AL14" s="7">
        <v>1538.4716480550842</v>
      </c>
      <c r="AM14" s="7">
        <v>0</v>
      </c>
      <c r="AN14" s="7">
        <v>0</v>
      </c>
      <c r="AO14" s="7">
        <v>0</v>
      </c>
      <c r="AP14" s="7">
        <v>0</v>
      </c>
      <c r="AQ14" s="7">
        <v>0</v>
      </c>
      <c r="AR14" s="7">
        <v>1538.4716480550842</v>
      </c>
      <c r="AS14" s="7">
        <v>1171.8788491373118</v>
      </c>
      <c r="AT14" s="7">
        <v>1147.1409735343661</v>
      </c>
    </row>
    <row r="15" spans="1:46" x14ac:dyDescent="0.35">
      <c r="A15" s="5">
        <v>46022</v>
      </c>
      <c r="B15" s="4" t="s">
        <v>135</v>
      </c>
      <c r="C15" s="4" t="s">
        <v>136</v>
      </c>
      <c r="D15" s="4" t="s">
        <v>137</v>
      </c>
      <c r="E15" s="6">
        <v>34</v>
      </c>
      <c r="F15" s="6">
        <v>99.5</v>
      </c>
      <c r="G15" s="7">
        <v>0</v>
      </c>
      <c r="H15" s="7">
        <v>0</v>
      </c>
      <c r="I15" s="7">
        <v>0</v>
      </c>
      <c r="J15" s="7">
        <v>0</v>
      </c>
      <c r="K15" s="7">
        <v>0</v>
      </c>
      <c r="L15" s="7">
        <v>0</v>
      </c>
      <c r="M15" s="7">
        <v>0</v>
      </c>
      <c r="N15" s="7">
        <v>0</v>
      </c>
      <c r="O15" s="7">
        <v>0</v>
      </c>
      <c r="P15" s="7">
        <v>0</v>
      </c>
      <c r="Q15" s="7">
        <v>869.80369700000006</v>
      </c>
      <c r="R15" s="7">
        <v>2605.7697619999999</v>
      </c>
      <c r="S15" s="7">
        <v>477.85819199999997</v>
      </c>
      <c r="T15" s="7">
        <v>2690.9434580000002</v>
      </c>
      <c r="U15" s="7">
        <v>6644.3751089999996</v>
      </c>
      <c r="V15" s="7">
        <v>6644.3751089999996</v>
      </c>
      <c r="W15" s="7">
        <v>291.40975396648929</v>
      </c>
      <c r="X15" s="7">
        <v>6935.7848629664886</v>
      </c>
      <c r="Y15" s="7">
        <v>43</v>
      </c>
      <c r="Z15" s="7">
        <v>277.62195717332838</v>
      </c>
      <c r="AA15" s="7">
        <v>7256.4068201398168</v>
      </c>
      <c r="AB15" s="7">
        <v>23.872754920648902</v>
      </c>
      <c r="AC15" s="7">
        <v>1527.8796988832501</v>
      </c>
      <c r="AD15" s="7">
        <v>0</v>
      </c>
      <c r="AE15" s="7">
        <v>0</v>
      </c>
      <c r="AF15" s="7">
        <v>8808.1592739437165</v>
      </c>
      <c r="AG15" s="7">
        <v>7256.4068201398168</v>
      </c>
      <c r="AH15" s="7">
        <v>235.29373282759619</v>
      </c>
      <c r="AI15" s="7">
        <v>23.872754920648902</v>
      </c>
      <c r="AJ15" s="7">
        <v>0</v>
      </c>
      <c r="AK15" s="7">
        <v>663.23420829528868</v>
      </c>
      <c r="AL15" s="7">
        <v>8178.8075161833513</v>
      </c>
      <c r="AM15" s="7">
        <v>0</v>
      </c>
      <c r="AN15" s="7">
        <v>0</v>
      </c>
      <c r="AO15" s="7">
        <v>0</v>
      </c>
      <c r="AP15" s="7">
        <v>0</v>
      </c>
      <c r="AQ15" s="7">
        <v>0</v>
      </c>
      <c r="AR15" s="7">
        <v>8178.8075161833513</v>
      </c>
      <c r="AS15" s="7">
        <v>814.7461132363054</v>
      </c>
      <c r="AT15" s="7">
        <v>494.12415606297702</v>
      </c>
    </row>
    <row r="16" spans="1:46" x14ac:dyDescent="0.35">
      <c r="A16" s="5">
        <v>46022</v>
      </c>
      <c r="B16" s="4" t="s">
        <v>138</v>
      </c>
      <c r="C16" s="4" t="s">
        <v>139</v>
      </c>
      <c r="D16" s="4" t="s">
        <v>66</v>
      </c>
      <c r="E16" s="6">
        <v>40.002000000000002</v>
      </c>
      <c r="F16" s="6">
        <v>99.4</v>
      </c>
      <c r="G16" s="7">
        <v>0</v>
      </c>
      <c r="H16" s="7">
        <v>0</v>
      </c>
      <c r="I16" s="7">
        <v>0</v>
      </c>
      <c r="J16" s="7">
        <v>0</v>
      </c>
      <c r="K16" s="7">
        <v>0</v>
      </c>
      <c r="L16" s="7">
        <v>0</v>
      </c>
      <c r="M16" s="7">
        <v>0</v>
      </c>
      <c r="N16" s="7">
        <v>0</v>
      </c>
      <c r="O16" s="7">
        <v>0</v>
      </c>
      <c r="P16" s="7">
        <v>0</v>
      </c>
      <c r="Q16" s="7">
        <v>289.67884700000002</v>
      </c>
      <c r="R16" s="7">
        <v>1260.592907</v>
      </c>
      <c r="S16" s="7">
        <v>1038.090316</v>
      </c>
      <c r="T16" s="7">
        <v>2910.4019029999999</v>
      </c>
      <c r="U16" s="7">
        <v>5498.7639730000001</v>
      </c>
      <c r="V16" s="7">
        <v>5498.7639730000001</v>
      </c>
      <c r="W16" s="7">
        <v>80.031604856249999</v>
      </c>
      <c r="X16" s="7">
        <v>5578.79557785625</v>
      </c>
      <c r="Y16" s="7">
        <v>0</v>
      </c>
      <c r="Z16" s="7">
        <v>921.36434299175335</v>
      </c>
      <c r="AA16" s="7">
        <v>6500.1599208480029</v>
      </c>
      <c r="AB16" s="7">
        <v>0</v>
      </c>
      <c r="AC16" s="7">
        <v>948.87504842542137</v>
      </c>
      <c r="AD16" s="7">
        <v>0</v>
      </c>
      <c r="AE16" s="7">
        <v>0</v>
      </c>
      <c r="AF16" s="7">
        <v>7449.0349692734253</v>
      </c>
      <c r="AG16" s="7">
        <v>6500.1599208480029</v>
      </c>
      <c r="AH16" s="7">
        <v>624.83708723483153</v>
      </c>
      <c r="AI16" s="7">
        <v>0</v>
      </c>
      <c r="AJ16" s="7">
        <v>129.8107604647472</v>
      </c>
      <c r="AK16" s="7">
        <v>274.88027662661523</v>
      </c>
      <c r="AL16" s="7">
        <v>7529.6880451741972</v>
      </c>
      <c r="AM16" s="7">
        <v>0</v>
      </c>
      <c r="AN16" s="7">
        <v>0</v>
      </c>
      <c r="AO16" s="7">
        <v>0</v>
      </c>
      <c r="AP16" s="7">
        <v>0</v>
      </c>
      <c r="AQ16" s="7">
        <v>0</v>
      </c>
      <c r="AR16" s="7">
        <v>7529.6880451741972</v>
      </c>
      <c r="AS16" s="7">
        <v>4693.4895544013098</v>
      </c>
      <c r="AT16" s="7">
        <v>3772.1252114095573</v>
      </c>
    </row>
    <row r="17" spans="1:46" x14ac:dyDescent="0.35">
      <c r="A17" s="5">
        <v>46022</v>
      </c>
      <c r="B17" s="4" t="s">
        <v>140</v>
      </c>
      <c r="C17" s="4" t="s">
        <v>141</v>
      </c>
      <c r="D17" s="4" t="s">
        <v>137</v>
      </c>
      <c r="E17" s="6">
        <v>6.69</v>
      </c>
      <c r="F17" s="6">
        <v>99.5</v>
      </c>
      <c r="G17" s="7">
        <v>0</v>
      </c>
      <c r="H17" s="7">
        <v>0</v>
      </c>
      <c r="I17" s="7">
        <v>0</v>
      </c>
      <c r="J17" s="7">
        <v>0</v>
      </c>
      <c r="K17" s="7">
        <v>0</v>
      </c>
      <c r="L17" s="7">
        <v>0</v>
      </c>
      <c r="M17" s="7">
        <v>0</v>
      </c>
      <c r="N17" s="7">
        <v>0</v>
      </c>
      <c r="O17" s="7">
        <v>0</v>
      </c>
      <c r="P17" s="7">
        <v>0</v>
      </c>
      <c r="Q17" s="7">
        <v>1807.4875460000001</v>
      </c>
      <c r="R17" s="7">
        <v>3003.4882149999999</v>
      </c>
      <c r="S17" s="7">
        <v>1073.1998490000001</v>
      </c>
      <c r="T17" s="7">
        <v>2146.4839980000002</v>
      </c>
      <c r="U17" s="7">
        <v>8030.6596079999999</v>
      </c>
      <c r="V17" s="7">
        <v>8030.6596079999999</v>
      </c>
      <c r="W17" s="7">
        <v>340.55547751565769</v>
      </c>
      <c r="X17" s="7">
        <v>8371.2150855156578</v>
      </c>
      <c r="Y17" s="7">
        <v>32.685839999999999</v>
      </c>
      <c r="Z17" s="7">
        <v>372.15000513241949</v>
      </c>
      <c r="AA17" s="7">
        <v>8776.0509306480762</v>
      </c>
      <c r="AB17" s="7">
        <v>0</v>
      </c>
      <c r="AC17" s="7">
        <v>6025.4014635058156</v>
      </c>
      <c r="AD17" s="7">
        <v>0</v>
      </c>
      <c r="AE17" s="7">
        <v>0</v>
      </c>
      <c r="AF17" s="7">
        <v>14801.45239415389</v>
      </c>
      <c r="AG17" s="7">
        <v>8776.0509306480762</v>
      </c>
      <c r="AH17" s="7">
        <v>1204.5969690923571</v>
      </c>
      <c r="AI17" s="7">
        <v>0</v>
      </c>
      <c r="AJ17" s="7">
        <v>0</v>
      </c>
      <c r="AK17" s="7">
        <v>4204.2311187350688</v>
      </c>
      <c r="AL17" s="7">
        <v>14184.8790184755</v>
      </c>
      <c r="AM17" s="7">
        <v>0</v>
      </c>
      <c r="AN17" s="7">
        <v>0</v>
      </c>
      <c r="AO17" s="7">
        <v>0</v>
      </c>
      <c r="AP17" s="7">
        <v>0</v>
      </c>
      <c r="AQ17" s="7">
        <v>0</v>
      </c>
      <c r="AR17" s="7">
        <v>14184.8790184755</v>
      </c>
      <c r="AS17" s="7">
        <v>4033.7850855649917</v>
      </c>
      <c r="AT17" s="7">
        <v>3628.9492404325729</v>
      </c>
    </row>
    <row r="18" spans="1:46" x14ac:dyDescent="0.35">
      <c r="A18" s="5">
        <v>46022</v>
      </c>
      <c r="B18" s="4" t="s">
        <v>142</v>
      </c>
      <c r="C18" s="4" t="s">
        <v>143</v>
      </c>
      <c r="D18" s="4" t="s">
        <v>66</v>
      </c>
      <c r="E18" s="6">
        <v>25</v>
      </c>
      <c r="F18" s="6">
        <v>99.5</v>
      </c>
      <c r="G18" s="7">
        <v>0</v>
      </c>
      <c r="H18" s="7">
        <v>0</v>
      </c>
      <c r="I18" s="7">
        <v>0</v>
      </c>
      <c r="J18" s="7">
        <v>0</v>
      </c>
      <c r="K18" s="7">
        <v>0</v>
      </c>
      <c r="L18" s="7">
        <v>0</v>
      </c>
      <c r="M18" s="7">
        <v>0</v>
      </c>
      <c r="N18" s="7">
        <v>0</v>
      </c>
      <c r="O18" s="7">
        <v>0</v>
      </c>
      <c r="P18" s="7">
        <v>0</v>
      </c>
      <c r="Q18" s="7">
        <v>532.99496099999999</v>
      </c>
      <c r="R18" s="7">
        <v>1102.397657</v>
      </c>
      <c r="S18" s="7">
        <v>1031.393178</v>
      </c>
      <c r="T18" s="7">
        <v>2649.7260360000005</v>
      </c>
      <c r="U18" s="7">
        <v>5316.5118329999996</v>
      </c>
      <c r="V18" s="7">
        <v>5316.5118329999996</v>
      </c>
      <c r="W18" s="7">
        <v>115.3143571258427</v>
      </c>
      <c r="X18" s="7">
        <v>5431.826190125842</v>
      </c>
      <c r="Y18" s="7">
        <v>0</v>
      </c>
      <c r="Z18" s="7">
        <v>914.24758234460114</v>
      </c>
      <c r="AA18" s="7">
        <v>6346.0737724704431</v>
      </c>
      <c r="AB18" s="7">
        <v>0</v>
      </c>
      <c r="AC18" s="7">
        <v>750.78870389276699</v>
      </c>
      <c r="AD18" s="7">
        <v>0</v>
      </c>
      <c r="AE18" s="7">
        <v>0</v>
      </c>
      <c r="AF18" s="7">
        <v>7096.8624763632097</v>
      </c>
      <c r="AG18" s="7">
        <v>6346.0737724704431</v>
      </c>
      <c r="AH18" s="7">
        <v>478.3852603514747</v>
      </c>
      <c r="AI18" s="7">
        <v>0</v>
      </c>
      <c r="AJ18" s="7">
        <v>0</v>
      </c>
      <c r="AK18" s="7">
        <v>265.76958941741572</v>
      </c>
      <c r="AL18" s="7">
        <v>7090.2286222393341</v>
      </c>
      <c r="AM18" s="7">
        <v>0</v>
      </c>
      <c r="AN18" s="7">
        <v>0</v>
      </c>
      <c r="AO18" s="7">
        <v>0</v>
      </c>
      <c r="AP18" s="7">
        <v>0</v>
      </c>
      <c r="AQ18" s="7">
        <v>0</v>
      </c>
      <c r="AR18" s="7">
        <v>7090.2286222393341</v>
      </c>
      <c r="AS18" s="7">
        <v>4840.459088870607</v>
      </c>
      <c r="AT18" s="7">
        <v>3926.211506526005</v>
      </c>
    </row>
    <row r="19" spans="1:46" x14ac:dyDescent="0.35">
      <c r="A19" s="5">
        <v>46022</v>
      </c>
      <c r="B19" s="4" t="s">
        <v>57</v>
      </c>
      <c r="C19" s="4" t="s">
        <v>58</v>
      </c>
      <c r="D19" s="4" t="s">
        <v>53</v>
      </c>
      <c r="E19" s="6">
        <v>354.61067000000003</v>
      </c>
      <c r="F19" s="6">
        <v>6</v>
      </c>
      <c r="G19" s="7">
        <v>6.7792963550279461</v>
      </c>
      <c r="H19" s="7">
        <v>24.116291999999998</v>
      </c>
      <c r="I19" s="7">
        <v>11.26177613620221</v>
      </c>
      <c r="J19" s="7">
        <v>93.974928886461882</v>
      </c>
      <c r="K19" s="7">
        <v>136.13229337769201</v>
      </c>
      <c r="L19" s="7">
        <v>14.508747843234239</v>
      </c>
      <c r="M19" s="7">
        <v>39.66017878118415</v>
      </c>
      <c r="N19" s="7">
        <v>46.170955250755959</v>
      </c>
      <c r="O19" s="7">
        <v>68.86484608485928</v>
      </c>
      <c r="P19" s="7">
        <v>169.20472796003361</v>
      </c>
      <c r="Q19" s="7">
        <v>0</v>
      </c>
      <c r="R19" s="7">
        <v>0</v>
      </c>
      <c r="S19" s="7">
        <v>0</v>
      </c>
      <c r="T19" s="7">
        <v>0</v>
      </c>
      <c r="U19" s="7">
        <v>0</v>
      </c>
      <c r="V19" s="7">
        <v>305.33702133772567</v>
      </c>
      <c r="W19" s="7">
        <v>172.6963154736971</v>
      </c>
      <c r="X19" s="7">
        <v>478.03333681142271</v>
      </c>
      <c r="Y19" s="7">
        <v>30</v>
      </c>
      <c r="Z19" s="7">
        <v>53.363339760465998</v>
      </c>
      <c r="AA19" s="7">
        <v>561.39667657188875</v>
      </c>
      <c r="AB19" s="7">
        <v>0.80000263804389049</v>
      </c>
      <c r="AC19" s="7">
        <v>43.337664907856421</v>
      </c>
      <c r="AD19" s="7">
        <v>0</v>
      </c>
      <c r="AE19" s="7">
        <v>0</v>
      </c>
      <c r="AF19" s="7">
        <v>605.53434411778903</v>
      </c>
      <c r="AG19" s="7">
        <v>561.39667657188875</v>
      </c>
      <c r="AH19" s="7">
        <v>15.266855343127069</v>
      </c>
      <c r="AI19" s="7">
        <v>0.80000263804389049</v>
      </c>
      <c r="AJ19" s="7">
        <v>0</v>
      </c>
      <c r="AK19" s="7">
        <v>5.940019587475887</v>
      </c>
      <c r="AL19" s="7">
        <v>583.40355414053556</v>
      </c>
      <c r="AM19" s="7">
        <v>0</v>
      </c>
      <c r="AN19" s="7">
        <v>0</v>
      </c>
      <c r="AO19" s="7">
        <v>0</v>
      </c>
      <c r="AP19" s="7">
        <v>0</v>
      </c>
      <c r="AQ19" s="7">
        <v>0</v>
      </c>
      <c r="AR19" s="7">
        <v>583.40355414053556</v>
      </c>
      <c r="AS19" s="7">
        <v>411.35565083610481</v>
      </c>
      <c r="AT19" s="7">
        <v>327.99231107563878</v>
      </c>
    </row>
    <row r="20" spans="1:46" x14ac:dyDescent="0.35">
      <c r="A20" s="5">
        <v>46022</v>
      </c>
      <c r="B20" s="4" t="s">
        <v>59</v>
      </c>
      <c r="C20" s="4" t="s">
        <v>60</v>
      </c>
      <c r="D20" s="4" t="s">
        <v>61</v>
      </c>
      <c r="E20" s="6">
        <v>1361.269</v>
      </c>
      <c r="F20" s="6">
        <v>6.3184098807803606</v>
      </c>
      <c r="G20" s="7">
        <v>62.646093715694413</v>
      </c>
      <c r="H20" s="7">
        <v>27.594238549279382</v>
      </c>
      <c r="I20" s="7">
        <v>1.598831942248454</v>
      </c>
      <c r="J20" s="7">
        <v>69.907286109766488</v>
      </c>
      <c r="K20" s="7">
        <v>161.74645031698881</v>
      </c>
      <c r="L20" s="7">
        <v>30.168204908413603</v>
      </c>
      <c r="M20" s="7">
        <v>6.9826890739517387</v>
      </c>
      <c r="N20" s="7">
        <v>13.381624919228399</v>
      </c>
      <c r="O20" s="7">
        <v>53.979432661504397</v>
      </c>
      <c r="P20" s="7">
        <v>104.51195156309815</v>
      </c>
      <c r="Q20" s="7">
        <v>5.9237923018771461</v>
      </c>
      <c r="R20" s="7">
        <v>5.666406797064357</v>
      </c>
      <c r="S20" s="7">
        <v>24.311798541782707</v>
      </c>
      <c r="T20" s="7">
        <v>23.025705516422544</v>
      </c>
      <c r="U20" s="7">
        <v>58.927703163451902</v>
      </c>
      <c r="V20" s="7">
        <v>325.18610504353887</v>
      </c>
      <c r="W20" s="7">
        <v>26.067082362280388</v>
      </c>
      <c r="X20" s="7">
        <v>351.25318740581929</v>
      </c>
      <c r="Y20" s="7">
        <v>47.331018740660369</v>
      </c>
      <c r="Z20" s="7">
        <v>38.623603902602049</v>
      </c>
      <c r="AA20" s="7">
        <v>437.20781004908156</v>
      </c>
      <c r="AB20" s="7">
        <v>1.3531648081028165</v>
      </c>
      <c r="AC20" s="7">
        <v>104.63060241591917</v>
      </c>
      <c r="AD20" s="7">
        <v>0</v>
      </c>
      <c r="AE20" s="7">
        <v>0</v>
      </c>
      <c r="AF20" s="7">
        <v>543.19157727310358</v>
      </c>
      <c r="AG20" s="7">
        <v>437.20781004908156</v>
      </c>
      <c r="AH20" s="7">
        <v>19.496139326255864</v>
      </c>
      <c r="AI20" s="7">
        <v>1.3531648081028165</v>
      </c>
      <c r="AJ20" s="7">
        <v>0.2197446309119368</v>
      </c>
      <c r="AK20" s="7">
        <v>32.944452544108067</v>
      </c>
      <c r="AL20" s="7">
        <v>491.2213113584603</v>
      </c>
      <c r="AM20" s="7">
        <v>0</v>
      </c>
      <c r="AN20" s="7">
        <v>0</v>
      </c>
      <c r="AO20" s="7">
        <v>0</v>
      </c>
      <c r="AP20" s="7">
        <v>0</v>
      </c>
      <c r="AQ20" s="7">
        <v>0</v>
      </c>
      <c r="AR20" s="7">
        <v>491.2213113584603</v>
      </c>
      <c r="AS20" s="7">
        <v>496.70501611856952</v>
      </c>
      <c r="AT20" s="7">
        <v>410.75039347530725</v>
      </c>
    </row>
    <row r="21" spans="1:46" x14ac:dyDescent="0.35">
      <c r="A21" s="5">
        <v>46022</v>
      </c>
      <c r="B21" s="4" t="s">
        <v>62</v>
      </c>
      <c r="C21" s="4" t="s">
        <v>63</v>
      </c>
      <c r="D21" s="4" t="s">
        <v>56</v>
      </c>
      <c r="E21" s="6">
        <v>237.73585</v>
      </c>
      <c r="F21" s="6">
        <v>5.3</v>
      </c>
      <c r="G21" s="7">
        <v>82.981544554452697</v>
      </c>
      <c r="H21" s="7">
        <v>75.483500000000006</v>
      </c>
      <c r="I21" s="7">
        <v>4.9839386251391469</v>
      </c>
      <c r="J21" s="7">
        <v>111.3272228412802</v>
      </c>
      <c r="K21" s="7">
        <v>274.776206020872</v>
      </c>
      <c r="L21" s="7">
        <v>18.96820926261595</v>
      </c>
      <c r="M21" s="7">
        <v>0</v>
      </c>
      <c r="N21" s="7">
        <v>8.2646062678107608</v>
      </c>
      <c r="O21" s="7">
        <v>99.51723448914656</v>
      </c>
      <c r="P21" s="7">
        <v>126.75005001957329</v>
      </c>
      <c r="Q21" s="7">
        <v>0</v>
      </c>
      <c r="R21" s="7">
        <v>0</v>
      </c>
      <c r="S21" s="7">
        <v>0</v>
      </c>
      <c r="T21" s="7">
        <v>0</v>
      </c>
      <c r="U21" s="7">
        <v>0</v>
      </c>
      <c r="V21" s="7">
        <v>401.52625604044528</v>
      </c>
      <c r="W21" s="7">
        <v>51.862533557977741</v>
      </c>
      <c r="X21" s="7">
        <v>453.38878959842299</v>
      </c>
      <c r="Y21" s="7">
        <v>55.807001999999997</v>
      </c>
      <c r="Z21" s="7">
        <v>22.06243308371544</v>
      </c>
      <c r="AA21" s="7">
        <v>531.25822468213835</v>
      </c>
      <c r="AB21" s="7">
        <v>29.44171260445269</v>
      </c>
      <c r="AC21" s="7">
        <v>110.9800370507421</v>
      </c>
      <c r="AD21" s="7">
        <v>0</v>
      </c>
      <c r="AE21" s="7">
        <v>0</v>
      </c>
      <c r="AF21" s="7">
        <v>671.67997433733331</v>
      </c>
      <c r="AG21" s="7">
        <v>531.25822468213835</v>
      </c>
      <c r="AH21" s="7">
        <v>105.14897501577001</v>
      </c>
      <c r="AI21" s="7">
        <v>29.44171260445269</v>
      </c>
      <c r="AJ21" s="7">
        <v>10.514897501576989</v>
      </c>
      <c r="AK21" s="7">
        <v>68.258273476252313</v>
      </c>
      <c r="AL21" s="7">
        <v>744.6220832801904</v>
      </c>
      <c r="AM21" s="7">
        <v>0</v>
      </c>
      <c r="AN21" s="7">
        <v>33.647672405009267</v>
      </c>
      <c r="AO21" s="7">
        <v>0</v>
      </c>
      <c r="AP21" s="7">
        <v>0</v>
      </c>
      <c r="AQ21" s="7">
        <v>0</v>
      </c>
      <c r="AR21" s="7">
        <v>778.2697556851997</v>
      </c>
      <c r="AS21" s="7">
        <v>182.4500279367935</v>
      </c>
      <c r="AT21" s="7">
        <v>104.580592853078</v>
      </c>
    </row>
    <row r="22" spans="1:46" x14ac:dyDescent="0.35">
      <c r="A22" s="5">
        <v>46022</v>
      </c>
      <c r="B22" s="4" t="s">
        <v>64</v>
      </c>
      <c r="C22" s="4" t="s">
        <v>65</v>
      </c>
      <c r="D22" s="4" t="s">
        <v>66</v>
      </c>
      <c r="E22" s="6">
        <v>185.61399</v>
      </c>
      <c r="F22" s="6">
        <v>5.9999999999999991</v>
      </c>
      <c r="G22" s="7">
        <v>22.341455070948573</v>
      </c>
      <c r="H22" s="7">
        <v>41.316292923299997</v>
      </c>
      <c r="I22" s="7">
        <v>8.8193615478089882</v>
      </c>
      <c r="J22" s="7">
        <v>108.1832815749181</v>
      </c>
      <c r="K22" s="7">
        <v>180.66039111697563</v>
      </c>
      <c r="L22" s="7">
        <v>9.6359910836431286</v>
      </c>
      <c r="M22" s="7">
        <v>15.659215183154719</v>
      </c>
      <c r="N22" s="7">
        <v>18.006927971685389</v>
      </c>
      <c r="O22" s="7">
        <v>52.373355023672197</v>
      </c>
      <c r="P22" s="7">
        <v>95.675489262155438</v>
      </c>
      <c r="Q22" s="7">
        <v>0</v>
      </c>
      <c r="R22" s="7">
        <v>0</v>
      </c>
      <c r="S22" s="7">
        <v>0</v>
      </c>
      <c r="T22" s="7">
        <v>0</v>
      </c>
      <c r="U22" s="7">
        <v>0</v>
      </c>
      <c r="V22" s="7">
        <v>276.33588037913108</v>
      </c>
      <c r="W22" s="7">
        <v>12.787668074303941</v>
      </c>
      <c r="X22" s="7">
        <v>289.12354845343498</v>
      </c>
      <c r="Y22" s="7">
        <v>0</v>
      </c>
      <c r="Z22" s="7">
        <v>35.457849501816497</v>
      </c>
      <c r="AA22" s="7">
        <v>324.58139795525148</v>
      </c>
      <c r="AB22" s="7">
        <v>7.9047931480337086</v>
      </c>
      <c r="AC22" s="7">
        <v>10.726215697471909</v>
      </c>
      <c r="AD22" s="7">
        <v>0</v>
      </c>
      <c r="AE22" s="7">
        <v>0</v>
      </c>
      <c r="AF22" s="7">
        <v>343.21240680075709</v>
      </c>
      <c r="AG22" s="7">
        <v>324.58139795525148</v>
      </c>
      <c r="AH22" s="7">
        <v>96.383462443065994</v>
      </c>
      <c r="AI22" s="7">
        <v>7.9047931480337086</v>
      </c>
      <c r="AJ22" s="7">
        <v>0</v>
      </c>
      <c r="AK22" s="7">
        <v>2.1194877061291351</v>
      </c>
      <c r="AL22" s="7">
        <v>430.98914125248047</v>
      </c>
      <c r="AM22" s="7">
        <v>0</v>
      </c>
      <c r="AN22" s="7">
        <v>0</v>
      </c>
      <c r="AO22" s="7">
        <v>0</v>
      </c>
      <c r="AP22" s="7">
        <v>0</v>
      </c>
      <c r="AQ22" s="7">
        <v>0</v>
      </c>
      <c r="AR22" s="7">
        <v>430.98914125248047</v>
      </c>
      <c r="AS22" s="7">
        <v>498.8286501310339</v>
      </c>
      <c r="AT22" s="7">
        <v>463.3708006292174</v>
      </c>
    </row>
    <row r="23" spans="1:46" x14ac:dyDescent="0.35">
      <c r="A23" s="5">
        <v>46022</v>
      </c>
      <c r="B23" s="4" t="s">
        <v>67</v>
      </c>
      <c r="C23" s="4" t="s">
        <v>68</v>
      </c>
      <c r="D23" s="4" t="s">
        <v>48</v>
      </c>
      <c r="E23" s="6">
        <v>304.34782999999999</v>
      </c>
      <c r="F23" s="6">
        <v>5.5</v>
      </c>
      <c r="G23" s="7">
        <v>44.272517999999998</v>
      </c>
      <c r="H23" s="7">
        <v>35.388196000000001</v>
      </c>
      <c r="I23" s="7">
        <v>4.3134209999999999</v>
      </c>
      <c r="J23" s="7">
        <v>68.585319999999996</v>
      </c>
      <c r="K23" s="7">
        <v>152.55945500000001</v>
      </c>
      <c r="L23" s="7">
        <v>19.914052999999999</v>
      </c>
      <c r="M23" s="7">
        <v>7.5738039999999991</v>
      </c>
      <c r="N23" s="7">
        <v>42.701751999999999</v>
      </c>
      <c r="O23" s="7">
        <v>14.324935</v>
      </c>
      <c r="P23" s="7">
        <v>84.514544000000001</v>
      </c>
      <c r="Q23" s="7">
        <v>0</v>
      </c>
      <c r="R23" s="7">
        <v>0</v>
      </c>
      <c r="S23" s="7">
        <v>0</v>
      </c>
      <c r="T23" s="7">
        <v>0</v>
      </c>
      <c r="U23" s="7">
        <v>0</v>
      </c>
      <c r="V23" s="7">
        <v>237.07399899999996</v>
      </c>
      <c r="W23" s="7">
        <v>142.97528299999999</v>
      </c>
      <c r="X23" s="7">
        <v>380.04928200000001</v>
      </c>
      <c r="Y23" s="7">
        <v>35</v>
      </c>
      <c r="Z23" s="7">
        <v>13.664751467703168</v>
      </c>
      <c r="AA23" s="7">
        <v>428.71403346770319</v>
      </c>
      <c r="AB23" s="7">
        <v>0</v>
      </c>
      <c r="AC23" s="7">
        <v>93.434672000000006</v>
      </c>
      <c r="AD23" s="7">
        <v>0</v>
      </c>
      <c r="AE23" s="7">
        <v>0</v>
      </c>
      <c r="AF23" s="7">
        <v>522.14870546770317</v>
      </c>
      <c r="AG23" s="7">
        <v>428.71403346770319</v>
      </c>
      <c r="AH23" s="7">
        <v>21.778438000000001</v>
      </c>
      <c r="AI23" s="7">
        <v>0</v>
      </c>
      <c r="AJ23" s="7">
        <v>0</v>
      </c>
      <c r="AK23" s="7">
        <v>23.7074</v>
      </c>
      <c r="AL23" s="7">
        <v>474.19987146770325</v>
      </c>
      <c r="AM23" s="7">
        <v>0</v>
      </c>
      <c r="AN23" s="7">
        <v>0</v>
      </c>
      <c r="AO23" s="7">
        <v>0</v>
      </c>
      <c r="AP23" s="7">
        <v>0</v>
      </c>
      <c r="AQ23" s="7">
        <v>0</v>
      </c>
      <c r="AR23" s="7">
        <v>474.19987146770325</v>
      </c>
      <c r="AS23" s="7">
        <v>303.18827173036578</v>
      </c>
      <c r="AT23" s="7">
        <v>254.52352026266266</v>
      </c>
    </row>
    <row r="24" spans="1:46" x14ac:dyDescent="0.35">
      <c r="A24" s="5">
        <v>46022</v>
      </c>
      <c r="B24" s="4" t="s">
        <v>69</v>
      </c>
      <c r="C24" s="4" t="s">
        <v>70</v>
      </c>
      <c r="D24" s="4" t="s">
        <v>61</v>
      </c>
      <c r="E24" s="6">
        <v>361.38233000000002</v>
      </c>
      <c r="F24" s="6">
        <v>5.101</v>
      </c>
      <c r="G24" s="7">
        <v>137.58298524</v>
      </c>
      <c r="H24" s="7">
        <v>75.089404999999999</v>
      </c>
      <c r="I24" s="7">
        <v>17.417338017631579</v>
      </c>
      <c r="J24" s="7">
        <v>55.372161824999999</v>
      </c>
      <c r="K24" s="7">
        <v>285.46189008263161</v>
      </c>
      <c r="L24" s="7">
        <v>36.206963092894739</v>
      </c>
      <c r="M24" s="7">
        <v>42.757810062631577</v>
      </c>
      <c r="N24" s="7">
        <v>19.25017802526316</v>
      </c>
      <c r="O24" s="7">
        <v>45.360238845789468</v>
      </c>
      <c r="P24" s="7">
        <v>143.57519002657901</v>
      </c>
      <c r="Q24" s="7">
        <v>0</v>
      </c>
      <c r="R24" s="7">
        <v>0</v>
      </c>
      <c r="S24" s="7">
        <v>0</v>
      </c>
      <c r="T24" s="7">
        <v>0</v>
      </c>
      <c r="U24" s="7">
        <v>0</v>
      </c>
      <c r="V24" s="7">
        <v>429.03708010921054</v>
      </c>
      <c r="W24" s="7">
        <v>103.73558201289468</v>
      </c>
      <c r="X24" s="7">
        <v>532.77266212210532</v>
      </c>
      <c r="Y24" s="7">
        <v>61.385235999999999</v>
      </c>
      <c r="Z24" s="7">
        <v>42.04211973661635</v>
      </c>
      <c r="AA24" s="7">
        <v>636.20001785872159</v>
      </c>
      <c r="AB24" s="7">
        <v>0</v>
      </c>
      <c r="AC24" s="7">
        <v>185.02708035789479</v>
      </c>
      <c r="AD24" s="7">
        <v>0</v>
      </c>
      <c r="AE24" s="7">
        <v>0</v>
      </c>
      <c r="AF24" s="7">
        <v>821.22709821661647</v>
      </c>
      <c r="AG24" s="7">
        <v>636.20001785872159</v>
      </c>
      <c r="AH24" s="7">
        <v>25.824541722631579</v>
      </c>
      <c r="AI24" s="7">
        <v>0</v>
      </c>
      <c r="AJ24" s="7">
        <v>0</v>
      </c>
      <c r="AK24" s="7">
        <v>128.97981345789481</v>
      </c>
      <c r="AL24" s="7">
        <v>791.00437303924798</v>
      </c>
      <c r="AM24" s="7">
        <v>0</v>
      </c>
      <c r="AN24" s="7">
        <v>0</v>
      </c>
      <c r="AO24" s="7">
        <v>0</v>
      </c>
      <c r="AP24" s="7">
        <v>0</v>
      </c>
      <c r="AQ24" s="7">
        <v>0</v>
      </c>
      <c r="AR24" s="7">
        <v>791.00437303924798</v>
      </c>
      <c r="AS24" s="7">
        <v>199.2928534011123</v>
      </c>
      <c r="AT24" s="7">
        <v>95.865497664495962</v>
      </c>
    </row>
    <row r="25" spans="1:46" x14ac:dyDescent="0.35">
      <c r="A25" s="5">
        <v>46022</v>
      </c>
      <c r="B25" s="4" t="s">
        <v>144</v>
      </c>
      <c r="C25" s="4" t="s">
        <v>145</v>
      </c>
      <c r="D25" s="4" t="s">
        <v>66</v>
      </c>
      <c r="E25" s="6">
        <v>12</v>
      </c>
      <c r="F25" s="6">
        <v>57</v>
      </c>
      <c r="G25" s="7">
        <v>0</v>
      </c>
      <c r="H25" s="7">
        <v>0</v>
      </c>
      <c r="I25" s="7">
        <v>0</v>
      </c>
      <c r="J25" s="7">
        <v>0</v>
      </c>
      <c r="K25" s="7">
        <v>0</v>
      </c>
      <c r="L25" s="7">
        <v>0</v>
      </c>
      <c r="M25" s="7">
        <v>0</v>
      </c>
      <c r="N25" s="7">
        <v>0</v>
      </c>
      <c r="O25" s="7">
        <v>0</v>
      </c>
      <c r="P25" s="7">
        <v>0</v>
      </c>
      <c r="Q25" s="7">
        <v>677.54591400000004</v>
      </c>
      <c r="R25" s="7">
        <v>719.25593500000002</v>
      </c>
      <c r="S25" s="7">
        <v>617.02796499999999</v>
      </c>
      <c r="T25" s="7">
        <v>3736.5352539999999</v>
      </c>
      <c r="U25" s="7">
        <v>5750.3650680000001</v>
      </c>
      <c r="V25" s="7">
        <v>5750.3650680000001</v>
      </c>
      <c r="W25" s="7">
        <v>115.3143571258427</v>
      </c>
      <c r="X25" s="7">
        <v>5865.6794251258434</v>
      </c>
      <c r="Y25" s="7">
        <v>0</v>
      </c>
      <c r="Z25" s="7">
        <v>316.17164341796951</v>
      </c>
      <c r="AA25" s="7">
        <v>6181.8510685438123</v>
      </c>
      <c r="AB25" s="7">
        <v>0</v>
      </c>
      <c r="AC25" s="7">
        <v>1497.752808699508</v>
      </c>
      <c r="AD25" s="7">
        <v>0</v>
      </c>
      <c r="AE25" s="7">
        <v>0</v>
      </c>
      <c r="AF25" s="7">
        <v>7679.6038772433212</v>
      </c>
      <c r="AG25" s="7">
        <v>6181.8510685438123</v>
      </c>
      <c r="AH25" s="7">
        <v>172.47460840056181</v>
      </c>
      <c r="AI25" s="7">
        <v>0</v>
      </c>
      <c r="AJ25" s="7">
        <v>0</v>
      </c>
      <c r="AK25" s="7">
        <v>1437.2884036712778</v>
      </c>
      <c r="AL25" s="7">
        <v>7791.6140806156518</v>
      </c>
      <c r="AM25" s="7">
        <v>0</v>
      </c>
      <c r="AN25" s="7">
        <v>0</v>
      </c>
      <c r="AO25" s="7">
        <v>0</v>
      </c>
      <c r="AP25" s="7">
        <v>0</v>
      </c>
      <c r="AQ25" s="7">
        <v>0</v>
      </c>
      <c r="AR25" s="7">
        <v>7791.6140806156518</v>
      </c>
      <c r="AS25" s="7">
        <v>4673.375339002976</v>
      </c>
      <c r="AT25" s="7">
        <v>4357.2036955850062</v>
      </c>
    </row>
    <row r="26" spans="1:46" x14ac:dyDescent="0.35">
      <c r="A26" s="5">
        <v>46022</v>
      </c>
      <c r="B26" s="4" t="s">
        <v>146</v>
      </c>
      <c r="C26" s="4" t="s">
        <v>147</v>
      </c>
      <c r="D26" s="4" t="s">
        <v>66</v>
      </c>
      <c r="E26" s="6">
        <v>175</v>
      </c>
      <c r="F26" s="6">
        <v>5.5</v>
      </c>
      <c r="G26" s="7">
        <v>31.61193177956461</v>
      </c>
      <c r="H26" s="7">
        <v>9.5221699999999991</v>
      </c>
      <c r="I26" s="7">
        <v>24.861978120014047</v>
      </c>
      <c r="J26" s="7">
        <v>118.0869728842697</v>
      </c>
      <c r="K26" s="7">
        <v>184.0830527838483</v>
      </c>
      <c r="L26" s="7">
        <v>16.754658482654499</v>
      </c>
      <c r="M26" s="7">
        <v>7.7735829618679784</v>
      </c>
      <c r="N26" s="7">
        <v>17.161354784199439</v>
      </c>
      <c r="O26" s="7">
        <v>31.883926465238758</v>
      </c>
      <c r="P26" s="7">
        <v>73.573522693960683</v>
      </c>
      <c r="Q26" s="7">
        <v>0</v>
      </c>
      <c r="R26" s="7">
        <v>0</v>
      </c>
      <c r="S26" s="7">
        <v>0</v>
      </c>
      <c r="T26" s="7">
        <v>0</v>
      </c>
      <c r="U26" s="7">
        <v>0</v>
      </c>
      <c r="V26" s="7">
        <v>257.65657547780899</v>
      </c>
      <c r="W26" s="7">
        <v>82.494945784620782</v>
      </c>
      <c r="X26" s="7">
        <v>340.15152126242981</v>
      </c>
      <c r="Y26" s="7">
        <v>0</v>
      </c>
      <c r="Z26" s="7">
        <v>30.785872727428703</v>
      </c>
      <c r="AA26" s="7">
        <v>370.93739398985849</v>
      </c>
      <c r="AB26" s="7">
        <v>0</v>
      </c>
      <c r="AC26" s="7">
        <v>66.662525969171355</v>
      </c>
      <c r="AD26" s="7">
        <v>0</v>
      </c>
      <c r="AE26" s="7">
        <v>0</v>
      </c>
      <c r="AF26" s="7">
        <v>437.59991995902982</v>
      </c>
      <c r="AG26" s="7">
        <v>370.93739398985849</v>
      </c>
      <c r="AH26" s="7">
        <v>57.130818476755628</v>
      </c>
      <c r="AI26" s="7">
        <v>0</v>
      </c>
      <c r="AJ26" s="7">
        <v>0</v>
      </c>
      <c r="AK26" s="7">
        <v>2.1067420703651689</v>
      </c>
      <c r="AL26" s="7">
        <v>430.17495453697939</v>
      </c>
      <c r="AM26" s="7">
        <v>0</v>
      </c>
      <c r="AN26" s="7">
        <v>0</v>
      </c>
      <c r="AO26" s="7">
        <v>0</v>
      </c>
      <c r="AP26" s="7">
        <v>0</v>
      </c>
      <c r="AQ26" s="7">
        <v>0</v>
      </c>
      <c r="AR26" s="7">
        <v>430.17495453697939</v>
      </c>
      <c r="AS26" s="7">
        <v>343.9789850464112</v>
      </c>
      <c r="AT26" s="7">
        <v>313.19311231898251</v>
      </c>
    </row>
    <row r="27" spans="1:46" x14ac:dyDescent="0.35">
      <c r="A27" s="5">
        <v>46022</v>
      </c>
      <c r="B27" s="4" t="s">
        <v>148</v>
      </c>
      <c r="C27" s="4" t="s">
        <v>149</v>
      </c>
      <c r="D27" s="4" t="s">
        <v>137</v>
      </c>
      <c r="E27" s="6">
        <v>15</v>
      </c>
      <c r="F27" s="6">
        <v>28.8</v>
      </c>
      <c r="G27" s="7">
        <v>0</v>
      </c>
      <c r="H27" s="7">
        <v>0</v>
      </c>
      <c r="I27" s="7">
        <v>0</v>
      </c>
      <c r="J27" s="7">
        <v>0</v>
      </c>
      <c r="K27" s="7">
        <v>0</v>
      </c>
      <c r="L27" s="7">
        <v>0</v>
      </c>
      <c r="M27" s="7">
        <v>0</v>
      </c>
      <c r="N27" s="7">
        <v>0</v>
      </c>
      <c r="O27" s="7">
        <v>0</v>
      </c>
      <c r="P27" s="7">
        <v>0</v>
      </c>
      <c r="Q27" s="7">
        <v>195.042542</v>
      </c>
      <c r="R27" s="7">
        <v>645.566912</v>
      </c>
      <c r="S27" s="7">
        <v>261.436914</v>
      </c>
      <c r="T27" s="7">
        <v>635.27448900000002</v>
      </c>
      <c r="U27" s="7">
        <v>1737.320856</v>
      </c>
      <c r="V27" s="7">
        <v>1737.320856</v>
      </c>
      <c r="W27" s="7">
        <v>39.999934520691461</v>
      </c>
      <c r="X27" s="7">
        <v>1777.3207905206921</v>
      </c>
      <c r="Y27" s="7">
        <v>35</v>
      </c>
      <c r="Z27" s="7">
        <v>90.277933132267904</v>
      </c>
      <c r="AA27" s="7">
        <v>1902.5987236529591</v>
      </c>
      <c r="AB27" s="7">
        <v>4.343294890089707</v>
      </c>
      <c r="AC27" s="7">
        <v>1782.009520876444</v>
      </c>
      <c r="AD27" s="7">
        <v>0</v>
      </c>
      <c r="AE27" s="7">
        <v>0</v>
      </c>
      <c r="AF27" s="7">
        <v>3688.9515394194937</v>
      </c>
      <c r="AG27" s="7">
        <v>1902.5987236529591</v>
      </c>
      <c r="AH27" s="7">
        <v>86.865900801789223</v>
      </c>
      <c r="AI27" s="7">
        <v>4.343294890089707</v>
      </c>
      <c r="AJ27" s="7">
        <v>0</v>
      </c>
      <c r="AK27" s="7">
        <v>173.73180160357839</v>
      </c>
      <c r="AL27" s="7">
        <v>2167.5397209484172</v>
      </c>
      <c r="AM27" s="7">
        <v>0</v>
      </c>
      <c r="AN27" s="7">
        <v>0</v>
      </c>
      <c r="AO27" s="7">
        <v>0</v>
      </c>
      <c r="AP27" s="7">
        <v>0</v>
      </c>
      <c r="AQ27" s="7">
        <v>0</v>
      </c>
      <c r="AR27" s="7">
        <v>2167.5397209484172</v>
      </c>
      <c r="AS27" s="7">
        <v>467.47876414705149</v>
      </c>
      <c r="AT27" s="7">
        <v>342.2008310147836</v>
      </c>
    </row>
    <row r="28" spans="1:46" x14ac:dyDescent="0.35">
      <c r="A28" s="5">
        <v>46022</v>
      </c>
      <c r="B28" s="4" t="s">
        <v>71</v>
      </c>
      <c r="C28" s="4" t="s">
        <v>72</v>
      </c>
      <c r="D28" s="4" t="s">
        <v>61</v>
      </c>
      <c r="E28" s="6">
        <v>572</v>
      </c>
      <c r="F28" s="6">
        <v>4.5609999999999999</v>
      </c>
      <c r="G28" s="7">
        <v>79.23568067289473</v>
      </c>
      <c r="H28" s="7">
        <v>29.301867000000001</v>
      </c>
      <c r="I28" s="7">
        <v>5.3008349305263156</v>
      </c>
      <c r="J28" s="7">
        <v>99.122263126578943</v>
      </c>
      <c r="K28" s="7">
        <v>212.96064573000001</v>
      </c>
      <c r="L28" s="7">
        <v>33.198566890263159</v>
      </c>
      <c r="M28" s="7">
        <v>14.590522660263158</v>
      </c>
      <c r="N28" s="7">
        <v>6.4414226439473694</v>
      </c>
      <c r="O28" s="7">
        <v>49.856276216842112</v>
      </c>
      <c r="P28" s="7">
        <v>104.08678841131579</v>
      </c>
      <c r="Q28" s="7">
        <v>0</v>
      </c>
      <c r="R28" s="7">
        <v>0</v>
      </c>
      <c r="S28" s="7">
        <v>0</v>
      </c>
      <c r="T28" s="7">
        <v>0</v>
      </c>
      <c r="U28" s="7">
        <v>0</v>
      </c>
      <c r="V28" s="7">
        <v>317.04743414131582</v>
      </c>
      <c r="W28" s="7">
        <v>75.884313164210525</v>
      </c>
      <c r="X28" s="7">
        <v>392.9317473055263</v>
      </c>
      <c r="Y28" s="7">
        <v>28.468631999999999</v>
      </c>
      <c r="Z28" s="7">
        <v>39.754384145010917</v>
      </c>
      <c r="AA28" s="7">
        <v>461.15476345053725</v>
      </c>
      <c r="AB28" s="7">
        <v>0.87159563526315786</v>
      </c>
      <c r="AC28" s="7">
        <v>132.27795249631581</v>
      </c>
      <c r="AD28" s="7">
        <v>0</v>
      </c>
      <c r="AE28" s="7">
        <v>0</v>
      </c>
      <c r="AF28" s="7">
        <v>594.30431158211616</v>
      </c>
      <c r="AG28" s="7">
        <v>461.15476345053725</v>
      </c>
      <c r="AH28" s="7">
        <v>16.869168431052628</v>
      </c>
      <c r="AI28" s="7">
        <v>0.87159563526315786</v>
      </c>
      <c r="AJ28" s="7">
        <v>15.68871944052632</v>
      </c>
      <c r="AK28" s="7">
        <v>104.591461275</v>
      </c>
      <c r="AL28" s="7">
        <v>599.17570823237929</v>
      </c>
      <c r="AM28" s="7">
        <v>0</v>
      </c>
      <c r="AN28" s="7">
        <v>0</v>
      </c>
      <c r="AO28" s="7">
        <v>0</v>
      </c>
      <c r="AP28" s="7">
        <v>0</v>
      </c>
      <c r="AQ28" s="7">
        <v>0</v>
      </c>
      <c r="AR28" s="7">
        <v>599.17570823237929</v>
      </c>
      <c r="AS28" s="7">
        <v>204.97571712130781</v>
      </c>
      <c r="AT28" s="7">
        <v>136.75270097629689</v>
      </c>
    </row>
    <row r="29" spans="1:46" x14ac:dyDescent="0.35">
      <c r="A29" s="5">
        <v>46022</v>
      </c>
      <c r="B29" s="4" t="s">
        <v>73</v>
      </c>
      <c r="C29" s="4" t="s">
        <v>74</v>
      </c>
      <c r="D29" s="4" t="s">
        <v>61</v>
      </c>
      <c r="E29" s="6">
        <v>30.509429999999998</v>
      </c>
      <c r="F29" s="6">
        <v>5.3</v>
      </c>
      <c r="G29" s="7">
        <v>244.553195671579</v>
      </c>
      <c r="H29" s="7">
        <v>52.882778000000002</v>
      </c>
      <c r="I29" s="7">
        <v>11.21580494052632</v>
      </c>
      <c r="J29" s="7">
        <v>205.90288595763161</v>
      </c>
      <c r="K29" s="7">
        <v>514.55466456973693</v>
      </c>
      <c r="L29" s="7">
        <v>111.9509386768421</v>
      </c>
      <c r="M29" s="7">
        <v>0</v>
      </c>
      <c r="N29" s="7">
        <v>31.423950850263161</v>
      </c>
      <c r="O29" s="7">
        <v>161.09089447263159</v>
      </c>
      <c r="P29" s="7">
        <v>304.4657839997368</v>
      </c>
      <c r="Q29" s="7">
        <v>0</v>
      </c>
      <c r="R29" s="7">
        <v>0</v>
      </c>
      <c r="S29" s="7">
        <v>0</v>
      </c>
      <c r="T29" s="7">
        <v>0</v>
      </c>
      <c r="U29" s="7">
        <v>0</v>
      </c>
      <c r="V29" s="7">
        <v>819.02044856947361</v>
      </c>
      <c r="W29" s="7">
        <v>42.203235071842109</v>
      </c>
      <c r="X29" s="7">
        <v>861.2236836413158</v>
      </c>
      <c r="Y29" s="7">
        <v>23.699058999999998</v>
      </c>
      <c r="Z29" s="7">
        <v>47.836483255357663</v>
      </c>
      <c r="AA29" s="7">
        <v>932.75922589667346</v>
      </c>
      <c r="AB29" s="7">
        <v>0</v>
      </c>
      <c r="AC29" s="7">
        <v>175.91849586000001</v>
      </c>
      <c r="AD29" s="7">
        <v>0</v>
      </c>
      <c r="AE29" s="7">
        <v>0</v>
      </c>
      <c r="AF29" s="7">
        <v>1108.6777217566741</v>
      </c>
      <c r="AG29" s="7">
        <v>932.75922589667346</v>
      </c>
      <c r="AH29" s="7">
        <v>326.81867042605262</v>
      </c>
      <c r="AI29" s="7">
        <v>0</v>
      </c>
      <c r="AJ29" s="7">
        <v>0</v>
      </c>
      <c r="AK29" s="7">
        <v>58.310215242631578</v>
      </c>
      <c r="AL29" s="7">
        <v>1317.888111565358</v>
      </c>
      <c r="AM29" s="7">
        <v>0</v>
      </c>
      <c r="AN29" s="7">
        <v>0</v>
      </c>
      <c r="AO29" s="7">
        <v>0</v>
      </c>
      <c r="AP29" s="7">
        <v>0</v>
      </c>
      <c r="AQ29" s="7">
        <v>0</v>
      </c>
      <c r="AR29" s="7">
        <v>1317.888111565358</v>
      </c>
      <c r="AS29" s="7">
        <v>-86.466979281576315</v>
      </c>
      <c r="AT29" s="7">
        <v>-158.00252153693401</v>
      </c>
    </row>
    <row r="30" spans="1:46" x14ac:dyDescent="0.35">
      <c r="A30" s="5">
        <v>46022</v>
      </c>
      <c r="B30" s="4" t="s">
        <v>75</v>
      </c>
      <c r="C30" s="4" t="s">
        <v>76</v>
      </c>
      <c r="D30" s="4" t="s">
        <v>61</v>
      </c>
      <c r="E30" s="6">
        <v>168.61813000000001</v>
      </c>
      <c r="F30" s="6">
        <v>11.403425865296928</v>
      </c>
      <c r="G30" s="7">
        <v>229.32579879412768</v>
      </c>
      <c r="H30" s="7">
        <v>176.69517893107945</v>
      </c>
      <c r="I30" s="7">
        <v>11.213868089478455</v>
      </c>
      <c r="J30" s="7">
        <v>167.92925324504736</v>
      </c>
      <c r="K30" s="7">
        <v>585.16409905973308</v>
      </c>
      <c r="L30" s="7">
        <v>109.30680470106812</v>
      </c>
      <c r="M30" s="7">
        <v>17.570851127262035</v>
      </c>
      <c r="N30" s="7">
        <v>19.435719673290301</v>
      </c>
      <c r="O30" s="7">
        <v>103.21420370762175</v>
      </c>
      <c r="P30" s="7">
        <v>249.52757920924219</v>
      </c>
      <c r="Q30" s="7">
        <v>28.929805242627289</v>
      </c>
      <c r="R30" s="7">
        <v>85.651675662923552</v>
      </c>
      <c r="S30" s="7">
        <v>27.736580267002424</v>
      </c>
      <c r="T30" s="7">
        <v>156.67334070602851</v>
      </c>
      <c r="U30" s="7">
        <v>298.99140187858177</v>
      </c>
      <c r="V30" s="7">
        <v>1133.6830801475567</v>
      </c>
      <c r="W30" s="7">
        <v>10.19306210684211</v>
      </c>
      <c r="X30" s="7">
        <v>1143.8761422543992</v>
      </c>
      <c r="Y30" s="7">
        <v>46.301379335662183</v>
      </c>
      <c r="Z30" s="7">
        <v>112.98256912413855</v>
      </c>
      <c r="AA30" s="7">
        <v>1303.1600907141997</v>
      </c>
      <c r="AB30" s="7">
        <v>0</v>
      </c>
      <c r="AC30" s="7">
        <v>388.79176087031243</v>
      </c>
      <c r="AD30" s="7">
        <v>0</v>
      </c>
      <c r="AE30" s="7">
        <v>0</v>
      </c>
      <c r="AF30" s="7">
        <v>1691.9518515845125</v>
      </c>
      <c r="AG30" s="7">
        <v>1303.1600907141997</v>
      </c>
      <c r="AH30" s="7">
        <v>88.360614426857737</v>
      </c>
      <c r="AI30" s="7">
        <v>0</v>
      </c>
      <c r="AJ30" s="7">
        <v>0</v>
      </c>
      <c r="AK30" s="7">
        <v>90.584486546405088</v>
      </c>
      <c r="AL30" s="7">
        <v>1482.1051916874626</v>
      </c>
      <c r="AM30" s="7">
        <v>0</v>
      </c>
      <c r="AN30" s="7">
        <v>0</v>
      </c>
      <c r="AO30" s="7">
        <v>0</v>
      </c>
      <c r="AP30" s="7">
        <v>0</v>
      </c>
      <c r="AQ30" s="7">
        <v>0</v>
      </c>
      <c r="AR30" s="7">
        <v>1482.1051916874626</v>
      </c>
      <c r="AS30" s="7">
        <v>1115.7750393842739</v>
      </c>
      <c r="AT30" s="7">
        <v>956.49109092447327</v>
      </c>
    </row>
    <row r="31" spans="1:46" x14ac:dyDescent="0.35">
      <c r="A31" s="5">
        <v>46022</v>
      </c>
      <c r="B31" s="4" t="s">
        <v>77</v>
      </c>
      <c r="C31" s="4" t="s">
        <v>78</v>
      </c>
      <c r="D31" s="4" t="s">
        <v>79</v>
      </c>
      <c r="E31" s="6">
        <v>205.06267</v>
      </c>
      <c r="F31" s="6">
        <v>5.2</v>
      </c>
      <c r="G31" s="7">
        <v>196.36743852087591</v>
      </c>
      <c r="H31" s="7">
        <v>85.701690999999983</v>
      </c>
      <c r="I31" s="7">
        <v>3.2732035121167891</v>
      </c>
      <c r="J31" s="7">
        <v>140.0419103719708</v>
      </c>
      <c r="K31" s="7">
        <v>425.38424340496351</v>
      </c>
      <c r="L31" s="7">
        <v>82.570765554525551</v>
      </c>
      <c r="M31" s="7">
        <v>25.269204692846721</v>
      </c>
      <c r="N31" s="7">
        <v>21.763707589927009</v>
      </c>
      <c r="O31" s="7">
        <v>75.890078198759113</v>
      </c>
      <c r="P31" s="7">
        <v>205.49375603605839</v>
      </c>
      <c r="Q31" s="7">
        <v>0</v>
      </c>
      <c r="R31" s="7">
        <v>0</v>
      </c>
      <c r="S31" s="7">
        <v>0</v>
      </c>
      <c r="T31" s="7">
        <v>0</v>
      </c>
      <c r="U31" s="7">
        <v>0</v>
      </c>
      <c r="V31" s="7">
        <v>630.87799944102187</v>
      </c>
      <c r="W31" s="7">
        <v>24.703795620437958</v>
      </c>
      <c r="X31" s="7">
        <v>655.58179506145996</v>
      </c>
      <c r="Y31" s="7">
        <v>30.000000000000004</v>
      </c>
      <c r="Z31" s="7">
        <v>5.281564163936042</v>
      </c>
      <c r="AA31" s="7">
        <v>690.86335922539604</v>
      </c>
      <c r="AB31" s="7">
        <v>6.9135918904379565</v>
      </c>
      <c r="AC31" s="7">
        <v>72.870629224817534</v>
      </c>
      <c r="AD31" s="7">
        <v>0</v>
      </c>
      <c r="AE31" s="7">
        <v>25.472314549708031</v>
      </c>
      <c r="AF31" s="7">
        <v>796.11989489035943</v>
      </c>
      <c r="AG31" s="7">
        <v>690.86335922539604</v>
      </c>
      <c r="AH31" s="7">
        <v>10.076421694160592</v>
      </c>
      <c r="AI31" s="7">
        <v>6.9135918904379565</v>
      </c>
      <c r="AJ31" s="7">
        <v>0</v>
      </c>
      <c r="AK31" s="7">
        <v>76.429171077810224</v>
      </c>
      <c r="AL31" s="7">
        <v>784.28254388780476</v>
      </c>
      <c r="AM31" s="7">
        <v>0</v>
      </c>
      <c r="AN31" s="7">
        <v>0</v>
      </c>
      <c r="AO31" s="7">
        <v>0</v>
      </c>
      <c r="AP31" s="7">
        <v>0</v>
      </c>
      <c r="AQ31" s="7">
        <v>0</v>
      </c>
      <c r="AR31" s="7">
        <v>784.28254388780476</v>
      </c>
      <c r="AS31" s="7">
        <v>82.161290819620021</v>
      </c>
      <c r="AT31" s="7">
        <v>46.879726655683967</v>
      </c>
    </row>
    <row r="32" spans="1:46" x14ac:dyDescent="0.35">
      <c r="A32" s="5">
        <v>46022</v>
      </c>
      <c r="B32" s="4" t="s">
        <v>80</v>
      </c>
      <c r="C32" s="4" t="s">
        <v>81</v>
      </c>
      <c r="D32" s="4" t="s">
        <v>61</v>
      </c>
      <c r="E32" s="6">
        <v>754.98900000000003</v>
      </c>
      <c r="F32" s="6">
        <v>5.0999999999999996</v>
      </c>
      <c r="G32" s="7">
        <v>69.709466612368431</v>
      </c>
      <c r="H32" s="7">
        <v>34.088676</v>
      </c>
      <c r="I32" s="7">
        <v>5.0965858942105262</v>
      </c>
      <c r="J32" s="7">
        <v>113.108750386579</v>
      </c>
      <c r="K32" s="7">
        <v>222.00347889315793</v>
      </c>
      <c r="L32" s="7">
        <v>30.258777512368422</v>
      </c>
      <c r="M32" s="7">
        <v>11.802575463157899</v>
      </c>
      <c r="N32" s="7">
        <v>41.324741462368422</v>
      </c>
      <c r="O32" s="7">
        <v>58.689877031052639</v>
      </c>
      <c r="P32" s="7">
        <v>142.07597146894739</v>
      </c>
      <c r="Q32" s="7">
        <v>0</v>
      </c>
      <c r="R32" s="7">
        <v>0</v>
      </c>
      <c r="S32" s="7">
        <v>0</v>
      </c>
      <c r="T32" s="7">
        <v>0</v>
      </c>
      <c r="U32" s="7">
        <v>0</v>
      </c>
      <c r="V32" s="7">
        <v>364.07945036210526</v>
      </c>
      <c r="W32" s="7">
        <v>32.006454759473677</v>
      </c>
      <c r="X32" s="7">
        <v>396.08590512157895</v>
      </c>
      <c r="Y32" s="7">
        <v>50.000000000000007</v>
      </c>
      <c r="Z32" s="7">
        <v>34.418875012410354</v>
      </c>
      <c r="AA32" s="7">
        <v>480.5047801339893</v>
      </c>
      <c r="AB32" s="7">
        <v>0</v>
      </c>
      <c r="AC32" s="7">
        <v>82.423528901052634</v>
      </c>
      <c r="AD32" s="7">
        <v>0</v>
      </c>
      <c r="AE32" s="7">
        <v>0</v>
      </c>
      <c r="AF32" s="7">
        <v>562.92830903504205</v>
      </c>
      <c r="AG32" s="7">
        <v>480.5047801339893</v>
      </c>
      <c r="AH32" s="7">
        <v>12.33917763157895</v>
      </c>
      <c r="AI32" s="7">
        <v>0</v>
      </c>
      <c r="AJ32" s="7">
        <v>17.715489442105259</v>
      </c>
      <c r="AK32" s="7">
        <v>31.617084157105261</v>
      </c>
      <c r="AL32" s="7">
        <v>542.17653136477884</v>
      </c>
      <c r="AM32" s="7">
        <v>0</v>
      </c>
      <c r="AN32" s="7">
        <v>0</v>
      </c>
      <c r="AO32" s="7">
        <v>0</v>
      </c>
      <c r="AP32" s="7">
        <v>0</v>
      </c>
      <c r="AQ32" s="7">
        <v>0</v>
      </c>
      <c r="AR32" s="7">
        <v>542.17653136477884</v>
      </c>
      <c r="AS32" s="7">
        <v>351.92602120440682</v>
      </c>
      <c r="AT32" s="7">
        <v>267.50714619199653</v>
      </c>
    </row>
    <row r="33" spans="1:46" x14ac:dyDescent="0.35">
      <c r="A33" s="5">
        <v>46022</v>
      </c>
      <c r="B33" s="4" t="s">
        <v>151</v>
      </c>
      <c r="C33" s="4" t="s">
        <v>152</v>
      </c>
      <c r="D33" s="4" t="s">
        <v>66</v>
      </c>
      <c r="E33" s="6">
        <v>11.566000000000001</v>
      </c>
      <c r="F33" s="6">
        <v>99.5</v>
      </c>
      <c r="G33" s="7">
        <v>0</v>
      </c>
      <c r="H33" s="7">
        <v>0</v>
      </c>
      <c r="I33" s="7">
        <v>0</v>
      </c>
      <c r="J33" s="7">
        <v>0</v>
      </c>
      <c r="K33" s="7">
        <v>0</v>
      </c>
      <c r="L33" s="7">
        <v>0</v>
      </c>
      <c r="M33" s="7">
        <v>0</v>
      </c>
      <c r="N33" s="7">
        <v>0</v>
      </c>
      <c r="O33" s="7">
        <v>0</v>
      </c>
      <c r="P33" s="7">
        <v>0</v>
      </c>
      <c r="Q33" s="7">
        <v>577.35523899999998</v>
      </c>
      <c r="R33" s="7">
        <v>1808.817231</v>
      </c>
      <c r="S33" s="7">
        <v>1243.5174320000001</v>
      </c>
      <c r="T33" s="7">
        <v>2135.8368099999998</v>
      </c>
      <c r="U33" s="7">
        <v>5765.526711999999</v>
      </c>
      <c r="V33" s="7">
        <v>5765.526711999999</v>
      </c>
      <c r="W33" s="7">
        <v>36.485459836797752</v>
      </c>
      <c r="X33" s="7">
        <v>5802.0121718367991</v>
      </c>
      <c r="Y33" s="7">
        <v>0</v>
      </c>
      <c r="Z33" s="7">
        <v>936.56725719204735</v>
      </c>
      <c r="AA33" s="7">
        <v>6738.579429028845</v>
      </c>
      <c r="AB33" s="7">
        <v>0</v>
      </c>
      <c r="AC33" s="7">
        <v>955.5368456611659</v>
      </c>
      <c r="AD33" s="7">
        <v>0</v>
      </c>
      <c r="AE33" s="7">
        <v>0</v>
      </c>
      <c r="AF33" s="7">
        <v>7694.1162746900109</v>
      </c>
      <c r="AG33" s="7">
        <v>6738.579429028845</v>
      </c>
      <c r="AH33" s="7">
        <v>795.11068142991576</v>
      </c>
      <c r="AI33" s="7">
        <v>0</v>
      </c>
      <c r="AJ33" s="7">
        <v>0</v>
      </c>
      <c r="AK33" s="7">
        <v>288.21560362584268</v>
      </c>
      <c r="AL33" s="7">
        <v>7821.9057140846026</v>
      </c>
      <c r="AM33" s="7">
        <v>0</v>
      </c>
      <c r="AN33" s="7">
        <v>0</v>
      </c>
      <c r="AO33" s="7">
        <v>0</v>
      </c>
      <c r="AP33" s="7">
        <v>0</v>
      </c>
      <c r="AQ33" s="7">
        <v>0</v>
      </c>
      <c r="AR33" s="7">
        <v>7821.9057140846026</v>
      </c>
      <c r="AS33" s="7">
        <v>4640.3536157854214</v>
      </c>
      <c r="AT33" s="7">
        <v>3703.7863585933742</v>
      </c>
    </row>
    <row r="34" spans="1:46" x14ac:dyDescent="0.35">
      <c r="A34" s="5">
        <v>46022</v>
      </c>
      <c r="B34" s="4" t="s">
        <v>153</v>
      </c>
      <c r="C34" s="4" t="s">
        <v>154</v>
      </c>
      <c r="D34" s="4" t="s">
        <v>66</v>
      </c>
      <c r="E34" s="6">
        <v>9.5</v>
      </c>
      <c r="F34" s="6">
        <v>99.5</v>
      </c>
      <c r="G34" s="7">
        <v>0</v>
      </c>
      <c r="H34" s="7">
        <v>0</v>
      </c>
      <c r="I34" s="7">
        <v>0</v>
      </c>
      <c r="J34" s="7">
        <v>0</v>
      </c>
      <c r="K34" s="7">
        <v>0</v>
      </c>
      <c r="L34" s="7">
        <v>0</v>
      </c>
      <c r="M34" s="7">
        <v>0</v>
      </c>
      <c r="N34" s="7">
        <v>0</v>
      </c>
      <c r="O34" s="7">
        <v>0</v>
      </c>
      <c r="P34" s="7">
        <v>0</v>
      </c>
      <c r="Q34" s="7">
        <v>558.02006400000005</v>
      </c>
      <c r="R34" s="7">
        <v>1896.862065</v>
      </c>
      <c r="S34" s="7">
        <v>1029.1574129999999</v>
      </c>
      <c r="T34" s="7">
        <v>2293.2106910000002</v>
      </c>
      <c r="U34" s="7">
        <v>5777.2502329999998</v>
      </c>
      <c r="V34" s="7">
        <v>5777.2502329999998</v>
      </c>
      <c r="W34" s="7">
        <v>36.485459836797752</v>
      </c>
      <c r="X34" s="7">
        <v>5813.7356928367981</v>
      </c>
      <c r="Y34" s="7">
        <v>0</v>
      </c>
      <c r="Z34" s="7">
        <v>923.0735947825757</v>
      </c>
      <c r="AA34" s="7">
        <v>6736.8092876193732</v>
      </c>
      <c r="AB34" s="7">
        <v>0</v>
      </c>
      <c r="AC34" s="7">
        <v>725.38992488665735</v>
      </c>
      <c r="AD34" s="7">
        <v>0</v>
      </c>
      <c r="AE34" s="7">
        <v>0</v>
      </c>
      <c r="AF34" s="7">
        <v>7462.1992125060306</v>
      </c>
      <c r="AG34" s="7">
        <v>6736.8092876193732</v>
      </c>
      <c r="AH34" s="7">
        <v>866.40496740133426</v>
      </c>
      <c r="AI34" s="7">
        <v>0</v>
      </c>
      <c r="AJ34" s="7">
        <v>0</v>
      </c>
      <c r="AK34" s="7">
        <v>288.80165613370781</v>
      </c>
      <c r="AL34" s="7">
        <v>7892.0159111544153</v>
      </c>
      <c r="AM34" s="7">
        <v>0</v>
      </c>
      <c r="AN34" s="7">
        <v>0</v>
      </c>
      <c r="AO34" s="7">
        <v>0</v>
      </c>
      <c r="AP34" s="7">
        <v>0</v>
      </c>
      <c r="AQ34" s="7">
        <v>0</v>
      </c>
      <c r="AR34" s="7">
        <v>7892.0159111544153</v>
      </c>
      <c r="AS34" s="7">
        <v>4458.5496730843988</v>
      </c>
      <c r="AT34" s="7">
        <v>3535.4760783018228</v>
      </c>
    </row>
    <row r="35" spans="1:46" x14ac:dyDescent="0.35">
      <c r="A35" s="5">
        <v>46022</v>
      </c>
      <c r="B35" s="4" t="s">
        <v>82</v>
      </c>
      <c r="C35" s="4" t="s">
        <v>83</v>
      </c>
      <c r="D35" s="4" t="s">
        <v>48</v>
      </c>
      <c r="E35" s="6">
        <v>219.375</v>
      </c>
      <c r="F35" s="6">
        <v>4</v>
      </c>
      <c r="G35" s="7">
        <v>65.702415000000002</v>
      </c>
      <c r="H35" s="7">
        <v>22.715941999999995</v>
      </c>
      <c r="I35" s="7">
        <v>0.58187800000000001</v>
      </c>
      <c r="J35" s="7">
        <v>30.580031000000002</v>
      </c>
      <c r="K35" s="7">
        <v>119.58026599999999</v>
      </c>
      <c r="L35" s="7">
        <v>35.736983000000002</v>
      </c>
      <c r="M35" s="7">
        <v>3.5820829999999999</v>
      </c>
      <c r="N35" s="7">
        <v>26.163390000000003</v>
      </c>
      <c r="O35" s="7">
        <v>26.779391</v>
      </c>
      <c r="P35" s="7">
        <v>92.261847000000003</v>
      </c>
      <c r="Q35" s="7">
        <v>0</v>
      </c>
      <c r="R35" s="7">
        <v>0</v>
      </c>
      <c r="S35" s="7">
        <v>0</v>
      </c>
      <c r="T35" s="7">
        <v>0</v>
      </c>
      <c r="U35" s="7">
        <v>0</v>
      </c>
      <c r="V35" s="7">
        <v>211.84211300000001</v>
      </c>
      <c r="W35" s="7">
        <v>67.494692000000001</v>
      </c>
      <c r="X35" s="7">
        <v>279.33680500000003</v>
      </c>
      <c r="Y35" s="7">
        <v>35</v>
      </c>
      <c r="Z35" s="7">
        <v>9.9380009158182112</v>
      </c>
      <c r="AA35" s="7">
        <v>324.27480591581821</v>
      </c>
      <c r="AB35" s="7">
        <v>1</v>
      </c>
      <c r="AC35" s="7">
        <v>110.176418</v>
      </c>
      <c r="AD35" s="7">
        <v>0</v>
      </c>
      <c r="AE35" s="7">
        <v>0</v>
      </c>
      <c r="AF35" s="7">
        <v>435.45122391581822</v>
      </c>
      <c r="AG35" s="7">
        <v>324.27480591581821</v>
      </c>
      <c r="AH35" s="7">
        <v>100</v>
      </c>
      <c r="AI35" s="7">
        <v>1</v>
      </c>
      <c r="AJ35" s="7">
        <v>0</v>
      </c>
      <c r="AK35" s="7">
        <v>10</v>
      </c>
      <c r="AL35" s="7">
        <v>435.27480591581821</v>
      </c>
      <c r="AM35" s="7">
        <v>0</v>
      </c>
      <c r="AN35" s="7">
        <v>0</v>
      </c>
      <c r="AO35" s="7">
        <v>0</v>
      </c>
      <c r="AP35" s="7">
        <v>0</v>
      </c>
      <c r="AQ35" s="7">
        <v>0</v>
      </c>
      <c r="AR35" s="7">
        <v>435.27480591581821</v>
      </c>
      <c r="AS35" s="7">
        <v>217.56323516008439</v>
      </c>
      <c r="AT35" s="7">
        <v>172.62523424426621</v>
      </c>
    </row>
    <row r="36" spans="1:46" x14ac:dyDescent="0.35">
      <c r="A36" s="5">
        <v>46022</v>
      </c>
      <c r="B36" s="4" t="s">
        <v>155</v>
      </c>
      <c r="C36" s="4" t="s">
        <v>156</v>
      </c>
      <c r="D36" s="4" t="s">
        <v>137</v>
      </c>
      <c r="E36" s="6">
        <v>18</v>
      </c>
      <c r="F36" s="6">
        <v>99.5</v>
      </c>
      <c r="G36" s="7">
        <v>0</v>
      </c>
      <c r="H36" s="7">
        <v>0</v>
      </c>
      <c r="I36" s="7">
        <v>0</v>
      </c>
      <c r="J36" s="7">
        <v>0</v>
      </c>
      <c r="K36" s="7">
        <v>0</v>
      </c>
      <c r="L36" s="7">
        <v>0</v>
      </c>
      <c r="M36" s="7">
        <v>0</v>
      </c>
      <c r="N36" s="7">
        <v>0</v>
      </c>
      <c r="O36" s="7">
        <v>0</v>
      </c>
      <c r="P36" s="7">
        <v>0</v>
      </c>
      <c r="Q36" s="7">
        <v>933.76986999999986</v>
      </c>
      <c r="R36" s="7">
        <v>2317.7418309999998</v>
      </c>
      <c r="S36" s="7">
        <v>928.68041500000015</v>
      </c>
      <c r="T36" s="7">
        <v>2492.3288229999998</v>
      </c>
      <c r="U36" s="7">
        <v>6672.520939</v>
      </c>
      <c r="V36" s="7">
        <v>6672.520939</v>
      </c>
      <c r="W36" s="7">
        <v>148.8460963411145</v>
      </c>
      <c r="X36" s="7">
        <v>6821.3670353411144</v>
      </c>
      <c r="Y36" s="7">
        <v>75</v>
      </c>
      <c r="Z36" s="7">
        <v>372.14999395267461</v>
      </c>
      <c r="AA36" s="7">
        <v>7268.5170292937892</v>
      </c>
      <c r="AB36" s="7">
        <v>0</v>
      </c>
      <c r="AC36" s="7">
        <v>1728.8762768547881</v>
      </c>
      <c r="AD36" s="7">
        <v>0</v>
      </c>
      <c r="AE36" s="7">
        <v>0</v>
      </c>
      <c r="AF36" s="7">
        <v>8997.3933061485768</v>
      </c>
      <c r="AG36" s="7">
        <v>7268.5170292937892</v>
      </c>
      <c r="AH36" s="7">
        <v>266.90040108794199</v>
      </c>
      <c r="AI36" s="7">
        <v>0</v>
      </c>
      <c r="AJ36" s="7">
        <v>0</v>
      </c>
      <c r="AK36" s="7">
        <v>199.03034419023371</v>
      </c>
      <c r="AL36" s="7">
        <v>7734.4477745719651</v>
      </c>
      <c r="AM36" s="7">
        <v>0</v>
      </c>
      <c r="AN36" s="7">
        <v>0</v>
      </c>
      <c r="AO36" s="7">
        <v>0</v>
      </c>
      <c r="AP36" s="7">
        <v>0</v>
      </c>
      <c r="AQ36" s="7">
        <v>0</v>
      </c>
      <c r="AR36" s="7">
        <v>7734.4477745719651</v>
      </c>
      <c r="AS36" s="7">
        <v>5583.6327630813739</v>
      </c>
      <c r="AT36" s="7">
        <v>5136.4827691287001</v>
      </c>
    </row>
    <row r="37" spans="1:46" x14ac:dyDescent="0.35">
      <c r="A37" s="5">
        <v>46022</v>
      </c>
      <c r="B37" s="4" t="s">
        <v>157</v>
      </c>
      <c r="C37" s="4" t="s">
        <v>158</v>
      </c>
      <c r="D37" s="4" t="s">
        <v>159</v>
      </c>
      <c r="E37" s="6">
        <v>72</v>
      </c>
      <c r="F37" s="6">
        <v>99.5</v>
      </c>
      <c r="G37" s="7">
        <v>0</v>
      </c>
      <c r="H37" s="7">
        <v>0</v>
      </c>
      <c r="I37" s="7">
        <v>0</v>
      </c>
      <c r="J37" s="7">
        <v>0</v>
      </c>
      <c r="K37" s="7">
        <v>0</v>
      </c>
      <c r="L37" s="7">
        <v>0</v>
      </c>
      <c r="M37" s="7">
        <v>0</v>
      </c>
      <c r="N37" s="7">
        <v>0</v>
      </c>
      <c r="O37" s="7">
        <v>0</v>
      </c>
      <c r="P37" s="7">
        <v>0</v>
      </c>
      <c r="Q37" s="7">
        <v>324.92952700000001</v>
      </c>
      <c r="R37" s="7">
        <v>1096.2222529999999</v>
      </c>
      <c r="S37" s="7">
        <v>761.55718400000001</v>
      </c>
      <c r="T37" s="7">
        <v>3892.7813799999994</v>
      </c>
      <c r="U37" s="7">
        <v>6075.4903430000004</v>
      </c>
      <c r="V37" s="7">
        <v>6075.4903430000004</v>
      </c>
      <c r="W37" s="7">
        <v>70.514624999016206</v>
      </c>
      <c r="X37" s="7">
        <v>6146.004967999017</v>
      </c>
      <c r="Y37" s="7">
        <v>42.301583000000001</v>
      </c>
      <c r="Z37" s="7">
        <v>1727.7740803283059</v>
      </c>
      <c r="AA37" s="7">
        <v>7916.0806313273224</v>
      </c>
      <c r="AB37" s="7">
        <v>35.879766874045501</v>
      </c>
      <c r="AC37" s="7">
        <v>2100.8094861628069</v>
      </c>
      <c r="AD37" s="7">
        <v>0</v>
      </c>
      <c r="AE37" s="7">
        <v>0</v>
      </c>
      <c r="AF37" s="7">
        <v>10052.76988436417</v>
      </c>
      <c r="AG37" s="7">
        <v>7916.0806313273224</v>
      </c>
      <c r="AH37" s="7">
        <v>607.55135168538652</v>
      </c>
      <c r="AI37" s="7">
        <v>35.879766874045501</v>
      </c>
      <c r="AJ37" s="7">
        <v>0</v>
      </c>
      <c r="AK37" s="7">
        <v>1055.5595827460729</v>
      </c>
      <c r="AL37" s="7">
        <v>9615.0713326328278</v>
      </c>
      <c r="AM37" s="7">
        <v>0</v>
      </c>
      <c r="AN37" s="7">
        <v>0</v>
      </c>
      <c r="AO37" s="7">
        <v>0</v>
      </c>
      <c r="AP37" s="7">
        <v>0</v>
      </c>
      <c r="AQ37" s="7">
        <v>0</v>
      </c>
      <c r="AR37" s="7">
        <v>9615.0713326328278</v>
      </c>
      <c r="AS37" s="7">
        <v>4707.7726959503043</v>
      </c>
      <c r="AT37" s="7">
        <v>2937.697032621998</v>
      </c>
    </row>
    <row r="38" spans="1:46" x14ac:dyDescent="0.35">
      <c r="A38" s="5">
        <v>46022</v>
      </c>
      <c r="B38" s="4" t="s">
        <v>157</v>
      </c>
      <c r="C38" s="4" t="s">
        <v>160</v>
      </c>
      <c r="D38" s="4" t="s">
        <v>159</v>
      </c>
      <c r="E38" s="6">
        <v>214.49611999999999</v>
      </c>
      <c r="F38" s="6">
        <v>92.483556066188982</v>
      </c>
      <c r="G38" s="7">
        <v>0</v>
      </c>
      <c r="H38" s="7">
        <v>0</v>
      </c>
      <c r="I38" s="7">
        <v>0</v>
      </c>
      <c r="J38" s="7">
        <v>0</v>
      </c>
      <c r="K38" s="7">
        <v>0</v>
      </c>
      <c r="L38" s="7">
        <v>0</v>
      </c>
      <c r="M38" s="7">
        <v>0</v>
      </c>
      <c r="N38" s="7">
        <v>0</v>
      </c>
      <c r="O38" s="7">
        <v>0</v>
      </c>
      <c r="P38" s="7">
        <v>0</v>
      </c>
      <c r="Q38" s="7">
        <v>259.93973084669653</v>
      </c>
      <c r="R38" s="7">
        <v>1189.6926621804939</v>
      </c>
      <c r="S38" s="7">
        <v>1022.0750339272977</v>
      </c>
      <c r="T38" s="7">
        <v>3908.1000270653285</v>
      </c>
      <c r="U38" s="7">
        <v>6379.8074540198168</v>
      </c>
      <c r="V38" s="7">
        <v>6379.8074540198168</v>
      </c>
      <c r="W38" s="7">
        <v>70.514624999016206</v>
      </c>
      <c r="X38" s="7">
        <v>6450.3220790188316</v>
      </c>
      <c r="Y38" s="7">
        <v>49.999999999999993</v>
      </c>
      <c r="Z38" s="7">
        <v>1623.2165008219913</v>
      </c>
      <c r="AA38" s="7">
        <v>8123.5385798408252</v>
      </c>
      <c r="AB38" s="7">
        <v>0</v>
      </c>
      <c r="AC38" s="7">
        <v>1487.8595853317615</v>
      </c>
      <c r="AD38" s="7">
        <v>0</v>
      </c>
      <c r="AE38" s="7">
        <v>0</v>
      </c>
      <c r="AF38" s="7">
        <v>9611.3981651725862</v>
      </c>
      <c r="AG38" s="7">
        <v>8123.5385798408252</v>
      </c>
      <c r="AH38" s="7">
        <v>640.64102548607843</v>
      </c>
      <c r="AI38" s="7">
        <v>0</v>
      </c>
      <c r="AJ38" s="7">
        <v>0</v>
      </c>
      <c r="AK38" s="7">
        <v>956.97476895421642</v>
      </c>
      <c r="AL38" s="7">
        <v>9721.1543742811209</v>
      </c>
      <c r="AM38" s="7">
        <v>0</v>
      </c>
      <c r="AN38" s="7">
        <v>0</v>
      </c>
      <c r="AO38" s="7">
        <v>0</v>
      </c>
      <c r="AP38" s="7">
        <v>0</v>
      </c>
      <c r="AQ38" s="7">
        <v>0</v>
      </c>
      <c r="AR38" s="7">
        <v>9721.1543742811209</v>
      </c>
      <c r="AS38" s="7">
        <v>4417.6235975716882</v>
      </c>
      <c r="AT38" s="7">
        <v>2744.4070967496973</v>
      </c>
    </row>
    <row r="39" spans="1:46" x14ac:dyDescent="0.35">
      <c r="A39" s="5">
        <v>46022</v>
      </c>
      <c r="B39" s="4" t="s">
        <v>161</v>
      </c>
      <c r="C39" s="4" t="s">
        <v>162</v>
      </c>
      <c r="D39" s="4" t="s">
        <v>137</v>
      </c>
      <c r="E39" s="6">
        <v>28</v>
      </c>
      <c r="F39" s="6">
        <v>99.206000000000003</v>
      </c>
      <c r="G39" s="7">
        <v>0</v>
      </c>
      <c r="H39" s="7">
        <v>0</v>
      </c>
      <c r="I39" s="7">
        <v>0</v>
      </c>
      <c r="J39" s="7">
        <v>0</v>
      </c>
      <c r="K39" s="7">
        <v>0</v>
      </c>
      <c r="L39" s="7">
        <v>0</v>
      </c>
      <c r="M39" s="7">
        <v>0</v>
      </c>
      <c r="N39" s="7">
        <v>0</v>
      </c>
      <c r="O39" s="7">
        <v>0</v>
      </c>
      <c r="P39" s="7">
        <v>0</v>
      </c>
      <c r="Q39" s="7">
        <v>1113.8942810000001</v>
      </c>
      <c r="R39" s="7">
        <v>3075.1155990000002</v>
      </c>
      <c r="S39" s="7">
        <v>321.34176400000007</v>
      </c>
      <c r="T39" s="7">
        <v>1157.944745</v>
      </c>
      <c r="U39" s="7">
        <v>5668.2963890000001</v>
      </c>
      <c r="V39" s="7">
        <v>5668.2963890000001</v>
      </c>
      <c r="W39" s="7">
        <v>40.607294526452002</v>
      </c>
      <c r="X39" s="7">
        <v>5708.9036835264515</v>
      </c>
      <c r="Y39" s="7">
        <v>65</v>
      </c>
      <c r="Z39" s="7">
        <v>1359.776938625663</v>
      </c>
      <c r="AA39" s="7">
        <v>7133.6806221521156</v>
      </c>
      <c r="AB39" s="7">
        <v>46.428494997231859</v>
      </c>
      <c r="AC39" s="7">
        <v>749.99877226296485</v>
      </c>
      <c r="AD39" s="7">
        <v>0</v>
      </c>
      <c r="AE39" s="7">
        <v>0</v>
      </c>
      <c r="AF39" s="7">
        <v>7930.107889412312</v>
      </c>
      <c r="AG39" s="7">
        <v>7133.6806221521156</v>
      </c>
      <c r="AH39" s="7">
        <v>1035.7125905536179</v>
      </c>
      <c r="AI39" s="7">
        <v>46.428494997231859</v>
      </c>
      <c r="AJ39" s="7">
        <v>0</v>
      </c>
      <c r="AK39" s="7">
        <v>571.4276355813073</v>
      </c>
      <c r="AL39" s="7">
        <v>8787.2493432842712</v>
      </c>
      <c r="AM39" s="7">
        <v>0</v>
      </c>
      <c r="AN39" s="7">
        <v>39.030548107562858</v>
      </c>
      <c r="AO39" s="7">
        <v>0</v>
      </c>
      <c r="AP39" s="7">
        <v>0</v>
      </c>
      <c r="AQ39" s="7">
        <v>0</v>
      </c>
      <c r="AR39" s="7">
        <v>8826.2798913918341</v>
      </c>
      <c r="AS39" s="7">
        <v>11288.308049294341</v>
      </c>
      <c r="AT39" s="7">
        <v>9863.5311106686768</v>
      </c>
    </row>
    <row r="40" spans="1:46" x14ac:dyDescent="0.35">
      <c r="A40" s="5">
        <v>46022</v>
      </c>
      <c r="B40" s="4" t="s">
        <v>163</v>
      </c>
      <c r="C40" s="4" t="s">
        <v>164</v>
      </c>
      <c r="D40" s="4" t="s">
        <v>137</v>
      </c>
      <c r="E40" s="6">
        <v>35</v>
      </c>
      <c r="F40" s="6">
        <v>91</v>
      </c>
      <c r="G40" s="7">
        <v>0</v>
      </c>
      <c r="H40" s="7">
        <v>0</v>
      </c>
      <c r="I40" s="7">
        <v>0</v>
      </c>
      <c r="J40" s="7">
        <v>0</v>
      </c>
      <c r="K40" s="7">
        <v>0</v>
      </c>
      <c r="L40" s="7">
        <v>0</v>
      </c>
      <c r="M40" s="7">
        <v>0</v>
      </c>
      <c r="N40" s="7">
        <v>0</v>
      </c>
      <c r="O40" s="7">
        <v>0</v>
      </c>
      <c r="P40" s="7">
        <v>0</v>
      </c>
      <c r="Q40" s="7">
        <v>436.05745928571423</v>
      </c>
      <c r="R40" s="7">
        <v>2671.5670942857146</v>
      </c>
      <c r="S40" s="7">
        <v>577.88954699999999</v>
      </c>
      <c r="T40" s="7">
        <v>2352.3693209999997</v>
      </c>
      <c r="U40" s="7">
        <v>6037.8834215714287</v>
      </c>
      <c r="V40" s="7">
        <v>6037.8834215714287</v>
      </c>
      <c r="W40" s="7">
        <v>101.64230661302869</v>
      </c>
      <c r="X40" s="7">
        <v>6139.5257281844579</v>
      </c>
      <c r="Y40" s="7">
        <v>65</v>
      </c>
      <c r="Z40" s="7">
        <v>302.87693361075441</v>
      </c>
      <c r="AA40" s="7">
        <v>6507.4026617952113</v>
      </c>
      <c r="AB40" s="7">
        <v>63.809419402055354</v>
      </c>
      <c r="AC40" s="7">
        <v>597.21248308617419</v>
      </c>
      <c r="AD40" s="7">
        <v>0</v>
      </c>
      <c r="AE40" s="7">
        <v>0</v>
      </c>
      <c r="AF40" s="7">
        <v>7168.4245642834421</v>
      </c>
      <c r="AG40" s="7">
        <v>6507.4026617952113</v>
      </c>
      <c r="AH40" s="7">
        <v>541.66685972783409</v>
      </c>
      <c r="AI40" s="7">
        <v>63.809419402055354</v>
      </c>
      <c r="AJ40" s="7">
        <v>0</v>
      </c>
      <c r="AK40" s="7">
        <v>314.28520009114669</v>
      </c>
      <c r="AL40" s="7">
        <v>7427.1641410162474</v>
      </c>
      <c r="AM40" s="7">
        <v>0</v>
      </c>
      <c r="AN40" s="7">
        <v>0</v>
      </c>
      <c r="AO40" s="7">
        <v>0</v>
      </c>
      <c r="AP40" s="7">
        <v>0</v>
      </c>
      <c r="AQ40" s="7">
        <v>0</v>
      </c>
      <c r="AR40" s="7">
        <v>7427.1641410162474</v>
      </c>
      <c r="AS40" s="7">
        <v>3956.3720588406895</v>
      </c>
      <c r="AT40" s="7">
        <v>3588.4951252299361</v>
      </c>
    </row>
    <row r="41" spans="1:46" x14ac:dyDescent="0.35">
      <c r="A41" s="5">
        <v>46022</v>
      </c>
      <c r="B41" s="4" t="s">
        <v>165</v>
      </c>
      <c r="C41" s="4" t="s">
        <v>166</v>
      </c>
      <c r="D41" s="4" t="s">
        <v>137</v>
      </c>
      <c r="E41" s="6">
        <v>2</v>
      </c>
      <c r="F41" s="6">
        <v>99.5</v>
      </c>
      <c r="G41" s="7">
        <v>0</v>
      </c>
      <c r="H41" s="7">
        <v>0</v>
      </c>
      <c r="I41" s="7">
        <v>0</v>
      </c>
      <c r="J41" s="7">
        <v>0</v>
      </c>
      <c r="K41" s="7">
        <v>0</v>
      </c>
      <c r="L41" s="7">
        <v>0</v>
      </c>
      <c r="M41" s="7">
        <v>0</v>
      </c>
      <c r="N41" s="7">
        <v>0</v>
      </c>
      <c r="O41" s="7">
        <v>0</v>
      </c>
      <c r="P41" s="7">
        <v>0</v>
      </c>
      <c r="Q41" s="7">
        <v>1707.70595</v>
      </c>
      <c r="R41" s="7">
        <v>2658.7674940000002</v>
      </c>
      <c r="S41" s="7">
        <v>557.17183</v>
      </c>
      <c r="T41" s="7">
        <v>1882.8036420000001</v>
      </c>
      <c r="U41" s="7">
        <v>6806.4489160000003</v>
      </c>
      <c r="V41" s="7">
        <v>6806.4489160000003</v>
      </c>
      <c r="W41" s="7">
        <v>288.50969371384559</v>
      </c>
      <c r="X41" s="7">
        <v>7094.9586097138463</v>
      </c>
      <c r="Y41" s="7">
        <v>45</v>
      </c>
      <c r="Z41" s="7">
        <v>372.15005627975222</v>
      </c>
      <c r="AA41" s="7">
        <v>7512.1086659935982</v>
      </c>
      <c r="AB41" s="7">
        <v>0</v>
      </c>
      <c r="AC41" s="7">
        <v>1016.450278085742</v>
      </c>
      <c r="AD41" s="7">
        <v>0</v>
      </c>
      <c r="AE41" s="7">
        <v>0</v>
      </c>
      <c r="AF41" s="7">
        <v>8528.5589440793392</v>
      </c>
      <c r="AG41" s="7">
        <v>7512.1086659935982</v>
      </c>
      <c r="AH41" s="7">
        <v>1020.965665694118</v>
      </c>
      <c r="AI41" s="7">
        <v>0</v>
      </c>
      <c r="AJ41" s="7">
        <v>0</v>
      </c>
      <c r="AK41" s="7">
        <v>680.64377779607776</v>
      </c>
      <c r="AL41" s="7">
        <v>9213.7181094837943</v>
      </c>
      <c r="AM41" s="7">
        <v>0</v>
      </c>
      <c r="AN41" s="7">
        <v>0</v>
      </c>
      <c r="AO41" s="7">
        <v>0</v>
      </c>
      <c r="AP41" s="7">
        <v>0</v>
      </c>
      <c r="AQ41" s="7">
        <v>0</v>
      </c>
      <c r="AR41" s="7">
        <v>9213.7181094837943</v>
      </c>
      <c r="AS41" s="7">
        <v>5310.0432662778949</v>
      </c>
      <c r="AT41" s="7">
        <v>4892.893209998143</v>
      </c>
    </row>
    <row r="42" spans="1:46" x14ac:dyDescent="0.35">
      <c r="A42" s="5">
        <v>46022</v>
      </c>
      <c r="B42" s="4" t="s">
        <v>167</v>
      </c>
      <c r="C42" s="4" t="s">
        <v>168</v>
      </c>
      <c r="D42" s="4" t="s">
        <v>169</v>
      </c>
      <c r="E42" s="6">
        <v>3.39</v>
      </c>
      <c r="F42" s="6">
        <v>99</v>
      </c>
      <c r="G42" s="7">
        <v>0</v>
      </c>
      <c r="H42" s="7">
        <v>0</v>
      </c>
      <c r="I42" s="7">
        <v>0</v>
      </c>
      <c r="J42" s="7">
        <v>0</v>
      </c>
      <c r="K42" s="7">
        <v>0</v>
      </c>
      <c r="L42" s="7">
        <v>0</v>
      </c>
      <c r="M42" s="7">
        <v>0</v>
      </c>
      <c r="N42" s="7">
        <v>0</v>
      </c>
      <c r="O42" s="7">
        <v>0</v>
      </c>
      <c r="P42" s="7">
        <v>0</v>
      </c>
      <c r="Q42" s="7">
        <v>2556.4564999999998</v>
      </c>
      <c r="R42" s="7">
        <v>2939.742792</v>
      </c>
      <c r="S42" s="7">
        <v>512.188984</v>
      </c>
      <c r="T42" s="7">
        <v>2919.358984</v>
      </c>
      <c r="U42" s="7">
        <v>8927.7472610000004</v>
      </c>
      <c r="V42" s="7">
        <v>8927.7472610000004</v>
      </c>
      <c r="W42" s="7">
        <v>273.35866600000003</v>
      </c>
      <c r="X42" s="7">
        <v>9201.1059270000005</v>
      </c>
      <c r="Y42" s="7">
        <v>0</v>
      </c>
      <c r="Z42" s="7">
        <v>0</v>
      </c>
      <c r="AA42" s="7">
        <v>9201.1059270000005</v>
      </c>
      <c r="AB42" s="7">
        <v>103.244838</v>
      </c>
      <c r="AC42" s="7">
        <v>3282.3762630000001</v>
      </c>
      <c r="AD42" s="7">
        <v>0</v>
      </c>
      <c r="AE42" s="7">
        <v>0</v>
      </c>
      <c r="AF42" s="7">
        <v>12586.727027999999</v>
      </c>
      <c r="AG42" s="7">
        <v>9201.1059270000005</v>
      </c>
      <c r="AH42" s="7">
        <v>1038.1542489999999</v>
      </c>
      <c r="AI42" s="7">
        <v>103.244838</v>
      </c>
      <c r="AJ42" s="7">
        <v>0</v>
      </c>
      <c r="AK42" s="7">
        <v>2094.3952800000002</v>
      </c>
      <c r="AL42" s="7">
        <v>12436.900293999999</v>
      </c>
      <c r="AM42" s="7">
        <v>0</v>
      </c>
      <c r="AN42" s="7">
        <v>0</v>
      </c>
      <c r="AO42" s="7">
        <v>0</v>
      </c>
      <c r="AP42" s="7">
        <v>0</v>
      </c>
      <c r="AQ42" s="7">
        <v>0</v>
      </c>
      <c r="AR42" s="7">
        <v>12436.900293999999</v>
      </c>
      <c r="AS42" s="7">
        <v>3894.575897745975</v>
      </c>
      <c r="AT42" s="7">
        <v>3894.575897745975</v>
      </c>
    </row>
    <row r="43" spans="1:46" x14ac:dyDescent="0.35">
      <c r="A43" s="5">
        <v>46022</v>
      </c>
      <c r="B43" s="4" t="s">
        <v>170</v>
      </c>
      <c r="C43" s="4" t="s">
        <v>171</v>
      </c>
      <c r="D43" s="4" t="s">
        <v>137</v>
      </c>
      <c r="E43" s="6">
        <v>5</v>
      </c>
      <c r="F43" s="6">
        <v>99.5</v>
      </c>
      <c r="G43" s="7">
        <v>0</v>
      </c>
      <c r="H43" s="7">
        <v>0</v>
      </c>
      <c r="I43" s="7">
        <v>0</v>
      </c>
      <c r="J43" s="7">
        <v>0</v>
      </c>
      <c r="K43" s="7">
        <v>0</v>
      </c>
      <c r="L43" s="7">
        <v>0</v>
      </c>
      <c r="M43" s="7">
        <v>0</v>
      </c>
      <c r="N43" s="7">
        <v>0</v>
      </c>
      <c r="O43" s="7">
        <v>0</v>
      </c>
      <c r="P43" s="7">
        <v>0</v>
      </c>
      <c r="Q43" s="7">
        <v>777.66055700000004</v>
      </c>
      <c r="R43" s="7">
        <v>2884.9600260000002</v>
      </c>
      <c r="S43" s="7">
        <v>556.72966199999996</v>
      </c>
      <c r="T43" s="7">
        <v>2140.2506109999999</v>
      </c>
      <c r="U43" s="7">
        <v>6359.600856</v>
      </c>
      <c r="V43" s="7">
        <v>6359.600856</v>
      </c>
      <c r="W43" s="7">
        <v>284.99511546715888</v>
      </c>
      <c r="X43" s="7">
        <v>6644.5959714671599</v>
      </c>
      <c r="Y43" s="7">
        <v>35</v>
      </c>
      <c r="Z43" s="7">
        <v>483.79502454855736</v>
      </c>
      <c r="AA43" s="7">
        <v>7163.3909960157162</v>
      </c>
      <c r="AB43" s="7">
        <v>261.98957112689891</v>
      </c>
      <c r="AC43" s="7">
        <v>2489.0114835245581</v>
      </c>
      <c r="AD43" s="7">
        <v>0</v>
      </c>
      <c r="AE43" s="7">
        <v>0</v>
      </c>
      <c r="AF43" s="7">
        <v>9914.392050667173</v>
      </c>
      <c r="AG43" s="7">
        <v>7163.3909960157162</v>
      </c>
      <c r="AH43" s="7">
        <v>254.38361757773379</v>
      </c>
      <c r="AI43" s="7">
        <v>261.98957112689891</v>
      </c>
      <c r="AJ43" s="7">
        <v>0</v>
      </c>
      <c r="AK43" s="7">
        <v>445.17133126103317</v>
      </c>
      <c r="AL43" s="7">
        <v>8124.9355159813831</v>
      </c>
      <c r="AM43" s="7">
        <v>0</v>
      </c>
      <c r="AN43" s="7">
        <v>0</v>
      </c>
      <c r="AO43" s="7">
        <v>0</v>
      </c>
      <c r="AP43" s="7">
        <v>0</v>
      </c>
      <c r="AQ43" s="7">
        <v>0</v>
      </c>
      <c r="AR43" s="7">
        <v>8124.9355159813831</v>
      </c>
      <c r="AS43" s="7">
        <v>5760.404657983031</v>
      </c>
      <c r="AT43" s="7">
        <v>5241.6096334344729</v>
      </c>
    </row>
    <row r="44" spans="1:46" x14ac:dyDescent="0.35">
      <c r="A44" s="5">
        <v>46022</v>
      </c>
      <c r="B44" s="4" t="s">
        <v>172</v>
      </c>
      <c r="C44" s="4" t="s">
        <v>173</v>
      </c>
      <c r="D44" s="4" t="s">
        <v>66</v>
      </c>
      <c r="E44" s="6">
        <v>50</v>
      </c>
      <c r="F44" s="6">
        <v>99.2</v>
      </c>
      <c r="G44" s="7">
        <v>0</v>
      </c>
      <c r="H44" s="7">
        <v>0</v>
      </c>
      <c r="I44" s="7">
        <v>0</v>
      </c>
      <c r="J44" s="7">
        <v>0</v>
      </c>
      <c r="K44" s="7">
        <v>0</v>
      </c>
      <c r="L44" s="7">
        <v>0</v>
      </c>
      <c r="M44" s="7">
        <v>0</v>
      </c>
      <c r="N44" s="7">
        <v>0</v>
      </c>
      <c r="O44" s="7">
        <v>0</v>
      </c>
      <c r="P44" s="7">
        <v>0</v>
      </c>
      <c r="Q44" s="7">
        <v>299.56585699999999</v>
      </c>
      <c r="R44" s="7">
        <v>1485.3787179999999</v>
      </c>
      <c r="S44" s="7">
        <v>1166.1412339999999</v>
      </c>
      <c r="T44" s="7">
        <v>2826.9097609999999</v>
      </c>
      <c r="U44" s="7">
        <v>5777.99557</v>
      </c>
      <c r="V44" s="7">
        <v>5777.99557</v>
      </c>
      <c r="W44" s="7">
        <v>115.3143571258427</v>
      </c>
      <c r="X44" s="7">
        <v>5893.3099271258434</v>
      </c>
      <c r="Y44" s="7">
        <v>0</v>
      </c>
      <c r="Z44" s="7">
        <v>919.97945669781973</v>
      </c>
      <c r="AA44" s="7">
        <v>6813.2893838236623</v>
      </c>
      <c r="AB44" s="7">
        <v>0</v>
      </c>
      <c r="AC44" s="7">
        <v>808.09325776025287</v>
      </c>
      <c r="AD44" s="7">
        <v>0</v>
      </c>
      <c r="AE44" s="7">
        <v>0</v>
      </c>
      <c r="AF44" s="7">
        <v>7621.3826415839148</v>
      </c>
      <c r="AG44" s="7">
        <v>6813.2893838236623</v>
      </c>
      <c r="AH44" s="7">
        <v>519.91004630877808</v>
      </c>
      <c r="AI44" s="7">
        <v>0</v>
      </c>
      <c r="AJ44" s="7">
        <v>0</v>
      </c>
      <c r="AK44" s="7">
        <v>288.83891528251411</v>
      </c>
      <c r="AL44" s="7">
        <v>7622.0383454149551</v>
      </c>
      <c r="AM44" s="7">
        <v>0</v>
      </c>
      <c r="AN44" s="7">
        <v>0</v>
      </c>
      <c r="AO44" s="7">
        <v>0</v>
      </c>
      <c r="AP44" s="7">
        <v>0</v>
      </c>
      <c r="AQ44" s="7">
        <v>0</v>
      </c>
      <c r="AR44" s="7">
        <v>7622.0383454149551</v>
      </c>
      <c r="AS44" s="7">
        <v>4378.9751687844191</v>
      </c>
      <c r="AT44" s="7">
        <v>3458.9957120866002</v>
      </c>
    </row>
    <row r="45" spans="1:46" x14ac:dyDescent="0.35">
      <c r="A45" s="5">
        <v>46022</v>
      </c>
      <c r="B45" s="4" t="s">
        <v>84</v>
      </c>
      <c r="C45" s="4" t="s">
        <v>85</v>
      </c>
      <c r="D45" s="4" t="s">
        <v>61</v>
      </c>
      <c r="E45" s="6">
        <v>474.47239999999999</v>
      </c>
      <c r="F45" s="6">
        <v>10.963852565502229</v>
      </c>
      <c r="G45" s="7">
        <v>86.003814773292319</v>
      </c>
      <c r="H45" s="7">
        <v>70.903479488060441</v>
      </c>
      <c r="I45" s="7">
        <v>8.6360468120765983</v>
      </c>
      <c r="J45" s="7">
        <v>143.82386513419286</v>
      </c>
      <c r="K45" s="7">
        <v>309.36720620762219</v>
      </c>
      <c r="L45" s="7">
        <v>53.73282327335987</v>
      </c>
      <c r="M45" s="7">
        <v>37.339350302540353</v>
      </c>
      <c r="N45" s="7">
        <v>44.056692145948489</v>
      </c>
      <c r="O45" s="7">
        <v>92.552989189752353</v>
      </c>
      <c r="P45" s="7">
        <v>227.68185491160111</v>
      </c>
      <c r="Q45" s="7">
        <v>41.058875605830814</v>
      </c>
      <c r="R45" s="7">
        <v>54.623578210239423</v>
      </c>
      <c r="S45" s="7">
        <v>45.596890461910952</v>
      </c>
      <c r="T45" s="7">
        <v>287.99757130235605</v>
      </c>
      <c r="U45" s="7">
        <v>429.27691558033723</v>
      </c>
      <c r="V45" s="7">
        <v>966.32597669956033</v>
      </c>
      <c r="W45" s="7">
        <v>159.48615164734167</v>
      </c>
      <c r="X45" s="7">
        <v>1125.812128346902</v>
      </c>
      <c r="Y45" s="7">
        <v>37.519462652185453</v>
      </c>
      <c r="Z45" s="7">
        <v>119.11153527326653</v>
      </c>
      <c r="AA45" s="7">
        <v>1282.443126272354</v>
      </c>
      <c r="AB45" s="7">
        <v>0</v>
      </c>
      <c r="AC45" s="7">
        <v>192.64495584922929</v>
      </c>
      <c r="AD45" s="7">
        <v>0</v>
      </c>
      <c r="AE45" s="7">
        <v>0</v>
      </c>
      <c r="AF45" s="7">
        <v>1475.0880821215831</v>
      </c>
      <c r="AG45" s="7">
        <v>1282.443126272354</v>
      </c>
      <c r="AH45" s="7">
        <v>38.456915922305555</v>
      </c>
      <c r="AI45" s="7">
        <v>0</v>
      </c>
      <c r="AJ45" s="7">
        <v>0</v>
      </c>
      <c r="AK45" s="7">
        <v>96.142289362838824</v>
      </c>
      <c r="AL45" s="7">
        <v>1417.0423315574981</v>
      </c>
      <c r="AM45" s="7">
        <v>0</v>
      </c>
      <c r="AN45" s="7">
        <v>0</v>
      </c>
      <c r="AO45" s="7">
        <v>0</v>
      </c>
      <c r="AP45" s="7">
        <v>0</v>
      </c>
      <c r="AQ45" s="7">
        <v>0</v>
      </c>
      <c r="AR45" s="7">
        <v>1417.0423315574981</v>
      </c>
      <c r="AS45" s="7">
        <v>178.21467039813788</v>
      </c>
      <c r="AT45" s="7">
        <v>21.58367247268588</v>
      </c>
    </row>
    <row r="46" spans="1:46" x14ac:dyDescent="0.35">
      <c r="A46" s="5">
        <v>46022</v>
      </c>
      <c r="B46" s="4" t="s">
        <v>86</v>
      </c>
      <c r="C46" s="4" t="s">
        <v>87</v>
      </c>
      <c r="D46" s="4" t="s">
        <v>66</v>
      </c>
      <c r="E46" s="6">
        <v>66</v>
      </c>
      <c r="F46" s="6">
        <v>2</v>
      </c>
      <c r="G46" s="7">
        <v>55.792711440730343</v>
      </c>
      <c r="H46" s="7">
        <v>5.1980880000000003</v>
      </c>
      <c r="I46" s="7">
        <v>13.96978130793539</v>
      </c>
      <c r="J46" s="7">
        <v>69.868260461446624</v>
      </c>
      <c r="K46" s="7">
        <v>144.82884121011239</v>
      </c>
      <c r="L46" s="7">
        <v>45.327091740941007</v>
      </c>
      <c r="M46" s="7">
        <v>0</v>
      </c>
      <c r="N46" s="7">
        <v>8.1599175540028099</v>
      </c>
      <c r="O46" s="7">
        <v>14.50032051348315</v>
      </c>
      <c r="P46" s="7">
        <v>67.987329808426963</v>
      </c>
      <c r="Q46" s="7">
        <v>0</v>
      </c>
      <c r="R46" s="7">
        <v>0</v>
      </c>
      <c r="S46" s="7">
        <v>0</v>
      </c>
      <c r="T46" s="7">
        <v>0</v>
      </c>
      <c r="U46" s="7">
        <v>0</v>
      </c>
      <c r="V46" s="7">
        <v>212.81617101853931</v>
      </c>
      <c r="W46" s="7">
        <v>10.82448008125</v>
      </c>
      <c r="X46" s="7">
        <v>223.6406510997893</v>
      </c>
      <c r="Y46" s="7">
        <v>0</v>
      </c>
      <c r="Z46" s="7">
        <v>7.163896532446131</v>
      </c>
      <c r="AA46" s="7">
        <v>230.80454763223551</v>
      </c>
      <c r="AB46" s="7">
        <v>0</v>
      </c>
      <c r="AC46" s="7">
        <v>7.1700291418539326</v>
      </c>
      <c r="AD46" s="7">
        <v>0</v>
      </c>
      <c r="AE46" s="7">
        <v>0</v>
      </c>
      <c r="AF46" s="7">
        <v>237.9745767740894</v>
      </c>
      <c r="AG46" s="7">
        <v>230.80454763223551</v>
      </c>
      <c r="AH46" s="7">
        <v>8.5126032365870792</v>
      </c>
      <c r="AI46" s="7">
        <v>0</v>
      </c>
      <c r="AJ46" s="7">
        <v>0</v>
      </c>
      <c r="AK46" s="7">
        <v>1.2768909353932589</v>
      </c>
      <c r="AL46" s="7">
        <v>240.59404180421581</v>
      </c>
      <c r="AM46" s="7">
        <v>0</v>
      </c>
      <c r="AN46" s="7">
        <v>0</v>
      </c>
      <c r="AO46" s="7">
        <v>0</v>
      </c>
      <c r="AP46" s="7">
        <v>0</v>
      </c>
      <c r="AQ46" s="7">
        <v>0</v>
      </c>
      <c r="AR46" s="7">
        <v>240.59404180421581</v>
      </c>
      <c r="AS46" s="7">
        <v>-64.442949380572344</v>
      </c>
      <c r="AT46" s="7">
        <v>-71.606845913018475</v>
      </c>
    </row>
    <row r="47" spans="1:46" x14ac:dyDescent="0.35">
      <c r="A47" s="5">
        <v>46022</v>
      </c>
      <c r="B47" s="4" t="s">
        <v>174</v>
      </c>
      <c r="C47" s="4" t="s">
        <v>175</v>
      </c>
      <c r="D47" s="4" t="s">
        <v>66</v>
      </c>
      <c r="E47" s="6">
        <v>65.8125</v>
      </c>
      <c r="F47" s="6">
        <v>6</v>
      </c>
      <c r="G47" s="7">
        <v>36.984631652036512</v>
      </c>
      <c r="H47" s="7">
        <v>28.038066000000001</v>
      </c>
      <c r="I47" s="7">
        <v>20.013838712921348</v>
      </c>
      <c r="J47" s="7">
        <v>194.30099217661521</v>
      </c>
      <c r="K47" s="7">
        <v>279.33752854157302</v>
      </c>
      <c r="L47" s="7">
        <v>22.477521569241571</v>
      </c>
      <c r="M47" s="7">
        <v>33.351857145014051</v>
      </c>
      <c r="N47" s="7">
        <v>26.123491295786518</v>
      </c>
      <c r="O47" s="7">
        <v>122.2540438051264</v>
      </c>
      <c r="P47" s="7">
        <v>204.20691381516849</v>
      </c>
      <c r="Q47" s="7">
        <v>0</v>
      </c>
      <c r="R47" s="7">
        <v>0</v>
      </c>
      <c r="S47" s="7">
        <v>0</v>
      </c>
      <c r="T47" s="7">
        <v>0</v>
      </c>
      <c r="U47" s="7">
        <v>0</v>
      </c>
      <c r="V47" s="7">
        <v>483.54444235674163</v>
      </c>
      <c r="W47" s="7">
        <v>76.149180954985965</v>
      </c>
      <c r="X47" s="7">
        <v>559.69362331172749</v>
      </c>
      <c r="Y47" s="7">
        <v>0</v>
      </c>
      <c r="Z47" s="7">
        <v>33.584589407721261</v>
      </c>
      <c r="AA47" s="7">
        <v>593.27821271944879</v>
      </c>
      <c r="AB47" s="7">
        <v>23.47492939691011</v>
      </c>
      <c r="AC47" s="7">
        <v>194.74188727183989</v>
      </c>
      <c r="AD47" s="7">
        <v>0</v>
      </c>
      <c r="AE47" s="7">
        <v>0</v>
      </c>
      <c r="AF47" s="7">
        <v>811.49502938819876</v>
      </c>
      <c r="AG47" s="7">
        <v>593.27821271944879</v>
      </c>
      <c r="AH47" s="7">
        <v>58.323697115098319</v>
      </c>
      <c r="AI47" s="7">
        <v>23.47492939691011</v>
      </c>
      <c r="AJ47" s="7">
        <v>0</v>
      </c>
      <c r="AK47" s="7">
        <v>2.80898909389045</v>
      </c>
      <c r="AL47" s="7">
        <v>677.88582832534769</v>
      </c>
      <c r="AM47" s="7">
        <v>0</v>
      </c>
      <c r="AN47" s="7">
        <v>1.053371035182584</v>
      </c>
      <c r="AO47" s="7">
        <v>0</v>
      </c>
      <c r="AP47" s="7">
        <v>0</v>
      </c>
      <c r="AQ47" s="7">
        <v>0</v>
      </c>
      <c r="AR47" s="7">
        <v>678.93919936053032</v>
      </c>
      <c r="AS47" s="7">
        <v>186.63059044110011</v>
      </c>
      <c r="AT47" s="7">
        <v>153.04600103337879</v>
      </c>
    </row>
    <row r="48" spans="1:46" x14ac:dyDescent="0.35">
      <c r="A48" s="5">
        <v>46022</v>
      </c>
      <c r="B48" s="4" t="s">
        <v>88</v>
      </c>
      <c r="C48" s="4" t="s">
        <v>89</v>
      </c>
      <c r="D48" s="4" t="s">
        <v>66</v>
      </c>
      <c r="E48" s="6">
        <v>416</v>
      </c>
      <c r="F48" s="6">
        <v>1.5</v>
      </c>
      <c r="G48" s="7">
        <v>2.4929506890449442</v>
      </c>
      <c r="H48" s="7">
        <v>4.6245010000000004</v>
      </c>
      <c r="I48" s="7">
        <v>0.28570979564606741</v>
      </c>
      <c r="J48" s="7">
        <v>4.7442792923455057</v>
      </c>
      <c r="K48" s="7">
        <v>12.14744077703652</v>
      </c>
      <c r="L48" s="7">
        <v>1.9082708919241571</v>
      </c>
      <c r="M48" s="7">
        <v>3.3463048714887642</v>
      </c>
      <c r="N48" s="7">
        <v>6.2136346719101123</v>
      </c>
      <c r="O48" s="7">
        <v>9.7500634807584259</v>
      </c>
      <c r="P48" s="7">
        <v>21.218273916081461</v>
      </c>
      <c r="Q48" s="7">
        <v>0</v>
      </c>
      <c r="R48" s="7">
        <v>0</v>
      </c>
      <c r="S48" s="7">
        <v>0</v>
      </c>
      <c r="T48" s="7">
        <v>0</v>
      </c>
      <c r="U48" s="7">
        <v>0</v>
      </c>
      <c r="V48" s="7">
        <v>33.36571469311798</v>
      </c>
      <c r="W48" s="7">
        <v>4.4454262662219097</v>
      </c>
      <c r="X48" s="7">
        <v>37.811140959339888</v>
      </c>
      <c r="Y48" s="7">
        <v>0</v>
      </c>
      <c r="Z48" s="7">
        <v>4.7037854203419727</v>
      </c>
      <c r="AA48" s="7">
        <v>42.51492637968186</v>
      </c>
      <c r="AB48" s="7">
        <v>2.4033395717696631</v>
      </c>
      <c r="AC48" s="7">
        <v>5.3323523744382024</v>
      </c>
      <c r="AD48" s="7">
        <v>0</v>
      </c>
      <c r="AE48" s="7">
        <v>0</v>
      </c>
      <c r="AF48" s="7">
        <v>50.250618325889732</v>
      </c>
      <c r="AG48" s="7">
        <v>42.51492637968186</v>
      </c>
      <c r="AH48" s="7">
        <v>5.0047114144662936</v>
      </c>
      <c r="AI48" s="7">
        <v>2.4033395717696631</v>
      </c>
      <c r="AJ48" s="7">
        <v>24.908011419943819</v>
      </c>
      <c r="AK48" s="7">
        <v>3.336473943047753</v>
      </c>
      <c r="AL48" s="7">
        <v>78.167462728909385</v>
      </c>
      <c r="AM48" s="7">
        <v>0</v>
      </c>
      <c r="AN48" s="7">
        <v>0</v>
      </c>
      <c r="AO48" s="7">
        <v>0</v>
      </c>
      <c r="AP48" s="7">
        <v>0</v>
      </c>
      <c r="AQ48" s="7">
        <v>0</v>
      </c>
      <c r="AR48" s="7">
        <v>78.167462728909385</v>
      </c>
      <c r="AS48" s="7">
        <v>9.0792697465469825</v>
      </c>
      <c r="AT48" s="7">
        <v>4.3754843262050098</v>
      </c>
    </row>
    <row r="49" spans="1:46" x14ac:dyDescent="0.35">
      <c r="A49" s="5">
        <v>46022</v>
      </c>
      <c r="B49" s="4" t="s">
        <v>176</v>
      </c>
      <c r="C49" s="4" t="s">
        <v>177</v>
      </c>
      <c r="D49" s="4" t="s">
        <v>66</v>
      </c>
      <c r="E49" s="6">
        <v>7</v>
      </c>
      <c r="F49" s="6">
        <v>99</v>
      </c>
      <c r="G49" s="7">
        <v>0</v>
      </c>
      <c r="H49" s="7">
        <v>0</v>
      </c>
      <c r="I49" s="7">
        <v>0</v>
      </c>
      <c r="J49" s="7">
        <v>0</v>
      </c>
      <c r="K49" s="7">
        <v>0</v>
      </c>
      <c r="L49" s="7">
        <v>0</v>
      </c>
      <c r="M49" s="7">
        <v>0</v>
      </c>
      <c r="N49" s="7">
        <v>0</v>
      </c>
      <c r="O49" s="7">
        <v>0</v>
      </c>
      <c r="P49" s="7">
        <v>0</v>
      </c>
      <c r="Q49" s="7">
        <v>701.476044</v>
      </c>
      <c r="R49" s="7">
        <v>902.95456799999999</v>
      </c>
      <c r="S49" s="7">
        <v>864.56613200000004</v>
      </c>
      <c r="T49" s="7">
        <v>2653.1421740000001</v>
      </c>
      <c r="U49" s="7">
        <v>5122.138919</v>
      </c>
      <c r="V49" s="7">
        <v>5122.138919</v>
      </c>
      <c r="W49" s="7">
        <v>217.3764697454354</v>
      </c>
      <c r="X49" s="7">
        <v>5339.5153887454353</v>
      </c>
      <c r="Y49" s="7">
        <v>0</v>
      </c>
      <c r="Z49" s="7">
        <v>821.78280747825863</v>
      </c>
      <c r="AA49" s="7">
        <v>6161.2981962236936</v>
      </c>
      <c r="AB49" s="7">
        <v>0</v>
      </c>
      <c r="AC49" s="7">
        <v>1977.1785568009129</v>
      </c>
      <c r="AD49" s="7">
        <v>0</v>
      </c>
      <c r="AE49" s="7">
        <v>0</v>
      </c>
      <c r="AF49" s="7">
        <v>8138.4767530246072</v>
      </c>
      <c r="AG49" s="7">
        <v>6161.2981962236936</v>
      </c>
      <c r="AH49" s="7">
        <v>1536.317945309831</v>
      </c>
      <c r="AI49" s="7">
        <v>0</v>
      </c>
      <c r="AJ49" s="7">
        <v>0</v>
      </c>
      <c r="AK49" s="7">
        <v>614.52717772401684</v>
      </c>
      <c r="AL49" s="7">
        <v>8312.1433192575423</v>
      </c>
      <c r="AM49" s="7">
        <v>0</v>
      </c>
      <c r="AN49" s="7">
        <v>0</v>
      </c>
      <c r="AO49" s="7">
        <v>0</v>
      </c>
      <c r="AP49" s="7">
        <v>0</v>
      </c>
      <c r="AQ49" s="7">
        <v>0</v>
      </c>
      <c r="AR49" s="7">
        <v>8312.1433192575423</v>
      </c>
      <c r="AS49" s="7">
        <v>4932.7696959094974</v>
      </c>
      <c r="AT49" s="7">
        <v>4110.9868884312382</v>
      </c>
    </row>
  </sheetData>
  <mergeCells count="47">
    <mergeCell ref="AS6:AS9"/>
    <mergeCell ref="AT6:AT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49"/>
  <sheetViews>
    <sheetView workbookViewId="0"/>
  </sheetViews>
  <sheetFormatPr defaultRowHeight="14.5" x14ac:dyDescent="0.35"/>
  <cols>
    <col min="1" max="1" width="48.54296875" customWidth="1"/>
    <col min="2" max="2" width="30.1796875" customWidth="1"/>
    <col min="3" max="3" width="16.1796875" customWidth="1"/>
    <col min="4" max="4" width="17.453125" customWidth="1"/>
    <col min="5" max="5" width="21.54296875" customWidth="1"/>
    <col min="6" max="7" width="17.54296875" customWidth="1"/>
    <col min="8" max="10" width="19.54296875" customWidth="1"/>
    <col min="11" max="11" width="20.7265625" customWidth="1"/>
    <col min="12" max="13" width="19.54296875" customWidth="1"/>
    <col min="14" max="14" width="20.7265625" customWidth="1"/>
    <col min="15" max="15" width="19.54296875" customWidth="1"/>
    <col min="16" max="16" width="20.7265625" customWidth="1"/>
    <col min="17" max="17" width="16.1796875" customWidth="1"/>
    <col min="18" max="18" width="19.54296875" customWidth="1"/>
    <col min="19" max="22" width="22.7265625" customWidth="1"/>
  </cols>
  <sheetData>
    <row r="1" spans="1:22" ht="40" customHeight="1" x14ac:dyDescent="0.35">
      <c r="A1" s="12"/>
      <c r="B1" s="12"/>
      <c r="C1" s="12"/>
      <c r="D1" s="12"/>
    </row>
    <row r="2" spans="1:22" ht="30" customHeight="1" x14ac:dyDescent="0.45">
      <c r="A2" s="1" t="s">
        <v>216</v>
      </c>
      <c r="B2" s="2"/>
      <c r="C2" s="2"/>
      <c r="D2" s="2"/>
      <c r="E2" s="2"/>
      <c r="F2" s="2"/>
      <c r="G2" s="2"/>
      <c r="H2" s="2"/>
      <c r="I2" s="2"/>
      <c r="J2" s="2"/>
      <c r="K2" s="2"/>
      <c r="L2" s="2"/>
      <c r="M2" s="2"/>
      <c r="N2" s="2"/>
      <c r="O2" s="2"/>
      <c r="P2" s="2"/>
      <c r="Q2" s="2"/>
      <c r="R2" s="2"/>
      <c r="S2" s="2"/>
      <c r="T2" s="2"/>
      <c r="U2" s="2"/>
      <c r="V2" s="2"/>
    </row>
    <row r="3" spans="1:22" x14ac:dyDescent="0.35">
      <c r="A3" s="3" t="s">
        <v>0</v>
      </c>
    </row>
    <row r="4" spans="1:22" x14ac:dyDescent="0.35">
      <c r="A4" s="3" t="s">
        <v>1</v>
      </c>
    </row>
    <row r="5" spans="1:22" x14ac:dyDescent="0.35">
      <c r="A5" s="4"/>
    </row>
    <row r="6" spans="1:22" x14ac:dyDescent="0.35">
      <c r="A6" s="13" t="s">
        <v>3</v>
      </c>
      <c r="B6" s="13" t="s">
        <v>4</v>
      </c>
      <c r="C6" s="13" t="s">
        <v>5</v>
      </c>
      <c r="D6" s="13" t="s">
        <v>6</v>
      </c>
      <c r="E6" s="14" t="s">
        <v>198</v>
      </c>
      <c r="F6" s="14" t="s">
        <v>199</v>
      </c>
      <c r="G6" s="14" t="s">
        <v>200</v>
      </c>
      <c r="H6" s="14" t="s">
        <v>201</v>
      </c>
      <c r="I6" s="14" t="s">
        <v>202</v>
      </c>
      <c r="J6" s="14" t="s">
        <v>203</v>
      </c>
      <c r="K6" s="14" t="s">
        <v>204</v>
      </c>
      <c r="L6" s="14" t="s">
        <v>205</v>
      </c>
      <c r="M6" s="14" t="s">
        <v>206</v>
      </c>
      <c r="N6" s="14" t="s">
        <v>207</v>
      </c>
      <c r="O6" s="14" t="s">
        <v>208</v>
      </c>
      <c r="P6" s="14" t="s">
        <v>209</v>
      </c>
      <c r="Q6" s="14" t="s">
        <v>210</v>
      </c>
      <c r="R6" s="14" t="s">
        <v>211</v>
      </c>
      <c r="S6" s="14" t="s">
        <v>212</v>
      </c>
      <c r="T6" s="14" t="s">
        <v>213</v>
      </c>
      <c r="U6" s="14" t="s">
        <v>214</v>
      </c>
      <c r="V6" s="14" t="s">
        <v>215</v>
      </c>
    </row>
    <row r="7" spans="1:22" x14ac:dyDescent="0.35">
      <c r="A7" s="13"/>
      <c r="B7" s="13"/>
      <c r="C7" s="13"/>
      <c r="D7" s="13"/>
      <c r="E7" s="14"/>
      <c r="F7" s="14"/>
      <c r="G7" s="14"/>
      <c r="H7" s="14"/>
      <c r="I7" s="14"/>
      <c r="J7" s="14"/>
      <c r="K7" s="14"/>
      <c r="L7" s="14"/>
      <c r="M7" s="14"/>
      <c r="N7" s="14"/>
      <c r="O7" s="14"/>
      <c r="P7" s="14"/>
      <c r="Q7" s="14"/>
      <c r="R7" s="14"/>
      <c r="S7" s="14"/>
      <c r="T7" s="14"/>
      <c r="U7" s="14"/>
      <c r="V7" s="14"/>
    </row>
    <row r="8" spans="1:22" x14ac:dyDescent="0.35">
      <c r="A8" s="13"/>
      <c r="B8" s="13"/>
      <c r="C8" s="13"/>
      <c r="D8" s="13"/>
      <c r="E8" s="14"/>
      <c r="F8" s="14"/>
      <c r="G8" s="14"/>
      <c r="H8" s="14"/>
      <c r="I8" s="14"/>
      <c r="J8" s="14"/>
      <c r="K8" s="14"/>
      <c r="L8" s="14"/>
      <c r="M8" s="14"/>
      <c r="N8" s="14"/>
      <c r="O8" s="14"/>
      <c r="P8" s="14"/>
      <c r="Q8" s="14"/>
      <c r="R8" s="14"/>
      <c r="S8" s="14"/>
      <c r="T8" s="14"/>
      <c r="U8" s="14"/>
      <c r="V8" s="14"/>
    </row>
    <row r="9" spans="1:22" x14ac:dyDescent="0.35">
      <c r="A9" s="13"/>
      <c r="B9" s="13"/>
      <c r="C9" s="13"/>
      <c r="D9" s="13"/>
      <c r="E9" s="14"/>
      <c r="F9" s="14"/>
      <c r="G9" s="14"/>
      <c r="H9" s="14"/>
      <c r="I9" s="14"/>
      <c r="J9" s="14"/>
      <c r="K9" s="14"/>
      <c r="L9" s="14"/>
      <c r="M9" s="14"/>
      <c r="N9" s="14"/>
      <c r="O9" s="14"/>
      <c r="P9" s="14"/>
      <c r="Q9" s="14"/>
      <c r="R9" s="14"/>
      <c r="S9" s="14"/>
      <c r="T9" s="14"/>
      <c r="U9" s="14"/>
      <c r="V9" s="14"/>
    </row>
    <row r="10" spans="1:22" x14ac:dyDescent="0.35">
      <c r="A10" s="5">
        <v>46022</v>
      </c>
      <c r="B10" s="4" t="s">
        <v>43</v>
      </c>
      <c r="C10" s="4" t="s">
        <v>44</v>
      </c>
      <c r="D10" s="4" t="s">
        <v>45</v>
      </c>
      <c r="E10" s="6">
        <v>2.5308730000000002</v>
      </c>
      <c r="F10" s="6">
        <v>0.37822099999999997</v>
      </c>
      <c r="G10" s="6">
        <v>0</v>
      </c>
      <c r="H10" s="6">
        <v>0</v>
      </c>
      <c r="I10" s="6">
        <v>2.3650190000000002</v>
      </c>
      <c r="J10" s="6">
        <v>4.7335000000000002E-2</v>
      </c>
      <c r="K10" s="6">
        <v>-5.8939999999999999E-3</v>
      </c>
      <c r="L10" s="6">
        <v>0.236676</v>
      </c>
      <c r="M10" s="6">
        <v>0</v>
      </c>
      <c r="N10" s="6">
        <v>-0.490483</v>
      </c>
      <c r="O10" s="6">
        <v>0</v>
      </c>
      <c r="P10" s="6">
        <v>-0.490483</v>
      </c>
      <c r="Q10" s="7">
        <v>21</v>
      </c>
      <c r="R10" s="6">
        <v>0.236676</v>
      </c>
      <c r="S10" s="6">
        <v>-5.3603759999999996</v>
      </c>
      <c r="T10" s="6">
        <v>-4.5419320000000001</v>
      </c>
      <c r="U10" s="6">
        <v>-3.9139680000000001</v>
      </c>
      <c r="V10" s="6">
        <v>-3.4228529999999999</v>
      </c>
    </row>
    <row r="11" spans="1:22" x14ac:dyDescent="0.35">
      <c r="A11" s="5">
        <v>46022</v>
      </c>
      <c r="B11" s="4" t="s">
        <v>46</v>
      </c>
      <c r="C11" s="4" t="s">
        <v>47</v>
      </c>
      <c r="D11" s="4" t="s">
        <v>48</v>
      </c>
      <c r="E11" s="6">
        <v>354.46107000000001</v>
      </c>
      <c r="F11" s="6">
        <v>40.377977999999999</v>
      </c>
      <c r="G11" s="6">
        <v>18.445</v>
      </c>
      <c r="H11" s="6">
        <v>6.5714079999999999</v>
      </c>
      <c r="I11" s="6">
        <v>163.67787000000001</v>
      </c>
      <c r="J11" s="6">
        <v>20.236802000000001</v>
      </c>
      <c r="K11" s="6">
        <v>10.509233</v>
      </c>
      <c r="L11" s="6">
        <v>4.9757189999999998</v>
      </c>
      <c r="M11" s="6">
        <v>0</v>
      </c>
      <c r="N11" s="6">
        <v>89.667057999999997</v>
      </c>
      <c r="O11" s="6">
        <v>17.021719999999998</v>
      </c>
      <c r="P11" s="6">
        <v>72.645339000000007</v>
      </c>
      <c r="Q11" s="7">
        <v>24.72</v>
      </c>
      <c r="R11" s="6">
        <v>36.293920999999997</v>
      </c>
      <c r="S11" s="6">
        <v>587.34602500000005</v>
      </c>
      <c r="T11" s="6">
        <v>538.34489900000005</v>
      </c>
      <c r="U11" s="6">
        <v>495.25366100000002</v>
      </c>
      <c r="V11" s="6">
        <v>457.20907499999998</v>
      </c>
    </row>
    <row r="12" spans="1:22" x14ac:dyDescent="0.35">
      <c r="A12" s="5">
        <v>46022</v>
      </c>
      <c r="B12" s="4" t="s">
        <v>49</v>
      </c>
      <c r="C12" s="4" t="s">
        <v>50</v>
      </c>
      <c r="D12" s="4" t="s">
        <v>48</v>
      </c>
      <c r="E12" s="6">
        <v>287.05771099999998</v>
      </c>
      <c r="F12" s="6">
        <v>24.189240000000002</v>
      </c>
      <c r="G12" s="6">
        <v>18.375</v>
      </c>
      <c r="H12" s="6">
        <v>5.8096500000000004</v>
      </c>
      <c r="I12" s="6">
        <v>141.064761</v>
      </c>
      <c r="J12" s="6">
        <v>12.999999000000001</v>
      </c>
      <c r="K12" s="6">
        <v>-4.6770500000000004</v>
      </c>
      <c r="L12" s="6">
        <v>14.106476000000001</v>
      </c>
      <c r="M12" s="6">
        <v>20</v>
      </c>
      <c r="N12" s="6">
        <v>55.189635000000003</v>
      </c>
      <c r="O12" s="6">
        <v>13.450988000000001</v>
      </c>
      <c r="P12" s="6">
        <v>41.738647</v>
      </c>
      <c r="Q12" s="7">
        <v>24.72</v>
      </c>
      <c r="R12" s="6">
        <v>30.205677999999999</v>
      </c>
      <c r="S12" s="6">
        <v>428.60377</v>
      </c>
      <c r="T12" s="6">
        <v>377.26063599999998</v>
      </c>
      <c r="U12" s="6">
        <v>335.13462500000003</v>
      </c>
      <c r="V12" s="6">
        <v>300.22737499999999</v>
      </c>
    </row>
    <row r="13" spans="1:22" x14ac:dyDescent="0.35">
      <c r="A13" s="5">
        <v>46022</v>
      </c>
      <c r="B13" s="4" t="s">
        <v>51</v>
      </c>
      <c r="C13" s="4" t="s">
        <v>52</v>
      </c>
      <c r="D13" s="4" t="s">
        <v>53</v>
      </c>
      <c r="E13" s="6">
        <v>91.891671000000002</v>
      </c>
      <c r="F13" s="6">
        <v>19.583762</v>
      </c>
      <c r="G13" s="6">
        <v>3.4020000000000001</v>
      </c>
      <c r="H13" s="6">
        <v>3.9054959999999999</v>
      </c>
      <c r="I13" s="6">
        <v>55.811802</v>
      </c>
      <c r="J13" s="6">
        <v>8.4851779999999994</v>
      </c>
      <c r="K13" s="6">
        <v>8.9085839999999994</v>
      </c>
      <c r="L13" s="6">
        <v>1.247404</v>
      </c>
      <c r="M13" s="6">
        <v>15</v>
      </c>
      <c r="N13" s="6">
        <v>-24.452556000000001</v>
      </c>
      <c r="O13" s="6">
        <v>0</v>
      </c>
      <c r="P13" s="6">
        <v>-24.452556000000001</v>
      </c>
      <c r="Q13" s="7">
        <v>30</v>
      </c>
      <c r="R13" s="6">
        <v>11.099792000000001</v>
      </c>
      <c r="S13" s="6">
        <v>-2.2738339999999999</v>
      </c>
      <c r="T13" s="6">
        <v>-2.9566520000000001</v>
      </c>
      <c r="U13" s="6">
        <v>-3.5733470000000001</v>
      </c>
      <c r="V13" s="6">
        <v>-4.130585</v>
      </c>
    </row>
    <row r="14" spans="1:22" x14ac:dyDescent="0.35">
      <c r="A14" s="5">
        <v>46022</v>
      </c>
      <c r="B14" s="4" t="s">
        <v>54</v>
      </c>
      <c r="C14" s="4" t="s">
        <v>55</v>
      </c>
      <c r="D14" s="4" t="s">
        <v>56</v>
      </c>
      <c r="E14" s="6">
        <v>18.156181</v>
      </c>
      <c r="F14" s="6">
        <v>0.25389099999999998</v>
      </c>
      <c r="G14" s="6">
        <v>0</v>
      </c>
      <c r="H14" s="6">
        <v>0.183195</v>
      </c>
      <c r="I14" s="6">
        <v>9.3263400000000001</v>
      </c>
      <c r="J14" s="6">
        <v>0.46629999999999999</v>
      </c>
      <c r="K14" s="6">
        <v>-3.5562000000000003E-2</v>
      </c>
      <c r="L14" s="6">
        <v>1.0311539999999999</v>
      </c>
      <c r="M14" s="6">
        <v>0</v>
      </c>
      <c r="N14" s="6">
        <v>6.9308630000000004</v>
      </c>
      <c r="O14" s="6">
        <v>2.1611340000000001</v>
      </c>
      <c r="P14" s="6">
        <v>4.76973</v>
      </c>
      <c r="Q14" s="7">
        <v>34</v>
      </c>
      <c r="R14" s="6">
        <v>1.5701799999999999</v>
      </c>
      <c r="S14" s="6">
        <v>51.209175000000002</v>
      </c>
      <c r="T14" s="6">
        <v>43.401780000000002</v>
      </c>
      <c r="U14" s="6">
        <v>37.411129000000003</v>
      </c>
      <c r="V14" s="6">
        <v>32.725718999999998</v>
      </c>
    </row>
    <row r="15" spans="1:22" x14ac:dyDescent="0.35">
      <c r="A15" s="5">
        <v>46022</v>
      </c>
      <c r="B15" s="4" t="s">
        <v>135</v>
      </c>
      <c r="C15" s="4" t="s">
        <v>136</v>
      </c>
      <c r="D15" s="4" t="s">
        <v>137</v>
      </c>
      <c r="E15" s="6">
        <v>263.51805300000001</v>
      </c>
      <c r="F15" s="6">
        <v>9.9079320000000006</v>
      </c>
      <c r="G15" s="6">
        <v>1.462</v>
      </c>
      <c r="H15" s="6">
        <v>9.5517620000000001</v>
      </c>
      <c r="I15" s="6">
        <v>225.90875399999999</v>
      </c>
      <c r="J15" s="6">
        <v>8.8116620000000001</v>
      </c>
      <c r="K15" s="6">
        <v>6.0195489999999996</v>
      </c>
      <c r="L15" s="6">
        <v>22.549963000000002</v>
      </c>
      <c r="M15" s="6">
        <v>0</v>
      </c>
      <c r="N15" s="6">
        <v>-20.693567999999999</v>
      </c>
      <c r="O15" s="6">
        <v>0</v>
      </c>
      <c r="P15" s="6">
        <v>-20.693567999999999</v>
      </c>
      <c r="Q15" s="7">
        <v>25</v>
      </c>
      <c r="R15" s="6">
        <v>51.94791</v>
      </c>
      <c r="S15" s="6">
        <v>-133.052561</v>
      </c>
      <c r="T15" s="6">
        <v>-110.7641</v>
      </c>
      <c r="U15" s="6">
        <v>-94.168021999999993</v>
      </c>
      <c r="V15" s="6">
        <v>-81.573003</v>
      </c>
    </row>
    <row r="16" spans="1:22" x14ac:dyDescent="0.35">
      <c r="A16" s="5">
        <v>46022</v>
      </c>
      <c r="B16" s="4" t="s">
        <v>138</v>
      </c>
      <c r="C16" s="4" t="s">
        <v>139</v>
      </c>
      <c r="D16" s="4" t="s">
        <v>66</v>
      </c>
      <c r="E16" s="6">
        <v>410.91194999999999</v>
      </c>
      <c r="F16" s="6">
        <v>3.2014239999999998</v>
      </c>
      <c r="G16" s="6">
        <v>0</v>
      </c>
      <c r="H16" s="6">
        <v>37.296137999999999</v>
      </c>
      <c r="I16" s="6">
        <v>219.961556</v>
      </c>
      <c r="J16" s="6">
        <v>30.187422999999999</v>
      </c>
      <c r="K16" s="6">
        <v>0.43892199999999998</v>
      </c>
      <c r="L16" s="6">
        <v>10.995761</v>
      </c>
      <c r="M16" s="6">
        <v>45</v>
      </c>
      <c r="N16" s="6">
        <v>63.830725000000001</v>
      </c>
      <c r="O16" s="6">
        <v>20.577127000000001</v>
      </c>
      <c r="P16" s="6">
        <v>43.253597999999997</v>
      </c>
      <c r="Q16" s="7">
        <v>25</v>
      </c>
      <c r="R16" s="6">
        <v>37.956899999999997</v>
      </c>
      <c r="S16" s="6">
        <v>898.10638400000005</v>
      </c>
      <c r="T16" s="6">
        <v>749.21494199999995</v>
      </c>
      <c r="U16" s="6">
        <v>635.63381200000003</v>
      </c>
      <c r="V16" s="6">
        <v>547.35251900000003</v>
      </c>
    </row>
    <row r="17" spans="1:22" x14ac:dyDescent="0.35">
      <c r="A17" s="5">
        <v>46022</v>
      </c>
      <c r="B17" s="4" t="s">
        <v>140</v>
      </c>
      <c r="C17" s="4" t="s">
        <v>141</v>
      </c>
      <c r="D17" s="4" t="s">
        <v>137</v>
      </c>
      <c r="E17" s="6">
        <v>82.989451000000003</v>
      </c>
      <c r="F17" s="6">
        <v>2.2783159999999998</v>
      </c>
      <c r="G17" s="6">
        <v>0.218668</v>
      </c>
      <c r="H17" s="6">
        <v>2.519387</v>
      </c>
      <c r="I17" s="6">
        <v>53.725113</v>
      </c>
      <c r="J17" s="6">
        <v>8.0587540000000004</v>
      </c>
      <c r="K17" s="6">
        <v>9.0390800000000002</v>
      </c>
      <c r="L17" s="6">
        <v>28.126306</v>
      </c>
      <c r="M17" s="6">
        <v>103.851147</v>
      </c>
      <c r="N17" s="6">
        <v>-124.82732</v>
      </c>
      <c r="O17" s="6">
        <v>0</v>
      </c>
      <c r="P17" s="6">
        <v>-124.82732</v>
      </c>
      <c r="Q17" s="7">
        <v>25</v>
      </c>
      <c r="R17" s="6">
        <v>40.309936</v>
      </c>
      <c r="S17" s="6">
        <v>602.34385199999997</v>
      </c>
      <c r="T17" s="6">
        <v>480.37177700000001</v>
      </c>
      <c r="U17" s="6">
        <v>387.80233500000003</v>
      </c>
      <c r="V17" s="6">
        <v>316.29582599999998</v>
      </c>
    </row>
    <row r="18" spans="1:22" x14ac:dyDescent="0.35">
      <c r="A18" s="5">
        <v>46022</v>
      </c>
      <c r="B18" s="4" t="s">
        <v>142</v>
      </c>
      <c r="C18" s="4" t="s">
        <v>143</v>
      </c>
      <c r="D18" s="4" t="s">
        <v>66</v>
      </c>
      <c r="E18" s="6">
        <v>256.80713200000002</v>
      </c>
      <c r="F18" s="6">
        <v>2.8828589999999998</v>
      </c>
      <c r="G18" s="6">
        <v>0</v>
      </c>
      <c r="H18" s="6">
        <v>23.128879000000001</v>
      </c>
      <c r="I18" s="6">
        <v>132.91279599999999</v>
      </c>
      <c r="J18" s="6">
        <v>11.959631999999999</v>
      </c>
      <c r="K18" s="6">
        <v>0.409856</v>
      </c>
      <c r="L18" s="6">
        <v>6.6442399999999999</v>
      </c>
      <c r="M18" s="6">
        <v>0</v>
      </c>
      <c r="N18" s="6">
        <v>78.868870999999999</v>
      </c>
      <c r="O18" s="6">
        <v>16.788312000000001</v>
      </c>
      <c r="P18" s="6">
        <v>62.080559000000001</v>
      </c>
      <c r="Q18" s="7">
        <v>25</v>
      </c>
      <c r="R18" s="6">
        <v>18.769718000000001</v>
      </c>
      <c r="S18" s="6">
        <v>675.14050799999995</v>
      </c>
      <c r="T18" s="6">
        <v>572.09868400000005</v>
      </c>
      <c r="U18" s="6">
        <v>493.03711900000002</v>
      </c>
      <c r="V18" s="6">
        <v>431.20407299999999</v>
      </c>
    </row>
    <row r="19" spans="1:22" x14ac:dyDescent="0.35">
      <c r="A19" s="5">
        <v>46022</v>
      </c>
      <c r="B19" s="4" t="s">
        <v>57</v>
      </c>
      <c r="C19" s="4" t="s">
        <v>58</v>
      </c>
      <c r="D19" s="4" t="s">
        <v>53</v>
      </c>
      <c r="E19" s="6">
        <v>315.38682499999999</v>
      </c>
      <c r="F19" s="6">
        <v>61.239955999999999</v>
      </c>
      <c r="G19" s="6">
        <v>10.63832</v>
      </c>
      <c r="H19" s="6">
        <v>19.148976000000001</v>
      </c>
      <c r="I19" s="6">
        <v>108.27576500000001</v>
      </c>
      <c r="J19" s="6">
        <v>5.6974790000000004</v>
      </c>
      <c r="K19" s="6">
        <v>37.911611000000001</v>
      </c>
      <c r="L19" s="6">
        <v>2.1063939999999999</v>
      </c>
      <c r="M19" s="6">
        <v>15</v>
      </c>
      <c r="N19" s="6">
        <v>55.368324000000001</v>
      </c>
      <c r="O19" s="6">
        <v>28.505499</v>
      </c>
      <c r="P19" s="6">
        <v>26.862825000000001</v>
      </c>
      <c r="Q19" s="7">
        <v>30</v>
      </c>
      <c r="R19" s="6">
        <v>15.367998999999999</v>
      </c>
      <c r="S19" s="6">
        <v>1015.697729</v>
      </c>
      <c r="T19" s="6">
        <v>869.14449400000001</v>
      </c>
      <c r="U19" s="6">
        <v>753.38526200000001</v>
      </c>
      <c r="V19" s="6">
        <v>660.59692800000005</v>
      </c>
    </row>
    <row r="20" spans="1:22" x14ac:dyDescent="0.35">
      <c r="A20" s="5">
        <v>46022</v>
      </c>
      <c r="B20" s="4" t="s">
        <v>59</v>
      </c>
      <c r="C20" s="4" t="s">
        <v>60</v>
      </c>
      <c r="D20" s="4" t="s">
        <v>61</v>
      </c>
      <c r="E20" s="6">
        <v>1154.2992159999999</v>
      </c>
      <c r="F20" s="6">
        <v>35.484310000000001</v>
      </c>
      <c r="G20" s="6">
        <v>64.430244999999999</v>
      </c>
      <c r="H20" s="6">
        <v>53.204397999999998</v>
      </c>
      <c r="I20" s="6">
        <v>442.66576300000003</v>
      </c>
      <c r="J20" s="6">
        <v>28.685993</v>
      </c>
      <c r="K20" s="6">
        <v>-3.0356619999999999</v>
      </c>
      <c r="L20" s="6">
        <v>44.846262000000003</v>
      </c>
      <c r="M20" s="6">
        <v>266.56462599999998</v>
      </c>
      <c r="N20" s="6">
        <v>221.453284</v>
      </c>
      <c r="O20" s="6">
        <v>116.21943400000001</v>
      </c>
      <c r="P20" s="6">
        <v>105.23385</v>
      </c>
      <c r="Q20" s="7">
        <v>30</v>
      </c>
      <c r="R20" s="6">
        <v>142.430396</v>
      </c>
      <c r="S20" s="6">
        <v>4803.4194699999998</v>
      </c>
      <c r="T20" s="6">
        <v>4169.8225359999997</v>
      </c>
      <c r="U20" s="6">
        <v>3650.4558569999999</v>
      </c>
      <c r="V20" s="6">
        <v>3220.621181</v>
      </c>
    </row>
    <row r="21" spans="1:22" x14ac:dyDescent="0.35">
      <c r="A21" s="5">
        <v>46022</v>
      </c>
      <c r="B21" s="4" t="s">
        <v>62</v>
      </c>
      <c r="C21" s="4" t="s">
        <v>63</v>
      </c>
      <c r="D21" s="4" t="s">
        <v>56</v>
      </c>
      <c r="E21" s="6">
        <v>151.16168200000001</v>
      </c>
      <c r="F21" s="6">
        <v>12.329584000000001</v>
      </c>
      <c r="G21" s="6">
        <v>13.267325</v>
      </c>
      <c r="H21" s="6">
        <v>5.3076080000000001</v>
      </c>
      <c r="I21" s="6">
        <v>95.457187000000005</v>
      </c>
      <c r="J21" s="6">
        <v>34.497449000000003</v>
      </c>
      <c r="K21" s="6">
        <v>-1.2509859999999999</v>
      </c>
      <c r="L21" s="6">
        <v>16.227439</v>
      </c>
      <c r="M21" s="6">
        <v>70</v>
      </c>
      <c r="N21" s="6">
        <v>-94.673924</v>
      </c>
      <c r="O21" s="6">
        <v>0</v>
      </c>
      <c r="P21" s="6">
        <v>-94.673924</v>
      </c>
      <c r="Q21" s="7">
        <v>34</v>
      </c>
      <c r="R21" s="6">
        <v>26.383932999999999</v>
      </c>
      <c r="S21" s="6">
        <v>-193.164027</v>
      </c>
      <c r="T21" s="6">
        <v>-177.90836300000001</v>
      </c>
      <c r="U21" s="6">
        <v>-165.07610199999999</v>
      </c>
      <c r="V21" s="6">
        <v>-154.194076</v>
      </c>
    </row>
    <row r="22" spans="1:22" x14ac:dyDescent="0.35">
      <c r="A22" s="5">
        <v>46022</v>
      </c>
      <c r="B22" s="4" t="s">
        <v>64</v>
      </c>
      <c r="C22" s="4" t="s">
        <v>65</v>
      </c>
      <c r="D22" s="4" t="s">
        <v>66</v>
      </c>
      <c r="E22" s="6">
        <v>146.254952</v>
      </c>
      <c r="F22" s="6">
        <v>2.37357</v>
      </c>
      <c r="G22" s="6">
        <v>0</v>
      </c>
      <c r="H22" s="6">
        <v>5.0182890000000002</v>
      </c>
      <c r="I22" s="6">
        <v>51.291804999999997</v>
      </c>
      <c r="J22" s="6">
        <v>19.347290000000001</v>
      </c>
      <c r="K22" s="6">
        <v>12.866097999999999</v>
      </c>
      <c r="L22" s="6">
        <v>0.39340599999999998</v>
      </c>
      <c r="M22" s="6">
        <v>0</v>
      </c>
      <c r="N22" s="6">
        <v>54.964492999999997</v>
      </c>
      <c r="O22" s="6">
        <v>16.558264999999999</v>
      </c>
      <c r="P22" s="6">
        <v>38.406227999999999</v>
      </c>
      <c r="Q22" s="7">
        <v>25</v>
      </c>
      <c r="R22" s="6">
        <v>1.9909349999999999</v>
      </c>
      <c r="S22" s="6">
        <v>566.74791700000003</v>
      </c>
      <c r="T22" s="6">
        <v>478.03881999999999</v>
      </c>
      <c r="U22" s="6">
        <v>410.06922500000002</v>
      </c>
      <c r="V22" s="6">
        <v>356.990838</v>
      </c>
    </row>
    <row r="23" spans="1:22" x14ac:dyDescent="0.35">
      <c r="A23" s="5">
        <v>46022</v>
      </c>
      <c r="B23" s="4" t="s">
        <v>67</v>
      </c>
      <c r="C23" s="4" t="s">
        <v>68</v>
      </c>
      <c r="D23" s="4" t="s">
        <v>48</v>
      </c>
      <c r="E23" s="6">
        <v>207.941867</v>
      </c>
      <c r="F23" s="6">
        <v>43.514215999999998</v>
      </c>
      <c r="G23" s="6">
        <v>10.652174</v>
      </c>
      <c r="H23" s="6">
        <v>4.208456</v>
      </c>
      <c r="I23" s="6">
        <v>72.152951999999999</v>
      </c>
      <c r="J23" s="6">
        <v>6.6282199999999998</v>
      </c>
      <c r="K23" s="6">
        <v>22.452577000000002</v>
      </c>
      <c r="L23" s="6">
        <v>7.2152960000000004</v>
      </c>
      <c r="M23" s="6">
        <v>20</v>
      </c>
      <c r="N23" s="6">
        <v>21.117977</v>
      </c>
      <c r="O23" s="6">
        <v>10.468724999999999</v>
      </c>
      <c r="P23" s="6">
        <v>10.649252000000001</v>
      </c>
      <c r="Q23" s="7">
        <v>24.72</v>
      </c>
      <c r="R23" s="6">
        <v>28.436639</v>
      </c>
      <c r="S23" s="6">
        <v>329.853543</v>
      </c>
      <c r="T23" s="6">
        <v>298.01715999999999</v>
      </c>
      <c r="U23" s="6">
        <v>270.48387100000002</v>
      </c>
      <c r="V23" s="6">
        <v>246.55144899999999</v>
      </c>
    </row>
    <row r="24" spans="1:22" x14ac:dyDescent="0.35">
      <c r="A24" s="5">
        <v>46022</v>
      </c>
      <c r="B24" s="4" t="s">
        <v>69</v>
      </c>
      <c r="C24" s="4" t="s">
        <v>70</v>
      </c>
      <c r="D24" s="4" t="s">
        <v>61</v>
      </c>
      <c r="E24" s="6">
        <v>269.01167900000002</v>
      </c>
      <c r="F24" s="6">
        <v>37.488207000000003</v>
      </c>
      <c r="G24" s="6">
        <v>22.183540000000001</v>
      </c>
      <c r="H24" s="6">
        <v>15.371543000000001</v>
      </c>
      <c r="I24" s="6">
        <v>155.04641899999999</v>
      </c>
      <c r="J24" s="6">
        <v>9.3325340000000008</v>
      </c>
      <c r="K24" s="6">
        <v>28.396334</v>
      </c>
      <c r="L24" s="6">
        <v>46.611026000000003</v>
      </c>
      <c r="M24" s="6">
        <v>51.087077000000001</v>
      </c>
      <c r="N24" s="6">
        <v>-96.504999999999995</v>
      </c>
      <c r="O24" s="6">
        <v>0</v>
      </c>
      <c r="P24" s="6">
        <v>-96.504999999999995</v>
      </c>
      <c r="Q24" s="7">
        <v>30</v>
      </c>
      <c r="R24" s="6">
        <v>66.865517999999994</v>
      </c>
      <c r="S24" s="6">
        <v>211.55067399999999</v>
      </c>
      <c r="T24" s="6">
        <v>152.13826900000001</v>
      </c>
      <c r="U24" s="6">
        <v>109.962688</v>
      </c>
      <c r="V24" s="6">
        <v>79.470819000000006</v>
      </c>
    </row>
    <row r="25" spans="1:22" x14ac:dyDescent="0.35">
      <c r="A25" s="5">
        <v>46022</v>
      </c>
      <c r="B25" s="4" t="s">
        <v>144</v>
      </c>
      <c r="C25" s="4" t="s">
        <v>145</v>
      </c>
      <c r="D25" s="4" t="s">
        <v>66</v>
      </c>
      <c r="E25" s="6">
        <v>126.46865699999999</v>
      </c>
      <c r="F25" s="6">
        <v>1.383772</v>
      </c>
      <c r="G25" s="6">
        <v>0</v>
      </c>
      <c r="H25" s="6">
        <v>3.8393259999999998</v>
      </c>
      <c r="I25" s="6">
        <v>69.004380999999995</v>
      </c>
      <c r="J25" s="6">
        <v>2.0696949999999998</v>
      </c>
      <c r="K25" s="6">
        <v>15.004041000000001</v>
      </c>
      <c r="L25" s="6">
        <v>17.247461000000001</v>
      </c>
      <c r="M25" s="6">
        <v>0</v>
      </c>
      <c r="N25" s="6">
        <v>17.919981</v>
      </c>
      <c r="O25" s="6">
        <v>8.0496119999999998</v>
      </c>
      <c r="P25" s="6">
        <v>9.8703690000000002</v>
      </c>
      <c r="Q25" s="7">
        <v>25</v>
      </c>
      <c r="R25" s="6">
        <v>17.973033999999998</v>
      </c>
      <c r="S25" s="6">
        <v>460.89714199999997</v>
      </c>
      <c r="T25" s="6">
        <v>384.59836899999999</v>
      </c>
      <c r="U25" s="6">
        <v>326.31209000000001</v>
      </c>
      <c r="V25" s="6">
        <v>280.94164699999999</v>
      </c>
    </row>
    <row r="26" spans="1:22" x14ac:dyDescent="0.35">
      <c r="A26" s="5">
        <v>46022</v>
      </c>
      <c r="B26" s="4" t="s">
        <v>146</v>
      </c>
      <c r="C26" s="4" t="s">
        <v>147</v>
      </c>
      <c r="D26" s="4" t="s">
        <v>66</v>
      </c>
      <c r="E26" s="6">
        <v>119.72283899999999</v>
      </c>
      <c r="F26" s="6">
        <v>14.436616000000001</v>
      </c>
      <c r="G26" s="6">
        <v>0</v>
      </c>
      <c r="H26" s="6">
        <v>5.4518050000000002</v>
      </c>
      <c r="I26" s="6">
        <v>45.089899000000003</v>
      </c>
      <c r="J26" s="6">
        <v>9.9978940000000005</v>
      </c>
      <c r="K26" s="6">
        <v>13.649729000000001</v>
      </c>
      <c r="L26" s="6">
        <v>0.36867899999999998</v>
      </c>
      <c r="M26" s="6">
        <v>40</v>
      </c>
      <c r="N26" s="6">
        <v>-9.2717829999999992</v>
      </c>
      <c r="O26" s="6">
        <v>8.2701709999999995</v>
      </c>
      <c r="P26" s="6">
        <v>-17.541954</v>
      </c>
      <c r="Q26" s="7">
        <v>25</v>
      </c>
      <c r="R26" s="6">
        <v>11.665941999999999</v>
      </c>
      <c r="S26" s="6">
        <v>327.96859599999999</v>
      </c>
      <c r="T26" s="6">
        <v>269.28465999999997</v>
      </c>
      <c r="U26" s="6">
        <v>224.532861</v>
      </c>
      <c r="V26" s="6">
        <v>189.77909199999999</v>
      </c>
    </row>
    <row r="27" spans="1:22" x14ac:dyDescent="0.35">
      <c r="A27" s="5">
        <v>46022</v>
      </c>
      <c r="B27" s="4" t="s">
        <v>148</v>
      </c>
      <c r="C27" s="4" t="s">
        <v>149</v>
      </c>
      <c r="D27" s="4" t="s">
        <v>137</v>
      </c>
      <c r="E27" s="6">
        <v>61.960701</v>
      </c>
      <c r="F27" s="6">
        <v>0.59999899999999995</v>
      </c>
      <c r="G27" s="6">
        <v>0.52500000000000002</v>
      </c>
      <c r="H27" s="6">
        <v>1.362949</v>
      </c>
      <c r="I27" s="6">
        <v>26.059812999999998</v>
      </c>
      <c r="J27" s="6">
        <v>1.3681380000000001</v>
      </c>
      <c r="K27" s="6">
        <v>7.994103</v>
      </c>
      <c r="L27" s="6">
        <v>2.6059770000000002</v>
      </c>
      <c r="M27" s="6">
        <v>20</v>
      </c>
      <c r="N27" s="6">
        <v>1.4447220000000001</v>
      </c>
      <c r="O27" s="6">
        <v>1.328665</v>
      </c>
      <c r="P27" s="6">
        <v>0.11605799999999999</v>
      </c>
      <c r="Q27" s="7">
        <v>25</v>
      </c>
      <c r="R27" s="6">
        <v>26.730143000000002</v>
      </c>
      <c r="S27" s="6">
        <v>383.29306500000001</v>
      </c>
      <c r="T27" s="6">
        <v>319.70503200000002</v>
      </c>
      <c r="U27" s="6">
        <v>271.05907000000002</v>
      </c>
      <c r="V27" s="6">
        <v>233.14188999999999</v>
      </c>
    </row>
    <row r="28" spans="1:22" x14ac:dyDescent="0.35">
      <c r="A28" s="5">
        <v>46022</v>
      </c>
      <c r="B28" s="4" t="s">
        <v>71</v>
      </c>
      <c r="C28" s="4" t="s">
        <v>72</v>
      </c>
      <c r="D28" s="4" t="s">
        <v>61</v>
      </c>
      <c r="E28" s="6">
        <v>342.00306999999998</v>
      </c>
      <c r="F28" s="6">
        <v>43.405825999999998</v>
      </c>
      <c r="G28" s="6">
        <v>16.284058999999999</v>
      </c>
      <c r="H28" s="6">
        <v>23.010805000000001</v>
      </c>
      <c r="I28" s="6">
        <v>181.35113899999999</v>
      </c>
      <c r="J28" s="6">
        <v>19.12311</v>
      </c>
      <c r="K28" s="6">
        <v>-2.5342980000000002</v>
      </c>
      <c r="L28" s="6">
        <v>59.826315999999998</v>
      </c>
      <c r="M28" s="6">
        <v>10</v>
      </c>
      <c r="N28" s="6">
        <v>-8.4638869999999997</v>
      </c>
      <c r="O28" s="6">
        <v>0</v>
      </c>
      <c r="P28" s="6">
        <v>-8.4638869999999997</v>
      </c>
      <c r="Q28" s="7">
        <v>30</v>
      </c>
      <c r="R28" s="6">
        <v>75.662988999999996</v>
      </c>
      <c r="S28" s="6">
        <v>439.07127700000001</v>
      </c>
      <c r="T28" s="6">
        <v>379.06127099999998</v>
      </c>
      <c r="U28" s="6">
        <v>330.07336400000003</v>
      </c>
      <c r="V28" s="6">
        <v>289.704612</v>
      </c>
    </row>
    <row r="29" spans="1:22" x14ac:dyDescent="0.35">
      <c r="A29" s="5">
        <v>46022</v>
      </c>
      <c r="B29" s="4" t="s">
        <v>73</v>
      </c>
      <c r="C29" s="4" t="s">
        <v>74</v>
      </c>
      <c r="D29" s="4" t="s">
        <v>61</v>
      </c>
      <c r="E29" s="6">
        <v>23.637384999999998</v>
      </c>
      <c r="F29" s="6">
        <v>1.2875970000000001</v>
      </c>
      <c r="G29" s="6">
        <v>0.72304500000000005</v>
      </c>
      <c r="H29" s="6">
        <v>1.4768760000000001</v>
      </c>
      <c r="I29" s="6">
        <v>24.987850000000002</v>
      </c>
      <c r="J29" s="6">
        <v>9.9710529999999995</v>
      </c>
      <c r="K29" s="6">
        <v>-6.1125769999999999</v>
      </c>
      <c r="L29" s="6">
        <v>1.7790109999999999</v>
      </c>
      <c r="M29" s="6">
        <v>0</v>
      </c>
      <c r="N29" s="6">
        <v>-10.47547</v>
      </c>
      <c r="O29" s="6">
        <v>0</v>
      </c>
      <c r="P29" s="6">
        <v>-10.47547</v>
      </c>
      <c r="Q29" s="7">
        <v>30</v>
      </c>
      <c r="R29" s="6">
        <v>5.3671730000000002</v>
      </c>
      <c r="S29" s="6">
        <v>-9.6995100000000001</v>
      </c>
      <c r="T29" s="6">
        <v>-9.5231549999999991</v>
      </c>
      <c r="U29" s="6">
        <v>-9.3530990000000003</v>
      </c>
      <c r="V29" s="6">
        <v>-9.1890090000000004</v>
      </c>
    </row>
    <row r="30" spans="1:22" x14ac:dyDescent="0.35">
      <c r="A30" s="5">
        <v>46022</v>
      </c>
      <c r="B30" s="4" t="s">
        <v>75</v>
      </c>
      <c r="C30" s="4" t="s">
        <v>76</v>
      </c>
      <c r="D30" s="4" t="s">
        <v>61</v>
      </c>
      <c r="E30" s="6">
        <v>381.01815699999997</v>
      </c>
      <c r="F30" s="6">
        <v>1.7187349999999999</v>
      </c>
      <c r="G30" s="6">
        <v>7.8072509999999999</v>
      </c>
      <c r="H30" s="6">
        <v>19.278198</v>
      </c>
      <c r="I30" s="6">
        <v>191.159504</v>
      </c>
      <c r="J30" s="6">
        <v>14.8992</v>
      </c>
      <c r="K30" s="6">
        <v>24.391095</v>
      </c>
      <c r="L30" s="6">
        <v>15.274184999999999</v>
      </c>
      <c r="M30" s="6">
        <v>100</v>
      </c>
      <c r="N30" s="6">
        <v>6.4899880000000003</v>
      </c>
      <c r="O30" s="6">
        <v>24.179379999999998</v>
      </c>
      <c r="P30" s="6">
        <v>-17.689392000000002</v>
      </c>
      <c r="Q30" s="7">
        <v>30</v>
      </c>
      <c r="R30" s="6">
        <v>65.557333999999997</v>
      </c>
      <c r="S30" s="6">
        <v>1987.2279510000001</v>
      </c>
      <c r="T30" s="6">
        <v>1654.1709510000001</v>
      </c>
      <c r="U30" s="6">
        <v>1399.150985</v>
      </c>
      <c r="V30" s="6">
        <v>1200.27746</v>
      </c>
    </row>
    <row r="31" spans="1:22" x14ac:dyDescent="0.35">
      <c r="A31" s="5">
        <v>46022</v>
      </c>
      <c r="B31" s="4" t="s">
        <v>77</v>
      </c>
      <c r="C31" s="4" t="s">
        <v>78</v>
      </c>
      <c r="D31" s="4" t="s">
        <v>79</v>
      </c>
      <c r="E31" s="6">
        <v>151.28356700000001</v>
      </c>
      <c r="F31" s="6">
        <v>5.0658260000000004</v>
      </c>
      <c r="G31" s="6">
        <v>6.1518800000000002</v>
      </c>
      <c r="H31" s="6">
        <v>1.1569940000000001</v>
      </c>
      <c r="I31" s="6">
        <v>129.36952400000001</v>
      </c>
      <c r="J31" s="6">
        <v>3.5584060000000002</v>
      </c>
      <c r="K31" s="6">
        <v>6.7258550000000001</v>
      </c>
      <c r="L31" s="6">
        <v>15.672769000000001</v>
      </c>
      <c r="M31" s="6">
        <v>0</v>
      </c>
      <c r="N31" s="6">
        <v>-16.417686</v>
      </c>
      <c r="O31" s="6">
        <v>0</v>
      </c>
      <c r="P31" s="6">
        <v>-16.417686</v>
      </c>
      <c r="Q31" s="7">
        <v>26.5</v>
      </c>
      <c r="R31" s="6">
        <v>14.943046000000001</v>
      </c>
      <c r="S31" s="6">
        <v>-233.28851800000001</v>
      </c>
      <c r="T31" s="6">
        <v>-217.523054</v>
      </c>
      <c r="U31" s="6">
        <v>-202.85452900000001</v>
      </c>
      <c r="V31" s="6">
        <v>-189.30016900000001</v>
      </c>
    </row>
    <row r="32" spans="1:22" x14ac:dyDescent="0.35">
      <c r="A32" s="5">
        <v>46022</v>
      </c>
      <c r="B32" s="4" t="s">
        <v>80</v>
      </c>
      <c r="C32" s="4" t="s">
        <v>81</v>
      </c>
      <c r="D32" s="4" t="s">
        <v>61</v>
      </c>
      <c r="E32" s="6">
        <v>579.48695499999997</v>
      </c>
      <c r="F32" s="6">
        <v>24.16452</v>
      </c>
      <c r="G32" s="6">
        <v>37.749451000000001</v>
      </c>
      <c r="H32" s="6">
        <v>26.288011999999998</v>
      </c>
      <c r="I32" s="6">
        <v>274.87598200000002</v>
      </c>
      <c r="J32" s="6">
        <v>22.690944000000002</v>
      </c>
      <c r="K32" s="6">
        <v>-4.4720940000000002</v>
      </c>
      <c r="L32" s="6">
        <v>23.870550000000001</v>
      </c>
      <c r="M32" s="6">
        <v>205.01238000000001</v>
      </c>
      <c r="N32" s="6">
        <v>-30.692789999999999</v>
      </c>
      <c r="O32" s="6">
        <v>39.446756999999998</v>
      </c>
      <c r="P32" s="6">
        <v>-70.139546999999993</v>
      </c>
      <c r="Q32" s="7">
        <v>30</v>
      </c>
      <c r="R32" s="6">
        <v>62.228858000000002</v>
      </c>
      <c r="S32" s="6">
        <v>2299.3465740000001</v>
      </c>
      <c r="T32" s="6">
        <v>1890.7997479999999</v>
      </c>
      <c r="U32" s="6">
        <v>1577.5302380000001</v>
      </c>
      <c r="V32" s="6">
        <v>1333.115442</v>
      </c>
    </row>
    <row r="33" spans="1:22" x14ac:dyDescent="0.35">
      <c r="A33" s="5">
        <v>46022</v>
      </c>
      <c r="B33" s="4" t="s">
        <v>151</v>
      </c>
      <c r="C33" s="4" t="s">
        <v>152</v>
      </c>
      <c r="D33" s="4" t="s">
        <v>66</v>
      </c>
      <c r="E33" s="6">
        <v>120.776403</v>
      </c>
      <c r="F33" s="6">
        <v>0.421991</v>
      </c>
      <c r="G33" s="6">
        <v>0</v>
      </c>
      <c r="H33" s="6">
        <v>10.961574000000001</v>
      </c>
      <c r="I33" s="6">
        <v>66.684082000000004</v>
      </c>
      <c r="J33" s="6">
        <v>9.1962499999999991</v>
      </c>
      <c r="K33" s="6">
        <v>-0.23685999999999999</v>
      </c>
      <c r="L33" s="6">
        <v>3.3335020000000002</v>
      </c>
      <c r="M33" s="6">
        <v>0</v>
      </c>
      <c r="N33" s="6">
        <v>30.415863999999999</v>
      </c>
      <c r="O33" s="6">
        <v>5.6151920000000004</v>
      </c>
      <c r="P33" s="6">
        <v>24.800671999999999</v>
      </c>
      <c r="Q33" s="7">
        <v>25</v>
      </c>
      <c r="R33" s="6">
        <v>11.051739</v>
      </c>
      <c r="S33" s="6">
        <v>265.75358699999998</v>
      </c>
      <c r="T33" s="6">
        <v>225.24307400000001</v>
      </c>
      <c r="U33" s="6">
        <v>194.15899200000001</v>
      </c>
      <c r="V33" s="6">
        <v>169.84734499999999</v>
      </c>
    </row>
    <row r="34" spans="1:22" x14ac:dyDescent="0.35">
      <c r="A34" s="5">
        <v>46022</v>
      </c>
      <c r="B34" s="4" t="s">
        <v>153</v>
      </c>
      <c r="C34" s="4" t="s">
        <v>154</v>
      </c>
      <c r="D34" s="4" t="s">
        <v>66</v>
      </c>
      <c r="E34" s="6">
        <v>97.586710999999994</v>
      </c>
      <c r="F34" s="6">
        <v>0.34661199999999998</v>
      </c>
      <c r="G34" s="6">
        <v>0</v>
      </c>
      <c r="H34" s="6">
        <v>8.8738209999999995</v>
      </c>
      <c r="I34" s="6">
        <v>54.883876999999998</v>
      </c>
      <c r="J34" s="6">
        <v>8.2308470000000007</v>
      </c>
      <c r="K34" s="6">
        <v>-0.191381</v>
      </c>
      <c r="L34" s="6">
        <v>2.7436159999999998</v>
      </c>
      <c r="M34" s="6">
        <v>0</v>
      </c>
      <c r="N34" s="6">
        <v>22.699318999999999</v>
      </c>
      <c r="O34" s="6">
        <v>4.5900869999999996</v>
      </c>
      <c r="P34" s="6">
        <v>18.109231999999999</v>
      </c>
      <c r="Q34" s="7">
        <v>25</v>
      </c>
      <c r="R34" s="6">
        <v>6.8912040000000001</v>
      </c>
      <c r="S34" s="6">
        <v>193.86597900000001</v>
      </c>
      <c r="T34" s="6">
        <v>164.31652800000001</v>
      </c>
      <c r="U34" s="6">
        <v>141.64281700000001</v>
      </c>
      <c r="V34" s="6">
        <v>123.90901599999999</v>
      </c>
    </row>
    <row r="35" spans="1:22" x14ac:dyDescent="0.35">
      <c r="A35" s="5">
        <v>46022</v>
      </c>
      <c r="B35" s="4" t="s">
        <v>82</v>
      </c>
      <c r="C35" s="4" t="s">
        <v>83</v>
      </c>
      <c r="D35" s="4" t="s">
        <v>48</v>
      </c>
      <c r="E35" s="6">
        <v>109.007446</v>
      </c>
      <c r="F35" s="6">
        <v>14.806647999999999</v>
      </c>
      <c r="G35" s="6">
        <v>7.6781249999999996</v>
      </c>
      <c r="H35" s="6">
        <v>2.2061600000000001</v>
      </c>
      <c r="I35" s="6">
        <v>46.472862999999997</v>
      </c>
      <c r="J35" s="6">
        <v>22.156874999999999</v>
      </c>
      <c r="K35" s="6">
        <v>-0.201964</v>
      </c>
      <c r="L35" s="6">
        <v>2.1937500000000001</v>
      </c>
      <c r="M35" s="6">
        <v>5</v>
      </c>
      <c r="N35" s="6">
        <v>8.6949900000000007</v>
      </c>
      <c r="O35" s="6">
        <v>0</v>
      </c>
      <c r="P35" s="6">
        <v>8.6949900000000007</v>
      </c>
      <c r="Q35" s="7">
        <v>24.72</v>
      </c>
      <c r="R35" s="6">
        <v>24.169951999999999</v>
      </c>
      <c r="S35" s="6">
        <v>42.272402</v>
      </c>
      <c r="T35" s="6">
        <v>39.954976000000002</v>
      </c>
      <c r="U35" s="6">
        <v>37.836621000000001</v>
      </c>
      <c r="V35" s="6">
        <v>35.895527000000001</v>
      </c>
    </row>
    <row r="36" spans="1:22" x14ac:dyDescent="0.35">
      <c r="A36" s="5">
        <v>46022</v>
      </c>
      <c r="B36" s="4" t="s">
        <v>155</v>
      </c>
      <c r="C36" s="4" t="s">
        <v>156</v>
      </c>
      <c r="D36" s="4" t="s">
        <v>137</v>
      </c>
      <c r="E36" s="6">
        <v>223.289996</v>
      </c>
      <c r="F36" s="6">
        <v>2.67923</v>
      </c>
      <c r="G36" s="6">
        <v>1.35</v>
      </c>
      <c r="H36" s="6">
        <v>6.7786200000000001</v>
      </c>
      <c r="I36" s="6">
        <v>120.105377</v>
      </c>
      <c r="J36" s="6">
        <v>4.8042069999999999</v>
      </c>
      <c r="K36" s="6">
        <v>26.613319000000001</v>
      </c>
      <c r="L36" s="6">
        <v>3.5825459999999998</v>
      </c>
      <c r="M36" s="6">
        <v>300</v>
      </c>
      <c r="N36" s="6">
        <v>-242.62330299999999</v>
      </c>
      <c r="O36" s="6">
        <v>14.113197</v>
      </c>
      <c r="P36" s="6">
        <v>-256.73649999999998</v>
      </c>
      <c r="Q36" s="7">
        <v>25</v>
      </c>
      <c r="R36" s="6">
        <v>31.119772999999999</v>
      </c>
      <c r="S36" s="6">
        <v>1561.6127730000001</v>
      </c>
      <c r="T36" s="6">
        <v>1232.7998399999999</v>
      </c>
      <c r="U36" s="6">
        <v>984.48699999999997</v>
      </c>
      <c r="V36" s="6">
        <v>793.74938999999995</v>
      </c>
    </row>
    <row r="37" spans="1:22" x14ac:dyDescent="0.35">
      <c r="A37" s="5">
        <v>46022</v>
      </c>
      <c r="B37" s="4" t="s">
        <v>157</v>
      </c>
      <c r="C37" s="4" t="s">
        <v>158</v>
      </c>
      <c r="D37" s="4" t="s">
        <v>159</v>
      </c>
      <c r="E37" s="6">
        <v>781.471992</v>
      </c>
      <c r="F37" s="6">
        <v>5.0770530000000003</v>
      </c>
      <c r="G37" s="6">
        <v>3.0457139999999998</v>
      </c>
      <c r="H37" s="6">
        <v>125.88390699999999</v>
      </c>
      <c r="I37" s="6">
        <v>437.43530500000003</v>
      </c>
      <c r="J37" s="6">
        <v>46.327030999999998</v>
      </c>
      <c r="K37" s="6">
        <v>0.948627</v>
      </c>
      <c r="L37" s="6">
        <v>76.000290000000007</v>
      </c>
      <c r="M37" s="6">
        <v>40</v>
      </c>
      <c r="N37" s="6">
        <v>46.754066000000002</v>
      </c>
      <c r="O37" s="6">
        <v>3.1111749999999998</v>
      </c>
      <c r="P37" s="6">
        <v>43.642890999999999</v>
      </c>
      <c r="Q37" s="7">
        <v>25</v>
      </c>
      <c r="R37" s="6">
        <v>151.25828300000001</v>
      </c>
      <c r="S37" s="6">
        <v>438.89409799999999</v>
      </c>
      <c r="T37" s="6">
        <v>367.60315700000001</v>
      </c>
      <c r="U37" s="6">
        <v>312.818108</v>
      </c>
      <c r="V37" s="6">
        <v>270.11808100000002</v>
      </c>
    </row>
    <row r="38" spans="1:22" x14ac:dyDescent="0.35">
      <c r="A38" s="5">
        <v>46022</v>
      </c>
      <c r="B38" s="4" t="s">
        <v>157</v>
      </c>
      <c r="C38" s="4" t="s">
        <v>160</v>
      </c>
      <c r="D38" s="4" t="s">
        <v>159</v>
      </c>
      <c r="E38" s="6">
        <v>2365.5251800000001</v>
      </c>
      <c r="F38" s="6">
        <v>15.125114</v>
      </c>
      <c r="G38" s="6">
        <v>10.724805999999999</v>
      </c>
      <c r="H38" s="6">
        <v>352.26719800000001</v>
      </c>
      <c r="I38" s="6">
        <v>1368.44397</v>
      </c>
      <c r="J38" s="6">
        <v>137.41501700000001</v>
      </c>
      <c r="K38" s="6">
        <v>28.837109000000002</v>
      </c>
      <c r="L38" s="6">
        <v>205.26737900000001</v>
      </c>
      <c r="M38" s="6">
        <v>500</v>
      </c>
      <c r="N38" s="6">
        <v>-252.55541400000001</v>
      </c>
      <c r="O38" s="6">
        <v>43.850419000000002</v>
      </c>
      <c r="P38" s="6">
        <v>-296.40583299999997</v>
      </c>
      <c r="Q38" s="7">
        <v>27</v>
      </c>
      <c r="R38" s="6">
        <v>319.14011399999998</v>
      </c>
      <c r="S38" s="6">
        <v>2068.7584409999999</v>
      </c>
      <c r="T38" s="6">
        <v>1688.0817489999999</v>
      </c>
      <c r="U38" s="6">
        <v>1397.678075</v>
      </c>
      <c r="V38" s="6">
        <v>1172.063582</v>
      </c>
    </row>
    <row r="39" spans="1:22" x14ac:dyDescent="0.35">
      <c r="A39" s="5">
        <v>46022</v>
      </c>
      <c r="B39" s="4" t="s">
        <v>161</v>
      </c>
      <c r="C39" s="4" t="s">
        <v>162</v>
      </c>
      <c r="D39" s="4" t="s">
        <v>137</v>
      </c>
      <c r="E39" s="6">
        <v>475.92192899999998</v>
      </c>
      <c r="F39" s="6">
        <v>1.1370039999999999</v>
      </c>
      <c r="G39" s="6">
        <v>1.82</v>
      </c>
      <c r="H39" s="6">
        <v>38.527999999999999</v>
      </c>
      <c r="I39" s="6">
        <v>158.712299</v>
      </c>
      <c r="J39" s="6">
        <v>30.299952999999999</v>
      </c>
      <c r="K39" s="6">
        <v>14.125519000000001</v>
      </c>
      <c r="L39" s="6">
        <v>15.999974</v>
      </c>
      <c r="M39" s="6">
        <v>79</v>
      </c>
      <c r="N39" s="6">
        <v>136.29918000000001</v>
      </c>
      <c r="O39" s="6">
        <v>56.106177000000002</v>
      </c>
      <c r="P39" s="6">
        <v>80.193004000000002</v>
      </c>
      <c r="Q39" s="7">
        <v>25</v>
      </c>
      <c r="R39" s="6">
        <v>20.999966000000001</v>
      </c>
      <c r="S39" s="6">
        <v>1775.9706619999999</v>
      </c>
      <c r="T39" s="6">
        <v>1491.8961730000001</v>
      </c>
      <c r="U39" s="6">
        <v>1274.228145</v>
      </c>
      <c r="V39" s="6">
        <v>1104.2739549999999</v>
      </c>
    </row>
    <row r="40" spans="1:22" x14ac:dyDescent="0.35">
      <c r="A40" s="5">
        <v>46022</v>
      </c>
      <c r="B40" s="4" t="s">
        <v>163</v>
      </c>
      <c r="C40" s="4" t="s">
        <v>164</v>
      </c>
      <c r="D40" s="4" t="s">
        <v>137</v>
      </c>
      <c r="E40" s="6">
        <v>353.35642300000001</v>
      </c>
      <c r="F40" s="6">
        <v>3.5574810000000001</v>
      </c>
      <c r="G40" s="6">
        <v>2.2749999999999999</v>
      </c>
      <c r="H40" s="6">
        <v>10.727166</v>
      </c>
      <c r="I40" s="6">
        <v>211.32592</v>
      </c>
      <c r="J40" s="6">
        <v>21.191673000000002</v>
      </c>
      <c r="K40" s="6">
        <v>9.8634749999999993</v>
      </c>
      <c r="L40" s="6">
        <v>10.999981999999999</v>
      </c>
      <c r="M40" s="6">
        <v>55</v>
      </c>
      <c r="N40" s="6">
        <v>28.415725999999999</v>
      </c>
      <c r="O40" s="6">
        <v>29.181861000000001</v>
      </c>
      <c r="P40" s="6">
        <v>-0.76613500000000001</v>
      </c>
      <c r="Q40" s="7">
        <v>35</v>
      </c>
      <c r="R40" s="6">
        <v>20.902436999999999</v>
      </c>
      <c r="S40" s="6">
        <v>1133.3069149999999</v>
      </c>
      <c r="T40" s="6">
        <v>828.00435200000004</v>
      </c>
      <c r="U40" s="6">
        <v>608.55396699999994</v>
      </c>
      <c r="V40" s="6">
        <v>448.88196499999998</v>
      </c>
    </row>
    <row r="41" spans="1:22" x14ac:dyDescent="0.35">
      <c r="A41" s="5">
        <v>46022</v>
      </c>
      <c r="B41" s="4" t="s">
        <v>165</v>
      </c>
      <c r="C41" s="4" t="s">
        <v>166</v>
      </c>
      <c r="D41" s="4" t="s">
        <v>137</v>
      </c>
      <c r="E41" s="6">
        <v>24.810003999999999</v>
      </c>
      <c r="F41" s="6">
        <v>0.57701899999999995</v>
      </c>
      <c r="G41" s="6">
        <v>0.09</v>
      </c>
      <c r="H41" s="6">
        <v>0.75317999999999996</v>
      </c>
      <c r="I41" s="6">
        <v>13.612897999999999</v>
      </c>
      <c r="J41" s="6">
        <v>2.0419309999999999</v>
      </c>
      <c r="K41" s="6">
        <v>2.9120620000000002</v>
      </c>
      <c r="L41" s="6">
        <v>1.3612880000000001</v>
      </c>
      <c r="M41" s="6">
        <v>10</v>
      </c>
      <c r="N41" s="6">
        <v>-6.5383750000000003</v>
      </c>
      <c r="O41" s="6">
        <v>1.425519</v>
      </c>
      <c r="P41" s="6">
        <v>-7.9638929999999997</v>
      </c>
      <c r="Q41" s="7">
        <v>25</v>
      </c>
      <c r="R41" s="6">
        <v>2.0329009999999998</v>
      </c>
      <c r="S41" s="6">
        <v>-282.498176</v>
      </c>
      <c r="T41" s="6">
        <v>-527.52495099999999</v>
      </c>
      <c r="U41" s="6">
        <v>-687.64198999999996</v>
      </c>
      <c r="V41" s="6">
        <v>-789.67231100000004</v>
      </c>
    </row>
    <row r="42" spans="1:22" x14ac:dyDescent="0.35">
      <c r="A42" s="5">
        <v>46022</v>
      </c>
      <c r="B42" s="4" t="s">
        <v>167</v>
      </c>
      <c r="C42" s="4" t="s">
        <v>168</v>
      </c>
      <c r="D42" s="4" t="s">
        <v>169</v>
      </c>
      <c r="E42" s="6">
        <v>44.394361000000004</v>
      </c>
      <c r="F42" s="6">
        <v>0.92668600000000001</v>
      </c>
      <c r="G42" s="6">
        <v>0</v>
      </c>
      <c r="H42" s="6">
        <v>0</v>
      </c>
      <c r="I42" s="6">
        <v>30.265063000000001</v>
      </c>
      <c r="J42" s="6">
        <v>3.8693430000000002</v>
      </c>
      <c r="K42" s="6">
        <v>-0.91512899999999997</v>
      </c>
      <c r="L42" s="6">
        <v>7.1</v>
      </c>
      <c r="M42" s="6">
        <v>20.7</v>
      </c>
      <c r="N42" s="6">
        <v>-17.551601000000002</v>
      </c>
      <c r="O42" s="6">
        <v>0</v>
      </c>
      <c r="P42" s="6">
        <v>-17.551601000000002</v>
      </c>
      <c r="Q42" s="7">
        <v>27</v>
      </c>
      <c r="R42" s="6">
        <v>11.127255999999999</v>
      </c>
      <c r="S42" s="6">
        <v>-127.711884</v>
      </c>
      <c r="T42" s="6">
        <v>-122.243162</v>
      </c>
      <c r="U42" s="6">
        <v>-116.406893</v>
      </c>
      <c r="V42" s="6">
        <v>-110.519418</v>
      </c>
    </row>
    <row r="43" spans="1:22" x14ac:dyDescent="0.35">
      <c r="A43" s="5">
        <v>46022</v>
      </c>
      <c r="B43" s="4" t="s">
        <v>170</v>
      </c>
      <c r="C43" s="4" t="s">
        <v>171</v>
      </c>
      <c r="D43" s="4" t="s">
        <v>137</v>
      </c>
      <c r="E43" s="6">
        <v>62.025002999999998</v>
      </c>
      <c r="F43" s="6">
        <v>1.424976</v>
      </c>
      <c r="G43" s="6">
        <v>0.17499999999999999</v>
      </c>
      <c r="H43" s="6">
        <v>2.447835</v>
      </c>
      <c r="I43" s="6">
        <v>31.798003999999999</v>
      </c>
      <c r="J43" s="6">
        <v>2.5818680000000001</v>
      </c>
      <c r="K43" s="6">
        <v>7.4652349999999998</v>
      </c>
      <c r="L43" s="6">
        <v>2.2258559999999998</v>
      </c>
      <c r="M43" s="6">
        <v>80</v>
      </c>
      <c r="N43" s="6">
        <v>-66.093771000000004</v>
      </c>
      <c r="O43" s="6">
        <v>2.7880660000000002</v>
      </c>
      <c r="P43" s="6">
        <v>-68.881837000000004</v>
      </c>
      <c r="Q43" s="7">
        <v>25</v>
      </c>
      <c r="R43" s="6">
        <v>12.445058</v>
      </c>
      <c r="S43" s="6">
        <v>722.89871300000004</v>
      </c>
      <c r="T43" s="6">
        <v>590.63904000000002</v>
      </c>
      <c r="U43" s="6">
        <v>489.84302600000001</v>
      </c>
      <c r="V43" s="6">
        <v>411.619215</v>
      </c>
    </row>
    <row r="44" spans="1:22" x14ac:dyDescent="0.35">
      <c r="A44" s="5">
        <v>46022</v>
      </c>
      <c r="B44" s="4" t="s">
        <v>172</v>
      </c>
      <c r="C44" s="4" t="s">
        <v>173</v>
      </c>
      <c r="D44" s="4" t="s">
        <v>66</v>
      </c>
      <c r="E44" s="6">
        <v>513.61425499999996</v>
      </c>
      <c r="F44" s="6">
        <v>5.7657179999999997</v>
      </c>
      <c r="G44" s="6">
        <v>0</v>
      </c>
      <c r="H44" s="6">
        <v>46.547772000000002</v>
      </c>
      <c r="I44" s="6">
        <v>288.89977900000002</v>
      </c>
      <c r="J44" s="6">
        <v>25.995501999999998</v>
      </c>
      <c r="K44" s="6">
        <v>6.0262830000000003</v>
      </c>
      <c r="L44" s="6">
        <v>14.441946</v>
      </c>
      <c r="M44" s="6">
        <v>0</v>
      </c>
      <c r="N44" s="6">
        <v>125.93725499999999</v>
      </c>
      <c r="O44" s="6">
        <v>26.500205000000001</v>
      </c>
      <c r="P44" s="6">
        <v>99.437049999999999</v>
      </c>
      <c r="Q44" s="7">
        <v>25</v>
      </c>
      <c r="R44" s="6">
        <v>40.404662999999999</v>
      </c>
      <c r="S44" s="6">
        <v>1134.4764130000001</v>
      </c>
      <c r="T44" s="6">
        <v>960.66540399999997</v>
      </c>
      <c r="U44" s="6">
        <v>827.322002</v>
      </c>
      <c r="V44" s="6">
        <v>723.05165399999998</v>
      </c>
    </row>
    <row r="45" spans="1:22" x14ac:dyDescent="0.35">
      <c r="A45" s="5">
        <v>46022</v>
      </c>
      <c r="B45" s="4" t="s">
        <v>84</v>
      </c>
      <c r="C45" s="4" t="s">
        <v>85</v>
      </c>
      <c r="D45" s="4" t="s">
        <v>61</v>
      </c>
      <c r="E45" s="6">
        <v>618.72472500000003</v>
      </c>
      <c r="F45" s="6">
        <v>75.671778000000003</v>
      </c>
      <c r="G45" s="6">
        <v>17.801952</v>
      </c>
      <c r="H45" s="6">
        <v>228.478981</v>
      </c>
      <c r="I45" s="6">
        <v>458.495</v>
      </c>
      <c r="J45" s="6">
        <v>18.246746000000002</v>
      </c>
      <c r="K45" s="6">
        <v>-251.298498</v>
      </c>
      <c r="L45" s="6">
        <v>45.616863000000002</v>
      </c>
      <c r="M45" s="6">
        <v>0</v>
      </c>
      <c r="N45" s="6">
        <v>25.711905000000002</v>
      </c>
      <c r="O45" s="6">
        <v>0</v>
      </c>
      <c r="P45" s="6">
        <v>25.711905000000002</v>
      </c>
      <c r="Q45" s="7">
        <v>30</v>
      </c>
      <c r="R45" s="6">
        <v>91.404714999999996</v>
      </c>
      <c r="S45" s="6">
        <v>-2186.2217420000002</v>
      </c>
      <c r="T45" s="6">
        <v>-1824.7061819999999</v>
      </c>
      <c r="U45" s="6">
        <v>-1547.533688</v>
      </c>
      <c r="V45" s="6">
        <v>-1331.0541109999999</v>
      </c>
    </row>
    <row r="46" spans="1:22" x14ac:dyDescent="0.35">
      <c r="A46" s="5">
        <v>46022</v>
      </c>
      <c r="B46" s="4" t="s">
        <v>86</v>
      </c>
      <c r="C46" s="4" t="s">
        <v>87</v>
      </c>
      <c r="D46" s="4" t="s">
        <v>66</v>
      </c>
      <c r="E46" s="6">
        <v>10.507047999999999</v>
      </c>
      <c r="F46" s="6">
        <v>0.71441600000000005</v>
      </c>
      <c r="G46" s="6">
        <v>0</v>
      </c>
      <c r="H46" s="6">
        <v>0.47845799999999999</v>
      </c>
      <c r="I46" s="6">
        <v>14.045866999999999</v>
      </c>
      <c r="J46" s="6">
        <v>0.561832</v>
      </c>
      <c r="K46" s="6">
        <v>0.51401200000000002</v>
      </c>
      <c r="L46" s="6">
        <v>8.4275000000000003E-2</v>
      </c>
      <c r="M46" s="6">
        <v>112.38322700000001</v>
      </c>
      <c r="N46" s="6">
        <v>-118.27503900000001</v>
      </c>
      <c r="O46" s="6">
        <v>0</v>
      </c>
      <c r="P46" s="6">
        <v>-118.27503900000001</v>
      </c>
      <c r="Q46" s="7">
        <v>25</v>
      </c>
      <c r="R46" s="6">
        <v>0.47322199999999998</v>
      </c>
      <c r="S46" s="6">
        <v>-55.903576000000001</v>
      </c>
      <c r="T46" s="6">
        <v>-69.865782999999993</v>
      </c>
      <c r="U46" s="6">
        <v>-81.191835999999995</v>
      </c>
      <c r="V46" s="6">
        <v>-90.355051000000003</v>
      </c>
    </row>
    <row r="47" spans="1:22" x14ac:dyDescent="0.35">
      <c r="A47" s="5">
        <v>46022</v>
      </c>
      <c r="B47" s="4" t="s">
        <v>174</v>
      </c>
      <c r="C47" s="4" t="s">
        <v>175</v>
      </c>
      <c r="D47" s="4" t="s">
        <v>66</v>
      </c>
      <c r="E47" s="6">
        <v>49.117462000000003</v>
      </c>
      <c r="F47" s="6">
        <v>5.0115679999999996</v>
      </c>
      <c r="G47" s="6">
        <v>0</v>
      </c>
      <c r="H47" s="6">
        <v>2.236656</v>
      </c>
      <c r="I47" s="6">
        <v>31.823269</v>
      </c>
      <c r="J47" s="6">
        <v>5.3836979999999999</v>
      </c>
      <c r="K47" s="6">
        <v>-0.18056700000000001</v>
      </c>
      <c r="L47" s="6">
        <v>0.184867</v>
      </c>
      <c r="M47" s="6">
        <v>1.1238319999999999</v>
      </c>
      <c r="N47" s="6">
        <v>3.5341399999999998</v>
      </c>
      <c r="O47" s="6">
        <v>0</v>
      </c>
      <c r="P47" s="6">
        <v>3.5341399999999998</v>
      </c>
      <c r="Q47" s="7">
        <v>24.72</v>
      </c>
      <c r="R47" s="6">
        <v>12.81645</v>
      </c>
      <c r="S47" s="6">
        <v>35.818556999999998</v>
      </c>
      <c r="T47" s="6">
        <v>32.666936</v>
      </c>
      <c r="U47" s="6">
        <v>29.915358999999999</v>
      </c>
      <c r="V47" s="6">
        <v>27.502230000000001</v>
      </c>
    </row>
    <row r="48" spans="1:22" x14ac:dyDescent="0.35">
      <c r="A48" s="5">
        <v>46022</v>
      </c>
      <c r="B48" s="4" t="s">
        <v>88</v>
      </c>
      <c r="C48" s="4" t="s">
        <v>89</v>
      </c>
      <c r="D48" s="4" t="s">
        <v>66</v>
      </c>
      <c r="E48" s="6">
        <v>26.570927000000001</v>
      </c>
      <c r="F48" s="6">
        <v>1.849297</v>
      </c>
      <c r="G48" s="6">
        <v>0</v>
      </c>
      <c r="H48" s="6">
        <v>1.9739139999999999</v>
      </c>
      <c r="I48" s="6">
        <v>13.880137</v>
      </c>
      <c r="J48" s="6">
        <v>13.443693</v>
      </c>
      <c r="K48" s="6">
        <v>-4.0862000000000002E-2</v>
      </c>
      <c r="L48" s="6">
        <v>1.387974</v>
      </c>
      <c r="M48" s="6">
        <v>0</v>
      </c>
      <c r="N48" s="6">
        <v>-5.9232250000000004</v>
      </c>
      <c r="O48" s="6">
        <v>0</v>
      </c>
      <c r="P48" s="6">
        <v>-5.9232250000000004</v>
      </c>
      <c r="Q48" s="7">
        <v>25</v>
      </c>
      <c r="R48" s="6">
        <v>2.2182590000000002</v>
      </c>
      <c r="S48" s="6">
        <v>-68.350081000000003</v>
      </c>
      <c r="T48" s="6">
        <v>-57.595160999999997</v>
      </c>
      <c r="U48" s="6">
        <v>-49.387963999999997</v>
      </c>
      <c r="V48" s="6">
        <v>-43.002992999999996</v>
      </c>
    </row>
    <row r="49" spans="1:22" x14ac:dyDescent="0.35">
      <c r="A49" s="5">
        <v>46022</v>
      </c>
      <c r="B49" s="4" t="s">
        <v>176</v>
      </c>
      <c r="C49" s="4" t="s">
        <v>177</v>
      </c>
      <c r="D49" s="4" t="s">
        <v>66</v>
      </c>
      <c r="E49" s="6">
        <v>71.905996000000002</v>
      </c>
      <c r="F49" s="6">
        <v>1.5216350000000001</v>
      </c>
      <c r="G49" s="6">
        <v>0</v>
      </c>
      <c r="H49" s="6">
        <v>5.8211110000000001</v>
      </c>
      <c r="I49" s="6">
        <v>35.854971999999997</v>
      </c>
      <c r="J49" s="6">
        <v>10.754225999999999</v>
      </c>
      <c r="K49" s="6">
        <v>8.7481139999999993</v>
      </c>
      <c r="L49" s="6">
        <v>4.3016909999999999</v>
      </c>
      <c r="M49" s="6">
        <v>25</v>
      </c>
      <c r="N49" s="6">
        <v>-20.095752999999998</v>
      </c>
      <c r="O49" s="6">
        <v>1.0284500000000001</v>
      </c>
      <c r="P49" s="6">
        <v>-21.124203000000001</v>
      </c>
      <c r="Q49" s="7">
        <v>25</v>
      </c>
      <c r="R49" s="6">
        <v>13.840249999999999</v>
      </c>
      <c r="S49" s="6">
        <v>154.585373</v>
      </c>
      <c r="T49" s="6">
        <v>123.311261</v>
      </c>
      <c r="U49" s="6">
        <v>99.594915</v>
      </c>
      <c r="V49" s="6">
        <v>81.293768</v>
      </c>
    </row>
  </sheetData>
  <mergeCells count="23">
    <mergeCell ref="T6:T9"/>
    <mergeCell ref="U6:U9"/>
    <mergeCell ref="V6:V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63"/>
  <sheetViews>
    <sheetView tabSelected="1" topLeftCell="C1" zoomScale="46" zoomScaleNormal="46" workbookViewId="0">
      <selection activeCell="M6" sqref="M6:M9"/>
    </sheetView>
  </sheetViews>
  <sheetFormatPr defaultRowHeight="14.5" x14ac:dyDescent="0.35"/>
  <cols>
    <col min="1" max="1" width="48.54296875" customWidth="1"/>
    <col min="2" max="2" width="30.1796875" customWidth="1"/>
    <col min="3" max="3" width="16.1796875" customWidth="1"/>
    <col min="4" max="4" width="46.7265625" customWidth="1"/>
    <col min="5" max="5" width="18.54296875" customWidth="1"/>
    <col min="6" max="6" width="16.1796875" customWidth="1"/>
    <col min="7" max="7" width="26.453125" customWidth="1"/>
    <col min="8" max="8" width="11.54296875" bestFit="1" customWidth="1"/>
    <col min="10" max="10" width="19.6328125" customWidth="1"/>
    <col min="11" max="11" width="18.1796875" customWidth="1"/>
    <col min="12" max="12" width="16.6328125" customWidth="1"/>
    <col min="13" max="13" width="12.6328125" customWidth="1"/>
    <col min="14" max="14" width="19.6328125" customWidth="1"/>
  </cols>
  <sheetData>
    <row r="1" spans="1:19" ht="40" customHeight="1" x14ac:dyDescent="0.35">
      <c r="A1" s="12"/>
      <c r="B1" s="12"/>
      <c r="C1" s="12"/>
      <c r="D1" s="12"/>
    </row>
    <row r="2" spans="1:19" ht="30" customHeight="1" x14ac:dyDescent="0.45">
      <c r="A2" s="1" t="s">
        <v>257</v>
      </c>
      <c r="B2" s="2"/>
      <c r="C2" s="2"/>
      <c r="D2" s="2"/>
      <c r="E2" s="2"/>
      <c r="F2" s="2"/>
      <c r="G2" s="2"/>
      <c r="H2" s="2"/>
      <c r="I2" s="2"/>
      <c r="J2" s="2"/>
      <c r="K2" s="2"/>
      <c r="L2" s="2"/>
    </row>
    <row r="3" spans="1:19" x14ac:dyDescent="0.35">
      <c r="A3" s="3" t="s">
        <v>0</v>
      </c>
    </row>
    <row r="4" spans="1:19" x14ac:dyDescent="0.35">
      <c r="A4" s="3" t="s">
        <v>1</v>
      </c>
    </row>
    <row r="5" spans="1:19" x14ac:dyDescent="0.35">
      <c r="A5" s="4"/>
    </row>
    <row r="6" spans="1:19" x14ac:dyDescent="0.35">
      <c r="A6" s="13" t="s">
        <v>3</v>
      </c>
      <c r="B6" s="13" t="s">
        <v>4</v>
      </c>
      <c r="C6" s="13" t="s">
        <v>5</v>
      </c>
      <c r="D6" s="13" t="s">
        <v>217</v>
      </c>
      <c r="E6" s="14" t="s">
        <v>218</v>
      </c>
      <c r="F6" s="14" t="s">
        <v>219</v>
      </c>
      <c r="G6" s="13" t="s">
        <v>258</v>
      </c>
      <c r="H6" s="13" t="s">
        <v>259</v>
      </c>
      <c r="I6" s="13" t="s">
        <v>260</v>
      </c>
      <c r="J6" s="13" t="s">
        <v>261</v>
      </c>
      <c r="K6" s="13" t="s">
        <v>262</v>
      </c>
      <c r="L6" s="13" t="s">
        <v>263</v>
      </c>
      <c r="M6" s="13" t="s">
        <v>264</v>
      </c>
      <c r="N6" s="13" t="s">
        <v>265</v>
      </c>
      <c r="O6" s="13" t="s">
        <v>266</v>
      </c>
      <c r="P6" s="13" t="s">
        <v>267</v>
      </c>
      <c r="Q6" s="13" t="s">
        <v>268</v>
      </c>
      <c r="R6" s="13" t="s">
        <v>269</v>
      </c>
      <c r="S6" s="13" t="s">
        <v>270</v>
      </c>
    </row>
    <row r="7" spans="1:19" x14ac:dyDescent="0.35">
      <c r="A7" s="13"/>
      <c r="B7" s="13"/>
      <c r="C7" s="13"/>
      <c r="D7" s="13"/>
      <c r="E7" s="14"/>
      <c r="F7" s="14"/>
      <c r="G7" s="15"/>
      <c r="H7" s="13"/>
      <c r="I7" s="13"/>
      <c r="J7" s="13"/>
      <c r="K7" s="13"/>
      <c r="L7" s="13"/>
      <c r="M7" s="13"/>
      <c r="N7" s="13"/>
      <c r="O7" s="13"/>
      <c r="P7" s="13"/>
      <c r="Q7" s="13"/>
      <c r="R7" s="13"/>
      <c r="S7" s="13"/>
    </row>
    <row r="8" spans="1:19" x14ac:dyDescent="0.35">
      <c r="A8" s="13"/>
      <c r="B8" s="13"/>
      <c r="C8" s="13"/>
      <c r="D8" s="13"/>
      <c r="E8" s="14"/>
      <c r="F8" s="14"/>
      <c r="G8" s="15"/>
      <c r="H8" s="13"/>
      <c r="I8" s="13"/>
      <c r="J8" s="13"/>
      <c r="K8" s="13"/>
      <c r="L8" s="13"/>
      <c r="M8" s="13"/>
      <c r="N8" s="13"/>
      <c r="O8" s="13"/>
      <c r="P8" s="13"/>
      <c r="Q8" s="13"/>
      <c r="R8" s="13"/>
      <c r="S8" s="13"/>
    </row>
    <row r="9" spans="1:19" x14ac:dyDescent="0.35">
      <c r="A9" s="13"/>
      <c r="B9" s="13"/>
      <c r="C9" s="13"/>
      <c r="D9" s="13"/>
      <c r="E9" s="14"/>
      <c r="F9" s="14"/>
      <c r="G9" s="15"/>
      <c r="H9" s="13"/>
      <c r="I9" s="13"/>
      <c r="J9" s="13"/>
      <c r="K9" s="13"/>
      <c r="L9" s="13"/>
      <c r="M9" s="13"/>
      <c r="N9" s="13"/>
      <c r="O9" s="13"/>
      <c r="P9" s="13"/>
      <c r="Q9" s="13"/>
      <c r="R9" s="13"/>
      <c r="S9" s="13"/>
    </row>
    <row r="10" spans="1:19" x14ac:dyDescent="0.35">
      <c r="A10" s="5">
        <v>46022</v>
      </c>
      <c r="B10" s="4" t="s">
        <v>43</v>
      </c>
      <c r="C10" s="4" t="s">
        <v>44</v>
      </c>
      <c r="D10" s="4" t="s">
        <v>220</v>
      </c>
      <c r="E10" s="8">
        <v>7139357</v>
      </c>
      <c r="F10" s="7">
        <v>100</v>
      </c>
      <c r="G10" s="9" t="str">
        <f>[1]!SNLData("243327", $C10, "OWNER_LIST")</f>
        <v>Grupo Mota  100%</v>
      </c>
      <c r="H10" s="9">
        <f>[1]!SNLData("243327", C10, "OWNER_SNL_INSTN_KEY", "Owner 1")</f>
        <v>7139357</v>
      </c>
      <c r="I10" s="9" t="str">
        <f>[1]!SNLData("243327", C10, "OWNER_SNL_INSTN_KEY", "Owner 2")</f>
        <v>NA</v>
      </c>
      <c r="J10" s="9" t="str">
        <f>_xll.SNL.Clients.Office.Excel.Functions.SPG(H10, "SP_ULT_PARENT_COMPANY_NAME")</f>
        <v/>
      </c>
      <c r="K10" s="9" t="str">
        <f>_xll.SNL.Clients.Office.Excel.Functions.SPG(H10, "SP_ULT_PARENT_COUNTRY")</f>
        <v/>
      </c>
      <c r="L10" s="9" t="str">
        <f>_xll.SNL.Clients.Office.Excel.Functions.SPG(H10, "SP_PARENT_COMPANY_NAME")</f>
        <v/>
      </c>
      <c r="M10" s="9" t="str">
        <f>_xll.SNL.Clients.Office.Excel.Functions.SPG(H10, "SP_PARENT_COUNTRY")</f>
        <v/>
      </c>
      <c r="N10" s="9" t="str">
        <f>_xll.SNL.Clients.Office.Excel.Functions.SPG(H10, "SP_COUNTRY_NAME")</f>
        <v>Portugal</v>
      </c>
      <c r="O10" s="9" t="str">
        <f>_xll.SNL.Clients.Office.Excel.Functions.SPG(I10, "SP_ULT_PARENT_COMPANY_NAME")</f>
        <v/>
      </c>
      <c r="P10" s="9" t="str">
        <f>_xll.SNL.Clients.Office.Excel.Functions.SPG(I10, "SP_ULT_PARENT_COUNTRY")</f>
        <v/>
      </c>
      <c r="Q10" s="9" t="str">
        <f>_xll.SNL.Clients.Office.Excel.Functions.SPG(I10, "SP_PARENT_COMPANY_NAME")</f>
        <v/>
      </c>
      <c r="R10" s="9" t="str">
        <f>_xll.SNL.Clients.Office.Excel.Functions.SPG(I10, "SP_PARENT_COUNTRY")</f>
        <v/>
      </c>
      <c r="S10" s="9" t="str">
        <f>_xll.SNL.Clients.Office.Excel.Functions.SPG(I10, "SP_COUNTRY_NAME")</f>
        <v>China</v>
      </c>
    </row>
    <row r="11" spans="1:19" ht="72.5" x14ac:dyDescent="0.35">
      <c r="A11" s="5">
        <v>46022</v>
      </c>
      <c r="B11" s="4" t="s">
        <v>46</v>
      </c>
      <c r="C11" s="4" t="s">
        <v>47</v>
      </c>
      <c r="D11" s="4" t="s">
        <v>221</v>
      </c>
      <c r="E11" s="8">
        <v>4353456</v>
      </c>
      <c r="F11" s="7">
        <v>13</v>
      </c>
      <c r="G11" s="9" t="str">
        <f>[1]!SNLData("243327", $C11, "OWNER_LIST")</f>
        <v>Private Interest (Venturer) 13%; Zhejiang Huayou Cobalt Co., Ltd (Venturer) 87%</v>
      </c>
      <c r="H11" s="9">
        <f>[1]!SNLData("243327", C11, "OWNER_SNL_INSTN_KEY", "Owner 1")</f>
        <v>4649906</v>
      </c>
      <c r="I11" s="9">
        <f>[1]!SNLData("243327", C11, "OWNER_SNL_INSTN_KEY", "Owner 2")</f>
        <v>4353456</v>
      </c>
      <c r="J11" s="9" t="str">
        <f>_xll.SNL.Clients.Office.Excel.Functions.SPG(H11, "SP_ULT_PARENT_COMPANY_NAME")</f>
        <v>Zhejiang Huayou Holding Group Co., Ltd.</v>
      </c>
      <c r="K11" s="9" t="str">
        <f>_xll.SNL.Clients.Office.Excel.Functions.SPG(H11, "SP_ULT_PARENT_COUNTRY")</f>
        <v>China</v>
      </c>
      <c r="L11" s="9" t="str">
        <f>_xll.SNL.Clients.Office.Excel.Functions.SPG(H11, "SP_PARENT_COMPANY_NAME")</f>
        <v>Zhejiang Huayou Holding Group Co., Ltd.</v>
      </c>
      <c r="M11" s="9" t="str">
        <f>_xll.SNL.Clients.Office.Excel.Functions.SPG(H11, "SP_PARENT_COUNTRY")</f>
        <v>China</v>
      </c>
      <c r="N11" s="9" t="str">
        <f>_xll.SNL.Clients.Office.Excel.Functions.SPG(H11, "SP_COUNTRY_NAME")</f>
        <v>China</v>
      </c>
      <c r="O11" s="9" t="str">
        <f>_xll.SNL.Clients.Office.Excel.Functions.SPG(I11, "SP_ULT_PARENT_COMPANY_NAME")</f>
        <v/>
      </c>
      <c r="P11" s="9" t="str">
        <f>_xll.SNL.Clients.Office.Excel.Functions.SPG(I11, "SP_ULT_PARENT_COUNTRY")</f>
        <v/>
      </c>
      <c r="Q11" s="9" t="str">
        <f>_xll.SNL.Clients.Office.Excel.Functions.SPG(I11, "SP_PARENT_COMPANY_NAME")</f>
        <v/>
      </c>
      <c r="R11" s="9" t="str">
        <f>_xll.SNL.Clients.Office.Excel.Functions.SPG(I11, "SP_PARENT_COUNTRY")</f>
        <v/>
      </c>
      <c r="S11" s="9" t="str">
        <f>_xll.SNL.Clients.Office.Excel.Functions.SPG(I11, "SP_COUNTRY_NAME")</f>
        <v>China</v>
      </c>
    </row>
    <row r="12" spans="1:19" ht="72.5" x14ac:dyDescent="0.35">
      <c r="A12" s="5">
        <v>46022</v>
      </c>
      <c r="B12" s="4" t="s">
        <v>46</v>
      </c>
      <c r="C12" s="4" t="s">
        <v>47</v>
      </c>
      <c r="D12" s="4" t="s">
        <v>222</v>
      </c>
      <c r="E12" s="8">
        <v>4649906</v>
      </c>
      <c r="F12" s="7">
        <v>87</v>
      </c>
      <c r="G12" s="9" t="str">
        <f>[1]!SNLData("243327", $C12, "OWNER_LIST")</f>
        <v>Private Interest (Venturer) 13%; Zhejiang Huayou Cobalt Co., Ltd (Venturer) 87%</v>
      </c>
      <c r="H12" s="9">
        <f>[1]!SNLData("243327", C12, "OWNER_SNL_INSTN_KEY", "Owner 1")</f>
        <v>4649906</v>
      </c>
      <c r="I12" s="9">
        <f>[1]!SNLData("243327", C12, "OWNER_SNL_INSTN_KEY", "Owner 2")</f>
        <v>4353456</v>
      </c>
      <c r="J12" s="9" t="str">
        <f>_xll.SNL.Clients.Office.Excel.Functions.SPG(H12, "SP_ULT_PARENT_COMPANY_NAME")</f>
        <v>Zhejiang Huayou Holding Group Co., Ltd.</v>
      </c>
      <c r="K12" s="9" t="str">
        <f>_xll.SNL.Clients.Office.Excel.Functions.SPG(H12, "SP_ULT_PARENT_COUNTRY")</f>
        <v>China</v>
      </c>
      <c r="L12" s="9" t="str">
        <f>_xll.SNL.Clients.Office.Excel.Functions.SPG(H12, "SP_PARENT_COMPANY_NAME")</f>
        <v>Zhejiang Huayou Holding Group Co., Ltd.</v>
      </c>
      <c r="M12" s="9" t="str">
        <f>_xll.SNL.Clients.Office.Excel.Functions.SPG(H12, "SP_PARENT_COUNTRY")</f>
        <v>China</v>
      </c>
      <c r="N12" s="9" t="str">
        <f>_xll.SNL.Clients.Office.Excel.Functions.SPG(H12, "SP_COUNTRY_NAME")</f>
        <v>China</v>
      </c>
      <c r="O12" s="9" t="str">
        <f>_xll.SNL.Clients.Office.Excel.Functions.SPG(I12, "SP_ULT_PARENT_COMPANY_NAME")</f>
        <v/>
      </c>
      <c r="P12" s="9" t="str">
        <f>_xll.SNL.Clients.Office.Excel.Functions.SPG(I12, "SP_ULT_PARENT_COUNTRY")</f>
        <v/>
      </c>
      <c r="Q12" s="9" t="str">
        <f>_xll.SNL.Clients.Office.Excel.Functions.SPG(I12, "SP_PARENT_COMPANY_NAME")</f>
        <v/>
      </c>
      <c r="R12" s="9" t="str">
        <f>_xll.SNL.Clients.Office.Excel.Functions.SPG(I12, "SP_PARENT_COUNTRY")</f>
        <v/>
      </c>
      <c r="S12" s="9" t="str">
        <f>_xll.SNL.Clients.Office.Excel.Functions.SPG(I12, "SP_COUNTRY_NAME")</f>
        <v>China</v>
      </c>
    </row>
    <row r="13" spans="1:19" ht="116" x14ac:dyDescent="0.35">
      <c r="A13" s="5">
        <v>46022</v>
      </c>
      <c r="B13" s="4" t="s">
        <v>49</v>
      </c>
      <c r="C13" s="4" t="s">
        <v>50</v>
      </c>
      <c r="D13" s="4" t="s">
        <v>223</v>
      </c>
      <c r="E13" s="8">
        <v>105829537</v>
      </c>
      <c r="F13" s="7">
        <v>100</v>
      </c>
      <c r="G13" s="9" t="str">
        <f>[1]!SNLData("243327", $C13, "OWNER_LIST")</f>
        <v>Bikita Minerals (PTY) Ltd  100%</v>
      </c>
      <c r="H13" s="9">
        <f>[1]!SNLData("243327", C13, "OWNER_SNL_INSTN_KEY", "Owner 1")</f>
        <v>105829537</v>
      </c>
      <c r="I13" s="9" t="str">
        <f>[1]!SNLData("243327", C13, "OWNER_SNL_INSTN_KEY", "Owner 2")</f>
        <v>NA</v>
      </c>
      <c r="J13" s="9" t="str">
        <f>_xll.SNL.Clients.Office.Excel.Functions.SPG(H13, "SP_ULT_PARENT_COMPANY_NAME")</f>
        <v>China Nonferrous Metals Mining Group Company Limited</v>
      </c>
      <c r="K13" s="9" t="str">
        <f>_xll.SNL.Clients.Office.Excel.Functions.SPG(H13, "SP_ULT_PARENT_COUNTRY")</f>
        <v>China</v>
      </c>
      <c r="L13" s="9" t="str">
        <f>_xll.SNL.Clients.Office.Excel.Functions.SPG(H13, "SP_PARENT_COMPANY_NAME")</f>
        <v>Sinomine International Exploration (Hong Kong) Co. Ltd.</v>
      </c>
      <c r="M13" s="9" t="str">
        <f>_xll.SNL.Clients.Office.Excel.Functions.SPG(H13, "SP_PARENT_COUNTRY")</f>
        <v>Hong Kong</v>
      </c>
      <c r="N13" s="9" t="str">
        <f>_xll.SNL.Clients.Office.Excel.Functions.SPG(H13, "SP_COUNTRY_NAME")</f>
        <v>Zimbabwe</v>
      </c>
      <c r="O13" s="9" t="str">
        <f>_xll.SNL.Clients.Office.Excel.Functions.SPG(I13, "SP_ULT_PARENT_COMPANY_NAME")</f>
        <v/>
      </c>
      <c r="P13" s="9" t="str">
        <f>_xll.SNL.Clients.Office.Excel.Functions.SPG(I13, "SP_ULT_PARENT_COUNTRY")</f>
        <v/>
      </c>
      <c r="Q13" s="9" t="str">
        <f>_xll.SNL.Clients.Office.Excel.Functions.SPG(I13, "SP_PARENT_COMPANY_NAME")</f>
        <v/>
      </c>
      <c r="R13" s="9" t="str">
        <f>_xll.SNL.Clients.Office.Excel.Functions.SPG(I13, "SP_PARENT_COUNTRY")</f>
        <v/>
      </c>
      <c r="S13" s="9" t="str">
        <f>_xll.SNL.Clients.Office.Excel.Functions.SPG(I13, "SP_COUNTRY_NAME")</f>
        <v>China</v>
      </c>
    </row>
    <row r="14" spans="1:19" ht="130.5" x14ac:dyDescent="0.35">
      <c r="A14" s="5">
        <v>46022</v>
      </c>
      <c r="B14" s="4" t="s">
        <v>51</v>
      </c>
      <c r="C14" s="4" t="s">
        <v>52</v>
      </c>
      <c r="D14" s="4" t="s">
        <v>224</v>
      </c>
      <c r="E14" s="8">
        <v>142493689</v>
      </c>
      <c r="F14" s="7">
        <v>35</v>
      </c>
      <c r="G14" s="9" t="str">
        <f>[1]!SNLData("243327", $C14, "OWNER_LIST")</f>
        <v>Hainan Mining Co., Ltd. (Venturer) 33.15%; Private Interest (Fractional) %; Kodal Minerals PLC (Venturer) 31.85%; Leo Lithium Limited (Fractional) %; Ganfeng Lithium Group Co., Ltd. (Fractional) %; Government of Mali (Venturer) 35%</v>
      </c>
      <c r="H14" s="9">
        <f>[1]!SNLData("243327", C14, "OWNER_SNL_INSTN_KEY", "Owner 1")</f>
        <v>142493689</v>
      </c>
      <c r="I14" s="9">
        <f>[1]!SNLData("243327", C14, "OWNER_SNL_INSTN_KEY", "Owner 2")</f>
        <v>4511853</v>
      </c>
      <c r="J14" s="9" t="str">
        <f>_xll.SNL.Clients.Office.Excel.Functions.SPG(H14, "SP_ULT_PARENT_COMPANY_NAME")</f>
        <v/>
      </c>
      <c r="K14" s="9" t="str">
        <f>_xll.SNL.Clients.Office.Excel.Functions.SPG(H14, "SP_ULT_PARENT_COUNTRY")</f>
        <v/>
      </c>
      <c r="L14" s="9" t="str">
        <f>_xll.SNL.Clients.Office.Excel.Functions.SPG(H14, "SP_PARENT_COMPANY_NAME")</f>
        <v/>
      </c>
      <c r="M14" s="9" t="str">
        <f>_xll.SNL.Clients.Office.Excel.Functions.SPG(H14, "SP_PARENT_COUNTRY")</f>
        <v/>
      </c>
      <c r="N14" s="9" t="str">
        <f>_xll.SNL.Clients.Office.Excel.Functions.SPG(H14, "SP_COUNTRY_NAME")</f>
        <v>Mali</v>
      </c>
      <c r="O14" s="9" t="str">
        <f>_xll.SNL.Clients.Office.Excel.Functions.SPG(I14, "SP_ULT_PARENT_COMPANY_NAME")</f>
        <v/>
      </c>
      <c r="P14" s="9" t="str">
        <f>_xll.SNL.Clients.Office.Excel.Functions.SPG(I14, "SP_ULT_PARENT_COUNTRY")</f>
        <v/>
      </c>
      <c r="Q14" s="9" t="str">
        <f>_xll.SNL.Clients.Office.Excel.Functions.SPG(I14, "SP_PARENT_COMPANY_NAME")</f>
        <v/>
      </c>
      <c r="R14" s="9" t="str">
        <f>_xll.SNL.Clients.Office.Excel.Functions.SPG(I14, "SP_PARENT_COUNTRY")</f>
        <v/>
      </c>
      <c r="S14" s="9" t="str">
        <f>_xll.SNL.Clients.Office.Excel.Functions.SPG(I14, "SP_COUNTRY_NAME")</f>
        <v>China</v>
      </c>
    </row>
    <row r="15" spans="1:19" ht="130.5" x14ac:dyDescent="0.35">
      <c r="A15" s="5">
        <v>46022</v>
      </c>
      <c r="B15" s="4" t="s">
        <v>51</v>
      </c>
      <c r="C15" s="4" t="s">
        <v>52</v>
      </c>
      <c r="D15" s="4" t="s">
        <v>225</v>
      </c>
      <c r="E15" s="8">
        <v>4511853</v>
      </c>
      <c r="F15" s="7">
        <v>33.15</v>
      </c>
      <c r="G15" s="9" t="str">
        <f>[1]!SNLData("243327", $C15, "OWNER_LIST")</f>
        <v>Hainan Mining Co., Ltd. (Venturer) 33.15%; Private Interest (Fractional) %; Kodal Minerals PLC (Venturer) 31.85%; Leo Lithium Limited (Fractional) %; Ganfeng Lithium Group Co., Ltd. (Fractional) %; Government of Mali (Venturer) 35%</v>
      </c>
      <c r="H15" s="9">
        <f>[1]!SNLData("243327", C15, "OWNER_SNL_INSTN_KEY", "Owner 1")</f>
        <v>142493689</v>
      </c>
      <c r="I15" s="9">
        <f>[1]!SNLData("243327", C15, "OWNER_SNL_INSTN_KEY", "Owner 2")</f>
        <v>4511853</v>
      </c>
      <c r="J15" s="9" t="str">
        <f>_xll.SNL.Clients.Office.Excel.Functions.SPG(H15, "SP_ULT_PARENT_COMPANY_NAME")</f>
        <v/>
      </c>
      <c r="K15" s="9" t="str">
        <f>_xll.SNL.Clients.Office.Excel.Functions.SPG(H15, "SP_ULT_PARENT_COUNTRY")</f>
        <v/>
      </c>
      <c r="L15" s="9" t="str">
        <f>_xll.SNL.Clients.Office.Excel.Functions.SPG(H15, "SP_PARENT_COMPANY_NAME")</f>
        <v/>
      </c>
      <c r="M15" s="9" t="str">
        <f>_xll.SNL.Clients.Office.Excel.Functions.SPG(H15, "SP_PARENT_COUNTRY")</f>
        <v/>
      </c>
      <c r="N15" s="9" t="str">
        <f>_xll.SNL.Clients.Office.Excel.Functions.SPG(H15, "SP_COUNTRY_NAME")</f>
        <v>Mali</v>
      </c>
      <c r="O15" s="9" t="str">
        <f>_xll.SNL.Clients.Office.Excel.Functions.SPG(I15, "SP_ULT_PARENT_COMPANY_NAME")</f>
        <v/>
      </c>
      <c r="P15" s="9" t="str">
        <f>_xll.SNL.Clients.Office.Excel.Functions.SPG(I15, "SP_ULT_PARENT_COUNTRY")</f>
        <v/>
      </c>
      <c r="Q15" s="9" t="str">
        <f>_xll.SNL.Clients.Office.Excel.Functions.SPG(I15, "SP_PARENT_COMPANY_NAME")</f>
        <v/>
      </c>
      <c r="R15" s="9" t="str">
        <f>_xll.SNL.Clients.Office.Excel.Functions.SPG(I15, "SP_PARENT_COUNTRY")</f>
        <v/>
      </c>
      <c r="S15" s="9" t="str">
        <f>_xll.SNL.Clients.Office.Excel.Functions.SPG(I15, "SP_COUNTRY_NAME")</f>
        <v>China</v>
      </c>
    </row>
    <row r="16" spans="1:19" ht="130.5" x14ac:dyDescent="0.35">
      <c r="A16" s="5">
        <v>46022</v>
      </c>
      <c r="B16" s="4" t="s">
        <v>51</v>
      </c>
      <c r="C16" s="4" t="s">
        <v>52</v>
      </c>
      <c r="D16" s="4" t="s">
        <v>226</v>
      </c>
      <c r="E16" s="8">
        <v>4533605</v>
      </c>
      <c r="F16" s="7">
        <v>31.85</v>
      </c>
      <c r="G16" s="9" t="str">
        <f>[1]!SNLData("243327", $C16, "OWNER_LIST")</f>
        <v>Hainan Mining Co., Ltd. (Venturer) 33.15%; Private Interest (Fractional) %; Kodal Minerals PLC (Venturer) 31.85%; Leo Lithium Limited (Fractional) %; Ganfeng Lithium Group Co., Ltd. (Fractional) %; Government of Mali (Venturer) 35%</v>
      </c>
      <c r="H16" s="9">
        <f>[1]!SNLData("243327", C16, "OWNER_SNL_INSTN_KEY", "Owner 1")</f>
        <v>142493689</v>
      </c>
      <c r="I16" s="9">
        <f>[1]!SNLData("243327", C16, "OWNER_SNL_INSTN_KEY", "Owner 2")</f>
        <v>4511853</v>
      </c>
      <c r="J16" s="9" t="str">
        <f>_xll.SNL.Clients.Office.Excel.Functions.SPG(H16, "SP_ULT_PARENT_COMPANY_NAME")</f>
        <v/>
      </c>
      <c r="K16" s="9" t="str">
        <f>_xll.SNL.Clients.Office.Excel.Functions.SPG(H16, "SP_ULT_PARENT_COUNTRY")</f>
        <v/>
      </c>
      <c r="L16" s="9" t="str">
        <f>_xll.SNL.Clients.Office.Excel.Functions.SPG(H16, "SP_PARENT_COMPANY_NAME")</f>
        <v/>
      </c>
      <c r="M16" s="9" t="str">
        <f>_xll.SNL.Clients.Office.Excel.Functions.SPG(H16, "SP_PARENT_COUNTRY")</f>
        <v/>
      </c>
      <c r="N16" s="9" t="str">
        <f>_xll.SNL.Clients.Office.Excel.Functions.SPG(H16, "SP_COUNTRY_NAME")</f>
        <v>Mali</v>
      </c>
      <c r="O16" s="9" t="str">
        <f>_xll.SNL.Clients.Office.Excel.Functions.SPG(I16, "SP_ULT_PARENT_COMPANY_NAME")</f>
        <v/>
      </c>
      <c r="P16" s="9" t="str">
        <f>_xll.SNL.Clients.Office.Excel.Functions.SPG(I16, "SP_ULT_PARENT_COUNTRY")</f>
        <v/>
      </c>
      <c r="Q16" s="9" t="str">
        <f>_xll.SNL.Clients.Office.Excel.Functions.SPG(I16, "SP_PARENT_COMPANY_NAME")</f>
        <v/>
      </c>
      <c r="R16" s="9" t="str">
        <f>_xll.SNL.Clients.Office.Excel.Functions.SPG(I16, "SP_PARENT_COUNTRY")</f>
        <v/>
      </c>
      <c r="S16" s="9" t="str">
        <f>_xll.SNL.Clients.Office.Excel.Functions.SPG(I16, "SP_COUNTRY_NAME")</f>
        <v>China</v>
      </c>
    </row>
    <row r="17" spans="1:19" ht="29" x14ac:dyDescent="0.35">
      <c r="A17" s="5">
        <v>46022</v>
      </c>
      <c r="B17" s="4" t="s">
        <v>54</v>
      </c>
      <c r="C17" s="4" t="s">
        <v>55</v>
      </c>
      <c r="D17" s="4" t="s">
        <v>227</v>
      </c>
      <c r="E17" s="8">
        <v>7136761</v>
      </c>
      <c r="F17" s="7">
        <v>100</v>
      </c>
      <c r="G17" s="9" t="str">
        <f>[1]!SNLData("243327", $C17, "OWNER_LIST")</f>
        <v>Companhia Brasileira de Lítio  100%</v>
      </c>
      <c r="H17" s="9">
        <f>[1]!SNLData("243327", C17, "OWNER_SNL_INSTN_KEY", "Owner 1")</f>
        <v>7136761</v>
      </c>
      <c r="I17" s="9" t="str">
        <f>[1]!SNLData("243327", C17, "OWNER_SNL_INSTN_KEY", "Owner 2")</f>
        <v>NA</v>
      </c>
      <c r="J17" s="9" t="str">
        <f>_xll.SNL.Clients.Office.Excel.Functions.SPG(H17, "SP_ULT_PARENT_COMPANY_NAME")</f>
        <v/>
      </c>
      <c r="K17" s="9" t="str">
        <f>_xll.SNL.Clients.Office.Excel.Functions.SPG(H17, "SP_ULT_PARENT_COUNTRY")</f>
        <v/>
      </c>
      <c r="L17" s="9" t="str">
        <f>_xll.SNL.Clients.Office.Excel.Functions.SPG(H17, "SP_PARENT_COMPANY_NAME")</f>
        <v/>
      </c>
      <c r="M17" s="9" t="str">
        <f>_xll.SNL.Clients.Office.Excel.Functions.SPG(H17, "SP_PARENT_COUNTRY")</f>
        <v/>
      </c>
      <c r="N17" s="9" t="str">
        <f>_xll.SNL.Clients.Office.Excel.Functions.SPG(H17, "SP_COUNTRY_NAME")</f>
        <v>Brazil</v>
      </c>
      <c r="O17" s="9" t="str">
        <f>_xll.SNL.Clients.Office.Excel.Functions.SPG(I17, "SP_ULT_PARENT_COMPANY_NAME")</f>
        <v/>
      </c>
      <c r="P17" s="9" t="str">
        <f>_xll.SNL.Clients.Office.Excel.Functions.SPG(I17, "SP_ULT_PARENT_COUNTRY")</f>
        <v/>
      </c>
      <c r="Q17" s="9" t="str">
        <f>_xll.SNL.Clients.Office.Excel.Functions.SPG(I17, "SP_PARENT_COMPANY_NAME")</f>
        <v/>
      </c>
      <c r="R17" s="9" t="str">
        <f>_xll.SNL.Clients.Office.Excel.Functions.SPG(I17, "SP_PARENT_COUNTRY")</f>
        <v/>
      </c>
      <c r="S17" s="9" t="str">
        <f>_xll.SNL.Clients.Office.Excel.Functions.SPG(I17, "SP_COUNTRY_NAME")</f>
        <v>China</v>
      </c>
    </row>
    <row r="18" spans="1:19" ht="116" x14ac:dyDescent="0.35">
      <c r="A18" s="5">
        <v>46022</v>
      </c>
      <c r="B18" s="4" t="s">
        <v>135</v>
      </c>
      <c r="C18" s="4" t="s">
        <v>136</v>
      </c>
      <c r="D18" s="4" t="s">
        <v>228</v>
      </c>
      <c r="E18" s="8">
        <v>4351486</v>
      </c>
      <c r="F18" s="7">
        <v>8.5</v>
      </c>
      <c r="G18" s="9" t="str">
        <f>[1]!SNLData("243327", $C18, "OWNER_LIST")</f>
        <v>Jujuy Energia y Mineria Sociedad del Estado (Venturer) 8.5%; Ganfeng Lithium Group Co., Ltd. (Venturer) 46.67%; Lithium Argentina AG (Venturer) 44.83%; Grupo Minero Los Boros S.A. (Fractional) %</v>
      </c>
      <c r="H18" s="9">
        <f>[1]!SNLData("243327", C18, "OWNER_SNL_INSTN_KEY", "Owner 1")</f>
        <v>4361422</v>
      </c>
      <c r="I18" s="9">
        <f>[1]!SNLData("243327", C18, "OWNER_SNL_INSTN_KEY", "Owner 2")</f>
        <v>4355343</v>
      </c>
      <c r="J18" s="9" t="str">
        <f>_xll.SNL.Clients.Office.Excel.Functions.SPG(H18, "SP_ULT_PARENT_COMPANY_NAME")</f>
        <v/>
      </c>
      <c r="K18" s="9" t="str">
        <f>_xll.SNL.Clients.Office.Excel.Functions.SPG(H18, "SP_ULT_PARENT_COUNTRY")</f>
        <v/>
      </c>
      <c r="L18" s="9" t="str">
        <f>_xll.SNL.Clients.Office.Excel.Functions.SPG(H18, "SP_PARENT_COMPANY_NAME")</f>
        <v/>
      </c>
      <c r="M18" s="9" t="str">
        <f>_xll.SNL.Clients.Office.Excel.Functions.SPG(H18, "SP_PARENT_COUNTRY")</f>
        <v/>
      </c>
      <c r="N18" s="9" t="str">
        <f>_xll.SNL.Clients.Office.Excel.Functions.SPG(H18, "SP_COUNTRY_NAME")</f>
        <v>China</v>
      </c>
      <c r="O18" s="9" t="str">
        <f>_xll.SNL.Clients.Office.Excel.Functions.SPG(I18, "SP_ULT_PARENT_COMPANY_NAME")</f>
        <v/>
      </c>
      <c r="P18" s="9" t="str">
        <f>_xll.SNL.Clients.Office.Excel.Functions.SPG(I18, "SP_ULT_PARENT_COUNTRY")</f>
        <v/>
      </c>
      <c r="Q18" s="9" t="str">
        <f>_xll.SNL.Clients.Office.Excel.Functions.SPG(I18, "SP_PARENT_COMPANY_NAME")</f>
        <v/>
      </c>
      <c r="R18" s="9" t="str">
        <f>_xll.SNL.Clients.Office.Excel.Functions.SPG(I18, "SP_PARENT_COUNTRY")</f>
        <v/>
      </c>
      <c r="S18" s="9" t="str">
        <f>_xll.SNL.Clients.Office.Excel.Functions.SPG(I18, "SP_COUNTRY_NAME")</f>
        <v>Switzerland</v>
      </c>
    </row>
    <row r="19" spans="1:19" ht="29" x14ac:dyDescent="0.35">
      <c r="A19" s="5">
        <v>46022</v>
      </c>
      <c r="B19" s="4" t="s">
        <v>138</v>
      </c>
      <c r="C19" s="4" t="s">
        <v>139</v>
      </c>
      <c r="D19" s="4" t="s">
        <v>229</v>
      </c>
      <c r="E19" s="8">
        <v>4353586</v>
      </c>
      <c r="F19" s="7">
        <v>100</v>
      </c>
      <c r="G19" s="9" t="str">
        <f>[1]!SNLData("243327", $C19, "OWNER_LIST")</f>
        <v>Qinghai Salt Lake Industry Co.,Ltd  100%</v>
      </c>
      <c r="H19" s="9">
        <f>[1]!SNLData("243327", C19, "OWNER_SNL_INSTN_KEY", "Owner 1")</f>
        <v>4353586</v>
      </c>
      <c r="I19" s="9" t="str">
        <f>[1]!SNLData("243327", C19, "OWNER_SNL_INSTN_KEY", "Owner 2")</f>
        <v>NA</v>
      </c>
      <c r="J19" s="9" t="str">
        <f>_xll.SNL.Clients.Office.Excel.Functions.SPG(H19, "SP_ULT_PARENT_COMPANY_NAME")</f>
        <v/>
      </c>
      <c r="K19" s="9" t="str">
        <f>_xll.SNL.Clients.Office.Excel.Functions.SPG(H19, "SP_ULT_PARENT_COUNTRY")</f>
        <v/>
      </c>
      <c r="L19" s="9" t="str">
        <f>_xll.SNL.Clients.Office.Excel.Functions.SPG(H19, "SP_PARENT_COMPANY_NAME")</f>
        <v/>
      </c>
      <c r="M19" s="9" t="str">
        <f>_xll.SNL.Clients.Office.Excel.Functions.SPG(H19, "SP_PARENT_COUNTRY")</f>
        <v/>
      </c>
      <c r="N19" s="9" t="str">
        <f>_xll.SNL.Clients.Office.Excel.Functions.SPG(H19, "SP_COUNTRY_NAME")</f>
        <v>China</v>
      </c>
      <c r="O19" s="9" t="str">
        <f>_xll.SNL.Clients.Office.Excel.Functions.SPG(I19, "SP_ULT_PARENT_COMPANY_NAME")</f>
        <v/>
      </c>
      <c r="P19" s="9" t="str">
        <f>_xll.SNL.Clients.Office.Excel.Functions.SPG(I19, "SP_ULT_PARENT_COUNTRY")</f>
        <v/>
      </c>
      <c r="Q19" s="9" t="str">
        <f>_xll.SNL.Clients.Office.Excel.Functions.SPG(I19, "SP_PARENT_COMPANY_NAME")</f>
        <v/>
      </c>
      <c r="R19" s="9" t="str">
        <f>_xll.SNL.Clients.Office.Excel.Functions.SPG(I19, "SP_PARENT_COUNTRY")</f>
        <v/>
      </c>
      <c r="S19" s="9" t="str">
        <f>_xll.SNL.Clients.Office.Excel.Functions.SPG(I19, "SP_COUNTRY_NAME")</f>
        <v>China</v>
      </c>
    </row>
    <row r="20" spans="1:19" x14ac:dyDescent="0.35">
      <c r="A20" s="5">
        <v>46022</v>
      </c>
      <c r="B20" s="4" t="s">
        <v>140</v>
      </c>
      <c r="C20" s="4" t="s">
        <v>141</v>
      </c>
      <c r="D20" s="4" t="s">
        <v>230</v>
      </c>
      <c r="E20" s="8">
        <v>4350028</v>
      </c>
      <c r="F20" s="7">
        <v>100</v>
      </c>
      <c r="G20" s="9" t="str">
        <f>[1]!SNLData("243327", $C20, "OWNER_LIST")</f>
        <v>ERAMET S.A.  100%</v>
      </c>
      <c r="H20" s="9">
        <f>[1]!SNLData("243327", C20, "OWNER_SNL_INSTN_KEY", "Owner 1")</f>
        <v>4350028</v>
      </c>
      <c r="I20" s="9" t="str">
        <f>[1]!SNLData("243327", C20, "OWNER_SNL_INSTN_KEY", "Owner 2")</f>
        <v>NA</v>
      </c>
      <c r="J20" s="9" t="str">
        <f>_xll.SNL.Clients.Office.Excel.Functions.SPG(H20, "SP_ULT_PARENT_COMPANY_NAME")</f>
        <v/>
      </c>
      <c r="K20" s="9" t="str">
        <f>_xll.SNL.Clients.Office.Excel.Functions.SPG(H20, "SP_ULT_PARENT_COUNTRY")</f>
        <v/>
      </c>
      <c r="L20" s="9" t="str">
        <f>_xll.SNL.Clients.Office.Excel.Functions.SPG(H20, "SP_PARENT_COMPANY_NAME")</f>
        <v/>
      </c>
      <c r="M20" s="9" t="str">
        <f>_xll.SNL.Clients.Office.Excel.Functions.SPG(H20, "SP_PARENT_COUNTRY")</f>
        <v/>
      </c>
      <c r="N20" s="9" t="str">
        <f>_xll.SNL.Clients.Office.Excel.Functions.SPG(H20, "SP_COUNTRY_NAME")</f>
        <v>France</v>
      </c>
      <c r="O20" s="9" t="str">
        <f>_xll.SNL.Clients.Office.Excel.Functions.SPG(I20, "SP_ULT_PARENT_COMPANY_NAME")</f>
        <v/>
      </c>
      <c r="P20" s="9" t="str">
        <f>_xll.SNL.Clients.Office.Excel.Functions.SPG(I20, "SP_ULT_PARENT_COUNTRY")</f>
        <v/>
      </c>
      <c r="Q20" s="9" t="str">
        <f>_xll.SNL.Clients.Office.Excel.Functions.SPG(I20, "SP_PARENT_COMPANY_NAME")</f>
        <v/>
      </c>
      <c r="R20" s="9" t="str">
        <f>_xll.SNL.Clients.Office.Excel.Functions.SPG(I20, "SP_PARENT_COUNTRY")</f>
        <v/>
      </c>
      <c r="S20" s="9" t="str">
        <f>_xll.SNL.Clients.Office.Excel.Functions.SPG(I20, "SP_COUNTRY_NAME")</f>
        <v>China</v>
      </c>
    </row>
    <row r="21" spans="1:19" ht="145" x14ac:dyDescent="0.35">
      <c r="A21" s="5">
        <v>46022</v>
      </c>
      <c r="B21" s="4" t="s">
        <v>142</v>
      </c>
      <c r="C21" s="4" t="s">
        <v>143</v>
      </c>
      <c r="D21" s="4" t="s">
        <v>231</v>
      </c>
      <c r="E21" s="8">
        <v>10355625</v>
      </c>
      <c r="F21" s="7">
        <v>100</v>
      </c>
      <c r="G21" s="9" t="str">
        <f>[1]!SNLData("243327", $C21, "OWNER_LIST")</f>
        <v>Western Mining Group Co., Ltd.  100%</v>
      </c>
      <c r="H21" s="9">
        <f>[1]!SNLData("243327", C21, "OWNER_SNL_INSTN_KEY", "Owner 1")</f>
        <v>10355625</v>
      </c>
      <c r="I21" s="9" t="str">
        <f>[1]!SNLData("243327", C21, "OWNER_SNL_INSTN_KEY", "Owner 2")</f>
        <v>NA</v>
      </c>
      <c r="J21" s="9" t="str">
        <f>_xll.SNL.Clients.Office.Excel.Functions.SPG(H21, "SP_ULT_PARENT_COMPANY_NAME")</f>
        <v>Qinghai State Owned Assets Supervision &amp; Administration Commission</v>
      </c>
      <c r="K21" s="9" t="str">
        <f>_xll.SNL.Clients.Office.Excel.Functions.SPG(H21, "SP_ULT_PARENT_COUNTRY")</f>
        <v>China</v>
      </c>
      <c r="L21" s="9" t="str">
        <f>_xll.SNL.Clients.Office.Excel.Functions.SPG(H21, "SP_PARENT_COMPANY_NAME")</f>
        <v>Qinghai State Owned Assets Supervision &amp; Administration Commission</v>
      </c>
      <c r="M21" s="9" t="str">
        <f>_xll.SNL.Clients.Office.Excel.Functions.SPG(H21, "SP_PARENT_COUNTRY")</f>
        <v>China</v>
      </c>
      <c r="N21" s="9" t="str">
        <f>_xll.SNL.Clients.Office.Excel.Functions.SPG(H21, "SP_COUNTRY_NAME")</f>
        <v>China</v>
      </c>
      <c r="O21" s="9" t="str">
        <f>_xll.SNL.Clients.Office.Excel.Functions.SPG(I21, "SP_ULT_PARENT_COMPANY_NAME")</f>
        <v/>
      </c>
      <c r="P21" s="9" t="str">
        <f>_xll.SNL.Clients.Office.Excel.Functions.SPG(I21, "SP_ULT_PARENT_COUNTRY")</f>
        <v/>
      </c>
      <c r="Q21" s="9" t="str">
        <f>_xll.SNL.Clients.Office.Excel.Functions.SPG(I21, "SP_PARENT_COMPANY_NAME")</f>
        <v/>
      </c>
      <c r="R21" s="9" t="str">
        <f>_xll.SNL.Clients.Office.Excel.Functions.SPG(I21, "SP_PARENT_COUNTRY")</f>
        <v/>
      </c>
      <c r="S21" s="9" t="str">
        <f>_xll.SNL.Clients.Office.Excel.Functions.SPG(I21, "SP_COUNTRY_NAME")</f>
        <v>China</v>
      </c>
    </row>
    <row r="22" spans="1:19" ht="29" x14ac:dyDescent="0.35">
      <c r="A22" s="5">
        <v>46022</v>
      </c>
      <c r="B22" s="4" t="s">
        <v>57</v>
      </c>
      <c r="C22" s="4" t="s">
        <v>58</v>
      </c>
      <c r="D22" s="4" t="s">
        <v>232</v>
      </c>
      <c r="E22" s="8">
        <v>4361422</v>
      </c>
      <c r="F22" s="7">
        <v>100</v>
      </c>
      <c r="G22" s="9" t="str">
        <f>[1]!SNLData("243327", $C22, "OWNER_LIST")</f>
        <v>Ganfeng Lithium Group Co., Ltd.  100%</v>
      </c>
      <c r="H22" s="9">
        <f>[1]!SNLData("243327", C22, "OWNER_SNL_INSTN_KEY", "Owner 1")</f>
        <v>4361422</v>
      </c>
      <c r="I22" s="9" t="str">
        <f>[1]!SNLData("243327", C22, "OWNER_SNL_INSTN_KEY", "Owner 2")</f>
        <v>NA</v>
      </c>
      <c r="J22" s="9" t="str">
        <f>_xll.SNL.Clients.Office.Excel.Functions.SPG(H22, "SP_ULT_PARENT_COMPANY_NAME")</f>
        <v/>
      </c>
      <c r="K22" s="9" t="str">
        <f>_xll.SNL.Clients.Office.Excel.Functions.SPG(H22, "SP_ULT_PARENT_COUNTRY")</f>
        <v/>
      </c>
      <c r="L22" s="9" t="str">
        <f>_xll.SNL.Clients.Office.Excel.Functions.SPG(H22, "SP_PARENT_COMPANY_NAME")</f>
        <v/>
      </c>
      <c r="M22" s="9" t="str">
        <f>_xll.SNL.Clients.Office.Excel.Functions.SPG(H22, "SP_PARENT_COUNTRY")</f>
        <v/>
      </c>
      <c r="N22" s="9" t="str">
        <f>_xll.SNL.Clients.Office.Excel.Functions.SPG(H22, "SP_COUNTRY_NAME")</f>
        <v>China</v>
      </c>
      <c r="O22" s="9" t="str">
        <f>_xll.SNL.Clients.Office.Excel.Functions.SPG(I22, "SP_ULT_PARENT_COMPANY_NAME")</f>
        <v/>
      </c>
      <c r="P22" s="9" t="str">
        <f>_xll.SNL.Clients.Office.Excel.Functions.SPG(I22, "SP_ULT_PARENT_COUNTRY")</f>
        <v/>
      </c>
      <c r="Q22" s="9" t="str">
        <f>_xll.SNL.Clients.Office.Excel.Functions.SPG(I22, "SP_PARENT_COMPANY_NAME")</f>
        <v/>
      </c>
      <c r="R22" s="9" t="str">
        <f>_xll.SNL.Clients.Office.Excel.Functions.SPG(I22, "SP_PARENT_COUNTRY")</f>
        <v/>
      </c>
      <c r="S22" s="9" t="str">
        <f>_xll.SNL.Clients.Office.Excel.Functions.SPG(I22, "SP_COUNTRY_NAME")</f>
        <v>China</v>
      </c>
    </row>
    <row r="23" spans="1:19" ht="72.5" x14ac:dyDescent="0.35">
      <c r="A23" s="5">
        <v>46022</v>
      </c>
      <c r="B23" s="4" t="s">
        <v>59</v>
      </c>
      <c r="C23" s="4" t="s">
        <v>60</v>
      </c>
      <c r="D23" s="4" t="s">
        <v>233</v>
      </c>
      <c r="E23" s="8">
        <v>4121019</v>
      </c>
      <c r="F23" s="7">
        <v>49</v>
      </c>
      <c r="G23" s="9" t="str">
        <f>[1]!SNLData("243327", $C23, "OWNER_LIST")</f>
        <v>Tianqi Lithium Corporation (Venturer) 26.01%; Albemarle Corporation (Venturer) 49%; IGO Limited (Venturer) 24.99%</v>
      </c>
      <c r="H23" s="9">
        <f>[1]!SNLData("243327", C23, "OWNER_SNL_INSTN_KEY", "Owner 1")</f>
        <v>4121019</v>
      </c>
      <c r="I23" s="9">
        <f>[1]!SNLData("243327", C23, "OWNER_SNL_INSTN_KEY", "Owner 2")</f>
        <v>4365897</v>
      </c>
      <c r="J23" s="9" t="str">
        <f>_xll.SNL.Clients.Office.Excel.Functions.SPG(H23, "SP_ULT_PARENT_COMPANY_NAME")</f>
        <v/>
      </c>
      <c r="K23" s="9" t="str">
        <f>_xll.SNL.Clients.Office.Excel.Functions.SPG(H23, "SP_ULT_PARENT_COUNTRY")</f>
        <v/>
      </c>
      <c r="L23" s="9" t="str">
        <f>_xll.SNL.Clients.Office.Excel.Functions.SPG(H23, "SP_PARENT_COMPANY_NAME")</f>
        <v/>
      </c>
      <c r="M23" s="9" t="str">
        <f>_xll.SNL.Clients.Office.Excel.Functions.SPG(H23, "SP_PARENT_COUNTRY")</f>
        <v/>
      </c>
      <c r="N23" s="9" t="str">
        <f>_xll.SNL.Clients.Office.Excel.Functions.SPG(H23, "SP_COUNTRY_NAME")</f>
        <v>USA</v>
      </c>
      <c r="O23" s="9" t="str">
        <f>_xll.SNL.Clients.Office.Excel.Functions.SPG(I23, "SP_ULT_PARENT_COMPANY_NAME")</f>
        <v>Chengdu Tianqi Industry Group Co., Ltd.</v>
      </c>
      <c r="P23" s="9" t="str">
        <f>_xll.SNL.Clients.Office.Excel.Functions.SPG(I23, "SP_ULT_PARENT_COUNTRY")</f>
        <v>China</v>
      </c>
      <c r="Q23" s="9" t="str">
        <f>_xll.SNL.Clients.Office.Excel.Functions.SPG(I23, "SP_PARENT_COMPANY_NAME")</f>
        <v>Chengdu Tianqi Industry Group Co., Ltd.</v>
      </c>
      <c r="R23" s="9" t="str">
        <f>_xll.SNL.Clients.Office.Excel.Functions.SPG(I23, "SP_PARENT_COUNTRY")</f>
        <v>China</v>
      </c>
      <c r="S23" s="9" t="str">
        <f>_xll.SNL.Clients.Office.Excel.Functions.SPG(I23, "SP_COUNTRY_NAME")</f>
        <v>China</v>
      </c>
    </row>
    <row r="24" spans="1:19" ht="72.5" x14ac:dyDescent="0.35">
      <c r="A24" s="5">
        <v>46022</v>
      </c>
      <c r="B24" s="4" t="s">
        <v>59</v>
      </c>
      <c r="C24" s="4" t="s">
        <v>60</v>
      </c>
      <c r="D24" s="4" t="s">
        <v>234</v>
      </c>
      <c r="E24" s="8">
        <v>4351204</v>
      </c>
      <c r="F24" s="7">
        <v>24.99</v>
      </c>
      <c r="G24" s="9" t="str">
        <f>[1]!SNLData("243327", $C24, "OWNER_LIST")</f>
        <v>Tianqi Lithium Corporation (Venturer) 26.01%; Albemarle Corporation (Venturer) 49%; IGO Limited (Venturer) 24.99%</v>
      </c>
      <c r="H24" s="9">
        <f>[1]!SNLData("243327", C24, "OWNER_SNL_INSTN_KEY", "Owner 1")</f>
        <v>4121019</v>
      </c>
      <c r="I24" s="9">
        <f>[1]!SNLData("243327", C24, "OWNER_SNL_INSTN_KEY", "Owner 2")</f>
        <v>4365897</v>
      </c>
      <c r="J24" s="9" t="str">
        <f>_xll.SNL.Clients.Office.Excel.Functions.SPG(H24, "SP_ULT_PARENT_COMPANY_NAME")</f>
        <v/>
      </c>
      <c r="K24" s="9" t="str">
        <f>_xll.SNL.Clients.Office.Excel.Functions.SPG(H24, "SP_ULT_PARENT_COUNTRY")</f>
        <v/>
      </c>
      <c r="L24" s="9" t="str">
        <f>_xll.SNL.Clients.Office.Excel.Functions.SPG(H24, "SP_PARENT_COMPANY_NAME")</f>
        <v/>
      </c>
      <c r="M24" s="9" t="str">
        <f>_xll.SNL.Clients.Office.Excel.Functions.SPG(H24, "SP_PARENT_COUNTRY")</f>
        <v/>
      </c>
      <c r="N24" s="9" t="str">
        <f>_xll.SNL.Clients.Office.Excel.Functions.SPG(H24, "SP_COUNTRY_NAME")</f>
        <v>USA</v>
      </c>
      <c r="O24" s="9" t="str">
        <f>_xll.SNL.Clients.Office.Excel.Functions.SPG(I24, "SP_ULT_PARENT_COMPANY_NAME")</f>
        <v>Chengdu Tianqi Industry Group Co., Ltd.</v>
      </c>
      <c r="P24" s="9" t="str">
        <f>_xll.SNL.Clients.Office.Excel.Functions.SPG(I24, "SP_ULT_PARENT_COUNTRY")</f>
        <v>China</v>
      </c>
      <c r="Q24" s="9" t="str">
        <f>_xll.SNL.Clients.Office.Excel.Functions.SPG(I24, "SP_PARENT_COMPANY_NAME")</f>
        <v>Chengdu Tianqi Industry Group Co., Ltd.</v>
      </c>
      <c r="R24" s="9" t="str">
        <f>_xll.SNL.Clients.Office.Excel.Functions.SPG(I24, "SP_PARENT_COUNTRY")</f>
        <v>China</v>
      </c>
      <c r="S24" s="9" t="str">
        <f>_xll.SNL.Clients.Office.Excel.Functions.SPG(I24, "SP_COUNTRY_NAME")</f>
        <v>China</v>
      </c>
    </row>
    <row r="25" spans="1:19" ht="72.5" x14ac:dyDescent="0.35">
      <c r="A25" s="5">
        <v>46022</v>
      </c>
      <c r="B25" s="4" t="s">
        <v>59</v>
      </c>
      <c r="C25" s="4" t="s">
        <v>60</v>
      </c>
      <c r="D25" s="4" t="s">
        <v>235</v>
      </c>
      <c r="E25" s="8">
        <v>4365897</v>
      </c>
      <c r="F25" s="7">
        <v>26.01</v>
      </c>
      <c r="G25" s="9" t="str">
        <f>[1]!SNLData("243327", $C25, "OWNER_LIST")</f>
        <v>Tianqi Lithium Corporation (Venturer) 26.01%; Albemarle Corporation (Venturer) 49%; IGO Limited (Venturer) 24.99%</v>
      </c>
      <c r="H25" s="9">
        <f>[1]!SNLData("243327", C25, "OWNER_SNL_INSTN_KEY", "Owner 1")</f>
        <v>4121019</v>
      </c>
      <c r="I25" s="9">
        <f>[1]!SNLData("243327", C25, "OWNER_SNL_INSTN_KEY", "Owner 2")</f>
        <v>4365897</v>
      </c>
      <c r="J25" s="9" t="str">
        <f>_xll.SNL.Clients.Office.Excel.Functions.SPG(H25, "SP_ULT_PARENT_COMPANY_NAME")</f>
        <v/>
      </c>
      <c r="K25" s="9" t="str">
        <f>_xll.SNL.Clients.Office.Excel.Functions.SPG(H25, "SP_ULT_PARENT_COUNTRY")</f>
        <v/>
      </c>
      <c r="L25" s="9" t="str">
        <f>_xll.SNL.Clients.Office.Excel.Functions.SPG(H25, "SP_PARENT_COMPANY_NAME")</f>
        <v/>
      </c>
      <c r="M25" s="9" t="str">
        <f>_xll.SNL.Clients.Office.Excel.Functions.SPG(H25, "SP_PARENT_COUNTRY")</f>
        <v/>
      </c>
      <c r="N25" s="9" t="str">
        <f>_xll.SNL.Clients.Office.Excel.Functions.SPG(H25, "SP_COUNTRY_NAME")</f>
        <v>USA</v>
      </c>
      <c r="O25" s="9" t="str">
        <f>_xll.SNL.Clients.Office.Excel.Functions.SPG(I25, "SP_ULT_PARENT_COMPANY_NAME")</f>
        <v>Chengdu Tianqi Industry Group Co., Ltd.</v>
      </c>
      <c r="P25" s="9" t="str">
        <f>_xll.SNL.Clients.Office.Excel.Functions.SPG(I25, "SP_ULT_PARENT_COUNTRY")</f>
        <v>China</v>
      </c>
      <c r="Q25" s="9" t="str">
        <f>_xll.SNL.Clients.Office.Excel.Functions.SPG(I25, "SP_PARENT_COMPANY_NAME")</f>
        <v>Chengdu Tianqi Industry Group Co., Ltd.</v>
      </c>
      <c r="R25" s="9" t="str">
        <f>_xll.SNL.Clients.Office.Excel.Functions.SPG(I25, "SP_PARENT_COUNTRY")</f>
        <v>China</v>
      </c>
      <c r="S25" s="9" t="str">
        <f>_xll.SNL.Clients.Office.Excel.Functions.SPG(I25, "SP_COUNTRY_NAME")</f>
        <v>China</v>
      </c>
    </row>
    <row r="26" spans="1:19" ht="29" x14ac:dyDescent="0.35">
      <c r="A26" s="5">
        <v>46022</v>
      </c>
      <c r="B26" s="4" t="s">
        <v>62</v>
      </c>
      <c r="C26" s="4" t="s">
        <v>63</v>
      </c>
      <c r="D26" s="4" t="s">
        <v>236</v>
      </c>
      <c r="E26" s="8">
        <v>7941731</v>
      </c>
      <c r="F26" s="7">
        <v>100</v>
      </c>
      <c r="G26" s="9" t="str">
        <f>[1]!SNLData("243327", $C26, "OWNER_LIST")</f>
        <v>Sigma Lithium Corporation  100%</v>
      </c>
      <c r="H26" s="9">
        <f>[1]!SNLData("243327", C26, "OWNER_SNL_INSTN_KEY", "Owner 1")</f>
        <v>7941731</v>
      </c>
      <c r="I26" s="9" t="str">
        <f>[1]!SNLData("243327", C26, "OWNER_SNL_INSTN_KEY", "Owner 2")</f>
        <v>NA</v>
      </c>
      <c r="J26" s="9" t="str">
        <f>_xll.SNL.Clients.Office.Excel.Functions.SPG(H26, "SP_ULT_PARENT_COMPANY_NAME")</f>
        <v/>
      </c>
      <c r="K26" s="9" t="str">
        <f>_xll.SNL.Clients.Office.Excel.Functions.SPG(H26, "SP_ULT_PARENT_COUNTRY")</f>
        <v/>
      </c>
      <c r="L26" s="9" t="str">
        <f>_xll.SNL.Clients.Office.Excel.Functions.SPG(H26, "SP_PARENT_COMPANY_NAME")</f>
        <v/>
      </c>
      <c r="M26" s="9" t="str">
        <f>_xll.SNL.Clients.Office.Excel.Functions.SPG(H26, "SP_PARENT_COUNTRY")</f>
        <v/>
      </c>
      <c r="N26" s="9" t="str">
        <f>_xll.SNL.Clients.Office.Excel.Functions.SPG(H26, "SP_COUNTRY_NAME")</f>
        <v>Canada</v>
      </c>
      <c r="O26" s="9" t="str">
        <f>_xll.SNL.Clients.Office.Excel.Functions.SPG(I26, "SP_ULT_PARENT_COMPANY_NAME")</f>
        <v/>
      </c>
      <c r="P26" s="9" t="str">
        <f>_xll.SNL.Clients.Office.Excel.Functions.SPG(I26, "SP_ULT_PARENT_COUNTRY")</f>
        <v/>
      </c>
      <c r="Q26" s="9" t="str">
        <f>_xll.SNL.Clients.Office.Excel.Functions.SPG(I26, "SP_PARENT_COMPANY_NAME")</f>
        <v/>
      </c>
      <c r="R26" s="9" t="str">
        <f>_xll.SNL.Clients.Office.Excel.Functions.SPG(I26, "SP_PARENT_COUNTRY")</f>
        <v/>
      </c>
      <c r="S26" s="9" t="str">
        <f>_xll.SNL.Clients.Office.Excel.Functions.SPG(I26, "SP_COUNTRY_NAME")</f>
        <v>China</v>
      </c>
    </row>
    <row r="27" spans="1:19" x14ac:dyDescent="0.35">
      <c r="A27" s="5">
        <v>46022</v>
      </c>
      <c r="B27" s="4" t="s">
        <v>64</v>
      </c>
      <c r="C27" s="4" t="s">
        <v>65</v>
      </c>
      <c r="D27" s="4" t="s">
        <v>237</v>
      </c>
      <c r="E27" s="8">
        <v>4991303</v>
      </c>
      <c r="F27" s="7">
        <v>100</v>
      </c>
      <c r="G27" s="9" t="str">
        <f>[1]!SNLData("243327", $C27, "OWNER_LIST")</f>
        <v>YOUNGY Co., Ltd.  100%</v>
      </c>
      <c r="H27" s="9">
        <f>[1]!SNLData("243327", C27, "OWNER_SNL_INSTN_KEY", "Owner 1")</f>
        <v>4991303</v>
      </c>
      <c r="I27" s="9" t="str">
        <f>[1]!SNLData("243327", C27, "OWNER_SNL_INSTN_KEY", "Owner 2")</f>
        <v>NA</v>
      </c>
      <c r="J27" s="9" t="str">
        <f>_xll.SNL.Clients.Office.Excel.Functions.SPG(H27, "SP_ULT_PARENT_COMPANY_NAME")</f>
        <v/>
      </c>
      <c r="K27" s="9" t="str">
        <f>_xll.SNL.Clients.Office.Excel.Functions.SPG(H27, "SP_ULT_PARENT_COUNTRY")</f>
        <v/>
      </c>
      <c r="L27" s="9" t="str">
        <f>_xll.SNL.Clients.Office.Excel.Functions.SPG(H27, "SP_PARENT_COMPANY_NAME")</f>
        <v/>
      </c>
      <c r="M27" s="9" t="str">
        <f>_xll.SNL.Clients.Office.Excel.Functions.SPG(H27, "SP_PARENT_COUNTRY")</f>
        <v/>
      </c>
      <c r="N27" s="9" t="str">
        <f>_xll.SNL.Clients.Office.Excel.Functions.SPG(H27, "SP_COUNTRY_NAME")</f>
        <v>China</v>
      </c>
      <c r="O27" s="9" t="str">
        <f>_xll.SNL.Clients.Office.Excel.Functions.SPG(I27, "SP_ULT_PARENT_COMPANY_NAME")</f>
        <v/>
      </c>
      <c r="P27" s="9" t="str">
        <f>_xll.SNL.Clients.Office.Excel.Functions.SPG(I27, "SP_ULT_PARENT_COUNTRY")</f>
        <v/>
      </c>
      <c r="Q27" s="9" t="str">
        <f>_xll.SNL.Clients.Office.Excel.Functions.SPG(I27, "SP_PARENT_COMPANY_NAME")</f>
        <v/>
      </c>
      <c r="R27" s="9" t="str">
        <f>_xll.SNL.Clients.Office.Excel.Functions.SPG(I27, "SP_PARENT_COUNTRY")</f>
        <v/>
      </c>
      <c r="S27" s="9" t="str">
        <f>_xll.SNL.Clients.Office.Excel.Functions.SPG(I27, "SP_COUNTRY_NAME")</f>
        <v>China</v>
      </c>
    </row>
    <row r="28" spans="1:19" ht="58" x14ac:dyDescent="0.35">
      <c r="A28" s="5">
        <v>46022</v>
      </c>
      <c r="B28" s="4" t="s">
        <v>67</v>
      </c>
      <c r="C28" s="4" t="s">
        <v>68</v>
      </c>
      <c r="D28" s="4" t="s">
        <v>221</v>
      </c>
      <c r="E28" s="8">
        <v>4353456</v>
      </c>
      <c r="F28" s="7">
        <v>40</v>
      </c>
      <c r="G28" s="9" t="str">
        <f>[1]!SNLData("243327", $C28, "OWNER_LIST")</f>
        <v>Sichuan Yahua Industrial Group Co., Ltd. (Venturer) 60%; Private Interest (Venturer) 40%</v>
      </c>
      <c r="H28" s="9">
        <f>[1]!SNLData("243327", C28, "OWNER_SNL_INSTN_KEY", "Owner 1")</f>
        <v>4986961</v>
      </c>
      <c r="I28" s="9">
        <f>[1]!SNLData("243327", C28, "OWNER_SNL_INSTN_KEY", "Owner 2")</f>
        <v>4353456</v>
      </c>
      <c r="J28" s="9" t="str">
        <f>_xll.SNL.Clients.Office.Excel.Functions.SPG(H28, "SP_ULT_PARENT_COMPANY_NAME")</f>
        <v/>
      </c>
      <c r="K28" s="9" t="str">
        <f>_xll.SNL.Clients.Office.Excel.Functions.SPG(H28, "SP_ULT_PARENT_COUNTRY")</f>
        <v/>
      </c>
      <c r="L28" s="9" t="str">
        <f>_xll.SNL.Clients.Office.Excel.Functions.SPG(H28, "SP_PARENT_COMPANY_NAME")</f>
        <v/>
      </c>
      <c r="M28" s="9" t="str">
        <f>_xll.SNL.Clients.Office.Excel.Functions.SPG(H28, "SP_PARENT_COUNTRY")</f>
        <v/>
      </c>
      <c r="N28" s="9" t="str">
        <f>_xll.SNL.Clients.Office.Excel.Functions.SPG(H28, "SP_COUNTRY_NAME")</f>
        <v>China</v>
      </c>
      <c r="O28" s="9" t="str">
        <f>_xll.SNL.Clients.Office.Excel.Functions.SPG(I28, "SP_ULT_PARENT_COMPANY_NAME")</f>
        <v/>
      </c>
      <c r="P28" s="9" t="str">
        <f>_xll.SNL.Clients.Office.Excel.Functions.SPG(I28, "SP_ULT_PARENT_COUNTRY")</f>
        <v/>
      </c>
      <c r="Q28" s="9" t="str">
        <f>_xll.SNL.Clients.Office.Excel.Functions.SPG(I28, "SP_PARENT_COMPANY_NAME")</f>
        <v/>
      </c>
      <c r="R28" s="9" t="str">
        <f>_xll.SNL.Clients.Office.Excel.Functions.SPG(I28, "SP_PARENT_COUNTRY")</f>
        <v/>
      </c>
      <c r="S28" s="9" t="str">
        <f>_xll.SNL.Clients.Office.Excel.Functions.SPG(I28, "SP_COUNTRY_NAME")</f>
        <v>China</v>
      </c>
    </row>
    <row r="29" spans="1:19" ht="58" x14ac:dyDescent="0.35">
      <c r="A29" s="5">
        <v>46022</v>
      </c>
      <c r="B29" s="4" t="s">
        <v>67</v>
      </c>
      <c r="C29" s="4" t="s">
        <v>68</v>
      </c>
      <c r="D29" s="4" t="s">
        <v>238</v>
      </c>
      <c r="E29" s="8">
        <v>4986961</v>
      </c>
      <c r="F29" s="7">
        <v>60</v>
      </c>
      <c r="G29" s="9" t="str">
        <f>[1]!SNLData("243327", $C29, "OWNER_LIST")</f>
        <v>Sichuan Yahua Industrial Group Co., Ltd. (Venturer) 60%; Private Interest (Venturer) 40%</v>
      </c>
      <c r="H29" s="9">
        <f>[1]!SNLData("243327", C29, "OWNER_SNL_INSTN_KEY", "Owner 1")</f>
        <v>4986961</v>
      </c>
      <c r="I29" s="9">
        <f>[1]!SNLData("243327", C29, "OWNER_SNL_INSTN_KEY", "Owner 2")</f>
        <v>4353456</v>
      </c>
      <c r="J29" s="9" t="str">
        <f>_xll.SNL.Clients.Office.Excel.Functions.SPG(H29, "SP_ULT_PARENT_COMPANY_NAME")</f>
        <v/>
      </c>
      <c r="K29" s="9" t="str">
        <f>_xll.SNL.Clients.Office.Excel.Functions.SPG(H29, "SP_ULT_PARENT_COUNTRY")</f>
        <v/>
      </c>
      <c r="L29" s="9" t="str">
        <f>_xll.SNL.Clients.Office.Excel.Functions.SPG(H29, "SP_PARENT_COMPANY_NAME")</f>
        <v/>
      </c>
      <c r="M29" s="9" t="str">
        <f>_xll.SNL.Clients.Office.Excel.Functions.SPG(H29, "SP_PARENT_COUNTRY")</f>
        <v/>
      </c>
      <c r="N29" s="9" t="str">
        <f>_xll.SNL.Clients.Office.Excel.Functions.SPG(H29, "SP_COUNTRY_NAME")</f>
        <v>China</v>
      </c>
      <c r="O29" s="9" t="str">
        <f>_xll.SNL.Clients.Office.Excel.Functions.SPG(I29, "SP_ULT_PARENT_COMPANY_NAME")</f>
        <v/>
      </c>
      <c r="P29" s="9" t="str">
        <f>_xll.SNL.Clients.Office.Excel.Functions.SPG(I29, "SP_ULT_PARENT_COUNTRY")</f>
        <v/>
      </c>
      <c r="Q29" s="9" t="str">
        <f>_xll.SNL.Clients.Office.Excel.Functions.SPG(I29, "SP_PARENT_COMPANY_NAME")</f>
        <v/>
      </c>
      <c r="R29" s="9" t="str">
        <f>_xll.SNL.Clients.Office.Excel.Functions.SPG(I29, "SP_PARENT_COUNTRY")</f>
        <v/>
      </c>
      <c r="S29" s="9" t="str">
        <f>_xll.SNL.Clients.Office.Excel.Functions.SPG(I29, "SP_COUNTRY_NAME")</f>
        <v>China</v>
      </c>
    </row>
    <row r="30" spans="1:19" ht="43.5" x14ac:dyDescent="0.35">
      <c r="A30" s="5">
        <v>46022</v>
      </c>
      <c r="B30" s="4" t="s">
        <v>69</v>
      </c>
      <c r="C30" s="4" t="s">
        <v>70</v>
      </c>
      <c r="D30" s="4" t="s">
        <v>239</v>
      </c>
      <c r="E30" s="8">
        <v>4351851</v>
      </c>
      <c r="F30" s="7">
        <v>100</v>
      </c>
      <c r="G30" s="9" t="str">
        <f>[1]!SNLData("243327", $C30, "OWNER_LIST")</f>
        <v>Ramelius Resources Limited (Fractional) %; Liontown Limited  100%</v>
      </c>
      <c r="H30" s="9">
        <f>[1]!SNLData("243327", C30, "OWNER_SNL_INSTN_KEY", "Owner 1")</f>
        <v>4351851</v>
      </c>
      <c r="I30" s="9">
        <f>[1]!SNLData("243327", C30, "OWNER_SNL_INSTN_KEY", "Owner 2")</f>
        <v>4353635</v>
      </c>
      <c r="J30" s="9" t="str">
        <f>_xll.SNL.Clients.Office.Excel.Functions.SPG(H30, "SP_ULT_PARENT_COMPANY_NAME")</f>
        <v/>
      </c>
      <c r="K30" s="9" t="str">
        <f>_xll.SNL.Clients.Office.Excel.Functions.SPG(H30, "SP_ULT_PARENT_COUNTRY")</f>
        <v/>
      </c>
      <c r="L30" s="9" t="str">
        <f>_xll.SNL.Clients.Office.Excel.Functions.SPG(H30, "SP_PARENT_COMPANY_NAME")</f>
        <v/>
      </c>
      <c r="M30" s="9" t="str">
        <f>_xll.SNL.Clients.Office.Excel.Functions.SPG(H30, "SP_PARENT_COUNTRY")</f>
        <v/>
      </c>
      <c r="N30" s="9" t="str">
        <f>_xll.SNL.Clients.Office.Excel.Functions.SPG(H30, "SP_COUNTRY_NAME")</f>
        <v>Australia</v>
      </c>
      <c r="O30" s="9" t="str">
        <f>_xll.SNL.Clients.Office.Excel.Functions.SPG(I30, "SP_ULT_PARENT_COMPANY_NAME")</f>
        <v/>
      </c>
      <c r="P30" s="9" t="str">
        <f>_xll.SNL.Clients.Office.Excel.Functions.SPG(I30, "SP_ULT_PARENT_COUNTRY")</f>
        <v/>
      </c>
      <c r="Q30" s="9" t="str">
        <f>_xll.SNL.Clients.Office.Excel.Functions.SPG(I30, "SP_PARENT_COMPANY_NAME")</f>
        <v/>
      </c>
      <c r="R30" s="9" t="str">
        <f>_xll.SNL.Clients.Office.Excel.Functions.SPG(I30, "SP_PARENT_COUNTRY")</f>
        <v/>
      </c>
      <c r="S30" s="9" t="str">
        <f>_xll.SNL.Clients.Office.Excel.Functions.SPG(I30, "SP_COUNTRY_NAME")</f>
        <v>Australia</v>
      </c>
    </row>
    <row r="31" spans="1:19" ht="58" x14ac:dyDescent="0.35">
      <c r="A31" s="5">
        <v>46022</v>
      </c>
      <c r="B31" s="4" t="s">
        <v>144</v>
      </c>
      <c r="C31" s="4" t="s">
        <v>145</v>
      </c>
      <c r="D31" s="4" t="s">
        <v>240</v>
      </c>
      <c r="E31" s="8">
        <v>22790587</v>
      </c>
      <c r="F31" s="7">
        <v>30</v>
      </c>
      <c r="G31" s="9" t="str">
        <f>[1]!SNLData("243327", $C31, "OWNER_LIST")</f>
        <v>Zijin Mining Group Company Limited (Venturer) 70%; Tibet Shengyuan Mining Group Co., Ltd. (Venturer) 30%</v>
      </c>
      <c r="H31" s="9">
        <f>[1]!SNLData("243327", C31, "OWNER_SNL_INSTN_KEY", "Owner 1")</f>
        <v>4355642</v>
      </c>
      <c r="I31" s="9">
        <f>[1]!SNLData("243327", C31, "OWNER_SNL_INSTN_KEY", "Owner 2")</f>
        <v>22790587</v>
      </c>
      <c r="J31" s="9" t="str">
        <f>_xll.SNL.Clients.Office.Excel.Functions.SPG(H31, "SP_ULT_PARENT_COMPANY_NAME")</f>
        <v/>
      </c>
      <c r="K31" s="9" t="str">
        <f>_xll.SNL.Clients.Office.Excel.Functions.SPG(H31, "SP_ULT_PARENT_COUNTRY")</f>
        <v/>
      </c>
      <c r="L31" s="9" t="str">
        <f>_xll.SNL.Clients.Office.Excel.Functions.SPG(H31, "SP_PARENT_COMPANY_NAME")</f>
        <v/>
      </c>
      <c r="M31" s="9" t="str">
        <f>_xll.SNL.Clients.Office.Excel.Functions.SPG(H31, "SP_PARENT_COUNTRY")</f>
        <v/>
      </c>
      <c r="N31" s="9" t="str">
        <f>_xll.SNL.Clients.Office.Excel.Functions.SPG(H31, "SP_COUNTRY_NAME")</f>
        <v>China</v>
      </c>
      <c r="O31" s="9" t="str">
        <f>_xll.SNL.Clients.Office.Excel.Functions.SPG(I31, "SP_ULT_PARENT_COMPANY_NAME")</f>
        <v/>
      </c>
      <c r="P31" s="9" t="str">
        <f>_xll.SNL.Clients.Office.Excel.Functions.SPG(I31, "SP_ULT_PARENT_COUNTRY")</f>
        <v/>
      </c>
      <c r="Q31" s="9" t="str">
        <f>_xll.SNL.Clients.Office.Excel.Functions.SPG(I31, "SP_PARENT_COMPANY_NAME")</f>
        <v/>
      </c>
      <c r="R31" s="9" t="str">
        <f>_xll.SNL.Clients.Office.Excel.Functions.SPG(I31, "SP_PARENT_COUNTRY")</f>
        <v/>
      </c>
      <c r="S31" s="9" t="str">
        <f>_xll.SNL.Clients.Office.Excel.Functions.SPG(I31, "SP_COUNTRY_NAME")</f>
        <v>China</v>
      </c>
    </row>
    <row r="32" spans="1:19" ht="58" x14ac:dyDescent="0.35">
      <c r="A32" s="5">
        <v>46022</v>
      </c>
      <c r="B32" s="4" t="s">
        <v>144</v>
      </c>
      <c r="C32" s="4" t="s">
        <v>145</v>
      </c>
      <c r="D32" s="4" t="s">
        <v>241</v>
      </c>
      <c r="E32" s="8">
        <v>4355642</v>
      </c>
      <c r="F32" s="7">
        <v>70</v>
      </c>
      <c r="G32" s="9" t="str">
        <f>[1]!SNLData("243327", $C32, "OWNER_LIST")</f>
        <v>Zijin Mining Group Company Limited (Venturer) 70%; Tibet Shengyuan Mining Group Co., Ltd. (Venturer) 30%</v>
      </c>
      <c r="H32" s="9">
        <f>[1]!SNLData("243327", C32, "OWNER_SNL_INSTN_KEY", "Owner 1")</f>
        <v>4355642</v>
      </c>
      <c r="I32" s="9">
        <f>[1]!SNLData("243327", C32, "OWNER_SNL_INSTN_KEY", "Owner 2")</f>
        <v>22790587</v>
      </c>
      <c r="J32" s="9" t="str">
        <f>_xll.SNL.Clients.Office.Excel.Functions.SPG(H32, "SP_ULT_PARENT_COMPANY_NAME")</f>
        <v/>
      </c>
      <c r="K32" s="9" t="str">
        <f>_xll.SNL.Clients.Office.Excel.Functions.SPG(H32, "SP_ULT_PARENT_COUNTRY")</f>
        <v/>
      </c>
      <c r="L32" s="9" t="str">
        <f>_xll.SNL.Clients.Office.Excel.Functions.SPG(H32, "SP_PARENT_COMPANY_NAME")</f>
        <v/>
      </c>
      <c r="M32" s="9" t="str">
        <f>_xll.SNL.Clients.Office.Excel.Functions.SPG(H32, "SP_PARENT_COUNTRY")</f>
        <v/>
      </c>
      <c r="N32" s="9" t="str">
        <f>_xll.SNL.Clients.Office.Excel.Functions.SPG(H32, "SP_COUNTRY_NAME")</f>
        <v>China</v>
      </c>
      <c r="O32" s="9" t="str">
        <f>_xll.SNL.Clients.Office.Excel.Functions.SPG(I32, "SP_ULT_PARENT_COMPANY_NAME")</f>
        <v/>
      </c>
      <c r="P32" s="9" t="str">
        <f>_xll.SNL.Clients.Office.Excel.Functions.SPG(I32, "SP_ULT_PARENT_COUNTRY")</f>
        <v/>
      </c>
      <c r="Q32" s="9" t="str">
        <f>_xll.SNL.Clients.Office.Excel.Functions.SPG(I32, "SP_PARENT_COMPANY_NAME")</f>
        <v/>
      </c>
      <c r="R32" s="9" t="str">
        <f>_xll.SNL.Clients.Office.Excel.Functions.SPG(I32, "SP_PARENT_COUNTRY")</f>
        <v/>
      </c>
      <c r="S32" s="9" t="str">
        <f>_xll.SNL.Clients.Office.Excel.Functions.SPG(I32, "SP_COUNTRY_NAME")</f>
        <v>China</v>
      </c>
    </row>
    <row r="33" spans="1:19" ht="29" x14ac:dyDescent="0.35">
      <c r="A33" s="5">
        <v>46022</v>
      </c>
      <c r="B33" s="4" t="s">
        <v>146</v>
      </c>
      <c r="C33" s="4" t="s">
        <v>147</v>
      </c>
      <c r="D33" s="4" t="s">
        <v>242</v>
      </c>
      <c r="E33" s="8">
        <v>4517340</v>
      </c>
      <c r="F33" s="7">
        <v>100</v>
      </c>
      <c r="G33" s="9" t="str">
        <f>[1]!SNLData("243327", $C33, "OWNER_LIST")</f>
        <v>Sichuan Dexin Mining Resources Co Ltd.  100%</v>
      </c>
      <c r="H33" s="9">
        <f>[1]!SNLData("243327", C33, "OWNER_SNL_INSTN_KEY", "Owner 1")</f>
        <v>4517340</v>
      </c>
      <c r="I33" s="9" t="str">
        <f>[1]!SNLData("243327", C33, "OWNER_SNL_INSTN_KEY", "Owner 2")</f>
        <v>NA</v>
      </c>
      <c r="J33" s="9" t="str">
        <f>_xll.SNL.Clients.Office.Excel.Functions.SPG(H33, "SP_ULT_PARENT_COMPANY_NAME")</f>
        <v/>
      </c>
      <c r="K33" s="9" t="str">
        <f>_xll.SNL.Clients.Office.Excel.Functions.SPG(H33, "SP_ULT_PARENT_COUNTRY")</f>
        <v/>
      </c>
      <c r="L33" s="9" t="str">
        <f>_xll.SNL.Clients.Office.Excel.Functions.SPG(H33, "SP_PARENT_COMPANY_NAME")</f>
        <v/>
      </c>
      <c r="M33" s="9" t="str">
        <f>_xll.SNL.Clients.Office.Excel.Functions.SPG(H33, "SP_PARENT_COUNTRY")</f>
        <v/>
      </c>
      <c r="N33" s="9" t="str">
        <f>_xll.SNL.Clients.Office.Excel.Functions.SPG(H33, "SP_COUNTRY_NAME")</f>
        <v>China</v>
      </c>
      <c r="O33" s="9" t="str">
        <f>_xll.SNL.Clients.Office.Excel.Functions.SPG(I33, "SP_ULT_PARENT_COMPANY_NAME")</f>
        <v/>
      </c>
      <c r="P33" s="9" t="str">
        <f>_xll.SNL.Clients.Office.Excel.Functions.SPG(I33, "SP_ULT_PARENT_COUNTRY")</f>
        <v/>
      </c>
      <c r="Q33" s="9" t="str">
        <f>_xll.SNL.Clients.Office.Excel.Functions.SPG(I33, "SP_PARENT_COMPANY_NAME")</f>
        <v/>
      </c>
      <c r="R33" s="9" t="str">
        <f>_xll.SNL.Clients.Office.Excel.Functions.SPG(I33, "SP_PARENT_COUNTRY")</f>
        <v/>
      </c>
      <c r="S33" s="9" t="str">
        <f>_xll.SNL.Clients.Office.Excel.Functions.SPG(I33, "SP_COUNTRY_NAME")</f>
        <v>China</v>
      </c>
    </row>
    <row r="34" spans="1:19" ht="29" x14ac:dyDescent="0.35">
      <c r="A34" s="5">
        <v>46022</v>
      </c>
      <c r="B34" s="4" t="s">
        <v>148</v>
      </c>
      <c r="C34" s="4" t="s">
        <v>149</v>
      </c>
      <c r="D34" s="4" t="s">
        <v>232</v>
      </c>
      <c r="E34" s="8">
        <v>4361422</v>
      </c>
      <c r="F34" s="7">
        <v>100</v>
      </c>
      <c r="G34" s="9" t="str">
        <f>[1]!SNLData("243327", $C34, "OWNER_LIST")</f>
        <v>Ganfeng Lithium Group Co., Ltd.  100%</v>
      </c>
      <c r="H34" s="9">
        <f>[1]!SNLData("243327", C34, "OWNER_SNL_INSTN_KEY", "Owner 1")</f>
        <v>4361422</v>
      </c>
      <c r="I34" s="9" t="str">
        <f>[1]!SNLData("243327", C34, "OWNER_SNL_INSTN_KEY", "Owner 2")</f>
        <v>NA</v>
      </c>
      <c r="J34" s="9" t="str">
        <f>_xll.SNL.Clients.Office.Excel.Functions.SPG(H34, "SP_ULT_PARENT_COMPANY_NAME")</f>
        <v/>
      </c>
      <c r="K34" s="9" t="str">
        <f>_xll.SNL.Clients.Office.Excel.Functions.SPG(H34, "SP_ULT_PARENT_COUNTRY")</f>
        <v/>
      </c>
      <c r="L34" s="9" t="str">
        <f>_xll.SNL.Clients.Office.Excel.Functions.SPG(H34, "SP_PARENT_COMPANY_NAME")</f>
        <v/>
      </c>
      <c r="M34" s="9" t="str">
        <f>_xll.SNL.Clients.Office.Excel.Functions.SPG(H34, "SP_PARENT_COUNTRY")</f>
        <v/>
      </c>
      <c r="N34" s="9" t="str">
        <f>_xll.SNL.Clients.Office.Excel.Functions.SPG(H34, "SP_COUNTRY_NAME")</f>
        <v>China</v>
      </c>
      <c r="O34" s="9" t="str">
        <f>_xll.SNL.Clients.Office.Excel.Functions.SPG(I34, "SP_ULT_PARENT_COMPANY_NAME")</f>
        <v/>
      </c>
      <c r="P34" s="9" t="str">
        <f>_xll.SNL.Clients.Office.Excel.Functions.SPG(I34, "SP_ULT_PARENT_COUNTRY")</f>
        <v/>
      </c>
      <c r="Q34" s="9" t="str">
        <f>_xll.SNL.Clients.Office.Excel.Functions.SPG(I34, "SP_PARENT_COMPANY_NAME")</f>
        <v/>
      </c>
      <c r="R34" s="9" t="str">
        <f>_xll.SNL.Clients.Office.Excel.Functions.SPG(I34, "SP_PARENT_COUNTRY")</f>
        <v/>
      </c>
      <c r="S34" s="9" t="str">
        <f>_xll.SNL.Clients.Office.Excel.Functions.SPG(I34, "SP_COUNTRY_NAME")</f>
        <v>China</v>
      </c>
    </row>
    <row r="35" spans="1:19" ht="58" x14ac:dyDescent="0.35">
      <c r="A35" s="5">
        <v>46022</v>
      </c>
      <c r="B35" s="4" t="s">
        <v>71</v>
      </c>
      <c r="C35" s="4" t="s">
        <v>72</v>
      </c>
      <c r="D35" s="4" t="s">
        <v>232</v>
      </c>
      <c r="E35" s="8">
        <v>4361422</v>
      </c>
      <c r="F35" s="7">
        <v>50</v>
      </c>
      <c r="G35" s="9" t="str">
        <f>[1]!SNLData("243327", $C35, "OWNER_LIST")</f>
        <v>Mineral Resources Limited (Venturer) 50%; Ganfeng Lithium Group Co., Ltd. (Venturer) 50%</v>
      </c>
      <c r="H35" s="9">
        <f>[1]!SNLData("243327", C35, "OWNER_SNL_INSTN_KEY", "Owner 1")</f>
        <v>4352438</v>
      </c>
      <c r="I35" s="9">
        <f>[1]!SNLData("243327", C35, "OWNER_SNL_INSTN_KEY", "Owner 2")</f>
        <v>4361422</v>
      </c>
      <c r="J35" s="9" t="str">
        <f>_xll.SNL.Clients.Office.Excel.Functions.SPG(H35, "SP_ULT_PARENT_COMPANY_NAME")</f>
        <v/>
      </c>
      <c r="K35" s="9" t="str">
        <f>_xll.SNL.Clients.Office.Excel.Functions.SPG(H35, "SP_ULT_PARENT_COUNTRY")</f>
        <v/>
      </c>
      <c r="L35" s="9" t="str">
        <f>_xll.SNL.Clients.Office.Excel.Functions.SPG(H35, "SP_PARENT_COMPANY_NAME")</f>
        <v/>
      </c>
      <c r="M35" s="9" t="str">
        <f>_xll.SNL.Clients.Office.Excel.Functions.SPG(H35, "SP_PARENT_COUNTRY")</f>
        <v/>
      </c>
      <c r="N35" s="9" t="str">
        <f>_xll.SNL.Clients.Office.Excel.Functions.SPG(H35, "SP_COUNTRY_NAME")</f>
        <v>Australia</v>
      </c>
      <c r="O35" s="9" t="str">
        <f>_xll.SNL.Clients.Office.Excel.Functions.SPG(I35, "SP_ULT_PARENT_COMPANY_NAME")</f>
        <v/>
      </c>
      <c r="P35" s="9" t="str">
        <f>_xll.SNL.Clients.Office.Excel.Functions.SPG(I35, "SP_ULT_PARENT_COUNTRY")</f>
        <v/>
      </c>
      <c r="Q35" s="9" t="str">
        <f>_xll.SNL.Clients.Office.Excel.Functions.SPG(I35, "SP_PARENT_COMPANY_NAME")</f>
        <v/>
      </c>
      <c r="R35" s="9" t="str">
        <f>_xll.SNL.Clients.Office.Excel.Functions.SPG(I35, "SP_PARENT_COUNTRY")</f>
        <v/>
      </c>
      <c r="S35" s="9" t="str">
        <f>_xll.SNL.Clients.Office.Excel.Functions.SPG(I35, "SP_COUNTRY_NAME")</f>
        <v>China</v>
      </c>
    </row>
    <row r="36" spans="1:19" ht="58" x14ac:dyDescent="0.35">
      <c r="A36" s="5">
        <v>46022</v>
      </c>
      <c r="B36" s="4" t="s">
        <v>71</v>
      </c>
      <c r="C36" s="4" t="s">
        <v>72</v>
      </c>
      <c r="D36" s="4" t="s">
        <v>243</v>
      </c>
      <c r="E36" s="8">
        <v>4352438</v>
      </c>
      <c r="F36" s="7">
        <v>50</v>
      </c>
      <c r="G36" s="9" t="str">
        <f>[1]!SNLData("243327", $C36, "OWNER_LIST")</f>
        <v>Mineral Resources Limited (Venturer) 50%; Ganfeng Lithium Group Co., Ltd. (Venturer) 50%</v>
      </c>
      <c r="H36" s="9">
        <f>[1]!SNLData("243327", C36, "OWNER_SNL_INSTN_KEY", "Owner 1")</f>
        <v>4352438</v>
      </c>
      <c r="I36" s="9">
        <f>[1]!SNLData("243327", C36, "OWNER_SNL_INSTN_KEY", "Owner 2")</f>
        <v>4361422</v>
      </c>
      <c r="J36" s="9" t="str">
        <f>_xll.SNL.Clients.Office.Excel.Functions.SPG(H36, "SP_ULT_PARENT_COMPANY_NAME")</f>
        <v/>
      </c>
      <c r="K36" s="9" t="str">
        <f>_xll.SNL.Clients.Office.Excel.Functions.SPG(H36, "SP_ULT_PARENT_COUNTRY")</f>
        <v/>
      </c>
      <c r="L36" s="9" t="str">
        <f>_xll.SNL.Clients.Office.Excel.Functions.SPG(H36, "SP_PARENT_COMPANY_NAME")</f>
        <v/>
      </c>
      <c r="M36" s="9" t="str">
        <f>_xll.SNL.Clients.Office.Excel.Functions.SPG(H36, "SP_PARENT_COUNTRY")</f>
        <v/>
      </c>
      <c r="N36" s="9" t="str">
        <f>_xll.SNL.Clients.Office.Excel.Functions.SPG(H36, "SP_COUNTRY_NAME")</f>
        <v>Australia</v>
      </c>
      <c r="O36" s="9" t="str">
        <f>_xll.SNL.Clients.Office.Excel.Functions.SPG(I36, "SP_ULT_PARENT_COMPANY_NAME")</f>
        <v/>
      </c>
      <c r="P36" s="9" t="str">
        <f>_xll.SNL.Clients.Office.Excel.Functions.SPG(I36, "SP_ULT_PARENT_COUNTRY")</f>
        <v/>
      </c>
      <c r="Q36" s="9" t="str">
        <f>_xll.SNL.Clients.Office.Excel.Functions.SPG(I36, "SP_PARENT_COMPANY_NAME")</f>
        <v/>
      </c>
      <c r="R36" s="9" t="str">
        <f>_xll.SNL.Clients.Office.Excel.Functions.SPG(I36, "SP_PARENT_COUNTRY")</f>
        <v/>
      </c>
      <c r="S36" s="9" t="str">
        <f>_xll.SNL.Clients.Office.Excel.Functions.SPG(I36, "SP_COUNTRY_NAME")</f>
        <v>China</v>
      </c>
    </row>
    <row r="37" spans="1:19" x14ac:dyDescent="0.35">
      <c r="A37" s="5">
        <v>46022</v>
      </c>
      <c r="B37" s="4" t="s">
        <v>73</v>
      </c>
      <c r="C37" s="4" t="s">
        <v>74</v>
      </c>
      <c r="D37" s="4" t="s">
        <v>244</v>
      </c>
      <c r="E37" s="8">
        <v>4149660</v>
      </c>
      <c r="F37" s="7">
        <v>100</v>
      </c>
      <c r="G37" s="9" t="str">
        <f>[1]!SNLData("243327", $C37, "OWNER_LIST")</f>
        <v>Rio Tinto Group  100%</v>
      </c>
      <c r="H37" s="9">
        <f>[1]!SNLData("243327", C37, "OWNER_SNL_INSTN_KEY", "Owner 1")</f>
        <v>4149660</v>
      </c>
      <c r="I37" s="9" t="str">
        <f>[1]!SNLData("243327", C37, "OWNER_SNL_INSTN_KEY", "Owner 2")</f>
        <v>NA</v>
      </c>
      <c r="J37" s="9" t="str">
        <f>_xll.SNL.Clients.Office.Excel.Functions.SPG(H37, "SP_ULT_PARENT_COMPANY_NAME")</f>
        <v/>
      </c>
      <c r="K37" s="9" t="str">
        <f>_xll.SNL.Clients.Office.Excel.Functions.SPG(H37, "SP_ULT_PARENT_COUNTRY")</f>
        <v/>
      </c>
      <c r="L37" s="9" t="str">
        <f>_xll.SNL.Clients.Office.Excel.Functions.SPG(H37, "SP_PARENT_COMPANY_NAME")</f>
        <v/>
      </c>
      <c r="M37" s="9" t="str">
        <f>_xll.SNL.Clients.Office.Excel.Functions.SPG(H37, "SP_PARENT_COUNTRY")</f>
        <v/>
      </c>
      <c r="N37" s="9" t="str">
        <f>_xll.SNL.Clients.Office.Excel.Functions.SPG(H37, "SP_COUNTRY_NAME")</f>
        <v>United Kingdom</v>
      </c>
      <c r="O37" s="9" t="str">
        <f>_xll.SNL.Clients.Office.Excel.Functions.SPG(I37, "SP_ULT_PARENT_COMPANY_NAME")</f>
        <v/>
      </c>
      <c r="P37" s="9" t="str">
        <f>_xll.SNL.Clients.Office.Excel.Functions.SPG(I37, "SP_ULT_PARENT_COUNTRY")</f>
        <v/>
      </c>
      <c r="Q37" s="9" t="str">
        <f>_xll.SNL.Clients.Office.Excel.Functions.SPG(I37, "SP_PARENT_COMPANY_NAME")</f>
        <v/>
      </c>
      <c r="R37" s="9" t="str">
        <f>_xll.SNL.Clients.Office.Excel.Functions.SPG(I37, "SP_PARENT_COUNTRY")</f>
        <v/>
      </c>
      <c r="S37" s="9" t="str">
        <f>_xll.SNL.Clients.Office.Excel.Functions.SPG(I37, "SP_COUNTRY_NAME")</f>
        <v>China</v>
      </c>
    </row>
    <row r="38" spans="1:19" ht="58" x14ac:dyDescent="0.35">
      <c r="A38" s="5">
        <v>46022</v>
      </c>
      <c r="B38" s="4" t="s">
        <v>75</v>
      </c>
      <c r="C38" s="4" t="s">
        <v>76</v>
      </c>
      <c r="D38" s="4" t="s">
        <v>245</v>
      </c>
      <c r="E38" s="8">
        <v>4354366</v>
      </c>
      <c r="F38" s="7">
        <v>50</v>
      </c>
      <c r="G38" s="9" t="str">
        <f>[1]!SNLData("243327", $C38, "OWNER_LIST")</f>
        <v>Sociedad Química y Minera de Chile S.A. (Venturer) 50%; Wesfarmers Limited (Venturer) 50%</v>
      </c>
      <c r="H38" s="9">
        <f>[1]!SNLData("243327", C38, "OWNER_SNL_INSTN_KEY", "Owner 1")</f>
        <v>4181751</v>
      </c>
      <c r="I38" s="9">
        <f>[1]!SNLData("243327", C38, "OWNER_SNL_INSTN_KEY", "Owner 2")</f>
        <v>4354366</v>
      </c>
      <c r="J38" s="9" t="str">
        <f>_xll.SNL.Clients.Office.Excel.Functions.SPG(H38, "SP_ULT_PARENT_COMPANY_NAME")</f>
        <v/>
      </c>
      <c r="K38" s="9" t="str">
        <f>_xll.SNL.Clients.Office.Excel.Functions.SPG(H38, "SP_ULT_PARENT_COUNTRY")</f>
        <v/>
      </c>
      <c r="L38" s="9" t="str">
        <f>_xll.SNL.Clients.Office.Excel.Functions.SPG(H38, "SP_PARENT_COMPANY_NAME")</f>
        <v/>
      </c>
      <c r="M38" s="9" t="str">
        <f>_xll.SNL.Clients.Office.Excel.Functions.SPG(H38, "SP_PARENT_COUNTRY")</f>
        <v/>
      </c>
      <c r="N38" s="9" t="str">
        <f>_xll.SNL.Clients.Office.Excel.Functions.SPG(H38, "SP_COUNTRY_NAME")</f>
        <v>Australia</v>
      </c>
      <c r="O38" s="9" t="str">
        <f>_xll.SNL.Clients.Office.Excel.Functions.SPG(I38, "SP_ULT_PARENT_COMPANY_NAME")</f>
        <v/>
      </c>
      <c r="P38" s="9" t="str">
        <f>_xll.SNL.Clients.Office.Excel.Functions.SPG(I38, "SP_ULT_PARENT_COUNTRY")</f>
        <v/>
      </c>
      <c r="Q38" s="9" t="str">
        <f>_xll.SNL.Clients.Office.Excel.Functions.SPG(I38, "SP_PARENT_COMPANY_NAME")</f>
        <v/>
      </c>
      <c r="R38" s="9" t="str">
        <f>_xll.SNL.Clients.Office.Excel.Functions.SPG(I38, "SP_PARENT_COUNTRY")</f>
        <v/>
      </c>
      <c r="S38" s="9" t="str">
        <f>_xll.SNL.Clients.Office.Excel.Functions.SPG(I38, "SP_COUNTRY_NAME")</f>
        <v>Chile</v>
      </c>
    </row>
    <row r="39" spans="1:19" ht="58" x14ac:dyDescent="0.35">
      <c r="A39" s="5">
        <v>46022</v>
      </c>
      <c r="B39" s="4" t="s">
        <v>75</v>
      </c>
      <c r="C39" s="4" t="s">
        <v>76</v>
      </c>
      <c r="D39" s="4" t="s">
        <v>246</v>
      </c>
      <c r="E39" s="8">
        <v>4181751</v>
      </c>
      <c r="F39" s="7">
        <v>50</v>
      </c>
      <c r="G39" s="9" t="str">
        <f>[1]!SNLData("243327", $C39, "OWNER_LIST")</f>
        <v>Sociedad Química y Minera de Chile S.A. (Venturer) 50%; Wesfarmers Limited (Venturer) 50%</v>
      </c>
      <c r="H39" s="9">
        <f>[1]!SNLData("243327", C39, "OWNER_SNL_INSTN_KEY", "Owner 1")</f>
        <v>4181751</v>
      </c>
      <c r="I39" s="9">
        <f>[1]!SNLData("243327", C39, "OWNER_SNL_INSTN_KEY", "Owner 2")</f>
        <v>4354366</v>
      </c>
      <c r="J39" s="9" t="str">
        <f>_xll.SNL.Clients.Office.Excel.Functions.SPG(H39, "SP_ULT_PARENT_COMPANY_NAME")</f>
        <v/>
      </c>
      <c r="K39" s="9" t="str">
        <f>_xll.SNL.Clients.Office.Excel.Functions.SPG(H39, "SP_ULT_PARENT_COUNTRY")</f>
        <v/>
      </c>
      <c r="L39" s="9" t="str">
        <f>_xll.SNL.Clients.Office.Excel.Functions.SPG(H39, "SP_PARENT_COMPANY_NAME")</f>
        <v/>
      </c>
      <c r="M39" s="9" t="str">
        <f>_xll.SNL.Clients.Office.Excel.Functions.SPG(H39, "SP_PARENT_COUNTRY")</f>
        <v/>
      </c>
      <c r="N39" s="9" t="str">
        <f>_xll.SNL.Clients.Office.Excel.Functions.SPG(H39, "SP_COUNTRY_NAME")</f>
        <v>Australia</v>
      </c>
      <c r="O39" s="9" t="str">
        <f>_xll.SNL.Clients.Office.Excel.Functions.SPG(I39, "SP_ULT_PARENT_COMPANY_NAME")</f>
        <v/>
      </c>
      <c r="P39" s="9" t="str">
        <f>_xll.SNL.Clients.Office.Excel.Functions.SPG(I39, "SP_ULT_PARENT_COUNTRY")</f>
        <v/>
      </c>
      <c r="Q39" s="9" t="str">
        <f>_xll.SNL.Clients.Office.Excel.Functions.SPG(I39, "SP_PARENT_COMPANY_NAME")</f>
        <v/>
      </c>
      <c r="R39" s="9" t="str">
        <f>_xll.SNL.Clients.Office.Excel.Functions.SPG(I39, "SP_PARENT_COUNTRY")</f>
        <v/>
      </c>
      <c r="S39" s="9" t="str">
        <f>_xll.SNL.Clients.Office.Excel.Functions.SPG(I39, "SP_COUNTRY_NAME")</f>
        <v>Chile</v>
      </c>
    </row>
    <row r="40" spans="1:19" x14ac:dyDescent="0.35">
      <c r="A40" s="5">
        <v>46022</v>
      </c>
      <c r="B40" s="4" t="s">
        <v>77</v>
      </c>
      <c r="C40" s="4" t="s">
        <v>78</v>
      </c>
      <c r="D40" s="4" t="s">
        <v>247</v>
      </c>
      <c r="E40" s="8">
        <v>4349737</v>
      </c>
      <c r="F40" s="7">
        <v>100</v>
      </c>
      <c r="G40" s="9" t="str">
        <f>[1]!SNLData("243327", $C40, "OWNER_LIST")</f>
        <v>Elevra Lithium Limited  100%</v>
      </c>
      <c r="H40" s="9">
        <f>[1]!SNLData("243327", C40, "OWNER_SNL_INSTN_KEY", "Owner 1")</f>
        <v>4349737</v>
      </c>
      <c r="I40" s="9" t="str">
        <f>[1]!SNLData("243327", C40, "OWNER_SNL_INSTN_KEY", "Owner 2")</f>
        <v>NA</v>
      </c>
      <c r="J40" s="9" t="str">
        <f>_xll.SNL.Clients.Office.Excel.Functions.SPG(H40, "SP_ULT_PARENT_COMPANY_NAME")</f>
        <v/>
      </c>
      <c r="K40" s="9" t="str">
        <f>_xll.SNL.Clients.Office.Excel.Functions.SPG(H40, "SP_ULT_PARENT_COUNTRY")</f>
        <v/>
      </c>
      <c r="L40" s="9" t="str">
        <f>_xll.SNL.Clients.Office.Excel.Functions.SPG(H40, "SP_PARENT_COMPANY_NAME")</f>
        <v/>
      </c>
      <c r="M40" s="9" t="str">
        <f>_xll.SNL.Clients.Office.Excel.Functions.SPG(H40, "SP_PARENT_COUNTRY")</f>
        <v/>
      </c>
      <c r="N40" s="9" t="str">
        <f>_xll.SNL.Clients.Office.Excel.Functions.SPG(H40, "SP_COUNTRY_NAME")</f>
        <v>Australia</v>
      </c>
      <c r="O40" s="9" t="str">
        <f>_xll.SNL.Clients.Office.Excel.Functions.SPG(I40, "SP_ULT_PARENT_COMPANY_NAME")</f>
        <v/>
      </c>
      <c r="P40" s="9" t="str">
        <f>_xll.SNL.Clients.Office.Excel.Functions.SPG(I40, "SP_ULT_PARENT_COUNTRY")</f>
        <v/>
      </c>
      <c r="Q40" s="9" t="str">
        <f>_xll.SNL.Clients.Office.Excel.Functions.SPG(I40, "SP_PARENT_COMPANY_NAME")</f>
        <v/>
      </c>
      <c r="R40" s="9" t="str">
        <f>_xll.SNL.Clients.Office.Excel.Functions.SPG(I40, "SP_PARENT_COUNTRY")</f>
        <v/>
      </c>
      <c r="S40" s="9" t="str">
        <f>_xll.SNL.Clients.Office.Excel.Functions.SPG(I40, "SP_COUNTRY_NAME")</f>
        <v>China</v>
      </c>
    </row>
    <row r="41" spans="1:19" ht="43.5" x14ac:dyDescent="0.35">
      <c r="A41" s="5">
        <v>46022</v>
      </c>
      <c r="B41" s="4" t="s">
        <v>80</v>
      </c>
      <c r="C41" s="4" t="s">
        <v>81</v>
      </c>
      <c r="D41" s="4" t="s">
        <v>248</v>
      </c>
      <c r="E41" s="8">
        <v>4364524</v>
      </c>
      <c r="F41" s="7">
        <v>100</v>
      </c>
      <c r="G41" s="9" t="str">
        <f>[1]!SNLData("243327", $C41, "OWNER_LIST")</f>
        <v>Trek Metals Limited (Fractional) %; PLS Group Limited  100%</v>
      </c>
      <c r="H41" s="9">
        <f>[1]!SNLData("243327", C41, "OWNER_SNL_INSTN_KEY", "Owner 1")</f>
        <v>4364524</v>
      </c>
      <c r="I41" s="9">
        <f>[1]!SNLData("243327", C41, "OWNER_SNL_INSTN_KEY", "Owner 2")</f>
        <v>4355585</v>
      </c>
      <c r="J41" s="9" t="str">
        <f>_xll.SNL.Clients.Office.Excel.Functions.SPG(H41, "SP_ULT_PARENT_COMPANY_NAME")</f>
        <v/>
      </c>
      <c r="K41" s="9" t="str">
        <f>_xll.SNL.Clients.Office.Excel.Functions.SPG(H41, "SP_ULT_PARENT_COUNTRY")</f>
        <v/>
      </c>
      <c r="L41" s="9" t="str">
        <f>_xll.SNL.Clients.Office.Excel.Functions.SPG(H41, "SP_PARENT_COMPANY_NAME")</f>
        <v/>
      </c>
      <c r="M41" s="9" t="str">
        <f>_xll.SNL.Clients.Office.Excel.Functions.SPG(H41, "SP_PARENT_COUNTRY")</f>
        <v/>
      </c>
      <c r="N41" s="9" t="str">
        <f>_xll.SNL.Clients.Office.Excel.Functions.SPG(H41, "SP_COUNTRY_NAME")</f>
        <v>Australia</v>
      </c>
      <c r="O41" s="9" t="str">
        <f>_xll.SNL.Clients.Office.Excel.Functions.SPG(I41, "SP_ULT_PARENT_COMPANY_NAME")</f>
        <v/>
      </c>
      <c r="P41" s="9" t="str">
        <f>_xll.SNL.Clients.Office.Excel.Functions.SPG(I41, "SP_ULT_PARENT_COUNTRY")</f>
        <v/>
      </c>
      <c r="Q41" s="9" t="str">
        <f>_xll.SNL.Clients.Office.Excel.Functions.SPG(I41, "SP_PARENT_COMPANY_NAME")</f>
        <v/>
      </c>
      <c r="R41" s="9" t="str">
        <f>_xll.SNL.Clients.Office.Excel.Functions.SPG(I41, "SP_PARENT_COUNTRY")</f>
        <v/>
      </c>
      <c r="S41" s="9" t="str">
        <f>_xll.SNL.Clients.Office.Excel.Functions.SPG(I41, "SP_COUNTRY_NAME")</f>
        <v>Australia</v>
      </c>
    </row>
    <row r="42" spans="1:19" ht="29" x14ac:dyDescent="0.35">
      <c r="A42" s="5">
        <v>46022</v>
      </c>
      <c r="B42" s="4" t="s">
        <v>151</v>
      </c>
      <c r="C42" s="4" t="s">
        <v>152</v>
      </c>
      <c r="D42" s="4" t="s">
        <v>249</v>
      </c>
      <c r="E42" s="8">
        <v>4993645</v>
      </c>
      <c r="F42" s="7">
        <v>100</v>
      </c>
      <c r="G42" s="9" t="str">
        <f>[1]!SNLData("243327", $C42, "OWNER_LIST")</f>
        <v>Zangge Mining Company Limited  100%</v>
      </c>
      <c r="H42" s="9">
        <f>[1]!SNLData("243327", C42, "OWNER_SNL_INSTN_KEY", "Owner 1")</f>
        <v>4993645</v>
      </c>
      <c r="I42" s="9" t="str">
        <f>[1]!SNLData("243327", C42, "OWNER_SNL_INSTN_KEY", "Owner 2")</f>
        <v>NA</v>
      </c>
      <c r="J42" s="9" t="str">
        <f>_xll.SNL.Clients.Office.Excel.Functions.SPG(H42, "SP_ULT_PARENT_COMPANY_NAME")</f>
        <v/>
      </c>
      <c r="K42" s="9" t="str">
        <f>_xll.SNL.Clients.Office.Excel.Functions.SPG(H42, "SP_ULT_PARENT_COUNTRY")</f>
        <v/>
      </c>
      <c r="L42" s="9" t="str">
        <f>_xll.SNL.Clients.Office.Excel.Functions.SPG(H42, "SP_PARENT_COMPANY_NAME")</f>
        <v/>
      </c>
      <c r="M42" s="9" t="str">
        <f>_xll.SNL.Clients.Office.Excel.Functions.SPG(H42, "SP_PARENT_COUNTRY")</f>
        <v/>
      </c>
      <c r="N42" s="9" t="str">
        <f>_xll.SNL.Clients.Office.Excel.Functions.SPG(H42, "SP_COUNTRY_NAME")</f>
        <v>China</v>
      </c>
      <c r="O42" s="9" t="str">
        <f>_xll.SNL.Clients.Office.Excel.Functions.SPG(I42, "SP_ULT_PARENT_COMPANY_NAME")</f>
        <v/>
      </c>
      <c r="P42" s="9" t="str">
        <f>_xll.SNL.Clients.Office.Excel.Functions.SPG(I42, "SP_ULT_PARENT_COUNTRY")</f>
        <v/>
      </c>
      <c r="Q42" s="9" t="str">
        <f>_xll.SNL.Clients.Office.Excel.Functions.SPG(I42, "SP_PARENT_COMPANY_NAME")</f>
        <v/>
      </c>
      <c r="R42" s="9" t="str">
        <f>_xll.SNL.Clients.Office.Excel.Functions.SPG(I42, "SP_PARENT_COUNTRY")</f>
        <v/>
      </c>
      <c r="S42" s="9" t="str">
        <f>_xll.SNL.Clients.Office.Excel.Functions.SPG(I42, "SP_COUNTRY_NAME")</f>
        <v>China</v>
      </c>
    </row>
    <row r="43" spans="1:19" ht="87" x14ac:dyDescent="0.35">
      <c r="A43" s="5">
        <v>46022</v>
      </c>
      <c r="B43" s="4" t="s">
        <v>153</v>
      </c>
      <c r="C43" s="4" t="s">
        <v>154</v>
      </c>
      <c r="D43" s="4" t="s">
        <v>250</v>
      </c>
      <c r="E43" s="8">
        <v>4331450</v>
      </c>
      <c r="F43" s="7">
        <v>51</v>
      </c>
      <c r="G43" s="9" t="str">
        <f>[1]!SNLData("243327", $C43, "OWNER_LIST")</f>
        <v>Ganfeng Lithium Group Co., Ltd. (Venturer) 49%; China Minmetals Corporation (Venturer) 51%</v>
      </c>
      <c r="H43" s="9">
        <f>[1]!SNLData("243327", C43, "OWNER_SNL_INSTN_KEY", "Owner 1")</f>
        <v>4331450</v>
      </c>
      <c r="I43" s="9">
        <f>[1]!SNLData("243327", C43, "OWNER_SNL_INSTN_KEY", "Owner 2")</f>
        <v>4361422</v>
      </c>
      <c r="J43" s="9" t="str">
        <f>_xll.SNL.Clients.Office.Excel.Functions.SPG(H43, "SP_ULT_PARENT_COMPANY_NAME")</f>
        <v>State-owned Assets Supervision and Administration Commission of the State Counci</v>
      </c>
      <c r="K43" s="9" t="str">
        <f>_xll.SNL.Clients.Office.Excel.Functions.SPG(H43, "SP_ULT_PARENT_COUNTRY")</f>
        <v>China</v>
      </c>
      <c r="L43" s="9" t="str">
        <f>_xll.SNL.Clients.Office.Excel.Functions.SPG(H43, "SP_PARENT_COMPANY_NAME")</f>
        <v>State-owned Assets Supervision and Administration Commission of the State Counci</v>
      </c>
      <c r="M43" s="9" t="str">
        <f>_xll.SNL.Clients.Office.Excel.Functions.SPG(H43, "SP_PARENT_COUNTRY")</f>
        <v>China</v>
      </c>
      <c r="N43" s="9" t="str">
        <f>_xll.SNL.Clients.Office.Excel.Functions.SPG(H43, "SP_COUNTRY_NAME")</f>
        <v>China</v>
      </c>
      <c r="O43" s="9" t="str">
        <f>_xll.SNL.Clients.Office.Excel.Functions.SPG(I43, "SP_ULT_PARENT_COMPANY_NAME")</f>
        <v/>
      </c>
      <c r="P43" s="9" t="str">
        <f>_xll.SNL.Clients.Office.Excel.Functions.SPG(I43, "SP_ULT_PARENT_COUNTRY")</f>
        <v/>
      </c>
      <c r="Q43" s="9" t="str">
        <f>_xll.SNL.Clients.Office.Excel.Functions.SPG(I43, "SP_PARENT_COMPANY_NAME")</f>
        <v/>
      </c>
      <c r="R43" s="9" t="str">
        <f>_xll.SNL.Clients.Office.Excel.Functions.SPG(I43, "SP_PARENT_COUNTRY")</f>
        <v/>
      </c>
      <c r="S43" s="9" t="str">
        <f>_xll.SNL.Clients.Office.Excel.Functions.SPG(I43, "SP_COUNTRY_NAME")</f>
        <v>China</v>
      </c>
    </row>
    <row r="44" spans="1:19" ht="87" x14ac:dyDescent="0.35">
      <c r="A44" s="5">
        <v>46022</v>
      </c>
      <c r="B44" s="4" t="s">
        <v>153</v>
      </c>
      <c r="C44" s="4" t="s">
        <v>154</v>
      </c>
      <c r="D44" s="4" t="s">
        <v>232</v>
      </c>
      <c r="E44" s="8">
        <v>4361422</v>
      </c>
      <c r="F44" s="7">
        <v>49</v>
      </c>
      <c r="G44" s="9" t="str">
        <f>[1]!SNLData("243327", $C44, "OWNER_LIST")</f>
        <v>Ganfeng Lithium Group Co., Ltd. (Venturer) 49%; China Minmetals Corporation (Venturer) 51%</v>
      </c>
      <c r="H44" s="9">
        <f>[1]!SNLData("243327", C44, "OWNER_SNL_INSTN_KEY", "Owner 1")</f>
        <v>4331450</v>
      </c>
      <c r="I44" s="9">
        <f>[1]!SNLData("243327", C44, "OWNER_SNL_INSTN_KEY", "Owner 2")</f>
        <v>4361422</v>
      </c>
      <c r="J44" s="9" t="str">
        <f>_xll.SNL.Clients.Office.Excel.Functions.SPG(H44, "SP_ULT_PARENT_COMPANY_NAME")</f>
        <v>State-owned Assets Supervision and Administration Commission of the State Counci</v>
      </c>
      <c r="K44" s="9" t="str">
        <f>_xll.SNL.Clients.Office.Excel.Functions.SPG(H44, "SP_ULT_PARENT_COUNTRY")</f>
        <v>China</v>
      </c>
      <c r="L44" s="9" t="str">
        <f>_xll.SNL.Clients.Office.Excel.Functions.SPG(H44, "SP_PARENT_COMPANY_NAME")</f>
        <v>State-owned Assets Supervision and Administration Commission of the State Counci</v>
      </c>
      <c r="M44" s="9" t="str">
        <f>_xll.SNL.Clients.Office.Excel.Functions.SPG(H44, "SP_PARENT_COUNTRY")</f>
        <v>China</v>
      </c>
      <c r="N44" s="9" t="str">
        <f>_xll.SNL.Clients.Office.Excel.Functions.SPG(H44, "SP_COUNTRY_NAME")</f>
        <v>China</v>
      </c>
      <c r="O44" s="9" t="str">
        <f>_xll.SNL.Clients.Office.Excel.Functions.SPG(I44, "SP_ULT_PARENT_COMPANY_NAME")</f>
        <v/>
      </c>
      <c r="P44" s="9" t="str">
        <f>_xll.SNL.Clients.Office.Excel.Functions.SPG(I44, "SP_ULT_PARENT_COUNTRY")</f>
        <v/>
      </c>
      <c r="Q44" s="9" t="str">
        <f>_xll.SNL.Clients.Office.Excel.Functions.SPG(I44, "SP_PARENT_COMPANY_NAME")</f>
        <v/>
      </c>
      <c r="R44" s="9" t="str">
        <f>_xll.SNL.Clients.Office.Excel.Functions.SPG(I44, "SP_PARENT_COUNTRY")</f>
        <v/>
      </c>
      <c r="S44" s="9" t="str">
        <f>_xll.SNL.Clients.Office.Excel.Functions.SPG(I44, "SP_COUNTRY_NAME")</f>
        <v>China</v>
      </c>
    </row>
    <row r="45" spans="1:19" ht="232" x14ac:dyDescent="0.35">
      <c r="A45" s="5">
        <v>46022</v>
      </c>
      <c r="B45" s="4" t="s">
        <v>82</v>
      </c>
      <c r="C45" s="4" t="s">
        <v>83</v>
      </c>
      <c r="D45" s="4" t="s">
        <v>251</v>
      </c>
      <c r="E45" s="8">
        <v>4984938</v>
      </c>
      <c r="F45" s="7">
        <v>51</v>
      </c>
      <c r="G45" s="9" t="str">
        <f>[1]!SNLData("243327", $C45, "OWNER_LIST")</f>
        <v>Shenzhen Chengtun Yixing Technology Co., Ltd (Venturer) 2.14%; Max Mind Investment Limited (Venturer) 49%; Shenzhen Qianhai Ruize No. 13 Investment Partnership Enterprise (L.P.) (Venturer) 2.48%; Shenzhen Chengtun Industrial Development Co., Ltd. (Venturer) 11.61%; Xiamen Tunchu Investment Partnership (Limited Partnership) (Venturer) 1.42%; Shenzhen Chengtun Huize Trading Co., Ltd (Venturer) 3.2%</v>
      </c>
      <c r="H45" s="9">
        <f>[1]!SNLData("243327", C45, "OWNER_SNL_INSTN_KEY", "Owner 1")</f>
        <v>10495545</v>
      </c>
      <c r="I45" s="9">
        <f>[1]!SNLData("243327", C45, "OWNER_SNL_INSTN_KEY", "Owner 2")</f>
        <v>7755796</v>
      </c>
      <c r="J45" s="9" t="str">
        <f>_xll.SNL.Clients.Office.Excel.Functions.SPG(H45, "SP_ULT_PARENT_COMPANY_NAME")</f>
        <v>Shenzhen Chengtun Industrial Development Co., Ltd.</v>
      </c>
      <c r="K45" s="9" t="str">
        <f>_xll.SNL.Clients.Office.Excel.Functions.SPG(H45, "SP_ULT_PARENT_COUNTRY")</f>
        <v>China</v>
      </c>
      <c r="L45" s="9" t="str">
        <f>_xll.SNL.Clients.Office.Excel.Functions.SPG(H45, "SP_PARENT_COMPANY_NAME")</f>
        <v>Chengxin Lithium Group Co., Ltd.</v>
      </c>
      <c r="M45" s="9" t="str">
        <f>_xll.SNL.Clients.Office.Excel.Functions.SPG(H45, "SP_PARENT_COUNTRY")</f>
        <v>China</v>
      </c>
      <c r="N45" s="9" t="str">
        <f>_xll.SNL.Clients.Office.Excel.Functions.SPG(H45, "SP_COUNTRY_NAME")</f>
        <v>Hong Kong</v>
      </c>
      <c r="O45" s="9" t="str">
        <f>_xll.SNL.Clients.Office.Excel.Functions.SPG(I45, "SP_ULT_PARENT_COMPANY_NAME")</f>
        <v/>
      </c>
      <c r="P45" s="9" t="str">
        <f>_xll.SNL.Clients.Office.Excel.Functions.SPG(I45, "SP_ULT_PARENT_COUNTRY")</f>
        <v/>
      </c>
      <c r="Q45" s="9" t="str">
        <f>_xll.SNL.Clients.Office.Excel.Functions.SPG(I45, "SP_PARENT_COMPANY_NAME")</f>
        <v/>
      </c>
      <c r="R45" s="9" t="str">
        <f>_xll.SNL.Clients.Office.Excel.Functions.SPG(I45, "SP_PARENT_COUNTRY")</f>
        <v/>
      </c>
      <c r="S45" s="9" t="str">
        <f>_xll.SNL.Clients.Office.Excel.Functions.SPG(I45, "SP_COUNTRY_NAME")</f>
        <v>China</v>
      </c>
    </row>
    <row r="46" spans="1:19" ht="232" x14ac:dyDescent="0.35">
      <c r="A46" s="5">
        <v>46022</v>
      </c>
      <c r="B46" s="4" t="s">
        <v>82</v>
      </c>
      <c r="C46" s="4" t="s">
        <v>83</v>
      </c>
      <c r="D46" s="4" t="s">
        <v>252</v>
      </c>
      <c r="E46" s="8">
        <v>10495545</v>
      </c>
      <c r="F46" s="7">
        <v>49</v>
      </c>
      <c r="G46" s="9" t="str">
        <f>[1]!SNLData("243327", $C46, "OWNER_LIST")</f>
        <v>Shenzhen Chengtun Yixing Technology Co., Ltd (Venturer) 2.14%; Max Mind Investment Limited (Venturer) 49%; Shenzhen Qianhai Ruize No. 13 Investment Partnership Enterprise (L.P.) (Venturer) 2.48%; Shenzhen Chengtun Industrial Development Co., Ltd. (Venturer) 11.61%; Xiamen Tunchu Investment Partnership (Limited Partnership) (Venturer) 1.42%; Shenzhen Chengtun Huize Trading Co., Ltd (Venturer) 3.2%</v>
      </c>
      <c r="H46" s="9">
        <f>[1]!SNLData("243327", C46, "OWNER_SNL_INSTN_KEY", "Owner 1")</f>
        <v>10495545</v>
      </c>
      <c r="I46" s="9">
        <f>[1]!SNLData("243327", C46, "OWNER_SNL_INSTN_KEY", "Owner 2")</f>
        <v>7755796</v>
      </c>
      <c r="J46" s="9" t="str">
        <f>_xll.SNL.Clients.Office.Excel.Functions.SPG(H46, "SP_ULT_PARENT_COMPANY_NAME")</f>
        <v>Shenzhen Chengtun Industrial Development Co., Ltd.</v>
      </c>
      <c r="K46" s="9" t="str">
        <f>_xll.SNL.Clients.Office.Excel.Functions.SPG(H46, "SP_ULT_PARENT_COUNTRY")</f>
        <v>China</v>
      </c>
      <c r="L46" s="9" t="str">
        <f>_xll.SNL.Clients.Office.Excel.Functions.SPG(H46, "SP_PARENT_COMPANY_NAME")</f>
        <v>Chengxin Lithium Group Co., Ltd.</v>
      </c>
      <c r="M46" s="9" t="str">
        <f>_xll.SNL.Clients.Office.Excel.Functions.SPG(H46, "SP_PARENT_COUNTRY")</f>
        <v>China</v>
      </c>
      <c r="N46" s="9" t="str">
        <f>_xll.SNL.Clients.Office.Excel.Functions.SPG(H46, "SP_COUNTRY_NAME")</f>
        <v>Hong Kong</v>
      </c>
      <c r="O46" s="9" t="str">
        <f>_xll.SNL.Clients.Office.Excel.Functions.SPG(I46, "SP_ULT_PARENT_COMPANY_NAME")</f>
        <v/>
      </c>
      <c r="P46" s="9" t="str">
        <f>_xll.SNL.Clients.Office.Excel.Functions.SPG(I46, "SP_ULT_PARENT_COUNTRY")</f>
        <v/>
      </c>
      <c r="Q46" s="9" t="str">
        <f>_xll.SNL.Clients.Office.Excel.Functions.SPG(I46, "SP_PARENT_COMPANY_NAME")</f>
        <v/>
      </c>
      <c r="R46" s="9" t="str">
        <f>_xll.SNL.Clients.Office.Excel.Functions.SPG(I46, "SP_PARENT_COUNTRY")</f>
        <v/>
      </c>
      <c r="S46" s="9" t="str">
        <f>_xll.SNL.Clients.Office.Excel.Functions.SPG(I46, "SP_COUNTRY_NAME")</f>
        <v>China</v>
      </c>
    </row>
    <row r="47" spans="1:19" x14ac:dyDescent="0.35">
      <c r="A47" s="5">
        <v>46022</v>
      </c>
      <c r="B47" s="4" t="s">
        <v>155</v>
      </c>
      <c r="C47" s="4" t="s">
        <v>156</v>
      </c>
      <c r="D47" s="4" t="s">
        <v>253</v>
      </c>
      <c r="E47" s="8">
        <v>4233782</v>
      </c>
      <c r="F47" s="7">
        <v>100</v>
      </c>
      <c r="G47" s="9" t="str">
        <f>[1]!SNLData("243327", $C47, "OWNER_LIST")</f>
        <v>POSCO Holdings Inc.  100%</v>
      </c>
      <c r="H47" s="9">
        <f>[1]!SNLData("243327", C47, "OWNER_SNL_INSTN_KEY", "Owner 1")</f>
        <v>4233782</v>
      </c>
      <c r="I47" s="9" t="str">
        <f>[1]!SNLData("243327", C47, "OWNER_SNL_INSTN_KEY", "Owner 2")</f>
        <v>NA</v>
      </c>
      <c r="J47" s="9" t="str">
        <f>_xll.SNL.Clients.Office.Excel.Functions.SPG(H47, "SP_ULT_PARENT_COMPANY_NAME")</f>
        <v/>
      </c>
      <c r="K47" s="9" t="str">
        <f>_xll.SNL.Clients.Office.Excel.Functions.SPG(H47, "SP_ULT_PARENT_COUNTRY")</f>
        <v/>
      </c>
      <c r="L47" s="9" t="str">
        <f>_xll.SNL.Clients.Office.Excel.Functions.SPG(H47, "SP_PARENT_COMPANY_NAME")</f>
        <v/>
      </c>
      <c r="M47" s="9" t="str">
        <f>_xll.SNL.Clients.Office.Excel.Functions.SPG(H47, "SP_PARENT_COUNTRY")</f>
        <v/>
      </c>
      <c r="N47" s="9" t="str">
        <f>_xll.SNL.Clients.Office.Excel.Functions.SPG(H47, "SP_COUNTRY_NAME")</f>
        <v>South Korea</v>
      </c>
      <c r="O47" s="9" t="str">
        <f>_xll.SNL.Clients.Office.Excel.Functions.SPG(I47, "SP_ULT_PARENT_COMPANY_NAME")</f>
        <v/>
      </c>
      <c r="P47" s="9" t="str">
        <f>_xll.SNL.Clients.Office.Excel.Functions.SPG(I47, "SP_ULT_PARENT_COUNTRY")</f>
        <v/>
      </c>
      <c r="Q47" s="9" t="str">
        <f>_xll.SNL.Clients.Office.Excel.Functions.SPG(I47, "SP_PARENT_COMPANY_NAME")</f>
        <v/>
      </c>
      <c r="R47" s="9" t="str">
        <f>_xll.SNL.Clients.Office.Excel.Functions.SPG(I47, "SP_PARENT_COUNTRY")</f>
        <v/>
      </c>
      <c r="S47" s="9" t="str">
        <f>_xll.SNL.Clients.Office.Excel.Functions.SPG(I47, "SP_COUNTRY_NAME")</f>
        <v>China</v>
      </c>
    </row>
    <row r="48" spans="1:19" ht="29" x14ac:dyDescent="0.35">
      <c r="A48" s="5">
        <v>46022</v>
      </c>
      <c r="B48" s="4" t="s">
        <v>157</v>
      </c>
      <c r="C48" s="4" t="s">
        <v>160</v>
      </c>
      <c r="D48" s="4" t="s">
        <v>245</v>
      </c>
      <c r="E48" s="8">
        <v>4354366</v>
      </c>
      <c r="F48" s="7">
        <v>100</v>
      </c>
      <c r="G48" s="9" t="str">
        <f>[1]!SNLData("243327", $C48, "OWNER_LIST")</f>
        <v>Sociedad Química y Minera de Chile S.A.  100%</v>
      </c>
      <c r="H48" s="9">
        <f>[1]!SNLData("243327", C48, "OWNER_SNL_INSTN_KEY", "Owner 1")</f>
        <v>4354366</v>
      </c>
      <c r="I48" s="9" t="str">
        <f>[1]!SNLData("243327", C48, "OWNER_SNL_INSTN_KEY", "Owner 2")</f>
        <v>NA</v>
      </c>
      <c r="J48" s="9" t="str">
        <f>_xll.SNL.Clients.Office.Excel.Functions.SPG(H48, "SP_ULT_PARENT_COMPANY_NAME")</f>
        <v/>
      </c>
      <c r="K48" s="9" t="str">
        <f>_xll.SNL.Clients.Office.Excel.Functions.SPG(H48, "SP_ULT_PARENT_COUNTRY")</f>
        <v/>
      </c>
      <c r="L48" s="9" t="str">
        <f>_xll.SNL.Clients.Office.Excel.Functions.SPG(H48, "SP_PARENT_COMPANY_NAME")</f>
        <v/>
      </c>
      <c r="M48" s="9" t="str">
        <f>_xll.SNL.Clients.Office.Excel.Functions.SPG(H48, "SP_PARENT_COUNTRY")</f>
        <v/>
      </c>
      <c r="N48" s="9" t="str">
        <f>_xll.SNL.Clients.Office.Excel.Functions.SPG(H48, "SP_COUNTRY_NAME")</f>
        <v>Chile</v>
      </c>
      <c r="O48" s="9" t="str">
        <f>_xll.SNL.Clients.Office.Excel.Functions.SPG(I48, "SP_ULT_PARENT_COMPANY_NAME")</f>
        <v/>
      </c>
      <c r="P48" s="9" t="str">
        <f>_xll.SNL.Clients.Office.Excel.Functions.SPG(I48, "SP_ULT_PARENT_COUNTRY")</f>
        <v/>
      </c>
      <c r="Q48" s="9" t="str">
        <f>_xll.SNL.Clients.Office.Excel.Functions.SPG(I48, "SP_PARENT_COMPANY_NAME")</f>
        <v/>
      </c>
      <c r="R48" s="9" t="str">
        <f>_xll.SNL.Clients.Office.Excel.Functions.SPG(I48, "SP_PARENT_COUNTRY")</f>
        <v/>
      </c>
      <c r="S48" s="9" t="str">
        <f>_xll.SNL.Clients.Office.Excel.Functions.SPG(I48, "SP_COUNTRY_NAME")</f>
        <v>China</v>
      </c>
    </row>
    <row r="49" spans="1:19" x14ac:dyDescent="0.35">
      <c r="A49" s="5">
        <v>46022</v>
      </c>
      <c r="B49" s="4" t="s">
        <v>157</v>
      </c>
      <c r="C49" s="4" t="s">
        <v>158</v>
      </c>
      <c r="D49" s="4" t="s">
        <v>233</v>
      </c>
      <c r="E49" s="8">
        <v>4121019</v>
      </c>
      <c r="F49" s="7">
        <v>100</v>
      </c>
      <c r="G49" s="9" t="str">
        <f>[1]!SNLData("243327", $C49, "OWNER_LIST")</f>
        <v>Albemarle Corporation  100%</v>
      </c>
      <c r="H49" s="9">
        <f>[1]!SNLData("243327", C49, "OWNER_SNL_INSTN_KEY", "Owner 1")</f>
        <v>4121019</v>
      </c>
      <c r="I49" s="9" t="str">
        <f>[1]!SNLData("243327", C49, "OWNER_SNL_INSTN_KEY", "Owner 2")</f>
        <v>NA</v>
      </c>
      <c r="J49" s="9" t="str">
        <f>_xll.SNL.Clients.Office.Excel.Functions.SPG(H49, "SP_ULT_PARENT_COMPANY_NAME")</f>
        <v/>
      </c>
      <c r="K49" s="9" t="str">
        <f>_xll.SNL.Clients.Office.Excel.Functions.SPG(H49, "SP_ULT_PARENT_COUNTRY")</f>
        <v/>
      </c>
      <c r="L49" s="9" t="str">
        <f>_xll.SNL.Clients.Office.Excel.Functions.SPG(H49, "SP_PARENT_COMPANY_NAME")</f>
        <v/>
      </c>
      <c r="M49" s="9" t="str">
        <f>_xll.SNL.Clients.Office.Excel.Functions.SPG(H49, "SP_PARENT_COUNTRY")</f>
        <v/>
      </c>
      <c r="N49" s="9" t="str">
        <f>_xll.SNL.Clients.Office.Excel.Functions.SPG(H49, "SP_COUNTRY_NAME")</f>
        <v>USA</v>
      </c>
      <c r="O49" s="9" t="str">
        <f>_xll.SNL.Clients.Office.Excel.Functions.SPG(I49, "SP_ULT_PARENT_COMPANY_NAME")</f>
        <v/>
      </c>
      <c r="P49" s="9" t="str">
        <f>_xll.SNL.Clients.Office.Excel.Functions.SPG(I49, "SP_ULT_PARENT_COUNTRY")</f>
        <v/>
      </c>
      <c r="Q49" s="9" t="str">
        <f>_xll.SNL.Clients.Office.Excel.Functions.SPG(I49, "SP_PARENT_COMPANY_NAME")</f>
        <v/>
      </c>
      <c r="R49" s="9" t="str">
        <f>_xll.SNL.Clients.Office.Excel.Functions.SPG(I49, "SP_PARENT_COUNTRY")</f>
        <v/>
      </c>
      <c r="S49" s="9" t="str">
        <f>_xll.SNL.Clients.Office.Excel.Functions.SPG(I49, "SP_COUNTRY_NAME")</f>
        <v>China</v>
      </c>
    </row>
    <row r="50" spans="1:19" ht="72.5" x14ac:dyDescent="0.35">
      <c r="A50" s="5">
        <v>46022</v>
      </c>
      <c r="B50" s="4" t="s">
        <v>161</v>
      </c>
      <c r="C50" s="4" t="s">
        <v>162</v>
      </c>
      <c r="D50" s="4" t="s">
        <v>228</v>
      </c>
      <c r="E50" s="8">
        <v>4351486</v>
      </c>
      <c r="F50" s="7">
        <v>8.5</v>
      </c>
      <c r="G50" s="9" t="str">
        <f>[1]!SNLData("243327", $C50, "OWNER_LIST")</f>
        <v>Toyota Tsusho Corporation (Venturer) 25%; Rio Tinto Group  66.5%; Jujuy Energia y Mineria Sociedad del Estado (Venturer) 8.5%</v>
      </c>
      <c r="H50" s="9">
        <f>[1]!SNLData("243327", C50, "OWNER_SNL_INSTN_KEY", "Owner 1")</f>
        <v>4149660</v>
      </c>
      <c r="I50" s="9">
        <f>[1]!SNLData("243327", C50, "OWNER_SNL_INSTN_KEY", "Owner 2")</f>
        <v>4162612</v>
      </c>
      <c r="J50" s="9" t="str">
        <f>_xll.SNL.Clients.Office.Excel.Functions.SPG(H50, "SP_ULT_PARENT_COMPANY_NAME")</f>
        <v/>
      </c>
      <c r="K50" s="9" t="str">
        <f>_xll.SNL.Clients.Office.Excel.Functions.SPG(H50, "SP_ULT_PARENT_COUNTRY")</f>
        <v/>
      </c>
      <c r="L50" s="9" t="str">
        <f>_xll.SNL.Clients.Office.Excel.Functions.SPG(H50, "SP_PARENT_COMPANY_NAME")</f>
        <v/>
      </c>
      <c r="M50" s="9" t="str">
        <f>_xll.SNL.Clients.Office.Excel.Functions.SPG(H50, "SP_PARENT_COUNTRY")</f>
        <v/>
      </c>
      <c r="N50" s="9" t="str">
        <f>_xll.SNL.Clients.Office.Excel.Functions.SPG(H50, "SP_COUNTRY_NAME")</f>
        <v>United Kingdom</v>
      </c>
      <c r="O50" s="9" t="str">
        <f>_xll.SNL.Clients.Office.Excel.Functions.SPG(I50, "SP_ULT_PARENT_COMPANY_NAME")</f>
        <v/>
      </c>
      <c r="P50" s="9" t="str">
        <f>_xll.SNL.Clients.Office.Excel.Functions.SPG(I50, "SP_ULT_PARENT_COUNTRY")</f>
        <v/>
      </c>
      <c r="Q50" s="9" t="str">
        <f>_xll.SNL.Clients.Office.Excel.Functions.SPG(I50, "SP_PARENT_COMPANY_NAME")</f>
        <v/>
      </c>
      <c r="R50" s="9" t="str">
        <f>_xll.SNL.Clients.Office.Excel.Functions.SPG(I50, "SP_PARENT_COUNTRY")</f>
        <v/>
      </c>
      <c r="S50" s="9" t="str">
        <f>_xll.SNL.Clients.Office.Excel.Functions.SPG(I50, "SP_COUNTRY_NAME")</f>
        <v>Japan</v>
      </c>
    </row>
    <row r="51" spans="1:19" ht="72.5" x14ac:dyDescent="0.35">
      <c r="A51" s="5">
        <v>46022</v>
      </c>
      <c r="B51" s="4" t="s">
        <v>161</v>
      </c>
      <c r="C51" s="4" t="s">
        <v>162</v>
      </c>
      <c r="D51" s="4" t="s">
        <v>244</v>
      </c>
      <c r="E51" s="8">
        <v>4149660</v>
      </c>
      <c r="F51" s="7">
        <v>66.5</v>
      </c>
      <c r="G51" s="9" t="str">
        <f>[1]!SNLData("243327", $C51, "OWNER_LIST")</f>
        <v>Toyota Tsusho Corporation (Venturer) 25%; Rio Tinto Group  66.5%; Jujuy Energia y Mineria Sociedad del Estado (Venturer) 8.5%</v>
      </c>
      <c r="H51" s="9">
        <f>[1]!SNLData("243327", C51, "OWNER_SNL_INSTN_KEY", "Owner 1")</f>
        <v>4149660</v>
      </c>
      <c r="I51" s="9">
        <f>[1]!SNLData("243327", C51, "OWNER_SNL_INSTN_KEY", "Owner 2")</f>
        <v>4162612</v>
      </c>
      <c r="J51" s="9" t="str">
        <f>_xll.SNL.Clients.Office.Excel.Functions.SPG(H51, "SP_ULT_PARENT_COMPANY_NAME")</f>
        <v/>
      </c>
      <c r="K51" s="9" t="str">
        <f>_xll.SNL.Clients.Office.Excel.Functions.SPG(H51, "SP_ULT_PARENT_COUNTRY")</f>
        <v/>
      </c>
      <c r="L51" s="9" t="str">
        <f>_xll.SNL.Clients.Office.Excel.Functions.SPG(H51, "SP_PARENT_COMPANY_NAME")</f>
        <v/>
      </c>
      <c r="M51" s="9" t="str">
        <f>_xll.SNL.Clients.Office.Excel.Functions.SPG(H51, "SP_PARENT_COUNTRY")</f>
        <v/>
      </c>
      <c r="N51" s="9" t="str">
        <f>_xll.SNL.Clients.Office.Excel.Functions.SPG(H51, "SP_COUNTRY_NAME")</f>
        <v>United Kingdom</v>
      </c>
      <c r="O51" s="9" t="str">
        <f>_xll.SNL.Clients.Office.Excel.Functions.SPG(I51, "SP_ULT_PARENT_COMPANY_NAME")</f>
        <v/>
      </c>
      <c r="P51" s="9" t="str">
        <f>_xll.SNL.Clients.Office.Excel.Functions.SPG(I51, "SP_ULT_PARENT_COUNTRY")</f>
        <v/>
      </c>
      <c r="Q51" s="9" t="str">
        <f>_xll.SNL.Clients.Office.Excel.Functions.SPG(I51, "SP_PARENT_COMPANY_NAME")</f>
        <v/>
      </c>
      <c r="R51" s="9" t="str">
        <f>_xll.SNL.Clients.Office.Excel.Functions.SPG(I51, "SP_PARENT_COUNTRY")</f>
        <v/>
      </c>
      <c r="S51" s="9" t="str">
        <f>_xll.SNL.Clients.Office.Excel.Functions.SPG(I51, "SP_COUNTRY_NAME")</f>
        <v>Japan</v>
      </c>
    </row>
    <row r="52" spans="1:19" ht="72.5" x14ac:dyDescent="0.35">
      <c r="A52" s="5">
        <v>46022</v>
      </c>
      <c r="B52" s="4" t="s">
        <v>161</v>
      </c>
      <c r="C52" s="4" t="s">
        <v>162</v>
      </c>
      <c r="D52" s="4" t="s">
        <v>254</v>
      </c>
      <c r="E52" s="8">
        <v>4162612</v>
      </c>
      <c r="F52" s="7">
        <v>25</v>
      </c>
      <c r="G52" s="9" t="str">
        <f>[1]!SNLData("243327", $C52, "OWNER_LIST")</f>
        <v>Toyota Tsusho Corporation (Venturer) 25%; Rio Tinto Group  66.5%; Jujuy Energia y Mineria Sociedad del Estado (Venturer) 8.5%</v>
      </c>
      <c r="H52" s="9">
        <f>[1]!SNLData("243327", C52, "OWNER_SNL_INSTN_KEY", "Owner 1")</f>
        <v>4149660</v>
      </c>
      <c r="I52" s="9">
        <f>[1]!SNLData("243327", C52, "OWNER_SNL_INSTN_KEY", "Owner 2")</f>
        <v>4162612</v>
      </c>
      <c r="J52" s="9" t="str">
        <f>_xll.SNL.Clients.Office.Excel.Functions.SPG(H52, "SP_ULT_PARENT_COMPANY_NAME")</f>
        <v/>
      </c>
      <c r="K52" s="9" t="str">
        <f>_xll.SNL.Clients.Office.Excel.Functions.SPG(H52, "SP_ULT_PARENT_COUNTRY")</f>
        <v/>
      </c>
      <c r="L52" s="9" t="str">
        <f>_xll.SNL.Clients.Office.Excel.Functions.SPG(H52, "SP_PARENT_COMPANY_NAME")</f>
        <v/>
      </c>
      <c r="M52" s="9" t="str">
        <f>_xll.SNL.Clients.Office.Excel.Functions.SPG(H52, "SP_PARENT_COUNTRY")</f>
        <v/>
      </c>
      <c r="N52" s="9" t="str">
        <f>_xll.SNL.Clients.Office.Excel.Functions.SPG(H52, "SP_COUNTRY_NAME")</f>
        <v>United Kingdom</v>
      </c>
      <c r="O52" s="9" t="str">
        <f>_xll.SNL.Clients.Office.Excel.Functions.SPG(I52, "SP_ULT_PARENT_COMPANY_NAME")</f>
        <v/>
      </c>
      <c r="P52" s="9" t="str">
        <f>_xll.SNL.Clients.Office.Excel.Functions.SPG(I52, "SP_ULT_PARENT_COUNTRY")</f>
        <v/>
      </c>
      <c r="Q52" s="9" t="str">
        <f>_xll.SNL.Clients.Office.Excel.Functions.SPG(I52, "SP_PARENT_COMPANY_NAME")</f>
        <v/>
      </c>
      <c r="R52" s="9" t="str">
        <f>_xll.SNL.Clients.Office.Excel.Functions.SPG(I52, "SP_PARENT_COUNTRY")</f>
        <v/>
      </c>
      <c r="S52" s="9" t="str">
        <f>_xll.SNL.Clients.Office.Excel.Functions.SPG(I52, "SP_COUNTRY_NAME")</f>
        <v>Japan</v>
      </c>
    </row>
    <row r="53" spans="1:19" x14ac:dyDescent="0.35">
      <c r="A53" s="5">
        <v>46022</v>
      </c>
      <c r="B53" s="4" t="s">
        <v>163</v>
      </c>
      <c r="C53" s="4" t="s">
        <v>164</v>
      </c>
      <c r="D53" s="4" t="s">
        <v>244</v>
      </c>
      <c r="E53" s="8">
        <v>4149660</v>
      </c>
      <c r="F53" s="7">
        <v>100</v>
      </c>
      <c r="G53" s="9" t="str">
        <f>[1]!SNLData("243327", $C53, "OWNER_LIST")</f>
        <v>Rio Tinto Group  100%</v>
      </c>
      <c r="H53" s="9">
        <f>[1]!SNLData("243327", C53, "OWNER_SNL_INSTN_KEY", "Owner 1")</f>
        <v>4149660</v>
      </c>
      <c r="I53" s="9" t="str">
        <f>[1]!SNLData("243327", C53, "OWNER_SNL_INSTN_KEY", "Owner 2")</f>
        <v>NA</v>
      </c>
      <c r="J53" s="9" t="str">
        <f>_xll.SNL.Clients.Office.Excel.Functions.SPG(H53, "SP_ULT_PARENT_COMPANY_NAME")</f>
        <v/>
      </c>
      <c r="K53" s="9" t="str">
        <f>_xll.SNL.Clients.Office.Excel.Functions.SPG(H53, "SP_ULT_PARENT_COUNTRY")</f>
        <v/>
      </c>
      <c r="L53" s="9" t="str">
        <f>_xll.SNL.Clients.Office.Excel.Functions.SPG(H53, "SP_PARENT_COMPANY_NAME")</f>
        <v/>
      </c>
      <c r="M53" s="9" t="str">
        <f>_xll.SNL.Clients.Office.Excel.Functions.SPG(H53, "SP_PARENT_COUNTRY")</f>
        <v/>
      </c>
      <c r="N53" s="9" t="str">
        <f>_xll.SNL.Clients.Office.Excel.Functions.SPG(H53, "SP_COUNTRY_NAME")</f>
        <v>United Kingdom</v>
      </c>
      <c r="O53" s="9" t="str">
        <f>_xll.SNL.Clients.Office.Excel.Functions.SPG(I53, "SP_ULT_PARENT_COMPANY_NAME")</f>
        <v/>
      </c>
      <c r="P53" s="9" t="str">
        <f>_xll.SNL.Clients.Office.Excel.Functions.SPG(I53, "SP_ULT_PARENT_COUNTRY")</f>
        <v/>
      </c>
      <c r="Q53" s="9" t="str">
        <f>_xll.SNL.Clients.Office.Excel.Functions.SPG(I53, "SP_PARENT_COMPANY_NAME")</f>
        <v/>
      </c>
      <c r="R53" s="9" t="str">
        <f>_xll.SNL.Clients.Office.Excel.Functions.SPG(I53, "SP_PARENT_COUNTRY")</f>
        <v/>
      </c>
      <c r="S53" s="9" t="str">
        <f>_xll.SNL.Clients.Office.Excel.Functions.SPG(I53, "SP_COUNTRY_NAME")</f>
        <v>China</v>
      </c>
    </row>
    <row r="54" spans="1:19" x14ac:dyDescent="0.35">
      <c r="A54" s="5">
        <v>46022</v>
      </c>
      <c r="B54" s="4" t="s">
        <v>165</v>
      </c>
      <c r="C54" s="4" t="s">
        <v>166</v>
      </c>
      <c r="D54" s="4" t="s">
        <v>244</v>
      </c>
      <c r="E54" s="8">
        <v>4149660</v>
      </c>
      <c r="F54" s="7">
        <v>100</v>
      </c>
      <c r="G54" s="9" t="str">
        <f>[1]!SNLData("243327", $C54, "OWNER_LIST")</f>
        <v>Rio Tinto Group  100%</v>
      </c>
      <c r="H54" s="9">
        <f>[1]!SNLData("243327", C54, "OWNER_SNL_INSTN_KEY", "Owner 1")</f>
        <v>4149660</v>
      </c>
      <c r="I54" s="9" t="str">
        <f>[1]!SNLData("243327", C54, "OWNER_SNL_INSTN_KEY", "Owner 2")</f>
        <v>NA</v>
      </c>
      <c r="J54" s="9" t="str">
        <f>_xll.SNL.Clients.Office.Excel.Functions.SPG(H54, "SP_ULT_PARENT_COMPANY_NAME")</f>
        <v/>
      </c>
      <c r="K54" s="9" t="str">
        <f>_xll.SNL.Clients.Office.Excel.Functions.SPG(H54, "SP_ULT_PARENT_COUNTRY")</f>
        <v/>
      </c>
      <c r="L54" s="9" t="str">
        <f>_xll.SNL.Clients.Office.Excel.Functions.SPG(H54, "SP_PARENT_COMPANY_NAME")</f>
        <v/>
      </c>
      <c r="M54" s="9" t="str">
        <f>_xll.SNL.Clients.Office.Excel.Functions.SPG(H54, "SP_PARENT_COUNTRY")</f>
        <v/>
      </c>
      <c r="N54" s="9" t="str">
        <f>_xll.SNL.Clients.Office.Excel.Functions.SPG(H54, "SP_COUNTRY_NAME")</f>
        <v>United Kingdom</v>
      </c>
      <c r="O54" s="9" t="str">
        <f>_xll.SNL.Clients.Office.Excel.Functions.SPG(I54, "SP_ULT_PARENT_COMPANY_NAME")</f>
        <v/>
      </c>
      <c r="P54" s="9" t="str">
        <f>_xll.SNL.Clients.Office.Excel.Functions.SPG(I54, "SP_ULT_PARENT_COUNTRY")</f>
        <v/>
      </c>
      <c r="Q54" s="9" t="str">
        <f>_xll.SNL.Clients.Office.Excel.Functions.SPG(I54, "SP_PARENT_COMPANY_NAME")</f>
        <v/>
      </c>
      <c r="R54" s="9" t="str">
        <f>_xll.SNL.Clients.Office.Excel.Functions.SPG(I54, "SP_PARENT_COUNTRY")</f>
        <v/>
      </c>
      <c r="S54" s="9" t="str">
        <f>_xll.SNL.Clients.Office.Excel.Functions.SPG(I54, "SP_COUNTRY_NAME")</f>
        <v>China</v>
      </c>
    </row>
    <row r="55" spans="1:19" x14ac:dyDescent="0.35">
      <c r="A55" s="5">
        <v>46022</v>
      </c>
      <c r="B55" s="4" t="s">
        <v>167</v>
      </c>
      <c r="C55" s="4" t="s">
        <v>168</v>
      </c>
      <c r="D55" s="4" t="s">
        <v>233</v>
      </c>
      <c r="E55" s="8">
        <v>4121019</v>
      </c>
      <c r="F55" s="7">
        <v>100</v>
      </c>
      <c r="G55" s="9" t="str">
        <f>[1]!SNLData("243327", $C55, "OWNER_LIST")</f>
        <v>Albemarle Corporation  100%</v>
      </c>
      <c r="H55" s="9">
        <f>[1]!SNLData("243327", C55, "OWNER_SNL_INSTN_KEY", "Owner 1")</f>
        <v>4121019</v>
      </c>
      <c r="I55" s="9" t="str">
        <f>[1]!SNLData("243327", C55, "OWNER_SNL_INSTN_KEY", "Owner 2")</f>
        <v>NA</v>
      </c>
      <c r="J55" s="9" t="str">
        <f>_xll.SNL.Clients.Office.Excel.Functions.SPG(H55, "SP_ULT_PARENT_COMPANY_NAME")</f>
        <v/>
      </c>
      <c r="K55" s="9" t="str">
        <f>_xll.SNL.Clients.Office.Excel.Functions.SPG(H55, "SP_ULT_PARENT_COUNTRY")</f>
        <v/>
      </c>
      <c r="L55" s="9" t="str">
        <f>_xll.SNL.Clients.Office.Excel.Functions.SPG(H55, "SP_PARENT_COMPANY_NAME")</f>
        <v/>
      </c>
      <c r="M55" s="9" t="str">
        <f>_xll.SNL.Clients.Office.Excel.Functions.SPG(H55, "SP_PARENT_COUNTRY")</f>
        <v/>
      </c>
      <c r="N55" s="9" t="str">
        <f>_xll.SNL.Clients.Office.Excel.Functions.SPG(H55, "SP_COUNTRY_NAME")</f>
        <v>USA</v>
      </c>
      <c r="O55" s="9" t="str">
        <f>_xll.SNL.Clients.Office.Excel.Functions.SPG(I55, "SP_ULT_PARENT_COMPANY_NAME")</f>
        <v/>
      </c>
      <c r="P55" s="9" t="str">
        <f>_xll.SNL.Clients.Office.Excel.Functions.SPG(I55, "SP_ULT_PARENT_COUNTRY")</f>
        <v/>
      </c>
      <c r="Q55" s="9" t="str">
        <f>_xll.SNL.Clients.Office.Excel.Functions.SPG(I55, "SP_PARENT_COMPANY_NAME")</f>
        <v/>
      </c>
      <c r="R55" s="9" t="str">
        <f>_xll.SNL.Clients.Office.Excel.Functions.SPG(I55, "SP_PARENT_COUNTRY")</f>
        <v/>
      </c>
      <c r="S55" s="9" t="str">
        <f>_xll.SNL.Clients.Office.Excel.Functions.SPG(I55, "SP_COUNTRY_NAME")</f>
        <v>China</v>
      </c>
    </row>
    <row r="56" spans="1:19" ht="29" x14ac:dyDescent="0.35">
      <c r="A56" s="5">
        <v>46022</v>
      </c>
      <c r="B56" s="4" t="s">
        <v>170</v>
      </c>
      <c r="C56" s="4" t="s">
        <v>171</v>
      </c>
      <c r="D56" s="4" t="s">
        <v>241</v>
      </c>
      <c r="E56" s="8">
        <v>4355642</v>
      </c>
      <c r="F56" s="7">
        <v>100</v>
      </c>
      <c r="G56" s="9" t="str">
        <f>[1]!SNLData("243327", $C56, "OWNER_LIST")</f>
        <v>Zijin Mining Group Company Limited  100%</v>
      </c>
      <c r="H56" s="9">
        <f>[1]!SNLData("243327", C56, "OWNER_SNL_INSTN_KEY", "Owner 1")</f>
        <v>4355642</v>
      </c>
      <c r="I56" s="9" t="str">
        <f>[1]!SNLData("243327", C56, "OWNER_SNL_INSTN_KEY", "Owner 2")</f>
        <v>NA</v>
      </c>
      <c r="J56" s="9" t="str">
        <f>_xll.SNL.Clients.Office.Excel.Functions.SPG(H56, "SP_ULT_PARENT_COMPANY_NAME")</f>
        <v/>
      </c>
      <c r="K56" s="9" t="str">
        <f>_xll.SNL.Clients.Office.Excel.Functions.SPG(H56, "SP_ULT_PARENT_COUNTRY")</f>
        <v/>
      </c>
      <c r="L56" s="9" t="str">
        <f>_xll.SNL.Clients.Office.Excel.Functions.SPG(H56, "SP_PARENT_COMPANY_NAME")</f>
        <v/>
      </c>
      <c r="M56" s="9" t="str">
        <f>_xll.SNL.Clients.Office.Excel.Functions.SPG(H56, "SP_PARENT_COUNTRY")</f>
        <v/>
      </c>
      <c r="N56" s="9" t="str">
        <f>_xll.SNL.Clients.Office.Excel.Functions.SPG(H56, "SP_COUNTRY_NAME")</f>
        <v>China</v>
      </c>
      <c r="O56" s="9" t="str">
        <f>_xll.SNL.Clients.Office.Excel.Functions.SPG(I56, "SP_ULT_PARENT_COMPANY_NAME")</f>
        <v/>
      </c>
      <c r="P56" s="9" t="str">
        <f>_xll.SNL.Clients.Office.Excel.Functions.SPG(I56, "SP_ULT_PARENT_COUNTRY")</f>
        <v/>
      </c>
      <c r="Q56" s="9" t="str">
        <f>_xll.SNL.Clients.Office.Excel.Functions.SPG(I56, "SP_PARENT_COMPANY_NAME")</f>
        <v/>
      </c>
      <c r="R56" s="9" t="str">
        <f>_xll.SNL.Clients.Office.Excel.Functions.SPG(I56, "SP_PARENT_COUNTRY")</f>
        <v/>
      </c>
      <c r="S56" s="9" t="str">
        <f>_xll.SNL.Clients.Office.Excel.Functions.SPG(I56, "SP_COUNTRY_NAME")</f>
        <v>China</v>
      </c>
    </row>
    <row r="57" spans="1:19" ht="58" x14ac:dyDescent="0.35">
      <c r="A57" s="5">
        <v>46022</v>
      </c>
      <c r="B57" s="4" t="s">
        <v>84</v>
      </c>
      <c r="C57" s="4" t="s">
        <v>85</v>
      </c>
      <c r="D57" s="4" t="s">
        <v>233</v>
      </c>
      <c r="E57" s="8">
        <v>4121019</v>
      </c>
      <c r="F57" s="7">
        <v>50</v>
      </c>
      <c r="G57" s="9" t="str">
        <f>[1]!SNLData("243327", $C57, "OWNER_LIST")</f>
        <v>Albemarle Corporation (Venturer) 50%; Mineral Resources Limited (Venturer) 50%</v>
      </c>
      <c r="H57" s="9">
        <f>[1]!SNLData("243327", C57, "OWNER_SNL_INSTN_KEY", "Owner 1")</f>
        <v>4121019</v>
      </c>
      <c r="I57" s="9">
        <f>[1]!SNLData("243327", C57, "OWNER_SNL_INSTN_KEY", "Owner 2")</f>
        <v>4352438</v>
      </c>
      <c r="J57" s="9" t="str">
        <f>_xll.SNL.Clients.Office.Excel.Functions.SPG(H57, "SP_ULT_PARENT_COMPANY_NAME")</f>
        <v/>
      </c>
      <c r="K57" s="9" t="str">
        <f>_xll.SNL.Clients.Office.Excel.Functions.SPG(H57, "SP_ULT_PARENT_COUNTRY")</f>
        <v/>
      </c>
      <c r="L57" s="9" t="str">
        <f>_xll.SNL.Clients.Office.Excel.Functions.SPG(H57, "SP_PARENT_COMPANY_NAME")</f>
        <v/>
      </c>
      <c r="M57" s="9" t="str">
        <f>_xll.SNL.Clients.Office.Excel.Functions.SPG(H57, "SP_PARENT_COUNTRY")</f>
        <v/>
      </c>
      <c r="N57" s="9" t="str">
        <f>_xll.SNL.Clients.Office.Excel.Functions.SPG(H57, "SP_COUNTRY_NAME")</f>
        <v>USA</v>
      </c>
      <c r="O57" s="9" t="str">
        <f>_xll.SNL.Clients.Office.Excel.Functions.SPG(I57, "SP_ULT_PARENT_COMPANY_NAME")</f>
        <v/>
      </c>
      <c r="P57" s="9" t="str">
        <f>_xll.SNL.Clients.Office.Excel.Functions.SPG(I57, "SP_ULT_PARENT_COUNTRY")</f>
        <v/>
      </c>
      <c r="Q57" s="9" t="str">
        <f>_xll.SNL.Clients.Office.Excel.Functions.SPG(I57, "SP_PARENT_COMPANY_NAME")</f>
        <v/>
      </c>
      <c r="R57" s="9" t="str">
        <f>_xll.SNL.Clients.Office.Excel.Functions.SPG(I57, "SP_PARENT_COUNTRY")</f>
        <v/>
      </c>
      <c r="S57" s="9" t="str">
        <f>_xll.SNL.Clients.Office.Excel.Functions.SPG(I57, "SP_COUNTRY_NAME")</f>
        <v>Australia</v>
      </c>
    </row>
    <row r="58" spans="1:19" ht="58" x14ac:dyDescent="0.35">
      <c r="A58" s="5">
        <v>46022</v>
      </c>
      <c r="B58" s="4" t="s">
        <v>84</v>
      </c>
      <c r="C58" s="4" t="s">
        <v>85</v>
      </c>
      <c r="D58" s="4" t="s">
        <v>243</v>
      </c>
      <c r="E58" s="8">
        <v>4352438</v>
      </c>
      <c r="F58" s="7">
        <v>50</v>
      </c>
      <c r="G58" s="9" t="str">
        <f>[1]!SNLData("243327", $C58, "OWNER_LIST")</f>
        <v>Albemarle Corporation (Venturer) 50%; Mineral Resources Limited (Venturer) 50%</v>
      </c>
      <c r="H58" s="9">
        <f>[1]!SNLData("243327", C58, "OWNER_SNL_INSTN_KEY", "Owner 1")</f>
        <v>4121019</v>
      </c>
      <c r="I58" s="9">
        <f>[1]!SNLData("243327", C58, "OWNER_SNL_INSTN_KEY", "Owner 2")</f>
        <v>4352438</v>
      </c>
      <c r="J58" s="9" t="str">
        <f>_xll.SNL.Clients.Office.Excel.Functions.SPG(H58, "SP_ULT_PARENT_COMPANY_NAME")</f>
        <v/>
      </c>
      <c r="K58" s="9" t="str">
        <f>_xll.SNL.Clients.Office.Excel.Functions.SPG(H58, "SP_ULT_PARENT_COUNTRY")</f>
        <v/>
      </c>
      <c r="L58" s="9" t="str">
        <f>_xll.SNL.Clients.Office.Excel.Functions.SPG(H58, "SP_PARENT_COMPANY_NAME")</f>
        <v/>
      </c>
      <c r="M58" s="9" t="str">
        <f>_xll.SNL.Clients.Office.Excel.Functions.SPG(H58, "SP_PARENT_COUNTRY")</f>
        <v/>
      </c>
      <c r="N58" s="9" t="str">
        <f>_xll.SNL.Clients.Office.Excel.Functions.SPG(H58, "SP_COUNTRY_NAME")</f>
        <v>USA</v>
      </c>
      <c r="O58" s="9" t="str">
        <f>_xll.SNL.Clients.Office.Excel.Functions.SPG(I58, "SP_ULT_PARENT_COMPANY_NAME")</f>
        <v/>
      </c>
      <c r="P58" s="9" t="str">
        <f>_xll.SNL.Clients.Office.Excel.Functions.SPG(I58, "SP_ULT_PARENT_COUNTRY")</f>
        <v/>
      </c>
      <c r="Q58" s="9" t="str">
        <f>_xll.SNL.Clients.Office.Excel.Functions.SPG(I58, "SP_PARENT_COMPANY_NAME")</f>
        <v/>
      </c>
      <c r="R58" s="9" t="str">
        <f>_xll.SNL.Clients.Office.Excel.Functions.SPG(I58, "SP_PARENT_COUNTRY")</f>
        <v/>
      </c>
      <c r="S58" s="9" t="str">
        <f>_xll.SNL.Clients.Office.Excel.Functions.SPG(I58, "SP_COUNTRY_NAME")</f>
        <v>Australia</v>
      </c>
    </row>
    <row r="59" spans="1:19" ht="58" x14ac:dyDescent="0.35">
      <c r="A59" s="5">
        <v>46022</v>
      </c>
      <c r="B59" s="4" t="s">
        <v>86</v>
      </c>
      <c r="C59" s="4" t="s">
        <v>87</v>
      </c>
      <c r="D59" s="4" t="s">
        <v>241</v>
      </c>
      <c r="E59" s="8">
        <v>4355642</v>
      </c>
      <c r="F59" s="7">
        <v>66</v>
      </c>
      <c r="G59" s="9" t="str">
        <f>[1]!SNLData("243327", $C59, "OWNER_LIST")</f>
        <v>Unnamed Owner (Venturer) 34%; Zijin Mining Group Company Limited (Venturer) 66%</v>
      </c>
      <c r="H59" s="9">
        <f>[1]!SNLData("243327", C59, "OWNER_SNL_INSTN_KEY", "Owner 1")</f>
        <v>4355642</v>
      </c>
      <c r="I59" s="9">
        <f>[1]!SNLData("243327", C59, "OWNER_SNL_INSTN_KEY", "Owner 2")</f>
        <v>4400798</v>
      </c>
      <c r="J59" s="9" t="str">
        <f>_xll.SNL.Clients.Office.Excel.Functions.SPG(H59, "SP_ULT_PARENT_COMPANY_NAME")</f>
        <v/>
      </c>
      <c r="K59" s="9" t="str">
        <f>_xll.SNL.Clients.Office.Excel.Functions.SPG(H59, "SP_ULT_PARENT_COUNTRY")</f>
        <v/>
      </c>
      <c r="L59" s="9" t="str">
        <f>_xll.SNL.Clients.Office.Excel.Functions.SPG(H59, "SP_PARENT_COMPANY_NAME")</f>
        <v/>
      </c>
      <c r="M59" s="9" t="str">
        <f>_xll.SNL.Clients.Office.Excel.Functions.SPG(H59, "SP_PARENT_COUNTRY")</f>
        <v/>
      </c>
      <c r="N59" s="9" t="str">
        <f>_xll.SNL.Clients.Office.Excel.Functions.SPG(H59, "SP_COUNTRY_NAME")</f>
        <v>China</v>
      </c>
      <c r="O59" s="9" t="str">
        <f>_xll.SNL.Clients.Office.Excel.Functions.SPG(I59, "SP_ULT_PARENT_COMPANY_NAME")</f>
        <v/>
      </c>
      <c r="P59" s="9" t="str">
        <f>_xll.SNL.Clients.Office.Excel.Functions.SPG(I59, "SP_ULT_PARENT_COUNTRY")</f>
        <v/>
      </c>
      <c r="Q59" s="9" t="str">
        <f>_xll.SNL.Clients.Office.Excel.Functions.SPG(I59, "SP_PARENT_COMPANY_NAME")</f>
        <v/>
      </c>
      <c r="R59" s="9" t="str">
        <f>_xll.SNL.Clients.Office.Excel.Functions.SPG(I59, "SP_PARENT_COUNTRY")</f>
        <v/>
      </c>
      <c r="S59" s="9" t="str">
        <f>_xll.SNL.Clients.Office.Excel.Functions.SPG(I59, "SP_COUNTRY_NAME")</f>
        <v>USA</v>
      </c>
    </row>
    <row r="60" spans="1:19" ht="43.5" x14ac:dyDescent="0.35">
      <c r="A60" s="5">
        <v>46022</v>
      </c>
      <c r="B60" s="4" t="s">
        <v>174</v>
      </c>
      <c r="C60" s="4" t="s">
        <v>175</v>
      </c>
      <c r="D60" s="4" t="s">
        <v>251</v>
      </c>
      <c r="E60" s="8">
        <v>4984938</v>
      </c>
      <c r="F60" s="7">
        <v>75</v>
      </c>
      <c r="G60" s="9" t="str">
        <f>[1]!SNLData("243327", $C60, "OWNER_LIST")</f>
        <v>Chengxin Lithium Group Co., Ltd. (Venturer) 75%; Unnamed Owner (Fractional) %</v>
      </c>
      <c r="H60" s="9">
        <f>[1]!SNLData("243327", C60, "OWNER_SNL_INSTN_KEY", "Owner 1")</f>
        <v>4984938</v>
      </c>
      <c r="I60" s="9">
        <f>[1]!SNLData("243327", C60, "OWNER_SNL_INSTN_KEY", "Owner 2")</f>
        <v>4400798</v>
      </c>
      <c r="J60" s="9" t="str">
        <f>_xll.SNL.Clients.Office.Excel.Functions.SPG(H60, "SP_ULT_PARENT_COMPANY_NAME")</f>
        <v>Shenzhen Chengtun Industrial Development Co., Ltd.</v>
      </c>
      <c r="K60" s="9" t="str">
        <f>_xll.SNL.Clients.Office.Excel.Functions.SPG(H60, "SP_ULT_PARENT_COUNTRY")</f>
        <v>China</v>
      </c>
      <c r="L60" s="9" t="str">
        <f>_xll.SNL.Clients.Office.Excel.Functions.SPG(H60, "SP_PARENT_COMPANY_NAME")</f>
        <v>Shenzhen Chengtun Group Co., Ltd.</v>
      </c>
      <c r="M60" s="9" t="str">
        <f>_xll.SNL.Clients.Office.Excel.Functions.SPG(H60, "SP_PARENT_COUNTRY")</f>
        <v>China</v>
      </c>
      <c r="N60" s="9" t="str">
        <f>_xll.SNL.Clients.Office.Excel.Functions.SPG(H60, "SP_COUNTRY_NAME")</f>
        <v>China</v>
      </c>
      <c r="O60" s="9" t="str">
        <f>_xll.SNL.Clients.Office.Excel.Functions.SPG(I60, "SP_ULT_PARENT_COMPANY_NAME")</f>
        <v/>
      </c>
      <c r="P60" s="9" t="str">
        <f>_xll.SNL.Clients.Office.Excel.Functions.SPG(I60, "SP_ULT_PARENT_COUNTRY")</f>
        <v/>
      </c>
      <c r="Q60" s="9" t="str">
        <f>_xll.SNL.Clients.Office.Excel.Functions.SPG(I60, "SP_PARENT_COMPANY_NAME")</f>
        <v/>
      </c>
      <c r="R60" s="9" t="str">
        <f>_xll.SNL.Clients.Office.Excel.Functions.SPG(I60, "SP_PARENT_COUNTRY")</f>
        <v/>
      </c>
      <c r="S60" s="9" t="str">
        <f>_xll.SNL.Clients.Office.Excel.Functions.SPG(I60, "SP_COUNTRY_NAME")</f>
        <v>USA</v>
      </c>
    </row>
    <row r="61" spans="1:19" x14ac:dyDescent="0.35">
      <c r="A61" s="5">
        <v>46022</v>
      </c>
      <c r="B61" s="4" t="s">
        <v>88</v>
      </c>
      <c r="C61" s="4" t="s">
        <v>89</v>
      </c>
      <c r="D61" s="4" t="s">
        <v>255</v>
      </c>
      <c r="E61" s="8">
        <v>4500518</v>
      </c>
      <c r="F61" s="7">
        <v>100</v>
      </c>
      <c r="G61" s="9" t="str">
        <f>[1]!SNLData("243327", $C61, "OWNER_LIST")</f>
        <v>Yichun Tantalum Co Ltd  100%</v>
      </c>
      <c r="H61" s="9">
        <f>[1]!SNLData("243327", C61, "OWNER_SNL_INSTN_KEY", "Owner 1")</f>
        <v>4500518</v>
      </c>
      <c r="I61" s="9" t="str">
        <f>[1]!SNLData("243327", C61, "OWNER_SNL_INSTN_KEY", "Owner 2")</f>
        <v>NA</v>
      </c>
      <c r="J61" s="9" t="str">
        <f>_xll.SNL.Clients.Office.Excel.Functions.SPG(H61, "SP_ULT_PARENT_COMPANY_NAME")</f>
        <v/>
      </c>
      <c r="K61" s="9" t="str">
        <f>_xll.SNL.Clients.Office.Excel.Functions.SPG(H61, "SP_ULT_PARENT_COUNTRY")</f>
        <v/>
      </c>
      <c r="L61" s="9" t="str">
        <f>_xll.SNL.Clients.Office.Excel.Functions.SPG(H61, "SP_PARENT_COMPANY_NAME")</f>
        <v/>
      </c>
      <c r="M61" s="9" t="str">
        <f>_xll.SNL.Clients.Office.Excel.Functions.SPG(H61, "SP_PARENT_COUNTRY")</f>
        <v/>
      </c>
      <c r="N61" s="9" t="str">
        <f>_xll.SNL.Clients.Office.Excel.Functions.SPG(H61, "SP_COUNTRY_NAME")</f>
        <v>China</v>
      </c>
      <c r="O61" s="9" t="str">
        <f>_xll.SNL.Clients.Office.Excel.Functions.SPG(I61, "SP_ULT_PARENT_COMPANY_NAME")</f>
        <v/>
      </c>
      <c r="P61" s="9" t="str">
        <f>_xll.SNL.Clients.Office.Excel.Functions.SPG(I61, "SP_ULT_PARENT_COUNTRY")</f>
        <v/>
      </c>
      <c r="Q61" s="9" t="str">
        <f>_xll.SNL.Clients.Office.Excel.Functions.SPG(I61, "SP_PARENT_COMPANY_NAME")</f>
        <v/>
      </c>
      <c r="R61" s="9" t="str">
        <f>_xll.SNL.Clients.Office.Excel.Functions.SPG(I61, "SP_PARENT_COUNTRY")</f>
        <v/>
      </c>
      <c r="S61" s="9" t="str">
        <f>_xll.SNL.Clients.Office.Excel.Functions.SPG(I61, "SP_COUNTRY_NAME")</f>
        <v>China</v>
      </c>
    </row>
    <row r="62" spans="1:19" ht="72.5" x14ac:dyDescent="0.35">
      <c r="A62" s="5">
        <v>46022</v>
      </c>
      <c r="B62" s="4" t="s">
        <v>176</v>
      </c>
      <c r="C62" s="4" t="s">
        <v>177</v>
      </c>
      <c r="D62" s="4" t="s">
        <v>235</v>
      </c>
      <c r="E62" s="8">
        <v>4365897</v>
      </c>
      <c r="F62" s="7">
        <v>20</v>
      </c>
      <c r="G62" s="9" t="str">
        <f>[1]!SNLData("243327", $C62, "OWNER_LIST")</f>
        <v>Xizang Mineral Development Co. LTD (Optionor) 80%; Tianqi Lithium Corporation (Optionee) 20%</v>
      </c>
      <c r="H62" s="9">
        <f>[1]!SNLData("243327", C62, "OWNER_SNL_INSTN_KEY", "Owner 1")</f>
        <v>4354854</v>
      </c>
      <c r="I62" s="9">
        <f>[1]!SNLData("243327", C62, "OWNER_SNL_INSTN_KEY", "Owner 2")</f>
        <v>4365897</v>
      </c>
      <c r="J62" s="9" t="str">
        <f>_xll.SNL.Clients.Office.Excel.Functions.SPG(H62, "SP_ULT_PARENT_COMPANY_NAME")</f>
        <v/>
      </c>
      <c r="K62" s="9" t="str">
        <f>_xll.SNL.Clients.Office.Excel.Functions.SPG(H62, "SP_ULT_PARENT_COUNTRY")</f>
        <v/>
      </c>
      <c r="L62" s="9" t="str">
        <f>_xll.SNL.Clients.Office.Excel.Functions.SPG(H62, "SP_PARENT_COMPANY_NAME")</f>
        <v/>
      </c>
      <c r="M62" s="9" t="str">
        <f>_xll.SNL.Clients.Office.Excel.Functions.SPG(H62, "SP_PARENT_COUNTRY")</f>
        <v/>
      </c>
      <c r="N62" s="9" t="str">
        <f>_xll.SNL.Clients.Office.Excel.Functions.SPG(H62, "SP_COUNTRY_NAME")</f>
        <v>China</v>
      </c>
      <c r="O62" s="9" t="str">
        <f>_xll.SNL.Clients.Office.Excel.Functions.SPG(I62, "SP_ULT_PARENT_COMPANY_NAME")</f>
        <v>Chengdu Tianqi Industry Group Co., Ltd.</v>
      </c>
      <c r="P62" s="9" t="str">
        <f>_xll.SNL.Clients.Office.Excel.Functions.SPG(I62, "SP_ULT_PARENT_COUNTRY")</f>
        <v>China</v>
      </c>
      <c r="Q62" s="9" t="str">
        <f>_xll.SNL.Clients.Office.Excel.Functions.SPG(I62, "SP_PARENT_COMPANY_NAME")</f>
        <v>Chengdu Tianqi Industry Group Co., Ltd.</v>
      </c>
      <c r="R62" s="9" t="str">
        <f>_xll.SNL.Clients.Office.Excel.Functions.SPG(I62, "SP_PARENT_COUNTRY")</f>
        <v>China</v>
      </c>
      <c r="S62" s="9" t="str">
        <f>_xll.SNL.Clients.Office.Excel.Functions.SPG(I62, "SP_COUNTRY_NAME")</f>
        <v>China</v>
      </c>
    </row>
    <row r="63" spans="1:19" ht="72.5" x14ac:dyDescent="0.35">
      <c r="A63" s="5">
        <v>46022</v>
      </c>
      <c r="B63" s="4" t="s">
        <v>176</v>
      </c>
      <c r="C63" s="4" t="s">
        <v>177</v>
      </c>
      <c r="D63" s="4" t="s">
        <v>256</v>
      </c>
      <c r="E63" s="8">
        <v>4354854</v>
      </c>
      <c r="F63" s="7">
        <v>80</v>
      </c>
      <c r="G63" s="9" t="str">
        <f>[1]!SNLData("243327", $C63, "OWNER_LIST")</f>
        <v>Xizang Mineral Development Co. LTD (Optionor) 80%; Tianqi Lithium Corporation (Optionee) 20%</v>
      </c>
      <c r="H63" s="9">
        <f>[1]!SNLData("243327", C63, "OWNER_SNL_INSTN_KEY", "Owner 1")</f>
        <v>4354854</v>
      </c>
      <c r="I63" s="9">
        <f>[1]!SNLData("243327", C63, "OWNER_SNL_INSTN_KEY", "Owner 2")</f>
        <v>4365897</v>
      </c>
      <c r="J63" s="9" t="str">
        <f>_xll.SNL.Clients.Office.Excel.Functions.SPG(H63, "SP_ULT_PARENT_COMPANY_NAME")</f>
        <v/>
      </c>
      <c r="K63" s="9" t="str">
        <f>_xll.SNL.Clients.Office.Excel.Functions.SPG(H63, "SP_ULT_PARENT_COUNTRY")</f>
        <v/>
      </c>
      <c r="L63" s="9" t="str">
        <f>_xll.SNL.Clients.Office.Excel.Functions.SPG(H63, "SP_PARENT_COMPANY_NAME")</f>
        <v/>
      </c>
      <c r="M63" s="9" t="str">
        <f>_xll.SNL.Clients.Office.Excel.Functions.SPG(H63, "SP_PARENT_COUNTRY")</f>
        <v/>
      </c>
      <c r="N63" s="9" t="str">
        <f>_xll.SNL.Clients.Office.Excel.Functions.SPG(H63, "SP_COUNTRY_NAME")</f>
        <v>China</v>
      </c>
      <c r="O63" s="9" t="str">
        <f>_xll.SNL.Clients.Office.Excel.Functions.SPG(I63, "SP_ULT_PARENT_COMPANY_NAME")</f>
        <v>Chengdu Tianqi Industry Group Co., Ltd.</v>
      </c>
      <c r="P63" s="9" t="str">
        <f>_xll.SNL.Clients.Office.Excel.Functions.SPG(I63, "SP_ULT_PARENT_COUNTRY")</f>
        <v>China</v>
      </c>
      <c r="Q63" s="9" t="str">
        <f>_xll.SNL.Clients.Office.Excel.Functions.SPG(I63, "SP_PARENT_COMPANY_NAME")</f>
        <v>Chengdu Tianqi Industry Group Co., Ltd.</v>
      </c>
      <c r="R63" s="9" t="str">
        <f>_xll.SNL.Clients.Office.Excel.Functions.SPG(I63, "SP_PARENT_COUNTRY")</f>
        <v>China</v>
      </c>
      <c r="S63" s="9" t="str">
        <f>_xll.SNL.Clients.Office.Excel.Functions.SPG(I63, "SP_COUNTRY_NAME")</f>
        <v>China</v>
      </c>
    </row>
  </sheetData>
  <mergeCells count="20">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B9343-FD5C-44F9-8860-CC8C918F1D80}">
  <dimension ref="A1:S62"/>
  <sheetViews>
    <sheetView workbookViewId="0">
      <selection activeCell="G23" sqref="G23"/>
    </sheetView>
  </sheetViews>
  <sheetFormatPr defaultRowHeight="14.5" x14ac:dyDescent="0.35"/>
  <cols>
    <col min="6" max="6" width="23.453125" customWidth="1"/>
    <col min="7" max="7" width="24.26953125" customWidth="1"/>
    <col min="8" max="9" width="8.7265625" customWidth="1"/>
    <col min="10" max="10" width="18.54296875" customWidth="1"/>
    <col min="11" max="11" width="15.81640625" customWidth="1"/>
    <col min="12" max="12" width="14.36328125" customWidth="1"/>
    <col min="13" max="13" width="15.1796875" customWidth="1"/>
    <col min="14" max="14" width="19.6328125" customWidth="1"/>
  </cols>
  <sheetData>
    <row r="1" spans="1:19" x14ac:dyDescent="0.35">
      <c r="A1" t="s">
        <v>257</v>
      </c>
    </row>
    <row r="2" spans="1:19" x14ac:dyDescent="0.35">
      <c r="A2" t="s">
        <v>0</v>
      </c>
    </row>
    <row r="3" spans="1:19" x14ac:dyDescent="0.35">
      <c r="A3" t="s">
        <v>1</v>
      </c>
    </row>
    <row r="5" spans="1:19" x14ac:dyDescent="0.35">
      <c r="A5" t="s">
        <v>3</v>
      </c>
      <c r="B5" t="s">
        <v>4</v>
      </c>
      <c r="C5" t="s">
        <v>5</v>
      </c>
      <c r="D5" t="s">
        <v>217</v>
      </c>
      <c r="E5" t="s">
        <v>218</v>
      </c>
      <c r="F5" t="s">
        <v>219</v>
      </c>
      <c r="G5" t="s">
        <v>258</v>
      </c>
      <c r="H5" t="s">
        <v>259</v>
      </c>
      <c r="I5" t="s">
        <v>260</v>
      </c>
      <c r="J5" t="s">
        <v>261</v>
      </c>
      <c r="K5" t="s">
        <v>262</v>
      </c>
      <c r="L5" t="s">
        <v>263</v>
      </c>
      <c r="M5" t="s">
        <v>264</v>
      </c>
      <c r="N5" t="s">
        <v>265</v>
      </c>
      <c r="O5" t="s">
        <v>266</v>
      </c>
      <c r="P5" t="s">
        <v>267</v>
      </c>
      <c r="Q5" t="s">
        <v>268</v>
      </c>
      <c r="R5" t="s">
        <v>269</v>
      </c>
      <c r="S5" t="s">
        <v>270</v>
      </c>
    </row>
    <row r="9" spans="1:19" x14ac:dyDescent="0.35">
      <c r="A9" s="10">
        <v>46022</v>
      </c>
      <c r="B9" t="s">
        <v>43</v>
      </c>
      <c r="C9" t="s">
        <v>44</v>
      </c>
      <c r="D9" t="s">
        <v>220</v>
      </c>
      <c r="E9">
        <v>7139357</v>
      </c>
      <c r="F9" s="11">
        <v>100</v>
      </c>
      <c r="G9" t="s">
        <v>271</v>
      </c>
      <c r="H9">
        <v>7139357</v>
      </c>
      <c r="I9" t="s">
        <v>272</v>
      </c>
      <c r="J9" t="s">
        <v>2</v>
      </c>
      <c r="K9" t="s">
        <v>2</v>
      </c>
      <c r="L9" t="s">
        <v>2</v>
      </c>
      <c r="M9" t="s">
        <v>2</v>
      </c>
      <c r="N9" t="s">
        <v>45</v>
      </c>
      <c r="O9" t="s">
        <v>2</v>
      </c>
      <c r="P9" t="s">
        <v>2</v>
      </c>
      <c r="Q9" t="s">
        <v>2</v>
      </c>
      <c r="R9" t="s">
        <v>2</v>
      </c>
      <c r="S9" t="s">
        <v>66</v>
      </c>
    </row>
    <row r="10" spans="1:19" x14ac:dyDescent="0.35">
      <c r="A10" s="10">
        <v>46022</v>
      </c>
      <c r="B10" t="s">
        <v>46</v>
      </c>
      <c r="C10" t="s">
        <v>47</v>
      </c>
      <c r="D10" t="s">
        <v>221</v>
      </c>
      <c r="E10">
        <v>4353456</v>
      </c>
      <c r="F10" s="11">
        <v>13</v>
      </c>
      <c r="G10" t="s">
        <v>273</v>
      </c>
      <c r="H10">
        <v>4649906</v>
      </c>
      <c r="I10">
        <v>4353456</v>
      </c>
      <c r="J10" t="s">
        <v>274</v>
      </c>
      <c r="K10" t="s">
        <v>66</v>
      </c>
      <c r="L10" t="s">
        <v>274</v>
      </c>
      <c r="M10" t="s">
        <v>66</v>
      </c>
      <c r="N10" t="s">
        <v>66</v>
      </c>
      <c r="O10" t="s">
        <v>2</v>
      </c>
      <c r="P10" t="s">
        <v>2</v>
      </c>
      <c r="Q10" t="s">
        <v>2</v>
      </c>
      <c r="R10" t="s">
        <v>2</v>
      </c>
      <c r="S10" t="s">
        <v>66</v>
      </c>
    </row>
    <row r="11" spans="1:19" x14ac:dyDescent="0.35">
      <c r="A11" s="10">
        <v>46022</v>
      </c>
      <c r="B11" t="s">
        <v>46</v>
      </c>
      <c r="C11" t="s">
        <v>47</v>
      </c>
      <c r="D11" t="s">
        <v>222</v>
      </c>
      <c r="E11">
        <v>4649906</v>
      </c>
      <c r="F11" s="11">
        <v>87</v>
      </c>
      <c r="G11" t="s">
        <v>273</v>
      </c>
      <c r="H11">
        <v>4649906</v>
      </c>
      <c r="I11">
        <v>4353456</v>
      </c>
      <c r="J11" t="s">
        <v>274</v>
      </c>
      <c r="K11" t="s">
        <v>66</v>
      </c>
      <c r="L11" t="s">
        <v>274</v>
      </c>
      <c r="M11" t="s">
        <v>66</v>
      </c>
      <c r="N11" t="s">
        <v>66</v>
      </c>
      <c r="O11" t="s">
        <v>2</v>
      </c>
      <c r="P11" t="s">
        <v>2</v>
      </c>
      <c r="Q11" t="s">
        <v>2</v>
      </c>
      <c r="R11" t="s">
        <v>2</v>
      </c>
      <c r="S11" t="s">
        <v>66</v>
      </c>
    </row>
    <row r="12" spans="1:19" x14ac:dyDescent="0.35">
      <c r="A12" s="10">
        <v>46022</v>
      </c>
      <c r="B12" t="s">
        <v>49</v>
      </c>
      <c r="C12" t="s">
        <v>50</v>
      </c>
      <c r="D12" t="s">
        <v>223</v>
      </c>
      <c r="E12">
        <v>105829537</v>
      </c>
      <c r="F12" s="11">
        <v>100</v>
      </c>
      <c r="G12" t="s">
        <v>275</v>
      </c>
      <c r="H12">
        <v>105829537</v>
      </c>
      <c r="I12" t="s">
        <v>272</v>
      </c>
      <c r="J12" t="s">
        <v>276</v>
      </c>
      <c r="K12" t="s">
        <v>66</v>
      </c>
      <c r="L12" t="s">
        <v>277</v>
      </c>
      <c r="M12" t="s">
        <v>278</v>
      </c>
      <c r="N12" t="s">
        <v>48</v>
      </c>
      <c r="O12" t="s">
        <v>2</v>
      </c>
      <c r="P12" t="s">
        <v>2</v>
      </c>
      <c r="Q12" t="s">
        <v>2</v>
      </c>
      <c r="R12" t="s">
        <v>2</v>
      </c>
      <c r="S12" t="s">
        <v>66</v>
      </c>
    </row>
    <row r="13" spans="1:19" x14ac:dyDescent="0.35">
      <c r="A13" s="10">
        <v>46022</v>
      </c>
      <c r="B13" t="s">
        <v>51</v>
      </c>
      <c r="C13" t="s">
        <v>52</v>
      </c>
      <c r="D13" t="s">
        <v>224</v>
      </c>
      <c r="E13">
        <v>142493689</v>
      </c>
      <c r="F13" s="11">
        <v>35</v>
      </c>
      <c r="G13" t="s">
        <v>279</v>
      </c>
      <c r="H13">
        <v>142493689</v>
      </c>
      <c r="I13">
        <v>4511853</v>
      </c>
      <c r="J13" t="s">
        <v>2</v>
      </c>
      <c r="K13" t="s">
        <v>2</v>
      </c>
      <c r="L13" t="s">
        <v>2</v>
      </c>
      <c r="M13" t="s">
        <v>2</v>
      </c>
      <c r="N13" t="s">
        <v>53</v>
      </c>
      <c r="O13" t="s">
        <v>2</v>
      </c>
      <c r="P13" t="s">
        <v>2</v>
      </c>
      <c r="Q13" t="s">
        <v>2</v>
      </c>
      <c r="R13" t="s">
        <v>2</v>
      </c>
      <c r="S13" t="s">
        <v>66</v>
      </c>
    </row>
    <row r="14" spans="1:19" x14ac:dyDescent="0.35">
      <c r="A14" s="10">
        <v>46022</v>
      </c>
      <c r="B14" t="s">
        <v>51</v>
      </c>
      <c r="C14" t="s">
        <v>52</v>
      </c>
      <c r="D14" t="s">
        <v>225</v>
      </c>
      <c r="E14">
        <v>4511853</v>
      </c>
      <c r="F14" s="11">
        <v>33.15</v>
      </c>
      <c r="G14" t="s">
        <v>279</v>
      </c>
      <c r="H14">
        <v>142493689</v>
      </c>
      <c r="I14">
        <v>4511853</v>
      </c>
      <c r="J14" t="s">
        <v>2</v>
      </c>
      <c r="K14" t="s">
        <v>2</v>
      </c>
      <c r="L14" t="s">
        <v>2</v>
      </c>
      <c r="M14" t="s">
        <v>2</v>
      </c>
      <c r="N14" t="s">
        <v>53</v>
      </c>
      <c r="O14" t="s">
        <v>2</v>
      </c>
      <c r="P14" t="s">
        <v>2</v>
      </c>
      <c r="Q14" t="s">
        <v>2</v>
      </c>
      <c r="R14" t="s">
        <v>2</v>
      </c>
      <c r="S14" t="s">
        <v>66</v>
      </c>
    </row>
    <row r="15" spans="1:19" x14ac:dyDescent="0.35">
      <c r="A15" s="10">
        <v>46022</v>
      </c>
      <c r="B15" t="s">
        <v>51</v>
      </c>
      <c r="C15" t="s">
        <v>52</v>
      </c>
      <c r="D15" t="s">
        <v>226</v>
      </c>
      <c r="E15">
        <v>4533605</v>
      </c>
      <c r="F15" s="11">
        <v>31.85</v>
      </c>
      <c r="G15" t="s">
        <v>279</v>
      </c>
      <c r="H15">
        <v>142493689</v>
      </c>
      <c r="I15">
        <v>4511853</v>
      </c>
      <c r="J15" t="s">
        <v>2</v>
      </c>
      <c r="K15" t="s">
        <v>2</v>
      </c>
      <c r="L15" t="s">
        <v>2</v>
      </c>
      <c r="M15" t="s">
        <v>2</v>
      </c>
      <c r="N15" t="s">
        <v>53</v>
      </c>
      <c r="O15" t="s">
        <v>2</v>
      </c>
      <c r="P15" t="s">
        <v>2</v>
      </c>
      <c r="Q15" t="s">
        <v>2</v>
      </c>
      <c r="R15" t="s">
        <v>2</v>
      </c>
      <c r="S15" t="s">
        <v>66</v>
      </c>
    </row>
    <row r="16" spans="1:19" x14ac:dyDescent="0.35">
      <c r="A16" s="10">
        <v>46022</v>
      </c>
      <c r="B16" t="s">
        <v>54</v>
      </c>
      <c r="C16" t="s">
        <v>55</v>
      </c>
      <c r="D16" t="s">
        <v>227</v>
      </c>
      <c r="E16">
        <v>7136761</v>
      </c>
      <c r="F16" s="11">
        <v>100</v>
      </c>
      <c r="G16" t="s">
        <v>280</v>
      </c>
      <c r="H16">
        <v>7136761</v>
      </c>
      <c r="I16" t="s">
        <v>272</v>
      </c>
      <c r="J16" t="s">
        <v>2</v>
      </c>
      <c r="K16" t="s">
        <v>2</v>
      </c>
      <c r="L16" t="s">
        <v>2</v>
      </c>
      <c r="M16" t="s">
        <v>2</v>
      </c>
      <c r="N16" t="s">
        <v>56</v>
      </c>
      <c r="O16" t="s">
        <v>2</v>
      </c>
      <c r="P16" t="s">
        <v>2</v>
      </c>
      <c r="Q16" t="s">
        <v>2</v>
      </c>
      <c r="R16" t="s">
        <v>2</v>
      </c>
      <c r="S16" t="s">
        <v>66</v>
      </c>
    </row>
    <row r="17" spans="1:19" x14ac:dyDescent="0.35">
      <c r="A17" s="10">
        <v>46022</v>
      </c>
      <c r="B17" t="s">
        <v>135</v>
      </c>
      <c r="C17" t="s">
        <v>136</v>
      </c>
      <c r="D17" t="s">
        <v>228</v>
      </c>
      <c r="E17">
        <v>4351486</v>
      </c>
      <c r="F17" s="11">
        <v>8.5</v>
      </c>
      <c r="G17" t="s">
        <v>281</v>
      </c>
      <c r="H17">
        <v>4361422</v>
      </c>
      <c r="I17">
        <v>4355343</v>
      </c>
      <c r="J17" t="s">
        <v>2</v>
      </c>
      <c r="K17" t="s">
        <v>2</v>
      </c>
      <c r="L17" t="s">
        <v>2</v>
      </c>
      <c r="M17" t="s">
        <v>2</v>
      </c>
      <c r="N17" t="s">
        <v>66</v>
      </c>
      <c r="O17" t="s">
        <v>2</v>
      </c>
      <c r="P17" t="s">
        <v>2</v>
      </c>
      <c r="Q17" t="s">
        <v>2</v>
      </c>
      <c r="R17" t="s">
        <v>2</v>
      </c>
      <c r="S17" t="s">
        <v>282</v>
      </c>
    </row>
    <row r="18" spans="1:19" x14ac:dyDescent="0.35">
      <c r="A18" s="10">
        <v>46022</v>
      </c>
      <c r="B18" t="s">
        <v>138</v>
      </c>
      <c r="C18" t="s">
        <v>139</v>
      </c>
      <c r="D18" t="s">
        <v>229</v>
      </c>
      <c r="E18">
        <v>4353586</v>
      </c>
      <c r="F18" s="11">
        <v>100</v>
      </c>
      <c r="G18" t="s">
        <v>283</v>
      </c>
      <c r="H18">
        <v>4353586</v>
      </c>
      <c r="I18" t="s">
        <v>272</v>
      </c>
      <c r="J18" t="s">
        <v>2</v>
      </c>
      <c r="K18" t="s">
        <v>2</v>
      </c>
      <c r="L18" t="s">
        <v>2</v>
      </c>
      <c r="M18" t="s">
        <v>2</v>
      </c>
      <c r="N18" t="s">
        <v>66</v>
      </c>
      <c r="O18" t="s">
        <v>2</v>
      </c>
      <c r="P18" t="s">
        <v>2</v>
      </c>
      <c r="Q18" t="s">
        <v>2</v>
      </c>
      <c r="R18" t="s">
        <v>2</v>
      </c>
      <c r="S18" t="s">
        <v>66</v>
      </c>
    </row>
    <row r="19" spans="1:19" x14ac:dyDescent="0.35">
      <c r="A19" s="10">
        <v>46022</v>
      </c>
      <c r="B19" t="s">
        <v>140</v>
      </c>
      <c r="C19" t="s">
        <v>141</v>
      </c>
      <c r="D19" t="s">
        <v>230</v>
      </c>
      <c r="E19">
        <v>4350028</v>
      </c>
      <c r="F19" s="11">
        <v>100</v>
      </c>
      <c r="G19" t="s">
        <v>284</v>
      </c>
      <c r="H19">
        <v>4350028</v>
      </c>
      <c r="I19" t="s">
        <v>272</v>
      </c>
      <c r="J19" t="s">
        <v>2</v>
      </c>
      <c r="K19" t="s">
        <v>2</v>
      </c>
      <c r="L19" t="s">
        <v>2</v>
      </c>
      <c r="M19" t="s">
        <v>2</v>
      </c>
      <c r="N19" t="s">
        <v>285</v>
      </c>
      <c r="O19" t="s">
        <v>2</v>
      </c>
      <c r="P19" t="s">
        <v>2</v>
      </c>
      <c r="Q19" t="s">
        <v>2</v>
      </c>
      <c r="R19" t="s">
        <v>2</v>
      </c>
      <c r="S19" t="s">
        <v>66</v>
      </c>
    </row>
    <row r="20" spans="1:19" x14ac:dyDescent="0.35">
      <c r="A20" s="10">
        <v>46022</v>
      </c>
      <c r="B20" t="s">
        <v>142</v>
      </c>
      <c r="C20" t="s">
        <v>143</v>
      </c>
      <c r="D20" t="s">
        <v>231</v>
      </c>
      <c r="E20">
        <v>10355625</v>
      </c>
      <c r="F20" s="11">
        <v>100</v>
      </c>
      <c r="G20" t="s">
        <v>286</v>
      </c>
      <c r="H20">
        <v>10355625</v>
      </c>
      <c r="I20" t="s">
        <v>272</v>
      </c>
      <c r="J20" t="s">
        <v>287</v>
      </c>
      <c r="K20" t="s">
        <v>66</v>
      </c>
      <c r="L20" t="s">
        <v>287</v>
      </c>
      <c r="M20" t="s">
        <v>66</v>
      </c>
      <c r="N20" t="s">
        <v>66</v>
      </c>
      <c r="O20" t="s">
        <v>2</v>
      </c>
      <c r="P20" t="s">
        <v>2</v>
      </c>
      <c r="Q20" t="s">
        <v>2</v>
      </c>
      <c r="R20" t="s">
        <v>2</v>
      </c>
      <c r="S20" t="s">
        <v>66</v>
      </c>
    </row>
    <row r="21" spans="1:19" x14ac:dyDescent="0.35">
      <c r="A21" s="10">
        <v>46022</v>
      </c>
      <c r="B21" t="s">
        <v>57</v>
      </c>
      <c r="C21" t="s">
        <v>58</v>
      </c>
      <c r="D21" t="s">
        <v>232</v>
      </c>
      <c r="E21">
        <v>4361422</v>
      </c>
      <c r="F21" s="11">
        <v>100</v>
      </c>
      <c r="G21" t="s">
        <v>288</v>
      </c>
      <c r="H21">
        <v>4361422</v>
      </c>
      <c r="I21" t="s">
        <v>272</v>
      </c>
      <c r="J21" t="s">
        <v>2</v>
      </c>
      <c r="K21" t="s">
        <v>2</v>
      </c>
      <c r="L21" t="s">
        <v>2</v>
      </c>
      <c r="M21" t="s">
        <v>2</v>
      </c>
      <c r="N21" t="s">
        <v>66</v>
      </c>
      <c r="O21" t="s">
        <v>2</v>
      </c>
      <c r="P21" t="s">
        <v>2</v>
      </c>
      <c r="Q21" t="s">
        <v>2</v>
      </c>
      <c r="R21" t="s">
        <v>2</v>
      </c>
      <c r="S21" t="s">
        <v>66</v>
      </c>
    </row>
    <row r="22" spans="1:19" x14ac:dyDescent="0.35">
      <c r="A22" s="10">
        <v>46022</v>
      </c>
      <c r="B22" t="s">
        <v>59</v>
      </c>
      <c r="C22" t="s">
        <v>60</v>
      </c>
      <c r="D22" t="s">
        <v>233</v>
      </c>
      <c r="E22">
        <v>4121019</v>
      </c>
      <c r="F22" s="11">
        <v>49</v>
      </c>
      <c r="G22" t="s">
        <v>289</v>
      </c>
      <c r="H22">
        <v>4121019</v>
      </c>
      <c r="I22">
        <v>4365897</v>
      </c>
      <c r="J22" t="s">
        <v>2</v>
      </c>
      <c r="K22" t="s">
        <v>2</v>
      </c>
      <c r="L22" t="s">
        <v>2</v>
      </c>
      <c r="M22" t="s">
        <v>2</v>
      </c>
      <c r="N22" t="s">
        <v>169</v>
      </c>
      <c r="O22" t="s">
        <v>290</v>
      </c>
      <c r="P22" t="s">
        <v>66</v>
      </c>
      <c r="Q22" t="s">
        <v>290</v>
      </c>
      <c r="R22" t="s">
        <v>66</v>
      </c>
      <c r="S22" t="s">
        <v>66</v>
      </c>
    </row>
    <row r="23" spans="1:19" x14ac:dyDescent="0.35">
      <c r="A23" s="10">
        <v>46022</v>
      </c>
      <c r="B23" t="s">
        <v>59</v>
      </c>
      <c r="C23" t="s">
        <v>60</v>
      </c>
      <c r="D23" t="s">
        <v>234</v>
      </c>
      <c r="E23">
        <v>4351204</v>
      </c>
      <c r="F23" s="11">
        <v>24.99</v>
      </c>
      <c r="G23" t="s">
        <v>289</v>
      </c>
      <c r="H23">
        <v>4121019</v>
      </c>
      <c r="I23">
        <v>4365897</v>
      </c>
      <c r="J23" t="s">
        <v>2</v>
      </c>
      <c r="K23" t="s">
        <v>2</v>
      </c>
      <c r="L23" t="s">
        <v>2</v>
      </c>
      <c r="M23" t="s">
        <v>2</v>
      </c>
      <c r="N23" t="s">
        <v>169</v>
      </c>
      <c r="O23" t="s">
        <v>290</v>
      </c>
      <c r="P23" t="s">
        <v>66</v>
      </c>
      <c r="Q23" t="s">
        <v>290</v>
      </c>
      <c r="R23" t="s">
        <v>66</v>
      </c>
      <c r="S23" t="s">
        <v>66</v>
      </c>
    </row>
    <row r="24" spans="1:19" x14ac:dyDescent="0.35">
      <c r="A24" s="10">
        <v>46022</v>
      </c>
      <c r="B24" t="s">
        <v>59</v>
      </c>
      <c r="C24" t="s">
        <v>60</v>
      </c>
      <c r="D24" t="s">
        <v>235</v>
      </c>
      <c r="E24">
        <v>4365897</v>
      </c>
      <c r="F24" s="11">
        <v>26.01</v>
      </c>
      <c r="G24" t="s">
        <v>289</v>
      </c>
      <c r="H24">
        <v>4121019</v>
      </c>
      <c r="I24">
        <v>4365897</v>
      </c>
      <c r="J24" t="s">
        <v>2</v>
      </c>
      <c r="K24" t="s">
        <v>2</v>
      </c>
      <c r="L24" t="s">
        <v>2</v>
      </c>
      <c r="M24" t="s">
        <v>2</v>
      </c>
      <c r="N24" t="s">
        <v>169</v>
      </c>
      <c r="O24" t="s">
        <v>290</v>
      </c>
      <c r="P24" t="s">
        <v>66</v>
      </c>
      <c r="Q24" t="s">
        <v>290</v>
      </c>
      <c r="R24" t="s">
        <v>66</v>
      </c>
      <c r="S24" t="s">
        <v>66</v>
      </c>
    </row>
    <row r="25" spans="1:19" x14ac:dyDescent="0.35">
      <c r="A25" s="10">
        <v>46022</v>
      </c>
      <c r="B25" t="s">
        <v>62</v>
      </c>
      <c r="C25" t="s">
        <v>63</v>
      </c>
      <c r="D25" t="s">
        <v>236</v>
      </c>
      <c r="E25">
        <v>7941731</v>
      </c>
      <c r="F25" s="11">
        <v>100</v>
      </c>
      <c r="G25" t="s">
        <v>291</v>
      </c>
      <c r="H25">
        <v>7941731</v>
      </c>
      <c r="I25" t="s">
        <v>272</v>
      </c>
      <c r="J25" t="s">
        <v>2</v>
      </c>
      <c r="K25" t="s">
        <v>2</v>
      </c>
      <c r="L25" t="s">
        <v>2</v>
      </c>
      <c r="M25" t="s">
        <v>2</v>
      </c>
      <c r="N25" t="s">
        <v>79</v>
      </c>
      <c r="O25" t="s">
        <v>2</v>
      </c>
      <c r="P25" t="s">
        <v>2</v>
      </c>
      <c r="Q25" t="s">
        <v>2</v>
      </c>
      <c r="R25" t="s">
        <v>2</v>
      </c>
      <c r="S25" t="s">
        <v>66</v>
      </c>
    </row>
    <row r="26" spans="1:19" x14ac:dyDescent="0.35">
      <c r="A26" s="10">
        <v>46022</v>
      </c>
      <c r="B26" t="s">
        <v>64</v>
      </c>
      <c r="C26" t="s">
        <v>65</v>
      </c>
      <c r="D26" t="s">
        <v>237</v>
      </c>
      <c r="E26">
        <v>4991303</v>
      </c>
      <c r="F26" s="11">
        <v>100</v>
      </c>
      <c r="G26" t="s">
        <v>292</v>
      </c>
      <c r="H26">
        <v>4991303</v>
      </c>
      <c r="I26" t="s">
        <v>272</v>
      </c>
      <c r="J26" t="s">
        <v>2</v>
      </c>
      <c r="K26" t="s">
        <v>2</v>
      </c>
      <c r="L26" t="s">
        <v>2</v>
      </c>
      <c r="M26" t="s">
        <v>2</v>
      </c>
      <c r="N26" t="s">
        <v>66</v>
      </c>
      <c r="O26" t="s">
        <v>2</v>
      </c>
      <c r="P26" t="s">
        <v>2</v>
      </c>
      <c r="Q26" t="s">
        <v>2</v>
      </c>
      <c r="R26" t="s">
        <v>2</v>
      </c>
      <c r="S26" t="s">
        <v>66</v>
      </c>
    </row>
    <row r="27" spans="1:19" x14ac:dyDescent="0.35">
      <c r="A27" s="10">
        <v>46022</v>
      </c>
      <c r="B27" t="s">
        <v>67</v>
      </c>
      <c r="C27" t="s">
        <v>68</v>
      </c>
      <c r="D27" t="s">
        <v>221</v>
      </c>
      <c r="E27">
        <v>4353456</v>
      </c>
      <c r="F27" s="11">
        <v>40</v>
      </c>
      <c r="G27" t="s">
        <v>293</v>
      </c>
      <c r="H27">
        <v>4986961</v>
      </c>
      <c r="I27">
        <v>4353456</v>
      </c>
      <c r="J27" t="s">
        <v>2</v>
      </c>
      <c r="K27" t="s">
        <v>2</v>
      </c>
      <c r="L27" t="s">
        <v>2</v>
      </c>
      <c r="M27" t="s">
        <v>2</v>
      </c>
      <c r="N27" t="s">
        <v>66</v>
      </c>
      <c r="O27" t="s">
        <v>2</v>
      </c>
      <c r="P27" t="s">
        <v>2</v>
      </c>
      <c r="Q27" t="s">
        <v>2</v>
      </c>
      <c r="R27" t="s">
        <v>2</v>
      </c>
      <c r="S27" t="s">
        <v>66</v>
      </c>
    </row>
    <row r="28" spans="1:19" x14ac:dyDescent="0.35">
      <c r="A28" s="10">
        <v>46022</v>
      </c>
      <c r="B28" t="s">
        <v>67</v>
      </c>
      <c r="C28" t="s">
        <v>68</v>
      </c>
      <c r="D28" t="s">
        <v>238</v>
      </c>
      <c r="E28">
        <v>4986961</v>
      </c>
      <c r="F28" s="11">
        <v>60</v>
      </c>
      <c r="G28" t="s">
        <v>293</v>
      </c>
      <c r="H28">
        <v>4986961</v>
      </c>
      <c r="I28">
        <v>4353456</v>
      </c>
      <c r="J28" t="s">
        <v>2</v>
      </c>
      <c r="K28" t="s">
        <v>2</v>
      </c>
      <c r="L28" t="s">
        <v>2</v>
      </c>
      <c r="M28" t="s">
        <v>2</v>
      </c>
      <c r="N28" t="s">
        <v>66</v>
      </c>
      <c r="O28" t="s">
        <v>2</v>
      </c>
      <c r="P28" t="s">
        <v>2</v>
      </c>
      <c r="Q28" t="s">
        <v>2</v>
      </c>
      <c r="R28" t="s">
        <v>2</v>
      </c>
      <c r="S28" t="s">
        <v>66</v>
      </c>
    </row>
    <row r="29" spans="1:19" x14ac:dyDescent="0.35">
      <c r="A29" s="10">
        <v>46022</v>
      </c>
      <c r="B29" t="s">
        <v>69</v>
      </c>
      <c r="C29" t="s">
        <v>70</v>
      </c>
      <c r="D29" t="s">
        <v>239</v>
      </c>
      <c r="E29">
        <v>4351851</v>
      </c>
      <c r="F29" s="11">
        <v>100</v>
      </c>
      <c r="G29" t="s">
        <v>294</v>
      </c>
      <c r="H29">
        <v>4351851</v>
      </c>
      <c r="I29">
        <v>4353635</v>
      </c>
      <c r="J29" t="s">
        <v>2</v>
      </c>
      <c r="K29" t="s">
        <v>2</v>
      </c>
      <c r="L29" t="s">
        <v>2</v>
      </c>
      <c r="M29" t="s">
        <v>2</v>
      </c>
      <c r="N29" t="s">
        <v>61</v>
      </c>
      <c r="O29" t="s">
        <v>2</v>
      </c>
      <c r="P29" t="s">
        <v>2</v>
      </c>
      <c r="Q29" t="s">
        <v>2</v>
      </c>
      <c r="R29" t="s">
        <v>2</v>
      </c>
      <c r="S29" t="s">
        <v>61</v>
      </c>
    </row>
    <row r="30" spans="1:19" x14ac:dyDescent="0.35">
      <c r="A30" s="10">
        <v>46022</v>
      </c>
      <c r="B30" t="s">
        <v>144</v>
      </c>
      <c r="C30" t="s">
        <v>145</v>
      </c>
      <c r="D30" t="s">
        <v>240</v>
      </c>
      <c r="E30">
        <v>22790587</v>
      </c>
      <c r="F30" s="11">
        <v>30</v>
      </c>
      <c r="G30" t="s">
        <v>295</v>
      </c>
      <c r="H30">
        <v>4355642</v>
      </c>
      <c r="I30">
        <v>22790587</v>
      </c>
      <c r="J30" t="s">
        <v>2</v>
      </c>
      <c r="K30" t="s">
        <v>2</v>
      </c>
      <c r="L30" t="s">
        <v>2</v>
      </c>
      <c r="M30" t="s">
        <v>2</v>
      </c>
      <c r="N30" t="s">
        <v>66</v>
      </c>
      <c r="O30" t="s">
        <v>2</v>
      </c>
      <c r="P30" t="s">
        <v>2</v>
      </c>
      <c r="Q30" t="s">
        <v>2</v>
      </c>
      <c r="R30" t="s">
        <v>2</v>
      </c>
      <c r="S30" t="s">
        <v>66</v>
      </c>
    </row>
    <row r="31" spans="1:19" x14ac:dyDescent="0.35">
      <c r="A31" s="10">
        <v>46022</v>
      </c>
      <c r="B31" t="s">
        <v>144</v>
      </c>
      <c r="C31" t="s">
        <v>145</v>
      </c>
      <c r="D31" t="s">
        <v>241</v>
      </c>
      <c r="E31">
        <v>4355642</v>
      </c>
      <c r="F31" s="11">
        <v>70</v>
      </c>
      <c r="G31" t="s">
        <v>295</v>
      </c>
      <c r="H31">
        <v>4355642</v>
      </c>
      <c r="I31">
        <v>22790587</v>
      </c>
      <c r="J31" t="s">
        <v>2</v>
      </c>
      <c r="K31" t="s">
        <v>2</v>
      </c>
      <c r="L31" t="s">
        <v>2</v>
      </c>
      <c r="M31" t="s">
        <v>2</v>
      </c>
      <c r="N31" t="s">
        <v>66</v>
      </c>
      <c r="O31" t="s">
        <v>2</v>
      </c>
      <c r="P31" t="s">
        <v>2</v>
      </c>
      <c r="Q31" t="s">
        <v>2</v>
      </c>
      <c r="R31" t="s">
        <v>2</v>
      </c>
      <c r="S31" t="s">
        <v>66</v>
      </c>
    </row>
    <row r="32" spans="1:19" x14ac:dyDescent="0.35">
      <c r="A32" s="10">
        <v>46022</v>
      </c>
      <c r="B32" t="s">
        <v>146</v>
      </c>
      <c r="C32" t="s">
        <v>147</v>
      </c>
      <c r="D32" t="s">
        <v>242</v>
      </c>
      <c r="E32">
        <v>4517340</v>
      </c>
      <c r="F32" s="11">
        <v>100</v>
      </c>
      <c r="G32" t="s">
        <v>296</v>
      </c>
      <c r="H32">
        <v>4517340</v>
      </c>
      <c r="I32" t="s">
        <v>272</v>
      </c>
      <c r="J32" t="s">
        <v>2</v>
      </c>
      <c r="K32" t="s">
        <v>2</v>
      </c>
      <c r="L32" t="s">
        <v>2</v>
      </c>
      <c r="M32" t="s">
        <v>2</v>
      </c>
      <c r="N32" t="s">
        <v>66</v>
      </c>
      <c r="O32" t="s">
        <v>2</v>
      </c>
      <c r="P32" t="s">
        <v>2</v>
      </c>
      <c r="Q32" t="s">
        <v>2</v>
      </c>
      <c r="R32" t="s">
        <v>2</v>
      </c>
      <c r="S32" t="s">
        <v>66</v>
      </c>
    </row>
    <row r="33" spans="1:19" x14ac:dyDescent="0.35">
      <c r="A33" s="10">
        <v>46022</v>
      </c>
      <c r="B33" t="s">
        <v>148</v>
      </c>
      <c r="C33" t="s">
        <v>149</v>
      </c>
      <c r="D33" t="s">
        <v>232</v>
      </c>
      <c r="E33">
        <v>4361422</v>
      </c>
      <c r="F33" s="11">
        <v>100</v>
      </c>
      <c r="G33" t="s">
        <v>288</v>
      </c>
      <c r="H33">
        <v>4361422</v>
      </c>
      <c r="I33" t="s">
        <v>272</v>
      </c>
      <c r="J33" t="s">
        <v>2</v>
      </c>
      <c r="K33" t="s">
        <v>2</v>
      </c>
      <c r="L33" t="s">
        <v>2</v>
      </c>
      <c r="M33" t="s">
        <v>2</v>
      </c>
      <c r="N33" t="s">
        <v>66</v>
      </c>
      <c r="O33" t="s">
        <v>2</v>
      </c>
      <c r="P33" t="s">
        <v>2</v>
      </c>
      <c r="Q33" t="s">
        <v>2</v>
      </c>
      <c r="R33" t="s">
        <v>2</v>
      </c>
      <c r="S33" t="s">
        <v>66</v>
      </c>
    </row>
    <row r="34" spans="1:19" x14ac:dyDescent="0.35">
      <c r="A34" s="10">
        <v>46022</v>
      </c>
      <c r="B34" t="s">
        <v>71</v>
      </c>
      <c r="C34" t="s">
        <v>72</v>
      </c>
      <c r="D34" t="s">
        <v>232</v>
      </c>
      <c r="E34">
        <v>4361422</v>
      </c>
      <c r="F34" s="11">
        <v>50</v>
      </c>
      <c r="G34" t="s">
        <v>297</v>
      </c>
      <c r="H34">
        <v>4352438</v>
      </c>
      <c r="I34">
        <v>4361422</v>
      </c>
      <c r="J34" t="s">
        <v>2</v>
      </c>
      <c r="K34" t="s">
        <v>2</v>
      </c>
      <c r="L34" t="s">
        <v>2</v>
      </c>
      <c r="M34" t="s">
        <v>2</v>
      </c>
      <c r="N34" t="s">
        <v>61</v>
      </c>
      <c r="O34" t="s">
        <v>2</v>
      </c>
      <c r="P34" t="s">
        <v>2</v>
      </c>
      <c r="Q34" t="s">
        <v>2</v>
      </c>
      <c r="R34" t="s">
        <v>2</v>
      </c>
      <c r="S34" t="s">
        <v>66</v>
      </c>
    </row>
    <row r="35" spans="1:19" x14ac:dyDescent="0.35">
      <c r="A35" s="10">
        <v>46022</v>
      </c>
      <c r="B35" t="s">
        <v>71</v>
      </c>
      <c r="C35" t="s">
        <v>72</v>
      </c>
      <c r="D35" t="s">
        <v>243</v>
      </c>
      <c r="E35">
        <v>4352438</v>
      </c>
      <c r="F35" s="11">
        <v>50</v>
      </c>
      <c r="G35" t="s">
        <v>297</v>
      </c>
      <c r="H35">
        <v>4352438</v>
      </c>
      <c r="I35">
        <v>4361422</v>
      </c>
      <c r="J35" t="s">
        <v>2</v>
      </c>
      <c r="K35" t="s">
        <v>2</v>
      </c>
      <c r="L35" t="s">
        <v>2</v>
      </c>
      <c r="M35" t="s">
        <v>2</v>
      </c>
      <c r="N35" t="s">
        <v>61</v>
      </c>
      <c r="O35" t="s">
        <v>2</v>
      </c>
      <c r="P35" t="s">
        <v>2</v>
      </c>
      <c r="Q35" t="s">
        <v>2</v>
      </c>
      <c r="R35" t="s">
        <v>2</v>
      </c>
      <c r="S35" t="s">
        <v>66</v>
      </c>
    </row>
    <row r="36" spans="1:19" x14ac:dyDescent="0.35">
      <c r="A36" s="10">
        <v>46022</v>
      </c>
      <c r="B36" t="s">
        <v>73</v>
      </c>
      <c r="C36" t="s">
        <v>74</v>
      </c>
      <c r="D36" t="s">
        <v>244</v>
      </c>
      <c r="E36">
        <v>4149660</v>
      </c>
      <c r="F36" s="11">
        <v>100</v>
      </c>
      <c r="G36" t="s">
        <v>298</v>
      </c>
      <c r="H36">
        <v>4149660</v>
      </c>
      <c r="I36" t="s">
        <v>272</v>
      </c>
      <c r="J36" t="s">
        <v>2</v>
      </c>
      <c r="K36" t="s">
        <v>2</v>
      </c>
      <c r="L36" t="s">
        <v>2</v>
      </c>
      <c r="M36" t="s">
        <v>2</v>
      </c>
      <c r="N36" t="s">
        <v>299</v>
      </c>
      <c r="O36" t="s">
        <v>2</v>
      </c>
      <c r="P36" t="s">
        <v>2</v>
      </c>
      <c r="Q36" t="s">
        <v>2</v>
      </c>
      <c r="R36" t="s">
        <v>2</v>
      </c>
      <c r="S36" t="s">
        <v>66</v>
      </c>
    </row>
    <row r="37" spans="1:19" x14ac:dyDescent="0.35">
      <c r="A37" s="10">
        <v>46022</v>
      </c>
      <c r="B37" t="s">
        <v>75</v>
      </c>
      <c r="C37" t="s">
        <v>76</v>
      </c>
      <c r="D37" t="s">
        <v>245</v>
      </c>
      <c r="E37">
        <v>4354366</v>
      </c>
      <c r="F37" s="11">
        <v>50</v>
      </c>
      <c r="G37" t="s">
        <v>300</v>
      </c>
      <c r="H37">
        <v>4181751</v>
      </c>
      <c r="I37">
        <v>4354366</v>
      </c>
      <c r="J37" t="s">
        <v>2</v>
      </c>
      <c r="K37" t="s">
        <v>2</v>
      </c>
      <c r="L37" t="s">
        <v>2</v>
      </c>
      <c r="M37" t="s">
        <v>2</v>
      </c>
      <c r="N37" t="s">
        <v>61</v>
      </c>
      <c r="O37" t="s">
        <v>2</v>
      </c>
      <c r="P37" t="s">
        <v>2</v>
      </c>
      <c r="Q37" t="s">
        <v>2</v>
      </c>
      <c r="R37" t="s">
        <v>2</v>
      </c>
      <c r="S37" t="s">
        <v>159</v>
      </c>
    </row>
    <row r="38" spans="1:19" x14ac:dyDescent="0.35">
      <c r="A38" s="10">
        <v>46022</v>
      </c>
      <c r="B38" t="s">
        <v>75</v>
      </c>
      <c r="C38" t="s">
        <v>76</v>
      </c>
      <c r="D38" t="s">
        <v>246</v>
      </c>
      <c r="E38">
        <v>4181751</v>
      </c>
      <c r="F38" s="11">
        <v>50</v>
      </c>
      <c r="G38" t="s">
        <v>300</v>
      </c>
      <c r="H38">
        <v>4181751</v>
      </c>
      <c r="I38">
        <v>4354366</v>
      </c>
      <c r="J38" t="s">
        <v>2</v>
      </c>
      <c r="K38" t="s">
        <v>2</v>
      </c>
      <c r="L38" t="s">
        <v>2</v>
      </c>
      <c r="M38" t="s">
        <v>2</v>
      </c>
      <c r="N38" t="s">
        <v>61</v>
      </c>
      <c r="O38" t="s">
        <v>2</v>
      </c>
      <c r="P38" t="s">
        <v>2</v>
      </c>
      <c r="Q38" t="s">
        <v>2</v>
      </c>
      <c r="R38" t="s">
        <v>2</v>
      </c>
      <c r="S38" t="s">
        <v>159</v>
      </c>
    </row>
    <row r="39" spans="1:19" x14ac:dyDescent="0.35">
      <c r="A39" s="10">
        <v>46022</v>
      </c>
      <c r="B39" t="s">
        <v>77</v>
      </c>
      <c r="C39" t="s">
        <v>78</v>
      </c>
      <c r="D39" t="s">
        <v>247</v>
      </c>
      <c r="E39">
        <v>4349737</v>
      </c>
      <c r="F39" s="11">
        <v>100</v>
      </c>
      <c r="G39" t="s">
        <v>301</v>
      </c>
      <c r="H39">
        <v>4349737</v>
      </c>
      <c r="I39" t="s">
        <v>272</v>
      </c>
      <c r="J39" t="s">
        <v>2</v>
      </c>
      <c r="K39" t="s">
        <v>2</v>
      </c>
      <c r="L39" t="s">
        <v>2</v>
      </c>
      <c r="M39" t="s">
        <v>2</v>
      </c>
      <c r="N39" t="s">
        <v>61</v>
      </c>
      <c r="O39" t="s">
        <v>2</v>
      </c>
      <c r="P39" t="s">
        <v>2</v>
      </c>
      <c r="Q39" t="s">
        <v>2</v>
      </c>
      <c r="R39" t="s">
        <v>2</v>
      </c>
      <c r="S39" t="s">
        <v>66</v>
      </c>
    </row>
    <row r="40" spans="1:19" x14ac:dyDescent="0.35">
      <c r="A40" s="10">
        <v>46022</v>
      </c>
      <c r="B40" t="s">
        <v>80</v>
      </c>
      <c r="C40" t="s">
        <v>81</v>
      </c>
      <c r="D40" t="s">
        <v>248</v>
      </c>
      <c r="E40">
        <v>4364524</v>
      </c>
      <c r="F40" s="11">
        <v>100</v>
      </c>
      <c r="G40" t="s">
        <v>302</v>
      </c>
      <c r="H40">
        <v>4364524</v>
      </c>
      <c r="I40">
        <v>4355585</v>
      </c>
      <c r="J40" t="s">
        <v>2</v>
      </c>
      <c r="K40" t="s">
        <v>2</v>
      </c>
      <c r="L40" t="s">
        <v>2</v>
      </c>
      <c r="M40" t="s">
        <v>2</v>
      </c>
      <c r="N40" t="s">
        <v>61</v>
      </c>
      <c r="O40" t="s">
        <v>2</v>
      </c>
      <c r="P40" t="s">
        <v>2</v>
      </c>
      <c r="Q40" t="s">
        <v>2</v>
      </c>
      <c r="R40" t="s">
        <v>2</v>
      </c>
      <c r="S40" t="s">
        <v>61</v>
      </c>
    </row>
    <row r="41" spans="1:19" x14ac:dyDescent="0.35">
      <c r="A41" s="10">
        <v>46022</v>
      </c>
      <c r="B41" t="s">
        <v>151</v>
      </c>
      <c r="C41" t="s">
        <v>152</v>
      </c>
      <c r="D41" t="s">
        <v>249</v>
      </c>
      <c r="E41">
        <v>4993645</v>
      </c>
      <c r="F41" s="11">
        <v>100</v>
      </c>
      <c r="G41" t="s">
        <v>303</v>
      </c>
      <c r="H41">
        <v>4993645</v>
      </c>
      <c r="I41" t="s">
        <v>272</v>
      </c>
      <c r="J41" t="s">
        <v>2</v>
      </c>
      <c r="K41" t="s">
        <v>2</v>
      </c>
      <c r="L41" t="s">
        <v>2</v>
      </c>
      <c r="M41" t="s">
        <v>2</v>
      </c>
      <c r="N41" t="s">
        <v>66</v>
      </c>
      <c r="O41" t="s">
        <v>2</v>
      </c>
      <c r="P41" t="s">
        <v>2</v>
      </c>
      <c r="Q41" t="s">
        <v>2</v>
      </c>
      <c r="R41" t="s">
        <v>2</v>
      </c>
      <c r="S41" t="s">
        <v>66</v>
      </c>
    </row>
    <row r="42" spans="1:19" x14ac:dyDescent="0.35">
      <c r="A42" s="10">
        <v>46022</v>
      </c>
      <c r="B42" t="s">
        <v>153</v>
      </c>
      <c r="C42" t="s">
        <v>154</v>
      </c>
      <c r="D42" t="s">
        <v>250</v>
      </c>
      <c r="E42">
        <v>4331450</v>
      </c>
      <c r="F42" s="11">
        <v>51</v>
      </c>
      <c r="G42" t="s">
        <v>304</v>
      </c>
      <c r="H42">
        <v>4331450</v>
      </c>
      <c r="I42">
        <v>4361422</v>
      </c>
      <c r="J42" t="s">
        <v>305</v>
      </c>
      <c r="K42" t="s">
        <v>66</v>
      </c>
      <c r="L42" t="s">
        <v>305</v>
      </c>
      <c r="M42" t="s">
        <v>66</v>
      </c>
      <c r="N42" t="s">
        <v>66</v>
      </c>
      <c r="O42" t="s">
        <v>2</v>
      </c>
      <c r="P42" t="s">
        <v>2</v>
      </c>
      <c r="Q42" t="s">
        <v>2</v>
      </c>
      <c r="R42" t="s">
        <v>2</v>
      </c>
      <c r="S42" t="s">
        <v>66</v>
      </c>
    </row>
    <row r="43" spans="1:19" x14ac:dyDescent="0.35">
      <c r="A43" s="10">
        <v>46022</v>
      </c>
      <c r="B43" t="s">
        <v>153</v>
      </c>
      <c r="C43" t="s">
        <v>154</v>
      </c>
      <c r="D43" t="s">
        <v>232</v>
      </c>
      <c r="E43">
        <v>4361422</v>
      </c>
      <c r="F43" s="11">
        <v>49</v>
      </c>
      <c r="G43" t="s">
        <v>304</v>
      </c>
      <c r="H43">
        <v>4331450</v>
      </c>
      <c r="I43">
        <v>4361422</v>
      </c>
      <c r="J43" t="s">
        <v>305</v>
      </c>
      <c r="K43" t="s">
        <v>66</v>
      </c>
      <c r="L43" t="s">
        <v>305</v>
      </c>
      <c r="M43" t="s">
        <v>66</v>
      </c>
      <c r="N43" t="s">
        <v>66</v>
      </c>
      <c r="O43" t="s">
        <v>2</v>
      </c>
      <c r="P43" t="s">
        <v>2</v>
      </c>
      <c r="Q43" t="s">
        <v>2</v>
      </c>
      <c r="R43" t="s">
        <v>2</v>
      </c>
      <c r="S43" t="s">
        <v>66</v>
      </c>
    </row>
    <row r="44" spans="1:19" x14ac:dyDescent="0.35">
      <c r="A44" s="10">
        <v>46022</v>
      </c>
      <c r="B44" t="s">
        <v>82</v>
      </c>
      <c r="C44" t="s">
        <v>83</v>
      </c>
      <c r="D44" t="s">
        <v>251</v>
      </c>
      <c r="E44">
        <v>4984938</v>
      </c>
      <c r="F44" s="11">
        <v>51</v>
      </c>
      <c r="G44" t="s">
        <v>306</v>
      </c>
      <c r="H44">
        <v>10495545</v>
      </c>
      <c r="I44">
        <v>7755796</v>
      </c>
      <c r="J44" t="s">
        <v>307</v>
      </c>
      <c r="K44" t="s">
        <v>66</v>
      </c>
      <c r="L44" t="s">
        <v>308</v>
      </c>
      <c r="M44" t="s">
        <v>66</v>
      </c>
      <c r="N44" t="s">
        <v>278</v>
      </c>
      <c r="O44" t="s">
        <v>2</v>
      </c>
      <c r="P44" t="s">
        <v>2</v>
      </c>
      <c r="Q44" t="s">
        <v>2</v>
      </c>
      <c r="R44" t="s">
        <v>2</v>
      </c>
      <c r="S44" t="s">
        <v>66</v>
      </c>
    </row>
    <row r="45" spans="1:19" x14ac:dyDescent="0.35">
      <c r="A45" s="10">
        <v>46022</v>
      </c>
      <c r="B45" t="s">
        <v>82</v>
      </c>
      <c r="C45" t="s">
        <v>83</v>
      </c>
      <c r="D45" t="s">
        <v>252</v>
      </c>
      <c r="E45">
        <v>10495545</v>
      </c>
      <c r="F45" s="11">
        <v>49</v>
      </c>
      <c r="G45" t="s">
        <v>306</v>
      </c>
      <c r="H45">
        <v>10495545</v>
      </c>
      <c r="I45">
        <v>7755796</v>
      </c>
      <c r="J45" t="s">
        <v>307</v>
      </c>
      <c r="K45" t="s">
        <v>66</v>
      </c>
      <c r="L45" t="s">
        <v>308</v>
      </c>
      <c r="M45" t="s">
        <v>66</v>
      </c>
      <c r="N45" t="s">
        <v>278</v>
      </c>
      <c r="O45" t="s">
        <v>2</v>
      </c>
      <c r="P45" t="s">
        <v>2</v>
      </c>
      <c r="Q45" t="s">
        <v>2</v>
      </c>
      <c r="R45" t="s">
        <v>2</v>
      </c>
      <c r="S45" t="s">
        <v>66</v>
      </c>
    </row>
    <row r="46" spans="1:19" x14ac:dyDescent="0.35">
      <c r="A46" s="10">
        <v>46022</v>
      </c>
      <c r="B46" t="s">
        <v>155</v>
      </c>
      <c r="C46" t="s">
        <v>156</v>
      </c>
      <c r="D46" t="s">
        <v>253</v>
      </c>
      <c r="E46">
        <v>4233782</v>
      </c>
      <c r="F46" s="11">
        <v>100</v>
      </c>
      <c r="G46" t="s">
        <v>309</v>
      </c>
      <c r="H46">
        <v>4233782</v>
      </c>
      <c r="I46" t="s">
        <v>272</v>
      </c>
      <c r="J46" t="s">
        <v>2</v>
      </c>
      <c r="K46" t="s">
        <v>2</v>
      </c>
      <c r="L46" t="s">
        <v>2</v>
      </c>
      <c r="M46" t="s">
        <v>2</v>
      </c>
      <c r="N46" t="s">
        <v>310</v>
      </c>
      <c r="O46" t="s">
        <v>2</v>
      </c>
      <c r="P46" t="s">
        <v>2</v>
      </c>
      <c r="Q46" t="s">
        <v>2</v>
      </c>
      <c r="R46" t="s">
        <v>2</v>
      </c>
      <c r="S46" t="s">
        <v>66</v>
      </c>
    </row>
    <row r="47" spans="1:19" x14ac:dyDescent="0.35">
      <c r="A47" s="10">
        <v>46022</v>
      </c>
      <c r="B47" t="s">
        <v>157</v>
      </c>
      <c r="C47" t="s">
        <v>160</v>
      </c>
      <c r="D47" t="s">
        <v>245</v>
      </c>
      <c r="E47">
        <v>4354366</v>
      </c>
      <c r="F47" s="11">
        <v>100</v>
      </c>
      <c r="G47" t="s">
        <v>311</v>
      </c>
      <c r="H47">
        <v>4354366</v>
      </c>
      <c r="I47" t="s">
        <v>272</v>
      </c>
      <c r="J47" t="s">
        <v>2</v>
      </c>
      <c r="K47" t="s">
        <v>2</v>
      </c>
      <c r="L47" t="s">
        <v>2</v>
      </c>
      <c r="M47" t="s">
        <v>2</v>
      </c>
      <c r="N47" t="s">
        <v>159</v>
      </c>
      <c r="O47" t="s">
        <v>2</v>
      </c>
      <c r="P47" t="s">
        <v>2</v>
      </c>
      <c r="Q47" t="s">
        <v>2</v>
      </c>
      <c r="R47" t="s">
        <v>2</v>
      </c>
      <c r="S47" t="s">
        <v>66</v>
      </c>
    </row>
    <row r="48" spans="1:19" x14ac:dyDescent="0.35">
      <c r="A48" s="10">
        <v>46022</v>
      </c>
      <c r="B48" t="s">
        <v>157</v>
      </c>
      <c r="C48" t="s">
        <v>158</v>
      </c>
      <c r="D48" t="s">
        <v>233</v>
      </c>
      <c r="E48">
        <v>4121019</v>
      </c>
      <c r="F48" s="11">
        <v>100</v>
      </c>
      <c r="G48" t="s">
        <v>312</v>
      </c>
      <c r="H48">
        <v>4121019</v>
      </c>
      <c r="I48" t="s">
        <v>272</v>
      </c>
      <c r="J48" t="s">
        <v>2</v>
      </c>
      <c r="K48" t="s">
        <v>2</v>
      </c>
      <c r="L48" t="s">
        <v>2</v>
      </c>
      <c r="M48" t="s">
        <v>2</v>
      </c>
      <c r="N48" t="s">
        <v>169</v>
      </c>
      <c r="O48" t="s">
        <v>2</v>
      </c>
      <c r="P48" t="s">
        <v>2</v>
      </c>
      <c r="Q48" t="s">
        <v>2</v>
      </c>
      <c r="R48" t="s">
        <v>2</v>
      </c>
      <c r="S48" t="s">
        <v>66</v>
      </c>
    </row>
    <row r="49" spans="1:19" x14ac:dyDescent="0.35">
      <c r="A49" s="10">
        <v>46022</v>
      </c>
      <c r="B49" t="s">
        <v>161</v>
      </c>
      <c r="C49" t="s">
        <v>162</v>
      </c>
      <c r="D49" t="s">
        <v>228</v>
      </c>
      <c r="E49">
        <v>4351486</v>
      </c>
      <c r="F49" s="11">
        <v>8.5</v>
      </c>
      <c r="G49" t="s">
        <v>313</v>
      </c>
      <c r="H49">
        <v>4149660</v>
      </c>
      <c r="I49">
        <v>4162612</v>
      </c>
      <c r="J49" t="s">
        <v>2</v>
      </c>
      <c r="K49" t="s">
        <v>2</v>
      </c>
      <c r="L49" t="s">
        <v>2</v>
      </c>
      <c r="M49" t="s">
        <v>2</v>
      </c>
      <c r="N49" t="s">
        <v>299</v>
      </c>
      <c r="O49" t="s">
        <v>2</v>
      </c>
      <c r="P49" t="s">
        <v>2</v>
      </c>
      <c r="Q49" t="s">
        <v>2</v>
      </c>
      <c r="R49" t="s">
        <v>2</v>
      </c>
      <c r="S49" t="s">
        <v>314</v>
      </c>
    </row>
    <row r="50" spans="1:19" x14ac:dyDescent="0.35">
      <c r="A50" s="10">
        <v>46022</v>
      </c>
      <c r="B50" t="s">
        <v>161</v>
      </c>
      <c r="C50" t="s">
        <v>162</v>
      </c>
      <c r="D50" t="s">
        <v>244</v>
      </c>
      <c r="E50">
        <v>4149660</v>
      </c>
      <c r="F50" s="11">
        <v>66.5</v>
      </c>
      <c r="G50" t="s">
        <v>313</v>
      </c>
      <c r="H50">
        <v>4149660</v>
      </c>
      <c r="I50">
        <v>4162612</v>
      </c>
      <c r="J50" t="s">
        <v>2</v>
      </c>
      <c r="K50" t="s">
        <v>2</v>
      </c>
      <c r="L50" t="s">
        <v>2</v>
      </c>
      <c r="M50" t="s">
        <v>2</v>
      </c>
      <c r="N50" t="s">
        <v>299</v>
      </c>
      <c r="O50" t="s">
        <v>2</v>
      </c>
      <c r="P50" t="s">
        <v>2</v>
      </c>
      <c r="Q50" t="s">
        <v>2</v>
      </c>
      <c r="R50" t="s">
        <v>2</v>
      </c>
      <c r="S50" t="s">
        <v>314</v>
      </c>
    </row>
    <row r="51" spans="1:19" x14ac:dyDescent="0.35">
      <c r="A51" s="10">
        <v>46022</v>
      </c>
      <c r="B51" t="s">
        <v>161</v>
      </c>
      <c r="C51" t="s">
        <v>162</v>
      </c>
      <c r="D51" t="s">
        <v>254</v>
      </c>
      <c r="E51">
        <v>4162612</v>
      </c>
      <c r="F51" s="11">
        <v>25</v>
      </c>
      <c r="G51" t="s">
        <v>313</v>
      </c>
      <c r="H51">
        <v>4149660</v>
      </c>
      <c r="I51">
        <v>4162612</v>
      </c>
      <c r="J51" t="s">
        <v>2</v>
      </c>
      <c r="K51" t="s">
        <v>2</v>
      </c>
      <c r="L51" t="s">
        <v>2</v>
      </c>
      <c r="M51" t="s">
        <v>2</v>
      </c>
      <c r="N51" t="s">
        <v>299</v>
      </c>
      <c r="O51" t="s">
        <v>2</v>
      </c>
      <c r="P51" t="s">
        <v>2</v>
      </c>
      <c r="Q51" t="s">
        <v>2</v>
      </c>
      <c r="R51" t="s">
        <v>2</v>
      </c>
      <c r="S51" t="s">
        <v>314</v>
      </c>
    </row>
    <row r="52" spans="1:19" x14ac:dyDescent="0.35">
      <c r="A52" s="10">
        <v>46022</v>
      </c>
      <c r="B52" t="s">
        <v>163</v>
      </c>
      <c r="C52" t="s">
        <v>164</v>
      </c>
      <c r="D52" t="s">
        <v>244</v>
      </c>
      <c r="E52">
        <v>4149660</v>
      </c>
      <c r="F52" s="11">
        <v>100</v>
      </c>
      <c r="G52" t="s">
        <v>298</v>
      </c>
      <c r="H52">
        <v>4149660</v>
      </c>
      <c r="I52" t="s">
        <v>272</v>
      </c>
      <c r="J52" t="s">
        <v>2</v>
      </c>
      <c r="K52" t="s">
        <v>2</v>
      </c>
      <c r="L52" t="s">
        <v>2</v>
      </c>
      <c r="M52" t="s">
        <v>2</v>
      </c>
      <c r="N52" t="s">
        <v>299</v>
      </c>
      <c r="O52" t="s">
        <v>2</v>
      </c>
      <c r="P52" t="s">
        <v>2</v>
      </c>
      <c r="Q52" t="s">
        <v>2</v>
      </c>
      <c r="R52" t="s">
        <v>2</v>
      </c>
      <c r="S52" t="s">
        <v>66</v>
      </c>
    </row>
    <row r="53" spans="1:19" x14ac:dyDescent="0.35">
      <c r="A53" s="10">
        <v>46022</v>
      </c>
      <c r="B53" t="s">
        <v>165</v>
      </c>
      <c r="C53" t="s">
        <v>166</v>
      </c>
      <c r="D53" t="s">
        <v>244</v>
      </c>
      <c r="E53">
        <v>4149660</v>
      </c>
      <c r="F53" s="11">
        <v>100</v>
      </c>
      <c r="G53" t="s">
        <v>298</v>
      </c>
      <c r="H53">
        <v>4149660</v>
      </c>
      <c r="I53" t="s">
        <v>272</v>
      </c>
      <c r="J53" t="s">
        <v>2</v>
      </c>
      <c r="K53" t="s">
        <v>2</v>
      </c>
      <c r="L53" t="s">
        <v>2</v>
      </c>
      <c r="M53" t="s">
        <v>2</v>
      </c>
      <c r="N53" t="s">
        <v>299</v>
      </c>
      <c r="O53" t="s">
        <v>2</v>
      </c>
      <c r="P53" t="s">
        <v>2</v>
      </c>
      <c r="Q53" t="s">
        <v>2</v>
      </c>
      <c r="R53" t="s">
        <v>2</v>
      </c>
      <c r="S53" t="s">
        <v>66</v>
      </c>
    </row>
    <row r="54" spans="1:19" x14ac:dyDescent="0.35">
      <c r="A54" s="10">
        <v>46022</v>
      </c>
      <c r="B54" t="s">
        <v>167</v>
      </c>
      <c r="C54" t="s">
        <v>168</v>
      </c>
      <c r="D54" t="s">
        <v>233</v>
      </c>
      <c r="E54">
        <v>4121019</v>
      </c>
      <c r="F54" s="11">
        <v>100</v>
      </c>
      <c r="G54" t="s">
        <v>312</v>
      </c>
      <c r="H54">
        <v>4121019</v>
      </c>
      <c r="I54" t="s">
        <v>272</v>
      </c>
      <c r="J54" t="s">
        <v>2</v>
      </c>
      <c r="K54" t="s">
        <v>2</v>
      </c>
      <c r="L54" t="s">
        <v>2</v>
      </c>
      <c r="M54" t="s">
        <v>2</v>
      </c>
      <c r="N54" t="s">
        <v>169</v>
      </c>
      <c r="O54" t="s">
        <v>2</v>
      </c>
      <c r="P54" t="s">
        <v>2</v>
      </c>
      <c r="Q54" t="s">
        <v>2</v>
      </c>
      <c r="R54" t="s">
        <v>2</v>
      </c>
      <c r="S54" t="s">
        <v>66</v>
      </c>
    </row>
    <row r="55" spans="1:19" x14ac:dyDescent="0.35">
      <c r="A55" s="10">
        <v>46022</v>
      </c>
      <c r="B55" t="s">
        <v>170</v>
      </c>
      <c r="C55" t="s">
        <v>171</v>
      </c>
      <c r="D55" t="s">
        <v>241</v>
      </c>
      <c r="E55">
        <v>4355642</v>
      </c>
      <c r="F55" s="11">
        <v>100</v>
      </c>
      <c r="G55" t="s">
        <v>315</v>
      </c>
      <c r="H55">
        <v>4355642</v>
      </c>
      <c r="I55" t="s">
        <v>272</v>
      </c>
      <c r="J55" t="s">
        <v>2</v>
      </c>
      <c r="K55" t="s">
        <v>2</v>
      </c>
      <c r="L55" t="s">
        <v>2</v>
      </c>
      <c r="M55" t="s">
        <v>2</v>
      </c>
      <c r="N55" t="s">
        <v>66</v>
      </c>
      <c r="O55" t="s">
        <v>2</v>
      </c>
      <c r="P55" t="s">
        <v>2</v>
      </c>
      <c r="Q55" t="s">
        <v>2</v>
      </c>
      <c r="R55" t="s">
        <v>2</v>
      </c>
      <c r="S55" t="s">
        <v>66</v>
      </c>
    </row>
    <row r="56" spans="1:19" x14ac:dyDescent="0.35">
      <c r="A56" s="10">
        <v>46022</v>
      </c>
      <c r="B56" t="s">
        <v>84</v>
      </c>
      <c r="C56" t="s">
        <v>85</v>
      </c>
      <c r="D56" t="s">
        <v>233</v>
      </c>
      <c r="E56">
        <v>4121019</v>
      </c>
      <c r="F56" s="11">
        <v>50</v>
      </c>
      <c r="G56" t="s">
        <v>316</v>
      </c>
      <c r="H56">
        <v>4121019</v>
      </c>
      <c r="I56">
        <v>4352438</v>
      </c>
      <c r="J56" t="s">
        <v>2</v>
      </c>
      <c r="K56" t="s">
        <v>2</v>
      </c>
      <c r="L56" t="s">
        <v>2</v>
      </c>
      <c r="M56" t="s">
        <v>2</v>
      </c>
      <c r="N56" t="s">
        <v>169</v>
      </c>
      <c r="O56" t="s">
        <v>2</v>
      </c>
      <c r="P56" t="s">
        <v>2</v>
      </c>
      <c r="Q56" t="s">
        <v>2</v>
      </c>
      <c r="R56" t="s">
        <v>2</v>
      </c>
      <c r="S56" t="s">
        <v>61</v>
      </c>
    </row>
    <row r="57" spans="1:19" x14ac:dyDescent="0.35">
      <c r="A57" s="10">
        <v>46022</v>
      </c>
      <c r="B57" t="s">
        <v>84</v>
      </c>
      <c r="C57" t="s">
        <v>85</v>
      </c>
      <c r="D57" t="s">
        <v>243</v>
      </c>
      <c r="E57">
        <v>4352438</v>
      </c>
      <c r="F57" s="11">
        <v>50</v>
      </c>
      <c r="G57" t="s">
        <v>316</v>
      </c>
      <c r="H57">
        <v>4121019</v>
      </c>
      <c r="I57">
        <v>4352438</v>
      </c>
      <c r="J57" t="s">
        <v>2</v>
      </c>
      <c r="K57" t="s">
        <v>2</v>
      </c>
      <c r="L57" t="s">
        <v>2</v>
      </c>
      <c r="M57" t="s">
        <v>2</v>
      </c>
      <c r="N57" t="s">
        <v>169</v>
      </c>
      <c r="O57" t="s">
        <v>2</v>
      </c>
      <c r="P57" t="s">
        <v>2</v>
      </c>
      <c r="Q57" t="s">
        <v>2</v>
      </c>
      <c r="R57" t="s">
        <v>2</v>
      </c>
      <c r="S57" t="s">
        <v>61</v>
      </c>
    </row>
    <row r="58" spans="1:19" x14ac:dyDescent="0.35">
      <c r="A58" s="10">
        <v>46022</v>
      </c>
      <c r="B58" t="s">
        <v>86</v>
      </c>
      <c r="C58" t="s">
        <v>87</v>
      </c>
      <c r="D58" t="s">
        <v>241</v>
      </c>
      <c r="E58">
        <v>4355642</v>
      </c>
      <c r="F58" s="11">
        <v>66</v>
      </c>
      <c r="G58" t="s">
        <v>317</v>
      </c>
      <c r="H58">
        <v>4355642</v>
      </c>
      <c r="I58">
        <v>4400798</v>
      </c>
      <c r="J58" t="s">
        <v>2</v>
      </c>
      <c r="K58" t="s">
        <v>2</v>
      </c>
      <c r="L58" t="s">
        <v>2</v>
      </c>
      <c r="M58" t="s">
        <v>2</v>
      </c>
      <c r="N58" t="s">
        <v>66</v>
      </c>
      <c r="O58" t="s">
        <v>2</v>
      </c>
      <c r="P58" t="s">
        <v>2</v>
      </c>
      <c r="Q58" t="s">
        <v>2</v>
      </c>
      <c r="R58" t="s">
        <v>2</v>
      </c>
      <c r="S58" t="s">
        <v>169</v>
      </c>
    </row>
    <row r="59" spans="1:19" x14ac:dyDescent="0.35">
      <c r="A59" s="10">
        <v>46022</v>
      </c>
      <c r="B59" t="s">
        <v>174</v>
      </c>
      <c r="C59" t="s">
        <v>175</v>
      </c>
      <c r="D59" t="s">
        <v>251</v>
      </c>
      <c r="E59">
        <v>4984938</v>
      </c>
      <c r="F59" s="11">
        <v>75</v>
      </c>
      <c r="G59" t="s">
        <v>318</v>
      </c>
      <c r="H59">
        <v>4984938</v>
      </c>
      <c r="I59">
        <v>4400798</v>
      </c>
      <c r="J59" t="s">
        <v>307</v>
      </c>
      <c r="K59" t="s">
        <v>66</v>
      </c>
      <c r="L59" t="s">
        <v>319</v>
      </c>
      <c r="M59" t="s">
        <v>66</v>
      </c>
      <c r="N59" t="s">
        <v>66</v>
      </c>
      <c r="O59" t="s">
        <v>2</v>
      </c>
      <c r="P59" t="s">
        <v>2</v>
      </c>
      <c r="Q59" t="s">
        <v>2</v>
      </c>
      <c r="R59" t="s">
        <v>2</v>
      </c>
      <c r="S59" t="s">
        <v>169</v>
      </c>
    </row>
    <row r="60" spans="1:19" x14ac:dyDescent="0.35">
      <c r="A60" s="10">
        <v>46022</v>
      </c>
      <c r="B60" t="s">
        <v>88</v>
      </c>
      <c r="C60" t="s">
        <v>89</v>
      </c>
      <c r="D60" t="s">
        <v>255</v>
      </c>
      <c r="E60">
        <v>4500518</v>
      </c>
      <c r="F60" s="11">
        <v>100</v>
      </c>
      <c r="G60" t="s">
        <v>320</v>
      </c>
      <c r="H60">
        <v>4500518</v>
      </c>
      <c r="I60" t="s">
        <v>272</v>
      </c>
      <c r="J60" t="s">
        <v>2</v>
      </c>
      <c r="K60" t="s">
        <v>2</v>
      </c>
      <c r="L60" t="s">
        <v>2</v>
      </c>
      <c r="M60" t="s">
        <v>2</v>
      </c>
      <c r="N60" t="s">
        <v>66</v>
      </c>
      <c r="O60" t="s">
        <v>2</v>
      </c>
      <c r="P60" t="s">
        <v>2</v>
      </c>
      <c r="Q60" t="s">
        <v>2</v>
      </c>
      <c r="R60" t="s">
        <v>2</v>
      </c>
      <c r="S60" t="s">
        <v>66</v>
      </c>
    </row>
    <row r="61" spans="1:19" x14ac:dyDescent="0.35">
      <c r="A61" s="10">
        <v>46022</v>
      </c>
      <c r="B61" t="s">
        <v>176</v>
      </c>
      <c r="C61" t="s">
        <v>177</v>
      </c>
      <c r="D61" t="s">
        <v>235</v>
      </c>
      <c r="E61">
        <v>4365897</v>
      </c>
      <c r="F61" s="11">
        <v>20</v>
      </c>
      <c r="G61" t="s">
        <v>321</v>
      </c>
      <c r="H61">
        <v>4354854</v>
      </c>
      <c r="I61">
        <v>4365897</v>
      </c>
      <c r="J61" t="s">
        <v>2</v>
      </c>
      <c r="K61" t="s">
        <v>2</v>
      </c>
      <c r="L61" t="s">
        <v>2</v>
      </c>
      <c r="M61" t="s">
        <v>2</v>
      </c>
      <c r="N61" t="s">
        <v>66</v>
      </c>
      <c r="O61" t="s">
        <v>290</v>
      </c>
      <c r="P61" t="s">
        <v>66</v>
      </c>
      <c r="Q61" t="s">
        <v>290</v>
      </c>
      <c r="R61" t="s">
        <v>66</v>
      </c>
      <c r="S61" t="s">
        <v>66</v>
      </c>
    </row>
    <row r="62" spans="1:19" x14ac:dyDescent="0.35">
      <c r="A62" s="10">
        <v>46022</v>
      </c>
      <c r="B62" t="s">
        <v>176</v>
      </c>
      <c r="C62" t="s">
        <v>177</v>
      </c>
      <c r="D62" t="s">
        <v>256</v>
      </c>
      <c r="E62">
        <v>4354854</v>
      </c>
      <c r="F62" s="11">
        <v>80</v>
      </c>
      <c r="G62" t="s">
        <v>321</v>
      </c>
      <c r="H62">
        <v>4354854</v>
      </c>
      <c r="I62">
        <v>4365897</v>
      </c>
      <c r="J62" t="s">
        <v>2</v>
      </c>
      <c r="K62" t="s">
        <v>2</v>
      </c>
      <c r="L62" t="s">
        <v>2</v>
      </c>
      <c r="M62" t="s">
        <v>2</v>
      </c>
      <c r="N62" t="s">
        <v>66</v>
      </c>
      <c r="O62" t="s">
        <v>290</v>
      </c>
      <c r="P62" t="s">
        <v>66</v>
      </c>
      <c r="Q62" t="s">
        <v>290</v>
      </c>
      <c r="R62" t="s">
        <v>66</v>
      </c>
      <c r="S62" t="s">
        <v>66</v>
      </c>
    </row>
  </sheetData>
  <pageMargins left="0.7" right="0.7" top="0.75" bottom="0.75" header="0.3" footer="0.3"/>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Ore</vt:lpstr>
      <vt:lpstr>Products LCE</vt:lpstr>
      <vt:lpstr>Products Tonne</vt:lpstr>
      <vt:lpstr>Consolidated Products LCE</vt:lpstr>
      <vt:lpstr>Consolidated Products Tonne</vt:lpstr>
      <vt:lpstr>Cash Flow</vt:lpstr>
      <vt:lpstr>Ownership</vt:lpstr>
      <vt:lpstr>Sheet1</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HOUHAMDI Wafa, DAF/RBC</cp:lastModifiedBy>
  <dcterms:created xsi:type="dcterms:W3CDTF">2026-07-07T16:31:43Z</dcterms:created>
  <dcterms:modified xsi:type="dcterms:W3CDTF">2026-07-21T15:40:31Z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MSIP_Label_0e5510b0-e729-4ef0-a3dd-4ba0dfe56c99_Enabled">
    <vt:lpwstr>true</vt:lpwstr>
  </property>
  <property fmtid="{D5CDD505-2E9C-101B-9397-08002B2CF9AE}" pid="4" name="MSIP_Label_0e5510b0-e729-4ef0-a3dd-4ba0dfe56c99_SetDate">
    <vt:lpwstr>2026-07-08T15:41:31Z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023a5407-a280-41f3-9847-7a8f88217eac</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ies>
</file>